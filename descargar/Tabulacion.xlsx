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4.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7.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8.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1" autoFilterDateGrouping="1" firstSheet="0" minimized="0" showHorizontalScroll="1" showSheetTabs="1" showVerticalScroll="1" tabRatio="600" visibility="visible"/>
  </bookViews>
  <sheets>
    <sheet name="." sheetId="1" r:id="rId4"/>
    <sheet name="Por Valoracion (3) Dimension" sheetId="2" r:id="rId5"/>
    <sheet name="Tabulacion por item" sheetId="3" r:id="rId6"/>
    <sheet name="Por conteo Dimension" sheetId="4" r:id="rId7"/>
    <sheet name=". 1" sheetId="5" r:id="rId8"/>
    <sheet name="Por Valoracion (3) Dimension 2" sheetId="6" r:id="rId9"/>
    <sheet name="Tabulacion por item 2" sheetId="7" r:id="rId10"/>
    <sheet name="Por conteo Dimension 2" sheetId="8" r:id="rId11"/>
    <sheet name="Rela. ent. dimension" sheetId="9" r:id="rId12"/>
    <sheet name="Rela. dimen. ent. vari" sheetId="10" r:id="rId13"/>
    <sheet name="Rela. ent. variable" sheetId="11" r:id="rId14"/>
    <sheet name="Criterio para el valor r" sheetId="12" r:id="rId15"/>
  </sheets>
  <definedNames/>
  <calcPr calcId="999999" calcMode="auto" calcCompleted="0" fullCalcOnLoad="1"/>
</workbook>
</file>

<file path=xl/sharedStrings.xml><?xml version="1.0" encoding="utf-8"?>
<sst xmlns="http://schemas.openxmlformats.org/spreadsheetml/2006/main" uniqueCount="231">
  <si>
    <t>Dimension 1</t>
  </si>
  <si>
    <t>.</t>
  </si>
  <si>
    <t>Total</t>
  </si>
  <si>
    <t>Valoración</t>
  </si>
  <si>
    <t>PRG.1</t>
  </si>
  <si>
    <t>PRG.2</t>
  </si>
  <si>
    <t>PRG.3</t>
  </si>
  <si>
    <t>PRG.4</t>
  </si>
  <si>
    <t>PRG.5</t>
  </si>
  <si>
    <t>PRG.6</t>
  </si>
  <si>
    <t>PRG.7</t>
  </si>
  <si>
    <t>PRG.8</t>
  </si>
  <si>
    <t>PRG.9</t>
  </si>
  <si>
    <t>PRG.10</t>
  </si>
  <si>
    <t>PRG.11</t>
  </si>
  <si>
    <t>PRG.12</t>
  </si>
  <si>
    <t>PRG.13</t>
  </si>
  <si>
    <t>PRG.14</t>
  </si>
  <si>
    <t>PRG.15</t>
  </si>
  <si>
    <t>PRG.16</t>
  </si>
  <si>
    <t>PRG.17</t>
  </si>
  <si>
    <t>PRG.18</t>
  </si>
  <si>
    <t>PRG.19</t>
  </si>
  <si>
    <t>PRG.20</t>
  </si>
  <si>
    <t>PRG.21</t>
  </si>
  <si>
    <t>PRG.22</t>
  </si>
  <si>
    <t>Participante 1</t>
  </si>
  <si>
    <t>Participante 2</t>
  </si>
  <si>
    <t>Participante 3</t>
  </si>
  <si>
    <t>Participante 4</t>
  </si>
  <si>
    <t>Participante 5</t>
  </si>
  <si>
    <t>Participante 6</t>
  </si>
  <si>
    <t>Participante 7</t>
  </si>
  <si>
    <t>Participante 8</t>
  </si>
  <si>
    <t>Participante 9</t>
  </si>
  <si>
    <t>Participante 10</t>
  </si>
  <si>
    <t>Participante 11</t>
  </si>
  <si>
    <t>Participante 12</t>
  </si>
  <si>
    <t>Participante 13</t>
  </si>
  <si>
    <t>Participante 14</t>
  </si>
  <si>
    <t>Participante 15</t>
  </si>
  <si>
    <t>Participante 16</t>
  </si>
  <si>
    <t>Participante 17</t>
  </si>
  <si>
    <t>Participante 18</t>
  </si>
  <si>
    <t>Participante 19</t>
  </si>
  <si>
    <t>Participante 20</t>
  </si>
  <si>
    <t>TOTAL</t>
  </si>
  <si>
    <t>MODA</t>
  </si>
  <si>
    <t>MEDIA</t>
  </si>
  <si>
    <t>MEDIANA</t>
  </si>
  <si>
    <t>Desv.Est</t>
  </si>
  <si>
    <t xml:space="preserve">Coef. Varia.
    </t>
  </si>
  <si>
    <t>.%</t>
  </si>
  <si>
    <t>Total %</t>
  </si>
  <si>
    <t>Nº de Personas</t>
  </si>
  <si>
    <t>Suma Total</t>
  </si>
  <si>
    <t>Variable</t>
  </si>
  <si>
    <t>Nombre de la Dimensión</t>
  </si>
  <si>
    <t>Cantidad de Escalas Valorativas</t>
  </si>
  <si>
    <t>Nº de Peguntas</t>
  </si>
  <si>
    <t>Valor Mínimo por item</t>
  </si>
  <si>
    <t>Valor Máximo por item</t>
  </si>
  <si>
    <t>Máximo</t>
  </si>
  <si>
    <t>Mínimo</t>
  </si>
  <si>
    <t>Rango</t>
  </si>
  <si>
    <t>Amplitud del Intervalo</t>
  </si>
  <si>
    <t>Tabla 1</t>
  </si>
  <si>
    <t>Tabla 2</t>
  </si>
  <si>
    <t>Calificación</t>
  </si>
  <si>
    <t>Frec.</t>
  </si>
  <si>
    <t>%</t>
  </si>
  <si>
    <t>Desde</t>
  </si>
  <si>
    <t>Hasta</t>
  </si>
  <si>
    <t>Fuente: Encuesta aplicada</t>
  </si>
  <si>
    <t>Elaboración: Propia</t>
  </si>
  <si>
    <t>Figura.1</t>
  </si>
  <si>
    <t>Figura.2</t>
  </si>
  <si>
    <t>Unidades de Medida</t>
  </si>
  <si>
    <t>Dimensión</t>
  </si>
  <si>
    <t>Participantes</t>
  </si>
  <si>
    <t>Valoración de la variable</t>
  </si>
  <si>
    <t>Preguntas Originales</t>
  </si>
  <si>
    <t>Enunciados Para Palafraseo</t>
  </si>
  <si>
    <t>MÁXIMO</t>
  </si>
  <si>
    <t>Valores</t>
  </si>
  <si>
    <t>codificación de verbos aleatorios para concatenar</t>
  </si>
  <si>
    <t>verbo</t>
  </si>
  <si>
    <t>Concatenación</t>
  </si>
  <si>
    <t>dimensión</t>
  </si>
  <si>
    <t>Valor</t>
  </si>
  <si>
    <t>codificación de verbos</t>
  </si>
  <si>
    <t>Verbo</t>
  </si>
  <si>
    <t>codificación de conectores</t>
  </si>
  <si>
    <t>Conectores</t>
  </si>
  <si>
    <t>codificación de unidades de medida</t>
  </si>
  <si>
    <t xml:space="preserve">Unidades de medida </t>
  </si>
  <si>
    <t>valoró</t>
  </si>
  <si>
    <t>calificó</t>
  </si>
  <si>
    <t>consideró</t>
  </si>
  <si>
    <t>respondió</t>
  </si>
  <si>
    <t>evaluó</t>
  </si>
  <si>
    <t>determinó</t>
  </si>
  <si>
    <t>mencionó</t>
  </si>
  <si>
    <t>apreció</t>
  </si>
  <si>
    <t>percibió</t>
  </si>
  <si>
    <t>Tuvo una percepción de</t>
  </si>
  <si>
    <t>asi mismo</t>
  </si>
  <si>
    <t xml:space="preserve">por otro lado </t>
  </si>
  <si>
    <t xml:space="preserve">por otra parte </t>
  </si>
  <si>
    <t xml:space="preserve">ademas </t>
  </si>
  <si>
    <t xml:space="preserve">en consecuencia </t>
  </si>
  <si>
    <t xml:space="preserve">adicional a ello </t>
  </si>
  <si>
    <t xml:space="preserve">por consecuencia </t>
  </si>
  <si>
    <t>Resultados</t>
  </si>
  <si>
    <t>Item 1</t>
  </si>
  <si>
    <t>Item 2</t>
  </si>
  <si>
    <t>Item 3</t>
  </si>
  <si>
    <t>Item 4</t>
  </si>
  <si>
    <t>Item 5</t>
  </si>
  <si>
    <t>Item 6</t>
  </si>
  <si>
    <t>Item 7</t>
  </si>
  <si>
    <t>Item 8</t>
  </si>
  <si>
    <t>Item 9</t>
  </si>
  <si>
    <t>Item 10</t>
  </si>
  <si>
    <t>Item 11</t>
  </si>
  <si>
    <t>Item 12</t>
  </si>
  <si>
    <t>Item 13</t>
  </si>
  <si>
    <t>Item 14</t>
  </si>
  <si>
    <t>Item 15</t>
  </si>
  <si>
    <t>Item 16</t>
  </si>
  <si>
    <t>Item 17</t>
  </si>
  <si>
    <t>Item 18</t>
  </si>
  <si>
    <t>Item 19</t>
  </si>
  <si>
    <t>Item 20</t>
  </si>
  <si>
    <t>Item 21</t>
  </si>
  <si>
    <t>Item 22</t>
  </si>
  <si>
    <t>Tabla 3</t>
  </si>
  <si>
    <t>Tabla 4</t>
  </si>
  <si>
    <t>Tabla 5</t>
  </si>
  <si>
    <t>Tabla 6</t>
  </si>
  <si>
    <t>Tabla 7</t>
  </si>
  <si>
    <t>Tabla 8</t>
  </si>
  <si>
    <t>Tabla 9</t>
  </si>
  <si>
    <t>Tabla 10</t>
  </si>
  <si>
    <t>Tabla 11</t>
  </si>
  <si>
    <t>Tabla 12</t>
  </si>
  <si>
    <t>Tabla 13</t>
  </si>
  <si>
    <t>Tabla 14</t>
  </si>
  <si>
    <t>Tabla 15</t>
  </si>
  <si>
    <t>Tabla 16</t>
  </si>
  <si>
    <t>Tabla 17</t>
  </si>
  <si>
    <t>Tabla 18</t>
  </si>
  <si>
    <t>Tabla 19</t>
  </si>
  <si>
    <t>Tabla 20</t>
  </si>
  <si>
    <t>Tabla 21</t>
  </si>
  <si>
    <t>Tabla 22</t>
  </si>
  <si>
    <t>Figura. 1</t>
  </si>
  <si>
    <t>Figura. 2</t>
  </si>
  <si>
    <t>Figura. 3</t>
  </si>
  <si>
    <t>Figura. 4</t>
  </si>
  <si>
    <t>Figura. 5</t>
  </si>
  <si>
    <t>Figura. 6</t>
  </si>
  <si>
    <t>Figura. 7</t>
  </si>
  <si>
    <t>Figura. 8</t>
  </si>
  <si>
    <t>Figura. 9</t>
  </si>
  <si>
    <t>Figura. 10</t>
  </si>
  <si>
    <t>Figura. 11</t>
  </si>
  <si>
    <t>Figura. 12</t>
  </si>
  <si>
    <t>Figura. 13</t>
  </si>
  <si>
    <t>Figura. 14</t>
  </si>
  <si>
    <t>Figura. 15</t>
  </si>
  <si>
    <t>Figura. 16</t>
  </si>
  <si>
    <t>Figura. 17</t>
  </si>
  <si>
    <t>Figura. 18</t>
  </si>
  <si>
    <t>Figura. 19</t>
  </si>
  <si>
    <t>Figura. 20</t>
  </si>
  <si>
    <t>Figura. 21</t>
  </si>
  <si>
    <t>Figura. 22</t>
  </si>
  <si>
    <t>Mayoria</t>
  </si>
  <si>
    <t>Dimensión 1</t>
  </si>
  <si>
    <t>Variable 1</t>
  </si>
  <si>
    <t>Unidad de Medida</t>
  </si>
  <si>
    <t>Calificación verdadera</t>
  </si>
  <si>
    <t>Valor Mayor</t>
  </si>
  <si>
    <t>MAYOR</t>
  </si>
  <si>
    <t>..</t>
  </si>
  <si>
    <t>..%</t>
  </si>
  <si>
    <t>Dimensión 1 Variable 1</t>
  </si>
  <si>
    <t>Dimensión 1 Variable 2</t>
  </si>
  <si>
    <t>Pruebas de normalidad</t>
  </si>
  <si>
    <t>Kolmogorov-Smirnova</t>
  </si>
  <si>
    <t>Shapiro-Wilk</t>
  </si>
  <si>
    <t>Estadístico</t>
  </si>
  <si>
    <t>gl</t>
  </si>
  <si>
    <t>Sig.</t>
  </si>
  <si>
    <t>a. Corrección de significación de Lilliefors</t>
  </si>
  <si>
    <t>Correlaciones</t>
  </si>
  <si>
    <t>Correlación de Pearson</t>
  </si>
  <si>
    <t>Rho de Spearman</t>
  </si>
  <si>
    <t>Correlación de Rho de Spearman</t>
  </si>
  <si>
    <t>Sig. (bilateral)</t>
  </si>
  <si>
    <t>N</t>
  </si>
  <si>
    <t>**. La correlación es significativa en el nivel 0,01 (2 colas).</t>
  </si>
  <si>
    <t xml:space="preserve"> Dimensión </t>
  </si>
  <si>
    <t xml:space="preserve"> Prueba a utilizar  </t>
  </si>
  <si>
    <t xml:space="preserve"> decición </t>
  </si>
  <si>
    <t xml:space="preserve"> decición concreta  </t>
  </si>
  <si>
    <t>decición de prueba de relación</t>
  </si>
  <si>
    <t xml:space="preserve">Categorización </t>
  </si>
  <si>
    <t xml:space="preserve"> probabilidad de error </t>
  </si>
  <si>
    <t xml:space="preserve"> "r" </t>
  </si>
  <si>
    <t>"Rho"</t>
  </si>
  <si>
    <t>dimensiones</t>
  </si>
  <si>
    <t>Probabilidad de error</t>
  </si>
  <si>
    <t xml:space="preserve">Decición </t>
  </si>
  <si>
    <t>Variable 2</t>
  </si>
  <si>
    <t xml:space="preserve"> Variable </t>
  </si>
  <si>
    <t>Significado</t>
  </si>
  <si>
    <t>Correlación negativa perfecta</t>
  </si>
  <si>
    <t>Correlación negativa muy fuerte</t>
  </si>
  <si>
    <t>Correlación negativa considerable</t>
  </si>
  <si>
    <t>Correlación negativa media</t>
  </si>
  <si>
    <t>Correlación negativa débil</t>
  </si>
  <si>
    <t>Correlación negativa muy débil</t>
  </si>
  <si>
    <t>No existe correlación alguna entre las variables</t>
  </si>
  <si>
    <t>Correlación positiva muy débil</t>
  </si>
  <si>
    <t>Correlación positiva débil</t>
  </si>
  <si>
    <t>Correlación positiva media</t>
  </si>
  <si>
    <t>Correlación positiva considerable</t>
  </si>
  <si>
    <t>Correlación positiva muy fuerte</t>
  </si>
  <si>
    <t>Correlación positiva perfecta</t>
  </si>
</sst>
</file>

<file path=xl/styles.xml><?xml version="1.0" encoding="utf-8"?>
<styleSheet xmlns="http://schemas.openxmlformats.org/spreadsheetml/2006/main" xml:space="preserve">
  <numFmts count="0"/>
  <fonts count="9">
    <font>
      <b val="0"/>
      <i val="0"/>
      <strike val="0"/>
      <u val="none"/>
      <sz val="11"/>
      <color rgb="FF000000"/>
      <name val="Calibri"/>
    </font>
    <font>
      <b val="1"/>
      <i val="0"/>
      <strike val="0"/>
      <u val="none"/>
      <sz val="10"/>
      <color rgb="FF030303"/>
      <name val="Verdana"/>
    </font>
    <font>
      <b val="1"/>
      <i val="0"/>
      <strike val="0"/>
      <u val="none"/>
      <sz val="7"/>
      <color rgb="FF030303"/>
      <name val="Verdana"/>
    </font>
    <font>
      <b val="1"/>
      <i val="0"/>
      <strike val="0"/>
      <u val="none"/>
      <sz val="6"/>
      <color rgb="FF030303"/>
      <name val="Verdana"/>
    </font>
    <font>
      <b val="0"/>
      <i val="0"/>
      <strike val="0"/>
      <u val="none"/>
      <sz val="10"/>
      <color rgb="FF030303"/>
      <name val="Times New Roman"/>
    </font>
    <font>
      <b val="0"/>
      <i val="0"/>
      <strike val="0"/>
      <u val="none"/>
      <sz val="10"/>
      <color rgb="FF030303"/>
      <name val="Times new Roman"/>
    </font>
    <font>
      <b val="1"/>
      <i val="0"/>
      <strike val="0"/>
      <u val="none"/>
      <sz val="12"/>
      <color rgb="FF030303"/>
      <name val="Times New Roman"/>
    </font>
    <font>
      <b val="0"/>
      <i val="0"/>
      <strike val="0"/>
      <u val="none"/>
      <sz val="10"/>
      <color rgb="FFffffff"/>
      <name val="Times New Roman"/>
    </font>
    <font>
      <b val="1"/>
      <i val="0"/>
      <strike val="0"/>
      <u val="none"/>
      <sz val="10"/>
      <color rgb="FF030303"/>
      <name val="Times New Roman"/>
    </font>
  </fonts>
  <fills count="12">
    <fill>
      <patternFill patternType="none"/>
    </fill>
    <fill>
      <patternFill patternType="gray125">
        <fgColor rgb="FFFFFFFF"/>
        <bgColor rgb="FF000000"/>
      </patternFill>
    </fill>
    <fill>
      <patternFill patternType="solid">
        <fgColor rgb="E43B16"/>
        <bgColor rgb="FF000000"/>
      </patternFill>
    </fill>
    <fill>
      <patternFill patternType="solid">
        <fgColor rgb="2BAD56"/>
        <bgColor rgb="FF000000"/>
      </patternFill>
    </fill>
    <fill>
      <patternFill patternType="solid">
        <fgColor rgb="0000FF"/>
        <bgColor rgb="FF000000"/>
      </patternFill>
    </fill>
    <fill>
      <patternFill patternType="solid">
        <fgColor rgb="FFCC00"/>
        <bgColor rgb="FF000000"/>
      </patternFill>
    </fill>
    <fill>
      <patternFill patternType="solid">
        <fgColor rgb="8CC563"/>
        <bgColor rgb="FF000000"/>
      </patternFill>
    </fill>
    <fill>
      <patternFill patternType="solid">
        <fgColor rgb="bae704"/>
        <bgColor rgb="FF000000"/>
      </patternFill>
    </fill>
    <fill>
      <patternFill patternType="solid">
        <fgColor rgb="FF49d057"/>
        <bgColor rgb="FF000000"/>
      </patternFill>
    </fill>
    <fill>
      <patternFill patternType="solid">
        <fgColor rgb="FF151d6c"/>
        <bgColor rgb="FF000000"/>
      </patternFill>
    </fill>
    <fill>
      <patternFill patternType="solid">
        <fgColor rgb="FF4ff3cc"/>
        <bgColor rgb="FF000000"/>
      </patternFill>
    </fill>
    <fill>
      <patternFill patternType="solid">
        <fgColor rgb="FF0bfd7a"/>
        <bgColor rgb="FF000000"/>
      </patternFill>
    </fill>
  </fills>
  <borders count="4">
    <border/>
    <border>
      <right style="medium">
        <color rgb="FF000000"/>
      </right>
      <bottom style="thin">
        <color rgb="FF000000"/>
      </bottom>
    </border>
    <border>
      <bottom style="thin">
        <color rgb="FF000000"/>
      </bottom>
    </border>
    <border>
      <top style="thin">
        <color rgb="FF000000"/>
      </top>
      <bottom style="thin">
        <color rgb="FF000000"/>
      </bottom>
    </border>
  </borders>
  <cellStyleXfs count="1">
    <xf numFmtId="0" fontId="0" fillId="0" borderId="0"/>
  </cellStyleXfs>
  <cellXfs count="50">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0">
      <alignment horizontal="general" vertical="bottom" textRotation="0" wrapText="false" shrinkToFit="false"/>
    </xf>
    <xf xfId="0" fontId="0" numFmtId="0" fillId="3" borderId="1" applyFont="0" applyNumberFormat="0" applyFill="1" applyBorder="1" applyAlignment="0">
      <alignment horizontal="general" vertical="bottom" textRotation="0" wrapText="false" shrinkToFit="false"/>
    </xf>
    <xf xfId="0" fontId="2" numFmtId="0" fillId="3" borderId="1" applyFont="1" applyNumberFormat="0" applyFill="1" applyBorder="1"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xf xfId="0" fontId="0" numFmtId="9" fillId="0" borderId="0" applyFont="0" applyNumberFormat="1" applyFill="0" applyBorder="0" applyAlignment="0">
      <alignment horizontal="general" vertical="bottom" textRotation="0" wrapText="false" shrinkToFit="false"/>
    </xf>
    <xf xfId="0" fontId="1" numFmtId="0" fillId="4" borderId="1" applyFont="1" applyNumberFormat="0" applyFill="1" applyBorder="1"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0" numFmtId="0" fillId="5" borderId="1" applyFont="0" applyNumberFormat="0" applyFill="1" applyBorder="1" applyAlignment="0">
      <alignment horizontal="general" vertical="bottom" textRotation="0" wrapText="false" shrinkToFit="false"/>
    </xf>
    <xf xfId="0" fontId="3" numFmtId="0" fillId="5" borderId="1" applyFont="1" applyNumberFormat="0" applyFill="1" applyBorder="1"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0" numFmtId="0" fillId="6" borderId="0" applyFont="0" applyNumberFormat="0" applyFill="1" applyBorder="0" applyAlignment="0">
      <alignment horizontal="general" vertical="bottom" textRotation="0" wrapText="false" shrinkToFit="false"/>
    </xf>
    <xf xfId="0" fontId="0" numFmtId="0" fillId="0" borderId="2" applyFont="0" applyNumberFormat="0" applyFill="0" applyBorder="1" applyAlignment="0">
      <alignment horizontal="general" vertical="bottom" textRotation="0" wrapText="false" shrinkToFit="false"/>
    </xf>
    <xf xfId="0" fontId="0" numFmtId="0" fillId="0" borderId="3" applyFont="0" applyNumberFormat="0" applyFill="0" applyBorder="1" applyAlignment="0">
      <alignment horizontal="general" vertical="bottom" textRotation="0" wrapText="false" shrinkToFit="false"/>
    </xf>
    <xf xfId="0" fontId="4" numFmtId="9" fillId="0" borderId="0" applyFont="1"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4" numFmtId="0" fillId="0" borderId="0" applyFont="1" applyNumberFormat="0" applyFill="0" applyBorder="0" applyAlignment="1">
      <alignment horizontal="center" vertical="bottom" textRotation="0" wrapText="false" shrinkToFit="false"/>
    </xf>
    <xf xfId="0" fontId="4" numFmtId="0" fillId="0" borderId="3" applyFont="1" applyNumberFormat="0" applyFill="0" applyBorder="1" applyAlignment="1">
      <alignment horizontal="center" vertical="bottom" textRotation="0" wrapText="false" shrinkToFit="false"/>
    </xf>
    <xf xfId="0" fontId="4" numFmtId="0" fillId="0" borderId="2" applyFont="1" applyNumberFormat="0" applyFill="0" applyBorder="1" applyAlignment="1">
      <alignment horizontal="center" vertical="bottom" textRotation="0" wrapText="false" shrinkToFit="false"/>
    </xf>
    <xf xfId="0" fontId="0" numFmtId="0" fillId="0" borderId="3" applyFont="0" applyNumberFormat="0" applyFill="0" applyBorder="1" applyAlignment="1">
      <alignment horizontal="center" vertical="bottom" textRotation="0" wrapText="false" shrinkToFit="false"/>
    </xf>
    <xf xfId="0" fontId="4" numFmtId="9" fillId="0" borderId="0" applyFont="1" applyNumberFormat="1" applyFill="0" applyBorder="0" applyAlignment="1">
      <alignment horizontal="center" vertical="bottom" textRotation="0" wrapText="false" shrinkToFit="false"/>
    </xf>
    <xf xfId="0" fontId="4" numFmtId="9" fillId="0" borderId="3" applyFont="1" applyNumberFormat="1" applyFill="0" applyBorder="1" applyAlignment="1">
      <alignment horizontal="center"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2" applyFont="1" applyNumberFormat="0" applyFill="0" applyBorder="1" applyAlignment="1">
      <alignment horizontal="left" vertical="bottom" textRotation="0" wrapText="false" shrinkToFit="false"/>
    </xf>
    <xf xfId="0" fontId="4" numFmtId="0" fillId="0" borderId="0" applyFont="1" applyNumberFormat="0" applyFill="0" applyBorder="0" applyAlignment="1">
      <alignment horizontal="left" vertical="bottom" textRotation="0" wrapText="false" shrinkToFit="false"/>
    </xf>
    <xf xfId="0" fontId="4" numFmtId="0" fillId="0" borderId="0" applyFont="1" applyNumberFormat="0" applyFill="0" applyBorder="0" applyAlignment="1">
      <alignment horizontal="left" vertical="center" textRotation="0" wrapText="true" shrinkToFit="false"/>
    </xf>
    <xf xfId="0" fontId="0" numFmtId="0" fillId="7" borderId="0" applyFont="0"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6" numFmtId="0" fillId="5" borderId="1" applyFont="1" applyNumberFormat="0" applyFill="1" applyBorder="1" applyAlignment="1">
      <alignment horizontal="center" vertical="bottom" textRotation="0" wrapText="false" shrinkToFit="false"/>
    </xf>
    <xf xfId="0" fontId="0" numFmtId="9" fillId="0" borderId="0" applyFont="0" applyNumberFormat="1" applyFill="0" applyBorder="0" applyAlignment="1">
      <alignment horizontal="center" vertical="bottom" textRotation="0" wrapText="false" shrinkToFit="false"/>
    </xf>
    <xf xfId="0" fontId="4" numFmtId="0" fillId="0" borderId="3" applyFont="1" applyNumberFormat="0" applyFill="0" applyBorder="1" applyAlignment="1">
      <alignment horizontal="left" vertical="bottom" textRotation="0" wrapText="false" shrinkToFit="false"/>
    </xf>
    <xf xfId="0" fontId="7" numFmtId="0" fillId="0" borderId="0" applyFont="1" applyNumberFormat="0" applyFill="0" applyBorder="0" applyAlignment="0">
      <alignment horizontal="general" vertical="bottom" textRotation="0" wrapText="false" shrinkToFit="false"/>
    </xf>
    <xf xfId="0" fontId="7" numFmtId="9" fillId="0" borderId="0" applyFont="1" applyNumberFormat="1"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6" borderId="0" applyFont="0" applyNumberFormat="0" applyFill="1" applyBorder="0" applyAlignment="1">
      <alignment horizontal="general" vertical="bottom" textRotation="0" wrapText="true" shrinkToFit="false"/>
    </xf>
    <xf xfId="0" fontId="0" numFmtId="0" fillId="7" borderId="0" applyFont="0" applyNumberFormat="0" applyFill="1" applyBorder="0" applyAlignment="1">
      <alignment horizontal="general" vertical="bottom" textRotation="0" wrapText="true" shrinkToFit="false"/>
    </xf>
    <xf xfId="0" fontId="0" numFmtId="0" fillId="8" borderId="0" applyFont="0"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true" shrinkToFit="false"/>
    </xf>
    <xf xfId="0" fontId="8" numFmtId="0" fillId="0" borderId="0" applyFont="1" applyNumberFormat="0" applyFill="0" applyBorder="0" applyAlignment="1">
      <alignment horizontal="center" vertical="center" textRotation="0" wrapText="true" shrinkToFit="false"/>
    </xf>
    <xf xfId="0" fontId="8" numFmtId="0" fillId="0" borderId="2"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true" shrinkToFit="false"/>
    </xf>
    <xf xfId="0" fontId="4" numFmtId="0" fillId="0" borderId="0" applyFont="1" applyNumberFormat="0" applyFill="0" applyBorder="0"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0" numFmtId="0" fillId="9" borderId="0" applyFont="0" applyNumberFormat="0" applyFill="1" applyBorder="0" applyAlignment="0">
      <alignment horizontal="general" vertical="bottom" textRotation="0" wrapText="false" shrinkToFit="false"/>
    </xf>
    <xf xfId="0" fontId="0" numFmtId="0" fillId="10" borderId="0" applyFont="0" applyNumberFormat="0" applyFill="1" applyBorder="0" applyAlignment="0">
      <alignment horizontal="general" vertical="bottom" textRotation="0" wrapText="false" shrinkToFit="false"/>
    </xf>
    <xf xfId="0" fontId="0" numFmtId="0" fillId="11" borderId="0" applyFont="0" applyNumberFormat="0" applyFill="1" applyBorder="0" applyAlignment="0">
      <alignment horizontal="general" vertical="bottom" textRotation="0" wrapText="false" shrinkToFit="false"/>
    </xf>
    <xf xfId="0" fontId="0" numFmtId="2"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Dimension'!$B$1</c:f>
              <c:strCache>
                <c:ptCount val="1"/>
              </c:strCache>
            </c:strRef>
          </c:tx>
          <c:invertIfNegative val="0"/>
          <c:cat>
            <c:strRef>
              <c:f>'Por Valoracion (3) Dimension'!$K$19:$K$21</c:f>
              <c:strCache>
                <c:ptCount val="6"/>
              </c:strCache>
            </c:strRef>
          </c:cat>
          <c:val>
            <c:numRef>
              <c:f>'Por Valoracion (3) Dimension'!$O$19:$O$21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Dimension'!$B$1</c:f>
              <c:strCache>
                <c:ptCount val="1"/>
              </c:strCache>
            </c:strRef>
          </c:tx>
          <c:invertIfNegative val="0"/>
          <c:cat>
            <c:strRef>
              <c:f>'Por Valoracion (3) Dimension'!$W$19:$W$21</c:f>
              <c:strCache>
                <c:ptCount val="6"/>
              </c:strCache>
            </c:strRef>
          </c:cat>
          <c:val>
            <c:numRef>
              <c:f>'Por Valoracion (3) Dimension'!$AA$19:$AA$21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item'!$D$8:$D$12</c:f>
              <c:strCache>
                <c:ptCount val="6"/>
              </c:strCache>
            </c:strRef>
          </c:cat>
          <c:val>
            <c:numRef>
              <c:f>'Tabulacion por item'!$F$8:$F$12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item'!$M$8:$M$12</c:f>
              <c:strCache>
                <c:ptCount val="6"/>
              </c:strCache>
            </c:strRef>
          </c:cat>
          <c:val>
            <c:numRef>
              <c:f>'Tabulacion por item'!$O$8:$O$12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item'!$V$8:$V$12</c:f>
              <c:strCache>
                <c:ptCount val="6"/>
              </c:strCache>
            </c:strRef>
          </c:cat>
          <c:val>
            <c:numRef>
              <c:f>'Tabulacion por item'!$X$8:$X$12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item'!$AE$8:$AE$12</c:f>
              <c:strCache>
                <c:ptCount val="6"/>
              </c:strCache>
            </c:strRef>
          </c:cat>
          <c:val>
            <c:numRef>
              <c:f>'Tabulacion por item'!$AG$8:$AG$12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item'!$AN$8:$AN$12</c:f>
              <c:strCache>
                <c:ptCount val="6"/>
              </c:strCache>
            </c:strRef>
          </c:cat>
          <c:val>
            <c:numRef>
              <c:f>'Tabulacion por item'!$AP$8:$AP$12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item'!$AW$8:$AW$12</c:f>
              <c:strCache>
                <c:ptCount val="6"/>
              </c:strCache>
            </c:strRef>
          </c:cat>
          <c:val>
            <c:numRef>
              <c:f>'Tabulacion por item'!$AY$8:$AY$12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item'!$BF$8:$BF$12</c:f>
              <c:strCache>
                <c:ptCount val="6"/>
              </c:strCache>
            </c:strRef>
          </c:cat>
          <c:val>
            <c:numRef>
              <c:f>'Tabulacion por item'!$BH$8:$BH$12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item'!$BO$8:$BO$12</c:f>
              <c:strCache>
                <c:ptCount val="6"/>
              </c:strCache>
            </c:strRef>
          </c:cat>
          <c:val>
            <c:numRef>
              <c:f>'Tabulacion por item'!$BQ$8:$BQ$12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item'!$BX$8:$BX$12</c:f>
              <c:strCache>
                <c:ptCount val="6"/>
              </c:strCache>
            </c:strRef>
          </c:cat>
          <c:val>
            <c:numRef>
              <c:f>'Tabulacion por item'!$BZ$8:$BZ$12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item'!$CG$8:$CG$12</c:f>
              <c:strCache>
                <c:ptCount val="6"/>
              </c:strCache>
            </c:strRef>
          </c:cat>
          <c:val>
            <c:numRef>
              <c:f>'Tabulacion por item'!$CI$8:$CI$12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item'!$CP$8:$CP$12</c:f>
              <c:strCache>
                <c:ptCount val="6"/>
              </c:strCache>
            </c:strRef>
          </c:cat>
          <c:val>
            <c:numRef>
              <c:f>'Tabulacion por item'!$CR$8:$CR$12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item'!$CY$8:$CY$12</c:f>
              <c:strCache>
                <c:ptCount val="6"/>
              </c:strCache>
            </c:strRef>
          </c:cat>
          <c:val>
            <c:numRef>
              <c:f>'Tabulacion por item'!$DA$8:$DA$12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item'!$DH$8:$DH$12</c:f>
              <c:strCache>
                <c:ptCount val="6"/>
              </c:strCache>
            </c:strRef>
          </c:cat>
          <c:val>
            <c:numRef>
              <c:f>'Tabulacion por item'!$DJ$8:$DJ$12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item'!$DQ$8:$DQ$12</c:f>
              <c:strCache>
                <c:ptCount val="6"/>
              </c:strCache>
            </c:strRef>
          </c:cat>
          <c:val>
            <c:numRef>
              <c:f>'Tabulacion por item'!$DS$8:$DS$12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item'!$DZ$8:$DZ$12</c:f>
              <c:strCache>
                <c:ptCount val="6"/>
              </c:strCache>
            </c:strRef>
          </c:cat>
          <c:val>
            <c:numRef>
              <c:f>'Tabulacion por item'!$EB$8:$EB$12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item'!$EI$8:$EI$12</c:f>
              <c:strCache>
                <c:ptCount val="6"/>
              </c:strCache>
            </c:strRef>
          </c:cat>
          <c:val>
            <c:numRef>
              <c:f>'Tabulacion por item'!$EK$8:$EK$12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item'!$ER$8:$ER$12</c:f>
              <c:strCache>
                <c:ptCount val="6"/>
              </c:strCache>
            </c:strRef>
          </c:cat>
          <c:val>
            <c:numRef>
              <c:f>'Tabulacion por item'!$ET$8:$ET$12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item'!$FA$8:$FA$12</c:f>
              <c:strCache>
                <c:ptCount val="6"/>
              </c:strCache>
            </c:strRef>
          </c:cat>
          <c:val>
            <c:numRef>
              <c:f>'Tabulacion por item'!$FC$8:$FC$12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item'!$FJ$8:$FJ$12</c:f>
              <c:strCache>
                <c:ptCount val="6"/>
              </c:strCache>
            </c:strRef>
          </c:cat>
          <c:val>
            <c:numRef>
              <c:f>'Tabulacion por item'!$FL$8:$FL$12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item'!$FS$8:$FS$12</c:f>
              <c:strCache>
                <c:ptCount val="6"/>
              </c:strCache>
            </c:strRef>
          </c:cat>
          <c:val>
            <c:numRef>
              <c:f>'Tabulacion por item'!$FU$8:$FU$12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item'!$GB$8:$GB$12</c:f>
              <c:strCache>
                <c:ptCount val="6"/>
              </c:strCache>
            </c:strRef>
          </c:cat>
          <c:val>
            <c:numRef>
              <c:f>'Tabulacion por item'!$GD$8:$GD$12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item'!$B$1</c:f>
              <c:strCache>
                <c:ptCount val="1"/>
              </c:strCache>
            </c:strRef>
          </c:tx>
          <c:invertIfNegative val="0"/>
          <c:cat>
            <c:strRef>
              <c:f>'Tabulacion por item'!$GK$8:$GK$12</c:f>
              <c:strCache>
                <c:ptCount val="6"/>
              </c:strCache>
            </c:strRef>
          </c:cat>
          <c:val>
            <c:numRef>
              <c:f>'Tabulacion por item'!$GM$8:$GM$12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Dimension'!$B$1</c:f>
              <c:strCache>
                <c:ptCount val="1"/>
              </c:strCache>
            </c:strRef>
          </c:tx>
          <c:invertIfNegative val="0"/>
          <c:cat>
            <c:strRef>
              <c:f>'Por conteo Dimension'!$D$8:$D$12</c:f>
              <c:strCache>
                <c:ptCount val="6"/>
              </c:strCache>
            </c:strRef>
          </c:cat>
          <c:val>
            <c:numRef>
              <c:f>'Por conteo Dimension'!$F$8:$F$12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Dimension'!$B$1</c:f>
              <c:strCache>
                <c:ptCount val="1"/>
              </c:strCache>
            </c:strRef>
          </c:tx>
          <c:invertIfNegative val="0"/>
          <c:cat>
            <c:strRef>
              <c:f>'Por conteo Dimension'!$M$8:$M$12</c:f>
              <c:strCache>
                <c:ptCount val="6"/>
              </c:strCache>
            </c:strRef>
          </c:cat>
          <c:val>
            <c:numRef>
              <c:f>'Por conteo Dimension'!$O$8:$O$12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 2'!$B$1</c:f>
              <c:strCache>
                <c:ptCount val="1"/>
              </c:strCache>
            </c:strRef>
          </c:tx>
          <c:invertIfNegative val="0"/>
          <c:cat>
            <c:strRef>
              <c:f>'Por Valoracion (3) Dimension 2'!$K$19:$K$21</c:f>
              <c:strCache>
                <c:ptCount val="6"/>
              </c:strCache>
            </c:strRef>
          </c:cat>
          <c:val>
            <c:numRef>
              <c:f>'Por Valoracion (3) Dimension 2'!$O$19:$O$21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Valoracion (3) Dimension 2'!$B$1</c:f>
              <c:strCache>
                <c:ptCount val="1"/>
              </c:strCache>
            </c:strRef>
          </c:tx>
          <c:invertIfNegative val="0"/>
          <c:cat>
            <c:strRef>
              <c:f>'Por Valoracion (3) Dimension 2'!$W$19:$W$21</c:f>
              <c:strCache>
                <c:ptCount val="6"/>
              </c:strCache>
            </c:strRef>
          </c:cat>
          <c:val>
            <c:numRef>
              <c:f>'Por Valoracion (3) Dimension 2'!$AA$19:$AA$21</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2'!$D$8:$D$12</c:f>
              <c:strCache>
                <c:ptCount val="6"/>
              </c:strCache>
            </c:strRef>
          </c:cat>
          <c:val>
            <c:numRef>
              <c:f>'Tabulacion por item 2'!$F$8:$F$12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2'!$M$8:$M$12</c:f>
              <c:strCache>
                <c:ptCount val="6"/>
              </c:strCache>
            </c:strRef>
          </c:cat>
          <c:val>
            <c:numRef>
              <c:f>'Tabulacion por item 2'!$O$8:$O$12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2'!$V$8:$V$12</c:f>
              <c:strCache>
                <c:ptCount val="6"/>
              </c:strCache>
            </c:strRef>
          </c:cat>
          <c:val>
            <c:numRef>
              <c:f>'Tabulacion por item 2'!$X$8:$X$12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2'!$AE$8:$AE$12</c:f>
              <c:strCache>
                <c:ptCount val="6"/>
              </c:strCache>
            </c:strRef>
          </c:cat>
          <c:val>
            <c:numRef>
              <c:f>'Tabulacion por item 2'!$AG$8:$AG$12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2'!$AN$8:$AN$12</c:f>
              <c:strCache>
                <c:ptCount val="6"/>
              </c:strCache>
            </c:strRef>
          </c:cat>
          <c:val>
            <c:numRef>
              <c:f>'Tabulacion por item 2'!$AP$8:$AP$12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2'!$AW$8:$AW$12</c:f>
              <c:strCache>
                <c:ptCount val="6"/>
              </c:strCache>
            </c:strRef>
          </c:cat>
          <c:val>
            <c:numRef>
              <c:f>'Tabulacion por item 2'!$AY$8:$AY$12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2'!$BF$8:$BF$12</c:f>
              <c:strCache>
                <c:ptCount val="6"/>
              </c:strCache>
            </c:strRef>
          </c:cat>
          <c:val>
            <c:numRef>
              <c:f>'Tabulacion por item 2'!$BH$8:$BH$12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2'!$BO$8:$BO$12</c:f>
              <c:strCache>
                <c:ptCount val="6"/>
              </c:strCache>
            </c:strRef>
          </c:cat>
          <c:val>
            <c:numRef>
              <c:f>'Tabulacion por item 2'!$BQ$8:$BQ$12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2'!$BX$8:$BX$12</c:f>
              <c:strCache>
                <c:ptCount val="6"/>
              </c:strCache>
            </c:strRef>
          </c:cat>
          <c:val>
            <c:numRef>
              <c:f>'Tabulacion por item 2'!$BZ$8:$BZ$12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2'!$CG$8:$CG$12</c:f>
              <c:strCache>
                <c:ptCount val="6"/>
              </c:strCache>
            </c:strRef>
          </c:cat>
          <c:val>
            <c:numRef>
              <c:f>'Tabulacion por item 2'!$CI$8:$CI$12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2'!$CP$8:$CP$12</c:f>
              <c:strCache>
                <c:ptCount val="6"/>
              </c:strCache>
            </c:strRef>
          </c:cat>
          <c:val>
            <c:numRef>
              <c:f>'Tabulacion por item 2'!$CR$8:$CR$12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2'!$CY$8:$CY$12</c:f>
              <c:strCache>
                <c:ptCount val="6"/>
              </c:strCache>
            </c:strRef>
          </c:cat>
          <c:val>
            <c:numRef>
              <c:f>'Tabulacion por item 2'!$DA$8:$DA$12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2'!$DH$8:$DH$12</c:f>
              <c:strCache>
                <c:ptCount val="6"/>
              </c:strCache>
            </c:strRef>
          </c:cat>
          <c:val>
            <c:numRef>
              <c:f>'Tabulacion por item 2'!$DJ$8:$DJ$12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2'!$DQ$8:$DQ$12</c:f>
              <c:strCache>
                <c:ptCount val="6"/>
              </c:strCache>
            </c:strRef>
          </c:cat>
          <c:val>
            <c:numRef>
              <c:f>'Tabulacion por item 2'!$DS$8:$DS$12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2'!$DZ$8:$DZ$12</c:f>
              <c:strCache>
                <c:ptCount val="6"/>
              </c:strCache>
            </c:strRef>
          </c:cat>
          <c:val>
            <c:numRef>
              <c:f>'Tabulacion por item 2'!$EB$8:$EB$12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2'!$EI$8:$EI$12</c:f>
              <c:strCache>
                <c:ptCount val="6"/>
              </c:strCache>
            </c:strRef>
          </c:cat>
          <c:val>
            <c:numRef>
              <c:f>'Tabulacion por item 2'!$EK$8:$EK$12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2'!$ER$8:$ER$12</c:f>
              <c:strCache>
                <c:ptCount val="6"/>
              </c:strCache>
            </c:strRef>
          </c:cat>
          <c:val>
            <c:numRef>
              <c:f>'Tabulacion por item 2'!$ET$8:$ET$12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2'!$FA$8:$FA$12</c:f>
              <c:strCache>
                <c:ptCount val="6"/>
              </c:strCache>
            </c:strRef>
          </c:cat>
          <c:val>
            <c:numRef>
              <c:f>'Tabulacion por item 2'!$FC$8:$FC$12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2'!$FJ$8:$FJ$12</c:f>
              <c:strCache>
                <c:ptCount val="6"/>
              </c:strCache>
            </c:strRef>
          </c:cat>
          <c:val>
            <c:numRef>
              <c:f>'Tabulacion por item 2'!$FL$8:$FL$12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'Tabulacion por item 2'!$B$1</c:f>
              <c:strCache>
                <c:ptCount val="1"/>
              </c:strCache>
            </c:strRef>
          </c:tx>
          <c:invertIfNegative val="0"/>
          <c:cat>
            <c:strRef>
              <c:f>'Tabulacion por item 2'!$FS$8:$FS$12</c:f>
              <c:strCache>
                <c:ptCount val="6"/>
              </c:strCache>
            </c:strRef>
          </c:cat>
          <c:val>
            <c:numRef>
              <c:f>'Tabulacion por item 2'!$FU$8:$FU$12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 2'!$B$1</c:f>
              <c:strCache>
                <c:ptCount val="1"/>
              </c:strCache>
            </c:strRef>
          </c:tx>
          <c:invertIfNegative val="0"/>
          <c:cat>
            <c:strRef>
              <c:f>'Por conteo Dimension 2'!$D$8:$D$12</c:f>
              <c:strCache>
                <c:ptCount val="6"/>
              </c:strCache>
            </c:strRef>
          </c:cat>
          <c:val>
            <c:numRef>
              <c:f>'Por conteo Dimension 2'!$F$8:$F$12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b="0" i="0" u="none" strike="noStrike">
                <a:latin typeface="Calibri"/>
              </a:rPr>
              <a:t/>
            </a:r>
          </a:p>
        </c:rich>
      </c:tx>
      <c:layout/>
      <c:overlay val="0"/>
    </c:title>
    <c:autoTitleDeleted val="0"/>
    <c:plotArea>
      <c:layout>
        <c:manualLayout/>
      </c:layout>
      <c:bar3DChart>
        <c:barDir val="col"/>
        <c:grouping val="stacked"/>
        <c:varyColors val="0"/>
        <c:ser>
          <c:idx val="0"/>
          <c:order val="0"/>
          <c:tx>
            <c:strRef>
              <c:f>'Por conteo Dimension 2'!$B$1</c:f>
              <c:strCache>
                <c:ptCount val="1"/>
              </c:strCache>
            </c:strRef>
          </c:tx>
          <c:invertIfNegative val="0"/>
          <c:cat>
            <c:strRef>
              <c:f>'Por conteo Dimension 2'!$M$8:$M$12</c:f>
              <c:strCache>
                <c:ptCount val="6"/>
              </c:strCache>
            </c:strRef>
          </c:cat>
          <c:val>
            <c:numRef>
              <c:f>'Por conteo Dimension 2'!$O$8:$O$12</c:f>
              <c:numCache>
                <c:ptCount val="4"/>
              </c:numCache>
            </c:numRef>
          </c:val>
        </c:ser>
        <c:dLbls>
          <c:showLegendKey val="0"/>
          <c:showVal val="0"/>
          <c:showCatName val="0"/>
          <c:showSerName val="0"/>
          <c:showPercent val="0"/>
          <c:showBubbleSize val="0"/>
          <c:showLeaderLines val="0"/>
        </c:dLbls>
        <c:gapWidth val="150"/>
        <c:overlap val="100"/>
        <c:axId val="75091328"/>
        <c:axId val="75089408"/>
      </c:bar3DChart>
      <c:catAx>
        <c:axId val="75091328"/>
        <c:scaling>
          <c:orientation val="minMax"/>
        </c:scaling>
        <c:delete val="0"/>
        <c:axPos val="b"/>
        <c:title>
          <c:tx>
            <c:rich>
              <a:bodyPr/>
              <a:lstStyle/>
              <a:p>
                <a:r>
                  <a:t/>
                </a:r>
              </a:p>
            </c:rich>
          </c:tx>
          <c:layout/>
          <c:overlay val="0"/>
        </c:title>
        <c:numFmt formatCode="General" sourceLinked="1"/>
        <c:majorTickMark val="none"/>
        <c:minorTickMark val="none"/>
        <c:tickLblPos val="nextTo"/>
        <c:crossAx val="75089408"/>
        <c:crosses val="autoZero"/>
        <c:auto val="1"/>
        <c:lblAlgn val="ctr"/>
        <c:lblOffset val="100"/>
      </c:catAx>
      <c:valAx>
        <c:axId val="75089408"/>
        <c:scaling>
          <c:orientation val="minMax"/>
        </c:scaling>
        <c:delete val="0"/>
        <c:axPos val="l"/>
        <c:majorGridlines>
          <c:spPr>
            <a:effectLst/>
          </c:spPr>
        </c:majorGridlines>
        <c:title>
          <c:tx>
            <c:rich>
              <a:bodyPr/>
              <a:lstStyle/>
              <a:p>
                <a:r>
                  <a:t/>
                </a:r>
              </a:p>
            </c:rich>
          </c:tx>
          <c:layout/>
          <c:overlay val="0"/>
        </c:title>
        <c:numFmt formatCode="General" sourceLinked="1"/>
        <c:majorTickMark val="none"/>
        <c:minorTickMark val="none"/>
        <c:tickLblPos val="nextTo"/>
        <c:spPr>
          <a:ln w="9525" cap="flat" cmpd="sng">
            <a:prstDash val="solid"/>
            <a:bevel/>
          </a:ln>
          <a:effectLst/>
        </c:spPr>
        <c:crossAx val="75089408"/>
        <c:crosses val="autoZero"/>
        <c:crossBetween val="midCat"/>
      </c:valAx>
    </c:plotArea>
    <c:legend>
      <c:legendPos val="r"/>
      <c:layout/>
      <c:overlay val="0"/>
      <c:txPr>
        <a:bodyPr/>
        <a:lstStyle/>
        <a:p>
          <a:pPr rtl="0">
            <a:defRPr/>
          </a:pPr>
          <a:endParaRPr lang="en-US"/>
        </a:p>
      </c:txPr>
    </c:legend>
    <c:plotVisOnly val="1"/>
    <c:dispBlanksAs val="gap"/>
    <c:showDLblsOverMax val="0"/>
  </c:chart>
  <c:printSettings>
    <c:headerFooter/>
    <c:pageMargins footer="0.3" header="0.3" r="0.7" l="0.7" t="0.75" b="0.75"/>
    <c:pageSetup orientation="portrait"/>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Relationship Id="rId6" Type="http://schemas.openxmlformats.org/officeDocument/2006/relationships/chart" Target="../charts/chart8.xml"/><Relationship Id="rId7" Type="http://schemas.openxmlformats.org/officeDocument/2006/relationships/chart" Target="../charts/chart9.xml"/><Relationship Id="rId8" Type="http://schemas.openxmlformats.org/officeDocument/2006/relationships/chart" Target="../charts/chart10.xml"/><Relationship Id="rId9" Type="http://schemas.openxmlformats.org/officeDocument/2006/relationships/chart" Target="../charts/chart11.xml"/><Relationship Id="rId10" Type="http://schemas.openxmlformats.org/officeDocument/2006/relationships/chart" Target="../charts/chart12.xml"/><Relationship Id="rId11" Type="http://schemas.openxmlformats.org/officeDocument/2006/relationships/chart" Target="../charts/chart13.xml"/><Relationship Id="rId12" Type="http://schemas.openxmlformats.org/officeDocument/2006/relationships/chart" Target="../charts/chart14.xml"/><Relationship Id="rId13" Type="http://schemas.openxmlformats.org/officeDocument/2006/relationships/chart" Target="../charts/chart15.xml"/><Relationship Id="rId14" Type="http://schemas.openxmlformats.org/officeDocument/2006/relationships/chart" Target="../charts/chart16.xml"/><Relationship Id="rId15" Type="http://schemas.openxmlformats.org/officeDocument/2006/relationships/chart" Target="../charts/chart17.xml"/><Relationship Id="rId16" Type="http://schemas.openxmlformats.org/officeDocument/2006/relationships/chart" Target="../charts/chart18.xml"/><Relationship Id="rId17" Type="http://schemas.openxmlformats.org/officeDocument/2006/relationships/chart" Target="../charts/chart19.xml"/><Relationship Id="rId18" Type="http://schemas.openxmlformats.org/officeDocument/2006/relationships/chart" Target="../charts/chart20.xml"/><Relationship Id="rId19" Type="http://schemas.openxmlformats.org/officeDocument/2006/relationships/chart" Target="../charts/chart21.xml"/><Relationship Id="rId20" Type="http://schemas.openxmlformats.org/officeDocument/2006/relationships/chart" Target="../charts/chart22.xml"/><Relationship Id="rId21" Type="http://schemas.openxmlformats.org/officeDocument/2006/relationships/chart" Target="../charts/chart23.xml"/><Relationship Id="rId22" Type="http://schemas.openxmlformats.org/officeDocument/2006/relationships/chart" Target="../charts/chart2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7.xml"/><Relationship Id="rId2"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 Id="rId3" Type="http://schemas.openxmlformats.org/officeDocument/2006/relationships/chart" Target="../charts/chart31.xml"/><Relationship Id="rId4" Type="http://schemas.openxmlformats.org/officeDocument/2006/relationships/chart" Target="../charts/chart32.xml"/><Relationship Id="rId5" Type="http://schemas.openxmlformats.org/officeDocument/2006/relationships/chart" Target="../charts/chart33.xml"/><Relationship Id="rId6" Type="http://schemas.openxmlformats.org/officeDocument/2006/relationships/chart" Target="../charts/chart34.xml"/><Relationship Id="rId7" Type="http://schemas.openxmlformats.org/officeDocument/2006/relationships/chart" Target="../charts/chart35.xml"/><Relationship Id="rId8" Type="http://schemas.openxmlformats.org/officeDocument/2006/relationships/chart" Target="../charts/chart36.xml"/><Relationship Id="rId9" Type="http://schemas.openxmlformats.org/officeDocument/2006/relationships/chart" Target="../charts/chart37.xml"/><Relationship Id="rId10" Type="http://schemas.openxmlformats.org/officeDocument/2006/relationships/chart" Target="../charts/chart38.xml"/><Relationship Id="rId11" Type="http://schemas.openxmlformats.org/officeDocument/2006/relationships/chart" Target="../charts/chart39.xml"/><Relationship Id="rId12" Type="http://schemas.openxmlformats.org/officeDocument/2006/relationships/chart" Target="../charts/chart40.xml"/><Relationship Id="rId13" Type="http://schemas.openxmlformats.org/officeDocument/2006/relationships/chart" Target="../charts/chart41.xml"/><Relationship Id="rId14" Type="http://schemas.openxmlformats.org/officeDocument/2006/relationships/chart" Target="../charts/chart42.xml"/><Relationship Id="rId15" Type="http://schemas.openxmlformats.org/officeDocument/2006/relationships/chart" Target="../charts/chart43.xml"/><Relationship Id="rId16" Type="http://schemas.openxmlformats.org/officeDocument/2006/relationships/chart" Target="../charts/chart44.xml"/><Relationship Id="rId17" Type="http://schemas.openxmlformats.org/officeDocument/2006/relationships/chart" Target="../charts/chart45.xml"/><Relationship Id="rId18" Type="http://schemas.openxmlformats.org/officeDocument/2006/relationships/chart" Target="../charts/chart46.xml"/><Relationship Id="rId19" Type="http://schemas.openxmlformats.org/officeDocument/2006/relationships/chart" Target="../charts/chart47.xml"/><Relationship Id="rId20" Type="http://schemas.openxmlformats.org/officeDocument/2006/relationships/chart" Target="../charts/chart4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9.xml"/><Relationship Id="rId2" Type="http://schemas.openxmlformats.org/officeDocument/2006/relationships/chart" Target="../charts/chart50.xml"/></Relationships>
</file>

<file path=xl/drawings/drawing2.xml><?xml version="1.0" encoding="utf-8"?>
<xdr:wsDr xmlns:xdr="http://schemas.openxmlformats.org/drawingml/2006/spreadsheetDrawing" xmlns:a="http://schemas.openxmlformats.org/drawingml/2006/main">
  <xdr:twoCellAnchor>
    <xdr:from>
      <xdr:col>10</xdr:col>
      <xdr:colOff>0</xdr:colOff>
      <xdr:row>25</xdr:row>
      <xdr:rowOff>0</xdr:rowOff>
    </xdr:from>
    <xdr:to>
      <xdr:col>15</xdr:col>
      <xdr:colOff>95250</xdr:colOff>
      <xdr:row>41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25</xdr:row>
      <xdr:rowOff>0</xdr:rowOff>
    </xdr:from>
    <xdr:to>
      <xdr:col>27</xdr:col>
      <xdr:colOff>95250</xdr:colOff>
      <xdr:row>41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0</xdr:colOff>
      <xdr:row>17</xdr:row>
      <xdr:rowOff>0</xdr:rowOff>
    </xdr:from>
    <xdr:to>
      <xdr:col>42</xdr:col>
      <xdr:colOff>95250</xdr:colOff>
      <xdr:row>31</xdr:row>
      <xdr:rowOff>95250</xdr:rowOff>
    </xdr:to>
    <xdr:graphicFrame macro="">
      <xdr:nvGraphicFramePr>
        <xdr:cNvPr name="Chart 5" id="51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0</xdr:colOff>
      <xdr:row>17</xdr:row>
      <xdr:rowOff>0</xdr:rowOff>
    </xdr:from>
    <xdr:to>
      <xdr:col>51</xdr:col>
      <xdr:colOff>95250</xdr:colOff>
      <xdr:row>31</xdr:row>
      <xdr:rowOff>95250</xdr:rowOff>
    </xdr:to>
    <xdr:graphicFrame macro="">
      <xdr:nvGraphicFramePr>
        <xdr:cNvPr name="Chart 6" id="61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57</xdr:col>
      <xdr:colOff>0</xdr:colOff>
      <xdr:row>17</xdr:row>
      <xdr:rowOff>0</xdr:rowOff>
    </xdr:from>
    <xdr:to>
      <xdr:col>60</xdr:col>
      <xdr:colOff>95250</xdr:colOff>
      <xdr:row>31</xdr:row>
      <xdr:rowOff>95250</xdr:rowOff>
    </xdr:to>
    <xdr:graphicFrame macro="">
      <xdr:nvGraphicFramePr>
        <xdr:cNvPr name="Chart 7" id="71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66</xdr:col>
      <xdr:colOff>0</xdr:colOff>
      <xdr:row>17</xdr:row>
      <xdr:rowOff>0</xdr:rowOff>
    </xdr:from>
    <xdr:to>
      <xdr:col>69</xdr:col>
      <xdr:colOff>95250</xdr:colOff>
      <xdr:row>31</xdr:row>
      <xdr:rowOff>95250</xdr:rowOff>
    </xdr:to>
    <xdr:graphicFrame macro="">
      <xdr:nvGraphicFramePr>
        <xdr:cNvPr name="Chart 8" id="82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75</xdr:col>
      <xdr:colOff>0</xdr:colOff>
      <xdr:row>17</xdr:row>
      <xdr:rowOff>0</xdr:rowOff>
    </xdr:from>
    <xdr:to>
      <xdr:col>78</xdr:col>
      <xdr:colOff>95250</xdr:colOff>
      <xdr:row>31</xdr:row>
      <xdr:rowOff>95250</xdr:rowOff>
    </xdr:to>
    <xdr:graphicFrame macro="">
      <xdr:nvGraphicFramePr>
        <xdr:cNvPr name="Chart 9" id="92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84</xdr:col>
      <xdr:colOff>0</xdr:colOff>
      <xdr:row>17</xdr:row>
      <xdr:rowOff>0</xdr:rowOff>
    </xdr:from>
    <xdr:to>
      <xdr:col>87</xdr:col>
      <xdr:colOff>95250</xdr:colOff>
      <xdr:row>31</xdr:row>
      <xdr:rowOff>95250</xdr:rowOff>
    </xdr:to>
    <xdr:graphicFrame macro="">
      <xdr:nvGraphicFramePr>
        <xdr:cNvPr name="Chart 10" id="102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93</xdr:col>
      <xdr:colOff>0</xdr:colOff>
      <xdr:row>17</xdr:row>
      <xdr:rowOff>0</xdr:rowOff>
    </xdr:from>
    <xdr:to>
      <xdr:col>96</xdr:col>
      <xdr:colOff>95250</xdr:colOff>
      <xdr:row>31</xdr:row>
      <xdr:rowOff>95250</xdr:rowOff>
    </xdr:to>
    <xdr:graphicFrame macro="">
      <xdr:nvGraphicFramePr>
        <xdr:cNvPr name="Chart 11" id="112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102</xdr:col>
      <xdr:colOff>0</xdr:colOff>
      <xdr:row>17</xdr:row>
      <xdr:rowOff>0</xdr:rowOff>
    </xdr:from>
    <xdr:to>
      <xdr:col>105</xdr:col>
      <xdr:colOff>95250</xdr:colOff>
      <xdr:row>31</xdr:row>
      <xdr:rowOff>95250</xdr:rowOff>
    </xdr:to>
    <xdr:graphicFrame macro="">
      <xdr:nvGraphicFramePr>
        <xdr:cNvPr name="Chart 12" id="123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111</xdr:col>
      <xdr:colOff>0</xdr:colOff>
      <xdr:row>17</xdr:row>
      <xdr:rowOff>0</xdr:rowOff>
    </xdr:from>
    <xdr:to>
      <xdr:col>114</xdr:col>
      <xdr:colOff>95250</xdr:colOff>
      <xdr:row>31</xdr:row>
      <xdr:rowOff>95250</xdr:rowOff>
    </xdr:to>
    <xdr:graphicFrame macro="">
      <xdr:nvGraphicFramePr>
        <xdr:cNvPr name="Chart 13" id="133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120</xdr:col>
      <xdr:colOff>0</xdr:colOff>
      <xdr:row>17</xdr:row>
      <xdr:rowOff>0</xdr:rowOff>
    </xdr:from>
    <xdr:to>
      <xdr:col>123</xdr:col>
      <xdr:colOff>95250</xdr:colOff>
      <xdr:row>31</xdr:row>
      <xdr:rowOff>95250</xdr:rowOff>
    </xdr:to>
    <xdr:graphicFrame macro="">
      <xdr:nvGraphicFramePr>
        <xdr:cNvPr name="Chart 14" id="143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129</xdr:col>
      <xdr:colOff>0</xdr:colOff>
      <xdr:row>17</xdr:row>
      <xdr:rowOff>0</xdr:rowOff>
    </xdr:from>
    <xdr:to>
      <xdr:col>132</xdr:col>
      <xdr:colOff>95250</xdr:colOff>
      <xdr:row>31</xdr:row>
      <xdr:rowOff>95250</xdr:rowOff>
    </xdr:to>
    <xdr:graphicFrame macro="">
      <xdr:nvGraphicFramePr>
        <xdr:cNvPr name="Chart 15" id="153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138</xdr:col>
      <xdr:colOff>0</xdr:colOff>
      <xdr:row>17</xdr:row>
      <xdr:rowOff>0</xdr:rowOff>
    </xdr:from>
    <xdr:to>
      <xdr:col>141</xdr:col>
      <xdr:colOff>95250</xdr:colOff>
      <xdr:row>31</xdr:row>
      <xdr:rowOff>95250</xdr:rowOff>
    </xdr:to>
    <xdr:graphicFrame macro="">
      <xdr:nvGraphicFramePr>
        <xdr:cNvPr name="Chart 16" id="164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147</xdr:col>
      <xdr:colOff>0</xdr:colOff>
      <xdr:row>17</xdr:row>
      <xdr:rowOff>0</xdr:rowOff>
    </xdr:from>
    <xdr:to>
      <xdr:col>150</xdr:col>
      <xdr:colOff>95250</xdr:colOff>
      <xdr:row>31</xdr:row>
      <xdr:rowOff>95250</xdr:rowOff>
    </xdr:to>
    <xdr:graphicFrame macro="">
      <xdr:nvGraphicFramePr>
        <xdr:cNvPr name="Chart 17" id="174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156</xdr:col>
      <xdr:colOff>0</xdr:colOff>
      <xdr:row>17</xdr:row>
      <xdr:rowOff>0</xdr:rowOff>
    </xdr:from>
    <xdr:to>
      <xdr:col>159</xdr:col>
      <xdr:colOff>95250</xdr:colOff>
      <xdr:row>31</xdr:row>
      <xdr:rowOff>95250</xdr:rowOff>
    </xdr:to>
    <xdr:graphicFrame macro="">
      <xdr:nvGraphicFramePr>
        <xdr:cNvPr name="Chart 18" id="184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165</xdr:col>
      <xdr:colOff>0</xdr:colOff>
      <xdr:row>17</xdr:row>
      <xdr:rowOff>0</xdr:rowOff>
    </xdr:from>
    <xdr:to>
      <xdr:col>168</xdr:col>
      <xdr:colOff>95250</xdr:colOff>
      <xdr:row>31</xdr:row>
      <xdr:rowOff>95250</xdr:rowOff>
    </xdr:to>
    <xdr:graphicFrame macro="">
      <xdr:nvGraphicFramePr>
        <xdr:cNvPr name="Chart 19" id="194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174</xdr:col>
      <xdr:colOff>0</xdr:colOff>
      <xdr:row>17</xdr:row>
      <xdr:rowOff>0</xdr:rowOff>
    </xdr:from>
    <xdr:to>
      <xdr:col>177</xdr:col>
      <xdr:colOff>95250</xdr:colOff>
      <xdr:row>31</xdr:row>
      <xdr:rowOff>95250</xdr:rowOff>
    </xdr:to>
    <xdr:graphicFrame macro="">
      <xdr:nvGraphicFramePr>
        <xdr:cNvPr name="Chart 20" id="205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183</xdr:col>
      <xdr:colOff>0</xdr:colOff>
      <xdr:row>17</xdr:row>
      <xdr:rowOff>0</xdr:rowOff>
    </xdr:from>
    <xdr:to>
      <xdr:col>186</xdr:col>
      <xdr:colOff>95250</xdr:colOff>
      <xdr:row>31</xdr:row>
      <xdr:rowOff>95250</xdr:rowOff>
    </xdr:to>
    <xdr:graphicFrame macro="">
      <xdr:nvGraphicFramePr>
        <xdr:cNvPr name="Chart 21" id="215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192</xdr:col>
      <xdr:colOff>0</xdr:colOff>
      <xdr:row>17</xdr:row>
      <xdr:rowOff>0</xdr:rowOff>
    </xdr:from>
    <xdr:to>
      <xdr:col>195</xdr:col>
      <xdr:colOff>95250</xdr:colOff>
      <xdr:row>31</xdr:row>
      <xdr:rowOff>95250</xdr:rowOff>
    </xdr:to>
    <xdr:graphicFrame macro="">
      <xdr:nvGraphicFramePr>
        <xdr:cNvPr name="Chart 22" id="225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0</xdr:colOff>
      <xdr:row>25</xdr:row>
      <xdr:rowOff>0</xdr:rowOff>
    </xdr:from>
    <xdr:to>
      <xdr:col>15</xdr:col>
      <xdr:colOff>95250</xdr:colOff>
      <xdr:row>41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25</xdr:row>
      <xdr:rowOff>0</xdr:rowOff>
    </xdr:from>
    <xdr:to>
      <xdr:col>27</xdr:col>
      <xdr:colOff>95250</xdr:colOff>
      <xdr:row>41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name="Chart 3" id="30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name="Chart 4" id="41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0</xdr:colOff>
      <xdr:row>17</xdr:row>
      <xdr:rowOff>0</xdr:rowOff>
    </xdr:from>
    <xdr:to>
      <xdr:col>42</xdr:col>
      <xdr:colOff>95250</xdr:colOff>
      <xdr:row>31</xdr:row>
      <xdr:rowOff>95250</xdr:rowOff>
    </xdr:to>
    <xdr:graphicFrame macro="">
      <xdr:nvGraphicFramePr>
        <xdr:cNvPr name="Chart 5" id="51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0</xdr:colOff>
      <xdr:row>17</xdr:row>
      <xdr:rowOff>0</xdr:rowOff>
    </xdr:from>
    <xdr:to>
      <xdr:col>51</xdr:col>
      <xdr:colOff>95250</xdr:colOff>
      <xdr:row>31</xdr:row>
      <xdr:rowOff>95250</xdr:rowOff>
    </xdr:to>
    <xdr:graphicFrame macro="">
      <xdr:nvGraphicFramePr>
        <xdr:cNvPr name="Chart 6" id="61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57</xdr:col>
      <xdr:colOff>0</xdr:colOff>
      <xdr:row>17</xdr:row>
      <xdr:rowOff>0</xdr:rowOff>
    </xdr:from>
    <xdr:to>
      <xdr:col>60</xdr:col>
      <xdr:colOff>95250</xdr:colOff>
      <xdr:row>31</xdr:row>
      <xdr:rowOff>95250</xdr:rowOff>
    </xdr:to>
    <xdr:graphicFrame macro="">
      <xdr:nvGraphicFramePr>
        <xdr:cNvPr name="Chart 7" id="71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66</xdr:col>
      <xdr:colOff>0</xdr:colOff>
      <xdr:row>17</xdr:row>
      <xdr:rowOff>0</xdr:rowOff>
    </xdr:from>
    <xdr:to>
      <xdr:col>69</xdr:col>
      <xdr:colOff>95250</xdr:colOff>
      <xdr:row>31</xdr:row>
      <xdr:rowOff>95250</xdr:rowOff>
    </xdr:to>
    <xdr:graphicFrame macro="">
      <xdr:nvGraphicFramePr>
        <xdr:cNvPr name="Chart 8" id="82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75</xdr:col>
      <xdr:colOff>0</xdr:colOff>
      <xdr:row>17</xdr:row>
      <xdr:rowOff>0</xdr:rowOff>
    </xdr:from>
    <xdr:to>
      <xdr:col>78</xdr:col>
      <xdr:colOff>95250</xdr:colOff>
      <xdr:row>31</xdr:row>
      <xdr:rowOff>95250</xdr:rowOff>
    </xdr:to>
    <xdr:graphicFrame macro="">
      <xdr:nvGraphicFramePr>
        <xdr:cNvPr name="Chart 9" id="92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84</xdr:col>
      <xdr:colOff>0</xdr:colOff>
      <xdr:row>17</xdr:row>
      <xdr:rowOff>0</xdr:rowOff>
    </xdr:from>
    <xdr:to>
      <xdr:col>87</xdr:col>
      <xdr:colOff>95250</xdr:colOff>
      <xdr:row>31</xdr:row>
      <xdr:rowOff>95250</xdr:rowOff>
    </xdr:to>
    <xdr:graphicFrame macro="">
      <xdr:nvGraphicFramePr>
        <xdr:cNvPr name="Chart 10" id="102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93</xdr:col>
      <xdr:colOff>0</xdr:colOff>
      <xdr:row>17</xdr:row>
      <xdr:rowOff>0</xdr:rowOff>
    </xdr:from>
    <xdr:to>
      <xdr:col>96</xdr:col>
      <xdr:colOff>95250</xdr:colOff>
      <xdr:row>31</xdr:row>
      <xdr:rowOff>95250</xdr:rowOff>
    </xdr:to>
    <xdr:graphicFrame macro="">
      <xdr:nvGraphicFramePr>
        <xdr:cNvPr name="Chart 11" id="112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102</xdr:col>
      <xdr:colOff>0</xdr:colOff>
      <xdr:row>17</xdr:row>
      <xdr:rowOff>0</xdr:rowOff>
    </xdr:from>
    <xdr:to>
      <xdr:col>105</xdr:col>
      <xdr:colOff>95250</xdr:colOff>
      <xdr:row>31</xdr:row>
      <xdr:rowOff>95250</xdr:rowOff>
    </xdr:to>
    <xdr:graphicFrame macro="">
      <xdr:nvGraphicFramePr>
        <xdr:cNvPr name="Chart 12" id="123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111</xdr:col>
      <xdr:colOff>0</xdr:colOff>
      <xdr:row>17</xdr:row>
      <xdr:rowOff>0</xdr:rowOff>
    </xdr:from>
    <xdr:to>
      <xdr:col>114</xdr:col>
      <xdr:colOff>95250</xdr:colOff>
      <xdr:row>31</xdr:row>
      <xdr:rowOff>95250</xdr:rowOff>
    </xdr:to>
    <xdr:graphicFrame macro="">
      <xdr:nvGraphicFramePr>
        <xdr:cNvPr name="Chart 13" id="133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120</xdr:col>
      <xdr:colOff>0</xdr:colOff>
      <xdr:row>17</xdr:row>
      <xdr:rowOff>0</xdr:rowOff>
    </xdr:from>
    <xdr:to>
      <xdr:col>123</xdr:col>
      <xdr:colOff>95250</xdr:colOff>
      <xdr:row>31</xdr:row>
      <xdr:rowOff>95250</xdr:rowOff>
    </xdr:to>
    <xdr:graphicFrame macro="">
      <xdr:nvGraphicFramePr>
        <xdr:cNvPr name="Chart 14" id="143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129</xdr:col>
      <xdr:colOff>0</xdr:colOff>
      <xdr:row>17</xdr:row>
      <xdr:rowOff>0</xdr:rowOff>
    </xdr:from>
    <xdr:to>
      <xdr:col>132</xdr:col>
      <xdr:colOff>95250</xdr:colOff>
      <xdr:row>31</xdr:row>
      <xdr:rowOff>95250</xdr:rowOff>
    </xdr:to>
    <xdr:graphicFrame macro="">
      <xdr:nvGraphicFramePr>
        <xdr:cNvPr name="Chart 15" id="153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138</xdr:col>
      <xdr:colOff>0</xdr:colOff>
      <xdr:row>17</xdr:row>
      <xdr:rowOff>0</xdr:rowOff>
    </xdr:from>
    <xdr:to>
      <xdr:col>141</xdr:col>
      <xdr:colOff>95250</xdr:colOff>
      <xdr:row>31</xdr:row>
      <xdr:rowOff>95250</xdr:rowOff>
    </xdr:to>
    <xdr:graphicFrame macro="">
      <xdr:nvGraphicFramePr>
        <xdr:cNvPr name="Chart 16" id="164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147</xdr:col>
      <xdr:colOff>0</xdr:colOff>
      <xdr:row>17</xdr:row>
      <xdr:rowOff>0</xdr:rowOff>
    </xdr:from>
    <xdr:to>
      <xdr:col>150</xdr:col>
      <xdr:colOff>95250</xdr:colOff>
      <xdr:row>31</xdr:row>
      <xdr:rowOff>95250</xdr:rowOff>
    </xdr:to>
    <xdr:graphicFrame macro="">
      <xdr:nvGraphicFramePr>
        <xdr:cNvPr name="Chart 17" id="174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156</xdr:col>
      <xdr:colOff>0</xdr:colOff>
      <xdr:row>17</xdr:row>
      <xdr:rowOff>0</xdr:rowOff>
    </xdr:from>
    <xdr:to>
      <xdr:col>159</xdr:col>
      <xdr:colOff>95250</xdr:colOff>
      <xdr:row>31</xdr:row>
      <xdr:rowOff>95250</xdr:rowOff>
    </xdr:to>
    <xdr:graphicFrame macro="">
      <xdr:nvGraphicFramePr>
        <xdr:cNvPr name="Chart 18" id="184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165</xdr:col>
      <xdr:colOff>0</xdr:colOff>
      <xdr:row>17</xdr:row>
      <xdr:rowOff>0</xdr:rowOff>
    </xdr:from>
    <xdr:to>
      <xdr:col>168</xdr:col>
      <xdr:colOff>95250</xdr:colOff>
      <xdr:row>31</xdr:row>
      <xdr:rowOff>95250</xdr:rowOff>
    </xdr:to>
    <xdr:graphicFrame macro="">
      <xdr:nvGraphicFramePr>
        <xdr:cNvPr name="Chart 19" id="194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174</xdr:col>
      <xdr:colOff>0</xdr:colOff>
      <xdr:row>17</xdr:row>
      <xdr:rowOff>0</xdr:rowOff>
    </xdr:from>
    <xdr:to>
      <xdr:col>177</xdr:col>
      <xdr:colOff>95250</xdr:colOff>
      <xdr:row>31</xdr:row>
      <xdr:rowOff>95250</xdr:rowOff>
    </xdr:to>
    <xdr:graphicFrame macro="">
      <xdr:nvGraphicFramePr>
        <xdr:cNvPr name="Chart 20" id="2050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name="Chart 1" id="10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name="Chart 2" id="20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Y1031"/>
  <sheetViews>
    <sheetView tabSelected="0" workbookViewId="0" showGridLines="true" showRowColHeaders="1">
      <selection activeCell="W1031" sqref="W1031"/>
    </sheetView>
  </sheetViews>
  <sheetFormatPr defaultRowHeight="14.4" outlineLevelRow="0" outlineLevelCol="0"/>
  <sheetData>
    <row r="1" spans="1:25">
      <c r="A1" s="1" t="s">
        <v>0</v>
      </c>
      <c r="B1" s="1"/>
      <c r="C1" s="1"/>
      <c r="D1" s="1"/>
      <c r="E1" s="1"/>
      <c r="F1" s="1"/>
      <c r="G1" s="1"/>
      <c r="H1" s="1"/>
      <c r="I1" s="1"/>
      <c r="J1" s="1"/>
      <c r="K1" s="1"/>
      <c r="L1" s="1"/>
      <c r="M1" s="1"/>
      <c r="N1" s="1"/>
      <c r="O1" s="1"/>
      <c r="P1" s="1"/>
      <c r="Q1" s="1"/>
      <c r="R1" s="1"/>
      <c r="S1" s="1"/>
      <c r="T1" s="1"/>
      <c r="U1" s="1"/>
      <c r="V1" s="1"/>
      <c r="W1" s="1"/>
      <c r="X1" s="1"/>
      <c r="Y1" s="1"/>
    </row>
    <row r="2" spans="1:25">
      <c r="A2" s="1"/>
      <c r="B2" s="1"/>
      <c r="C2" s="1"/>
      <c r="D2" s="1"/>
      <c r="E2" s="1"/>
      <c r="F2" s="1"/>
      <c r="G2" s="1"/>
      <c r="H2" s="1"/>
      <c r="I2" s="1"/>
      <c r="J2" s="1"/>
      <c r="K2" s="1"/>
      <c r="L2" s="1"/>
      <c r="M2" s="1"/>
      <c r="N2" s="1"/>
      <c r="O2" s="1"/>
      <c r="P2" s="1"/>
      <c r="Q2" s="1"/>
      <c r="R2" s="1"/>
      <c r="S2" s="1"/>
      <c r="T2" s="1"/>
      <c r="U2" s="1"/>
      <c r="V2" s="1"/>
      <c r="W2" s="1"/>
      <c r="X2" s="1"/>
      <c r="Y2" s="1"/>
    </row>
    <row r="3" spans="1:25">
      <c r="B3" s="3" t="s">
        <v>1</v>
      </c>
      <c r="C3" s="3"/>
      <c r="D3" s="3"/>
      <c r="E3" s="3"/>
      <c r="F3" s="3"/>
      <c r="G3" s="3"/>
      <c r="H3" s="3"/>
      <c r="I3" s="3"/>
      <c r="J3" s="3"/>
      <c r="K3" s="3"/>
      <c r="L3" s="3"/>
      <c r="M3" s="3"/>
      <c r="N3" s="3"/>
      <c r="O3" s="3"/>
      <c r="P3" s="3"/>
      <c r="Q3" s="3"/>
      <c r="R3" s="3"/>
      <c r="S3" s="3"/>
      <c r="T3" s="3"/>
      <c r="U3" s="3"/>
      <c r="V3" s="3"/>
      <c r="W3" s="3"/>
      <c r="X3" s="3" t="s">
        <v>2</v>
      </c>
      <c r="Y3" s="3" t="s">
        <v>3</v>
      </c>
    </row>
    <row r="4" spans="1:25">
      <c r="B4" s="2" t="s">
        <v>4</v>
      </c>
      <c r="C4" s="2" t="s">
        <v>5</v>
      </c>
      <c r="D4" s="2" t="s">
        <v>6</v>
      </c>
      <c r="E4" s="2" t="s">
        <v>7</v>
      </c>
      <c r="F4" s="2" t="s">
        <v>8</v>
      </c>
      <c r="G4" s="2" t="s">
        <v>9</v>
      </c>
      <c r="H4" s="2" t="s">
        <v>10</v>
      </c>
      <c r="I4" s="2" t="s">
        <v>11</v>
      </c>
      <c r="J4" s="2" t="s">
        <v>12</v>
      </c>
      <c r="K4" s="2" t="s">
        <v>13</v>
      </c>
      <c r="L4" s="2" t="s">
        <v>14</v>
      </c>
      <c r="M4" s="2" t="s">
        <v>15</v>
      </c>
      <c r="N4" s="2" t="s">
        <v>16</v>
      </c>
      <c r="O4" s="2" t="s">
        <v>17</v>
      </c>
      <c r="P4" s="2" t="s">
        <v>18</v>
      </c>
      <c r="Q4" s="2" t="s">
        <v>19</v>
      </c>
      <c r="R4" s="2" t="s">
        <v>20</v>
      </c>
      <c r="S4" s="2" t="s">
        <v>21</v>
      </c>
      <c r="T4" s="2" t="s">
        <v>22</v>
      </c>
      <c r="U4" s="2" t="s">
        <v>23</v>
      </c>
      <c r="V4" s="2" t="s">
        <v>24</v>
      </c>
      <c r="W4" s="2" t="s">
        <v>25</v>
      </c>
    </row>
    <row r="5" spans="1:25">
      <c r="A5" s="4" t="s">
        <v>26</v>
      </c>
      <c r="B5" s="4">
        <v>3</v>
      </c>
      <c r="C5" s="4">
        <v>4</v>
      </c>
      <c r="D5" s="4">
        <v>5</v>
      </c>
      <c r="E5" s="4">
        <v>4</v>
      </c>
      <c r="F5" s="4">
        <v>5</v>
      </c>
      <c r="G5" s="4">
        <v>5</v>
      </c>
      <c r="H5" s="4">
        <v>5</v>
      </c>
      <c r="I5" s="4">
        <v>2</v>
      </c>
      <c r="J5" s="4">
        <v>5</v>
      </c>
      <c r="K5" s="4">
        <v>5</v>
      </c>
      <c r="L5" s="4">
        <v>3</v>
      </c>
      <c r="M5" s="4">
        <v>2</v>
      </c>
      <c r="N5" s="4">
        <v>5</v>
      </c>
      <c r="O5" s="4">
        <v>3</v>
      </c>
      <c r="P5" s="4">
        <v>5</v>
      </c>
      <c r="Q5" s="4">
        <v>1</v>
      </c>
      <c r="R5" s="4">
        <v>5</v>
      </c>
      <c r="S5" s="4">
        <v>5</v>
      </c>
      <c r="T5" s="4">
        <v>4</v>
      </c>
      <c r="U5" s="4">
        <v>5</v>
      </c>
      <c r="V5" s="4">
        <v>2</v>
      </c>
      <c r="W5" s="4">
        <v>4</v>
      </c>
      <c r="X5" s="4">
        <v>87</v>
      </c>
    </row>
    <row r="6" spans="1:25">
      <c r="A6" s="4" t="s">
        <v>27</v>
      </c>
      <c r="B6" s="4">
        <v>3</v>
      </c>
      <c r="C6" s="4">
        <v>5</v>
      </c>
      <c r="D6" s="4">
        <v>4</v>
      </c>
      <c r="E6" s="4">
        <v>3</v>
      </c>
      <c r="F6" s="4">
        <v>4</v>
      </c>
      <c r="G6" s="4">
        <v>4</v>
      </c>
      <c r="H6" s="4">
        <v>5</v>
      </c>
      <c r="I6" s="4">
        <v>2</v>
      </c>
      <c r="J6" s="4">
        <v>4</v>
      </c>
      <c r="K6" s="4">
        <v>4</v>
      </c>
      <c r="L6" s="4">
        <v>2</v>
      </c>
      <c r="M6" s="4">
        <v>2</v>
      </c>
      <c r="N6" s="4">
        <v>4</v>
      </c>
      <c r="O6" s="4">
        <v>2</v>
      </c>
      <c r="P6" s="4">
        <v>4</v>
      </c>
      <c r="Q6" s="4">
        <v>3</v>
      </c>
      <c r="R6" s="4">
        <v>3</v>
      </c>
      <c r="S6" s="4">
        <v>5</v>
      </c>
      <c r="T6" s="4">
        <v>5</v>
      </c>
      <c r="U6" s="4">
        <v>5</v>
      </c>
      <c r="V6" s="4">
        <v>3</v>
      </c>
      <c r="W6" s="4">
        <v>5</v>
      </c>
      <c r="X6" s="4">
        <v>81</v>
      </c>
    </row>
    <row r="7" spans="1:25">
      <c r="A7" s="4" t="s">
        <v>28</v>
      </c>
      <c r="B7" s="4">
        <v>3</v>
      </c>
      <c r="C7" s="4">
        <v>2</v>
      </c>
      <c r="D7" s="4">
        <v>3</v>
      </c>
      <c r="E7" s="4">
        <v>2</v>
      </c>
      <c r="F7" s="4">
        <v>1</v>
      </c>
      <c r="G7" s="4">
        <v>2</v>
      </c>
      <c r="H7" s="4">
        <v>2</v>
      </c>
      <c r="I7" s="4">
        <v>3</v>
      </c>
      <c r="J7" s="4">
        <v>2</v>
      </c>
      <c r="K7" s="4">
        <v>2</v>
      </c>
      <c r="L7" s="4">
        <v>3</v>
      </c>
      <c r="M7" s="4">
        <v>1</v>
      </c>
      <c r="N7" s="4">
        <v>2</v>
      </c>
      <c r="O7" s="4">
        <v>2</v>
      </c>
      <c r="P7" s="4">
        <v>2</v>
      </c>
      <c r="Q7" s="4">
        <v>2</v>
      </c>
      <c r="R7" s="4">
        <v>3</v>
      </c>
      <c r="S7" s="4">
        <v>3</v>
      </c>
      <c r="T7" s="4">
        <v>2</v>
      </c>
      <c r="U7" s="4">
        <v>2</v>
      </c>
      <c r="V7" s="4">
        <v>3</v>
      </c>
      <c r="W7" s="4">
        <v>3</v>
      </c>
      <c r="X7" s="4">
        <v>50</v>
      </c>
    </row>
    <row r="8" spans="1:25">
      <c r="A8" s="4" t="s">
        <v>29</v>
      </c>
      <c r="B8" s="4">
        <v>2</v>
      </c>
      <c r="C8" s="4">
        <v>2</v>
      </c>
      <c r="D8" s="4">
        <v>3</v>
      </c>
      <c r="E8" s="4">
        <v>2</v>
      </c>
      <c r="F8" s="4">
        <v>3</v>
      </c>
      <c r="G8" s="4">
        <v>2</v>
      </c>
      <c r="H8" s="4">
        <v>3</v>
      </c>
      <c r="I8" s="4">
        <v>2</v>
      </c>
      <c r="J8" s="4">
        <v>3</v>
      </c>
      <c r="K8" s="4">
        <v>1</v>
      </c>
      <c r="L8" s="4">
        <v>1</v>
      </c>
      <c r="M8" s="4">
        <v>3</v>
      </c>
      <c r="N8" s="4">
        <v>2</v>
      </c>
      <c r="O8" s="4">
        <v>3</v>
      </c>
      <c r="P8" s="4">
        <v>2</v>
      </c>
      <c r="Q8" s="4">
        <v>2</v>
      </c>
      <c r="R8" s="4">
        <v>2</v>
      </c>
      <c r="S8" s="4">
        <v>2</v>
      </c>
      <c r="T8" s="4">
        <v>2</v>
      </c>
      <c r="U8" s="4">
        <v>2</v>
      </c>
      <c r="V8" s="4">
        <v>1</v>
      </c>
      <c r="W8" s="4">
        <v>2</v>
      </c>
      <c r="X8" s="4">
        <v>47</v>
      </c>
    </row>
    <row r="9" spans="1:25">
      <c r="A9" s="4" t="s">
        <v>30</v>
      </c>
      <c r="B9" s="4">
        <v>1</v>
      </c>
      <c r="C9" s="4">
        <v>4</v>
      </c>
      <c r="D9" s="4">
        <v>3</v>
      </c>
      <c r="E9" s="4">
        <v>2</v>
      </c>
      <c r="F9" s="4">
        <v>2</v>
      </c>
      <c r="G9" s="4">
        <v>2</v>
      </c>
      <c r="H9" s="4">
        <v>3</v>
      </c>
      <c r="I9" s="4">
        <v>2</v>
      </c>
      <c r="J9" s="4">
        <v>3</v>
      </c>
      <c r="K9" s="4">
        <v>2</v>
      </c>
      <c r="L9" s="4">
        <v>2</v>
      </c>
      <c r="M9" s="4">
        <v>1</v>
      </c>
      <c r="N9" s="4">
        <v>3</v>
      </c>
      <c r="O9" s="4">
        <v>2</v>
      </c>
      <c r="P9" s="4">
        <v>3</v>
      </c>
      <c r="Q9" s="4">
        <v>1</v>
      </c>
      <c r="R9" s="4">
        <v>2</v>
      </c>
      <c r="S9" s="4">
        <v>3</v>
      </c>
      <c r="T9" s="4">
        <v>3</v>
      </c>
      <c r="U9" s="4">
        <v>3</v>
      </c>
      <c r="V9" s="4">
        <v>3</v>
      </c>
      <c r="W9" s="4">
        <v>3</v>
      </c>
      <c r="X9" s="4">
        <v>53</v>
      </c>
    </row>
    <row r="10" spans="1:25">
      <c r="A10" s="4" t="s">
        <v>31</v>
      </c>
      <c r="B10" s="4">
        <v>2</v>
      </c>
      <c r="C10" s="4">
        <v>3</v>
      </c>
      <c r="D10" s="4">
        <v>5</v>
      </c>
      <c r="E10" s="4">
        <v>5</v>
      </c>
      <c r="F10" s="4">
        <v>3</v>
      </c>
      <c r="G10" s="4">
        <v>5</v>
      </c>
      <c r="H10" s="4">
        <v>5</v>
      </c>
      <c r="I10" s="4">
        <v>1</v>
      </c>
      <c r="J10" s="4">
        <v>5</v>
      </c>
      <c r="K10" s="4">
        <v>5</v>
      </c>
      <c r="L10" s="4">
        <v>1</v>
      </c>
      <c r="M10" s="4">
        <v>2</v>
      </c>
      <c r="N10" s="4">
        <v>5</v>
      </c>
      <c r="O10" s="4">
        <v>2</v>
      </c>
      <c r="P10" s="4">
        <v>5</v>
      </c>
      <c r="Q10" s="4">
        <v>1</v>
      </c>
      <c r="R10" s="4">
        <v>5</v>
      </c>
      <c r="S10" s="4">
        <v>5</v>
      </c>
      <c r="T10" s="4">
        <v>3</v>
      </c>
      <c r="U10" s="4">
        <v>5</v>
      </c>
      <c r="V10" s="4">
        <v>2</v>
      </c>
      <c r="W10" s="4">
        <v>5</v>
      </c>
      <c r="X10" s="4">
        <v>80</v>
      </c>
    </row>
    <row r="11" spans="1:25">
      <c r="A11" s="4" t="s">
        <v>32</v>
      </c>
      <c r="B11" s="4">
        <v>2</v>
      </c>
      <c r="C11" s="4">
        <v>4</v>
      </c>
      <c r="D11" s="4">
        <v>3</v>
      </c>
      <c r="E11" s="4">
        <v>3</v>
      </c>
      <c r="F11" s="4">
        <v>4</v>
      </c>
      <c r="G11" s="4">
        <v>5</v>
      </c>
      <c r="H11" s="4">
        <v>4</v>
      </c>
      <c r="I11" s="4">
        <v>2</v>
      </c>
      <c r="J11" s="4">
        <v>4</v>
      </c>
      <c r="K11" s="4">
        <v>3</v>
      </c>
      <c r="L11" s="4">
        <v>1</v>
      </c>
      <c r="M11" s="4">
        <v>2</v>
      </c>
      <c r="N11" s="4">
        <v>3</v>
      </c>
      <c r="O11" s="4">
        <v>2</v>
      </c>
      <c r="P11" s="4">
        <v>5</v>
      </c>
      <c r="Q11" s="4">
        <v>2</v>
      </c>
      <c r="R11" s="4">
        <v>4</v>
      </c>
      <c r="S11" s="4">
        <v>3</v>
      </c>
      <c r="T11" s="4">
        <v>3</v>
      </c>
      <c r="U11" s="4">
        <v>4</v>
      </c>
      <c r="V11" s="4">
        <v>2</v>
      </c>
      <c r="W11" s="4">
        <v>3</v>
      </c>
      <c r="X11" s="4">
        <v>68</v>
      </c>
    </row>
    <row r="12" spans="1:25">
      <c r="A12" s="4" t="s">
        <v>33</v>
      </c>
      <c r="B12" s="4">
        <v>1</v>
      </c>
      <c r="C12" s="4">
        <v>3</v>
      </c>
      <c r="D12" s="4">
        <v>2</v>
      </c>
      <c r="E12" s="4">
        <v>3</v>
      </c>
      <c r="F12" s="4">
        <v>3</v>
      </c>
      <c r="G12" s="4">
        <v>3</v>
      </c>
      <c r="H12" s="4">
        <v>3</v>
      </c>
      <c r="I12" s="4">
        <v>1</v>
      </c>
      <c r="J12" s="4">
        <v>3</v>
      </c>
      <c r="K12" s="4">
        <v>2</v>
      </c>
      <c r="L12" s="4">
        <v>2</v>
      </c>
      <c r="M12" s="4">
        <v>2</v>
      </c>
      <c r="N12" s="4">
        <v>2</v>
      </c>
      <c r="O12" s="4">
        <v>3</v>
      </c>
      <c r="P12" s="4">
        <v>3</v>
      </c>
      <c r="Q12" s="4">
        <v>2</v>
      </c>
      <c r="R12" s="4">
        <v>3</v>
      </c>
      <c r="S12" s="4">
        <v>2</v>
      </c>
      <c r="T12" s="4">
        <v>2</v>
      </c>
      <c r="U12" s="4">
        <v>3</v>
      </c>
      <c r="V12" s="4">
        <v>3</v>
      </c>
      <c r="W12" s="4">
        <v>2</v>
      </c>
      <c r="X12" s="4">
        <v>53</v>
      </c>
    </row>
    <row r="13" spans="1:25">
      <c r="A13" s="4" t="s">
        <v>34</v>
      </c>
      <c r="B13" s="4">
        <v>2</v>
      </c>
      <c r="C13" s="4">
        <v>4</v>
      </c>
      <c r="D13" s="4">
        <v>2</v>
      </c>
      <c r="E13" s="4">
        <v>3</v>
      </c>
      <c r="F13" s="4">
        <v>4</v>
      </c>
      <c r="G13" s="4">
        <v>3</v>
      </c>
      <c r="H13" s="4">
        <v>3</v>
      </c>
      <c r="I13" s="4">
        <v>3</v>
      </c>
      <c r="J13" s="4">
        <v>3</v>
      </c>
      <c r="K13" s="4">
        <v>3</v>
      </c>
      <c r="L13" s="4">
        <v>2</v>
      </c>
      <c r="M13" s="4">
        <v>2</v>
      </c>
      <c r="N13" s="4">
        <v>2</v>
      </c>
      <c r="O13" s="4">
        <v>1</v>
      </c>
      <c r="P13" s="4">
        <v>3</v>
      </c>
      <c r="Q13" s="4">
        <v>2</v>
      </c>
      <c r="R13" s="4">
        <v>4</v>
      </c>
      <c r="S13" s="4">
        <v>4</v>
      </c>
      <c r="T13" s="4">
        <v>3</v>
      </c>
      <c r="U13" s="4">
        <v>3</v>
      </c>
      <c r="V13" s="4">
        <v>2</v>
      </c>
      <c r="W13" s="4">
        <v>4</v>
      </c>
      <c r="X13" s="4">
        <v>62</v>
      </c>
    </row>
    <row r="14" spans="1:25">
      <c r="A14" s="4" t="s">
        <v>35</v>
      </c>
      <c r="B14" s="4">
        <v>3</v>
      </c>
      <c r="C14" s="4">
        <v>3</v>
      </c>
      <c r="D14" s="4">
        <v>4</v>
      </c>
      <c r="E14" s="4">
        <v>3</v>
      </c>
      <c r="F14" s="4">
        <v>2</v>
      </c>
      <c r="G14" s="4">
        <v>4</v>
      </c>
      <c r="H14" s="4">
        <v>3</v>
      </c>
      <c r="I14" s="4">
        <v>1</v>
      </c>
      <c r="J14" s="4">
        <v>3</v>
      </c>
      <c r="K14" s="4">
        <v>3</v>
      </c>
      <c r="L14" s="4">
        <v>2</v>
      </c>
      <c r="M14" s="4">
        <v>1</v>
      </c>
      <c r="N14" s="4">
        <v>2</v>
      </c>
      <c r="O14" s="4">
        <v>2</v>
      </c>
      <c r="P14" s="4">
        <v>2</v>
      </c>
      <c r="Q14" s="4">
        <v>2</v>
      </c>
      <c r="R14" s="4">
        <v>4</v>
      </c>
      <c r="S14" s="4">
        <v>3</v>
      </c>
      <c r="T14" s="4">
        <v>3</v>
      </c>
      <c r="U14" s="4">
        <v>4</v>
      </c>
      <c r="V14" s="4">
        <v>3</v>
      </c>
      <c r="W14" s="4">
        <v>2</v>
      </c>
      <c r="X14" s="4">
        <v>59</v>
      </c>
    </row>
    <row r="15" spans="1:25">
      <c r="A15" s="4" t="s">
        <v>36</v>
      </c>
      <c r="B15" s="4">
        <v>2</v>
      </c>
      <c r="C15" s="4">
        <v>3</v>
      </c>
      <c r="D15" s="4">
        <v>2</v>
      </c>
      <c r="E15" s="4">
        <v>2</v>
      </c>
      <c r="F15" s="4">
        <v>2</v>
      </c>
      <c r="G15" s="4">
        <v>2</v>
      </c>
      <c r="H15" s="4">
        <v>3</v>
      </c>
      <c r="I15" s="4">
        <v>3</v>
      </c>
      <c r="J15" s="4">
        <v>3</v>
      </c>
      <c r="K15" s="4">
        <v>2</v>
      </c>
      <c r="L15" s="4">
        <v>3</v>
      </c>
      <c r="M15" s="4">
        <v>1</v>
      </c>
      <c r="N15" s="4">
        <v>3</v>
      </c>
      <c r="O15" s="4">
        <v>2</v>
      </c>
      <c r="P15" s="4">
        <v>3</v>
      </c>
      <c r="Q15" s="4">
        <v>2</v>
      </c>
      <c r="R15" s="4">
        <v>3</v>
      </c>
      <c r="S15" s="4">
        <v>2</v>
      </c>
      <c r="T15" s="4">
        <v>4</v>
      </c>
      <c r="U15" s="4">
        <v>4</v>
      </c>
      <c r="V15" s="4">
        <v>1</v>
      </c>
      <c r="W15" s="4">
        <v>3</v>
      </c>
      <c r="X15" s="4">
        <v>55</v>
      </c>
    </row>
    <row r="16" spans="1:25">
      <c r="A16" s="4" t="s">
        <v>37</v>
      </c>
      <c r="B16" s="4">
        <v>2</v>
      </c>
      <c r="C16" s="4">
        <v>2</v>
      </c>
      <c r="D16" s="4">
        <v>2</v>
      </c>
      <c r="E16" s="4">
        <v>1</v>
      </c>
      <c r="F16" s="4">
        <v>2</v>
      </c>
      <c r="G16" s="4">
        <v>1</v>
      </c>
      <c r="H16" s="4">
        <v>2</v>
      </c>
      <c r="I16" s="4">
        <v>2</v>
      </c>
      <c r="J16" s="4">
        <v>2</v>
      </c>
      <c r="K16" s="4">
        <v>2</v>
      </c>
      <c r="L16" s="4">
        <v>1</v>
      </c>
      <c r="M16" s="4">
        <v>1</v>
      </c>
      <c r="N16" s="4">
        <v>1</v>
      </c>
      <c r="O16" s="4">
        <v>2</v>
      </c>
      <c r="P16" s="4">
        <v>2</v>
      </c>
      <c r="Q16" s="4">
        <v>1</v>
      </c>
      <c r="R16" s="4">
        <v>1</v>
      </c>
      <c r="S16" s="4">
        <v>1</v>
      </c>
      <c r="T16" s="4">
        <v>1</v>
      </c>
      <c r="U16" s="4">
        <v>2</v>
      </c>
      <c r="V16" s="4">
        <v>1</v>
      </c>
      <c r="W16" s="4">
        <v>1</v>
      </c>
      <c r="X16" s="4">
        <v>33</v>
      </c>
    </row>
    <row r="17" spans="1:25">
      <c r="A17" s="4" t="s">
        <v>38</v>
      </c>
      <c r="B17" s="4">
        <v>3</v>
      </c>
      <c r="C17" s="4">
        <v>2</v>
      </c>
      <c r="D17" s="4">
        <v>2</v>
      </c>
      <c r="E17" s="4">
        <v>2</v>
      </c>
      <c r="F17" s="4">
        <v>2</v>
      </c>
      <c r="G17" s="4">
        <v>2</v>
      </c>
      <c r="H17" s="4">
        <v>1</v>
      </c>
      <c r="I17" s="4">
        <v>1</v>
      </c>
      <c r="J17" s="4">
        <v>2</v>
      </c>
      <c r="K17" s="4">
        <v>1</v>
      </c>
      <c r="L17" s="4">
        <v>1</v>
      </c>
      <c r="M17" s="4">
        <v>2</v>
      </c>
      <c r="N17" s="4">
        <v>2</v>
      </c>
      <c r="O17" s="4">
        <v>2</v>
      </c>
      <c r="P17" s="4">
        <v>1</v>
      </c>
      <c r="Q17" s="4">
        <v>2</v>
      </c>
      <c r="R17" s="4">
        <v>2</v>
      </c>
      <c r="S17" s="4">
        <v>2</v>
      </c>
      <c r="T17" s="4">
        <v>2</v>
      </c>
      <c r="U17" s="4">
        <v>2</v>
      </c>
      <c r="V17" s="4">
        <v>2</v>
      </c>
      <c r="W17" s="4">
        <v>1</v>
      </c>
      <c r="X17" s="4">
        <v>39</v>
      </c>
    </row>
    <row r="18" spans="1:25">
      <c r="A18" s="4" t="s">
        <v>39</v>
      </c>
      <c r="B18" s="4">
        <v>2</v>
      </c>
      <c r="C18" s="4">
        <v>1</v>
      </c>
      <c r="D18" s="4">
        <v>1</v>
      </c>
      <c r="E18" s="4">
        <v>2</v>
      </c>
      <c r="F18" s="4">
        <v>1</v>
      </c>
      <c r="G18" s="4">
        <v>2</v>
      </c>
      <c r="H18" s="4">
        <v>2</v>
      </c>
      <c r="I18" s="4">
        <v>2</v>
      </c>
      <c r="J18" s="4">
        <v>2</v>
      </c>
      <c r="K18" s="4">
        <v>2</v>
      </c>
      <c r="L18" s="4">
        <v>1</v>
      </c>
      <c r="M18" s="4">
        <v>2</v>
      </c>
      <c r="N18" s="4">
        <v>2</v>
      </c>
      <c r="O18" s="4">
        <v>2</v>
      </c>
      <c r="P18" s="4">
        <v>2</v>
      </c>
      <c r="Q18" s="4">
        <v>3</v>
      </c>
      <c r="R18" s="4">
        <v>1</v>
      </c>
      <c r="S18" s="4">
        <v>2</v>
      </c>
      <c r="T18" s="4">
        <v>1</v>
      </c>
      <c r="U18" s="4">
        <v>2</v>
      </c>
      <c r="V18" s="4">
        <v>2</v>
      </c>
      <c r="W18" s="4">
        <v>1</v>
      </c>
      <c r="X18" s="4">
        <v>38</v>
      </c>
    </row>
    <row r="19" spans="1:25">
      <c r="A19" s="4" t="s">
        <v>40</v>
      </c>
      <c r="B19" s="4">
        <v>3</v>
      </c>
      <c r="C19" s="4">
        <v>4</v>
      </c>
      <c r="D19" s="4">
        <v>5</v>
      </c>
      <c r="E19" s="4">
        <v>5</v>
      </c>
      <c r="F19" s="4">
        <v>5</v>
      </c>
      <c r="G19" s="4">
        <v>5</v>
      </c>
      <c r="H19" s="4">
        <v>4</v>
      </c>
      <c r="I19" s="4">
        <v>2</v>
      </c>
      <c r="J19" s="4">
        <v>5</v>
      </c>
      <c r="K19" s="4">
        <v>5</v>
      </c>
      <c r="L19" s="4">
        <v>2</v>
      </c>
      <c r="M19" s="4">
        <v>2</v>
      </c>
      <c r="N19" s="4">
        <v>4</v>
      </c>
      <c r="O19" s="4">
        <v>1</v>
      </c>
      <c r="P19" s="4">
        <v>3</v>
      </c>
      <c r="Q19" s="4">
        <v>3</v>
      </c>
      <c r="R19" s="4">
        <v>5</v>
      </c>
      <c r="S19" s="4">
        <v>5</v>
      </c>
      <c r="T19" s="4">
        <v>5</v>
      </c>
      <c r="U19" s="4">
        <v>4</v>
      </c>
      <c r="V19" s="4">
        <v>3</v>
      </c>
      <c r="W19" s="4">
        <v>4</v>
      </c>
      <c r="X19" s="4">
        <v>84</v>
      </c>
    </row>
    <row r="20" spans="1:25">
      <c r="A20" s="4" t="s">
        <v>41</v>
      </c>
      <c r="B20" s="4">
        <v>2</v>
      </c>
      <c r="C20" s="4">
        <v>2</v>
      </c>
      <c r="D20" s="4">
        <v>2</v>
      </c>
      <c r="E20" s="4">
        <v>2</v>
      </c>
      <c r="F20" s="4">
        <v>2</v>
      </c>
      <c r="G20" s="4">
        <v>2</v>
      </c>
      <c r="H20" s="4">
        <v>2</v>
      </c>
      <c r="I20" s="4">
        <v>3</v>
      </c>
      <c r="J20" s="4">
        <v>1</v>
      </c>
      <c r="K20" s="4">
        <v>2</v>
      </c>
      <c r="L20" s="4">
        <v>3</v>
      </c>
      <c r="M20" s="4">
        <v>2</v>
      </c>
      <c r="N20" s="4">
        <v>2</v>
      </c>
      <c r="O20" s="4">
        <v>1</v>
      </c>
      <c r="P20" s="4">
        <v>2</v>
      </c>
      <c r="Q20" s="4">
        <v>3</v>
      </c>
      <c r="R20" s="4">
        <v>2</v>
      </c>
      <c r="S20" s="4">
        <v>1</v>
      </c>
      <c r="T20" s="4">
        <v>2</v>
      </c>
      <c r="U20" s="4">
        <v>2</v>
      </c>
      <c r="V20" s="4">
        <v>2</v>
      </c>
      <c r="W20" s="4">
        <v>2</v>
      </c>
      <c r="X20" s="4">
        <v>44</v>
      </c>
    </row>
    <row r="21" spans="1:25">
      <c r="A21" s="4" t="s">
        <v>42</v>
      </c>
      <c r="B21" s="4">
        <v>3</v>
      </c>
      <c r="C21" s="4">
        <v>2</v>
      </c>
      <c r="D21" s="4">
        <v>2</v>
      </c>
      <c r="E21" s="4">
        <v>2</v>
      </c>
      <c r="F21" s="4">
        <v>1</v>
      </c>
      <c r="G21" s="4">
        <v>1</v>
      </c>
      <c r="H21" s="4">
        <v>2</v>
      </c>
      <c r="I21" s="4">
        <v>1</v>
      </c>
      <c r="J21" s="4">
        <v>2</v>
      </c>
      <c r="K21" s="4">
        <v>2</v>
      </c>
      <c r="L21" s="4">
        <v>2</v>
      </c>
      <c r="M21" s="4">
        <v>3</v>
      </c>
      <c r="N21" s="4">
        <v>2</v>
      </c>
      <c r="O21" s="4">
        <v>2</v>
      </c>
      <c r="P21" s="4">
        <v>1</v>
      </c>
      <c r="Q21" s="4">
        <v>3</v>
      </c>
      <c r="R21" s="4">
        <v>1</v>
      </c>
      <c r="S21" s="4">
        <v>2</v>
      </c>
      <c r="T21" s="4">
        <v>1</v>
      </c>
      <c r="U21" s="4">
        <v>2</v>
      </c>
      <c r="V21" s="4">
        <v>2</v>
      </c>
      <c r="W21" s="4">
        <v>2</v>
      </c>
      <c r="X21" s="4">
        <v>41</v>
      </c>
    </row>
    <row r="22" spans="1:25">
      <c r="A22" s="4" t="s">
        <v>43</v>
      </c>
      <c r="B22" s="4">
        <v>3</v>
      </c>
      <c r="C22" s="4">
        <v>2</v>
      </c>
      <c r="D22" s="4">
        <v>2</v>
      </c>
      <c r="E22" s="4">
        <v>2</v>
      </c>
      <c r="F22" s="4">
        <v>2</v>
      </c>
      <c r="G22" s="4">
        <v>2</v>
      </c>
      <c r="H22" s="4">
        <v>3</v>
      </c>
      <c r="I22" s="4">
        <v>2</v>
      </c>
      <c r="J22" s="4">
        <v>2</v>
      </c>
      <c r="K22" s="4">
        <v>2</v>
      </c>
      <c r="L22" s="4">
        <v>2</v>
      </c>
      <c r="M22" s="4">
        <v>2</v>
      </c>
      <c r="N22" s="4">
        <v>2</v>
      </c>
      <c r="O22" s="4">
        <v>2</v>
      </c>
      <c r="P22" s="4">
        <v>2</v>
      </c>
      <c r="Q22" s="4">
        <v>2</v>
      </c>
      <c r="R22" s="4">
        <v>3</v>
      </c>
      <c r="S22" s="4">
        <v>2</v>
      </c>
      <c r="T22" s="4">
        <v>3</v>
      </c>
      <c r="U22" s="4">
        <v>2</v>
      </c>
      <c r="V22" s="4">
        <v>1</v>
      </c>
      <c r="W22" s="4">
        <v>3</v>
      </c>
      <c r="X22" s="4">
        <v>48</v>
      </c>
    </row>
    <row r="23" spans="1:25">
      <c r="A23" s="4" t="s">
        <v>44</v>
      </c>
      <c r="B23" s="4">
        <v>2</v>
      </c>
      <c r="C23" s="4">
        <v>1</v>
      </c>
      <c r="D23" s="4">
        <v>1</v>
      </c>
      <c r="E23" s="4">
        <v>1</v>
      </c>
      <c r="F23" s="4">
        <v>2</v>
      </c>
      <c r="G23" s="4">
        <v>1</v>
      </c>
      <c r="H23" s="4">
        <v>1</v>
      </c>
      <c r="I23" s="4">
        <v>2</v>
      </c>
      <c r="J23" s="4">
        <v>2</v>
      </c>
      <c r="K23" s="4">
        <v>2</v>
      </c>
      <c r="L23" s="4">
        <v>3</v>
      </c>
      <c r="M23" s="4">
        <v>3</v>
      </c>
      <c r="N23" s="4">
        <v>2</v>
      </c>
      <c r="O23" s="4">
        <v>1</v>
      </c>
      <c r="P23" s="4">
        <v>2</v>
      </c>
      <c r="Q23" s="4">
        <v>2</v>
      </c>
      <c r="R23" s="4">
        <v>2</v>
      </c>
      <c r="S23" s="4">
        <v>1</v>
      </c>
      <c r="T23" s="4">
        <v>1</v>
      </c>
      <c r="U23" s="4">
        <v>2</v>
      </c>
      <c r="V23" s="4">
        <v>2</v>
      </c>
      <c r="W23" s="4">
        <v>1</v>
      </c>
      <c r="X23" s="4">
        <v>37</v>
      </c>
    </row>
    <row r="24" spans="1:25">
      <c r="A24" s="4" t="s">
        <v>45</v>
      </c>
      <c r="B24" s="4">
        <v>2</v>
      </c>
      <c r="C24" s="4">
        <v>2</v>
      </c>
      <c r="D24" s="4">
        <v>2</v>
      </c>
      <c r="E24" s="4">
        <v>1</v>
      </c>
      <c r="F24" s="4">
        <v>1</v>
      </c>
      <c r="G24" s="4">
        <v>2</v>
      </c>
      <c r="H24" s="4">
        <v>2</v>
      </c>
      <c r="I24" s="4">
        <v>2</v>
      </c>
      <c r="J24" s="4">
        <v>2</v>
      </c>
      <c r="K24" s="4">
        <v>2</v>
      </c>
      <c r="L24" s="4">
        <v>1</v>
      </c>
      <c r="M24" s="4">
        <v>2</v>
      </c>
      <c r="N24" s="4">
        <v>2</v>
      </c>
      <c r="O24" s="4">
        <v>2</v>
      </c>
      <c r="P24" s="4">
        <v>2</v>
      </c>
      <c r="Q24" s="4">
        <v>2</v>
      </c>
      <c r="R24" s="4">
        <v>2</v>
      </c>
      <c r="S24" s="4">
        <v>2</v>
      </c>
      <c r="T24" s="4">
        <v>1</v>
      </c>
      <c r="U24" s="4">
        <v>1</v>
      </c>
      <c r="V24" s="4">
        <v>2</v>
      </c>
      <c r="W24" s="4">
        <v>1</v>
      </c>
      <c r="X24" s="4">
        <v>38</v>
      </c>
    </row>
    <row r="25" spans="1:25">
      <c r="A25" t="s">
        <v>46</v>
      </c>
      <c r="B25" t="str">
        <f>SUM(B5:B24)</f>
        <v>0</v>
      </c>
      <c r="C25" t="str">
        <f>SUM(C5:C24)</f>
        <v>0</v>
      </c>
      <c r="D25" t="str">
        <f>SUM(D5:D24)</f>
        <v>0</v>
      </c>
      <c r="E25" t="str">
        <f>SUM(E5:E24)</f>
        <v>0</v>
      </c>
      <c r="F25" t="str">
        <f>SUM(F5:F24)</f>
        <v>0</v>
      </c>
      <c r="G25" t="str">
        <f>SUM(G5:G24)</f>
        <v>0</v>
      </c>
      <c r="H25" t="str">
        <f>SUM(H5:H24)</f>
        <v>0</v>
      </c>
      <c r="I25" t="str">
        <f>SUM(I5:I24)</f>
        <v>0</v>
      </c>
      <c r="J25" t="str">
        <f>SUM(J5:J24)</f>
        <v>0</v>
      </c>
      <c r="K25" t="str">
        <f>SUM(K5:K24)</f>
        <v>0</v>
      </c>
      <c r="L25" t="str">
        <f>SUM(L5:L24)</f>
        <v>0</v>
      </c>
      <c r="M25" t="str">
        <f>SUM(M5:M24)</f>
        <v>0</v>
      </c>
      <c r="N25" t="str">
        <f>SUM(N5:N24)</f>
        <v>0</v>
      </c>
      <c r="O25" t="str">
        <f>SUM(O5:O24)</f>
        <v>0</v>
      </c>
      <c r="P25" t="str">
        <f>SUM(P5:P24)</f>
        <v>0</v>
      </c>
      <c r="Q25" t="str">
        <f>SUM(Q5:Q24)</f>
        <v>0</v>
      </c>
      <c r="R25" t="str">
        <f>SUM(R5:R24)</f>
        <v>0</v>
      </c>
      <c r="S25" t="str">
        <f>SUM(S5:S24)</f>
        <v>0</v>
      </c>
      <c r="T25" t="str">
        <f>SUM(T5:T24)</f>
        <v>0</v>
      </c>
      <c r="U25" t="str">
        <f>SUM(U5:U24)</f>
        <v>0</v>
      </c>
      <c r="V25" t="str">
        <f>SUM(V5:V24)</f>
        <v>0</v>
      </c>
      <c r="W25" t="str">
        <f>SUM(W5:W24)</f>
        <v>0</v>
      </c>
      <c r="X25" t="str">
        <f>SUM(X5:X24)</f>
        <v>0</v>
      </c>
    </row>
    <row r="26" spans="1:25">
      <c r="A26" t="s">
        <v>47</v>
      </c>
      <c r="B26" t="str">
        <f>MODE(B5:B24)</f>
        <v>0</v>
      </c>
      <c r="C26" t="str">
        <f>MODE(C5:C24)</f>
        <v>0</v>
      </c>
      <c r="D26" t="str">
        <f>MODE(D5:D24)</f>
        <v>0</v>
      </c>
      <c r="E26" t="str">
        <f>MODE(E5:E24)</f>
        <v>0</v>
      </c>
      <c r="F26" t="str">
        <f>MODE(F5:F24)</f>
        <v>0</v>
      </c>
      <c r="G26" t="str">
        <f>MODE(G5:G24)</f>
        <v>0</v>
      </c>
      <c r="H26" t="str">
        <f>MODE(H5:H24)</f>
        <v>0</v>
      </c>
      <c r="I26" t="str">
        <f>MODE(I5:I24)</f>
        <v>0</v>
      </c>
      <c r="J26" t="str">
        <f>MODE(J5:J24)</f>
        <v>0</v>
      </c>
      <c r="K26" t="str">
        <f>MODE(K5:K24)</f>
        <v>0</v>
      </c>
      <c r="L26" t="str">
        <f>MODE(L5:L24)</f>
        <v>0</v>
      </c>
      <c r="M26" t="str">
        <f>MODE(M5:M24)</f>
        <v>0</v>
      </c>
      <c r="N26" t="str">
        <f>MODE(N5:N24)</f>
        <v>0</v>
      </c>
      <c r="O26" t="str">
        <f>MODE(O5:O24)</f>
        <v>0</v>
      </c>
      <c r="P26" t="str">
        <f>MODE(P5:P24)</f>
        <v>0</v>
      </c>
      <c r="Q26" t="str">
        <f>MODE(Q5:Q24)</f>
        <v>0</v>
      </c>
      <c r="R26" t="str">
        <f>MODE(R5:R24)</f>
        <v>0</v>
      </c>
      <c r="S26" t="str">
        <f>MODE(S5:S24)</f>
        <v>0</v>
      </c>
      <c r="T26" t="str">
        <f>MODE(T5:T24)</f>
        <v>0</v>
      </c>
      <c r="U26" t="str">
        <f>MODE(U5:U24)</f>
        <v>0</v>
      </c>
      <c r="V26" t="str">
        <f>MODE(V5:V24)</f>
        <v>0</v>
      </c>
      <c r="W26" t="str">
        <f>MODE(W5:W24)</f>
        <v>0</v>
      </c>
      <c r="X26" t="str">
        <f>MODE(X5:X24)</f>
        <v>0</v>
      </c>
    </row>
    <row r="27" spans="1:25">
      <c r="A27" t="s">
        <v>48</v>
      </c>
      <c r="B27" t="str">
        <f>(B25/20)</f>
        <v>0</v>
      </c>
      <c r="C27" t="str">
        <f>(C25/20)</f>
        <v>0</v>
      </c>
      <c r="D27" t="str">
        <f>(D25/20)</f>
        <v>0</v>
      </c>
      <c r="E27" t="str">
        <f>(E25/20)</f>
        <v>0</v>
      </c>
      <c r="F27" t="str">
        <f>(F25/20)</f>
        <v>0</v>
      </c>
      <c r="G27" t="str">
        <f>(G25/20)</f>
        <v>0</v>
      </c>
      <c r="H27" t="str">
        <f>(H25/20)</f>
        <v>0</v>
      </c>
      <c r="I27" t="str">
        <f>(I25/20)</f>
        <v>0</v>
      </c>
      <c r="J27" t="str">
        <f>(J25/20)</f>
        <v>0</v>
      </c>
      <c r="K27" t="str">
        <f>(K25/20)</f>
        <v>0</v>
      </c>
      <c r="L27" t="str">
        <f>(L25/20)</f>
        <v>0</v>
      </c>
      <c r="M27" t="str">
        <f>(M25/20)</f>
        <v>0</v>
      </c>
      <c r="N27" t="str">
        <f>(N25/20)</f>
        <v>0</v>
      </c>
      <c r="O27" t="str">
        <f>(O25/20)</f>
        <v>0</v>
      </c>
      <c r="P27" t="str">
        <f>(P25/20)</f>
        <v>0</v>
      </c>
      <c r="Q27" t="str">
        <f>(Q25/20)</f>
        <v>0</v>
      </c>
      <c r="R27" t="str">
        <f>(R25/20)</f>
        <v>0</v>
      </c>
      <c r="S27" t="str">
        <f>(S25/20)</f>
        <v>0</v>
      </c>
      <c r="T27" t="str">
        <f>(T25/20)</f>
        <v>0</v>
      </c>
      <c r="U27" t="str">
        <f>(U25/20)</f>
        <v>0</v>
      </c>
      <c r="V27" t="str">
        <f>(V25/20)</f>
        <v>0</v>
      </c>
      <c r="W27" t="str">
        <f>(W25/20)</f>
        <v>0</v>
      </c>
      <c r="X27" t="str">
        <f>(X25/20)</f>
        <v>0</v>
      </c>
    </row>
    <row r="28" spans="1:25">
      <c r="A28" t="s">
        <v>49</v>
      </c>
      <c r="B28" t="str">
        <f>MEDIAN(B5:B24)</f>
        <v>0</v>
      </c>
      <c r="C28" t="str">
        <f>MEDIAN(C5:C24)</f>
        <v>0</v>
      </c>
      <c r="D28" t="str">
        <f>MEDIAN(D5:D24)</f>
        <v>0</v>
      </c>
      <c r="E28" t="str">
        <f>MEDIAN(E5:E24)</f>
        <v>0</v>
      </c>
      <c r="F28" t="str">
        <f>MEDIAN(F5:F24)</f>
        <v>0</v>
      </c>
      <c r="G28" t="str">
        <f>MEDIAN(G5:G24)</f>
        <v>0</v>
      </c>
      <c r="H28" t="str">
        <f>MEDIAN(H5:H24)</f>
        <v>0</v>
      </c>
      <c r="I28" t="str">
        <f>MEDIAN(I5:I24)</f>
        <v>0</v>
      </c>
      <c r="J28" t="str">
        <f>MEDIAN(J5:J24)</f>
        <v>0</v>
      </c>
      <c r="K28" t="str">
        <f>MEDIAN(K5:K24)</f>
        <v>0</v>
      </c>
      <c r="L28" t="str">
        <f>MEDIAN(L5:L24)</f>
        <v>0</v>
      </c>
      <c r="M28" t="str">
        <f>MEDIAN(M5:M24)</f>
        <v>0</v>
      </c>
      <c r="N28" t="str">
        <f>MEDIAN(N5:N24)</f>
        <v>0</v>
      </c>
      <c r="O28" t="str">
        <f>MEDIAN(O5:O24)</f>
        <v>0</v>
      </c>
      <c r="P28" t="str">
        <f>MEDIAN(P5:P24)</f>
        <v>0</v>
      </c>
      <c r="Q28" t="str">
        <f>MEDIAN(Q5:Q24)</f>
        <v>0</v>
      </c>
      <c r="R28" t="str">
        <f>MEDIAN(R5:R24)</f>
        <v>0</v>
      </c>
      <c r="S28" t="str">
        <f>MEDIAN(S5:S24)</f>
        <v>0</v>
      </c>
      <c r="T28" t="str">
        <f>MEDIAN(T5:T24)</f>
        <v>0</v>
      </c>
      <c r="U28" t="str">
        <f>MEDIAN(U5:U24)</f>
        <v>0</v>
      </c>
      <c r="V28" t="str">
        <f>MEDIAN(V5:V24)</f>
        <v>0</v>
      </c>
      <c r="W28" t="str">
        <f>MEDIAN(W5:W24)</f>
        <v>0</v>
      </c>
      <c r="X28" t="str">
        <f>MEDIAN(X5:X24)</f>
        <v>0</v>
      </c>
    </row>
    <row r="29" spans="1:25">
      <c r="A29" t="s">
        <v>50</v>
      </c>
      <c r="B29" t="str">
        <f>ROUND(STDEV(B5:B24),2)</f>
        <v>0</v>
      </c>
      <c r="C29" t="str">
        <f>ROUND(STDEV(C5:C24),2)</f>
        <v>0</v>
      </c>
      <c r="D29" t="str">
        <f>ROUND(STDEV(D5:D24),2)</f>
        <v>0</v>
      </c>
      <c r="E29" t="str">
        <f>ROUND(STDEV(E5:E24),2)</f>
        <v>0</v>
      </c>
      <c r="F29" t="str">
        <f>ROUND(STDEV(F5:F24),2)</f>
        <v>0</v>
      </c>
      <c r="G29" t="str">
        <f>ROUND(STDEV(G5:G24),2)</f>
        <v>0</v>
      </c>
      <c r="H29" t="str">
        <f>ROUND(STDEV(H5:H24),2)</f>
        <v>0</v>
      </c>
      <c r="I29" t="str">
        <f>ROUND(STDEV(I5:I24),2)</f>
        <v>0</v>
      </c>
      <c r="J29" t="str">
        <f>ROUND(STDEV(J5:J24),2)</f>
        <v>0</v>
      </c>
      <c r="K29" t="str">
        <f>ROUND(STDEV(K5:K24),2)</f>
        <v>0</v>
      </c>
      <c r="L29" t="str">
        <f>ROUND(STDEV(L5:L24),2)</f>
        <v>0</v>
      </c>
      <c r="M29" t="str">
        <f>ROUND(STDEV(M5:M24),2)</f>
        <v>0</v>
      </c>
      <c r="N29" t="str">
        <f>ROUND(STDEV(N5:N24),2)</f>
        <v>0</v>
      </c>
      <c r="O29" t="str">
        <f>ROUND(STDEV(O5:O24),2)</f>
        <v>0</v>
      </c>
      <c r="P29" t="str">
        <f>ROUND(STDEV(P5:P24),2)</f>
        <v>0</v>
      </c>
      <c r="Q29" t="str">
        <f>ROUND(STDEV(Q5:Q24),2)</f>
        <v>0</v>
      </c>
      <c r="R29" t="str">
        <f>ROUND(STDEV(R5:R24),2)</f>
        <v>0</v>
      </c>
      <c r="S29" t="str">
        <f>ROUND(STDEV(S5:S24),2)</f>
        <v>0</v>
      </c>
      <c r="T29" t="str">
        <f>ROUND(STDEV(T5:T24),2)</f>
        <v>0</v>
      </c>
      <c r="U29" t="str">
        <f>ROUND(STDEV(U5:U24),2)</f>
        <v>0</v>
      </c>
      <c r="V29" t="str">
        <f>ROUND(STDEV(V5:V24),2)</f>
        <v>0</v>
      </c>
      <c r="W29" t="str">
        <f>ROUND(STDEV(W5:W24),2)</f>
        <v>0</v>
      </c>
      <c r="X29" t="str">
        <f>ROUND(STDEV(X5:X24),2)</f>
        <v>0</v>
      </c>
    </row>
    <row r="30" spans="1:25">
      <c r="A30" t="s">
        <v>51</v>
      </c>
      <c r="B30" s="5" t="str">
        <f>(B29/B27)</f>
        <v>0</v>
      </c>
      <c r="C30" s="5" t="str">
        <f>(C29/C27)</f>
        <v>0</v>
      </c>
      <c r="D30" s="5" t="str">
        <f>(D29/D27)</f>
        <v>0</v>
      </c>
      <c r="E30" s="5" t="str">
        <f>(E29/E27)</f>
        <v>0</v>
      </c>
      <c r="F30" s="5" t="str">
        <f>(F29/F27)</f>
        <v>0</v>
      </c>
      <c r="G30" s="5" t="str">
        <f>(G29/G27)</f>
        <v>0</v>
      </c>
      <c r="H30" s="5" t="str">
        <f>(H29/H27)</f>
        <v>0</v>
      </c>
      <c r="I30" s="5" t="str">
        <f>(I29/I27)</f>
        <v>0</v>
      </c>
      <c r="J30" s="5" t="str">
        <f>(J29/J27)</f>
        <v>0</v>
      </c>
      <c r="K30" s="5" t="str">
        <f>(K29/K27)</f>
        <v>0</v>
      </c>
      <c r="L30" s="5" t="str">
        <f>(L29/L27)</f>
        <v>0</v>
      </c>
      <c r="M30" s="5" t="str">
        <f>(M29/M27)</f>
        <v>0</v>
      </c>
      <c r="N30" s="5" t="str">
        <f>(N29/N27)</f>
        <v>0</v>
      </c>
      <c r="O30" s="5" t="str">
        <f>(O29/O27)</f>
        <v>0</v>
      </c>
      <c r="P30" s="5" t="str">
        <f>(P29/P27)</f>
        <v>0</v>
      </c>
      <c r="Q30" s="5" t="str">
        <f>(Q29/Q27)</f>
        <v>0</v>
      </c>
      <c r="R30" s="5" t="str">
        <f>(R29/R27)</f>
        <v>0</v>
      </c>
      <c r="S30" s="5" t="str">
        <f>(S29/S27)</f>
        <v>0</v>
      </c>
      <c r="T30" s="5" t="str">
        <f>(T29/T27)</f>
        <v>0</v>
      </c>
      <c r="U30" s="5" t="str">
        <f>(U29/U27)</f>
        <v>0</v>
      </c>
      <c r="V30" s="5" t="str">
        <f>(V29/V27)</f>
        <v>0</v>
      </c>
      <c r="W30" s="5" t="str">
        <f>(W29/W27)</f>
        <v>0</v>
      </c>
      <c r="X30" s="5" t="str">
        <f>(X29/X27)</f>
        <v>0</v>
      </c>
    </row>
    <row r="31" spans="1:25">
      <c r="A31" t="s">
        <v>1</v>
      </c>
      <c r="B31" t="str">
        <f>COUNTIF($B$5:$B$24,$A1020)</f>
        <v>0</v>
      </c>
      <c r="C31" t="str">
        <f>COUNTIF($C$5:$C$24,$A1020)</f>
        <v>0</v>
      </c>
      <c r="D31" t="str">
        <f>COUNTIF($D$5:$D$24,$A1020)</f>
        <v>0</v>
      </c>
      <c r="E31" t="str">
        <f>COUNTIF($E$5:$E$24,$A1020)</f>
        <v>0</v>
      </c>
      <c r="F31" t="str">
        <f>COUNTIF($F$5:$F$24,$A1020)</f>
        <v>0</v>
      </c>
      <c r="G31" t="str">
        <f>COUNTIF($G$5:$G$24,$A1020)</f>
        <v>0</v>
      </c>
      <c r="H31" t="str">
        <f>COUNTIF($H$5:$H$24,$A1020)</f>
        <v>0</v>
      </c>
      <c r="I31" t="str">
        <f>COUNTIF($I$5:$I$24,$A1020)</f>
        <v>0</v>
      </c>
      <c r="J31" t="str">
        <f>COUNTIF($J$5:$J$24,$A1020)</f>
        <v>0</v>
      </c>
      <c r="K31" t="str">
        <f>COUNTIF($K$5:$K$24,$A1020)</f>
        <v>0</v>
      </c>
      <c r="L31" t="str">
        <f>COUNTIF($L$5:$L$24,$A1020)</f>
        <v>0</v>
      </c>
      <c r="M31" t="str">
        <f>COUNTIF($M$5:$M$24,$A1020)</f>
        <v>0</v>
      </c>
      <c r="N31" t="str">
        <f>COUNTIF($N$5:$N$24,$A1020)</f>
        <v>0</v>
      </c>
      <c r="O31" t="str">
        <f>COUNTIF($O$5:$O$24,$A1020)</f>
        <v>0</v>
      </c>
      <c r="P31" t="str">
        <f>COUNTIF($P$5:$P$24,$A1020)</f>
        <v>0</v>
      </c>
      <c r="Q31" t="str">
        <f>COUNTIF($Q$5:$Q$24,$A1020)</f>
        <v>0</v>
      </c>
      <c r="R31" t="str">
        <f>COUNTIF($R$5:$R$24,$A1020)</f>
        <v>0</v>
      </c>
      <c r="S31" t="str">
        <f>COUNTIF($S$5:$S$24,$A1020)</f>
        <v>0</v>
      </c>
      <c r="T31" t="str">
        <f>COUNTIF($T$5:$T$24,$A1020)</f>
        <v>0</v>
      </c>
      <c r="U31" t="str">
        <f>COUNTIF($U$5:$U$24,$A1020)</f>
        <v>0</v>
      </c>
      <c r="V31" t="str">
        <f>COUNTIF($V$5:$V$24,$A1020)</f>
        <v>0</v>
      </c>
      <c r="W31" t="str">
        <f>COUNTIF($W$5:$W$24,$A1020)</f>
        <v>0</v>
      </c>
    </row>
    <row r="32" spans="1:25">
      <c r="A32" t="s">
        <v>1</v>
      </c>
      <c r="B32" t="str">
        <f>COUNTIF($B$5:$B$24,$A1021)</f>
        <v>0</v>
      </c>
      <c r="C32" t="str">
        <f>COUNTIF($C$5:$C$24,$A1021)</f>
        <v>0</v>
      </c>
      <c r="D32" t="str">
        <f>COUNTIF($D$5:$D$24,$A1021)</f>
        <v>0</v>
      </c>
      <c r="E32" t="str">
        <f>COUNTIF($E$5:$E$24,$A1021)</f>
        <v>0</v>
      </c>
      <c r="F32" t="str">
        <f>COUNTIF($F$5:$F$24,$A1021)</f>
        <v>0</v>
      </c>
      <c r="G32" t="str">
        <f>COUNTIF($G$5:$G$24,$A1021)</f>
        <v>0</v>
      </c>
      <c r="H32" t="str">
        <f>COUNTIF($H$5:$H$24,$A1021)</f>
        <v>0</v>
      </c>
      <c r="I32" t="str">
        <f>COUNTIF($I$5:$I$24,$A1021)</f>
        <v>0</v>
      </c>
      <c r="J32" t="str">
        <f>COUNTIF($J$5:$J$24,$A1021)</f>
        <v>0</v>
      </c>
      <c r="K32" t="str">
        <f>COUNTIF($K$5:$K$24,$A1021)</f>
        <v>0</v>
      </c>
      <c r="L32" t="str">
        <f>COUNTIF($L$5:$L$24,$A1021)</f>
        <v>0</v>
      </c>
      <c r="M32" t="str">
        <f>COUNTIF($M$5:$M$24,$A1021)</f>
        <v>0</v>
      </c>
      <c r="N32" t="str">
        <f>COUNTIF($N$5:$N$24,$A1021)</f>
        <v>0</v>
      </c>
      <c r="O32" t="str">
        <f>COUNTIF($O$5:$O$24,$A1021)</f>
        <v>0</v>
      </c>
      <c r="P32" t="str">
        <f>COUNTIF($P$5:$P$24,$A1021)</f>
        <v>0</v>
      </c>
      <c r="Q32" t="str">
        <f>COUNTIF($Q$5:$Q$24,$A1021)</f>
        <v>0</v>
      </c>
      <c r="R32" t="str">
        <f>COUNTIF($R$5:$R$24,$A1021)</f>
        <v>0</v>
      </c>
      <c r="S32" t="str">
        <f>COUNTIF($S$5:$S$24,$A1021)</f>
        <v>0</v>
      </c>
      <c r="T32" t="str">
        <f>COUNTIF($T$5:$T$24,$A1021)</f>
        <v>0</v>
      </c>
      <c r="U32" t="str">
        <f>COUNTIF($U$5:$U$24,$A1021)</f>
        <v>0</v>
      </c>
      <c r="V32" t="str">
        <f>COUNTIF($V$5:$V$24,$A1021)</f>
        <v>0</v>
      </c>
      <c r="W32" t="str">
        <f>COUNTIF($W$5:$W$24,$A1021)</f>
        <v>0</v>
      </c>
    </row>
    <row r="33" spans="1:25">
      <c r="A33" t="s">
        <v>1</v>
      </c>
      <c r="B33" t="str">
        <f>COUNTIF($B$5:$B$24,$A1022)</f>
        <v>0</v>
      </c>
      <c r="C33" t="str">
        <f>COUNTIF($C$5:$C$24,$A1022)</f>
        <v>0</v>
      </c>
      <c r="D33" t="str">
        <f>COUNTIF($D$5:$D$24,$A1022)</f>
        <v>0</v>
      </c>
      <c r="E33" t="str">
        <f>COUNTIF($E$5:$E$24,$A1022)</f>
        <v>0</v>
      </c>
      <c r="F33" t="str">
        <f>COUNTIF($F$5:$F$24,$A1022)</f>
        <v>0</v>
      </c>
      <c r="G33" t="str">
        <f>COUNTIF($G$5:$G$24,$A1022)</f>
        <v>0</v>
      </c>
      <c r="H33" t="str">
        <f>COUNTIF($H$5:$H$24,$A1022)</f>
        <v>0</v>
      </c>
      <c r="I33" t="str">
        <f>COUNTIF($I$5:$I$24,$A1022)</f>
        <v>0</v>
      </c>
      <c r="J33" t="str">
        <f>COUNTIF($J$5:$J$24,$A1022)</f>
        <v>0</v>
      </c>
      <c r="K33" t="str">
        <f>COUNTIF($K$5:$K$24,$A1022)</f>
        <v>0</v>
      </c>
      <c r="L33" t="str">
        <f>COUNTIF($L$5:$L$24,$A1022)</f>
        <v>0</v>
      </c>
      <c r="M33" t="str">
        <f>COUNTIF($M$5:$M$24,$A1022)</f>
        <v>0</v>
      </c>
      <c r="N33" t="str">
        <f>COUNTIF($N$5:$N$24,$A1022)</f>
        <v>0</v>
      </c>
      <c r="O33" t="str">
        <f>COUNTIF($O$5:$O$24,$A1022)</f>
        <v>0</v>
      </c>
      <c r="P33" t="str">
        <f>COUNTIF($P$5:$P$24,$A1022)</f>
        <v>0</v>
      </c>
      <c r="Q33" t="str">
        <f>COUNTIF($Q$5:$Q$24,$A1022)</f>
        <v>0</v>
      </c>
      <c r="R33" t="str">
        <f>COUNTIF($R$5:$R$24,$A1022)</f>
        <v>0</v>
      </c>
      <c r="S33" t="str">
        <f>COUNTIF($S$5:$S$24,$A1022)</f>
        <v>0</v>
      </c>
      <c r="T33" t="str">
        <f>COUNTIF($T$5:$T$24,$A1022)</f>
        <v>0</v>
      </c>
      <c r="U33" t="str">
        <f>COUNTIF($U$5:$U$24,$A1022)</f>
        <v>0</v>
      </c>
      <c r="V33" t="str">
        <f>COUNTIF($V$5:$V$24,$A1022)</f>
        <v>0</v>
      </c>
      <c r="W33" t="str">
        <f>COUNTIF($W$5:$W$24,$A1022)</f>
        <v>0</v>
      </c>
    </row>
    <row r="34" spans="1:25">
      <c r="A34" t="s">
        <v>1</v>
      </c>
      <c r="B34" t="str">
        <f>COUNTIF($B$5:$B$24,$A1023)</f>
        <v>0</v>
      </c>
      <c r="C34" t="str">
        <f>COUNTIF($C$5:$C$24,$A1023)</f>
        <v>0</v>
      </c>
      <c r="D34" t="str">
        <f>COUNTIF($D$5:$D$24,$A1023)</f>
        <v>0</v>
      </c>
      <c r="E34" t="str">
        <f>COUNTIF($E$5:$E$24,$A1023)</f>
        <v>0</v>
      </c>
      <c r="F34" t="str">
        <f>COUNTIF($F$5:$F$24,$A1023)</f>
        <v>0</v>
      </c>
      <c r="G34" t="str">
        <f>COUNTIF($G$5:$G$24,$A1023)</f>
        <v>0</v>
      </c>
      <c r="H34" t="str">
        <f>COUNTIF($H$5:$H$24,$A1023)</f>
        <v>0</v>
      </c>
      <c r="I34" t="str">
        <f>COUNTIF($I$5:$I$24,$A1023)</f>
        <v>0</v>
      </c>
      <c r="J34" t="str">
        <f>COUNTIF($J$5:$J$24,$A1023)</f>
        <v>0</v>
      </c>
      <c r="K34" t="str">
        <f>COUNTIF($K$5:$K$24,$A1023)</f>
        <v>0</v>
      </c>
      <c r="L34" t="str">
        <f>COUNTIF($L$5:$L$24,$A1023)</f>
        <v>0</v>
      </c>
      <c r="M34" t="str">
        <f>COUNTIF($M$5:$M$24,$A1023)</f>
        <v>0</v>
      </c>
      <c r="N34" t="str">
        <f>COUNTIF($N$5:$N$24,$A1023)</f>
        <v>0</v>
      </c>
      <c r="O34" t="str">
        <f>COUNTIF($O$5:$O$24,$A1023)</f>
        <v>0</v>
      </c>
      <c r="P34" t="str">
        <f>COUNTIF($P$5:$P$24,$A1023)</f>
        <v>0</v>
      </c>
      <c r="Q34" t="str">
        <f>COUNTIF($Q$5:$Q$24,$A1023)</f>
        <v>0</v>
      </c>
      <c r="R34" t="str">
        <f>COUNTIF($R$5:$R$24,$A1023)</f>
        <v>0</v>
      </c>
      <c r="S34" t="str">
        <f>COUNTIF($S$5:$S$24,$A1023)</f>
        <v>0</v>
      </c>
      <c r="T34" t="str">
        <f>COUNTIF($T$5:$T$24,$A1023)</f>
        <v>0</v>
      </c>
      <c r="U34" t="str">
        <f>COUNTIF($U$5:$U$24,$A1023)</f>
        <v>0</v>
      </c>
      <c r="V34" t="str">
        <f>COUNTIF($V$5:$V$24,$A1023)</f>
        <v>0</v>
      </c>
      <c r="W34" t="str">
        <f>COUNTIF($W$5:$W$24,$A1023)</f>
        <v>0</v>
      </c>
    </row>
    <row r="35" spans="1:25">
      <c r="A35" t="s">
        <v>1</v>
      </c>
      <c r="B35" t="str">
        <f>COUNTIF($B$5:$B$24,$A1024)</f>
        <v>0</v>
      </c>
      <c r="C35" t="str">
        <f>COUNTIF($C$5:$C$24,$A1024)</f>
        <v>0</v>
      </c>
      <c r="D35" t="str">
        <f>COUNTIF($D$5:$D$24,$A1024)</f>
        <v>0</v>
      </c>
      <c r="E35" t="str">
        <f>COUNTIF($E$5:$E$24,$A1024)</f>
        <v>0</v>
      </c>
      <c r="F35" t="str">
        <f>COUNTIF($F$5:$F$24,$A1024)</f>
        <v>0</v>
      </c>
      <c r="G35" t="str">
        <f>COUNTIF($G$5:$G$24,$A1024)</f>
        <v>0</v>
      </c>
      <c r="H35" t="str">
        <f>COUNTIF($H$5:$H$24,$A1024)</f>
        <v>0</v>
      </c>
      <c r="I35" t="str">
        <f>COUNTIF($I$5:$I$24,$A1024)</f>
        <v>0</v>
      </c>
      <c r="J35" t="str">
        <f>COUNTIF($J$5:$J$24,$A1024)</f>
        <v>0</v>
      </c>
      <c r="K35" t="str">
        <f>COUNTIF($K$5:$K$24,$A1024)</f>
        <v>0</v>
      </c>
      <c r="L35" t="str">
        <f>COUNTIF($L$5:$L$24,$A1024)</f>
        <v>0</v>
      </c>
      <c r="M35" t="str">
        <f>COUNTIF($M$5:$M$24,$A1024)</f>
        <v>0</v>
      </c>
      <c r="N35" t="str">
        <f>COUNTIF($N$5:$N$24,$A1024)</f>
        <v>0</v>
      </c>
      <c r="O35" t="str">
        <f>COUNTIF($O$5:$O$24,$A1024)</f>
        <v>0</v>
      </c>
      <c r="P35" t="str">
        <f>COUNTIF($P$5:$P$24,$A1024)</f>
        <v>0</v>
      </c>
      <c r="Q35" t="str">
        <f>COUNTIF($Q$5:$Q$24,$A1024)</f>
        <v>0</v>
      </c>
      <c r="R35" t="str">
        <f>COUNTIF($R$5:$R$24,$A1024)</f>
        <v>0</v>
      </c>
      <c r="S35" t="str">
        <f>COUNTIF($S$5:$S$24,$A1024)</f>
        <v>0</v>
      </c>
      <c r="T35" t="str">
        <f>COUNTIF($T$5:$T$24,$A1024)</f>
        <v>0</v>
      </c>
      <c r="U35" t="str">
        <f>COUNTIF($U$5:$U$24,$A1024)</f>
        <v>0</v>
      </c>
      <c r="V35" t="str">
        <f>COUNTIF($V$5:$V$24,$A1024)</f>
        <v>0</v>
      </c>
      <c r="W35" t="str">
        <f>COUNTIF($W$5:$W$24,$A1024)</f>
        <v>0</v>
      </c>
    </row>
    <row r="36" spans="1:25">
      <c r="A36" t="s">
        <v>2</v>
      </c>
      <c r="B36" t="str">
        <f>SUM($B31:$B35)</f>
        <v>0</v>
      </c>
      <c r="C36" t="str">
        <f>SUM($C31:$C35)</f>
        <v>0</v>
      </c>
      <c r="D36" t="str">
        <f>SUM($D31:$D35)</f>
        <v>0</v>
      </c>
      <c r="E36" t="str">
        <f>SUM($E31:$E35)</f>
        <v>0</v>
      </c>
      <c r="F36" t="str">
        <f>SUM($F31:$F35)</f>
        <v>0</v>
      </c>
      <c r="G36" t="str">
        <f>SUM($G31:$G35)</f>
        <v>0</v>
      </c>
      <c r="H36" t="str">
        <f>SUM($H31:$H35)</f>
        <v>0</v>
      </c>
      <c r="I36" t="str">
        <f>SUM($I31:$I35)</f>
        <v>0</v>
      </c>
      <c r="J36" t="str">
        <f>SUM($J31:$J35)</f>
        <v>0</v>
      </c>
      <c r="K36" t="str">
        <f>SUM($K31:$K35)</f>
        <v>0</v>
      </c>
      <c r="L36" t="str">
        <f>SUM($L31:$L35)</f>
        <v>0</v>
      </c>
      <c r="M36" t="str">
        <f>SUM($M31:$M35)</f>
        <v>0</v>
      </c>
      <c r="N36" t="str">
        <f>SUM($N31:$N35)</f>
        <v>0</v>
      </c>
      <c r="O36" t="str">
        <f>SUM($O31:$O35)</f>
        <v>0</v>
      </c>
      <c r="P36" t="str">
        <f>SUM($P31:$P35)</f>
        <v>0</v>
      </c>
      <c r="Q36" t="str">
        <f>SUM($Q31:$Q35)</f>
        <v>0</v>
      </c>
      <c r="R36" t="str">
        <f>SUM($R31:$R35)</f>
        <v>0</v>
      </c>
      <c r="S36" t="str">
        <f>SUM($S31:$S35)</f>
        <v>0</v>
      </c>
      <c r="T36" t="str">
        <f>SUM($T31:$T35)</f>
        <v>0</v>
      </c>
      <c r="U36" t="str">
        <f>SUM($U31:$U35)</f>
        <v>0</v>
      </c>
      <c r="V36" t="str">
        <f>SUM($V31:$V35)</f>
        <v>0</v>
      </c>
      <c r="W36" t="str">
        <f>SUM($W31:$W35)</f>
        <v>0</v>
      </c>
    </row>
    <row r="37" spans="1:25">
      <c r="A37" t="s">
        <v>52</v>
      </c>
      <c r="B37" s="5" t="str">
        <f>($B31/$B36)</f>
        <v>0</v>
      </c>
      <c r="C37" s="5" t="str">
        <f>($C31/$C36)</f>
        <v>0</v>
      </c>
      <c r="D37" s="5" t="str">
        <f>($D31/$D36)</f>
        <v>0</v>
      </c>
      <c r="E37" s="5" t="str">
        <f>($E31/$E36)</f>
        <v>0</v>
      </c>
      <c r="F37" s="5" t="str">
        <f>($F31/$F36)</f>
        <v>0</v>
      </c>
      <c r="G37" s="5" t="str">
        <f>($G31/$G36)</f>
        <v>0</v>
      </c>
      <c r="H37" s="5" t="str">
        <f>($H31/$H36)</f>
        <v>0</v>
      </c>
      <c r="I37" s="5" t="str">
        <f>($I31/$I36)</f>
        <v>0</v>
      </c>
      <c r="J37" s="5" t="str">
        <f>($J31/$J36)</f>
        <v>0</v>
      </c>
      <c r="K37" s="5" t="str">
        <f>($K31/$K36)</f>
        <v>0</v>
      </c>
      <c r="L37" s="5" t="str">
        <f>($L31/$L36)</f>
        <v>0</v>
      </c>
      <c r="M37" s="5" t="str">
        <f>($M31/$M36)</f>
        <v>0</v>
      </c>
      <c r="N37" s="5" t="str">
        <f>($N31/$N36)</f>
        <v>0</v>
      </c>
      <c r="O37" s="5" t="str">
        <f>($O31/$O36)</f>
        <v>0</v>
      </c>
      <c r="P37" s="5" t="str">
        <f>($P31/$P36)</f>
        <v>0</v>
      </c>
      <c r="Q37" s="5" t="str">
        <f>($Q31/$Q36)</f>
        <v>0</v>
      </c>
      <c r="R37" s="5" t="str">
        <f>($R31/$R36)</f>
        <v>0</v>
      </c>
      <c r="S37" s="5" t="str">
        <f>($S31/$S36)</f>
        <v>0</v>
      </c>
      <c r="T37" s="5" t="str">
        <f>($T31/$T36)</f>
        <v>0</v>
      </c>
      <c r="U37" s="5" t="str">
        <f>($U31/$U36)</f>
        <v>0</v>
      </c>
      <c r="V37" s="5" t="str">
        <f>($V31/$V36)</f>
        <v>0</v>
      </c>
      <c r="W37" s="5" t="str">
        <f>($W31/$W36)</f>
        <v>0</v>
      </c>
    </row>
    <row r="38" spans="1:25">
      <c r="A38" t="s">
        <v>52</v>
      </c>
      <c r="B38" s="5" t="str">
        <f>($B32/$B36)</f>
        <v>0</v>
      </c>
      <c r="C38" s="5" t="str">
        <f>($C32/$C36)</f>
        <v>0</v>
      </c>
      <c r="D38" s="5" t="str">
        <f>($D32/$D36)</f>
        <v>0</v>
      </c>
      <c r="E38" s="5" t="str">
        <f>($E32/$E36)</f>
        <v>0</v>
      </c>
      <c r="F38" s="5" t="str">
        <f>($F32/$F36)</f>
        <v>0</v>
      </c>
      <c r="G38" s="5" t="str">
        <f>($G32/$G36)</f>
        <v>0</v>
      </c>
      <c r="H38" s="5" t="str">
        <f>($H32/$H36)</f>
        <v>0</v>
      </c>
      <c r="I38" s="5" t="str">
        <f>($I32/$I36)</f>
        <v>0</v>
      </c>
      <c r="J38" s="5" t="str">
        <f>($J32/$J36)</f>
        <v>0</v>
      </c>
      <c r="K38" s="5" t="str">
        <f>($K32/$K36)</f>
        <v>0</v>
      </c>
      <c r="L38" s="5" t="str">
        <f>($L32/$L36)</f>
        <v>0</v>
      </c>
      <c r="M38" s="5" t="str">
        <f>($M32/$M36)</f>
        <v>0</v>
      </c>
      <c r="N38" s="5" t="str">
        <f>($N32/$N36)</f>
        <v>0</v>
      </c>
      <c r="O38" s="5" t="str">
        <f>($O32/$O36)</f>
        <v>0</v>
      </c>
      <c r="P38" s="5" t="str">
        <f>($P32/$P36)</f>
        <v>0</v>
      </c>
      <c r="Q38" s="5" t="str">
        <f>($Q32/$Q36)</f>
        <v>0</v>
      </c>
      <c r="R38" s="5" t="str">
        <f>($R32/$R36)</f>
        <v>0</v>
      </c>
      <c r="S38" s="5" t="str">
        <f>($S32/$S36)</f>
        <v>0</v>
      </c>
      <c r="T38" s="5" t="str">
        <f>($T32/$T36)</f>
        <v>0</v>
      </c>
      <c r="U38" s="5" t="str">
        <f>($U32/$U36)</f>
        <v>0</v>
      </c>
      <c r="V38" s="5" t="str">
        <f>($V32/$V36)</f>
        <v>0</v>
      </c>
      <c r="W38" s="5" t="str">
        <f>($W32/$W36)</f>
        <v>0</v>
      </c>
    </row>
    <row r="39" spans="1:25">
      <c r="A39" t="s">
        <v>52</v>
      </c>
      <c r="B39" s="5" t="str">
        <f>($B33/$B36)</f>
        <v>0</v>
      </c>
      <c r="C39" s="5" t="str">
        <f>($C33/$C36)</f>
        <v>0</v>
      </c>
      <c r="D39" s="5" t="str">
        <f>($D33/$D36)</f>
        <v>0</v>
      </c>
      <c r="E39" s="5" t="str">
        <f>($E33/$E36)</f>
        <v>0</v>
      </c>
      <c r="F39" s="5" t="str">
        <f>($F33/$F36)</f>
        <v>0</v>
      </c>
      <c r="G39" s="5" t="str">
        <f>($G33/$G36)</f>
        <v>0</v>
      </c>
      <c r="H39" s="5" t="str">
        <f>($H33/$H36)</f>
        <v>0</v>
      </c>
      <c r="I39" s="5" t="str">
        <f>($I33/$I36)</f>
        <v>0</v>
      </c>
      <c r="J39" s="5" t="str">
        <f>($J33/$J36)</f>
        <v>0</v>
      </c>
      <c r="K39" s="5" t="str">
        <f>($K33/$K36)</f>
        <v>0</v>
      </c>
      <c r="L39" s="5" t="str">
        <f>($L33/$L36)</f>
        <v>0</v>
      </c>
      <c r="M39" s="5" t="str">
        <f>($M33/$M36)</f>
        <v>0</v>
      </c>
      <c r="N39" s="5" t="str">
        <f>($N33/$N36)</f>
        <v>0</v>
      </c>
      <c r="O39" s="5" t="str">
        <f>($O33/$O36)</f>
        <v>0</v>
      </c>
      <c r="P39" s="5" t="str">
        <f>($P33/$P36)</f>
        <v>0</v>
      </c>
      <c r="Q39" s="5" t="str">
        <f>($Q33/$Q36)</f>
        <v>0</v>
      </c>
      <c r="R39" s="5" t="str">
        <f>($R33/$R36)</f>
        <v>0</v>
      </c>
      <c r="S39" s="5" t="str">
        <f>($S33/$S36)</f>
        <v>0</v>
      </c>
      <c r="T39" s="5" t="str">
        <f>($T33/$T36)</f>
        <v>0</v>
      </c>
      <c r="U39" s="5" t="str">
        <f>($U33/$U36)</f>
        <v>0</v>
      </c>
      <c r="V39" s="5" t="str">
        <f>($V33/$V36)</f>
        <v>0</v>
      </c>
      <c r="W39" s="5" t="str">
        <f>($W33/$W36)</f>
        <v>0</v>
      </c>
    </row>
    <row r="40" spans="1:25">
      <c r="A40" t="s">
        <v>52</v>
      </c>
      <c r="B40" s="5" t="str">
        <f>($B34/$B36)</f>
        <v>0</v>
      </c>
      <c r="C40" s="5" t="str">
        <f>($C34/$C36)</f>
        <v>0</v>
      </c>
      <c r="D40" s="5" t="str">
        <f>($D34/$D36)</f>
        <v>0</v>
      </c>
      <c r="E40" s="5" t="str">
        <f>($E34/$E36)</f>
        <v>0</v>
      </c>
      <c r="F40" s="5" t="str">
        <f>($F34/$F36)</f>
        <v>0</v>
      </c>
      <c r="G40" s="5" t="str">
        <f>($G34/$G36)</f>
        <v>0</v>
      </c>
      <c r="H40" s="5" t="str">
        <f>($H34/$H36)</f>
        <v>0</v>
      </c>
      <c r="I40" s="5" t="str">
        <f>($I34/$I36)</f>
        <v>0</v>
      </c>
      <c r="J40" s="5" t="str">
        <f>($J34/$J36)</f>
        <v>0</v>
      </c>
      <c r="K40" s="5" t="str">
        <f>($K34/$K36)</f>
        <v>0</v>
      </c>
      <c r="L40" s="5" t="str">
        <f>($L34/$L36)</f>
        <v>0</v>
      </c>
      <c r="M40" s="5" t="str">
        <f>($M34/$M36)</f>
        <v>0</v>
      </c>
      <c r="N40" s="5" t="str">
        <f>($N34/$N36)</f>
        <v>0</v>
      </c>
      <c r="O40" s="5" t="str">
        <f>($O34/$O36)</f>
        <v>0</v>
      </c>
      <c r="P40" s="5" t="str">
        <f>($P34/$P36)</f>
        <v>0</v>
      </c>
      <c r="Q40" s="5" t="str">
        <f>($Q34/$Q36)</f>
        <v>0</v>
      </c>
      <c r="R40" s="5" t="str">
        <f>($R34/$R36)</f>
        <v>0</v>
      </c>
      <c r="S40" s="5" t="str">
        <f>($S34/$S36)</f>
        <v>0</v>
      </c>
      <c r="T40" s="5" t="str">
        <f>($T34/$T36)</f>
        <v>0</v>
      </c>
      <c r="U40" s="5" t="str">
        <f>($U34/$U36)</f>
        <v>0</v>
      </c>
      <c r="V40" s="5" t="str">
        <f>($V34/$V36)</f>
        <v>0</v>
      </c>
      <c r="W40" s="5" t="str">
        <f>($W34/$W36)</f>
        <v>0</v>
      </c>
    </row>
    <row r="41" spans="1:25">
      <c r="A41" t="s">
        <v>52</v>
      </c>
      <c r="B41" s="5" t="str">
        <f>($B35/$B36)</f>
        <v>0</v>
      </c>
      <c r="C41" s="5" t="str">
        <f>($C35/$C36)</f>
        <v>0</v>
      </c>
      <c r="D41" s="5" t="str">
        <f>($D35/$D36)</f>
        <v>0</v>
      </c>
      <c r="E41" s="5" t="str">
        <f>($E35/$E36)</f>
        <v>0</v>
      </c>
      <c r="F41" s="5" t="str">
        <f>($F35/$F36)</f>
        <v>0</v>
      </c>
      <c r="G41" s="5" t="str">
        <f>($G35/$G36)</f>
        <v>0</v>
      </c>
      <c r="H41" s="5" t="str">
        <f>($H35/$H36)</f>
        <v>0</v>
      </c>
      <c r="I41" s="5" t="str">
        <f>($I35/$I36)</f>
        <v>0</v>
      </c>
      <c r="J41" s="5" t="str">
        <f>($J35/$J36)</f>
        <v>0</v>
      </c>
      <c r="K41" s="5" t="str">
        <f>($K35/$K36)</f>
        <v>0</v>
      </c>
      <c r="L41" s="5" t="str">
        <f>($L35/$L36)</f>
        <v>0</v>
      </c>
      <c r="M41" s="5" t="str">
        <f>($M35/$M36)</f>
        <v>0</v>
      </c>
      <c r="N41" s="5" t="str">
        <f>($N35/$N36)</f>
        <v>0</v>
      </c>
      <c r="O41" s="5" t="str">
        <f>($O35/$O36)</f>
        <v>0</v>
      </c>
      <c r="P41" s="5" t="str">
        <f>($P35/$P36)</f>
        <v>0</v>
      </c>
      <c r="Q41" s="5" t="str">
        <f>($Q35/$Q36)</f>
        <v>0</v>
      </c>
      <c r="R41" s="5" t="str">
        <f>($R35/$R36)</f>
        <v>0</v>
      </c>
      <c r="S41" s="5" t="str">
        <f>($S35/$S36)</f>
        <v>0</v>
      </c>
      <c r="T41" s="5" t="str">
        <f>($T35/$T36)</f>
        <v>0</v>
      </c>
      <c r="U41" s="5" t="str">
        <f>($U35/$U36)</f>
        <v>0</v>
      </c>
      <c r="V41" s="5" t="str">
        <f>($V35/$V36)</f>
        <v>0</v>
      </c>
      <c r="W41" s="5" t="str">
        <f>($W35/$W36)</f>
        <v>0</v>
      </c>
    </row>
    <row r="42" spans="1:25">
      <c r="A42" t="s">
        <v>53</v>
      </c>
      <c r="B42" s="5" t="str">
        <f>SUM($B37:$B41)</f>
        <v>0</v>
      </c>
      <c r="C42" s="5" t="str">
        <f>SUM($C37:$C41)</f>
        <v>0</v>
      </c>
      <c r="D42" s="5" t="str">
        <f>SUM($D37:$D41)</f>
        <v>0</v>
      </c>
      <c r="E42" s="5" t="str">
        <f>SUM($E37:$E41)</f>
        <v>0</v>
      </c>
      <c r="F42" s="5" t="str">
        <f>SUM($F37:$F41)</f>
        <v>0</v>
      </c>
      <c r="G42" s="5" t="str">
        <f>SUM($G37:$G41)</f>
        <v>0</v>
      </c>
      <c r="H42" s="5" t="str">
        <f>SUM($H37:$H41)</f>
        <v>0</v>
      </c>
      <c r="I42" s="5" t="str">
        <f>SUM($I37:$I41)</f>
        <v>0</v>
      </c>
      <c r="J42" s="5" t="str">
        <f>SUM($J37:$J41)</f>
        <v>0</v>
      </c>
      <c r="K42" s="5" t="str">
        <f>SUM($K37:$K41)</f>
        <v>0</v>
      </c>
      <c r="L42" s="5" t="str">
        <f>SUM($L37:$L41)</f>
        <v>0</v>
      </c>
      <c r="M42" s="5" t="str">
        <f>SUM($M37:$M41)</f>
        <v>0</v>
      </c>
      <c r="N42" s="5" t="str">
        <f>SUM($N37:$N41)</f>
        <v>0</v>
      </c>
      <c r="O42" s="5" t="str">
        <f>SUM($O37:$O41)</f>
        <v>0</v>
      </c>
      <c r="P42" s="5" t="str">
        <f>SUM($P37:$P41)</f>
        <v>0</v>
      </c>
      <c r="Q42" s="5" t="str">
        <f>SUM($Q37:$Q41)</f>
        <v>0</v>
      </c>
      <c r="R42" s="5" t="str">
        <f>SUM($R37:$R41)</f>
        <v>0</v>
      </c>
      <c r="S42" s="5" t="str">
        <f>SUM($S37:$S41)</f>
        <v>0</v>
      </c>
      <c r="T42" s="5" t="str">
        <f>SUM($T37:$T41)</f>
        <v>0</v>
      </c>
      <c r="U42" s="5" t="str">
        <f>SUM($U37:$U41)</f>
        <v>0</v>
      </c>
      <c r="V42" s="5" t="str">
        <f>SUM($V37:$V41)</f>
        <v>0</v>
      </c>
      <c r="W42" s="5" t="str">
        <f>SUM($W37:$W41)</f>
        <v>0</v>
      </c>
    </row>
    <row r="1020" spans="1:25">
      <c r="A1020" s="4">
        <v>1</v>
      </c>
    </row>
    <row r="1021" spans="1:25">
      <c r="A1021" s="4">
        <v>2</v>
      </c>
    </row>
    <row r="1022" spans="1:25">
      <c r="A1022" s="4">
        <v>3</v>
      </c>
    </row>
    <row r="1023" spans="1:25">
      <c r="A1023" s="4">
        <v>4</v>
      </c>
    </row>
    <row r="1024" spans="1:25">
      <c r="A1024" s="4">
        <v>5</v>
      </c>
    </row>
    <row r="1025" spans="1:25">
      <c r="B1025" t="str">
        <f>SUM($B1020:$B1024)</f>
        <v>0</v>
      </c>
      <c r="C1025" t="str">
        <f>SUM($C1020:$C1024)</f>
        <v>0</v>
      </c>
      <c r="D1025" t="str">
        <f>SUM($D1020:$D1024)</f>
        <v>0</v>
      </c>
      <c r="E1025" t="str">
        <f>SUM($E1020:$E1024)</f>
        <v>0</v>
      </c>
      <c r="F1025" t="str">
        <f>SUM($F1020:$F1024)</f>
        <v>0</v>
      </c>
      <c r="G1025" t="str">
        <f>SUM($G1020:$G1024)</f>
        <v>0</v>
      </c>
      <c r="H1025" t="str">
        <f>SUM($H1020:$H1024)</f>
        <v>0</v>
      </c>
      <c r="I1025" t="str">
        <f>SUM($I1020:$I1024)</f>
        <v>0</v>
      </c>
      <c r="J1025" t="str">
        <f>SUM($J1020:$J1024)</f>
        <v>0</v>
      </c>
      <c r="K1025" t="str">
        <f>SUM($K1020:$K1024)</f>
        <v>0</v>
      </c>
      <c r="L1025" t="str">
        <f>SUM($L1020:$L1024)</f>
        <v>0</v>
      </c>
      <c r="M1025" t="str">
        <f>SUM($M1020:$M1024)</f>
        <v>0</v>
      </c>
      <c r="N1025" t="str">
        <f>SUM($N1020:$N1024)</f>
        <v>0</v>
      </c>
      <c r="O1025" t="str">
        <f>SUM($O1020:$O1024)</f>
        <v>0</v>
      </c>
      <c r="P1025" t="str">
        <f>SUM($P1020:$P1024)</f>
        <v>0</v>
      </c>
      <c r="Q1025" t="str">
        <f>SUM($Q1020:$Q1024)</f>
        <v>0</v>
      </c>
      <c r="R1025" t="str">
        <f>SUM($R1020:$R1024)</f>
        <v>0</v>
      </c>
      <c r="S1025" t="str">
        <f>SUM($S1020:$S1024)</f>
        <v>0</v>
      </c>
      <c r="T1025" t="str">
        <f>SUM($T1020:$T1024)</f>
        <v>0</v>
      </c>
      <c r="U1025" t="str">
        <f>SUM($U1020:$U1024)</f>
        <v>0</v>
      </c>
      <c r="V1025" t="str">
        <f>SUM($V1020:$V1024)</f>
        <v>0</v>
      </c>
      <c r="W1025" t="str">
        <f>SUM($W1020:$W1024)</f>
        <v>0</v>
      </c>
    </row>
    <row r="1026" spans="1:25">
      <c r="B1026" s="5"/>
      <c r="C1026" s="5"/>
      <c r="D1026" s="5"/>
      <c r="E1026" s="5"/>
      <c r="F1026" s="5"/>
      <c r="G1026" s="5"/>
      <c r="H1026" s="5"/>
      <c r="I1026" s="5"/>
      <c r="J1026" s="5"/>
      <c r="K1026" s="5"/>
      <c r="L1026" s="5"/>
      <c r="M1026" s="5"/>
      <c r="N1026" s="5"/>
      <c r="O1026" s="5"/>
      <c r="P1026" s="5"/>
      <c r="Q1026" s="5"/>
      <c r="R1026" s="5"/>
      <c r="S1026" s="5"/>
      <c r="T1026" s="5"/>
      <c r="U1026" s="5"/>
      <c r="V1026" s="5"/>
      <c r="W1026" s="5"/>
    </row>
    <row r="1027" spans="1:25">
      <c r="B1027" s="5"/>
      <c r="C1027" s="5"/>
      <c r="D1027" s="5"/>
      <c r="E1027" s="5"/>
      <c r="F1027" s="5"/>
      <c r="G1027" s="5"/>
      <c r="H1027" s="5"/>
      <c r="I1027" s="5"/>
      <c r="J1027" s="5"/>
      <c r="K1027" s="5"/>
      <c r="L1027" s="5"/>
      <c r="M1027" s="5"/>
      <c r="N1027" s="5"/>
      <c r="O1027" s="5"/>
      <c r="P1027" s="5"/>
      <c r="Q1027" s="5"/>
      <c r="R1027" s="5"/>
      <c r="S1027" s="5"/>
      <c r="T1027" s="5"/>
      <c r="U1027" s="5"/>
      <c r="V1027" s="5"/>
      <c r="W1027" s="5"/>
    </row>
    <row r="1028" spans="1:25">
      <c r="B1028" s="5"/>
      <c r="C1028" s="5"/>
      <c r="D1028" s="5"/>
      <c r="E1028" s="5"/>
      <c r="F1028" s="5"/>
      <c r="G1028" s="5"/>
      <c r="H1028" s="5"/>
      <c r="I1028" s="5"/>
      <c r="J1028" s="5"/>
      <c r="K1028" s="5"/>
      <c r="L1028" s="5"/>
      <c r="M1028" s="5"/>
      <c r="N1028" s="5"/>
      <c r="O1028" s="5"/>
      <c r="P1028" s="5"/>
      <c r="Q1028" s="5"/>
      <c r="R1028" s="5"/>
      <c r="S1028" s="5"/>
      <c r="T1028" s="5"/>
      <c r="U1028" s="5"/>
      <c r="V1028" s="5"/>
      <c r="W1028" s="5"/>
    </row>
    <row r="1029" spans="1:25">
      <c r="B1029" s="5"/>
      <c r="C1029" s="5"/>
      <c r="D1029" s="5"/>
      <c r="E1029" s="5"/>
      <c r="F1029" s="5"/>
      <c r="G1029" s="5"/>
      <c r="H1029" s="5"/>
      <c r="I1029" s="5"/>
      <c r="J1029" s="5"/>
      <c r="K1029" s="5"/>
      <c r="L1029" s="5"/>
      <c r="M1029" s="5"/>
      <c r="N1029" s="5"/>
      <c r="O1029" s="5"/>
      <c r="P1029" s="5"/>
      <c r="Q1029" s="5"/>
      <c r="R1029" s="5"/>
      <c r="S1029" s="5"/>
      <c r="T1029" s="5"/>
      <c r="U1029" s="5"/>
      <c r="V1029" s="5"/>
      <c r="W1029" s="5"/>
    </row>
    <row r="1030" spans="1:25">
      <c r="B1030" s="5"/>
      <c r="C1030" s="5"/>
      <c r="D1030" s="5"/>
      <c r="E1030" s="5"/>
      <c r="F1030" s="5"/>
      <c r="G1030" s="5"/>
      <c r="H1030" s="5"/>
      <c r="I1030" s="5"/>
      <c r="J1030" s="5"/>
      <c r="K1030" s="5"/>
      <c r="L1030" s="5"/>
      <c r="M1030" s="5"/>
      <c r="N1030" s="5"/>
      <c r="O1030" s="5"/>
      <c r="P1030" s="5"/>
      <c r="Q1030" s="5"/>
      <c r="R1030" s="5"/>
      <c r="S1030" s="5"/>
      <c r="T1030" s="5"/>
      <c r="U1030" s="5"/>
      <c r="V1030" s="5"/>
      <c r="W1030" s="5"/>
    </row>
    <row r="1031" spans="1:25">
      <c r="B1031" s="5" t="str">
        <f>SUM($B1026:$B1030)</f>
        <v>0</v>
      </c>
      <c r="C1031" s="5" t="str">
        <f>SUM($C1026:$C1030)</f>
        <v>0</v>
      </c>
      <c r="D1031" s="5" t="str">
        <f>SUM($D1026:$D1030)</f>
        <v>0</v>
      </c>
      <c r="E1031" s="5" t="str">
        <f>SUM($E1026:$E1030)</f>
        <v>0</v>
      </c>
      <c r="F1031" s="5" t="str">
        <f>SUM($F1026:$F1030)</f>
        <v>0</v>
      </c>
      <c r="G1031" s="5" t="str">
        <f>SUM($G1026:$G1030)</f>
        <v>0</v>
      </c>
      <c r="H1031" s="5" t="str">
        <f>SUM($H1026:$H1030)</f>
        <v>0</v>
      </c>
      <c r="I1031" s="5" t="str">
        <f>SUM($I1026:$I1030)</f>
        <v>0</v>
      </c>
      <c r="J1031" s="5" t="str">
        <f>SUM($J1026:$J1030)</f>
        <v>0</v>
      </c>
      <c r="K1031" s="5" t="str">
        <f>SUM($K1026:$K1030)</f>
        <v>0</v>
      </c>
      <c r="L1031" s="5" t="str">
        <f>SUM($L1026:$L1030)</f>
        <v>0</v>
      </c>
      <c r="M1031" s="5" t="str">
        <f>SUM($M1026:$M1030)</f>
        <v>0</v>
      </c>
      <c r="N1031" s="5" t="str">
        <f>SUM($N1026:$N1030)</f>
        <v>0</v>
      </c>
      <c r="O1031" s="5" t="str">
        <f>SUM($O1026:$O1030)</f>
        <v>0</v>
      </c>
      <c r="P1031" s="5" t="str">
        <f>SUM($P1026:$P1030)</f>
        <v>0</v>
      </c>
      <c r="Q1031" s="5" t="str">
        <f>SUM($Q1026:$Q1030)</f>
        <v>0</v>
      </c>
      <c r="R1031" s="5" t="str">
        <f>SUM($R1026:$R1030)</f>
        <v>0</v>
      </c>
      <c r="S1031" s="5" t="str">
        <f>SUM($S1026:$S1030)</f>
        <v>0</v>
      </c>
      <c r="T1031" s="5" t="str">
        <f>SUM($T1026:$T1030)</f>
        <v>0</v>
      </c>
      <c r="U1031" s="5" t="str">
        <f>SUM($U1026:$U1030)</f>
        <v>0</v>
      </c>
      <c r="V1031" s="5" t="str">
        <f>SUM($V1026:$V1030)</f>
        <v>0</v>
      </c>
      <c r="W1031" s="5" t="str">
        <f>SUM($W1026:$W1030)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Y2"/>
    <mergeCell ref="B3:W3"/>
    <mergeCell ref="X3:X3"/>
    <mergeCell ref="Y3:Y3"/>
    <mergeCell ref="B4:B4"/>
    <mergeCell ref="C4:C4"/>
    <mergeCell ref="D4:D4"/>
    <mergeCell ref="E4:E4"/>
    <mergeCell ref="F4:F4"/>
    <mergeCell ref="G4:G4"/>
    <mergeCell ref="H4:H4"/>
    <mergeCell ref="I4:I4"/>
    <mergeCell ref="J4:J4"/>
    <mergeCell ref="K4:K4"/>
    <mergeCell ref="L4:L4"/>
    <mergeCell ref="M4:M4"/>
    <mergeCell ref="N4:N4"/>
    <mergeCell ref="O4:O4"/>
    <mergeCell ref="P4:P4"/>
    <mergeCell ref="Q4:Q4"/>
    <mergeCell ref="R4:R4"/>
    <mergeCell ref="S4:S4"/>
    <mergeCell ref="T4:T4"/>
    <mergeCell ref="U4:U4"/>
    <mergeCell ref="V4:V4"/>
    <mergeCell ref="W4:W4"/>
    <mergeCell ref="A5:A5"/>
    <mergeCell ref="B5:B5"/>
    <mergeCell ref="C5:C5"/>
    <mergeCell ref="D5:D5"/>
    <mergeCell ref="E5:E5"/>
    <mergeCell ref="F5:F5"/>
    <mergeCell ref="G5:G5"/>
    <mergeCell ref="H5:H5"/>
    <mergeCell ref="I5:I5"/>
    <mergeCell ref="J5:J5"/>
    <mergeCell ref="K5:K5"/>
    <mergeCell ref="L5:L5"/>
    <mergeCell ref="M5:M5"/>
    <mergeCell ref="N5:N5"/>
    <mergeCell ref="O5:O5"/>
    <mergeCell ref="P5:P5"/>
    <mergeCell ref="Q5:Q5"/>
    <mergeCell ref="R5:R5"/>
    <mergeCell ref="S5:S5"/>
    <mergeCell ref="T5:T5"/>
    <mergeCell ref="U5:U5"/>
    <mergeCell ref="V5:V5"/>
    <mergeCell ref="W5:W5"/>
    <mergeCell ref="X5:X5"/>
    <mergeCell ref="A6:A6"/>
    <mergeCell ref="B6:B6"/>
    <mergeCell ref="C6:C6"/>
    <mergeCell ref="D6:D6"/>
    <mergeCell ref="E6:E6"/>
    <mergeCell ref="F6:F6"/>
    <mergeCell ref="G6:G6"/>
    <mergeCell ref="H6:H6"/>
    <mergeCell ref="I6:I6"/>
    <mergeCell ref="J6:J6"/>
    <mergeCell ref="K6:K6"/>
    <mergeCell ref="L6:L6"/>
    <mergeCell ref="M6:M6"/>
    <mergeCell ref="N6:N6"/>
    <mergeCell ref="O6:O6"/>
    <mergeCell ref="P6:P6"/>
    <mergeCell ref="Q6:Q6"/>
    <mergeCell ref="R6:R6"/>
    <mergeCell ref="S6:S6"/>
    <mergeCell ref="T6:T6"/>
    <mergeCell ref="U6:U6"/>
    <mergeCell ref="V6:V6"/>
    <mergeCell ref="W6:W6"/>
    <mergeCell ref="X6:X6"/>
    <mergeCell ref="A7:A7"/>
    <mergeCell ref="B7:B7"/>
    <mergeCell ref="C7:C7"/>
    <mergeCell ref="D7:D7"/>
    <mergeCell ref="E7:E7"/>
    <mergeCell ref="F7:F7"/>
    <mergeCell ref="G7:G7"/>
    <mergeCell ref="H7:H7"/>
    <mergeCell ref="I7:I7"/>
    <mergeCell ref="J7:J7"/>
    <mergeCell ref="K7:K7"/>
    <mergeCell ref="L7:L7"/>
    <mergeCell ref="M7:M7"/>
    <mergeCell ref="N7:N7"/>
    <mergeCell ref="O7:O7"/>
    <mergeCell ref="P7:P7"/>
    <mergeCell ref="Q7:Q7"/>
    <mergeCell ref="R7:R7"/>
    <mergeCell ref="S7:S7"/>
    <mergeCell ref="T7:T7"/>
    <mergeCell ref="U7:U7"/>
    <mergeCell ref="V7:V7"/>
    <mergeCell ref="W7:W7"/>
    <mergeCell ref="X7:X7"/>
    <mergeCell ref="A8:A8"/>
    <mergeCell ref="B8:B8"/>
    <mergeCell ref="C8:C8"/>
    <mergeCell ref="D8:D8"/>
    <mergeCell ref="E8:E8"/>
    <mergeCell ref="F8:F8"/>
    <mergeCell ref="G8:G8"/>
    <mergeCell ref="H8:H8"/>
    <mergeCell ref="I8:I8"/>
    <mergeCell ref="J8:J8"/>
    <mergeCell ref="K8:K8"/>
    <mergeCell ref="L8:L8"/>
    <mergeCell ref="M8:M8"/>
    <mergeCell ref="N8:N8"/>
    <mergeCell ref="O8:O8"/>
    <mergeCell ref="P8:P8"/>
    <mergeCell ref="Q8:Q8"/>
    <mergeCell ref="R8:R8"/>
    <mergeCell ref="S8:S8"/>
    <mergeCell ref="T8:T8"/>
    <mergeCell ref="U8:U8"/>
    <mergeCell ref="V8:V8"/>
    <mergeCell ref="W8:W8"/>
    <mergeCell ref="X8:X8"/>
    <mergeCell ref="A9:A9"/>
    <mergeCell ref="B9:B9"/>
    <mergeCell ref="C9:C9"/>
    <mergeCell ref="D9:D9"/>
    <mergeCell ref="E9:E9"/>
    <mergeCell ref="F9:F9"/>
    <mergeCell ref="G9:G9"/>
    <mergeCell ref="H9:H9"/>
    <mergeCell ref="I9:I9"/>
    <mergeCell ref="J9:J9"/>
    <mergeCell ref="K9:K9"/>
    <mergeCell ref="L9:L9"/>
    <mergeCell ref="M9:M9"/>
    <mergeCell ref="N9:N9"/>
    <mergeCell ref="O9:O9"/>
    <mergeCell ref="P9:P9"/>
    <mergeCell ref="Q9:Q9"/>
    <mergeCell ref="R9:R9"/>
    <mergeCell ref="S9:S9"/>
    <mergeCell ref="T9:T9"/>
    <mergeCell ref="U9:U9"/>
    <mergeCell ref="V9:V9"/>
    <mergeCell ref="W9:W9"/>
    <mergeCell ref="X9:X9"/>
    <mergeCell ref="A10:A10"/>
    <mergeCell ref="B10:B10"/>
    <mergeCell ref="C10:C10"/>
    <mergeCell ref="D10:D10"/>
    <mergeCell ref="E10:E10"/>
    <mergeCell ref="F10:F10"/>
    <mergeCell ref="G10:G10"/>
    <mergeCell ref="H10:H10"/>
    <mergeCell ref="I10:I10"/>
    <mergeCell ref="J10:J10"/>
    <mergeCell ref="K10:K10"/>
    <mergeCell ref="L10:L10"/>
    <mergeCell ref="M10:M10"/>
    <mergeCell ref="N10:N10"/>
    <mergeCell ref="O10:O10"/>
    <mergeCell ref="P10:P10"/>
    <mergeCell ref="Q10:Q10"/>
    <mergeCell ref="R10:R10"/>
    <mergeCell ref="S10:S10"/>
    <mergeCell ref="T10:T10"/>
    <mergeCell ref="U10:U10"/>
    <mergeCell ref="V10:V10"/>
    <mergeCell ref="W10:W10"/>
    <mergeCell ref="X10:X10"/>
    <mergeCell ref="A11:A11"/>
    <mergeCell ref="B11:B11"/>
    <mergeCell ref="C11:C11"/>
    <mergeCell ref="D11:D11"/>
    <mergeCell ref="E11:E11"/>
    <mergeCell ref="F11:F11"/>
    <mergeCell ref="G11:G11"/>
    <mergeCell ref="H11:H11"/>
    <mergeCell ref="I11:I11"/>
    <mergeCell ref="J11:J11"/>
    <mergeCell ref="K11:K11"/>
    <mergeCell ref="L11:L11"/>
    <mergeCell ref="M11:M11"/>
    <mergeCell ref="N11:N11"/>
    <mergeCell ref="O11:O11"/>
    <mergeCell ref="P11:P11"/>
    <mergeCell ref="Q11:Q11"/>
    <mergeCell ref="R11:R11"/>
    <mergeCell ref="S11:S11"/>
    <mergeCell ref="T11:T11"/>
    <mergeCell ref="U11:U11"/>
    <mergeCell ref="V11:V11"/>
    <mergeCell ref="W11:W11"/>
    <mergeCell ref="X11:X11"/>
    <mergeCell ref="A12:A12"/>
    <mergeCell ref="B12:B12"/>
    <mergeCell ref="C12:C12"/>
    <mergeCell ref="D12:D12"/>
    <mergeCell ref="E12:E12"/>
    <mergeCell ref="F12:F12"/>
    <mergeCell ref="G12:G12"/>
    <mergeCell ref="H12:H12"/>
    <mergeCell ref="I12:I12"/>
    <mergeCell ref="J12:J12"/>
    <mergeCell ref="K12:K12"/>
    <mergeCell ref="L12:L12"/>
    <mergeCell ref="M12:M12"/>
    <mergeCell ref="N12:N12"/>
    <mergeCell ref="O12:O12"/>
    <mergeCell ref="P12:P12"/>
    <mergeCell ref="Q12:Q12"/>
    <mergeCell ref="R12:R12"/>
    <mergeCell ref="S12:S12"/>
    <mergeCell ref="T12:T12"/>
    <mergeCell ref="U12:U12"/>
    <mergeCell ref="V12:V12"/>
    <mergeCell ref="W12:W12"/>
    <mergeCell ref="X12:X12"/>
    <mergeCell ref="A13:A13"/>
    <mergeCell ref="B13:B13"/>
    <mergeCell ref="C13:C13"/>
    <mergeCell ref="D13:D13"/>
    <mergeCell ref="E13:E13"/>
    <mergeCell ref="F13:F13"/>
    <mergeCell ref="G13:G13"/>
    <mergeCell ref="H13:H13"/>
    <mergeCell ref="I13:I13"/>
    <mergeCell ref="J13:J13"/>
    <mergeCell ref="K13:K13"/>
    <mergeCell ref="L13:L13"/>
    <mergeCell ref="M13:M13"/>
    <mergeCell ref="N13:N13"/>
    <mergeCell ref="O13:O13"/>
    <mergeCell ref="P13:P13"/>
    <mergeCell ref="Q13:Q13"/>
    <mergeCell ref="R13:R13"/>
    <mergeCell ref="S13:S13"/>
    <mergeCell ref="T13:T13"/>
    <mergeCell ref="U13:U13"/>
    <mergeCell ref="V13:V13"/>
    <mergeCell ref="W13:W13"/>
    <mergeCell ref="X13:X13"/>
    <mergeCell ref="A14:A14"/>
    <mergeCell ref="B14:B14"/>
    <mergeCell ref="C14:C14"/>
    <mergeCell ref="D14:D14"/>
    <mergeCell ref="E14:E14"/>
    <mergeCell ref="F14:F14"/>
    <mergeCell ref="G14:G14"/>
    <mergeCell ref="H14:H14"/>
    <mergeCell ref="I14:I14"/>
    <mergeCell ref="J14:J14"/>
    <mergeCell ref="K14:K14"/>
    <mergeCell ref="L14:L14"/>
    <mergeCell ref="M14:M14"/>
    <mergeCell ref="N14:N14"/>
    <mergeCell ref="O14:O14"/>
    <mergeCell ref="P14:P14"/>
    <mergeCell ref="Q14:Q14"/>
    <mergeCell ref="R14:R14"/>
    <mergeCell ref="S14:S14"/>
    <mergeCell ref="T14:T14"/>
    <mergeCell ref="U14:U14"/>
    <mergeCell ref="V14:V14"/>
    <mergeCell ref="W14:W14"/>
    <mergeCell ref="X14:X14"/>
    <mergeCell ref="A15:A15"/>
    <mergeCell ref="B15:B15"/>
    <mergeCell ref="C15:C15"/>
    <mergeCell ref="D15:D15"/>
    <mergeCell ref="E15:E15"/>
    <mergeCell ref="F15:F15"/>
    <mergeCell ref="G15:G15"/>
    <mergeCell ref="H15:H15"/>
    <mergeCell ref="I15:I15"/>
    <mergeCell ref="J15:J15"/>
    <mergeCell ref="K15:K15"/>
    <mergeCell ref="L15:L15"/>
    <mergeCell ref="M15:M15"/>
    <mergeCell ref="N15:N15"/>
    <mergeCell ref="O15:O15"/>
    <mergeCell ref="P15:P15"/>
    <mergeCell ref="Q15:Q15"/>
    <mergeCell ref="R15:R15"/>
    <mergeCell ref="S15:S15"/>
    <mergeCell ref="T15:T15"/>
    <mergeCell ref="U15:U15"/>
    <mergeCell ref="V15:V15"/>
    <mergeCell ref="W15:W15"/>
    <mergeCell ref="X15:X15"/>
    <mergeCell ref="A16:A16"/>
    <mergeCell ref="B16:B16"/>
    <mergeCell ref="C16:C16"/>
    <mergeCell ref="D16:D16"/>
    <mergeCell ref="E16:E16"/>
    <mergeCell ref="F16:F16"/>
    <mergeCell ref="G16:G16"/>
    <mergeCell ref="H16:H16"/>
    <mergeCell ref="I16:I16"/>
    <mergeCell ref="J16:J16"/>
    <mergeCell ref="K16:K16"/>
    <mergeCell ref="L16:L16"/>
    <mergeCell ref="M16:M16"/>
    <mergeCell ref="N16:N16"/>
    <mergeCell ref="O16:O16"/>
    <mergeCell ref="P16:P16"/>
    <mergeCell ref="Q16:Q16"/>
    <mergeCell ref="R16:R16"/>
    <mergeCell ref="S16:S16"/>
    <mergeCell ref="T16:T16"/>
    <mergeCell ref="U16:U16"/>
    <mergeCell ref="V16:V16"/>
    <mergeCell ref="W16:W16"/>
    <mergeCell ref="X16:X16"/>
    <mergeCell ref="A17:A17"/>
    <mergeCell ref="B17:B17"/>
    <mergeCell ref="C17:C17"/>
    <mergeCell ref="D17:D17"/>
    <mergeCell ref="E17:E17"/>
    <mergeCell ref="F17:F17"/>
    <mergeCell ref="G17:G17"/>
    <mergeCell ref="H17:H17"/>
    <mergeCell ref="I17:I17"/>
    <mergeCell ref="J17:J17"/>
    <mergeCell ref="K17:K17"/>
    <mergeCell ref="L17:L17"/>
    <mergeCell ref="M17:M17"/>
    <mergeCell ref="N17:N17"/>
    <mergeCell ref="O17:O17"/>
    <mergeCell ref="P17:P17"/>
    <mergeCell ref="Q17:Q17"/>
    <mergeCell ref="R17:R17"/>
    <mergeCell ref="S17:S17"/>
    <mergeCell ref="T17:T17"/>
    <mergeCell ref="U17:U17"/>
    <mergeCell ref="V17:V17"/>
    <mergeCell ref="W17:W17"/>
    <mergeCell ref="X17:X17"/>
    <mergeCell ref="A18:A18"/>
    <mergeCell ref="B18:B18"/>
    <mergeCell ref="C18:C18"/>
    <mergeCell ref="D18:D18"/>
    <mergeCell ref="E18:E18"/>
    <mergeCell ref="F18:F18"/>
    <mergeCell ref="G18:G18"/>
    <mergeCell ref="H18:H18"/>
    <mergeCell ref="I18:I18"/>
    <mergeCell ref="J18:J18"/>
    <mergeCell ref="K18:K18"/>
    <mergeCell ref="L18:L18"/>
    <mergeCell ref="M18:M18"/>
    <mergeCell ref="N18:N18"/>
    <mergeCell ref="O18:O18"/>
    <mergeCell ref="P18:P18"/>
    <mergeCell ref="Q18:Q18"/>
    <mergeCell ref="R18:R18"/>
    <mergeCell ref="S18:S18"/>
    <mergeCell ref="T18:T18"/>
    <mergeCell ref="U18:U18"/>
    <mergeCell ref="V18:V18"/>
    <mergeCell ref="W18:W18"/>
    <mergeCell ref="X18:X18"/>
    <mergeCell ref="A19:A19"/>
    <mergeCell ref="B19:B19"/>
    <mergeCell ref="C19:C19"/>
    <mergeCell ref="D19:D19"/>
    <mergeCell ref="E19:E19"/>
    <mergeCell ref="F19:F19"/>
    <mergeCell ref="G19:G19"/>
    <mergeCell ref="H19:H19"/>
    <mergeCell ref="I19:I19"/>
    <mergeCell ref="J19:J19"/>
    <mergeCell ref="K19:K19"/>
    <mergeCell ref="L19:L19"/>
    <mergeCell ref="M19:M19"/>
    <mergeCell ref="N19:N19"/>
    <mergeCell ref="O19:O19"/>
    <mergeCell ref="P19:P19"/>
    <mergeCell ref="Q19:Q19"/>
    <mergeCell ref="R19:R19"/>
    <mergeCell ref="S19:S19"/>
    <mergeCell ref="T19:T19"/>
    <mergeCell ref="U19:U19"/>
    <mergeCell ref="V19:V19"/>
    <mergeCell ref="W19:W19"/>
    <mergeCell ref="X19:X19"/>
    <mergeCell ref="A20:A20"/>
    <mergeCell ref="B20:B20"/>
    <mergeCell ref="C20:C20"/>
    <mergeCell ref="D20:D20"/>
    <mergeCell ref="E20:E20"/>
    <mergeCell ref="F20:F20"/>
    <mergeCell ref="G20:G20"/>
    <mergeCell ref="H20:H20"/>
    <mergeCell ref="I20:I20"/>
    <mergeCell ref="J20:J20"/>
    <mergeCell ref="K20:K20"/>
    <mergeCell ref="L20:L20"/>
    <mergeCell ref="M20:M20"/>
    <mergeCell ref="N20:N20"/>
    <mergeCell ref="O20:O20"/>
    <mergeCell ref="P20:P20"/>
    <mergeCell ref="Q20:Q20"/>
    <mergeCell ref="R20:R20"/>
    <mergeCell ref="S20:S20"/>
    <mergeCell ref="T20:T20"/>
    <mergeCell ref="U20:U20"/>
    <mergeCell ref="V20:V20"/>
    <mergeCell ref="W20:W20"/>
    <mergeCell ref="X20:X20"/>
    <mergeCell ref="A21:A21"/>
    <mergeCell ref="B21:B21"/>
    <mergeCell ref="C21:C21"/>
    <mergeCell ref="D21:D21"/>
    <mergeCell ref="E21:E21"/>
    <mergeCell ref="F21:F21"/>
    <mergeCell ref="G21:G21"/>
    <mergeCell ref="H21:H21"/>
    <mergeCell ref="I21:I21"/>
    <mergeCell ref="J21:J21"/>
    <mergeCell ref="K21:K21"/>
    <mergeCell ref="L21:L21"/>
    <mergeCell ref="M21:M21"/>
    <mergeCell ref="N21:N21"/>
    <mergeCell ref="O21:O21"/>
    <mergeCell ref="P21:P21"/>
    <mergeCell ref="Q21:Q21"/>
    <mergeCell ref="R21:R21"/>
    <mergeCell ref="S21:S21"/>
    <mergeCell ref="T21:T21"/>
    <mergeCell ref="U21:U21"/>
    <mergeCell ref="V21:V21"/>
    <mergeCell ref="W21:W21"/>
    <mergeCell ref="X21:X21"/>
    <mergeCell ref="A22:A22"/>
    <mergeCell ref="B22:B22"/>
    <mergeCell ref="C22:C22"/>
    <mergeCell ref="D22:D22"/>
    <mergeCell ref="E22:E22"/>
    <mergeCell ref="F22:F22"/>
    <mergeCell ref="G22:G22"/>
    <mergeCell ref="H22:H22"/>
    <mergeCell ref="I22:I22"/>
    <mergeCell ref="J22:J22"/>
    <mergeCell ref="K22:K22"/>
    <mergeCell ref="L22:L22"/>
    <mergeCell ref="M22:M22"/>
    <mergeCell ref="N22:N22"/>
    <mergeCell ref="O22:O22"/>
    <mergeCell ref="P22:P22"/>
    <mergeCell ref="Q22:Q22"/>
    <mergeCell ref="R22:R22"/>
    <mergeCell ref="S22:S22"/>
    <mergeCell ref="T22:T22"/>
    <mergeCell ref="U22:U22"/>
    <mergeCell ref="V22:V22"/>
    <mergeCell ref="W22:W22"/>
    <mergeCell ref="X22:X22"/>
    <mergeCell ref="A23:A23"/>
    <mergeCell ref="B23:B23"/>
    <mergeCell ref="C23:C23"/>
    <mergeCell ref="D23:D23"/>
    <mergeCell ref="E23:E23"/>
    <mergeCell ref="F23:F23"/>
    <mergeCell ref="G23:G23"/>
    <mergeCell ref="H23:H23"/>
    <mergeCell ref="I23:I23"/>
    <mergeCell ref="J23:J23"/>
    <mergeCell ref="K23:K23"/>
    <mergeCell ref="L23:L23"/>
    <mergeCell ref="M23:M23"/>
    <mergeCell ref="N23:N23"/>
    <mergeCell ref="O23:O23"/>
    <mergeCell ref="P23:P23"/>
    <mergeCell ref="Q23:Q23"/>
    <mergeCell ref="R23:R23"/>
    <mergeCell ref="S23:S23"/>
    <mergeCell ref="T23:T23"/>
    <mergeCell ref="U23:U23"/>
    <mergeCell ref="V23:V23"/>
    <mergeCell ref="W23:W23"/>
    <mergeCell ref="X23:X23"/>
    <mergeCell ref="A24:A24"/>
    <mergeCell ref="B24:B24"/>
    <mergeCell ref="C24:C24"/>
    <mergeCell ref="D24:D24"/>
    <mergeCell ref="E24:E24"/>
    <mergeCell ref="F24:F24"/>
    <mergeCell ref="G24:G24"/>
    <mergeCell ref="H24:H24"/>
    <mergeCell ref="I24:I24"/>
    <mergeCell ref="J24:J24"/>
    <mergeCell ref="K24:K24"/>
    <mergeCell ref="L24:L24"/>
    <mergeCell ref="M24:M24"/>
    <mergeCell ref="N24:N24"/>
    <mergeCell ref="O24:O24"/>
    <mergeCell ref="P24:P24"/>
    <mergeCell ref="Q24:Q24"/>
    <mergeCell ref="R24:R24"/>
    <mergeCell ref="S24:S24"/>
    <mergeCell ref="T24:T24"/>
    <mergeCell ref="U24:U24"/>
    <mergeCell ref="V24:V24"/>
    <mergeCell ref="W24:W24"/>
    <mergeCell ref="X24:X24"/>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G2205"/>
  <sheetViews>
    <sheetView tabSelected="0" workbookViewId="0" showGridLines="true" showRowColHeaders="1">
      <selection activeCell="U47" sqref="U47"/>
    </sheetView>
  </sheetViews>
  <sheetFormatPr defaultRowHeight="14.4" outlineLevelRow="0" outlineLevelCol="0"/>
  <cols>
    <col min="1" max="1" width="18.709717" bestFit="true" customWidth="true" style="0"/>
    <col min="10" max="10" width="25" customWidth="true" style="0"/>
    <col min="9" max="9" width="34.134521" bestFit="true" customWidth="true" style="0"/>
    <col min="11" max="11" width="27.70752" bestFit="true" customWidth="true" style="0"/>
    <col min="12" max="12" width="10" customWidth="true" style="0"/>
    <col min="13" max="13" width="10" customWidth="true" style="0"/>
    <col min="14" max="14" width="15" customWidth="true" style="0"/>
    <col min="15" max="15" width="10" customWidth="true" style="0"/>
    <col min="22" max="22" width="25" customWidth="true" style="0"/>
    <col min="21" max="21" width="34.134521" bestFit="true" customWidth="true" style="0"/>
    <col min="23" max="23" width="27.70752" bestFit="true" customWidth="true" style="0"/>
    <col min="24" max="24" width="10" customWidth="true" style="0"/>
    <col min="25" max="25" width="10" customWidth="true" style="0"/>
    <col min="26" max="26" width="15" customWidth="true" style="0"/>
    <col min="27" max="27" width="10" customWidth="true" style="0"/>
  </cols>
  <sheetData>
    <row r="1" spans="1:33">
      <c r="A1" s="6" t="s">
        <v>0</v>
      </c>
      <c r="B1" s="6"/>
      <c r="C1" s="6"/>
      <c r="D1" s="6"/>
      <c r="E1" s="6"/>
    </row>
    <row r="2" spans="1:33">
      <c r="A2" s="7" t="s">
        <v>54</v>
      </c>
      <c r="B2" s="9" t="s">
        <v>1</v>
      </c>
      <c r="C2" s="9"/>
      <c r="D2" s="9" t="s">
        <v>1</v>
      </c>
      <c r="E2" s="9"/>
    </row>
    <row r="3" spans="1:33">
      <c r="A3" s="7"/>
      <c r="B3" s="8" t="s">
        <v>55</v>
      </c>
      <c r="C3" s="8" t="s">
        <v>3</v>
      </c>
      <c r="D3" s="8" t="s">
        <v>55</v>
      </c>
      <c r="E3" s="8" t="s">
        <v>3</v>
      </c>
      <c r="G3" s="11"/>
      <c r="H3" s="11"/>
      <c r="I3" s="11"/>
      <c r="J3" s="11"/>
      <c r="K3" s="11"/>
      <c r="L3" s="11"/>
      <c r="M3" s="11"/>
      <c r="N3" s="11"/>
      <c r="O3" s="11"/>
      <c r="P3" s="11"/>
      <c r="Q3" s="11"/>
      <c r="S3" s="28"/>
      <c r="T3" s="28"/>
      <c r="U3" s="28"/>
      <c r="V3" s="28"/>
      <c r="W3" s="28"/>
      <c r="X3" s="28"/>
      <c r="Y3" s="28"/>
      <c r="Z3" s="28"/>
      <c r="AA3" s="28"/>
      <c r="AB3" s="28"/>
      <c r="AC3" s="28"/>
    </row>
    <row r="4" spans="1:33">
      <c r="A4" t="s">
        <v>26</v>
      </c>
      <c r="B4" t="str">
        <f>SUM('.'!B5:W5)</f>
        <v>0</v>
      </c>
      <c r="C4" s="10" t="str">
        <f>IF(B4&lt;=$M$19,".",IF(B4&lt;=$M$20,".",IF(B4&lt;=$M$21,".",0)))</f>
        <v>0</v>
      </c>
      <c r="D4" t="str">
        <f>SUM(B4:B4)</f>
        <v>0</v>
      </c>
      <c r="E4" s="10" t="str">
        <f>IF(D4&lt;=$Y$19,".",IF(D4&lt;=$Y$20,".",IF(D4&lt;=$Y$21,".",0)))</f>
        <v>0</v>
      </c>
      <c r="G4" s="11"/>
      <c r="I4" s="10" t="s">
        <v>56</v>
      </c>
      <c r="J4" s="10" t="s">
        <v>1</v>
      </c>
      <c r="Q4" s="11"/>
      <c r="S4" s="28"/>
      <c r="U4" s="10" t="s">
        <v>56</v>
      </c>
      <c r="V4" s="10" t="s">
        <v>1</v>
      </c>
      <c r="AC4" s="28"/>
    </row>
    <row r="5" spans="1:33">
      <c r="A5" t="s">
        <v>27</v>
      </c>
      <c r="B5" t="str">
        <f>SUM('.'!B6:W6)</f>
        <v>0</v>
      </c>
      <c r="C5" s="10" t="str">
        <f>IF(B5&lt;=$M$19,".",IF(B5&lt;=$M$20,".",IF(B5&lt;=$M$21,".",0)))</f>
        <v>0</v>
      </c>
      <c r="D5" t="str">
        <f>SUM(B5:B5)</f>
        <v>0</v>
      </c>
      <c r="E5" s="10" t="str">
        <f>IF(D5&lt;=$Y$19,".",IF(D5&lt;=$Y$20,".",IF(D5&lt;=$Y$21,".",0)))</f>
        <v>0</v>
      </c>
      <c r="G5" s="11"/>
      <c r="I5" s="10" t="s">
        <v>57</v>
      </c>
      <c r="J5" s="10" t="str">
        <f>B2</f>
        <v>0</v>
      </c>
      <c r="Q5" s="11"/>
      <c r="S5" s="28"/>
      <c r="AC5" s="28"/>
    </row>
    <row r="6" spans="1:33">
      <c r="A6" t="s">
        <v>28</v>
      </c>
      <c r="B6" t="str">
        <f>SUM('.'!B7:W7)</f>
        <v>0</v>
      </c>
      <c r="C6" s="10" t="str">
        <f>IF(B6&lt;=$M$19,".",IF(B6&lt;=$M$20,".",IF(B6&lt;=$M$21,".",0)))</f>
        <v>0</v>
      </c>
      <c r="D6" t="str">
        <f>SUM(B6:B6)</f>
        <v>0</v>
      </c>
      <c r="E6" s="10" t="str">
        <f>IF(D6&lt;=$Y$19,".",IF(D6&lt;=$Y$20,".",IF(D6&lt;=$Y$21,".",0)))</f>
        <v>0</v>
      </c>
      <c r="G6" s="11"/>
      <c r="I6" s="10" t="s">
        <v>58</v>
      </c>
      <c r="J6" s="10">
        <v>3</v>
      </c>
      <c r="Q6" s="11"/>
      <c r="S6" s="28"/>
      <c r="U6" s="10" t="s">
        <v>58</v>
      </c>
      <c r="V6" s="10">
        <v>3</v>
      </c>
      <c r="AC6" s="28"/>
    </row>
    <row r="7" spans="1:33">
      <c r="A7" t="s">
        <v>29</v>
      </c>
      <c r="B7" t="str">
        <f>SUM('.'!B8:W8)</f>
        <v>0</v>
      </c>
      <c r="C7" s="10" t="str">
        <f>IF(B7&lt;=$M$19,".",IF(B7&lt;=$M$20,".",IF(B7&lt;=$M$21,".",0)))</f>
        <v>0</v>
      </c>
      <c r="D7" t="str">
        <f>SUM(B7:B7)</f>
        <v>0</v>
      </c>
      <c r="E7" s="10" t="str">
        <f>IF(D7&lt;=$Y$19,".",IF(D7&lt;=$Y$20,".",IF(D7&lt;=$Y$21,".",0)))</f>
        <v>0</v>
      </c>
      <c r="G7" s="11"/>
      <c r="I7" s="10" t="s">
        <v>59</v>
      </c>
      <c r="J7" s="10">
        <v>22</v>
      </c>
      <c r="Q7" s="11"/>
      <c r="S7" s="28"/>
      <c r="U7" s="10" t="s">
        <v>59</v>
      </c>
      <c r="V7" s="10">
        <v>22</v>
      </c>
      <c r="AC7" s="28"/>
    </row>
    <row r="8" spans="1:33">
      <c r="A8" t="s">
        <v>30</v>
      </c>
      <c r="B8" t="str">
        <f>SUM('.'!B9:W9)</f>
        <v>0</v>
      </c>
      <c r="C8" s="10" t="str">
        <f>IF(B8&lt;=$M$19,".",IF(B8&lt;=$M$20,".",IF(B8&lt;=$M$21,".",0)))</f>
        <v>0</v>
      </c>
      <c r="D8" t="str">
        <f>SUM(B8:B8)</f>
        <v>0</v>
      </c>
      <c r="E8" s="10" t="str">
        <f>IF(D8&lt;=$Y$19,".",IF(D8&lt;=$Y$20,".",IF(D8&lt;=$Y$21,".",0)))</f>
        <v>0</v>
      </c>
      <c r="G8" s="11"/>
      <c r="I8" s="10" t="s">
        <v>60</v>
      </c>
      <c r="J8" s="10">
        <v>1</v>
      </c>
      <c r="Q8" s="11"/>
      <c r="S8" s="28"/>
      <c r="U8" s="10" t="s">
        <v>60</v>
      </c>
      <c r="V8" s="10">
        <v>1</v>
      </c>
      <c r="AC8" s="28"/>
    </row>
    <row r="9" spans="1:33">
      <c r="A9" t="s">
        <v>31</v>
      </c>
      <c r="B9" t="str">
        <f>SUM('.'!B10:W10)</f>
        <v>0</v>
      </c>
      <c r="C9" s="10" t="str">
        <f>IF(B9&lt;=$M$19,".",IF(B9&lt;=$M$20,".",IF(B9&lt;=$M$21,".",0)))</f>
        <v>0</v>
      </c>
      <c r="D9" t="str">
        <f>SUM(B9:B9)</f>
        <v>0</v>
      </c>
      <c r="E9" s="10" t="str">
        <f>IF(D9&lt;=$Y$19,".",IF(D9&lt;=$Y$20,".",IF(D9&lt;=$Y$21,".",0)))</f>
        <v>0</v>
      </c>
      <c r="G9" s="11"/>
      <c r="I9" s="10" t="s">
        <v>61</v>
      </c>
      <c r="J9" s="10">
        <v>5</v>
      </c>
      <c r="Q9" s="11"/>
      <c r="S9" s="28"/>
      <c r="U9" s="10" t="s">
        <v>61</v>
      </c>
      <c r="V9" s="10">
        <v>5</v>
      </c>
      <c r="AC9" s="28"/>
    </row>
    <row r="10" spans="1:33">
      <c r="A10" t="s">
        <v>32</v>
      </c>
      <c r="B10" t="str">
        <f>SUM('.'!B11:W11)</f>
        <v>0</v>
      </c>
      <c r="C10" s="10" t="str">
        <f>IF(B10&lt;=$M$19,".",IF(B10&lt;=$M$20,".",IF(B10&lt;=$M$21,".",0)))</f>
        <v>0</v>
      </c>
      <c r="D10" t="str">
        <f>SUM(B10:B10)</f>
        <v>0</v>
      </c>
      <c r="E10" s="10" t="str">
        <f>IF(D10&lt;=$Y$19,".",IF(D10&lt;=$Y$20,".",IF(D10&lt;=$Y$21,".",0)))</f>
        <v>0</v>
      </c>
      <c r="G10" s="11"/>
      <c r="I10" s="10" t="s">
        <v>62</v>
      </c>
      <c r="J10" s="10" t="str">
        <f>J7*J9</f>
        <v>0</v>
      </c>
      <c r="Q10" s="11"/>
      <c r="S10" s="28"/>
      <c r="U10" s="10" t="s">
        <v>62</v>
      </c>
      <c r="V10" s="10" t="str">
        <f>V7*V9</f>
        <v>0</v>
      </c>
      <c r="AC10" s="28"/>
    </row>
    <row r="11" spans="1:33">
      <c r="A11" t="s">
        <v>33</v>
      </c>
      <c r="B11" t="str">
        <f>SUM('.'!B12:W12)</f>
        <v>0</v>
      </c>
      <c r="C11" s="10" t="str">
        <f>IF(B11&lt;=$M$19,".",IF(B11&lt;=$M$20,".",IF(B11&lt;=$M$21,".",0)))</f>
        <v>0</v>
      </c>
      <c r="D11" t="str">
        <f>SUM(B11:B11)</f>
        <v>0</v>
      </c>
      <c r="E11" s="10" t="str">
        <f>IF(D11&lt;=$Y$19,".",IF(D11&lt;=$Y$20,".",IF(D11&lt;=$Y$21,".",0)))</f>
        <v>0</v>
      </c>
      <c r="G11" s="11"/>
      <c r="I11" s="10" t="s">
        <v>63</v>
      </c>
      <c r="J11" s="10" t="str">
        <f>J8*J7</f>
        <v>0</v>
      </c>
      <c r="Q11" s="11"/>
      <c r="S11" s="28"/>
      <c r="U11" s="10" t="s">
        <v>63</v>
      </c>
      <c r="V11" s="10" t="str">
        <f>V8*V7</f>
        <v>0</v>
      </c>
      <c r="AC11" s="28"/>
    </row>
    <row r="12" spans="1:33">
      <c r="A12" t="s">
        <v>34</v>
      </c>
      <c r="B12" t="str">
        <f>SUM('.'!B13:W13)</f>
        <v>0</v>
      </c>
      <c r="C12" s="10" t="str">
        <f>IF(B12&lt;=$M$19,".",IF(B12&lt;=$M$20,".",IF(B12&lt;=$M$21,".",0)))</f>
        <v>0</v>
      </c>
      <c r="D12" t="str">
        <f>SUM(B12:B12)</f>
        <v>0</v>
      </c>
      <c r="E12" s="10" t="str">
        <f>IF(D12&lt;=$Y$19,".",IF(D12&lt;=$Y$20,".",IF(D12&lt;=$Y$21,".",0)))</f>
        <v>0</v>
      </c>
      <c r="G12" s="11"/>
      <c r="I12" s="10" t="s">
        <v>64</v>
      </c>
      <c r="J12" s="10" t="str">
        <f>J10-J11</f>
        <v>0</v>
      </c>
      <c r="Q12" s="11"/>
      <c r="S12" s="28"/>
      <c r="U12" s="10" t="s">
        <v>64</v>
      </c>
      <c r="V12" s="10" t="str">
        <f>V10-V11</f>
        <v>0</v>
      </c>
      <c r="AC12" s="28"/>
    </row>
    <row r="13" spans="1:33">
      <c r="A13" t="s">
        <v>35</v>
      </c>
      <c r="B13" t="str">
        <f>SUM('.'!B14:W14)</f>
        <v>0</v>
      </c>
      <c r="C13" s="10" t="str">
        <f>IF(B13&lt;=$M$19,".",IF(B13&lt;=$M$20,".",IF(B13&lt;=$M$21,".",0)))</f>
        <v>0</v>
      </c>
      <c r="D13" t="str">
        <f>SUM(B13:B13)</f>
        <v>0</v>
      </c>
      <c r="E13" s="10" t="str">
        <f>IF(D13&lt;=$Y$19,".",IF(D13&lt;=$Y$20,".",IF(D13&lt;=$Y$21,".",0)))</f>
        <v>0</v>
      </c>
      <c r="G13" s="11"/>
      <c r="I13" s="10" t="s">
        <v>65</v>
      </c>
      <c r="J13" s="10" t="str">
        <f>ROUND(J12/J6,0)</f>
        <v>0</v>
      </c>
      <c r="Q13" s="11"/>
      <c r="S13" s="28"/>
      <c r="U13" s="10" t="s">
        <v>65</v>
      </c>
      <c r="V13" s="10" t="str">
        <f>ROUND(V12/V6,0)</f>
        <v>0</v>
      </c>
      <c r="AC13" s="28"/>
    </row>
    <row r="14" spans="1:33">
      <c r="A14" t="s">
        <v>36</v>
      </c>
      <c r="B14" t="str">
        <f>SUM('.'!B15:W15)</f>
        <v>0</v>
      </c>
      <c r="C14" s="10" t="str">
        <f>IF(B14&lt;=$M$19,".",IF(B14&lt;=$M$20,".",IF(B14&lt;=$M$21,".",0)))</f>
        <v>0</v>
      </c>
      <c r="D14" t="str">
        <f>SUM(B14:B14)</f>
        <v>0</v>
      </c>
      <c r="E14" s="10" t="str">
        <f>IF(D14&lt;=$Y$19,".",IF(D14&lt;=$Y$20,".",IF(D14&lt;=$Y$21,".",0)))</f>
        <v>0</v>
      </c>
      <c r="G14" s="11"/>
      <c r="K14" s="15"/>
      <c r="L14" s="15"/>
      <c r="M14" s="15"/>
      <c r="N14" s="15"/>
      <c r="O14" s="15"/>
      <c r="Q14" s="11"/>
      <c r="S14" s="28"/>
      <c r="W14" s="15"/>
      <c r="X14" s="15"/>
      <c r="Y14" s="15"/>
      <c r="Z14" s="15"/>
      <c r="AA14" s="15"/>
      <c r="AC14" s="28"/>
    </row>
    <row r="15" spans="1:33">
      <c r="A15" t="s">
        <v>37</v>
      </c>
      <c r="B15" t="str">
        <f>SUM('.'!B16:W16)</f>
        <v>0</v>
      </c>
      <c r="C15" s="10" t="str">
        <f>IF(B15&lt;=$M$19,".",IF(B15&lt;=$M$20,".",IF(B15&lt;=$M$21,".",0)))</f>
        <v>0</v>
      </c>
      <c r="D15" t="str">
        <f>SUM(B15:B15)</f>
        <v>0</v>
      </c>
      <c r="E15" s="10" t="str">
        <f>IF(D15&lt;=$Y$19,".",IF(D15&lt;=$Y$20,".",IF(D15&lt;=$Y$21,".",0)))</f>
        <v>0</v>
      </c>
      <c r="G15" s="11"/>
      <c r="K15" s="24" t="s">
        <v>66</v>
      </c>
      <c r="L15" s="15"/>
      <c r="M15" s="15"/>
      <c r="N15" s="15"/>
      <c r="O15" s="15"/>
      <c r="Q15" s="11"/>
      <c r="S15" s="28"/>
      <c r="W15" s="24" t="s">
        <v>67</v>
      </c>
      <c r="X15" s="15"/>
      <c r="Y15" s="15"/>
      <c r="Z15" s="15"/>
      <c r="AA15" s="15"/>
      <c r="AC15" s="28"/>
    </row>
    <row r="16" spans="1:33">
      <c r="A16" t="s">
        <v>38</v>
      </c>
      <c r="B16" t="str">
        <f>SUM('.'!B17:W17)</f>
        <v>0</v>
      </c>
      <c r="C16" s="10" t="str">
        <f>IF(B16&lt;=$M$19,".",IF(B16&lt;=$M$20,".",IF(B16&lt;=$M$21,".",0)))</f>
        <v>0</v>
      </c>
      <c r="D16" t="str">
        <f>SUM(B16:B16)</f>
        <v>0</v>
      </c>
      <c r="E16" s="10" t="str">
        <f>IF(D16&lt;=$Y$19,".",IF(D16&lt;=$Y$20,".",IF(D16&lt;=$Y$21,".",0)))</f>
        <v>0</v>
      </c>
      <c r="G16" s="11"/>
      <c r="K16" s="25" t="str">
        <f>J5</f>
        <v>0</v>
      </c>
      <c r="L16" s="20"/>
      <c r="M16" s="20"/>
      <c r="N16" s="20"/>
      <c r="O16" s="20"/>
      <c r="Q16" s="11"/>
      <c r="S16" s="28"/>
      <c r="W16" s="25" t="str">
        <f>V4</f>
        <v>0</v>
      </c>
      <c r="X16" s="20"/>
      <c r="Y16" s="20"/>
      <c r="Z16" s="20"/>
      <c r="AA16" s="20"/>
      <c r="AC16" s="28"/>
    </row>
    <row r="17" spans="1:33">
      <c r="A17" t="s">
        <v>39</v>
      </c>
      <c r="B17" t="str">
        <f>SUM('.'!B18:W18)</f>
        <v>0</v>
      </c>
      <c r="C17" s="10" t="str">
        <f>IF(B17&lt;=$M$19,".",IF(B17&lt;=$M$20,".",IF(B17&lt;=$M$21,".",0)))</f>
        <v>0</v>
      </c>
      <c r="D17" t="str">
        <f>SUM(B17:B17)</f>
        <v>0</v>
      </c>
      <c r="E17" s="10" t="str">
        <f>IF(D17&lt;=$Y$19,".",IF(D17&lt;=$Y$20,".",IF(D17&lt;=$Y$21,".",0)))</f>
        <v>0</v>
      </c>
      <c r="G17" s="11"/>
      <c r="K17" s="16" t="s">
        <v>68</v>
      </c>
      <c r="L17" s="18" t="s">
        <v>64</v>
      </c>
      <c r="M17" s="18"/>
      <c r="N17" s="18" t="s">
        <v>69</v>
      </c>
      <c r="O17" s="18" t="s">
        <v>70</v>
      </c>
      <c r="Q17" s="11"/>
      <c r="S17" s="28"/>
      <c r="W17" s="16" t="s">
        <v>68</v>
      </c>
      <c r="X17" s="18" t="s">
        <v>64</v>
      </c>
      <c r="Y17" s="18"/>
      <c r="Z17" s="18" t="s">
        <v>69</v>
      </c>
      <c r="AA17" s="18" t="s">
        <v>70</v>
      </c>
      <c r="AC17" s="28"/>
    </row>
    <row r="18" spans="1:33">
      <c r="A18" t="s">
        <v>40</v>
      </c>
      <c r="B18" t="str">
        <f>SUM('.'!B19:W19)</f>
        <v>0</v>
      </c>
      <c r="C18" s="10" t="str">
        <f>IF(B18&lt;=$M$19,".",IF(B18&lt;=$M$20,".",IF(B18&lt;=$M$21,".",0)))</f>
        <v>0</v>
      </c>
      <c r="D18" t="str">
        <f>SUM(B18:B18)</f>
        <v>0</v>
      </c>
      <c r="E18" s="10" t="str">
        <f>IF(D18&lt;=$Y$19,".",IF(D18&lt;=$Y$20,".",IF(D18&lt;=$Y$21,".",0)))</f>
        <v>0</v>
      </c>
      <c r="G18" s="11"/>
      <c r="K18" s="17"/>
      <c r="L18" s="20" t="s">
        <v>71</v>
      </c>
      <c r="M18" s="20" t="s">
        <v>72</v>
      </c>
      <c r="N18" s="20"/>
      <c r="O18" s="20"/>
      <c r="Q18" s="11"/>
      <c r="S18" s="28"/>
      <c r="W18" s="17"/>
      <c r="X18" s="20" t="s">
        <v>71</v>
      </c>
      <c r="Y18" s="20" t="s">
        <v>72</v>
      </c>
      <c r="Z18" s="20"/>
      <c r="AA18" s="20"/>
      <c r="AC18" s="28"/>
    </row>
    <row r="19" spans="1:33">
      <c r="A19" t="s">
        <v>41</v>
      </c>
      <c r="B19" t="str">
        <f>SUM('.'!B20:W20)</f>
        <v>0</v>
      </c>
      <c r="C19" s="10" t="str">
        <f>IF(B19&lt;=$M$19,".",IF(B19&lt;=$M$20,".",IF(B19&lt;=$M$21,".",0)))</f>
        <v>0</v>
      </c>
      <c r="D19" t="str">
        <f>SUM(B19:B19)</f>
        <v>0</v>
      </c>
      <c r="E19" s="10" t="str">
        <f>IF(D19&lt;=$Y$19,".",IF(D19&lt;=$Y$20,".",IF(D19&lt;=$Y$21,".",0)))</f>
        <v>0</v>
      </c>
      <c r="G19" s="11"/>
      <c r="K19" s="18" t="s">
        <v>1</v>
      </c>
      <c r="L19" s="18" t="str">
        <f>J11</f>
        <v>0</v>
      </c>
      <c r="M19" s="18" t="str">
        <f>L19+J13</f>
        <v>0</v>
      </c>
      <c r="N19" s="18" t="str">
        <f>COUNTIF($C$4:$C$23,$K19)</f>
        <v>0</v>
      </c>
      <c r="O19" s="22" t="str">
        <f>N19/N22</f>
        <v>0</v>
      </c>
      <c r="Q19" s="11"/>
      <c r="S19" s="28"/>
      <c r="W19" s="18" t="s">
        <v>1</v>
      </c>
      <c r="X19" s="18" t="str">
        <f>V11</f>
        <v>0</v>
      </c>
      <c r="Y19" s="18" t="str">
        <f>X19+V13 - 1</f>
        <v>0</v>
      </c>
      <c r="Z19" s="18" t="str">
        <f>COUNTIF($E$4:$E$23,$W19)</f>
        <v>0</v>
      </c>
      <c r="AA19" s="22" t="str">
        <f>Z19/Z22</f>
        <v>0</v>
      </c>
      <c r="AC19" s="28"/>
    </row>
    <row r="20" spans="1:33">
      <c r="A20" t="s">
        <v>42</v>
      </c>
      <c r="B20" t="str">
        <f>SUM('.'!B21:W21)</f>
        <v>0</v>
      </c>
      <c r="C20" s="10" t="str">
        <f>IF(B20&lt;=$M$19,".",IF(B20&lt;=$M$20,".",IF(B20&lt;=$M$21,".",0)))</f>
        <v>0</v>
      </c>
      <c r="D20" t="str">
        <f>SUM(B20:B20)</f>
        <v>0</v>
      </c>
      <c r="E20" s="10" t="str">
        <f>IF(D20&lt;=$Y$19,".",IF(D20&lt;=$Y$20,".",IF(D20&lt;=$Y$21,".",0)))</f>
        <v>0</v>
      </c>
      <c r="G20" s="11"/>
      <c r="K20" s="18" t="s">
        <v>1</v>
      </c>
      <c r="L20" s="18" t="str">
        <f>M19+ 1</f>
        <v>0</v>
      </c>
      <c r="M20" s="18" t="str">
        <f>L20+J13</f>
        <v>0</v>
      </c>
      <c r="N20" s="18" t="str">
        <f>COUNTIF($C$4:$C$23,$K20)</f>
        <v>0</v>
      </c>
      <c r="O20" s="22" t="str">
        <f>N20/N22</f>
        <v>0</v>
      </c>
      <c r="Q20" s="11"/>
      <c r="S20" s="28"/>
      <c r="W20" s="18" t="s">
        <v>1</v>
      </c>
      <c r="X20" s="18" t="str">
        <f>Y19+ 1</f>
        <v>0</v>
      </c>
      <c r="Y20" s="18" t="str">
        <f>X20+V13 - 1</f>
        <v>0</v>
      </c>
      <c r="Z20" s="18" t="str">
        <f>COUNTIF($E$4:$E$23,$W20)</f>
        <v>0</v>
      </c>
      <c r="AA20" s="22" t="str">
        <f>Z20/Z22</f>
        <v>0</v>
      </c>
      <c r="AC20" s="28"/>
    </row>
    <row r="21" spans="1:33">
      <c r="A21" t="s">
        <v>43</v>
      </c>
      <c r="B21" t="str">
        <f>SUM('.'!B22:W22)</f>
        <v>0</v>
      </c>
      <c r="C21" s="10" t="str">
        <f>IF(B21&lt;=$M$19,".",IF(B21&lt;=$M$20,".",IF(B21&lt;=$M$21,".",0)))</f>
        <v>0</v>
      </c>
      <c r="D21" t="str">
        <f>SUM(B21:B21)</f>
        <v>0</v>
      </c>
      <c r="E21" s="10" t="str">
        <f>IF(D21&lt;=$Y$19,".",IF(D21&lt;=$Y$20,".",IF(D21&lt;=$Y$21,".",0)))</f>
        <v>0</v>
      </c>
      <c r="G21" s="11"/>
      <c r="K21" s="18" t="s">
        <v>1</v>
      </c>
      <c r="L21" s="18" t="str">
        <f>M20+ 1</f>
        <v>0</v>
      </c>
      <c r="M21" s="18" t="str">
        <f>J10</f>
        <v>0</v>
      </c>
      <c r="N21" s="18" t="str">
        <f>COUNTIF($C$4:$C$23,$K21)</f>
        <v>0</v>
      </c>
      <c r="O21" s="22" t="str">
        <f>N21/N22</f>
        <v>0</v>
      </c>
      <c r="Q21" s="11"/>
      <c r="S21" s="28"/>
      <c r="W21" s="18" t="s">
        <v>1</v>
      </c>
      <c r="X21" s="18" t="str">
        <f>Y20+ 1</f>
        <v>0</v>
      </c>
      <c r="Y21" s="18" t="str">
        <f>V10</f>
        <v>0</v>
      </c>
      <c r="Z21" s="18" t="str">
        <f>COUNTIF($E$4:$E$23,$W21)</f>
        <v>0</v>
      </c>
      <c r="AA21" s="22" t="str">
        <f>Z21/Z22</f>
        <v>0</v>
      </c>
      <c r="AC21" s="28"/>
    </row>
    <row r="22" spans="1:33">
      <c r="A22" t="s">
        <v>44</v>
      </c>
      <c r="B22" t="str">
        <f>SUM('.'!B23:W23)</f>
        <v>0</v>
      </c>
      <c r="C22" s="10" t="str">
        <f>IF(B22&lt;=$M$19,".",IF(B22&lt;=$M$20,".",IF(B22&lt;=$M$21,".",0)))</f>
        <v>0</v>
      </c>
      <c r="D22" t="str">
        <f>SUM(B22:B22)</f>
        <v>0</v>
      </c>
      <c r="E22" s="10" t="str">
        <f>IF(D22&lt;=$Y$19,".",IF(D22&lt;=$Y$20,".",IF(D22&lt;=$Y$21,".",0)))</f>
        <v>0</v>
      </c>
      <c r="G22" s="11"/>
      <c r="K22" s="19" t="s">
        <v>2</v>
      </c>
      <c r="L22" s="21"/>
      <c r="M22" s="21"/>
      <c r="N22" s="19" t="str">
        <f>SUM(N19:N21)</f>
        <v>0</v>
      </c>
      <c r="O22" s="23" t="str">
        <f>SUM(O19:O21)</f>
        <v>0</v>
      </c>
      <c r="Q22" s="11"/>
      <c r="S22" s="28"/>
      <c r="W22" s="19" t="s">
        <v>2</v>
      </c>
      <c r="X22" s="21"/>
      <c r="Y22" s="21"/>
      <c r="Z22" s="19" t="str">
        <f>SUM(Z19:Z21)</f>
        <v>0</v>
      </c>
      <c r="AA22" s="23" t="str">
        <f>SUM(AA19:AA21)</f>
        <v>0</v>
      </c>
      <c r="AC22" s="28"/>
    </row>
    <row r="23" spans="1:33">
      <c r="A23" t="s">
        <v>45</v>
      </c>
      <c r="B23" t="str">
        <f>SUM('.'!B24:W24)</f>
        <v>0</v>
      </c>
      <c r="C23" s="10" t="str">
        <f>IF(B23&lt;=$M$19,".",IF(B23&lt;=$M$20,".",IF(B23&lt;=$M$21,".",0)))</f>
        <v>0</v>
      </c>
      <c r="D23" t="str">
        <f>SUM(B23:B23)</f>
        <v>0</v>
      </c>
      <c r="E23" s="10" t="str">
        <f>IF(D23&lt;=$Y$19,".",IF(D23&lt;=$Y$20,".",IF(D23&lt;=$Y$21,".",0)))</f>
        <v>0</v>
      </c>
      <c r="G23" s="11"/>
      <c r="K23" s="10" t="s">
        <v>73</v>
      </c>
      <c r="Q23" s="11"/>
      <c r="S23" s="28"/>
      <c r="W23" s="10" t="s">
        <v>73</v>
      </c>
      <c r="AC23" s="28"/>
    </row>
    <row r="24" spans="1:33">
      <c r="G24" s="11"/>
      <c r="K24" s="10" t="s">
        <v>74</v>
      </c>
      <c r="Q24" s="11"/>
      <c r="S24" s="28"/>
      <c r="W24" s="10" t="s">
        <v>74</v>
      </c>
      <c r="AC24" s="28"/>
    </row>
    <row r="25" spans="1:33">
      <c r="G25" s="11"/>
      <c r="Q25" s="11"/>
      <c r="S25" s="28"/>
      <c r="AC25" s="28"/>
    </row>
    <row r="26" spans="1:33">
      <c r="G26" s="11"/>
      <c r="Q26" s="11"/>
      <c r="S26" s="28"/>
      <c r="AC26" s="28"/>
    </row>
    <row r="27" spans="1:33">
      <c r="G27" s="11"/>
      <c r="Q27" s="11"/>
      <c r="S27" s="28"/>
      <c r="AC27" s="28"/>
    </row>
    <row r="28" spans="1:33">
      <c r="G28" s="11"/>
      <c r="Q28" s="11"/>
      <c r="S28" s="28"/>
      <c r="AC28" s="28"/>
    </row>
    <row r="29" spans="1:33">
      <c r="G29" s="11"/>
      <c r="Q29" s="11"/>
      <c r="S29" s="28"/>
      <c r="AC29" s="28"/>
    </row>
    <row r="30" spans="1:33">
      <c r="G30" s="11"/>
      <c r="Q30" s="11"/>
      <c r="S30" s="28"/>
      <c r="AC30" s="28"/>
    </row>
    <row r="31" spans="1:33">
      <c r="G31" s="11"/>
      <c r="Q31" s="11"/>
      <c r="S31" s="28"/>
      <c r="AC31" s="28"/>
    </row>
    <row r="32" spans="1:33">
      <c r="G32" s="11"/>
      <c r="Q32" s="11"/>
      <c r="S32" s="28"/>
      <c r="AC32" s="28"/>
    </row>
    <row r="33" spans="1:33">
      <c r="G33" s="11"/>
      <c r="Q33" s="11"/>
      <c r="S33" s="28"/>
      <c r="AC33" s="28"/>
    </row>
    <row r="34" spans="1:33">
      <c r="G34" s="11"/>
      <c r="Q34" s="11"/>
      <c r="S34" s="28"/>
      <c r="AC34" s="28"/>
    </row>
    <row r="35" spans="1:33">
      <c r="G35" s="11"/>
      <c r="Q35" s="11"/>
      <c r="S35" s="28"/>
      <c r="AC35" s="28"/>
    </row>
    <row r="36" spans="1:33">
      <c r="G36" s="11"/>
      <c r="Q36" s="11"/>
      <c r="S36" s="28"/>
      <c r="AC36" s="28"/>
    </row>
    <row r="37" spans="1:33">
      <c r="G37" s="11"/>
      <c r="Q37" s="11"/>
      <c r="S37" s="28"/>
      <c r="AC37" s="28"/>
    </row>
    <row r="38" spans="1:33">
      <c r="G38" s="11"/>
      <c r="Q38" s="11"/>
      <c r="S38" s="28"/>
      <c r="AC38" s="28"/>
    </row>
    <row r="39" spans="1:33">
      <c r="G39" s="11"/>
      <c r="Q39" s="11"/>
      <c r="S39" s="28"/>
      <c r="AC39" s="28"/>
    </row>
    <row r="40" spans="1:33">
      <c r="G40" s="11"/>
      <c r="Q40" s="11"/>
      <c r="S40" s="28"/>
      <c r="AC40" s="28"/>
    </row>
    <row r="41" spans="1:33">
      <c r="G41" s="11"/>
      <c r="Q41" s="11"/>
      <c r="S41" s="28"/>
      <c r="AC41" s="28"/>
    </row>
    <row r="42" spans="1:33">
      <c r="G42" s="11"/>
      <c r="Q42" s="11"/>
      <c r="S42" s="28"/>
      <c r="AC42" s="28"/>
    </row>
    <row r="43" spans="1:33">
      <c r="G43" s="11"/>
      <c r="K43" t="s">
        <v>75</v>
      </c>
      <c r="Q43" s="11"/>
      <c r="S43" s="28"/>
      <c r="W43" t="s">
        <v>76</v>
      </c>
      <c r="AC43" s="28"/>
    </row>
    <row r="44" spans="1:33">
      <c r="G44" s="11"/>
      <c r="K44" s="10" t="s">
        <v>1</v>
      </c>
      <c r="Q44" s="11"/>
      <c r="S44" s="28"/>
      <c r="W44" s="10" t="s">
        <v>1</v>
      </c>
      <c r="AC44" s="28"/>
    </row>
    <row r="45" spans="1:33">
      <c r="G45" s="11"/>
      <c r="H45" s="11"/>
      <c r="I45" s="11"/>
      <c r="J45" s="11"/>
      <c r="K45" s="11"/>
      <c r="L45" s="11"/>
      <c r="M45" s="11"/>
      <c r="N45" s="11"/>
      <c r="O45" s="11"/>
      <c r="P45" s="11"/>
      <c r="Q45" s="11"/>
      <c r="S45" s="28"/>
      <c r="T45" s="28"/>
      <c r="U45" s="28"/>
      <c r="V45" s="28"/>
      <c r="W45" s="28"/>
      <c r="X45" s="28"/>
      <c r="Y45" s="28"/>
      <c r="Z45" s="28"/>
      <c r="AA45" s="28"/>
      <c r="AB45" s="28"/>
      <c r="AC45" s="28"/>
    </row>
    <row r="47" spans="1:33">
      <c r="I47" s="27" t="str">
        <f>CONCATENATE("en la ",K15," y ",K43," se puede observar que la variable ",H901," en base a su dimensión ",H902," tiene una calificación de ",I904," por el ",ROUND(H904*100,0),"% ","de los resultados, ","los cuales fueron extraídos  de las encuestas ejecutadas a los ",J902,", estos resultados son afectados debido a que, ",Q1016," ",I1016,",","asi mismo ",Q1017," ",I1017,", aunque ",Q1018," ",I1018,", aunque ",Q1019," ",I1019,", además ",Q1020," ",I1020,", de modo que ",Q1021," ",I1021,", aunque ",Q1022," ",I1022,", sin embargo ",Q1023," ",I1023,", aunque ",Q1024," ",I1024,", así ",Q1025," ",I1025,", además ",Q1026," ",I1026,", aunque ",Q1027," ",I1027,", sin embargo ",Q1028," ",I1028,", en cambio ",Q1029," ",I1029,", también ",Q1030," ",I1030,", mismo ",Q1031," ",I1031,", de modo que ",Q1032," ",I1032,", también ",Q1033," ",I1033,", aunque ",Q1034," ",I1034,", con motivo ",Q1035," ",I1035,", no obstante ",Q1036," ",I1036, ", ","y ",I1037," ",Q1037,", ","por todo ello la dimensión ",H902," es ",I904,".")</f>
        <v>0</v>
      </c>
      <c r="U47" s="27" t="str">
        <f>CONCATENATE("En la ",W15," y ",W43," se puede evidenciar que la variable ",T901," es calificado como ",U904," por el ",ROUND(T904*100,0),"% de los resultados, mismos que son originados porque; ",AG1016," ",AG1017," ",AG1018,AG1019,AG1020,AG1021,AG1022,AG1023,AG1024,AG1025,AG1026," se concluye que la variable ",T901,"tiene un valor de ",U904,".")</f>
        <v>0</v>
      </c>
    </row>
    <row r="901" spans="1:33">
      <c r="G901" s="10" t="s">
        <v>56</v>
      </c>
      <c r="H901" s="10" t="str">
        <f>(J4)</f>
        <v>0</v>
      </c>
      <c r="J901" s="10" t="s">
        <v>77</v>
      </c>
      <c r="S901" s="10" t="s">
        <v>56</v>
      </c>
      <c r="T901" s="10" t="str">
        <f>(V4)</f>
        <v>0</v>
      </c>
      <c r="V901" s="10" t="s">
        <v>77</v>
      </c>
    </row>
    <row r="902" spans="1:33">
      <c r="G902" s="10" t="s">
        <v>78</v>
      </c>
      <c r="H902" s="10" t="str">
        <f>(J5)</f>
        <v>0</v>
      </c>
      <c r="J902" s="10" t="s">
        <v>79</v>
      </c>
      <c r="S902" s="10" t="s">
        <v>78</v>
      </c>
      <c r="T902" s="10" t="str">
        <f>(V5)</f>
        <v>0</v>
      </c>
      <c r="V902" s="10" t="s">
        <v>79</v>
      </c>
    </row>
    <row r="904" spans="1:33">
      <c r="G904" s="10" t="s">
        <v>80</v>
      </c>
      <c r="H904" s="14" t="str">
        <f>MAX(O19:O21)</f>
        <v>0</v>
      </c>
      <c r="I904" s="10" t="str">
        <f>IF(H2104=O19,K19,IF(H2104=O20,K20,IF(H2104=O21,K21,"algo esta mal")))</f>
        <v>0</v>
      </c>
      <c r="S904" s="10" t="s">
        <v>80</v>
      </c>
      <c r="T904" s="14" t="str">
        <f>MAX(AA19:AA21)</f>
        <v>0</v>
      </c>
      <c r="U904" s="10" t="str">
        <f>IF(T2104=AA19,W19,IF(T2104=AA20,W20,IF(T2104=AA21,W21,"algo esta mal")))</f>
        <v>0</v>
      </c>
    </row>
    <row r="905" spans="1:33">
      <c r="I905" s="10" t="s">
        <v>81</v>
      </c>
      <c r="J905" s="10" t="s">
        <v>82</v>
      </c>
      <c r="K905" s="10" t="s">
        <v>1</v>
      </c>
      <c r="L905" s="10" t="s">
        <v>1</v>
      </c>
      <c r="M905" s="10" t="s">
        <v>1</v>
      </c>
      <c r="N905" s="10" t="s">
        <v>1</v>
      </c>
      <c r="O905" s="10" t="s">
        <v>1</v>
      </c>
    </row>
    <row r="906" spans="1:33">
      <c r="I906" s="10" t="s">
        <v>1</v>
      </c>
      <c r="J906" s="14" t="s">
        <v>1</v>
      </c>
      <c r="K906" t="str">
        <f>('.'!B37)</f>
        <v>0</v>
      </c>
      <c r="L906" t="str">
        <f>('.'!B38)</f>
        <v>0</v>
      </c>
      <c r="M906" t="str">
        <f>('.'!B39)</f>
        <v>0</v>
      </c>
      <c r="N906" t="str">
        <f>('.'!B40)</f>
        <v>0</v>
      </c>
      <c r="O906" t="str">
        <f>('.'!B41)</f>
        <v>0</v>
      </c>
    </row>
    <row r="907" spans="1:33">
      <c r="I907" s="10" t="s">
        <v>1</v>
      </c>
      <c r="J907" s="14" t="s">
        <v>1</v>
      </c>
      <c r="K907" t="str">
        <f>('.'!C37)</f>
        <v>0</v>
      </c>
      <c r="L907" t="str">
        <f>('.'!C38)</f>
        <v>0</v>
      </c>
      <c r="M907" t="str">
        <f>('.'!C39)</f>
        <v>0</v>
      </c>
      <c r="N907" t="str">
        <f>('.'!C40)</f>
        <v>0</v>
      </c>
      <c r="O907" t="str">
        <f>('.'!C41)</f>
        <v>0</v>
      </c>
    </row>
    <row r="908" spans="1:33">
      <c r="I908" s="10"/>
      <c r="J908" s="14"/>
      <c r="K908" t="str">
        <f>('.'!D37)</f>
        <v>0</v>
      </c>
      <c r="L908" t="str">
        <f>('.'!D38)</f>
        <v>0</v>
      </c>
      <c r="M908" t="str">
        <f>('.'!D39)</f>
        <v>0</v>
      </c>
      <c r="N908" t="str">
        <f>('.'!D40)</f>
        <v>0</v>
      </c>
      <c r="O908" t="str">
        <f>('.'!D41)</f>
        <v>0</v>
      </c>
    </row>
    <row r="909" spans="1:33">
      <c r="I909" s="10"/>
      <c r="J909" s="14"/>
      <c r="K909" t="str">
        <f>('.'!E37)</f>
        <v>0</v>
      </c>
      <c r="L909" t="str">
        <f>('.'!E38)</f>
        <v>0</v>
      </c>
      <c r="M909" t="str">
        <f>('.'!E39)</f>
        <v>0</v>
      </c>
      <c r="N909" t="str">
        <f>('.'!E40)</f>
        <v>0</v>
      </c>
      <c r="O909" t="str">
        <f>('.'!E41)</f>
        <v>0</v>
      </c>
    </row>
    <row r="910" spans="1:33">
      <c r="I910" s="10"/>
      <c r="J910" s="14"/>
      <c r="K910" t="str">
        <f>('.'!F37)</f>
        <v>0</v>
      </c>
      <c r="L910" t="str">
        <f>('.'!F38)</f>
        <v>0</v>
      </c>
      <c r="M910" t="str">
        <f>('.'!F39)</f>
        <v>0</v>
      </c>
      <c r="N910" t="str">
        <f>('.'!F40)</f>
        <v>0</v>
      </c>
      <c r="O910" t="str">
        <f>('.'!F41)</f>
        <v>0</v>
      </c>
    </row>
    <row r="911" spans="1:33">
      <c r="I911" s="10"/>
      <c r="J911" s="14"/>
      <c r="K911" t="str">
        <f>('.'!G37)</f>
        <v>0</v>
      </c>
      <c r="L911" t="str">
        <f>('.'!G38)</f>
        <v>0</v>
      </c>
      <c r="M911" t="str">
        <f>('.'!G39)</f>
        <v>0</v>
      </c>
      <c r="N911" t="str">
        <f>('.'!G40)</f>
        <v>0</v>
      </c>
      <c r="O911" t="str">
        <f>('.'!G41)</f>
        <v>0</v>
      </c>
    </row>
    <row r="912" spans="1:33">
      <c r="I912" s="10"/>
      <c r="J912" s="14"/>
      <c r="K912" t="str">
        <f>('.'!H37)</f>
        <v>0</v>
      </c>
      <c r="L912" t="str">
        <f>('.'!H38)</f>
        <v>0</v>
      </c>
      <c r="M912" t="str">
        <f>('.'!H39)</f>
        <v>0</v>
      </c>
      <c r="N912" t="str">
        <f>('.'!H40)</f>
        <v>0</v>
      </c>
      <c r="O912" t="str">
        <f>('.'!H41)</f>
        <v>0</v>
      </c>
    </row>
    <row r="913" spans="1:33">
      <c r="I913" s="10"/>
      <c r="J913" s="14"/>
      <c r="K913" t="str">
        <f>('.'!I37)</f>
        <v>0</v>
      </c>
      <c r="L913" t="str">
        <f>('.'!I38)</f>
        <v>0</v>
      </c>
      <c r="M913" t="str">
        <f>('.'!I39)</f>
        <v>0</v>
      </c>
      <c r="N913" t="str">
        <f>('.'!I40)</f>
        <v>0</v>
      </c>
      <c r="O913" t="str">
        <f>('.'!I41)</f>
        <v>0</v>
      </c>
    </row>
    <row r="914" spans="1:33">
      <c r="I914" s="10"/>
      <c r="J914" s="14"/>
      <c r="K914" t="str">
        <f>('.'!J37)</f>
        <v>0</v>
      </c>
      <c r="L914" t="str">
        <f>('.'!J38)</f>
        <v>0</v>
      </c>
      <c r="M914" t="str">
        <f>('.'!J39)</f>
        <v>0</v>
      </c>
      <c r="N914" t="str">
        <f>('.'!J40)</f>
        <v>0</v>
      </c>
      <c r="O914" t="str">
        <f>('.'!J41)</f>
        <v>0</v>
      </c>
    </row>
    <row r="915" spans="1:33">
      <c r="I915" s="10"/>
      <c r="J915" s="14"/>
      <c r="K915" t="str">
        <f>('.'!K37)</f>
        <v>0</v>
      </c>
      <c r="L915" t="str">
        <f>('.'!K38)</f>
        <v>0</v>
      </c>
      <c r="M915" t="str">
        <f>('.'!K39)</f>
        <v>0</v>
      </c>
      <c r="N915" t="str">
        <f>('.'!K40)</f>
        <v>0</v>
      </c>
      <c r="O915" t="str">
        <f>('.'!K41)</f>
        <v>0</v>
      </c>
    </row>
    <row r="916" spans="1:33">
      <c r="I916" s="10"/>
      <c r="J916" s="14"/>
      <c r="K916" t="str">
        <f>('.'!L37)</f>
        <v>0</v>
      </c>
      <c r="L916" t="str">
        <f>('.'!L38)</f>
        <v>0</v>
      </c>
      <c r="M916" t="str">
        <f>('.'!L39)</f>
        <v>0</v>
      </c>
      <c r="N916" t="str">
        <f>('.'!L40)</f>
        <v>0</v>
      </c>
      <c r="O916" t="str">
        <f>('.'!L41)</f>
        <v>0</v>
      </c>
    </row>
    <row r="917" spans="1:33">
      <c r="I917" s="10"/>
      <c r="J917" s="14"/>
      <c r="K917" t="str">
        <f>('.'!M37)</f>
        <v>0</v>
      </c>
      <c r="L917" t="str">
        <f>('.'!M38)</f>
        <v>0</v>
      </c>
      <c r="M917" t="str">
        <f>('.'!M39)</f>
        <v>0</v>
      </c>
      <c r="N917" t="str">
        <f>('.'!M40)</f>
        <v>0</v>
      </c>
      <c r="O917" t="str">
        <f>('.'!M41)</f>
        <v>0</v>
      </c>
    </row>
    <row r="918" spans="1:33">
      <c r="I918" s="10"/>
      <c r="J918" s="14"/>
      <c r="K918" t="str">
        <f>('.'!N37)</f>
        <v>0</v>
      </c>
      <c r="L918" t="str">
        <f>('.'!N38)</f>
        <v>0</v>
      </c>
      <c r="M918" t="str">
        <f>('.'!N39)</f>
        <v>0</v>
      </c>
      <c r="N918" t="str">
        <f>('.'!N40)</f>
        <v>0</v>
      </c>
      <c r="O918" t="str">
        <f>('.'!N41)</f>
        <v>0</v>
      </c>
    </row>
    <row r="919" spans="1:33">
      <c r="I919" s="10"/>
      <c r="J919" s="14"/>
      <c r="K919" t="str">
        <f>('.'!O37)</f>
        <v>0</v>
      </c>
      <c r="L919" t="str">
        <f>('.'!O38)</f>
        <v>0</v>
      </c>
      <c r="M919" t="str">
        <f>('.'!O39)</f>
        <v>0</v>
      </c>
      <c r="N919" t="str">
        <f>('.'!O40)</f>
        <v>0</v>
      </c>
      <c r="O919" t="str">
        <f>('.'!O41)</f>
        <v>0</v>
      </c>
    </row>
    <row r="920" spans="1:33">
      <c r="I920" s="10"/>
      <c r="J920" s="14"/>
      <c r="K920" t="str">
        <f>('.'!P37)</f>
        <v>0</v>
      </c>
      <c r="L920" t="str">
        <f>('.'!P38)</f>
        <v>0</v>
      </c>
      <c r="M920" t="str">
        <f>('.'!P39)</f>
        <v>0</v>
      </c>
      <c r="N920" t="str">
        <f>('.'!P40)</f>
        <v>0</v>
      </c>
      <c r="O920" t="str">
        <f>('.'!P41)</f>
        <v>0</v>
      </c>
    </row>
    <row r="921" spans="1:33">
      <c r="I921" s="10"/>
      <c r="J921" s="14"/>
      <c r="K921" t="str">
        <f>('.'!Q37)</f>
        <v>0</v>
      </c>
      <c r="L921" t="str">
        <f>('.'!Q38)</f>
        <v>0</v>
      </c>
      <c r="M921" t="str">
        <f>('.'!Q39)</f>
        <v>0</v>
      </c>
      <c r="N921" t="str">
        <f>('.'!Q40)</f>
        <v>0</v>
      </c>
      <c r="O921" t="str">
        <f>('.'!Q41)</f>
        <v>0</v>
      </c>
    </row>
    <row r="922" spans="1:33">
      <c r="I922" s="10"/>
      <c r="J922" s="14"/>
      <c r="K922" t="str">
        <f>('.'!R37)</f>
        <v>0</v>
      </c>
      <c r="L922" t="str">
        <f>('.'!R38)</f>
        <v>0</v>
      </c>
      <c r="M922" t="str">
        <f>('.'!R39)</f>
        <v>0</v>
      </c>
      <c r="N922" t="str">
        <f>('.'!R40)</f>
        <v>0</v>
      </c>
      <c r="O922" t="str">
        <f>('.'!R41)</f>
        <v>0</v>
      </c>
    </row>
    <row r="923" spans="1:33">
      <c r="I923" s="10"/>
      <c r="J923" s="14"/>
      <c r="K923" t="str">
        <f>('.'!S37)</f>
        <v>0</v>
      </c>
      <c r="L923" t="str">
        <f>('.'!S38)</f>
        <v>0</v>
      </c>
      <c r="M923" t="str">
        <f>('.'!S39)</f>
        <v>0</v>
      </c>
      <c r="N923" t="str">
        <f>('.'!S40)</f>
        <v>0</v>
      </c>
      <c r="O923" t="str">
        <f>('.'!S41)</f>
        <v>0</v>
      </c>
    </row>
    <row r="924" spans="1:33">
      <c r="I924" s="10"/>
      <c r="J924" s="14"/>
      <c r="K924" t="str">
        <f>('.'!T37)</f>
        <v>0</v>
      </c>
      <c r="L924" t="str">
        <f>('.'!T38)</f>
        <v>0</v>
      </c>
      <c r="M924" t="str">
        <f>('.'!T39)</f>
        <v>0</v>
      </c>
      <c r="N924" t="str">
        <f>('.'!T40)</f>
        <v>0</v>
      </c>
      <c r="O924" t="str">
        <f>('.'!T41)</f>
        <v>0</v>
      </c>
    </row>
    <row r="925" spans="1:33">
      <c r="I925" s="10"/>
      <c r="J925" s="14"/>
      <c r="K925" t="str">
        <f>('.'!U37)</f>
        <v>0</v>
      </c>
      <c r="L925" t="str">
        <f>('.'!U38)</f>
        <v>0</v>
      </c>
      <c r="M925" t="str">
        <f>('.'!U39)</f>
        <v>0</v>
      </c>
      <c r="N925" t="str">
        <f>('.'!U40)</f>
        <v>0</v>
      </c>
      <c r="O925" t="str">
        <f>('.'!U41)</f>
        <v>0</v>
      </c>
    </row>
    <row r="926" spans="1:33">
      <c r="I926" s="10"/>
      <c r="J926" s="14"/>
      <c r="K926" t="str">
        <f>('.'!V37)</f>
        <v>0</v>
      </c>
      <c r="L926" t="str">
        <f>('.'!V38)</f>
        <v>0</v>
      </c>
      <c r="M926" t="str">
        <f>('.'!V39)</f>
        <v>0</v>
      </c>
      <c r="N926" t="str">
        <f>('.'!V40)</f>
        <v>0</v>
      </c>
      <c r="O926" t="str">
        <f>('.'!V41)</f>
        <v>0</v>
      </c>
    </row>
    <row r="927" spans="1:33">
      <c r="I927" s="10"/>
      <c r="J927" s="14"/>
      <c r="K927" t="str">
        <f>('.'!W37)</f>
        <v>0</v>
      </c>
      <c r="L927" t="str">
        <f>('.'!W38)</f>
        <v>0</v>
      </c>
      <c r="M927" t="str">
        <f>('.'!W39)</f>
        <v>0</v>
      </c>
      <c r="N927" t="str">
        <f>('.'!W40)</f>
        <v>0</v>
      </c>
      <c r="O927" t="str">
        <f>('.'!W41)</f>
        <v>0</v>
      </c>
    </row>
    <row r="1015" spans="1:33">
      <c r="I1015" s="10" t="s">
        <v>82</v>
      </c>
      <c r="J1015" s="10" t="str">
        <f>CONCATENATE(K905," y ",L905)</f>
        <v>0</v>
      </c>
      <c r="K1015" s="10" t="str">
        <f>(M905)</f>
        <v>0</v>
      </c>
      <c r="L1015" s="10" t="str">
        <f>CONCATENATE(N905," y ",O905)</f>
        <v>0</v>
      </c>
      <c r="M1015" s="10" t="s">
        <v>83</v>
      </c>
      <c r="N1015" s="10" t="s">
        <v>84</v>
      </c>
      <c r="O1015" s="10" t="s">
        <v>85</v>
      </c>
      <c r="P1015" s="10" t="s">
        <v>86</v>
      </c>
      <c r="Q1015" s="10" t="s">
        <v>87</v>
      </c>
      <c r="U1015" s="10" t="s">
        <v>88</v>
      </c>
      <c r="V1015" s="10" t="s">
        <v>1</v>
      </c>
      <c r="W1015" s="10" t="s">
        <v>1</v>
      </c>
      <c r="X1015" s="10" t="s">
        <v>1</v>
      </c>
      <c r="Y1015" s="10" t="s">
        <v>83</v>
      </c>
      <c r="Z1015" s="10" t="s">
        <v>89</v>
      </c>
      <c r="AA1015" s="10" t="s">
        <v>90</v>
      </c>
      <c r="AB1015" s="10" t="s">
        <v>91</v>
      </c>
      <c r="AC1015" s="10" t="s">
        <v>92</v>
      </c>
      <c r="AD1015" s="10" t="s">
        <v>93</v>
      </c>
      <c r="AE1015" s="10" t="s">
        <v>94</v>
      </c>
      <c r="AF1015" s="10" t="s">
        <v>95</v>
      </c>
      <c r="AG1015" s="10" t="s">
        <v>87</v>
      </c>
    </row>
    <row r="1016" spans="1:33">
      <c r="I1016" s="10" t="str">
        <f>(J906)</f>
        <v>0</v>
      </c>
      <c r="J1016" s="14" t="str">
        <f>SUM(K906:L906)</f>
        <v>0</v>
      </c>
      <c r="K1016" s="14" t="str">
        <f>(M906)</f>
        <v>0</v>
      </c>
      <c r="L1016" s="14" t="str">
        <f>SUM(N906:O906)</f>
        <v>0</v>
      </c>
      <c r="M1016" s="14" t="str">
        <f>MAX(J1016:L1016)</f>
        <v>0</v>
      </c>
      <c r="N1016" s="10" t="str">
        <f>IF(M1016=J1016,$J$1015,IF(M1016=K1016,$K$1015,IF(M1016=L1016,$L$1015,"ALGO ESTA MAL")))</f>
        <v>0</v>
      </c>
      <c r="O1016" s="10" t="str">
        <f>RANDBETWEEN(1,10)</f>
        <v>0</v>
      </c>
      <c r="P1016" s="10" t="str">
        <f>IF(O1016=$P$1100,$Q$1100,IF(O1016=$P$1101,$Q$1101,IF(O1016=$P$1102,$Q$1102,IF(O1016=$P$1103,$Q$1103,IF(O1016=$P$1104,$Q$1104,IF(O1016=$P$1105,$Q$1105,IF(O1016=$P$1106,$Q$1106,IF(O1016=$P$1107,$Q$1107,IF(O1016=$P$1108,$Q$1108,IF(O1016=$P$1109,$Q$1109,"algo esta mal"))))))))))</f>
        <v>0</v>
      </c>
      <c r="Q1016" s="10" t="str">
        <f>CONCATENATE("el ",ROUND(M1016*100,0),"% ",P1016," como ",N1016 )</f>
        <v>0</v>
      </c>
      <c r="U1016" s="14" t="str">
        <f>(K16)</f>
        <v>0</v>
      </c>
      <c r="V1016" s="14" t="str">
        <f>(O19)</f>
        <v>0</v>
      </c>
      <c r="W1016" s="5" t="str">
        <f>(O20)</f>
        <v>0</v>
      </c>
      <c r="X1016" s="14" t="str">
        <f>(O21)</f>
        <v>0</v>
      </c>
      <c r="Y1016" s="14" t="str">
        <f>MAX(V1016:X1016)</f>
        <v>0</v>
      </c>
      <c r="Z1016" s="10" t="str">
        <f>IF(Y1016=V1016,$V$1015,IF(Y1016=W1016,$W$1015,IF(Y1016=X1016,$X$1015,"algo esta mal")))</f>
        <v>0</v>
      </c>
      <c r="AA1016" s="10" t="str">
        <f> RANDBETWEEN(1,10)</f>
        <v>0</v>
      </c>
      <c r="AB1016" s="10" t="str">
        <f>IF(AA1016=$AB$1100,$AC$1100,IF(AA1016=$AB$1101,$AC$1101,IF(AA1016=$AB$1102,$AC$1102,IF(AA1016=$AB$1103,$AC$1103,IF(AA1016=$AB$1104,$AC$1104,IF(AA1016=$AB$1105,$AC$1105,IF(AA1016=$AB$1106,$AC$1106,IF(AA1016=$AB$1107,$AC$1107,IF(AA1016=$AB$1108,$AC$1108,IF(AA1016=$AB$1109,$AC$1109,"algo esta mal"))))))))))</f>
        <v>0</v>
      </c>
      <c r="AC1016" s="10" t="str">
        <f> RANDBETWEEN(1,7)</f>
        <v>0</v>
      </c>
      <c r="AD1016" s="10" t="str">
        <f>IF(AC1016=$AB$1110,$AC$1110,IF(AC1016=$AB$1111,$AC$1111,IF(AC1016=$AB$1112,$AC$1112,IF(AC1016=$AB$1113,$AC$1113,IF(AC1016=$AB$1114,$AC$1114,IF(AC1016=$AB$1115,$AC$1115,IF(AC1016=$AB$1116,$AC$1116,IF(AC1016=$AB$1047,$AC$1047,IF(AC1016=$AB$1048,$AC$1048,IF(AC1016=$AB$1049,$AC$1049,"algo esta mal"))))))))))</f>
        <v>0</v>
      </c>
      <c r="AE1016" s="10" t="str">
        <f> RANDBETWEEN(1,2)</f>
        <v>0</v>
      </c>
      <c r="AF1016" s="10" t="str">
        <f>IF(AE1016=$AB$1120,$AC$1120,IF(AE1016=$AB$1121,$AC$1121,"algo esta mal"))</f>
        <v>0</v>
      </c>
      <c r="AG1016" s="10" t="str">
        <f>CONCATENATE("el ",ROUND(Y1016*100,0),"% de los ",AF1016," ",AB1016," a la dimensión ",U1016," como ",Z1016,", ",AD1016)</f>
        <v>0</v>
      </c>
    </row>
    <row r="1017" spans="1:33">
      <c r="I1017" s="10" t="str">
        <f>(J907)</f>
        <v>0</v>
      </c>
      <c r="J1017" s="14" t="str">
        <f>SUM(K907:L907)</f>
        <v>0</v>
      </c>
      <c r="K1017" s="14" t="str">
        <f>(M907)</f>
        <v>0</v>
      </c>
      <c r="L1017" s="14" t="str">
        <f>SUM(N907:O907)</f>
        <v>0</v>
      </c>
      <c r="M1017" s="14" t="str">
        <f>MAX(J1017:L1017)</f>
        <v>0</v>
      </c>
      <c r="N1017" s="10" t="str">
        <f>IF(M1017=J1017,$J$1015,IF(M1017=K1017,$K$1015,IF(M1017=L1017,$L$1015,"ALGO ESTA MAL")))</f>
        <v>0</v>
      </c>
      <c r="O1017" s="10" t="str">
        <f>RANDBETWEEN(1,10)</f>
        <v>0</v>
      </c>
      <c r="P1017" s="10" t="str">
        <f>IF(O1017=$P$1100,$Q$1100,IF(O1017=$P$1101,$Q$1101,IF(O1017=$P$1102,$Q$1102,IF(O1017=$P$1103,$Q$1103,IF(O1017=$P$1104,$Q$1104,IF(O1017=$P$1105,$Q$1105,IF(O1017=$P$1106,$Q$1106,IF(O1017=$P$1107,$Q$1107,IF(O1017=$P$1108,$Q$1108,IF(O1017=$P$1109,$Q$1109,"algo esta mal"))))))))))</f>
        <v>0</v>
      </c>
      <c r="Q1017" s="10" t="str">
        <f>CONCATENATE("el ",ROUND(M1017*100,0),"% de los ",P1017," como ",N1017)</f>
        <v>0</v>
      </c>
    </row>
    <row r="1018" spans="1:33">
      <c r="I1018" s="10" t="str">
        <f>(J908)</f>
        <v>0</v>
      </c>
      <c r="J1018" s="14" t="str">
        <f>SUM(K908:L908)</f>
        <v>0</v>
      </c>
      <c r="K1018" s="14" t="str">
        <f>(M908)</f>
        <v>0</v>
      </c>
      <c r="L1018" s="14" t="str">
        <f>SUM(N908:O908)</f>
        <v>0</v>
      </c>
      <c r="M1018" s="14" t="str">
        <f>MAX(J1018:L1018)</f>
        <v>0</v>
      </c>
      <c r="N1018" s="10" t="str">
        <f>IF(M1018=J1018,$J$1015,IF(M1018=K1018,$K$1015,IF(M1018=L1018,$L$1015,"ALGO ESTA MAL")))</f>
        <v>0</v>
      </c>
      <c r="O1018" s="10" t="str">
        <f>RANDBETWEEN(1,10)</f>
        <v>0</v>
      </c>
      <c r="P1018" s="10" t="str">
        <f>IF(O1018=$P$1100,$Q$1100,IF(O1018=$P$1101,$Q$1101,IF(O1018=$P$1102,$Q$1102,IF(O1018=$P$1103,$Q$1103,IF(O1018=$P$1104,$Q$1104,IF(O1018=$P$1105,$Q$1105,IF(O1018=$P$1106,$Q$1106,IF(O1018=$P$1107,$Q$1107,IF(O1018=$P$1108,$Q$1108,IF(O1018=$P$1109,$Q$1109,"algo esta mal"))))))))))</f>
        <v>0</v>
      </c>
      <c r="Q1018" s="10" t="str">
        <f>CONCATENATE("el ",ROUND(M1018*100,0),"% ",P1018," como ",N1018 )</f>
        <v>0</v>
      </c>
    </row>
    <row r="1019" spans="1:33">
      <c r="I1019" s="10" t="str">
        <f>(J909)</f>
        <v>0</v>
      </c>
      <c r="J1019" s="14" t="str">
        <f>SUM(K909:L909)</f>
        <v>0</v>
      </c>
      <c r="K1019" s="14" t="str">
        <f>(M909)</f>
        <v>0</v>
      </c>
      <c r="L1019" s="14" t="str">
        <f>SUM(N909:O909)</f>
        <v>0</v>
      </c>
      <c r="M1019" s="14" t="str">
        <f>MAX(J1019:L1019)</f>
        <v>0</v>
      </c>
      <c r="N1019" s="10" t="str">
        <f>IF(M1019=J1019,$J$1015,IF(M1019=K1019,$K$1015,IF(M1019=L1019,$L$1015,"ALGO ESTA MAL")))</f>
        <v>0</v>
      </c>
      <c r="O1019" s="10" t="str">
        <f>RANDBETWEEN(1,10)</f>
        <v>0</v>
      </c>
      <c r="P1019" s="10" t="str">
        <f>IF(O1019=$P$1100,$Q$1100,IF(O1019=$P$1101,$Q$1101,IF(O1019=$P$1102,$Q$1102,IF(O1019=$P$1103,$Q$1103,IF(O1019=$P$1104,$Q$1104,IF(O1019=$P$1105,$Q$1105,IF(O1019=$P$1106,$Q$1106,IF(O1019=$P$1107,$Q$1107,IF(O1019=$P$1108,$Q$1108,IF(O1019=$P$1109,$Q$1109,"algo esta mal"))))))))))</f>
        <v>0</v>
      </c>
      <c r="Q1019" s="10" t="str">
        <f>CONCATENATE("el ",ROUND(M1019*100,0),"% de los ",P1019," como ",N1019)</f>
        <v>0</v>
      </c>
    </row>
    <row r="1020" spans="1:33">
      <c r="I1020" s="10" t="str">
        <f>(J910)</f>
        <v>0</v>
      </c>
      <c r="J1020" s="14" t="str">
        <f>SUM(K910:L910)</f>
        <v>0</v>
      </c>
      <c r="K1020" s="14" t="str">
        <f>(M910)</f>
        <v>0</v>
      </c>
      <c r="L1020" s="14" t="str">
        <f>SUM(N910:O910)</f>
        <v>0</v>
      </c>
      <c r="M1020" s="14" t="str">
        <f>MAX(J1020:L1020)</f>
        <v>0</v>
      </c>
      <c r="N1020" s="10" t="str">
        <f>IF(M1020=J1020,$J$1015,IF(M1020=K1020,$K$1015,IF(M1020=L1020,$L$1015,"ALGO ESTA MAL")))</f>
        <v>0</v>
      </c>
      <c r="O1020" s="10" t="str">
        <f>RANDBETWEEN(1,10)</f>
        <v>0</v>
      </c>
      <c r="P1020" s="10" t="str">
        <f>IF(O1020=$P$1100,$Q$1100,IF(O1020=$P$1101,$Q$1101,IF(O1020=$P$1102,$Q$1102,IF(O1020=$P$1103,$Q$1103,IF(O1020=$P$1104,$Q$1104,IF(O1020=$P$1105,$Q$1105,IF(O1020=$P$1106,$Q$1106,IF(O1020=$P$1107,$Q$1107,IF(O1020=$P$1108,$Q$1108,IF(O1020=$P$1109,$Q$1109,"algo esta mal"))))))))))</f>
        <v>0</v>
      </c>
      <c r="Q1020" s="10" t="str">
        <f>CONCATENATE("el ",ROUND(M1020*100,0),"% ",P1020," como ",N1020)</f>
        <v>0</v>
      </c>
    </row>
    <row r="1021" spans="1:33">
      <c r="I1021" s="10" t="str">
        <f>(J911)</f>
        <v>0</v>
      </c>
      <c r="J1021" s="14" t="str">
        <f>SUM(K911:L911)</f>
        <v>0</v>
      </c>
      <c r="K1021" s="14" t="str">
        <f>(M911)</f>
        <v>0</v>
      </c>
      <c r="L1021" s="14" t="str">
        <f>SUM(N911:O911)</f>
        <v>0</v>
      </c>
      <c r="M1021" s="14" t="str">
        <f>MAX(J1021:L1021)</f>
        <v>0</v>
      </c>
      <c r="N1021" s="10" t="str">
        <f>IF(M1021=J1021,$J$1015,IF(M1021=K1021,$K$1015,IF(M1021=L1021,$L$1015,"ALGO ESTA MAL")))</f>
        <v>0</v>
      </c>
      <c r="O1021" s="10" t="str">
        <f>RANDBETWEEN(1,10)</f>
        <v>0</v>
      </c>
      <c r="P1021" s="10" t="str">
        <f>IF(O1021=$P$1100,$Q$1100,IF(O1021=$P$1101,$Q$1101,IF(O1021=$P$1102,$Q$1102,IF(O1021=$P$1103,$Q$1103,IF(O1021=$P$1104,$Q$1104,IF(O1021=$P$1105,$Q$1105,IF(O1021=$P$1106,$Q$1106,IF(O1021=$P$1107,$Q$1107,IF(O1021=$P$1108,$Q$1108,IF(O1021=$P$1109,$Q$1109,"algo esta mal"))))))))))</f>
        <v>0</v>
      </c>
      <c r="Q1021" s="10" t="str">
        <f>CONCATENATE("el ",ROUND(M1021*100,0),"% ",P1021," como ",N1021)</f>
        <v>0</v>
      </c>
    </row>
    <row r="1022" spans="1:33">
      <c r="I1022" s="10" t="str">
        <f>(J912)</f>
        <v>0</v>
      </c>
      <c r="J1022" s="14" t="str">
        <f>SUM(K912:L912)</f>
        <v>0</v>
      </c>
      <c r="K1022" s="14" t="str">
        <f>(M912)</f>
        <v>0</v>
      </c>
      <c r="L1022" s="14" t="str">
        <f>SUM(N912:O912)</f>
        <v>0</v>
      </c>
      <c r="M1022" s="14" t="str">
        <f>MAX(J1022:L1022)</f>
        <v>0</v>
      </c>
      <c r="N1022" s="10" t="str">
        <f>IF(M1022=J1022,$J$1015,IF(M1022=K1022,$K$1015,IF(M1022=L1022,$L$1015,"ALGO ESTA MAL")))</f>
        <v>0</v>
      </c>
      <c r="O1022" s="10" t="str">
        <f>RANDBETWEEN(1,10)</f>
        <v>0</v>
      </c>
      <c r="P1022" s="10" t="str">
        <f>IF(O1022=$P$1100,$Q$1100,IF(O1022=$P$1101,$Q$1101,IF(O1022=$P$1102,$Q$1102,IF(O1022=$P$1103,$Q$1103,IF(O1022=$P$1104,$Q$1104,IF(O1022=$P$1105,$Q$1105,IF(O1022=$P$1106,$Q$1106,IF(O1022=$P$1107,$Q$1107,IF(O1022=$P$1108,$Q$1108,IF(O1022=$P$1109,$Q$1109,"algo esta mal"))))))))))</f>
        <v>0</v>
      </c>
      <c r="Q1022" s="10" t="str">
        <f>CONCATENATE("el ",ROUND(M1022*100,0),"% de los ",P1022," como ",N1022)</f>
        <v>0</v>
      </c>
    </row>
    <row r="1023" spans="1:33">
      <c r="I1023" s="10" t="str">
        <f>(J913)</f>
        <v>0</v>
      </c>
      <c r="J1023" s="14" t="str">
        <f>SUM(K913:L913)</f>
        <v>0</v>
      </c>
      <c r="K1023" s="14" t="str">
        <f>(M913)</f>
        <v>0</v>
      </c>
      <c r="L1023" s="14" t="str">
        <f>SUM(N913:O913)</f>
        <v>0</v>
      </c>
      <c r="M1023" s="14" t="str">
        <f>MAX(J1023:L1023)</f>
        <v>0</v>
      </c>
      <c r="N1023" s="10" t="str">
        <f>IF(M1023=J1023,$J$1015,IF(M1023=K1023,$K$1015,IF(M1023=L1023,$L$1015,"ALGO ESTA MAL")))</f>
        <v>0</v>
      </c>
      <c r="O1023" s="10" t="str">
        <f>RANDBETWEEN(1,10)</f>
        <v>0</v>
      </c>
      <c r="P1023" s="10" t="str">
        <f>IF(O1023=$P$1100,$Q$1100,IF(O1023=$P$1101,$Q$1101,IF(O1023=$P$1102,$Q$1102,IF(O1023=$P$1103,$Q$1103,IF(O1023=$P$1104,$Q$1104,IF(O1023=$P$1105,$Q$1105,IF(O1023=$P$1106,$Q$1106,IF(O1023=$P$1107,$Q$1107,IF(O1023=$P$1108,$Q$1108,IF(O1023=$P$1109,$Q$1109,"algo esta mal"))))))))))</f>
        <v>0</v>
      </c>
      <c r="Q1023" s="10" t="str">
        <f>CONCATENATE("el ",ROUND(M1023*100,0),"% ",P1023," como ",N1023)</f>
        <v>0</v>
      </c>
    </row>
    <row r="1024" spans="1:33">
      <c r="I1024" s="10" t="str">
        <f>(J914)</f>
        <v>0</v>
      </c>
      <c r="J1024" s="14" t="str">
        <f>SUM(K914:L914)</f>
        <v>0</v>
      </c>
      <c r="K1024" s="14" t="str">
        <f>(M914)</f>
        <v>0</v>
      </c>
      <c r="L1024" s="14" t="str">
        <f>SUM(N914:O914)</f>
        <v>0</v>
      </c>
      <c r="M1024" s="14" t="str">
        <f>MAX(J1024:L1024)</f>
        <v>0</v>
      </c>
      <c r="N1024" s="10" t="str">
        <f>IF(M1024=J1024,$J$1015,IF(M1024=K1024,$K$1015,IF(M1024=L1024,$L$1015,"ALGO ESTA MAL")))</f>
        <v>0</v>
      </c>
      <c r="O1024" s="10" t="str">
        <f>RANDBETWEEN(1,10)</f>
        <v>0</v>
      </c>
      <c r="P1024" s="10" t="str">
        <f>IF(O1024=$P$1100,$Q$1100,IF(O1024=$P$1101,$Q$1101,IF(O1024=$P$1102,$Q$1102,IF(O1024=$P$1103,$Q$1103,IF(O1024=$P$1104,$Q$1104,IF(O1024=$P$1105,$Q$1105,IF(O1024=$P$1106,$Q$1106,IF(O1024=$P$1107,$Q$1107,IF(O1024=$P$1108,$Q$1108,IF(O1024=$P$1109,$Q$1109,"algo esta mal"))))))))))</f>
        <v>0</v>
      </c>
      <c r="Q1024" s="10" t="str">
        <f>CONCATENATE("el ",ROUND(M1024*100,0),"% ",P1024," como ",N1024)</f>
        <v>0</v>
      </c>
    </row>
    <row r="1025" spans="1:33">
      <c r="I1025" s="10" t="str">
        <f>(J915)</f>
        <v>0</v>
      </c>
      <c r="J1025" s="14" t="str">
        <f>SUM(K915:L915)</f>
        <v>0</v>
      </c>
      <c r="K1025" s="14" t="str">
        <f>(M915)</f>
        <v>0</v>
      </c>
      <c r="L1025" s="14" t="str">
        <f>SUM(N915:O915)</f>
        <v>0</v>
      </c>
      <c r="M1025" s="14" t="str">
        <f>MAX(J1025:L1025)</f>
        <v>0</v>
      </c>
      <c r="N1025" s="10" t="str">
        <f>IF(M1025=J1025,$J$1015,IF(M1025=K1025,$K$1015,IF(M1025=L1025,$L$1015,"ALGO ESTA MAL")))</f>
        <v>0</v>
      </c>
      <c r="O1025" s="10" t="str">
        <f>RANDBETWEEN(1,10)</f>
        <v>0</v>
      </c>
      <c r="P1025" s="10" t="str">
        <f>IF(O1025=$P$1100,$Q$1100,IF(O1025=$P$1101,$Q$1101,IF(O1025=$P$1102,$Q$1102,IF(O1025=$P$1103,$Q$1103,IF(O1025=$P$1104,$Q$1104,IF(O1025=$P$1105,$Q$1105,IF(O1025=$P$1106,$Q$1106,IF(O1025=$P$1107,$Q$1107,IF(O1025=$P$1108,$Q$1108,IF(O1025=$P$1109,$Q$1109,"algo esta mal"))))))))))</f>
        <v>0</v>
      </c>
      <c r="Q1025" s="10" t="str">
        <f>CONCATENATE("el ",ROUND(M1025*100,0),"% de los ",P1025," como ",N1025)</f>
        <v>0</v>
      </c>
    </row>
    <row r="1026" spans="1:33">
      <c r="I1026" s="10" t="str">
        <f>(J916)</f>
        <v>0</v>
      </c>
      <c r="J1026" s="14" t="str">
        <f>SUM(K916:L916)</f>
        <v>0</v>
      </c>
      <c r="K1026" s="14" t="str">
        <f>(M916)</f>
        <v>0</v>
      </c>
      <c r="L1026" s="14" t="str">
        <f>SUM(N916:O916)</f>
        <v>0</v>
      </c>
      <c r="M1026" s="14" t="str">
        <f>MAX(J1026:L1026)</f>
        <v>0</v>
      </c>
      <c r="N1026" s="10" t="str">
        <f>IF(M1026=J1026,$J$1015,IF(M1026=K1026,$K$1015,IF(M1026=L1026,$L$1015,"ALGO ESTA MAL")))</f>
        <v>0</v>
      </c>
      <c r="O1026" s="10" t="str">
        <f>RANDBETWEEN(1,10)</f>
        <v>0</v>
      </c>
      <c r="P1026" s="10" t="str">
        <f>IF(O1026=$P$1100,$Q$1100,IF(O1026=$P$1101,$Q$1101,IF(O1026=$P$1102,$Q$1102,IF(O1026=$P$1103,$Q$1103,IF(O1026=$P$1104,$Q$1104,IF(O1026=$P$1105,$Q$1105,IF(O1026=$P$1106,$Q$1106,IF(O1026=$P$1107,$Q$1107,IF(O1026=$P$1108,$Q$1108,IF(O1026=$P$1109,$Q$1109,"algo esta mal"))))))))))</f>
        <v>0</v>
      </c>
      <c r="Q1026" s="10" t="str">
        <f>CONCATENATE("el ",ROUND(M1026*100,0),"% ",P1026," como ",N1026)</f>
        <v>0</v>
      </c>
    </row>
    <row r="1027" spans="1:33">
      <c r="I1027" s="10" t="str">
        <f>(J917)</f>
        <v>0</v>
      </c>
      <c r="J1027" s="14" t="str">
        <f>SUM(K917:L917)</f>
        <v>0</v>
      </c>
      <c r="K1027" s="14" t="str">
        <f>(M917)</f>
        <v>0</v>
      </c>
      <c r="L1027" s="14" t="str">
        <f>SUM(N917:O917)</f>
        <v>0</v>
      </c>
      <c r="M1027" s="14" t="str">
        <f>MAX(J1027:L1027)</f>
        <v>0</v>
      </c>
      <c r="N1027" s="10" t="str">
        <f>IF(M1027=J1027,$J$1015,IF(M1027=K1027,$K$1015,IF(M1027=L1027,$L$1015,"ALGO ESTA MAL")))</f>
        <v>0</v>
      </c>
      <c r="O1027" s="10" t="str">
        <f>RANDBETWEEN(1,10)</f>
        <v>0</v>
      </c>
      <c r="P1027" s="10" t="str">
        <f>IF(O1027=$P$1100,$Q$1100,IF(O1027=$P$1101,$Q$1101,IF(O1027=$P$1102,$Q$1102,IF(O1027=$P$1103,$Q$1103,IF(O1027=$P$1104,$Q$1104,IF(O1027=$P$1105,$Q$1105,IF(O1027=$P$1106,$Q$1106,IF(O1027=$P$1107,$Q$1107,IF(O1027=$P$1108,$Q$1108,IF(O1027=$P$1109,$Q$1109,"algo esta mal"))))))))))</f>
        <v>0</v>
      </c>
      <c r="Q1027" s="10" t="str">
        <f>CONCATENATE("el ",ROUND(M1027*100,0),"% ",P1027," como ",N1027)</f>
        <v>0</v>
      </c>
    </row>
    <row r="1028" spans="1:33">
      <c r="I1028" s="10" t="str">
        <f>(J918)</f>
        <v>0</v>
      </c>
      <c r="J1028" s="14" t="str">
        <f>SUM(K918:L918)</f>
        <v>0</v>
      </c>
      <c r="K1028" s="14" t="str">
        <f>(M918)</f>
        <v>0</v>
      </c>
      <c r="L1028" s="14" t="str">
        <f>SUM(N918:O918)</f>
        <v>0</v>
      </c>
      <c r="M1028" s="14" t="str">
        <f>MAX(J1028:L1028)</f>
        <v>0</v>
      </c>
      <c r="N1028" s="10" t="str">
        <f>IF(M1028=J1028,$J$1015,IF(M1028=K1028,$K$1015,IF(M1028=L1028,$L$1015,"ALGO ESTA MAL")))</f>
        <v>0</v>
      </c>
      <c r="O1028" s="10" t="str">
        <f>RANDBETWEEN(1,10)</f>
        <v>0</v>
      </c>
      <c r="P1028" s="10" t="str">
        <f>IF(O1028=$P$1100,$Q$1100,IF(O1028=$P$1101,$Q$1101,IF(O1028=$P$1102,$Q$1102,IF(O1028=$P$1103,$Q$1103,IF(O1028=$P$1104,$Q$1104,IF(O1028=$P$1105,$Q$1105,IF(O1028=$P$1106,$Q$1106,IF(O1028=$P$1107,$Q$1107,IF(O1028=$P$1108,$Q$1108,IF(O1028=$P$1109,$Q$1109,"algo esta mal"))))))))))</f>
        <v>0</v>
      </c>
      <c r="Q1028" s="10" t="str">
        <f>CONCATENATE("el ",ROUND(M1028*100,0),"% de los ",P1028," como ",N1028)</f>
        <v>0</v>
      </c>
    </row>
    <row r="1029" spans="1:33">
      <c r="I1029" s="10" t="str">
        <f>(J919)</f>
        <v>0</v>
      </c>
      <c r="J1029" s="14" t="str">
        <f>SUM(K919:L919)</f>
        <v>0</v>
      </c>
      <c r="K1029" s="14" t="str">
        <f>(M919)</f>
        <v>0</v>
      </c>
      <c r="L1029" s="14" t="str">
        <f>SUM(N919:O919)</f>
        <v>0</v>
      </c>
      <c r="M1029" s="14" t="str">
        <f>MAX(J1029:L1029)</f>
        <v>0</v>
      </c>
      <c r="N1029" s="10" t="str">
        <f>IF(M1029=J1029,$J$1015,IF(M1029=K1029,$K$1015,IF(M1029=L1029,$L$1015,"ALGO ESTA MAL")))</f>
        <v>0</v>
      </c>
      <c r="O1029" s="10" t="str">
        <f>RANDBETWEEN(1,10)</f>
        <v>0</v>
      </c>
      <c r="P1029" s="10" t="str">
        <f>IF(O1029=$P$1100,$Q$1100,IF(O1029=$P$1101,$Q$1101,IF(O1029=$P$1102,$Q$1102,IF(O1029=$P$1103,$Q$1103,IF(O1029=$P$1104,$Q$1104,IF(O1029=$P$1105,$Q$1105,IF(O1029=$P$1106,$Q$1106,IF(O1029=$P$1107,$Q$1107,IF(O1029=$P$1108,$Q$1108,IF(O1029=$P$1109,$Q$1109,"algo esta mal"))))))))))</f>
        <v>0</v>
      </c>
      <c r="Q1029" s="10" t="str">
        <f>CONCATENATE("el ",ROUND(M1029*100,0),"% ",P1029," como ",N1029)</f>
        <v>0</v>
      </c>
    </row>
    <row r="1030" spans="1:33">
      <c r="I1030" s="10" t="str">
        <f>(J920)</f>
        <v>0</v>
      </c>
      <c r="J1030" s="14" t="str">
        <f>SUM(K920:L920)</f>
        <v>0</v>
      </c>
      <c r="K1030" s="14" t="str">
        <f>(M920)</f>
        <v>0</v>
      </c>
      <c r="L1030" s="14" t="str">
        <f>SUM(N920:O920)</f>
        <v>0</v>
      </c>
      <c r="M1030" s="14" t="str">
        <f>MAX(J1030:L1030)</f>
        <v>0</v>
      </c>
      <c r="N1030" s="10" t="str">
        <f>IF(M1030=J1030,$J$1015,IF(M1030=K1030,$K$1015,IF(M1030=L1030,$L$1015,"ALGO ESTA MAL")))</f>
        <v>0</v>
      </c>
      <c r="O1030" s="10" t="str">
        <f>RANDBETWEEN(1,10)</f>
        <v>0</v>
      </c>
      <c r="P1030" s="10" t="str">
        <f>IF(O1030=$P$1100,$Q$1100,IF(O1030=$P$1101,$Q$1101,IF(O1030=$P$1102,$Q$1102,IF(O1030=$P$1103,$Q$1103,IF(O1030=$P$1104,$Q$1104,IF(O1030=$P$1105,$Q$1105,IF(O1030=$P$1106,$Q$1106,IF(O1030=$P$1107,$Q$1107,IF(O1030=$P$1108,$Q$1108,IF(O1030=$P$1109,$Q$1109,"algo esta mal"))))))))))</f>
        <v>0</v>
      </c>
      <c r="Q1030" s="10" t="str">
        <f>CONCATENATE("el ",ROUND(M1030*100,0),"% ",P1030," como ",N1030)</f>
        <v>0</v>
      </c>
    </row>
    <row r="1031" spans="1:33">
      <c r="I1031" s="10" t="str">
        <f>(J921)</f>
        <v>0</v>
      </c>
      <c r="J1031" s="14" t="str">
        <f>SUM(K921:L921)</f>
        <v>0</v>
      </c>
      <c r="K1031" s="14" t="str">
        <f>(M921)</f>
        <v>0</v>
      </c>
      <c r="L1031" s="14" t="str">
        <f>SUM(N921:O921)</f>
        <v>0</v>
      </c>
      <c r="M1031" s="14" t="str">
        <f>MAX(J1031:L1031)</f>
        <v>0</v>
      </c>
      <c r="N1031" s="10" t="str">
        <f>IF(M1031=J1031,$J$1015,IF(M1031=K1031,$K$1015,IF(M1031=L1031,$L$1015,"ALGO ESTA MAL")))</f>
        <v>0</v>
      </c>
      <c r="O1031" s="10" t="str">
        <f>RANDBETWEEN(1,10)</f>
        <v>0</v>
      </c>
      <c r="P1031" s="10" t="str">
        <f>IF(O1031=$P$1100,$Q$1100,IF(O1031=$P$1101,$Q$1101,IF(O1031=$P$1102,$Q$1102,IF(O1031=$P$1103,$Q$1103,IF(O1031=$P$1104,$Q$1104,IF(O1031=$P$1105,$Q$1105,IF(O1031=$P$1106,$Q$1106,IF(O1031=$P$1107,$Q$1107,IF(O1031=$P$1108,$Q$1108,IF(O1031=$P$1109,$Q$1109,"algo esta mal"))))))))))</f>
        <v>0</v>
      </c>
      <c r="Q1031" s="10" t="str">
        <f>CONCATENATE("el ",ROUND(M1031*100,0),"% de los ",P1031," como ",N1031)</f>
        <v>0</v>
      </c>
    </row>
    <row r="1032" spans="1:33">
      <c r="I1032" s="10" t="str">
        <f>(J922)</f>
        <v>0</v>
      </c>
      <c r="J1032" s="14" t="str">
        <f>SUM(K922:L922)</f>
        <v>0</v>
      </c>
      <c r="K1032" s="14" t="str">
        <f>(M922)</f>
        <v>0</v>
      </c>
      <c r="L1032" s="14" t="str">
        <f>SUM(N922:O922)</f>
        <v>0</v>
      </c>
      <c r="M1032" s="14" t="str">
        <f>MAX(J1032:L1032)</f>
        <v>0</v>
      </c>
      <c r="N1032" s="10" t="str">
        <f>IF(M1032=J1032,$J$1015,IF(M1032=K1032,$K$1015,IF(M1032=L1032,$L$1015,"ALGO ESTA MAL")))</f>
        <v>0</v>
      </c>
      <c r="O1032" s="10" t="str">
        <f>RANDBETWEEN(1,10)</f>
        <v>0</v>
      </c>
      <c r="P1032" s="10" t="str">
        <f>IF(O1032=$P$1100,$Q$1100,IF(O1032=$P$1101,$Q$1101,IF(O1032=$P$1102,$Q$1102,IF(O1032=$P$1103,$Q$1103,IF(O1032=$P$1104,$Q$1104,IF(O1032=$P$1105,$Q$1105,IF(O1032=$P$1106,$Q$1106,IF(O1032=$P$1107,$Q$1107,IF(O1032=$P$1108,$Q$1108,IF(O1032=$P$1109,$Q$1109,"algo esta mal"))))))))))</f>
        <v>0</v>
      </c>
      <c r="Q1032" s="10" t="str">
        <f>CONCATENATE("el ",ROUND(M1032*100,0),"% ",P1032," como ",N1032)</f>
        <v>0</v>
      </c>
    </row>
    <row r="1033" spans="1:33">
      <c r="I1033" s="10" t="str">
        <f>(J923)</f>
        <v>0</v>
      </c>
      <c r="J1033" s="14" t="str">
        <f>SUM(K923:L923)</f>
        <v>0</v>
      </c>
      <c r="K1033" s="14" t="str">
        <f>(M923)</f>
        <v>0</v>
      </c>
      <c r="L1033" s="14" t="str">
        <f>SUM(N923:O923)</f>
        <v>0</v>
      </c>
      <c r="M1033" s="14" t="str">
        <f>MAX(J1033:L1033)</f>
        <v>0</v>
      </c>
      <c r="N1033" s="10" t="str">
        <f>IF(M1033=J1033,$J$1015,IF(M1033=K1033,$K$1015,IF(M1033=L1033,$L$1015,"ALGO ESTA MAL")))</f>
        <v>0</v>
      </c>
      <c r="O1033" s="10" t="str">
        <f>RANDBETWEEN(1,10)</f>
        <v>0</v>
      </c>
      <c r="P1033" s="10" t="str">
        <f>IF(O1033=$P$1100,$Q$1100,IF(O1033=$P$1101,$Q$1101,IF(O1033=$P$1102,$Q$1102,IF(O1033=$P$1103,$Q$1103,IF(O1033=$P$1104,$Q$1104,IF(O1033=$P$1105,$Q$1105,IF(O1033=$P$1106,$Q$1106,IF(O1033=$P$1107,$Q$1107,IF(O1033=$P$1108,$Q$1108,IF(O1033=$P$1109,$Q$1109,"algo esta mal"))))))))))</f>
        <v>0</v>
      </c>
      <c r="Q1033" s="10" t="str">
        <f>CONCATENATE("el ",ROUND(M1033*100,0),"% ",P1033," como ",N1033)</f>
        <v>0</v>
      </c>
    </row>
    <row r="1034" spans="1:33">
      <c r="I1034" s="10" t="str">
        <f>(J924)</f>
        <v>0</v>
      </c>
      <c r="J1034" s="14" t="str">
        <f>SUM(K924:L924)</f>
        <v>0</v>
      </c>
      <c r="K1034" s="14" t="str">
        <f>(M924)</f>
        <v>0</v>
      </c>
      <c r="L1034" s="14" t="str">
        <f>SUM(N924:O924)</f>
        <v>0</v>
      </c>
      <c r="M1034" s="14" t="str">
        <f>MAX(J1034:L1034)</f>
        <v>0</v>
      </c>
      <c r="N1034" s="10" t="str">
        <f>IF(M1034=J1034,$J$1015,IF(M1034=K1034,$K$1015,IF(M1034=L1034,$L$1015,"ALGO ESTA MAL")))</f>
        <v>0</v>
      </c>
      <c r="O1034" s="10" t="str">
        <f>RANDBETWEEN(1,10)</f>
        <v>0</v>
      </c>
      <c r="P1034" s="10" t="str">
        <f>IF(O1034=$P$1100,$Q$1100,IF(O1034=$P$1101,$Q$1101,IF(O1034=$P$1102,$Q$1102,IF(O1034=$P$1103,$Q$1103,IF(O1034=$P$1104,$Q$1104,IF(O1034=$P$1105,$Q$1105,IF(O1034=$P$1106,$Q$1106,IF(O1034=$P$1107,$Q$1107,IF(O1034=$P$1108,$Q$1108,IF(O1034=$P$1109,$Q$1109,"algo esta mal"))))))))))</f>
        <v>0</v>
      </c>
      <c r="Q1034" s="10" t="str">
        <f>CONCATENATE("el ",ROUND(M1034*100,0),"% de los ",P1034," como ",N1034)</f>
        <v>0</v>
      </c>
    </row>
    <row r="1035" spans="1:33">
      <c r="I1035" s="10" t="str">
        <f>(J925)</f>
        <v>0</v>
      </c>
      <c r="J1035" s="14" t="str">
        <f>SUM(K925:L925)</f>
        <v>0</v>
      </c>
      <c r="K1035" s="14" t="str">
        <f>(M925)</f>
        <v>0</v>
      </c>
      <c r="L1035" s="14" t="str">
        <f>SUM(N925:O925)</f>
        <v>0</v>
      </c>
      <c r="M1035" s="14" t="str">
        <f>MAX(J1035:L1035)</f>
        <v>0</v>
      </c>
      <c r="N1035" s="10" t="str">
        <f>IF(M1035=J1035,$J$1015,IF(M1035=K1035,$K$1015,IF(M1035=L1035,$L$1015,"ALGO ESTA MAL")))</f>
        <v>0</v>
      </c>
      <c r="O1035" s="10" t="str">
        <f>RANDBETWEEN(1,10)</f>
        <v>0</v>
      </c>
      <c r="P1035" s="10" t="str">
        <f>IF(O1035=$P$1100,$Q$1100,IF(O1035=$P$1101,$Q$1101,IF(O1035=$P$1102,$Q$1102,IF(O1035=$P$1103,$Q$1103,IF(O1035=$P$1104,$Q$1104,IF(O1035=$P$1105,$Q$1105,IF(O1035=$P$1106,$Q$1106,IF(O1035=$P$1107,$Q$1107,IF(O1035=$P$1108,$Q$1108,IF(O1035=$P$1109,$Q$1109,"algo esta mal"))))))))))</f>
        <v>0</v>
      </c>
      <c r="Q1035" s="10" t="str">
        <f>CONCATENATE("el ",ROUND(M1035*100,0),"% ",P1035," como ",N1035)</f>
        <v>0</v>
      </c>
    </row>
    <row r="1036" spans="1:33">
      <c r="I1036" s="10" t="str">
        <f>(J926)</f>
        <v>0</v>
      </c>
      <c r="J1036" s="14" t="str">
        <f>SUM(K926:L926)</f>
        <v>0</v>
      </c>
      <c r="K1036" s="14" t="str">
        <f>(M926)</f>
        <v>0</v>
      </c>
      <c r="L1036" s="14" t="str">
        <f>SUM(N926:O926)</f>
        <v>0</v>
      </c>
      <c r="M1036" s="14" t="str">
        <f>MAX(J1036:L1036)</f>
        <v>0</v>
      </c>
      <c r="N1036" s="10" t="str">
        <f>IF(M1036=J1036,$J$1015,IF(M1036=K1036,$K$1015,IF(M1036=L1036,$L$1015,"ALGO ESTA MAL")))</f>
        <v>0</v>
      </c>
      <c r="O1036" s="10" t="str">
        <f>RANDBETWEEN(1,10)</f>
        <v>0</v>
      </c>
      <c r="P1036" s="10" t="str">
        <f>IF(O1036=$P$1100,$Q$1100,IF(O1036=$P$1101,$Q$1101,IF(O1036=$P$1102,$Q$1102,IF(O1036=$P$1103,$Q$1103,IF(O1036=$P$1104,$Q$1104,IF(O1036=$P$1105,$Q$1105,IF(O1036=$P$1106,$Q$1106,IF(O1036=$P$1107,$Q$1107,IF(O1036=$P$1108,$Q$1108,IF(O1036=$P$1109,$Q$1109,"algo esta mal"))))))))))</f>
        <v>0</v>
      </c>
      <c r="Q1036" s="10" t="str">
        <f>CONCATENATE("el ",ROUND(M1036*100,0),"% ",P1036," como ",N1036)</f>
        <v>0</v>
      </c>
    </row>
    <row r="1037" spans="1:33">
      <c r="I1037" s="10" t="str">
        <f>(J927)</f>
        <v>0</v>
      </c>
      <c r="J1037" s="14" t="str">
        <f>SUM(K927:L927)</f>
        <v>0</v>
      </c>
      <c r="K1037" s="14" t="str">
        <f>(M927)</f>
        <v>0</v>
      </c>
      <c r="L1037" s="14" t="str">
        <f>SUM(N927:O927)</f>
        <v>0</v>
      </c>
      <c r="M1037" s="14" t="str">
        <f>MAX(J1037:L1037)</f>
        <v>0</v>
      </c>
      <c r="N1037" s="10" t="str">
        <f>IF(M1037=J1037,$J$1015,IF(M1037=K1037,$K$1015,IF(M1037=L1037,$L$1015,"ALGO ESTA MAL")))</f>
        <v>0</v>
      </c>
      <c r="O1037" s="10" t="str">
        <f>RANDBETWEEN(1,10)</f>
        <v>0</v>
      </c>
      <c r="P1037" s="10" t="str">
        <f>IF(O1037=$P$1100,$Q$1100,IF(O1037=$P$1101,$Q$1101,IF(O1037=$P$1102,$Q$1102,IF(O1037=$P$1103,$Q$1103,IF(O1037=$P$1104,$Q$1104,IF(O1037=$P$1105,$Q$1105,IF(O1037=$P$1106,$Q$1106,IF(O1037=$P$1107,$Q$1107,IF(O1037=$P$1108,$Q$1108,IF(O1037=$P$1109,$Q$1109,"algo esta mal"))))))))))</f>
        <v>0</v>
      </c>
      <c r="Q1037" s="10" t="str">
        <f>CONCATENATE("el ",ROUND(M1037*100,0),"% de los ",P1037," como ",N1037)</f>
        <v>0</v>
      </c>
    </row>
    <row r="1100" spans="1:33">
      <c r="P1100" s="10">
        <v>1</v>
      </c>
      <c r="Q1100" s="10" t="s">
        <v>96</v>
      </c>
      <c r="AB1100" s="10">
        <v>1</v>
      </c>
      <c r="AC1100" s="10" t="s">
        <v>96</v>
      </c>
    </row>
    <row r="1101" spans="1:33">
      <c r="P1101" s="10">
        <v>2</v>
      </c>
      <c r="Q1101" s="10" t="s">
        <v>97</v>
      </c>
      <c r="AB1101" s="10">
        <v>2</v>
      </c>
      <c r="AC1101" s="10" t="s">
        <v>97</v>
      </c>
    </row>
    <row r="1102" spans="1:33">
      <c r="P1102" s="10">
        <v>3</v>
      </c>
      <c r="Q1102" s="10" t="s">
        <v>98</v>
      </c>
      <c r="AB1102" s="10">
        <v>3</v>
      </c>
      <c r="AC1102" s="10" t="s">
        <v>98</v>
      </c>
    </row>
    <row r="1103" spans="1:33">
      <c r="P1103" s="10">
        <v>4</v>
      </c>
      <c r="Q1103" s="10" t="s">
        <v>99</v>
      </c>
      <c r="AB1103" s="10">
        <v>4</v>
      </c>
      <c r="AC1103" s="10" t="s">
        <v>99</v>
      </c>
    </row>
    <row r="1104" spans="1:33">
      <c r="P1104" s="10">
        <v>5</v>
      </c>
      <c r="Q1104" s="10" t="s">
        <v>100</v>
      </c>
      <c r="AB1104" s="10">
        <v>5</v>
      </c>
      <c r="AC1104" s="10" t="s">
        <v>100</v>
      </c>
    </row>
    <row r="1105" spans="1:33">
      <c r="P1105" s="10">
        <v>6</v>
      </c>
      <c r="Q1105" s="10" t="s">
        <v>101</v>
      </c>
      <c r="AB1105" s="10">
        <v>6</v>
      </c>
      <c r="AC1105" s="10" t="s">
        <v>101</v>
      </c>
    </row>
    <row r="1106" spans="1:33">
      <c r="P1106" s="10">
        <v>7</v>
      </c>
      <c r="Q1106" s="10" t="s">
        <v>102</v>
      </c>
      <c r="AB1106" s="10">
        <v>7</v>
      </c>
      <c r="AC1106" s="10" t="s">
        <v>102</v>
      </c>
    </row>
    <row r="1107" spans="1:33">
      <c r="P1107" s="10">
        <v>8</v>
      </c>
      <c r="Q1107" s="10" t="s">
        <v>103</v>
      </c>
      <c r="AB1107" s="10">
        <v>8</v>
      </c>
      <c r="AC1107" s="10" t="s">
        <v>103</v>
      </c>
    </row>
    <row r="1108" spans="1:33">
      <c r="P1108" s="10">
        <v>9</v>
      </c>
      <c r="Q1108" s="10" t="s">
        <v>104</v>
      </c>
      <c r="AB1108" s="10">
        <v>9</v>
      </c>
      <c r="AC1108" s="10" t="s">
        <v>104</v>
      </c>
    </row>
    <row r="1109" spans="1:33">
      <c r="P1109" s="10">
        <v>10</v>
      </c>
      <c r="Q1109" s="10" t="s">
        <v>105</v>
      </c>
      <c r="AB1109" s="10">
        <v>10</v>
      </c>
      <c r="AC1109" s="10" t="s">
        <v>105</v>
      </c>
    </row>
    <row r="1110" spans="1:33">
      <c r="AB1110" s="10">
        <v>1</v>
      </c>
      <c r="AC1110" s="10" t="s">
        <v>106</v>
      </c>
    </row>
    <row r="1111" spans="1:33">
      <c r="AB1111" s="10">
        <v>2</v>
      </c>
      <c r="AC1111" s="10" t="s">
        <v>107</v>
      </c>
    </row>
    <row r="1112" spans="1:33">
      <c r="AB1112" s="10">
        <v>3</v>
      </c>
      <c r="AC1112" s="10" t="s">
        <v>108</v>
      </c>
    </row>
    <row r="1113" spans="1:33">
      <c r="AB1113" s="10">
        <v>4</v>
      </c>
      <c r="AC1113" s="10" t="s">
        <v>109</v>
      </c>
    </row>
    <row r="1114" spans="1:33">
      <c r="AB1114" s="10">
        <v>5</v>
      </c>
      <c r="AC1114" s="10" t="s">
        <v>110</v>
      </c>
    </row>
    <row r="1115" spans="1:33">
      <c r="AB1115" s="10">
        <v>6</v>
      </c>
      <c r="AC1115" s="10" t="s">
        <v>111</v>
      </c>
    </row>
    <row r="1116" spans="1:33">
      <c r="AB1116" s="10">
        <v>7</v>
      </c>
      <c r="AC1116" s="10" t="s">
        <v>112</v>
      </c>
    </row>
    <row r="1120" spans="1:33">
      <c r="AB1120" s="10">
        <v>1</v>
      </c>
      <c r="AC1120" s="10" t="str">
        <f>(V902)</f>
        <v>0</v>
      </c>
    </row>
    <row r="1121" spans="1:33">
      <c r="AB1121" s="10">
        <v>2</v>
      </c>
      <c r="AC1121" s="10" t="s">
        <v>113</v>
      </c>
    </row>
    <row r="2019" spans="1:33">
      <c r="L2019" t="str">
        <f>J11</f>
        <v>0</v>
      </c>
      <c r="M2019" t="str">
        <f>L19+J13</f>
        <v>0</v>
      </c>
      <c r="N2019" t="str">
        <f>COUNTIF($C$4:$C$23,$K19)</f>
        <v>0</v>
      </c>
      <c r="O2019" s="5" t="str">
        <f>N2019/N2022</f>
        <v>0</v>
      </c>
      <c r="X2019" t="str">
        <f>V11</f>
        <v>0</v>
      </c>
      <c r="Y2019" t="str">
        <f>X19+V13 - 1</f>
        <v>0</v>
      </c>
      <c r="Z2019" t="str">
        <f>COUNTIF($E$4:$E$23,$W19)</f>
        <v>0</v>
      </c>
      <c r="AA2019" s="5" t="str">
        <f>Z2019/Z2022</f>
        <v>0</v>
      </c>
    </row>
    <row r="2020" spans="1:33">
      <c r="L2020" t="str">
        <f>M19+ 1</f>
        <v>0</v>
      </c>
      <c r="M2020" t="str">
        <f>L20+J13</f>
        <v>0</v>
      </c>
      <c r="N2020" t="str">
        <f>COUNTIF($C$4:$C$23,$K20)</f>
        <v>0</v>
      </c>
      <c r="O2020" s="5" t="str">
        <f>N2020/N2022</f>
        <v>0</v>
      </c>
      <c r="X2020" t="str">
        <f>Y19+ 1</f>
        <v>0</v>
      </c>
      <c r="Y2020" t="str">
        <f>X20+V13 - 1</f>
        <v>0</v>
      </c>
      <c r="Z2020" t="str">
        <f>COUNTIF($E$4:$E$23,$W20)</f>
        <v>0</v>
      </c>
      <c r="AA2020" s="5" t="str">
        <f>Z2020/Z2022</f>
        <v>0</v>
      </c>
    </row>
    <row r="2021" spans="1:33">
      <c r="L2021" t="str">
        <f>M20+ 1</f>
        <v>0</v>
      </c>
      <c r="M2021" t="str">
        <f>J10</f>
        <v>0</v>
      </c>
      <c r="N2021" t="str">
        <f>COUNTIF($C$4:$C$23,$K21)</f>
        <v>0</v>
      </c>
      <c r="O2021" s="5" t="str">
        <f>N2021/N2022</f>
        <v>0</v>
      </c>
      <c r="X2021" t="str">
        <f>Y20+ 1</f>
        <v>0</v>
      </c>
      <c r="Y2021" t="str">
        <f>V10</f>
        <v>0</v>
      </c>
      <c r="Z2021" t="str">
        <f>COUNTIF($E$4:$E$23,$W21)</f>
        <v>0</v>
      </c>
      <c r="AA2021" s="5" t="str">
        <f>Z2021/Z2022</f>
        <v>0</v>
      </c>
    </row>
    <row r="2022" spans="1:33">
      <c r="N2022" t="str">
        <f>SUM(N2019:N2021)</f>
        <v>0</v>
      </c>
      <c r="O2022" s="5" t="str">
        <f>SUM(O2019:O2021)</f>
        <v>0</v>
      </c>
      <c r="Z2022" t="str">
        <f>SUM(Z2019:Z2021)</f>
        <v>0</v>
      </c>
      <c r="AA2022" s="5" t="str">
        <f>SUM(AA2019:AA2021)</f>
        <v>0</v>
      </c>
    </row>
    <row r="2101" spans="1:33">
      <c r="G2101" s="10" t="s">
        <v>56</v>
      </c>
      <c r="H2101" s="10" t="str">
        <f>(J4)</f>
        <v>0</v>
      </c>
      <c r="J2101" s="10" t="s">
        <v>77</v>
      </c>
      <c r="S2101" s="10" t="s">
        <v>56</v>
      </c>
      <c r="T2101" s="10" t="str">
        <f>(V4)</f>
        <v>0</v>
      </c>
      <c r="V2101" s="10" t="s">
        <v>77</v>
      </c>
    </row>
    <row r="2102" spans="1:33">
      <c r="G2102" s="10" t="s">
        <v>78</v>
      </c>
      <c r="H2102" s="10" t="str">
        <f>(J5)</f>
        <v>0</v>
      </c>
      <c r="J2102" s="10" t="s">
        <v>79</v>
      </c>
      <c r="S2102" s="10" t="s">
        <v>78</v>
      </c>
      <c r="T2102" s="10" t="str">
        <f>(V5)</f>
        <v>0</v>
      </c>
      <c r="V2102" s="10" t="s">
        <v>79</v>
      </c>
    </row>
    <row r="2104" spans="1:33">
      <c r="G2104" s="10" t="s">
        <v>80</v>
      </c>
      <c r="H2104" s="14" t="str">
        <f>MAX(O19:O21)</f>
        <v>0</v>
      </c>
      <c r="I2104" s="10" t="str">
        <f>IF(H2104=O19,K19,IF(H2104=O20,K20,IF(H2104=O21,K21,"algo esta mal")))</f>
        <v>0</v>
      </c>
      <c r="S2104" s="10" t="s">
        <v>80</v>
      </c>
      <c r="T2104" s="14" t="str">
        <f>MAX(AA19:AA21)</f>
        <v>0</v>
      </c>
      <c r="U2104" s="10" t="str">
        <f>IF(T2104=AA19,W19,IF(T2104=AA20,W20,IF(T2104=AA21,W21,"algo esta mal")))</f>
        <v>0</v>
      </c>
    </row>
    <row r="2105" spans="1:33">
      <c r="I2105" s="10" t="s">
        <v>81</v>
      </c>
      <c r="J2105" s="10" t="s">
        <v>82</v>
      </c>
      <c r="K2105" s="10" t="s">
        <v>1</v>
      </c>
      <c r="L2105" s="10" t="s">
        <v>1</v>
      </c>
      <c r="M2105" s="10" t="s">
        <v>1</v>
      </c>
      <c r="N2105" s="10" t="s">
        <v>1</v>
      </c>
      <c r="O2105" s="10" t="s">
        <v>1</v>
      </c>
    </row>
    <row r="2205" spans="1:33">
      <c r="I2205" s="10" t="s">
        <v>82</v>
      </c>
      <c r="J2205" s="10" t="str">
        <f>CONCATENATE(K2105," y ",L2105)</f>
        <v>0</v>
      </c>
      <c r="K2205" s="10" t="str">
        <f>(M2105)</f>
        <v>0</v>
      </c>
      <c r="L2205" s="10" t="str">
        <f>CONCATENATE(N2105," y ",O2105)</f>
        <v>0</v>
      </c>
      <c r="M2205" s="10" t="s">
        <v>83</v>
      </c>
      <c r="N2205" s="10" t="s">
        <v>84</v>
      </c>
      <c r="O2205" s="10" t="s">
        <v>85</v>
      </c>
      <c r="P2205" s="10" t="s">
        <v>86</v>
      </c>
      <c r="Q2205" s="10" t="s">
        <v>87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3"/>
    <mergeCell ref="B2:C2"/>
    <mergeCell ref="B3:B3"/>
    <mergeCell ref="C3:C3"/>
    <mergeCell ref="D2:E2"/>
    <mergeCell ref="D3:D3"/>
    <mergeCell ref="E3:E3"/>
    <mergeCell ref="K17:K18"/>
    <mergeCell ref="L17:M17"/>
    <mergeCell ref="N17:N18"/>
    <mergeCell ref="O17:O18"/>
    <mergeCell ref="I47:N53"/>
    <mergeCell ref="W17:W18"/>
    <mergeCell ref="X17:Y17"/>
    <mergeCell ref="Z17:Z18"/>
    <mergeCell ref="AA17:AA18"/>
    <mergeCell ref="U47:Z5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O2135"/>
  <sheetViews>
    <sheetView tabSelected="0" workbookViewId="0" showGridLines="true" showRowColHeaders="1">
      <selection activeCell="GK2135" sqref="GK2135"/>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 min="22" max="22" width="26" customWidth="true" style="0"/>
    <col min="23" max="23" width="26" customWidth="true" style="0"/>
    <col min="24" max="24" width="26" customWidth="true" style="0"/>
    <col min="31" max="31" width="26" customWidth="true" style="0"/>
    <col min="32" max="32" width="26" customWidth="true" style="0"/>
    <col min="33" max="33" width="26" customWidth="true" style="0"/>
    <col min="40" max="40" width="26" customWidth="true" style="0"/>
    <col min="41" max="41" width="26" customWidth="true" style="0"/>
    <col min="42" max="42" width="26" customWidth="true" style="0"/>
    <col min="49" max="49" width="26" customWidth="true" style="0"/>
    <col min="50" max="50" width="26" customWidth="true" style="0"/>
    <col min="51" max="51" width="26" customWidth="true" style="0"/>
    <col min="58" max="58" width="26" customWidth="true" style="0"/>
    <col min="59" max="59" width="26" customWidth="true" style="0"/>
    <col min="60" max="60" width="26" customWidth="true" style="0"/>
    <col min="67" max="67" width="26" customWidth="true" style="0"/>
    <col min="68" max="68" width="26" customWidth="true" style="0"/>
    <col min="69" max="69" width="26" customWidth="true" style="0"/>
    <col min="76" max="76" width="26" customWidth="true" style="0"/>
    <col min="77" max="77" width="26" customWidth="true" style="0"/>
    <col min="78" max="78" width="26" customWidth="true" style="0"/>
    <col min="85" max="85" width="26" customWidth="true" style="0"/>
    <col min="86" max="86" width="26" customWidth="true" style="0"/>
    <col min="87" max="87" width="26" customWidth="true" style="0"/>
    <col min="94" max="94" width="26" customWidth="true" style="0"/>
    <col min="95" max="95" width="26" customWidth="true" style="0"/>
    <col min="96" max="96" width="26" customWidth="true" style="0"/>
    <col min="103" max="103" width="26" customWidth="true" style="0"/>
    <col min="104" max="104" width="26" customWidth="true" style="0"/>
    <col min="105" max="105" width="26" customWidth="true" style="0"/>
    <col min="112" max="112" width="26" customWidth="true" style="0"/>
    <col min="113" max="113" width="26" customWidth="true" style="0"/>
    <col min="114" max="114" width="26" customWidth="true" style="0"/>
    <col min="121" max="121" width="26" customWidth="true" style="0"/>
    <col min="122" max="122" width="26" customWidth="true" style="0"/>
    <col min="123" max="123" width="26" customWidth="true" style="0"/>
    <col min="130" max="130" width="26" customWidth="true" style="0"/>
    <col min="131" max="131" width="26" customWidth="true" style="0"/>
    <col min="132" max="132" width="26" customWidth="true" style="0"/>
    <col min="139" max="139" width="26" customWidth="true" style="0"/>
    <col min="140" max="140" width="26" customWidth="true" style="0"/>
    <col min="141" max="141" width="26" customWidth="true" style="0"/>
    <col min="148" max="148" width="26" customWidth="true" style="0"/>
    <col min="149" max="149" width="26" customWidth="true" style="0"/>
    <col min="150" max="150" width="26" customWidth="true" style="0"/>
    <col min="157" max="157" width="26" customWidth="true" style="0"/>
    <col min="158" max="158" width="26" customWidth="true" style="0"/>
    <col min="159" max="159" width="26" customWidth="true" style="0"/>
    <col min="166" max="166" width="26" customWidth="true" style="0"/>
    <col min="167" max="167" width="26" customWidth="true" style="0"/>
    <col min="168" max="168" width="26" customWidth="true" style="0"/>
    <col min="175" max="175" width="26" customWidth="true" style="0"/>
    <col min="176" max="176" width="26" customWidth="true" style="0"/>
    <col min="177" max="177" width="26" customWidth="true" style="0"/>
    <col min="184" max="184" width="26" customWidth="true" style="0"/>
    <col min="185" max="185" width="26" customWidth="true" style="0"/>
    <col min="186" max="186" width="26" customWidth="true" style="0"/>
    <col min="193" max="193" width="26" customWidth="true" style="0"/>
    <col min="194" max="194" width="26" customWidth="true" style="0"/>
    <col min="195" max="195" width="26" customWidth="true" style="0"/>
  </cols>
  <sheetData>
    <row r="3" spans="1:197">
      <c r="B3" s="11"/>
      <c r="C3" s="11"/>
      <c r="D3" s="11"/>
      <c r="E3" s="11"/>
      <c r="F3" s="11"/>
      <c r="G3" s="11"/>
      <c r="H3" s="11"/>
      <c r="K3" s="11"/>
      <c r="L3" s="11"/>
      <c r="M3" s="11"/>
      <c r="N3" s="11"/>
      <c r="O3" s="11"/>
      <c r="P3" s="11"/>
      <c r="Q3" s="11"/>
      <c r="T3" s="11"/>
      <c r="U3" s="11"/>
      <c r="V3" s="11"/>
      <c r="W3" s="11"/>
      <c r="X3" s="11"/>
      <c r="Y3" s="11"/>
      <c r="Z3" s="11"/>
      <c r="AC3" s="11"/>
      <c r="AD3" s="11"/>
      <c r="AE3" s="11"/>
      <c r="AF3" s="11"/>
      <c r="AG3" s="11"/>
      <c r="AH3" s="11"/>
      <c r="AI3" s="11"/>
      <c r="AL3" s="11"/>
      <c r="AM3" s="11"/>
      <c r="AN3" s="11"/>
      <c r="AO3" s="11"/>
      <c r="AP3" s="11"/>
      <c r="AQ3" s="11"/>
      <c r="AR3" s="11"/>
      <c r="AU3" s="11"/>
      <c r="AV3" s="11"/>
      <c r="AW3" s="11"/>
      <c r="AX3" s="11"/>
      <c r="AY3" s="11"/>
      <c r="AZ3" s="11"/>
      <c r="BA3" s="11"/>
      <c r="BD3" s="11"/>
      <c r="BE3" s="11"/>
      <c r="BF3" s="11"/>
      <c r="BG3" s="11"/>
      <c r="BH3" s="11"/>
      <c r="BI3" s="11"/>
      <c r="BJ3" s="11"/>
      <c r="BM3" s="11"/>
      <c r="BN3" s="11"/>
      <c r="BO3" s="11"/>
      <c r="BP3" s="11"/>
      <c r="BQ3" s="11"/>
      <c r="BR3" s="11"/>
      <c r="BS3" s="11"/>
      <c r="BV3" s="11"/>
      <c r="BW3" s="11"/>
      <c r="BX3" s="11"/>
      <c r="BY3" s="11"/>
      <c r="BZ3" s="11"/>
      <c r="CA3" s="11"/>
      <c r="CB3" s="11"/>
      <c r="CE3" s="11"/>
      <c r="CF3" s="11"/>
      <c r="CG3" s="11"/>
      <c r="CH3" s="11"/>
      <c r="CI3" s="11"/>
      <c r="CJ3" s="11"/>
      <c r="CK3" s="11"/>
      <c r="CN3" s="11"/>
      <c r="CO3" s="11"/>
      <c r="CP3" s="11"/>
      <c r="CQ3" s="11"/>
      <c r="CR3" s="11"/>
      <c r="CS3" s="11"/>
      <c r="CT3" s="11"/>
      <c r="CW3" s="11"/>
      <c r="CX3" s="11"/>
      <c r="CY3" s="11"/>
      <c r="CZ3" s="11"/>
      <c r="DA3" s="11"/>
      <c r="DB3" s="11"/>
      <c r="DC3" s="11"/>
      <c r="DF3" s="11"/>
      <c r="DG3" s="11"/>
      <c r="DH3" s="11"/>
      <c r="DI3" s="11"/>
      <c r="DJ3" s="11"/>
      <c r="DK3" s="11"/>
      <c r="DL3" s="11"/>
      <c r="DO3" s="11"/>
      <c r="DP3" s="11"/>
      <c r="DQ3" s="11"/>
      <c r="DR3" s="11"/>
      <c r="DS3" s="11"/>
      <c r="DT3" s="11"/>
      <c r="DU3" s="11"/>
      <c r="DX3" s="11"/>
      <c r="DY3" s="11"/>
      <c r="DZ3" s="11"/>
      <c r="EA3" s="11"/>
      <c r="EB3" s="11"/>
      <c r="EC3" s="11"/>
      <c r="ED3" s="11"/>
      <c r="EG3" s="11"/>
      <c r="EH3" s="11"/>
      <c r="EI3" s="11"/>
      <c r="EJ3" s="11"/>
      <c r="EK3" s="11"/>
      <c r="EL3" s="11"/>
      <c r="EM3" s="11"/>
      <c r="EP3" s="11"/>
      <c r="EQ3" s="11"/>
      <c r="ER3" s="11"/>
      <c r="ES3" s="11"/>
      <c r="ET3" s="11"/>
      <c r="EU3" s="11"/>
      <c r="EV3" s="11"/>
      <c r="EY3" s="11"/>
      <c r="EZ3" s="11"/>
      <c r="FA3" s="11"/>
      <c r="FB3" s="11"/>
      <c r="FC3" s="11"/>
      <c r="FD3" s="11"/>
      <c r="FE3" s="11"/>
      <c r="FH3" s="11"/>
      <c r="FI3" s="11"/>
      <c r="FJ3" s="11"/>
      <c r="FK3" s="11"/>
      <c r="FL3" s="11"/>
      <c r="FM3" s="11"/>
      <c r="FN3" s="11"/>
      <c r="FQ3" s="11"/>
      <c r="FR3" s="11"/>
      <c r="FS3" s="11"/>
      <c r="FT3" s="11"/>
      <c r="FU3" s="11"/>
      <c r="FV3" s="11"/>
      <c r="FW3" s="11"/>
      <c r="FZ3" s="11"/>
      <c r="GA3" s="11"/>
      <c r="GB3" s="11"/>
      <c r="GC3" s="11"/>
      <c r="GD3" s="11"/>
      <c r="GE3" s="11"/>
      <c r="GF3" s="11"/>
      <c r="GI3" s="11"/>
      <c r="GJ3" s="11"/>
      <c r="GK3" s="11"/>
      <c r="GL3" s="11"/>
      <c r="GM3" s="11"/>
      <c r="GN3" s="11"/>
      <c r="GO3" s="11"/>
    </row>
    <row r="4" spans="1:197">
      <c r="B4" s="11"/>
      <c r="D4" s="30" t="s">
        <v>114</v>
      </c>
      <c r="E4" s="29"/>
      <c r="F4" s="29"/>
      <c r="H4" s="11"/>
      <c r="K4" s="11"/>
      <c r="M4" s="30" t="s">
        <v>115</v>
      </c>
      <c r="N4" s="29"/>
      <c r="O4" s="29"/>
      <c r="Q4" s="11"/>
      <c r="T4" s="11"/>
      <c r="V4" s="30" t="s">
        <v>116</v>
      </c>
      <c r="W4" s="29"/>
      <c r="X4" s="29"/>
      <c r="Z4" s="11"/>
      <c r="AC4" s="11"/>
      <c r="AE4" s="30" t="s">
        <v>117</v>
      </c>
      <c r="AF4" s="29"/>
      <c r="AG4" s="29"/>
      <c r="AI4" s="11"/>
      <c r="AL4" s="11"/>
      <c r="AN4" s="30" t="s">
        <v>118</v>
      </c>
      <c r="AO4" s="29"/>
      <c r="AP4" s="29"/>
      <c r="AR4" s="11"/>
      <c r="AU4" s="11"/>
      <c r="AW4" s="30" t="s">
        <v>119</v>
      </c>
      <c r="AX4" s="29"/>
      <c r="AY4" s="29"/>
      <c r="BA4" s="11"/>
      <c r="BD4" s="11"/>
      <c r="BF4" s="30" t="s">
        <v>120</v>
      </c>
      <c r="BG4" s="29"/>
      <c r="BH4" s="29"/>
      <c r="BJ4" s="11"/>
      <c r="BM4" s="11"/>
      <c r="BO4" s="30" t="s">
        <v>121</v>
      </c>
      <c r="BP4" s="29"/>
      <c r="BQ4" s="29"/>
      <c r="BS4" s="11"/>
      <c r="BV4" s="11"/>
      <c r="BX4" s="30" t="s">
        <v>122</v>
      </c>
      <c r="BY4" s="29"/>
      <c r="BZ4" s="29"/>
      <c r="CB4" s="11"/>
      <c r="CE4" s="11"/>
      <c r="CG4" s="30" t="s">
        <v>123</v>
      </c>
      <c r="CH4" s="29"/>
      <c r="CI4" s="29"/>
      <c r="CK4" s="11"/>
      <c r="CN4" s="11"/>
      <c r="CP4" s="30" t="s">
        <v>124</v>
      </c>
      <c r="CQ4" s="29"/>
      <c r="CR4" s="29"/>
      <c r="CT4" s="11"/>
      <c r="CW4" s="11"/>
      <c r="CY4" s="30" t="s">
        <v>125</v>
      </c>
      <c r="CZ4" s="29"/>
      <c r="DA4" s="29"/>
      <c r="DC4" s="11"/>
      <c r="DF4" s="11"/>
      <c r="DH4" s="30" t="s">
        <v>126</v>
      </c>
      <c r="DI4" s="29"/>
      <c r="DJ4" s="29"/>
      <c r="DL4" s="11"/>
      <c r="DO4" s="11"/>
      <c r="DQ4" s="30" t="s">
        <v>127</v>
      </c>
      <c r="DR4" s="29"/>
      <c r="DS4" s="29"/>
      <c r="DU4" s="11"/>
      <c r="DX4" s="11"/>
      <c r="DZ4" s="30" t="s">
        <v>128</v>
      </c>
      <c r="EA4" s="29"/>
      <c r="EB4" s="29"/>
      <c r="ED4" s="11"/>
      <c r="EG4" s="11"/>
      <c r="EI4" s="30" t="s">
        <v>129</v>
      </c>
      <c r="EJ4" s="29"/>
      <c r="EK4" s="29"/>
      <c r="EM4" s="11"/>
      <c r="EP4" s="11"/>
      <c r="ER4" s="30" t="s">
        <v>130</v>
      </c>
      <c r="ES4" s="29"/>
      <c r="ET4" s="29"/>
      <c r="EV4" s="11"/>
      <c r="EY4" s="11"/>
      <c r="FA4" s="30" t="s">
        <v>131</v>
      </c>
      <c r="FB4" s="29"/>
      <c r="FC4" s="29"/>
      <c r="FE4" s="11"/>
      <c r="FH4" s="11"/>
      <c r="FJ4" s="30" t="s">
        <v>132</v>
      </c>
      <c r="FK4" s="29"/>
      <c r="FL4" s="29"/>
      <c r="FN4" s="11"/>
      <c r="FQ4" s="11"/>
      <c r="FS4" s="30" t="s">
        <v>133</v>
      </c>
      <c r="FT4" s="29"/>
      <c r="FU4" s="29"/>
      <c r="FW4" s="11"/>
      <c r="FZ4" s="11"/>
      <c r="GB4" s="30" t="s">
        <v>134</v>
      </c>
      <c r="GC4" s="29"/>
      <c r="GD4" s="29"/>
      <c r="GF4" s="11"/>
      <c r="GI4" s="11"/>
      <c r="GK4" s="30" t="s">
        <v>135</v>
      </c>
      <c r="GL4" s="29"/>
      <c r="GM4" s="29"/>
      <c r="GO4" s="11"/>
    </row>
    <row r="5" spans="1:197">
      <c r="B5" s="11"/>
      <c r="D5" s="10" t="s">
        <v>66</v>
      </c>
      <c r="H5" s="11"/>
      <c r="K5" s="11"/>
      <c r="M5" s="10" t="s">
        <v>67</v>
      </c>
      <c r="Q5" s="11"/>
      <c r="T5" s="11"/>
      <c r="V5" s="10" t="s">
        <v>136</v>
      </c>
      <c r="Z5" s="11"/>
      <c r="AC5" s="11"/>
      <c r="AE5" s="10" t="s">
        <v>137</v>
      </c>
      <c r="AI5" s="11"/>
      <c r="AL5" s="11"/>
      <c r="AN5" s="10" t="s">
        <v>138</v>
      </c>
      <c r="AR5" s="11"/>
      <c r="AU5" s="11"/>
      <c r="AW5" s="10" t="s">
        <v>139</v>
      </c>
      <c r="BA5" s="11"/>
      <c r="BD5" s="11"/>
      <c r="BF5" s="10" t="s">
        <v>140</v>
      </c>
      <c r="BJ5" s="11"/>
      <c r="BM5" s="11"/>
      <c r="BO5" s="10" t="s">
        <v>141</v>
      </c>
      <c r="BS5" s="11"/>
      <c r="BV5" s="11"/>
      <c r="BX5" s="10" t="s">
        <v>142</v>
      </c>
      <c r="CB5" s="11"/>
      <c r="CE5" s="11"/>
      <c r="CG5" s="10" t="s">
        <v>143</v>
      </c>
      <c r="CK5" s="11"/>
      <c r="CN5" s="11"/>
      <c r="CP5" s="10" t="s">
        <v>144</v>
      </c>
      <c r="CT5" s="11"/>
      <c r="CW5" s="11"/>
      <c r="CY5" s="10" t="s">
        <v>145</v>
      </c>
      <c r="DC5" s="11"/>
      <c r="DF5" s="11"/>
      <c r="DH5" s="10" t="s">
        <v>146</v>
      </c>
      <c r="DL5" s="11"/>
      <c r="DO5" s="11"/>
      <c r="DQ5" s="10" t="s">
        <v>147</v>
      </c>
      <c r="DU5" s="11"/>
      <c r="DX5" s="11"/>
      <c r="DZ5" s="10" t="s">
        <v>148</v>
      </c>
      <c r="ED5" s="11"/>
      <c r="EG5" s="11"/>
      <c r="EI5" s="10" t="s">
        <v>149</v>
      </c>
      <c r="EM5" s="11"/>
      <c r="EP5" s="11"/>
      <c r="ER5" s="10" t="s">
        <v>150</v>
      </c>
      <c r="EV5" s="11"/>
      <c r="EY5" s="11"/>
      <c r="FA5" s="10" t="s">
        <v>151</v>
      </c>
      <c r="FE5" s="11"/>
      <c r="FH5" s="11"/>
      <c r="FJ5" s="10" t="s">
        <v>152</v>
      </c>
      <c r="FN5" s="11"/>
      <c r="FQ5" s="11"/>
      <c r="FS5" s="10" t="s">
        <v>153</v>
      </c>
      <c r="FW5" s="11"/>
      <c r="FZ5" s="11"/>
      <c r="GB5" s="10" t="s">
        <v>154</v>
      </c>
      <c r="GF5" s="11"/>
      <c r="GI5" s="11"/>
      <c r="GK5" s="10" t="s">
        <v>155</v>
      </c>
      <c r="GO5" s="11"/>
    </row>
    <row r="6" spans="1:197">
      <c r="B6" s="11"/>
      <c r="D6" s="10" t="s">
        <v>1</v>
      </c>
      <c r="H6" s="11"/>
      <c r="K6" s="11"/>
      <c r="M6" s="10" t="s">
        <v>1</v>
      </c>
      <c r="Q6" s="11"/>
      <c r="T6" s="11"/>
      <c r="V6" s="10"/>
      <c r="Z6" s="11"/>
      <c r="AC6" s="11"/>
      <c r="AE6" s="10"/>
      <c r="AI6" s="11"/>
      <c r="AL6" s="11"/>
      <c r="AN6" s="10"/>
      <c r="AR6" s="11"/>
      <c r="AU6" s="11"/>
      <c r="AW6" s="10"/>
      <c r="BA6" s="11"/>
      <c r="BD6" s="11"/>
      <c r="BF6" s="10"/>
      <c r="BJ6" s="11"/>
      <c r="BM6" s="11"/>
      <c r="BO6" s="10"/>
      <c r="BS6" s="11"/>
      <c r="BV6" s="11"/>
      <c r="BX6" s="10"/>
      <c r="CB6" s="11"/>
      <c r="CE6" s="11"/>
      <c r="CG6" s="10"/>
      <c r="CK6" s="11"/>
      <c r="CN6" s="11"/>
      <c r="CP6" s="10"/>
      <c r="CT6" s="11"/>
      <c r="CW6" s="11"/>
      <c r="CY6" s="10"/>
      <c r="DC6" s="11"/>
      <c r="DF6" s="11"/>
      <c r="DH6" s="10"/>
      <c r="DL6" s="11"/>
      <c r="DO6" s="11"/>
      <c r="DQ6" s="10"/>
      <c r="DU6" s="11"/>
      <c r="DX6" s="11"/>
      <c r="DZ6" s="10"/>
      <c r="ED6" s="11"/>
      <c r="EG6" s="11"/>
      <c r="EI6" s="10"/>
      <c r="EM6" s="11"/>
      <c r="EP6" s="11"/>
      <c r="ER6" s="10"/>
      <c r="EV6" s="11"/>
      <c r="EY6" s="11"/>
      <c r="FA6" s="10"/>
      <c r="FE6" s="11"/>
      <c r="FH6" s="11"/>
      <c r="FJ6" s="10"/>
      <c r="FN6" s="11"/>
      <c r="FQ6" s="11"/>
      <c r="FS6" s="10"/>
      <c r="FW6" s="11"/>
      <c r="FZ6" s="11"/>
      <c r="GB6" s="10"/>
      <c r="GF6" s="11"/>
      <c r="GI6" s="11"/>
      <c r="GK6" s="10"/>
      <c r="GO6" s="11"/>
    </row>
    <row r="7" spans="1:197">
      <c r="B7" s="11"/>
      <c r="D7" s="13"/>
      <c r="E7" s="19" t="s">
        <v>69</v>
      </c>
      <c r="F7" s="19" t="s">
        <v>70</v>
      </c>
      <c r="H7" s="11"/>
      <c r="K7" s="11"/>
      <c r="M7" s="13"/>
      <c r="N7" s="19" t="s">
        <v>69</v>
      </c>
      <c r="O7" s="19" t="s">
        <v>70</v>
      </c>
      <c r="Q7" s="11"/>
      <c r="T7" s="11"/>
      <c r="V7" s="13"/>
      <c r="W7" s="19" t="s">
        <v>69</v>
      </c>
      <c r="X7" s="19" t="s">
        <v>70</v>
      </c>
      <c r="Z7" s="11"/>
      <c r="AC7" s="11"/>
      <c r="AE7" s="13"/>
      <c r="AF7" s="19" t="s">
        <v>69</v>
      </c>
      <c r="AG7" s="19" t="s">
        <v>70</v>
      </c>
      <c r="AI7" s="11"/>
      <c r="AL7" s="11"/>
      <c r="AN7" s="13"/>
      <c r="AO7" s="19" t="s">
        <v>69</v>
      </c>
      <c r="AP7" s="19" t="s">
        <v>70</v>
      </c>
      <c r="AR7" s="11"/>
      <c r="AU7" s="11"/>
      <c r="AW7" s="13"/>
      <c r="AX7" s="19" t="s">
        <v>69</v>
      </c>
      <c r="AY7" s="19" t="s">
        <v>70</v>
      </c>
      <c r="BA7" s="11"/>
      <c r="BD7" s="11"/>
      <c r="BF7" s="13"/>
      <c r="BG7" s="19" t="s">
        <v>69</v>
      </c>
      <c r="BH7" s="19" t="s">
        <v>70</v>
      </c>
      <c r="BJ7" s="11"/>
      <c r="BM7" s="11"/>
      <c r="BO7" s="13"/>
      <c r="BP7" s="19" t="s">
        <v>69</v>
      </c>
      <c r="BQ7" s="19" t="s">
        <v>70</v>
      </c>
      <c r="BS7" s="11"/>
      <c r="BV7" s="11"/>
      <c r="BX7" s="13"/>
      <c r="BY7" s="19" t="s">
        <v>69</v>
      </c>
      <c r="BZ7" s="19" t="s">
        <v>70</v>
      </c>
      <c r="CB7" s="11"/>
      <c r="CE7" s="11"/>
      <c r="CG7" s="13"/>
      <c r="CH7" s="19" t="s">
        <v>69</v>
      </c>
      <c r="CI7" s="19" t="s">
        <v>70</v>
      </c>
      <c r="CK7" s="11"/>
      <c r="CN7" s="11"/>
      <c r="CP7" s="13"/>
      <c r="CQ7" s="19" t="s">
        <v>69</v>
      </c>
      <c r="CR7" s="19" t="s">
        <v>70</v>
      </c>
      <c r="CT7" s="11"/>
      <c r="CW7" s="11"/>
      <c r="CY7" s="13"/>
      <c r="CZ7" s="19" t="s">
        <v>69</v>
      </c>
      <c r="DA7" s="19" t="s">
        <v>70</v>
      </c>
      <c r="DC7" s="11"/>
      <c r="DF7" s="11"/>
      <c r="DH7" s="13"/>
      <c r="DI7" s="19" t="s">
        <v>69</v>
      </c>
      <c r="DJ7" s="19" t="s">
        <v>70</v>
      </c>
      <c r="DL7" s="11"/>
      <c r="DO7" s="11"/>
      <c r="DQ7" s="13"/>
      <c r="DR7" s="19" t="s">
        <v>69</v>
      </c>
      <c r="DS7" s="19" t="s">
        <v>70</v>
      </c>
      <c r="DU7" s="11"/>
      <c r="DX7" s="11"/>
      <c r="DZ7" s="13"/>
      <c r="EA7" s="19" t="s">
        <v>69</v>
      </c>
      <c r="EB7" s="19" t="s">
        <v>70</v>
      </c>
      <c r="ED7" s="11"/>
      <c r="EG7" s="11"/>
      <c r="EI7" s="13"/>
      <c r="EJ7" s="19" t="s">
        <v>69</v>
      </c>
      <c r="EK7" s="19" t="s">
        <v>70</v>
      </c>
      <c r="EM7" s="11"/>
      <c r="EP7" s="11"/>
      <c r="ER7" s="13"/>
      <c r="ES7" s="19" t="s">
        <v>69</v>
      </c>
      <c r="ET7" s="19" t="s">
        <v>70</v>
      </c>
      <c r="EV7" s="11"/>
      <c r="EY7" s="11"/>
      <c r="FA7" s="13"/>
      <c r="FB7" s="19" t="s">
        <v>69</v>
      </c>
      <c r="FC7" s="19" t="s">
        <v>70</v>
      </c>
      <c r="FE7" s="11"/>
      <c r="FH7" s="11"/>
      <c r="FJ7" s="13"/>
      <c r="FK7" s="19" t="s">
        <v>69</v>
      </c>
      <c r="FL7" s="19" t="s">
        <v>70</v>
      </c>
      <c r="FN7" s="11"/>
      <c r="FQ7" s="11"/>
      <c r="FS7" s="13"/>
      <c r="FT7" s="19" t="s">
        <v>69</v>
      </c>
      <c r="FU7" s="19" t="s">
        <v>70</v>
      </c>
      <c r="FW7" s="11"/>
      <c r="FZ7" s="11"/>
      <c r="GB7" s="13"/>
      <c r="GC7" s="19" t="s">
        <v>69</v>
      </c>
      <c r="GD7" s="19" t="s">
        <v>70</v>
      </c>
      <c r="GF7" s="11"/>
      <c r="GI7" s="11"/>
      <c r="GK7" s="13"/>
      <c r="GL7" s="19" t="s">
        <v>69</v>
      </c>
      <c r="GM7" s="19" t="s">
        <v>70</v>
      </c>
      <c r="GO7" s="11"/>
    </row>
    <row r="8" spans="1:197">
      <c r="B8" s="11"/>
      <c r="D8" s="26" t="str">
        <f>('.'!A31)</f>
        <v>0</v>
      </c>
      <c r="E8" s="18" t="str">
        <f>('.'!B31)</f>
        <v>0</v>
      </c>
      <c r="F8" s="22" t="str">
        <f>('.'!B37)</f>
        <v>0</v>
      </c>
      <c r="H8" s="11"/>
      <c r="K8" s="11"/>
      <c r="M8" s="26" t="str">
        <f>('.'!A31)</f>
        <v>0</v>
      </c>
      <c r="N8" s="18" t="str">
        <f>('.'!C31)</f>
        <v>0</v>
      </c>
      <c r="O8" s="22" t="str">
        <f>('.'!C37)</f>
        <v>0</v>
      </c>
      <c r="Q8" s="11"/>
      <c r="T8" s="11"/>
      <c r="V8" s="26" t="str">
        <f>('.'!A31)</f>
        <v>0</v>
      </c>
      <c r="W8" s="18" t="str">
        <f>('.'!D31)</f>
        <v>0</v>
      </c>
      <c r="X8" s="22" t="str">
        <f>('.'!D37)</f>
        <v>0</v>
      </c>
      <c r="Z8" s="11"/>
      <c r="AC8" s="11"/>
      <c r="AE8" s="26" t="str">
        <f>('.'!A31)</f>
        <v>0</v>
      </c>
      <c r="AF8" s="18" t="str">
        <f>('.'!E31)</f>
        <v>0</v>
      </c>
      <c r="AG8" s="22" t="str">
        <f>('.'!E37)</f>
        <v>0</v>
      </c>
      <c r="AI8" s="11"/>
      <c r="AL8" s="11"/>
      <c r="AN8" s="26" t="str">
        <f>('.'!A31)</f>
        <v>0</v>
      </c>
      <c r="AO8" s="18" t="str">
        <f>('.'!F31)</f>
        <v>0</v>
      </c>
      <c r="AP8" s="22" t="str">
        <f>('.'!F37)</f>
        <v>0</v>
      </c>
      <c r="AR8" s="11"/>
      <c r="AU8" s="11"/>
      <c r="AW8" s="26" t="str">
        <f>('.'!A31)</f>
        <v>0</v>
      </c>
      <c r="AX8" s="18" t="str">
        <f>('.'!G31)</f>
        <v>0</v>
      </c>
      <c r="AY8" s="22" t="str">
        <f>('.'!G37)</f>
        <v>0</v>
      </c>
      <c r="BA8" s="11"/>
      <c r="BD8" s="11"/>
      <c r="BF8" s="26" t="str">
        <f>('.'!A31)</f>
        <v>0</v>
      </c>
      <c r="BG8" s="18" t="str">
        <f>('.'!H31)</f>
        <v>0</v>
      </c>
      <c r="BH8" s="22" t="str">
        <f>('.'!H37)</f>
        <v>0</v>
      </c>
      <c r="BJ8" s="11"/>
      <c r="BM8" s="11"/>
      <c r="BO8" s="26" t="str">
        <f>('.'!A31)</f>
        <v>0</v>
      </c>
      <c r="BP8" s="18" t="str">
        <f>('.'!I31)</f>
        <v>0</v>
      </c>
      <c r="BQ8" s="22" t="str">
        <f>('.'!I37)</f>
        <v>0</v>
      </c>
      <c r="BS8" s="11"/>
      <c r="BV8" s="11"/>
      <c r="BX8" s="26" t="str">
        <f>('.'!A31)</f>
        <v>0</v>
      </c>
      <c r="BY8" s="18" t="str">
        <f>('.'!J31)</f>
        <v>0</v>
      </c>
      <c r="BZ8" s="22" t="str">
        <f>('.'!J37)</f>
        <v>0</v>
      </c>
      <c r="CB8" s="11"/>
      <c r="CE8" s="11"/>
      <c r="CG8" s="26" t="str">
        <f>('.'!A31)</f>
        <v>0</v>
      </c>
      <c r="CH8" s="18" t="str">
        <f>('.'!K31)</f>
        <v>0</v>
      </c>
      <c r="CI8" s="22" t="str">
        <f>('.'!K37)</f>
        <v>0</v>
      </c>
      <c r="CK8" s="11"/>
      <c r="CN8" s="11"/>
      <c r="CP8" s="26" t="str">
        <f>('.'!A31)</f>
        <v>0</v>
      </c>
      <c r="CQ8" s="18" t="str">
        <f>('.'!L31)</f>
        <v>0</v>
      </c>
      <c r="CR8" s="22" t="str">
        <f>('.'!L37)</f>
        <v>0</v>
      </c>
      <c r="CT8" s="11"/>
      <c r="CW8" s="11"/>
      <c r="CY8" s="26" t="str">
        <f>('.'!A31)</f>
        <v>0</v>
      </c>
      <c r="CZ8" s="18" t="str">
        <f>('.'!M31)</f>
        <v>0</v>
      </c>
      <c r="DA8" s="22" t="str">
        <f>('.'!M37)</f>
        <v>0</v>
      </c>
      <c r="DC8" s="11"/>
      <c r="DF8" s="11"/>
      <c r="DH8" s="26" t="str">
        <f>('.'!A31)</f>
        <v>0</v>
      </c>
      <c r="DI8" s="18" t="str">
        <f>('.'!N31)</f>
        <v>0</v>
      </c>
      <c r="DJ8" s="22" t="str">
        <f>('.'!N37)</f>
        <v>0</v>
      </c>
      <c r="DL8" s="11"/>
      <c r="DO8" s="11"/>
      <c r="DQ8" s="26" t="str">
        <f>('.'!A31)</f>
        <v>0</v>
      </c>
      <c r="DR8" s="18" t="str">
        <f>('.'!O31)</f>
        <v>0</v>
      </c>
      <c r="DS8" s="22" t="str">
        <f>('.'!O37)</f>
        <v>0</v>
      </c>
      <c r="DU8" s="11"/>
      <c r="DX8" s="11"/>
      <c r="DZ8" s="26" t="str">
        <f>('.'!A31)</f>
        <v>0</v>
      </c>
      <c r="EA8" s="18" t="str">
        <f>('.'!P31)</f>
        <v>0</v>
      </c>
      <c r="EB8" s="22" t="str">
        <f>('.'!P37)</f>
        <v>0</v>
      </c>
      <c r="ED8" s="11"/>
      <c r="EG8" s="11"/>
      <c r="EI8" s="26" t="str">
        <f>('.'!A31)</f>
        <v>0</v>
      </c>
      <c r="EJ8" s="18" t="str">
        <f>('.'!Q31)</f>
        <v>0</v>
      </c>
      <c r="EK8" s="22" t="str">
        <f>('.'!Q37)</f>
        <v>0</v>
      </c>
      <c r="EM8" s="11"/>
      <c r="EP8" s="11"/>
      <c r="ER8" s="26" t="str">
        <f>('.'!A31)</f>
        <v>0</v>
      </c>
      <c r="ES8" s="18" t="str">
        <f>('.'!R31)</f>
        <v>0</v>
      </c>
      <c r="ET8" s="22" t="str">
        <f>('.'!R37)</f>
        <v>0</v>
      </c>
      <c r="EV8" s="11"/>
      <c r="EY8" s="11"/>
      <c r="FA8" s="26" t="str">
        <f>('.'!A31)</f>
        <v>0</v>
      </c>
      <c r="FB8" s="18" t="str">
        <f>('.'!S31)</f>
        <v>0</v>
      </c>
      <c r="FC8" s="22" t="str">
        <f>('.'!S37)</f>
        <v>0</v>
      </c>
      <c r="FE8" s="11"/>
      <c r="FH8" s="11"/>
      <c r="FJ8" s="26" t="str">
        <f>('.'!A31)</f>
        <v>0</v>
      </c>
      <c r="FK8" s="18" t="str">
        <f>('.'!T31)</f>
        <v>0</v>
      </c>
      <c r="FL8" s="22" t="str">
        <f>('.'!T37)</f>
        <v>0</v>
      </c>
      <c r="FN8" s="11"/>
      <c r="FQ8" s="11"/>
      <c r="FS8" s="26" t="str">
        <f>('.'!A31)</f>
        <v>0</v>
      </c>
      <c r="FT8" s="18" t="str">
        <f>('.'!U31)</f>
        <v>0</v>
      </c>
      <c r="FU8" s="22" t="str">
        <f>('.'!U37)</f>
        <v>0</v>
      </c>
      <c r="FW8" s="11"/>
      <c r="FZ8" s="11"/>
      <c r="GB8" s="26" t="str">
        <f>('.'!A31)</f>
        <v>0</v>
      </c>
      <c r="GC8" s="18" t="str">
        <f>('.'!V31)</f>
        <v>0</v>
      </c>
      <c r="GD8" s="22" t="str">
        <f>('.'!V37)</f>
        <v>0</v>
      </c>
      <c r="GF8" s="11"/>
      <c r="GI8" s="11"/>
      <c r="GK8" s="26" t="str">
        <f>('.'!A31)</f>
        <v>0</v>
      </c>
      <c r="GL8" s="18" t="str">
        <f>('.'!W31)</f>
        <v>0</v>
      </c>
      <c r="GM8" s="22" t="str">
        <f>('.'!W37)</f>
        <v>0</v>
      </c>
      <c r="GO8" s="11"/>
    </row>
    <row r="9" spans="1:197">
      <c r="B9" s="11"/>
      <c r="D9" s="26" t="str">
        <f>('.'!A32)</f>
        <v>0</v>
      </c>
      <c r="E9" s="18" t="str">
        <f>('.'!B32)</f>
        <v>0</v>
      </c>
      <c r="F9" s="22" t="str">
        <f>('.'!B38)</f>
        <v>0</v>
      </c>
      <c r="H9" s="11"/>
      <c r="K9" s="11"/>
      <c r="M9" s="26" t="str">
        <f>('.'!A32)</f>
        <v>0</v>
      </c>
      <c r="N9" s="18" t="str">
        <f>('.'!C32)</f>
        <v>0</v>
      </c>
      <c r="O9" s="22" t="str">
        <f>('.'!C38)</f>
        <v>0</v>
      </c>
      <c r="Q9" s="11"/>
      <c r="T9" s="11"/>
      <c r="V9" s="26" t="str">
        <f>('.'!A32)</f>
        <v>0</v>
      </c>
      <c r="W9" s="18" t="str">
        <f>('.'!D32)</f>
        <v>0</v>
      </c>
      <c r="X9" s="22" t="str">
        <f>('.'!D38)</f>
        <v>0</v>
      </c>
      <c r="Z9" s="11"/>
      <c r="AC9" s="11"/>
      <c r="AE9" s="26" t="str">
        <f>('.'!A32)</f>
        <v>0</v>
      </c>
      <c r="AF9" s="18" t="str">
        <f>('.'!E32)</f>
        <v>0</v>
      </c>
      <c r="AG9" s="22" t="str">
        <f>('.'!E38)</f>
        <v>0</v>
      </c>
      <c r="AI9" s="11"/>
      <c r="AL9" s="11"/>
      <c r="AN9" s="26" t="str">
        <f>('.'!A32)</f>
        <v>0</v>
      </c>
      <c r="AO9" s="18" t="str">
        <f>('.'!F32)</f>
        <v>0</v>
      </c>
      <c r="AP9" s="22" t="str">
        <f>('.'!F38)</f>
        <v>0</v>
      </c>
      <c r="AR9" s="11"/>
      <c r="AU9" s="11"/>
      <c r="AW9" s="26" t="str">
        <f>('.'!A32)</f>
        <v>0</v>
      </c>
      <c r="AX9" s="18" t="str">
        <f>('.'!G32)</f>
        <v>0</v>
      </c>
      <c r="AY9" s="22" t="str">
        <f>('.'!G38)</f>
        <v>0</v>
      </c>
      <c r="BA9" s="11"/>
      <c r="BD9" s="11"/>
      <c r="BF9" s="26" t="str">
        <f>('.'!A32)</f>
        <v>0</v>
      </c>
      <c r="BG9" s="18" t="str">
        <f>('.'!H32)</f>
        <v>0</v>
      </c>
      <c r="BH9" s="22" t="str">
        <f>('.'!H38)</f>
        <v>0</v>
      </c>
      <c r="BJ9" s="11"/>
      <c r="BM9" s="11"/>
      <c r="BO9" s="26" t="str">
        <f>('.'!A32)</f>
        <v>0</v>
      </c>
      <c r="BP9" s="18" t="str">
        <f>('.'!I32)</f>
        <v>0</v>
      </c>
      <c r="BQ9" s="22" t="str">
        <f>('.'!I38)</f>
        <v>0</v>
      </c>
      <c r="BS9" s="11"/>
      <c r="BV9" s="11"/>
      <c r="BX9" s="26" t="str">
        <f>('.'!A32)</f>
        <v>0</v>
      </c>
      <c r="BY9" s="18" t="str">
        <f>('.'!J32)</f>
        <v>0</v>
      </c>
      <c r="BZ9" s="22" t="str">
        <f>('.'!J38)</f>
        <v>0</v>
      </c>
      <c r="CB9" s="11"/>
      <c r="CE9" s="11"/>
      <c r="CG9" s="26" t="str">
        <f>('.'!A32)</f>
        <v>0</v>
      </c>
      <c r="CH9" s="18" t="str">
        <f>('.'!K32)</f>
        <v>0</v>
      </c>
      <c r="CI9" s="22" t="str">
        <f>('.'!K38)</f>
        <v>0</v>
      </c>
      <c r="CK9" s="11"/>
      <c r="CN9" s="11"/>
      <c r="CP9" s="26" t="str">
        <f>('.'!A32)</f>
        <v>0</v>
      </c>
      <c r="CQ9" s="18" t="str">
        <f>('.'!L32)</f>
        <v>0</v>
      </c>
      <c r="CR9" s="22" t="str">
        <f>('.'!L38)</f>
        <v>0</v>
      </c>
      <c r="CT9" s="11"/>
      <c r="CW9" s="11"/>
      <c r="CY9" s="26" t="str">
        <f>('.'!A32)</f>
        <v>0</v>
      </c>
      <c r="CZ9" s="18" t="str">
        <f>('.'!M32)</f>
        <v>0</v>
      </c>
      <c r="DA9" s="22" t="str">
        <f>('.'!M38)</f>
        <v>0</v>
      </c>
      <c r="DC9" s="11"/>
      <c r="DF9" s="11"/>
      <c r="DH9" s="26" t="str">
        <f>('.'!A32)</f>
        <v>0</v>
      </c>
      <c r="DI9" s="18" t="str">
        <f>('.'!N32)</f>
        <v>0</v>
      </c>
      <c r="DJ9" s="22" t="str">
        <f>('.'!N38)</f>
        <v>0</v>
      </c>
      <c r="DL9" s="11"/>
      <c r="DO9" s="11"/>
      <c r="DQ9" s="26" t="str">
        <f>('.'!A32)</f>
        <v>0</v>
      </c>
      <c r="DR9" s="18" t="str">
        <f>('.'!O32)</f>
        <v>0</v>
      </c>
      <c r="DS9" s="22" t="str">
        <f>('.'!O38)</f>
        <v>0</v>
      </c>
      <c r="DU9" s="11"/>
      <c r="DX9" s="11"/>
      <c r="DZ9" s="26" t="str">
        <f>('.'!A32)</f>
        <v>0</v>
      </c>
      <c r="EA9" s="18" t="str">
        <f>('.'!P32)</f>
        <v>0</v>
      </c>
      <c r="EB9" s="22" t="str">
        <f>('.'!P38)</f>
        <v>0</v>
      </c>
      <c r="ED9" s="11"/>
      <c r="EG9" s="11"/>
      <c r="EI9" s="26" t="str">
        <f>('.'!A32)</f>
        <v>0</v>
      </c>
      <c r="EJ9" s="18" t="str">
        <f>('.'!Q32)</f>
        <v>0</v>
      </c>
      <c r="EK9" s="22" t="str">
        <f>('.'!Q38)</f>
        <v>0</v>
      </c>
      <c r="EM9" s="11"/>
      <c r="EP9" s="11"/>
      <c r="ER9" s="26" t="str">
        <f>('.'!A32)</f>
        <v>0</v>
      </c>
      <c r="ES9" s="18" t="str">
        <f>('.'!R32)</f>
        <v>0</v>
      </c>
      <c r="ET9" s="22" t="str">
        <f>('.'!R38)</f>
        <v>0</v>
      </c>
      <c r="EV9" s="11"/>
      <c r="EY9" s="11"/>
      <c r="FA9" s="26" t="str">
        <f>('.'!A32)</f>
        <v>0</v>
      </c>
      <c r="FB9" s="18" t="str">
        <f>('.'!S32)</f>
        <v>0</v>
      </c>
      <c r="FC9" s="22" t="str">
        <f>('.'!S38)</f>
        <v>0</v>
      </c>
      <c r="FE9" s="11"/>
      <c r="FH9" s="11"/>
      <c r="FJ9" s="26" t="str">
        <f>('.'!A32)</f>
        <v>0</v>
      </c>
      <c r="FK9" s="18" t="str">
        <f>('.'!T32)</f>
        <v>0</v>
      </c>
      <c r="FL9" s="22" t="str">
        <f>('.'!T38)</f>
        <v>0</v>
      </c>
      <c r="FN9" s="11"/>
      <c r="FQ9" s="11"/>
      <c r="FS9" s="26" t="str">
        <f>('.'!A32)</f>
        <v>0</v>
      </c>
      <c r="FT9" s="18" t="str">
        <f>('.'!U32)</f>
        <v>0</v>
      </c>
      <c r="FU9" s="22" t="str">
        <f>('.'!U38)</f>
        <v>0</v>
      </c>
      <c r="FW9" s="11"/>
      <c r="FZ9" s="11"/>
      <c r="GB9" s="26" t="str">
        <f>('.'!A32)</f>
        <v>0</v>
      </c>
      <c r="GC9" s="18" t="str">
        <f>('.'!V32)</f>
        <v>0</v>
      </c>
      <c r="GD9" s="22" t="str">
        <f>('.'!V38)</f>
        <v>0</v>
      </c>
      <c r="GF9" s="11"/>
      <c r="GI9" s="11"/>
      <c r="GK9" s="26" t="str">
        <f>('.'!A32)</f>
        <v>0</v>
      </c>
      <c r="GL9" s="18" t="str">
        <f>('.'!W32)</f>
        <v>0</v>
      </c>
      <c r="GM9" s="22" t="str">
        <f>('.'!W38)</f>
        <v>0</v>
      </c>
      <c r="GO9" s="11"/>
    </row>
    <row r="10" spans="1:197">
      <c r="B10" s="11"/>
      <c r="D10" s="26" t="str">
        <f>('.'!A33)</f>
        <v>0</v>
      </c>
      <c r="E10" s="18" t="str">
        <f>('.'!B33)</f>
        <v>0</v>
      </c>
      <c r="F10" s="22" t="str">
        <f>('.'!B39)</f>
        <v>0</v>
      </c>
      <c r="H10" s="11"/>
      <c r="K10" s="11"/>
      <c r="M10" s="26" t="str">
        <f>('.'!A33)</f>
        <v>0</v>
      </c>
      <c r="N10" s="18" t="str">
        <f>('.'!C33)</f>
        <v>0</v>
      </c>
      <c r="O10" s="22" t="str">
        <f>('.'!C39)</f>
        <v>0</v>
      </c>
      <c r="Q10" s="11"/>
      <c r="T10" s="11"/>
      <c r="V10" s="26" t="str">
        <f>('.'!A33)</f>
        <v>0</v>
      </c>
      <c r="W10" s="18" t="str">
        <f>('.'!D33)</f>
        <v>0</v>
      </c>
      <c r="X10" s="22" t="str">
        <f>('.'!D39)</f>
        <v>0</v>
      </c>
      <c r="Z10" s="11"/>
      <c r="AC10" s="11"/>
      <c r="AE10" s="26" t="str">
        <f>('.'!A33)</f>
        <v>0</v>
      </c>
      <c r="AF10" s="18" t="str">
        <f>('.'!E33)</f>
        <v>0</v>
      </c>
      <c r="AG10" s="22" t="str">
        <f>('.'!E39)</f>
        <v>0</v>
      </c>
      <c r="AI10" s="11"/>
      <c r="AL10" s="11"/>
      <c r="AN10" s="26" t="str">
        <f>('.'!A33)</f>
        <v>0</v>
      </c>
      <c r="AO10" s="18" t="str">
        <f>('.'!F33)</f>
        <v>0</v>
      </c>
      <c r="AP10" s="22" t="str">
        <f>('.'!F39)</f>
        <v>0</v>
      </c>
      <c r="AR10" s="11"/>
      <c r="AU10" s="11"/>
      <c r="AW10" s="26" t="str">
        <f>('.'!A33)</f>
        <v>0</v>
      </c>
      <c r="AX10" s="18" t="str">
        <f>('.'!G33)</f>
        <v>0</v>
      </c>
      <c r="AY10" s="22" t="str">
        <f>('.'!G39)</f>
        <v>0</v>
      </c>
      <c r="BA10" s="11"/>
      <c r="BD10" s="11"/>
      <c r="BF10" s="26" t="str">
        <f>('.'!A33)</f>
        <v>0</v>
      </c>
      <c r="BG10" s="18" t="str">
        <f>('.'!H33)</f>
        <v>0</v>
      </c>
      <c r="BH10" s="22" t="str">
        <f>('.'!H39)</f>
        <v>0</v>
      </c>
      <c r="BJ10" s="11"/>
      <c r="BM10" s="11"/>
      <c r="BO10" s="26" t="str">
        <f>('.'!A33)</f>
        <v>0</v>
      </c>
      <c r="BP10" s="18" t="str">
        <f>('.'!I33)</f>
        <v>0</v>
      </c>
      <c r="BQ10" s="22" t="str">
        <f>('.'!I39)</f>
        <v>0</v>
      </c>
      <c r="BS10" s="11"/>
      <c r="BV10" s="11"/>
      <c r="BX10" s="26" t="str">
        <f>('.'!A33)</f>
        <v>0</v>
      </c>
      <c r="BY10" s="18" t="str">
        <f>('.'!J33)</f>
        <v>0</v>
      </c>
      <c r="BZ10" s="22" t="str">
        <f>('.'!J39)</f>
        <v>0</v>
      </c>
      <c r="CB10" s="11"/>
      <c r="CE10" s="11"/>
      <c r="CG10" s="26" t="str">
        <f>('.'!A33)</f>
        <v>0</v>
      </c>
      <c r="CH10" s="18" t="str">
        <f>('.'!K33)</f>
        <v>0</v>
      </c>
      <c r="CI10" s="22" t="str">
        <f>('.'!K39)</f>
        <v>0</v>
      </c>
      <c r="CK10" s="11"/>
      <c r="CN10" s="11"/>
      <c r="CP10" s="26" t="str">
        <f>('.'!A33)</f>
        <v>0</v>
      </c>
      <c r="CQ10" s="18" t="str">
        <f>('.'!L33)</f>
        <v>0</v>
      </c>
      <c r="CR10" s="22" t="str">
        <f>('.'!L39)</f>
        <v>0</v>
      </c>
      <c r="CT10" s="11"/>
      <c r="CW10" s="11"/>
      <c r="CY10" s="26" t="str">
        <f>('.'!A33)</f>
        <v>0</v>
      </c>
      <c r="CZ10" s="18" t="str">
        <f>('.'!M33)</f>
        <v>0</v>
      </c>
      <c r="DA10" s="22" t="str">
        <f>('.'!M39)</f>
        <v>0</v>
      </c>
      <c r="DC10" s="11"/>
      <c r="DF10" s="11"/>
      <c r="DH10" s="26" t="str">
        <f>('.'!A33)</f>
        <v>0</v>
      </c>
      <c r="DI10" s="18" t="str">
        <f>('.'!N33)</f>
        <v>0</v>
      </c>
      <c r="DJ10" s="22" t="str">
        <f>('.'!N39)</f>
        <v>0</v>
      </c>
      <c r="DL10" s="11"/>
      <c r="DO10" s="11"/>
      <c r="DQ10" s="26" t="str">
        <f>('.'!A33)</f>
        <v>0</v>
      </c>
      <c r="DR10" s="18" t="str">
        <f>('.'!O33)</f>
        <v>0</v>
      </c>
      <c r="DS10" s="22" t="str">
        <f>('.'!O39)</f>
        <v>0</v>
      </c>
      <c r="DU10" s="11"/>
      <c r="DX10" s="11"/>
      <c r="DZ10" s="26" t="str">
        <f>('.'!A33)</f>
        <v>0</v>
      </c>
      <c r="EA10" s="18" t="str">
        <f>('.'!P33)</f>
        <v>0</v>
      </c>
      <c r="EB10" s="22" t="str">
        <f>('.'!P39)</f>
        <v>0</v>
      </c>
      <c r="ED10" s="11"/>
      <c r="EG10" s="11"/>
      <c r="EI10" s="26" t="str">
        <f>('.'!A33)</f>
        <v>0</v>
      </c>
      <c r="EJ10" s="18" t="str">
        <f>('.'!Q33)</f>
        <v>0</v>
      </c>
      <c r="EK10" s="22" t="str">
        <f>('.'!Q39)</f>
        <v>0</v>
      </c>
      <c r="EM10" s="11"/>
      <c r="EP10" s="11"/>
      <c r="ER10" s="26" t="str">
        <f>('.'!A33)</f>
        <v>0</v>
      </c>
      <c r="ES10" s="18" t="str">
        <f>('.'!R33)</f>
        <v>0</v>
      </c>
      <c r="ET10" s="22" t="str">
        <f>('.'!R39)</f>
        <v>0</v>
      </c>
      <c r="EV10" s="11"/>
      <c r="EY10" s="11"/>
      <c r="FA10" s="26" t="str">
        <f>('.'!A33)</f>
        <v>0</v>
      </c>
      <c r="FB10" s="18" t="str">
        <f>('.'!S33)</f>
        <v>0</v>
      </c>
      <c r="FC10" s="22" t="str">
        <f>('.'!S39)</f>
        <v>0</v>
      </c>
      <c r="FE10" s="11"/>
      <c r="FH10" s="11"/>
      <c r="FJ10" s="26" t="str">
        <f>('.'!A33)</f>
        <v>0</v>
      </c>
      <c r="FK10" s="18" t="str">
        <f>('.'!T33)</f>
        <v>0</v>
      </c>
      <c r="FL10" s="22" t="str">
        <f>('.'!T39)</f>
        <v>0</v>
      </c>
      <c r="FN10" s="11"/>
      <c r="FQ10" s="11"/>
      <c r="FS10" s="26" t="str">
        <f>('.'!A33)</f>
        <v>0</v>
      </c>
      <c r="FT10" s="18" t="str">
        <f>('.'!U33)</f>
        <v>0</v>
      </c>
      <c r="FU10" s="22" t="str">
        <f>('.'!U39)</f>
        <v>0</v>
      </c>
      <c r="FW10" s="11"/>
      <c r="FZ10" s="11"/>
      <c r="GB10" s="26" t="str">
        <f>('.'!A33)</f>
        <v>0</v>
      </c>
      <c r="GC10" s="18" t="str">
        <f>('.'!V33)</f>
        <v>0</v>
      </c>
      <c r="GD10" s="22" t="str">
        <f>('.'!V39)</f>
        <v>0</v>
      </c>
      <c r="GF10" s="11"/>
      <c r="GI10" s="11"/>
      <c r="GK10" s="26" t="str">
        <f>('.'!A33)</f>
        <v>0</v>
      </c>
      <c r="GL10" s="18" t="str">
        <f>('.'!W33)</f>
        <v>0</v>
      </c>
      <c r="GM10" s="22" t="str">
        <f>('.'!W39)</f>
        <v>0</v>
      </c>
      <c r="GO10" s="11"/>
    </row>
    <row r="11" spans="1:197">
      <c r="B11" s="11"/>
      <c r="D11" s="26" t="str">
        <f>('.'!A34)</f>
        <v>0</v>
      </c>
      <c r="E11" s="18" t="str">
        <f>('.'!B34)</f>
        <v>0</v>
      </c>
      <c r="F11" s="22" t="str">
        <f>('.'!B40)</f>
        <v>0</v>
      </c>
      <c r="H11" s="11"/>
      <c r="K11" s="11"/>
      <c r="M11" s="26" t="str">
        <f>('.'!A34)</f>
        <v>0</v>
      </c>
      <c r="N11" s="18" t="str">
        <f>('.'!C34)</f>
        <v>0</v>
      </c>
      <c r="O11" s="22" t="str">
        <f>('.'!C40)</f>
        <v>0</v>
      </c>
      <c r="Q11" s="11"/>
      <c r="T11" s="11"/>
      <c r="V11" s="26" t="str">
        <f>('.'!A34)</f>
        <v>0</v>
      </c>
      <c r="W11" s="18" t="str">
        <f>('.'!D34)</f>
        <v>0</v>
      </c>
      <c r="X11" s="22" t="str">
        <f>('.'!D40)</f>
        <v>0</v>
      </c>
      <c r="Z11" s="11"/>
      <c r="AC11" s="11"/>
      <c r="AE11" s="26" t="str">
        <f>('.'!A34)</f>
        <v>0</v>
      </c>
      <c r="AF11" s="18" t="str">
        <f>('.'!E34)</f>
        <v>0</v>
      </c>
      <c r="AG11" s="22" t="str">
        <f>('.'!E40)</f>
        <v>0</v>
      </c>
      <c r="AI11" s="11"/>
      <c r="AL11" s="11"/>
      <c r="AN11" s="26" t="str">
        <f>('.'!A34)</f>
        <v>0</v>
      </c>
      <c r="AO11" s="18" t="str">
        <f>('.'!F34)</f>
        <v>0</v>
      </c>
      <c r="AP11" s="22" t="str">
        <f>('.'!F40)</f>
        <v>0</v>
      </c>
      <c r="AR11" s="11"/>
      <c r="AU11" s="11"/>
      <c r="AW11" s="26" t="str">
        <f>('.'!A34)</f>
        <v>0</v>
      </c>
      <c r="AX11" s="18" t="str">
        <f>('.'!G34)</f>
        <v>0</v>
      </c>
      <c r="AY11" s="22" t="str">
        <f>('.'!G40)</f>
        <v>0</v>
      </c>
      <c r="BA11" s="11"/>
      <c r="BD11" s="11"/>
      <c r="BF11" s="26" t="str">
        <f>('.'!A34)</f>
        <v>0</v>
      </c>
      <c r="BG11" s="18" t="str">
        <f>('.'!H34)</f>
        <v>0</v>
      </c>
      <c r="BH11" s="22" t="str">
        <f>('.'!H40)</f>
        <v>0</v>
      </c>
      <c r="BJ11" s="11"/>
      <c r="BM11" s="11"/>
      <c r="BO11" s="26" t="str">
        <f>('.'!A34)</f>
        <v>0</v>
      </c>
      <c r="BP11" s="18" t="str">
        <f>('.'!I34)</f>
        <v>0</v>
      </c>
      <c r="BQ11" s="22" t="str">
        <f>('.'!I40)</f>
        <v>0</v>
      </c>
      <c r="BS11" s="11"/>
      <c r="BV11" s="11"/>
      <c r="BX11" s="26" t="str">
        <f>('.'!A34)</f>
        <v>0</v>
      </c>
      <c r="BY11" s="18" t="str">
        <f>('.'!J34)</f>
        <v>0</v>
      </c>
      <c r="BZ11" s="22" t="str">
        <f>('.'!J40)</f>
        <v>0</v>
      </c>
      <c r="CB11" s="11"/>
      <c r="CE11" s="11"/>
      <c r="CG11" s="26" t="str">
        <f>('.'!A34)</f>
        <v>0</v>
      </c>
      <c r="CH11" s="18" t="str">
        <f>('.'!K34)</f>
        <v>0</v>
      </c>
      <c r="CI11" s="22" t="str">
        <f>('.'!K40)</f>
        <v>0</v>
      </c>
      <c r="CK11" s="11"/>
      <c r="CN11" s="11"/>
      <c r="CP11" s="26" t="str">
        <f>('.'!A34)</f>
        <v>0</v>
      </c>
      <c r="CQ11" s="18" t="str">
        <f>('.'!L34)</f>
        <v>0</v>
      </c>
      <c r="CR11" s="22" t="str">
        <f>('.'!L40)</f>
        <v>0</v>
      </c>
      <c r="CT11" s="11"/>
      <c r="CW11" s="11"/>
      <c r="CY11" s="26" t="str">
        <f>('.'!A34)</f>
        <v>0</v>
      </c>
      <c r="CZ11" s="18" t="str">
        <f>('.'!M34)</f>
        <v>0</v>
      </c>
      <c r="DA11" s="22" t="str">
        <f>('.'!M40)</f>
        <v>0</v>
      </c>
      <c r="DC11" s="11"/>
      <c r="DF11" s="11"/>
      <c r="DH11" s="26" t="str">
        <f>('.'!A34)</f>
        <v>0</v>
      </c>
      <c r="DI11" s="18" t="str">
        <f>('.'!N34)</f>
        <v>0</v>
      </c>
      <c r="DJ11" s="22" t="str">
        <f>('.'!N40)</f>
        <v>0</v>
      </c>
      <c r="DL11" s="11"/>
      <c r="DO11" s="11"/>
      <c r="DQ11" s="26" t="str">
        <f>('.'!A34)</f>
        <v>0</v>
      </c>
      <c r="DR11" s="18" t="str">
        <f>('.'!O34)</f>
        <v>0</v>
      </c>
      <c r="DS11" s="22" t="str">
        <f>('.'!O40)</f>
        <v>0</v>
      </c>
      <c r="DU11" s="11"/>
      <c r="DX11" s="11"/>
      <c r="DZ11" s="26" t="str">
        <f>('.'!A34)</f>
        <v>0</v>
      </c>
      <c r="EA11" s="18" t="str">
        <f>('.'!P34)</f>
        <v>0</v>
      </c>
      <c r="EB11" s="22" t="str">
        <f>('.'!P40)</f>
        <v>0</v>
      </c>
      <c r="ED11" s="11"/>
      <c r="EG11" s="11"/>
      <c r="EI11" s="26" t="str">
        <f>('.'!A34)</f>
        <v>0</v>
      </c>
      <c r="EJ11" s="18" t="str">
        <f>('.'!Q34)</f>
        <v>0</v>
      </c>
      <c r="EK11" s="22" t="str">
        <f>('.'!Q40)</f>
        <v>0</v>
      </c>
      <c r="EM11" s="11"/>
      <c r="EP11" s="11"/>
      <c r="ER11" s="26" t="str">
        <f>('.'!A34)</f>
        <v>0</v>
      </c>
      <c r="ES11" s="18" t="str">
        <f>('.'!R34)</f>
        <v>0</v>
      </c>
      <c r="ET11" s="22" t="str">
        <f>('.'!R40)</f>
        <v>0</v>
      </c>
      <c r="EV11" s="11"/>
      <c r="EY11" s="11"/>
      <c r="FA11" s="26" t="str">
        <f>('.'!A34)</f>
        <v>0</v>
      </c>
      <c r="FB11" s="18" t="str">
        <f>('.'!S34)</f>
        <v>0</v>
      </c>
      <c r="FC11" s="22" t="str">
        <f>('.'!S40)</f>
        <v>0</v>
      </c>
      <c r="FE11" s="11"/>
      <c r="FH11" s="11"/>
      <c r="FJ11" s="26" t="str">
        <f>('.'!A34)</f>
        <v>0</v>
      </c>
      <c r="FK11" s="18" t="str">
        <f>('.'!T34)</f>
        <v>0</v>
      </c>
      <c r="FL11" s="22" t="str">
        <f>('.'!T40)</f>
        <v>0</v>
      </c>
      <c r="FN11" s="11"/>
      <c r="FQ11" s="11"/>
      <c r="FS11" s="26" t="str">
        <f>('.'!A34)</f>
        <v>0</v>
      </c>
      <c r="FT11" s="18" t="str">
        <f>('.'!U34)</f>
        <v>0</v>
      </c>
      <c r="FU11" s="22" t="str">
        <f>('.'!U40)</f>
        <v>0</v>
      </c>
      <c r="FW11" s="11"/>
      <c r="FZ11" s="11"/>
      <c r="GB11" s="26" t="str">
        <f>('.'!A34)</f>
        <v>0</v>
      </c>
      <c r="GC11" s="18" t="str">
        <f>('.'!V34)</f>
        <v>0</v>
      </c>
      <c r="GD11" s="22" t="str">
        <f>('.'!V40)</f>
        <v>0</v>
      </c>
      <c r="GF11" s="11"/>
      <c r="GI11" s="11"/>
      <c r="GK11" s="26" t="str">
        <f>('.'!A34)</f>
        <v>0</v>
      </c>
      <c r="GL11" s="18" t="str">
        <f>('.'!W34)</f>
        <v>0</v>
      </c>
      <c r="GM11" s="22" t="str">
        <f>('.'!W40)</f>
        <v>0</v>
      </c>
      <c r="GO11" s="11"/>
    </row>
    <row r="12" spans="1:197">
      <c r="B12" s="11"/>
      <c r="D12" s="26" t="str">
        <f>('.'!A35)</f>
        <v>0</v>
      </c>
      <c r="E12" s="18" t="str">
        <f>('.'!B35)</f>
        <v>0</v>
      </c>
      <c r="F12" s="22" t="str">
        <f>('.'!B41)</f>
        <v>0</v>
      </c>
      <c r="H12" s="11"/>
      <c r="K12" s="11"/>
      <c r="M12" s="26" t="str">
        <f>('.'!A35)</f>
        <v>0</v>
      </c>
      <c r="N12" s="18" t="str">
        <f>('.'!C35)</f>
        <v>0</v>
      </c>
      <c r="O12" s="22" t="str">
        <f>('.'!C41)</f>
        <v>0</v>
      </c>
      <c r="Q12" s="11"/>
      <c r="T12" s="11"/>
      <c r="V12" s="26" t="str">
        <f>('.'!A35)</f>
        <v>0</v>
      </c>
      <c r="W12" s="18" t="str">
        <f>('.'!D35)</f>
        <v>0</v>
      </c>
      <c r="X12" s="22" t="str">
        <f>('.'!D41)</f>
        <v>0</v>
      </c>
      <c r="Z12" s="11"/>
      <c r="AC12" s="11"/>
      <c r="AE12" s="26" t="str">
        <f>('.'!A35)</f>
        <v>0</v>
      </c>
      <c r="AF12" s="18" t="str">
        <f>('.'!E35)</f>
        <v>0</v>
      </c>
      <c r="AG12" s="22" t="str">
        <f>('.'!E41)</f>
        <v>0</v>
      </c>
      <c r="AI12" s="11"/>
      <c r="AL12" s="11"/>
      <c r="AN12" s="26" t="str">
        <f>('.'!A35)</f>
        <v>0</v>
      </c>
      <c r="AO12" s="18" t="str">
        <f>('.'!F35)</f>
        <v>0</v>
      </c>
      <c r="AP12" s="22" t="str">
        <f>('.'!F41)</f>
        <v>0</v>
      </c>
      <c r="AR12" s="11"/>
      <c r="AU12" s="11"/>
      <c r="AW12" s="26" t="str">
        <f>('.'!A35)</f>
        <v>0</v>
      </c>
      <c r="AX12" s="18" t="str">
        <f>('.'!G35)</f>
        <v>0</v>
      </c>
      <c r="AY12" s="22" t="str">
        <f>('.'!G41)</f>
        <v>0</v>
      </c>
      <c r="BA12" s="11"/>
      <c r="BD12" s="11"/>
      <c r="BF12" s="26" t="str">
        <f>('.'!A35)</f>
        <v>0</v>
      </c>
      <c r="BG12" s="18" t="str">
        <f>('.'!H35)</f>
        <v>0</v>
      </c>
      <c r="BH12" s="22" t="str">
        <f>('.'!H41)</f>
        <v>0</v>
      </c>
      <c r="BJ12" s="11"/>
      <c r="BM12" s="11"/>
      <c r="BO12" s="26" t="str">
        <f>('.'!A35)</f>
        <v>0</v>
      </c>
      <c r="BP12" s="18" t="str">
        <f>('.'!I35)</f>
        <v>0</v>
      </c>
      <c r="BQ12" s="22" t="str">
        <f>('.'!I41)</f>
        <v>0</v>
      </c>
      <c r="BS12" s="11"/>
      <c r="BV12" s="11"/>
      <c r="BX12" s="26" t="str">
        <f>('.'!A35)</f>
        <v>0</v>
      </c>
      <c r="BY12" s="18" t="str">
        <f>('.'!J35)</f>
        <v>0</v>
      </c>
      <c r="BZ12" s="22" t="str">
        <f>('.'!J41)</f>
        <v>0</v>
      </c>
      <c r="CB12" s="11"/>
      <c r="CE12" s="11"/>
      <c r="CG12" s="26" t="str">
        <f>('.'!A35)</f>
        <v>0</v>
      </c>
      <c r="CH12" s="18" t="str">
        <f>('.'!K35)</f>
        <v>0</v>
      </c>
      <c r="CI12" s="22" t="str">
        <f>('.'!K41)</f>
        <v>0</v>
      </c>
      <c r="CK12" s="11"/>
      <c r="CN12" s="11"/>
      <c r="CP12" s="26" t="str">
        <f>('.'!A35)</f>
        <v>0</v>
      </c>
      <c r="CQ12" s="18" t="str">
        <f>('.'!L35)</f>
        <v>0</v>
      </c>
      <c r="CR12" s="22" t="str">
        <f>('.'!L41)</f>
        <v>0</v>
      </c>
      <c r="CT12" s="11"/>
      <c r="CW12" s="11"/>
      <c r="CY12" s="26" t="str">
        <f>('.'!A35)</f>
        <v>0</v>
      </c>
      <c r="CZ12" s="18" t="str">
        <f>('.'!M35)</f>
        <v>0</v>
      </c>
      <c r="DA12" s="22" t="str">
        <f>('.'!M41)</f>
        <v>0</v>
      </c>
      <c r="DC12" s="11"/>
      <c r="DF12" s="11"/>
      <c r="DH12" s="26" t="str">
        <f>('.'!A35)</f>
        <v>0</v>
      </c>
      <c r="DI12" s="18" t="str">
        <f>('.'!N35)</f>
        <v>0</v>
      </c>
      <c r="DJ12" s="22" t="str">
        <f>('.'!N41)</f>
        <v>0</v>
      </c>
      <c r="DL12" s="11"/>
      <c r="DO12" s="11"/>
      <c r="DQ12" s="26" t="str">
        <f>('.'!A35)</f>
        <v>0</v>
      </c>
      <c r="DR12" s="18" t="str">
        <f>('.'!O35)</f>
        <v>0</v>
      </c>
      <c r="DS12" s="22" t="str">
        <f>('.'!O41)</f>
        <v>0</v>
      </c>
      <c r="DU12" s="11"/>
      <c r="DX12" s="11"/>
      <c r="DZ12" s="26" t="str">
        <f>('.'!A35)</f>
        <v>0</v>
      </c>
      <c r="EA12" s="18" t="str">
        <f>('.'!P35)</f>
        <v>0</v>
      </c>
      <c r="EB12" s="22" t="str">
        <f>('.'!P41)</f>
        <v>0</v>
      </c>
      <c r="ED12" s="11"/>
      <c r="EG12" s="11"/>
      <c r="EI12" s="26" t="str">
        <f>('.'!A35)</f>
        <v>0</v>
      </c>
      <c r="EJ12" s="18" t="str">
        <f>('.'!Q35)</f>
        <v>0</v>
      </c>
      <c r="EK12" s="22" t="str">
        <f>('.'!Q41)</f>
        <v>0</v>
      </c>
      <c r="EM12" s="11"/>
      <c r="EP12" s="11"/>
      <c r="ER12" s="26" t="str">
        <f>('.'!A35)</f>
        <v>0</v>
      </c>
      <c r="ES12" s="18" t="str">
        <f>('.'!R35)</f>
        <v>0</v>
      </c>
      <c r="ET12" s="22" t="str">
        <f>('.'!R41)</f>
        <v>0</v>
      </c>
      <c r="EV12" s="11"/>
      <c r="EY12" s="11"/>
      <c r="FA12" s="26" t="str">
        <f>('.'!A35)</f>
        <v>0</v>
      </c>
      <c r="FB12" s="18" t="str">
        <f>('.'!S35)</f>
        <v>0</v>
      </c>
      <c r="FC12" s="22" t="str">
        <f>('.'!S41)</f>
        <v>0</v>
      </c>
      <c r="FE12" s="11"/>
      <c r="FH12" s="11"/>
      <c r="FJ12" s="26" t="str">
        <f>('.'!A35)</f>
        <v>0</v>
      </c>
      <c r="FK12" s="18" t="str">
        <f>('.'!T35)</f>
        <v>0</v>
      </c>
      <c r="FL12" s="22" t="str">
        <f>('.'!T41)</f>
        <v>0</v>
      </c>
      <c r="FN12" s="11"/>
      <c r="FQ12" s="11"/>
      <c r="FS12" s="26" t="str">
        <f>('.'!A35)</f>
        <v>0</v>
      </c>
      <c r="FT12" s="18" t="str">
        <f>('.'!U35)</f>
        <v>0</v>
      </c>
      <c r="FU12" s="22" t="str">
        <f>('.'!U41)</f>
        <v>0</v>
      </c>
      <c r="FW12" s="11"/>
      <c r="FZ12" s="11"/>
      <c r="GB12" s="26" t="str">
        <f>('.'!A35)</f>
        <v>0</v>
      </c>
      <c r="GC12" s="18" t="str">
        <f>('.'!V35)</f>
        <v>0</v>
      </c>
      <c r="GD12" s="22" t="str">
        <f>('.'!V41)</f>
        <v>0</v>
      </c>
      <c r="GF12" s="11"/>
      <c r="GI12" s="11"/>
      <c r="GK12" s="26" t="str">
        <f>('.'!A35)</f>
        <v>0</v>
      </c>
      <c r="GL12" s="18" t="str">
        <f>('.'!W35)</f>
        <v>0</v>
      </c>
      <c r="GM12" s="22" t="str">
        <f>('.'!W41)</f>
        <v>0</v>
      </c>
      <c r="GO12" s="11"/>
    </row>
    <row r="13" spans="1:197">
      <c r="B13" s="11"/>
      <c r="D13" s="32" t="str">
        <f>('.'!A36)</f>
        <v>0</v>
      </c>
      <c r="E13" s="19" t="str">
        <f>('.'!B36)</f>
        <v>0</v>
      </c>
      <c r="F13" s="23" t="str">
        <f>('.'!B42)</f>
        <v>0</v>
      </c>
      <c r="H13" s="11"/>
      <c r="K13" s="11"/>
      <c r="M13" s="32" t="str">
        <f>('.'!A36)</f>
        <v>0</v>
      </c>
      <c r="N13" s="19" t="str">
        <f>('.'!C36)</f>
        <v>0</v>
      </c>
      <c r="O13" s="23" t="str">
        <f>('.'!C42)</f>
        <v>0</v>
      </c>
      <c r="Q13" s="11"/>
      <c r="T13" s="11"/>
      <c r="V13" s="32" t="str">
        <f>('.'!A36)</f>
        <v>0</v>
      </c>
      <c r="W13" s="19" t="str">
        <f>('.'!D36)</f>
        <v>0</v>
      </c>
      <c r="X13" s="23" t="str">
        <f>('.'!D42)</f>
        <v>0</v>
      </c>
      <c r="Z13" s="11"/>
      <c r="AC13" s="11"/>
      <c r="AE13" s="32" t="str">
        <f>('.'!A36)</f>
        <v>0</v>
      </c>
      <c r="AF13" s="19" t="str">
        <f>('.'!E36)</f>
        <v>0</v>
      </c>
      <c r="AG13" s="23" t="str">
        <f>('.'!E42)</f>
        <v>0</v>
      </c>
      <c r="AI13" s="11"/>
      <c r="AL13" s="11"/>
      <c r="AN13" s="32" t="str">
        <f>('.'!A36)</f>
        <v>0</v>
      </c>
      <c r="AO13" s="19" t="str">
        <f>('.'!F36)</f>
        <v>0</v>
      </c>
      <c r="AP13" s="23" t="str">
        <f>('.'!F42)</f>
        <v>0</v>
      </c>
      <c r="AR13" s="11"/>
      <c r="AU13" s="11"/>
      <c r="AW13" s="32" t="str">
        <f>('.'!A36)</f>
        <v>0</v>
      </c>
      <c r="AX13" s="19" t="str">
        <f>('.'!G36)</f>
        <v>0</v>
      </c>
      <c r="AY13" s="23" t="str">
        <f>('.'!G42)</f>
        <v>0</v>
      </c>
      <c r="BA13" s="11"/>
      <c r="BD13" s="11"/>
      <c r="BF13" s="32" t="str">
        <f>('.'!A36)</f>
        <v>0</v>
      </c>
      <c r="BG13" s="19" t="str">
        <f>('.'!H36)</f>
        <v>0</v>
      </c>
      <c r="BH13" s="23" t="str">
        <f>('.'!H42)</f>
        <v>0</v>
      </c>
      <c r="BJ13" s="11"/>
      <c r="BM13" s="11"/>
      <c r="BO13" s="32" t="str">
        <f>('.'!A36)</f>
        <v>0</v>
      </c>
      <c r="BP13" s="19" t="str">
        <f>('.'!I36)</f>
        <v>0</v>
      </c>
      <c r="BQ13" s="23" t="str">
        <f>('.'!I42)</f>
        <v>0</v>
      </c>
      <c r="BS13" s="11"/>
      <c r="BV13" s="11"/>
      <c r="BX13" s="32" t="str">
        <f>('.'!A36)</f>
        <v>0</v>
      </c>
      <c r="BY13" s="19" t="str">
        <f>('.'!J36)</f>
        <v>0</v>
      </c>
      <c r="BZ13" s="23" t="str">
        <f>('.'!J42)</f>
        <v>0</v>
      </c>
      <c r="CB13" s="11"/>
      <c r="CE13" s="11"/>
      <c r="CG13" s="32" t="str">
        <f>('.'!A36)</f>
        <v>0</v>
      </c>
      <c r="CH13" s="19" t="str">
        <f>('.'!K36)</f>
        <v>0</v>
      </c>
      <c r="CI13" s="23" t="str">
        <f>('.'!K42)</f>
        <v>0</v>
      </c>
      <c r="CK13" s="11"/>
      <c r="CN13" s="11"/>
      <c r="CP13" s="32" t="str">
        <f>('.'!A36)</f>
        <v>0</v>
      </c>
      <c r="CQ13" s="19" t="str">
        <f>('.'!L36)</f>
        <v>0</v>
      </c>
      <c r="CR13" s="23" t="str">
        <f>('.'!L42)</f>
        <v>0</v>
      </c>
      <c r="CT13" s="11"/>
      <c r="CW13" s="11"/>
      <c r="CY13" s="32" t="str">
        <f>('.'!A36)</f>
        <v>0</v>
      </c>
      <c r="CZ13" s="19" t="str">
        <f>('.'!M36)</f>
        <v>0</v>
      </c>
      <c r="DA13" s="23" t="str">
        <f>('.'!M42)</f>
        <v>0</v>
      </c>
      <c r="DC13" s="11"/>
      <c r="DF13" s="11"/>
      <c r="DH13" s="32" t="str">
        <f>('.'!A36)</f>
        <v>0</v>
      </c>
      <c r="DI13" s="19" t="str">
        <f>('.'!N36)</f>
        <v>0</v>
      </c>
      <c r="DJ13" s="23" t="str">
        <f>('.'!N42)</f>
        <v>0</v>
      </c>
      <c r="DL13" s="11"/>
      <c r="DO13" s="11"/>
      <c r="DQ13" s="32" t="str">
        <f>('.'!A36)</f>
        <v>0</v>
      </c>
      <c r="DR13" s="19" t="str">
        <f>('.'!O36)</f>
        <v>0</v>
      </c>
      <c r="DS13" s="23" t="str">
        <f>('.'!O42)</f>
        <v>0</v>
      </c>
      <c r="DU13" s="11"/>
      <c r="DX13" s="11"/>
      <c r="DZ13" s="32" t="str">
        <f>('.'!A36)</f>
        <v>0</v>
      </c>
      <c r="EA13" s="19" t="str">
        <f>('.'!P36)</f>
        <v>0</v>
      </c>
      <c r="EB13" s="23" t="str">
        <f>('.'!P42)</f>
        <v>0</v>
      </c>
      <c r="ED13" s="11"/>
      <c r="EG13" s="11"/>
      <c r="EI13" s="32" t="str">
        <f>('.'!A36)</f>
        <v>0</v>
      </c>
      <c r="EJ13" s="19" t="str">
        <f>('.'!Q36)</f>
        <v>0</v>
      </c>
      <c r="EK13" s="23" t="str">
        <f>('.'!Q42)</f>
        <v>0</v>
      </c>
      <c r="EM13" s="11"/>
      <c r="EP13" s="11"/>
      <c r="ER13" s="32" t="str">
        <f>('.'!A36)</f>
        <v>0</v>
      </c>
      <c r="ES13" s="19" t="str">
        <f>('.'!R36)</f>
        <v>0</v>
      </c>
      <c r="ET13" s="23" t="str">
        <f>('.'!R42)</f>
        <v>0</v>
      </c>
      <c r="EV13" s="11"/>
      <c r="EY13" s="11"/>
      <c r="FA13" s="32" t="str">
        <f>('.'!A36)</f>
        <v>0</v>
      </c>
      <c r="FB13" s="19" t="str">
        <f>('.'!S36)</f>
        <v>0</v>
      </c>
      <c r="FC13" s="23" t="str">
        <f>('.'!S42)</f>
        <v>0</v>
      </c>
      <c r="FE13" s="11"/>
      <c r="FH13" s="11"/>
      <c r="FJ13" s="32" t="str">
        <f>('.'!A36)</f>
        <v>0</v>
      </c>
      <c r="FK13" s="19" t="str">
        <f>('.'!T36)</f>
        <v>0</v>
      </c>
      <c r="FL13" s="23" t="str">
        <f>('.'!T42)</f>
        <v>0</v>
      </c>
      <c r="FN13" s="11"/>
      <c r="FQ13" s="11"/>
      <c r="FS13" s="32" t="str">
        <f>('.'!A36)</f>
        <v>0</v>
      </c>
      <c r="FT13" s="19" t="str">
        <f>('.'!U36)</f>
        <v>0</v>
      </c>
      <c r="FU13" s="23" t="str">
        <f>('.'!U42)</f>
        <v>0</v>
      </c>
      <c r="FW13" s="11"/>
      <c r="FZ13" s="11"/>
      <c r="GB13" s="32" t="str">
        <f>('.'!A36)</f>
        <v>0</v>
      </c>
      <c r="GC13" s="19" t="str">
        <f>('.'!V36)</f>
        <v>0</v>
      </c>
      <c r="GD13" s="23" t="str">
        <f>('.'!V42)</f>
        <v>0</v>
      </c>
      <c r="GF13" s="11"/>
      <c r="GI13" s="11"/>
      <c r="GK13" s="32" t="str">
        <f>('.'!A36)</f>
        <v>0</v>
      </c>
      <c r="GL13" s="19" t="str">
        <f>('.'!W36)</f>
        <v>0</v>
      </c>
      <c r="GM13" s="23" t="str">
        <f>('.'!W42)</f>
        <v>0</v>
      </c>
      <c r="GO13" s="11"/>
    </row>
    <row r="14" spans="1:197">
      <c r="B14" s="11"/>
      <c r="D14" s="10" t="s">
        <v>74</v>
      </c>
      <c r="H14" s="11"/>
      <c r="K14" s="11"/>
      <c r="M14" s="10" t="s">
        <v>74</v>
      </c>
      <c r="Q14" s="11"/>
      <c r="T14" s="11"/>
      <c r="V14" s="10" t="s">
        <v>74</v>
      </c>
      <c r="Z14" s="11"/>
      <c r="AC14" s="11"/>
      <c r="AE14" s="10" t="s">
        <v>74</v>
      </c>
      <c r="AI14" s="11"/>
      <c r="AL14" s="11"/>
      <c r="AN14" s="10" t="s">
        <v>74</v>
      </c>
      <c r="AR14" s="11"/>
      <c r="AU14" s="11"/>
      <c r="AW14" s="10" t="s">
        <v>74</v>
      </c>
      <c r="BA14" s="11"/>
      <c r="BD14" s="11"/>
      <c r="BF14" s="10" t="s">
        <v>74</v>
      </c>
      <c r="BJ14" s="11"/>
      <c r="BM14" s="11"/>
      <c r="BO14" s="10" t="s">
        <v>74</v>
      </c>
      <c r="BS14" s="11"/>
      <c r="BV14" s="11"/>
      <c r="BX14" s="10" t="s">
        <v>74</v>
      </c>
      <c r="CB14" s="11"/>
      <c r="CE14" s="11"/>
      <c r="CG14" s="10" t="s">
        <v>74</v>
      </c>
      <c r="CK14" s="11"/>
      <c r="CN14" s="11"/>
      <c r="CP14" s="10" t="s">
        <v>74</v>
      </c>
      <c r="CT14" s="11"/>
      <c r="CW14" s="11"/>
      <c r="CY14" s="10" t="s">
        <v>74</v>
      </c>
      <c r="DC14" s="11"/>
      <c r="DF14" s="11"/>
      <c r="DH14" s="10" t="s">
        <v>74</v>
      </c>
      <c r="DL14" s="11"/>
      <c r="DO14" s="11"/>
      <c r="DQ14" s="10" t="s">
        <v>74</v>
      </c>
      <c r="DU14" s="11"/>
      <c r="DX14" s="11"/>
      <c r="DZ14" s="10" t="s">
        <v>74</v>
      </c>
      <c r="ED14" s="11"/>
      <c r="EG14" s="11"/>
      <c r="EI14" s="10" t="s">
        <v>74</v>
      </c>
      <c r="EM14" s="11"/>
      <c r="EP14" s="11"/>
      <c r="ER14" s="10" t="s">
        <v>74</v>
      </c>
      <c r="EV14" s="11"/>
      <c r="EY14" s="11"/>
      <c r="FA14" s="10" t="s">
        <v>74</v>
      </c>
      <c r="FE14" s="11"/>
      <c r="FH14" s="11"/>
      <c r="FJ14" s="10" t="s">
        <v>74</v>
      </c>
      <c r="FN14" s="11"/>
      <c r="FQ14" s="11"/>
      <c r="FS14" s="10" t="s">
        <v>74</v>
      </c>
      <c r="FW14" s="11"/>
      <c r="FZ14" s="11"/>
      <c r="GB14" s="10" t="s">
        <v>74</v>
      </c>
      <c r="GF14" s="11"/>
      <c r="GI14" s="11"/>
      <c r="GK14" s="10" t="s">
        <v>74</v>
      </c>
      <c r="GO14" s="11"/>
    </row>
    <row r="15" spans="1:197">
      <c r="B15" s="11"/>
      <c r="D15" s="10" t="s">
        <v>73</v>
      </c>
      <c r="H15" s="11"/>
      <c r="K15" s="11"/>
      <c r="M15" s="10" t="s">
        <v>73</v>
      </c>
      <c r="Q15" s="11"/>
      <c r="T15" s="11"/>
      <c r="V15" s="10" t="s">
        <v>73</v>
      </c>
      <c r="Z15" s="11"/>
      <c r="AC15" s="11"/>
      <c r="AE15" s="10" t="s">
        <v>73</v>
      </c>
      <c r="AI15" s="11"/>
      <c r="AL15" s="11"/>
      <c r="AN15" s="10" t="s">
        <v>73</v>
      </c>
      <c r="AR15" s="11"/>
      <c r="AU15" s="11"/>
      <c r="AW15" s="10" t="s">
        <v>73</v>
      </c>
      <c r="BA15" s="11"/>
      <c r="BD15" s="11"/>
      <c r="BF15" s="10" t="s">
        <v>73</v>
      </c>
      <c r="BJ15" s="11"/>
      <c r="BM15" s="11"/>
      <c r="BO15" s="10" t="s">
        <v>73</v>
      </c>
      <c r="BS15" s="11"/>
      <c r="BV15" s="11"/>
      <c r="BX15" s="10" t="s">
        <v>73</v>
      </c>
      <c r="CB15" s="11"/>
      <c r="CE15" s="11"/>
      <c r="CG15" s="10" t="s">
        <v>73</v>
      </c>
      <c r="CK15" s="11"/>
      <c r="CN15" s="11"/>
      <c r="CP15" s="10" t="s">
        <v>73</v>
      </c>
      <c r="CT15" s="11"/>
      <c r="CW15" s="11"/>
      <c r="CY15" s="10" t="s">
        <v>73</v>
      </c>
      <c r="DC15" s="11"/>
      <c r="DF15" s="11"/>
      <c r="DH15" s="10" t="s">
        <v>73</v>
      </c>
      <c r="DL15" s="11"/>
      <c r="DO15" s="11"/>
      <c r="DQ15" s="10" t="s">
        <v>73</v>
      </c>
      <c r="DU15" s="11"/>
      <c r="DX15" s="11"/>
      <c r="DZ15" s="10" t="s">
        <v>73</v>
      </c>
      <c r="ED15" s="11"/>
      <c r="EG15" s="11"/>
      <c r="EI15" s="10" t="s">
        <v>73</v>
      </c>
      <c r="EM15" s="11"/>
      <c r="EP15" s="11"/>
      <c r="ER15" s="10" t="s">
        <v>73</v>
      </c>
      <c r="EV15" s="11"/>
      <c r="EY15" s="11"/>
      <c r="FA15" s="10" t="s">
        <v>73</v>
      </c>
      <c r="FE15" s="11"/>
      <c r="FH15" s="11"/>
      <c r="FJ15" s="10" t="s">
        <v>73</v>
      </c>
      <c r="FN15" s="11"/>
      <c r="FQ15" s="11"/>
      <c r="FS15" s="10" t="s">
        <v>73</v>
      </c>
      <c r="FW15" s="11"/>
      <c r="FZ15" s="11"/>
      <c r="GB15" s="10" t="s">
        <v>73</v>
      </c>
      <c r="GF15" s="11"/>
      <c r="GI15" s="11"/>
      <c r="GK15" s="10" t="s">
        <v>73</v>
      </c>
      <c r="GO15" s="11"/>
    </row>
    <row r="16" spans="1:197">
      <c r="B16" s="11"/>
      <c r="H16" s="11"/>
      <c r="K16" s="11"/>
      <c r="Q16" s="11"/>
      <c r="T16" s="11"/>
      <c r="Z16" s="11"/>
      <c r="AC16" s="11"/>
      <c r="AI16" s="11"/>
      <c r="AL16" s="11"/>
      <c r="AR16" s="11"/>
      <c r="AU16" s="11"/>
      <c r="BA16" s="11"/>
      <c r="BD16" s="11"/>
      <c r="BJ16" s="11"/>
      <c r="BM16" s="11"/>
      <c r="BS16" s="11"/>
      <c r="BV16" s="11"/>
      <c r="CB16" s="11"/>
      <c r="CE16" s="11"/>
      <c r="CK16" s="11"/>
      <c r="CN16" s="11"/>
      <c r="CT16" s="11"/>
      <c r="CW16" s="11"/>
      <c r="DC16" s="11"/>
      <c r="DF16" s="11"/>
      <c r="DL16" s="11"/>
      <c r="DO16" s="11"/>
      <c r="DU16" s="11"/>
      <c r="DX16" s="11"/>
      <c r="ED16" s="11"/>
      <c r="EG16" s="11"/>
      <c r="EM16" s="11"/>
      <c r="EP16" s="11"/>
      <c r="EV16" s="11"/>
      <c r="EY16" s="11"/>
      <c r="FE16" s="11"/>
      <c r="FH16" s="11"/>
      <c r="FN16" s="11"/>
      <c r="FQ16" s="11"/>
      <c r="FW16" s="11"/>
      <c r="FZ16" s="11"/>
      <c r="GF16" s="11"/>
      <c r="GI16" s="11"/>
      <c r="GO16" s="11"/>
    </row>
    <row r="17" spans="1:197">
      <c r="B17" s="11"/>
      <c r="H17" s="11"/>
      <c r="K17" s="11"/>
      <c r="Q17" s="11"/>
      <c r="T17" s="11"/>
      <c r="Z17" s="11"/>
      <c r="AC17" s="11"/>
      <c r="AI17" s="11"/>
      <c r="AL17" s="11"/>
      <c r="AR17" s="11"/>
      <c r="AU17" s="11"/>
      <c r="BA17" s="11"/>
      <c r="BD17" s="11"/>
      <c r="BJ17" s="11"/>
      <c r="BM17" s="11"/>
      <c r="BS17" s="11"/>
      <c r="BV17" s="11"/>
      <c r="CB17" s="11"/>
      <c r="CE17" s="11"/>
      <c r="CK17" s="11"/>
      <c r="CN17" s="11"/>
      <c r="CT17" s="11"/>
      <c r="CW17" s="11"/>
      <c r="DC17" s="11"/>
      <c r="DF17" s="11"/>
      <c r="DL17" s="11"/>
      <c r="DO17" s="11"/>
      <c r="DU17" s="11"/>
      <c r="DX17" s="11"/>
      <c r="ED17" s="11"/>
      <c r="EG17" s="11"/>
      <c r="EM17" s="11"/>
      <c r="EP17" s="11"/>
      <c r="EV17" s="11"/>
      <c r="EY17" s="11"/>
      <c r="FE17" s="11"/>
      <c r="FH17" s="11"/>
      <c r="FN17" s="11"/>
      <c r="FQ17" s="11"/>
      <c r="FW17" s="11"/>
      <c r="FZ17" s="11"/>
      <c r="GF17" s="11"/>
      <c r="GI17" s="11"/>
      <c r="GO17" s="11"/>
    </row>
    <row r="18" spans="1:197">
      <c r="B18" s="11"/>
      <c r="H18" s="11"/>
      <c r="K18" s="11"/>
      <c r="Q18" s="11"/>
      <c r="T18" s="11"/>
      <c r="Z18" s="11"/>
      <c r="AC18" s="11"/>
      <c r="AI18" s="11"/>
      <c r="AL18" s="11"/>
      <c r="AR18" s="11"/>
      <c r="AU18" s="11"/>
      <c r="BA18" s="11"/>
      <c r="BD18" s="11"/>
      <c r="BJ18" s="11"/>
      <c r="BM18" s="11"/>
      <c r="BS18" s="11"/>
      <c r="BV18" s="11"/>
      <c r="CB18" s="11"/>
      <c r="CE18" s="11"/>
      <c r="CK18" s="11"/>
      <c r="CN18" s="11"/>
      <c r="CT18" s="11"/>
      <c r="CW18" s="11"/>
      <c r="DC18" s="11"/>
      <c r="DF18" s="11"/>
      <c r="DL18" s="11"/>
      <c r="DO18" s="11"/>
      <c r="DU18" s="11"/>
      <c r="DX18" s="11"/>
      <c r="ED18" s="11"/>
      <c r="EG18" s="11"/>
      <c r="EM18" s="11"/>
      <c r="EP18" s="11"/>
      <c r="EV18" s="11"/>
      <c r="EY18" s="11"/>
      <c r="FE18" s="11"/>
      <c r="FH18" s="11"/>
      <c r="FN18" s="11"/>
      <c r="FQ18" s="11"/>
      <c r="FW18" s="11"/>
      <c r="FZ18" s="11"/>
      <c r="GF18" s="11"/>
      <c r="GI18" s="11"/>
      <c r="GO18" s="11"/>
    </row>
    <row r="19" spans="1:197">
      <c r="B19" s="11"/>
      <c r="H19" s="11"/>
      <c r="K19" s="11"/>
      <c r="Q19" s="11"/>
      <c r="T19" s="11"/>
      <c r="Z19" s="11"/>
      <c r="AC19" s="11"/>
      <c r="AI19" s="11"/>
      <c r="AL19" s="11"/>
      <c r="AR19" s="11"/>
      <c r="AU19" s="11"/>
      <c r="BA19" s="11"/>
      <c r="BD19" s="11"/>
      <c r="BJ19" s="11"/>
      <c r="BM19" s="11"/>
      <c r="BS19" s="11"/>
      <c r="BV19" s="11"/>
      <c r="CB19" s="11"/>
      <c r="CE19" s="11"/>
      <c r="CK19" s="11"/>
      <c r="CN19" s="11"/>
      <c r="CT19" s="11"/>
      <c r="CW19" s="11"/>
      <c r="DC19" s="11"/>
      <c r="DF19" s="11"/>
      <c r="DL19" s="11"/>
      <c r="DO19" s="11"/>
      <c r="DU19" s="11"/>
      <c r="DX19" s="11"/>
      <c r="ED19" s="11"/>
      <c r="EG19" s="11"/>
      <c r="EM19" s="11"/>
      <c r="EP19" s="11"/>
      <c r="EV19" s="11"/>
      <c r="EY19" s="11"/>
      <c r="FE19" s="11"/>
      <c r="FH19" s="11"/>
      <c r="FN19" s="11"/>
      <c r="FQ19" s="11"/>
      <c r="FW19" s="11"/>
      <c r="FZ19" s="11"/>
      <c r="GF19" s="11"/>
      <c r="GI19" s="11"/>
      <c r="GO19" s="11"/>
    </row>
    <row r="20" spans="1:197">
      <c r="B20" s="11"/>
      <c r="H20" s="11"/>
      <c r="K20" s="11"/>
      <c r="Q20" s="11"/>
      <c r="T20" s="11"/>
      <c r="Z20" s="11"/>
      <c r="AC20" s="11"/>
      <c r="AI20" s="11"/>
      <c r="AL20" s="11"/>
      <c r="AR20" s="11"/>
      <c r="AU20" s="11"/>
      <c r="BA20" s="11"/>
      <c r="BD20" s="11"/>
      <c r="BJ20" s="11"/>
      <c r="BM20" s="11"/>
      <c r="BS20" s="11"/>
      <c r="BV20" s="11"/>
      <c r="CB20" s="11"/>
      <c r="CE20" s="11"/>
      <c r="CK20" s="11"/>
      <c r="CN20" s="11"/>
      <c r="CT20" s="11"/>
      <c r="CW20" s="11"/>
      <c r="DC20" s="11"/>
      <c r="DF20" s="11"/>
      <c r="DL20" s="11"/>
      <c r="DO20" s="11"/>
      <c r="DU20" s="11"/>
      <c r="DX20" s="11"/>
      <c r="ED20" s="11"/>
      <c r="EG20" s="11"/>
      <c r="EM20" s="11"/>
      <c r="EP20" s="11"/>
      <c r="EV20" s="11"/>
      <c r="EY20" s="11"/>
      <c r="FE20" s="11"/>
      <c r="FH20" s="11"/>
      <c r="FN20" s="11"/>
      <c r="FQ20" s="11"/>
      <c r="FW20" s="11"/>
      <c r="FZ20" s="11"/>
      <c r="GF20" s="11"/>
      <c r="GI20" s="11"/>
      <c r="GO20" s="11"/>
    </row>
    <row r="21" spans="1:197">
      <c r="B21" s="11"/>
      <c r="H21" s="11"/>
      <c r="K21" s="11"/>
      <c r="Q21" s="11"/>
      <c r="T21" s="11"/>
      <c r="Z21" s="11"/>
      <c r="AC21" s="11"/>
      <c r="AI21" s="11"/>
      <c r="AL21" s="11"/>
      <c r="AR21" s="11"/>
      <c r="AU21" s="11"/>
      <c r="BA21" s="11"/>
      <c r="BD21" s="11"/>
      <c r="BJ21" s="11"/>
      <c r="BM21" s="11"/>
      <c r="BS21" s="11"/>
      <c r="BV21" s="11"/>
      <c r="CB21" s="11"/>
      <c r="CE21" s="11"/>
      <c r="CK21" s="11"/>
      <c r="CN21" s="11"/>
      <c r="CT21" s="11"/>
      <c r="CW21" s="11"/>
      <c r="DC21" s="11"/>
      <c r="DF21" s="11"/>
      <c r="DL21" s="11"/>
      <c r="DO21" s="11"/>
      <c r="DU21" s="11"/>
      <c r="DX21" s="11"/>
      <c r="ED21" s="11"/>
      <c r="EG21" s="11"/>
      <c r="EM21" s="11"/>
      <c r="EP21" s="11"/>
      <c r="EV21" s="11"/>
      <c r="EY21" s="11"/>
      <c r="FE21" s="11"/>
      <c r="FH21" s="11"/>
      <c r="FN21" s="11"/>
      <c r="FQ21" s="11"/>
      <c r="FW21" s="11"/>
      <c r="FZ21" s="11"/>
      <c r="GF21" s="11"/>
      <c r="GI21" s="11"/>
      <c r="GO21" s="11"/>
    </row>
    <row r="22" spans="1:197">
      <c r="B22" s="11"/>
      <c r="H22" s="11"/>
      <c r="K22" s="11"/>
      <c r="Q22" s="11"/>
      <c r="T22" s="11"/>
      <c r="Z22" s="11"/>
      <c r="AC22" s="11"/>
      <c r="AI22" s="11"/>
      <c r="AL22" s="11"/>
      <c r="AR22" s="11"/>
      <c r="AU22" s="11"/>
      <c r="BA22" s="11"/>
      <c r="BD22" s="11"/>
      <c r="BJ22" s="11"/>
      <c r="BM22" s="11"/>
      <c r="BS22" s="11"/>
      <c r="BV22" s="11"/>
      <c r="CB22" s="11"/>
      <c r="CE22" s="11"/>
      <c r="CK22" s="11"/>
      <c r="CN22" s="11"/>
      <c r="CT22" s="11"/>
      <c r="CW22" s="11"/>
      <c r="DC22" s="11"/>
      <c r="DF22" s="11"/>
      <c r="DL22" s="11"/>
      <c r="DO22" s="11"/>
      <c r="DU22" s="11"/>
      <c r="DX22" s="11"/>
      <c r="ED22" s="11"/>
      <c r="EG22" s="11"/>
      <c r="EM22" s="11"/>
      <c r="EP22" s="11"/>
      <c r="EV22" s="11"/>
      <c r="EY22" s="11"/>
      <c r="FE22" s="11"/>
      <c r="FH22" s="11"/>
      <c r="FN22" s="11"/>
      <c r="FQ22" s="11"/>
      <c r="FW22" s="11"/>
      <c r="FZ22" s="11"/>
      <c r="GF22" s="11"/>
      <c r="GI22" s="11"/>
      <c r="GO22" s="11"/>
    </row>
    <row r="23" spans="1:197">
      <c r="B23" s="11"/>
      <c r="H23" s="11"/>
      <c r="K23" s="11"/>
      <c r="Q23" s="11"/>
      <c r="T23" s="11"/>
      <c r="Z23" s="11"/>
      <c r="AC23" s="11"/>
      <c r="AI23" s="11"/>
      <c r="AL23" s="11"/>
      <c r="AR23" s="11"/>
      <c r="AU23" s="11"/>
      <c r="BA23" s="11"/>
      <c r="BD23" s="11"/>
      <c r="BJ23" s="11"/>
      <c r="BM23" s="11"/>
      <c r="BS23" s="11"/>
      <c r="BV23" s="11"/>
      <c r="CB23" s="11"/>
      <c r="CE23" s="11"/>
      <c r="CK23" s="11"/>
      <c r="CN23" s="11"/>
      <c r="CT23" s="11"/>
      <c r="CW23" s="11"/>
      <c r="DC23" s="11"/>
      <c r="DF23" s="11"/>
      <c r="DL23" s="11"/>
      <c r="DO23" s="11"/>
      <c r="DU23" s="11"/>
      <c r="DX23" s="11"/>
      <c r="ED23" s="11"/>
      <c r="EG23" s="11"/>
      <c r="EM23" s="11"/>
      <c r="EP23" s="11"/>
      <c r="EV23" s="11"/>
      <c r="EY23" s="11"/>
      <c r="FE23" s="11"/>
      <c r="FH23" s="11"/>
      <c r="FN23" s="11"/>
      <c r="FQ23" s="11"/>
      <c r="FW23" s="11"/>
      <c r="FZ23" s="11"/>
      <c r="GF23" s="11"/>
      <c r="GI23" s="11"/>
      <c r="GO23" s="11"/>
    </row>
    <row r="24" spans="1:197">
      <c r="B24" s="11"/>
      <c r="H24" s="11"/>
      <c r="K24" s="11"/>
      <c r="Q24" s="11"/>
      <c r="T24" s="11"/>
      <c r="Z24" s="11"/>
      <c r="AC24" s="11"/>
      <c r="AI24" s="11"/>
      <c r="AL24" s="11"/>
      <c r="AR24" s="11"/>
      <c r="AU24" s="11"/>
      <c r="BA24" s="11"/>
      <c r="BD24" s="11"/>
      <c r="BJ24" s="11"/>
      <c r="BM24" s="11"/>
      <c r="BS24" s="11"/>
      <c r="BV24" s="11"/>
      <c r="CB24" s="11"/>
      <c r="CE24" s="11"/>
      <c r="CK24" s="11"/>
      <c r="CN24" s="11"/>
      <c r="CT24" s="11"/>
      <c r="CW24" s="11"/>
      <c r="DC24" s="11"/>
      <c r="DF24" s="11"/>
      <c r="DL24" s="11"/>
      <c r="DO24" s="11"/>
      <c r="DU24" s="11"/>
      <c r="DX24" s="11"/>
      <c r="ED24" s="11"/>
      <c r="EG24" s="11"/>
      <c r="EM24" s="11"/>
      <c r="EP24" s="11"/>
      <c r="EV24" s="11"/>
      <c r="EY24" s="11"/>
      <c r="FE24" s="11"/>
      <c r="FH24" s="11"/>
      <c r="FN24" s="11"/>
      <c r="FQ24" s="11"/>
      <c r="FW24" s="11"/>
      <c r="FZ24" s="11"/>
      <c r="GF24" s="11"/>
      <c r="GI24" s="11"/>
      <c r="GO24" s="11"/>
    </row>
    <row r="25" spans="1:197">
      <c r="B25" s="11"/>
      <c r="H25" s="11"/>
      <c r="K25" s="11"/>
      <c r="Q25" s="11"/>
      <c r="T25" s="11"/>
      <c r="Z25" s="11"/>
      <c r="AC25" s="11"/>
      <c r="AI25" s="11"/>
      <c r="AL25" s="11"/>
      <c r="AR25" s="11"/>
      <c r="AU25" s="11"/>
      <c r="BA25" s="11"/>
      <c r="BD25" s="11"/>
      <c r="BJ25" s="11"/>
      <c r="BM25" s="11"/>
      <c r="BS25" s="11"/>
      <c r="BV25" s="11"/>
      <c r="CB25" s="11"/>
      <c r="CE25" s="11"/>
      <c r="CK25" s="11"/>
      <c r="CN25" s="11"/>
      <c r="CT25" s="11"/>
      <c r="CW25" s="11"/>
      <c r="DC25" s="11"/>
      <c r="DF25" s="11"/>
      <c r="DL25" s="11"/>
      <c r="DO25" s="11"/>
      <c r="DU25" s="11"/>
      <c r="DX25" s="11"/>
      <c r="ED25" s="11"/>
      <c r="EG25" s="11"/>
      <c r="EM25" s="11"/>
      <c r="EP25" s="11"/>
      <c r="EV25" s="11"/>
      <c r="EY25" s="11"/>
      <c r="FE25" s="11"/>
      <c r="FH25" s="11"/>
      <c r="FN25" s="11"/>
      <c r="FQ25" s="11"/>
      <c r="FW25" s="11"/>
      <c r="FZ25" s="11"/>
      <c r="GF25" s="11"/>
      <c r="GI25" s="11"/>
      <c r="GO25" s="11"/>
    </row>
    <row r="26" spans="1:197">
      <c r="B26" s="11"/>
      <c r="H26" s="11"/>
      <c r="K26" s="11"/>
      <c r="Q26" s="11"/>
      <c r="T26" s="11"/>
      <c r="Z26" s="11"/>
      <c r="AC26" s="11"/>
      <c r="AI26" s="11"/>
      <c r="AL26" s="11"/>
      <c r="AR26" s="11"/>
      <c r="AU26" s="11"/>
      <c r="BA26" s="11"/>
      <c r="BD26" s="11"/>
      <c r="BJ26" s="11"/>
      <c r="BM26" s="11"/>
      <c r="BS26" s="11"/>
      <c r="BV26" s="11"/>
      <c r="CB26" s="11"/>
      <c r="CE26" s="11"/>
      <c r="CK26" s="11"/>
      <c r="CN26" s="11"/>
      <c r="CT26" s="11"/>
      <c r="CW26" s="11"/>
      <c r="DC26" s="11"/>
      <c r="DF26" s="11"/>
      <c r="DL26" s="11"/>
      <c r="DO26" s="11"/>
      <c r="DU26" s="11"/>
      <c r="DX26" s="11"/>
      <c r="ED26" s="11"/>
      <c r="EG26" s="11"/>
      <c r="EM26" s="11"/>
      <c r="EP26" s="11"/>
      <c r="EV26" s="11"/>
      <c r="EY26" s="11"/>
      <c r="FE26" s="11"/>
      <c r="FH26" s="11"/>
      <c r="FN26" s="11"/>
      <c r="FQ26" s="11"/>
      <c r="FW26" s="11"/>
      <c r="FZ26" s="11"/>
      <c r="GF26" s="11"/>
      <c r="GI26" s="11"/>
      <c r="GO26" s="11"/>
    </row>
    <row r="27" spans="1:197">
      <c r="B27" s="11"/>
      <c r="H27" s="11"/>
      <c r="K27" s="11"/>
      <c r="Q27" s="11"/>
      <c r="T27" s="11"/>
      <c r="Z27" s="11"/>
      <c r="AC27" s="11"/>
      <c r="AI27" s="11"/>
      <c r="AL27" s="11"/>
      <c r="AR27" s="11"/>
      <c r="AU27" s="11"/>
      <c r="BA27" s="11"/>
      <c r="BD27" s="11"/>
      <c r="BJ27" s="11"/>
      <c r="BM27" s="11"/>
      <c r="BS27" s="11"/>
      <c r="BV27" s="11"/>
      <c r="CB27" s="11"/>
      <c r="CE27" s="11"/>
      <c r="CK27" s="11"/>
      <c r="CN27" s="11"/>
      <c r="CT27" s="11"/>
      <c r="CW27" s="11"/>
      <c r="DC27" s="11"/>
      <c r="DF27" s="11"/>
      <c r="DL27" s="11"/>
      <c r="DO27" s="11"/>
      <c r="DU27" s="11"/>
      <c r="DX27" s="11"/>
      <c r="ED27" s="11"/>
      <c r="EG27" s="11"/>
      <c r="EM27" s="11"/>
      <c r="EP27" s="11"/>
      <c r="EV27" s="11"/>
      <c r="EY27" s="11"/>
      <c r="FE27" s="11"/>
      <c r="FH27" s="11"/>
      <c r="FN27" s="11"/>
      <c r="FQ27" s="11"/>
      <c r="FW27" s="11"/>
      <c r="FZ27" s="11"/>
      <c r="GF27" s="11"/>
      <c r="GI27" s="11"/>
      <c r="GO27" s="11"/>
    </row>
    <row r="28" spans="1:197">
      <c r="B28" s="11"/>
      <c r="H28" s="11"/>
      <c r="K28" s="11"/>
      <c r="Q28" s="11"/>
      <c r="T28" s="11"/>
      <c r="Z28" s="11"/>
      <c r="AC28" s="11"/>
      <c r="AI28" s="11"/>
      <c r="AL28" s="11"/>
      <c r="AR28" s="11"/>
      <c r="AU28" s="11"/>
      <c r="BA28" s="11"/>
      <c r="BD28" s="11"/>
      <c r="BJ28" s="11"/>
      <c r="BM28" s="11"/>
      <c r="BS28" s="11"/>
      <c r="BV28" s="11"/>
      <c r="CB28" s="11"/>
      <c r="CE28" s="11"/>
      <c r="CK28" s="11"/>
      <c r="CN28" s="11"/>
      <c r="CT28" s="11"/>
      <c r="CW28" s="11"/>
      <c r="DC28" s="11"/>
      <c r="DF28" s="11"/>
      <c r="DL28" s="11"/>
      <c r="DO28" s="11"/>
      <c r="DU28" s="11"/>
      <c r="DX28" s="11"/>
      <c r="ED28" s="11"/>
      <c r="EG28" s="11"/>
      <c r="EM28" s="11"/>
      <c r="EP28" s="11"/>
      <c r="EV28" s="11"/>
      <c r="EY28" s="11"/>
      <c r="FE28" s="11"/>
      <c r="FH28" s="11"/>
      <c r="FN28" s="11"/>
      <c r="FQ28" s="11"/>
      <c r="FW28" s="11"/>
      <c r="FZ28" s="11"/>
      <c r="GF28" s="11"/>
      <c r="GI28" s="11"/>
      <c r="GO28" s="11"/>
    </row>
    <row r="29" spans="1:197">
      <c r="B29" s="11"/>
      <c r="H29" s="11"/>
      <c r="K29" s="11"/>
      <c r="Q29" s="11"/>
      <c r="T29" s="11"/>
      <c r="Z29" s="11"/>
      <c r="AC29" s="11"/>
      <c r="AI29" s="11"/>
      <c r="AL29" s="11"/>
      <c r="AR29" s="11"/>
      <c r="AU29" s="11"/>
      <c r="BA29" s="11"/>
      <c r="BD29" s="11"/>
      <c r="BJ29" s="11"/>
      <c r="BM29" s="11"/>
      <c r="BS29" s="11"/>
      <c r="BV29" s="11"/>
      <c r="CB29" s="11"/>
      <c r="CE29" s="11"/>
      <c r="CK29" s="11"/>
      <c r="CN29" s="11"/>
      <c r="CT29" s="11"/>
      <c r="CW29" s="11"/>
      <c r="DC29" s="11"/>
      <c r="DF29" s="11"/>
      <c r="DL29" s="11"/>
      <c r="DO29" s="11"/>
      <c r="DU29" s="11"/>
      <c r="DX29" s="11"/>
      <c r="ED29" s="11"/>
      <c r="EG29" s="11"/>
      <c r="EM29" s="11"/>
      <c r="EP29" s="11"/>
      <c r="EV29" s="11"/>
      <c r="EY29" s="11"/>
      <c r="FE29" s="11"/>
      <c r="FH29" s="11"/>
      <c r="FN29" s="11"/>
      <c r="FQ29" s="11"/>
      <c r="FW29" s="11"/>
      <c r="FZ29" s="11"/>
      <c r="GF29" s="11"/>
      <c r="GI29" s="11"/>
      <c r="GO29" s="11"/>
    </row>
    <row r="30" spans="1:197">
      <c r="B30" s="11"/>
      <c r="H30" s="11"/>
      <c r="K30" s="11"/>
      <c r="Q30" s="11"/>
      <c r="T30" s="11"/>
      <c r="Z30" s="11"/>
      <c r="AC30" s="11"/>
      <c r="AI30" s="11"/>
      <c r="AL30" s="11"/>
      <c r="AR30" s="11"/>
      <c r="AU30" s="11"/>
      <c r="BA30" s="11"/>
      <c r="BD30" s="11"/>
      <c r="BJ30" s="11"/>
      <c r="BM30" s="11"/>
      <c r="BS30" s="11"/>
      <c r="BV30" s="11"/>
      <c r="CB30" s="11"/>
      <c r="CE30" s="11"/>
      <c r="CK30" s="11"/>
      <c r="CN30" s="11"/>
      <c r="CT30" s="11"/>
      <c r="CW30" s="11"/>
      <c r="DC30" s="11"/>
      <c r="DF30" s="11"/>
      <c r="DL30" s="11"/>
      <c r="DO30" s="11"/>
      <c r="DU30" s="11"/>
      <c r="DX30" s="11"/>
      <c r="ED30" s="11"/>
      <c r="EG30" s="11"/>
      <c r="EM30" s="11"/>
      <c r="EP30" s="11"/>
      <c r="EV30" s="11"/>
      <c r="EY30" s="11"/>
      <c r="FE30" s="11"/>
      <c r="FH30" s="11"/>
      <c r="FN30" s="11"/>
      <c r="FQ30" s="11"/>
      <c r="FW30" s="11"/>
      <c r="FZ30" s="11"/>
      <c r="GF30" s="11"/>
      <c r="GI30" s="11"/>
      <c r="GO30" s="11"/>
    </row>
    <row r="31" spans="1:197">
      <c r="B31" s="11"/>
      <c r="H31" s="11"/>
      <c r="K31" s="11"/>
      <c r="Q31" s="11"/>
      <c r="T31" s="11"/>
      <c r="Z31" s="11"/>
      <c r="AC31" s="11"/>
      <c r="AI31" s="11"/>
      <c r="AL31" s="11"/>
      <c r="AR31" s="11"/>
      <c r="AU31" s="11"/>
      <c r="BA31" s="11"/>
      <c r="BD31" s="11"/>
      <c r="BJ31" s="11"/>
      <c r="BM31" s="11"/>
      <c r="BS31" s="11"/>
      <c r="BV31" s="11"/>
      <c r="CB31" s="11"/>
      <c r="CE31" s="11"/>
      <c r="CK31" s="11"/>
      <c r="CN31" s="11"/>
      <c r="CT31" s="11"/>
      <c r="CW31" s="11"/>
      <c r="DC31" s="11"/>
      <c r="DF31" s="11"/>
      <c r="DL31" s="11"/>
      <c r="DO31" s="11"/>
      <c r="DU31" s="11"/>
      <c r="DX31" s="11"/>
      <c r="ED31" s="11"/>
      <c r="EG31" s="11"/>
      <c r="EM31" s="11"/>
      <c r="EP31" s="11"/>
      <c r="EV31" s="11"/>
      <c r="EY31" s="11"/>
      <c r="FE31" s="11"/>
      <c r="FH31" s="11"/>
      <c r="FN31" s="11"/>
      <c r="FQ31" s="11"/>
      <c r="FW31" s="11"/>
      <c r="FZ31" s="11"/>
      <c r="GF31" s="11"/>
      <c r="GI31" s="11"/>
      <c r="GO31" s="11"/>
    </row>
    <row r="32" spans="1:197">
      <c r="B32" s="11"/>
      <c r="H32" s="11"/>
      <c r="K32" s="11"/>
      <c r="Q32" s="11"/>
      <c r="T32" s="11"/>
      <c r="Z32" s="11"/>
      <c r="AC32" s="11"/>
      <c r="AI32" s="11"/>
      <c r="AL32" s="11"/>
      <c r="AR32" s="11"/>
      <c r="AU32" s="11"/>
      <c r="BA32" s="11"/>
      <c r="BD32" s="11"/>
      <c r="BJ32" s="11"/>
      <c r="BM32" s="11"/>
      <c r="BS32" s="11"/>
      <c r="BV32" s="11"/>
      <c r="CB32" s="11"/>
      <c r="CE32" s="11"/>
      <c r="CK32" s="11"/>
      <c r="CN32" s="11"/>
      <c r="CT32" s="11"/>
      <c r="CW32" s="11"/>
      <c r="DC32" s="11"/>
      <c r="DF32" s="11"/>
      <c r="DL32" s="11"/>
      <c r="DO32" s="11"/>
      <c r="DU32" s="11"/>
      <c r="DX32" s="11"/>
      <c r="ED32" s="11"/>
      <c r="EG32" s="11"/>
      <c r="EM32" s="11"/>
      <c r="EP32" s="11"/>
      <c r="EV32" s="11"/>
      <c r="EY32" s="11"/>
      <c r="FE32" s="11"/>
      <c r="FH32" s="11"/>
      <c r="FN32" s="11"/>
      <c r="FQ32" s="11"/>
      <c r="FW32" s="11"/>
      <c r="FZ32" s="11"/>
      <c r="GF32" s="11"/>
      <c r="GI32" s="11"/>
      <c r="GO32" s="11"/>
    </row>
    <row r="33" spans="1:197">
      <c r="B33" s="11"/>
      <c r="D33" s="10" t="s">
        <v>156</v>
      </c>
      <c r="H33" s="11"/>
      <c r="K33" s="11"/>
      <c r="M33" s="10" t="s">
        <v>157</v>
      </c>
      <c r="Q33" s="11"/>
      <c r="T33" s="11"/>
      <c r="V33" s="10" t="s">
        <v>158</v>
      </c>
      <c r="Z33" s="11"/>
      <c r="AC33" s="11"/>
      <c r="AE33" s="10" t="s">
        <v>159</v>
      </c>
      <c r="AI33" s="11"/>
      <c r="AL33" s="11"/>
      <c r="AN33" s="10" t="s">
        <v>160</v>
      </c>
      <c r="AR33" s="11"/>
      <c r="AU33" s="11"/>
      <c r="AW33" s="10" t="s">
        <v>161</v>
      </c>
      <c r="BA33" s="11"/>
      <c r="BD33" s="11"/>
      <c r="BF33" s="10" t="s">
        <v>162</v>
      </c>
      <c r="BJ33" s="11"/>
      <c r="BM33" s="11"/>
      <c r="BO33" s="10" t="s">
        <v>163</v>
      </c>
      <c r="BS33" s="11"/>
      <c r="BV33" s="11"/>
      <c r="BX33" s="10" t="s">
        <v>164</v>
      </c>
      <c r="CB33" s="11"/>
      <c r="CE33" s="11"/>
      <c r="CG33" s="10" t="s">
        <v>165</v>
      </c>
      <c r="CK33" s="11"/>
      <c r="CN33" s="11"/>
      <c r="CP33" s="10" t="s">
        <v>166</v>
      </c>
      <c r="CT33" s="11"/>
      <c r="CW33" s="11"/>
      <c r="CY33" s="10" t="s">
        <v>167</v>
      </c>
      <c r="DC33" s="11"/>
      <c r="DF33" s="11"/>
      <c r="DH33" s="10" t="s">
        <v>168</v>
      </c>
      <c r="DL33" s="11"/>
      <c r="DO33" s="11"/>
      <c r="DQ33" s="10" t="s">
        <v>169</v>
      </c>
      <c r="DU33" s="11"/>
      <c r="DX33" s="11"/>
      <c r="DZ33" s="10" t="s">
        <v>170</v>
      </c>
      <c r="ED33" s="11"/>
      <c r="EG33" s="11"/>
      <c r="EI33" s="10" t="s">
        <v>171</v>
      </c>
      <c r="EM33" s="11"/>
      <c r="EP33" s="11"/>
      <c r="ER33" s="10" t="s">
        <v>172</v>
      </c>
      <c r="EV33" s="11"/>
      <c r="EY33" s="11"/>
      <c r="FA33" s="10" t="s">
        <v>173</v>
      </c>
      <c r="FE33" s="11"/>
      <c r="FH33" s="11"/>
      <c r="FJ33" s="10" t="s">
        <v>174</v>
      </c>
      <c r="FN33" s="11"/>
      <c r="FQ33" s="11"/>
      <c r="FS33" s="10" t="s">
        <v>175</v>
      </c>
      <c r="FW33" s="11"/>
      <c r="FZ33" s="11"/>
      <c r="GB33" s="10" t="s">
        <v>176</v>
      </c>
      <c r="GF33" s="11"/>
      <c r="GI33" s="11"/>
      <c r="GK33" s="10" t="s">
        <v>177</v>
      </c>
      <c r="GO33" s="11"/>
    </row>
    <row r="34" spans="1:197">
      <c r="B34" s="11"/>
      <c r="D34" s="10" t="s">
        <v>1</v>
      </c>
      <c r="H34" s="11"/>
      <c r="K34" s="11"/>
      <c r="M34" s="10" t="s">
        <v>1</v>
      </c>
      <c r="Q34" s="11"/>
      <c r="T34" s="11"/>
      <c r="V34" s="10"/>
      <c r="Z34" s="11"/>
      <c r="AC34" s="11"/>
      <c r="AE34" s="10"/>
      <c r="AI34" s="11"/>
      <c r="AL34" s="11"/>
      <c r="AN34" s="10"/>
      <c r="AR34" s="11"/>
      <c r="AU34" s="11"/>
      <c r="AW34" s="10"/>
      <c r="BA34" s="11"/>
      <c r="BD34" s="11"/>
      <c r="BF34" s="10"/>
      <c r="BJ34" s="11"/>
      <c r="BM34" s="11"/>
      <c r="BO34" s="10"/>
      <c r="BS34" s="11"/>
      <c r="BV34" s="11"/>
      <c r="BX34" s="10"/>
      <c r="CB34" s="11"/>
      <c r="CE34" s="11"/>
      <c r="CG34" s="10"/>
      <c r="CK34" s="11"/>
      <c r="CN34" s="11"/>
      <c r="CP34" s="10"/>
      <c r="CT34" s="11"/>
      <c r="CW34" s="11"/>
      <c r="CY34" s="10"/>
      <c r="DC34" s="11"/>
      <c r="DF34" s="11"/>
      <c r="DH34" s="10"/>
      <c r="DL34" s="11"/>
      <c r="DO34" s="11"/>
      <c r="DQ34" s="10"/>
      <c r="DU34" s="11"/>
      <c r="DX34" s="11"/>
      <c r="DZ34" s="10"/>
      <c r="ED34" s="11"/>
      <c r="EG34" s="11"/>
      <c r="EI34" s="10"/>
      <c r="EM34" s="11"/>
      <c r="EP34" s="11"/>
      <c r="ER34" s="10"/>
      <c r="EV34" s="11"/>
      <c r="EY34" s="11"/>
      <c r="FA34" s="10"/>
      <c r="FE34" s="11"/>
      <c r="FH34" s="11"/>
      <c r="FJ34" s="10"/>
      <c r="FN34" s="11"/>
      <c r="FQ34" s="11"/>
      <c r="FS34" s="10"/>
      <c r="FW34" s="11"/>
      <c r="FZ34" s="11"/>
      <c r="GB34" s="10"/>
      <c r="GF34" s="11"/>
      <c r="GI34" s="11"/>
      <c r="GK34" s="10"/>
      <c r="GO34" s="11"/>
    </row>
    <row r="35" spans="1:197">
      <c r="B35" s="11"/>
      <c r="D35" s="27" t="str">
        <f>CONCATENATE("En ","la ",D5," y ",D33," se observa los resultados  del  ",D4," el cual aborda ",E1062,",en donde se demuestra que el ",ROUND(F8*100,0),"%"," de los ",D1045," tienen una percepción de ",G1046,", el ",ROUND(F9*100,0),"%"," ",G1047,", un ",ROUND(F10*100,0),"%"," ",G1048,",",IF(E1049&gt;0,CONCATENATE(" ademas el ",ROUND(F11*100,0),"%"," ",G1049,)," "),IF(E1049&gt;0,CONCATENATE(" y ",ROUND(F12*100,0),"%",", ",G1050,)," "),"en tal sentido la mayoría de los ",D1045," es decir el ",ROUND(E1053*100,0),"%"," tienen una percepción con una inclinación a un valor ",D1056,","," para ",E1062,".")</f>
        <v>0</v>
      </c>
      <c r="H35" s="11"/>
      <c r="K35" s="11"/>
      <c r="M35" s="27" t="str">
        <f>CONCATENATE("En ","la ",M5," y ",M33," se observa los resultados  del  ",M4," el cual aborda ",N1062,",en donde se demuestra que el ",ROUND(O8*100,0),"%"," de los ",M1045," tienen una percepción de ",P1046,", el ",ROUND(O9*100,0),"%"," ",P1047,", un ",ROUND(O10*100,0),"%"," ",P1048,",",IF(N1049&gt;0,CONCATENATE(" ademas el ",ROUND(O11*100,0),"%"," ",P1049,)," "),IF(N1049&gt;0,CONCATENATE(" y ",ROUND(O12*100,0),"%",", ",P1050,)," "),"en tal sentido la mayoría de los ",M1045," es decir el ",ROUND(N1053*100,0),"%"," tienen una percepción con una inclinación a un valor ",M1056,","," para ",N1062,".")</f>
        <v>0</v>
      </c>
      <c r="Q35" s="11"/>
      <c r="T35" s="11"/>
      <c r="V35" s="27" t="str">
        <f>CONCATENATE("En ","la ",V5," y ",V33," se observa los resultados  del  ",V4," el cual aborda ",W1062,",en donde se demuestra que el ",ROUND(X8*100,0),"%"," de los ",V1045," tienen una percepción de ",Y1046,", el ",ROUND(X9*100,0),"%"," ",Y1047,", un ",ROUND(X10*100,0),"%"," ",Y1048,",",IF(W1049&gt;0,CONCATENATE(" ademas el ",ROUND(X11*100,0),"%"," ",Y1049,)," "),IF(W1049&gt;0,CONCATENATE(" y ",ROUND(X12*100,0),"%",", ",Y1050,)," "),"en tal sentido la mayoría de los ",V1045," es decir el ",ROUND(W1053*100,0),"%"," tienen una percepción con una inclinación a un valor ",V1056,","," para ",W1062,".")</f>
        <v>0</v>
      </c>
      <c r="Z35" s="11"/>
      <c r="AC35" s="11"/>
      <c r="AE35" s="27" t="str">
        <f>CONCATENATE("En ","la ",AE5," y ",AE33," se observa los resultados  del  ",AE4," el cual aborda ",AF1062,",en donde se demuestra que el ",ROUND(AG8*100,0),"%"," de los ",AE1045," tienen una percepción de ",AH1046,", el ",ROUND(AG9*100,0),"%"," ",AH1047,", un ",ROUND(AG10*100,0),"%"," ",AH1048,",",IF(AF1049&gt;0,CONCATENATE(" ademas el ",ROUND(AG11*100,0),"%"," ",AH1049,)," "),IF(AF1049&gt;0,CONCATENATE(" y ",ROUND(AG12*100,0),"%",", ",AH1050,)," "),"en tal sentido la mayoría de los ",AE1045," es decir el ",ROUND(AF1053*100,0),"%"," tienen una percepción con una inclinación a un valor ",AE1056,","," para ",AF1062,".")</f>
        <v>0</v>
      </c>
      <c r="AI35" s="11"/>
      <c r="AL35" s="11"/>
      <c r="AN35" s="27" t="str">
        <f>CONCATENATE("En ","la ",AN5," y ",AN33," se observa los resultados  del  ",AN4," el cual aborda ",AO1062,",en donde se demuestra que el ",ROUND(AP8*100,0),"%"," de los ",AN1045," tienen una percepción de ",AQ1046,", el ",ROUND(AP9*100,0),"%"," ",AQ1047,", un ",ROUND(AP10*100,0),"%"," ",AQ1048,",",IF(AO1049&gt;0,CONCATENATE(" ademas el ",ROUND(AP11*100,0),"%"," ",AQ1049,)," "),IF(AO1049&gt;0,CONCATENATE(" y ",ROUND(AP12*100,0),"%",", ",AQ1050,)," "),"en tal sentido la mayoría de los ",AN1045," es decir el ",ROUND(AO1053*100,0),"%"," tienen una percepción con una inclinación a un valor ",AN1056,","," para ",AO1062,".")</f>
        <v>0</v>
      </c>
      <c r="AR35" s="11"/>
      <c r="AU35" s="11"/>
      <c r="AW35" s="27" t="str">
        <f>CONCATENATE("En ","la ",AW5," y ",AW33," se observa los resultados  del  ",AW4," el cual aborda ",AX1062,",en donde se demuestra que el ",ROUND(AY8*100,0),"%"," de los ",AW1045," tienen una percepción de ",AZ1046,", el ",ROUND(AY9*100,0),"%"," ",AZ1047,", un ",ROUND(AY10*100,0),"%"," ",AZ1048,",",IF(AX1049&gt;0,CONCATENATE(" ademas el ",ROUND(AY11*100,0),"%"," ",AZ1049,)," "),IF(AX1049&gt;0,CONCATENATE(" y ",ROUND(AY12*100,0),"%",", ",AZ1050,)," "),"en tal sentido la mayoría de los ",AW1045," es decir el ",ROUND(AX1053*100,0),"%"," tienen una percepción con una inclinación a un valor ",AW1056,","," para ",AX1062,".")</f>
        <v>0</v>
      </c>
      <c r="BA35" s="11"/>
      <c r="BD35" s="11"/>
      <c r="BF35" s="27" t="str">
        <f>CONCATENATE("En ","la ",BF5," y ",BF33," se observa los resultados  del  ",BF4," el cual aborda ",BG1062,",en donde se demuestra que el ",ROUND(BH8*100,0),"%"," de los ",BF1045," tienen una percepción de ",BI1046,", el ",ROUND(BH9*100,0),"%"," ",BI1047,", un ",ROUND(BH10*100,0),"%"," ",BI1048,",",IF(BG1049&gt;0,CONCATENATE(" ademas el ",ROUND(BH11*100,0),"%"," ",BI1049,)," "),IF(BG1049&gt;0,CONCATENATE(" y ",ROUND(BH12*100,0),"%",", ",BI1050,)," "),"en tal sentido la mayoría de los ",BF1045," es decir el ",ROUND(BG1053*100,0),"%"," tienen una percepción con una inclinación a un valor ",BF1056,","," para ",BG1062,".")</f>
        <v>0</v>
      </c>
      <c r="BJ35" s="11"/>
      <c r="BM35" s="11"/>
      <c r="BO35" s="27" t="str">
        <f>CONCATENATE("En ","la ",BO5," y ",BO33," se observa los resultados  del  ",BO4," el cual aborda ",BP1062,",en donde se demuestra que el ",ROUND(BQ8*100,0),"%"," de los ",BO1045," tienen una percepción de ",BR1046,", el ",ROUND(BQ9*100,0),"%"," ",BR1047,", un ",ROUND(BQ10*100,0),"%"," ",BR1048,",",IF(BP1049&gt;0,CONCATENATE(" ademas el ",ROUND(BQ11*100,0),"%"," ",BR1049,)," "),IF(BP1049&gt;0,CONCATENATE(" y ",ROUND(BQ12*100,0),"%",", ",BR1050,)," "),"en tal sentido la mayoría de los ",BO1045," es decir el ",ROUND(BP1053*100,0),"%"," tienen una percepción con una inclinación a un valor ",BO1056,","," para ",BP1062,".")</f>
        <v>0</v>
      </c>
      <c r="BS35" s="11"/>
      <c r="BV35" s="11"/>
      <c r="BX35" s="27" t="str">
        <f>CONCATENATE("En ","la ",BX5," y ",BX33," se observa los resultados  del  ",BX4," el cual aborda ",BY1062,",en donde se demuestra que el ",ROUND(BZ8*100,0),"%"," de los ",BX1045," tienen una percepción de ",CA1046,", el ",ROUND(BZ9*100,0),"%"," ",CA1047,", un ",ROUND(BZ10*100,0),"%"," ",CA1048,",",IF(BY1049&gt;0,CONCATENATE(" ademas el ",ROUND(BZ11*100,0),"%"," ",CA1049,)," "),IF(BY1049&gt;0,CONCATENATE(" y ",ROUND(BZ12*100,0),"%",", ",CA1050,)," "),"en tal sentido la mayoría de los ",BX1045," es decir el ",ROUND(BY1053*100,0),"%"," tienen una percepción con una inclinación a un valor ",BX1056,","," para ",BY1062,".")</f>
        <v>0</v>
      </c>
      <c r="CB35" s="11"/>
      <c r="CE35" s="11"/>
      <c r="CG35" s="27" t="str">
        <f>CONCATENATE("En ","la ",CG5," y ",CG33," se observa los resultados  del  ",CG4," el cual aborda ",CH1062,",en donde se demuestra que el ",ROUND(CI8*100,0),"%"," de los ",CG1045," tienen una percepción de ",CJ1046,", el ",ROUND(CI9*100,0),"%"," ",CJ1047,", un ",ROUND(CI10*100,0),"%"," ",CJ1048,",",IF(CH1049&gt;0,CONCATENATE(" ademas el ",ROUND(CI11*100,0),"%"," ",CJ1049,)," "),IF(CH1049&gt;0,CONCATENATE(" y ",ROUND(CI12*100,0),"%",", ",CJ1050,)," "),"en tal sentido la mayoría de los ",CG1045," es decir el ",ROUND(CH1053*100,0),"%"," tienen una percepción con una inclinación a un valor ",CG1056,","," para ",CH1062,".")</f>
        <v>0</v>
      </c>
      <c r="CK35" s="11"/>
      <c r="CN35" s="11"/>
      <c r="CP35" s="27" t="str">
        <f>CONCATENATE("En ","la ",CP5," y ",CP33," se observa los resultados  del  ",CP4," el cual aborda ",CQ1062,",en donde se demuestra que el ",ROUND(CR8*100,0),"%"," de los ",CP1045," tienen una percepción de ",CS1046,", el ",ROUND(CR9*100,0),"%"," ",CS1047,", un ",ROUND(CR10*100,0),"%"," ",CS1048,",",IF(CQ1049&gt;0,CONCATENATE(" ademas el ",ROUND(CR11*100,0),"%"," ",CS1049,)," "),IF(CQ1049&gt;0,CONCATENATE(" y ",ROUND(CR12*100,0),"%",", ",CS1050,)," "),"en tal sentido la mayoría de los ",CP1045," es decir el ",ROUND(CQ1053*100,0),"%"," tienen una percepción con una inclinación a un valor ",CP1056,","," para ",CQ1062,".")</f>
        <v>0</v>
      </c>
      <c r="CT35" s="11"/>
      <c r="CW35" s="11"/>
      <c r="CY35" s="27" t="str">
        <f>CONCATENATE("En ","la ",CY5," y ",CY33," se observa los resultados  del  ",CY4," el cual aborda ",CZ1062,",en donde se demuestra que el ",ROUND(DA8*100,0),"%"," de los ",CY1045," tienen una percepción de ",DB1046,", el ",ROUND(DA9*100,0),"%"," ",DB1047,", un ",ROUND(DA10*100,0),"%"," ",DB1048,",",IF(CZ1049&gt;0,CONCATENATE(" ademas el ",ROUND(DA11*100,0),"%"," ",DB1049,)," "),IF(CZ1049&gt;0,CONCATENATE(" y ",ROUND(DA12*100,0),"%",", ",DB1050,)," "),"en tal sentido la mayoría de los ",CY1045," es decir el ",ROUND(CZ1053*100,0),"%"," tienen una percepción con una inclinación a un valor ",CY1056,","," para ",CZ1062,".")</f>
        <v>0</v>
      </c>
      <c r="DC35" s="11"/>
      <c r="DF35" s="11"/>
      <c r="DH35" s="27" t="str">
        <f>CONCATENATE("En ","la ",DH5," y ",DH33," se observa los resultados  del  ",DH4," el cual aborda ",DI1062,",en donde se demuestra que el ",ROUND(DJ8*100,0),"%"," de los ",DH1045," tienen una percepción de ",DK1046,", el ",ROUND(DJ9*100,0),"%"," ",DK1047,", un ",ROUND(DJ10*100,0),"%"," ",DK1048,",",IF(DI1049&gt;0,CONCATENATE(" ademas el ",ROUND(DJ11*100,0),"%"," ",DK1049,)," "),IF(DI1049&gt;0,CONCATENATE(" y ",ROUND(DJ12*100,0),"%",", ",DK1050,)," "),"en tal sentido la mayoría de los ",DH1045," es decir el ",ROUND(DI1053*100,0),"%"," tienen una percepción con una inclinación a un valor ",DH1056,","," para ",DI1062,".")</f>
        <v>0</v>
      </c>
      <c r="DL35" s="11"/>
      <c r="DO35" s="11"/>
      <c r="DQ35" s="27" t="str">
        <f>CONCATENATE("En ","la ",DQ5," y ",DQ33," se observa los resultados  del  ",DQ4," el cual aborda ",DR1062,",en donde se demuestra que el ",ROUND(DS8*100,0),"%"," de los ",DQ1045," tienen una percepción de ",DT1046,", el ",ROUND(DS9*100,0),"%"," ",DT1047,", un ",ROUND(DS10*100,0),"%"," ",DT1048,",",IF(DR1049&gt;0,CONCATENATE(" ademas el ",ROUND(DS11*100,0),"%"," ",DT1049,)," "),IF(DR1049&gt;0,CONCATENATE(" y ",ROUND(DS12*100,0),"%",", ",DT1050,)," "),"en tal sentido la mayoría de los ",DQ1045," es decir el ",ROUND(DR1053*100,0),"%"," tienen una percepción con una inclinación a un valor ",DQ1056,","," para ",DR1062,".")</f>
        <v>0</v>
      </c>
      <c r="DU35" s="11"/>
      <c r="DX35" s="11"/>
      <c r="DZ35" s="27" t="str">
        <f>CONCATENATE("En ","la ",DZ5," y ",DZ33," se observa los resultados  del  ",DZ4," el cual aborda ",EA1062,",en donde se demuestra que el ",ROUND(EB8*100,0),"%"," de los ",DZ1045," tienen una percepción de ",EC1046,", el ",ROUND(EB9*100,0),"%"," ",EC1047,", un ",ROUND(EB10*100,0),"%"," ",EC1048,",",IF(EA1049&gt;0,CONCATENATE(" ademas el ",ROUND(EB11*100,0),"%"," ",EC1049,)," "),IF(EA1049&gt;0,CONCATENATE(" y ",ROUND(EB12*100,0),"%",", ",EC1050,)," "),"en tal sentido la mayoría de los ",DZ1045," es decir el ",ROUND(EA1053*100,0),"%"," tienen una percepción con una inclinación a un valor ",DZ1056,","," para ",EA1062,".")</f>
        <v>0</v>
      </c>
      <c r="ED35" s="11"/>
      <c r="EG35" s="11"/>
      <c r="EI35" s="27" t="str">
        <f>CONCATENATE("En ","la ",EI5," y ",EI33," se observa los resultados  del  ",EI4," el cual aborda ",EJ1062,",en donde se demuestra que el ",ROUND(EK8*100,0),"%"," de los ",EI1045," tienen una percepción de ",EL1046,", el ",ROUND(EK9*100,0),"%"," ",EL1047,", un ",ROUND(EK10*100,0),"%"," ",EL1048,",",IF(EJ1049&gt;0,CONCATENATE(" ademas el ",ROUND(EK11*100,0),"%"," ",EL1049,)," "),IF(EJ1049&gt;0,CONCATENATE(" y ",ROUND(EK12*100,0),"%",", ",EL1050,)," "),"en tal sentido la mayoría de los ",EI1045," es decir el ",ROUND(EJ1053*100,0),"%"," tienen una percepción con una inclinación a un valor ",EI1056,","," para ",EJ1062,".")</f>
        <v>0</v>
      </c>
      <c r="EM35" s="11"/>
      <c r="EP35" s="11"/>
      <c r="ER35" s="27" t="str">
        <f>CONCATENATE("En ","la ",ER5," y ",ER33," se observa los resultados  del  ",ER4," el cual aborda ",ES1062,",en donde se demuestra que el ",ROUND(ET8*100,0),"%"," de los ",ER1045," tienen una percepción de ",EU1046,", el ",ROUND(ET9*100,0),"%"," ",EU1047,", un ",ROUND(ET10*100,0),"%"," ",EU1048,",",IF(ES1049&gt;0,CONCATENATE(" ademas el ",ROUND(ET11*100,0),"%"," ",EU1049,)," "),IF(ES1049&gt;0,CONCATENATE(" y ",ROUND(ET12*100,0),"%",", ",EU1050,)," "),"en tal sentido la mayoría de los ",ER1045," es decir el ",ROUND(ES1053*100,0),"%"," tienen una percepción con una inclinación a un valor ",ER1056,","," para ",ES1062,".")</f>
        <v>0</v>
      </c>
      <c r="EV35" s="11"/>
      <c r="EY35" s="11"/>
      <c r="FA35" s="27" t="str">
        <f>CONCATENATE("En ","la ",FA5," y ",FA33," se observa los resultados  del  ",FA4," el cual aborda ",FB1062,",en donde se demuestra que el ",ROUND(FC8*100,0),"%"," de los ",FA1045," tienen una percepción de ",FD1046,", el ",ROUND(FC9*100,0),"%"," ",FD1047,", un ",ROUND(FC10*100,0),"%"," ",FD1048,",",IF(FB1049&gt;0,CONCATENATE(" ademas el ",ROUND(FC11*100,0),"%"," ",FD1049,)," "),IF(FB1049&gt;0,CONCATENATE(" y ",ROUND(FC12*100,0),"%",", ",FD1050,)," "),"en tal sentido la mayoría de los ",FA1045," es decir el ",ROUND(FB1053*100,0),"%"," tienen una percepción con una inclinación a un valor ",FA1056,","," para ",FB1062,".")</f>
        <v>0</v>
      </c>
      <c r="FE35" s="11"/>
      <c r="FH35" s="11"/>
      <c r="FJ35" s="27" t="str">
        <f>CONCATENATE("En ","la ",FJ5," y ",FJ33," se observa los resultados  del  ",FJ4," el cual aborda ",FK1062,",en donde se demuestra que el ",ROUND(FL8*100,0),"%"," de los ",FJ1045," tienen una percepción de ",FM1046,", el ",ROUND(FL9*100,0),"%"," ",FM1047,", un ",ROUND(FL10*100,0),"%"," ",FM1048,",",IF(FK1049&gt;0,CONCATENATE(" ademas el ",ROUND(FL11*100,0),"%"," ",FM1049,)," "),IF(FK1049&gt;0,CONCATENATE(" y ",ROUND(FL12*100,0),"%",", ",FM1050,)," "),"en tal sentido la mayoría de los ",FJ1045," es decir el ",ROUND(FK1053*100,0),"%"," tienen una percepción con una inclinación a un valor ",FJ1056,","," para ",FK1062,".")</f>
        <v>0</v>
      </c>
      <c r="FN35" s="11"/>
      <c r="FQ35" s="11"/>
      <c r="FS35" s="27" t="str">
        <f>CONCATENATE("En ","la ",FS5," y ",FS33," se observa los resultados  del  ",FS4," el cual aborda ",FT1062,",en donde se demuestra que el ",ROUND(FU8*100,0),"%"," de los ",FS1045," tienen una percepción de ",FV1046,", el ",ROUND(FU9*100,0),"%"," ",FV1047,", un ",ROUND(FU10*100,0),"%"," ",FV1048,",",IF(FT1049&gt;0,CONCATENATE(" ademas el ",ROUND(FU11*100,0),"%"," ",FV1049,)," "),IF(FT1049&gt;0,CONCATENATE(" y ",ROUND(FU12*100,0),"%",", ",FV1050,)," "),"en tal sentido la mayoría de los ",FS1045," es decir el ",ROUND(FT1053*100,0),"%"," tienen una percepción con una inclinación a un valor ",FS1056,","," para ",FT1062,".")</f>
        <v>0</v>
      </c>
      <c r="FW35" s="11"/>
      <c r="FZ35" s="11"/>
      <c r="GB35" s="27" t="str">
        <f>CONCATENATE("En ","la ",GB5," y ",GB33," se observa los resultados  del  ",GB4," el cual aborda ",GC1062,",en donde se demuestra que el ",ROUND(GD8*100,0),"%"," de los ",GB1045," tienen una percepción de ",GE1046,", el ",ROUND(GD9*100,0),"%"," ",GE1047,", un ",ROUND(GD10*100,0),"%"," ",GE1048,",",IF(GC1049&gt;0,CONCATENATE(" ademas el ",ROUND(GD11*100,0),"%"," ",GE1049,)," "),IF(GC1049&gt;0,CONCATENATE(" y ",ROUND(GD12*100,0),"%",", ",GE1050,)," "),"en tal sentido la mayoría de los ",GB1045," es decir el ",ROUND(GC1053*100,0),"%"," tienen una percepción con una inclinación a un valor ",GB1056,","," para ",GC1062,".")</f>
        <v>0</v>
      </c>
      <c r="GF35" s="11"/>
      <c r="GI35" s="11"/>
      <c r="GK35" s="27" t="str">
        <f>CONCATENATE("En ","la ",GK5," y ",GK33," se observa los resultados  del  ",GK4," el cual aborda ",GL1062,",en donde se demuestra que el ",ROUND(GM8*100,0),"%"," de los ",GK1045," tienen una percepción de ",GN1046,", el ",ROUND(GM9*100,0),"%"," ",GN1047,", un ",ROUND(GM10*100,0),"%"," ",GN1048,",",IF(GL1049&gt;0,CONCATENATE(" ademas el ",ROUND(GM11*100,0),"%"," ",GN1049,)," "),IF(GL1049&gt;0,CONCATENATE(" y ",ROUND(GM12*100,0),"%",", ",GN1050,)," "),"en tal sentido la mayoría de los ",GK1045," es decir el ",ROUND(GL1053*100,0),"%"," tienen una percepción con una inclinación a un valor ",GK1056,","," para ",GL1062,".")</f>
        <v>0</v>
      </c>
      <c r="GO35" s="11"/>
    </row>
    <row r="36" spans="1:197">
      <c r="B36" s="11"/>
      <c r="H36" s="11"/>
      <c r="K36" s="11"/>
      <c r="Q36" s="11"/>
      <c r="T36" s="11"/>
      <c r="Z36" s="11"/>
      <c r="AC36" s="11"/>
      <c r="AI36" s="11"/>
      <c r="AL36" s="11"/>
      <c r="AR36" s="11"/>
      <c r="AU36" s="11"/>
      <c r="BA36" s="11"/>
      <c r="BD36" s="11"/>
      <c r="BJ36" s="11"/>
      <c r="BM36" s="11"/>
      <c r="BS36" s="11"/>
      <c r="BV36" s="11"/>
      <c r="CB36" s="11"/>
      <c r="CE36" s="11"/>
      <c r="CK36" s="11"/>
      <c r="CN36" s="11"/>
      <c r="CT36" s="11"/>
      <c r="CW36" s="11"/>
      <c r="DC36" s="11"/>
      <c r="DF36" s="11"/>
      <c r="DL36" s="11"/>
      <c r="DO36" s="11"/>
      <c r="DU36" s="11"/>
      <c r="DX36" s="11"/>
      <c r="ED36" s="11"/>
      <c r="EG36" s="11"/>
      <c r="EM36" s="11"/>
      <c r="EP36" s="11"/>
      <c r="EV36" s="11"/>
      <c r="EY36" s="11"/>
      <c r="FE36" s="11"/>
      <c r="FH36" s="11"/>
      <c r="FN36" s="11"/>
      <c r="FQ36" s="11"/>
      <c r="FW36" s="11"/>
      <c r="FZ36" s="11"/>
      <c r="GF36" s="11"/>
      <c r="GI36" s="11"/>
      <c r="GO36" s="11"/>
    </row>
    <row r="37" spans="1:197">
      <c r="B37" s="11"/>
      <c r="H37" s="11"/>
      <c r="K37" s="11"/>
      <c r="Q37" s="11"/>
      <c r="T37" s="11"/>
      <c r="Z37" s="11"/>
      <c r="AC37" s="11"/>
      <c r="AI37" s="11"/>
      <c r="AL37" s="11"/>
      <c r="AR37" s="11"/>
      <c r="AU37" s="11"/>
      <c r="BA37" s="11"/>
      <c r="BD37" s="11"/>
      <c r="BJ37" s="11"/>
      <c r="BM37" s="11"/>
      <c r="BS37" s="11"/>
      <c r="BV37" s="11"/>
      <c r="CB37" s="11"/>
      <c r="CE37" s="11"/>
      <c r="CK37" s="11"/>
      <c r="CN37" s="11"/>
      <c r="CT37" s="11"/>
      <c r="CW37" s="11"/>
      <c r="DC37" s="11"/>
      <c r="DF37" s="11"/>
      <c r="DL37" s="11"/>
      <c r="DO37" s="11"/>
      <c r="DU37" s="11"/>
      <c r="DX37" s="11"/>
      <c r="ED37" s="11"/>
      <c r="EG37" s="11"/>
      <c r="EM37" s="11"/>
      <c r="EP37" s="11"/>
      <c r="EV37" s="11"/>
      <c r="EY37" s="11"/>
      <c r="FE37" s="11"/>
      <c r="FH37" s="11"/>
      <c r="FN37" s="11"/>
      <c r="FQ37" s="11"/>
      <c r="FW37" s="11"/>
      <c r="FZ37" s="11"/>
      <c r="GF37" s="11"/>
      <c r="GI37" s="11"/>
      <c r="GO37" s="11"/>
    </row>
    <row r="38" spans="1:197">
      <c r="B38" s="11"/>
      <c r="H38" s="11"/>
      <c r="K38" s="11"/>
      <c r="Q38" s="11"/>
      <c r="T38" s="11"/>
      <c r="Z38" s="11"/>
      <c r="AC38" s="11"/>
      <c r="AI38" s="11"/>
      <c r="AL38" s="11"/>
      <c r="AR38" s="11"/>
      <c r="AU38" s="11"/>
      <c r="BA38" s="11"/>
      <c r="BD38" s="11"/>
      <c r="BJ38" s="11"/>
      <c r="BM38" s="11"/>
      <c r="BS38" s="11"/>
      <c r="BV38" s="11"/>
      <c r="CB38" s="11"/>
      <c r="CE38" s="11"/>
      <c r="CK38" s="11"/>
      <c r="CN38" s="11"/>
      <c r="CT38" s="11"/>
      <c r="CW38" s="11"/>
      <c r="DC38" s="11"/>
      <c r="DF38" s="11"/>
      <c r="DL38" s="11"/>
      <c r="DO38" s="11"/>
      <c r="DU38" s="11"/>
      <c r="DX38" s="11"/>
      <c r="ED38" s="11"/>
      <c r="EG38" s="11"/>
      <c r="EM38" s="11"/>
      <c r="EP38" s="11"/>
      <c r="EV38" s="11"/>
      <c r="EY38" s="11"/>
      <c r="FE38" s="11"/>
      <c r="FH38" s="11"/>
      <c r="FN38" s="11"/>
      <c r="FQ38" s="11"/>
      <c r="FW38" s="11"/>
      <c r="FZ38" s="11"/>
      <c r="GF38" s="11"/>
      <c r="GI38" s="11"/>
      <c r="GO38" s="11"/>
    </row>
    <row r="39" spans="1:197">
      <c r="B39" s="11"/>
      <c r="H39" s="11"/>
      <c r="K39" s="11"/>
      <c r="Q39" s="11"/>
      <c r="T39" s="11"/>
      <c r="Z39" s="11"/>
      <c r="AC39" s="11"/>
      <c r="AI39" s="11"/>
      <c r="AL39" s="11"/>
      <c r="AR39" s="11"/>
      <c r="AU39" s="11"/>
      <c r="BA39" s="11"/>
      <c r="BD39" s="11"/>
      <c r="BJ39" s="11"/>
      <c r="BM39" s="11"/>
      <c r="BS39" s="11"/>
      <c r="BV39" s="11"/>
      <c r="CB39" s="11"/>
      <c r="CE39" s="11"/>
      <c r="CK39" s="11"/>
      <c r="CN39" s="11"/>
      <c r="CT39" s="11"/>
      <c r="CW39" s="11"/>
      <c r="DC39" s="11"/>
      <c r="DF39" s="11"/>
      <c r="DL39" s="11"/>
      <c r="DO39" s="11"/>
      <c r="DU39" s="11"/>
      <c r="DX39" s="11"/>
      <c r="ED39" s="11"/>
      <c r="EG39" s="11"/>
      <c r="EM39" s="11"/>
      <c r="EP39" s="11"/>
      <c r="EV39" s="11"/>
      <c r="EY39" s="11"/>
      <c r="FE39" s="11"/>
      <c r="FH39" s="11"/>
      <c r="FN39" s="11"/>
      <c r="FQ39" s="11"/>
      <c r="FW39" s="11"/>
      <c r="FZ39" s="11"/>
      <c r="GF39" s="11"/>
      <c r="GI39" s="11"/>
      <c r="GO39" s="11"/>
    </row>
    <row r="1045" spans="1:197">
      <c r="D1045" s="33" t="s">
        <v>79</v>
      </c>
      <c r="E1045" s="33" t="s">
        <v>1</v>
      </c>
      <c r="M1045" s="33" t="s">
        <v>79</v>
      </c>
      <c r="N1045" s="33" t="s">
        <v>1</v>
      </c>
      <c r="V1045" s="33" t="s">
        <v>79</v>
      </c>
      <c r="W1045" s="33"/>
      <c r="AE1045" s="33" t="s">
        <v>79</v>
      </c>
      <c r="AF1045" s="33"/>
      <c r="AN1045" s="33" t="s">
        <v>79</v>
      </c>
      <c r="AO1045" s="33"/>
      <c r="AW1045" s="33" t="s">
        <v>79</v>
      </c>
      <c r="AX1045" s="33"/>
      <c r="BF1045" s="33" t="s">
        <v>79</v>
      </c>
      <c r="BG1045" s="33"/>
      <c r="BO1045" s="33" t="s">
        <v>79</v>
      </c>
      <c r="BP1045" s="33"/>
      <c r="BX1045" s="33" t="s">
        <v>79</v>
      </c>
      <c r="BY1045" s="33"/>
      <c r="CG1045" s="33" t="s">
        <v>79</v>
      </c>
      <c r="CH1045" s="33"/>
      <c r="CP1045" s="33" t="s">
        <v>79</v>
      </c>
      <c r="CQ1045" s="33"/>
      <c r="CY1045" s="33" t="s">
        <v>79</v>
      </c>
      <c r="CZ1045" s="33"/>
      <c r="DH1045" s="33" t="s">
        <v>79</v>
      </c>
      <c r="DI1045" s="33"/>
      <c r="DQ1045" s="33" t="s">
        <v>79</v>
      </c>
      <c r="DR1045" s="33"/>
      <c r="DZ1045" s="33" t="s">
        <v>79</v>
      </c>
      <c r="EA1045" s="33"/>
      <c r="EI1045" s="33" t="s">
        <v>79</v>
      </c>
      <c r="EJ1045" s="33"/>
      <c r="ER1045" s="33" t="s">
        <v>79</v>
      </c>
      <c r="ES1045" s="33"/>
      <c r="FA1045" s="33" t="s">
        <v>79</v>
      </c>
      <c r="FB1045" s="33"/>
      <c r="FJ1045" s="33" t="s">
        <v>79</v>
      </c>
      <c r="FK1045" s="33"/>
      <c r="FS1045" s="33" t="s">
        <v>79</v>
      </c>
      <c r="FT1045" s="33"/>
      <c r="GB1045" s="33" t="s">
        <v>79</v>
      </c>
      <c r="GC1045" s="33"/>
      <c r="GK1045" s="33" t="s">
        <v>79</v>
      </c>
      <c r="GL1045" s="33"/>
    </row>
    <row r="1046" spans="1:197">
      <c r="C1046" s="33">
        <v>1</v>
      </c>
      <c r="D1046" s="33" t="str">
        <f>IF(E1046=F8,D8,IF(E1046=F9,D9,IF(E1046=F10,D10,IF(E1046=F11,D11,IF(E1046=F12,D12,"ALGO ESTA MAL")))))</f>
        <v>0</v>
      </c>
      <c r="E1046" s="34" t="str">
        <f>LARGE($F$8:$F$12,C1046)</f>
        <v>0</v>
      </c>
      <c r="F1046" s="34" t="str">
        <f>IF(E1046&gt;0.1%,E1046,"Algo Esta Mal")</f>
        <v>0</v>
      </c>
      <c r="G1046" s="33" t="str">
        <f>IF(F1046=E1046,D1046," ")</f>
        <v>0</v>
      </c>
      <c r="L1046" s="33">
        <v>1</v>
      </c>
      <c r="M1046" s="33" t="str">
        <f>IF(N1046=O8,M8,IF(N1046=O9,M9,IF(N1046=O10,M10,IF(N1046=O11,M11,IF(N1046=O12,M12,"ALGO ESTA MAL")))))</f>
        <v>0</v>
      </c>
      <c r="N1046" s="34" t="str">
        <f>LARGE($O$8:$O$12,L1046)</f>
        <v>0</v>
      </c>
      <c r="O1046" s="34" t="str">
        <f>IF(N1046&gt;0.1%,N1046,"Algo Esta Mal")</f>
        <v>0</v>
      </c>
      <c r="P1046" s="33" t="str">
        <f>IF(O1046=N1046,M1046," ")</f>
        <v>0</v>
      </c>
      <c r="U1046" s="33">
        <v>1</v>
      </c>
      <c r="V1046" s="33" t="str">
        <f>IF(W1046=X8,V8,IF(W1046=X9,V9,IF(W1046=X10,V10,IF(W1046=X11,V11,IF(W1046=X12,V12,"ALGO ESTA MAL")))))</f>
        <v>0</v>
      </c>
      <c r="W1046" s="34" t="str">
        <f>LARGE($X$8:$X$12,U1046)</f>
        <v>0</v>
      </c>
      <c r="X1046" s="34" t="str">
        <f>IF(W1046&gt;0.1%,W1046,"Algo Esta Mal")</f>
        <v>0</v>
      </c>
      <c r="Y1046" s="33" t="str">
        <f>IF(X1046=W1046,V1046," ")</f>
        <v>0</v>
      </c>
      <c r="AD1046" s="33">
        <v>1</v>
      </c>
      <c r="AE1046" s="33" t="str">
        <f>IF(AF1046=AG8,AE8,IF(AF1046=AG9,AE9,IF(AF1046=AG10,AE10,IF(AF1046=AG11,AE11,IF(AF1046=AG12,AE12,"ALGO ESTA MAL")))))</f>
        <v>0</v>
      </c>
      <c r="AF1046" s="34" t="str">
        <f>LARGE($AG$8:$AG$12,AD1046)</f>
        <v>0</v>
      </c>
      <c r="AG1046" s="34" t="str">
        <f>IF(AF1046&gt;0.1%,AF1046,"Algo Esta Mal")</f>
        <v>0</v>
      </c>
      <c r="AH1046" s="33" t="str">
        <f>IF(AG1046=AF1046,AE1046," ")</f>
        <v>0</v>
      </c>
      <c r="AM1046" s="33">
        <v>1</v>
      </c>
      <c r="AN1046" s="33" t="str">
        <f>IF(AO1046=AP8,AN8,IF(AO1046=AP9,AN9,IF(AO1046=AP10,AN10,IF(AO1046=AP11,AN11,IF(AO1046=AP12,AN12,"ALGO ESTA MAL")))))</f>
        <v>0</v>
      </c>
      <c r="AO1046" s="34" t="str">
        <f>LARGE($AP$8:$AP$12,AM1046)</f>
        <v>0</v>
      </c>
      <c r="AP1046" s="34" t="str">
        <f>IF(AO1046&gt;0.1%,AO1046,"Algo Esta Mal")</f>
        <v>0</v>
      </c>
      <c r="AQ1046" s="33" t="str">
        <f>IF(AP1046=AO1046,AN1046," ")</f>
        <v>0</v>
      </c>
      <c r="AV1046" s="33">
        <v>1</v>
      </c>
      <c r="AW1046" s="33" t="str">
        <f>IF(AX1046=AY8,AW8,IF(AX1046=AY9,AW9,IF(AX1046=AY10,AW10,IF(AX1046=AY11,AW11,IF(AX1046=AY12,AW12,"ALGO ESTA MAL")))))</f>
        <v>0</v>
      </c>
      <c r="AX1046" s="34" t="str">
        <f>LARGE($AY$8:$AY$12,AV1046)</f>
        <v>0</v>
      </c>
      <c r="AY1046" s="34" t="str">
        <f>IF(AX1046&gt;0.1%,AX1046,"Algo Esta Mal")</f>
        <v>0</v>
      </c>
      <c r="AZ1046" s="33" t="str">
        <f>IF(AY1046=AX1046,AW1046," ")</f>
        <v>0</v>
      </c>
      <c r="BE1046" s="33">
        <v>1</v>
      </c>
      <c r="BF1046" s="33" t="str">
        <f>IF(BG1046=BH8,BF8,IF(BG1046=BH9,BF9,IF(BG1046=BH10,BF10,IF(BG1046=BH11,BF11,IF(BG1046=BH12,BF12,"ALGO ESTA MAL")))))</f>
        <v>0</v>
      </c>
      <c r="BG1046" s="34" t="str">
        <f>LARGE($BH$8:$BH$12,BE1046)</f>
        <v>0</v>
      </c>
      <c r="BH1046" s="34" t="str">
        <f>IF(BG1046&gt;0.1%,BG1046,"Algo Esta Mal")</f>
        <v>0</v>
      </c>
      <c r="BI1046" s="33" t="str">
        <f>IF(BH1046=BG1046,BF1046," ")</f>
        <v>0</v>
      </c>
      <c r="BN1046" s="33">
        <v>1</v>
      </c>
      <c r="BO1046" s="33" t="str">
        <f>IF(BP1046=BQ8,BO8,IF(BP1046=BQ9,BO9,IF(BP1046=BQ10,BO10,IF(BP1046=BQ11,BO11,IF(BP1046=BQ12,BO12,"ALGO ESTA MAL")))))</f>
        <v>0</v>
      </c>
      <c r="BP1046" s="34" t="str">
        <f>LARGE($BQ$8:$BQ$12,BN1046)</f>
        <v>0</v>
      </c>
      <c r="BQ1046" s="34" t="str">
        <f>IF(BP1046&gt;0.1%,BP1046,"Algo Esta Mal")</f>
        <v>0</v>
      </c>
      <c r="BR1046" s="33" t="str">
        <f>IF(BQ1046=BP1046,BO1046," ")</f>
        <v>0</v>
      </c>
      <c r="BW1046" s="33">
        <v>1</v>
      </c>
      <c r="BX1046" s="33" t="str">
        <f>IF(BY1046=BZ8,BX8,IF(BY1046=BZ9,BX9,IF(BY1046=BZ10,BX10,IF(BY1046=BZ11,BX11,IF(BY1046=BZ12,BX12,"ALGO ESTA MAL")))))</f>
        <v>0</v>
      </c>
      <c r="BY1046" s="34" t="str">
        <f>LARGE($BZ$8:$BZ$12,BW1046)</f>
        <v>0</v>
      </c>
      <c r="BZ1046" s="34" t="str">
        <f>IF(BY1046&gt;0.1%,BY1046,"Algo Esta Mal")</f>
        <v>0</v>
      </c>
      <c r="CA1046" s="33" t="str">
        <f>IF(BZ1046=BY1046,BX1046," ")</f>
        <v>0</v>
      </c>
      <c r="CF1046" s="33">
        <v>1</v>
      </c>
      <c r="CG1046" s="33" t="str">
        <f>IF(CH1046=CI8,CG8,IF(CH1046=CI9,CG9,IF(CH1046=CI10,CG10,IF(CH1046=CI11,CG11,IF(CH1046=CI12,CG12,"ALGO ESTA MAL")))))</f>
        <v>0</v>
      </c>
      <c r="CH1046" s="34" t="str">
        <f>LARGE($CI$8:$CI$12,CF1046)</f>
        <v>0</v>
      </c>
      <c r="CI1046" s="34" t="str">
        <f>IF(CH1046&gt;0.1%,CH1046,"Algo Esta Mal")</f>
        <v>0</v>
      </c>
      <c r="CJ1046" s="33" t="str">
        <f>IF(CI1046=CH1046,CG1046," ")</f>
        <v>0</v>
      </c>
      <c r="CO1046" s="33">
        <v>1</v>
      </c>
      <c r="CP1046" s="33" t="str">
        <f>IF(CQ1046=CR8,CP8,IF(CQ1046=CR9,CP9,IF(CQ1046=CR10,CP10,IF(CQ1046=CR11,CP11,IF(CQ1046=CR12,CP12,"ALGO ESTA MAL")))))</f>
        <v>0</v>
      </c>
      <c r="CQ1046" s="34" t="str">
        <f>LARGE($CR$8:$CR$12,CO1046)</f>
        <v>0</v>
      </c>
      <c r="CR1046" s="34" t="str">
        <f>IF(CQ1046&gt;0.1%,CQ1046,"Algo Esta Mal")</f>
        <v>0</v>
      </c>
      <c r="CS1046" s="33" t="str">
        <f>IF(CR1046=CQ1046,CP1046," ")</f>
        <v>0</v>
      </c>
      <c r="CX1046" s="33">
        <v>1</v>
      </c>
      <c r="CY1046" s="33" t="str">
        <f>IF(CZ1046=DA8,CY8,IF(CZ1046=DA9,CY9,IF(CZ1046=DA10,CY10,IF(CZ1046=DA11,CY11,IF(CZ1046=DA12,CY12,"ALGO ESTA MAL")))))</f>
        <v>0</v>
      </c>
      <c r="CZ1046" s="34" t="str">
        <f>LARGE($DA$8:$DA$12,CX1046)</f>
        <v>0</v>
      </c>
      <c r="DA1046" s="34" t="str">
        <f>IF(CZ1046&gt;0.1%,CZ1046,"Algo Esta Mal")</f>
        <v>0</v>
      </c>
      <c r="DB1046" s="33" t="str">
        <f>IF(DA1046=CZ1046,CY1046," ")</f>
        <v>0</v>
      </c>
      <c r="DG1046" s="33">
        <v>1</v>
      </c>
      <c r="DH1046" s="33" t="str">
        <f>IF(DI1046=DJ8,DH8,IF(DI1046=DJ9,DH9,IF(DI1046=DJ10,DH10,IF(DI1046=DJ11,DH11,IF(DI1046=DJ12,DH12,"ALGO ESTA MAL")))))</f>
        <v>0</v>
      </c>
      <c r="DI1046" s="34" t="str">
        <f>LARGE($DJ$8:$DJ$12,DG1046)</f>
        <v>0</v>
      </c>
      <c r="DJ1046" s="34" t="str">
        <f>IF(DI1046&gt;0.1%,DI1046,"Algo Esta Mal")</f>
        <v>0</v>
      </c>
      <c r="DK1046" s="33" t="str">
        <f>IF(DJ1046=DI1046,DH1046," ")</f>
        <v>0</v>
      </c>
      <c r="DP1046" s="33">
        <v>1</v>
      </c>
      <c r="DQ1046" s="33" t="str">
        <f>IF(DR1046=DS8,DQ8,IF(DR1046=DS9,DQ9,IF(DR1046=DS10,DQ10,IF(DR1046=DS11,DQ11,IF(DR1046=DS12,DQ12,"ALGO ESTA MAL")))))</f>
        <v>0</v>
      </c>
      <c r="DR1046" s="34" t="str">
        <f>LARGE($DS$8:$DS$12,DP1046)</f>
        <v>0</v>
      </c>
      <c r="DS1046" s="34" t="str">
        <f>IF(DR1046&gt;0.1%,DR1046,"Algo Esta Mal")</f>
        <v>0</v>
      </c>
      <c r="DT1046" s="33" t="str">
        <f>IF(DS1046=DR1046,DQ1046," ")</f>
        <v>0</v>
      </c>
      <c r="DY1046" s="33">
        <v>1</v>
      </c>
      <c r="DZ1046" s="33" t="str">
        <f>IF(EA1046=EB8,DZ8,IF(EA1046=EB9,DZ9,IF(EA1046=EB10,DZ10,IF(EA1046=EB11,DZ11,IF(EA1046=EB12,DZ12,"ALGO ESTA MAL")))))</f>
        <v>0</v>
      </c>
      <c r="EA1046" s="34" t="str">
        <f>LARGE($EB$8:$EB$12,DY1046)</f>
        <v>0</v>
      </c>
      <c r="EB1046" s="34" t="str">
        <f>IF(EA1046&gt;0.1%,EA1046,"Algo Esta Mal")</f>
        <v>0</v>
      </c>
      <c r="EC1046" s="33" t="str">
        <f>IF(EB1046=EA1046,DZ1046," ")</f>
        <v>0</v>
      </c>
      <c r="EH1046" s="33">
        <v>1</v>
      </c>
      <c r="EI1046" s="33" t="str">
        <f>IF(EJ1046=EK8,EI8,IF(EJ1046=EK9,EI9,IF(EJ1046=EK10,EI10,IF(EJ1046=EK11,EI11,IF(EJ1046=EK12,EI12,"ALGO ESTA MAL")))))</f>
        <v>0</v>
      </c>
      <c r="EJ1046" s="34" t="str">
        <f>LARGE($EK$8:$EK$12,EH1046)</f>
        <v>0</v>
      </c>
      <c r="EK1046" s="34" t="str">
        <f>IF(EJ1046&gt;0.1%,EJ1046,"Algo Esta Mal")</f>
        <v>0</v>
      </c>
      <c r="EL1046" s="33" t="str">
        <f>IF(EK1046=EJ1046,EI1046," ")</f>
        <v>0</v>
      </c>
      <c r="EQ1046" s="33">
        <v>1</v>
      </c>
      <c r="ER1046" s="33" t="str">
        <f>IF(ES1046=ET8,ER8,IF(ES1046=ET9,ER9,IF(ES1046=ET10,ER10,IF(ES1046=ET11,ER11,IF(ES1046=ET12,ER12,"ALGO ESTA MAL")))))</f>
        <v>0</v>
      </c>
      <c r="ES1046" s="34" t="str">
        <f>LARGE($ET$8:$ET$12,EQ1046)</f>
        <v>0</v>
      </c>
      <c r="ET1046" s="34" t="str">
        <f>IF(ES1046&gt;0.1%,ES1046,"Algo Esta Mal")</f>
        <v>0</v>
      </c>
      <c r="EU1046" s="33" t="str">
        <f>IF(ET1046=ES1046,ER1046," ")</f>
        <v>0</v>
      </c>
      <c r="EZ1046" s="33">
        <v>1</v>
      </c>
      <c r="FA1046" s="33" t="str">
        <f>IF(FB1046=FC8,FA8,IF(FB1046=FC9,FA9,IF(FB1046=FC10,FA10,IF(FB1046=FC11,FA11,IF(FB1046=FC12,FA12,"ALGO ESTA MAL")))))</f>
        <v>0</v>
      </c>
      <c r="FB1046" s="34" t="str">
        <f>LARGE($FC$8:$FC$12,EZ1046)</f>
        <v>0</v>
      </c>
      <c r="FC1046" s="34" t="str">
        <f>IF(FB1046&gt;0.1%,FB1046,"Algo Esta Mal")</f>
        <v>0</v>
      </c>
      <c r="FD1046" s="33" t="str">
        <f>IF(FC1046=FB1046,FA1046," ")</f>
        <v>0</v>
      </c>
      <c r="FI1046" s="33">
        <v>1</v>
      </c>
      <c r="FJ1046" s="33" t="str">
        <f>IF(FK1046=FL8,FJ8,IF(FK1046=FL9,FJ9,IF(FK1046=FL10,FJ10,IF(FK1046=FL11,FJ11,IF(FK1046=FL12,FJ12,"ALGO ESTA MAL")))))</f>
        <v>0</v>
      </c>
      <c r="FK1046" s="34" t="str">
        <f>LARGE($FL$8:$FL$12,FI1046)</f>
        <v>0</v>
      </c>
      <c r="FL1046" s="34" t="str">
        <f>IF(FK1046&gt;0.1%,FK1046,"Algo Esta Mal")</f>
        <v>0</v>
      </c>
      <c r="FM1046" s="33" t="str">
        <f>IF(FL1046=FK1046,FJ1046," ")</f>
        <v>0</v>
      </c>
      <c r="FR1046" s="33">
        <v>1</v>
      </c>
      <c r="FS1046" s="33" t="str">
        <f>IF(FT1046=FU8,FS8,IF(FT1046=FU9,FS9,IF(FT1046=FU10,FS10,IF(FT1046=FU11,FS11,IF(FT1046=FU12,FS12,"ALGO ESTA MAL")))))</f>
        <v>0</v>
      </c>
      <c r="FT1046" s="34" t="str">
        <f>LARGE($FU$8:$FU$12,FR1046)</f>
        <v>0</v>
      </c>
      <c r="FU1046" s="34" t="str">
        <f>IF(FT1046&gt;0.1%,FT1046,"Algo Esta Mal")</f>
        <v>0</v>
      </c>
      <c r="FV1046" s="33" t="str">
        <f>IF(FU1046=FT1046,FS1046," ")</f>
        <v>0</v>
      </c>
      <c r="GA1046" s="33">
        <v>1</v>
      </c>
      <c r="GB1046" s="33" t="str">
        <f>IF(GC1046=GD8,GB8,IF(GC1046=GD9,GB9,IF(GC1046=GD10,GB10,IF(GC1046=GD11,GB11,IF(GC1046=GD12,GB12,"ALGO ESTA MAL")))))</f>
        <v>0</v>
      </c>
      <c r="GC1046" s="34" t="str">
        <f>LARGE($GD$8:$GD$12,GA1046)</f>
        <v>0</v>
      </c>
      <c r="GD1046" s="34" t="str">
        <f>IF(GC1046&gt;0.1%,GC1046,"Algo Esta Mal")</f>
        <v>0</v>
      </c>
      <c r="GE1046" s="33" t="str">
        <f>IF(GD1046=GC1046,GB1046," ")</f>
        <v>0</v>
      </c>
      <c r="GJ1046" s="33">
        <v>1</v>
      </c>
      <c r="GK1046" s="33" t="str">
        <f>IF(GL1046=GM8,GK8,IF(GL1046=GM9,GK9,IF(GL1046=GM10,GK10,IF(GL1046=GM11,GK11,IF(GL1046=GM12,GK12,"ALGO ESTA MAL")))))</f>
        <v>0</v>
      </c>
      <c r="GL1046" s="34" t="str">
        <f>LARGE($GM$8:$GM$12,GJ1046)</f>
        <v>0</v>
      </c>
      <c r="GM1046" s="34" t="str">
        <f>IF(GL1046&gt;0.1%,GL1046,"Algo Esta Mal")</f>
        <v>0</v>
      </c>
      <c r="GN1046" s="33" t="str">
        <f>IF(GM1046=GL1046,GK1046," ")</f>
        <v>0</v>
      </c>
    </row>
    <row r="1047" spans="1:197">
      <c r="C1047" s="33">
        <v>2</v>
      </c>
      <c r="D1047" s="33" t="str">
        <f>IF(E1047=F8,D8,IF(E1047=F9,D9,IF(E1047=F10,D10,IF(E1047=F11,D11,IF(E1047=F12,D12,"ALGO ESTA MAL")))))</f>
        <v>0</v>
      </c>
      <c r="E1047" s="34" t="str">
        <f>LARGE($F$8:$F$12,C1047)</f>
        <v>0</v>
      </c>
      <c r="F1047" s="34" t="str">
        <f>IF(E1047&gt;0.1%,E1047,"Algo Esta Mal")</f>
        <v>0</v>
      </c>
      <c r="G1047" s="33" t="str">
        <f>IF(F1047=E1047,D1047," ")</f>
        <v>0</v>
      </c>
      <c r="L1047" s="33">
        <v>2</v>
      </c>
      <c r="M1047" s="33" t="str">
        <f>IF(N1047=O8,M8,IF(N1047=O9,M9,IF(N1047=O10,M10,IF(N1047=O11,M11,IF(N1047=O12,M12,"ALGO ESTA MAL")))))</f>
        <v>0</v>
      </c>
      <c r="N1047" s="34" t="str">
        <f>LARGE($O$8:$O$12,L1047)</f>
        <v>0</v>
      </c>
      <c r="O1047" s="34" t="str">
        <f>IF(N1047&gt;0.1%,N1047,"Algo Esta Mal")</f>
        <v>0</v>
      </c>
      <c r="P1047" s="33" t="str">
        <f>IF(O1047=N1047,M1047," ")</f>
        <v>0</v>
      </c>
      <c r="U1047" s="33">
        <v>2</v>
      </c>
      <c r="V1047" s="33" t="str">
        <f>IF(W1047=X8,V8,IF(W1047=X9,V9,IF(W1047=X10,V10,IF(W1047=X11,V11,IF(W1047=X12,V12,"ALGO ESTA MAL")))))</f>
        <v>0</v>
      </c>
      <c r="W1047" s="34" t="str">
        <f>LARGE($X$8:$X$12,U1047)</f>
        <v>0</v>
      </c>
      <c r="X1047" s="34" t="str">
        <f>IF(W1047&gt;0.1%,W1047,"Algo Esta Mal")</f>
        <v>0</v>
      </c>
      <c r="Y1047" s="33" t="str">
        <f>IF(X1047=W1047,V1047," ")</f>
        <v>0</v>
      </c>
      <c r="AD1047" s="33">
        <v>2</v>
      </c>
      <c r="AE1047" s="33" t="str">
        <f>IF(AF1047=AG8,AE8,IF(AF1047=AG9,AE9,IF(AF1047=AG10,AE10,IF(AF1047=AG11,AE11,IF(AF1047=AG12,AE12,"ALGO ESTA MAL")))))</f>
        <v>0</v>
      </c>
      <c r="AF1047" s="34" t="str">
        <f>LARGE($AG$8:$AG$12,AD1047)</f>
        <v>0</v>
      </c>
      <c r="AG1047" s="34" t="str">
        <f>IF(AF1047&gt;0.1%,AF1047,"Algo Esta Mal")</f>
        <v>0</v>
      </c>
      <c r="AH1047" s="33" t="str">
        <f>IF(AG1047=AF1047,AE1047," ")</f>
        <v>0</v>
      </c>
      <c r="AM1047" s="33">
        <v>2</v>
      </c>
      <c r="AN1047" s="33" t="str">
        <f>IF(AO1047=AP8,AN8,IF(AO1047=AP9,AN9,IF(AO1047=AP10,AN10,IF(AO1047=AP11,AN11,IF(AO1047=AP12,AN12,"ALGO ESTA MAL")))))</f>
        <v>0</v>
      </c>
      <c r="AO1047" s="34" t="str">
        <f>LARGE($AP$8:$AP$12,AM1047)</f>
        <v>0</v>
      </c>
      <c r="AP1047" s="34" t="str">
        <f>IF(AO1047&gt;0.1%,AO1047,"Algo Esta Mal")</f>
        <v>0</v>
      </c>
      <c r="AQ1047" s="33" t="str">
        <f>IF(AP1047=AO1047,AN1047," ")</f>
        <v>0</v>
      </c>
      <c r="AV1047" s="33">
        <v>2</v>
      </c>
      <c r="AW1047" s="33" t="str">
        <f>IF(AX1047=AY8,AW8,IF(AX1047=AY9,AW9,IF(AX1047=AY10,AW10,IF(AX1047=AY11,AW11,IF(AX1047=AY12,AW12,"ALGO ESTA MAL")))))</f>
        <v>0</v>
      </c>
      <c r="AX1047" s="34" t="str">
        <f>LARGE($AY$8:$AY$12,AV1047)</f>
        <v>0</v>
      </c>
      <c r="AY1047" s="34" t="str">
        <f>IF(AX1047&gt;0.1%,AX1047,"Algo Esta Mal")</f>
        <v>0</v>
      </c>
      <c r="AZ1047" s="33" t="str">
        <f>IF(AY1047=AX1047,AW1047," ")</f>
        <v>0</v>
      </c>
      <c r="BE1047" s="33">
        <v>2</v>
      </c>
      <c r="BF1047" s="33" t="str">
        <f>IF(BG1047=BH8,BF8,IF(BG1047=BH9,BF9,IF(BG1047=BH10,BF10,IF(BG1047=BH11,BF11,IF(BG1047=BH12,BF12,"ALGO ESTA MAL")))))</f>
        <v>0</v>
      </c>
      <c r="BG1047" s="34" t="str">
        <f>LARGE($BH$8:$BH$12,BE1047)</f>
        <v>0</v>
      </c>
      <c r="BH1047" s="34" t="str">
        <f>IF(BG1047&gt;0.1%,BG1047,"Algo Esta Mal")</f>
        <v>0</v>
      </c>
      <c r="BI1047" s="33" t="str">
        <f>IF(BH1047=BG1047,BF1047," ")</f>
        <v>0</v>
      </c>
      <c r="BN1047" s="33">
        <v>2</v>
      </c>
      <c r="BO1047" s="33" t="str">
        <f>IF(BP1047=BQ8,BO8,IF(BP1047=BQ9,BO9,IF(BP1047=BQ10,BO10,IF(BP1047=BQ11,BO11,IF(BP1047=BQ12,BO12,"ALGO ESTA MAL")))))</f>
        <v>0</v>
      </c>
      <c r="BP1047" s="34" t="str">
        <f>LARGE($BQ$8:$BQ$12,BN1047)</f>
        <v>0</v>
      </c>
      <c r="BQ1047" s="34" t="str">
        <f>IF(BP1047&gt;0.1%,BP1047,"Algo Esta Mal")</f>
        <v>0</v>
      </c>
      <c r="BR1047" s="33" t="str">
        <f>IF(BQ1047=BP1047,BO1047," ")</f>
        <v>0</v>
      </c>
      <c r="BW1047" s="33">
        <v>2</v>
      </c>
      <c r="BX1047" s="33" t="str">
        <f>IF(BY1047=BZ8,BX8,IF(BY1047=BZ9,BX9,IF(BY1047=BZ10,BX10,IF(BY1047=BZ11,BX11,IF(BY1047=BZ12,BX12,"ALGO ESTA MAL")))))</f>
        <v>0</v>
      </c>
      <c r="BY1047" s="34" t="str">
        <f>LARGE($BZ$8:$BZ$12,BW1047)</f>
        <v>0</v>
      </c>
      <c r="BZ1047" s="34" t="str">
        <f>IF(BY1047&gt;0.1%,BY1047,"Algo Esta Mal")</f>
        <v>0</v>
      </c>
      <c r="CA1047" s="33" t="str">
        <f>IF(BZ1047=BY1047,BX1047," ")</f>
        <v>0</v>
      </c>
      <c r="CF1047" s="33">
        <v>2</v>
      </c>
      <c r="CG1047" s="33" t="str">
        <f>IF(CH1047=CI8,CG8,IF(CH1047=CI9,CG9,IF(CH1047=CI10,CG10,IF(CH1047=CI11,CG11,IF(CH1047=CI12,CG12,"ALGO ESTA MAL")))))</f>
        <v>0</v>
      </c>
      <c r="CH1047" s="34" t="str">
        <f>LARGE($CI$8:$CI$12,CF1047)</f>
        <v>0</v>
      </c>
      <c r="CI1047" s="34" t="str">
        <f>IF(CH1047&gt;0.1%,CH1047,"Algo Esta Mal")</f>
        <v>0</v>
      </c>
      <c r="CJ1047" s="33" t="str">
        <f>IF(CI1047=CH1047,CG1047," ")</f>
        <v>0</v>
      </c>
      <c r="CO1047" s="33">
        <v>2</v>
      </c>
      <c r="CP1047" s="33" t="str">
        <f>IF(CQ1047=CR8,CP8,IF(CQ1047=CR9,CP9,IF(CQ1047=CR10,CP10,IF(CQ1047=CR11,CP11,IF(CQ1047=CR12,CP12,"ALGO ESTA MAL")))))</f>
        <v>0</v>
      </c>
      <c r="CQ1047" s="34" t="str">
        <f>LARGE($CR$8:$CR$12,CO1047)</f>
        <v>0</v>
      </c>
      <c r="CR1047" s="34" t="str">
        <f>IF(CQ1047&gt;0.1%,CQ1047,"Algo Esta Mal")</f>
        <v>0</v>
      </c>
      <c r="CS1047" s="33" t="str">
        <f>IF(CR1047=CQ1047,CP1047," ")</f>
        <v>0</v>
      </c>
      <c r="CX1047" s="33">
        <v>2</v>
      </c>
      <c r="CY1047" s="33" t="str">
        <f>IF(CZ1047=DA8,CY8,IF(CZ1047=DA9,CY9,IF(CZ1047=DA10,CY10,IF(CZ1047=DA11,CY11,IF(CZ1047=DA12,CY12,"ALGO ESTA MAL")))))</f>
        <v>0</v>
      </c>
      <c r="CZ1047" s="34" t="str">
        <f>LARGE($DA$8:$DA$12,CX1047)</f>
        <v>0</v>
      </c>
      <c r="DA1047" s="34" t="str">
        <f>IF(CZ1047&gt;0.1%,CZ1047,"Algo Esta Mal")</f>
        <v>0</v>
      </c>
      <c r="DB1047" s="33" t="str">
        <f>IF(DA1047=CZ1047,CY1047," ")</f>
        <v>0</v>
      </c>
      <c r="DG1047" s="33">
        <v>2</v>
      </c>
      <c r="DH1047" s="33" t="str">
        <f>IF(DI1047=DJ8,DH8,IF(DI1047=DJ9,DH9,IF(DI1047=DJ10,DH10,IF(DI1047=DJ11,DH11,IF(DI1047=DJ12,DH12,"ALGO ESTA MAL")))))</f>
        <v>0</v>
      </c>
      <c r="DI1047" s="34" t="str">
        <f>LARGE($DJ$8:$DJ$12,DG1047)</f>
        <v>0</v>
      </c>
      <c r="DJ1047" s="34" t="str">
        <f>IF(DI1047&gt;0.1%,DI1047,"Algo Esta Mal")</f>
        <v>0</v>
      </c>
      <c r="DK1047" s="33" t="str">
        <f>IF(DJ1047=DI1047,DH1047," ")</f>
        <v>0</v>
      </c>
      <c r="DP1047" s="33">
        <v>2</v>
      </c>
      <c r="DQ1047" s="33" t="str">
        <f>IF(DR1047=DS8,DQ8,IF(DR1047=DS9,DQ9,IF(DR1047=DS10,DQ10,IF(DR1047=DS11,DQ11,IF(DR1047=DS12,DQ12,"ALGO ESTA MAL")))))</f>
        <v>0</v>
      </c>
      <c r="DR1047" s="34" t="str">
        <f>LARGE($DS$8:$DS$12,DP1047)</f>
        <v>0</v>
      </c>
      <c r="DS1047" s="34" t="str">
        <f>IF(DR1047&gt;0.1%,DR1047,"Algo Esta Mal")</f>
        <v>0</v>
      </c>
      <c r="DT1047" s="33" t="str">
        <f>IF(DS1047=DR1047,DQ1047," ")</f>
        <v>0</v>
      </c>
      <c r="DY1047" s="33">
        <v>2</v>
      </c>
      <c r="DZ1047" s="33" t="str">
        <f>IF(EA1047=EB8,DZ8,IF(EA1047=EB9,DZ9,IF(EA1047=EB10,DZ10,IF(EA1047=EB11,DZ11,IF(EA1047=EB12,DZ12,"ALGO ESTA MAL")))))</f>
        <v>0</v>
      </c>
      <c r="EA1047" s="34" t="str">
        <f>LARGE($EB$8:$EB$12,DY1047)</f>
        <v>0</v>
      </c>
      <c r="EB1047" s="34" t="str">
        <f>IF(EA1047&gt;0.1%,EA1047,"Algo Esta Mal")</f>
        <v>0</v>
      </c>
      <c r="EC1047" s="33" t="str">
        <f>IF(EB1047=EA1047,DZ1047," ")</f>
        <v>0</v>
      </c>
      <c r="EH1047" s="33">
        <v>2</v>
      </c>
      <c r="EI1047" s="33" t="str">
        <f>IF(EJ1047=EK8,EI8,IF(EJ1047=EK9,EI9,IF(EJ1047=EK10,EI10,IF(EJ1047=EK11,EI11,IF(EJ1047=EK12,EI12,"ALGO ESTA MAL")))))</f>
        <v>0</v>
      </c>
      <c r="EJ1047" s="34" t="str">
        <f>LARGE($EK$8:$EK$12,EH1047)</f>
        <v>0</v>
      </c>
      <c r="EK1047" s="34" t="str">
        <f>IF(EJ1047&gt;0.1%,EJ1047,"Algo Esta Mal")</f>
        <v>0</v>
      </c>
      <c r="EL1047" s="33" t="str">
        <f>IF(EK1047=EJ1047,EI1047," ")</f>
        <v>0</v>
      </c>
      <c r="EQ1047" s="33">
        <v>2</v>
      </c>
      <c r="ER1047" s="33" t="str">
        <f>IF(ES1047=ET8,ER8,IF(ES1047=ET9,ER9,IF(ES1047=ET10,ER10,IF(ES1047=ET11,ER11,IF(ES1047=ET12,ER12,"ALGO ESTA MAL")))))</f>
        <v>0</v>
      </c>
      <c r="ES1047" s="34" t="str">
        <f>LARGE($ET$8:$ET$12,EQ1047)</f>
        <v>0</v>
      </c>
      <c r="ET1047" s="34" t="str">
        <f>IF(ES1047&gt;0.1%,ES1047,"Algo Esta Mal")</f>
        <v>0</v>
      </c>
      <c r="EU1047" s="33" t="str">
        <f>IF(ET1047=ES1047,ER1047," ")</f>
        <v>0</v>
      </c>
      <c r="EZ1047" s="33">
        <v>2</v>
      </c>
      <c r="FA1047" s="33" t="str">
        <f>IF(FB1047=FC8,FA8,IF(FB1047=FC9,FA9,IF(FB1047=FC10,FA10,IF(FB1047=FC11,FA11,IF(FB1047=FC12,FA12,"ALGO ESTA MAL")))))</f>
        <v>0</v>
      </c>
      <c r="FB1047" s="34" t="str">
        <f>LARGE($FC$8:$FC$12,EZ1047)</f>
        <v>0</v>
      </c>
      <c r="FC1047" s="34" t="str">
        <f>IF(FB1047&gt;0.1%,FB1047,"Algo Esta Mal")</f>
        <v>0</v>
      </c>
      <c r="FD1047" s="33" t="str">
        <f>IF(FC1047=FB1047,FA1047," ")</f>
        <v>0</v>
      </c>
      <c r="FI1047" s="33">
        <v>2</v>
      </c>
      <c r="FJ1047" s="33" t="str">
        <f>IF(FK1047=FL8,FJ8,IF(FK1047=FL9,FJ9,IF(FK1047=FL10,FJ10,IF(FK1047=FL11,FJ11,IF(FK1047=FL12,FJ12,"ALGO ESTA MAL")))))</f>
        <v>0</v>
      </c>
      <c r="FK1047" s="34" t="str">
        <f>LARGE($FL$8:$FL$12,FI1047)</f>
        <v>0</v>
      </c>
      <c r="FL1047" s="34" t="str">
        <f>IF(FK1047&gt;0.1%,FK1047,"Algo Esta Mal")</f>
        <v>0</v>
      </c>
      <c r="FM1047" s="33" t="str">
        <f>IF(FL1047=FK1047,FJ1047," ")</f>
        <v>0</v>
      </c>
      <c r="FR1047" s="33">
        <v>2</v>
      </c>
      <c r="FS1047" s="33" t="str">
        <f>IF(FT1047=FU8,FS8,IF(FT1047=FU9,FS9,IF(FT1047=FU10,FS10,IF(FT1047=FU11,FS11,IF(FT1047=FU12,FS12,"ALGO ESTA MAL")))))</f>
        <v>0</v>
      </c>
      <c r="FT1047" s="34" t="str">
        <f>LARGE($FU$8:$FU$12,FR1047)</f>
        <v>0</v>
      </c>
      <c r="FU1047" s="34" t="str">
        <f>IF(FT1047&gt;0.1%,FT1047,"Algo Esta Mal")</f>
        <v>0</v>
      </c>
      <c r="FV1047" s="33" t="str">
        <f>IF(FU1047=FT1047,FS1047," ")</f>
        <v>0</v>
      </c>
      <c r="GA1047" s="33">
        <v>2</v>
      </c>
      <c r="GB1047" s="33" t="str">
        <f>IF(GC1047=GD8,GB8,IF(GC1047=GD9,GB9,IF(GC1047=GD10,GB10,IF(GC1047=GD11,GB11,IF(GC1047=GD12,GB12,"ALGO ESTA MAL")))))</f>
        <v>0</v>
      </c>
      <c r="GC1047" s="34" t="str">
        <f>LARGE($GD$8:$GD$12,GA1047)</f>
        <v>0</v>
      </c>
      <c r="GD1047" s="34" t="str">
        <f>IF(GC1047&gt;0.1%,GC1047,"Algo Esta Mal")</f>
        <v>0</v>
      </c>
      <c r="GE1047" s="33" t="str">
        <f>IF(GD1047=GC1047,GB1047," ")</f>
        <v>0</v>
      </c>
      <c r="GJ1047" s="33">
        <v>2</v>
      </c>
      <c r="GK1047" s="33" t="str">
        <f>IF(GL1047=GM8,GK8,IF(GL1047=GM9,GK9,IF(GL1047=GM10,GK10,IF(GL1047=GM11,GK11,IF(GL1047=GM12,GK12,"ALGO ESTA MAL")))))</f>
        <v>0</v>
      </c>
      <c r="GL1047" s="34" t="str">
        <f>LARGE($GM$8:$GM$12,GJ1047)</f>
        <v>0</v>
      </c>
      <c r="GM1047" s="34" t="str">
        <f>IF(GL1047&gt;0.1%,GL1047,"Algo Esta Mal")</f>
        <v>0</v>
      </c>
      <c r="GN1047" s="33" t="str">
        <f>IF(GM1047=GL1047,GK1047," ")</f>
        <v>0</v>
      </c>
    </row>
    <row r="1048" spans="1:197">
      <c r="C1048" s="33">
        <v>3</v>
      </c>
      <c r="D1048" s="33" t="str">
        <f>IF(E1048=F8,D8,IF(E1048=F9,D9,IF(E1048=F10,D10,IF(E1048=F11,D11,IF(E1048=F12,D12,"ALGO ESTA MAL")))))</f>
        <v>0</v>
      </c>
      <c r="E1048" s="34" t="str">
        <f>LARGE($F$8:$F$12,C1048)</f>
        <v>0</v>
      </c>
      <c r="F1048" s="34" t="str">
        <f>IF(E1048&gt;0.1%,E1048,"Algo Esta Mal")</f>
        <v>0</v>
      </c>
      <c r="G1048" s="33" t="str">
        <f>IF(F1048=E1048,D1048," ")</f>
        <v>0</v>
      </c>
      <c r="L1048" s="33">
        <v>3</v>
      </c>
      <c r="M1048" s="33" t="str">
        <f>IF(N1048=O8,M8,IF(N1048=O9,M9,IF(N1048=O10,M10,IF(N1048=O11,M11,IF(N1048=O12,M12,"ALGO ESTA MAL")))))</f>
        <v>0</v>
      </c>
      <c r="N1048" s="34" t="str">
        <f>LARGE($O$8:$O$12,L1048)</f>
        <v>0</v>
      </c>
      <c r="O1048" s="34" t="str">
        <f>IF(N1048&gt;0.1%,N1048,"Algo Esta Mal")</f>
        <v>0</v>
      </c>
      <c r="P1048" s="33" t="str">
        <f>IF(O1048=N1048,M1048," ")</f>
        <v>0</v>
      </c>
      <c r="U1048" s="33">
        <v>3</v>
      </c>
      <c r="V1048" s="33" t="str">
        <f>IF(W1048=X8,V8,IF(W1048=X9,V9,IF(W1048=X10,V10,IF(W1048=X11,V11,IF(W1048=X12,V12,"ALGO ESTA MAL")))))</f>
        <v>0</v>
      </c>
      <c r="W1048" s="34" t="str">
        <f>LARGE($X$8:$X$12,U1048)</f>
        <v>0</v>
      </c>
      <c r="X1048" s="34" t="str">
        <f>IF(W1048&gt;0.1%,W1048,"Algo Esta Mal")</f>
        <v>0</v>
      </c>
      <c r="Y1048" s="33" t="str">
        <f>IF(X1048=W1048,V1048," ")</f>
        <v>0</v>
      </c>
      <c r="AD1048" s="33">
        <v>3</v>
      </c>
      <c r="AE1048" s="33" t="str">
        <f>IF(AF1048=AG8,AE8,IF(AF1048=AG9,AE9,IF(AF1048=AG10,AE10,IF(AF1048=AG11,AE11,IF(AF1048=AG12,AE12,"ALGO ESTA MAL")))))</f>
        <v>0</v>
      </c>
      <c r="AF1048" s="34" t="str">
        <f>LARGE($AG$8:$AG$12,AD1048)</f>
        <v>0</v>
      </c>
      <c r="AG1048" s="34" t="str">
        <f>IF(AF1048&gt;0.1%,AF1048,"Algo Esta Mal")</f>
        <v>0</v>
      </c>
      <c r="AH1048" s="33" t="str">
        <f>IF(AG1048=AF1048,AE1048," ")</f>
        <v>0</v>
      </c>
      <c r="AM1048" s="33">
        <v>3</v>
      </c>
      <c r="AN1048" s="33" t="str">
        <f>IF(AO1048=AP8,AN8,IF(AO1048=AP9,AN9,IF(AO1048=AP10,AN10,IF(AO1048=AP11,AN11,IF(AO1048=AP12,AN12,"ALGO ESTA MAL")))))</f>
        <v>0</v>
      </c>
      <c r="AO1048" s="34" t="str">
        <f>LARGE($AP$8:$AP$12,AM1048)</f>
        <v>0</v>
      </c>
      <c r="AP1048" s="34" t="str">
        <f>IF(AO1048&gt;0.1%,AO1048,"Algo Esta Mal")</f>
        <v>0</v>
      </c>
      <c r="AQ1048" s="33" t="str">
        <f>IF(AP1048=AO1048,AN1048," ")</f>
        <v>0</v>
      </c>
      <c r="AV1048" s="33">
        <v>3</v>
      </c>
      <c r="AW1048" s="33" t="str">
        <f>IF(AX1048=AY8,AW8,IF(AX1048=AY9,AW9,IF(AX1048=AY10,AW10,IF(AX1048=AY11,AW11,IF(AX1048=AY12,AW12,"ALGO ESTA MAL")))))</f>
        <v>0</v>
      </c>
      <c r="AX1048" s="34" t="str">
        <f>LARGE($AY$8:$AY$12,AV1048)</f>
        <v>0</v>
      </c>
      <c r="AY1048" s="34" t="str">
        <f>IF(AX1048&gt;0.1%,AX1048,"Algo Esta Mal")</f>
        <v>0</v>
      </c>
      <c r="AZ1048" s="33" t="str">
        <f>IF(AY1048=AX1048,AW1048," ")</f>
        <v>0</v>
      </c>
      <c r="BE1048" s="33">
        <v>3</v>
      </c>
      <c r="BF1048" s="33" t="str">
        <f>IF(BG1048=BH8,BF8,IF(BG1048=BH9,BF9,IF(BG1048=BH10,BF10,IF(BG1048=BH11,BF11,IF(BG1048=BH12,BF12,"ALGO ESTA MAL")))))</f>
        <v>0</v>
      </c>
      <c r="BG1048" s="34" t="str">
        <f>LARGE($BH$8:$BH$12,BE1048)</f>
        <v>0</v>
      </c>
      <c r="BH1048" s="34" t="str">
        <f>IF(BG1048&gt;0.1%,BG1048,"Algo Esta Mal")</f>
        <v>0</v>
      </c>
      <c r="BI1048" s="33" t="str">
        <f>IF(BH1048=BG1048,BF1048," ")</f>
        <v>0</v>
      </c>
      <c r="BN1048" s="33">
        <v>3</v>
      </c>
      <c r="BO1048" s="33" t="str">
        <f>IF(BP1048=BQ8,BO8,IF(BP1048=BQ9,BO9,IF(BP1048=BQ10,BO10,IF(BP1048=BQ11,BO11,IF(BP1048=BQ12,BO12,"ALGO ESTA MAL")))))</f>
        <v>0</v>
      </c>
      <c r="BP1048" s="34" t="str">
        <f>LARGE($BQ$8:$BQ$12,BN1048)</f>
        <v>0</v>
      </c>
      <c r="BQ1048" s="34" t="str">
        <f>IF(BP1048&gt;0.1%,BP1048,"Algo Esta Mal")</f>
        <v>0</v>
      </c>
      <c r="BR1048" s="33" t="str">
        <f>IF(BQ1048=BP1048,BO1048," ")</f>
        <v>0</v>
      </c>
      <c r="BW1048" s="33">
        <v>3</v>
      </c>
      <c r="BX1048" s="33" t="str">
        <f>IF(BY1048=BZ8,BX8,IF(BY1048=BZ9,BX9,IF(BY1048=BZ10,BX10,IF(BY1048=BZ11,BX11,IF(BY1048=BZ12,BX12,"ALGO ESTA MAL")))))</f>
        <v>0</v>
      </c>
      <c r="BY1048" s="34" t="str">
        <f>LARGE($BZ$8:$BZ$12,BW1048)</f>
        <v>0</v>
      </c>
      <c r="BZ1048" s="34" t="str">
        <f>IF(BY1048&gt;0.1%,BY1048,"Algo Esta Mal")</f>
        <v>0</v>
      </c>
      <c r="CA1048" s="33" t="str">
        <f>IF(BZ1048=BY1048,BX1048," ")</f>
        <v>0</v>
      </c>
      <c r="CF1048" s="33">
        <v>3</v>
      </c>
      <c r="CG1048" s="33" t="str">
        <f>IF(CH1048=CI8,CG8,IF(CH1048=CI9,CG9,IF(CH1048=CI10,CG10,IF(CH1048=CI11,CG11,IF(CH1048=CI12,CG12,"ALGO ESTA MAL")))))</f>
        <v>0</v>
      </c>
      <c r="CH1048" s="34" t="str">
        <f>LARGE($CI$8:$CI$12,CF1048)</f>
        <v>0</v>
      </c>
      <c r="CI1048" s="34" t="str">
        <f>IF(CH1048&gt;0.1%,CH1048,"Algo Esta Mal")</f>
        <v>0</v>
      </c>
      <c r="CJ1048" s="33" t="str">
        <f>IF(CI1048=CH1048,CG1048," ")</f>
        <v>0</v>
      </c>
      <c r="CO1048" s="33">
        <v>3</v>
      </c>
      <c r="CP1048" s="33" t="str">
        <f>IF(CQ1048=CR8,CP8,IF(CQ1048=CR9,CP9,IF(CQ1048=CR10,CP10,IF(CQ1048=CR11,CP11,IF(CQ1048=CR12,CP12,"ALGO ESTA MAL")))))</f>
        <v>0</v>
      </c>
      <c r="CQ1048" s="34" t="str">
        <f>LARGE($CR$8:$CR$12,CO1048)</f>
        <v>0</v>
      </c>
      <c r="CR1048" s="34" t="str">
        <f>IF(CQ1048&gt;0.1%,CQ1048,"Algo Esta Mal")</f>
        <v>0</v>
      </c>
      <c r="CS1048" s="33" t="str">
        <f>IF(CR1048=CQ1048,CP1048," ")</f>
        <v>0</v>
      </c>
      <c r="CX1048" s="33">
        <v>3</v>
      </c>
      <c r="CY1048" s="33" t="str">
        <f>IF(CZ1048=DA8,CY8,IF(CZ1048=DA9,CY9,IF(CZ1048=DA10,CY10,IF(CZ1048=DA11,CY11,IF(CZ1048=DA12,CY12,"ALGO ESTA MAL")))))</f>
        <v>0</v>
      </c>
      <c r="CZ1048" s="34" t="str">
        <f>LARGE($DA$8:$DA$12,CX1048)</f>
        <v>0</v>
      </c>
      <c r="DA1048" s="34" t="str">
        <f>IF(CZ1048&gt;0.1%,CZ1048,"Algo Esta Mal")</f>
        <v>0</v>
      </c>
      <c r="DB1048" s="33" t="str">
        <f>IF(DA1048=CZ1048,CY1048," ")</f>
        <v>0</v>
      </c>
      <c r="DG1048" s="33">
        <v>3</v>
      </c>
      <c r="DH1048" s="33" t="str">
        <f>IF(DI1048=DJ8,DH8,IF(DI1048=DJ9,DH9,IF(DI1048=DJ10,DH10,IF(DI1048=DJ11,DH11,IF(DI1048=DJ12,DH12,"ALGO ESTA MAL")))))</f>
        <v>0</v>
      </c>
      <c r="DI1048" s="34" t="str">
        <f>LARGE($DJ$8:$DJ$12,DG1048)</f>
        <v>0</v>
      </c>
      <c r="DJ1048" s="34" t="str">
        <f>IF(DI1048&gt;0.1%,DI1048,"Algo Esta Mal")</f>
        <v>0</v>
      </c>
      <c r="DK1048" s="33" t="str">
        <f>IF(DJ1048=DI1048,DH1048," ")</f>
        <v>0</v>
      </c>
      <c r="DP1048" s="33">
        <v>3</v>
      </c>
      <c r="DQ1048" s="33" t="str">
        <f>IF(DR1048=DS8,DQ8,IF(DR1048=DS9,DQ9,IF(DR1048=DS10,DQ10,IF(DR1048=DS11,DQ11,IF(DR1048=DS12,DQ12,"ALGO ESTA MAL")))))</f>
        <v>0</v>
      </c>
      <c r="DR1048" s="34" t="str">
        <f>LARGE($DS$8:$DS$12,DP1048)</f>
        <v>0</v>
      </c>
      <c r="DS1048" s="34" t="str">
        <f>IF(DR1048&gt;0.1%,DR1048,"Algo Esta Mal")</f>
        <v>0</v>
      </c>
      <c r="DT1048" s="33" t="str">
        <f>IF(DS1048=DR1048,DQ1048," ")</f>
        <v>0</v>
      </c>
      <c r="DY1048" s="33">
        <v>3</v>
      </c>
      <c r="DZ1048" s="33" t="str">
        <f>IF(EA1048=EB8,DZ8,IF(EA1048=EB9,DZ9,IF(EA1048=EB10,DZ10,IF(EA1048=EB11,DZ11,IF(EA1048=EB12,DZ12,"ALGO ESTA MAL")))))</f>
        <v>0</v>
      </c>
      <c r="EA1048" s="34" t="str">
        <f>LARGE($EB$8:$EB$12,DY1048)</f>
        <v>0</v>
      </c>
      <c r="EB1048" s="34" t="str">
        <f>IF(EA1048&gt;0.1%,EA1048,"Algo Esta Mal")</f>
        <v>0</v>
      </c>
      <c r="EC1048" s="33" t="str">
        <f>IF(EB1048=EA1048,DZ1048," ")</f>
        <v>0</v>
      </c>
      <c r="EH1048" s="33">
        <v>3</v>
      </c>
      <c r="EI1048" s="33" t="str">
        <f>IF(EJ1048=EK8,EI8,IF(EJ1048=EK9,EI9,IF(EJ1048=EK10,EI10,IF(EJ1048=EK11,EI11,IF(EJ1048=EK12,EI12,"ALGO ESTA MAL")))))</f>
        <v>0</v>
      </c>
      <c r="EJ1048" s="34" t="str">
        <f>LARGE($EK$8:$EK$12,EH1048)</f>
        <v>0</v>
      </c>
      <c r="EK1048" s="34" t="str">
        <f>IF(EJ1048&gt;0.1%,EJ1048,"Algo Esta Mal")</f>
        <v>0</v>
      </c>
      <c r="EL1048" s="33" t="str">
        <f>IF(EK1048=EJ1048,EI1048," ")</f>
        <v>0</v>
      </c>
      <c r="EQ1048" s="33">
        <v>3</v>
      </c>
      <c r="ER1048" s="33" t="str">
        <f>IF(ES1048=ET8,ER8,IF(ES1048=ET9,ER9,IF(ES1048=ET10,ER10,IF(ES1048=ET11,ER11,IF(ES1048=ET12,ER12,"ALGO ESTA MAL")))))</f>
        <v>0</v>
      </c>
      <c r="ES1048" s="34" t="str">
        <f>LARGE($ET$8:$ET$12,EQ1048)</f>
        <v>0</v>
      </c>
      <c r="ET1048" s="34" t="str">
        <f>IF(ES1048&gt;0.1%,ES1048,"Algo Esta Mal")</f>
        <v>0</v>
      </c>
      <c r="EU1048" s="33" t="str">
        <f>IF(ET1048=ES1048,ER1048," ")</f>
        <v>0</v>
      </c>
      <c r="EZ1048" s="33">
        <v>3</v>
      </c>
      <c r="FA1048" s="33" t="str">
        <f>IF(FB1048=FC8,FA8,IF(FB1048=FC9,FA9,IF(FB1048=FC10,FA10,IF(FB1048=FC11,FA11,IF(FB1048=FC12,FA12,"ALGO ESTA MAL")))))</f>
        <v>0</v>
      </c>
      <c r="FB1048" s="34" t="str">
        <f>LARGE($FC$8:$FC$12,EZ1048)</f>
        <v>0</v>
      </c>
      <c r="FC1048" s="34" t="str">
        <f>IF(FB1048&gt;0.1%,FB1048,"Algo Esta Mal")</f>
        <v>0</v>
      </c>
      <c r="FD1048" s="33" t="str">
        <f>IF(FC1048=FB1048,FA1048," ")</f>
        <v>0</v>
      </c>
      <c r="FI1048" s="33">
        <v>3</v>
      </c>
      <c r="FJ1048" s="33" t="str">
        <f>IF(FK1048=FL8,FJ8,IF(FK1048=FL9,FJ9,IF(FK1048=FL10,FJ10,IF(FK1048=FL11,FJ11,IF(FK1048=FL12,FJ12,"ALGO ESTA MAL")))))</f>
        <v>0</v>
      </c>
      <c r="FK1048" s="34" t="str">
        <f>LARGE($FL$8:$FL$12,FI1048)</f>
        <v>0</v>
      </c>
      <c r="FL1048" s="34" t="str">
        <f>IF(FK1048&gt;0.1%,FK1048,"Algo Esta Mal")</f>
        <v>0</v>
      </c>
      <c r="FM1048" s="33" t="str">
        <f>IF(FL1048=FK1048,FJ1048," ")</f>
        <v>0</v>
      </c>
      <c r="FR1048" s="33">
        <v>3</v>
      </c>
      <c r="FS1048" s="33" t="str">
        <f>IF(FT1048=FU8,FS8,IF(FT1048=FU9,FS9,IF(FT1048=FU10,FS10,IF(FT1048=FU11,FS11,IF(FT1048=FU12,FS12,"ALGO ESTA MAL")))))</f>
        <v>0</v>
      </c>
      <c r="FT1048" s="34" t="str">
        <f>LARGE($FU$8:$FU$12,FR1048)</f>
        <v>0</v>
      </c>
      <c r="FU1048" s="34" t="str">
        <f>IF(FT1048&gt;0.1%,FT1048,"Algo Esta Mal")</f>
        <v>0</v>
      </c>
      <c r="FV1048" s="33" t="str">
        <f>IF(FU1048=FT1048,FS1048," ")</f>
        <v>0</v>
      </c>
      <c r="GA1048" s="33">
        <v>3</v>
      </c>
      <c r="GB1048" s="33" t="str">
        <f>IF(GC1048=GD8,GB8,IF(GC1048=GD9,GB9,IF(GC1048=GD10,GB10,IF(GC1048=GD11,GB11,IF(GC1048=GD12,GB12,"ALGO ESTA MAL")))))</f>
        <v>0</v>
      </c>
      <c r="GC1048" s="34" t="str">
        <f>LARGE($GD$8:$GD$12,GA1048)</f>
        <v>0</v>
      </c>
      <c r="GD1048" s="34" t="str">
        <f>IF(GC1048&gt;0.1%,GC1048,"Algo Esta Mal")</f>
        <v>0</v>
      </c>
      <c r="GE1048" s="33" t="str">
        <f>IF(GD1048=GC1048,GB1048," ")</f>
        <v>0</v>
      </c>
      <c r="GJ1048" s="33">
        <v>3</v>
      </c>
      <c r="GK1048" s="33" t="str">
        <f>IF(GL1048=GM8,GK8,IF(GL1048=GM9,GK9,IF(GL1048=GM10,GK10,IF(GL1048=GM11,GK11,IF(GL1048=GM12,GK12,"ALGO ESTA MAL")))))</f>
        <v>0</v>
      </c>
      <c r="GL1048" s="34" t="str">
        <f>LARGE($GM$8:$GM$12,GJ1048)</f>
        <v>0</v>
      </c>
      <c r="GM1048" s="34" t="str">
        <f>IF(GL1048&gt;0.1%,GL1048,"Algo Esta Mal")</f>
        <v>0</v>
      </c>
      <c r="GN1048" s="33" t="str">
        <f>IF(GM1048=GL1048,GK1048," ")</f>
        <v>0</v>
      </c>
    </row>
    <row r="1049" spans="1:197">
      <c r="C1049" s="33">
        <v>4</v>
      </c>
      <c r="D1049" s="33" t="str">
        <f>IF(E1049=F8,D8,IF(E1049=F9,D9,IF(E1049=F10,D10,IF(E1049=F11,D11,IF(E1049=F12,D12,"ALGO ESTA MAL")))))</f>
        <v>0</v>
      </c>
      <c r="E1049" s="34" t="str">
        <f>LARGE($F$8:$F$12,C1049)</f>
        <v>0</v>
      </c>
      <c r="F1049" s="34" t="str">
        <f>IF(E1049&gt;0.1%,E1049,"Algo Esta Mal")</f>
        <v>0</v>
      </c>
      <c r="G1049" s="33" t="str">
        <f>IF(F1049=E1049,D1049," ")</f>
        <v>0</v>
      </c>
      <c r="L1049" s="33">
        <v>4</v>
      </c>
      <c r="M1049" s="33" t="str">
        <f>IF(N1049=O8,M8,IF(N1049=O9,M9,IF(N1049=O10,M10,IF(N1049=O11,M11,IF(N1049=O12,M12,"ALGO ESTA MAL")))))</f>
        <v>0</v>
      </c>
      <c r="N1049" s="34" t="str">
        <f>LARGE($O$8:$O$12,L1049)</f>
        <v>0</v>
      </c>
      <c r="O1049" s="34" t="str">
        <f>IF(N1049&gt;0.1%,N1049,"Algo Esta Mal")</f>
        <v>0</v>
      </c>
      <c r="P1049" s="33" t="str">
        <f>IF(O1049=N1049,M1049," ")</f>
        <v>0</v>
      </c>
      <c r="U1049" s="33">
        <v>4</v>
      </c>
      <c r="V1049" s="33" t="str">
        <f>IF(W1049=X8,V8,IF(W1049=X9,V9,IF(W1049=X10,V10,IF(W1049=X11,V11,IF(W1049=X12,V12,"ALGO ESTA MAL")))))</f>
        <v>0</v>
      </c>
      <c r="W1049" s="34" t="str">
        <f>LARGE($X$8:$X$12,U1049)</f>
        <v>0</v>
      </c>
      <c r="X1049" s="34" t="str">
        <f>IF(W1049&gt;0.1%,W1049,"Algo Esta Mal")</f>
        <v>0</v>
      </c>
      <c r="Y1049" s="33" t="str">
        <f>IF(X1049=W1049,V1049," ")</f>
        <v>0</v>
      </c>
      <c r="AD1049" s="33">
        <v>4</v>
      </c>
      <c r="AE1049" s="33" t="str">
        <f>IF(AF1049=AG8,AE8,IF(AF1049=AG9,AE9,IF(AF1049=AG10,AE10,IF(AF1049=AG11,AE11,IF(AF1049=AG12,AE12,"ALGO ESTA MAL")))))</f>
        <v>0</v>
      </c>
      <c r="AF1049" s="34" t="str">
        <f>LARGE($AG$8:$AG$12,AD1049)</f>
        <v>0</v>
      </c>
      <c r="AG1049" s="34" t="str">
        <f>IF(AF1049&gt;0.1%,AF1049,"Algo Esta Mal")</f>
        <v>0</v>
      </c>
      <c r="AH1049" s="33" t="str">
        <f>IF(AG1049=AF1049,AE1049," ")</f>
        <v>0</v>
      </c>
      <c r="AM1049" s="33">
        <v>4</v>
      </c>
      <c r="AN1049" s="33" t="str">
        <f>IF(AO1049=AP8,AN8,IF(AO1049=AP9,AN9,IF(AO1049=AP10,AN10,IF(AO1049=AP11,AN11,IF(AO1049=AP12,AN12,"ALGO ESTA MAL")))))</f>
        <v>0</v>
      </c>
      <c r="AO1049" s="34" t="str">
        <f>LARGE($AP$8:$AP$12,AM1049)</f>
        <v>0</v>
      </c>
      <c r="AP1049" s="34" t="str">
        <f>IF(AO1049&gt;0.1%,AO1049,"Algo Esta Mal")</f>
        <v>0</v>
      </c>
      <c r="AQ1049" s="33" t="str">
        <f>IF(AP1049=AO1049,AN1049," ")</f>
        <v>0</v>
      </c>
      <c r="AV1049" s="33">
        <v>4</v>
      </c>
      <c r="AW1049" s="33" t="str">
        <f>IF(AX1049=AY8,AW8,IF(AX1049=AY9,AW9,IF(AX1049=AY10,AW10,IF(AX1049=AY11,AW11,IF(AX1049=AY12,AW12,"ALGO ESTA MAL")))))</f>
        <v>0</v>
      </c>
      <c r="AX1049" s="34" t="str">
        <f>LARGE($AY$8:$AY$12,AV1049)</f>
        <v>0</v>
      </c>
      <c r="AY1049" s="34" t="str">
        <f>IF(AX1049&gt;0.1%,AX1049,"Algo Esta Mal")</f>
        <v>0</v>
      </c>
      <c r="AZ1049" s="33" t="str">
        <f>IF(AY1049=AX1049,AW1049," ")</f>
        <v>0</v>
      </c>
      <c r="BE1049" s="33">
        <v>4</v>
      </c>
      <c r="BF1049" s="33" t="str">
        <f>IF(BG1049=BH8,BF8,IF(BG1049=BH9,BF9,IF(BG1049=BH10,BF10,IF(BG1049=BH11,BF11,IF(BG1049=BH12,BF12,"ALGO ESTA MAL")))))</f>
        <v>0</v>
      </c>
      <c r="BG1049" s="34" t="str">
        <f>LARGE($BH$8:$BH$12,BE1049)</f>
        <v>0</v>
      </c>
      <c r="BH1049" s="34" t="str">
        <f>IF(BG1049&gt;0.1%,BG1049,"Algo Esta Mal")</f>
        <v>0</v>
      </c>
      <c r="BI1049" s="33" t="str">
        <f>IF(BH1049=BG1049,BF1049," ")</f>
        <v>0</v>
      </c>
      <c r="BN1049" s="33">
        <v>4</v>
      </c>
      <c r="BO1049" s="33" t="str">
        <f>IF(BP1049=BQ8,BO8,IF(BP1049=BQ9,BO9,IF(BP1049=BQ10,BO10,IF(BP1049=BQ11,BO11,IF(BP1049=BQ12,BO12,"ALGO ESTA MAL")))))</f>
        <v>0</v>
      </c>
      <c r="BP1049" s="34" t="str">
        <f>LARGE($BQ$8:$BQ$12,BN1049)</f>
        <v>0</v>
      </c>
      <c r="BQ1049" s="34" t="str">
        <f>IF(BP1049&gt;0.1%,BP1049,"Algo Esta Mal")</f>
        <v>0</v>
      </c>
      <c r="BR1049" s="33" t="str">
        <f>IF(BQ1049=BP1049,BO1049," ")</f>
        <v>0</v>
      </c>
      <c r="BW1049" s="33">
        <v>4</v>
      </c>
      <c r="BX1049" s="33" t="str">
        <f>IF(BY1049=BZ8,BX8,IF(BY1049=BZ9,BX9,IF(BY1049=BZ10,BX10,IF(BY1049=BZ11,BX11,IF(BY1049=BZ12,BX12,"ALGO ESTA MAL")))))</f>
        <v>0</v>
      </c>
      <c r="BY1049" s="34" t="str">
        <f>LARGE($BZ$8:$BZ$12,BW1049)</f>
        <v>0</v>
      </c>
      <c r="BZ1049" s="34" t="str">
        <f>IF(BY1049&gt;0.1%,BY1049,"Algo Esta Mal")</f>
        <v>0</v>
      </c>
      <c r="CA1049" s="33" t="str">
        <f>IF(BZ1049=BY1049,BX1049," ")</f>
        <v>0</v>
      </c>
      <c r="CF1049" s="33">
        <v>4</v>
      </c>
      <c r="CG1049" s="33" t="str">
        <f>IF(CH1049=CI8,CG8,IF(CH1049=CI9,CG9,IF(CH1049=CI10,CG10,IF(CH1049=CI11,CG11,IF(CH1049=CI12,CG12,"ALGO ESTA MAL")))))</f>
        <v>0</v>
      </c>
      <c r="CH1049" s="34" t="str">
        <f>LARGE($CI$8:$CI$12,CF1049)</f>
        <v>0</v>
      </c>
      <c r="CI1049" s="34" t="str">
        <f>IF(CH1049&gt;0.1%,CH1049,"Algo Esta Mal")</f>
        <v>0</v>
      </c>
      <c r="CJ1049" s="33" t="str">
        <f>IF(CI1049=CH1049,CG1049," ")</f>
        <v>0</v>
      </c>
      <c r="CO1049" s="33">
        <v>4</v>
      </c>
      <c r="CP1049" s="33" t="str">
        <f>IF(CQ1049=CR8,CP8,IF(CQ1049=CR9,CP9,IF(CQ1049=CR10,CP10,IF(CQ1049=CR11,CP11,IF(CQ1049=CR12,CP12,"ALGO ESTA MAL")))))</f>
        <v>0</v>
      </c>
      <c r="CQ1049" s="34" t="str">
        <f>LARGE($CR$8:$CR$12,CO1049)</f>
        <v>0</v>
      </c>
      <c r="CR1049" s="34" t="str">
        <f>IF(CQ1049&gt;0.1%,CQ1049,"Algo Esta Mal")</f>
        <v>0</v>
      </c>
      <c r="CS1049" s="33" t="str">
        <f>IF(CR1049=CQ1049,CP1049," ")</f>
        <v>0</v>
      </c>
      <c r="CX1049" s="33">
        <v>4</v>
      </c>
      <c r="CY1049" s="33" t="str">
        <f>IF(CZ1049=DA8,CY8,IF(CZ1049=DA9,CY9,IF(CZ1049=DA10,CY10,IF(CZ1049=DA11,CY11,IF(CZ1049=DA12,CY12,"ALGO ESTA MAL")))))</f>
        <v>0</v>
      </c>
      <c r="CZ1049" s="34" t="str">
        <f>LARGE($DA$8:$DA$12,CX1049)</f>
        <v>0</v>
      </c>
      <c r="DA1049" s="34" t="str">
        <f>IF(CZ1049&gt;0.1%,CZ1049,"Algo Esta Mal")</f>
        <v>0</v>
      </c>
      <c r="DB1049" s="33" t="str">
        <f>IF(DA1049=CZ1049,CY1049," ")</f>
        <v>0</v>
      </c>
      <c r="DG1049" s="33">
        <v>4</v>
      </c>
      <c r="DH1049" s="33" t="str">
        <f>IF(DI1049=DJ8,DH8,IF(DI1049=DJ9,DH9,IF(DI1049=DJ10,DH10,IF(DI1049=DJ11,DH11,IF(DI1049=DJ12,DH12,"ALGO ESTA MAL")))))</f>
        <v>0</v>
      </c>
      <c r="DI1049" s="34" t="str">
        <f>LARGE($DJ$8:$DJ$12,DG1049)</f>
        <v>0</v>
      </c>
      <c r="DJ1049" s="34" t="str">
        <f>IF(DI1049&gt;0.1%,DI1049,"Algo Esta Mal")</f>
        <v>0</v>
      </c>
      <c r="DK1049" s="33" t="str">
        <f>IF(DJ1049=DI1049,DH1049," ")</f>
        <v>0</v>
      </c>
      <c r="DP1049" s="33">
        <v>4</v>
      </c>
      <c r="DQ1049" s="33" t="str">
        <f>IF(DR1049=DS8,DQ8,IF(DR1049=DS9,DQ9,IF(DR1049=DS10,DQ10,IF(DR1049=DS11,DQ11,IF(DR1049=DS12,DQ12,"ALGO ESTA MAL")))))</f>
        <v>0</v>
      </c>
      <c r="DR1049" s="34" t="str">
        <f>LARGE($DS$8:$DS$12,DP1049)</f>
        <v>0</v>
      </c>
      <c r="DS1049" s="34" t="str">
        <f>IF(DR1049&gt;0.1%,DR1049,"Algo Esta Mal")</f>
        <v>0</v>
      </c>
      <c r="DT1049" s="33" t="str">
        <f>IF(DS1049=DR1049,DQ1049," ")</f>
        <v>0</v>
      </c>
      <c r="DY1049" s="33">
        <v>4</v>
      </c>
      <c r="DZ1049" s="33" t="str">
        <f>IF(EA1049=EB8,DZ8,IF(EA1049=EB9,DZ9,IF(EA1049=EB10,DZ10,IF(EA1049=EB11,DZ11,IF(EA1049=EB12,DZ12,"ALGO ESTA MAL")))))</f>
        <v>0</v>
      </c>
      <c r="EA1049" s="34" t="str">
        <f>LARGE($EB$8:$EB$12,DY1049)</f>
        <v>0</v>
      </c>
      <c r="EB1049" s="34" t="str">
        <f>IF(EA1049&gt;0.1%,EA1049,"Algo Esta Mal")</f>
        <v>0</v>
      </c>
      <c r="EC1049" s="33" t="str">
        <f>IF(EB1049=EA1049,DZ1049," ")</f>
        <v>0</v>
      </c>
      <c r="EH1049" s="33">
        <v>4</v>
      </c>
      <c r="EI1049" s="33" t="str">
        <f>IF(EJ1049=EK8,EI8,IF(EJ1049=EK9,EI9,IF(EJ1049=EK10,EI10,IF(EJ1049=EK11,EI11,IF(EJ1049=EK12,EI12,"ALGO ESTA MAL")))))</f>
        <v>0</v>
      </c>
      <c r="EJ1049" s="34" t="str">
        <f>LARGE($EK$8:$EK$12,EH1049)</f>
        <v>0</v>
      </c>
      <c r="EK1049" s="34" t="str">
        <f>IF(EJ1049&gt;0.1%,EJ1049,"Algo Esta Mal")</f>
        <v>0</v>
      </c>
      <c r="EL1049" s="33" t="str">
        <f>IF(EK1049=EJ1049,EI1049," ")</f>
        <v>0</v>
      </c>
      <c r="EQ1049" s="33">
        <v>4</v>
      </c>
      <c r="ER1049" s="33" t="str">
        <f>IF(ES1049=ET8,ER8,IF(ES1049=ET9,ER9,IF(ES1049=ET10,ER10,IF(ES1049=ET11,ER11,IF(ES1049=ET12,ER12,"ALGO ESTA MAL")))))</f>
        <v>0</v>
      </c>
      <c r="ES1049" s="34" t="str">
        <f>LARGE($ET$8:$ET$12,EQ1049)</f>
        <v>0</v>
      </c>
      <c r="ET1049" s="34" t="str">
        <f>IF(ES1049&gt;0.1%,ES1049,"Algo Esta Mal")</f>
        <v>0</v>
      </c>
      <c r="EU1049" s="33" t="str">
        <f>IF(ET1049=ES1049,ER1049," ")</f>
        <v>0</v>
      </c>
      <c r="EZ1049" s="33">
        <v>4</v>
      </c>
      <c r="FA1049" s="33" t="str">
        <f>IF(FB1049=FC8,FA8,IF(FB1049=FC9,FA9,IF(FB1049=FC10,FA10,IF(FB1049=FC11,FA11,IF(FB1049=FC12,FA12,"ALGO ESTA MAL")))))</f>
        <v>0</v>
      </c>
      <c r="FB1049" s="34" t="str">
        <f>LARGE($FC$8:$FC$12,EZ1049)</f>
        <v>0</v>
      </c>
      <c r="FC1049" s="34" t="str">
        <f>IF(FB1049&gt;0.1%,FB1049,"Algo Esta Mal")</f>
        <v>0</v>
      </c>
      <c r="FD1049" s="33" t="str">
        <f>IF(FC1049=FB1049,FA1049," ")</f>
        <v>0</v>
      </c>
      <c r="FI1049" s="33">
        <v>4</v>
      </c>
      <c r="FJ1049" s="33" t="str">
        <f>IF(FK1049=FL8,FJ8,IF(FK1049=FL9,FJ9,IF(FK1049=FL10,FJ10,IF(FK1049=FL11,FJ11,IF(FK1049=FL12,FJ12,"ALGO ESTA MAL")))))</f>
        <v>0</v>
      </c>
      <c r="FK1049" s="34" t="str">
        <f>LARGE($FL$8:$FL$12,FI1049)</f>
        <v>0</v>
      </c>
      <c r="FL1049" s="34" t="str">
        <f>IF(FK1049&gt;0.1%,FK1049,"Algo Esta Mal")</f>
        <v>0</v>
      </c>
      <c r="FM1049" s="33" t="str">
        <f>IF(FL1049=FK1049,FJ1049," ")</f>
        <v>0</v>
      </c>
      <c r="FR1049" s="33">
        <v>4</v>
      </c>
      <c r="FS1049" s="33" t="str">
        <f>IF(FT1049=FU8,FS8,IF(FT1049=FU9,FS9,IF(FT1049=FU10,FS10,IF(FT1049=FU11,FS11,IF(FT1049=FU12,FS12,"ALGO ESTA MAL")))))</f>
        <v>0</v>
      </c>
      <c r="FT1049" s="34" t="str">
        <f>LARGE($FU$8:$FU$12,FR1049)</f>
        <v>0</v>
      </c>
      <c r="FU1049" s="34" t="str">
        <f>IF(FT1049&gt;0.1%,FT1049,"Algo Esta Mal")</f>
        <v>0</v>
      </c>
      <c r="FV1049" s="33" t="str">
        <f>IF(FU1049=FT1049,FS1049," ")</f>
        <v>0</v>
      </c>
      <c r="GA1049" s="33">
        <v>4</v>
      </c>
      <c r="GB1049" s="33" t="str">
        <f>IF(GC1049=GD8,GB8,IF(GC1049=GD9,GB9,IF(GC1049=GD10,GB10,IF(GC1049=GD11,GB11,IF(GC1049=GD12,GB12,"ALGO ESTA MAL")))))</f>
        <v>0</v>
      </c>
      <c r="GC1049" s="34" t="str">
        <f>LARGE($GD$8:$GD$12,GA1049)</f>
        <v>0</v>
      </c>
      <c r="GD1049" s="34" t="str">
        <f>IF(GC1049&gt;0.1%,GC1049,"Algo Esta Mal")</f>
        <v>0</v>
      </c>
      <c r="GE1049" s="33" t="str">
        <f>IF(GD1049=GC1049,GB1049," ")</f>
        <v>0</v>
      </c>
      <c r="GJ1049" s="33">
        <v>4</v>
      </c>
      <c r="GK1049" s="33" t="str">
        <f>IF(GL1049=GM8,GK8,IF(GL1049=GM9,GK9,IF(GL1049=GM10,GK10,IF(GL1049=GM11,GK11,IF(GL1049=GM12,GK12,"ALGO ESTA MAL")))))</f>
        <v>0</v>
      </c>
      <c r="GL1049" s="34" t="str">
        <f>LARGE($GM$8:$GM$12,GJ1049)</f>
        <v>0</v>
      </c>
      <c r="GM1049" s="34" t="str">
        <f>IF(GL1049&gt;0.1%,GL1049,"Algo Esta Mal")</f>
        <v>0</v>
      </c>
      <c r="GN1049" s="33" t="str">
        <f>IF(GM1049=GL1049,GK1049," ")</f>
        <v>0</v>
      </c>
    </row>
    <row r="1050" spans="1:197">
      <c r="C1050" s="33">
        <v>5</v>
      </c>
      <c r="D1050" s="33" t="str">
        <f>IF(E1050=F8,D8,IF(E1050=F9,D9,IF(E1050=F10,D10,IF(E1050=F11,D11,IF(E1050=F12,D12,"ALGO ESTA MAL")))))</f>
        <v>0</v>
      </c>
      <c r="E1050" s="34" t="str">
        <f>LARGE($F$8:$F$12,C1050)</f>
        <v>0</v>
      </c>
      <c r="F1050" s="34" t="str">
        <f>IF(E1050&gt;0.1%,E1050,"Algo Esta Mal")</f>
        <v>0</v>
      </c>
      <c r="G1050" s="33" t="str">
        <f>IF(F1050=E1050,D1050," ")</f>
        <v>0</v>
      </c>
      <c r="L1050" s="33">
        <v>5</v>
      </c>
      <c r="M1050" s="33" t="str">
        <f>IF(N1050=O8,M8,IF(N1050=O9,M9,IF(N1050=O10,M10,IF(N1050=O11,M11,IF(N1050=O12,M12,"ALGO ESTA MAL")))))</f>
        <v>0</v>
      </c>
      <c r="N1050" s="34" t="str">
        <f>LARGE($O$8:$O$12,L1050)</f>
        <v>0</v>
      </c>
      <c r="O1050" s="34" t="str">
        <f>IF(N1050&gt;0.1%,N1050,"Algo Esta Mal")</f>
        <v>0</v>
      </c>
      <c r="P1050" s="33" t="str">
        <f>IF(O1050=N1050,M1050," ")</f>
        <v>0</v>
      </c>
      <c r="U1050" s="33">
        <v>5</v>
      </c>
      <c r="V1050" s="33" t="str">
        <f>IF(W1050=X8,V8,IF(W1050=X9,V9,IF(W1050=X10,V10,IF(W1050=X11,V11,IF(W1050=X12,V12,"ALGO ESTA MAL")))))</f>
        <v>0</v>
      </c>
      <c r="W1050" s="34" t="str">
        <f>LARGE($X$8:$X$12,U1050)</f>
        <v>0</v>
      </c>
      <c r="X1050" s="34" t="str">
        <f>IF(W1050&gt;0.1%,W1050,"Algo Esta Mal")</f>
        <v>0</v>
      </c>
      <c r="Y1050" s="33" t="str">
        <f>IF(X1050=W1050,V1050," ")</f>
        <v>0</v>
      </c>
      <c r="AD1050" s="33">
        <v>5</v>
      </c>
      <c r="AE1050" s="33" t="str">
        <f>IF(AF1050=AG8,AE8,IF(AF1050=AG9,AE9,IF(AF1050=AG10,AE10,IF(AF1050=AG11,AE11,IF(AF1050=AG12,AE12,"ALGO ESTA MAL")))))</f>
        <v>0</v>
      </c>
      <c r="AF1050" s="34" t="str">
        <f>LARGE($AG$8:$AG$12,AD1050)</f>
        <v>0</v>
      </c>
      <c r="AG1050" s="34" t="str">
        <f>IF(AF1050&gt;0.1%,AF1050,"Algo Esta Mal")</f>
        <v>0</v>
      </c>
      <c r="AH1050" s="33" t="str">
        <f>IF(AG1050=AF1050,AE1050," ")</f>
        <v>0</v>
      </c>
      <c r="AM1050" s="33">
        <v>5</v>
      </c>
      <c r="AN1050" s="33" t="str">
        <f>IF(AO1050=AP8,AN8,IF(AO1050=AP9,AN9,IF(AO1050=AP10,AN10,IF(AO1050=AP11,AN11,IF(AO1050=AP12,AN12,"ALGO ESTA MAL")))))</f>
        <v>0</v>
      </c>
      <c r="AO1050" s="34" t="str">
        <f>LARGE($AP$8:$AP$12,AM1050)</f>
        <v>0</v>
      </c>
      <c r="AP1050" s="34" t="str">
        <f>IF(AO1050&gt;0.1%,AO1050,"Algo Esta Mal")</f>
        <v>0</v>
      </c>
      <c r="AQ1050" s="33" t="str">
        <f>IF(AP1050=AO1050,AN1050," ")</f>
        <v>0</v>
      </c>
      <c r="AV1050" s="33">
        <v>5</v>
      </c>
      <c r="AW1050" s="33" t="str">
        <f>IF(AX1050=AY8,AW8,IF(AX1050=AY9,AW9,IF(AX1050=AY10,AW10,IF(AX1050=AY11,AW11,IF(AX1050=AY12,AW12,"ALGO ESTA MAL")))))</f>
        <v>0</v>
      </c>
      <c r="AX1050" s="34" t="str">
        <f>LARGE($AY$8:$AY$12,AV1050)</f>
        <v>0</v>
      </c>
      <c r="AY1050" s="34" t="str">
        <f>IF(AX1050&gt;0.1%,AX1050,"Algo Esta Mal")</f>
        <v>0</v>
      </c>
      <c r="AZ1050" s="33" t="str">
        <f>IF(AY1050=AX1050,AW1050," ")</f>
        <v>0</v>
      </c>
      <c r="BE1050" s="33">
        <v>5</v>
      </c>
      <c r="BF1050" s="33" t="str">
        <f>IF(BG1050=BH8,BF8,IF(BG1050=BH9,BF9,IF(BG1050=BH10,BF10,IF(BG1050=BH11,BF11,IF(BG1050=BH12,BF12,"ALGO ESTA MAL")))))</f>
        <v>0</v>
      </c>
      <c r="BG1050" s="34" t="str">
        <f>LARGE($BH$8:$BH$12,BE1050)</f>
        <v>0</v>
      </c>
      <c r="BH1050" s="34" t="str">
        <f>IF(BG1050&gt;0.1%,BG1050,"Algo Esta Mal")</f>
        <v>0</v>
      </c>
      <c r="BI1050" s="33" t="str">
        <f>IF(BH1050=BG1050,BF1050," ")</f>
        <v>0</v>
      </c>
      <c r="BN1050" s="33">
        <v>5</v>
      </c>
      <c r="BO1050" s="33" t="str">
        <f>IF(BP1050=BQ8,BO8,IF(BP1050=BQ9,BO9,IF(BP1050=BQ10,BO10,IF(BP1050=BQ11,BO11,IF(BP1050=BQ12,BO12,"ALGO ESTA MAL")))))</f>
        <v>0</v>
      </c>
      <c r="BP1050" s="34" t="str">
        <f>LARGE($BQ$8:$BQ$12,BN1050)</f>
        <v>0</v>
      </c>
      <c r="BQ1050" s="34" t="str">
        <f>IF(BP1050&gt;0.1%,BP1050,"Algo Esta Mal")</f>
        <v>0</v>
      </c>
      <c r="BR1050" s="33" t="str">
        <f>IF(BQ1050=BP1050,BO1050," ")</f>
        <v>0</v>
      </c>
      <c r="BW1050" s="33">
        <v>5</v>
      </c>
      <c r="BX1050" s="33" t="str">
        <f>IF(BY1050=BZ8,BX8,IF(BY1050=BZ9,BX9,IF(BY1050=BZ10,BX10,IF(BY1050=BZ11,BX11,IF(BY1050=BZ12,BX12,"ALGO ESTA MAL")))))</f>
        <v>0</v>
      </c>
      <c r="BY1050" s="34" t="str">
        <f>LARGE($BZ$8:$BZ$12,BW1050)</f>
        <v>0</v>
      </c>
      <c r="BZ1050" s="34" t="str">
        <f>IF(BY1050&gt;0.1%,BY1050,"Algo Esta Mal")</f>
        <v>0</v>
      </c>
      <c r="CA1050" s="33" t="str">
        <f>IF(BZ1050=BY1050,BX1050," ")</f>
        <v>0</v>
      </c>
      <c r="CF1050" s="33">
        <v>5</v>
      </c>
      <c r="CG1050" s="33" t="str">
        <f>IF(CH1050=CI8,CG8,IF(CH1050=CI9,CG9,IF(CH1050=CI10,CG10,IF(CH1050=CI11,CG11,IF(CH1050=CI12,CG12,"ALGO ESTA MAL")))))</f>
        <v>0</v>
      </c>
      <c r="CH1050" s="34" t="str">
        <f>LARGE($CI$8:$CI$12,CF1050)</f>
        <v>0</v>
      </c>
      <c r="CI1050" s="34" t="str">
        <f>IF(CH1050&gt;0.1%,CH1050,"Algo Esta Mal")</f>
        <v>0</v>
      </c>
      <c r="CJ1050" s="33" t="str">
        <f>IF(CI1050=CH1050,CG1050," ")</f>
        <v>0</v>
      </c>
      <c r="CO1050" s="33">
        <v>5</v>
      </c>
      <c r="CP1050" s="33" t="str">
        <f>IF(CQ1050=CR8,CP8,IF(CQ1050=CR9,CP9,IF(CQ1050=CR10,CP10,IF(CQ1050=CR11,CP11,IF(CQ1050=CR12,CP12,"ALGO ESTA MAL")))))</f>
        <v>0</v>
      </c>
      <c r="CQ1050" s="34" t="str">
        <f>LARGE($CR$8:$CR$12,CO1050)</f>
        <v>0</v>
      </c>
      <c r="CR1050" s="34" t="str">
        <f>IF(CQ1050&gt;0.1%,CQ1050,"Algo Esta Mal")</f>
        <v>0</v>
      </c>
      <c r="CS1050" s="33" t="str">
        <f>IF(CR1050=CQ1050,CP1050," ")</f>
        <v>0</v>
      </c>
      <c r="CX1050" s="33">
        <v>5</v>
      </c>
      <c r="CY1050" s="33" t="str">
        <f>IF(CZ1050=DA8,CY8,IF(CZ1050=DA9,CY9,IF(CZ1050=DA10,CY10,IF(CZ1050=DA11,CY11,IF(CZ1050=DA12,CY12,"ALGO ESTA MAL")))))</f>
        <v>0</v>
      </c>
      <c r="CZ1050" s="34" t="str">
        <f>LARGE($DA$8:$DA$12,CX1050)</f>
        <v>0</v>
      </c>
      <c r="DA1050" s="34" t="str">
        <f>IF(CZ1050&gt;0.1%,CZ1050,"Algo Esta Mal")</f>
        <v>0</v>
      </c>
      <c r="DB1050" s="33" t="str">
        <f>IF(DA1050=CZ1050,CY1050," ")</f>
        <v>0</v>
      </c>
      <c r="DG1050" s="33">
        <v>5</v>
      </c>
      <c r="DH1050" s="33" t="str">
        <f>IF(DI1050=DJ8,DH8,IF(DI1050=DJ9,DH9,IF(DI1050=DJ10,DH10,IF(DI1050=DJ11,DH11,IF(DI1050=DJ12,DH12,"ALGO ESTA MAL")))))</f>
        <v>0</v>
      </c>
      <c r="DI1050" s="34" t="str">
        <f>LARGE($DJ$8:$DJ$12,DG1050)</f>
        <v>0</v>
      </c>
      <c r="DJ1050" s="34" t="str">
        <f>IF(DI1050&gt;0.1%,DI1050,"Algo Esta Mal")</f>
        <v>0</v>
      </c>
      <c r="DK1050" s="33" t="str">
        <f>IF(DJ1050=DI1050,DH1050," ")</f>
        <v>0</v>
      </c>
      <c r="DP1050" s="33">
        <v>5</v>
      </c>
      <c r="DQ1050" s="33" t="str">
        <f>IF(DR1050=DS8,DQ8,IF(DR1050=DS9,DQ9,IF(DR1050=DS10,DQ10,IF(DR1050=DS11,DQ11,IF(DR1050=DS12,DQ12,"ALGO ESTA MAL")))))</f>
        <v>0</v>
      </c>
      <c r="DR1050" s="34" t="str">
        <f>LARGE($DS$8:$DS$12,DP1050)</f>
        <v>0</v>
      </c>
      <c r="DS1050" s="34" t="str">
        <f>IF(DR1050&gt;0.1%,DR1050,"Algo Esta Mal")</f>
        <v>0</v>
      </c>
      <c r="DT1050" s="33" t="str">
        <f>IF(DS1050=DR1050,DQ1050," ")</f>
        <v>0</v>
      </c>
      <c r="DY1050" s="33">
        <v>5</v>
      </c>
      <c r="DZ1050" s="33" t="str">
        <f>IF(EA1050=EB8,DZ8,IF(EA1050=EB9,DZ9,IF(EA1050=EB10,DZ10,IF(EA1050=EB11,DZ11,IF(EA1050=EB12,DZ12,"ALGO ESTA MAL")))))</f>
        <v>0</v>
      </c>
      <c r="EA1050" s="34" t="str">
        <f>LARGE($EB$8:$EB$12,DY1050)</f>
        <v>0</v>
      </c>
      <c r="EB1050" s="34" t="str">
        <f>IF(EA1050&gt;0.1%,EA1050,"Algo Esta Mal")</f>
        <v>0</v>
      </c>
      <c r="EC1050" s="33" t="str">
        <f>IF(EB1050=EA1050,DZ1050," ")</f>
        <v>0</v>
      </c>
      <c r="EH1050" s="33">
        <v>5</v>
      </c>
      <c r="EI1050" s="33" t="str">
        <f>IF(EJ1050=EK8,EI8,IF(EJ1050=EK9,EI9,IF(EJ1050=EK10,EI10,IF(EJ1050=EK11,EI11,IF(EJ1050=EK12,EI12,"ALGO ESTA MAL")))))</f>
        <v>0</v>
      </c>
      <c r="EJ1050" s="34" t="str">
        <f>LARGE($EK$8:$EK$12,EH1050)</f>
        <v>0</v>
      </c>
      <c r="EK1050" s="34" t="str">
        <f>IF(EJ1050&gt;0.1%,EJ1050,"Algo Esta Mal")</f>
        <v>0</v>
      </c>
      <c r="EL1050" s="33" t="str">
        <f>IF(EK1050=EJ1050,EI1050," ")</f>
        <v>0</v>
      </c>
      <c r="EQ1050" s="33">
        <v>5</v>
      </c>
      <c r="ER1050" s="33" t="str">
        <f>IF(ES1050=ET8,ER8,IF(ES1050=ET9,ER9,IF(ES1050=ET10,ER10,IF(ES1050=ET11,ER11,IF(ES1050=ET12,ER12,"ALGO ESTA MAL")))))</f>
        <v>0</v>
      </c>
      <c r="ES1050" s="34" t="str">
        <f>LARGE($ET$8:$ET$12,EQ1050)</f>
        <v>0</v>
      </c>
      <c r="ET1050" s="34" t="str">
        <f>IF(ES1050&gt;0.1%,ES1050,"Algo Esta Mal")</f>
        <v>0</v>
      </c>
      <c r="EU1050" s="33" t="str">
        <f>IF(ET1050=ES1050,ER1050," ")</f>
        <v>0</v>
      </c>
      <c r="EZ1050" s="33">
        <v>5</v>
      </c>
      <c r="FA1050" s="33" t="str">
        <f>IF(FB1050=FC8,FA8,IF(FB1050=FC9,FA9,IF(FB1050=FC10,FA10,IF(FB1050=FC11,FA11,IF(FB1050=FC12,FA12,"ALGO ESTA MAL")))))</f>
        <v>0</v>
      </c>
      <c r="FB1050" s="34" t="str">
        <f>LARGE($FC$8:$FC$12,EZ1050)</f>
        <v>0</v>
      </c>
      <c r="FC1050" s="34" t="str">
        <f>IF(FB1050&gt;0.1%,FB1050,"Algo Esta Mal")</f>
        <v>0</v>
      </c>
      <c r="FD1050" s="33" t="str">
        <f>IF(FC1050=FB1050,FA1050," ")</f>
        <v>0</v>
      </c>
      <c r="FI1050" s="33">
        <v>5</v>
      </c>
      <c r="FJ1050" s="33" t="str">
        <f>IF(FK1050=FL8,FJ8,IF(FK1050=FL9,FJ9,IF(FK1050=FL10,FJ10,IF(FK1050=FL11,FJ11,IF(FK1050=FL12,FJ12,"ALGO ESTA MAL")))))</f>
        <v>0</v>
      </c>
      <c r="FK1050" s="34" t="str">
        <f>LARGE($FL$8:$FL$12,FI1050)</f>
        <v>0</v>
      </c>
      <c r="FL1050" s="34" t="str">
        <f>IF(FK1050&gt;0.1%,FK1050,"Algo Esta Mal")</f>
        <v>0</v>
      </c>
      <c r="FM1050" s="33" t="str">
        <f>IF(FL1050=FK1050,FJ1050," ")</f>
        <v>0</v>
      </c>
      <c r="FR1050" s="33">
        <v>5</v>
      </c>
      <c r="FS1050" s="33" t="str">
        <f>IF(FT1050=FU8,FS8,IF(FT1050=FU9,FS9,IF(FT1050=FU10,FS10,IF(FT1050=FU11,FS11,IF(FT1050=FU12,FS12,"ALGO ESTA MAL")))))</f>
        <v>0</v>
      </c>
      <c r="FT1050" s="34" t="str">
        <f>LARGE($FU$8:$FU$12,FR1050)</f>
        <v>0</v>
      </c>
      <c r="FU1050" s="34" t="str">
        <f>IF(FT1050&gt;0.1%,FT1050,"Algo Esta Mal")</f>
        <v>0</v>
      </c>
      <c r="FV1050" s="33" t="str">
        <f>IF(FU1050=FT1050,FS1050," ")</f>
        <v>0</v>
      </c>
      <c r="GA1050" s="33">
        <v>5</v>
      </c>
      <c r="GB1050" s="33" t="str">
        <f>IF(GC1050=GD8,GB8,IF(GC1050=GD9,GB9,IF(GC1050=GD10,GB10,IF(GC1050=GD11,GB11,IF(GC1050=GD12,GB12,"ALGO ESTA MAL")))))</f>
        <v>0</v>
      </c>
      <c r="GC1050" s="34" t="str">
        <f>LARGE($GD$8:$GD$12,GA1050)</f>
        <v>0</v>
      </c>
      <c r="GD1050" s="34" t="str">
        <f>IF(GC1050&gt;0.1%,GC1050,"Algo Esta Mal")</f>
        <v>0</v>
      </c>
      <c r="GE1050" s="33" t="str">
        <f>IF(GD1050=GC1050,GB1050," ")</f>
        <v>0</v>
      </c>
      <c r="GJ1050" s="33">
        <v>5</v>
      </c>
      <c r="GK1050" s="33" t="str">
        <f>IF(GL1050=GM8,GK8,IF(GL1050=GM9,GK9,IF(GL1050=GM10,GK10,IF(GL1050=GM11,GK11,IF(GL1050=GM12,GK12,"ALGO ESTA MAL")))))</f>
        <v>0</v>
      </c>
      <c r="GL1050" s="34" t="str">
        <f>LARGE($GM$8:$GM$12,GJ1050)</f>
        <v>0</v>
      </c>
      <c r="GM1050" s="34" t="str">
        <f>IF(GL1050&gt;0.1%,GL1050,"Algo Esta Mal")</f>
        <v>0</v>
      </c>
      <c r="GN1050" s="33" t="str">
        <f>IF(GM1050=GL1050,GK1050," ")</f>
        <v>0</v>
      </c>
    </row>
    <row r="1052" spans="1:197">
      <c r="D1052" s="33" t="s">
        <v>178</v>
      </c>
      <c r="M1052" s="33" t="s">
        <v>178</v>
      </c>
      <c r="V1052" s="33" t="s">
        <v>178</v>
      </c>
      <c r="AE1052" s="33" t="s">
        <v>178</v>
      </c>
      <c r="AN1052" s="33" t="s">
        <v>178</v>
      </c>
      <c r="AW1052" s="33" t="s">
        <v>178</v>
      </c>
      <c r="BF1052" s="33" t="s">
        <v>178</v>
      </c>
      <c r="BO1052" s="33" t="s">
        <v>178</v>
      </c>
      <c r="BX1052" s="33" t="s">
        <v>178</v>
      </c>
      <c r="CG1052" s="33" t="s">
        <v>178</v>
      </c>
      <c r="CP1052" s="33" t="s">
        <v>178</v>
      </c>
      <c r="CY1052" s="33" t="s">
        <v>178</v>
      </c>
      <c r="DH1052" s="33" t="s">
        <v>178</v>
      </c>
      <c r="DQ1052" s="33" t="s">
        <v>178</v>
      </c>
      <c r="DZ1052" s="33" t="s">
        <v>178</v>
      </c>
      <c r="EI1052" s="33" t="s">
        <v>178</v>
      </c>
      <c r="ER1052" s="33" t="s">
        <v>178</v>
      </c>
      <c r="FA1052" s="33" t="s">
        <v>178</v>
      </c>
      <c r="FJ1052" s="33" t="s">
        <v>178</v>
      </c>
      <c r="FS1052" s="33" t="s">
        <v>178</v>
      </c>
      <c r="GB1052" s="33" t="s">
        <v>178</v>
      </c>
      <c r="GK1052" s="33" t="s">
        <v>178</v>
      </c>
    </row>
    <row r="1053" spans="1:197">
      <c r="D1053" s="34" t="str">
        <f>SUM(F8:F10)</f>
        <v>0</v>
      </c>
      <c r="E1053" s="34" t="str">
        <f>MAX(D1053:D1054)</f>
        <v>0</v>
      </c>
      <c r="M1053" s="34" t="str">
        <f>SUM(O8:O10)</f>
        <v>0</v>
      </c>
      <c r="N1053" s="34" t="str">
        <f>MAX(M1053:M1054)</f>
        <v>0</v>
      </c>
      <c r="V1053" s="34" t="str">
        <f>SUM(X8:X10)</f>
        <v>0</v>
      </c>
      <c r="W1053" s="34" t="str">
        <f>MAX(V1053:V1054)</f>
        <v>0</v>
      </c>
      <c r="AE1053" s="34" t="str">
        <f>SUM(AG8:AG10)</f>
        <v>0</v>
      </c>
      <c r="AF1053" s="34" t="str">
        <f>MAX(AE1053:AE1054)</f>
        <v>0</v>
      </c>
      <c r="AN1053" s="34" t="str">
        <f>SUM(AP8:AP10)</f>
        <v>0</v>
      </c>
      <c r="AO1053" s="34" t="str">
        <f>MAX(AN1053:AN1054)</f>
        <v>0</v>
      </c>
      <c r="AW1053" s="34" t="str">
        <f>SUM(AY8:AY10)</f>
        <v>0</v>
      </c>
      <c r="AX1053" s="34" t="str">
        <f>MAX(AW1053:AW1054)</f>
        <v>0</v>
      </c>
      <c r="BF1053" s="34" t="str">
        <f>SUM(BH8:BH10)</f>
        <v>0</v>
      </c>
      <c r="BG1053" s="34" t="str">
        <f>MAX(BF1053:BF1054)</f>
        <v>0</v>
      </c>
      <c r="BO1053" s="34" t="str">
        <f>SUM(BQ8:BQ10)</f>
        <v>0</v>
      </c>
      <c r="BP1053" s="34" t="str">
        <f>MAX(BO1053:BO1054)</f>
        <v>0</v>
      </c>
      <c r="BX1053" s="34" t="str">
        <f>SUM(BZ8:BZ10)</f>
        <v>0</v>
      </c>
      <c r="BY1053" s="34" t="str">
        <f>MAX(BX1053:BX1054)</f>
        <v>0</v>
      </c>
      <c r="CG1053" s="34" t="str">
        <f>SUM(CI8:CI10)</f>
        <v>0</v>
      </c>
      <c r="CH1053" s="34" t="str">
        <f>MAX(CG1053:CG1054)</f>
        <v>0</v>
      </c>
      <c r="CP1053" s="34" t="str">
        <f>SUM(CR8:CR10)</f>
        <v>0</v>
      </c>
      <c r="CQ1053" s="34" t="str">
        <f>MAX(CP1053:CP1054)</f>
        <v>0</v>
      </c>
      <c r="CY1053" s="34" t="str">
        <f>SUM(DA8:DA10)</f>
        <v>0</v>
      </c>
      <c r="CZ1053" s="34" t="str">
        <f>MAX(CY1053:CY1054)</f>
        <v>0</v>
      </c>
      <c r="DH1053" s="34" t="str">
        <f>SUM(DJ8:DJ10)</f>
        <v>0</v>
      </c>
      <c r="DI1053" s="34" t="str">
        <f>MAX(DH1053:DH1054)</f>
        <v>0</v>
      </c>
      <c r="DQ1053" s="34" t="str">
        <f>SUM(DS8:DS10)</f>
        <v>0</v>
      </c>
      <c r="DR1053" s="34" t="str">
        <f>MAX(DQ1053:DQ1054)</f>
        <v>0</v>
      </c>
      <c r="DZ1053" s="34" t="str">
        <f>SUM(EB8:EB10)</f>
        <v>0</v>
      </c>
      <c r="EA1053" s="34" t="str">
        <f>MAX(DZ1053:DZ1054)</f>
        <v>0</v>
      </c>
      <c r="EI1053" s="34" t="str">
        <f>SUM(EK8:EK10)</f>
        <v>0</v>
      </c>
      <c r="EJ1053" s="34" t="str">
        <f>MAX(EI1053:EI1054)</f>
        <v>0</v>
      </c>
      <c r="ER1053" s="34" t="str">
        <f>SUM(ET8:ET10)</f>
        <v>0</v>
      </c>
      <c r="ES1053" s="34" t="str">
        <f>MAX(ER1053:ER1054)</f>
        <v>0</v>
      </c>
      <c r="FA1053" s="34" t="str">
        <f>SUM(FC8:FC10)</f>
        <v>0</v>
      </c>
      <c r="FB1053" s="34" t="str">
        <f>MAX(FA1053:FA1054)</f>
        <v>0</v>
      </c>
      <c r="FJ1053" s="34" t="str">
        <f>SUM(FL8:FL10)</f>
        <v>0</v>
      </c>
      <c r="FK1053" s="34" t="str">
        <f>MAX(FJ1053:FJ1054)</f>
        <v>0</v>
      </c>
      <c r="FS1053" s="34" t="str">
        <f>SUM(FU8:FU10)</f>
        <v>0</v>
      </c>
      <c r="FT1053" s="34" t="str">
        <f>MAX(FS1053:FS1054)</f>
        <v>0</v>
      </c>
      <c r="GB1053" s="34" t="str">
        <f>SUM(GD8:GD10)</f>
        <v>0</v>
      </c>
      <c r="GC1053" s="34" t="str">
        <f>MAX(GB1053:GB1054)</f>
        <v>0</v>
      </c>
      <c r="GK1053" s="34" t="str">
        <f>SUM(GM8:GM10)</f>
        <v>0</v>
      </c>
      <c r="GL1053" s="34" t="str">
        <f>MAX(GK1053:GK1054)</f>
        <v>0</v>
      </c>
    </row>
    <row r="1054" spans="1:197">
      <c r="D1054" s="34" t="str">
        <f>SUM(F10:F12)</f>
        <v>0</v>
      </c>
      <c r="M1054" s="34" t="str">
        <f>SUM(O10:O12)</f>
        <v>0</v>
      </c>
      <c r="V1054" s="34" t="str">
        <f>SUM(X10:X12)</f>
        <v>0</v>
      </c>
      <c r="AE1054" s="34" t="str">
        <f>SUM(AG10:AG12)</f>
        <v>0</v>
      </c>
      <c r="AN1054" s="34" t="str">
        <f>SUM(AP10:AP12)</f>
        <v>0</v>
      </c>
      <c r="AW1054" s="34" t="str">
        <f>SUM(AY10:AY12)</f>
        <v>0</v>
      </c>
      <c r="BF1054" s="34" t="str">
        <f>SUM(BH10:BH12)</f>
        <v>0</v>
      </c>
      <c r="BO1054" s="34" t="str">
        <f>SUM(BQ10:BQ12)</f>
        <v>0</v>
      </c>
      <c r="BX1054" s="34" t="str">
        <f>SUM(BZ10:BZ12)</f>
        <v>0</v>
      </c>
      <c r="CG1054" s="34" t="str">
        <f>SUM(CI10:CI12)</f>
        <v>0</v>
      </c>
      <c r="CP1054" s="34" t="str">
        <f>SUM(CR10:CR12)</f>
        <v>0</v>
      </c>
      <c r="CY1054" s="34" t="str">
        <f>SUM(DA10:DA12)</f>
        <v>0</v>
      </c>
      <c r="DH1054" s="34" t="str">
        <f>SUM(DJ10:DJ12)</f>
        <v>0</v>
      </c>
      <c r="DQ1054" s="34" t="str">
        <f>SUM(DS10:DS12)</f>
        <v>0</v>
      </c>
      <c r="DZ1054" s="34" t="str">
        <f>SUM(EB10:EB12)</f>
        <v>0</v>
      </c>
      <c r="EI1054" s="34" t="str">
        <f>SUM(EK10:EK12)</f>
        <v>0</v>
      </c>
      <c r="ER1054" s="34" t="str">
        <f>SUM(ET10:ET12)</f>
        <v>0</v>
      </c>
      <c r="FA1054" s="34" t="str">
        <f>SUM(FC10:FC12)</f>
        <v>0</v>
      </c>
      <c r="FJ1054" s="34" t="str">
        <f>SUM(FL10:FL12)</f>
        <v>0</v>
      </c>
      <c r="FS1054" s="34" t="str">
        <f>SUM(FU10:FU12)</f>
        <v>0</v>
      </c>
      <c r="GB1054" s="34" t="str">
        <f>SUM(GD10:GD12)</f>
        <v>0</v>
      </c>
      <c r="GK1054" s="34" t="str">
        <f>SUM(GM10:GM12)</f>
        <v>0</v>
      </c>
    </row>
    <row r="1056" spans="1:197">
      <c r="D1056" s="33" t="s">
        <v>1</v>
      </c>
      <c r="E1056" s="34" t="str">
        <f>SUM(F8:F9)</f>
        <v>0</v>
      </c>
      <c r="M1056" s="33" t="s">
        <v>1</v>
      </c>
      <c r="N1056" s="34" t="str">
        <f>SUM(O8:O9)</f>
        <v>0</v>
      </c>
      <c r="V1056" s="33" t="s">
        <v>1</v>
      </c>
      <c r="W1056" s="34" t="str">
        <f>SUM(X8:X9)</f>
        <v>0</v>
      </c>
      <c r="AE1056" s="33" t="s">
        <v>1</v>
      </c>
      <c r="AF1056" s="34" t="str">
        <f>SUM(AG8:AG9)</f>
        <v>0</v>
      </c>
      <c r="AN1056" s="33" t="s">
        <v>1</v>
      </c>
      <c r="AO1056" s="34" t="str">
        <f>SUM(AP8:AP9)</f>
        <v>0</v>
      </c>
      <c r="AW1056" s="33" t="s">
        <v>1</v>
      </c>
      <c r="AX1056" s="34" t="str">
        <f>SUM(AY8:AY9)</f>
        <v>0</v>
      </c>
      <c r="BF1056" s="33" t="s">
        <v>1</v>
      </c>
      <c r="BG1056" s="34" t="str">
        <f>SUM(BH8:BH9)</f>
        <v>0</v>
      </c>
      <c r="BO1056" s="33" t="s">
        <v>1</v>
      </c>
      <c r="BP1056" s="34" t="str">
        <f>SUM(BQ8:BQ9)</f>
        <v>0</v>
      </c>
      <c r="BX1056" s="33" t="s">
        <v>1</v>
      </c>
      <c r="BY1056" s="34" t="str">
        <f>SUM(BZ8:BZ9)</f>
        <v>0</v>
      </c>
      <c r="CG1056" s="33" t="s">
        <v>1</v>
      </c>
      <c r="CH1056" s="34" t="str">
        <f>SUM(CI8:CI9)</f>
        <v>0</v>
      </c>
      <c r="CP1056" s="33" t="s">
        <v>1</v>
      </c>
      <c r="CQ1056" s="34" t="str">
        <f>SUM(CR8:CR9)</f>
        <v>0</v>
      </c>
      <c r="CY1056" s="33" t="s">
        <v>1</v>
      </c>
      <c r="CZ1056" s="34" t="str">
        <f>SUM(DA8:DA9)</f>
        <v>0</v>
      </c>
      <c r="DH1056" s="33" t="s">
        <v>1</v>
      </c>
      <c r="DI1056" s="34" t="str">
        <f>SUM(DJ8:DJ9)</f>
        <v>0</v>
      </c>
      <c r="DQ1056" s="33" t="s">
        <v>1</v>
      </c>
      <c r="DR1056" s="34" t="str">
        <f>SUM(DS8:DS9)</f>
        <v>0</v>
      </c>
      <c r="DZ1056" s="33" t="s">
        <v>1</v>
      </c>
      <c r="EA1056" s="34" t="str">
        <f>SUM(EB8:EB9)</f>
        <v>0</v>
      </c>
      <c r="EI1056" s="33" t="s">
        <v>1</v>
      </c>
      <c r="EJ1056" s="34" t="str">
        <f>SUM(EK8:EK9)</f>
        <v>0</v>
      </c>
      <c r="ER1056" s="33" t="s">
        <v>1</v>
      </c>
      <c r="ES1056" s="34" t="str">
        <f>SUM(ET8:ET9)</f>
        <v>0</v>
      </c>
      <c r="FA1056" s="33" t="s">
        <v>1</v>
      </c>
      <c r="FB1056" s="34" t="str">
        <f>SUM(FC8:FC9)</f>
        <v>0</v>
      </c>
      <c r="FJ1056" s="33" t="s">
        <v>1</v>
      </c>
      <c r="FK1056" s="34" t="str">
        <f>SUM(FL8:FL9)</f>
        <v>0</v>
      </c>
      <c r="FS1056" s="33" t="s">
        <v>1</v>
      </c>
      <c r="FT1056" s="34" t="str">
        <f>SUM(FU8:FU9)</f>
        <v>0</v>
      </c>
      <c r="GB1056" s="33" t="s">
        <v>1</v>
      </c>
      <c r="GC1056" s="34" t="str">
        <f>SUM(GD8:GD9)</f>
        <v>0</v>
      </c>
      <c r="GK1056" s="33" t="s">
        <v>1</v>
      </c>
      <c r="GL1056" s="34" t="str">
        <f>SUM(GM8:GM9)</f>
        <v>0</v>
      </c>
    </row>
    <row r="1057" spans="1:197">
      <c r="D1057" s="33" t="s">
        <v>1</v>
      </c>
      <c r="E1057" s="34" t="str">
        <f>SUM(F10)</f>
        <v>0</v>
      </c>
      <c r="M1057" s="33" t="s">
        <v>1</v>
      </c>
      <c r="N1057" s="34" t="str">
        <f>SUM(O10)</f>
        <v>0</v>
      </c>
      <c r="V1057" s="33" t="s">
        <v>1</v>
      </c>
      <c r="W1057" s="34" t="str">
        <f>SUM(X10)</f>
        <v>0</v>
      </c>
      <c r="AE1057" s="33" t="s">
        <v>1</v>
      </c>
      <c r="AF1057" s="34" t="str">
        <f>SUM(AG10)</f>
        <v>0</v>
      </c>
      <c r="AN1057" s="33" t="s">
        <v>1</v>
      </c>
      <c r="AO1057" s="34" t="str">
        <f>SUM(AP10)</f>
        <v>0</v>
      </c>
      <c r="AW1057" s="33" t="s">
        <v>1</v>
      </c>
      <c r="AX1057" s="34" t="str">
        <f>SUM(AY10)</f>
        <v>0</v>
      </c>
      <c r="BF1057" s="33" t="s">
        <v>1</v>
      </c>
      <c r="BG1057" s="34" t="str">
        <f>SUM(BH10)</f>
        <v>0</v>
      </c>
      <c r="BO1057" s="33" t="s">
        <v>1</v>
      </c>
      <c r="BP1057" s="34" t="str">
        <f>SUM(BQ10)</f>
        <v>0</v>
      </c>
      <c r="BX1057" s="33" t="s">
        <v>1</v>
      </c>
      <c r="BY1057" s="34" t="str">
        <f>SUM(BZ10)</f>
        <v>0</v>
      </c>
      <c r="CG1057" s="33" t="s">
        <v>1</v>
      </c>
      <c r="CH1057" s="34" t="str">
        <f>SUM(CI10)</f>
        <v>0</v>
      </c>
      <c r="CP1057" s="33" t="s">
        <v>1</v>
      </c>
      <c r="CQ1057" s="34" t="str">
        <f>SUM(CR10)</f>
        <v>0</v>
      </c>
      <c r="CY1057" s="33" t="s">
        <v>1</v>
      </c>
      <c r="CZ1057" s="34" t="str">
        <f>SUM(DA10)</f>
        <v>0</v>
      </c>
      <c r="DH1057" s="33" t="s">
        <v>1</v>
      </c>
      <c r="DI1057" s="34" t="str">
        <f>SUM(DJ10)</f>
        <v>0</v>
      </c>
      <c r="DQ1057" s="33" t="s">
        <v>1</v>
      </c>
      <c r="DR1057" s="34" t="str">
        <f>SUM(DS10)</f>
        <v>0</v>
      </c>
      <c r="DZ1057" s="33" t="s">
        <v>1</v>
      </c>
      <c r="EA1057" s="34" t="str">
        <f>SUM(EB10)</f>
        <v>0</v>
      </c>
      <c r="EI1057" s="33" t="s">
        <v>1</v>
      </c>
      <c r="EJ1057" s="34" t="str">
        <f>SUM(EK10)</f>
        <v>0</v>
      </c>
      <c r="ER1057" s="33" t="s">
        <v>1</v>
      </c>
      <c r="ES1057" s="34" t="str">
        <f>SUM(ET10)</f>
        <v>0</v>
      </c>
      <c r="FA1057" s="33" t="s">
        <v>1</v>
      </c>
      <c r="FB1057" s="34" t="str">
        <f>SUM(FC10)</f>
        <v>0</v>
      </c>
      <c r="FJ1057" s="33" t="s">
        <v>1</v>
      </c>
      <c r="FK1057" s="34" t="str">
        <f>SUM(FL10)</f>
        <v>0</v>
      </c>
      <c r="FS1057" s="33" t="s">
        <v>1</v>
      </c>
      <c r="FT1057" s="34" t="str">
        <f>SUM(FU10)</f>
        <v>0</v>
      </c>
      <c r="GB1057" s="33" t="s">
        <v>1</v>
      </c>
      <c r="GC1057" s="34" t="str">
        <f>SUM(GD10)</f>
        <v>0</v>
      </c>
      <c r="GK1057" s="33" t="s">
        <v>1</v>
      </c>
      <c r="GL1057" s="34" t="str">
        <f>SUM(GM10)</f>
        <v>0</v>
      </c>
    </row>
    <row r="1058" spans="1:197">
      <c r="D1058" s="33" t="s">
        <v>1</v>
      </c>
      <c r="E1058" s="34" t="str">
        <f>SUM(F11:F12)</f>
        <v>0</v>
      </c>
      <c r="M1058" s="33" t="s">
        <v>1</v>
      </c>
      <c r="N1058" s="34" t="str">
        <f>SUM(O11:O12)</f>
        <v>0</v>
      </c>
      <c r="V1058" s="33" t="s">
        <v>1</v>
      </c>
      <c r="W1058" s="34" t="str">
        <f>SUM(X11:X12)</f>
        <v>0</v>
      </c>
      <c r="AE1058" s="33" t="s">
        <v>1</v>
      </c>
      <c r="AF1058" s="34" t="str">
        <f>SUM(AG11:AG12)</f>
        <v>0</v>
      </c>
      <c r="AN1058" s="33" t="s">
        <v>1</v>
      </c>
      <c r="AO1058" s="34" t="str">
        <f>SUM(AP11:AP12)</f>
        <v>0</v>
      </c>
      <c r="AW1058" s="33" t="s">
        <v>1</v>
      </c>
      <c r="AX1058" s="34" t="str">
        <f>SUM(AY11:AY12)</f>
        <v>0</v>
      </c>
      <c r="BF1058" s="33" t="s">
        <v>1</v>
      </c>
      <c r="BG1058" s="34" t="str">
        <f>SUM(BH11:BH12)</f>
        <v>0</v>
      </c>
      <c r="BO1058" s="33" t="s">
        <v>1</v>
      </c>
      <c r="BP1058" s="34" t="str">
        <f>SUM(BQ11:BQ12)</f>
        <v>0</v>
      </c>
      <c r="BX1058" s="33" t="s">
        <v>1</v>
      </c>
      <c r="BY1058" s="34" t="str">
        <f>SUM(BZ11:BZ12)</f>
        <v>0</v>
      </c>
      <c r="CG1058" s="33" t="s">
        <v>1</v>
      </c>
      <c r="CH1058" s="34" t="str">
        <f>SUM(CI11:CI12)</f>
        <v>0</v>
      </c>
      <c r="CP1058" s="33" t="s">
        <v>1</v>
      </c>
      <c r="CQ1058" s="34" t="str">
        <f>SUM(CR11:CR12)</f>
        <v>0</v>
      </c>
      <c r="CY1058" s="33" t="s">
        <v>1</v>
      </c>
      <c r="CZ1058" s="34" t="str">
        <f>SUM(DA11:DA12)</f>
        <v>0</v>
      </c>
      <c r="DH1058" s="33" t="s">
        <v>1</v>
      </c>
      <c r="DI1058" s="34" t="str">
        <f>SUM(DJ11:DJ12)</f>
        <v>0</v>
      </c>
      <c r="DQ1058" s="33" t="s">
        <v>1</v>
      </c>
      <c r="DR1058" s="34" t="str">
        <f>SUM(DS11:DS12)</f>
        <v>0</v>
      </c>
      <c r="DZ1058" s="33" t="s">
        <v>1</v>
      </c>
      <c r="EA1058" s="34" t="str">
        <f>SUM(EB11:EB12)</f>
        <v>0</v>
      </c>
      <c r="EI1058" s="33" t="s">
        <v>1</v>
      </c>
      <c r="EJ1058" s="34" t="str">
        <f>SUM(EK11:EK12)</f>
        <v>0</v>
      </c>
      <c r="ER1058" s="33" t="s">
        <v>1</v>
      </c>
      <c r="ES1058" s="34" t="str">
        <f>SUM(ET11:ET12)</f>
        <v>0</v>
      </c>
      <c r="FA1058" s="33" t="s">
        <v>1</v>
      </c>
      <c r="FB1058" s="34" t="str">
        <f>SUM(FC11:FC12)</f>
        <v>0</v>
      </c>
      <c r="FJ1058" s="33" t="s">
        <v>1</v>
      </c>
      <c r="FK1058" s="34" t="str">
        <f>SUM(FL11:FL12)</f>
        <v>0</v>
      </c>
      <c r="FS1058" s="33" t="s">
        <v>1</v>
      </c>
      <c r="FT1058" s="34" t="str">
        <f>SUM(FU11:FU12)</f>
        <v>0</v>
      </c>
      <c r="GB1058" s="33" t="s">
        <v>1</v>
      </c>
      <c r="GC1058" s="34" t="str">
        <f>SUM(GD11:GD12)</f>
        <v>0</v>
      </c>
      <c r="GK1058" s="33" t="s">
        <v>1</v>
      </c>
      <c r="GL1058" s="34" t="str">
        <f>SUM(GM11:GM12)</f>
        <v>0</v>
      </c>
    </row>
    <row r="1060" spans="1:197">
      <c r="E1060" s="33" t="str">
        <f>IF(E1056&gt;=51%,D1056,IF(E1057&gt;=51%,D1057,IF(E1058&gt;=51%,D1058,IF(SUM(E1056:E1057)&gt;SUM(E1057:E1058),D1056,IF(SUM(E1056:E1057)&lt;SUM(E1057:E1058),D1058,"Algo esta Mal")))))</f>
        <v>0</v>
      </c>
      <c r="N1060" s="33" t="str">
        <f>IF(N1056&gt;=51%,M1056,IF(N1057&gt;=51%,M1057,IF(N1058&gt;=51%,M1058,IF(SUM(N1056:N1057)&gt;SUM(N1057:N1058),M1056,IF(SUM(N1056:N1057)&lt;SUM(N1057:N1058),M1058,"Algo esta Mal")))))</f>
        <v>0</v>
      </c>
      <c r="W1060" s="33" t="str">
        <f>IF(W1056&gt;=51%,V1056,IF(W1057&gt;=51%,V1057,IF(W1058&gt;=51%,V1058,IF(SUM(W1056:W1057)&gt;SUM(W1057:W1058),V1056,IF(SUM(W1056:W1057)&lt;SUM(W1057:W1058),V1058,"Algo esta Mal")))))</f>
        <v>0</v>
      </c>
      <c r="AF1060" s="33" t="str">
        <f>IF(AF1056&gt;=51%,AE1056,IF(AF1057&gt;=51%,AE1057,IF(AF1058&gt;=51%,AE1058,IF(SUM(AF1056:AF1057)&gt;SUM(AF1057:AF1058),AE1056,IF(SUM(AF1056:AF1057)&lt;SUM(AF1057:AF1058),AE1058,"Algo esta Mal")))))</f>
        <v>0</v>
      </c>
      <c r="AO1060" s="33" t="str">
        <f>IF(AO1056&gt;=51%,AN1056,IF(AO1057&gt;=51%,AN1057,IF(AO1058&gt;=51%,AN1058,IF(SUM(AO1056:AO1057)&gt;SUM(AO1057:AO1058),AN1056,IF(SUM(AO1056:AO1057)&lt;SUM(AO1057:AO1058),AN1058,"Algo esta Mal")))))</f>
        <v>0</v>
      </c>
      <c r="AX1060" s="33" t="str">
        <f>IF(AX1056&gt;=51%,AW1056,IF(AX1057&gt;=51%,AW1057,IF(AX1058&gt;=51%,AW1058,IF(SUM(AX1056:AX1057)&gt;SUM(AX1057:AX1058),AW1056,IF(SUM(AX1056:AX1057)&lt;SUM(AX1057:AX1058),AW1058,"Algo esta Mal")))))</f>
        <v>0</v>
      </c>
      <c r="BG1060" s="33" t="str">
        <f>IF(BG1056&gt;=51%,BF1056,IF(BG1057&gt;=51%,BF1057,IF(BG1058&gt;=51%,BF1058,IF(SUM(BG1056:BG1057)&gt;SUM(BG1057:BG1058),BF1056,IF(SUM(BG1056:BG1057)&lt;SUM(BG1057:BG1058),BF1058,"Algo esta Mal")))))</f>
        <v>0</v>
      </c>
      <c r="BP1060" s="33" t="str">
        <f>IF(BP1056&gt;=51%,BO1056,IF(BP1057&gt;=51%,BO1057,IF(BP1058&gt;=51%,BO1058,IF(SUM(BP1056:BP1057)&gt;SUM(BP1057:BP1058),BO1056,IF(SUM(BP1056:BP1057)&lt;SUM(BP1057:BP1058),BO1058,"Algo esta Mal")))))</f>
        <v>0</v>
      </c>
      <c r="BY1060" s="33" t="str">
        <f>IF(BY1056&gt;=51%,BX1056,IF(BY1057&gt;=51%,BX1057,IF(BY1058&gt;=51%,BX1058,IF(SUM(BY1056:BY1057)&gt;SUM(BY1057:BY1058),BX1056,IF(SUM(BY1056:BY1057)&lt;SUM(BY1057:BY1058),BX1058,"Algo esta Mal")))))</f>
        <v>0</v>
      </c>
      <c r="CH1060" s="33" t="str">
        <f>IF(CH1056&gt;=51%,CG1056,IF(CH1057&gt;=51%,CG1057,IF(CH1058&gt;=51%,CG1058,IF(SUM(CH1056:CH1057)&gt;SUM(CH1057:CH1058),CG1056,IF(SUM(CH1056:CH1057)&lt;SUM(CH1057:CH1058),CG1058,"Algo esta Mal")))))</f>
        <v>0</v>
      </c>
      <c r="CQ1060" s="33" t="str">
        <f>IF(CQ1056&gt;=51%,CP1056,IF(CQ1057&gt;=51%,CP1057,IF(CQ1058&gt;=51%,CP1058,IF(SUM(CQ1056:CQ1057)&gt;SUM(CQ1057:CQ1058),CP1056,IF(SUM(CQ1056:CQ1057)&lt;SUM(CQ1057:CQ1058),CP1058,"Algo esta Mal")))))</f>
        <v>0</v>
      </c>
      <c r="CZ1060" s="33" t="str">
        <f>IF(CZ1056&gt;=51%,CY1056,IF(CZ1057&gt;=51%,CY1057,IF(CZ1058&gt;=51%,CY1058,IF(SUM(CZ1056:CZ1057)&gt;SUM(CZ1057:CZ1058),CY1056,IF(SUM(CZ1056:CZ1057)&lt;SUM(CZ1057:CZ1058),CY1058,"Algo esta Mal")))))</f>
        <v>0</v>
      </c>
      <c r="DI1060" s="33" t="str">
        <f>IF(DI1056&gt;=51%,DH1056,IF(DI1057&gt;=51%,DH1057,IF(DI1058&gt;=51%,DH1058,IF(SUM(DI1056:DI1057)&gt;SUM(DI1057:DI1058),DH1056,IF(SUM(DI1056:DI1057)&lt;SUM(DI1057:DI1058),DH1058,"Algo esta Mal")))))</f>
        <v>0</v>
      </c>
      <c r="DR1060" s="33" t="str">
        <f>IF(DR1056&gt;=51%,DQ1056,IF(DR1057&gt;=51%,DQ1057,IF(DR1058&gt;=51%,DQ1058,IF(SUM(DR1056:DR1057)&gt;SUM(DR1057:DR1058),DQ1056,IF(SUM(DR1056:DR1057)&lt;SUM(DR1057:DR1058),DQ1058,"Algo esta Mal")))))</f>
        <v>0</v>
      </c>
      <c r="EA1060" s="33" t="str">
        <f>IF(EA1056&gt;=51%,DZ1056,IF(EA1057&gt;=51%,DZ1057,IF(EA1058&gt;=51%,DZ1058,IF(SUM(EA1056:EA1057)&gt;SUM(EA1057:EA1058),DZ1056,IF(SUM(EA1056:EA1057)&lt;SUM(EA1057:EA1058),DZ1058,"Algo esta Mal")))))</f>
        <v>0</v>
      </c>
      <c r="EJ1060" s="33" t="str">
        <f>IF(EJ1056&gt;=51%,EI1056,IF(EJ1057&gt;=51%,EI1057,IF(EJ1058&gt;=51%,EI1058,IF(SUM(EJ1056:EJ1057)&gt;SUM(EJ1057:EJ1058),EI1056,IF(SUM(EJ1056:EJ1057)&lt;SUM(EJ1057:EJ1058),EI1058,"Algo esta Mal")))))</f>
        <v>0</v>
      </c>
      <c r="ES1060" s="33" t="str">
        <f>IF(ES1056&gt;=51%,ER1056,IF(ES1057&gt;=51%,ER1057,IF(ES1058&gt;=51%,ER1058,IF(SUM(ES1056:ES1057)&gt;SUM(ES1057:ES1058),ER1056,IF(SUM(ES1056:ES1057)&lt;SUM(ES1057:ES1058),ER1058,"Algo esta Mal")))))</f>
        <v>0</v>
      </c>
      <c r="FB1060" s="33" t="str">
        <f>IF(FB1056&gt;=51%,FA1056,IF(FB1057&gt;=51%,FA1057,IF(FB1058&gt;=51%,FA1058,IF(SUM(FB1056:FB1057)&gt;SUM(FB1057:FB1058),FA1056,IF(SUM(FB1056:FB1057)&lt;SUM(FB1057:FB1058),FA1058,"Algo esta Mal")))))</f>
        <v>0</v>
      </c>
      <c r="FK1060" s="33" t="str">
        <f>IF(FK1056&gt;=51%,FJ1056,IF(FK1057&gt;=51%,FJ1057,IF(FK1058&gt;=51%,FJ1058,IF(SUM(FK1056:FK1057)&gt;SUM(FK1057:FK1058),FJ1056,IF(SUM(FK1056:FK1057)&lt;SUM(FK1057:FK1058),FJ1058,"Algo esta Mal")))))</f>
        <v>0</v>
      </c>
      <c r="FT1060" s="33" t="str">
        <f>IF(FT1056&gt;=51%,FS1056,IF(FT1057&gt;=51%,FS1057,IF(FT1058&gt;=51%,FS1058,IF(SUM(FT1056:FT1057)&gt;SUM(FT1057:FT1058),FS1056,IF(SUM(FT1056:FT1057)&lt;SUM(FT1057:FT1058),FS1058,"Algo esta Mal")))))</f>
        <v>0</v>
      </c>
      <c r="GC1060" s="33" t="str">
        <f>IF(GC1056&gt;=51%,GB1056,IF(GC1057&gt;=51%,GB1057,IF(GC1058&gt;=51%,GB1058,IF(SUM(GC1056:GC1057)&gt;SUM(GC1057:GC1058),GB1056,IF(SUM(GC1056:GC1057)&lt;SUM(GC1057:GC1058),GB1058,"Algo esta Mal")))))</f>
        <v>0</v>
      </c>
      <c r="GL1060" s="33" t="str">
        <f>IF(GL1056&gt;=51%,GK1056,IF(GL1057&gt;=51%,GK1057,IF(GL1058&gt;=51%,GK1058,IF(SUM(GL1056:GL1057)&gt;SUM(GL1057:GL1058),GK1056,IF(SUM(GL1056:GL1057)&lt;SUM(GL1057:GL1058),GK1058,"Algo esta Mal")))))</f>
        <v>0</v>
      </c>
    </row>
    <row r="1062" spans="1:197">
      <c r="E1062" s="33" t="s">
        <v>1</v>
      </c>
      <c r="N1062" s="33" t="s">
        <v>1</v>
      </c>
      <c r="W1062" s="33"/>
      <c r="AF1062" s="33"/>
      <c r="AO1062" s="33"/>
      <c r="AX1062" s="33"/>
      <c r="BG1062" s="33"/>
      <c r="BP1062" s="33"/>
      <c r="BY1062" s="33"/>
      <c r="CH1062" s="33"/>
      <c r="CQ1062" s="33"/>
      <c r="CZ1062" s="33"/>
      <c r="DI1062" s="33"/>
      <c r="DR1062" s="33"/>
      <c r="EA1062" s="33"/>
      <c r="EJ1062" s="33"/>
      <c r="ES1062" s="33"/>
      <c r="FB1062" s="33"/>
      <c r="FK1062" s="33"/>
      <c r="FT1062" s="33"/>
      <c r="GC1062" s="33"/>
      <c r="GL1062" s="33"/>
    </row>
    <row r="2008" spans="1:197">
      <c r="D2008" s="26" t="str">
        <f>('.'!A1020)</f>
        <v>0</v>
      </c>
      <c r="E2008" s="15" t="str">
        <f>('.'!B1020)</f>
        <v>0</v>
      </c>
      <c r="F2008" s="31" t="str">
        <f>('.'!B1026)</f>
        <v>0</v>
      </c>
      <c r="M2008" s="26" t="str">
        <f>('.'!A1020)</f>
        <v>0</v>
      </c>
      <c r="N2008" s="15" t="str">
        <f>('.'!C1020)</f>
        <v>0</v>
      </c>
      <c r="O2008" s="31" t="str">
        <f>('.'!C1026)</f>
        <v>0</v>
      </c>
      <c r="V2008" s="26" t="str">
        <f>('.'!A1020)</f>
        <v>0</v>
      </c>
      <c r="W2008" s="15" t="str">
        <f>('.'!D1020)</f>
        <v>0</v>
      </c>
      <c r="X2008" s="31" t="str">
        <f>('.'!D1026)</f>
        <v>0</v>
      </c>
      <c r="AE2008" s="26" t="str">
        <f>('.'!A1020)</f>
        <v>0</v>
      </c>
      <c r="AF2008" s="15" t="str">
        <f>('.'!E1020)</f>
        <v>0</v>
      </c>
      <c r="AG2008" s="31" t="str">
        <f>('.'!E1026)</f>
        <v>0</v>
      </c>
      <c r="AN2008" s="26" t="str">
        <f>('.'!A1020)</f>
        <v>0</v>
      </c>
      <c r="AO2008" s="15" t="str">
        <f>('.'!F1020)</f>
        <v>0</v>
      </c>
      <c r="AP2008" s="31" t="str">
        <f>('.'!F1026)</f>
        <v>0</v>
      </c>
      <c r="AW2008" s="26" t="str">
        <f>('.'!A1020)</f>
        <v>0</v>
      </c>
      <c r="AX2008" s="15" t="str">
        <f>('.'!G1020)</f>
        <v>0</v>
      </c>
      <c r="AY2008" s="31" t="str">
        <f>('.'!G1026)</f>
        <v>0</v>
      </c>
      <c r="BF2008" s="26" t="str">
        <f>('.'!A1020)</f>
        <v>0</v>
      </c>
      <c r="BG2008" s="15" t="str">
        <f>('.'!H1020)</f>
        <v>0</v>
      </c>
      <c r="BH2008" s="31" t="str">
        <f>('.'!H1026)</f>
        <v>0</v>
      </c>
      <c r="BO2008" s="26" t="str">
        <f>('.'!A1020)</f>
        <v>0</v>
      </c>
      <c r="BP2008" s="15" t="str">
        <f>('.'!I1020)</f>
        <v>0</v>
      </c>
      <c r="BQ2008" s="31" t="str">
        <f>('.'!I1026)</f>
        <v>0</v>
      </c>
      <c r="BX2008" s="26" t="str">
        <f>('.'!A1020)</f>
        <v>0</v>
      </c>
      <c r="BY2008" s="15" t="str">
        <f>('.'!J1020)</f>
        <v>0</v>
      </c>
      <c r="BZ2008" s="31" t="str">
        <f>('.'!J1026)</f>
        <v>0</v>
      </c>
      <c r="CG2008" s="26" t="str">
        <f>('.'!A1020)</f>
        <v>0</v>
      </c>
      <c r="CH2008" s="15" t="str">
        <f>('.'!K1020)</f>
        <v>0</v>
      </c>
      <c r="CI2008" s="31" t="str">
        <f>('.'!K1026)</f>
        <v>0</v>
      </c>
      <c r="CP2008" s="26" t="str">
        <f>('.'!A1020)</f>
        <v>0</v>
      </c>
      <c r="CQ2008" s="15" t="str">
        <f>('.'!L1020)</f>
        <v>0</v>
      </c>
      <c r="CR2008" s="31" t="str">
        <f>('.'!L1026)</f>
        <v>0</v>
      </c>
      <c r="CY2008" s="26" t="str">
        <f>('.'!A1020)</f>
        <v>0</v>
      </c>
      <c r="CZ2008" s="15" t="str">
        <f>('.'!M1020)</f>
        <v>0</v>
      </c>
      <c r="DA2008" s="31" t="str">
        <f>('.'!M1026)</f>
        <v>0</v>
      </c>
      <c r="DH2008" s="26" t="str">
        <f>('.'!A1020)</f>
        <v>0</v>
      </c>
      <c r="DI2008" s="15" t="str">
        <f>('.'!N1020)</f>
        <v>0</v>
      </c>
      <c r="DJ2008" s="31" t="str">
        <f>('.'!N1026)</f>
        <v>0</v>
      </c>
      <c r="DQ2008" s="26" t="str">
        <f>('.'!A1020)</f>
        <v>0</v>
      </c>
      <c r="DR2008" s="15" t="str">
        <f>('.'!O1020)</f>
        <v>0</v>
      </c>
      <c r="DS2008" s="31" t="str">
        <f>('.'!O1026)</f>
        <v>0</v>
      </c>
      <c r="DZ2008" s="26" t="str">
        <f>('.'!A1020)</f>
        <v>0</v>
      </c>
      <c r="EA2008" s="15" t="str">
        <f>('.'!P1020)</f>
        <v>0</v>
      </c>
      <c r="EB2008" s="31" t="str">
        <f>('.'!P1026)</f>
        <v>0</v>
      </c>
      <c r="EI2008" s="26" t="str">
        <f>('.'!A1020)</f>
        <v>0</v>
      </c>
      <c r="EJ2008" s="15" t="str">
        <f>('.'!Q1020)</f>
        <v>0</v>
      </c>
      <c r="EK2008" s="31" t="str">
        <f>('.'!Q1026)</f>
        <v>0</v>
      </c>
      <c r="ER2008" s="26" t="str">
        <f>('.'!A1020)</f>
        <v>0</v>
      </c>
      <c r="ES2008" s="15" t="str">
        <f>('.'!R1020)</f>
        <v>0</v>
      </c>
      <c r="ET2008" s="31" t="str">
        <f>('.'!R1026)</f>
        <v>0</v>
      </c>
      <c r="FA2008" s="26" t="str">
        <f>('.'!A1020)</f>
        <v>0</v>
      </c>
      <c r="FB2008" s="15" t="str">
        <f>('.'!S1020)</f>
        <v>0</v>
      </c>
      <c r="FC2008" s="31" t="str">
        <f>('.'!S1026)</f>
        <v>0</v>
      </c>
      <c r="FJ2008" s="26" t="str">
        <f>('.'!A1020)</f>
        <v>0</v>
      </c>
      <c r="FK2008" s="15" t="str">
        <f>('.'!T1020)</f>
        <v>0</v>
      </c>
      <c r="FL2008" s="31" t="str">
        <f>('.'!T1026)</f>
        <v>0</v>
      </c>
      <c r="FS2008" s="26" t="str">
        <f>('.'!A1020)</f>
        <v>0</v>
      </c>
      <c r="FT2008" s="15" t="str">
        <f>('.'!U1020)</f>
        <v>0</v>
      </c>
      <c r="FU2008" s="31" t="str">
        <f>('.'!U1026)</f>
        <v>0</v>
      </c>
      <c r="GB2008" s="26" t="str">
        <f>('.'!A1020)</f>
        <v>0</v>
      </c>
      <c r="GC2008" s="15" t="str">
        <f>('.'!V1020)</f>
        <v>0</v>
      </c>
      <c r="GD2008" s="31" t="str">
        <f>('.'!V1026)</f>
        <v>0</v>
      </c>
      <c r="GK2008" s="26" t="str">
        <f>('.'!A1020)</f>
        <v>0</v>
      </c>
      <c r="GL2008" s="15" t="str">
        <f>('.'!W1020)</f>
        <v>0</v>
      </c>
      <c r="GM2008" s="31" t="str">
        <f>('.'!W1026)</f>
        <v>0</v>
      </c>
    </row>
    <row r="2009" spans="1:197">
      <c r="D2009" s="26" t="str">
        <f>('.'!A1021)</f>
        <v>0</v>
      </c>
      <c r="E2009" s="15" t="str">
        <f>('.'!B1021)</f>
        <v>0</v>
      </c>
      <c r="F2009" s="31" t="str">
        <f>('.'!B1027)</f>
        <v>0</v>
      </c>
      <c r="M2009" s="26" t="str">
        <f>('.'!A1021)</f>
        <v>0</v>
      </c>
      <c r="N2009" s="15" t="str">
        <f>('.'!C1021)</f>
        <v>0</v>
      </c>
      <c r="O2009" s="31" t="str">
        <f>('.'!C1027)</f>
        <v>0</v>
      </c>
      <c r="V2009" s="26" t="str">
        <f>('.'!A1021)</f>
        <v>0</v>
      </c>
      <c r="W2009" s="15" t="str">
        <f>('.'!D1021)</f>
        <v>0</v>
      </c>
      <c r="X2009" s="31" t="str">
        <f>('.'!D1027)</f>
        <v>0</v>
      </c>
      <c r="AE2009" s="26" t="str">
        <f>('.'!A1021)</f>
        <v>0</v>
      </c>
      <c r="AF2009" s="15" t="str">
        <f>('.'!E1021)</f>
        <v>0</v>
      </c>
      <c r="AG2009" s="31" t="str">
        <f>('.'!E1027)</f>
        <v>0</v>
      </c>
      <c r="AN2009" s="26" t="str">
        <f>('.'!A1021)</f>
        <v>0</v>
      </c>
      <c r="AO2009" s="15" t="str">
        <f>('.'!F1021)</f>
        <v>0</v>
      </c>
      <c r="AP2009" s="31" t="str">
        <f>('.'!F1027)</f>
        <v>0</v>
      </c>
      <c r="AW2009" s="26" t="str">
        <f>('.'!A1021)</f>
        <v>0</v>
      </c>
      <c r="AX2009" s="15" t="str">
        <f>('.'!G1021)</f>
        <v>0</v>
      </c>
      <c r="AY2009" s="31" t="str">
        <f>('.'!G1027)</f>
        <v>0</v>
      </c>
      <c r="BF2009" s="26" t="str">
        <f>('.'!A1021)</f>
        <v>0</v>
      </c>
      <c r="BG2009" s="15" t="str">
        <f>('.'!H1021)</f>
        <v>0</v>
      </c>
      <c r="BH2009" s="31" t="str">
        <f>('.'!H1027)</f>
        <v>0</v>
      </c>
      <c r="BO2009" s="26" t="str">
        <f>('.'!A1021)</f>
        <v>0</v>
      </c>
      <c r="BP2009" s="15" t="str">
        <f>('.'!I1021)</f>
        <v>0</v>
      </c>
      <c r="BQ2009" s="31" t="str">
        <f>('.'!I1027)</f>
        <v>0</v>
      </c>
      <c r="BX2009" s="26" t="str">
        <f>('.'!A1021)</f>
        <v>0</v>
      </c>
      <c r="BY2009" s="15" t="str">
        <f>('.'!J1021)</f>
        <v>0</v>
      </c>
      <c r="BZ2009" s="31" t="str">
        <f>('.'!J1027)</f>
        <v>0</v>
      </c>
      <c r="CG2009" s="26" t="str">
        <f>('.'!A1021)</f>
        <v>0</v>
      </c>
      <c r="CH2009" s="15" t="str">
        <f>('.'!K1021)</f>
        <v>0</v>
      </c>
      <c r="CI2009" s="31" t="str">
        <f>('.'!K1027)</f>
        <v>0</v>
      </c>
      <c r="CP2009" s="26" t="str">
        <f>('.'!A1021)</f>
        <v>0</v>
      </c>
      <c r="CQ2009" s="15" t="str">
        <f>('.'!L1021)</f>
        <v>0</v>
      </c>
      <c r="CR2009" s="31" t="str">
        <f>('.'!L1027)</f>
        <v>0</v>
      </c>
      <c r="CY2009" s="26" t="str">
        <f>('.'!A1021)</f>
        <v>0</v>
      </c>
      <c r="CZ2009" s="15" t="str">
        <f>('.'!M1021)</f>
        <v>0</v>
      </c>
      <c r="DA2009" s="31" t="str">
        <f>('.'!M1027)</f>
        <v>0</v>
      </c>
      <c r="DH2009" s="26" t="str">
        <f>('.'!A1021)</f>
        <v>0</v>
      </c>
      <c r="DI2009" s="15" t="str">
        <f>('.'!N1021)</f>
        <v>0</v>
      </c>
      <c r="DJ2009" s="31" t="str">
        <f>('.'!N1027)</f>
        <v>0</v>
      </c>
      <c r="DQ2009" s="26" t="str">
        <f>('.'!A1021)</f>
        <v>0</v>
      </c>
      <c r="DR2009" s="15" t="str">
        <f>('.'!O1021)</f>
        <v>0</v>
      </c>
      <c r="DS2009" s="31" t="str">
        <f>('.'!O1027)</f>
        <v>0</v>
      </c>
      <c r="DZ2009" s="26" t="str">
        <f>('.'!A1021)</f>
        <v>0</v>
      </c>
      <c r="EA2009" s="15" t="str">
        <f>('.'!P1021)</f>
        <v>0</v>
      </c>
      <c r="EB2009" s="31" t="str">
        <f>('.'!P1027)</f>
        <v>0</v>
      </c>
      <c r="EI2009" s="26" t="str">
        <f>('.'!A1021)</f>
        <v>0</v>
      </c>
      <c r="EJ2009" s="15" t="str">
        <f>('.'!Q1021)</f>
        <v>0</v>
      </c>
      <c r="EK2009" s="31" t="str">
        <f>('.'!Q1027)</f>
        <v>0</v>
      </c>
      <c r="ER2009" s="26" t="str">
        <f>('.'!A1021)</f>
        <v>0</v>
      </c>
      <c r="ES2009" s="15" t="str">
        <f>('.'!R1021)</f>
        <v>0</v>
      </c>
      <c r="ET2009" s="31" t="str">
        <f>('.'!R1027)</f>
        <v>0</v>
      </c>
      <c r="FA2009" s="26" t="str">
        <f>('.'!A1021)</f>
        <v>0</v>
      </c>
      <c r="FB2009" s="15" t="str">
        <f>('.'!S1021)</f>
        <v>0</v>
      </c>
      <c r="FC2009" s="31" t="str">
        <f>('.'!S1027)</f>
        <v>0</v>
      </c>
      <c r="FJ2009" s="26" t="str">
        <f>('.'!A1021)</f>
        <v>0</v>
      </c>
      <c r="FK2009" s="15" t="str">
        <f>('.'!T1021)</f>
        <v>0</v>
      </c>
      <c r="FL2009" s="31" t="str">
        <f>('.'!T1027)</f>
        <v>0</v>
      </c>
      <c r="FS2009" s="26" t="str">
        <f>('.'!A1021)</f>
        <v>0</v>
      </c>
      <c r="FT2009" s="15" t="str">
        <f>('.'!U1021)</f>
        <v>0</v>
      </c>
      <c r="FU2009" s="31" t="str">
        <f>('.'!U1027)</f>
        <v>0</v>
      </c>
      <c r="GB2009" s="26" t="str">
        <f>('.'!A1021)</f>
        <v>0</v>
      </c>
      <c r="GC2009" s="15" t="str">
        <f>('.'!V1021)</f>
        <v>0</v>
      </c>
      <c r="GD2009" s="31" t="str">
        <f>('.'!V1027)</f>
        <v>0</v>
      </c>
      <c r="GK2009" s="26" t="str">
        <f>('.'!A1021)</f>
        <v>0</v>
      </c>
      <c r="GL2009" s="15" t="str">
        <f>('.'!W1021)</f>
        <v>0</v>
      </c>
      <c r="GM2009" s="31" t="str">
        <f>('.'!W1027)</f>
        <v>0</v>
      </c>
    </row>
    <row r="2010" spans="1:197">
      <c r="D2010" s="26" t="str">
        <f>('.'!A1022)</f>
        <v>0</v>
      </c>
      <c r="E2010" s="15" t="str">
        <f>('.'!B1022)</f>
        <v>0</v>
      </c>
      <c r="F2010" s="31" t="str">
        <f>('.'!B1028)</f>
        <v>0</v>
      </c>
      <c r="M2010" s="26" t="str">
        <f>('.'!A1022)</f>
        <v>0</v>
      </c>
      <c r="N2010" s="15" t="str">
        <f>('.'!C1022)</f>
        <v>0</v>
      </c>
      <c r="O2010" s="31" t="str">
        <f>('.'!C1028)</f>
        <v>0</v>
      </c>
      <c r="V2010" s="26" t="str">
        <f>('.'!A1022)</f>
        <v>0</v>
      </c>
      <c r="W2010" s="15" t="str">
        <f>('.'!D1022)</f>
        <v>0</v>
      </c>
      <c r="X2010" s="31" t="str">
        <f>('.'!D1028)</f>
        <v>0</v>
      </c>
      <c r="AE2010" s="26" t="str">
        <f>('.'!A1022)</f>
        <v>0</v>
      </c>
      <c r="AF2010" s="15" t="str">
        <f>('.'!E1022)</f>
        <v>0</v>
      </c>
      <c r="AG2010" s="31" t="str">
        <f>('.'!E1028)</f>
        <v>0</v>
      </c>
      <c r="AN2010" s="26" t="str">
        <f>('.'!A1022)</f>
        <v>0</v>
      </c>
      <c r="AO2010" s="15" t="str">
        <f>('.'!F1022)</f>
        <v>0</v>
      </c>
      <c r="AP2010" s="31" t="str">
        <f>('.'!F1028)</f>
        <v>0</v>
      </c>
      <c r="AW2010" s="26" t="str">
        <f>('.'!A1022)</f>
        <v>0</v>
      </c>
      <c r="AX2010" s="15" t="str">
        <f>('.'!G1022)</f>
        <v>0</v>
      </c>
      <c r="AY2010" s="31" t="str">
        <f>('.'!G1028)</f>
        <v>0</v>
      </c>
      <c r="BF2010" s="26" t="str">
        <f>('.'!A1022)</f>
        <v>0</v>
      </c>
      <c r="BG2010" s="15" t="str">
        <f>('.'!H1022)</f>
        <v>0</v>
      </c>
      <c r="BH2010" s="31" t="str">
        <f>('.'!H1028)</f>
        <v>0</v>
      </c>
      <c r="BO2010" s="26" t="str">
        <f>('.'!A1022)</f>
        <v>0</v>
      </c>
      <c r="BP2010" s="15" t="str">
        <f>('.'!I1022)</f>
        <v>0</v>
      </c>
      <c r="BQ2010" s="31" t="str">
        <f>('.'!I1028)</f>
        <v>0</v>
      </c>
      <c r="BX2010" s="26" t="str">
        <f>('.'!A1022)</f>
        <v>0</v>
      </c>
      <c r="BY2010" s="15" t="str">
        <f>('.'!J1022)</f>
        <v>0</v>
      </c>
      <c r="BZ2010" s="31" t="str">
        <f>('.'!J1028)</f>
        <v>0</v>
      </c>
      <c r="CG2010" s="26" t="str">
        <f>('.'!A1022)</f>
        <v>0</v>
      </c>
      <c r="CH2010" s="15" t="str">
        <f>('.'!K1022)</f>
        <v>0</v>
      </c>
      <c r="CI2010" s="31" t="str">
        <f>('.'!K1028)</f>
        <v>0</v>
      </c>
      <c r="CP2010" s="26" t="str">
        <f>('.'!A1022)</f>
        <v>0</v>
      </c>
      <c r="CQ2010" s="15" t="str">
        <f>('.'!L1022)</f>
        <v>0</v>
      </c>
      <c r="CR2010" s="31" t="str">
        <f>('.'!L1028)</f>
        <v>0</v>
      </c>
      <c r="CY2010" s="26" t="str">
        <f>('.'!A1022)</f>
        <v>0</v>
      </c>
      <c r="CZ2010" s="15" t="str">
        <f>('.'!M1022)</f>
        <v>0</v>
      </c>
      <c r="DA2010" s="31" t="str">
        <f>('.'!M1028)</f>
        <v>0</v>
      </c>
      <c r="DH2010" s="26" t="str">
        <f>('.'!A1022)</f>
        <v>0</v>
      </c>
      <c r="DI2010" s="15" t="str">
        <f>('.'!N1022)</f>
        <v>0</v>
      </c>
      <c r="DJ2010" s="31" t="str">
        <f>('.'!N1028)</f>
        <v>0</v>
      </c>
      <c r="DQ2010" s="26" t="str">
        <f>('.'!A1022)</f>
        <v>0</v>
      </c>
      <c r="DR2010" s="15" t="str">
        <f>('.'!O1022)</f>
        <v>0</v>
      </c>
      <c r="DS2010" s="31" t="str">
        <f>('.'!O1028)</f>
        <v>0</v>
      </c>
      <c r="DZ2010" s="26" t="str">
        <f>('.'!A1022)</f>
        <v>0</v>
      </c>
      <c r="EA2010" s="15" t="str">
        <f>('.'!P1022)</f>
        <v>0</v>
      </c>
      <c r="EB2010" s="31" t="str">
        <f>('.'!P1028)</f>
        <v>0</v>
      </c>
      <c r="EI2010" s="26" t="str">
        <f>('.'!A1022)</f>
        <v>0</v>
      </c>
      <c r="EJ2010" s="15" t="str">
        <f>('.'!Q1022)</f>
        <v>0</v>
      </c>
      <c r="EK2010" s="31" t="str">
        <f>('.'!Q1028)</f>
        <v>0</v>
      </c>
      <c r="ER2010" s="26" t="str">
        <f>('.'!A1022)</f>
        <v>0</v>
      </c>
      <c r="ES2010" s="15" t="str">
        <f>('.'!R1022)</f>
        <v>0</v>
      </c>
      <c r="ET2010" s="31" t="str">
        <f>('.'!R1028)</f>
        <v>0</v>
      </c>
      <c r="FA2010" s="26" t="str">
        <f>('.'!A1022)</f>
        <v>0</v>
      </c>
      <c r="FB2010" s="15" t="str">
        <f>('.'!S1022)</f>
        <v>0</v>
      </c>
      <c r="FC2010" s="31" t="str">
        <f>('.'!S1028)</f>
        <v>0</v>
      </c>
      <c r="FJ2010" s="26" t="str">
        <f>('.'!A1022)</f>
        <v>0</v>
      </c>
      <c r="FK2010" s="15" t="str">
        <f>('.'!T1022)</f>
        <v>0</v>
      </c>
      <c r="FL2010" s="31" t="str">
        <f>('.'!T1028)</f>
        <v>0</v>
      </c>
      <c r="FS2010" s="26" t="str">
        <f>('.'!A1022)</f>
        <v>0</v>
      </c>
      <c r="FT2010" s="15" t="str">
        <f>('.'!U1022)</f>
        <v>0</v>
      </c>
      <c r="FU2010" s="31" t="str">
        <f>('.'!U1028)</f>
        <v>0</v>
      </c>
      <c r="GB2010" s="26" t="str">
        <f>('.'!A1022)</f>
        <v>0</v>
      </c>
      <c r="GC2010" s="15" t="str">
        <f>('.'!V1022)</f>
        <v>0</v>
      </c>
      <c r="GD2010" s="31" t="str">
        <f>('.'!V1028)</f>
        <v>0</v>
      </c>
      <c r="GK2010" s="26" t="str">
        <f>('.'!A1022)</f>
        <v>0</v>
      </c>
      <c r="GL2010" s="15" t="str">
        <f>('.'!W1022)</f>
        <v>0</v>
      </c>
      <c r="GM2010" s="31" t="str">
        <f>('.'!W1028)</f>
        <v>0</v>
      </c>
    </row>
    <row r="2011" spans="1:197">
      <c r="D2011" s="26" t="str">
        <f>('.'!A1023)</f>
        <v>0</v>
      </c>
      <c r="E2011" s="15" t="str">
        <f>('.'!B1023)</f>
        <v>0</v>
      </c>
      <c r="F2011" s="31" t="str">
        <f>('.'!B1029)</f>
        <v>0</v>
      </c>
      <c r="M2011" s="26" t="str">
        <f>('.'!A1023)</f>
        <v>0</v>
      </c>
      <c r="N2011" s="15" t="str">
        <f>('.'!C1023)</f>
        <v>0</v>
      </c>
      <c r="O2011" s="31" t="str">
        <f>('.'!C1029)</f>
        <v>0</v>
      </c>
      <c r="V2011" s="26" t="str">
        <f>('.'!A1023)</f>
        <v>0</v>
      </c>
      <c r="W2011" s="15" t="str">
        <f>('.'!D1023)</f>
        <v>0</v>
      </c>
      <c r="X2011" s="31" t="str">
        <f>('.'!D1029)</f>
        <v>0</v>
      </c>
      <c r="AE2011" s="26" t="str">
        <f>('.'!A1023)</f>
        <v>0</v>
      </c>
      <c r="AF2011" s="15" t="str">
        <f>('.'!E1023)</f>
        <v>0</v>
      </c>
      <c r="AG2011" s="31" t="str">
        <f>('.'!E1029)</f>
        <v>0</v>
      </c>
      <c r="AN2011" s="26" t="str">
        <f>('.'!A1023)</f>
        <v>0</v>
      </c>
      <c r="AO2011" s="15" t="str">
        <f>('.'!F1023)</f>
        <v>0</v>
      </c>
      <c r="AP2011" s="31" t="str">
        <f>('.'!F1029)</f>
        <v>0</v>
      </c>
      <c r="AW2011" s="26" t="str">
        <f>('.'!A1023)</f>
        <v>0</v>
      </c>
      <c r="AX2011" s="15" t="str">
        <f>('.'!G1023)</f>
        <v>0</v>
      </c>
      <c r="AY2011" s="31" t="str">
        <f>('.'!G1029)</f>
        <v>0</v>
      </c>
      <c r="BF2011" s="26" t="str">
        <f>('.'!A1023)</f>
        <v>0</v>
      </c>
      <c r="BG2011" s="15" t="str">
        <f>('.'!H1023)</f>
        <v>0</v>
      </c>
      <c r="BH2011" s="31" t="str">
        <f>('.'!H1029)</f>
        <v>0</v>
      </c>
      <c r="BO2011" s="26" t="str">
        <f>('.'!A1023)</f>
        <v>0</v>
      </c>
      <c r="BP2011" s="15" t="str">
        <f>('.'!I1023)</f>
        <v>0</v>
      </c>
      <c r="BQ2011" s="31" t="str">
        <f>('.'!I1029)</f>
        <v>0</v>
      </c>
      <c r="BX2011" s="26" t="str">
        <f>('.'!A1023)</f>
        <v>0</v>
      </c>
      <c r="BY2011" s="15" t="str">
        <f>('.'!J1023)</f>
        <v>0</v>
      </c>
      <c r="BZ2011" s="31" t="str">
        <f>('.'!J1029)</f>
        <v>0</v>
      </c>
      <c r="CG2011" s="26" t="str">
        <f>('.'!A1023)</f>
        <v>0</v>
      </c>
      <c r="CH2011" s="15" t="str">
        <f>('.'!K1023)</f>
        <v>0</v>
      </c>
      <c r="CI2011" s="31" t="str">
        <f>('.'!K1029)</f>
        <v>0</v>
      </c>
      <c r="CP2011" s="26" t="str">
        <f>('.'!A1023)</f>
        <v>0</v>
      </c>
      <c r="CQ2011" s="15" t="str">
        <f>('.'!L1023)</f>
        <v>0</v>
      </c>
      <c r="CR2011" s="31" t="str">
        <f>('.'!L1029)</f>
        <v>0</v>
      </c>
      <c r="CY2011" s="26" t="str">
        <f>('.'!A1023)</f>
        <v>0</v>
      </c>
      <c r="CZ2011" s="15" t="str">
        <f>('.'!M1023)</f>
        <v>0</v>
      </c>
      <c r="DA2011" s="31" t="str">
        <f>('.'!M1029)</f>
        <v>0</v>
      </c>
      <c r="DH2011" s="26" t="str">
        <f>('.'!A1023)</f>
        <v>0</v>
      </c>
      <c r="DI2011" s="15" t="str">
        <f>('.'!N1023)</f>
        <v>0</v>
      </c>
      <c r="DJ2011" s="31" t="str">
        <f>('.'!N1029)</f>
        <v>0</v>
      </c>
      <c r="DQ2011" s="26" t="str">
        <f>('.'!A1023)</f>
        <v>0</v>
      </c>
      <c r="DR2011" s="15" t="str">
        <f>('.'!O1023)</f>
        <v>0</v>
      </c>
      <c r="DS2011" s="31" t="str">
        <f>('.'!O1029)</f>
        <v>0</v>
      </c>
      <c r="DZ2011" s="26" t="str">
        <f>('.'!A1023)</f>
        <v>0</v>
      </c>
      <c r="EA2011" s="15" t="str">
        <f>('.'!P1023)</f>
        <v>0</v>
      </c>
      <c r="EB2011" s="31" t="str">
        <f>('.'!P1029)</f>
        <v>0</v>
      </c>
      <c r="EI2011" s="26" t="str">
        <f>('.'!A1023)</f>
        <v>0</v>
      </c>
      <c r="EJ2011" s="15" t="str">
        <f>('.'!Q1023)</f>
        <v>0</v>
      </c>
      <c r="EK2011" s="31" t="str">
        <f>('.'!Q1029)</f>
        <v>0</v>
      </c>
      <c r="ER2011" s="26" t="str">
        <f>('.'!A1023)</f>
        <v>0</v>
      </c>
      <c r="ES2011" s="15" t="str">
        <f>('.'!R1023)</f>
        <v>0</v>
      </c>
      <c r="ET2011" s="31" t="str">
        <f>('.'!R1029)</f>
        <v>0</v>
      </c>
      <c r="FA2011" s="26" t="str">
        <f>('.'!A1023)</f>
        <v>0</v>
      </c>
      <c r="FB2011" s="15" t="str">
        <f>('.'!S1023)</f>
        <v>0</v>
      </c>
      <c r="FC2011" s="31" t="str">
        <f>('.'!S1029)</f>
        <v>0</v>
      </c>
      <c r="FJ2011" s="26" t="str">
        <f>('.'!A1023)</f>
        <v>0</v>
      </c>
      <c r="FK2011" s="15" t="str">
        <f>('.'!T1023)</f>
        <v>0</v>
      </c>
      <c r="FL2011" s="31" t="str">
        <f>('.'!T1029)</f>
        <v>0</v>
      </c>
      <c r="FS2011" s="26" t="str">
        <f>('.'!A1023)</f>
        <v>0</v>
      </c>
      <c r="FT2011" s="15" t="str">
        <f>('.'!U1023)</f>
        <v>0</v>
      </c>
      <c r="FU2011" s="31" t="str">
        <f>('.'!U1029)</f>
        <v>0</v>
      </c>
      <c r="GB2011" s="26" t="str">
        <f>('.'!A1023)</f>
        <v>0</v>
      </c>
      <c r="GC2011" s="15" t="str">
        <f>('.'!V1023)</f>
        <v>0</v>
      </c>
      <c r="GD2011" s="31" t="str">
        <f>('.'!V1029)</f>
        <v>0</v>
      </c>
      <c r="GK2011" s="26" t="str">
        <f>('.'!A1023)</f>
        <v>0</v>
      </c>
      <c r="GL2011" s="15" t="str">
        <f>('.'!W1023)</f>
        <v>0</v>
      </c>
      <c r="GM2011" s="31" t="str">
        <f>('.'!W1029)</f>
        <v>0</v>
      </c>
    </row>
    <row r="2012" spans="1:197">
      <c r="D2012" s="26" t="str">
        <f>('.'!A1024)</f>
        <v>0</v>
      </c>
      <c r="E2012" s="15" t="str">
        <f>('.'!B1024)</f>
        <v>0</v>
      </c>
      <c r="F2012" s="31" t="str">
        <f>('.'!B1030)</f>
        <v>0</v>
      </c>
      <c r="M2012" s="26" t="str">
        <f>('.'!A1024)</f>
        <v>0</v>
      </c>
      <c r="N2012" s="15" t="str">
        <f>('.'!C1024)</f>
        <v>0</v>
      </c>
      <c r="O2012" s="31" t="str">
        <f>('.'!C1030)</f>
        <v>0</v>
      </c>
      <c r="V2012" s="26" t="str">
        <f>('.'!A1024)</f>
        <v>0</v>
      </c>
      <c r="W2012" s="15" t="str">
        <f>('.'!D1024)</f>
        <v>0</v>
      </c>
      <c r="X2012" s="31" t="str">
        <f>('.'!D1030)</f>
        <v>0</v>
      </c>
      <c r="AE2012" s="26" t="str">
        <f>('.'!A1024)</f>
        <v>0</v>
      </c>
      <c r="AF2012" s="15" t="str">
        <f>('.'!E1024)</f>
        <v>0</v>
      </c>
      <c r="AG2012" s="31" t="str">
        <f>('.'!E1030)</f>
        <v>0</v>
      </c>
      <c r="AN2012" s="26" t="str">
        <f>('.'!A1024)</f>
        <v>0</v>
      </c>
      <c r="AO2012" s="15" t="str">
        <f>('.'!F1024)</f>
        <v>0</v>
      </c>
      <c r="AP2012" s="31" t="str">
        <f>('.'!F1030)</f>
        <v>0</v>
      </c>
      <c r="AW2012" s="26" t="str">
        <f>('.'!A1024)</f>
        <v>0</v>
      </c>
      <c r="AX2012" s="15" t="str">
        <f>('.'!G1024)</f>
        <v>0</v>
      </c>
      <c r="AY2012" s="31" t="str">
        <f>('.'!G1030)</f>
        <v>0</v>
      </c>
      <c r="BF2012" s="26" t="str">
        <f>('.'!A1024)</f>
        <v>0</v>
      </c>
      <c r="BG2012" s="15" t="str">
        <f>('.'!H1024)</f>
        <v>0</v>
      </c>
      <c r="BH2012" s="31" t="str">
        <f>('.'!H1030)</f>
        <v>0</v>
      </c>
      <c r="BO2012" s="26" t="str">
        <f>('.'!A1024)</f>
        <v>0</v>
      </c>
      <c r="BP2012" s="15" t="str">
        <f>('.'!I1024)</f>
        <v>0</v>
      </c>
      <c r="BQ2012" s="31" t="str">
        <f>('.'!I1030)</f>
        <v>0</v>
      </c>
      <c r="BX2012" s="26" t="str">
        <f>('.'!A1024)</f>
        <v>0</v>
      </c>
      <c r="BY2012" s="15" t="str">
        <f>('.'!J1024)</f>
        <v>0</v>
      </c>
      <c r="BZ2012" s="31" t="str">
        <f>('.'!J1030)</f>
        <v>0</v>
      </c>
      <c r="CG2012" s="26" t="str">
        <f>('.'!A1024)</f>
        <v>0</v>
      </c>
      <c r="CH2012" s="15" t="str">
        <f>('.'!K1024)</f>
        <v>0</v>
      </c>
      <c r="CI2012" s="31" t="str">
        <f>('.'!K1030)</f>
        <v>0</v>
      </c>
      <c r="CP2012" s="26" t="str">
        <f>('.'!A1024)</f>
        <v>0</v>
      </c>
      <c r="CQ2012" s="15" t="str">
        <f>('.'!L1024)</f>
        <v>0</v>
      </c>
      <c r="CR2012" s="31" t="str">
        <f>('.'!L1030)</f>
        <v>0</v>
      </c>
      <c r="CY2012" s="26" t="str">
        <f>('.'!A1024)</f>
        <v>0</v>
      </c>
      <c r="CZ2012" s="15" t="str">
        <f>('.'!M1024)</f>
        <v>0</v>
      </c>
      <c r="DA2012" s="31" t="str">
        <f>('.'!M1030)</f>
        <v>0</v>
      </c>
      <c r="DH2012" s="26" t="str">
        <f>('.'!A1024)</f>
        <v>0</v>
      </c>
      <c r="DI2012" s="15" t="str">
        <f>('.'!N1024)</f>
        <v>0</v>
      </c>
      <c r="DJ2012" s="31" t="str">
        <f>('.'!N1030)</f>
        <v>0</v>
      </c>
      <c r="DQ2012" s="26" t="str">
        <f>('.'!A1024)</f>
        <v>0</v>
      </c>
      <c r="DR2012" s="15" t="str">
        <f>('.'!O1024)</f>
        <v>0</v>
      </c>
      <c r="DS2012" s="31" t="str">
        <f>('.'!O1030)</f>
        <v>0</v>
      </c>
      <c r="DZ2012" s="26" t="str">
        <f>('.'!A1024)</f>
        <v>0</v>
      </c>
      <c r="EA2012" s="15" t="str">
        <f>('.'!P1024)</f>
        <v>0</v>
      </c>
      <c r="EB2012" s="31" t="str">
        <f>('.'!P1030)</f>
        <v>0</v>
      </c>
      <c r="EI2012" s="26" t="str">
        <f>('.'!A1024)</f>
        <v>0</v>
      </c>
      <c r="EJ2012" s="15" t="str">
        <f>('.'!Q1024)</f>
        <v>0</v>
      </c>
      <c r="EK2012" s="31" t="str">
        <f>('.'!Q1030)</f>
        <v>0</v>
      </c>
      <c r="ER2012" s="26" t="str">
        <f>('.'!A1024)</f>
        <v>0</v>
      </c>
      <c r="ES2012" s="15" t="str">
        <f>('.'!R1024)</f>
        <v>0</v>
      </c>
      <c r="ET2012" s="31" t="str">
        <f>('.'!R1030)</f>
        <v>0</v>
      </c>
      <c r="FA2012" s="26" t="str">
        <f>('.'!A1024)</f>
        <v>0</v>
      </c>
      <c r="FB2012" s="15" t="str">
        <f>('.'!S1024)</f>
        <v>0</v>
      </c>
      <c r="FC2012" s="31" t="str">
        <f>('.'!S1030)</f>
        <v>0</v>
      </c>
      <c r="FJ2012" s="26" t="str">
        <f>('.'!A1024)</f>
        <v>0</v>
      </c>
      <c r="FK2012" s="15" t="str">
        <f>('.'!T1024)</f>
        <v>0</v>
      </c>
      <c r="FL2012" s="31" t="str">
        <f>('.'!T1030)</f>
        <v>0</v>
      </c>
      <c r="FS2012" s="26" t="str">
        <f>('.'!A1024)</f>
        <v>0</v>
      </c>
      <c r="FT2012" s="15" t="str">
        <f>('.'!U1024)</f>
        <v>0</v>
      </c>
      <c r="FU2012" s="31" t="str">
        <f>('.'!U1030)</f>
        <v>0</v>
      </c>
      <c r="GB2012" s="26" t="str">
        <f>('.'!A1024)</f>
        <v>0</v>
      </c>
      <c r="GC2012" s="15" t="str">
        <f>('.'!V1024)</f>
        <v>0</v>
      </c>
      <c r="GD2012" s="31" t="str">
        <f>('.'!V1030)</f>
        <v>0</v>
      </c>
      <c r="GK2012" s="26" t="str">
        <f>('.'!A1024)</f>
        <v>0</v>
      </c>
      <c r="GL2012" s="15" t="str">
        <f>('.'!W1024)</f>
        <v>0</v>
      </c>
      <c r="GM2012" s="31" t="str">
        <f>('.'!W1030)</f>
        <v>0</v>
      </c>
    </row>
    <row r="2013" spans="1:197">
      <c r="D2013" s="26" t="str">
        <f>('.'!A1025)</f>
        <v>0</v>
      </c>
      <c r="E2013" s="15" t="str">
        <f>('.'!B1025)</f>
        <v>0</v>
      </c>
      <c r="F2013" s="31" t="str">
        <f>('.'!B1031)</f>
        <v>0</v>
      </c>
      <c r="M2013" s="26" t="str">
        <f>('.'!A1025)</f>
        <v>0</v>
      </c>
      <c r="N2013" s="15" t="str">
        <f>('.'!C1025)</f>
        <v>0</v>
      </c>
      <c r="O2013" s="31" t="str">
        <f>('.'!C1031)</f>
        <v>0</v>
      </c>
      <c r="V2013" s="26" t="str">
        <f>('.'!A1025)</f>
        <v>0</v>
      </c>
      <c r="W2013" s="15" t="str">
        <f>('.'!D1025)</f>
        <v>0</v>
      </c>
      <c r="X2013" s="31" t="str">
        <f>('.'!D1031)</f>
        <v>0</v>
      </c>
      <c r="AE2013" s="26" t="str">
        <f>('.'!A1025)</f>
        <v>0</v>
      </c>
      <c r="AF2013" s="15" t="str">
        <f>('.'!E1025)</f>
        <v>0</v>
      </c>
      <c r="AG2013" s="31" t="str">
        <f>('.'!E1031)</f>
        <v>0</v>
      </c>
      <c r="AN2013" s="26" t="str">
        <f>('.'!A1025)</f>
        <v>0</v>
      </c>
      <c r="AO2013" s="15" t="str">
        <f>('.'!F1025)</f>
        <v>0</v>
      </c>
      <c r="AP2013" s="31" t="str">
        <f>('.'!F1031)</f>
        <v>0</v>
      </c>
      <c r="AW2013" s="26" t="str">
        <f>('.'!A1025)</f>
        <v>0</v>
      </c>
      <c r="AX2013" s="15" t="str">
        <f>('.'!G1025)</f>
        <v>0</v>
      </c>
      <c r="AY2013" s="31" t="str">
        <f>('.'!G1031)</f>
        <v>0</v>
      </c>
      <c r="BF2013" s="26" t="str">
        <f>('.'!A1025)</f>
        <v>0</v>
      </c>
      <c r="BG2013" s="15" t="str">
        <f>('.'!H1025)</f>
        <v>0</v>
      </c>
      <c r="BH2013" s="31" t="str">
        <f>('.'!H1031)</f>
        <v>0</v>
      </c>
      <c r="BO2013" s="26" t="str">
        <f>('.'!A1025)</f>
        <v>0</v>
      </c>
      <c r="BP2013" s="15" t="str">
        <f>('.'!I1025)</f>
        <v>0</v>
      </c>
      <c r="BQ2013" s="31" t="str">
        <f>('.'!I1031)</f>
        <v>0</v>
      </c>
      <c r="BX2013" s="26" t="str">
        <f>('.'!A1025)</f>
        <v>0</v>
      </c>
      <c r="BY2013" s="15" t="str">
        <f>('.'!J1025)</f>
        <v>0</v>
      </c>
      <c r="BZ2013" s="31" t="str">
        <f>('.'!J1031)</f>
        <v>0</v>
      </c>
      <c r="CG2013" s="26" t="str">
        <f>('.'!A1025)</f>
        <v>0</v>
      </c>
      <c r="CH2013" s="15" t="str">
        <f>('.'!K1025)</f>
        <v>0</v>
      </c>
      <c r="CI2013" s="31" t="str">
        <f>('.'!K1031)</f>
        <v>0</v>
      </c>
      <c r="CP2013" s="26" t="str">
        <f>('.'!A1025)</f>
        <v>0</v>
      </c>
      <c r="CQ2013" s="15" t="str">
        <f>('.'!L1025)</f>
        <v>0</v>
      </c>
      <c r="CR2013" s="31" t="str">
        <f>('.'!L1031)</f>
        <v>0</v>
      </c>
      <c r="CY2013" s="26" t="str">
        <f>('.'!A1025)</f>
        <v>0</v>
      </c>
      <c r="CZ2013" s="15" t="str">
        <f>('.'!M1025)</f>
        <v>0</v>
      </c>
      <c r="DA2013" s="31" t="str">
        <f>('.'!M1031)</f>
        <v>0</v>
      </c>
      <c r="DH2013" s="26" t="str">
        <f>('.'!A1025)</f>
        <v>0</v>
      </c>
      <c r="DI2013" s="15" t="str">
        <f>('.'!N1025)</f>
        <v>0</v>
      </c>
      <c r="DJ2013" s="31" t="str">
        <f>('.'!N1031)</f>
        <v>0</v>
      </c>
      <c r="DQ2013" s="26" t="str">
        <f>('.'!A1025)</f>
        <v>0</v>
      </c>
      <c r="DR2013" s="15" t="str">
        <f>('.'!O1025)</f>
        <v>0</v>
      </c>
      <c r="DS2013" s="31" t="str">
        <f>('.'!O1031)</f>
        <v>0</v>
      </c>
      <c r="DZ2013" s="26" t="str">
        <f>('.'!A1025)</f>
        <v>0</v>
      </c>
      <c r="EA2013" s="15" t="str">
        <f>('.'!P1025)</f>
        <v>0</v>
      </c>
      <c r="EB2013" s="31" t="str">
        <f>('.'!P1031)</f>
        <v>0</v>
      </c>
      <c r="EI2013" s="26" t="str">
        <f>('.'!A1025)</f>
        <v>0</v>
      </c>
      <c r="EJ2013" s="15" t="str">
        <f>('.'!Q1025)</f>
        <v>0</v>
      </c>
      <c r="EK2013" s="31" t="str">
        <f>('.'!Q1031)</f>
        <v>0</v>
      </c>
      <c r="ER2013" s="26" t="str">
        <f>('.'!A1025)</f>
        <v>0</v>
      </c>
      <c r="ES2013" s="15" t="str">
        <f>('.'!R1025)</f>
        <v>0</v>
      </c>
      <c r="ET2013" s="31" t="str">
        <f>('.'!R1031)</f>
        <v>0</v>
      </c>
      <c r="FA2013" s="26" t="str">
        <f>('.'!A1025)</f>
        <v>0</v>
      </c>
      <c r="FB2013" s="15" t="str">
        <f>('.'!S1025)</f>
        <v>0</v>
      </c>
      <c r="FC2013" s="31" t="str">
        <f>('.'!S1031)</f>
        <v>0</v>
      </c>
      <c r="FJ2013" s="26" t="str">
        <f>('.'!A1025)</f>
        <v>0</v>
      </c>
      <c r="FK2013" s="15" t="str">
        <f>('.'!T1025)</f>
        <v>0</v>
      </c>
      <c r="FL2013" s="31" t="str">
        <f>('.'!T1031)</f>
        <v>0</v>
      </c>
      <c r="FS2013" s="26" t="str">
        <f>('.'!A1025)</f>
        <v>0</v>
      </c>
      <c r="FT2013" s="15" t="str">
        <f>('.'!U1025)</f>
        <v>0</v>
      </c>
      <c r="FU2013" s="31" t="str">
        <f>('.'!U1031)</f>
        <v>0</v>
      </c>
      <c r="GB2013" s="26" t="str">
        <f>('.'!A1025)</f>
        <v>0</v>
      </c>
      <c r="GC2013" s="15" t="str">
        <f>('.'!V1025)</f>
        <v>0</v>
      </c>
      <c r="GD2013" s="31" t="str">
        <f>('.'!V1031)</f>
        <v>0</v>
      </c>
      <c r="GK2013" s="26" t="str">
        <f>('.'!A1025)</f>
        <v>0</v>
      </c>
      <c r="GL2013" s="15" t="str">
        <f>('.'!W1025)</f>
        <v>0</v>
      </c>
      <c r="GM2013" s="31" t="str">
        <f>('.'!W1031)</f>
        <v>0</v>
      </c>
    </row>
    <row r="2046" spans="1:197">
      <c r="D2046" t="str">
        <f>IF(E2046=F2008,D2008,IF(E2046=F2009,D2009,IF(E2046=F2010,D2010,IF(E2046=F2011,D2011,IF(E2046=F2012,D2012,"ALGO ESTA MAL")))))</f>
        <v>0</v>
      </c>
      <c r="E2046" s="34" t="str">
        <f>LARGE($F$2008:$F$2012,C1046)</f>
        <v>0</v>
      </c>
      <c r="F2046" s="34" t="str">
        <f>IF(E2046&gt;0.1%,E2046,"Algo Esta Mal")</f>
        <v>0</v>
      </c>
      <c r="G2046" s="33" t="str">
        <f>IF(F2046=E2046,D2046," ")</f>
        <v>0</v>
      </c>
      <c r="M2046" t="str">
        <f>IF(N2046=O2008,M2008,IF(N2046=O2009,M2009,IF(N2046=O2010,M2010,IF(N2046=O2011,M2011,IF(N2046=O2012,M2012,"ALGO ESTA MAL")))))</f>
        <v>0</v>
      </c>
      <c r="N2046" s="34" t="str">
        <f>LARGE($O$2008:$O$2012,L1046)</f>
        <v>0</v>
      </c>
      <c r="O2046" s="34" t="str">
        <f>IF(N2046&gt;0.1%,N2046,"Algo Esta Mal")</f>
        <v>0</v>
      </c>
      <c r="P2046" s="33" t="str">
        <f>IF(O2046=N2046,M2046," ")</f>
        <v>0</v>
      </c>
      <c r="V2046" t="str">
        <f>IF(W2046=X2008,V2008,IF(W2046=X2009,V2009,IF(W2046=X2010,V2010,IF(W2046=X2011,V2011,IF(W2046=X2012,V2012,"ALGO ESTA MAL")))))</f>
        <v>0</v>
      </c>
      <c r="W2046" s="34" t="str">
        <f>LARGE($X$2008:$X$2012,U1046)</f>
        <v>0</v>
      </c>
      <c r="X2046" s="34" t="str">
        <f>IF(W2046&gt;0.1%,W2046,"Algo Esta Mal")</f>
        <v>0</v>
      </c>
      <c r="Y2046" s="33" t="str">
        <f>IF(X2046=W2046,V2046," ")</f>
        <v>0</v>
      </c>
      <c r="AE2046" t="str">
        <f>IF(AF2046=AG2008,AE2008,IF(AF2046=AG2009,AE2009,IF(AF2046=AG2010,AE2010,IF(AF2046=AG2011,AE2011,IF(AF2046=AG2012,AE2012,"ALGO ESTA MAL")))))</f>
        <v>0</v>
      </c>
      <c r="AF2046" s="34" t="str">
        <f>LARGE($AG$2008:$AG$2012,AD1046)</f>
        <v>0</v>
      </c>
      <c r="AG2046" s="34" t="str">
        <f>IF(AF2046&gt;0.1%,AF2046,"Algo Esta Mal")</f>
        <v>0</v>
      </c>
      <c r="AH2046" s="33" t="str">
        <f>IF(AG2046=AF2046,AE2046," ")</f>
        <v>0</v>
      </c>
      <c r="AN2046" t="str">
        <f>IF(AO2046=AP2008,AN2008,IF(AO2046=AP2009,AN2009,IF(AO2046=AP2010,AN2010,IF(AO2046=AP2011,AN2011,IF(AO2046=AP2012,AN2012,"ALGO ESTA MAL")))))</f>
        <v>0</v>
      </c>
      <c r="AO2046" s="34" t="str">
        <f>LARGE($AP$2008:$AP$2012,AM1046)</f>
        <v>0</v>
      </c>
      <c r="AP2046" s="34" t="str">
        <f>IF(AO2046&gt;0.1%,AO2046,"Algo Esta Mal")</f>
        <v>0</v>
      </c>
      <c r="AQ2046" s="33" t="str">
        <f>IF(AP2046=AO2046,AN2046," ")</f>
        <v>0</v>
      </c>
      <c r="AW2046" t="str">
        <f>IF(AX2046=AY2008,AW2008,IF(AX2046=AY2009,AW2009,IF(AX2046=AY2010,AW2010,IF(AX2046=AY2011,AW2011,IF(AX2046=AY2012,AW2012,"ALGO ESTA MAL")))))</f>
        <v>0</v>
      </c>
      <c r="AX2046" s="34" t="str">
        <f>LARGE($AY$2008:$AY$2012,AV1046)</f>
        <v>0</v>
      </c>
      <c r="AY2046" s="34" t="str">
        <f>IF(AX2046&gt;0.1%,AX2046,"Algo Esta Mal")</f>
        <v>0</v>
      </c>
      <c r="AZ2046" s="33" t="str">
        <f>IF(AY2046=AX2046,AW2046," ")</f>
        <v>0</v>
      </c>
      <c r="BF2046" t="str">
        <f>IF(BG2046=BH2008,BF2008,IF(BG2046=BH2009,BF2009,IF(BG2046=BH2010,BF2010,IF(BG2046=BH2011,BF2011,IF(BG2046=BH2012,BF2012,"ALGO ESTA MAL")))))</f>
        <v>0</v>
      </c>
      <c r="BG2046" s="34" t="str">
        <f>LARGE($BH$2008:$BH$2012,BE1046)</f>
        <v>0</v>
      </c>
      <c r="BH2046" s="34" t="str">
        <f>IF(BG2046&gt;0.1%,BG2046,"Algo Esta Mal")</f>
        <v>0</v>
      </c>
      <c r="BI2046" s="33" t="str">
        <f>IF(BH2046=BG2046,BF2046," ")</f>
        <v>0</v>
      </c>
      <c r="BO2046" t="str">
        <f>IF(BP2046=BQ2008,BO2008,IF(BP2046=BQ2009,BO2009,IF(BP2046=BQ2010,BO2010,IF(BP2046=BQ2011,BO2011,IF(BP2046=BQ2012,BO2012,"ALGO ESTA MAL")))))</f>
        <v>0</v>
      </c>
      <c r="BP2046" s="34" t="str">
        <f>LARGE($BQ$2008:$BQ$2012,BN1046)</f>
        <v>0</v>
      </c>
      <c r="BQ2046" s="34" t="str">
        <f>IF(BP2046&gt;0.1%,BP2046,"Algo Esta Mal")</f>
        <v>0</v>
      </c>
      <c r="BR2046" s="33" t="str">
        <f>IF(BQ2046=BP2046,BO2046," ")</f>
        <v>0</v>
      </c>
      <c r="BX2046" t="str">
        <f>IF(BY2046=BZ2008,BX2008,IF(BY2046=BZ2009,BX2009,IF(BY2046=BZ2010,BX2010,IF(BY2046=BZ2011,BX2011,IF(BY2046=BZ2012,BX2012,"ALGO ESTA MAL")))))</f>
        <v>0</v>
      </c>
      <c r="BY2046" s="34" t="str">
        <f>LARGE($BZ$2008:$BZ$2012,BW1046)</f>
        <v>0</v>
      </c>
      <c r="BZ2046" s="34" t="str">
        <f>IF(BY2046&gt;0.1%,BY2046,"Algo Esta Mal")</f>
        <v>0</v>
      </c>
      <c r="CA2046" s="33" t="str">
        <f>IF(BZ2046=BY2046,BX2046," ")</f>
        <v>0</v>
      </c>
      <c r="CG2046" t="str">
        <f>IF(CH2046=CI2008,CG2008,IF(CH2046=CI2009,CG2009,IF(CH2046=CI2010,CG2010,IF(CH2046=CI2011,CG2011,IF(CH2046=CI2012,CG2012,"ALGO ESTA MAL")))))</f>
        <v>0</v>
      </c>
      <c r="CH2046" s="34" t="str">
        <f>LARGE($CI$2008:$CI$2012,CF1046)</f>
        <v>0</v>
      </c>
      <c r="CI2046" s="34" t="str">
        <f>IF(CH2046&gt;0.1%,CH2046,"Algo Esta Mal")</f>
        <v>0</v>
      </c>
      <c r="CJ2046" s="33" t="str">
        <f>IF(CI2046=CH2046,CG2046," ")</f>
        <v>0</v>
      </c>
      <c r="CP2046" t="str">
        <f>IF(CQ2046=CR2008,CP2008,IF(CQ2046=CR2009,CP2009,IF(CQ2046=CR2010,CP2010,IF(CQ2046=CR2011,CP2011,IF(CQ2046=CR2012,CP2012,"ALGO ESTA MAL")))))</f>
        <v>0</v>
      </c>
      <c r="CQ2046" s="34" t="str">
        <f>LARGE($CR$2008:$CR$2012,CO1046)</f>
        <v>0</v>
      </c>
      <c r="CR2046" s="34" t="str">
        <f>IF(CQ2046&gt;0.1%,CQ2046,"Algo Esta Mal")</f>
        <v>0</v>
      </c>
      <c r="CS2046" s="33" t="str">
        <f>IF(CR2046=CQ2046,CP2046," ")</f>
        <v>0</v>
      </c>
      <c r="CY2046" t="str">
        <f>IF(CZ2046=DA2008,CY2008,IF(CZ2046=DA2009,CY2009,IF(CZ2046=DA2010,CY2010,IF(CZ2046=DA2011,CY2011,IF(CZ2046=DA2012,CY2012,"ALGO ESTA MAL")))))</f>
        <v>0</v>
      </c>
      <c r="CZ2046" s="34" t="str">
        <f>LARGE($DA$2008:$DA$2012,CX1046)</f>
        <v>0</v>
      </c>
      <c r="DA2046" s="34" t="str">
        <f>IF(CZ2046&gt;0.1%,CZ2046,"Algo Esta Mal")</f>
        <v>0</v>
      </c>
      <c r="DB2046" s="33" t="str">
        <f>IF(DA2046=CZ2046,CY2046," ")</f>
        <v>0</v>
      </c>
      <c r="DH2046" t="str">
        <f>IF(DI2046=DJ2008,DH2008,IF(DI2046=DJ2009,DH2009,IF(DI2046=DJ2010,DH2010,IF(DI2046=DJ2011,DH2011,IF(DI2046=DJ2012,DH2012,"ALGO ESTA MAL")))))</f>
        <v>0</v>
      </c>
      <c r="DI2046" s="34" t="str">
        <f>LARGE($DJ$2008:$DJ$2012,DG1046)</f>
        <v>0</v>
      </c>
      <c r="DJ2046" s="34" t="str">
        <f>IF(DI2046&gt;0.1%,DI2046,"Algo Esta Mal")</f>
        <v>0</v>
      </c>
      <c r="DK2046" s="33" t="str">
        <f>IF(DJ2046=DI2046,DH2046," ")</f>
        <v>0</v>
      </c>
      <c r="DQ2046" t="str">
        <f>IF(DR2046=DS2008,DQ2008,IF(DR2046=DS2009,DQ2009,IF(DR2046=DS2010,DQ2010,IF(DR2046=DS2011,DQ2011,IF(DR2046=DS2012,DQ2012,"ALGO ESTA MAL")))))</f>
        <v>0</v>
      </c>
      <c r="DR2046" s="34" t="str">
        <f>LARGE($DS$2008:$DS$2012,DP1046)</f>
        <v>0</v>
      </c>
      <c r="DS2046" s="34" t="str">
        <f>IF(DR2046&gt;0.1%,DR2046,"Algo Esta Mal")</f>
        <v>0</v>
      </c>
      <c r="DT2046" s="33" t="str">
        <f>IF(DS2046=DR2046,DQ2046," ")</f>
        <v>0</v>
      </c>
      <c r="DZ2046" t="str">
        <f>IF(EA2046=EB2008,DZ2008,IF(EA2046=EB2009,DZ2009,IF(EA2046=EB2010,DZ2010,IF(EA2046=EB2011,DZ2011,IF(EA2046=EB2012,DZ2012,"ALGO ESTA MAL")))))</f>
        <v>0</v>
      </c>
      <c r="EA2046" s="34" t="str">
        <f>LARGE($EB$2008:$EB$2012,DY1046)</f>
        <v>0</v>
      </c>
      <c r="EB2046" s="34" t="str">
        <f>IF(EA2046&gt;0.1%,EA2046,"Algo Esta Mal")</f>
        <v>0</v>
      </c>
      <c r="EC2046" s="33" t="str">
        <f>IF(EB2046=EA2046,DZ2046," ")</f>
        <v>0</v>
      </c>
      <c r="EI2046" t="str">
        <f>IF(EJ2046=EK2008,EI2008,IF(EJ2046=EK2009,EI2009,IF(EJ2046=EK2010,EI2010,IF(EJ2046=EK2011,EI2011,IF(EJ2046=EK2012,EI2012,"ALGO ESTA MAL")))))</f>
        <v>0</v>
      </c>
      <c r="EJ2046" s="34" t="str">
        <f>LARGE($EK$2008:$EK$2012,EH1046)</f>
        <v>0</v>
      </c>
      <c r="EK2046" s="34" t="str">
        <f>IF(EJ2046&gt;0.1%,EJ2046,"Algo Esta Mal")</f>
        <v>0</v>
      </c>
      <c r="EL2046" s="33" t="str">
        <f>IF(EK2046=EJ2046,EI2046," ")</f>
        <v>0</v>
      </c>
      <c r="ER2046" t="str">
        <f>IF(ES2046=ET2008,ER2008,IF(ES2046=ET2009,ER2009,IF(ES2046=ET2010,ER2010,IF(ES2046=ET2011,ER2011,IF(ES2046=ET2012,ER2012,"ALGO ESTA MAL")))))</f>
        <v>0</v>
      </c>
      <c r="ES2046" s="34" t="str">
        <f>LARGE($ET$2008:$ET$2012,EQ1046)</f>
        <v>0</v>
      </c>
      <c r="ET2046" s="34" t="str">
        <f>IF(ES2046&gt;0.1%,ES2046,"Algo Esta Mal")</f>
        <v>0</v>
      </c>
      <c r="EU2046" s="33" t="str">
        <f>IF(ET2046=ES2046,ER2046," ")</f>
        <v>0</v>
      </c>
      <c r="FA2046" t="str">
        <f>IF(FB2046=FC2008,FA2008,IF(FB2046=FC2009,FA2009,IF(FB2046=FC2010,FA2010,IF(FB2046=FC2011,FA2011,IF(FB2046=FC2012,FA2012,"ALGO ESTA MAL")))))</f>
        <v>0</v>
      </c>
      <c r="FB2046" s="34" t="str">
        <f>LARGE($FC$2008:$FC$2012,EZ1046)</f>
        <v>0</v>
      </c>
      <c r="FC2046" s="34" t="str">
        <f>IF(FB2046&gt;0.1%,FB2046,"Algo Esta Mal")</f>
        <v>0</v>
      </c>
      <c r="FD2046" s="33" t="str">
        <f>IF(FC2046=FB2046,FA2046," ")</f>
        <v>0</v>
      </c>
      <c r="FJ2046" t="str">
        <f>IF(FK2046=FL2008,FJ2008,IF(FK2046=FL2009,FJ2009,IF(FK2046=FL2010,FJ2010,IF(FK2046=FL2011,FJ2011,IF(FK2046=FL2012,FJ2012,"ALGO ESTA MAL")))))</f>
        <v>0</v>
      </c>
      <c r="FK2046" s="34" t="str">
        <f>LARGE($FL$2008:$FL$2012,FI1046)</f>
        <v>0</v>
      </c>
      <c r="FL2046" s="34" t="str">
        <f>IF(FK2046&gt;0.1%,FK2046,"Algo Esta Mal")</f>
        <v>0</v>
      </c>
      <c r="FM2046" s="33" t="str">
        <f>IF(FL2046=FK2046,FJ2046," ")</f>
        <v>0</v>
      </c>
      <c r="FS2046" t="str">
        <f>IF(FT2046=FU2008,FS2008,IF(FT2046=FU2009,FS2009,IF(FT2046=FU2010,FS2010,IF(FT2046=FU2011,FS2011,IF(FT2046=FU2012,FS2012,"ALGO ESTA MAL")))))</f>
        <v>0</v>
      </c>
      <c r="FT2046" s="34" t="str">
        <f>LARGE($FU$2008:$FU$2012,FR1046)</f>
        <v>0</v>
      </c>
      <c r="FU2046" s="34" t="str">
        <f>IF(FT2046&gt;0.1%,FT2046,"Algo Esta Mal")</f>
        <v>0</v>
      </c>
      <c r="FV2046" s="33" t="str">
        <f>IF(FU2046=FT2046,FS2046," ")</f>
        <v>0</v>
      </c>
      <c r="GB2046" t="str">
        <f>IF(GC2046=GD2008,GB2008,IF(GC2046=GD2009,GB2009,IF(GC2046=GD2010,GB2010,IF(GC2046=GD2011,GB2011,IF(GC2046=GD2012,GB2012,"ALGO ESTA MAL")))))</f>
        <v>0</v>
      </c>
      <c r="GC2046" s="34" t="str">
        <f>LARGE($GD$2008:$GD$2012,GA1046)</f>
        <v>0</v>
      </c>
      <c r="GD2046" s="34" t="str">
        <f>IF(GC2046&gt;0.1%,GC2046,"Algo Esta Mal")</f>
        <v>0</v>
      </c>
      <c r="GE2046" s="33" t="str">
        <f>IF(GD2046=GC2046,GB2046," ")</f>
        <v>0</v>
      </c>
      <c r="GK2046" t="str">
        <f>IF(GL2046=GM2008,GK2008,IF(GL2046=GM2009,GK2009,IF(GL2046=GM2010,GK2010,IF(GL2046=GM2011,GK2011,IF(GL2046=GM2012,GK2012,"ALGO ESTA MAL")))))</f>
        <v>0</v>
      </c>
      <c r="GL2046" s="34" t="str">
        <f>LARGE($GM$2008:$GM$2012,GJ1046)</f>
        <v>0</v>
      </c>
      <c r="GM2046" s="34" t="str">
        <f>IF(GL2046&gt;0.1%,GL2046,"Algo Esta Mal")</f>
        <v>0</v>
      </c>
      <c r="GN2046" s="33" t="str">
        <f>IF(GM2046=GL2046,GK2046," ")</f>
        <v>0</v>
      </c>
    </row>
    <row r="2047" spans="1:197">
      <c r="D2047" t="str">
        <f>IF(E2047=F2008,D2008,IF(E2047=F2009,D2009,IF(E2047=F2010,D2010,IF(E2047=F2011,D2011,IF(E2047=F2012,D2012,"ALGO ESTA MAL")))))</f>
        <v>0</v>
      </c>
      <c r="E2047" s="34" t="str">
        <f>LARGE($F$2008:$F$2012,C1047)</f>
        <v>0</v>
      </c>
      <c r="F2047" s="34" t="str">
        <f>IF(E2047&gt;0.1%,E2047,"Algo Esta Mal")</f>
        <v>0</v>
      </c>
      <c r="G2047" s="33" t="str">
        <f>IF(F2047=E2047,D2047," ")</f>
        <v>0</v>
      </c>
      <c r="M2047" t="str">
        <f>IF(N2047=O2008,M2008,IF(N2047=O2009,M2009,IF(N2047=O2010,M2010,IF(N2047=O2011,M2011,IF(N2047=O2012,M2012,"ALGO ESTA MAL")))))</f>
        <v>0</v>
      </c>
      <c r="N2047" s="34" t="str">
        <f>LARGE($O$2008:$O$2012,L1047)</f>
        <v>0</v>
      </c>
      <c r="O2047" s="34" t="str">
        <f>IF(N2047&gt;0.1%,N2047,"Algo Esta Mal")</f>
        <v>0</v>
      </c>
      <c r="P2047" s="33" t="str">
        <f>IF(O2047=N2047,M2047," ")</f>
        <v>0</v>
      </c>
      <c r="V2047" t="str">
        <f>IF(W2047=X2008,V2008,IF(W2047=X2009,V2009,IF(W2047=X2010,V2010,IF(W2047=X2011,V2011,IF(W2047=X2012,V2012,"ALGO ESTA MAL")))))</f>
        <v>0</v>
      </c>
      <c r="W2047" s="34" t="str">
        <f>LARGE($X$2008:$X$2012,U1047)</f>
        <v>0</v>
      </c>
      <c r="X2047" s="34" t="str">
        <f>IF(W2047&gt;0.1%,W2047,"Algo Esta Mal")</f>
        <v>0</v>
      </c>
      <c r="Y2047" s="33" t="str">
        <f>IF(X2047=W2047,V2047," ")</f>
        <v>0</v>
      </c>
      <c r="AE2047" t="str">
        <f>IF(AF2047=AG2008,AE2008,IF(AF2047=AG2009,AE2009,IF(AF2047=AG2010,AE2010,IF(AF2047=AG2011,AE2011,IF(AF2047=AG2012,AE2012,"ALGO ESTA MAL")))))</f>
        <v>0</v>
      </c>
      <c r="AF2047" s="34" t="str">
        <f>LARGE($AG$2008:$AG$2012,AD1047)</f>
        <v>0</v>
      </c>
      <c r="AG2047" s="34" t="str">
        <f>IF(AF2047&gt;0.1%,AF2047,"Algo Esta Mal")</f>
        <v>0</v>
      </c>
      <c r="AH2047" s="33" t="str">
        <f>IF(AG2047=AF2047,AE2047," ")</f>
        <v>0</v>
      </c>
      <c r="AN2047" t="str">
        <f>IF(AO2047=AP2008,AN2008,IF(AO2047=AP2009,AN2009,IF(AO2047=AP2010,AN2010,IF(AO2047=AP2011,AN2011,IF(AO2047=AP2012,AN2012,"ALGO ESTA MAL")))))</f>
        <v>0</v>
      </c>
      <c r="AO2047" s="34" t="str">
        <f>LARGE($AP$2008:$AP$2012,AM1047)</f>
        <v>0</v>
      </c>
      <c r="AP2047" s="34" t="str">
        <f>IF(AO2047&gt;0.1%,AO2047,"Algo Esta Mal")</f>
        <v>0</v>
      </c>
      <c r="AQ2047" s="33" t="str">
        <f>IF(AP2047=AO2047,AN2047," ")</f>
        <v>0</v>
      </c>
      <c r="AW2047" t="str">
        <f>IF(AX2047=AY2008,AW2008,IF(AX2047=AY2009,AW2009,IF(AX2047=AY2010,AW2010,IF(AX2047=AY2011,AW2011,IF(AX2047=AY2012,AW2012,"ALGO ESTA MAL")))))</f>
        <v>0</v>
      </c>
      <c r="AX2047" s="34" t="str">
        <f>LARGE($AY$2008:$AY$2012,AV1047)</f>
        <v>0</v>
      </c>
      <c r="AY2047" s="34" t="str">
        <f>IF(AX2047&gt;0.1%,AX2047,"Algo Esta Mal")</f>
        <v>0</v>
      </c>
      <c r="AZ2047" s="33" t="str">
        <f>IF(AY2047=AX2047,AW2047," ")</f>
        <v>0</v>
      </c>
      <c r="BF2047" t="str">
        <f>IF(BG2047=BH2008,BF2008,IF(BG2047=BH2009,BF2009,IF(BG2047=BH2010,BF2010,IF(BG2047=BH2011,BF2011,IF(BG2047=BH2012,BF2012,"ALGO ESTA MAL")))))</f>
        <v>0</v>
      </c>
      <c r="BG2047" s="34" t="str">
        <f>LARGE($BH$2008:$BH$2012,BE1047)</f>
        <v>0</v>
      </c>
      <c r="BH2047" s="34" t="str">
        <f>IF(BG2047&gt;0.1%,BG2047,"Algo Esta Mal")</f>
        <v>0</v>
      </c>
      <c r="BI2047" s="33" t="str">
        <f>IF(BH2047=BG2047,BF2047," ")</f>
        <v>0</v>
      </c>
      <c r="BO2047" t="str">
        <f>IF(BP2047=BQ2008,BO2008,IF(BP2047=BQ2009,BO2009,IF(BP2047=BQ2010,BO2010,IF(BP2047=BQ2011,BO2011,IF(BP2047=BQ2012,BO2012,"ALGO ESTA MAL")))))</f>
        <v>0</v>
      </c>
      <c r="BP2047" s="34" t="str">
        <f>LARGE($BQ$2008:$BQ$2012,BN1047)</f>
        <v>0</v>
      </c>
      <c r="BQ2047" s="34" t="str">
        <f>IF(BP2047&gt;0.1%,BP2047,"Algo Esta Mal")</f>
        <v>0</v>
      </c>
      <c r="BR2047" s="33" t="str">
        <f>IF(BQ2047=BP2047,BO2047," ")</f>
        <v>0</v>
      </c>
      <c r="BX2047" t="str">
        <f>IF(BY2047=BZ2008,BX2008,IF(BY2047=BZ2009,BX2009,IF(BY2047=BZ2010,BX2010,IF(BY2047=BZ2011,BX2011,IF(BY2047=BZ2012,BX2012,"ALGO ESTA MAL")))))</f>
        <v>0</v>
      </c>
      <c r="BY2047" s="34" t="str">
        <f>LARGE($BZ$2008:$BZ$2012,BW1047)</f>
        <v>0</v>
      </c>
      <c r="BZ2047" s="34" t="str">
        <f>IF(BY2047&gt;0.1%,BY2047,"Algo Esta Mal")</f>
        <v>0</v>
      </c>
      <c r="CA2047" s="33" t="str">
        <f>IF(BZ2047=BY2047,BX2047," ")</f>
        <v>0</v>
      </c>
      <c r="CG2047" t="str">
        <f>IF(CH2047=CI2008,CG2008,IF(CH2047=CI2009,CG2009,IF(CH2047=CI2010,CG2010,IF(CH2047=CI2011,CG2011,IF(CH2047=CI2012,CG2012,"ALGO ESTA MAL")))))</f>
        <v>0</v>
      </c>
      <c r="CH2047" s="34" t="str">
        <f>LARGE($CI$2008:$CI$2012,CF1047)</f>
        <v>0</v>
      </c>
      <c r="CI2047" s="34" t="str">
        <f>IF(CH2047&gt;0.1%,CH2047,"Algo Esta Mal")</f>
        <v>0</v>
      </c>
      <c r="CJ2047" s="33" t="str">
        <f>IF(CI2047=CH2047,CG2047," ")</f>
        <v>0</v>
      </c>
      <c r="CP2047" t="str">
        <f>IF(CQ2047=CR2008,CP2008,IF(CQ2047=CR2009,CP2009,IF(CQ2047=CR2010,CP2010,IF(CQ2047=CR2011,CP2011,IF(CQ2047=CR2012,CP2012,"ALGO ESTA MAL")))))</f>
        <v>0</v>
      </c>
      <c r="CQ2047" s="34" t="str">
        <f>LARGE($CR$2008:$CR$2012,CO1047)</f>
        <v>0</v>
      </c>
      <c r="CR2047" s="34" t="str">
        <f>IF(CQ2047&gt;0.1%,CQ2047,"Algo Esta Mal")</f>
        <v>0</v>
      </c>
      <c r="CS2047" s="33" t="str">
        <f>IF(CR2047=CQ2047,CP2047," ")</f>
        <v>0</v>
      </c>
      <c r="CY2047" t="str">
        <f>IF(CZ2047=DA2008,CY2008,IF(CZ2047=DA2009,CY2009,IF(CZ2047=DA2010,CY2010,IF(CZ2047=DA2011,CY2011,IF(CZ2047=DA2012,CY2012,"ALGO ESTA MAL")))))</f>
        <v>0</v>
      </c>
      <c r="CZ2047" s="34" t="str">
        <f>LARGE($DA$2008:$DA$2012,CX1047)</f>
        <v>0</v>
      </c>
      <c r="DA2047" s="34" t="str">
        <f>IF(CZ2047&gt;0.1%,CZ2047,"Algo Esta Mal")</f>
        <v>0</v>
      </c>
      <c r="DB2047" s="33" t="str">
        <f>IF(DA2047=CZ2047,CY2047," ")</f>
        <v>0</v>
      </c>
      <c r="DH2047" t="str">
        <f>IF(DI2047=DJ2008,DH2008,IF(DI2047=DJ2009,DH2009,IF(DI2047=DJ2010,DH2010,IF(DI2047=DJ2011,DH2011,IF(DI2047=DJ2012,DH2012,"ALGO ESTA MAL")))))</f>
        <v>0</v>
      </c>
      <c r="DI2047" s="34" t="str">
        <f>LARGE($DJ$2008:$DJ$2012,DG1047)</f>
        <v>0</v>
      </c>
      <c r="DJ2047" s="34" t="str">
        <f>IF(DI2047&gt;0.1%,DI2047,"Algo Esta Mal")</f>
        <v>0</v>
      </c>
      <c r="DK2047" s="33" t="str">
        <f>IF(DJ2047=DI2047,DH2047," ")</f>
        <v>0</v>
      </c>
      <c r="DQ2047" t="str">
        <f>IF(DR2047=DS2008,DQ2008,IF(DR2047=DS2009,DQ2009,IF(DR2047=DS2010,DQ2010,IF(DR2047=DS2011,DQ2011,IF(DR2047=DS2012,DQ2012,"ALGO ESTA MAL")))))</f>
        <v>0</v>
      </c>
      <c r="DR2047" s="34" t="str">
        <f>LARGE($DS$2008:$DS$2012,DP1047)</f>
        <v>0</v>
      </c>
      <c r="DS2047" s="34" t="str">
        <f>IF(DR2047&gt;0.1%,DR2047,"Algo Esta Mal")</f>
        <v>0</v>
      </c>
      <c r="DT2047" s="33" t="str">
        <f>IF(DS2047=DR2047,DQ2047," ")</f>
        <v>0</v>
      </c>
      <c r="DZ2047" t="str">
        <f>IF(EA2047=EB2008,DZ2008,IF(EA2047=EB2009,DZ2009,IF(EA2047=EB2010,DZ2010,IF(EA2047=EB2011,DZ2011,IF(EA2047=EB2012,DZ2012,"ALGO ESTA MAL")))))</f>
        <v>0</v>
      </c>
      <c r="EA2047" s="34" t="str">
        <f>LARGE($EB$2008:$EB$2012,DY1047)</f>
        <v>0</v>
      </c>
      <c r="EB2047" s="34" t="str">
        <f>IF(EA2047&gt;0.1%,EA2047,"Algo Esta Mal")</f>
        <v>0</v>
      </c>
      <c r="EC2047" s="33" t="str">
        <f>IF(EB2047=EA2047,DZ2047," ")</f>
        <v>0</v>
      </c>
      <c r="EI2047" t="str">
        <f>IF(EJ2047=EK2008,EI2008,IF(EJ2047=EK2009,EI2009,IF(EJ2047=EK2010,EI2010,IF(EJ2047=EK2011,EI2011,IF(EJ2047=EK2012,EI2012,"ALGO ESTA MAL")))))</f>
        <v>0</v>
      </c>
      <c r="EJ2047" s="34" t="str">
        <f>LARGE($EK$2008:$EK$2012,EH1047)</f>
        <v>0</v>
      </c>
      <c r="EK2047" s="34" t="str">
        <f>IF(EJ2047&gt;0.1%,EJ2047,"Algo Esta Mal")</f>
        <v>0</v>
      </c>
      <c r="EL2047" s="33" t="str">
        <f>IF(EK2047=EJ2047,EI2047," ")</f>
        <v>0</v>
      </c>
      <c r="ER2047" t="str">
        <f>IF(ES2047=ET2008,ER2008,IF(ES2047=ET2009,ER2009,IF(ES2047=ET2010,ER2010,IF(ES2047=ET2011,ER2011,IF(ES2047=ET2012,ER2012,"ALGO ESTA MAL")))))</f>
        <v>0</v>
      </c>
      <c r="ES2047" s="34" t="str">
        <f>LARGE($ET$2008:$ET$2012,EQ1047)</f>
        <v>0</v>
      </c>
      <c r="ET2047" s="34" t="str">
        <f>IF(ES2047&gt;0.1%,ES2047,"Algo Esta Mal")</f>
        <v>0</v>
      </c>
      <c r="EU2047" s="33" t="str">
        <f>IF(ET2047=ES2047,ER2047," ")</f>
        <v>0</v>
      </c>
      <c r="FA2047" t="str">
        <f>IF(FB2047=FC2008,FA2008,IF(FB2047=FC2009,FA2009,IF(FB2047=FC2010,FA2010,IF(FB2047=FC2011,FA2011,IF(FB2047=FC2012,FA2012,"ALGO ESTA MAL")))))</f>
        <v>0</v>
      </c>
      <c r="FB2047" s="34" t="str">
        <f>LARGE($FC$2008:$FC$2012,EZ1047)</f>
        <v>0</v>
      </c>
      <c r="FC2047" s="34" t="str">
        <f>IF(FB2047&gt;0.1%,FB2047,"Algo Esta Mal")</f>
        <v>0</v>
      </c>
      <c r="FD2047" s="33" t="str">
        <f>IF(FC2047=FB2047,FA2047," ")</f>
        <v>0</v>
      </c>
      <c r="FJ2047" t="str">
        <f>IF(FK2047=FL2008,FJ2008,IF(FK2047=FL2009,FJ2009,IF(FK2047=FL2010,FJ2010,IF(FK2047=FL2011,FJ2011,IF(FK2047=FL2012,FJ2012,"ALGO ESTA MAL")))))</f>
        <v>0</v>
      </c>
      <c r="FK2047" s="34" t="str">
        <f>LARGE($FL$2008:$FL$2012,FI1047)</f>
        <v>0</v>
      </c>
      <c r="FL2047" s="34" t="str">
        <f>IF(FK2047&gt;0.1%,FK2047,"Algo Esta Mal")</f>
        <v>0</v>
      </c>
      <c r="FM2047" s="33" t="str">
        <f>IF(FL2047=FK2047,FJ2047," ")</f>
        <v>0</v>
      </c>
      <c r="FS2047" t="str">
        <f>IF(FT2047=FU2008,FS2008,IF(FT2047=FU2009,FS2009,IF(FT2047=FU2010,FS2010,IF(FT2047=FU2011,FS2011,IF(FT2047=FU2012,FS2012,"ALGO ESTA MAL")))))</f>
        <v>0</v>
      </c>
      <c r="FT2047" s="34" t="str">
        <f>LARGE($FU$2008:$FU$2012,FR1047)</f>
        <v>0</v>
      </c>
      <c r="FU2047" s="34" t="str">
        <f>IF(FT2047&gt;0.1%,FT2047,"Algo Esta Mal")</f>
        <v>0</v>
      </c>
      <c r="FV2047" s="33" t="str">
        <f>IF(FU2047=FT2047,FS2047," ")</f>
        <v>0</v>
      </c>
      <c r="GB2047" t="str">
        <f>IF(GC2047=GD2008,GB2008,IF(GC2047=GD2009,GB2009,IF(GC2047=GD2010,GB2010,IF(GC2047=GD2011,GB2011,IF(GC2047=GD2012,GB2012,"ALGO ESTA MAL")))))</f>
        <v>0</v>
      </c>
      <c r="GC2047" s="34" t="str">
        <f>LARGE($GD$2008:$GD$2012,GA1047)</f>
        <v>0</v>
      </c>
      <c r="GD2047" s="34" t="str">
        <f>IF(GC2047&gt;0.1%,GC2047,"Algo Esta Mal")</f>
        <v>0</v>
      </c>
      <c r="GE2047" s="33" t="str">
        <f>IF(GD2047=GC2047,GB2047," ")</f>
        <v>0</v>
      </c>
      <c r="GK2047" t="str">
        <f>IF(GL2047=GM2008,GK2008,IF(GL2047=GM2009,GK2009,IF(GL2047=GM2010,GK2010,IF(GL2047=GM2011,GK2011,IF(GL2047=GM2012,GK2012,"ALGO ESTA MAL")))))</f>
        <v>0</v>
      </c>
      <c r="GL2047" s="34" t="str">
        <f>LARGE($GM$2008:$GM$2012,GJ1047)</f>
        <v>0</v>
      </c>
      <c r="GM2047" s="34" t="str">
        <f>IF(GL2047&gt;0.1%,GL2047,"Algo Esta Mal")</f>
        <v>0</v>
      </c>
      <c r="GN2047" s="33" t="str">
        <f>IF(GM2047=GL2047,GK2047," ")</f>
        <v>0</v>
      </c>
    </row>
    <row r="2048" spans="1:197">
      <c r="D2048" t="str">
        <f>IF(E2048=F2008,D2008,IF(E2048=F2009,D2009,IF(E2048=F2010,D2010,IF(E2048=F2011,D2011,IF(E2048=F2012,D2012,"ALGO ESTA MAL")))))</f>
        <v>0</v>
      </c>
      <c r="E2048" s="34" t="str">
        <f>LARGE($F$2008:$F$2012,C1048)</f>
        <v>0</v>
      </c>
      <c r="F2048" s="34" t="str">
        <f>IF(E2048&gt;0.1%,E2048,"Algo Esta Mal")</f>
        <v>0</v>
      </c>
      <c r="G2048" s="33" t="str">
        <f>IF(F2048=E2048,D2048," ")</f>
        <v>0</v>
      </c>
      <c r="M2048" t="str">
        <f>IF(N2048=O2008,M2008,IF(N2048=O2009,M2009,IF(N2048=O2010,M2010,IF(N2048=O2011,M2011,IF(N2048=O2012,M2012,"ALGO ESTA MAL")))))</f>
        <v>0</v>
      </c>
      <c r="N2048" s="34" t="str">
        <f>LARGE($O$2008:$O$2012,L1048)</f>
        <v>0</v>
      </c>
      <c r="O2048" s="34" t="str">
        <f>IF(N2048&gt;0.1%,N2048,"Algo Esta Mal")</f>
        <v>0</v>
      </c>
      <c r="P2048" s="33" t="str">
        <f>IF(O2048=N2048,M2048," ")</f>
        <v>0</v>
      </c>
      <c r="V2048" t="str">
        <f>IF(W2048=X2008,V2008,IF(W2048=X2009,V2009,IF(W2048=X2010,V2010,IF(W2048=X2011,V2011,IF(W2048=X2012,V2012,"ALGO ESTA MAL")))))</f>
        <v>0</v>
      </c>
      <c r="W2048" s="34" t="str">
        <f>LARGE($X$2008:$X$2012,U1048)</f>
        <v>0</v>
      </c>
      <c r="X2048" s="34" t="str">
        <f>IF(W2048&gt;0.1%,W2048,"Algo Esta Mal")</f>
        <v>0</v>
      </c>
      <c r="Y2048" s="33" t="str">
        <f>IF(X2048=W2048,V2048," ")</f>
        <v>0</v>
      </c>
      <c r="AE2048" t="str">
        <f>IF(AF2048=AG2008,AE2008,IF(AF2048=AG2009,AE2009,IF(AF2048=AG2010,AE2010,IF(AF2048=AG2011,AE2011,IF(AF2048=AG2012,AE2012,"ALGO ESTA MAL")))))</f>
        <v>0</v>
      </c>
      <c r="AF2048" s="34" t="str">
        <f>LARGE($AG$2008:$AG$2012,AD1048)</f>
        <v>0</v>
      </c>
      <c r="AG2048" s="34" t="str">
        <f>IF(AF2048&gt;0.1%,AF2048,"Algo Esta Mal")</f>
        <v>0</v>
      </c>
      <c r="AH2048" s="33" t="str">
        <f>IF(AG2048=AF2048,AE2048," ")</f>
        <v>0</v>
      </c>
      <c r="AN2048" t="str">
        <f>IF(AO2048=AP2008,AN2008,IF(AO2048=AP2009,AN2009,IF(AO2048=AP2010,AN2010,IF(AO2048=AP2011,AN2011,IF(AO2048=AP2012,AN2012,"ALGO ESTA MAL")))))</f>
        <v>0</v>
      </c>
      <c r="AO2048" s="34" t="str">
        <f>LARGE($AP$2008:$AP$2012,AM1048)</f>
        <v>0</v>
      </c>
      <c r="AP2048" s="34" t="str">
        <f>IF(AO2048&gt;0.1%,AO2048,"Algo Esta Mal")</f>
        <v>0</v>
      </c>
      <c r="AQ2048" s="33" t="str">
        <f>IF(AP2048=AO2048,AN2048," ")</f>
        <v>0</v>
      </c>
      <c r="AW2048" t="str">
        <f>IF(AX2048=AY2008,AW2008,IF(AX2048=AY2009,AW2009,IF(AX2048=AY2010,AW2010,IF(AX2048=AY2011,AW2011,IF(AX2048=AY2012,AW2012,"ALGO ESTA MAL")))))</f>
        <v>0</v>
      </c>
      <c r="AX2048" s="34" t="str">
        <f>LARGE($AY$2008:$AY$2012,AV1048)</f>
        <v>0</v>
      </c>
      <c r="AY2048" s="34" t="str">
        <f>IF(AX2048&gt;0.1%,AX2048,"Algo Esta Mal")</f>
        <v>0</v>
      </c>
      <c r="AZ2048" s="33" t="str">
        <f>IF(AY2048=AX2048,AW2048," ")</f>
        <v>0</v>
      </c>
      <c r="BF2048" t="str">
        <f>IF(BG2048=BH2008,BF2008,IF(BG2048=BH2009,BF2009,IF(BG2048=BH2010,BF2010,IF(BG2048=BH2011,BF2011,IF(BG2048=BH2012,BF2012,"ALGO ESTA MAL")))))</f>
        <v>0</v>
      </c>
      <c r="BG2048" s="34" t="str">
        <f>LARGE($BH$2008:$BH$2012,BE1048)</f>
        <v>0</v>
      </c>
      <c r="BH2048" s="34" t="str">
        <f>IF(BG2048&gt;0.1%,BG2048,"Algo Esta Mal")</f>
        <v>0</v>
      </c>
      <c r="BI2048" s="33" t="str">
        <f>IF(BH2048=BG2048,BF2048," ")</f>
        <v>0</v>
      </c>
      <c r="BO2048" t="str">
        <f>IF(BP2048=BQ2008,BO2008,IF(BP2048=BQ2009,BO2009,IF(BP2048=BQ2010,BO2010,IF(BP2048=BQ2011,BO2011,IF(BP2048=BQ2012,BO2012,"ALGO ESTA MAL")))))</f>
        <v>0</v>
      </c>
      <c r="BP2048" s="34" t="str">
        <f>LARGE($BQ$2008:$BQ$2012,BN1048)</f>
        <v>0</v>
      </c>
      <c r="BQ2048" s="34" t="str">
        <f>IF(BP2048&gt;0.1%,BP2048,"Algo Esta Mal")</f>
        <v>0</v>
      </c>
      <c r="BR2048" s="33" t="str">
        <f>IF(BQ2048=BP2048,BO2048," ")</f>
        <v>0</v>
      </c>
      <c r="BX2048" t="str">
        <f>IF(BY2048=BZ2008,BX2008,IF(BY2048=BZ2009,BX2009,IF(BY2048=BZ2010,BX2010,IF(BY2048=BZ2011,BX2011,IF(BY2048=BZ2012,BX2012,"ALGO ESTA MAL")))))</f>
        <v>0</v>
      </c>
      <c r="BY2048" s="34" t="str">
        <f>LARGE($BZ$2008:$BZ$2012,BW1048)</f>
        <v>0</v>
      </c>
      <c r="BZ2048" s="34" t="str">
        <f>IF(BY2048&gt;0.1%,BY2048,"Algo Esta Mal")</f>
        <v>0</v>
      </c>
      <c r="CA2048" s="33" t="str">
        <f>IF(BZ2048=BY2048,BX2048," ")</f>
        <v>0</v>
      </c>
      <c r="CG2048" t="str">
        <f>IF(CH2048=CI2008,CG2008,IF(CH2048=CI2009,CG2009,IF(CH2048=CI2010,CG2010,IF(CH2048=CI2011,CG2011,IF(CH2048=CI2012,CG2012,"ALGO ESTA MAL")))))</f>
        <v>0</v>
      </c>
      <c r="CH2048" s="34" t="str">
        <f>LARGE($CI$2008:$CI$2012,CF1048)</f>
        <v>0</v>
      </c>
      <c r="CI2048" s="34" t="str">
        <f>IF(CH2048&gt;0.1%,CH2048,"Algo Esta Mal")</f>
        <v>0</v>
      </c>
      <c r="CJ2048" s="33" t="str">
        <f>IF(CI2048=CH2048,CG2048," ")</f>
        <v>0</v>
      </c>
      <c r="CP2048" t="str">
        <f>IF(CQ2048=CR2008,CP2008,IF(CQ2048=CR2009,CP2009,IF(CQ2048=CR2010,CP2010,IF(CQ2048=CR2011,CP2011,IF(CQ2048=CR2012,CP2012,"ALGO ESTA MAL")))))</f>
        <v>0</v>
      </c>
      <c r="CQ2048" s="34" t="str">
        <f>LARGE($CR$2008:$CR$2012,CO1048)</f>
        <v>0</v>
      </c>
      <c r="CR2048" s="34" t="str">
        <f>IF(CQ2048&gt;0.1%,CQ2048,"Algo Esta Mal")</f>
        <v>0</v>
      </c>
      <c r="CS2048" s="33" t="str">
        <f>IF(CR2048=CQ2048,CP2048," ")</f>
        <v>0</v>
      </c>
      <c r="CY2048" t="str">
        <f>IF(CZ2048=DA2008,CY2008,IF(CZ2048=DA2009,CY2009,IF(CZ2048=DA2010,CY2010,IF(CZ2048=DA2011,CY2011,IF(CZ2048=DA2012,CY2012,"ALGO ESTA MAL")))))</f>
        <v>0</v>
      </c>
      <c r="CZ2048" s="34" t="str">
        <f>LARGE($DA$2008:$DA$2012,CX1048)</f>
        <v>0</v>
      </c>
      <c r="DA2048" s="34" t="str">
        <f>IF(CZ2048&gt;0.1%,CZ2048,"Algo Esta Mal")</f>
        <v>0</v>
      </c>
      <c r="DB2048" s="33" t="str">
        <f>IF(DA2048=CZ2048,CY2048," ")</f>
        <v>0</v>
      </c>
      <c r="DH2048" t="str">
        <f>IF(DI2048=DJ2008,DH2008,IF(DI2048=DJ2009,DH2009,IF(DI2048=DJ2010,DH2010,IF(DI2048=DJ2011,DH2011,IF(DI2048=DJ2012,DH2012,"ALGO ESTA MAL")))))</f>
        <v>0</v>
      </c>
      <c r="DI2048" s="34" t="str">
        <f>LARGE($DJ$2008:$DJ$2012,DG1048)</f>
        <v>0</v>
      </c>
      <c r="DJ2048" s="34" t="str">
        <f>IF(DI2048&gt;0.1%,DI2048,"Algo Esta Mal")</f>
        <v>0</v>
      </c>
      <c r="DK2048" s="33" t="str">
        <f>IF(DJ2048=DI2048,DH2048," ")</f>
        <v>0</v>
      </c>
      <c r="DQ2048" t="str">
        <f>IF(DR2048=DS2008,DQ2008,IF(DR2048=DS2009,DQ2009,IF(DR2048=DS2010,DQ2010,IF(DR2048=DS2011,DQ2011,IF(DR2048=DS2012,DQ2012,"ALGO ESTA MAL")))))</f>
        <v>0</v>
      </c>
      <c r="DR2048" s="34" t="str">
        <f>LARGE($DS$2008:$DS$2012,DP1048)</f>
        <v>0</v>
      </c>
      <c r="DS2048" s="34" t="str">
        <f>IF(DR2048&gt;0.1%,DR2048,"Algo Esta Mal")</f>
        <v>0</v>
      </c>
      <c r="DT2048" s="33" t="str">
        <f>IF(DS2048=DR2048,DQ2048," ")</f>
        <v>0</v>
      </c>
      <c r="DZ2048" t="str">
        <f>IF(EA2048=EB2008,DZ2008,IF(EA2048=EB2009,DZ2009,IF(EA2048=EB2010,DZ2010,IF(EA2048=EB2011,DZ2011,IF(EA2048=EB2012,DZ2012,"ALGO ESTA MAL")))))</f>
        <v>0</v>
      </c>
      <c r="EA2048" s="34" t="str">
        <f>LARGE($EB$2008:$EB$2012,DY1048)</f>
        <v>0</v>
      </c>
      <c r="EB2048" s="34" t="str">
        <f>IF(EA2048&gt;0.1%,EA2048,"Algo Esta Mal")</f>
        <v>0</v>
      </c>
      <c r="EC2048" s="33" t="str">
        <f>IF(EB2048=EA2048,DZ2048," ")</f>
        <v>0</v>
      </c>
      <c r="EI2048" t="str">
        <f>IF(EJ2048=EK2008,EI2008,IF(EJ2048=EK2009,EI2009,IF(EJ2048=EK2010,EI2010,IF(EJ2048=EK2011,EI2011,IF(EJ2048=EK2012,EI2012,"ALGO ESTA MAL")))))</f>
        <v>0</v>
      </c>
      <c r="EJ2048" s="34" t="str">
        <f>LARGE($EK$2008:$EK$2012,EH1048)</f>
        <v>0</v>
      </c>
      <c r="EK2048" s="34" t="str">
        <f>IF(EJ2048&gt;0.1%,EJ2048,"Algo Esta Mal")</f>
        <v>0</v>
      </c>
      <c r="EL2048" s="33" t="str">
        <f>IF(EK2048=EJ2048,EI2048," ")</f>
        <v>0</v>
      </c>
      <c r="ER2048" t="str">
        <f>IF(ES2048=ET2008,ER2008,IF(ES2048=ET2009,ER2009,IF(ES2048=ET2010,ER2010,IF(ES2048=ET2011,ER2011,IF(ES2048=ET2012,ER2012,"ALGO ESTA MAL")))))</f>
        <v>0</v>
      </c>
      <c r="ES2048" s="34" t="str">
        <f>LARGE($ET$2008:$ET$2012,EQ1048)</f>
        <v>0</v>
      </c>
      <c r="ET2048" s="34" t="str">
        <f>IF(ES2048&gt;0.1%,ES2048,"Algo Esta Mal")</f>
        <v>0</v>
      </c>
      <c r="EU2048" s="33" t="str">
        <f>IF(ET2048=ES2048,ER2048," ")</f>
        <v>0</v>
      </c>
      <c r="FA2048" t="str">
        <f>IF(FB2048=FC2008,FA2008,IF(FB2048=FC2009,FA2009,IF(FB2048=FC2010,FA2010,IF(FB2048=FC2011,FA2011,IF(FB2048=FC2012,FA2012,"ALGO ESTA MAL")))))</f>
        <v>0</v>
      </c>
      <c r="FB2048" s="34" t="str">
        <f>LARGE($FC$2008:$FC$2012,EZ1048)</f>
        <v>0</v>
      </c>
      <c r="FC2048" s="34" t="str">
        <f>IF(FB2048&gt;0.1%,FB2048,"Algo Esta Mal")</f>
        <v>0</v>
      </c>
      <c r="FD2048" s="33" t="str">
        <f>IF(FC2048=FB2048,FA2048," ")</f>
        <v>0</v>
      </c>
      <c r="FJ2048" t="str">
        <f>IF(FK2048=FL2008,FJ2008,IF(FK2048=FL2009,FJ2009,IF(FK2048=FL2010,FJ2010,IF(FK2048=FL2011,FJ2011,IF(FK2048=FL2012,FJ2012,"ALGO ESTA MAL")))))</f>
        <v>0</v>
      </c>
      <c r="FK2048" s="34" t="str">
        <f>LARGE($FL$2008:$FL$2012,FI1048)</f>
        <v>0</v>
      </c>
      <c r="FL2048" s="34" t="str">
        <f>IF(FK2048&gt;0.1%,FK2048,"Algo Esta Mal")</f>
        <v>0</v>
      </c>
      <c r="FM2048" s="33" t="str">
        <f>IF(FL2048=FK2048,FJ2048," ")</f>
        <v>0</v>
      </c>
      <c r="FS2048" t="str">
        <f>IF(FT2048=FU2008,FS2008,IF(FT2048=FU2009,FS2009,IF(FT2048=FU2010,FS2010,IF(FT2048=FU2011,FS2011,IF(FT2048=FU2012,FS2012,"ALGO ESTA MAL")))))</f>
        <v>0</v>
      </c>
      <c r="FT2048" s="34" t="str">
        <f>LARGE($FU$2008:$FU$2012,FR1048)</f>
        <v>0</v>
      </c>
      <c r="FU2048" s="34" t="str">
        <f>IF(FT2048&gt;0.1%,FT2048,"Algo Esta Mal")</f>
        <v>0</v>
      </c>
      <c r="FV2048" s="33" t="str">
        <f>IF(FU2048=FT2048,FS2048," ")</f>
        <v>0</v>
      </c>
      <c r="GB2048" t="str">
        <f>IF(GC2048=GD2008,GB2008,IF(GC2048=GD2009,GB2009,IF(GC2048=GD2010,GB2010,IF(GC2048=GD2011,GB2011,IF(GC2048=GD2012,GB2012,"ALGO ESTA MAL")))))</f>
        <v>0</v>
      </c>
      <c r="GC2048" s="34" t="str">
        <f>LARGE($GD$2008:$GD$2012,GA1048)</f>
        <v>0</v>
      </c>
      <c r="GD2048" s="34" t="str">
        <f>IF(GC2048&gt;0.1%,GC2048,"Algo Esta Mal")</f>
        <v>0</v>
      </c>
      <c r="GE2048" s="33" t="str">
        <f>IF(GD2048=GC2048,GB2048," ")</f>
        <v>0</v>
      </c>
      <c r="GK2048" t="str">
        <f>IF(GL2048=GM2008,GK2008,IF(GL2048=GM2009,GK2009,IF(GL2048=GM2010,GK2010,IF(GL2048=GM2011,GK2011,IF(GL2048=GM2012,GK2012,"ALGO ESTA MAL")))))</f>
        <v>0</v>
      </c>
      <c r="GL2048" s="34" t="str">
        <f>LARGE($GM$2008:$GM$2012,GJ1048)</f>
        <v>0</v>
      </c>
      <c r="GM2048" s="34" t="str">
        <f>IF(GL2048&gt;0.1%,GL2048,"Algo Esta Mal")</f>
        <v>0</v>
      </c>
      <c r="GN2048" s="33" t="str">
        <f>IF(GM2048=GL2048,GK2048," ")</f>
        <v>0</v>
      </c>
    </row>
    <row r="2049" spans="1:197">
      <c r="D2049" t="str">
        <f>IF(E2049=F2008,D2008,IF(E2049=F2009,D2009,IF(E2049=F2010,D2010,IF(E2049=F2011,D2011,IF(E2049=F2012,D2012,"ALGO ESTA MAL")))))</f>
        <v>0</v>
      </c>
      <c r="E2049" s="34" t="str">
        <f>LARGE($F$2008:$F$2012,C1049)</f>
        <v>0</v>
      </c>
      <c r="F2049" s="34" t="str">
        <f>IF(E2049&gt;0.1%,E2049,"Algo Esta Mal")</f>
        <v>0</v>
      </c>
      <c r="G2049" s="33" t="str">
        <f>IF(F2049=E2049,D2049," ")</f>
        <v>0</v>
      </c>
      <c r="M2049" t="str">
        <f>IF(N2049=O2008,M2008,IF(N2049=O2009,M2009,IF(N2049=O2010,M2010,IF(N2049=O2011,M2011,IF(N2049=O2012,M2012,"ALGO ESTA MAL")))))</f>
        <v>0</v>
      </c>
      <c r="N2049" s="34" t="str">
        <f>LARGE($O$2008:$O$2012,L1049)</f>
        <v>0</v>
      </c>
      <c r="O2049" s="34" t="str">
        <f>IF(N2049&gt;0.1%,N2049,"Algo Esta Mal")</f>
        <v>0</v>
      </c>
      <c r="P2049" s="33" t="str">
        <f>IF(O2049=N2049,M2049," ")</f>
        <v>0</v>
      </c>
      <c r="V2049" t="str">
        <f>IF(W2049=X2008,V2008,IF(W2049=X2009,V2009,IF(W2049=X2010,V2010,IF(W2049=X2011,V2011,IF(W2049=X2012,V2012,"ALGO ESTA MAL")))))</f>
        <v>0</v>
      </c>
      <c r="W2049" s="34" t="str">
        <f>LARGE($X$2008:$X$2012,U1049)</f>
        <v>0</v>
      </c>
      <c r="X2049" s="34" t="str">
        <f>IF(W2049&gt;0.1%,W2049,"Algo Esta Mal")</f>
        <v>0</v>
      </c>
      <c r="Y2049" s="33" t="str">
        <f>IF(X2049=W2049,V2049," ")</f>
        <v>0</v>
      </c>
      <c r="AE2049" t="str">
        <f>IF(AF2049=AG2008,AE2008,IF(AF2049=AG2009,AE2009,IF(AF2049=AG2010,AE2010,IF(AF2049=AG2011,AE2011,IF(AF2049=AG2012,AE2012,"ALGO ESTA MAL")))))</f>
        <v>0</v>
      </c>
      <c r="AF2049" s="34" t="str">
        <f>LARGE($AG$2008:$AG$2012,AD1049)</f>
        <v>0</v>
      </c>
      <c r="AG2049" s="34" t="str">
        <f>IF(AF2049&gt;0.1%,AF2049,"Algo Esta Mal")</f>
        <v>0</v>
      </c>
      <c r="AH2049" s="33" t="str">
        <f>IF(AG2049=AF2049,AE2049," ")</f>
        <v>0</v>
      </c>
      <c r="AN2049" t="str">
        <f>IF(AO2049=AP2008,AN2008,IF(AO2049=AP2009,AN2009,IF(AO2049=AP2010,AN2010,IF(AO2049=AP2011,AN2011,IF(AO2049=AP2012,AN2012,"ALGO ESTA MAL")))))</f>
        <v>0</v>
      </c>
      <c r="AO2049" s="34" t="str">
        <f>LARGE($AP$2008:$AP$2012,AM1049)</f>
        <v>0</v>
      </c>
      <c r="AP2049" s="34" t="str">
        <f>IF(AO2049&gt;0.1%,AO2049,"Algo Esta Mal")</f>
        <v>0</v>
      </c>
      <c r="AQ2049" s="33" t="str">
        <f>IF(AP2049=AO2049,AN2049," ")</f>
        <v>0</v>
      </c>
      <c r="AW2049" t="str">
        <f>IF(AX2049=AY2008,AW2008,IF(AX2049=AY2009,AW2009,IF(AX2049=AY2010,AW2010,IF(AX2049=AY2011,AW2011,IF(AX2049=AY2012,AW2012,"ALGO ESTA MAL")))))</f>
        <v>0</v>
      </c>
      <c r="AX2049" s="34" t="str">
        <f>LARGE($AY$2008:$AY$2012,AV1049)</f>
        <v>0</v>
      </c>
      <c r="AY2049" s="34" t="str">
        <f>IF(AX2049&gt;0.1%,AX2049,"Algo Esta Mal")</f>
        <v>0</v>
      </c>
      <c r="AZ2049" s="33" t="str">
        <f>IF(AY2049=AX2049,AW2049," ")</f>
        <v>0</v>
      </c>
      <c r="BF2049" t="str">
        <f>IF(BG2049=BH2008,BF2008,IF(BG2049=BH2009,BF2009,IF(BG2049=BH2010,BF2010,IF(BG2049=BH2011,BF2011,IF(BG2049=BH2012,BF2012,"ALGO ESTA MAL")))))</f>
        <v>0</v>
      </c>
      <c r="BG2049" s="34" t="str">
        <f>LARGE($BH$2008:$BH$2012,BE1049)</f>
        <v>0</v>
      </c>
      <c r="BH2049" s="34" t="str">
        <f>IF(BG2049&gt;0.1%,BG2049,"Algo Esta Mal")</f>
        <v>0</v>
      </c>
      <c r="BI2049" s="33" t="str">
        <f>IF(BH2049=BG2049,BF2049," ")</f>
        <v>0</v>
      </c>
      <c r="BO2049" t="str">
        <f>IF(BP2049=BQ2008,BO2008,IF(BP2049=BQ2009,BO2009,IF(BP2049=BQ2010,BO2010,IF(BP2049=BQ2011,BO2011,IF(BP2049=BQ2012,BO2012,"ALGO ESTA MAL")))))</f>
        <v>0</v>
      </c>
      <c r="BP2049" s="34" t="str">
        <f>LARGE($BQ$2008:$BQ$2012,BN1049)</f>
        <v>0</v>
      </c>
      <c r="BQ2049" s="34" t="str">
        <f>IF(BP2049&gt;0.1%,BP2049,"Algo Esta Mal")</f>
        <v>0</v>
      </c>
      <c r="BR2049" s="33" t="str">
        <f>IF(BQ2049=BP2049,BO2049," ")</f>
        <v>0</v>
      </c>
      <c r="BX2049" t="str">
        <f>IF(BY2049=BZ2008,BX2008,IF(BY2049=BZ2009,BX2009,IF(BY2049=BZ2010,BX2010,IF(BY2049=BZ2011,BX2011,IF(BY2049=BZ2012,BX2012,"ALGO ESTA MAL")))))</f>
        <v>0</v>
      </c>
      <c r="BY2049" s="34" t="str">
        <f>LARGE($BZ$2008:$BZ$2012,BW1049)</f>
        <v>0</v>
      </c>
      <c r="BZ2049" s="34" t="str">
        <f>IF(BY2049&gt;0.1%,BY2049,"Algo Esta Mal")</f>
        <v>0</v>
      </c>
      <c r="CA2049" s="33" t="str">
        <f>IF(BZ2049=BY2049,BX2049," ")</f>
        <v>0</v>
      </c>
      <c r="CG2049" t="str">
        <f>IF(CH2049=CI2008,CG2008,IF(CH2049=CI2009,CG2009,IF(CH2049=CI2010,CG2010,IF(CH2049=CI2011,CG2011,IF(CH2049=CI2012,CG2012,"ALGO ESTA MAL")))))</f>
        <v>0</v>
      </c>
      <c r="CH2049" s="34" t="str">
        <f>LARGE($CI$2008:$CI$2012,CF1049)</f>
        <v>0</v>
      </c>
      <c r="CI2049" s="34" t="str">
        <f>IF(CH2049&gt;0.1%,CH2049,"Algo Esta Mal")</f>
        <v>0</v>
      </c>
      <c r="CJ2049" s="33" t="str">
        <f>IF(CI2049=CH2049,CG2049," ")</f>
        <v>0</v>
      </c>
      <c r="CP2049" t="str">
        <f>IF(CQ2049=CR2008,CP2008,IF(CQ2049=CR2009,CP2009,IF(CQ2049=CR2010,CP2010,IF(CQ2049=CR2011,CP2011,IF(CQ2049=CR2012,CP2012,"ALGO ESTA MAL")))))</f>
        <v>0</v>
      </c>
      <c r="CQ2049" s="34" t="str">
        <f>LARGE($CR$2008:$CR$2012,CO1049)</f>
        <v>0</v>
      </c>
      <c r="CR2049" s="34" t="str">
        <f>IF(CQ2049&gt;0.1%,CQ2049,"Algo Esta Mal")</f>
        <v>0</v>
      </c>
      <c r="CS2049" s="33" t="str">
        <f>IF(CR2049=CQ2049,CP2049," ")</f>
        <v>0</v>
      </c>
      <c r="CY2049" t="str">
        <f>IF(CZ2049=DA2008,CY2008,IF(CZ2049=DA2009,CY2009,IF(CZ2049=DA2010,CY2010,IF(CZ2049=DA2011,CY2011,IF(CZ2049=DA2012,CY2012,"ALGO ESTA MAL")))))</f>
        <v>0</v>
      </c>
      <c r="CZ2049" s="34" t="str">
        <f>LARGE($DA$2008:$DA$2012,CX1049)</f>
        <v>0</v>
      </c>
      <c r="DA2049" s="34" t="str">
        <f>IF(CZ2049&gt;0.1%,CZ2049,"Algo Esta Mal")</f>
        <v>0</v>
      </c>
      <c r="DB2049" s="33" t="str">
        <f>IF(DA2049=CZ2049,CY2049," ")</f>
        <v>0</v>
      </c>
      <c r="DH2049" t="str">
        <f>IF(DI2049=DJ2008,DH2008,IF(DI2049=DJ2009,DH2009,IF(DI2049=DJ2010,DH2010,IF(DI2049=DJ2011,DH2011,IF(DI2049=DJ2012,DH2012,"ALGO ESTA MAL")))))</f>
        <v>0</v>
      </c>
      <c r="DI2049" s="34" t="str">
        <f>LARGE($DJ$2008:$DJ$2012,DG1049)</f>
        <v>0</v>
      </c>
      <c r="DJ2049" s="34" t="str">
        <f>IF(DI2049&gt;0.1%,DI2049,"Algo Esta Mal")</f>
        <v>0</v>
      </c>
      <c r="DK2049" s="33" t="str">
        <f>IF(DJ2049=DI2049,DH2049," ")</f>
        <v>0</v>
      </c>
      <c r="DQ2049" t="str">
        <f>IF(DR2049=DS2008,DQ2008,IF(DR2049=DS2009,DQ2009,IF(DR2049=DS2010,DQ2010,IF(DR2049=DS2011,DQ2011,IF(DR2049=DS2012,DQ2012,"ALGO ESTA MAL")))))</f>
        <v>0</v>
      </c>
      <c r="DR2049" s="34" t="str">
        <f>LARGE($DS$2008:$DS$2012,DP1049)</f>
        <v>0</v>
      </c>
      <c r="DS2049" s="34" t="str">
        <f>IF(DR2049&gt;0.1%,DR2049,"Algo Esta Mal")</f>
        <v>0</v>
      </c>
      <c r="DT2049" s="33" t="str">
        <f>IF(DS2049=DR2049,DQ2049," ")</f>
        <v>0</v>
      </c>
      <c r="DZ2049" t="str">
        <f>IF(EA2049=EB2008,DZ2008,IF(EA2049=EB2009,DZ2009,IF(EA2049=EB2010,DZ2010,IF(EA2049=EB2011,DZ2011,IF(EA2049=EB2012,DZ2012,"ALGO ESTA MAL")))))</f>
        <v>0</v>
      </c>
      <c r="EA2049" s="34" t="str">
        <f>LARGE($EB$2008:$EB$2012,DY1049)</f>
        <v>0</v>
      </c>
      <c r="EB2049" s="34" t="str">
        <f>IF(EA2049&gt;0.1%,EA2049,"Algo Esta Mal")</f>
        <v>0</v>
      </c>
      <c r="EC2049" s="33" t="str">
        <f>IF(EB2049=EA2049,DZ2049," ")</f>
        <v>0</v>
      </c>
      <c r="EI2049" t="str">
        <f>IF(EJ2049=EK2008,EI2008,IF(EJ2049=EK2009,EI2009,IF(EJ2049=EK2010,EI2010,IF(EJ2049=EK2011,EI2011,IF(EJ2049=EK2012,EI2012,"ALGO ESTA MAL")))))</f>
        <v>0</v>
      </c>
      <c r="EJ2049" s="34" t="str">
        <f>LARGE($EK$2008:$EK$2012,EH1049)</f>
        <v>0</v>
      </c>
      <c r="EK2049" s="34" t="str">
        <f>IF(EJ2049&gt;0.1%,EJ2049,"Algo Esta Mal")</f>
        <v>0</v>
      </c>
      <c r="EL2049" s="33" t="str">
        <f>IF(EK2049=EJ2049,EI2049," ")</f>
        <v>0</v>
      </c>
      <c r="ER2049" t="str">
        <f>IF(ES2049=ET2008,ER2008,IF(ES2049=ET2009,ER2009,IF(ES2049=ET2010,ER2010,IF(ES2049=ET2011,ER2011,IF(ES2049=ET2012,ER2012,"ALGO ESTA MAL")))))</f>
        <v>0</v>
      </c>
      <c r="ES2049" s="34" t="str">
        <f>LARGE($ET$2008:$ET$2012,EQ1049)</f>
        <v>0</v>
      </c>
      <c r="ET2049" s="34" t="str">
        <f>IF(ES2049&gt;0.1%,ES2049,"Algo Esta Mal")</f>
        <v>0</v>
      </c>
      <c r="EU2049" s="33" t="str">
        <f>IF(ET2049=ES2049,ER2049," ")</f>
        <v>0</v>
      </c>
      <c r="FA2049" t="str">
        <f>IF(FB2049=FC2008,FA2008,IF(FB2049=FC2009,FA2009,IF(FB2049=FC2010,FA2010,IF(FB2049=FC2011,FA2011,IF(FB2049=FC2012,FA2012,"ALGO ESTA MAL")))))</f>
        <v>0</v>
      </c>
      <c r="FB2049" s="34" t="str">
        <f>LARGE($FC$2008:$FC$2012,EZ1049)</f>
        <v>0</v>
      </c>
      <c r="FC2049" s="34" t="str">
        <f>IF(FB2049&gt;0.1%,FB2049,"Algo Esta Mal")</f>
        <v>0</v>
      </c>
      <c r="FD2049" s="33" t="str">
        <f>IF(FC2049=FB2049,FA2049," ")</f>
        <v>0</v>
      </c>
      <c r="FJ2049" t="str">
        <f>IF(FK2049=FL2008,FJ2008,IF(FK2049=FL2009,FJ2009,IF(FK2049=FL2010,FJ2010,IF(FK2049=FL2011,FJ2011,IF(FK2049=FL2012,FJ2012,"ALGO ESTA MAL")))))</f>
        <v>0</v>
      </c>
      <c r="FK2049" s="34" t="str">
        <f>LARGE($FL$2008:$FL$2012,FI1049)</f>
        <v>0</v>
      </c>
      <c r="FL2049" s="34" t="str">
        <f>IF(FK2049&gt;0.1%,FK2049,"Algo Esta Mal")</f>
        <v>0</v>
      </c>
      <c r="FM2049" s="33" t="str">
        <f>IF(FL2049=FK2049,FJ2049," ")</f>
        <v>0</v>
      </c>
      <c r="FS2049" t="str">
        <f>IF(FT2049=FU2008,FS2008,IF(FT2049=FU2009,FS2009,IF(FT2049=FU2010,FS2010,IF(FT2049=FU2011,FS2011,IF(FT2049=FU2012,FS2012,"ALGO ESTA MAL")))))</f>
        <v>0</v>
      </c>
      <c r="FT2049" s="34" t="str">
        <f>LARGE($FU$2008:$FU$2012,FR1049)</f>
        <v>0</v>
      </c>
      <c r="FU2049" s="34" t="str">
        <f>IF(FT2049&gt;0.1%,FT2049,"Algo Esta Mal")</f>
        <v>0</v>
      </c>
      <c r="FV2049" s="33" t="str">
        <f>IF(FU2049=FT2049,FS2049," ")</f>
        <v>0</v>
      </c>
      <c r="GB2049" t="str">
        <f>IF(GC2049=GD2008,GB2008,IF(GC2049=GD2009,GB2009,IF(GC2049=GD2010,GB2010,IF(GC2049=GD2011,GB2011,IF(GC2049=GD2012,GB2012,"ALGO ESTA MAL")))))</f>
        <v>0</v>
      </c>
      <c r="GC2049" s="34" t="str">
        <f>LARGE($GD$2008:$GD$2012,GA1049)</f>
        <v>0</v>
      </c>
      <c r="GD2049" s="34" t="str">
        <f>IF(GC2049&gt;0.1%,GC2049,"Algo Esta Mal")</f>
        <v>0</v>
      </c>
      <c r="GE2049" s="33" t="str">
        <f>IF(GD2049=GC2049,GB2049," ")</f>
        <v>0</v>
      </c>
      <c r="GK2049" t="str">
        <f>IF(GL2049=GM2008,GK2008,IF(GL2049=GM2009,GK2009,IF(GL2049=GM2010,GK2010,IF(GL2049=GM2011,GK2011,IF(GL2049=GM2012,GK2012,"ALGO ESTA MAL")))))</f>
        <v>0</v>
      </c>
      <c r="GL2049" s="34" t="str">
        <f>LARGE($GM$2008:$GM$2012,GJ1049)</f>
        <v>0</v>
      </c>
      <c r="GM2049" s="34" t="str">
        <f>IF(GL2049&gt;0.1%,GL2049,"Algo Esta Mal")</f>
        <v>0</v>
      </c>
      <c r="GN2049" s="33" t="str">
        <f>IF(GM2049=GL2049,GK2049," ")</f>
        <v>0</v>
      </c>
    </row>
    <row r="2050" spans="1:197">
      <c r="D2050" t="str">
        <f>IF(E2050=F2008,D2008,IF(E2050=F2009,D2009,IF(E2050=F2010,D2010,IF(E2050=F2011,D2011,IF(E2050=F2012,D2012,"ALGO ESTA MAL")))))</f>
        <v>0</v>
      </c>
      <c r="E2050" s="34" t="str">
        <f>LARGE($F$2008:$F$2012,C1050)</f>
        <v>0</v>
      </c>
      <c r="F2050" s="34" t="str">
        <f>IF(E2050&gt;0.1%,E2050,"Algo Esta Mal")</f>
        <v>0</v>
      </c>
      <c r="G2050" s="33" t="str">
        <f>IF(F2050=E2050,D2050," ")</f>
        <v>0</v>
      </c>
      <c r="M2050" t="str">
        <f>IF(N2050=O2008,M2008,IF(N2050=O2009,M2009,IF(N2050=O2010,M2010,IF(N2050=O2011,M2011,IF(N2050=O2012,M2012,"ALGO ESTA MAL")))))</f>
        <v>0</v>
      </c>
      <c r="N2050" s="34" t="str">
        <f>LARGE($O$2008:$O$2012,L1050)</f>
        <v>0</v>
      </c>
      <c r="O2050" s="34" t="str">
        <f>IF(N2050&gt;0.1%,N2050,"Algo Esta Mal")</f>
        <v>0</v>
      </c>
      <c r="P2050" s="33" t="str">
        <f>IF(O2050=N2050,M2050," ")</f>
        <v>0</v>
      </c>
      <c r="V2050" t="str">
        <f>IF(W2050=X2008,V2008,IF(W2050=X2009,V2009,IF(W2050=X2010,V2010,IF(W2050=X2011,V2011,IF(W2050=X2012,V2012,"ALGO ESTA MAL")))))</f>
        <v>0</v>
      </c>
      <c r="W2050" s="34" t="str">
        <f>LARGE($X$2008:$X$2012,U1050)</f>
        <v>0</v>
      </c>
      <c r="X2050" s="34" t="str">
        <f>IF(W2050&gt;0.1%,W2050,"Algo Esta Mal")</f>
        <v>0</v>
      </c>
      <c r="Y2050" s="33" t="str">
        <f>IF(X2050=W2050,V2050," ")</f>
        <v>0</v>
      </c>
      <c r="AE2050" t="str">
        <f>IF(AF2050=AG2008,AE2008,IF(AF2050=AG2009,AE2009,IF(AF2050=AG2010,AE2010,IF(AF2050=AG2011,AE2011,IF(AF2050=AG2012,AE2012,"ALGO ESTA MAL")))))</f>
        <v>0</v>
      </c>
      <c r="AF2050" s="34" t="str">
        <f>LARGE($AG$2008:$AG$2012,AD1050)</f>
        <v>0</v>
      </c>
      <c r="AG2050" s="34" t="str">
        <f>IF(AF2050&gt;0.1%,AF2050,"Algo Esta Mal")</f>
        <v>0</v>
      </c>
      <c r="AH2050" s="33" t="str">
        <f>IF(AG2050=AF2050,AE2050," ")</f>
        <v>0</v>
      </c>
      <c r="AN2050" t="str">
        <f>IF(AO2050=AP2008,AN2008,IF(AO2050=AP2009,AN2009,IF(AO2050=AP2010,AN2010,IF(AO2050=AP2011,AN2011,IF(AO2050=AP2012,AN2012,"ALGO ESTA MAL")))))</f>
        <v>0</v>
      </c>
      <c r="AO2050" s="34" t="str">
        <f>LARGE($AP$2008:$AP$2012,AM1050)</f>
        <v>0</v>
      </c>
      <c r="AP2050" s="34" t="str">
        <f>IF(AO2050&gt;0.1%,AO2050,"Algo Esta Mal")</f>
        <v>0</v>
      </c>
      <c r="AQ2050" s="33" t="str">
        <f>IF(AP2050=AO2050,AN2050," ")</f>
        <v>0</v>
      </c>
      <c r="AW2050" t="str">
        <f>IF(AX2050=AY2008,AW2008,IF(AX2050=AY2009,AW2009,IF(AX2050=AY2010,AW2010,IF(AX2050=AY2011,AW2011,IF(AX2050=AY2012,AW2012,"ALGO ESTA MAL")))))</f>
        <v>0</v>
      </c>
      <c r="AX2050" s="34" t="str">
        <f>LARGE($AY$2008:$AY$2012,AV1050)</f>
        <v>0</v>
      </c>
      <c r="AY2050" s="34" t="str">
        <f>IF(AX2050&gt;0.1%,AX2050,"Algo Esta Mal")</f>
        <v>0</v>
      </c>
      <c r="AZ2050" s="33" t="str">
        <f>IF(AY2050=AX2050,AW2050," ")</f>
        <v>0</v>
      </c>
      <c r="BF2050" t="str">
        <f>IF(BG2050=BH2008,BF2008,IF(BG2050=BH2009,BF2009,IF(BG2050=BH2010,BF2010,IF(BG2050=BH2011,BF2011,IF(BG2050=BH2012,BF2012,"ALGO ESTA MAL")))))</f>
        <v>0</v>
      </c>
      <c r="BG2050" s="34" t="str">
        <f>LARGE($BH$2008:$BH$2012,BE1050)</f>
        <v>0</v>
      </c>
      <c r="BH2050" s="34" t="str">
        <f>IF(BG2050&gt;0.1%,BG2050,"Algo Esta Mal")</f>
        <v>0</v>
      </c>
      <c r="BI2050" s="33" t="str">
        <f>IF(BH2050=BG2050,BF2050," ")</f>
        <v>0</v>
      </c>
      <c r="BO2050" t="str">
        <f>IF(BP2050=BQ2008,BO2008,IF(BP2050=BQ2009,BO2009,IF(BP2050=BQ2010,BO2010,IF(BP2050=BQ2011,BO2011,IF(BP2050=BQ2012,BO2012,"ALGO ESTA MAL")))))</f>
        <v>0</v>
      </c>
      <c r="BP2050" s="34" t="str">
        <f>LARGE($BQ$2008:$BQ$2012,BN1050)</f>
        <v>0</v>
      </c>
      <c r="BQ2050" s="34" t="str">
        <f>IF(BP2050&gt;0.1%,BP2050,"Algo Esta Mal")</f>
        <v>0</v>
      </c>
      <c r="BR2050" s="33" t="str">
        <f>IF(BQ2050=BP2050,BO2050," ")</f>
        <v>0</v>
      </c>
      <c r="BX2050" t="str">
        <f>IF(BY2050=BZ2008,BX2008,IF(BY2050=BZ2009,BX2009,IF(BY2050=BZ2010,BX2010,IF(BY2050=BZ2011,BX2011,IF(BY2050=BZ2012,BX2012,"ALGO ESTA MAL")))))</f>
        <v>0</v>
      </c>
      <c r="BY2050" s="34" t="str">
        <f>LARGE($BZ$2008:$BZ$2012,BW1050)</f>
        <v>0</v>
      </c>
      <c r="BZ2050" s="34" t="str">
        <f>IF(BY2050&gt;0.1%,BY2050,"Algo Esta Mal")</f>
        <v>0</v>
      </c>
      <c r="CA2050" s="33" t="str">
        <f>IF(BZ2050=BY2050,BX2050," ")</f>
        <v>0</v>
      </c>
      <c r="CG2050" t="str">
        <f>IF(CH2050=CI2008,CG2008,IF(CH2050=CI2009,CG2009,IF(CH2050=CI2010,CG2010,IF(CH2050=CI2011,CG2011,IF(CH2050=CI2012,CG2012,"ALGO ESTA MAL")))))</f>
        <v>0</v>
      </c>
      <c r="CH2050" s="34" t="str">
        <f>LARGE($CI$2008:$CI$2012,CF1050)</f>
        <v>0</v>
      </c>
      <c r="CI2050" s="34" t="str">
        <f>IF(CH2050&gt;0.1%,CH2050,"Algo Esta Mal")</f>
        <v>0</v>
      </c>
      <c r="CJ2050" s="33" t="str">
        <f>IF(CI2050=CH2050,CG2050," ")</f>
        <v>0</v>
      </c>
      <c r="CP2050" t="str">
        <f>IF(CQ2050=CR2008,CP2008,IF(CQ2050=CR2009,CP2009,IF(CQ2050=CR2010,CP2010,IF(CQ2050=CR2011,CP2011,IF(CQ2050=CR2012,CP2012,"ALGO ESTA MAL")))))</f>
        <v>0</v>
      </c>
      <c r="CQ2050" s="34" t="str">
        <f>LARGE($CR$2008:$CR$2012,CO1050)</f>
        <v>0</v>
      </c>
      <c r="CR2050" s="34" t="str">
        <f>IF(CQ2050&gt;0.1%,CQ2050,"Algo Esta Mal")</f>
        <v>0</v>
      </c>
      <c r="CS2050" s="33" t="str">
        <f>IF(CR2050=CQ2050,CP2050," ")</f>
        <v>0</v>
      </c>
      <c r="CY2050" t="str">
        <f>IF(CZ2050=DA2008,CY2008,IF(CZ2050=DA2009,CY2009,IF(CZ2050=DA2010,CY2010,IF(CZ2050=DA2011,CY2011,IF(CZ2050=DA2012,CY2012,"ALGO ESTA MAL")))))</f>
        <v>0</v>
      </c>
      <c r="CZ2050" s="34" t="str">
        <f>LARGE($DA$2008:$DA$2012,CX1050)</f>
        <v>0</v>
      </c>
      <c r="DA2050" s="34" t="str">
        <f>IF(CZ2050&gt;0.1%,CZ2050,"Algo Esta Mal")</f>
        <v>0</v>
      </c>
      <c r="DB2050" s="33" t="str">
        <f>IF(DA2050=CZ2050,CY2050," ")</f>
        <v>0</v>
      </c>
      <c r="DH2050" t="str">
        <f>IF(DI2050=DJ2008,DH2008,IF(DI2050=DJ2009,DH2009,IF(DI2050=DJ2010,DH2010,IF(DI2050=DJ2011,DH2011,IF(DI2050=DJ2012,DH2012,"ALGO ESTA MAL")))))</f>
        <v>0</v>
      </c>
      <c r="DI2050" s="34" t="str">
        <f>LARGE($DJ$2008:$DJ$2012,DG1050)</f>
        <v>0</v>
      </c>
      <c r="DJ2050" s="34" t="str">
        <f>IF(DI2050&gt;0.1%,DI2050,"Algo Esta Mal")</f>
        <v>0</v>
      </c>
      <c r="DK2050" s="33" t="str">
        <f>IF(DJ2050=DI2050,DH2050," ")</f>
        <v>0</v>
      </c>
      <c r="DQ2050" t="str">
        <f>IF(DR2050=DS2008,DQ2008,IF(DR2050=DS2009,DQ2009,IF(DR2050=DS2010,DQ2010,IF(DR2050=DS2011,DQ2011,IF(DR2050=DS2012,DQ2012,"ALGO ESTA MAL")))))</f>
        <v>0</v>
      </c>
      <c r="DR2050" s="34" t="str">
        <f>LARGE($DS$2008:$DS$2012,DP1050)</f>
        <v>0</v>
      </c>
      <c r="DS2050" s="34" t="str">
        <f>IF(DR2050&gt;0.1%,DR2050,"Algo Esta Mal")</f>
        <v>0</v>
      </c>
      <c r="DT2050" s="33" t="str">
        <f>IF(DS2050=DR2050,DQ2050," ")</f>
        <v>0</v>
      </c>
      <c r="DZ2050" t="str">
        <f>IF(EA2050=EB2008,DZ2008,IF(EA2050=EB2009,DZ2009,IF(EA2050=EB2010,DZ2010,IF(EA2050=EB2011,DZ2011,IF(EA2050=EB2012,DZ2012,"ALGO ESTA MAL")))))</f>
        <v>0</v>
      </c>
      <c r="EA2050" s="34" t="str">
        <f>LARGE($EB$2008:$EB$2012,DY1050)</f>
        <v>0</v>
      </c>
      <c r="EB2050" s="34" t="str">
        <f>IF(EA2050&gt;0.1%,EA2050,"Algo Esta Mal")</f>
        <v>0</v>
      </c>
      <c r="EC2050" s="33" t="str">
        <f>IF(EB2050=EA2050,DZ2050," ")</f>
        <v>0</v>
      </c>
      <c r="EI2050" t="str">
        <f>IF(EJ2050=EK2008,EI2008,IF(EJ2050=EK2009,EI2009,IF(EJ2050=EK2010,EI2010,IF(EJ2050=EK2011,EI2011,IF(EJ2050=EK2012,EI2012,"ALGO ESTA MAL")))))</f>
        <v>0</v>
      </c>
      <c r="EJ2050" s="34" t="str">
        <f>LARGE($EK$2008:$EK$2012,EH1050)</f>
        <v>0</v>
      </c>
      <c r="EK2050" s="34" t="str">
        <f>IF(EJ2050&gt;0.1%,EJ2050,"Algo Esta Mal")</f>
        <v>0</v>
      </c>
      <c r="EL2050" s="33" t="str">
        <f>IF(EK2050=EJ2050,EI2050," ")</f>
        <v>0</v>
      </c>
      <c r="ER2050" t="str">
        <f>IF(ES2050=ET2008,ER2008,IF(ES2050=ET2009,ER2009,IF(ES2050=ET2010,ER2010,IF(ES2050=ET2011,ER2011,IF(ES2050=ET2012,ER2012,"ALGO ESTA MAL")))))</f>
        <v>0</v>
      </c>
      <c r="ES2050" s="34" t="str">
        <f>LARGE($ET$2008:$ET$2012,EQ1050)</f>
        <v>0</v>
      </c>
      <c r="ET2050" s="34" t="str">
        <f>IF(ES2050&gt;0.1%,ES2050,"Algo Esta Mal")</f>
        <v>0</v>
      </c>
      <c r="EU2050" s="33" t="str">
        <f>IF(ET2050=ES2050,ER2050," ")</f>
        <v>0</v>
      </c>
      <c r="FA2050" t="str">
        <f>IF(FB2050=FC2008,FA2008,IF(FB2050=FC2009,FA2009,IF(FB2050=FC2010,FA2010,IF(FB2050=FC2011,FA2011,IF(FB2050=FC2012,FA2012,"ALGO ESTA MAL")))))</f>
        <v>0</v>
      </c>
      <c r="FB2050" s="34" t="str">
        <f>LARGE($FC$2008:$FC$2012,EZ1050)</f>
        <v>0</v>
      </c>
      <c r="FC2050" s="34" t="str">
        <f>IF(FB2050&gt;0.1%,FB2050,"Algo Esta Mal")</f>
        <v>0</v>
      </c>
      <c r="FD2050" s="33" t="str">
        <f>IF(FC2050=FB2050,FA2050," ")</f>
        <v>0</v>
      </c>
      <c r="FJ2050" t="str">
        <f>IF(FK2050=FL2008,FJ2008,IF(FK2050=FL2009,FJ2009,IF(FK2050=FL2010,FJ2010,IF(FK2050=FL2011,FJ2011,IF(FK2050=FL2012,FJ2012,"ALGO ESTA MAL")))))</f>
        <v>0</v>
      </c>
      <c r="FK2050" s="34" t="str">
        <f>LARGE($FL$2008:$FL$2012,FI1050)</f>
        <v>0</v>
      </c>
      <c r="FL2050" s="34" t="str">
        <f>IF(FK2050&gt;0.1%,FK2050,"Algo Esta Mal")</f>
        <v>0</v>
      </c>
      <c r="FM2050" s="33" t="str">
        <f>IF(FL2050=FK2050,FJ2050," ")</f>
        <v>0</v>
      </c>
      <c r="FS2050" t="str">
        <f>IF(FT2050=FU2008,FS2008,IF(FT2050=FU2009,FS2009,IF(FT2050=FU2010,FS2010,IF(FT2050=FU2011,FS2011,IF(FT2050=FU2012,FS2012,"ALGO ESTA MAL")))))</f>
        <v>0</v>
      </c>
      <c r="FT2050" s="34" t="str">
        <f>LARGE($FU$2008:$FU$2012,FR1050)</f>
        <v>0</v>
      </c>
      <c r="FU2050" s="34" t="str">
        <f>IF(FT2050&gt;0.1%,FT2050,"Algo Esta Mal")</f>
        <v>0</v>
      </c>
      <c r="FV2050" s="33" t="str">
        <f>IF(FU2050=FT2050,FS2050," ")</f>
        <v>0</v>
      </c>
      <c r="GB2050" t="str">
        <f>IF(GC2050=GD2008,GB2008,IF(GC2050=GD2009,GB2009,IF(GC2050=GD2010,GB2010,IF(GC2050=GD2011,GB2011,IF(GC2050=GD2012,GB2012,"ALGO ESTA MAL")))))</f>
        <v>0</v>
      </c>
      <c r="GC2050" s="34" t="str">
        <f>LARGE($GD$2008:$GD$2012,GA1050)</f>
        <v>0</v>
      </c>
      <c r="GD2050" s="34" t="str">
        <f>IF(GC2050&gt;0.1%,GC2050,"Algo Esta Mal")</f>
        <v>0</v>
      </c>
      <c r="GE2050" s="33" t="str">
        <f>IF(GD2050=GC2050,GB2050," ")</f>
        <v>0</v>
      </c>
      <c r="GK2050" t="str">
        <f>IF(GL2050=GM2008,GK2008,IF(GL2050=GM2009,GK2009,IF(GL2050=GM2010,GK2010,IF(GL2050=GM2011,GK2011,IF(GL2050=GM2012,GK2012,"ALGO ESTA MAL")))))</f>
        <v>0</v>
      </c>
      <c r="GL2050" s="34" t="str">
        <f>LARGE($GM$2008:$GM$2012,GJ1050)</f>
        <v>0</v>
      </c>
      <c r="GM2050" s="34" t="str">
        <f>IF(GL2050&gt;0.1%,GL2050,"Algo Esta Mal")</f>
        <v>0</v>
      </c>
      <c r="GN2050" s="33" t="str">
        <f>IF(GM2050=GL2050,GK2050," ")</f>
        <v>0</v>
      </c>
    </row>
    <row r="2052" spans="1:197">
      <c r="D2052" s="33" t="s">
        <v>178</v>
      </c>
      <c r="M2052" s="33" t="s">
        <v>178</v>
      </c>
      <c r="V2052" s="33" t="s">
        <v>178</v>
      </c>
      <c r="AE2052" s="33" t="s">
        <v>178</v>
      </c>
      <c r="AN2052" s="33" t="s">
        <v>178</v>
      </c>
      <c r="AW2052" s="33" t="s">
        <v>178</v>
      </c>
      <c r="BF2052" s="33" t="s">
        <v>178</v>
      </c>
      <c r="BO2052" s="33" t="s">
        <v>178</v>
      </c>
      <c r="BX2052" s="33" t="s">
        <v>178</v>
      </c>
      <c r="CG2052" s="33" t="s">
        <v>178</v>
      </c>
      <c r="CP2052" s="33" t="s">
        <v>178</v>
      </c>
      <c r="CY2052" s="33" t="s">
        <v>178</v>
      </c>
      <c r="DH2052" s="33" t="s">
        <v>178</v>
      </c>
      <c r="DQ2052" s="33" t="s">
        <v>178</v>
      </c>
      <c r="DZ2052" s="33" t="s">
        <v>178</v>
      </c>
      <c r="EI2052" s="33" t="s">
        <v>178</v>
      </c>
      <c r="ER2052" s="33" t="s">
        <v>178</v>
      </c>
      <c r="FA2052" s="33" t="s">
        <v>178</v>
      </c>
      <c r="FJ2052" s="33" t="s">
        <v>178</v>
      </c>
      <c r="FS2052" s="33" t="s">
        <v>178</v>
      </c>
      <c r="GB2052" s="33" t="s">
        <v>178</v>
      </c>
      <c r="GK2052" s="33" t="s">
        <v>178</v>
      </c>
    </row>
    <row r="2053" spans="1:197">
      <c r="D2053" s="34" t="str">
        <f>SUM(F2008:F2010)</f>
        <v>0</v>
      </c>
      <c r="E2053" s="34" t="str">
        <f>MAX(D2053:D2054)</f>
        <v>0</v>
      </c>
      <c r="M2053" s="34" t="str">
        <f>SUM(O2008:O2010)</f>
        <v>0</v>
      </c>
      <c r="N2053" s="34" t="str">
        <f>MAX(M2053:M2054)</f>
        <v>0</v>
      </c>
      <c r="V2053" s="34" t="str">
        <f>SUM(X2008:X2010)</f>
        <v>0</v>
      </c>
      <c r="W2053" s="34" t="str">
        <f>MAX(V2053:V2054)</f>
        <v>0</v>
      </c>
      <c r="AE2053" s="34" t="str">
        <f>SUM(AG2008:AG2010)</f>
        <v>0</v>
      </c>
      <c r="AF2053" s="34" t="str">
        <f>MAX(AE2053:AE2054)</f>
        <v>0</v>
      </c>
      <c r="AN2053" s="34" t="str">
        <f>SUM(AP2008:AP2010)</f>
        <v>0</v>
      </c>
      <c r="AO2053" s="34" t="str">
        <f>MAX(AN2053:AN2054)</f>
        <v>0</v>
      </c>
      <c r="AW2053" s="34" t="str">
        <f>SUM(AY2008:AY2010)</f>
        <v>0</v>
      </c>
      <c r="AX2053" s="34" t="str">
        <f>MAX(AW2053:AW2054)</f>
        <v>0</v>
      </c>
      <c r="BF2053" s="34" t="str">
        <f>SUM(BH2008:BH2010)</f>
        <v>0</v>
      </c>
      <c r="BG2053" s="34" t="str">
        <f>MAX(BF2053:BF2054)</f>
        <v>0</v>
      </c>
      <c r="BO2053" s="34" t="str">
        <f>SUM(BQ2008:BQ2010)</f>
        <v>0</v>
      </c>
      <c r="BP2053" s="34" t="str">
        <f>MAX(BO2053:BO2054)</f>
        <v>0</v>
      </c>
      <c r="BX2053" s="34" t="str">
        <f>SUM(BZ2008:BZ2010)</f>
        <v>0</v>
      </c>
      <c r="BY2053" s="34" t="str">
        <f>MAX(BX2053:BX2054)</f>
        <v>0</v>
      </c>
      <c r="CG2053" s="34" t="str">
        <f>SUM(CI2008:CI2010)</f>
        <v>0</v>
      </c>
      <c r="CH2053" s="34" t="str">
        <f>MAX(CG2053:CG2054)</f>
        <v>0</v>
      </c>
      <c r="CP2053" s="34" t="str">
        <f>SUM(CR2008:CR2010)</f>
        <v>0</v>
      </c>
      <c r="CQ2053" s="34" t="str">
        <f>MAX(CP2053:CP2054)</f>
        <v>0</v>
      </c>
      <c r="CY2053" s="34" t="str">
        <f>SUM(DA2008:DA2010)</f>
        <v>0</v>
      </c>
      <c r="CZ2053" s="34" t="str">
        <f>MAX(CY2053:CY2054)</f>
        <v>0</v>
      </c>
      <c r="DH2053" s="34" t="str">
        <f>SUM(DJ2008:DJ2010)</f>
        <v>0</v>
      </c>
      <c r="DI2053" s="34" t="str">
        <f>MAX(DH2053:DH2054)</f>
        <v>0</v>
      </c>
      <c r="DQ2053" s="34" t="str">
        <f>SUM(DS2008:DS2010)</f>
        <v>0</v>
      </c>
      <c r="DR2053" s="34" t="str">
        <f>MAX(DQ2053:DQ2054)</f>
        <v>0</v>
      </c>
      <c r="DZ2053" s="34" t="str">
        <f>SUM(EB2008:EB2010)</f>
        <v>0</v>
      </c>
      <c r="EA2053" s="34" t="str">
        <f>MAX(DZ2053:DZ2054)</f>
        <v>0</v>
      </c>
      <c r="EI2053" s="34" t="str">
        <f>SUM(EK2008:EK2010)</f>
        <v>0</v>
      </c>
      <c r="EJ2053" s="34" t="str">
        <f>MAX(EI2053:EI2054)</f>
        <v>0</v>
      </c>
      <c r="ER2053" s="34" t="str">
        <f>SUM(ET2008:ET2010)</f>
        <v>0</v>
      </c>
      <c r="ES2053" s="34" t="str">
        <f>MAX(ER2053:ER2054)</f>
        <v>0</v>
      </c>
      <c r="FA2053" s="34" t="str">
        <f>SUM(FC2008:FC2010)</f>
        <v>0</v>
      </c>
      <c r="FB2053" s="34" t="str">
        <f>MAX(FA2053:FA2054)</f>
        <v>0</v>
      </c>
      <c r="FJ2053" s="34" t="str">
        <f>SUM(FL2008:FL2010)</f>
        <v>0</v>
      </c>
      <c r="FK2053" s="34" t="str">
        <f>MAX(FJ2053:FJ2054)</f>
        <v>0</v>
      </c>
      <c r="FS2053" s="34" t="str">
        <f>SUM(FU2008:FU2010)</f>
        <v>0</v>
      </c>
      <c r="FT2053" s="34" t="str">
        <f>MAX(FS2053:FS2054)</f>
        <v>0</v>
      </c>
      <c r="GB2053" s="34" t="str">
        <f>SUM(GD2008:GD2010)</f>
        <v>0</v>
      </c>
      <c r="GC2053" s="34" t="str">
        <f>MAX(GB2053:GB2054)</f>
        <v>0</v>
      </c>
      <c r="GK2053" s="34" t="str">
        <f>SUM(GM2008:GM2010)</f>
        <v>0</v>
      </c>
      <c r="GL2053" s="34" t="str">
        <f>MAX(GK2053:GK2054)</f>
        <v>0</v>
      </c>
    </row>
    <row r="2054" spans="1:197">
      <c r="D2054" s="34" t="str">
        <f>SUM(F2010:F2012)</f>
        <v>0</v>
      </c>
      <c r="M2054" s="34" t="str">
        <f>SUM(O2010:O2012)</f>
        <v>0</v>
      </c>
      <c r="V2054" s="34" t="str">
        <f>SUM(X2010:X2012)</f>
        <v>0</v>
      </c>
      <c r="AE2054" s="34" t="str">
        <f>SUM(AG2010:AG2012)</f>
        <v>0</v>
      </c>
      <c r="AN2054" s="34" t="str">
        <f>SUM(AP2010:AP2012)</f>
        <v>0</v>
      </c>
      <c r="AW2054" s="34" t="str">
        <f>SUM(AY2010:AY2012)</f>
        <v>0</v>
      </c>
      <c r="BF2054" s="34" t="str">
        <f>SUM(BH2010:BH2012)</f>
        <v>0</v>
      </c>
      <c r="BO2054" s="34" t="str">
        <f>SUM(BQ2010:BQ2012)</f>
        <v>0</v>
      </c>
      <c r="BX2054" s="34" t="str">
        <f>SUM(BZ2010:BZ2012)</f>
        <v>0</v>
      </c>
      <c r="CG2054" s="34" t="str">
        <f>SUM(CI2010:CI2012)</f>
        <v>0</v>
      </c>
      <c r="CP2054" s="34" t="str">
        <f>SUM(CR2010:CR2012)</f>
        <v>0</v>
      </c>
      <c r="CY2054" s="34" t="str">
        <f>SUM(DA2010:DA2012)</f>
        <v>0</v>
      </c>
      <c r="DH2054" s="34" t="str">
        <f>SUM(DJ2010:DJ2012)</f>
        <v>0</v>
      </c>
      <c r="DQ2054" s="34" t="str">
        <f>SUM(DS2010:DS2012)</f>
        <v>0</v>
      </c>
      <c r="DZ2054" s="34" t="str">
        <f>SUM(EB2010:EB2012)</f>
        <v>0</v>
      </c>
      <c r="EI2054" s="34" t="str">
        <f>SUM(EK2010:EK2012)</f>
        <v>0</v>
      </c>
      <c r="ER2054" s="34" t="str">
        <f>SUM(ET2010:ET2012)</f>
        <v>0</v>
      </c>
      <c r="FA2054" s="34" t="str">
        <f>SUM(FC2010:FC2012)</f>
        <v>0</v>
      </c>
      <c r="FJ2054" s="34" t="str">
        <f>SUM(FL2010:FL2012)</f>
        <v>0</v>
      </c>
      <c r="FS2054" s="34" t="str">
        <f>SUM(FU2010:FU2012)</f>
        <v>0</v>
      </c>
      <c r="GB2054" s="34" t="str">
        <f>SUM(GD2010:GD2012)</f>
        <v>0</v>
      </c>
      <c r="GK2054" s="34" t="str">
        <f>SUM(GM2010:GM2012)</f>
        <v>0</v>
      </c>
    </row>
    <row r="2056" spans="1:197">
      <c r="E2056" s="34" t="str">
        <f>SUM(F2008:F2009)</f>
        <v>0</v>
      </c>
      <c r="N2056" s="34" t="str">
        <f>SUM(O2008:O2009)</f>
        <v>0</v>
      </c>
      <c r="W2056" s="34" t="str">
        <f>SUM(X2008:X2009)</f>
        <v>0</v>
      </c>
      <c r="AF2056" s="34" t="str">
        <f>SUM(AG2008:AG2009)</f>
        <v>0</v>
      </c>
      <c r="AO2056" s="34" t="str">
        <f>SUM(AP2008:AP2009)</f>
        <v>0</v>
      </c>
      <c r="AX2056" s="34" t="str">
        <f>SUM(AY2008:AY2009)</f>
        <v>0</v>
      </c>
      <c r="BG2056" s="34" t="str">
        <f>SUM(BH2008:BH2009)</f>
        <v>0</v>
      </c>
      <c r="BP2056" s="34" t="str">
        <f>SUM(BQ2008:BQ2009)</f>
        <v>0</v>
      </c>
      <c r="BY2056" s="34" t="str">
        <f>SUM(BZ2008:BZ2009)</f>
        <v>0</v>
      </c>
      <c r="CH2056" s="34" t="str">
        <f>SUM(CI2008:CI2009)</f>
        <v>0</v>
      </c>
      <c r="CQ2056" s="34" t="str">
        <f>SUM(CR2008:CR2009)</f>
        <v>0</v>
      </c>
      <c r="CZ2056" s="34" t="str">
        <f>SUM(DA2008:DA2009)</f>
        <v>0</v>
      </c>
      <c r="DI2056" s="34" t="str">
        <f>SUM(DJ2008:DJ2009)</f>
        <v>0</v>
      </c>
      <c r="DR2056" s="34" t="str">
        <f>SUM(DS2008:DS2009)</f>
        <v>0</v>
      </c>
      <c r="EA2056" s="34" t="str">
        <f>SUM(EB2008:EB2009)</f>
        <v>0</v>
      </c>
      <c r="EJ2056" s="34" t="str">
        <f>SUM(EK2008:EK2009)</f>
        <v>0</v>
      </c>
      <c r="ES2056" s="34" t="str">
        <f>SUM(ET2008:ET2009)</f>
        <v>0</v>
      </c>
      <c r="FB2056" s="34" t="str">
        <f>SUM(FC2008:FC2009)</f>
        <v>0</v>
      </c>
      <c r="FK2056" s="34" t="str">
        <f>SUM(FL2008:FL2009)</f>
        <v>0</v>
      </c>
      <c r="FT2056" s="34" t="str">
        <f>SUM(FU2008:FU2009)</f>
        <v>0</v>
      </c>
      <c r="GC2056" s="34" t="str">
        <f>SUM(GD2008:GD2009)</f>
        <v>0</v>
      </c>
      <c r="GL2056" s="34" t="str">
        <f>SUM(GM2008:GM2009)</f>
        <v>0</v>
      </c>
    </row>
    <row r="2057" spans="1:197">
      <c r="E2057" s="34" t="str">
        <f>SUM(F2010)</f>
        <v>0</v>
      </c>
      <c r="N2057" s="34" t="str">
        <f>SUM(O2010)</f>
        <v>0</v>
      </c>
      <c r="W2057" s="34" t="str">
        <f>SUM(X2010)</f>
        <v>0</v>
      </c>
      <c r="AF2057" s="34" t="str">
        <f>SUM(AG2010)</f>
        <v>0</v>
      </c>
      <c r="AO2057" s="34" t="str">
        <f>SUM(AP2010)</f>
        <v>0</v>
      </c>
      <c r="AX2057" s="34" t="str">
        <f>SUM(AY2010)</f>
        <v>0</v>
      </c>
      <c r="BG2057" s="34" t="str">
        <f>SUM(BH2010)</f>
        <v>0</v>
      </c>
      <c r="BP2057" s="34" t="str">
        <f>SUM(BQ2010)</f>
        <v>0</v>
      </c>
      <c r="BY2057" s="34" t="str">
        <f>SUM(BZ2010)</f>
        <v>0</v>
      </c>
      <c r="CH2057" s="34" t="str">
        <f>SUM(CI2010)</f>
        <v>0</v>
      </c>
      <c r="CQ2057" s="34" t="str">
        <f>SUM(CR2010)</f>
        <v>0</v>
      </c>
      <c r="CZ2057" s="34" t="str">
        <f>SUM(DA2010)</f>
        <v>0</v>
      </c>
      <c r="DI2057" s="34" t="str">
        <f>SUM(DJ2010)</f>
        <v>0</v>
      </c>
      <c r="DR2057" s="34" t="str">
        <f>SUM(DS2010)</f>
        <v>0</v>
      </c>
      <c r="EA2057" s="34" t="str">
        <f>SUM(EB2010)</f>
        <v>0</v>
      </c>
      <c r="EJ2057" s="34" t="str">
        <f>SUM(EK2010)</f>
        <v>0</v>
      </c>
      <c r="ES2057" s="34" t="str">
        <f>SUM(ET2010)</f>
        <v>0</v>
      </c>
      <c r="FB2057" s="34" t="str">
        <f>SUM(FC2010)</f>
        <v>0</v>
      </c>
      <c r="FK2057" s="34" t="str">
        <f>SUM(FL2010)</f>
        <v>0</v>
      </c>
      <c r="FT2057" s="34" t="str">
        <f>SUM(FU2010)</f>
        <v>0</v>
      </c>
      <c r="GC2057" s="34" t="str">
        <f>SUM(GD2010)</f>
        <v>0</v>
      </c>
      <c r="GL2057" s="34" t="str">
        <f>SUM(GM2010)</f>
        <v>0</v>
      </c>
    </row>
    <row r="2058" spans="1:197">
      <c r="E2058" s="34" t="str">
        <f>SUM(F2011:F2012)</f>
        <v>0</v>
      </c>
      <c r="N2058" s="34" t="str">
        <f>SUM(O2011:O2012)</f>
        <v>0</v>
      </c>
      <c r="W2058" s="34" t="str">
        <f>SUM(X2011:X2012)</f>
        <v>0</v>
      </c>
      <c r="AF2058" s="34" t="str">
        <f>SUM(AG2011:AG2012)</f>
        <v>0</v>
      </c>
      <c r="AO2058" s="34" t="str">
        <f>SUM(AP2011:AP2012)</f>
        <v>0</v>
      </c>
      <c r="AX2058" s="34" t="str">
        <f>SUM(AY2011:AY2012)</f>
        <v>0</v>
      </c>
      <c r="BG2058" s="34" t="str">
        <f>SUM(BH2011:BH2012)</f>
        <v>0</v>
      </c>
      <c r="BP2058" s="34" t="str">
        <f>SUM(BQ2011:BQ2012)</f>
        <v>0</v>
      </c>
      <c r="BY2058" s="34" t="str">
        <f>SUM(BZ2011:BZ2012)</f>
        <v>0</v>
      </c>
      <c r="CH2058" s="34" t="str">
        <f>SUM(CI2011:CI2012)</f>
        <v>0</v>
      </c>
      <c r="CQ2058" s="34" t="str">
        <f>SUM(CR2011:CR2012)</f>
        <v>0</v>
      </c>
      <c r="CZ2058" s="34" t="str">
        <f>SUM(DA2011:DA2012)</f>
        <v>0</v>
      </c>
      <c r="DI2058" s="34" t="str">
        <f>SUM(DJ2011:DJ2012)</f>
        <v>0</v>
      </c>
      <c r="DR2058" s="34" t="str">
        <f>SUM(DS2011:DS2012)</f>
        <v>0</v>
      </c>
      <c r="EA2058" s="34" t="str">
        <f>SUM(EB2011:EB2012)</f>
        <v>0</v>
      </c>
      <c r="EJ2058" s="34" t="str">
        <f>SUM(EK2011:EK2012)</f>
        <v>0</v>
      </c>
      <c r="ES2058" s="34" t="str">
        <f>SUM(ET2011:ET2012)</f>
        <v>0</v>
      </c>
      <c r="FB2058" s="34" t="str">
        <f>SUM(FC2011:FC2012)</f>
        <v>0</v>
      </c>
      <c r="FK2058" s="34" t="str">
        <f>SUM(FL2011:FL2012)</f>
        <v>0</v>
      </c>
      <c r="FT2058" s="34" t="str">
        <f>SUM(FU2011:FU2012)</f>
        <v>0</v>
      </c>
      <c r="GC2058" s="34" t="str">
        <f>SUM(GD2011:GD2012)</f>
        <v>0</v>
      </c>
      <c r="GL2058" s="34" t="str">
        <f>SUM(GM2011:GM2012)</f>
        <v>0</v>
      </c>
    </row>
    <row r="2060" spans="1:197">
      <c r="E2060" s="33" t="str">
        <f>IF(E2056&gt;=51%,D2056,IF(E2057&gt;=51%,D2057,IF(E2058&gt;=51%,D2058,IF(SUM(E2056:E2057)&gt;SUM(E2057:E2058),D2056,IF(SUM(E2056:E2057)&lt;SUM(E2057:E2058),D2058,"Algo esta Mal")))))</f>
        <v>0</v>
      </c>
      <c r="N2060" s="33" t="str">
        <f>IF(N2056&gt;=51%,M2056,IF(N2057&gt;=51%,M2057,IF(N2058&gt;=51%,M2058,IF(SUM(N2056:N2057)&gt;SUM(N2057:N2058),M2056,IF(SUM(N2056:N2057)&lt;SUM(N2057:N2058),M2058,"Algo esta Mal")))))</f>
        <v>0</v>
      </c>
      <c r="W2060" s="33" t="str">
        <f>IF(W2056&gt;=51%,V2056,IF(W2057&gt;=51%,V2057,IF(W2058&gt;=51%,V2058,IF(SUM(W2056:W2057)&gt;SUM(W2057:W2058),V2056,IF(SUM(W2056:W2057)&lt;SUM(W2057:W2058),V2058,"Algo esta Mal")))))</f>
        <v>0</v>
      </c>
      <c r="AF2060" s="33" t="str">
        <f>IF(AF2056&gt;=51%,AE2056,IF(AF2057&gt;=51%,AE2057,IF(AF2058&gt;=51%,AE2058,IF(SUM(AF2056:AF2057)&gt;SUM(AF2057:AF2058),AE2056,IF(SUM(AF2056:AF2057)&lt;SUM(AF2057:AF2058),AE2058,"Algo esta Mal")))))</f>
        <v>0</v>
      </c>
      <c r="AO2060" s="33" t="str">
        <f>IF(AO2056&gt;=51%,AN2056,IF(AO2057&gt;=51%,AN2057,IF(AO2058&gt;=51%,AN2058,IF(SUM(AO2056:AO2057)&gt;SUM(AO2057:AO2058),AN2056,IF(SUM(AO2056:AO2057)&lt;SUM(AO2057:AO2058),AN2058,"Algo esta Mal")))))</f>
        <v>0</v>
      </c>
      <c r="AX2060" s="33" t="str">
        <f>IF(AX2056&gt;=51%,AW2056,IF(AX2057&gt;=51%,AW2057,IF(AX2058&gt;=51%,AW2058,IF(SUM(AX2056:AX2057)&gt;SUM(AX2057:AX2058),AW2056,IF(SUM(AX2056:AX2057)&lt;SUM(AX2057:AX2058),AW2058,"Algo esta Mal")))))</f>
        <v>0</v>
      </c>
      <c r="BG2060" s="33" t="str">
        <f>IF(BG2056&gt;=51%,BF2056,IF(BG2057&gt;=51%,BF2057,IF(BG2058&gt;=51%,BF2058,IF(SUM(BG2056:BG2057)&gt;SUM(BG2057:BG2058),BF2056,IF(SUM(BG2056:BG2057)&lt;SUM(BG2057:BG2058),BF2058,"Algo esta Mal")))))</f>
        <v>0</v>
      </c>
      <c r="BP2060" s="33" t="str">
        <f>IF(BP2056&gt;=51%,BO2056,IF(BP2057&gt;=51%,BO2057,IF(BP2058&gt;=51%,BO2058,IF(SUM(BP2056:BP2057)&gt;SUM(BP2057:BP2058),BO2056,IF(SUM(BP2056:BP2057)&lt;SUM(BP2057:BP2058),BO2058,"Algo esta Mal")))))</f>
        <v>0</v>
      </c>
      <c r="BY2060" s="33" t="str">
        <f>IF(BY2056&gt;=51%,BX2056,IF(BY2057&gt;=51%,BX2057,IF(BY2058&gt;=51%,BX2058,IF(SUM(BY2056:BY2057)&gt;SUM(BY2057:BY2058),BX2056,IF(SUM(BY2056:BY2057)&lt;SUM(BY2057:BY2058),BX2058,"Algo esta Mal")))))</f>
        <v>0</v>
      </c>
      <c r="CH2060" s="33" t="str">
        <f>IF(CH2056&gt;=51%,CG2056,IF(CH2057&gt;=51%,CG2057,IF(CH2058&gt;=51%,CG2058,IF(SUM(CH2056:CH2057)&gt;SUM(CH2057:CH2058),CG2056,IF(SUM(CH2056:CH2057)&lt;SUM(CH2057:CH2058),CG2058,"Algo esta Mal")))))</f>
        <v>0</v>
      </c>
      <c r="CQ2060" s="33" t="str">
        <f>IF(CQ2056&gt;=51%,CP2056,IF(CQ2057&gt;=51%,CP2057,IF(CQ2058&gt;=51%,CP2058,IF(SUM(CQ2056:CQ2057)&gt;SUM(CQ2057:CQ2058),CP2056,IF(SUM(CQ2056:CQ2057)&lt;SUM(CQ2057:CQ2058),CP2058,"Algo esta Mal")))))</f>
        <v>0</v>
      </c>
      <c r="CZ2060" s="33" t="str">
        <f>IF(CZ2056&gt;=51%,CY2056,IF(CZ2057&gt;=51%,CY2057,IF(CZ2058&gt;=51%,CY2058,IF(SUM(CZ2056:CZ2057)&gt;SUM(CZ2057:CZ2058),CY2056,IF(SUM(CZ2056:CZ2057)&lt;SUM(CZ2057:CZ2058),CY2058,"Algo esta Mal")))))</f>
        <v>0</v>
      </c>
      <c r="DI2060" s="33" t="str">
        <f>IF(DI2056&gt;=51%,DH2056,IF(DI2057&gt;=51%,DH2057,IF(DI2058&gt;=51%,DH2058,IF(SUM(DI2056:DI2057)&gt;SUM(DI2057:DI2058),DH2056,IF(SUM(DI2056:DI2057)&lt;SUM(DI2057:DI2058),DH2058,"Algo esta Mal")))))</f>
        <v>0</v>
      </c>
      <c r="DR2060" s="33" t="str">
        <f>IF(DR2056&gt;=51%,DQ2056,IF(DR2057&gt;=51%,DQ2057,IF(DR2058&gt;=51%,DQ2058,IF(SUM(DR2056:DR2057)&gt;SUM(DR2057:DR2058),DQ2056,IF(SUM(DR2056:DR2057)&lt;SUM(DR2057:DR2058),DQ2058,"Algo esta Mal")))))</f>
        <v>0</v>
      </c>
      <c r="EA2060" s="33" t="str">
        <f>IF(EA2056&gt;=51%,DZ2056,IF(EA2057&gt;=51%,DZ2057,IF(EA2058&gt;=51%,DZ2058,IF(SUM(EA2056:EA2057)&gt;SUM(EA2057:EA2058),DZ2056,IF(SUM(EA2056:EA2057)&lt;SUM(EA2057:EA2058),DZ2058,"Algo esta Mal")))))</f>
        <v>0</v>
      </c>
      <c r="EJ2060" s="33" t="str">
        <f>IF(EJ2056&gt;=51%,EI2056,IF(EJ2057&gt;=51%,EI2057,IF(EJ2058&gt;=51%,EI2058,IF(SUM(EJ2056:EJ2057)&gt;SUM(EJ2057:EJ2058),EI2056,IF(SUM(EJ2056:EJ2057)&lt;SUM(EJ2057:EJ2058),EI2058,"Algo esta Mal")))))</f>
        <v>0</v>
      </c>
      <c r="ES2060" s="33" t="str">
        <f>IF(ES2056&gt;=51%,ER2056,IF(ES2057&gt;=51%,ER2057,IF(ES2058&gt;=51%,ER2058,IF(SUM(ES2056:ES2057)&gt;SUM(ES2057:ES2058),ER2056,IF(SUM(ES2056:ES2057)&lt;SUM(ES2057:ES2058),ER2058,"Algo esta Mal")))))</f>
        <v>0</v>
      </c>
      <c r="FB2060" s="33" t="str">
        <f>IF(FB2056&gt;=51%,FA2056,IF(FB2057&gt;=51%,FA2057,IF(FB2058&gt;=51%,FA2058,IF(SUM(FB2056:FB2057)&gt;SUM(FB2057:FB2058),FA2056,IF(SUM(FB2056:FB2057)&lt;SUM(FB2057:FB2058),FA2058,"Algo esta Mal")))))</f>
        <v>0</v>
      </c>
      <c r="FK2060" s="33" t="str">
        <f>IF(FK2056&gt;=51%,FJ2056,IF(FK2057&gt;=51%,FJ2057,IF(FK2058&gt;=51%,FJ2058,IF(SUM(FK2056:FK2057)&gt;SUM(FK2057:FK2058),FJ2056,IF(SUM(FK2056:FK2057)&lt;SUM(FK2057:FK2058),FJ2058,"Algo esta Mal")))))</f>
        <v>0</v>
      </c>
      <c r="FT2060" s="33" t="str">
        <f>IF(FT2056&gt;=51%,FS2056,IF(FT2057&gt;=51%,FS2057,IF(FT2058&gt;=51%,FS2058,IF(SUM(FT2056:FT2057)&gt;SUM(FT2057:FT2058),FS2056,IF(SUM(FT2056:FT2057)&lt;SUM(FT2057:FT2058),FS2058,"Algo esta Mal")))))</f>
        <v>0</v>
      </c>
      <c r="GC2060" s="33" t="str">
        <f>IF(GC2056&gt;=51%,GB2056,IF(GC2057&gt;=51%,GB2057,IF(GC2058&gt;=51%,GB2058,IF(SUM(GC2056:GC2057)&gt;SUM(GC2057:GC2058),GB2056,IF(SUM(GC2056:GC2057)&lt;SUM(GC2057:GC2058),GB2058,"Algo esta Mal")))))</f>
        <v>0</v>
      </c>
      <c r="GL2060" s="33" t="str">
        <f>IF(GL2056&gt;=51%,GK2056,IF(GL2057&gt;=51%,GK2057,IF(GL2058&gt;=51%,GK2058,IF(SUM(GL2056:GL2057)&gt;SUM(GL2057:GL2058),GK2056,IF(SUM(GL2056:GL2057)&lt;SUM(GL2057:GL2058),GK2058,"Algo esta Mal")))))</f>
        <v>0</v>
      </c>
    </row>
    <row r="2062" spans="1:197">
      <c r="E2062" s="33" t="s">
        <v>1</v>
      </c>
      <c r="N2062" s="33" t="s">
        <v>1</v>
      </c>
      <c r="W2062" s="33"/>
      <c r="AF2062" s="33"/>
      <c r="AO2062" s="33"/>
      <c r="AX2062" s="33"/>
      <c r="BG2062" s="33"/>
      <c r="BP2062" s="33"/>
      <c r="BY2062" s="33"/>
      <c r="CH2062" s="33"/>
      <c r="CQ2062" s="33"/>
      <c r="CZ2062" s="33"/>
      <c r="DI2062" s="33"/>
      <c r="DR2062" s="33"/>
      <c r="EA2062" s="33"/>
      <c r="EJ2062" s="33"/>
      <c r="ES2062" s="33"/>
      <c r="FB2062" s="33"/>
      <c r="FK2062" s="33"/>
      <c r="FT2062" s="33"/>
      <c r="GC2062" s="33"/>
      <c r="GL2062" s="33"/>
    </row>
    <row r="2135" spans="1:197">
      <c r="D2135" s="27" t="str">
        <f>CONCATENATE("En ","la ",D5," y ",D33," se observa los resultados  del  ",D4," el cual aborda ",E2062,",en donde se demuestra que el ",ROUND(F2008*100,0),"%"," de los ",D1045," tienen una percepción de ",G2046,", el ",ROUND(F2009*100,0),"%"," ",G2047,", un ",ROUND(F2010*100,0),"%"," ",G2048,",",IF(E2049&gt;0,CONCATENATE(" ademas el ",ROUND(F2011*100,0),"%"," ",G2049,)," "),IF(E2049&gt;0,CONCATENATE(" y ",ROUND(F2012*100,0),"%",", ",G2050,)," "),"en tal sentido la mayoría de los ",D1045," es decir el ",ROUND(E2053*100,0),"%"," tienen una percepción con una inclinación a un valor ",D2056,","," para ",E2062,".")</f>
        <v>0</v>
      </c>
      <c r="M2135" s="27" t="str">
        <f>CONCATENATE("En ","la ",M5," y ",M33," se observa los resultados  del  ",M4," el cual aborda ",N2062,",en donde se demuestra que el ",ROUND(O2008*100,0),"%"," de los ",M1045," tienen una percepción de ",P2046,", el ",ROUND(O2009*100,0),"%"," ",P2047,", un ",ROUND(O2010*100,0),"%"," ",P2048,",",IF(N2049&gt;0,CONCATENATE(" ademas el ",ROUND(O2011*100,0),"%"," ",P2049,)," "),IF(N2049&gt;0,CONCATENATE(" y ",ROUND(O2012*100,0),"%",", ",P2050,)," "),"en tal sentido la mayoría de los ",M1045," es decir el ",ROUND(N2053*100,0),"%"," tienen una percepción con una inclinación a un valor ",M2056,","," para ",N2062,".")</f>
        <v>0</v>
      </c>
      <c r="V2135" s="27" t="str">
        <f>CONCATENATE("En ","la ",V5," y ",V33," se observa los resultados  del  ",V4," el cual aborda ",W2062,",en donde se demuestra que el ",ROUND(X2008*100,0),"%"," de los ",V1045," tienen una percepción de ",Y2046,", el ",ROUND(X2009*100,0),"%"," ",Y2047,", un ",ROUND(X2010*100,0),"%"," ",Y2048,",",IF(W2049&gt;0,CONCATENATE(" ademas el ",ROUND(X2011*100,0),"%"," ",Y2049,)," "),IF(W2049&gt;0,CONCATENATE(" y ",ROUND(X2012*100,0),"%",", ",Y2050,)," "),"en tal sentido la mayoría de los ",V1045," es decir el ",ROUND(W2053*100,0),"%"," tienen una percepción con una inclinación a un valor ",V2056,","," para ",W2062,".")</f>
        <v>0</v>
      </c>
      <c r="AE2135" s="27" t="str">
        <f>CONCATENATE("En ","la ",AE5," y ",AE33," se observa los resultados  del  ",AE4," el cual aborda ",AF2062,",en donde se demuestra que el ",ROUND(AG2008*100,0),"%"," de los ",AE1045," tienen una percepción de ",AH2046,", el ",ROUND(AG2009*100,0),"%"," ",AH2047,", un ",ROUND(AG2010*100,0),"%"," ",AH2048,",",IF(AF2049&gt;0,CONCATENATE(" ademas el ",ROUND(AG2011*100,0),"%"," ",AH2049,)," "),IF(AF2049&gt;0,CONCATENATE(" y ",ROUND(AG2012*100,0),"%",", ",AH2050,)," "),"en tal sentido la mayoría de los ",AE1045," es decir el ",ROUND(AF2053*100,0),"%"," tienen una percepción con una inclinación a un valor ",AE2056,","," para ",AF2062,".")</f>
        <v>0</v>
      </c>
      <c r="AN2135" s="27" t="str">
        <f>CONCATENATE("En ","la ",AN5," y ",AN33," se observa los resultados  del  ",AN4," el cual aborda ",AO2062,",en donde se demuestra que el ",ROUND(AP2008*100,0),"%"," de los ",AN1045," tienen una percepción de ",AQ2046,", el ",ROUND(AP2009*100,0),"%"," ",AQ2047,", un ",ROUND(AP2010*100,0),"%"," ",AQ2048,",",IF(AO2049&gt;0,CONCATENATE(" ademas el ",ROUND(AP2011*100,0),"%"," ",AQ2049,)," "),IF(AO2049&gt;0,CONCATENATE(" y ",ROUND(AP2012*100,0),"%",", ",AQ2050,)," "),"en tal sentido la mayoría de los ",AN1045," es decir el ",ROUND(AO2053*100,0),"%"," tienen una percepción con una inclinación a un valor ",AN2056,","," para ",AO2062,".")</f>
        <v>0</v>
      </c>
      <c r="AW2135" s="27" t="str">
        <f>CONCATENATE("En ","la ",AW5," y ",AW33," se observa los resultados  del  ",AW4," el cual aborda ",AX2062,",en donde se demuestra que el ",ROUND(AY2008*100,0),"%"," de los ",AW1045," tienen una percepción de ",AZ2046,", el ",ROUND(AY2009*100,0),"%"," ",AZ2047,", un ",ROUND(AY2010*100,0),"%"," ",AZ2048,",",IF(AX2049&gt;0,CONCATENATE(" ademas el ",ROUND(AY2011*100,0),"%"," ",AZ2049,)," "),IF(AX2049&gt;0,CONCATENATE(" y ",ROUND(AY2012*100,0),"%",", ",AZ2050,)," "),"en tal sentido la mayoría de los ",AW1045," es decir el ",ROUND(AX2053*100,0),"%"," tienen una percepción con una inclinación a un valor ",AW2056,","," para ",AX2062,".")</f>
        <v>0</v>
      </c>
      <c r="BF2135" s="27" t="str">
        <f>CONCATENATE("En ","la ",BF5," y ",BF33," se observa los resultados  del  ",BF4," el cual aborda ",BG2062,",en donde se demuestra que el ",ROUND(BH2008*100,0),"%"," de los ",BF1045," tienen una percepción de ",BI2046,", el ",ROUND(BH2009*100,0),"%"," ",BI2047,", un ",ROUND(BH2010*100,0),"%"," ",BI2048,",",IF(BG2049&gt;0,CONCATENATE(" ademas el ",ROUND(BH2011*100,0),"%"," ",BI2049,)," "),IF(BG2049&gt;0,CONCATENATE(" y ",ROUND(BH2012*100,0),"%",", ",BI2050,)," "),"en tal sentido la mayoría de los ",BF1045," es decir el ",ROUND(BG2053*100,0),"%"," tienen una percepción con una inclinación a un valor ",BF2056,","," para ",BG2062,".")</f>
        <v>0</v>
      </c>
      <c r="BO2135" s="27" t="str">
        <f>CONCATENATE("En ","la ",BO5," y ",BO33," se observa los resultados  del  ",BO4," el cual aborda ",BP2062,",en donde se demuestra que el ",ROUND(BQ2008*100,0),"%"," de los ",BO1045," tienen una percepción de ",BR2046,", el ",ROUND(BQ2009*100,0),"%"," ",BR2047,", un ",ROUND(BQ2010*100,0),"%"," ",BR2048,",",IF(BP2049&gt;0,CONCATENATE(" ademas el ",ROUND(BQ2011*100,0),"%"," ",BR2049,)," "),IF(BP2049&gt;0,CONCATENATE(" y ",ROUND(BQ2012*100,0),"%",", ",BR2050,)," "),"en tal sentido la mayoría de los ",BO1045," es decir el ",ROUND(BP2053*100,0),"%"," tienen una percepción con una inclinación a un valor ",BO2056,","," para ",BP2062,".")</f>
        <v>0</v>
      </c>
      <c r="BX2135" s="27" t="str">
        <f>CONCATENATE("En ","la ",BX5," y ",BX33," se observa los resultados  del  ",BX4," el cual aborda ",BY2062,",en donde se demuestra que el ",ROUND(BZ2008*100,0),"%"," de los ",BX1045," tienen una percepción de ",CA2046,", el ",ROUND(BZ2009*100,0),"%"," ",CA2047,", un ",ROUND(BZ2010*100,0),"%"," ",CA2048,",",IF(BY2049&gt;0,CONCATENATE(" ademas el ",ROUND(BZ2011*100,0),"%"," ",CA2049,)," "),IF(BY2049&gt;0,CONCATENATE(" y ",ROUND(BZ2012*100,0),"%",", ",CA2050,)," "),"en tal sentido la mayoría de los ",BX1045," es decir el ",ROUND(BY2053*100,0),"%"," tienen una percepción con una inclinación a un valor ",BX2056,","," para ",BY2062,".")</f>
        <v>0</v>
      </c>
      <c r="CG2135" s="27" t="str">
        <f>CONCATENATE("En ","la ",CG5," y ",CG33," se observa los resultados  del  ",CG4," el cual aborda ",CH2062,",en donde se demuestra que el ",ROUND(CI2008*100,0),"%"," de los ",CG1045," tienen una percepción de ",CJ2046,", el ",ROUND(CI2009*100,0),"%"," ",CJ2047,", un ",ROUND(CI2010*100,0),"%"," ",CJ2048,",",IF(CH2049&gt;0,CONCATENATE(" ademas el ",ROUND(CI2011*100,0),"%"," ",CJ2049,)," "),IF(CH2049&gt;0,CONCATENATE(" y ",ROUND(CI2012*100,0),"%",", ",CJ2050,)," "),"en tal sentido la mayoría de los ",CG1045," es decir el ",ROUND(CH2053*100,0),"%"," tienen una percepción con una inclinación a un valor ",CG2056,","," para ",CH2062,".")</f>
        <v>0</v>
      </c>
      <c r="CP2135" s="27" t="str">
        <f>CONCATENATE("En ","la ",CP5," y ",CP33," se observa los resultados  del  ",CP4," el cual aborda ",CQ2062,",en donde se demuestra que el ",ROUND(CR2008*100,0),"%"," de los ",CP1045," tienen una percepción de ",CS2046,", el ",ROUND(CR2009*100,0),"%"," ",CS2047,", un ",ROUND(CR2010*100,0),"%"," ",CS2048,",",IF(CQ2049&gt;0,CONCATENATE(" ademas el ",ROUND(CR2011*100,0),"%"," ",CS2049,)," "),IF(CQ2049&gt;0,CONCATENATE(" y ",ROUND(CR2012*100,0),"%",", ",CS2050,)," "),"en tal sentido la mayoría de los ",CP1045," es decir el ",ROUND(CQ2053*100,0),"%"," tienen una percepción con una inclinación a un valor ",CP2056,","," para ",CQ2062,".")</f>
        <v>0</v>
      </c>
      <c r="CY2135" s="27" t="str">
        <f>CONCATENATE("En ","la ",CY5," y ",CY33," se observa los resultados  del  ",CY4," el cual aborda ",CZ2062,",en donde se demuestra que el ",ROUND(DA2008*100,0),"%"," de los ",CY1045," tienen una percepción de ",DB2046,", el ",ROUND(DA2009*100,0),"%"," ",DB2047,", un ",ROUND(DA2010*100,0),"%"," ",DB2048,",",IF(CZ2049&gt;0,CONCATENATE(" ademas el ",ROUND(DA2011*100,0),"%"," ",DB2049,)," "),IF(CZ2049&gt;0,CONCATENATE(" y ",ROUND(DA2012*100,0),"%",", ",DB2050,)," "),"en tal sentido la mayoría de los ",CY1045," es decir el ",ROUND(CZ2053*100,0),"%"," tienen una percepción con una inclinación a un valor ",CY2056,","," para ",CZ2062,".")</f>
        <v>0</v>
      </c>
      <c r="DH2135" s="27" t="str">
        <f>CONCATENATE("En ","la ",DH5," y ",DH33," se observa los resultados  del  ",DH4," el cual aborda ",DI2062,",en donde se demuestra que el ",ROUND(DJ2008*100,0),"%"," de los ",DH1045," tienen una percepción de ",DK2046,", el ",ROUND(DJ2009*100,0),"%"," ",DK2047,", un ",ROUND(DJ2010*100,0),"%"," ",DK2048,",",IF(DI2049&gt;0,CONCATENATE(" ademas el ",ROUND(DJ2011*100,0),"%"," ",DK2049,)," "),IF(DI2049&gt;0,CONCATENATE(" y ",ROUND(DJ2012*100,0),"%",", ",DK2050,)," "),"en tal sentido la mayoría de los ",DH1045," es decir el ",ROUND(DI2053*100,0),"%"," tienen una percepción con una inclinación a un valor ",DH2056,","," para ",DI2062,".")</f>
        <v>0</v>
      </c>
      <c r="DQ2135" s="27" t="str">
        <f>CONCATENATE("En ","la ",DQ5," y ",DQ33," se observa los resultados  del  ",DQ4," el cual aborda ",DR2062,",en donde se demuestra que el ",ROUND(DS2008*100,0),"%"," de los ",DQ1045," tienen una percepción de ",DT2046,", el ",ROUND(DS2009*100,0),"%"," ",DT2047,", un ",ROUND(DS2010*100,0),"%"," ",DT2048,",",IF(DR2049&gt;0,CONCATENATE(" ademas el ",ROUND(DS2011*100,0),"%"," ",DT2049,)," "),IF(DR2049&gt;0,CONCATENATE(" y ",ROUND(DS2012*100,0),"%",", ",DT2050,)," "),"en tal sentido la mayoría de los ",DQ1045," es decir el ",ROUND(DR2053*100,0),"%"," tienen una percepción con una inclinación a un valor ",DQ2056,","," para ",DR2062,".")</f>
        <v>0</v>
      </c>
      <c r="DZ2135" s="27" t="str">
        <f>CONCATENATE("En ","la ",DZ5," y ",DZ33," se observa los resultados  del  ",DZ4," el cual aborda ",EA2062,",en donde se demuestra que el ",ROUND(EB2008*100,0),"%"," de los ",DZ1045," tienen una percepción de ",EC2046,", el ",ROUND(EB2009*100,0),"%"," ",EC2047,", un ",ROUND(EB2010*100,0),"%"," ",EC2048,",",IF(EA2049&gt;0,CONCATENATE(" ademas el ",ROUND(EB2011*100,0),"%"," ",EC2049,)," "),IF(EA2049&gt;0,CONCATENATE(" y ",ROUND(EB2012*100,0),"%",", ",EC2050,)," "),"en tal sentido la mayoría de los ",DZ1045," es decir el ",ROUND(EA2053*100,0),"%"," tienen una percepción con una inclinación a un valor ",DZ2056,","," para ",EA2062,".")</f>
        <v>0</v>
      </c>
      <c r="EI2135" s="27" t="str">
        <f>CONCATENATE("En ","la ",EI5," y ",EI33," se observa los resultados  del  ",EI4," el cual aborda ",EJ2062,",en donde se demuestra que el ",ROUND(EK2008*100,0),"%"," de los ",EI1045," tienen una percepción de ",EL2046,", el ",ROUND(EK2009*100,0),"%"," ",EL2047,", un ",ROUND(EK2010*100,0),"%"," ",EL2048,",",IF(EJ2049&gt;0,CONCATENATE(" ademas el ",ROUND(EK2011*100,0),"%"," ",EL2049,)," "),IF(EJ2049&gt;0,CONCATENATE(" y ",ROUND(EK2012*100,0),"%",", ",EL2050,)," "),"en tal sentido la mayoría de los ",EI1045," es decir el ",ROUND(EJ2053*100,0),"%"," tienen una percepción con una inclinación a un valor ",EI2056,","," para ",EJ2062,".")</f>
        <v>0</v>
      </c>
      <c r="ER2135" s="27" t="str">
        <f>CONCATENATE("En ","la ",ER5," y ",ER33," se observa los resultados  del  ",ER4," el cual aborda ",ES2062,",en donde se demuestra que el ",ROUND(ET2008*100,0),"%"," de los ",ER1045," tienen una percepción de ",EU2046,", el ",ROUND(ET2009*100,0),"%"," ",EU2047,", un ",ROUND(ET2010*100,0),"%"," ",EU2048,",",IF(ES2049&gt;0,CONCATENATE(" ademas el ",ROUND(ET2011*100,0),"%"," ",EU2049,)," "),IF(ES2049&gt;0,CONCATENATE(" y ",ROUND(ET2012*100,0),"%",", ",EU2050,)," "),"en tal sentido la mayoría de los ",ER1045," es decir el ",ROUND(ES2053*100,0),"%"," tienen una percepción con una inclinación a un valor ",ER2056,","," para ",ES2062,".")</f>
        <v>0</v>
      </c>
      <c r="FA2135" s="27" t="str">
        <f>CONCATENATE("En ","la ",FA5," y ",FA33," se observa los resultados  del  ",FA4," el cual aborda ",FB2062,",en donde se demuestra que el ",ROUND(FC2008*100,0),"%"," de los ",FA1045," tienen una percepción de ",FD2046,", el ",ROUND(FC2009*100,0),"%"," ",FD2047,", un ",ROUND(FC2010*100,0),"%"," ",FD2048,",",IF(FB2049&gt;0,CONCATENATE(" ademas el ",ROUND(FC2011*100,0),"%"," ",FD2049,)," "),IF(FB2049&gt;0,CONCATENATE(" y ",ROUND(FC2012*100,0),"%",", ",FD2050,)," "),"en tal sentido la mayoría de los ",FA1045," es decir el ",ROUND(FB2053*100,0),"%"," tienen una percepción con una inclinación a un valor ",FA2056,","," para ",FB2062,".")</f>
        <v>0</v>
      </c>
      <c r="FJ2135" s="27" t="str">
        <f>CONCATENATE("En ","la ",FJ5," y ",FJ33," se observa los resultados  del  ",FJ4," el cual aborda ",FK2062,",en donde se demuestra que el ",ROUND(FL2008*100,0),"%"," de los ",FJ1045," tienen una percepción de ",FM2046,", el ",ROUND(FL2009*100,0),"%"," ",FM2047,", un ",ROUND(FL2010*100,0),"%"," ",FM2048,",",IF(FK2049&gt;0,CONCATENATE(" ademas el ",ROUND(FL2011*100,0),"%"," ",FM2049,)," "),IF(FK2049&gt;0,CONCATENATE(" y ",ROUND(FL2012*100,0),"%",", ",FM2050,)," "),"en tal sentido la mayoría de los ",FJ1045," es decir el ",ROUND(FK2053*100,0),"%"," tienen una percepción con una inclinación a un valor ",FJ2056,","," para ",FK2062,".")</f>
        <v>0</v>
      </c>
      <c r="FS2135" s="27" t="str">
        <f>CONCATENATE("En ","la ",FS5," y ",FS33," se observa los resultados  del  ",FS4," el cual aborda ",FT2062,",en donde se demuestra que el ",ROUND(FU2008*100,0),"%"," de los ",FS1045," tienen una percepción de ",FV2046,", el ",ROUND(FU2009*100,0),"%"," ",FV2047,", un ",ROUND(FU2010*100,0),"%"," ",FV2048,",",IF(FT2049&gt;0,CONCATENATE(" ademas el ",ROUND(FU2011*100,0),"%"," ",FV2049,)," "),IF(FT2049&gt;0,CONCATENATE(" y ",ROUND(FU2012*100,0),"%",", ",FV2050,)," "),"en tal sentido la mayoría de los ",FS1045," es decir el ",ROUND(FT2053*100,0),"%"," tienen una percepción con una inclinación a un valor ",FS2056,","," para ",FT2062,".")</f>
        <v>0</v>
      </c>
      <c r="GB2135" s="27" t="str">
        <f>CONCATENATE("En ","la ",GB5," y ",GB33," se observa los resultados  del  ",GB4," el cual aborda ",GC2062,",en donde se demuestra que el ",ROUND(GD2008*100,0),"%"," de los ",GB1045," tienen una percepción de ",GE2046,", el ",ROUND(GD2009*100,0),"%"," ",GE2047,", un ",ROUND(GD2010*100,0),"%"," ",GE2048,",",IF(GC2049&gt;0,CONCATENATE(" ademas el ",ROUND(GD2011*100,0),"%"," ",GE2049,)," "),IF(GC2049&gt;0,CONCATENATE(" y ",ROUND(GD2012*100,0),"%",", ",GE2050,)," "),"en tal sentido la mayoría de los ",GB1045," es decir el ",ROUND(GC2053*100,0),"%"," tienen una percepción con una inclinación a un valor ",GB2056,","," para ",GC2062,".")</f>
        <v>0</v>
      </c>
      <c r="GK2135" s="27" t="str">
        <f>CONCATENATE("En ","la ",GK5," y ",GK33," se observa los resultados  del  ",GK4," el cual aborda ",GL2062,",en donde se demuestra que el ",ROUND(GM2008*100,0),"%"," de los ",GK1045," tienen una percepción de ",GN2046,", el ",ROUND(GM2009*100,0),"%"," ",GN2047,", un ",ROUND(GM2010*100,0),"%"," ",GN2048,",",IF(GL2049&gt;0,CONCATENATE(" ademas el ",ROUND(GM2011*100,0),"%"," ",GN2049,)," "),IF(GL2049&gt;0,CONCATENATE(" y ",ROUND(GM2012*100,0),"%",", ",GN2050,)," "),"en tal sentido la mayoría de los ",GK1045," es decir el ",ROUND(GL2053*100,0),"%"," tienen una percepción con una inclinación a un valor ",GK2056,","," para ",GL2062,".")</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5:F43"/>
    <mergeCell ref="D2135:F2143"/>
    <mergeCell ref="M4:O4"/>
    <mergeCell ref="M35:O43"/>
    <mergeCell ref="M2135:O2143"/>
    <mergeCell ref="V4:X4"/>
    <mergeCell ref="V35:X43"/>
    <mergeCell ref="V2135:X2143"/>
    <mergeCell ref="AE4:AG4"/>
    <mergeCell ref="AE35:AG43"/>
    <mergeCell ref="AE2135:AG2143"/>
    <mergeCell ref="AN4:AP4"/>
    <mergeCell ref="AN35:AP43"/>
    <mergeCell ref="AN2135:AP2143"/>
    <mergeCell ref="AW4:AY4"/>
    <mergeCell ref="AW35:AY43"/>
    <mergeCell ref="AW2135:AY2143"/>
    <mergeCell ref="BF4:BH4"/>
    <mergeCell ref="BF35:BH43"/>
    <mergeCell ref="BF2135:BH2143"/>
    <mergeCell ref="BO4:BQ4"/>
    <mergeCell ref="BO35:BQ43"/>
    <mergeCell ref="BO2135:BQ2143"/>
    <mergeCell ref="BX4:BZ4"/>
    <mergeCell ref="BX35:BZ43"/>
    <mergeCell ref="BX2135:BZ2143"/>
    <mergeCell ref="CG4:CI4"/>
    <mergeCell ref="CG35:CI43"/>
    <mergeCell ref="CG2135:CI2143"/>
    <mergeCell ref="CP4:CR4"/>
    <mergeCell ref="CP35:CR43"/>
    <mergeCell ref="CP2135:CR2143"/>
    <mergeCell ref="CY4:DA4"/>
    <mergeCell ref="CY35:DA43"/>
    <mergeCell ref="CY2135:DA2143"/>
    <mergeCell ref="DH4:DJ4"/>
    <mergeCell ref="DH35:DJ43"/>
    <mergeCell ref="DH2135:DJ2143"/>
    <mergeCell ref="DQ4:DS4"/>
    <mergeCell ref="DQ35:DS43"/>
    <mergeCell ref="DQ2135:DS2143"/>
    <mergeCell ref="DZ4:EB4"/>
    <mergeCell ref="DZ35:EB43"/>
    <mergeCell ref="DZ2135:EB2143"/>
    <mergeCell ref="EI4:EK4"/>
    <mergeCell ref="EI35:EK43"/>
    <mergeCell ref="EI2135:EK2143"/>
    <mergeCell ref="ER4:ET4"/>
    <mergeCell ref="ER35:ET43"/>
    <mergeCell ref="ER2135:ET2143"/>
    <mergeCell ref="FA4:FC4"/>
    <mergeCell ref="FA35:FC43"/>
    <mergeCell ref="FA2135:FC2143"/>
    <mergeCell ref="FJ4:FL4"/>
    <mergeCell ref="FJ35:FL43"/>
    <mergeCell ref="FJ2135:FL2143"/>
    <mergeCell ref="FS4:FU4"/>
    <mergeCell ref="FS35:FU43"/>
    <mergeCell ref="FS2135:FU2143"/>
    <mergeCell ref="GB4:GD4"/>
    <mergeCell ref="GB35:GD43"/>
    <mergeCell ref="GB2135:GD2143"/>
    <mergeCell ref="GK4:GM4"/>
    <mergeCell ref="GK35:GM43"/>
    <mergeCell ref="GK2135:GM214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Z2107"/>
  <sheetViews>
    <sheetView tabSelected="0" workbookViewId="0" showGridLines="true" showRowColHeaders="1">
      <selection activeCell="M36" sqref="M36"/>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s>
  <sheetData>
    <row r="3" spans="1:26">
      <c r="B3" s="11"/>
      <c r="C3" s="11"/>
      <c r="D3" s="11"/>
      <c r="E3" s="11"/>
      <c r="F3" s="11"/>
      <c r="G3" s="11"/>
      <c r="H3" s="11"/>
      <c r="K3" s="28"/>
      <c r="L3" s="28"/>
      <c r="M3" s="28"/>
      <c r="N3" s="28"/>
      <c r="O3" s="28"/>
      <c r="P3" s="28"/>
      <c r="Q3" s="28"/>
    </row>
    <row r="4" spans="1:26">
      <c r="B4" s="11"/>
      <c r="D4" s="30" t="s">
        <v>179</v>
      </c>
      <c r="E4" s="29"/>
      <c r="F4" s="29"/>
      <c r="H4" s="11"/>
      <c r="K4" s="28"/>
      <c r="M4" s="30" t="s">
        <v>180</v>
      </c>
      <c r="N4" s="29"/>
      <c r="O4" s="29"/>
      <c r="Q4" s="28"/>
    </row>
    <row r="5" spans="1:26">
      <c r="B5" s="11"/>
      <c r="D5" s="10" t="s">
        <v>66</v>
      </c>
      <c r="H5" s="11"/>
      <c r="K5" s="28"/>
      <c r="M5" s="10" t="s">
        <v>67</v>
      </c>
      <c r="Q5" s="28"/>
    </row>
    <row r="6" spans="1:26">
      <c r="B6" s="11"/>
      <c r="D6" s="10" t="s">
        <v>1</v>
      </c>
      <c r="H6" s="11"/>
      <c r="K6" s="28"/>
      <c r="M6" s="10" t="s">
        <v>1</v>
      </c>
      <c r="Q6" s="28"/>
    </row>
    <row r="7" spans="1:26">
      <c r="B7" s="11"/>
      <c r="D7" s="13"/>
      <c r="E7" s="19" t="s">
        <v>69</v>
      </c>
      <c r="F7" s="19" t="s">
        <v>70</v>
      </c>
      <c r="H7" s="11"/>
      <c r="K7" s="28"/>
      <c r="M7" s="13"/>
      <c r="N7" s="19" t="s">
        <v>69</v>
      </c>
      <c r="O7" s="19" t="s">
        <v>70</v>
      </c>
      <c r="Q7" s="28"/>
    </row>
    <row r="8" spans="1:26">
      <c r="B8" s="11"/>
      <c r="D8" s="26" t="str">
        <f>('.'!A31)</f>
        <v>0</v>
      </c>
      <c r="E8" s="18" t="str">
        <f>COUNTIF('.'!B5:W24,1)</f>
        <v>0</v>
      </c>
      <c r="F8" s="22" t="str">
        <f>(E8/E13)</f>
        <v>0</v>
      </c>
      <c r="H8" s="11"/>
      <c r="K8" s="28"/>
      <c r="M8" s="26" t="str">
        <f>('.'!A31)</f>
        <v>0</v>
      </c>
      <c r="N8" s="18" t="str">
        <f>COUNTIF('.'!B5:W24,1)</f>
        <v>0</v>
      </c>
      <c r="O8" s="22" t="str">
        <f>(N8/N13)</f>
        <v>0</v>
      </c>
      <c r="Q8" s="28"/>
    </row>
    <row r="9" spans="1:26">
      <c r="B9" s="11"/>
      <c r="D9" s="26" t="str">
        <f>('.'!A32)</f>
        <v>0</v>
      </c>
      <c r="E9" s="18" t="str">
        <f>COUNTIF('.'!B5:W24,2)</f>
        <v>0</v>
      </c>
      <c r="F9" s="22" t="str">
        <f>(E9/E13)</f>
        <v>0</v>
      </c>
      <c r="H9" s="11"/>
      <c r="K9" s="28"/>
      <c r="M9" s="26" t="str">
        <f>('.'!A32)</f>
        <v>0</v>
      </c>
      <c r="N9" s="18" t="str">
        <f>COUNTIF('.'!B5:W24,2)</f>
        <v>0</v>
      </c>
      <c r="O9" s="22" t="str">
        <f>(N9/N13)</f>
        <v>0</v>
      </c>
      <c r="Q9" s="28"/>
    </row>
    <row r="10" spans="1:26">
      <c r="B10" s="11"/>
      <c r="D10" s="26" t="str">
        <f>('.'!A33)</f>
        <v>0</v>
      </c>
      <c r="E10" s="18" t="str">
        <f>COUNTIF('.'!B5:W24,3)</f>
        <v>0</v>
      </c>
      <c r="F10" s="22" t="str">
        <f>(E10/E13)</f>
        <v>0</v>
      </c>
      <c r="H10" s="11"/>
      <c r="K10" s="28"/>
      <c r="M10" s="26" t="str">
        <f>('.'!A33)</f>
        <v>0</v>
      </c>
      <c r="N10" s="18" t="str">
        <f>COUNTIF('.'!B5:W24,3)</f>
        <v>0</v>
      </c>
      <c r="O10" s="22" t="str">
        <f>(N10/N13)</f>
        <v>0</v>
      </c>
      <c r="Q10" s="28"/>
    </row>
    <row r="11" spans="1:26">
      <c r="B11" s="11"/>
      <c r="D11" s="26" t="str">
        <f>('.'!A34)</f>
        <v>0</v>
      </c>
      <c r="E11" s="18" t="str">
        <f>COUNTIF('.'!B5:W24,4)</f>
        <v>0</v>
      </c>
      <c r="F11" s="22" t="str">
        <f>(E11/E13)</f>
        <v>0</v>
      </c>
      <c r="H11" s="11"/>
      <c r="K11" s="28"/>
      <c r="M11" s="26" t="str">
        <f>('.'!A34)</f>
        <v>0</v>
      </c>
      <c r="N11" s="18" t="str">
        <f>COUNTIF('.'!B5:W24,4)</f>
        <v>0</v>
      </c>
      <c r="O11" s="22" t="str">
        <f>(N11/N13)</f>
        <v>0</v>
      </c>
      <c r="Q11" s="28"/>
    </row>
    <row r="12" spans="1:26">
      <c r="B12" s="11"/>
      <c r="D12" s="26" t="str">
        <f>('.'!A35)</f>
        <v>0</v>
      </c>
      <c r="E12" s="18" t="str">
        <f>COUNTIF('.'!B5:W24,5)</f>
        <v>0</v>
      </c>
      <c r="F12" s="22" t="str">
        <f>(E12/E13)</f>
        <v>0</v>
      </c>
      <c r="H12" s="11"/>
      <c r="K12" s="28"/>
      <c r="M12" s="26" t="str">
        <f>('.'!A35)</f>
        <v>0</v>
      </c>
      <c r="N12" s="18" t="str">
        <f>COUNTIF('.'!B5:W24,5)</f>
        <v>0</v>
      </c>
      <c r="O12" s="22" t="str">
        <f>(N12/N13)</f>
        <v>0</v>
      </c>
      <c r="Q12" s="28"/>
    </row>
    <row r="13" spans="1:26">
      <c r="B13" s="11"/>
      <c r="D13" s="32" t="str">
        <f>('.'!A36)</f>
        <v>0</v>
      </c>
      <c r="E13" s="19" t="str">
        <f>SUM(E8:E12)</f>
        <v>0</v>
      </c>
      <c r="F13" s="23" t="str">
        <f>SUM(F8:F12)</f>
        <v>0</v>
      </c>
      <c r="H13" s="11"/>
      <c r="K13" s="28"/>
      <c r="M13" s="32" t="str">
        <f>('.'!A36)</f>
        <v>0</v>
      </c>
      <c r="N13" s="19" t="str">
        <f>SUM(N8:N12)</f>
        <v>0</v>
      </c>
      <c r="O13" s="23" t="str">
        <f>SUM(O8:O12)</f>
        <v>0</v>
      </c>
      <c r="Q13" s="28"/>
    </row>
    <row r="14" spans="1:26">
      <c r="B14" s="11"/>
      <c r="D14" s="10" t="s">
        <v>74</v>
      </c>
      <c r="H14" s="11"/>
      <c r="K14" s="28"/>
      <c r="M14" s="10" t="s">
        <v>74</v>
      </c>
      <c r="Q14" s="28"/>
    </row>
    <row r="15" spans="1:26">
      <c r="B15" s="11"/>
      <c r="D15" s="10" t="s">
        <v>73</v>
      </c>
      <c r="H15" s="11"/>
      <c r="K15" s="28"/>
      <c r="M15" s="10" t="s">
        <v>73</v>
      </c>
      <c r="Q15" s="28"/>
    </row>
    <row r="16" spans="1:26">
      <c r="B16" s="11"/>
      <c r="H16" s="11"/>
      <c r="K16" s="28"/>
      <c r="Q16" s="28"/>
    </row>
    <row r="17" spans="1:26">
      <c r="B17" s="11"/>
      <c r="H17" s="11"/>
      <c r="K17" s="28"/>
      <c r="Q17" s="28"/>
    </row>
    <row r="18" spans="1:26">
      <c r="B18" s="11"/>
      <c r="H18" s="11"/>
      <c r="K18" s="28"/>
      <c r="Q18" s="28"/>
    </row>
    <row r="19" spans="1:26">
      <c r="B19" s="11"/>
      <c r="H19" s="11"/>
      <c r="K19" s="28"/>
      <c r="Q19" s="28"/>
    </row>
    <row r="20" spans="1:26">
      <c r="B20" s="11"/>
      <c r="H20" s="11"/>
      <c r="K20" s="28"/>
      <c r="Q20" s="28"/>
    </row>
    <row r="21" spans="1:26">
      <c r="B21" s="11"/>
      <c r="H21" s="11"/>
      <c r="K21" s="28"/>
      <c r="Q21" s="28"/>
    </row>
    <row r="22" spans="1:26">
      <c r="B22" s="11"/>
      <c r="H22" s="11"/>
      <c r="K22" s="28"/>
      <c r="Q22" s="28"/>
    </row>
    <row r="23" spans="1:26">
      <c r="B23" s="11"/>
      <c r="H23" s="11"/>
      <c r="K23" s="28"/>
      <c r="Q23" s="28"/>
    </row>
    <row r="24" spans="1:26">
      <c r="B24" s="11"/>
      <c r="H24" s="11"/>
      <c r="K24" s="28"/>
      <c r="Q24" s="28"/>
    </row>
    <row r="25" spans="1:26">
      <c r="B25" s="11"/>
      <c r="H25" s="11"/>
      <c r="K25" s="28"/>
      <c r="Q25" s="28"/>
    </row>
    <row r="26" spans="1:26">
      <c r="B26" s="11"/>
      <c r="H26" s="11"/>
      <c r="K26" s="28"/>
      <c r="Q26" s="28"/>
    </row>
    <row r="27" spans="1:26">
      <c r="B27" s="11"/>
      <c r="H27" s="11"/>
      <c r="K27" s="28"/>
      <c r="Q27" s="28"/>
    </row>
    <row r="28" spans="1:26">
      <c r="B28" s="11"/>
      <c r="H28" s="11"/>
      <c r="K28" s="28"/>
      <c r="Q28" s="28"/>
    </row>
    <row r="29" spans="1:26">
      <c r="B29" s="11"/>
      <c r="H29" s="11"/>
      <c r="K29" s="28"/>
      <c r="Q29" s="28"/>
    </row>
    <row r="30" spans="1:26">
      <c r="B30" s="11"/>
      <c r="H30" s="11"/>
      <c r="K30" s="28"/>
      <c r="Q30" s="28"/>
    </row>
    <row r="31" spans="1:26">
      <c r="B31" s="11"/>
      <c r="H31" s="11"/>
      <c r="K31" s="28"/>
      <c r="Q31" s="28"/>
    </row>
    <row r="32" spans="1:26">
      <c r="B32" s="11"/>
      <c r="H32" s="11"/>
      <c r="K32" s="28"/>
      <c r="Q32" s="28"/>
    </row>
    <row r="33" spans="1:26">
      <c r="B33" s="11"/>
      <c r="D33" s="10" t="s">
        <v>75</v>
      </c>
      <c r="H33" s="11"/>
      <c r="K33" s="28"/>
      <c r="M33" s="10" t="s">
        <v>76</v>
      </c>
      <c r="Q33" s="28"/>
    </row>
    <row r="34" spans="1:26">
      <c r="B34" s="11"/>
      <c r="D34" s="10" t="s">
        <v>1</v>
      </c>
      <c r="H34" s="11"/>
      <c r="K34" s="28"/>
      <c r="M34" s="10" t="s">
        <v>1</v>
      </c>
      <c r="Q34" s="28"/>
    </row>
    <row r="35" spans="1:26">
      <c r="B35" s="11"/>
      <c r="H35" s="11"/>
      <c r="K35" s="28"/>
      <c r="Q35" s="28"/>
    </row>
    <row r="36" spans="1:26">
      <c r="B36" s="11"/>
      <c r="D36" s="27" t="str">
        <f>CONCATENATE("En la ",D5," y ",D33," se puede observar que la variable ",E1001," en base a su dimensión ",E1002," es calificado como ",E1008," ya que el ",ROUND(D1006*100,0),"% de los resultados lo califican como ",D1005,", el ",ROUND(E1006*100,0),"% ",E1005," y el ",ROUND(F1006*100,0),"% lo califico como ",F1005," estos resultados son originados debido a que, ",D1011," ",E1011,",","asi mismo ",D1012," ",E1012,", sin embargo ",D1013," ",E1013,", de nuevo ",D1014," ",E1014,", aunque ",D1015," ",E1015,", mismo ",D1016," ",E1016,", sin embargo ",D1017," ",E1017,", aunque ",D1018," ",E1018,", sin embargo ",D1019," ",E1019,", además ",D1020," ",E1020,", por su parte ",D1021," ",E1021,", sin embargo ",D1022," ",E1022,", también ",D1023," ",E1023,", de modo que ",D1024," ",E1024,", con motivo ",D1025," ",E1025,", de modo que ",D1026," ",E1026,", en cambio ",D1027," ",E1027,", además ",D1028," ",E1028,", en cambio ",D1029," ",E1029,", también ",D1030," ",E1030,", sin embargo ",D1031," ",E1031, ", ","asi mismo ",D1032," ",E1032,","," por todas estas razones, es que la variable ",E1001," basado en su dimensión ",E1002," y calificado por los ",E1003," es considerado como ",E1008,".")</f>
        <v>0</v>
      </c>
      <c r="E36" s="35"/>
      <c r="F36" s="35"/>
      <c r="G36" s="35"/>
      <c r="H36" s="36"/>
      <c r="I36" s="35"/>
      <c r="J36" s="35"/>
      <c r="K36" s="28"/>
      <c r="L36" s="35"/>
      <c r="M36" s="27" t="str">
        <f>CONCATENATE("En la ",M5," y ",M33," se puede observar que la variable ",N1001," tiene una calificación de ",N1008,","," ello debido a que el ",ROUND(N1006*100,0),"% de los resultados estan en las categorias de ",M1005," mientras que el ",ROUND(N1006*100,0),"% ",N1005," y el ",ROUND(O1006*100,0),"% ",O1005," en tal sentido se puede observar que la mayoria de los resultados es decir el ",ROUND(P1007*100,0),"% tiene una calificación inclinada para un valor ",N1008," estos resultados se originaron debido a que ",X1016,", finalmente dentro de las dimensiones evaluadas la que cuenta con mayor deficiencia es la dimensión ",L1076,)</f>
        <v>0</v>
      </c>
      <c r="N36" s="35"/>
      <c r="O36" s="35"/>
      <c r="P36" s="35"/>
      <c r="Q36" s="37"/>
      <c r="R36" s="35"/>
      <c r="S36" s="35"/>
      <c r="T36" s="35"/>
      <c r="U36" s="35"/>
    </row>
    <row r="37" spans="1:26">
      <c r="B37" s="11"/>
      <c r="H37" s="11"/>
      <c r="K37" s="28"/>
      <c r="Q37" s="28"/>
    </row>
    <row r="38" spans="1:26">
      <c r="B38" s="11"/>
      <c r="H38" s="11"/>
      <c r="K38" s="28"/>
      <c r="Q38" s="28"/>
    </row>
    <row r="39" spans="1:26">
      <c r="B39" s="11"/>
      <c r="H39" s="11"/>
      <c r="K39" s="28"/>
      <c r="Q39" s="28"/>
    </row>
    <row r="1001" spans="1:26">
      <c r="D1001" s="10" t="s">
        <v>56</v>
      </c>
      <c r="E1001" s="10" t="str">
        <f>(M6)</f>
        <v>0</v>
      </c>
      <c r="M1001" s="10" t="s">
        <v>56</v>
      </c>
      <c r="N1001" s="10" t="str">
        <f>(M6)</f>
        <v>0</v>
      </c>
    </row>
    <row r="1002" spans="1:26">
      <c r="D1002" s="10" t="s">
        <v>78</v>
      </c>
      <c r="E1002" s="10" t="str">
        <f>(D6)</f>
        <v>0</v>
      </c>
      <c r="M1002" s="10" t="s">
        <v>78</v>
      </c>
      <c r="N1002" s="10" t="str">
        <f>(M6)</f>
        <v>0</v>
      </c>
    </row>
    <row r="1003" spans="1:26">
      <c r="D1003" s="10" t="s">
        <v>181</v>
      </c>
      <c r="E1003" s="10" t="s">
        <v>79</v>
      </c>
      <c r="M1003" s="10" t="s">
        <v>181</v>
      </c>
      <c r="N1003" s="10" t="s">
        <v>79</v>
      </c>
    </row>
    <row r="1004" spans="1:26">
      <c r="C1004" s="10" t="s">
        <v>84</v>
      </c>
      <c r="D1004" s="10" t="s">
        <v>1</v>
      </c>
      <c r="E1004" s="10" t="s">
        <v>1</v>
      </c>
      <c r="F1004" s="10" t="s">
        <v>1</v>
      </c>
      <c r="L1004" s="10" t="s">
        <v>84</v>
      </c>
      <c r="M1004" s="10" t="s">
        <v>1</v>
      </c>
      <c r="N1004" s="10" t="s">
        <v>1</v>
      </c>
      <c r="O1004" s="10" t="s">
        <v>1</v>
      </c>
    </row>
    <row r="1005" spans="1:26">
      <c r="C1005" s="10" t="s">
        <v>68</v>
      </c>
      <c r="D1005" s="10" t="str">
        <f>CONCATENATE(D8," y ",D9)</f>
        <v>0</v>
      </c>
      <c r="E1005" s="10" t="str">
        <f>D10</f>
        <v>0</v>
      </c>
      <c r="F1005" s="10" t="str">
        <f>CONCATENATE(D11," y ",D12)</f>
        <v>0</v>
      </c>
      <c r="L1005" s="10" t="s">
        <v>68</v>
      </c>
      <c r="M1005" s="10" t="str">
        <f>CONCATENATE(M8," y ",M9)</f>
        <v>0</v>
      </c>
      <c r="N1005" s="10" t="str">
        <f>M10</f>
        <v>0</v>
      </c>
      <c r="O1005" s="10" t="str">
        <f>CONCATENATE(M11," y ",M12)</f>
        <v>0</v>
      </c>
    </row>
    <row r="1006" spans="1:26">
      <c r="D1006" s="14" t="str">
        <f>SUM(F8:F9)</f>
        <v>0</v>
      </c>
      <c r="E1006" s="14" t="str">
        <f>F10</f>
        <v>0</v>
      </c>
      <c r="F1006" s="14" t="str">
        <f>SUM(F11:F12)</f>
        <v>0</v>
      </c>
      <c r="M1006" s="14" t="str">
        <f>SUM(O8:O9)</f>
        <v>0</v>
      </c>
      <c r="N1006" s="14" t="str">
        <f>O10</f>
        <v>0</v>
      </c>
      <c r="O1006" s="14" t="str">
        <f>SUM(O11:O12)</f>
        <v>0</v>
      </c>
    </row>
    <row r="1007" spans="1:26">
      <c r="C1007" s="10" t="s">
        <v>182</v>
      </c>
      <c r="D1007" s="14" t="str">
        <f>SUM(D1006:E1006)</f>
        <v>0</v>
      </c>
      <c r="E1007" s="14" t="str">
        <f>SUM(E1006:F1006)</f>
        <v>0</v>
      </c>
      <c r="F1007" s="14" t="str">
        <f>(D1007-E1007)</f>
        <v>0</v>
      </c>
      <c r="L1007" s="10" t="s">
        <v>182</v>
      </c>
      <c r="M1007" s="14" t="str">
        <f>SUM(M1006:N1006)</f>
        <v>0</v>
      </c>
      <c r="N1007" s="14" t="str">
        <f>SUM(N1006:O1006)</f>
        <v>0</v>
      </c>
      <c r="O1007" s="14" t="str">
        <f>(M1007-N1007)</f>
        <v>0</v>
      </c>
      <c r="P1007" s="14" t="str">
        <f>MAX(M1007:N1007)</f>
        <v>0</v>
      </c>
    </row>
    <row r="1008" spans="1:26">
      <c r="D1008" s="10" t="s">
        <v>183</v>
      </c>
      <c r="E1008" t="str">
        <f>IF(AND(F1007&gt;=-5%,F1007&lt;=5%),E1004,IF(F1007&gt;=6%,D1004,IF(F1007&lt;=-5%,F1004,E1004)))</f>
        <v>0</v>
      </c>
      <c r="M1008" s="10" t="s">
        <v>183</v>
      </c>
      <c r="N1008" t="str">
        <f>IF(AND(O1007&gt;=-5%,O1007&lt;=5%),N1004,IF(O1007&gt;=6%,M1004,IF(O1007&lt;=-5%,O1004,N1004)))</f>
        <v>0</v>
      </c>
    </row>
    <row r="1011" spans="1:26">
      <c r="D1011" s="10" t="str">
        <f>'Por Valoracion (3) Dimension'!Q1016</f>
        <v>0</v>
      </c>
      <c r="E1011" s="10" t="str">
        <f>'Por Valoracion (3) Dimension'!I1016</f>
        <v>0</v>
      </c>
    </row>
    <row r="1012" spans="1:26">
      <c r="D1012" s="10" t="str">
        <f>'Por Valoracion (3) Dimension'!Q1017</f>
        <v>0</v>
      </c>
      <c r="E1012" s="10" t="str">
        <f>'Por Valoracion (3) Dimension'!I1017</f>
        <v>0</v>
      </c>
    </row>
    <row r="1013" spans="1:26">
      <c r="D1013" s="10" t="str">
        <f>'Por Valoracion (3) Dimension'!Q1018</f>
        <v>0</v>
      </c>
      <c r="E1013" s="10" t="str">
        <f>'Por Valoracion (3) Dimension'!I1018</f>
        <v>0</v>
      </c>
    </row>
    <row r="1014" spans="1:26">
      <c r="D1014" s="10" t="str">
        <f>'Por Valoracion (3) Dimension'!Q1019</f>
        <v>0</v>
      </c>
      <c r="E1014" s="10" t="str">
        <f>'Por Valoracion (3) Dimension'!I1019</f>
        <v>0</v>
      </c>
    </row>
    <row r="1015" spans="1:26">
      <c r="D1015" s="10" t="str">
        <f>'Por Valoracion (3) Dimension'!Q1020</f>
        <v>0</v>
      </c>
      <c r="E1015" s="10" t="str">
        <f>'Por Valoracion (3) Dimension'!I1020</f>
        <v>0</v>
      </c>
      <c r="L1015" s="10" t="s">
        <v>88</v>
      </c>
      <c r="M1015" s="10" t="str">
        <f>M1005</f>
        <v>0</v>
      </c>
      <c r="N1015" s="10" t="str">
        <f>N1005</f>
        <v>0</v>
      </c>
      <c r="O1015" s="10" t="str">
        <f>O1005</f>
        <v>0</v>
      </c>
      <c r="P1015" s="10" t="s">
        <v>184</v>
      </c>
      <c r="Q1015" s="10" t="s">
        <v>89</v>
      </c>
      <c r="R1015" s="10" t="s">
        <v>90</v>
      </c>
      <c r="S1015" s="10" t="s">
        <v>91</v>
      </c>
      <c r="T1015" s="10" t="s">
        <v>92</v>
      </c>
      <c r="U1015" s="10" t="s">
        <v>93</v>
      </c>
      <c r="V1015" s="10" t="s">
        <v>94</v>
      </c>
      <c r="W1015" s="10" t="s">
        <v>95</v>
      </c>
      <c r="X1015" s="10" t="s">
        <v>87</v>
      </c>
      <c r="Y1015" s="10"/>
      <c r="Z1015" s="10"/>
    </row>
    <row r="1016" spans="1:26">
      <c r="D1016" s="10" t="str">
        <f>'Por Valoracion (3) Dimension'!Q1021</f>
        <v>0</v>
      </c>
      <c r="E1016" s="10" t="str">
        <f>'Por Valoracion (3) Dimension'!I1021</f>
        <v>0</v>
      </c>
      <c r="L1016" s="10" t="str">
        <f>(D6)</f>
        <v>0</v>
      </c>
      <c r="M1016" s="14" t="str">
        <f>(D1006)</f>
        <v>0</v>
      </c>
      <c r="N1016" s="14" t="str">
        <f>(E1006)</f>
        <v>0</v>
      </c>
      <c r="O1016" s="14" t="str">
        <f>(F1006)</f>
        <v>0</v>
      </c>
      <c r="P1016" s="14" t="str">
        <f>MAX(M1016:O1016)</f>
        <v>0</v>
      </c>
      <c r="Q1016" s="10" t="str">
        <f>IF(P1016=M1016,$M$1015,IF(P1016=N1016,$N$1015,IF(P1016=O1016,$O$1015,"algo esta mal")))</f>
        <v>0</v>
      </c>
      <c r="R1016" s="10" t="str">
        <f> RANDBETWEEN(1,10)</f>
        <v>0</v>
      </c>
      <c r="S1016" s="10" t="str">
        <f>IF(R1016='Por Valoracion (3) Dimension'!$AB$1100,'Por Valoracion (3) Dimension'!$AC$1100,IF(R1016='Por Valoracion (3) Dimension'!$AB$1101,'Por Valoracion (3) Dimension'!$AC$1101,IF(R1016='Por Valoracion (3) Dimension'!$AB$1102,'Por Valoracion (3) Dimension'!$AC$1102,IF(R1016='Por Valoracion (3) Dimension'!$AB$1103,'Por Valoracion (3) Dimension'!$AC$1103,IF(R1016='Por Valoracion (3) Dimension'!$AB$1104,'Por Valoracion (3) Dimension'!$AC$1104,IF(R1016='Por Valoracion (3) Dimension'!$AB$1105,'Por Valoracion (3) Dimension'!$AC$1105,IF(R1016='Por Valoracion (3) Dimension'!$AB$1106,'Por Valoracion (3) Dimension'!$AC$1106,IF(R1016='Por Valoracion (3) Dimension'!$AB$1107,'Por Valoracion (3) Dimension'!$AC$1107,IF(R1016='Por Valoracion (3) Dimension'!$AB$1108,'Por Valoracion (3) Dimension'!$AC$1108,IF(R1016='Por Valoracion (3) Dimension'!$AB$1109,'Por Valoracion (3) Dimension'!$AC$1109, A4000))))))))))</f>
        <v>0</v>
      </c>
      <c r="T1016" s="10" t="str">
        <f> RANDBETWEEN(1,7)</f>
        <v>0</v>
      </c>
      <c r="U1016" s="10" t="str">
        <f>IF(T1016='Por Valoracion (3) Dimension'!$AB$1110,'Por Valoracion (3) Dimension'!$AC$1110,IF(T1016='Por Valoracion (3) Dimension'!$AB$1111,'Por Valoracion (3) Dimension'!$AC$1111,IF(T1016='Por Valoracion (3) Dimension'!$AB$1112,'Por Valoracion (3) Dimension'!$AC$1112,IF(T1016='Por Valoracion (3) Dimension'!$AB$1113,'Por Valoracion (3) Dimension'!$AC$1113,IF(T1016='Por Valoracion (3) Dimension'!$AB$1114,'Por Valoracion (3) Dimension'!$AC$1114,IF(T1016='Por Valoracion (3) Dimension'!$AB$1115,'Por Valoracion (3) Dimension'!$AC$1115,IF(T1016='Por Valoracion (3) Dimension'!$AB$1116,'Por Valoracion (3) Dimension'!$AC$1116,IF(T1016='Por Valoracion (3) Dimension'!$AB$1117,'Por Valoracion (3) Dimension'!$AC$1117,IF(T1016='Por Valoracion (3) Dimension'!$AB$1118,'Por Valoracion (3) Dimension'!$AC$1118,IF(T1016='Por Valoracion (3) Dimension'!$AB$1119,'Por Valoracion (3) Dimension'!$AC$1119, A4000))))))))))</f>
        <v>0</v>
      </c>
      <c r="V1016" s="10" t="str">
        <f> RANDBETWEEN(1,2)</f>
        <v>0</v>
      </c>
      <c r="W1016" s="10" t="str">
        <f>IF(V1016='Por Valoracion (3) Dimension'!$AB$1120,'Por Valoracion (3) Dimension'!$AC$1120,IF(V1016='Por Valoracion (3) Dimension'!$AB$1121,'Por Valoracion (3) Dimension'!$AC$1121,A4000))</f>
        <v>0</v>
      </c>
      <c r="X1016" s="10" t="str">
        <f>CONCATENATE("el ",ROUND(P1016*100,0),"% de los ",W1016," ",S1016," a la dimensión ",L1016," como ",Q1016)</f>
        <v>0</v>
      </c>
    </row>
    <row r="1017" spans="1:26">
      <c r="D1017" s="10" t="str">
        <f>'Por Valoracion (3) Dimension'!Q1022</f>
        <v>0</v>
      </c>
      <c r="E1017" s="10" t="str">
        <f>'Por Valoracion (3) Dimension'!I1022</f>
        <v>0</v>
      </c>
    </row>
    <row r="1018" spans="1:26">
      <c r="D1018" s="10" t="str">
        <f>'Por Valoracion (3) Dimension'!Q1023</f>
        <v>0</v>
      </c>
      <c r="E1018" s="10" t="str">
        <f>'Por Valoracion (3) Dimension'!I1023</f>
        <v>0</v>
      </c>
    </row>
    <row r="1019" spans="1:26">
      <c r="D1019" s="10" t="str">
        <f>'Por Valoracion (3) Dimension'!Q1024</f>
        <v>0</v>
      </c>
      <c r="E1019" s="10" t="str">
        <f>'Por Valoracion (3) Dimension'!I1024</f>
        <v>0</v>
      </c>
    </row>
    <row r="1020" spans="1:26">
      <c r="D1020" s="10" t="str">
        <f>'Por Valoracion (3) Dimension'!Q1025</f>
        <v>0</v>
      </c>
      <c r="E1020" s="10" t="str">
        <f>'Por Valoracion (3) Dimension'!I1025</f>
        <v>0</v>
      </c>
    </row>
    <row r="1021" spans="1:26">
      <c r="D1021" s="10" t="str">
        <f>'Por Valoracion (3) Dimension'!Q1026</f>
        <v>0</v>
      </c>
      <c r="E1021" s="10" t="str">
        <f>'Por Valoracion (3) Dimension'!I1026</f>
        <v>0</v>
      </c>
    </row>
    <row r="1022" spans="1:26">
      <c r="D1022" s="10" t="str">
        <f>'Por Valoracion (3) Dimension'!Q1027</f>
        <v>0</v>
      </c>
      <c r="E1022" s="10" t="str">
        <f>'Por Valoracion (3) Dimension'!I1027</f>
        <v>0</v>
      </c>
    </row>
    <row r="1023" spans="1:26">
      <c r="D1023" s="10" t="str">
        <f>'Por Valoracion (3) Dimension'!Q1028</f>
        <v>0</v>
      </c>
      <c r="E1023" s="10" t="str">
        <f>'Por Valoracion (3) Dimension'!I1028</f>
        <v>0</v>
      </c>
    </row>
    <row r="1024" spans="1:26">
      <c r="D1024" s="10" t="str">
        <f>'Por Valoracion (3) Dimension'!Q1029</f>
        <v>0</v>
      </c>
      <c r="E1024" s="10" t="str">
        <f>'Por Valoracion (3) Dimension'!I1029</f>
        <v>0</v>
      </c>
    </row>
    <row r="1025" spans="1:26">
      <c r="D1025" s="10" t="str">
        <f>'Por Valoracion (3) Dimension'!Q1030</f>
        <v>0</v>
      </c>
      <c r="E1025" s="10" t="str">
        <f>'Por Valoracion (3) Dimension'!I1030</f>
        <v>0</v>
      </c>
    </row>
    <row r="1026" spans="1:26">
      <c r="D1026" s="10" t="str">
        <f>'Por Valoracion (3) Dimension'!Q1031</f>
        <v>0</v>
      </c>
      <c r="E1026" s="10" t="str">
        <f>'Por Valoracion (3) Dimension'!I1031</f>
        <v>0</v>
      </c>
    </row>
    <row r="1027" spans="1:26">
      <c r="D1027" s="10" t="str">
        <f>'Por Valoracion (3) Dimension'!Q1032</f>
        <v>0</v>
      </c>
      <c r="E1027" s="10" t="str">
        <f>'Por Valoracion (3) Dimension'!I1032</f>
        <v>0</v>
      </c>
    </row>
    <row r="1028" spans="1:26">
      <c r="D1028" s="10" t="str">
        <f>'Por Valoracion (3) Dimension'!Q1033</f>
        <v>0</v>
      </c>
      <c r="E1028" s="10" t="str">
        <f>'Por Valoracion (3) Dimension'!I1033</f>
        <v>0</v>
      </c>
    </row>
    <row r="1029" spans="1:26">
      <c r="D1029" s="10" t="str">
        <f>'Por Valoracion (3) Dimension'!Q1034</f>
        <v>0</v>
      </c>
      <c r="E1029" s="10" t="str">
        <f>'Por Valoracion (3) Dimension'!I1034</f>
        <v>0</v>
      </c>
    </row>
    <row r="1030" spans="1:26">
      <c r="D1030" s="10" t="str">
        <f>'Por Valoracion (3) Dimension'!Q1035</f>
        <v>0</v>
      </c>
      <c r="E1030" s="10" t="str">
        <f>'Por Valoracion (3) Dimension'!I1035</f>
        <v>0</v>
      </c>
    </row>
    <row r="1031" spans="1:26">
      <c r="D1031" s="10" t="str">
        <f>'Por Valoracion (3) Dimension'!Q1036</f>
        <v>0</v>
      </c>
      <c r="E1031" s="10" t="str">
        <f>'Por Valoracion (3) Dimension'!I1036</f>
        <v>0</v>
      </c>
    </row>
    <row r="1032" spans="1:26">
      <c r="D1032" s="10" t="str">
        <f>'Por Valoracion (3) Dimension'!Q1037</f>
        <v>0</v>
      </c>
      <c r="E1032" s="10" t="str">
        <f>'Por Valoracion (3) Dimension'!I1037</f>
        <v>0</v>
      </c>
    </row>
    <row r="1076" spans="1:26">
      <c r="L1076" s="10" t="str">
        <f>IF(M1076=M1016,L1016)</f>
        <v>0</v>
      </c>
      <c r="M1076" s="14" t="str">
        <f>MAX(M1016:M1016)</f>
        <v>0</v>
      </c>
    </row>
    <row r="2008" spans="1:26">
      <c r="E2008" s="10"/>
      <c r="N2008" s="10"/>
    </row>
    <row r="2009" spans="1:26">
      <c r="E2009" s="10"/>
      <c r="N2009" s="10"/>
    </row>
    <row r="2010" spans="1:26">
      <c r="E2010" s="10"/>
      <c r="N2010" s="10"/>
    </row>
    <row r="2011" spans="1:26">
      <c r="E2011" s="10"/>
      <c r="N2011" s="10"/>
    </row>
    <row r="2012" spans="1:26">
      <c r="E2012" s="10"/>
      <c r="N2012" s="10"/>
    </row>
    <row r="2013" spans="1:26">
      <c r="E2013" s="18" t="str">
        <f>SUM(E2008:E2012)</f>
        <v>0</v>
      </c>
      <c r="F2013" s="22" t="str">
        <f>SUM(F2008:F2012)</f>
        <v>0</v>
      </c>
      <c r="N2013" s="18" t="str">
        <f>SUM(N2008:N2012)</f>
        <v>0</v>
      </c>
      <c r="O2013" s="22" t="str">
        <f>SUM(O2008:O2012)</f>
        <v>0</v>
      </c>
    </row>
    <row r="2101" spans="1:26">
      <c r="D2101" s="10" t="s">
        <v>56</v>
      </c>
      <c r="E2101" s="10" t="str">
        <f>(M6)</f>
        <v>0</v>
      </c>
      <c r="M2101" s="10" t="s">
        <v>56</v>
      </c>
      <c r="N2101" s="10" t="str">
        <f>(M6)</f>
        <v>0</v>
      </c>
    </row>
    <row r="2102" spans="1:26">
      <c r="D2102" s="10" t="s">
        <v>78</v>
      </c>
      <c r="E2102" s="10" t="str">
        <f>(D6)</f>
        <v>0</v>
      </c>
      <c r="M2102" s="10" t="s">
        <v>78</v>
      </c>
      <c r="N2102" s="10" t="str">
        <f>(M6)</f>
        <v>0</v>
      </c>
    </row>
    <row r="2103" spans="1:26">
      <c r="D2103" s="10" t="s">
        <v>181</v>
      </c>
      <c r="E2103" s="10" t="s">
        <v>79</v>
      </c>
      <c r="M2103" s="10" t="s">
        <v>181</v>
      </c>
      <c r="N2103" s="10" t="s">
        <v>79</v>
      </c>
    </row>
    <row r="2104" spans="1:26">
      <c r="C2104" s="10" t="s">
        <v>84</v>
      </c>
      <c r="D2104" s="10" t="s">
        <v>1</v>
      </c>
      <c r="E2104" s="10" t="s">
        <v>1</v>
      </c>
      <c r="F2104" s="10" t="s">
        <v>1</v>
      </c>
      <c r="L2104" s="10" t="s">
        <v>84</v>
      </c>
      <c r="M2104" s="10" t="s">
        <v>1</v>
      </c>
      <c r="N2104" s="10" t="s">
        <v>1</v>
      </c>
      <c r="O2104" s="10" t="s">
        <v>1</v>
      </c>
    </row>
    <row r="2105" spans="1:26">
      <c r="C2105" s="10" t="s">
        <v>68</v>
      </c>
      <c r="L2105" s="10" t="s">
        <v>68</v>
      </c>
    </row>
    <row r="2107" spans="1:26">
      <c r="C2107" s="10" t="s">
        <v>182</v>
      </c>
      <c r="L2107" s="10" t="s">
        <v>182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6:F47"/>
    <mergeCell ref="M4:O4"/>
    <mergeCell ref="M36:O4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W42"/>
  <sheetViews>
    <sheetView tabSelected="0" workbookViewId="0" showGridLines="true" showRowColHeaders="1">
      <selection activeCell="U42" sqref="U42"/>
    </sheetView>
  </sheetViews>
  <sheetFormatPr defaultRowHeight="14.4" outlineLevelRow="0" outlineLevelCol="0"/>
  <sheetData>
    <row r="1" spans="1:23">
      <c r="A1" s="1" t="s">
        <v>0</v>
      </c>
      <c r="B1" s="1"/>
      <c r="C1" s="1"/>
      <c r="D1" s="1"/>
      <c r="E1" s="1"/>
      <c r="F1" s="1"/>
      <c r="G1" s="1"/>
      <c r="H1" s="1"/>
      <c r="I1" s="1"/>
      <c r="J1" s="1"/>
      <c r="K1" s="1"/>
      <c r="L1" s="1"/>
      <c r="M1" s="1"/>
      <c r="N1" s="1"/>
      <c r="O1" s="1"/>
      <c r="P1" s="1"/>
      <c r="Q1" s="1"/>
      <c r="R1" s="1"/>
      <c r="S1" s="1"/>
      <c r="T1" s="1"/>
      <c r="U1" s="1"/>
      <c r="V1" s="1"/>
      <c r="W1" s="1"/>
    </row>
    <row r="2" spans="1:23">
      <c r="A2" s="1"/>
      <c r="B2" s="1"/>
      <c r="C2" s="1"/>
      <c r="D2" s="1"/>
      <c r="E2" s="1"/>
      <c r="F2" s="1"/>
      <c r="G2" s="1"/>
      <c r="H2" s="1"/>
      <c r="I2" s="1"/>
      <c r="J2" s="1"/>
      <c r="K2" s="1"/>
      <c r="L2" s="1"/>
      <c r="M2" s="1"/>
      <c r="N2" s="1"/>
      <c r="O2" s="1"/>
      <c r="P2" s="1"/>
      <c r="Q2" s="1"/>
      <c r="R2" s="1"/>
      <c r="S2" s="1"/>
      <c r="T2" s="1"/>
      <c r="U2" s="1"/>
      <c r="V2" s="1"/>
      <c r="W2" s="1"/>
    </row>
    <row r="3" spans="1:23">
      <c r="B3" s="3" t="s">
        <v>1</v>
      </c>
      <c r="C3" s="3"/>
      <c r="D3" s="3"/>
      <c r="E3" s="3"/>
      <c r="F3" s="3"/>
      <c r="G3" s="3"/>
      <c r="H3" s="3"/>
      <c r="I3" s="3"/>
      <c r="J3" s="3"/>
      <c r="K3" s="3"/>
      <c r="L3" s="3"/>
      <c r="M3" s="3"/>
      <c r="N3" s="3"/>
      <c r="O3" s="3"/>
      <c r="P3" s="3"/>
      <c r="Q3" s="3"/>
      <c r="R3" s="3"/>
      <c r="S3" s="3"/>
      <c r="T3" s="3"/>
      <c r="U3" s="3"/>
      <c r="V3" s="3" t="s">
        <v>2</v>
      </c>
      <c r="W3" s="3" t="s">
        <v>3</v>
      </c>
    </row>
    <row r="4" spans="1:23">
      <c r="B4" s="2" t="s">
        <v>4</v>
      </c>
      <c r="C4" s="2" t="s">
        <v>5</v>
      </c>
      <c r="D4" s="2" t="s">
        <v>6</v>
      </c>
      <c r="E4" s="2" t="s">
        <v>7</v>
      </c>
      <c r="F4" s="2" t="s">
        <v>8</v>
      </c>
      <c r="G4" s="2" t="s">
        <v>9</v>
      </c>
      <c r="H4" s="2" t="s">
        <v>10</v>
      </c>
      <c r="I4" s="2" t="s">
        <v>11</v>
      </c>
      <c r="J4" s="2" t="s">
        <v>12</v>
      </c>
      <c r="K4" s="2" t="s">
        <v>13</v>
      </c>
      <c r="L4" s="2" t="s">
        <v>14</v>
      </c>
      <c r="M4" s="2" t="s">
        <v>15</v>
      </c>
      <c r="N4" s="2" t="s">
        <v>16</v>
      </c>
      <c r="O4" s="2" t="s">
        <v>17</v>
      </c>
      <c r="P4" s="2" t="s">
        <v>18</v>
      </c>
      <c r="Q4" s="2" t="s">
        <v>19</v>
      </c>
      <c r="R4" s="2" t="s">
        <v>20</v>
      </c>
      <c r="S4" s="2" t="s">
        <v>21</v>
      </c>
      <c r="T4" s="2" t="s">
        <v>22</v>
      </c>
      <c r="U4" s="2" t="s">
        <v>23</v>
      </c>
    </row>
    <row r="5" spans="1:23">
      <c r="A5" t="s">
        <v>26</v>
      </c>
      <c r="B5">
        <v>4</v>
      </c>
      <c r="C5">
        <v>5</v>
      </c>
      <c r="D5">
        <v>5</v>
      </c>
      <c r="E5">
        <v>4</v>
      </c>
      <c r="F5">
        <v>4</v>
      </c>
      <c r="G5">
        <v>5</v>
      </c>
      <c r="H5">
        <v>4</v>
      </c>
      <c r="I5">
        <v>4</v>
      </c>
      <c r="J5">
        <v>5</v>
      </c>
      <c r="K5">
        <v>3</v>
      </c>
      <c r="L5">
        <v>4</v>
      </c>
      <c r="M5">
        <v>5</v>
      </c>
      <c r="N5">
        <v>5</v>
      </c>
      <c r="O5">
        <v>5</v>
      </c>
      <c r="P5">
        <v>5</v>
      </c>
      <c r="Q5">
        <v>4</v>
      </c>
      <c r="R5">
        <v>4</v>
      </c>
      <c r="S5">
        <v>4</v>
      </c>
      <c r="T5">
        <v>5</v>
      </c>
      <c r="U5">
        <v>5</v>
      </c>
      <c r="V5" t="str">
        <f>SUM(B5:U5)</f>
        <v>0</v>
      </c>
    </row>
    <row r="6" spans="1:23">
      <c r="A6" t="s">
        <v>27</v>
      </c>
      <c r="B6">
        <v>5</v>
      </c>
      <c r="C6">
        <v>5</v>
      </c>
      <c r="D6">
        <v>5</v>
      </c>
      <c r="E6">
        <v>4</v>
      </c>
      <c r="F6">
        <v>5</v>
      </c>
      <c r="G6">
        <v>5</v>
      </c>
      <c r="H6">
        <v>4</v>
      </c>
      <c r="I6">
        <v>5</v>
      </c>
      <c r="J6">
        <v>5</v>
      </c>
      <c r="K6">
        <v>5</v>
      </c>
      <c r="L6">
        <v>4</v>
      </c>
      <c r="M6">
        <v>5</v>
      </c>
      <c r="N6">
        <v>3</v>
      </c>
      <c r="O6">
        <v>5</v>
      </c>
      <c r="P6">
        <v>5</v>
      </c>
      <c r="Q6">
        <v>5</v>
      </c>
      <c r="R6">
        <v>4</v>
      </c>
      <c r="S6">
        <v>3</v>
      </c>
      <c r="T6">
        <v>5</v>
      </c>
      <c r="U6">
        <v>5</v>
      </c>
      <c r="V6" t="str">
        <f>SUM(B6:U6)</f>
        <v>0</v>
      </c>
    </row>
    <row r="7" spans="1:23">
      <c r="A7" t="s">
        <v>28</v>
      </c>
      <c r="B7">
        <v>1</v>
      </c>
      <c r="C7">
        <v>1</v>
      </c>
      <c r="D7">
        <v>2</v>
      </c>
      <c r="E7">
        <v>2</v>
      </c>
      <c r="F7">
        <v>2</v>
      </c>
      <c r="G7">
        <v>2</v>
      </c>
      <c r="H7">
        <v>1</v>
      </c>
      <c r="I7">
        <v>2</v>
      </c>
      <c r="J7">
        <v>1</v>
      </c>
      <c r="K7">
        <v>2</v>
      </c>
      <c r="L7">
        <v>2</v>
      </c>
      <c r="M7">
        <v>2</v>
      </c>
      <c r="N7">
        <v>2</v>
      </c>
      <c r="O7">
        <v>2</v>
      </c>
      <c r="P7">
        <v>2</v>
      </c>
      <c r="Q7">
        <v>2</v>
      </c>
      <c r="R7">
        <v>1</v>
      </c>
      <c r="S7">
        <v>2</v>
      </c>
      <c r="T7">
        <v>2</v>
      </c>
      <c r="U7">
        <v>1</v>
      </c>
      <c r="V7" t="str">
        <f>SUM(B7:U7)</f>
        <v>0</v>
      </c>
    </row>
    <row r="8" spans="1:23">
      <c r="A8" t="s">
        <v>29</v>
      </c>
      <c r="B8">
        <v>1</v>
      </c>
      <c r="C8">
        <v>1</v>
      </c>
      <c r="D8">
        <v>1</v>
      </c>
      <c r="E8">
        <v>1</v>
      </c>
      <c r="F8">
        <v>1</v>
      </c>
      <c r="G8">
        <v>1</v>
      </c>
      <c r="H8">
        <v>1</v>
      </c>
      <c r="I8">
        <v>1</v>
      </c>
      <c r="J8">
        <v>1</v>
      </c>
      <c r="K8">
        <v>1</v>
      </c>
      <c r="L8">
        <v>1</v>
      </c>
      <c r="M8">
        <v>1</v>
      </c>
      <c r="N8">
        <v>1</v>
      </c>
      <c r="O8">
        <v>1</v>
      </c>
      <c r="P8">
        <v>1</v>
      </c>
      <c r="Q8">
        <v>1</v>
      </c>
      <c r="R8">
        <v>1</v>
      </c>
      <c r="S8">
        <v>1</v>
      </c>
      <c r="T8">
        <v>1</v>
      </c>
      <c r="U8">
        <v>1</v>
      </c>
      <c r="V8" t="str">
        <f>SUM(B8:U8)</f>
        <v>0</v>
      </c>
    </row>
    <row r="9" spans="1:23">
      <c r="A9" t="s">
        <v>30</v>
      </c>
      <c r="B9">
        <v>1</v>
      </c>
      <c r="C9">
        <v>1</v>
      </c>
      <c r="D9">
        <v>1</v>
      </c>
      <c r="E9">
        <v>1</v>
      </c>
      <c r="F9">
        <v>1</v>
      </c>
      <c r="G9">
        <v>1</v>
      </c>
      <c r="H9">
        <v>1</v>
      </c>
      <c r="I9">
        <v>1</v>
      </c>
      <c r="J9">
        <v>1</v>
      </c>
      <c r="K9">
        <v>1</v>
      </c>
      <c r="L9">
        <v>1</v>
      </c>
      <c r="M9">
        <v>1</v>
      </c>
      <c r="N9">
        <v>1</v>
      </c>
      <c r="O9">
        <v>1</v>
      </c>
      <c r="P9">
        <v>1</v>
      </c>
      <c r="Q9">
        <v>1</v>
      </c>
      <c r="R9">
        <v>1</v>
      </c>
      <c r="S9">
        <v>1</v>
      </c>
      <c r="T9">
        <v>1</v>
      </c>
      <c r="U9">
        <v>1</v>
      </c>
      <c r="V9" t="str">
        <f>SUM(B9:U9)</f>
        <v>0</v>
      </c>
    </row>
    <row r="10" spans="1:23">
      <c r="A10" t="s">
        <v>31</v>
      </c>
      <c r="B10">
        <v>5</v>
      </c>
      <c r="C10">
        <v>5</v>
      </c>
      <c r="D10">
        <v>5</v>
      </c>
      <c r="E10">
        <v>5</v>
      </c>
      <c r="F10">
        <v>4</v>
      </c>
      <c r="G10">
        <v>5</v>
      </c>
      <c r="H10">
        <v>5</v>
      </c>
      <c r="I10">
        <v>5</v>
      </c>
      <c r="J10">
        <v>5</v>
      </c>
      <c r="K10">
        <v>4</v>
      </c>
      <c r="L10">
        <v>4</v>
      </c>
      <c r="M10">
        <v>5</v>
      </c>
      <c r="N10">
        <v>5</v>
      </c>
      <c r="O10">
        <v>4</v>
      </c>
      <c r="P10">
        <v>3</v>
      </c>
      <c r="Q10">
        <v>5</v>
      </c>
      <c r="R10">
        <v>5</v>
      </c>
      <c r="S10">
        <v>3</v>
      </c>
      <c r="T10">
        <v>4</v>
      </c>
      <c r="U10">
        <v>4</v>
      </c>
      <c r="V10" t="str">
        <f>SUM(B10:U10)</f>
        <v>0</v>
      </c>
    </row>
    <row r="11" spans="1:23">
      <c r="A11" t="s">
        <v>32</v>
      </c>
      <c r="B11">
        <v>2</v>
      </c>
      <c r="C11">
        <v>2</v>
      </c>
      <c r="D11">
        <v>1</v>
      </c>
      <c r="E11">
        <v>1</v>
      </c>
      <c r="F11">
        <v>2</v>
      </c>
      <c r="G11">
        <v>2</v>
      </c>
      <c r="H11">
        <v>2</v>
      </c>
      <c r="I11">
        <v>2</v>
      </c>
      <c r="J11">
        <v>2</v>
      </c>
      <c r="K11">
        <v>2</v>
      </c>
      <c r="L11">
        <v>2</v>
      </c>
      <c r="M11">
        <v>2</v>
      </c>
      <c r="N11">
        <v>2</v>
      </c>
      <c r="O11">
        <v>2</v>
      </c>
      <c r="P11">
        <v>1</v>
      </c>
      <c r="Q11">
        <v>2</v>
      </c>
      <c r="R11">
        <v>2</v>
      </c>
      <c r="S11">
        <v>2</v>
      </c>
      <c r="T11">
        <v>2</v>
      </c>
      <c r="U11">
        <v>2</v>
      </c>
      <c r="V11" t="str">
        <f>SUM(B11:U11)</f>
        <v>0</v>
      </c>
    </row>
    <row r="12" spans="1:23">
      <c r="A12" t="s">
        <v>33</v>
      </c>
      <c r="B12">
        <v>2</v>
      </c>
      <c r="C12">
        <v>2</v>
      </c>
      <c r="D12">
        <v>2</v>
      </c>
      <c r="E12">
        <v>3</v>
      </c>
      <c r="F12">
        <v>3</v>
      </c>
      <c r="G12">
        <v>2</v>
      </c>
      <c r="H12">
        <v>3</v>
      </c>
      <c r="I12">
        <v>3</v>
      </c>
      <c r="J12">
        <v>2</v>
      </c>
      <c r="K12">
        <v>3</v>
      </c>
      <c r="L12">
        <v>2</v>
      </c>
      <c r="M12">
        <v>2</v>
      </c>
      <c r="N12">
        <v>3</v>
      </c>
      <c r="O12">
        <v>2</v>
      </c>
      <c r="P12">
        <v>3</v>
      </c>
      <c r="Q12">
        <v>3</v>
      </c>
      <c r="R12">
        <v>2</v>
      </c>
      <c r="S12">
        <v>3</v>
      </c>
      <c r="T12">
        <v>2</v>
      </c>
      <c r="U12">
        <v>3</v>
      </c>
      <c r="V12" t="str">
        <f>SUM(B12:U12)</f>
        <v>0</v>
      </c>
    </row>
    <row r="13" spans="1:23">
      <c r="A13" t="s">
        <v>34</v>
      </c>
      <c r="B13">
        <v>3</v>
      </c>
      <c r="C13">
        <v>4</v>
      </c>
      <c r="D13">
        <v>4</v>
      </c>
      <c r="E13">
        <v>3</v>
      </c>
      <c r="F13">
        <v>3</v>
      </c>
      <c r="G13">
        <v>2</v>
      </c>
      <c r="H13">
        <v>4</v>
      </c>
      <c r="I13">
        <v>4</v>
      </c>
      <c r="J13">
        <v>4</v>
      </c>
      <c r="K13">
        <v>4</v>
      </c>
      <c r="L13">
        <v>3</v>
      </c>
      <c r="M13">
        <v>3</v>
      </c>
      <c r="N13">
        <v>3</v>
      </c>
      <c r="O13">
        <v>2</v>
      </c>
      <c r="P13">
        <v>4</v>
      </c>
      <c r="Q13">
        <v>3</v>
      </c>
      <c r="R13">
        <v>4</v>
      </c>
      <c r="S13">
        <v>4</v>
      </c>
      <c r="T13">
        <v>4</v>
      </c>
      <c r="U13">
        <v>3</v>
      </c>
      <c r="V13" t="str">
        <f>SUM(B13:U13)</f>
        <v>0</v>
      </c>
    </row>
    <row r="14" spans="1:23">
      <c r="A14" t="s">
        <v>35</v>
      </c>
      <c r="B14">
        <v>4</v>
      </c>
      <c r="C14">
        <v>4</v>
      </c>
      <c r="D14">
        <v>2</v>
      </c>
      <c r="E14">
        <v>3</v>
      </c>
      <c r="F14">
        <v>3</v>
      </c>
      <c r="G14">
        <v>3</v>
      </c>
      <c r="H14">
        <v>3</v>
      </c>
      <c r="I14">
        <v>4</v>
      </c>
      <c r="J14">
        <v>4</v>
      </c>
      <c r="K14">
        <v>2</v>
      </c>
      <c r="L14">
        <v>3</v>
      </c>
      <c r="M14">
        <v>3</v>
      </c>
      <c r="N14">
        <v>4</v>
      </c>
      <c r="O14">
        <v>2</v>
      </c>
      <c r="P14">
        <v>3</v>
      </c>
      <c r="Q14">
        <v>4</v>
      </c>
      <c r="R14">
        <v>4</v>
      </c>
      <c r="S14">
        <v>4</v>
      </c>
      <c r="T14">
        <v>4</v>
      </c>
      <c r="U14">
        <v>4</v>
      </c>
      <c r="V14" t="str">
        <f>SUM(B14:U14)</f>
        <v>0</v>
      </c>
    </row>
    <row r="15" spans="1:23">
      <c r="A15" t="s">
        <v>36</v>
      </c>
      <c r="B15">
        <v>2</v>
      </c>
      <c r="C15">
        <v>3</v>
      </c>
      <c r="D15">
        <v>4</v>
      </c>
      <c r="E15">
        <v>3</v>
      </c>
      <c r="F15">
        <v>2</v>
      </c>
      <c r="G15">
        <v>2</v>
      </c>
      <c r="H15">
        <v>4</v>
      </c>
      <c r="I15">
        <v>2</v>
      </c>
      <c r="J15">
        <v>2</v>
      </c>
      <c r="K15">
        <v>2</v>
      </c>
      <c r="L15">
        <v>3</v>
      </c>
      <c r="M15">
        <v>2</v>
      </c>
      <c r="N15">
        <v>2</v>
      </c>
      <c r="O15">
        <v>3</v>
      </c>
      <c r="P15">
        <v>4</v>
      </c>
      <c r="Q15">
        <v>2</v>
      </c>
      <c r="R15">
        <v>3</v>
      </c>
      <c r="S15">
        <v>3</v>
      </c>
      <c r="T15">
        <v>3</v>
      </c>
      <c r="U15">
        <v>2</v>
      </c>
      <c r="V15" t="str">
        <f>SUM(B15:U15)</f>
        <v>0</v>
      </c>
    </row>
    <row r="16" spans="1:23">
      <c r="A16" t="s">
        <v>37</v>
      </c>
      <c r="B16">
        <v>1</v>
      </c>
      <c r="C16">
        <v>2</v>
      </c>
      <c r="D16">
        <v>1</v>
      </c>
      <c r="E16">
        <v>1</v>
      </c>
      <c r="F16">
        <v>2</v>
      </c>
      <c r="G16">
        <v>1</v>
      </c>
      <c r="H16">
        <v>2</v>
      </c>
      <c r="I16">
        <v>1</v>
      </c>
      <c r="J16">
        <v>1</v>
      </c>
      <c r="K16">
        <v>1</v>
      </c>
      <c r="L16">
        <v>1</v>
      </c>
      <c r="M16">
        <v>1</v>
      </c>
      <c r="N16">
        <v>1</v>
      </c>
      <c r="O16">
        <v>1</v>
      </c>
      <c r="P16">
        <v>1</v>
      </c>
      <c r="Q16">
        <v>1</v>
      </c>
      <c r="R16">
        <v>1</v>
      </c>
      <c r="S16">
        <v>1</v>
      </c>
      <c r="T16">
        <v>1</v>
      </c>
      <c r="U16">
        <v>1</v>
      </c>
      <c r="V16" t="str">
        <f>SUM(B16:U16)</f>
        <v>0</v>
      </c>
    </row>
    <row r="17" spans="1:23">
      <c r="A17" t="s">
        <v>38</v>
      </c>
      <c r="B17">
        <v>1</v>
      </c>
      <c r="C17">
        <v>1</v>
      </c>
      <c r="D17">
        <v>1</v>
      </c>
      <c r="E17">
        <v>1</v>
      </c>
      <c r="F17">
        <v>1</v>
      </c>
      <c r="G17">
        <v>1</v>
      </c>
      <c r="H17">
        <v>2</v>
      </c>
      <c r="I17">
        <v>2</v>
      </c>
      <c r="J17">
        <v>1</v>
      </c>
      <c r="K17">
        <v>1</v>
      </c>
      <c r="L17">
        <v>2</v>
      </c>
      <c r="M17">
        <v>1</v>
      </c>
      <c r="N17">
        <v>1</v>
      </c>
      <c r="O17">
        <v>2</v>
      </c>
      <c r="P17">
        <v>1</v>
      </c>
      <c r="Q17">
        <v>2</v>
      </c>
      <c r="R17">
        <v>1</v>
      </c>
      <c r="S17">
        <v>1</v>
      </c>
      <c r="T17">
        <v>1</v>
      </c>
      <c r="U17">
        <v>1</v>
      </c>
      <c r="V17" t="str">
        <f>SUM(B17:U17)</f>
        <v>0</v>
      </c>
    </row>
    <row r="18" spans="1:23">
      <c r="A18" t="s">
        <v>39</v>
      </c>
      <c r="B18">
        <v>2</v>
      </c>
      <c r="C18">
        <v>1</v>
      </c>
      <c r="D18">
        <v>1</v>
      </c>
      <c r="E18">
        <v>1</v>
      </c>
      <c r="F18">
        <v>1</v>
      </c>
      <c r="G18">
        <v>2</v>
      </c>
      <c r="H18">
        <v>1</v>
      </c>
      <c r="I18">
        <v>1</v>
      </c>
      <c r="J18">
        <v>2</v>
      </c>
      <c r="K18">
        <v>1</v>
      </c>
      <c r="L18">
        <v>1</v>
      </c>
      <c r="M18">
        <v>1</v>
      </c>
      <c r="N18">
        <v>2</v>
      </c>
      <c r="O18">
        <v>1</v>
      </c>
      <c r="P18">
        <v>1</v>
      </c>
      <c r="Q18">
        <v>1</v>
      </c>
      <c r="R18">
        <v>2</v>
      </c>
      <c r="S18">
        <v>2</v>
      </c>
      <c r="T18">
        <v>2</v>
      </c>
      <c r="U18">
        <v>1</v>
      </c>
      <c r="V18" t="str">
        <f>SUM(B18:U18)</f>
        <v>0</v>
      </c>
    </row>
    <row r="19" spans="1:23">
      <c r="A19" t="s">
        <v>40</v>
      </c>
      <c r="B19">
        <v>5</v>
      </c>
      <c r="C19">
        <v>3</v>
      </c>
      <c r="D19">
        <v>4</v>
      </c>
      <c r="E19">
        <v>5</v>
      </c>
      <c r="F19">
        <v>5</v>
      </c>
      <c r="G19">
        <v>3</v>
      </c>
      <c r="H19">
        <v>4</v>
      </c>
      <c r="I19">
        <v>3</v>
      </c>
      <c r="J19">
        <v>4</v>
      </c>
      <c r="K19">
        <v>3</v>
      </c>
      <c r="L19">
        <v>4</v>
      </c>
      <c r="M19">
        <v>4</v>
      </c>
      <c r="N19">
        <v>3</v>
      </c>
      <c r="O19">
        <v>4</v>
      </c>
      <c r="P19">
        <v>3</v>
      </c>
      <c r="Q19">
        <v>5</v>
      </c>
      <c r="R19">
        <v>4</v>
      </c>
      <c r="S19">
        <v>4</v>
      </c>
      <c r="T19">
        <v>4</v>
      </c>
      <c r="U19">
        <v>5</v>
      </c>
      <c r="V19" t="str">
        <f>SUM(B19:U19)</f>
        <v>0</v>
      </c>
    </row>
    <row r="20" spans="1:23">
      <c r="A20" t="s">
        <v>41</v>
      </c>
      <c r="B20">
        <v>1</v>
      </c>
      <c r="C20">
        <v>1</v>
      </c>
      <c r="D20">
        <v>1</v>
      </c>
      <c r="E20">
        <v>1</v>
      </c>
      <c r="F20">
        <v>1</v>
      </c>
      <c r="G20">
        <v>1</v>
      </c>
      <c r="H20">
        <v>2</v>
      </c>
      <c r="I20">
        <v>2</v>
      </c>
      <c r="J20">
        <v>1</v>
      </c>
      <c r="K20">
        <v>1</v>
      </c>
      <c r="L20">
        <v>2</v>
      </c>
      <c r="M20">
        <v>1</v>
      </c>
      <c r="N20">
        <v>1</v>
      </c>
      <c r="O20">
        <v>1</v>
      </c>
      <c r="P20">
        <v>1</v>
      </c>
      <c r="Q20">
        <v>1</v>
      </c>
      <c r="R20">
        <v>1</v>
      </c>
      <c r="S20">
        <v>1</v>
      </c>
      <c r="T20">
        <v>1</v>
      </c>
      <c r="U20">
        <v>1</v>
      </c>
      <c r="V20" t="str">
        <f>SUM(B20:U20)</f>
        <v>0</v>
      </c>
    </row>
    <row r="21" spans="1:23">
      <c r="A21" t="s">
        <v>42</v>
      </c>
      <c r="B21">
        <v>1</v>
      </c>
      <c r="C21">
        <v>2</v>
      </c>
      <c r="D21">
        <v>1</v>
      </c>
      <c r="E21">
        <v>2</v>
      </c>
      <c r="F21">
        <v>2</v>
      </c>
      <c r="G21">
        <v>1</v>
      </c>
      <c r="H21">
        <v>2</v>
      </c>
      <c r="I21">
        <v>2</v>
      </c>
      <c r="J21">
        <v>1</v>
      </c>
      <c r="K21">
        <v>1</v>
      </c>
      <c r="L21">
        <v>2</v>
      </c>
      <c r="M21">
        <v>1</v>
      </c>
      <c r="N21">
        <v>2</v>
      </c>
      <c r="O21">
        <v>1</v>
      </c>
      <c r="P21">
        <v>2</v>
      </c>
      <c r="Q21">
        <v>1</v>
      </c>
      <c r="R21">
        <v>2</v>
      </c>
      <c r="S21">
        <v>2</v>
      </c>
      <c r="T21">
        <v>1</v>
      </c>
      <c r="U21">
        <v>2</v>
      </c>
      <c r="V21" t="str">
        <f>SUM(B21:U21)</f>
        <v>0</v>
      </c>
    </row>
    <row r="22" spans="1:23">
      <c r="A22" t="s">
        <v>43</v>
      </c>
      <c r="B22">
        <v>2</v>
      </c>
      <c r="C22">
        <v>1</v>
      </c>
      <c r="D22">
        <v>2</v>
      </c>
      <c r="E22">
        <v>1</v>
      </c>
      <c r="F22">
        <v>1</v>
      </c>
      <c r="G22">
        <v>2</v>
      </c>
      <c r="H22">
        <v>2</v>
      </c>
      <c r="I22">
        <v>2</v>
      </c>
      <c r="J22">
        <v>1</v>
      </c>
      <c r="K22">
        <v>2</v>
      </c>
      <c r="L22">
        <v>2</v>
      </c>
      <c r="M22">
        <v>2</v>
      </c>
      <c r="N22">
        <v>2</v>
      </c>
      <c r="O22">
        <v>2</v>
      </c>
      <c r="P22">
        <v>1</v>
      </c>
      <c r="Q22">
        <v>2</v>
      </c>
      <c r="R22">
        <v>2</v>
      </c>
      <c r="S22">
        <v>1</v>
      </c>
      <c r="T22">
        <v>2</v>
      </c>
      <c r="U22">
        <v>1</v>
      </c>
      <c r="V22" t="str">
        <f>SUM(B22:U22)</f>
        <v>0</v>
      </c>
    </row>
    <row r="23" spans="1:23">
      <c r="A23" t="s">
        <v>44</v>
      </c>
      <c r="B23">
        <v>1</v>
      </c>
      <c r="C23">
        <v>1</v>
      </c>
      <c r="D23">
        <v>1</v>
      </c>
      <c r="E23">
        <v>1</v>
      </c>
      <c r="F23">
        <v>1</v>
      </c>
      <c r="G23">
        <v>1</v>
      </c>
      <c r="H23">
        <v>1</v>
      </c>
      <c r="I23">
        <v>1</v>
      </c>
      <c r="J23">
        <v>1</v>
      </c>
      <c r="K23">
        <v>1</v>
      </c>
      <c r="L23">
        <v>1</v>
      </c>
      <c r="M23">
        <v>1</v>
      </c>
      <c r="N23">
        <v>1</v>
      </c>
      <c r="O23">
        <v>1</v>
      </c>
      <c r="P23">
        <v>1</v>
      </c>
      <c r="Q23">
        <v>1</v>
      </c>
      <c r="R23">
        <v>1</v>
      </c>
      <c r="S23">
        <v>1</v>
      </c>
      <c r="T23">
        <v>1</v>
      </c>
      <c r="U23">
        <v>1</v>
      </c>
      <c r="V23" t="str">
        <f>SUM(B23:U23)</f>
        <v>0</v>
      </c>
    </row>
    <row r="24" spans="1:23">
      <c r="A24" t="s">
        <v>45</v>
      </c>
      <c r="B24">
        <v>1</v>
      </c>
      <c r="C24">
        <v>2</v>
      </c>
      <c r="D24">
        <v>2</v>
      </c>
      <c r="E24">
        <v>1</v>
      </c>
      <c r="F24">
        <v>2</v>
      </c>
      <c r="G24">
        <v>2</v>
      </c>
      <c r="H24">
        <v>2</v>
      </c>
      <c r="I24">
        <v>2</v>
      </c>
      <c r="J24">
        <v>2</v>
      </c>
      <c r="K24">
        <v>2</v>
      </c>
      <c r="L24">
        <v>2</v>
      </c>
      <c r="M24">
        <v>2</v>
      </c>
      <c r="N24">
        <v>2</v>
      </c>
      <c r="O24">
        <v>2</v>
      </c>
      <c r="P24">
        <v>2</v>
      </c>
      <c r="Q24">
        <v>2</v>
      </c>
      <c r="R24">
        <v>2</v>
      </c>
      <c r="S24">
        <v>2</v>
      </c>
      <c r="T24">
        <v>2</v>
      </c>
      <c r="U24">
        <v>1</v>
      </c>
      <c r="V24" t="str">
        <f>SUM(B24:U24)</f>
        <v>0</v>
      </c>
    </row>
    <row r="25" spans="1:23">
      <c r="A25" t="s">
        <v>46</v>
      </c>
      <c r="B25" t="str">
        <f>SUM(B5:B24)</f>
        <v>0</v>
      </c>
      <c r="C25" t="str">
        <f>SUM(C5:C24)</f>
        <v>0</v>
      </c>
      <c r="D25" t="str">
        <f>SUM(D5:D24)</f>
        <v>0</v>
      </c>
      <c r="E25" t="str">
        <f>SUM(E5:E24)</f>
        <v>0</v>
      </c>
      <c r="F25" t="str">
        <f>SUM(F5:F24)</f>
        <v>0</v>
      </c>
      <c r="G25" t="str">
        <f>SUM(G5:G24)</f>
        <v>0</v>
      </c>
      <c r="H25" t="str">
        <f>SUM(H5:H24)</f>
        <v>0</v>
      </c>
      <c r="I25" t="str">
        <f>SUM(I5:I24)</f>
        <v>0</v>
      </c>
      <c r="J25" t="str">
        <f>SUM(J5:J24)</f>
        <v>0</v>
      </c>
      <c r="K25" t="str">
        <f>SUM(K5:K24)</f>
        <v>0</v>
      </c>
      <c r="L25" t="str">
        <f>SUM(L5:L24)</f>
        <v>0</v>
      </c>
      <c r="M25" t="str">
        <f>SUM(M5:M24)</f>
        <v>0</v>
      </c>
      <c r="N25" t="str">
        <f>SUM(N5:N24)</f>
        <v>0</v>
      </c>
      <c r="O25" t="str">
        <f>SUM(O5:O24)</f>
        <v>0</v>
      </c>
      <c r="P25" t="str">
        <f>SUM(P5:P24)</f>
        <v>0</v>
      </c>
      <c r="Q25" t="str">
        <f>SUM(Q5:Q24)</f>
        <v>0</v>
      </c>
      <c r="R25" t="str">
        <f>SUM(R5:R24)</f>
        <v>0</v>
      </c>
      <c r="S25" t="str">
        <f>SUM(S5:S24)</f>
        <v>0</v>
      </c>
      <c r="T25" t="str">
        <f>SUM(T5:T24)</f>
        <v>0</v>
      </c>
      <c r="U25" t="str">
        <f>SUM(U5:U24)</f>
        <v>0</v>
      </c>
      <c r="V25" t="str">
        <f>SUM(V5:V24)</f>
        <v>0</v>
      </c>
    </row>
    <row r="26" spans="1:23">
      <c r="A26" t="s">
        <v>47</v>
      </c>
      <c r="B26" t="str">
        <f>MODE(B5:B24)</f>
        <v>0</v>
      </c>
      <c r="C26" t="str">
        <f>MODE(C5:C24)</f>
        <v>0</v>
      </c>
      <c r="D26" t="str">
        <f>MODE(D5:D24)</f>
        <v>0</v>
      </c>
      <c r="E26" t="str">
        <f>MODE(E5:E24)</f>
        <v>0</v>
      </c>
      <c r="F26" t="str">
        <f>MODE(F5:F24)</f>
        <v>0</v>
      </c>
      <c r="G26" t="str">
        <f>MODE(G5:G24)</f>
        <v>0</v>
      </c>
      <c r="H26" t="str">
        <f>MODE(H5:H24)</f>
        <v>0</v>
      </c>
      <c r="I26" t="str">
        <f>MODE(I5:I24)</f>
        <v>0</v>
      </c>
      <c r="J26" t="str">
        <f>MODE(J5:J24)</f>
        <v>0</v>
      </c>
      <c r="K26" t="str">
        <f>MODE(K5:K24)</f>
        <v>0</v>
      </c>
      <c r="L26" t="str">
        <f>MODE(L5:L24)</f>
        <v>0</v>
      </c>
      <c r="M26" t="str">
        <f>MODE(M5:M24)</f>
        <v>0</v>
      </c>
      <c r="N26" t="str">
        <f>MODE(N5:N24)</f>
        <v>0</v>
      </c>
      <c r="O26" t="str">
        <f>MODE(O5:O24)</f>
        <v>0</v>
      </c>
      <c r="P26" t="str">
        <f>MODE(P5:P24)</f>
        <v>0</v>
      </c>
      <c r="Q26" t="str">
        <f>MODE(Q5:Q24)</f>
        <v>0</v>
      </c>
      <c r="R26" t="str">
        <f>MODE(R5:R24)</f>
        <v>0</v>
      </c>
      <c r="S26" t="str">
        <f>MODE(S5:S24)</f>
        <v>0</v>
      </c>
      <c r="T26" t="str">
        <f>MODE(T5:T24)</f>
        <v>0</v>
      </c>
      <c r="U26" t="str">
        <f>MODE(U5:U24)</f>
        <v>0</v>
      </c>
      <c r="V26" t="str">
        <f>MODE(V5:V24)</f>
        <v>0</v>
      </c>
    </row>
    <row r="27" spans="1:23">
      <c r="A27" t="s">
        <v>48</v>
      </c>
      <c r="B27" t="str">
        <f>(B25/20)</f>
        <v>0</v>
      </c>
      <c r="C27" t="str">
        <f>(C25/20)</f>
        <v>0</v>
      </c>
      <c r="D27" t="str">
        <f>(D25/20)</f>
        <v>0</v>
      </c>
      <c r="E27" t="str">
        <f>(E25/20)</f>
        <v>0</v>
      </c>
      <c r="F27" t="str">
        <f>(F25/20)</f>
        <v>0</v>
      </c>
      <c r="G27" t="str">
        <f>(G25/20)</f>
        <v>0</v>
      </c>
      <c r="H27" t="str">
        <f>(H25/20)</f>
        <v>0</v>
      </c>
      <c r="I27" t="str">
        <f>(I25/20)</f>
        <v>0</v>
      </c>
      <c r="J27" t="str">
        <f>(J25/20)</f>
        <v>0</v>
      </c>
      <c r="K27" t="str">
        <f>(K25/20)</f>
        <v>0</v>
      </c>
      <c r="L27" t="str">
        <f>(L25/20)</f>
        <v>0</v>
      </c>
      <c r="M27" t="str">
        <f>(M25/20)</f>
        <v>0</v>
      </c>
      <c r="N27" t="str">
        <f>(N25/20)</f>
        <v>0</v>
      </c>
      <c r="O27" t="str">
        <f>(O25/20)</f>
        <v>0</v>
      </c>
      <c r="P27" t="str">
        <f>(P25/20)</f>
        <v>0</v>
      </c>
      <c r="Q27" t="str">
        <f>(Q25/20)</f>
        <v>0</v>
      </c>
      <c r="R27" t="str">
        <f>(R25/20)</f>
        <v>0</v>
      </c>
      <c r="S27" t="str">
        <f>(S25/20)</f>
        <v>0</v>
      </c>
      <c r="T27" t="str">
        <f>(T25/20)</f>
        <v>0</v>
      </c>
      <c r="U27" t="str">
        <f>(U25/20)</f>
        <v>0</v>
      </c>
      <c r="V27" t="str">
        <f>(V25/20)</f>
        <v>0</v>
      </c>
    </row>
    <row r="28" spans="1:23">
      <c r="A28" t="s">
        <v>49</v>
      </c>
      <c r="B28" t="str">
        <f>MEDIAN(B5:B24)</f>
        <v>0</v>
      </c>
      <c r="C28" t="str">
        <f>MEDIAN(C5:C24)</f>
        <v>0</v>
      </c>
      <c r="D28" t="str">
        <f>MEDIAN(D5:D24)</f>
        <v>0</v>
      </c>
      <c r="E28" t="str">
        <f>MEDIAN(E5:E24)</f>
        <v>0</v>
      </c>
      <c r="F28" t="str">
        <f>MEDIAN(F5:F24)</f>
        <v>0</v>
      </c>
      <c r="G28" t="str">
        <f>MEDIAN(G5:G24)</f>
        <v>0</v>
      </c>
      <c r="H28" t="str">
        <f>MEDIAN(H5:H24)</f>
        <v>0</v>
      </c>
      <c r="I28" t="str">
        <f>MEDIAN(I5:I24)</f>
        <v>0</v>
      </c>
      <c r="J28" t="str">
        <f>MEDIAN(J5:J24)</f>
        <v>0</v>
      </c>
      <c r="K28" t="str">
        <f>MEDIAN(K5:K24)</f>
        <v>0</v>
      </c>
      <c r="L28" t="str">
        <f>MEDIAN(L5:L24)</f>
        <v>0</v>
      </c>
      <c r="M28" t="str">
        <f>MEDIAN(M5:M24)</f>
        <v>0</v>
      </c>
      <c r="N28" t="str">
        <f>MEDIAN(N5:N24)</f>
        <v>0</v>
      </c>
      <c r="O28" t="str">
        <f>MEDIAN(O5:O24)</f>
        <v>0</v>
      </c>
      <c r="P28" t="str">
        <f>MEDIAN(P5:P24)</f>
        <v>0</v>
      </c>
      <c r="Q28" t="str">
        <f>MEDIAN(Q5:Q24)</f>
        <v>0</v>
      </c>
      <c r="R28" t="str">
        <f>MEDIAN(R5:R24)</f>
        <v>0</v>
      </c>
      <c r="S28" t="str">
        <f>MEDIAN(S5:S24)</f>
        <v>0</v>
      </c>
      <c r="T28" t="str">
        <f>MEDIAN(T5:T24)</f>
        <v>0</v>
      </c>
      <c r="U28" t="str">
        <f>MEDIAN(U5:U24)</f>
        <v>0</v>
      </c>
      <c r="V28" t="str">
        <f>MEDIAN(V5:V24)</f>
        <v>0</v>
      </c>
    </row>
    <row r="29" spans="1:23">
      <c r="A29" t="s">
        <v>50</v>
      </c>
      <c r="B29" t="str">
        <f>ROUND(STDEV(B5:B24),2)</f>
        <v>0</v>
      </c>
      <c r="C29" t="str">
        <f>ROUND(STDEV(C5:C24),2)</f>
        <v>0</v>
      </c>
      <c r="D29" t="str">
        <f>ROUND(STDEV(D5:D24),2)</f>
        <v>0</v>
      </c>
      <c r="E29" t="str">
        <f>ROUND(STDEV(E5:E24),2)</f>
        <v>0</v>
      </c>
      <c r="F29" t="str">
        <f>ROUND(STDEV(F5:F24),2)</f>
        <v>0</v>
      </c>
      <c r="G29" t="str">
        <f>ROUND(STDEV(G5:G24),2)</f>
        <v>0</v>
      </c>
      <c r="H29" t="str">
        <f>ROUND(STDEV(H5:H24),2)</f>
        <v>0</v>
      </c>
      <c r="I29" t="str">
        <f>ROUND(STDEV(I5:I24),2)</f>
        <v>0</v>
      </c>
      <c r="J29" t="str">
        <f>ROUND(STDEV(J5:J24),2)</f>
        <v>0</v>
      </c>
      <c r="K29" t="str">
        <f>ROUND(STDEV(K5:K24),2)</f>
        <v>0</v>
      </c>
      <c r="L29" t="str">
        <f>ROUND(STDEV(L5:L24),2)</f>
        <v>0</v>
      </c>
      <c r="M29" t="str">
        <f>ROUND(STDEV(M5:M24),2)</f>
        <v>0</v>
      </c>
      <c r="N29" t="str">
        <f>ROUND(STDEV(N5:N24),2)</f>
        <v>0</v>
      </c>
      <c r="O29" t="str">
        <f>ROUND(STDEV(O5:O24),2)</f>
        <v>0</v>
      </c>
      <c r="P29" t="str">
        <f>ROUND(STDEV(P5:P24),2)</f>
        <v>0</v>
      </c>
      <c r="Q29" t="str">
        <f>ROUND(STDEV(Q5:Q24),2)</f>
        <v>0</v>
      </c>
      <c r="R29" t="str">
        <f>ROUND(STDEV(R5:R24),2)</f>
        <v>0</v>
      </c>
      <c r="S29" t="str">
        <f>ROUND(STDEV(S5:S24),2)</f>
        <v>0</v>
      </c>
      <c r="T29" t="str">
        <f>ROUND(STDEV(T5:T24),2)</f>
        <v>0</v>
      </c>
      <c r="U29" t="str">
        <f>ROUND(STDEV(U5:U24),2)</f>
        <v>0</v>
      </c>
      <c r="V29" t="str">
        <f>ROUND(STDEV(V5:V24),2)</f>
        <v>0</v>
      </c>
    </row>
    <row r="30" spans="1:23">
      <c r="A30" t="s">
        <v>51</v>
      </c>
      <c r="B30" s="5" t="str">
        <f>(B29/B27)</f>
        <v>0</v>
      </c>
      <c r="C30" s="5" t="str">
        <f>(C29/C27)</f>
        <v>0</v>
      </c>
      <c r="D30" s="5" t="str">
        <f>(D29/D27)</f>
        <v>0</v>
      </c>
      <c r="E30" s="5" t="str">
        <f>(E29/E27)</f>
        <v>0</v>
      </c>
      <c r="F30" s="5" t="str">
        <f>(F29/F27)</f>
        <v>0</v>
      </c>
      <c r="G30" s="5" t="str">
        <f>(G29/G27)</f>
        <v>0</v>
      </c>
      <c r="H30" s="5" t="str">
        <f>(H29/H27)</f>
        <v>0</v>
      </c>
      <c r="I30" s="5" t="str">
        <f>(I29/I27)</f>
        <v>0</v>
      </c>
      <c r="J30" s="5" t="str">
        <f>(J29/J27)</f>
        <v>0</v>
      </c>
      <c r="K30" s="5" t="str">
        <f>(K29/K27)</f>
        <v>0</v>
      </c>
      <c r="L30" s="5" t="str">
        <f>(L29/L27)</f>
        <v>0</v>
      </c>
      <c r="M30" s="5" t="str">
        <f>(M29/M27)</f>
        <v>0</v>
      </c>
      <c r="N30" s="5" t="str">
        <f>(N29/N27)</f>
        <v>0</v>
      </c>
      <c r="O30" s="5" t="str">
        <f>(O29/O27)</f>
        <v>0</v>
      </c>
      <c r="P30" s="5" t="str">
        <f>(P29/P27)</f>
        <v>0</v>
      </c>
      <c r="Q30" s="5" t="str">
        <f>(Q29/Q27)</f>
        <v>0</v>
      </c>
      <c r="R30" s="5" t="str">
        <f>(R29/R27)</f>
        <v>0</v>
      </c>
      <c r="S30" s="5" t="str">
        <f>(S29/S27)</f>
        <v>0</v>
      </c>
      <c r="T30" s="5" t="str">
        <f>(T29/T27)</f>
        <v>0</v>
      </c>
      <c r="U30" s="5" t="str">
        <f>(U29/U27)</f>
        <v>0</v>
      </c>
      <c r="V30" s="5" t="str">
        <f>(V29/V27)</f>
        <v>0</v>
      </c>
    </row>
    <row r="31" spans="1:23">
      <c r="A31" t="s">
        <v>1</v>
      </c>
      <c r="B31" t="str">
        <f>COUNTIF($B$5:$B$24,1)</f>
        <v>0</v>
      </c>
      <c r="C31" t="str">
        <f>COUNTIF($C$5:$C$24,1)</f>
        <v>0</v>
      </c>
      <c r="D31" t="str">
        <f>COUNTIF($D$5:$D$24,1)</f>
        <v>0</v>
      </c>
      <c r="E31" t="str">
        <f>COUNTIF($E$5:$E$24,1)</f>
        <v>0</v>
      </c>
      <c r="F31" t="str">
        <f>COUNTIF($F$5:$F$24,1)</f>
        <v>0</v>
      </c>
      <c r="G31" t="str">
        <f>COUNTIF($G$5:$G$24,1)</f>
        <v>0</v>
      </c>
      <c r="H31" t="str">
        <f>COUNTIF($H$5:$H$24,1)</f>
        <v>0</v>
      </c>
      <c r="I31" t="str">
        <f>COUNTIF($I$5:$I$24,1)</f>
        <v>0</v>
      </c>
      <c r="J31" t="str">
        <f>COUNTIF($J$5:$J$24,1)</f>
        <v>0</v>
      </c>
      <c r="K31" t="str">
        <f>COUNTIF($K$5:$K$24,1)</f>
        <v>0</v>
      </c>
      <c r="L31" t="str">
        <f>COUNTIF($L$5:$L$24,1)</f>
        <v>0</v>
      </c>
      <c r="M31" t="str">
        <f>COUNTIF($M$5:$M$24,1)</f>
        <v>0</v>
      </c>
      <c r="N31" t="str">
        <f>COUNTIF($N$5:$N$24,1)</f>
        <v>0</v>
      </c>
      <c r="O31" t="str">
        <f>COUNTIF($O$5:$O$24,1)</f>
        <v>0</v>
      </c>
      <c r="P31" t="str">
        <f>COUNTIF($P$5:$P$24,1)</f>
        <v>0</v>
      </c>
      <c r="Q31" t="str">
        <f>COUNTIF($Q$5:$Q$24,1)</f>
        <v>0</v>
      </c>
      <c r="R31" t="str">
        <f>COUNTIF($R$5:$R$24,1)</f>
        <v>0</v>
      </c>
      <c r="S31" t="str">
        <f>COUNTIF($S$5:$S$24,1)</f>
        <v>0</v>
      </c>
      <c r="T31" t="str">
        <f>COUNTIF($T$5:$T$24,1)</f>
        <v>0</v>
      </c>
      <c r="U31" t="str">
        <f>COUNTIF($U$5:$U$24,1)</f>
        <v>0</v>
      </c>
    </row>
    <row r="32" spans="1:23">
      <c r="A32" t="s">
        <v>185</v>
      </c>
      <c r="B32" t="str">
        <f>COUNTIF($B$5:$B$24,2)</f>
        <v>0</v>
      </c>
      <c r="C32" t="str">
        <f>COUNTIF($C$5:$C$24,2)</f>
        <v>0</v>
      </c>
      <c r="D32" t="str">
        <f>COUNTIF($D$5:$D$24,2)</f>
        <v>0</v>
      </c>
      <c r="E32" t="str">
        <f>COUNTIF($E$5:$E$24,2)</f>
        <v>0</v>
      </c>
      <c r="F32" t="str">
        <f>COUNTIF($F$5:$F$24,2)</f>
        <v>0</v>
      </c>
      <c r="G32" t="str">
        <f>COUNTIF($G$5:$G$24,2)</f>
        <v>0</v>
      </c>
      <c r="H32" t="str">
        <f>COUNTIF($H$5:$H$24,2)</f>
        <v>0</v>
      </c>
      <c r="I32" t="str">
        <f>COUNTIF($I$5:$I$24,2)</f>
        <v>0</v>
      </c>
      <c r="J32" t="str">
        <f>COUNTIF($J$5:$J$24,2)</f>
        <v>0</v>
      </c>
      <c r="K32" t="str">
        <f>COUNTIF($K$5:$K$24,2)</f>
        <v>0</v>
      </c>
      <c r="L32" t="str">
        <f>COUNTIF($L$5:$L$24,2)</f>
        <v>0</v>
      </c>
      <c r="M32" t="str">
        <f>COUNTIF($M$5:$M$24,2)</f>
        <v>0</v>
      </c>
      <c r="N32" t="str">
        <f>COUNTIF($N$5:$N$24,2)</f>
        <v>0</v>
      </c>
      <c r="O32" t="str">
        <f>COUNTIF($O$5:$O$24,2)</f>
        <v>0</v>
      </c>
      <c r="P32" t="str">
        <f>COUNTIF($P$5:$P$24,2)</f>
        <v>0</v>
      </c>
      <c r="Q32" t="str">
        <f>COUNTIF($Q$5:$Q$24,2)</f>
        <v>0</v>
      </c>
      <c r="R32" t="str">
        <f>COUNTIF($R$5:$R$24,2)</f>
        <v>0</v>
      </c>
      <c r="S32" t="str">
        <f>COUNTIF($S$5:$S$24,2)</f>
        <v>0</v>
      </c>
      <c r="T32" t="str">
        <f>COUNTIF($T$5:$T$24,2)</f>
        <v>0</v>
      </c>
      <c r="U32" t="str">
        <f>COUNTIF($U$5:$U$24,2)</f>
        <v>0</v>
      </c>
    </row>
    <row r="33" spans="1:23">
      <c r="A33" t="s">
        <v>1</v>
      </c>
      <c r="B33" t="str">
        <f>COUNTIF($B$5:$B$24,3)</f>
        <v>0</v>
      </c>
      <c r="C33" t="str">
        <f>COUNTIF($C$5:$C$24,3)</f>
        <v>0</v>
      </c>
      <c r="D33" t="str">
        <f>COUNTIF($D$5:$D$24,3)</f>
        <v>0</v>
      </c>
      <c r="E33" t="str">
        <f>COUNTIF($E$5:$E$24,3)</f>
        <v>0</v>
      </c>
      <c r="F33" t="str">
        <f>COUNTIF($F$5:$F$24,3)</f>
        <v>0</v>
      </c>
      <c r="G33" t="str">
        <f>COUNTIF($G$5:$G$24,3)</f>
        <v>0</v>
      </c>
      <c r="H33" t="str">
        <f>COUNTIF($H$5:$H$24,3)</f>
        <v>0</v>
      </c>
      <c r="I33" t="str">
        <f>COUNTIF($I$5:$I$24,3)</f>
        <v>0</v>
      </c>
      <c r="J33" t="str">
        <f>COUNTIF($J$5:$J$24,3)</f>
        <v>0</v>
      </c>
      <c r="K33" t="str">
        <f>COUNTIF($K$5:$K$24,3)</f>
        <v>0</v>
      </c>
      <c r="L33" t="str">
        <f>COUNTIF($L$5:$L$24,3)</f>
        <v>0</v>
      </c>
      <c r="M33" t="str">
        <f>COUNTIF($M$5:$M$24,3)</f>
        <v>0</v>
      </c>
      <c r="N33" t="str">
        <f>COUNTIF($N$5:$N$24,3)</f>
        <v>0</v>
      </c>
      <c r="O33" t="str">
        <f>COUNTIF($O$5:$O$24,3)</f>
        <v>0</v>
      </c>
      <c r="P33" t="str">
        <f>COUNTIF($P$5:$P$24,3)</f>
        <v>0</v>
      </c>
      <c r="Q33" t="str">
        <f>COUNTIF($Q$5:$Q$24,3)</f>
        <v>0</v>
      </c>
      <c r="R33" t="str">
        <f>COUNTIF($R$5:$R$24,3)</f>
        <v>0</v>
      </c>
      <c r="S33" t="str">
        <f>COUNTIF($S$5:$S$24,3)</f>
        <v>0</v>
      </c>
      <c r="T33" t="str">
        <f>COUNTIF($T$5:$T$24,3)</f>
        <v>0</v>
      </c>
      <c r="U33" t="str">
        <f>COUNTIF($U$5:$U$24,3)</f>
        <v>0</v>
      </c>
    </row>
    <row r="34" spans="1:23">
      <c r="A34" t="s">
        <v>1</v>
      </c>
      <c r="B34" t="str">
        <f>COUNTIF($B$5:$B$24,4)</f>
        <v>0</v>
      </c>
      <c r="C34" t="str">
        <f>COUNTIF($C$5:$C$24,4)</f>
        <v>0</v>
      </c>
      <c r="D34" t="str">
        <f>COUNTIF($D$5:$D$24,4)</f>
        <v>0</v>
      </c>
      <c r="E34" t="str">
        <f>COUNTIF($E$5:$E$24,4)</f>
        <v>0</v>
      </c>
      <c r="F34" t="str">
        <f>COUNTIF($F$5:$F$24,4)</f>
        <v>0</v>
      </c>
      <c r="G34" t="str">
        <f>COUNTIF($G$5:$G$24,4)</f>
        <v>0</v>
      </c>
      <c r="H34" t="str">
        <f>COUNTIF($H$5:$H$24,4)</f>
        <v>0</v>
      </c>
      <c r="I34" t="str">
        <f>COUNTIF($I$5:$I$24,4)</f>
        <v>0</v>
      </c>
      <c r="J34" t="str">
        <f>COUNTIF($J$5:$J$24,4)</f>
        <v>0</v>
      </c>
      <c r="K34" t="str">
        <f>COUNTIF($K$5:$K$24,4)</f>
        <v>0</v>
      </c>
      <c r="L34" t="str">
        <f>COUNTIF($L$5:$L$24,4)</f>
        <v>0</v>
      </c>
      <c r="M34" t="str">
        <f>COUNTIF($M$5:$M$24,4)</f>
        <v>0</v>
      </c>
      <c r="N34" t="str">
        <f>COUNTIF($N$5:$N$24,4)</f>
        <v>0</v>
      </c>
      <c r="O34" t="str">
        <f>COUNTIF($O$5:$O$24,4)</f>
        <v>0</v>
      </c>
      <c r="P34" t="str">
        <f>COUNTIF($P$5:$P$24,4)</f>
        <v>0</v>
      </c>
      <c r="Q34" t="str">
        <f>COUNTIF($Q$5:$Q$24,4)</f>
        <v>0</v>
      </c>
      <c r="R34" t="str">
        <f>COUNTIF($R$5:$R$24,4)</f>
        <v>0</v>
      </c>
      <c r="S34" t="str">
        <f>COUNTIF($S$5:$S$24,4)</f>
        <v>0</v>
      </c>
      <c r="T34" t="str">
        <f>COUNTIF($T$5:$T$24,4)</f>
        <v>0</v>
      </c>
      <c r="U34" t="str">
        <f>COUNTIF($U$5:$U$24,4)</f>
        <v>0</v>
      </c>
    </row>
    <row r="35" spans="1:23">
      <c r="A35" t="s">
        <v>1</v>
      </c>
      <c r="B35" t="str">
        <f>COUNTIF($B$5:$B$24,5)</f>
        <v>0</v>
      </c>
      <c r="C35" t="str">
        <f>COUNTIF($C$5:$C$24,5)</f>
        <v>0</v>
      </c>
      <c r="D35" t="str">
        <f>COUNTIF($D$5:$D$24,5)</f>
        <v>0</v>
      </c>
      <c r="E35" t="str">
        <f>COUNTIF($E$5:$E$24,5)</f>
        <v>0</v>
      </c>
      <c r="F35" t="str">
        <f>COUNTIF($F$5:$F$24,5)</f>
        <v>0</v>
      </c>
      <c r="G35" t="str">
        <f>COUNTIF($G$5:$G$24,5)</f>
        <v>0</v>
      </c>
      <c r="H35" t="str">
        <f>COUNTIF($H$5:$H$24,5)</f>
        <v>0</v>
      </c>
      <c r="I35" t="str">
        <f>COUNTIF($I$5:$I$24,5)</f>
        <v>0</v>
      </c>
      <c r="J35" t="str">
        <f>COUNTIF($J$5:$J$24,5)</f>
        <v>0</v>
      </c>
      <c r="K35" t="str">
        <f>COUNTIF($K$5:$K$24,5)</f>
        <v>0</v>
      </c>
      <c r="L35" t="str">
        <f>COUNTIF($L$5:$L$24,5)</f>
        <v>0</v>
      </c>
      <c r="M35" t="str">
        <f>COUNTIF($M$5:$M$24,5)</f>
        <v>0</v>
      </c>
      <c r="N35" t="str">
        <f>COUNTIF($N$5:$N$24,5)</f>
        <v>0</v>
      </c>
      <c r="O35" t="str">
        <f>COUNTIF($O$5:$O$24,5)</f>
        <v>0</v>
      </c>
      <c r="P35" t="str">
        <f>COUNTIF($P$5:$P$24,5)</f>
        <v>0</v>
      </c>
      <c r="Q35" t="str">
        <f>COUNTIF($Q$5:$Q$24,5)</f>
        <v>0</v>
      </c>
      <c r="R35" t="str">
        <f>COUNTIF($R$5:$R$24,5)</f>
        <v>0</v>
      </c>
      <c r="S35" t="str">
        <f>COUNTIF($S$5:$S$24,5)</f>
        <v>0</v>
      </c>
      <c r="T35" t="str">
        <f>COUNTIF($T$5:$T$24,5)</f>
        <v>0</v>
      </c>
      <c r="U35" t="str">
        <f>COUNTIF($U$5:$U$24,5)</f>
        <v>0</v>
      </c>
    </row>
    <row r="36" spans="1:23">
      <c r="A36" t="s">
        <v>2</v>
      </c>
      <c r="B36" t="str">
        <f>SUM($B31:$B35)</f>
        <v>0</v>
      </c>
      <c r="C36" t="str">
        <f>SUM($C31:$C35)</f>
        <v>0</v>
      </c>
      <c r="D36" t="str">
        <f>SUM($D31:$D35)</f>
        <v>0</v>
      </c>
      <c r="E36" t="str">
        <f>SUM($E31:$E35)</f>
        <v>0</v>
      </c>
      <c r="F36" t="str">
        <f>SUM($F31:$F35)</f>
        <v>0</v>
      </c>
      <c r="G36" t="str">
        <f>SUM($G31:$G35)</f>
        <v>0</v>
      </c>
      <c r="H36" t="str">
        <f>SUM($H31:$H35)</f>
        <v>0</v>
      </c>
      <c r="I36" t="str">
        <f>SUM($I31:$I35)</f>
        <v>0</v>
      </c>
      <c r="J36" t="str">
        <f>SUM($J31:$J35)</f>
        <v>0</v>
      </c>
      <c r="K36" t="str">
        <f>SUM($K31:$K35)</f>
        <v>0</v>
      </c>
      <c r="L36" t="str">
        <f>SUM($L31:$L35)</f>
        <v>0</v>
      </c>
      <c r="M36" t="str">
        <f>SUM($M31:$M35)</f>
        <v>0</v>
      </c>
      <c r="N36" t="str">
        <f>SUM($N31:$N35)</f>
        <v>0</v>
      </c>
      <c r="O36" t="str">
        <f>SUM($O31:$O35)</f>
        <v>0</v>
      </c>
      <c r="P36" t="str">
        <f>SUM($P31:$P35)</f>
        <v>0</v>
      </c>
      <c r="Q36" t="str">
        <f>SUM($Q31:$Q35)</f>
        <v>0</v>
      </c>
      <c r="R36" t="str">
        <f>SUM($R31:$R35)</f>
        <v>0</v>
      </c>
      <c r="S36" t="str">
        <f>SUM($S31:$S35)</f>
        <v>0</v>
      </c>
      <c r="T36" t="str">
        <f>SUM($T31:$T35)</f>
        <v>0</v>
      </c>
      <c r="U36" t="str">
        <f>SUM($U31:$U35)</f>
        <v>0</v>
      </c>
    </row>
    <row r="37" spans="1:23">
      <c r="A37" t="s">
        <v>52</v>
      </c>
      <c r="B37" s="5" t="str">
        <f>($B31/$B36)</f>
        <v>0</v>
      </c>
      <c r="C37" s="5" t="str">
        <f>($C31/$C36)</f>
        <v>0</v>
      </c>
      <c r="D37" s="5" t="str">
        <f>($D31/$D36)</f>
        <v>0</v>
      </c>
      <c r="E37" s="5" t="str">
        <f>($E31/$E36)</f>
        <v>0</v>
      </c>
      <c r="F37" s="5" t="str">
        <f>($F31/$F36)</f>
        <v>0</v>
      </c>
      <c r="G37" s="5" t="str">
        <f>($G31/$G36)</f>
        <v>0</v>
      </c>
      <c r="H37" s="5" t="str">
        <f>($H31/$H36)</f>
        <v>0</v>
      </c>
      <c r="I37" s="5" t="str">
        <f>($I31/$I36)</f>
        <v>0</v>
      </c>
      <c r="J37" s="5" t="str">
        <f>($J31/$J36)</f>
        <v>0</v>
      </c>
      <c r="K37" s="5" t="str">
        <f>($K31/$K36)</f>
        <v>0</v>
      </c>
      <c r="L37" s="5" t="str">
        <f>($L31/$L36)</f>
        <v>0</v>
      </c>
      <c r="M37" s="5" t="str">
        <f>($M31/$M36)</f>
        <v>0</v>
      </c>
      <c r="N37" s="5" t="str">
        <f>($N31/$N36)</f>
        <v>0</v>
      </c>
      <c r="O37" s="5" t="str">
        <f>($O31/$O36)</f>
        <v>0</v>
      </c>
      <c r="P37" s="5" t="str">
        <f>($P31/$P36)</f>
        <v>0</v>
      </c>
      <c r="Q37" s="5" t="str">
        <f>($Q31/$Q36)</f>
        <v>0</v>
      </c>
      <c r="R37" s="5" t="str">
        <f>($R31/$R36)</f>
        <v>0</v>
      </c>
      <c r="S37" s="5" t="str">
        <f>($S31/$S36)</f>
        <v>0</v>
      </c>
      <c r="T37" s="5" t="str">
        <f>($T31/$T36)</f>
        <v>0</v>
      </c>
      <c r="U37" s="5" t="str">
        <f>($U31/$U36)</f>
        <v>0</v>
      </c>
    </row>
    <row r="38" spans="1:23">
      <c r="A38" t="s">
        <v>186</v>
      </c>
      <c r="B38" s="5" t="str">
        <f>($B32/$B36)</f>
        <v>0</v>
      </c>
      <c r="C38" s="5" t="str">
        <f>($C32/$C36)</f>
        <v>0</v>
      </c>
      <c r="D38" s="5" t="str">
        <f>($D32/$D36)</f>
        <v>0</v>
      </c>
      <c r="E38" s="5" t="str">
        <f>($E32/$E36)</f>
        <v>0</v>
      </c>
      <c r="F38" s="5" t="str">
        <f>($F32/$F36)</f>
        <v>0</v>
      </c>
      <c r="G38" s="5" t="str">
        <f>($G32/$G36)</f>
        <v>0</v>
      </c>
      <c r="H38" s="5" t="str">
        <f>($H32/$H36)</f>
        <v>0</v>
      </c>
      <c r="I38" s="5" t="str">
        <f>($I32/$I36)</f>
        <v>0</v>
      </c>
      <c r="J38" s="5" t="str">
        <f>($J32/$J36)</f>
        <v>0</v>
      </c>
      <c r="K38" s="5" t="str">
        <f>($K32/$K36)</f>
        <v>0</v>
      </c>
      <c r="L38" s="5" t="str">
        <f>($L32/$L36)</f>
        <v>0</v>
      </c>
      <c r="M38" s="5" t="str">
        <f>($M32/$M36)</f>
        <v>0</v>
      </c>
      <c r="N38" s="5" t="str">
        <f>($N32/$N36)</f>
        <v>0</v>
      </c>
      <c r="O38" s="5" t="str">
        <f>($O32/$O36)</f>
        <v>0</v>
      </c>
      <c r="P38" s="5" t="str">
        <f>($P32/$P36)</f>
        <v>0</v>
      </c>
      <c r="Q38" s="5" t="str">
        <f>($Q32/$Q36)</f>
        <v>0</v>
      </c>
      <c r="R38" s="5" t="str">
        <f>($R32/$R36)</f>
        <v>0</v>
      </c>
      <c r="S38" s="5" t="str">
        <f>($S32/$S36)</f>
        <v>0</v>
      </c>
      <c r="T38" s="5" t="str">
        <f>($T32/$T36)</f>
        <v>0</v>
      </c>
      <c r="U38" s="5" t="str">
        <f>($U32/$U36)</f>
        <v>0</v>
      </c>
    </row>
    <row r="39" spans="1:23">
      <c r="A39" t="s">
        <v>52</v>
      </c>
      <c r="B39" s="5" t="str">
        <f>($B33/$B36)</f>
        <v>0</v>
      </c>
      <c r="C39" s="5" t="str">
        <f>($C33/$C36)</f>
        <v>0</v>
      </c>
      <c r="D39" s="5" t="str">
        <f>($D33/$D36)</f>
        <v>0</v>
      </c>
      <c r="E39" s="5" t="str">
        <f>($E33/$E36)</f>
        <v>0</v>
      </c>
      <c r="F39" s="5" t="str">
        <f>($F33/$F36)</f>
        <v>0</v>
      </c>
      <c r="G39" s="5" t="str">
        <f>($G33/$G36)</f>
        <v>0</v>
      </c>
      <c r="H39" s="5" t="str">
        <f>($H33/$H36)</f>
        <v>0</v>
      </c>
      <c r="I39" s="5" t="str">
        <f>($I33/$I36)</f>
        <v>0</v>
      </c>
      <c r="J39" s="5" t="str">
        <f>($J33/$J36)</f>
        <v>0</v>
      </c>
      <c r="K39" s="5" t="str">
        <f>($K33/$K36)</f>
        <v>0</v>
      </c>
      <c r="L39" s="5" t="str">
        <f>($L33/$L36)</f>
        <v>0</v>
      </c>
      <c r="M39" s="5" t="str">
        <f>($M33/$M36)</f>
        <v>0</v>
      </c>
      <c r="N39" s="5" t="str">
        <f>($N33/$N36)</f>
        <v>0</v>
      </c>
      <c r="O39" s="5" t="str">
        <f>($O33/$O36)</f>
        <v>0</v>
      </c>
      <c r="P39" s="5" t="str">
        <f>($P33/$P36)</f>
        <v>0</v>
      </c>
      <c r="Q39" s="5" t="str">
        <f>($Q33/$Q36)</f>
        <v>0</v>
      </c>
      <c r="R39" s="5" t="str">
        <f>($R33/$R36)</f>
        <v>0</v>
      </c>
      <c r="S39" s="5" t="str">
        <f>($S33/$S36)</f>
        <v>0</v>
      </c>
      <c r="T39" s="5" t="str">
        <f>($T33/$T36)</f>
        <v>0</v>
      </c>
      <c r="U39" s="5" t="str">
        <f>($U33/$U36)</f>
        <v>0</v>
      </c>
    </row>
    <row r="40" spans="1:23">
      <c r="A40" t="s">
        <v>52</v>
      </c>
      <c r="B40" s="5" t="str">
        <f>($B34/$B36)</f>
        <v>0</v>
      </c>
      <c r="C40" s="5" t="str">
        <f>($C34/$C36)</f>
        <v>0</v>
      </c>
      <c r="D40" s="5" t="str">
        <f>($D34/$D36)</f>
        <v>0</v>
      </c>
      <c r="E40" s="5" t="str">
        <f>($E34/$E36)</f>
        <v>0</v>
      </c>
      <c r="F40" s="5" t="str">
        <f>($F34/$F36)</f>
        <v>0</v>
      </c>
      <c r="G40" s="5" t="str">
        <f>($G34/$G36)</f>
        <v>0</v>
      </c>
      <c r="H40" s="5" t="str">
        <f>($H34/$H36)</f>
        <v>0</v>
      </c>
      <c r="I40" s="5" t="str">
        <f>($I34/$I36)</f>
        <v>0</v>
      </c>
      <c r="J40" s="5" t="str">
        <f>($J34/$J36)</f>
        <v>0</v>
      </c>
      <c r="K40" s="5" t="str">
        <f>($K34/$K36)</f>
        <v>0</v>
      </c>
      <c r="L40" s="5" t="str">
        <f>($L34/$L36)</f>
        <v>0</v>
      </c>
      <c r="M40" s="5" t="str">
        <f>($M34/$M36)</f>
        <v>0</v>
      </c>
      <c r="N40" s="5" t="str">
        <f>($N34/$N36)</f>
        <v>0</v>
      </c>
      <c r="O40" s="5" t="str">
        <f>($O34/$O36)</f>
        <v>0</v>
      </c>
      <c r="P40" s="5" t="str">
        <f>($P34/$P36)</f>
        <v>0</v>
      </c>
      <c r="Q40" s="5" t="str">
        <f>($Q34/$Q36)</f>
        <v>0</v>
      </c>
      <c r="R40" s="5" t="str">
        <f>($R34/$R36)</f>
        <v>0</v>
      </c>
      <c r="S40" s="5" t="str">
        <f>($S34/$S36)</f>
        <v>0</v>
      </c>
      <c r="T40" s="5" t="str">
        <f>($T34/$T36)</f>
        <v>0</v>
      </c>
      <c r="U40" s="5" t="str">
        <f>($U34/$U36)</f>
        <v>0</v>
      </c>
    </row>
    <row r="41" spans="1:23">
      <c r="A41" t="s">
        <v>52</v>
      </c>
      <c r="B41" s="5" t="str">
        <f>($B35/$B36)</f>
        <v>0</v>
      </c>
      <c r="C41" s="5" t="str">
        <f>($C35/$C36)</f>
        <v>0</v>
      </c>
      <c r="D41" s="5" t="str">
        <f>($D35/$D36)</f>
        <v>0</v>
      </c>
      <c r="E41" s="5" t="str">
        <f>($E35/$E36)</f>
        <v>0</v>
      </c>
      <c r="F41" s="5" t="str">
        <f>($F35/$F36)</f>
        <v>0</v>
      </c>
      <c r="G41" s="5" t="str">
        <f>($G35/$G36)</f>
        <v>0</v>
      </c>
      <c r="H41" s="5" t="str">
        <f>($H35/$H36)</f>
        <v>0</v>
      </c>
      <c r="I41" s="5" t="str">
        <f>($I35/$I36)</f>
        <v>0</v>
      </c>
      <c r="J41" s="5" t="str">
        <f>($J35/$J36)</f>
        <v>0</v>
      </c>
      <c r="K41" s="5" t="str">
        <f>($K35/$K36)</f>
        <v>0</v>
      </c>
      <c r="L41" s="5" t="str">
        <f>($L35/$L36)</f>
        <v>0</v>
      </c>
      <c r="M41" s="5" t="str">
        <f>($M35/$M36)</f>
        <v>0</v>
      </c>
      <c r="N41" s="5" t="str">
        <f>($N35/$N36)</f>
        <v>0</v>
      </c>
      <c r="O41" s="5" t="str">
        <f>($O35/$O36)</f>
        <v>0</v>
      </c>
      <c r="P41" s="5" t="str">
        <f>($P35/$P36)</f>
        <v>0</v>
      </c>
      <c r="Q41" s="5" t="str">
        <f>($Q35/$Q36)</f>
        <v>0</v>
      </c>
      <c r="R41" s="5" t="str">
        <f>($R35/$R36)</f>
        <v>0</v>
      </c>
      <c r="S41" s="5" t="str">
        <f>($S35/$S36)</f>
        <v>0</v>
      </c>
      <c r="T41" s="5" t="str">
        <f>($T35/$T36)</f>
        <v>0</v>
      </c>
      <c r="U41" s="5" t="str">
        <f>($U35/$U36)</f>
        <v>0</v>
      </c>
    </row>
    <row r="42" spans="1:23">
      <c r="A42" t="s">
        <v>53</v>
      </c>
      <c r="B42" s="5" t="str">
        <f>SUM($B37:$B41)</f>
        <v>0</v>
      </c>
      <c r="C42" s="5" t="str">
        <f>SUM($C37:$C41)</f>
        <v>0</v>
      </c>
      <c r="D42" s="5" t="str">
        <f>SUM($D37:$D41)</f>
        <v>0</v>
      </c>
      <c r="E42" s="5" t="str">
        <f>SUM($E37:$E41)</f>
        <v>0</v>
      </c>
      <c r="F42" s="5" t="str">
        <f>SUM($F37:$F41)</f>
        <v>0</v>
      </c>
      <c r="G42" s="5" t="str">
        <f>SUM($G37:$G41)</f>
        <v>0</v>
      </c>
      <c r="H42" s="5" t="str">
        <f>SUM($H37:$H41)</f>
        <v>0</v>
      </c>
      <c r="I42" s="5" t="str">
        <f>SUM($I37:$I41)</f>
        <v>0</v>
      </c>
      <c r="J42" s="5" t="str">
        <f>SUM($J37:$J41)</f>
        <v>0</v>
      </c>
      <c r="K42" s="5" t="str">
        <f>SUM($K37:$K41)</f>
        <v>0</v>
      </c>
      <c r="L42" s="5" t="str">
        <f>SUM($L37:$L41)</f>
        <v>0</v>
      </c>
      <c r="M42" s="5" t="str">
        <f>SUM($M37:$M41)</f>
        <v>0</v>
      </c>
      <c r="N42" s="5" t="str">
        <f>SUM($N37:$N41)</f>
        <v>0</v>
      </c>
      <c r="O42" s="5" t="str">
        <f>SUM($O37:$O41)</f>
        <v>0</v>
      </c>
      <c r="P42" s="5" t="str">
        <f>SUM($P37:$P41)</f>
        <v>0</v>
      </c>
      <c r="Q42" s="5" t="str">
        <f>SUM($Q37:$Q41)</f>
        <v>0</v>
      </c>
      <c r="R42" s="5" t="str">
        <f>SUM($R37:$R41)</f>
        <v>0</v>
      </c>
      <c r="S42" s="5" t="str">
        <f>SUM($S37:$S41)</f>
        <v>0</v>
      </c>
      <c r="T42" s="5" t="str">
        <f>SUM($T37:$T41)</f>
        <v>0</v>
      </c>
      <c r="U42" s="5" t="str">
        <f>SUM($U37:$U41)</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W2"/>
    <mergeCell ref="B3:U3"/>
    <mergeCell ref="V3:V3"/>
    <mergeCell ref="W3:W3"/>
    <mergeCell ref="B4:B4"/>
    <mergeCell ref="C4:C4"/>
    <mergeCell ref="D4:D4"/>
    <mergeCell ref="E4:E4"/>
    <mergeCell ref="F4:F4"/>
    <mergeCell ref="G4:G4"/>
    <mergeCell ref="H4:H4"/>
    <mergeCell ref="I4:I4"/>
    <mergeCell ref="J4:J4"/>
    <mergeCell ref="K4:K4"/>
    <mergeCell ref="L4:L4"/>
    <mergeCell ref="M4:M4"/>
    <mergeCell ref="N4:N4"/>
    <mergeCell ref="O4:O4"/>
    <mergeCell ref="P4:P4"/>
    <mergeCell ref="Q4:Q4"/>
    <mergeCell ref="R4:R4"/>
    <mergeCell ref="S4:S4"/>
    <mergeCell ref="T4:T4"/>
    <mergeCell ref="U4:U4"/>
    <mergeCell ref="A5:A5"/>
    <mergeCell ref="B5:B5"/>
    <mergeCell ref="C5:C5"/>
    <mergeCell ref="D5:D5"/>
    <mergeCell ref="E5:E5"/>
    <mergeCell ref="F5:F5"/>
    <mergeCell ref="G5:G5"/>
    <mergeCell ref="H5:H5"/>
    <mergeCell ref="I5:I5"/>
    <mergeCell ref="J5:J5"/>
    <mergeCell ref="K5:K5"/>
    <mergeCell ref="L5:L5"/>
    <mergeCell ref="M5:M5"/>
    <mergeCell ref="N5:N5"/>
    <mergeCell ref="O5:O5"/>
    <mergeCell ref="P5:P5"/>
    <mergeCell ref="Q5:Q5"/>
    <mergeCell ref="R5:R5"/>
    <mergeCell ref="S5:S5"/>
    <mergeCell ref="T5:T5"/>
    <mergeCell ref="U5:U5"/>
    <mergeCell ref="A6:A6"/>
    <mergeCell ref="B6:B6"/>
    <mergeCell ref="C6:C6"/>
    <mergeCell ref="D6:D6"/>
    <mergeCell ref="E6:E6"/>
    <mergeCell ref="F6:F6"/>
    <mergeCell ref="G6:G6"/>
    <mergeCell ref="H6:H6"/>
    <mergeCell ref="I6:I6"/>
    <mergeCell ref="J6:J6"/>
    <mergeCell ref="K6:K6"/>
    <mergeCell ref="L6:L6"/>
    <mergeCell ref="M6:M6"/>
    <mergeCell ref="N6:N6"/>
    <mergeCell ref="O6:O6"/>
    <mergeCell ref="P6:P6"/>
    <mergeCell ref="Q6:Q6"/>
    <mergeCell ref="R6:R6"/>
    <mergeCell ref="S6:S6"/>
    <mergeCell ref="T6:T6"/>
    <mergeCell ref="U6:U6"/>
    <mergeCell ref="A7:A7"/>
    <mergeCell ref="B7:B7"/>
    <mergeCell ref="C7:C7"/>
    <mergeCell ref="D7:D7"/>
    <mergeCell ref="E7:E7"/>
    <mergeCell ref="F7:F7"/>
    <mergeCell ref="G7:G7"/>
    <mergeCell ref="H7:H7"/>
    <mergeCell ref="I7:I7"/>
    <mergeCell ref="J7:J7"/>
    <mergeCell ref="K7:K7"/>
    <mergeCell ref="L7:L7"/>
    <mergeCell ref="M7:M7"/>
    <mergeCell ref="N7:N7"/>
    <mergeCell ref="O7:O7"/>
    <mergeCell ref="P7:P7"/>
    <mergeCell ref="Q7:Q7"/>
    <mergeCell ref="R7:R7"/>
    <mergeCell ref="S7:S7"/>
    <mergeCell ref="T7:T7"/>
    <mergeCell ref="U7:U7"/>
    <mergeCell ref="A8:A8"/>
    <mergeCell ref="B8:B8"/>
    <mergeCell ref="C8:C8"/>
    <mergeCell ref="D8:D8"/>
    <mergeCell ref="E8:E8"/>
    <mergeCell ref="F8:F8"/>
    <mergeCell ref="G8:G8"/>
    <mergeCell ref="H8:H8"/>
    <mergeCell ref="I8:I8"/>
    <mergeCell ref="J8:J8"/>
    <mergeCell ref="K8:K8"/>
    <mergeCell ref="L8:L8"/>
    <mergeCell ref="M8:M8"/>
    <mergeCell ref="N8:N8"/>
    <mergeCell ref="O8:O8"/>
    <mergeCell ref="P8:P8"/>
    <mergeCell ref="Q8:Q8"/>
    <mergeCell ref="R8:R8"/>
    <mergeCell ref="S8:S8"/>
    <mergeCell ref="T8:T8"/>
    <mergeCell ref="U8:U8"/>
    <mergeCell ref="A9:A9"/>
    <mergeCell ref="B9:B9"/>
    <mergeCell ref="C9:C9"/>
    <mergeCell ref="D9:D9"/>
    <mergeCell ref="E9:E9"/>
    <mergeCell ref="F9:F9"/>
    <mergeCell ref="G9:G9"/>
    <mergeCell ref="H9:H9"/>
    <mergeCell ref="I9:I9"/>
    <mergeCell ref="J9:J9"/>
    <mergeCell ref="K9:K9"/>
    <mergeCell ref="L9:L9"/>
    <mergeCell ref="M9:M9"/>
    <mergeCell ref="N9:N9"/>
    <mergeCell ref="O9:O9"/>
    <mergeCell ref="P9:P9"/>
    <mergeCell ref="Q9:Q9"/>
    <mergeCell ref="R9:R9"/>
    <mergeCell ref="S9:S9"/>
    <mergeCell ref="T9:T9"/>
    <mergeCell ref="U9:U9"/>
    <mergeCell ref="A10:A10"/>
    <mergeCell ref="B10:B10"/>
    <mergeCell ref="C10:C10"/>
    <mergeCell ref="D10:D10"/>
    <mergeCell ref="E10:E10"/>
    <mergeCell ref="F10:F10"/>
    <mergeCell ref="G10:G10"/>
    <mergeCell ref="H10:H10"/>
    <mergeCell ref="I10:I10"/>
    <mergeCell ref="J10:J10"/>
    <mergeCell ref="K10:K10"/>
    <mergeCell ref="L10:L10"/>
    <mergeCell ref="M10:M10"/>
    <mergeCell ref="N10:N10"/>
    <mergeCell ref="O10:O10"/>
    <mergeCell ref="P10:P10"/>
    <mergeCell ref="Q10:Q10"/>
    <mergeCell ref="R10:R10"/>
    <mergeCell ref="S10:S10"/>
    <mergeCell ref="T10:T10"/>
    <mergeCell ref="U10:U10"/>
    <mergeCell ref="A11:A11"/>
    <mergeCell ref="B11:B11"/>
    <mergeCell ref="C11:C11"/>
    <mergeCell ref="D11:D11"/>
    <mergeCell ref="E11:E11"/>
    <mergeCell ref="F11:F11"/>
    <mergeCell ref="G11:G11"/>
    <mergeCell ref="H11:H11"/>
    <mergeCell ref="I11:I11"/>
    <mergeCell ref="J11:J11"/>
    <mergeCell ref="K11:K11"/>
    <mergeCell ref="L11:L11"/>
    <mergeCell ref="M11:M11"/>
    <mergeCell ref="N11:N11"/>
    <mergeCell ref="O11:O11"/>
    <mergeCell ref="P11:P11"/>
    <mergeCell ref="Q11:Q11"/>
    <mergeCell ref="R11:R11"/>
    <mergeCell ref="S11:S11"/>
    <mergeCell ref="T11:T11"/>
    <mergeCell ref="U11:U11"/>
    <mergeCell ref="A12:A12"/>
    <mergeCell ref="B12:B12"/>
    <mergeCell ref="C12:C12"/>
    <mergeCell ref="D12:D12"/>
    <mergeCell ref="E12:E12"/>
    <mergeCell ref="F12:F12"/>
    <mergeCell ref="G12:G12"/>
    <mergeCell ref="H12:H12"/>
    <mergeCell ref="I12:I12"/>
    <mergeCell ref="J12:J12"/>
    <mergeCell ref="K12:K12"/>
    <mergeCell ref="L12:L12"/>
    <mergeCell ref="M12:M12"/>
    <mergeCell ref="N12:N12"/>
    <mergeCell ref="O12:O12"/>
    <mergeCell ref="P12:P12"/>
    <mergeCell ref="Q12:Q12"/>
    <mergeCell ref="R12:R12"/>
    <mergeCell ref="S12:S12"/>
    <mergeCell ref="T12:T12"/>
    <mergeCell ref="U12:U12"/>
    <mergeCell ref="A13:A13"/>
    <mergeCell ref="B13:B13"/>
    <mergeCell ref="C13:C13"/>
    <mergeCell ref="D13:D13"/>
    <mergeCell ref="E13:E13"/>
    <mergeCell ref="F13:F13"/>
    <mergeCell ref="G13:G13"/>
    <mergeCell ref="H13:H13"/>
    <mergeCell ref="I13:I13"/>
    <mergeCell ref="J13:J13"/>
    <mergeCell ref="K13:K13"/>
    <mergeCell ref="L13:L13"/>
    <mergeCell ref="M13:M13"/>
    <mergeCell ref="N13:N13"/>
    <mergeCell ref="O13:O13"/>
    <mergeCell ref="P13:P13"/>
    <mergeCell ref="Q13:Q13"/>
    <mergeCell ref="R13:R13"/>
    <mergeCell ref="S13:S13"/>
    <mergeCell ref="T13:T13"/>
    <mergeCell ref="U13:U13"/>
    <mergeCell ref="A14:A14"/>
    <mergeCell ref="B14:B14"/>
    <mergeCell ref="C14:C14"/>
    <mergeCell ref="D14:D14"/>
    <mergeCell ref="E14:E14"/>
    <mergeCell ref="F14:F14"/>
    <mergeCell ref="G14:G14"/>
    <mergeCell ref="H14:H14"/>
    <mergeCell ref="I14:I14"/>
    <mergeCell ref="J14:J14"/>
    <mergeCell ref="K14:K14"/>
    <mergeCell ref="L14:L14"/>
    <mergeCell ref="M14:M14"/>
    <mergeCell ref="N14:N14"/>
    <mergeCell ref="O14:O14"/>
    <mergeCell ref="P14:P14"/>
    <mergeCell ref="Q14:Q14"/>
    <mergeCell ref="R14:R14"/>
    <mergeCell ref="S14:S14"/>
    <mergeCell ref="T14:T14"/>
    <mergeCell ref="U14:U14"/>
    <mergeCell ref="A15:A15"/>
    <mergeCell ref="B15:B15"/>
    <mergeCell ref="C15:C15"/>
    <mergeCell ref="D15:D15"/>
    <mergeCell ref="E15:E15"/>
    <mergeCell ref="F15:F15"/>
    <mergeCell ref="G15:G15"/>
    <mergeCell ref="H15:H15"/>
    <mergeCell ref="I15:I15"/>
    <mergeCell ref="J15:J15"/>
    <mergeCell ref="K15:K15"/>
    <mergeCell ref="L15:L15"/>
    <mergeCell ref="M15:M15"/>
    <mergeCell ref="N15:N15"/>
    <mergeCell ref="O15:O15"/>
    <mergeCell ref="P15:P15"/>
    <mergeCell ref="Q15:Q15"/>
    <mergeCell ref="R15:R15"/>
    <mergeCell ref="S15:S15"/>
    <mergeCell ref="T15:T15"/>
    <mergeCell ref="U15:U15"/>
    <mergeCell ref="A16:A16"/>
    <mergeCell ref="B16:B16"/>
    <mergeCell ref="C16:C16"/>
    <mergeCell ref="D16:D16"/>
    <mergeCell ref="E16:E16"/>
    <mergeCell ref="F16:F16"/>
    <mergeCell ref="G16:G16"/>
    <mergeCell ref="H16:H16"/>
    <mergeCell ref="I16:I16"/>
    <mergeCell ref="J16:J16"/>
    <mergeCell ref="K16:K16"/>
    <mergeCell ref="L16:L16"/>
    <mergeCell ref="M16:M16"/>
    <mergeCell ref="N16:N16"/>
    <mergeCell ref="O16:O16"/>
    <mergeCell ref="P16:P16"/>
    <mergeCell ref="Q16:Q16"/>
    <mergeCell ref="R16:R16"/>
    <mergeCell ref="S16:S16"/>
    <mergeCell ref="T16:T16"/>
    <mergeCell ref="U16:U16"/>
    <mergeCell ref="A17:A17"/>
    <mergeCell ref="B17:B17"/>
    <mergeCell ref="C17:C17"/>
    <mergeCell ref="D17:D17"/>
    <mergeCell ref="E17:E17"/>
    <mergeCell ref="F17:F17"/>
    <mergeCell ref="G17:G17"/>
    <mergeCell ref="H17:H17"/>
    <mergeCell ref="I17:I17"/>
    <mergeCell ref="J17:J17"/>
    <mergeCell ref="K17:K17"/>
    <mergeCell ref="L17:L17"/>
    <mergeCell ref="M17:M17"/>
    <mergeCell ref="N17:N17"/>
    <mergeCell ref="O17:O17"/>
    <mergeCell ref="P17:P17"/>
    <mergeCell ref="Q17:Q17"/>
    <mergeCell ref="R17:R17"/>
    <mergeCell ref="S17:S17"/>
    <mergeCell ref="T17:T17"/>
    <mergeCell ref="U17:U17"/>
    <mergeCell ref="A18:A18"/>
    <mergeCell ref="B18:B18"/>
    <mergeCell ref="C18:C18"/>
    <mergeCell ref="D18:D18"/>
    <mergeCell ref="E18:E18"/>
    <mergeCell ref="F18:F18"/>
    <mergeCell ref="G18:G18"/>
    <mergeCell ref="H18:H18"/>
    <mergeCell ref="I18:I18"/>
    <mergeCell ref="J18:J18"/>
    <mergeCell ref="K18:K18"/>
    <mergeCell ref="L18:L18"/>
    <mergeCell ref="M18:M18"/>
    <mergeCell ref="N18:N18"/>
    <mergeCell ref="O18:O18"/>
    <mergeCell ref="P18:P18"/>
    <mergeCell ref="Q18:Q18"/>
    <mergeCell ref="R18:R18"/>
    <mergeCell ref="S18:S18"/>
    <mergeCell ref="T18:T18"/>
    <mergeCell ref="U18:U18"/>
    <mergeCell ref="A19:A19"/>
    <mergeCell ref="B19:B19"/>
    <mergeCell ref="C19:C19"/>
    <mergeCell ref="D19:D19"/>
    <mergeCell ref="E19:E19"/>
    <mergeCell ref="F19:F19"/>
    <mergeCell ref="G19:G19"/>
    <mergeCell ref="H19:H19"/>
    <mergeCell ref="I19:I19"/>
    <mergeCell ref="J19:J19"/>
    <mergeCell ref="K19:K19"/>
    <mergeCell ref="L19:L19"/>
    <mergeCell ref="M19:M19"/>
    <mergeCell ref="N19:N19"/>
    <mergeCell ref="O19:O19"/>
    <mergeCell ref="P19:P19"/>
    <mergeCell ref="Q19:Q19"/>
    <mergeCell ref="R19:R19"/>
    <mergeCell ref="S19:S19"/>
    <mergeCell ref="T19:T19"/>
    <mergeCell ref="U19:U19"/>
    <mergeCell ref="A20:A20"/>
    <mergeCell ref="B20:B20"/>
    <mergeCell ref="C20:C20"/>
    <mergeCell ref="D20:D20"/>
    <mergeCell ref="E20:E20"/>
    <mergeCell ref="F20:F20"/>
    <mergeCell ref="G20:G20"/>
    <mergeCell ref="H20:H20"/>
    <mergeCell ref="I20:I20"/>
    <mergeCell ref="J20:J20"/>
    <mergeCell ref="K20:K20"/>
    <mergeCell ref="L20:L20"/>
    <mergeCell ref="M20:M20"/>
    <mergeCell ref="N20:N20"/>
    <mergeCell ref="O20:O20"/>
    <mergeCell ref="P20:P20"/>
    <mergeCell ref="Q20:Q20"/>
    <mergeCell ref="R20:R20"/>
    <mergeCell ref="S20:S20"/>
    <mergeCell ref="T20:T20"/>
    <mergeCell ref="U20:U20"/>
    <mergeCell ref="A21:A21"/>
    <mergeCell ref="B21:B21"/>
    <mergeCell ref="C21:C21"/>
    <mergeCell ref="D21:D21"/>
    <mergeCell ref="E21:E21"/>
    <mergeCell ref="F21:F21"/>
    <mergeCell ref="G21:G21"/>
    <mergeCell ref="H21:H21"/>
    <mergeCell ref="I21:I21"/>
    <mergeCell ref="J21:J21"/>
    <mergeCell ref="K21:K21"/>
    <mergeCell ref="L21:L21"/>
    <mergeCell ref="M21:M21"/>
    <mergeCell ref="N21:N21"/>
    <mergeCell ref="O21:O21"/>
    <mergeCell ref="P21:P21"/>
    <mergeCell ref="Q21:Q21"/>
    <mergeCell ref="R21:R21"/>
    <mergeCell ref="S21:S21"/>
    <mergeCell ref="T21:T21"/>
    <mergeCell ref="U21:U21"/>
    <mergeCell ref="A22:A22"/>
    <mergeCell ref="B22:B22"/>
    <mergeCell ref="C22:C22"/>
    <mergeCell ref="D22:D22"/>
    <mergeCell ref="E22:E22"/>
    <mergeCell ref="F22:F22"/>
    <mergeCell ref="G22:G22"/>
    <mergeCell ref="H22:H22"/>
    <mergeCell ref="I22:I22"/>
    <mergeCell ref="J22:J22"/>
    <mergeCell ref="K22:K22"/>
    <mergeCell ref="L22:L22"/>
    <mergeCell ref="M22:M22"/>
    <mergeCell ref="N22:N22"/>
    <mergeCell ref="O22:O22"/>
    <mergeCell ref="P22:P22"/>
    <mergeCell ref="Q22:Q22"/>
    <mergeCell ref="R22:R22"/>
    <mergeCell ref="S22:S22"/>
    <mergeCell ref="T22:T22"/>
    <mergeCell ref="U22:U22"/>
    <mergeCell ref="A23:A23"/>
    <mergeCell ref="B23:B23"/>
    <mergeCell ref="C23:C23"/>
    <mergeCell ref="D23:D23"/>
    <mergeCell ref="E23:E23"/>
    <mergeCell ref="F23:F23"/>
    <mergeCell ref="G23:G23"/>
    <mergeCell ref="H23:H23"/>
    <mergeCell ref="I23:I23"/>
    <mergeCell ref="J23:J23"/>
    <mergeCell ref="K23:K23"/>
    <mergeCell ref="L23:L23"/>
    <mergeCell ref="M23:M23"/>
    <mergeCell ref="N23:N23"/>
    <mergeCell ref="O23:O23"/>
    <mergeCell ref="P23:P23"/>
    <mergeCell ref="Q23:Q23"/>
    <mergeCell ref="R23:R23"/>
    <mergeCell ref="S23:S23"/>
    <mergeCell ref="T23:T23"/>
    <mergeCell ref="U23:U23"/>
    <mergeCell ref="A24:A24"/>
    <mergeCell ref="B24:B24"/>
    <mergeCell ref="C24:C24"/>
    <mergeCell ref="D24:D24"/>
    <mergeCell ref="E24:E24"/>
    <mergeCell ref="F24:F24"/>
    <mergeCell ref="G24:G24"/>
    <mergeCell ref="H24:H24"/>
    <mergeCell ref="I24:I24"/>
    <mergeCell ref="J24:J24"/>
    <mergeCell ref="K24:K24"/>
    <mergeCell ref="L24:L24"/>
    <mergeCell ref="M24:M24"/>
    <mergeCell ref="N24:N24"/>
    <mergeCell ref="O24:O24"/>
    <mergeCell ref="P24:P24"/>
    <mergeCell ref="Q24:Q24"/>
    <mergeCell ref="R24:R24"/>
    <mergeCell ref="S24:S24"/>
    <mergeCell ref="T24:T24"/>
    <mergeCell ref="U24:U24"/>
    <mergeCell ref="V5:V5"/>
    <mergeCell ref="V6:V6"/>
    <mergeCell ref="V7:V7"/>
    <mergeCell ref="V8:V8"/>
    <mergeCell ref="V9:V9"/>
    <mergeCell ref="V10:V10"/>
    <mergeCell ref="V11:V11"/>
    <mergeCell ref="V12:V12"/>
    <mergeCell ref="V13:V13"/>
    <mergeCell ref="V14:V14"/>
    <mergeCell ref="V15:V15"/>
    <mergeCell ref="V16:V16"/>
    <mergeCell ref="V17:V17"/>
    <mergeCell ref="V18:V18"/>
    <mergeCell ref="V19:V19"/>
    <mergeCell ref="V20:V20"/>
    <mergeCell ref="V21:V21"/>
    <mergeCell ref="V22:V22"/>
    <mergeCell ref="V23:V23"/>
    <mergeCell ref="V24:V24"/>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AG1121"/>
  <sheetViews>
    <sheetView tabSelected="0" workbookViewId="0" showGridLines="true" showRowColHeaders="1">
      <selection activeCell="U47" sqref="U47"/>
    </sheetView>
  </sheetViews>
  <sheetFormatPr defaultRowHeight="14.4" outlineLevelRow="0" outlineLevelCol="0"/>
  <cols>
    <col min="1" max="1" width="18.709717" bestFit="true" customWidth="true" style="0"/>
    <col min="10" max="10" width="25" customWidth="true" style="0"/>
    <col min="9" max="9" width="34.134521" bestFit="true" customWidth="true" style="0"/>
    <col min="11" max="11" width="27.70752" bestFit="true" customWidth="true" style="0"/>
    <col min="12" max="12" width="10" customWidth="true" style="0"/>
    <col min="13" max="13" width="10" customWidth="true" style="0"/>
    <col min="14" max="14" width="15" customWidth="true" style="0"/>
    <col min="15" max="15" width="10" customWidth="true" style="0"/>
    <col min="22" max="22" width="25" customWidth="true" style="0"/>
    <col min="21" max="21" width="34.134521" bestFit="true" customWidth="true" style="0"/>
    <col min="23" max="23" width="27.70752" bestFit="true" customWidth="true" style="0"/>
    <col min="24" max="24" width="10" customWidth="true" style="0"/>
    <col min="25" max="25" width="10" customWidth="true" style="0"/>
    <col min="26" max="26" width="15" customWidth="true" style="0"/>
    <col min="27" max="27" width="10" customWidth="true" style="0"/>
  </cols>
  <sheetData>
    <row r="1" spans="1:33">
      <c r="A1" s="6" t="s">
        <v>0</v>
      </c>
      <c r="B1" s="6"/>
      <c r="C1" s="6"/>
      <c r="D1" s="6"/>
      <c r="E1" s="6"/>
    </row>
    <row r="2" spans="1:33">
      <c r="A2" s="7" t="s">
        <v>54</v>
      </c>
      <c r="B2" s="9" t="s">
        <v>1</v>
      </c>
      <c r="C2" s="9"/>
      <c r="D2" s="9" t="s">
        <v>1</v>
      </c>
      <c r="E2" s="9"/>
    </row>
    <row r="3" spans="1:33">
      <c r="A3" s="7"/>
      <c r="B3" s="8" t="s">
        <v>55</v>
      </c>
      <c r="C3" s="8" t="s">
        <v>3</v>
      </c>
      <c r="D3" s="8" t="s">
        <v>55</v>
      </c>
      <c r="E3" s="8" t="s">
        <v>3</v>
      </c>
      <c r="G3" s="11"/>
      <c r="H3" s="11"/>
      <c r="I3" s="11"/>
      <c r="J3" s="11"/>
      <c r="K3" s="11"/>
      <c r="L3" s="11"/>
      <c r="M3" s="11"/>
      <c r="N3" s="11"/>
      <c r="O3" s="11"/>
      <c r="P3" s="11"/>
      <c r="Q3" s="11"/>
      <c r="S3" s="28"/>
      <c r="T3" s="28"/>
      <c r="U3" s="28"/>
      <c r="V3" s="28"/>
      <c r="W3" s="28"/>
      <c r="X3" s="28"/>
      <c r="Y3" s="28"/>
      <c r="Z3" s="28"/>
      <c r="AA3" s="28"/>
      <c r="AB3" s="28"/>
      <c r="AC3" s="28"/>
    </row>
    <row r="4" spans="1:33">
      <c r="A4" t="s">
        <v>26</v>
      </c>
      <c r="B4" t="str">
        <f>SUM('.'!B5:U5)</f>
        <v>0</v>
      </c>
      <c r="C4" t="str">
        <f>IF(B4&lt;=$M$19,".",IF(B4&lt;=$M$20,".",IF(B4&lt;=$M$21,".",0)))</f>
        <v>0</v>
      </c>
      <c r="D4" t="str">
        <f>SUM(B4:B4)</f>
        <v>0</v>
      </c>
      <c r="E4" t="str">
        <f>IF(D4&lt;=$Y$19,".",IF(D4&lt;=$Y$20,".",IF(D4&lt;=$Y$21,".",0)))</f>
        <v>0</v>
      </c>
      <c r="G4" s="11"/>
      <c r="I4" s="10" t="s">
        <v>56</v>
      </c>
      <c r="J4" s="10" t="s">
        <v>1</v>
      </c>
      <c r="Q4" s="11"/>
      <c r="S4" s="28"/>
      <c r="U4" s="10" t="s">
        <v>56</v>
      </c>
      <c r="V4" s="10" t="s">
        <v>1</v>
      </c>
      <c r="AC4" s="28"/>
    </row>
    <row r="5" spans="1:33">
      <c r="A5" t="s">
        <v>27</v>
      </c>
      <c r="B5" t="str">
        <f>SUM('.'!B6:U6)</f>
        <v>0</v>
      </c>
      <c r="C5" t="str">
        <f>IF(B5&lt;=$M$19,".",IF(B5&lt;=$M$20,".",IF(B5&lt;=$M$21,".",0)))</f>
        <v>0</v>
      </c>
      <c r="D5" t="str">
        <f>SUM(B5:B5)</f>
        <v>0</v>
      </c>
      <c r="E5" t="str">
        <f>IF(D5&lt;=$Y$19,".",IF(D5&lt;=$Y$20,".",IF(D5&lt;=$Y$21,".",0)))</f>
        <v>0</v>
      </c>
      <c r="G5" s="11"/>
      <c r="I5" s="10" t="s">
        <v>57</v>
      </c>
      <c r="J5" s="10" t="str">
        <f>B2</f>
        <v>0</v>
      </c>
      <c r="Q5" s="11"/>
      <c r="S5" s="28"/>
      <c r="AC5" s="28"/>
    </row>
    <row r="6" spans="1:33">
      <c r="A6" t="s">
        <v>28</v>
      </c>
      <c r="B6" t="str">
        <f>SUM('.'!B7:U7)</f>
        <v>0</v>
      </c>
      <c r="C6" t="str">
        <f>IF(B6&lt;=$M$19,".",IF(B6&lt;=$M$20,".",IF(B6&lt;=$M$21,".",0)))</f>
        <v>0</v>
      </c>
      <c r="D6" t="str">
        <f>SUM(B6:B6)</f>
        <v>0</v>
      </c>
      <c r="E6" t="str">
        <f>IF(D6&lt;=$Y$19,".",IF(D6&lt;=$Y$20,".",IF(D6&lt;=$Y$21,".",0)))</f>
        <v>0</v>
      </c>
      <c r="G6" s="11"/>
      <c r="I6" s="10" t="s">
        <v>58</v>
      </c>
      <c r="J6" s="10">
        <v>3</v>
      </c>
      <c r="Q6" s="11"/>
      <c r="S6" s="28"/>
      <c r="U6" s="10" t="s">
        <v>58</v>
      </c>
      <c r="V6" s="10">
        <v>3</v>
      </c>
      <c r="AC6" s="28"/>
    </row>
    <row r="7" spans="1:33">
      <c r="A7" t="s">
        <v>29</v>
      </c>
      <c r="B7" t="str">
        <f>SUM('.'!B8:U8)</f>
        <v>0</v>
      </c>
      <c r="C7" t="str">
        <f>IF(B7&lt;=$M$19,".",IF(B7&lt;=$M$20,".",IF(B7&lt;=$M$21,".",0)))</f>
        <v>0</v>
      </c>
      <c r="D7" t="str">
        <f>SUM(B7:B7)</f>
        <v>0</v>
      </c>
      <c r="E7" t="str">
        <f>IF(D7&lt;=$Y$19,".",IF(D7&lt;=$Y$20,".",IF(D7&lt;=$Y$21,".",0)))</f>
        <v>0</v>
      </c>
      <c r="G7" s="11"/>
      <c r="I7" s="10" t="s">
        <v>59</v>
      </c>
      <c r="J7" s="10">
        <v>20</v>
      </c>
      <c r="Q7" s="11"/>
      <c r="S7" s="28"/>
      <c r="U7" s="10" t="s">
        <v>59</v>
      </c>
      <c r="V7" s="10">
        <v>20</v>
      </c>
      <c r="AC7" s="28"/>
    </row>
    <row r="8" spans="1:33">
      <c r="A8" t="s">
        <v>30</v>
      </c>
      <c r="B8" t="str">
        <f>SUM('.'!B9:U9)</f>
        <v>0</v>
      </c>
      <c r="C8" t="str">
        <f>IF(B8&lt;=$M$19,".",IF(B8&lt;=$M$20,".",IF(B8&lt;=$M$21,".",0)))</f>
        <v>0</v>
      </c>
      <c r="D8" t="str">
        <f>SUM(B8:B8)</f>
        <v>0</v>
      </c>
      <c r="E8" t="str">
        <f>IF(D8&lt;=$Y$19,".",IF(D8&lt;=$Y$20,".",IF(D8&lt;=$Y$21,".",0)))</f>
        <v>0</v>
      </c>
      <c r="G8" s="11"/>
      <c r="I8" s="10" t="s">
        <v>60</v>
      </c>
      <c r="J8" s="10">
        <v>1</v>
      </c>
      <c r="Q8" s="11"/>
      <c r="S8" s="28"/>
      <c r="U8" s="10" t="s">
        <v>60</v>
      </c>
      <c r="V8" s="10">
        <v>1</v>
      </c>
      <c r="AC8" s="28"/>
    </row>
    <row r="9" spans="1:33">
      <c r="A9" t="s">
        <v>31</v>
      </c>
      <c r="B9" t="str">
        <f>SUM('.'!B10:U10)</f>
        <v>0</v>
      </c>
      <c r="C9" t="str">
        <f>IF(B9&lt;=$M$19,".",IF(B9&lt;=$M$20,".",IF(B9&lt;=$M$21,".",0)))</f>
        <v>0</v>
      </c>
      <c r="D9" t="str">
        <f>SUM(B9:B9)</f>
        <v>0</v>
      </c>
      <c r="E9" t="str">
        <f>IF(D9&lt;=$Y$19,".",IF(D9&lt;=$Y$20,".",IF(D9&lt;=$Y$21,".",0)))</f>
        <v>0</v>
      </c>
      <c r="G9" s="11"/>
      <c r="I9" s="10" t="s">
        <v>61</v>
      </c>
      <c r="J9" s="10">
        <v>5</v>
      </c>
      <c r="Q9" s="11"/>
      <c r="S9" s="28"/>
      <c r="U9" s="10" t="s">
        <v>61</v>
      </c>
      <c r="V9" s="10">
        <v>5</v>
      </c>
      <c r="AC9" s="28"/>
    </row>
    <row r="10" spans="1:33">
      <c r="A10" t="s">
        <v>32</v>
      </c>
      <c r="B10" t="str">
        <f>SUM('.'!B11:U11)</f>
        <v>0</v>
      </c>
      <c r="C10" t="str">
        <f>IF(B10&lt;=$M$19,".",IF(B10&lt;=$M$20,".",IF(B10&lt;=$M$21,".",0)))</f>
        <v>0</v>
      </c>
      <c r="D10" t="str">
        <f>SUM(B10:B10)</f>
        <v>0</v>
      </c>
      <c r="E10" t="str">
        <f>IF(D10&lt;=$Y$19,".",IF(D10&lt;=$Y$20,".",IF(D10&lt;=$Y$21,".",0)))</f>
        <v>0</v>
      </c>
      <c r="G10" s="11"/>
      <c r="I10" s="10" t="s">
        <v>62</v>
      </c>
      <c r="J10" s="10" t="str">
        <f>J7*J9</f>
        <v>0</v>
      </c>
      <c r="Q10" s="11"/>
      <c r="S10" s="28"/>
      <c r="U10" s="10" t="s">
        <v>62</v>
      </c>
      <c r="V10" s="10" t="str">
        <f>V7*V9</f>
        <v>0</v>
      </c>
      <c r="AC10" s="28"/>
    </row>
    <row r="11" spans="1:33">
      <c r="A11" t="s">
        <v>33</v>
      </c>
      <c r="B11" t="str">
        <f>SUM('.'!B12:U12)</f>
        <v>0</v>
      </c>
      <c r="C11" t="str">
        <f>IF(B11&lt;=$M$19,".",IF(B11&lt;=$M$20,".",IF(B11&lt;=$M$21,".",0)))</f>
        <v>0</v>
      </c>
      <c r="D11" t="str">
        <f>SUM(B11:B11)</f>
        <v>0</v>
      </c>
      <c r="E11" t="str">
        <f>IF(D11&lt;=$Y$19,".",IF(D11&lt;=$Y$20,".",IF(D11&lt;=$Y$21,".",0)))</f>
        <v>0</v>
      </c>
      <c r="G11" s="11"/>
      <c r="I11" s="10" t="s">
        <v>63</v>
      </c>
      <c r="J11" s="10" t="str">
        <f>J8*J7</f>
        <v>0</v>
      </c>
      <c r="Q11" s="11"/>
      <c r="S11" s="28"/>
      <c r="U11" s="10" t="s">
        <v>63</v>
      </c>
      <c r="V11" s="10" t="str">
        <f>V8*V7</f>
        <v>0</v>
      </c>
      <c r="AC11" s="28"/>
    </row>
    <row r="12" spans="1:33">
      <c r="A12" t="s">
        <v>34</v>
      </c>
      <c r="B12" t="str">
        <f>SUM('.'!B13:U13)</f>
        <v>0</v>
      </c>
      <c r="C12" t="str">
        <f>IF(B12&lt;=$M$19,".",IF(B12&lt;=$M$20,".",IF(B12&lt;=$M$21,".",0)))</f>
        <v>0</v>
      </c>
      <c r="D12" t="str">
        <f>SUM(B12:B12)</f>
        <v>0</v>
      </c>
      <c r="E12" t="str">
        <f>IF(D12&lt;=$Y$19,".",IF(D12&lt;=$Y$20,".",IF(D12&lt;=$Y$21,".",0)))</f>
        <v>0</v>
      </c>
      <c r="G12" s="11"/>
      <c r="I12" s="10" t="s">
        <v>64</v>
      </c>
      <c r="J12" s="10" t="str">
        <f>J10-J11</f>
        <v>0</v>
      </c>
      <c r="Q12" s="11"/>
      <c r="S12" s="28"/>
      <c r="U12" s="10" t="s">
        <v>64</v>
      </c>
      <c r="V12" s="10" t="str">
        <f>V10-V11</f>
        <v>0</v>
      </c>
      <c r="AC12" s="28"/>
    </row>
    <row r="13" spans="1:33">
      <c r="A13" t="s">
        <v>35</v>
      </c>
      <c r="B13" t="str">
        <f>SUM('.'!B14:U14)</f>
        <v>0</v>
      </c>
      <c r="C13" t="str">
        <f>IF(B13&lt;=$M$19,".",IF(B13&lt;=$M$20,".",IF(B13&lt;=$M$21,".",0)))</f>
        <v>0</v>
      </c>
      <c r="D13" t="str">
        <f>SUM(B13:B13)</f>
        <v>0</v>
      </c>
      <c r="E13" t="str">
        <f>IF(D13&lt;=$Y$19,".",IF(D13&lt;=$Y$20,".",IF(D13&lt;=$Y$21,".",0)))</f>
        <v>0</v>
      </c>
      <c r="G13" s="11"/>
      <c r="I13" s="10" t="s">
        <v>65</v>
      </c>
      <c r="J13" s="10" t="str">
        <f>ROUND(J12/J6,0)</f>
        <v>0</v>
      </c>
      <c r="Q13" s="11"/>
      <c r="S13" s="28"/>
      <c r="U13" s="10" t="s">
        <v>65</v>
      </c>
      <c r="V13" s="10" t="str">
        <f>ROUND(V12/V6,0)</f>
        <v>0</v>
      </c>
      <c r="AC13" s="28"/>
    </row>
    <row r="14" spans="1:33">
      <c r="A14" t="s">
        <v>36</v>
      </c>
      <c r="B14" t="str">
        <f>SUM('.'!B15:U15)</f>
        <v>0</v>
      </c>
      <c r="C14" t="str">
        <f>IF(B14&lt;=$M$19,".",IF(B14&lt;=$M$20,".",IF(B14&lt;=$M$21,".",0)))</f>
        <v>0</v>
      </c>
      <c r="D14" t="str">
        <f>SUM(B14:B14)</f>
        <v>0</v>
      </c>
      <c r="E14" t="str">
        <f>IF(D14&lt;=$Y$19,".",IF(D14&lt;=$Y$20,".",IF(D14&lt;=$Y$21,".",0)))</f>
        <v>0</v>
      </c>
      <c r="G14" s="11"/>
      <c r="K14" s="15"/>
      <c r="L14" s="15"/>
      <c r="M14" s="15"/>
      <c r="N14" s="15"/>
      <c r="O14" s="15"/>
      <c r="Q14" s="11"/>
      <c r="S14" s="28"/>
      <c r="W14" s="15"/>
      <c r="X14" s="15"/>
      <c r="Y14" s="15"/>
      <c r="Z14" s="15"/>
      <c r="AA14" s="15"/>
      <c r="AC14" s="28"/>
    </row>
    <row r="15" spans="1:33">
      <c r="A15" t="s">
        <v>37</v>
      </c>
      <c r="B15" t="str">
        <f>SUM('.'!B16:U16)</f>
        <v>0</v>
      </c>
      <c r="C15" t="str">
        <f>IF(B15&lt;=$M$19,".",IF(B15&lt;=$M$20,".",IF(B15&lt;=$M$21,".",0)))</f>
        <v>0</v>
      </c>
      <c r="D15" t="str">
        <f>SUM(B15:B15)</f>
        <v>0</v>
      </c>
      <c r="E15" t="str">
        <f>IF(D15&lt;=$Y$19,".",IF(D15&lt;=$Y$20,".",IF(D15&lt;=$Y$21,".",0)))</f>
        <v>0</v>
      </c>
      <c r="G15" s="11"/>
      <c r="K15" s="24" t="s">
        <v>66</v>
      </c>
      <c r="L15" s="15"/>
      <c r="M15" s="15"/>
      <c r="N15" s="15"/>
      <c r="O15" s="15"/>
      <c r="Q15" s="11"/>
      <c r="S15" s="28"/>
      <c r="W15" s="24" t="s">
        <v>67</v>
      </c>
      <c r="X15" s="15"/>
      <c r="Y15" s="15"/>
      <c r="Z15" s="15"/>
      <c r="AA15" s="15"/>
      <c r="AC15" s="28"/>
    </row>
    <row r="16" spans="1:33">
      <c r="A16" t="s">
        <v>38</v>
      </c>
      <c r="B16" t="str">
        <f>SUM('.'!B17:U17)</f>
        <v>0</v>
      </c>
      <c r="C16" t="str">
        <f>IF(B16&lt;=$M$19,".",IF(B16&lt;=$M$20,".",IF(B16&lt;=$M$21,".",0)))</f>
        <v>0</v>
      </c>
      <c r="D16" t="str">
        <f>SUM(B16:B16)</f>
        <v>0</v>
      </c>
      <c r="E16" t="str">
        <f>IF(D16&lt;=$Y$19,".",IF(D16&lt;=$Y$20,".",IF(D16&lt;=$Y$21,".",0)))</f>
        <v>0</v>
      </c>
      <c r="G16" s="11"/>
      <c r="K16" s="25" t="str">
        <f>J5</f>
        <v>0</v>
      </c>
      <c r="L16" s="20"/>
      <c r="M16" s="20"/>
      <c r="N16" s="20"/>
      <c r="O16" s="20"/>
      <c r="Q16" s="11"/>
      <c r="S16" s="28"/>
      <c r="W16" s="25" t="str">
        <f>V4</f>
        <v>0</v>
      </c>
      <c r="X16" s="20"/>
      <c r="Y16" s="20"/>
      <c r="Z16" s="20"/>
      <c r="AA16" s="20"/>
      <c r="AC16" s="28"/>
    </row>
    <row r="17" spans="1:33">
      <c r="A17" t="s">
        <v>39</v>
      </c>
      <c r="B17" t="str">
        <f>SUM('.'!B18:U18)</f>
        <v>0</v>
      </c>
      <c r="C17" t="str">
        <f>IF(B17&lt;=$M$19,".",IF(B17&lt;=$M$20,".",IF(B17&lt;=$M$21,".",0)))</f>
        <v>0</v>
      </c>
      <c r="D17" t="str">
        <f>SUM(B17:B17)</f>
        <v>0</v>
      </c>
      <c r="E17" t="str">
        <f>IF(D17&lt;=$Y$19,".",IF(D17&lt;=$Y$20,".",IF(D17&lt;=$Y$21,".",0)))</f>
        <v>0</v>
      </c>
      <c r="G17" s="11"/>
      <c r="K17" s="16" t="s">
        <v>68</v>
      </c>
      <c r="L17" s="18" t="s">
        <v>64</v>
      </c>
      <c r="M17" s="18"/>
      <c r="N17" s="18" t="s">
        <v>69</v>
      </c>
      <c r="O17" s="18" t="s">
        <v>70</v>
      </c>
      <c r="Q17" s="11"/>
      <c r="S17" s="28"/>
      <c r="W17" s="16" t="s">
        <v>68</v>
      </c>
      <c r="X17" s="18" t="s">
        <v>64</v>
      </c>
      <c r="Y17" s="18"/>
      <c r="Z17" s="18" t="s">
        <v>69</v>
      </c>
      <c r="AA17" s="18" t="s">
        <v>70</v>
      </c>
      <c r="AC17" s="28"/>
    </row>
    <row r="18" spans="1:33">
      <c r="A18" t="s">
        <v>40</v>
      </c>
      <c r="B18" t="str">
        <f>SUM('.'!B19:U19)</f>
        <v>0</v>
      </c>
      <c r="C18" t="str">
        <f>IF(B18&lt;=$M$19,".",IF(B18&lt;=$M$20,".",IF(B18&lt;=$M$21,".",0)))</f>
        <v>0</v>
      </c>
      <c r="D18" t="str">
        <f>SUM(B18:B18)</f>
        <v>0</v>
      </c>
      <c r="E18" t="str">
        <f>IF(D18&lt;=$Y$19,".",IF(D18&lt;=$Y$20,".",IF(D18&lt;=$Y$21,".",0)))</f>
        <v>0</v>
      </c>
      <c r="G18" s="11"/>
      <c r="K18" s="17"/>
      <c r="L18" s="20" t="s">
        <v>71</v>
      </c>
      <c r="M18" s="20" t="s">
        <v>72</v>
      </c>
      <c r="N18" s="20"/>
      <c r="O18" s="20"/>
      <c r="Q18" s="11"/>
      <c r="S18" s="28"/>
      <c r="W18" s="17"/>
      <c r="X18" s="20" t="s">
        <v>71</v>
      </c>
      <c r="Y18" s="20" t="s">
        <v>72</v>
      </c>
      <c r="Z18" s="20"/>
      <c r="AA18" s="20"/>
      <c r="AC18" s="28"/>
    </row>
    <row r="19" spans="1:33">
      <c r="A19" t="s">
        <v>41</v>
      </c>
      <c r="B19" t="str">
        <f>SUM('.'!B20:U20)</f>
        <v>0</v>
      </c>
      <c r="C19" t="str">
        <f>IF(B19&lt;=$M$19,".",IF(B19&lt;=$M$20,".",IF(B19&lt;=$M$21,".",0)))</f>
        <v>0</v>
      </c>
      <c r="D19" t="str">
        <f>SUM(B19:B19)</f>
        <v>0</v>
      </c>
      <c r="E19" t="str">
        <f>IF(D19&lt;=$Y$19,".",IF(D19&lt;=$Y$20,".",IF(D19&lt;=$Y$21,".",0)))</f>
        <v>0</v>
      </c>
      <c r="G19" s="11"/>
      <c r="K19" s="18" t="s">
        <v>1</v>
      </c>
      <c r="L19" s="18" t="str">
        <f>J11</f>
        <v>0</v>
      </c>
      <c r="M19" s="18" t="str">
        <f>L19+J13</f>
        <v>0</v>
      </c>
      <c r="N19" s="18" t="str">
        <f>COUNTIF($C$4:$C$23,$K19)</f>
        <v>0</v>
      </c>
      <c r="O19" s="22" t="str">
        <f>N19/N22</f>
        <v>0</v>
      </c>
      <c r="Q19" s="11"/>
      <c r="S19" s="28"/>
      <c r="W19" s="18" t="s">
        <v>1</v>
      </c>
      <c r="X19" s="18" t="str">
        <f>V11</f>
        <v>0</v>
      </c>
      <c r="Y19" s="18" t="str">
        <f>X19+V13 - 1</f>
        <v>0</v>
      </c>
      <c r="Z19" s="18" t="str">
        <f>COUNTIF($E$4:$E$23,$W19)</f>
        <v>0</v>
      </c>
      <c r="AA19" s="22" t="str">
        <f>Z19/Z22</f>
        <v>0</v>
      </c>
      <c r="AC19" s="28"/>
    </row>
    <row r="20" spans="1:33">
      <c r="A20" t="s">
        <v>42</v>
      </c>
      <c r="B20" t="str">
        <f>SUM('.'!B21:U21)</f>
        <v>0</v>
      </c>
      <c r="C20" t="str">
        <f>IF(B20&lt;=$M$19,".",IF(B20&lt;=$M$20,".",IF(B20&lt;=$M$21,".",0)))</f>
        <v>0</v>
      </c>
      <c r="D20" t="str">
        <f>SUM(B20:B20)</f>
        <v>0</v>
      </c>
      <c r="E20" t="str">
        <f>IF(D20&lt;=$Y$19,".",IF(D20&lt;=$Y$20,".",IF(D20&lt;=$Y$21,".",0)))</f>
        <v>0</v>
      </c>
      <c r="G20" s="11"/>
      <c r="K20" s="18" t="s">
        <v>1</v>
      </c>
      <c r="L20" s="18" t="str">
        <f>M19+ 1</f>
        <v>0</v>
      </c>
      <c r="M20" s="18" t="str">
        <f>L20+J13</f>
        <v>0</v>
      </c>
      <c r="N20" s="18" t="str">
        <f>COUNTIF($C$4:$C$23,$K20)</f>
        <v>0</v>
      </c>
      <c r="O20" s="22" t="str">
        <f>N20/N22</f>
        <v>0</v>
      </c>
      <c r="Q20" s="11"/>
      <c r="S20" s="28"/>
      <c r="W20" s="18" t="s">
        <v>1</v>
      </c>
      <c r="X20" s="18" t="str">
        <f>Y19+ 1</f>
        <v>0</v>
      </c>
      <c r="Y20" s="18" t="str">
        <f>X20+V13 - 1</f>
        <v>0</v>
      </c>
      <c r="Z20" s="18" t="str">
        <f>COUNTIF($E$4:$E$23,$W20)</f>
        <v>0</v>
      </c>
      <c r="AA20" s="22" t="str">
        <f>Z20/Z22</f>
        <v>0</v>
      </c>
      <c r="AC20" s="28"/>
    </row>
    <row r="21" spans="1:33">
      <c r="A21" t="s">
        <v>43</v>
      </c>
      <c r="B21" t="str">
        <f>SUM('.'!B22:U22)</f>
        <v>0</v>
      </c>
      <c r="C21" t="str">
        <f>IF(B21&lt;=$M$19,".",IF(B21&lt;=$M$20,".",IF(B21&lt;=$M$21,".",0)))</f>
        <v>0</v>
      </c>
      <c r="D21" t="str">
        <f>SUM(B21:B21)</f>
        <v>0</v>
      </c>
      <c r="E21" t="str">
        <f>IF(D21&lt;=$Y$19,".",IF(D21&lt;=$Y$20,".",IF(D21&lt;=$Y$21,".",0)))</f>
        <v>0</v>
      </c>
      <c r="G21" s="11"/>
      <c r="K21" s="18" t="s">
        <v>1</v>
      </c>
      <c r="L21" s="18" t="str">
        <f>M20+ 1</f>
        <v>0</v>
      </c>
      <c r="M21" s="18" t="str">
        <f>J10</f>
        <v>0</v>
      </c>
      <c r="N21" s="18" t="str">
        <f>COUNTIF($C$4:$C$23,$K21)</f>
        <v>0</v>
      </c>
      <c r="O21" s="22" t="str">
        <f>N21/N22</f>
        <v>0</v>
      </c>
      <c r="Q21" s="11"/>
      <c r="S21" s="28"/>
      <c r="W21" s="18" t="s">
        <v>1</v>
      </c>
      <c r="X21" s="18" t="str">
        <f>Y20+ 1</f>
        <v>0</v>
      </c>
      <c r="Y21" s="18" t="str">
        <f>V10</f>
        <v>0</v>
      </c>
      <c r="Z21" s="18" t="str">
        <f>COUNTIF($E$4:$E$23,$W21)</f>
        <v>0</v>
      </c>
      <c r="AA21" s="22" t="str">
        <f>Z21/Z22</f>
        <v>0</v>
      </c>
      <c r="AC21" s="28"/>
    </row>
    <row r="22" spans="1:33">
      <c r="A22" t="s">
        <v>44</v>
      </c>
      <c r="B22" t="str">
        <f>SUM('.'!B23:U23)</f>
        <v>0</v>
      </c>
      <c r="C22" t="str">
        <f>IF(B22&lt;=$M$19,".",IF(B22&lt;=$M$20,".",IF(B22&lt;=$M$21,".",0)))</f>
        <v>0</v>
      </c>
      <c r="D22" t="str">
        <f>SUM(B22:B22)</f>
        <v>0</v>
      </c>
      <c r="E22" t="str">
        <f>IF(D22&lt;=$Y$19,".",IF(D22&lt;=$Y$20,".",IF(D22&lt;=$Y$21,".",0)))</f>
        <v>0</v>
      </c>
      <c r="G22" s="11"/>
      <c r="K22" s="19" t="s">
        <v>2</v>
      </c>
      <c r="L22" s="21"/>
      <c r="M22" s="19"/>
      <c r="N22" s="19" t="str">
        <f>SUM(N19:N21)</f>
        <v>0</v>
      </c>
      <c r="O22" s="23" t="str">
        <f>SUM(O19:O21)</f>
        <v>0</v>
      </c>
      <c r="Q22" s="11"/>
      <c r="S22" s="28"/>
      <c r="W22" s="19" t="s">
        <v>2</v>
      </c>
      <c r="X22" s="21"/>
      <c r="Y22" s="19"/>
      <c r="Z22" s="19" t="str">
        <f>SUM(Z19:Z21)</f>
        <v>0</v>
      </c>
      <c r="AA22" s="23" t="str">
        <f>SUM(AA19:AA21)</f>
        <v>0</v>
      </c>
      <c r="AC22" s="28"/>
    </row>
    <row r="23" spans="1:33">
      <c r="A23" t="s">
        <v>45</v>
      </c>
      <c r="B23" t="str">
        <f>SUM('.'!B24:U24)</f>
        <v>0</v>
      </c>
      <c r="C23" t="str">
        <f>IF(B23&lt;=$M$19,".",IF(B23&lt;=$M$20,".",IF(B23&lt;=$M$21,".",0)))</f>
        <v>0</v>
      </c>
      <c r="D23" t="str">
        <f>SUM(B23:B23)</f>
        <v>0</v>
      </c>
      <c r="E23" t="str">
        <f>IF(D23&lt;=$Y$19,".",IF(D23&lt;=$Y$20,".",IF(D23&lt;=$Y$21,".",0)))</f>
        <v>0</v>
      </c>
      <c r="G23" s="11"/>
      <c r="K23" s="10" t="s">
        <v>73</v>
      </c>
      <c r="Q23" s="11"/>
      <c r="S23" s="28"/>
      <c r="W23" s="10" t="s">
        <v>73</v>
      </c>
      <c r="AC23" s="28"/>
    </row>
    <row r="24" spans="1:33">
      <c r="G24" s="11"/>
      <c r="K24" s="10" t="s">
        <v>74</v>
      </c>
      <c r="Q24" s="11"/>
      <c r="S24" s="28"/>
      <c r="W24" s="10" t="s">
        <v>74</v>
      </c>
      <c r="AC24" s="28"/>
    </row>
    <row r="25" spans="1:33">
      <c r="G25" s="11"/>
      <c r="Q25" s="11"/>
      <c r="S25" s="28"/>
      <c r="AC25" s="28"/>
    </row>
    <row r="26" spans="1:33">
      <c r="G26" s="11"/>
      <c r="Q26" s="11"/>
      <c r="S26" s="28"/>
      <c r="AC26" s="28"/>
    </row>
    <row r="27" spans="1:33">
      <c r="G27" s="11"/>
      <c r="Q27" s="11"/>
      <c r="S27" s="28"/>
      <c r="AC27" s="28"/>
    </row>
    <row r="28" spans="1:33">
      <c r="G28" s="11"/>
      <c r="Q28" s="11"/>
      <c r="S28" s="28"/>
      <c r="AC28" s="28"/>
    </row>
    <row r="29" spans="1:33">
      <c r="G29" s="11"/>
      <c r="Q29" s="11"/>
      <c r="S29" s="28"/>
      <c r="AC29" s="28"/>
    </row>
    <row r="30" spans="1:33">
      <c r="G30" s="11"/>
      <c r="Q30" s="11"/>
      <c r="S30" s="28"/>
      <c r="AC30" s="28"/>
    </row>
    <row r="31" spans="1:33">
      <c r="G31" s="11"/>
      <c r="Q31" s="11"/>
      <c r="S31" s="28"/>
      <c r="AC31" s="28"/>
    </row>
    <row r="32" spans="1:33">
      <c r="G32" s="11"/>
      <c r="Q32" s="11"/>
      <c r="S32" s="28"/>
      <c r="AC32" s="28"/>
    </row>
    <row r="33" spans="1:33">
      <c r="G33" s="11"/>
      <c r="Q33" s="11"/>
      <c r="S33" s="28"/>
      <c r="AC33" s="28"/>
    </row>
    <row r="34" spans="1:33">
      <c r="G34" s="11"/>
      <c r="Q34" s="11"/>
      <c r="S34" s="28"/>
      <c r="AC34" s="28"/>
    </row>
    <row r="35" spans="1:33">
      <c r="G35" s="11"/>
      <c r="Q35" s="11"/>
      <c r="S35" s="28"/>
      <c r="AC35" s="28"/>
    </row>
    <row r="36" spans="1:33">
      <c r="G36" s="11"/>
      <c r="Q36" s="11"/>
      <c r="S36" s="28"/>
      <c r="AC36" s="28"/>
    </row>
    <row r="37" spans="1:33">
      <c r="G37" s="11"/>
      <c r="Q37" s="11"/>
      <c r="S37" s="28"/>
      <c r="AC37" s="28"/>
    </row>
    <row r="38" spans="1:33">
      <c r="G38" s="11"/>
      <c r="Q38" s="11"/>
      <c r="S38" s="28"/>
      <c r="AC38" s="28"/>
    </row>
    <row r="39" spans="1:33">
      <c r="G39" s="11"/>
      <c r="Q39" s="11"/>
      <c r="S39" s="28"/>
      <c r="AC39" s="28"/>
    </row>
    <row r="40" spans="1:33">
      <c r="G40" s="11"/>
      <c r="Q40" s="11"/>
      <c r="S40" s="28"/>
      <c r="AC40" s="28"/>
    </row>
    <row r="41" spans="1:33">
      <c r="G41" s="11"/>
      <c r="Q41" s="11"/>
      <c r="S41" s="28"/>
      <c r="AC41" s="28"/>
    </row>
    <row r="42" spans="1:33">
      <c r="G42" s="11"/>
      <c r="Q42" s="11"/>
      <c r="S42" s="28"/>
      <c r="AC42" s="28"/>
    </row>
    <row r="43" spans="1:33">
      <c r="G43" s="11"/>
      <c r="K43" t="s">
        <v>75</v>
      </c>
      <c r="Q43" s="11"/>
      <c r="S43" s="28"/>
      <c r="W43" t="s">
        <v>76</v>
      </c>
      <c r="AC43" s="28"/>
    </row>
    <row r="44" spans="1:33">
      <c r="G44" s="11"/>
      <c r="K44" s="10" t="s">
        <v>1</v>
      </c>
      <c r="Q44" s="11"/>
      <c r="S44" s="28"/>
      <c r="W44" s="10" t="s">
        <v>1</v>
      </c>
      <c r="AC44" s="28"/>
    </row>
    <row r="45" spans="1:33">
      <c r="G45" s="11"/>
      <c r="H45" s="11"/>
      <c r="I45" s="11"/>
      <c r="J45" s="11"/>
      <c r="K45" s="11"/>
      <c r="L45" s="11"/>
      <c r="M45" s="11"/>
      <c r="N45" s="11"/>
      <c r="O45" s="11"/>
      <c r="P45" s="11"/>
      <c r="Q45" s="11"/>
      <c r="S45" s="28"/>
      <c r="T45" s="28"/>
      <c r="U45" s="28"/>
      <c r="V45" s="28"/>
      <c r="W45" s="28"/>
      <c r="X45" s="28"/>
      <c r="Y45" s="28"/>
      <c r="Z45" s="28"/>
      <c r="AA45" s="28"/>
      <c r="AB45" s="28"/>
      <c r="AC45" s="28"/>
    </row>
    <row r="47" spans="1:33">
      <c r="I47" s="27" t="str">
        <f>CONCATENATE("en la ",K15," y ",K43," se puede observar que la variable ",H901," en base a su dimensión ",H902," tiene una calificación de ",I904," por el ",ROUND(H904*100,0),"% ","de los resultados, ","los cuales fueron extraídos  de las encuestas ejecutadas a los ",J902,", estos resultados son afectados debido a que, ",Q1016," ",I1016,",","asi mismo ",Q1017," ",I1017,", incluso ",Q1018," ",I1018,", además ",Q1019," ",I1019,", mismo ",Q1020," ",I1020,", no obstante ",Q1021," ",I1021,", además ",Q1022," ",I1022,", con motivo ",Q1023," ",I1023,", en cambio ",Q1024," ",I1024,", además ",Q1025," ",I1025,", con motivo ",Q1026," ",I1026,", sin embargo ",Q1027," ",I1027,", aunque ",Q1028," ",I1028,", además ",Q1029," ",I1029,", también ",Q1030," ",I1030,", de nuevo ",Q1031," ",I1031,", no obstante ",Q1032," ",I1032,", con motivo ",Q1033," ",I1033,", de nuevo ",Q1034," ",I1034, ", ","y ",I1035," ",Q1035,", ","por todo ello la dimensión ",H902," es ",I904,".")</f>
        <v>0</v>
      </c>
      <c r="U47" s="27" t="str">
        <f>CONCATENATE("En la ",W15," y ",W43," se puede evidenciar que la variable ",T901," es calificado como ",U904," por el ",ROUND(T904*100,0),"% de los resultados, mismos que son originados porque; ",AG1016," ",AG1017," ",AG1018,AG1019,AG1020,AG1021,AG1022,AG1023,AG1024,AG1025,AG1026," se concluye que la variable ",T901,"tiene un valor de ",U904,".")</f>
        <v>0</v>
      </c>
    </row>
    <row r="901" spans="1:33">
      <c r="G901" s="10" t="s">
        <v>56</v>
      </c>
      <c r="H901" s="10" t="str">
        <f>(J4)</f>
        <v>0</v>
      </c>
      <c r="J901" s="10" t="s">
        <v>77</v>
      </c>
      <c r="S901" s="10" t="s">
        <v>56</v>
      </c>
      <c r="T901" s="10" t="str">
        <f>(V4)</f>
        <v>0</v>
      </c>
      <c r="V901" s="10" t="s">
        <v>77</v>
      </c>
    </row>
    <row r="902" spans="1:33">
      <c r="G902" s="10" t="s">
        <v>78</v>
      </c>
      <c r="H902" s="10" t="str">
        <f>(J5)</f>
        <v>0</v>
      </c>
      <c r="J902" s="10" t="s">
        <v>79</v>
      </c>
      <c r="S902" s="10" t="s">
        <v>78</v>
      </c>
      <c r="T902" s="10" t="str">
        <f>(V5)</f>
        <v>0</v>
      </c>
      <c r="V902" s="10" t="s">
        <v>79</v>
      </c>
    </row>
    <row r="904" spans="1:33">
      <c r="G904" s="10" t="s">
        <v>80</v>
      </c>
      <c r="H904" s="14" t="str">
        <f>MAX(O19:O21)</f>
        <v>0</v>
      </c>
      <c r="I904" s="10" t="str">
        <f>IF(H904=O19,K19,IF(H904=O20,K20,IF(H904=O21,K21,"algo esta mal")))</f>
        <v>0</v>
      </c>
      <c r="S904" s="10" t="s">
        <v>80</v>
      </c>
      <c r="T904" s="14" t="str">
        <f>MAX(AA19:AA21)</f>
        <v>0</v>
      </c>
      <c r="U904" s="10" t="str">
        <f>IF(T904=AA19,W19,IF(T904=AA20,W20,IF(T904=AA21,W21,"algo esta mal")))</f>
        <v>0</v>
      </c>
    </row>
    <row r="905" spans="1:33">
      <c r="I905" s="10" t="s">
        <v>81</v>
      </c>
      <c r="J905" s="10" t="s">
        <v>82</v>
      </c>
      <c r="K905" s="10" t="s">
        <v>1</v>
      </c>
      <c r="L905" s="10" t="s">
        <v>185</v>
      </c>
      <c r="M905" s="10" t="s">
        <v>1</v>
      </c>
      <c r="N905" s="10" t="s">
        <v>1</v>
      </c>
      <c r="O905" s="10" t="s">
        <v>1</v>
      </c>
    </row>
    <row r="906" spans="1:33">
      <c r="I906" s="10"/>
      <c r="J906" s="14"/>
      <c r="K906" t="str">
        <f>('.'!B37)</f>
        <v>0</v>
      </c>
      <c r="L906" t="str">
        <f>('.'!B38)</f>
        <v>0</v>
      </c>
      <c r="M906" t="str">
        <f>('.'!B39)</f>
        <v>0</v>
      </c>
      <c r="N906" t="str">
        <f>('.'!B40)</f>
        <v>0</v>
      </c>
      <c r="O906" t="str">
        <f>('.'!B41)</f>
        <v>0</v>
      </c>
    </row>
    <row r="907" spans="1:33">
      <c r="I907" s="10"/>
      <c r="J907" s="14"/>
      <c r="K907" t="str">
        <f>('.'!C37)</f>
        <v>0</v>
      </c>
      <c r="L907" t="str">
        <f>('.'!C38)</f>
        <v>0</v>
      </c>
      <c r="M907" t="str">
        <f>('.'!C39)</f>
        <v>0</v>
      </c>
      <c r="N907" t="str">
        <f>('.'!C40)</f>
        <v>0</v>
      </c>
      <c r="O907" t="str">
        <f>('.'!C41)</f>
        <v>0</v>
      </c>
    </row>
    <row r="908" spans="1:33">
      <c r="I908" s="10"/>
      <c r="J908" s="14"/>
      <c r="K908" t="str">
        <f>('.'!D37)</f>
        <v>0</v>
      </c>
      <c r="L908" t="str">
        <f>('.'!D38)</f>
        <v>0</v>
      </c>
      <c r="M908" t="str">
        <f>('.'!D39)</f>
        <v>0</v>
      </c>
      <c r="N908" t="str">
        <f>('.'!D40)</f>
        <v>0</v>
      </c>
      <c r="O908" t="str">
        <f>('.'!D41)</f>
        <v>0</v>
      </c>
    </row>
    <row r="909" spans="1:33">
      <c r="I909" s="10"/>
      <c r="J909" s="14"/>
      <c r="K909" t="str">
        <f>('.'!E37)</f>
        <v>0</v>
      </c>
      <c r="L909" t="str">
        <f>('.'!E38)</f>
        <v>0</v>
      </c>
      <c r="M909" t="str">
        <f>('.'!E39)</f>
        <v>0</v>
      </c>
      <c r="N909" t="str">
        <f>('.'!E40)</f>
        <v>0</v>
      </c>
      <c r="O909" t="str">
        <f>('.'!E41)</f>
        <v>0</v>
      </c>
    </row>
    <row r="910" spans="1:33">
      <c r="I910" s="10"/>
      <c r="J910" s="14"/>
      <c r="K910" t="str">
        <f>('.'!F37)</f>
        <v>0</v>
      </c>
      <c r="L910" t="str">
        <f>('.'!F38)</f>
        <v>0</v>
      </c>
      <c r="M910" t="str">
        <f>('.'!F39)</f>
        <v>0</v>
      </c>
      <c r="N910" t="str">
        <f>('.'!F40)</f>
        <v>0</v>
      </c>
      <c r="O910" t="str">
        <f>('.'!F41)</f>
        <v>0</v>
      </c>
    </row>
    <row r="911" spans="1:33">
      <c r="I911" s="10"/>
      <c r="J911" s="14"/>
      <c r="K911" t="str">
        <f>('.'!G37)</f>
        <v>0</v>
      </c>
      <c r="L911" t="str">
        <f>('.'!G38)</f>
        <v>0</v>
      </c>
      <c r="M911" t="str">
        <f>('.'!G39)</f>
        <v>0</v>
      </c>
      <c r="N911" t="str">
        <f>('.'!G40)</f>
        <v>0</v>
      </c>
      <c r="O911" t="str">
        <f>('.'!G41)</f>
        <v>0</v>
      </c>
    </row>
    <row r="912" spans="1:33">
      <c r="I912" s="10"/>
      <c r="J912" s="14"/>
      <c r="K912" t="str">
        <f>('.'!H37)</f>
        <v>0</v>
      </c>
      <c r="L912" t="str">
        <f>('.'!H38)</f>
        <v>0</v>
      </c>
      <c r="M912" t="str">
        <f>('.'!H39)</f>
        <v>0</v>
      </c>
      <c r="N912" t="str">
        <f>('.'!H40)</f>
        <v>0</v>
      </c>
      <c r="O912" t="str">
        <f>('.'!H41)</f>
        <v>0</v>
      </c>
    </row>
    <row r="913" spans="1:33">
      <c r="I913" s="10"/>
      <c r="J913" s="14"/>
      <c r="K913" t="str">
        <f>('.'!I37)</f>
        <v>0</v>
      </c>
      <c r="L913" t="str">
        <f>('.'!I38)</f>
        <v>0</v>
      </c>
      <c r="M913" t="str">
        <f>('.'!I39)</f>
        <v>0</v>
      </c>
      <c r="N913" t="str">
        <f>('.'!I40)</f>
        <v>0</v>
      </c>
      <c r="O913" t="str">
        <f>('.'!I41)</f>
        <v>0</v>
      </c>
    </row>
    <row r="914" spans="1:33">
      <c r="I914" s="10"/>
      <c r="J914" s="14"/>
      <c r="K914" t="str">
        <f>('.'!J37)</f>
        <v>0</v>
      </c>
      <c r="L914" t="str">
        <f>('.'!J38)</f>
        <v>0</v>
      </c>
      <c r="M914" t="str">
        <f>('.'!J39)</f>
        <v>0</v>
      </c>
      <c r="N914" t="str">
        <f>('.'!J40)</f>
        <v>0</v>
      </c>
      <c r="O914" t="str">
        <f>('.'!J41)</f>
        <v>0</v>
      </c>
    </row>
    <row r="915" spans="1:33">
      <c r="I915" s="10"/>
      <c r="J915" s="14"/>
      <c r="K915" t="str">
        <f>('.'!K37)</f>
        <v>0</v>
      </c>
      <c r="L915" t="str">
        <f>('.'!K38)</f>
        <v>0</v>
      </c>
      <c r="M915" t="str">
        <f>('.'!K39)</f>
        <v>0</v>
      </c>
      <c r="N915" t="str">
        <f>('.'!K40)</f>
        <v>0</v>
      </c>
      <c r="O915" t="str">
        <f>('.'!K41)</f>
        <v>0</v>
      </c>
    </row>
    <row r="916" spans="1:33">
      <c r="I916" s="10"/>
      <c r="J916" s="14"/>
      <c r="K916" t="str">
        <f>('.'!L37)</f>
        <v>0</v>
      </c>
      <c r="L916" t="str">
        <f>('.'!L38)</f>
        <v>0</v>
      </c>
      <c r="M916" t="str">
        <f>('.'!L39)</f>
        <v>0</v>
      </c>
      <c r="N916" t="str">
        <f>('.'!L40)</f>
        <v>0</v>
      </c>
      <c r="O916" t="str">
        <f>('.'!L41)</f>
        <v>0</v>
      </c>
    </row>
    <row r="917" spans="1:33">
      <c r="I917" s="10"/>
      <c r="J917" s="14"/>
      <c r="K917" t="str">
        <f>('.'!M37)</f>
        <v>0</v>
      </c>
      <c r="L917" t="str">
        <f>('.'!M38)</f>
        <v>0</v>
      </c>
      <c r="M917" t="str">
        <f>('.'!M39)</f>
        <v>0</v>
      </c>
      <c r="N917" t="str">
        <f>('.'!M40)</f>
        <v>0</v>
      </c>
      <c r="O917" t="str">
        <f>('.'!M41)</f>
        <v>0</v>
      </c>
    </row>
    <row r="918" spans="1:33">
      <c r="I918" s="10"/>
      <c r="J918" s="14"/>
      <c r="K918" t="str">
        <f>('.'!N37)</f>
        <v>0</v>
      </c>
      <c r="L918" t="str">
        <f>('.'!N38)</f>
        <v>0</v>
      </c>
      <c r="M918" t="str">
        <f>('.'!N39)</f>
        <v>0</v>
      </c>
      <c r="N918" t="str">
        <f>('.'!N40)</f>
        <v>0</v>
      </c>
      <c r="O918" t="str">
        <f>('.'!N41)</f>
        <v>0</v>
      </c>
    </row>
    <row r="919" spans="1:33">
      <c r="I919" s="10"/>
      <c r="J919" s="14"/>
      <c r="K919" t="str">
        <f>('.'!O37)</f>
        <v>0</v>
      </c>
      <c r="L919" t="str">
        <f>('.'!O38)</f>
        <v>0</v>
      </c>
      <c r="M919" t="str">
        <f>('.'!O39)</f>
        <v>0</v>
      </c>
      <c r="N919" t="str">
        <f>('.'!O40)</f>
        <v>0</v>
      </c>
      <c r="O919" t="str">
        <f>('.'!O41)</f>
        <v>0</v>
      </c>
    </row>
    <row r="920" spans="1:33">
      <c r="I920" s="10"/>
      <c r="J920" s="14"/>
      <c r="K920" t="str">
        <f>('.'!P37)</f>
        <v>0</v>
      </c>
      <c r="L920" t="str">
        <f>('.'!P38)</f>
        <v>0</v>
      </c>
      <c r="M920" t="str">
        <f>('.'!P39)</f>
        <v>0</v>
      </c>
      <c r="N920" t="str">
        <f>('.'!P40)</f>
        <v>0</v>
      </c>
      <c r="O920" t="str">
        <f>('.'!P41)</f>
        <v>0</v>
      </c>
    </row>
    <row r="921" spans="1:33">
      <c r="I921" s="10"/>
      <c r="J921" s="14"/>
      <c r="K921" t="str">
        <f>('.'!Q37)</f>
        <v>0</v>
      </c>
      <c r="L921" t="str">
        <f>('.'!Q38)</f>
        <v>0</v>
      </c>
      <c r="M921" t="str">
        <f>('.'!Q39)</f>
        <v>0</v>
      </c>
      <c r="N921" t="str">
        <f>('.'!Q40)</f>
        <v>0</v>
      </c>
      <c r="O921" t="str">
        <f>('.'!Q41)</f>
        <v>0</v>
      </c>
    </row>
    <row r="922" spans="1:33">
      <c r="I922" s="10"/>
      <c r="J922" s="14"/>
      <c r="K922" t="str">
        <f>('.'!R37)</f>
        <v>0</v>
      </c>
      <c r="L922" t="str">
        <f>('.'!R38)</f>
        <v>0</v>
      </c>
      <c r="M922" t="str">
        <f>('.'!R39)</f>
        <v>0</v>
      </c>
      <c r="N922" t="str">
        <f>('.'!R40)</f>
        <v>0</v>
      </c>
      <c r="O922" t="str">
        <f>('.'!R41)</f>
        <v>0</v>
      </c>
    </row>
    <row r="923" spans="1:33">
      <c r="I923" s="10"/>
      <c r="J923" s="14"/>
      <c r="K923" t="str">
        <f>('.'!S37)</f>
        <v>0</v>
      </c>
      <c r="L923" t="str">
        <f>('.'!S38)</f>
        <v>0</v>
      </c>
      <c r="M923" t="str">
        <f>('.'!S39)</f>
        <v>0</v>
      </c>
      <c r="N923" t="str">
        <f>('.'!S40)</f>
        <v>0</v>
      </c>
      <c r="O923" t="str">
        <f>('.'!S41)</f>
        <v>0</v>
      </c>
    </row>
    <row r="924" spans="1:33">
      <c r="I924" s="10"/>
      <c r="J924" s="14"/>
      <c r="K924" t="str">
        <f>('.'!T37)</f>
        <v>0</v>
      </c>
      <c r="L924" t="str">
        <f>('.'!T38)</f>
        <v>0</v>
      </c>
      <c r="M924" t="str">
        <f>('.'!T39)</f>
        <v>0</v>
      </c>
      <c r="N924" t="str">
        <f>('.'!T40)</f>
        <v>0</v>
      </c>
      <c r="O924" t="str">
        <f>('.'!T41)</f>
        <v>0</v>
      </c>
    </row>
    <row r="925" spans="1:33">
      <c r="I925" s="10"/>
      <c r="J925" s="14"/>
      <c r="K925" t="str">
        <f>('.'!U37)</f>
        <v>0</v>
      </c>
      <c r="L925" t="str">
        <f>('.'!U38)</f>
        <v>0</v>
      </c>
      <c r="M925" t="str">
        <f>('.'!U39)</f>
        <v>0</v>
      </c>
      <c r="N925" t="str">
        <f>('.'!U40)</f>
        <v>0</v>
      </c>
      <c r="O925" t="str">
        <f>('.'!U41)</f>
        <v>0</v>
      </c>
    </row>
    <row r="1015" spans="1:33">
      <c r="I1015" s="10" t="s">
        <v>82</v>
      </c>
      <c r="J1015" s="10" t="str">
        <f>CONCATENATE(K905," y ",L905)</f>
        <v>0</v>
      </c>
      <c r="K1015" s="10" t="str">
        <f>(M905)</f>
        <v>0</v>
      </c>
      <c r="L1015" s="10" t="str">
        <f>CONCATENATE(N905," y ",O905)</f>
        <v>0</v>
      </c>
      <c r="M1015" s="10" t="s">
        <v>83</v>
      </c>
      <c r="N1015" s="10" t="s">
        <v>84</v>
      </c>
      <c r="O1015" s="10" t="s">
        <v>85</v>
      </c>
      <c r="P1015" s="10" t="s">
        <v>86</v>
      </c>
      <c r="Q1015" s="10" t="s">
        <v>87</v>
      </c>
      <c r="U1015" s="10" t="s">
        <v>88</v>
      </c>
      <c r="V1015" s="10" t="s">
        <v>1</v>
      </c>
      <c r="W1015" s="10" t="s">
        <v>1</v>
      </c>
      <c r="X1015" s="10" t="s">
        <v>1</v>
      </c>
      <c r="Y1015" s="10" t="s">
        <v>83</v>
      </c>
      <c r="Z1015" s="10" t="s">
        <v>89</v>
      </c>
      <c r="AA1015" s="10" t="s">
        <v>90</v>
      </c>
      <c r="AB1015" s="10" t="s">
        <v>91</v>
      </c>
      <c r="AC1015" s="10" t="s">
        <v>92</v>
      </c>
      <c r="AD1015" s="10" t="s">
        <v>93</v>
      </c>
      <c r="AE1015" s="10" t="s">
        <v>94</v>
      </c>
      <c r="AF1015" s="10" t="s">
        <v>95</v>
      </c>
      <c r="AG1015" s="10" t="s">
        <v>87</v>
      </c>
    </row>
    <row r="1016" spans="1:33">
      <c r="I1016" s="10" t="str">
        <f>(J906)</f>
        <v>0</v>
      </c>
      <c r="J1016" s="14" t="str">
        <f>SUM(K906:L906)</f>
        <v>0</v>
      </c>
      <c r="K1016" s="14" t="str">
        <f>(M906)</f>
        <v>0</v>
      </c>
      <c r="L1016" s="14" t="str">
        <f>SUM(N906:O906)</f>
        <v>0</v>
      </c>
      <c r="M1016" s="14" t="str">
        <f>MAX(J1016:L1016)</f>
        <v>0</v>
      </c>
      <c r="N1016" s="10" t="str">
        <f>IF(M1016=J1016,$J$1015,IF(M1016=K1016,$K$1015,IF(M1016=L1016,$L$1015,"ALGO ESTA MAL")))</f>
        <v>0</v>
      </c>
      <c r="O1016" s="10" t="str">
        <f>RANDBETWEEN(1,10)</f>
        <v>0</v>
      </c>
      <c r="P1016" s="10" t="str">
        <f>IF(O1016=$P$1100,$Q$1100,IF(O1016=$P$1101,$Q$1101,IF(O1016=$P$1102,$Q$1102,IF(O1016=$P$1103,$Q$1103,IF(O1016=$P$1104,$Q$1104,IF(O1016=$P$1105,$Q$1105,IF(O1016=$P$1106,$Q$1106,IF(O1016=$P$1107,$Q$1107,IF(O1016=$P$1108,$Q$1108,IF(O1016=$P$1109,$Q$1109,"algo esta mal"))))))))))</f>
        <v>0</v>
      </c>
      <c r="Q1016" s="10" t="str">
        <f>CONCATENATE("el ",ROUND(M1016*100,0),"% ",P1016," como ",N1016)</f>
        <v>0</v>
      </c>
      <c r="U1016" s="14" t="str">
        <f>(K16)</f>
        <v>0</v>
      </c>
      <c r="V1016" s="14" t="str">
        <f>(O19)</f>
        <v>0</v>
      </c>
      <c r="W1016" s="5" t="str">
        <f>(O20)</f>
        <v>0</v>
      </c>
      <c r="X1016" s="14" t="str">
        <f>(O21)</f>
        <v>0</v>
      </c>
      <c r="Y1016" s="14" t="str">
        <f>MAX(V1016:X1016)</f>
        <v>0</v>
      </c>
      <c r="Z1016" s="10" t="str">
        <f>IF(Y1016=V1016,$V$1015,IF(Y1016=W1016,$W$1015,IF(Y1016=X1016,$X$1015,"algo esta mal")))</f>
        <v>0</v>
      </c>
      <c r="AA1016" s="10" t="str">
        <f> RANDBETWEEN(1,10)</f>
        <v>0</v>
      </c>
      <c r="AB1016" s="10" t="str">
        <f>IF(AA1016=$AB$1100,$AC$1100,IF(AA1016=$AB$1101,$AC$1101,IF(AA1016=$AB$1102,$AC$1102,IF(AA1016=$AB$1103,$AC$1103,IF(AA1016=$AB$1104,$AC$1104,IF(AA1016=$AB$1105,$AC$1105,IF(AA1016=$AB$1106,$AC$1106,IF(AA1016=$AB$1107,$AC$1107,IF(AA1016=$AB$1108,$AC$1108,IF(AA1016=$AB$1109,$AC$1109,"algo esta mal"))))))))))</f>
        <v>0</v>
      </c>
      <c r="AC1016" s="10" t="str">
        <f> RANDBETWEEN(1,7)</f>
        <v>0</v>
      </c>
      <c r="AD1016" s="10" t="str">
        <f>IF(AC1016=$AB$1110,$AC$1110,IF(AC1016=$AB$1111,$AC$1111,IF(AC1016=$AB$1112,$AC$1112,IF(AC1016=$AB$1113,$AC$1113,IF(AC1016=$AB$1114,$AC$1114,IF(AC1016=$AB$1115,$AC$1115,IF(AC1016=$AB$1116,$AC$1116,IF(AC1016=$AB$1047,$AC$1047,IF(AC1016=$AB$1048,$AC$1048,IF(AC1016=$AB$1049,$AC$1049,"algo esta mal"))))))))))</f>
        <v>0</v>
      </c>
      <c r="AE1016" s="10" t="str">
        <f> RANDBETWEEN(1,2)</f>
        <v>0</v>
      </c>
      <c r="AF1016" s="10" t="str">
        <f>IF(AE1016=$AB$1120,$AC$1120,IF(AE1016=$AB$1121,$AC$1121,"algo esta mal"))</f>
        <v>0</v>
      </c>
      <c r="AG1016" s="10" t="str">
        <f>CONCATENATE("el ",ROUND(Y1016*100,0),"% de los ",AF1016," ",AB1016," a la dimensión ",U1016," como ",Z1016,", ",AD1016)</f>
        <v>0</v>
      </c>
    </row>
    <row r="1017" spans="1:33">
      <c r="I1017" s="10" t="str">
        <f>(J907)</f>
        <v>0</v>
      </c>
      <c r="J1017" s="14" t="str">
        <f>SUM(K907:L907)</f>
        <v>0</v>
      </c>
      <c r="K1017" s="14" t="str">
        <f>(M907)</f>
        <v>0</v>
      </c>
      <c r="L1017" s="14" t="str">
        <f>SUM(N907:O907)</f>
        <v>0</v>
      </c>
      <c r="M1017" s="14" t="str">
        <f>MAX(J1017:L1017)</f>
        <v>0</v>
      </c>
      <c r="N1017" s="10" t="str">
        <f>IF(M1017=J1017,$J$1015,IF(M1017=K1017,$K$1015,IF(M1017=L1017,$L$1015,"ALGO ESTA MAL")))</f>
        <v>0</v>
      </c>
      <c r="O1017" s="10" t="str">
        <f>RANDBETWEEN(1,10)</f>
        <v>0</v>
      </c>
      <c r="P1017" s="10" t="str">
        <f>IF(O1017=$P$1100,$Q$1100,IF(O1017=$P$1101,$Q$1101,IF(O1017=$P$1102,$Q$1102,IF(O1017=$P$1103,$Q$1103,IF(O1017=$P$1104,$Q$1104,IF(O1017=$P$1105,$Q$1105,IF(O1017=$P$1106,$Q$1106,IF(O1017=$P$1107,$Q$1107,IF(O1017=$P$1108,$Q$1108,IF(O1017=$P$1109,$Q$1109,"algo esta mal"))))))))))</f>
        <v>0</v>
      </c>
      <c r="Q1017" s="10" t="str">
        <f>CONCATENATE("el ",ROUND(M1017*100,0),"% de los ",J902," ",P1017," como ",N1017)</f>
        <v>0</v>
      </c>
    </row>
    <row r="1018" spans="1:33">
      <c r="I1018" s="10" t="str">
        <f>(J908)</f>
        <v>0</v>
      </c>
      <c r="J1018" s="14" t="str">
        <f>SUM(K908:L908)</f>
        <v>0</v>
      </c>
      <c r="K1018" s="14" t="str">
        <f>(M908)</f>
        <v>0</v>
      </c>
      <c r="L1018" s="14" t="str">
        <f>SUM(N908:O908)</f>
        <v>0</v>
      </c>
      <c r="M1018" s="14" t="str">
        <f>MAX(J1018:L1018)</f>
        <v>0</v>
      </c>
      <c r="N1018" s="10" t="str">
        <f>IF(M1018=J1018,$J$1015,IF(M1018=K1018,$K$1015,IF(M1018=L1018,$L$1015,"ALGO ESTA MAL")))</f>
        <v>0</v>
      </c>
      <c r="O1018" s="10" t="str">
        <f>RANDBETWEEN(1,10)</f>
        <v>0</v>
      </c>
      <c r="P1018" s="10" t="str">
        <f>IF(O1018=$P$1100,$Q$1100,IF(O1018=$P$1101,$Q$1101,IF(O1018=$P$1102,$Q$1102,IF(O1018=$P$1103,$Q$1103,IF(O1018=$P$1104,$Q$1104,IF(O1018=$P$1105,$Q$1105,IF(O1018=$P$1106,$Q$1106,IF(O1018=$P$1107,$Q$1107,IF(O1018=$P$1108,$Q$1108,IF(O1018=$P$1109,$Q$1109,"algo esta mal"))))))))))</f>
        <v>0</v>
      </c>
      <c r="Q1018" s="10" t="str">
        <f>CONCATENATE("el ",ROUND(M1018*100,0),"% ",P1018," como ",N1018)</f>
        <v>0</v>
      </c>
    </row>
    <row r="1019" spans="1:33">
      <c r="I1019" s="10" t="str">
        <f>(J909)</f>
        <v>0</v>
      </c>
      <c r="J1019" s="14" t="str">
        <f>SUM(K909:L909)</f>
        <v>0</v>
      </c>
      <c r="K1019" s="14" t="str">
        <f>(M909)</f>
        <v>0</v>
      </c>
      <c r="L1019" s="14" t="str">
        <f>SUM(N909:O909)</f>
        <v>0</v>
      </c>
      <c r="M1019" s="14" t="str">
        <f>MAX(J1019:L1019)</f>
        <v>0</v>
      </c>
      <c r="N1019" s="10" t="str">
        <f>IF(M1019=J1019,$J$1015,IF(M1019=K1019,$K$1015,IF(M1019=L1019,$L$1015,"ALGO ESTA MAL")))</f>
        <v>0</v>
      </c>
      <c r="O1019" s="10" t="str">
        <f>RANDBETWEEN(1,10)</f>
        <v>0</v>
      </c>
      <c r="P1019" s="10" t="str">
        <f>IF(O1019=$P$1100,$Q$1100,IF(O1019=$P$1101,$Q$1101,IF(O1019=$P$1102,$Q$1102,IF(O1019=$P$1103,$Q$1103,IF(O1019=$P$1104,$Q$1104,IF(O1019=$P$1105,$Q$1105,IF(O1019=$P$1106,$Q$1106,IF(O1019=$P$1107,$Q$1107,IF(O1019=$P$1108,$Q$1108,IF(O1019=$P$1109,$Q$1109,"algo esta mal"))))))))))</f>
        <v>0</v>
      </c>
      <c r="Q1019" s="10" t="str">
        <f>CONCATENATE("el ",ROUND(M1019*100,0),"% de los ",J902," ",P1019," como ",N1019)</f>
        <v>0</v>
      </c>
    </row>
    <row r="1020" spans="1:33">
      <c r="I1020" s="10" t="str">
        <f>(J910)</f>
        <v>0</v>
      </c>
      <c r="J1020" s="14" t="str">
        <f>SUM(K910:L910)</f>
        <v>0</v>
      </c>
      <c r="K1020" s="14" t="str">
        <f>(M910)</f>
        <v>0</v>
      </c>
      <c r="L1020" s="14" t="str">
        <f>SUM(N910:O910)</f>
        <v>0</v>
      </c>
      <c r="M1020" s="14" t="str">
        <f>MAX(J1020:L1020)</f>
        <v>0</v>
      </c>
      <c r="N1020" s="10" t="str">
        <f>IF(M1020=J1020,$J$1015,IF(M1020=K1020,$K$1015,IF(M1020=L1020,$L$1015,"ALGO ESTA MAL")))</f>
        <v>0</v>
      </c>
      <c r="O1020" s="10" t="str">
        <f>RANDBETWEEN(1,10)</f>
        <v>0</v>
      </c>
      <c r="P1020" s="10" t="str">
        <f>IF(O1020=$P$1100,$Q$1100,IF(O1020=$P$1101,$Q$1101,IF(O1020=$P$1102,$Q$1102,IF(O1020=$P$1103,$Q$1103,IF(O1020=$P$1104,$Q$1104,IF(O1020=$P$1105,$Q$1105,IF(O1020=$P$1106,$Q$1106,IF(O1020=$P$1107,$Q$1107,IF(O1020=$P$1108,$Q$1108,IF(O1020=$P$1109,$Q$1109,"algo esta mal"))))))))))</f>
        <v>0</v>
      </c>
      <c r="Q1020" s="10" t="str">
        <f>CONCATENATE("el ",ROUND(M1020*100,0),"% ",P1020," como ",N1020)</f>
        <v>0</v>
      </c>
    </row>
    <row r="1021" spans="1:33">
      <c r="I1021" s="10" t="str">
        <f>(J911)</f>
        <v>0</v>
      </c>
      <c r="J1021" s="14" t="str">
        <f>SUM(K911:L911)</f>
        <v>0</v>
      </c>
      <c r="K1021" s="14" t="str">
        <f>(M911)</f>
        <v>0</v>
      </c>
      <c r="L1021" s="14" t="str">
        <f>SUM(N911:O911)</f>
        <v>0</v>
      </c>
      <c r="M1021" s="14" t="str">
        <f>MAX(J1021:L1021)</f>
        <v>0</v>
      </c>
      <c r="N1021" s="10" t="str">
        <f>IF(M1021=J1021,$J$1015,IF(M1021=K1021,$K$1015,IF(M1021=L1021,$L$1015,"ALGO ESTA MAL")))</f>
        <v>0</v>
      </c>
      <c r="O1021" s="10" t="str">
        <f>RANDBETWEEN(1,10)</f>
        <v>0</v>
      </c>
      <c r="P1021" s="10" t="str">
        <f>IF(O1021=$P$1100,$Q$1100,IF(O1021=$P$1101,$Q$1101,IF(O1021=$P$1102,$Q$1102,IF(O1021=$P$1103,$Q$1103,IF(O1021=$P$1104,$Q$1104,IF(O1021=$P$1105,$Q$1105,IF(O1021=$P$1106,$Q$1106,IF(O1021=$P$1107,$Q$1107,IF(O1021=$P$1108,$Q$1108,IF(O1021=$P$1109,$Q$1109,"algo esta mal"))))))))))</f>
        <v>0</v>
      </c>
      <c r="Q1021" s="10" t="str">
        <f>CONCATENATE("el ",ROUND(M1021*100,0),"% ",P1021," como ",N1021)</f>
        <v>0</v>
      </c>
    </row>
    <row r="1022" spans="1:33">
      <c r="I1022" s="10" t="str">
        <f>(J912)</f>
        <v>0</v>
      </c>
      <c r="J1022" s="14" t="str">
        <f>SUM(K912:L912)</f>
        <v>0</v>
      </c>
      <c r="K1022" s="14" t="str">
        <f>(M912)</f>
        <v>0</v>
      </c>
      <c r="L1022" s="14" t="str">
        <f>SUM(N912:O912)</f>
        <v>0</v>
      </c>
      <c r="M1022" s="14" t="str">
        <f>MAX(J1022:L1022)</f>
        <v>0</v>
      </c>
      <c r="N1022" s="10" t="str">
        <f>IF(M1022=J1022,$J$1015,IF(M1022=K1022,$K$1015,IF(M1022=L1022,$L$1015,"ALGO ESTA MAL")))</f>
        <v>0</v>
      </c>
      <c r="O1022" s="10" t="str">
        <f>RANDBETWEEN(1,10)</f>
        <v>0</v>
      </c>
      <c r="P1022" s="10" t="str">
        <f>IF(O1022=$P$1100,$Q$1100,IF(O1022=$P$1101,$Q$1101,IF(O1022=$P$1102,$Q$1102,IF(O1022=$P$1103,$Q$1103,IF(O1022=$P$1104,$Q$1104,IF(O1022=$P$1105,$Q$1105,IF(O1022=$P$1106,$Q$1106,IF(O1022=$P$1107,$Q$1107,IF(O1022=$P$1108,$Q$1108,IF(O1022=$P$1109,$Q$1109,"algo esta mal"))))))))))</f>
        <v>0</v>
      </c>
      <c r="Q1022" s="10" t="str">
        <f>CONCATENATE("el ",ROUND(M1022*100,0),"% de los ",J902," ",P1022," como ",N1022)</f>
        <v>0</v>
      </c>
    </row>
    <row r="1023" spans="1:33">
      <c r="I1023" s="10" t="str">
        <f>(J913)</f>
        <v>0</v>
      </c>
      <c r="J1023" s="14" t="str">
        <f>SUM(K913:L913)</f>
        <v>0</v>
      </c>
      <c r="K1023" s="14" t="str">
        <f>(M913)</f>
        <v>0</v>
      </c>
      <c r="L1023" s="14" t="str">
        <f>SUM(N913:O913)</f>
        <v>0</v>
      </c>
      <c r="M1023" s="14" t="str">
        <f>MAX(J1023:L1023)</f>
        <v>0</v>
      </c>
      <c r="N1023" s="10" t="str">
        <f>IF(M1023=J1023,$J$1015,IF(M1023=K1023,$K$1015,IF(M1023=L1023,$L$1015,"ALGO ESTA MAL")))</f>
        <v>0</v>
      </c>
      <c r="O1023" s="10" t="str">
        <f>RANDBETWEEN(1,10)</f>
        <v>0</v>
      </c>
      <c r="P1023" s="10" t="str">
        <f>IF(O1023=$P$1100,$Q$1100,IF(O1023=$P$1101,$Q$1101,IF(O1023=$P$1102,$Q$1102,IF(O1023=$P$1103,$Q$1103,IF(O1023=$P$1104,$Q$1104,IF(O1023=$P$1105,$Q$1105,IF(O1023=$P$1106,$Q$1106,IF(O1023=$P$1107,$Q$1107,IF(O1023=$P$1108,$Q$1108,IF(O1023=$P$1109,$Q$1109,"algo esta mal"))))))))))</f>
        <v>0</v>
      </c>
      <c r="Q1023" s="10" t="str">
        <f>CONCATENATE("el ",ROUND(M1023*100,0),"% ",P1023," como ",N1023)</f>
        <v>0</v>
      </c>
    </row>
    <row r="1024" spans="1:33">
      <c r="I1024" s="10" t="str">
        <f>(J914)</f>
        <v>0</v>
      </c>
      <c r="J1024" s="14" t="str">
        <f>SUM(K914:L914)</f>
        <v>0</v>
      </c>
      <c r="K1024" s="14" t="str">
        <f>(M914)</f>
        <v>0</v>
      </c>
      <c r="L1024" s="14" t="str">
        <f>SUM(N914:O914)</f>
        <v>0</v>
      </c>
      <c r="M1024" s="14" t="str">
        <f>MAX(J1024:L1024)</f>
        <v>0</v>
      </c>
      <c r="N1024" s="10" t="str">
        <f>IF(M1024=J1024,$J$1015,IF(M1024=K1024,$K$1015,IF(M1024=L1024,$L$1015,"ALGO ESTA MAL")))</f>
        <v>0</v>
      </c>
      <c r="O1024" s="10" t="str">
        <f>RANDBETWEEN(1,10)</f>
        <v>0</v>
      </c>
      <c r="P1024" s="10" t="str">
        <f>IF(O1024=$P$1100,$Q$1100,IF(O1024=$P$1101,$Q$1101,IF(O1024=$P$1102,$Q$1102,IF(O1024=$P$1103,$Q$1103,IF(O1024=$P$1104,$Q$1104,IF(O1024=$P$1105,$Q$1105,IF(O1024=$P$1106,$Q$1106,IF(O1024=$P$1107,$Q$1107,IF(O1024=$P$1108,$Q$1108,IF(O1024=$P$1109,$Q$1109,"algo esta mal"))))))))))</f>
        <v>0</v>
      </c>
      <c r="Q1024" s="10" t="str">
        <f>CONCATENATE("el ",ROUND(M1024*100,0),"% ",P1024," como ",N1024)</f>
        <v>0</v>
      </c>
    </row>
    <row r="1025" spans="1:33">
      <c r="I1025" s="10" t="str">
        <f>(J915)</f>
        <v>0</v>
      </c>
      <c r="J1025" s="14" t="str">
        <f>SUM(K915:L915)</f>
        <v>0</v>
      </c>
      <c r="K1025" s="14" t="str">
        <f>(M915)</f>
        <v>0</v>
      </c>
      <c r="L1025" s="14" t="str">
        <f>SUM(N915:O915)</f>
        <v>0</v>
      </c>
      <c r="M1025" s="14" t="str">
        <f>MAX(J1025:L1025)</f>
        <v>0</v>
      </c>
      <c r="N1025" s="10" t="str">
        <f>IF(M1025=J1025,$J$1015,IF(M1025=K1025,$K$1015,IF(M1025=L1025,$L$1015,"ALGO ESTA MAL")))</f>
        <v>0</v>
      </c>
      <c r="O1025" s="10" t="str">
        <f>RANDBETWEEN(1,10)</f>
        <v>0</v>
      </c>
      <c r="P1025" s="10" t="str">
        <f>IF(O1025=$P$1100,$Q$1100,IF(O1025=$P$1101,$Q$1101,IF(O1025=$P$1102,$Q$1102,IF(O1025=$P$1103,$Q$1103,IF(O1025=$P$1104,$Q$1104,IF(O1025=$P$1105,$Q$1105,IF(O1025=$P$1106,$Q$1106,IF(O1025=$P$1107,$Q$1107,IF(O1025=$P$1108,$Q$1108,IF(O1025=$P$1109,$Q$1109,"algo esta mal"))))))))))</f>
        <v>0</v>
      </c>
      <c r="Q1025" s="10" t="str">
        <f>CONCATENATE("el ",ROUND(M1025*100,0),"% de los ",J902," ",P1025," como ",N1025)</f>
        <v>0</v>
      </c>
    </row>
    <row r="1026" spans="1:33">
      <c r="I1026" s="10" t="str">
        <f>(J916)</f>
        <v>0</v>
      </c>
      <c r="J1026" s="14" t="str">
        <f>SUM(K916:L916)</f>
        <v>0</v>
      </c>
      <c r="K1026" s="14" t="str">
        <f>(M916)</f>
        <v>0</v>
      </c>
      <c r="L1026" s="14" t="str">
        <f>SUM(N916:O916)</f>
        <v>0</v>
      </c>
      <c r="M1026" s="14" t="str">
        <f>MAX(J1026:L1026)</f>
        <v>0</v>
      </c>
      <c r="N1026" s="10" t="str">
        <f>IF(M1026=J1026,$J$1015,IF(M1026=K1026,$K$1015,IF(M1026=L1026,$L$1015,"ALGO ESTA MAL")))</f>
        <v>0</v>
      </c>
      <c r="O1026" s="10" t="str">
        <f>RANDBETWEEN(1,10)</f>
        <v>0</v>
      </c>
      <c r="P1026" s="10" t="str">
        <f>IF(O1026=$P$1100,$Q$1100,IF(O1026=$P$1101,$Q$1101,IF(O1026=$P$1102,$Q$1102,IF(O1026=$P$1103,$Q$1103,IF(O1026=$P$1104,$Q$1104,IF(O1026=$P$1105,$Q$1105,IF(O1026=$P$1106,$Q$1106,IF(O1026=$P$1107,$Q$1107,IF(O1026=$P$1108,$Q$1108,IF(O1026=$P$1109,$Q$1109,"algo esta mal"))))))))))</f>
        <v>0</v>
      </c>
      <c r="Q1026" s="10" t="str">
        <f>CONCATENATE("el ",ROUND(M1026*100,0),"% ",P1026," como ",N1026)</f>
        <v>0</v>
      </c>
    </row>
    <row r="1027" spans="1:33">
      <c r="I1027" s="10" t="str">
        <f>(J917)</f>
        <v>0</v>
      </c>
      <c r="J1027" s="14" t="str">
        <f>SUM(K917:L917)</f>
        <v>0</v>
      </c>
      <c r="K1027" s="14" t="str">
        <f>(M917)</f>
        <v>0</v>
      </c>
      <c r="L1027" s="14" t="str">
        <f>SUM(N917:O917)</f>
        <v>0</v>
      </c>
      <c r="M1027" s="14" t="str">
        <f>MAX(J1027:L1027)</f>
        <v>0</v>
      </c>
      <c r="N1027" s="10" t="str">
        <f>IF(M1027=J1027,$J$1015,IF(M1027=K1027,$K$1015,IF(M1027=L1027,$L$1015,"ALGO ESTA MAL")))</f>
        <v>0</v>
      </c>
      <c r="O1027" s="10" t="str">
        <f>RANDBETWEEN(1,10)</f>
        <v>0</v>
      </c>
      <c r="P1027" s="10" t="str">
        <f>IF(O1027=$P$1100,$Q$1100,IF(O1027=$P$1101,$Q$1101,IF(O1027=$P$1102,$Q$1102,IF(O1027=$P$1103,$Q$1103,IF(O1027=$P$1104,$Q$1104,IF(O1027=$P$1105,$Q$1105,IF(O1027=$P$1106,$Q$1106,IF(O1027=$P$1107,$Q$1107,IF(O1027=$P$1108,$Q$1108,IF(O1027=$P$1109,$Q$1109,"algo esta mal"))))))))))</f>
        <v>0</v>
      </c>
      <c r="Q1027" s="10" t="str">
        <f>CONCATENATE("el ",ROUND(M1027*100,0),"% ",P1027," como ",N1027)</f>
        <v>0</v>
      </c>
    </row>
    <row r="1028" spans="1:33">
      <c r="I1028" s="10" t="str">
        <f>(J918)</f>
        <v>0</v>
      </c>
      <c r="J1028" s="14" t="str">
        <f>SUM(K918:L918)</f>
        <v>0</v>
      </c>
      <c r="K1028" s="14" t="str">
        <f>(M918)</f>
        <v>0</v>
      </c>
      <c r="L1028" s="14" t="str">
        <f>SUM(N918:O918)</f>
        <v>0</v>
      </c>
      <c r="M1028" s="14" t="str">
        <f>MAX(J1028:L1028)</f>
        <v>0</v>
      </c>
      <c r="N1028" s="10" t="str">
        <f>IF(M1028=J1028,$J$1015,IF(M1028=K1028,$K$1015,IF(M1028=L1028,$L$1015,"ALGO ESTA MAL")))</f>
        <v>0</v>
      </c>
      <c r="O1028" s="10" t="str">
        <f>RANDBETWEEN(1,10)</f>
        <v>0</v>
      </c>
      <c r="P1028" s="10" t="str">
        <f>IF(O1028=$P$1100,$Q$1100,IF(O1028=$P$1101,$Q$1101,IF(O1028=$P$1102,$Q$1102,IF(O1028=$P$1103,$Q$1103,IF(O1028=$P$1104,$Q$1104,IF(O1028=$P$1105,$Q$1105,IF(O1028=$P$1106,$Q$1106,IF(O1028=$P$1107,$Q$1107,IF(O1028=$P$1108,$Q$1108,IF(O1028=$P$1109,$Q$1109,"algo esta mal"))))))))))</f>
        <v>0</v>
      </c>
      <c r="Q1028" s="10" t="str">
        <f>CONCATENATE("el ",ROUND(M1028*100,0),"% de los ",J902," ",P1028," como ",N1028)</f>
        <v>0</v>
      </c>
    </row>
    <row r="1029" spans="1:33">
      <c r="I1029" s="10" t="str">
        <f>(J919)</f>
        <v>0</v>
      </c>
      <c r="J1029" s="14" t="str">
        <f>SUM(K919:L919)</f>
        <v>0</v>
      </c>
      <c r="K1029" s="14" t="str">
        <f>(M919)</f>
        <v>0</v>
      </c>
      <c r="L1029" s="14" t="str">
        <f>SUM(N919:O919)</f>
        <v>0</v>
      </c>
      <c r="M1029" s="14" t="str">
        <f>MAX(J1029:L1029)</f>
        <v>0</v>
      </c>
      <c r="N1029" s="10" t="str">
        <f>IF(M1029=J1029,$J$1015,IF(M1029=K1029,$K$1015,IF(M1029=L1029,$L$1015,"ALGO ESTA MAL")))</f>
        <v>0</v>
      </c>
      <c r="O1029" s="10" t="str">
        <f>RANDBETWEEN(1,10)</f>
        <v>0</v>
      </c>
      <c r="P1029" s="10" t="str">
        <f>IF(O1029=$P$1100,$Q$1100,IF(O1029=$P$1101,$Q$1101,IF(O1029=$P$1102,$Q$1102,IF(O1029=$P$1103,$Q$1103,IF(O1029=$P$1104,$Q$1104,IF(O1029=$P$1105,$Q$1105,IF(O1029=$P$1106,$Q$1106,IF(O1029=$P$1107,$Q$1107,IF(O1029=$P$1108,$Q$1108,IF(O1029=$P$1109,$Q$1109,"algo esta mal"))))))))))</f>
        <v>0</v>
      </c>
      <c r="Q1029" s="10" t="str">
        <f>CONCATENATE("el ",ROUND(M1029*100,0),"% ",P1029," como ",N1029)</f>
        <v>0</v>
      </c>
    </row>
    <row r="1030" spans="1:33">
      <c r="I1030" s="10" t="str">
        <f>(J920)</f>
        <v>0</v>
      </c>
      <c r="J1030" s="14" t="str">
        <f>SUM(K920:L920)</f>
        <v>0</v>
      </c>
      <c r="K1030" s="14" t="str">
        <f>(M920)</f>
        <v>0</v>
      </c>
      <c r="L1030" s="14" t="str">
        <f>SUM(N920:O920)</f>
        <v>0</v>
      </c>
      <c r="M1030" s="14" t="str">
        <f>MAX(J1030:L1030)</f>
        <v>0</v>
      </c>
      <c r="N1030" s="10" t="str">
        <f>IF(M1030=J1030,$J$1015,IF(M1030=K1030,$K$1015,IF(M1030=L1030,$L$1015,"ALGO ESTA MAL")))</f>
        <v>0</v>
      </c>
      <c r="O1030" s="10" t="str">
        <f>RANDBETWEEN(1,10)</f>
        <v>0</v>
      </c>
      <c r="P1030" s="10" t="str">
        <f>IF(O1030=$P$1100,$Q$1100,IF(O1030=$P$1101,$Q$1101,IF(O1030=$P$1102,$Q$1102,IF(O1030=$P$1103,$Q$1103,IF(O1030=$P$1104,$Q$1104,IF(O1030=$P$1105,$Q$1105,IF(O1030=$P$1106,$Q$1106,IF(O1030=$P$1107,$Q$1107,IF(O1030=$P$1108,$Q$1108,IF(O1030=$P$1109,$Q$1109,"algo esta mal"))))))))))</f>
        <v>0</v>
      </c>
      <c r="Q1030" s="10" t="str">
        <f>CONCATENATE("el ",ROUND(M1030*100,0),"% ",P1030," como ",N1030)</f>
        <v>0</v>
      </c>
    </row>
    <row r="1031" spans="1:33">
      <c r="I1031" s="10" t="str">
        <f>(J921)</f>
        <v>0</v>
      </c>
      <c r="J1031" s="14" t="str">
        <f>SUM(K921:L921)</f>
        <v>0</v>
      </c>
      <c r="K1031" s="14" t="str">
        <f>(M921)</f>
        <v>0</v>
      </c>
      <c r="L1031" s="14" t="str">
        <f>SUM(N921:O921)</f>
        <v>0</v>
      </c>
      <c r="M1031" s="14" t="str">
        <f>MAX(J1031:L1031)</f>
        <v>0</v>
      </c>
      <c r="N1031" s="10" t="str">
        <f>IF(M1031=J1031,$J$1015,IF(M1031=K1031,$K$1015,IF(M1031=L1031,$L$1015,"ALGO ESTA MAL")))</f>
        <v>0</v>
      </c>
      <c r="O1031" s="10" t="str">
        <f>RANDBETWEEN(1,10)</f>
        <v>0</v>
      </c>
      <c r="P1031" s="10" t="str">
        <f>IF(O1031=$P$1100,$Q$1100,IF(O1031=$P$1101,$Q$1101,IF(O1031=$P$1102,$Q$1102,IF(O1031=$P$1103,$Q$1103,IF(O1031=$P$1104,$Q$1104,IF(O1031=$P$1105,$Q$1105,IF(O1031=$P$1106,$Q$1106,IF(O1031=$P$1107,$Q$1107,IF(O1031=$P$1108,$Q$1108,IF(O1031=$P$1109,$Q$1109,"algo esta mal"))))))))))</f>
        <v>0</v>
      </c>
      <c r="Q1031" s="10" t="str">
        <f>CONCATENATE("el ",ROUND(M1031*100,0),"% de los ",J902," ",P1031," como ",N1031)</f>
        <v>0</v>
      </c>
    </row>
    <row r="1032" spans="1:33">
      <c r="I1032" s="10" t="str">
        <f>(J922)</f>
        <v>0</v>
      </c>
      <c r="J1032" s="14" t="str">
        <f>SUM(K922:L922)</f>
        <v>0</v>
      </c>
      <c r="K1032" s="14" t="str">
        <f>(M922)</f>
        <v>0</v>
      </c>
      <c r="L1032" s="14" t="str">
        <f>SUM(N922:O922)</f>
        <v>0</v>
      </c>
      <c r="M1032" s="14" t="str">
        <f>MAX(J1032:L1032)</f>
        <v>0</v>
      </c>
      <c r="N1032" s="10" t="str">
        <f>IF(M1032=J1032,$J$1015,IF(M1032=K1032,$K$1015,IF(M1032=L1032,$L$1015,"ALGO ESTA MAL")))</f>
        <v>0</v>
      </c>
      <c r="O1032" s="10" t="str">
        <f>RANDBETWEEN(1,10)</f>
        <v>0</v>
      </c>
      <c r="P1032" s="10" t="str">
        <f>IF(O1032=$P$1100,$Q$1100,IF(O1032=$P$1101,$Q$1101,IF(O1032=$P$1102,$Q$1102,IF(O1032=$P$1103,$Q$1103,IF(O1032=$P$1104,$Q$1104,IF(O1032=$P$1105,$Q$1105,IF(O1032=$P$1106,$Q$1106,IF(O1032=$P$1107,$Q$1107,IF(O1032=$P$1108,$Q$1108,IF(O1032=$P$1109,$Q$1109,"algo esta mal"))))))))))</f>
        <v>0</v>
      </c>
      <c r="Q1032" s="10" t="str">
        <f>CONCATENATE("el ",ROUND(M1032*100,0),"% ",P1032," como ",N1032)</f>
        <v>0</v>
      </c>
    </row>
    <row r="1033" spans="1:33">
      <c r="I1033" s="10" t="str">
        <f>(J923)</f>
        <v>0</v>
      </c>
      <c r="J1033" s="14" t="str">
        <f>SUM(K923:L923)</f>
        <v>0</v>
      </c>
      <c r="K1033" s="14" t="str">
        <f>(M923)</f>
        <v>0</v>
      </c>
      <c r="L1033" s="14" t="str">
        <f>SUM(N923:O923)</f>
        <v>0</v>
      </c>
      <c r="M1033" s="14" t="str">
        <f>MAX(J1033:L1033)</f>
        <v>0</v>
      </c>
      <c r="N1033" s="10" t="str">
        <f>IF(M1033=J1033,$J$1015,IF(M1033=K1033,$K$1015,IF(M1033=L1033,$L$1015,"ALGO ESTA MAL")))</f>
        <v>0</v>
      </c>
      <c r="O1033" s="10" t="str">
        <f>RANDBETWEEN(1,10)</f>
        <v>0</v>
      </c>
      <c r="P1033" s="10" t="str">
        <f>IF(O1033=$P$1100,$Q$1100,IF(O1033=$P$1101,$Q$1101,IF(O1033=$P$1102,$Q$1102,IF(O1033=$P$1103,$Q$1103,IF(O1033=$P$1104,$Q$1104,IF(O1033=$P$1105,$Q$1105,IF(O1033=$P$1106,$Q$1106,IF(O1033=$P$1107,$Q$1107,IF(O1033=$P$1108,$Q$1108,IF(O1033=$P$1109,$Q$1109,"algo esta mal"))))))))))</f>
        <v>0</v>
      </c>
      <c r="Q1033" s="10" t="str">
        <f>CONCATENATE("el ",ROUND(M1033*100,0),"% ",P1033," como ",N1033)</f>
        <v>0</v>
      </c>
    </row>
    <row r="1034" spans="1:33">
      <c r="I1034" s="10" t="str">
        <f>(J924)</f>
        <v>0</v>
      </c>
      <c r="J1034" s="14" t="str">
        <f>SUM(K924:L924)</f>
        <v>0</v>
      </c>
      <c r="K1034" s="14" t="str">
        <f>(M924)</f>
        <v>0</v>
      </c>
      <c r="L1034" s="14" t="str">
        <f>SUM(N924:O924)</f>
        <v>0</v>
      </c>
      <c r="M1034" s="14" t="str">
        <f>MAX(J1034:L1034)</f>
        <v>0</v>
      </c>
      <c r="N1034" s="10" t="str">
        <f>IF(M1034=J1034,$J$1015,IF(M1034=K1034,$K$1015,IF(M1034=L1034,$L$1015,"ALGO ESTA MAL")))</f>
        <v>0</v>
      </c>
      <c r="O1034" s="10" t="str">
        <f>RANDBETWEEN(1,10)</f>
        <v>0</v>
      </c>
      <c r="P1034" s="10" t="str">
        <f>IF(O1034=$P$1100,$Q$1100,IF(O1034=$P$1101,$Q$1101,IF(O1034=$P$1102,$Q$1102,IF(O1034=$P$1103,$Q$1103,IF(O1034=$P$1104,$Q$1104,IF(O1034=$P$1105,$Q$1105,IF(O1034=$P$1106,$Q$1106,IF(O1034=$P$1107,$Q$1107,IF(O1034=$P$1108,$Q$1108,IF(O1034=$P$1109,$Q$1109,"algo esta mal"))))))))))</f>
        <v>0</v>
      </c>
      <c r="Q1034" s="10" t="str">
        <f>CONCATENATE("el ",ROUND(M1034*100,0),"% de los ",J902," ",P1034," como ",N1034)</f>
        <v>0</v>
      </c>
    </row>
    <row r="1035" spans="1:33">
      <c r="I1035" s="10" t="str">
        <f>(J925)</f>
        <v>0</v>
      </c>
      <c r="J1035" s="14" t="str">
        <f>SUM(K925:L925)</f>
        <v>0</v>
      </c>
      <c r="K1035" s="14" t="str">
        <f>(M925)</f>
        <v>0</v>
      </c>
      <c r="L1035" s="14" t="str">
        <f>SUM(N925:O925)</f>
        <v>0</v>
      </c>
      <c r="M1035" s="14" t="str">
        <f>MAX(J1035:L1035)</f>
        <v>0</v>
      </c>
      <c r="N1035" s="10" t="str">
        <f>IF(M1035=J1035,$J$1015,IF(M1035=K1035,$K$1015,IF(M1035=L1035,$L$1015,"ALGO ESTA MAL")))</f>
        <v>0</v>
      </c>
      <c r="O1035" s="10" t="str">
        <f>RANDBETWEEN(1,10)</f>
        <v>0</v>
      </c>
      <c r="P1035" s="10" t="str">
        <f>IF(O1035=$P$1100,$Q$1100,IF(O1035=$P$1101,$Q$1101,IF(O1035=$P$1102,$Q$1102,IF(O1035=$P$1103,$Q$1103,IF(O1035=$P$1104,$Q$1104,IF(O1035=$P$1105,$Q$1105,IF(O1035=$P$1106,$Q$1106,IF(O1035=$P$1107,$Q$1107,IF(O1035=$P$1108,$Q$1108,IF(O1035=$P$1109,$Q$1109,"algo esta mal"))))))))))</f>
        <v>0</v>
      </c>
      <c r="Q1035" s="10" t="str">
        <f>CONCATENATE("el ",ROUND(M1035*100,0),"% ",P1035," como ",N1035)</f>
        <v>0</v>
      </c>
    </row>
    <row r="1100" spans="1:33">
      <c r="P1100" s="10">
        <v>1</v>
      </c>
      <c r="Q1100" s="10" t="s">
        <v>96</v>
      </c>
      <c r="AB1100" s="10">
        <v>1</v>
      </c>
      <c r="AC1100" s="10" t="s">
        <v>96</v>
      </c>
    </row>
    <row r="1101" spans="1:33">
      <c r="P1101" s="10">
        <v>2</v>
      </c>
      <c r="Q1101" s="10" t="s">
        <v>97</v>
      </c>
      <c r="AB1101" s="10">
        <v>2</v>
      </c>
      <c r="AC1101" s="10" t="s">
        <v>97</v>
      </c>
    </row>
    <row r="1102" spans="1:33">
      <c r="P1102" s="10">
        <v>3</v>
      </c>
      <c r="Q1102" s="10" t="s">
        <v>98</v>
      </c>
      <c r="AB1102" s="10">
        <v>3</v>
      </c>
      <c r="AC1102" s="10" t="s">
        <v>98</v>
      </c>
    </row>
    <row r="1103" spans="1:33">
      <c r="P1103" s="10">
        <v>4</v>
      </c>
      <c r="Q1103" s="10" t="s">
        <v>99</v>
      </c>
      <c r="AB1103" s="10">
        <v>4</v>
      </c>
      <c r="AC1103" s="10" t="s">
        <v>99</v>
      </c>
    </row>
    <row r="1104" spans="1:33">
      <c r="P1104" s="10">
        <v>5</v>
      </c>
      <c r="Q1104" s="10" t="s">
        <v>100</v>
      </c>
      <c r="AB1104" s="10">
        <v>5</v>
      </c>
      <c r="AC1104" s="10" t="s">
        <v>100</v>
      </c>
    </row>
    <row r="1105" spans="1:33">
      <c r="P1105" s="10">
        <v>6</v>
      </c>
      <c r="Q1105" s="10" t="s">
        <v>101</v>
      </c>
      <c r="AB1105" s="10">
        <v>6</v>
      </c>
      <c r="AC1105" s="10" t="s">
        <v>101</v>
      </c>
    </row>
    <row r="1106" spans="1:33">
      <c r="P1106" s="10">
        <v>7</v>
      </c>
      <c r="Q1106" s="10" t="s">
        <v>102</v>
      </c>
      <c r="AB1106" s="10">
        <v>7</v>
      </c>
      <c r="AC1106" s="10" t="s">
        <v>102</v>
      </c>
    </row>
    <row r="1107" spans="1:33">
      <c r="P1107" s="10">
        <v>8</v>
      </c>
      <c r="Q1107" s="10" t="s">
        <v>103</v>
      </c>
      <c r="AB1107" s="10">
        <v>8</v>
      </c>
      <c r="AC1107" s="10" t="s">
        <v>103</v>
      </c>
    </row>
    <row r="1108" spans="1:33">
      <c r="P1108" s="10">
        <v>9</v>
      </c>
      <c r="Q1108" s="10" t="s">
        <v>104</v>
      </c>
      <c r="AB1108" s="10">
        <v>9</v>
      </c>
      <c r="AC1108" s="10" t="s">
        <v>104</v>
      </c>
    </row>
    <row r="1109" spans="1:33">
      <c r="P1109" s="10">
        <v>10</v>
      </c>
      <c r="Q1109" s="10" t="s">
        <v>105</v>
      </c>
      <c r="AB1109" s="10">
        <v>10</v>
      </c>
      <c r="AC1109" s="10" t="s">
        <v>105</v>
      </c>
    </row>
    <row r="1110" spans="1:33">
      <c r="AB1110" s="10">
        <v>1</v>
      </c>
      <c r="AC1110" s="10" t="s">
        <v>106</v>
      </c>
    </row>
    <row r="1111" spans="1:33">
      <c r="AB1111" s="10">
        <v>2</v>
      </c>
      <c r="AC1111" s="10" t="s">
        <v>107</v>
      </c>
    </row>
    <row r="1112" spans="1:33">
      <c r="AB1112" s="10">
        <v>3</v>
      </c>
      <c r="AC1112" s="10" t="s">
        <v>108</v>
      </c>
    </row>
    <row r="1113" spans="1:33">
      <c r="AB1113" s="10">
        <v>4</v>
      </c>
      <c r="AC1113" s="10" t="s">
        <v>109</v>
      </c>
    </row>
    <row r="1114" spans="1:33">
      <c r="AB1114" s="10">
        <v>5</v>
      </c>
      <c r="AC1114" s="10" t="s">
        <v>110</v>
      </c>
    </row>
    <row r="1115" spans="1:33">
      <c r="AB1115" s="10">
        <v>6</v>
      </c>
      <c r="AC1115" s="10" t="s">
        <v>111</v>
      </c>
    </row>
    <row r="1116" spans="1:33">
      <c r="AB1116" s="10">
        <v>7</v>
      </c>
      <c r="AC1116" s="10" t="s">
        <v>112</v>
      </c>
    </row>
    <row r="1120" spans="1:33">
      <c r="AB1120" s="10">
        <v>1</v>
      </c>
      <c r="AC1120" s="10" t="str">
        <f>(V902)</f>
        <v>0</v>
      </c>
    </row>
    <row r="1121" spans="1:33">
      <c r="AB1121" s="10">
        <v>2</v>
      </c>
      <c r="AC1121" s="10" t="s">
        <v>113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3"/>
    <mergeCell ref="B2:C2"/>
    <mergeCell ref="B3:B3"/>
    <mergeCell ref="C3:C3"/>
    <mergeCell ref="D2:E2"/>
    <mergeCell ref="D3:D3"/>
    <mergeCell ref="E3:E3"/>
    <mergeCell ref="K17:K18"/>
    <mergeCell ref="L17:M17"/>
    <mergeCell ref="N17:N18"/>
    <mergeCell ref="O17:O18"/>
    <mergeCell ref="I47:N53"/>
    <mergeCell ref="W17:W18"/>
    <mergeCell ref="X17:Y17"/>
    <mergeCell ref="Z17:Z18"/>
    <mergeCell ref="AA17:AA18"/>
    <mergeCell ref="U47:Z5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FW1062"/>
  <sheetViews>
    <sheetView tabSelected="0" workbookViewId="0" showGridLines="true" showRowColHeaders="1">
      <selection activeCell="FS35" sqref="FS35"/>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 min="22" max="22" width="26" customWidth="true" style="0"/>
    <col min="23" max="23" width="26" customWidth="true" style="0"/>
    <col min="24" max="24" width="26" customWidth="true" style="0"/>
    <col min="31" max="31" width="26" customWidth="true" style="0"/>
    <col min="32" max="32" width="26" customWidth="true" style="0"/>
    <col min="33" max="33" width="26" customWidth="true" style="0"/>
    <col min="40" max="40" width="26" customWidth="true" style="0"/>
    <col min="41" max="41" width="26" customWidth="true" style="0"/>
    <col min="42" max="42" width="26" customWidth="true" style="0"/>
    <col min="49" max="49" width="26" customWidth="true" style="0"/>
    <col min="50" max="50" width="26" customWidth="true" style="0"/>
    <col min="51" max="51" width="26" customWidth="true" style="0"/>
    <col min="58" max="58" width="26" customWidth="true" style="0"/>
    <col min="59" max="59" width="26" customWidth="true" style="0"/>
    <col min="60" max="60" width="26" customWidth="true" style="0"/>
    <col min="67" max="67" width="26" customWidth="true" style="0"/>
    <col min="68" max="68" width="26" customWidth="true" style="0"/>
    <col min="69" max="69" width="26" customWidth="true" style="0"/>
    <col min="76" max="76" width="26" customWidth="true" style="0"/>
    <col min="77" max="77" width="26" customWidth="true" style="0"/>
    <col min="78" max="78" width="26" customWidth="true" style="0"/>
    <col min="85" max="85" width="26" customWidth="true" style="0"/>
    <col min="86" max="86" width="26" customWidth="true" style="0"/>
    <col min="87" max="87" width="26" customWidth="true" style="0"/>
    <col min="94" max="94" width="26" customWidth="true" style="0"/>
    <col min="95" max="95" width="26" customWidth="true" style="0"/>
    <col min="96" max="96" width="26" customWidth="true" style="0"/>
    <col min="103" max="103" width="26" customWidth="true" style="0"/>
    <col min="104" max="104" width="26" customWidth="true" style="0"/>
    <col min="105" max="105" width="26" customWidth="true" style="0"/>
    <col min="112" max="112" width="26" customWidth="true" style="0"/>
    <col min="113" max="113" width="26" customWidth="true" style="0"/>
    <col min="114" max="114" width="26" customWidth="true" style="0"/>
    <col min="121" max="121" width="26" customWidth="true" style="0"/>
    <col min="122" max="122" width="26" customWidth="true" style="0"/>
    <col min="123" max="123" width="26" customWidth="true" style="0"/>
    <col min="130" max="130" width="26" customWidth="true" style="0"/>
    <col min="131" max="131" width="26" customWidth="true" style="0"/>
    <col min="132" max="132" width="26" customWidth="true" style="0"/>
    <col min="139" max="139" width="26" customWidth="true" style="0"/>
    <col min="140" max="140" width="26" customWidth="true" style="0"/>
    <col min="141" max="141" width="26" customWidth="true" style="0"/>
    <col min="148" max="148" width="26" customWidth="true" style="0"/>
    <col min="149" max="149" width="26" customWidth="true" style="0"/>
    <col min="150" max="150" width="26" customWidth="true" style="0"/>
    <col min="157" max="157" width="26" customWidth="true" style="0"/>
    <col min="158" max="158" width="26" customWidth="true" style="0"/>
    <col min="159" max="159" width="26" customWidth="true" style="0"/>
    <col min="166" max="166" width="26" customWidth="true" style="0"/>
    <col min="167" max="167" width="26" customWidth="true" style="0"/>
    <col min="168" max="168" width="26" customWidth="true" style="0"/>
    <col min="175" max="175" width="26" customWidth="true" style="0"/>
    <col min="176" max="176" width="26" customWidth="true" style="0"/>
    <col min="177" max="177" width="26" customWidth="true" style="0"/>
  </cols>
  <sheetData>
    <row r="3" spans="1:179">
      <c r="B3" s="11"/>
      <c r="C3" s="11"/>
      <c r="D3" s="11"/>
      <c r="E3" s="11"/>
      <c r="F3" s="11"/>
      <c r="G3" s="11"/>
      <c r="H3" s="11"/>
      <c r="K3" s="11"/>
      <c r="L3" s="11"/>
      <c r="M3" s="11"/>
      <c r="N3" s="11"/>
      <c r="O3" s="11"/>
      <c r="P3" s="11"/>
      <c r="Q3" s="11"/>
      <c r="T3" s="11"/>
      <c r="U3" s="11"/>
      <c r="V3" s="11"/>
      <c r="W3" s="11"/>
      <c r="X3" s="11"/>
      <c r="Y3" s="11"/>
      <c r="Z3" s="11"/>
      <c r="AC3" s="11"/>
      <c r="AD3" s="11"/>
      <c r="AE3" s="11"/>
      <c r="AF3" s="11"/>
      <c r="AG3" s="11"/>
      <c r="AH3" s="11"/>
      <c r="AI3" s="11"/>
      <c r="AL3" s="11"/>
      <c r="AM3" s="11"/>
      <c r="AN3" s="11"/>
      <c r="AO3" s="11"/>
      <c r="AP3" s="11"/>
      <c r="AQ3" s="11"/>
      <c r="AR3" s="11"/>
      <c r="AU3" s="11"/>
      <c r="AV3" s="11"/>
      <c r="AW3" s="11"/>
      <c r="AX3" s="11"/>
      <c r="AY3" s="11"/>
      <c r="AZ3" s="11"/>
      <c r="BA3" s="11"/>
      <c r="BD3" s="11"/>
      <c r="BE3" s="11"/>
      <c r="BF3" s="11"/>
      <c r="BG3" s="11"/>
      <c r="BH3" s="11"/>
      <c r="BI3" s="11"/>
      <c r="BJ3" s="11"/>
      <c r="BM3" s="11"/>
      <c r="BN3" s="11"/>
      <c r="BO3" s="11"/>
      <c r="BP3" s="11"/>
      <c r="BQ3" s="11"/>
      <c r="BR3" s="11"/>
      <c r="BS3" s="11"/>
      <c r="BV3" s="11"/>
      <c r="BW3" s="11"/>
      <c r="BX3" s="11"/>
      <c r="BY3" s="11"/>
      <c r="BZ3" s="11"/>
      <c r="CA3" s="11"/>
      <c r="CB3" s="11"/>
      <c r="CE3" s="11"/>
      <c r="CF3" s="11"/>
      <c r="CG3" s="11"/>
      <c r="CH3" s="11"/>
      <c r="CI3" s="11"/>
      <c r="CJ3" s="11"/>
      <c r="CK3" s="11"/>
      <c r="CN3" s="11"/>
      <c r="CO3" s="11"/>
      <c r="CP3" s="11"/>
      <c r="CQ3" s="11"/>
      <c r="CR3" s="11"/>
      <c r="CS3" s="11"/>
      <c r="CT3" s="11"/>
      <c r="CW3" s="11"/>
      <c r="CX3" s="11"/>
      <c r="CY3" s="11"/>
      <c r="CZ3" s="11"/>
      <c r="DA3" s="11"/>
      <c r="DB3" s="11"/>
      <c r="DC3" s="11"/>
      <c r="DF3" s="11"/>
      <c r="DG3" s="11"/>
      <c r="DH3" s="11"/>
      <c r="DI3" s="11"/>
      <c r="DJ3" s="11"/>
      <c r="DK3" s="11"/>
      <c r="DL3" s="11"/>
      <c r="DO3" s="11"/>
      <c r="DP3" s="11"/>
      <c r="DQ3" s="11"/>
      <c r="DR3" s="11"/>
      <c r="DS3" s="11"/>
      <c r="DT3" s="11"/>
      <c r="DU3" s="11"/>
      <c r="DX3" s="11"/>
      <c r="DY3" s="11"/>
      <c r="DZ3" s="11"/>
      <c r="EA3" s="11"/>
      <c r="EB3" s="11"/>
      <c r="EC3" s="11"/>
      <c r="ED3" s="11"/>
      <c r="EG3" s="11"/>
      <c r="EH3" s="11"/>
      <c r="EI3" s="11"/>
      <c r="EJ3" s="11"/>
      <c r="EK3" s="11"/>
      <c r="EL3" s="11"/>
      <c r="EM3" s="11"/>
      <c r="EP3" s="11"/>
      <c r="EQ3" s="11"/>
      <c r="ER3" s="11"/>
      <c r="ES3" s="11"/>
      <c r="ET3" s="11"/>
      <c r="EU3" s="11"/>
      <c r="EV3" s="11"/>
      <c r="EY3" s="11"/>
      <c r="EZ3" s="11"/>
      <c r="FA3" s="11"/>
      <c r="FB3" s="11"/>
      <c r="FC3" s="11"/>
      <c r="FD3" s="11"/>
      <c r="FE3" s="11"/>
      <c r="FH3" s="11"/>
      <c r="FI3" s="11"/>
      <c r="FJ3" s="11"/>
      <c r="FK3" s="11"/>
      <c r="FL3" s="11"/>
      <c r="FM3" s="11"/>
      <c r="FN3" s="11"/>
      <c r="FQ3" s="11"/>
      <c r="FR3" s="11"/>
      <c r="FS3" s="11"/>
      <c r="FT3" s="11"/>
      <c r="FU3" s="11"/>
      <c r="FV3" s="11"/>
      <c r="FW3" s="11"/>
    </row>
    <row r="4" spans="1:179">
      <c r="B4" s="11"/>
      <c r="D4" s="30" t="s">
        <v>114</v>
      </c>
      <c r="E4" s="29"/>
      <c r="F4" s="29"/>
      <c r="H4" s="11"/>
      <c r="K4" s="11"/>
      <c r="M4" s="30" t="s">
        <v>115</v>
      </c>
      <c r="N4" s="29"/>
      <c r="O4" s="29"/>
      <c r="Q4" s="11"/>
      <c r="T4" s="11"/>
      <c r="V4" s="30" t="s">
        <v>116</v>
      </c>
      <c r="W4" s="29"/>
      <c r="X4" s="29"/>
      <c r="Z4" s="11"/>
      <c r="AC4" s="11"/>
      <c r="AE4" s="30" t="s">
        <v>117</v>
      </c>
      <c r="AF4" s="29"/>
      <c r="AG4" s="29"/>
      <c r="AI4" s="11"/>
      <c r="AL4" s="11"/>
      <c r="AN4" s="30" t="s">
        <v>118</v>
      </c>
      <c r="AO4" s="29"/>
      <c r="AP4" s="29"/>
      <c r="AR4" s="11"/>
      <c r="AU4" s="11"/>
      <c r="AW4" s="30" t="s">
        <v>119</v>
      </c>
      <c r="AX4" s="29"/>
      <c r="AY4" s="29"/>
      <c r="BA4" s="11"/>
      <c r="BD4" s="11"/>
      <c r="BF4" s="30" t="s">
        <v>120</v>
      </c>
      <c r="BG4" s="29"/>
      <c r="BH4" s="29"/>
      <c r="BJ4" s="11"/>
      <c r="BM4" s="11"/>
      <c r="BO4" s="30" t="s">
        <v>121</v>
      </c>
      <c r="BP4" s="29"/>
      <c r="BQ4" s="29"/>
      <c r="BS4" s="11"/>
      <c r="BV4" s="11"/>
      <c r="BX4" s="30" t="s">
        <v>122</v>
      </c>
      <c r="BY4" s="29"/>
      <c r="BZ4" s="29"/>
      <c r="CB4" s="11"/>
      <c r="CE4" s="11"/>
      <c r="CG4" s="30" t="s">
        <v>123</v>
      </c>
      <c r="CH4" s="29"/>
      <c r="CI4" s="29"/>
      <c r="CK4" s="11"/>
      <c r="CN4" s="11"/>
      <c r="CP4" s="30" t="s">
        <v>124</v>
      </c>
      <c r="CQ4" s="29"/>
      <c r="CR4" s="29"/>
      <c r="CT4" s="11"/>
      <c r="CW4" s="11"/>
      <c r="CY4" s="30" t="s">
        <v>125</v>
      </c>
      <c r="CZ4" s="29"/>
      <c r="DA4" s="29"/>
      <c r="DC4" s="11"/>
      <c r="DF4" s="11"/>
      <c r="DH4" s="30" t="s">
        <v>126</v>
      </c>
      <c r="DI4" s="29"/>
      <c r="DJ4" s="29"/>
      <c r="DL4" s="11"/>
      <c r="DO4" s="11"/>
      <c r="DQ4" s="30" t="s">
        <v>127</v>
      </c>
      <c r="DR4" s="29"/>
      <c r="DS4" s="29"/>
      <c r="DU4" s="11"/>
      <c r="DX4" s="11"/>
      <c r="DZ4" s="30" t="s">
        <v>128</v>
      </c>
      <c r="EA4" s="29"/>
      <c r="EB4" s="29"/>
      <c r="ED4" s="11"/>
      <c r="EG4" s="11"/>
      <c r="EI4" s="30" t="s">
        <v>129</v>
      </c>
      <c r="EJ4" s="29"/>
      <c r="EK4" s="29"/>
      <c r="EM4" s="11"/>
      <c r="EP4" s="11"/>
      <c r="ER4" s="30" t="s">
        <v>130</v>
      </c>
      <c r="ES4" s="29"/>
      <c r="ET4" s="29"/>
      <c r="EV4" s="11"/>
      <c r="EY4" s="11"/>
      <c r="FA4" s="30" t="s">
        <v>131</v>
      </c>
      <c r="FB4" s="29"/>
      <c r="FC4" s="29"/>
      <c r="FE4" s="11"/>
      <c r="FH4" s="11"/>
      <c r="FJ4" s="30" t="s">
        <v>132</v>
      </c>
      <c r="FK4" s="29"/>
      <c r="FL4" s="29"/>
      <c r="FN4" s="11"/>
      <c r="FQ4" s="11"/>
      <c r="FS4" s="30" t="s">
        <v>133</v>
      </c>
      <c r="FT4" s="29"/>
      <c r="FU4" s="29"/>
      <c r="FW4" s="11"/>
    </row>
    <row r="5" spans="1:179">
      <c r="B5" s="11"/>
      <c r="D5" s="10" t="s">
        <v>66</v>
      </c>
      <c r="H5" s="11"/>
      <c r="K5" s="11"/>
      <c r="M5" s="10" t="s">
        <v>67</v>
      </c>
      <c r="Q5" s="11"/>
      <c r="T5" s="11"/>
      <c r="V5" s="10" t="s">
        <v>136</v>
      </c>
      <c r="Z5" s="11"/>
      <c r="AC5" s="11"/>
      <c r="AE5" s="10" t="s">
        <v>137</v>
      </c>
      <c r="AI5" s="11"/>
      <c r="AL5" s="11"/>
      <c r="AN5" s="10" t="s">
        <v>138</v>
      </c>
      <c r="AR5" s="11"/>
      <c r="AU5" s="11"/>
      <c r="AW5" s="10" t="s">
        <v>139</v>
      </c>
      <c r="BA5" s="11"/>
      <c r="BD5" s="11"/>
      <c r="BF5" s="10" t="s">
        <v>140</v>
      </c>
      <c r="BJ5" s="11"/>
      <c r="BM5" s="11"/>
      <c r="BO5" s="10" t="s">
        <v>141</v>
      </c>
      <c r="BS5" s="11"/>
      <c r="BV5" s="11"/>
      <c r="BX5" s="10" t="s">
        <v>142</v>
      </c>
      <c r="CB5" s="11"/>
      <c r="CE5" s="11"/>
      <c r="CG5" s="10" t="s">
        <v>143</v>
      </c>
      <c r="CK5" s="11"/>
      <c r="CN5" s="11"/>
      <c r="CP5" s="10" t="s">
        <v>144</v>
      </c>
      <c r="CT5" s="11"/>
      <c r="CW5" s="11"/>
      <c r="CY5" s="10" t="s">
        <v>145</v>
      </c>
      <c r="DC5" s="11"/>
      <c r="DF5" s="11"/>
      <c r="DH5" s="10" t="s">
        <v>146</v>
      </c>
      <c r="DL5" s="11"/>
      <c r="DO5" s="11"/>
      <c r="DQ5" s="10" t="s">
        <v>147</v>
      </c>
      <c r="DU5" s="11"/>
      <c r="DX5" s="11"/>
      <c r="DZ5" s="10" t="s">
        <v>148</v>
      </c>
      <c r="ED5" s="11"/>
      <c r="EG5" s="11"/>
      <c r="EI5" s="10" t="s">
        <v>149</v>
      </c>
      <c r="EM5" s="11"/>
      <c r="EP5" s="11"/>
      <c r="ER5" s="10" t="s">
        <v>150</v>
      </c>
      <c r="EV5" s="11"/>
      <c r="EY5" s="11"/>
      <c r="FA5" s="10" t="s">
        <v>151</v>
      </c>
      <c r="FE5" s="11"/>
      <c r="FH5" s="11"/>
      <c r="FJ5" s="10" t="s">
        <v>152</v>
      </c>
      <c r="FN5" s="11"/>
      <c r="FQ5" s="11"/>
      <c r="FS5" s="10" t="s">
        <v>153</v>
      </c>
      <c r="FW5" s="11"/>
    </row>
    <row r="6" spans="1:179">
      <c r="B6" s="11"/>
      <c r="D6" s="10"/>
      <c r="H6" s="11"/>
      <c r="K6" s="11"/>
      <c r="M6" s="10"/>
      <c r="Q6" s="11"/>
      <c r="T6" s="11"/>
      <c r="V6" s="10"/>
      <c r="Z6" s="11"/>
      <c r="AC6" s="11"/>
      <c r="AE6" s="10"/>
      <c r="AI6" s="11"/>
      <c r="AL6" s="11"/>
      <c r="AN6" s="10"/>
      <c r="AR6" s="11"/>
      <c r="AU6" s="11"/>
      <c r="AW6" s="10"/>
      <c r="BA6" s="11"/>
      <c r="BD6" s="11"/>
      <c r="BF6" s="10"/>
      <c r="BJ6" s="11"/>
      <c r="BM6" s="11"/>
      <c r="BO6" s="10"/>
      <c r="BS6" s="11"/>
      <c r="BV6" s="11"/>
      <c r="BX6" s="10"/>
      <c r="CB6" s="11"/>
      <c r="CE6" s="11"/>
      <c r="CG6" s="10"/>
      <c r="CK6" s="11"/>
      <c r="CN6" s="11"/>
      <c r="CP6" s="10"/>
      <c r="CT6" s="11"/>
      <c r="CW6" s="11"/>
      <c r="CY6" s="10"/>
      <c r="DC6" s="11"/>
      <c r="DF6" s="11"/>
      <c r="DH6" s="10"/>
      <c r="DL6" s="11"/>
      <c r="DO6" s="11"/>
      <c r="DQ6" s="10"/>
      <c r="DU6" s="11"/>
      <c r="DX6" s="11"/>
      <c r="DZ6" s="10"/>
      <c r="ED6" s="11"/>
      <c r="EG6" s="11"/>
      <c r="EI6" s="10"/>
      <c r="EM6" s="11"/>
      <c r="EP6" s="11"/>
      <c r="ER6" s="10"/>
      <c r="EV6" s="11"/>
      <c r="EY6" s="11"/>
      <c r="FA6" s="10"/>
      <c r="FE6" s="11"/>
      <c r="FH6" s="11"/>
      <c r="FJ6" s="10"/>
      <c r="FN6" s="11"/>
      <c r="FQ6" s="11"/>
      <c r="FS6" s="10"/>
      <c r="FW6" s="11"/>
    </row>
    <row r="7" spans="1:179">
      <c r="B7" s="11"/>
      <c r="D7" s="13"/>
      <c r="E7" s="19" t="s">
        <v>69</v>
      </c>
      <c r="F7" s="19" t="s">
        <v>70</v>
      </c>
      <c r="H7" s="11"/>
      <c r="K7" s="11"/>
      <c r="M7" s="13"/>
      <c r="N7" s="19" t="s">
        <v>69</v>
      </c>
      <c r="O7" s="19" t="s">
        <v>70</v>
      </c>
      <c r="Q7" s="11"/>
      <c r="T7" s="11"/>
      <c r="V7" s="13"/>
      <c r="W7" s="19" t="s">
        <v>69</v>
      </c>
      <c r="X7" s="19" t="s">
        <v>70</v>
      </c>
      <c r="Z7" s="11"/>
      <c r="AC7" s="11"/>
      <c r="AE7" s="13"/>
      <c r="AF7" s="19" t="s">
        <v>69</v>
      </c>
      <c r="AG7" s="19" t="s">
        <v>70</v>
      </c>
      <c r="AI7" s="11"/>
      <c r="AL7" s="11"/>
      <c r="AN7" s="13"/>
      <c r="AO7" s="19" t="s">
        <v>69</v>
      </c>
      <c r="AP7" s="19" t="s">
        <v>70</v>
      </c>
      <c r="AR7" s="11"/>
      <c r="AU7" s="11"/>
      <c r="AW7" s="13"/>
      <c r="AX7" s="19" t="s">
        <v>69</v>
      </c>
      <c r="AY7" s="19" t="s">
        <v>70</v>
      </c>
      <c r="BA7" s="11"/>
      <c r="BD7" s="11"/>
      <c r="BF7" s="13"/>
      <c r="BG7" s="19" t="s">
        <v>69</v>
      </c>
      <c r="BH7" s="19" t="s">
        <v>70</v>
      </c>
      <c r="BJ7" s="11"/>
      <c r="BM7" s="11"/>
      <c r="BO7" s="13"/>
      <c r="BP7" s="19" t="s">
        <v>69</v>
      </c>
      <c r="BQ7" s="19" t="s">
        <v>70</v>
      </c>
      <c r="BS7" s="11"/>
      <c r="BV7" s="11"/>
      <c r="BX7" s="13"/>
      <c r="BY7" s="19" t="s">
        <v>69</v>
      </c>
      <c r="BZ7" s="19" t="s">
        <v>70</v>
      </c>
      <c r="CB7" s="11"/>
      <c r="CE7" s="11"/>
      <c r="CG7" s="13"/>
      <c r="CH7" s="19" t="s">
        <v>69</v>
      </c>
      <c r="CI7" s="19" t="s">
        <v>70</v>
      </c>
      <c r="CK7" s="11"/>
      <c r="CN7" s="11"/>
      <c r="CP7" s="13"/>
      <c r="CQ7" s="19" t="s">
        <v>69</v>
      </c>
      <c r="CR7" s="19" t="s">
        <v>70</v>
      </c>
      <c r="CT7" s="11"/>
      <c r="CW7" s="11"/>
      <c r="CY7" s="13"/>
      <c r="CZ7" s="19" t="s">
        <v>69</v>
      </c>
      <c r="DA7" s="19" t="s">
        <v>70</v>
      </c>
      <c r="DC7" s="11"/>
      <c r="DF7" s="11"/>
      <c r="DH7" s="13"/>
      <c r="DI7" s="19" t="s">
        <v>69</v>
      </c>
      <c r="DJ7" s="19" t="s">
        <v>70</v>
      </c>
      <c r="DL7" s="11"/>
      <c r="DO7" s="11"/>
      <c r="DQ7" s="13"/>
      <c r="DR7" s="19" t="s">
        <v>69</v>
      </c>
      <c r="DS7" s="19" t="s">
        <v>70</v>
      </c>
      <c r="DU7" s="11"/>
      <c r="DX7" s="11"/>
      <c r="DZ7" s="13"/>
      <c r="EA7" s="19" t="s">
        <v>69</v>
      </c>
      <c r="EB7" s="19" t="s">
        <v>70</v>
      </c>
      <c r="ED7" s="11"/>
      <c r="EG7" s="11"/>
      <c r="EI7" s="13"/>
      <c r="EJ7" s="19" t="s">
        <v>69</v>
      </c>
      <c r="EK7" s="19" t="s">
        <v>70</v>
      </c>
      <c r="EM7" s="11"/>
      <c r="EP7" s="11"/>
      <c r="ER7" s="13"/>
      <c r="ES7" s="19" t="s">
        <v>69</v>
      </c>
      <c r="ET7" s="19" t="s">
        <v>70</v>
      </c>
      <c r="EV7" s="11"/>
      <c r="EY7" s="11"/>
      <c r="FA7" s="13"/>
      <c r="FB7" s="19" t="s">
        <v>69</v>
      </c>
      <c r="FC7" s="19" t="s">
        <v>70</v>
      </c>
      <c r="FE7" s="11"/>
      <c r="FH7" s="11"/>
      <c r="FJ7" s="13"/>
      <c r="FK7" s="19" t="s">
        <v>69</v>
      </c>
      <c r="FL7" s="19" t="s">
        <v>70</v>
      </c>
      <c r="FN7" s="11"/>
      <c r="FQ7" s="11"/>
      <c r="FS7" s="13"/>
      <c r="FT7" s="19" t="s">
        <v>69</v>
      </c>
      <c r="FU7" s="19" t="s">
        <v>70</v>
      </c>
      <c r="FW7" s="11"/>
    </row>
    <row r="8" spans="1:179">
      <c r="B8" s="11"/>
      <c r="D8" s="26" t="str">
        <f>('.'!A31)</f>
        <v>0</v>
      </c>
      <c r="E8" s="18" t="str">
        <f>('.'!B31)</f>
        <v>0</v>
      </c>
      <c r="F8" s="22" t="str">
        <f>('.'!B37)</f>
        <v>0</v>
      </c>
      <c r="H8" s="11"/>
      <c r="K8" s="11"/>
      <c r="M8" s="26" t="str">
        <f>('.'!A31)</f>
        <v>0</v>
      </c>
      <c r="N8" s="18" t="str">
        <f>('.'!C31)</f>
        <v>0</v>
      </c>
      <c r="O8" s="22" t="str">
        <f>('.'!C37)</f>
        <v>0</v>
      </c>
      <c r="Q8" s="11"/>
      <c r="T8" s="11"/>
      <c r="V8" s="26" t="str">
        <f>('.'!A31)</f>
        <v>0</v>
      </c>
      <c r="W8" s="18" t="str">
        <f>('.'!D31)</f>
        <v>0</v>
      </c>
      <c r="X8" s="22" t="str">
        <f>('.'!D37)</f>
        <v>0</v>
      </c>
      <c r="Z8" s="11"/>
      <c r="AC8" s="11"/>
      <c r="AE8" s="26" t="str">
        <f>('.'!A31)</f>
        <v>0</v>
      </c>
      <c r="AF8" s="18" t="str">
        <f>('.'!E31)</f>
        <v>0</v>
      </c>
      <c r="AG8" s="22" t="str">
        <f>('.'!E37)</f>
        <v>0</v>
      </c>
      <c r="AI8" s="11"/>
      <c r="AL8" s="11"/>
      <c r="AN8" s="26" t="str">
        <f>('.'!A31)</f>
        <v>0</v>
      </c>
      <c r="AO8" s="18" t="str">
        <f>('.'!F31)</f>
        <v>0</v>
      </c>
      <c r="AP8" s="22" t="str">
        <f>('.'!F37)</f>
        <v>0</v>
      </c>
      <c r="AR8" s="11"/>
      <c r="AU8" s="11"/>
      <c r="AW8" s="26" t="str">
        <f>('.'!A31)</f>
        <v>0</v>
      </c>
      <c r="AX8" s="18" t="str">
        <f>('.'!G31)</f>
        <v>0</v>
      </c>
      <c r="AY8" s="22" t="str">
        <f>('.'!G37)</f>
        <v>0</v>
      </c>
      <c r="BA8" s="11"/>
      <c r="BD8" s="11"/>
      <c r="BF8" s="26" t="str">
        <f>('.'!A31)</f>
        <v>0</v>
      </c>
      <c r="BG8" s="18" t="str">
        <f>('.'!H31)</f>
        <v>0</v>
      </c>
      <c r="BH8" s="22" t="str">
        <f>('.'!H37)</f>
        <v>0</v>
      </c>
      <c r="BJ8" s="11"/>
      <c r="BM8" s="11"/>
      <c r="BO8" s="26" t="str">
        <f>('.'!A31)</f>
        <v>0</v>
      </c>
      <c r="BP8" s="18" t="str">
        <f>('.'!I31)</f>
        <v>0</v>
      </c>
      <c r="BQ8" s="22" t="str">
        <f>('.'!I37)</f>
        <v>0</v>
      </c>
      <c r="BS8" s="11"/>
      <c r="BV8" s="11"/>
      <c r="BX8" s="26" t="str">
        <f>('.'!A31)</f>
        <v>0</v>
      </c>
      <c r="BY8" s="18" t="str">
        <f>('.'!J31)</f>
        <v>0</v>
      </c>
      <c r="BZ8" s="22" t="str">
        <f>('.'!J37)</f>
        <v>0</v>
      </c>
      <c r="CB8" s="11"/>
      <c r="CE8" s="11"/>
      <c r="CG8" s="26" t="str">
        <f>('.'!A31)</f>
        <v>0</v>
      </c>
      <c r="CH8" s="18" t="str">
        <f>('.'!K31)</f>
        <v>0</v>
      </c>
      <c r="CI8" s="22" t="str">
        <f>('.'!K37)</f>
        <v>0</v>
      </c>
      <c r="CK8" s="11"/>
      <c r="CN8" s="11"/>
      <c r="CP8" s="26" t="str">
        <f>('.'!A31)</f>
        <v>0</v>
      </c>
      <c r="CQ8" s="18" t="str">
        <f>('.'!L31)</f>
        <v>0</v>
      </c>
      <c r="CR8" s="22" t="str">
        <f>('.'!L37)</f>
        <v>0</v>
      </c>
      <c r="CT8" s="11"/>
      <c r="CW8" s="11"/>
      <c r="CY8" s="26" t="str">
        <f>('.'!A31)</f>
        <v>0</v>
      </c>
      <c r="CZ8" s="18" t="str">
        <f>('.'!M31)</f>
        <v>0</v>
      </c>
      <c r="DA8" s="22" t="str">
        <f>('.'!M37)</f>
        <v>0</v>
      </c>
      <c r="DC8" s="11"/>
      <c r="DF8" s="11"/>
      <c r="DH8" s="26" t="str">
        <f>('.'!A31)</f>
        <v>0</v>
      </c>
      <c r="DI8" s="18" t="str">
        <f>('.'!N31)</f>
        <v>0</v>
      </c>
      <c r="DJ8" s="22" t="str">
        <f>('.'!N37)</f>
        <v>0</v>
      </c>
      <c r="DL8" s="11"/>
      <c r="DO8" s="11"/>
      <c r="DQ8" s="26" t="str">
        <f>('.'!A31)</f>
        <v>0</v>
      </c>
      <c r="DR8" s="18" t="str">
        <f>('.'!O31)</f>
        <v>0</v>
      </c>
      <c r="DS8" s="22" t="str">
        <f>('.'!O37)</f>
        <v>0</v>
      </c>
      <c r="DU8" s="11"/>
      <c r="DX8" s="11"/>
      <c r="DZ8" s="26" t="str">
        <f>('.'!A31)</f>
        <v>0</v>
      </c>
      <c r="EA8" s="18" t="str">
        <f>('.'!P31)</f>
        <v>0</v>
      </c>
      <c r="EB8" s="22" t="str">
        <f>('.'!P37)</f>
        <v>0</v>
      </c>
      <c r="ED8" s="11"/>
      <c r="EG8" s="11"/>
      <c r="EI8" s="26" t="str">
        <f>('.'!A31)</f>
        <v>0</v>
      </c>
      <c r="EJ8" s="18" t="str">
        <f>('.'!Q31)</f>
        <v>0</v>
      </c>
      <c r="EK8" s="22" t="str">
        <f>('.'!Q37)</f>
        <v>0</v>
      </c>
      <c r="EM8" s="11"/>
      <c r="EP8" s="11"/>
      <c r="ER8" s="26" t="str">
        <f>('.'!A31)</f>
        <v>0</v>
      </c>
      <c r="ES8" s="18" t="str">
        <f>('.'!R31)</f>
        <v>0</v>
      </c>
      <c r="ET8" s="22" t="str">
        <f>('.'!R37)</f>
        <v>0</v>
      </c>
      <c r="EV8" s="11"/>
      <c r="EY8" s="11"/>
      <c r="FA8" s="26" t="str">
        <f>('.'!A31)</f>
        <v>0</v>
      </c>
      <c r="FB8" s="18" t="str">
        <f>('.'!S31)</f>
        <v>0</v>
      </c>
      <c r="FC8" s="22" t="str">
        <f>('.'!S37)</f>
        <v>0</v>
      </c>
      <c r="FE8" s="11"/>
      <c r="FH8" s="11"/>
      <c r="FJ8" s="26" t="str">
        <f>('.'!A31)</f>
        <v>0</v>
      </c>
      <c r="FK8" s="18" t="str">
        <f>('.'!T31)</f>
        <v>0</v>
      </c>
      <c r="FL8" s="22" t="str">
        <f>('.'!T37)</f>
        <v>0</v>
      </c>
      <c r="FN8" s="11"/>
      <c r="FQ8" s="11"/>
      <c r="FS8" s="26" t="str">
        <f>('.'!A31)</f>
        <v>0</v>
      </c>
      <c r="FT8" s="18" t="str">
        <f>('.'!U31)</f>
        <v>0</v>
      </c>
      <c r="FU8" s="22" t="str">
        <f>('.'!U37)</f>
        <v>0</v>
      </c>
      <c r="FW8" s="11"/>
    </row>
    <row r="9" spans="1:179">
      <c r="B9" s="11"/>
      <c r="D9" s="26" t="str">
        <f>('.'!A32)</f>
        <v>0</v>
      </c>
      <c r="E9" s="18" t="str">
        <f>('.'!B32)</f>
        <v>0</v>
      </c>
      <c r="F9" s="22" t="str">
        <f>('.'!B38)</f>
        <v>0</v>
      </c>
      <c r="H9" s="11"/>
      <c r="K9" s="11"/>
      <c r="M9" s="26" t="str">
        <f>('.'!A32)</f>
        <v>0</v>
      </c>
      <c r="N9" s="18" t="str">
        <f>('.'!C32)</f>
        <v>0</v>
      </c>
      <c r="O9" s="22" t="str">
        <f>('.'!C38)</f>
        <v>0</v>
      </c>
      <c r="Q9" s="11"/>
      <c r="T9" s="11"/>
      <c r="V9" s="26" t="str">
        <f>('.'!A32)</f>
        <v>0</v>
      </c>
      <c r="W9" s="18" t="str">
        <f>('.'!D32)</f>
        <v>0</v>
      </c>
      <c r="X9" s="22" t="str">
        <f>('.'!D38)</f>
        <v>0</v>
      </c>
      <c r="Z9" s="11"/>
      <c r="AC9" s="11"/>
      <c r="AE9" s="26" t="str">
        <f>('.'!A32)</f>
        <v>0</v>
      </c>
      <c r="AF9" s="18" t="str">
        <f>('.'!E32)</f>
        <v>0</v>
      </c>
      <c r="AG9" s="22" t="str">
        <f>('.'!E38)</f>
        <v>0</v>
      </c>
      <c r="AI9" s="11"/>
      <c r="AL9" s="11"/>
      <c r="AN9" s="26" t="str">
        <f>('.'!A32)</f>
        <v>0</v>
      </c>
      <c r="AO9" s="18" t="str">
        <f>('.'!F32)</f>
        <v>0</v>
      </c>
      <c r="AP9" s="22" t="str">
        <f>('.'!F38)</f>
        <v>0</v>
      </c>
      <c r="AR9" s="11"/>
      <c r="AU9" s="11"/>
      <c r="AW9" s="26" t="str">
        <f>('.'!A32)</f>
        <v>0</v>
      </c>
      <c r="AX9" s="18" t="str">
        <f>('.'!G32)</f>
        <v>0</v>
      </c>
      <c r="AY9" s="22" t="str">
        <f>('.'!G38)</f>
        <v>0</v>
      </c>
      <c r="BA9" s="11"/>
      <c r="BD9" s="11"/>
      <c r="BF9" s="26" t="str">
        <f>('.'!A32)</f>
        <v>0</v>
      </c>
      <c r="BG9" s="18" t="str">
        <f>('.'!H32)</f>
        <v>0</v>
      </c>
      <c r="BH9" s="22" t="str">
        <f>('.'!H38)</f>
        <v>0</v>
      </c>
      <c r="BJ9" s="11"/>
      <c r="BM9" s="11"/>
      <c r="BO9" s="26" t="str">
        <f>('.'!A32)</f>
        <v>0</v>
      </c>
      <c r="BP9" s="18" t="str">
        <f>('.'!I32)</f>
        <v>0</v>
      </c>
      <c r="BQ9" s="22" t="str">
        <f>('.'!I38)</f>
        <v>0</v>
      </c>
      <c r="BS9" s="11"/>
      <c r="BV9" s="11"/>
      <c r="BX9" s="26" t="str">
        <f>('.'!A32)</f>
        <v>0</v>
      </c>
      <c r="BY9" s="18" t="str">
        <f>('.'!J32)</f>
        <v>0</v>
      </c>
      <c r="BZ9" s="22" t="str">
        <f>('.'!J38)</f>
        <v>0</v>
      </c>
      <c r="CB9" s="11"/>
      <c r="CE9" s="11"/>
      <c r="CG9" s="26" t="str">
        <f>('.'!A32)</f>
        <v>0</v>
      </c>
      <c r="CH9" s="18" t="str">
        <f>('.'!K32)</f>
        <v>0</v>
      </c>
      <c r="CI9" s="22" t="str">
        <f>('.'!K38)</f>
        <v>0</v>
      </c>
      <c r="CK9" s="11"/>
      <c r="CN9" s="11"/>
      <c r="CP9" s="26" t="str">
        <f>('.'!A32)</f>
        <v>0</v>
      </c>
      <c r="CQ9" s="18" t="str">
        <f>('.'!L32)</f>
        <v>0</v>
      </c>
      <c r="CR9" s="22" t="str">
        <f>('.'!L38)</f>
        <v>0</v>
      </c>
      <c r="CT9" s="11"/>
      <c r="CW9" s="11"/>
      <c r="CY9" s="26" t="str">
        <f>('.'!A32)</f>
        <v>0</v>
      </c>
      <c r="CZ9" s="18" t="str">
        <f>('.'!M32)</f>
        <v>0</v>
      </c>
      <c r="DA9" s="22" t="str">
        <f>('.'!M38)</f>
        <v>0</v>
      </c>
      <c r="DC9" s="11"/>
      <c r="DF9" s="11"/>
      <c r="DH9" s="26" t="str">
        <f>('.'!A32)</f>
        <v>0</v>
      </c>
      <c r="DI9" s="18" t="str">
        <f>('.'!N32)</f>
        <v>0</v>
      </c>
      <c r="DJ9" s="22" t="str">
        <f>('.'!N38)</f>
        <v>0</v>
      </c>
      <c r="DL9" s="11"/>
      <c r="DO9" s="11"/>
      <c r="DQ9" s="26" t="str">
        <f>('.'!A32)</f>
        <v>0</v>
      </c>
      <c r="DR9" s="18" t="str">
        <f>('.'!O32)</f>
        <v>0</v>
      </c>
      <c r="DS9" s="22" t="str">
        <f>('.'!O38)</f>
        <v>0</v>
      </c>
      <c r="DU9" s="11"/>
      <c r="DX9" s="11"/>
      <c r="DZ9" s="26" t="str">
        <f>('.'!A32)</f>
        <v>0</v>
      </c>
      <c r="EA9" s="18" t="str">
        <f>('.'!P32)</f>
        <v>0</v>
      </c>
      <c r="EB9" s="22" t="str">
        <f>('.'!P38)</f>
        <v>0</v>
      </c>
      <c r="ED9" s="11"/>
      <c r="EG9" s="11"/>
      <c r="EI9" s="26" t="str">
        <f>('.'!A32)</f>
        <v>0</v>
      </c>
      <c r="EJ9" s="18" t="str">
        <f>('.'!Q32)</f>
        <v>0</v>
      </c>
      <c r="EK9" s="22" t="str">
        <f>('.'!Q38)</f>
        <v>0</v>
      </c>
      <c r="EM9" s="11"/>
      <c r="EP9" s="11"/>
      <c r="ER9" s="26" t="str">
        <f>('.'!A32)</f>
        <v>0</v>
      </c>
      <c r="ES9" s="18" t="str">
        <f>('.'!R32)</f>
        <v>0</v>
      </c>
      <c r="ET9" s="22" t="str">
        <f>('.'!R38)</f>
        <v>0</v>
      </c>
      <c r="EV9" s="11"/>
      <c r="EY9" s="11"/>
      <c r="FA9" s="26" t="str">
        <f>('.'!A32)</f>
        <v>0</v>
      </c>
      <c r="FB9" s="18" t="str">
        <f>('.'!S32)</f>
        <v>0</v>
      </c>
      <c r="FC9" s="22" t="str">
        <f>('.'!S38)</f>
        <v>0</v>
      </c>
      <c r="FE9" s="11"/>
      <c r="FH9" s="11"/>
      <c r="FJ9" s="26" t="str">
        <f>('.'!A32)</f>
        <v>0</v>
      </c>
      <c r="FK9" s="18" t="str">
        <f>('.'!T32)</f>
        <v>0</v>
      </c>
      <c r="FL9" s="22" t="str">
        <f>('.'!T38)</f>
        <v>0</v>
      </c>
      <c r="FN9" s="11"/>
      <c r="FQ9" s="11"/>
      <c r="FS9" s="26" t="str">
        <f>('.'!A32)</f>
        <v>0</v>
      </c>
      <c r="FT9" s="18" t="str">
        <f>('.'!U32)</f>
        <v>0</v>
      </c>
      <c r="FU9" s="22" t="str">
        <f>('.'!U38)</f>
        <v>0</v>
      </c>
      <c r="FW9" s="11"/>
    </row>
    <row r="10" spans="1:179">
      <c r="B10" s="11"/>
      <c r="D10" s="26" t="str">
        <f>('.'!A33)</f>
        <v>0</v>
      </c>
      <c r="E10" s="18" t="str">
        <f>('.'!B33)</f>
        <v>0</v>
      </c>
      <c r="F10" s="22" t="str">
        <f>('.'!B39)</f>
        <v>0</v>
      </c>
      <c r="H10" s="11"/>
      <c r="K10" s="11"/>
      <c r="M10" s="26" t="str">
        <f>('.'!A33)</f>
        <v>0</v>
      </c>
      <c r="N10" s="18" t="str">
        <f>('.'!C33)</f>
        <v>0</v>
      </c>
      <c r="O10" s="22" t="str">
        <f>('.'!C39)</f>
        <v>0</v>
      </c>
      <c r="Q10" s="11"/>
      <c r="T10" s="11"/>
      <c r="V10" s="26" t="str">
        <f>('.'!A33)</f>
        <v>0</v>
      </c>
      <c r="W10" s="18" t="str">
        <f>('.'!D33)</f>
        <v>0</v>
      </c>
      <c r="X10" s="22" t="str">
        <f>('.'!D39)</f>
        <v>0</v>
      </c>
      <c r="Z10" s="11"/>
      <c r="AC10" s="11"/>
      <c r="AE10" s="26" t="str">
        <f>('.'!A33)</f>
        <v>0</v>
      </c>
      <c r="AF10" s="18" t="str">
        <f>('.'!E33)</f>
        <v>0</v>
      </c>
      <c r="AG10" s="22" t="str">
        <f>('.'!E39)</f>
        <v>0</v>
      </c>
      <c r="AI10" s="11"/>
      <c r="AL10" s="11"/>
      <c r="AN10" s="26" t="str">
        <f>('.'!A33)</f>
        <v>0</v>
      </c>
      <c r="AO10" s="18" t="str">
        <f>('.'!F33)</f>
        <v>0</v>
      </c>
      <c r="AP10" s="22" t="str">
        <f>('.'!F39)</f>
        <v>0</v>
      </c>
      <c r="AR10" s="11"/>
      <c r="AU10" s="11"/>
      <c r="AW10" s="26" t="str">
        <f>('.'!A33)</f>
        <v>0</v>
      </c>
      <c r="AX10" s="18" t="str">
        <f>('.'!G33)</f>
        <v>0</v>
      </c>
      <c r="AY10" s="22" t="str">
        <f>('.'!G39)</f>
        <v>0</v>
      </c>
      <c r="BA10" s="11"/>
      <c r="BD10" s="11"/>
      <c r="BF10" s="26" t="str">
        <f>('.'!A33)</f>
        <v>0</v>
      </c>
      <c r="BG10" s="18" t="str">
        <f>('.'!H33)</f>
        <v>0</v>
      </c>
      <c r="BH10" s="22" t="str">
        <f>('.'!H39)</f>
        <v>0</v>
      </c>
      <c r="BJ10" s="11"/>
      <c r="BM10" s="11"/>
      <c r="BO10" s="26" t="str">
        <f>('.'!A33)</f>
        <v>0</v>
      </c>
      <c r="BP10" s="18" t="str">
        <f>('.'!I33)</f>
        <v>0</v>
      </c>
      <c r="BQ10" s="22" t="str">
        <f>('.'!I39)</f>
        <v>0</v>
      </c>
      <c r="BS10" s="11"/>
      <c r="BV10" s="11"/>
      <c r="BX10" s="26" t="str">
        <f>('.'!A33)</f>
        <v>0</v>
      </c>
      <c r="BY10" s="18" t="str">
        <f>('.'!J33)</f>
        <v>0</v>
      </c>
      <c r="BZ10" s="22" t="str">
        <f>('.'!J39)</f>
        <v>0</v>
      </c>
      <c r="CB10" s="11"/>
      <c r="CE10" s="11"/>
      <c r="CG10" s="26" t="str">
        <f>('.'!A33)</f>
        <v>0</v>
      </c>
      <c r="CH10" s="18" t="str">
        <f>('.'!K33)</f>
        <v>0</v>
      </c>
      <c r="CI10" s="22" t="str">
        <f>('.'!K39)</f>
        <v>0</v>
      </c>
      <c r="CK10" s="11"/>
      <c r="CN10" s="11"/>
      <c r="CP10" s="26" t="str">
        <f>('.'!A33)</f>
        <v>0</v>
      </c>
      <c r="CQ10" s="18" t="str">
        <f>('.'!L33)</f>
        <v>0</v>
      </c>
      <c r="CR10" s="22" t="str">
        <f>('.'!L39)</f>
        <v>0</v>
      </c>
      <c r="CT10" s="11"/>
      <c r="CW10" s="11"/>
      <c r="CY10" s="26" t="str">
        <f>('.'!A33)</f>
        <v>0</v>
      </c>
      <c r="CZ10" s="18" t="str">
        <f>('.'!M33)</f>
        <v>0</v>
      </c>
      <c r="DA10" s="22" t="str">
        <f>('.'!M39)</f>
        <v>0</v>
      </c>
      <c r="DC10" s="11"/>
      <c r="DF10" s="11"/>
      <c r="DH10" s="26" t="str">
        <f>('.'!A33)</f>
        <v>0</v>
      </c>
      <c r="DI10" s="18" t="str">
        <f>('.'!N33)</f>
        <v>0</v>
      </c>
      <c r="DJ10" s="22" t="str">
        <f>('.'!N39)</f>
        <v>0</v>
      </c>
      <c r="DL10" s="11"/>
      <c r="DO10" s="11"/>
      <c r="DQ10" s="26" t="str">
        <f>('.'!A33)</f>
        <v>0</v>
      </c>
      <c r="DR10" s="18" t="str">
        <f>('.'!O33)</f>
        <v>0</v>
      </c>
      <c r="DS10" s="22" t="str">
        <f>('.'!O39)</f>
        <v>0</v>
      </c>
      <c r="DU10" s="11"/>
      <c r="DX10" s="11"/>
      <c r="DZ10" s="26" t="str">
        <f>('.'!A33)</f>
        <v>0</v>
      </c>
      <c r="EA10" s="18" t="str">
        <f>('.'!P33)</f>
        <v>0</v>
      </c>
      <c r="EB10" s="22" t="str">
        <f>('.'!P39)</f>
        <v>0</v>
      </c>
      <c r="ED10" s="11"/>
      <c r="EG10" s="11"/>
      <c r="EI10" s="26" t="str">
        <f>('.'!A33)</f>
        <v>0</v>
      </c>
      <c r="EJ10" s="18" t="str">
        <f>('.'!Q33)</f>
        <v>0</v>
      </c>
      <c r="EK10" s="22" t="str">
        <f>('.'!Q39)</f>
        <v>0</v>
      </c>
      <c r="EM10" s="11"/>
      <c r="EP10" s="11"/>
      <c r="ER10" s="26" t="str">
        <f>('.'!A33)</f>
        <v>0</v>
      </c>
      <c r="ES10" s="18" t="str">
        <f>('.'!R33)</f>
        <v>0</v>
      </c>
      <c r="ET10" s="22" t="str">
        <f>('.'!R39)</f>
        <v>0</v>
      </c>
      <c r="EV10" s="11"/>
      <c r="EY10" s="11"/>
      <c r="FA10" s="26" t="str">
        <f>('.'!A33)</f>
        <v>0</v>
      </c>
      <c r="FB10" s="18" t="str">
        <f>('.'!S33)</f>
        <v>0</v>
      </c>
      <c r="FC10" s="22" t="str">
        <f>('.'!S39)</f>
        <v>0</v>
      </c>
      <c r="FE10" s="11"/>
      <c r="FH10" s="11"/>
      <c r="FJ10" s="26" t="str">
        <f>('.'!A33)</f>
        <v>0</v>
      </c>
      <c r="FK10" s="18" t="str">
        <f>('.'!T33)</f>
        <v>0</v>
      </c>
      <c r="FL10" s="22" t="str">
        <f>('.'!T39)</f>
        <v>0</v>
      </c>
      <c r="FN10" s="11"/>
      <c r="FQ10" s="11"/>
      <c r="FS10" s="26" t="str">
        <f>('.'!A33)</f>
        <v>0</v>
      </c>
      <c r="FT10" s="18" t="str">
        <f>('.'!U33)</f>
        <v>0</v>
      </c>
      <c r="FU10" s="22" t="str">
        <f>('.'!U39)</f>
        <v>0</v>
      </c>
      <c r="FW10" s="11"/>
    </row>
    <row r="11" spans="1:179">
      <c r="B11" s="11"/>
      <c r="D11" s="26" t="str">
        <f>('.'!A34)</f>
        <v>0</v>
      </c>
      <c r="E11" s="18" t="str">
        <f>('.'!B34)</f>
        <v>0</v>
      </c>
      <c r="F11" s="22" t="str">
        <f>('.'!B40)</f>
        <v>0</v>
      </c>
      <c r="H11" s="11"/>
      <c r="K11" s="11"/>
      <c r="M11" s="26" t="str">
        <f>('.'!A34)</f>
        <v>0</v>
      </c>
      <c r="N11" s="18" t="str">
        <f>('.'!C34)</f>
        <v>0</v>
      </c>
      <c r="O11" s="22" t="str">
        <f>('.'!C40)</f>
        <v>0</v>
      </c>
      <c r="Q11" s="11"/>
      <c r="T11" s="11"/>
      <c r="V11" s="26" t="str">
        <f>('.'!A34)</f>
        <v>0</v>
      </c>
      <c r="W11" s="18" t="str">
        <f>('.'!D34)</f>
        <v>0</v>
      </c>
      <c r="X11" s="22" t="str">
        <f>('.'!D40)</f>
        <v>0</v>
      </c>
      <c r="Z11" s="11"/>
      <c r="AC11" s="11"/>
      <c r="AE11" s="26" t="str">
        <f>('.'!A34)</f>
        <v>0</v>
      </c>
      <c r="AF11" s="18" t="str">
        <f>('.'!E34)</f>
        <v>0</v>
      </c>
      <c r="AG11" s="22" t="str">
        <f>('.'!E40)</f>
        <v>0</v>
      </c>
      <c r="AI11" s="11"/>
      <c r="AL11" s="11"/>
      <c r="AN11" s="26" t="str">
        <f>('.'!A34)</f>
        <v>0</v>
      </c>
      <c r="AO11" s="18" t="str">
        <f>('.'!F34)</f>
        <v>0</v>
      </c>
      <c r="AP11" s="22" t="str">
        <f>('.'!F40)</f>
        <v>0</v>
      </c>
      <c r="AR11" s="11"/>
      <c r="AU11" s="11"/>
      <c r="AW11" s="26" t="str">
        <f>('.'!A34)</f>
        <v>0</v>
      </c>
      <c r="AX11" s="18" t="str">
        <f>('.'!G34)</f>
        <v>0</v>
      </c>
      <c r="AY11" s="22" t="str">
        <f>('.'!G40)</f>
        <v>0</v>
      </c>
      <c r="BA11" s="11"/>
      <c r="BD11" s="11"/>
      <c r="BF11" s="26" t="str">
        <f>('.'!A34)</f>
        <v>0</v>
      </c>
      <c r="BG11" s="18" t="str">
        <f>('.'!H34)</f>
        <v>0</v>
      </c>
      <c r="BH11" s="22" t="str">
        <f>('.'!H40)</f>
        <v>0</v>
      </c>
      <c r="BJ11" s="11"/>
      <c r="BM11" s="11"/>
      <c r="BO11" s="26" t="str">
        <f>('.'!A34)</f>
        <v>0</v>
      </c>
      <c r="BP11" s="18" t="str">
        <f>('.'!I34)</f>
        <v>0</v>
      </c>
      <c r="BQ11" s="22" t="str">
        <f>('.'!I40)</f>
        <v>0</v>
      </c>
      <c r="BS11" s="11"/>
      <c r="BV11" s="11"/>
      <c r="BX11" s="26" t="str">
        <f>('.'!A34)</f>
        <v>0</v>
      </c>
      <c r="BY11" s="18" t="str">
        <f>('.'!J34)</f>
        <v>0</v>
      </c>
      <c r="BZ11" s="22" t="str">
        <f>('.'!J40)</f>
        <v>0</v>
      </c>
      <c r="CB11" s="11"/>
      <c r="CE11" s="11"/>
      <c r="CG11" s="26" t="str">
        <f>('.'!A34)</f>
        <v>0</v>
      </c>
      <c r="CH11" s="18" t="str">
        <f>('.'!K34)</f>
        <v>0</v>
      </c>
      <c r="CI11" s="22" t="str">
        <f>('.'!K40)</f>
        <v>0</v>
      </c>
      <c r="CK11" s="11"/>
      <c r="CN11" s="11"/>
      <c r="CP11" s="26" t="str">
        <f>('.'!A34)</f>
        <v>0</v>
      </c>
      <c r="CQ11" s="18" t="str">
        <f>('.'!L34)</f>
        <v>0</v>
      </c>
      <c r="CR11" s="22" t="str">
        <f>('.'!L40)</f>
        <v>0</v>
      </c>
      <c r="CT11" s="11"/>
      <c r="CW11" s="11"/>
      <c r="CY11" s="26" t="str">
        <f>('.'!A34)</f>
        <v>0</v>
      </c>
      <c r="CZ11" s="18" t="str">
        <f>('.'!M34)</f>
        <v>0</v>
      </c>
      <c r="DA11" s="22" t="str">
        <f>('.'!M40)</f>
        <v>0</v>
      </c>
      <c r="DC11" s="11"/>
      <c r="DF11" s="11"/>
      <c r="DH11" s="26" t="str">
        <f>('.'!A34)</f>
        <v>0</v>
      </c>
      <c r="DI11" s="18" t="str">
        <f>('.'!N34)</f>
        <v>0</v>
      </c>
      <c r="DJ11" s="22" t="str">
        <f>('.'!N40)</f>
        <v>0</v>
      </c>
      <c r="DL11" s="11"/>
      <c r="DO11" s="11"/>
      <c r="DQ11" s="26" t="str">
        <f>('.'!A34)</f>
        <v>0</v>
      </c>
      <c r="DR11" s="18" t="str">
        <f>('.'!O34)</f>
        <v>0</v>
      </c>
      <c r="DS11" s="22" t="str">
        <f>('.'!O40)</f>
        <v>0</v>
      </c>
      <c r="DU11" s="11"/>
      <c r="DX11" s="11"/>
      <c r="DZ11" s="26" t="str">
        <f>('.'!A34)</f>
        <v>0</v>
      </c>
      <c r="EA11" s="18" t="str">
        <f>('.'!P34)</f>
        <v>0</v>
      </c>
      <c r="EB11" s="22" t="str">
        <f>('.'!P40)</f>
        <v>0</v>
      </c>
      <c r="ED11" s="11"/>
      <c r="EG11" s="11"/>
      <c r="EI11" s="26" t="str">
        <f>('.'!A34)</f>
        <v>0</v>
      </c>
      <c r="EJ11" s="18" t="str">
        <f>('.'!Q34)</f>
        <v>0</v>
      </c>
      <c r="EK11" s="22" t="str">
        <f>('.'!Q40)</f>
        <v>0</v>
      </c>
      <c r="EM11" s="11"/>
      <c r="EP11" s="11"/>
      <c r="ER11" s="26" t="str">
        <f>('.'!A34)</f>
        <v>0</v>
      </c>
      <c r="ES11" s="18" t="str">
        <f>('.'!R34)</f>
        <v>0</v>
      </c>
      <c r="ET11" s="22" t="str">
        <f>('.'!R40)</f>
        <v>0</v>
      </c>
      <c r="EV11" s="11"/>
      <c r="EY11" s="11"/>
      <c r="FA11" s="26" t="str">
        <f>('.'!A34)</f>
        <v>0</v>
      </c>
      <c r="FB11" s="18" t="str">
        <f>('.'!S34)</f>
        <v>0</v>
      </c>
      <c r="FC11" s="22" t="str">
        <f>('.'!S40)</f>
        <v>0</v>
      </c>
      <c r="FE11" s="11"/>
      <c r="FH11" s="11"/>
      <c r="FJ11" s="26" t="str">
        <f>('.'!A34)</f>
        <v>0</v>
      </c>
      <c r="FK11" s="18" t="str">
        <f>('.'!T34)</f>
        <v>0</v>
      </c>
      <c r="FL11" s="22" t="str">
        <f>('.'!T40)</f>
        <v>0</v>
      </c>
      <c r="FN11" s="11"/>
      <c r="FQ11" s="11"/>
      <c r="FS11" s="26" t="str">
        <f>('.'!A34)</f>
        <v>0</v>
      </c>
      <c r="FT11" s="18" t="str">
        <f>('.'!U34)</f>
        <v>0</v>
      </c>
      <c r="FU11" s="22" t="str">
        <f>('.'!U40)</f>
        <v>0</v>
      </c>
      <c r="FW11" s="11"/>
    </row>
    <row r="12" spans="1:179">
      <c r="B12" s="11"/>
      <c r="D12" s="26" t="str">
        <f>('.'!A35)</f>
        <v>0</v>
      </c>
      <c r="E12" s="18" t="str">
        <f>('.'!B35)</f>
        <v>0</v>
      </c>
      <c r="F12" s="22" t="str">
        <f>('.'!B41)</f>
        <v>0</v>
      </c>
      <c r="H12" s="11"/>
      <c r="K12" s="11"/>
      <c r="M12" s="26" t="str">
        <f>('.'!A35)</f>
        <v>0</v>
      </c>
      <c r="N12" s="18" t="str">
        <f>('.'!C35)</f>
        <v>0</v>
      </c>
      <c r="O12" s="22" t="str">
        <f>('.'!C41)</f>
        <v>0</v>
      </c>
      <c r="Q12" s="11"/>
      <c r="T12" s="11"/>
      <c r="V12" s="26" t="str">
        <f>('.'!A35)</f>
        <v>0</v>
      </c>
      <c r="W12" s="18" t="str">
        <f>('.'!D35)</f>
        <v>0</v>
      </c>
      <c r="X12" s="22" t="str">
        <f>('.'!D41)</f>
        <v>0</v>
      </c>
      <c r="Z12" s="11"/>
      <c r="AC12" s="11"/>
      <c r="AE12" s="26" t="str">
        <f>('.'!A35)</f>
        <v>0</v>
      </c>
      <c r="AF12" s="18" t="str">
        <f>('.'!E35)</f>
        <v>0</v>
      </c>
      <c r="AG12" s="22" t="str">
        <f>('.'!E41)</f>
        <v>0</v>
      </c>
      <c r="AI12" s="11"/>
      <c r="AL12" s="11"/>
      <c r="AN12" s="26" t="str">
        <f>('.'!A35)</f>
        <v>0</v>
      </c>
      <c r="AO12" s="18" t="str">
        <f>('.'!F35)</f>
        <v>0</v>
      </c>
      <c r="AP12" s="22" t="str">
        <f>('.'!F41)</f>
        <v>0</v>
      </c>
      <c r="AR12" s="11"/>
      <c r="AU12" s="11"/>
      <c r="AW12" s="26" t="str">
        <f>('.'!A35)</f>
        <v>0</v>
      </c>
      <c r="AX12" s="18" t="str">
        <f>('.'!G35)</f>
        <v>0</v>
      </c>
      <c r="AY12" s="22" t="str">
        <f>('.'!G41)</f>
        <v>0</v>
      </c>
      <c r="BA12" s="11"/>
      <c r="BD12" s="11"/>
      <c r="BF12" s="26" t="str">
        <f>('.'!A35)</f>
        <v>0</v>
      </c>
      <c r="BG12" s="18" t="str">
        <f>('.'!H35)</f>
        <v>0</v>
      </c>
      <c r="BH12" s="22" t="str">
        <f>('.'!H41)</f>
        <v>0</v>
      </c>
      <c r="BJ12" s="11"/>
      <c r="BM12" s="11"/>
      <c r="BO12" s="26" t="str">
        <f>('.'!A35)</f>
        <v>0</v>
      </c>
      <c r="BP12" s="18" t="str">
        <f>('.'!I35)</f>
        <v>0</v>
      </c>
      <c r="BQ12" s="22" t="str">
        <f>('.'!I41)</f>
        <v>0</v>
      </c>
      <c r="BS12" s="11"/>
      <c r="BV12" s="11"/>
      <c r="BX12" s="26" t="str">
        <f>('.'!A35)</f>
        <v>0</v>
      </c>
      <c r="BY12" s="18" t="str">
        <f>('.'!J35)</f>
        <v>0</v>
      </c>
      <c r="BZ12" s="22" t="str">
        <f>('.'!J41)</f>
        <v>0</v>
      </c>
      <c r="CB12" s="11"/>
      <c r="CE12" s="11"/>
      <c r="CG12" s="26" t="str">
        <f>('.'!A35)</f>
        <v>0</v>
      </c>
      <c r="CH12" s="18" t="str">
        <f>('.'!K35)</f>
        <v>0</v>
      </c>
      <c r="CI12" s="22" t="str">
        <f>('.'!K41)</f>
        <v>0</v>
      </c>
      <c r="CK12" s="11"/>
      <c r="CN12" s="11"/>
      <c r="CP12" s="26" t="str">
        <f>('.'!A35)</f>
        <v>0</v>
      </c>
      <c r="CQ12" s="18" t="str">
        <f>('.'!L35)</f>
        <v>0</v>
      </c>
      <c r="CR12" s="22" t="str">
        <f>('.'!L41)</f>
        <v>0</v>
      </c>
      <c r="CT12" s="11"/>
      <c r="CW12" s="11"/>
      <c r="CY12" s="26" t="str">
        <f>('.'!A35)</f>
        <v>0</v>
      </c>
      <c r="CZ12" s="18" t="str">
        <f>('.'!M35)</f>
        <v>0</v>
      </c>
      <c r="DA12" s="22" t="str">
        <f>('.'!M41)</f>
        <v>0</v>
      </c>
      <c r="DC12" s="11"/>
      <c r="DF12" s="11"/>
      <c r="DH12" s="26" t="str">
        <f>('.'!A35)</f>
        <v>0</v>
      </c>
      <c r="DI12" s="18" t="str">
        <f>('.'!N35)</f>
        <v>0</v>
      </c>
      <c r="DJ12" s="22" t="str">
        <f>('.'!N41)</f>
        <v>0</v>
      </c>
      <c r="DL12" s="11"/>
      <c r="DO12" s="11"/>
      <c r="DQ12" s="26" t="str">
        <f>('.'!A35)</f>
        <v>0</v>
      </c>
      <c r="DR12" s="18" t="str">
        <f>('.'!O35)</f>
        <v>0</v>
      </c>
      <c r="DS12" s="22" t="str">
        <f>('.'!O41)</f>
        <v>0</v>
      </c>
      <c r="DU12" s="11"/>
      <c r="DX12" s="11"/>
      <c r="DZ12" s="26" t="str">
        <f>('.'!A35)</f>
        <v>0</v>
      </c>
      <c r="EA12" s="18" t="str">
        <f>('.'!P35)</f>
        <v>0</v>
      </c>
      <c r="EB12" s="22" t="str">
        <f>('.'!P41)</f>
        <v>0</v>
      </c>
      <c r="ED12" s="11"/>
      <c r="EG12" s="11"/>
      <c r="EI12" s="26" t="str">
        <f>('.'!A35)</f>
        <v>0</v>
      </c>
      <c r="EJ12" s="18" t="str">
        <f>('.'!Q35)</f>
        <v>0</v>
      </c>
      <c r="EK12" s="22" t="str">
        <f>('.'!Q41)</f>
        <v>0</v>
      </c>
      <c r="EM12" s="11"/>
      <c r="EP12" s="11"/>
      <c r="ER12" s="26" t="str">
        <f>('.'!A35)</f>
        <v>0</v>
      </c>
      <c r="ES12" s="18" t="str">
        <f>('.'!R35)</f>
        <v>0</v>
      </c>
      <c r="ET12" s="22" t="str">
        <f>('.'!R41)</f>
        <v>0</v>
      </c>
      <c r="EV12" s="11"/>
      <c r="EY12" s="11"/>
      <c r="FA12" s="26" t="str">
        <f>('.'!A35)</f>
        <v>0</v>
      </c>
      <c r="FB12" s="18" t="str">
        <f>('.'!S35)</f>
        <v>0</v>
      </c>
      <c r="FC12" s="22" t="str">
        <f>('.'!S41)</f>
        <v>0</v>
      </c>
      <c r="FE12" s="11"/>
      <c r="FH12" s="11"/>
      <c r="FJ12" s="26" t="str">
        <f>('.'!A35)</f>
        <v>0</v>
      </c>
      <c r="FK12" s="18" t="str">
        <f>('.'!T35)</f>
        <v>0</v>
      </c>
      <c r="FL12" s="22" t="str">
        <f>('.'!T41)</f>
        <v>0</v>
      </c>
      <c r="FN12" s="11"/>
      <c r="FQ12" s="11"/>
      <c r="FS12" s="26" t="str">
        <f>('.'!A35)</f>
        <v>0</v>
      </c>
      <c r="FT12" s="18" t="str">
        <f>('.'!U35)</f>
        <v>0</v>
      </c>
      <c r="FU12" s="22" t="str">
        <f>('.'!U41)</f>
        <v>0</v>
      </c>
      <c r="FW12" s="11"/>
    </row>
    <row r="13" spans="1:179">
      <c r="B13" s="11"/>
      <c r="D13" s="32" t="str">
        <f>('.'!A36)</f>
        <v>0</v>
      </c>
      <c r="E13" s="19" t="str">
        <f>('.'!B36)</f>
        <v>0</v>
      </c>
      <c r="F13" s="23" t="str">
        <f>('.'!B42)</f>
        <v>0</v>
      </c>
      <c r="H13" s="11"/>
      <c r="K13" s="11"/>
      <c r="M13" s="32" t="str">
        <f>('.'!A36)</f>
        <v>0</v>
      </c>
      <c r="N13" s="19" t="str">
        <f>('.'!C36)</f>
        <v>0</v>
      </c>
      <c r="O13" s="23" t="str">
        <f>('.'!C42)</f>
        <v>0</v>
      </c>
      <c r="Q13" s="11"/>
      <c r="T13" s="11"/>
      <c r="V13" s="32" t="str">
        <f>('.'!A36)</f>
        <v>0</v>
      </c>
      <c r="W13" s="19" t="str">
        <f>('.'!D36)</f>
        <v>0</v>
      </c>
      <c r="X13" s="23" t="str">
        <f>('.'!D42)</f>
        <v>0</v>
      </c>
      <c r="Z13" s="11"/>
      <c r="AC13" s="11"/>
      <c r="AE13" s="32" t="str">
        <f>('.'!A36)</f>
        <v>0</v>
      </c>
      <c r="AF13" s="19" t="str">
        <f>('.'!E36)</f>
        <v>0</v>
      </c>
      <c r="AG13" s="23" t="str">
        <f>('.'!E42)</f>
        <v>0</v>
      </c>
      <c r="AI13" s="11"/>
      <c r="AL13" s="11"/>
      <c r="AN13" s="32" t="str">
        <f>('.'!A36)</f>
        <v>0</v>
      </c>
      <c r="AO13" s="19" t="str">
        <f>('.'!F36)</f>
        <v>0</v>
      </c>
      <c r="AP13" s="23" t="str">
        <f>('.'!F42)</f>
        <v>0</v>
      </c>
      <c r="AR13" s="11"/>
      <c r="AU13" s="11"/>
      <c r="AW13" s="32" t="str">
        <f>('.'!A36)</f>
        <v>0</v>
      </c>
      <c r="AX13" s="19" t="str">
        <f>('.'!G36)</f>
        <v>0</v>
      </c>
      <c r="AY13" s="23" t="str">
        <f>('.'!G42)</f>
        <v>0</v>
      </c>
      <c r="BA13" s="11"/>
      <c r="BD13" s="11"/>
      <c r="BF13" s="32" t="str">
        <f>('.'!A36)</f>
        <v>0</v>
      </c>
      <c r="BG13" s="19" t="str">
        <f>('.'!H36)</f>
        <v>0</v>
      </c>
      <c r="BH13" s="23" t="str">
        <f>('.'!H42)</f>
        <v>0</v>
      </c>
      <c r="BJ13" s="11"/>
      <c r="BM13" s="11"/>
      <c r="BO13" s="32" t="str">
        <f>('.'!A36)</f>
        <v>0</v>
      </c>
      <c r="BP13" s="19" t="str">
        <f>('.'!I36)</f>
        <v>0</v>
      </c>
      <c r="BQ13" s="23" t="str">
        <f>('.'!I42)</f>
        <v>0</v>
      </c>
      <c r="BS13" s="11"/>
      <c r="BV13" s="11"/>
      <c r="BX13" s="32" t="str">
        <f>('.'!A36)</f>
        <v>0</v>
      </c>
      <c r="BY13" s="19" t="str">
        <f>('.'!J36)</f>
        <v>0</v>
      </c>
      <c r="BZ13" s="23" t="str">
        <f>('.'!J42)</f>
        <v>0</v>
      </c>
      <c r="CB13" s="11"/>
      <c r="CE13" s="11"/>
      <c r="CG13" s="32" t="str">
        <f>('.'!A36)</f>
        <v>0</v>
      </c>
      <c r="CH13" s="19" t="str">
        <f>('.'!K36)</f>
        <v>0</v>
      </c>
      <c r="CI13" s="23" t="str">
        <f>('.'!K42)</f>
        <v>0</v>
      </c>
      <c r="CK13" s="11"/>
      <c r="CN13" s="11"/>
      <c r="CP13" s="32" t="str">
        <f>('.'!A36)</f>
        <v>0</v>
      </c>
      <c r="CQ13" s="19" t="str">
        <f>('.'!L36)</f>
        <v>0</v>
      </c>
      <c r="CR13" s="23" t="str">
        <f>('.'!L42)</f>
        <v>0</v>
      </c>
      <c r="CT13" s="11"/>
      <c r="CW13" s="11"/>
      <c r="CY13" s="32" t="str">
        <f>('.'!A36)</f>
        <v>0</v>
      </c>
      <c r="CZ13" s="19" t="str">
        <f>('.'!M36)</f>
        <v>0</v>
      </c>
      <c r="DA13" s="23" t="str">
        <f>('.'!M42)</f>
        <v>0</v>
      </c>
      <c r="DC13" s="11"/>
      <c r="DF13" s="11"/>
      <c r="DH13" s="32" t="str">
        <f>('.'!A36)</f>
        <v>0</v>
      </c>
      <c r="DI13" s="19" t="str">
        <f>('.'!N36)</f>
        <v>0</v>
      </c>
      <c r="DJ13" s="23" t="str">
        <f>('.'!N42)</f>
        <v>0</v>
      </c>
      <c r="DL13" s="11"/>
      <c r="DO13" s="11"/>
      <c r="DQ13" s="32" t="str">
        <f>('.'!A36)</f>
        <v>0</v>
      </c>
      <c r="DR13" s="19" t="str">
        <f>('.'!O36)</f>
        <v>0</v>
      </c>
      <c r="DS13" s="23" t="str">
        <f>('.'!O42)</f>
        <v>0</v>
      </c>
      <c r="DU13" s="11"/>
      <c r="DX13" s="11"/>
      <c r="DZ13" s="32" t="str">
        <f>('.'!A36)</f>
        <v>0</v>
      </c>
      <c r="EA13" s="19" t="str">
        <f>('.'!P36)</f>
        <v>0</v>
      </c>
      <c r="EB13" s="23" t="str">
        <f>('.'!P42)</f>
        <v>0</v>
      </c>
      <c r="ED13" s="11"/>
      <c r="EG13" s="11"/>
      <c r="EI13" s="32" t="str">
        <f>('.'!A36)</f>
        <v>0</v>
      </c>
      <c r="EJ13" s="19" t="str">
        <f>('.'!Q36)</f>
        <v>0</v>
      </c>
      <c r="EK13" s="23" t="str">
        <f>('.'!Q42)</f>
        <v>0</v>
      </c>
      <c r="EM13" s="11"/>
      <c r="EP13" s="11"/>
      <c r="ER13" s="32" t="str">
        <f>('.'!A36)</f>
        <v>0</v>
      </c>
      <c r="ES13" s="19" t="str">
        <f>('.'!R36)</f>
        <v>0</v>
      </c>
      <c r="ET13" s="23" t="str">
        <f>('.'!R42)</f>
        <v>0</v>
      </c>
      <c r="EV13" s="11"/>
      <c r="EY13" s="11"/>
      <c r="FA13" s="32" t="str">
        <f>('.'!A36)</f>
        <v>0</v>
      </c>
      <c r="FB13" s="19" t="str">
        <f>('.'!S36)</f>
        <v>0</v>
      </c>
      <c r="FC13" s="23" t="str">
        <f>('.'!S42)</f>
        <v>0</v>
      </c>
      <c r="FE13" s="11"/>
      <c r="FH13" s="11"/>
      <c r="FJ13" s="32" t="str">
        <f>('.'!A36)</f>
        <v>0</v>
      </c>
      <c r="FK13" s="19" t="str">
        <f>('.'!T36)</f>
        <v>0</v>
      </c>
      <c r="FL13" s="23" t="str">
        <f>('.'!T42)</f>
        <v>0</v>
      </c>
      <c r="FN13" s="11"/>
      <c r="FQ13" s="11"/>
      <c r="FS13" s="32" t="str">
        <f>('.'!A36)</f>
        <v>0</v>
      </c>
      <c r="FT13" s="19" t="str">
        <f>('.'!U36)</f>
        <v>0</v>
      </c>
      <c r="FU13" s="23" t="str">
        <f>('.'!U42)</f>
        <v>0</v>
      </c>
      <c r="FW13" s="11"/>
    </row>
    <row r="14" spans="1:179">
      <c r="B14" s="11"/>
      <c r="D14" s="10" t="s">
        <v>74</v>
      </c>
      <c r="H14" s="11"/>
      <c r="K14" s="11"/>
      <c r="M14" s="10" t="s">
        <v>74</v>
      </c>
      <c r="Q14" s="11"/>
      <c r="T14" s="11"/>
      <c r="V14" s="10" t="s">
        <v>74</v>
      </c>
      <c r="Z14" s="11"/>
      <c r="AC14" s="11"/>
      <c r="AE14" s="10" t="s">
        <v>74</v>
      </c>
      <c r="AI14" s="11"/>
      <c r="AL14" s="11"/>
      <c r="AN14" s="10" t="s">
        <v>74</v>
      </c>
      <c r="AR14" s="11"/>
      <c r="AU14" s="11"/>
      <c r="AW14" s="10" t="s">
        <v>74</v>
      </c>
      <c r="BA14" s="11"/>
      <c r="BD14" s="11"/>
      <c r="BF14" s="10" t="s">
        <v>74</v>
      </c>
      <c r="BJ14" s="11"/>
      <c r="BM14" s="11"/>
      <c r="BO14" s="10" t="s">
        <v>74</v>
      </c>
      <c r="BS14" s="11"/>
      <c r="BV14" s="11"/>
      <c r="BX14" s="10" t="s">
        <v>74</v>
      </c>
      <c r="CB14" s="11"/>
      <c r="CE14" s="11"/>
      <c r="CG14" s="10" t="s">
        <v>74</v>
      </c>
      <c r="CK14" s="11"/>
      <c r="CN14" s="11"/>
      <c r="CP14" s="10" t="s">
        <v>74</v>
      </c>
      <c r="CT14" s="11"/>
      <c r="CW14" s="11"/>
      <c r="CY14" s="10" t="s">
        <v>74</v>
      </c>
      <c r="DC14" s="11"/>
      <c r="DF14" s="11"/>
      <c r="DH14" s="10" t="s">
        <v>74</v>
      </c>
      <c r="DL14" s="11"/>
      <c r="DO14" s="11"/>
      <c r="DQ14" s="10" t="s">
        <v>74</v>
      </c>
      <c r="DU14" s="11"/>
      <c r="DX14" s="11"/>
      <c r="DZ14" s="10" t="s">
        <v>74</v>
      </c>
      <c r="ED14" s="11"/>
      <c r="EG14" s="11"/>
      <c r="EI14" s="10" t="s">
        <v>74</v>
      </c>
      <c r="EM14" s="11"/>
      <c r="EP14" s="11"/>
      <c r="ER14" s="10" t="s">
        <v>74</v>
      </c>
      <c r="EV14" s="11"/>
      <c r="EY14" s="11"/>
      <c r="FA14" s="10" t="s">
        <v>74</v>
      </c>
      <c r="FE14" s="11"/>
      <c r="FH14" s="11"/>
      <c r="FJ14" s="10" t="s">
        <v>74</v>
      </c>
      <c r="FN14" s="11"/>
      <c r="FQ14" s="11"/>
      <c r="FS14" s="10" t="s">
        <v>74</v>
      </c>
      <c r="FW14" s="11"/>
    </row>
    <row r="15" spans="1:179">
      <c r="B15" s="11"/>
      <c r="D15" s="10" t="s">
        <v>73</v>
      </c>
      <c r="H15" s="11"/>
      <c r="K15" s="11"/>
      <c r="M15" s="10" t="s">
        <v>73</v>
      </c>
      <c r="Q15" s="11"/>
      <c r="T15" s="11"/>
      <c r="V15" s="10" t="s">
        <v>73</v>
      </c>
      <c r="Z15" s="11"/>
      <c r="AC15" s="11"/>
      <c r="AE15" s="10" t="s">
        <v>73</v>
      </c>
      <c r="AI15" s="11"/>
      <c r="AL15" s="11"/>
      <c r="AN15" s="10" t="s">
        <v>73</v>
      </c>
      <c r="AR15" s="11"/>
      <c r="AU15" s="11"/>
      <c r="AW15" s="10" t="s">
        <v>73</v>
      </c>
      <c r="BA15" s="11"/>
      <c r="BD15" s="11"/>
      <c r="BF15" s="10" t="s">
        <v>73</v>
      </c>
      <c r="BJ15" s="11"/>
      <c r="BM15" s="11"/>
      <c r="BO15" s="10" t="s">
        <v>73</v>
      </c>
      <c r="BS15" s="11"/>
      <c r="BV15" s="11"/>
      <c r="BX15" s="10" t="s">
        <v>73</v>
      </c>
      <c r="CB15" s="11"/>
      <c r="CE15" s="11"/>
      <c r="CG15" s="10" t="s">
        <v>73</v>
      </c>
      <c r="CK15" s="11"/>
      <c r="CN15" s="11"/>
      <c r="CP15" s="10" t="s">
        <v>73</v>
      </c>
      <c r="CT15" s="11"/>
      <c r="CW15" s="11"/>
      <c r="CY15" s="10" t="s">
        <v>73</v>
      </c>
      <c r="DC15" s="11"/>
      <c r="DF15" s="11"/>
      <c r="DH15" s="10" t="s">
        <v>73</v>
      </c>
      <c r="DL15" s="11"/>
      <c r="DO15" s="11"/>
      <c r="DQ15" s="10" t="s">
        <v>73</v>
      </c>
      <c r="DU15" s="11"/>
      <c r="DX15" s="11"/>
      <c r="DZ15" s="10" t="s">
        <v>73</v>
      </c>
      <c r="ED15" s="11"/>
      <c r="EG15" s="11"/>
      <c r="EI15" s="10" t="s">
        <v>73</v>
      </c>
      <c r="EM15" s="11"/>
      <c r="EP15" s="11"/>
      <c r="ER15" s="10" t="s">
        <v>73</v>
      </c>
      <c r="EV15" s="11"/>
      <c r="EY15" s="11"/>
      <c r="FA15" s="10" t="s">
        <v>73</v>
      </c>
      <c r="FE15" s="11"/>
      <c r="FH15" s="11"/>
      <c r="FJ15" s="10" t="s">
        <v>73</v>
      </c>
      <c r="FN15" s="11"/>
      <c r="FQ15" s="11"/>
      <c r="FS15" s="10" t="s">
        <v>73</v>
      </c>
      <c r="FW15" s="11"/>
    </row>
    <row r="16" spans="1:179">
      <c r="B16" s="11"/>
      <c r="H16" s="11"/>
      <c r="K16" s="11"/>
      <c r="Q16" s="11"/>
      <c r="T16" s="11"/>
      <c r="Z16" s="11"/>
      <c r="AC16" s="11"/>
      <c r="AI16" s="11"/>
      <c r="AL16" s="11"/>
      <c r="AR16" s="11"/>
      <c r="AU16" s="11"/>
      <c r="BA16" s="11"/>
      <c r="BD16" s="11"/>
      <c r="BJ16" s="11"/>
      <c r="BM16" s="11"/>
      <c r="BS16" s="11"/>
      <c r="BV16" s="11"/>
      <c r="CB16" s="11"/>
      <c r="CE16" s="11"/>
      <c r="CK16" s="11"/>
      <c r="CN16" s="11"/>
      <c r="CT16" s="11"/>
      <c r="CW16" s="11"/>
      <c r="DC16" s="11"/>
      <c r="DF16" s="11"/>
      <c r="DL16" s="11"/>
      <c r="DO16" s="11"/>
      <c r="DU16" s="11"/>
      <c r="DX16" s="11"/>
      <c r="ED16" s="11"/>
      <c r="EG16" s="11"/>
      <c r="EM16" s="11"/>
      <c r="EP16" s="11"/>
      <c r="EV16" s="11"/>
      <c r="EY16" s="11"/>
      <c r="FE16" s="11"/>
      <c r="FH16" s="11"/>
      <c r="FN16" s="11"/>
      <c r="FQ16" s="11"/>
      <c r="FW16" s="11"/>
    </row>
    <row r="17" spans="1:179">
      <c r="B17" s="11"/>
      <c r="H17" s="11"/>
      <c r="K17" s="11"/>
      <c r="Q17" s="11"/>
      <c r="T17" s="11"/>
      <c r="Z17" s="11"/>
      <c r="AC17" s="11"/>
      <c r="AI17" s="11"/>
      <c r="AL17" s="11"/>
      <c r="AR17" s="11"/>
      <c r="AU17" s="11"/>
      <c r="BA17" s="11"/>
      <c r="BD17" s="11"/>
      <c r="BJ17" s="11"/>
      <c r="BM17" s="11"/>
      <c r="BS17" s="11"/>
      <c r="BV17" s="11"/>
      <c r="CB17" s="11"/>
      <c r="CE17" s="11"/>
      <c r="CK17" s="11"/>
      <c r="CN17" s="11"/>
      <c r="CT17" s="11"/>
      <c r="CW17" s="11"/>
      <c r="DC17" s="11"/>
      <c r="DF17" s="11"/>
      <c r="DL17" s="11"/>
      <c r="DO17" s="11"/>
      <c r="DU17" s="11"/>
      <c r="DX17" s="11"/>
      <c r="ED17" s="11"/>
      <c r="EG17" s="11"/>
      <c r="EM17" s="11"/>
      <c r="EP17" s="11"/>
      <c r="EV17" s="11"/>
      <c r="EY17" s="11"/>
      <c r="FE17" s="11"/>
      <c r="FH17" s="11"/>
      <c r="FN17" s="11"/>
      <c r="FQ17" s="11"/>
      <c r="FW17" s="11"/>
    </row>
    <row r="18" spans="1:179">
      <c r="B18" s="11"/>
      <c r="H18" s="11"/>
      <c r="K18" s="11"/>
      <c r="Q18" s="11"/>
      <c r="T18" s="11"/>
      <c r="Z18" s="11"/>
      <c r="AC18" s="11"/>
      <c r="AI18" s="11"/>
      <c r="AL18" s="11"/>
      <c r="AR18" s="11"/>
      <c r="AU18" s="11"/>
      <c r="BA18" s="11"/>
      <c r="BD18" s="11"/>
      <c r="BJ18" s="11"/>
      <c r="BM18" s="11"/>
      <c r="BS18" s="11"/>
      <c r="BV18" s="11"/>
      <c r="CB18" s="11"/>
      <c r="CE18" s="11"/>
      <c r="CK18" s="11"/>
      <c r="CN18" s="11"/>
      <c r="CT18" s="11"/>
      <c r="CW18" s="11"/>
      <c r="DC18" s="11"/>
      <c r="DF18" s="11"/>
      <c r="DL18" s="11"/>
      <c r="DO18" s="11"/>
      <c r="DU18" s="11"/>
      <c r="DX18" s="11"/>
      <c r="ED18" s="11"/>
      <c r="EG18" s="11"/>
      <c r="EM18" s="11"/>
      <c r="EP18" s="11"/>
      <c r="EV18" s="11"/>
      <c r="EY18" s="11"/>
      <c r="FE18" s="11"/>
      <c r="FH18" s="11"/>
      <c r="FN18" s="11"/>
      <c r="FQ18" s="11"/>
      <c r="FW18" s="11"/>
    </row>
    <row r="19" spans="1:179">
      <c r="B19" s="11"/>
      <c r="H19" s="11"/>
      <c r="K19" s="11"/>
      <c r="Q19" s="11"/>
      <c r="T19" s="11"/>
      <c r="Z19" s="11"/>
      <c r="AC19" s="11"/>
      <c r="AI19" s="11"/>
      <c r="AL19" s="11"/>
      <c r="AR19" s="11"/>
      <c r="AU19" s="11"/>
      <c r="BA19" s="11"/>
      <c r="BD19" s="11"/>
      <c r="BJ19" s="11"/>
      <c r="BM19" s="11"/>
      <c r="BS19" s="11"/>
      <c r="BV19" s="11"/>
      <c r="CB19" s="11"/>
      <c r="CE19" s="11"/>
      <c r="CK19" s="11"/>
      <c r="CN19" s="11"/>
      <c r="CT19" s="11"/>
      <c r="CW19" s="11"/>
      <c r="DC19" s="11"/>
      <c r="DF19" s="11"/>
      <c r="DL19" s="11"/>
      <c r="DO19" s="11"/>
      <c r="DU19" s="11"/>
      <c r="DX19" s="11"/>
      <c r="ED19" s="11"/>
      <c r="EG19" s="11"/>
      <c r="EM19" s="11"/>
      <c r="EP19" s="11"/>
      <c r="EV19" s="11"/>
      <c r="EY19" s="11"/>
      <c r="FE19" s="11"/>
      <c r="FH19" s="11"/>
      <c r="FN19" s="11"/>
      <c r="FQ19" s="11"/>
      <c r="FW19" s="11"/>
    </row>
    <row r="20" spans="1:179">
      <c r="B20" s="11"/>
      <c r="H20" s="11"/>
      <c r="K20" s="11"/>
      <c r="Q20" s="11"/>
      <c r="T20" s="11"/>
      <c r="Z20" s="11"/>
      <c r="AC20" s="11"/>
      <c r="AI20" s="11"/>
      <c r="AL20" s="11"/>
      <c r="AR20" s="11"/>
      <c r="AU20" s="11"/>
      <c r="BA20" s="11"/>
      <c r="BD20" s="11"/>
      <c r="BJ20" s="11"/>
      <c r="BM20" s="11"/>
      <c r="BS20" s="11"/>
      <c r="BV20" s="11"/>
      <c r="CB20" s="11"/>
      <c r="CE20" s="11"/>
      <c r="CK20" s="11"/>
      <c r="CN20" s="11"/>
      <c r="CT20" s="11"/>
      <c r="CW20" s="11"/>
      <c r="DC20" s="11"/>
      <c r="DF20" s="11"/>
      <c r="DL20" s="11"/>
      <c r="DO20" s="11"/>
      <c r="DU20" s="11"/>
      <c r="DX20" s="11"/>
      <c r="ED20" s="11"/>
      <c r="EG20" s="11"/>
      <c r="EM20" s="11"/>
      <c r="EP20" s="11"/>
      <c r="EV20" s="11"/>
      <c r="EY20" s="11"/>
      <c r="FE20" s="11"/>
      <c r="FH20" s="11"/>
      <c r="FN20" s="11"/>
      <c r="FQ20" s="11"/>
      <c r="FW20" s="11"/>
    </row>
    <row r="21" spans="1:179">
      <c r="B21" s="11"/>
      <c r="H21" s="11"/>
      <c r="K21" s="11"/>
      <c r="Q21" s="11"/>
      <c r="T21" s="11"/>
      <c r="Z21" s="11"/>
      <c r="AC21" s="11"/>
      <c r="AI21" s="11"/>
      <c r="AL21" s="11"/>
      <c r="AR21" s="11"/>
      <c r="AU21" s="11"/>
      <c r="BA21" s="11"/>
      <c r="BD21" s="11"/>
      <c r="BJ21" s="11"/>
      <c r="BM21" s="11"/>
      <c r="BS21" s="11"/>
      <c r="BV21" s="11"/>
      <c r="CB21" s="11"/>
      <c r="CE21" s="11"/>
      <c r="CK21" s="11"/>
      <c r="CN21" s="11"/>
      <c r="CT21" s="11"/>
      <c r="CW21" s="11"/>
      <c r="DC21" s="11"/>
      <c r="DF21" s="11"/>
      <c r="DL21" s="11"/>
      <c r="DO21" s="11"/>
      <c r="DU21" s="11"/>
      <c r="DX21" s="11"/>
      <c r="ED21" s="11"/>
      <c r="EG21" s="11"/>
      <c r="EM21" s="11"/>
      <c r="EP21" s="11"/>
      <c r="EV21" s="11"/>
      <c r="EY21" s="11"/>
      <c r="FE21" s="11"/>
      <c r="FH21" s="11"/>
      <c r="FN21" s="11"/>
      <c r="FQ21" s="11"/>
      <c r="FW21" s="11"/>
    </row>
    <row r="22" spans="1:179">
      <c r="B22" s="11"/>
      <c r="H22" s="11"/>
      <c r="K22" s="11"/>
      <c r="Q22" s="11"/>
      <c r="T22" s="11"/>
      <c r="Z22" s="11"/>
      <c r="AC22" s="11"/>
      <c r="AI22" s="11"/>
      <c r="AL22" s="11"/>
      <c r="AR22" s="11"/>
      <c r="AU22" s="11"/>
      <c r="BA22" s="11"/>
      <c r="BD22" s="11"/>
      <c r="BJ22" s="11"/>
      <c r="BM22" s="11"/>
      <c r="BS22" s="11"/>
      <c r="BV22" s="11"/>
      <c r="CB22" s="11"/>
      <c r="CE22" s="11"/>
      <c r="CK22" s="11"/>
      <c r="CN22" s="11"/>
      <c r="CT22" s="11"/>
      <c r="CW22" s="11"/>
      <c r="DC22" s="11"/>
      <c r="DF22" s="11"/>
      <c r="DL22" s="11"/>
      <c r="DO22" s="11"/>
      <c r="DU22" s="11"/>
      <c r="DX22" s="11"/>
      <c r="ED22" s="11"/>
      <c r="EG22" s="11"/>
      <c r="EM22" s="11"/>
      <c r="EP22" s="11"/>
      <c r="EV22" s="11"/>
      <c r="EY22" s="11"/>
      <c r="FE22" s="11"/>
      <c r="FH22" s="11"/>
      <c r="FN22" s="11"/>
      <c r="FQ22" s="11"/>
      <c r="FW22" s="11"/>
    </row>
    <row r="23" spans="1:179">
      <c r="B23" s="11"/>
      <c r="H23" s="11"/>
      <c r="K23" s="11"/>
      <c r="Q23" s="11"/>
      <c r="T23" s="11"/>
      <c r="Z23" s="11"/>
      <c r="AC23" s="11"/>
      <c r="AI23" s="11"/>
      <c r="AL23" s="11"/>
      <c r="AR23" s="11"/>
      <c r="AU23" s="11"/>
      <c r="BA23" s="11"/>
      <c r="BD23" s="11"/>
      <c r="BJ23" s="11"/>
      <c r="BM23" s="11"/>
      <c r="BS23" s="11"/>
      <c r="BV23" s="11"/>
      <c r="CB23" s="11"/>
      <c r="CE23" s="11"/>
      <c r="CK23" s="11"/>
      <c r="CN23" s="11"/>
      <c r="CT23" s="11"/>
      <c r="CW23" s="11"/>
      <c r="DC23" s="11"/>
      <c r="DF23" s="11"/>
      <c r="DL23" s="11"/>
      <c r="DO23" s="11"/>
      <c r="DU23" s="11"/>
      <c r="DX23" s="11"/>
      <c r="ED23" s="11"/>
      <c r="EG23" s="11"/>
      <c r="EM23" s="11"/>
      <c r="EP23" s="11"/>
      <c r="EV23" s="11"/>
      <c r="EY23" s="11"/>
      <c r="FE23" s="11"/>
      <c r="FH23" s="11"/>
      <c r="FN23" s="11"/>
      <c r="FQ23" s="11"/>
      <c r="FW23" s="11"/>
    </row>
    <row r="24" spans="1:179">
      <c r="B24" s="11"/>
      <c r="H24" s="11"/>
      <c r="K24" s="11"/>
      <c r="Q24" s="11"/>
      <c r="T24" s="11"/>
      <c r="Z24" s="11"/>
      <c r="AC24" s="11"/>
      <c r="AI24" s="11"/>
      <c r="AL24" s="11"/>
      <c r="AR24" s="11"/>
      <c r="AU24" s="11"/>
      <c r="BA24" s="11"/>
      <c r="BD24" s="11"/>
      <c r="BJ24" s="11"/>
      <c r="BM24" s="11"/>
      <c r="BS24" s="11"/>
      <c r="BV24" s="11"/>
      <c r="CB24" s="11"/>
      <c r="CE24" s="11"/>
      <c r="CK24" s="11"/>
      <c r="CN24" s="11"/>
      <c r="CT24" s="11"/>
      <c r="CW24" s="11"/>
      <c r="DC24" s="11"/>
      <c r="DF24" s="11"/>
      <c r="DL24" s="11"/>
      <c r="DO24" s="11"/>
      <c r="DU24" s="11"/>
      <c r="DX24" s="11"/>
      <c r="ED24" s="11"/>
      <c r="EG24" s="11"/>
      <c r="EM24" s="11"/>
      <c r="EP24" s="11"/>
      <c r="EV24" s="11"/>
      <c r="EY24" s="11"/>
      <c r="FE24" s="11"/>
      <c r="FH24" s="11"/>
      <c r="FN24" s="11"/>
      <c r="FQ24" s="11"/>
      <c r="FW24" s="11"/>
    </row>
    <row r="25" spans="1:179">
      <c r="B25" s="11"/>
      <c r="H25" s="11"/>
      <c r="K25" s="11"/>
      <c r="Q25" s="11"/>
      <c r="T25" s="11"/>
      <c r="Z25" s="11"/>
      <c r="AC25" s="11"/>
      <c r="AI25" s="11"/>
      <c r="AL25" s="11"/>
      <c r="AR25" s="11"/>
      <c r="AU25" s="11"/>
      <c r="BA25" s="11"/>
      <c r="BD25" s="11"/>
      <c r="BJ25" s="11"/>
      <c r="BM25" s="11"/>
      <c r="BS25" s="11"/>
      <c r="BV25" s="11"/>
      <c r="CB25" s="11"/>
      <c r="CE25" s="11"/>
      <c r="CK25" s="11"/>
      <c r="CN25" s="11"/>
      <c r="CT25" s="11"/>
      <c r="CW25" s="11"/>
      <c r="DC25" s="11"/>
      <c r="DF25" s="11"/>
      <c r="DL25" s="11"/>
      <c r="DO25" s="11"/>
      <c r="DU25" s="11"/>
      <c r="DX25" s="11"/>
      <c r="ED25" s="11"/>
      <c r="EG25" s="11"/>
      <c r="EM25" s="11"/>
      <c r="EP25" s="11"/>
      <c r="EV25" s="11"/>
      <c r="EY25" s="11"/>
      <c r="FE25" s="11"/>
      <c r="FH25" s="11"/>
      <c r="FN25" s="11"/>
      <c r="FQ25" s="11"/>
      <c r="FW25" s="11"/>
    </row>
    <row r="26" spans="1:179">
      <c r="B26" s="11"/>
      <c r="H26" s="11"/>
      <c r="K26" s="11"/>
      <c r="Q26" s="11"/>
      <c r="T26" s="11"/>
      <c r="Z26" s="11"/>
      <c r="AC26" s="11"/>
      <c r="AI26" s="11"/>
      <c r="AL26" s="11"/>
      <c r="AR26" s="11"/>
      <c r="AU26" s="11"/>
      <c r="BA26" s="11"/>
      <c r="BD26" s="11"/>
      <c r="BJ26" s="11"/>
      <c r="BM26" s="11"/>
      <c r="BS26" s="11"/>
      <c r="BV26" s="11"/>
      <c r="CB26" s="11"/>
      <c r="CE26" s="11"/>
      <c r="CK26" s="11"/>
      <c r="CN26" s="11"/>
      <c r="CT26" s="11"/>
      <c r="CW26" s="11"/>
      <c r="DC26" s="11"/>
      <c r="DF26" s="11"/>
      <c r="DL26" s="11"/>
      <c r="DO26" s="11"/>
      <c r="DU26" s="11"/>
      <c r="DX26" s="11"/>
      <c r="ED26" s="11"/>
      <c r="EG26" s="11"/>
      <c r="EM26" s="11"/>
      <c r="EP26" s="11"/>
      <c r="EV26" s="11"/>
      <c r="EY26" s="11"/>
      <c r="FE26" s="11"/>
      <c r="FH26" s="11"/>
      <c r="FN26" s="11"/>
      <c r="FQ26" s="11"/>
      <c r="FW26" s="11"/>
    </row>
    <row r="27" spans="1:179">
      <c r="B27" s="11"/>
      <c r="H27" s="11"/>
      <c r="K27" s="11"/>
      <c r="Q27" s="11"/>
      <c r="T27" s="11"/>
      <c r="Z27" s="11"/>
      <c r="AC27" s="11"/>
      <c r="AI27" s="11"/>
      <c r="AL27" s="11"/>
      <c r="AR27" s="11"/>
      <c r="AU27" s="11"/>
      <c r="BA27" s="11"/>
      <c r="BD27" s="11"/>
      <c r="BJ27" s="11"/>
      <c r="BM27" s="11"/>
      <c r="BS27" s="11"/>
      <c r="BV27" s="11"/>
      <c r="CB27" s="11"/>
      <c r="CE27" s="11"/>
      <c r="CK27" s="11"/>
      <c r="CN27" s="11"/>
      <c r="CT27" s="11"/>
      <c r="CW27" s="11"/>
      <c r="DC27" s="11"/>
      <c r="DF27" s="11"/>
      <c r="DL27" s="11"/>
      <c r="DO27" s="11"/>
      <c r="DU27" s="11"/>
      <c r="DX27" s="11"/>
      <c r="ED27" s="11"/>
      <c r="EG27" s="11"/>
      <c r="EM27" s="11"/>
      <c r="EP27" s="11"/>
      <c r="EV27" s="11"/>
      <c r="EY27" s="11"/>
      <c r="FE27" s="11"/>
      <c r="FH27" s="11"/>
      <c r="FN27" s="11"/>
      <c r="FQ27" s="11"/>
      <c r="FW27" s="11"/>
    </row>
    <row r="28" spans="1:179">
      <c r="B28" s="11"/>
      <c r="H28" s="11"/>
      <c r="K28" s="11"/>
      <c r="Q28" s="11"/>
      <c r="T28" s="11"/>
      <c r="Z28" s="11"/>
      <c r="AC28" s="11"/>
      <c r="AI28" s="11"/>
      <c r="AL28" s="11"/>
      <c r="AR28" s="11"/>
      <c r="AU28" s="11"/>
      <c r="BA28" s="11"/>
      <c r="BD28" s="11"/>
      <c r="BJ28" s="11"/>
      <c r="BM28" s="11"/>
      <c r="BS28" s="11"/>
      <c r="BV28" s="11"/>
      <c r="CB28" s="11"/>
      <c r="CE28" s="11"/>
      <c r="CK28" s="11"/>
      <c r="CN28" s="11"/>
      <c r="CT28" s="11"/>
      <c r="CW28" s="11"/>
      <c r="DC28" s="11"/>
      <c r="DF28" s="11"/>
      <c r="DL28" s="11"/>
      <c r="DO28" s="11"/>
      <c r="DU28" s="11"/>
      <c r="DX28" s="11"/>
      <c r="ED28" s="11"/>
      <c r="EG28" s="11"/>
      <c r="EM28" s="11"/>
      <c r="EP28" s="11"/>
      <c r="EV28" s="11"/>
      <c r="EY28" s="11"/>
      <c r="FE28" s="11"/>
      <c r="FH28" s="11"/>
      <c r="FN28" s="11"/>
      <c r="FQ28" s="11"/>
      <c r="FW28" s="11"/>
    </row>
    <row r="29" spans="1:179">
      <c r="B29" s="11"/>
      <c r="H29" s="11"/>
      <c r="K29" s="11"/>
      <c r="Q29" s="11"/>
      <c r="T29" s="11"/>
      <c r="Z29" s="11"/>
      <c r="AC29" s="11"/>
      <c r="AI29" s="11"/>
      <c r="AL29" s="11"/>
      <c r="AR29" s="11"/>
      <c r="AU29" s="11"/>
      <c r="BA29" s="11"/>
      <c r="BD29" s="11"/>
      <c r="BJ29" s="11"/>
      <c r="BM29" s="11"/>
      <c r="BS29" s="11"/>
      <c r="BV29" s="11"/>
      <c r="CB29" s="11"/>
      <c r="CE29" s="11"/>
      <c r="CK29" s="11"/>
      <c r="CN29" s="11"/>
      <c r="CT29" s="11"/>
      <c r="CW29" s="11"/>
      <c r="DC29" s="11"/>
      <c r="DF29" s="11"/>
      <c r="DL29" s="11"/>
      <c r="DO29" s="11"/>
      <c r="DU29" s="11"/>
      <c r="DX29" s="11"/>
      <c r="ED29" s="11"/>
      <c r="EG29" s="11"/>
      <c r="EM29" s="11"/>
      <c r="EP29" s="11"/>
      <c r="EV29" s="11"/>
      <c r="EY29" s="11"/>
      <c r="FE29" s="11"/>
      <c r="FH29" s="11"/>
      <c r="FN29" s="11"/>
      <c r="FQ29" s="11"/>
      <c r="FW29" s="11"/>
    </row>
    <row r="30" spans="1:179">
      <c r="B30" s="11"/>
      <c r="H30" s="11"/>
      <c r="K30" s="11"/>
      <c r="Q30" s="11"/>
      <c r="T30" s="11"/>
      <c r="Z30" s="11"/>
      <c r="AC30" s="11"/>
      <c r="AI30" s="11"/>
      <c r="AL30" s="11"/>
      <c r="AR30" s="11"/>
      <c r="AU30" s="11"/>
      <c r="BA30" s="11"/>
      <c r="BD30" s="11"/>
      <c r="BJ30" s="11"/>
      <c r="BM30" s="11"/>
      <c r="BS30" s="11"/>
      <c r="BV30" s="11"/>
      <c r="CB30" s="11"/>
      <c r="CE30" s="11"/>
      <c r="CK30" s="11"/>
      <c r="CN30" s="11"/>
      <c r="CT30" s="11"/>
      <c r="CW30" s="11"/>
      <c r="DC30" s="11"/>
      <c r="DF30" s="11"/>
      <c r="DL30" s="11"/>
      <c r="DO30" s="11"/>
      <c r="DU30" s="11"/>
      <c r="DX30" s="11"/>
      <c r="ED30" s="11"/>
      <c r="EG30" s="11"/>
      <c r="EM30" s="11"/>
      <c r="EP30" s="11"/>
      <c r="EV30" s="11"/>
      <c r="EY30" s="11"/>
      <c r="FE30" s="11"/>
      <c r="FH30" s="11"/>
      <c r="FN30" s="11"/>
      <c r="FQ30" s="11"/>
      <c r="FW30" s="11"/>
    </row>
    <row r="31" spans="1:179">
      <c r="B31" s="11"/>
      <c r="H31" s="11"/>
      <c r="K31" s="11"/>
      <c r="Q31" s="11"/>
      <c r="T31" s="11"/>
      <c r="Z31" s="11"/>
      <c r="AC31" s="11"/>
      <c r="AI31" s="11"/>
      <c r="AL31" s="11"/>
      <c r="AR31" s="11"/>
      <c r="AU31" s="11"/>
      <c r="BA31" s="11"/>
      <c r="BD31" s="11"/>
      <c r="BJ31" s="11"/>
      <c r="BM31" s="11"/>
      <c r="BS31" s="11"/>
      <c r="BV31" s="11"/>
      <c r="CB31" s="11"/>
      <c r="CE31" s="11"/>
      <c r="CK31" s="11"/>
      <c r="CN31" s="11"/>
      <c r="CT31" s="11"/>
      <c r="CW31" s="11"/>
      <c r="DC31" s="11"/>
      <c r="DF31" s="11"/>
      <c r="DL31" s="11"/>
      <c r="DO31" s="11"/>
      <c r="DU31" s="11"/>
      <c r="DX31" s="11"/>
      <c r="ED31" s="11"/>
      <c r="EG31" s="11"/>
      <c r="EM31" s="11"/>
      <c r="EP31" s="11"/>
      <c r="EV31" s="11"/>
      <c r="EY31" s="11"/>
      <c r="FE31" s="11"/>
      <c r="FH31" s="11"/>
      <c r="FN31" s="11"/>
      <c r="FQ31" s="11"/>
      <c r="FW31" s="11"/>
    </row>
    <row r="32" spans="1:179">
      <c r="B32" s="11"/>
      <c r="H32" s="11"/>
      <c r="K32" s="11"/>
      <c r="Q32" s="11"/>
      <c r="T32" s="11"/>
      <c r="Z32" s="11"/>
      <c r="AC32" s="11"/>
      <c r="AI32" s="11"/>
      <c r="AL32" s="11"/>
      <c r="AR32" s="11"/>
      <c r="AU32" s="11"/>
      <c r="BA32" s="11"/>
      <c r="BD32" s="11"/>
      <c r="BJ32" s="11"/>
      <c r="BM32" s="11"/>
      <c r="BS32" s="11"/>
      <c r="BV32" s="11"/>
      <c r="CB32" s="11"/>
      <c r="CE32" s="11"/>
      <c r="CK32" s="11"/>
      <c r="CN32" s="11"/>
      <c r="CT32" s="11"/>
      <c r="CW32" s="11"/>
      <c r="DC32" s="11"/>
      <c r="DF32" s="11"/>
      <c r="DL32" s="11"/>
      <c r="DO32" s="11"/>
      <c r="DU32" s="11"/>
      <c r="DX32" s="11"/>
      <c r="ED32" s="11"/>
      <c r="EG32" s="11"/>
      <c r="EM32" s="11"/>
      <c r="EP32" s="11"/>
      <c r="EV32" s="11"/>
      <c r="EY32" s="11"/>
      <c r="FE32" s="11"/>
      <c r="FH32" s="11"/>
      <c r="FN32" s="11"/>
      <c r="FQ32" s="11"/>
      <c r="FW32" s="11"/>
    </row>
    <row r="33" spans="1:179">
      <c r="B33" s="11"/>
      <c r="D33" s="10" t="s">
        <v>156</v>
      </c>
      <c r="H33" s="11"/>
      <c r="K33" s="11"/>
      <c r="M33" s="10" t="s">
        <v>157</v>
      </c>
      <c r="Q33" s="11"/>
      <c r="T33" s="11"/>
      <c r="V33" s="10" t="s">
        <v>158</v>
      </c>
      <c r="Z33" s="11"/>
      <c r="AC33" s="11"/>
      <c r="AE33" s="10" t="s">
        <v>159</v>
      </c>
      <c r="AI33" s="11"/>
      <c r="AL33" s="11"/>
      <c r="AN33" s="10" t="s">
        <v>160</v>
      </c>
      <c r="AR33" s="11"/>
      <c r="AU33" s="11"/>
      <c r="AW33" s="10" t="s">
        <v>161</v>
      </c>
      <c r="BA33" s="11"/>
      <c r="BD33" s="11"/>
      <c r="BF33" s="10" t="s">
        <v>162</v>
      </c>
      <c r="BJ33" s="11"/>
      <c r="BM33" s="11"/>
      <c r="BO33" s="10" t="s">
        <v>163</v>
      </c>
      <c r="BS33" s="11"/>
      <c r="BV33" s="11"/>
      <c r="BX33" s="10" t="s">
        <v>164</v>
      </c>
      <c r="CB33" s="11"/>
      <c r="CE33" s="11"/>
      <c r="CG33" s="10" t="s">
        <v>165</v>
      </c>
      <c r="CK33" s="11"/>
      <c r="CN33" s="11"/>
      <c r="CP33" s="10" t="s">
        <v>166</v>
      </c>
      <c r="CT33" s="11"/>
      <c r="CW33" s="11"/>
      <c r="CY33" s="10" t="s">
        <v>167</v>
      </c>
      <c r="DC33" s="11"/>
      <c r="DF33" s="11"/>
      <c r="DH33" s="10" t="s">
        <v>168</v>
      </c>
      <c r="DL33" s="11"/>
      <c r="DO33" s="11"/>
      <c r="DQ33" s="10" t="s">
        <v>169</v>
      </c>
      <c r="DU33" s="11"/>
      <c r="DX33" s="11"/>
      <c r="DZ33" s="10" t="s">
        <v>170</v>
      </c>
      <c r="ED33" s="11"/>
      <c r="EG33" s="11"/>
      <c r="EI33" s="10" t="s">
        <v>171</v>
      </c>
      <c r="EM33" s="11"/>
      <c r="EP33" s="11"/>
      <c r="ER33" s="10" t="s">
        <v>172</v>
      </c>
      <c r="EV33" s="11"/>
      <c r="EY33" s="11"/>
      <c r="FA33" s="10" t="s">
        <v>173</v>
      </c>
      <c r="FE33" s="11"/>
      <c r="FH33" s="11"/>
      <c r="FJ33" s="10" t="s">
        <v>174</v>
      </c>
      <c r="FN33" s="11"/>
      <c r="FQ33" s="11"/>
      <c r="FS33" s="10" t="s">
        <v>175</v>
      </c>
      <c r="FW33" s="11"/>
    </row>
    <row r="34" spans="1:179">
      <c r="B34" s="11"/>
      <c r="D34" s="10"/>
      <c r="H34" s="11"/>
      <c r="K34" s="11"/>
      <c r="M34" s="10"/>
      <c r="Q34" s="11"/>
      <c r="T34" s="11"/>
      <c r="V34" s="10"/>
      <c r="Z34" s="11"/>
      <c r="AC34" s="11"/>
      <c r="AE34" s="10"/>
      <c r="AI34" s="11"/>
      <c r="AL34" s="11"/>
      <c r="AN34" s="10"/>
      <c r="AR34" s="11"/>
      <c r="AU34" s="11"/>
      <c r="AW34" s="10"/>
      <c r="BA34" s="11"/>
      <c r="BD34" s="11"/>
      <c r="BF34" s="10"/>
      <c r="BJ34" s="11"/>
      <c r="BM34" s="11"/>
      <c r="BO34" s="10"/>
      <c r="BS34" s="11"/>
      <c r="BV34" s="11"/>
      <c r="BX34" s="10"/>
      <c r="CB34" s="11"/>
      <c r="CE34" s="11"/>
      <c r="CG34" s="10"/>
      <c r="CK34" s="11"/>
      <c r="CN34" s="11"/>
      <c r="CP34" s="10"/>
      <c r="CT34" s="11"/>
      <c r="CW34" s="11"/>
      <c r="CY34" s="10"/>
      <c r="DC34" s="11"/>
      <c r="DF34" s="11"/>
      <c r="DH34" s="10"/>
      <c r="DL34" s="11"/>
      <c r="DO34" s="11"/>
      <c r="DQ34" s="10"/>
      <c r="DU34" s="11"/>
      <c r="DX34" s="11"/>
      <c r="DZ34" s="10"/>
      <c r="ED34" s="11"/>
      <c r="EG34" s="11"/>
      <c r="EI34" s="10"/>
      <c r="EM34" s="11"/>
      <c r="EP34" s="11"/>
      <c r="ER34" s="10"/>
      <c r="EV34" s="11"/>
      <c r="EY34" s="11"/>
      <c r="FA34" s="10"/>
      <c r="FE34" s="11"/>
      <c r="FH34" s="11"/>
      <c r="FJ34" s="10"/>
      <c r="FN34" s="11"/>
      <c r="FQ34" s="11"/>
      <c r="FS34" s="10"/>
      <c r="FW34" s="11"/>
    </row>
    <row r="35" spans="1:179">
      <c r="B35" s="11"/>
      <c r="D35" s="27" t="str">
        <f>CONCATENATE("En ","la ",D5," y ",D33," se observa los resultados  del  ",D4," el cual aborda ",E1062,",en donde se demuestra que el ",ROUND(F8*100,0),"%"," de los ",D1045," tienen una percepción de ",G1046,", el ",ROUND(F9*100,0),"%"," ",G1047,", un ",ROUND(F10*100,0),"%"," ",G1048,",",IF(E1049&gt;0,CONCATENATE(" ademas el ",ROUND(F11*100,0),"%"," ",G1049,)," "),IF(E1049&gt;0,CONCATENATE(" y ",ROUND(F12*100,0),"%",", ",G1050,)," "),"en tal sentido la mayoría de los ",D1045," es decir el ",ROUND(E1053*100,0),"%"," tienen una percepción con una inclinación a un valor ",D1056,","," para ",E1062,".")</f>
        <v>0</v>
      </c>
      <c r="H35" s="11"/>
      <c r="K35" s="11"/>
      <c r="M35" s="27" t="str">
        <f>CONCATENATE("En ","la ",M5," y ",M33," se observa los resultados  del  ",M4," el cual aborda ",N1062,",en donde se demuestra que el ",ROUND(O8*100,0),"%"," de los ",M1045," tienen una percepción de ",P1046,", el ",ROUND(O9*100,0),"%"," ",P1047,", un ",ROUND(O10*100,0),"%"," ",P1048,",",IF(N1049&gt;0,CONCATENATE(" ademas el ",ROUND(O11*100,0),"%"," ",P1049,)," "),IF(N1049&gt;0,CONCATENATE(" y ",ROUND(O12*100,0),"%",", ",P1050,)," "),"en tal sentido la mayoría de los ",M1045," es decir el ",ROUND(N1053*100,0),"%"," tienen una percepción con una inclinación a un valor ",M1056,","," para ",N1062,".")</f>
        <v>0</v>
      </c>
      <c r="Q35" s="11"/>
      <c r="T35" s="11"/>
      <c r="V35" s="27" t="str">
        <f>CONCATENATE("En ","la ",V5," y ",V33," se observa los resultados  del  ",V4," el cual aborda ",W1062,",en donde se demuestra que el ",ROUND(X8*100,0),"%"," de los ",V1045," tienen una percepción de ",Y1046,", el ",ROUND(X9*100,0),"%"," ",Y1047,", un ",ROUND(X10*100,0),"%"," ",Y1048,",",IF(W1049&gt;0,CONCATENATE(" ademas el ",ROUND(X11*100,0),"%"," ",Y1049,)," "),IF(W1049&gt;0,CONCATENATE(" y ",ROUND(X12*100,0),"%",", ",Y1050,)," "),"en tal sentido la mayoría de los ",V1045," es decir el ",ROUND(W1053*100,0),"%"," tienen una percepción con una inclinación a un valor ",V1056,","," para ",W1062,".")</f>
        <v>0</v>
      </c>
      <c r="Z35" s="11"/>
      <c r="AC35" s="11"/>
      <c r="AE35" s="27" t="str">
        <f>CONCATENATE("En ","la ",AE5," y ",AE33," se observa los resultados  del  ",AE4," el cual aborda ",AF1062,",en donde se demuestra que el ",ROUND(AG8*100,0),"%"," de los ",AE1045," tienen una percepción de ",AH1046,", el ",ROUND(AG9*100,0),"%"," ",AH1047,", un ",ROUND(AG10*100,0),"%"," ",AH1048,",",IF(AF1049&gt;0,CONCATENATE(" ademas el ",ROUND(AG11*100,0),"%"," ",AH1049,)," "),IF(AF1049&gt;0,CONCATENATE(" y ",ROUND(AG12*100,0),"%",", ",AH1050,)," "),"en tal sentido la mayoría de los ",AE1045," es decir el ",ROUND(AF1053*100,0),"%"," tienen una percepción con una inclinación a un valor ",AE1056,","," para ",AF1062,".")</f>
        <v>0</v>
      </c>
      <c r="AI35" s="11"/>
      <c r="AL35" s="11"/>
      <c r="AN35" s="27" t="str">
        <f>CONCATENATE("En ","la ",AN5," y ",AN33," se observa los resultados  del  ",AN4," el cual aborda ",AO1062,",en donde se demuestra que el ",ROUND(AP8*100,0),"%"," de los ",AN1045," tienen una percepción de ",AQ1046,", el ",ROUND(AP9*100,0),"%"," ",AQ1047,", un ",ROUND(AP10*100,0),"%"," ",AQ1048,",",IF(AO1049&gt;0,CONCATENATE(" ademas el ",ROUND(AP11*100,0),"%"," ",AQ1049,)," "),IF(AO1049&gt;0,CONCATENATE(" y ",ROUND(AP12*100,0),"%",", ",AQ1050,)," "),"en tal sentido la mayoría de los ",AN1045," es decir el ",ROUND(AO1053*100,0),"%"," tienen una percepción con una inclinación a un valor ",AN1056,","," para ",AO1062,".")</f>
        <v>0</v>
      </c>
      <c r="AR35" s="11"/>
      <c r="AU35" s="11"/>
      <c r="AW35" s="27" t="str">
        <f>CONCATENATE("En ","la ",AW5," y ",AW33," se observa los resultados  del  ",AW4," el cual aborda ",AX1062,",en donde se demuestra que el ",ROUND(AY8*100,0),"%"," de los ",AW1045," tienen una percepción de ",AZ1046,", el ",ROUND(AY9*100,0),"%"," ",AZ1047,", un ",ROUND(AY10*100,0),"%"," ",AZ1048,",",IF(AX1049&gt;0,CONCATENATE(" ademas el ",ROUND(AY11*100,0),"%"," ",AZ1049,)," "),IF(AX1049&gt;0,CONCATENATE(" y ",ROUND(AY12*100,0),"%",", ",AZ1050,)," "),"en tal sentido la mayoría de los ",AW1045," es decir el ",ROUND(AX1053*100,0),"%"," tienen una percepción con una inclinación a un valor ",AW1056,","," para ",AX1062,".")</f>
        <v>0</v>
      </c>
      <c r="BA35" s="11"/>
      <c r="BD35" s="11"/>
      <c r="BF35" s="27" t="str">
        <f>CONCATENATE("En ","la ",BF5," y ",BF33," se observa los resultados  del  ",BF4," el cual aborda ",BG1062,",en donde se demuestra que el ",ROUND(BH8*100,0),"%"," de los ",BF1045," tienen una percepción de ",BI1046,", el ",ROUND(BH9*100,0),"%"," ",BI1047,", un ",ROUND(BH10*100,0),"%"," ",BI1048,",",IF(BG1049&gt;0,CONCATENATE(" ademas el ",ROUND(BH11*100,0),"%"," ",BI1049,)," "),IF(BG1049&gt;0,CONCATENATE(" y ",ROUND(BH12*100,0),"%",", ",BI1050,)," "),"en tal sentido la mayoría de los ",BF1045," es decir el ",ROUND(BG1053*100,0),"%"," tienen una percepción con una inclinación a un valor ",BF1056,","," para ",BG1062,".")</f>
        <v>0</v>
      </c>
      <c r="BJ35" s="11"/>
      <c r="BM35" s="11"/>
      <c r="BO35" s="27" t="str">
        <f>CONCATENATE("En ","la ",BO5," y ",BO33," se observa los resultados  del  ",BO4," el cual aborda ",BP1062,",en donde se demuestra que el ",ROUND(BQ8*100,0),"%"," de los ",BO1045," tienen una percepción de ",BR1046,", el ",ROUND(BQ9*100,0),"%"," ",BR1047,", un ",ROUND(BQ10*100,0),"%"," ",BR1048,",",IF(BP1049&gt;0,CONCATENATE(" ademas el ",ROUND(BQ11*100,0),"%"," ",BR1049,)," "),IF(BP1049&gt;0,CONCATENATE(" y ",ROUND(BQ12*100,0),"%",", ",BR1050,)," "),"en tal sentido la mayoría de los ",BO1045," es decir el ",ROUND(BP1053*100,0),"%"," tienen una percepción con una inclinación a un valor ",BO1056,","," para ",BP1062,".")</f>
        <v>0</v>
      </c>
      <c r="BS35" s="11"/>
      <c r="BV35" s="11"/>
      <c r="BX35" s="27" t="str">
        <f>CONCATENATE("En ","la ",BX5," y ",BX33," se observa los resultados  del  ",BX4," el cual aborda ",BY1062,",en donde se demuestra que el ",ROUND(BZ8*100,0),"%"," de los ",BX1045," tienen una percepción de ",CA1046,", el ",ROUND(BZ9*100,0),"%"," ",CA1047,", un ",ROUND(BZ10*100,0),"%"," ",CA1048,",",IF(BY1049&gt;0,CONCATENATE(" ademas el ",ROUND(BZ11*100,0),"%"," ",CA1049,)," "),IF(BY1049&gt;0,CONCATENATE(" y ",ROUND(BZ12*100,0),"%",", ",CA1050,)," "),"en tal sentido la mayoría de los ",BX1045," es decir el ",ROUND(BY1053*100,0),"%"," tienen una percepción con una inclinación a un valor ",BX1056,","," para ",BY1062,".")</f>
        <v>0</v>
      </c>
      <c r="CB35" s="11"/>
      <c r="CE35" s="11"/>
      <c r="CG35" s="27" t="str">
        <f>CONCATENATE("En ","la ",CG5," y ",CG33," se observa los resultados  del  ",CG4," el cual aborda ",CH1062,",en donde se demuestra que el ",ROUND(CI8*100,0),"%"," de los ",CG1045," tienen una percepción de ",CJ1046,", el ",ROUND(CI9*100,0),"%"," ",CJ1047,", un ",ROUND(CI10*100,0),"%"," ",CJ1048,",",IF(CH1049&gt;0,CONCATENATE(" ademas el ",ROUND(CI11*100,0),"%"," ",CJ1049,)," "),IF(CH1049&gt;0,CONCATENATE(" y ",ROUND(CI12*100,0),"%",", ",CJ1050,)," "),"en tal sentido la mayoría de los ",CG1045," es decir el ",ROUND(CH1053*100,0),"%"," tienen una percepción con una inclinación a un valor ",CG1056,","," para ",CH1062,".")</f>
        <v>0</v>
      </c>
      <c r="CK35" s="11"/>
      <c r="CN35" s="11"/>
      <c r="CP35" s="27" t="str">
        <f>CONCATENATE("En ","la ",CP5," y ",CP33," se observa los resultados  del  ",CP4," el cual aborda ",CQ1062,",en donde se demuestra que el ",ROUND(CR8*100,0),"%"," de los ",CP1045," tienen una percepción de ",CS1046,", el ",ROUND(CR9*100,0),"%"," ",CS1047,", un ",ROUND(CR10*100,0),"%"," ",CS1048,",",IF(CQ1049&gt;0,CONCATENATE(" ademas el ",ROUND(CR11*100,0),"%"," ",CS1049,)," "),IF(CQ1049&gt;0,CONCATENATE(" y ",ROUND(CR12*100,0),"%",", ",CS1050,)," "),"en tal sentido la mayoría de los ",CP1045," es decir el ",ROUND(CQ1053*100,0),"%"," tienen una percepción con una inclinación a un valor ",CP1056,","," para ",CQ1062,".")</f>
        <v>0</v>
      </c>
      <c r="CT35" s="11"/>
      <c r="CW35" s="11"/>
      <c r="CY35" s="27" t="str">
        <f>CONCATENATE("En ","la ",CY5," y ",CY33," se observa los resultados  del  ",CY4," el cual aborda ",CZ1062,",en donde se demuestra que el ",ROUND(DA8*100,0),"%"," de los ",CY1045," tienen una percepción de ",DB1046,", el ",ROUND(DA9*100,0),"%"," ",DB1047,", un ",ROUND(DA10*100,0),"%"," ",DB1048,",",IF(CZ1049&gt;0,CONCATENATE(" ademas el ",ROUND(DA11*100,0),"%"," ",DB1049,)," "),IF(CZ1049&gt;0,CONCATENATE(" y ",ROUND(DA12*100,0),"%",", ",DB1050,)," "),"en tal sentido la mayoría de los ",CY1045," es decir el ",ROUND(CZ1053*100,0),"%"," tienen una percepción con una inclinación a un valor ",CY1056,","," para ",CZ1062,".")</f>
        <v>0</v>
      </c>
      <c r="DC35" s="11"/>
      <c r="DF35" s="11"/>
      <c r="DH35" s="27" t="str">
        <f>CONCATENATE("En ","la ",DH5," y ",DH33," se observa los resultados  del  ",DH4," el cual aborda ",DI1062,",en donde se demuestra que el ",ROUND(DJ8*100,0),"%"," de los ",DH1045," tienen una percepción de ",DK1046,", el ",ROUND(DJ9*100,0),"%"," ",DK1047,", un ",ROUND(DJ10*100,0),"%"," ",DK1048,",",IF(DI1049&gt;0,CONCATENATE(" ademas el ",ROUND(DJ11*100,0),"%"," ",DK1049,)," "),IF(DI1049&gt;0,CONCATENATE(" y ",ROUND(DJ12*100,0),"%",", ",DK1050,)," "),"en tal sentido la mayoría de los ",DH1045," es decir el ",ROUND(DI1053*100,0),"%"," tienen una percepción con una inclinación a un valor ",DH1056,","," para ",DI1062,".")</f>
        <v>0</v>
      </c>
      <c r="DL35" s="11"/>
      <c r="DO35" s="11"/>
      <c r="DQ35" s="27" t="str">
        <f>CONCATENATE("En ","la ",DQ5," y ",DQ33," se observa los resultados  del  ",DQ4," el cual aborda ",DR1062,",en donde se demuestra que el ",ROUND(DS8*100,0),"%"," de los ",DQ1045," tienen una percepción de ",DT1046,", el ",ROUND(DS9*100,0),"%"," ",DT1047,", un ",ROUND(DS10*100,0),"%"," ",DT1048,",",IF(DR1049&gt;0,CONCATENATE(" ademas el ",ROUND(DS11*100,0),"%"," ",DT1049,)," "),IF(DR1049&gt;0,CONCATENATE(" y ",ROUND(DS12*100,0),"%",", ",DT1050,)," "),"en tal sentido la mayoría de los ",DQ1045," es decir el ",ROUND(DR1053*100,0),"%"," tienen una percepción con una inclinación a un valor ",DQ1056,","," para ",DR1062,".")</f>
        <v>0</v>
      </c>
      <c r="DU35" s="11"/>
      <c r="DX35" s="11"/>
      <c r="DZ35" s="27" t="str">
        <f>CONCATENATE("En ","la ",DZ5," y ",DZ33," se observa los resultados  del  ",DZ4," el cual aborda ",EA1062,",en donde se demuestra que el ",ROUND(EB8*100,0),"%"," de los ",DZ1045," tienen una percepción de ",EC1046,", el ",ROUND(EB9*100,0),"%"," ",EC1047,", un ",ROUND(EB10*100,0),"%"," ",EC1048,",",IF(EA1049&gt;0,CONCATENATE(" ademas el ",ROUND(EB11*100,0),"%"," ",EC1049,)," "),IF(EA1049&gt;0,CONCATENATE(" y ",ROUND(EB12*100,0),"%",", ",EC1050,)," "),"en tal sentido la mayoría de los ",DZ1045," es decir el ",ROUND(EA1053*100,0),"%"," tienen una percepción con una inclinación a un valor ",DZ1056,","," para ",EA1062,".")</f>
        <v>0</v>
      </c>
      <c r="ED35" s="11"/>
      <c r="EG35" s="11"/>
      <c r="EI35" s="27" t="str">
        <f>CONCATENATE("En ","la ",EI5," y ",EI33," se observa los resultados  del  ",EI4," el cual aborda ",EJ1062,",en donde se demuestra que el ",ROUND(EK8*100,0),"%"," de los ",EI1045," tienen una percepción de ",EL1046,", el ",ROUND(EK9*100,0),"%"," ",EL1047,", un ",ROUND(EK10*100,0),"%"," ",EL1048,",",IF(EJ1049&gt;0,CONCATENATE(" ademas el ",ROUND(EK11*100,0),"%"," ",EL1049,)," "),IF(EJ1049&gt;0,CONCATENATE(" y ",ROUND(EK12*100,0),"%",", ",EL1050,)," "),"en tal sentido la mayoría de los ",EI1045," es decir el ",ROUND(EJ1053*100,0),"%"," tienen una percepción con una inclinación a un valor ",EI1056,","," para ",EJ1062,".")</f>
        <v>0</v>
      </c>
      <c r="EM35" s="11"/>
      <c r="EP35" s="11"/>
      <c r="ER35" s="27" t="str">
        <f>CONCATENATE("En ","la ",ER5," y ",ER33," se observa los resultados  del  ",ER4," el cual aborda ",ES1062,",en donde se demuestra que el ",ROUND(ET8*100,0),"%"," de los ",ER1045," tienen una percepción de ",EU1046,", el ",ROUND(ET9*100,0),"%"," ",EU1047,", un ",ROUND(ET10*100,0),"%"," ",EU1048,",",IF(ES1049&gt;0,CONCATENATE(" ademas el ",ROUND(ET11*100,0),"%"," ",EU1049,)," "),IF(ES1049&gt;0,CONCATENATE(" y ",ROUND(ET12*100,0),"%",", ",EU1050,)," "),"en tal sentido la mayoría de los ",ER1045," es decir el ",ROUND(ES1053*100,0),"%"," tienen una percepción con una inclinación a un valor ",ER1056,","," para ",ES1062,".")</f>
        <v>0</v>
      </c>
      <c r="EV35" s="11"/>
      <c r="EY35" s="11"/>
      <c r="FA35" s="27" t="str">
        <f>CONCATENATE("En ","la ",FA5," y ",FA33," se observa los resultados  del  ",FA4," el cual aborda ",FB1062,",en donde se demuestra que el ",ROUND(FC8*100,0),"%"," de los ",FA1045," tienen una percepción de ",FD1046,", el ",ROUND(FC9*100,0),"%"," ",FD1047,", un ",ROUND(FC10*100,0),"%"," ",FD1048,",",IF(FB1049&gt;0,CONCATENATE(" ademas el ",ROUND(FC11*100,0),"%"," ",FD1049,)," "),IF(FB1049&gt;0,CONCATENATE(" y ",ROUND(FC12*100,0),"%",", ",FD1050,)," "),"en tal sentido la mayoría de los ",FA1045," es decir el ",ROUND(FB1053*100,0),"%"," tienen una percepción con una inclinación a un valor ",FA1056,","," para ",FB1062,".")</f>
        <v>0</v>
      </c>
      <c r="FE35" s="11"/>
      <c r="FH35" s="11"/>
      <c r="FJ35" s="27" t="str">
        <f>CONCATENATE("En ","la ",FJ5," y ",FJ33," se observa los resultados  del  ",FJ4," el cual aborda ",FK1062,",en donde se demuestra que el ",ROUND(FL8*100,0),"%"," de los ",FJ1045," tienen una percepción de ",FM1046,", el ",ROUND(FL9*100,0),"%"," ",FM1047,", un ",ROUND(FL10*100,0),"%"," ",FM1048,",",IF(FK1049&gt;0,CONCATENATE(" ademas el ",ROUND(FL11*100,0),"%"," ",FM1049,)," "),IF(FK1049&gt;0,CONCATENATE(" y ",ROUND(FL12*100,0),"%",", ",FM1050,)," "),"en tal sentido la mayoría de los ",FJ1045," es decir el ",ROUND(FK1053*100,0),"%"," tienen una percepción con una inclinación a un valor ",FJ1056,","," para ",FK1062,".")</f>
        <v>0</v>
      </c>
      <c r="FN35" s="11"/>
      <c r="FQ35" s="11"/>
      <c r="FS35" s="27" t="str">
        <f>CONCATENATE("En ","la ",FS5," y ",FS33," se observa los resultados  del  ",FS4," el cual aborda ",FT1062,",en donde se demuestra que el ",ROUND(FU8*100,0),"%"," de los ",FS1045," tienen una percepción de ",FV1046,", el ",ROUND(FU9*100,0),"%"," ",FV1047,", un ",ROUND(FU10*100,0),"%"," ",FV1048,",",IF(FT1049&gt;0,CONCATENATE(" ademas el ",ROUND(FU11*100,0),"%"," ",FV1049,)," "),IF(FT1049&gt;0,CONCATENATE(" y ",ROUND(FU12*100,0),"%",", ",FV1050,)," "),"en tal sentido la mayoría de los ",FS1045," es decir el ",ROUND(FT1053*100,0),"%"," tienen una percepción con una inclinación a un valor ",FS1056,","," para ",FT1062,".")</f>
        <v>0</v>
      </c>
      <c r="FW35" s="11"/>
    </row>
    <row r="36" spans="1:179">
      <c r="B36" s="11"/>
      <c r="H36" s="11"/>
      <c r="K36" s="11"/>
      <c r="Q36" s="11"/>
      <c r="T36" s="11"/>
      <c r="Z36" s="11"/>
      <c r="AC36" s="11"/>
      <c r="AI36" s="11"/>
      <c r="AL36" s="11"/>
      <c r="AR36" s="11"/>
      <c r="AU36" s="11"/>
      <c r="BA36" s="11"/>
      <c r="BD36" s="11"/>
      <c r="BJ36" s="11"/>
      <c r="BM36" s="11"/>
      <c r="BS36" s="11"/>
      <c r="BV36" s="11"/>
      <c r="CB36" s="11"/>
      <c r="CE36" s="11"/>
      <c r="CK36" s="11"/>
      <c r="CN36" s="11"/>
      <c r="CT36" s="11"/>
      <c r="CW36" s="11"/>
      <c r="DC36" s="11"/>
      <c r="DF36" s="11"/>
      <c r="DL36" s="11"/>
      <c r="DO36" s="11"/>
      <c r="DU36" s="11"/>
      <c r="DX36" s="11"/>
      <c r="ED36" s="11"/>
      <c r="EG36" s="11"/>
      <c r="EM36" s="11"/>
      <c r="EP36" s="11"/>
      <c r="EV36" s="11"/>
      <c r="EY36" s="11"/>
      <c r="FE36" s="11"/>
      <c r="FH36" s="11"/>
      <c r="FN36" s="11"/>
      <c r="FQ36" s="11"/>
      <c r="FW36" s="11"/>
    </row>
    <row r="37" spans="1:179">
      <c r="B37" s="11"/>
      <c r="H37" s="11"/>
      <c r="K37" s="11"/>
      <c r="Q37" s="11"/>
      <c r="T37" s="11"/>
      <c r="Z37" s="11"/>
      <c r="AC37" s="11"/>
      <c r="AI37" s="11"/>
      <c r="AL37" s="11"/>
      <c r="AR37" s="11"/>
      <c r="AU37" s="11"/>
      <c r="BA37" s="11"/>
      <c r="BD37" s="11"/>
      <c r="BJ37" s="11"/>
      <c r="BM37" s="11"/>
      <c r="BS37" s="11"/>
      <c r="BV37" s="11"/>
      <c r="CB37" s="11"/>
      <c r="CE37" s="11"/>
      <c r="CK37" s="11"/>
      <c r="CN37" s="11"/>
      <c r="CT37" s="11"/>
      <c r="CW37" s="11"/>
      <c r="DC37" s="11"/>
      <c r="DF37" s="11"/>
      <c r="DL37" s="11"/>
      <c r="DO37" s="11"/>
      <c r="DU37" s="11"/>
      <c r="DX37" s="11"/>
      <c r="ED37" s="11"/>
      <c r="EG37" s="11"/>
      <c r="EM37" s="11"/>
      <c r="EP37" s="11"/>
      <c r="EV37" s="11"/>
      <c r="EY37" s="11"/>
      <c r="FE37" s="11"/>
      <c r="FH37" s="11"/>
      <c r="FN37" s="11"/>
      <c r="FQ37" s="11"/>
      <c r="FW37" s="11"/>
    </row>
    <row r="38" spans="1:179">
      <c r="B38" s="11"/>
      <c r="H38" s="11"/>
      <c r="K38" s="11"/>
      <c r="Q38" s="11"/>
      <c r="T38" s="11"/>
      <c r="Z38" s="11"/>
      <c r="AC38" s="11"/>
      <c r="AI38" s="11"/>
      <c r="AL38" s="11"/>
      <c r="AR38" s="11"/>
      <c r="AU38" s="11"/>
      <c r="BA38" s="11"/>
      <c r="BD38" s="11"/>
      <c r="BJ38" s="11"/>
      <c r="BM38" s="11"/>
      <c r="BS38" s="11"/>
      <c r="BV38" s="11"/>
      <c r="CB38" s="11"/>
      <c r="CE38" s="11"/>
      <c r="CK38" s="11"/>
      <c r="CN38" s="11"/>
      <c r="CT38" s="11"/>
      <c r="CW38" s="11"/>
      <c r="DC38" s="11"/>
      <c r="DF38" s="11"/>
      <c r="DL38" s="11"/>
      <c r="DO38" s="11"/>
      <c r="DU38" s="11"/>
      <c r="DX38" s="11"/>
      <c r="ED38" s="11"/>
      <c r="EG38" s="11"/>
      <c r="EM38" s="11"/>
      <c r="EP38" s="11"/>
      <c r="EV38" s="11"/>
      <c r="EY38" s="11"/>
      <c r="FE38" s="11"/>
      <c r="FH38" s="11"/>
      <c r="FN38" s="11"/>
      <c r="FQ38" s="11"/>
      <c r="FW38" s="11"/>
    </row>
    <row r="39" spans="1:179">
      <c r="B39" s="11"/>
      <c r="H39" s="11"/>
      <c r="K39" s="11"/>
      <c r="Q39" s="11"/>
      <c r="T39" s="11"/>
      <c r="Z39" s="11"/>
      <c r="AC39" s="11"/>
      <c r="AI39" s="11"/>
      <c r="AL39" s="11"/>
      <c r="AR39" s="11"/>
      <c r="AU39" s="11"/>
      <c r="BA39" s="11"/>
      <c r="BD39" s="11"/>
      <c r="BJ39" s="11"/>
      <c r="BM39" s="11"/>
      <c r="BS39" s="11"/>
      <c r="BV39" s="11"/>
      <c r="CB39" s="11"/>
      <c r="CE39" s="11"/>
      <c r="CK39" s="11"/>
      <c r="CN39" s="11"/>
      <c r="CT39" s="11"/>
      <c r="CW39" s="11"/>
      <c r="DC39" s="11"/>
      <c r="DF39" s="11"/>
      <c r="DL39" s="11"/>
      <c r="DO39" s="11"/>
      <c r="DU39" s="11"/>
      <c r="DX39" s="11"/>
      <c r="ED39" s="11"/>
      <c r="EG39" s="11"/>
      <c r="EM39" s="11"/>
      <c r="EP39" s="11"/>
      <c r="EV39" s="11"/>
      <c r="EY39" s="11"/>
      <c r="FE39" s="11"/>
      <c r="FH39" s="11"/>
      <c r="FN39" s="11"/>
      <c r="FQ39" s="11"/>
      <c r="FW39" s="11"/>
    </row>
    <row r="1045" spans="1:179">
      <c r="D1045" s="33" t="s">
        <v>79</v>
      </c>
      <c r="E1045" s="33"/>
      <c r="M1045" s="33" t="s">
        <v>79</v>
      </c>
      <c r="N1045" s="33"/>
      <c r="V1045" s="33" t="s">
        <v>79</v>
      </c>
      <c r="W1045" s="33"/>
      <c r="AE1045" s="33" t="s">
        <v>79</v>
      </c>
      <c r="AF1045" s="33"/>
      <c r="AN1045" s="33" t="s">
        <v>79</v>
      </c>
      <c r="AO1045" s="33"/>
      <c r="AW1045" s="33" t="s">
        <v>79</v>
      </c>
      <c r="AX1045" s="33"/>
      <c r="BF1045" s="33" t="s">
        <v>79</v>
      </c>
      <c r="BG1045" s="33"/>
      <c r="BO1045" s="33" t="s">
        <v>79</v>
      </c>
      <c r="BP1045" s="33"/>
      <c r="BX1045" s="33" t="s">
        <v>79</v>
      </c>
      <c r="BY1045" s="33"/>
      <c r="CG1045" s="33" t="s">
        <v>79</v>
      </c>
      <c r="CH1045" s="33"/>
      <c r="CP1045" s="33" t="s">
        <v>79</v>
      </c>
      <c r="CQ1045" s="33"/>
      <c r="CY1045" s="33" t="s">
        <v>79</v>
      </c>
      <c r="CZ1045" s="33"/>
      <c r="DH1045" s="33" t="s">
        <v>79</v>
      </c>
      <c r="DI1045" s="33"/>
      <c r="DQ1045" s="33" t="s">
        <v>79</v>
      </c>
      <c r="DR1045" s="33"/>
      <c r="DZ1045" s="33" t="s">
        <v>79</v>
      </c>
      <c r="EA1045" s="33"/>
      <c r="EI1045" s="33" t="s">
        <v>79</v>
      </c>
      <c r="EJ1045" s="33"/>
      <c r="ER1045" s="33" t="s">
        <v>79</v>
      </c>
      <c r="ES1045" s="33"/>
      <c r="FA1045" s="33" t="s">
        <v>79</v>
      </c>
      <c r="FB1045" s="33"/>
      <c r="FJ1045" s="33" t="s">
        <v>79</v>
      </c>
      <c r="FK1045" s="33"/>
      <c r="FS1045" s="33" t="s">
        <v>79</v>
      </c>
      <c r="FT1045" s="33"/>
    </row>
    <row r="1046" spans="1:179">
      <c r="C1046" s="33">
        <v>1</v>
      </c>
      <c r="D1046" s="33" t="str">
        <f>IF(E1046=F8,D8,IF(E1046=F9,D9,IF(E1046=F10,D10,IF(E1046=F11,D11,IF(E1046=F12,D12,"ALGO ESTA MAL")))))</f>
        <v>0</v>
      </c>
      <c r="E1046" s="34" t="str">
        <f>LARGE($F$8:$F$12,C1046)</f>
        <v>0</v>
      </c>
      <c r="F1046" s="34" t="str">
        <f>IF(E1046&gt;0.1%,E1046,"Algo Esta Mal")</f>
        <v>0</v>
      </c>
      <c r="G1046" s="33" t="str">
        <f>IF(F1046=E1046,D1046," ")</f>
        <v>0</v>
      </c>
      <c r="L1046" s="33">
        <v>1</v>
      </c>
      <c r="M1046" s="33" t="str">
        <f>IF(N1046=O8,M8,IF(N1046=O9,M9,IF(N1046=O10,M10,IF(N1046=O11,M11,IF(N1046=O12,M12,"ALGO ESTA MAL")))))</f>
        <v>0</v>
      </c>
      <c r="N1046" s="34" t="str">
        <f>LARGE($O$8:$O$12,L1046)</f>
        <v>0</v>
      </c>
      <c r="O1046" s="34" t="str">
        <f>IF(N1046&gt;0.1%,N1046,"Algo Esta Mal")</f>
        <v>0</v>
      </c>
      <c r="P1046" s="33" t="str">
        <f>IF(O1046=N1046,M1046," ")</f>
        <v>0</v>
      </c>
      <c r="U1046" s="33">
        <v>1</v>
      </c>
      <c r="V1046" s="33" t="str">
        <f>IF(W1046=X8,V8,IF(W1046=X9,V9,IF(W1046=X10,V10,IF(W1046=X11,V11,IF(W1046=X12,V12,"ALGO ESTA MAL")))))</f>
        <v>0</v>
      </c>
      <c r="W1046" s="34" t="str">
        <f>LARGE($X$8:$X$12,U1046)</f>
        <v>0</v>
      </c>
      <c r="X1046" s="34" t="str">
        <f>IF(W1046&gt;0.1%,W1046,"Algo Esta Mal")</f>
        <v>0</v>
      </c>
      <c r="Y1046" s="33" t="str">
        <f>IF(X1046=W1046,V1046," ")</f>
        <v>0</v>
      </c>
      <c r="AD1046" s="33">
        <v>1</v>
      </c>
      <c r="AE1046" s="33" t="str">
        <f>IF(AF1046=AG8,AE8,IF(AF1046=AG9,AE9,IF(AF1046=AG10,AE10,IF(AF1046=AG11,AE11,IF(AF1046=AG12,AE12,"ALGO ESTA MAL")))))</f>
        <v>0</v>
      </c>
      <c r="AF1046" s="34" t="str">
        <f>LARGE($AG$8:$AG$12,AD1046)</f>
        <v>0</v>
      </c>
      <c r="AG1046" s="34" t="str">
        <f>IF(AF1046&gt;0.1%,AF1046,"Algo Esta Mal")</f>
        <v>0</v>
      </c>
      <c r="AH1046" s="33" t="str">
        <f>IF(AG1046=AF1046,AE1046," ")</f>
        <v>0</v>
      </c>
      <c r="AM1046" s="33">
        <v>1</v>
      </c>
      <c r="AN1046" s="33" t="str">
        <f>IF(AO1046=AP8,AN8,IF(AO1046=AP9,AN9,IF(AO1046=AP10,AN10,IF(AO1046=AP11,AN11,IF(AO1046=AP12,AN12,"ALGO ESTA MAL")))))</f>
        <v>0</v>
      </c>
      <c r="AO1046" s="34" t="str">
        <f>LARGE($AP$8:$AP$12,AM1046)</f>
        <v>0</v>
      </c>
      <c r="AP1046" s="34" t="str">
        <f>IF(AO1046&gt;0.1%,AO1046,"Algo Esta Mal")</f>
        <v>0</v>
      </c>
      <c r="AQ1046" s="33" t="str">
        <f>IF(AP1046=AO1046,AN1046," ")</f>
        <v>0</v>
      </c>
      <c r="AV1046" s="33">
        <v>1</v>
      </c>
      <c r="AW1046" s="33" t="str">
        <f>IF(AX1046=AY8,AW8,IF(AX1046=AY9,AW9,IF(AX1046=AY10,AW10,IF(AX1046=AY11,AW11,IF(AX1046=AY12,AW12,"ALGO ESTA MAL")))))</f>
        <v>0</v>
      </c>
      <c r="AX1046" s="34" t="str">
        <f>LARGE($AY$8:$AY$12,AV1046)</f>
        <v>0</v>
      </c>
      <c r="AY1046" s="34" t="str">
        <f>IF(AX1046&gt;0.1%,AX1046,"Algo Esta Mal")</f>
        <v>0</v>
      </c>
      <c r="AZ1046" s="33" t="str">
        <f>IF(AY1046=AX1046,AW1046," ")</f>
        <v>0</v>
      </c>
      <c r="BE1046" s="33">
        <v>1</v>
      </c>
      <c r="BF1046" s="33" t="str">
        <f>IF(BG1046=BH8,BF8,IF(BG1046=BH9,BF9,IF(BG1046=BH10,BF10,IF(BG1046=BH11,BF11,IF(BG1046=BH12,BF12,"ALGO ESTA MAL")))))</f>
        <v>0</v>
      </c>
      <c r="BG1046" s="34" t="str">
        <f>LARGE($BH$8:$BH$12,BE1046)</f>
        <v>0</v>
      </c>
      <c r="BH1046" s="34" t="str">
        <f>IF(BG1046&gt;0.1%,BG1046,"Algo Esta Mal")</f>
        <v>0</v>
      </c>
      <c r="BI1046" s="33" t="str">
        <f>IF(BH1046=BG1046,BF1046," ")</f>
        <v>0</v>
      </c>
      <c r="BN1046" s="33">
        <v>1</v>
      </c>
      <c r="BO1046" s="33" t="str">
        <f>IF(BP1046=BQ8,BO8,IF(BP1046=BQ9,BO9,IF(BP1046=BQ10,BO10,IF(BP1046=BQ11,BO11,IF(BP1046=BQ12,BO12,"ALGO ESTA MAL")))))</f>
        <v>0</v>
      </c>
      <c r="BP1046" s="34" t="str">
        <f>LARGE($BQ$8:$BQ$12,BN1046)</f>
        <v>0</v>
      </c>
      <c r="BQ1046" s="34" t="str">
        <f>IF(BP1046&gt;0.1%,BP1046,"Algo Esta Mal")</f>
        <v>0</v>
      </c>
      <c r="BR1046" s="33" t="str">
        <f>IF(BQ1046=BP1046,BO1046," ")</f>
        <v>0</v>
      </c>
      <c r="BW1046" s="33">
        <v>1</v>
      </c>
      <c r="BX1046" s="33" t="str">
        <f>IF(BY1046=BZ8,BX8,IF(BY1046=BZ9,BX9,IF(BY1046=BZ10,BX10,IF(BY1046=BZ11,BX11,IF(BY1046=BZ12,BX12,"ALGO ESTA MAL")))))</f>
        <v>0</v>
      </c>
      <c r="BY1046" s="34" t="str">
        <f>LARGE($BZ$8:$BZ$12,BW1046)</f>
        <v>0</v>
      </c>
      <c r="BZ1046" s="34" t="str">
        <f>IF(BY1046&gt;0.1%,BY1046,"Algo Esta Mal")</f>
        <v>0</v>
      </c>
      <c r="CA1046" s="33" t="str">
        <f>IF(BZ1046=BY1046,BX1046," ")</f>
        <v>0</v>
      </c>
      <c r="CF1046" s="33">
        <v>1</v>
      </c>
      <c r="CG1046" s="33" t="str">
        <f>IF(CH1046=CI8,CG8,IF(CH1046=CI9,CG9,IF(CH1046=CI10,CG10,IF(CH1046=CI11,CG11,IF(CH1046=CI12,CG12,"ALGO ESTA MAL")))))</f>
        <v>0</v>
      </c>
      <c r="CH1046" s="34" t="str">
        <f>LARGE($CI$8:$CI$12,CF1046)</f>
        <v>0</v>
      </c>
      <c r="CI1046" s="34" t="str">
        <f>IF(CH1046&gt;0.1%,CH1046,"Algo Esta Mal")</f>
        <v>0</v>
      </c>
      <c r="CJ1046" s="33" t="str">
        <f>IF(CI1046=CH1046,CG1046," ")</f>
        <v>0</v>
      </c>
      <c r="CO1046" s="33">
        <v>1</v>
      </c>
      <c r="CP1046" s="33" t="str">
        <f>IF(CQ1046=CR8,CP8,IF(CQ1046=CR9,CP9,IF(CQ1046=CR10,CP10,IF(CQ1046=CR11,CP11,IF(CQ1046=CR12,CP12,"ALGO ESTA MAL")))))</f>
        <v>0</v>
      </c>
      <c r="CQ1046" s="34" t="str">
        <f>LARGE($CR$8:$CR$12,CO1046)</f>
        <v>0</v>
      </c>
      <c r="CR1046" s="34" t="str">
        <f>IF(CQ1046&gt;0.1%,CQ1046,"Algo Esta Mal")</f>
        <v>0</v>
      </c>
      <c r="CS1046" s="33" t="str">
        <f>IF(CR1046=CQ1046,CP1046," ")</f>
        <v>0</v>
      </c>
      <c r="CX1046" s="33">
        <v>1</v>
      </c>
      <c r="CY1046" s="33" t="str">
        <f>IF(CZ1046=DA8,CY8,IF(CZ1046=DA9,CY9,IF(CZ1046=DA10,CY10,IF(CZ1046=DA11,CY11,IF(CZ1046=DA12,CY12,"ALGO ESTA MAL")))))</f>
        <v>0</v>
      </c>
      <c r="CZ1046" s="34" t="str">
        <f>LARGE($DA$8:$DA$12,CX1046)</f>
        <v>0</v>
      </c>
      <c r="DA1046" s="34" t="str">
        <f>IF(CZ1046&gt;0.1%,CZ1046,"Algo Esta Mal")</f>
        <v>0</v>
      </c>
      <c r="DB1046" s="33" t="str">
        <f>IF(DA1046=CZ1046,CY1046," ")</f>
        <v>0</v>
      </c>
      <c r="DG1046" s="33">
        <v>1</v>
      </c>
      <c r="DH1046" s="33" t="str">
        <f>IF(DI1046=DJ8,DH8,IF(DI1046=DJ9,DH9,IF(DI1046=DJ10,DH10,IF(DI1046=DJ11,DH11,IF(DI1046=DJ12,DH12,"ALGO ESTA MAL")))))</f>
        <v>0</v>
      </c>
      <c r="DI1046" s="34" t="str">
        <f>LARGE($DJ$8:$DJ$12,DG1046)</f>
        <v>0</v>
      </c>
      <c r="DJ1046" s="34" t="str">
        <f>IF(DI1046&gt;0.1%,DI1046,"Algo Esta Mal")</f>
        <v>0</v>
      </c>
      <c r="DK1046" s="33" t="str">
        <f>IF(DJ1046=DI1046,DH1046," ")</f>
        <v>0</v>
      </c>
      <c r="DP1046" s="33">
        <v>1</v>
      </c>
      <c r="DQ1046" s="33" t="str">
        <f>IF(DR1046=DS8,DQ8,IF(DR1046=DS9,DQ9,IF(DR1046=DS10,DQ10,IF(DR1046=DS11,DQ11,IF(DR1046=DS12,DQ12,"ALGO ESTA MAL")))))</f>
        <v>0</v>
      </c>
      <c r="DR1046" s="34" t="str">
        <f>LARGE($DS$8:$DS$12,DP1046)</f>
        <v>0</v>
      </c>
      <c r="DS1046" s="34" t="str">
        <f>IF(DR1046&gt;0.1%,DR1046,"Algo Esta Mal")</f>
        <v>0</v>
      </c>
      <c r="DT1046" s="33" t="str">
        <f>IF(DS1046=DR1046,DQ1046," ")</f>
        <v>0</v>
      </c>
      <c r="DY1046" s="33">
        <v>1</v>
      </c>
      <c r="DZ1046" s="33" t="str">
        <f>IF(EA1046=EB8,DZ8,IF(EA1046=EB9,DZ9,IF(EA1046=EB10,DZ10,IF(EA1046=EB11,DZ11,IF(EA1046=EB12,DZ12,"ALGO ESTA MAL")))))</f>
        <v>0</v>
      </c>
      <c r="EA1046" s="34" t="str">
        <f>LARGE($EB$8:$EB$12,DY1046)</f>
        <v>0</v>
      </c>
      <c r="EB1046" s="34" t="str">
        <f>IF(EA1046&gt;0.1%,EA1046,"Algo Esta Mal")</f>
        <v>0</v>
      </c>
      <c r="EC1046" s="33" t="str">
        <f>IF(EB1046=EA1046,DZ1046," ")</f>
        <v>0</v>
      </c>
      <c r="EH1046" s="33">
        <v>1</v>
      </c>
      <c r="EI1046" s="33" t="str">
        <f>IF(EJ1046=EK8,EI8,IF(EJ1046=EK9,EI9,IF(EJ1046=EK10,EI10,IF(EJ1046=EK11,EI11,IF(EJ1046=EK12,EI12,"ALGO ESTA MAL")))))</f>
        <v>0</v>
      </c>
      <c r="EJ1046" s="34" t="str">
        <f>LARGE($EK$8:$EK$12,EH1046)</f>
        <v>0</v>
      </c>
      <c r="EK1046" s="34" t="str">
        <f>IF(EJ1046&gt;0.1%,EJ1046,"Algo Esta Mal")</f>
        <v>0</v>
      </c>
      <c r="EL1046" s="33" t="str">
        <f>IF(EK1046=EJ1046,EI1046," ")</f>
        <v>0</v>
      </c>
      <c r="EQ1046" s="33">
        <v>1</v>
      </c>
      <c r="ER1046" s="33" t="str">
        <f>IF(ES1046=ET8,ER8,IF(ES1046=ET9,ER9,IF(ES1046=ET10,ER10,IF(ES1046=ET11,ER11,IF(ES1046=ET12,ER12,"ALGO ESTA MAL")))))</f>
        <v>0</v>
      </c>
      <c r="ES1046" s="34" t="str">
        <f>LARGE($ET$8:$ET$12,EQ1046)</f>
        <v>0</v>
      </c>
      <c r="ET1046" s="34" t="str">
        <f>IF(ES1046&gt;0.1%,ES1046,"Algo Esta Mal")</f>
        <v>0</v>
      </c>
      <c r="EU1046" s="33" t="str">
        <f>IF(ET1046=ES1046,ER1046," ")</f>
        <v>0</v>
      </c>
      <c r="EZ1046" s="33">
        <v>1</v>
      </c>
      <c r="FA1046" s="33" t="str">
        <f>IF(FB1046=FC8,FA8,IF(FB1046=FC9,FA9,IF(FB1046=FC10,FA10,IF(FB1046=FC11,FA11,IF(FB1046=FC12,FA12,"ALGO ESTA MAL")))))</f>
        <v>0</v>
      </c>
      <c r="FB1046" s="34" t="str">
        <f>LARGE($FC$8:$FC$12,EZ1046)</f>
        <v>0</v>
      </c>
      <c r="FC1046" s="34" t="str">
        <f>IF(FB1046&gt;0.1%,FB1046,"Algo Esta Mal")</f>
        <v>0</v>
      </c>
      <c r="FD1046" s="33" t="str">
        <f>IF(FC1046=FB1046,FA1046," ")</f>
        <v>0</v>
      </c>
      <c r="FI1046" s="33">
        <v>1</v>
      </c>
      <c r="FJ1046" s="33" t="str">
        <f>IF(FK1046=FL8,FJ8,IF(FK1046=FL9,FJ9,IF(FK1046=FL10,FJ10,IF(FK1046=FL11,FJ11,IF(FK1046=FL12,FJ12,"ALGO ESTA MAL")))))</f>
        <v>0</v>
      </c>
      <c r="FK1046" s="34" t="str">
        <f>LARGE($FL$8:$FL$12,FI1046)</f>
        <v>0</v>
      </c>
      <c r="FL1046" s="34" t="str">
        <f>IF(FK1046&gt;0.1%,FK1046,"Algo Esta Mal")</f>
        <v>0</v>
      </c>
      <c r="FM1046" s="33" t="str">
        <f>IF(FL1046=FK1046,FJ1046," ")</f>
        <v>0</v>
      </c>
      <c r="FR1046" s="33">
        <v>1</v>
      </c>
      <c r="FS1046" s="33" t="str">
        <f>IF(FT1046=FU8,FS8,IF(FT1046=FU9,FS9,IF(FT1046=FU10,FS10,IF(FT1046=FU11,FS11,IF(FT1046=FU12,FS12,"ALGO ESTA MAL")))))</f>
        <v>0</v>
      </c>
      <c r="FT1046" s="34" t="str">
        <f>LARGE($FU$8:$FU$12,FR1046)</f>
        <v>0</v>
      </c>
      <c r="FU1046" s="34" t="str">
        <f>IF(FT1046&gt;0.1%,FT1046,"Algo Esta Mal")</f>
        <v>0</v>
      </c>
      <c r="FV1046" s="33" t="str">
        <f>IF(FU1046=FT1046,FS1046," ")</f>
        <v>0</v>
      </c>
    </row>
    <row r="1047" spans="1:179">
      <c r="C1047" s="33">
        <v>2</v>
      </c>
      <c r="D1047" s="33" t="str">
        <f>IF(E1047=F8,D8,IF(E1047=F9,D9,IF(E1047=F10,D10,IF(E1047=F11,D11,IF(E1047=F12,D12,"ALGO ESTA MAL")))))</f>
        <v>0</v>
      </c>
      <c r="E1047" s="34" t="str">
        <f>LARGE($F$8:$F$12,C1047)</f>
        <v>0</v>
      </c>
      <c r="F1047" s="34" t="str">
        <f>IF(E1047&gt;0.1%,E1047,"Algo Esta Mal")</f>
        <v>0</v>
      </c>
      <c r="G1047" s="33" t="str">
        <f>IF(F1047=E1047,D1047," ")</f>
        <v>0</v>
      </c>
      <c r="L1047" s="33">
        <v>2</v>
      </c>
      <c r="M1047" s="33" t="str">
        <f>IF(N1047=O8,M8,IF(N1047=O9,M9,IF(N1047=O10,M10,IF(N1047=O11,M11,IF(N1047=O12,M12,"ALGO ESTA MAL")))))</f>
        <v>0</v>
      </c>
      <c r="N1047" s="34" t="str">
        <f>LARGE($O$8:$O$12,L1047)</f>
        <v>0</v>
      </c>
      <c r="O1047" s="34" t="str">
        <f>IF(N1047&gt;0.1%,N1047,"Algo Esta Mal")</f>
        <v>0</v>
      </c>
      <c r="P1047" s="33" t="str">
        <f>IF(O1047=N1047,M1047," ")</f>
        <v>0</v>
      </c>
      <c r="U1047" s="33">
        <v>2</v>
      </c>
      <c r="V1047" s="33" t="str">
        <f>IF(W1047=X8,V8,IF(W1047=X9,V9,IF(W1047=X10,V10,IF(W1047=X11,V11,IF(W1047=X12,V12,"ALGO ESTA MAL")))))</f>
        <v>0</v>
      </c>
      <c r="W1047" s="34" t="str">
        <f>LARGE($X$8:$X$12,U1047)</f>
        <v>0</v>
      </c>
      <c r="X1047" s="34" t="str">
        <f>IF(W1047&gt;0.1%,W1047,"Algo Esta Mal")</f>
        <v>0</v>
      </c>
      <c r="Y1047" s="33" t="str">
        <f>IF(X1047=W1047,V1047," ")</f>
        <v>0</v>
      </c>
      <c r="AD1047" s="33">
        <v>2</v>
      </c>
      <c r="AE1047" s="33" t="str">
        <f>IF(AF1047=AG8,AE8,IF(AF1047=AG9,AE9,IF(AF1047=AG10,AE10,IF(AF1047=AG11,AE11,IF(AF1047=AG12,AE12,"ALGO ESTA MAL")))))</f>
        <v>0</v>
      </c>
      <c r="AF1047" s="34" t="str">
        <f>LARGE($AG$8:$AG$12,AD1047)</f>
        <v>0</v>
      </c>
      <c r="AG1047" s="34" t="str">
        <f>IF(AF1047&gt;0.1%,AF1047,"Algo Esta Mal")</f>
        <v>0</v>
      </c>
      <c r="AH1047" s="33" t="str">
        <f>IF(AG1047=AF1047,AE1047," ")</f>
        <v>0</v>
      </c>
      <c r="AM1047" s="33">
        <v>2</v>
      </c>
      <c r="AN1047" s="33" t="str">
        <f>IF(AO1047=AP8,AN8,IF(AO1047=AP9,AN9,IF(AO1047=AP10,AN10,IF(AO1047=AP11,AN11,IF(AO1047=AP12,AN12,"ALGO ESTA MAL")))))</f>
        <v>0</v>
      </c>
      <c r="AO1047" s="34" t="str">
        <f>LARGE($AP$8:$AP$12,AM1047)</f>
        <v>0</v>
      </c>
      <c r="AP1047" s="34" t="str">
        <f>IF(AO1047&gt;0.1%,AO1047,"Algo Esta Mal")</f>
        <v>0</v>
      </c>
      <c r="AQ1047" s="33" t="str">
        <f>IF(AP1047=AO1047,AN1047," ")</f>
        <v>0</v>
      </c>
      <c r="AV1047" s="33">
        <v>2</v>
      </c>
      <c r="AW1047" s="33" t="str">
        <f>IF(AX1047=AY8,AW8,IF(AX1047=AY9,AW9,IF(AX1047=AY10,AW10,IF(AX1047=AY11,AW11,IF(AX1047=AY12,AW12,"ALGO ESTA MAL")))))</f>
        <v>0</v>
      </c>
      <c r="AX1047" s="34" t="str">
        <f>LARGE($AY$8:$AY$12,AV1047)</f>
        <v>0</v>
      </c>
      <c r="AY1047" s="34" t="str">
        <f>IF(AX1047&gt;0.1%,AX1047,"Algo Esta Mal")</f>
        <v>0</v>
      </c>
      <c r="AZ1047" s="33" t="str">
        <f>IF(AY1047=AX1047,AW1047," ")</f>
        <v>0</v>
      </c>
      <c r="BE1047" s="33">
        <v>2</v>
      </c>
      <c r="BF1047" s="33" t="str">
        <f>IF(BG1047=BH8,BF8,IF(BG1047=BH9,BF9,IF(BG1047=BH10,BF10,IF(BG1047=BH11,BF11,IF(BG1047=BH12,BF12,"ALGO ESTA MAL")))))</f>
        <v>0</v>
      </c>
      <c r="BG1047" s="34" t="str">
        <f>LARGE($BH$8:$BH$12,BE1047)</f>
        <v>0</v>
      </c>
      <c r="BH1047" s="34" t="str">
        <f>IF(BG1047&gt;0.1%,BG1047,"Algo Esta Mal")</f>
        <v>0</v>
      </c>
      <c r="BI1047" s="33" t="str">
        <f>IF(BH1047=BG1047,BF1047," ")</f>
        <v>0</v>
      </c>
      <c r="BN1047" s="33">
        <v>2</v>
      </c>
      <c r="BO1047" s="33" t="str">
        <f>IF(BP1047=BQ8,BO8,IF(BP1047=BQ9,BO9,IF(BP1047=BQ10,BO10,IF(BP1047=BQ11,BO11,IF(BP1047=BQ12,BO12,"ALGO ESTA MAL")))))</f>
        <v>0</v>
      </c>
      <c r="BP1047" s="34" t="str">
        <f>LARGE($BQ$8:$BQ$12,BN1047)</f>
        <v>0</v>
      </c>
      <c r="BQ1047" s="34" t="str">
        <f>IF(BP1047&gt;0.1%,BP1047,"Algo Esta Mal")</f>
        <v>0</v>
      </c>
      <c r="BR1047" s="33" t="str">
        <f>IF(BQ1047=BP1047,BO1047," ")</f>
        <v>0</v>
      </c>
      <c r="BW1047" s="33">
        <v>2</v>
      </c>
      <c r="BX1047" s="33" t="str">
        <f>IF(BY1047=BZ8,BX8,IF(BY1047=BZ9,BX9,IF(BY1047=BZ10,BX10,IF(BY1047=BZ11,BX11,IF(BY1047=BZ12,BX12,"ALGO ESTA MAL")))))</f>
        <v>0</v>
      </c>
      <c r="BY1047" s="34" t="str">
        <f>LARGE($BZ$8:$BZ$12,BW1047)</f>
        <v>0</v>
      </c>
      <c r="BZ1047" s="34" t="str">
        <f>IF(BY1047&gt;0.1%,BY1047,"Algo Esta Mal")</f>
        <v>0</v>
      </c>
      <c r="CA1047" s="33" t="str">
        <f>IF(BZ1047=BY1047,BX1047," ")</f>
        <v>0</v>
      </c>
      <c r="CF1047" s="33">
        <v>2</v>
      </c>
      <c r="CG1047" s="33" t="str">
        <f>IF(CH1047=CI8,CG8,IF(CH1047=CI9,CG9,IF(CH1047=CI10,CG10,IF(CH1047=CI11,CG11,IF(CH1047=CI12,CG12,"ALGO ESTA MAL")))))</f>
        <v>0</v>
      </c>
      <c r="CH1047" s="34" t="str">
        <f>LARGE($CI$8:$CI$12,CF1047)</f>
        <v>0</v>
      </c>
      <c r="CI1047" s="34" t="str">
        <f>IF(CH1047&gt;0.1%,CH1047,"Algo Esta Mal")</f>
        <v>0</v>
      </c>
      <c r="CJ1047" s="33" t="str">
        <f>IF(CI1047=CH1047,CG1047," ")</f>
        <v>0</v>
      </c>
      <c r="CO1047" s="33">
        <v>2</v>
      </c>
      <c r="CP1047" s="33" t="str">
        <f>IF(CQ1047=CR8,CP8,IF(CQ1047=CR9,CP9,IF(CQ1047=CR10,CP10,IF(CQ1047=CR11,CP11,IF(CQ1047=CR12,CP12,"ALGO ESTA MAL")))))</f>
        <v>0</v>
      </c>
      <c r="CQ1047" s="34" t="str">
        <f>LARGE($CR$8:$CR$12,CO1047)</f>
        <v>0</v>
      </c>
      <c r="CR1047" s="34" t="str">
        <f>IF(CQ1047&gt;0.1%,CQ1047,"Algo Esta Mal")</f>
        <v>0</v>
      </c>
      <c r="CS1047" s="33" t="str">
        <f>IF(CR1047=CQ1047,CP1047," ")</f>
        <v>0</v>
      </c>
      <c r="CX1047" s="33">
        <v>2</v>
      </c>
      <c r="CY1047" s="33" t="str">
        <f>IF(CZ1047=DA8,CY8,IF(CZ1047=DA9,CY9,IF(CZ1047=DA10,CY10,IF(CZ1047=DA11,CY11,IF(CZ1047=DA12,CY12,"ALGO ESTA MAL")))))</f>
        <v>0</v>
      </c>
      <c r="CZ1047" s="34" t="str">
        <f>LARGE($DA$8:$DA$12,CX1047)</f>
        <v>0</v>
      </c>
      <c r="DA1047" s="34" t="str">
        <f>IF(CZ1047&gt;0.1%,CZ1047,"Algo Esta Mal")</f>
        <v>0</v>
      </c>
      <c r="DB1047" s="33" t="str">
        <f>IF(DA1047=CZ1047,CY1047," ")</f>
        <v>0</v>
      </c>
      <c r="DG1047" s="33">
        <v>2</v>
      </c>
      <c r="DH1047" s="33" t="str">
        <f>IF(DI1047=DJ8,DH8,IF(DI1047=DJ9,DH9,IF(DI1047=DJ10,DH10,IF(DI1047=DJ11,DH11,IF(DI1047=DJ12,DH12,"ALGO ESTA MAL")))))</f>
        <v>0</v>
      </c>
      <c r="DI1047" s="34" t="str">
        <f>LARGE($DJ$8:$DJ$12,DG1047)</f>
        <v>0</v>
      </c>
      <c r="DJ1047" s="34" t="str">
        <f>IF(DI1047&gt;0.1%,DI1047,"Algo Esta Mal")</f>
        <v>0</v>
      </c>
      <c r="DK1047" s="33" t="str">
        <f>IF(DJ1047=DI1047,DH1047," ")</f>
        <v>0</v>
      </c>
      <c r="DP1047" s="33">
        <v>2</v>
      </c>
      <c r="DQ1047" s="33" t="str">
        <f>IF(DR1047=DS8,DQ8,IF(DR1047=DS9,DQ9,IF(DR1047=DS10,DQ10,IF(DR1047=DS11,DQ11,IF(DR1047=DS12,DQ12,"ALGO ESTA MAL")))))</f>
        <v>0</v>
      </c>
      <c r="DR1047" s="34" t="str">
        <f>LARGE($DS$8:$DS$12,DP1047)</f>
        <v>0</v>
      </c>
      <c r="DS1047" s="34" t="str">
        <f>IF(DR1047&gt;0.1%,DR1047,"Algo Esta Mal")</f>
        <v>0</v>
      </c>
      <c r="DT1047" s="33" t="str">
        <f>IF(DS1047=DR1047,DQ1047," ")</f>
        <v>0</v>
      </c>
      <c r="DY1047" s="33">
        <v>2</v>
      </c>
      <c r="DZ1047" s="33" t="str">
        <f>IF(EA1047=EB8,DZ8,IF(EA1047=EB9,DZ9,IF(EA1047=EB10,DZ10,IF(EA1047=EB11,DZ11,IF(EA1047=EB12,DZ12,"ALGO ESTA MAL")))))</f>
        <v>0</v>
      </c>
      <c r="EA1047" s="34" t="str">
        <f>LARGE($EB$8:$EB$12,DY1047)</f>
        <v>0</v>
      </c>
      <c r="EB1047" s="34" t="str">
        <f>IF(EA1047&gt;0.1%,EA1047,"Algo Esta Mal")</f>
        <v>0</v>
      </c>
      <c r="EC1047" s="33" t="str">
        <f>IF(EB1047=EA1047,DZ1047," ")</f>
        <v>0</v>
      </c>
      <c r="EH1047" s="33">
        <v>2</v>
      </c>
      <c r="EI1047" s="33" t="str">
        <f>IF(EJ1047=EK8,EI8,IF(EJ1047=EK9,EI9,IF(EJ1047=EK10,EI10,IF(EJ1047=EK11,EI11,IF(EJ1047=EK12,EI12,"ALGO ESTA MAL")))))</f>
        <v>0</v>
      </c>
      <c r="EJ1047" s="34" t="str">
        <f>LARGE($EK$8:$EK$12,EH1047)</f>
        <v>0</v>
      </c>
      <c r="EK1047" s="34" t="str">
        <f>IF(EJ1047&gt;0.1%,EJ1047,"Algo Esta Mal")</f>
        <v>0</v>
      </c>
      <c r="EL1047" s="33" t="str">
        <f>IF(EK1047=EJ1047,EI1047," ")</f>
        <v>0</v>
      </c>
      <c r="EQ1047" s="33">
        <v>2</v>
      </c>
      <c r="ER1047" s="33" t="str">
        <f>IF(ES1047=ET8,ER8,IF(ES1047=ET9,ER9,IF(ES1047=ET10,ER10,IF(ES1047=ET11,ER11,IF(ES1047=ET12,ER12,"ALGO ESTA MAL")))))</f>
        <v>0</v>
      </c>
      <c r="ES1047" s="34" t="str">
        <f>LARGE($ET$8:$ET$12,EQ1047)</f>
        <v>0</v>
      </c>
      <c r="ET1047" s="34" t="str">
        <f>IF(ES1047&gt;0.1%,ES1047,"Algo Esta Mal")</f>
        <v>0</v>
      </c>
      <c r="EU1047" s="33" t="str">
        <f>IF(ET1047=ES1047,ER1047," ")</f>
        <v>0</v>
      </c>
      <c r="EZ1047" s="33">
        <v>2</v>
      </c>
      <c r="FA1047" s="33" t="str">
        <f>IF(FB1047=FC8,FA8,IF(FB1047=FC9,FA9,IF(FB1047=FC10,FA10,IF(FB1047=FC11,FA11,IF(FB1047=FC12,FA12,"ALGO ESTA MAL")))))</f>
        <v>0</v>
      </c>
      <c r="FB1047" s="34" t="str">
        <f>LARGE($FC$8:$FC$12,EZ1047)</f>
        <v>0</v>
      </c>
      <c r="FC1047" s="34" t="str">
        <f>IF(FB1047&gt;0.1%,FB1047,"Algo Esta Mal")</f>
        <v>0</v>
      </c>
      <c r="FD1047" s="33" t="str">
        <f>IF(FC1047=FB1047,FA1047," ")</f>
        <v>0</v>
      </c>
      <c r="FI1047" s="33">
        <v>2</v>
      </c>
      <c r="FJ1047" s="33" t="str">
        <f>IF(FK1047=FL8,FJ8,IF(FK1047=FL9,FJ9,IF(FK1047=FL10,FJ10,IF(FK1047=FL11,FJ11,IF(FK1047=FL12,FJ12,"ALGO ESTA MAL")))))</f>
        <v>0</v>
      </c>
      <c r="FK1047" s="34" t="str">
        <f>LARGE($FL$8:$FL$12,FI1047)</f>
        <v>0</v>
      </c>
      <c r="FL1047" s="34" t="str">
        <f>IF(FK1047&gt;0.1%,FK1047,"Algo Esta Mal")</f>
        <v>0</v>
      </c>
      <c r="FM1047" s="33" t="str">
        <f>IF(FL1047=FK1047,FJ1047," ")</f>
        <v>0</v>
      </c>
      <c r="FR1047" s="33">
        <v>2</v>
      </c>
      <c r="FS1047" s="33" t="str">
        <f>IF(FT1047=FU8,FS8,IF(FT1047=FU9,FS9,IF(FT1047=FU10,FS10,IF(FT1047=FU11,FS11,IF(FT1047=FU12,FS12,"ALGO ESTA MAL")))))</f>
        <v>0</v>
      </c>
      <c r="FT1047" s="34" t="str">
        <f>LARGE($FU$8:$FU$12,FR1047)</f>
        <v>0</v>
      </c>
      <c r="FU1047" s="34" t="str">
        <f>IF(FT1047&gt;0.1%,FT1047,"Algo Esta Mal")</f>
        <v>0</v>
      </c>
      <c r="FV1047" s="33" t="str">
        <f>IF(FU1047=FT1047,FS1047," ")</f>
        <v>0</v>
      </c>
    </row>
    <row r="1048" spans="1:179">
      <c r="C1048" s="33">
        <v>3</v>
      </c>
      <c r="D1048" s="33" t="str">
        <f>IF(E1048=F8,D8,IF(E1048=F9,D9,IF(E1048=F10,D10,IF(E1048=F11,D11,IF(E1048=F12,D12,"ALGO ESTA MAL")))))</f>
        <v>0</v>
      </c>
      <c r="E1048" s="34" t="str">
        <f>LARGE($F$8:$F$12,C1048)</f>
        <v>0</v>
      </c>
      <c r="F1048" s="34" t="str">
        <f>IF(E1048&gt;0.1%,E1048,"Algo Esta Mal")</f>
        <v>0</v>
      </c>
      <c r="G1048" s="33" t="str">
        <f>IF(F1048=E1048,D1048," ")</f>
        <v>0</v>
      </c>
      <c r="L1048" s="33">
        <v>3</v>
      </c>
      <c r="M1048" s="33" t="str">
        <f>IF(N1048=O8,M8,IF(N1048=O9,M9,IF(N1048=O10,M10,IF(N1048=O11,M11,IF(N1048=O12,M12,"ALGO ESTA MAL")))))</f>
        <v>0</v>
      </c>
      <c r="N1048" s="34" t="str">
        <f>LARGE($O$8:$O$12,L1048)</f>
        <v>0</v>
      </c>
      <c r="O1048" s="34" t="str">
        <f>IF(N1048&gt;0.1%,N1048,"Algo Esta Mal")</f>
        <v>0</v>
      </c>
      <c r="P1048" s="33" t="str">
        <f>IF(O1048=N1048,M1048," ")</f>
        <v>0</v>
      </c>
      <c r="U1048" s="33">
        <v>3</v>
      </c>
      <c r="V1048" s="33" t="str">
        <f>IF(W1048=X8,V8,IF(W1048=X9,V9,IF(W1048=X10,V10,IF(W1048=X11,V11,IF(W1048=X12,V12,"ALGO ESTA MAL")))))</f>
        <v>0</v>
      </c>
      <c r="W1048" s="34" t="str">
        <f>LARGE($X$8:$X$12,U1048)</f>
        <v>0</v>
      </c>
      <c r="X1048" s="34" t="str">
        <f>IF(W1048&gt;0.1%,W1048,"Algo Esta Mal")</f>
        <v>0</v>
      </c>
      <c r="Y1048" s="33" t="str">
        <f>IF(X1048=W1048,V1048," ")</f>
        <v>0</v>
      </c>
      <c r="AD1048" s="33">
        <v>3</v>
      </c>
      <c r="AE1048" s="33" t="str">
        <f>IF(AF1048=AG8,AE8,IF(AF1048=AG9,AE9,IF(AF1048=AG10,AE10,IF(AF1048=AG11,AE11,IF(AF1048=AG12,AE12,"ALGO ESTA MAL")))))</f>
        <v>0</v>
      </c>
      <c r="AF1048" s="34" t="str">
        <f>LARGE($AG$8:$AG$12,AD1048)</f>
        <v>0</v>
      </c>
      <c r="AG1048" s="34" t="str">
        <f>IF(AF1048&gt;0.1%,AF1048,"Algo Esta Mal")</f>
        <v>0</v>
      </c>
      <c r="AH1048" s="33" t="str">
        <f>IF(AG1048=AF1048,AE1048," ")</f>
        <v>0</v>
      </c>
      <c r="AM1048" s="33">
        <v>3</v>
      </c>
      <c r="AN1048" s="33" t="str">
        <f>IF(AO1048=AP8,AN8,IF(AO1048=AP9,AN9,IF(AO1048=AP10,AN10,IF(AO1048=AP11,AN11,IF(AO1048=AP12,AN12,"ALGO ESTA MAL")))))</f>
        <v>0</v>
      </c>
      <c r="AO1048" s="34" t="str">
        <f>LARGE($AP$8:$AP$12,AM1048)</f>
        <v>0</v>
      </c>
      <c r="AP1048" s="34" t="str">
        <f>IF(AO1048&gt;0.1%,AO1048,"Algo Esta Mal")</f>
        <v>0</v>
      </c>
      <c r="AQ1048" s="33" t="str">
        <f>IF(AP1048=AO1048,AN1048," ")</f>
        <v>0</v>
      </c>
      <c r="AV1048" s="33">
        <v>3</v>
      </c>
      <c r="AW1048" s="33" t="str">
        <f>IF(AX1048=AY8,AW8,IF(AX1048=AY9,AW9,IF(AX1048=AY10,AW10,IF(AX1048=AY11,AW11,IF(AX1048=AY12,AW12,"ALGO ESTA MAL")))))</f>
        <v>0</v>
      </c>
      <c r="AX1048" s="34" t="str">
        <f>LARGE($AY$8:$AY$12,AV1048)</f>
        <v>0</v>
      </c>
      <c r="AY1048" s="34" t="str">
        <f>IF(AX1048&gt;0.1%,AX1048,"Algo Esta Mal")</f>
        <v>0</v>
      </c>
      <c r="AZ1048" s="33" t="str">
        <f>IF(AY1048=AX1048,AW1048," ")</f>
        <v>0</v>
      </c>
      <c r="BE1048" s="33">
        <v>3</v>
      </c>
      <c r="BF1048" s="33" t="str">
        <f>IF(BG1048=BH8,BF8,IF(BG1048=BH9,BF9,IF(BG1048=BH10,BF10,IF(BG1048=BH11,BF11,IF(BG1048=BH12,BF12,"ALGO ESTA MAL")))))</f>
        <v>0</v>
      </c>
      <c r="BG1048" s="34" t="str">
        <f>LARGE($BH$8:$BH$12,BE1048)</f>
        <v>0</v>
      </c>
      <c r="BH1048" s="34" t="str">
        <f>IF(BG1048&gt;0.1%,BG1048,"Algo Esta Mal")</f>
        <v>0</v>
      </c>
      <c r="BI1048" s="33" t="str">
        <f>IF(BH1048=BG1048,BF1048," ")</f>
        <v>0</v>
      </c>
      <c r="BN1048" s="33">
        <v>3</v>
      </c>
      <c r="BO1048" s="33" t="str">
        <f>IF(BP1048=BQ8,BO8,IF(BP1048=BQ9,BO9,IF(BP1048=BQ10,BO10,IF(BP1048=BQ11,BO11,IF(BP1048=BQ12,BO12,"ALGO ESTA MAL")))))</f>
        <v>0</v>
      </c>
      <c r="BP1048" s="34" t="str">
        <f>LARGE($BQ$8:$BQ$12,BN1048)</f>
        <v>0</v>
      </c>
      <c r="BQ1048" s="34" t="str">
        <f>IF(BP1048&gt;0.1%,BP1048,"Algo Esta Mal")</f>
        <v>0</v>
      </c>
      <c r="BR1048" s="33" t="str">
        <f>IF(BQ1048=BP1048,BO1048," ")</f>
        <v>0</v>
      </c>
      <c r="BW1048" s="33">
        <v>3</v>
      </c>
      <c r="BX1048" s="33" t="str">
        <f>IF(BY1048=BZ8,BX8,IF(BY1048=BZ9,BX9,IF(BY1048=BZ10,BX10,IF(BY1048=BZ11,BX11,IF(BY1048=BZ12,BX12,"ALGO ESTA MAL")))))</f>
        <v>0</v>
      </c>
      <c r="BY1048" s="34" t="str">
        <f>LARGE($BZ$8:$BZ$12,BW1048)</f>
        <v>0</v>
      </c>
      <c r="BZ1048" s="34" t="str">
        <f>IF(BY1048&gt;0.1%,BY1048,"Algo Esta Mal")</f>
        <v>0</v>
      </c>
      <c r="CA1048" s="33" t="str">
        <f>IF(BZ1048=BY1048,BX1048," ")</f>
        <v>0</v>
      </c>
      <c r="CF1048" s="33">
        <v>3</v>
      </c>
      <c r="CG1048" s="33" t="str">
        <f>IF(CH1048=CI8,CG8,IF(CH1048=CI9,CG9,IF(CH1048=CI10,CG10,IF(CH1048=CI11,CG11,IF(CH1048=CI12,CG12,"ALGO ESTA MAL")))))</f>
        <v>0</v>
      </c>
      <c r="CH1048" s="34" t="str">
        <f>LARGE($CI$8:$CI$12,CF1048)</f>
        <v>0</v>
      </c>
      <c r="CI1048" s="34" t="str">
        <f>IF(CH1048&gt;0.1%,CH1048,"Algo Esta Mal")</f>
        <v>0</v>
      </c>
      <c r="CJ1048" s="33" t="str">
        <f>IF(CI1048=CH1048,CG1048," ")</f>
        <v>0</v>
      </c>
      <c r="CO1048" s="33">
        <v>3</v>
      </c>
      <c r="CP1048" s="33" t="str">
        <f>IF(CQ1048=CR8,CP8,IF(CQ1048=CR9,CP9,IF(CQ1048=CR10,CP10,IF(CQ1048=CR11,CP11,IF(CQ1048=CR12,CP12,"ALGO ESTA MAL")))))</f>
        <v>0</v>
      </c>
      <c r="CQ1048" s="34" t="str">
        <f>LARGE($CR$8:$CR$12,CO1048)</f>
        <v>0</v>
      </c>
      <c r="CR1048" s="34" t="str">
        <f>IF(CQ1048&gt;0.1%,CQ1048,"Algo Esta Mal")</f>
        <v>0</v>
      </c>
      <c r="CS1048" s="33" t="str">
        <f>IF(CR1048=CQ1048,CP1048," ")</f>
        <v>0</v>
      </c>
      <c r="CX1048" s="33">
        <v>3</v>
      </c>
      <c r="CY1048" s="33" t="str">
        <f>IF(CZ1048=DA8,CY8,IF(CZ1048=DA9,CY9,IF(CZ1048=DA10,CY10,IF(CZ1048=DA11,CY11,IF(CZ1048=DA12,CY12,"ALGO ESTA MAL")))))</f>
        <v>0</v>
      </c>
      <c r="CZ1048" s="34" t="str">
        <f>LARGE($DA$8:$DA$12,CX1048)</f>
        <v>0</v>
      </c>
      <c r="DA1048" s="34" t="str">
        <f>IF(CZ1048&gt;0.1%,CZ1048,"Algo Esta Mal")</f>
        <v>0</v>
      </c>
      <c r="DB1048" s="33" t="str">
        <f>IF(DA1048=CZ1048,CY1048," ")</f>
        <v>0</v>
      </c>
      <c r="DG1048" s="33">
        <v>3</v>
      </c>
      <c r="DH1048" s="33" t="str">
        <f>IF(DI1048=DJ8,DH8,IF(DI1048=DJ9,DH9,IF(DI1048=DJ10,DH10,IF(DI1048=DJ11,DH11,IF(DI1048=DJ12,DH12,"ALGO ESTA MAL")))))</f>
        <v>0</v>
      </c>
      <c r="DI1048" s="34" t="str">
        <f>LARGE($DJ$8:$DJ$12,DG1048)</f>
        <v>0</v>
      </c>
      <c r="DJ1048" s="34" t="str">
        <f>IF(DI1048&gt;0.1%,DI1048,"Algo Esta Mal")</f>
        <v>0</v>
      </c>
      <c r="DK1048" s="33" t="str">
        <f>IF(DJ1048=DI1048,DH1048," ")</f>
        <v>0</v>
      </c>
      <c r="DP1048" s="33">
        <v>3</v>
      </c>
      <c r="DQ1048" s="33" t="str">
        <f>IF(DR1048=DS8,DQ8,IF(DR1048=DS9,DQ9,IF(DR1048=DS10,DQ10,IF(DR1048=DS11,DQ11,IF(DR1048=DS12,DQ12,"ALGO ESTA MAL")))))</f>
        <v>0</v>
      </c>
      <c r="DR1048" s="34" t="str">
        <f>LARGE($DS$8:$DS$12,DP1048)</f>
        <v>0</v>
      </c>
      <c r="DS1048" s="34" t="str">
        <f>IF(DR1048&gt;0.1%,DR1048,"Algo Esta Mal")</f>
        <v>0</v>
      </c>
      <c r="DT1048" s="33" t="str">
        <f>IF(DS1048=DR1048,DQ1048," ")</f>
        <v>0</v>
      </c>
      <c r="DY1048" s="33">
        <v>3</v>
      </c>
      <c r="DZ1048" s="33" t="str">
        <f>IF(EA1048=EB8,DZ8,IF(EA1048=EB9,DZ9,IF(EA1048=EB10,DZ10,IF(EA1048=EB11,DZ11,IF(EA1048=EB12,DZ12,"ALGO ESTA MAL")))))</f>
        <v>0</v>
      </c>
      <c r="EA1048" s="34" t="str">
        <f>LARGE($EB$8:$EB$12,DY1048)</f>
        <v>0</v>
      </c>
      <c r="EB1048" s="34" t="str">
        <f>IF(EA1048&gt;0.1%,EA1048,"Algo Esta Mal")</f>
        <v>0</v>
      </c>
      <c r="EC1048" s="33" t="str">
        <f>IF(EB1048=EA1048,DZ1048," ")</f>
        <v>0</v>
      </c>
      <c r="EH1048" s="33">
        <v>3</v>
      </c>
      <c r="EI1048" s="33" t="str">
        <f>IF(EJ1048=EK8,EI8,IF(EJ1048=EK9,EI9,IF(EJ1048=EK10,EI10,IF(EJ1048=EK11,EI11,IF(EJ1048=EK12,EI12,"ALGO ESTA MAL")))))</f>
        <v>0</v>
      </c>
      <c r="EJ1048" s="34" t="str">
        <f>LARGE($EK$8:$EK$12,EH1048)</f>
        <v>0</v>
      </c>
      <c r="EK1048" s="34" t="str">
        <f>IF(EJ1048&gt;0.1%,EJ1048,"Algo Esta Mal")</f>
        <v>0</v>
      </c>
      <c r="EL1048" s="33" t="str">
        <f>IF(EK1048=EJ1048,EI1048," ")</f>
        <v>0</v>
      </c>
      <c r="EQ1048" s="33">
        <v>3</v>
      </c>
      <c r="ER1048" s="33" t="str">
        <f>IF(ES1048=ET8,ER8,IF(ES1048=ET9,ER9,IF(ES1048=ET10,ER10,IF(ES1048=ET11,ER11,IF(ES1048=ET12,ER12,"ALGO ESTA MAL")))))</f>
        <v>0</v>
      </c>
      <c r="ES1048" s="34" t="str">
        <f>LARGE($ET$8:$ET$12,EQ1048)</f>
        <v>0</v>
      </c>
      <c r="ET1048" s="34" t="str">
        <f>IF(ES1048&gt;0.1%,ES1048,"Algo Esta Mal")</f>
        <v>0</v>
      </c>
      <c r="EU1048" s="33" t="str">
        <f>IF(ET1048=ES1048,ER1048," ")</f>
        <v>0</v>
      </c>
      <c r="EZ1048" s="33">
        <v>3</v>
      </c>
      <c r="FA1048" s="33" t="str">
        <f>IF(FB1048=FC8,FA8,IF(FB1048=FC9,FA9,IF(FB1048=FC10,FA10,IF(FB1048=FC11,FA11,IF(FB1048=FC12,FA12,"ALGO ESTA MAL")))))</f>
        <v>0</v>
      </c>
      <c r="FB1048" s="34" t="str">
        <f>LARGE($FC$8:$FC$12,EZ1048)</f>
        <v>0</v>
      </c>
      <c r="FC1048" s="34" t="str">
        <f>IF(FB1048&gt;0.1%,FB1048,"Algo Esta Mal")</f>
        <v>0</v>
      </c>
      <c r="FD1048" s="33" t="str">
        <f>IF(FC1048=FB1048,FA1048," ")</f>
        <v>0</v>
      </c>
      <c r="FI1048" s="33">
        <v>3</v>
      </c>
      <c r="FJ1048" s="33" t="str">
        <f>IF(FK1048=FL8,FJ8,IF(FK1048=FL9,FJ9,IF(FK1048=FL10,FJ10,IF(FK1048=FL11,FJ11,IF(FK1048=FL12,FJ12,"ALGO ESTA MAL")))))</f>
        <v>0</v>
      </c>
      <c r="FK1048" s="34" t="str">
        <f>LARGE($FL$8:$FL$12,FI1048)</f>
        <v>0</v>
      </c>
      <c r="FL1048" s="34" t="str">
        <f>IF(FK1048&gt;0.1%,FK1048,"Algo Esta Mal")</f>
        <v>0</v>
      </c>
      <c r="FM1048" s="33" t="str">
        <f>IF(FL1048=FK1048,FJ1048," ")</f>
        <v>0</v>
      </c>
      <c r="FR1048" s="33">
        <v>3</v>
      </c>
      <c r="FS1048" s="33" t="str">
        <f>IF(FT1048=FU8,FS8,IF(FT1048=FU9,FS9,IF(FT1048=FU10,FS10,IF(FT1048=FU11,FS11,IF(FT1048=FU12,FS12,"ALGO ESTA MAL")))))</f>
        <v>0</v>
      </c>
      <c r="FT1048" s="34" t="str">
        <f>LARGE($FU$8:$FU$12,FR1048)</f>
        <v>0</v>
      </c>
      <c r="FU1048" s="34" t="str">
        <f>IF(FT1048&gt;0.1%,FT1048,"Algo Esta Mal")</f>
        <v>0</v>
      </c>
      <c r="FV1048" s="33" t="str">
        <f>IF(FU1048=FT1048,FS1048," ")</f>
        <v>0</v>
      </c>
    </row>
    <row r="1049" spans="1:179">
      <c r="C1049" s="33">
        <v>4</v>
      </c>
      <c r="D1049" s="33" t="str">
        <f>IF(E1049=F8,D8,IF(E1049=F9,D9,IF(E1049=F10,D10,IF(E1049=F11,D11,IF(E1049=F12,D12,"ALGO ESTA MAL")))))</f>
        <v>0</v>
      </c>
      <c r="E1049" s="34" t="str">
        <f>LARGE($F$8:$F$12,C1049)</f>
        <v>0</v>
      </c>
      <c r="F1049" s="34" t="str">
        <f>IF(E1049&gt;0.1%,E1049,"Algo Esta Mal")</f>
        <v>0</v>
      </c>
      <c r="G1049" s="33" t="str">
        <f>IF(F1049=E1049,D1049," ")</f>
        <v>0</v>
      </c>
      <c r="L1049" s="33">
        <v>4</v>
      </c>
      <c r="M1049" s="33" t="str">
        <f>IF(N1049=O8,M8,IF(N1049=O9,M9,IF(N1049=O10,M10,IF(N1049=O11,M11,IF(N1049=O12,M12,"ALGO ESTA MAL")))))</f>
        <v>0</v>
      </c>
      <c r="N1049" s="34" t="str">
        <f>LARGE($O$8:$O$12,L1049)</f>
        <v>0</v>
      </c>
      <c r="O1049" s="34" t="str">
        <f>IF(N1049&gt;0.1%,N1049,"Algo Esta Mal")</f>
        <v>0</v>
      </c>
      <c r="P1049" s="33" t="str">
        <f>IF(O1049=N1049,M1049," ")</f>
        <v>0</v>
      </c>
      <c r="U1049" s="33">
        <v>4</v>
      </c>
      <c r="V1049" s="33" t="str">
        <f>IF(W1049=X8,V8,IF(W1049=X9,V9,IF(W1049=X10,V10,IF(W1049=X11,V11,IF(W1049=X12,V12,"ALGO ESTA MAL")))))</f>
        <v>0</v>
      </c>
      <c r="W1049" s="34" t="str">
        <f>LARGE($X$8:$X$12,U1049)</f>
        <v>0</v>
      </c>
      <c r="X1049" s="34" t="str">
        <f>IF(W1049&gt;0.1%,W1049,"Algo Esta Mal")</f>
        <v>0</v>
      </c>
      <c r="Y1049" s="33" t="str">
        <f>IF(X1049=W1049,V1049," ")</f>
        <v>0</v>
      </c>
      <c r="AD1049" s="33">
        <v>4</v>
      </c>
      <c r="AE1049" s="33" t="str">
        <f>IF(AF1049=AG8,AE8,IF(AF1049=AG9,AE9,IF(AF1049=AG10,AE10,IF(AF1049=AG11,AE11,IF(AF1049=AG12,AE12,"ALGO ESTA MAL")))))</f>
        <v>0</v>
      </c>
      <c r="AF1049" s="34" t="str">
        <f>LARGE($AG$8:$AG$12,AD1049)</f>
        <v>0</v>
      </c>
      <c r="AG1049" s="34" t="str">
        <f>IF(AF1049&gt;0.1%,AF1049,"Algo Esta Mal")</f>
        <v>0</v>
      </c>
      <c r="AH1049" s="33" t="str">
        <f>IF(AG1049=AF1049,AE1049," ")</f>
        <v>0</v>
      </c>
      <c r="AM1049" s="33">
        <v>4</v>
      </c>
      <c r="AN1049" s="33" t="str">
        <f>IF(AO1049=AP8,AN8,IF(AO1049=AP9,AN9,IF(AO1049=AP10,AN10,IF(AO1049=AP11,AN11,IF(AO1049=AP12,AN12,"ALGO ESTA MAL")))))</f>
        <v>0</v>
      </c>
      <c r="AO1049" s="34" t="str">
        <f>LARGE($AP$8:$AP$12,AM1049)</f>
        <v>0</v>
      </c>
      <c r="AP1049" s="34" t="str">
        <f>IF(AO1049&gt;0.1%,AO1049,"Algo Esta Mal")</f>
        <v>0</v>
      </c>
      <c r="AQ1049" s="33" t="str">
        <f>IF(AP1049=AO1049,AN1049," ")</f>
        <v>0</v>
      </c>
      <c r="AV1049" s="33">
        <v>4</v>
      </c>
      <c r="AW1049" s="33" t="str">
        <f>IF(AX1049=AY8,AW8,IF(AX1049=AY9,AW9,IF(AX1049=AY10,AW10,IF(AX1049=AY11,AW11,IF(AX1049=AY12,AW12,"ALGO ESTA MAL")))))</f>
        <v>0</v>
      </c>
      <c r="AX1049" s="34" t="str">
        <f>LARGE($AY$8:$AY$12,AV1049)</f>
        <v>0</v>
      </c>
      <c r="AY1049" s="34" t="str">
        <f>IF(AX1049&gt;0.1%,AX1049,"Algo Esta Mal")</f>
        <v>0</v>
      </c>
      <c r="AZ1049" s="33" t="str">
        <f>IF(AY1049=AX1049,AW1049," ")</f>
        <v>0</v>
      </c>
      <c r="BE1049" s="33">
        <v>4</v>
      </c>
      <c r="BF1049" s="33" t="str">
        <f>IF(BG1049=BH8,BF8,IF(BG1049=BH9,BF9,IF(BG1049=BH10,BF10,IF(BG1049=BH11,BF11,IF(BG1049=BH12,BF12,"ALGO ESTA MAL")))))</f>
        <v>0</v>
      </c>
      <c r="BG1049" s="34" t="str">
        <f>LARGE($BH$8:$BH$12,BE1049)</f>
        <v>0</v>
      </c>
      <c r="BH1049" s="34" t="str">
        <f>IF(BG1049&gt;0.1%,BG1049,"Algo Esta Mal")</f>
        <v>0</v>
      </c>
      <c r="BI1049" s="33" t="str">
        <f>IF(BH1049=BG1049,BF1049," ")</f>
        <v>0</v>
      </c>
      <c r="BN1049" s="33">
        <v>4</v>
      </c>
      <c r="BO1049" s="33" t="str">
        <f>IF(BP1049=BQ8,BO8,IF(BP1049=BQ9,BO9,IF(BP1049=BQ10,BO10,IF(BP1049=BQ11,BO11,IF(BP1049=BQ12,BO12,"ALGO ESTA MAL")))))</f>
        <v>0</v>
      </c>
      <c r="BP1049" s="34" t="str">
        <f>LARGE($BQ$8:$BQ$12,BN1049)</f>
        <v>0</v>
      </c>
      <c r="BQ1049" s="34" t="str">
        <f>IF(BP1049&gt;0.1%,BP1049,"Algo Esta Mal")</f>
        <v>0</v>
      </c>
      <c r="BR1049" s="33" t="str">
        <f>IF(BQ1049=BP1049,BO1049," ")</f>
        <v>0</v>
      </c>
      <c r="BW1049" s="33">
        <v>4</v>
      </c>
      <c r="BX1049" s="33" t="str">
        <f>IF(BY1049=BZ8,BX8,IF(BY1049=BZ9,BX9,IF(BY1049=BZ10,BX10,IF(BY1049=BZ11,BX11,IF(BY1049=BZ12,BX12,"ALGO ESTA MAL")))))</f>
        <v>0</v>
      </c>
      <c r="BY1049" s="34" t="str">
        <f>LARGE($BZ$8:$BZ$12,BW1049)</f>
        <v>0</v>
      </c>
      <c r="BZ1049" s="34" t="str">
        <f>IF(BY1049&gt;0.1%,BY1049,"Algo Esta Mal")</f>
        <v>0</v>
      </c>
      <c r="CA1049" s="33" t="str">
        <f>IF(BZ1049=BY1049,BX1049," ")</f>
        <v>0</v>
      </c>
      <c r="CF1049" s="33">
        <v>4</v>
      </c>
      <c r="CG1049" s="33" t="str">
        <f>IF(CH1049=CI8,CG8,IF(CH1049=CI9,CG9,IF(CH1049=CI10,CG10,IF(CH1049=CI11,CG11,IF(CH1049=CI12,CG12,"ALGO ESTA MAL")))))</f>
        <v>0</v>
      </c>
      <c r="CH1049" s="34" t="str">
        <f>LARGE($CI$8:$CI$12,CF1049)</f>
        <v>0</v>
      </c>
      <c r="CI1049" s="34" t="str">
        <f>IF(CH1049&gt;0.1%,CH1049,"Algo Esta Mal")</f>
        <v>0</v>
      </c>
      <c r="CJ1049" s="33" t="str">
        <f>IF(CI1049=CH1049,CG1049," ")</f>
        <v>0</v>
      </c>
      <c r="CO1049" s="33">
        <v>4</v>
      </c>
      <c r="CP1049" s="33" t="str">
        <f>IF(CQ1049=CR8,CP8,IF(CQ1049=CR9,CP9,IF(CQ1049=CR10,CP10,IF(CQ1049=CR11,CP11,IF(CQ1049=CR12,CP12,"ALGO ESTA MAL")))))</f>
        <v>0</v>
      </c>
      <c r="CQ1049" s="34" t="str">
        <f>LARGE($CR$8:$CR$12,CO1049)</f>
        <v>0</v>
      </c>
      <c r="CR1049" s="34" t="str">
        <f>IF(CQ1049&gt;0.1%,CQ1049,"Algo Esta Mal")</f>
        <v>0</v>
      </c>
      <c r="CS1049" s="33" t="str">
        <f>IF(CR1049=CQ1049,CP1049," ")</f>
        <v>0</v>
      </c>
      <c r="CX1049" s="33">
        <v>4</v>
      </c>
      <c r="CY1049" s="33" t="str">
        <f>IF(CZ1049=DA8,CY8,IF(CZ1049=DA9,CY9,IF(CZ1049=DA10,CY10,IF(CZ1049=DA11,CY11,IF(CZ1049=DA12,CY12,"ALGO ESTA MAL")))))</f>
        <v>0</v>
      </c>
      <c r="CZ1049" s="34" t="str">
        <f>LARGE($DA$8:$DA$12,CX1049)</f>
        <v>0</v>
      </c>
      <c r="DA1049" s="34" t="str">
        <f>IF(CZ1049&gt;0.1%,CZ1049,"Algo Esta Mal")</f>
        <v>0</v>
      </c>
      <c r="DB1049" s="33" t="str">
        <f>IF(DA1049=CZ1049,CY1049," ")</f>
        <v>0</v>
      </c>
      <c r="DG1049" s="33">
        <v>4</v>
      </c>
      <c r="DH1049" s="33" t="str">
        <f>IF(DI1049=DJ8,DH8,IF(DI1049=DJ9,DH9,IF(DI1049=DJ10,DH10,IF(DI1049=DJ11,DH11,IF(DI1049=DJ12,DH12,"ALGO ESTA MAL")))))</f>
        <v>0</v>
      </c>
      <c r="DI1049" s="34" t="str">
        <f>LARGE($DJ$8:$DJ$12,DG1049)</f>
        <v>0</v>
      </c>
      <c r="DJ1049" s="34" t="str">
        <f>IF(DI1049&gt;0.1%,DI1049,"Algo Esta Mal")</f>
        <v>0</v>
      </c>
      <c r="DK1049" s="33" t="str">
        <f>IF(DJ1049=DI1049,DH1049," ")</f>
        <v>0</v>
      </c>
      <c r="DP1049" s="33">
        <v>4</v>
      </c>
      <c r="DQ1049" s="33" t="str">
        <f>IF(DR1049=DS8,DQ8,IF(DR1049=DS9,DQ9,IF(DR1049=DS10,DQ10,IF(DR1049=DS11,DQ11,IF(DR1049=DS12,DQ12,"ALGO ESTA MAL")))))</f>
        <v>0</v>
      </c>
      <c r="DR1049" s="34" t="str">
        <f>LARGE($DS$8:$DS$12,DP1049)</f>
        <v>0</v>
      </c>
      <c r="DS1049" s="34" t="str">
        <f>IF(DR1049&gt;0.1%,DR1049,"Algo Esta Mal")</f>
        <v>0</v>
      </c>
      <c r="DT1049" s="33" t="str">
        <f>IF(DS1049=DR1049,DQ1049," ")</f>
        <v>0</v>
      </c>
      <c r="DY1049" s="33">
        <v>4</v>
      </c>
      <c r="DZ1049" s="33" t="str">
        <f>IF(EA1049=EB8,DZ8,IF(EA1049=EB9,DZ9,IF(EA1049=EB10,DZ10,IF(EA1049=EB11,DZ11,IF(EA1049=EB12,DZ12,"ALGO ESTA MAL")))))</f>
        <v>0</v>
      </c>
      <c r="EA1049" s="34" t="str">
        <f>LARGE($EB$8:$EB$12,DY1049)</f>
        <v>0</v>
      </c>
      <c r="EB1049" s="34" t="str">
        <f>IF(EA1049&gt;0.1%,EA1049,"Algo Esta Mal")</f>
        <v>0</v>
      </c>
      <c r="EC1049" s="33" t="str">
        <f>IF(EB1049=EA1049,DZ1049," ")</f>
        <v>0</v>
      </c>
      <c r="EH1049" s="33">
        <v>4</v>
      </c>
      <c r="EI1049" s="33" t="str">
        <f>IF(EJ1049=EK8,EI8,IF(EJ1049=EK9,EI9,IF(EJ1049=EK10,EI10,IF(EJ1049=EK11,EI11,IF(EJ1049=EK12,EI12,"ALGO ESTA MAL")))))</f>
        <v>0</v>
      </c>
      <c r="EJ1049" s="34" t="str">
        <f>LARGE($EK$8:$EK$12,EH1049)</f>
        <v>0</v>
      </c>
      <c r="EK1049" s="34" t="str">
        <f>IF(EJ1049&gt;0.1%,EJ1049,"Algo Esta Mal")</f>
        <v>0</v>
      </c>
      <c r="EL1049" s="33" t="str">
        <f>IF(EK1049=EJ1049,EI1049," ")</f>
        <v>0</v>
      </c>
      <c r="EQ1049" s="33">
        <v>4</v>
      </c>
      <c r="ER1049" s="33" t="str">
        <f>IF(ES1049=ET8,ER8,IF(ES1049=ET9,ER9,IF(ES1049=ET10,ER10,IF(ES1049=ET11,ER11,IF(ES1049=ET12,ER12,"ALGO ESTA MAL")))))</f>
        <v>0</v>
      </c>
      <c r="ES1049" s="34" t="str">
        <f>LARGE($ET$8:$ET$12,EQ1049)</f>
        <v>0</v>
      </c>
      <c r="ET1049" s="34" t="str">
        <f>IF(ES1049&gt;0.1%,ES1049,"Algo Esta Mal")</f>
        <v>0</v>
      </c>
      <c r="EU1049" s="33" t="str">
        <f>IF(ET1049=ES1049,ER1049," ")</f>
        <v>0</v>
      </c>
      <c r="EZ1049" s="33">
        <v>4</v>
      </c>
      <c r="FA1049" s="33" t="str">
        <f>IF(FB1049=FC8,FA8,IF(FB1049=FC9,FA9,IF(FB1049=FC10,FA10,IF(FB1049=FC11,FA11,IF(FB1049=FC12,FA12,"ALGO ESTA MAL")))))</f>
        <v>0</v>
      </c>
      <c r="FB1049" s="34" t="str">
        <f>LARGE($FC$8:$FC$12,EZ1049)</f>
        <v>0</v>
      </c>
      <c r="FC1049" s="34" t="str">
        <f>IF(FB1049&gt;0.1%,FB1049,"Algo Esta Mal")</f>
        <v>0</v>
      </c>
      <c r="FD1049" s="33" t="str">
        <f>IF(FC1049=FB1049,FA1049," ")</f>
        <v>0</v>
      </c>
      <c r="FI1049" s="33">
        <v>4</v>
      </c>
      <c r="FJ1049" s="33" t="str">
        <f>IF(FK1049=FL8,FJ8,IF(FK1049=FL9,FJ9,IF(FK1049=FL10,FJ10,IF(FK1049=FL11,FJ11,IF(FK1049=FL12,FJ12,"ALGO ESTA MAL")))))</f>
        <v>0</v>
      </c>
      <c r="FK1049" s="34" t="str">
        <f>LARGE($FL$8:$FL$12,FI1049)</f>
        <v>0</v>
      </c>
      <c r="FL1049" s="34" t="str">
        <f>IF(FK1049&gt;0.1%,FK1049,"Algo Esta Mal")</f>
        <v>0</v>
      </c>
      <c r="FM1049" s="33" t="str">
        <f>IF(FL1049=FK1049,FJ1049," ")</f>
        <v>0</v>
      </c>
      <c r="FR1049" s="33">
        <v>4</v>
      </c>
      <c r="FS1049" s="33" t="str">
        <f>IF(FT1049=FU8,FS8,IF(FT1049=FU9,FS9,IF(FT1049=FU10,FS10,IF(FT1049=FU11,FS11,IF(FT1049=FU12,FS12,"ALGO ESTA MAL")))))</f>
        <v>0</v>
      </c>
      <c r="FT1049" s="34" t="str">
        <f>LARGE($FU$8:$FU$12,FR1049)</f>
        <v>0</v>
      </c>
      <c r="FU1049" s="34" t="str">
        <f>IF(FT1049&gt;0.1%,FT1049,"Algo Esta Mal")</f>
        <v>0</v>
      </c>
      <c r="FV1049" s="33" t="str">
        <f>IF(FU1049=FT1049,FS1049," ")</f>
        <v>0</v>
      </c>
    </row>
    <row r="1050" spans="1:179">
      <c r="C1050" s="33">
        <v>5</v>
      </c>
      <c r="D1050" s="33" t="str">
        <f>IF(E1050=F8,D8,IF(E1050=F9,D9,IF(E1050=F10,D10,IF(E1050=F11,D11,IF(E1050=F12,D12,"ALGO ESTA MAL")))))</f>
        <v>0</v>
      </c>
      <c r="E1050" s="34" t="str">
        <f>LARGE($F$8:$F$12,C1050)</f>
        <v>0</v>
      </c>
      <c r="F1050" s="34" t="str">
        <f>IF(E1050&gt;0.1%,E1050,"Algo Esta Mal")</f>
        <v>0</v>
      </c>
      <c r="G1050" s="33" t="str">
        <f>IF(F1050=E1050,D1050," ")</f>
        <v>0</v>
      </c>
      <c r="L1050" s="33">
        <v>5</v>
      </c>
      <c r="M1050" s="33" t="str">
        <f>IF(N1050=O8,M8,IF(N1050=O9,M9,IF(N1050=O10,M10,IF(N1050=O11,M11,IF(N1050=O12,M12,"ALGO ESTA MAL")))))</f>
        <v>0</v>
      </c>
      <c r="N1050" s="34" t="str">
        <f>LARGE($O$8:$O$12,L1050)</f>
        <v>0</v>
      </c>
      <c r="O1050" s="34" t="str">
        <f>IF(N1050&gt;0.1%,N1050,"Algo Esta Mal")</f>
        <v>0</v>
      </c>
      <c r="P1050" s="33" t="str">
        <f>IF(O1050=N1050,M1050," ")</f>
        <v>0</v>
      </c>
      <c r="U1050" s="33">
        <v>5</v>
      </c>
      <c r="V1050" s="33" t="str">
        <f>IF(W1050=X8,V8,IF(W1050=X9,V9,IF(W1050=X10,V10,IF(W1050=X11,V11,IF(W1050=X12,V12,"ALGO ESTA MAL")))))</f>
        <v>0</v>
      </c>
      <c r="W1050" s="34" t="str">
        <f>LARGE($X$8:$X$12,U1050)</f>
        <v>0</v>
      </c>
      <c r="X1050" s="34" t="str">
        <f>IF(W1050&gt;0.1%,W1050,"Algo Esta Mal")</f>
        <v>0</v>
      </c>
      <c r="Y1050" s="33" t="str">
        <f>IF(X1050=W1050,V1050," ")</f>
        <v>0</v>
      </c>
      <c r="AD1050" s="33">
        <v>5</v>
      </c>
      <c r="AE1050" s="33" t="str">
        <f>IF(AF1050=AG8,AE8,IF(AF1050=AG9,AE9,IF(AF1050=AG10,AE10,IF(AF1050=AG11,AE11,IF(AF1050=AG12,AE12,"ALGO ESTA MAL")))))</f>
        <v>0</v>
      </c>
      <c r="AF1050" s="34" t="str">
        <f>LARGE($AG$8:$AG$12,AD1050)</f>
        <v>0</v>
      </c>
      <c r="AG1050" s="34" t="str">
        <f>IF(AF1050&gt;0.1%,AF1050,"Algo Esta Mal")</f>
        <v>0</v>
      </c>
      <c r="AH1050" s="33" t="str">
        <f>IF(AG1050=AF1050,AE1050," ")</f>
        <v>0</v>
      </c>
      <c r="AM1050" s="33">
        <v>5</v>
      </c>
      <c r="AN1050" s="33" t="str">
        <f>IF(AO1050=AP8,AN8,IF(AO1050=AP9,AN9,IF(AO1050=AP10,AN10,IF(AO1050=AP11,AN11,IF(AO1050=AP12,AN12,"ALGO ESTA MAL")))))</f>
        <v>0</v>
      </c>
      <c r="AO1050" s="34" t="str">
        <f>LARGE($AP$8:$AP$12,AM1050)</f>
        <v>0</v>
      </c>
      <c r="AP1050" s="34" t="str">
        <f>IF(AO1050&gt;0.1%,AO1050,"Algo Esta Mal")</f>
        <v>0</v>
      </c>
      <c r="AQ1050" s="33" t="str">
        <f>IF(AP1050=AO1050,AN1050," ")</f>
        <v>0</v>
      </c>
      <c r="AV1050" s="33">
        <v>5</v>
      </c>
      <c r="AW1050" s="33" t="str">
        <f>IF(AX1050=AY8,AW8,IF(AX1050=AY9,AW9,IF(AX1050=AY10,AW10,IF(AX1050=AY11,AW11,IF(AX1050=AY12,AW12,"ALGO ESTA MAL")))))</f>
        <v>0</v>
      </c>
      <c r="AX1050" s="34" t="str">
        <f>LARGE($AY$8:$AY$12,AV1050)</f>
        <v>0</v>
      </c>
      <c r="AY1050" s="34" t="str">
        <f>IF(AX1050&gt;0.1%,AX1050,"Algo Esta Mal")</f>
        <v>0</v>
      </c>
      <c r="AZ1050" s="33" t="str">
        <f>IF(AY1050=AX1050,AW1050," ")</f>
        <v>0</v>
      </c>
      <c r="BE1050" s="33">
        <v>5</v>
      </c>
      <c r="BF1050" s="33" t="str">
        <f>IF(BG1050=BH8,BF8,IF(BG1050=BH9,BF9,IF(BG1050=BH10,BF10,IF(BG1050=BH11,BF11,IF(BG1050=BH12,BF12,"ALGO ESTA MAL")))))</f>
        <v>0</v>
      </c>
      <c r="BG1050" s="34" t="str">
        <f>LARGE($BH$8:$BH$12,BE1050)</f>
        <v>0</v>
      </c>
      <c r="BH1050" s="34" t="str">
        <f>IF(BG1050&gt;0.1%,BG1050,"Algo Esta Mal")</f>
        <v>0</v>
      </c>
      <c r="BI1050" s="33" t="str">
        <f>IF(BH1050=BG1050,BF1050," ")</f>
        <v>0</v>
      </c>
      <c r="BN1050" s="33">
        <v>5</v>
      </c>
      <c r="BO1050" s="33" t="str">
        <f>IF(BP1050=BQ8,BO8,IF(BP1050=BQ9,BO9,IF(BP1050=BQ10,BO10,IF(BP1050=BQ11,BO11,IF(BP1050=BQ12,BO12,"ALGO ESTA MAL")))))</f>
        <v>0</v>
      </c>
      <c r="BP1050" s="34" t="str">
        <f>LARGE($BQ$8:$BQ$12,BN1050)</f>
        <v>0</v>
      </c>
      <c r="BQ1050" s="34" t="str">
        <f>IF(BP1050&gt;0.1%,BP1050,"Algo Esta Mal")</f>
        <v>0</v>
      </c>
      <c r="BR1050" s="33" t="str">
        <f>IF(BQ1050=BP1050,BO1050," ")</f>
        <v>0</v>
      </c>
      <c r="BW1050" s="33">
        <v>5</v>
      </c>
      <c r="BX1050" s="33" t="str">
        <f>IF(BY1050=BZ8,BX8,IF(BY1050=BZ9,BX9,IF(BY1050=BZ10,BX10,IF(BY1050=BZ11,BX11,IF(BY1050=BZ12,BX12,"ALGO ESTA MAL")))))</f>
        <v>0</v>
      </c>
      <c r="BY1050" s="34" t="str">
        <f>LARGE($BZ$8:$BZ$12,BW1050)</f>
        <v>0</v>
      </c>
      <c r="BZ1050" s="34" t="str">
        <f>IF(BY1050&gt;0.1%,BY1050,"Algo Esta Mal")</f>
        <v>0</v>
      </c>
      <c r="CA1050" s="33" t="str">
        <f>IF(BZ1050=BY1050,BX1050," ")</f>
        <v>0</v>
      </c>
      <c r="CF1050" s="33">
        <v>5</v>
      </c>
      <c r="CG1050" s="33" t="str">
        <f>IF(CH1050=CI8,CG8,IF(CH1050=CI9,CG9,IF(CH1050=CI10,CG10,IF(CH1050=CI11,CG11,IF(CH1050=CI12,CG12,"ALGO ESTA MAL")))))</f>
        <v>0</v>
      </c>
      <c r="CH1050" s="34" t="str">
        <f>LARGE($CI$8:$CI$12,CF1050)</f>
        <v>0</v>
      </c>
      <c r="CI1050" s="34" t="str">
        <f>IF(CH1050&gt;0.1%,CH1050,"Algo Esta Mal")</f>
        <v>0</v>
      </c>
      <c r="CJ1050" s="33" t="str">
        <f>IF(CI1050=CH1050,CG1050," ")</f>
        <v>0</v>
      </c>
      <c r="CO1050" s="33">
        <v>5</v>
      </c>
      <c r="CP1050" s="33" t="str">
        <f>IF(CQ1050=CR8,CP8,IF(CQ1050=CR9,CP9,IF(CQ1050=CR10,CP10,IF(CQ1050=CR11,CP11,IF(CQ1050=CR12,CP12,"ALGO ESTA MAL")))))</f>
        <v>0</v>
      </c>
      <c r="CQ1050" s="34" t="str">
        <f>LARGE($CR$8:$CR$12,CO1050)</f>
        <v>0</v>
      </c>
      <c r="CR1050" s="34" t="str">
        <f>IF(CQ1050&gt;0.1%,CQ1050,"Algo Esta Mal")</f>
        <v>0</v>
      </c>
      <c r="CS1050" s="33" t="str">
        <f>IF(CR1050=CQ1050,CP1050," ")</f>
        <v>0</v>
      </c>
      <c r="CX1050" s="33">
        <v>5</v>
      </c>
      <c r="CY1050" s="33" t="str">
        <f>IF(CZ1050=DA8,CY8,IF(CZ1050=DA9,CY9,IF(CZ1050=DA10,CY10,IF(CZ1050=DA11,CY11,IF(CZ1050=DA12,CY12,"ALGO ESTA MAL")))))</f>
        <v>0</v>
      </c>
      <c r="CZ1050" s="34" t="str">
        <f>LARGE($DA$8:$DA$12,CX1050)</f>
        <v>0</v>
      </c>
      <c r="DA1050" s="34" t="str">
        <f>IF(CZ1050&gt;0.1%,CZ1050,"Algo Esta Mal")</f>
        <v>0</v>
      </c>
      <c r="DB1050" s="33" t="str">
        <f>IF(DA1050=CZ1050,CY1050," ")</f>
        <v>0</v>
      </c>
      <c r="DG1050" s="33">
        <v>5</v>
      </c>
      <c r="DH1050" s="33" t="str">
        <f>IF(DI1050=DJ8,DH8,IF(DI1050=DJ9,DH9,IF(DI1050=DJ10,DH10,IF(DI1050=DJ11,DH11,IF(DI1050=DJ12,DH12,"ALGO ESTA MAL")))))</f>
        <v>0</v>
      </c>
      <c r="DI1050" s="34" t="str">
        <f>LARGE($DJ$8:$DJ$12,DG1050)</f>
        <v>0</v>
      </c>
      <c r="DJ1050" s="34" t="str">
        <f>IF(DI1050&gt;0.1%,DI1050,"Algo Esta Mal")</f>
        <v>0</v>
      </c>
      <c r="DK1050" s="33" t="str">
        <f>IF(DJ1050=DI1050,DH1050," ")</f>
        <v>0</v>
      </c>
      <c r="DP1050" s="33">
        <v>5</v>
      </c>
      <c r="DQ1050" s="33" t="str">
        <f>IF(DR1050=DS8,DQ8,IF(DR1050=DS9,DQ9,IF(DR1050=DS10,DQ10,IF(DR1050=DS11,DQ11,IF(DR1050=DS12,DQ12,"ALGO ESTA MAL")))))</f>
        <v>0</v>
      </c>
      <c r="DR1050" s="34" t="str">
        <f>LARGE($DS$8:$DS$12,DP1050)</f>
        <v>0</v>
      </c>
      <c r="DS1050" s="34" t="str">
        <f>IF(DR1050&gt;0.1%,DR1050,"Algo Esta Mal")</f>
        <v>0</v>
      </c>
      <c r="DT1050" s="33" t="str">
        <f>IF(DS1050=DR1050,DQ1050," ")</f>
        <v>0</v>
      </c>
      <c r="DY1050" s="33">
        <v>5</v>
      </c>
      <c r="DZ1050" s="33" t="str">
        <f>IF(EA1050=EB8,DZ8,IF(EA1050=EB9,DZ9,IF(EA1050=EB10,DZ10,IF(EA1050=EB11,DZ11,IF(EA1050=EB12,DZ12,"ALGO ESTA MAL")))))</f>
        <v>0</v>
      </c>
      <c r="EA1050" s="34" t="str">
        <f>LARGE($EB$8:$EB$12,DY1050)</f>
        <v>0</v>
      </c>
      <c r="EB1050" s="34" t="str">
        <f>IF(EA1050&gt;0.1%,EA1050,"Algo Esta Mal")</f>
        <v>0</v>
      </c>
      <c r="EC1050" s="33" t="str">
        <f>IF(EB1050=EA1050,DZ1050," ")</f>
        <v>0</v>
      </c>
      <c r="EH1050" s="33">
        <v>5</v>
      </c>
      <c r="EI1050" s="33" t="str">
        <f>IF(EJ1050=EK8,EI8,IF(EJ1050=EK9,EI9,IF(EJ1050=EK10,EI10,IF(EJ1050=EK11,EI11,IF(EJ1050=EK12,EI12,"ALGO ESTA MAL")))))</f>
        <v>0</v>
      </c>
      <c r="EJ1050" s="34" t="str">
        <f>LARGE($EK$8:$EK$12,EH1050)</f>
        <v>0</v>
      </c>
      <c r="EK1050" s="34" t="str">
        <f>IF(EJ1050&gt;0.1%,EJ1050,"Algo Esta Mal")</f>
        <v>0</v>
      </c>
      <c r="EL1050" s="33" t="str">
        <f>IF(EK1050=EJ1050,EI1050," ")</f>
        <v>0</v>
      </c>
      <c r="EQ1050" s="33">
        <v>5</v>
      </c>
      <c r="ER1050" s="33" t="str">
        <f>IF(ES1050=ET8,ER8,IF(ES1050=ET9,ER9,IF(ES1050=ET10,ER10,IF(ES1050=ET11,ER11,IF(ES1050=ET12,ER12,"ALGO ESTA MAL")))))</f>
        <v>0</v>
      </c>
      <c r="ES1050" s="34" t="str">
        <f>LARGE($ET$8:$ET$12,EQ1050)</f>
        <v>0</v>
      </c>
      <c r="ET1050" s="34" t="str">
        <f>IF(ES1050&gt;0.1%,ES1050,"Algo Esta Mal")</f>
        <v>0</v>
      </c>
      <c r="EU1050" s="33" t="str">
        <f>IF(ET1050=ES1050,ER1050," ")</f>
        <v>0</v>
      </c>
      <c r="EZ1050" s="33">
        <v>5</v>
      </c>
      <c r="FA1050" s="33" t="str">
        <f>IF(FB1050=FC8,FA8,IF(FB1050=FC9,FA9,IF(FB1050=FC10,FA10,IF(FB1050=FC11,FA11,IF(FB1050=FC12,FA12,"ALGO ESTA MAL")))))</f>
        <v>0</v>
      </c>
      <c r="FB1050" s="34" t="str">
        <f>LARGE($FC$8:$FC$12,EZ1050)</f>
        <v>0</v>
      </c>
      <c r="FC1050" s="34" t="str">
        <f>IF(FB1050&gt;0.1%,FB1050,"Algo Esta Mal")</f>
        <v>0</v>
      </c>
      <c r="FD1050" s="33" t="str">
        <f>IF(FC1050=FB1050,FA1050," ")</f>
        <v>0</v>
      </c>
      <c r="FI1050" s="33">
        <v>5</v>
      </c>
      <c r="FJ1050" s="33" t="str">
        <f>IF(FK1050=FL8,FJ8,IF(FK1050=FL9,FJ9,IF(FK1050=FL10,FJ10,IF(FK1050=FL11,FJ11,IF(FK1050=FL12,FJ12,"ALGO ESTA MAL")))))</f>
        <v>0</v>
      </c>
      <c r="FK1050" s="34" t="str">
        <f>LARGE($FL$8:$FL$12,FI1050)</f>
        <v>0</v>
      </c>
      <c r="FL1050" s="34" t="str">
        <f>IF(FK1050&gt;0.1%,FK1050,"Algo Esta Mal")</f>
        <v>0</v>
      </c>
      <c r="FM1050" s="33" t="str">
        <f>IF(FL1050=FK1050,FJ1050," ")</f>
        <v>0</v>
      </c>
      <c r="FR1050" s="33">
        <v>5</v>
      </c>
      <c r="FS1050" s="33" t="str">
        <f>IF(FT1050=FU8,FS8,IF(FT1050=FU9,FS9,IF(FT1050=FU10,FS10,IF(FT1050=FU11,FS11,IF(FT1050=FU12,FS12,"ALGO ESTA MAL")))))</f>
        <v>0</v>
      </c>
      <c r="FT1050" s="34" t="str">
        <f>LARGE($FU$8:$FU$12,FR1050)</f>
        <v>0</v>
      </c>
      <c r="FU1050" s="34" t="str">
        <f>IF(FT1050&gt;0.1%,FT1050,"Algo Esta Mal")</f>
        <v>0</v>
      </c>
      <c r="FV1050" s="33" t="str">
        <f>IF(FU1050=FT1050,FS1050," ")</f>
        <v>0</v>
      </c>
    </row>
    <row r="1052" spans="1:179">
      <c r="D1052" s="33" t="s">
        <v>178</v>
      </c>
      <c r="M1052" s="33" t="s">
        <v>178</v>
      </c>
      <c r="V1052" s="33" t="s">
        <v>178</v>
      </c>
      <c r="AE1052" s="33" t="s">
        <v>178</v>
      </c>
      <c r="AN1052" s="33" t="s">
        <v>178</v>
      </c>
      <c r="AW1052" s="33" t="s">
        <v>178</v>
      </c>
      <c r="BF1052" s="33" t="s">
        <v>178</v>
      </c>
      <c r="BO1052" s="33" t="s">
        <v>178</v>
      </c>
      <c r="BX1052" s="33" t="s">
        <v>178</v>
      </c>
      <c r="CG1052" s="33" t="s">
        <v>178</v>
      </c>
      <c r="CP1052" s="33" t="s">
        <v>178</v>
      </c>
      <c r="CY1052" s="33" t="s">
        <v>178</v>
      </c>
      <c r="DH1052" s="33" t="s">
        <v>178</v>
      </c>
      <c r="DQ1052" s="33" t="s">
        <v>178</v>
      </c>
      <c r="DZ1052" s="33" t="s">
        <v>178</v>
      </c>
      <c r="EI1052" s="33" t="s">
        <v>178</v>
      </c>
      <c r="ER1052" s="33" t="s">
        <v>178</v>
      </c>
      <c r="FA1052" s="33" t="s">
        <v>178</v>
      </c>
      <c r="FJ1052" s="33" t="s">
        <v>178</v>
      </c>
      <c r="FS1052" s="33" t="s">
        <v>178</v>
      </c>
    </row>
    <row r="1053" spans="1:179">
      <c r="D1053" s="34" t="str">
        <f>SUM(F8:F10)</f>
        <v>0</v>
      </c>
      <c r="E1053" s="34" t="str">
        <f>MAX(D1053:D1054)</f>
        <v>0</v>
      </c>
      <c r="M1053" s="34" t="str">
        <f>SUM(O8:O10)</f>
        <v>0</v>
      </c>
      <c r="N1053" s="34" t="str">
        <f>MAX(M1053:M1054)</f>
        <v>0</v>
      </c>
      <c r="V1053" s="34" t="str">
        <f>SUM(X8:X10)</f>
        <v>0</v>
      </c>
      <c r="W1053" s="34" t="str">
        <f>MAX(V1053:V1054)</f>
        <v>0</v>
      </c>
      <c r="AE1053" s="34" t="str">
        <f>SUM(AG8:AG10)</f>
        <v>0</v>
      </c>
      <c r="AF1053" s="34" t="str">
        <f>MAX(AE1053:AE1054)</f>
        <v>0</v>
      </c>
      <c r="AN1053" s="34" t="str">
        <f>SUM(AP8:AP10)</f>
        <v>0</v>
      </c>
      <c r="AO1053" s="34" t="str">
        <f>MAX(AN1053:AN1054)</f>
        <v>0</v>
      </c>
      <c r="AW1053" s="34" t="str">
        <f>SUM(AY8:AY10)</f>
        <v>0</v>
      </c>
      <c r="AX1053" s="34" t="str">
        <f>MAX(AW1053:AW1054)</f>
        <v>0</v>
      </c>
      <c r="BF1053" s="34" t="str">
        <f>SUM(BH8:BH10)</f>
        <v>0</v>
      </c>
      <c r="BG1053" s="34" t="str">
        <f>MAX(BF1053:BF1054)</f>
        <v>0</v>
      </c>
      <c r="BO1053" s="34" t="str">
        <f>SUM(BQ8:BQ10)</f>
        <v>0</v>
      </c>
      <c r="BP1053" s="34" t="str">
        <f>MAX(BO1053:BO1054)</f>
        <v>0</v>
      </c>
      <c r="BX1053" s="34" t="str">
        <f>SUM(BZ8:BZ10)</f>
        <v>0</v>
      </c>
      <c r="BY1053" s="34" t="str">
        <f>MAX(BX1053:BX1054)</f>
        <v>0</v>
      </c>
      <c r="CG1053" s="34" t="str">
        <f>SUM(CI8:CI10)</f>
        <v>0</v>
      </c>
      <c r="CH1053" s="34" t="str">
        <f>MAX(CG1053:CG1054)</f>
        <v>0</v>
      </c>
      <c r="CP1053" s="34" t="str">
        <f>SUM(CR8:CR10)</f>
        <v>0</v>
      </c>
      <c r="CQ1053" s="34" t="str">
        <f>MAX(CP1053:CP1054)</f>
        <v>0</v>
      </c>
      <c r="CY1053" s="34" t="str">
        <f>SUM(DA8:DA10)</f>
        <v>0</v>
      </c>
      <c r="CZ1053" s="34" t="str">
        <f>MAX(CY1053:CY1054)</f>
        <v>0</v>
      </c>
      <c r="DH1053" s="34" t="str">
        <f>SUM(DJ8:DJ10)</f>
        <v>0</v>
      </c>
      <c r="DI1053" s="34" t="str">
        <f>MAX(DH1053:DH1054)</f>
        <v>0</v>
      </c>
      <c r="DQ1053" s="34" t="str">
        <f>SUM(DS8:DS10)</f>
        <v>0</v>
      </c>
      <c r="DR1053" s="34" t="str">
        <f>MAX(DQ1053:DQ1054)</f>
        <v>0</v>
      </c>
      <c r="DZ1053" s="34" t="str">
        <f>SUM(EB8:EB10)</f>
        <v>0</v>
      </c>
      <c r="EA1053" s="34" t="str">
        <f>MAX(DZ1053:DZ1054)</f>
        <v>0</v>
      </c>
      <c r="EI1053" s="34" t="str">
        <f>SUM(EK8:EK10)</f>
        <v>0</v>
      </c>
      <c r="EJ1053" s="34" t="str">
        <f>MAX(EI1053:EI1054)</f>
        <v>0</v>
      </c>
      <c r="ER1053" s="34" t="str">
        <f>SUM(ET8:ET10)</f>
        <v>0</v>
      </c>
      <c r="ES1053" s="34" t="str">
        <f>MAX(ER1053:ER1054)</f>
        <v>0</v>
      </c>
      <c r="FA1053" s="34" t="str">
        <f>SUM(FC8:FC10)</f>
        <v>0</v>
      </c>
      <c r="FB1053" s="34" t="str">
        <f>MAX(FA1053:FA1054)</f>
        <v>0</v>
      </c>
      <c r="FJ1053" s="34" t="str">
        <f>SUM(FL8:FL10)</f>
        <v>0</v>
      </c>
      <c r="FK1053" s="34" t="str">
        <f>MAX(FJ1053:FJ1054)</f>
        <v>0</v>
      </c>
      <c r="FS1053" s="34" t="str">
        <f>SUM(FU8:FU10)</f>
        <v>0</v>
      </c>
      <c r="FT1053" s="34" t="str">
        <f>MAX(FS1053:FS1054)</f>
        <v>0</v>
      </c>
    </row>
    <row r="1054" spans="1:179">
      <c r="D1054" s="34" t="str">
        <f>SUM(F10:F12)</f>
        <v>0</v>
      </c>
      <c r="M1054" s="34" t="str">
        <f>SUM(O10:O12)</f>
        <v>0</v>
      </c>
      <c r="V1054" s="34" t="str">
        <f>SUM(X10:X12)</f>
        <v>0</v>
      </c>
      <c r="AE1054" s="34" t="str">
        <f>SUM(AG10:AG12)</f>
        <v>0</v>
      </c>
      <c r="AN1054" s="34" t="str">
        <f>SUM(AP10:AP12)</f>
        <v>0</v>
      </c>
      <c r="AW1054" s="34" t="str">
        <f>SUM(AY10:AY12)</f>
        <v>0</v>
      </c>
      <c r="BF1054" s="34" t="str">
        <f>SUM(BH10:BH12)</f>
        <v>0</v>
      </c>
      <c r="BO1054" s="34" t="str">
        <f>SUM(BQ10:BQ12)</f>
        <v>0</v>
      </c>
      <c r="BX1054" s="34" t="str">
        <f>SUM(BZ10:BZ12)</f>
        <v>0</v>
      </c>
      <c r="CG1054" s="34" t="str">
        <f>SUM(CI10:CI12)</f>
        <v>0</v>
      </c>
      <c r="CP1054" s="34" t="str">
        <f>SUM(CR10:CR12)</f>
        <v>0</v>
      </c>
      <c r="CY1054" s="34" t="str">
        <f>SUM(DA10:DA12)</f>
        <v>0</v>
      </c>
      <c r="DH1054" s="34" t="str">
        <f>SUM(DJ10:DJ12)</f>
        <v>0</v>
      </c>
      <c r="DQ1054" s="34" t="str">
        <f>SUM(DS10:DS12)</f>
        <v>0</v>
      </c>
      <c r="DZ1054" s="34" t="str">
        <f>SUM(EB10:EB12)</f>
        <v>0</v>
      </c>
      <c r="EI1054" s="34" t="str">
        <f>SUM(EK10:EK12)</f>
        <v>0</v>
      </c>
      <c r="ER1054" s="34" t="str">
        <f>SUM(ET10:ET12)</f>
        <v>0</v>
      </c>
      <c r="FA1054" s="34" t="str">
        <f>SUM(FC10:FC12)</f>
        <v>0</v>
      </c>
      <c r="FJ1054" s="34" t="str">
        <f>SUM(FL10:FL12)</f>
        <v>0</v>
      </c>
      <c r="FS1054" s="34" t="str">
        <f>SUM(FU10:FU12)</f>
        <v>0</v>
      </c>
    </row>
    <row r="1056" spans="1:179">
      <c r="D1056" s="33" t="s">
        <v>1</v>
      </c>
      <c r="E1056" s="34" t="str">
        <f>SUM(F8:F9)</f>
        <v>0</v>
      </c>
      <c r="M1056" s="33" t="s">
        <v>1</v>
      </c>
      <c r="N1056" s="34" t="str">
        <f>SUM(O8:O9)</f>
        <v>0</v>
      </c>
      <c r="V1056" s="33" t="s">
        <v>1</v>
      </c>
      <c r="W1056" s="34" t="str">
        <f>SUM(X8:X9)</f>
        <v>0</v>
      </c>
      <c r="AE1056" s="33" t="s">
        <v>1</v>
      </c>
      <c r="AF1056" s="34" t="str">
        <f>SUM(AG8:AG9)</f>
        <v>0</v>
      </c>
      <c r="AN1056" s="33" t="s">
        <v>1</v>
      </c>
      <c r="AO1056" s="34" t="str">
        <f>SUM(AP8:AP9)</f>
        <v>0</v>
      </c>
      <c r="AW1056" s="33" t="s">
        <v>1</v>
      </c>
      <c r="AX1056" s="34" t="str">
        <f>SUM(AY8:AY9)</f>
        <v>0</v>
      </c>
      <c r="BF1056" s="33" t="s">
        <v>1</v>
      </c>
      <c r="BG1056" s="34" t="str">
        <f>SUM(BH8:BH9)</f>
        <v>0</v>
      </c>
      <c r="BO1056" s="33" t="s">
        <v>1</v>
      </c>
      <c r="BP1056" s="34" t="str">
        <f>SUM(BQ8:BQ9)</f>
        <v>0</v>
      </c>
      <c r="BX1056" s="33" t="s">
        <v>1</v>
      </c>
      <c r="BY1056" s="34" t="str">
        <f>SUM(BZ8:BZ9)</f>
        <v>0</v>
      </c>
      <c r="CG1056" s="33" t="s">
        <v>1</v>
      </c>
      <c r="CH1056" s="34" t="str">
        <f>SUM(CI8:CI9)</f>
        <v>0</v>
      </c>
      <c r="CP1056" s="33" t="s">
        <v>1</v>
      </c>
      <c r="CQ1056" s="34" t="str">
        <f>SUM(CR8:CR9)</f>
        <v>0</v>
      </c>
      <c r="CY1056" s="33" t="s">
        <v>1</v>
      </c>
      <c r="CZ1056" s="34" t="str">
        <f>SUM(DA8:DA9)</f>
        <v>0</v>
      </c>
      <c r="DH1056" s="33" t="s">
        <v>1</v>
      </c>
      <c r="DI1056" s="34" t="str">
        <f>SUM(DJ8:DJ9)</f>
        <v>0</v>
      </c>
      <c r="DQ1056" s="33" t="s">
        <v>1</v>
      </c>
      <c r="DR1056" s="34" t="str">
        <f>SUM(DS8:DS9)</f>
        <v>0</v>
      </c>
      <c r="DZ1056" s="33" t="s">
        <v>1</v>
      </c>
      <c r="EA1056" s="34" t="str">
        <f>SUM(EB8:EB9)</f>
        <v>0</v>
      </c>
      <c r="EI1056" s="33" t="s">
        <v>1</v>
      </c>
      <c r="EJ1056" s="34" t="str">
        <f>SUM(EK8:EK9)</f>
        <v>0</v>
      </c>
      <c r="ER1056" s="33" t="s">
        <v>1</v>
      </c>
      <c r="ES1056" s="34" t="str">
        <f>SUM(ET8:ET9)</f>
        <v>0</v>
      </c>
      <c r="FA1056" s="33" t="s">
        <v>1</v>
      </c>
      <c r="FB1056" s="34" t="str">
        <f>SUM(FC8:FC9)</f>
        <v>0</v>
      </c>
      <c r="FJ1056" s="33" t="s">
        <v>1</v>
      </c>
      <c r="FK1056" s="34" t="str">
        <f>SUM(FL8:FL9)</f>
        <v>0</v>
      </c>
      <c r="FS1056" s="33" t="s">
        <v>1</v>
      </c>
      <c r="FT1056" s="34" t="str">
        <f>SUM(FU8:FU9)</f>
        <v>0</v>
      </c>
    </row>
    <row r="1057" spans="1:179">
      <c r="D1057" s="33" t="s">
        <v>1</v>
      </c>
      <c r="E1057" s="34" t="str">
        <f>SUM(F10)</f>
        <v>0</v>
      </c>
      <c r="M1057" s="33" t="s">
        <v>1</v>
      </c>
      <c r="N1057" s="34" t="str">
        <f>SUM(O10)</f>
        <v>0</v>
      </c>
      <c r="V1057" s="33" t="s">
        <v>1</v>
      </c>
      <c r="W1057" s="34" t="str">
        <f>SUM(X10)</f>
        <v>0</v>
      </c>
      <c r="AE1057" s="33" t="s">
        <v>1</v>
      </c>
      <c r="AF1057" s="34" t="str">
        <f>SUM(AG10)</f>
        <v>0</v>
      </c>
      <c r="AN1057" s="33" t="s">
        <v>1</v>
      </c>
      <c r="AO1057" s="34" t="str">
        <f>SUM(AP10)</f>
        <v>0</v>
      </c>
      <c r="AW1057" s="33" t="s">
        <v>1</v>
      </c>
      <c r="AX1057" s="34" t="str">
        <f>SUM(AY10)</f>
        <v>0</v>
      </c>
      <c r="BF1057" s="33" t="s">
        <v>1</v>
      </c>
      <c r="BG1057" s="34" t="str">
        <f>SUM(BH10)</f>
        <v>0</v>
      </c>
      <c r="BO1057" s="33" t="s">
        <v>1</v>
      </c>
      <c r="BP1057" s="34" t="str">
        <f>SUM(BQ10)</f>
        <v>0</v>
      </c>
      <c r="BX1057" s="33" t="s">
        <v>1</v>
      </c>
      <c r="BY1057" s="34" t="str">
        <f>SUM(BZ10)</f>
        <v>0</v>
      </c>
      <c r="CG1057" s="33" t="s">
        <v>1</v>
      </c>
      <c r="CH1057" s="34" t="str">
        <f>SUM(CI10)</f>
        <v>0</v>
      </c>
      <c r="CP1057" s="33" t="s">
        <v>1</v>
      </c>
      <c r="CQ1057" s="34" t="str">
        <f>SUM(CR10)</f>
        <v>0</v>
      </c>
      <c r="CY1057" s="33" t="s">
        <v>1</v>
      </c>
      <c r="CZ1057" s="34" t="str">
        <f>SUM(DA10)</f>
        <v>0</v>
      </c>
      <c r="DH1057" s="33" t="s">
        <v>1</v>
      </c>
      <c r="DI1057" s="34" t="str">
        <f>SUM(DJ10)</f>
        <v>0</v>
      </c>
      <c r="DQ1057" s="33" t="s">
        <v>1</v>
      </c>
      <c r="DR1057" s="34" t="str">
        <f>SUM(DS10)</f>
        <v>0</v>
      </c>
      <c r="DZ1057" s="33" t="s">
        <v>1</v>
      </c>
      <c r="EA1057" s="34" t="str">
        <f>SUM(EB10)</f>
        <v>0</v>
      </c>
      <c r="EI1057" s="33" t="s">
        <v>1</v>
      </c>
      <c r="EJ1057" s="34" t="str">
        <f>SUM(EK10)</f>
        <v>0</v>
      </c>
      <c r="ER1057" s="33" t="s">
        <v>1</v>
      </c>
      <c r="ES1057" s="34" t="str">
        <f>SUM(ET10)</f>
        <v>0</v>
      </c>
      <c r="FA1057" s="33" t="s">
        <v>1</v>
      </c>
      <c r="FB1057" s="34" t="str">
        <f>SUM(FC10)</f>
        <v>0</v>
      </c>
      <c r="FJ1057" s="33" t="s">
        <v>1</v>
      </c>
      <c r="FK1057" s="34" t="str">
        <f>SUM(FL10)</f>
        <v>0</v>
      </c>
      <c r="FS1057" s="33" t="s">
        <v>1</v>
      </c>
      <c r="FT1057" s="34" t="str">
        <f>SUM(FU10)</f>
        <v>0</v>
      </c>
    </row>
    <row r="1058" spans="1:179">
      <c r="D1058" s="33" t="s">
        <v>1</v>
      </c>
      <c r="E1058" s="34" t="str">
        <f>SUM(F11:F12)</f>
        <v>0</v>
      </c>
      <c r="M1058" s="33" t="s">
        <v>1</v>
      </c>
      <c r="N1058" s="34" t="str">
        <f>SUM(O11:O12)</f>
        <v>0</v>
      </c>
      <c r="V1058" s="33" t="s">
        <v>1</v>
      </c>
      <c r="W1058" s="34" t="str">
        <f>SUM(X11:X12)</f>
        <v>0</v>
      </c>
      <c r="AE1058" s="33" t="s">
        <v>1</v>
      </c>
      <c r="AF1058" s="34" t="str">
        <f>SUM(AG11:AG12)</f>
        <v>0</v>
      </c>
      <c r="AN1058" s="33" t="s">
        <v>1</v>
      </c>
      <c r="AO1058" s="34" t="str">
        <f>SUM(AP11:AP12)</f>
        <v>0</v>
      </c>
      <c r="AW1058" s="33" t="s">
        <v>1</v>
      </c>
      <c r="AX1058" s="34" t="str">
        <f>SUM(AY11:AY12)</f>
        <v>0</v>
      </c>
      <c r="BF1058" s="33" t="s">
        <v>1</v>
      </c>
      <c r="BG1058" s="34" t="str">
        <f>SUM(BH11:BH12)</f>
        <v>0</v>
      </c>
      <c r="BO1058" s="33" t="s">
        <v>1</v>
      </c>
      <c r="BP1058" s="34" t="str">
        <f>SUM(BQ11:BQ12)</f>
        <v>0</v>
      </c>
      <c r="BX1058" s="33" t="s">
        <v>1</v>
      </c>
      <c r="BY1058" s="34" t="str">
        <f>SUM(BZ11:BZ12)</f>
        <v>0</v>
      </c>
      <c r="CG1058" s="33" t="s">
        <v>1</v>
      </c>
      <c r="CH1058" s="34" t="str">
        <f>SUM(CI11:CI12)</f>
        <v>0</v>
      </c>
      <c r="CP1058" s="33" t="s">
        <v>1</v>
      </c>
      <c r="CQ1058" s="34" t="str">
        <f>SUM(CR11:CR12)</f>
        <v>0</v>
      </c>
      <c r="CY1058" s="33" t="s">
        <v>1</v>
      </c>
      <c r="CZ1058" s="34" t="str">
        <f>SUM(DA11:DA12)</f>
        <v>0</v>
      </c>
      <c r="DH1058" s="33" t="s">
        <v>1</v>
      </c>
      <c r="DI1058" s="34" t="str">
        <f>SUM(DJ11:DJ12)</f>
        <v>0</v>
      </c>
      <c r="DQ1058" s="33" t="s">
        <v>1</v>
      </c>
      <c r="DR1058" s="34" t="str">
        <f>SUM(DS11:DS12)</f>
        <v>0</v>
      </c>
      <c r="DZ1058" s="33" t="s">
        <v>1</v>
      </c>
      <c r="EA1058" s="34" t="str">
        <f>SUM(EB11:EB12)</f>
        <v>0</v>
      </c>
      <c r="EI1058" s="33" t="s">
        <v>1</v>
      </c>
      <c r="EJ1058" s="34" t="str">
        <f>SUM(EK11:EK12)</f>
        <v>0</v>
      </c>
      <c r="ER1058" s="33" t="s">
        <v>1</v>
      </c>
      <c r="ES1058" s="34" t="str">
        <f>SUM(ET11:ET12)</f>
        <v>0</v>
      </c>
      <c r="FA1058" s="33" t="s">
        <v>1</v>
      </c>
      <c r="FB1058" s="34" t="str">
        <f>SUM(FC11:FC12)</f>
        <v>0</v>
      </c>
      <c r="FJ1058" s="33" t="s">
        <v>1</v>
      </c>
      <c r="FK1058" s="34" t="str">
        <f>SUM(FL11:FL12)</f>
        <v>0</v>
      </c>
      <c r="FS1058" s="33" t="s">
        <v>1</v>
      </c>
      <c r="FT1058" s="34" t="str">
        <f>SUM(FU11:FU12)</f>
        <v>0</v>
      </c>
    </row>
    <row r="1060" spans="1:179">
      <c r="E1060" s="33" t="str">
        <f>IF(E1056&gt;=51%,D1056,IF(E1057&gt;=51%,D1057,IF(E1058&gt;=51%,D1058,IF(SUM(E1056:E1057)&gt;SUM(E1057:E1058),D1056,IF(SUM(E1056:E1057)&lt;SUM(E1057:E1058),D1058,"Algo esta Mal")))))</f>
        <v>0</v>
      </c>
      <c r="N1060" s="33" t="str">
        <f>IF(N1056&gt;=51%,M1056,IF(N1057&gt;=51%,M1057,IF(N1058&gt;=51%,M1058,IF(SUM(N1056:N1057)&gt;SUM(N1057:N1058),M1056,IF(SUM(N1056:N1057)&lt;SUM(N1057:N1058),M1058,"Algo esta Mal")))))</f>
        <v>0</v>
      </c>
      <c r="W1060" s="33" t="str">
        <f>IF(W1056&gt;=51%,V1056,IF(W1057&gt;=51%,V1057,IF(W1058&gt;=51%,V1058,IF(SUM(W1056:W1057)&gt;SUM(W1057:W1058),V1056,IF(SUM(W1056:W1057)&lt;SUM(W1057:W1058),V1058,"Algo esta Mal")))))</f>
        <v>0</v>
      </c>
      <c r="AF1060" s="33" t="str">
        <f>IF(AF1056&gt;=51%,AE1056,IF(AF1057&gt;=51%,AE1057,IF(AF1058&gt;=51%,AE1058,IF(SUM(AF1056:AF1057)&gt;SUM(AF1057:AF1058),AE1056,IF(SUM(AF1056:AF1057)&lt;SUM(AF1057:AF1058),AE1058,"Algo esta Mal")))))</f>
        <v>0</v>
      </c>
      <c r="AO1060" s="33" t="str">
        <f>IF(AO1056&gt;=51%,AN1056,IF(AO1057&gt;=51%,AN1057,IF(AO1058&gt;=51%,AN1058,IF(SUM(AO1056:AO1057)&gt;SUM(AO1057:AO1058),AN1056,IF(SUM(AO1056:AO1057)&lt;SUM(AO1057:AO1058),AN1058,"Algo esta Mal")))))</f>
        <v>0</v>
      </c>
      <c r="AX1060" s="33" t="str">
        <f>IF(AX1056&gt;=51%,AW1056,IF(AX1057&gt;=51%,AW1057,IF(AX1058&gt;=51%,AW1058,IF(SUM(AX1056:AX1057)&gt;SUM(AX1057:AX1058),AW1056,IF(SUM(AX1056:AX1057)&lt;SUM(AX1057:AX1058),AW1058,"Algo esta Mal")))))</f>
        <v>0</v>
      </c>
      <c r="BG1060" s="33" t="str">
        <f>IF(BG1056&gt;=51%,BF1056,IF(BG1057&gt;=51%,BF1057,IF(BG1058&gt;=51%,BF1058,IF(SUM(BG1056:BG1057)&gt;SUM(BG1057:BG1058),BF1056,IF(SUM(BG1056:BG1057)&lt;SUM(BG1057:BG1058),BF1058,"Algo esta Mal")))))</f>
        <v>0</v>
      </c>
      <c r="BP1060" s="33" t="str">
        <f>IF(BP1056&gt;=51%,BO1056,IF(BP1057&gt;=51%,BO1057,IF(BP1058&gt;=51%,BO1058,IF(SUM(BP1056:BP1057)&gt;SUM(BP1057:BP1058),BO1056,IF(SUM(BP1056:BP1057)&lt;SUM(BP1057:BP1058),BO1058,"Algo esta Mal")))))</f>
        <v>0</v>
      </c>
      <c r="BY1060" s="33" t="str">
        <f>IF(BY1056&gt;=51%,BX1056,IF(BY1057&gt;=51%,BX1057,IF(BY1058&gt;=51%,BX1058,IF(SUM(BY1056:BY1057)&gt;SUM(BY1057:BY1058),BX1056,IF(SUM(BY1056:BY1057)&lt;SUM(BY1057:BY1058),BX1058,"Algo esta Mal")))))</f>
        <v>0</v>
      </c>
      <c r="CH1060" s="33" t="str">
        <f>IF(CH1056&gt;=51%,CG1056,IF(CH1057&gt;=51%,CG1057,IF(CH1058&gt;=51%,CG1058,IF(SUM(CH1056:CH1057)&gt;SUM(CH1057:CH1058),CG1056,IF(SUM(CH1056:CH1057)&lt;SUM(CH1057:CH1058),CG1058,"Algo esta Mal")))))</f>
        <v>0</v>
      </c>
      <c r="CQ1060" s="33" t="str">
        <f>IF(CQ1056&gt;=51%,CP1056,IF(CQ1057&gt;=51%,CP1057,IF(CQ1058&gt;=51%,CP1058,IF(SUM(CQ1056:CQ1057)&gt;SUM(CQ1057:CQ1058),CP1056,IF(SUM(CQ1056:CQ1057)&lt;SUM(CQ1057:CQ1058),CP1058,"Algo esta Mal")))))</f>
        <v>0</v>
      </c>
      <c r="CZ1060" s="33" t="str">
        <f>IF(CZ1056&gt;=51%,CY1056,IF(CZ1057&gt;=51%,CY1057,IF(CZ1058&gt;=51%,CY1058,IF(SUM(CZ1056:CZ1057)&gt;SUM(CZ1057:CZ1058),CY1056,IF(SUM(CZ1056:CZ1057)&lt;SUM(CZ1057:CZ1058),CY1058,"Algo esta Mal")))))</f>
        <v>0</v>
      </c>
      <c r="DI1060" s="33" t="str">
        <f>IF(DI1056&gt;=51%,DH1056,IF(DI1057&gt;=51%,DH1057,IF(DI1058&gt;=51%,DH1058,IF(SUM(DI1056:DI1057)&gt;SUM(DI1057:DI1058),DH1056,IF(SUM(DI1056:DI1057)&lt;SUM(DI1057:DI1058),DH1058,"Algo esta Mal")))))</f>
        <v>0</v>
      </c>
      <c r="DR1060" s="33" t="str">
        <f>IF(DR1056&gt;=51%,DQ1056,IF(DR1057&gt;=51%,DQ1057,IF(DR1058&gt;=51%,DQ1058,IF(SUM(DR1056:DR1057)&gt;SUM(DR1057:DR1058),DQ1056,IF(SUM(DR1056:DR1057)&lt;SUM(DR1057:DR1058),DQ1058,"Algo esta Mal")))))</f>
        <v>0</v>
      </c>
      <c r="EA1060" s="33" t="str">
        <f>IF(EA1056&gt;=51%,DZ1056,IF(EA1057&gt;=51%,DZ1057,IF(EA1058&gt;=51%,DZ1058,IF(SUM(EA1056:EA1057)&gt;SUM(EA1057:EA1058),DZ1056,IF(SUM(EA1056:EA1057)&lt;SUM(EA1057:EA1058),DZ1058,"Algo esta Mal")))))</f>
        <v>0</v>
      </c>
      <c r="EJ1060" s="33" t="str">
        <f>IF(EJ1056&gt;=51%,EI1056,IF(EJ1057&gt;=51%,EI1057,IF(EJ1058&gt;=51%,EI1058,IF(SUM(EJ1056:EJ1057)&gt;SUM(EJ1057:EJ1058),EI1056,IF(SUM(EJ1056:EJ1057)&lt;SUM(EJ1057:EJ1058),EI1058,"Algo esta Mal")))))</f>
        <v>0</v>
      </c>
      <c r="ES1060" s="33" t="str">
        <f>IF(ES1056&gt;=51%,ER1056,IF(ES1057&gt;=51%,ER1057,IF(ES1058&gt;=51%,ER1058,IF(SUM(ES1056:ES1057)&gt;SUM(ES1057:ES1058),ER1056,IF(SUM(ES1056:ES1057)&lt;SUM(ES1057:ES1058),ER1058,"Algo esta Mal")))))</f>
        <v>0</v>
      </c>
      <c r="FB1060" s="33" t="str">
        <f>IF(FB1056&gt;=51%,FA1056,IF(FB1057&gt;=51%,FA1057,IF(FB1058&gt;=51%,FA1058,IF(SUM(FB1056:FB1057)&gt;SUM(FB1057:FB1058),FA1056,IF(SUM(FB1056:FB1057)&lt;SUM(FB1057:FB1058),FA1058,"Algo esta Mal")))))</f>
        <v>0</v>
      </c>
      <c r="FK1060" s="33" t="str">
        <f>IF(FK1056&gt;=51%,FJ1056,IF(FK1057&gt;=51%,FJ1057,IF(FK1058&gt;=51%,FJ1058,IF(SUM(FK1056:FK1057)&gt;SUM(FK1057:FK1058),FJ1056,IF(SUM(FK1056:FK1057)&lt;SUM(FK1057:FK1058),FJ1058,"Algo esta Mal")))))</f>
        <v>0</v>
      </c>
      <c r="FT1060" s="33" t="str">
        <f>IF(FT1056&gt;=51%,FS1056,IF(FT1057&gt;=51%,FS1057,IF(FT1058&gt;=51%,FS1058,IF(SUM(FT1056:FT1057)&gt;SUM(FT1057:FT1058),FS1056,IF(SUM(FT1056:FT1057)&lt;SUM(FT1057:FT1058),FS1058,"Algo esta Mal")))))</f>
        <v>0</v>
      </c>
    </row>
    <row r="1062" spans="1:179">
      <c r="E1062" s="33"/>
      <c r="N1062" s="33"/>
      <c r="W1062" s="33"/>
      <c r="AF1062" s="33"/>
      <c r="AO1062" s="33"/>
      <c r="AX1062" s="33"/>
      <c r="BG1062" s="33"/>
      <c r="BP1062" s="33"/>
      <c r="BY1062" s="33"/>
      <c r="CH1062" s="33"/>
      <c r="CQ1062" s="33"/>
      <c r="CZ1062" s="33"/>
      <c r="DI1062" s="33"/>
      <c r="DR1062" s="33"/>
      <c r="EA1062" s="33"/>
      <c r="EJ1062" s="33"/>
      <c r="ES1062" s="33"/>
      <c r="FB1062" s="33"/>
      <c r="FK1062" s="33"/>
      <c r="FT1062" s="3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5:F43"/>
    <mergeCell ref="M4:O4"/>
    <mergeCell ref="M35:O43"/>
    <mergeCell ref="V4:X4"/>
    <mergeCell ref="V35:X43"/>
    <mergeCell ref="AE4:AG4"/>
    <mergeCell ref="AE35:AG43"/>
    <mergeCell ref="AN4:AP4"/>
    <mergeCell ref="AN35:AP43"/>
    <mergeCell ref="AW4:AY4"/>
    <mergeCell ref="AW35:AY43"/>
    <mergeCell ref="BF4:BH4"/>
    <mergeCell ref="BF35:BH43"/>
    <mergeCell ref="BO4:BQ4"/>
    <mergeCell ref="BO35:BQ43"/>
    <mergeCell ref="BX4:BZ4"/>
    <mergeCell ref="BX35:BZ43"/>
    <mergeCell ref="CG4:CI4"/>
    <mergeCell ref="CG35:CI43"/>
    <mergeCell ref="CP4:CR4"/>
    <mergeCell ref="CP35:CR43"/>
    <mergeCell ref="CY4:DA4"/>
    <mergeCell ref="CY35:DA43"/>
    <mergeCell ref="DH4:DJ4"/>
    <mergeCell ref="DH35:DJ43"/>
    <mergeCell ref="DQ4:DS4"/>
    <mergeCell ref="DQ35:DS43"/>
    <mergeCell ref="DZ4:EB4"/>
    <mergeCell ref="DZ35:EB43"/>
    <mergeCell ref="EI4:EK4"/>
    <mergeCell ref="EI35:EK43"/>
    <mergeCell ref="ER4:ET4"/>
    <mergeCell ref="ER35:ET43"/>
    <mergeCell ref="FA4:FC4"/>
    <mergeCell ref="FA35:FC43"/>
    <mergeCell ref="FJ4:FL4"/>
    <mergeCell ref="FJ35:FL43"/>
    <mergeCell ref="FS4:FU4"/>
    <mergeCell ref="FS35:FU4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8.xml><?xml version="1.0" encoding="utf-8"?>
<worksheet xmlns="http://schemas.openxmlformats.org/spreadsheetml/2006/main" xmlns:r="http://schemas.openxmlformats.org/officeDocument/2006/relationships" xml:space="preserve">
  <sheetPr>
    <outlinePr summaryBelow="1" summaryRight="1"/>
  </sheetPr>
  <dimension ref="A1:Z1076"/>
  <sheetViews>
    <sheetView tabSelected="0" workbookViewId="0" showGridLines="true" showRowColHeaders="1">
      <selection activeCell="M36" sqref="M36"/>
    </sheetView>
  </sheetViews>
  <sheetFormatPr defaultRowHeight="14.4" outlineLevelRow="0" outlineLevelCol="0"/>
  <cols>
    <col min="4" max="4" width="26" customWidth="true" style="0"/>
    <col min="5" max="5" width="26" customWidth="true" style="0"/>
    <col min="6" max="6" width="26" customWidth="true" style="0"/>
    <col min="13" max="13" width="26" customWidth="true" style="0"/>
    <col min="14" max="14" width="26" customWidth="true" style="0"/>
    <col min="15" max="15" width="26" customWidth="true" style="0"/>
  </cols>
  <sheetData>
    <row r="3" spans="1:26">
      <c r="B3" s="11"/>
      <c r="C3" s="11"/>
      <c r="D3" s="11"/>
      <c r="E3" s="11"/>
      <c r="F3" s="11"/>
      <c r="G3" s="11"/>
      <c r="H3" s="11"/>
      <c r="K3" s="28"/>
      <c r="L3" s="28"/>
      <c r="M3" s="28"/>
      <c r="N3" s="28"/>
      <c r="O3" s="28"/>
      <c r="P3" s="28"/>
      <c r="Q3" s="28"/>
    </row>
    <row r="4" spans="1:26">
      <c r="B4" s="11"/>
      <c r="D4" s="30" t="s">
        <v>179</v>
      </c>
      <c r="E4" s="29"/>
      <c r="F4" s="29"/>
      <c r="H4" s="11"/>
      <c r="K4" s="28"/>
      <c r="M4" s="30" t="s">
        <v>180</v>
      </c>
      <c r="N4" s="29"/>
      <c r="O4" s="29"/>
      <c r="Q4" s="28"/>
    </row>
    <row r="5" spans="1:26">
      <c r="B5" s="11"/>
      <c r="D5" s="10" t="s">
        <v>66</v>
      </c>
      <c r="H5" s="11"/>
      <c r="K5" s="28"/>
      <c r="M5" s="10" t="s">
        <v>67</v>
      </c>
      <c r="Q5" s="28"/>
    </row>
    <row r="6" spans="1:26">
      <c r="B6" s="11"/>
      <c r="D6" s="10" t="s">
        <v>1</v>
      </c>
      <c r="H6" s="11"/>
      <c r="K6" s="28"/>
      <c r="M6" s="10" t="s">
        <v>1</v>
      </c>
      <c r="Q6" s="28"/>
    </row>
    <row r="7" spans="1:26">
      <c r="B7" s="11"/>
      <c r="D7" s="13"/>
      <c r="E7" s="19" t="s">
        <v>69</v>
      </c>
      <c r="F7" s="19" t="s">
        <v>70</v>
      </c>
      <c r="H7" s="11"/>
      <c r="K7" s="28"/>
      <c r="M7" s="13"/>
      <c r="N7" s="19" t="s">
        <v>69</v>
      </c>
      <c r="O7" s="19" t="s">
        <v>70</v>
      </c>
      <c r="Q7" s="28"/>
    </row>
    <row r="8" spans="1:26">
      <c r="B8" s="11"/>
      <c r="D8" s="26" t="str">
        <f>('.'!A31)</f>
        <v>0</v>
      </c>
      <c r="E8" s="18" t="str">
        <f>COUNTIF('.'!B5:U24,1)</f>
        <v>0</v>
      </c>
      <c r="F8" s="22" t="str">
        <f>(E8/E13)</f>
        <v>0</v>
      </c>
      <c r="H8" s="11"/>
      <c r="K8" s="28"/>
      <c r="M8" s="26" t="str">
        <f>('.'!A31)</f>
        <v>0</v>
      </c>
      <c r="N8" s="18" t="str">
        <f>COUNTIF('.'!B5:U24,1)</f>
        <v>0</v>
      </c>
      <c r="O8" s="22" t="str">
        <f>(N8/N13)</f>
        <v>0</v>
      </c>
      <c r="Q8" s="28"/>
    </row>
    <row r="9" spans="1:26">
      <c r="B9" s="11"/>
      <c r="D9" s="26" t="str">
        <f>('.'!A32)</f>
        <v>0</v>
      </c>
      <c r="E9" s="18" t="str">
        <f>COUNTIF('.'!B5:U24,2)</f>
        <v>0</v>
      </c>
      <c r="F9" s="22" t="str">
        <f>(E9/E13)</f>
        <v>0</v>
      </c>
      <c r="H9" s="11"/>
      <c r="K9" s="28"/>
      <c r="M9" s="26" t="str">
        <f>('.'!A32)</f>
        <v>0</v>
      </c>
      <c r="N9" s="18" t="str">
        <f>COUNTIF('.'!B5:U24,2)</f>
        <v>0</v>
      </c>
      <c r="O9" s="22" t="str">
        <f>(N9/N13)</f>
        <v>0</v>
      </c>
      <c r="Q9" s="28"/>
    </row>
    <row r="10" spans="1:26">
      <c r="B10" s="11"/>
      <c r="D10" s="26" t="str">
        <f>('.'!A33)</f>
        <v>0</v>
      </c>
      <c r="E10" s="18" t="str">
        <f>COUNTIF('.'!B5:U24,3)</f>
        <v>0</v>
      </c>
      <c r="F10" s="22" t="str">
        <f>(E10/E13)</f>
        <v>0</v>
      </c>
      <c r="H10" s="11"/>
      <c r="K10" s="28"/>
      <c r="M10" s="26" t="str">
        <f>('.'!A33)</f>
        <v>0</v>
      </c>
      <c r="N10" s="18" t="str">
        <f>COUNTIF('.'!B5:U24,3)</f>
        <v>0</v>
      </c>
      <c r="O10" s="22" t="str">
        <f>(N10/N13)</f>
        <v>0</v>
      </c>
      <c r="Q10" s="28"/>
    </row>
    <row r="11" spans="1:26">
      <c r="B11" s="11"/>
      <c r="D11" s="26" t="str">
        <f>('.'!A34)</f>
        <v>0</v>
      </c>
      <c r="E11" s="18" t="str">
        <f>COUNTIF('.'!B5:U24,4)</f>
        <v>0</v>
      </c>
      <c r="F11" s="22" t="str">
        <f>(E11/E13)</f>
        <v>0</v>
      </c>
      <c r="H11" s="11"/>
      <c r="K11" s="28"/>
      <c r="M11" s="26" t="str">
        <f>('.'!A34)</f>
        <v>0</v>
      </c>
      <c r="N11" s="18" t="str">
        <f>COUNTIF('.'!B5:U24,4)</f>
        <v>0</v>
      </c>
      <c r="O11" s="22" t="str">
        <f>(N11/N13)</f>
        <v>0</v>
      </c>
      <c r="Q11" s="28"/>
    </row>
    <row r="12" spans="1:26">
      <c r="B12" s="11"/>
      <c r="D12" s="26" t="str">
        <f>('.'!A35)</f>
        <v>0</v>
      </c>
      <c r="E12" s="18" t="str">
        <f>COUNTIF('.'!B5:U24,5)</f>
        <v>0</v>
      </c>
      <c r="F12" s="22" t="str">
        <f>(E12/E13)</f>
        <v>0</v>
      </c>
      <c r="H12" s="11"/>
      <c r="K12" s="28"/>
      <c r="M12" s="26" t="str">
        <f>('.'!A35)</f>
        <v>0</v>
      </c>
      <c r="N12" s="18" t="str">
        <f>COUNTIF('.'!B5:U24,5)</f>
        <v>0</v>
      </c>
      <c r="O12" s="22" t="str">
        <f>(N12/N13)</f>
        <v>0</v>
      </c>
      <c r="Q12" s="28"/>
    </row>
    <row r="13" spans="1:26">
      <c r="B13" s="11"/>
      <c r="D13" s="32" t="str">
        <f>('.'!A36)</f>
        <v>0</v>
      </c>
      <c r="E13" s="19" t="str">
        <f>SUM(E8:E12)</f>
        <v>0</v>
      </c>
      <c r="F13" s="23" t="str">
        <f>SUM(F8:F12)</f>
        <v>0</v>
      </c>
      <c r="H13" s="11"/>
      <c r="K13" s="28"/>
      <c r="M13" s="32" t="str">
        <f>('.'!A36)</f>
        <v>0</v>
      </c>
      <c r="N13" s="19" t="str">
        <f>SUM(N8:N12)</f>
        <v>0</v>
      </c>
      <c r="O13" s="23" t="str">
        <f>SUM(O8:O12)</f>
        <v>0</v>
      </c>
      <c r="Q13" s="28"/>
    </row>
    <row r="14" spans="1:26">
      <c r="B14" s="11"/>
      <c r="D14" s="10" t="s">
        <v>74</v>
      </c>
      <c r="H14" s="11"/>
      <c r="K14" s="28"/>
      <c r="M14" s="10" t="s">
        <v>74</v>
      </c>
      <c r="Q14" s="28"/>
    </row>
    <row r="15" spans="1:26">
      <c r="B15" s="11"/>
      <c r="D15" s="10" t="s">
        <v>73</v>
      </c>
      <c r="H15" s="11"/>
      <c r="K15" s="28"/>
      <c r="M15" s="10" t="s">
        <v>73</v>
      </c>
      <c r="Q15" s="28"/>
    </row>
    <row r="16" spans="1:26">
      <c r="B16" s="11"/>
      <c r="H16" s="11"/>
      <c r="K16" s="28"/>
      <c r="Q16" s="28"/>
    </row>
    <row r="17" spans="1:26">
      <c r="B17" s="11"/>
      <c r="H17" s="11"/>
      <c r="K17" s="28"/>
      <c r="Q17" s="28"/>
    </row>
    <row r="18" spans="1:26">
      <c r="B18" s="11"/>
      <c r="H18" s="11"/>
      <c r="K18" s="28"/>
      <c r="Q18" s="28"/>
    </row>
    <row r="19" spans="1:26">
      <c r="B19" s="11"/>
      <c r="H19" s="11"/>
      <c r="K19" s="28"/>
      <c r="Q19" s="28"/>
    </row>
    <row r="20" spans="1:26">
      <c r="B20" s="11"/>
      <c r="H20" s="11"/>
      <c r="K20" s="28"/>
      <c r="Q20" s="28"/>
    </row>
    <row r="21" spans="1:26">
      <c r="B21" s="11"/>
      <c r="H21" s="11"/>
      <c r="K21" s="28"/>
      <c r="Q21" s="28"/>
    </row>
    <row r="22" spans="1:26">
      <c r="B22" s="11"/>
      <c r="H22" s="11"/>
      <c r="K22" s="28"/>
      <c r="Q22" s="28"/>
    </row>
    <row r="23" spans="1:26">
      <c r="B23" s="11"/>
      <c r="H23" s="11"/>
      <c r="K23" s="28"/>
      <c r="Q23" s="28"/>
    </row>
    <row r="24" spans="1:26">
      <c r="B24" s="11"/>
      <c r="H24" s="11"/>
      <c r="K24" s="28"/>
      <c r="Q24" s="28"/>
    </row>
    <row r="25" spans="1:26">
      <c r="B25" s="11"/>
      <c r="H25" s="11"/>
      <c r="K25" s="28"/>
      <c r="Q25" s="28"/>
    </row>
    <row r="26" spans="1:26">
      <c r="B26" s="11"/>
      <c r="H26" s="11"/>
      <c r="K26" s="28"/>
      <c r="Q26" s="28"/>
    </row>
    <row r="27" spans="1:26">
      <c r="B27" s="11"/>
      <c r="H27" s="11"/>
      <c r="K27" s="28"/>
      <c r="Q27" s="28"/>
    </row>
    <row r="28" spans="1:26">
      <c r="B28" s="11"/>
      <c r="H28" s="11"/>
      <c r="K28" s="28"/>
      <c r="Q28" s="28"/>
    </row>
    <row r="29" spans="1:26">
      <c r="B29" s="11"/>
      <c r="H29" s="11"/>
      <c r="K29" s="28"/>
      <c r="Q29" s="28"/>
    </row>
    <row r="30" spans="1:26">
      <c r="B30" s="11"/>
      <c r="H30" s="11"/>
      <c r="K30" s="28"/>
      <c r="Q30" s="28"/>
    </row>
    <row r="31" spans="1:26">
      <c r="B31" s="11"/>
      <c r="H31" s="11"/>
      <c r="K31" s="28"/>
      <c r="Q31" s="28"/>
    </row>
    <row r="32" spans="1:26">
      <c r="B32" s="11"/>
      <c r="H32" s="11"/>
      <c r="K32" s="28"/>
      <c r="Q32" s="28"/>
    </row>
    <row r="33" spans="1:26">
      <c r="B33" s="11"/>
      <c r="D33" s="10" t="s">
        <v>75</v>
      </c>
      <c r="H33" s="11"/>
      <c r="K33" s="28"/>
      <c r="M33" s="10" t="s">
        <v>76</v>
      </c>
      <c r="Q33" s="28"/>
    </row>
    <row r="34" spans="1:26">
      <c r="B34" s="11"/>
      <c r="D34" s="10" t="s">
        <v>1</v>
      </c>
      <c r="H34" s="11"/>
      <c r="K34" s="28"/>
      <c r="M34" s="10" t="s">
        <v>1</v>
      </c>
      <c r="Q34" s="28"/>
    </row>
    <row r="35" spans="1:26">
      <c r="B35" s="11"/>
      <c r="H35" s="11"/>
      <c r="K35" s="28"/>
      <c r="Q35" s="28"/>
    </row>
    <row r="36" spans="1:26">
      <c r="B36" s="11"/>
      <c r="D36" s="27" t="str">
        <f>CONCATENATE("En la ",D5," y ",D33," se puede observar que la variable ",E1001," en base a su dimensión ",E1002," es calificado como ",E1008," ya que el ",ROUND(D1006*100,0),"% de los resultados lo califican como ",D1005,", el ",ROUND(E1006*100,0),"% ",E1005," y el ",ROUND(F1006*100,0),"% lo califico como ",F1005," estos resultados son originados debido a que, ",D1011," ",E1011,",","asi mismo ",D1012," ",E1012,", mismo ",D1013," ",E1013,", también ",D1014," ",E1014,", también ",D1015," ",E1015,", sin embargo ",D1016," ",E1016,", incluso ",D1017," ",E1017,", por su parte ",D1018," ",E1018,", de modo que ",D1019," ",E1019,", así ",D1020," ",E1020,", además ",D1021," ",E1021,", además ",D1022," ",E1022,", incluso ",D1023," ",E1023,", así ",D1024," ",E1024,", así ",D1025," ",E1025,", con motivo ",D1026," ",E1026,", mismo ",D1027," ",E1027,", sin embargo ",D1028," ",E1028,", de nuevo ",D1029," ",E1029, ", ","asi mismo ",D1030," ",E1030,","," por todas estas razones, es que la variable ",E1001," basado en su dimensión ",E1002," y calificado por los ",E1003," es considerado como ",E1008,".")</f>
        <v>0</v>
      </c>
      <c r="E36" s="35"/>
      <c r="F36" s="35"/>
      <c r="G36" s="35"/>
      <c r="H36" s="36"/>
      <c r="I36" s="35"/>
      <c r="J36" s="35"/>
      <c r="K36" s="28"/>
      <c r="L36" s="35"/>
      <c r="M36" s="27" t="str">
        <f>CONCATENATE("En la ",M5," y ",M33," se puede observar que la variable ",N1001," tiene una calificación de ",N1008,","," ello debido a que el ",ROUND(N1006*100,0),"% de los resultados estan en las categorias de ",M1005," mientras que el ",ROUND(N1006*100,0),"% ",N1005," y el ",ROUND(O1006*100,0),"% ",O1005," en tal sentido se puede observar que la mayoria de los resultados es decir el ",ROUND(P1007*100,0),"% tiene una calificación inclinada para un valor ",N1008," estos resultados se originaron debido a que ",X1016,", finalmente dentro de las dimensiones evaluadas la que cuenta con mayor deficiencia es la dimensión ",L1076,)</f>
        <v>0</v>
      </c>
      <c r="N36" s="35"/>
      <c r="O36" s="35"/>
      <c r="P36" s="35"/>
      <c r="Q36" s="37"/>
      <c r="R36" s="35"/>
      <c r="S36" s="35"/>
      <c r="T36" s="35"/>
      <c r="U36" s="35"/>
    </row>
    <row r="37" spans="1:26">
      <c r="B37" s="11"/>
      <c r="H37" s="11"/>
      <c r="K37" s="28"/>
      <c r="Q37" s="28"/>
    </row>
    <row r="38" spans="1:26">
      <c r="B38" s="11"/>
      <c r="H38" s="11"/>
      <c r="K38" s="28"/>
      <c r="Q38" s="28"/>
    </row>
    <row r="39" spans="1:26">
      <c r="B39" s="11"/>
      <c r="H39" s="11"/>
      <c r="K39" s="28"/>
      <c r="Q39" s="28"/>
    </row>
    <row r="1001" spans="1:26">
      <c r="D1001" s="10" t="s">
        <v>56</v>
      </c>
      <c r="E1001" s="10" t="str">
        <f>(M6)</f>
        <v>0</v>
      </c>
      <c r="M1001" s="10" t="s">
        <v>56</v>
      </c>
      <c r="N1001" s="10" t="str">
        <f>(M6)</f>
        <v>0</v>
      </c>
    </row>
    <row r="1002" spans="1:26">
      <c r="D1002" s="10" t="s">
        <v>78</v>
      </c>
      <c r="E1002" s="10" t="str">
        <f>(D6)</f>
        <v>0</v>
      </c>
      <c r="M1002" s="10" t="s">
        <v>78</v>
      </c>
      <c r="N1002" s="10" t="str">
        <f>(M6)</f>
        <v>0</v>
      </c>
    </row>
    <row r="1003" spans="1:26">
      <c r="D1003" s="10" t="s">
        <v>181</v>
      </c>
      <c r="E1003" s="10" t="s">
        <v>79</v>
      </c>
      <c r="M1003" s="10" t="s">
        <v>181</v>
      </c>
      <c r="N1003" s="10" t="s">
        <v>79</v>
      </c>
    </row>
    <row r="1004" spans="1:26">
      <c r="C1004" s="10" t="s">
        <v>84</v>
      </c>
      <c r="D1004" s="10" t="s">
        <v>1</v>
      </c>
      <c r="E1004" s="10" t="s">
        <v>1</v>
      </c>
      <c r="F1004" s="10" t="s">
        <v>1</v>
      </c>
      <c r="L1004" s="10" t="s">
        <v>84</v>
      </c>
      <c r="M1004" s="10" t="s">
        <v>1</v>
      </c>
      <c r="N1004" s="10" t="s">
        <v>1</v>
      </c>
      <c r="O1004" s="10" t="s">
        <v>1</v>
      </c>
    </row>
    <row r="1005" spans="1:26">
      <c r="C1005" s="10" t="s">
        <v>68</v>
      </c>
      <c r="D1005" s="10" t="str">
        <f>CONCATENATE(D8," y ",D9)</f>
        <v>0</v>
      </c>
      <c r="E1005" s="10" t="str">
        <f>D10</f>
        <v>0</v>
      </c>
      <c r="F1005" s="10" t="str">
        <f>CONCATENATE(D11," y ",D12)</f>
        <v>0</v>
      </c>
      <c r="L1005" s="10" t="s">
        <v>68</v>
      </c>
      <c r="M1005" s="10" t="str">
        <f>CONCATENATE(M8," y ",M9)</f>
        <v>0</v>
      </c>
      <c r="N1005" s="10" t="str">
        <f>M10</f>
        <v>0</v>
      </c>
      <c r="O1005" s="10" t="str">
        <f>CONCATENATE(M11," y ",M12)</f>
        <v>0</v>
      </c>
    </row>
    <row r="1006" spans="1:26">
      <c r="D1006" s="14" t="str">
        <f>SUM(F8:F9)</f>
        <v>0</v>
      </c>
      <c r="E1006" s="14" t="str">
        <f>F10</f>
        <v>0</v>
      </c>
      <c r="F1006" s="14" t="str">
        <f>SUM(F11:F12)</f>
        <v>0</v>
      </c>
      <c r="M1006" s="14" t="str">
        <f>SUM(O8:O9)</f>
        <v>0</v>
      </c>
      <c r="N1006" s="14" t="str">
        <f>O10</f>
        <v>0</v>
      </c>
      <c r="O1006" s="14" t="str">
        <f>SUM(O11:O12)</f>
        <v>0</v>
      </c>
    </row>
    <row r="1007" spans="1:26">
      <c r="C1007" s="10" t="s">
        <v>182</v>
      </c>
      <c r="D1007" s="14" t="str">
        <f>SUM(D1006:E1006)</f>
        <v>0</v>
      </c>
      <c r="E1007" s="14" t="str">
        <f>SUM(E1006:F1006)</f>
        <v>0</v>
      </c>
      <c r="F1007" s="14" t="str">
        <f>(D1007-E1007)</f>
        <v>0</v>
      </c>
      <c r="L1007" s="10" t="s">
        <v>182</v>
      </c>
      <c r="M1007" s="14" t="str">
        <f>SUM(M1006:N1006)</f>
        <v>0</v>
      </c>
      <c r="N1007" s="14" t="str">
        <f>SUM(N1006:O1006)</f>
        <v>0</v>
      </c>
      <c r="O1007" s="14" t="str">
        <f>(M1007-N1007)</f>
        <v>0</v>
      </c>
      <c r="P1007" s="14" t="str">
        <f>MAX(M1007:N1007)</f>
        <v>0</v>
      </c>
    </row>
    <row r="1008" spans="1:26">
      <c r="D1008" s="10" t="s">
        <v>183</v>
      </c>
      <c r="E1008" t="str">
        <f>IF(AND(F1007&gt;=-5%,F1007&lt;=5%),E1004,IF(F1007&gt;=6%,D1004,IF(F1007&lt;=-5%,F1004,E1004)))</f>
        <v>0</v>
      </c>
      <c r="M1008" s="10" t="s">
        <v>183</v>
      </c>
      <c r="N1008" t="str">
        <f>IF(AND(O1007&gt;=-5%,O1007&lt;=5%),N1004,IF(O1007&gt;=6%,M1004,IF(O1007&lt;=-5%,O1004,N1004)))</f>
        <v>0</v>
      </c>
    </row>
    <row r="1011" spans="1:26">
      <c r="D1011" s="10" t="str">
        <f>'Por Valoracion (3) Dimension 2'!Q1016</f>
        <v>0</v>
      </c>
      <c r="E1011" s="10" t="str">
        <f>'Por Valoracion (3) Dimension 2'!I1016</f>
        <v>0</v>
      </c>
    </row>
    <row r="1012" spans="1:26">
      <c r="D1012" s="10" t="str">
        <f>'Por Valoracion (3) Dimension 2'!Q1017</f>
        <v>0</v>
      </c>
      <c r="E1012" s="10" t="str">
        <f>'Por Valoracion (3) Dimension 2'!I1017</f>
        <v>0</v>
      </c>
    </row>
    <row r="1013" spans="1:26">
      <c r="D1013" s="10" t="str">
        <f>'Por Valoracion (3) Dimension 2'!Q1018</f>
        <v>0</v>
      </c>
      <c r="E1013" s="10" t="str">
        <f>'Por Valoracion (3) Dimension 2'!I1018</f>
        <v>0</v>
      </c>
    </row>
    <row r="1014" spans="1:26">
      <c r="D1014" s="10" t="str">
        <f>'Por Valoracion (3) Dimension 2'!Q1019</f>
        <v>0</v>
      </c>
      <c r="E1014" s="10" t="str">
        <f>'Por Valoracion (3) Dimension 2'!I1019</f>
        <v>0</v>
      </c>
    </row>
    <row r="1015" spans="1:26">
      <c r="D1015" s="10" t="str">
        <f>'Por Valoracion (3) Dimension 2'!Q1020</f>
        <v>0</v>
      </c>
      <c r="E1015" s="10" t="str">
        <f>'Por Valoracion (3) Dimension 2'!I1020</f>
        <v>0</v>
      </c>
      <c r="L1015" s="10" t="s">
        <v>88</v>
      </c>
      <c r="M1015" s="10" t="str">
        <f>M1005</f>
        <v>0</v>
      </c>
      <c r="N1015" s="10" t="str">
        <f>N1005</f>
        <v>0</v>
      </c>
      <c r="O1015" s="10" t="str">
        <f>O1005</f>
        <v>0</v>
      </c>
      <c r="P1015" s="10" t="s">
        <v>184</v>
      </c>
      <c r="Q1015" s="10" t="s">
        <v>89</v>
      </c>
      <c r="R1015" s="10" t="s">
        <v>90</v>
      </c>
      <c r="S1015" s="10" t="s">
        <v>91</v>
      </c>
      <c r="T1015" s="10" t="s">
        <v>92</v>
      </c>
      <c r="U1015" s="10" t="s">
        <v>93</v>
      </c>
      <c r="V1015" s="10" t="s">
        <v>94</v>
      </c>
      <c r="W1015" s="10" t="s">
        <v>95</v>
      </c>
      <c r="X1015" s="10" t="s">
        <v>87</v>
      </c>
      <c r="Y1015" s="10"/>
      <c r="Z1015" s="10"/>
    </row>
    <row r="1016" spans="1:26">
      <c r="D1016" s="10" t="str">
        <f>'Por Valoracion (3) Dimension 2'!Q1021</f>
        <v>0</v>
      </c>
      <c r="E1016" s="10" t="str">
        <f>'Por Valoracion (3) Dimension 2'!I1021</f>
        <v>0</v>
      </c>
      <c r="L1016" s="10" t="str">
        <f>(D6)</f>
        <v>0</v>
      </c>
      <c r="M1016" s="14" t="str">
        <f>(D1006)</f>
        <v>0</v>
      </c>
      <c r="N1016" s="14" t="str">
        <f>(E1006)</f>
        <v>0</v>
      </c>
      <c r="O1016" s="14" t="str">
        <f>(F1006)</f>
        <v>0</v>
      </c>
      <c r="P1016" s="14" t="str">
        <f>MAX(M1016:O1016)</f>
        <v>0</v>
      </c>
      <c r="Q1016" s="10" t="str">
        <f>IF(P1016=M1016,$M$1015,IF(P1016=N1016,$N$1015,IF(P1016=O1016,$O$1015,"algo esta mal")))</f>
        <v>0</v>
      </c>
      <c r="R1016" s="10" t="str">
        <f> RANDBETWEEN(1,10)</f>
        <v>0</v>
      </c>
      <c r="S1016" s="10" t="str">
        <f>IF(R1016='Por Valoracion (3) Dimension 2'!$AB$1100,'Por Valoracion (3) Dimension 2'!$AC$1100,IF(R1016='Por Valoracion (3) Dimension 2'!$AB$1101,'Por Valoracion (3) Dimension 2'!$AC$1101,IF(R1016='Por Valoracion (3) Dimension 2'!$AB$1102,'Por Valoracion (3) Dimension 2'!$AC$1102,IF(R1016='Por Valoracion (3) Dimension 2'!$AB$1103,'Por Valoracion (3) Dimension 2'!$AC$1103,IF(R1016='Por Valoracion (3) Dimension 2'!$AB$1104,'Por Valoracion (3) Dimension 2'!$AC$1104,IF(R1016='Por Valoracion (3) Dimension 2'!$AB$1105,'Por Valoracion (3) Dimension 2'!$AC$1105,IF(R1016='Por Valoracion (3) Dimension 2'!$AB$1106,'Por Valoracion (3) Dimension 2'!$AC$1106,IF(R1016='Por Valoracion (3) Dimension 2'!$AB$1107,'Por Valoracion (3) Dimension 2'!$AC$1107,IF(R1016='Por Valoracion (3) Dimension 2'!$AB$1108,'Por Valoracion (3) Dimension 2'!$AC$1108,IF(R1016='Por Valoracion (3) Dimension 2'!$AB$1109,'Por Valoracion (3) Dimension 2'!$AC$1109, A4000))))))))))</f>
        <v>0</v>
      </c>
      <c r="T1016" s="10" t="str">
        <f> RANDBETWEEN(1,7)</f>
        <v>0</v>
      </c>
      <c r="U1016" s="10" t="str">
        <f>IF(T1016='Por Valoracion (3) Dimension 2'!$AB$1110,'Por Valoracion (3) Dimension 2'!$AC$1110,IF(T1016='Por Valoracion (3) Dimension 2'!$AB$1111,'Por Valoracion (3) Dimension 2'!$AC$1111,IF(T1016='Por Valoracion (3) Dimension 2'!$AB$1112,'Por Valoracion (3) Dimension 2'!$AC$1112,IF(T1016='Por Valoracion (3) Dimension 2'!$AB$1113,'Por Valoracion (3) Dimension 2'!$AC$1113,IF(T1016='Por Valoracion (3) Dimension 2'!$AB$1114,'Por Valoracion (3) Dimension 2'!$AC$1114,IF(T1016='Por Valoracion (3) Dimension 2'!$AB$1115,'Por Valoracion (3) Dimension 2'!$AC$1115,IF(T1016='Por Valoracion (3) Dimension 2'!$AB$1116,'Por Valoracion (3) Dimension 2'!$AC$1116,IF(T1016='Por Valoracion (3) Dimension 2'!$AB$1117,'Por Valoracion (3) Dimension 2'!$AC$1117,IF(T1016='Por Valoracion (3) Dimension 2'!$AB$1118,'Por Valoracion (3) Dimension 2'!$AC$1118,IF(T1016='Por Valoracion (3) Dimension 2'!$AB$1119,'Por Valoracion (3) Dimension 2'!$AC$1119, A4000))))))))))</f>
        <v>0</v>
      </c>
      <c r="V1016" s="10" t="str">
        <f> RANDBETWEEN(1,2)</f>
        <v>0</v>
      </c>
      <c r="W1016" s="10" t="str">
        <f>IF(V1016='Por Valoracion (3) Dimension 2'!$AB$1120,'Por Valoracion (3) Dimension 2'!$AC$1120,IF(V1016='Por Valoracion (3) Dimension 2'!$AB$1121,'Por Valoracion (3) Dimension 2'!$AC$1121,A4000))</f>
        <v>0</v>
      </c>
      <c r="X1016" s="10" t="str">
        <f>CONCATENATE("el ",ROUND(P1016*100,0),"% de los ",W1016," ",S1016," a la dimensión ",L1016," como ",Q1016)</f>
        <v>0</v>
      </c>
    </row>
    <row r="1017" spans="1:26">
      <c r="D1017" s="10" t="str">
        <f>'Por Valoracion (3) Dimension 2'!Q1022</f>
        <v>0</v>
      </c>
      <c r="E1017" s="10" t="str">
        <f>'Por Valoracion (3) Dimension 2'!I1022</f>
        <v>0</v>
      </c>
    </row>
    <row r="1018" spans="1:26">
      <c r="D1018" s="10" t="str">
        <f>'Por Valoracion (3) Dimension 2'!Q1023</f>
        <v>0</v>
      </c>
      <c r="E1018" s="10" t="str">
        <f>'Por Valoracion (3) Dimension 2'!I1023</f>
        <v>0</v>
      </c>
    </row>
    <row r="1019" spans="1:26">
      <c r="D1019" s="10" t="str">
        <f>'Por Valoracion (3) Dimension 2'!Q1024</f>
        <v>0</v>
      </c>
      <c r="E1019" s="10" t="str">
        <f>'Por Valoracion (3) Dimension 2'!I1024</f>
        <v>0</v>
      </c>
    </row>
    <row r="1020" spans="1:26">
      <c r="D1020" s="10" t="str">
        <f>'Por Valoracion (3) Dimension 2'!Q1025</f>
        <v>0</v>
      </c>
      <c r="E1020" s="10" t="str">
        <f>'Por Valoracion (3) Dimension 2'!I1025</f>
        <v>0</v>
      </c>
    </row>
    <row r="1021" spans="1:26">
      <c r="D1021" s="10" t="str">
        <f>'Por Valoracion (3) Dimension 2'!Q1026</f>
        <v>0</v>
      </c>
      <c r="E1021" s="10" t="str">
        <f>'Por Valoracion (3) Dimension 2'!I1026</f>
        <v>0</v>
      </c>
    </row>
    <row r="1022" spans="1:26">
      <c r="D1022" s="10" t="str">
        <f>'Por Valoracion (3) Dimension 2'!Q1027</f>
        <v>0</v>
      </c>
      <c r="E1022" s="10" t="str">
        <f>'Por Valoracion (3) Dimension 2'!I1027</f>
        <v>0</v>
      </c>
    </row>
    <row r="1023" spans="1:26">
      <c r="D1023" s="10" t="str">
        <f>'Por Valoracion (3) Dimension 2'!Q1028</f>
        <v>0</v>
      </c>
      <c r="E1023" s="10" t="str">
        <f>'Por Valoracion (3) Dimension 2'!I1028</f>
        <v>0</v>
      </c>
    </row>
    <row r="1024" spans="1:26">
      <c r="D1024" s="10" t="str">
        <f>'Por Valoracion (3) Dimension 2'!Q1029</f>
        <v>0</v>
      </c>
      <c r="E1024" s="10" t="str">
        <f>'Por Valoracion (3) Dimension 2'!I1029</f>
        <v>0</v>
      </c>
    </row>
    <row r="1025" spans="1:26">
      <c r="D1025" s="10" t="str">
        <f>'Por Valoracion (3) Dimension 2'!Q1030</f>
        <v>0</v>
      </c>
      <c r="E1025" s="10" t="str">
        <f>'Por Valoracion (3) Dimension 2'!I1030</f>
        <v>0</v>
      </c>
    </row>
    <row r="1026" spans="1:26">
      <c r="D1026" s="10" t="str">
        <f>'Por Valoracion (3) Dimension 2'!Q1031</f>
        <v>0</v>
      </c>
      <c r="E1026" s="10" t="str">
        <f>'Por Valoracion (3) Dimension 2'!I1031</f>
        <v>0</v>
      </c>
    </row>
    <row r="1027" spans="1:26">
      <c r="D1027" s="10" t="str">
        <f>'Por Valoracion (3) Dimension 2'!Q1032</f>
        <v>0</v>
      </c>
      <c r="E1027" s="10" t="str">
        <f>'Por Valoracion (3) Dimension 2'!I1032</f>
        <v>0</v>
      </c>
    </row>
    <row r="1028" spans="1:26">
      <c r="D1028" s="10" t="str">
        <f>'Por Valoracion (3) Dimension 2'!Q1033</f>
        <v>0</v>
      </c>
      <c r="E1028" s="10" t="str">
        <f>'Por Valoracion (3) Dimension 2'!I1033</f>
        <v>0</v>
      </c>
    </row>
    <row r="1029" spans="1:26">
      <c r="D1029" s="10" t="str">
        <f>'Por Valoracion (3) Dimension 2'!Q1034</f>
        <v>0</v>
      </c>
      <c r="E1029" s="10" t="str">
        <f>'Por Valoracion (3) Dimension 2'!I1034</f>
        <v>0</v>
      </c>
    </row>
    <row r="1030" spans="1:26">
      <c r="D1030" s="10" t="str">
        <f>'Por Valoracion (3) Dimension 2'!Q1035</f>
        <v>0</v>
      </c>
      <c r="E1030" s="10" t="str">
        <f>'Por Valoracion (3) Dimension 2'!I1035</f>
        <v>0</v>
      </c>
    </row>
    <row r="1076" spans="1:26">
      <c r="L1076" s="10" t="str">
        <f>IF(M1076=M1016,L1016)</f>
        <v>0</v>
      </c>
      <c r="M1076" s="14" t="str">
        <f>MAX(M1016:M1016)</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4:F4"/>
    <mergeCell ref="D36:F47"/>
    <mergeCell ref="M4:O4"/>
    <mergeCell ref="M36:O4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9.xml><?xml version="1.0" encoding="utf-8"?>
<worksheet xmlns="http://schemas.openxmlformats.org/spreadsheetml/2006/main" xmlns:r="http://schemas.openxmlformats.org/officeDocument/2006/relationships" xml:space="preserve">
  <sheetPr>
    <outlinePr summaryBelow="1" summaryRight="1"/>
  </sheetPr>
  <dimension ref="A1:Z34"/>
  <sheetViews>
    <sheetView tabSelected="0" workbookViewId="0" showGridLines="true" showRowColHeaders="1">
      <selection activeCell="X12" sqref="X12"/>
    </sheetView>
  </sheetViews>
  <sheetFormatPr defaultRowHeight="14.4" outlineLevelRow="0" outlineLevelCol="0"/>
  <cols>
    <col min="3" max="3" width="20" customWidth="true" style="0"/>
    <col min="4" max="4" width="12" customWidth="true" style="0"/>
    <col min="5" max="5" width="12" customWidth="true" style="0"/>
    <col min="7" max="7" width="2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 min="15" max="15" width="23" customWidth="true" style="0"/>
    <col min="16" max="16" width="15" customWidth="true" style="0"/>
    <col min="17" max="17" width="20" customWidth="true" style="0"/>
    <col min="18" max="18" width="20" customWidth="true" style="0"/>
    <col min="20" max="20" width="22" customWidth="true" style="0"/>
    <col min="21" max="21" width="22" customWidth="true" style="0"/>
    <col min="22" max="22" width="15" customWidth="true" style="0"/>
    <col min="23" max="23" width="20" customWidth="true" style="0"/>
  </cols>
  <sheetData>
    <row r="1" spans="1:26">
      <c r="A1" s="38"/>
      <c r="B1" s="38"/>
      <c r="C1" s="38"/>
      <c r="D1" s="38"/>
      <c r="E1" s="38"/>
      <c r="F1" s="38"/>
      <c r="G1" s="38"/>
      <c r="H1" s="38"/>
      <c r="I1" s="38"/>
      <c r="J1" s="38"/>
      <c r="K1" s="38"/>
      <c r="L1" s="38"/>
      <c r="M1" s="38"/>
      <c r="N1" s="38"/>
      <c r="O1" s="38"/>
      <c r="P1" s="38"/>
      <c r="Q1" s="38"/>
      <c r="R1" s="38"/>
      <c r="S1" s="38"/>
      <c r="T1" s="38"/>
      <c r="U1" s="38"/>
      <c r="V1" s="38"/>
      <c r="W1" s="38"/>
      <c r="X1" s="38"/>
      <c r="Y1" s="38"/>
      <c r="Z1" s="38"/>
    </row>
    <row r="2" spans="1:26">
      <c r="A2" s="38"/>
      <c r="D2" s="40" t="s">
        <v>187</v>
      </c>
      <c r="E2" s="40" t="s">
        <v>188</v>
      </c>
      <c r="Z2" s="38"/>
    </row>
    <row r="3" spans="1:26">
      <c r="A3" s="38"/>
      <c r="D3" s="40" t="str">
        <f>'Por Valoracion (3) Dimension'!B2</f>
        <v>0</v>
      </c>
      <c r="E3" s="40" t="str">
        <f>'Por Valoracion (3) Dimension 2'!B2</f>
        <v>0</v>
      </c>
      <c r="Z3" s="38"/>
    </row>
    <row r="4" spans="1:26">
      <c r="A4" s="38"/>
      <c r="C4" t="str">
        <f>('.'!A5)</f>
        <v>0</v>
      </c>
      <c r="D4" s="39" t="str">
        <f>'Por Valoracion (3) Dimension'!B4</f>
        <v>0</v>
      </c>
      <c r="E4" s="39" t="str">
        <f>'Por Valoracion (3) Dimension 2'!B4</f>
        <v>0</v>
      </c>
      <c r="G4" s="10" t="s">
        <v>66</v>
      </c>
      <c r="Z4" s="38"/>
    </row>
    <row r="5" spans="1:26">
      <c r="A5" s="38"/>
      <c r="C5" t="str">
        <f>('.'!A6)</f>
        <v>0</v>
      </c>
      <c r="D5" s="39" t="str">
        <f>'Por Valoracion (3) Dimension'!B5</f>
        <v>0</v>
      </c>
      <c r="E5" s="39" t="str">
        <f>'Por Valoracion (3) Dimension 2'!B5</f>
        <v>0</v>
      </c>
      <c r="G5" s="42" t="s">
        <v>189</v>
      </c>
      <c r="H5" s="12"/>
      <c r="I5" s="12"/>
      <c r="J5" s="12"/>
      <c r="K5" s="12"/>
      <c r="L5" s="12"/>
      <c r="M5" s="12"/>
      <c r="Z5" s="38"/>
    </row>
    <row r="6" spans="1:26">
      <c r="A6" s="38"/>
      <c r="C6" t="str">
        <f>('.'!A7)</f>
        <v>0</v>
      </c>
      <c r="D6" s="39" t="str">
        <f>'Por Valoracion (3) Dimension'!B6</f>
        <v>0</v>
      </c>
      <c r="E6" s="39" t="str">
        <f>'Por Valoracion (3) Dimension 2'!B6</f>
        <v>0</v>
      </c>
      <c r="G6"/>
      <c r="H6" s="41" t="s">
        <v>190</v>
      </c>
      <c r="K6" s="41" t="s">
        <v>191</v>
      </c>
      <c r="Z6" s="38"/>
    </row>
    <row r="7" spans="1:26">
      <c r="A7" s="38"/>
      <c r="C7" t="str">
        <f>('.'!A8)</f>
        <v>0</v>
      </c>
      <c r="D7" s="39" t="str">
        <f>'Por Valoracion (3) Dimension'!B7</f>
        <v>0</v>
      </c>
      <c r="E7" s="39" t="str">
        <f>'Por Valoracion (3) Dimension 2'!B7</f>
        <v>0</v>
      </c>
      <c r="G7" s="12"/>
      <c r="H7" s="43" t="s">
        <v>192</v>
      </c>
      <c r="I7" s="43" t="s">
        <v>193</v>
      </c>
      <c r="J7" s="43" t="s">
        <v>194</v>
      </c>
      <c r="K7" s="43" t="s">
        <v>192</v>
      </c>
      <c r="L7" s="45" t="s">
        <v>193</v>
      </c>
      <c r="M7" s="43" t="s">
        <v>194</v>
      </c>
      <c r="Z7" s="38"/>
    </row>
    <row r="8" spans="1:26">
      <c r="A8" s="38"/>
      <c r="C8" t="str">
        <f>('.'!A9)</f>
        <v>0</v>
      </c>
      <c r="D8" s="39" t="str">
        <f>'Por Valoracion (3) Dimension'!B8</f>
        <v>0</v>
      </c>
      <c r="E8" s="39" t="str">
        <f>'Por Valoracion (3) Dimension 2'!B8</f>
        <v>0</v>
      </c>
      <c r="G8" s="41" t="str">
        <f>D3</f>
        <v>0</v>
      </c>
      <c r="H8" s="44"/>
      <c r="I8" s="44"/>
      <c r="J8" s="44"/>
      <c r="K8" s="44"/>
      <c r="L8" s="44"/>
      <c r="M8" s="44"/>
      <c r="Z8" s="38"/>
    </row>
    <row r="9" spans="1:26">
      <c r="A9" s="38"/>
      <c r="C9" t="str">
        <f>('.'!A10)</f>
        <v>0</v>
      </c>
      <c r="D9" s="39" t="str">
        <f>'Por Valoracion (3) Dimension'!B9</f>
        <v>0</v>
      </c>
      <c r="E9" s="39" t="str">
        <f>'Por Valoracion (3) Dimension 2'!B9</f>
        <v>0</v>
      </c>
      <c r="G9" s="42" t="str">
        <f>E3</f>
        <v>0</v>
      </c>
      <c r="H9" s="12"/>
      <c r="I9" s="12"/>
      <c r="J9" s="12"/>
      <c r="K9" s="12"/>
      <c r="L9" s="12"/>
      <c r="M9" s="12"/>
      <c r="Z9" s="38"/>
    </row>
    <row r="10" spans="1:26">
      <c r="A10" s="38"/>
      <c r="C10" t="str">
        <f>('.'!A11)</f>
        <v>0</v>
      </c>
      <c r="D10" s="39" t="str">
        <f>'Por Valoracion (3) Dimension'!B10</f>
        <v>0</v>
      </c>
      <c r="E10" s="39" t="str">
        <f>'Por Valoracion (3) Dimension 2'!B10</f>
        <v>0</v>
      </c>
      <c r="G10" s="41" t="s">
        <v>195</v>
      </c>
      <c r="O10" s="10" t="s">
        <v>66</v>
      </c>
      <c r="T10" s="10" t="s">
        <v>66</v>
      </c>
      <c r="Z10" s="38"/>
    </row>
    <row r="11" spans="1:26">
      <c r="A11" s="38"/>
      <c r="C11" t="str">
        <f>('.'!A12)</f>
        <v>0</v>
      </c>
      <c r="D11" s="39" t="str">
        <f>'Por Valoracion (3) Dimension'!B11</f>
        <v>0</v>
      </c>
      <c r="E11" s="39" t="str">
        <f>'Por Valoracion (3) Dimension 2'!B11</f>
        <v>0</v>
      </c>
      <c r="O11" s="42" t="s">
        <v>196</v>
      </c>
      <c r="P11" s="12"/>
      <c r="Q11" s="12"/>
      <c r="R11" s="12"/>
      <c r="T11" s="42" t="s">
        <v>196</v>
      </c>
      <c r="U11" s="12"/>
      <c r="V11" s="12"/>
      <c r="W11" s="12"/>
      <c r="X11" s="12"/>
      <c r="Z11" s="38"/>
    </row>
    <row r="12" spans="1:26">
      <c r="A12" s="38"/>
      <c r="C12" t="str">
        <f>('.'!A13)</f>
        <v>0</v>
      </c>
      <c r="D12" s="39" t="str">
        <f>'Por Valoracion (3) Dimension'!B12</f>
        <v>0</v>
      </c>
      <c r="E12" s="39" t="str">
        <f>'Por Valoracion (3) Dimension 2'!B12</f>
        <v>0</v>
      </c>
      <c r="G12" s="27" t="str">
        <f>CONCATENATE("en la ",G4," y basándose en la prueba de ",F29," se puede observar que, ","con una probabilidad de error de ",D30,"% para la ",D28," ",D29," y ",E30,"% para la ",E28," ",E29,", ",G29,H29, " por tal motivo se procederá a utilizar ",I29,".")</f>
        <v>0</v>
      </c>
      <c r="O12" s="12"/>
      <c r="P12" s="12"/>
      <c r="Q12" s="42" t="str">
        <f>D3</f>
        <v>0</v>
      </c>
      <c r="R12" s="42" t="str">
        <f>E3</f>
        <v>0</v>
      </c>
      <c r="T12" s="12"/>
      <c r="U12" s="12"/>
      <c r="V12" s="12"/>
      <c r="W12" s="42" t="str">
        <f>D3</f>
        <v>0</v>
      </c>
      <c r="X12" s="42" t="str">
        <f>E3</f>
        <v>0</v>
      </c>
      <c r="Z12" s="38"/>
    </row>
    <row r="13" spans="1:26">
      <c r="A13" s="38"/>
      <c r="C13" t="str">
        <f>('.'!A14)</f>
        <v>0</v>
      </c>
      <c r="D13" s="39" t="str">
        <f>'Por Valoracion (3) Dimension'!B13</f>
        <v>0</v>
      </c>
      <c r="E13" s="39" t="str">
        <f>'Por Valoracion (3) Dimension 2'!B13</f>
        <v>0</v>
      </c>
      <c r="O13" s="41" t="str">
        <f>D3</f>
        <v>0</v>
      </c>
      <c r="P13" s="44" t="s">
        <v>197</v>
      </c>
      <c r="T13" s="44" t="s">
        <v>198</v>
      </c>
      <c r="U13" s="41" t="str">
        <f>D3</f>
        <v>0</v>
      </c>
      <c r="V13" s="44" t="s">
        <v>199</v>
      </c>
      <c r="Z13" s="38"/>
    </row>
    <row r="14" spans="1:26">
      <c r="A14" s="38"/>
      <c r="C14" t="str">
        <f>('.'!A15)</f>
        <v>0</v>
      </c>
      <c r="D14" s="39" t="str">
        <f>'Por Valoracion (3) Dimension'!B14</f>
        <v>0</v>
      </c>
      <c r="E14" s="39" t="str">
        <f>'Por Valoracion (3) Dimension 2'!B14</f>
        <v>0</v>
      </c>
      <c r="P14" s="44" t="s">
        <v>200</v>
      </c>
      <c r="V14" s="44" t="s">
        <v>200</v>
      </c>
      <c r="Z14" s="38"/>
    </row>
    <row r="15" spans="1:26">
      <c r="A15" s="38"/>
      <c r="C15" t="str">
        <f>('.'!A16)</f>
        <v>0</v>
      </c>
      <c r="D15" s="39" t="str">
        <f>'Por Valoracion (3) Dimension'!B15</f>
        <v>0</v>
      </c>
      <c r="E15" s="39" t="str">
        <f>'Por Valoracion (3) Dimension 2'!B15</f>
        <v>0</v>
      </c>
      <c r="P15" s="44" t="s">
        <v>201</v>
      </c>
      <c r="V15" s="44" t="s">
        <v>201</v>
      </c>
      <c r="Z15" s="38"/>
    </row>
    <row r="16" spans="1:26">
      <c r="A16" s="38"/>
      <c r="C16" t="str">
        <f>('.'!A17)</f>
        <v>0</v>
      </c>
      <c r="D16" s="39" t="str">
        <f>'Por Valoracion (3) Dimension'!B16</f>
        <v>0</v>
      </c>
      <c r="E16" s="39" t="str">
        <f>'Por Valoracion (3) Dimension 2'!B16</f>
        <v>0</v>
      </c>
      <c r="O16" s="41" t="str">
        <f>E3</f>
        <v>0</v>
      </c>
      <c r="P16" s="44" t="s">
        <v>197</v>
      </c>
      <c r="U16" s="41" t="str">
        <f>E3</f>
        <v>0</v>
      </c>
      <c r="V16" s="44" t="s">
        <v>199</v>
      </c>
      <c r="Z16" s="38"/>
    </row>
    <row r="17" spans="1:26">
      <c r="A17" s="38"/>
      <c r="C17" t="str">
        <f>('.'!A18)</f>
        <v>0</v>
      </c>
      <c r="D17" s="39" t="str">
        <f>'Por Valoracion (3) Dimension'!B17</f>
        <v>0</v>
      </c>
      <c r="E17" s="39" t="str">
        <f>'Por Valoracion (3) Dimension 2'!B17</f>
        <v>0</v>
      </c>
      <c r="P17" s="44" t="s">
        <v>200</v>
      </c>
      <c r="V17" s="44" t="s">
        <v>200</v>
      </c>
      <c r="Z17" s="38"/>
    </row>
    <row r="18" spans="1:26">
      <c r="A18" s="38"/>
      <c r="C18" t="str">
        <f>('.'!A19)</f>
        <v>0</v>
      </c>
      <c r="D18" s="39" t="str">
        <f>'Por Valoracion (3) Dimension'!B18</f>
        <v>0</v>
      </c>
      <c r="E18" s="39" t="str">
        <f>'Por Valoracion (3) Dimension 2'!B18</f>
        <v>0</v>
      </c>
      <c r="O18" s="12"/>
      <c r="P18" s="43" t="s">
        <v>201</v>
      </c>
      <c r="Q18" s="12"/>
      <c r="R18" s="12"/>
      <c r="T18" s="12"/>
      <c r="U18" s="12"/>
      <c r="V18" s="43" t="s">
        <v>201</v>
      </c>
      <c r="W18" s="12"/>
      <c r="X18" s="12"/>
      <c r="Z18" s="38"/>
    </row>
    <row r="19" spans="1:26">
      <c r="A19" s="38"/>
      <c r="C19" t="str">
        <f>('.'!A20)</f>
        <v>0</v>
      </c>
      <c r="D19" s="39" t="str">
        <f>'Por Valoracion (3) Dimension'!B19</f>
        <v>0</v>
      </c>
      <c r="E19" s="39" t="str">
        <f>'Por Valoracion (3) Dimension 2'!B19</f>
        <v>0</v>
      </c>
      <c r="O19" s="41" t="s">
        <v>202</v>
      </c>
      <c r="T19" s="41" t="s">
        <v>202</v>
      </c>
      <c r="Z19" s="38"/>
    </row>
    <row r="20" spans="1:26">
      <c r="A20" s="38"/>
      <c r="C20" t="str">
        <f>('.'!A21)</f>
        <v>0</v>
      </c>
      <c r="D20" s="39" t="str">
        <f>'Por Valoracion (3) Dimension'!B20</f>
        <v>0</v>
      </c>
      <c r="E20" s="39" t="str">
        <f>'Por Valoracion (3) Dimension 2'!B20</f>
        <v>0</v>
      </c>
      <c r="Z20" s="38"/>
    </row>
    <row r="21" spans="1:26">
      <c r="A21" s="38"/>
      <c r="C21" t="str">
        <f>('.'!A22)</f>
        <v>0</v>
      </c>
      <c r="D21" s="39" t="str">
        <f>'Por Valoracion (3) Dimension'!B21</f>
        <v>0</v>
      </c>
      <c r="E21" s="39" t="str">
        <f>'Por Valoracion (3) Dimension 2'!B21</f>
        <v>0</v>
      </c>
      <c r="Z21" s="38"/>
    </row>
    <row r="22" spans="1:26">
      <c r="A22" s="38"/>
      <c r="C22" t="str">
        <f>('.'!A23)</f>
        <v>0</v>
      </c>
      <c r="D22" s="39" t="str">
        <f>'Por Valoracion (3) Dimension'!B22</f>
        <v>0</v>
      </c>
      <c r="E22" s="39" t="str">
        <f>'Por Valoracion (3) Dimension 2'!B22</f>
        <v>0</v>
      </c>
      <c r="Z22" s="38"/>
    </row>
    <row r="23" spans="1:26">
      <c r="A23" s="38"/>
      <c r="C23" t="str">
        <f>('.'!A24)</f>
        <v>0</v>
      </c>
      <c r="D23" s="39" t="str">
        <f>'Por Valoracion (3) Dimension'!B23</f>
        <v>0</v>
      </c>
      <c r="E23" s="39" t="str">
        <f>'Por Valoracion (3) Dimension 2'!B23</f>
        <v>0</v>
      </c>
      <c r="Z23" s="38"/>
    </row>
    <row r="24" spans="1:26">
      <c r="A24" s="38"/>
      <c r="Z24" s="38"/>
    </row>
    <row r="25" spans="1:26">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8" spans="1:26">
      <c r="D28" t="s">
        <v>203</v>
      </c>
      <c r="E28" t="s">
        <v>203</v>
      </c>
      <c r="F28" t="s">
        <v>204</v>
      </c>
      <c r="G28" t="s">
        <v>205</v>
      </c>
      <c r="H28" t="s">
        <v>206</v>
      </c>
      <c r="I28" t="s">
        <v>207</v>
      </c>
      <c r="M28" t="s">
        <v>208</v>
      </c>
      <c r="N28" t="s">
        <v>209</v>
      </c>
      <c r="O28" t="s">
        <v>210</v>
      </c>
      <c r="R28" t="s">
        <v>208</v>
      </c>
      <c r="S28" t="s">
        <v>209</v>
      </c>
      <c r="T28" t="s">
        <v>211</v>
      </c>
    </row>
    <row r="29" spans="1:26">
      <c r="D29" t="str">
        <f>D3</f>
        <v>0</v>
      </c>
      <c r="E29" t="str">
        <f>E3</f>
        <v>0</v>
      </c>
      <c r="F29" t="str">
        <f>IF(G8&lt;=50,H6,H6)</f>
        <v>0</v>
      </c>
      <c r="G29" t="str">
        <f>IF(E3&lt;5/100,"la distribución de sus valores son diferentes a la distribución normal","la distribución de sus valores no son diferentes a la distribución normal")</f>
        <v>0</v>
      </c>
      <c r="H29" t="str">
        <f>IF(G29="la distribución de sus valores son diferentes a la distribución normal"," es decir los datos no se encuentran normalmente distribuidos"," es decir los datos si se encuentran normalmente distribuidos")</f>
        <v>0</v>
      </c>
      <c r="I29" t="str">
        <f>IF(G29=" es decir los datos no se encuentran normalmente distribuidos"," la prueba no paramétrica de correlación de Rho de Spearman","la prueba paramétrica de correlación de Pearson")</f>
        <v>0</v>
      </c>
      <c r="M29" t="s">
        <v>212</v>
      </c>
      <c r="N29" t="str">
        <f>R14</f>
        <v>0</v>
      </c>
      <c r="O29" t="str">
        <f>R13</f>
        <v>0</v>
      </c>
      <c r="R29" t="s">
        <v>212</v>
      </c>
      <c r="S29" t="str">
        <f>X14</f>
        <v>0</v>
      </c>
      <c r="T29" t="str">
        <f>X13</f>
        <v>0</v>
      </c>
    </row>
    <row r="30" spans="1:26">
      <c r="C30" t="s">
        <v>213</v>
      </c>
      <c r="D30" t="str">
        <f>M8</f>
        <v>0</v>
      </c>
      <c r="E30" t="str">
        <f>M9</f>
        <v>0</v>
      </c>
      <c r="N30" t="str">
        <f>N29/100</f>
        <v>0</v>
      </c>
      <c r="O30" t="str">
        <f>O29*100</f>
        <v>0</v>
      </c>
      <c r="Q30" t="s">
        <v>214</v>
      </c>
      <c r="S30" t="str">
        <f>S29/100</f>
        <v>0</v>
      </c>
      <c r="T30" t="str">
        <f>T29*100</f>
        <v>0</v>
      </c>
      <c r="V30" t="s">
        <v>214</v>
      </c>
    </row>
    <row r="31" spans="1:26">
      <c r="N31" t="str">
        <f>IF(N29&lt;5/100,"existe relación significativa entre las ","no existe relación entre las ")</f>
        <v>0</v>
      </c>
      <c r="O31" t="str">
        <f>IF(O29&lt;='Criterio para el valor r'!$A$2,'Criterio para el valor r'!$C$2,IF(O29&lt;='Criterio para el valor r'!$A$3,'Criterio para el valor r'!$C$3,IF(O29&lt;='Criterio para el valor r'!$A$4,'Criterio para el valor r'!$C$4,IF(O29&lt;='Criterio para el valor r'!$A$5,'Criterio para el valor r'!$C$5,IF(O29&lt;='Criterio para el valor r'!$A$6,'Criterio para el valor r'!$C$6,IF(O29&lt;='Criterio para el valor r'!$A$8,'Criterio para el valor r'!$C$7,IF(O29&lt;='Criterio para el valor r'!$A$7,'Criterio para el valor r'!$C$8,IF(O29&lt;='Criterio para el valor r'!$B$9,'Criterio para el valor r'!$C$9,IF(O29&lt;='Criterio para el valor r'!$B$10,'Criterio para el valor r'!$C$10,IF(O29&lt;='Criterio para el valor r'!$B$11,'Criterio para el valor r'!$C$11,IF(O29&lt;='Criterio para el valor r'!$B$12,'Criterio para el valor r'!$C$12,IF(O29&lt;='Criterio para el valor r'!$B$13,'Criterio para el valor r'!$C$13,IF(O29&lt;='Criterio para el valor r'!$B$14,'Criterio para el valor r'!$C$14,"algo esta mal")))))))))))))</f>
        <v>0</v>
      </c>
      <c r="P31" t="str">
        <f>IF(O29&lt;0,"menor","mayor")</f>
        <v>0</v>
      </c>
      <c r="Q31" t="str">
        <f>IF(N30&gt;=5/100,"se acepta la Ho y se rechaza la Hi","se rechaza la Ho y se acepta la Hi")</f>
        <v>0</v>
      </c>
      <c r="S31" t="str">
        <f>IF(S29&lt;5/100,"existe relación significativa entre las ","no existe relación entre las ")</f>
        <v>0</v>
      </c>
      <c r="T31" t="str">
        <f>IF(T29&lt;5/100,"existe relación significativa entre las ","no existe relación entre las ")</f>
        <v>0</v>
      </c>
      <c r="U31" t="str">
        <f>IF(T29&lt;0,"menor","mayor")</f>
        <v>0</v>
      </c>
      <c r="V31" t="str">
        <f>IF(S30&gt;=5/100,"se acepta la Ho y se rechaza la Hi","se rechaza la Ho y se acepta la Hi")</f>
        <v>0</v>
      </c>
    </row>
    <row r="34" spans="1:26">
      <c r="O34" s="27" t="str">
        <f>CONCATENATE("la ",O10," muestra los resultados de la prueba de ",P13,", en donde se evidencia que con una ",N28," del ",N30,"% ",N31," ",M29," ",O13," y ",O16,", adicional a ello se puede observar que la fuerza y/o grado de correlación ",O28," tiene un valor de ",O30,"% lo que afirma que es una ",O31," mismo que asu vez significa que a mayor ",Q12," ",P31," ",O16,", por todo ello en el presente objetivo ",Q31,".")</f>
        <v>0</v>
      </c>
      <c r="T34" s="27" t="str">
        <f>CONCATENATE("la ",T10," muestra los resultados de la prueba de ",V13,", en donde se evidencia que con una ",S28," del ",S30,"% ",S31," ",R29," ",U13," y ",U16,", adicional a ello se puede observar que la fuerza y/o grado de correlación ",T28," tiene un valor de ",T30,"% lo que afirma que es una ",T31," mismo que asu vez significa que a mayor ",W12," ",U31," ",X12,", por todo ello en el presente objetivo ",V31,".")</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C4"/>
    <mergeCell ref="C5:C5"/>
    <mergeCell ref="C6:C6"/>
    <mergeCell ref="C7:C7"/>
    <mergeCell ref="C8:C8"/>
    <mergeCell ref="C9:C9"/>
    <mergeCell ref="C10:C10"/>
    <mergeCell ref="C11:C11"/>
    <mergeCell ref="C12:C12"/>
    <mergeCell ref="C13:C13"/>
    <mergeCell ref="C14:C14"/>
    <mergeCell ref="C15:C15"/>
    <mergeCell ref="C16:C16"/>
    <mergeCell ref="C17:C17"/>
    <mergeCell ref="C18:C18"/>
    <mergeCell ref="C19:C19"/>
    <mergeCell ref="C20:C20"/>
    <mergeCell ref="C21:C21"/>
    <mergeCell ref="C22:C22"/>
    <mergeCell ref="C23:C23"/>
    <mergeCell ref="G5:M5"/>
    <mergeCell ref="G12:M17"/>
    <mergeCell ref="G10:M10"/>
    <mergeCell ref="G6:G7"/>
    <mergeCell ref="H6:J6"/>
    <mergeCell ref="K6:M6"/>
    <mergeCell ref="O11:R11"/>
    <mergeCell ref="O12:P12"/>
    <mergeCell ref="O13:O15"/>
    <mergeCell ref="O16:O18"/>
    <mergeCell ref="O19:R19"/>
    <mergeCell ref="O34:R39"/>
    <mergeCell ref="T11:X11"/>
    <mergeCell ref="T12:V12"/>
    <mergeCell ref="T19:X19"/>
    <mergeCell ref="T13:T18"/>
    <mergeCell ref="T34:W39"/>
    <mergeCell ref="U13:U15"/>
    <mergeCell ref="U16:U1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outlinePr summaryBelow="1" summaryRight="1"/>
  </sheetPr>
  <dimension ref="A1:BA34"/>
  <sheetViews>
    <sheetView tabSelected="0" workbookViewId="0" showGridLines="true" showRowColHeaders="1">
      <selection activeCell="AY12" sqref="AY12"/>
    </sheetView>
  </sheetViews>
  <sheetFormatPr defaultRowHeight="14.4" outlineLevelRow="0" outlineLevelCol="0"/>
  <cols>
    <col min="3" max="3" width="20" customWidth="true" style="0"/>
    <col min="4" max="4" width="12" customWidth="true" style="0"/>
    <col min="5" max="5" width="12" customWidth="true" style="0"/>
    <col min="7" max="7" width="2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 min="15" max="15" width="23" customWidth="true" style="0"/>
    <col min="16" max="16" width="15" customWidth="true" style="0"/>
    <col min="17" max="17" width="20" customWidth="true" style="0"/>
    <col min="18" max="18" width="20" customWidth="true" style="0"/>
    <col min="20" max="20" width="22" customWidth="true" style="0"/>
    <col min="21" max="21" width="22" customWidth="true" style="0"/>
    <col min="22" max="22" width="15" customWidth="true" style="0"/>
    <col min="23" max="23" width="20" customWidth="true" style="0"/>
    <col min="30" max="30" width="20" customWidth="true" style="0"/>
    <col min="31" max="31" width="12" customWidth="true" style="0"/>
    <col min="32" max="32" width="12" customWidth="true" style="0"/>
    <col min="34" max="34" width="20" customWidth="true" style="0"/>
    <col min="35" max="35" width="10" customWidth="true" style="0"/>
    <col min="36" max="36" width="10" customWidth="true" style="0"/>
    <col min="37" max="37" width="10" customWidth="true" style="0"/>
    <col min="38" max="38" width="10" customWidth="true" style="0"/>
    <col min="39" max="39" width="10" customWidth="true" style="0"/>
    <col min="40" max="40" width="10" customWidth="true" style="0"/>
    <col min="42" max="42" width="23" customWidth="true" style="0"/>
    <col min="43" max="43" width="15" customWidth="true" style="0"/>
    <col min="44" max="44" width="20" customWidth="true" style="0"/>
    <col min="45" max="45" width="20" customWidth="true" style="0"/>
    <col min="47" max="47" width="22" customWidth="true" style="0"/>
    <col min="48" max="48" width="22" customWidth="true" style="0"/>
    <col min="49" max="49" width="15" customWidth="true" style="0"/>
    <col min="50" max="50" width="20" customWidth="true" style="0"/>
  </cols>
  <sheetData>
    <row r="1" spans="1:53">
      <c r="A1" s="46"/>
      <c r="B1" s="46"/>
      <c r="C1" s="46"/>
      <c r="D1" s="46"/>
      <c r="E1" s="46"/>
      <c r="F1" s="46"/>
      <c r="G1" s="46"/>
      <c r="H1" s="46"/>
      <c r="I1" s="46"/>
      <c r="J1" s="46"/>
      <c r="K1" s="46"/>
      <c r="L1" s="46"/>
      <c r="M1" s="46"/>
      <c r="N1" s="46"/>
      <c r="O1" s="46"/>
      <c r="P1" s="46"/>
      <c r="Q1" s="46"/>
      <c r="R1" s="46"/>
      <c r="S1" s="46"/>
      <c r="T1" s="46"/>
      <c r="U1" s="46"/>
      <c r="V1" s="46"/>
      <c r="W1" s="46"/>
      <c r="X1" s="46"/>
      <c r="Y1" s="46"/>
      <c r="Z1" s="46"/>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row>
    <row r="2" spans="1:53">
      <c r="A2" s="46"/>
      <c r="D2" s="40" t="s">
        <v>187</v>
      </c>
      <c r="E2" s="40" t="s">
        <v>215</v>
      </c>
      <c r="Z2" s="46"/>
      <c r="AB2" s="47"/>
      <c r="AE2" s="40" t="s">
        <v>188</v>
      </c>
      <c r="AF2" s="40" t="s">
        <v>180</v>
      </c>
      <c r="BA2" s="47"/>
    </row>
    <row r="3" spans="1:53">
      <c r="A3" s="46"/>
      <c r="D3" s="40" t="str">
        <f>'Por Valoracion (3) Dimension'!B2</f>
        <v>0</v>
      </c>
      <c r="E3" s="40" t="str">
        <f>'Por Valoracion (3) Dimension 2'!D2</f>
        <v>0</v>
      </c>
      <c r="Z3" s="46"/>
      <c r="AB3" s="47"/>
      <c r="AE3" s="40" t="str">
        <f>'Por Valoracion (3) Dimension 2'!B2</f>
        <v>0</v>
      </c>
      <c r="AF3" s="40" t="str">
        <f>'Por Valoracion (3) Dimension'!D2</f>
        <v>0</v>
      </c>
      <c r="BA3" s="47"/>
    </row>
    <row r="4" spans="1:53">
      <c r="A4" s="46"/>
      <c r="C4" t="str">
        <f>('.'!A5)</f>
        <v>0</v>
      </c>
      <c r="D4" s="39" t="str">
        <f>'Por Valoracion (3) Dimension'!B4</f>
        <v>0</v>
      </c>
      <c r="E4" s="39" t="str">
        <f>'Por Valoracion (3) Dimension 2'!D4</f>
        <v>0</v>
      </c>
      <c r="G4" s="10" t="s">
        <v>66</v>
      </c>
      <c r="Z4" s="46"/>
      <c r="AB4" s="47"/>
      <c r="AD4" t="str">
        <f>('.'!A5)</f>
        <v>0</v>
      </c>
      <c r="AE4" s="39" t="str">
        <f>'Por Valoracion (3) Dimension 2'!B4</f>
        <v>0</v>
      </c>
      <c r="AF4" s="39" t="str">
        <f>'Por Valoracion (3) Dimension'!D4</f>
        <v>0</v>
      </c>
      <c r="AH4" s="10" t="s">
        <v>67</v>
      </c>
      <c r="BA4" s="47"/>
    </row>
    <row r="5" spans="1:53">
      <c r="A5" s="46"/>
      <c r="C5" t="str">
        <f>('.'!A6)</f>
        <v>0</v>
      </c>
      <c r="D5" s="39" t="str">
        <f>'Por Valoracion (3) Dimension'!B5</f>
        <v>0</v>
      </c>
      <c r="E5" s="39" t="str">
        <f>'Por Valoracion (3) Dimension 2'!D5</f>
        <v>0</v>
      </c>
      <c r="G5" s="42" t="s">
        <v>189</v>
      </c>
      <c r="H5" s="12"/>
      <c r="I5" s="12"/>
      <c r="J5" s="12"/>
      <c r="K5" s="12"/>
      <c r="L5" s="12"/>
      <c r="M5" s="12"/>
      <c r="Z5" s="46"/>
      <c r="AB5" s="47"/>
      <c r="AD5" t="str">
        <f>('.'!A6)</f>
        <v>0</v>
      </c>
      <c r="AE5" s="39" t="str">
        <f>'Por Valoracion (3) Dimension 2'!B5</f>
        <v>0</v>
      </c>
      <c r="AF5" s="39" t="str">
        <f>'Por Valoracion (3) Dimension'!D5</f>
        <v>0</v>
      </c>
      <c r="AH5" s="42" t="s">
        <v>189</v>
      </c>
      <c r="AI5" s="12"/>
      <c r="AJ5" s="12"/>
      <c r="AK5" s="12"/>
      <c r="AL5" s="12"/>
      <c r="AM5" s="12"/>
      <c r="AN5" s="12"/>
      <c r="BA5" s="47"/>
    </row>
    <row r="6" spans="1:53">
      <c r="A6" s="46"/>
      <c r="C6" t="str">
        <f>('.'!A7)</f>
        <v>0</v>
      </c>
      <c r="D6" s="39" t="str">
        <f>'Por Valoracion (3) Dimension'!B6</f>
        <v>0</v>
      </c>
      <c r="E6" s="39" t="str">
        <f>'Por Valoracion (3) Dimension 2'!D6</f>
        <v>0</v>
      </c>
      <c r="G6"/>
      <c r="H6" s="41" t="s">
        <v>190</v>
      </c>
      <c r="K6" s="41" t="s">
        <v>191</v>
      </c>
      <c r="Z6" s="46"/>
      <c r="AB6" s="47"/>
      <c r="AD6" t="str">
        <f>('.'!A7)</f>
        <v>0</v>
      </c>
      <c r="AE6" s="39" t="str">
        <f>'Por Valoracion (3) Dimension 2'!B6</f>
        <v>0</v>
      </c>
      <c r="AF6" s="39" t="str">
        <f>'Por Valoracion (3) Dimension'!D6</f>
        <v>0</v>
      </c>
      <c r="AH6"/>
      <c r="AI6" s="41" t="s">
        <v>190</v>
      </c>
      <c r="AL6" s="41" t="s">
        <v>191</v>
      </c>
      <c r="BA6" s="47"/>
    </row>
    <row r="7" spans="1:53">
      <c r="A7" s="46"/>
      <c r="C7" t="str">
        <f>('.'!A8)</f>
        <v>0</v>
      </c>
      <c r="D7" s="39" t="str">
        <f>'Por Valoracion (3) Dimension'!B7</f>
        <v>0</v>
      </c>
      <c r="E7" s="39" t="str">
        <f>'Por Valoracion (3) Dimension 2'!D7</f>
        <v>0</v>
      </c>
      <c r="G7" s="12"/>
      <c r="H7" s="43" t="s">
        <v>192</v>
      </c>
      <c r="I7" s="43" t="s">
        <v>193</v>
      </c>
      <c r="J7" s="43" t="s">
        <v>194</v>
      </c>
      <c r="K7" s="43" t="s">
        <v>192</v>
      </c>
      <c r="L7" s="45" t="s">
        <v>193</v>
      </c>
      <c r="M7" s="43" t="s">
        <v>194</v>
      </c>
      <c r="Z7" s="46"/>
      <c r="AB7" s="47"/>
      <c r="AD7" t="str">
        <f>('.'!A8)</f>
        <v>0</v>
      </c>
      <c r="AE7" s="39" t="str">
        <f>'Por Valoracion (3) Dimension 2'!B7</f>
        <v>0</v>
      </c>
      <c r="AF7" s="39" t="str">
        <f>'Por Valoracion (3) Dimension'!D7</f>
        <v>0</v>
      </c>
      <c r="AH7" s="12"/>
      <c r="AI7" s="43" t="s">
        <v>192</v>
      </c>
      <c r="AJ7" s="43" t="s">
        <v>193</v>
      </c>
      <c r="AK7" s="43" t="s">
        <v>194</v>
      </c>
      <c r="AL7" s="43" t="s">
        <v>192</v>
      </c>
      <c r="AM7" s="45" t="s">
        <v>193</v>
      </c>
      <c r="AN7" s="43" t="s">
        <v>194</v>
      </c>
      <c r="BA7" s="47"/>
    </row>
    <row r="8" spans="1:53">
      <c r="A8" s="46"/>
      <c r="C8" t="str">
        <f>('.'!A9)</f>
        <v>0</v>
      </c>
      <c r="D8" s="39" t="str">
        <f>'Por Valoracion (3) Dimension'!B8</f>
        <v>0</v>
      </c>
      <c r="E8" s="39" t="str">
        <f>'Por Valoracion (3) Dimension 2'!D8</f>
        <v>0</v>
      </c>
      <c r="G8" s="41" t="str">
        <f>D3</f>
        <v>0</v>
      </c>
      <c r="H8" s="44"/>
      <c r="I8" s="44"/>
      <c r="J8" s="44"/>
      <c r="K8" s="44"/>
      <c r="L8" s="44"/>
      <c r="M8" s="44"/>
      <c r="Z8" s="46"/>
      <c r="AB8" s="47"/>
      <c r="AD8" t="str">
        <f>('.'!A9)</f>
        <v>0</v>
      </c>
      <c r="AE8" s="39" t="str">
        <f>'Por Valoracion (3) Dimension 2'!B8</f>
        <v>0</v>
      </c>
      <c r="AF8" s="39" t="str">
        <f>'Por Valoracion (3) Dimension'!D8</f>
        <v>0</v>
      </c>
      <c r="AH8" s="41" t="str">
        <f>AE3</f>
        <v>0</v>
      </c>
      <c r="AI8" s="44"/>
      <c r="AJ8" s="44"/>
      <c r="AK8" s="44"/>
      <c r="AL8" s="44"/>
      <c r="AM8" s="44"/>
      <c r="AN8" s="44"/>
      <c r="BA8" s="47"/>
    </row>
    <row r="9" spans="1:53">
      <c r="A9" s="46"/>
      <c r="C9" t="str">
        <f>('.'!A10)</f>
        <v>0</v>
      </c>
      <c r="D9" s="39" t="str">
        <f>'Por Valoracion (3) Dimension'!B9</f>
        <v>0</v>
      </c>
      <c r="E9" s="39" t="str">
        <f>'Por Valoracion (3) Dimension 2'!D9</f>
        <v>0</v>
      </c>
      <c r="G9" s="42" t="str">
        <f>E3</f>
        <v>0</v>
      </c>
      <c r="H9" s="12"/>
      <c r="I9" s="12"/>
      <c r="J9" s="12"/>
      <c r="K9" s="12"/>
      <c r="L9" s="12"/>
      <c r="M9" s="12"/>
      <c r="Z9" s="46"/>
      <c r="AB9" s="47"/>
      <c r="AD9" t="str">
        <f>('.'!A10)</f>
        <v>0</v>
      </c>
      <c r="AE9" s="39" t="str">
        <f>'Por Valoracion (3) Dimension 2'!B9</f>
        <v>0</v>
      </c>
      <c r="AF9" s="39" t="str">
        <f>'Por Valoracion (3) Dimension'!D9</f>
        <v>0</v>
      </c>
      <c r="AH9" s="42" t="str">
        <f>AF3</f>
        <v>0</v>
      </c>
      <c r="AI9" s="43"/>
      <c r="AJ9" s="45"/>
      <c r="AK9" s="43"/>
      <c r="AL9" s="43"/>
      <c r="AM9" s="43"/>
      <c r="AN9" s="45"/>
      <c r="BA9" s="47"/>
    </row>
    <row r="10" spans="1:53">
      <c r="A10" s="46"/>
      <c r="C10" t="str">
        <f>('.'!A11)</f>
        <v>0</v>
      </c>
      <c r="D10" s="39" t="str">
        <f>'Por Valoracion (3) Dimension'!B10</f>
        <v>0</v>
      </c>
      <c r="E10" s="39" t="str">
        <f>'Por Valoracion (3) Dimension 2'!D10</f>
        <v>0</v>
      </c>
      <c r="G10" s="41" t="s">
        <v>195</v>
      </c>
      <c r="O10" s="10" t="s">
        <v>66</v>
      </c>
      <c r="T10" s="10" t="s">
        <v>66</v>
      </c>
      <c r="Z10" s="46"/>
      <c r="AB10" s="47"/>
      <c r="AD10" t="str">
        <f>('.'!A11)</f>
        <v>0</v>
      </c>
      <c r="AE10" s="39" t="str">
        <f>'Por Valoracion (3) Dimension 2'!B10</f>
        <v>0</v>
      </c>
      <c r="AF10" s="39" t="str">
        <f>'Por Valoracion (3) Dimension'!D10</f>
        <v>0</v>
      </c>
      <c r="AH10" s="41" t="s">
        <v>195</v>
      </c>
      <c r="AP10" s="10" t="s">
        <v>67</v>
      </c>
      <c r="AU10" s="10" t="s">
        <v>67</v>
      </c>
      <c r="BA10" s="47"/>
    </row>
    <row r="11" spans="1:53">
      <c r="A11" s="46"/>
      <c r="C11" t="str">
        <f>('.'!A12)</f>
        <v>0</v>
      </c>
      <c r="D11" s="39" t="str">
        <f>'Por Valoracion (3) Dimension'!B11</f>
        <v>0</v>
      </c>
      <c r="E11" s="39" t="str">
        <f>'Por Valoracion (3) Dimension 2'!D11</f>
        <v>0</v>
      </c>
      <c r="O11" s="42" t="s">
        <v>196</v>
      </c>
      <c r="P11" s="12"/>
      <c r="Q11" s="12"/>
      <c r="R11" s="12"/>
      <c r="T11" s="42" t="s">
        <v>196</v>
      </c>
      <c r="U11" s="12"/>
      <c r="V11" s="12"/>
      <c r="W11" s="12"/>
      <c r="X11" s="12"/>
      <c r="Z11" s="46"/>
      <c r="AB11" s="47"/>
      <c r="AD11" t="str">
        <f>('.'!A12)</f>
        <v>0</v>
      </c>
      <c r="AE11" s="39" t="str">
        <f>'Por Valoracion (3) Dimension 2'!B11</f>
        <v>0</v>
      </c>
      <c r="AF11" s="39" t="str">
        <f>'Por Valoracion (3) Dimension'!D11</f>
        <v>0</v>
      </c>
      <c r="AP11" s="42" t="s">
        <v>196</v>
      </c>
      <c r="AQ11" s="12"/>
      <c r="AR11" s="12"/>
      <c r="AS11" s="12"/>
      <c r="AU11" s="42" t="s">
        <v>196</v>
      </c>
      <c r="AV11" s="12"/>
      <c r="AW11" s="12"/>
      <c r="AX11" s="12"/>
      <c r="AY11" s="12"/>
      <c r="BA11" s="47"/>
    </row>
    <row r="12" spans="1:53">
      <c r="A12" s="46"/>
      <c r="C12" t="str">
        <f>('.'!A13)</f>
        <v>0</v>
      </c>
      <c r="D12" s="39" t="str">
        <f>'Por Valoracion (3) Dimension'!B12</f>
        <v>0</v>
      </c>
      <c r="E12" s="39" t="str">
        <f>'Por Valoracion (3) Dimension 2'!D12</f>
        <v>0</v>
      </c>
      <c r="G12" s="27" t="str">
        <f>CONCATENATE("en la ",G4," y basándose en la prueba de ",F29," se puede observar que, ","con una probabilidad de error de ",D30,"% para la ",D28," ",D29," y ",E30,"% para la ",E28," ",E29,", ",G29,H29, " por tal motivo se procederá a utilizar ",I29,".")</f>
        <v>0</v>
      </c>
      <c r="O12" s="12"/>
      <c r="P12" s="12"/>
      <c r="Q12" s="42" t="str">
        <f>D3</f>
        <v>0</v>
      </c>
      <c r="R12" s="42" t="str">
        <f>E3</f>
        <v>0</v>
      </c>
      <c r="T12" s="12"/>
      <c r="U12" s="12"/>
      <c r="V12" s="12"/>
      <c r="W12" s="42" t="str">
        <f>D3</f>
        <v>0</v>
      </c>
      <c r="X12" s="42" t="str">
        <f>E3</f>
        <v>0</v>
      </c>
      <c r="Z12" s="46"/>
      <c r="AB12" s="47"/>
      <c r="AD12" t="str">
        <f>('.'!A13)</f>
        <v>0</v>
      </c>
      <c r="AE12" s="39" t="str">
        <f>'Por Valoracion (3) Dimension 2'!B12</f>
        <v>0</v>
      </c>
      <c r="AF12" s="39" t="str">
        <f>'Por Valoracion (3) Dimension'!D12</f>
        <v>0</v>
      </c>
      <c r="AH12" s="27" t="str">
        <f>CONCATENATE("en la ",AH4," y basándose en la prueba de ",AG29," se puede observar que, ","con una probabilidad de error de ",AE30,"% para la ",AE28," ",AE29," y ",AF30,"% para la ",AF28," ",AF29,", ",AH29,AI29, " por tal motivo se procederá a utilizar ",AJ29,".")</f>
        <v>0</v>
      </c>
      <c r="AP12" s="12"/>
      <c r="AQ12" s="12"/>
      <c r="AR12" s="42" t="str">
        <f>AE3</f>
        <v>0</v>
      </c>
      <c r="AS12" s="42" t="str">
        <f>AF3</f>
        <v>0</v>
      </c>
      <c r="AU12" s="12"/>
      <c r="AV12" s="12"/>
      <c r="AW12" s="12"/>
      <c r="AX12" s="42" t="str">
        <f>AE3</f>
        <v>0</v>
      </c>
      <c r="AY12" s="42" t="str">
        <f>AF3</f>
        <v>0</v>
      </c>
      <c r="BA12" s="47"/>
    </row>
    <row r="13" spans="1:53">
      <c r="A13" s="46"/>
      <c r="C13" t="str">
        <f>('.'!A14)</f>
        <v>0</v>
      </c>
      <c r="D13" s="39" t="str">
        <f>'Por Valoracion (3) Dimension'!B13</f>
        <v>0</v>
      </c>
      <c r="E13" s="39" t="str">
        <f>'Por Valoracion (3) Dimension 2'!D13</f>
        <v>0</v>
      </c>
      <c r="O13" s="41" t="str">
        <f>D3</f>
        <v>0</v>
      </c>
      <c r="P13" s="44" t="s">
        <v>197</v>
      </c>
      <c r="T13" s="44" t="s">
        <v>198</v>
      </c>
      <c r="U13" s="41" t="str">
        <f>D3</f>
        <v>0</v>
      </c>
      <c r="V13" s="44" t="s">
        <v>199</v>
      </c>
      <c r="Z13" s="46"/>
      <c r="AB13" s="47"/>
      <c r="AD13" t="str">
        <f>('.'!A14)</f>
        <v>0</v>
      </c>
      <c r="AE13" s="39" t="str">
        <f>'Por Valoracion (3) Dimension 2'!B13</f>
        <v>0</v>
      </c>
      <c r="AF13" s="39" t="str">
        <f>'Por Valoracion (3) Dimension'!D13</f>
        <v>0</v>
      </c>
      <c r="AP13" s="41" t="str">
        <f>AE3</f>
        <v>0</v>
      </c>
      <c r="AQ13" s="44" t="s">
        <v>197</v>
      </c>
      <c r="AU13" s="44" t="s">
        <v>198</v>
      </c>
      <c r="AV13" s="41" t="str">
        <f>AE3</f>
        <v>0</v>
      </c>
      <c r="AW13" s="44" t="s">
        <v>199</v>
      </c>
      <c r="BA13" s="47"/>
    </row>
    <row r="14" spans="1:53">
      <c r="A14" s="46"/>
      <c r="C14" t="str">
        <f>('.'!A15)</f>
        <v>0</v>
      </c>
      <c r="D14" s="39" t="str">
        <f>'Por Valoracion (3) Dimension'!B14</f>
        <v>0</v>
      </c>
      <c r="E14" s="39" t="str">
        <f>'Por Valoracion (3) Dimension 2'!D14</f>
        <v>0</v>
      </c>
      <c r="P14" s="44" t="s">
        <v>200</v>
      </c>
      <c r="V14" s="44" t="s">
        <v>200</v>
      </c>
      <c r="Z14" s="46"/>
      <c r="AB14" s="47"/>
      <c r="AD14" t="str">
        <f>('.'!A15)</f>
        <v>0</v>
      </c>
      <c r="AE14" s="39" t="str">
        <f>'Por Valoracion (3) Dimension 2'!B14</f>
        <v>0</v>
      </c>
      <c r="AF14" s="39" t="str">
        <f>'Por Valoracion (3) Dimension'!D14</f>
        <v>0</v>
      </c>
      <c r="AQ14" s="44" t="s">
        <v>200</v>
      </c>
      <c r="AW14" s="44" t="s">
        <v>200</v>
      </c>
      <c r="BA14" s="47"/>
    </row>
    <row r="15" spans="1:53">
      <c r="A15" s="46"/>
      <c r="C15" t="str">
        <f>('.'!A16)</f>
        <v>0</v>
      </c>
      <c r="D15" s="39" t="str">
        <f>'Por Valoracion (3) Dimension'!B15</f>
        <v>0</v>
      </c>
      <c r="E15" s="39" t="str">
        <f>'Por Valoracion (3) Dimension 2'!D15</f>
        <v>0</v>
      </c>
      <c r="P15" s="44" t="s">
        <v>201</v>
      </c>
      <c r="V15" s="44" t="s">
        <v>201</v>
      </c>
      <c r="Z15" s="46"/>
      <c r="AB15" s="47"/>
      <c r="AD15" t="str">
        <f>('.'!A16)</f>
        <v>0</v>
      </c>
      <c r="AE15" s="39" t="str">
        <f>'Por Valoracion (3) Dimension 2'!B15</f>
        <v>0</v>
      </c>
      <c r="AF15" s="39" t="str">
        <f>'Por Valoracion (3) Dimension'!D15</f>
        <v>0</v>
      </c>
      <c r="AQ15" s="44" t="s">
        <v>201</v>
      </c>
      <c r="AW15" s="44" t="s">
        <v>201</v>
      </c>
      <c r="BA15" s="47"/>
    </row>
    <row r="16" spans="1:53">
      <c r="A16" s="46"/>
      <c r="C16" t="str">
        <f>('.'!A17)</f>
        <v>0</v>
      </c>
      <c r="D16" s="39" t="str">
        <f>'Por Valoracion (3) Dimension'!B16</f>
        <v>0</v>
      </c>
      <c r="E16" s="39" t="str">
        <f>'Por Valoracion (3) Dimension 2'!D16</f>
        <v>0</v>
      </c>
      <c r="O16" s="41" t="str">
        <f>E3</f>
        <v>0</v>
      </c>
      <c r="P16" s="44" t="s">
        <v>197</v>
      </c>
      <c r="U16" s="41" t="str">
        <f>E3</f>
        <v>0</v>
      </c>
      <c r="V16" s="44" t="s">
        <v>199</v>
      </c>
      <c r="Z16" s="46"/>
      <c r="AB16" s="47"/>
      <c r="AD16" t="str">
        <f>('.'!A17)</f>
        <v>0</v>
      </c>
      <c r="AE16" s="39" t="str">
        <f>'Por Valoracion (3) Dimension 2'!B16</f>
        <v>0</v>
      </c>
      <c r="AF16" s="39" t="str">
        <f>'Por Valoracion (3) Dimension'!D16</f>
        <v>0</v>
      </c>
      <c r="AP16" s="41" t="str">
        <f>AF3</f>
        <v>0</v>
      </c>
      <c r="AQ16" s="44" t="s">
        <v>197</v>
      </c>
      <c r="AV16" s="41" t="str">
        <f>AF3</f>
        <v>0</v>
      </c>
      <c r="AW16" s="44" t="s">
        <v>199</v>
      </c>
      <c r="BA16" s="47"/>
    </row>
    <row r="17" spans="1:53">
      <c r="A17" s="46"/>
      <c r="C17" t="str">
        <f>('.'!A18)</f>
        <v>0</v>
      </c>
      <c r="D17" s="39" t="str">
        <f>'Por Valoracion (3) Dimension'!B17</f>
        <v>0</v>
      </c>
      <c r="E17" s="39" t="str">
        <f>'Por Valoracion (3) Dimension 2'!D17</f>
        <v>0</v>
      </c>
      <c r="P17" s="44" t="s">
        <v>200</v>
      </c>
      <c r="V17" s="44" t="s">
        <v>200</v>
      </c>
      <c r="Z17" s="46"/>
      <c r="AB17" s="47"/>
      <c r="AD17" t="str">
        <f>('.'!A18)</f>
        <v>0</v>
      </c>
      <c r="AE17" s="39" t="str">
        <f>'Por Valoracion (3) Dimension 2'!B17</f>
        <v>0</v>
      </c>
      <c r="AF17" s="39" t="str">
        <f>'Por Valoracion (3) Dimension'!D17</f>
        <v>0</v>
      </c>
      <c r="AQ17" s="44" t="s">
        <v>200</v>
      </c>
      <c r="AW17" s="44" t="s">
        <v>200</v>
      </c>
      <c r="BA17" s="47"/>
    </row>
    <row r="18" spans="1:53">
      <c r="A18" s="46"/>
      <c r="C18" t="str">
        <f>('.'!A19)</f>
        <v>0</v>
      </c>
      <c r="D18" s="39" t="str">
        <f>'Por Valoracion (3) Dimension'!B18</f>
        <v>0</v>
      </c>
      <c r="E18" s="39" t="str">
        <f>'Por Valoracion (3) Dimension 2'!D18</f>
        <v>0</v>
      </c>
      <c r="O18" s="12"/>
      <c r="P18" s="43" t="s">
        <v>201</v>
      </c>
      <c r="Q18" s="12"/>
      <c r="R18" s="12"/>
      <c r="T18" s="12"/>
      <c r="U18" s="12"/>
      <c r="V18" s="43" t="s">
        <v>201</v>
      </c>
      <c r="W18" s="12"/>
      <c r="X18" s="12"/>
      <c r="Z18" s="46"/>
      <c r="AB18" s="47"/>
      <c r="AD18" t="str">
        <f>('.'!A19)</f>
        <v>0</v>
      </c>
      <c r="AE18" s="39" t="str">
        <f>'Por Valoracion (3) Dimension 2'!B18</f>
        <v>0</v>
      </c>
      <c r="AF18" s="39" t="str">
        <f>'Por Valoracion (3) Dimension'!D18</f>
        <v>0</v>
      </c>
      <c r="AP18" s="12"/>
      <c r="AQ18" s="43" t="s">
        <v>201</v>
      </c>
      <c r="AR18" s="12"/>
      <c r="AS18" s="12"/>
      <c r="AU18" s="12"/>
      <c r="AV18" s="12"/>
      <c r="AW18" s="43" t="s">
        <v>201</v>
      </c>
      <c r="AX18" s="12"/>
      <c r="AY18" s="12"/>
      <c r="BA18" s="47"/>
    </row>
    <row r="19" spans="1:53">
      <c r="A19" s="46"/>
      <c r="C19" t="str">
        <f>('.'!A20)</f>
        <v>0</v>
      </c>
      <c r="D19" s="39" t="str">
        <f>'Por Valoracion (3) Dimension'!B19</f>
        <v>0</v>
      </c>
      <c r="E19" s="39" t="str">
        <f>'Por Valoracion (3) Dimension 2'!D19</f>
        <v>0</v>
      </c>
      <c r="O19" s="41" t="s">
        <v>202</v>
      </c>
      <c r="T19" s="41" t="s">
        <v>202</v>
      </c>
      <c r="Z19" s="46"/>
      <c r="AB19" s="47"/>
      <c r="AD19" t="str">
        <f>('.'!A20)</f>
        <v>0</v>
      </c>
      <c r="AE19" s="39" t="str">
        <f>'Por Valoracion (3) Dimension 2'!B19</f>
        <v>0</v>
      </c>
      <c r="AF19" s="39" t="str">
        <f>'Por Valoracion (3) Dimension'!D19</f>
        <v>0</v>
      </c>
      <c r="AP19" s="41" t="s">
        <v>202</v>
      </c>
      <c r="AU19" s="41" t="s">
        <v>202</v>
      </c>
      <c r="BA19" s="47"/>
    </row>
    <row r="20" spans="1:53">
      <c r="A20" s="46"/>
      <c r="C20" t="str">
        <f>('.'!A21)</f>
        <v>0</v>
      </c>
      <c r="D20" s="39" t="str">
        <f>'Por Valoracion (3) Dimension'!B20</f>
        <v>0</v>
      </c>
      <c r="E20" s="39" t="str">
        <f>'Por Valoracion (3) Dimension 2'!D20</f>
        <v>0</v>
      </c>
      <c r="Z20" s="46"/>
      <c r="AB20" s="47"/>
      <c r="AD20" t="str">
        <f>('.'!A21)</f>
        <v>0</v>
      </c>
      <c r="AE20" s="39" t="str">
        <f>'Por Valoracion (3) Dimension 2'!B20</f>
        <v>0</v>
      </c>
      <c r="AF20" s="39" t="str">
        <f>'Por Valoracion (3) Dimension'!D20</f>
        <v>0</v>
      </c>
      <c r="BA20" s="47"/>
    </row>
    <row r="21" spans="1:53">
      <c r="A21" s="46"/>
      <c r="C21" t="str">
        <f>('.'!A22)</f>
        <v>0</v>
      </c>
      <c r="D21" s="39" t="str">
        <f>'Por Valoracion (3) Dimension'!B21</f>
        <v>0</v>
      </c>
      <c r="E21" s="39" t="str">
        <f>'Por Valoracion (3) Dimension 2'!D21</f>
        <v>0</v>
      </c>
      <c r="Z21" s="46"/>
      <c r="AB21" s="47"/>
      <c r="AD21" t="str">
        <f>('.'!A22)</f>
        <v>0</v>
      </c>
      <c r="AE21" s="39" t="str">
        <f>'Por Valoracion (3) Dimension 2'!B21</f>
        <v>0</v>
      </c>
      <c r="AF21" s="39" t="str">
        <f>'Por Valoracion (3) Dimension'!D21</f>
        <v>0</v>
      </c>
      <c r="BA21" s="47"/>
    </row>
    <row r="22" spans="1:53">
      <c r="A22" s="46"/>
      <c r="C22" t="str">
        <f>('.'!A23)</f>
        <v>0</v>
      </c>
      <c r="D22" s="39" t="str">
        <f>'Por Valoracion (3) Dimension'!B22</f>
        <v>0</v>
      </c>
      <c r="E22" s="39" t="str">
        <f>'Por Valoracion (3) Dimension 2'!D22</f>
        <v>0</v>
      </c>
      <c r="Z22" s="46"/>
      <c r="AB22" s="47"/>
      <c r="AD22" t="str">
        <f>('.'!A23)</f>
        <v>0</v>
      </c>
      <c r="AE22" s="39" t="str">
        <f>'Por Valoracion (3) Dimension 2'!B22</f>
        <v>0</v>
      </c>
      <c r="AF22" s="39" t="str">
        <f>'Por Valoracion (3) Dimension'!D22</f>
        <v>0</v>
      </c>
      <c r="BA22" s="47"/>
    </row>
    <row r="23" spans="1:53">
      <c r="A23" s="46"/>
      <c r="C23" t="str">
        <f>('.'!A24)</f>
        <v>0</v>
      </c>
      <c r="D23" s="39" t="str">
        <f>'Por Valoracion (3) Dimension'!B23</f>
        <v>0</v>
      </c>
      <c r="E23" s="39" t="str">
        <f>'Por Valoracion (3) Dimension 2'!D23</f>
        <v>0</v>
      </c>
      <c r="Z23" s="46"/>
      <c r="AB23" s="47"/>
      <c r="AD23" t="str">
        <f>('.'!A24)</f>
        <v>0</v>
      </c>
      <c r="AE23" s="39" t="str">
        <f>'Por Valoracion (3) Dimension 2'!B23</f>
        <v>0</v>
      </c>
      <c r="AF23" s="39" t="str">
        <f>'Por Valoracion (3) Dimension'!D23</f>
        <v>0</v>
      </c>
      <c r="BA23" s="47"/>
    </row>
    <row r="24" spans="1:53">
      <c r="A24" s="46"/>
      <c r="Z24" s="46"/>
      <c r="AB24" s="47"/>
      <c r="BA24" s="47"/>
    </row>
    <row r="25" spans="1:53">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row>
    <row r="28" spans="1:53">
      <c r="D28" t="s">
        <v>203</v>
      </c>
      <c r="E28" t="s">
        <v>216</v>
      </c>
      <c r="F28" t="s">
        <v>204</v>
      </c>
      <c r="G28" t="s">
        <v>205</v>
      </c>
      <c r="H28" t="s">
        <v>206</v>
      </c>
      <c r="I28" t="s">
        <v>207</v>
      </c>
      <c r="M28" t="s">
        <v>208</v>
      </c>
      <c r="N28" t="s">
        <v>209</v>
      </c>
      <c r="O28" t="s">
        <v>210</v>
      </c>
      <c r="R28" t="s">
        <v>208</v>
      </c>
      <c r="S28" t="s">
        <v>209</v>
      </c>
      <c r="T28" t="s">
        <v>211</v>
      </c>
      <c r="AE28" t="s">
        <v>203</v>
      </c>
      <c r="AF28" t="s">
        <v>216</v>
      </c>
      <c r="AG28" t="s">
        <v>204</v>
      </c>
      <c r="AH28" t="s">
        <v>205</v>
      </c>
      <c r="AI28" t="s">
        <v>206</v>
      </c>
      <c r="AJ28" t="s">
        <v>207</v>
      </c>
      <c r="AN28" t="s">
        <v>208</v>
      </c>
      <c r="AO28" t="s">
        <v>209</v>
      </c>
      <c r="AP28" t="s">
        <v>210</v>
      </c>
      <c r="AS28" t="s">
        <v>208</v>
      </c>
      <c r="AT28" t="s">
        <v>209</v>
      </c>
      <c r="AU28" t="s">
        <v>211</v>
      </c>
    </row>
    <row r="29" spans="1:53">
      <c r="D29" t="str">
        <f>D3</f>
        <v>0</v>
      </c>
      <c r="E29" t="str">
        <f>E3</f>
        <v>0</v>
      </c>
      <c r="F29" t="str">
        <f>IF(G8&lt;=50,H6,H6)</f>
        <v>0</v>
      </c>
      <c r="G29" t="str">
        <f>IF(E3&lt;5/100,"la distribución de sus valores son diferentes a la distribución normal","la distribución de sus valores no son diferentes a la distribución normal")</f>
        <v>0</v>
      </c>
      <c r="H29" t="str">
        <f>IF(G29="la distribución de sus valores son diferentes a la distribución normal"," es decir los datos no se encuentran normalmente distribuidos"," es decir los datos si se encuentran normalmente distribuidos")</f>
        <v>0</v>
      </c>
      <c r="I29" t="str">
        <f>IF(G29=" es decir los datos no se encuentran normalmente distribuidos"," la prueba no paramétrica de correlación de Rho de Spearman","la prueba paramétrica de correlación de Pearson")</f>
        <v>0</v>
      </c>
      <c r="M29" t="s">
        <v>212</v>
      </c>
      <c r="N29" t="str">
        <f>R14</f>
        <v>0</v>
      </c>
      <c r="O29" t="str">
        <f>R13</f>
        <v>0</v>
      </c>
      <c r="R29" t="s">
        <v>212</v>
      </c>
      <c r="S29" t="str">
        <f>X14</f>
        <v>0</v>
      </c>
      <c r="T29" t="str">
        <f>X13</f>
        <v>0</v>
      </c>
      <c r="AE29" t="str">
        <f>AE3</f>
        <v>0</v>
      </c>
      <c r="AF29" t="str">
        <f>AF3</f>
        <v>0</v>
      </c>
      <c r="AG29" t="str">
        <f>IF(AH8&lt;=50,AI6,AI6)</f>
        <v>0</v>
      </c>
      <c r="AH29" t="str">
        <f>IF(AF3&lt;5/100,"la distribución de sus valores son diferentes a la distribución normal","la distribución de sus valores no son diferentes a la distribución normal")</f>
        <v>0</v>
      </c>
      <c r="AI29" t="str">
        <f>IF(AH29="la distribución de sus valores son diferentes a la distribución normal"," es decir los datos no se encuentran normalmente distribuidos"," es decir los datos si se encuentran normalmente distribuidos")</f>
        <v>0</v>
      </c>
      <c r="AJ29" t="str">
        <f>IF(AH29=" es decir los datos no se encuentran normalmente distribuidos"," la prueba no paramétrica de correlación de Rho de Spearman","la prueba paramétrica de correlación de Pearson")</f>
        <v>0</v>
      </c>
      <c r="AN29" t="s">
        <v>212</v>
      </c>
      <c r="AO29" t="str">
        <f>AS14</f>
        <v>0</v>
      </c>
      <c r="AP29" t="str">
        <f>AS13</f>
        <v>0</v>
      </c>
      <c r="AS29" t="s">
        <v>212</v>
      </c>
      <c r="AT29" t="str">
        <f>AY14</f>
        <v>0</v>
      </c>
      <c r="AU29" t="str">
        <f>AY13</f>
        <v>0</v>
      </c>
    </row>
    <row r="30" spans="1:53">
      <c r="C30" t="s">
        <v>213</v>
      </c>
      <c r="D30" t="str">
        <f>M8</f>
        <v>0</v>
      </c>
      <c r="E30" t="str">
        <f>M9</f>
        <v>0</v>
      </c>
      <c r="N30" t="str">
        <f>N29/100</f>
        <v>0</v>
      </c>
      <c r="O30" t="str">
        <f>O29*100</f>
        <v>0</v>
      </c>
      <c r="Q30" t="s">
        <v>214</v>
      </c>
      <c r="S30" t="str">
        <f>S29/100</f>
        <v>0</v>
      </c>
      <c r="T30" t="str">
        <f>T29*100</f>
        <v>0</v>
      </c>
      <c r="V30" t="s">
        <v>214</v>
      </c>
      <c r="AD30" t="s">
        <v>213</v>
      </c>
      <c r="AE30" t="str">
        <f>AN8</f>
        <v>0</v>
      </c>
      <c r="AF30" t="str">
        <f>AN9</f>
        <v>0</v>
      </c>
      <c r="AO30" t="str">
        <f>AO29/100</f>
        <v>0</v>
      </c>
      <c r="AP30" t="str">
        <f>AP29*100</f>
        <v>0</v>
      </c>
      <c r="AR30" t="s">
        <v>214</v>
      </c>
      <c r="AT30" t="str">
        <f>AT29/100</f>
        <v>0</v>
      </c>
      <c r="AU30" t="str">
        <f>AU29*100</f>
        <v>0</v>
      </c>
      <c r="AW30" t="s">
        <v>214</v>
      </c>
    </row>
    <row r="31" spans="1:53">
      <c r="N31" t="str">
        <f>IF(N29&lt;5/100,"existe relación significativa entre las ","no existe relación entre las ")</f>
        <v>0</v>
      </c>
      <c r="O31" t="str">
        <f>IF(O29&lt;='Criterio para el valor r'!$A$2,'Criterio para el valor r'!$C$2,IF(O29&lt;='Criterio para el valor r'!$A$3,'Criterio para el valor r'!$C$3,IF(O29&lt;='Criterio para el valor r'!$A$4,'Criterio para el valor r'!$C$4,IF(O29&lt;='Criterio para el valor r'!$A$5,'Criterio para el valor r'!$C$5,IF(O29&lt;='Criterio para el valor r'!$A$6,'Criterio para el valor r'!$C$6,IF(O29&lt;='Criterio para el valor r'!$A$8,'Criterio para el valor r'!$C$7,IF(O29&lt;='Criterio para el valor r'!$A$7,'Criterio para el valor r'!$C$8,IF(O29&lt;='Criterio para el valor r'!$B$9,'Criterio para el valor r'!$C$9,IF(O29&lt;='Criterio para el valor r'!$B$10,'Criterio para el valor r'!$C$10,IF(O29&lt;='Criterio para el valor r'!$B$11,'Criterio para el valor r'!$C$11,IF(O29&lt;='Criterio para el valor r'!$B$12,'Criterio para el valor r'!$C$12,IF(O29&lt;='Criterio para el valor r'!$B$13,'Criterio para el valor r'!$C$13,IF(O29&lt;='Criterio para el valor r'!$B$14,'Criterio para el valor r'!$C$14,"algo esta mal")))))))))))))</f>
        <v>0</v>
      </c>
      <c r="P31" t="str">
        <f>IF(O29&lt;0,"menor","mayor")</f>
        <v>0</v>
      </c>
      <c r="Q31" t="str">
        <f>IF(N30&gt;=5/100,"se acepta la Ho y se rechaza la Hi","se rechaza la Ho y se acepta la Hi")</f>
        <v>0</v>
      </c>
      <c r="S31" t="str">
        <f>IF(S29&lt;5/100,"existe relación significativa entre las ","no existe relación entre las ")</f>
        <v>0</v>
      </c>
      <c r="T31" t="str">
        <f>IF(T29&lt;5/100,"existe relación significativa entre las ","no existe relación entre las ")</f>
        <v>0</v>
      </c>
      <c r="U31" t="str">
        <f>IF(T29&lt;0,"menor","mayor")</f>
        <v>0</v>
      </c>
      <c r="V31" t="str">
        <f>IF(S30&gt;=5/100,"se acepta la Ho y se rechaza la Hi","se rechaza la Ho y se acepta la Hi")</f>
        <v>0</v>
      </c>
      <c r="AO31" t="str">
        <f>IF(AO29&lt;5/100,"existe relación significativa entre las ","no existe relación entre las ")</f>
        <v>0</v>
      </c>
      <c r="AP31" t="str">
        <f>IF(AP29&lt;='Criterio para el valor r'!$A$2,'Criterio para el valor r'!$C$2,IF(AP29&lt;='Criterio para el valor r'!$A$3,'Criterio para el valor r'!$C$3,IF(AP29&lt;='Criterio para el valor r'!$A$4,'Criterio para el valor r'!$C$4,IF(AP29&lt;='Criterio para el valor r'!$A$5,'Criterio para el valor r'!$C$5,IF(AP29&lt;='Criterio para el valor r'!$A$6,'Criterio para el valor r'!$C$6,IF(AP29&lt;='Criterio para el valor r'!$A$8,'Criterio para el valor r'!$C$7,IF(AP29&lt;='Criterio para el valor r'!$A$7,'Criterio para el valor r'!$C$8,IF(AP29&lt;='Criterio para el valor r'!$B$9,'Criterio para el valor r'!$C$9,IF(AP29&lt;='Criterio para el valor r'!$B$10,'Criterio para el valor r'!$C$10,IF(AP29&lt;='Criterio para el valor r'!$B$11,'Criterio para el valor r'!$C$11,IF(AP29&lt;='Criterio para el valor r'!$B$12,'Criterio para el valor r'!$C$12,IF(AP29&lt;='Criterio para el valor r'!$B$13,'Criterio para el valor r'!$C$13,IF(AP29&lt;='Criterio para el valor r'!$B$14,'Criterio para el valor r'!$C$14,"algo esta mal")))))))))))))</f>
        <v>0</v>
      </c>
      <c r="AQ31" t="str">
        <f>IF(AP29&lt;0,"menor","mayor")</f>
        <v>0</v>
      </c>
      <c r="AR31" t="str">
        <f>IF(AO30&gt;=5/100,"se acepta la Ho y se rechaza la Hi","se rechaza la Ho y se acepta la Hi")</f>
        <v>0</v>
      </c>
      <c r="AT31" t="str">
        <f>IF(AT29&lt;5/100,"existe relación significativa entre las ","no existe relación entre las ")</f>
        <v>0</v>
      </c>
      <c r="AU31" t="str">
        <f>IF(AU29&lt;5/100,"existe relación significativa entre las ","no existe relación entre las ")</f>
        <v>0</v>
      </c>
      <c r="AV31" t="str">
        <f>IF(AU29&lt;0,"menor","mayor")</f>
        <v>0</v>
      </c>
      <c r="AW31" t="str">
        <f>IF(AT30&gt;=5/100,"se acepta la Ho y se rechaza la Hi","se rechaza la Ho y se acepta la Hi")</f>
        <v>0</v>
      </c>
    </row>
    <row r="34" spans="1:53">
      <c r="O34" s="27" t="str">
        <f>CONCATENATE("la ",O10," muestra los resultados de la prueba de ",P13,", en donde se evidencia que con una ",N28," del ",N30,"% ",N31," ",M29," ",O13," y ",O16,", adicional a ello se puede observar que la fuerza y/o grado de correlación ",O28," tiene un valor de ",O30,"% lo que afirma que es una ",O31," mismo que asu vez significa que a mayor ",Q12," ",P31," ",O16,", por todo ello en el presente objetivo ",Q31,".")</f>
        <v>0</v>
      </c>
      <c r="T34" s="27" t="str">
        <f>CONCATENATE("la ",T10," muestra los resultados de la prueba de ",V13,", en donde se evidencia que con una ",S28," del ",S30,"% ",S31," ",R29," ",U13," y ",U16,", adicional a ello se puede observar que la fuerza y/o grado de correlación ",T28," tiene un valor de ",T30,"% lo que afirma que es una ",T31," mismo que asu vez significa que a mayor ",W12," ",U31," ",X12,", por todo ello en el presente objetivo ",V31,".")</f>
        <v>0</v>
      </c>
      <c r="AP34" s="27" t="str">
        <f>CONCATENATE("la ",AP10," muestra los resultados de la prueba de ",AQ13,", en donde se evidencia que con una ",AO28," del ",AO30,"% ",AO31," ",AN29," ",AP13," y ",AP16,", adicional a ello se puede observar que la fuerza y/o grado de correlación ",AP28," tiene un valor de ",AP30,"% lo que afirma que es una ",AP31," mismo que asu vez significa que a mayor ",AR12," ",AQ31," ",AP16,", por todo ello en el presente objetivo ",AR31,".")</f>
        <v>0</v>
      </c>
      <c r="AU34" s="27" t="str">
        <f>CONCATENATE("la ",AU10," muestra los resultados de la prueba de ",AW13,", en donde se evidencia que con una ",AT28," del ",AT30,"% ",AT31," ",AS29," ",AV13," y ",AV16,", adicional a ello se puede observar que la fuerza y/o grado de correlación ",AU28," tiene un valor de ",AU30,"% lo que afirma que es una ",AU31," mismo que asu vez significa que a mayor ",AX12," ",AV31," ",AY12,", por todo ello en el presente objetivo ",AW31,".")</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C4"/>
    <mergeCell ref="C5:C5"/>
    <mergeCell ref="C6:C6"/>
    <mergeCell ref="C7:C7"/>
    <mergeCell ref="C8:C8"/>
    <mergeCell ref="C9:C9"/>
    <mergeCell ref="C10:C10"/>
    <mergeCell ref="C11:C11"/>
    <mergeCell ref="C12:C12"/>
    <mergeCell ref="C13:C13"/>
    <mergeCell ref="C14:C14"/>
    <mergeCell ref="C15:C15"/>
    <mergeCell ref="C16:C16"/>
    <mergeCell ref="C17:C17"/>
    <mergeCell ref="C18:C18"/>
    <mergeCell ref="C19:C19"/>
    <mergeCell ref="C20:C20"/>
    <mergeCell ref="C21:C21"/>
    <mergeCell ref="C22:C22"/>
    <mergeCell ref="C23:C23"/>
    <mergeCell ref="G5:M5"/>
    <mergeCell ref="G12:M17"/>
    <mergeCell ref="G10:M10"/>
    <mergeCell ref="G6:G7"/>
    <mergeCell ref="H6:J6"/>
    <mergeCell ref="K6:M6"/>
    <mergeCell ref="O11:R11"/>
    <mergeCell ref="O12:P12"/>
    <mergeCell ref="O13:O15"/>
    <mergeCell ref="O16:O18"/>
    <mergeCell ref="O19:R19"/>
    <mergeCell ref="O34:R39"/>
    <mergeCell ref="T11:X11"/>
    <mergeCell ref="T12:V12"/>
    <mergeCell ref="T19:X19"/>
    <mergeCell ref="T13:T18"/>
    <mergeCell ref="T34:W39"/>
    <mergeCell ref="U13:U15"/>
    <mergeCell ref="U16:U18"/>
    <mergeCell ref="AD4:AD4"/>
    <mergeCell ref="AD5:AD5"/>
    <mergeCell ref="AD6:AD6"/>
    <mergeCell ref="AD7:AD7"/>
    <mergeCell ref="AD8:AD8"/>
    <mergeCell ref="AD9:AD9"/>
    <mergeCell ref="AD10:AD10"/>
    <mergeCell ref="AD11:AD11"/>
    <mergeCell ref="AD12:AD12"/>
    <mergeCell ref="AD13:AD13"/>
    <mergeCell ref="AD14:AD14"/>
    <mergeCell ref="AD15:AD15"/>
    <mergeCell ref="AD16:AD16"/>
    <mergeCell ref="AD17:AD17"/>
    <mergeCell ref="AD18:AD18"/>
    <mergeCell ref="AD19:AD19"/>
    <mergeCell ref="AD20:AD20"/>
    <mergeCell ref="AD21:AD21"/>
    <mergeCell ref="AD22:AD22"/>
    <mergeCell ref="AD23:AD23"/>
    <mergeCell ref="AH5:AN5"/>
    <mergeCell ref="AH12:AN17"/>
    <mergeCell ref="AH10:AN10"/>
    <mergeCell ref="AH6:AH7"/>
    <mergeCell ref="AI6:AK6"/>
    <mergeCell ref="AL6:AN6"/>
    <mergeCell ref="AP11:AS11"/>
    <mergeCell ref="AP12:AQ12"/>
    <mergeCell ref="AP13:AP15"/>
    <mergeCell ref="AP16:AP18"/>
    <mergeCell ref="AP19:AS19"/>
    <mergeCell ref="AP34:AS39"/>
    <mergeCell ref="AU11:AY11"/>
    <mergeCell ref="AU12:AW12"/>
    <mergeCell ref="AU19:AY19"/>
    <mergeCell ref="AU13:AU18"/>
    <mergeCell ref="AU34:AX39"/>
    <mergeCell ref="AV13:AV15"/>
    <mergeCell ref="AV16:AV1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outlinePr summaryBelow="1" summaryRight="1"/>
  </sheetPr>
  <dimension ref="A1:Z34"/>
  <sheetViews>
    <sheetView tabSelected="0" workbookViewId="0" showGridLines="true" showRowColHeaders="1">
      <selection activeCell="X12" sqref="X12"/>
    </sheetView>
  </sheetViews>
  <sheetFormatPr defaultRowHeight="14.4" outlineLevelRow="0" outlineLevelCol="0"/>
  <cols>
    <col min="3" max="3" width="20" customWidth="true" style="0"/>
    <col min="4" max="4" width="12" customWidth="true" style="0"/>
    <col min="5" max="5" width="12" customWidth="true" style="0"/>
    <col min="7" max="7" width="2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 min="15" max="15" width="23" customWidth="true" style="0"/>
    <col min="16" max="16" width="15" customWidth="true" style="0"/>
    <col min="17" max="17" width="20" customWidth="true" style="0"/>
    <col min="18" max="18" width="20" customWidth="true" style="0"/>
    <col min="20" max="20" width="22" customWidth="true" style="0"/>
    <col min="21" max="21" width="22" customWidth="true" style="0"/>
    <col min="22" max="22" width="15" customWidth="true" style="0"/>
    <col min="23" max="23" width="20" customWidth="true" style="0"/>
  </cols>
  <sheetData>
    <row r="1" spans="1:26">
      <c r="A1" s="48"/>
      <c r="B1" s="48"/>
      <c r="C1" s="48"/>
      <c r="D1" s="48"/>
      <c r="E1" s="48"/>
      <c r="F1" s="48"/>
      <c r="G1" s="48"/>
      <c r="H1" s="48"/>
      <c r="I1" s="48"/>
      <c r="J1" s="48"/>
      <c r="K1" s="48"/>
      <c r="L1" s="48"/>
      <c r="M1" s="48"/>
      <c r="N1" s="48"/>
      <c r="O1" s="48"/>
      <c r="P1" s="48"/>
      <c r="Q1" s="48"/>
      <c r="R1" s="48"/>
      <c r="S1" s="48"/>
      <c r="T1" s="48"/>
      <c r="U1" s="48"/>
      <c r="V1" s="48"/>
      <c r="W1" s="48"/>
      <c r="X1" s="48"/>
      <c r="Y1" s="48"/>
      <c r="Z1" s="48"/>
    </row>
    <row r="2" spans="1:26">
      <c r="A2" s="48"/>
      <c r="D2" s="40" t="s">
        <v>180</v>
      </c>
      <c r="E2" s="40" t="s">
        <v>215</v>
      </c>
      <c r="Z2" s="48"/>
    </row>
    <row r="3" spans="1:26">
      <c r="A3" s="48"/>
      <c r="D3" s="40" t="str">
        <f>'Por Valoracion (3) Dimension'!D2</f>
        <v>0</v>
      </c>
      <c r="E3" s="40" t="str">
        <f>'Por Valoracion (3) Dimension 2'!D2</f>
        <v>0</v>
      </c>
      <c r="Z3" s="48"/>
    </row>
    <row r="4" spans="1:26">
      <c r="A4" s="48"/>
      <c r="C4" t="str">
        <f>('.'!A5)</f>
        <v>0</v>
      </c>
      <c r="D4" s="39" t="str">
        <f>'Por Valoracion (3) Dimension'!D4</f>
        <v>0</v>
      </c>
      <c r="E4" s="39" t="str">
        <f>'Por Valoracion (3) Dimension 2'!D4</f>
        <v>0</v>
      </c>
      <c r="G4" s="10" t="s">
        <v>66</v>
      </c>
      <c r="Z4" s="48"/>
    </row>
    <row r="5" spans="1:26">
      <c r="A5" s="48"/>
      <c r="C5" t="str">
        <f>('.'!A6)</f>
        <v>0</v>
      </c>
      <c r="D5" s="39" t="str">
        <f>'Por Valoracion (3) Dimension'!D5</f>
        <v>0</v>
      </c>
      <c r="E5" s="39" t="str">
        <f>'Por Valoracion (3) Dimension 2'!D5</f>
        <v>0</v>
      </c>
      <c r="G5" s="42" t="s">
        <v>189</v>
      </c>
      <c r="H5" s="12"/>
      <c r="I5" s="12"/>
      <c r="J5" s="12"/>
      <c r="K5" s="12"/>
      <c r="L5" s="12"/>
      <c r="M5" s="12"/>
      <c r="Z5" s="48"/>
    </row>
    <row r="6" spans="1:26">
      <c r="A6" s="48"/>
      <c r="C6" t="str">
        <f>('.'!A7)</f>
        <v>0</v>
      </c>
      <c r="D6" s="39" t="str">
        <f>'Por Valoracion (3) Dimension'!D6</f>
        <v>0</v>
      </c>
      <c r="E6" s="39" t="str">
        <f>'Por Valoracion (3) Dimension 2'!D6</f>
        <v>0</v>
      </c>
      <c r="G6"/>
      <c r="H6" s="41" t="s">
        <v>190</v>
      </c>
      <c r="K6" s="41" t="s">
        <v>191</v>
      </c>
      <c r="Z6" s="48"/>
    </row>
    <row r="7" spans="1:26">
      <c r="A7" s="48"/>
      <c r="C7" t="str">
        <f>('.'!A8)</f>
        <v>0</v>
      </c>
      <c r="D7" s="39" t="str">
        <f>'Por Valoracion (3) Dimension'!D7</f>
        <v>0</v>
      </c>
      <c r="E7" s="39" t="str">
        <f>'Por Valoracion (3) Dimension 2'!D7</f>
        <v>0</v>
      </c>
      <c r="G7" s="12"/>
      <c r="H7" s="43" t="s">
        <v>192</v>
      </c>
      <c r="I7" s="43" t="s">
        <v>193</v>
      </c>
      <c r="J7" s="43" t="s">
        <v>194</v>
      </c>
      <c r="K7" s="43" t="s">
        <v>192</v>
      </c>
      <c r="L7" s="45" t="s">
        <v>193</v>
      </c>
      <c r="M7" s="43" t="s">
        <v>194</v>
      </c>
      <c r="Z7" s="48"/>
    </row>
    <row r="8" spans="1:26">
      <c r="A8" s="48"/>
      <c r="C8" t="str">
        <f>('.'!A9)</f>
        <v>0</v>
      </c>
      <c r="D8" s="39" t="str">
        <f>'Por Valoracion (3) Dimension'!D8</f>
        <v>0</v>
      </c>
      <c r="E8" s="39" t="str">
        <f>'Por Valoracion (3) Dimension 2'!D8</f>
        <v>0</v>
      </c>
      <c r="G8" s="41" t="str">
        <f>D3</f>
        <v>0</v>
      </c>
      <c r="H8" s="44"/>
      <c r="I8" s="44"/>
      <c r="J8" s="44"/>
      <c r="K8" s="44"/>
      <c r="L8" s="44"/>
      <c r="M8" s="44"/>
      <c r="Z8" s="48"/>
    </row>
    <row r="9" spans="1:26">
      <c r="A9" s="48"/>
      <c r="C9" t="str">
        <f>('.'!A10)</f>
        <v>0</v>
      </c>
      <c r="D9" s="39" t="str">
        <f>'Por Valoracion (3) Dimension'!D9</f>
        <v>0</v>
      </c>
      <c r="E9" s="39" t="str">
        <f>'Por Valoracion (3) Dimension 2'!D9</f>
        <v>0</v>
      </c>
      <c r="G9" s="42" t="str">
        <f>E3</f>
        <v>0</v>
      </c>
      <c r="H9" s="12"/>
      <c r="I9" s="12"/>
      <c r="J9" s="12"/>
      <c r="K9" s="12"/>
      <c r="L9" s="12"/>
      <c r="M9" s="12"/>
      <c r="Z9" s="48"/>
    </row>
    <row r="10" spans="1:26">
      <c r="A10" s="48"/>
      <c r="C10" t="str">
        <f>('.'!A11)</f>
        <v>0</v>
      </c>
      <c r="D10" s="39" t="str">
        <f>'Por Valoracion (3) Dimension'!D10</f>
        <v>0</v>
      </c>
      <c r="E10" s="39" t="str">
        <f>'Por Valoracion (3) Dimension 2'!D10</f>
        <v>0</v>
      </c>
      <c r="G10" s="41" t="s">
        <v>195</v>
      </c>
      <c r="O10" s="10" t="s">
        <v>66</v>
      </c>
      <c r="T10" s="10" t="s">
        <v>66</v>
      </c>
      <c r="Z10" s="48"/>
    </row>
    <row r="11" spans="1:26">
      <c r="A11" s="48"/>
      <c r="C11" t="str">
        <f>('.'!A12)</f>
        <v>0</v>
      </c>
      <c r="D11" s="39" t="str">
        <f>'Por Valoracion (3) Dimension'!D11</f>
        <v>0</v>
      </c>
      <c r="E11" s="39" t="str">
        <f>'Por Valoracion (3) Dimension 2'!D11</f>
        <v>0</v>
      </c>
      <c r="O11" s="42" t="s">
        <v>196</v>
      </c>
      <c r="P11" s="12"/>
      <c r="Q11" s="12"/>
      <c r="R11" s="12"/>
      <c r="T11" s="42" t="s">
        <v>196</v>
      </c>
      <c r="U11" s="12"/>
      <c r="V11" s="12"/>
      <c r="W11" s="12"/>
      <c r="X11" s="12"/>
      <c r="Z11" s="48"/>
    </row>
    <row r="12" spans="1:26">
      <c r="A12" s="48"/>
      <c r="C12" t="str">
        <f>('.'!A13)</f>
        <v>0</v>
      </c>
      <c r="D12" s="39" t="str">
        <f>'Por Valoracion (3) Dimension'!D12</f>
        <v>0</v>
      </c>
      <c r="E12" s="39" t="str">
        <f>'Por Valoracion (3) Dimension 2'!D12</f>
        <v>0</v>
      </c>
      <c r="G12" s="27" t="str">
        <f>CONCATENATE("en la ",G8," y basándose en la prueba de ",F29," se puede observar que, ","con una probabilidad de error de ",D30,"% para la ",D28," ",D29," y ",E30,"% para la ",E28," ",E29,", ",G29,H29, " por tal motivo se procederá a utilizar ",I29,".")</f>
        <v>0</v>
      </c>
      <c r="O12" s="12"/>
      <c r="P12" s="12"/>
      <c r="Q12" s="42" t="str">
        <f>D3</f>
        <v>0</v>
      </c>
      <c r="R12" s="42" t="str">
        <f>E3</f>
        <v>0</v>
      </c>
      <c r="T12" s="12"/>
      <c r="U12" s="12"/>
      <c r="V12" s="12"/>
      <c r="W12" s="42" t="str">
        <f>D3</f>
        <v>0</v>
      </c>
      <c r="X12" s="42" t="str">
        <f>E3</f>
        <v>0</v>
      </c>
      <c r="Z12" s="48"/>
    </row>
    <row r="13" spans="1:26">
      <c r="A13" s="48"/>
      <c r="C13" t="str">
        <f>('.'!A14)</f>
        <v>0</v>
      </c>
      <c r="D13" s="39" t="str">
        <f>'Por Valoracion (3) Dimension'!D13</f>
        <v>0</v>
      </c>
      <c r="E13" s="39" t="str">
        <f>'Por Valoracion (3) Dimension 2'!D13</f>
        <v>0</v>
      </c>
      <c r="O13" s="41" t="str">
        <f>D3</f>
        <v>0</v>
      </c>
      <c r="P13" s="44" t="s">
        <v>197</v>
      </c>
      <c r="T13" s="44" t="s">
        <v>198</v>
      </c>
      <c r="U13" s="41" t="str">
        <f>D3</f>
        <v>0</v>
      </c>
      <c r="V13" s="44" t="s">
        <v>199</v>
      </c>
      <c r="Z13" s="48"/>
    </row>
    <row r="14" spans="1:26">
      <c r="A14" s="48"/>
      <c r="C14" t="str">
        <f>('.'!A15)</f>
        <v>0</v>
      </c>
      <c r="D14" s="39" t="str">
        <f>'Por Valoracion (3) Dimension'!D14</f>
        <v>0</v>
      </c>
      <c r="E14" s="39" t="str">
        <f>'Por Valoracion (3) Dimension 2'!D14</f>
        <v>0</v>
      </c>
      <c r="P14" s="44" t="s">
        <v>200</v>
      </c>
      <c r="V14" s="44" t="s">
        <v>200</v>
      </c>
      <c r="Z14" s="48"/>
    </row>
    <row r="15" spans="1:26">
      <c r="A15" s="48"/>
      <c r="C15" t="str">
        <f>('.'!A16)</f>
        <v>0</v>
      </c>
      <c r="D15" s="39" t="str">
        <f>'Por Valoracion (3) Dimension'!D15</f>
        <v>0</v>
      </c>
      <c r="E15" s="39" t="str">
        <f>'Por Valoracion (3) Dimension 2'!D15</f>
        <v>0</v>
      </c>
      <c r="P15" s="44" t="s">
        <v>201</v>
      </c>
      <c r="V15" s="44" t="s">
        <v>201</v>
      </c>
      <c r="Z15" s="48"/>
    </row>
    <row r="16" spans="1:26">
      <c r="A16" s="48"/>
      <c r="C16" t="str">
        <f>('.'!A17)</f>
        <v>0</v>
      </c>
      <c r="D16" s="39" t="str">
        <f>'Por Valoracion (3) Dimension'!D16</f>
        <v>0</v>
      </c>
      <c r="E16" s="39" t="str">
        <f>'Por Valoracion (3) Dimension 2'!D16</f>
        <v>0</v>
      </c>
      <c r="O16" s="41" t="str">
        <f>E3</f>
        <v>0</v>
      </c>
      <c r="P16" s="44" t="s">
        <v>197</v>
      </c>
      <c r="U16" s="41" t="str">
        <f>E3</f>
        <v>0</v>
      </c>
      <c r="V16" s="44" t="s">
        <v>199</v>
      </c>
      <c r="Z16" s="48"/>
    </row>
    <row r="17" spans="1:26">
      <c r="A17" s="48"/>
      <c r="C17" t="str">
        <f>('.'!A18)</f>
        <v>0</v>
      </c>
      <c r="D17" s="39" t="str">
        <f>'Por Valoracion (3) Dimension'!D17</f>
        <v>0</v>
      </c>
      <c r="E17" s="39" t="str">
        <f>'Por Valoracion (3) Dimension 2'!D17</f>
        <v>0</v>
      </c>
      <c r="P17" s="44" t="s">
        <v>200</v>
      </c>
      <c r="V17" s="44" t="s">
        <v>200</v>
      </c>
      <c r="Z17" s="48"/>
    </row>
    <row r="18" spans="1:26">
      <c r="A18" s="48"/>
      <c r="C18" t="str">
        <f>('.'!A19)</f>
        <v>0</v>
      </c>
      <c r="D18" s="39" t="str">
        <f>'Por Valoracion (3) Dimension'!D18</f>
        <v>0</v>
      </c>
      <c r="E18" s="39" t="str">
        <f>'Por Valoracion (3) Dimension 2'!D18</f>
        <v>0</v>
      </c>
      <c r="O18" s="12"/>
      <c r="P18" s="43" t="s">
        <v>201</v>
      </c>
      <c r="Q18" s="12"/>
      <c r="R18" s="12"/>
      <c r="T18" s="12"/>
      <c r="U18" s="12"/>
      <c r="V18" s="43" t="s">
        <v>201</v>
      </c>
      <c r="W18" s="12"/>
      <c r="X18" s="12"/>
      <c r="Z18" s="48"/>
    </row>
    <row r="19" spans="1:26">
      <c r="A19" s="48"/>
      <c r="C19" t="str">
        <f>('.'!A20)</f>
        <v>0</v>
      </c>
      <c r="D19" s="39" t="str">
        <f>'Por Valoracion (3) Dimension'!D19</f>
        <v>0</v>
      </c>
      <c r="E19" s="39" t="str">
        <f>'Por Valoracion (3) Dimension 2'!D19</f>
        <v>0</v>
      </c>
      <c r="O19" s="41" t="s">
        <v>202</v>
      </c>
      <c r="T19" s="41" t="s">
        <v>202</v>
      </c>
      <c r="Z19" s="48"/>
    </row>
    <row r="20" spans="1:26">
      <c r="A20" s="48"/>
      <c r="C20" t="str">
        <f>('.'!A21)</f>
        <v>0</v>
      </c>
      <c r="D20" s="39" t="str">
        <f>'Por Valoracion (3) Dimension'!D20</f>
        <v>0</v>
      </c>
      <c r="E20" s="39" t="str">
        <f>'Por Valoracion (3) Dimension 2'!D20</f>
        <v>0</v>
      </c>
      <c r="Z20" s="48"/>
    </row>
    <row r="21" spans="1:26">
      <c r="A21" s="48"/>
      <c r="C21" t="str">
        <f>('.'!A22)</f>
        <v>0</v>
      </c>
      <c r="D21" s="39" t="str">
        <f>'Por Valoracion (3) Dimension'!D21</f>
        <v>0</v>
      </c>
      <c r="E21" s="39" t="str">
        <f>'Por Valoracion (3) Dimension 2'!D21</f>
        <v>0</v>
      </c>
      <c r="Z21" s="48"/>
    </row>
    <row r="22" spans="1:26">
      <c r="A22" s="48"/>
      <c r="C22" t="str">
        <f>('.'!A23)</f>
        <v>0</v>
      </c>
      <c r="D22" s="39" t="str">
        <f>'Por Valoracion (3) Dimension'!D22</f>
        <v>0</v>
      </c>
      <c r="E22" s="39" t="str">
        <f>'Por Valoracion (3) Dimension 2'!D22</f>
        <v>0</v>
      </c>
      <c r="Z22" s="48"/>
    </row>
    <row r="23" spans="1:26">
      <c r="A23" s="48"/>
      <c r="C23" t="str">
        <f>('.'!A24)</f>
        <v>0</v>
      </c>
      <c r="D23" s="39" t="str">
        <f>'Por Valoracion (3) Dimension'!D23</f>
        <v>0</v>
      </c>
      <c r="E23" s="39" t="str">
        <f>'Por Valoracion (3) Dimension 2'!D23</f>
        <v>0</v>
      </c>
      <c r="Z23" s="48"/>
    </row>
    <row r="24" spans="1:26">
      <c r="A24" s="48"/>
      <c r="Z24" s="48"/>
    </row>
    <row r="25" spans="1:26">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8" spans="1:26">
      <c r="D28" t="s">
        <v>216</v>
      </c>
      <c r="E28" t="s">
        <v>216</v>
      </c>
      <c r="F28" t="s">
        <v>204</v>
      </c>
      <c r="G28" t="s">
        <v>205</v>
      </c>
      <c r="H28" t="s">
        <v>206</v>
      </c>
      <c r="I28" t="s">
        <v>207</v>
      </c>
      <c r="M28" t="s">
        <v>208</v>
      </c>
      <c r="N28" t="s">
        <v>209</v>
      </c>
      <c r="O28" t="s">
        <v>210</v>
      </c>
      <c r="R28" t="s">
        <v>208</v>
      </c>
      <c r="S28" t="s">
        <v>209</v>
      </c>
      <c r="T28" t="s">
        <v>211</v>
      </c>
    </row>
    <row r="29" spans="1:26">
      <c r="D29" t="str">
        <f>D3</f>
        <v>0</v>
      </c>
      <c r="E29" t="str">
        <f>E3</f>
        <v>0</v>
      </c>
      <c r="F29" t="str">
        <f>IF(G8&lt;=50,H6,H6)</f>
        <v>0</v>
      </c>
      <c r="G29" t="str">
        <f>IF(E3&lt;5/100,"la distribución de sus valores son diferentes a la distribución normal","la distribución de sus valores no son diferentes a la distribución normal")</f>
        <v>0</v>
      </c>
      <c r="H29" t="str">
        <f>IF(G29="la distribución de sus valores son diferentes a la distribución normal"," es decir los datos no se encuentran normalmente distribuidos"," es decir los datos si se encuentran normalmente distribuidos")</f>
        <v>0</v>
      </c>
      <c r="I29" t="str">
        <f>IF(G29=" es decir los datos no se encuentran normalmente distribuidos"," la prueba no paramétrica de correlación de Rho de Spearman","la prueba paramétrica de correlación de Pearson")</f>
        <v>0</v>
      </c>
      <c r="M29" t="s">
        <v>212</v>
      </c>
      <c r="N29" t="str">
        <f>R14</f>
        <v>0</v>
      </c>
      <c r="O29" t="str">
        <f>R13</f>
        <v>0</v>
      </c>
      <c r="R29" t="s">
        <v>212</v>
      </c>
      <c r="S29" t="str">
        <f>X14</f>
        <v>0</v>
      </c>
      <c r="T29" t="str">
        <f>X13</f>
        <v>0</v>
      </c>
    </row>
    <row r="30" spans="1:26">
      <c r="C30" t="s">
        <v>213</v>
      </c>
      <c r="D30" t="str">
        <f>M8</f>
        <v>0</v>
      </c>
      <c r="E30" t="str">
        <f>M9</f>
        <v>0</v>
      </c>
      <c r="N30" t="str">
        <f>N29/100</f>
        <v>0</v>
      </c>
      <c r="O30" t="str">
        <f>O29*100</f>
        <v>0</v>
      </c>
      <c r="Q30" t="s">
        <v>214</v>
      </c>
      <c r="S30" t="str">
        <f>S29/100</f>
        <v>0</v>
      </c>
      <c r="T30" t="str">
        <f>T29*100</f>
        <v>0</v>
      </c>
      <c r="V30" t="s">
        <v>214</v>
      </c>
    </row>
    <row r="31" spans="1:26">
      <c r="N31" t="str">
        <f>IF(N29&lt;5/100,"existe relación significativa entre las ","no existe relación entre las ")</f>
        <v>0</v>
      </c>
      <c r="O31" t="str">
        <f>IF(O29&lt;='Criterio para el valor r'!$A$2,'Criterio para el valor r'!$C$2,IF(O29&lt;='Criterio para el valor r'!$A$3,'Criterio para el valor r'!$C$3,IF(O29&lt;='Criterio para el valor r'!$A$4,'Criterio para el valor r'!$C$4,IF(O29&lt;='Criterio para el valor r'!$A$5,'Criterio para el valor r'!$C$5,IF(O29&lt;='Criterio para el valor r'!$A$6,'Criterio para el valor r'!$C$6,IF(O29&lt;='Criterio para el valor r'!$A$8,'Criterio para el valor r'!$C$7,IF(O29&lt;='Criterio para el valor r'!$A$7,'Criterio para el valor r'!$C$8,IF(O29&lt;='Criterio para el valor r'!$B$9,'Criterio para el valor r'!$C$9,IF(O29&lt;='Criterio para el valor r'!$B$10,'Criterio para el valor r'!$C$10,IF(O29&lt;='Criterio para el valor r'!$B$11,'Criterio para el valor r'!$C$11,IF(O29&lt;='Criterio para el valor r'!$B$12,'Criterio para el valor r'!$C$12,IF(O29&lt;='Criterio para el valor r'!$B$13,'Criterio para el valor r'!$C$13,IF(O29&lt;='Criterio para el valor r'!$B$14,'Criterio para el valor r'!$C$14,"algo esta mal")))))))))))))</f>
        <v>0</v>
      </c>
      <c r="P31" t="str">
        <f>IF(O29&lt;0,"menor","mayor")</f>
        <v>0</v>
      </c>
      <c r="Q31" t="str">
        <f>IF(N30&gt;=5/100,"se acepta la Ho y se rechaza la Hi","se rechaza la Ho y se acepta la Hi")</f>
        <v>0</v>
      </c>
      <c r="S31" t="str">
        <f>IF(S29&lt;5/100,"existe relación significativa entre las ","no existe relación entre las ")</f>
        <v>0</v>
      </c>
      <c r="T31" t="str">
        <f>IF(T29&lt;5/100,"existe relación significativa entre las ","no existe relación entre las ")</f>
        <v>0</v>
      </c>
      <c r="U31" t="str">
        <f>IF(T29&lt;0,"menor","mayor")</f>
        <v>0</v>
      </c>
      <c r="V31" t="str">
        <f>IF(S30&gt;=5/100,"se acepta la Ho y se rechaza la Hi","se rechaza la Ho y se acepta la Hi")</f>
        <v>0</v>
      </c>
    </row>
    <row r="34" spans="1:26">
      <c r="O34" s="27" t="str">
        <f>CONCATENATE("la ",O10," muestra los resultados de la prueba de ",P13,", en donde se evidencia que con una ",N28," del ",N30,"% ",N31," ",M29," ",O13," y ",O16,", adicional a ello se puede observar que la fuerza y/o grado de correlación ",O28," tiene un valor de ",O30,"% lo que afirma que es una ",O31," mismo que asu vez significa que a mayor ",Q12," ",P31," ",O16,", por todo ello en el presente objetivo ",Q31,".")</f>
        <v>0</v>
      </c>
      <c r="T34" s="27" t="str">
        <f>CONCATENATE("la ",T10," muestra los resultados de la prueba de ",V13,", en donde se evidencia que con una ",S28," del ",S30,"% ",S31," ",R29," ",U13," y ",U16,", adicional a ello se puede observar que la fuerza y/o grado de correlación ",T28," tiene un valor de ",T30,"% lo que afirma que es una ",T31," mismo que asu vez significa que a mayor ",W12," ",U31," ",X12,", por todo ello en el presente objetivo ",V31,".")</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4:C4"/>
    <mergeCell ref="C5:C5"/>
    <mergeCell ref="C6:C6"/>
    <mergeCell ref="C7:C7"/>
    <mergeCell ref="C8:C8"/>
    <mergeCell ref="C9:C9"/>
    <mergeCell ref="C10:C10"/>
    <mergeCell ref="C11:C11"/>
    <mergeCell ref="C12:C12"/>
    <mergeCell ref="C13:C13"/>
    <mergeCell ref="C14:C14"/>
    <mergeCell ref="C15:C15"/>
    <mergeCell ref="C16:C16"/>
    <mergeCell ref="C17:C17"/>
    <mergeCell ref="C18:C18"/>
    <mergeCell ref="C19:C19"/>
    <mergeCell ref="C20:C20"/>
    <mergeCell ref="C21:C21"/>
    <mergeCell ref="C22:C22"/>
    <mergeCell ref="C23:C23"/>
    <mergeCell ref="G5:M5"/>
    <mergeCell ref="G12:M17"/>
    <mergeCell ref="G10:M10"/>
    <mergeCell ref="G6:G7"/>
    <mergeCell ref="H6:J6"/>
    <mergeCell ref="K6:M6"/>
    <mergeCell ref="O11:R11"/>
    <mergeCell ref="O12:P12"/>
    <mergeCell ref="O13:O15"/>
    <mergeCell ref="O16:O18"/>
    <mergeCell ref="O19:R19"/>
    <mergeCell ref="O34:R39"/>
    <mergeCell ref="T11:X11"/>
    <mergeCell ref="T12:V12"/>
    <mergeCell ref="T19:X19"/>
    <mergeCell ref="T13:T18"/>
    <mergeCell ref="T34:W39"/>
    <mergeCell ref="U13:U15"/>
    <mergeCell ref="U16:U1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space="preserve">
  <sheetPr>
    <outlinePr summaryBelow="1" summaryRight="1"/>
  </sheetPr>
  <dimension ref="A1:C14"/>
  <sheetViews>
    <sheetView tabSelected="1" workbookViewId="0" showGridLines="true" showRowColHeaders="1">
      <selection activeCell="B2" sqref="B2"/>
    </sheetView>
  </sheetViews>
  <sheetFormatPr defaultRowHeight="14.4" outlineLevelRow="0" outlineLevelCol="0"/>
  <sheetData>
    <row r="1" spans="1:3">
      <c r="A1" t="s">
        <v>71</v>
      </c>
      <c r="B1" t="s">
        <v>72</v>
      </c>
      <c r="C1" t="s">
        <v>217</v>
      </c>
    </row>
    <row r="2" spans="1:3">
      <c r="A2" s="49">
        <v>-0.91</v>
      </c>
      <c r="B2" s="49">
        <v>-1</v>
      </c>
      <c r="C2" t="s">
        <v>218</v>
      </c>
    </row>
    <row r="3" spans="1:3">
      <c r="A3" s="49">
        <v>-0.76</v>
      </c>
      <c r="B3" s="49">
        <v>-0.9</v>
      </c>
      <c r="C3" t="s">
        <v>219</v>
      </c>
    </row>
    <row r="4" spans="1:3">
      <c r="A4" s="49">
        <v>-0.51</v>
      </c>
      <c r="B4" s="49">
        <v>-0.75</v>
      </c>
      <c r="C4" t="s">
        <v>220</v>
      </c>
    </row>
    <row r="5" spans="1:3">
      <c r="A5" s="49">
        <v>-0.26</v>
      </c>
      <c r="B5" s="49">
        <v>-0.5</v>
      </c>
      <c r="C5" t="s">
        <v>221</v>
      </c>
    </row>
    <row r="6" spans="1:3">
      <c r="A6" s="49">
        <v>-0.11</v>
      </c>
      <c r="B6" s="49">
        <v>-0.25</v>
      </c>
      <c r="C6" t="s">
        <v>222</v>
      </c>
    </row>
    <row r="7" spans="1:3">
      <c r="A7" s="49">
        <v>-0.01</v>
      </c>
      <c r="B7" s="49">
        <v>-0.1</v>
      </c>
      <c r="C7" t="s">
        <v>223</v>
      </c>
    </row>
    <row r="8" spans="1:3">
      <c r="A8" s="49">
        <v>0</v>
      </c>
      <c r="B8" s="49">
        <v>0</v>
      </c>
      <c r="C8" t="s">
        <v>224</v>
      </c>
    </row>
    <row r="9" spans="1:3">
      <c r="A9" s="49">
        <v>0.01</v>
      </c>
      <c r="B9" s="49">
        <v>0.1</v>
      </c>
      <c r="C9" t="s">
        <v>225</v>
      </c>
    </row>
    <row r="10" spans="1:3">
      <c r="A10" s="49">
        <v>0.11</v>
      </c>
      <c r="B10" s="49">
        <v>0.25</v>
      </c>
      <c r="C10" t="s">
        <v>226</v>
      </c>
    </row>
    <row r="11" spans="1:3">
      <c r="A11" s="49">
        <v>0.26</v>
      </c>
      <c r="B11" s="49">
        <v>0.5</v>
      </c>
      <c r="C11" t="s">
        <v>227</v>
      </c>
    </row>
    <row r="12" spans="1:3">
      <c r="A12" s="49">
        <v>0.51</v>
      </c>
      <c r="B12" s="49">
        <v>0.75</v>
      </c>
      <c r="C12" t="s">
        <v>228</v>
      </c>
    </row>
    <row r="13" spans="1:3">
      <c r="A13" s="49">
        <v>0.76</v>
      </c>
      <c r="B13" s="49">
        <v>0.9</v>
      </c>
      <c r="C13" t="s">
        <v>229</v>
      </c>
    </row>
    <row r="14" spans="1:3">
      <c r="A14" s="49">
        <v>0.91</v>
      </c>
      <c r="B14" s="49">
        <v>1</v>
      </c>
      <c r="C14" t="s">
        <v>230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vt:lpstr>
      <vt:lpstr>Por Valoracion (3) Dimension</vt:lpstr>
      <vt:lpstr>Tabulacion por item</vt:lpstr>
      <vt:lpstr>Por conteo Dimension</vt:lpstr>
      <vt:lpstr>. 1</vt:lpstr>
      <vt:lpstr>Por Valoracion (3) Dimension 2</vt:lpstr>
      <vt:lpstr>Tabulacion por item 2</vt:lpstr>
      <vt:lpstr>Por conteo Dimension 2</vt:lpstr>
      <vt:lpstr>Rela. ent. dimension</vt:lpstr>
      <vt:lpstr>Rela. dimen. ent. vari</vt:lpstr>
      <vt:lpstr>Rela. ent. variable</vt:lpstr>
      <vt:lpstr>Criterio para el valor r</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2025-11-06T07:53:04-05:00</dcterms:created>
  <dcterms:modified xsi:type="dcterms:W3CDTF">2025-11-06T07:53:04-05:00</dcterms:modified>
  <dc:title>Untitled Spreadsheet</dc:title>
  <dc:description/>
  <dc:subject/>
  <cp:keywords/>
  <cp:category/>
</cp:coreProperties>
</file>