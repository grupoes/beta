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4.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6.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7.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drawings/drawing8.xml" ContentType="application/vnd.openxmlformats-officedocument.drawing+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1" autoFilterDateGrouping="1" firstSheet="0" minimized="0" showHorizontalScroll="1" showSheetTabs="1" showVerticalScroll="1" tabRatio="600" visibility="visible"/>
  </bookViews>
  <sheets>
    <sheet name="Inteligencia emocional" sheetId="1" r:id="rId4"/>
    <sheet name="Por Valoracion (3) Dimension" sheetId="2" r:id="rId5"/>
    <sheet name="Tabulacion por item" sheetId="3" r:id="rId6"/>
    <sheet name="Por conteo Dimension" sheetId="4" r:id="rId7"/>
    <sheet name="Desempeño profesional" sheetId="5" r:id="rId8"/>
    <sheet name="Por Valoracion (3) Dimension 2" sheetId="6" r:id="rId9"/>
    <sheet name="Tabulacion por item 2" sheetId="7" r:id="rId10"/>
    <sheet name="Por conteo Dimension 2" sheetId="8" r:id="rId11"/>
    <sheet name="Rela. ent. dimension" sheetId="9" r:id="rId12"/>
    <sheet name="Rela. dimen. ent. vari" sheetId="10" r:id="rId13"/>
    <sheet name="Rela. ent. variable" sheetId="11" r:id="rId14"/>
    <sheet name="Criterio para el valor r" sheetId="12" r:id="rId15"/>
  </sheets>
  <definedNames/>
  <calcPr calcId="999999" calcMode="auto" calcCompleted="0" fullCalcOnLoad="1"/>
</workbook>
</file>

<file path=xl/sharedStrings.xml><?xml version="1.0" encoding="utf-8"?>
<sst xmlns="http://schemas.openxmlformats.org/spreadsheetml/2006/main" uniqueCount="680">
  <si>
    <t>Dimension 1</t>
  </si>
  <si>
    <t>Percepción emocional</t>
  </si>
  <si>
    <t>Comprensión emocional</t>
  </si>
  <si>
    <t>Regulación emocional</t>
  </si>
  <si>
    <t>Total</t>
  </si>
  <si>
    <t>Valoración</t>
  </si>
  <si>
    <t>PRG.1</t>
  </si>
  <si>
    <t>PRG.2</t>
  </si>
  <si>
    <t>PRG.3</t>
  </si>
  <si>
    <t>PRG.4</t>
  </si>
  <si>
    <t>PRG.5</t>
  </si>
  <si>
    <t>PRG.6</t>
  </si>
  <si>
    <t>PRG.7</t>
  </si>
  <si>
    <t>PRG.8</t>
  </si>
  <si>
    <t>PRG.9</t>
  </si>
  <si>
    <t>PRG.10</t>
  </si>
  <si>
    <t>PRG.11</t>
  </si>
  <si>
    <t>PRG.12</t>
  </si>
  <si>
    <t>PRG.13</t>
  </si>
  <si>
    <t>PRG.14</t>
  </si>
  <si>
    <t>PRG.15</t>
  </si>
  <si>
    <t>PRG.16</t>
  </si>
  <si>
    <t>PRG.17</t>
  </si>
  <si>
    <t>PRG.18</t>
  </si>
  <si>
    <t>PRG.19</t>
  </si>
  <si>
    <t>PRG.20</t>
  </si>
  <si>
    <t>PRG.21</t>
  </si>
  <si>
    <t>PRG.22</t>
  </si>
  <si>
    <t>PRG.23</t>
  </si>
  <si>
    <t>PRG.24</t>
  </si>
  <si>
    <t>Docente 1</t>
  </si>
  <si>
    <t>Docente 2</t>
  </si>
  <si>
    <t>Docente 3</t>
  </si>
  <si>
    <t>Docente 4</t>
  </si>
  <si>
    <t>Docente 5</t>
  </si>
  <si>
    <t>Docente 6</t>
  </si>
  <si>
    <t>Docente 7</t>
  </si>
  <si>
    <t>Docente 8</t>
  </si>
  <si>
    <t>Docente 9</t>
  </si>
  <si>
    <t>Docente 10</t>
  </si>
  <si>
    <t>Docente 11</t>
  </si>
  <si>
    <t>Docente 12</t>
  </si>
  <si>
    <t>Docente 13</t>
  </si>
  <si>
    <t>Docente 14</t>
  </si>
  <si>
    <t>Docente 15</t>
  </si>
  <si>
    <t>Docente 16</t>
  </si>
  <si>
    <t>Docente 17</t>
  </si>
  <si>
    <t>Docente 18</t>
  </si>
  <si>
    <t>Docente 19</t>
  </si>
  <si>
    <t>Docente 20</t>
  </si>
  <si>
    <t>Docente 21</t>
  </si>
  <si>
    <t>Docente 22</t>
  </si>
  <si>
    <t>Docente 23</t>
  </si>
  <si>
    <t>Docente 24</t>
  </si>
  <si>
    <t>Docente 25</t>
  </si>
  <si>
    <t>Docente 26</t>
  </si>
  <si>
    <t>Docente 27</t>
  </si>
  <si>
    <t>Docente 28</t>
  </si>
  <si>
    <t>Docente 29</t>
  </si>
  <si>
    <t>Docente 30</t>
  </si>
  <si>
    <t>Docente 31</t>
  </si>
  <si>
    <t>Docente 32</t>
  </si>
  <si>
    <t>Docente 33</t>
  </si>
  <si>
    <t>Docente 34</t>
  </si>
  <si>
    <t>Docente 35</t>
  </si>
  <si>
    <t>Docente 36</t>
  </si>
  <si>
    <t>Docente 37</t>
  </si>
  <si>
    <t>Docente 38</t>
  </si>
  <si>
    <t>Docente 39</t>
  </si>
  <si>
    <t>Docente 40</t>
  </si>
  <si>
    <t>Docente 41</t>
  </si>
  <si>
    <t>Docente 42</t>
  </si>
  <si>
    <t>Docente 43</t>
  </si>
  <si>
    <t>Docente 44</t>
  </si>
  <si>
    <t>Docente 45</t>
  </si>
  <si>
    <t>Docente 46</t>
  </si>
  <si>
    <t>Docente 47</t>
  </si>
  <si>
    <t>Docente 48</t>
  </si>
  <si>
    <t>Docente 49</t>
  </si>
  <si>
    <t>Docente 50</t>
  </si>
  <si>
    <t>Docente 51</t>
  </si>
  <si>
    <t>Docente 52</t>
  </si>
  <si>
    <t>Docente 53</t>
  </si>
  <si>
    <t>Docente 54</t>
  </si>
  <si>
    <t>Docente 55</t>
  </si>
  <si>
    <t>Docente 56</t>
  </si>
  <si>
    <t>Docente 57</t>
  </si>
  <si>
    <t>Docente 58</t>
  </si>
  <si>
    <t>Docente 59</t>
  </si>
  <si>
    <t>Docente 60</t>
  </si>
  <si>
    <t>Docente 61</t>
  </si>
  <si>
    <t>Docente 62</t>
  </si>
  <si>
    <t>Docente 63</t>
  </si>
  <si>
    <t>Docente 64</t>
  </si>
  <si>
    <t>Docente 65</t>
  </si>
  <si>
    <t>Docente 66</t>
  </si>
  <si>
    <t>Docente 67</t>
  </si>
  <si>
    <t>Docente 68</t>
  </si>
  <si>
    <t>Docente 69</t>
  </si>
  <si>
    <t>Docente 70</t>
  </si>
  <si>
    <t>Docente 71</t>
  </si>
  <si>
    <t>Docente 72</t>
  </si>
  <si>
    <t>Docente 73</t>
  </si>
  <si>
    <t>Docente 74</t>
  </si>
  <si>
    <t>Docente 75</t>
  </si>
  <si>
    <t>Docente 76</t>
  </si>
  <si>
    <t>Docente 77</t>
  </si>
  <si>
    <t>Docente 78</t>
  </si>
  <si>
    <t>Docente 79</t>
  </si>
  <si>
    <t>Docente 80</t>
  </si>
  <si>
    <t>Docente 81</t>
  </si>
  <si>
    <t>Docente 82</t>
  </si>
  <si>
    <t>Docente 83</t>
  </si>
  <si>
    <t>Docente 84</t>
  </si>
  <si>
    <t>Docente 85</t>
  </si>
  <si>
    <t>Docente 86</t>
  </si>
  <si>
    <t>Docente 87</t>
  </si>
  <si>
    <t>Docente 88</t>
  </si>
  <si>
    <t>Docente 89</t>
  </si>
  <si>
    <t>Docente 90</t>
  </si>
  <si>
    <t>Docente 91</t>
  </si>
  <si>
    <t>Docente 92</t>
  </si>
  <si>
    <t>Docente 93</t>
  </si>
  <si>
    <t>Docente 94</t>
  </si>
  <si>
    <t>Docente 95</t>
  </si>
  <si>
    <t>Docente 96</t>
  </si>
  <si>
    <t>Docente 97</t>
  </si>
  <si>
    <t>Docente 98</t>
  </si>
  <si>
    <t>Docente 99</t>
  </si>
  <si>
    <t>Docente 100</t>
  </si>
  <si>
    <t>Docente 101</t>
  </si>
  <si>
    <t>Docente 102</t>
  </si>
  <si>
    <t>Docente 103</t>
  </si>
  <si>
    <t>Docente 104</t>
  </si>
  <si>
    <t>Docente 105</t>
  </si>
  <si>
    <t>Docente 106</t>
  </si>
  <si>
    <t>Docente 107</t>
  </si>
  <si>
    <t>Docente 108</t>
  </si>
  <si>
    <t>Docente 109</t>
  </si>
  <si>
    <t>Docente 110</t>
  </si>
  <si>
    <t>Docente 111</t>
  </si>
  <si>
    <t>Docente 112</t>
  </si>
  <si>
    <t>Docente 113</t>
  </si>
  <si>
    <t>Docente 114</t>
  </si>
  <si>
    <t>Docente 115</t>
  </si>
  <si>
    <t>Docente 116</t>
  </si>
  <si>
    <t>Docente 117</t>
  </si>
  <si>
    <t>Docente 118</t>
  </si>
  <si>
    <t>Docente 119</t>
  </si>
  <si>
    <t>Docente 120</t>
  </si>
  <si>
    <t>Docente 121</t>
  </si>
  <si>
    <t>Docente 122</t>
  </si>
  <si>
    <t>Docente 123</t>
  </si>
  <si>
    <t>Docente 124</t>
  </si>
  <si>
    <t>Docente 125</t>
  </si>
  <si>
    <t>Docente 126</t>
  </si>
  <si>
    <t>Docente 127</t>
  </si>
  <si>
    <t>Docente 128</t>
  </si>
  <si>
    <t>Docente 129</t>
  </si>
  <si>
    <t>Docente 130</t>
  </si>
  <si>
    <t>Docente 131</t>
  </si>
  <si>
    <t>Docente 132</t>
  </si>
  <si>
    <t>Docente 133</t>
  </si>
  <si>
    <t>Docente 134</t>
  </si>
  <si>
    <t>Docente 135</t>
  </si>
  <si>
    <t>Docente 136</t>
  </si>
  <si>
    <t>Docente 137</t>
  </si>
  <si>
    <t>Docente 138</t>
  </si>
  <si>
    <t>Docente 139</t>
  </si>
  <si>
    <t>Docente 140</t>
  </si>
  <si>
    <t>Docente 141</t>
  </si>
  <si>
    <t>Docente 142</t>
  </si>
  <si>
    <t>Docente 143</t>
  </si>
  <si>
    <t>Docente 144</t>
  </si>
  <si>
    <t>Docente 145</t>
  </si>
  <si>
    <t>Docente 146</t>
  </si>
  <si>
    <t>Docente 147</t>
  </si>
  <si>
    <t>Docente 148</t>
  </si>
  <si>
    <t>Docente 149</t>
  </si>
  <si>
    <t>Docente 150</t>
  </si>
  <si>
    <t>Docente 151</t>
  </si>
  <si>
    <t>Docente 152</t>
  </si>
  <si>
    <t>Docente 153</t>
  </si>
  <si>
    <t>Docente 154</t>
  </si>
  <si>
    <t>Docente 155</t>
  </si>
  <si>
    <t>Docente 156</t>
  </si>
  <si>
    <t>Docente 157</t>
  </si>
  <si>
    <t>Docente 158</t>
  </si>
  <si>
    <t>Docente 159</t>
  </si>
  <si>
    <t>Docente 160</t>
  </si>
  <si>
    <t>Docente 161</t>
  </si>
  <si>
    <t>Docente 162</t>
  </si>
  <si>
    <t>Docente 163</t>
  </si>
  <si>
    <t>Docente 164</t>
  </si>
  <si>
    <t>Docente 165</t>
  </si>
  <si>
    <t>Docente 166</t>
  </si>
  <si>
    <t>Docente 167</t>
  </si>
  <si>
    <t>Docente 168</t>
  </si>
  <si>
    <t>Docente 169</t>
  </si>
  <si>
    <t>Docente 170</t>
  </si>
  <si>
    <t>Docente 171</t>
  </si>
  <si>
    <t>Docente 172</t>
  </si>
  <si>
    <t>Docente 173</t>
  </si>
  <si>
    <t>Docente 174</t>
  </si>
  <si>
    <t>Docente 175</t>
  </si>
  <si>
    <t>Docente 176</t>
  </si>
  <si>
    <t>Docente 177</t>
  </si>
  <si>
    <t>Docente 178</t>
  </si>
  <si>
    <t>Docente 179</t>
  </si>
  <si>
    <t>Docente 180</t>
  </si>
  <si>
    <t>Docente 181</t>
  </si>
  <si>
    <t>Docente 182</t>
  </si>
  <si>
    <t>Docente 183</t>
  </si>
  <si>
    <t>Docente 184</t>
  </si>
  <si>
    <t>Docente 185</t>
  </si>
  <si>
    <t>Docente 186</t>
  </si>
  <si>
    <t>Docente 187</t>
  </si>
  <si>
    <t>Docente 188</t>
  </si>
  <si>
    <t>Docente 189</t>
  </si>
  <si>
    <t>Docente 190</t>
  </si>
  <si>
    <t>Docente 191</t>
  </si>
  <si>
    <t>Docente 192</t>
  </si>
  <si>
    <t>Docente 193</t>
  </si>
  <si>
    <t>Docente 194</t>
  </si>
  <si>
    <t>Docente 195</t>
  </si>
  <si>
    <t>Docente 196</t>
  </si>
  <si>
    <t>Docente 197</t>
  </si>
  <si>
    <t>Docente 198</t>
  </si>
  <si>
    <t>Docente 199</t>
  </si>
  <si>
    <t>Docente 200</t>
  </si>
  <si>
    <t>Docente 201</t>
  </si>
  <si>
    <t>Docente 202</t>
  </si>
  <si>
    <t>Docente 203</t>
  </si>
  <si>
    <t>Docente 204</t>
  </si>
  <si>
    <t>Docente 205</t>
  </si>
  <si>
    <t>Docente 206</t>
  </si>
  <si>
    <t>Docente 207</t>
  </si>
  <si>
    <t>Docente 208</t>
  </si>
  <si>
    <t>Docente 209</t>
  </si>
  <si>
    <t>Docente 210</t>
  </si>
  <si>
    <t>Docente 211</t>
  </si>
  <si>
    <t>Docente 212</t>
  </si>
  <si>
    <t>Docente 213</t>
  </si>
  <si>
    <t>Docente 214</t>
  </si>
  <si>
    <t>Docente 215</t>
  </si>
  <si>
    <t>Docente 216</t>
  </si>
  <si>
    <t>Docente 217</t>
  </si>
  <si>
    <t>Docente 218</t>
  </si>
  <si>
    <t>Docente 219</t>
  </si>
  <si>
    <t>Docente 220</t>
  </si>
  <si>
    <t>Docente 221</t>
  </si>
  <si>
    <t>Docente 222</t>
  </si>
  <si>
    <t>Docente 223</t>
  </si>
  <si>
    <t>Docente 224</t>
  </si>
  <si>
    <t>Docente 225</t>
  </si>
  <si>
    <t>Docente 226</t>
  </si>
  <si>
    <t>Docente 227</t>
  </si>
  <si>
    <t>Docente 228</t>
  </si>
  <si>
    <t>Docente 229</t>
  </si>
  <si>
    <t>Docente 230</t>
  </si>
  <si>
    <t>Docente 231</t>
  </si>
  <si>
    <t>Docente 232</t>
  </si>
  <si>
    <t>Docente 233</t>
  </si>
  <si>
    <t>Docente 234</t>
  </si>
  <si>
    <t>Docente 235</t>
  </si>
  <si>
    <t>Docente 236</t>
  </si>
  <si>
    <t>Docente 237</t>
  </si>
  <si>
    <t>Docente 238</t>
  </si>
  <si>
    <t>Docente 239</t>
  </si>
  <si>
    <t>Docente 240</t>
  </si>
  <si>
    <t>Docente 241</t>
  </si>
  <si>
    <t>Docente 242</t>
  </si>
  <si>
    <t>Docente 243</t>
  </si>
  <si>
    <t>Docente 244</t>
  </si>
  <si>
    <t>Docente 245</t>
  </si>
  <si>
    <t>Docente 246</t>
  </si>
  <si>
    <t>Docente 247</t>
  </si>
  <si>
    <t>Docente 248</t>
  </si>
  <si>
    <t>Docente 249</t>
  </si>
  <si>
    <t>Docente 250</t>
  </si>
  <si>
    <t>Docente 251</t>
  </si>
  <si>
    <t>Docente 252</t>
  </si>
  <si>
    <t>Docente 253</t>
  </si>
  <si>
    <t>Docente 254</t>
  </si>
  <si>
    <t>Docente 255</t>
  </si>
  <si>
    <t>Docente 256</t>
  </si>
  <si>
    <t>Docente 257</t>
  </si>
  <si>
    <t>Docente 258</t>
  </si>
  <si>
    <t>Docente 259</t>
  </si>
  <si>
    <t>Docente 260</t>
  </si>
  <si>
    <t>Docente 261</t>
  </si>
  <si>
    <t>Docente 262</t>
  </si>
  <si>
    <t>Docente 263</t>
  </si>
  <si>
    <t>Docente 264</t>
  </si>
  <si>
    <t>Docente 265</t>
  </si>
  <si>
    <t>Docente 266</t>
  </si>
  <si>
    <t>Docente 267</t>
  </si>
  <si>
    <t>Docente 268</t>
  </si>
  <si>
    <t>Docente 269</t>
  </si>
  <si>
    <t>Docente 270</t>
  </si>
  <si>
    <t>Docente 271</t>
  </si>
  <si>
    <t>Docente 272</t>
  </si>
  <si>
    <t>Docente 273</t>
  </si>
  <si>
    <t>Docente 274</t>
  </si>
  <si>
    <t>Docente 275</t>
  </si>
  <si>
    <t>Docente 276</t>
  </si>
  <si>
    <t>Docente 277</t>
  </si>
  <si>
    <t>Docente 278</t>
  </si>
  <si>
    <t>Docente 279</t>
  </si>
  <si>
    <t>Docente 280</t>
  </si>
  <si>
    <t>Docente 281</t>
  </si>
  <si>
    <t>Docente 282</t>
  </si>
  <si>
    <t>Docente 283</t>
  </si>
  <si>
    <t>Docente 284</t>
  </si>
  <si>
    <t>Docente 285</t>
  </si>
  <si>
    <t>Docente 286</t>
  </si>
  <si>
    <t>Docente 287</t>
  </si>
  <si>
    <t>Docente 288</t>
  </si>
  <si>
    <t>Docente 289</t>
  </si>
  <si>
    <t>Docente 290</t>
  </si>
  <si>
    <t>Docente 291</t>
  </si>
  <si>
    <t>Docente 292</t>
  </si>
  <si>
    <t>Docente 293</t>
  </si>
  <si>
    <t>Docente 294</t>
  </si>
  <si>
    <t>Docente 295</t>
  </si>
  <si>
    <t>Docente 296</t>
  </si>
  <si>
    <t>Docente 297</t>
  </si>
  <si>
    <t>Docente 298</t>
  </si>
  <si>
    <t>Docente 299</t>
  </si>
  <si>
    <t>Docente 300</t>
  </si>
  <si>
    <t>Docente 301</t>
  </si>
  <si>
    <t>Docente 302</t>
  </si>
  <si>
    <t>Docente 303</t>
  </si>
  <si>
    <t>Docente 304</t>
  </si>
  <si>
    <t>Docente 305</t>
  </si>
  <si>
    <t>Docente 306</t>
  </si>
  <si>
    <t>Docente 307</t>
  </si>
  <si>
    <t>Docente 308</t>
  </si>
  <si>
    <t>Docente 309</t>
  </si>
  <si>
    <t>Docente 310</t>
  </si>
  <si>
    <t>Docente 311</t>
  </si>
  <si>
    <t>Docente 312</t>
  </si>
  <si>
    <t>Docente 313</t>
  </si>
  <si>
    <t>Docente 314</t>
  </si>
  <si>
    <t>Docente 315</t>
  </si>
  <si>
    <t>Docente 316</t>
  </si>
  <si>
    <t>Docente 317</t>
  </si>
  <si>
    <t>Docente 318</t>
  </si>
  <si>
    <t>Docente 319</t>
  </si>
  <si>
    <t>Docente 320</t>
  </si>
  <si>
    <t>Docente 321</t>
  </si>
  <si>
    <t>Docente 322</t>
  </si>
  <si>
    <t>Docente 323</t>
  </si>
  <si>
    <t>Docente 324</t>
  </si>
  <si>
    <t>Docente 325</t>
  </si>
  <si>
    <t>Docente 326</t>
  </si>
  <si>
    <t>Docente 327</t>
  </si>
  <si>
    <t>Docente 328</t>
  </si>
  <si>
    <t>Docente 329</t>
  </si>
  <si>
    <t>Docente 330</t>
  </si>
  <si>
    <t>Docente 331</t>
  </si>
  <si>
    <t>Docente 332</t>
  </si>
  <si>
    <t>Docente 333</t>
  </si>
  <si>
    <t>Docente 334</t>
  </si>
  <si>
    <t>Docente 335</t>
  </si>
  <si>
    <t>Docente 336</t>
  </si>
  <si>
    <t>Docente 337</t>
  </si>
  <si>
    <t>Docente 338</t>
  </si>
  <si>
    <t>Docente 339</t>
  </si>
  <si>
    <t>Docente 340</t>
  </si>
  <si>
    <t>Docente 341</t>
  </si>
  <si>
    <t>Docente 342</t>
  </si>
  <si>
    <t>Docente 343</t>
  </si>
  <si>
    <t>Docente 344</t>
  </si>
  <si>
    <t>Docente 345</t>
  </si>
  <si>
    <t>Docente 346</t>
  </si>
  <si>
    <t>Docente 347</t>
  </si>
  <si>
    <t>Docente 348</t>
  </si>
  <si>
    <t>Docente 349</t>
  </si>
  <si>
    <t>Docente 350</t>
  </si>
  <si>
    <t>Docente 351</t>
  </si>
  <si>
    <t>Docente 352</t>
  </si>
  <si>
    <t>Docente 353</t>
  </si>
  <si>
    <t>Docente 354</t>
  </si>
  <si>
    <t>Docente 355</t>
  </si>
  <si>
    <t>TOTAL</t>
  </si>
  <si>
    <t>MODA</t>
  </si>
  <si>
    <t>MEDIA</t>
  </si>
  <si>
    <t>MEDIANA</t>
  </si>
  <si>
    <t>Desv.Est</t>
  </si>
  <si>
    <t xml:space="preserve">Coef. Varia.
    </t>
  </si>
  <si>
    <t>Nada de acuerdo</t>
  </si>
  <si>
    <t>Algo de acuerdo</t>
  </si>
  <si>
    <t>Bastante de acuerdo</t>
  </si>
  <si>
    <t>Muy de acuerdo</t>
  </si>
  <si>
    <t>Totalmente de acuerdo</t>
  </si>
  <si>
    <t>Nada de acuerdo%</t>
  </si>
  <si>
    <t>Algo de acuerdo%</t>
  </si>
  <si>
    <t>Bastante de acuerdo%</t>
  </si>
  <si>
    <t>Muy de acuerdo%</t>
  </si>
  <si>
    <t>Totalmente de acuerdo%</t>
  </si>
  <si>
    <t>Total %</t>
  </si>
  <si>
    <t>Nº de Personas</t>
  </si>
  <si>
    <t>Inteligencia emocional</t>
  </si>
  <si>
    <t>Suma Total</t>
  </si>
  <si>
    <t>Variable</t>
  </si>
  <si>
    <t>Nombre de la Dimensión</t>
  </si>
  <si>
    <t>Cantidad de Escalas Valorativas</t>
  </si>
  <si>
    <t>Nº de Peguntas</t>
  </si>
  <si>
    <t>Valor Mínimo por item</t>
  </si>
  <si>
    <t>Valor Máximo por item</t>
  </si>
  <si>
    <t>Máximo</t>
  </si>
  <si>
    <t>Mínimo</t>
  </si>
  <si>
    <t>Rango</t>
  </si>
  <si>
    <t>Amplitud del Intervalo</t>
  </si>
  <si>
    <t>Tabla 1</t>
  </si>
  <si>
    <t>Tabla 2</t>
  </si>
  <si>
    <t>Tabla 3</t>
  </si>
  <si>
    <t>Tabla 4</t>
  </si>
  <si>
    <t>Calificación</t>
  </si>
  <si>
    <t>Frec.</t>
  </si>
  <si>
    <t>%</t>
  </si>
  <si>
    <t>Desde</t>
  </si>
  <si>
    <t>Hasta</t>
  </si>
  <si>
    <t>Bajo</t>
  </si>
  <si>
    <t>Regular</t>
  </si>
  <si>
    <t>Alto</t>
  </si>
  <si>
    <t>Fuente: Encuesta aplicada</t>
  </si>
  <si>
    <t>Elaboración: Propia</t>
  </si>
  <si>
    <t>Figura.1</t>
  </si>
  <si>
    <t>Figura.2</t>
  </si>
  <si>
    <t>Figura.3</t>
  </si>
  <si>
    <t>Figura.4</t>
  </si>
  <si>
    <t>Unidades de Medida</t>
  </si>
  <si>
    <t>Dimensión</t>
  </si>
  <si>
    <t>Docentes</t>
  </si>
  <si>
    <t>Valoración de la variable</t>
  </si>
  <si>
    <t>Preguntas Originales</t>
  </si>
  <si>
    <t>Enunciados Para Palafraseo</t>
  </si>
  <si>
    <t>.</t>
  </si>
  <si>
    <t>MÁXIMO</t>
  </si>
  <si>
    <t>Valores</t>
  </si>
  <si>
    <t>codificación de verbos aleatorios para concatenar</t>
  </si>
  <si>
    <t>verbo</t>
  </si>
  <si>
    <t>Concatenación</t>
  </si>
  <si>
    <t>dimensión</t>
  </si>
  <si>
    <t>Valor</t>
  </si>
  <si>
    <t>codificación de verbos</t>
  </si>
  <si>
    <t>Verbo</t>
  </si>
  <si>
    <t>codificación de conectores</t>
  </si>
  <si>
    <t>Conectores</t>
  </si>
  <si>
    <t>codificación de unidades de medida</t>
  </si>
  <si>
    <t xml:space="preserve">Unidades de medida </t>
  </si>
  <si>
    <t>valoró</t>
  </si>
  <si>
    <t>calificó</t>
  </si>
  <si>
    <t>consideró</t>
  </si>
  <si>
    <t>respondió</t>
  </si>
  <si>
    <t>evaluó</t>
  </si>
  <si>
    <t>determinó</t>
  </si>
  <si>
    <t>mencionó</t>
  </si>
  <si>
    <t>apreció</t>
  </si>
  <si>
    <t>percibió</t>
  </si>
  <si>
    <t>Tuvo una percepción de</t>
  </si>
  <si>
    <t>asi mismo</t>
  </si>
  <si>
    <t xml:space="preserve">por otro lado </t>
  </si>
  <si>
    <t xml:space="preserve">por otra parte </t>
  </si>
  <si>
    <t xml:space="preserve">ademas </t>
  </si>
  <si>
    <t xml:space="preserve">en consecuencia </t>
  </si>
  <si>
    <t xml:space="preserve">adicional a ello </t>
  </si>
  <si>
    <t xml:space="preserve">por consecuencia </t>
  </si>
  <si>
    <t>Resultados</t>
  </si>
  <si>
    <t>Item 1</t>
  </si>
  <si>
    <t>Item 2</t>
  </si>
  <si>
    <t>Item 3</t>
  </si>
  <si>
    <t>Item 4</t>
  </si>
  <si>
    <t>Item 5</t>
  </si>
  <si>
    <t>Item 6</t>
  </si>
  <si>
    <t>Item 7</t>
  </si>
  <si>
    <t>Item 8</t>
  </si>
  <si>
    <t>Item 9</t>
  </si>
  <si>
    <t>Item 10</t>
  </si>
  <si>
    <t>Item 11</t>
  </si>
  <si>
    <t>Item 12</t>
  </si>
  <si>
    <t>Item 13</t>
  </si>
  <si>
    <t>Item 14</t>
  </si>
  <si>
    <t>Item 15</t>
  </si>
  <si>
    <t>Item 16</t>
  </si>
  <si>
    <t>Item 17</t>
  </si>
  <si>
    <t>Item 18</t>
  </si>
  <si>
    <t>Item 19</t>
  </si>
  <si>
    <t>Item 20</t>
  </si>
  <si>
    <t>Item 21</t>
  </si>
  <si>
    <t>Item 22</t>
  </si>
  <si>
    <t>Item 23</t>
  </si>
  <si>
    <t>Item 24</t>
  </si>
  <si>
    <t>Tabla 5</t>
  </si>
  <si>
    <t>Tabla 6</t>
  </si>
  <si>
    <t>Tabla 7</t>
  </si>
  <si>
    <t>Tabla 8</t>
  </si>
  <si>
    <t>Tabla 9</t>
  </si>
  <si>
    <t>Tabla 10</t>
  </si>
  <si>
    <t>Tabla 11</t>
  </si>
  <si>
    <t>Tabla 12</t>
  </si>
  <si>
    <t>Tabla 13</t>
  </si>
  <si>
    <t>Tabla 14</t>
  </si>
  <si>
    <t>Tabla 15</t>
  </si>
  <si>
    <t>Tabla 16</t>
  </si>
  <si>
    <t>Tabla 17</t>
  </si>
  <si>
    <t>Tabla 18</t>
  </si>
  <si>
    <t>Tabla 19</t>
  </si>
  <si>
    <t>Tabla 20</t>
  </si>
  <si>
    <t>Tabla 21</t>
  </si>
  <si>
    <t>Tabla 22</t>
  </si>
  <si>
    <t>Tabla 23</t>
  </si>
  <si>
    <t>Tabla 24</t>
  </si>
  <si>
    <t>Figura. 1</t>
  </si>
  <si>
    <t>Figura. 2</t>
  </si>
  <si>
    <t>Figura. 3</t>
  </si>
  <si>
    <t>Figura. 4</t>
  </si>
  <si>
    <t>Figura. 5</t>
  </si>
  <si>
    <t>Figura. 6</t>
  </si>
  <si>
    <t>Figura. 7</t>
  </si>
  <si>
    <t>Figura. 8</t>
  </si>
  <si>
    <t>Figura. 9</t>
  </si>
  <si>
    <t>Figura. 10</t>
  </si>
  <si>
    <t>Figura. 11</t>
  </si>
  <si>
    <t>Figura. 12</t>
  </si>
  <si>
    <t>Figura. 13</t>
  </si>
  <si>
    <t>Figura. 14</t>
  </si>
  <si>
    <t>Figura. 15</t>
  </si>
  <si>
    <t>Figura. 16</t>
  </si>
  <si>
    <t>Figura. 17</t>
  </si>
  <si>
    <t>Figura. 18</t>
  </si>
  <si>
    <t>Figura. 19</t>
  </si>
  <si>
    <t>Figura. 20</t>
  </si>
  <si>
    <t>Figura. 21</t>
  </si>
  <si>
    <t>Figura. 22</t>
  </si>
  <si>
    <t>Figura. 23</t>
  </si>
  <si>
    <t>Figura. 24</t>
  </si>
  <si>
    <t>Mayoria</t>
  </si>
  <si>
    <t>Dimensión 1</t>
  </si>
  <si>
    <t>Dimensión 2</t>
  </si>
  <si>
    <t>Dimensión 3</t>
  </si>
  <si>
    <t>Variable 1</t>
  </si>
  <si>
    <t>Unidad de Medida</t>
  </si>
  <si>
    <t>Calificación verdadera</t>
  </si>
  <si>
    <t>Valor Mayor</t>
  </si>
  <si>
    <t>MAYOR</t>
  </si>
  <si>
    <t>Preparación para el aprendizaje</t>
  </si>
  <si>
    <t>Enseñanza para el aprendizaje</t>
  </si>
  <si>
    <t xml:space="preserve">Participación en la gestión </t>
  </si>
  <si>
    <t>Desarrollo de la profesionalidad</t>
  </si>
  <si>
    <t>PRG.25</t>
  </si>
  <si>
    <t>PRG.26</t>
  </si>
  <si>
    <t>PRG.27</t>
  </si>
  <si>
    <t>PRG.28</t>
  </si>
  <si>
    <t>PRG.29</t>
  </si>
  <si>
    <t>PRG.30</t>
  </si>
  <si>
    <t>PRG.31</t>
  </si>
  <si>
    <t>PRG.32</t>
  </si>
  <si>
    <t>PRG.33</t>
  </si>
  <si>
    <t>PRG.34</t>
  </si>
  <si>
    <t>PRG.35</t>
  </si>
  <si>
    <t>PRG.36</t>
  </si>
  <si>
    <t>PRG.37</t>
  </si>
  <si>
    <t>PRG.38</t>
  </si>
  <si>
    <t>PRG.39</t>
  </si>
  <si>
    <t>PRG.40</t>
  </si>
  <si>
    <t>Nunca</t>
  </si>
  <si>
    <t>Casi nunca</t>
  </si>
  <si>
    <t>A veces</t>
  </si>
  <si>
    <t>Casi siempre</t>
  </si>
  <si>
    <t>Siempre</t>
  </si>
  <si>
    <t>Nunca%</t>
  </si>
  <si>
    <t>Casi nunca%</t>
  </si>
  <si>
    <t>A veces%</t>
  </si>
  <si>
    <t>Casi siempre%</t>
  </si>
  <si>
    <t>Siempre%</t>
  </si>
  <si>
    <t>Desempeño profesional</t>
  </si>
  <si>
    <t>Deficiente</t>
  </si>
  <si>
    <t>Eficiente</t>
  </si>
  <si>
    <t>Figura.5</t>
  </si>
  <si>
    <t>Item 25</t>
  </si>
  <si>
    <t>Item 26</t>
  </si>
  <si>
    <t>Item 27</t>
  </si>
  <si>
    <t>Item 28</t>
  </si>
  <si>
    <t>Item 29</t>
  </si>
  <si>
    <t>Item 30</t>
  </si>
  <si>
    <t>Item 31</t>
  </si>
  <si>
    <t>Item 32</t>
  </si>
  <si>
    <t>Item 33</t>
  </si>
  <si>
    <t>Item 34</t>
  </si>
  <si>
    <t>Item 35</t>
  </si>
  <si>
    <t>Item 36</t>
  </si>
  <si>
    <t>Item 37</t>
  </si>
  <si>
    <t>Item 38</t>
  </si>
  <si>
    <t>Item 39</t>
  </si>
  <si>
    <t>Item 40</t>
  </si>
  <si>
    <t>Tabla 25</t>
  </si>
  <si>
    <t>Tabla 26</t>
  </si>
  <si>
    <t>Tabla 27</t>
  </si>
  <si>
    <t>Tabla 28</t>
  </si>
  <si>
    <t>Tabla 29</t>
  </si>
  <si>
    <t>Tabla 30</t>
  </si>
  <si>
    <t>Tabla 31</t>
  </si>
  <si>
    <t>Tabla 32</t>
  </si>
  <si>
    <t>Tabla 33</t>
  </si>
  <si>
    <t>Tabla 34</t>
  </si>
  <si>
    <t>Tabla 35</t>
  </si>
  <si>
    <t>Tabla 36</t>
  </si>
  <si>
    <t>Tabla 37</t>
  </si>
  <si>
    <t>Tabla 38</t>
  </si>
  <si>
    <t>Tabla 39</t>
  </si>
  <si>
    <t>Tabla 40</t>
  </si>
  <si>
    <t>Figura. 25</t>
  </si>
  <si>
    <t>Figura. 26</t>
  </si>
  <si>
    <t>Figura. 27</t>
  </si>
  <si>
    <t>Figura. 28</t>
  </si>
  <si>
    <t>Figura. 29</t>
  </si>
  <si>
    <t>Figura. 30</t>
  </si>
  <si>
    <t>Figura. 31</t>
  </si>
  <si>
    <t>Figura. 32</t>
  </si>
  <si>
    <t>Figura. 33</t>
  </si>
  <si>
    <t>Figura. 34</t>
  </si>
  <si>
    <t>Figura. 35</t>
  </si>
  <si>
    <t>Figura. 36</t>
  </si>
  <si>
    <t>Figura. 37</t>
  </si>
  <si>
    <t>Figura. 38</t>
  </si>
  <si>
    <t>Figura. 39</t>
  </si>
  <si>
    <t>Figura. 40</t>
  </si>
  <si>
    <t>Dimensión 4</t>
  </si>
  <si>
    <t>Dimensión 1 Variable 1</t>
  </si>
  <si>
    <t>Dimensión 1 Variable 2</t>
  </si>
  <si>
    <t>Dimensión 2 Variable 2</t>
  </si>
  <si>
    <t>Dimensión 3 Variable 2</t>
  </si>
  <si>
    <t>Dimensión 4 Variable 2</t>
  </si>
  <si>
    <t>Dimensión 2 Variable 1</t>
  </si>
  <si>
    <t>Dimensión 3 Variable 1</t>
  </si>
  <si>
    <t>Pruebas de normalidad</t>
  </si>
  <si>
    <t>Kolmogorov-Smirnova</t>
  </si>
  <si>
    <t>Shapiro-Wilk</t>
  </si>
  <si>
    <t>Estadístico</t>
  </si>
  <si>
    <t>gl</t>
  </si>
  <si>
    <t>Sig.</t>
  </si>
  <si>
    <t>a. Corrección de significación de Lilliefors</t>
  </si>
  <si>
    <t>Correlaciones</t>
  </si>
  <si>
    <t>Correlación de Pearson</t>
  </si>
  <si>
    <t>Rho de Spearman</t>
  </si>
  <si>
    <t>Correlación de Rho de Spearman</t>
  </si>
  <si>
    <t>Sig. (bilateral)</t>
  </si>
  <si>
    <t>N</t>
  </si>
  <si>
    <t>**. La correlación es significativa en el nivel 0,01 (2 colas).</t>
  </si>
  <si>
    <t xml:space="preserve"> Dimensión </t>
  </si>
  <si>
    <t xml:space="preserve"> Prueba a utilizar  </t>
  </si>
  <si>
    <t xml:space="preserve"> decición </t>
  </si>
  <si>
    <t xml:space="preserve"> decición concreta  </t>
  </si>
  <si>
    <t>decición de prueba de relación</t>
  </si>
  <si>
    <t xml:space="preserve">Categorización </t>
  </si>
  <si>
    <t xml:space="preserve"> probabilidad de error </t>
  </si>
  <si>
    <t xml:space="preserve"> "r" </t>
  </si>
  <si>
    <t>"Rho"</t>
  </si>
  <si>
    <t>dimensiones</t>
  </si>
  <si>
    <t>Probabilidad de error</t>
  </si>
  <si>
    <t xml:space="preserve">Decición </t>
  </si>
  <si>
    <t>Variable 2</t>
  </si>
  <si>
    <t xml:space="preserve"> Variable </t>
  </si>
  <si>
    <t>Significado</t>
  </si>
  <si>
    <t>Correlación negativa perfecta</t>
  </si>
  <si>
    <t>Correlación negativa muy fuerte</t>
  </si>
  <si>
    <t>Correlación negativa considerable</t>
  </si>
  <si>
    <t>Correlación negativa media</t>
  </si>
  <si>
    <t>Correlación negativa débil</t>
  </si>
  <si>
    <t>Correlación negativa muy débil</t>
  </si>
  <si>
    <t>No existe correlación alguna entre las variables</t>
  </si>
  <si>
    <t>Correlación positiva muy débil</t>
  </si>
  <si>
    <t>Correlación positiva débil</t>
  </si>
  <si>
    <t>Correlación positiva media</t>
  </si>
  <si>
    <t>Correlación positiva considerable</t>
  </si>
  <si>
    <t>Correlación positiva muy fuerte</t>
  </si>
  <si>
    <t>Correlación positiva perfecta</t>
  </si>
</sst>
</file>

<file path=xl/styles.xml><?xml version="1.0" encoding="utf-8"?>
<styleSheet xmlns="http://schemas.openxmlformats.org/spreadsheetml/2006/main" xml:space="preserve">
  <numFmts count="0"/>
  <fonts count="9">
    <font>
      <b val="0"/>
      <i val="0"/>
      <strike val="0"/>
      <u val="none"/>
      <sz val="11"/>
      <color rgb="FF000000"/>
      <name val="Calibri"/>
    </font>
    <font>
      <b val="1"/>
      <i val="0"/>
      <strike val="0"/>
      <u val="none"/>
      <sz val="10"/>
      <color rgb="FF030303"/>
      <name val="Verdana"/>
    </font>
    <font>
      <b val="1"/>
      <i val="0"/>
      <strike val="0"/>
      <u val="none"/>
      <sz val="7"/>
      <color rgb="FF030303"/>
      <name val="Verdana"/>
    </font>
    <font>
      <b val="1"/>
      <i val="0"/>
      <strike val="0"/>
      <u val="none"/>
      <sz val="6"/>
      <color rgb="FF030303"/>
      <name val="Verdana"/>
    </font>
    <font>
      <b val="0"/>
      <i val="0"/>
      <strike val="0"/>
      <u val="none"/>
      <sz val="10"/>
      <color rgb="FF030303"/>
      <name val="Times New Roman"/>
    </font>
    <font>
      <b val="0"/>
      <i val="0"/>
      <strike val="0"/>
      <u val="none"/>
      <sz val="10"/>
      <color rgb="FF030303"/>
      <name val="Times new Roman"/>
    </font>
    <font>
      <b val="1"/>
      <i val="0"/>
      <strike val="0"/>
      <u val="none"/>
      <sz val="12"/>
      <color rgb="FF030303"/>
      <name val="Times New Roman"/>
    </font>
    <font>
      <b val="0"/>
      <i val="0"/>
      <strike val="0"/>
      <u val="none"/>
      <sz val="10"/>
      <color rgb="FFffffff"/>
      <name val="Times New Roman"/>
    </font>
    <font>
      <b val="1"/>
      <i val="0"/>
      <strike val="0"/>
      <u val="none"/>
      <sz val="10"/>
      <color rgb="FF030303"/>
      <name val="Times New Roman"/>
    </font>
  </fonts>
  <fills count="14">
    <fill>
      <patternFill patternType="none"/>
    </fill>
    <fill>
      <patternFill patternType="gray125">
        <fgColor rgb="FFFFFFFF"/>
        <bgColor rgb="FF000000"/>
      </patternFill>
    </fill>
    <fill>
      <patternFill patternType="solid">
        <fgColor rgb="E43B16"/>
        <bgColor rgb="FF000000"/>
      </patternFill>
    </fill>
    <fill>
      <patternFill patternType="solid">
        <fgColor rgb="2BAD56"/>
        <bgColor rgb="FF000000"/>
      </patternFill>
    </fill>
    <fill>
      <patternFill patternType="solid">
        <fgColor rgb="0000FF"/>
        <bgColor rgb="FF000000"/>
      </patternFill>
    </fill>
    <fill>
      <patternFill patternType="solid">
        <fgColor rgb="FFCC00"/>
        <bgColor rgb="FF000000"/>
      </patternFill>
    </fill>
    <fill>
      <patternFill patternType="solid">
        <fgColor rgb="8CC563"/>
        <bgColor rgb="FF000000"/>
      </patternFill>
    </fill>
    <fill>
      <patternFill patternType="solid">
        <fgColor rgb="bae704"/>
        <bgColor rgb="FF000000"/>
      </patternFill>
    </fill>
    <fill>
      <patternFill patternType="solid">
        <fgColor rgb="FF9ced1c"/>
        <bgColor rgb="FF000000"/>
      </patternFill>
    </fill>
    <fill>
      <patternFill patternType="solid">
        <fgColor rgb="FFd259e3"/>
        <bgColor rgb="FF000000"/>
      </patternFill>
    </fill>
    <fill>
      <patternFill patternType="solid">
        <fgColor rgb="FF3ea906"/>
        <bgColor rgb="FF000000"/>
      </patternFill>
    </fill>
    <fill>
      <patternFill patternType="solid">
        <fgColor rgb="FF5e011e"/>
        <bgColor rgb="FF000000"/>
      </patternFill>
    </fill>
    <fill>
      <patternFill patternType="solid">
        <fgColor rgb="FFe9d8ab"/>
        <bgColor rgb="FF000000"/>
      </patternFill>
    </fill>
    <fill>
      <patternFill patternType="solid">
        <fgColor rgb="FF948719"/>
        <bgColor rgb="FF000000"/>
      </patternFill>
    </fill>
  </fills>
  <borders count="4">
    <border/>
    <border>
      <right style="medium">
        <color rgb="FF000000"/>
      </right>
      <bottom style="thin">
        <color rgb="FF000000"/>
      </bottom>
    </border>
    <border>
      <bottom style="thin">
        <color rgb="FF000000"/>
      </bottom>
    </border>
    <border>
      <top style="thin">
        <color rgb="FF000000"/>
      </top>
      <bottom style="thin">
        <color rgb="FF000000"/>
      </bottom>
    </border>
  </borders>
  <cellStyleXfs count="1">
    <xf numFmtId="0" fontId="0" fillId="0" borderId="0"/>
  </cellStyleXfs>
  <cellXfs count="52">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0" numFmtId="0" fillId="3" borderId="1" applyFont="0" applyNumberFormat="0" applyFill="1" applyBorder="1" applyAlignment="0">
      <alignment horizontal="general" vertical="bottom" textRotation="0" wrapText="false" shrinkToFit="false"/>
    </xf>
    <xf xfId="0" fontId="2" numFmtId="0" fillId="3" borderId="1" applyFont="1" applyNumberFormat="0" applyFill="1" applyBorder="1"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9" fillId="0" borderId="0" applyFont="0" applyNumberFormat="1" applyFill="0" applyBorder="0" applyAlignment="0">
      <alignment horizontal="general" vertical="bottom" textRotation="0" wrapText="false" shrinkToFit="false"/>
    </xf>
    <xf xfId="0" fontId="1" numFmtId="0" fillId="4" borderId="1" applyFont="1" applyNumberFormat="0" applyFill="1" applyBorder="1"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0" numFmtId="0" fillId="5" borderId="1" applyFont="0" applyNumberFormat="0" applyFill="1" applyBorder="1" applyAlignment="0">
      <alignment horizontal="general" vertical="bottom" textRotation="0" wrapText="false" shrinkToFit="false"/>
    </xf>
    <xf xfId="0" fontId="3" numFmtId="0" fillId="5" borderId="1" applyFont="1" applyNumberFormat="0" applyFill="1" applyBorder="1"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0" numFmtId="0" fillId="6" borderId="0" applyFont="0" applyNumberFormat="0" applyFill="1" applyBorder="0"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4" numFmtId="9" fillId="0" borderId="0" applyFont="1"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4" numFmtId="0" fillId="0" borderId="3" applyFont="1" applyNumberFormat="0" applyFill="0" applyBorder="1" applyAlignment="1">
      <alignment horizontal="center" vertical="bottom" textRotation="0" wrapText="false" shrinkToFit="false"/>
    </xf>
    <xf xfId="0" fontId="4" numFmtId="0" fillId="0" borderId="2" applyFont="1" applyNumberFormat="0" applyFill="0" applyBorder="1" applyAlignment="1">
      <alignment horizontal="center" vertical="bottom" textRotation="0" wrapText="false" shrinkToFit="false"/>
    </xf>
    <xf xfId="0" fontId="0" numFmtId="0" fillId="0" borderId="3" applyFont="0" applyNumberFormat="0" applyFill="0" applyBorder="1" applyAlignment="1">
      <alignment horizontal="center" vertical="bottom" textRotation="0" wrapText="false" shrinkToFit="false"/>
    </xf>
    <xf xfId="0" fontId="4" numFmtId="9" fillId="0" borderId="0" applyFont="1" applyNumberFormat="1" applyFill="0" applyBorder="0" applyAlignment="1">
      <alignment horizontal="center" vertical="bottom" textRotation="0" wrapText="false" shrinkToFit="false"/>
    </xf>
    <xf xfId="0" fontId="4" numFmtId="9" fillId="0" borderId="3" applyFont="1" applyNumberFormat="1" applyFill="0" applyBorder="1" applyAlignment="1">
      <alignment horizontal="center"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2" applyFont="1" applyNumberFormat="0" applyFill="0" applyBorder="1" applyAlignment="1">
      <alignment horizontal="left" vertical="bottom" textRotation="0" wrapText="false" shrinkToFit="false"/>
    </xf>
    <xf xfId="0" fontId="4" numFmtId="0" fillId="0" borderId="0" applyFont="1" applyNumberFormat="0" applyFill="0" applyBorder="0" applyAlignment="1">
      <alignment horizontal="left" vertical="bottom" textRotation="0" wrapText="false" shrinkToFit="false"/>
    </xf>
    <xf xfId="0" fontId="4" numFmtId="0" fillId="0" borderId="0" applyFont="1" applyNumberFormat="0" applyFill="0" applyBorder="0" applyAlignment="1">
      <alignment horizontal="left" vertical="center" textRotation="0" wrapText="true" shrinkToFit="false"/>
    </xf>
    <xf xfId="0" fontId="0" numFmtId="0" fillId="7" borderId="0" applyFont="0"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6" numFmtId="0" fillId="5" borderId="1" applyFont="1" applyNumberFormat="0" applyFill="1" applyBorder="1" applyAlignment="1">
      <alignment horizontal="center" vertical="bottom" textRotation="0" wrapText="false" shrinkToFit="false"/>
    </xf>
    <xf xfId="0" fontId="0" numFmtId="9" fillId="0" borderId="0" applyFont="0" applyNumberFormat="1" applyFill="0" applyBorder="0" applyAlignment="1">
      <alignment horizontal="center" vertical="bottom" textRotation="0" wrapText="false" shrinkToFit="false"/>
    </xf>
    <xf xfId="0" fontId="4" numFmtId="0" fillId="0" borderId="3" applyFont="1" applyNumberFormat="0" applyFill="0" applyBorder="1" applyAlignment="1">
      <alignment horizontal="left" vertical="bottom" textRotation="0" wrapText="false" shrinkToFit="false"/>
    </xf>
    <xf xfId="0" fontId="7" numFmtId="0" fillId="0" borderId="0" applyFont="1" applyNumberFormat="0" applyFill="0" applyBorder="0" applyAlignment="0">
      <alignment horizontal="general" vertical="bottom" textRotation="0" wrapText="false" shrinkToFit="false"/>
    </xf>
    <xf xfId="0" fontId="7" numFmtId="9" fillId="0" borderId="0" applyFont="1"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6" borderId="0" applyFont="0" applyNumberFormat="0" applyFill="1" applyBorder="0" applyAlignment="1">
      <alignment horizontal="general" vertical="bottom" textRotation="0" wrapText="true" shrinkToFit="false"/>
    </xf>
    <xf xfId="0" fontId="0" numFmtId="0" fillId="7" borderId="0" applyFont="0" applyNumberFormat="0" applyFill="1" applyBorder="0" applyAlignment="1">
      <alignment horizontal="general" vertical="bottom" textRotation="0" wrapText="true" shrinkToFit="false"/>
    </xf>
    <xf xfId="0" fontId="0" numFmtId="0" fillId="8" borderId="0" applyFont="0"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true" shrinkToFit="false"/>
    </xf>
    <xf xfId="0" fontId="8" numFmtId="0" fillId="0" borderId="0" applyFont="1" applyNumberFormat="0" applyFill="0" applyBorder="0" applyAlignment="1">
      <alignment horizontal="center" vertical="center" textRotation="0" wrapText="true" shrinkToFit="false"/>
    </xf>
    <xf xfId="0" fontId="8" numFmtId="0" fillId="0" borderId="2"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0" numFmtId="0" fillId="9" borderId="0" applyFont="0" applyNumberFormat="0" applyFill="1" applyBorder="0" applyAlignment="0">
      <alignment horizontal="general" vertical="bottom" textRotation="0" wrapText="false" shrinkToFit="false"/>
    </xf>
    <xf xfId="0" fontId="0" numFmtId="0" fillId="10" borderId="0" applyFont="0" applyNumberFormat="0" applyFill="1" applyBorder="0" applyAlignment="0">
      <alignment horizontal="general" vertical="bottom" textRotation="0" wrapText="false" shrinkToFit="false"/>
    </xf>
    <xf xfId="0" fontId="0" numFmtId="0" fillId="11" borderId="0" applyFont="0" applyNumberFormat="0" applyFill="1" applyBorder="0" applyAlignment="0">
      <alignment horizontal="general" vertical="bottom" textRotation="0" wrapText="false" shrinkToFit="false"/>
    </xf>
    <xf xfId="0" fontId="0" numFmtId="0" fillId="12" borderId="0" applyFont="0" applyNumberFormat="0" applyFill="1" applyBorder="0" applyAlignment="0">
      <alignment horizontal="general" vertical="bottom" textRotation="0" wrapText="false" shrinkToFit="false"/>
    </xf>
    <xf xfId="0" fontId="0" numFmtId="0" fillId="13" borderId="0" applyFont="0" applyNumberFormat="0" applyFill="1" applyBorder="0" applyAlignment="0">
      <alignment horizontal="general" vertical="bottom" textRotation="0" wrapText="false" shrinkToFit="false"/>
    </xf>
    <xf xfId="0" fontId="0" numFmtId="2"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Dimension'!$O$19:$O$21</c:f>
              <c:strCache>
                <c:ptCount val="6"/>
              </c:strCache>
            </c:strRef>
          </c:cat>
          <c:val>
            <c:numRef>
              <c:f>'Por Valoracion (3) Dimension'!$S$19:$S$21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Dimension'!$AA$19:$AA$21</c:f>
              <c:strCache>
                <c:ptCount val="6"/>
              </c:strCache>
            </c:strRef>
          </c:cat>
          <c:val>
            <c:numRef>
              <c:f>'Por Valoracion (3) Dimension'!$AE$19:$AE$21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Dimension'!$AM$19:$AM$21</c:f>
              <c:strCache>
                <c:ptCount val="6"/>
              </c:strCache>
            </c:strRef>
          </c:cat>
          <c:val>
            <c:numRef>
              <c:f>'Por Valoracion (3) Dimension'!$AQ$19:$AQ$21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Dimension'!$AY$19:$AY$21</c:f>
              <c:strCache>
                <c:ptCount val="6"/>
              </c:strCache>
            </c:strRef>
          </c:cat>
          <c:val>
            <c:numRef>
              <c:f>'Por Valoracion (3) Dimension'!$BC$19:$BC$21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item'!$D$8:$D$12</c:f>
              <c:strCache>
                <c:ptCount val="6"/>
              </c:strCache>
            </c:strRef>
          </c:cat>
          <c:val>
            <c:numRef>
              <c:f>'Tabulacion por item'!$F$8:$F$12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item'!$M$8:$M$12</c:f>
              <c:strCache>
                <c:ptCount val="6"/>
              </c:strCache>
            </c:strRef>
          </c:cat>
          <c:val>
            <c:numRef>
              <c:f>'Tabulacion por item'!$O$8:$O$12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item'!$V$8:$V$12</c:f>
              <c:strCache>
                <c:ptCount val="6"/>
              </c:strCache>
            </c:strRef>
          </c:cat>
          <c:val>
            <c:numRef>
              <c:f>'Tabulacion por item'!$X$8:$X$12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item'!$AE$8:$AE$12</c:f>
              <c:strCache>
                <c:ptCount val="6"/>
              </c:strCache>
            </c:strRef>
          </c:cat>
          <c:val>
            <c:numRef>
              <c:f>'Tabulacion por item'!$AG$8:$AG$12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item'!$AN$8:$AN$12</c:f>
              <c:strCache>
                <c:ptCount val="6"/>
              </c:strCache>
            </c:strRef>
          </c:cat>
          <c:val>
            <c:numRef>
              <c:f>'Tabulacion por item'!$AP$8:$AP$12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item'!$AW$8:$AW$12</c:f>
              <c:strCache>
                <c:ptCount val="6"/>
              </c:strCache>
            </c:strRef>
          </c:cat>
          <c:val>
            <c:numRef>
              <c:f>'Tabulacion por item'!$AY$8:$AY$12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item'!$BF$8:$BF$12</c:f>
              <c:strCache>
                <c:ptCount val="6"/>
              </c:strCache>
            </c:strRef>
          </c:cat>
          <c:val>
            <c:numRef>
              <c:f>'Tabulacion por item'!$BH$8:$BH$12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item'!$BO$8:$BO$12</c:f>
              <c:strCache>
                <c:ptCount val="6"/>
              </c:strCache>
            </c:strRef>
          </c:cat>
          <c:val>
            <c:numRef>
              <c:f>'Tabulacion por item'!$BQ$8:$BQ$12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item'!$BX$8:$BX$12</c:f>
              <c:strCache>
                <c:ptCount val="6"/>
              </c:strCache>
            </c:strRef>
          </c:cat>
          <c:val>
            <c:numRef>
              <c:f>'Tabulacion por item'!$BZ$8:$BZ$12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item'!$CG$8:$CG$12</c:f>
              <c:strCache>
                <c:ptCount val="6"/>
              </c:strCache>
            </c:strRef>
          </c:cat>
          <c:val>
            <c:numRef>
              <c:f>'Tabulacion por item'!$CI$8:$CI$12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item'!$CP$8:$CP$12</c:f>
              <c:strCache>
                <c:ptCount val="6"/>
              </c:strCache>
            </c:strRef>
          </c:cat>
          <c:val>
            <c:numRef>
              <c:f>'Tabulacion por item'!$CR$8:$CR$12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item'!$CY$8:$CY$12</c:f>
              <c:strCache>
                <c:ptCount val="6"/>
              </c:strCache>
            </c:strRef>
          </c:cat>
          <c:val>
            <c:numRef>
              <c:f>'Tabulacion por item'!$DA$8:$DA$12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item'!$DH$8:$DH$12</c:f>
              <c:strCache>
                <c:ptCount val="6"/>
              </c:strCache>
            </c:strRef>
          </c:cat>
          <c:val>
            <c:numRef>
              <c:f>'Tabulacion por item'!$DJ$8:$DJ$12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item'!$DQ$8:$DQ$12</c:f>
              <c:strCache>
                <c:ptCount val="6"/>
              </c:strCache>
            </c:strRef>
          </c:cat>
          <c:val>
            <c:numRef>
              <c:f>'Tabulacion por item'!$DS$8:$DS$12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item'!$DZ$8:$DZ$12</c:f>
              <c:strCache>
                <c:ptCount val="6"/>
              </c:strCache>
            </c:strRef>
          </c:cat>
          <c:val>
            <c:numRef>
              <c:f>'Tabulacion por item'!$EB$8:$EB$12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item'!$EI$8:$EI$12</c:f>
              <c:strCache>
                <c:ptCount val="6"/>
              </c:strCache>
            </c:strRef>
          </c:cat>
          <c:val>
            <c:numRef>
              <c:f>'Tabulacion por item'!$EK$8:$EK$12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item'!$ER$8:$ER$12</c:f>
              <c:strCache>
                <c:ptCount val="6"/>
              </c:strCache>
            </c:strRef>
          </c:cat>
          <c:val>
            <c:numRef>
              <c:f>'Tabulacion por item'!$ET$8:$ET$12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item'!$FA$8:$FA$12</c:f>
              <c:strCache>
                <c:ptCount val="6"/>
              </c:strCache>
            </c:strRef>
          </c:cat>
          <c:val>
            <c:numRef>
              <c:f>'Tabulacion por item'!$FC$8:$FC$12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item'!$FJ$8:$FJ$12</c:f>
              <c:strCache>
                <c:ptCount val="6"/>
              </c:strCache>
            </c:strRef>
          </c:cat>
          <c:val>
            <c:numRef>
              <c:f>'Tabulacion por item'!$FL$8:$FL$12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item'!$FS$8:$FS$12</c:f>
              <c:strCache>
                <c:ptCount val="6"/>
              </c:strCache>
            </c:strRef>
          </c:cat>
          <c:val>
            <c:numRef>
              <c:f>'Tabulacion por item'!$FU$8:$FU$12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item'!$GB$8:$GB$12</c:f>
              <c:strCache>
                <c:ptCount val="6"/>
              </c:strCache>
            </c:strRef>
          </c:cat>
          <c:val>
            <c:numRef>
              <c:f>'Tabulacion por item'!$GD$8:$GD$12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item'!$GK$8:$GK$12</c:f>
              <c:strCache>
                <c:ptCount val="6"/>
              </c:strCache>
            </c:strRef>
          </c:cat>
          <c:val>
            <c:numRef>
              <c:f>'Tabulacion por item'!$GM$8:$GM$12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item'!$GT$8:$GT$12</c:f>
              <c:strCache>
                <c:ptCount val="6"/>
              </c:strCache>
            </c:strRef>
          </c:cat>
          <c:val>
            <c:numRef>
              <c:f>'Tabulacion por item'!$GV$8:$GV$12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item'!$HC$8:$HC$12</c:f>
              <c:strCache>
                <c:ptCount val="6"/>
              </c:strCache>
            </c:strRef>
          </c:cat>
          <c:val>
            <c:numRef>
              <c:f>'Tabulacion por item'!$HE$8:$HE$12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Dimension'!$D$8:$D$12</c:f>
              <c:strCache>
                <c:ptCount val="6"/>
              </c:strCache>
            </c:strRef>
          </c:cat>
          <c:val>
            <c:numRef>
              <c:f>'Por conteo Dimension'!$F$8:$F$12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Dimension'!$M$8:$M$12</c:f>
              <c:strCache>
                <c:ptCount val="6"/>
              </c:strCache>
            </c:strRef>
          </c:cat>
          <c:val>
            <c:numRef>
              <c:f>'Por conteo Dimension'!$O$8:$O$12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Dimension'!$V$8:$V$12</c:f>
              <c:strCache>
                <c:ptCount val="6"/>
              </c:strCache>
            </c:strRef>
          </c:cat>
          <c:val>
            <c:numRef>
              <c:f>'Por conteo Dimension'!$X$8:$X$12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Dimension'!$AE$8:$AE$12</c:f>
              <c:strCache>
                <c:ptCount val="6"/>
              </c:strCache>
            </c:strRef>
          </c:cat>
          <c:val>
            <c:numRef>
              <c:f>'Por conteo Dimension'!$AG$8:$AG$12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2'!$Q$19:$Q$21</c:f>
              <c:strCache>
                <c:ptCount val="6"/>
              </c:strCache>
            </c:strRef>
          </c:cat>
          <c:val>
            <c:numRef>
              <c:f>'Por Valoracion (3) Dimension 2'!$U$19:$U$21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2'!$AC$19:$AC$21</c:f>
              <c:strCache>
                <c:ptCount val="6"/>
              </c:strCache>
            </c:strRef>
          </c:cat>
          <c:val>
            <c:numRef>
              <c:f>'Por Valoracion (3) Dimension 2'!$AG$19:$AG$21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2'!$AO$19:$AO$21</c:f>
              <c:strCache>
                <c:ptCount val="6"/>
              </c:strCache>
            </c:strRef>
          </c:cat>
          <c:val>
            <c:numRef>
              <c:f>'Por Valoracion (3) Dimension 2'!$AS$19:$AS$21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2'!$BA$19:$BA$21</c:f>
              <c:strCache>
                <c:ptCount val="6"/>
              </c:strCache>
            </c:strRef>
          </c:cat>
          <c:val>
            <c:numRef>
              <c:f>'Por Valoracion (3) Dimension 2'!$BE$19:$BE$21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2'!$BM$19:$BM$21</c:f>
              <c:strCache>
                <c:ptCount val="6"/>
              </c:strCache>
            </c:strRef>
          </c:cat>
          <c:val>
            <c:numRef>
              <c:f>'Por Valoracion (3) Dimension 2'!$BQ$19:$BQ$21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2'!$D$8:$D$12</c:f>
              <c:strCache>
                <c:ptCount val="6"/>
              </c:strCache>
            </c:strRef>
          </c:cat>
          <c:val>
            <c:numRef>
              <c:f>'Tabulacion por item 2'!$F$8:$F$12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2'!$M$8:$M$12</c:f>
              <c:strCache>
                <c:ptCount val="6"/>
              </c:strCache>
            </c:strRef>
          </c:cat>
          <c:val>
            <c:numRef>
              <c:f>'Tabulacion por item 2'!$O$8:$O$12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2'!$V$8:$V$12</c:f>
              <c:strCache>
                <c:ptCount val="6"/>
              </c:strCache>
            </c:strRef>
          </c:cat>
          <c:val>
            <c:numRef>
              <c:f>'Tabulacion por item 2'!$X$8:$X$12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2'!$AE$8:$AE$12</c:f>
              <c:strCache>
                <c:ptCount val="6"/>
              </c:strCache>
            </c:strRef>
          </c:cat>
          <c:val>
            <c:numRef>
              <c:f>'Tabulacion por item 2'!$AG$8:$AG$12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2'!$AN$8:$AN$12</c:f>
              <c:strCache>
                <c:ptCount val="6"/>
              </c:strCache>
            </c:strRef>
          </c:cat>
          <c:val>
            <c:numRef>
              <c:f>'Tabulacion por item 2'!$AP$8:$AP$12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2'!$AW$8:$AW$12</c:f>
              <c:strCache>
                <c:ptCount val="6"/>
              </c:strCache>
            </c:strRef>
          </c:cat>
          <c:val>
            <c:numRef>
              <c:f>'Tabulacion por item 2'!$AY$8:$AY$12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2'!$BF$8:$BF$12</c:f>
              <c:strCache>
                <c:ptCount val="6"/>
              </c:strCache>
            </c:strRef>
          </c:cat>
          <c:val>
            <c:numRef>
              <c:f>'Tabulacion por item 2'!$BH$8:$BH$12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2'!$BO$8:$BO$12</c:f>
              <c:strCache>
                <c:ptCount val="6"/>
              </c:strCache>
            </c:strRef>
          </c:cat>
          <c:val>
            <c:numRef>
              <c:f>'Tabulacion por item 2'!$BQ$8:$BQ$12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2'!$BX$8:$BX$12</c:f>
              <c:strCache>
                <c:ptCount val="6"/>
              </c:strCache>
            </c:strRef>
          </c:cat>
          <c:val>
            <c:numRef>
              <c:f>'Tabulacion por item 2'!$BZ$8:$BZ$12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2'!$CG$8:$CG$12</c:f>
              <c:strCache>
                <c:ptCount val="6"/>
              </c:strCache>
            </c:strRef>
          </c:cat>
          <c:val>
            <c:numRef>
              <c:f>'Tabulacion por item 2'!$CI$8:$CI$12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2'!$CP$8:$CP$12</c:f>
              <c:strCache>
                <c:ptCount val="6"/>
              </c:strCache>
            </c:strRef>
          </c:cat>
          <c:val>
            <c:numRef>
              <c:f>'Tabulacion por item 2'!$CR$8:$CR$12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2'!$CY$8:$CY$12</c:f>
              <c:strCache>
                <c:ptCount val="6"/>
              </c:strCache>
            </c:strRef>
          </c:cat>
          <c:val>
            <c:numRef>
              <c:f>'Tabulacion por item 2'!$DA$8:$DA$12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2'!$DH$8:$DH$12</c:f>
              <c:strCache>
                <c:ptCount val="6"/>
              </c:strCache>
            </c:strRef>
          </c:cat>
          <c:val>
            <c:numRef>
              <c:f>'Tabulacion por item 2'!$DJ$8:$DJ$12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2'!$DQ$8:$DQ$12</c:f>
              <c:strCache>
                <c:ptCount val="6"/>
              </c:strCache>
            </c:strRef>
          </c:cat>
          <c:val>
            <c:numRef>
              <c:f>'Tabulacion por item 2'!$DS$8:$DS$12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2'!$DZ$8:$DZ$12</c:f>
              <c:strCache>
                <c:ptCount val="6"/>
              </c:strCache>
            </c:strRef>
          </c:cat>
          <c:val>
            <c:numRef>
              <c:f>'Tabulacion por item 2'!$EB$8:$EB$12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2'!$EI$8:$EI$12</c:f>
              <c:strCache>
                <c:ptCount val="6"/>
              </c:strCache>
            </c:strRef>
          </c:cat>
          <c:val>
            <c:numRef>
              <c:f>'Tabulacion por item 2'!$EK$8:$EK$12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2'!$ER$8:$ER$12</c:f>
              <c:strCache>
                <c:ptCount val="6"/>
              </c:strCache>
            </c:strRef>
          </c:cat>
          <c:val>
            <c:numRef>
              <c:f>'Tabulacion por item 2'!$ET$8:$ET$12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2'!$FA$8:$FA$12</c:f>
              <c:strCache>
                <c:ptCount val="6"/>
              </c:strCache>
            </c:strRef>
          </c:cat>
          <c:val>
            <c:numRef>
              <c:f>'Tabulacion por item 2'!$FC$8:$FC$12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2'!$FJ$8:$FJ$12</c:f>
              <c:strCache>
                <c:ptCount val="6"/>
              </c:strCache>
            </c:strRef>
          </c:cat>
          <c:val>
            <c:numRef>
              <c:f>'Tabulacion por item 2'!$FL$8:$FL$12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2'!$FS$8:$FS$12</c:f>
              <c:strCache>
                <c:ptCount val="6"/>
              </c:strCache>
            </c:strRef>
          </c:cat>
          <c:val>
            <c:numRef>
              <c:f>'Tabulacion por item 2'!$FU$8:$FU$12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2'!$GB$8:$GB$12</c:f>
              <c:strCache>
                <c:ptCount val="6"/>
              </c:strCache>
            </c:strRef>
          </c:cat>
          <c:val>
            <c:numRef>
              <c:f>'Tabulacion por item 2'!$GD$8:$GD$12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2'!$GK$8:$GK$12</c:f>
              <c:strCache>
                <c:ptCount val="6"/>
              </c:strCache>
            </c:strRef>
          </c:cat>
          <c:val>
            <c:numRef>
              <c:f>'Tabulacion por item 2'!$GM$8:$GM$12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2'!$GT$8:$GT$12</c:f>
              <c:strCache>
                <c:ptCount val="6"/>
              </c:strCache>
            </c:strRef>
          </c:cat>
          <c:val>
            <c:numRef>
              <c:f>'Tabulacion por item 2'!$GV$8:$GV$12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2'!$HC$8:$HC$12</c:f>
              <c:strCache>
                <c:ptCount val="6"/>
              </c:strCache>
            </c:strRef>
          </c:cat>
          <c:val>
            <c:numRef>
              <c:f>'Tabulacion por item 2'!$HE$8:$HE$12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2'!$HL$8:$HL$12</c:f>
              <c:strCache>
                <c:ptCount val="6"/>
              </c:strCache>
            </c:strRef>
          </c:cat>
          <c:val>
            <c:numRef>
              <c:f>'Tabulacion por item 2'!$HN$8:$HN$12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2'!$HU$8:$HU$12</c:f>
              <c:strCache>
                <c:ptCount val="6"/>
              </c:strCache>
            </c:strRef>
          </c:cat>
          <c:val>
            <c:numRef>
              <c:f>'Tabulacion por item 2'!$HW$8:$HW$12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2'!$ID$8:$ID$12</c:f>
              <c:strCache>
                <c:ptCount val="6"/>
              </c:strCache>
            </c:strRef>
          </c:cat>
          <c:val>
            <c:numRef>
              <c:f>'Tabulacion por item 2'!$IF$8:$IF$12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2'!$IM$8:$IM$12</c:f>
              <c:strCache>
                <c:ptCount val="6"/>
              </c:strCache>
            </c:strRef>
          </c:cat>
          <c:val>
            <c:numRef>
              <c:f>'Tabulacion por item 2'!$IO$8:$IO$12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2'!$IV$8:$IV$12</c:f>
              <c:strCache>
                <c:ptCount val="6"/>
              </c:strCache>
            </c:strRef>
          </c:cat>
          <c:val>
            <c:numRef>
              <c:f>'Tabulacion por item 2'!$IX$8:$IX$12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2'!$JE$8:$JE$12</c:f>
              <c:strCache>
                <c:ptCount val="6"/>
              </c:strCache>
            </c:strRef>
          </c:cat>
          <c:val>
            <c:numRef>
              <c:f>'Tabulacion por item 2'!$JG$8:$JG$12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2'!$JN$8:$JN$12</c:f>
              <c:strCache>
                <c:ptCount val="6"/>
              </c:strCache>
            </c:strRef>
          </c:cat>
          <c:val>
            <c:numRef>
              <c:f>'Tabulacion por item 2'!$JP$8:$JP$12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2'!$JW$8:$JW$12</c:f>
              <c:strCache>
                <c:ptCount val="6"/>
              </c:strCache>
            </c:strRef>
          </c:cat>
          <c:val>
            <c:numRef>
              <c:f>'Tabulacion por item 2'!$JY$8:$JY$12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2'!$KF$8:$KF$12</c:f>
              <c:strCache>
                <c:ptCount val="6"/>
              </c:strCache>
            </c:strRef>
          </c:cat>
          <c:val>
            <c:numRef>
              <c:f>'Tabulacion por item 2'!$KH$8:$KH$12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2'!$KO$8:$KO$12</c:f>
              <c:strCache>
                <c:ptCount val="6"/>
              </c:strCache>
            </c:strRef>
          </c:cat>
          <c:val>
            <c:numRef>
              <c:f>'Tabulacion por item 2'!$KQ$8:$KQ$12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2'!$KX$8:$KX$12</c:f>
              <c:strCache>
                <c:ptCount val="6"/>
              </c:strCache>
            </c:strRef>
          </c:cat>
          <c:val>
            <c:numRef>
              <c:f>'Tabulacion por item 2'!$KZ$8:$KZ$12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2'!$LG$8:$LG$12</c:f>
              <c:strCache>
                <c:ptCount val="6"/>
              </c:strCache>
            </c:strRef>
          </c:cat>
          <c:val>
            <c:numRef>
              <c:f>'Tabulacion por item 2'!$LI$8:$LI$12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2'!$LP$8:$LP$12</c:f>
              <c:strCache>
                <c:ptCount val="6"/>
              </c:strCache>
            </c:strRef>
          </c:cat>
          <c:val>
            <c:numRef>
              <c:f>'Tabulacion por item 2'!$LR$8:$LR$12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2'!$LY$8:$LY$12</c:f>
              <c:strCache>
                <c:ptCount val="6"/>
              </c:strCache>
            </c:strRef>
          </c:cat>
          <c:val>
            <c:numRef>
              <c:f>'Tabulacion por item 2'!$MA$8:$MA$12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2'!$MH$8:$MH$12</c:f>
              <c:strCache>
                <c:ptCount val="6"/>
              </c:strCache>
            </c:strRef>
          </c:cat>
          <c:val>
            <c:numRef>
              <c:f>'Tabulacion por item 2'!$MJ$8:$MJ$12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2'!$MQ$8:$MQ$12</c:f>
              <c:strCache>
                <c:ptCount val="6"/>
              </c:strCache>
            </c:strRef>
          </c:cat>
          <c:val>
            <c:numRef>
              <c:f>'Tabulacion por item 2'!$MS$8:$MS$12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2'!$D$8:$D$12</c:f>
              <c:strCache>
                <c:ptCount val="6"/>
              </c:strCache>
            </c:strRef>
          </c:cat>
          <c:val>
            <c:numRef>
              <c:f>'Por conteo Dimension 2'!$F$8:$F$12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2'!$M$8:$M$12</c:f>
              <c:strCache>
                <c:ptCount val="6"/>
              </c:strCache>
            </c:strRef>
          </c:cat>
          <c:val>
            <c:numRef>
              <c:f>'Por conteo Dimension 2'!$O$8:$O$12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2'!$V$8:$V$12</c:f>
              <c:strCache>
                <c:ptCount val="6"/>
              </c:strCache>
            </c:strRef>
          </c:cat>
          <c:val>
            <c:numRef>
              <c:f>'Por conteo Dimension 2'!$X$8:$X$12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2'!$AE$8:$AE$12</c:f>
              <c:strCache>
                <c:ptCount val="6"/>
              </c:strCache>
            </c:strRef>
          </c:cat>
          <c:val>
            <c:numRef>
              <c:f>'Por conteo Dimension 2'!$AG$8:$AG$12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2'!$AN$8:$AN$12</c:f>
              <c:strCache>
                <c:ptCount val="6"/>
              </c:strCache>
            </c:strRef>
          </c:cat>
          <c:val>
            <c:numRef>
              <c:f>'Por conteo Dimension 2'!$AP$8:$AP$12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 Id="rId7" Type="http://schemas.openxmlformats.org/officeDocument/2006/relationships/chart" Target="../charts/chart11.xml"/><Relationship Id="rId8" Type="http://schemas.openxmlformats.org/officeDocument/2006/relationships/chart" Target="../charts/chart12.xml"/><Relationship Id="rId9" Type="http://schemas.openxmlformats.org/officeDocument/2006/relationships/chart" Target="../charts/chart13.xml"/><Relationship Id="rId10" Type="http://schemas.openxmlformats.org/officeDocument/2006/relationships/chart" Target="../charts/chart14.xml"/><Relationship Id="rId11" Type="http://schemas.openxmlformats.org/officeDocument/2006/relationships/chart" Target="../charts/chart15.xml"/><Relationship Id="rId12" Type="http://schemas.openxmlformats.org/officeDocument/2006/relationships/chart" Target="../charts/chart16.xml"/><Relationship Id="rId13" Type="http://schemas.openxmlformats.org/officeDocument/2006/relationships/chart" Target="../charts/chart17.xml"/><Relationship Id="rId14" Type="http://schemas.openxmlformats.org/officeDocument/2006/relationships/chart" Target="../charts/chart18.xml"/><Relationship Id="rId15" Type="http://schemas.openxmlformats.org/officeDocument/2006/relationships/chart" Target="../charts/chart19.xml"/><Relationship Id="rId16" Type="http://schemas.openxmlformats.org/officeDocument/2006/relationships/chart" Target="../charts/chart20.xml"/><Relationship Id="rId17" Type="http://schemas.openxmlformats.org/officeDocument/2006/relationships/chart" Target="../charts/chart21.xml"/><Relationship Id="rId18" Type="http://schemas.openxmlformats.org/officeDocument/2006/relationships/chart" Target="../charts/chart22.xml"/><Relationship Id="rId19" Type="http://schemas.openxmlformats.org/officeDocument/2006/relationships/chart" Target="../charts/chart23.xml"/><Relationship Id="rId20" Type="http://schemas.openxmlformats.org/officeDocument/2006/relationships/chart" Target="../charts/chart24.xml"/><Relationship Id="rId21" Type="http://schemas.openxmlformats.org/officeDocument/2006/relationships/chart" Target="../charts/chart25.xml"/><Relationship Id="rId22" Type="http://schemas.openxmlformats.org/officeDocument/2006/relationships/chart" Target="../charts/chart26.xml"/><Relationship Id="rId23" Type="http://schemas.openxmlformats.org/officeDocument/2006/relationships/chart" Target="../charts/chart27.xml"/><Relationship Id="rId24"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Relationship Id="rId3" Type="http://schemas.openxmlformats.org/officeDocument/2006/relationships/chart" Target="../charts/chart35.xml"/><Relationship Id="rId4" Type="http://schemas.openxmlformats.org/officeDocument/2006/relationships/chart" Target="../charts/chart36.xml"/><Relationship Id="rId5" Type="http://schemas.openxmlformats.org/officeDocument/2006/relationships/chart" Target="../charts/chart3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8.xml"/><Relationship Id="rId2" Type="http://schemas.openxmlformats.org/officeDocument/2006/relationships/chart" Target="../charts/chart39.xml"/><Relationship Id="rId3" Type="http://schemas.openxmlformats.org/officeDocument/2006/relationships/chart" Target="../charts/chart40.xml"/><Relationship Id="rId4" Type="http://schemas.openxmlformats.org/officeDocument/2006/relationships/chart" Target="../charts/chart41.xml"/><Relationship Id="rId5" Type="http://schemas.openxmlformats.org/officeDocument/2006/relationships/chart" Target="../charts/chart42.xml"/><Relationship Id="rId6" Type="http://schemas.openxmlformats.org/officeDocument/2006/relationships/chart" Target="../charts/chart43.xml"/><Relationship Id="rId7" Type="http://schemas.openxmlformats.org/officeDocument/2006/relationships/chart" Target="../charts/chart44.xml"/><Relationship Id="rId8" Type="http://schemas.openxmlformats.org/officeDocument/2006/relationships/chart" Target="../charts/chart45.xml"/><Relationship Id="rId9" Type="http://schemas.openxmlformats.org/officeDocument/2006/relationships/chart" Target="../charts/chart46.xml"/><Relationship Id="rId10" Type="http://schemas.openxmlformats.org/officeDocument/2006/relationships/chart" Target="../charts/chart47.xml"/><Relationship Id="rId11" Type="http://schemas.openxmlformats.org/officeDocument/2006/relationships/chart" Target="../charts/chart48.xml"/><Relationship Id="rId12" Type="http://schemas.openxmlformats.org/officeDocument/2006/relationships/chart" Target="../charts/chart49.xml"/><Relationship Id="rId13" Type="http://schemas.openxmlformats.org/officeDocument/2006/relationships/chart" Target="../charts/chart50.xml"/><Relationship Id="rId14" Type="http://schemas.openxmlformats.org/officeDocument/2006/relationships/chart" Target="../charts/chart51.xml"/><Relationship Id="rId15" Type="http://schemas.openxmlformats.org/officeDocument/2006/relationships/chart" Target="../charts/chart52.xml"/><Relationship Id="rId16" Type="http://schemas.openxmlformats.org/officeDocument/2006/relationships/chart" Target="../charts/chart53.xml"/><Relationship Id="rId17" Type="http://schemas.openxmlformats.org/officeDocument/2006/relationships/chart" Target="../charts/chart54.xml"/><Relationship Id="rId18" Type="http://schemas.openxmlformats.org/officeDocument/2006/relationships/chart" Target="../charts/chart55.xml"/><Relationship Id="rId19" Type="http://schemas.openxmlformats.org/officeDocument/2006/relationships/chart" Target="../charts/chart56.xml"/><Relationship Id="rId20" Type="http://schemas.openxmlformats.org/officeDocument/2006/relationships/chart" Target="../charts/chart57.xml"/><Relationship Id="rId21" Type="http://schemas.openxmlformats.org/officeDocument/2006/relationships/chart" Target="../charts/chart58.xml"/><Relationship Id="rId22" Type="http://schemas.openxmlformats.org/officeDocument/2006/relationships/chart" Target="../charts/chart59.xml"/><Relationship Id="rId23" Type="http://schemas.openxmlformats.org/officeDocument/2006/relationships/chart" Target="../charts/chart60.xml"/><Relationship Id="rId24" Type="http://schemas.openxmlformats.org/officeDocument/2006/relationships/chart" Target="../charts/chart61.xml"/><Relationship Id="rId25" Type="http://schemas.openxmlformats.org/officeDocument/2006/relationships/chart" Target="../charts/chart62.xml"/><Relationship Id="rId26" Type="http://schemas.openxmlformats.org/officeDocument/2006/relationships/chart" Target="../charts/chart63.xml"/><Relationship Id="rId27" Type="http://schemas.openxmlformats.org/officeDocument/2006/relationships/chart" Target="../charts/chart64.xml"/><Relationship Id="rId28" Type="http://schemas.openxmlformats.org/officeDocument/2006/relationships/chart" Target="../charts/chart65.xml"/><Relationship Id="rId29" Type="http://schemas.openxmlformats.org/officeDocument/2006/relationships/chart" Target="../charts/chart66.xml"/><Relationship Id="rId30" Type="http://schemas.openxmlformats.org/officeDocument/2006/relationships/chart" Target="../charts/chart67.xml"/><Relationship Id="rId31" Type="http://schemas.openxmlformats.org/officeDocument/2006/relationships/chart" Target="../charts/chart68.xml"/><Relationship Id="rId32" Type="http://schemas.openxmlformats.org/officeDocument/2006/relationships/chart" Target="../charts/chart69.xml"/><Relationship Id="rId33" Type="http://schemas.openxmlformats.org/officeDocument/2006/relationships/chart" Target="../charts/chart70.xml"/><Relationship Id="rId34" Type="http://schemas.openxmlformats.org/officeDocument/2006/relationships/chart" Target="../charts/chart71.xml"/><Relationship Id="rId35" Type="http://schemas.openxmlformats.org/officeDocument/2006/relationships/chart" Target="../charts/chart72.xml"/><Relationship Id="rId36" Type="http://schemas.openxmlformats.org/officeDocument/2006/relationships/chart" Target="../charts/chart73.xml"/><Relationship Id="rId37" Type="http://schemas.openxmlformats.org/officeDocument/2006/relationships/chart" Target="../charts/chart74.xml"/><Relationship Id="rId38" Type="http://schemas.openxmlformats.org/officeDocument/2006/relationships/chart" Target="../charts/chart75.xml"/><Relationship Id="rId39" Type="http://schemas.openxmlformats.org/officeDocument/2006/relationships/chart" Target="../charts/chart76.xml"/><Relationship Id="rId40" Type="http://schemas.openxmlformats.org/officeDocument/2006/relationships/chart" Target="../charts/chart7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8.xml"/><Relationship Id="rId2" Type="http://schemas.openxmlformats.org/officeDocument/2006/relationships/chart" Target="../charts/chart79.xml"/><Relationship Id="rId3" Type="http://schemas.openxmlformats.org/officeDocument/2006/relationships/chart" Target="../charts/chart80.xml"/><Relationship Id="rId4" Type="http://schemas.openxmlformats.org/officeDocument/2006/relationships/chart" Target="../charts/chart81.xml"/><Relationship Id="rId5" Type="http://schemas.openxmlformats.org/officeDocument/2006/relationships/chart" Target="../charts/chart82.xml"/></Relationships>
</file>

<file path=xl/drawings/drawing2.xml><?xml version="1.0" encoding="utf-8"?>
<xdr:wsDr xmlns:xdr="http://schemas.openxmlformats.org/drawingml/2006/spreadsheetDrawing" xmlns:a="http://schemas.openxmlformats.org/drawingml/2006/main">
  <xdr:twoCellAnchor>
    <xdr:from>
      <xdr:col>14</xdr:col>
      <xdr:colOff>0</xdr:colOff>
      <xdr:row>25</xdr:row>
      <xdr:rowOff>0</xdr:rowOff>
    </xdr:from>
    <xdr:to>
      <xdr:col>19</xdr:col>
      <xdr:colOff>95250</xdr:colOff>
      <xdr:row>41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25</xdr:row>
      <xdr:rowOff>0</xdr:rowOff>
    </xdr:from>
    <xdr:to>
      <xdr:col>31</xdr:col>
      <xdr:colOff>95250</xdr:colOff>
      <xdr:row>41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0</xdr:colOff>
      <xdr:row>25</xdr:row>
      <xdr:rowOff>0</xdr:rowOff>
    </xdr:from>
    <xdr:to>
      <xdr:col>43</xdr:col>
      <xdr:colOff>95250</xdr:colOff>
      <xdr:row>41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0</xdr:colOff>
      <xdr:row>25</xdr:row>
      <xdr:rowOff>0</xdr:rowOff>
    </xdr:from>
    <xdr:to>
      <xdr:col>55</xdr:col>
      <xdr:colOff>95250</xdr:colOff>
      <xdr:row>41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name="Chart 6" id="61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name="Chart 7" id="71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name="Chart 8" id="82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name="Chart 9" id="92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0</xdr:colOff>
      <xdr:row>17</xdr:row>
      <xdr:rowOff>0</xdr:rowOff>
    </xdr:from>
    <xdr:to>
      <xdr:col>87</xdr:col>
      <xdr:colOff>95250</xdr:colOff>
      <xdr:row>31</xdr:row>
      <xdr:rowOff>95250</xdr:rowOff>
    </xdr:to>
    <xdr:graphicFrame macro="">
      <xdr:nvGraphicFramePr>
        <xdr:cNvPr name="Chart 10" id="102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93</xdr:col>
      <xdr:colOff>0</xdr:colOff>
      <xdr:row>17</xdr:row>
      <xdr:rowOff>0</xdr:rowOff>
    </xdr:from>
    <xdr:to>
      <xdr:col>96</xdr:col>
      <xdr:colOff>95250</xdr:colOff>
      <xdr:row>31</xdr:row>
      <xdr:rowOff>95250</xdr:rowOff>
    </xdr:to>
    <xdr:graphicFrame macro="">
      <xdr:nvGraphicFramePr>
        <xdr:cNvPr name="Chart 11" id="112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102</xdr:col>
      <xdr:colOff>0</xdr:colOff>
      <xdr:row>17</xdr:row>
      <xdr:rowOff>0</xdr:rowOff>
    </xdr:from>
    <xdr:to>
      <xdr:col>105</xdr:col>
      <xdr:colOff>95250</xdr:colOff>
      <xdr:row>31</xdr:row>
      <xdr:rowOff>95250</xdr:rowOff>
    </xdr:to>
    <xdr:graphicFrame macro="">
      <xdr:nvGraphicFramePr>
        <xdr:cNvPr name="Chart 12" id="123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111</xdr:col>
      <xdr:colOff>0</xdr:colOff>
      <xdr:row>17</xdr:row>
      <xdr:rowOff>0</xdr:rowOff>
    </xdr:from>
    <xdr:to>
      <xdr:col>114</xdr:col>
      <xdr:colOff>95250</xdr:colOff>
      <xdr:row>31</xdr:row>
      <xdr:rowOff>95250</xdr:rowOff>
    </xdr:to>
    <xdr:graphicFrame macro="">
      <xdr:nvGraphicFramePr>
        <xdr:cNvPr name="Chart 13" id="133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120</xdr:col>
      <xdr:colOff>0</xdr:colOff>
      <xdr:row>17</xdr:row>
      <xdr:rowOff>0</xdr:rowOff>
    </xdr:from>
    <xdr:to>
      <xdr:col>123</xdr:col>
      <xdr:colOff>95250</xdr:colOff>
      <xdr:row>31</xdr:row>
      <xdr:rowOff>95250</xdr:rowOff>
    </xdr:to>
    <xdr:graphicFrame macro="">
      <xdr:nvGraphicFramePr>
        <xdr:cNvPr name="Chart 14" id="143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129</xdr:col>
      <xdr:colOff>0</xdr:colOff>
      <xdr:row>17</xdr:row>
      <xdr:rowOff>0</xdr:rowOff>
    </xdr:from>
    <xdr:to>
      <xdr:col>132</xdr:col>
      <xdr:colOff>95250</xdr:colOff>
      <xdr:row>31</xdr:row>
      <xdr:rowOff>95250</xdr:rowOff>
    </xdr:to>
    <xdr:graphicFrame macro="">
      <xdr:nvGraphicFramePr>
        <xdr:cNvPr name="Chart 15" id="153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138</xdr:col>
      <xdr:colOff>0</xdr:colOff>
      <xdr:row>17</xdr:row>
      <xdr:rowOff>0</xdr:rowOff>
    </xdr:from>
    <xdr:to>
      <xdr:col>141</xdr:col>
      <xdr:colOff>95250</xdr:colOff>
      <xdr:row>31</xdr:row>
      <xdr:rowOff>95250</xdr:rowOff>
    </xdr:to>
    <xdr:graphicFrame macro="">
      <xdr:nvGraphicFramePr>
        <xdr:cNvPr name="Chart 16" id="164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147</xdr:col>
      <xdr:colOff>0</xdr:colOff>
      <xdr:row>17</xdr:row>
      <xdr:rowOff>0</xdr:rowOff>
    </xdr:from>
    <xdr:to>
      <xdr:col>150</xdr:col>
      <xdr:colOff>95250</xdr:colOff>
      <xdr:row>31</xdr:row>
      <xdr:rowOff>95250</xdr:rowOff>
    </xdr:to>
    <xdr:graphicFrame macro="">
      <xdr:nvGraphicFramePr>
        <xdr:cNvPr name="Chart 17" id="174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156</xdr:col>
      <xdr:colOff>0</xdr:colOff>
      <xdr:row>17</xdr:row>
      <xdr:rowOff>0</xdr:rowOff>
    </xdr:from>
    <xdr:to>
      <xdr:col>159</xdr:col>
      <xdr:colOff>95250</xdr:colOff>
      <xdr:row>31</xdr:row>
      <xdr:rowOff>95250</xdr:rowOff>
    </xdr:to>
    <xdr:graphicFrame macro="">
      <xdr:nvGraphicFramePr>
        <xdr:cNvPr name="Chart 18" id="184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165</xdr:col>
      <xdr:colOff>0</xdr:colOff>
      <xdr:row>17</xdr:row>
      <xdr:rowOff>0</xdr:rowOff>
    </xdr:from>
    <xdr:to>
      <xdr:col>168</xdr:col>
      <xdr:colOff>95250</xdr:colOff>
      <xdr:row>31</xdr:row>
      <xdr:rowOff>95250</xdr:rowOff>
    </xdr:to>
    <xdr:graphicFrame macro="">
      <xdr:nvGraphicFramePr>
        <xdr:cNvPr name="Chart 19" id="194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174</xdr:col>
      <xdr:colOff>0</xdr:colOff>
      <xdr:row>17</xdr:row>
      <xdr:rowOff>0</xdr:rowOff>
    </xdr:from>
    <xdr:to>
      <xdr:col>177</xdr:col>
      <xdr:colOff>95250</xdr:colOff>
      <xdr:row>31</xdr:row>
      <xdr:rowOff>95250</xdr:rowOff>
    </xdr:to>
    <xdr:graphicFrame macro="">
      <xdr:nvGraphicFramePr>
        <xdr:cNvPr name="Chart 20" id="205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183</xdr:col>
      <xdr:colOff>0</xdr:colOff>
      <xdr:row>17</xdr:row>
      <xdr:rowOff>0</xdr:rowOff>
    </xdr:from>
    <xdr:to>
      <xdr:col>186</xdr:col>
      <xdr:colOff>95250</xdr:colOff>
      <xdr:row>31</xdr:row>
      <xdr:rowOff>95250</xdr:rowOff>
    </xdr:to>
    <xdr:graphicFrame macro="">
      <xdr:nvGraphicFramePr>
        <xdr:cNvPr name="Chart 21" id="215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192</xdr:col>
      <xdr:colOff>0</xdr:colOff>
      <xdr:row>17</xdr:row>
      <xdr:rowOff>0</xdr:rowOff>
    </xdr:from>
    <xdr:to>
      <xdr:col>195</xdr:col>
      <xdr:colOff>95250</xdr:colOff>
      <xdr:row>31</xdr:row>
      <xdr:rowOff>95250</xdr:rowOff>
    </xdr:to>
    <xdr:graphicFrame macro="">
      <xdr:nvGraphicFramePr>
        <xdr:cNvPr name="Chart 22" id="225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201</xdr:col>
      <xdr:colOff>0</xdr:colOff>
      <xdr:row>17</xdr:row>
      <xdr:rowOff>0</xdr:rowOff>
    </xdr:from>
    <xdr:to>
      <xdr:col>204</xdr:col>
      <xdr:colOff>95250</xdr:colOff>
      <xdr:row>31</xdr:row>
      <xdr:rowOff>95250</xdr:rowOff>
    </xdr:to>
    <xdr:graphicFrame macro="">
      <xdr:nvGraphicFramePr>
        <xdr:cNvPr name="Chart 23" id="235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210</xdr:col>
      <xdr:colOff>0</xdr:colOff>
      <xdr:row>17</xdr:row>
      <xdr:rowOff>0</xdr:rowOff>
    </xdr:from>
    <xdr:to>
      <xdr:col>213</xdr:col>
      <xdr:colOff>95250</xdr:colOff>
      <xdr:row>31</xdr:row>
      <xdr:rowOff>95250</xdr:rowOff>
    </xdr:to>
    <xdr:graphicFrame macro="">
      <xdr:nvGraphicFramePr>
        <xdr:cNvPr name="Chart 24" id="246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0</xdr:colOff>
      <xdr:row>25</xdr:row>
      <xdr:rowOff>0</xdr:rowOff>
    </xdr:from>
    <xdr:to>
      <xdr:col>21</xdr:col>
      <xdr:colOff>95250</xdr:colOff>
      <xdr:row>41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0</xdr:colOff>
      <xdr:row>25</xdr:row>
      <xdr:rowOff>0</xdr:rowOff>
    </xdr:from>
    <xdr:to>
      <xdr:col>33</xdr:col>
      <xdr:colOff>95250</xdr:colOff>
      <xdr:row>41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0</xdr:colOff>
      <xdr:row>25</xdr:row>
      <xdr:rowOff>0</xdr:rowOff>
    </xdr:from>
    <xdr:to>
      <xdr:col>45</xdr:col>
      <xdr:colOff>95250</xdr:colOff>
      <xdr:row>41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0</xdr:colOff>
      <xdr:row>25</xdr:row>
      <xdr:rowOff>0</xdr:rowOff>
    </xdr:from>
    <xdr:to>
      <xdr:col>57</xdr:col>
      <xdr:colOff>95250</xdr:colOff>
      <xdr:row>41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0</xdr:colOff>
      <xdr:row>25</xdr:row>
      <xdr:rowOff>0</xdr:rowOff>
    </xdr:from>
    <xdr:to>
      <xdr:col>69</xdr:col>
      <xdr:colOff>95250</xdr:colOff>
      <xdr:row>41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name="Chart 6" id="61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name="Chart 7" id="71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name="Chart 8" id="82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name="Chart 9" id="92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0</xdr:colOff>
      <xdr:row>17</xdr:row>
      <xdr:rowOff>0</xdr:rowOff>
    </xdr:from>
    <xdr:to>
      <xdr:col>87</xdr:col>
      <xdr:colOff>95250</xdr:colOff>
      <xdr:row>31</xdr:row>
      <xdr:rowOff>95250</xdr:rowOff>
    </xdr:to>
    <xdr:graphicFrame macro="">
      <xdr:nvGraphicFramePr>
        <xdr:cNvPr name="Chart 10" id="102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93</xdr:col>
      <xdr:colOff>0</xdr:colOff>
      <xdr:row>17</xdr:row>
      <xdr:rowOff>0</xdr:rowOff>
    </xdr:from>
    <xdr:to>
      <xdr:col>96</xdr:col>
      <xdr:colOff>95250</xdr:colOff>
      <xdr:row>31</xdr:row>
      <xdr:rowOff>95250</xdr:rowOff>
    </xdr:to>
    <xdr:graphicFrame macro="">
      <xdr:nvGraphicFramePr>
        <xdr:cNvPr name="Chart 11" id="112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102</xdr:col>
      <xdr:colOff>0</xdr:colOff>
      <xdr:row>17</xdr:row>
      <xdr:rowOff>0</xdr:rowOff>
    </xdr:from>
    <xdr:to>
      <xdr:col>105</xdr:col>
      <xdr:colOff>95250</xdr:colOff>
      <xdr:row>31</xdr:row>
      <xdr:rowOff>95250</xdr:rowOff>
    </xdr:to>
    <xdr:graphicFrame macro="">
      <xdr:nvGraphicFramePr>
        <xdr:cNvPr name="Chart 12" id="123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111</xdr:col>
      <xdr:colOff>0</xdr:colOff>
      <xdr:row>17</xdr:row>
      <xdr:rowOff>0</xdr:rowOff>
    </xdr:from>
    <xdr:to>
      <xdr:col>114</xdr:col>
      <xdr:colOff>95250</xdr:colOff>
      <xdr:row>31</xdr:row>
      <xdr:rowOff>95250</xdr:rowOff>
    </xdr:to>
    <xdr:graphicFrame macro="">
      <xdr:nvGraphicFramePr>
        <xdr:cNvPr name="Chart 13" id="133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120</xdr:col>
      <xdr:colOff>0</xdr:colOff>
      <xdr:row>17</xdr:row>
      <xdr:rowOff>0</xdr:rowOff>
    </xdr:from>
    <xdr:to>
      <xdr:col>123</xdr:col>
      <xdr:colOff>95250</xdr:colOff>
      <xdr:row>31</xdr:row>
      <xdr:rowOff>95250</xdr:rowOff>
    </xdr:to>
    <xdr:graphicFrame macro="">
      <xdr:nvGraphicFramePr>
        <xdr:cNvPr name="Chart 14" id="143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129</xdr:col>
      <xdr:colOff>0</xdr:colOff>
      <xdr:row>17</xdr:row>
      <xdr:rowOff>0</xdr:rowOff>
    </xdr:from>
    <xdr:to>
      <xdr:col>132</xdr:col>
      <xdr:colOff>95250</xdr:colOff>
      <xdr:row>31</xdr:row>
      <xdr:rowOff>95250</xdr:rowOff>
    </xdr:to>
    <xdr:graphicFrame macro="">
      <xdr:nvGraphicFramePr>
        <xdr:cNvPr name="Chart 15" id="153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138</xdr:col>
      <xdr:colOff>0</xdr:colOff>
      <xdr:row>17</xdr:row>
      <xdr:rowOff>0</xdr:rowOff>
    </xdr:from>
    <xdr:to>
      <xdr:col>141</xdr:col>
      <xdr:colOff>95250</xdr:colOff>
      <xdr:row>31</xdr:row>
      <xdr:rowOff>95250</xdr:rowOff>
    </xdr:to>
    <xdr:graphicFrame macro="">
      <xdr:nvGraphicFramePr>
        <xdr:cNvPr name="Chart 16" id="164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147</xdr:col>
      <xdr:colOff>0</xdr:colOff>
      <xdr:row>17</xdr:row>
      <xdr:rowOff>0</xdr:rowOff>
    </xdr:from>
    <xdr:to>
      <xdr:col>150</xdr:col>
      <xdr:colOff>95250</xdr:colOff>
      <xdr:row>31</xdr:row>
      <xdr:rowOff>95250</xdr:rowOff>
    </xdr:to>
    <xdr:graphicFrame macro="">
      <xdr:nvGraphicFramePr>
        <xdr:cNvPr name="Chart 17" id="174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156</xdr:col>
      <xdr:colOff>0</xdr:colOff>
      <xdr:row>17</xdr:row>
      <xdr:rowOff>0</xdr:rowOff>
    </xdr:from>
    <xdr:to>
      <xdr:col>159</xdr:col>
      <xdr:colOff>95250</xdr:colOff>
      <xdr:row>31</xdr:row>
      <xdr:rowOff>95250</xdr:rowOff>
    </xdr:to>
    <xdr:graphicFrame macro="">
      <xdr:nvGraphicFramePr>
        <xdr:cNvPr name="Chart 18" id="184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165</xdr:col>
      <xdr:colOff>0</xdr:colOff>
      <xdr:row>17</xdr:row>
      <xdr:rowOff>0</xdr:rowOff>
    </xdr:from>
    <xdr:to>
      <xdr:col>168</xdr:col>
      <xdr:colOff>95250</xdr:colOff>
      <xdr:row>31</xdr:row>
      <xdr:rowOff>95250</xdr:rowOff>
    </xdr:to>
    <xdr:graphicFrame macro="">
      <xdr:nvGraphicFramePr>
        <xdr:cNvPr name="Chart 19" id="194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174</xdr:col>
      <xdr:colOff>0</xdr:colOff>
      <xdr:row>17</xdr:row>
      <xdr:rowOff>0</xdr:rowOff>
    </xdr:from>
    <xdr:to>
      <xdr:col>177</xdr:col>
      <xdr:colOff>95250</xdr:colOff>
      <xdr:row>31</xdr:row>
      <xdr:rowOff>95250</xdr:rowOff>
    </xdr:to>
    <xdr:graphicFrame macro="">
      <xdr:nvGraphicFramePr>
        <xdr:cNvPr name="Chart 20" id="205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183</xdr:col>
      <xdr:colOff>0</xdr:colOff>
      <xdr:row>17</xdr:row>
      <xdr:rowOff>0</xdr:rowOff>
    </xdr:from>
    <xdr:to>
      <xdr:col>186</xdr:col>
      <xdr:colOff>95250</xdr:colOff>
      <xdr:row>31</xdr:row>
      <xdr:rowOff>95250</xdr:rowOff>
    </xdr:to>
    <xdr:graphicFrame macro="">
      <xdr:nvGraphicFramePr>
        <xdr:cNvPr name="Chart 21" id="215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192</xdr:col>
      <xdr:colOff>0</xdr:colOff>
      <xdr:row>17</xdr:row>
      <xdr:rowOff>0</xdr:rowOff>
    </xdr:from>
    <xdr:to>
      <xdr:col>195</xdr:col>
      <xdr:colOff>95250</xdr:colOff>
      <xdr:row>31</xdr:row>
      <xdr:rowOff>95250</xdr:rowOff>
    </xdr:to>
    <xdr:graphicFrame macro="">
      <xdr:nvGraphicFramePr>
        <xdr:cNvPr name="Chart 22" id="225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201</xdr:col>
      <xdr:colOff>0</xdr:colOff>
      <xdr:row>17</xdr:row>
      <xdr:rowOff>0</xdr:rowOff>
    </xdr:from>
    <xdr:to>
      <xdr:col>204</xdr:col>
      <xdr:colOff>95250</xdr:colOff>
      <xdr:row>31</xdr:row>
      <xdr:rowOff>95250</xdr:rowOff>
    </xdr:to>
    <xdr:graphicFrame macro="">
      <xdr:nvGraphicFramePr>
        <xdr:cNvPr name="Chart 23" id="235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210</xdr:col>
      <xdr:colOff>0</xdr:colOff>
      <xdr:row>17</xdr:row>
      <xdr:rowOff>0</xdr:rowOff>
    </xdr:from>
    <xdr:to>
      <xdr:col>213</xdr:col>
      <xdr:colOff>95250</xdr:colOff>
      <xdr:row>31</xdr:row>
      <xdr:rowOff>95250</xdr:rowOff>
    </xdr:to>
    <xdr:graphicFrame macro="">
      <xdr:nvGraphicFramePr>
        <xdr:cNvPr name="Chart 24" id="246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219</xdr:col>
      <xdr:colOff>0</xdr:colOff>
      <xdr:row>17</xdr:row>
      <xdr:rowOff>0</xdr:rowOff>
    </xdr:from>
    <xdr:to>
      <xdr:col>222</xdr:col>
      <xdr:colOff>95250</xdr:colOff>
      <xdr:row>31</xdr:row>
      <xdr:rowOff>95250</xdr:rowOff>
    </xdr:to>
    <xdr:graphicFrame macro="">
      <xdr:nvGraphicFramePr>
        <xdr:cNvPr name="Chart 25" id="256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228</xdr:col>
      <xdr:colOff>0</xdr:colOff>
      <xdr:row>17</xdr:row>
      <xdr:rowOff>0</xdr:rowOff>
    </xdr:from>
    <xdr:to>
      <xdr:col>231</xdr:col>
      <xdr:colOff>95250</xdr:colOff>
      <xdr:row>31</xdr:row>
      <xdr:rowOff>95250</xdr:rowOff>
    </xdr:to>
    <xdr:graphicFrame macro="">
      <xdr:nvGraphicFramePr>
        <xdr:cNvPr name="Chart 26" id="266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237</xdr:col>
      <xdr:colOff>0</xdr:colOff>
      <xdr:row>17</xdr:row>
      <xdr:rowOff>0</xdr:rowOff>
    </xdr:from>
    <xdr:to>
      <xdr:col>240</xdr:col>
      <xdr:colOff>95250</xdr:colOff>
      <xdr:row>31</xdr:row>
      <xdr:rowOff>95250</xdr:rowOff>
    </xdr:to>
    <xdr:graphicFrame macro="">
      <xdr:nvGraphicFramePr>
        <xdr:cNvPr name="Chart 27" id="276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246</xdr:col>
      <xdr:colOff>0</xdr:colOff>
      <xdr:row>17</xdr:row>
      <xdr:rowOff>0</xdr:rowOff>
    </xdr:from>
    <xdr:to>
      <xdr:col>249</xdr:col>
      <xdr:colOff>95250</xdr:colOff>
      <xdr:row>31</xdr:row>
      <xdr:rowOff>95250</xdr:rowOff>
    </xdr:to>
    <xdr:graphicFrame macro="">
      <xdr:nvGraphicFramePr>
        <xdr:cNvPr name="Chart 28" id="287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255</xdr:col>
      <xdr:colOff>0</xdr:colOff>
      <xdr:row>17</xdr:row>
      <xdr:rowOff>0</xdr:rowOff>
    </xdr:from>
    <xdr:to>
      <xdr:col>258</xdr:col>
      <xdr:colOff>95250</xdr:colOff>
      <xdr:row>31</xdr:row>
      <xdr:rowOff>95250</xdr:rowOff>
    </xdr:to>
    <xdr:graphicFrame macro="">
      <xdr:nvGraphicFramePr>
        <xdr:cNvPr name="Chart 29" id="297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264</xdr:col>
      <xdr:colOff>0</xdr:colOff>
      <xdr:row>17</xdr:row>
      <xdr:rowOff>0</xdr:rowOff>
    </xdr:from>
    <xdr:to>
      <xdr:col>267</xdr:col>
      <xdr:colOff>95250</xdr:colOff>
      <xdr:row>31</xdr:row>
      <xdr:rowOff>95250</xdr:rowOff>
    </xdr:to>
    <xdr:graphicFrame macro="">
      <xdr:nvGraphicFramePr>
        <xdr:cNvPr name="Chart 30" id="307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273</xdr:col>
      <xdr:colOff>0</xdr:colOff>
      <xdr:row>17</xdr:row>
      <xdr:rowOff>0</xdr:rowOff>
    </xdr:from>
    <xdr:to>
      <xdr:col>276</xdr:col>
      <xdr:colOff>95250</xdr:colOff>
      <xdr:row>31</xdr:row>
      <xdr:rowOff>95250</xdr:rowOff>
    </xdr:to>
    <xdr:graphicFrame macro="">
      <xdr:nvGraphicFramePr>
        <xdr:cNvPr name="Chart 31" id="317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282</xdr:col>
      <xdr:colOff>0</xdr:colOff>
      <xdr:row>17</xdr:row>
      <xdr:rowOff>0</xdr:rowOff>
    </xdr:from>
    <xdr:to>
      <xdr:col>285</xdr:col>
      <xdr:colOff>95250</xdr:colOff>
      <xdr:row>31</xdr:row>
      <xdr:rowOff>95250</xdr:rowOff>
    </xdr:to>
    <xdr:graphicFrame macro="">
      <xdr:nvGraphicFramePr>
        <xdr:cNvPr name="Chart 32" id="328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291</xdr:col>
      <xdr:colOff>0</xdr:colOff>
      <xdr:row>17</xdr:row>
      <xdr:rowOff>0</xdr:rowOff>
    </xdr:from>
    <xdr:to>
      <xdr:col>294</xdr:col>
      <xdr:colOff>95250</xdr:colOff>
      <xdr:row>31</xdr:row>
      <xdr:rowOff>95250</xdr:rowOff>
    </xdr:to>
    <xdr:graphicFrame macro="">
      <xdr:nvGraphicFramePr>
        <xdr:cNvPr name="Chart 33" id="338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300</xdr:col>
      <xdr:colOff>0</xdr:colOff>
      <xdr:row>17</xdr:row>
      <xdr:rowOff>0</xdr:rowOff>
    </xdr:from>
    <xdr:to>
      <xdr:col>303</xdr:col>
      <xdr:colOff>95250</xdr:colOff>
      <xdr:row>31</xdr:row>
      <xdr:rowOff>95250</xdr:rowOff>
    </xdr:to>
    <xdr:graphicFrame macro="">
      <xdr:nvGraphicFramePr>
        <xdr:cNvPr name="Chart 34" id="348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309</xdr:col>
      <xdr:colOff>0</xdr:colOff>
      <xdr:row>17</xdr:row>
      <xdr:rowOff>0</xdr:rowOff>
    </xdr:from>
    <xdr:to>
      <xdr:col>312</xdr:col>
      <xdr:colOff>95250</xdr:colOff>
      <xdr:row>31</xdr:row>
      <xdr:rowOff>95250</xdr:rowOff>
    </xdr:to>
    <xdr:graphicFrame macro="">
      <xdr:nvGraphicFramePr>
        <xdr:cNvPr name="Chart 35" id="358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318</xdr:col>
      <xdr:colOff>0</xdr:colOff>
      <xdr:row>17</xdr:row>
      <xdr:rowOff>0</xdr:rowOff>
    </xdr:from>
    <xdr:to>
      <xdr:col>321</xdr:col>
      <xdr:colOff>95250</xdr:colOff>
      <xdr:row>31</xdr:row>
      <xdr:rowOff>95250</xdr:rowOff>
    </xdr:to>
    <xdr:graphicFrame macro="">
      <xdr:nvGraphicFramePr>
        <xdr:cNvPr name="Chart 36" id="369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327</xdr:col>
      <xdr:colOff>0</xdr:colOff>
      <xdr:row>17</xdr:row>
      <xdr:rowOff>0</xdr:rowOff>
    </xdr:from>
    <xdr:to>
      <xdr:col>330</xdr:col>
      <xdr:colOff>95250</xdr:colOff>
      <xdr:row>31</xdr:row>
      <xdr:rowOff>95250</xdr:rowOff>
    </xdr:to>
    <xdr:graphicFrame macro="">
      <xdr:nvGraphicFramePr>
        <xdr:cNvPr name="Chart 37" id="379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336</xdr:col>
      <xdr:colOff>0</xdr:colOff>
      <xdr:row>17</xdr:row>
      <xdr:rowOff>0</xdr:rowOff>
    </xdr:from>
    <xdr:to>
      <xdr:col>339</xdr:col>
      <xdr:colOff>95250</xdr:colOff>
      <xdr:row>31</xdr:row>
      <xdr:rowOff>95250</xdr:rowOff>
    </xdr:to>
    <xdr:graphicFrame macro="">
      <xdr:nvGraphicFramePr>
        <xdr:cNvPr name="Chart 38" id="389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345</xdr:col>
      <xdr:colOff>0</xdr:colOff>
      <xdr:row>17</xdr:row>
      <xdr:rowOff>0</xdr:rowOff>
    </xdr:from>
    <xdr:to>
      <xdr:col>348</xdr:col>
      <xdr:colOff>95250</xdr:colOff>
      <xdr:row>31</xdr:row>
      <xdr:rowOff>95250</xdr:rowOff>
    </xdr:to>
    <xdr:graphicFrame macro="">
      <xdr:nvGraphicFramePr>
        <xdr:cNvPr name="Chart 39" id="399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354</xdr:col>
      <xdr:colOff>0</xdr:colOff>
      <xdr:row>17</xdr:row>
      <xdr:rowOff>0</xdr:rowOff>
    </xdr:from>
    <xdr:to>
      <xdr:col>357</xdr:col>
      <xdr:colOff>95250</xdr:colOff>
      <xdr:row>31</xdr:row>
      <xdr:rowOff>95250</xdr:rowOff>
    </xdr:to>
    <xdr:graphicFrame macro="">
      <xdr:nvGraphicFramePr>
        <xdr:cNvPr name="Chart 40" id="410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A1366"/>
  <sheetViews>
    <sheetView tabSelected="0" workbookViewId="0" showGridLines="true" showRowColHeaders="1">
      <selection activeCell="Y1366" sqref="Y1366"/>
    </sheetView>
  </sheetViews>
  <sheetFormatPr defaultRowHeight="14.4" outlineLevelRow="0" outlineLevelCol="0"/>
  <sheetData>
    <row r="1" spans="1:27">
      <c r="A1" s="1" t="s">
        <v>0</v>
      </c>
      <c r="B1" s="1"/>
      <c r="C1" s="1"/>
      <c r="D1" s="1"/>
      <c r="E1" s="1"/>
      <c r="F1" s="1"/>
      <c r="G1" s="1"/>
      <c r="H1" s="1"/>
      <c r="I1" s="1"/>
      <c r="J1" s="1"/>
      <c r="K1" s="1"/>
      <c r="L1" s="1"/>
      <c r="M1" s="1"/>
      <c r="N1" s="1"/>
      <c r="O1" s="1"/>
      <c r="P1" s="1"/>
      <c r="Q1" s="1"/>
      <c r="R1" s="1"/>
      <c r="S1" s="1"/>
      <c r="T1" s="1"/>
      <c r="U1" s="1"/>
      <c r="V1" s="1"/>
      <c r="W1" s="1"/>
      <c r="X1" s="1"/>
      <c r="Y1" s="1"/>
      <c r="Z1" s="1"/>
      <c r="AA1" s="1"/>
    </row>
    <row r="2" spans="1:27">
      <c r="A2" s="1"/>
      <c r="B2" s="1"/>
      <c r="C2" s="1"/>
      <c r="D2" s="1"/>
      <c r="E2" s="1"/>
      <c r="F2" s="1"/>
      <c r="G2" s="1"/>
      <c r="H2" s="1"/>
      <c r="I2" s="1"/>
      <c r="J2" s="1"/>
      <c r="K2" s="1"/>
      <c r="L2" s="1"/>
      <c r="M2" s="1"/>
      <c r="N2" s="1"/>
      <c r="O2" s="1"/>
      <c r="P2" s="1"/>
      <c r="Q2" s="1"/>
      <c r="R2" s="1"/>
      <c r="S2" s="1"/>
      <c r="T2" s="1"/>
      <c r="U2" s="1"/>
      <c r="V2" s="1"/>
      <c r="W2" s="1"/>
      <c r="X2" s="1"/>
      <c r="Y2" s="1"/>
      <c r="Z2" s="1"/>
      <c r="AA2" s="1"/>
    </row>
    <row r="3" spans="1:27">
      <c r="B3" s="3" t="s">
        <v>1</v>
      </c>
      <c r="C3" s="3"/>
      <c r="D3" s="3"/>
      <c r="E3" s="3"/>
      <c r="F3" s="3"/>
      <c r="G3" s="3"/>
      <c r="H3" s="3"/>
      <c r="I3" s="3"/>
      <c r="J3" s="3" t="s">
        <v>2</v>
      </c>
      <c r="K3" s="3"/>
      <c r="L3" s="3"/>
      <c r="M3" s="3"/>
      <c r="N3" s="3"/>
      <c r="O3" s="3"/>
      <c r="P3" s="3"/>
      <c r="Q3" s="3"/>
      <c r="R3" s="3" t="s">
        <v>3</v>
      </c>
      <c r="S3" s="3"/>
      <c r="T3" s="3"/>
      <c r="U3" s="3"/>
      <c r="V3" s="3"/>
      <c r="W3" s="3"/>
      <c r="X3" s="3"/>
      <c r="Y3" s="3"/>
      <c r="Z3" s="3" t="s">
        <v>4</v>
      </c>
      <c r="AA3" s="3" t="s">
        <v>5</v>
      </c>
    </row>
    <row r="4" spans="1:27">
      <c r="B4" s="2" t="s">
        <v>6</v>
      </c>
      <c r="C4" s="2" t="s">
        <v>7</v>
      </c>
      <c r="D4" s="2" t="s">
        <v>8</v>
      </c>
      <c r="E4" s="2" t="s">
        <v>9</v>
      </c>
      <c r="F4" s="2" t="s">
        <v>10</v>
      </c>
      <c r="G4" s="2" t="s">
        <v>11</v>
      </c>
      <c r="H4" s="2" t="s">
        <v>12</v>
      </c>
      <c r="I4" s="2" t="s">
        <v>13</v>
      </c>
      <c r="J4" s="2" t="s">
        <v>14</v>
      </c>
      <c r="K4" s="2" t="s">
        <v>15</v>
      </c>
      <c r="L4" s="2" t="s">
        <v>16</v>
      </c>
      <c r="M4" s="2" t="s">
        <v>17</v>
      </c>
      <c r="N4" s="2" t="s">
        <v>18</v>
      </c>
      <c r="O4" s="2" t="s">
        <v>19</v>
      </c>
      <c r="P4" s="2" t="s">
        <v>20</v>
      </c>
      <c r="Q4" s="2" t="s">
        <v>21</v>
      </c>
      <c r="R4" s="2" t="s">
        <v>22</v>
      </c>
      <c r="S4" s="2" t="s">
        <v>23</v>
      </c>
      <c r="T4" s="2" t="s">
        <v>24</v>
      </c>
      <c r="U4" s="2" t="s">
        <v>25</v>
      </c>
      <c r="V4" s="2" t="s">
        <v>26</v>
      </c>
      <c r="W4" s="2" t="s">
        <v>27</v>
      </c>
      <c r="X4" s="2" t="s">
        <v>28</v>
      </c>
      <c r="Y4" s="2" t="s">
        <v>29</v>
      </c>
    </row>
    <row r="5" spans="1:27">
      <c r="A5" s="4" t="s">
        <v>30</v>
      </c>
      <c r="B5" s="4">
        <v>3</v>
      </c>
      <c r="C5" s="4">
        <v>1</v>
      </c>
      <c r="D5" s="4">
        <v>4</v>
      </c>
      <c r="E5" s="4">
        <v>2</v>
      </c>
      <c r="F5" s="4">
        <v>3</v>
      </c>
      <c r="G5" s="4">
        <v>3</v>
      </c>
      <c r="H5" s="4">
        <v>2</v>
      </c>
      <c r="I5" s="4">
        <v>2</v>
      </c>
      <c r="J5" s="4">
        <v>3</v>
      </c>
      <c r="K5" s="4">
        <v>4</v>
      </c>
      <c r="L5" s="4">
        <v>2</v>
      </c>
      <c r="M5" s="4">
        <v>3</v>
      </c>
      <c r="N5" s="4">
        <v>3</v>
      </c>
      <c r="O5" s="4">
        <v>3</v>
      </c>
      <c r="P5" s="4">
        <v>3</v>
      </c>
      <c r="Q5" s="4">
        <v>3</v>
      </c>
      <c r="R5" s="4">
        <v>3</v>
      </c>
      <c r="S5" s="4">
        <v>1</v>
      </c>
      <c r="T5" s="4">
        <v>3</v>
      </c>
      <c r="U5" s="4">
        <v>3</v>
      </c>
      <c r="V5" s="4">
        <v>2</v>
      </c>
      <c r="W5" s="4">
        <v>3</v>
      </c>
      <c r="X5" s="4">
        <v>3</v>
      </c>
      <c r="Y5" s="4">
        <v>2</v>
      </c>
      <c r="Z5" s="4">
        <v>64</v>
      </c>
    </row>
    <row r="6" spans="1:27">
      <c r="A6" s="4" t="s">
        <v>31</v>
      </c>
      <c r="B6" s="4">
        <v>2</v>
      </c>
      <c r="C6" s="4">
        <v>1</v>
      </c>
      <c r="D6" s="4">
        <v>3</v>
      </c>
      <c r="E6" s="4">
        <v>3</v>
      </c>
      <c r="F6" s="4">
        <v>2</v>
      </c>
      <c r="G6" s="4">
        <v>4</v>
      </c>
      <c r="H6" s="4">
        <v>3</v>
      </c>
      <c r="I6" s="4">
        <v>4</v>
      </c>
      <c r="J6" s="4">
        <v>4</v>
      </c>
      <c r="K6" s="4">
        <v>4</v>
      </c>
      <c r="L6" s="4">
        <v>1</v>
      </c>
      <c r="M6" s="4">
        <v>3</v>
      </c>
      <c r="N6" s="4">
        <v>3</v>
      </c>
      <c r="O6" s="4">
        <v>4</v>
      </c>
      <c r="P6" s="4">
        <v>1</v>
      </c>
      <c r="Q6" s="4">
        <v>4</v>
      </c>
      <c r="R6" s="4">
        <v>4</v>
      </c>
      <c r="S6" s="4">
        <v>1</v>
      </c>
      <c r="T6" s="4">
        <v>3</v>
      </c>
      <c r="U6" s="4">
        <v>3</v>
      </c>
      <c r="V6" s="4">
        <v>4</v>
      </c>
      <c r="W6" s="4">
        <v>1</v>
      </c>
      <c r="X6" s="4">
        <v>3</v>
      </c>
      <c r="Y6" s="4">
        <v>4</v>
      </c>
      <c r="Z6" s="4">
        <v>69</v>
      </c>
    </row>
    <row r="7" spans="1:27">
      <c r="A7" s="4" t="s">
        <v>32</v>
      </c>
      <c r="B7" s="4">
        <v>2</v>
      </c>
      <c r="C7" s="4">
        <v>3</v>
      </c>
      <c r="D7" s="4">
        <v>2</v>
      </c>
      <c r="E7" s="4">
        <v>2</v>
      </c>
      <c r="F7" s="4">
        <v>1</v>
      </c>
      <c r="G7" s="4">
        <v>1</v>
      </c>
      <c r="H7" s="4">
        <v>2</v>
      </c>
      <c r="I7" s="4">
        <v>1</v>
      </c>
      <c r="J7" s="4">
        <v>2</v>
      </c>
      <c r="K7" s="4">
        <v>1</v>
      </c>
      <c r="L7" s="4">
        <v>3</v>
      </c>
      <c r="M7" s="4">
        <v>2</v>
      </c>
      <c r="N7" s="4">
        <v>2</v>
      </c>
      <c r="O7" s="4">
        <v>1</v>
      </c>
      <c r="P7" s="4">
        <v>1</v>
      </c>
      <c r="Q7" s="4">
        <v>1</v>
      </c>
      <c r="R7" s="4">
        <v>2</v>
      </c>
      <c r="S7" s="4">
        <v>2</v>
      </c>
      <c r="T7" s="4">
        <v>1</v>
      </c>
      <c r="U7" s="4">
        <v>2</v>
      </c>
      <c r="V7" s="4">
        <v>2</v>
      </c>
      <c r="W7" s="4">
        <v>2</v>
      </c>
      <c r="X7" s="4">
        <v>2</v>
      </c>
      <c r="Y7" s="4">
        <v>1</v>
      </c>
      <c r="Z7" s="4">
        <v>41</v>
      </c>
    </row>
    <row r="8" spans="1:27">
      <c r="A8" s="4" t="s">
        <v>33</v>
      </c>
      <c r="B8" s="4">
        <v>1</v>
      </c>
      <c r="C8" s="4">
        <v>2</v>
      </c>
      <c r="D8" s="4">
        <v>4</v>
      </c>
      <c r="E8" s="4">
        <v>4</v>
      </c>
      <c r="F8" s="4">
        <v>2</v>
      </c>
      <c r="G8" s="4">
        <v>2</v>
      </c>
      <c r="H8" s="4">
        <v>4</v>
      </c>
      <c r="I8" s="4">
        <v>2</v>
      </c>
      <c r="J8" s="4">
        <v>3</v>
      </c>
      <c r="K8" s="4">
        <v>3</v>
      </c>
      <c r="L8" s="4">
        <v>1</v>
      </c>
      <c r="M8" s="4">
        <v>3</v>
      </c>
      <c r="N8" s="4">
        <v>4</v>
      </c>
      <c r="O8" s="4">
        <v>4</v>
      </c>
      <c r="P8" s="4">
        <v>2</v>
      </c>
      <c r="Q8" s="4">
        <v>4</v>
      </c>
      <c r="R8" s="4">
        <v>4</v>
      </c>
      <c r="S8" s="4">
        <v>2</v>
      </c>
      <c r="T8" s="4">
        <v>4</v>
      </c>
      <c r="U8" s="4">
        <v>4</v>
      </c>
      <c r="V8" s="4">
        <v>3</v>
      </c>
      <c r="W8" s="4">
        <v>2</v>
      </c>
      <c r="X8" s="4">
        <v>4</v>
      </c>
      <c r="Y8" s="4">
        <v>4</v>
      </c>
      <c r="Z8" s="4">
        <v>72</v>
      </c>
    </row>
    <row r="9" spans="1:27">
      <c r="A9" s="4" t="s">
        <v>34</v>
      </c>
      <c r="B9" s="4">
        <v>3</v>
      </c>
      <c r="C9" s="4">
        <v>2</v>
      </c>
      <c r="D9" s="4">
        <v>3</v>
      </c>
      <c r="E9" s="4">
        <v>3</v>
      </c>
      <c r="F9" s="4">
        <v>1</v>
      </c>
      <c r="G9" s="4">
        <v>4</v>
      </c>
      <c r="H9" s="4">
        <v>3</v>
      </c>
      <c r="I9" s="4">
        <v>3</v>
      </c>
      <c r="J9" s="4">
        <v>4</v>
      </c>
      <c r="K9" s="4">
        <v>3</v>
      </c>
      <c r="L9" s="4">
        <v>2</v>
      </c>
      <c r="M9" s="4">
        <v>4</v>
      </c>
      <c r="N9" s="4">
        <v>4</v>
      </c>
      <c r="O9" s="4">
        <v>2</v>
      </c>
      <c r="P9" s="4">
        <v>3</v>
      </c>
      <c r="Q9" s="4">
        <v>4</v>
      </c>
      <c r="R9" s="4">
        <v>4</v>
      </c>
      <c r="S9" s="4">
        <v>2</v>
      </c>
      <c r="T9" s="4">
        <v>4</v>
      </c>
      <c r="U9" s="4">
        <v>3</v>
      </c>
      <c r="V9" s="4">
        <v>3</v>
      </c>
      <c r="W9" s="4">
        <v>1</v>
      </c>
      <c r="X9" s="4">
        <v>3</v>
      </c>
      <c r="Y9" s="4">
        <v>4</v>
      </c>
      <c r="Z9" s="4">
        <v>72</v>
      </c>
    </row>
    <row r="10" spans="1:27">
      <c r="A10" s="4" t="s">
        <v>35</v>
      </c>
      <c r="B10" s="4">
        <v>1</v>
      </c>
      <c r="C10" s="4">
        <v>3</v>
      </c>
      <c r="D10" s="4">
        <v>5</v>
      </c>
      <c r="E10" s="4">
        <v>4</v>
      </c>
      <c r="F10" s="4">
        <v>2</v>
      </c>
      <c r="G10" s="4">
        <v>4</v>
      </c>
      <c r="H10" s="4">
        <v>5</v>
      </c>
      <c r="I10" s="4">
        <v>4</v>
      </c>
      <c r="J10" s="4">
        <v>4</v>
      </c>
      <c r="K10" s="4">
        <v>3</v>
      </c>
      <c r="L10" s="4">
        <v>2</v>
      </c>
      <c r="M10" s="4">
        <v>4</v>
      </c>
      <c r="N10" s="4">
        <v>5</v>
      </c>
      <c r="O10" s="4">
        <v>4</v>
      </c>
      <c r="P10" s="4">
        <v>2</v>
      </c>
      <c r="Q10" s="4">
        <v>5</v>
      </c>
      <c r="R10" s="4">
        <v>5</v>
      </c>
      <c r="S10" s="4">
        <v>3</v>
      </c>
      <c r="T10" s="4">
        <v>5</v>
      </c>
      <c r="U10" s="4">
        <v>5</v>
      </c>
      <c r="V10" s="4">
        <v>4</v>
      </c>
      <c r="W10" s="4">
        <v>2</v>
      </c>
      <c r="X10" s="4">
        <v>5</v>
      </c>
      <c r="Y10" s="4">
        <v>5</v>
      </c>
      <c r="Z10" s="4">
        <v>91</v>
      </c>
    </row>
    <row r="11" spans="1:27">
      <c r="A11" s="4" t="s">
        <v>36</v>
      </c>
      <c r="B11" s="4">
        <v>1</v>
      </c>
      <c r="C11" s="4">
        <v>3</v>
      </c>
      <c r="D11" s="4">
        <v>3</v>
      </c>
      <c r="E11" s="4">
        <v>3</v>
      </c>
      <c r="F11" s="4">
        <v>3</v>
      </c>
      <c r="G11" s="4">
        <v>3</v>
      </c>
      <c r="H11" s="4">
        <v>4</v>
      </c>
      <c r="I11" s="4">
        <v>2</v>
      </c>
      <c r="J11" s="4">
        <v>2</v>
      </c>
      <c r="K11" s="4">
        <v>2</v>
      </c>
      <c r="L11" s="4">
        <v>3</v>
      </c>
      <c r="M11" s="4">
        <v>3</v>
      </c>
      <c r="N11" s="4">
        <v>3</v>
      </c>
      <c r="O11" s="4">
        <v>3</v>
      </c>
      <c r="P11" s="4">
        <v>1</v>
      </c>
      <c r="Q11" s="4">
        <v>4</v>
      </c>
      <c r="R11" s="4">
        <v>3</v>
      </c>
      <c r="S11" s="4">
        <v>2</v>
      </c>
      <c r="T11" s="4">
        <v>3</v>
      </c>
      <c r="U11" s="4">
        <v>2</v>
      </c>
      <c r="V11" s="4">
        <v>3</v>
      </c>
      <c r="W11" s="4">
        <v>3</v>
      </c>
      <c r="X11" s="4">
        <v>3</v>
      </c>
      <c r="Y11" s="4">
        <v>2</v>
      </c>
      <c r="Z11" s="4">
        <v>64</v>
      </c>
    </row>
    <row r="12" spans="1:27">
      <c r="A12" s="4" t="s">
        <v>37</v>
      </c>
      <c r="B12" s="4">
        <v>3</v>
      </c>
      <c r="C12" s="4">
        <v>1</v>
      </c>
      <c r="D12" s="4">
        <v>1</v>
      </c>
      <c r="E12" s="4">
        <v>2</v>
      </c>
      <c r="F12" s="4">
        <v>3</v>
      </c>
      <c r="G12" s="4">
        <v>1</v>
      </c>
      <c r="H12" s="4">
        <v>1</v>
      </c>
      <c r="I12" s="4">
        <v>2</v>
      </c>
      <c r="J12" s="4">
        <v>1</v>
      </c>
      <c r="K12" s="4">
        <v>2</v>
      </c>
      <c r="L12" s="4">
        <v>2</v>
      </c>
      <c r="M12" s="4">
        <v>1</v>
      </c>
      <c r="N12" s="4">
        <v>1</v>
      </c>
      <c r="O12" s="4">
        <v>1</v>
      </c>
      <c r="P12" s="4">
        <v>2</v>
      </c>
      <c r="Q12" s="4">
        <v>1</v>
      </c>
      <c r="R12" s="4">
        <v>1</v>
      </c>
      <c r="S12" s="4">
        <v>2</v>
      </c>
      <c r="T12" s="4">
        <v>1</v>
      </c>
      <c r="U12" s="4">
        <v>1</v>
      </c>
      <c r="V12" s="4">
        <v>1</v>
      </c>
      <c r="W12" s="4">
        <v>2</v>
      </c>
      <c r="X12" s="4">
        <v>1</v>
      </c>
      <c r="Y12" s="4">
        <v>1</v>
      </c>
      <c r="Z12" s="4">
        <v>35</v>
      </c>
    </row>
    <row r="13" spans="1:27">
      <c r="A13" s="4" t="s">
        <v>38</v>
      </c>
      <c r="B13" s="4">
        <v>1</v>
      </c>
      <c r="C13" s="4">
        <v>2</v>
      </c>
      <c r="D13" s="4">
        <v>3</v>
      </c>
      <c r="E13" s="4">
        <v>3</v>
      </c>
      <c r="F13" s="4">
        <v>2</v>
      </c>
      <c r="G13" s="4">
        <v>2</v>
      </c>
      <c r="H13" s="4">
        <v>3</v>
      </c>
      <c r="I13" s="4">
        <v>3</v>
      </c>
      <c r="J13" s="4">
        <v>3</v>
      </c>
      <c r="K13" s="4">
        <v>3</v>
      </c>
      <c r="L13" s="4">
        <v>2</v>
      </c>
      <c r="M13" s="4">
        <v>3</v>
      </c>
      <c r="N13" s="4">
        <v>3</v>
      </c>
      <c r="O13" s="4">
        <v>3</v>
      </c>
      <c r="P13" s="4">
        <v>1</v>
      </c>
      <c r="Q13" s="4">
        <v>2</v>
      </c>
      <c r="R13" s="4">
        <v>3</v>
      </c>
      <c r="S13" s="4">
        <v>1</v>
      </c>
      <c r="T13" s="4">
        <v>3</v>
      </c>
      <c r="U13" s="4">
        <v>2</v>
      </c>
      <c r="V13" s="4">
        <v>3</v>
      </c>
      <c r="W13" s="4">
        <v>3</v>
      </c>
      <c r="X13" s="4">
        <v>3</v>
      </c>
      <c r="Y13" s="4">
        <v>3</v>
      </c>
      <c r="Z13" s="4">
        <v>60</v>
      </c>
    </row>
    <row r="14" spans="1:27">
      <c r="A14" s="4" t="s">
        <v>39</v>
      </c>
      <c r="B14" s="4">
        <v>3</v>
      </c>
      <c r="C14" s="4">
        <v>3</v>
      </c>
      <c r="D14" s="4">
        <v>3</v>
      </c>
      <c r="E14" s="4">
        <v>3</v>
      </c>
      <c r="F14" s="4">
        <v>2</v>
      </c>
      <c r="G14" s="4">
        <v>2</v>
      </c>
      <c r="H14" s="4">
        <v>4</v>
      </c>
      <c r="I14" s="4">
        <v>3</v>
      </c>
      <c r="J14" s="4">
        <v>3</v>
      </c>
      <c r="K14" s="4">
        <v>2</v>
      </c>
      <c r="L14" s="4">
        <v>2</v>
      </c>
      <c r="M14" s="4">
        <v>2</v>
      </c>
      <c r="N14" s="4">
        <v>4</v>
      </c>
      <c r="O14" s="4">
        <v>4</v>
      </c>
      <c r="P14" s="4">
        <v>3</v>
      </c>
      <c r="Q14" s="4">
        <v>2</v>
      </c>
      <c r="R14" s="4">
        <v>2</v>
      </c>
      <c r="S14" s="4">
        <v>2</v>
      </c>
      <c r="T14" s="4">
        <v>3</v>
      </c>
      <c r="U14" s="4">
        <v>2</v>
      </c>
      <c r="V14" s="4">
        <v>3</v>
      </c>
      <c r="W14" s="4">
        <v>2</v>
      </c>
      <c r="X14" s="4">
        <v>4</v>
      </c>
      <c r="Y14" s="4">
        <v>2</v>
      </c>
      <c r="Z14" s="4">
        <v>65</v>
      </c>
    </row>
    <row r="15" spans="1:27">
      <c r="A15" s="4" t="s">
        <v>40</v>
      </c>
      <c r="B15" s="4">
        <v>3</v>
      </c>
      <c r="C15" s="4">
        <v>3</v>
      </c>
      <c r="D15" s="4">
        <v>4</v>
      </c>
      <c r="E15" s="4">
        <v>4</v>
      </c>
      <c r="F15" s="4">
        <v>3</v>
      </c>
      <c r="G15" s="4">
        <v>5</v>
      </c>
      <c r="H15" s="4">
        <v>4</v>
      </c>
      <c r="I15" s="4">
        <v>5</v>
      </c>
      <c r="J15" s="4">
        <v>5</v>
      </c>
      <c r="K15" s="4">
        <v>5</v>
      </c>
      <c r="L15" s="4">
        <v>1</v>
      </c>
      <c r="M15" s="4">
        <v>4</v>
      </c>
      <c r="N15" s="4">
        <v>5</v>
      </c>
      <c r="O15" s="4">
        <v>4</v>
      </c>
      <c r="P15" s="4">
        <v>2</v>
      </c>
      <c r="Q15" s="4">
        <v>5</v>
      </c>
      <c r="R15" s="4">
        <v>5</v>
      </c>
      <c r="S15" s="4">
        <v>1</v>
      </c>
      <c r="T15" s="4">
        <v>3</v>
      </c>
      <c r="U15" s="4">
        <v>4</v>
      </c>
      <c r="V15" s="4">
        <v>3</v>
      </c>
      <c r="W15" s="4">
        <v>2</v>
      </c>
      <c r="X15" s="4">
        <v>3</v>
      </c>
      <c r="Y15" s="4">
        <v>5</v>
      </c>
      <c r="Z15" s="4">
        <v>88</v>
      </c>
    </row>
    <row r="16" spans="1:27">
      <c r="A16" s="4" t="s">
        <v>41</v>
      </c>
      <c r="B16" s="4">
        <v>2</v>
      </c>
      <c r="C16" s="4">
        <v>3</v>
      </c>
      <c r="D16" s="4">
        <v>5</v>
      </c>
      <c r="E16" s="4">
        <v>4</v>
      </c>
      <c r="F16" s="4">
        <v>2</v>
      </c>
      <c r="G16" s="4">
        <v>3</v>
      </c>
      <c r="H16" s="4">
        <v>4</v>
      </c>
      <c r="I16" s="4">
        <v>5</v>
      </c>
      <c r="J16" s="4">
        <v>4</v>
      </c>
      <c r="K16" s="4">
        <v>3</v>
      </c>
      <c r="L16" s="4">
        <v>3</v>
      </c>
      <c r="M16" s="4">
        <v>5</v>
      </c>
      <c r="N16" s="4">
        <v>4</v>
      </c>
      <c r="O16" s="4">
        <v>5</v>
      </c>
      <c r="P16" s="4">
        <v>2</v>
      </c>
      <c r="Q16" s="4">
        <v>5</v>
      </c>
      <c r="R16" s="4">
        <v>4</v>
      </c>
      <c r="S16" s="4">
        <v>2</v>
      </c>
      <c r="T16" s="4">
        <v>5</v>
      </c>
      <c r="U16" s="4">
        <v>4</v>
      </c>
      <c r="V16" s="4">
        <v>5</v>
      </c>
      <c r="W16" s="4">
        <v>3</v>
      </c>
      <c r="X16" s="4">
        <v>5</v>
      </c>
      <c r="Y16" s="4">
        <v>5</v>
      </c>
      <c r="Z16" s="4">
        <v>92</v>
      </c>
    </row>
    <row r="17" spans="1:27">
      <c r="A17" s="4" t="s">
        <v>42</v>
      </c>
      <c r="B17" s="4">
        <v>1</v>
      </c>
      <c r="C17" s="4">
        <v>2</v>
      </c>
      <c r="D17" s="4">
        <v>5</v>
      </c>
      <c r="E17" s="4">
        <v>4</v>
      </c>
      <c r="F17" s="4">
        <v>2</v>
      </c>
      <c r="G17" s="4">
        <v>3</v>
      </c>
      <c r="H17" s="4">
        <v>4</v>
      </c>
      <c r="I17" s="4">
        <v>4</v>
      </c>
      <c r="J17" s="4">
        <v>3</v>
      </c>
      <c r="K17" s="4">
        <v>4</v>
      </c>
      <c r="L17" s="4">
        <v>2</v>
      </c>
      <c r="M17" s="4">
        <v>4</v>
      </c>
      <c r="N17" s="4">
        <v>3</v>
      </c>
      <c r="O17" s="4">
        <v>4</v>
      </c>
      <c r="P17" s="4">
        <v>1</v>
      </c>
      <c r="Q17" s="4">
        <v>4</v>
      </c>
      <c r="R17" s="4">
        <v>3</v>
      </c>
      <c r="S17" s="4">
        <v>2</v>
      </c>
      <c r="T17" s="4">
        <v>3</v>
      </c>
      <c r="U17" s="4">
        <v>3</v>
      </c>
      <c r="V17" s="4">
        <v>3</v>
      </c>
      <c r="W17" s="4">
        <v>2</v>
      </c>
      <c r="X17" s="4">
        <v>4</v>
      </c>
      <c r="Y17" s="4">
        <v>4</v>
      </c>
      <c r="Z17" s="4">
        <v>74</v>
      </c>
    </row>
    <row r="18" spans="1:27">
      <c r="A18" s="4" t="s">
        <v>43</v>
      </c>
      <c r="B18" s="4">
        <v>1</v>
      </c>
      <c r="C18" s="4">
        <v>1</v>
      </c>
      <c r="D18" s="4">
        <v>3</v>
      </c>
      <c r="E18" s="4">
        <v>3</v>
      </c>
      <c r="F18" s="4">
        <v>2</v>
      </c>
      <c r="G18" s="4">
        <v>2</v>
      </c>
      <c r="H18" s="4">
        <v>2</v>
      </c>
      <c r="I18" s="4">
        <v>2</v>
      </c>
      <c r="J18" s="4">
        <v>3</v>
      </c>
      <c r="K18" s="4">
        <v>3</v>
      </c>
      <c r="L18" s="4">
        <v>1</v>
      </c>
      <c r="M18" s="4">
        <v>3</v>
      </c>
      <c r="N18" s="4">
        <v>3</v>
      </c>
      <c r="O18" s="4">
        <v>2</v>
      </c>
      <c r="P18" s="4">
        <v>2</v>
      </c>
      <c r="Q18" s="4">
        <v>2</v>
      </c>
      <c r="R18" s="4">
        <v>2</v>
      </c>
      <c r="S18" s="4">
        <v>1</v>
      </c>
      <c r="T18" s="4">
        <v>3</v>
      </c>
      <c r="U18" s="4">
        <v>2</v>
      </c>
      <c r="V18" s="4">
        <v>2</v>
      </c>
      <c r="W18" s="4">
        <v>2</v>
      </c>
      <c r="X18" s="4">
        <v>2</v>
      </c>
      <c r="Y18" s="4">
        <v>3</v>
      </c>
      <c r="Z18" s="4">
        <v>52</v>
      </c>
    </row>
    <row r="19" spans="1:27">
      <c r="A19" s="4" t="s">
        <v>44</v>
      </c>
      <c r="B19" s="4">
        <v>1</v>
      </c>
      <c r="C19" s="4">
        <v>2</v>
      </c>
      <c r="D19" s="4">
        <v>4</v>
      </c>
      <c r="E19" s="4">
        <v>4</v>
      </c>
      <c r="F19" s="4">
        <v>1</v>
      </c>
      <c r="G19" s="4">
        <v>3</v>
      </c>
      <c r="H19" s="4">
        <v>4</v>
      </c>
      <c r="I19" s="4">
        <v>2</v>
      </c>
      <c r="J19" s="4">
        <v>4</v>
      </c>
      <c r="K19" s="4">
        <v>4</v>
      </c>
      <c r="L19" s="4">
        <v>1</v>
      </c>
      <c r="M19" s="4">
        <v>4</v>
      </c>
      <c r="N19" s="4">
        <v>3</v>
      </c>
      <c r="O19" s="4">
        <v>4</v>
      </c>
      <c r="P19" s="4">
        <v>2</v>
      </c>
      <c r="Q19" s="4">
        <v>3</v>
      </c>
      <c r="R19" s="4">
        <v>2</v>
      </c>
      <c r="S19" s="4">
        <v>2</v>
      </c>
      <c r="T19" s="4">
        <v>4</v>
      </c>
      <c r="U19" s="4">
        <v>2</v>
      </c>
      <c r="V19" s="4">
        <v>2</v>
      </c>
      <c r="W19" s="4">
        <v>2</v>
      </c>
      <c r="X19" s="4">
        <v>3</v>
      </c>
      <c r="Y19" s="4">
        <v>4</v>
      </c>
      <c r="Z19" s="4">
        <v>67</v>
      </c>
    </row>
    <row r="20" spans="1:27">
      <c r="A20" s="4" t="s">
        <v>45</v>
      </c>
      <c r="B20" s="4">
        <v>1</v>
      </c>
      <c r="C20" s="4">
        <v>3</v>
      </c>
      <c r="D20" s="4">
        <v>3</v>
      </c>
      <c r="E20" s="4">
        <v>3</v>
      </c>
      <c r="F20" s="4">
        <v>1</v>
      </c>
      <c r="G20" s="4">
        <v>2</v>
      </c>
      <c r="H20" s="4">
        <v>4</v>
      </c>
      <c r="I20" s="4">
        <v>4</v>
      </c>
      <c r="J20" s="4">
        <v>3</v>
      </c>
      <c r="K20" s="4">
        <v>3</v>
      </c>
      <c r="L20" s="4">
        <v>3</v>
      </c>
      <c r="M20" s="4">
        <v>3</v>
      </c>
      <c r="N20" s="4">
        <v>2</v>
      </c>
      <c r="O20" s="4">
        <v>2</v>
      </c>
      <c r="P20" s="4">
        <v>3</v>
      </c>
      <c r="Q20" s="4">
        <v>3</v>
      </c>
      <c r="R20" s="4">
        <v>3</v>
      </c>
      <c r="S20" s="4">
        <v>2</v>
      </c>
      <c r="T20" s="4">
        <v>3</v>
      </c>
      <c r="U20" s="4">
        <v>2</v>
      </c>
      <c r="V20" s="4">
        <v>3</v>
      </c>
      <c r="W20" s="4">
        <v>1</v>
      </c>
      <c r="X20" s="4">
        <v>2</v>
      </c>
      <c r="Y20" s="4">
        <v>4</v>
      </c>
      <c r="Z20" s="4">
        <v>63</v>
      </c>
    </row>
    <row r="21" spans="1:27">
      <c r="A21" s="4" t="s">
        <v>46</v>
      </c>
      <c r="B21" s="4">
        <v>1</v>
      </c>
      <c r="C21" s="4">
        <v>2</v>
      </c>
      <c r="D21" s="4">
        <v>3</v>
      </c>
      <c r="E21" s="4">
        <v>3</v>
      </c>
      <c r="F21" s="4">
        <v>2</v>
      </c>
      <c r="G21" s="4">
        <v>4</v>
      </c>
      <c r="H21" s="4">
        <v>3</v>
      </c>
      <c r="I21" s="4">
        <v>3</v>
      </c>
      <c r="J21" s="4">
        <v>2</v>
      </c>
      <c r="K21" s="4">
        <v>3</v>
      </c>
      <c r="L21" s="4">
        <v>1</v>
      </c>
      <c r="M21" s="4">
        <v>2</v>
      </c>
      <c r="N21" s="4">
        <v>3</v>
      </c>
      <c r="O21" s="4">
        <v>4</v>
      </c>
      <c r="P21" s="4">
        <v>1</v>
      </c>
      <c r="Q21" s="4">
        <v>3</v>
      </c>
      <c r="R21" s="4">
        <v>3</v>
      </c>
      <c r="S21" s="4">
        <v>2</v>
      </c>
      <c r="T21" s="4">
        <v>2</v>
      </c>
      <c r="U21" s="4">
        <v>3</v>
      </c>
      <c r="V21" s="4">
        <v>3</v>
      </c>
      <c r="W21" s="4">
        <v>2</v>
      </c>
      <c r="X21" s="4">
        <v>3</v>
      </c>
      <c r="Y21" s="4">
        <v>3</v>
      </c>
      <c r="Z21" s="4">
        <v>61</v>
      </c>
    </row>
    <row r="22" spans="1:27">
      <c r="A22" s="4" t="s">
        <v>47</v>
      </c>
      <c r="B22" s="4">
        <v>3</v>
      </c>
      <c r="C22" s="4">
        <v>2</v>
      </c>
      <c r="D22" s="4">
        <v>2</v>
      </c>
      <c r="E22" s="4">
        <v>3</v>
      </c>
      <c r="F22" s="4">
        <v>3</v>
      </c>
      <c r="G22" s="4">
        <v>2</v>
      </c>
      <c r="H22" s="4">
        <v>2</v>
      </c>
      <c r="I22" s="4">
        <v>3</v>
      </c>
      <c r="J22" s="4">
        <v>2</v>
      </c>
      <c r="K22" s="4">
        <v>3</v>
      </c>
      <c r="L22" s="4">
        <v>3</v>
      </c>
      <c r="M22" s="4">
        <v>3</v>
      </c>
      <c r="N22" s="4">
        <v>2</v>
      </c>
      <c r="O22" s="4">
        <v>3</v>
      </c>
      <c r="P22" s="4">
        <v>2</v>
      </c>
      <c r="Q22" s="4">
        <v>3</v>
      </c>
      <c r="R22" s="4">
        <v>2</v>
      </c>
      <c r="S22" s="4">
        <v>3</v>
      </c>
      <c r="T22" s="4">
        <v>3</v>
      </c>
      <c r="U22" s="4">
        <v>3</v>
      </c>
      <c r="V22" s="4">
        <v>3</v>
      </c>
      <c r="W22" s="4">
        <v>2</v>
      </c>
      <c r="X22" s="4">
        <v>3</v>
      </c>
      <c r="Y22" s="4">
        <v>3</v>
      </c>
      <c r="Z22" s="4">
        <v>63</v>
      </c>
    </row>
    <row r="23" spans="1:27">
      <c r="A23" s="4" t="s">
        <v>48</v>
      </c>
      <c r="B23" s="4">
        <v>3</v>
      </c>
      <c r="C23" s="4">
        <v>2</v>
      </c>
      <c r="D23" s="4">
        <v>5</v>
      </c>
      <c r="E23" s="4">
        <v>5</v>
      </c>
      <c r="F23" s="4">
        <v>1</v>
      </c>
      <c r="G23" s="4">
        <v>3</v>
      </c>
      <c r="H23" s="4">
        <v>5</v>
      </c>
      <c r="I23" s="4">
        <v>5</v>
      </c>
      <c r="J23" s="4">
        <v>4</v>
      </c>
      <c r="K23" s="4">
        <v>4</v>
      </c>
      <c r="L23" s="4">
        <v>3</v>
      </c>
      <c r="M23" s="4">
        <v>5</v>
      </c>
      <c r="N23" s="4">
        <v>5</v>
      </c>
      <c r="O23" s="4">
        <v>4</v>
      </c>
      <c r="P23" s="4">
        <v>1</v>
      </c>
      <c r="Q23" s="4">
        <v>5</v>
      </c>
      <c r="R23" s="4">
        <v>5</v>
      </c>
      <c r="S23" s="4">
        <v>2</v>
      </c>
      <c r="T23" s="4">
        <v>3</v>
      </c>
      <c r="U23" s="4">
        <v>5</v>
      </c>
      <c r="V23" s="4">
        <v>5</v>
      </c>
      <c r="W23" s="4">
        <v>1</v>
      </c>
      <c r="X23" s="4">
        <v>5</v>
      </c>
      <c r="Y23" s="4">
        <v>5</v>
      </c>
      <c r="Z23" s="4">
        <v>91</v>
      </c>
    </row>
    <row r="24" spans="1:27">
      <c r="A24" s="4" t="s">
        <v>49</v>
      </c>
      <c r="B24" s="4">
        <v>2</v>
      </c>
      <c r="C24" s="4">
        <v>2</v>
      </c>
      <c r="D24" s="4">
        <v>4</v>
      </c>
      <c r="E24" s="4">
        <v>3</v>
      </c>
      <c r="F24" s="4">
        <v>2</v>
      </c>
      <c r="G24" s="4">
        <v>3</v>
      </c>
      <c r="H24" s="4">
        <v>3</v>
      </c>
      <c r="I24" s="4">
        <v>4</v>
      </c>
      <c r="J24" s="4">
        <v>3</v>
      </c>
      <c r="K24" s="4">
        <v>4</v>
      </c>
      <c r="L24" s="4">
        <v>1</v>
      </c>
      <c r="M24" s="4">
        <v>4</v>
      </c>
      <c r="N24" s="4">
        <v>3</v>
      </c>
      <c r="O24" s="4">
        <v>2</v>
      </c>
      <c r="P24" s="4">
        <v>2</v>
      </c>
      <c r="Q24" s="4">
        <v>4</v>
      </c>
      <c r="R24" s="4">
        <v>4</v>
      </c>
      <c r="S24" s="4">
        <v>2</v>
      </c>
      <c r="T24" s="4">
        <v>3</v>
      </c>
      <c r="U24" s="4">
        <v>3</v>
      </c>
      <c r="V24" s="4">
        <v>4</v>
      </c>
      <c r="W24" s="4">
        <v>2</v>
      </c>
      <c r="X24" s="4">
        <v>3</v>
      </c>
      <c r="Y24" s="4">
        <v>4</v>
      </c>
      <c r="Z24" s="4">
        <v>71</v>
      </c>
    </row>
    <row r="25" spans="1:27">
      <c r="A25" s="4" t="s">
        <v>50</v>
      </c>
      <c r="B25" s="4">
        <v>2</v>
      </c>
      <c r="C25" s="4">
        <v>1</v>
      </c>
      <c r="D25" s="4">
        <v>2</v>
      </c>
      <c r="E25" s="4">
        <v>3</v>
      </c>
      <c r="F25" s="4">
        <v>3</v>
      </c>
      <c r="G25" s="4">
        <v>3</v>
      </c>
      <c r="H25" s="4">
        <v>2</v>
      </c>
      <c r="I25" s="4">
        <v>2</v>
      </c>
      <c r="J25" s="4">
        <v>3</v>
      </c>
      <c r="K25" s="4">
        <v>2</v>
      </c>
      <c r="L25" s="4">
        <v>1</v>
      </c>
      <c r="M25" s="4">
        <v>3</v>
      </c>
      <c r="N25" s="4">
        <v>3</v>
      </c>
      <c r="O25" s="4">
        <v>3</v>
      </c>
      <c r="P25" s="4">
        <v>3</v>
      </c>
      <c r="Q25" s="4">
        <v>2</v>
      </c>
      <c r="R25" s="4">
        <v>2</v>
      </c>
      <c r="S25" s="4">
        <v>3</v>
      </c>
      <c r="T25" s="4">
        <v>2</v>
      </c>
      <c r="U25" s="4">
        <v>3</v>
      </c>
      <c r="V25" s="4">
        <v>2</v>
      </c>
      <c r="W25" s="4">
        <v>2</v>
      </c>
      <c r="X25" s="4">
        <v>3</v>
      </c>
      <c r="Y25" s="4">
        <v>3</v>
      </c>
      <c r="Z25" s="4">
        <v>58</v>
      </c>
    </row>
    <row r="26" spans="1:27">
      <c r="A26" s="4" t="s">
        <v>51</v>
      </c>
      <c r="B26" s="4">
        <v>2</v>
      </c>
      <c r="C26" s="4">
        <v>2</v>
      </c>
      <c r="D26" s="4">
        <v>1</v>
      </c>
      <c r="E26" s="4">
        <v>2</v>
      </c>
      <c r="F26" s="4">
        <v>3</v>
      </c>
      <c r="G26" s="4">
        <v>1</v>
      </c>
      <c r="H26" s="4">
        <v>1</v>
      </c>
      <c r="I26" s="4">
        <v>2</v>
      </c>
      <c r="J26" s="4">
        <v>2</v>
      </c>
      <c r="K26" s="4">
        <v>1</v>
      </c>
      <c r="L26" s="4">
        <v>2</v>
      </c>
      <c r="M26" s="4">
        <v>1</v>
      </c>
      <c r="N26" s="4">
        <v>2</v>
      </c>
      <c r="O26" s="4">
        <v>2</v>
      </c>
      <c r="P26" s="4">
        <v>1</v>
      </c>
      <c r="Q26" s="4">
        <v>1</v>
      </c>
      <c r="R26" s="4">
        <v>2</v>
      </c>
      <c r="S26" s="4">
        <v>1</v>
      </c>
      <c r="T26" s="4">
        <v>2</v>
      </c>
      <c r="U26" s="4">
        <v>2</v>
      </c>
      <c r="V26" s="4">
        <v>2</v>
      </c>
      <c r="W26" s="4">
        <v>1</v>
      </c>
      <c r="X26" s="4">
        <v>2</v>
      </c>
      <c r="Y26" s="4">
        <v>1</v>
      </c>
      <c r="Z26" s="4">
        <v>39</v>
      </c>
    </row>
    <row r="27" spans="1:27">
      <c r="A27" s="4" t="s">
        <v>52</v>
      </c>
      <c r="B27" s="4">
        <v>1</v>
      </c>
      <c r="C27" s="4">
        <v>1</v>
      </c>
      <c r="D27" s="4">
        <v>4</v>
      </c>
      <c r="E27" s="4">
        <v>5</v>
      </c>
      <c r="F27" s="4">
        <v>2</v>
      </c>
      <c r="G27" s="4">
        <v>5</v>
      </c>
      <c r="H27" s="4">
        <v>4</v>
      </c>
      <c r="I27" s="4">
        <v>5</v>
      </c>
      <c r="J27" s="4">
        <v>5</v>
      </c>
      <c r="K27" s="4">
        <v>5</v>
      </c>
      <c r="L27" s="4">
        <v>2</v>
      </c>
      <c r="M27" s="4">
        <v>4</v>
      </c>
      <c r="N27" s="4">
        <v>4</v>
      </c>
      <c r="O27" s="4">
        <v>5</v>
      </c>
      <c r="P27" s="4">
        <v>3</v>
      </c>
      <c r="Q27" s="4">
        <v>5</v>
      </c>
      <c r="R27" s="4">
        <v>5</v>
      </c>
      <c r="S27" s="4">
        <v>2</v>
      </c>
      <c r="T27" s="4">
        <v>5</v>
      </c>
      <c r="U27" s="4">
        <v>4</v>
      </c>
      <c r="V27" s="4">
        <v>5</v>
      </c>
      <c r="W27" s="4">
        <v>2</v>
      </c>
      <c r="X27" s="4">
        <v>4</v>
      </c>
      <c r="Y27" s="4">
        <v>4</v>
      </c>
      <c r="Z27" s="4">
        <v>91</v>
      </c>
    </row>
    <row r="28" spans="1:27">
      <c r="A28" s="4" t="s">
        <v>53</v>
      </c>
      <c r="B28" s="4">
        <v>1</v>
      </c>
      <c r="C28" s="4">
        <v>3</v>
      </c>
      <c r="D28" s="4">
        <v>2</v>
      </c>
      <c r="E28" s="4">
        <v>3</v>
      </c>
      <c r="F28" s="4">
        <v>2</v>
      </c>
      <c r="G28" s="4">
        <v>3</v>
      </c>
      <c r="H28" s="4">
        <v>3</v>
      </c>
      <c r="I28" s="4">
        <v>3</v>
      </c>
      <c r="J28" s="4">
        <v>3</v>
      </c>
      <c r="K28" s="4">
        <v>4</v>
      </c>
      <c r="L28" s="4">
        <v>2</v>
      </c>
      <c r="M28" s="4">
        <v>4</v>
      </c>
      <c r="N28" s="4">
        <v>2</v>
      </c>
      <c r="O28" s="4">
        <v>3</v>
      </c>
      <c r="P28" s="4">
        <v>2</v>
      </c>
      <c r="Q28" s="4">
        <v>3</v>
      </c>
      <c r="R28" s="4">
        <v>4</v>
      </c>
      <c r="S28" s="4">
        <v>2</v>
      </c>
      <c r="T28" s="4">
        <v>3</v>
      </c>
      <c r="U28" s="4">
        <v>4</v>
      </c>
      <c r="V28" s="4">
        <v>3</v>
      </c>
      <c r="W28" s="4">
        <v>2</v>
      </c>
      <c r="X28" s="4">
        <v>4</v>
      </c>
      <c r="Y28" s="4">
        <v>3</v>
      </c>
      <c r="Z28" s="4">
        <v>68</v>
      </c>
    </row>
    <row r="29" spans="1:27">
      <c r="A29" s="4" t="s">
        <v>54</v>
      </c>
      <c r="B29" s="4">
        <v>3</v>
      </c>
      <c r="C29" s="4">
        <v>3</v>
      </c>
      <c r="D29" s="4">
        <v>2</v>
      </c>
      <c r="E29" s="4">
        <v>3</v>
      </c>
      <c r="F29" s="4">
        <v>2</v>
      </c>
      <c r="G29" s="4">
        <v>3</v>
      </c>
      <c r="H29" s="4">
        <v>3</v>
      </c>
      <c r="I29" s="4">
        <v>2</v>
      </c>
      <c r="J29" s="4">
        <v>2</v>
      </c>
      <c r="K29" s="4">
        <v>3</v>
      </c>
      <c r="L29" s="4">
        <v>2</v>
      </c>
      <c r="M29" s="4">
        <v>3</v>
      </c>
      <c r="N29" s="4">
        <v>3</v>
      </c>
      <c r="O29" s="4">
        <v>2</v>
      </c>
      <c r="P29" s="4">
        <v>3</v>
      </c>
      <c r="Q29" s="4">
        <v>2</v>
      </c>
      <c r="R29" s="4">
        <v>2</v>
      </c>
      <c r="S29" s="4">
        <v>3</v>
      </c>
      <c r="T29" s="4">
        <v>2</v>
      </c>
      <c r="U29" s="4">
        <v>3</v>
      </c>
      <c r="V29" s="4">
        <v>2</v>
      </c>
      <c r="W29" s="4">
        <v>2</v>
      </c>
      <c r="X29" s="4">
        <v>3</v>
      </c>
      <c r="Y29" s="4">
        <v>3</v>
      </c>
      <c r="Z29" s="4">
        <v>61</v>
      </c>
    </row>
    <row r="30" spans="1:27">
      <c r="A30" s="4" t="s">
        <v>55</v>
      </c>
      <c r="B30" s="4">
        <v>2</v>
      </c>
      <c r="C30" s="4">
        <v>3</v>
      </c>
      <c r="D30" s="4">
        <v>3</v>
      </c>
      <c r="E30" s="4">
        <v>3</v>
      </c>
      <c r="F30" s="4">
        <v>2</v>
      </c>
      <c r="G30" s="4">
        <v>2</v>
      </c>
      <c r="H30" s="4">
        <v>2</v>
      </c>
      <c r="I30" s="4">
        <v>2</v>
      </c>
      <c r="J30" s="4">
        <v>3</v>
      </c>
      <c r="K30" s="4">
        <v>2</v>
      </c>
      <c r="L30" s="4">
        <v>2</v>
      </c>
      <c r="M30" s="4">
        <v>2</v>
      </c>
      <c r="N30" s="4">
        <v>3</v>
      </c>
      <c r="O30" s="4">
        <v>2</v>
      </c>
      <c r="P30" s="4">
        <v>1</v>
      </c>
      <c r="Q30" s="4">
        <v>2</v>
      </c>
      <c r="R30" s="4">
        <v>2</v>
      </c>
      <c r="S30" s="4">
        <v>3</v>
      </c>
      <c r="T30" s="4">
        <v>2</v>
      </c>
      <c r="U30" s="4">
        <v>1</v>
      </c>
      <c r="V30" s="4">
        <v>2</v>
      </c>
      <c r="W30" s="4">
        <v>2</v>
      </c>
      <c r="X30" s="4">
        <v>1</v>
      </c>
      <c r="Y30" s="4">
        <v>1</v>
      </c>
      <c r="Z30" s="4">
        <v>50</v>
      </c>
    </row>
    <row r="31" spans="1:27">
      <c r="A31" s="4" t="s">
        <v>56</v>
      </c>
      <c r="B31" s="4">
        <v>2</v>
      </c>
      <c r="C31" s="4">
        <v>3</v>
      </c>
      <c r="D31" s="4">
        <v>3</v>
      </c>
      <c r="E31" s="4">
        <v>2</v>
      </c>
      <c r="F31" s="4">
        <v>2</v>
      </c>
      <c r="G31" s="4">
        <v>3</v>
      </c>
      <c r="H31" s="4">
        <v>3</v>
      </c>
      <c r="I31" s="4">
        <v>3</v>
      </c>
      <c r="J31" s="4">
        <v>3</v>
      </c>
      <c r="K31" s="4">
        <v>3</v>
      </c>
      <c r="L31" s="4">
        <v>2</v>
      </c>
      <c r="M31" s="4">
        <v>3</v>
      </c>
      <c r="N31" s="4">
        <v>2</v>
      </c>
      <c r="O31" s="4">
        <v>4</v>
      </c>
      <c r="P31" s="4">
        <v>2</v>
      </c>
      <c r="Q31" s="4">
        <v>3</v>
      </c>
      <c r="R31" s="4">
        <v>2</v>
      </c>
      <c r="S31" s="4">
        <v>2</v>
      </c>
      <c r="T31" s="4">
        <v>3</v>
      </c>
      <c r="U31" s="4">
        <v>3</v>
      </c>
      <c r="V31" s="4">
        <v>3</v>
      </c>
      <c r="W31" s="4">
        <v>1</v>
      </c>
      <c r="X31" s="4">
        <v>3</v>
      </c>
      <c r="Y31" s="4">
        <v>4</v>
      </c>
      <c r="Z31" s="4">
        <v>64</v>
      </c>
    </row>
    <row r="32" spans="1:27">
      <c r="A32" s="4" t="s">
        <v>57</v>
      </c>
      <c r="B32" s="4">
        <v>3</v>
      </c>
      <c r="C32" s="4">
        <v>2</v>
      </c>
      <c r="D32" s="4">
        <v>4</v>
      </c>
      <c r="E32" s="4">
        <v>5</v>
      </c>
      <c r="F32" s="4">
        <v>2</v>
      </c>
      <c r="G32" s="4">
        <v>5</v>
      </c>
      <c r="H32" s="4">
        <v>5</v>
      </c>
      <c r="I32" s="4">
        <v>4</v>
      </c>
      <c r="J32" s="4">
        <v>5</v>
      </c>
      <c r="K32" s="4">
        <v>5</v>
      </c>
      <c r="L32" s="4">
        <v>1</v>
      </c>
      <c r="M32" s="4">
        <v>4</v>
      </c>
      <c r="N32" s="4">
        <v>5</v>
      </c>
      <c r="O32" s="4">
        <v>5</v>
      </c>
      <c r="P32" s="4">
        <v>2</v>
      </c>
      <c r="Q32" s="4">
        <v>5</v>
      </c>
      <c r="R32" s="4">
        <v>4</v>
      </c>
      <c r="S32" s="4">
        <v>3</v>
      </c>
      <c r="T32" s="4">
        <v>5</v>
      </c>
      <c r="U32" s="4">
        <v>5</v>
      </c>
      <c r="V32" s="4">
        <v>3</v>
      </c>
      <c r="W32" s="4">
        <v>2</v>
      </c>
      <c r="X32" s="4">
        <v>4</v>
      </c>
      <c r="Y32" s="4">
        <v>5</v>
      </c>
      <c r="Z32" s="4">
        <v>93</v>
      </c>
    </row>
    <row r="33" spans="1:27">
      <c r="A33" s="4" t="s">
        <v>58</v>
      </c>
      <c r="B33" s="4">
        <v>2</v>
      </c>
      <c r="C33" s="4">
        <v>2</v>
      </c>
      <c r="D33" s="4">
        <v>4</v>
      </c>
      <c r="E33" s="4">
        <v>4</v>
      </c>
      <c r="F33" s="4">
        <v>2</v>
      </c>
      <c r="G33" s="4">
        <v>3</v>
      </c>
      <c r="H33" s="4">
        <v>2</v>
      </c>
      <c r="I33" s="4">
        <v>3</v>
      </c>
      <c r="J33" s="4">
        <v>4</v>
      </c>
      <c r="K33" s="4">
        <v>3</v>
      </c>
      <c r="L33" s="4">
        <v>2</v>
      </c>
      <c r="M33" s="4">
        <v>3</v>
      </c>
      <c r="N33" s="4">
        <v>3</v>
      </c>
      <c r="O33" s="4">
        <v>3</v>
      </c>
      <c r="P33" s="4">
        <v>2</v>
      </c>
      <c r="Q33" s="4">
        <v>4</v>
      </c>
      <c r="R33" s="4">
        <v>3</v>
      </c>
      <c r="S33" s="4">
        <v>2</v>
      </c>
      <c r="T33" s="4">
        <v>3</v>
      </c>
      <c r="U33" s="4">
        <v>4</v>
      </c>
      <c r="V33" s="4">
        <v>3</v>
      </c>
      <c r="W33" s="4">
        <v>2</v>
      </c>
      <c r="X33" s="4">
        <v>3</v>
      </c>
      <c r="Y33" s="4">
        <v>3</v>
      </c>
      <c r="Z33" s="4">
        <v>69</v>
      </c>
    </row>
    <row r="34" spans="1:27">
      <c r="A34" s="4" t="s">
        <v>59</v>
      </c>
      <c r="B34" s="4">
        <v>3</v>
      </c>
      <c r="C34" s="4">
        <v>2</v>
      </c>
      <c r="D34" s="4">
        <v>3</v>
      </c>
      <c r="E34" s="4">
        <v>3</v>
      </c>
      <c r="F34" s="4">
        <v>2</v>
      </c>
      <c r="G34" s="4">
        <v>4</v>
      </c>
      <c r="H34" s="4">
        <v>3</v>
      </c>
      <c r="I34" s="4">
        <v>3</v>
      </c>
      <c r="J34" s="4">
        <v>2</v>
      </c>
      <c r="K34" s="4">
        <v>3</v>
      </c>
      <c r="L34" s="4">
        <v>2</v>
      </c>
      <c r="M34" s="4">
        <v>3</v>
      </c>
      <c r="N34" s="4">
        <v>4</v>
      </c>
      <c r="O34" s="4">
        <v>2</v>
      </c>
      <c r="P34" s="4">
        <v>1</v>
      </c>
      <c r="Q34" s="4">
        <v>4</v>
      </c>
      <c r="R34" s="4">
        <v>4</v>
      </c>
      <c r="S34" s="4">
        <v>2</v>
      </c>
      <c r="T34" s="4">
        <v>2</v>
      </c>
      <c r="U34" s="4">
        <v>3</v>
      </c>
      <c r="V34" s="4">
        <v>3</v>
      </c>
      <c r="W34" s="4">
        <v>3</v>
      </c>
      <c r="X34" s="4">
        <v>3</v>
      </c>
      <c r="Y34" s="4">
        <v>4</v>
      </c>
      <c r="Z34" s="4">
        <v>68</v>
      </c>
    </row>
    <row r="35" spans="1:27">
      <c r="A35" s="4" t="s">
        <v>60</v>
      </c>
      <c r="B35" s="4">
        <v>2</v>
      </c>
      <c r="C35" s="4">
        <v>2</v>
      </c>
      <c r="D35" s="4">
        <v>5</v>
      </c>
      <c r="E35" s="4">
        <v>4</v>
      </c>
      <c r="F35" s="4">
        <v>2</v>
      </c>
      <c r="G35" s="4">
        <v>4</v>
      </c>
      <c r="H35" s="4">
        <v>5</v>
      </c>
      <c r="I35" s="4">
        <v>5</v>
      </c>
      <c r="J35" s="4">
        <v>4</v>
      </c>
      <c r="K35" s="4">
        <v>4</v>
      </c>
      <c r="L35" s="4">
        <v>2</v>
      </c>
      <c r="M35" s="4">
        <v>4</v>
      </c>
      <c r="N35" s="4">
        <v>5</v>
      </c>
      <c r="O35" s="4">
        <v>4</v>
      </c>
      <c r="P35" s="4">
        <v>2</v>
      </c>
      <c r="Q35" s="4">
        <v>5</v>
      </c>
      <c r="R35" s="4">
        <v>5</v>
      </c>
      <c r="S35" s="4">
        <v>2</v>
      </c>
      <c r="T35" s="4">
        <v>5</v>
      </c>
      <c r="U35" s="4">
        <v>3</v>
      </c>
      <c r="V35" s="4">
        <v>3</v>
      </c>
      <c r="W35" s="4">
        <v>1</v>
      </c>
      <c r="X35" s="4">
        <v>5</v>
      </c>
      <c r="Y35" s="4">
        <v>5</v>
      </c>
      <c r="Z35" s="4">
        <v>88</v>
      </c>
    </row>
    <row r="36" spans="1:27">
      <c r="A36" s="4" t="s">
        <v>61</v>
      </c>
      <c r="B36" s="4">
        <v>3</v>
      </c>
      <c r="C36" s="4">
        <v>1</v>
      </c>
      <c r="D36" s="4">
        <v>5</v>
      </c>
      <c r="E36" s="4">
        <v>5</v>
      </c>
      <c r="F36" s="4">
        <v>2</v>
      </c>
      <c r="G36" s="4">
        <v>4</v>
      </c>
      <c r="H36" s="4">
        <v>3</v>
      </c>
      <c r="I36" s="4">
        <v>3</v>
      </c>
      <c r="J36" s="4">
        <v>5</v>
      </c>
      <c r="K36" s="4">
        <v>5</v>
      </c>
      <c r="L36" s="4">
        <v>3</v>
      </c>
      <c r="M36" s="4">
        <v>5</v>
      </c>
      <c r="N36" s="4">
        <v>5</v>
      </c>
      <c r="O36" s="4">
        <v>3</v>
      </c>
      <c r="P36" s="4">
        <v>3</v>
      </c>
      <c r="Q36" s="4">
        <v>5</v>
      </c>
      <c r="R36" s="4">
        <v>4</v>
      </c>
      <c r="S36" s="4">
        <v>2</v>
      </c>
      <c r="T36" s="4">
        <v>3</v>
      </c>
      <c r="U36" s="4">
        <v>5</v>
      </c>
      <c r="V36" s="4">
        <v>4</v>
      </c>
      <c r="W36" s="4">
        <v>2</v>
      </c>
      <c r="X36" s="4">
        <v>3</v>
      </c>
      <c r="Y36" s="4">
        <v>5</v>
      </c>
      <c r="Z36" s="4">
        <v>88</v>
      </c>
    </row>
    <row r="37" spans="1:27">
      <c r="A37" s="4" t="s">
        <v>62</v>
      </c>
      <c r="B37" s="4">
        <v>2</v>
      </c>
      <c r="C37" s="4">
        <v>2</v>
      </c>
      <c r="D37" s="4">
        <v>3</v>
      </c>
      <c r="E37" s="4">
        <v>3</v>
      </c>
      <c r="F37" s="4">
        <v>3</v>
      </c>
      <c r="G37" s="4">
        <v>4</v>
      </c>
      <c r="H37" s="4">
        <v>2</v>
      </c>
      <c r="I37" s="4">
        <v>3</v>
      </c>
      <c r="J37" s="4">
        <v>4</v>
      </c>
      <c r="K37" s="4">
        <v>4</v>
      </c>
      <c r="L37" s="4">
        <v>2</v>
      </c>
      <c r="M37" s="4">
        <v>4</v>
      </c>
      <c r="N37" s="4">
        <v>3</v>
      </c>
      <c r="O37" s="4">
        <v>3</v>
      </c>
      <c r="P37" s="4">
        <v>2</v>
      </c>
      <c r="Q37" s="4">
        <v>2</v>
      </c>
      <c r="R37" s="4">
        <v>3</v>
      </c>
      <c r="S37" s="4">
        <v>1</v>
      </c>
      <c r="T37" s="4">
        <v>3</v>
      </c>
      <c r="U37" s="4">
        <v>2</v>
      </c>
      <c r="V37" s="4">
        <v>4</v>
      </c>
      <c r="W37" s="4">
        <v>2</v>
      </c>
      <c r="X37" s="4">
        <v>4</v>
      </c>
      <c r="Y37" s="4">
        <v>4</v>
      </c>
      <c r="Z37" s="4">
        <v>69</v>
      </c>
    </row>
    <row r="38" spans="1:27">
      <c r="A38" s="4" t="s">
        <v>63</v>
      </c>
      <c r="B38" s="4">
        <v>1</v>
      </c>
      <c r="C38" s="4">
        <v>2</v>
      </c>
      <c r="D38" s="4">
        <v>3</v>
      </c>
      <c r="E38" s="4">
        <v>3</v>
      </c>
      <c r="F38" s="4">
        <v>3</v>
      </c>
      <c r="G38" s="4">
        <v>3</v>
      </c>
      <c r="H38" s="4">
        <v>3</v>
      </c>
      <c r="I38" s="4">
        <v>4</v>
      </c>
      <c r="J38" s="4">
        <v>4</v>
      </c>
      <c r="K38" s="4">
        <v>3</v>
      </c>
      <c r="L38" s="4">
        <v>2</v>
      </c>
      <c r="M38" s="4">
        <v>4</v>
      </c>
      <c r="N38" s="4">
        <v>3</v>
      </c>
      <c r="O38" s="4">
        <v>3</v>
      </c>
      <c r="P38" s="4">
        <v>2</v>
      </c>
      <c r="Q38" s="4">
        <v>3</v>
      </c>
      <c r="R38" s="4">
        <v>4</v>
      </c>
      <c r="S38" s="4">
        <v>2</v>
      </c>
      <c r="T38" s="4">
        <v>3</v>
      </c>
      <c r="U38" s="4">
        <v>3</v>
      </c>
      <c r="V38" s="4">
        <v>4</v>
      </c>
      <c r="W38" s="4">
        <v>2</v>
      </c>
      <c r="X38" s="4">
        <v>4</v>
      </c>
      <c r="Y38" s="4">
        <v>3</v>
      </c>
      <c r="Z38" s="4">
        <v>71</v>
      </c>
    </row>
    <row r="39" spans="1:27">
      <c r="A39" s="4" t="s">
        <v>64</v>
      </c>
      <c r="B39" s="4">
        <v>2</v>
      </c>
      <c r="C39" s="4">
        <v>2</v>
      </c>
      <c r="D39" s="4">
        <v>3</v>
      </c>
      <c r="E39" s="4">
        <v>4</v>
      </c>
      <c r="F39" s="4">
        <v>2</v>
      </c>
      <c r="G39" s="4">
        <v>3</v>
      </c>
      <c r="H39" s="4">
        <v>3</v>
      </c>
      <c r="I39" s="4">
        <v>2</v>
      </c>
      <c r="J39" s="4">
        <v>3</v>
      </c>
      <c r="K39" s="4">
        <v>3</v>
      </c>
      <c r="L39" s="4">
        <v>3</v>
      </c>
      <c r="M39" s="4">
        <v>3</v>
      </c>
      <c r="N39" s="4">
        <v>4</v>
      </c>
      <c r="O39" s="4">
        <v>4</v>
      </c>
      <c r="P39" s="4">
        <v>2</v>
      </c>
      <c r="Q39" s="4">
        <v>2</v>
      </c>
      <c r="R39" s="4">
        <v>4</v>
      </c>
      <c r="S39" s="4">
        <v>3</v>
      </c>
      <c r="T39" s="4">
        <v>4</v>
      </c>
      <c r="U39" s="4">
        <v>3</v>
      </c>
      <c r="V39" s="4">
        <v>4</v>
      </c>
      <c r="W39" s="4">
        <v>1</v>
      </c>
      <c r="X39" s="4">
        <v>4</v>
      </c>
      <c r="Y39" s="4">
        <v>4</v>
      </c>
      <c r="Z39" s="4">
        <v>72</v>
      </c>
    </row>
    <row r="40" spans="1:27">
      <c r="A40" s="4" t="s">
        <v>65</v>
      </c>
      <c r="B40" s="4">
        <v>2</v>
      </c>
      <c r="C40" s="4">
        <v>1</v>
      </c>
      <c r="D40" s="4">
        <v>2</v>
      </c>
      <c r="E40" s="4">
        <v>4</v>
      </c>
      <c r="F40" s="4">
        <v>2</v>
      </c>
      <c r="G40" s="4">
        <v>3</v>
      </c>
      <c r="H40" s="4">
        <v>3</v>
      </c>
      <c r="I40" s="4">
        <v>4</v>
      </c>
      <c r="J40" s="4">
        <v>4</v>
      </c>
      <c r="K40" s="4">
        <v>4</v>
      </c>
      <c r="L40" s="4">
        <v>1</v>
      </c>
      <c r="M40" s="4">
        <v>3</v>
      </c>
      <c r="N40" s="4">
        <v>3</v>
      </c>
      <c r="O40" s="4">
        <v>4</v>
      </c>
      <c r="P40" s="4">
        <v>2</v>
      </c>
      <c r="Q40" s="4">
        <v>3</v>
      </c>
      <c r="R40" s="4">
        <v>3</v>
      </c>
      <c r="S40" s="4">
        <v>2</v>
      </c>
      <c r="T40" s="4">
        <v>2</v>
      </c>
      <c r="U40" s="4">
        <v>4</v>
      </c>
      <c r="V40" s="4">
        <v>2</v>
      </c>
      <c r="W40" s="4">
        <v>2</v>
      </c>
      <c r="X40" s="4">
        <v>4</v>
      </c>
      <c r="Y40" s="4">
        <v>3</v>
      </c>
      <c r="Z40" s="4">
        <v>67</v>
      </c>
    </row>
    <row r="41" spans="1:27">
      <c r="A41" s="4" t="s">
        <v>66</v>
      </c>
      <c r="B41" s="4">
        <v>2</v>
      </c>
      <c r="C41" s="4">
        <v>1</v>
      </c>
      <c r="D41" s="4">
        <v>4</v>
      </c>
      <c r="E41" s="4">
        <v>4</v>
      </c>
      <c r="F41" s="4">
        <v>2</v>
      </c>
      <c r="G41" s="4">
        <v>2</v>
      </c>
      <c r="H41" s="4">
        <v>4</v>
      </c>
      <c r="I41" s="4">
        <v>2</v>
      </c>
      <c r="J41" s="4">
        <v>4</v>
      </c>
      <c r="K41" s="4">
        <v>3</v>
      </c>
      <c r="L41" s="4">
        <v>3</v>
      </c>
      <c r="M41" s="4">
        <v>3</v>
      </c>
      <c r="N41" s="4">
        <v>4</v>
      </c>
      <c r="O41" s="4">
        <v>3</v>
      </c>
      <c r="P41" s="4">
        <v>2</v>
      </c>
      <c r="Q41" s="4">
        <v>2</v>
      </c>
      <c r="R41" s="4">
        <v>3</v>
      </c>
      <c r="S41" s="4">
        <v>2</v>
      </c>
      <c r="T41" s="4">
        <v>3</v>
      </c>
      <c r="U41" s="4">
        <v>4</v>
      </c>
      <c r="V41" s="4">
        <v>3</v>
      </c>
      <c r="W41" s="4">
        <v>3</v>
      </c>
      <c r="X41" s="4">
        <v>2</v>
      </c>
      <c r="Y41" s="4">
        <v>3</v>
      </c>
      <c r="Z41" s="4">
        <v>68</v>
      </c>
    </row>
    <row r="42" spans="1:27">
      <c r="A42" s="4" t="s">
        <v>67</v>
      </c>
      <c r="B42" s="4">
        <v>2</v>
      </c>
      <c r="C42" s="4">
        <v>2</v>
      </c>
      <c r="D42" s="4">
        <v>2</v>
      </c>
      <c r="E42" s="4">
        <v>3</v>
      </c>
      <c r="F42" s="4">
        <v>2</v>
      </c>
      <c r="G42" s="4">
        <v>3</v>
      </c>
      <c r="H42" s="4">
        <v>2</v>
      </c>
      <c r="I42" s="4">
        <v>3</v>
      </c>
      <c r="J42" s="4">
        <v>3</v>
      </c>
      <c r="K42" s="4">
        <v>3</v>
      </c>
      <c r="L42" s="4">
        <v>2</v>
      </c>
      <c r="M42" s="4">
        <v>3</v>
      </c>
      <c r="N42" s="4">
        <v>2</v>
      </c>
      <c r="O42" s="4">
        <v>2</v>
      </c>
      <c r="P42" s="4">
        <v>3</v>
      </c>
      <c r="Q42" s="4">
        <v>2</v>
      </c>
      <c r="R42" s="4">
        <v>2</v>
      </c>
      <c r="S42" s="4">
        <v>2</v>
      </c>
      <c r="T42" s="4">
        <v>2</v>
      </c>
      <c r="U42" s="4">
        <v>3</v>
      </c>
      <c r="V42" s="4">
        <v>3</v>
      </c>
      <c r="W42" s="4">
        <v>2</v>
      </c>
      <c r="X42" s="4">
        <v>3</v>
      </c>
      <c r="Y42" s="4">
        <v>2</v>
      </c>
      <c r="Z42" s="4">
        <v>58</v>
      </c>
    </row>
    <row r="43" spans="1:27">
      <c r="A43" s="4" t="s">
        <v>68</v>
      </c>
      <c r="B43" s="4">
        <v>2</v>
      </c>
      <c r="C43" s="4">
        <v>2</v>
      </c>
      <c r="D43" s="4">
        <v>3</v>
      </c>
      <c r="E43" s="4">
        <v>3</v>
      </c>
      <c r="F43" s="4">
        <v>2</v>
      </c>
      <c r="G43" s="4">
        <v>3</v>
      </c>
      <c r="H43" s="4">
        <v>2</v>
      </c>
      <c r="I43" s="4">
        <v>2</v>
      </c>
      <c r="J43" s="4">
        <v>3</v>
      </c>
      <c r="K43" s="4">
        <v>2</v>
      </c>
      <c r="L43" s="4">
        <v>3</v>
      </c>
      <c r="M43" s="4">
        <v>3</v>
      </c>
      <c r="N43" s="4">
        <v>2</v>
      </c>
      <c r="O43" s="4">
        <v>3</v>
      </c>
      <c r="P43" s="4">
        <v>3</v>
      </c>
      <c r="Q43" s="4">
        <v>3</v>
      </c>
      <c r="R43" s="4">
        <v>3</v>
      </c>
      <c r="S43" s="4">
        <v>3</v>
      </c>
      <c r="T43" s="4">
        <v>3</v>
      </c>
      <c r="U43" s="4">
        <v>3</v>
      </c>
      <c r="V43" s="4">
        <v>2</v>
      </c>
      <c r="W43" s="4">
        <v>2</v>
      </c>
      <c r="X43" s="4">
        <v>3</v>
      </c>
      <c r="Y43" s="4">
        <v>4</v>
      </c>
      <c r="Z43" s="4">
        <v>64</v>
      </c>
    </row>
    <row r="44" spans="1:27">
      <c r="A44" s="4" t="s">
        <v>69</v>
      </c>
      <c r="B44" s="4">
        <v>3</v>
      </c>
      <c r="C44" s="4">
        <v>3</v>
      </c>
      <c r="D44" s="4">
        <v>5</v>
      </c>
      <c r="E44" s="4">
        <v>5</v>
      </c>
      <c r="F44" s="4">
        <v>2</v>
      </c>
      <c r="G44" s="4">
        <v>5</v>
      </c>
      <c r="H44" s="4">
        <v>4</v>
      </c>
      <c r="I44" s="4">
        <v>4</v>
      </c>
      <c r="J44" s="4">
        <v>5</v>
      </c>
      <c r="K44" s="4">
        <v>4</v>
      </c>
      <c r="L44" s="4">
        <v>2</v>
      </c>
      <c r="M44" s="4">
        <v>4</v>
      </c>
      <c r="N44" s="4">
        <v>5</v>
      </c>
      <c r="O44" s="4">
        <v>3</v>
      </c>
      <c r="P44" s="4">
        <v>3</v>
      </c>
      <c r="Q44" s="4">
        <v>5</v>
      </c>
      <c r="R44" s="4">
        <v>5</v>
      </c>
      <c r="S44" s="4">
        <v>1</v>
      </c>
      <c r="T44" s="4">
        <v>5</v>
      </c>
      <c r="U44" s="4">
        <v>4</v>
      </c>
      <c r="V44" s="4">
        <v>4</v>
      </c>
      <c r="W44" s="4">
        <v>2</v>
      </c>
      <c r="X44" s="4">
        <v>5</v>
      </c>
      <c r="Y44" s="4">
        <v>5</v>
      </c>
      <c r="Z44" s="4">
        <v>93</v>
      </c>
    </row>
    <row r="45" spans="1:27">
      <c r="A45" s="4" t="s">
        <v>70</v>
      </c>
      <c r="B45" s="4">
        <v>2</v>
      </c>
      <c r="C45" s="4">
        <v>3</v>
      </c>
      <c r="D45" s="4">
        <v>2</v>
      </c>
      <c r="E45" s="4">
        <v>2</v>
      </c>
      <c r="F45" s="4">
        <v>1</v>
      </c>
      <c r="G45" s="4">
        <v>3</v>
      </c>
      <c r="H45" s="4">
        <v>3</v>
      </c>
      <c r="I45" s="4">
        <v>2</v>
      </c>
      <c r="J45" s="4">
        <v>3</v>
      </c>
      <c r="K45" s="4">
        <v>3</v>
      </c>
      <c r="L45" s="4">
        <v>2</v>
      </c>
      <c r="M45" s="4">
        <v>3</v>
      </c>
      <c r="N45" s="4">
        <v>2</v>
      </c>
      <c r="O45" s="4">
        <v>2</v>
      </c>
      <c r="P45" s="4">
        <v>2</v>
      </c>
      <c r="Q45" s="4">
        <v>2</v>
      </c>
      <c r="R45" s="4">
        <v>3</v>
      </c>
      <c r="S45" s="4">
        <v>3</v>
      </c>
      <c r="T45" s="4">
        <v>3</v>
      </c>
      <c r="U45" s="4">
        <v>3</v>
      </c>
      <c r="V45" s="4">
        <v>2</v>
      </c>
      <c r="W45" s="4">
        <v>1</v>
      </c>
      <c r="X45" s="4">
        <v>2</v>
      </c>
      <c r="Y45" s="4">
        <v>3</v>
      </c>
      <c r="Z45" s="4">
        <v>57</v>
      </c>
    </row>
    <row r="46" spans="1:27">
      <c r="A46" s="4" t="s">
        <v>71</v>
      </c>
      <c r="B46" s="4">
        <v>2</v>
      </c>
      <c r="C46" s="4">
        <v>1</v>
      </c>
      <c r="D46" s="4">
        <v>1</v>
      </c>
      <c r="E46" s="4">
        <v>1</v>
      </c>
      <c r="F46" s="4">
        <v>3</v>
      </c>
      <c r="G46" s="4">
        <v>1</v>
      </c>
      <c r="H46" s="4">
        <v>1</v>
      </c>
      <c r="I46" s="4">
        <v>1</v>
      </c>
      <c r="J46" s="4">
        <v>1</v>
      </c>
      <c r="K46" s="4">
        <v>1</v>
      </c>
      <c r="L46" s="4">
        <v>2</v>
      </c>
      <c r="M46" s="4">
        <v>1</v>
      </c>
      <c r="N46" s="4">
        <v>1</v>
      </c>
      <c r="O46" s="4">
        <v>1</v>
      </c>
      <c r="P46" s="4">
        <v>1</v>
      </c>
      <c r="Q46" s="4">
        <v>1</v>
      </c>
      <c r="R46" s="4">
        <v>1</v>
      </c>
      <c r="S46" s="4">
        <v>2</v>
      </c>
      <c r="T46" s="4">
        <v>1</v>
      </c>
      <c r="U46" s="4">
        <v>1</v>
      </c>
      <c r="V46" s="4">
        <v>1</v>
      </c>
      <c r="W46" s="4">
        <v>2</v>
      </c>
      <c r="X46" s="4">
        <v>1</v>
      </c>
      <c r="Y46" s="4">
        <v>1</v>
      </c>
      <c r="Z46" s="4">
        <v>30</v>
      </c>
    </row>
    <row r="47" spans="1:27">
      <c r="A47" s="4" t="s">
        <v>72</v>
      </c>
      <c r="B47" s="4">
        <v>2</v>
      </c>
      <c r="C47" s="4">
        <v>2</v>
      </c>
      <c r="D47" s="4">
        <v>2</v>
      </c>
      <c r="E47" s="4">
        <v>3</v>
      </c>
      <c r="F47" s="4">
        <v>1</v>
      </c>
      <c r="G47" s="4">
        <v>3</v>
      </c>
      <c r="H47" s="4">
        <v>3</v>
      </c>
      <c r="I47" s="4">
        <v>3</v>
      </c>
      <c r="J47" s="4">
        <v>2</v>
      </c>
      <c r="K47" s="4">
        <v>3</v>
      </c>
      <c r="L47" s="4">
        <v>2</v>
      </c>
      <c r="M47" s="4">
        <v>3</v>
      </c>
      <c r="N47" s="4">
        <v>3</v>
      </c>
      <c r="O47" s="4">
        <v>3</v>
      </c>
      <c r="P47" s="4">
        <v>3</v>
      </c>
      <c r="Q47" s="4">
        <v>3</v>
      </c>
      <c r="R47" s="4">
        <v>2</v>
      </c>
      <c r="S47" s="4">
        <v>2</v>
      </c>
      <c r="T47" s="4">
        <v>3</v>
      </c>
      <c r="U47" s="4">
        <v>3</v>
      </c>
      <c r="V47" s="4">
        <v>2</v>
      </c>
      <c r="W47" s="4">
        <v>2</v>
      </c>
      <c r="X47" s="4">
        <v>3</v>
      </c>
      <c r="Y47" s="4">
        <v>3</v>
      </c>
      <c r="Z47" s="4">
        <v>61</v>
      </c>
    </row>
    <row r="48" spans="1:27">
      <c r="A48" s="4" t="s">
        <v>73</v>
      </c>
      <c r="B48" s="4">
        <v>1</v>
      </c>
      <c r="C48" s="4">
        <v>1</v>
      </c>
      <c r="D48" s="4">
        <v>5</v>
      </c>
      <c r="E48" s="4">
        <v>3</v>
      </c>
      <c r="F48" s="4">
        <v>3</v>
      </c>
      <c r="G48" s="4">
        <v>5</v>
      </c>
      <c r="H48" s="4">
        <v>5</v>
      </c>
      <c r="I48" s="4">
        <v>4</v>
      </c>
      <c r="J48" s="4">
        <v>4</v>
      </c>
      <c r="K48" s="4">
        <v>4</v>
      </c>
      <c r="L48" s="4">
        <v>2</v>
      </c>
      <c r="M48" s="4">
        <v>5</v>
      </c>
      <c r="N48" s="4">
        <v>5</v>
      </c>
      <c r="O48" s="4">
        <v>5</v>
      </c>
      <c r="P48" s="4">
        <v>2</v>
      </c>
      <c r="Q48" s="4">
        <v>4</v>
      </c>
      <c r="R48" s="4">
        <v>5</v>
      </c>
      <c r="S48" s="4">
        <v>3</v>
      </c>
      <c r="T48" s="4">
        <v>5</v>
      </c>
      <c r="U48" s="4">
        <v>4</v>
      </c>
      <c r="V48" s="4">
        <v>4</v>
      </c>
      <c r="W48" s="4">
        <v>2</v>
      </c>
      <c r="X48" s="4">
        <v>4</v>
      </c>
      <c r="Y48" s="4">
        <v>5</v>
      </c>
      <c r="Z48" s="4">
        <v>90</v>
      </c>
    </row>
    <row r="49" spans="1:27">
      <c r="A49" s="4" t="s">
        <v>74</v>
      </c>
      <c r="B49" s="4">
        <v>3</v>
      </c>
      <c r="C49" s="4">
        <v>3</v>
      </c>
      <c r="D49" s="4">
        <v>1</v>
      </c>
      <c r="E49" s="4">
        <v>1</v>
      </c>
      <c r="F49" s="4">
        <v>1</v>
      </c>
      <c r="G49" s="4">
        <v>1</v>
      </c>
      <c r="H49" s="4">
        <v>1</v>
      </c>
      <c r="I49" s="4">
        <v>1</v>
      </c>
      <c r="J49" s="4">
        <v>1</v>
      </c>
      <c r="K49" s="4">
        <v>1</v>
      </c>
      <c r="L49" s="4">
        <v>2</v>
      </c>
      <c r="M49" s="4">
        <v>1</v>
      </c>
      <c r="N49" s="4">
        <v>1</v>
      </c>
      <c r="O49" s="4">
        <v>1</v>
      </c>
      <c r="P49" s="4">
        <v>3</v>
      </c>
      <c r="Q49" s="4">
        <v>1</v>
      </c>
      <c r="R49" s="4">
        <v>1</v>
      </c>
      <c r="S49" s="4">
        <v>1</v>
      </c>
      <c r="T49" s="4">
        <v>1</v>
      </c>
      <c r="U49" s="4">
        <v>1</v>
      </c>
      <c r="V49" s="4">
        <v>1</v>
      </c>
      <c r="W49" s="4">
        <v>2</v>
      </c>
      <c r="X49" s="4">
        <v>1</v>
      </c>
      <c r="Y49" s="4">
        <v>1</v>
      </c>
      <c r="Z49" s="4">
        <v>32</v>
      </c>
    </row>
    <row r="50" spans="1:27">
      <c r="A50" s="4" t="s">
        <v>75</v>
      </c>
      <c r="B50" s="4">
        <v>1</v>
      </c>
      <c r="C50" s="4">
        <v>1</v>
      </c>
      <c r="D50" s="4">
        <v>5</v>
      </c>
      <c r="E50" s="4">
        <v>4</v>
      </c>
      <c r="F50" s="4">
        <v>1</v>
      </c>
      <c r="G50" s="4">
        <v>5</v>
      </c>
      <c r="H50" s="4">
        <v>5</v>
      </c>
      <c r="I50" s="4">
        <v>4</v>
      </c>
      <c r="J50" s="4">
        <v>3</v>
      </c>
      <c r="K50" s="4">
        <v>5</v>
      </c>
      <c r="L50" s="4">
        <v>1</v>
      </c>
      <c r="M50" s="4">
        <v>5</v>
      </c>
      <c r="N50" s="4">
        <v>5</v>
      </c>
      <c r="O50" s="4">
        <v>5</v>
      </c>
      <c r="P50" s="4">
        <v>2</v>
      </c>
      <c r="Q50" s="4">
        <v>4</v>
      </c>
      <c r="R50" s="4">
        <v>5</v>
      </c>
      <c r="S50" s="4">
        <v>1</v>
      </c>
      <c r="T50" s="4">
        <v>5</v>
      </c>
      <c r="U50" s="4">
        <v>4</v>
      </c>
      <c r="V50" s="4">
        <v>5</v>
      </c>
      <c r="W50" s="4">
        <v>3</v>
      </c>
      <c r="X50" s="4">
        <v>5</v>
      </c>
      <c r="Y50" s="4">
        <v>5</v>
      </c>
      <c r="Z50" s="4">
        <v>89</v>
      </c>
    </row>
    <row r="51" spans="1:27">
      <c r="A51" s="4" t="s">
        <v>76</v>
      </c>
      <c r="B51" s="4">
        <v>2</v>
      </c>
      <c r="C51" s="4">
        <v>2</v>
      </c>
      <c r="D51" s="4">
        <v>2</v>
      </c>
      <c r="E51" s="4">
        <v>4</v>
      </c>
      <c r="F51" s="4">
        <v>3</v>
      </c>
      <c r="G51" s="4">
        <v>3</v>
      </c>
      <c r="H51" s="4">
        <v>4</v>
      </c>
      <c r="I51" s="4">
        <v>3</v>
      </c>
      <c r="J51" s="4">
        <v>3</v>
      </c>
      <c r="K51" s="4">
        <v>4</v>
      </c>
      <c r="L51" s="4">
        <v>2</v>
      </c>
      <c r="M51" s="4">
        <v>3</v>
      </c>
      <c r="N51" s="4">
        <v>3</v>
      </c>
      <c r="O51" s="4">
        <v>3</v>
      </c>
      <c r="P51" s="4">
        <v>2</v>
      </c>
      <c r="Q51" s="4">
        <v>4</v>
      </c>
      <c r="R51" s="4">
        <v>4</v>
      </c>
      <c r="S51" s="4">
        <v>3</v>
      </c>
      <c r="T51" s="4">
        <v>3</v>
      </c>
      <c r="U51" s="4">
        <v>3</v>
      </c>
      <c r="V51" s="4">
        <v>3</v>
      </c>
      <c r="W51" s="4">
        <v>2</v>
      </c>
      <c r="X51" s="4">
        <v>5</v>
      </c>
      <c r="Y51" s="4">
        <v>3</v>
      </c>
      <c r="Z51" s="4">
        <v>73</v>
      </c>
    </row>
    <row r="52" spans="1:27">
      <c r="A52" s="4" t="s">
        <v>77</v>
      </c>
      <c r="B52" s="4">
        <v>2</v>
      </c>
      <c r="C52" s="4">
        <v>1</v>
      </c>
      <c r="D52" s="4">
        <v>3</v>
      </c>
      <c r="E52" s="4">
        <v>3</v>
      </c>
      <c r="F52" s="4">
        <v>2</v>
      </c>
      <c r="G52" s="4">
        <v>4</v>
      </c>
      <c r="H52" s="4">
        <v>5</v>
      </c>
      <c r="I52" s="4">
        <v>3</v>
      </c>
      <c r="J52" s="4">
        <v>4</v>
      </c>
      <c r="K52" s="4">
        <v>3</v>
      </c>
      <c r="L52" s="4">
        <v>3</v>
      </c>
      <c r="M52" s="4">
        <v>3</v>
      </c>
      <c r="N52" s="4">
        <v>4</v>
      </c>
      <c r="O52" s="4">
        <v>3</v>
      </c>
      <c r="P52" s="4">
        <v>3</v>
      </c>
      <c r="Q52" s="4">
        <v>5</v>
      </c>
      <c r="R52" s="4">
        <v>3</v>
      </c>
      <c r="S52" s="4">
        <v>2</v>
      </c>
      <c r="T52" s="4">
        <v>3</v>
      </c>
      <c r="U52" s="4">
        <v>4</v>
      </c>
      <c r="V52" s="4">
        <v>3</v>
      </c>
      <c r="W52" s="4">
        <v>2</v>
      </c>
      <c r="X52" s="4">
        <v>3</v>
      </c>
      <c r="Y52" s="4">
        <v>4</v>
      </c>
      <c r="Z52" s="4">
        <v>75</v>
      </c>
    </row>
    <row r="53" spans="1:27">
      <c r="A53" s="4" t="s">
        <v>78</v>
      </c>
      <c r="B53" s="4">
        <v>3</v>
      </c>
      <c r="C53" s="4">
        <v>1</v>
      </c>
      <c r="D53" s="4">
        <v>4</v>
      </c>
      <c r="E53" s="4">
        <v>4</v>
      </c>
      <c r="F53" s="4">
        <v>3</v>
      </c>
      <c r="G53" s="4">
        <v>3</v>
      </c>
      <c r="H53" s="4">
        <v>4</v>
      </c>
      <c r="I53" s="4">
        <v>3</v>
      </c>
      <c r="J53" s="4">
        <v>3</v>
      </c>
      <c r="K53" s="4">
        <v>4</v>
      </c>
      <c r="L53" s="4">
        <v>1</v>
      </c>
      <c r="M53" s="4">
        <v>3</v>
      </c>
      <c r="N53" s="4">
        <v>4</v>
      </c>
      <c r="O53" s="4">
        <v>3</v>
      </c>
      <c r="P53" s="4">
        <v>2</v>
      </c>
      <c r="Q53" s="4">
        <v>2</v>
      </c>
      <c r="R53" s="4">
        <v>4</v>
      </c>
      <c r="S53" s="4">
        <v>3</v>
      </c>
      <c r="T53" s="4">
        <v>4</v>
      </c>
      <c r="U53" s="4">
        <v>4</v>
      </c>
      <c r="V53" s="4">
        <v>3</v>
      </c>
      <c r="W53" s="4">
        <v>1</v>
      </c>
      <c r="X53" s="4">
        <v>4</v>
      </c>
      <c r="Y53" s="4">
        <v>2</v>
      </c>
      <c r="Z53" s="4">
        <v>72</v>
      </c>
    </row>
    <row r="54" spans="1:27">
      <c r="A54" s="4" t="s">
        <v>79</v>
      </c>
      <c r="B54" s="4">
        <v>2</v>
      </c>
      <c r="C54" s="4">
        <v>2</v>
      </c>
      <c r="D54" s="4">
        <v>4</v>
      </c>
      <c r="E54" s="4">
        <v>3</v>
      </c>
      <c r="F54" s="4">
        <v>2</v>
      </c>
      <c r="G54" s="4">
        <v>3</v>
      </c>
      <c r="H54" s="4">
        <v>3</v>
      </c>
      <c r="I54" s="4">
        <v>4</v>
      </c>
      <c r="J54" s="4">
        <v>2</v>
      </c>
      <c r="K54" s="4">
        <v>4</v>
      </c>
      <c r="L54" s="4">
        <v>2</v>
      </c>
      <c r="M54" s="4">
        <v>2</v>
      </c>
      <c r="N54" s="4">
        <v>3</v>
      </c>
      <c r="O54" s="4">
        <v>4</v>
      </c>
      <c r="P54" s="4">
        <v>2</v>
      </c>
      <c r="Q54" s="4">
        <v>3</v>
      </c>
      <c r="R54" s="4">
        <v>3</v>
      </c>
      <c r="S54" s="4">
        <v>2</v>
      </c>
      <c r="T54" s="4">
        <v>3</v>
      </c>
      <c r="U54" s="4">
        <v>2</v>
      </c>
      <c r="V54" s="4">
        <v>2</v>
      </c>
      <c r="W54" s="4">
        <v>3</v>
      </c>
      <c r="X54" s="4">
        <v>2</v>
      </c>
      <c r="Y54" s="4">
        <v>2</v>
      </c>
      <c r="Z54" s="4">
        <v>64</v>
      </c>
    </row>
    <row r="55" spans="1:27">
      <c r="A55" s="4" t="s">
        <v>80</v>
      </c>
      <c r="B55" s="4">
        <v>1</v>
      </c>
      <c r="C55" s="4">
        <v>2</v>
      </c>
      <c r="D55" s="4">
        <v>2</v>
      </c>
      <c r="E55" s="4">
        <v>2</v>
      </c>
      <c r="F55" s="4">
        <v>2</v>
      </c>
      <c r="G55" s="4">
        <v>1</v>
      </c>
      <c r="H55" s="4">
        <v>2</v>
      </c>
      <c r="I55" s="4">
        <v>2</v>
      </c>
      <c r="J55" s="4">
        <v>2</v>
      </c>
      <c r="K55" s="4">
        <v>2</v>
      </c>
      <c r="L55" s="4">
        <v>1</v>
      </c>
      <c r="M55" s="4">
        <v>2</v>
      </c>
      <c r="N55" s="4">
        <v>2</v>
      </c>
      <c r="O55" s="4">
        <v>2</v>
      </c>
      <c r="P55" s="4">
        <v>2</v>
      </c>
      <c r="Q55" s="4">
        <v>2</v>
      </c>
      <c r="R55" s="4">
        <v>1</v>
      </c>
      <c r="S55" s="4">
        <v>2</v>
      </c>
      <c r="T55" s="4">
        <v>2</v>
      </c>
      <c r="U55" s="4">
        <v>2</v>
      </c>
      <c r="V55" s="4">
        <v>2</v>
      </c>
      <c r="W55" s="4">
        <v>3</v>
      </c>
      <c r="X55" s="4">
        <v>1</v>
      </c>
      <c r="Y55" s="4">
        <v>2</v>
      </c>
      <c r="Z55" s="4">
        <v>44</v>
      </c>
    </row>
    <row r="56" spans="1:27">
      <c r="A56" s="4" t="s">
        <v>81</v>
      </c>
      <c r="B56" s="4">
        <v>3</v>
      </c>
      <c r="C56" s="4">
        <v>3</v>
      </c>
      <c r="D56" s="4">
        <v>2</v>
      </c>
      <c r="E56" s="4">
        <v>1</v>
      </c>
      <c r="F56" s="4">
        <v>2</v>
      </c>
      <c r="G56" s="4">
        <v>2</v>
      </c>
      <c r="H56" s="4">
        <v>3</v>
      </c>
      <c r="I56" s="4">
        <v>3</v>
      </c>
      <c r="J56" s="4">
        <v>2</v>
      </c>
      <c r="K56" s="4">
        <v>3</v>
      </c>
      <c r="L56" s="4">
        <v>2</v>
      </c>
      <c r="M56" s="4">
        <v>2</v>
      </c>
      <c r="N56" s="4">
        <v>2</v>
      </c>
      <c r="O56" s="4">
        <v>2</v>
      </c>
      <c r="P56" s="4">
        <v>2</v>
      </c>
      <c r="Q56" s="4">
        <v>2</v>
      </c>
      <c r="R56" s="4">
        <v>2</v>
      </c>
      <c r="S56" s="4">
        <v>2</v>
      </c>
      <c r="T56" s="4">
        <v>2</v>
      </c>
      <c r="U56" s="4">
        <v>3</v>
      </c>
      <c r="V56" s="4">
        <v>2</v>
      </c>
      <c r="W56" s="4">
        <v>2</v>
      </c>
      <c r="X56" s="4">
        <v>2</v>
      </c>
      <c r="Y56" s="4">
        <v>2</v>
      </c>
      <c r="Z56" s="4">
        <v>53</v>
      </c>
    </row>
    <row r="57" spans="1:27">
      <c r="A57" s="4" t="s">
        <v>82</v>
      </c>
      <c r="B57" s="4">
        <v>2</v>
      </c>
      <c r="C57" s="4">
        <v>2</v>
      </c>
      <c r="D57" s="4">
        <v>2</v>
      </c>
      <c r="E57" s="4">
        <v>1</v>
      </c>
      <c r="F57" s="4">
        <v>3</v>
      </c>
      <c r="G57" s="4">
        <v>1</v>
      </c>
      <c r="H57" s="4">
        <v>2</v>
      </c>
      <c r="I57" s="4">
        <v>2</v>
      </c>
      <c r="J57" s="4">
        <v>2</v>
      </c>
      <c r="K57" s="4">
        <v>2</v>
      </c>
      <c r="L57" s="4">
        <v>1</v>
      </c>
      <c r="M57" s="4">
        <v>1</v>
      </c>
      <c r="N57" s="4">
        <v>1</v>
      </c>
      <c r="O57" s="4">
        <v>1</v>
      </c>
      <c r="P57" s="4">
        <v>2</v>
      </c>
      <c r="Q57" s="4">
        <v>2</v>
      </c>
      <c r="R57" s="4">
        <v>2</v>
      </c>
      <c r="S57" s="4">
        <v>1</v>
      </c>
      <c r="T57" s="4">
        <v>2</v>
      </c>
      <c r="U57" s="4">
        <v>1</v>
      </c>
      <c r="V57" s="4">
        <v>1</v>
      </c>
      <c r="W57" s="4">
        <v>1</v>
      </c>
      <c r="X57" s="4">
        <v>2</v>
      </c>
      <c r="Y57" s="4">
        <v>1</v>
      </c>
      <c r="Z57" s="4">
        <v>38</v>
      </c>
    </row>
    <row r="58" spans="1:27">
      <c r="A58" s="4" t="s">
        <v>83</v>
      </c>
      <c r="B58" s="4">
        <v>2</v>
      </c>
      <c r="C58" s="4">
        <v>1</v>
      </c>
      <c r="D58" s="4">
        <v>3</v>
      </c>
      <c r="E58" s="4">
        <v>2</v>
      </c>
      <c r="F58" s="4">
        <v>2</v>
      </c>
      <c r="G58" s="4">
        <v>2</v>
      </c>
      <c r="H58" s="4">
        <v>2</v>
      </c>
      <c r="I58" s="4">
        <v>2</v>
      </c>
      <c r="J58" s="4">
        <v>2</v>
      </c>
      <c r="K58" s="4">
        <v>3</v>
      </c>
      <c r="L58" s="4">
        <v>1</v>
      </c>
      <c r="M58" s="4">
        <v>2</v>
      </c>
      <c r="N58" s="4">
        <v>2</v>
      </c>
      <c r="O58" s="4">
        <v>3</v>
      </c>
      <c r="P58" s="4">
        <v>2</v>
      </c>
      <c r="Q58" s="4">
        <v>3</v>
      </c>
      <c r="R58" s="4">
        <v>2</v>
      </c>
      <c r="S58" s="4">
        <v>2</v>
      </c>
      <c r="T58" s="4">
        <v>2</v>
      </c>
      <c r="U58" s="4">
        <v>2</v>
      </c>
      <c r="V58" s="4">
        <v>3</v>
      </c>
      <c r="W58" s="4">
        <v>2</v>
      </c>
      <c r="X58" s="4">
        <v>2</v>
      </c>
      <c r="Y58" s="4">
        <v>2</v>
      </c>
      <c r="Z58" s="4">
        <v>51</v>
      </c>
    </row>
    <row r="59" spans="1:27">
      <c r="A59" s="4" t="s">
        <v>84</v>
      </c>
      <c r="B59" s="4">
        <v>2</v>
      </c>
      <c r="C59" s="4">
        <v>2</v>
      </c>
      <c r="D59" s="4">
        <v>3</v>
      </c>
      <c r="E59" s="4">
        <v>3</v>
      </c>
      <c r="F59" s="4">
        <v>2</v>
      </c>
      <c r="G59" s="4">
        <v>3</v>
      </c>
      <c r="H59" s="4">
        <v>3</v>
      </c>
      <c r="I59" s="4">
        <v>3</v>
      </c>
      <c r="J59" s="4">
        <v>2</v>
      </c>
      <c r="K59" s="4">
        <v>2</v>
      </c>
      <c r="L59" s="4">
        <v>2</v>
      </c>
      <c r="M59" s="4">
        <v>3</v>
      </c>
      <c r="N59" s="4">
        <v>3</v>
      </c>
      <c r="O59" s="4">
        <v>4</v>
      </c>
      <c r="P59" s="4">
        <v>1</v>
      </c>
      <c r="Q59" s="4">
        <v>2</v>
      </c>
      <c r="R59" s="4">
        <v>2</v>
      </c>
      <c r="S59" s="4">
        <v>3</v>
      </c>
      <c r="T59" s="4">
        <v>4</v>
      </c>
      <c r="U59" s="4">
        <v>3</v>
      </c>
      <c r="V59" s="4">
        <v>3</v>
      </c>
      <c r="W59" s="4">
        <v>3</v>
      </c>
      <c r="X59" s="4">
        <v>3</v>
      </c>
      <c r="Y59" s="4">
        <v>3</v>
      </c>
      <c r="Z59" s="4">
        <v>64</v>
      </c>
    </row>
    <row r="60" spans="1:27">
      <c r="A60" s="4" t="s">
        <v>85</v>
      </c>
      <c r="B60" s="4">
        <v>3</v>
      </c>
      <c r="C60" s="4">
        <v>2</v>
      </c>
      <c r="D60" s="4">
        <v>3</v>
      </c>
      <c r="E60" s="4">
        <v>4</v>
      </c>
      <c r="F60" s="4">
        <v>2</v>
      </c>
      <c r="G60" s="4">
        <v>4</v>
      </c>
      <c r="H60" s="4">
        <v>3</v>
      </c>
      <c r="I60" s="4">
        <v>4</v>
      </c>
      <c r="J60" s="4">
        <v>3</v>
      </c>
      <c r="K60" s="4">
        <v>2</v>
      </c>
      <c r="L60" s="4">
        <v>1</v>
      </c>
      <c r="M60" s="4">
        <v>3</v>
      </c>
      <c r="N60" s="4">
        <v>3</v>
      </c>
      <c r="O60" s="4">
        <v>2</v>
      </c>
      <c r="P60" s="4">
        <v>2</v>
      </c>
      <c r="Q60" s="4">
        <v>3</v>
      </c>
      <c r="R60" s="4">
        <v>3</v>
      </c>
      <c r="S60" s="4">
        <v>1</v>
      </c>
      <c r="T60" s="4">
        <v>2</v>
      </c>
      <c r="U60" s="4">
        <v>3</v>
      </c>
      <c r="V60" s="4">
        <v>3</v>
      </c>
      <c r="W60" s="4">
        <v>2</v>
      </c>
      <c r="X60" s="4">
        <v>3</v>
      </c>
      <c r="Y60" s="4">
        <v>3</v>
      </c>
      <c r="Z60" s="4">
        <v>64</v>
      </c>
    </row>
    <row r="61" spans="1:27">
      <c r="A61" s="4" t="s">
        <v>86</v>
      </c>
      <c r="B61" s="4">
        <v>3</v>
      </c>
      <c r="C61" s="4">
        <v>2</v>
      </c>
      <c r="D61" s="4">
        <v>3</v>
      </c>
      <c r="E61" s="4">
        <v>5</v>
      </c>
      <c r="F61" s="4">
        <v>3</v>
      </c>
      <c r="G61" s="4">
        <v>5</v>
      </c>
      <c r="H61" s="4">
        <v>4</v>
      </c>
      <c r="I61" s="4">
        <v>4</v>
      </c>
      <c r="J61" s="4">
        <v>5</v>
      </c>
      <c r="K61" s="4">
        <v>4</v>
      </c>
      <c r="L61" s="4">
        <v>3</v>
      </c>
      <c r="M61" s="4">
        <v>5</v>
      </c>
      <c r="N61" s="4">
        <v>4</v>
      </c>
      <c r="O61" s="4">
        <v>5</v>
      </c>
      <c r="P61" s="4">
        <v>1</v>
      </c>
      <c r="Q61" s="4">
        <v>5</v>
      </c>
      <c r="R61" s="4">
        <v>5</v>
      </c>
      <c r="S61" s="4">
        <v>2</v>
      </c>
      <c r="T61" s="4">
        <v>5</v>
      </c>
      <c r="U61" s="4">
        <v>4</v>
      </c>
      <c r="V61" s="4">
        <v>4</v>
      </c>
      <c r="W61" s="4">
        <v>1</v>
      </c>
      <c r="X61" s="4">
        <v>5</v>
      </c>
      <c r="Y61" s="4">
        <v>4</v>
      </c>
      <c r="Z61" s="4">
        <v>91</v>
      </c>
    </row>
    <row r="62" spans="1:27">
      <c r="A62" s="4" t="s">
        <v>87</v>
      </c>
      <c r="B62" s="4">
        <v>1</v>
      </c>
      <c r="C62" s="4">
        <v>2</v>
      </c>
      <c r="D62" s="4">
        <v>4</v>
      </c>
      <c r="E62" s="4">
        <v>2</v>
      </c>
      <c r="F62" s="4">
        <v>2</v>
      </c>
      <c r="G62" s="4">
        <v>3</v>
      </c>
      <c r="H62" s="4">
        <v>4</v>
      </c>
      <c r="I62" s="4">
        <v>2</v>
      </c>
      <c r="J62" s="4">
        <v>3</v>
      </c>
      <c r="K62" s="4">
        <v>2</v>
      </c>
      <c r="L62" s="4">
        <v>1</v>
      </c>
      <c r="M62" s="4">
        <v>2</v>
      </c>
      <c r="N62" s="4">
        <v>3</v>
      </c>
      <c r="O62" s="4">
        <v>2</v>
      </c>
      <c r="P62" s="4">
        <v>3</v>
      </c>
      <c r="Q62" s="4">
        <v>2</v>
      </c>
      <c r="R62" s="4">
        <v>2</v>
      </c>
      <c r="S62" s="4">
        <v>2</v>
      </c>
      <c r="T62" s="4">
        <v>3</v>
      </c>
      <c r="U62" s="4">
        <v>3</v>
      </c>
      <c r="V62" s="4">
        <v>3</v>
      </c>
      <c r="W62" s="4">
        <v>2</v>
      </c>
      <c r="X62" s="4">
        <v>2</v>
      </c>
      <c r="Y62" s="4">
        <v>4</v>
      </c>
      <c r="Z62" s="4">
        <v>59</v>
      </c>
    </row>
    <row r="63" spans="1:27">
      <c r="A63" s="4" t="s">
        <v>88</v>
      </c>
      <c r="B63" s="4">
        <v>3</v>
      </c>
      <c r="C63" s="4">
        <v>3</v>
      </c>
      <c r="D63" s="4">
        <v>5</v>
      </c>
      <c r="E63" s="4">
        <v>3</v>
      </c>
      <c r="F63" s="4">
        <v>2</v>
      </c>
      <c r="G63" s="4">
        <v>5</v>
      </c>
      <c r="H63" s="4">
        <v>3</v>
      </c>
      <c r="I63" s="4">
        <v>3</v>
      </c>
      <c r="J63" s="4">
        <v>5</v>
      </c>
      <c r="K63" s="4">
        <v>5</v>
      </c>
      <c r="L63" s="4">
        <v>2</v>
      </c>
      <c r="M63" s="4">
        <v>5</v>
      </c>
      <c r="N63" s="4">
        <v>4</v>
      </c>
      <c r="O63" s="4">
        <v>5</v>
      </c>
      <c r="P63" s="4">
        <v>2</v>
      </c>
      <c r="Q63" s="4">
        <v>5</v>
      </c>
      <c r="R63" s="4">
        <v>5</v>
      </c>
      <c r="S63" s="4">
        <v>2</v>
      </c>
      <c r="T63" s="4">
        <v>3</v>
      </c>
      <c r="U63" s="4">
        <v>5</v>
      </c>
      <c r="V63" s="4">
        <v>3</v>
      </c>
      <c r="W63" s="4">
        <v>1</v>
      </c>
      <c r="X63" s="4">
        <v>5</v>
      </c>
      <c r="Y63" s="4">
        <v>4</v>
      </c>
      <c r="Z63" s="4">
        <v>88</v>
      </c>
    </row>
    <row r="64" spans="1:27">
      <c r="A64" s="4" t="s">
        <v>89</v>
      </c>
      <c r="B64" s="4">
        <v>3</v>
      </c>
      <c r="C64" s="4">
        <v>2</v>
      </c>
      <c r="D64" s="4">
        <v>5</v>
      </c>
      <c r="E64" s="4">
        <v>5</v>
      </c>
      <c r="F64" s="4">
        <v>1</v>
      </c>
      <c r="G64" s="4">
        <v>5</v>
      </c>
      <c r="H64" s="4">
        <v>4</v>
      </c>
      <c r="I64" s="4">
        <v>5</v>
      </c>
      <c r="J64" s="4">
        <v>5</v>
      </c>
      <c r="K64" s="4">
        <v>5</v>
      </c>
      <c r="L64" s="4">
        <v>3</v>
      </c>
      <c r="M64" s="4">
        <v>4</v>
      </c>
      <c r="N64" s="4">
        <v>3</v>
      </c>
      <c r="O64" s="4">
        <v>4</v>
      </c>
      <c r="P64" s="4">
        <v>2</v>
      </c>
      <c r="Q64" s="4">
        <v>3</v>
      </c>
      <c r="R64" s="4">
        <v>5</v>
      </c>
      <c r="S64" s="4">
        <v>3</v>
      </c>
      <c r="T64" s="4">
        <v>5</v>
      </c>
      <c r="U64" s="4">
        <v>3</v>
      </c>
      <c r="V64" s="4">
        <v>3</v>
      </c>
      <c r="W64" s="4">
        <v>2</v>
      </c>
      <c r="X64" s="4">
        <v>5</v>
      </c>
      <c r="Y64" s="4">
        <v>5</v>
      </c>
      <c r="Z64" s="4">
        <v>90</v>
      </c>
    </row>
    <row r="65" spans="1:27">
      <c r="A65" s="4" t="s">
        <v>90</v>
      </c>
      <c r="B65" s="4">
        <v>3</v>
      </c>
      <c r="C65" s="4">
        <v>1</v>
      </c>
      <c r="D65" s="4">
        <v>3</v>
      </c>
      <c r="E65" s="4">
        <v>2</v>
      </c>
      <c r="F65" s="4">
        <v>3</v>
      </c>
      <c r="G65" s="4">
        <v>2</v>
      </c>
      <c r="H65" s="4">
        <v>3</v>
      </c>
      <c r="I65" s="4">
        <v>3</v>
      </c>
      <c r="J65" s="4">
        <v>2</v>
      </c>
      <c r="K65" s="4">
        <v>2</v>
      </c>
      <c r="L65" s="4">
        <v>1</v>
      </c>
      <c r="M65" s="4">
        <v>3</v>
      </c>
      <c r="N65" s="4">
        <v>2</v>
      </c>
      <c r="O65" s="4">
        <v>3</v>
      </c>
      <c r="P65" s="4">
        <v>2</v>
      </c>
      <c r="Q65" s="4">
        <v>3</v>
      </c>
      <c r="R65" s="4">
        <v>2</v>
      </c>
      <c r="S65" s="4">
        <v>3</v>
      </c>
      <c r="T65" s="4">
        <v>3</v>
      </c>
      <c r="U65" s="4">
        <v>2</v>
      </c>
      <c r="V65" s="4">
        <v>3</v>
      </c>
      <c r="W65" s="4">
        <v>2</v>
      </c>
      <c r="X65" s="4">
        <v>3</v>
      </c>
      <c r="Y65" s="4">
        <v>2</v>
      </c>
      <c r="Z65" s="4">
        <v>58</v>
      </c>
    </row>
    <row r="66" spans="1:27">
      <c r="A66" s="4" t="s">
        <v>91</v>
      </c>
      <c r="B66" s="4">
        <v>2</v>
      </c>
      <c r="C66" s="4">
        <v>2</v>
      </c>
      <c r="D66" s="4">
        <v>3</v>
      </c>
      <c r="E66" s="4">
        <v>3</v>
      </c>
      <c r="F66" s="4">
        <v>3</v>
      </c>
      <c r="G66" s="4">
        <v>2</v>
      </c>
      <c r="H66" s="4">
        <v>4</v>
      </c>
      <c r="I66" s="4">
        <v>2</v>
      </c>
      <c r="J66" s="4">
        <v>4</v>
      </c>
      <c r="K66" s="4">
        <v>3</v>
      </c>
      <c r="L66" s="4">
        <v>3</v>
      </c>
      <c r="M66" s="4">
        <v>2</v>
      </c>
      <c r="N66" s="4">
        <v>3</v>
      </c>
      <c r="O66" s="4">
        <v>3</v>
      </c>
      <c r="P66" s="4">
        <v>1</v>
      </c>
      <c r="Q66" s="4">
        <v>3</v>
      </c>
      <c r="R66" s="4">
        <v>3</v>
      </c>
      <c r="S66" s="4">
        <v>3</v>
      </c>
      <c r="T66" s="4">
        <v>2</v>
      </c>
      <c r="U66" s="4">
        <v>2</v>
      </c>
      <c r="V66" s="4">
        <v>4</v>
      </c>
      <c r="W66" s="4">
        <v>3</v>
      </c>
      <c r="X66" s="4">
        <v>2</v>
      </c>
      <c r="Y66" s="4">
        <v>2</v>
      </c>
      <c r="Z66" s="4">
        <v>64</v>
      </c>
    </row>
    <row r="67" spans="1:27">
      <c r="A67" s="4" t="s">
        <v>92</v>
      </c>
      <c r="B67" s="4">
        <v>2</v>
      </c>
      <c r="C67" s="4">
        <v>2</v>
      </c>
      <c r="D67" s="4">
        <v>5</v>
      </c>
      <c r="E67" s="4">
        <v>4</v>
      </c>
      <c r="F67" s="4">
        <v>1</v>
      </c>
      <c r="G67" s="4">
        <v>4</v>
      </c>
      <c r="H67" s="4">
        <v>4</v>
      </c>
      <c r="I67" s="4">
        <v>4</v>
      </c>
      <c r="J67" s="4">
        <v>5</v>
      </c>
      <c r="K67" s="4">
        <v>4</v>
      </c>
      <c r="L67" s="4">
        <v>3</v>
      </c>
      <c r="M67" s="4">
        <v>4</v>
      </c>
      <c r="N67" s="4">
        <v>5</v>
      </c>
      <c r="O67" s="4">
        <v>5</v>
      </c>
      <c r="P67" s="4">
        <v>1</v>
      </c>
      <c r="Q67" s="4">
        <v>5</v>
      </c>
      <c r="R67" s="4">
        <v>4</v>
      </c>
      <c r="S67" s="4">
        <v>2</v>
      </c>
      <c r="T67" s="4">
        <v>5</v>
      </c>
      <c r="U67" s="4">
        <v>4</v>
      </c>
      <c r="V67" s="4">
        <v>5</v>
      </c>
      <c r="W67" s="4">
        <v>1</v>
      </c>
      <c r="X67" s="4">
        <v>4</v>
      </c>
      <c r="Y67" s="4">
        <v>5</v>
      </c>
      <c r="Z67" s="4">
        <v>88</v>
      </c>
    </row>
    <row r="68" spans="1:27">
      <c r="A68" s="4" t="s">
        <v>93</v>
      </c>
      <c r="B68" s="4">
        <v>3</v>
      </c>
      <c r="C68" s="4">
        <v>2</v>
      </c>
      <c r="D68" s="4">
        <v>4</v>
      </c>
      <c r="E68" s="4">
        <v>5</v>
      </c>
      <c r="F68" s="4">
        <v>2</v>
      </c>
      <c r="G68" s="4">
        <v>4</v>
      </c>
      <c r="H68" s="4">
        <v>5</v>
      </c>
      <c r="I68" s="4">
        <v>5</v>
      </c>
      <c r="J68" s="4">
        <v>4</v>
      </c>
      <c r="K68" s="4">
        <v>5</v>
      </c>
      <c r="L68" s="4">
        <v>2</v>
      </c>
      <c r="M68" s="4">
        <v>3</v>
      </c>
      <c r="N68" s="4">
        <v>4</v>
      </c>
      <c r="O68" s="4">
        <v>3</v>
      </c>
      <c r="P68" s="4">
        <v>2</v>
      </c>
      <c r="Q68" s="4">
        <v>5</v>
      </c>
      <c r="R68" s="4">
        <v>5</v>
      </c>
      <c r="S68" s="4">
        <v>3</v>
      </c>
      <c r="T68" s="4">
        <v>5</v>
      </c>
      <c r="U68" s="4">
        <v>5</v>
      </c>
      <c r="V68" s="4">
        <v>4</v>
      </c>
      <c r="W68" s="4">
        <v>2</v>
      </c>
      <c r="X68" s="4">
        <v>5</v>
      </c>
      <c r="Y68" s="4">
        <v>5</v>
      </c>
      <c r="Z68" s="4">
        <v>92</v>
      </c>
    </row>
    <row r="69" spans="1:27">
      <c r="A69" s="4" t="s">
        <v>94</v>
      </c>
      <c r="B69" s="4">
        <v>2</v>
      </c>
      <c r="C69" s="4">
        <v>3</v>
      </c>
      <c r="D69" s="4">
        <v>2</v>
      </c>
      <c r="E69" s="4">
        <v>2</v>
      </c>
      <c r="F69" s="4">
        <v>2</v>
      </c>
      <c r="G69" s="4">
        <v>1</v>
      </c>
      <c r="H69" s="4">
        <v>1</v>
      </c>
      <c r="I69" s="4">
        <v>2</v>
      </c>
      <c r="J69" s="4">
        <v>2</v>
      </c>
      <c r="K69" s="4">
        <v>2</v>
      </c>
      <c r="L69" s="4">
        <v>3</v>
      </c>
      <c r="M69" s="4">
        <v>1</v>
      </c>
      <c r="N69" s="4">
        <v>2</v>
      </c>
      <c r="O69" s="4">
        <v>2</v>
      </c>
      <c r="P69" s="4">
        <v>1</v>
      </c>
      <c r="Q69" s="4">
        <v>2</v>
      </c>
      <c r="R69" s="4">
        <v>2</v>
      </c>
      <c r="S69" s="4">
        <v>3</v>
      </c>
      <c r="T69" s="4">
        <v>1</v>
      </c>
      <c r="U69" s="4">
        <v>2</v>
      </c>
      <c r="V69" s="4">
        <v>2</v>
      </c>
      <c r="W69" s="4">
        <v>1</v>
      </c>
      <c r="X69" s="4">
        <v>1</v>
      </c>
      <c r="Y69" s="4">
        <v>1</v>
      </c>
      <c r="Z69" s="4">
        <v>43</v>
      </c>
    </row>
    <row r="70" spans="1:27">
      <c r="A70" s="4" t="s">
        <v>95</v>
      </c>
      <c r="B70" s="4">
        <v>1</v>
      </c>
      <c r="C70" s="4">
        <v>2</v>
      </c>
      <c r="D70" s="4">
        <v>2</v>
      </c>
      <c r="E70" s="4">
        <v>3</v>
      </c>
      <c r="F70" s="4">
        <v>3</v>
      </c>
      <c r="G70" s="4">
        <v>3</v>
      </c>
      <c r="H70" s="4">
        <v>3</v>
      </c>
      <c r="I70" s="4">
        <v>2</v>
      </c>
      <c r="J70" s="4">
        <v>3</v>
      </c>
      <c r="K70" s="4">
        <v>3</v>
      </c>
      <c r="L70" s="4">
        <v>1</v>
      </c>
      <c r="M70" s="4">
        <v>3</v>
      </c>
      <c r="N70" s="4">
        <v>2</v>
      </c>
      <c r="O70" s="4">
        <v>2</v>
      </c>
      <c r="P70" s="4">
        <v>1</v>
      </c>
      <c r="Q70" s="4">
        <v>3</v>
      </c>
      <c r="R70" s="4">
        <v>2</v>
      </c>
      <c r="S70" s="4">
        <v>1</v>
      </c>
      <c r="T70" s="4">
        <v>2</v>
      </c>
      <c r="U70" s="4">
        <v>3</v>
      </c>
      <c r="V70" s="4">
        <v>3</v>
      </c>
      <c r="W70" s="4">
        <v>2</v>
      </c>
      <c r="X70" s="4">
        <v>3</v>
      </c>
      <c r="Y70" s="4">
        <v>3</v>
      </c>
      <c r="Z70" s="4">
        <v>56</v>
      </c>
    </row>
    <row r="71" spans="1:27">
      <c r="A71" s="4" t="s">
        <v>96</v>
      </c>
      <c r="B71" s="4">
        <v>2</v>
      </c>
      <c r="C71" s="4">
        <v>2</v>
      </c>
      <c r="D71" s="4">
        <v>3</v>
      </c>
      <c r="E71" s="4">
        <v>3</v>
      </c>
      <c r="F71" s="4">
        <v>2</v>
      </c>
      <c r="G71" s="4">
        <v>3</v>
      </c>
      <c r="H71" s="4">
        <v>2</v>
      </c>
      <c r="I71" s="4">
        <v>2</v>
      </c>
      <c r="J71" s="4">
        <v>3</v>
      </c>
      <c r="K71" s="4">
        <v>3</v>
      </c>
      <c r="L71" s="4">
        <v>1</v>
      </c>
      <c r="M71" s="4">
        <v>2</v>
      </c>
      <c r="N71" s="4">
        <v>2</v>
      </c>
      <c r="O71" s="4">
        <v>3</v>
      </c>
      <c r="P71" s="4">
        <v>2</v>
      </c>
      <c r="Q71" s="4">
        <v>4</v>
      </c>
      <c r="R71" s="4">
        <v>3</v>
      </c>
      <c r="S71" s="4">
        <v>2</v>
      </c>
      <c r="T71" s="4">
        <v>3</v>
      </c>
      <c r="U71" s="4">
        <v>3</v>
      </c>
      <c r="V71" s="4">
        <v>2</v>
      </c>
      <c r="W71" s="4">
        <v>1</v>
      </c>
      <c r="X71" s="4">
        <v>2</v>
      </c>
      <c r="Y71" s="4">
        <v>3</v>
      </c>
      <c r="Z71" s="4">
        <v>58</v>
      </c>
    </row>
    <row r="72" spans="1:27">
      <c r="A72" s="4" t="s">
        <v>97</v>
      </c>
      <c r="B72" s="4">
        <v>3</v>
      </c>
      <c r="C72" s="4">
        <v>1</v>
      </c>
      <c r="D72" s="4">
        <v>3</v>
      </c>
      <c r="E72" s="4">
        <v>4</v>
      </c>
      <c r="F72" s="4">
        <v>3</v>
      </c>
      <c r="G72" s="4">
        <v>4</v>
      </c>
      <c r="H72" s="4">
        <v>2</v>
      </c>
      <c r="I72" s="4">
        <v>3</v>
      </c>
      <c r="J72" s="4">
        <v>3</v>
      </c>
      <c r="K72" s="4">
        <v>2</v>
      </c>
      <c r="L72" s="4">
        <v>3</v>
      </c>
      <c r="M72" s="4">
        <v>3</v>
      </c>
      <c r="N72" s="4">
        <v>3</v>
      </c>
      <c r="O72" s="4">
        <v>3</v>
      </c>
      <c r="P72" s="4">
        <v>2</v>
      </c>
      <c r="Q72" s="4">
        <v>3</v>
      </c>
      <c r="R72" s="4">
        <v>2</v>
      </c>
      <c r="S72" s="4">
        <v>3</v>
      </c>
      <c r="T72" s="4">
        <v>3</v>
      </c>
      <c r="U72" s="4">
        <v>2</v>
      </c>
      <c r="V72" s="4">
        <v>3</v>
      </c>
      <c r="W72" s="4">
        <v>3</v>
      </c>
      <c r="X72" s="4">
        <v>3</v>
      </c>
      <c r="Y72" s="4">
        <v>3</v>
      </c>
      <c r="Z72" s="4">
        <v>67</v>
      </c>
    </row>
    <row r="73" spans="1:27">
      <c r="A73" s="4" t="s">
        <v>98</v>
      </c>
      <c r="B73" s="4">
        <v>3</v>
      </c>
      <c r="C73" s="4">
        <v>3</v>
      </c>
      <c r="D73" s="4">
        <v>4</v>
      </c>
      <c r="E73" s="4">
        <v>5</v>
      </c>
      <c r="F73" s="4">
        <v>3</v>
      </c>
      <c r="G73" s="4">
        <v>5</v>
      </c>
      <c r="H73" s="4">
        <v>5</v>
      </c>
      <c r="I73" s="4">
        <v>5</v>
      </c>
      <c r="J73" s="4">
        <v>3</v>
      </c>
      <c r="K73" s="4">
        <v>3</v>
      </c>
      <c r="L73" s="4">
        <v>2</v>
      </c>
      <c r="M73" s="4">
        <v>4</v>
      </c>
      <c r="N73" s="4">
        <v>5</v>
      </c>
      <c r="O73" s="4">
        <v>5</v>
      </c>
      <c r="P73" s="4">
        <v>3</v>
      </c>
      <c r="Q73" s="4">
        <v>5</v>
      </c>
      <c r="R73" s="4">
        <v>3</v>
      </c>
      <c r="S73" s="4">
        <v>2</v>
      </c>
      <c r="T73" s="4">
        <v>4</v>
      </c>
      <c r="U73" s="4">
        <v>5</v>
      </c>
      <c r="V73" s="4">
        <v>4</v>
      </c>
      <c r="W73" s="4">
        <v>1</v>
      </c>
      <c r="X73" s="4">
        <v>4</v>
      </c>
      <c r="Y73" s="4">
        <v>5</v>
      </c>
      <c r="Z73" s="4">
        <v>91</v>
      </c>
    </row>
    <row r="74" spans="1:27">
      <c r="A74" s="4" t="s">
        <v>99</v>
      </c>
      <c r="B74" s="4">
        <v>3</v>
      </c>
      <c r="C74" s="4">
        <v>1</v>
      </c>
      <c r="D74" s="4">
        <v>4</v>
      </c>
      <c r="E74" s="4">
        <v>3</v>
      </c>
      <c r="F74" s="4">
        <v>2</v>
      </c>
      <c r="G74" s="4">
        <v>4</v>
      </c>
      <c r="H74" s="4">
        <v>4</v>
      </c>
      <c r="I74" s="4">
        <v>5</v>
      </c>
      <c r="J74" s="4">
        <v>4</v>
      </c>
      <c r="K74" s="4">
        <v>5</v>
      </c>
      <c r="L74" s="4">
        <v>3</v>
      </c>
      <c r="M74" s="4">
        <v>5</v>
      </c>
      <c r="N74" s="4">
        <v>5</v>
      </c>
      <c r="O74" s="4">
        <v>5</v>
      </c>
      <c r="P74" s="4">
        <v>1</v>
      </c>
      <c r="Q74" s="4">
        <v>5</v>
      </c>
      <c r="R74" s="4">
        <v>4</v>
      </c>
      <c r="S74" s="4">
        <v>3</v>
      </c>
      <c r="T74" s="4">
        <v>5</v>
      </c>
      <c r="U74" s="4">
        <v>4</v>
      </c>
      <c r="V74" s="4">
        <v>4</v>
      </c>
      <c r="W74" s="4">
        <v>1</v>
      </c>
      <c r="X74" s="4">
        <v>5</v>
      </c>
      <c r="Y74" s="4">
        <v>4</v>
      </c>
      <c r="Z74" s="4">
        <v>89</v>
      </c>
    </row>
    <row r="75" spans="1:27">
      <c r="A75" s="4" t="s">
        <v>100</v>
      </c>
      <c r="B75" s="4">
        <v>2</v>
      </c>
      <c r="C75" s="4">
        <v>2</v>
      </c>
      <c r="D75" s="4">
        <v>4</v>
      </c>
      <c r="E75" s="4">
        <v>4</v>
      </c>
      <c r="F75" s="4">
        <v>2</v>
      </c>
      <c r="G75" s="4">
        <v>4</v>
      </c>
      <c r="H75" s="4">
        <v>3</v>
      </c>
      <c r="I75" s="4">
        <v>3</v>
      </c>
      <c r="J75" s="4">
        <v>4</v>
      </c>
      <c r="K75" s="4">
        <v>4</v>
      </c>
      <c r="L75" s="4">
        <v>2</v>
      </c>
      <c r="M75" s="4">
        <v>3</v>
      </c>
      <c r="N75" s="4">
        <v>3</v>
      </c>
      <c r="O75" s="4">
        <v>4</v>
      </c>
      <c r="P75" s="4">
        <v>1</v>
      </c>
      <c r="Q75" s="4">
        <v>2</v>
      </c>
      <c r="R75" s="4">
        <v>3</v>
      </c>
      <c r="S75" s="4">
        <v>1</v>
      </c>
      <c r="T75" s="4">
        <v>4</v>
      </c>
      <c r="U75" s="4">
        <v>4</v>
      </c>
      <c r="V75" s="4">
        <v>4</v>
      </c>
      <c r="W75" s="4">
        <v>1</v>
      </c>
      <c r="X75" s="4">
        <v>3</v>
      </c>
      <c r="Y75" s="4">
        <v>4</v>
      </c>
      <c r="Z75" s="4">
        <v>71</v>
      </c>
    </row>
    <row r="76" spans="1:27">
      <c r="A76" s="4" t="s">
        <v>101</v>
      </c>
      <c r="B76" s="4">
        <v>2</v>
      </c>
      <c r="C76" s="4">
        <v>2</v>
      </c>
      <c r="D76" s="4">
        <v>2</v>
      </c>
      <c r="E76" s="4">
        <v>2</v>
      </c>
      <c r="F76" s="4">
        <v>3</v>
      </c>
      <c r="G76" s="4">
        <v>3</v>
      </c>
      <c r="H76" s="4">
        <v>3</v>
      </c>
      <c r="I76" s="4">
        <v>2</v>
      </c>
      <c r="J76" s="4">
        <v>2</v>
      </c>
      <c r="K76" s="4">
        <v>2</v>
      </c>
      <c r="L76" s="4">
        <v>2</v>
      </c>
      <c r="M76" s="4">
        <v>2</v>
      </c>
      <c r="N76" s="4">
        <v>2</v>
      </c>
      <c r="O76" s="4">
        <v>2</v>
      </c>
      <c r="P76" s="4">
        <v>2</v>
      </c>
      <c r="Q76" s="4">
        <v>2</v>
      </c>
      <c r="R76" s="4">
        <v>2</v>
      </c>
      <c r="S76" s="4">
        <v>1</v>
      </c>
      <c r="T76" s="4">
        <v>3</v>
      </c>
      <c r="U76" s="4">
        <v>2</v>
      </c>
      <c r="V76" s="4">
        <v>1</v>
      </c>
      <c r="W76" s="4">
        <v>2</v>
      </c>
      <c r="X76" s="4">
        <v>2</v>
      </c>
      <c r="Y76" s="4">
        <v>2</v>
      </c>
      <c r="Z76" s="4">
        <v>50</v>
      </c>
    </row>
    <row r="77" spans="1:27">
      <c r="A77" s="4" t="s">
        <v>102</v>
      </c>
      <c r="B77" s="4">
        <v>2</v>
      </c>
      <c r="C77" s="4">
        <v>1</v>
      </c>
      <c r="D77" s="4">
        <v>4</v>
      </c>
      <c r="E77" s="4">
        <v>4</v>
      </c>
      <c r="F77" s="4">
        <v>3</v>
      </c>
      <c r="G77" s="4">
        <v>5</v>
      </c>
      <c r="H77" s="4">
        <v>5</v>
      </c>
      <c r="I77" s="4">
        <v>4</v>
      </c>
      <c r="J77" s="4">
        <v>5</v>
      </c>
      <c r="K77" s="4">
        <v>5</v>
      </c>
      <c r="L77" s="4">
        <v>1</v>
      </c>
      <c r="M77" s="4">
        <v>5</v>
      </c>
      <c r="N77" s="4">
        <v>5</v>
      </c>
      <c r="O77" s="4">
        <v>5</v>
      </c>
      <c r="P77" s="4">
        <v>3</v>
      </c>
      <c r="Q77" s="4">
        <v>5</v>
      </c>
      <c r="R77" s="4">
        <v>5</v>
      </c>
      <c r="S77" s="4">
        <v>3</v>
      </c>
      <c r="T77" s="4">
        <v>5</v>
      </c>
      <c r="U77" s="4">
        <v>4</v>
      </c>
      <c r="V77" s="4">
        <v>3</v>
      </c>
      <c r="W77" s="4">
        <v>3</v>
      </c>
      <c r="X77" s="4">
        <v>5</v>
      </c>
      <c r="Y77" s="4">
        <v>4</v>
      </c>
      <c r="Z77" s="4">
        <v>94</v>
      </c>
    </row>
    <row r="78" spans="1:27">
      <c r="A78" s="4" t="s">
        <v>103</v>
      </c>
      <c r="B78" s="4">
        <v>2</v>
      </c>
      <c r="C78" s="4">
        <v>2</v>
      </c>
      <c r="D78" s="4">
        <v>4</v>
      </c>
      <c r="E78" s="4">
        <v>3</v>
      </c>
      <c r="F78" s="4">
        <v>2</v>
      </c>
      <c r="G78" s="4">
        <v>5</v>
      </c>
      <c r="H78" s="4">
        <v>4</v>
      </c>
      <c r="I78" s="4">
        <v>3</v>
      </c>
      <c r="J78" s="4">
        <v>4</v>
      </c>
      <c r="K78" s="4">
        <v>4</v>
      </c>
      <c r="L78" s="4">
        <v>1</v>
      </c>
      <c r="M78" s="4">
        <v>3</v>
      </c>
      <c r="N78" s="4">
        <v>3</v>
      </c>
      <c r="O78" s="4">
        <v>4</v>
      </c>
      <c r="P78" s="4">
        <v>2</v>
      </c>
      <c r="Q78" s="4">
        <v>2</v>
      </c>
      <c r="R78" s="4">
        <v>4</v>
      </c>
      <c r="S78" s="4">
        <v>2</v>
      </c>
      <c r="T78" s="4">
        <v>3</v>
      </c>
      <c r="U78" s="4">
        <v>3</v>
      </c>
      <c r="V78" s="4">
        <v>3</v>
      </c>
      <c r="W78" s="4">
        <v>3</v>
      </c>
      <c r="X78" s="4">
        <v>3</v>
      </c>
      <c r="Y78" s="4">
        <v>5</v>
      </c>
      <c r="Z78" s="4">
        <v>74</v>
      </c>
    </row>
    <row r="79" spans="1:27">
      <c r="A79" s="4" t="s">
        <v>104</v>
      </c>
      <c r="B79" s="4">
        <v>2</v>
      </c>
      <c r="C79" s="4">
        <v>3</v>
      </c>
      <c r="D79" s="4">
        <v>2</v>
      </c>
      <c r="E79" s="4">
        <v>3</v>
      </c>
      <c r="F79" s="4">
        <v>1</v>
      </c>
      <c r="G79" s="4">
        <v>3</v>
      </c>
      <c r="H79" s="4">
        <v>2</v>
      </c>
      <c r="I79" s="4">
        <v>2</v>
      </c>
      <c r="J79" s="4">
        <v>3</v>
      </c>
      <c r="K79" s="4">
        <v>2</v>
      </c>
      <c r="L79" s="4">
        <v>3</v>
      </c>
      <c r="M79" s="4">
        <v>3</v>
      </c>
      <c r="N79" s="4">
        <v>3</v>
      </c>
      <c r="O79" s="4">
        <v>2</v>
      </c>
      <c r="P79" s="4">
        <v>1</v>
      </c>
      <c r="Q79" s="4">
        <v>3</v>
      </c>
      <c r="R79" s="4">
        <v>2</v>
      </c>
      <c r="S79" s="4">
        <v>1</v>
      </c>
      <c r="T79" s="4">
        <v>2</v>
      </c>
      <c r="U79" s="4">
        <v>2</v>
      </c>
      <c r="V79" s="4">
        <v>3</v>
      </c>
      <c r="W79" s="4">
        <v>2</v>
      </c>
      <c r="X79" s="4">
        <v>3</v>
      </c>
      <c r="Y79" s="4">
        <v>3</v>
      </c>
      <c r="Z79" s="4">
        <v>56</v>
      </c>
    </row>
    <row r="80" spans="1:27">
      <c r="A80" s="4" t="s">
        <v>105</v>
      </c>
      <c r="B80" s="4">
        <v>1</v>
      </c>
      <c r="C80" s="4">
        <v>2</v>
      </c>
      <c r="D80" s="4">
        <v>3</v>
      </c>
      <c r="E80" s="4">
        <v>3</v>
      </c>
      <c r="F80" s="4">
        <v>2</v>
      </c>
      <c r="G80" s="4">
        <v>3</v>
      </c>
      <c r="H80" s="4">
        <v>4</v>
      </c>
      <c r="I80" s="4">
        <v>4</v>
      </c>
      <c r="J80" s="4">
        <v>3</v>
      </c>
      <c r="K80" s="4">
        <v>3</v>
      </c>
      <c r="L80" s="4">
        <v>2</v>
      </c>
      <c r="M80" s="4">
        <v>3</v>
      </c>
      <c r="N80" s="4">
        <v>3</v>
      </c>
      <c r="O80" s="4">
        <v>3</v>
      </c>
      <c r="P80" s="4">
        <v>2</v>
      </c>
      <c r="Q80" s="4">
        <v>4</v>
      </c>
      <c r="R80" s="4">
        <v>3</v>
      </c>
      <c r="S80" s="4">
        <v>2</v>
      </c>
      <c r="T80" s="4">
        <v>3</v>
      </c>
      <c r="U80" s="4">
        <v>3</v>
      </c>
      <c r="V80" s="4">
        <v>5</v>
      </c>
      <c r="W80" s="4">
        <v>2</v>
      </c>
      <c r="X80" s="4">
        <v>4</v>
      </c>
      <c r="Y80" s="4">
        <v>4</v>
      </c>
      <c r="Z80" s="4">
        <v>71</v>
      </c>
    </row>
    <row r="81" spans="1:27">
      <c r="A81" s="4" t="s">
        <v>106</v>
      </c>
      <c r="B81" s="4">
        <v>2</v>
      </c>
      <c r="C81" s="4">
        <v>1</v>
      </c>
      <c r="D81" s="4">
        <v>4</v>
      </c>
      <c r="E81" s="4">
        <v>4</v>
      </c>
      <c r="F81" s="4">
        <v>3</v>
      </c>
      <c r="G81" s="4">
        <v>5</v>
      </c>
      <c r="H81" s="4">
        <v>4</v>
      </c>
      <c r="I81" s="4">
        <v>5</v>
      </c>
      <c r="J81" s="4">
        <v>3</v>
      </c>
      <c r="K81" s="4">
        <v>4</v>
      </c>
      <c r="L81" s="4">
        <v>1</v>
      </c>
      <c r="M81" s="4">
        <v>4</v>
      </c>
      <c r="N81" s="4">
        <v>5</v>
      </c>
      <c r="O81" s="4">
        <v>5</v>
      </c>
      <c r="P81" s="4">
        <v>2</v>
      </c>
      <c r="Q81" s="4">
        <v>5</v>
      </c>
      <c r="R81" s="4">
        <v>4</v>
      </c>
      <c r="S81" s="4">
        <v>1</v>
      </c>
      <c r="T81" s="4">
        <v>5</v>
      </c>
      <c r="U81" s="4">
        <v>5</v>
      </c>
      <c r="V81" s="4">
        <v>5</v>
      </c>
      <c r="W81" s="4">
        <v>1</v>
      </c>
      <c r="X81" s="4">
        <v>5</v>
      </c>
      <c r="Y81" s="4">
        <v>5</v>
      </c>
      <c r="Z81" s="4">
        <v>88</v>
      </c>
    </row>
    <row r="82" spans="1:27">
      <c r="A82" s="4" t="s">
        <v>107</v>
      </c>
      <c r="B82" s="4">
        <v>2</v>
      </c>
      <c r="C82" s="4">
        <v>2</v>
      </c>
      <c r="D82" s="4">
        <v>1</v>
      </c>
      <c r="E82" s="4">
        <v>1</v>
      </c>
      <c r="F82" s="4">
        <v>1</v>
      </c>
      <c r="G82" s="4">
        <v>1</v>
      </c>
      <c r="H82" s="4">
        <v>1</v>
      </c>
      <c r="I82" s="4">
        <v>1</v>
      </c>
      <c r="J82" s="4">
        <v>1</v>
      </c>
      <c r="K82" s="4">
        <v>1</v>
      </c>
      <c r="L82" s="4">
        <v>3</v>
      </c>
      <c r="M82" s="4">
        <v>1</v>
      </c>
      <c r="N82" s="4">
        <v>1</v>
      </c>
      <c r="O82" s="4">
        <v>1</v>
      </c>
      <c r="P82" s="4">
        <v>2</v>
      </c>
      <c r="Q82" s="4">
        <v>1</v>
      </c>
      <c r="R82" s="4">
        <v>1</v>
      </c>
      <c r="S82" s="4">
        <v>2</v>
      </c>
      <c r="T82" s="4">
        <v>1</v>
      </c>
      <c r="U82" s="4">
        <v>1</v>
      </c>
      <c r="V82" s="4">
        <v>1</v>
      </c>
      <c r="W82" s="4">
        <v>1</v>
      </c>
      <c r="X82" s="4">
        <v>1</v>
      </c>
      <c r="Y82" s="4">
        <v>1</v>
      </c>
      <c r="Z82" s="4">
        <v>30</v>
      </c>
    </row>
    <row r="83" spans="1:27">
      <c r="A83" s="4" t="s">
        <v>108</v>
      </c>
      <c r="B83" s="4">
        <v>2</v>
      </c>
      <c r="C83" s="4">
        <v>2</v>
      </c>
      <c r="D83" s="4">
        <v>4</v>
      </c>
      <c r="E83" s="4">
        <v>2</v>
      </c>
      <c r="F83" s="4">
        <v>3</v>
      </c>
      <c r="G83" s="4">
        <v>3</v>
      </c>
      <c r="H83" s="4">
        <v>4</v>
      </c>
      <c r="I83" s="4">
        <v>2</v>
      </c>
      <c r="J83" s="4">
        <v>3</v>
      </c>
      <c r="K83" s="4">
        <v>3</v>
      </c>
      <c r="L83" s="4">
        <v>2</v>
      </c>
      <c r="M83" s="4">
        <v>3</v>
      </c>
      <c r="N83" s="4">
        <v>3</v>
      </c>
      <c r="O83" s="4">
        <v>2</v>
      </c>
      <c r="P83" s="4">
        <v>3</v>
      </c>
      <c r="Q83" s="4">
        <v>4</v>
      </c>
      <c r="R83" s="4">
        <v>2</v>
      </c>
      <c r="S83" s="4">
        <v>3</v>
      </c>
      <c r="T83" s="4">
        <v>2</v>
      </c>
      <c r="U83" s="4">
        <v>2</v>
      </c>
      <c r="V83" s="4">
        <v>4</v>
      </c>
      <c r="W83" s="4">
        <v>2</v>
      </c>
      <c r="X83" s="4">
        <v>3</v>
      </c>
      <c r="Y83" s="4">
        <v>3</v>
      </c>
      <c r="Z83" s="4">
        <v>66</v>
      </c>
    </row>
    <row r="84" spans="1:27">
      <c r="A84" s="4" t="s">
        <v>109</v>
      </c>
      <c r="B84" s="4">
        <v>2</v>
      </c>
      <c r="C84" s="4">
        <v>2</v>
      </c>
      <c r="D84" s="4">
        <v>5</v>
      </c>
      <c r="E84" s="4">
        <v>4</v>
      </c>
      <c r="F84" s="4">
        <v>3</v>
      </c>
      <c r="G84" s="4">
        <v>4</v>
      </c>
      <c r="H84" s="4">
        <v>3</v>
      </c>
      <c r="I84" s="4">
        <v>5</v>
      </c>
      <c r="J84" s="4">
        <v>5</v>
      </c>
      <c r="K84" s="4">
        <v>5</v>
      </c>
      <c r="L84" s="4">
        <v>2</v>
      </c>
      <c r="M84" s="4">
        <v>5</v>
      </c>
      <c r="N84" s="4">
        <v>5</v>
      </c>
      <c r="O84" s="4">
        <v>4</v>
      </c>
      <c r="P84" s="4">
        <v>3</v>
      </c>
      <c r="Q84" s="4">
        <v>5</v>
      </c>
      <c r="R84" s="4">
        <v>3</v>
      </c>
      <c r="S84" s="4">
        <v>2</v>
      </c>
      <c r="T84" s="4">
        <v>5</v>
      </c>
      <c r="U84" s="4">
        <v>5</v>
      </c>
      <c r="V84" s="4">
        <v>5</v>
      </c>
      <c r="W84" s="4">
        <v>2</v>
      </c>
      <c r="X84" s="4">
        <v>5</v>
      </c>
      <c r="Y84" s="4">
        <v>4</v>
      </c>
      <c r="Z84" s="4">
        <v>93</v>
      </c>
    </row>
    <row r="85" spans="1:27">
      <c r="A85" s="4" t="s">
        <v>110</v>
      </c>
      <c r="B85" s="4">
        <v>3</v>
      </c>
      <c r="C85" s="4">
        <v>2</v>
      </c>
      <c r="D85" s="4">
        <v>4</v>
      </c>
      <c r="E85" s="4">
        <v>5</v>
      </c>
      <c r="F85" s="4">
        <v>2</v>
      </c>
      <c r="G85" s="4">
        <v>4</v>
      </c>
      <c r="H85" s="4">
        <v>3</v>
      </c>
      <c r="I85" s="4">
        <v>5</v>
      </c>
      <c r="J85" s="4">
        <v>4</v>
      </c>
      <c r="K85" s="4">
        <v>5</v>
      </c>
      <c r="L85" s="4">
        <v>2</v>
      </c>
      <c r="M85" s="4">
        <v>4</v>
      </c>
      <c r="N85" s="4">
        <v>5</v>
      </c>
      <c r="O85" s="4">
        <v>5</v>
      </c>
      <c r="P85" s="4">
        <v>2</v>
      </c>
      <c r="Q85" s="4">
        <v>5</v>
      </c>
      <c r="R85" s="4">
        <v>5</v>
      </c>
      <c r="S85" s="4">
        <v>3</v>
      </c>
      <c r="T85" s="4">
        <v>5</v>
      </c>
      <c r="U85" s="4">
        <v>3</v>
      </c>
      <c r="V85" s="4">
        <v>4</v>
      </c>
      <c r="W85" s="4">
        <v>2</v>
      </c>
      <c r="X85" s="4">
        <v>5</v>
      </c>
      <c r="Y85" s="4">
        <v>4</v>
      </c>
      <c r="Z85" s="4">
        <v>91</v>
      </c>
    </row>
    <row r="86" spans="1:27">
      <c r="A86" s="4" t="s">
        <v>111</v>
      </c>
      <c r="B86" s="4">
        <v>3</v>
      </c>
      <c r="C86" s="4">
        <v>3</v>
      </c>
      <c r="D86" s="4">
        <v>4</v>
      </c>
      <c r="E86" s="4">
        <v>3</v>
      </c>
      <c r="F86" s="4">
        <v>1</v>
      </c>
      <c r="G86" s="4">
        <v>4</v>
      </c>
      <c r="H86" s="4">
        <v>4</v>
      </c>
      <c r="I86" s="4">
        <v>2</v>
      </c>
      <c r="J86" s="4">
        <v>4</v>
      </c>
      <c r="K86" s="4">
        <v>3</v>
      </c>
      <c r="L86" s="4">
        <v>3</v>
      </c>
      <c r="M86" s="4">
        <v>5</v>
      </c>
      <c r="N86" s="4">
        <v>3</v>
      </c>
      <c r="O86" s="4">
        <v>5</v>
      </c>
      <c r="P86" s="4">
        <v>2</v>
      </c>
      <c r="Q86" s="4">
        <v>3</v>
      </c>
      <c r="R86" s="4">
        <v>3</v>
      </c>
      <c r="S86" s="4">
        <v>2</v>
      </c>
      <c r="T86" s="4">
        <v>3</v>
      </c>
      <c r="U86" s="4">
        <v>5</v>
      </c>
      <c r="V86" s="4">
        <v>5</v>
      </c>
      <c r="W86" s="4">
        <v>1</v>
      </c>
      <c r="X86" s="4">
        <v>4</v>
      </c>
      <c r="Y86" s="4">
        <v>3</v>
      </c>
      <c r="Z86" s="4">
        <v>78</v>
      </c>
    </row>
    <row r="87" spans="1:27">
      <c r="A87" s="4" t="s">
        <v>112</v>
      </c>
      <c r="B87" s="4">
        <v>2</v>
      </c>
      <c r="C87" s="4">
        <v>3</v>
      </c>
      <c r="D87" s="4">
        <v>5</v>
      </c>
      <c r="E87" s="4">
        <v>5</v>
      </c>
      <c r="F87" s="4">
        <v>3</v>
      </c>
      <c r="G87" s="4">
        <v>5</v>
      </c>
      <c r="H87" s="4">
        <v>5</v>
      </c>
      <c r="I87" s="4">
        <v>4</v>
      </c>
      <c r="J87" s="4">
        <v>5</v>
      </c>
      <c r="K87" s="4">
        <v>5</v>
      </c>
      <c r="L87" s="4">
        <v>3</v>
      </c>
      <c r="M87" s="4">
        <v>5</v>
      </c>
      <c r="N87" s="4">
        <v>3</v>
      </c>
      <c r="O87" s="4">
        <v>5</v>
      </c>
      <c r="P87" s="4">
        <v>1</v>
      </c>
      <c r="Q87" s="4">
        <v>5</v>
      </c>
      <c r="R87" s="4">
        <v>5</v>
      </c>
      <c r="S87" s="4">
        <v>2</v>
      </c>
      <c r="T87" s="4">
        <v>5</v>
      </c>
      <c r="U87" s="4">
        <v>5</v>
      </c>
      <c r="V87" s="4">
        <v>3</v>
      </c>
      <c r="W87" s="4">
        <v>2</v>
      </c>
      <c r="X87" s="4">
        <v>4</v>
      </c>
      <c r="Y87" s="4">
        <v>4</v>
      </c>
      <c r="Z87" s="4">
        <v>94</v>
      </c>
    </row>
    <row r="88" spans="1:27">
      <c r="A88" s="4" t="s">
        <v>113</v>
      </c>
      <c r="B88" s="4">
        <v>2</v>
      </c>
      <c r="C88" s="4">
        <v>3</v>
      </c>
      <c r="D88" s="4">
        <v>4</v>
      </c>
      <c r="E88" s="4">
        <v>4</v>
      </c>
      <c r="F88" s="4">
        <v>1</v>
      </c>
      <c r="G88" s="4">
        <v>3</v>
      </c>
      <c r="H88" s="4">
        <v>3</v>
      </c>
      <c r="I88" s="4">
        <v>3</v>
      </c>
      <c r="J88" s="4">
        <v>4</v>
      </c>
      <c r="K88" s="4">
        <v>3</v>
      </c>
      <c r="L88" s="4">
        <v>2</v>
      </c>
      <c r="M88" s="4">
        <v>4</v>
      </c>
      <c r="N88" s="4">
        <v>2</v>
      </c>
      <c r="O88" s="4">
        <v>4</v>
      </c>
      <c r="P88" s="4">
        <v>2</v>
      </c>
      <c r="Q88" s="4">
        <v>3</v>
      </c>
      <c r="R88" s="4">
        <v>2</v>
      </c>
      <c r="S88" s="4">
        <v>3</v>
      </c>
      <c r="T88" s="4">
        <v>2</v>
      </c>
      <c r="U88" s="4">
        <v>2</v>
      </c>
      <c r="V88" s="4">
        <v>4</v>
      </c>
      <c r="W88" s="4">
        <v>2</v>
      </c>
      <c r="X88" s="4">
        <v>4</v>
      </c>
      <c r="Y88" s="4">
        <v>4</v>
      </c>
      <c r="Z88" s="4">
        <v>70</v>
      </c>
    </row>
    <row r="89" spans="1:27">
      <c r="A89" s="4" t="s">
        <v>114</v>
      </c>
      <c r="B89" s="4">
        <v>2</v>
      </c>
      <c r="C89" s="4">
        <v>2</v>
      </c>
      <c r="D89" s="4">
        <v>2</v>
      </c>
      <c r="E89" s="4">
        <v>2</v>
      </c>
      <c r="F89" s="4">
        <v>1</v>
      </c>
      <c r="G89" s="4">
        <v>3</v>
      </c>
      <c r="H89" s="4">
        <v>3</v>
      </c>
      <c r="I89" s="4">
        <v>2</v>
      </c>
      <c r="J89" s="4">
        <v>2</v>
      </c>
      <c r="K89" s="4">
        <v>2</v>
      </c>
      <c r="L89" s="4">
        <v>2</v>
      </c>
      <c r="M89" s="4">
        <v>2</v>
      </c>
      <c r="N89" s="4">
        <v>2</v>
      </c>
      <c r="O89" s="4">
        <v>2</v>
      </c>
      <c r="P89" s="4">
        <v>3</v>
      </c>
      <c r="Q89" s="4">
        <v>2</v>
      </c>
      <c r="R89" s="4">
        <v>2</v>
      </c>
      <c r="S89" s="4">
        <v>2</v>
      </c>
      <c r="T89" s="4">
        <v>2</v>
      </c>
      <c r="U89" s="4">
        <v>2</v>
      </c>
      <c r="V89" s="4">
        <v>3</v>
      </c>
      <c r="W89" s="4">
        <v>3</v>
      </c>
      <c r="X89" s="4">
        <v>2</v>
      </c>
      <c r="Y89" s="4">
        <v>2</v>
      </c>
      <c r="Z89" s="4">
        <v>52</v>
      </c>
    </row>
    <row r="90" spans="1:27">
      <c r="A90" s="4" t="s">
        <v>115</v>
      </c>
      <c r="B90" s="4">
        <v>1</v>
      </c>
      <c r="C90" s="4">
        <v>3</v>
      </c>
      <c r="D90" s="4">
        <v>1</v>
      </c>
      <c r="E90" s="4">
        <v>1</v>
      </c>
      <c r="F90" s="4">
        <v>1</v>
      </c>
      <c r="G90" s="4">
        <v>1</v>
      </c>
      <c r="H90" s="4">
        <v>1</v>
      </c>
      <c r="I90" s="4">
        <v>1</v>
      </c>
      <c r="J90" s="4">
        <v>1</v>
      </c>
      <c r="K90" s="4">
        <v>1</v>
      </c>
      <c r="L90" s="4">
        <v>2</v>
      </c>
      <c r="M90" s="4">
        <v>1</v>
      </c>
      <c r="N90" s="4">
        <v>1</v>
      </c>
      <c r="O90" s="4">
        <v>1</v>
      </c>
      <c r="P90" s="4">
        <v>1</v>
      </c>
      <c r="Q90" s="4">
        <v>1</v>
      </c>
      <c r="R90" s="4">
        <v>1</v>
      </c>
      <c r="S90" s="4">
        <v>2</v>
      </c>
      <c r="T90" s="4">
        <v>1</v>
      </c>
      <c r="U90" s="4">
        <v>1</v>
      </c>
      <c r="V90" s="4">
        <v>1</v>
      </c>
      <c r="W90" s="4">
        <v>2</v>
      </c>
      <c r="X90" s="4">
        <v>1</v>
      </c>
      <c r="Y90" s="4">
        <v>1</v>
      </c>
      <c r="Z90" s="4">
        <v>29</v>
      </c>
    </row>
    <row r="91" spans="1:27">
      <c r="A91" s="4" t="s">
        <v>116</v>
      </c>
      <c r="B91" s="4">
        <v>2</v>
      </c>
      <c r="C91" s="4">
        <v>2</v>
      </c>
      <c r="D91" s="4">
        <v>3</v>
      </c>
      <c r="E91" s="4">
        <v>2</v>
      </c>
      <c r="F91" s="4">
        <v>3</v>
      </c>
      <c r="G91" s="4">
        <v>3</v>
      </c>
      <c r="H91" s="4">
        <v>2</v>
      </c>
      <c r="I91" s="4">
        <v>2</v>
      </c>
      <c r="J91" s="4">
        <v>2</v>
      </c>
      <c r="K91" s="4">
        <v>2</v>
      </c>
      <c r="L91" s="4">
        <v>2</v>
      </c>
      <c r="M91" s="4">
        <v>3</v>
      </c>
      <c r="N91" s="4">
        <v>2</v>
      </c>
      <c r="O91" s="4">
        <v>2</v>
      </c>
      <c r="P91" s="4">
        <v>3</v>
      </c>
      <c r="Q91" s="4">
        <v>3</v>
      </c>
      <c r="R91" s="4">
        <v>3</v>
      </c>
      <c r="S91" s="4">
        <v>2</v>
      </c>
      <c r="T91" s="4">
        <v>3</v>
      </c>
      <c r="U91" s="4">
        <v>2</v>
      </c>
      <c r="V91" s="4">
        <v>3</v>
      </c>
      <c r="W91" s="4">
        <v>2</v>
      </c>
      <c r="X91" s="4">
        <v>3</v>
      </c>
      <c r="Y91" s="4">
        <v>2</v>
      </c>
      <c r="Z91" s="4">
        <v>58</v>
      </c>
    </row>
    <row r="92" spans="1:27">
      <c r="A92" s="4" t="s">
        <v>117</v>
      </c>
      <c r="B92" s="4">
        <v>2</v>
      </c>
      <c r="C92" s="4">
        <v>2</v>
      </c>
      <c r="D92" s="4">
        <v>4</v>
      </c>
      <c r="E92" s="4">
        <v>5</v>
      </c>
      <c r="F92" s="4">
        <v>2</v>
      </c>
      <c r="G92" s="4">
        <v>4</v>
      </c>
      <c r="H92" s="4">
        <v>5</v>
      </c>
      <c r="I92" s="4">
        <v>3</v>
      </c>
      <c r="J92" s="4">
        <v>5</v>
      </c>
      <c r="K92" s="4">
        <v>5</v>
      </c>
      <c r="L92" s="4">
        <v>1</v>
      </c>
      <c r="M92" s="4">
        <v>3</v>
      </c>
      <c r="N92" s="4">
        <v>5</v>
      </c>
      <c r="O92" s="4">
        <v>5</v>
      </c>
      <c r="P92" s="4">
        <v>2</v>
      </c>
      <c r="Q92" s="4">
        <v>5</v>
      </c>
      <c r="R92" s="4">
        <v>4</v>
      </c>
      <c r="S92" s="4">
        <v>2</v>
      </c>
      <c r="T92" s="4">
        <v>5</v>
      </c>
      <c r="U92" s="4">
        <v>5</v>
      </c>
      <c r="V92" s="4">
        <v>5</v>
      </c>
      <c r="W92" s="4">
        <v>2</v>
      </c>
      <c r="X92" s="4">
        <v>3</v>
      </c>
      <c r="Y92" s="4">
        <v>5</v>
      </c>
      <c r="Z92" s="4">
        <v>89</v>
      </c>
    </row>
    <row r="93" spans="1:27">
      <c r="A93" s="4" t="s">
        <v>118</v>
      </c>
      <c r="B93" s="4">
        <v>3</v>
      </c>
      <c r="C93" s="4">
        <v>3</v>
      </c>
      <c r="D93" s="4">
        <v>4</v>
      </c>
      <c r="E93" s="4">
        <v>2</v>
      </c>
      <c r="F93" s="4">
        <v>2</v>
      </c>
      <c r="G93" s="4">
        <v>2</v>
      </c>
      <c r="H93" s="4">
        <v>2</v>
      </c>
      <c r="I93" s="4">
        <v>3</v>
      </c>
      <c r="J93" s="4">
        <v>4</v>
      </c>
      <c r="K93" s="4">
        <v>3</v>
      </c>
      <c r="L93" s="4">
        <v>2</v>
      </c>
      <c r="M93" s="4">
        <v>3</v>
      </c>
      <c r="N93" s="4">
        <v>2</v>
      </c>
      <c r="O93" s="4">
        <v>4</v>
      </c>
      <c r="P93" s="4">
        <v>2</v>
      </c>
      <c r="Q93" s="4">
        <v>2</v>
      </c>
      <c r="R93" s="4">
        <v>3</v>
      </c>
      <c r="S93" s="4">
        <v>1</v>
      </c>
      <c r="T93" s="4">
        <v>2</v>
      </c>
      <c r="U93" s="4">
        <v>4</v>
      </c>
      <c r="V93" s="4">
        <v>3</v>
      </c>
      <c r="W93" s="4">
        <v>3</v>
      </c>
      <c r="X93" s="4">
        <v>4</v>
      </c>
      <c r="Y93" s="4">
        <v>4</v>
      </c>
      <c r="Z93" s="4">
        <v>67</v>
      </c>
    </row>
    <row r="94" spans="1:27">
      <c r="A94" s="4" t="s">
        <v>119</v>
      </c>
      <c r="B94" s="4">
        <v>3</v>
      </c>
      <c r="C94" s="4">
        <v>3</v>
      </c>
      <c r="D94" s="4">
        <v>3</v>
      </c>
      <c r="E94" s="4">
        <v>2</v>
      </c>
      <c r="F94" s="4">
        <v>1</v>
      </c>
      <c r="G94" s="4">
        <v>2</v>
      </c>
      <c r="H94" s="4">
        <v>3</v>
      </c>
      <c r="I94" s="4">
        <v>4</v>
      </c>
      <c r="J94" s="4">
        <v>3</v>
      </c>
      <c r="K94" s="4">
        <v>4</v>
      </c>
      <c r="L94" s="4">
        <v>1</v>
      </c>
      <c r="M94" s="4">
        <v>3</v>
      </c>
      <c r="N94" s="4">
        <v>4</v>
      </c>
      <c r="O94" s="4">
        <v>3</v>
      </c>
      <c r="P94" s="4">
        <v>1</v>
      </c>
      <c r="Q94" s="4">
        <v>3</v>
      </c>
      <c r="R94" s="4">
        <v>3</v>
      </c>
      <c r="S94" s="4">
        <v>2</v>
      </c>
      <c r="T94" s="4">
        <v>3</v>
      </c>
      <c r="U94" s="4">
        <v>3</v>
      </c>
      <c r="V94" s="4">
        <v>3</v>
      </c>
      <c r="W94" s="4">
        <v>2</v>
      </c>
      <c r="X94" s="4">
        <v>2</v>
      </c>
      <c r="Y94" s="4">
        <v>2</v>
      </c>
      <c r="Z94" s="4">
        <v>63</v>
      </c>
    </row>
    <row r="95" spans="1:27">
      <c r="A95" s="4" t="s">
        <v>120</v>
      </c>
      <c r="B95" s="4">
        <v>3</v>
      </c>
      <c r="C95" s="4">
        <v>1</v>
      </c>
      <c r="D95" s="4">
        <v>4</v>
      </c>
      <c r="E95" s="4">
        <v>4</v>
      </c>
      <c r="F95" s="4">
        <v>1</v>
      </c>
      <c r="G95" s="4">
        <v>3</v>
      </c>
      <c r="H95" s="4">
        <v>3</v>
      </c>
      <c r="I95" s="4">
        <v>2</v>
      </c>
      <c r="J95" s="4">
        <v>4</v>
      </c>
      <c r="K95" s="4">
        <v>2</v>
      </c>
      <c r="L95" s="4">
        <v>1</v>
      </c>
      <c r="M95" s="4">
        <v>4</v>
      </c>
      <c r="N95" s="4">
        <v>3</v>
      </c>
      <c r="O95" s="4">
        <v>4</v>
      </c>
      <c r="P95" s="4">
        <v>3</v>
      </c>
      <c r="Q95" s="4">
        <v>3</v>
      </c>
      <c r="R95" s="4">
        <v>3</v>
      </c>
      <c r="S95" s="4">
        <v>2</v>
      </c>
      <c r="T95" s="4">
        <v>2</v>
      </c>
      <c r="U95" s="4">
        <v>4</v>
      </c>
      <c r="V95" s="4">
        <v>4</v>
      </c>
      <c r="W95" s="4">
        <v>1</v>
      </c>
      <c r="X95" s="4">
        <v>2</v>
      </c>
      <c r="Y95" s="4">
        <v>4</v>
      </c>
      <c r="Z95" s="4">
        <v>67</v>
      </c>
    </row>
    <row r="96" spans="1:27">
      <c r="A96" s="4" t="s">
        <v>121</v>
      </c>
      <c r="B96" s="4">
        <v>2</v>
      </c>
      <c r="C96" s="4">
        <v>2</v>
      </c>
      <c r="D96" s="4">
        <v>3</v>
      </c>
      <c r="E96" s="4">
        <v>4</v>
      </c>
      <c r="F96" s="4">
        <v>1</v>
      </c>
      <c r="G96" s="4">
        <v>4</v>
      </c>
      <c r="H96" s="4">
        <v>3</v>
      </c>
      <c r="I96" s="4">
        <v>4</v>
      </c>
      <c r="J96" s="4">
        <v>4</v>
      </c>
      <c r="K96" s="4">
        <v>3</v>
      </c>
      <c r="L96" s="4">
        <v>2</v>
      </c>
      <c r="M96" s="4">
        <v>3</v>
      </c>
      <c r="N96" s="4">
        <v>4</v>
      </c>
      <c r="O96" s="4">
        <v>3</v>
      </c>
      <c r="P96" s="4">
        <v>1</v>
      </c>
      <c r="Q96" s="4">
        <v>4</v>
      </c>
      <c r="R96" s="4">
        <v>3</v>
      </c>
      <c r="S96" s="4">
        <v>3</v>
      </c>
      <c r="T96" s="4">
        <v>4</v>
      </c>
      <c r="U96" s="4">
        <v>3</v>
      </c>
      <c r="V96" s="4">
        <v>3</v>
      </c>
      <c r="W96" s="4">
        <v>2</v>
      </c>
      <c r="X96" s="4">
        <v>3</v>
      </c>
      <c r="Y96" s="4">
        <v>3</v>
      </c>
      <c r="Z96" s="4">
        <v>71</v>
      </c>
    </row>
    <row r="97" spans="1:27">
      <c r="A97" s="4" t="s">
        <v>122</v>
      </c>
      <c r="B97" s="4">
        <v>2</v>
      </c>
      <c r="C97" s="4">
        <v>3</v>
      </c>
      <c r="D97" s="4">
        <v>2</v>
      </c>
      <c r="E97" s="4">
        <v>2</v>
      </c>
      <c r="F97" s="4">
        <v>2</v>
      </c>
      <c r="G97" s="4">
        <v>3</v>
      </c>
      <c r="H97" s="4">
        <v>3</v>
      </c>
      <c r="I97" s="4">
        <v>3</v>
      </c>
      <c r="J97" s="4">
        <v>3</v>
      </c>
      <c r="K97" s="4">
        <v>2</v>
      </c>
      <c r="L97" s="4">
        <v>3</v>
      </c>
      <c r="M97" s="4">
        <v>3</v>
      </c>
      <c r="N97" s="4">
        <v>3</v>
      </c>
      <c r="O97" s="4">
        <v>2</v>
      </c>
      <c r="P97" s="4">
        <v>1</v>
      </c>
      <c r="Q97" s="4">
        <v>4</v>
      </c>
      <c r="R97" s="4">
        <v>2</v>
      </c>
      <c r="S97" s="4">
        <v>2</v>
      </c>
      <c r="T97" s="4">
        <v>2</v>
      </c>
      <c r="U97" s="4">
        <v>3</v>
      </c>
      <c r="V97" s="4">
        <v>4</v>
      </c>
      <c r="W97" s="4">
        <v>2</v>
      </c>
      <c r="X97" s="4">
        <v>3</v>
      </c>
      <c r="Y97" s="4">
        <v>4</v>
      </c>
      <c r="Z97" s="4">
        <v>63</v>
      </c>
    </row>
    <row r="98" spans="1:27">
      <c r="A98" s="4" t="s">
        <v>123</v>
      </c>
      <c r="B98" s="4">
        <v>2</v>
      </c>
      <c r="C98" s="4">
        <v>1</v>
      </c>
      <c r="D98" s="4">
        <v>5</v>
      </c>
      <c r="E98" s="4">
        <v>5</v>
      </c>
      <c r="F98" s="4">
        <v>2</v>
      </c>
      <c r="G98" s="4">
        <v>4</v>
      </c>
      <c r="H98" s="4">
        <v>5</v>
      </c>
      <c r="I98" s="4">
        <v>3</v>
      </c>
      <c r="J98" s="4">
        <v>5</v>
      </c>
      <c r="K98" s="4">
        <v>3</v>
      </c>
      <c r="L98" s="4">
        <v>2</v>
      </c>
      <c r="M98" s="4">
        <v>5</v>
      </c>
      <c r="N98" s="4">
        <v>5</v>
      </c>
      <c r="O98" s="4">
        <v>3</v>
      </c>
      <c r="P98" s="4">
        <v>3</v>
      </c>
      <c r="Q98" s="4">
        <v>5</v>
      </c>
      <c r="R98" s="4">
        <v>5</v>
      </c>
      <c r="S98" s="4">
        <v>3</v>
      </c>
      <c r="T98" s="4">
        <v>4</v>
      </c>
      <c r="U98" s="4">
        <v>3</v>
      </c>
      <c r="V98" s="4">
        <v>5</v>
      </c>
      <c r="W98" s="4">
        <v>2</v>
      </c>
      <c r="X98" s="4">
        <v>5</v>
      </c>
      <c r="Y98" s="4">
        <v>5</v>
      </c>
      <c r="Z98" s="4">
        <v>90</v>
      </c>
    </row>
    <row r="99" spans="1:27">
      <c r="A99" s="4" t="s">
        <v>124</v>
      </c>
      <c r="B99" s="4">
        <v>1</v>
      </c>
      <c r="C99" s="4">
        <v>3</v>
      </c>
      <c r="D99" s="4">
        <v>1</v>
      </c>
      <c r="E99" s="4">
        <v>1</v>
      </c>
      <c r="F99" s="4">
        <v>2</v>
      </c>
      <c r="G99" s="4">
        <v>1</v>
      </c>
      <c r="H99" s="4">
        <v>2</v>
      </c>
      <c r="I99" s="4">
        <v>2</v>
      </c>
      <c r="J99" s="4">
        <v>2</v>
      </c>
      <c r="K99" s="4">
        <v>2</v>
      </c>
      <c r="L99" s="4">
        <v>2</v>
      </c>
      <c r="M99" s="4">
        <v>2</v>
      </c>
      <c r="N99" s="4">
        <v>2</v>
      </c>
      <c r="O99" s="4">
        <v>2</v>
      </c>
      <c r="P99" s="4">
        <v>3</v>
      </c>
      <c r="Q99" s="4">
        <v>2</v>
      </c>
      <c r="R99" s="4">
        <v>2</v>
      </c>
      <c r="S99" s="4">
        <v>2</v>
      </c>
      <c r="T99" s="4">
        <v>1</v>
      </c>
      <c r="U99" s="4">
        <v>1</v>
      </c>
      <c r="V99" s="4">
        <v>2</v>
      </c>
      <c r="W99" s="4">
        <v>1</v>
      </c>
      <c r="X99" s="4">
        <v>2</v>
      </c>
      <c r="Y99" s="4">
        <v>1</v>
      </c>
      <c r="Z99" s="4">
        <v>42</v>
      </c>
    </row>
    <row r="100" spans="1:27">
      <c r="A100" s="4" t="s">
        <v>125</v>
      </c>
      <c r="B100" s="4">
        <v>2</v>
      </c>
      <c r="C100" s="4">
        <v>3</v>
      </c>
      <c r="D100" s="4">
        <v>5</v>
      </c>
      <c r="E100" s="4">
        <v>5</v>
      </c>
      <c r="F100" s="4">
        <v>1</v>
      </c>
      <c r="G100" s="4">
        <v>5</v>
      </c>
      <c r="H100" s="4">
        <v>5</v>
      </c>
      <c r="I100" s="4">
        <v>5</v>
      </c>
      <c r="J100" s="4">
        <v>5</v>
      </c>
      <c r="K100" s="4">
        <v>5</v>
      </c>
      <c r="L100" s="4">
        <v>1</v>
      </c>
      <c r="M100" s="4">
        <v>5</v>
      </c>
      <c r="N100" s="4">
        <v>5</v>
      </c>
      <c r="O100" s="4">
        <v>4</v>
      </c>
      <c r="P100" s="4">
        <v>2</v>
      </c>
      <c r="Q100" s="4">
        <v>4</v>
      </c>
      <c r="R100" s="4">
        <v>4</v>
      </c>
      <c r="S100" s="4">
        <v>1</v>
      </c>
      <c r="T100" s="4">
        <v>4</v>
      </c>
      <c r="U100" s="4">
        <v>5</v>
      </c>
      <c r="V100" s="4">
        <v>5</v>
      </c>
      <c r="W100" s="4">
        <v>1</v>
      </c>
      <c r="X100" s="4">
        <v>4</v>
      </c>
      <c r="Y100" s="4">
        <v>4</v>
      </c>
      <c r="Z100" s="4">
        <v>90</v>
      </c>
    </row>
    <row r="101" spans="1:27">
      <c r="A101" s="4" t="s">
        <v>126</v>
      </c>
      <c r="B101" s="4">
        <v>2</v>
      </c>
      <c r="C101" s="4">
        <v>1</v>
      </c>
      <c r="D101" s="4">
        <v>1</v>
      </c>
      <c r="E101" s="4">
        <v>1</v>
      </c>
      <c r="F101" s="4">
        <v>2</v>
      </c>
      <c r="G101" s="4">
        <v>1</v>
      </c>
      <c r="H101" s="4">
        <v>1</v>
      </c>
      <c r="I101" s="4">
        <v>1</v>
      </c>
      <c r="J101" s="4">
        <v>1</v>
      </c>
      <c r="K101" s="4">
        <v>1</v>
      </c>
      <c r="L101" s="4">
        <v>2</v>
      </c>
      <c r="M101" s="4">
        <v>1</v>
      </c>
      <c r="N101" s="4">
        <v>1</v>
      </c>
      <c r="O101" s="4">
        <v>1</v>
      </c>
      <c r="P101" s="4">
        <v>2</v>
      </c>
      <c r="Q101" s="4">
        <v>1</v>
      </c>
      <c r="R101" s="4">
        <v>1</v>
      </c>
      <c r="S101" s="4">
        <v>2</v>
      </c>
      <c r="T101" s="4">
        <v>1</v>
      </c>
      <c r="U101" s="4">
        <v>1</v>
      </c>
      <c r="V101" s="4">
        <v>1</v>
      </c>
      <c r="W101" s="4">
        <v>1</v>
      </c>
      <c r="X101" s="4">
        <v>1</v>
      </c>
      <c r="Y101" s="4">
        <v>1</v>
      </c>
      <c r="Z101" s="4">
        <v>29</v>
      </c>
    </row>
    <row r="102" spans="1:27">
      <c r="A102" s="4" t="s">
        <v>127</v>
      </c>
      <c r="B102" s="4">
        <v>2</v>
      </c>
      <c r="C102" s="4">
        <v>1</v>
      </c>
      <c r="D102" s="4">
        <v>2</v>
      </c>
      <c r="E102" s="4">
        <v>1</v>
      </c>
      <c r="F102" s="4">
        <v>2</v>
      </c>
      <c r="G102" s="4">
        <v>2</v>
      </c>
      <c r="H102" s="4">
        <v>1</v>
      </c>
      <c r="I102" s="4">
        <v>1</v>
      </c>
      <c r="J102" s="4">
        <v>2</v>
      </c>
      <c r="K102" s="4">
        <v>1</v>
      </c>
      <c r="L102" s="4">
        <v>2</v>
      </c>
      <c r="M102" s="4">
        <v>1</v>
      </c>
      <c r="N102" s="4">
        <v>2</v>
      </c>
      <c r="O102" s="4">
        <v>1</v>
      </c>
      <c r="P102" s="4">
        <v>2</v>
      </c>
      <c r="Q102" s="4">
        <v>2</v>
      </c>
      <c r="R102" s="4">
        <v>1</v>
      </c>
      <c r="S102" s="4">
        <v>2</v>
      </c>
      <c r="T102" s="4">
        <v>1</v>
      </c>
      <c r="U102" s="4">
        <v>2</v>
      </c>
      <c r="V102" s="4">
        <v>2</v>
      </c>
      <c r="W102" s="4">
        <v>3</v>
      </c>
      <c r="X102" s="4">
        <v>1</v>
      </c>
      <c r="Y102" s="4">
        <v>2</v>
      </c>
      <c r="Z102" s="4">
        <v>39</v>
      </c>
    </row>
    <row r="103" spans="1:27">
      <c r="A103" s="4" t="s">
        <v>128</v>
      </c>
      <c r="B103" s="4">
        <v>1</v>
      </c>
      <c r="C103" s="4">
        <v>2</v>
      </c>
      <c r="D103" s="4">
        <v>3</v>
      </c>
      <c r="E103" s="4">
        <v>3</v>
      </c>
      <c r="F103" s="4">
        <v>1</v>
      </c>
      <c r="G103" s="4">
        <v>3</v>
      </c>
      <c r="H103" s="4">
        <v>3</v>
      </c>
      <c r="I103" s="4">
        <v>4</v>
      </c>
      <c r="J103" s="4">
        <v>4</v>
      </c>
      <c r="K103" s="4">
        <v>3</v>
      </c>
      <c r="L103" s="4">
        <v>1</v>
      </c>
      <c r="M103" s="4">
        <v>4</v>
      </c>
      <c r="N103" s="4">
        <v>3</v>
      </c>
      <c r="O103" s="4">
        <v>4</v>
      </c>
      <c r="P103" s="4">
        <v>3</v>
      </c>
      <c r="Q103" s="4">
        <v>4</v>
      </c>
      <c r="R103" s="4">
        <v>3</v>
      </c>
      <c r="S103" s="4">
        <v>2</v>
      </c>
      <c r="T103" s="4">
        <v>3</v>
      </c>
      <c r="U103" s="4">
        <v>3</v>
      </c>
      <c r="V103" s="4">
        <v>2</v>
      </c>
      <c r="W103" s="4">
        <v>2</v>
      </c>
      <c r="X103" s="4">
        <v>2</v>
      </c>
      <c r="Y103" s="4">
        <v>4</v>
      </c>
      <c r="Z103" s="4">
        <v>67</v>
      </c>
    </row>
    <row r="104" spans="1:27">
      <c r="A104" s="4" t="s">
        <v>129</v>
      </c>
      <c r="B104" s="4">
        <v>2</v>
      </c>
      <c r="C104" s="4">
        <v>2</v>
      </c>
      <c r="D104" s="4">
        <v>2</v>
      </c>
      <c r="E104" s="4">
        <v>3</v>
      </c>
      <c r="F104" s="4">
        <v>3</v>
      </c>
      <c r="G104" s="4">
        <v>3</v>
      </c>
      <c r="H104" s="4">
        <v>3</v>
      </c>
      <c r="I104" s="4">
        <v>4</v>
      </c>
      <c r="J104" s="4">
        <v>3</v>
      </c>
      <c r="K104" s="4">
        <v>2</v>
      </c>
      <c r="L104" s="4">
        <v>1</v>
      </c>
      <c r="M104" s="4">
        <v>3</v>
      </c>
      <c r="N104" s="4">
        <v>3</v>
      </c>
      <c r="O104" s="4">
        <v>4</v>
      </c>
      <c r="P104" s="4">
        <v>3</v>
      </c>
      <c r="Q104" s="4">
        <v>4</v>
      </c>
      <c r="R104" s="4">
        <v>4</v>
      </c>
      <c r="S104" s="4">
        <v>3</v>
      </c>
      <c r="T104" s="4">
        <v>3</v>
      </c>
      <c r="U104" s="4">
        <v>3</v>
      </c>
      <c r="V104" s="4">
        <v>4</v>
      </c>
      <c r="W104" s="4">
        <v>1</v>
      </c>
      <c r="X104" s="4">
        <v>3</v>
      </c>
      <c r="Y104" s="4">
        <v>3</v>
      </c>
      <c r="Z104" s="4">
        <v>69</v>
      </c>
    </row>
    <row r="105" spans="1:27">
      <c r="A105" s="4" t="s">
        <v>130</v>
      </c>
      <c r="B105" s="4">
        <v>1</v>
      </c>
      <c r="C105" s="4">
        <v>1</v>
      </c>
      <c r="D105" s="4">
        <v>1</v>
      </c>
      <c r="E105" s="4">
        <v>2</v>
      </c>
      <c r="F105" s="4">
        <v>2</v>
      </c>
      <c r="G105" s="4">
        <v>2</v>
      </c>
      <c r="H105" s="4">
        <v>2</v>
      </c>
      <c r="I105" s="4">
        <v>1</v>
      </c>
      <c r="J105" s="4">
        <v>2</v>
      </c>
      <c r="K105" s="4">
        <v>2</v>
      </c>
      <c r="L105" s="4">
        <v>2</v>
      </c>
      <c r="M105" s="4">
        <v>2</v>
      </c>
      <c r="N105" s="4">
        <v>2</v>
      </c>
      <c r="O105" s="4">
        <v>2</v>
      </c>
      <c r="P105" s="4">
        <v>1</v>
      </c>
      <c r="Q105" s="4">
        <v>2</v>
      </c>
      <c r="R105" s="4">
        <v>2</v>
      </c>
      <c r="S105" s="4">
        <v>1</v>
      </c>
      <c r="T105" s="4">
        <v>2</v>
      </c>
      <c r="U105" s="4">
        <v>1</v>
      </c>
      <c r="V105" s="4">
        <v>2</v>
      </c>
      <c r="W105" s="4">
        <v>3</v>
      </c>
      <c r="X105" s="4">
        <v>2</v>
      </c>
      <c r="Y105" s="4">
        <v>1</v>
      </c>
      <c r="Z105" s="4">
        <v>41</v>
      </c>
    </row>
    <row r="106" spans="1:27">
      <c r="A106" s="4" t="s">
        <v>131</v>
      </c>
      <c r="B106" s="4">
        <v>3</v>
      </c>
      <c r="C106" s="4">
        <v>2</v>
      </c>
      <c r="D106" s="4">
        <v>2</v>
      </c>
      <c r="E106" s="4">
        <v>2</v>
      </c>
      <c r="F106" s="4">
        <v>2</v>
      </c>
      <c r="G106" s="4">
        <v>4</v>
      </c>
      <c r="H106" s="4">
        <v>2</v>
      </c>
      <c r="I106" s="4">
        <v>3</v>
      </c>
      <c r="J106" s="4">
        <v>2</v>
      </c>
      <c r="K106" s="4">
        <v>3</v>
      </c>
      <c r="L106" s="4">
        <v>2</v>
      </c>
      <c r="M106" s="4">
        <v>2</v>
      </c>
      <c r="N106" s="4">
        <v>4</v>
      </c>
      <c r="O106" s="4">
        <v>3</v>
      </c>
      <c r="P106" s="4">
        <v>3</v>
      </c>
      <c r="Q106" s="4">
        <v>3</v>
      </c>
      <c r="R106" s="4">
        <v>2</v>
      </c>
      <c r="S106" s="4">
        <v>2</v>
      </c>
      <c r="T106" s="4">
        <v>3</v>
      </c>
      <c r="U106" s="4">
        <v>2</v>
      </c>
      <c r="V106" s="4">
        <v>3</v>
      </c>
      <c r="W106" s="4">
        <v>2</v>
      </c>
      <c r="X106" s="4">
        <v>3</v>
      </c>
      <c r="Y106" s="4">
        <v>2</v>
      </c>
      <c r="Z106" s="4">
        <v>61</v>
      </c>
    </row>
    <row r="107" spans="1:27">
      <c r="A107" s="4" t="s">
        <v>132</v>
      </c>
      <c r="B107" s="4">
        <v>3</v>
      </c>
      <c r="C107" s="4">
        <v>2</v>
      </c>
      <c r="D107" s="4">
        <v>4</v>
      </c>
      <c r="E107" s="4">
        <v>5</v>
      </c>
      <c r="F107" s="4">
        <v>2</v>
      </c>
      <c r="G107" s="4">
        <v>4</v>
      </c>
      <c r="H107" s="4">
        <v>3</v>
      </c>
      <c r="I107" s="4">
        <v>5</v>
      </c>
      <c r="J107" s="4">
        <v>5</v>
      </c>
      <c r="K107" s="4">
        <v>5</v>
      </c>
      <c r="L107" s="4">
        <v>2</v>
      </c>
      <c r="M107" s="4">
        <v>4</v>
      </c>
      <c r="N107" s="4">
        <v>4</v>
      </c>
      <c r="O107" s="4">
        <v>4</v>
      </c>
      <c r="P107" s="4">
        <v>3</v>
      </c>
      <c r="Q107" s="4">
        <v>5</v>
      </c>
      <c r="R107" s="4">
        <v>5</v>
      </c>
      <c r="S107" s="4">
        <v>2</v>
      </c>
      <c r="T107" s="4">
        <v>5</v>
      </c>
      <c r="U107" s="4">
        <v>5</v>
      </c>
      <c r="V107" s="4">
        <v>5</v>
      </c>
      <c r="W107" s="4">
        <v>1</v>
      </c>
      <c r="X107" s="4">
        <v>4</v>
      </c>
      <c r="Y107" s="4">
        <v>4</v>
      </c>
      <c r="Z107" s="4">
        <v>91</v>
      </c>
    </row>
    <row r="108" spans="1:27">
      <c r="A108" s="4" t="s">
        <v>133</v>
      </c>
      <c r="B108" s="4">
        <v>3</v>
      </c>
      <c r="C108" s="4">
        <v>1</v>
      </c>
      <c r="D108" s="4">
        <v>3</v>
      </c>
      <c r="E108" s="4">
        <v>4</v>
      </c>
      <c r="F108" s="4">
        <v>2</v>
      </c>
      <c r="G108" s="4">
        <v>3</v>
      </c>
      <c r="H108" s="4">
        <v>3</v>
      </c>
      <c r="I108" s="4">
        <v>2</v>
      </c>
      <c r="J108" s="4">
        <v>3</v>
      </c>
      <c r="K108" s="4">
        <v>3</v>
      </c>
      <c r="L108" s="4">
        <v>2</v>
      </c>
      <c r="M108" s="4">
        <v>4</v>
      </c>
      <c r="N108" s="4">
        <v>3</v>
      </c>
      <c r="O108" s="4">
        <v>4</v>
      </c>
      <c r="P108" s="4">
        <v>2</v>
      </c>
      <c r="Q108" s="4">
        <v>3</v>
      </c>
      <c r="R108" s="4">
        <v>3</v>
      </c>
      <c r="S108" s="4">
        <v>2</v>
      </c>
      <c r="T108" s="4">
        <v>4</v>
      </c>
      <c r="U108" s="4">
        <v>3</v>
      </c>
      <c r="V108" s="4">
        <v>3</v>
      </c>
      <c r="W108" s="4">
        <v>1</v>
      </c>
      <c r="X108" s="4">
        <v>3</v>
      </c>
      <c r="Y108" s="4">
        <v>4</v>
      </c>
      <c r="Z108" s="4">
        <v>68</v>
      </c>
    </row>
    <row r="109" spans="1:27">
      <c r="A109" s="4" t="s">
        <v>134</v>
      </c>
      <c r="B109" s="4">
        <v>2</v>
      </c>
      <c r="C109" s="4">
        <v>3</v>
      </c>
      <c r="D109" s="4">
        <v>2</v>
      </c>
      <c r="E109" s="4">
        <v>4</v>
      </c>
      <c r="F109" s="4">
        <v>2</v>
      </c>
      <c r="G109" s="4">
        <v>4</v>
      </c>
      <c r="H109" s="4">
        <v>3</v>
      </c>
      <c r="I109" s="4">
        <v>4</v>
      </c>
      <c r="J109" s="4">
        <v>3</v>
      </c>
      <c r="K109" s="4">
        <v>3</v>
      </c>
      <c r="L109" s="4">
        <v>2</v>
      </c>
      <c r="M109" s="4">
        <v>4</v>
      </c>
      <c r="N109" s="4">
        <v>4</v>
      </c>
      <c r="O109" s="4">
        <v>3</v>
      </c>
      <c r="P109" s="4">
        <v>1</v>
      </c>
      <c r="Q109" s="4">
        <v>4</v>
      </c>
      <c r="R109" s="4">
        <v>2</v>
      </c>
      <c r="S109" s="4">
        <v>3</v>
      </c>
      <c r="T109" s="4">
        <v>4</v>
      </c>
      <c r="U109" s="4">
        <v>3</v>
      </c>
      <c r="V109" s="4">
        <v>2</v>
      </c>
      <c r="W109" s="4">
        <v>2</v>
      </c>
      <c r="X109" s="4">
        <v>4</v>
      </c>
      <c r="Y109" s="4">
        <v>2</v>
      </c>
      <c r="Z109" s="4">
        <v>70</v>
      </c>
    </row>
    <row r="110" spans="1:27">
      <c r="A110" s="4" t="s">
        <v>135</v>
      </c>
      <c r="B110" s="4">
        <v>1</v>
      </c>
      <c r="C110" s="4">
        <v>1</v>
      </c>
      <c r="D110" s="4">
        <v>2</v>
      </c>
      <c r="E110" s="4">
        <v>2</v>
      </c>
      <c r="F110" s="4">
        <v>2</v>
      </c>
      <c r="G110" s="4">
        <v>2</v>
      </c>
      <c r="H110" s="4">
        <v>2</v>
      </c>
      <c r="I110" s="4">
        <v>2</v>
      </c>
      <c r="J110" s="4">
        <v>2</v>
      </c>
      <c r="K110" s="4">
        <v>2</v>
      </c>
      <c r="L110" s="4">
        <v>3</v>
      </c>
      <c r="M110" s="4">
        <v>3</v>
      </c>
      <c r="N110" s="4">
        <v>1</v>
      </c>
      <c r="O110" s="4">
        <v>2</v>
      </c>
      <c r="P110" s="4">
        <v>2</v>
      </c>
      <c r="Q110" s="4">
        <v>2</v>
      </c>
      <c r="R110" s="4">
        <v>2</v>
      </c>
      <c r="S110" s="4">
        <v>1</v>
      </c>
      <c r="T110" s="4">
        <v>1</v>
      </c>
      <c r="U110" s="4">
        <v>3</v>
      </c>
      <c r="V110" s="4">
        <v>2</v>
      </c>
      <c r="W110" s="4">
        <v>1</v>
      </c>
      <c r="X110" s="4">
        <v>2</v>
      </c>
      <c r="Y110" s="4">
        <v>2</v>
      </c>
      <c r="Z110" s="4">
        <v>45</v>
      </c>
    </row>
    <row r="111" spans="1:27">
      <c r="A111" s="4" t="s">
        <v>136</v>
      </c>
      <c r="B111" s="4">
        <v>1</v>
      </c>
      <c r="C111" s="4">
        <v>3</v>
      </c>
      <c r="D111" s="4">
        <v>2</v>
      </c>
      <c r="E111" s="4">
        <v>4</v>
      </c>
      <c r="F111" s="4">
        <v>3</v>
      </c>
      <c r="G111" s="4">
        <v>2</v>
      </c>
      <c r="H111" s="4">
        <v>3</v>
      </c>
      <c r="I111" s="4">
        <v>3</v>
      </c>
      <c r="J111" s="4">
        <v>2</v>
      </c>
      <c r="K111" s="4">
        <v>3</v>
      </c>
      <c r="L111" s="4">
        <v>3</v>
      </c>
      <c r="M111" s="4">
        <v>2</v>
      </c>
      <c r="N111" s="4">
        <v>2</v>
      </c>
      <c r="O111" s="4">
        <v>3</v>
      </c>
      <c r="P111" s="4">
        <v>2</v>
      </c>
      <c r="Q111" s="4">
        <v>4</v>
      </c>
      <c r="R111" s="4">
        <v>3</v>
      </c>
      <c r="S111" s="4">
        <v>1</v>
      </c>
      <c r="T111" s="4">
        <v>3</v>
      </c>
      <c r="U111" s="4">
        <v>4</v>
      </c>
      <c r="V111" s="4">
        <v>3</v>
      </c>
      <c r="W111" s="4">
        <v>1</v>
      </c>
      <c r="X111" s="4">
        <v>3</v>
      </c>
      <c r="Y111" s="4">
        <v>3</v>
      </c>
      <c r="Z111" s="4">
        <v>63</v>
      </c>
    </row>
    <row r="112" spans="1:27">
      <c r="A112" s="4" t="s">
        <v>137</v>
      </c>
      <c r="B112" s="4">
        <v>2</v>
      </c>
      <c r="C112" s="4">
        <v>2</v>
      </c>
      <c r="D112" s="4">
        <v>2</v>
      </c>
      <c r="E112" s="4">
        <v>3</v>
      </c>
      <c r="F112" s="4">
        <v>2</v>
      </c>
      <c r="G112" s="4">
        <v>3</v>
      </c>
      <c r="H112" s="4">
        <v>2</v>
      </c>
      <c r="I112" s="4">
        <v>3</v>
      </c>
      <c r="J112" s="4">
        <v>2</v>
      </c>
      <c r="K112" s="4">
        <v>2</v>
      </c>
      <c r="L112" s="4">
        <v>3</v>
      </c>
      <c r="M112" s="4">
        <v>2</v>
      </c>
      <c r="N112" s="4">
        <v>2</v>
      </c>
      <c r="O112" s="4">
        <v>2</v>
      </c>
      <c r="P112" s="4">
        <v>3</v>
      </c>
      <c r="Q112" s="4">
        <v>2</v>
      </c>
      <c r="R112" s="4">
        <v>2</v>
      </c>
      <c r="S112" s="4">
        <v>3</v>
      </c>
      <c r="T112" s="4">
        <v>3</v>
      </c>
      <c r="U112" s="4">
        <v>3</v>
      </c>
      <c r="V112" s="4">
        <v>3</v>
      </c>
      <c r="W112" s="4">
        <v>2</v>
      </c>
      <c r="X112" s="4">
        <v>2</v>
      </c>
      <c r="Y112" s="4">
        <v>3</v>
      </c>
      <c r="Z112" s="4">
        <v>58</v>
      </c>
    </row>
    <row r="113" spans="1:27">
      <c r="A113" s="4" t="s">
        <v>138</v>
      </c>
      <c r="B113" s="4">
        <v>3</v>
      </c>
      <c r="C113" s="4">
        <v>2</v>
      </c>
      <c r="D113" s="4">
        <v>3</v>
      </c>
      <c r="E113" s="4">
        <v>3</v>
      </c>
      <c r="F113" s="4">
        <v>1</v>
      </c>
      <c r="G113" s="4">
        <v>2</v>
      </c>
      <c r="H113" s="4">
        <v>3</v>
      </c>
      <c r="I113" s="4">
        <v>2</v>
      </c>
      <c r="J113" s="4">
        <v>3</v>
      </c>
      <c r="K113" s="4">
        <v>3</v>
      </c>
      <c r="L113" s="4">
        <v>2</v>
      </c>
      <c r="M113" s="4">
        <v>2</v>
      </c>
      <c r="N113" s="4">
        <v>3</v>
      </c>
      <c r="O113" s="4">
        <v>2</v>
      </c>
      <c r="P113" s="4">
        <v>3</v>
      </c>
      <c r="Q113" s="4">
        <v>3</v>
      </c>
      <c r="R113" s="4">
        <v>2</v>
      </c>
      <c r="S113" s="4">
        <v>2</v>
      </c>
      <c r="T113" s="4">
        <v>3</v>
      </c>
      <c r="U113" s="4">
        <v>2</v>
      </c>
      <c r="V113" s="4">
        <v>2</v>
      </c>
      <c r="W113" s="4">
        <v>2</v>
      </c>
      <c r="X113" s="4">
        <v>3</v>
      </c>
      <c r="Y113" s="4">
        <v>3</v>
      </c>
      <c r="Z113" s="4">
        <v>59</v>
      </c>
    </row>
    <row r="114" spans="1:27">
      <c r="A114" s="4" t="s">
        <v>139</v>
      </c>
      <c r="B114" s="4">
        <v>3</v>
      </c>
      <c r="C114" s="4">
        <v>1</v>
      </c>
      <c r="D114" s="4">
        <v>3</v>
      </c>
      <c r="E114" s="4">
        <v>2</v>
      </c>
      <c r="F114" s="4">
        <v>2</v>
      </c>
      <c r="G114" s="4">
        <v>2</v>
      </c>
      <c r="H114" s="4">
        <v>3</v>
      </c>
      <c r="I114" s="4">
        <v>2</v>
      </c>
      <c r="J114" s="4">
        <v>2</v>
      </c>
      <c r="K114" s="4">
        <v>4</v>
      </c>
      <c r="L114" s="4">
        <v>2</v>
      </c>
      <c r="M114" s="4">
        <v>4</v>
      </c>
      <c r="N114" s="4">
        <v>3</v>
      </c>
      <c r="O114" s="4">
        <v>3</v>
      </c>
      <c r="P114" s="4">
        <v>2</v>
      </c>
      <c r="Q114" s="4">
        <v>3</v>
      </c>
      <c r="R114" s="4">
        <v>3</v>
      </c>
      <c r="S114" s="4">
        <v>2</v>
      </c>
      <c r="T114" s="4">
        <v>3</v>
      </c>
      <c r="U114" s="4">
        <v>2</v>
      </c>
      <c r="V114" s="4">
        <v>2</v>
      </c>
      <c r="W114" s="4">
        <v>2</v>
      </c>
      <c r="X114" s="4">
        <v>2</v>
      </c>
      <c r="Y114" s="4">
        <v>3</v>
      </c>
      <c r="Z114" s="4">
        <v>60</v>
      </c>
    </row>
    <row r="115" spans="1:27">
      <c r="A115" s="4" t="s">
        <v>140</v>
      </c>
      <c r="B115" s="4">
        <v>1</v>
      </c>
      <c r="C115" s="4">
        <v>3</v>
      </c>
      <c r="D115" s="4">
        <v>3</v>
      </c>
      <c r="E115" s="4">
        <v>2</v>
      </c>
      <c r="F115" s="4">
        <v>2</v>
      </c>
      <c r="G115" s="4">
        <v>4</v>
      </c>
      <c r="H115" s="4">
        <v>3</v>
      </c>
      <c r="I115" s="4">
        <v>3</v>
      </c>
      <c r="J115" s="4">
        <v>4</v>
      </c>
      <c r="K115" s="4">
        <v>4</v>
      </c>
      <c r="L115" s="4">
        <v>1</v>
      </c>
      <c r="M115" s="4">
        <v>3</v>
      </c>
      <c r="N115" s="4">
        <v>2</v>
      </c>
      <c r="O115" s="4">
        <v>3</v>
      </c>
      <c r="P115" s="4">
        <v>2</v>
      </c>
      <c r="Q115" s="4">
        <v>3</v>
      </c>
      <c r="R115" s="4">
        <v>3</v>
      </c>
      <c r="S115" s="4">
        <v>1</v>
      </c>
      <c r="T115" s="4">
        <v>3</v>
      </c>
      <c r="U115" s="4">
        <v>2</v>
      </c>
      <c r="V115" s="4">
        <v>3</v>
      </c>
      <c r="W115" s="4">
        <v>2</v>
      </c>
      <c r="X115" s="4">
        <v>3</v>
      </c>
      <c r="Y115" s="4">
        <v>3</v>
      </c>
      <c r="Z115" s="4">
        <v>63</v>
      </c>
    </row>
    <row r="116" spans="1:27">
      <c r="A116" s="4" t="s">
        <v>141</v>
      </c>
      <c r="B116" s="4">
        <v>2</v>
      </c>
      <c r="C116" s="4">
        <v>1</v>
      </c>
      <c r="D116" s="4">
        <v>3</v>
      </c>
      <c r="E116" s="4">
        <v>3</v>
      </c>
      <c r="F116" s="4">
        <v>2</v>
      </c>
      <c r="G116" s="4">
        <v>3</v>
      </c>
      <c r="H116" s="4">
        <v>3</v>
      </c>
      <c r="I116" s="4">
        <v>4</v>
      </c>
      <c r="J116" s="4">
        <v>4</v>
      </c>
      <c r="K116" s="4">
        <v>3</v>
      </c>
      <c r="L116" s="4">
        <v>2</v>
      </c>
      <c r="M116" s="4">
        <v>4</v>
      </c>
      <c r="N116" s="4">
        <v>3</v>
      </c>
      <c r="O116" s="4">
        <v>2</v>
      </c>
      <c r="P116" s="4">
        <v>2</v>
      </c>
      <c r="Q116" s="4">
        <v>4</v>
      </c>
      <c r="R116" s="4">
        <v>4</v>
      </c>
      <c r="S116" s="4">
        <v>2</v>
      </c>
      <c r="T116" s="4">
        <v>4</v>
      </c>
      <c r="U116" s="4">
        <v>3</v>
      </c>
      <c r="V116" s="4">
        <v>4</v>
      </c>
      <c r="W116" s="4">
        <v>2</v>
      </c>
      <c r="X116" s="4">
        <v>4</v>
      </c>
      <c r="Y116" s="4">
        <v>3</v>
      </c>
      <c r="Z116" s="4">
        <v>71</v>
      </c>
    </row>
    <row r="117" spans="1:27">
      <c r="A117" s="4" t="s">
        <v>142</v>
      </c>
      <c r="B117" s="4">
        <v>2</v>
      </c>
      <c r="C117" s="4">
        <v>1</v>
      </c>
      <c r="D117" s="4">
        <v>2</v>
      </c>
      <c r="E117" s="4">
        <v>4</v>
      </c>
      <c r="F117" s="4">
        <v>2</v>
      </c>
      <c r="G117" s="4">
        <v>4</v>
      </c>
      <c r="H117" s="4">
        <v>3</v>
      </c>
      <c r="I117" s="4">
        <v>3</v>
      </c>
      <c r="J117" s="4">
        <v>2</v>
      </c>
      <c r="K117" s="4">
        <v>3</v>
      </c>
      <c r="L117" s="4">
        <v>3</v>
      </c>
      <c r="M117" s="4">
        <v>2</v>
      </c>
      <c r="N117" s="4">
        <v>3</v>
      </c>
      <c r="O117" s="4">
        <v>4</v>
      </c>
      <c r="P117" s="4">
        <v>1</v>
      </c>
      <c r="Q117" s="4">
        <v>4</v>
      </c>
      <c r="R117" s="4">
        <v>3</v>
      </c>
      <c r="S117" s="4">
        <v>3</v>
      </c>
      <c r="T117" s="4">
        <v>3</v>
      </c>
      <c r="U117" s="4">
        <v>4</v>
      </c>
      <c r="V117" s="4">
        <v>4</v>
      </c>
      <c r="W117" s="4">
        <v>2</v>
      </c>
      <c r="X117" s="4">
        <v>3</v>
      </c>
      <c r="Y117" s="4">
        <v>2</v>
      </c>
      <c r="Z117" s="4">
        <v>67</v>
      </c>
    </row>
    <row r="118" spans="1:27">
      <c r="A118" s="4" t="s">
        <v>143</v>
      </c>
      <c r="B118" s="4">
        <v>2</v>
      </c>
      <c r="C118" s="4">
        <v>1</v>
      </c>
      <c r="D118" s="4">
        <v>4</v>
      </c>
      <c r="E118" s="4">
        <v>5</v>
      </c>
      <c r="F118" s="4">
        <v>2</v>
      </c>
      <c r="G118" s="4">
        <v>5</v>
      </c>
      <c r="H118" s="4">
        <v>5</v>
      </c>
      <c r="I118" s="4">
        <v>5</v>
      </c>
      <c r="J118" s="4">
        <v>4</v>
      </c>
      <c r="K118" s="4">
        <v>5</v>
      </c>
      <c r="L118" s="4">
        <v>2</v>
      </c>
      <c r="M118" s="4">
        <v>4</v>
      </c>
      <c r="N118" s="4">
        <v>3</v>
      </c>
      <c r="O118" s="4">
        <v>4</v>
      </c>
      <c r="P118" s="4">
        <v>3</v>
      </c>
      <c r="Q118" s="4">
        <v>3</v>
      </c>
      <c r="R118" s="4">
        <v>5</v>
      </c>
      <c r="S118" s="4">
        <v>3</v>
      </c>
      <c r="T118" s="4">
        <v>5</v>
      </c>
      <c r="U118" s="4">
        <v>4</v>
      </c>
      <c r="V118" s="4">
        <v>4</v>
      </c>
      <c r="W118" s="4">
        <v>3</v>
      </c>
      <c r="X118" s="4">
        <v>4</v>
      </c>
      <c r="Y118" s="4">
        <v>3</v>
      </c>
      <c r="Z118" s="4">
        <v>88</v>
      </c>
    </row>
    <row r="119" spans="1:27">
      <c r="A119" s="4" t="s">
        <v>144</v>
      </c>
      <c r="B119" s="4">
        <v>3</v>
      </c>
      <c r="C119" s="4">
        <v>2</v>
      </c>
      <c r="D119" s="4">
        <v>5</v>
      </c>
      <c r="E119" s="4">
        <v>5</v>
      </c>
      <c r="F119" s="4">
        <v>2</v>
      </c>
      <c r="G119" s="4">
        <v>5</v>
      </c>
      <c r="H119" s="4">
        <v>5</v>
      </c>
      <c r="I119" s="4">
        <v>5</v>
      </c>
      <c r="J119" s="4">
        <v>5</v>
      </c>
      <c r="K119" s="4">
        <v>4</v>
      </c>
      <c r="L119" s="4">
        <v>2</v>
      </c>
      <c r="M119" s="4">
        <v>4</v>
      </c>
      <c r="N119" s="4">
        <v>5</v>
      </c>
      <c r="O119" s="4">
        <v>5</v>
      </c>
      <c r="P119" s="4">
        <v>3</v>
      </c>
      <c r="Q119" s="4">
        <v>4</v>
      </c>
      <c r="R119" s="4">
        <v>3</v>
      </c>
      <c r="S119" s="4">
        <v>3</v>
      </c>
      <c r="T119" s="4">
        <v>5</v>
      </c>
      <c r="U119" s="4">
        <v>5</v>
      </c>
      <c r="V119" s="4">
        <v>4</v>
      </c>
      <c r="W119" s="4">
        <v>1</v>
      </c>
      <c r="X119" s="4">
        <v>3</v>
      </c>
      <c r="Y119" s="4">
        <v>4</v>
      </c>
      <c r="Z119" s="4">
        <v>92</v>
      </c>
    </row>
    <row r="120" spans="1:27">
      <c r="A120" s="4" t="s">
        <v>145</v>
      </c>
      <c r="B120" s="4">
        <v>3</v>
      </c>
      <c r="C120" s="4">
        <v>3</v>
      </c>
      <c r="D120" s="4">
        <v>3</v>
      </c>
      <c r="E120" s="4">
        <v>3</v>
      </c>
      <c r="F120" s="4">
        <v>2</v>
      </c>
      <c r="G120" s="4">
        <v>3</v>
      </c>
      <c r="H120" s="4">
        <v>4</v>
      </c>
      <c r="I120" s="4">
        <v>4</v>
      </c>
      <c r="J120" s="4">
        <v>3</v>
      </c>
      <c r="K120" s="4">
        <v>4</v>
      </c>
      <c r="L120" s="4">
        <v>2</v>
      </c>
      <c r="M120" s="4">
        <v>3</v>
      </c>
      <c r="N120" s="4">
        <v>3</v>
      </c>
      <c r="O120" s="4">
        <v>4</v>
      </c>
      <c r="P120" s="4">
        <v>2</v>
      </c>
      <c r="Q120" s="4">
        <v>4</v>
      </c>
      <c r="R120" s="4">
        <v>3</v>
      </c>
      <c r="S120" s="4">
        <v>1</v>
      </c>
      <c r="T120" s="4">
        <v>3</v>
      </c>
      <c r="U120" s="4">
        <v>4</v>
      </c>
      <c r="V120" s="4">
        <v>3</v>
      </c>
      <c r="W120" s="4">
        <v>2</v>
      </c>
      <c r="X120" s="4">
        <v>3</v>
      </c>
      <c r="Y120" s="4">
        <v>4</v>
      </c>
      <c r="Z120" s="4">
        <v>73</v>
      </c>
    </row>
    <row r="121" spans="1:27">
      <c r="A121" s="4" t="s">
        <v>146</v>
      </c>
      <c r="B121" s="4">
        <v>2</v>
      </c>
      <c r="C121" s="4">
        <v>1</v>
      </c>
      <c r="D121" s="4">
        <v>2</v>
      </c>
      <c r="E121" s="4">
        <v>4</v>
      </c>
      <c r="F121" s="4">
        <v>2</v>
      </c>
      <c r="G121" s="4">
        <v>4</v>
      </c>
      <c r="H121" s="4">
        <v>2</v>
      </c>
      <c r="I121" s="4">
        <v>2</v>
      </c>
      <c r="J121" s="4">
        <v>2</v>
      </c>
      <c r="K121" s="4">
        <v>3</v>
      </c>
      <c r="L121" s="4">
        <v>3</v>
      </c>
      <c r="M121" s="4">
        <v>4</v>
      </c>
      <c r="N121" s="4">
        <v>2</v>
      </c>
      <c r="O121" s="4">
        <v>2</v>
      </c>
      <c r="P121" s="4">
        <v>2</v>
      </c>
      <c r="Q121" s="4">
        <v>3</v>
      </c>
      <c r="R121" s="4">
        <v>2</v>
      </c>
      <c r="S121" s="4">
        <v>2</v>
      </c>
      <c r="T121" s="4">
        <v>3</v>
      </c>
      <c r="U121" s="4">
        <v>3</v>
      </c>
      <c r="V121" s="4">
        <v>3</v>
      </c>
      <c r="W121" s="4">
        <v>2</v>
      </c>
      <c r="X121" s="4">
        <v>4</v>
      </c>
      <c r="Y121" s="4">
        <v>3</v>
      </c>
      <c r="Z121" s="4">
        <v>62</v>
      </c>
    </row>
    <row r="122" spans="1:27">
      <c r="A122" s="4" t="s">
        <v>147</v>
      </c>
      <c r="B122" s="4">
        <v>2</v>
      </c>
      <c r="C122" s="4">
        <v>2</v>
      </c>
      <c r="D122" s="4">
        <v>2</v>
      </c>
      <c r="E122" s="4">
        <v>2</v>
      </c>
      <c r="F122" s="4">
        <v>3</v>
      </c>
      <c r="G122" s="4">
        <v>3</v>
      </c>
      <c r="H122" s="4">
        <v>2</v>
      </c>
      <c r="I122" s="4">
        <v>2</v>
      </c>
      <c r="J122" s="4">
        <v>3</v>
      </c>
      <c r="K122" s="4">
        <v>2</v>
      </c>
      <c r="L122" s="4">
        <v>2</v>
      </c>
      <c r="M122" s="4">
        <v>3</v>
      </c>
      <c r="N122" s="4">
        <v>2</v>
      </c>
      <c r="O122" s="4">
        <v>3</v>
      </c>
      <c r="P122" s="4">
        <v>3</v>
      </c>
      <c r="Q122" s="4">
        <v>3</v>
      </c>
      <c r="R122" s="4">
        <v>3</v>
      </c>
      <c r="S122" s="4">
        <v>2</v>
      </c>
      <c r="T122" s="4">
        <v>2</v>
      </c>
      <c r="U122" s="4">
        <v>2</v>
      </c>
      <c r="V122" s="4">
        <v>3</v>
      </c>
      <c r="W122" s="4">
        <v>3</v>
      </c>
      <c r="X122" s="4">
        <v>3</v>
      </c>
      <c r="Y122" s="4">
        <v>3</v>
      </c>
      <c r="Z122" s="4">
        <v>60</v>
      </c>
    </row>
    <row r="123" spans="1:27">
      <c r="A123" s="4" t="s">
        <v>148</v>
      </c>
      <c r="B123" s="4">
        <v>2</v>
      </c>
      <c r="C123" s="4">
        <v>3</v>
      </c>
      <c r="D123" s="4">
        <v>2</v>
      </c>
      <c r="E123" s="4">
        <v>3</v>
      </c>
      <c r="F123" s="4">
        <v>3</v>
      </c>
      <c r="G123" s="4">
        <v>2</v>
      </c>
      <c r="H123" s="4">
        <v>3</v>
      </c>
      <c r="I123" s="4">
        <v>3</v>
      </c>
      <c r="J123" s="4">
        <v>3</v>
      </c>
      <c r="K123" s="4">
        <v>3</v>
      </c>
      <c r="L123" s="4">
        <v>1</v>
      </c>
      <c r="M123" s="4">
        <v>2</v>
      </c>
      <c r="N123" s="4">
        <v>2</v>
      </c>
      <c r="O123" s="4">
        <v>2</v>
      </c>
      <c r="P123" s="4">
        <v>1</v>
      </c>
      <c r="Q123" s="4">
        <v>4</v>
      </c>
      <c r="R123" s="4">
        <v>3</v>
      </c>
      <c r="S123" s="4">
        <v>1</v>
      </c>
      <c r="T123" s="4">
        <v>3</v>
      </c>
      <c r="U123" s="4">
        <v>3</v>
      </c>
      <c r="V123" s="4">
        <v>3</v>
      </c>
      <c r="W123" s="4">
        <v>1</v>
      </c>
      <c r="X123" s="4">
        <v>3</v>
      </c>
      <c r="Y123" s="4">
        <v>2</v>
      </c>
      <c r="Z123" s="4">
        <v>58</v>
      </c>
    </row>
    <row r="124" spans="1:27">
      <c r="A124" s="4" t="s">
        <v>149</v>
      </c>
      <c r="B124" s="4">
        <v>2</v>
      </c>
      <c r="C124" s="4">
        <v>3</v>
      </c>
      <c r="D124" s="4">
        <v>1</v>
      </c>
      <c r="E124" s="4">
        <v>1</v>
      </c>
      <c r="F124" s="4">
        <v>3</v>
      </c>
      <c r="G124" s="4">
        <v>1</v>
      </c>
      <c r="H124" s="4">
        <v>1</v>
      </c>
      <c r="I124" s="4">
        <v>1</v>
      </c>
      <c r="J124" s="4">
        <v>1</v>
      </c>
      <c r="K124" s="4">
        <v>1</v>
      </c>
      <c r="L124" s="4">
        <v>2</v>
      </c>
      <c r="M124" s="4">
        <v>1</v>
      </c>
      <c r="N124" s="4">
        <v>1</v>
      </c>
      <c r="O124" s="4">
        <v>1</v>
      </c>
      <c r="P124" s="4">
        <v>2</v>
      </c>
      <c r="Q124" s="4">
        <v>1</v>
      </c>
      <c r="R124" s="4">
        <v>1</v>
      </c>
      <c r="S124" s="4">
        <v>1</v>
      </c>
      <c r="T124" s="4">
        <v>1</v>
      </c>
      <c r="U124" s="4">
        <v>1</v>
      </c>
      <c r="V124" s="4">
        <v>1</v>
      </c>
      <c r="W124" s="4">
        <v>3</v>
      </c>
      <c r="X124" s="4">
        <v>1</v>
      </c>
      <c r="Y124" s="4">
        <v>1</v>
      </c>
      <c r="Z124" s="4">
        <v>33</v>
      </c>
    </row>
    <row r="125" spans="1:27">
      <c r="A125" s="4" t="s">
        <v>150</v>
      </c>
      <c r="B125" s="4">
        <v>2</v>
      </c>
      <c r="C125" s="4">
        <v>3</v>
      </c>
      <c r="D125" s="4">
        <v>2</v>
      </c>
      <c r="E125" s="4">
        <v>3</v>
      </c>
      <c r="F125" s="4">
        <v>3</v>
      </c>
      <c r="G125" s="4">
        <v>4</v>
      </c>
      <c r="H125" s="4">
        <v>4</v>
      </c>
      <c r="I125" s="4">
        <v>3</v>
      </c>
      <c r="J125" s="4">
        <v>3</v>
      </c>
      <c r="K125" s="4">
        <v>3</v>
      </c>
      <c r="L125" s="4">
        <v>2</v>
      </c>
      <c r="M125" s="4">
        <v>4</v>
      </c>
      <c r="N125" s="4">
        <v>2</v>
      </c>
      <c r="O125" s="4">
        <v>3</v>
      </c>
      <c r="P125" s="4">
        <v>3</v>
      </c>
      <c r="Q125" s="4">
        <v>3</v>
      </c>
      <c r="R125" s="4">
        <v>4</v>
      </c>
      <c r="S125" s="4">
        <v>3</v>
      </c>
      <c r="T125" s="4">
        <v>3</v>
      </c>
      <c r="U125" s="4">
        <v>4</v>
      </c>
      <c r="V125" s="4">
        <v>4</v>
      </c>
      <c r="W125" s="4">
        <v>2</v>
      </c>
      <c r="X125" s="4">
        <v>2</v>
      </c>
      <c r="Y125" s="4">
        <v>3</v>
      </c>
      <c r="Z125" s="4">
        <v>72</v>
      </c>
    </row>
    <row r="126" spans="1:27">
      <c r="A126" s="4" t="s">
        <v>151</v>
      </c>
      <c r="B126" s="4">
        <v>2</v>
      </c>
      <c r="C126" s="4">
        <v>3</v>
      </c>
      <c r="D126" s="4">
        <v>2</v>
      </c>
      <c r="E126" s="4">
        <v>3</v>
      </c>
      <c r="F126" s="4">
        <v>2</v>
      </c>
      <c r="G126" s="4">
        <v>3</v>
      </c>
      <c r="H126" s="4">
        <v>3</v>
      </c>
      <c r="I126" s="4">
        <v>2</v>
      </c>
      <c r="J126" s="4">
        <v>3</v>
      </c>
      <c r="K126" s="4">
        <v>2</v>
      </c>
      <c r="L126" s="4">
        <v>2</v>
      </c>
      <c r="M126" s="4">
        <v>3</v>
      </c>
      <c r="N126" s="4">
        <v>3</v>
      </c>
      <c r="O126" s="4">
        <v>2</v>
      </c>
      <c r="P126" s="4">
        <v>3</v>
      </c>
      <c r="Q126" s="4">
        <v>2</v>
      </c>
      <c r="R126" s="4">
        <v>3</v>
      </c>
      <c r="S126" s="4">
        <v>3</v>
      </c>
      <c r="T126" s="4">
        <v>2</v>
      </c>
      <c r="U126" s="4">
        <v>2</v>
      </c>
      <c r="V126" s="4">
        <v>2</v>
      </c>
      <c r="W126" s="4">
        <v>1</v>
      </c>
      <c r="X126" s="4">
        <v>2</v>
      </c>
      <c r="Y126" s="4">
        <v>2</v>
      </c>
      <c r="Z126" s="4">
        <v>57</v>
      </c>
    </row>
    <row r="127" spans="1:27">
      <c r="A127" s="4" t="s">
        <v>152</v>
      </c>
      <c r="B127" s="4">
        <v>2</v>
      </c>
      <c r="C127" s="4">
        <v>1</v>
      </c>
      <c r="D127" s="4">
        <v>3</v>
      </c>
      <c r="E127" s="4">
        <v>2</v>
      </c>
      <c r="F127" s="4">
        <v>2</v>
      </c>
      <c r="G127" s="4">
        <v>3</v>
      </c>
      <c r="H127" s="4">
        <v>2</v>
      </c>
      <c r="I127" s="4">
        <v>3</v>
      </c>
      <c r="J127" s="4">
        <v>2</v>
      </c>
      <c r="K127" s="4">
        <v>3</v>
      </c>
      <c r="L127" s="4">
        <v>3</v>
      </c>
      <c r="M127" s="4">
        <v>3</v>
      </c>
      <c r="N127" s="4">
        <v>2</v>
      </c>
      <c r="O127" s="4">
        <v>3</v>
      </c>
      <c r="P127" s="4">
        <v>1</v>
      </c>
      <c r="Q127" s="4">
        <v>3</v>
      </c>
      <c r="R127" s="4">
        <v>2</v>
      </c>
      <c r="S127" s="4">
        <v>2</v>
      </c>
      <c r="T127" s="4">
        <v>3</v>
      </c>
      <c r="U127" s="4">
        <v>2</v>
      </c>
      <c r="V127" s="4">
        <v>2</v>
      </c>
      <c r="W127" s="4">
        <v>2</v>
      </c>
      <c r="X127" s="4">
        <v>2</v>
      </c>
      <c r="Y127" s="4">
        <v>3</v>
      </c>
      <c r="Z127" s="4">
        <v>56</v>
      </c>
    </row>
    <row r="128" spans="1:27">
      <c r="A128" s="4" t="s">
        <v>153</v>
      </c>
      <c r="B128" s="4">
        <v>3</v>
      </c>
      <c r="C128" s="4">
        <v>3</v>
      </c>
      <c r="D128" s="4">
        <v>2</v>
      </c>
      <c r="E128" s="4">
        <v>1</v>
      </c>
      <c r="F128" s="4">
        <v>2</v>
      </c>
      <c r="G128" s="4">
        <v>2</v>
      </c>
      <c r="H128" s="4">
        <v>1</v>
      </c>
      <c r="I128" s="4">
        <v>2</v>
      </c>
      <c r="J128" s="4">
        <v>1</v>
      </c>
      <c r="K128" s="4">
        <v>2</v>
      </c>
      <c r="L128" s="4">
        <v>2</v>
      </c>
      <c r="M128" s="4">
        <v>1</v>
      </c>
      <c r="N128" s="4">
        <v>2</v>
      </c>
      <c r="O128" s="4">
        <v>2</v>
      </c>
      <c r="P128" s="4">
        <v>1</v>
      </c>
      <c r="Q128" s="4">
        <v>2</v>
      </c>
      <c r="R128" s="4">
        <v>2</v>
      </c>
      <c r="S128" s="4">
        <v>2</v>
      </c>
      <c r="T128" s="4">
        <v>2</v>
      </c>
      <c r="U128" s="4">
        <v>2</v>
      </c>
      <c r="V128" s="4">
        <v>2</v>
      </c>
      <c r="W128" s="4">
        <v>2</v>
      </c>
      <c r="X128" s="4">
        <v>2</v>
      </c>
      <c r="Y128" s="4">
        <v>2</v>
      </c>
      <c r="Z128" s="4">
        <v>45</v>
      </c>
    </row>
    <row r="129" spans="1:27">
      <c r="A129" s="4" t="s">
        <v>154</v>
      </c>
      <c r="B129" s="4">
        <v>2</v>
      </c>
      <c r="C129" s="4">
        <v>2</v>
      </c>
      <c r="D129" s="4">
        <v>5</v>
      </c>
      <c r="E129" s="4">
        <v>5</v>
      </c>
      <c r="F129" s="4">
        <v>2</v>
      </c>
      <c r="G129" s="4">
        <v>4</v>
      </c>
      <c r="H129" s="4">
        <v>5</v>
      </c>
      <c r="I129" s="4">
        <v>5</v>
      </c>
      <c r="J129" s="4">
        <v>5</v>
      </c>
      <c r="K129" s="4">
        <v>5</v>
      </c>
      <c r="L129" s="4">
        <v>2</v>
      </c>
      <c r="M129" s="4">
        <v>4</v>
      </c>
      <c r="N129" s="4">
        <v>4</v>
      </c>
      <c r="O129" s="4">
        <v>5</v>
      </c>
      <c r="P129" s="4">
        <v>3</v>
      </c>
      <c r="Q129" s="4">
        <v>5</v>
      </c>
      <c r="R129" s="4">
        <v>5</v>
      </c>
      <c r="S129" s="4">
        <v>2</v>
      </c>
      <c r="T129" s="4">
        <v>5</v>
      </c>
      <c r="U129" s="4">
        <v>3</v>
      </c>
      <c r="V129" s="4">
        <v>4</v>
      </c>
      <c r="W129" s="4">
        <v>1</v>
      </c>
      <c r="X129" s="4">
        <v>4</v>
      </c>
      <c r="Y129" s="4">
        <v>4</v>
      </c>
      <c r="Z129" s="4">
        <v>91</v>
      </c>
    </row>
    <row r="130" spans="1:27">
      <c r="A130" s="4" t="s">
        <v>155</v>
      </c>
      <c r="B130" s="4">
        <v>3</v>
      </c>
      <c r="C130" s="4">
        <v>3</v>
      </c>
      <c r="D130" s="4">
        <v>3</v>
      </c>
      <c r="E130" s="4">
        <v>2</v>
      </c>
      <c r="F130" s="4">
        <v>3</v>
      </c>
      <c r="G130" s="4">
        <v>2</v>
      </c>
      <c r="H130" s="4">
        <v>2</v>
      </c>
      <c r="I130" s="4">
        <v>2</v>
      </c>
      <c r="J130" s="4">
        <v>1</v>
      </c>
      <c r="K130" s="4">
        <v>3</v>
      </c>
      <c r="L130" s="4">
        <v>1</v>
      </c>
      <c r="M130" s="4">
        <v>2</v>
      </c>
      <c r="N130" s="4">
        <v>3</v>
      </c>
      <c r="O130" s="4">
        <v>2</v>
      </c>
      <c r="P130" s="4">
        <v>3</v>
      </c>
      <c r="Q130" s="4">
        <v>2</v>
      </c>
      <c r="R130" s="4">
        <v>2</v>
      </c>
      <c r="S130" s="4">
        <v>1</v>
      </c>
      <c r="T130" s="4">
        <v>2</v>
      </c>
      <c r="U130" s="4">
        <v>2</v>
      </c>
      <c r="V130" s="4">
        <v>3</v>
      </c>
      <c r="W130" s="4">
        <v>1</v>
      </c>
      <c r="X130" s="4">
        <v>2</v>
      </c>
      <c r="Y130" s="4">
        <v>2</v>
      </c>
      <c r="Z130" s="4">
        <v>52</v>
      </c>
    </row>
    <row r="131" spans="1:27">
      <c r="A131" s="4" t="s">
        <v>156</v>
      </c>
      <c r="B131" s="4">
        <v>2</v>
      </c>
      <c r="C131" s="4">
        <v>1</v>
      </c>
      <c r="D131" s="4">
        <v>4</v>
      </c>
      <c r="E131" s="4">
        <v>4</v>
      </c>
      <c r="F131" s="4">
        <v>3</v>
      </c>
      <c r="G131" s="4">
        <v>5</v>
      </c>
      <c r="H131" s="4">
        <v>5</v>
      </c>
      <c r="I131" s="4">
        <v>4</v>
      </c>
      <c r="J131" s="4">
        <v>4</v>
      </c>
      <c r="K131" s="4">
        <v>4</v>
      </c>
      <c r="L131" s="4">
        <v>1</v>
      </c>
      <c r="M131" s="4">
        <v>5</v>
      </c>
      <c r="N131" s="4">
        <v>5</v>
      </c>
      <c r="O131" s="4">
        <v>4</v>
      </c>
      <c r="P131" s="4">
        <v>1</v>
      </c>
      <c r="Q131" s="4">
        <v>4</v>
      </c>
      <c r="R131" s="4">
        <v>5</v>
      </c>
      <c r="S131" s="4">
        <v>3</v>
      </c>
      <c r="T131" s="4">
        <v>5</v>
      </c>
      <c r="U131" s="4">
        <v>5</v>
      </c>
      <c r="V131" s="4">
        <v>5</v>
      </c>
      <c r="W131" s="4">
        <v>1</v>
      </c>
      <c r="X131" s="4">
        <v>5</v>
      </c>
      <c r="Y131" s="4">
        <v>5</v>
      </c>
      <c r="Z131" s="4">
        <v>90</v>
      </c>
    </row>
    <row r="132" spans="1:27">
      <c r="A132" s="4" t="s">
        <v>157</v>
      </c>
      <c r="B132" s="4">
        <v>1</v>
      </c>
      <c r="C132" s="4">
        <v>2</v>
      </c>
      <c r="D132" s="4">
        <v>4</v>
      </c>
      <c r="E132" s="4">
        <v>3</v>
      </c>
      <c r="F132" s="4">
        <v>2</v>
      </c>
      <c r="G132" s="4">
        <v>4</v>
      </c>
      <c r="H132" s="4">
        <v>3</v>
      </c>
      <c r="I132" s="4">
        <v>3</v>
      </c>
      <c r="J132" s="4">
        <v>4</v>
      </c>
      <c r="K132" s="4">
        <v>4</v>
      </c>
      <c r="L132" s="4">
        <v>1</v>
      </c>
      <c r="M132" s="4">
        <v>2</v>
      </c>
      <c r="N132" s="4">
        <v>3</v>
      </c>
      <c r="O132" s="4">
        <v>3</v>
      </c>
      <c r="P132" s="4">
        <v>2</v>
      </c>
      <c r="Q132" s="4">
        <v>4</v>
      </c>
      <c r="R132" s="4">
        <v>3</v>
      </c>
      <c r="S132" s="4">
        <v>2</v>
      </c>
      <c r="T132" s="4">
        <v>3</v>
      </c>
      <c r="U132" s="4">
        <v>4</v>
      </c>
      <c r="V132" s="4">
        <v>3</v>
      </c>
      <c r="W132" s="4">
        <v>1</v>
      </c>
      <c r="X132" s="4">
        <v>4</v>
      </c>
      <c r="Y132" s="4">
        <v>2</v>
      </c>
      <c r="Z132" s="4">
        <v>67</v>
      </c>
    </row>
    <row r="133" spans="1:27">
      <c r="A133" s="4" t="s">
        <v>158</v>
      </c>
      <c r="B133" s="4">
        <v>2</v>
      </c>
      <c r="C133" s="4">
        <v>3</v>
      </c>
      <c r="D133" s="4">
        <v>3</v>
      </c>
      <c r="E133" s="4">
        <v>3</v>
      </c>
      <c r="F133" s="4">
        <v>3</v>
      </c>
      <c r="G133" s="4">
        <v>3</v>
      </c>
      <c r="H133" s="4">
        <v>2</v>
      </c>
      <c r="I133" s="4">
        <v>3</v>
      </c>
      <c r="J133" s="4">
        <v>2</v>
      </c>
      <c r="K133" s="4">
        <v>3</v>
      </c>
      <c r="L133" s="4">
        <v>3</v>
      </c>
      <c r="M133" s="4">
        <v>4</v>
      </c>
      <c r="N133" s="4">
        <v>2</v>
      </c>
      <c r="O133" s="4">
        <v>4</v>
      </c>
      <c r="P133" s="4">
        <v>2</v>
      </c>
      <c r="Q133" s="4">
        <v>2</v>
      </c>
      <c r="R133" s="4">
        <v>3</v>
      </c>
      <c r="S133" s="4">
        <v>2</v>
      </c>
      <c r="T133" s="4">
        <v>3</v>
      </c>
      <c r="U133" s="4">
        <v>3</v>
      </c>
      <c r="V133" s="4">
        <v>3</v>
      </c>
      <c r="W133" s="4">
        <v>1</v>
      </c>
      <c r="X133" s="4">
        <v>2</v>
      </c>
      <c r="Y133" s="4">
        <v>2</v>
      </c>
      <c r="Z133" s="4">
        <v>63</v>
      </c>
    </row>
    <row r="134" spans="1:27">
      <c r="A134" s="4" t="s">
        <v>159</v>
      </c>
      <c r="B134" s="4">
        <v>3</v>
      </c>
      <c r="C134" s="4">
        <v>2</v>
      </c>
      <c r="D134" s="4">
        <v>2</v>
      </c>
      <c r="E134" s="4">
        <v>2</v>
      </c>
      <c r="F134" s="4">
        <v>2</v>
      </c>
      <c r="G134" s="4">
        <v>2</v>
      </c>
      <c r="H134" s="4">
        <v>1</v>
      </c>
      <c r="I134" s="4">
        <v>1</v>
      </c>
      <c r="J134" s="4">
        <v>1</v>
      </c>
      <c r="K134" s="4">
        <v>2</v>
      </c>
      <c r="L134" s="4">
        <v>1</v>
      </c>
      <c r="M134" s="4">
        <v>2</v>
      </c>
      <c r="N134" s="4">
        <v>1</v>
      </c>
      <c r="O134" s="4">
        <v>2</v>
      </c>
      <c r="P134" s="4">
        <v>2</v>
      </c>
      <c r="Q134" s="4">
        <v>1</v>
      </c>
      <c r="R134" s="4">
        <v>1</v>
      </c>
      <c r="S134" s="4">
        <v>2</v>
      </c>
      <c r="T134" s="4">
        <v>2</v>
      </c>
      <c r="U134" s="4">
        <v>2</v>
      </c>
      <c r="V134" s="4">
        <v>2</v>
      </c>
      <c r="W134" s="4">
        <v>2</v>
      </c>
      <c r="X134" s="4">
        <v>1</v>
      </c>
      <c r="Y134" s="4">
        <v>2</v>
      </c>
      <c r="Z134" s="4">
        <v>41</v>
      </c>
    </row>
    <row r="135" spans="1:27">
      <c r="A135" s="4" t="s">
        <v>160</v>
      </c>
      <c r="B135" s="4">
        <v>1</v>
      </c>
      <c r="C135" s="4">
        <v>3</v>
      </c>
      <c r="D135" s="4">
        <v>3</v>
      </c>
      <c r="E135" s="4">
        <v>5</v>
      </c>
      <c r="F135" s="4">
        <v>3</v>
      </c>
      <c r="G135" s="4">
        <v>4</v>
      </c>
      <c r="H135" s="4">
        <v>5</v>
      </c>
      <c r="I135" s="4">
        <v>4</v>
      </c>
      <c r="J135" s="4">
        <v>5</v>
      </c>
      <c r="K135" s="4">
        <v>3</v>
      </c>
      <c r="L135" s="4">
        <v>3</v>
      </c>
      <c r="M135" s="4">
        <v>4</v>
      </c>
      <c r="N135" s="4">
        <v>4</v>
      </c>
      <c r="O135" s="4">
        <v>4</v>
      </c>
      <c r="P135" s="4">
        <v>2</v>
      </c>
      <c r="Q135" s="4">
        <v>5</v>
      </c>
      <c r="R135" s="4">
        <v>4</v>
      </c>
      <c r="S135" s="4">
        <v>3</v>
      </c>
      <c r="T135" s="4">
        <v>5</v>
      </c>
      <c r="U135" s="4">
        <v>4</v>
      </c>
      <c r="V135" s="4">
        <v>5</v>
      </c>
      <c r="W135" s="4">
        <v>2</v>
      </c>
      <c r="X135" s="4">
        <v>5</v>
      </c>
      <c r="Y135" s="4">
        <v>3</v>
      </c>
      <c r="Z135" s="4">
        <v>89</v>
      </c>
    </row>
    <row r="136" spans="1:27">
      <c r="A136" s="4" t="s">
        <v>161</v>
      </c>
      <c r="B136" s="4">
        <v>2</v>
      </c>
      <c r="C136" s="4">
        <v>2</v>
      </c>
      <c r="D136" s="4">
        <v>2</v>
      </c>
      <c r="E136" s="4">
        <v>3</v>
      </c>
      <c r="F136" s="4">
        <v>2</v>
      </c>
      <c r="G136" s="4">
        <v>2</v>
      </c>
      <c r="H136" s="4">
        <v>2</v>
      </c>
      <c r="I136" s="4">
        <v>4</v>
      </c>
      <c r="J136" s="4">
        <v>3</v>
      </c>
      <c r="K136" s="4">
        <v>2</v>
      </c>
      <c r="L136" s="4">
        <v>3</v>
      </c>
      <c r="M136" s="4">
        <v>3</v>
      </c>
      <c r="N136" s="4">
        <v>2</v>
      </c>
      <c r="O136" s="4">
        <v>2</v>
      </c>
      <c r="P136" s="4">
        <v>3</v>
      </c>
      <c r="Q136" s="4">
        <v>2</v>
      </c>
      <c r="R136" s="4">
        <v>2</v>
      </c>
      <c r="S136" s="4">
        <v>2</v>
      </c>
      <c r="T136" s="4">
        <v>3</v>
      </c>
      <c r="U136" s="4">
        <v>2</v>
      </c>
      <c r="V136" s="4">
        <v>4</v>
      </c>
      <c r="W136" s="4">
        <v>1</v>
      </c>
      <c r="X136" s="4">
        <v>2</v>
      </c>
      <c r="Y136" s="4">
        <v>3</v>
      </c>
      <c r="Z136" s="4">
        <v>58</v>
      </c>
    </row>
    <row r="137" spans="1:27">
      <c r="A137" s="4" t="s">
        <v>162</v>
      </c>
      <c r="B137" s="4">
        <v>3</v>
      </c>
      <c r="C137" s="4">
        <v>3</v>
      </c>
      <c r="D137" s="4">
        <v>5</v>
      </c>
      <c r="E137" s="4">
        <v>2</v>
      </c>
      <c r="F137" s="4">
        <v>2</v>
      </c>
      <c r="G137" s="4">
        <v>4</v>
      </c>
      <c r="H137" s="4">
        <v>4</v>
      </c>
      <c r="I137" s="4">
        <v>4</v>
      </c>
      <c r="J137" s="4">
        <v>4</v>
      </c>
      <c r="K137" s="4">
        <v>3</v>
      </c>
      <c r="L137" s="4">
        <v>2</v>
      </c>
      <c r="M137" s="4">
        <v>3</v>
      </c>
      <c r="N137" s="4">
        <v>3</v>
      </c>
      <c r="O137" s="4">
        <v>3</v>
      </c>
      <c r="P137" s="4">
        <v>2</v>
      </c>
      <c r="Q137" s="4">
        <v>3</v>
      </c>
      <c r="R137" s="4">
        <v>2</v>
      </c>
      <c r="S137" s="4">
        <v>2</v>
      </c>
      <c r="T137" s="4">
        <v>4</v>
      </c>
      <c r="U137" s="4">
        <v>4</v>
      </c>
      <c r="V137" s="4">
        <v>2</v>
      </c>
      <c r="W137" s="4">
        <v>2</v>
      </c>
      <c r="X137" s="4">
        <v>3</v>
      </c>
      <c r="Y137" s="4">
        <v>3</v>
      </c>
      <c r="Z137" s="4">
        <v>72</v>
      </c>
    </row>
    <row r="138" spans="1:27">
      <c r="A138" s="4" t="s">
        <v>163</v>
      </c>
      <c r="B138" s="4">
        <v>2</v>
      </c>
      <c r="C138" s="4">
        <v>3</v>
      </c>
      <c r="D138" s="4">
        <v>1</v>
      </c>
      <c r="E138" s="4">
        <v>1</v>
      </c>
      <c r="F138" s="4">
        <v>2</v>
      </c>
      <c r="G138" s="4">
        <v>2</v>
      </c>
      <c r="H138" s="4">
        <v>1</v>
      </c>
      <c r="I138" s="4">
        <v>1</v>
      </c>
      <c r="J138" s="4">
        <v>2</v>
      </c>
      <c r="K138" s="4">
        <v>2</v>
      </c>
      <c r="L138" s="4">
        <v>1</v>
      </c>
      <c r="M138" s="4">
        <v>1</v>
      </c>
      <c r="N138" s="4">
        <v>1</v>
      </c>
      <c r="O138" s="4">
        <v>2</v>
      </c>
      <c r="P138" s="4">
        <v>2</v>
      </c>
      <c r="Q138" s="4">
        <v>1</v>
      </c>
      <c r="R138" s="4">
        <v>2</v>
      </c>
      <c r="S138" s="4">
        <v>3</v>
      </c>
      <c r="T138" s="4">
        <v>1</v>
      </c>
      <c r="U138" s="4">
        <v>1</v>
      </c>
      <c r="V138" s="4">
        <v>1</v>
      </c>
      <c r="W138" s="4">
        <v>2</v>
      </c>
      <c r="X138" s="4">
        <v>1</v>
      </c>
      <c r="Y138" s="4">
        <v>1</v>
      </c>
      <c r="Z138" s="4">
        <v>37</v>
      </c>
    </row>
    <row r="139" spans="1:27">
      <c r="A139" s="4" t="s">
        <v>164</v>
      </c>
      <c r="B139" s="4">
        <v>2</v>
      </c>
      <c r="C139" s="4">
        <v>3</v>
      </c>
      <c r="D139" s="4">
        <v>3</v>
      </c>
      <c r="E139" s="4">
        <v>3</v>
      </c>
      <c r="F139" s="4">
        <v>1</v>
      </c>
      <c r="G139" s="4">
        <v>3</v>
      </c>
      <c r="H139" s="4">
        <v>3</v>
      </c>
      <c r="I139" s="4">
        <v>2</v>
      </c>
      <c r="J139" s="4">
        <v>2</v>
      </c>
      <c r="K139" s="4">
        <v>2</v>
      </c>
      <c r="L139" s="4">
        <v>2</v>
      </c>
      <c r="M139" s="4">
        <v>3</v>
      </c>
      <c r="N139" s="4">
        <v>2</v>
      </c>
      <c r="O139" s="4">
        <v>3</v>
      </c>
      <c r="P139" s="4">
        <v>2</v>
      </c>
      <c r="Q139" s="4">
        <v>2</v>
      </c>
      <c r="R139" s="4">
        <v>2</v>
      </c>
      <c r="S139" s="4">
        <v>1</v>
      </c>
      <c r="T139" s="4">
        <v>3</v>
      </c>
      <c r="U139" s="4">
        <v>3</v>
      </c>
      <c r="V139" s="4">
        <v>3</v>
      </c>
      <c r="W139" s="4">
        <v>3</v>
      </c>
      <c r="X139" s="4">
        <v>2</v>
      </c>
      <c r="Y139" s="4">
        <v>3</v>
      </c>
      <c r="Z139" s="4">
        <v>58</v>
      </c>
    </row>
    <row r="140" spans="1:27">
      <c r="A140" s="4" t="s">
        <v>165</v>
      </c>
      <c r="B140" s="4">
        <v>2</v>
      </c>
      <c r="C140" s="4">
        <v>3</v>
      </c>
      <c r="D140" s="4">
        <v>3</v>
      </c>
      <c r="E140" s="4">
        <v>2</v>
      </c>
      <c r="F140" s="4">
        <v>2</v>
      </c>
      <c r="G140" s="4">
        <v>2</v>
      </c>
      <c r="H140" s="4">
        <v>3</v>
      </c>
      <c r="I140" s="4">
        <v>2</v>
      </c>
      <c r="J140" s="4">
        <v>2</v>
      </c>
      <c r="K140" s="4">
        <v>3</v>
      </c>
      <c r="L140" s="4">
        <v>3</v>
      </c>
      <c r="M140" s="4">
        <v>3</v>
      </c>
      <c r="N140" s="4">
        <v>3</v>
      </c>
      <c r="O140" s="4">
        <v>2</v>
      </c>
      <c r="P140" s="4">
        <v>1</v>
      </c>
      <c r="Q140" s="4">
        <v>3</v>
      </c>
      <c r="R140" s="4">
        <v>3</v>
      </c>
      <c r="S140" s="4">
        <v>2</v>
      </c>
      <c r="T140" s="4">
        <v>2</v>
      </c>
      <c r="U140" s="4">
        <v>3</v>
      </c>
      <c r="V140" s="4">
        <v>2</v>
      </c>
      <c r="W140" s="4">
        <v>1</v>
      </c>
      <c r="X140" s="4">
        <v>2</v>
      </c>
      <c r="Y140" s="4">
        <v>3</v>
      </c>
      <c r="Z140" s="4">
        <v>57</v>
      </c>
    </row>
    <row r="141" spans="1:27">
      <c r="A141" s="4" t="s">
        <v>166</v>
      </c>
      <c r="B141" s="4">
        <v>2</v>
      </c>
      <c r="C141" s="4">
        <v>2</v>
      </c>
      <c r="D141" s="4">
        <v>2</v>
      </c>
      <c r="E141" s="4">
        <v>3</v>
      </c>
      <c r="F141" s="4">
        <v>2</v>
      </c>
      <c r="G141" s="4">
        <v>3</v>
      </c>
      <c r="H141" s="4">
        <v>3</v>
      </c>
      <c r="I141" s="4">
        <v>3</v>
      </c>
      <c r="J141" s="4">
        <v>4</v>
      </c>
      <c r="K141" s="4">
        <v>3</v>
      </c>
      <c r="L141" s="4">
        <v>1</v>
      </c>
      <c r="M141" s="4">
        <v>3</v>
      </c>
      <c r="N141" s="4">
        <v>3</v>
      </c>
      <c r="O141" s="4">
        <v>3</v>
      </c>
      <c r="P141" s="4">
        <v>2</v>
      </c>
      <c r="Q141" s="4">
        <v>3</v>
      </c>
      <c r="R141" s="4">
        <v>3</v>
      </c>
      <c r="S141" s="4">
        <v>3</v>
      </c>
      <c r="T141" s="4">
        <v>3</v>
      </c>
      <c r="U141" s="4">
        <v>3</v>
      </c>
      <c r="V141" s="4">
        <v>3</v>
      </c>
      <c r="W141" s="4">
        <v>2</v>
      </c>
      <c r="X141" s="4">
        <v>2</v>
      </c>
      <c r="Y141" s="4">
        <v>2</v>
      </c>
      <c r="Z141" s="4">
        <v>63</v>
      </c>
    </row>
    <row r="142" spans="1:27">
      <c r="A142" s="4" t="s">
        <v>167</v>
      </c>
      <c r="B142" s="4">
        <v>1</v>
      </c>
      <c r="C142" s="4">
        <v>2</v>
      </c>
      <c r="D142" s="4">
        <v>3</v>
      </c>
      <c r="E142" s="4">
        <v>2</v>
      </c>
      <c r="F142" s="4">
        <v>1</v>
      </c>
      <c r="G142" s="4">
        <v>2</v>
      </c>
      <c r="H142" s="4">
        <v>3</v>
      </c>
      <c r="I142" s="4">
        <v>2</v>
      </c>
      <c r="J142" s="4">
        <v>2</v>
      </c>
      <c r="K142" s="4">
        <v>3</v>
      </c>
      <c r="L142" s="4">
        <v>3</v>
      </c>
      <c r="M142" s="4">
        <v>3</v>
      </c>
      <c r="N142" s="4">
        <v>3</v>
      </c>
      <c r="O142" s="4">
        <v>2</v>
      </c>
      <c r="P142" s="4">
        <v>3</v>
      </c>
      <c r="Q142" s="4">
        <v>2</v>
      </c>
      <c r="R142" s="4">
        <v>3</v>
      </c>
      <c r="S142" s="4">
        <v>2</v>
      </c>
      <c r="T142" s="4">
        <v>3</v>
      </c>
      <c r="U142" s="4">
        <v>3</v>
      </c>
      <c r="V142" s="4">
        <v>3</v>
      </c>
      <c r="W142" s="4">
        <v>1</v>
      </c>
      <c r="X142" s="4">
        <v>2</v>
      </c>
      <c r="Y142" s="4">
        <v>3</v>
      </c>
      <c r="Z142" s="4">
        <v>57</v>
      </c>
    </row>
    <row r="143" spans="1:27">
      <c r="A143" s="4" t="s">
        <v>168</v>
      </c>
      <c r="B143" s="4">
        <v>2</v>
      </c>
      <c r="C143" s="4">
        <v>3</v>
      </c>
      <c r="D143" s="4">
        <v>2</v>
      </c>
      <c r="E143" s="4">
        <v>3</v>
      </c>
      <c r="F143" s="4">
        <v>3</v>
      </c>
      <c r="G143" s="4">
        <v>3</v>
      </c>
      <c r="H143" s="4">
        <v>2</v>
      </c>
      <c r="I143" s="4">
        <v>3</v>
      </c>
      <c r="J143" s="4">
        <v>2</v>
      </c>
      <c r="K143" s="4">
        <v>4</v>
      </c>
      <c r="L143" s="4">
        <v>2</v>
      </c>
      <c r="M143" s="4">
        <v>3</v>
      </c>
      <c r="N143" s="4">
        <v>3</v>
      </c>
      <c r="O143" s="4">
        <v>3</v>
      </c>
      <c r="P143" s="4">
        <v>3</v>
      </c>
      <c r="Q143" s="4">
        <v>3</v>
      </c>
      <c r="R143" s="4">
        <v>2</v>
      </c>
      <c r="S143" s="4">
        <v>2</v>
      </c>
      <c r="T143" s="4">
        <v>2</v>
      </c>
      <c r="U143" s="4">
        <v>2</v>
      </c>
      <c r="V143" s="4">
        <v>3</v>
      </c>
      <c r="W143" s="4">
        <v>2</v>
      </c>
      <c r="X143" s="4">
        <v>2</v>
      </c>
      <c r="Y143" s="4">
        <v>2</v>
      </c>
      <c r="Z143" s="4">
        <v>61</v>
      </c>
    </row>
    <row r="144" spans="1:27">
      <c r="A144" s="4" t="s">
        <v>169</v>
      </c>
      <c r="B144" s="4">
        <v>2</v>
      </c>
      <c r="C144" s="4">
        <v>1</v>
      </c>
      <c r="D144" s="4">
        <v>3</v>
      </c>
      <c r="E144" s="4">
        <v>3</v>
      </c>
      <c r="F144" s="4">
        <v>2</v>
      </c>
      <c r="G144" s="4">
        <v>2</v>
      </c>
      <c r="H144" s="4">
        <v>3</v>
      </c>
      <c r="I144" s="4">
        <v>2</v>
      </c>
      <c r="J144" s="4">
        <v>3</v>
      </c>
      <c r="K144" s="4">
        <v>3</v>
      </c>
      <c r="L144" s="4">
        <v>2</v>
      </c>
      <c r="M144" s="4">
        <v>2</v>
      </c>
      <c r="N144" s="4">
        <v>2</v>
      </c>
      <c r="O144" s="4">
        <v>3</v>
      </c>
      <c r="P144" s="4">
        <v>2</v>
      </c>
      <c r="Q144" s="4">
        <v>3</v>
      </c>
      <c r="R144" s="4">
        <v>2</v>
      </c>
      <c r="S144" s="4">
        <v>1</v>
      </c>
      <c r="T144" s="4">
        <v>3</v>
      </c>
      <c r="U144" s="4">
        <v>2</v>
      </c>
      <c r="V144" s="4">
        <v>3</v>
      </c>
      <c r="W144" s="4">
        <v>2</v>
      </c>
      <c r="X144" s="4">
        <v>3</v>
      </c>
      <c r="Y144" s="4">
        <v>2</v>
      </c>
      <c r="Z144" s="4">
        <v>56</v>
      </c>
    </row>
    <row r="145" spans="1:27">
      <c r="A145" s="4" t="s">
        <v>170</v>
      </c>
      <c r="B145" s="4">
        <v>2</v>
      </c>
      <c r="C145" s="4">
        <v>2</v>
      </c>
      <c r="D145" s="4">
        <v>2</v>
      </c>
      <c r="E145" s="4">
        <v>2</v>
      </c>
      <c r="F145" s="4">
        <v>1</v>
      </c>
      <c r="G145" s="4">
        <v>1</v>
      </c>
      <c r="H145" s="4">
        <v>1</v>
      </c>
      <c r="I145" s="4">
        <v>2</v>
      </c>
      <c r="J145" s="4">
        <v>1</v>
      </c>
      <c r="K145" s="4">
        <v>1</v>
      </c>
      <c r="L145" s="4">
        <v>2</v>
      </c>
      <c r="M145" s="4">
        <v>1</v>
      </c>
      <c r="N145" s="4">
        <v>1</v>
      </c>
      <c r="O145" s="4">
        <v>2</v>
      </c>
      <c r="P145" s="4">
        <v>1</v>
      </c>
      <c r="Q145" s="4">
        <v>2</v>
      </c>
      <c r="R145" s="4">
        <v>1</v>
      </c>
      <c r="S145" s="4">
        <v>2</v>
      </c>
      <c r="T145" s="4">
        <v>2</v>
      </c>
      <c r="U145" s="4">
        <v>1</v>
      </c>
      <c r="V145" s="4">
        <v>2</v>
      </c>
      <c r="W145" s="4">
        <v>1</v>
      </c>
      <c r="X145" s="4">
        <v>1</v>
      </c>
      <c r="Y145" s="4">
        <v>2</v>
      </c>
      <c r="Z145" s="4">
        <v>36</v>
      </c>
    </row>
    <row r="146" spans="1:27">
      <c r="A146" s="4" t="s">
        <v>171</v>
      </c>
      <c r="B146" s="4">
        <v>2</v>
      </c>
      <c r="C146" s="4">
        <v>2</v>
      </c>
      <c r="D146" s="4">
        <v>2</v>
      </c>
      <c r="E146" s="4">
        <v>3</v>
      </c>
      <c r="F146" s="4">
        <v>2</v>
      </c>
      <c r="G146" s="4">
        <v>3</v>
      </c>
      <c r="H146" s="4">
        <v>3</v>
      </c>
      <c r="I146" s="4">
        <v>2</v>
      </c>
      <c r="J146" s="4">
        <v>2</v>
      </c>
      <c r="K146" s="4">
        <v>3</v>
      </c>
      <c r="L146" s="4">
        <v>3</v>
      </c>
      <c r="M146" s="4">
        <v>3</v>
      </c>
      <c r="N146" s="4">
        <v>2</v>
      </c>
      <c r="O146" s="4">
        <v>3</v>
      </c>
      <c r="P146" s="4">
        <v>1</v>
      </c>
      <c r="Q146" s="4">
        <v>2</v>
      </c>
      <c r="R146" s="4">
        <v>2</v>
      </c>
      <c r="S146" s="4">
        <v>2</v>
      </c>
      <c r="T146" s="4">
        <v>2</v>
      </c>
      <c r="U146" s="4">
        <v>3</v>
      </c>
      <c r="V146" s="4">
        <v>3</v>
      </c>
      <c r="W146" s="4">
        <v>2</v>
      </c>
      <c r="X146" s="4">
        <v>3</v>
      </c>
      <c r="Y146" s="4">
        <v>3</v>
      </c>
      <c r="Z146" s="4">
        <v>58</v>
      </c>
    </row>
    <row r="147" spans="1:27">
      <c r="A147" s="4" t="s">
        <v>172</v>
      </c>
      <c r="B147" s="4">
        <v>2</v>
      </c>
      <c r="C147" s="4">
        <v>2</v>
      </c>
      <c r="D147" s="4">
        <v>1</v>
      </c>
      <c r="E147" s="4">
        <v>1</v>
      </c>
      <c r="F147" s="4">
        <v>2</v>
      </c>
      <c r="G147" s="4">
        <v>2</v>
      </c>
      <c r="H147" s="4">
        <v>1</v>
      </c>
      <c r="I147" s="4">
        <v>1</v>
      </c>
      <c r="J147" s="4">
        <v>1</v>
      </c>
      <c r="K147" s="4">
        <v>1</v>
      </c>
      <c r="L147" s="4">
        <v>2</v>
      </c>
      <c r="M147" s="4">
        <v>1</v>
      </c>
      <c r="N147" s="4">
        <v>2</v>
      </c>
      <c r="O147" s="4">
        <v>2</v>
      </c>
      <c r="P147" s="4">
        <v>2</v>
      </c>
      <c r="Q147" s="4">
        <v>1</v>
      </c>
      <c r="R147" s="4">
        <v>1</v>
      </c>
      <c r="S147" s="4">
        <v>3</v>
      </c>
      <c r="T147" s="4">
        <v>1</v>
      </c>
      <c r="U147" s="4">
        <v>2</v>
      </c>
      <c r="V147" s="4">
        <v>1</v>
      </c>
      <c r="W147" s="4">
        <v>2</v>
      </c>
      <c r="X147" s="4">
        <v>2</v>
      </c>
      <c r="Y147" s="4">
        <v>1</v>
      </c>
      <c r="Z147" s="4">
        <v>37</v>
      </c>
    </row>
    <row r="148" spans="1:27">
      <c r="A148" s="4" t="s">
        <v>173</v>
      </c>
      <c r="B148" s="4">
        <v>2</v>
      </c>
      <c r="C148" s="4">
        <v>3</v>
      </c>
      <c r="D148" s="4">
        <v>3</v>
      </c>
      <c r="E148" s="4">
        <v>3</v>
      </c>
      <c r="F148" s="4">
        <v>3</v>
      </c>
      <c r="G148" s="4">
        <v>3</v>
      </c>
      <c r="H148" s="4">
        <v>3</v>
      </c>
      <c r="I148" s="4">
        <v>3</v>
      </c>
      <c r="J148" s="4">
        <v>2</v>
      </c>
      <c r="K148" s="4">
        <v>3</v>
      </c>
      <c r="L148" s="4">
        <v>3</v>
      </c>
      <c r="M148" s="4">
        <v>3</v>
      </c>
      <c r="N148" s="4">
        <v>3</v>
      </c>
      <c r="O148" s="4">
        <v>3</v>
      </c>
      <c r="P148" s="4">
        <v>3</v>
      </c>
      <c r="Q148" s="4">
        <v>3</v>
      </c>
      <c r="R148" s="4">
        <v>2</v>
      </c>
      <c r="S148" s="4">
        <v>1</v>
      </c>
      <c r="T148" s="4">
        <v>3</v>
      </c>
      <c r="U148" s="4">
        <v>2</v>
      </c>
      <c r="V148" s="4">
        <v>3</v>
      </c>
      <c r="W148" s="4">
        <v>2</v>
      </c>
      <c r="X148" s="4">
        <v>3</v>
      </c>
      <c r="Y148" s="4">
        <v>2</v>
      </c>
      <c r="Z148" s="4">
        <v>64</v>
      </c>
    </row>
    <row r="149" spans="1:27">
      <c r="A149" s="4" t="s">
        <v>174</v>
      </c>
      <c r="B149" s="4">
        <v>1</v>
      </c>
      <c r="C149" s="4">
        <v>1</v>
      </c>
      <c r="D149" s="4">
        <v>3</v>
      </c>
      <c r="E149" s="4">
        <v>4</v>
      </c>
      <c r="F149" s="4">
        <v>2</v>
      </c>
      <c r="G149" s="4">
        <v>3</v>
      </c>
      <c r="H149" s="4">
        <v>4</v>
      </c>
      <c r="I149" s="4">
        <v>3</v>
      </c>
      <c r="J149" s="4">
        <v>4</v>
      </c>
      <c r="K149" s="4">
        <v>3</v>
      </c>
      <c r="L149" s="4">
        <v>2</v>
      </c>
      <c r="M149" s="4">
        <v>4</v>
      </c>
      <c r="N149" s="4">
        <v>4</v>
      </c>
      <c r="O149" s="4">
        <v>4</v>
      </c>
      <c r="P149" s="4">
        <v>1</v>
      </c>
      <c r="Q149" s="4">
        <v>4</v>
      </c>
      <c r="R149" s="4">
        <v>3</v>
      </c>
      <c r="S149" s="4">
        <v>3</v>
      </c>
      <c r="T149" s="4">
        <v>4</v>
      </c>
      <c r="U149" s="4">
        <v>4</v>
      </c>
      <c r="V149" s="4">
        <v>4</v>
      </c>
      <c r="W149" s="4">
        <v>2</v>
      </c>
      <c r="X149" s="4">
        <v>3</v>
      </c>
      <c r="Y149" s="4">
        <v>3</v>
      </c>
      <c r="Z149" s="4">
        <v>73</v>
      </c>
    </row>
    <row r="150" spans="1:27">
      <c r="A150" s="4" t="s">
        <v>175</v>
      </c>
      <c r="B150" s="4">
        <v>2</v>
      </c>
      <c r="C150" s="4">
        <v>1</v>
      </c>
      <c r="D150" s="4">
        <v>2</v>
      </c>
      <c r="E150" s="4">
        <v>2</v>
      </c>
      <c r="F150" s="4">
        <v>2</v>
      </c>
      <c r="G150" s="4">
        <v>2</v>
      </c>
      <c r="H150" s="4">
        <v>2</v>
      </c>
      <c r="I150" s="4">
        <v>2</v>
      </c>
      <c r="J150" s="4">
        <v>2</v>
      </c>
      <c r="K150" s="4">
        <v>2</v>
      </c>
      <c r="L150" s="4">
        <v>2</v>
      </c>
      <c r="M150" s="4">
        <v>3</v>
      </c>
      <c r="N150" s="4">
        <v>2</v>
      </c>
      <c r="O150" s="4">
        <v>3</v>
      </c>
      <c r="P150" s="4">
        <v>1</v>
      </c>
      <c r="Q150" s="4">
        <v>3</v>
      </c>
      <c r="R150" s="4">
        <v>2</v>
      </c>
      <c r="S150" s="4">
        <v>2</v>
      </c>
      <c r="T150" s="4">
        <v>3</v>
      </c>
      <c r="U150" s="4">
        <v>2</v>
      </c>
      <c r="V150" s="4">
        <v>2</v>
      </c>
      <c r="W150" s="4">
        <v>1</v>
      </c>
      <c r="X150" s="4">
        <v>2</v>
      </c>
      <c r="Y150" s="4">
        <v>2</v>
      </c>
      <c r="Z150" s="4">
        <v>49</v>
      </c>
    </row>
    <row r="151" spans="1:27">
      <c r="A151" s="4" t="s">
        <v>176</v>
      </c>
      <c r="B151" s="4">
        <v>2</v>
      </c>
      <c r="C151" s="4">
        <v>2</v>
      </c>
      <c r="D151" s="4">
        <v>1</v>
      </c>
      <c r="E151" s="4">
        <v>1</v>
      </c>
      <c r="F151" s="4">
        <v>1</v>
      </c>
      <c r="G151" s="4">
        <v>2</v>
      </c>
      <c r="H151" s="4">
        <v>2</v>
      </c>
      <c r="I151" s="4">
        <v>1</v>
      </c>
      <c r="J151" s="4">
        <v>2</v>
      </c>
      <c r="K151" s="4">
        <v>2</v>
      </c>
      <c r="L151" s="4">
        <v>1</v>
      </c>
      <c r="M151" s="4">
        <v>2</v>
      </c>
      <c r="N151" s="4">
        <v>2</v>
      </c>
      <c r="O151" s="4">
        <v>2</v>
      </c>
      <c r="P151" s="4">
        <v>3</v>
      </c>
      <c r="Q151" s="4">
        <v>2</v>
      </c>
      <c r="R151" s="4">
        <v>1</v>
      </c>
      <c r="S151" s="4">
        <v>2</v>
      </c>
      <c r="T151" s="4">
        <v>2</v>
      </c>
      <c r="U151" s="4">
        <v>1</v>
      </c>
      <c r="V151" s="4">
        <v>1</v>
      </c>
      <c r="W151" s="4">
        <v>3</v>
      </c>
      <c r="X151" s="4">
        <v>2</v>
      </c>
      <c r="Y151" s="4">
        <v>2</v>
      </c>
      <c r="Z151" s="4">
        <v>42</v>
      </c>
    </row>
    <row r="152" spans="1:27">
      <c r="A152" s="4" t="s">
        <v>177</v>
      </c>
      <c r="B152" s="4">
        <v>1</v>
      </c>
      <c r="C152" s="4">
        <v>3</v>
      </c>
      <c r="D152" s="4">
        <v>2</v>
      </c>
      <c r="E152" s="4">
        <v>2</v>
      </c>
      <c r="F152" s="4">
        <v>3</v>
      </c>
      <c r="G152" s="4">
        <v>2</v>
      </c>
      <c r="H152" s="4">
        <v>2</v>
      </c>
      <c r="I152" s="4">
        <v>2</v>
      </c>
      <c r="J152" s="4">
        <v>1</v>
      </c>
      <c r="K152" s="4">
        <v>1</v>
      </c>
      <c r="L152" s="4">
        <v>2</v>
      </c>
      <c r="M152" s="4">
        <v>2</v>
      </c>
      <c r="N152" s="4">
        <v>2</v>
      </c>
      <c r="O152" s="4">
        <v>1</v>
      </c>
      <c r="P152" s="4">
        <v>1</v>
      </c>
      <c r="Q152" s="4">
        <v>2</v>
      </c>
      <c r="R152" s="4">
        <v>2</v>
      </c>
      <c r="S152" s="4">
        <v>2</v>
      </c>
      <c r="T152" s="4">
        <v>2</v>
      </c>
      <c r="U152" s="4">
        <v>2</v>
      </c>
      <c r="V152" s="4">
        <v>2</v>
      </c>
      <c r="W152" s="4">
        <v>3</v>
      </c>
      <c r="X152" s="4">
        <v>2</v>
      </c>
      <c r="Y152" s="4">
        <v>2</v>
      </c>
      <c r="Z152" s="4">
        <v>46</v>
      </c>
    </row>
    <row r="153" spans="1:27">
      <c r="A153" s="4" t="s">
        <v>178</v>
      </c>
      <c r="B153" s="4">
        <v>2</v>
      </c>
      <c r="C153" s="4">
        <v>1</v>
      </c>
      <c r="D153" s="4">
        <v>2</v>
      </c>
      <c r="E153" s="4">
        <v>3</v>
      </c>
      <c r="F153" s="4">
        <v>1</v>
      </c>
      <c r="G153" s="4">
        <v>3</v>
      </c>
      <c r="H153" s="4">
        <v>2</v>
      </c>
      <c r="I153" s="4">
        <v>2</v>
      </c>
      <c r="J153" s="4">
        <v>2</v>
      </c>
      <c r="K153" s="4">
        <v>2</v>
      </c>
      <c r="L153" s="4">
        <v>3</v>
      </c>
      <c r="M153" s="4">
        <v>2</v>
      </c>
      <c r="N153" s="4">
        <v>2</v>
      </c>
      <c r="O153" s="4">
        <v>2</v>
      </c>
      <c r="P153" s="4">
        <v>1</v>
      </c>
      <c r="Q153" s="4">
        <v>2</v>
      </c>
      <c r="R153" s="4">
        <v>3</v>
      </c>
      <c r="S153" s="4">
        <v>2</v>
      </c>
      <c r="T153" s="4">
        <v>2</v>
      </c>
      <c r="U153" s="4">
        <v>3</v>
      </c>
      <c r="V153" s="4">
        <v>2</v>
      </c>
      <c r="W153" s="4">
        <v>2</v>
      </c>
      <c r="X153" s="4">
        <v>2</v>
      </c>
      <c r="Y153" s="4">
        <v>3</v>
      </c>
      <c r="Z153" s="4">
        <v>51</v>
      </c>
    </row>
    <row r="154" spans="1:27">
      <c r="A154" s="4" t="s">
        <v>179</v>
      </c>
      <c r="B154" s="4">
        <v>2</v>
      </c>
      <c r="C154" s="4">
        <v>2</v>
      </c>
      <c r="D154" s="4">
        <v>1</v>
      </c>
      <c r="E154" s="4">
        <v>1</v>
      </c>
      <c r="F154" s="4">
        <v>2</v>
      </c>
      <c r="G154" s="4">
        <v>1</v>
      </c>
      <c r="H154" s="4">
        <v>1</v>
      </c>
      <c r="I154" s="4">
        <v>1</v>
      </c>
      <c r="J154" s="4">
        <v>1</v>
      </c>
      <c r="K154" s="4">
        <v>1</v>
      </c>
      <c r="L154" s="4">
        <v>3</v>
      </c>
      <c r="M154" s="4">
        <v>1</v>
      </c>
      <c r="N154" s="4">
        <v>1</v>
      </c>
      <c r="O154" s="4">
        <v>1</v>
      </c>
      <c r="P154" s="4">
        <v>2</v>
      </c>
      <c r="Q154" s="4">
        <v>1</v>
      </c>
      <c r="R154" s="4">
        <v>1</v>
      </c>
      <c r="S154" s="4">
        <v>2</v>
      </c>
      <c r="T154" s="4">
        <v>1</v>
      </c>
      <c r="U154" s="4">
        <v>1</v>
      </c>
      <c r="V154" s="4">
        <v>1</v>
      </c>
      <c r="W154" s="4">
        <v>2</v>
      </c>
      <c r="X154" s="4">
        <v>1</v>
      </c>
      <c r="Y154" s="4">
        <v>1</v>
      </c>
      <c r="Z154" s="4">
        <v>32</v>
      </c>
    </row>
    <row r="155" spans="1:27">
      <c r="A155" s="4" t="s">
        <v>180</v>
      </c>
      <c r="B155" s="4">
        <v>2</v>
      </c>
      <c r="C155" s="4">
        <v>2</v>
      </c>
      <c r="D155" s="4">
        <v>2</v>
      </c>
      <c r="E155" s="4">
        <v>3</v>
      </c>
      <c r="F155" s="4">
        <v>2</v>
      </c>
      <c r="G155" s="4">
        <v>2</v>
      </c>
      <c r="H155" s="4">
        <v>2</v>
      </c>
      <c r="I155" s="4">
        <v>2</v>
      </c>
      <c r="J155" s="4">
        <v>3</v>
      </c>
      <c r="K155" s="4">
        <v>3</v>
      </c>
      <c r="L155" s="4">
        <v>1</v>
      </c>
      <c r="M155" s="4">
        <v>2</v>
      </c>
      <c r="N155" s="4">
        <v>2</v>
      </c>
      <c r="O155" s="4">
        <v>2</v>
      </c>
      <c r="P155" s="4">
        <v>2</v>
      </c>
      <c r="Q155" s="4">
        <v>2</v>
      </c>
      <c r="R155" s="4">
        <v>3</v>
      </c>
      <c r="S155" s="4">
        <v>2</v>
      </c>
      <c r="T155" s="4">
        <v>2</v>
      </c>
      <c r="U155" s="4">
        <v>2</v>
      </c>
      <c r="V155" s="4">
        <v>2</v>
      </c>
      <c r="W155" s="4">
        <v>2</v>
      </c>
      <c r="X155" s="4">
        <v>2</v>
      </c>
      <c r="Y155" s="4">
        <v>2</v>
      </c>
      <c r="Z155" s="4">
        <v>51</v>
      </c>
    </row>
    <row r="156" spans="1:27">
      <c r="A156" s="4" t="s">
        <v>181</v>
      </c>
      <c r="B156" s="4">
        <v>2</v>
      </c>
      <c r="C156" s="4">
        <v>3</v>
      </c>
      <c r="D156" s="4">
        <v>2</v>
      </c>
      <c r="E156" s="4">
        <v>2</v>
      </c>
      <c r="F156" s="4">
        <v>1</v>
      </c>
      <c r="G156" s="4">
        <v>2</v>
      </c>
      <c r="H156" s="4">
        <v>2</v>
      </c>
      <c r="I156" s="4">
        <v>2</v>
      </c>
      <c r="J156" s="4">
        <v>2</v>
      </c>
      <c r="K156" s="4">
        <v>2</v>
      </c>
      <c r="L156" s="4">
        <v>2</v>
      </c>
      <c r="M156" s="4">
        <v>2</v>
      </c>
      <c r="N156" s="4">
        <v>2</v>
      </c>
      <c r="O156" s="4">
        <v>3</v>
      </c>
      <c r="P156" s="4">
        <v>2</v>
      </c>
      <c r="Q156" s="4">
        <v>3</v>
      </c>
      <c r="R156" s="4">
        <v>2</v>
      </c>
      <c r="S156" s="4">
        <v>2</v>
      </c>
      <c r="T156" s="4">
        <v>2</v>
      </c>
      <c r="U156" s="4">
        <v>2</v>
      </c>
      <c r="V156" s="4">
        <v>3</v>
      </c>
      <c r="W156" s="4">
        <v>2</v>
      </c>
      <c r="X156" s="4">
        <v>2</v>
      </c>
      <c r="Y156" s="4">
        <v>2</v>
      </c>
      <c r="Z156" s="4">
        <v>51</v>
      </c>
    </row>
    <row r="157" spans="1:27">
      <c r="A157" s="4" t="s">
        <v>182</v>
      </c>
      <c r="B157" s="4">
        <v>2</v>
      </c>
      <c r="C157" s="4">
        <v>3</v>
      </c>
      <c r="D157" s="4">
        <v>2</v>
      </c>
      <c r="E157" s="4">
        <v>1</v>
      </c>
      <c r="F157" s="4">
        <v>2</v>
      </c>
      <c r="G157" s="4">
        <v>1</v>
      </c>
      <c r="H157" s="4">
        <v>1</v>
      </c>
      <c r="I157" s="4">
        <v>1</v>
      </c>
      <c r="J157" s="4">
        <v>2</v>
      </c>
      <c r="K157" s="4">
        <v>2</v>
      </c>
      <c r="L157" s="4">
        <v>2</v>
      </c>
      <c r="M157" s="4">
        <v>2</v>
      </c>
      <c r="N157" s="4">
        <v>2</v>
      </c>
      <c r="O157" s="4">
        <v>1</v>
      </c>
      <c r="P157" s="4">
        <v>3</v>
      </c>
      <c r="Q157" s="4">
        <v>1</v>
      </c>
      <c r="R157" s="4">
        <v>1</v>
      </c>
      <c r="S157" s="4">
        <v>3</v>
      </c>
      <c r="T157" s="4">
        <v>1</v>
      </c>
      <c r="U157" s="4">
        <v>1</v>
      </c>
      <c r="V157" s="4">
        <v>1</v>
      </c>
      <c r="W157" s="4">
        <v>3</v>
      </c>
      <c r="X157" s="4">
        <v>2</v>
      </c>
      <c r="Y157" s="4">
        <v>2</v>
      </c>
      <c r="Z157" s="4">
        <v>42</v>
      </c>
    </row>
    <row r="158" spans="1:27">
      <c r="A158" s="4" t="s">
        <v>183</v>
      </c>
      <c r="B158" s="4">
        <v>1</v>
      </c>
      <c r="C158" s="4">
        <v>3</v>
      </c>
      <c r="D158" s="4">
        <v>1</v>
      </c>
      <c r="E158" s="4">
        <v>1</v>
      </c>
      <c r="F158" s="4">
        <v>2</v>
      </c>
      <c r="G158" s="4">
        <v>1</v>
      </c>
      <c r="H158" s="4">
        <v>1</v>
      </c>
      <c r="I158" s="4">
        <v>1</v>
      </c>
      <c r="J158" s="4">
        <v>1</v>
      </c>
      <c r="K158" s="4">
        <v>1</v>
      </c>
      <c r="L158" s="4">
        <v>1</v>
      </c>
      <c r="M158" s="4">
        <v>1</v>
      </c>
      <c r="N158" s="4">
        <v>1</v>
      </c>
      <c r="O158" s="4">
        <v>1</v>
      </c>
      <c r="P158" s="4">
        <v>1</v>
      </c>
      <c r="Q158" s="4">
        <v>1</v>
      </c>
      <c r="R158" s="4">
        <v>1</v>
      </c>
      <c r="S158" s="4">
        <v>2</v>
      </c>
      <c r="T158" s="4">
        <v>1</v>
      </c>
      <c r="U158" s="4">
        <v>2</v>
      </c>
      <c r="V158" s="4">
        <v>1</v>
      </c>
      <c r="W158" s="4">
        <v>2</v>
      </c>
      <c r="X158" s="4">
        <v>1</v>
      </c>
      <c r="Y158" s="4">
        <v>1</v>
      </c>
      <c r="Z158" s="4">
        <v>30</v>
      </c>
    </row>
    <row r="159" spans="1:27">
      <c r="A159" s="4" t="s">
        <v>184</v>
      </c>
      <c r="B159" s="4">
        <v>2</v>
      </c>
      <c r="C159" s="4">
        <v>2</v>
      </c>
      <c r="D159" s="4">
        <v>1</v>
      </c>
      <c r="E159" s="4">
        <v>2</v>
      </c>
      <c r="F159" s="4">
        <v>1</v>
      </c>
      <c r="G159" s="4">
        <v>2</v>
      </c>
      <c r="H159" s="4">
        <v>2</v>
      </c>
      <c r="I159" s="4">
        <v>2</v>
      </c>
      <c r="J159" s="4">
        <v>1</v>
      </c>
      <c r="K159" s="4">
        <v>1</v>
      </c>
      <c r="L159" s="4">
        <v>3</v>
      </c>
      <c r="M159" s="4">
        <v>2</v>
      </c>
      <c r="N159" s="4">
        <v>1</v>
      </c>
      <c r="O159" s="4">
        <v>2</v>
      </c>
      <c r="P159" s="4">
        <v>1</v>
      </c>
      <c r="Q159" s="4">
        <v>2</v>
      </c>
      <c r="R159" s="4">
        <v>2</v>
      </c>
      <c r="S159" s="4">
        <v>2</v>
      </c>
      <c r="T159" s="4">
        <v>2</v>
      </c>
      <c r="U159" s="4">
        <v>1</v>
      </c>
      <c r="V159" s="4">
        <v>2</v>
      </c>
      <c r="W159" s="4">
        <v>2</v>
      </c>
      <c r="X159" s="4">
        <v>1</v>
      </c>
      <c r="Y159" s="4">
        <v>1</v>
      </c>
      <c r="Z159" s="4">
        <v>40</v>
      </c>
    </row>
    <row r="160" spans="1:27">
      <c r="A160" s="4" t="s">
        <v>185</v>
      </c>
      <c r="B160" s="4">
        <v>3</v>
      </c>
      <c r="C160" s="4">
        <v>1</v>
      </c>
      <c r="D160" s="4">
        <v>1</v>
      </c>
      <c r="E160" s="4">
        <v>1</v>
      </c>
      <c r="F160" s="4">
        <v>2</v>
      </c>
      <c r="G160" s="4">
        <v>1</v>
      </c>
      <c r="H160" s="4">
        <v>1</v>
      </c>
      <c r="I160" s="4">
        <v>1</v>
      </c>
      <c r="J160" s="4">
        <v>1</v>
      </c>
      <c r="K160" s="4">
        <v>1</v>
      </c>
      <c r="L160" s="4">
        <v>3</v>
      </c>
      <c r="M160" s="4">
        <v>1</v>
      </c>
      <c r="N160" s="4">
        <v>1</v>
      </c>
      <c r="O160" s="4">
        <v>1</v>
      </c>
      <c r="P160" s="4">
        <v>2</v>
      </c>
      <c r="Q160" s="4">
        <v>1</v>
      </c>
      <c r="R160" s="4">
        <v>1</v>
      </c>
      <c r="S160" s="4">
        <v>2</v>
      </c>
      <c r="T160" s="4">
        <v>1</v>
      </c>
      <c r="U160" s="4">
        <v>1</v>
      </c>
      <c r="V160" s="4">
        <v>1</v>
      </c>
      <c r="W160" s="4">
        <v>2</v>
      </c>
      <c r="X160" s="4">
        <v>1</v>
      </c>
      <c r="Y160" s="4">
        <v>1</v>
      </c>
      <c r="Z160" s="4">
        <v>32</v>
      </c>
    </row>
    <row r="161" spans="1:27">
      <c r="A161" s="4" t="s">
        <v>186</v>
      </c>
      <c r="B161" s="4">
        <v>3</v>
      </c>
      <c r="C161" s="4">
        <v>1</v>
      </c>
      <c r="D161" s="4">
        <v>1</v>
      </c>
      <c r="E161" s="4">
        <v>2</v>
      </c>
      <c r="F161" s="4">
        <v>1</v>
      </c>
      <c r="G161" s="4">
        <v>1</v>
      </c>
      <c r="H161" s="4">
        <v>2</v>
      </c>
      <c r="I161" s="4">
        <v>2</v>
      </c>
      <c r="J161" s="4">
        <v>2</v>
      </c>
      <c r="K161" s="4">
        <v>1</v>
      </c>
      <c r="L161" s="4">
        <v>1</v>
      </c>
      <c r="M161" s="4">
        <v>1</v>
      </c>
      <c r="N161" s="4">
        <v>2</v>
      </c>
      <c r="O161" s="4">
        <v>2</v>
      </c>
      <c r="P161" s="4">
        <v>2</v>
      </c>
      <c r="Q161" s="4">
        <v>1</v>
      </c>
      <c r="R161" s="4">
        <v>2</v>
      </c>
      <c r="S161" s="4">
        <v>1</v>
      </c>
      <c r="T161" s="4">
        <v>1</v>
      </c>
      <c r="U161" s="4">
        <v>2</v>
      </c>
      <c r="V161" s="4">
        <v>2</v>
      </c>
      <c r="W161" s="4">
        <v>1</v>
      </c>
      <c r="X161" s="4">
        <v>2</v>
      </c>
      <c r="Y161" s="4">
        <v>1</v>
      </c>
      <c r="Z161" s="4">
        <v>37</v>
      </c>
    </row>
    <row r="162" spans="1:27">
      <c r="A162" s="4" t="s">
        <v>187</v>
      </c>
      <c r="B162" s="4">
        <v>1</v>
      </c>
      <c r="C162" s="4">
        <v>2</v>
      </c>
      <c r="D162" s="4">
        <v>2</v>
      </c>
      <c r="E162" s="4">
        <v>2</v>
      </c>
      <c r="F162" s="4">
        <v>2</v>
      </c>
      <c r="G162" s="4">
        <v>2</v>
      </c>
      <c r="H162" s="4">
        <v>2</v>
      </c>
      <c r="I162" s="4">
        <v>2</v>
      </c>
      <c r="J162" s="4">
        <v>2</v>
      </c>
      <c r="K162" s="4">
        <v>2</v>
      </c>
      <c r="L162" s="4">
        <v>2</v>
      </c>
      <c r="M162" s="4">
        <v>2</v>
      </c>
      <c r="N162" s="4">
        <v>2</v>
      </c>
      <c r="O162" s="4">
        <v>1</v>
      </c>
      <c r="P162" s="4">
        <v>2</v>
      </c>
      <c r="Q162" s="4">
        <v>1</v>
      </c>
      <c r="R162" s="4">
        <v>2</v>
      </c>
      <c r="S162" s="4">
        <v>2</v>
      </c>
      <c r="T162" s="4">
        <v>3</v>
      </c>
      <c r="U162" s="4">
        <v>2</v>
      </c>
      <c r="V162" s="4">
        <v>2</v>
      </c>
      <c r="W162" s="4">
        <v>1</v>
      </c>
      <c r="X162" s="4">
        <v>2</v>
      </c>
      <c r="Y162" s="4">
        <v>2</v>
      </c>
      <c r="Z162" s="4">
        <v>45</v>
      </c>
    </row>
    <row r="163" spans="1:27">
      <c r="A163" s="4" t="s">
        <v>188</v>
      </c>
      <c r="B163" s="4">
        <v>2</v>
      </c>
      <c r="C163" s="4">
        <v>3</v>
      </c>
      <c r="D163" s="4">
        <v>1</v>
      </c>
      <c r="E163" s="4">
        <v>2</v>
      </c>
      <c r="F163" s="4">
        <v>1</v>
      </c>
      <c r="G163" s="4">
        <v>2</v>
      </c>
      <c r="H163" s="4">
        <v>2</v>
      </c>
      <c r="I163" s="4">
        <v>2</v>
      </c>
      <c r="J163" s="4">
        <v>2</v>
      </c>
      <c r="K163" s="4">
        <v>1</v>
      </c>
      <c r="L163" s="4">
        <v>2</v>
      </c>
      <c r="M163" s="4">
        <v>2</v>
      </c>
      <c r="N163" s="4">
        <v>2</v>
      </c>
      <c r="O163" s="4">
        <v>2</v>
      </c>
      <c r="P163" s="4">
        <v>1</v>
      </c>
      <c r="Q163" s="4">
        <v>1</v>
      </c>
      <c r="R163" s="4">
        <v>1</v>
      </c>
      <c r="S163" s="4">
        <v>3</v>
      </c>
      <c r="T163" s="4">
        <v>2</v>
      </c>
      <c r="U163" s="4">
        <v>2</v>
      </c>
      <c r="V163" s="4">
        <v>2</v>
      </c>
      <c r="W163" s="4">
        <v>2</v>
      </c>
      <c r="X163" s="4">
        <v>2</v>
      </c>
      <c r="Y163" s="4">
        <v>2</v>
      </c>
      <c r="Z163" s="4">
        <v>44</v>
      </c>
    </row>
    <row r="164" spans="1:27">
      <c r="A164" s="4" t="s">
        <v>189</v>
      </c>
      <c r="B164" s="4">
        <v>3</v>
      </c>
      <c r="C164" s="4">
        <v>2</v>
      </c>
      <c r="D164" s="4">
        <v>2</v>
      </c>
      <c r="E164" s="4">
        <v>1</v>
      </c>
      <c r="F164" s="4">
        <v>2</v>
      </c>
      <c r="G164" s="4">
        <v>2</v>
      </c>
      <c r="H164" s="4">
        <v>2</v>
      </c>
      <c r="I164" s="4">
        <v>2</v>
      </c>
      <c r="J164" s="4">
        <v>1</v>
      </c>
      <c r="K164" s="4">
        <v>1</v>
      </c>
      <c r="L164" s="4">
        <v>1</v>
      </c>
      <c r="M164" s="4">
        <v>2</v>
      </c>
      <c r="N164" s="4">
        <v>2</v>
      </c>
      <c r="O164" s="4">
        <v>1</v>
      </c>
      <c r="P164" s="4">
        <v>2</v>
      </c>
      <c r="Q164" s="4">
        <v>1</v>
      </c>
      <c r="R164" s="4">
        <v>1</v>
      </c>
      <c r="S164" s="4">
        <v>3</v>
      </c>
      <c r="T164" s="4">
        <v>1</v>
      </c>
      <c r="U164" s="4">
        <v>2</v>
      </c>
      <c r="V164" s="4">
        <v>2</v>
      </c>
      <c r="W164" s="4">
        <v>3</v>
      </c>
      <c r="X164" s="4">
        <v>2</v>
      </c>
      <c r="Y164" s="4">
        <v>2</v>
      </c>
      <c r="Z164" s="4">
        <v>43</v>
      </c>
    </row>
    <row r="165" spans="1:27">
      <c r="A165" s="4" t="s">
        <v>190</v>
      </c>
      <c r="B165" s="4">
        <v>3</v>
      </c>
      <c r="C165" s="4">
        <v>3</v>
      </c>
      <c r="D165" s="4">
        <v>2</v>
      </c>
      <c r="E165" s="4">
        <v>2</v>
      </c>
      <c r="F165" s="4">
        <v>2</v>
      </c>
      <c r="G165" s="4">
        <v>1</v>
      </c>
      <c r="H165" s="4">
        <v>1</v>
      </c>
      <c r="I165" s="4">
        <v>1</v>
      </c>
      <c r="J165" s="4">
        <v>2</v>
      </c>
      <c r="K165" s="4">
        <v>2</v>
      </c>
      <c r="L165" s="4">
        <v>1</v>
      </c>
      <c r="M165" s="4">
        <v>1</v>
      </c>
      <c r="N165" s="4">
        <v>1</v>
      </c>
      <c r="O165" s="4">
        <v>2</v>
      </c>
      <c r="P165" s="4">
        <v>1</v>
      </c>
      <c r="Q165" s="4">
        <v>1</v>
      </c>
      <c r="R165" s="4">
        <v>1</v>
      </c>
      <c r="S165" s="4">
        <v>1</v>
      </c>
      <c r="T165" s="4">
        <v>2</v>
      </c>
      <c r="U165" s="4">
        <v>2</v>
      </c>
      <c r="V165" s="4">
        <v>2</v>
      </c>
      <c r="W165" s="4">
        <v>2</v>
      </c>
      <c r="X165" s="4">
        <v>1</v>
      </c>
      <c r="Y165" s="4">
        <v>1</v>
      </c>
      <c r="Z165" s="4">
        <v>38</v>
      </c>
    </row>
    <row r="166" spans="1:27">
      <c r="A166" s="4" t="s">
        <v>191</v>
      </c>
      <c r="B166" s="4">
        <v>3</v>
      </c>
      <c r="C166" s="4">
        <v>2</v>
      </c>
      <c r="D166" s="4">
        <v>1</v>
      </c>
      <c r="E166" s="4">
        <v>2</v>
      </c>
      <c r="F166" s="4">
        <v>3</v>
      </c>
      <c r="G166" s="4">
        <v>1</v>
      </c>
      <c r="H166" s="4">
        <v>2</v>
      </c>
      <c r="I166" s="4">
        <v>1</v>
      </c>
      <c r="J166" s="4">
        <v>1</v>
      </c>
      <c r="K166" s="4">
        <v>1</v>
      </c>
      <c r="L166" s="4">
        <v>2</v>
      </c>
      <c r="M166" s="4">
        <v>2</v>
      </c>
      <c r="N166" s="4">
        <v>2</v>
      </c>
      <c r="O166" s="4">
        <v>2</v>
      </c>
      <c r="P166" s="4">
        <v>2</v>
      </c>
      <c r="Q166" s="4">
        <v>2</v>
      </c>
      <c r="R166" s="4">
        <v>2</v>
      </c>
      <c r="S166" s="4">
        <v>2</v>
      </c>
      <c r="T166" s="4">
        <v>2</v>
      </c>
      <c r="U166" s="4">
        <v>2</v>
      </c>
      <c r="V166" s="4">
        <v>1</v>
      </c>
      <c r="W166" s="4">
        <v>3</v>
      </c>
      <c r="X166" s="4">
        <v>2</v>
      </c>
      <c r="Y166" s="4">
        <v>2</v>
      </c>
      <c r="Z166" s="4">
        <v>45</v>
      </c>
    </row>
    <row r="167" spans="1:27">
      <c r="A167" s="4" t="s">
        <v>192</v>
      </c>
      <c r="B167" s="4">
        <v>2</v>
      </c>
      <c r="C167" s="4">
        <v>3</v>
      </c>
      <c r="D167" s="4">
        <v>2</v>
      </c>
      <c r="E167" s="4">
        <v>2</v>
      </c>
      <c r="F167" s="4">
        <v>1</v>
      </c>
      <c r="G167" s="4">
        <v>2</v>
      </c>
      <c r="H167" s="4">
        <v>2</v>
      </c>
      <c r="I167" s="4">
        <v>2</v>
      </c>
      <c r="J167" s="4">
        <v>1</v>
      </c>
      <c r="K167" s="4">
        <v>2</v>
      </c>
      <c r="L167" s="4">
        <v>3</v>
      </c>
      <c r="M167" s="4">
        <v>1</v>
      </c>
      <c r="N167" s="4">
        <v>2</v>
      </c>
      <c r="O167" s="4">
        <v>2</v>
      </c>
      <c r="P167" s="4">
        <v>1</v>
      </c>
      <c r="Q167" s="4">
        <v>2</v>
      </c>
      <c r="R167" s="4">
        <v>2</v>
      </c>
      <c r="S167" s="4">
        <v>1</v>
      </c>
      <c r="T167" s="4">
        <v>1</v>
      </c>
      <c r="U167" s="4">
        <v>2</v>
      </c>
      <c r="V167" s="4">
        <v>2</v>
      </c>
      <c r="W167" s="4">
        <v>3</v>
      </c>
      <c r="X167" s="4">
        <v>2</v>
      </c>
      <c r="Y167" s="4">
        <v>2</v>
      </c>
      <c r="Z167" s="4">
        <v>45</v>
      </c>
    </row>
    <row r="168" spans="1:27">
      <c r="A168" s="4" t="s">
        <v>193</v>
      </c>
      <c r="B168" s="4">
        <v>1</v>
      </c>
      <c r="C168" s="4">
        <v>2</v>
      </c>
      <c r="D168" s="4">
        <v>2</v>
      </c>
      <c r="E168" s="4">
        <v>1</v>
      </c>
      <c r="F168" s="4">
        <v>2</v>
      </c>
      <c r="G168" s="4">
        <v>2</v>
      </c>
      <c r="H168" s="4">
        <v>2</v>
      </c>
      <c r="I168" s="4">
        <v>1</v>
      </c>
      <c r="J168" s="4">
        <v>1</v>
      </c>
      <c r="K168" s="4">
        <v>1</v>
      </c>
      <c r="L168" s="4">
        <v>2</v>
      </c>
      <c r="M168" s="4">
        <v>2</v>
      </c>
      <c r="N168" s="4">
        <v>2</v>
      </c>
      <c r="O168" s="4">
        <v>2</v>
      </c>
      <c r="P168" s="4">
        <v>2</v>
      </c>
      <c r="Q168" s="4">
        <v>2</v>
      </c>
      <c r="R168" s="4">
        <v>2</v>
      </c>
      <c r="S168" s="4">
        <v>2</v>
      </c>
      <c r="T168" s="4">
        <v>2</v>
      </c>
      <c r="U168" s="4">
        <v>1</v>
      </c>
      <c r="V168" s="4">
        <v>2</v>
      </c>
      <c r="W168" s="4">
        <v>2</v>
      </c>
      <c r="X168" s="4">
        <v>2</v>
      </c>
      <c r="Y168" s="4">
        <v>1</v>
      </c>
      <c r="Z168" s="4">
        <v>41</v>
      </c>
    </row>
    <row r="169" spans="1:27">
      <c r="A169" s="4" t="s">
        <v>194</v>
      </c>
      <c r="B169" s="4">
        <v>2</v>
      </c>
      <c r="C169" s="4">
        <v>1</v>
      </c>
      <c r="D169" s="4">
        <v>1</v>
      </c>
      <c r="E169" s="4">
        <v>1</v>
      </c>
      <c r="F169" s="4">
        <v>2</v>
      </c>
      <c r="G169" s="4">
        <v>1</v>
      </c>
      <c r="H169" s="4">
        <v>1</v>
      </c>
      <c r="I169" s="4">
        <v>1</v>
      </c>
      <c r="J169" s="4">
        <v>1</v>
      </c>
      <c r="K169" s="4">
        <v>1</v>
      </c>
      <c r="L169" s="4">
        <v>3</v>
      </c>
      <c r="M169" s="4">
        <v>1</v>
      </c>
      <c r="N169" s="4">
        <v>1</v>
      </c>
      <c r="O169" s="4">
        <v>1</v>
      </c>
      <c r="P169" s="4">
        <v>2</v>
      </c>
      <c r="Q169" s="4">
        <v>1</v>
      </c>
      <c r="R169" s="4">
        <v>1</v>
      </c>
      <c r="S169" s="4">
        <v>2</v>
      </c>
      <c r="T169" s="4">
        <v>1</v>
      </c>
      <c r="U169" s="4">
        <v>1</v>
      </c>
      <c r="V169" s="4">
        <v>1</v>
      </c>
      <c r="W169" s="4">
        <v>3</v>
      </c>
      <c r="X169" s="4">
        <v>1</v>
      </c>
      <c r="Y169" s="4">
        <v>1</v>
      </c>
      <c r="Z169" s="4">
        <v>32</v>
      </c>
    </row>
    <row r="170" spans="1:27">
      <c r="A170" s="4" t="s">
        <v>195</v>
      </c>
      <c r="B170" s="4">
        <v>2</v>
      </c>
      <c r="C170" s="4">
        <v>1</v>
      </c>
      <c r="D170" s="4">
        <v>2</v>
      </c>
      <c r="E170" s="4">
        <v>2</v>
      </c>
      <c r="F170" s="4">
        <v>1</v>
      </c>
      <c r="G170" s="4">
        <v>2</v>
      </c>
      <c r="H170" s="4">
        <v>2</v>
      </c>
      <c r="I170" s="4">
        <v>3</v>
      </c>
      <c r="J170" s="4">
        <v>2</v>
      </c>
      <c r="K170" s="4">
        <v>3</v>
      </c>
      <c r="L170" s="4">
        <v>3</v>
      </c>
      <c r="M170" s="4">
        <v>2</v>
      </c>
      <c r="N170" s="4">
        <v>2</v>
      </c>
      <c r="O170" s="4">
        <v>2</v>
      </c>
      <c r="P170" s="4">
        <v>2</v>
      </c>
      <c r="Q170" s="4">
        <v>3</v>
      </c>
      <c r="R170" s="4">
        <v>2</v>
      </c>
      <c r="S170" s="4">
        <v>1</v>
      </c>
      <c r="T170" s="4">
        <v>2</v>
      </c>
      <c r="U170" s="4">
        <v>2</v>
      </c>
      <c r="V170" s="4">
        <v>2</v>
      </c>
      <c r="W170" s="4">
        <v>2</v>
      </c>
      <c r="X170" s="4">
        <v>2</v>
      </c>
      <c r="Y170" s="4">
        <v>2</v>
      </c>
      <c r="Z170" s="4">
        <v>49</v>
      </c>
    </row>
    <row r="171" spans="1:27">
      <c r="A171" s="4" t="s">
        <v>196</v>
      </c>
      <c r="B171" s="4">
        <v>1</v>
      </c>
      <c r="C171" s="4">
        <v>3</v>
      </c>
      <c r="D171" s="4">
        <v>2</v>
      </c>
      <c r="E171" s="4">
        <v>1</v>
      </c>
      <c r="F171" s="4">
        <v>3</v>
      </c>
      <c r="G171" s="4">
        <v>1</v>
      </c>
      <c r="H171" s="4">
        <v>1</v>
      </c>
      <c r="I171" s="4">
        <v>1</v>
      </c>
      <c r="J171" s="4">
        <v>1</v>
      </c>
      <c r="K171" s="4">
        <v>1</v>
      </c>
      <c r="L171" s="4">
        <v>2</v>
      </c>
      <c r="M171" s="4">
        <v>2</v>
      </c>
      <c r="N171" s="4">
        <v>2</v>
      </c>
      <c r="O171" s="4">
        <v>2</v>
      </c>
      <c r="P171" s="4">
        <v>2</v>
      </c>
      <c r="Q171" s="4">
        <v>1</v>
      </c>
      <c r="R171" s="4">
        <v>1</v>
      </c>
      <c r="S171" s="4">
        <v>2</v>
      </c>
      <c r="T171" s="4">
        <v>1</v>
      </c>
      <c r="U171" s="4">
        <v>1</v>
      </c>
      <c r="V171" s="4">
        <v>1</v>
      </c>
      <c r="W171" s="4">
        <v>3</v>
      </c>
      <c r="X171" s="4">
        <v>2</v>
      </c>
      <c r="Y171" s="4">
        <v>1</v>
      </c>
      <c r="Z171" s="4">
        <v>38</v>
      </c>
    </row>
    <row r="172" spans="1:27">
      <c r="A172" s="4" t="s">
        <v>197</v>
      </c>
      <c r="B172" s="4">
        <v>2</v>
      </c>
      <c r="C172" s="4">
        <v>3</v>
      </c>
      <c r="D172" s="4">
        <v>1</v>
      </c>
      <c r="E172" s="4">
        <v>1</v>
      </c>
      <c r="F172" s="4">
        <v>2</v>
      </c>
      <c r="G172" s="4">
        <v>1</v>
      </c>
      <c r="H172" s="4">
        <v>2</v>
      </c>
      <c r="I172" s="4">
        <v>1</v>
      </c>
      <c r="J172" s="4">
        <v>1</v>
      </c>
      <c r="K172" s="4">
        <v>1</v>
      </c>
      <c r="L172" s="4">
        <v>2</v>
      </c>
      <c r="M172" s="4">
        <v>1</v>
      </c>
      <c r="N172" s="4">
        <v>1</v>
      </c>
      <c r="O172" s="4">
        <v>1</v>
      </c>
      <c r="P172" s="4">
        <v>2</v>
      </c>
      <c r="Q172" s="4">
        <v>1</v>
      </c>
      <c r="R172" s="4">
        <v>1</v>
      </c>
      <c r="S172" s="4">
        <v>3</v>
      </c>
      <c r="T172" s="4">
        <v>2</v>
      </c>
      <c r="U172" s="4">
        <v>1</v>
      </c>
      <c r="V172" s="4">
        <v>1</v>
      </c>
      <c r="W172" s="4">
        <v>2</v>
      </c>
      <c r="X172" s="4">
        <v>1</v>
      </c>
      <c r="Y172" s="4">
        <v>1</v>
      </c>
      <c r="Z172" s="4">
        <v>35</v>
      </c>
    </row>
    <row r="173" spans="1:27">
      <c r="A173" s="4" t="s">
        <v>198</v>
      </c>
      <c r="B173" s="4">
        <v>1</v>
      </c>
      <c r="C173" s="4">
        <v>2</v>
      </c>
      <c r="D173" s="4">
        <v>2</v>
      </c>
      <c r="E173" s="4">
        <v>1</v>
      </c>
      <c r="F173" s="4">
        <v>3</v>
      </c>
      <c r="G173" s="4">
        <v>1</v>
      </c>
      <c r="H173" s="4">
        <v>1</v>
      </c>
      <c r="I173" s="4">
        <v>2</v>
      </c>
      <c r="J173" s="4">
        <v>1</v>
      </c>
      <c r="K173" s="4">
        <v>1</v>
      </c>
      <c r="L173" s="4">
        <v>3</v>
      </c>
      <c r="M173" s="4">
        <v>1</v>
      </c>
      <c r="N173" s="4">
        <v>1</v>
      </c>
      <c r="O173" s="4">
        <v>2</v>
      </c>
      <c r="P173" s="4">
        <v>2</v>
      </c>
      <c r="Q173" s="4">
        <v>1</v>
      </c>
      <c r="R173" s="4">
        <v>2</v>
      </c>
      <c r="S173" s="4">
        <v>2</v>
      </c>
      <c r="T173" s="4">
        <v>2</v>
      </c>
      <c r="U173" s="4">
        <v>1</v>
      </c>
      <c r="V173" s="4">
        <v>1</v>
      </c>
      <c r="W173" s="4">
        <v>1</v>
      </c>
      <c r="X173" s="4">
        <v>1</v>
      </c>
      <c r="Y173" s="4">
        <v>1</v>
      </c>
      <c r="Z173" s="4">
        <v>36</v>
      </c>
    </row>
    <row r="174" spans="1:27">
      <c r="A174" s="4" t="s">
        <v>199</v>
      </c>
      <c r="B174" s="4">
        <v>3</v>
      </c>
      <c r="C174" s="4">
        <v>2</v>
      </c>
      <c r="D174" s="4">
        <v>2</v>
      </c>
      <c r="E174" s="4">
        <v>2</v>
      </c>
      <c r="F174" s="4">
        <v>2</v>
      </c>
      <c r="G174" s="4">
        <v>2</v>
      </c>
      <c r="H174" s="4">
        <v>2</v>
      </c>
      <c r="I174" s="4">
        <v>2</v>
      </c>
      <c r="J174" s="4">
        <v>2</v>
      </c>
      <c r="K174" s="4">
        <v>2</v>
      </c>
      <c r="L174" s="4">
        <v>1</v>
      </c>
      <c r="M174" s="4">
        <v>2</v>
      </c>
      <c r="N174" s="4">
        <v>2</v>
      </c>
      <c r="O174" s="4">
        <v>2</v>
      </c>
      <c r="P174" s="4">
        <v>3</v>
      </c>
      <c r="Q174" s="4">
        <v>2</v>
      </c>
      <c r="R174" s="4">
        <v>2</v>
      </c>
      <c r="S174" s="4">
        <v>2</v>
      </c>
      <c r="T174" s="4">
        <v>2</v>
      </c>
      <c r="U174" s="4">
        <v>2</v>
      </c>
      <c r="V174" s="4">
        <v>2</v>
      </c>
      <c r="W174" s="4">
        <v>2</v>
      </c>
      <c r="X174" s="4">
        <v>2</v>
      </c>
      <c r="Y174" s="4">
        <v>2</v>
      </c>
      <c r="Z174" s="4">
        <v>49</v>
      </c>
    </row>
    <row r="175" spans="1:27">
      <c r="A175" s="4" t="s">
        <v>200</v>
      </c>
      <c r="B175" s="4">
        <v>3</v>
      </c>
      <c r="C175" s="4">
        <v>3</v>
      </c>
      <c r="D175" s="4">
        <v>1</v>
      </c>
      <c r="E175" s="4">
        <v>2</v>
      </c>
      <c r="F175" s="4">
        <v>3</v>
      </c>
      <c r="G175" s="4">
        <v>2</v>
      </c>
      <c r="H175" s="4">
        <v>2</v>
      </c>
      <c r="I175" s="4">
        <v>2</v>
      </c>
      <c r="J175" s="4">
        <v>2</v>
      </c>
      <c r="K175" s="4">
        <v>1</v>
      </c>
      <c r="L175" s="4">
        <v>2</v>
      </c>
      <c r="M175" s="4">
        <v>2</v>
      </c>
      <c r="N175" s="4">
        <v>1</v>
      </c>
      <c r="O175" s="4">
        <v>1</v>
      </c>
      <c r="P175" s="4">
        <v>2</v>
      </c>
      <c r="Q175" s="4">
        <v>2</v>
      </c>
      <c r="R175" s="4">
        <v>2</v>
      </c>
      <c r="S175" s="4">
        <v>3</v>
      </c>
      <c r="T175" s="4">
        <v>2</v>
      </c>
      <c r="U175" s="4">
        <v>1</v>
      </c>
      <c r="V175" s="4">
        <v>2</v>
      </c>
      <c r="W175" s="4">
        <v>1</v>
      </c>
      <c r="X175" s="4">
        <v>2</v>
      </c>
      <c r="Y175" s="4">
        <v>1</v>
      </c>
      <c r="Z175" s="4">
        <v>45</v>
      </c>
    </row>
    <row r="176" spans="1:27">
      <c r="A176" s="4" t="s">
        <v>201</v>
      </c>
      <c r="B176" s="4">
        <v>2</v>
      </c>
      <c r="C176" s="4">
        <v>1</v>
      </c>
      <c r="D176" s="4">
        <v>3</v>
      </c>
      <c r="E176" s="4">
        <v>2</v>
      </c>
      <c r="F176" s="4">
        <v>3</v>
      </c>
      <c r="G176" s="4">
        <v>1</v>
      </c>
      <c r="H176" s="4">
        <v>2</v>
      </c>
      <c r="I176" s="4">
        <v>2</v>
      </c>
      <c r="J176" s="4">
        <v>2</v>
      </c>
      <c r="K176" s="4">
        <v>2</v>
      </c>
      <c r="L176" s="4">
        <v>2</v>
      </c>
      <c r="M176" s="4">
        <v>2</v>
      </c>
      <c r="N176" s="4">
        <v>2</v>
      </c>
      <c r="O176" s="4">
        <v>3</v>
      </c>
      <c r="P176" s="4">
        <v>3</v>
      </c>
      <c r="Q176" s="4">
        <v>2</v>
      </c>
      <c r="R176" s="4">
        <v>2</v>
      </c>
      <c r="S176" s="4">
        <v>3</v>
      </c>
      <c r="T176" s="4">
        <v>2</v>
      </c>
      <c r="U176" s="4">
        <v>2</v>
      </c>
      <c r="V176" s="4">
        <v>1</v>
      </c>
      <c r="W176" s="4">
        <v>2</v>
      </c>
      <c r="X176" s="4">
        <v>2</v>
      </c>
      <c r="Y176" s="4">
        <v>1</v>
      </c>
      <c r="Z176" s="4">
        <v>49</v>
      </c>
    </row>
    <row r="177" spans="1:27">
      <c r="A177" s="4" t="s">
        <v>202</v>
      </c>
      <c r="B177" s="4">
        <v>3</v>
      </c>
      <c r="C177" s="4">
        <v>2</v>
      </c>
      <c r="D177" s="4">
        <v>2</v>
      </c>
      <c r="E177" s="4">
        <v>2</v>
      </c>
      <c r="F177" s="4">
        <v>1</v>
      </c>
      <c r="G177" s="4">
        <v>3</v>
      </c>
      <c r="H177" s="4">
        <v>2</v>
      </c>
      <c r="I177" s="4">
        <v>2</v>
      </c>
      <c r="J177" s="4">
        <v>1</v>
      </c>
      <c r="K177" s="4">
        <v>2</v>
      </c>
      <c r="L177" s="4">
        <v>1</v>
      </c>
      <c r="M177" s="4">
        <v>2</v>
      </c>
      <c r="N177" s="4">
        <v>3</v>
      </c>
      <c r="O177" s="4">
        <v>2</v>
      </c>
      <c r="P177" s="4">
        <v>2</v>
      </c>
      <c r="Q177" s="4">
        <v>2</v>
      </c>
      <c r="R177" s="4">
        <v>2</v>
      </c>
      <c r="S177" s="4">
        <v>3</v>
      </c>
      <c r="T177" s="4">
        <v>2</v>
      </c>
      <c r="U177" s="4">
        <v>1</v>
      </c>
      <c r="V177" s="4">
        <v>2</v>
      </c>
      <c r="W177" s="4">
        <v>2</v>
      </c>
      <c r="X177" s="4">
        <v>2</v>
      </c>
      <c r="Y177" s="4">
        <v>2</v>
      </c>
      <c r="Z177" s="4">
        <v>48</v>
      </c>
    </row>
    <row r="178" spans="1:27">
      <c r="A178" s="4" t="s">
        <v>203</v>
      </c>
      <c r="B178" s="4">
        <v>3</v>
      </c>
      <c r="C178" s="4">
        <v>2</v>
      </c>
      <c r="D178" s="4">
        <v>1</v>
      </c>
      <c r="E178" s="4">
        <v>2</v>
      </c>
      <c r="F178" s="4">
        <v>3</v>
      </c>
      <c r="G178" s="4">
        <v>2</v>
      </c>
      <c r="H178" s="4">
        <v>2</v>
      </c>
      <c r="I178" s="4">
        <v>2</v>
      </c>
      <c r="J178" s="4">
        <v>1</v>
      </c>
      <c r="K178" s="4">
        <v>2</v>
      </c>
      <c r="L178" s="4">
        <v>2</v>
      </c>
      <c r="M178" s="4">
        <v>2</v>
      </c>
      <c r="N178" s="4">
        <v>1</v>
      </c>
      <c r="O178" s="4">
        <v>1</v>
      </c>
      <c r="P178" s="4">
        <v>2</v>
      </c>
      <c r="Q178" s="4">
        <v>1</v>
      </c>
      <c r="R178" s="4">
        <v>1</v>
      </c>
      <c r="S178" s="4">
        <v>2</v>
      </c>
      <c r="T178" s="4">
        <v>1</v>
      </c>
      <c r="U178" s="4">
        <v>1</v>
      </c>
      <c r="V178" s="4">
        <v>1</v>
      </c>
      <c r="W178" s="4">
        <v>2</v>
      </c>
      <c r="X178" s="4">
        <v>1</v>
      </c>
      <c r="Y178" s="4">
        <v>1</v>
      </c>
      <c r="Z178" s="4">
        <v>39</v>
      </c>
    </row>
    <row r="179" spans="1:27">
      <c r="A179" s="4" t="s">
        <v>204</v>
      </c>
      <c r="B179" s="4">
        <v>2</v>
      </c>
      <c r="C179" s="4">
        <v>2</v>
      </c>
      <c r="D179" s="4">
        <v>2</v>
      </c>
      <c r="E179" s="4">
        <v>1</v>
      </c>
      <c r="F179" s="4">
        <v>3</v>
      </c>
      <c r="G179" s="4">
        <v>2</v>
      </c>
      <c r="H179" s="4">
        <v>2</v>
      </c>
      <c r="I179" s="4">
        <v>1</v>
      </c>
      <c r="J179" s="4">
        <v>2</v>
      </c>
      <c r="K179" s="4">
        <v>1</v>
      </c>
      <c r="L179" s="4">
        <v>2</v>
      </c>
      <c r="M179" s="4">
        <v>2</v>
      </c>
      <c r="N179" s="4">
        <v>1</v>
      </c>
      <c r="O179" s="4">
        <v>1</v>
      </c>
      <c r="P179" s="4">
        <v>2</v>
      </c>
      <c r="Q179" s="4">
        <v>2</v>
      </c>
      <c r="R179" s="4">
        <v>2</v>
      </c>
      <c r="S179" s="4">
        <v>1</v>
      </c>
      <c r="T179" s="4">
        <v>1</v>
      </c>
      <c r="U179" s="4">
        <v>1</v>
      </c>
      <c r="V179" s="4">
        <v>2</v>
      </c>
      <c r="W179" s="4">
        <v>2</v>
      </c>
      <c r="X179" s="4">
        <v>1</v>
      </c>
      <c r="Y179" s="4">
        <v>2</v>
      </c>
      <c r="Z179" s="4">
        <v>40</v>
      </c>
    </row>
    <row r="180" spans="1:27">
      <c r="A180" s="4" t="s">
        <v>205</v>
      </c>
      <c r="B180" s="4">
        <v>2</v>
      </c>
      <c r="C180" s="4">
        <v>2</v>
      </c>
      <c r="D180" s="4">
        <v>2</v>
      </c>
      <c r="E180" s="4">
        <v>1</v>
      </c>
      <c r="F180" s="4">
        <v>3</v>
      </c>
      <c r="G180" s="4">
        <v>1</v>
      </c>
      <c r="H180" s="4">
        <v>2</v>
      </c>
      <c r="I180" s="4">
        <v>2</v>
      </c>
      <c r="J180" s="4">
        <v>2</v>
      </c>
      <c r="K180" s="4">
        <v>2</v>
      </c>
      <c r="L180" s="4">
        <v>2</v>
      </c>
      <c r="M180" s="4">
        <v>1</v>
      </c>
      <c r="N180" s="4">
        <v>2</v>
      </c>
      <c r="O180" s="4">
        <v>1</v>
      </c>
      <c r="P180" s="4">
        <v>2</v>
      </c>
      <c r="Q180" s="4">
        <v>1</v>
      </c>
      <c r="R180" s="4">
        <v>2</v>
      </c>
      <c r="S180" s="4">
        <v>3</v>
      </c>
      <c r="T180" s="4">
        <v>1</v>
      </c>
      <c r="U180" s="4">
        <v>2</v>
      </c>
      <c r="V180" s="4">
        <v>1</v>
      </c>
      <c r="W180" s="4">
        <v>2</v>
      </c>
      <c r="X180" s="4">
        <v>1</v>
      </c>
      <c r="Y180" s="4">
        <v>2</v>
      </c>
      <c r="Z180" s="4">
        <v>42</v>
      </c>
    </row>
    <row r="181" spans="1:27">
      <c r="A181" s="4" t="s">
        <v>206</v>
      </c>
      <c r="B181" s="4">
        <v>1</v>
      </c>
      <c r="C181" s="4">
        <v>1</v>
      </c>
      <c r="D181" s="4">
        <v>1</v>
      </c>
      <c r="E181" s="4">
        <v>1</v>
      </c>
      <c r="F181" s="4">
        <v>2</v>
      </c>
      <c r="G181" s="4">
        <v>1</v>
      </c>
      <c r="H181" s="4">
        <v>1</v>
      </c>
      <c r="I181" s="4">
        <v>1</v>
      </c>
      <c r="J181" s="4">
        <v>1</v>
      </c>
      <c r="K181" s="4">
        <v>2</v>
      </c>
      <c r="L181" s="4">
        <v>1</v>
      </c>
      <c r="M181" s="4">
        <v>1</v>
      </c>
      <c r="N181" s="4">
        <v>1</v>
      </c>
      <c r="O181" s="4">
        <v>1</v>
      </c>
      <c r="P181" s="4">
        <v>2</v>
      </c>
      <c r="Q181" s="4">
        <v>2</v>
      </c>
      <c r="R181" s="4">
        <v>1</v>
      </c>
      <c r="S181" s="4">
        <v>1</v>
      </c>
      <c r="T181" s="4">
        <v>1</v>
      </c>
      <c r="U181" s="4">
        <v>2</v>
      </c>
      <c r="V181" s="4">
        <v>1</v>
      </c>
      <c r="W181" s="4">
        <v>2</v>
      </c>
      <c r="X181" s="4">
        <v>1</v>
      </c>
      <c r="Y181" s="4">
        <v>1</v>
      </c>
      <c r="Z181" s="4">
        <v>30</v>
      </c>
    </row>
    <row r="182" spans="1:27">
      <c r="A182" s="4" t="s">
        <v>207</v>
      </c>
      <c r="B182" s="4">
        <v>2</v>
      </c>
      <c r="C182" s="4">
        <v>2</v>
      </c>
      <c r="D182" s="4">
        <v>3</v>
      </c>
      <c r="E182" s="4">
        <v>2</v>
      </c>
      <c r="F182" s="4">
        <v>3</v>
      </c>
      <c r="G182" s="4">
        <v>2</v>
      </c>
      <c r="H182" s="4">
        <v>3</v>
      </c>
      <c r="I182" s="4">
        <v>2</v>
      </c>
      <c r="J182" s="4">
        <v>2</v>
      </c>
      <c r="K182" s="4">
        <v>2</v>
      </c>
      <c r="L182" s="4">
        <v>2</v>
      </c>
      <c r="M182" s="4">
        <v>2</v>
      </c>
      <c r="N182" s="4">
        <v>2</v>
      </c>
      <c r="O182" s="4">
        <v>2</v>
      </c>
      <c r="P182" s="4">
        <v>2</v>
      </c>
      <c r="Q182" s="4">
        <v>2</v>
      </c>
      <c r="R182" s="4">
        <v>3</v>
      </c>
      <c r="S182" s="4">
        <v>3</v>
      </c>
      <c r="T182" s="4">
        <v>2</v>
      </c>
      <c r="U182" s="4">
        <v>2</v>
      </c>
      <c r="V182" s="4">
        <v>2</v>
      </c>
      <c r="W182" s="4">
        <v>1</v>
      </c>
      <c r="X182" s="4">
        <v>2</v>
      </c>
      <c r="Y182" s="4">
        <v>3</v>
      </c>
      <c r="Z182" s="4">
        <v>53</v>
      </c>
    </row>
    <row r="183" spans="1:27">
      <c r="A183" s="4" t="s">
        <v>208</v>
      </c>
      <c r="B183" s="4">
        <v>2</v>
      </c>
      <c r="C183" s="4">
        <v>2</v>
      </c>
      <c r="D183" s="4">
        <v>2</v>
      </c>
      <c r="E183" s="4">
        <v>1</v>
      </c>
      <c r="F183" s="4">
        <v>3</v>
      </c>
      <c r="G183" s="4">
        <v>1</v>
      </c>
      <c r="H183" s="4">
        <v>2</v>
      </c>
      <c r="I183" s="4">
        <v>2</v>
      </c>
      <c r="J183" s="4">
        <v>2</v>
      </c>
      <c r="K183" s="4">
        <v>1</v>
      </c>
      <c r="L183" s="4">
        <v>2</v>
      </c>
      <c r="M183" s="4">
        <v>1</v>
      </c>
      <c r="N183" s="4">
        <v>1</v>
      </c>
      <c r="O183" s="4">
        <v>2</v>
      </c>
      <c r="P183" s="4">
        <v>2</v>
      </c>
      <c r="Q183" s="4">
        <v>2</v>
      </c>
      <c r="R183" s="4">
        <v>2</v>
      </c>
      <c r="S183" s="4">
        <v>3</v>
      </c>
      <c r="T183" s="4">
        <v>2</v>
      </c>
      <c r="U183" s="4">
        <v>2</v>
      </c>
      <c r="V183" s="4">
        <v>1</v>
      </c>
      <c r="W183" s="4">
        <v>2</v>
      </c>
      <c r="X183" s="4">
        <v>1</v>
      </c>
      <c r="Y183" s="4">
        <v>1</v>
      </c>
      <c r="Z183" s="4">
        <v>42</v>
      </c>
    </row>
    <row r="184" spans="1:27">
      <c r="A184" s="4" t="s">
        <v>209</v>
      </c>
      <c r="B184" s="4">
        <v>3</v>
      </c>
      <c r="C184" s="4">
        <v>2</v>
      </c>
      <c r="D184" s="4">
        <v>2</v>
      </c>
      <c r="E184" s="4">
        <v>1</v>
      </c>
      <c r="F184" s="4">
        <v>2</v>
      </c>
      <c r="G184" s="4">
        <v>2</v>
      </c>
      <c r="H184" s="4">
        <v>2</v>
      </c>
      <c r="I184" s="4">
        <v>2</v>
      </c>
      <c r="J184" s="4">
        <v>1</v>
      </c>
      <c r="K184" s="4">
        <v>1</v>
      </c>
      <c r="L184" s="4">
        <v>3</v>
      </c>
      <c r="M184" s="4">
        <v>2</v>
      </c>
      <c r="N184" s="4">
        <v>1</v>
      </c>
      <c r="O184" s="4">
        <v>2</v>
      </c>
      <c r="P184" s="4">
        <v>1</v>
      </c>
      <c r="Q184" s="4">
        <v>2</v>
      </c>
      <c r="R184" s="4">
        <v>2</v>
      </c>
      <c r="S184" s="4">
        <v>2</v>
      </c>
      <c r="T184" s="4">
        <v>1</v>
      </c>
      <c r="U184" s="4">
        <v>1</v>
      </c>
      <c r="V184" s="4">
        <v>2</v>
      </c>
      <c r="W184" s="4">
        <v>2</v>
      </c>
      <c r="X184" s="4">
        <v>2</v>
      </c>
      <c r="Y184" s="4">
        <v>2</v>
      </c>
      <c r="Z184" s="4">
        <v>43</v>
      </c>
    </row>
    <row r="185" spans="1:27">
      <c r="A185" s="4" t="s">
        <v>210</v>
      </c>
      <c r="B185" s="4">
        <v>2</v>
      </c>
      <c r="C185" s="4">
        <v>3</v>
      </c>
      <c r="D185" s="4">
        <v>1</v>
      </c>
      <c r="E185" s="4">
        <v>2</v>
      </c>
      <c r="F185" s="4">
        <v>2</v>
      </c>
      <c r="G185" s="4">
        <v>2</v>
      </c>
      <c r="H185" s="4">
        <v>2</v>
      </c>
      <c r="I185" s="4">
        <v>2</v>
      </c>
      <c r="J185" s="4">
        <v>2</v>
      </c>
      <c r="K185" s="4">
        <v>2</v>
      </c>
      <c r="L185" s="4">
        <v>1</v>
      </c>
      <c r="M185" s="4">
        <v>3</v>
      </c>
      <c r="N185" s="4">
        <v>2</v>
      </c>
      <c r="O185" s="4">
        <v>2</v>
      </c>
      <c r="P185" s="4">
        <v>2</v>
      </c>
      <c r="Q185" s="4">
        <v>2</v>
      </c>
      <c r="R185" s="4">
        <v>2</v>
      </c>
      <c r="S185" s="4">
        <v>2</v>
      </c>
      <c r="T185" s="4">
        <v>2</v>
      </c>
      <c r="U185" s="4">
        <v>3</v>
      </c>
      <c r="V185" s="4">
        <v>3</v>
      </c>
      <c r="W185" s="4">
        <v>2</v>
      </c>
      <c r="X185" s="4">
        <v>2</v>
      </c>
      <c r="Y185" s="4">
        <v>1</v>
      </c>
      <c r="Z185" s="4">
        <v>49</v>
      </c>
    </row>
    <row r="186" spans="1:27">
      <c r="A186" s="4" t="s">
        <v>211</v>
      </c>
      <c r="B186" s="4">
        <v>2</v>
      </c>
      <c r="C186" s="4">
        <v>3</v>
      </c>
      <c r="D186" s="4">
        <v>2</v>
      </c>
      <c r="E186" s="4">
        <v>2</v>
      </c>
      <c r="F186" s="4">
        <v>2</v>
      </c>
      <c r="G186" s="4">
        <v>2</v>
      </c>
      <c r="H186" s="4">
        <v>2</v>
      </c>
      <c r="I186" s="4">
        <v>2</v>
      </c>
      <c r="J186" s="4">
        <v>2</v>
      </c>
      <c r="K186" s="4">
        <v>2</v>
      </c>
      <c r="L186" s="4">
        <v>3</v>
      </c>
      <c r="M186" s="4">
        <v>2</v>
      </c>
      <c r="N186" s="4">
        <v>2</v>
      </c>
      <c r="O186" s="4">
        <v>2</v>
      </c>
      <c r="P186" s="4">
        <v>1</v>
      </c>
      <c r="Q186" s="4">
        <v>2</v>
      </c>
      <c r="R186" s="4">
        <v>2</v>
      </c>
      <c r="S186" s="4">
        <v>2</v>
      </c>
      <c r="T186" s="4">
        <v>1</v>
      </c>
      <c r="U186" s="4">
        <v>3</v>
      </c>
      <c r="V186" s="4">
        <v>2</v>
      </c>
      <c r="W186" s="4">
        <v>2</v>
      </c>
      <c r="X186" s="4">
        <v>1</v>
      </c>
      <c r="Y186" s="4">
        <v>2</v>
      </c>
      <c r="Z186" s="4">
        <v>48</v>
      </c>
    </row>
    <row r="187" spans="1:27">
      <c r="A187" s="4" t="s">
        <v>212</v>
      </c>
      <c r="B187" s="4">
        <v>1</v>
      </c>
      <c r="C187" s="4">
        <v>3</v>
      </c>
      <c r="D187" s="4">
        <v>1</v>
      </c>
      <c r="E187" s="4">
        <v>1</v>
      </c>
      <c r="F187" s="4">
        <v>1</v>
      </c>
      <c r="G187" s="4">
        <v>1</v>
      </c>
      <c r="H187" s="4">
        <v>1</v>
      </c>
      <c r="I187" s="4">
        <v>1</v>
      </c>
      <c r="J187" s="4">
        <v>1</v>
      </c>
      <c r="K187" s="4">
        <v>1</v>
      </c>
      <c r="L187" s="4">
        <v>2</v>
      </c>
      <c r="M187" s="4">
        <v>1</v>
      </c>
      <c r="N187" s="4">
        <v>1</v>
      </c>
      <c r="O187" s="4">
        <v>1</v>
      </c>
      <c r="P187" s="4">
        <v>3</v>
      </c>
      <c r="Q187" s="4">
        <v>1</v>
      </c>
      <c r="R187" s="4">
        <v>1</v>
      </c>
      <c r="S187" s="4">
        <v>2</v>
      </c>
      <c r="T187" s="4">
        <v>1</v>
      </c>
      <c r="U187" s="4">
        <v>1</v>
      </c>
      <c r="V187" s="4">
        <v>1</v>
      </c>
      <c r="W187" s="4">
        <v>1</v>
      </c>
      <c r="X187" s="4">
        <v>1</v>
      </c>
      <c r="Y187" s="4">
        <v>2</v>
      </c>
      <c r="Z187" s="4">
        <v>31</v>
      </c>
    </row>
    <row r="188" spans="1:27">
      <c r="A188" s="4" t="s">
        <v>213</v>
      </c>
      <c r="B188" s="4">
        <v>3</v>
      </c>
      <c r="C188" s="4">
        <v>2</v>
      </c>
      <c r="D188" s="4">
        <v>3</v>
      </c>
      <c r="E188" s="4">
        <v>2</v>
      </c>
      <c r="F188" s="4">
        <v>2</v>
      </c>
      <c r="G188" s="4">
        <v>2</v>
      </c>
      <c r="H188" s="4">
        <v>2</v>
      </c>
      <c r="I188" s="4">
        <v>2</v>
      </c>
      <c r="J188" s="4">
        <v>3</v>
      </c>
      <c r="K188" s="4">
        <v>2</v>
      </c>
      <c r="L188" s="4">
        <v>1</v>
      </c>
      <c r="M188" s="4">
        <v>2</v>
      </c>
      <c r="N188" s="4">
        <v>3</v>
      </c>
      <c r="O188" s="4">
        <v>2</v>
      </c>
      <c r="P188" s="4">
        <v>3</v>
      </c>
      <c r="Q188" s="4">
        <v>2</v>
      </c>
      <c r="R188" s="4">
        <v>3</v>
      </c>
      <c r="S188" s="4">
        <v>2</v>
      </c>
      <c r="T188" s="4">
        <v>2</v>
      </c>
      <c r="U188" s="4">
        <v>2</v>
      </c>
      <c r="V188" s="4">
        <v>2</v>
      </c>
      <c r="W188" s="4">
        <v>1</v>
      </c>
      <c r="X188" s="4">
        <v>2</v>
      </c>
      <c r="Y188" s="4">
        <v>2</v>
      </c>
      <c r="Z188" s="4">
        <v>52</v>
      </c>
    </row>
    <row r="189" spans="1:27">
      <c r="A189" s="4" t="s">
        <v>214</v>
      </c>
      <c r="B189" s="4">
        <v>3</v>
      </c>
      <c r="C189" s="4">
        <v>1</v>
      </c>
      <c r="D189" s="4">
        <v>2</v>
      </c>
      <c r="E189" s="4">
        <v>2</v>
      </c>
      <c r="F189" s="4">
        <v>2</v>
      </c>
      <c r="G189" s="4">
        <v>2</v>
      </c>
      <c r="H189" s="4">
        <v>2</v>
      </c>
      <c r="I189" s="4">
        <v>2</v>
      </c>
      <c r="J189" s="4">
        <v>2</v>
      </c>
      <c r="K189" s="4">
        <v>2</v>
      </c>
      <c r="L189" s="4">
        <v>2</v>
      </c>
      <c r="M189" s="4">
        <v>2</v>
      </c>
      <c r="N189" s="4">
        <v>2</v>
      </c>
      <c r="O189" s="4">
        <v>2</v>
      </c>
      <c r="P189" s="4">
        <v>1</v>
      </c>
      <c r="Q189" s="4">
        <v>2</v>
      </c>
      <c r="R189" s="4">
        <v>2</v>
      </c>
      <c r="S189" s="4">
        <v>2</v>
      </c>
      <c r="T189" s="4">
        <v>3</v>
      </c>
      <c r="U189" s="4">
        <v>2</v>
      </c>
      <c r="V189" s="4">
        <v>2</v>
      </c>
      <c r="W189" s="4">
        <v>2</v>
      </c>
      <c r="X189" s="4">
        <v>2</v>
      </c>
      <c r="Y189" s="4">
        <v>3</v>
      </c>
      <c r="Z189" s="4">
        <v>49</v>
      </c>
    </row>
    <row r="190" spans="1:27">
      <c r="A190" s="4" t="s">
        <v>215</v>
      </c>
      <c r="B190" s="4">
        <v>1</v>
      </c>
      <c r="C190" s="4">
        <v>2</v>
      </c>
      <c r="D190" s="4">
        <v>2</v>
      </c>
      <c r="E190" s="4">
        <v>2</v>
      </c>
      <c r="F190" s="4">
        <v>3</v>
      </c>
      <c r="G190" s="4">
        <v>2</v>
      </c>
      <c r="H190" s="4">
        <v>3</v>
      </c>
      <c r="I190" s="4">
        <v>2</v>
      </c>
      <c r="J190" s="4">
        <v>3</v>
      </c>
      <c r="K190" s="4">
        <v>2</v>
      </c>
      <c r="L190" s="4">
        <v>2</v>
      </c>
      <c r="M190" s="4">
        <v>2</v>
      </c>
      <c r="N190" s="4">
        <v>1</v>
      </c>
      <c r="O190" s="4">
        <v>2</v>
      </c>
      <c r="P190" s="4">
        <v>1</v>
      </c>
      <c r="Q190" s="4">
        <v>2</v>
      </c>
      <c r="R190" s="4">
        <v>2</v>
      </c>
      <c r="S190" s="4">
        <v>2</v>
      </c>
      <c r="T190" s="4">
        <v>2</v>
      </c>
      <c r="U190" s="4">
        <v>2</v>
      </c>
      <c r="V190" s="4">
        <v>3</v>
      </c>
      <c r="W190" s="4">
        <v>3</v>
      </c>
      <c r="X190" s="4">
        <v>2</v>
      </c>
      <c r="Y190" s="4">
        <v>2</v>
      </c>
      <c r="Z190" s="4">
        <v>50</v>
      </c>
    </row>
    <row r="191" spans="1:27">
      <c r="A191" s="4" t="s">
        <v>216</v>
      </c>
      <c r="B191" s="4">
        <v>2</v>
      </c>
      <c r="C191" s="4">
        <v>3</v>
      </c>
      <c r="D191" s="4">
        <v>2</v>
      </c>
      <c r="E191" s="4">
        <v>2</v>
      </c>
      <c r="F191" s="4">
        <v>2</v>
      </c>
      <c r="G191" s="4">
        <v>2</v>
      </c>
      <c r="H191" s="4">
        <v>2</v>
      </c>
      <c r="I191" s="4">
        <v>2</v>
      </c>
      <c r="J191" s="4">
        <v>2</v>
      </c>
      <c r="K191" s="4">
        <v>2</v>
      </c>
      <c r="L191" s="4">
        <v>3</v>
      </c>
      <c r="M191" s="4">
        <v>2</v>
      </c>
      <c r="N191" s="4">
        <v>2</v>
      </c>
      <c r="O191" s="4">
        <v>2</v>
      </c>
      <c r="P191" s="4">
        <v>1</v>
      </c>
      <c r="Q191" s="4">
        <v>2</v>
      </c>
      <c r="R191" s="4">
        <v>2</v>
      </c>
      <c r="S191" s="4">
        <v>2</v>
      </c>
      <c r="T191" s="4">
        <v>2</v>
      </c>
      <c r="U191" s="4">
        <v>2</v>
      </c>
      <c r="V191" s="4">
        <v>3</v>
      </c>
      <c r="W191" s="4">
        <v>2</v>
      </c>
      <c r="X191" s="4">
        <v>2</v>
      </c>
      <c r="Y191" s="4">
        <v>2</v>
      </c>
      <c r="Z191" s="4">
        <v>50</v>
      </c>
    </row>
    <row r="192" spans="1:27">
      <c r="A192" s="4" t="s">
        <v>217</v>
      </c>
      <c r="B192" s="4">
        <v>2</v>
      </c>
      <c r="C192" s="4">
        <v>2</v>
      </c>
      <c r="D192" s="4">
        <v>1</v>
      </c>
      <c r="E192" s="4">
        <v>1</v>
      </c>
      <c r="F192" s="4">
        <v>3</v>
      </c>
      <c r="G192" s="4">
        <v>1</v>
      </c>
      <c r="H192" s="4">
        <v>1</v>
      </c>
      <c r="I192" s="4">
        <v>1</v>
      </c>
      <c r="J192" s="4">
        <v>1</v>
      </c>
      <c r="K192" s="4">
        <v>1</v>
      </c>
      <c r="L192" s="4">
        <v>2</v>
      </c>
      <c r="M192" s="4">
        <v>1</v>
      </c>
      <c r="N192" s="4">
        <v>1</v>
      </c>
      <c r="O192" s="4">
        <v>1</v>
      </c>
      <c r="P192" s="4">
        <v>1</v>
      </c>
      <c r="Q192" s="4">
        <v>1</v>
      </c>
      <c r="R192" s="4">
        <v>1</v>
      </c>
      <c r="S192" s="4">
        <v>1</v>
      </c>
      <c r="T192" s="4">
        <v>1</v>
      </c>
      <c r="U192" s="4">
        <v>1</v>
      </c>
      <c r="V192" s="4">
        <v>1</v>
      </c>
      <c r="W192" s="4">
        <v>3</v>
      </c>
      <c r="X192" s="4">
        <v>1</v>
      </c>
      <c r="Y192" s="4">
        <v>1</v>
      </c>
      <c r="Z192" s="4">
        <v>31</v>
      </c>
    </row>
    <row r="193" spans="1:27">
      <c r="A193" s="4" t="s">
        <v>218</v>
      </c>
      <c r="B193" s="4">
        <v>1</v>
      </c>
      <c r="C193" s="4">
        <v>1</v>
      </c>
      <c r="D193" s="4">
        <v>1</v>
      </c>
      <c r="E193" s="4">
        <v>2</v>
      </c>
      <c r="F193" s="4">
        <v>3</v>
      </c>
      <c r="G193" s="4">
        <v>1</v>
      </c>
      <c r="H193" s="4">
        <v>2</v>
      </c>
      <c r="I193" s="4">
        <v>2</v>
      </c>
      <c r="J193" s="4">
        <v>1</v>
      </c>
      <c r="K193" s="4">
        <v>2</v>
      </c>
      <c r="L193" s="4">
        <v>1</v>
      </c>
      <c r="M193" s="4">
        <v>1</v>
      </c>
      <c r="N193" s="4">
        <v>2</v>
      </c>
      <c r="O193" s="4">
        <v>2</v>
      </c>
      <c r="P193" s="4">
        <v>2</v>
      </c>
      <c r="Q193" s="4">
        <v>2</v>
      </c>
      <c r="R193" s="4">
        <v>2</v>
      </c>
      <c r="S193" s="4">
        <v>2</v>
      </c>
      <c r="T193" s="4">
        <v>2</v>
      </c>
      <c r="U193" s="4">
        <v>2</v>
      </c>
      <c r="V193" s="4">
        <v>2</v>
      </c>
      <c r="W193" s="4">
        <v>2</v>
      </c>
      <c r="X193" s="4">
        <v>2</v>
      </c>
      <c r="Y193" s="4">
        <v>2</v>
      </c>
      <c r="Z193" s="4">
        <v>42</v>
      </c>
    </row>
    <row r="194" spans="1:27">
      <c r="A194" s="4" t="s">
        <v>219</v>
      </c>
      <c r="B194" s="4">
        <v>3</v>
      </c>
      <c r="C194" s="4">
        <v>3</v>
      </c>
      <c r="D194" s="4">
        <v>1</v>
      </c>
      <c r="E194" s="4">
        <v>1</v>
      </c>
      <c r="F194" s="4">
        <v>2</v>
      </c>
      <c r="G194" s="4">
        <v>2</v>
      </c>
      <c r="H194" s="4">
        <v>1</v>
      </c>
      <c r="I194" s="4">
        <v>1</v>
      </c>
      <c r="J194" s="4">
        <v>1</v>
      </c>
      <c r="K194" s="4">
        <v>1</v>
      </c>
      <c r="L194" s="4">
        <v>2</v>
      </c>
      <c r="M194" s="4">
        <v>1</v>
      </c>
      <c r="N194" s="4">
        <v>1</v>
      </c>
      <c r="O194" s="4">
        <v>1</v>
      </c>
      <c r="P194" s="4">
        <v>2</v>
      </c>
      <c r="Q194" s="4">
        <v>2</v>
      </c>
      <c r="R194" s="4">
        <v>1</v>
      </c>
      <c r="S194" s="4">
        <v>2</v>
      </c>
      <c r="T194" s="4">
        <v>1</v>
      </c>
      <c r="U194" s="4">
        <v>1</v>
      </c>
      <c r="V194" s="4">
        <v>2</v>
      </c>
      <c r="W194" s="4">
        <v>3</v>
      </c>
      <c r="X194" s="4">
        <v>2</v>
      </c>
      <c r="Y194" s="4">
        <v>1</v>
      </c>
      <c r="Z194" s="4">
        <v>38</v>
      </c>
    </row>
    <row r="195" spans="1:27">
      <c r="A195" s="4" t="s">
        <v>220</v>
      </c>
      <c r="B195" s="4">
        <v>3</v>
      </c>
      <c r="C195" s="4">
        <v>2</v>
      </c>
      <c r="D195" s="4">
        <v>1</v>
      </c>
      <c r="E195" s="4">
        <v>1</v>
      </c>
      <c r="F195" s="4">
        <v>2</v>
      </c>
      <c r="G195" s="4">
        <v>1</v>
      </c>
      <c r="H195" s="4">
        <v>1</v>
      </c>
      <c r="I195" s="4">
        <v>2</v>
      </c>
      <c r="J195" s="4">
        <v>1</v>
      </c>
      <c r="K195" s="4">
        <v>1</v>
      </c>
      <c r="L195" s="4">
        <v>3</v>
      </c>
      <c r="M195" s="4">
        <v>1</v>
      </c>
      <c r="N195" s="4">
        <v>1</v>
      </c>
      <c r="O195" s="4">
        <v>1</v>
      </c>
      <c r="P195" s="4">
        <v>2</v>
      </c>
      <c r="Q195" s="4">
        <v>1</v>
      </c>
      <c r="R195" s="4">
        <v>1</v>
      </c>
      <c r="S195" s="4">
        <v>2</v>
      </c>
      <c r="T195" s="4">
        <v>2</v>
      </c>
      <c r="U195" s="4">
        <v>2</v>
      </c>
      <c r="V195" s="4">
        <v>1</v>
      </c>
      <c r="W195" s="4">
        <v>2</v>
      </c>
      <c r="X195" s="4">
        <v>1</v>
      </c>
      <c r="Y195" s="4">
        <v>1</v>
      </c>
      <c r="Z195" s="4">
        <v>36</v>
      </c>
    </row>
    <row r="196" spans="1:27">
      <c r="A196" s="4" t="s">
        <v>221</v>
      </c>
      <c r="B196" s="4">
        <v>1</v>
      </c>
      <c r="C196" s="4">
        <v>2</v>
      </c>
      <c r="D196" s="4">
        <v>2</v>
      </c>
      <c r="E196" s="4">
        <v>1</v>
      </c>
      <c r="F196" s="4">
        <v>3</v>
      </c>
      <c r="G196" s="4">
        <v>2</v>
      </c>
      <c r="H196" s="4">
        <v>1</v>
      </c>
      <c r="I196" s="4">
        <v>2</v>
      </c>
      <c r="J196" s="4">
        <v>2</v>
      </c>
      <c r="K196" s="4">
        <v>1</v>
      </c>
      <c r="L196" s="4">
        <v>1</v>
      </c>
      <c r="M196" s="4">
        <v>2</v>
      </c>
      <c r="N196" s="4">
        <v>2</v>
      </c>
      <c r="O196" s="4">
        <v>2</v>
      </c>
      <c r="P196" s="4">
        <v>2</v>
      </c>
      <c r="Q196" s="4">
        <v>1</v>
      </c>
      <c r="R196" s="4">
        <v>1</v>
      </c>
      <c r="S196" s="4">
        <v>3</v>
      </c>
      <c r="T196" s="4">
        <v>2</v>
      </c>
      <c r="U196" s="4">
        <v>1</v>
      </c>
      <c r="V196" s="4">
        <v>1</v>
      </c>
      <c r="W196" s="4">
        <v>3</v>
      </c>
      <c r="X196" s="4">
        <v>2</v>
      </c>
      <c r="Y196" s="4">
        <v>2</v>
      </c>
      <c r="Z196" s="4">
        <v>42</v>
      </c>
    </row>
    <row r="197" spans="1:27">
      <c r="A197" s="4" t="s">
        <v>222</v>
      </c>
      <c r="B197" s="4">
        <v>1</v>
      </c>
      <c r="C197" s="4">
        <v>1</v>
      </c>
      <c r="D197" s="4">
        <v>1</v>
      </c>
      <c r="E197" s="4">
        <v>1</v>
      </c>
      <c r="F197" s="4">
        <v>2</v>
      </c>
      <c r="G197" s="4">
        <v>2</v>
      </c>
      <c r="H197" s="4">
        <v>2</v>
      </c>
      <c r="I197" s="4">
        <v>2</v>
      </c>
      <c r="J197" s="4">
        <v>1</v>
      </c>
      <c r="K197" s="4">
        <v>2</v>
      </c>
      <c r="L197" s="4">
        <v>2</v>
      </c>
      <c r="M197" s="4">
        <v>1</v>
      </c>
      <c r="N197" s="4">
        <v>1</v>
      </c>
      <c r="O197" s="4">
        <v>2</v>
      </c>
      <c r="P197" s="4">
        <v>1</v>
      </c>
      <c r="Q197" s="4">
        <v>2</v>
      </c>
      <c r="R197" s="4">
        <v>2</v>
      </c>
      <c r="S197" s="4">
        <v>1</v>
      </c>
      <c r="T197" s="4">
        <v>2</v>
      </c>
      <c r="U197" s="4">
        <v>2</v>
      </c>
      <c r="V197" s="4">
        <v>2</v>
      </c>
      <c r="W197" s="4">
        <v>2</v>
      </c>
      <c r="X197" s="4">
        <v>1</v>
      </c>
      <c r="Y197" s="4">
        <v>2</v>
      </c>
      <c r="Z197" s="4">
        <v>38</v>
      </c>
    </row>
    <row r="198" spans="1:27">
      <c r="A198" s="4" t="s">
        <v>223</v>
      </c>
      <c r="B198" s="4">
        <v>2</v>
      </c>
      <c r="C198" s="4">
        <v>3</v>
      </c>
      <c r="D198" s="4">
        <v>1</v>
      </c>
      <c r="E198" s="4">
        <v>1</v>
      </c>
      <c r="F198" s="4">
        <v>3</v>
      </c>
      <c r="G198" s="4">
        <v>2</v>
      </c>
      <c r="H198" s="4">
        <v>1</v>
      </c>
      <c r="I198" s="4">
        <v>1</v>
      </c>
      <c r="J198" s="4">
        <v>1</v>
      </c>
      <c r="K198" s="4">
        <v>2</v>
      </c>
      <c r="L198" s="4">
        <v>2</v>
      </c>
      <c r="M198" s="4">
        <v>1</v>
      </c>
      <c r="N198" s="4">
        <v>1</v>
      </c>
      <c r="O198" s="4">
        <v>1</v>
      </c>
      <c r="P198" s="4">
        <v>1</v>
      </c>
      <c r="Q198" s="4">
        <v>1</v>
      </c>
      <c r="R198" s="4">
        <v>1</v>
      </c>
      <c r="S198" s="4">
        <v>3</v>
      </c>
      <c r="T198" s="4">
        <v>1</v>
      </c>
      <c r="U198" s="4">
        <v>2</v>
      </c>
      <c r="V198" s="4">
        <v>1</v>
      </c>
      <c r="W198" s="4">
        <v>3</v>
      </c>
      <c r="X198" s="4">
        <v>1</v>
      </c>
      <c r="Y198" s="4">
        <v>1</v>
      </c>
      <c r="Z198" s="4">
        <v>37</v>
      </c>
    </row>
    <row r="199" spans="1:27">
      <c r="A199" s="4" t="s">
        <v>224</v>
      </c>
      <c r="B199" s="4">
        <v>1</v>
      </c>
      <c r="C199" s="4">
        <v>3</v>
      </c>
      <c r="D199" s="4">
        <v>1</v>
      </c>
      <c r="E199" s="4">
        <v>2</v>
      </c>
      <c r="F199" s="4">
        <v>1</v>
      </c>
      <c r="G199" s="4">
        <v>1</v>
      </c>
      <c r="H199" s="4">
        <v>1</v>
      </c>
      <c r="I199" s="4">
        <v>1</v>
      </c>
      <c r="J199" s="4">
        <v>2</v>
      </c>
      <c r="K199" s="4">
        <v>1</v>
      </c>
      <c r="L199" s="4">
        <v>3</v>
      </c>
      <c r="M199" s="4">
        <v>2</v>
      </c>
      <c r="N199" s="4">
        <v>1</v>
      </c>
      <c r="O199" s="4">
        <v>1</v>
      </c>
      <c r="P199" s="4">
        <v>3</v>
      </c>
      <c r="Q199" s="4">
        <v>1</v>
      </c>
      <c r="R199" s="4">
        <v>2</v>
      </c>
      <c r="S199" s="4">
        <v>2</v>
      </c>
      <c r="T199" s="4">
        <v>2</v>
      </c>
      <c r="U199" s="4">
        <v>2</v>
      </c>
      <c r="V199" s="4">
        <v>1</v>
      </c>
      <c r="W199" s="4">
        <v>2</v>
      </c>
      <c r="X199" s="4">
        <v>2</v>
      </c>
      <c r="Y199" s="4">
        <v>1</v>
      </c>
      <c r="Z199" s="4">
        <v>39</v>
      </c>
    </row>
    <row r="200" spans="1:27">
      <c r="A200" s="4" t="s">
        <v>225</v>
      </c>
      <c r="B200" s="4">
        <v>3</v>
      </c>
      <c r="C200" s="4">
        <v>2</v>
      </c>
      <c r="D200" s="4">
        <v>2</v>
      </c>
      <c r="E200" s="4">
        <v>2</v>
      </c>
      <c r="F200" s="4">
        <v>2</v>
      </c>
      <c r="G200" s="4">
        <v>1</v>
      </c>
      <c r="H200" s="4">
        <v>2</v>
      </c>
      <c r="I200" s="4">
        <v>1</v>
      </c>
      <c r="J200" s="4">
        <v>1</v>
      </c>
      <c r="K200" s="4">
        <v>1</v>
      </c>
      <c r="L200" s="4">
        <v>2</v>
      </c>
      <c r="M200" s="4">
        <v>2</v>
      </c>
      <c r="N200" s="4">
        <v>1</v>
      </c>
      <c r="O200" s="4">
        <v>2</v>
      </c>
      <c r="P200" s="4">
        <v>2</v>
      </c>
      <c r="Q200" s="4">
        <v>1</v>
      </c>
      <c r="R200" s="4">
        <v>2</v>
      </c>
      <c r="S200" s="4">
        <v>1</v>
      </c>
      <c r="T200" s="4">
        <v>2</v>
      </c>
      <c r="U200" s="4">
        <v>1</v>
      </c>
      <c r="V200" s="4">
        <v>2</v>
      </c>
      <c r="W200" s="4">
        <v>2</v>
      </c>
      <c r="X200" s="4">
        <v>1</v>
      </c>
      <c r="Y200" s="4">
        <v>2</v>
      </c>
      <c r="Z200" s="4">
        <v>40</v>
      </c>
    </row>
    <row r="201" spans="1:27">
      <c r="A201" s="4" t="s">
        <v>226</v>
      </c>
      <c r="B201" s="4">
        <v>2</v>
      </c>
      <c r="C201" s="4">
        <v>2</v>
      </c>
      <c r="D201" s="4">
        <v>1</v>
      </c>
      <c r="E201" s="4">
        <v>2</v>
      </c>
      <c r="F201" s="4">
        <v>3</v>
      </c>
      <c r="G201" s="4">
        <v>1</v>
      </c>
      <c r="H201" s="4">
        <v>1</v>
      </c>
      <c r="I201" s="4">
        <v>2</v>
      </c>
      <c r="J201" s="4">
        <v>2</v>
      </c>
      <c r="K201" s="4">
        <v>2</v>
      </c>
      <c r="L201" s="4">
        <v>2</v>
      </c>
      <c r="M201" s="4">
        <v>1</v>
      </c>
      <c r="N201" s="4">
        <v>1</v>
      </c>
      <c r="O201" s="4">
        <v>2</v>
      </c>
      <c r="P201" s="4">
        <v>2</v>
      </c>
      <c r="Q201" s="4">
        <v>1</v>
      </c>
      <c r="R201" s="4">
        <v>1</v>
      </c>
      <c r="S201" s="4">
        <v>3</v>
      </c>
      <c r="T201" s="4">
        <v>2</v>
      </c>
      <c r="U201" s="4">
        <v>2</v>
      </c>
      <c r="V201" s="4">
        <v>1</v>
      </c>
      <c r="W201" s="4">
        <v>2</v>
      </c>
      <c r="X201" s="4">
        <v>1</v>
      </c>
      <c r="Y201" s="4">
        <v>1</v>
      </c>
      <c r="Z201" s="4">
        <v>40</v>
      </c>
    </row>
    <row r="202" spans="1:27">
      <c r="A202" s="4" t="s">
        <v>227</v>
      </c>
      <c r="B202" s="4">
        <v>2</v>
      </c>
      <c r="C202" s="4">
        <v>3</v>
      </c>
      <c r="D202" s="4">
        <v>2</v>
      </c>
      <c r="E202" s="4">
        <v>2</v>
      </c>
      <c r="F202" s="4">
        <v>2</v>
      </c>
      <c r="G202" s="4">
        <v>2</v>
      </c>
      <c r="H202" s="4">
        <v>3</v>
      </c>
      <c r="I202" s="4">
        <v>2</v>
      </c>
      <c r="J202" s="4">
        <v>2</v>
      </c>
      <c r="K202" s="4">
        <v>2</v>
      </c>
      <c r="L202" s="4">
        <v>3</v>
      </c>
      <c r="M202" s="4">
        <v>3</v>
      </c>
      <c r="N202" s="4">
        <v>2</v>
      </c>
      <c r="O202" s="4">
        <v>2</v>
      </c>
      <c r="P202" s="4">
        <v>1</v>
      </c>
      <c r="Q202" s="4">
        <v>2</v>
      </c>
      <c r="R202" s="4">
        <v>1</v>
      </c>
      <c r="S202" s="4">
        <v>3</v>
      </c>
      <c r="T202" s="4">
        <v>2</v>
      </c>
      <c r="U202" s="4">
        <v>2</v>
      </c>
      <c r="V202" s="4">
        <v>3</v>
      </c>
      <c r="W202" s="4">
        <v>1</v>
      </c>
      <c r="X202" s="4">
        <v>2</v>
      </c>
      <c r="Y202" s="4">
        <v>3</v>
      </c>
      <c r="Z202" s="4">
        <v>52</v>
      </c>
    </row>
    <row r="203" spans="1:27">
      <c r="A203" s="4" t="s">
        <v>228</v>
      </c>
      <c r="B203" s="4">
        <v>3</v>
      </c>
      <c r="C203" s="4">
        <v>3</v>
      </c>
      <c r="D203" s="4">
        <v>1</v>
      </c>
      <c r="E203" s="4">
        <v>2</v>
      </c>
      <c r="F203" s="4">
        <v>2</v>
      </c>
      <c r="G203" s="4">
        <v>1</v>
      </c>
      <c r="H203" s="4">
        <v>1</v>
      </c>
      <c r="I203" s="4">
        <v>1</v>
      </c>
      <c r="J203" s="4">
        <v>2</v>
      </c>
      <c r="K203" s="4">
        <v>2</v>
      </c>
      <c r="L203" s="4">
        <v>1</v>
      </c>
      <c r="M203" s="4">
        <v>1</v>
      </c>
      <c r="N203" s="4">
        <v>2</v>
      </c>
      <c r="O203" s="4">
        <v>2</v>
      </c>
      <c r="P203" s="4">
        <v>1</v>
      </c>
      <c r="Q203" s="4">
        <v>1</v>
      </c>
      <c r="R203" s="4">
        <v>1</v>
      </c>
      <c r="S203" s="4">
        <v>2</v>
      </c>
      <c r="T203" s="4">
        <v>2</v>
      </c>
      <c r="U203" s="4">
        <v>2</v>
      </c>
      <c r="V203" s="4">
        <v>2</v>
      </c>
      <c r="W203" s="4">
        <v>2</v>
      </c>
      <c r="X203" s="4">
        <v>1</v>
      </c>
      <c r="Y203" s="4">
        <v>2</v>
      </c>
      <c r="Z203" s="4">
        <v>40</v>
      </c>
    </row>
    <row r="204" spans="1:27">
      <c r="A204" s="4" t="s">
        <v>229</v>
      </c>
      <c r="B204" s="4">
        <v>2</v>
      </c>
      <c r="C204" s="4">
        <v>1</v>
      </c>
      <c r="D204" s="4">
        <v>1</v>
      </c>
      <c r="E204" s="4">
        <v>1</v>
      </c>
      <c r="F204" s="4">
        <v>2</v>
      </c>
      <c r="G204" s="4">
        <v>1</v>
      </c>
      <c r="H204" s="4">
        <v>2</v>
      </c>
      <c r="I204" s="4">
        <v>2</v>
      </c>
      <c r="J204" s="4">
        <v>2</v>
      </c>
      <c r="K204" s="4">
        <v>2</v>
      </c>
      <c r="L204" s="4">
        <v>3</v>
      </c>
      <c r="M204" s="4">
        <v>1</v>
      </c>
      <c r="N204" s="4">
        <v>1</v>
      </c>
      <c r="O204" s="4">
        <v>2</v>
      </c>
      <c r="P204" s="4">
        <v>1</v>
      </c>
      <c r="Q204" s="4">
        <v>2</v>
      </c>
      <c r="R204" s="4">
        <v>2</v>
      </c>
      <c r="S204" s="4">
        <v>2</v>
      </c>
      <c r="T204" s="4">
        <v>2</v>
      </c>
      <c r="U204" s="4">
        <v>1</v>
      </c>
      <c r="V204" s="4">
        <v>1</v>
      </c>
      <c r="W204" s="4">
        <v>1</v>
      </c>
      <c r="X204" s="4">
        <v>2</v>
      </c>
      <c r="Y204" s="4">
        <v>1</v>
      </c>
      <c r="Z204" s="4">
        <v>38</v>
      </c>
    </row>
    <row r="205" spans="1:27">
      <c r="A205" s="4" t="s">
        <v>230</v>
      </c>
      <c r="B205" s="4">
        <v>2</v>
      </c>
      <c r="C205" s="4">
        <v>2</v>
      </c>
      <c r="D205" s="4">
        <v>2</v>
      </c>
      <c r="E205" s="4">
        <v>2</v>
      </c>
      <c r="F205" s="4">
        <v>2</v>
      </c>
      <c r="G205" s="4">
        <v>1</v>
      </c>
      <c r="H205" s="4">
        <v>2</v>
      </c>
      <c r="I205" s="4">
        <v>1</v>
      </c>
      <c r="J205" s="4">
        <v>1</v>
      </c>
      <c r="K205" s="4">
        <v>1</v>
      </c>
      <c r="L205" s="4">
        <v>3</v>
      </c>
      <c r="M205" s="4">
        <v>2</v>
      </c>
      <c r="N205" s="4">
        <v>2</v>
      </c>
      <c r="O205" s="4">
        <v>1</v>
      </c>
      <c r="P205" s="4">
        <v>3</v>
      </c>
      <c r="Q205" s="4">
        <v>2</v>
      </c>
      <c r="R205" s="4">
        <v>2</v>
      </c>
      <c r="S205" s="4">
        <v>3</v>
      </c>
      <c r="T205" s="4">
        <v>2</v>
      </c>
      <c r="U205" s="4">
        <v>2</v>
      </c>
      <c r="V205" s="4">
        <v>2</v>
      </c>
      <c r="W205" s="4">
        <v>1</v>
      </c>
      <c r="X205" s="4">
        <v>2</v>
      </c>
      <c r="Y205" s="4">
        <v>1</v>
      </c>
      <c r="Z205" s="4">
        <v>44</v>
      </c>
    </row>
    <row r="206" spans="1:27">
      <c r="A206" s="4" t="s">
        <v>231</v>
      </c>
      <c r="B206" s="4">
        <v>2</v>
      </c>
      <c r="C206" s="4">
        <v>2</v>
      </c>
      <c r="D206" s="4">
        <v>2</v>
      </c>
      <c r="E206" s="4">
        <v>3</v>
      </c>
      <c r="F206" s="4">
        <v>2</v>
      </c>
      <c r="G206" s="4">
        <v>2</v>
      </c>
      <c r="H206" s="4">
        <v>2</v>
      </c>
      <c r="I206" s="4">
        <v>2</v>
      </c>
      <c r="J206" s="4">
        <v>2</v>
      </c>
      <c r="K206" s="4">
        <v>2</v>
      </c>
      <c r="L206" s="4">
        <v>3</v>
      </c>
      <c r="M206" s="4">
        <v>3</v>
      </c>
      <c r="N206" s="4">
        <v>2</v>
      </c>
      <c r="O206" s="4">
        <v>1</v>
      </c>
      <c r="P206" s="4">
        <v>2</v>
      </c>
      <c r="Q206" s="4">
        <v>2</v>
      </c>
      <c r="R206" s="4">
        <v>2</v>
      </c>
      <c r="S206" s="4">
        <v>2</v>
      </c>
      <c r="T206" s="4">
        <v>2</v>
      </c>
      <c r="U206" s="4">
        <v>1</v>
      </c>
      <c r="V206" s="4">
        <v>3</v>
      </c>
      <c r="W206" s="4">
        <v>1</v>
      </c>
      <c r="X206" s="4">
        <v>2</v>
      </c>
      <c r="Y206" s="4">
        <v>3</v>
      </c>
      <c r="Z206" s="4">
        <v>50</v>
      </c>
    </row>
    <row r="207" spans="1:27">
      <c r="A207" s="4" t="s">
        <v>232</v>
      </c>
      <c r="B207" s="4">
        <v>3</v>
      </c>
      <c r="C207" s="4">
        <v>2</v>
      </c>
      <c r="D207" s="4">
        <v>2</v>
      </c>
      <c r="E207" s="4">
        <v>2</v>
      </c>
      <c r="F207" s="4">
        <v>1</v>
      </c>
      <c r="G207" s="4">
        <v>1</v>
      </c>
      <c r="H207" s="4">
        <v>1</v>
      </c>
      <c r="I207" s="4">
        <v>1</v>
      </c>
      <c r="J207" s="4">
        <v>2</v>
      </c>
      <c r="K207" s="4">
        <v>2</v>
      </c>
      <c r="L207" s="4">
        <v>2</v>
      </c>
      <c r="M207" s="4">
        <v>1</v>
      </c>
      <c r="N207" s="4">
        <v>2</v>
      </c>
      <c r="O207" s="4">
        <v>2</v>
      </c>
      <c r="P207" s="4">
        <v>2</v>
      </c>
      <c r="Q207" s="4">
        <v>2</v>
      </c>
      <c r="R207" s="4">
        <v>2</v>
      </c>
      <c r="S207" s="4">
        <v>2</v>
      </c>
      <c r="T207" s="4">
        <v>2</v>
      </c>
      <c r="U207" s="4">
        <v>1</v>
      </c>
      <c r="V207" s="4">
        <v>2</v>
      </c>
      <c r="W207" s="4">
        <v>2</v>
      </c>
      <c r="X207" s="4">
        <v>2</v>
      </c>
      <c r="Y207" s="4">
        <v>2</v>
      </c>
      <c r="Z207" s="4">
        <v>43</v>
      </c>
    </row>
    <row r="208" spans="1:27">
      <c r="A208" s="4" t="s">
        <v>233</v>
      </c>
      <c r="B208" s="4">
        <v>2</v>
      </c>
      <c r="C208" s="4">
        <v>3</v>
      </c>
      <c r="D208" s="4">
        <v>2</v>
      </c>
      <c r="E208" s="4">
        <v>1</v>
      </c>
      <c r="F208" s="4">
        <v>3</v>
      </c>
      <c r="G208" s="4">
        <v>1</v>
      </c>
      <c r="H208" s="4">
        <v>2</v>
      </c>
      <c r="I208" s="4">
        <v>1</v>
      </c>
      <c r="J208" s="4">
        <v>2</v>
      </c>
      <c r="K208" s="4">
        <v>1</v>
      </c>
      <c r="L208" s="4">
        <v>2</v>
      </c>
      <c r="M208" s="4">
        <v>1</v>
      </c>
      <c r="N208" s="4">
        <v>2</v>
      </c>
      <c r="O208" s="4">
        <v>2</v>
      </c>
      <c r="P208" s="4">
        <v>2</v>
      </c>
      <c r="Q208" s="4">
        <v>2</v>
      </c>
      <c r="R208" s="4">
        <v>2</v>
      </c>
      <c r="S208" s="4">
        <v>2</v>
      </c>
      <c r="T208" s="4">
        <v>2</v>
      </c>
      <c r="U208" s="4">
        <v>1</v>
      </c>
      <c r="V208" s="4">
        <v>2</v>
      </c>
      <c r="W208" s="4">
        <v>2</v>
      </c>
      <c r="X208" s="4">
        <v>1</v>
      </c>
      <c r="Y208" s="4">
        <v>2</v>
      </c>
      <c r="Z208" s="4">
        <v>43</v>
      </c>
    </row>
    <row r="209" spans="1:27">
      <c r="A209" s="4" t="s">
        <v>234</v>
      </c>
      <c r="B209" s="4">
        <v>2</v>
      </c>
      <c r="C209" s="4">
        <v>1</v>
      </c>
      <c r="D209" s="4">
        <v>1</v>
      </c>
      <c r="E209" s="4">
        <v>2</v>
      </c>
      <c r="F209" s="4">
        <v>1</v>
      </c>
      <c r="G209" s="4">
        <v>2</v>
      </c>
      <c r="H209" s="4">
        <v>2</v>
      </c>
      <c r="I209" s="4">
        <v>2</v>
      </c>
      <c r="J209" s="4">
        <v>2</v>
      </c>
      <c r="K209" s="4">
        <v>2</v>
      </c>
      <c r="L209" s="4">
        <v>3</v>
      </c>
      <c r="M209" s="4">
        <v>2</v>
      </c>
      <c r="N209" s="4">
        <v>1</v>
      </c>
      <c r="O209" s="4">
        <v>2</v>
      </c>
      <c r="P209" s="4">
        <v>2</v>
      </c>
      <c r="Q209" s="4">
        <v>1</v>
      </c>
      <c r="R209" s="4">
        <v>2</v>
      </c>
      <c r="S209" s="4">
        <v>3</v>
      </c>
      <c r="T209" s="4">
        <v>2</v>
      </c>
      <c r="U209" s="4">
        <v>2</v>
      </c>
      <c r="V209" s="4">
        <v>2</v>
      </c>
      <c r="W209" s="4">
        <v>3</v>
      </c>
      <c r="X209" s="4">
        <v>2</v>
      </c>
      <c r="Y209" s="4">
        <v>2</v>
      </c>
      <c r="Z209" s="4">
        <v>46</v>
      </c>
    </row>
    <row r="210" spans="1:27">
      <c r="A210" s="4" t="s">
        <v>235</v>
      </c>
      <c r="B210" s="4">
        <v>1</v>
      </c>
      <c r="C210" s="4">
        <v>2</v>
      </c>
      <c r="D210" s="4">
        <v>1</v>
      </c>
      <c r="E210" s="4">
        <v>1</v>
      </c>
      <c r="F210" s="4">
        <v>2</v>
      </c>
      <c r="G210" s="4">
        <v>1</v>
      </c>
      <c r="H210" s="4">
        <v>1</v>
      </c>
      <c r="I210" s="4">
        <v>1</v>
      </c>
      <c r="J210" s="4">
        <v>2</v>
      </c>
      <c r="K210" s="4">
        <v>1</v>
      </c>
      <c r="L210" s="4">
        <v>3</v>
      </c>
      <c r="M210" s="4">
        <v>1</v>
      </c>
      <c r="N210" s="4">
        <v>1</v>
      </c>
      <c r="O210" s="4">
        <v>1</v>
      </c>
      <c r="P210" s="4">
        <v>3</v>
      </c>
      <c r="Q210" s="4">
        <v>1</v>
      </c>
      <c r="R210" s="4">
        <v>1</v>
      </c>
      <c r="S210" s="4">
        <v>3</v>
      </c>
      <c r="T210" s="4">
        <v>1</v>
      </c>
      <c r="U210" s="4">
        <v>1</v>
      </c>
      <c r="V210" s="4">
        <v>1</v>
      </c>
      <c r="W210" s="4">
        <v>3</v>
      </c>
      <c r="X210" s="4">
        <v>1</v>
      </c>
      <c r="Y210" s="4">
        <v>2</v>
      </c>
      <c r="Z210" s="4">
        <v>36</v>
      </c>
    </row>
    <row r="211" spans="1:27">
      <c r="A211" s="4" t="s">
        <v>236</v>
      </c>
      <c r="B211" s="4">
        <v>2</v>
      </c>
      <c r="C211" s="4">
        <v>2</v>
      </c>
      <c r="D211" s="4">
        <v>1</v>
      </c>
      <c r="E211" s="4">
        <v>1</v>
      </c>
      <c r="F211" s="4">
        <v>3</v>
      </c>
      <c r="G211" s="4">
        <v>1</v>
      </c>
      <c r="H211" s="4">
        <v>1</v>
      </c>
      <c r="I211" s="4">
        <v>1</v>
      </c>
      <c r="J211" s="4">
        <v>1</v>
      </c>
      <c r="K211" s="4">
        <v>1</v>
      </c>
      <c r="L211" s="4">
        <v>2</v>
      </c>
      <c r="M211" s="4">
        <v>1</v>
      </c>
      <c r="N211" s="4">
        <v>1</v>
      </c>
      <c r="O211" s="4">
        <v>1</v>
      </c>
      <c r="P211" s="4">
        <v>3</v>
      </c>
      <c r="Q211" s="4">
        <v>1</v>
      </c>
      <c r="R211" s="4">
        <v>1</v>
      </c>
      <c r="S211" s="4">
        <v>3</v>
      </c>
      <c r="T211" s="4">
        <v>2</v>
      </c>
      <c r="U211" s="4">
        <v>1</v>
      </c>
      <c r="V211" s="4">
        <v>1</v>
      </c>
      <c r="W211" s="4">
        <v>3</v>
      </c>
      <c r="X211" s="4">
        <v>1</v>
      </c>
      <c r="Y211" s="4">
        <v>1</v>
      </c>
      <c r="Z211" s="4">
        <v>36</v>
      </c>
    </row>
    <row r="212" spans="1:27">
      <c r="A212" s="4" t="s">
        <v>237</v>
      </c>
      <c r="B212" s="4">
        <v>3</v>
      </c>
      <c r="C212" s="4">
        <v>2</v>
      </c>
      <c r="D212" s="4">
        <v>1</v>
      </c>
      <c r="E212" s="4">
        <v>1</v>
      </c>
      <c r="F212" s="4">
        <v>2</v>
      </c>
      <c r="G212" s="4">
        <v>1</v>
      </c>
      <c r="H212" s="4">
        <v>1</v>
      </c>
      <c r="I212" s="4">
        <v>1</v>
      </c>
      <c r="J212" s="4">
        <v>1</v>
      </c>
      <c r="K212" s="4">
        <v>1</v>
      </c>
      <c r="L212" s="4">
        <v>2</v>
      </c>
      <c r="M212" s="4">
        <v>1</v>
      </c>
      <c r="N212" s="4">
        <v>1</v>
      </c>
      <c r="O212" s="4">
        <v>1</v>
      </c>
      <c r="P212" s="4">
        <v>3</v>
      </c>
      <c r="Q212" s="4">
        <v>1</v>
      </c>
      <c r="R212" s="4">
        <v>1</v>
      </c>
      <c r="S212" s="4">
        <v>2</v>
      </c>
      <c r="T212" s="4">
        <v>1</v>
      </c>
      <c r="U212" s="4">
        <v>1</v>
      </c>
      <c r="V212" s="4">
        <v>1</v>
      </c>
      <c r="W212" s="4">
        <v>1</v>
      </c>
      <c r="X212" s="4">
        <v>1</v>
      </c>
      <c r="Y212" s="4">
        <v>1</v>
      </c>
      <c r="Z212" s="4">
        <v>32</v>
      </c>
    </row>
    <row r="213" spans="1:27">
      <c r="A213" s="4" t="s">
        <v>238</v>
      </c>
      <c r="B213" s="4">
        <v>2</v>
      </c>
      <c r="C213" s="4">
        <v>3</v>
      </c>
      <c r="D213" s="4">
        <v>2</v>
      </c>
      <c r="E213" s="4">
        <v>2</v>
      </c>
      <c r="F213" s="4">
        <v>3</v>
      </c>
      <c r="G213" s="4">
        <v>1</v>
      </c>
      <c r="H213" s="4">
        <v>2</v>
      </c>
      <c r="I213" s="4">
        <v>2</v>
      </c>
      <c r="J213" s="4">
        <v>2</v>
      </c>
      <c r="K213" s="4">
        <v>2</v>
      </c>
      <c r="L213" s="4">
        <v>2</v>
      </c>
      <c r="M213" s="4">
        <v>2</v>
      </c>
      <c r="N213" s="4">
        <v>2</v>
      </c>
      <c r="O213" s="4">
        <v>1</v>
      </c>
      <c r="P213" s="4">
        <v>1</v>
      </c>
      <c r="Q213" s="4">
        <v>2</v>
      </c>
      <c r="R213" s="4">
        <v>2</v>
      </c>
      <c r="S213" s="4">
        <v>2</v>
      </c>
      <c r="T213" s="4">
        <v>2</v>
      </c>
      <c r="U213" s="4">
        <v>1</v>
      </c>
      <c r="V213" s="4">
        <v>2</v>
      </c>
      <c r="W213" s="4">
        <v>1</v>
      </c>
      <c r="X213" s="4">
        <v>2</v>
      </c>
      <c r="Y213" s="4">
        <v>2</v>
      </c>
      <c r="Z213" s="4">
        <v>45</v>
      </c>
    </row>
    <row r="214" spans="1:27">
      <c r="A214" s="4" t="s">
        <v>239</v>
      </c>
      <c r="B214" s="4">
        <v>1</v>
      </c>
      <c r="C214" s="4">
        <v>1</v>
      </c>
      <c r="D214" s="4">
        <v>2</v>
      </c>
      <c r="E214" s="4">
        <v>2</v>
      </c>
      <c r="F214" s="4">
        <v>1</v>
      </c>
      <c r="G214" s="4">
        <v>3</v>
      </c>
      <c r="H214" s="4">
        <v>3</v>
      </c>
      <c r="I214" s="4">
        <v>2</v>
      </c>
      <c r="J214" s="4">
        <v>2</v>
      </c>
      <c r="K214" s="4">
        <v>3</v>
      </c>
      <c r="L214" s="4">
        <v>2</v>
      </c>
      <c r="M214" s="4">
        <v>2</v>
      </c>
      <c r="N214" s="4">
        <v>3</v>
      </c>
      <c r="O214" s="4">
        <v>2</v>
      </c>
      <c r="P214" s="4">
        <v>1</v>
      </c>
      <c r="Q214" s="4">
        <v>2</v>
      </c>
      <c r="R214" s="4">
        <v>2</v>
      </c>
      <c r="S214" s="4">
        <v>2</v>
      </c>
      <c r="T214" s="4">
        <v>3</v>
      </c>
      <c r="U214" s="4">
        <v>3</v>
      </c>
      <c r="V214" s="4">
        <v>3</v>
      </c>
      <c r="W214" s="4">
        <v>1</v>
      </c>
      <c r="X214" s="4">
        <v>2</v>
      </c>
      <c r="Y214" s="4">
        <v>2</v>
      </c>
      <c r="Z214" s="4">
        <v>50</v>
      </c>
    </row>
    <row r="215" spans="1:27">
      <c r="A215" s="4" t="s">
        <v>240</v>
      </c>
      <c r="B215" s="4">
        <v>2</v>
      </c>
      <c r="C215" s="4">
        <v>2</v>
      </c>
      <c r="D215" s="4">
        <v>2</v>
      </c>
      <c r="E215" s="4">
        <v>1</v>
      </c>
      <c r="F215" s="4">
        <v>1</v>
      </c>
      <c r="G215" s="4">
        <v>2</v>
      </c>
      <c r="H215" s="4">
        <v>2</v>
      </c>
      <c r="I215" s="4">
        <v>2</v>
      </c>
      <c r="J215" s="4">
        <v>2</v>
      </c>
      <c r="K215" s="4">
        <v>1</v>
      </c>
      <c r="L215" s="4">
        <v>3</v>
      </c>
      <c r="M215" s="4">
        <v>2</v>
      </c>
      <c r="N215" s="4">
        <v>2</v>
      </c>
      <c r="O215" s="4">
        <v>2</v>
      </c>
      <c r="P215" s="4">
        <v>3</v>
      </c>
      <c r="Q215" s="4">
        <v>2</v>
      </c>
      <c r="R215" s="4">
        <v>1</v>
      </c>
      <c r="S215" s="4">
        <v>1</v>
      </c>
      <c r="T215" s="4">
        <v>1</v>
      </c>
      <c r="U215" s="4">
        <v>2</v>
      </c>
      <c r="V215" s="4">
        <v>2</v>
      </c>
      <c r="W215" s="4">
        <v>3</v>
      </c>
      <c r="X215" s="4">
        <v>2</v>
      </c>
      <c r="Y215" s="4">
        <v>2</v>
      </c>
      <c r="Z215" s="4">
        <v>45</v>
      </c>
    </row>
    <row r="216" spans="1:27">
      <c r="A216" s="4" t="s">
        <v>241</v>
      </c>
      <c r="B216" s="4">
        <v>2</v>
      </c>
      <c r="C216" s="4">
        <v>1</v>
      </c>
      <c r="D216" s="4">
        <v>2</v>
      </c>
      <c r="E216" s="4">
        <v>2</v>
      </c>
      <c r="F216" s="4">
        <v>3</v>
      </c>
      <c r="G216" s="4">
        <v>2</v>
      </c>
      <c r="H216" s="4">
        <v>2</v>
      </c>
      <c r="I216" s="4">
        <v>3</v>
      </c>
      <c r="J216" s="4">
        <v>2</v>
      </c>
      <c r="K216" s="4">
        <v>2</v>
      </c>
      <c r="L216" s="4">
        <v>3</v>
      </c>
      <c r="M216" s="4">
        <v>2</v>
      </c>
      <c r="N216" s="4">
        <v>2</v>
      </c>
      <c r="O216" s="4">
        <v>2</v>
      </c>
      <c r="P216" s="4">
        <v>3</v>
      </c>
      <c r="Q216" s="4">
        <v>2</v>
      </c>
      <c r="R216" s="4">
        <v>2</v>
      </c>
      <c r="S216" s="4">
        <v>3</v>
      </c>
      <c r="T216" s="4">
        <v>2</v>
      </c>
      <c r="U216" s="4">
        <v>3</v>
      </c>
      <c r="V216" s="4">
        <v>1</v>
      </c>
      <c r="W216" s="4">
        <v>3</v>
      </c>
      <c r="X216" s="4">
        <v>2</v>
      </c>
      <c r="Y216" s="4">
        <v>2</v>
      </c>
      <c r="Z216" s="4">
        <v>53</v>
      </c>
    </row>
    <row r="217" spans="1:27">
      <c r="A217" s="4" t="s">
        <v>242</v>
      </c>
      <c r="B217" s="4">
        <v>2</v>
      </c>
      <c r="C217" s="4">
        <v>1</v>
      </c>
      <c r="D217" s="4">
        <v>2</v>
      </c>
      <c r="E217" s="4">
        <v>2</v>
      </c>
      <c r="F217" s="4">
        <v>1</v>
      </c>
      <c r="G217" s="4">
        <v>2</v>
      </c>
      <c r="H217" s="4">
        <v>2</v>
      </c>
      <c r="I217" s="4">
        <v>3</v>
      </c>
      <c r="J217" s="4">
        <v>2</v>
      </c>
      <c r="K217" s="4">
        <v>2</v>
      </c>
      <c r="L217" s="4">
        <v>2</v>
      </c>
      <c r="M217" s="4">
        <v>2</v>
      </c>
      <c r="N217" s="4">
        <v>2</v>
      </c>
      <c r="O217" s="4">
        <v>2</v>
      </c>
      <c r="P217" s="4">
        <v>3</v>
      </c>
      <c r="Q217" s="4">
        <v>2</v>
      </c>
      <c r="R217" s="4">
        <v>1</v>
      </c>
      <c r="S217" s="4">
        <v>1</v>
      </c>
      <c r="T217" s="4">
        <v>2</v>
      </c>
      <c r="U217" s="4">
        <v>2</v>
      </c>
      <c r="V217" s="4">
        <v>2</v>
      </c>
      <c r="W217" s="4">
        <v>3</v>
      </c>
      <c r="X217" s="4">
        <v>2</v>
      </c>
      <c r="Y217" s="4">
        <v>2</v>
      </c>
      <c r="Z217" s="4">
        <v>47</v>
      </c>
    </row>
    <row r="218" spans="1:27">
      <c r="A218" s="4" t="s">
        <v>243</v>
      </c>
      <c r="B218" s="4">
        <v>1</v>
      </c>
      <c r="C218" s="4">
        <v>1</v>
      </c>
      <c r="D218" s="4">
        <v>2</v>
      </c>
      <c r="E218" s="4">
        <v>1</v>
      </c>
      <c r="F218" s="4">
        <v>2</v>
      </c>
      <c r="G218" s="4">
        <v>1</v>
      </c>
      <c r="H218" s="4">
        <v>2</v>
      </c>
      <c r="I218" s="4">
        <v>2</v>
      </c>
      <c r="J218" s="4">
        <v>2</v>
      </c>
      <c r="K218" s="4">
        <v>1</v>
      </c>
      <c r="L218" s="4">
        <v>1</v>
      </c>
      <c r="M218" s="4">
        <v>2</v>
      </c>
      <c r="N218" s="4">
        <v>2</v>
      </c>
      <c r="O218" s="4">
        <v>2</v>
      </c>
      <c r="P218" s="4">
        <v>3</v>
      </c>
      <c r="Q218" s="4">
        <v>2</v>
      </c>
      <c r="R218" s="4">
        <v>1</v>
      </c>
      <c r="S218" s="4">
        <v>2</v>
      </c>
      <c r="T218" s="4">
        <v>1</v>
      </c>
      <c r="U218" s="4">
        <v>2</v>
      </c>
      <c r="V218" s="4">
        <v>1</v>
      </c>
      <c r="W218" s="4">
        <v>1</v>
      </c>
      <c r="X218" s="4">
        <v>2</v>
      </c>
      <c r="Y218" s="4">
        <v>1</v>
      </c>
      <c r="Z218" s="4">
        <v>38</v>
      </c>
    </row>
    <row r="219" spans="1:27">
      <c r="A219" s="4" t="s">
        <v>244</v>
      </c>
      <c r="B219" s="4">
        <v>2</v>
      </c>
      <c r="C219" s="4">
        <v>1</v>
      </c>
      <c r="D219" s="4">
        <v>2</v>
      </c>
      <c r="E219" s="4">
        <v>1</v>
      </c>
      <c r="F219" s="4">
        <v>2</v>
      </c>
      <c r="G219" s="4">
        <v>1</v>
      </c>
      <c r="H219" s="4">
        <v>2</v>
      </c>
      <c r="I219" s="4">
        <v>2</v>
      </c>
      <c r="J219" s="4">
        <v>2</v>
      </c>
      <c r="K219" s="4">
        <v>2</v>
      </c>
      <c r="L219" s="4">
        <v>3</v>
      </c>
      <c r="M219" s="4">
        <v>1</v>
      </c>
      <c r="N219" s="4">
        <v>2</v>
      </c>
      <c r="O219" s="4">
        <v>2</v>
      </c>
      <c r="P219" s="4">
        <v>2</v>
      </c>
      <c r="Q219" s="4">
        <v>1</v>
      </c>
      <c r="R219" s="4">
        <v>2</v>
      </c>
      <c r="S219" s="4">
        <v>3</v>
      </c>
      <c r="T219" s="4">
        <v>2</v>
      </c>
      <c r="U219" s="4">
        <v>1</v>
      </c>
      <c r="V219" s="4">
        <v>2</v>
      </c>
      <c r="W219" s="4">
        <v>1</v>
      </c>
      <c r="X219" s="4">
        <v>2</v>
      </c>
      <c r="Y219" s="4">
        <v>2</v>
      </c>
      <c r="Z219" s="4">
        <v>43</v>
      </c>
    </row>
    <row r="220" spans="1:27">
      <c r="A220" s="4" t="s">
        <v>245</v>
      </c>
      <c r="B220" s="4">
        <v>1</v>
      </c>
      <c r="C220" s="4">
        <v>3</v>
      </c>
      <c r="D220" s="4">
        <v>2</v>
      </c>
      <c r="E220" s="4">
        <v>2</v>
      </c>
      <c r="F220" s="4">
        <v>1</v>
      </c>
      <c r="G220" s="4">
        <v>1</v>
      </c>
      <c r="H220" s="4">
        <v>1</v>
      </c>
      <c r="I220" s="4">
        <v>1</v>
      </c>
      <c r="J220" s="4">
        <v>2</v>
      </c>
      <c r="K220" s="4">
        <v>2</v>
      </c>
      <c r="L220" s="4">
        <v>3</v>
      </c>
      <c r="M220" s="4">
        <v>2</v>
      </c>
      <c r="N220" s="4">
        <v>1</v>
      </c>
      <c r="O220" s="4">
        <v>1</v>
      </c>
      <c r="P220" s="4">
        <v>1</v>
      </c>
      <c r="Q220" s="4">
        <v>2</v>
      </c>
      <c r="R220" s="4">
        <v>2</v>
      </c>
      <c r="S220" s="4">
        <v>3</v>
      </c>
      <c r="T220" s="4">
        <v>2</v>
      </c>
      <c r="U220" s="4">
        <v>2</v>
      </c>
      <c r="V220" s="4">
        <v>2</v>
      </c>
      <c r="W220" s="4">
        <v>2</v>
      </c>
      <c r="X220" s="4">
        <v>2</v>
      </c>
      <c r="Y220" s="4">
        <v>2</v>
      </c>
      <c r="Z220" s="4">
        <v>43</v>
      </c>
    </row>
    <row r="221" spans="1:27">
      <c r="A221" s="4" t="s">
        <v>246</v>
      </c>
      <c r="B221" s="4">
        <v>2</v>
      </c>
      <c r="C221" s="4">
        <v>1</v>
      </c>
      <c r="D221" s="4">
        <v>2</v>
      </c>
      <c r="E221" s="4">
        <v>1</v>
      </c>
      <c r="F221" s="4">
        <v>1</v>
      </c>
      <c r="G221" s="4">
        <v>1</v>
      </c>
      <c r="H221" s="4">
        <v>1</v>
      </c>
      <c r="I221" s="4">
        <v>1</v>
      </c>
      <c r="J221" s="4">
        <v>2</v>
      </c>
      <c r="K221" s="4">
        <v>1</v>
      </c>
      <c r="L221" s="4">
        <v>2</v>
      </c>
      <c r="M221" s="4">
        <v>1</v>
      </c>
      <c r="N221" s="4">
        <v>1</v>
      </c>
      <c r="O221" s="4">
        <v>1</v>
      </c>
      <c r="P221" s="4">
        <v>2</v>
      </c>
      <c r="Q221" s="4">
        <v>1</v>
      </c>
      <c r="R221" s="4">
        <v>1</v>
      </c>
      <c r="S221" s="4">
        <v>2</v>
      </c>
      <c r="T221" s="4">
        <v>1</v>
      </c>
      <c r="U221" s="4">
        <v>1</v>
      </c>
      <c r="V221" s="4">
        <v>1</v>
      </c>
      <c r="W221" s="4">
        <v>3</v>
      </c>
      <c r="X221" s="4">
        <v>1</v>
      </c>
      <c r="Y221" s="4">
        <v>1</v>
      </c>
      <c r="Z221" s="4">
        <v>32</v>
      </c>
    </row>
    <row r="222" spans="1:27">
      <c r="A222" s="4" t="s">
        <v>247</v>
      </c>
      <c r="B222" s="4">
        <v>2</v>
      </c>
      <c r="C222" s="4">
        <v>1</v>
      </c>
      <c r="D222" s="4">
        <v>2</v>
      </c>
      <c r="E222" s="4">
        <v>1</v>
      </c>
      <c r="F222" s="4">
        <v>1</v>
      </c>
      <c r="G222" s="4">
        <v>1</v>
      </c>
      <c r="H222" s="4">
        <v>2</v>
      </c>
      <c r="I222" s="4">
        <v>2</v>
      </c>
      <c r="J222" s="4">
        <v>2</v>
      </c>
      <c r="K222" s="4">
        <v>2</v>
      </c>
      <c r="L222" s="4">
        <v>2</v>
      </c>
      <c r="M222" s="4">
        <v>2</v>
      </c>
      <c r="N222" s="4">
        <v>1</v>
      </c>
      <c r="O222" s="4">
        <v>2</v>
      </c>
      <c r="P222" s="4">
        <v>1</v>
      </c>
      <c r="Q222" s="4">
        <v>2</v>
      </c>
      <c r="R222" s="4">
        <v>2</v>
      </c>
      <c r="S222" s="4">
        <v>2</v>
      </c>
      <c r="T222" s="4">
        <v>2</v>
      </c>
      <c r="U222" s="4">
        <v>2</v>
      </c>
      <c r="V222" s="4">
        <v>2</v>
      </c>
      <c r="W222" s="4">
        <v>2</v>
      </c>
      <c r="X222" s="4">
        <v>2</v>
      </c>
      <c r="Y222" s="4">
        <v>1</v>
      </c>
      <c r="Z222" s="4">
        <v>41</v>
      </c>
    </row>
    <row r="223" spans="1:27">
      <c r="A223" s="4" t="s">
        <v>248</v>
      </c>
      <c r="B223" s="4">
        <v>2</v>
      </c>
      <c r="C223" s="4">
        <v>1</v>
      </c>
      <c r="D223" s="4">
        <v>3</v>
      </c>
      <c r="E223" s="4">
        <v>2</v>
      </c>
      <c r="F223" s="4">
        <v>2</v>
      </c>
      <c r="G223" s="4">
        <v>2</v>
      </c>
      <c r="H223" s="4">
        <v>2</v>
      </c>
      <c r="I223" s="4">
        <v>2</v>
      </c>
      <c r="J223" s="4">
        <v>2</v>
      </c>
      <c r="K223" s="4">
        <v>2</v>
      </c>
      <c r="L223" s="4">
        <v>2</v>
      </c>
      <c r="M223" s="4">
        <v>2</v>
      </c>
      <c r="N223" s="4">
        <v>2</v>
      </c>
      <c r="O223" s="4">
        <v>3</v>
      </c>
      <c r="P223" s="4">
        <v>1</v>
      </c>
      <c r="Q223" s="4">
        <v>2</v>
      </c>
      <c r="R223" s="4">
        <v>2</v>
      </c>
      <c r="S223" s="4">
        <v>3</v>
      </c>
      <c r="T223" s="4">
        <v>2</v>
      </c>
      <c r="U223" s="4">
        <v>2</v>
      </c>
      <c r="V223" s="4">
        <v>2</v>
      </c>
      <c r="W223" s="4">
        <v>2</v>
      </c>
      <c r="X223" s="4">
        <v>2</v>
      </c>
      <c r="Y223" s="4">
        <v>2</v>
      </c>
      <c r="Z223" s="4">
        <v>49</v>
      </c>
    </row>
    <row r="224" spans="1:27">
      <c r="A224" s="4" t="s">
        <v>249</v>
      </c>
      <c r="B224" s="4">
        <v>2</v>
      </c>
      <c r="C224" s="4">
        <v>3</v>
      </c>
      <c r="D224" s="4">
        <v>2</v>
      </c>
      <c r="E224" s="4">
        <v>2</v>
      </c>
      <c r="F224" s="4">
        <v>2</v>
      </c>
      <c r="G224" s="4">
        <v>3</v>
      </c>
      <c r="H224" s="4">
        <v>3</v>
      </c>
      <c r="I224" s="4">
        <v>2</v>
      </c>
      <c r="J224" s="4">
        <v>2</v>
      </c>
      <c r="K224" s="4">
        <v>2</v>
      </c>
      <c r="L224" s="4">
        <v>2</v>
      </c>
      <c r="M224" s="4">
        <v>2</v>
      </c>
      <c r="N224" s="4">
        <v>3</v>
      </c>
      <c r="O224" s="4">
        <v>2</v>
      </c>
      <c r="P224" s="4">
        <v>2</v>
      </c>
      <c r="Q224" s="4">
        <v>3</v>
      </c>
      <c r="R224" s="4">
        <v>3</v>
      </c>
      <c r="S224" s="4">
        <v>2</v>
      </c>
      <c r="T224" s="4">
        <v>2</v>
      </c>
      <c r="U224" s="4">
        <v>2</v>
      </c>
      <c r="V224" s="4">
        <v>2</v>
      </c>
      <c r="W224" s="4">
        <v>3</v>
      </c>
      <c r="X224" s="4">
        <v>2</v>
      </c>
      <c r="Y224" s="4">
        <v>2</v>
      </c>
      <c r="Z224" s="4">
        <v>55</v>
      </c>
    </row>
    <row r="225" spans="1:27">
      <c r="A225" s="4" t="s">
        <v>250</v>
      </c>
      <c r="B225" s="4">
        <v>3</v>
      </c>
      <c r="C225" s="4">
        <v>3</v>
      </c>
      <c r="D225" s="4">
        <v>2</v>
      </c>
      <c r="E225" s="4">
        <v>2</v>
      </c>
      <c r="F225" s="4">
        <v>3</v>
      </c>
      <c r="G225" s="4">
        <v>2</v>
      </c>
      <c r="H225" s="4">
        <v>2</v>
      </c>
      <c r="I225" s="4">
        <v>2</v>
      </c>
      <c r="J225" s="4">
        <v>1</v>
      </c>
      <c r="K225" s="4">
        <v>1</v>
      </c>
      <c r="L225" s="4">
        <v>2</v>
      </c>
      <c r="M225" s="4">
        <v>1</v>
      </c>
      <c r="N225" s="4">
        <v>1</v>
      </c>
      <c r="O225" s="4">
        <v>1</v>
      </c>
      <c r="P225" s="4">
        <v>1</v>
      </c>
      <c r="Q225" s="4">
        <v>2</v>
      </c>
      <c r="R225" s="4">
        <v>2</v>
      </c>
      <c r="S225" s="4">
        <v>2</v>
      </c>
      <c r="T225" s="4">
        <v>2</v>
      </c>
      <c r="U225" s="4">
        <v>2</v>
      </c>
      <c r="V225" s="4">
        <v>2</v>
      </c>
      <c r="W225" s="4">
        <v>2</v>
      </c>
      <c r="X225" s="4">
        <v>2</v>
      </c>
      <c r="Y225" s="4">
        <v>2</v>
      </c>
      <c r="Z225" s="4">
        <v>45</v>
      </c>
    </row>
    <row r="226" spans="1:27">
      <c r="A226" s="4" t="s">
        <v>251</v>
      </c>
      <c r="B226" s="4">
        <v>1</v>
      </c>
      <c r="C226" s="4">
        <v>2</v>
      </c>
      <c r="D226" s="4">
        <v>1</v>
      </c>
      <c r="E226" s="4">
        <v>2</v>
      </c>
      <c r="F226" s="4">
        <v>2</v>
      </c>
      <c r="G226" s="4">
        <v>2</v>
      </c>
      <c r="H226" s="4">
        <v>2</v>
      </c>
      <c r="I226" s="4">
        <v>1</v>
      </c>
      <c r="J226" s="4">
        <v>1</v>
      </c>
      <c r="K226" s="4">
        <v>2</v>
      </c>
      <c r="L226" s="4">
        <v>2</v>
      </c>
      <c r="M226" s="4">
        <v>2</v>
      </c>
      <c r="N226" s="4">
        <v>2</v>
      </c>
      <c r="O226" s="4">
        <v>2</v>
      </c>
      <c r="P226" s="4">
        <v>2</v>
      </c>
      <c r="Q226" s="4">
        <v>1</v>
      </c>
      <c r="R226" s="4">
        <v>2</v>
      </c>
      <c r="S226" s="4">
        <v>2</v>
      </c>
      <c r="T226" s="4">
        <v>2</v>
      </c>
      <c r="U226" s="4">
        <v>1</v>
      </c>
      <c r="V226" s="4">
        <v>2</v>
      </c>
      <c r="W226" s="4">
        <v>1</v>
      </c>
      <c r="X226" s="4">
        <v>2</v>
      </c>
      <c r="Y226" s="4">
        <v>2</v>
      </c>
      <c r="Z226" s="4">
        <v>41</v>
      </c>
    </row>
    <row r="227" spans="1:27">
      <c r="A227" s="4" t="s">
        <v>252</v>
      </c>
      <c r="B227" s="4">
        <v>2</v>
      </c>
      <c r="C227" s="4">
        <v>1</v>
      </c>
      <c r="D227" s="4">
        <v>1</v>
      </c>
      <c r="E227" s="4">
        <v>1</v>
      </c>
      <c r="F227" s="4">
        <v>2</v>
      </c>
      <c r="G227" s="4">
        <v>1</v>
      </c>
      <c r="H227" s="4">
        <v>1</v>
      </c>
      <c r="I227" s="4">
        <v>1</v>
      </c>
      <c r="J227" s="4">
        <v>2</v>
      </c>
      <c r="K227" s="4">
        <v>2</v>
      </c>
      <c r="L227" s="4">
        <v>2</v>
      </c>
      <c r="M227" s="4">
        <v>1</v>
      </c>
      <c r="N227" s="4">
        <v>2</v>
      </c>
      <c r="O227" s="4">
        <v>2</v>
      </c>
      <c r="P227" s="4">
        <v>2</v>
      </c>
      <c r="Q227" s="4">
        <v>1</v>
      </c>
      <c r="R227" s="4">
        <v>2</v>
      </c>
      <c r="S227" s="4">
        <v>3</v>
      </c>
      <c r="T227" s="4">
        <v>2</v>
      </c>
      <c r="U227" s="4">
        <v>2</v>
      </c>
      <c r="V227" s="4">
        <v>2</v>
      </c>
      <c r="W227" s="4">
        <v>2</v>
      </c>
      <c r="X227" s="4">
        <v>1</v>
      </c>
      <c r="Y227" s="4">
        <v>1</v>
      </c>
      <c r="Z227" s="4">
        <v>39</v>
      </c>
    </row>
    <row r="228" spans="1:27">
      <c r="A228" s="4" t="s">
        <v>253</v>
      </c>
      <c r="B228" s="4">
        <v>2</v>
      </c>
      <c r="C228" s="4">
        <v>2</v>
      </c>
      <c r="D228" s="4">
        <v>2</v>
      </c>
      <c r="E228" s="4">
        <v>2</v>
      </c>
      <c r="F228" s="4">
        <v>2</v>
      </c>
      <c r="G228" s="4">
        <v>2</v>
      </c>
      <c r="H228" s="4">
        <v>1</v>
      </c>
      <c r="I228" s="4">
        <v>1</v>
      </c>
      <c r="J228" s="4">
        <v>2</v>
      </c>
      <c r="K228" s="4">
        <v>2</v>
      </c>
      <c r="L228" s="4">
        <v>3</v>
      </c>
      <c r="M228" s="4">
        <v>2</v>
      </c>
      <c r="N228" s="4">
        <v>1</v>
      </c>
      <c r="O228" s="4">
        <v>2</v>
      </c>
      <c r="P228" s="4">
        <v>3</v>
      </c>
      <c r="Q228" s="4">
        <v>2</v>
      </c>
      <c r="R228" s="4">
        <v>2</v>
      </c>
      <c r="S228" s="4">
        <v>2</v>
      </c>
      <c r="T228" s="4">
        <v>1</v>
      </c>
      <c r="U228" s="4">
        <v>2</v>
      </c>
      <c r="V228" s="4">
        <v>1</v>
      </c>
      <c r="W228" s="4">
        <v>1</v>
      </c>
      <c r="X228" s="4">
        <v>2</v>
      </c>
      <c r="Y228" s="4">
        <v>2</v>
      </c>
      <c r="Z228" s="4">
        <v>44</v>
      </c>
    </row>
    <row r="229" spans="1:27">
      <c r="A229" s="4" t="s">
        <v>254</v>
      </c>
      <c r="B229" s="4">
        <v>3</v>
      </c>
      <c r="C229" s="4">
        <v>1</v>
      </c>
      <c r="D229" s="4">
        <v>2</v>
      </c>
      <c r="E229" s="4">
        <v>1</v>
      </c>
      <c r="F229" s="4">
        <v>2</v>
      </c>
      <c r="G229" s="4">
        <v>2</v>
      </c>
      <c r="H229" s="4">
        <v>2</v>
      </c>
      <c r="I229" s="4">
        <v>2</v>
      </c>
      <c r="J229" s="4">
        <v>2</v>
      </c>
      <c r="K229" s="4">
        <v>2</v>
      </c>
      <c r="L229" s="4">
        <v>2</v>
      </c>
      <c r="M229" s="4">
        <v>2</v>
      </c>
      <c r="N229" s="4">
        <v>1</v>
      </c>
      <c r="O229" s="4">
        <v>2</v>
      </c>
      <c r="P229" s="4">
        <v>3</v>
      </c>
      <c r="Q229" s="4">
        <v>2</v>
      </c>
      <c r="R229" s="4">
        <v>2</v>
      </c>
      <c r="S229" s="4">
        <v>2</v>
      </c>
      <c r="T229" s="4">
        <v>1</v>
      </c>
      <c r="U229" s="4">
        <v>1</v>
      </c>
      <c r="V229" s="4">
        <v>2</v>
      </c>
      <c r="W229" s="4">
        <v>1</v>
      </c>
      <c r="X229" s="4">
        <v>2</v>
      </c>
      <c r="Y229" s="4">
        <v>2</v>
      </c>
      <c r="Z229" s="4">
        <v>44</v>
      </c>
    </row>
    <row r="230" spans="1:27">
      <c r="A230" s="4" t="s">
        <v>255</v>
      </c>
      <c r="B230" s="4">
        <v>3</v>
      </c>
      <c r="C230" s="4">
        <v>1</v>
      </c>
      <c r="D230" s="4">
        <v>2</v>
      </c>
      <c r="E230" s="4">
        <v>2</v>
      </c>
      <c r="F230" s="4">
        <v>2</v>
      </c>
      <c r="G230" s="4">
        <v>1</v>
      </c>
      <c r="H230" s="4">
        <v>2</v>
      </c>
      <c r="I230" s="4">
        <v>1</v>
      </c>
      <c r="J230" s="4">
        <v>2</v>
      </c>
      <c r="K230" s="4">
        <v>2</v>
      </c>
      <c r="L230" s="4">
        <v>1</v>
      </c>
      <c r="M230" s="4">
        <v>1</v>
      </c>
      <c r="N230" s="4">
        <v>2</v>
      </c>
      <c r="O230" s="4">
        <v>2</v>
      </c>
      <c r="P230" s="4">
        <v>1</v>
      </c>
      <c r="Q230" s="4">
        <v>1</v>
      </c>
      <c r="R230" s="4">
        <v>2</v>
      </c>
      <c r="S230" s="4">
        <v>2</v>
      </c>
      <c r="T230" s="4">
        <v>2</v>
      </c>
      <c r="U230" s="4">
        <v>2</v>
      </c>
      <c r="V230" s="4">
        <v>2</v>
      </c>
      <c r="W230" s="4">
        <v>2</v>
      </c>
      <c r="X230" s="4">
        <v>1</v>
      </c>
      <c r="Y230" s="4">
        <v>1</v>
      </c>
      <c r="Z230" s="4">
        <v>40</v>
      </c>
    </row>
    <row r="231" spans="1:27">
      <c r="A231" s="4" t="s">
        <v>256</v>
      </c>
      <c r="B231" s="4">
        <v>1</v>
      </c>
      <c r="C231" s="4">
        <v>1</v>
      </c>
      <c r="D231" s="4">
        <v>1</v>
      </c>
      <c r="E231" s="4">
        <v>3</v>
      </c>
      <c r="F231" s="4">
        <v>3</v>
      </c>
      <c r="G231" s="4">
        <v>2</v>
      </c>
      <c r="H231" s="4">
        <v>2</v>
      </c>
      <c r="I231" s="4">
        <v>3</v>
      </c>
      <c r="J231" s="4">
        <v>2</v>
      </c>
      <c r="K231" s="4">
        <v>1</v>
      </c>
      <c r="L231" s="4">
        <v>2</v>
      </c>
      <c r="M231" s="4">
        <v>2</v>
      </c>
      <c r="N231" s="4">
        <v>2</v>
      </c>
      <c r="O231" s="4">
        <v>1</v>
      </c>
      <c r="P231" s="4">
        <v>1</v>
      </c>
      <c r="Q231" s="4">
        <v>2</v>
      </c>
      <c r="R231" s="4">
        <v>2</v>
      </c>
      <c r="S231" s="4">
        <v>2</v>
      </c>
      <c r="T231" s="4">
        <v>2</v>
      </c>
      <c r="U231" s="4">
        <v>2</v>
      </c>
      <c r="V231" s="4">
        <v>2</v>
      </c>
      <c r="W231" s="4">
        <v>2</v>
      </c>
      <c r="X231" s="4">
        <v>2</v>
      </c>
      <c r="Y231" s="4">
        <v>2</v>
      </c>
      <c r="Z231" s="4">
        <v>45</v>
      </c>
    </row>
    <row r="232" spans="1:27">
      <c r="A232" s="4" t="s">
        <v>257</v>
      </c>
      <c r="B232" s="4">
        <v>1</v>
      </c>
      <c r="C232" s="4">
        <v>1</v>
      </c>
      <c r="D232" s="4">
        <v>2</v>
      </c>
      <c r="E232" s="4">
        <v>3</v>
      </c>
      <c r="F232" s="4">
        <v>2</v>
      </c>
      <c r="G232" s="4">
        <v>2</v>
      </c>
      <c r="H232" s="4">
        <v>2</v>
      </c>
      <c r="I232" s="4">
        <v>2</v>
      </c>
      <c r="J232" s="4">
        <v>2</v>
      </c>
      <c r="K232" s="4">
        <v>3</v>
      </c>
      <c r="L232" s="4">
        <v>2</v>
      </c>
      <c r="M232" s="4">
        <v>2</v>
      </c>
      <c r="N232" s="4">
        <v>2</v>
      </c>
      <c r="O232" s="4">
        <v>2</v>
      </c>
      <c r="P232" s="4">
        <v>1</v>
      </c>
      <c r="Q232" s="4">
        <v>2</v>
      </c>
      <c r="R232" s="4">
        <v>2</v>
      </c>
      <c r="S232" s="4">
        <v>2</v>
      </c>
      <c r="T232" s="4">
        <v>2</v>
      </c>
      <c r="U232" s="4">
        <v>2</v>
      </c>
      <c r="V232" s="4">
        <v>2</v>
      </c>
      <c r="W232" s="4">
        <v>2</v>
      </c>
      <c r="X232" s="4">
        <v>2</v>
      </c>
      <c r="Y232" s="4">
        <v>2</v>
      </c>
      <c r="Z232" s="4">
        <v>47</v>
      </c>
    </row>
    <row r="233" spans="1:27">
      <c r="A233" s="4" t="s">
        <v>258</v>
      </c>
      <c r="B233" s="4">
        <v>3</v>
      </c>
      <c r="C233" s="4">
        <v>1</v>
      </c>
      <c r="D233" s="4">
        <v>1</v>
      </c>
      <c r="E233" s="4">
        <v>2</v>
      </c>
      <c r="F233" s="4">
        <v>3</v>
      </c>
      <c r="G233" s="4">
        <v>1</v>
      </c>
      <c r="H233" s="4">
        <v>2</v>
      </c>
      <c r="I233" s="4">
        <v>2</v>
      </c>
      <c r="J233" s="4">
        <v>2</v>
      </c>
      <c r="K233" s="4">
        <v>2</v>
      </c>
      <c r="L233" s="4">
        <v>2</v>
      </c>
      <c r="M233" s="4">
        <v>2</v>
      </c>
      <c r="N233" s="4">
        <v>2</v>
      </c>
      <c r="O233" s="4">
        <v>2</v>
      </c>
      <c r="P233" s="4">
        <v>2</v>
      </c>
      <c r="Q233" s="4">
        <v>2</v>
      </c>
      <c r="R233" s="4">
        <v>2</v>
      </c>
      <c r="S233" s="4">
        <v>2</v>
      </c>
      <c r="T233" s="4">
        <v>1</v>
      </c>
      <c r="U233" s="4">
        <v>1</v>
      </c>
      <c r="V233" s="4">
        <v>2</v>
      </c>
      <c r="W233" s="4">
        <v>2</v>
      </c>
      <c r="X233" s="4">
        <v>2</v>
      </c>
      <c r="Y233" s="4">
        <v>2</v>
      </c>
      <c r="Z233" s="4">
        <v>45</v>
      </c>
    </row>
    <row r="234" spans="1:27">
      <c r="A234" s="4" t="s">
        <v>259</v>
      </c>
      <c r="B234" s="4">
        <v>2</v>
      </c>
      <c r="C234" s="4">
        <v>2</v>
      </c>
      <c r="D234" s="4">
        <v>2</v>
      </c>
      <c r="E234" s="4">
        <v>2</v>
      </c>
      <c r="F234" s="4">
        <v>2</v>
      </c>
      <c r="G234" s="4">
        <v>2</v>
      </c>
      <c r="H234" s="4">
        <v>2</v>
      </c>
      <c r="I234" s="4">
        <v>2</v>
      </c>
      <c r="J234" s="4">
        <v>2</v>
      </c>
      <c r="K234" s="4">
        <v>2</v>
      </c>
      <c r="L234" s="4">
        <v>2</v>
      </c>
      <c r="M234" s="4">
        <v>2</v>
      </c>
      <c r="N234" s="4">
        <v>2</v>
      </c>
      <c r="O234" s="4">
        <v>2</v>
      </c>
      <c r="P234" s="4">
        <v>3</v>
      </c>
      <c r="Q234" s="4">
        <v>2</v>
      </c>
      <c r="R234" s="4">
        <v>2</v>
      </c>
      <c r="S234" s="4">
        <v>2</v>
      </c>
      <c r="T234" s="4">
        <v>2</v>
      </c>
      <c r="U234" s="4">
        <v>1</v>
      </c>
      <c r="V234" s="4">
        <v>2</v>
      </c>
      <c r="W234" s="4">
        <v>3</v>
      </c>
      <c r="X234" s="4">
        <v>3</v>
      </c>
      <c r="Y234" s="4">
        <v>2</v>
      </c>
      <c r="Z234" s="4">
        <v>50</v>
      </c>
    </row>
    <row r="235" spans="1:27">
      <c r="A235" s="4" t="s">
        <v>260</v>
      </c>
      <c r="B235" s="4">
        <v>2</v>
      </c>
      <c r="C235" s="4">
        <v>2</v>
      </c>
      <c r="D235" s="4">
        <v>1</v>
      </c>
      <c r="E235" s="4">
        <v>1</v>
      </c>
      <c r="F235" s="4">
        <v>2</v>
      </c>
      <c r="G235" s="4">
        <v>1</v>
      </c>
      <c r="H235" s="4">
        <v>1</v>
      </c>
      <c r="I235" s="4">
        <v>1</v>
      </c>
      <c r="J235" s="4">
        <v>2</v>
      </c>
      <c r="K235" s="4">
        <v>1</v>
      </c>
      <c r="L235" s="4">
        <v>2</v>
      </c>
      <c r="M235" s="4">
        <v>1</v>
      </c>
      <c r="N235" s="4">
        <v>1</v>
      </c>
      <c r="O235" s="4">
        <v>1</v>
      </c>
      <c r="P235" s="4">
        <v>1</v>
      </c>
      <c r="Q235" s="4">
        <v>1</v>
      </c>
      <c r="R235" s="4">
        <v>1</v>
      </c>
      <c r="S235" s="4">
        <v>3</v>
      </c>
      <c r="T235" s="4">
        <v>1</v>
      </c>
      <c r="U235" s="4">
        <v>1</v>
      </c>
      <c r="V235" s="4">
        <v>1</v>
      </c>
      <c r="W235" s="4">
        <v>2</v>
      </c>
      <c r="X235" s="4">
        <v>1</v>
      </c>
      <c r="Y235" s="4">
        <v>1</v>
      </c>
      <c r="Z235" s="4">
        <v>32</v>
      </c>
    </row>
    <row r="236" spans="1:27">
      <c r="A236" s="4" t="s">
        <v>261</v>
      </c>
      <c r="B236" s="4">
        <v>3</v>
      </c>
      <c r="C236" s="4">
        <v>2</v>
      </c>
      <c r="D236" s="4">
        <v>1</v>
      </c>
      <c r="E236" s="4">
        <v>1</v>
      </c>
      <c r="F236" s="4">
        <v>2</v>
      </c>
      <c r="G236" s="4">
        <v>1</v>
      </c>
      <c r="H236" s="4">
        <v>1</v>
      </c>
      <c r="I236" s="4">
        <v>1</v>
      </c>
      <c r="J236" s="4">
        <v>1</v>
      </c>
      <c r="K236" s="4">
        <v>1</v>
      </c>
      <c r="L236" s="4">
        <v>2</v>
      </c>
      <c r="M236" s="4">
        <v>1</v>
      </c>
      <c r="N236" s="4">
        <v>1</v>
      </c>
      <c r="O236" s="4">
        <v>1</v>
      </c>
      <c r="P236" s="4">
        <v>2</v>
      </c>
      <c r="Q236" s="4">
        <v>1</v>
      </c>
      <c r="R236" s="4">
        <v>1</v>
      </c>
      <c r="S236" s="4">
        <v>2</v>
      </c>
      <c r="T236" s="4">
        <v>1</v>
      </c>
      <c r="U236" s="4">
        <v>1</v>
      </c>
      <c r="V236" s="4">
        <v>1</v>
      </c>
      <c r="W236" s="4">
        <v>2</v>
      </c>
      <c r="X236" s="4">
        <v>1</v>
      </c>
      <c r="Y236" s="4">
        <v>1</v>
      </c>
      <c r="Z236" s="4">
        <v>32</v>
      </c>
    </row>
    <row r="237" spans="1:27">
      <c r="A237" s="4" t="s">
        <v>262</v>
      </c>
      <c r="B237" s="4">
        <v>3</v>
      </c>
      <c r="C237" s="4">
        <v>3</v>
      </c>
      <c r="D237" s="4">
        <v>2</v>
      </c>
      <c r="E237" s="4">
        <v>2</v>
      </c>
      <c r="F237" s="4">
        <v>3</v>
      </c>
      <c r="G237" s="4">
        <v>2</v>
      </c>
      <c r="H237" s="4">
        <v>2</v>
      </c>
      <c r="I237" s="4">
        <v>3</v>
      </c>
      <c r="J237" s="4">
        <v>2</v>
      </c>
      <c r="K237" s="4">
        <v>2</v>
      </c>
      <c r="L237" s="4">
        <v>3</v>
      </c>
      <c r="M237" s="4">
        <v>3</v>
      </c>
      <c r="N237" s="4">
        <v>3</v>
      </c>
      <c r="O237" s="4">
        <v>2</v>
      </c>
      <c r="P237" s="4">
        <v>2</v>
      </c>
      <c r="Q237" s="4">
        <v>2</v>
      </c>
      <c r="R237" s="4">
        <v>2</v>
      </c>
      <c r="S237" s="4">
        <v>3</v>
      </c>
      <c r="T237" s="4">
        <v>2</v>
      </c>
      <c r="U237" s="4">
        <v>1</v>
      </c>
      <c r="V237" s="4">
        <v>2</v>
      </c>
      <c r="W237" s="4">
        <v>1</v>
      </c>
      <c r="X237" s="4">
        <v>2</v>
      </c>
      <c r="Y237" s="4">
        <v>2</v>
      </c>
      <c r="Z237" s="4">
        <v>54</v>
      </c>
    </row>
    <row r="238" spans="1:27">
      <c r="A238" s="4" t="s">
        <v>263</v>
      </c>
      <c r="B238" s="4">
        <v>2</v>
      </c>
      <c r="C238" s="4">
        <v>2</v>
      </c>
      <c r="D238" s="4">
        <v>2</v>
      </c>
      <c r="E238" s="4">
        <v>2</v>
      </c>
      <c r="F238" s="4">
        <v>3</v>
      </c>
      <c r="G238" s="4">
        <v>2</v>
      </c>
      <c r="H238" s="4">
        <v>2</v>
      </c>
      <c r="I238" s="4">
        <v>2</v>
      </c>
      <c r="J238" s="4">
        <v>2</v>
      </c>
      <c r="K238" s="4">
        <v>2</v>
      </c>
      <c r="L238" s="4">
        <v>2</v>
      </c>
      <c r="M238" s="4">
        <v>1</v>
      </c>
      <c r="N238" s="4">
        <v>2</v>
      </c>
      <c r="O238" s="4">
        <v>2</v>
      </c>
      <c r="P238" s="4">
        <v>2</v>
      </c>
      <c r="Q238" s="4">
        <v>1</v>
      </c>
      <c r="R238" s="4">
        <v>1</v>
      </c>
      <c r="S238" s="4">
        <v>3</v>
      </c>
      <c r="T238" s="4">
        <v>2</v>
      </c>
      <c r="U238" s="4">
        <v>2</v>
      </c>
      <c r="V238" s="4">
        <v>1</v>
      </c>
      <c r="W238" s="4">
        <v>1</v>
      </c>
      <c r="X238" s="4">
        <v>2</v>
      </c>
      <c r="Y238" s="4">
        <v>1</v>
      </c>
      <c r="Z238" s="4">
        <v>44</v>
      </c>
    </row>
    <row r="239" spans="1:27">
      <c r="A239" s="4" t="s">
        <v>264</v>
      </c>
      <c r="B239" s="4">
        <v>3</v>
      </c>
      <c r="C239" s="4">
        <v>2</v>
      </c>
      <c r="D239" s="4">
        <v>1</v>
      </c>
      <c r="E239" s="4">
        <v>1</v>
      </c>
      <c r="F239" s="4">
        <v>3</v>
      </c>
      <c r="G239" s="4">
        <v>1</v>
      </c>
      <c r="H239" s="4">
        <v>1</v>
      </c>
      <c r="I239" s="4">
        <v>1</v>
      </c>
      <c r="J239" s="4">
        <v>1</v>
      </c>
      <c r="K239" s="4">
        <v>1</v>
      </c>
      <c r="L239" s="4">
        <v>1</v>
      </c>
      <c r="M239" s="4">
        <v>1</v>
      </c>
      <c r="N239" s="4">
        <v>1</v>
      </c>
      <c r="O239" s="4">
        <v>1</v>
      </c>
      <c r="P239" s="4">
        <v>2</v>
      </c>
      <c r="Q239" s="4">
        <v>1</v>
      </c>
      <c r="R239" s="4">
        <v>1</v>
      </c>
      <c r="S239" s="4">
        <v>2</v>
      </c>
      <c r="T239" s="4">
        <v>1</v>
      </c>
      <c r="U239" s="4">
        <v>1</v>
      </c>
      <c r="V239" s="4">
        <v>1</v>
      </c>
      <c r="W239" s="4">
        <v>2</v>
      </c>
      <c r="X239" s="4">
        <v>1</v>
      </c>
      <c r="Y239" s="4">
        <v>1</v>
      </c>
      <c r="Z239" s="4">
        <v>32</v>
      </c>
    </row>
    <row r="240" spans="1:27">
      <c r="A240" s="4" t="s">
        <v>265</v>
      </c>
      <c r="B240" s="4">
        <v>2</v>
      </c>
      <c r="C240" s="4">
        <v>1</v>
      </c>
      <c r="D240" s="4">
        <v>1</v>
      </c>
      <c r="E240" s="4">
        <v>2</v>
      </c>
      <c r="F240" s="4">
        <v>3</v>
      </c>
      <c r="G240" s="4">
        <v>1</v>
      </c>
      <c r="H240" s="4">
        <v>1</v>
      </c>
      <c r="I240" s="4">
        <v>1</v>
      </c>
      <c r="J240" s="4">
        <v>1</v>
      </c>
      <c r="K240" s="4">
        <v>1</v>
      </c>
      <c r="L240" s="4">
        <v>1</v>
      </c>
      <c r="M240" s="4">
        <v>1</v>
      </c>
      <c r="N240" s="4">
        <v>2</v>
      </c>
      <c r="O240" s="4">
        <v>1</v>
      </c>
      <c r="P240" s="4">
        <v>2</v>
      </c>
      <c r="Q240" s="4">
        <v>1</v>
      </c>
      <c r="R240" s="4">
        <v>1</v>
      </c>
      <c r="S240" s="4">
        <v>3</v>
      </c>
      <c r="T240" s="4">
        <v>1</v>
      </c>
      <c r="U240" s="4">
        <v>2</v>
      </c>
      <c r="V240" s="4">
        <v>1</v>
      </c>
      <c r="W240" s="4">
        <v>1</v>
      </c>
      <c r="X240" s="4">
        <v>1</v>
      </c>
      <c r="Y240" s="4">
        <v>2</v>
      </c>
      <c r="Z240" s="4">
        <v>34</v>
      </c>
    </row>
    <row r="241" spans="1:27">
      <c r="A241" s="4" t="s">
        <v>266</v>
      </c>
      <c r="B241" s="4">
        <v>1</v>
      </c>
      <c r="C241" s="4">
        <v>2</v>
      </c>
      <c r="D241" s="4">
        <v>2</v>
      </c>
      <c r="E241" s="4">
        <v>2</v>
      </c>
      <c r="F241" s="4">
        <v>3</v>
      </c>
      <c r="G241" s="4">
        <v>2</v>
      </c>
      <c r="H241" s="4">
        <v>2</v>
      </c>
      <c r="I241" s="4">
        <v>2</v>
      </c>
      <c r="J241" s="4">
        <v>2</v>
      </c>
      <c r="K241" s="4">
        <v>2</v>
      </c>
      <c r="L241" s="4">
        <v>2</v>
      </c>
      <c r="M241" s="4">
        <v>2</v>
      </c>
      <c r="N241" s="4">
        <v>2</v>
      </c>
      <c r="O241" s="4">
        <v>3</v>
      </c>
      <c r="P241" s="4">
        <v>2</v>
      </c>
      <c r="Q241" s="4">
        <v>2</v>
      </c>
      <c r="R241" s="4">
        <v>2</v>
      </c>
      <c r="S241" s="4">
        <v>1</v>
      </c>
      <c r="T241" s="4">
        <v>2</v>
      </c>
      <c r="U241" s="4">
        <v>2</v>
      </c>
      <c r="V241" s="4">
        <v>2</v>
      </c>
      <c r="W241" s="4">
        <v>1</v>
      </c>
      <c r="X241" s="4">
        <v>2</v>
      </c>
      <c r="Y241" s="4">
        <v>2</v>
      </c>
      <c r="Z241" s="4">
        <v>47</v>
      </c>
    </row>
    <row r="242" spans="1:27">
      <c r="A242" s="4" t="s">
        <v>267</v>
      </c>
      <c r="B242" s="4">
        <v>1</v>
      </c>
      <c r="C242" s="4">
        <v>3</v>
      </c>
      <c r="D242" s="4">
        <v>1</v>
      </c>
      <c r="E242" s="4">
        <v>1</v>
      </c>
      <c r="F242" s="4">
        <v>1</v>
      </c>
      <c r="G242" s="4">
        <v>1</v>
      </c>
      <c r="H242" s="4">
        <v>1</v>
      </c>
      <c r="I242" s="4">
        <v>1</v>
      </c>
      <c r="J242" s="4">
        <v>1</v>
      </c>
      <c r="K242" s="4">
        <v>1</v>
      </c>
      <c r="L242" s="4">
        <v>1</v>
      </c>
      <c r="M242" s="4">
        <v>1</v>
      </c>
      <c r="N242" s="4">
        <v>1</v>
      </c>
      <c r="O242" s="4">
        <v>1</v>
      </c>
      <c r="P242" s="4">
        <v>2</v>
      </c>
      <c r="Q242" s="4">
        <v>1</v>
      </c>
      <c r="R242" s="4">
        <v>1</v>
      </c>
      <c r="S242" s="4">
        <v>3</v>
      </c>
      <c r="T242" s="4">
        <v>1</v>
      </c>
      <c r="U242" s="4">
        <v>1</v>
      </c>
      <c r="V242" s="4">
        <v>1</v>
      </c>
      <c r="W242" s="4">
        <v>3</v>
      </c>
      <c r="X242" s="4">
        <v>1</v>
      </c>
      <c r="Y242" s="4">
        <v>1</v>
      </c>
      <c r="Z242" s="4">
        <v>31</v>
      </c>
    </row>
    <row r="243" spans="1:27">
      <c r="A243" s="4" t="s">
        <v>268</v>
      </c>
      <c r="B243" s="4">
        <v>3</v>
      </c>
      <c r="C243" s="4">
        <v>2</v>
      </c>
      <c r="D243" s="4">
        <v>2</v>
      </c>
      <c r="E243" s="4">
        <v>2</v>
      </c>
      <c r="F243" s="4">
        <v>2</v>
      </c>
      <c r="G243" s="4">
        <v>2</v>
      </c>
      <c r="H243" s="4">
        <v>2</v>
      </c>
      <c r="I243" s="4">
        <v>3</v>
      </c>
      <c r="J243" s="4">
        <v>2</v>
      </c>
      <c r="K243" s="4">
        <v>2</v>
      </c>
      <c r="L243" s="4">
        <v>1</v>
      </c>
      <c r="M243" s="4">
        <v>3</v>
      </c>
      <c r="N243" s="4">
        <v>2</v>
      </c>
      <c r="O243" s="4">
        <v>3</v>
      </c>
      <c r="P243" s="4">
        <v>2</v>
      </c>
      <c r="Q243" s="4">
        <v>2</v>
      </c>
      <c r="R243" s="4">
        <v>2</v>
      </c>
      <c r="S243" s="4">
        <v>2</v>
      </c>
      <c r="T243" s="4">
        <v>1</v>
      </c>
      <c r="U243" s="4">
        <v>2</v>
      </c>
      <c r="V243" s="4">
        <v>2</v>
      </c>
      <c r="W243" s="4">
        <v>2</v>
      </c>
      <c r="X243" s="4">
        <v>2</v>
      </c>
      <c r="Y243" s="4">
        <v>2</v>
      </c>
      <c r="Z243" s="4">
        <v>50</v>
      </c>
    </row>
    <row r="244" spans="1:27">
      <c r="A244" s="4" t="s">
        <v>269</v>
      </c>
      <c r="B244" s="4">
        <v>2</v>
      </c>
      <c r="C244" s="4">
        <v>3</v>
      </c>
      <c r="D244" s="4">
        <v>1</v>
      </c>
      <c r="E244" s="4">
        <v>1</v>
      </c>
      <c r="F244" s="4">
        <v>3</v>
      </c>
      <c r="G244" s="4">
        <v>1</v>
      </c>
      <c r="H244" s="4">
        <v>1</v>
      </c>
      <c r="I244" s="4">
        <v>2</v>
      </c>
      <c r="J244" s="4">
        <v>1</v>
      </c>
      <c r="K244" s="4">
        <v>2</v>
      </c>
      <c r="L244" s="4">
        <v>2</v>
      </c>
      <c r="M244" s="4">
        <v>2</v>
      </c>
      <c r="N244" s="4">
        <v>1</v>
      </c>
      <c r="O244" s="4">
        <v>1</v>
      </c>
      <c r="P244" s="4">
        <v>1</v>
      </c>
      <c r="Q244" s="4">
        <v>1</v>
      </c>
      <c r="R244" s="4">
        <v>2</v>
      </c>
      <c r="S244" s="4">
        <v>2</v>
      </c>
      <c r="T244" s="4">
        <v>1</v>
      </c>
      <c r="U244" s="4">
        <v>1</v>
      </c>
      <c r="V244" s="4">
        <v>1</v>
      </c>
      <c r="W244" s="4">
        <v>1</v>
      </c>
      <c r="X244" s="4">
        <v>1</v>
      </c>
      <c r="Y244" s="4">
        <v>1</v>
      </c>
      <c r="Z244" s="4">
        <v>35</v>
      </c>
    </row>
    <row r="245" spans="1:27">
      <c r="A245" s="4" t="s">
        <v>270</v>
      </c>
      <c r="B245" s="4">
        <v>2</v>
      </c>
      <c r="C245" s="4">
        <v>1</v>
      </c>
      <c r="D245" s="4">
        <v>1</v>
      </c>
      <c r="E245" s="4">
        <v>2</v>
      </c>
      <c r="F245" s="4">
        <v>2</v>
      </c>
      <c r="G245" s="4">
        <v>1</v>
      </c>
      <c r="H245" s="4">
        <v>1</v>
      </c>
      <c r="I245" s="4">
        <v>1</v>
      </c>
      <c r="J245" s="4">
        <v>1</v>
      </c>
      <c r="K245" s="4">
        <v>2</v>
      </c>
      <c r="L245" s="4">
        <v>2</v>
      </c>
      <c r="M245" s="4">
        <v>1</v>
      </c>
      <c r="N245" s="4">
        <v>1</v>
      </c>
      <c r="O245" s="4">
        <v>2</v>
      </c>
      <c r="P245" s="4">
        <v>1</v>
      </c>
      <c r="Q245" s="4">
        <v>1</v>
      </c>
      <c r="R245" s="4">
        <v>1</v>
      </c>
      <c r="S245" s="4">
        <v>1</v>
      </c>
      <c r="T245" s="4">
        <v>1</v>
      </c>
      <c r="U245" s="4">
        <v>1</v>
      </c>
      <c r="V245" s="4">
        <v>1</v>
      </c>
      <c r="W245" s="4">
        <v>2</v>
      </c>
      <c r="X245" s="4">
        <v>1</v>
      </c>
      <c r="Y245" s="4">
        <v>2</v>
      </c>
      <c r="Z245" s="4">
        <v>32</v>
      </c>
    </row>
    <row r="246" spans="1:27">
      <c r="A246" s="4" t="s">
        <v>271</v>
      </c>
      <c r="B246" s="4">
        <v>3</v>
      </c>
      <c r="C246" s="4">
        <v>1</v>
      </c>
      <c r="D246" s="4">
        <v>2</v>
      </c>
      <c r="E246" s="4">
        <v>2</v>
      </c>
      <c r="F246" s="4">
        <v>1</v>
      </c>
      <c r="G246" s="4">
        <v>2</v>
      </c>
      <c r="H246" s="4">
        <v>2</v>
      </c>
      <c r="I246" s="4">
        <v>2</v>
      </c>
      <c r="J246" s="4">
        <v>1</v>
      </c>
      <c r="K246" s="4">
        <v>2</v>
      </c>
      <c r="L246" s="4">
        <v>3</v>
      </c>
      <c r="M246" s="4">
        <v>2</v>
      </c>
      <c r="N246" s="4">
        <v>1</v>
      </c>
      <c r="O246" s="4">
        <v>1</v>
      </c>
      <c r="P246" s="4">
        <v>1</v>
      </c>
      <c r="Q246" s="4">
        <v>1</v>
      </c>
      <c r="R246" s="4">
        <v>2</v>
      </c>
      <c r="S246" s="4">
        <v>2</v>
      </c>
      <c r="T246" s="4">
        <v>2</v>
      </c>
      <c r="U246" s="4">
        <v>1</v>
      </c>
      <c r="V246" s="4">
        <v>1</v>
      </c>
      <c r="W246" s="4">
        <v>2</v>
      </c>
      <c r="X246" s="4">
        <v>1</v>
      </c>
      <c r="Y246" s="4">
        <v>2</v>
      </c>
      <c r="Z246" s="4">
        <v>40</v>
      </c>
    </row>
    <row r="247" spans="1:27">
      <c r="A247" s="4" t="s">
        <v>272</v>
      </c>
      <c r="B247" s="4">
        <v>2</v>
      </c>
      <c r="C247" s="4">
        <v>2</v>
      </c>
      <c r="D247" s="4">
        <v>3</v>
      </c>
      <c r="E247" s="4">
        <v>3</v>
      </c>
      <c r="F247" s="4">
        <v>2</v>
      </c>
      <c r="G247" s="4">
        <v>2</v>
      </c>
      <c r="H247" s="4">
        <v>3</v>
      </c>
      <c r="I247" s="4">
        <v>2</v>
      </c>
      <c r="J247" s="4">
        <v>2</v>
      </c>
      <c r="K247" s="4">
        <v>2</v>
      </c>
      <c r="L247" s="4">
        <v>1</v>
      </c>
      <c r="M247" s="4">
        <v>2</v>
      </c>
      <c r="N247" s="4">
        <v>2</v>
      </c>
      <c r="O247" s="4">
        <v>2</v>
      </c>
      <c r="P247" s="4">
        <v>1</v>
      </c>
      <c r="Q247" s="4">
        <v>3</v>
      </c>
      <c r="R247" s="4">
        <v>2</v>
      </c>
      <c r="S247" s="4">
        <v>3</v>
      </c>
      <c r="T247" s="4">
        <v>2</v>
      </c>
      <c r="U247" s="4">
        <v>2</v>
      </c>
      <c r="V247" s="4">
        <v>2</v>
      </c>
      <c r="W247" s="4">
        <v>2</v>
      </c>
      <c r="X247" s="4">
        <v>3</v>
      </c>
      <c r="Y247" s="4">
        <v>2</v>
      </c>
      <c r="Z247" s="4">
        <v>52</v>
      </c>
    </row>
    <row r="248" spans="1:27">
      <c r="A248" s="4" t="s">
        <v>273</v>
      </c>
      <c r="B248" s="4">
        <v>2</v>
      </c>
      <c r="C248" s="4">
        <v>2</v>
      </c>
      <c r="D248" s="4">
        <v>1</v>
      </c>
      <c r="E248" s="4">
        <v>1</v>
      </c>
      <c r="F248" s="4">
        <v>1</v>
      </c>
      <c r="G248" s="4">
        <v>2</v>
      </c>
      <c r="H248" s="4">
        <v>2</v>
      </c>
      <c r="I248" s="4">
        <v>1</v>
      </c>
      <c r="J248" s="4">
        <v>2</v>
      </c>
      <c r="K248" s="4">
        <v>1</v>
      </c>
      <c r="L248" s="4">
        <v>2</v>
      </c>
      <c r="M248" s="4">
        <v>1</v>
      </c>
      <c r="N248" s="4">
        <v>2</v>
      </c>
      <c r="O248" s="4">
        <v>1</v>
      </c>
      <c r="P248" s="4">
        <v>2</v>
      </c>
      <c r="Q248" s="4">
        <v>1</v>
      </c>
      <c r="R248" s="4">
        <v>1</v>
      </c>
      <c r="S248" s="4">
        <v>2</v>
      </c>
      <c r="T248" s="4">
        <v>1</v>
      </c>
      <c r="U248" s="4">
        <v>2</v>
      </c>
      <c r="V248" s="4">
        <v>2</v>
      </c>
      <c r="W248" s="4">
        <v>2</v>
      </c>
      <c r="X248" s="4">
        <v>2</v>
      </c>
      <c r="Y248" s="4">
        <v>1</v>
      </c>
      <c r="Z248" s="4">
        <v>37</v>
      </c>
    </row>
    <row r="249" spans="1:27">
      <c r="A249" s="4" t="s">
        <v>274</v>
      </c>
      <c r="B249" s="4">
        <v>1</v>
      </c>
      <c r="C249" s="4">
        <v>3</v>
      </c>
      <c r="D249" s="4">
        <v>2</v>
      </c>
      <c r="E249" s="4">
        <v>2</v>
      </c>
      <c r="F249" s="4">
        <v>1</v>
      </c>
      <c r="G249" s="4">
        <v>2</v>
      </c>
      <c r="H249" s="4">
        <v>1</v>
      </c>
      <c r="I249" s="4">
        <v>2</v>
      </c>
      <c r="J249" s="4">
        <v>2</v>
      </c>
      <c r="K249" s="4">
        <v>2</v>
      </c>
      <c r="L249" s="4">
        <v>3</v>
      </c>
      <c r="M249" s="4">
        <v>2</v>
      </c>
      <c r="N249" s="4">
        <v>2</v>
      </c>
      <c r="O249" s="4">
        <v>2</v>
      </c>
      <c r="P249" s="4">
        <v>2</v>
      </c>
      <c r="Q249" s="4">
        <v>2</v>
      </c>
      <c r="R249" s="4">
        <v>2</v>
      </c>
      <c r="S249" s="4">
        <v>1</v>
      </c>
      <c r="T249" s="4">
        <v>2</v>
      </c>
      <c r="U249" s="4">
        <v>3</v>
      </c>
      <c r="V249" s="4">
        <v>2</v>
      </c>
      <c r="W249" s="4">
        <v>2</v>
      </c>
      <c r="X249" s="4">
        <v>2</v>
      </c>
      <c r="Y249" s="4">
        <v>1</v>
      </c>
      <c r="Z249" s="4">
        <v>46</v>
      </c>
    </row>
    <row r="250" spans="1:27">
      <c r="A250" s="4" t="s">
        <v>275</v>
      </c>
      <c r="B250" s="4">
        <v>3</v>
      </c>
      <c r="C250" s="4">
        <v>3</v>
      </c>
      <c r="D250" s="4">
        <v>2</v>
      </c>
      <c r="E250" s="4">
        <v>2</v>
      </c>
      <c r="F250" s="4">
        <v>3</v>
      </c>
      <c r="G250" s="4">
        <v>2</v>
      </c>
      <c r="H250" s="4">
        <v>1</v>
      </c>
      <c r="I250" s="4">
        <v>2</v>
      </c>
      <c r="J250" s="4">
        <v>1</v>
      </c>
      <c r="K250" s="4">
        <v>1</v>
      </c>
      <c r="L250" s="4">
        <v>2</v>
      </c>
      <c r="M250" s="4">
        <v>1</v>
      </c>
      <c r="N250" s="4">
        <v>1</v>
      </c>
      <c r="O250" s="4">
        <v>1</v>
      </c>
      <c r="P250" s="4">
        <v>2</v>
      </c>
      <c r="Q250" s="4">
        <v>2</v>
      </c>
      <c r="R250" s="4">
        <v>2</v>
      </c>
      <c r="S250" s="4">
        <v>2</v>
      </c>
      <c r="T250" s="4">
        <v>2</v>
      </c>
      <c r="U250" s="4">
        <v>1</v>
      </c>
      <c r="V250" s="4">
        <v>1</v>
      </c>
      <c r="W250" s="4">
        <v>1</v>
      </c>
      <c r="X250" s="4">
        <v>2</v>
      </c>
      <c r="Y250" s="4">
        <v>1</v>
      </c>
      <c r="Z250" s="4">
        <v>41</v>
      </c>
    </row>
    <row r="251" spans="1:27">
      <c r="A251" s="4" t="s">
        <v>276</v>
      </c>
      <c r="B251" s="4">
        <v>3</v>
      </c>
      <c r="C251" s="4">
        <v>2</v>
      </c>
      <c r="D251" s="4">
        <v>2</v>
      </c>
      <c r="E251" s="4">
        <v>2</v>
      </c>
      <c r="F251" s="4">
        <v>2</v>
      </c>
      <c r="G251" s="4">
        <v>2</v>
      </c>
      <c r="H251" s="4">
        <v>2</v>
      </c>
      <c r="I251" s="4">
        <v>2</v>
      </c>
      <c r="J251" s="4">
        <v>2</v>
      </c>
      <c r="K251" s="4">
        <v>2</v>
      </c>
      <c r="L251" s="4">
        <v>2</v>
      </c>
      <c r="M251" s="4">
        <v>2</v>
      </c>
      <c r="N251" s="4">
        <v>2</v>
      </c>
      <c r="O251" s="4">
        <v>2</v>
      </c>
      <c r="P251" s="4">
        <v>2</v>
      </c>
      <c r="Q251" s="4">
        <v>1</v>
      </c>
      <c r="R251" s="4">
        <v>2</v>
      </c>
      <c r="S251" s="4">
        <v>2</v>
      </c>
      <c r="T251" s="4">
        <v>2</v>
      </c>
      <c r="U251" s="4">
        <v>1</v>
      </c>
      <c r="V251" s="4">
        <v>1</v>
      </c>
      <c r="W251" s="4">
        <v>3</v>
      </c>
      <c r="X251" s="4">
        <v>2</v>
      </c>
      <c r="Y251" s="4">
        <v>2</v>
      </c>
      <c r="Z251" s="4">
        <v>47</v>
      </c>
    </row>
    <row r="252" spans="1:27">
      <c r="A252" s="4" t="s">
        <v>277</v>
      </c>
      <c r="B252" s="4">
        <v>2</v>
      </c>
      <c r="C252" s="4">
        <v>1</v>
      </c>
      <c r="D252" s="4">
        <v>2</v>
      </c>
      <c r="E252" s="4">
        <v>2</v>
      </c>
      <c r="F252" s="4">
        <v>1</v>
      </c>
      <c r="G252" s="4">
        <v>2</v>
      </c>
      <c r="H252" s="4">
        <v>2</v>
      </c>
      <c r="I252" s="4">
        <v>2</v>
      </c>
      <c r="J252" s="4">
        <v>2</v>
      </c>
      <c r="K252" s="4">
        <v>2</v>
      </c>
      <c r="L252" s="4">
        <v>1</v>
      </c>
      <c r="M252" s="4">
        <v>2</v>
      </c>
      <c r="N252" s="4">
        <v>2</v>
      </c>
      <c r="O252" s="4">
        <v>2</v>
      </c>
      <c r="P252" s="4">
        <v>1</v>
      </c>
      <c r="Q252" s="4">
        <v>2</v>
      </c>
      <c r="R252" s="4">
        <v>1</v>
      </c>
      <c r="S252" s="4">
        <v>2</v>
      </c>
      <c r="T252" s="4">
        <v>2</v>
      </c>
      <c r="U252" s="4">
        <v>2</v>
      </c>
      <c r="V252" s="4">
        <v>2</v>
      </c>
      <c r="W252" s="4">
        <v>2</v>
      </c>
      <c r="X252" s="4">
        <v>2</v>
      </c>
      <c r="Y252" s="4">
        <v>2</v>
      </c>
      <c r="Z252" s="4">
        <v>43</v>
      </c>
    </row>
    <row r="253" spans="1:27">
      <c r="A253" s="4" t="s">
        <v>278</v>
      </c>
      <c r="B253" s="4">
        <v>2</v>
      </c>
      <c r="C253" s="4">
        <v>2</v>
      </c>
      <c r="D253" s="4">
        <v>2</v>
      </c>
      <c r="E253" s="4">
        <v>2</v>
      </c>
      <c r="F253" s="4">
        <v>3</v>
      </c>
      <c r="G253" s="4">
        <v>2</v>
      </c>
      <c r="H253" s="4">
        <v>2</v>
      </c>
      <c r="I253" s="4">
        <v>2</v>
      </c>
      <c r="J253" s="4">
        <v>1</v>
      </c>
      <c r="K253" s="4">
        <v>1</v>
      </c>
      <c r="L253" s="4">
        <v>1</v>
      </c>
      <c r="M253" s="4">
        <v>2</v>
      </c>
      <c r="N253" s="4">
        <v>2</v>
      </c>
      <c r="O253" s="4">
        <v>2</v>
      </c>
      <c r="P253" s="4">
        <v>3</v>
      </c>
      <c r="Q253" s="4">
        <v>1</v>
      </c>
      <c r="R253" s="4">
        <v>2</v>
      </c>
      <c r="S253" s="4">
        <v>1</v>
      </c>
      <c r="T253" s="4">
        <v>3</v>
      </c>
      <c r="U253" s="4">
        <v>2</v>
      </c>
      <c r="V253" s="4">
        <v>2</v>
      </c>
      <c r="W253" s="4">
        <v>2</v>
      </c>
      <c r="X253" s="4">
        <v>2</v>
      </c>
      <c r="Y253" s="4">
        <v>2</v>
      </c>
      <c r="Z253" s="4">
        <v>46</v>
      </c>
    </row>
    <row r="254" spans="1:27">
      <c r="A254" s="4" t="s">
        <v>279</v>
      </c>
      <c r="B254" s="4">
        <v>2</v>
      </c>
      <c r="C254" s="4">
        <v>2</v>
      </c>
      <c r="D254" s="4">
        <v>2</v>
      </c>
      <c r="E254" s="4">
        <v>2</v>
      </c>
      <c r="F254" s="4">
        <v>2</v>
      </c>
      <c r="G254" s="4">
        <v>2</v>
      </c>
      <c r="H254" s="4">
        <v>1</v>
      </c>
      <c r="I254" s="4">
        <v>3</v>
      </c>
      <c r="J254" s="4">
        <v>2</v>
      </c>
      <c r="K254" s="4">
        <v>3</v>
      </c>
      <c r="L254" s="4">
        <v>3</v>
      </c>
      <c r="M254" s="4">
        <v>3</v>
      </c>
      <c r="N254" s="4">
        <v>2</v>
      </c>
      <c r="O254" s="4">
        <v>2</v>
      </c>
      <c r="P254" s="4">
        <v>1</v>
      </c>
      <c r="Q254" s="4">
        <v>2</v>
      </c>
      <c r="R254" s="4">
        <v>2</v>
      </c>
      <c r="S254" s="4">
        <v>3</v>
      </c>
      <c r="T254" s="4">
        <v>2</v>
      </c>
      <c r="U254" s="4">
        <v>3</v>
      </c>
      <c r="V254" s="4">
        <v>2</v>
      </c>
      <c r="W254" s="4">
        <v>3</v>
      </c>
      <c r="X254" s="4">
        <v>2</v>
      </c>
      <c r="Y254" s="4">
        <v>3</v>
      </c>
      <c r="Z254" s="4">
        <v>54</v>
      </c>
    </row>
    <row r="255" spans="1:27">
      <c r="A255" s="4" t="s">
        <v>280</v>
      </c>
      <c r="B255" s="4">
        <v>2</v>
      </c>
      <c r="C255" s="4">
        <v>2</v>
      </c>
      <c r="D255" s="4">
        <v>1</v>
      </c>
      <c r="E255" s="4">
        <v>1</v>
      </c>
      <c r="F255" s="4">
        <v>1</v>
      </c>
      <c r="G255" s="4">
        <v>1</v>
      </c>
      <c r="H255" s="4">
        <v>2</v>
      </c>
      <c r="I255" s="4">
        <v>2</v>
      </c>
      <c r="J255" s="4">
        <v>1</v>
      </c>
      <c r="K255" s="4">
        <v>1</v>
      </c>
      <c r="L255" s="4">
        <v>3</v>
      </c>
      <c r="M255" s="4">
        <v>2</v>
      </c>
      <c r="N255" s="4">
        <v>1</v>
      </c>
      <c r="O255" s="4">
        <v>1</v>
      </c>
      <c r="P255" s="4">
        <v>2</v>
      </c>
      <c r="Q255" s="4">
        <v>1</v>
      </c>
      <c r="R255" s="4">
        <v>1</v>
      </c>
      <c r="S255" s="4">
        <v>2</v>
      </c>
      <c r="T255" s="4">
        <v>2</v>
      </c>
      <c r="U255" s="4">
        <v>1</v>
      </c>
      <c r="V255" s="4">
        <v>2</v>
      </c>
      <c r="W255" s="4">
        <v>1</v>
      </c>
      <c r="X255" s="4">
        <v>2</v>
      </c>
      <c r="Y255" s="4">
        <v>1</v>
      </c>
      <c r="Z255" s="4">
        <v>36</v>
      </c>
    </row>
    <row r="256" spans="1:27">
      <c r="A256" s="4" t="s">
        <v>281</v>
      </c>
      <c r="B256" s="4">
        <v>2</v>
      </c>
      <c r="C256" s="4">
        <v>2</v>
      </c>
      <c r="D256" s="4">
        <v>2</v>
      </c>
      <c r="E256" s="4">
        <v>2</v>
      </c>
      <c r="F256" s="4">
        <v>1</v>
      </c>
      <c r="G256" s="4">
        <v>1</v>
      </c>
      <c r="H256" s="4">
        <v>1</v>
      </c>
      <c r="I256" s="4">
        <v>1</v>
      </c>
      <c r="J256" s="4">
        <v>2</v>
      </c>
      <c r="K256" s="4">
        <v>1</v>
      </c>
      <c r="L256" s="4">
        <v>1</v>
      </c>
      <c r="M256" s="4">
        <v>2</v>
      </c>
      <c r="N256" s="4">
        <v>2</v>
      </c>
      <c r="O256" s="4">
        <v>2</v>
      </c>
      <c r="P256" s="4">
        <v>2</v>
      </c>
      <c r="Q256" s="4">
        <v>2</v>
      </c>
      <c r="R256" s="4">
        <v>2</v>
      </c>
      <c r="S256" s="4">
        <v>1</v>
      </c>
      <c r="T256" s="4">
        <v>1</v>
      </c>
      <c r="U256" s="4">
        <v>1</v>
      </c>
      <c r="V256" s="4">
        <v>1</v>
      </c>
      <c r="W256" s="4">
        <v>2</v>
      </c>
      <c r="X256" s="4">
        <v>2</v>
      </c>
      <c r="Y256" s="4">
        <v>2</v>
      </c>
      <c r="Z256" s="4">
        <v>38</v>
      </c>
    </row>
    <row r="257" spans="1:27">
      <c r="A257" s="4" t="s">
        <v>282</v>
      </c>
      <c r="B257" s="4">
        <v>2</v>
      </c>
      <c r="C257" s="4">
        <v>1</v>
      </c>
      <c r="D257" s="4">
        <v>2</v>
      </c>
      <c r="E257" s="4">
        <v>3</v>
      </c>
      <c r="F257" s="4">
        <v>2</v>
      </c>
      <c r="G257" s="4">
        <v>2</v>
      </c>
      <c r="H257" s="4">
        <v>2</v>
      </c>
      <c r="I257" s="4">
        <v>2</v>
      </c>
      <c r="J257" s="4">
        <v>2</v>
      </c>
      <c r="K257" s="4">
        <v>2</v>
      </c>
      <c r="L257" s="4">
        <v>2</v>
      </c>
      <c r="M257" s="4">
        <v>2</v>
      </c>
      <c r="N257" s="4">
        <v>2</v>
      </c>
      <c r="O257" s="4">
        <v>2</v>
      </c>
      <c r="P257" s="4">
        <v>3</v>
      </c>
      <c r="Q257" s="4">
        <v>1</v>
      </c>
      <c r="R257" s="4">
        <v>2</v>
      </c>
      <c r="S257" s="4">
        <v>2</v>
      </c>
      <c r="T257" s="4">
        <v>2</v>
      </c>
      <c r="U257" s="4">
        <v>2</v>
      </c>
      <c r="V257" s="4">
        <v>2</v>
      </c>
      <c r="W257" s="4">
        <v>3</v>
      </c>
      <c r="X257" s="4">
        <v>2</v>
      </c>
      <c r="Y257" s="4">
        <v>1</v>
      </c>
      <c r="Z257" s="4">
        <v>48</v>
      </c>
    </row>
    <row r="258" spans="1:27">
      <c r="A258" s="4" t="s">
        <v>283</v>
      </c>
      <c r="B258" s="4">
        <v>2</v>
      </c>
      <c r="C258" s="4">
        <v>2</v>
      </c>
      <c r="D258" s="4">
        <v>2</v>
      </c>
      <c r="E258" s="4">
        <v>1</v>
      </c>
      <c r="F258" s="4">
        <v>2</v>
      </c>
      <c r="G258" s="4">
        <v>1</v>
      </c>
      <c r="H258" s="4">
        <v>2</v>
      </c>
      <c r="I258" s="4">
        <v>2</v>
      </c>
      <c r="J258" s="4">
        <v>2</v>
      </c>
      <c r="K258" s="4">
        <v>2</v>
      </c>
      <c r="L258" s="4">
        <v>1</v>
      </c>
      <c r="M258" s="4">
        <v>1</v>
      </c>
      <c r="N258" s="4">
        <v>2</v>
      </c>
      <c r="O258" s="4">
        <v>2</v>
      </c>
      <c r="P258" s="4">
        <v>2</v>
      </c>
      <c r="Q258" s="4">
        <v>2</v>
      </c>
      <c r="R258" s="4">
        <v>2</v>
      </c>
      <c r="S258" s="4">
        <v>3</v>
      </c>
      <c r="T258" s="4">
        <v>2</v>
      </c>
      <c r="U258" s="4">
        <v>1</v>
      </c>
      <c r="V258" s="4">
        <v>1</v>
      </c>
      <c r="W258" s="4">
        <v>2</v>
      </c>
      <c r="X258" s="4">
        <v>2</v>
      </c>
      <c r="Y258" s="4">
        <v>2</v>
      </c>
      <c r="Z258" s="4">
        <v>43</v>
      </c>
    </row>
    <row r="259" spans="1:27">
      <c r="A259" s="4" t="s">
        <v>284</v>
      </c>
      <c r="B259" s="4">
        <v>2</v>
      </c>
      <c r="C259" s="4">
        <v>1</v>
      </c>
      <c r="D259" s="4">
        <v>2</v>
      </c>
      <c r="E259" s="4">
        <v>1</v>
      </c>
      <c r="F259" s="4">
        <v>3</v>
      </c>
      <c r="G259" s="4">
        <v>1</v>
      </c>
      <c r="H259" s="4">
        <v>1</v>
      </c>
      <c r="I259" s="4">
        <v>1</v>
      </c>
      <c r="J259" s="4">
        <v>1</v>
      </c>
      <c r="K259" s="4">
        <v>1</v>
      </c>
      <c r="L259" s="4">
        <v>3</v>
      </c>
      <c r="M259" s="4">
        <v>2</v>
      </c>
      <c r="N259" s="4">
        <v>1</v>
      </c>
      <c r="O259" s="4">
        <v>1</v>
      </c>
      <c r="P259" s="4">
        <v>2</v>
      </c>
      <c r="Q259" s="4">
        <v>1</v>
      </c>
      <c r="R259" s="4">
        <v>2</v>
      </c>
      <c r="S259" s="4">
        <v>3</v>
      </c>
      <c r="T259" s="4">
        <v>1</v>
      </c>
      <c r="U259" s="4">
        <v>1</v>
      </c>
      <c r="V259" s="4">
        <v>1</v>
      </c>
      <c r="W259" s="4">
        <v>1</v>
      </c>
      <c r="X259" s="4">
        <v>2</v>
      </c>
      <c r="Y259" s="4">
        <v>2</v>
      </c>
      <c r="Z259" s="4">
        <v>37</v>
      </c>
    </row>
    <row r="260" spans="1:27">
      <c r="A260" s="4" t="s">
        <v>285</v>
      </c>
      <c r="B260" s="4">
        <v>2</v>
      </c>
      <c r="C260" s="4">
        <v>1</v>
      </c>
      <c r="D260" s="4">
        <v>1</v>
      </c>
      <c r="E260" s="4">
        <v>1</v>
      </c>
      <c r="F260" s="4">
        <v>2</v>
      </c>
      <c r="G260" s="4">
        <v>1</v>
      </c>
      <c r="H260" s="4">
        <v>1</v>
      </c>
      <c r="I260" s="4">
        <v>1</v>
      </c>
      <c r="J260" s="4">
        <v>2</v>
      </c>
      <c r="K260" s="4">
        <v>1</v>
      </c>
      <c r="L260" s="4">
        <v>1</v>
      </c>
      <c r="M260" s="4">
        <v>1</v>
      </c>
      <c r="N260" s="4">
        <v>1</v>
      </c>
      <c r="O260" s="4">
        <v>1</v>
      </c>
      <c r="P260" s="4">
        <v>3</v>
      </c>
      <c r="Q260" s="4">
        <v>1</v>
      </c>
      <c r="R260" s="4">
        <v>1</v>
      </c>
      <c r="S260" s="4">
        <v>1</v>
      </c>
      <c r="T260" s="4">
        <v>1</v>
      </c>
      <c r="U260" s="4">
        <v>1</v>
      </c>
      <c r="V260" s="4">
        <v>1</v>
      </c>
      <c r="W260" s="4">
        <v>1</v>
      </c>
      <c r="X260" s="4">
        <v>1</v>
      </c>
      <c r="Y260" s="4">
        <v>2</v>
      </c>
      <c r="Z260" s="4">
        <v>30</v>
      </c>
    </row>
    <row r="261" spans="1:27">
      <c r="A261" s="4" t="s">
        <v>286</v>
      </c>
      <c r="B261" s="4">
        <v>1</v>
      </c>
      <c r="C261" s="4">
        <v>1</v>
      </c>
      <c r="D261" s="4">
        <v>2</v>
      </c>
      <c r="E261" s="4">
        <v>3</v>
      </c>
      <c r="F261" s="4">
        <v>2</v>
      </c>
      <c r="G261" s="4">
        <v>3</v>
      </c>
      <c r="H261" s="4">
        <v>3</v>
      </c>
      <c r="I261" s="4">
        <v>2</v>
      </c>
      <c r="J261" s="4">
        <v>2</v>
      </c>
      <c r="K261" s="4">
        <v>2</v>
      </c>
      <c r="L261" s="4">
        <v>3</v>
      </c>
      <c r="M261" s="4">
        <v>2</v>
      </c>
      <c r="N261" s="4">
        <v>2</v>
      </c>
      <c r="O261" s="4">
        <v>2</v>
      </c>
      <c r="P261" s="4">
        <v>2</v>
      </c>
      <c r="Q261" s="4">
        <v>3</v>
      </c>
      <c r="R261" s="4">
        <v>2</v>
      </c>
      <c r="S261" s="4">
        <v>3</v>
      </c>
      <c r="T261" s="4">
        <v>2</v>
      </c>
      <c r="U261" s="4">
        <v>3</v>
      </c>
      <c r="V261" s="4">
        <v>2</v>
      </c>
      <c r="W261" s="4">
        <v>2</v>
      </c>
      <c r="X261" s="4">
        <v>2</v>
      </c>
      <c r="Y261" s="4">
        <v>2</v>
      </c>
      <c r="Z261" s="4">
        <v>53</v>
      </c>
    </row>
    <row r="262" spans="1:27">
      <c r="A262" s="4" t="s">
        <v>287</v>
      </c>
      <c r="B262" s="4">
        <v>3</v>
      </c>
      <c r="C262" s="4">
        <v>2</v>
      </c>
      <c r="D262" s="4">
        <v>2</v>
      </c>
      <c r="E262" s="4">
        <v>1</v>
      </c>
      <c r="F262" s="4">
        <v>3</v>
      </c>
      <c r="G262" s="4">
        <v>1</v>
      </c>
      <c r="H262" s="4">
        <v>1</v>
      </c>
      <c r="I262" s="4">
        <v>1</v>
      </c>
      <c r="J262" s="4">
        <v>1</v>
      </c>
      <c r="K262" s="4">
        <v>1</v>
      </c>
      <c r="L262" s="4">
        <v>3</v>
      </c>
      <c r="M262" s="4">
        <v>1</v>
      </c>
      <c r="N262" s="4">
        <v>2</v>
      </c>
      <c r="O262" s="4">
        <v>1</v>
      </c>
      <c r="P262" s="4">
        <v>2</v>
      </c>
      <c r="Q262" s="4">
        <v>1</v>
      </c>
      <c r="R262" s="4">
        <v>1</v>
      </c>
      <c r="S262" s="4">
        <v>2</v>
      </c>
      <c r="T262" s="4">
        <v>1</v>
      </c>
      <c r="U262" s="4">
        <v>2</v>
      </c>
      <c r="V262" s="4">
        <v>1</v>
      </c>
      <c r="W262" s="4">
        <v>2</v>
      </c>
      <c r="X262" s="4">
        <v>1</v>
      </c>
      <c r="Y262" s="4">
        <v>2</v>
      </c>
      <c r="Z262" s="4">
        <v>38</v>
      </c>
    </row>
    <row r="263" spans="1:27">
      <c r="A263" s="4" t="s">
        <v>288</v>
      </c>
      <c r="B263" s="4">
        <v>2</v>
      </c>
      <c r="C263" s="4">
        <v>2</v>
      </c>
      <c r="D263" s="4">
        <v>2</v>
      </c>
      <c r="E263" s="4">
        <v>2</v>
      </c>
      <c r="F263" s="4">
        <v>1</v>
      </c>
      <c r="G263" s="4">
        <v>1</v>
      </c>
      <c r="H263" s="4">
        <v>1</v>
      </c>
      <c r="I263" s="4">
        <v>2</v>
      </c>
      <c r="J263" s="4">
        <v>2</v>
      </c>
      <c r="K263" s="4">
        <v>2</v>
      </c>
      <c r="L263" s="4">
        <v>3</v>
      </c>
      <c r="M263" s="4">
        <v>2</v>
      </c>
      <c r="N263" s="4">
        <v>2</v>
      </c>
      <c r="O263" s="4">
        <v>2</v>
      </c>
      <c r="P263" s="4">
        <v>1</v>
      </c>
      <c r="Q263" s="4">
        <v>2</v>
      </c>
      <c r="R263" s="4">
        <v>1</v>
      </c>
      <c r="S263" s="4">
        <v>2</v>
      </c>
      <c r="T263" s="4">
        <v>1</v>
      </c>
      <c r="U263" s="4">
        <v>2</v>
      </c>
      <c r="V263" s="4">
        <v>2</v>
      </c>
      <c r="W263" s="4">
        <v>2</v>
      </c>
      <c r="X263" s="4">
        <v>2</v>
      </c>
      <c r="Y263" s="4">
        <v>1</v>
      </c>
      <c r="Z263" s="4">
        <v>42</v>
      </c>
    </row>
    <row r="264" spans="1:27">
      <c r="A264" s="4" t="s">
        <v>289</v>
      </c>
      <c r="B264" s="4">
        <v>1</v>
      </c>
      <c r="C264" s="4">
        <v>2</v>
      </c>
      <c r="D264" s="4">
        <v>1</v>
      </c>
      <c r="E264" s="4">
        <v>2</v>
      </c>
      <c r="F264" s="4">
        <v>1</v>
      </c>
      <c r="G264" s="4">
        <v>1</v>
      </c>
      <c r="H264" s="4">
        <v>2</v>
      </c>
      <c r="I264" s="4">
        <v>2</v>
      </c>
      <c r="J264" s="4">
        <v>2</v>
      </c>
      <c r="K264" s="4">
        <v>1</v>
      </c>
      <c r="L264" s="4">
        <v>1</v>
      </c>
      <c r="M264" s="4">
        <v>2</v>
      </c>
      <c r="N264" s="4">
        <v>2</v>
      </c>
      <c r="O264" s="4">
        <v>2</v>
      </c>
      <c r="P264" s="4">
        <v>2</v>
      </c>
      <c r="Q264" s="4">
        <v>2</v>
      </c>
      <c r="R264" s="4">
        <v>2</v>
      </c>
      <c r="S264" s="4">
        <v>2</v>
      </c>
      <c r="T264" s="4">
        <v>2</v>
      </c>
      <c r="U264" s="4">
        <v>2</v>
      </c>
      <c r="V264" s="4">
        <v>2</v>
      </c>
      <c r="W264" s="4">
        <v>3</v>
      </c>
      <c r="X264" s="4">
        <v>2</v>
      </c>
      <c r="Y264" s="4">
        <v>2</v>
      </c>
      <c r="Z264" s="4">
        <v>43</v>
      </c>
    </row>
    <row r="265" spans="1:27">
      <c r="A265" s="4" t="s">
        <v>290</v>
      </c>
      <c r="B265" s="4">
        <v>1</v>
      </c>
      <c r="C265" s="4">
        <v>2</v>
      </c>
      <c r="D265" s="4">
        <v>2</v>
      </c>
      <c r="E265" s="4">
        <v>2</v>
      </c>
      <c r="F265" s="4">
        <v>1</v>
      </c>
      <c r="G265" s="4">
        <v>2</v>
      </c>
      <c r="H265" s="4">
        <v>2</v>
      </c>
      <c r="I265" s="4">
        <v>3</v>
      </c>
      <c r="J265" s="4">
        <v>3</v>
      </c>
      <c r="K265" s="4">
        <v>3</v>
      </c>
      <c r="L265" s="4">
        <v>2</v>
      </c>
      <c r="M265" s="4">
        <v>3</v>
      </c>
      <c r="N265" s="4">
        <v>2</v>
      </c>
      <c r="O265" s="4">
        <v>2</v>
      </c>
      <c r="P265" s="4">
        <v>3</v>
      </c>
      <c r="Q265" s="4">
        <v>2</v>
      </c>
      <c r="R265" s="4">
        <v>2</v>
      </c>
      <c r="S265" s="4">
        <v>1</v>
      </c>
      <c r="T265" s="4">
        <v>2</v>
      </c>
      <c r="U265" s="4">
        <v>2</v>
      </c>
      <c r="V265" s="4">
        <v>3</v>
      </c>
      <c r="W265" s="4">
        <v>2</v>
      </c>
      <c r="X265" s="4">
        <v>2</v>
      </c>
      <c r="Y265" s="4">
        <v>2</v>
      </c>
      <c r="Z265" s="4">
        <v>51</v>
      </c>
    </row>
    <row r="266" spans="1:27">
      <c r="A266" s="4" t="s">
        <v>291</v>
      </c>
      <c r="B266" s="4">
        <v>1</v>
      </c>
      <c r="C266" s="4">
        <v>3</v>
      </c>
      <c r="D266" s="4">
        <v>1</v>
      </c>
      <c r="E266" s="4">
        <v>1</v>
      </c>
      <c r="F266" s="4">
        <v>2</v>
      </c>
      <c r="G266" s="4">
        <v>1</v>
      </c>
      <c r="H266" s="4">
        <v>1</v>
      </c>
      <c r="I266" s="4">
        <v>1</v>
      </c>
      <c r="J266" s="4">
        <v>1</v>
      </c>
      <c r="K266" s="4">
        <v>1</v>
      </c>
      <c r="L266" s="4">
        <v>1</v>
      </c>
      <c r="M266" s="4">
        <v>1</v>
      </c>
      <c r="N266" s="4">
        <v>1</v>
      </c>
      <c r="O266" s="4">
        <v>1</v>
      </c>
      <c r="P266" s="4">
        <v>1</v>
      </c>
      <c r="Q266" s="4">
        <v>1</v>
      </c>
      <c r="R266" s="4">
        <v>1</v>
      </c>
      <c r="S266" s="4">
        <v>2</v>
      </c>
      <c r="T266" s="4">
        <v>1</v>
      </c>
      <c r="U266" s="4">
        <v>1</v>
      </c>
      <c r="V266" s="4">
        <v>1</v>
      </c>
      <c r="W266" s="4">
        <v>1</v>
      </c>
      <c r="X266" s="4">
        <v>2</v>
      </c>
      <c r="Y266" s="4">
        <v>1</v>
      </c>
      <c r="Z266" s="4">
        <v>29</v>
      </c>
    </row>
    <row r="267" spans="1:27">
      <c r="A267" s="4" t="s">
        <v>292</v>
      </c>
      <c r="B267" s="4">
        <v>2</v>
      </c>
      <c r="C267" s="4">
        <v>2</v>
      </c>
      <c r="D267" s="4">
        <v>1</v>
      </c>
      <c r="E267" s="4">
        <v>1</v>
      </c>
      <c r="F267" s="4">
        <v>2</v>
      </c>
      <c r="G267" s="4">
        <v>1</v>
      </c>
      <c r="H267" s="4">
        <v>1</v>
      </c>
      <c r="I267" s="4">
        <v>1</v>
      </c>
      <c r="J267" s="4">
        <v>2</v>
      </c>
      <c r="K267" s="4">
        <v>1</v>
      </c>
      <c r="L267" s="4">
        <v>1</v>
      </c>
      <c r="M267" s="4">
        <v>1</v>
      </c>
      <c r="N267" s="4">
        <v>1</v>
      </c>
      <c r="O267" s="4">
        <v>1</v>
      </c>
      <c r="P267" s="4">
        <v>2</v>
      </c>
      <c r="Q267" s="4">
        <v>1</v>
      </c>
      <c r="R267" s="4">
        <v>1</v>
      </c>
      <c r="S267" s="4">
        <v>2</v>
      </c>
      <c r="T267" s="4">
        <v>1</v>
      </c>
      <c r="U267" s="4">
        <v>1</v>
      </c>
      <c r="V267" s="4">
        <v>1</v>
      </c>
      <c r="W267" s="4">
        <v>2</v>
      </c>
      <c r="X267" s="4">
        <v>2</v>
      </c>
      <c r="Y267" s="4">
        <v>1</v>
      </c>
      <c r="Z267" s="4">
        <v>32</v>
      </c>
    </row>
    <row r="268" spans="1:27">
      <c r="A268" s="4" t="s">
        <v>293</v>
      </c>
      <c r="B268" s="4">
        <v>1</v>
      </c>
      <c r="C268" s="4">
        <v>2</v>
      </c>
      <c r="D268" s="4">
        <v>2</v>
      </c>
      <c r="E268" s="4">
        <v>1</v>
      </c>
      <c r="F268" s="4">
        <v>3</v>
      </c>
      <c r="G268" s="4">
        <v>2</v>
      </c>
      <c r="H268" s="4">
        <v>2</v>
      </c>
      <c r="I268" s="4">
        <v>1</v>
      </c>
      <c r="J268" s="4">
        <v>2</v>
      </c>
      <c r="K268" s="4">
        <v>1</v>
      </c>
      <c r="L268" s="4">
        <v>1</v>
      </c>
      <c r="M268" s="4">
        <v>1</v>
      </c>
      <c r="N268" s="4">
        <v>2</v>
      </c>
      <c r="O268" s="4">
        <v>1</v>
      </c>
      <c r="P268" s="4">
        <v>1</v>
      </c>
      <c r="Q268" s="4">
        <v>2</v>
      </c>
      <c r="R268" s="4">
        <v>1</v>
      </c>
      <c r="S268" s="4">
        <v>1</v>
      </c>
      <c r="T268" s="4">
        <v>2</v>
      </c>
      <c r="U268" s="4">
        <v>1</v>
      </c>
      <c r="V268" s="4">
        <v>1</v>
      </c>
      <c r="W268" s="4">
        <v>2</v>
      </c>
      <c r="X268" s="4">
        <v>2</v>
      </c>
      <c r="Y268" s="4">
        <v>1</v>
      </c>
      <c r="Z268" s="4">
        <v>36</v>
      </c>
    </row>
    <row r="269" spans="1:27">
      <c r="A269" s="4" t="s">
        <v>294</v>
      </c>
      <c r="B269" s="4">
        <v>2</v>
      </c>
      <c r="C269" s="4">
        <v>2</v>
      </c>
      <c r="D269" s="4">
        <v>2</v>
      </c>
      <c r="E269" s="4">
        <v>2</v>
      </c>
      <c r="F269" s="4">
        <v>2</v>
      </c>
      <c r="G269" s="4">
        <v>1</v>
      </c>
      <c r="H269" s="4">
        <v>2</v>
      </c>
      <c r="I269" s="4">
        <v>2</v>
      </c>
      <c r="J269" s="4">
        <v>2</v>
      </c>
      <c r="K269" s="4">
        <v>1</v>
      </c>
      <c r="L269" s="4">
        <v>2</v>
      </c>
      <c r="M269" s="4">
        <v>2</v>
      </c>
      <c r="N269" s="4">
        <v>2</v>
      </c>
      <c r="O269" s="4">
        <v>2</v>
      </c>
      <c r="P269" s="4">
        <v>3</v>
      </c>
      <c r="Q269" s="4">
        <v>2</v>
      </c>
      <c r="R269" s="4">
        <v>2</v>
      </c>
      <c r="S269" s="4">
        <v>1</v>
      </c>
      <c r="T269" s="4">
        <v>1</v>
      </c>
      <c r="U269" s="4">
        <v>1</v>
      </c>
      <c r="V269" s="4">
        <v>1</v>
      </c>
      <c r="W269" s="4">
        <v>2</v>
      </c>
      <c r="X269" s="4">
        <v>2</v>
      </c>
      <c r="Y269" s="4">
        <v>2</v>
      </c>
      <c r="Z269" s="4">
        <v>43</v>
      </c>
    </row>
    <row r="270" spans="1:27">
      <c r="A270" s="4" t="s">
        <v>295</v>
      </c>
      <c r="B270" s="4">
        <v>3</v>
      </c>
      <c r="C270" s="4">
        <v>2</v>
      </c>
      <c r="D270" s="4">
        <v>2</v>
      </c>
      <c r="E270" s="4">
        <v>2</v>
      </c>
      <c r="F270" s="4">
        <v>2</v>
      </c>
      <c r="G270" s="4">
        <v>2</v>
      </c>
      <c r="H270" s="4">
        <v>2</v>
      </c>
      <c r="I270" s="4">
        <v>2</v>
      </c>
      <c r="J270" s="4">
        <v>1</v>
      </c>
      <c r="K270" s="4">
        <v>1</v>
      </c>
      <c r="L270" s="4">
        <v>1</v>
      </c>
      <c r="M270" s="4">
        <v>2</v>
      </c>
      <c r="N270" s="4">
        <v>1</v>
      </c>
      <c r="O270" s="4">
        <v>2</v>
      </c>
      <c r="P270" s="4">
        <v>2</v>
      </c>
      <c r="Q270" s="4">
        <v>2</v>
      </c>
      <c r="R270" s="4">
        <v>2</v>
      </c>
      <c r="S270" s="4">
        <v>3</v>
      </c>
      <c r="T270" s="4">
        <v>2</v>
      </c>
      <c r="U270" s="4">
        <v>2</v>
      </c>
      <c r="V270" s="4">
        <v>2</v>
      </c>
      <c r="W270" s="4">
        <v>2</v>
      </c>
      <c r="X270" s="4">
        <v>1</v>
      </c>
      <c r="Y270" s="4">
        <v>1</v>
      </c>
      <c r="Z270" s="4">
        <v>44</v>
      </c>
    </row>
    <row r="271" spans="1:27">
      <c r="A271" s="4" t="s">
        <v>296</v>
      </c>
      <c r="B271" s="4">
        <v>1</v>
      </c>
      <c r="C271" s="4">
        <v>2</v>
      </c>
      <c r="D271" s="4">
        <v>2</v>
      </c>
      <c r="E271" s="4">
        <v>2</v>
      </c>
      <c r="F271" s="4">
        <v>2</v>
      </c>
      <c r="G271" s="4">
        <v>2</v>
      </c>
      <c r="H271" s="4">
        <v>2</v>
      </c>
      <c r="I271" s="4">
        <v>2</v>
      </c>
      <c r="J271" s="4">
        <v>2</v>
      </c>
      <c r="K271" s="4">
        <v>1</v>
      </c>
      <c r="L271" s="4">
        <v>2</v>
      </c>
      <c r="M271" s="4">
        <v>2</v>
      </c>
      <c r="N271" s="4">
        <v>2</v>
      </c>
      <c r="O271" s="4">
        <v>2</v>
      </c>
      <c r="P271" s="4">
        <v>3</v>
      </c>
      <c r="Q271" s="4">
        <v>1</v>
      </c>
      <c r="R271" s="4">
        <v>1</v>
      </c>
      <c r="S271" s="4">
        <v>3</v>
      </c>
      <c r="T271" s="4">
        <v>2</v>
      </c>
      <c r="U271" s="4">
        <v>1</v>
      </c>
      <c r="V271" s="4">
        <v>2</v>
      </c>
      <c r="W271" s="4">
        <v>2</v>
      </c>
      <c r="X271" s="4">
        <v>2</v>
      </c>
      <c r="Y271" s="4">
        <v>2</v>
      </c>
      <c r="Z271" s="4">
        <v>45</v>
      </c>
    </row>
    <row r="272" spans="1:27">
      <c r="A272" s="4" t="s">
        <v>297</v>
      </c>
      <c r="B272" s="4">
        <v>3</v>
      </c>
      <c r="C272" s="4">
        <v>3</v>
      </c>
      <c r="D272" s="4">
        <v>2</v>
      </c>
      <c r="E272" s="4">
        <v>2</v>
      </c>
      <c r="F272" s="4">
        <v>3</v>
      </c>
      <c r="G272" s="4">
        <v>2</v>
      </c>
      <c r="H272" s="4">
        <v>1</v>
      </c>
      <c r="I272" s="4">
        <v>1</v>
      </c>
      <c r="J272" s="4">
        <v>1</v>
      </c>
      <c r="K272" s="4">
        <v>2</v>
      </c>
      <c r="L272" s="4">
        <v>3</v>
      </c>
      <c r="M272" s="4">
        <v>1</v>
      </c>
      <c r="N272" s="4">
        <v>2</v>
      </c>
      <c r="O272" s="4">
        <v>1</v>
      </c>
      <c r="P272" s="4">
        <v>2</v>
      </c>
      <c r="Q272" s="4">
        <v>2</v>
      </c>
      <c r="R272" s="4">
        <v>2</v>
      </c>
      <c r="S272" s="4">
        <v>2</v>
      </c>
      <c r="T272" s="4">
        <v>1</v>
      </c>
      <c r="U272" s="4">
        <v>1</v>
      </c>
      <c r="V272" s="4">
        <v>2</v>
      </c>
      <c r="W272" s="4">
        <v>2</v>
      </c>
      <c r="X272" s="4">
        <v>2</v>
      </c>
      <c r="Y272" s="4">
        <v>2</v>
      </c>
      <c r="Z272" s="4">
        <v>45</v>
      </c>
    </row>
    <row r="273" spans="1:27">
      <c r="A273" s="4" t="s">
        <v>298</v>
      </c>
      <c r="B273" s="4">
        <v>2</v>
      </c>
      <c r="C273" s="4">
        <v>2</v>
      </c>
      <c r="D273" s="4">
        <v>1</v>
      </c>
      <c r="E273" s="4">
        <v>1</v>
      </c>
      <c r="F273" s="4">
        <v>3</v>
      </c>
      <c r="G273" s="4">
        <v>1</v>
      </c>
      <c r="H273" s="4">
        <v>1</v>
      </c>
      <c r="I273" s="4">
        <v>1</v>
      </c>
      <c r="J273" s="4">
        <v>1</v>
      </c>
      <c r="K273" s="4">
        <v>2</v>
      </c>
      <c r="L273" s="4">
        <v>2</v>
      </c>
      <c r="M273" s="4">
        <v>2</v>
      </c>
      <c r="N273" s="4">
        <v>1</v>
      </c>
      <c r="O273" s="4">
        <v>1</v>
      </c>
      <c r="P273" s="4">
        <v>3</v>
      </c>
      <c r="Q273" s="4">
        <v>2</v>
      </c>
      <c r="R273" s="4">
        <v>1</v>
      </c>
      <c r="S273" s="4">
        <v>1</v>
      </c>
      <c r="T273" s="4">
        <v>2</v>
      </c>
      <c r="U273" s="4">
        <v>1</v>
      </c>
      <c r="V273" s="4">
        <v>1</v>
      </c>
      <c r="W273" s="4">
        <v>2</v>
      </c>
      <c r="X273" s="4">
        <v>2</v>
      </c>
      <c r="Y273" s="4">
        <v>2</v>
      </c>
      <c r="Z273" s="4">
        <v>38</v>
      </c>
    </row>
    <row r="274" spans="1:27">
      <c r="A274" s="4" t="s">
        <v>299</v>
      </c>
      <c r="B274" s="4">
        <v>2</v>
      </c>
      <c r="C274" s="4">
        <v>2</v>
      </c>
      <c r="D274" s="4">
        <v>2</v>
      </c>
      <c r="E274" s="4">
        <v>2</v>
      </c>
      <c r="F274" s="4">
        <v>3</v>
      </c>
      <c r="G274" s="4">
        <v>2</v>
      </c>
      <c r="H274" s="4">
        <v>2</v>
      </c>
      <c r="I274" s="4">
        <v>2</v>
      </c>
      <c r="J274" s="4">
        <v>2</v>
      </c>
      <c r="K274" s="4">
        <v>2</v>
      </c>
      <c r="L274" s="4">
        <v>3</v>
      </c>
      <c r="M274" s="4">
        <v>2</v>
      </c>
      <c r="N274" s="4">
        <v>2</v>
      </c>
      <c r="O274" s="4">
        <v>1</v>
      </c>
      <c r="P274" s="4">
        <v>3</v>
      </c>
      <c r="Q274" s="4">
        <v>2</v>
      </c>
      <c r="R274" s="4">
        <v>3</v>
      </c>
      <c r="S274" s="4">
        <v>2</v>
      </c>
      <c r="T274" s="4">
        <v>2</v>
      </c>
      <c r="U274" s="4">
        <v>3</v>
      </c>
      <c r="V274" s="4">
        <v>1</v>
      </c>
      <c r="W274" s="4">
        <v>2</v>
      </c>
      <c r="X274" s="4">
        <v>2</v>
      </c>
      <c r="Y274" s="4">
        <v>1</v>
      </c>
      <c r="Z274" s="4">
        <v>50</v>
      </c>
    </row>
    <row r="275" spans="1:27">
      <c r="A275" s="4" t="s">
        <v>300</v>
      </c>
      <c r="B275" s="4">
        <v>2</v>
      </c>
      <c r="C275" s="4">
        <v>2</v>
      </c>
      <c r="D275" s="4">
        <v>1</v>
      </c>
      <c r="E275" s="4">
        <v>1</v>
      </c>
      <c r="F275" s="4">
        <v>2</v>
      </c>
      <c r="G275" s="4">
        <v>1</v>
      </c>
      <c r="H275" s="4">
        <v>1</v>
      </c>
      <c r="I275" s="4">
        <v>1</v>
      </c>
      <c r="J275" s="4">
        <v>1</v>
      </c>
      <c r="K275" s="4">
        <v>1</v>
      </c>
      <c r="L275" s="4">
        <v>2</v>
      </c>
      <c r="M275" s="4">
        <v>1</v>
      </c>
      <c r="N275" s="4">
        <v>1</v>
      </c>
      <c r="O275" s="4">
        <v>1</v>
      </c>
      <c r="P275" s="4">
        <v>2</v>
      </c>
      <c r="Q275" s="4">
        <v>1</v>
      </c>
      <c r="R275" s="4">
        <v>1</v>
      </c>
      <c r="S275" s="4">
        <v>2</v>
      </c>
      <c r="T275" s="4">
        <v>1</v>
      </c>
      <c r="U275" s="4">
        <v>1</v>
      </c>
      <c r="V275" s="4">
        <v>1</v>
      </c>
      <c r="W275" s="4">
        <v>2</v>
      </c>
      <c r="X275" s="4">
        <v>1</v>
      </c>
      <c r="Y275" s="4">
        <v>1</v>
      </c>
      <c r="Z275" s="4">
        <v>31</v>
      </c>
    </row>
    <row r="276" spans="1:27">
      <c r="A276" s="4" t="s">
        <v>301</v>
      </c>
      <c r="B276" s="4">
        <v>1</v>
      </c>
      <c r="C276" s="4">
        <v>3</v>
      </c>
      <c r="D276" s="4">
        <v>2</v>
      </c>
      <c r="E276" s="4">
        <v>1</v>
      </c>
      <c r="F276" s="4">
        <v>3</v>
      </c>
      <c r="G276" s="4">
        <v>2</v>
      </c>
      <c r="H276" s="4">
        <v>1</v>
      </c>
      <c r="I276" s="4">
        <v>1</v>
      </c>
      <c r="J276" s="4">
        <v>2</v>
      </c>
      <c r="K276" s="4">
        <v>1</v>
      </c>
      <c r="L276" s="4">
        <v>1</v>
      </c>
      <c r="M276" s="4">
        <v>2</v>
      </c>
      <c r="N276" s="4">
        <v>2</v>
      </c>
      <c r="O276" s="4">
        <v>1</v>
      </c>
      <c r="P276" s="4">
        <v>2</v>
      </c>
      <c r="Q276" s="4">
        <v>1</v>
      </c>
      <c r="R276" s="4">
        <v>1</v>
      </c>
      <c r="S276" s="4">
        <v>1</v>
      </c>
      <c r="T276" s="4">
        <v>2</v>
      </c>
      <c r="U276" s="4">
        <v>1</v>
      </c>
      <c r="V276" s="4">
        <v>2</v>
      </c>
      <c r="W276" s="4">
        <v>1</v>
      </c>
      <c r="X276" s="4">
        <v>1</v>
      </c>
      <c r="Y276" s="4">
        <v>2</v>
      </c>
      <c r="Z276" s="4">
        <v>37</v>
      </c>
    </row>
    <row r="277" spans="1:27">
      <c r="A277" s="4" t="s">
        <v>302</v>
      </c>
      <c r="B277" s="4">
        <v>2</v>
      </c>
      <c r="C277" s="4">
        <v>3</v>
      </c>
      <c r="D277" s="4">
        <v>1</v>
      </c>
      <c r="E277" s="4">
        <v>1</v>
      </c>
      <c r="F277" s="4">
        <v>1</v>
      </c>
      <c r="G277" s="4">
        <v>1</v>
      </c>
      <c r="H277" s="4">
        <v>1</v>
      </c>
      <c r="I277" s="4">
        <v>1</v>
      </c>
      <c r="J277" s="4">
        <v>1</v>
      </c>
      <c r="K277" s="4">
        <v>1</v>
      </c>
      <c r="L277" s="4">
        <v>2</v>
      </c>
      <c r="M277" s="4">
        <v>1</v>
      </c>
      <c r="N277" s="4">
        <v>1</v>
      </c>
      <c r="O277" s="4">
        <v>1</v>
      </c>
      <c r="P277" s="4">
        <v>3</v>
      </c>
      <c r="Q277" s="4">
        <v>1</v>
      </c>
      <c r="R277" s="4">
        <v>1</v>
      </c>
      <c r="S277" s="4">
        <v>2</v>
      </c>
      <c r="T277" s="4">
        <v>1</v>
      </c>
      <c r="U277" s="4">
        <v>1</v>
      </c>
      <c r="V277" s="4">
        <v>1</v>
      </c>
      <c r="W277" s="4">
        <v>2</v>
      </c>
      <c r="X277" s="4">
        <v>1</v>
      </c>
      <c r="Y277" s="4">
        <v>1</v>
      </c>
      <c r="Z277" s="4">
        <v>32</v>
      </c>
    </row>
    <row r="278" spans="1:27">
      <c r="A278" s="4" t="s">
        <v>303</v>
      </c>
      <c r="B278" s="4">
        <v>2</v>
      </c>
      <c r="C278" s="4">
        <v>2</v>
      </c>
      <c r="D278" s="4">
        <v>2</v>
      </c>
      <c r="E278" s="4">
        <v>1</v>
      </c>
      <c r="F278" s="4">
        <v>1</v>
      </c>
      <c r="G278" s="4">
        <v>1</v>
      </c>
      <c r="H278" s="4">
        <v>1</v>
      </c>
      <c r="I278" s="4">
        <v>2</v>
      </c>
      <c r="J278" s="4">
        <v>1</v>
      </c>
      <c r="K278" s="4">
        <v>1</v>
      </c>
      <c r="L278" s="4">
        <v>3</v>
      </c>
      <c r="M278" s="4">
        <v>1</v>
      </c>
      <c r="N278" s="4">
        <v>2</v>
      </c>
      <c r="O278" s="4">
        <v>1</v>
      </c>
      <c r="P278" s="4">
        <v>2</v>
      </c>
      <c r="Q278" s="4">
        <v>1</v>
      </c>
      <c r="R278" s="4">
        <v>2</v>
      </c>
      <c r="S278" s="4">
        <v>3</v>
      </c>
      <c r="T278" s="4">
        <v>1</v>
      </c>
      <c r="U278" s="4">
        <v>2</v>
      </c>
      <c r="V278" s="4">
        <v>1</v>
      </c>
      <c r="W278" s="4">
        <v>3</v>
      </c>
      <c r="X278" s="4">
        <v>2</v>
      </c>
      <c r="Y278" s="4">
        <v>2</v>
      </c>
      <c r="Z278" s="4">
        <v>40</v>
      </c>
    </row>
    <row r="279" spans="1:27">
      <c r="A279" s="4" t="s">
        <v>304</v>
      </c>
      <c r="B279" s="4">
        <v>2</v>
      </c>
      <c r="C279" s="4">
        <v>3</v>
      </c>
      <c r="D279" s="4">
        <v>1</v>
      </c>
      <c r="E279" s="4">
        <v>1</v>
      </c>
      <c r="F279" s="4">
        <v>3</v>
      </c>
      <c r="G279" s="4">
        <v>1</v>
      </c>
      <c r="H279" s="4">
        <v>1</v>
      </c>
      <c r="I279" s="4">
        <v>2</v>
      </c>
      <c r="J279" s="4">
        <v>1</v>
      </c>
      <c r="K279" s="4">
        <v>2</v>
      </c>
      <c r="L279" s="4">
        <v>2</v>
      </c>
      <c r="M279" s="4">
        <v>1</v>
      </c>
      <c r="N279" s="4">
        <v>1</v>
      </c>
      <c r="O279" s="4">
        <v>1</v>
      </c>
      <c r="P279" s="4">
        <v>2</v>
      </c>
      <c r="Q279" s="4">
        <v>1</v>
      </c>
      <c r="R279" s="4">
        <v>1</v>
      </c>
      <c r="S279" s="4">
        <v>2</v>
      </c>
      <c r="T279" s="4">
        <v>1</v>
      </c>
      <c r="U279" s="4">
        <v>1</v>
      </c>
      <c r="V279" s="4">
        <v>1</v>
      </c>
      <c r="W279" s="4">
        <v>3</v>
      </c>
      <c r="X279" s="4">
        <v>2</v>
      </c>
      <c r="Y279" s="4">
        <v>1</v>
      </c>
      <c r="Z279" s="4">
        <v>37</v>
      </c>
    </row>
    <row r="280" spans="1:27">
      <c r="A280" s="4" t="s">
        <v>305</v>
      </c>
      <c r="B280" s="4">
        <v>2</v>
      </c>
      <c r="C280" s="4">
        <v>2</v>
      </c>
      <c r="D280" s="4">
        <v>1</v>
      </c>
      <c r="E280" s="4">
        <v>1</v>
      </c>
      <c r="F280" s="4">
        <v>2</v>
      </c>
      <c r="G280" s="4">
        <v>1</v>
      </c>
      <c r="H280" s="4">
        <v>1</v>
      </c>
      <c r="I280" s="4">
        <v>2</v>
      </c>
      <c r="J280" s="4">
        <v>1</v>
      </c>
      <c r="K280" s="4">
        <v>1</v>
      </c>
      <c r="L280" s="4">
        <v>1</v>
      </c>
      <c r="M280" s="4">
        <v>1</v>
      </c>
      <c r="N280" s="4">
        <v>1</v>
      </c>
      <c r="O280" s="4">
        <v>1</v>
      </c>
      <c r="P280" s="4">
        <v>1</v>
      </c>
      <c r="Q280" s="4">
        <v>1</v>
      </c>
      <c r="R280" s="4">
        <v>1</v>
      </c>
      <c r="S280" s="4">
        <v>1</v>
      </c>
      <c r="T280" s="4">
        <v>1</v>
      </c>
      <c r="U280" s="4">
        <v>1</v>
      </c>
      <c r="V280" s="4">
        <v>1</v>
      </c>
      <c r="W280" s="4">
        <v>1</v>
      </c>
      <c r="X280" s="4">
        <v>1</v>
      </c>
      <c r="Y280" s="4">
        <v>1</v>
      </c>
      <c r="Z280" s="4">
        <v>28</v>
      </c>
    </row>
    <row r="281" spans="1:27">
      <c r="A281" s="4" t="s">
        <v>306</v>
      </c>
      <c r="B281" s="4">
        <v>1</v>
      </c>
      <c r="C281" s="4">
        <v>1</v>
      </c>
      <c r="D281" s="4">
        <v>2</v>
      </c>
      <c r="E281" s="4">
        <v>3</v>
      </c>
      <c r="F281" s="4">
        <v>2</v>
      </c>
      <c r="G281" s="4">
        <v>2</v>
      </c>
      <c r="H281" s="4">
        <v>1</v>
      </c>
      <c r="I281" s="4">
        <v>2</v>
      </c>
      <c r="J281" s="4">
        <v>3</v>
      </c>
      <c r="K281" s="4">
        <v>2</v>
      </c>
      <c r="L281" s="4">
        <v>3</v>
      </c>
      <c r="M281" s="4">
        <v>3</v>
      </c>
      <c r="N281" s="4">
        <v>1</v>
      </c>
      <c r="O281" s="4">
        <v>2</v>
      </c>
      <c r="P281" s="4">
        <v>2</v>
      </c>
      <c r="Q281" s="4">
        <v>3</v>
      </c>
      <c r="R281" s="4">
        <v>2</v>
      </c>
      <c r="S281" s="4">
        <v>2</v>
      </c>
      <c r="T281" s="4">
        <v>1</v>
      </c>
      <c r="U281" s="4">
        <v>3</v>
      </c>
      <c r="V281" s="4">
        <v>3</v>
      </c>
      <c r="W281" s="4">
        <v>2</v>
      </c>
      <c r="X281" s="4">
        <v>2</v>
      </c>
      <c r="Y281" s="4">
        <v>2</v>
      </c>
      <c r="Z281" s="4">
        <v>50</v>
      </c>
    </row>
    <row r="282" spans="1:27">
      <c r="A282" s="4" t="s">
        <v>307</v>
      </c>
      <c r="B282" s="4">
        <v>3</v>
      </c>
      <c r="C282" s="4">
        <v>1</v>
      </c>
      <c r="D282" s="4">
        <v>2</v>
      </c>
      <c r="E282" s="4">
        <v>3</v>
      </c>
      <c r="F282" s="4">
        <v>2</v>
      </c>
      <c r="G282" s="4">
        <v>2</v>
      </c>
      <c r="H282" s="4">
        <v>2</v>
      </c>
      <c r="I282" s="4">
        <v>3</v>
      </c>
      <c r="J282" s="4">
        <v>2</v>
      </c>
      <c r="K282" s="4">
        <v>3</v>
      </c>
      <c r="L282" s="4">
        <v>1</v>
      </c>
      <c r="M282" s="4">
        <v>3</v>
      </c>
      <c r="N282" s="4">
        <v>2</v>
      </c>
      <c r="O282" s="4">
        <v>2</v>
      </c>
      <c r="P282" s="4">
        <v>3</v>
      </c>
      <c r="Q282" s="4">
        <v>2</v>
      </c>
      <c r="R282" s="4">
        <v>2</v>
      </c>
      <c r="S282" s="4">
        <v>2</v>
      </c>
      <c r="T282" s="4">
        <v>3</v>
      </c>
      <c r="U282" s="4">
        <v>2</v>
      </c>
      <c r="V282" s="4">
        <v>3</v>
      </c>
      <c r="W282" s="4">
        <v>1</v>
      </c>
      <c r="X282" s="4">
        <v>3</v>
      </c>
      <c r="Y282" s="4">
        <v>2</v>
      </c>
      <c r="Z282" s="4">
        <v>54</v>
      </c>
    </row>
    <row r="283" spans="1:27">
      <c r="A283" s="4" t="s">
        <v>308</v>
      </c>
      <c r="B283" s="4">
        <v>3</v>
      </c>
      <c r="C283" s="4">
        <v>3</v>
      </c>
      <c r="D283" s="4">
        <v>3</v>
      </c>
      <c r="E283" s="4">
        <v>2</v>
      </c>
      <c r="F283" s="4">
        <v>3</v>
      </c>
      <c r="G283" s="4">
        <v>2</v>
      </c>
      <c r="H283" s="4">
        <v>2</v>
      </c>
      <c r="I283" s="4">
        <v>3</v>
      </c>
      <c r="J283" s="4">
        <v>2</v>
      </c>
      <c r="K283" s="4">
        <v>2</v>
      </c>
      <c r="L283" s="4">
        <v>2</v>
      </c>
      <c r="M283" s="4">
        <v>2</v>
      </c>
      <c r="N283" s="4">
        <v>3</v>
      </c>
      <c r="O283" s="4">
        <v>2</v>
      </c>
      <c r="P283" s="4">
        <v>2</v>
      </c>
      <c r="Q283" s="4">
        <v>3</v>
      </c>
      <c r="R283" s="4">
        <v>2</v>
      </c>
      <c r="S283" s="4">
        <v>2</v>
      </c>
      <c r="T283" s="4">
        <v>2</v>
      </c>
      <c r="U283" s="4">
        <v>2</v>
      </c>
      <c r="V283" s="4">
        <v>2</v>
      </c>
      <c r="W283" s="4">
        <v>1</v>
      </c>
      <c r="X283" s="4">
        <v>2</v>
      </c>
      <c r="Y283" s="4">
        <v>2</v>
      </c>
      <c r="Z283" s="4">
        <v>54</v>
      </c>
    </row>
    <row r="284" spans="1:27">
      <c r="A284" s="4" t="s">
        <v>309</v>
      </c>
      <c r="B284" s="4">
        <v>1</v>
      </c>
      <c r="C284" s="4">
        <v>1</v>
      </c>
      <c r="D284" s="4">
        <v>1</v>
      </c>
      <c r="E284" s="4">
        <v>1</v>
      </c>
      <c r="F284" s="4">
        <v>2</v>
      </c>
      <c r="G284" s="4">
        <v>1</v>
      </c>
      <c r="H284" s="4">
        <v>1</v>
      </c>
      <c r="I284" s="4">
        <v>1</v>
      </c>
      <c r="J284" s="4">
        <v>1</v>
      </c>
      <c r="K284" s="4">
        <v>1</v>
      </c>
      <c r="L284" s="4">
        <v>2</v>
      </c>
      <c r="M284" s="4">
        <v>1</v>
      </c>
      <c r="N284" s="4">
        <v>1</v>
      </c>
      <c r="O284" s="4">
        <v>1</v>
      </c>
      <c r="P284" s="4">
        <v>1</v>
      </c>
      <c r="Q284" s="4">
        <v>1</v>
      </c>
      <c r="R284" s="4">
        <v>1</v>
      </c>
      <c r="S284" s="4">
        <v>2</v>
      </c>
      <c r="T284" s="4">
        <v>1</v>
      </c>
      <c r="U284" s="4">
        <v>1</v>
      </c>
      <c r="V284" s="4">
        <v>1</v>
      </c>
      <c r="W284" s="4">
        <v>1</v>
      </c>
      <c r="X284" s="4">
        <v>1</v>
      </c>
      <c r="Y284" s="4">
        <v>1</v>
      </c>
      <c r="Z284" s="4">
        <v>27</v>
      </c>
    </row>
    <row r="285" spans="1:27">
      <c r="A285" s="4" t="s">
        <v>310</v>
      </c>
      <c r="B285" s="4">
        <v>2</v>
      </c>
      <c r="C285" s="4">
        <v>3</v>
      </c>
      <c r="D285" s="4">
        <v>1</v>
      </c>
      <c r="E285" s="4">
        <v>1</v>
      </c>
      <c r="F285" s="4">
        <v>2</v>
      </c>
      <c r="G285" s="4">
        <v>1</v>
      </c>
      <c r="H285" s="4">
        <v>1</v>
      </c>
      <c r="I285" s="4">
        <v>2</v>
      </c>
      <c r="J285" s="4">
        <v>1</v>
      </c>
      <c r="K285" s="4">
        <v>2</v>
      </c>
      <c r="L285" s="4">
        <v>1</v>
      </c>
      <c r="M285" s="4">
        <v>2</v>
      </c>
      <c r="N285" s="4">
        <v>1</v>
      </c>
      <c r="O285" s="4">
        <v>1</v>
      </c>
      <c r="P285" s="4">
        <v>2</v>
      </c>
      <c r="Q285" s="4">
        <v>1</v>
      </c>
      <c r="R285" s="4">
        <v>2</v>
      </c>
      <c r="S285" s="4">
        <v>2</v>
      </c>
      <c r="T285" s="4">
        <v>1</v>
      </c>
      <c r="U285" s="4">
        <v>1</v>
      </c>
      <c r="V285" s="4">
        <v>2</v>
      </c>
      <c r="W285" s="4">
        <v>3</v>
      </c>
      <c r="X285" s="4">
        <v>1</v>
      </c>
      <c r="Y285" s="4">
        <v>2</v>
      </c>
      <c r="Z285" s="4">
        <v>38</v>
      </c>
    </row>
    <row r="286" spans="1:27">
      <c r="A286" s="4" t="s">
        <v>311</v>
      </c>
      <c r="B286" s="4">
        <v>2</v>
      </c>
      <c r="C286" s="4">
        <v>2</v>
      </c>
      <c r="D286" s="4">
        <v>2</v>
      </c>
      <c r="E286" s="4">
        <v>2</v>
      </c>
      <c r="F286" s="4">
        <v>2</v>
      </c>
      <c r="G286" s="4">
        <v>2</v>
      </c>
      <c r="H286" s="4">
        <v>2</v>
      </c>
      <c r="I286" s="4">
        <v>1</v>
      </c>
      <c r="J286" s="4">
        <v>2</v>
      </c>
      <c r="K286" s="4">
        <v>2</v>
      </c>
      <c r="L286" s="4">
        <v>2</v>
      </c>
      <c r="M286" s="4">
        <v>1</v>
      </c>
      <c r="N286" s="4">
        <v>2</v>
      </c>
      <c r="O286" s="4">
        <v>2</v>
      </c>
      <c r="P286" s="4">
        <v>2</v>
      </c>
      <c r="Q286" s="4">
        <v>2</v>
      </c>
      <c r="R286" s="4">
        <v>1</v>
      </c>
      <c r="S286" s="4">
        <v>1</v>
      </c>
      <c r="T286" s="4">
        <v>1</v>
      </c>
      <c r="U286" s="4">
        <v>1</v>
      </c>
      <c r="V286" s="4">
        <v>1</v>
      </c>
      <c r="W286" s="4">
        <v>2</v>
      </c>
      <c r="X286" s="4">
        <v>2</v>
      </c>
      <c r="Y286" s="4">
        <v>2</v>
      </c>
      <c r="Z286" s="4">
        <v>41</v>
      </c>
    </row>
    <row r="287" spans="1:27">
      <c r="A287" s="4" t="s">
        <v>312</v>
      </c>
      <c r="B287" s="4">
        <v>1</v>
      </c>
      <c r="C287" s="4">
        <v>2</v>
      </c>
      <c r="D287" s="4">
        <v>2</v>
      </c>
      <c r="E287" s="4">
        <v>2</v>
      </c>
      <c r="F287" s="4">
        <v>1</v>
      </c>
      <c r="G287" s="4">
        <v>2</v>
      </c>
      <c r="H287" s="4">
        <v>2</v>
      </c>
      <c r="I287" s="4">
        <v>2</v>
      </c>
      <c r="J287" s="4">
        <v>2</v>
      </c>
      <c r="K287" s="4">
        <v>3</v>
      </c>
      <c r="L287" s="4">
        <v>2</v>
      </c>
      <c r="M287" s="4">
        <v>2</v>
      </c>
      <c r="N287" s="4">
        <v>2</v>
      </c>
      <c r="O287" s="4">
        <v>1</v>
      </c>
      <c r="P287" s="4">
        <v>1</v>
      </c>
      <c r="Q287" s="4">
        <v>2</v>
      </c>
      <c r="R287" s="4">
        <v>2</v>
      </c>
      <c r="S287" s="4">
        <v>2</v>
      </c>
      <c r="T287" s="4">
        <v>2</v>
      </c>
      <c r="U287" s="4">
        <v>3</v>
      </c>
      <c r="V287" s="4">
        <v>3</v>
      </c>
      <c r="W287" s="4">
        <v>1</v>
      </c>
      <c r="X287" s="4">
        <v>2</v>
      </c>
      <c r="Y287" s="4">
        <v>2</v>
      </c>
      <c r="Z287" s="4">
        <v>46</v>
      </c>
    </row>
    <row r="288" spans="1:27">
      <c r="A288" s="4" t="s">
        <v>313</v>
      </c>
      <c r="B288" s="4">
        <v>2</v>
      </c>
      <c r="C288" s="4">
        <v>2</v>
      </c>
      <c r="D288" s="4">
        <v>3</v>
      </c>
      <c r="E288" s="4">
        <v>3</v>
      </c>
      <c r="F288" s="4">
        <v>2</v>
      </c>
      <c r="G288" s="4">
        <v>3</v>
      </c>
      <c r="H288" s="4">
        <v>2</v>
      </c>
      <c r="I288" s="4">
        <v>2</v>
      </c>
      <c r="J288" s="4">
        <v>2</v>
      </c>
      <c r="K288" s="4">
        <v>1</v>
      </c>
      <c r="L288" s="4">
        <v>2</v>
      </c>
      <c r="M288" s="4">
        <v>2</v>
      </c>
      <c r="N288" s="4">
        <v>2</v>
      </c>
      <c r="O288" s="4">
        <v>1</v>
      </c>
      <c r="P288" s="4">
        <v>2</v>
      </c>
      <c r="Q288" s="4">
        <v>3</v>
      </c>
      <c r="R288" s="4">
        <v>2</v>
      </c>
      <c r="S288" s="4">
        <v>1</v>
      </c>
      <c r="T288" s="4">
        <v>2</v>
      </c>
      <c r="U288" s="4">
        <v>1</v>
      </c>
      <c r="V288" s="4">
        <v>2</v>
      </c>
      <c r="W288" s="4">
        <v>2</v>
      </c>
      <c r="X288" s="4">
        <v>2</v>
      </c>
      <c r="Y288" s="4">
        <v>1</v>
      </c>
      <c r="Z288" s="4">
        <v>47</v>
      </c>
    </row>
    <row r="289" spans="1:27">
      <c r="A289" s="4" t="s">
        <v>314</v>
      </c>
      <c r="B289" s="4">
        <v>2</v>
      </c>
      <c r="C289" s="4">
        <v>2</v>
      </c>
      <c r="D289" s="4">
        <v>2</v>
      </c>
      <c r="E289" s="4">
        <v>2</v>
      </c>
      <c r="F289" s="4">
        <v>2</v>
      </c>
      <c r="G289" s="4">
        <v>1</v>
      </c>
      <c r="H289" s="4">
        <v>2</v>
      </c>
      <c r="I289" s="4">
        <v>2</v>
      </c>
      <c r="J289" s="4">
        <v>2</v>
      </c>
      <c r="K289" s="4">
        <v>2</v>
      </c>
      <c r="L289" s="4">
        <v>1</v>
      </c>
      <c r="M289" s="4">
        <v>2</v>
      </c>
      <c r="N289" s="4">
        <v>2</v>
      </c>
      <c r="O289" s="4">
        <v>2</v>
      </c>
      <c r="P289" s="4">
        <v>2</v>
      </c>
      <c r="Q289" s="4">
        <v>2</v>
      </c>
      <c r="R289" s="4">
        <v>2</v>
      </c>
      <c r="S289" s="4">
        <v>2</v>
      </c>
      <c r="T289" s="4">
        <v>2</v>
      </c>
      <c r="U289" s="4">
        <v>1</v>
      </c>
      <c r="V289" s="4">
        <v>2</v>
      </c>
      <c r="W289" s="4">
        <v>2</v>
      </c>
      <c r="X289" s="4">
        <v>2</v>
      </c>
      <c r="Y289" s="4">
        <v>2</v>
      </c>
      <c r="Z289" s="4">
        <v>45</v>
      </c>
    </row>
    <row r="290" spans="1:27">
      <c r="A290" s="4" t="s">
        <v>315</v>
      </c>
      <c r="B290" s="4">
        <v>2</v>
      </c>
      <c r="C290" s="4">
        <v>2</v>
      </c>
      <c r="D290" s="4">
        <v>2</v>
      </c>
      <c r="E290" s="4">
        <v>2</v>
      </c>
      <c r="F290" s="4">
        <v>1</v>
      </c>
      <c r="G290" s="4">
        <v>1</v>
      </c>
      <c r="H290" s="4">
        <v>2</v>
      </c>
      <c r="I290" s="4">
        <v>1</v>
      </c>
      <c r="J290" s="4">
        <v>1</v>
      </c>
      <c r="K290" s="4">
        <v>2</v>
      </c>
      <c r="L290" s="4">
        <v>2</v>
      </c>
      <c r="M290" s="4">
        <v>2</v>
      </c>
      <c r="N290" s="4">
        <v>1</v>
      </c>
      <c r="O290" s="4">
        <v>1</v>
      </c>
      <c r="P290" s="4">
        <v>3</v>
      </c>
      <c r="Q290" s="4">
        <v>1</v>
      </c>
      <c r="R290" s="4">
        <v>2</v>
      </c>
      <c r="S290" s="4">
        <v>2</v>
      </c>
      <c r="T290" s="4">
        <v>2</v>
      </c>
      <c r="U290" s="4">
        <v>1</v>
      </c>
      <c r="V290" s="4">
        <v>2</v>
      </c>
      <c r="W290" s="4">
        <v>2</v>
      </c>
      <c r="X290" s="4">
        <v>2</v>
      </c>
      <c r="Y290" s="4">
        <v>2</v>
      </c>
      <c r="Z290" s="4">
        <v>41</v>
      </c>
    </row>
    <row r="291" spans="1:27">
      <c r="A291" s="4" t="s">
        <v>316</v>
      </c>
      <c r="B291" s="4">
        <v>2</v>
      </c>
      <c r="C291" s="4">
        <v>1</v>
      </c>
      <c r="D291" s="4">
        <v>2</v>
      </c>
      <c r="E291" s="4">
        <v>2</v>
      </c>
      <c r="F291" s="4">
        <v>1</v>
      </c>
      <c r="G291" s="4">
        <v>2</v>
      </c>
      <c r="H291" s="4">
        <v>2</v>
      </c>
      <c r="I291" s="4">
        <v>3</v>
      </c>
      <c r="J291" s="4">
        <v>2</v>
      </c>
      <c r="K291" s="4">
        <v>2</v>
      </c>
      <c r="L291" s="4">
        <v>1</v>
      </c>
      <c r="M291" s="4">
        <v>2</v>
      </c>
      <c r="N291" s="4">
        <v>3</v>
      </c>
      <c r="O291" s="4">
        <v>3</v>
      </c>
      <c r="P291" s="4">
        <v>2</v>
      </c>
      <c r="Q291" s="4">
        <v>2</v>
      </c>
      <c r="R291" s="4">
        <v>2</v>
      </c>
      <c r="S291" s="4">
        <v>2</v>
      </c>
      <c r="T291" s="4">
        <v>2</v>
      </c>
      <c r="U291" s="4">
        <v>2</v>
      </c>
      <c r="V291" s="4">
        <v>2</v>
      </c>
      <c r="W291" s="4">
        <v>2</v>
      </c>
      <c r="X291" s="4">
        <v>2</v>
      </c>
      <c r="Y291" s="4">
        <v>2</v>
      </c>
      <c r="Z291" s="4">
        <v>48</v>
      </c>
    </row>
    <row r="292" spans="1:27">
      <c r="A292" s="4" t="s">
        <v>317</v>
      </c>
      <c r="B292" s="4">
        <v>1</v>
      </c>
      <c r="C292" s="4">
        <v>2</v>
      </c>
      <c r="D292" s="4">
        <v>2</v>
      </c>
      <c r="E292" s="4">
        <v>2</v>
      </c>
      <c r="F292" s="4">
        <v>1</v>
      </c>
      <c r="G292" s="4">
        <v>3</v>
      </c>
      <c r="H292" s="4">
        <v>2</v>
      </c>
      <c r="I292" s="4">
        <v>2</v>
      </c>
      <c r="J292" s="4">
        <v>1</v>
      </c>
      <c r="K292" s="4">
        <v>2</v>
      </c>
      <c r="L292" s="4">
        <v>2</v>
      </c>
      <c r="M292" s="4">
        <v>2</v>
      </c>
      <c r="N292" s="4">
        <v>2</v>
      </c>
      <c r="O292" s="4">
        <v>3</v>
      </c>
      <c r="P292" s="4">
        <v>3</v>
      </c>
      <c r="Q292" s="4">
        <v>2</v>
      </c>
      <c r="R292" s="4">
        <v>2</v>
      </c>
      <c r="S292" s="4">
        <v>1</v>
      </c>
      <c r="T292" s="4">
        <v>2</v>
      </c>
      <c r="U292" s="4">
        <v>2</v>
      </c>
      <c r="V292" s="4">
        <v>3</v>
      </c>
      <c r="W292" s="4">
        <v>2</v>
      </c>
      <c r="X292" s="4">
        <v>2</v>
      </c>
      <c r="Y292" s="4">
        <v>2</v>
      </c>
      <c r="Z292" s="4">
        <v>48</v>
      </c>
    </row>
    <row r="293" spans="1:27">
      <c r="A293" s="4" t="s">
        <v>318</v>
      </c>
      <c r="B293" s="4">
        <v>3</v>
      </c>
      <c r="C293" s="4">
        <v>1</v>
      </c>
      <c r="D293" s="4">
        <v>2</v>
      </c>
      <c r="E293" s="4">
        <v>2</v>
      </c>
      <c r="F293" s="4">
        <v>2</v>
      </c>
      <c r="G293" s="4">
        <v>3</v>
      </c>
      <c r="H293" s="4">
        <v>3</v>
      </c>
      <c r="I293" s="4">
        <v>2</v>
      </c>
      <c r="J293" s="4">
        <v>2</v>
      </c>
      <c r="K293" s="4">
        <v>2</v>
      </c>
      <c r="L293" s="4">
        <v>3</v>
      </c>
      <c r="M293" s="4">
        <v>3</v>
      </c>
      <c r="N293" s="4">
        <v>3</v>
      </c>
      <c r="O293" s="4">
        <v>1</v>
      </c>
      <c r="P293" s="4">
        <v>2</v>
      </c>
      <c r="Q293" s="4">
        <v>2</v>
      </c>
      <c r="R293" s="4">
        <v>2</v>
      </c>
      <c r="S293" s="4">
        <v>2</v>
      </c>
      <c r="T293" s="4">
        <v>2</v>
      </c>
      <c r="U293" s="4">
        <v>2</v>
      </c>
      <c r="V293" s="4">
        <v>2</v>
      </c>
      <c r="W293" s="4">
        <v>2</v>
      </c>
      <c r="X293" s="4">
        <v>2</v>
      </c>
      <c r="Y293" s="4">
        <v>2</v>
      </c>
      <c r="Z293" s="4">
        <v>52</v>
      </c>
    </row>
    <row r="294" spans="1:27">
      <c r="A294" s="4" t="s">
        <v>319</v>
      </c>
      <c r="B294" s="4">
        <v>2</v>
      </c>
      <c r="C294" s="4">
        <v>2</v>
      </c>
      <c r="D294" s="4">
        <v>2</v>
      </c>
      <c r="E294" s="4">
        <v>1</v>
      </c>
      <c r="F294" s="4">
        <v>3</v>
      </c>
      <c r="G294" s="4">
        <v>2</v>
      </c>
      <c r="H294" s="4">
        <v>2</v>
      </c>
      <c r="I294" s="4">
        <v>1</v>
      </c>
      <c r="J294" s="4">
        <v>2</v>
      </c>
      <c r="K294" s="4">
        <v>1</v>
      </c>
      <c r="L294" s="4">
        <v>2</v>
      </c>
      <c r="M294" s="4">
        <v>1</v>
      </c>
      <c r="N294" s="4">
        <v>2</v>
      </c>
      <c r="O294" s="4">
        <v>1</v>
      </c>
      <c r="P294" s="4">
        <v>3</v>
      </c>
      <c r="Q294" s="4">
        <v>1</v>
      </c>
      <c r="R294" s="4">
        <v>1</v>
      </c>
      <c r="S294" s="4">
        <v>2</v>
      </c>
      <c r="T294" s="4">
        <v>2</v>
      </c>
      <c r="U294" s="4">
        <v>2</v>
      </c>
      <c r="V294" s="4">
        <v>2</v>
      </c>
      <c r="W294" s="4">
        <v>3</v>
      </c>
      <c r="X294" s="4">
        <v>1</v>
      </c>
      <c r="Y294" s="4">
        <v>2</v>
      </c>
      <c r="Z294" s="4">
        <v>43</v>
      </c>
    </row>
    <row r="295" spans="1:27">
      <c r="A295" s="4" t="s">
        <v>320</v>
      </c>
      <c r="B295" s="4">
        <v>2</v>
      </c>
      <c r="C295" s="4">
        <v>1</v>
      </c>
      <c r="D295" s="4">
        <v>2</v>
      </c>
      <c r="E295" s="4">
        <v>1</v>
      </c>
      <c r="F295" s="4">
        <v>3</v>
      </c>
      <c r="G295" s="4">
        <v>2</v>
      </c>
      <c r="H295" s="4">
        <v>3</v>
      </c>
      <c r="I295" s="4">
        <v>2</v>
      </c>
      <c r="J295" s="4">
        <v>1</v>
      </c>
      <c r="K295" s="4">
        <v>2</v>
      </c>
      <c r="L295" s="4">
        <v>3</v>
      </c>
      <c r="M295" s="4">
        <v>1</v>
      </c>
      <c r="N295" s="4">
        <v>2</v>
      </c>
      <c r="O295" s="4">
        <v>3</v>
      </c>
      <c r="P295" s="4">
        <v>2</v>
      </c>
      <c r="Q295" s="4">
        <v>3</v>
      </c>
      <c r="R295" s="4">
        <v>2</v>
      </c>
      <c r="S295" s="4">
        <v>2</v>
      </c>
      <c r="T295" s="4">
        <v>2</v>
      </c>
      <c r="U295" s="4">
        <v>2</v>
      </c>
      <c r="V295" s="4">
        <v>2</v>
      </c>
      <c r="W295" s="4">
        <v>2</v>
      </c>
      <c r="X295" s="4">
        <v>1</v>
      </c>
      <c r="Y295" s="4">
        <v>2</v>
      </c>
      <c r="Z295" s="4">
        <v>48</v>
      </c>
    </row>
    <row r="296" spans="1:27">
      <c r="A296" s="4" t="s">
        <v>321</v>
      </c>
      <c r="B296" s="4">
        <v>1</v>
      </c>
      <c r="C296" s="4">
        <v>3</v>
      </c>
      <c r="D296" s="4">
        <v>2</v>
      </c>
      <c r="E296" s="4">
        <v>2</v>
      </c>
      <c r="F296" s="4">
        <v>3</v>
      </c>
      <c r="G296" s="4">
        <v>2</v>
      </c>
      <c r="H296" s="4">
        <v>1</v>
      </c>
      <c r="I296" s="4">
        <v>2</v>
      </c>
      <c r="J296" s="4">
        <v>2</v>
      </c>
      <c r="K296" s="4">
        <v>2</v>
      </c>
      <c r="L296" s="4">
        <v>2</v>
      </c>
      <c r="M296" s="4">
        <v>2</v>
      </c>
      <c r="N296" s="4">
        <v>2</v>
      </c>
      <c r="O296" s="4">
        <v>2</v>
      </c>
      <c r="P296" s="4">
        <v>3</v>
      </c>
      <c r="Q296" s="4">
        <v>2</v>
      </c>
      <c r="R296" s="4">
        <v>2</v>
      </c>
      <c r="S296" s="4">
        <v>1</v>
      </c>
      <c r="T296" s="4">
        <v>2</v>
      </c>
      <c r="U296" s="4">
        <v>2</v>
      </c>
      <c r="V296" s="4">
        <v>2</v>
      </c>
      <c r="W296" s="4">
        <v>2</v>
      </c>
      <c r="X296" s="4">
        <v>2</v>
      </c>
      <c r="Y296" s="4">
        <v>2</v>
      </c>
      <c r="Z296" s="4">
        <v>48</v>
      </c>
    </row>
    <row r="297" spans="1:27">
      <c r="A297" s="4" t="s">
        <v>322</v>
      </c>
      <c r="B297" s="4">
        <v>3</v>
      </c>
      <c r="C297" s="4">
        <v>1</v>
      </c>
      <c r="D297" s="4">
        <v>2</v>
      </c>
      <c r="E297" s="4">
        <v>1</v>
      </c>
      <c r="F297" s="4">
        <v>1</v>
      </c>
      <c r="G297" s="4">
        <v>2</v>
      </c>
      <c r="H297" s="4">
        <v>2</v>
      </c>
      <c r="I297" s="4">
        <v>1</v>
      </c>
      <c r="J297" s="4">
        <v>2</v>
      </c>
      <c r="K297" s="4">
        <v>2</v>
      </c>
      <c r="L297" s="4">
        <v>3</v>
      </c>
      <c r="M297" s="4">
        <v>2</v>
      </c>
      <c r="N297" s="4">
        <v>1</v>
      </c>
      <c r="O297" s="4">
        <v>2</v>
      </c>
      <c r="P297" s="4">
        <v>1</v>
      </c>
      <c r="Q297" s="4">
        <v>2</v>
      </c>
      <c r="R297" s="4">
        <v>2</v>
      </c>
      <c r="S297" s="4">
        <v>2</v>
      </c>
      <c r="T297" s="4">
        <v>2</v>
      </c>
      <c r="U297" s="4">
        <v>1</v>
      </c>
      <c r="V297" s="4">
        <v>1</v>
      </c>
      <c r="W297" s="4">
        <v>3</v>
      </c>
      <c r="X297" s="4">
        <v>1</v>
      </c>
      <c r="Y297" s="4">
        <v>2</v>
      </c>
      <c r="Z297" s="4">
        <v>42</v>
      </c>
    </row>
    <row r="298" spans="1:27">
      <c r="A298" s="4" t="s">
        <v>323</v>
      </c>
      <c r="B298" s="4">
        <v>3</v>
      </c>
      <c r="C298" s="4">
        <v>3</v>
      </c>
      <c r="D298" s="4">
        <v>2</v>
      </c>
      <c r="E298" s="4">
        <v>2</v>
      </c>
      <c r="F298" s="4">
        <v>3</v>
      </c>
      <c r="G298" s="4">
        <v>1</v>
      </c>
      <c r="H298" s="4">
        <v>2</v>
      </c>
      <c r="I298" s="4">
        <v>1</v>
      </c>
      <c r="J298" s="4">
        <v>1</v>
      </c>
      <c r="K298" s="4">
        <v>1</v>
      </c>
      <c r="L298" s="4">
        <v>2</v>
      </c>
      <c r="M298" s="4">
        <v>1</v>
      </c>
      <c r="N298" s="4">
        <v>2</v>
      </c>
      <c r="O298" s="4">
        <v>2</v>
      </c>
      <c r="P298" s="4">
        <v>2</v>
      </c>
      <c r="Q298" s="4">
        <v>2</v>
      </c>
      <c r="R298" s="4">
        <v>2</v>
      </c>
      <c r="S298" s="4">
        <v>1</v>
      </c>
      <c r="T298" s="4">
        <v>1</v>
      </c>
      <c r="U298" s="4">
        <v>1</v>
      </c>
      <c r="V298" s="4">
        <v>2</v>
      </c>
      <c r="W298" s="4">
        <v>1</v>
      </c>
      <c r="X298" s="4">
        <v>1</v>
      </c>
      <c r="Y298" s="4">
        <v>2</v>
      </c>
      <c r="Z298" s="4">
        <v>41</v>
      </c>
    </row>
    <row r="299" spans="1:27">
      <c r="A299" s="4" t="s">
        <v>324</v>
      </c>
      <c r="B299" s="4">
        <v>1</v>
      </c>
      <c r="C299" s="4">
        <v>2</v>
      </c>
      <c r="D299" s="4">
        <v>2</v>
      </c>
      <c r="E299" s="4">
        <v>2</v>
      </c>
      <c r="F299" s="4">
        <v>2</v>
      </c>
      <c r="G299" s="4">
        <v>2</v>
      </c>
      <c r="H299" s="4">
        <v>2</v>
      </c>
      <c r="I299" s="4">
        <v>2</v>
      </c>
      <c r="J299" s="4">
        <v>2</v>
      </c>
      <c r="K299" s="4">
        <v>2</v>
      </c>
      <c r="L299" s="4">
        <v>2</v>
      </c>
      <c r="M299" s="4">
        <v>2</v>
      </c>
      <c r="N299" s="4">
        <v>3</v>
      </c>
      <c r="O299" s="4">
        <v>2</v>
      </c>
      <c r="P299" s="4">
        <v>2</v>
      </c>
      <c r="Q299" s="4">
        <v>3</v>
      </c>
      <c r="R299" s="4">
        <v>2</v>
      </c>
      <c r="S299" s="4">
        <v>2</v>
      </c>
      <c r="T299" s="4">
        <v>2</v>
      </c>
      <c r="U299" s="4">
        <v>3</v>
      </c>
      <c r="V299" s="4">
        <v>2</v>
      </c>
      <c r="W299" s="4">
        <v>2</v>
      </c>
      <c r="X299" s="4">
        <v>3</v>
      </c>
      <c r="Y299" s="4">
        <v>2</v>
      </c>
      <c r="Z299" s="4">
        <v>51</v>
      </c>
    </row>
    <row r="300" spans="1:27">
      <c r="A300" s="4" t="s">
        <v>325</v>
      </c>
      <c r="B300" s="4">
        <v>1</v>
      </c>
      <c r="C300" s="4">
        <v>2</v>
      </c>
      <c r="D300" s="4">
        <v>2</v>
      </c>
      <c r="E300" s="4">
        <v>2</v>
      </c>
      <c r="F300" s="4">
        <v>2</v>
      </c>
      <c r="G300" s="4">
        <v>2</v>
      </c>
      <c r="H300" s="4">
        <v>1</v>
      </c>
      <c r="I300" s="4">
        <v>2</v>
      </c>
      <c r="J300" s="4">
        <v>2</v>
      </c>
      <c r="K300" s="4">
        <v>2</v>
      </c>
      <c r="L300" s="4">
        <v>1</v>
      </c>
      <c r="M300" s="4">
        <v>2</v>
      </c>
      <c r="N300" s="4">
        <v>1</v>
      </c>
      <c r="O300" s="4">
        <v>3</v>
      </c>
      <c r="P300" s="4">
        <v>2</v>
      </c>
      <c r="Q300" s="4">
        <v>2</v>
      </c>
      <c r="R300" s="4">
        <v>2</v>
      </c>
      <c r="S300" s="4">
        <v>2</v>
      </c>
      <c r="T300" s="4">
        <v>2</v>
      </c>
      <c r="U300" s="4">
        <v>2</v>
      </c>
      <c r="V300" s="4">
        <v>2</v>
      </c>
      <c r="W300" s="4">
        <v>2</v>
      </c>
      <c r="X300" s="4">
        <v>2</v>
      </c>
      <c r="Y300" s="4">
        <v>2</v>
      </c>
      <c r="Z300" s="4">
        <v>45</v>
      </c>
    </row>
    <row r="301" spans="1:27">
      <c r="A301" s="4" t="s">
        <v>326</v>
      </c>
      <c r="B301" s="4">
        <v>2</v>
      </c>
      <c r="C301" s="4">
        <v>2</v>
      </c>
      <c r="D301" s="4">
        <v>2</v>
      </c>
      <c r="E301" s="4">
        <v>2</v>
      </c>
      <c r="F301" s="4">
        <v>2</v>
      </c>
      <c r="G301" s="4">
        <v>2</v>
      </c>
      <c r="H301" s="4">
        <v>3</v>
      </c>
      <c r="I301" s="4">
        <v>2</v>
      </c>
      <c r="J301" s="4">
        <v>2</v>
      </c>
      <c r="K301" s="4">
        <v>2</v>
      </c>
      <c r="L301" s="4">
        <v>1</v>
      </c>
      <c r="M301" s="4">
        <v>2</v>
      </c>
      <c r="N301" s="4">
        <v>2</v>
      </c>
      <c r="O301" s="4">
        <v>2</v>
      </c>
      <c r="P301" s="4">
        <v>2</v>
      </c>
      <c r="Q301" s="4">
        <v>2</v>
      </c>
      <c r="R301" s="4">
        <v>2</v>
      </c>
      <c r="S301" s="4">
        <v>2</v>
      </c>
      <c r="T301" s="4">
        <v>3</v>
      </c>
      <c r="U301" s="4">
        <v>2</v>
      </c>
      <c r="V301" s="4">
        <v>2</v>
      </c>
      <c r="W301" s="4">
        <v>3</v>
      </c>
      <c r="X301" s="4">
        <v>3</v>
      </c>
      <c r="Y301" s="4">
        <v>2</v>
      </c>
      <c r="Z301" s="4">
        <v>51</v>
      </c>
    </row>
    <row r="302" spans="1:27">
      <c r="A302" s="4" t="s">
        <v>327</v>
      </c>
      <c r="B302" s="4">
        <v>2</v>
      </c>
      <c r="C302" s="4">
        <v>1</v>
      </c>
      <c r="D302" s="4">
        <v>2</v>
      </c>
      <c r="E302" s="4">
        <v>2</v>
      </c>
      <c r="F302" s="4">
        <v>2</v>
      </c>
      <c r="G302" s="4">
        <v>1</v>
      </c>
      <c r="H302" s="4">
        <v>2</v>
      </c>
      <c r="I302" s="4">
        <v>1</v>
      </c>
      <c r="J302" s="4">
        <v>1</v>
      </c>
      <c r="K302" s="4">
        <v>1</v>
      </c>
      <c r="L302" s="4">
        <v>1</v>
      </c>
      <c r="M302" s="4">
        <v>1</v>
      </c>
      <c r="N302" s="4">
        <v>2</v>
      </c>
      <c r="O302" s="4">
        <v>1</v>
      </c>
      <c r="P302" s="4">
        <v>2</v>
      </c>
      <c r="Q302" s="4">
        <v>1</v>
      </c>
      <c r="R302" s="4">
        <v>2</v>
      </c>
      <c r="S302" s="4">
        <v>1</v>
      </c>
      <c r="T302" s="4">
        <v>1</v>
      </c>
      <c r="U302" s="4">
        <v>2</v>
      </c>
      <c r="V302" s="4">
        <v>2</v>
      </c>
      <c r="W302" s="4">
        <v>2</v>
      </c>
      <c r="X302" s="4">
        <v>1</v>
      </c>
      <c r="Y302" s="4">
        <v>2</v>
      </c>
      <c r="Z302" s="4">
        <v>36</v>
      </c>
    </row>
    <row r="303" spans="1:27">
      <c r="A303" s="4" t="s">
        <v>328</v>
      </c>
      <c r="B303" s="4">
        <v>1</v>
      </c>
      <c r="C303" s="4">
        <v>1</v>
      </c>
      <c r="D303" s="4">
        <v>2</v>
      </c>
      <c r="E303" s="4">
        <v>2</v>
      </c>
      <c r="F303" s="4">
        <v>2</v>
      </c>
      <c r="G303" s="4">
        <v>2</v>
      </c>
      <c r="H303" s="4">
        <v>1</v>
      </c>
      <c r="I303" s="4">
        <v>2</v>
      </c>
      <c r="J303" s="4">
        <v>2</v>
      </c>
      <c r="K303" s="4">
        <v>2</v>
      </c>
      <c r="L303" s="4">
        <v>3</v>
      </c>
      <c r="M303" s="4">
        <v>2</v>
      </c>
      <c r="N303" s="4">
        <v>2</v>
      </c>
      <c r="O303" s="4">
        <v>2</v>
      </c>
      <c r="P303" s="4">
        <v>2</v>
      </c>
      <c r="Q303" s="4">
        <v>2</v>
      </c>
      <c r="R303" s="4">
        <v>3</v>
      </c>
      <c r="S303" s="4">
        <v>1</v>
      </c>
      <c r="T303" s="4">
        <v>2</v>
      </c>
      <c r="U303" s="4">
        <v>2</v>
      </c>
      <c r="V303" s="4">
        <v>1</v>
      </c>
      <c r="W303" s="4">
        <v>3</v>
      </c>
      <c r="X303" s="4">
        <v>3</v>
      </c>
      <c r="Y303" s="4">
        <v>2</v>
      </c>
      <c r="Z303" s="4">
        <v>47</v>
      </c>
    </row>
    <row r="304" spans="1:27">
      <c r="A304" s="4" t="s">
        <v>329</v>
      </c>
      <c r="B304" s="4">
        <v>2</v>
      </c>
      <c r="C304" s="4">
        <v>2</v>
      </c>
      <c r="D304" s="4">
        <v>2</v>
      </c>
      <c r="E304" s="4">
        <v>2</v>
      </c>
      <c r="F304" s="4">
        <v>2</v>
      </c>
      <c r="G304" s="4">
        <v>1</v>
      </c>
      <c r="H304" s="4">
        <v>1</v>
      </c>
      <c r="I304" s="4">
        <v>2</v>
      </c>
      <c r="J304" s="4">
        <v>2</v>
      </c>
      <c r="K304" s="4">
        <v>2</v>
      </c>
      <c r="L304" s="4">
        <v>1</v>
      </c>
      <c r="M304" s="4">
        <v>1</v>
      </c>
      <c r="N304" s="4">
        <v>1</v>
      </c>
      <c r="O304" s="4">
        <v>1</v>
      </c>
      <c r="P304" s="4">
        <v>2</v>
      </c>
      <c r="Q304" s="4">
        <v>1</v>
      </c>
      <c r="R304" s="4">
        <v>1</v>
      </c>
      <c r="S304" s="4">
        <v>2</v>
      </c>
      <c r="T304" s="4">
        <v>2</v>
      </c>
      <c r="U304" s="4">
        <v>2</v>
      </c>
      <c r="V304" s="4">
        <v>2</v>
      </c>
      <c r="W304" s="4">
        <v>3</v>
      </c>
      <c r="X304" s="4">
        <v>2</v>
      </c>
      <c r="Y304" s="4">
        <v>2</v>
      </c>
      <c r="Z304" s="4">
        <v>41</v>
      </c>
    </row>
    <row r="305" spans="1:27">
      <c r="A305" s="4" t="s">
        <v>330</v>
      </c>
      <c r="B305" s="4">
        <v>3</v>
      </c>
      <c r="C305" s="4">
        <v>2</v>
      </c>
      <c r="D305" s="4">
        <v>1</v>
      </c>
      <c r="E305" s="4">
        <v>1</v>
      </c>
      <c r="F305" s="4">
        <v>2</v>
      </c>
      <c r="G305" s="4">
        <v>2</v>
      </c>
      <c r="H305" s="4">
        <v>2</v>
      </c>
      <c r="I305" s="4">
        <v>2</v>
      </c>
      <c r="J305" s="4">
        <v>2</v>
      </c>
      <c r="K305" s="4">
        <v>2</v>
      </c>
      <c r="L305" s="4">
        <v>3</v>
      </c>
      <c r="M305" s="4">
        <v>2</v>
      </c>
      <c r="N305" s="4">
        <v>1</v>
      </c>
      <c r="O305" s="4">
        <v>2</v>
      </c>
      <c r="P305" s="4">
        <v>1</v>
      </c>
      <c r="Q305" s="4">
        <v>1</v>
      </c>
      <c r="R305" s="4">
        <v>2</v>
      </c>
      <c r="S305" s="4">
        <v>2</v>
      </c>
      <c r="T305" s="4">
        <v>1</v>
      </c>
      <c r="U305" s="4">
        <v>2</v>
      </c>
      <c r="V305" s="4">
        <v>1</v>
      </c>
      <c r="W305" s="4">
        <v>3</v>
      </c>
      <c r="X305" s="4">
        <v>2</v>
      </c>
      <c r="Y305" s="4">
        <v>2</v>
      </c>
      <c r="Z305" s="4">
        <v>44</v>
      </c>
    </row>
    <row r="306" spans="1:27">
      <c r="A306" s="4" t="s">
        <v>331</v>
      </c>
      <c r="B306" s="4">
        <v>2</v>
      </c>
      <c r="C306" s="4">
        <v>1</v>
      </c>
      <c r="D306" s="4">
        <v>1</v>
      </c>
      <c r="E306" s="4">
        <v>1</v>
      </c>
      <c r="F306" s="4">
        <v>2</v>
      </c>
      <c r="G306" s="4">
        <v>1</v>
      </c>
      <c r="H306" s="4">
        <v>1</v>
      </c>
      <c r="I306" s="4">
        <v>1</v>
      </c>
      <c r="J306" s="4">
        <v>1</v>
      </c>
      <c r="K306" s="4">
        <v>1</v>
      </c>
      <c r="L306" s="4">
        <v>2</v>
      </c>
      <c r="M306" s="4">
        <v>1</v>
      </c>
      <c r="N306" s="4">
        <v>2</v>
      </c>
      <c r="O306" s="4">
        <v>1</v>
      </c>
      <c r="P306" s="4">
        <v>2</v>
      </c>
      <c r="Q306" s="4">
        <v>1</v>
      </c>
      <c r="R306" s="4">
        <v>1</v>
      </c>
      <c r="S306" s="4">
        <v>2</v>
      </c>
      <c r="T306" s="4">
        <v>1</v>
      </c>
      <c r="U306" s="4">
        <v>2</v>
      </c>
      <c r="V306" s="4">
        <v>2</v>
      </c>
      <c r="W306" s="4">
        <v>1</v>
      </c>
      <c r="X306" s="4">
        <v>1</v>
      </c>
      <c r="Y306" s="4">
        <v>1</v>
      </c>
      <c r="Z306" s="4">
        <v>32</v>
      </c>
    </row>
    <row r="307" spans="1:27">
      <c r="A307" s="4" t="s">
        <v>332</v>
      </c>
      <c r="B307" s="4">
        <v>3</v>
      </c>
      <c r="C307" s="4">
        <v>1</v>
      </c>
      <c r="D307" s="4">
        <v>2</v>
      </c>
      <c r="E307" s="4">
        <v>2</v>
      </c>
      <c r="F307" s="4">
        <v>2</v>
      </c>
      <c r="G307" s="4">
        <v>2</v>
      </c>
      <c r="H307" s="4">
        <v>2</v>
      </c>
      <c r="I307" s="4">
        <v>1</v>
      </c>
      <c r="J307" s="4">
        <v>2</v>
      </c>
      <c r="K307" s="4">
        <v>2</v>
      </c>
      <c r="L307" s="4">
        <v>1</v>
      </c>
      <c r="M307" s="4">
        <v>1</v>
      </c>
      <c r="N307" s="4">
        <v>1</v>
      </c>
      <c r="O307" s="4">
        <v>2</v>
      </c>
      <c r="P307" s="4">
        <v>2</v>
      </c>
      <c r="Q307" s="4">
        <v>2</v>
      </c>
      <c r="R307" s="4">
        <v>2</v>
      </c>
      <c r="S307" s="4">
        <v>2</v>
      </c>
      <c r="T307" s="4">
        <v>2</v>
      </c>
      <c r="U307" s="4">
        <v>1</v>
      </c>
      <c r="V307" s="4">
        <v>1</v>
      </c>
      <c r="W307" s="4">
        <v>1</v>
      </c>
      <c r="X307" s="4">
        <v>2</v>
      </c>
      <c r="Y307" s="4">
        <v>2</v>
      </c>
      <c r="Z307" s="4">
        <v>41</v>
      </c>
    </row>
    <row r="308" spans="1:27">
      <c r="A308" s="4" t="s">
        <v>333</v>
      </c>
      <c r="B308" s="4">
        <v>2</v>
      </c>
      <c r="C308" s="4">
        <v>1</v>
      </c>
      <c r="D308" s="4">
        <v>2</v>
      </c>
      <c r="E308" s="4">
        <v>1</v>
      </c>
      <c r="F308" s="4">
        <v>1</v>
      </c>
      <c r="G308" s="4">
        <v>2</v>
      </c>
      <c r="H308" s="4">
        <v>2</v>
      </c>
      <c r="I308" s="4">
        <v>2</v>
      </c>
      <c r="J308" s="4">
        <v>2</v>
      </c>
      <c r="K308" s="4">
        <v>2</v>
      </c>
      <c r="L308" s="4">
        <v>2</v>
      </c>
      <c r="M308" s="4">
        <v>2</v>
      </c>
      <c r="N308" s="4">
        <v>2</v>
      </c>
      <c r="O308" s="4">
        <v>2</v>
      </c>
      <c r="P308" s="4">
        <v>3</v>
      </c>
      <c r="Q308" s="4">
        <v>2</v>
      </c>
      <c r="R308" s="4">
        <v>2</v>
      </c>
      <c r="S308" s="4">
        <v>2</v>
      </c>
      <c r="T308" s="4">
        <v>2</v>
      </c>
      <c r="U308" s="4">
        <v>2</v>
      </c>
      <c r="V308" s="4">
        <v>2</v>
      </c>
      <c r="W308" s="4">
        <v>1</v>
      </c>
      <c r="X308" s="4">
        <v>1</v>
      </c>
      <c r="Y308" s="4">
        <v>2</v>
      </c>
      <c r="Z308" s="4">
        <v>44</v>
      </c>
    </row>
    <row r="309" spans="1:27">
      <c r="A309" s="4" t="s">
        <v>334</v>
      </c>
      <c r="B309" s="4">
        <v>3</v>
      </c>
      <c r="C309" s="4">
        <v>1</v>
      </c>
      <c r="D309" s="4">
        <v>2</v>
      </c>
      <c r="E309" s="4">
        <v>2</v>
      </c>
      <c r="F309" s="4">
        <v>3</v>
      </c>
      <c r="G309" s="4">
        <v>1</v>
      </c>
      <c r="H309" s="4">
        <v>1</v>
      </c>
      <c r="I309" s="4">
        <v>1</v>
      </c>
      <c r="J309" s="4">
        <v>1</v>
      </c>
      <c r="K309" s="4">
        <v>2</v>
      </c>
      <c r="L309" s="4">
        <v>1</v>
      </c>
      <c r="M309" s="4">
        <v>1</v>
      </c>
      <c r="N309" s="4">
        <v>2</v>
      </c>
      <c r="O309" s="4">
        <v>1</v>
      </c>
      <c r="P309" s="4">
        <v>2</v>
      </c>
      <c r="Q309" s="4">
        <v>1</v>
      </c>
      <c r="R309" s="4">
        <v>2</v>
      </c>
      <c r="S309" s="4">
        <v>1</v>
      </c>
      <c r="T309" s="4">
        <v>2</v>
      </c>
      <c r="U309" s="4">
        <v>1</v>
      </c>
      <c r="V309" s="4">
        <v>2</v>
      </c>
      <c r="W309" s="4">
        <v>2</v>
      </c>
      <c r="X309" s="4">
        <v>1</v>
      </c>
      <c r="Y309" s="4">
        <v>2</v>
      </c>
      <c r="Z309" s="4">
        <v>38</v>
      </c>
    </row>
    <row r="310" spans="1:27">
      <c r="A310" s="4" t="s">
        <v>335</v>
      </c>
      <c r="B310" s="4">
        <v>2</v>
      </c>
      <c r="C310" s="4">
        <v>3</v>
      </c>
      <c r="D310" s="4">
        <v>2</v>
      </c>
      <c r="E310" s="4">
        <v>2</v>
      </c>
      <c r="F310" s="4">
        <v>3</v>
      </c>
      <c r="G310" s="4">
        <v>2</v>
      </c>
      <c r="H310" s="4">
        <v>2</v>
      </c>
      <c r="I310" s="4">
        <v>2</v>
      </c>
      <c r="J310" s="4">
        <v>2</v>
      </c>
      <c r="K310" s="4">
        <v>1</v>
      </c>
      <c r="L310" s="4">
        <v>1</v>
      </c>
      <c r="M310" s="4">
        <v>2</v>
      </c>
      <c r="N310" s="4">
        <v>2</v>
      </c>
      <c r="O310" s="4">
        <v>2</v>
      </c>
      <c r="P310" s="4">
        <v>1</v>
      </c>
      <c r="Q310" s="4">
        <v>2</v>
      </c>
      <c r="R310" s="4">
        <v>1</v>
      </c>
      <c r="S310" s="4">
        <v>3</v>
      </c>
      <c r="T310" s="4">
        <v>2</v>
      </c>
      <c r="U310" s="4">
        <v>2</v>
      </c>
      <c r="V310" s="4">
        <v>1</v>
      </c>
      <c r="W310" s="4">
        <v>3</v>
      </c>
      <c r="X310" s="4">
        <v>2</v>
      </c>
      <c r="Y310" s="4">
        <v>2</v>
      </c>
      <c r="Z310" s="4">
        <v>47</v>
      </c>
    </row>
    <row r="311" spans="1:27">
      <c r="A311" s="4" t="s">
        <v>336</v>
      </c>
      <c r="B311" s="4">
        <v>2</v>
      </c>
      <c r="C311" s="4">
        <v>2</v>
      </c>
      <c r="D311" s="4">
        <v>2</v>
      </c>
      <c r="E311" s="4">
        <v>2</v>
      </c>
      <c r="F311" s="4">
        <v>3</v>
      </c>
      <c r="G311" s="4">
        <v>2</v>
      </c>
      <c r="H311" s="4">
        <v>2</v>
      </c>
      <c r="I311" s="4">
        <v>2</v>
      </c>
      <c r="J311" s="4">
        <v>2</v>
      </c>
      <c r="K311" s="4">
        <v>1</v>
      </c>
      <c r="L311" s="4">
        <v>2</v>
      </c>
      <c r="M311" s="4">
        <v>1</v>
      </c>
      <c r="N311" s="4">
        <v>1</v>
      </c>
      <c r="O311" s="4">
        <v>2</v>
      </c>
      <c r="P311" s="4">
        <v>2</v>
      </c>
      <c r="Q311" s="4">
        <v>1</v>
      </c>
      <c r="R311" s="4">
        <v>1</v>
      </c>
      <c r="S311" s="4">
        <v>1</v>
      </c>
      <c r="T311" s="4">
        <v>1</v>
      </c>
      <c r="U311" s="4">
        <v>1</v>
      </c>
      <c r="V311" s="4">
        <v>1</v>
      </c>
      <c r="W311" s="4">
        <v>3</v>
      </c>
      <c r="X311" s="4">
        <v>2</v>
      </c>
      <c r="Y311" s="4">
        <v>1</v>
      </c>
      <c r="Z311" s="4">
        <v>40</v>
      </c>
    </row>
    <row r="312" spans="1:27">
      <c r="A312" s="4" t="s">
        <v>337</v>
      </c>
      <c r="B312" s="4">
        <v>3</v>
      </c>
      <c r="C312" s="4">
        <v>1</v>
      </c>
      <c r="D312" s="4">
        <v>2</v>
      </c>
      <c r="E312" s="4">
        <v>1</v>
      </c>
      <c r="F312" s="4">
        <v>3</v>
      </c>
      <c r="G312" s="4">
        <v>2</v>
      </c>
      <c r="H312" s="4">
        <v>1</v>
      </c>
      <c r="I312" s="4">
        <v>2</v>
      </c>
      <c r="J312" s="4">
        <v>2</v>
      </c>
      <c r="K312" s="4">
        <v>1</v>
      </c>
      <c r="L312" s="4">
        <v>3</v>
      </c>
      <c r="M312" s="4">
        <v>2</v>
      </c>
      <c r="N312" s="4">
        <v>1</v>
      </c>
      <c r="O312" s="4">
        <v>1</v>
      </c>
      <c r="P312" s="4">
        <v>1</v>
      </c>
      <c r="Q312" s="4">
        <v>1</v>
      </c>
      <c r="R312" s="4">
        <v>1</v>
      </c>
      <c r="S312" s="4">
        <v>2</v>
      </c>
      <c r="T312" s="4">
        <v>2</v>
      </c>
      <c r="U312" s="4">
        <v>2</v>
      </c>
      <c r="V312" s="4">
        <v>2</v>
      </c>
      <c r="W312" s="4">
        <v>3</v>
      </c>
      <c r="X312" s="4">
        <v>2</v>
      </c>
      <c r="Y312" s="4">
        <v>2</v>
      </c>
      <c r="Z312" s="4">
        <v>43</v>
      </c>
    </row>
    <row r="313" spans="1:27">
      <c r="A313" s="4" t="s">
        <v>338</v>
      </c>
      <c r="B313" s="4">
        <v>1</v>
      </c>
      <c r="C313" s="4">
        <v>2</v>
      </c>
      <c r="D313" s="4">
        <v>1</v>
      </c>
      <c r="E313" s="4">
        <v>1</v>
      </c>
      <c r="F313" s="4">
        <v>3</v>
      </c>
      <c r="G313" s="4">
        <v>1</v>
      </c>
      <c r="H313" s="4">
        <v>2</v>
      </c>
      <c r="I313" s="4">
        <v>1</v>
      </c>
      <c r="J313" s="4">
        <v>1</v>
      </c>
      <c r="K313" s="4">
        <v>1</v>
      </c>
      <c r="L313" s="4">
        <v>2</v>
      </c>
      <c r="M313" s="4">
        <v>1</v>
      </c>
      <c r="N313" s="4">
        <v>1</v>
      </c>
      <c r="O313" s="4">
        <v>1</v>
      </c>
      <c r="P313" s="4">
        <v>3</v>
      </c>
      <c r="Q313" s="4">
        <v>1</v>
      </c>
      <c r="R313" s="4">
        <v>2</v>
      </c>
      <c r="S313" s="4">
        <v>2</v>
      </c>
      <c r="T313" s="4">
        <v>1</v>
      </c>
      <c r="U313" s="4">
        <v>2</v>
      </c>
      <c r="V313" s="4">
        <v>1</v>
      </c>
      <c r="W313" s="4">
        <v>1</v>
      </c>
      <c r="X313" s="4">
        <v>1</v>
      </c>
      <c r="Y313" s="4">
        <v>2</v>
      </c>
      <c r="Z313" s="4">
        <v>35</v>
      </c>
    </row>
    <row r="314" spans="1:27">
      <c r="A314" s="4" t="s">
        <v>339</v>
      </c>
      <c r="B314" s="4">
        <v>2</v>
      </c>
      <c r="C314" s="4">
        <v>2</v>
      </c>
      <c r="D314" s="4">
        <v>2</v>
      </c>
      <c r="E314" s="4">
        <v>1</v>
      </c>
      <c r="F314" s="4">
        <v>1</v>
      </c>
      <c r="G314" s="4">
        <v>2</v>
      </c>
      <c r="H314" s="4">
        <v>2</v>
      </c>
      <c r="I314" s="4">
        <v>1</v>
      </c>
      <c r="J314" s="4">
        <v>2</v>
      </c>
      <c r="K314" s="4">
        <v>1</v>
      </c>
      <c r="L314" s="4">
        <v>2</v>
      </c>
      <c r="M314" s="4">
        <v>1</v>
      </c>
      <c r="N314" s="4">
        <v>1</v>
      </c>
      <c r="O314" s="4">
        <v>2</v>
      </c>
      <c r="P314" s="4">
        <v>2</v>
      </c>
      <c r="Q314" s="4">
        <v>1</v>
      </c>
      <c r="R314" s="4">
        <v>2</v>
      </c>
      <c r="S314" s="4">
        <v>2</v>
      </c>
      <c r="T314" s="4">
        <v>1</v>
      </c>
      <c r="U314" s="4">
        <v>1</v>
      </c>
      <c r="V314" s="4">
        <v>2</v>
      </c>
      <c r="W314" s="4">
        <v>3</v>
      </c>
      <c r="X314" s="4">
        <v>1</v>
      </c>
      <c r="Y314" s="4">
        <v>2</v>
      </c>
      <c r="Z314" s="4">
        <v>39</v>
      </c>
    </row>
    <row r="315" spans="1:27">
      <c r="A315" s="4" t="s">
        <v>340</v>
      </c>
      <c r="B315" s="4">
        <v>1</v>
      </c>
      <c r="C315" s="4">
        <v>2</v>
      </c>
      <c r="D315" s="4">
        <v>1</v>
      </c>
      <c r="E315" s="4">
        <v>2</v>
      </c>
      <c r="F315" s="4">
        <v>2</v>
      </c>
      <c r="G315" s="4">
        <v>2</v>
      </c>
      <c r="H315" s="4">
        <v>1</v>
      </c>
      <c r="I315" s="4">
        <v>2</v>
      </c>
      <c r="J315" s="4">
        <v>2</v>
      </c>
      <c r="K315" s="4">
        <v>2</v>
      </c>
      <c r="L315" s="4">
        <v>3</v>
      </c>
      <c r="M315" s="4">
        <v>2</v>
      </c>
      <c r="N315" s="4">
        <v>2</v>
      </c>
      <c r="O315" s="4">
        <v>2</v>
      </c>
      <c r="P315" s="4">
        <v>3</v>
      </c>
      <c r="Q315" s="4">
        <v>2</v>
      </c>
      <c r="R315" s="4">
        <v>2</v>
      </c>
      <c r="S315" s="4">
        <v>1</v>
      </c>
      <c r="T315" s="4">
        <v>1</v>
      </c>
      <c r="U315" s="4">
        <v>2</v>
      </c>
      <c r="V315" s="4">
        <v>1</v>
      </c>
      <c r="W315" s="4">
        <v>2</v>
      </c>
      <c r="X315" s="4">
        <v>2</v>
      </c>
      <c r="Y315" s="4">
        <v>2</v>
      </c>
      <c r="Z315" s="4">
        <v>44</v>
      </c>
    </row>
    <row r="316" spans="1:27">
      <c r="A316" s="4" t="s">
        <v>341</v>
      </c>
      <c r="B316" s="4">
        <v>2</v>
      </c>
      <c r="C316" s="4">
        <v>2</v>
      </c>
      <c r="D316" s="4">
        <v>1</v>
      </c>
      <c r="E316" s="4">
        <v>1</v>
      </c>
      <c r="F316" s="4">
        <v>2</v>
      </c>
      <c r="G316" s="4">
        <v>1</v>
      </c>
      <c r="H316" s="4">
        <v>1</v>
      </c>
      <c r="I316" s="4">
        <v>1</v>
      </c>
      <c r="J316" s="4">
        <v>1</v>
      </c>
      <c r="K316" s="4">
        <v>1</v>
      </c>
      <c r="L316" s="4">
        <v>2</v>
      </c>
      <c r="M316" s="4">
        <v>1</v>
      </c>
      <c r="N316" s="4">
        <v>1</v>
      </c>
      <c r="O316" s="4">
        <v>1</v>
      </c>
      <c r="P316" s="4">
        <v>2</v>
      </c>
      <c r="Q316" s="4">
        <v>1</v>
      </c>
      <c r="R316" s="4">
        <v>1</v>
      </c>
      <c r="S316" s="4">
        <v>2</v>
      </c>
      <c r="T316" s="4">
        <v>1</v>
      </c>
      <c r="U316" s="4">
        <v>1</v>
      </c>
      <c r="V316" s="4">
        <v>1</v>
      </c>
      <c r="W316" s="4">
        <v>3</v>
      </c>
      <c r="X316" s="4">
        <v>1</v>
      </c>
      <c r="Y316" s="4">
        <v>1</v>
      </c>
      <c r="Z316" s="4">
        <v>32</v>
      </c>
    </row>
    <row r="317" spans="1:27">
      <c r="A317" s="4" t="s">
        <v>342</v>
      </c>
      <c r="B317" s="4">
        <v>1</v>
      </c>
      <c r="C317" s="4">
        <v>1</v>
      </c>
      <c r="D317" s="4">
        <v>2</v>
      </c>
      <c r="E317" s="4">
        <v>3</v>
      </c>
      <c r="F317" s="4">
        <v>3</v>
      </c>
      <c r="G317" s="4">
        <v>2</v>
      </c>
      <c r="H317" s="4">
        <v>2</v>
      </c>
      <c r="I317" s="4">
        <v>3</v>
      </c>
      <c r="J317" s="4">
        <v>2</v>
      </c>
      <c r="K317" s="4">
        <v>2</v>
      </c>
      <c r="L317" s="4">
        <v>2</v>
      </c>
      <c r="M317" s="4">
        <v>2</v>
      </c>
      <c r="N317" s="4">
        <v>3</v>
      </c>
      <c r="O317" s="4">
        <v>2</v>
      </c>
      <c r="P317" s="4">
        <v>3</v>
      </c>
      <c r="Q317" s="4">
        <v>2</v>
      </c>
      <c r="R317" s="4">
        <v>3</v>
      </c>
      <c r="S317" s="4">
        <v>1</v>
      </c>
      <c r="T317" s="4">
        <v>2</v>
      </c>
      <c r="U317" s="4">
        <v>2</v>
      </c>
      <c r="V317" s="4">
        <v>2</v>
      </c>
      <c r="W317" s="4">
        <v>2</v>
      </c>
      <c r="X317" s="4">
        <v>3</v>
      </c>
      <c r="Y317" s="4">
        <v>2</v>
      </c>
      <c r="Z317" s="4">
        <v>52</v>
      </c>
    </row>
    <row r="318" spans="1:27">
      <c r="A318" s="4" t="s">
        <v>343</v>
      </c>
      <c r="B318" s="4">
        <v>1</v>
      </c>
      <c r="C318" s="4">
        <v>1</v>
      </c>
      <c r="D318" s="4">
        <v>2</v>
      </c>
      <c r="E318" s="4">
        <v>2</v>
      </c>
      <c r="F318" s="4">
        <v>2</v>
      </c>
      <c r="G318" s="4">
        <v>2</v>
      </c>
      <c r="H318" s="4">
        <v>2</v>
      </c>
      <c r="I318" s="4">
        <v>2</v>
      </c>
      <c r="J318" s="4">
        <v>2</v>
      </c>
      <c r="K318" s="4">
        <v>2</v>
      </c>
      <c r="L318" s="4">
        <v>2</v>
      </c>
      <c r="M318" s="4">
        <v>2</v>
      </c>
      <c r="N318" s="4">
        <v>1</v>
      </c>
      <c r="O318" s="4">
        <v>2</v>
      </c>
      <c r="P318" s="4">
        <v>2</v>
      </c>
      <c r="Q318" s="4">
        <v>2</v>
      </c>
      <c r="R318" s="4">
        <v>2</v>
      </c>
      <c r="S318" s="4">
        <v>2</v>
      </c>
      <c r="T318" s="4">
        <v>2</v>
      </c>
      <c r="U318" s="4">
        <v>1</v>
      </c>
      <c r="V318" s="4">
        <v>2</v>
      </c>
      <c r="W318" s="4">
        <v>3</v>
      </c>
      <c r="X318" s="4">
        <v>2</v>
      </c>
      <c r="Y318" s="4">
        <v>2</v>
      </c>
      <c r="Z318" s="4">
        <v>45</v>
      </c>
    </row>
    <row r="319" spans="1:27">
      <c r="A319" s="4" t="s">
        <v>344</v>
      </c>
      <c r="B319" s="4">
        <v>1</v>
      </c>
      <c r="C319" s="4">
        <v>3</v>
      </c>
      <c r="D319" s="4">
        <v>1</v>
      </c>
      <c r="E319" s="4">
        <v>1</v>
      </c>
      <c r="F319" s="4">
        <v>2</v>
      </c>
      <c r="G319" s="4">
        <v>2</v>
      </c>
      <c r="H319" s="4">
        <v>1</v>
      </c>
      <c r="I319" s="4">
        <v>1</v>
      </c>
      <c r="J319" s="4">
        <v>1</v>
      </c>
      <c r="K319" s="4">
        <v>1</v>
      </c>
      <c r="L319" s="4">
        <v>2</v>
      </c>
      <c r="M319" s="4">
        <v>1</v>
      </c>
      <c r="N319" s="4">
        <v>1</v>
      </c>
      <c r="O319" s="4">
        <v>2</v>
      </c>
      <c r="P319" s="4">
        <v>2</v>
      </c>
      <c r="Q319" s="4">
        <v>2</v>
      </c>
      <c r="R319" s="4">
        <v>2</v>
      </c>
      <c r="S319" s="4">
        <v>2</v>
      </c>
      <c r="T319" s="4">
        <v>2</v>
      </c>
      <c r="U319" s="4">
        <v>1</v>
      </c>
      <c r="V319" s="4">
        <v>2</v>
      </c>
      <c r="W319" s="4">
        <v>3</v>
      </c>
      <c r="X319" s="4">
        <v>1</v>
      </c>
      <c r="Y319" s="4">
        <v>1</v>
      </c>
      <c r="Z319" s="4">
        <v>38</v>
      </c>
    </row>
    <row r="320" spans="1:27">
      <c r="A320" s="4" t="s">
        <v>345</v>
      </c>
      <c r="B320" s="4">
        <v>3</v>
      </c>
      <c r="C320" s="4">
        <v>2</v>
      </c>
      <c r="D320" s="4">
        <v>1</v>
      </c>
      <c r="E320" s="4">
        <v>1</v>
      </c>
      <c r="F320" s="4">
        <v>2</v>
      </c>
      <c r="G320" s="4">
        <v>1</v>
      </c>
      <c r="H320" s="4">
        <v>2</v>
      </c>
      <c r="I320" s="4">
        <v>1</v>
      </c>
      <c r="J320" s="4">
        <v>1</v>
      </c>
      <c r="K320" s="4">
        <v>2</v>
      </c>
      <c r="L320" s="4">
        <v>2</v>
      </c>
      <c r="M320" s="4">
        <v>1</v>
      </c>
      <c r="N320" s="4">
        <v>2</v>
      </c>
      <c r="O320" s="4">
        <v>1</v>
      </c>
      <c r="P320" s="4">
        <v>3</v>
      </c>
      <c r="Q320" s="4">
        <v>1</v>
      </c>
      <c r="R320" s="4">
        <v>1</v>
      </c>
      <c r="S320" s="4">
        <v>2</v>
      </c>
      <c r="T320" s="4">
        <v>2</v>
      </c>
      <c r="U320" s="4">
        <v>2</v>
      </c>
      <c r="V320" s="4">
        <v>1</v>
      </c>
      <c r="W320" s="4">
        <v>3</v>
      </c>
      <c r="X320" s="4">
        <v>1</v>
      </c>
      <c r="Y320" s="4">
        <v>1</v>
      </c>
      <c r="Z320" s="4">
        <v>39</v>
      </c>
    </row>
    <row r="321" spans="1:27">
      <c r="A321" s="4" t="s">
        <v>346</v>
      </c>
      <c r="B321" s="4">
        <v>2</v>
      </c>
      <c r="C321" s="4">
        <v>2</v>
      </c>
      <c r="D321" s="4">
        <v>1</v>
      </c>
      <c r="E321" s="4">
        <v>2</v>
      </c>
      <c r="F321" s="4">
        <v>1</v>
      </c>
      <c r="G321" s="4">
        <v>2</v>
      </c>
      <c r="H321" s="4">
        <v>2</v>
      </c>
      <c r="I321" s="4">
        <v>2</v>
      </c>
      <c r="J321" s="4">
        <v>1</v>
      </c>
      <c r="K321" s="4">
        <v>2</v>
      </c>
      <c r="L321" s="4">
        <v>3</v>
      </c>
      <c r="M321" s="4">
        <v>1</v>
      </c>
      <c r="N321" s="4">
        <v>2</v>
      </c>
      <c r="O321" s="4">
        <v>2</v>
      </c>
      <c r="P321" s="4">
        <v>2</v>
      </c>
      <c r="Q321" s="4">
        <v>1</v>
      </c>
      <c r="R321" s="4">
        <v>1</v>
      </c>
      <c r="S321" s="4">
        <v>1</v>
      </c>
      <c r="T321" s="4">
        <v>2</v>
      </c>
      <c r="U321" s="4">
        <v>2</v>
      </c>
      <c r="V321" s="4">
        <v>1</v>
      </c>
      <c r="W321" s="4">
        <v>2</v>
      </c>
      <c r="X321" s="4">
        <v>2</v>
      </c>
      <c r="Y321" s="4">
        <v>1</v>
      </c>
      <c r="Z321" s="4">
        <v>40</v>
      </c>
    </row>
    <row r="322" spans="1:27">
      <c r="A322" s="4" t="s">
        <v>347</v>
      </c>
      <c r="B322" s="4">
        <v>1</v>
      </c>
      <c r="C322" s="4">
        <v>3</v>
      </c>
      <c r="D322" s="4">
        <v>2</v>
      </c>
      <c r="E322" s="4">
        <v>1</v>
      </c>
      <c r="F322" s="4">
        <v>1</v>
      </c>
      <c r="G322" s="4">
        <v>2</v>
      </c>
      <c r="H322" s="4">
        <v>2</v>
      </c>
      <c r="I322" s="4">
        <v>2</v>
      </c>
      <c r="J322" s="4">
        <v>1</v>
      </c>
      <c r="K322" s="4">
        <v>2</v>
      </c>
      <c r="L322" s="4">
        <v>2</v>
      </c>
      <c r="M322" s="4">
        <v>2</v>
      </c>
      <c r="N322" s="4">
        <v>2</v>
      </c>
      <c r="O322" s="4">
        <v>1</v>
      </c>
      <c r="P322" s="4">
        <v>1</v>
      </c>
      <c r="Q322" s="4">
        <v>2</v>
      </c>
      <c r="R322" s="4">
        <v>2</v>
      </c>
      <c r="S322" s="4">
        <v>2</v>
      </c>
      <c r="T322" s="4">
        <v>2</v>
      </c>
      <c r="U322" s="4">
        <v>1</v>
      </c>
      <c r="V322" s="4">
        <v>2</v>
      </c>
      <c r="W322" s="4">
        <v>2</v>
      </c>
      <c r="X322" s="4">
        <v>1</v>
      </c>
      <c r="Y322" s="4">
        <v>2</v>
      </c>
      <c r="Z322" s="4">
        <v>41</v>
      </c>
    </row>
    <row r="323" spans="1:27">
      <c r="A323" s="4" t="s">
        <v>348</v>
      </c>
      <c r="B323" s="4">
        <v>1</v>
      </c>
      <c r="C323" s="4">
        <v>3</v>
      </c>
      <c r="D323" s="4">
        <v>1</v>
      </c>
      <c r="E323" s="4">
        <v>2</v>
      </c>
      <c r="F323" s="4">
        <v>2</v>
      </c>
      <c r="G323" s="4">
        <v>1</v>
      </c>
      <c r="H323" s="4">
        <v>2</v>
      </c>
      <c r="I323" s="4">
        <v>1</v>
      </c>
      <c r="J323" s="4">
        <v>2</v>
      </c>
      <c r="K323" s="4">
        <v>1</v>
      </c>
      <c r="L323" s="4">
        <v>2</v>
      </c>
      <c r="M323" s="4">
        <v>2</v>
      </c>
      <c r="N323" s="4">
        <v>2</v>
      </c>
      <c r="O323" s="4">
        <v>1</v>
      </c>
      <c r="P323" s="4">
        <v>2</v>
      </c>
      <c r="Q323" s="4">
        <v>2</v>
      </c>
      <c r="R323" s="4">
        <v>2</v>
      </c>
      <c r="S323" s="4">
        <v>1</v>
      </c>
      <c r="T323" s="4">
        <v>2</v>
      </c>
      <c r="U323" s="4">
        <v>2</v>
      </c>
      <c r="V323" s="4">
        <v>1</v>
      </c>
      <c r="W323" s="4">
        <v>2</v>
      </c>
      <c r="X323" s="4">
        <v>2</v>
      </c>
      <c r="Y323" s="4">
        <v>2</v>
      </c>
      <c r="Z323" s="4">
        <v>41</v>
      </c>
    </row>
    <row r="324" spans="1:27">
      <c r="A324" s="4" t="s">
        <v>349</v>
      </c>
      <c r="B324" s="4">
        <v>2</v>
      </c>
      <c r="C324" s="4">
        <v>2</v>
      </c>
      <c r="D324" s="4">
        <v>2</v>
      </c>
      <c r="E324" s="4">
        <v>2</v>
      </c>
      <c r="F324" s="4">
        <v>1</v>
      </c>
      <c r="G324" s="4">
        <v>2</v>
      </c>
      <c r="H324" s="4">
        <v>2</v>
      </c>
      <c r="I324" s="4">
        <v>1</v>
      </c>
      <c r="J324" s="4">
        <v>1</v>
      </c>
      <c r="K324" s="4">
        <v>2</v>
      </c>
      <c r="L324" s="4">
        <v>2</v>
      </c>
      <c r="M324" s="4">
        <v>1</v>
      </c>
      <c r="N324" s="4">
        <v>1</v>
      </c>
      <c r="O324" s="4">
        <v>2</v>
      </c>
      <c r="P324" s="4">
        <v>2</v>
      </c>
      <c r="Q324" s="4">
        <v>2</v>
      </c>
      <c r="R324" s="4">
        <v>2</v>
      </c>
      <c r="S324" s="4">
        <v>2</v>
      </c>
      <c r="T324" s="4">
        <v>2</v>
      </c>
      <c r="U324" s="4">
        <v>2</v>
      </c>
      <c r="V324" s="4">
        <v>2</v>
      </c>
      <c r="W324" s="4">
        <v>2</v>
      </c>
      <c r="X324" s="4">
        <v>1</v>
      </c>
      <c r="Y324" s="4">
        <v>2</v>
      </c>
      <c r="Z324" s="4">
        <v>42</v>
      </c>
    </row>
    <row r="325" spans="1:27">
      <c r="A325" s="4" t="s">
        <v>350</v>
      </c>
      <c r="B325" s="4">
        <v>2</v>
      </c>
      <c r="C325" s="4">
        <v>1</v>
      </c>
      <c r="D325" s="4">
        <v>2</v>
      </c>
      <c r="E325" s="4">
        <v>2</v>
      </c>
      <c r="F325" s="4">
        <v>2</v>
      </c>
      <c r="G325" s="4">
        <v>2</v>
      </c>
      <c r="H325" s="4">
        <v>3</v>
      </c>
      <c r="I325" s="4">
        <v>1</v>
      </c>
      <c r="J325" s="4">
        <v>2</v>
      </c>
      <c r="K325" s="4">
        <v>2</v>
      </c>
      <c r="L325" s="4">
        <v>2</v>
      </c>
      <c r="M325" s="4">
        <v>2</v>
      </c>
      <c r="N325" s="4">
        <v>3</v>
      </c>
      <c r="O325" s="4">
        <v>2</v>
      </c>
      <c r="P325" s="4">
        <v>2</v>
      </c>
      <c r="Q325" s="4">
        <v>2</v>
      </c>
      <c r="R325" s="4">
        <v>3</v>
      </c>
      <c r="S325" s="4">
        <v>1</v>
      </c>
      <c r="T325" s="4">
        <v>2</v>
      </c>
      <c r="U325" s="4">
        <v>3</v>
      </c>
      <c r="V325" s="4">
        <v>2</v>
      </c>
      <c r="W325" s="4">
        <v>2</v>
      </c>
      <c r="X325" s="4">
        <v>2</v>
      </c>
      <c r="Y325" s="4">
        <v>3</v>
      </c>
      <c r="Z325" s="4">
        <v>50</v>
      </c>
    </row>
    <row r="326" spans="1:27">
      <c r="A326" s="4" t="s">
        <v>351</v>
      </c>
      <c r="B326" s="4">
        <v>1</v>
      </c>
      <c r="C326" s="4">
        <v>2</v>
      </c>
      <c r="D326" s="4">
        <v>2</v>
      </c>
      <c r="E326" s="4">
        <v>2</v>
      </c>
      <c r="F326" s="4">
        <v>2</v>
      </c>
      <c r="G326" s="4">
        <v>2</v>
      </c>
      <c r="H326" s="4">
        <v>2</v>
      </c>
      <c r="I326" s="4">
        <v>2</v>
      </c>
      <c r="J326" s="4">
        <v>2</v>
      </c>
      <c r="K326" s="4">
        <v>2</v>
      </c>
      <c r="L326" s="4">
        <v>1</v>
      </c>
      <c r="M326" s="4">
        <v>2</v>
      </c>
      <c r="N326" s="4">
        <v>2</v>
      </c>
      <c r="O326" s="4">
        <v>2</v>
      </c>
      <c r="P326" s="4">
        <v>2</v>
      </c>
      <c r="Q326" s="4">
        <v>1</v>
      </c>
      <c r="R326" s="4">
        <v>2</v>
      </c>
      <c r="S326" s="4">
        <v>2</v>
      </c>
      <c r="T326" s="4">
        <v>2</v>
      </c>
      <c r="U326" s="4">
        <v>2</v>
      </c>
      <c r="V326" s="4">
        <v>2</v>
      </c>
      <c r="W326" s="4">
        <v>2</v>
      </c>
      <c r="X326" s="4">
        <v>2</v>
      </c>
      <c r="Y326" s="4">
        <v>2</v>
      </c>
      <c r="Z326" s="4">
        <v>45</v>
      </c>
    </row>
    <row r="327" spans="1:27">
      <c r="A327" s="4" t="s">
        <v>352</v>
      </c>
      <c r="B327" s="4">
        <v>1</v>
      </c>
      <c r="C327" s="4">
        <v>2</v>
      </c>
      <c r="D327" s="4">
        <v>2</v>
      </c>
      <c r="E327" s="4">
        <v>2</v>
      </c>
      <c r="F327" s="4">
        <v>2</v>
      </c>
      <c r="G327" s="4">
        <v>2</v>
      </c>
      <c r="H327" s="4">
        <v>2</v>
      </c>
      <c r="I327" s="4">
        <v>2</v>
      </c>
      <c r="J327" s="4">
        <v>2</v>
      </c>
      <c r="K327" s="4">
        <v>2</v>
      </c>
      <c r="L327" s="4">
        <v>3</v>
      </c>
      <c r="M327" s="4">
        <v>2</v>
      </c>
      <c r="N327" s="4">
        <v>2</v>
      </c>
      <c r="O327" s="4">
        <v>1</v>
      </c>
      <c r="P327" s="4">
        <v>2</v>
      </c>
      <c r="Q327" s="4">
        <v>2</v>
      </c>
      <c r="R327" s="4">
        <v>2</v>
      </c>
      <c r="S327" s="4">
        <v>2</v>
      </c>
      <c r="T327" s="4">
        <v>3</v>
      </c>
      <c r="U327" s="4">
        <v>3</v>
      </c>
      <c r="V327" s="4">
        <v>2</v>
      </c>
      <c r="W327" s="4">
        <v>2</v>
      </c>
      <c r="X327" s="4">
        <v>2</v>
      </c>
      <c r="Y327" s="4">
        <v>2</v>
      </c>
      <c r="Z327" s="4">
        <v>49</v>
      </c>
    </row>
    <row r="328" spans="1:27">
      <c r="A328" s="4" t="s">
        <v>353</v>
      </c>
      <c r="B328" s="4">
        <v>3</v>
      </c>
      <c r="C328" s="4">
        <v>2</v>
      </c>
      <c r="D328" s="4">
        <v>1</v>
      </c>
      <c r="E328" s="4">
        <v>2</v>
      </c>
      <c r="F328" s="4">
        <v>2</v>
      </c>
      <c r="G328" s="4">
        <v>2</v>
      </c>
      <c r="H328" s="4">
        <v>2</v>
      </c>
      <c r="I328" s="4">
        <v>1</v>
      </c>
      <c r="J328" s="4">
        <v>1</v>
      </c>
      <c r="K328" s="4">
        <v>2</v>
      </c>
      <c r="L328" s="4">
        <v>2</v>
      </c>
      <c r="M328" s="4">
        <v>2</v>
      </c>
      <c r="N328" s="4">
        <v>2</v>
      </c>
      <c r="O328" s="4">
        <v>1</v>
      </c>
      <c r="P328" s="4">
        <v>1</v>
      </c>
      <c r="Q328" s="4">
        <v>1</v>
      </c>
      <c r="R328" s="4">
        <v>1</v>
      </c>
      <c r="S328" s="4">
        <v>3</v>
      </c>
      <c r="T328" s="4">
        <v>2</v>
      </c>
      <c r="U328" s="4">
        <v>2</v>
      </c>
      <c r="V328" s="4">
        <v>2</v>
      </c>
      <c r="W328" s="4">
        <v>2</v>
      </c>
      <c r="X328" s="4">
        <v>2</v>
      </c>
      <c r="Y328" s="4">
        <v>1</v>
      </c>
      <c r="Z328" s="4">
        <v>42</v>
      </c>
    </row>
    <row r="329" spans="1:27">
      <c r="A329" s="4" t="s">
        <v>354</v>
      </c>
      <c r="B329" s="4">
        <v>2</v>
      </c>
      <c r="C329" s="4">
        <v>1</v>
      </c>
      <c r="D329" s="4">
        <v>2</v>
      </c>
      <c r="E329" s="4">
        <v>3</v>
      </c>
      <c r="F329" s="4">
        <v>2</v>
      </c>
      <c r="G329" s="4">
        <v>1</v>
      </c>
      <c r="H329" s="4">
        <v>2</v>
      </c>
      <c r="I329" s="4">
        <v>3</v>
      </c>
      <c r="J329" s="4">
        <v>3</v>
      </c>
      <c r="K329" s="4">
        <v>3</v>
      </c>
      <c r="L329" s="4">
        <v>1</v>
      </c>
      <c r="M329" s="4">
        <v>2</v>
      </c>
      <c r="N329" s="4">
        <v>3</v>
      </c>
      <c r="O329" s="4">
        <v>2</v>
      </c>
      <c r="P329" s="4">
        <v>1</v>
      </c>
      <c r="Q329" s="4">
        <v>3</v>
      </c>
      <c r="R329" s="4">
        <v>2</v>
      </c>
      <c r="S329" s="4">
        <v>2</v>
      </c>
      <c r="T329" s="4">
        <v>3</v>
      </c>
      <c r="U329" s="4">
        <v>3</v>
      </c>
      <c r="V329" s="4">
        <v>1</v>
      </c>
      <c r="W329" s="4">
        <v>2</v>
      </c>
      <c r="X329" s="4">
        <v>2</v>
      </c>
      <c r="Y329" s="4">
        <v>2</v>
      </c>
      <c r="Z329" s="4">
        <v>51</v>
      </c>
    </row>
    <row r="330" spans="1:27">
      <c r="A330" s="4" t="s">
        <v>355</v>
      </c>
      <c r="B330" s="4">
        <v>2</v>
      </c>
      <c r="C330" s="4">
        <v>1</v>
      </c>
      <c r="D330" s="4">
        <v>2</v>
      </c>
      <c r="E330" s="4">
        <v>2</v>
      </c>
      <c r="F330" s="4">
        <v>2</v>
      </c>
      <c r="G330" s="4">
        <v>2</v>
      </c>
      <c r="H330" s="4">
        <v>2</v>
      </c>
      <c r="I330" s="4">
        <v>3</v>
      </c>
      <c r="J330" s="4">
        <v>2</v>
      </c>
      <c r="K330" s="4">
        <v>2</v>
      </c>
      <c r="L330" s="4">
        <v>2</v>
      </c>
      <c r="M330" s="4">
        <v>2</v>
      </c>
      <c r="N330" s="4">
        <v>1</v>
      </c>
      <c r="O330" s="4">
        <v>3</v>
      </c>
      <c r="P330" s="4">
        <v>2</v>
      </c>
      <c r="Q330" s="4">
        <v>2</v>
      </c>
      <c r="R330" s="4">
        <v>2</v>
      </c>
      <c r="S330" s="4">
        <v>1</v>
      </c>
      <c r="T330" s="4">
        <v>2</v>
      </c>
      <c r="U330" s="4">
        <v>2</v>
      </c>
      <c r="V330" s="4">
        <v>2</v>
      </c>
      <c r="W330" s="4">
        <v>2</v>
      </c>
      <c r="X330" s="4">
        <v>2</v>
      </c>
      <c r="Y330" s="4">
        <v>3</v>
      </c>
      <c r="Z330" s="4">
        <v>48</v>
      </c>
    </row>
    <row r="331" spans="1:27">
      <c r="A331" s="4" t="s">
        <v>356</v>
      </c>
      <c r="B331" s="4">
        <v>2</v>
      </c>
      <c r="C331" s="4">
        <v>2</v>
      </c>
      <c r="D331" s="4">
        <v>1</v>
      </c>
      <c r="E331" s="4">
        <v>1</v>
      </c>
      <c r="F331" s="4">
        <v>1</v>
      </c>
      <c r="G331" s="4">
        <v>2</v>
      </c>
      <c r="H331" s="4">
        <v>1</v>
      </c>
      <c r="I331" s="4">
        <v>1</v>
      </c>
      <c r="J331" s="4">
        <v>2</v>
      </c>
      <c r="K331" s="4">
        <v>2</v>
      </c>
      <c r="L331" s="4">
        <v>2</v>
      </c>
      <c r="M331" s="4">
        <v>1</v>
      </c>
      <c r="N331" s="4">
        <v>2</v>
      </c>
      <c r="O331" s="4">
        <v>2</v>
      </c>
      <c r="P331" s="4">
        <v>3</v>
      </c>
      <c r="Q331" s="4">
        <v>2</v>
      </c>
      <c r="R331" s="4">
        <v>2</v>
      </c>
      <c r="S331" s="4">
        <v>2</v>
      </c>
      <c r="T331" s="4">
        <v>1</v>
      </c>
      <c r="U331" s="4">
        <v>1</v>
      </c>
      <c r="V331" s="4">
        <v>2</v>
      </c>
      <c r="W331" s="4">
        <v>3</v>
      </c>
      <c r="X331" s="4">
        <v>1</v>
      </c>
      <c r="Y331" s="4">
        <v>2</v>
      </c>
      <c r="Z331" s="4">
        <v>41</v>
      </c>
    </row>
    <row r="332" spans="1:27">
      <c r="A332" s="4" t="s">
        <v>357</v>
      </c>
      <c r="B332" s="4">
        <v>3</v>
      </c>
      <c r="C332" s="4">
        <v>2</v>
      </c>
      <c r="D332" s="4">
        <v>1</v>
      </c>
      <c r="E332" s="4">
        <v>1</v>
      </c>
      <c r="F332" s="4">
        <v>2</v>
      </c>
      <c r="G332" s="4">
        <v>1</v>
      </c>
      <c r="H332" s="4">
        <v>2</v>
      </c>
      <c r="I332" s="4">
        <v>1</v>
      </c>
      <c r="J332" s="4">
        <v>1</v>
      </c>
      <c r="K332" s="4">
        <v>1</v>
      </c>
      <c r="L332" s="4">
        <v>3</v>
      </c>
      <c r="M332" s="4">
        <v>1</v>
      </c>
      <c r="N332" s="4">
        <v>1</v>
      </c>
      <c r="O332" s="4">
        <v>1</v>
      </c>
      <c r="P332" s="4">
        <v>3</v>
      </c>
      <c r="Q332" s="4">
        <v>1</v>
      </c>
      <c r="R332" s="4">
        <v>1</v>
      </c>
      <c r="S332" s="4">
        <v>1</v>
      </c>
      <c r="T332" s="4">
        <v>2</v>
      </c>
      <c r="U332" s="4">
        <v>1</v>
      </c>
      <c r="V332" s="4">
        <v>2</v>
      </c>
      <c r="W332" s="4">
        <v>2</v>
      </c>
      <c r="X332" s="4">
        <v>1</v>
      </c>
      <c r="Y332" s="4">
        <v>1</v>
      </c>
      <c r="Z332" s="4">
        <v>36</v>
      </c>
    </row>
    <row r="333" spans="1:27">
      <c r="A333" s="4" t="s">
        <v>358</v>
      </c>
      <c r="B333" s="4">
        <v>3</v>
      </c>
      <c r="C333" s="4">
        <v>3</v>
      </c>
      <c r="D333" s="4">
        <v>2</v>
      </c>
      <c r="E333" s="4">
        <v>2</v>
      </c>
      <c r="F333" s="4">
        <v>2</v>
      </c>
      <c r="G333" s="4">
        <v>2</v>
      </c>
      <c r="H333" s="4">
        <v>2</v>
      </c>
      <c r="I333" s="4">
        <v>2</v>
      </c>
      <c r="J333" s="4">
        <v>2</v>
      </c>
      <c r="K333" s="4">
        <v>2</v>
      </c>
      <c r="L333" s="4">
        <v>1</v>
      </c>
      <c r="M333" s="4">
        <v>2</v>
      </c>
      <c r="N333" s="4">
        <v>3</v>
      </c>
      <c r="O333" s="4">
        <v>2</v>
      </c>
      <c r="P333" s="4">
        <v>1</v>
      </c>
      <c r="Q333" s="4">
        <v>2</v>
      </c>
      <c r="R333" s="4">
        <v>2</v>
      </c>
      <c r="S333" s="4">
        <v>1</v>
      </c>
      <c r="T333" s="4">
        <v>2</v>
      </c>
      <c r="U333" s="4">
        <v>2</v>
      </c>
      <c r="V333" s="4">
        <v>2</v>
      </c>
      <c r="W333" s="4">
        <v>2</v>
      </c>
      <c r="X333" s="4">
        <v>2</v>
      </c>
      <c r="Y333" s="4">
        <v>2</v>
      </c>
      <c r="Z333" s="4">
        <v>48</v>
      </c>
    </row>
    <row r="334" spans="1:27">
      <c r="A334" s="4" t="s">
        <v>359</v>
      </c>
      <c r="B334" s="4">
        <v>1</v>
      </c>
      <c r="C334" s="4">
        <v>2</v>
      </c>
      <c r="D334" s="4">
        <v>1</v>
      </c>
      <c r="E334" s="4">
        <v>1</v>
      </c>
      <c r="F334" s="4">
        <v>3</v>
      </c>
      <c r="G334" s="4">
        <v>1</v>
      </c>
      <c r="H334" s="4">
        <v>1</v>
      </c>
      <c r="I334" s="4">
        <v>1</v>
      </c>
      <c r="J334" s="4">
        <v>1</v>
      </c>
      <c r="K334" s="4">
        <v>1</v>
      </c>
      <c r="L334" s="4">
        <v>1</v>
      </c>
      <c r="M334" s="4">
        <v>1</v>
      </c>
      <c r="N334" s="4">
        <v>1</v>
      </c>
      <c r="O334" s="4">
        <v>1</v>
      </c>
      <c r="P334" s="4">
        <v>2</v>
      </c>
      <c r="Q334" s="4">
        <v>1</v>
      </c>
      <c r="R334" s="4">
        <v>1</v>
      </c>
      <c r="S334" s="4">
        <v>2</v>
      </c>
      <c r="T334" s="4">
        <v>1</v>
      </c>
      <c r="U334" s="4">
        <v>1</v>
      </c>
      <c r="V334" s="4">
        <v>1</v>
      </c>
      <c r="W334" s="4">
        <v>2</v>
      </c>
      <c r="X334" s="4">
        <v>1</v>
      </c>
      <c r="Y334" s="4">
        <v>1</v>
      </c>
      <c r="Z334" s="4">
        <v>30</v>
      </c>
    </row>
    <row r="335" spans="1:27">
      <c r="A335" s="4" t="s">
        <v>360</v>
      </c>
      <c r="B335" s="4">
        <v>2</v>
      </c>
      <c r="C335" s="4">
        <v>2</v>
      </c>
      <c r="D335" s="4">
        <v>2</v>
      </c>
      <c r="E335" s="4">
        <v>1</v>
      </c>
      <c r="F335" s="4">
        <v>2</v>
      </c>
      <c r="G335" s="4">
        <v>2</v>
      </c>
      <c r="H335" s="4">
        <v>2</v>
      </c>
      <c r="I335" s="4">
        <v>2</v>
      </c>
      <c r="J335" s="4">
        <v>2</v>
      </c>
      <c r="K335" s="4">
        <v>2</v>
      </c>
      <c r="L335" s="4">
        <v>2</v>
      </c>
      <c r="M335" s="4">
        <v>2</v>
      </c>
      <c r="N335" s="4">
        <v>3</v>
      </c>
      <c r="O335" s="4">
        <v>2</v>
      </c>
      <c r="P335" s="4">
        <v>2</v>
      </c>
      <c r="Q335" s="4">
        <v>2</v>
      </c>
      <c r="R335" s="4">
        <v>2</v>
      </c>
      <c r="S335" s="4">
        <v>1</v>
      </c>
      <c r="T335" s="4">
        <v>2</v>
      </c>
      <c r="U335" s="4">
        <v>1</v>
      </c>
      <c r="V335" s="4">
        <v>2</v>
      </c>
      <c r="W335" s="4">
        <v>1</v>
      </c>
      <c r="X335" s="4">
        <v>2</v>
      </c>
      <c r="Y335" s="4">
        <v>2</v>
      </c>
      <c r="Z335" s="4">
        <v>45</v>
      </c>
    </row>
    <row r="336" spans="1:27">
      <c r="A336" s="4" t="s">
        <v>361</v>
      </c>
      <c r="B336" s="4">
        <v>2</v>
      </c>
      <c r="C336" s="4">
        <v>1</v>
      </c>
      <c r="D336" s="4">
        <v>2</v>
      </c>
      <c r="E336" s="4">
        <v>1</v>
      </c>
      <c r="F336" s="4">
        <v>2</v>
      </c>
      <c r="G336" s="4">
        <v>1</v>
      </c>
      <c r="H336" s="4">
        <v>1</v>
      </c>
      <c r="I336" s="4">
        <v>1</v>
      </c>
      <c r="J336" s="4">
        <v>2</v>
      </c>
      <c r="K336" s="4">
        <v>1</v>
      </c>
      <c r="L336" s="4">
        <v>2</v>
      </c>
      <c r="M336" s="4">
        <v>1</v>
      </c>
      <c r="N336" s="4">
        <v>1</v>
      </c>
      <c r="O336" s="4">
        <v>1</v>
      </c>
      <c r="P336" s="4">
        <v>3</v>
      </c>
      <c r="Q336" s="4">
        <v>1</v>
      </c>
      <c r="R336" s="4">
        <v>1</v>
      </c>
      <c r="S336" s="4">
        <v>2</v>
      </c>
      <c r="T336" s="4">
        <v>1</v>
      </c>
      <c r="U336" s="4">
        <v>1</v>
      </c>
      <c r="V336" s="4">
        <v>2</v>
      </c>
      <c r="W336" s="4">
        <v>3</v>
      </c>
      <c r="X336" s="4">
        <v>1</v>
      </c>
      <c r="Y336" s="4">
        <v>2</v>
      </c>
      <c r="Z336" s="4">
        <v>36</v>
      </c>
    </row>
    <row r="337" spans="1:27">
      <c r="A337" s="4" t="s">
        <v>362</v>
      </c>
      <c r="B337" s="4">
        <v>3</v>
      </c>
      <c r="C337" s="4">
        <v>2</v>
      </c>
      <c r="D337" s="4">
        <v>1</v>
      </c>
      <c r="E337" s="4">
        <v>1</v>
      </c>
      <c r="F337" s="4">
        <v>2</v>
      </c>
      <c r="G337" s="4">
        <v>1</v>
      </c>
      <c r="H337" s="4">
        <v>1</v>
      </c>
      <c r="I337" s="4">
        <v>1</v>
      </c>
      <c r="J337" s="4">
        <v>1</v>
      </c>
      <c r="K337" s="4">
        <v>1</v>
      </c>
      <c r="L337" s="4">
        <v>3</v>
      </c>
      <c r="M337" s="4">
        <v>1</v>
      </c>
      <c r="N337" s="4">
        <v>1</v>
      </c>
      <c r="O337" s="4">
        <v>1</v>
      </c>
      <c r="P337" s="4">
        <v>1</v>
      </c>
      <c r="Q337" s="4">
        <v>1</v>
      </c>
      <c r="R337" s="4">
        <v>1</v>
      </c>
      <c r="S337" s="4">
        <v>2</v>
      </c>
      <c r="T337" s="4">
        <v>1</v>
      </c>
      <c r="U337" s="4">
        <v>1</v>
      </c>
      <c r="V337" s="4">
        <v>1</v>
      </c>
      <c r="W337" s="4">
        <v>2</v>
      </c>
      <c r="X337" s="4">
        <v>1</v>
      </c>
      <c r="Y337" s="4">
        <v>1</v>
      </c>
      <c r="Z337" s="4">
        <v>32</v>
      </c>
    </row>
    <row r="338" spans="1:27">
      <c r="A338" s="4" t="s">
        <v>363</v>
      </c>
      <c r="B338" s="4">
        <v>3</v>
      </c>
      <c r="C338" s="4">
        <v>3</v>
      </c>
      <c r="D338" s="4">
        <v>1</v>
      </c>
      <c r="E338" s="4">
        <v>2</v>
      </c>
      <c r="F338" s="4">
        <v>2</v>
      </c>
      <c r="G338" s="4">
        <v>2</v>
      </c>
      <c r="H338" s="4">
        <v>1</v>
      </c>
      <c r="I338" s="4">
        <v>1</v>
      </c>
      <c r="J338" s="4">
        <v>1</v>
      </c>
      <c r="K338" s="4">
        <v>2</v>
      </c>
      <c r="L338" s="4">
        <v>2</v>
      </c>
      <c r="M338" s="4">
        <v>2</v>
      </c>
      <c r="N338" s="4">
        <v>2</v>
      </c>
      <c r="O338" s="4">
        <v>2</v>
      </c>
      <c r="P338" s="4">
        <v>2</v>
      </c>
      <c r="Q338" s="4">
        <v>2</v>
      </c>
      <c r="R338" s="4">
        <v>1</v>
      </c>
      <c r="S338" s="4">
        <v>2</v>
      </c>
      <c r="T338" s="4">
        <v>2</v>
      </c>
      <c r="U338" s="4">
        <v>2</v>
      </c>
      <c r="V338" s="4">
        <v>1</v>
      </c>
      <c r="W338" s="4">
        <v>3</v>
      </c>
      <c r="X338" s="4">
        <v>2</v>
      </c>
      <c r="Y338" s="4">
        <v>2</v>
      </c>
      <c r="Z338" s="4">
        <v>45</v>
      </c>
    </row>
    <row r="339" spans="1:27">
      <c r="A339" s="4" t="s">
        <v>364</v>
      </c>
      <c r="B339" s="4">
        <v>1</v>
      </c>
      <c r="C339" s="4">
        <v>2</v>
      </c>
      <c r="D339" s="4">
        <v>1</v>
      </c>
      <c r="E339" s="4">
        <v>2</v>
      </c>
      <c r="F339" s="4">
        <v>2</v>
      </c>
      <c r="G339" s="4">
        <v>2</v>
      </c>
      <c r="H339" s="4">
        <v>2</v>
      </c>
      <c r="I339" s="4">
        <v>2</v>
      </c>
      <c r="J339" s="4">
        <v>1</v>
      </c>
      <c r="K339" s="4">
        <v>2</v>
      </c>
      <c r="L339" s="4">
        <v>1</v>
      </c>
      <c r="M339" s="4">
        <v>2</v>
      </c>
      <c r="N339" s="4">
        <v>1</v>
      </c>
      <c r="O339" s="4">
        <v>1</v>
      </c>
      <c r="P339" s="4">
        <v>1</v>
      </c>
      <c r="Q339" s="4">
        <v>2</v>
      </c>
      <c r="R339" s="4">
        <v>1</v>
      </c>
      <c r="S339" s="4">
        <v>2</v>
      </c>
      <c r="T339" s="4">
        <v>2</v>
      </c>
      <c r="U339" s="4">
        <v>1</v>
      </c>
      <c r="V339" s="4">
        <v>1</v>
      </c>
      <c r="W339" s="4">
        <v>1</v>
      </c>
      <c r="X339" s="4">
        <v>1</v>
      </c>
      <c r="Y339" s="4">
        <v>1</v>
      </c>
      <c r="Z339" s="4">
        <v>35</v>
      </c>
    </row>
    <row r="340" spans="1:27">
      <c r="A340" s="4" t="s">
        <v>365</v>
      </c>
      <c r="B340" s="4">
        <v>1</v>
      </c>
      <c r="C340" s="4">
        <v>3</v>
      </c>
      <c r="D340" s="4">
        <v>1</v>
      </c>
      <c r="E340" s="4">
        <v>1</v>
      </c>
      <c r="F340" s="4">
        <v>2</v>
      </c>
      <c r="G340" s="4">
        <v>2</v>
      </c>
      <c r="H340" s="4">
        <v>2</v>
      </c>
      <c r="I340" s="4">
        <v>2</v>
      </c>
      <c r="J340" s="4">
        <v>2</v>
      </c>
      <c r="K340" s="4">
        <v>3</v>
      </c>
      <c r="L340" s="4">
        <v>3</v>
      </c>
      <c r="M340" s="4">
        <v>3</v>
      </c>
      <c r="N340" s="4">
        <v>3</v>
      </c>
      <c r="O340" s="4">
        <v>2</v>
      </c>
      <c r="P340" s="4">
        <v>2</v>
      </c>
      <c r="Q340" s="4">
        <v>3</v>
      </c>
      <c r="R340" s="4">
        <v>1</v>
      </c>
      <c r="S340" s="4">
        <v>3</v>
      </c>
      <c r="T340" s="4">
        <v>3</v>
      </c>
      <c r="U340" s="4">
        <v>2</v>
      </c>
      <c r="V340" s="4">
        <v>2</v>
      </c>
      <c r="W340" s="4">
        <v>2</v>
      </c>
      <c r="X340" s="4">
        <v>2</v>
      </c>
      <c r="Y340" s="4">
        <v>1</v>
      </c>
      <c r="Z340" s="4">
        <v>51</v>
      </c>
    </row>
    <row r="341" spans="1:27">
      <c r="A341" s="4" t="s">
        <v>366</v>
      </c>
      <c r="B341" s="4">
        <v>1</v>
      </c>
      <c r="C341" s="4">
        <v>1</v>
      </c>
      <c r="D341" s="4">
        <v>1</v>
      </c>
      <c r="E341" s="4">
        <v>1</v>
      </c>
      <c r="F341" s="4">
        <v>2</v>
      </c>
      <c r="G341" s="4">
        <v>1</v>
      </c>
      <c r="H341" s="4">
        <v>1</v>
      </c>
      <c r="I341" s="4">
        <v>1</v>
      </c>
      <c r="J341" s="4">
        <v>1</v>
      </c>
      <c r="K341" s="4">
        <v>2</v>
      </c>
      <c r="L341" s="4">
        <v>3</v>
      </c>
      <c r="M341" s="4">
        <v>1</v>
      </c>
      <c r="N341" s="4">
        <v>2</v>
      </c>
      <c r="O341" s="4">
        <v>1</v>
      </c>
      <c r="P341" s="4">
        <v>2</v>
      </c>
      <c r="Q341" s="4">
        <v>1</v>
      </c>
      <c r="R341" s="4">
        <v>2</v>
      </c>
      <c r="S341" s="4">
        <v>2</v>
      </c>
      <c r="T341" s="4">
        <v>1</v>
      </c>
      <c r="U341" s="4">
        <v>2</v>
      </c>
      <c r="V341" s="4">
        <v>1</v>
      </c>
      <c r="W341" s="4">
        <v>2</v>
      </c>
      <c r="X341" s="4">
        <v>2</v>
      </c>
      <c r="Y341" s="4">
        <v>2</v>
      </c>
      <c r="Z341" s="4">
        <v>36</v>
      </c>
    </row>
    <row r="342" spans="1:27">
      <c r="A342" s="4" t="s">
        <v>367</v>
      </c>
      <c r="B342" s="4">
        <v>3</v>
      </c>
      <c r="C342" s="4">
        <v>1</v>
      </c>
      <c r="D342" s="4">
        <v>1</v>
      </c>
      <c r="E342" s="4">
        <v>2</v>
      </c>
      <c r="F342" s="4">
        <v>3</v>
      </c>
      <c r="G342" s="4">
        <v>1</v>
      </c>
      <c r="H342" s="4">
        <v>2</v>
      </c>
      <c r="I342" s="4">
        <v>2</v>
      </c>
      <c r="J342" s="4">
        <v>1</v>
      </c>
      <c r="K342" s="4">
        <v>1</v>
      </c>
      <c r="L342" s="4">
        <v>1</v>
      </c>
      <c r="M342" s="4">
        <v>1</v>
      </c>
      <c r="N342" s="4">
        <v>1</v>
      </c>
      <c r="O342" s="4">
        <v>1</v>
      </c>
      <c r="P342" s="4">
        <v>2</v>
      </c>
      <c r="Q342" s="4">
        <v>2</v>
      </c>
      <c r="R342" s="4">
        <v>2</v>
      </c>
      <c r="S342" s="4">
        <v>3</v>
      </c>
      <c r="T342" s="4">
        <v>2</v>
      </c>
      <c r="U342" s="4">
        <v>2</v>
      </c>
      <c r="V342" s="4">
        <v>2</v>
      </c>
      <c r="W342" s="4">
        <v>2</v>
      </c>
      <c r="X342" s="4">
        <v>2</v>
      </c>
      <c r="Y342" s="4">
        <v>2</v>
      </c>
      <c r="Z342" s="4">
        <v>42</v>
      </c>
    </row>
    <row r="343" spans="1:27">
      <c r="A343" s="4" t="s">
        <v>368</v>
      </c>
      <c r="B343" s="4">
        <v>1</v>
      </c>
      <c r="C343" s="4">
        <v>3</v>
      </c>
      <c r="D343" s="4">
        <v>2</v>
      </c>
      <c r="E343" s="4">
        <v>2</v>
      </c>
      <c r="F343" s="4">
        <v>1</v>
      </c>
      <c r="G343" s="4">
        <v>2</v>
      </c>
      <c r="H343" s="4">
        <v>3</v>
      </c>
      <c r="I343" s="4">
        <v>2</v>
      </c>
      <c r="J343" s="4">
        <v>2</v>
      </c>
      <c r="K343" s="4">
        <v>2</v>
      </c>
      <c r="L343" s="4">
        <v>3</v>
      </c>
      <c r="M343" s="4">
        <v>1</v>
      </c>
      <c r="N343" s="4">
        <v>2</v>
      </c>
      <c r="O343" s="4">
        <v>2</v>
      </c>
      <c r="P343" s="4">
        <v>2</v>
      </c>
      <c r="Q343" s="4">
        <v>2</v>
      </c>
      <c r="R343" s="4">
        <v>2</v>
      </c>
      <c r="S343" s="4">
        <v>3</v>
      </c>
      <c r="T343" s="4">
        <v>2</v>
      </c>
      <c r="U343" s="4">
        <v>2</v>
      </c>
      <c r="V343" s="4">
        <v>2</v>
      </c>
      <c r="W343" s="4">
        <v>2</v>
      </c>
      <c r="X343" s="4">
        <v>3</v>
      </c>
      <c r="Y343" s="4">
        <v>2</v>
      </c>
      <c r="Z343" s="4">
        <v>50</v>
      </c>
    </row>
    <row r="344" spans="1:27">
      <c r="A344" s="4" t="s">
        <v>369</v>
      </c>
      <c r="B344" s="4">
        <v>3</v>
      </c>
      <c r="C344" s="4">
        <v>3</v>
      </c>
      <c r="D344" s="4">
        <v>2</v>
      </c>
      <c r="E344" s="4">
        <v>2</v>
      </c>
      <c r="F344" s="4">
        <v>3</v>
      </c>
      <c r="G344" s="4">
        <v>3</v>
      </c>
      <c r="H344" s="4">
        <v>3</v>
      </c>
      <c r="I344" s="4">
        <v>2</v>
      </c>
      <c r="J344" s="4">
        <v>2</v>
      </c>
      <c r="K344" s="4">
        <v>2</v>
      </c>
      <c r="L344" s="4">
        <v>2</v>
      </c>
      <c r="M344" s="4">
        <v>3</v>
      </c>
      <c r="N344" s="4">
        <v>1</v>
      </c>
      <c r="O344" s="4">
        <v>2</v>
      </c>
      <c r="P344" s="4">
        <v>2</v>
      </c>
      <c r="Q344" s="4">
        <v>2</v>
      </c>
      <c r="R344" s="4">
        <v>2</v>
      </c>
      <c r="S344" s="4">
        <v>3</v>
      </c>
      <c r="T344" s="4">
        <v>2</v>
      </c>
      <c r="U344" s="4">
        <v>2</v>
      </c>
      <c r="V344" s="4">
        <v>1</v>
      </c>
      <c r="W344" s="4">
        <v>1</v>
      </c>
      <c r="X344" s="4">
        <v>1</v>
      </c>
      <c r="Y344" s="4">
        <v>3</v>
      </c>
      <c r="Z344" s="4">
        <v>52</v>
      </c>
    </row>
    <row r="345" spans="1:27">
      <c r="A345" s="4" t="s">
        <v>370</v>
      </c>
      <c r="B345" s="4">
        <v>2</v>
      </c>
      <c r="C345" s="4">
        <v>2</v>
      </c>
      <c r="D345" s="4">
        <v>1</v>
      </c>
      <c r="E345" s="4">
        <v>1</v>
      </c>
      <c r="F345" s="4">
        <v>1</v>
      </c>
      <c r="G345" s="4">
        <v>2</v>
      </c>
      <c r="H345" s="4">
        <v>2</v>
      </c>
      <c r="I345" s="4">
        <v>2</v>
      </c>
      <c r="J345" s="4">
        <v>2</v>
      </c>
      <c r="K345" s="4">
        <v>1</v>
      </c>
      <c r="L345" s="4">
        <v>3</v>
      </c>
      <c r="M345" s="4">
        <v>2</v>
      </c>
      <c r="N345" s="4">
        <v>2</v>
      </c>
      <c r="O345" s="4">
        <v>2</v>
      </c>
      <c r="P345" s="4">
        <v>2</v>
      </c>
      <c r="Q345" s="4">
        <v>2</v>
      </c>
      <c r="R345" s="4">
        <v>2</v>
      </c>
      <c r="S345" s="4">
        <v>3</v>
      </c>
      <c r="T345" s="4">
        <v>2</v>
      </c>
      <c r="U345" s="4">
        <v>2</v>
      </c>
      <c r="V345" s="4">
        <v>2</v>
      </c>
      <c r="W345" s="4">
        <v>2</v>
      </c>
      <c r="X345" s="4">
        <v>2</v>
      </c>
      <c r="Y345" s="4">
        <v>1</v>
      </c>
      <c r="Z345" s="4">
        <v>45</v>
      </c>
    </row>
    <row r="346" spans="1:27">
      <c r="A346" s="4" t="s">
        <v>371</v>
      </c>
      <c r="B346" s="4">
        <v>2</v>
      </c>
      <c r="C346" s="4">
        <v>2</v>
      </c>
      <c r="D346" s="4">
        <v>1</v>
      </c>
      <c r="E346" s="4">
        <v>2</v>
      </c>
      <c r="F346" s="4">
        <v>2</v>
      </c>
      <c r="G346" s="4">
        <v>2</v>
      </c>
      <c r="H346" s="4">
        <v>2</v>
      </c>
      <c r="I346" s="4">
        <v>2</v>
      </c>
      <c r="J346" s="4">
        <v>3</v>
      </c>
      <c r="K346" s="4">
        <v>2</v>
      </c>
      <c r="L346" s="4">
        <v>3</v>
      </c>
      <c r="M346" s="4">
        <v>2</v>
      </c>
      <c r="N346" s="4">
        <v>2</v>
      </c>
      <c r="O346" s="4">
        <v>3</v>
      </c>
      <c r="P346" s="4">
        <v>1</v>
      </c>
      <c r="Q346" s="4">
        <v>3</v>
      </c>
      <c r="R346" s="4">
        <v>2</v>
      </c>
      <c r="S346" s="4">
        <v>2</v>
      </c>
      <c r="T346" s="4">
        <v>3</v>
      </c>
      <c r="U346" s="4">
        <v>3</v>
      </c>
      <c r="V346" s="4">
        <v>2</v>
      </c>
      <c r="W346" s="4">
        <v>1</v>
      </c>
      <c r="X346" s="4">
        <v>2</v>
      </c>
      <c r="Y346" s="4">
        <v>3</v>
      </c>
      <c r="Z346" s="4">
        <v>52</v>
      </c>
    </row>
    <row r="347" spans="1:27">
      <c r="A347" s="4" t="s">
        <v>372</v>
      </c>
      <c r="B347" s="4">
        <v>1</v>
      </c>
      <c r="C347" s="4">
        <v>1</v>
      </c>
      <c r="D347" s="4">
        <v>2</v>
      </c>
      <c r="E347" s="4">
        <v>2</v>
      </c>
      <c r="F347" s="4">
        <v>1</v>
      </c>
      <c r="G347" s="4">
        <v>2</v>
      </c>
      <c r="H347" s="4">
        <v>2</v>
      </c>
      <c r="I347" s="4">
        <v>2</v>
      </c>
      <c r="J347" s="4">
        <v>2</v>
      </c>
      <c r="K347" s="4">
        <v>2</v>
      </c>
      <c r="L347" s="4">
        <v>2</v>
      </c>
      <c r="M347" s="4">
        <v>2</v>
      </c>
      <c r="N347" s="4">
        <v>2</v>
      </c>
      <c r="O347" s="4">
        <v>2</v>
      </c>
      <c r="P347" s="4">
        <v>3</v>
      </c>
      <c r="Q347" s="4">
        <v>2</v>
      </c>
      <c r="R347" s="4">
        <v>2</v>
      </c>
      <c r="S347" s="4">
        <v>1</v>
      </c>
      <c r="T347" s="4">
        <v>2</v>
      </c>
      <c r="U347" s="4">
        <v>3</v>
      </c>
      <c r="V347" s="4">
        <v>2</v>
      </c>
      <c r="W347" s="4">
        <v>2</v>
      </c>
      <c r="X347" s="4">
        <v>2</v>
      </c>
      <c r="Y347" s="4">
        <v>2</v>
      </c>
      <c r="Z347" s="4">
        <v>46</v>
      </c>
    </row>
    <row r="348" spans="1:27">
      <c r="A348" s="4" t="s">
        <v>373</v>
      </c>
      <c r="B348" s="4">
        <v>2</v>
      </c>
      <c r="C348" s="4">
        <v>2</v>
      </c>
      <c r="D348" s="4">
        <v>2</v>
      </c>
      <c r="E348" s="4">
        <v>2</v>
      </c>
      <c r="F348" s="4">
        <v>2</v>
      </c>
      <c r="G348" s="4">
        <v>3</v>
      </c>
      <c r="H348" s="4">
        <v>2</v>
      </c>
      <c r="I348" s="4">
        <v>2</v>
      </c>
      <c r="J348" s="4">
        <v>2</v>
      </c>
      <c r="K348" s="4">
        <v>2</v>
      </c>
      <c r="L348" s="4">
        <v>2</v>
      </c>
      <c r="M348" s="4">
        <v>2</v>
      </c>
      <c r="N348" s="4">
        <v>3</v>
      </c>
      <c r="O348" s="4">
        <v>2</v>
      </c>
      <c r="P348" s="4">
        <v>3</v>
      </c>
      <c r="Q348" s="4">
        <v>3</v>
      </c>
      <c r="R348" s="4">
        <v>2</v>
      </c>
      <c r="S348" s="4">
        <v>1</v>
      </c>
      <c r="T348" s="4">
        <v>3</v>
      </c>
      <c r="U348" s="4">
        <v>2</v>
      </c>
      <c r="V348" s="4">
        <v>2</v>
      </c>
      <c r="W348" s="4">
        <v>3</v>
      </c>
      <c r="X348" s="4">
        <v>2</v>
      </c>
      <c r="Y348" s="4">
        <v>3</v>
      </c>
      <c r="Z348" s="4">
        <v>54</v>
      </c>
    </row>
    <row r="349" spans="1:27">
      <c r="A349" s="4" t="s">
        <v>374</v>
      </c>
      <c r="B349" s="4">
        <v>3</v>
      </c>
      <c r="C349" s="4">
        <v>2</v>
      </c>
      <c r="D349" s="4">
        <v>2</v>
      </c>
      <c r="E349" s="4">
        <v>1</v>
      </c>
      <c r="F349" s="4">
        <v>3</v>
      </c>
      <c r="G349" s="4">
        <v>1</v>
      </c>
      <c r="H349" s="4">
        <v>1</v>
      </c>
      <c r="I349" s="4">
        <v>1</v>
      </c>
      <c r="J349" s="4">
        <v>1</v>
      </c>
      <c r="K349" s="4">
        <v>2</v>
      </c>
      <c r="L349" s="4">
        <v>1</v>
      </c>
      <c r="M349" s="4">
        <v>2</v>
      </c>
      <c r="N349" s="4">
        <v>2</v>
      </c>
      <c r="O349" s="4">
        <v>1</v>
      </c>
      <c r="P349" s="4">
        <v>3</v>
      </c>
      <c r="Q349" s="4">
        <v>2</v>
      </c>
      <c r="R349" s="4">
        <v>2</v>
      </c>
      <c r="S349" s="4">
        <v>2</v>
      </c>
      <c r="T349" s="4">
        <v>1</v>
      </c>
      <c r="U349" s="4">
        <v>1</v>
      </c>
      <c r="V349" s="4">
        <v>1</v>
      </c>
      <c r="W349" s="4">
        <v>3</v>
      </c>
      <c r="X349" s="4">
        <v>2</v>
      </c>
      <c r="Y349" s="4">
        <v>1</v>
      </c>
      <c r="Z349" s="4">
        <v>41</v>
      </c>
    </row>
    <row r="350" spans="1:27">
      <c r="A350" s="4" t="s">
        <v>375</v>
      </c>
      <c r="B350" s="4">
        <v>1</v>
      </c>
      <c r="C350" s="4">
        <v>3</v>
      </c>
      <c r="D350" s="4">
        <v>1</v>
      </c>
      <c r="E350" s="4">
        <v>1</v>
      </c>
      <c r="F350" s="4">
        <v>3</v>
      </c>
      <c r="G350" s="4">
        <v>1</v>
      </c>
      <c r="H350" s="4">
        <v>1</v>
      </c>
      <c r="I350" s="4">
        <v>1</v>
      </c>
      <c r="J350" s="4">
        <v>1</v>
      </c>
      <c r="K350" s="4">
        <v>1</v>
      </c>
      <c r="L350" s="4">
        <v>2</v>
      </c>
      <c r="M350" s="4">
        <v>1</v>
      </c>
      <c r="N350" s="4">
        <v>1</v>
      </c>
      <c r="O350" s="4">
        <v>1</v>
      </c>
      <c r="P350" s="4">
        <v>3</v>
      </c>
      <c r="Q350" s="4">
        <v>1</v>
      </c>
      <c r="R350" s="4">
        <v>1</v>
      </c>
      <c r="S350" s="4">
        <v>3</v>
      </c>
      <c r="T350" s="4">
        <v>1</v>
      </c>
      <c r="U350" s="4">
        <v>1</v>
      </c>
      <c r="V350" s="4">
        <v>1</v>
      </c>
      <c r="W350" s="4">
        <v>3</v>
      </c>
      <c r="X350" s="4">
        <v>1</v>
      </c>
      <c r="Y350" s="4">
        <v>1</v>
      </c>
      <c r="Z350" s="4">
        <v>35</v>
      </c>
    </row>
    <row r="351" spans="1:27">
      <c r="A351" s="4" t="s">
        <v>376</v>
      </c>
      <c r="B351" s="4">
        <v>1</v>
      </c>
      <c r="C351" s="4">
        <v>2</v>
      </c>
      <c r="D351" s="4">
        <v>1</v>
      </c>
      <c r="E351" s="4">
        <v>1</v>
      </c>
      <c r="F351" s="4">
        <v>3</v>
      </c>
      <c r="G351" s="4">
        <v>1</v>
      </c>
      <c r="H351" s="4">
        <v>1</v>
      </c>
      <c r="I351" s="4">
        <v>2</v>
      </c>
      <c r="J351" s="4">
        <v>2</v>
      </c>
      <c r="K351" s="4">
        <v>1</v>
      </c>
      <c r="L351" s="4">
        <v>3</v>
      </c>
      <c r="M351" s="4">
        <v>1</v>
      </c>
      <c r="N351" s="4">
        <v>1</v>
      </c>
      <c r="O351" s="4">
        <v>1</v>
      </c>
      <c r="P351" s="4">
        <v>3</v>
      </c>
      <c r="Q351" s="4">
        <v>2</v>
      </c>
      <c r="R351" s="4">
        <v>1</v>
      </c>
      <c r="S351" s="4">
        <v>3</v>
      </c>
      <c r="T351" s="4">
        <v>2</v>
      </c>
      <c r="U351" s="4">
        <v>1</v>
      </c>
      <c r="V351" s="4">
        <v>2</v>
      </c>
      <c r="W351" s="4">
        <v>2</v>
      </c>
      <c r="X351" s="4">
        <v>2</v>
      </c>
      <c r="Y351" s="4">
        <v>1</v>
      </c>
      <c r="Z351" s="4">
        <v>40</v>
      </c>
    </row>
    <row r="352" spans="1:27">
      <c r="A352" s="4" t="s">
        <v>377</v>
      </c>
      <c r="B352" s="4">
        <v>2</v>
      </c>
      <c r="C352" s="4">
        <v>2</v>
      </c>
      <c r="D352" s="4">
        <v>2</v>
      </c>
      <c r="E352" s="4">
        <v>2</v>
      </c>
      <c r="F352" s="4">
        <v>3</v>
      </c>
      <c r="G352" s="4">
        <v>1</v>
      </c>
      <c r="H352" s="4">
        <v>2</v>
      </c>
      <c r="I352" s="4">
        <v>2</v>
      </c>
      <c r="J352" s="4">
        <v>2</v>
      </c>
      <c r="K352" s="4">
        <v>2</v>
      </c>
      <c r="L352" s="4">
        <v>2</v>
      </c>
      <c r="M352" s="4">
        <v>2</v>
      </c>
      <c r="N352" s="4">
        <v>2</v>
      </c>
      <c r="O352" s="4">
        <v>2</v>
      </c>
      <c r="P352" s="4">
        <v>2</v>
      </c>
      <c r="Q352" s="4">
        <v>2</v>
      </c>
      <c r="R352" s="4">
        <v>1</v>
      </c>
      <c r="S352" s="4">
        <v>2</v>
      </c>
      <c r="T352" s="4">
        <v>2</v>
      </c>
      <c r="U352" s="4">
        <v>2</v>
      </c>
      <c r="V352" s="4">
        <v>2</v>
      </c>
      <c r="W352" s="4">
        <v>1</v>
      </c>
      <c r="X352" s="4">
        <v>2</v>
      </c>
      <c r="Y352" s="4">
        <v>2</v>
      </c>
      <c r="Z352" s="4">
        <v>46</v>
      </c>
    </row>
    <row r="353" spans="1:27">
      <c r="A353" s="4" t="s">
        <v>378</v>
      </c>
      <c r="B353" s="4">
        <v>1</v>
      </c>
      <c r="C353" s="4">
        <v>2</v>
      </c>
      <c r="D353" s="4">
        <v>1</v>
      </c>
      <c r="E353" s="4">
        <v>1</v>
      </c>
      <c r="F353" s="4">
        <v>2</v>
      </c>
      <c r="G353" s="4">
        <v>1</v>
      </c>
      <c r="H353" s="4">
        <v>1</v>
      </c>
      <c r="I353" s="4">
        <v>1</v>
      </c>
      <c r="J353" s="4">
        <v>1</v>
      </c>
      <c r="K353" s="4">
        <v>1</v>
      </c>
      <c r="L353" s="4">
        <v>3</v>
      </c>
      <c r="M353" s="4">
        <v>1</v>
      </c>
      <c r="N353" s="4">
        <v>1</v>
      </c>
      <c r="O353" s="4">
        <v>1</v>
      </c>
      <c r="P353" s="4">
        <v>2</v>
      </c>
      <c r="Q353" s="4">
        <v>1</v>
      </c>
      <c r="R353" s="4">
        <v>1</v>
      </c>
      <c r="S353" s="4">
        <v>3</v>
      </c>
      <c r="T353" s="4">
        <v>1</v>
      </c>
      <c r="U353" s="4">
        <v>1</v>
      </c>
      <c r="V353" s="4">
        <v>1</v>
      </c>
      <c r="W353" s="4">
        <v>1</v>
      </c>
      <c r="X353" s="4">
        <v>1</v>
      </c>
      <c r="Y353" s="4">
        <v>1</v>
      </c>
      <c r="Z353" s="4">
        <v>31</v>
      </c>
    </row>
    <row r="354" spans="1:27">
      <c r="A354" s="4" t="s">
        <v>379</v>
      </c>
      <c r="B354" s="4">
        <v>2</v>
      </c>
      <c r="C354" s="4">
        <v>3</v>
      </c>
      <c r="D354" s="4">
        <v>1</v>
      </c>
      <c r="E354" s="4">
        <v>2</v>
      </c>
      <c r="F354" s="4">
        <v>3</v>
      </c>
      <c r="G354" s="4">
        <v>2</v>
      </c>
      <c r="H354" s="4">
        <v>1</v>
      </c>
      <c r="I354" s="4">
        <v>2</v>
      </c>
      <c r="J354" s="4">
        <v>2</v>
      </c>
      <c r="K354" s="4">
        <v>2</v>
      </c>
      <c r="L354" s="4">
        <v>3</v>
      </c>
      <c r="M354" s="4">
        <v>2</v>
      </c>
      <c r="N354" s="4">
        <v>2</v>
      </c>
      <c r="O354" s="4">
        <v>2</v>
      </c>
      <c r="P354" s="4">
        <v>2</v>
      </c>
      <c r="Q354" s="4">
        <v>2</v>
      </c>
      <c r="R354" s="4">
        <v>2</v>
      </c>
      <c r="S354" s="4">
        <v>3</v>
      </c>
      <c r="T354" s="4">
        <v>2</v>
      </c>
      <c r="U354" s="4">
        <v>2</v>
      </c>
      <c r="V354" s="4">
        <v>2</v>
      </c>
      <c r="W354" s="4">
        <v>1</v>
      </c>
      <c r="X354" s="4">
        <v>2</v>
      </c>
      <c r="Y354" s="4">
        <v>2</v>
      </c>
      <c r="Z354" s="4">
        <v>49</v>
      </c>
    </row>
    <row r="355" spans="1:27">
      <c r="A355" s="4" t="s">
        <v>380</v>
      </c>
      <c r="B355" s="4">
        <v>2</v>
      </c>
      <c r="C355" s="4">
        <v>2</v>
      </c>
      <c r="D355" s="4">
        <v>2</v>
      </c>
      <c r="E355" s="4">
        <v>1</v>
      </c>
      <c r="F355" s="4">
        <v>2</v>
      </c>
      <c r="G355" s="4">
        <v>2</v>
      </c>
      <c r="H355" s="4">
        <v>1</v>
      </c>
      <c r="I355" s="4">
        <v>2</v>
      </c>
      <c r="J355" s="4">
        <v>1</v>
      </c>
      <c r="K355" s="4">
        <v>1</v>
      </c>
      <c r="L355" s="4">
        <v>2</v>
      </c>
      <c r="M355" s="4">
        <v>2</v>
      </c>
      <c r="N355" s="4">
        <v>1</v>
      </c>
      <c r="O355" s="4">
        <v>2</v>
      </c>
      <c r="P355" s="4">
        <v>3</v>
      </c>
      <c r="Q355" s="4">
        <v>1</v>
      </c>
      <c r="R355" s="4">
        <v>1</v>
      </c>
      <c r="S355" s="4">
        <v>2</v>
      </c>
      <c r="T355" s="4">
        <v>1</v>
      </c>
      <c r="U355" s="4">
        <v>2</v>
      </c>
      <c r="V355" s="4">
        <v>2</v>
      </c>
      <c r="W355" s="4">
        <v>3</v>
      </c>
      <c r="X355" s="4">
        <v>1</v>
      </c>
      <c r="Y355" s="4">
        <v>2</v>
      </c>
      <c r="Z355" s="4">
        <v>41</v>
      </c>
    </row>
    <row r="356" spans="1:27">
      <c r="A356" s="4" t="s">
        <v>381</v>
      </c>
      <c r="B356" s="4">
        <v>2</v>
      </c>
      <c r="C356" s="4">
        <v>2</v>
      </c>
      <c r="D356" s="4">
        <v>2</v>
      </c>
      <c r="E356" s="4">
        <v>2</v>
      </c>
      <c r="F356" s="4">
        <v>2</v>
      </c>
      <c r="G356" s="4">
        <v>2</v>
      </c>
      <c r="H356" s="4">
        <v>2</v>
      </c>
      <c r="I356" s="4">
        <v>2</v>
      </c>
      <c r="J356" s="4">
        <v>2</v>
      </c>
      <c r="K356" s="4">
        <v>2</v>
      </c>
      <c r="L356" s="4">
        <v>2</v>
      </c>
      <c r="M356" s="4">
        <v>3</v>
      </c>
      <c r="N356" s="4">
        <v>3</v>
      </c>
      <c r="O356" s="4">
        <v>3</v>
      </c>
      <c r="P356" s="4">
        <v>3</v>
      </c>
      <c r="Q356" s="4">
        <v>3</v>
      </c>
      <c r="R356" s="4">
        <v>1</v>
      </c>
      <c r="S356" s="4">
        <v>1</v>
      </c>
      <c r="T356" s="4">
        <v>2</v>
      </c>
      <c r="U356" s="4">
        <v>2</v>
      </c>
      <c r="V356" s="4">
        <v>3</v>
      </c>
      <c r="W356" s="4">
        <v>2</v>
      </c>
      <c r="X356" s="4">
        <v>2</v>
      </c>
      <c r="Y356" s="4">
        <v>3</v>
      </c>
      <c r="Z356" s="4">
        <v>53</v>
      </c>
    </row>
    <row r="357" spans="1:27">
      <c r="A357" s="4" t="s">
        <v>382</v>
      </c>
      <c r="B357" s="4">
        <v>2</v>
      </c>
      <c r="C357" s="4">
        <v>2</v>
      </c>
      <c r="D357" s="4">
        <v>2</v>
      </c>
      <c r="E357" s="4">
        <v>2</v>
      </c>
      <c r="F357" s="4">
        <v>2</v>
      </c>
      <c r="G357" s="4">
        <v>2</v>
      </c>
      <c r="H357" s="4">
        <v>2</v>
      </c>
      <c r="I357" s="4">
        <v>2</v>
      </c>
      <c r="J357" s="4">
        <v>2</v>
      </c>
      <c r="K357" s="4">
        <v>2</v>
      </c>
      <c r="L357" s="4">
        <v>2</v>
      </c>
      <c r="M357" s="4">
        <v>2</v>
      </c>
      <c r="N357" s="4">
        <v>2</v>
      </c>
      <c r="O357" s="4">
        <v>2</v>
      </c>
      <c r="P357" s="4">
        <v>2</v>
      </c>
      <c r="Q357" s="4">
        <v>1</v>
      </c>
      <c r="R357" s="4">
        <v>2</v>
      </c>
      <c r="S357" s="4">
        <v>1</v>
      </c>
      <c r="T357" s="4">
        <v>1</v>
      </c>
      <c r="U357" s="4">
        <v>1</v>
      </c>
      <c r="V357" s="4">
        <v>2</v>
      </c>
      <c r="W357" s="4">
        <v>2</v>
      </c>
      <c r="X357" s="4">
        <v>2</v>
      </c>
      <c r="Y357" s="4">
        <v>2</v>
      </c>
      <c r="Z357" s="4">
        <v>44</v>
      </c>
    </row>
    <row r="358" spans="1:27">
      <c r="A358" s="4" t="s">
        <v>383</v>
      </c>
      <c r="B358" s="4">
        <v>2</v>
      </c>
      <c r="C358" s="4">
        <v>1</v>
      </c>
      <c r="D358" s="4">
        <v>2</v>
      </c>
      <c r="E358" s="4">
        <v>2</v>
      </c>
      <c r="F358" s="4">
        <v>1</v>
      </c>
      <c r="G358" s="4">
        <v>1</v>
      </c>
      <c r="H358" s="4">
        <v>1</v>
      </c>
      <c r="I358" s="4">
        <v>2</v>
      </c>
      <c r="J358" s="4">
        <v>1</v>
      </c>
      <c r="K358" s="4">
        <v>2</v>
      </c>
      <c r="L358" s="4">
        <v>2</v>
      </c>
      <c r="M358" s="4">
        <v>2</v>
      </c>
      <c r="N358" s="4">
        <v>1</v>
      </c>
      <c r="O358" s="4">
        <v>2</v>
      </c>
      <c r="P358" s="4">
        <v>3</v>
      </c>
      <c r="Q358" s="4">
        <v>2</v>
      </c>
      <c r="R358" s="4">
        <v>2</v>
      </c>
      <c r="S358" s="4">
        <v>2</v>
      </c>
      <c r="T358" s="4">
        <v>1</v>
      </c>
      <c r="U358" s="4">
        <v>2</v>
      </c>
      <c r="V358" s="4">
        <v>2</v>
      </c>
      <c r="W358" s="4">
        <v>3</v>
      </c>
      <c r="X358" s="4">
        <v>1</v>
      </c>
      <c r="Y358" s="4">
        <v>2</v>
      </c>
      <c r="Z358" s="4">
        <v>42</v>
      </c>
    </row>
    <row r="359" spans="1:27">
      <c r="A359" s="4" t="s">
        <v>384</v>
      </c>
      <c r="B359" s="4">
        <v>2</v>
      </c>
      <c r="C359" s="4">
        <v>3</v>
      </c>
      <c r="D359" s="4">
        <v>3</v>
      </c>
      <c r="E359" s="4">
        <v>3</v>
      </c>
      <c r="F359" s="4">
        <v>2</v>
      </c>
      <c r="G359" s="4">
        <v>3</v>
      </c>
      <c r="H359" s="4">
        <v>2</v>
      </c>
      <c r="I359" s="4">
        <v>2</v>
      </c>
      <c r="J359" s="4">
        <v>2</v>
      </c>
      <c r="K359" s="4">
        <v>2</v>
      </c>
      <c r="L359" s="4">
        <v>2</v>
      </c>
      <c r="M359" s="4">
        <v>2</v>
      </c>
      <c r="N359" s="4">
        <v>2</v>
      </c>
      <c r="O359" s="4">
        <v>2</v>
      </c>
      <c r="P359" s="4">
        <v>1</v>
      </c>
      <c r="Q359" s="4">
        <v>2</v>
      </c>
      <c r="R359" s="4">
        <v>3</v>
      </c>
      <c r="S359" s="4">
        <v>1</v>
      </c>
      <c r="T359" s="4">
        <v>1</v>
      </c>
      <c r="U359" s="4">
        <v>3</v>
      </c>
      <c r="V359" s="4">
        <v>2</v>
      </c>
      <c r="W359" s="4">
        <v>2</v>
      </c>
      <c r="X359" s="4">
        <v>2</v>
      </c>
      <c r="Y359" s="4">
        <v>3</v>
      </c>
      <c r="Z359" s="4">
        <v>52</v>
      </c>
    </row>
    <row r="360" spans="1:27">
      <c r="A360" t="s">
        <v>385</v>
      </c>
      <c r="B360" t="str">
        <f>SUM(B5:B359)</f>
        <v>0</v>
      </c>
      <c r="C360" t="str">
        <f>SUM(C5:C359)</f>
        <v>0</v>
      </c>
      <c r="D360" t="str">
        <f>SUM(D5:D359)</f>
        <v>0</v>
      </c>
      <c r="E360" t="str">
        <f>SUM(E5:E359)</f>
        <v>0</v>
      </c>
      <c r="F360" t="str">
        <f>SUM(F5:F359)</f>
        <v>0</v>
      </c>
      <c r="G360" t="str">
        <f>SUM(G5:G359)</f>
        <v>0</v>
      </c>
      <c r="H360" t="str">
        <f>SUM(H5:H359)</f>
        <v>0</v>
      </c>
      <c r="I360" t="str">
        <f>SUM(I5:I359)</f>
        <v>0</v>
      </c>
      <c r="J360" t="str">
        <f>SUM(J5:J359)</f>
        <v>0</v>
      </c>
      <c r="K360" t="str">
        <f>SUM(K5:K359)</f>
        <v>0</v>
      </c>
      <c r="L360" t="str">
        <f>SUM(L5:L359)</f>
        <v>0</v>
      </c>
      <c r="M360" t="str">
        <f>SUM(M5:M359)</f>
        <v>0</v>
      </c>
      <c r="N360" t="str">
        <f>SUM(N5:N359)</f>
        <v>0</v>
      </c>
      <c r="O360" t="str">
        <f>SUM(O5:O359)</f>
        <v>0</v>
      </c>
      <c r="P360" t="str">
        <f>SUM(P5:P359)</f>
        <v>0</v>
      </c>
      <c r="Q360" t="str">
        <f>SUM(Q5:Q359)</f>
        <v>0</v>
      </c>
      <c r="R360" t="str">
        <f>SUM(R5:R359)</f>
        <v>0</v>
      </c>
      <c r="S360" t="str">
        <f>SUM(S5:S359)</f>
        <v>0</v>
      </c>
      <c r="T360" t="str">
        <f>SUM(T5:T359)</f>
        <v>0</v>
      </c>
      <c r="U360" t="str">
        <f>SUM(U5:U359)</f>
        <v>0</v>
      </c>
      <c r="V360" t="str">
        <f>SUM(V5:V359)</f>
        <v>0</v>
      </c>
      <c r="W360" t="str">
        <f>SUM(W5:W359)</f>
        <v>0</v>
      </c>
      <c r="X360" t="str">
        <f>SUM(X5:X359)</f>
        <v>0</v>
      </c>
      <c r="Y360" t="str">
        <f>SUM(Y5:Y359)</f>
        <v>0</v>
      </c>
      <c r="Z360" t="str">
        <f>SUM(Z5:Z359)</f>
        <v>0</v>
      </c>
    </row>
    <row r="361" spans="1:27">
      <c r="A361" t="s">
        <v>386</v>
      </c>
      <c r="B361" t="str">
        <f>MODE(B5:B359)</f>
        <v>0</v>
      </c>
      <c r="C361" t="str">
        <f>MODE(C5:C359)</f>
        <v>0</v>
      </c>
      <c r="D361" t="str">
        <f>MODE(D5:D359)</f>
        <v>0</v>
      </c>
      <c r="E361" t="str">
        <f>MODE(E5:E359)</f>
        <v>0</v>
      </c>
      <c r="F361" t="str">
        <f>MODE(F5:F359)</f>
        <v>0</v>
      </c>
      <c r="G361" t="str">
        <f>MODE(G5:G359)</f>
        <v>0</v>
      </c>
      <c r="H361" t="str">
        <f>MODE(H5:H359)</f>
        <v>0</v>
      </c>
      <c r="I361" t="str">
        <f>MODE(I5:I359)</f>
        <v>0</v>
      </c>
      <c r="J361" t="str">
        <f>MODE(J5:J359)</f>
        <v>0</v>
      </c>
      <c r="K361" t="str">
        <f>MODE(K5:K359)</f>
        <v>0</v>
      </c>
      <c r="L361" t="str">
        <f>MODE(L5:L359)</f>
        <v>0</v>
      </c>
      <c r="M361" t="str">
        <f>MODE(M5:M359)</f>
        <v>0</v>
      </c>
      <c r="N361" t="str">
        <f>MODE(N5:N359)</f>
        <v>0</v>
      </c>
      <c r="O361" t="str">
        <f>MODE(O5:O359)</f>
        <v>0</v>
      </c>
      <c r="P361" t="str">
        <f>MODE(P5:P359)</f>
        <v>0</v>
      </c>
      <c r="Q361" t="str">
        <f>MODE(Q5:Q359)</f>
        <v>0</v>
      </c>
      <c r="R361" t="str">
        <f>MODE(R5:R359)</f>
        <v>0</v>
      </c>
      <c r="S361" t="str">
        <f>MODE(S5:S359)</f>
        <v>0</v>
      </c>
      <c r="T361" t="str">
        <f>MODE(T5:T359)</f>
        <v>0</v>
      </c>
      <c r="U361" t="str">
        <f>MODE(U5:U359)</f>
        <v>0</v>
      </c>
      <c r="V361" t="str">
        <f>MODE(V5:V359)</f>
        <v>0</v>
      </c>
      <c r="W361" t="str">
        <f>MODE(W5:W359)</f>
        <v>0</v>
      </c>
      <c r="X361" t="str">
        <f>MODE(X5:X359)</f>
        <v>0</v>
      </c>
      <c r="Y361" t="str">
        <f>MODE(Y5:Y359)</f>
        <v>0</v>
      </c>
      <c r="Z361" t="str">
        <f>MODE(Z5:Z359)</f>
        <v>0</v>
      </c>
    </row>
    <row r="362" spans="1:27">
      <c r="A362" t="s">
        <v>387</v>
      </c>
      <c r="B362" t="str">
        <f>(B360/355)</f>
        <v>0</v>
      </c>
      <c r="C362" t="str">
        <f>(C360/355)</f>
        <v>0</v>
      </c>
      <c r="D362" t="str">
        <f>(D360/355)</f>
        <v>0</v>
      </c>
      <c r="E362" t="str">
        <f>(E360/355)</f>
        <v>0</v>
      </c>
      <c r="F362" t="str">
        <f>(F360/355)</f>
        <v>0</v>
      </c>
      <c r="G362" t="str">
        <f>(G360/355)</f>
        <v>0</v>
      </c>
      <c r="H362" t="str">
        <f>(H360/355)</f>
        <v>0</v>
      </c>
      <c r="I362" t="str">
        <f>(I360/355)</f>
        <v>0</v>
      </c>
      <c r="J362" t="str">
        <f>(J360/355)</f>
        <v>0</v>
      </c>
      <c r="K362" t="str">
        <f>(K360/355)</f>
        <v>0</v>
      </c>
      <c r="L362" t="str">
        <f>(L360/355)</f>
        <v>0</v>
      </c>
      <c r="M362" t="str">
        <f>(M360/355)</f>
        <v>0</v>
      </c>
      <c r="N362" t="str">
        <f>(N360/355)</f>
        <v>0</v>
      </c>
      <c r="O362" t="str">
        <f>(O360/355)</f>
        <v>0</v>
      </c>
      <c r="P362" t="str">
        <f>(P360/355)</f>
        <v>0</v>
      </c>
      <c r="Q362" t="str">
        <f>(Q360/355)</f>
        <v>0</v>
      </c>
      <c r="R362" t="str">
        <f>(R360/355)</f>
        <v>0</v>
      </c>
      <c r="S362" t="str">
        <f>(S360/355)</f>
        <v>0</v>
      </c>
      <c r="T362" t="str">
        <f>(T360/355)</f>
        <v>0</v>
      </c>
      <c r="U362" t="str">
        <f>(U360/355)</f>
        <v>0</v>
      </c>
      <c r="V362" t="str">
        <f>(V360/355)</f>
        <v>0</v>
      </c>
      <c r="W362" t="str">
        <f>(W360/355)</f>
        <v>0</v>
      </c>
      <c r="X362" t="str">
        <f>(X360/355)</f>
        <v>0</v>
      </c>
      <c r="Y362" t="str">
        <f>(Y360/355)</f>
        <v>0</v>
      </c>
      <c r="Z362" t="str">
        <f>(Z360/355)</f>
        <v>0</v>
      </c>
    </row>
    <row r="363" spans="1:27">
      <c r="A363" t="s">
        <v>388</v>
      </c>
      <c r="B363" t="str">
        <f>MEDIAN(B5:B359)</f>
        <v>0</v>
      </c>
      <c r="C363" t="str">
        <f>MEDIAN(C5:C359)</f>
        <v>0</v>
      </c>
      <c r="D363" t="str">
        <f>MEDIAN(D5:D359)</f>
        <v>0</v>
      </c>
      <c r="E363" t="str">
        <f>MEDIAN(E5:E359)</f>
        <v>0</v>
      </c>
      <c r="F363" t="str">
        <f>MEDIAN(F5:F359)</f>
        <v>0</v>
      </c>
      <c r="G363" t="str">
        <f>MEDIAN(G5:G359)</f>
        <v>0</v>
      </c>
      <c r="H363" t="str">
        <f>MEDIAN(H5:H359)</f>
        <v>0</v>
      </c>
      <c r="I363" t="str">
        <f>MEDIAN(I5:I359)</f>
        <v>0</v>
      </c>
      <c r="J363" t="str">
        <f>MEDIAN(J5:J359)</f>
        <v>0</v>
      </c>
      <c r="K363" t="str">
        <f>MEDIAN(K5:K359)</f>
        <v>0</v>
      </c>
      <c r="L363" t="str">
        <f>MEDIAN(L5:L359)</f>
        <v>0</v>
      </c>
      <c r="M363" t="str">
        <f>MEDIAN(M5:M359)</f>
        <v>0</v>
      </c>
      <c r="N363" t="str">
        <f>MEDIAN(N5:N359)</f>
        <v>0</v>
      </c>
      <c r="O363" t="str">
        <f>MEDIAN(O5:O359)</f>
        <v>0</v>
      </c>
      <c r="P363" t="str">
        <f>MEDIAN(P5:P359)</f>
        <v>0</v>
      </c>
      <c r="Q363" t="str">
        <f>MEDIAN(Q5:Q359)</f>
        <v>0</v>
      </c>
      <c r="R363" t="str">
        <f>MEDIAN(R5:R359)</f>
        <v>0</v>
      </c>
      <c r="S363" t="str">
        <f>MEDIAN(S5:S359)</f>
        <v>0</v>
      </c>
      <c r="T363" t="str">
        <f>MEDIAN(T5:T359)</f>
        <v>0</v>
      </c>
      <c r="U363" t="str">
        <f>MEDIAN(U5:U359)</f>
        <v>0</v>
      </c>
      <c r="V363" t="str">
        <f>MEDIAN(V5:V359)</f>
        <v>0</v>
      </c>
      <c r="W363" t="str">
        <f>MEDIAN(W5:W359)</f>
        <v>0</v>
      </c>
      <c r="X363" t="str">
        <f>MEDIAN(X5:X359)</f>
        <v>0</v>
      </c>
      <c r="Y363" t="str">
        <f>MEDIAN(Y5:Y359)</f>
        <v>0</v>
      </c>
      <c r="Z363" t="str">
        <f>MEDIAN(Z5:Z359)</f>
        <v>0</v>
      </c>
    </row>
    <row r="364" spans="1:27">
      <c r="A364" t="s">
        <v>389</v>
      </c>
      <c r="B364" t="str">
        <f>ROUND(STDEV(B5:B359),2)</f>
        <v>0</v>
      </c>
      <c r="C364" t="str">
        <f>ROUND(STDEV(C5:C359),2)</f>
        <v>0</v>
      </c>
      <c r="D364" t="str">
        <f>ROUND(STDEV(D5:D359),2)</f>
        <v>0</v>
      </c>
      <c r="E364" t="str">
        <f>ROUND(STDEV(E5:E359),2)</f>
        <v>0</v>
      </c>
      <c r="F364" t="str">
        <f>ROUND(STDEV(F5:F359),2)</f>
        <v>0</v>
      </c>
      <c r="G364" t="str">
        <f>ROUND(STDEV(G5:G359),2)</f>
        <v>0</v>
      </c>
      <c r="H364" t="str">
        <f>ROUND(STDEV(H5:H359),2)</f>
        <v>0</v>
      </c>
      <c r="I364" t="str">
        <f>ROUND(STDEV(I5:I359),2)</f>
        <v>0</v>
      </c>
      <c r="J364" t="str">
        <f>ROUND(STDEV(J5:J359),2)</f>
        <v>0</v>
      </c>
      <c r="K364" t="str">
        <f>ROUND(STDEV(K5:K359),2)</f>
        <v>0</v>
      </c>
      <c r="L364" t="str">
        <f>ROUND(STDEV(L5:L359),2)</f>
        <v>0</v>
      </c>
      <c r="M364" t="str">
        <f>ROUND(STDEV(M5:M359),2)</f>
        <v>0</v>
      </c>
      <c r="N364" t="str">
        <f>ROUND(STDEV(N5:N359),2)</f>
        <v>0</v>
      </c>
      <c r="O364" t="str">
        <f>ROUND(STDEV(O5:O359),2)</f>
        <v>0</v>
      </c>
      <c r="P364" t="str">
        <f>ROUND(STDEV(P5:P359),2)</f>
        <v>0</v>
      </c>
      <c r="Q364" t="str">
        <f>ROUND(STDEV(Q5:Q359),2)</f>
        <v>0</v>
      </c>
      <c r="R364" t="str">
        <f>ROUND(STDEV(R5:R359),2)</f>
        <v>0</v>
      </c>
      <c r="S364" t="str">
        <f>ROUND(STDEV(S5:S359),2)</f>
        <v>0</v>
      </c>
      <c r="T364" t="str">
        <f>ROUND(STDEV(T5:T359),2)</f>
        <v>0</v>
      </c>
      <c r="U364" t="str">
        <f>ROUND(STDEV(U5:U359),2)</f>
        <v>0</v>
      </c>
      <c r="V364" t="str">
        <f>ROUND(STDEV(V5:V359),2)</f>
        <v>0</v>
      </c>
      <c r="W364" t="str">
        <f>ROUND(STDEV(W5:W359),2)</f>
        <v>0</v>
      </c>
      <c r="X364" t="str">
        <f>ROUND(STDEV(X5:X359),2)</f>
        <v>0</v>
      </c>
      <c r="Y364" t="str">
        <f>ROUND(STDEV(Y5:Y359),2)</f>
        <v>0</v>
      </c>
      <c r="Z364" t="str">
        <f>ROUND(STDEV(Z5:Z359),2)</f>
        <v>0</v>
      </c>
    </row>
    <row r="365" spans="1:27">
      <c r="A365" t="s">
        <v>390</v>
      </c>
      <c r="B365" s="5" t="str">
        <f>(B364/B362)</f>
        <v>0</v>
      </c>
      <c r="C365" s="5" t="str">
        <f>(C364/C362)</f>
        <v>0</v>
      </c>
      <c r="D365" s="5" t="str">
        <f>(D364/D362)</f>
        <v>0</v>
      </c>
      <c r="E365" s="5" t="str">
        <f>(E364/E362)</f>
        <v>0</v>
      </c>
      <c r="F365" s="5" t="str">
        <f>(F364/F362)</f>
        <v>0</v>
      </c>
      <c r="G365" s="5" t="str">
        <f>(G364/G362)</f>
        <v>0</v>
      </c>
      <c r="H365" s="5" t="str">
        <f>(H364/H362)</f>
        <v>0</v>
      </c>
      <c r="I365" s="5" t="str">
        <f>(I364/I362)</f>
        <v>0</v>
      </c>
      <c r="J365" s="5" t="str">
        <f>(J364/J362)</f>
        <v>0</v>
      </c>
      <c r="K365" s="5" t="str">
        <f>(K364/K362)</f>
        <v>0</v>
      </c>
      <c r="L365" s="5" t="str">
        <f>(L364/L362)</f>
        <v>0</v>
      </c>
      <c r="M365" s="5" t="str">
        <f>(M364/M362)</f>
        <v>0</v>
      </c>
      <c r="N365" s="5" t="str">
        <f>(N364/N362)</f>
        <v>0</v>
      </c>
      <c r="O365" s="5" t="str">
        <f>(O364/O362)</f>
        <v>0</v>
      </c>
      <c r="P365" s="5" t="str">
        <f>(P364/P362)</f>
        <v>0</v>
      </c>
      <c r="Q365" s="5" t="str">
        <f>(Q364/Q362)</f>
        <v>0</v>
      </c>
      <c r="R365" s="5" t="str">
        <f>(R364/R362)</f>
        <v>0</v>
      </c>
      <c r="S365" s="5" t="str">
        <f>(S364/S362)</f>
        <v>0</v>
      </c>
      <c r="T365" s="5" t="str">
        <f>(T364/T362)</f>
        <v>0</v>
      </c>
      <c r="U365" s="5" t="str">
        <f>(U364/U362)</f>
        <v>0</v>
      </c>
      <c r="V365" s="5" t="str">
        <f>(V364/V362)</f>
        <v>0</v>
      </c>
      <c r="W365" s="5" t="str">
        <f>(W364/W362)</f>
        <v>0</v>
      </c>
      <c r="X365" s="5" t="str">
        <f>(X364/X362)</f>
        <v>0</v>
      </c>
      <c r="Y365" s="5" t="str">
        <f>(Y364/Y362)</f>
        <v>0</v>
      </c>
      <c r="Z365" s="5" t="str">
        <f>(Z364/Z362)</f>
        <v>0</v>
      </c>
    </row>
    <row r="366" spans="1:27">
      <c r="A366" t="s">
        <v>391</v>
      </c>
      <c r="B366" t="str">
        <f>COUNTIF($B$5:$B$359,$A1355)</f>
        <v>0</v>
      </c>
      <c r="C366" t="str">
        <f>COUNTIF($C$5:$C$359,$A1355)</f>
        <v>0</v>
      </c>
      <c r="D366" t="str">
        <f>COUNTIF($D$5:$D$359,$A1355)</f>
        <v>0</v>
      </c>
      <c r="E366" t="str">
        <f>COUNTIF($E$5:$E$359,$A1355)</f>
        <v>0</v>
      </c>
      <c r="F366" t="str">
        <f>COUNTIF($F$5:$F$359,$A1355)</f>
        <v>0</v>
      </c>
      <c r="G366" t="str">
        <f>COUNTIF($G$5:$G$359,$A1355)</f>
        <v>0</v>
      </c>
      <c r="H366" t="str">
        <f>COUNTIF($H$5:$H$359,$A1355)</f>
        <v>0</v>
      </c>
      <c r="I366" t="str">
        <f>COUNTIF($I$5:$I$359,$A1355)</f>
        <v>0</v>
      </c>
      <c r="J366" t="str">
        <f>COUNTIF($J$5:$J$359,$A1355)</f>
        <v>0</v>
      </c>
      <c r="K366" t="str">
        <f>COUNTIF($K$5:$K$359,$A1355)</f>
        <v>0</v>
      </c>
      <c r="L366" t="str">
        <f>COUNTIF($L$5:$L$359,$A1355)</f>
        <v>0</v>
      </c>
      <c r="M366" t="str">
        <f>COUNTIF($M$5:$M$359,$A1355)</f>
        <v>0</v>
      </c>
      <c r="N366" t="str">
        <f>COUNTIF($N$5:$N$359,$A1355)</f>
        <v>0</v>
      </c>
      <c r="O366" t="str">
        <f>COUNTIF($O$5:$O$359,$A1355)</f>
        <v>0</v>
      </c>
      <c r="P366" t="str">
        <f>COUNTIF($P$5:$P$359,$A1355)</f>
        <v>0</v>
      </c>
      <c r="Q366" t="str">
        <f>COUNTIF($Q$5:$Q$359,$A1355)</f>
        <v>0</v>
      </c>
      <c r="R366" t="str">
        <f>COUNTIF($R$5:$R$359,$A1355)</f>
        <v>0</v>
      </c>
      <c r="S366" t="str">
        <f>COUNTIF($S$5:$S$359,$A1355)</f>
        <v>0</v>
      </c>
      <c r="T366" t="str">
        <f>COUNTIF($T$5:$T$359,$A1355)</f>
        <v>0</v>
      </c>
      <c r="U366" t="str">
        <f>COUNTIF($U$5:$U$359,$A1355)</f>
        <v>0</v>
      </c>
      <c r="V366" t="str">
        <f>COUNTIF($V$5:$V$359,$A1355)</f>
        <v>0</v>
      </c>
      <c r="W366" t="str">
        <f>COUNTIF($W$5:$W$359,$A1355)</f>
        <v>0</v>
      </c>
      <c r="X366" t="str">
        <f>COUNTIF($X$5:$X$359,$A1355)</f>
        <v>0</v>
      </c>
      <c r="Y366" t="str">
        <f>COUNTIF($Y$5:$Y$359,$A1355)</f>
        <v>0</v>
      </c>
    </row>
    <row r="367" spans="1:27">
      <c r="A367" t="s">
        <v>392</v>
      </c>
      <c r="B367" t="str">
        <f>COUNTIF($B$5:$B$359,$A1356)</f>
        <v>0</v>
      </c>
      <c r="C367" t="str">
        <f>COUNTIF($C$5:$C$359,$A1356)</f>
        <v>0</v>
      </c>
      <c r="D367" t="str">
        <f>COUNTIF($D$5:$D$359,$A1356)</f>
        <v>0</v>
      </c>
      <c r="E367" t="str">
        <f>COUNTIF($E$5:$E$359,$A1356)</f>
        <v>0</v>
      </c>
      <c r="F367" t="str">
        <f>COUNTIF($F$5:$F$359,$A1356)</f>
        <v>0</v>
      </c>
      <c r="G367" t="str">
        <f>COUNTIF($G$5:$G$359,$A1356)</f>
        <v>0</v>
      </c>
      <c r="H367" t="str">
        <f>COUNTIF($H$5:$H$359,$A1356)</f>
        <v>0</v>
      </c>
      <c r="I367" t="str">
        <f>COUNTIF($I$5:$I$359,$A1356)</f>
        <v>0</v>
      </c>
      <c r="J367" t="str">
        <f>COUNTIF($J$5:$J$359,$A1356)</f>
        <v>0</v>
      </c>
      <c r="K367" t="str">
        <f>COUNTIF($K$5:$K$359,$A1356)</f>
        <v>0</v>
      </c>
      <c r="L367" t="str">
        <f>COUNTIF($L$5:$L$359,$A1356)</f>
        <v>0</v>
      </c>
      <c r="M367" t="str">
        <f>COUNTIF($M$5:$M$359,$A1356)</f>
        <v>0</v>
      </c>
      <c r="N367" t="str">
        <f>COUNTIF($N$5:$N$359,$A1356)</f>
        <v>0</v>
      </c>
      <c r="O367" t="str">
        <f>COUNTIF($O$5:$O$359,$A1356)</f>
        <v>0</v>
      </c>
      <c r="P367" t="str">
        <f>COUNTIF($P$5:$P$359,$A1356)</f>
        <v>0</v>
      </c>
      <c r="Q367" t="str">
        <f>COUNTIF($Q$5:$Q$359,$A1356)</f>
        <v>0</v>
      </c>
      <c r="R367" t="str">
        <f>COUNTIF($R$5:$R$359,$A1356)</f>
        <v>0</v>
      </c>
      <c r="S367" t="str">
        <f>COUNTIF($S$5:$S$359,$A1356)</f>
        <v>0</v>
      </c>
      <c r="T367" t="str">
        <f>COUNTIF($T$5:$T$359,$A1356)</f>
        <v>0</v>
      </c>
      <c r="U367" t="str">
        <f>COUNTIF($U$5:$U$359,$A1356)</f>
        <v>0</v>
      </c>
      <c r="V367" t="str">
        <f>COUNTIF($V$5:$V$359,$A1356)</f>
        <v>0</v>
      </c>
      <c r="W367" t="str">
        <f>COUNTIF($W$5:$W$359,$A1356)</f>
        <v>0</v>
      </c>
      <c r="X367" t="str">
        <f>COUNTIF($X$5:$X$359,$A1356)</f>
        <v>0</v>
      </c>
      <c r="Y367" t="str">
        <f>COUNTIF($Y$5:$Y$359,$A1356)</f>
        <v>0</v>
      </c>
    </row>
    <row r="368" spans="1:27">
      <c r="A368" t="s">
        <v>393</v>
      </c>
      <c r="B368" t="str">
        <f>COUNTIF($B$5:$B$359,$A1357)</f>
        <v>0</v>
      </c>
      <c r="C368" t="str">
        <f>COUNTIF($C$5:$C$359,$A1357)</f>
        <v>0</v>
      </c>
      <c r="D368" t="str">
        <f>COUNTIF($D$5:$D$359,$A1357)</f>
        <v>0</v>
      </c>
      <c r="E368" t="str">
        <f>COUNTIF($E$5:$E$359,$A1357)</f>
        <v>0</v>
      </c>
      <c r="F368" t="str">
        <f>COUNTIF($F$5:$F$359,$A1357)</f>
        <v>0</v>
      </c>
      <c r="G368" t="str">
        <f>COUNTIF($G$5:$G$359,$A1357)</f>
        <v>0</v>
      </c>
      <c r="H368" t="str">
        <f>COUNTIF($H$5:$H$359,$A1357)</f>
        <v>0</v>
      </c>
      <c r="I368" t="str">
        <f>COUNTIF($I$5:$I$359,$A1357)</f>
        <v>0</v>
      </c>
      <c r="J368" t="str">
        <f>COUNTIF($J$5:$J$359,$A1357)</f>
        <v>0</v>
      </c>
      <c r="K368" t="str">
        <f>COUNTIF($K$5:$K$359,$A1357)</f>
        <v>0</v>
      </c>
      <c r="L368" t="str">
        <f>COUNTIF($L$5:$L$359,$A1357)</f>
        <v>0</v>
      </c>
      <c r="M368" t="str">
        <f>COUNTIF($M$5:$M$359,$A1357)</f>
        <v>0</v>
      </c>
      <c r="N368" t="str">
        <f>COUNTIF($N$5:$N$359,$A1357)</f>
        <v>0</v>
      </c>
      <c r="O368" t="str">
        <f>COUNTIF($O$5:$O$359,$A1357)</f>
        <v>0</v>
      </c>
      <c r="P368" t="str">
        <f>COUNTIF($P$5:$P$359,$A1357)</f>
        <v>0</v>
      </c>
      <c r="Q368" t="str">
        <f>COUNTIF($Q$5:$Q$359,$A1357)</f>
        <v>0</v>
      </c>
      <c r="R368" t="str">
        <f>COUNTIF($R$5:$R$359,$A1357)</f>
        <v>0</v>
      </c>
      <c r="S368" t="str">
        <f>COUNTIF($S$5:$S$359,$A1357)</f>
        <v>0</v>
      </c>
      <c r="T368" t="str">
        <f>COUNTIF($T$5:$T$359,$A1357)</f>
        <v>0</v>
      </c>
      <c r="U368" t="str">
        <f>COUNTIF($U$5:$U$359,$A1357)</f>
        <v>0</v>
      </c>
      <c r="V368" t="str">
        <f>COUNTIF($V$5:$V$359,$A1357)</f>
        <v>0</v>
      </c>
      <c r="W368" t="str">
        <f>COUNTIF($W$5:$W$359,$A1357)</f>
        <v>0</v>
      </c>
      <c r="X368" t="str">
        <f>COUNTIF($X$5:$X$359,$A1357)</f>
        <v>0</v>
      </c>
      <c r="Y368" t="str">
        <f>COUNTIF($Y$5:$Y$359,$A1357)</f>
        <v>0</v>
      </c>
    </row>
    <row r="369" spans="1:27">
      <c r="A369" t="s">
        <v>394</v>
      </c>
      <c r="B369" t="str">
        <f>COUNTIF($B$5:$B$359,$A1358)</f>
        <v>0</v>
      </c>
      <c r="C369" t="str">
        <f>COUNTIF($C$5:$C$359,$A1358)</f>
        <v>0</v>
      </c>
      <c r="D369" t="str">
        <f>COUNTIF($D$5:$D$359,$A1358)</f>
        <v>0</v>
      </c>
      <c r="E369" t="str">
        <f>COUNTIF($E$5:$E$359,$A1358)</f>
        <v>0</v>
      </c>
      <c r="F369" t="str">
        <f>COUNTIF($F$5:$F$359,$A1358)</f>
        <v>0</v>
      </c>
      <c r="G369" t="str">
        <f>COUNTIF($G$5:$G$359,$A1358)</f>
        <v>0</v>
      </c>
      <c r="H369" t="str">
        <f>COUNTIF($H$5:$H$359,$A1358)</f>
        <v>0</v>
      </c>
      <c r="I369" t="str">
        <f>COUNTIF($I$5:$I$359,$A1358)</f>
        <v>0</v>
      </c>
      <c r="J369" t="str">
        <f>COUNTIF($J$5:$J$359,$A1358)</f>
        <v>0</v>
      </c>
      <c r="K369" t="str">
        <f>COUNTIF($K$5:$K$359,$A1358)</f>
        <v>0</v>
      </c>
      <c r="L369" t="str">
        <f>COUNTIF($L$5:$L$359,$A1358)</f>
        <v>0</v>
      </c>
      <c r="M369" t="str">
        <f>COUNTIF($M$5:$M$359,$A1358)</f>
        <v>0</v>
      </c>
      <c r="N369" t="str">
        <f>COUNTIF($N$5:$N$359,$A1358)</f>
        <v>0</v>
      </c>
      <c r="O369" t="str">
        <f>COUNTIF($O$5:$O$359,$A1358)</f>
        <v>0</v>
      </c>
      <c r="P369" t="str">
        <f>COUNTIF($P$5:$P$359,$A1358)</f>
        <v>0</v>
      </c>
      <c r="Q369" t="str">
        <f>COUNTIF($Q$5:$Q$359,$A1358)</f>
        <v>0</v>
      </c>
      <c r="R369" t="str">
        <f>COUNTIF($R$5:$R$359,$A1358)</f>
        <v>0</v>
      </c>
      <c r="S369" t="str">
        <f>COUNTIF($S$5:$S$359,$A1358)</f>
        <v>0</v>
      </c>
      <c r="T369" t="str">
        <f>COUNTIF($T$5:$T$359,$A1358)</f>
        <v>0</v>
      </c>
      <c r="U369" t="str">
        <f>COUNTIF($U$5:$U$359,$A1358)</f>
        <v>0</v>
      </c>
      <c r="V369" t="str">
        <f>COUNTIF($V$5:$V$359,$A1358)</f>
        <v>0</v>
      </c>
      <c r="W369" t="str">
        <f>COUNTIF($W$5:$W$359,$A1358)</f>
        <v>0</v>
      </c>
      <c r="X369" t="str">
        <f>COUNTIF($X$5:$X$359,$A1358)</f>
        <v>0</v>
      </c>
      <c r="Y369" t="str">
        <f>COUNTIF($Y$5:$Y$359,$A1358)</f>
        <v>0</v>
      </c>
    </row>
    <row r="370" spans="1:27">
      <c r="A370" t="s">
        <v>395</v>
      </c>
      <c r="B370" t="str">
        <f>COUNTIF($B$5:$B$359,$A1359)</f>
        <v>0</v>
      </c>
      <c r="C370" t="str">
        <f>COUNTIF($C$5:$C$359,$A1359)</f>
        <v>0</v>
      </c>
      <c r="D370" t="str">
        <f>COUNTIF($D$5:$D$359,$A1359)</f>
        <v>0</v>
      </c>
      <c r="E370" t="str">
        <f>COUNTIF($E$5:$E$359,$A1359)</f>
        <v>0</v>
      </c>
      <c r="F370" t="str">
        <f>COUNTIF($F$5:$F$359,$A1359)</f>
        <v>0</v>
      </c>
      <c r="G370" t="str">
        <f>COUNTIF($G$5:$G$359,$A1359)</f>
        <v>0</v>
      </c>
      <c r="H370" t="str">
        <f>COUNTIF($H$5:$H$359,$A1359)</f>
        <v>0</v>
      </c>
      <c r="I370" t="str">
        <f>COUNTIF($I$5:$I$359,$A1359)</f>
        <v>0</v>
      </c>
      <c r="J370" t="str">
        <f>COUNTIF($J$5:$J$359,$A1359)</f>
        <v>0</v>
      </c>
      <c r="K370" t="str">
        <f>COUNTIF($K$5:$K$359,$A1359)</f>
        <v>0</v>
      </c>
      <c r="L370" t="str">
        <f>COUNTIF($L$5:$L$359,$A1359)</f>
        <v>0</v>
      </c>
      <c r="M370" t="str">
        <f>COUNTIF($M$5:$M$359,$A1359)</f>
        <v>0</v>
      </c>
      <c r="N370" t="str">
        <f>COUNTIF($N$5:$N$359,$A1359)</f>
        <v>0</v>
      </c>
      <c r="O370" t="str">
        <f>COUNTIF($O$5:$O$359,$A1359)</f>
        <v>0</v>
      </c>
      <c r="P370" t="str">
        <f>COUNTIF($P$5:$P$359,$A1359)</f>
        <v>0</v>
      </c>
      <c r="Q370" t="str">
        <f>COUNTIF($Q$5:$Q$359,$A1359)</f>
        <v>0</v>
      </c>
      <c r="R370" t="str">
        <f>COUNTIF($R$5:$R$359,$A1359)</f>
        <v>0</v>
      </c>
      <c r="S370" t="str">
        <f>COUNTIF($S$5:$S$359,$A1359)</f>
        <v>0</v>
      </c>
      <c r="T370" t="str">
        <f>COUNTIF($T$5:$T$359,$A1359)</f>
        <v>0</v>
      </c>
      <c r="U370" t="str">
        <f>COUNTIF($U$5:$U$359,$A1359)</f>
        <v>0</v>
      </c>
      <c r="V370" t="str">
        <f>COUNTIF($V$5:$V$359,$A1359)</f>
        <v>0</v>
      </c>
      <c r="W370" t="str">
        <f>COUNTIF($W$5:$W$359,$A1359)</f>
        <v>0</v>
      </c>
      <c r="X370" t="str">
        <f>COUNTIF($X$5:$X$359,$A1359)</f>
        <v>0</v>
      </c>
      <c r="Y370" t="str">
        <f>COUNTIF($Y$5:$Y$359,$A1359)</f>
        <v>0</v>
      </c>
    </row>
    <row r="371" spans="1:27">
      <c r="A371" t="s">
        <v>4</v>
      </c>
      <c r="B371" t="str">
        <f>SUM($B366:$B370)</f>
        <v>0</v>
      </c>
      <c r="C371" t="str">
        <f>SUM($C366:$C370)</f>
        <v>0</v>
      </c>
      <c r="D371" t="str">
        <f>SUM($D366:$D370)</f>
        <v>0</v>
      </c>
      <c r="E371" t="str">
        <f>SUM($E366:$E370)</f>
        <v>0</v>
      </c>
      <c r="F371" t="str">
        <f>SUM($F366:$F370)</f>
        <v>0</v>
      </c>
      <c r="G371" t="str">
        <f>SUM($G366:$G370)</f>
        <v>0</v>
      </c>
      <c r="H371" t="str">
        <f>SUM($H366:$H370)</f>
        <v>0</v>
      </c>
      <c r="I371" t="str">
        <f>SUM($I366:$I370)</f>
        <v>0</v>
      </c>
      <c r="J371" t="str">
        <f>SUM($J366:$J370)</f>
        <v>0</v>
      </c>
      <c r="K371" t="str">
        <f>SUM($K366:$K370)</f>
        <v>0</v>
      </c>
      <c r="L371" t="str">
        <f>SUM($L366:$L370)</f>
        <v>0</v>
      </c>
      <c r="M371" t="str">
        <f>SUM($M366:$M370)</f>
        <v>0</v>
      </c>
      <c r="N371" t="str">
        <f>SUM($N366:$N370)</f>
        <v>0</v>
      </c>
      <c r="O371" t="str">
        <f>SUM($O366:$O370)</f>
        <v>0</v>
      </c>
      <c r="P371" t="str">
        <f>SUM($P366:$P370)</f>
        <v>0</v>
      </c>
      <c r="Q371" t="str">
        <f>SUM($Q366:$Q370)</f>
        <v>0</v>
      </c>
      <c r="R371" t="str">
        <f>SUM($R366:$R370)</f>
        <v>0</v>
      </c>
      <c r="S371" t="str">
        <f>SUM($S366:$S370)</f>
        <v>0</v>
      </c>
      <c r="T371" t="str">
        <f>SUM($T366:$T370)</f>
        <v>0</v>
      </c>
      <c r="U371" t="str">
        <f>SUM($U366:$U370)</f>
        <v>0</v>
      </c>
      <c r="V371" t="str">
        <f>SUM($V366:$V370)</f>
        <v>0</v>
      </c>
      <c r="W371" t="str">
        <f>SUM($W366:$W370)</f>
        <v>0</v>
      </c>
      <c r="X371" t="str">
        <f>SUM($X366:$X370)</f>
        <v>0</v>
      </c>
      <c r="Y371" t="str">
        <f>SUM($Y366:$Y370)</f>
        <v>0</v>
      </c>
    </row>
    <row r="372" spans="1:27">
      <c r="A372" t="s">
        <v>396</v>
      </c>
      <c r="B372" s="5" t="str">
        <f>($B366/$B371)</f>
        <v>0</v>
      </c>
      <c r="C372" s="5" t="str">
        <f>($C366/$C371)</f>
        <v>0</v>
      </c>
      <c r="D372" s="5" t="str">
        <f>($D366/$D371)</f>
        <v>0</v>
      </c>
      <c r="E372" s="5" t="str">
        <f>($E366/$E371)</f>
        <v>0</v>
      </c>
      <c r="F372" s="5" t="str">
        <f>($F366/$F371)</f>
        <v>0</v>
      </c>
      <c r="G372" s="5" t="str">
        <f>($G366/$G371)</f>
        <v>0</v>
      </c>
      <c r="H372" s="5" t="str">
        <f>($H366/$H371)</f>
        <v>0</v>
      </c>
      <c r="I372" s="5" t="str">
        <f>($I366/$I371)</f>
        <v>0</v>
      </c>
      <c r="J372" s="5" t="str">
        <f>($J366/$J371)</f>
        <v>0</v>
      </c>
      <c r="K372" s="5" t="str">
        <f>($K366/$K371)</f>
        <v>0</v>
      </c>
      <c r="L372" s="5" t="str">
        <f>($L366/$L371)</f>
        <v>0</v>
      </c>
      <c r="M372" s="5" t="str">
        <f>($M366/$M371)</f>
        <v>0</v>
      </c>
      <c r="N372" s="5" t="str">
        <f>($N366/$N371)</f>
        <v>0</v>
      </c>
      <c r="O372" s="5" t="str">
        <f>($O366/$O371)</f>
        <v>0</v>
      </c>
      <c r="P372" s="5" t="str">
        <f>($P366/$P371)</f>
        <v>0</v>
      </c>
      <c r="Q372" s="5" t="str">
        <f>($Q366/$Q371)</f>
        <v>0</v>
      </c>
      <c r="R372" s="5" t="str">
        <f>($R366/$R371)</f>
        <v>0</v>
      </c>
      <c r="S372" s="5" t="str">
        <f>($S366/$S371)</f>
        <v>0</v>
      </c>
      <c r="T372" s="5" t="str">
        <f>($T366/$T371)</f>
        <v>0</v>
      </c>
      <c r="U372" s="5" t="str">
        <f>($U366/$U371)</f>
        <v>0</v>
      </c>
      <c r="V372" s="5" t="str">
        <f>($V366/$V371)</f>
        <v>0</v>
      </c>
      <c r="W372" s="5" t="str">
        <f>($W366/$W371)</f>
        <v>0</v>
      </c>
      <c r="X372" s="5" t="str">
        <f>($X366/$X371)</f>
        <v>0</v>
      </c>
      <c r="Y372" s="5" t="str">
        <f>($Y366/$Y371)</f>
        <v>0</v>
      </c>
    </row>
    <row r="373" spans="1:27">
      <c r="A373" t="s">
        <v>397</v>
      </c>
      <c r="B373" s="5" t="str">
        <f>($B367/$B371)</f>
        <v>0</v>
      </c>
      <c r="C373" s="5" t="str">
        <f>($C367/$C371)</f>
        <v>0</v>
      </c>
      <c r="D373" s="5" t="str">
        <f>($D367/$D371)</f>
        <v>0</v>
      </c>
      <c r="E373" s="5" t="str">
        <f>($E367/$E371)</f>
        <v>0</v>
      </c>
      <c r="F373" s="5" t="str">
        <f>($F367/$F371)</f>
        <v>0</v>
      </c>
      <c r="G373" s="5" t="str">
        <f>($G367/$G371)</f>
        <v>0</v>
      </c>
      <c r="H373" s="5" t="str">
        <f>($H367/$H371)</f>
        <v>0</v>
      </c>
      <c r="I373" s="5" t="str">
        <f>($I367/$I371)</f>
        <v>0</v>
      </c>
      <c r="J373" s="5" t="str">
        <f>($J367/$J371)</f>
        <v>0</v>
      </c>
      <c r="K373" s="5" t="str">
        <f>($K367/$K371)</f>
        <v>0</v>
      </c>
      <c r="L373" s="5" t="str">
        <f>($L367/$L371)</f>
        <v>0</v>
      </c>
      <c r="M373" s="5" t="str">
        <f>($M367/$M371)</f>
        <v>0</v>
      </c>
      <c r="N373" s="5" t="str">
        <f>($N367/$N371)</f>
        <v>0</v>
      </c>
      <c r="O373" s="5" t="str">
        <f>($O367/$O371)</f>
        <v>0</v>
      </c>
      <c r="P373" s="5" t="str">
        <f>($P367/$P371)</f>
        <v>0</v>
      </c>
      <c r="Q373" s="5" t="str">
        <f>($Q367/$Q371)</f>
        <v>0</v>
      </c>
      <c r="R373" s="5" t="str">
        <f>($R367/$R371)</f>
        <v>0</v>
      </c>
      <c r="S373" s="5" t="str">
        <f>($S367/$S371)</f>
        <v>0</v>
      </c>
      <c r="T373" s="5" t="str">
        <f>($T367/$T371)</f>
        <v>0</v>
      </c>
      <c r="U373" s="5" t="str">
        <f>($U367/$U371)</f>
        <v>0</v>
      </c>
      <c r="V373" s="5" t="str">
        <f>($V367/$V371)</f>
        <v>0</v>
      </c>
      <c r="W373" s="5" t="str">
        <f>($W367/$W371)</f>
        <v>0</v>
      </c>
      <c r="X373" s="5" t="str">
        <f>($X367/$X371)</f>
        <v>0</v>
      </c>
      <c r="Y373" s="5" t="str">
        <f>($Y367/$Y371)</f>
        <v>0</v>
      </c>
    </row>
    <row r="374" spans="1:27">
      <c r="A374" t="s">
        <v>398</v>
      </c>
      <c r="B374" s="5" t="str">
        <f>($B368/$B371)</f>
        <v>0</v>
      </c>
      <c r="C374" s="5" t="str">
        <f>($C368/$C371)</f>
        <v>0</v>
      </c>
      <c r="D374" s="5" t="str">
        <f>($D368/$D371)</f>
        <v>0</v>
      </c>
      <c r="E374" s="5" t="str">
        <f>($E368/$E371)</f>
        <v>0</v>
      </c>
      <c r="F374" s="5" t="str">
        <f>($F368/$F371)</f>
        <v>0</v>
      </c>
      <c r="G374" s="5" t="str">
        <f>($G368/$G371)</f>
        <v>0</v>
      </c>
      <c r="H374" s="5" t="str">
        <f>($H368/$H371)</f>
        <v>0</v>
      </c>
      <c r="I374" s="5" t="str">
        <f>($I368/$I371)</f>
        <v>0</v>
      </c>
      <c r="J374" s="5" t="str">
        <f>($J368/$J371)</f>
        <v>0</v>
      </c>
      <c r="K374" s="5" t="str">
        <f>($K368/$K371)</f>
        <v>0</v>
      </c>
      <c r="L374" s="5" t="str">
        <f>($L368/$L371)</f>
        <v>0</v>
      </c>
      <c r="M374" s="5" t="str">
        <f>($M368/$M371)</f>
        <v>0</v>
      </c>
      <c r="N374" s="5" t="str">
        <f>($N368/$N371)</f>
        <v>0</v>
      </c>
      <c r="O374" s="5" t="str">
        <f>($O368/$O371)</f>
        <v>0</v>
      </c>
      <c r="P374" s="5" t="str">
        <f>($P368/$P371)</f>
        <v>0</v>
      </c>
      <c r="Q374" s="5" t="str">
        <f>($Q368/$Q371)</f>
        <v>0</v>
      </c>
      <c r="R374" s="5" t="str">
        <f>($R368/$R371)</f>
        <v>0</v>
      </c>
      <c r="S374" s="5" t="str">
        <f>($S368/$S371)</f>
        <v>0</v>
      </c>
      <c r="T374" s="5" t="str">
        <f>($T368/$T371)</f>
        <v>0</v>
      </c>
      <c r="U374" s="5" t="str">
        <f>($U368/$U371)</f>
        <v>0</v>
      </c>
      <c r="V374" s="5" t="str">
        <f>($V368/$V371)</f>
        <v>0</v>
      </c>
      <c r="W374" s="5" t="str">
        <f>($W368/$W371)</f>
        <v>0</v>
      </c>
      <c r="X374" s="5" t="str">
        <f>($X368/$X371)</f>
        <v>0</v>
      </c>
      <c r="Y374" s="5" t="str">
        <f>($Y368/$Y371)</f>
        <v>0</v>
      </c>
    </row>
    <row r="375" spans="1:27">
      <c r="A375" t="s">
        <v>399</v>
      </c>
      <c r="B375" s="5" t="str">
        <f>($B369/$B371)</f>
        <v>0</v>
      </c>
      <c r="C375" s="5" t="str">
        <f>($C369/$C371)</f>
        <v>0</v>
      </c>
      <c r="D375" s="5" t="str">
        <f>($D369/$D371)</f>
        <v>0</v>
      </c>
      <c r="E375" s="5" t="str">
        <f>($E369/$E371)</f>
        <v>0</v>
      </c>
      <c r="F375" s="5" t="str">
        <f>($F369/$F371)</f>
        <v>0</v>
      </c>
      <c r="G375" s="5" t="str">
        <f>($G369/$G371)</f>
        <v>0</v>
      </c>
      <c r="H375" s="5" t="str">
        <f>($H369/$H371)</f>
        <v>0</v>
      </c>
      <c r="I375" s="5" t="str">
        <f>($I369/$I371)</f>
        <v>0</v>
      </c>
      <c r="J375" s="5" t="str">
        <f>($J369/$J371)</f>
        <v>0</v>
      </c>
      <c r="K375" s="5" t="str">
        <f>($K369/$K371)</f>
        <v>0</v>
      </c>
      <c r="L375" s="5" t="str">
        <f>($L369/$L371)</f>
        <v>0</v>
      </c>
      <c r="M375" s="5" t="str">
        <f>($M369/$M371)</f>
        <v>0</v>
      </c>
      <c r="N375" s="5" t="str">
        <f>($N369/$N371)</f>
        <v>0</v>
      </c>
      <c r="O375" s="5" t="str">
        <f>($O369/$O371)</f>
        <v>0</v>
      </c>
      <c r="P375" s="5" t="str">
        <f>($P369/$P371)</f>
        <v>0</v>
      </c>
      <c r="Q375" s="5" t="str">
        <f>($Q369/$Q371)</f>
        <v>0</v>
      </c>
      <c r="R375" s="5" t="str">
        <f>($R369/$R371)</f>
        <v>0</v>
      </c>
      <c r="S375" s="5" t="str">
        <f>($S369/$S371)</f>
        <v>0</v>
      </c>
      <c r="T375" s="5" t="str">
        <f>($T369/$T371)</f>
        <v>0</v>
      </c>
      <c r="U375" s="5" t="str">
        <f>($U369/$U371)</f>
        <v>0</v>
      </c>
      <c r="V375" s="5" t="str">
        <f>($V369/$V371)</f>
        <v>0</v>
      </c>
      <c r="W375" s="5" t="str">
        <f>($W369/$W371)</f>
        <v>0</v>
      </c>
      <c r="X375" s="5" t="str">
        <f>($X369/$X371)</f>
        <v>0</v>
      </c>
      <c r="Y375" s="5" t="str">
        <f>($Y369/$Y371)</f>
        <v>0</v>
      </c>
    </row>
    <row r="376" spans="1:27">
      <c r="A376" t="s">
        <v>400</v>
      </c>
      <c r="B376" s="5" t="str">
        <f>($B370/$B371)</f>
        <v>0</v>
      </c>
      <c r="C376" s="5" t="str">
        <f>($C370/$C371)</f>
        <v>0</v>
      </c>
      <c r="D376" s="5" t="str">
        <f>($D370/$D371)</f>
        <v>0</v>
      </c>
      <c r="E376" s="5" t="str">
        <f>($E370/$E371)</f>
        <v>0</v>
      </c>
      <c r="F376" s="5" t="str">
        <f>($F370/$F371)</f>
        <v>0</v>
      </c>
      <c r="G376" s="5" t="str">
        <f>($G370/$G371)</f>
        <v>0</v>
      </c>
      <c r="H376" s="5" t="str">
        <f>($H370/$H371)</f>
        <v>0</v>
      </c>
      <c r="I376" s="5" t="str">
        <f>($I370/$I371)</f>
        <v>0</v>
      </c>
      <c r="J376" s="5" t="str">
        <f>($J370/$J371)</f>
        <v>0</v>
      </c>
      <c r="K376" s="5" t="str">
        <f>($K370/$K371)</f>
        <v>0</v>
      </c>
      <c r="L376" s="5" t="str">
        <f>($L370/$L371)</f>
        <v>0</v>
      </c>
      <c r="M376" s="5" t="str">
        <f>($M370/$M371)</f>
        <v>0</v>
      </c>
      <c r="N376" s="5" t="str">
        <f>($N370/$N371)</f>
        <v>0</v>
      </c>
      <c r="O376" s="5" t="str">
        <f>($O370/$O371)</f>
        <v>0</v>
      </c>
      <c r="P376" s="5" t="str">
        <f>($P370/$P371)</f>
        <v>0</v>
      </c>
      <c r="Q376" s="5" t="str">
        <f>($Q370/$Q371)</f>
        <v>0</v>
      </c>
      <c r="R376" s="5" t="str">
        <f>($R370/$R371)</f>
        <v>0</v>
      </c>
      <c r="S376" s="5" t="str">
        <f>($S370/$S371)</f>
        <v>0</v>
      </c>
      <c r="T376" s="5" t="str">
        <f>($T370/$T371)</f>
        <v>0</v>
      </c>
      <c r="U376" s="5" t="str">
        <f>($U370/$U371)</f>
        <v>0</v>
      </c>
      <c r="V376" s="5" t="str">
        <f>($V370/$V371)</f>
        <v>0</v>
      </c>
      <c r="W376" s="5" t="str">
        <f>($W370/$W371)</f>
        <v>0</v>
      </c>
      <c r="X376" s="5" t="str">
        <f>($X370/$X371)</f>
        <v>0</v>
      </c>
      <c r="Y376" s="5" t="str">
        <f>($Y370/$Y371)</f>
        <v>0</v>
      </c>
    </row>
    <row r="377" spans="1:27">
      <c r="A377" t="s">
        <v>401</v>
      </c>
      <c r="B377" s="5" t="str">
        <f>SUM($B372:$B376)</f>
        <v>0</v>
      </c>
      <c r="C377" s="5" t="str">
        <f>SUM($C372:$C376)</f>
        <v>0</v>
      </c>
      <c r="D377" s="5" t="str">
        <f>SUM($D372:$D376)</f>
        <v>0</v>
      </c>
      <c r="E377" s="5" t="str">
        <f>SUM($E372:$E376)</f>
        <v>0</v>
      </c>
      <c r="F377" s="5" t="str">
        <f>SUM($F372:$F376)</f>
        <v>0</v>
      </c>
      <c r="G377" s="5" t="str">
        <f>SUM($G372:$G376)</f>
        <v>0</v>
      </c>
      <c r="H377" s="5" t="str">
        <f>SUM($H372:$H376)</f>
        <v>0</v>
      </c>
      <c r="I377" s="5" t="str">
        <f>SUM($I372:$I376)</f>
        <v>0</v>
      </c>
      <c r="J377" s="5" t="str">
        <f>SUM($J372:$J376)</f>
        <v>0</v>
      </c>
      <c r="K377" s="5" t="str">
        <f>SUM($K372:$K376)</f>
        <v>0</v>
      </c>
      <c r="L377" s="5" t="str">
        <f>SUM($L372:$L376)</f>
        <v>0</v>
      </c>
      <c r="M377" s="5" t="str">
        <f>SUM($M372:$M376)</f>
        <v>0</v>
      </c>
      <c r="N377" s="5" t="str">
        <f>SUM($N372:$N376)</f>
        <v>0</v>
      </c>
      <c r="O377" s="5" t="str">
        <f>SUM($O372:$O376)</f>
        <v>0</v>
      </c>
      <c r="P377" s="5" t="str">
        <f>SUM($P372:$P376)</f>
        <v>0</v>
      </c>
      <c r="Q377" s="5" t="str">
        <f>SUM($Q372:$Q376)</f>
        <v>0</v>
      </c>
      <c r="R377" s="5" t="str">
        <f>SUM($R372:$R376)</f>
        <v>0</v>
      </c>
      <c r="S377" s="5" t="str">
        <f>SUM($S372:$S376)</f>
        <v>0</v>
      </c>
      <c r="T377" s="5" t="str">
        <f>SUM($T372:$T376)</f>
        <v>0</v>
      </c>
      <c r="U377" s="5" t="str">
        <f>SUM($U372:$U376)</f>
        <v>0</v>
      </c>
      <c r="V377" s="5" t="str">
        <f>SUM($V372:$V376)</f>
        <v>0</v>
      </c>
      <c r="W377" s="5" t="str">
        <f>SUM($W372:$W376)</f>
        <v>0</v>
      </c>
      <c r="X377" s="5" t="str">
        <f>SUM($X372:$X376)</f>
        <v>0</v>
      </c>
      <c r="Y377" s="5" t="str">
        <f>SUM($Y372:$Y376)</f>
        <v>0</v>
      </c>
    </row>
    <row r="1355" spans="1:27">
      <c r="A1355" s="4">
        <v>1</v>
      </c>
    </row>
    <row r="1356" spans="1:27">
      <c r="A1356" s="4">
        <v>2</v>
      </c>
    </row>
    <row r="1357" spans="1:27">
      <c r="A1357" s="4">
        <v>3</v>
      </c>
    </row>
    <row r="1358" spans="1:27">
      <c r="A1358" s="4">
        <v>4</v>
      </c>
    </row>
    <row r="1359" spans="1:27">
      <c r="A1359" s="4">
        <v>5</v>
      </c>
    </row>
    <row r="1360" spans="1:27">
      <c r="B1360" t="str">
        <f>SUM($B1355:$B1359)</f>
        <v>0</v>
      </c>
      <c r="C1360" t="str">
        <f>SUM($C1355:$C1359)</f>
        <v>0</v>
      </c>
      <c r="D1360" t="str">
        <f>SUM($D1355:$D1359)</f>
        <v>0</v>
      </c>
      <c r="E1360" t="str">
        <f>SUM($E1355:$E1359)</f>
        <v>0</v>
      </c>
      <c r="F1360" t="str">
        <f>SUM($F1355:$F1359)</f>
        <v>0</v>
      </c>
      <c r="G1360" t="str">
        <f>SUM($G1355:$G1359)</f>
        <v>0</v>
      </c>
      <c r="H1360" t="str">
        <f>SUM($H1355:$H1359)</f>
        <v>0</v>
      </c>
      <c r="I1360" t="str">
        <f>SUM($I1355:$I1359)</f>
        <v>0</v>
      </c>
      <c r="J1360" t="str">
        <f>SUM($J1355:$J1359)</f>
        <v>0</v>
      </c>
      <c r="K1360" t="str">
        <f>SUM($K1355:$K1359)</f>
        <v>0</v>
      </c>
      <c r="L1360" t="str">
        <f>SUM($L1355:$L1359)</f>
        <v>0</v>
      </c>
      <c r="M1360" t="str">
        <f>SUM($M1355:$M1359)</f>
        <v>0</v>
      </c>
      <c r="N1360" t="str">
        <f>SUM($N1355:$N1359)</f>
        <v>0</v>
      </c>
      <c r="O1360" t="str">
        <f>SUM($O1355:$O1359)</f>
        <v>0</v>
      </c>
      <c r="P1360" t="str">
        <f>SUM($P1355:$P1359)</f>
        <v>0</v>
      </c>
      <c r="Q1360" t="str">
        <f>SUM($Q1355:$Q1359)</f>
        <v>0</v>
      </c>
      <c r="R1360" t="str">
        <f>SUM($R1355:$R1359)</f>
        <v>0</v>
      </c>
      <c r="S1360" t="str">
        <f>SUM($S1355:$S1359)</f>
        <v>0</v>
      </c>
      <c r="T1360" t="str">
        <f>SUM($T1355:$T1359)</f>
        <v>0</v>
      </c>
      <c r="U1360" t="str">
        <f>SUM($U1355:$U1359)</f>
        <v>0</v>
      </c>
      <c r="V1360" t="str">
        <f>SUM($V1355:$V1359)</f>
        <v>0</v>
      </c>
      <c r="W1360" t="str">
        <f>SUM($W1355:$W1359)</f>
        <v>0</v>
      </c>
      <c r="X1360" t="str">
        <f>SUM($X1355:$X1359)</f>
        <v>0</v>
      </c>
      <c r="Y1360" t="str">
        <f>SUM($Y1355:$Y1359)</f>
        <v>0</v>
      </c>
    </row>
    <row r="1361" spans="1:27">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row>
    <row r="1362" spans="1:27">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row>
    <row r="1363" spans="1:27">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row>
    <row r="1364" spans="1:27">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row>
    <row r="1365" spans="1:27">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row>
    <row r="1366" spans="1:27">
      <c r="B1366" s="5" t="str">
        <f>SUM($B1361:$B1365)</f>
        <v>0</v>
      </c>
      <c r="C1366" s="5" t="str">
        <f>SUM($C1361:$C1365)</f>
        <v>0</v>
      </c>
      <c r="D1366" s="5" t="str">
        <f>SUM($D1361:$D1365)</f>
        <v>0</v>
      </c>
      <c r="E1366" s="5" t="str">
        <f>SUM($E1361:$E1365)</f>
        <v>0</v>
      </c>
      <c r="F1366" s="5" t="str">
        <f>SUM($F1361:$F1365)</f>
        <v>0</v>
      </c>
      <c r="G1366" s="5" t="str">
        <f>SUM($G1361:$G1365)</f>
        <v>0</v>
      </c>
      <c r="H1366" s="5" t="str">
        <f>SUM($H1361:$H1365)</f>
        <v>0</v>
      </c>
      <c r="I1366" s="5" t="str">
        <f>SUM($I1361:$I1365)</f>
        <v>0</v>
      </c>
      <c r="J1366" s="5" t="str">
        <f>SUM($J1361:$J1365)</f>
        <v>0</v>
      </c>
      <c r="K1366" s="5" t="str">
        <f>SUM($K1361:$K1365)</f>
        <v>0</v>
      </c>
      <c r="L1366" s="5" t="str">
        <f>SUM($L1361:$L1365)</f>
        <v>0</v>
      </c>
      <c r="M1366" s="5" t="str">
        <f>SUM($M1361:$M1365)</f>
        <v>0</v>
      </c>
      <c r="N1366" s="5" t="str">
        <f>SUM($N1361:$N1365)</f>
        <v>0</v>
      </c>
      <c r="O1366" s="5" t="str">
        <f>SUM($O1361:$O1365)</f>
        <v>0</v>
      </c>
      <c r="P1366" s="5" t="str">
        <f>SUM($P1361:$P1365)</f>
        <v>0</v>
      </c>
      <c r="Q1366" s="5" t="str">
        <f>SUM($Q1361:$Q1365)</f>
        <v>0</v>
      </c>
      <c r="R1366" s="5" t="str">
        <f>SUM($R1361:$R1365)</f>
        <v>0</v>
      </c>
      <c r="S1366" s="5" t="str">
        <f>SUM($S1361:$S1365)</f>
        <v>0</v>
      </c>
      <c r="T1366" s="5" t="str">
        <f>SUM($T1361:$T1365)</f>
        <v>0</v>
      </c>
      <c r="U1366" s="5" t="str">
        <f>SUM($U1361:$U1365)</f>
        <v>0</v>
      </c>
      <c r="V1366" s="5" t="str">
        <f>SUM($V1361:$V1365)</f>
        <v>0</v>
      </c>
      <c r="W1366" s="5" t="str">
        <f>SUM($W1361:$W1365)</f>
        <v>0</v>
      </c>
      <c r="X1366" s="5" t="str">
        <f>SUM($X1361:$X1365)</f>
        <v>0</v>
      </c>
      <c r="Y1366" s="5" t="str">
        <f>SUM($Y1361:$Y1365)</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A2"/>
    <mergeCell ref="B3:I3"/>
    <mergeCell ref="J3:Q3"/>
    <mergeCell ref="R3:Y3"/>
    <mergeCell ref="Z3:Z3"/>
    <mergeCell ref="AA3:AA3"/>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X4:X4"/>
    <mergeCell ref="Y4:Y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Y5:Y5"/>
    <mergeCell ref="Z5:Z5"/>
    <mergeCell ref="A6:A6"/>
    <mergeCell ref="B6:B6"/>
    <mergeCell ref="C6:C6"/>
    <mergeCell ref="D6:D6"/>
    <mergeCell ref="E6:E6"/>
    <mergeCell ref="F6:F6"/>
    <mergeCell ref="G6:G6"/>
    <mergeCell ref="H6:H6"/>
    <mergeCell ref="I6:I6"/>
    <mergeCell ref="J6:J6"/>
    <mergeCell ref="K6:K6"/>
    <mergeCell ref="L6:L6"/>
    <mergeCell ref="M6:M6"/>
    <mergeCell ref="N6:N6"/>
    <mergeCell ref="O6:O6"/>
    <mergeCell ref="P6:P6"/>
    <mergeCell ref="Q6:Q6"/>
    <mergeCell ref="R6:R6"/>
    <mergeCell ref="S6:S6"/>
    <mergeCell ref="T6:T6"/>
    <mergeCell ref="U6:U6"/>
    <mergeCell ref="V6:V6"/>
    <mergeCell ref="W6:W6"/>
    <mergeCell ref="X6:X6"/>
    <mergeCell ref="Y6:Y6"/>
    <mergeCell ref="Z6:Z6"/>
    <mergeCell ref="A7:A7"/>
    <mergeCell ref="B7:B7"/>
    <mergeCell ref="C7:C7"/>
    <mergeCell ref="D7:D7"/>
    <mergeCell ref="E7:E7"/>
    <mergeCell ref="F7:F7"/>
    <mergeCell ref="G7:G7"/>
    <mergeCell ref="H7:H7"/>
    <mergeCell ref="I7:I7"/>
    <mergeCell ref="J7:J7"/>
    <mergeCell ref="K7:K7"/>
    <mergeCell ref="L7:L7"/>
    <mergeCell ref="M7:M7"/>
    <mergeCell ref="N7:N7"/>
    <mergeCell ref="O7:O7"/>
    <mergeCell ref="P7:P7"/>
    <mergeCell ref="Q7:Q7"/>
    <mergeCell ref="R7:R7"/>
    <mergeCell ref="S7:S7"/>
    <mergeCell ref="T7:T7"/>
    <mergeCell ref="U7:U7"/>
    <mergeCell ref="V7:V7"/>
    <mergeCell ref="W7:W7"/>
    <mergeCell ref="X7:X7"/>
    <mergeCell ref="Y7:Y7"/>
    <mergeCell ref="Z7:Z7"/>
    <mergeCell ref="A8:A8"/>
    <mergeCell ref="B8:B8"/>
    <mergeCell ref="C8:C8"/>
    <mergeCell ref="D8:D8"/>
    <mergeCell ref="E8:E8"/>
    <mergeCell ref="F8:F8"/>
    <mergeCell ref="G8:G8"/>
    <mergeCell ref="H8:H8"/>
    <mergeCell ref="I8:I8"/>
    <mergeCell ref="J8:J8"/>
    <mergeCell ref="K8:K8"/>
    <mergeCell ref="L8:L8"/>
    <mergeCell ref="M8:M8"/>
    <mergeCell ref="N8:N8"/>
    <mergeCell ref="O8:O8"/>
    <mergeCell ref="P8:P8"/>
    <mergeCell ref="Q8:Q8"/>
    <mergeCell ref="R8:R8"/>
    <mergeCell ref="S8:S8"/>
    <mergeCell ref="T8:T8"/>
    <mergeCell ref="U8:U8"/>
    <mergeCell ref="V8:V8"/>
    <mergeCell ref="W8:W8"/>
    <mergeCell ref="X8:X8"/>
    <mergeCell ref="Y8:Y8"/>
    <mergeCell ref="Z8:Z8"/>
    <mergeCell ref="A9:A9"/>
    <mergeCell ref="B9:B9"/>
    <mergeCell ref="C9:C9"/>
    <mergeCell ref="D9:D9"/>
    <mergeCell ref="E9:E9"/>
    <mergeCell ref="F9:F9"/>
    <mergeCell ref="G9:G9"/>
    <mergeCell ref="H9:H9"/>
    <mergeCell ref="I9:I9"/>
    <mergeCell ref="J9:J9"/>
    <mergeCell ref="K9:K9"/>
    <mergeCell ref="L9:L9"/>
    <mergeCell ref="M9:M9"/>
    <mergeCell ref="N9:N9"/>
    <mergeCell ref="O9:O9"/>
    <mergeCell ref="P9:P9"/>
    <mergeCell ref="Q9:Q9"/>
    <mergeCell ref="R9:R9"/>
    <mergeCell ref="S9:S9"/>
    <mergeCell ref="T9:T9"/>
    <mergeCell ref="U9:U9"/>
    <mergeCell ref="V9:V9"/>
    <mergeCell ref="W9:W9"/>
    <mergeCell ref="X9:X9"/>
    <mergeCell ref="Y9:Y9"/>
    <mergeCell ref="Z9:Z9"/>
    <mergeCell ref="A10:A10"/>
    <mergeCell ref="B10:B10"/>
    <mergeCell ref="C10:C10"/>
    <mergeCell ref="D10:D10"/>
    <mergeCell ref="E10:E10"/>
    <mergeCell ref="F10:F10"/>
    <mergeCell ref="G10:G10"/>
    <mergeCell ref="H10:H10"/>
    <mergeCell ref="I10:I10"/>
    <mergeCell ref="J10:J10"/>
    <mergeCell ref="K10:K10"/>
    <mergeCell ref="L10:L10"/>
    <mergeCell ref="M10:M10"/>
    <mergeCell ref="N10:N10"/>
    <mergeCell ref="O10:O10"/>
    <mergeCell ref="P10:P10"/>
    <mergeCell ref="Q10:Q10"/>
    <mergeCell ref="R10:R10"/>
    <mergeCell ref="S10:S10"/>
    <mergeCell ref="T10:T10"/>
    <mergeCell ref="U10:U10"/>
    <mergeCell ref="V10:V10"/>
    <mergeCell ref="W10:W10"/>
    <mergeCell ref="X10:X10"/>
    <mergeCell ref="Y10:Y10"/>
    <mergeCell ref="Z10:Z10"/>
    <mergeCell ref="A11:A11"/>
    <mergeCell ref="B11:B11"/>
    <mergeCell ref="C11:C11"/>
    <mergeCell ref="D11:D11"/>
    <mergeCell ref="E11:E11"/>
    <mergeCell ref="F11:F11"/>
    <mergeCell ref="G11:G11"/>
    <mergeCell ref="H11:H11"/>
    <mergeCell ref="I11:I11"/>
    <mergeCell ref="J11:J11"/>
    <mergeCell ref="K11:K11"/>
    <mergeCell ref="L11:L11"/>
    <mergeCell ref="M11:M11"/>
    <mergeCell ref="N11:N11"/>
    <mergeCell ref="O11:O11"/>
    <mergeCell ref="P11:P11"/>
    <mergeCell ref="Q11:Q11"/>
    <mergeCell ref="R11:R11"/>
    <mergeCell ref="S11:S11"/>
    <mergeCell ref="T11:T11"/>
    <mergeCell ref="U11:U11"/>
    <mergeCell ref="V11:V11"/>
    <mergeCell ref="W11:W11"/>
    <mergeCell ref="X11:X11"/>
    <mergeCell ref="Y11:Y11"/>
    <mergeCell ref="Z11:Z11"/>
    <mergeCell ref="A12:A12"/>
    <mergeCell ref="B12:B12"/>
    <mergeCell ref="C12:C12"/>
    <mergeCell ref="D12:D12"/>
    <mergeCell ref="E12:E12"/>
    <mergeCell ref="F12:F12"/>
    <mergeCell ref="G12:G12"/>
    <mergeCell ref="H12:H12"/>
    <mergeCell ref="I12:I12"/>
    <mergeCell ref="J12:J12"/>
    <mergeCell ref="K12:K12"/>
    <mergeCell ref="L12:L12"/>
    <mergeCell ref="M12:M12"/>
    <mergeCell ref="N12:N12"/>
    <mergeCell ref="O12:O12"/>
    <mergeCell ref="P12:P12"/>
    <mergeCell ref="Q12:Q12"/>
    <mergeCell ref="R12:R12"/>
    <mergeCell ref="S12:S12"/>
    <mergeCell ref="T12:T12"/>
    <mergeCell ref="U12:U12"/>
    <mergeCell ref="V12:V12"/>
    <mergeCell ref="W12:W12"/>
    <mergeCell ref="X12:X12"/>
    <mergeCell ref="Y12:Y12"/>
    <mergeCell ref="Z12:Z12"/>
    <mergeCell ref="A13:A13"/>
    <mergeCell ref="B13:B13"/>
    <mergeCell ref="C13:C13"/>
    <mergeCell ref="D13:D13"/>
    <mergeCell ref="E13:E13"/>
    <mergeCell ref="F13:F13"/>
    <mergeCell ref="G13:G13"/>
    <mergeCell ref="H13:H13"/>
    <mergeCell ref="I13:I13"/>
    <mergeCell ref="J13:J13"/>
    <mergeCell ref="K13:K13"/>
    <mergeCell ref="L13:L13"/>
    <mergeCell ref="M13:M13"/>
    <mergeCell ref="N13:N13"/>
    <mergeCell ref="O13:O13"/>
    <mergeCell ref="P13:P13"/>
    <mergeCell ref="Q13:Q13"/>
    <mergeCell ref="R13:R13"/>
    <mergeCell ref="S13:S13"/>
    <mergeCell ref="T13:T13"/>
    <mergeCell ref="U13:U13"/>
    <mergeCell ref="V13:V13"/>
    <mergeCell ref="W13:W13"/>
    <mergeCell ref="X13:X13"/>
    <mergeCell ref="Y13:Y13"/>
    <mergeCell ref="Z13:Z13"/>
    <mergeCell ref="A14:A14"/>
    <mergeCell ref="B14:B14"/>
    <mergeCell ref="C14:C14"/>
    <mergeCell ref="D14:D14"/>
    <mergeCell ref="E14:E14"/>
    <mergeCell ref="F14:F14"/>
    <mergeCell ref="G14:G14"/>
    <mergeCell ref="H14:H14"/>
    <mergeCell ref="I14:I14"/>
    <mergeCell ref="J14:J14"/>
    <mergeCell ref="K14:K14"/>
    <mergeCell ref="L14:L14"/>
    <mergeCell ref="M14:M14"/>
    <mergeCell ref="N14:N14"/>
    <mergeCell ref="O14:O14"/>
    <mergeCell ref="P14:P14"/>
    <mergeCell ref="Q14:Q14"/>
    <mergeCell ref="R14:R14"/>
    <mergeCell ref="S14:S14"/>
    <mergeCell ref="T14:T14"/>
    <mergeCell ref="U14:U14"/>
    <mergeCell ref="V14:V14"/>
    <mergeCell ref="W14:W14"/>
    <mergeCell ref="X14:X14"/>
    <mergeCell ref="Y14:Y14"/>
    <mergeCell ref="Z14:Z14"/>
    <mergeCell ref="A15:A15"/>
    <mergeCell ref="B15:B15"/>
    <mergeCell ref="C15:C15"/>
    <mergeCell ref="D15:D15"/>
    <mergeCell ref="E15:E15"/>
    <mergeCell ref="F15:F15"/>
    <mergeCell ref="G15:G15"/>
    <mergeCell ref="H15:H15"/>
    <mergeCell ref="I15:I15"/>
    <mergeCell ref="J15:J15"/>
    <mergeCell ref="K15:K15"/>
    <mergeCell ref="L15:L15"/>
    <mergeCell ref="M15:M15"/>
    <mergeCell ref="N15:N15"/>
    <mergeCell ref="O15:O15"/>
    <mergeCell ref="P15:P15"/>
    <mergeCell ref="Q15:Q15"/>
    <mergeCell ref="R15:R15"/>
    <mergeCell ref="S15:S15"/>
    <mergeCell ref="T15:T15"/>
    <mergeCell ref="U15:U15"/>
    <mergeCell ref="V15:V15"/>
    <mergeCell ref="W15:W15"/>
    <mergeCell ref="X15:X15"/>
    <mergeCell ref="Y15:Y15"/>
    <mergeCell ref="Z15:Z15"/>
    <mergeCell ref="A16:A16"/>
    <mergeCell ref="B16:B16"/>
    <mergeCell ref="C16:C16"/>
    <mergeCell ref="D16:D16"/>
    <mergeCell ref="E16:E16"/>
    <mergeCell ref="F16:F16"/>
    <mergeCell ref="G16:G16"/>
    <mergeCell ref="H16:H16"/>
    <mergeCell ref="I16:I16"/>
    <mergeCell ref="J16:J16"/>
    <mergeCell ref="K16:K16"/>
    <mergeCell ref="L16:L16"/>
    <mergeCell ref="M16:M16"/>
    <mergeCell ref="N16:N16"/>
    <mergeCell ref="O16:O16"/>
    <mergeCell ref="P16:P16"/>
    <mergeCell ref="Q16:Q16"/>
    <mergeCell ref="R16:R16"/>
    <mergeCell ref="S16:S16"/>
    <mergeCell ref="T16:T16"/>
    <mergeCell ref="U16:U16"/>
    <mergeCell ref="V16:V16"/>
    <mergeCell ref="W16:W16"/>
    <mergeCell ref="X16:X16"/>
    <mergeCell ref="Y16:Y16"/>
    <mergeCell ref="Z16:Z16"/>
    <mergeCell ref="A17:A17"/>
    <mergeCell ref="B17:B17"/>
    <mergeCell ref="C17:C17"/>
    <mergeCell ref="D17:D17"/>
    <mergeCell ref="E17:E17"/>
    <mergeCell ref="F17:F17"/>
    <mergeCell ref="G17:G17"/>
    <mergeCell ref="H17:H17"/>
    <mergeCell ref="I17:I17"/>
    <mergeCell ref="J17:J17"/>
    <mergeCell ref="K17:K17"/>
    <mergeCell ref="L17:L17"/>
    <mergeCell ref="M17:M17"/>
    <mergeCell ref="N17:N17"/>
    <mergeCell ref="O17:O17"/>
    <mergeCell ref="P17:P17"/>
    <mergeCell ref="Q17:Q17"/>
    <mergeCell ref="R17:R17"/>
    <mergeCell ref="S17:S17"/>
    <mergeCell ref="T17:T17"/>
    <mergeCell ref="U17:U17"/>
    <mergeCell ref="V17:V17"/>
    <mergeCell ref="W17:W17"/>
    <mergeCell ref="X17:X17"/>
    <mergeCell ref="Y17:Y17"/>
    <mergeCell ref="Z17:Z17"/>
    <mergeCell ref="A18:A18"/>
    <mergeCell ref="B18:B18"/>
    <mergeCell ref="C18:C18"/>
    <mergeCell ref="D18:D18"/>
    <mergeCell ref="E18:E18"/>
    <mergeCell ref="F18:F18"/>
    <mergeCell ref="G18:G18"/>
    <mergeCell ref="H18:H18"/>
    <mergeCell ref="I18:I18"/>
    <mergeCell ref="J18:J18"/>
    <mergeCell ref="K18:K18"/>
    <mergeCell ref="L18:L18"/>
    <mergeCell ref="M18:M18"/>
    <mergeCell ref="N18:N18"/>
    <mergeCell ref="O18:O18"/>
    <mergeCell ref="P18:P18"/>
    <mergeCell ref="Q18:Q18"/>
    <mergeCell ref="R18:R18"/>
    <mergeCell ref="S18:S18"/>
    <mergeCell ref="T18:T18"/>
    <mergeCell ref="U18:U18"/>
    <mergeCell ref="V18:V18"/>
    <mergeCell ref="W18:W18"/>
    <mergeCell ref="X18:X18"/>
    <mergeCell ref="Y18:Y18"/>
    <mergeCell ref="Z18:Z18"/>
    <mergeCell ref="A19:A19"/>
    <mergeCell ref="B19:B19"/>
    <mergeCell ref="C19:C19"/>
    <mergeCell ref="D19:D19"/>
    <mergeCell ref="E19:E19"/>
    <mergeCell ref="F19:F19"/>
    <mergeCell ref="G19:G19"/>
    <mergeCell ref="H19:H19"/>
    <mergeCell ref="I19:I19"/>
    <mergeCell ref="J19:J19"/>
    <mergeCell ref="K19:K19"/>
    <mergeCell ref="L19:L19"/>
    <mergeCell ref="M19:M19"/>
    <mergeCell ref="N19:N19"/>
    <mergeCell ref="O19:O19"/>
    <mergeCell ref="P19:P19"/>
    <mergeCell ref="Q19:Q19"/>
    <mergeCell ref="R19:R19"/>
    <mergeCell ref="S19:S19"/>
    <mergeCell ref="T19:T19"/>
    <mergeCell ref="U19:U19"/>
    <mergeCell ref="V19:V19"/>
    <mergeCell ref="W19:W19"/>
    <mergeCell ref="X19:X19"/>
    <mergeCell ref="Y19:Y19"/>
    <mergeCell ref="Z19:Z19"/>
    <mergeCell ref="A20:A20"/>
    <mergeCell ref="B20:B20"/>
    <mergeCell ref="C20:C20"/>
    <mergeCell ref="D20:D20"/>
    <mergeCell ref="E20:E20"/>
    <mergeCell ref="F20:F20"/>
    <mergeCell ref="G20:G20"/>
    <mergeCell ref="H20:H20"/>
    <mergeCell ref="I20:I20"/>
    <mergeCell ref="J20:J20"/>
    <mergeCell ref="K20:K20"/>
    <mergeCell ref="L20:L20"/>
    <mergeCell ref="M20:M20"/>
    <mergeCell ref="N20:N20"/>
    <mergeCell ref="O20:O20"/>
    <mergeCell ref="P20:P20"/>
    <mergeCell ref="Q20:Q20"/>
    <mergeCell ref="R20:R20"/>
    <mergeCell ref="S20:S20"/>
    <mergeCell ref="T20:T20"/>
    <mergeCell ref="U20:U20"/>
    <mergeCell ref="V20:V20"/>
    <mergeCell ref="W20:W20"/>
    <mergeCell ref="X20:X20"/>
    <mergeCell ref="Y20:Y20"/>
    <mergeCell ref="Z20:Z20"/>
    <mergeCell ref="A21:A21"/>
    <mergeCell ref="B21:B21"/>
    <mergeCell ref="C21:C21"/>
    <mergeCell ref="D21:D21"/>
    <mergeCell ref="E21:E21"/>
    <mergeCell ref="F21:F21"/>
    <mergeCell ref="G21:G21"/>
    <mergeCell ref="H21:H21"/>
    <mergeCell ref="I21:I21"/>
    <mergeCell ref="J21:J21"/>
    <mergeCell ref="K21:K21"/>
    <mergeCell ref="L21:L21"/>
    <mergeCell ref="M21:M21"/>
    <mergeCell ref="N21:N21"/>
    <mergeCell ref="O21:O21"/>
    <mergeCell ref="P21:P21"/>
    <mergeCell ref="Q21:Q21"/>
    <mergeCell ref="R21:R21"/>
    <mergeCell ref="S21:S21"/>
    <mergeCell ref="T21:T21"/>
    <mergeCell ref="U21:U21"/>
    <mergeCell ref="V21:V21"/>
    <mergeCell ref="W21:W21"/>
    <mergeCell ref="X21:X21"/>
    <mergeCell ref="Y21:Y21"/>
    <mergeCell ref="Z21:Z21"/>
    <mergeCell ref="A22:A22"/>
    <mergeCell ref="B22:B22"/>
    <mergeCell ref="C22:C22"/>
    <mergeCell ref="D22:D22"/>
    <mergeCell ref="E22:E22"/>
    <mergeCell ref="F22:F22"/>
    <mergeCell ref="G22:G22"/>
    <mergeCell ref="H22:H22"/>
    <mergeCell ref="I22:I22"/>
    <mergeCell ref="J22:J22"/>
    <mergeCell ref="K22:K22"/>
    <mergeCell ref="L22:L22"/>
    <mergeCell ref="M22:M22"/>
    <mergeCell ref="N22:N22"/>
    <mergeCell ref="O22:O22"/>
    <mergeCell ref="P22:P22"/>
    <mergeCell ref="Q22:Q22"/>
    <mergeCell ref="R22:R22"/>
    <mergeCell ref="S22:S22"/>
    <mergeCell ref="T22:T22"/>
    <mergeCell ref="U22:U22"/>
    <mergeCell ref="V22:V22"/>
    <mergeCell ref="W22:W22"/>
    <mergeCell ref="X22:X22"/>
    <mergeCell ref="Y22:Y22"/>
    <mergeCell ref="Z22:Z22"/>
    <mergeCell ref="A23:A23"/>
    <mergeCell ref="B23:B23"/>
    <mergeCell ref="C23:C23"/>
    <mergeCell ref="D23:D23"/>
    <mergeCell ref="E23:E23"/>
    <mergeCell ref="F23:F23"/>
    <mergeCell ref="G23:G23"/>
    <mergeCell ref="H23:H23"/>
    <mergeCell ref="I23:I23"/>
    <mergeCell ref="J23:J23"/>
    <mergeCell ref="K23:K23"/>
    <mergeCell ref="L23:L23"/>
    <mergeCell ref="M23:M23"/>
    <mergeCell ref="N23:N23"/>
    <mergeCell ref="O23:O23"/>
    <mergeCell ref="P23:P23"/>
    <mergeCell ref="Q23:Q23"/>
    <mergeCell ref="R23:R23"/>
    <mergeCell ref="S23:S23"/>
    <mergeCell ref="T23:T23"/>
    <mergeCell ref="U23:U23"/>
    <mergeCell ref="V23:V23"/>
    <mergeCell ref="W23:W23"/>
    <mergeCell ref="X23:X23"/>
    <mergeCell ref="Y23:Y23"/>
    <mergeCell ref="Z23:Z23"/>
    <mergeCell ref="A24:A24"/>
    <mergeCell ref="B24:B24"/>
    <mergeCell ref="C24:C24"/>
    <mergeCell ref="D24:D24"/>
    <mergeCell ref="E24:E24"/>
    <mergeCell ref="F24:F24"/>
    <mergeCell ref="G24:G24"/>
    <mergeCell ref="H24:H24"/>
    <mergeCell ref="I24:I24"/>
    <mergeCell ref="J24:J24"/>
    <mergeCell ref="K24:K24"/>
    <mergeCell ref="L24:L24"/>
    <mergeCell ref="M24:M24"/>
    <mergeCell ref="N24:N24"/>
    <mergeCell ref="O24:O24"/>
    <mergeCell ref="P24:P24"/>
    <mergeCell ref="Q24:Q24"/>
    <mergeCell ref="R24:R24"/>
    <mergeCell ref="S24:S24"/>
    <mergeCell ref="T24:T24"/>
    <mergeCell ref="U24:U24"/>
    <mergeCell ref="V24:V24"/>
    <mergeCell ref="W24:W24"/>
    <mergeCell ref="X24:X24"/>
    <mergeCell ref="Y24:Y24"/>
    <mergeCell ref="Z24:Z24"/>
    <mergeCell ref="A25:A25"/>
    <mergeCell ref="B25:B25"/>
    <mergeCell ref="C25:C25"/>
    <mergeCell ref="D25:D25"/>
    <mergeCell ref="E25:E25"/>
    <mergeCell ref="F25:F25"/>
    <mergeCell ref="G25:G25"/>
    <mergeCell ref="H25:H25"/>
    <mergeCell ref="I25:I25"/>
    <mergeCell ref="J25:J25"/>
    <mergeCell ref="K25:K25"/>
    <mergeCell ref="L25:L25"/>
    <mergeCell ref="M25:M25"/>
    <mergeCell ref="N25:N25"/>
    <mergeCell ref="O25:O25"/>
    <mergeCell ref="P25:P25"/>
    <mergeCell ref="Q25:Q25"/>
    <mergeCell ref="R25:R25"/>
    <mergeCell ref="S25:S25"/>
    <mergeCell ref="T25:T25"/>
    <mergeCell ref="U25:U25"/>
    <mergeCell ref="V25:V25"/>
    <mergeCell ref="W25:W25"/>
    <mergeCell ref="X25:X25"/>
    <mergeCell ref="Y25:Y25"/>
    <mergeCell ref="Z25:Z25"/>
    <mergeCell ref="A26:A26"/>
    <mergeCell ref="B26:B26"/>
    <mergeCell ref="C26:C26"/>
    <mergeCell ref="D26:D26"/>
    <mergeCell ref="E26:E26"/>
    <mergeCell ref="F26:F26"/>
    <mergeCell ref="G26:G26"/>
    <mergeCell ref="H26:H26"/>
    <mergeCell ref="I26:I26"/>
    <mergeCell ref="J26:J26"/>
    <mergeCell ref="K26:K26"/>
    <mergeCell ref="L26:L26"/>
    <mergeCell ref="M26:M26"/>
    <mergeCell ref="N26:N26"/>
    <mergeCell ref="O26:O26"/>
    <mergeCell ref="P26:P26"/>
    <mergeCell ref="Q26:Q26"/>
    <mergeCell ref="R26:R26"/>
    <mergeCell ref="S26:S26"/>
    <mergeCell ref="T26:T26"/>
    <mergeCell ref="U26:U26"/>
    <mergeCell ref="V26:V26"/>
    <mergeCell ref="W26:W26"/>
    <mergeCell ref="X26:X26"/>
    <mergeCell ref="Y26:Y26"/>
    <mergeCell ref="Z26:Z26"/>
    <mergeCell ref="A27:A27"/>
    <mergeCell ref="B27:B27"/>
    <mergeCell ref="C27:C27"/>
    <mergeCell ref="D27:D27"/>
    <mergeCell ref="E27:E27"/>
    <mergeCell ref="F27:F27"/>
    <mergeCell ref="G27:G27"/>
    <mergeCell ref="H27:H27"/>
    <mergeCell ref="I27:I27"/>
    <mergeCell ref="J27:J27"/>
    <mergeCell ref="K27:K27"/>
    <mergeCell ref="L27:L27"/>
    <mergeCell ref="M27:M27"/>
    <mergeCell ref="N27:N27"/>
    <mergeCell ref="O27:O27"/>
    <mergeCell ref="P27:P27"/>
    <mergeCell ref="Q27:Q27"/>
    <mergeCell ref="R27:R27"/>
    <mergeCell ref="S27:S27"/>
    <mergeCell ref="T27:T27"/>
    <mergeCell ref="U27:U27"/>
    <mergeCell ref="V27:V27"/>
    <mergeCell ref="W27:W27"/>
    <mergeCell ref="X27:X27"/>
    <mergeCell ref="Y27:Y27"/>
    <mergeCell ref="Z27:Z27"/>
    <mergeCell ref="A28:A28"/>
    <mergeCell ref="B28:B28"/>
    <mergeCell ref="C28:C28"/>
    <mergeCell ref="D28:D28"/>
    <mergeCell ref="E28:E28"/>
    <mergeCell ref="F28:F28"/>
    <mergeCell ref="G28:G28"/>
    <mergeCell ref="H28:H28"/>
    <mergeCell ref="I28:I28"/>
    <mergeCell ref="J28:J28"/>
    <mergeCell ref="K28:K28"/>
    <mergeCell ref="L28:L28"/>
    <mergeCell ref="M28:M28"/>
    <mergeCell ref="N28:N28"/>
    <mergeCell ref="O28:O28"/>
    <mergeCell ref="P28:P28"/>
    <mergeCell ref="Q28:Q28"/>
    <mergeCell ref="R28:R28"/>
    <mergeCell ref="S28:S28"/>
    <mergeCell ref="T28:T28"/>
    <mergeCell ref="U28:U28"/>
    <mergeCell ref="V28:V28"/>
    <mergeCell ref="W28:W28"/>
    <mergeCell ref="X28:X28"/>
    <mergeCell ref="Y28:Y28"/>
    <mergeCell ref="Z28:Z28"/>
    <mergeCell ref="A29:A29"/>
    <mergeCell ref="B29:B29"/>
    <mergeCell ref="C29:C29"/>
    <mergeCell ref="D29:D29"/>
    <mergeCell ref="E29:E29"/>
    <mergeCell ref="F29:F29"/>
    <mergeCell ref="G29:G29"/>
    <mergeCell ref="H29:H29"/>
    <mergeCell ref="I29:I29"/>
    <mergeCell ref="J29:J29"/>
    <mergeCell ref="K29:K29"/>
    <mergeCell ref="L29:L29"/>
    <mergeCell ref="M29:M29"/>
    <mergeCell ref="N29:N29"/>
    <mergeCell ref="O29:O29"/>
    <mergeCell ref="P29:P29"/>
    <mergeCell ref="Q29:Q29"/>
    <mergeCell ref="R29:R29"/>
    <mergeCell ref="S29:S29"/>
    <mergeCell ref="T29:T29"/>
    <mergeCell ref="U29:U29"/>
    <mergeCell ref="V29:V29"/>
    <mergeCell ref="W29:W29"/>
    <mergeCell ref="X29:X29"/>
    <mergeCell ref="Y29:Y29"/>
    <mergeCell ref="Z29:Z29"/>
    <mergeCell ref="A30:A30"/>
    <mergeCell ref="B30:B30"/>
    <mergeCell ref="C30:C30"/>
    <mergeCell ref="D30:D30"/>
    <mergeCell ref="E30:E30"/>
    <mergeCell ref="F30:F30"/>
    <mergeCell ref="G30:G30"/>
    <mergeCell ref="H30:H30"/>
    <mergeCell ref="I30:I30"/>
    <mergeCell ref="J30:J30"/>
    <mergeCell ref="K30:K30"/>
    <mergeCell ref="L30:L30"/>
    <mergeCell ref="M30:M30"/>
    <mergeCell ref="N30:N30"/>
    <mergeCell ref="O30:O30"/>
    <mergeCell ref="P30:P30"/>
    <mergeCell ref="Q30:Q30"/>
    <mergeCell ref="R30:R30"/>
    <mergeCell ref="S30:S30"/>
    <mergeCell ref="T30:T30"/>
    <mergeCell ref="U30:U30"/>
    <mergeCell ref="V30:V30"/>
    <mergeCell ref="W30:W30"/>
    <mergeCell ref="X30:X30"/>
    <mergeCell ref="Y30:Y30"/>
    <mergeCell ref="Z30:Z30"/>
    <mergeCell ref="A31:A31"/>
    <mergeCell ref="B31:B31"/>
    <mergeCell ref="C31:C31"/>
    <mergeCell ref="D31:D31"/>
    <mergeCell ref="E31:E31"/>
    <mergeCell ref="F31:F31"/>
    <mergeCell ref="G31:G31"/>
    <mergeCell ref="H31:H31"/>
    <mergeCell ref="I31:I31"/>
    <mergeCell ref="J31:J31"/>
    <mergeCell ref="K31:K31"/>
    <mergeCell ref="L31:L31"/>
    <mergeCell ref="M31:M31"/>
    <mergeCell ref="N31:N31"/>
    <mergeCell ref="O31:O31"/>
    <mergeCell ref="P31:P31"/>
    <mergeCell ref="Q31:Q31"/>
    <mergeCell ref="R31:R31"/>
    <mergeCell ref="S31:S31"/>
    <mergeCell ref="T31:T31"/>
    <mergeCell ref="U31:U31"/>
    <mergeCell ref="V31:V31"/>
    <mergeCell ref="W31:W31"/>
    <mergeCell ref="X31:X31"/>
    <mergeCell ref="Y31:Y31"/>
    <mergeCell ref="Z31:Z31"/>
    <mergeCell ref="A32:A32"/>
    <mergeCell ref="B32:B32"/>
    <mergeCell ref="C32:C32"/>
    <mergeCell ref="D32:D32"/>
    <mergeCell ref="E32:E32"/>
    <mergeCell ref="F32:F32"/>
    <mergeCell ref="G32:G32"/>
    <mergeCell ref="H32:H32"/>
    <mergeCell ref="I32:I32"/>
    <mergeCell ref="J32:J32"/>
    <mergeCell ref="K32:K32"/>
    <mergeCell ref="L32:L32"/>
    <mergeCell ref="M32:M32"/>
    <mergeCell ref="N32:N32"/>
    <mergeCell ref="O32:O32"/>
    <mergeCell ref="P32:P32"/>
    <mergeCell ref="Q32:Q32"/>
    <mergeCell ref="R32:R32"/>
    <mergeCell ref="S32:S32"/>
    <mergeCell ref="T32:T32"/>
    <mergeCell ref="U32:U32"/>
    <mergeCell ref="V32:V32"/>
    <mergeCell ref="W32:W32"/>
    <mergeCell ref="X32:X32"/>
    <mergeCell ref="Y32:Y32"/>
    <mergeCell ref="Z32:Z32"/>
    <mergeCell ref="A33:A33"/>
    <mergeCell ref="B33:B33"/>
    <mergeCell ref="C33:C33"/>
    <mergeCell ref="D33:D33"/>
    <mergeCell ref="E33:E33"/>
    <mergeCell ref="F33:F33"/>
    <mergeCell ref="G33:G33"/>
    <mergeCell ref="H33:H33"/>
    <mergeCell ref="I33:I33"/>
    <mergeCell ref="J33:J33"/>
    <mergeCell ref="K33:K33"/>
    <mergeCell ref="L33:L33"/>
    <mergeCell ref="M33:M33"/>
    <mergeCell ref="N33:N33"/>
    <mergeCell ref="O33:O33"/>
    <mergeCell ref="P33:P33"/>
    <mergeCell ref="Q33:Q33"/>
    <mergeCell ref="R33:R33"/>
    <mergeCell ref="S33:S33"/>
    <mergeCell ref="T33:T33"/>
    <mergeCell ref="U33:U33"/>
    <mergeCell ref="V33:V33"/>
    <mergeCell ref="W33:W33"/>
    <mergeCell ref="X33:X33"/>
    <mergeCell ref="Y33:Y33"/>
    <mergeCell ref="Z33:Z33"/>
    <mergeCell ref="A34:A34"/>
    <mergeCell ref="B34:B34"/>
    <mergeCell ref="C34:C34"/>
    <mergeCell ref="D34:D34"/>
    <mergeCell ref="E34:E34"/>
    <mergeCell ref="F34:F34"/>
    <mergeCell ref="G34:G34"/>
    <mergeCell ref="H34:H34"/>
    <mergeCell ref="I34:I34"/>
    <mergeCell ref="J34:J34"/>
    <mergeCell ref="K34:K34"/>
    <mergeCell ref="L34:L34"/>
    <mergeCell ref="M34:M34"/>
    <mergeCell ref="N34:N34"/>
    <mergeCell ref="O34:O34"/>
    <mergeCell ref="P34:P34"/>
    <mergeCell ref="Q34:Q34"/>
    <mergeCell ref="R34:R34"/>
    <mergeCell ref="S34:S34"/>
    <mergeCell ref="T34:T34"/>
    <mergeCell ref="U34:U34"/>
    <mergeCell ref="V34:V34"/>
    <mergeCell ref="W34:W34"/>
    <mergeCell ref="X34:X34"/>
    <mergeCell ref="Y34:Y34"/>
    <mergeCell ref="Z34:Z34"/>
    <mergeCell ref="A35:A35"/>
    <mergeCell ref="B35:B35"/>
    <mergeCell ref="C35:C35"/>
    <mergeCell ref="D35:D35"/>
    <mergeCell ref="E35:E35"/>
    <mergeCell ref="F35:F35"/>
    <mergeCell ref="G35:G35"/>
    <mergeCell ref="H35:H35"/>
    <mergeCell ref="I35:I35"/>
    <mergeCell ref="J35:J35"/>
    <mergeCell ref="K35:K35"/>
    <mergeCell ref="L35:L35"/>
    <mergeCell ref="M35:M35"/>
    <mergeCell ref="N35:N35"/>
    <mergeCell ref="O35:O35"/>
    <mergeCell ref="P35:P35"/>
    <mergeCell ref="Q35:Q35"/>
    <mergeCell ref="R35:R35"/>
    <mergeCell ref="S35:S35"/>
    <mergeCell ref="T35:T35"/>
    <mergeCell ref="U35:U35"/>
    <mergeCell ref="V35:V35"/>
    <mergeCell ref="W35:W35"/>
    <mergeCell ref="X35:X35"/>
    <mergeCell ref="Y35:Y35"/>
    <mergeCell ref="Z35:Z35"/>
    <mergeCell ref="A36:A36"/>
    <mergeCell ref="B36:B36"/>
    <mergeCell ref="C36:C36"/>
    <mergeCell ref="D36:D36"/>
    <mergeCell ref="E36:E36"/>
    <mergeCell ref="F36:F36"/>
    <mergeCell ref="G36:G36"/>
    <mergeCell ref="H36:H36"/>
    <mergeCell ref="I36:I36"/>
    <mergeCell ref="J36:J36"/>
    <mergeCell ref="K36:K36"/>
    <mergeCell ref="L36:L36"/>
    <mergeCell ref="M36:M36"/>
    <mergeCell ref="N36:N36"/>
    <mergeCell ref="O36:O36"/>
    <mergeCell ref="P36:P36"/>
    <mergeCell ref="Q36:Q36"/>
    <mergeCell ref="R36:R36"/>
    <mergeCell ref="S36:S36"/>
    <mergeCell ref="T36:T36"/>
    <mergeCell ref="U36:U36"/>
    <mergeCell ref="V36:V36"/>
    <mergeCell ref="W36:W36"/>
    <mergeCell ref="X36:X36"/>
    <mergeCell ref="Y36:Y36"/>
    <mergeCell ref="Z36:Z36"/>
    <mergeCell ref="A37:A37"/>
    <mergeCell ref="B37:B37"/>
    <mergeCell ref="C37:C37"/>
    <mergeCell ref="D37:D37"/>
    <mergeCell ref="E37:E37"/>
    <mergeCell ref="F37:F37"/>
    <mergeCell ref="G37:G37"/>
    <mergeCell ref="H37:H37"/>
    <mergeCell ref="I37:I37"/>
    <mergeCell ref="J37:J37"/>
    <mergeCell ref="K37:K37"/>
    <mergeCell ref="L37:L37"/>
    <mergeCell ref="M37:M37"/>
    <mergeCell ref="N37:N37"/>
    <mergeCell ref="O37:O37"/>
    <mergeCell ref="P37:P37"/>
    <mergeCell ref="Q37:Q37"/>
    <mergeCell ref="R37:R37"/>
    <mergeCell ref="S37:S37"/>
    <mergeCell ref="T37:T37"/>
    <mergeCell ref="U37:U37"/>
    <mergeCell ref="V37:V37"/>
    <mergeCell ref="W37:W37"/>
    <mergeCell ref="X37:X37"/>
    <mergeCell ref="Y37:Y37"/>
    <mergeCell ref="Z37:Z37"/>
    <mergeCell ref="A38:A38"/>
    <mergeCell ref="B38:B38"/>
    <mergeCell ref="C38:C38"/>
    <mergeCell ref="D38:D38"/>
    <mergeCell ref="E38:E38"/>
    <mergeCell ref="F38:F38"/>
    <mergeCell ref="G38:G38"/>
    <mergeCell ref="H38:H38"/>
    <mergeCell ref="I38:I38"/>
    <mergeCell ref="J38:J38"/>
    <mergeCell ref="K38:K38"/>
    <mergeCell ref="L38:L38"/>
    <mergeCell ref="M38:M38"/>
    <mergeCell ref="N38:N38"/>
    <mergeCell ref="O38:O38"/>
    <mergeCell ref="P38:P38"/>
    <mergeCell ref="Q38:Q38"/>
    <mergeCell ref="R38:R38"/>
    <mergeCell ref="S38:S38"/>
    <mergeCell ref="T38:T38"/>
    <mergeCell ref="U38:U38"/>
    <mergeCell ref="V38:V38"/>
    <mergeCell ref="W38:W38"/>
    <mergeCell ref="X38:X38"/>
    <mergeCell ref="Y38:Y38"/>
    <mergeCell ref="Z38:Z38"/>
    <mergeCell ref="A39:A39"/>
    <mergeCell ref="B39:B39"/>
    <mergeCell ref="C39:C39"/>
    <mergeCell ref="D39:D39"/>
    <mergeCell ref="E39:E39"/>
    <mergeCell ref="F39:F39"/>
    <mergeCell ref="G39:G39"/>
    <mergeCell ref="H39:H39"/>
    <mergeCell ref="I39:I39"/>
    <mergeCell ref="J39:J39"/>
    <mergeCell ref="K39:K39"/>
    <mergeCell ref="L39:L39"/>
    <mergeCell ref="M39:M39"/>
    <mergeCell ref="N39:N39"/>
    <mergeCell ref="O39:O39"/>
    <mergeCell ref="P39:P39"/>
    <mergeCell ref="Q39:Q39"/>
    <mergeCell ref="R39:R39"/>
    <mergeCell ref="S39:S39"/>
    <mergeCell ref="T39:T39"/>
    <mergeCell ref="U39:U39"/>
    <mergeCell ref="V39:V39"/>
    <mergeCell ref="W39:W39"/>
    <mergeCell ref="X39:X39"/>
    <mergeCell ref="Y39:Y39"/>
    <mergeCell ref="Z39:Z39"/>
    <mergeCell ref="A40:A40"/>
    <mergeCell ref="B40:B40"/>
    <mergeCell ref="C40:C40"/>
    <mergeCell ref="D40:D40"/>
    <mergeCell ref="E40:E40"/>
    <mergeCell ref="F40:F40"/>
    <mergeCell ref="G40:G40"/>
    <mergeCell ref="H40:H40"/>
    <mergeCell ref="I40:I40"/>
    <mergeCell ref="J40:J40"/>
    <mergeCell ref="K40:K40"/>
    <mergeCell ref="L40:L40"/>
    <mergeCell ref="M40:M40"/>
    <mergeCell ref="N40:N40"/>
    <mergeCell ref="O40:O40"/>
    <mergeCell ref="P40:P40"/>
    <mergeCell ref="Q40:Q40"/>
    <mergeCell ref="R40:R40"/>
    <mergeCell ref="S40:S40"/>
    <mergeCell ref="T40:T40"/>
    <mergeCell ref="U40:U40"/>
    <mergeCell ref="V40:V40"/>
    <mergeCell ref="W40:W40"/>
    <mergeCell ref="X40:X40"/>
    <mergeCell ref="Y40:Y40"/>
    <mergeCell ref="Z40:Z40"/>
    <mergeCell ref="A41:A41"/>
    <mergeCell ref="B41:B41"/>
    <mergeCell ref="C41:C41"/>
    <mergeCell ref="D41:D41"/>
    <mergeCell ref="E41:E41"/>
    <mergeCell ref="F41:F41"/>
    <mergeCell ref="G41:G41"/>
    <mergeCell ref="H41:H41"/>
    <mergeCell ref="I41:I41"/>
    <mergeCell ref="J41:J41"/>
    <mergeCell ref="K41:K41"/>
    <mergeCell ref="L41:L41"/>
    <mergeCell ref="M41:M41"/>
    <mergeCell ref="N41:N41"/>
    <mergeCell ref="O41:O41"/>
    <mergeCell ref="P41:P41"/>
    <mergeCell ref="Q41:Q41"/>
    <mergeCell ref="R41:R41"/>
    <mergeCell ref="S41:S41"/>
    <mergeCell ref="T41:T41"/>
    <mergeCell ref="U41:U41"/>
    <mergeCell ref="V41:V41"/>
    <mergeCell ref="W41:W41"/>
    <mergeCell ref="X41:X41"/>
    <mergeCell ref="Y41:Y41"/>
    <mergeCell ref="Z41:Z41"/>
    <mergeCell ref="A42:A42"/>
    <mergeCell ref="B42:B42"/>
    <mergeCell ref="C42:C42"/>
    <mergeCell ref="D42:D42"/>
    <mergeCell ref="E42:E42"/>
    <mergeCell ref="F42:F42"/>
    <mergeCell ref="G42:G42"/>
    <mergeCell ref="H42:H42"/>
    <mergeCell ref="I42:I42"/>
    <mergeCell ref="J42:J42"/>
    <mergeCell ref="K42:K42"/>
    <mergeCell ref="L42:L42"/>
    <mergeCell ref="M42:M42"/>
    <mergeCell ref="N42:N42"/>
    <mergeCell ref="O42:O42"/>
    <mergeCell ref="P42:P42"/>
    <mergeCell ref="Q42:Q42"/>
    <mergeCell ref="R42:R42"/>
    <mergeCell ref="S42:S42"/>
    <mergeCell ref="T42:T42"/>
    <mergeCell ref="U42:U42"/>
    <mergeCell ref="V42:V42"/>
    <mergeCell ref="W42:W42"/>
    <mergeCell ref="X42:X42"/>
    <mergeCell ref="Y42:Y42"/>
    <mergeCell ref="Z42:Z42"/>
    <mergeCell ref="A43:A43"/>
    <mergeCell ref="B43:B43"/>
    <mergeCell ref="C43:C43"/>
    <mergeCell ref="D43:D43"/>
    <mergeCell ref="E43:E43"/>
    <mergeCell ref="F43:F43"/>
    <mergeCell ref="G43:G43"/>
    <mergeCell ref="H43:H43"/>
    <mergeCell ref="I43:I43"/>
    <mergeCell ref="J43:J43"/>
    <mergeCell ref="K43:K43"/>
    <mergeCell ref="L43:L43"/>
    <mergeCell ref="M43:M43"/>
    <mergeCell ref="N43:N43"/>
    <mergeCell ref="O43:O43"/>
    <mergeCell ref="P43:P43"/>
    <mergeCell ref="Q43:Q43"/>
    <mergeCell ref="R43:R43"/>
    <mergeCell ref="S43:S43"/>
    <mergeCell ref="T43:T43"/>
    <mergeCell ref="U43:U43"/>
    <mergeCell ref="V43:V43"/>
    <mergeCell ref="W43:W43"/>
    <mergeCell ref="X43:X43"/>
    <mergeCell ref="Y43:Y43"/>
    <mergeCell ref="Z43:Z43"/>
    <mergeCell ref="A44:A44"/>
    <mergeCell ref="B44:B44"/>
    <mergeCell ref="C44:C44"/>
    <mergeCell ref="D44:D44"/>
    <mergeCell ref="E44:E44"/>
    <mergeCell ref="F44:F44"/>
    <mergeCell ref="G44:G44"/>
    <mergeCell ref="H44:H44"/>
    <mergeCell ref="I44:I44"/>
    <mergeCell ref="J44:J44"/>
    <mergeCell ref="K44:K44"/>
    <mergeCell ref="L44:L44"/>
    <mergeCell ref="M44:M44"/>
    <mergeCell ref="N44:N44"/>
    <mergeCell ref="O44:O44"/>
    <mergeCell ref="P44:P44"/>
    <mergeCell ref="Q44:Q44"/>
    <mergeCell ref="R44:R44"/>
    <mergeCell ref="S44:S44"/>
    <mergeCell ref="T44:T44"/>
    <mergeCell ref="U44:U44"/>
    <mergeCell ref="V44:V44"/>
    <mergeCell ref="W44:W44"/>
    <mergeCell ref="X44:X44"/>
    <mergeCell ref="Y44:Y44"/>
    <mergeCell ref="Z44:Z44"/>
    <mergeCell ref="A45:A45"/>
    <mergeCell ref="B45:B45"/>
    <mergeCell ref="C45:C45"/>
    <mergeCell ref="D45:D45"/>
    <mergeCell ref="E45:E45"/>
    <mergeCell ref="F45:F45"/>
    <mergeCell ref="G45:G45"/>
    <mergeCell ref="H45:H45"/>
    <mergeCell ref="I45:I45"/>
    <mergeCell ref="J45:J45"/>
    <mergeCell ref="K45:K45"/>
    <mergeCell ref="L45:L45"/>
    <mergeCell ref="M45:M45"/>
    <mergeCell ref="N45:N45"/>
    <mergeCell ref="O45:O45"/>
    <mergeCell ref="P45:P45"/>
    <mergeCell ref="Q45:Q45"/>
    <mergeCell ref="R45:R45"/>
    <mergeCell ref="S45:S45"/>
    <mergeCell ref="T45:T45"/>
    <mergeCell ref="U45:U45"/>
    <mergeCell ref="V45:V45"/>
    <mergeCell ref="W45:W45"/>
    <mergeCell ref="X45:X45"/>
    <mergeCell ref="Y45:Y45"/>
    <mergeCell ref="Z45:Z45"/>
    <mergeCell ref="A46:A46"/>
    <mergeCell ref="B46:B46"/>
    <mergeCell ref="C46:C46"/>
    <mergeCell ref="D46:D46"/>
    <mergeCell ref="E46:E46"/>
    <mergeCell ref="F46:F46"/>
    <mergeCell ref="G46:G46"/>
    <mergeCell ref="H46:H46"/>
    <mergeCell ref="I46:I46"/>
    <mergeCell ref="J46:J46"/>
    <mergeCell ref="K46:K46"/>
    <mergeCell ref="L46:L46"/>
    <mergeCell ref="M46:M46"/>
    <mergeCell ref="N46:N46"/>
    <mergeCell ref="O46:O46"/>
    <mergeCell ref="P46:P46"/>
    <mergeCell ref="Q46:Q46"/>
    <mergeCell ref="R46:R46"/>
    <mergeCell ref="S46:S46"/>
    <mergeCell ref="T46:T46"/>
    <mergeCell ref="U46:U46"/>
    <mergeCell ref="V46:V46"/>
    <mergeCell ref="W46:W46"/>
    <mergeCell ref="X46:X46"/>
    <mergeCell ref="Y46:Y46"/>
    <mergeCell ref="Z46:Z46"/>
    <mergeCell ref="A47:A47"/>
    <mergeCell ref="B47:B47"/>
    <mergeCell ref="C47:C47"/>
    <mergeCell ref="D47:D47"/>
    <mergeCell ref="E47:E47"/>
    <mergeCell ref="F47:F47"/>
    <mergeCell ref="G47:G47"/>
    <mergeCell ref="H47:H47"/>
    <mergeCell ref="I47:I47"/>
    <mergeCell ref="J47:J47"/>
    <mergeCell ref="K47:K47"/>
    <mergeCell ref="L47:L47"/>
    <mergeCell ref="M47:M47"/>
    <mergeCell ref="N47:N47"/>
    <mergeCell ref="O47:O47"/>
    <mergeCell ref="P47:P47"/>
    <mergeCell ref="Q47:Q47"/>
    <mergeCell ref="R47:R47"/>
    <mergeCell ref="S47:S47"/>
    <mergeCell ref="T47:T47"/>
    <mergeCell ref="U47:U47"/>
    <mergeCell ref="V47:V47"/>
    <mergeCell ref="W47:W47"/>
    <mergeCell ref="X47:X47"/>
    <mergeCell ref="Y47:Y47"/>
    <mergeCell ref="Z47:Z47"/>
    <mergeCell ref="A48:A48"/>
    <mergeCell ref="B48:B48"/>
    <mergeCell ref="C48:C48"/>
    <mergeCell ref="D48:D48"/>
    <mergeCell ref="E48:E48"/>
    <mergeCell ref="F48:F48"/>
    <mergeCell ref="G48:G48"/>
    <mergeCell ref="H48:H48"/>
    <mergeCell ref="I48:I48"/>
    <mergeCell ref="J48:J48"/>
    <mergeCell ref="K48:K48"/>
    <mergeCell ref="L48:L48"/>
    <mergeCell ref="M48:M48"/>
    <mergeCell ref="N48:N48"/>
    <mergeCell ref="O48:O48"/>
    <mergeCell ref="P48:P48"/>
    <mergeCell ref="Q48:Q48"/>
    <mergeCell ref="R48:R48"/>
    <mergeCell ref="S48:S48"/>
    <mergeCell ref="T48:T48"/>
    <mergeCell ref="U48:U48"/>
    <mergeCell ref="V48:V48"/>
    <mergeCell ref="W48:W48"/>
    <mergeCell ref="X48:X48"/>
    <mergeCell ref="Y48:Y48"/>
    <mergeCell ref="Z48:Z48"/>
    <mergeCell ref="A49:A49"/>
    <mergeCell ref="B49:B49"/>
    <mergeCell ref="C49:C49"/>
    <mergeCell ref="D49:D49"/>
    <mergeCell ref="E49:E49"/>
    <mergeCell ref="F49:F49"/>
    <mergeCell ref="G49:G49"/>
    <mergeCell ref="H49:H49"/>
    <mergeCell ref="I49:I49"/>
    <mergeCell ref="J49:J49"/>
    <mergeCell ref="K49:K49"/>
    <mergeCell ref="L49:L49"/>
    <mergeCell ref="M49:M49"/>
    <mergeCell ref="N49:N49"/>
    <mergeCell ref="O49:O49"/>
    <mergeCell ref="P49:P49"/>
    <mergeCell ref="Q49:Q49"/>
    <mergeCell ref="R49:R49"/>
    <mergeCell ref="S49:S49"/>
    <mergeCell ref="T49:T49"/>
    <mergeCell ref="U49:U49"/>
    <mergeCell ref="V49:V49"/>
    <mergeCell ref="W49:W49"/>
    <mergeCell ref="X49:X49"/>
    <mergeCell ref="Y49:Y49"/>
    <mergeCell ref="Z49:Z49"/>
    <mergeCell ref="A50:A50"/>
    <mergeCell ref="B50:B50"/>
    <mergeCell ref="C50:C50"/>
    <mergeCell ref="D50:D50"/>
    <mergeCell ref="E50:E50"/>
    <mergeCell ref="F50:F50"/>
    <mergeCell ref="G50:G50"/>
    <mergeCell ref="H50:H50"/>
    <mergeCell ref="I50:I50"/>
    <mergeCell ref="J50:J50"/>
    <mergeCell ref="K50:K50"/>
    <mergeCell ref="L50:L50"/>
    <mergeCell ref="M50:M50"/>
    <mergeCell ref="N50:N50"/>
    <mergeCell ref="O50:O50"/>
    <mergeCell ref="P50:P50"/>
    <mergeCell ref="Q50:Q50"/>
    <mergeCell ref="R50:R50"/>
    <mergeCell ref="S50:S50"/>
    <mergeCell ref="T50:T50"/>
    <mergeCell ref="U50:U50"/>
    <mergeCell ref="V50:V50"/>
    <mergeCell ref="W50:W50"/>
    <mergeCell ref="X50:X50"/>
    <mergeCell ref="Y50:Y50"/>
    <mergeCell ref="Z50:Z50"/>
    <mergeCell ref="A51:A51"/>
    <mergeCell ref="B51:B51"/>
    <mergeCell ref="C51:C51"/>
    <mergeCell ref="D51:D51"/>
    <mergeCell ref="E51:E51"/>
    <mergeCell ref="F51:F51"/>
    <mergeCell ref="G51:G51"/>
    <mergeCell ref="H51:H51"/>
    <mergeCell ref="I51:I51"/>
    <mergeCell ref="J51:J51"/>
    <mergeCell ref="K51:K51"/>
    <mergeCell ref="L51:L51"/>
    <mergeCell ref="M51:M51"/>
    <mergeCell ref="N51:N51"/>
    <mergeCell ref="O51:O51"/>
    <mergeCell ref="P51:P51"/>
    <mergeCell ref="Q51:Q51"/>
    <mergeCell ref="R51:R51"/>
    <mergeCell ref="S51:S51"/>
    <mergeCell ref="T51:T51"/>
    <mergeCell ref="U51:U51"/>
    <mergeCell ref="V51:V51"/>
    <mergeCell ref="W51:W51"/>
    <mergeCell ref="X51:X51"/>
    <mergeCell ref="Y51:Y51"/>
    <mergeCell ref="Z51:Z51"/>
    <mergeCell ref="A52:A52"/>
    <mergeCell ref="B52:B52"/>
    <mergeCell ref="C52:C52"/>
    <mergeCell ref="D52:D52"/>
    <mergeCell ref="E52:E52"/>
    <mergeCell ref="F52:F52"/>
    <mergeCell ref="G52:G52"/>
    <mergeCell ref="H52:H52"/>
    <mergeCell ref="I52:I52"/>
    <mergeCell ref="J52:J52"/>
    <mergeCell ref="K52:K52"/>
    <mergeCell ref="L52:L52"/>
    <mergeCell ref="M52:M52"/>
    <mergeCell ref="N52:N52"/>
    <mergeCell ref="O52:O52"/>
    <mergeCell ref="P52:P52"/>
    <mergeCell ref="Q52:Q52"/>
    <mergeCell ref="R52:R52"/>
    <mergeCell ref="S52:S52"/>
    <mergeCell ref="T52:T52"/>
    <mergeCell ref="U52:U52"/>
    <mergeCell ref="V52:V52"/>
    <mergeCell ref="W52:W52"/>
    <mergeCell ref="X52:X52"/>
    <mergeCell ref="Y52:Y52"/>
    <mergeCell ref="Z52:Z52"/>
    <mergeCell ref="A53:A53"/>
    <mergeCell ref="B53:B53"/>
    <mergeCell ref="C53:C53"/>
    <mergeCell ref="D53:D53"/>
    <mergeCell ref="E53:E53"/>
    <mergeCell ref="F53:F53"/>
    <mergeCell ref="G53:G53"/>
    <mergeCell ref="H53:H53"/>
    <mergeCell ref="I53:I53"/>
    <mergeCell ref="J53:J53"/>
    <mergeCell ref="K53:K53"/>
    <mergeCell ref="L53:L53"/>
    <mergeCell ref="M53:M53"/>
    <mergeCell ref="N53:N53"/>
    <mergeCell ref="O53:O53"/>
    <mergeCell ref="P53:P53"/>
    <mergeCell ref="Q53:Q53"/>
    <mergeCell ref="R53:R53"/>
    <mergeCell ref="S53:S53"/>
    <mergeCell ref="T53:T53"/>
    <mergeCell ref="U53:U53"/>
    <mergeCell ref="V53:V53"/>
    <mergeCell ref="W53:W53"/>
    <mergeCell ref="X53:X53"/>
    <mergeCell ref="Y53:Y53"/>
    <mergeCell ref="Z53:Z53"/>
    <mergeCell ref="A54:A54"/>
    <mergeCell ref="B54:B54"/>
    <mergeCell ref="C54:C54"/>
    <mergeCell ref="D54:D54"/>
    <mergeCell ref="E54:E54"/>
    <mergeCell ref="F54:F54"/>
    <mergeCell ref="G54:G54"/>
    <mergeCell ref="H54:H54"/>
    <mergeCell ref="I54:I54"/>
    <mergeCell ref="J54:J54"/>
    <mergeCell ref="K54:K54"/>
    <mergeCell ref="L54:L54"/>
    <mergeCell ref="M54:M54"/>
    <mergeCell ref="N54:N54"/>
    <mergeCell ref="O54:O54"/>
    <mergeCell ref="P54:P54"/>
    <mergeCell ref="Q54:Q54"/>
    <mergeCell ref="R54:R54"/>
    <mergeCell ref="S54:S54"/>
    <mergeCell ref="T54:T54"/>
    <mergeCell ref="U54:U54"/>
    <mergeCell ref="V54:V54"/>
    <mergeCell ref="W54:W54"/>
    <mergeCell ref="X54:X54"/>
    <mergeCell ref="Y54:Y54"/>
    <mergeCell ref="Z54:Z54"/>
    <mergeCell ref="A55:A55"/>
    <mergeCell ref="B55:B55"/>
    <mergeCell ref="C55:C55"/>
    <mergeCell ref="D55:D55"/>
    <mergeCell ref="E55:E55"/>
    <mergeCell ref="F55:F55"/>
    <mergeCell ref="G55:G55"/>
    <mergeCell ref="H55:H55"/>
    <mergeCell ref="I55:I55"/>
    <mergeCell ref="J55:J55"/>
    <mergeCell ref="K55:K55"/>
    <mergeCell ref="L55:L55"/>
    <mergeCell ref="M55:M55"/>
    <mergeCell ref="N55:N55"/>
    <mergeCell ref="O55:O55"/>
    <mergeCell ref="P55:P55"/>
    <mergeCell ref="Q55:Q55"/>
    <mergeCell ref="R55:R55"/>
    <mergeCell ref="S55:S55"/>
    <mergeCell ref="T55:T55"/>
    <mergeCell ref="U55:U55"/>
    <mergeCell ref="V55:V55"/>
    <mergeCell ref="W55:W55"/>
    <mergeCell ref="X55:X55"/>
    <mergeCell ref="Y55:Y55"/>
    <mergeCell ref="Z55:Z55"/>
    <mergeCell ref="A56:A56"/>
    <mergeCell ref="B56:B56"/>
    <mergeCell ref="C56:C56"/>
    <mergeCell ref="D56:D56"/>
    <mergeCell ref="E56:E56"/>
    <mergeCell ref="F56:F56"/>
    <mergeCell ref="G56:G56"/>
    <mergeCell ref="H56:H56"/>
    <mergeCell ref="I56:I56"/>
    <mergeCell ref="J56:J56"/>
    <mergeCell ref="K56:K56"/>
    <mergeCell ref="L56:L56"/>
    <mergeCell ref="M56:M56"/>
    <mergeCell ref="N56:N56"/>
    <mergeCell ref="O56:O56"/>
    <mergeCell ref="P56:P56"/>
    <mergeCell ref="Q56:Q56"/>
    <mergeCell ref="R56:R56"/>
    <mergeCell ref="S56:S56"/>
    <mergeCell ref="T56:T56"/>
    <mergeCell ref="U56:U56"/>
    <mergeCell ref="V56:V56"/>
    <mergeCell ref="W56:W56"/>
    <mergeCell ref="X56:X56"/>
    <mergeCell ref="Y56:Y56"/>
    <mergeCell ref="Z56:Z56"/>
    <mergeCell ref="A57:A57"/>
    <mergeCell ref="B57:B57"/>
    <mergeCell ref="C57:C57"/>
    <mergeCell ref="D57:D57"/>
    <mergeCell ref="E57:E57"/>
    <mergeCell ref="F57:F57"/>
    <mergeCell ref="G57:G57"/>
    <mergeCell ref="H57:H57"/>
    <mergeCell ref="I57:I57"/>
    <mergeCell ref="J57:J57"/>
    <mergeCell ref="K57:K57"/>
    <mergeCell ref="L57:L57"/>
    <mergeCell ref="M57:M57"/>
    <mergeCell ref="N57:N57"/>
    <mergeCell ref="O57:O57"/>
    <mergeCell ref="P57:P57"/>
    <mergeCell ref="Q57:Q57"/>
    <mergeCell ref="R57:R57"/>
    <mergeCell ref="S57:S57"/>
    <mergeCell ref="T57:T57"/>
    <mergeCell ref="U57:U57"/>
    <mergeCell ref="V57:V57"/>
    <mergeCell ref="W57:W57"/>
    <mergeCell ref="X57:X57"/>
    <mergeCell ref="Y57:Y57"/>
    <mergeCell ref="Z57:Z57"/>
    <mergeCell ref="A58:A58"/>
    <mergeCell ref="B58:B58"/>
    <mergeCell ref="C58:C58"/>
    <mergeCell ref="D58:D58"/>
    <mergeCell ref="E58:E58"/>
    <mergeCell ref="F58:F58"/>
    <mergeCell ref="G58:G58"/>
    <mergeCell ref="H58:H58"/>
    <mergeCell ref="I58:I58"/>
    <mergeCell ref="J58:J58"/>
    <mergeCell ref="K58:K58"/>
    <mergeCell ref="L58:L58"/>
    <mergeCell ref="M58:M58"/>
    <mergeCell ref="N58:N58"/>
    <mergeCell ref="O58:O58"/>
    <mergeCell ref="P58:P58"/>
    <mergeCell ref="Q58:Q58"/>
    <mergeCell ref="R58:R58"/>
    <mergeCell ref="S58:S58"/>
    <mergeCell ref="T58:T58"/>
    <mergeCell ref="U58:U58"/>
    <mergeCell ref="V58:V58"/>
    <mergeCell ref="W58:W58"/>
    <mergeCell ref="X58:X58"/>
    <mergeCell ref="Y58:Y58"/>
    <mergeCell ref="Z58:Z58"/>
    <mergeCell ref="A59:A59"/>
    <mergeCell ref="B59:B59"/>
    <mergeCell ref="C59:C59"/>
    <mergeCell ref="D59:D59"/>
    <mergeCell ref="E59:E59"/>
    <mergeCell ref="F59:F59"/>
    <mergeCell ref="G59:G59"/>
    <mergeCell ref="H59:H59"/>
    <mergeCell ref="I59:I59"/>
    <mergeCell ref="J59:J59"/>
    <mergeCell ref="K59:K59"/>
    <mergeCell ref="L59:L59"/>
    <mergeCell ref="M59:M59"/>
    <mergeCell ref="N59:N59"/>
    <mergeCell ref="O59:O59"/>
    <mergeCell ref="P59:P59"/>
    <mergeCell ref="Q59:Q59"/>
    <mergeCell ref="R59:R59"/>
    <mergeCell ref="S59:S59"/>
    <mergeCell ref="T59:T59"/>
    <mergeCell ref="U59:U59"/>
    <mergeCell ref="V59:V59"/>
    <mergeCell ref="W59:W59"/>
    <mergeCell ref="X59:X59"/>
    <mergeCell ref="Y59:Y59"/>
    <mergeCell ref="Z59:Z59"/>
    <mergeCell ref="A60:A60"/>
    <mergeCell ref="B60:B60"/>
    <mergeCell ref="C60:C60"/>
    <mergeCell ref="D60:D60"/>
    <mergeCell ref="E60:E60"/>
    <mergeCell ref="F60:F60"/>
    <mergeCell ref="G60:G60"/>
    <mergeCell ref="H60:H60"/>
    <mergeCell ref="I60:I60"/>
    <mergeCell ref="J60:J60"/>
    <mergeCell ref="K60:K60"/>
    <mergeCell ref="L60:L60"/>
    <mergeCell ref="M60:M60"/>
    <mergeCell ref="N60:N60"/>
    <mergeCell ref="O60:O60"/>
    <mergeCell ref="P60:P60"/>
    <mergeCell ref="Q60:Q60"/>
    <mergeCell ref="R60:R60"/>
    <mergeCell ref="S60:S60"/>
    <mergeCell ref="T60:T60"/>
    <mergeCell ref="U60:U60"/>
    <mergeCell ref="V60:V60"/>
    <mergeCell ref="W60:W60"/>
    <mergeCell ref="X60:X60"/>
    <mergeCell ref="Y60:Y60"/>
    <mergeCell ref="Z60:Z60"/>
    <mergeCell ref="A61:A61"/>
    <mergeCell ref="B61:B61"/>
    <mergeCell ref="C61:C61"/>
    <mergeCell ref="D61:D61"/>
    <mergeCell ref="E61:E61"/>
    <mergeCell ref="F61:F61"/>
    <mergeCell ref="G61:G61"/>
    <mergeCell ref="H61:H61"/>
    <mergeCell ref="I61:I61"/>
    <mergeCell ref="J61:J61"/>
    <mergeCell ref="K61:K61"/>
    <mergeCell ref="L61:L61"/>
    <mergeCell ref="M61:M61"/>
    <mergeCell ref="N61:N61"/>
    <mergeCell ref="O61:O61"/>
    <mergeCell ref="P61:P61"/>
    <mergeCell ref="Q61:Q61"/>
    <mergeCell ref="R61:R61"/>
    <mergeCell ref="S61:S61"/>
    <mergeCell ref="T61:T61"/>
    <mergeCell ref="U61:U61"/>
    <mergeCell ref="V61:V61"/>
    <mergeCell ref="W61:W61"/>
    <mergeCell ref="X61:X61"/>
    <mergeCell ref="Y61:Y61"/>
    <mergeCell ref="Z61:Z61"/>
    <mergeCell ref="A62:A62"/>
    <mergeCell ref="B62:B62"/>
    <mergeCell ref="C62:C62"/>
    <mergeCell ref="D62:D62"/>
    <mergeCell ref="E62:E62"/>
    <mergeCell ref="F62:F62"/>
    <mergeCell ref="G62:G62"/>
    <mergeCell ref="H62:H62"/>
    <mergeCell ref="I62:I62"/>
    <mergeCell ref="J62:J62"/>
    <mergeCell ref="K62:K62"/>
    <mergeCell ref="L62:L62"/>
    <mergeCell ref="M62:M62"/>
    <mergeCell ref="N62:N62"/>
    <mergeCell ref="O62:O62"/>
    <mergeCell ref="P62:P62"/>
    <mergeCell ref="Q62:Q62"/>
    <mergeCell ref="R62:R62"/>
    <mergeCell ref="S62:S62"/>
    <mergeCell ref="T62:T62"/>
    <mergeCell ref="U62:U62"/>
    <mergeCell ref="V62:V62"/>
    <mergeCell ref="W62:W62"/>
    <mergeCell ref="X62:X62"/>
    <mergeCell ref="Y62:Y62"/>
    <mergeCell ref="Z62:Z62"/>
    <mergeCell ref="A63:A63"/>
    <mergeCell ref="B63:B63"/>
    <mergeCell ref="C63:C63"/>
    <mergeCell ref="D63:D63"/>
    <mergeCell ref="E63:E63"/>
    <mergeCell ref="F63:F63"/>
    <mergeCell ref="G63:G63"/>
    <mergeCell ref="H63:H63"/>
    <mergeCell ref="I63:I63"/>
    <mergeCell ref="J63:J63"/>
    <mergeCell ref="K63:K63"/>
    <mergeCell ref="L63:L63"/>
    <mergeCell ref="M63:M63"/>
    <mergeCell ref="N63:N63"/>
    <mergeCell ref="O63:O63"/>
    <mergeCell ref="P63:P63"/>
    <mergeCell ref="Q63:Q63"/>
    <mergeCell ref="R63:R63"/>
    <mergeCell ref="S63:S63"/>
    <mergeCell ref="T63:T63"/>
    <mergeCell ref="U63:U63"/>
    <mergeCell ref="V63:V63"/>
    <mergeCell ref="W63:W63"/>
    <mergeCell ref="X63:X63"/>
    <mergeCell ref="Y63:Y63"/>
    <mergeCell ref="Z63:Z63"/>
    <mergeCell ref="A64:A64"/>
    <mergeCell ref="B64:B64"/>
    <mergeCell ref="C64:C64"/>
    <mergeCell ref="D64:D64"/>
    <mergeCell ref="E64:E64"/>
    <mergeCell ref="F64:F64"/>
    <mergeCell ref="G64:G64"/>
    <mergeCell ref="H64:H64"/>
    <mergeCell ref="I64:I64"/>
    <mergeCell ref="J64:J64"/>
    <mergeCell ref="K64:K64"/>
    <mergeCell ref="L64:L64"/>
    <mergeCell ref="M64:M64"/>
    <mergeCell ref="N64:N64"/>
    <mergeCell ref="O64:O64"/>
    <mergeCell ref="P64:P64"/>
    <mergeCell ref="Q64:Q64"/>
    <mergeCell ref="R64:R64"/>
    <mergeCell ref="S64:S64"/>
    <mergeCell ref="T64:T64"/>
    <mergeCell ref="U64:U64"/>
    <mergeCell ref="V64:V64"/>
    <mergeCell ref="W64:W64"/>
    <mergeCell ref="X64:X64"/>
    <mergeCell ref="Y64:Y64"/>
    <mergeCell ref="Z64:Z64"/>
    <mergeCell ref="A65:A65"/>
    <mergeCell ref="B65:B65"/>
    <mergeCell ref="C65:C65"/>
    <mergeCell ref="D65:D65"/>
    <mergeCell ref="E65:E65"/>
    <mergeCell ref="F65:F65"/>
    <mergeCell ref="G65:G65"/>
    <mergeCell ref="H65:H65"/>
    <mergeCell ref="I65:I65"/>
    <mergeCell ref="J65:J65"/>
    <mergeCell ref="K65:K65"/>
    <mergeCell ref="L65:L65"/>
    <mergeCell ref="M65:M65"/>
    <mergeCell ref="N65:N65"/>
    <mergeCell ref="O65:O65"/>
    <mergeCell ref="P65:P65"/>
    <mergeCell ref="Q65:Q65"/>
    <mergeCell ref="R65:R65"/>
    <mergeCell ref="S65:S65"/>
    <mergeCell ref="T65:T65"/>
    <mergeCell ref="U65:U65"/>
    <mergeCell ref="V65:V65"/>
    <mergeCell ref="W65:W65"/>
    <mergeCell ref="X65:X65"/>
    <mergeCell ref="Y65:Y65"/>
    <mergeCell ref="Z65:Z65"/>
    <mergeCell ref="A66:A66"/>
    <mergeCell ref="B66:B66"/>
    <mergeCell ref="C66:C66"/>
    <mergeCell ref="D66:D66"/>
    <mergeCell ref="E66:E66"/>
    <mergeCell ref="F66:F66"/>
    <mergeCell ref="G66:G66"/>
    <mergeCell ref="H66:H66"/>
    <mergeCell ref="I66:I66"/>
    <mergeCell ref="J66:J66"/>
    <mergeCell ref="K66:K66"/>
    <mergeCell ref="L66:L66"/>
    <mergeCell ref="M66:M66"/>
    <mergeCell ref="N66:N66"/>
    <mergeCell ref="O66:O66"/>
    <mergeCell ref="P66:P66"/>
    <mergeCell ref="Q66:Q66"/>
    <mergeCell ref="R66:R66"/>
    <mergeCell ref="S66:S66"/>
    <mergeCell ref="T66:T66"/>
    <mergeCell ref="U66:U66"/>
    <mergeCell ref="V66:V66"/>
    <mergeCell ref="W66:W66"/>
    <mergeCell ref="X66:X66"/>
    <mergeCell ref="Y66:Y66"/>
    <mergeCell ref="Z66:Z66"/>
    <mergeCell ref="A67:A67"/>
    <mergeCell ref="B67:B67"/>
    <mergeCell ref="C67:C67"/>
    <mergeCell ref="D67:D67"/>
    <mergeCell ref="E67:E67"/>
    <mergeCell ref="F67:F67"/>
    <mergeCell ref="G67:G67"/>
    <mergeCell ref="H67:H67"/>
    <mergeCell ref="I67:I67"/>
    <mergeCell ref="J67:J67"/>
    <mergeCell ref="K67:K67"/>
    <mergeCell ref="L67:L67"/>
    <mergeCell ref="M67:M67"/>
    <mergeCell ref="N67:N67"/>
    <mergeCell ref="O67:O67"/>
    <mergeCell ref="P67:P67"/>
    <mergeCell ref="Q67:Q67"/>
    <mergeCell ref="R67:R67"/>
    <mergeCell ref="S67:S67"/>
    <mergeCell ref="T67:T67"/>
    <mergeCell ref="U67:U67"/>
    <mergeCell ref="V67:V67"/>
    <mergeCell ref="W67:W67"/>
    <mergeCell ref="X67:X67"/>
    <mergeCell ref="Y67:Y67"/>
    <mergeCell ref="Z67:Z67"/>
    <mergeCell ref="A68:A68"/>
    <mergeCell ref="B68:B68"/>
    <mergeCell ref="C68:C68"/>
    <mergeCell ref="D68:D68"/>
    <mergeCell ref="E68:E68"/>
    <mergeCell ref="F68:F68"/>
    <mergeCell ref="G68:G68"/>
    <mergeCell ref="H68:H68"/>
    <mergeCell ref="I68:I68"/>
    <mergeCell ref="J68:J68"/>
    <mergeCell ref="K68:K68"/>
    <mergeCell ref="L68:L68"/>
    <mergeCell ref="M68:M68"/>
    <mergeCell ref="N68:N68"/>
    <mergeCell ref="O68:O68"/>
    <mergeCell ref="P68:P68"/>
    <mergeCell ref="Q68:Q68"/>
    <mergeCell ref="R68:R68"/>
    <mergeCell ref="S68:S68"/>
    <mergeCell ref="T68:T68"/>
    <mergeCell ref="U68:U68"/>
    <mergeCell ref="V68:V68"/>
    <mergeCell ref="W68:W68"/>
    <mergeCell ref="X68:X68"/>
    <mergeCell ref="Y68:Y68"/>
    <mergeCell ref="Z68:Z68"/>
    <mergeCell ref="A69:A69"/>
    <mergeCell ref="B69:B69"/>
    <mergeCell ref="C69:C69"/>
    <mergeCell ref="D69:D69"/>
    <mergeCell ref="E69:E69"/>
    <mergeCell ref="F69:F69"/>
    <mergeCell ref="G69:G69"/>
    <mergeCell ref="H69:H69"/>
    <mergeCell ref="I69:I69"/>
    <mergeCell ref="J69:J69"/>
    <mergeCell ref="K69:K69"/>
    <mergeCell ref="L69:L69"/>
    <mergeCell ref="M69:M69"/>
    <mergeCell ref="N69:N69"/>
    <mergeCell ref="O69:O69"/>
    <mergeCell ref="P69:P69"/>
    <mergeCell ref="Q69:Q69"/>
    <mergeCell ref="R69:R69"/>
    <mergeCell ref="S69:S69"/>
    <mergeCell ref="T69:T69"/>
    <mergeCell ref="U69:U69"/>
    <mergeCell ref="V69:V69"/>
    <mergeCell ref="W69:W69"/>
    <mergeCell ref="X69:X69"/>
    <mergeCell ref="Y69:Y69"/>
    <mergeCell ref="Z69:Z69"/>
    <mergeCell ref="A70:A70"/>
    <mergeCell ref="B70:B70"/>
    <mergeCell ref="C70:C70"/>
    <mergeCell ref="D70:D70"/>
    <mergeCell ref="E70:E70"/>
    <mergeCell ref="F70:F70"/>
    <mergeCell ref="G70:G70"/>
    <mergeCell ref="H70:H70"/>
    <mergeCell ref="I70:I70"/>
    <mergeCell ref="J70:J70"/>
    <mergeCell ref="K70:K70"/>
    <mergeCell ref="L70:L70"/>
    <mergeCell ref="M70:M70"/>
    <mergeCell ref="N70:N70"/>
    <mergeCell ref="O70:O70"/>
    <mergeCell ref="P70:P70"/>
    <mergeCell ref="Q70:Q70"/>
    <mergeCell ref="R70:R70"/>
    <mergeCell ref="S70:S70"/>
    <mergeCell ref="T70:T70"/>
    <mergeCell ref="U70:U70"/>
    <mergeCell ref="V70:V70"/>
    <mergeCell ref="W70:W70"/>
    <mergeCell ref="X70:X70"/>
    <mergeCell ref="Y70:Y70"/>
    <mergeCell ref="Z70:Z70"/>
    <mergeCell ref="A71:A71"/>
    <mergeCell ref="B71:B71"/>
    <mergeCell ref="C71:C71"/>
    <mergeCell ref="D71:D71"/>
    <mergeCell ref="E71:E71"/>
    <mergeCell ref="F71:F71"/>
    <mergeCell ref="G71:G71"/>
    <mergeCell ref="H71:H71"/>
    <mergeCell ref="I71:I71"/>
    <mergeCell ref="J71:J71"/>
    <mergeCell ref="K71:K71"/>
    <mergeCell ref="L71:L71"/>
    <mergeCell ref="M71:M71"/>
    <mergeCell ref="N71:N71"/>
    <mergeCell ref="O71:O71"/>
    <mergeCell ref="P71:P71"/>
    <mergeCell ref="Q71:Q71"/>
    <mergeCell ref="R71:R71"/>
    <mergeCell ref="S71:S71"/>
    <mergeCell ref="T71:T71"/>
    <mergeCell ref="U71:U71"/>
    <mergeCell ref="V71:V71"/>
    <mergeCell ref="W71:W71"/>
    <mergeCell ref="X71:X71"/>
    <mergeCell ref="Y71:Y71"/>
    <mergeCell ref="Z71:Z71"/>
    <mergeCell ref="A72:A72"/>
    <mergeCell ref="B72:B72"/>
    <mergeCell ref="C72:C72"/>
    <mergeCell ref="D72:D72"/>
    <mergeCell ref="E72:E72"/>
    <mergeCell ref="F72:F72"/>
    <mergeCell ref="G72:G72"/>
    <mergeCell ref="H72:H72"/>
    <mergeCell ref="I72:I72"/>
    <mergeCell ref="J72:J72"/>
    <mergeCell ref="K72:K72"/>
    <mergeCell ref="L72:L72"/>
    <mergeCell ref="M72:M72"/>
    <mergeCell ref="N72:N72"/>
    <mergeCell ref="O72:O72"/>
    <mergeCell ref="P72:P72"/>
    <mergeCell ref="Q72:Q72"/>
    <mergeCell ref="R72:R72"/>
    <mergeCell ref="S72:S72"/>
    <mergeCell ref="T72:T72"/>
    <mergeCell ref="U72:U72"/>
    <mergeCell ref="V72:V72"/>
    <mergeCell ref="W72:W72"/>
    <mergeCell ref="X72:X72"/>
    <mergeCell ref="Y72:Y72"/>
    <mergeCell ref="Z72:Z72"/>
    <mergeCell ref="A73:A73"/>
    <mergeCell ref="B73:B73"/>
    <mergeCell ref="C73:C73"/>
    <mergeCell ref="D73:D73"/>
    <mergeCell ref="E73:E73"/>
    <mergeCell ref="F73:F73"/>
    <mergeCell ref="G73:G73"/>
    <mergeCell ref="H73:H73"/>
    <mergeCell ref="I73:I73"/>
    <mergeCell ref="J73:J73"/>
    <mergeCell ref="K73:K73"/>
    <mergeCell ref="L73:L73"/>
    <mergeCell ref="M73:M73"/>
    <mergeCell ref="N73:N73"/>
    <mergeCell ref="O73:O73"/>
    <mergeCell ref="P73:P73"/>
    <mergeCell ref="Q73:Q73"/>
    <mergeCell ref="R73:R73"/>
    <mergeCell ref="S73:S73"/>
    <mergeCell ref="T73:T73"/>
    <mergeCell ref="U73:U73"/>
    <mergeCell ref="V73:V73"/>
    <mergeCell ref="W73:W73"/>
    <mergeCell ref="X73:X73"/>
    <mergeCell ref="Y73:Y73"/>
    <mergeCell ref="Z73:Z73"/>
    <mergeCell ref="A74:A74"/>
    <mergeCell ref="B74:B74"/>
    <mergeCell ref="C74:C74"/>
    <mergeCell ref="D74:D74"/>
    <mergeCell ref="E74:E74"/>
    <mergeCell ref="F74:F74"/>
    <mergeCell ref="G74:G74"/>
    <mergeCell ref="H74:H74"/>
    <mergeCell ref="I74:I74"/>
    <mergeCell ref="J74:J74"/>
    <mergeCell ref="K74:K74"/>
    <mergeCell ref="L74:L74"/>
    <mergeCell ref="M74:M74"/>
    <mergeCell ref="N74:N74"/>
    <mergeCell ref="O74:O74"/>
    <mergeCell ref="P74:P74"/>
    <mergeCell ref="Q74:Q74"/>
    <mergeCell ref="R74:R74"/>
    <mergeCell ref="S74:S74"/>
    <mergeCell ref="T74:T74"/>
    <mergeCell ref="U74:U74"/>
    <mergeCell ref="V74:V74"/>
    <mergeCell ref="W74:W74"/>
    <mergeCell ref="X74:X74"/>
    <mergeCell ref="Y74:Y74"/>
    <mergeCell ref="Z74:Z74"/>
    <mergeCell ref="A75:A75"/>
    <mergeCell ref="B75:B75"/>
    <mergeCell ref="C75:C75"/>
    <mergeCell ref="D75:D75"/>
    <mergeCell ref="E75:E75"/>
    <mergeCell ref="F75:F75"/>
    <mergeCell ref="G75:G75"/>
    <mergeCell ref="H75:H75"/>
    <mergeCell ref="I75:I75"/>
    <mergeCell ref="J75:J75"/>
    <mergeCell ref="K75:K75"/>
    <mergeCell ref="L75:L75"/>
    <mergeCell ref="M75:M75"/>
    <mergeCell ref="N75:N75"/>
    <mergeCell ref="O75:O75"/>
    <mergeCell ref="P75:P75"/>
    <mergeCell ref="Q75:Q75"/>
    <mergeCell ref="R75:R75"/>
    <mergeCell ref="S75:S75"/>
    <mergeCell ref="T75:T75"/>
    <mergeCell ref="U75:U75"/>
    <mergeCell ref="V75:V75"/>
    <mergeCell ref="W75:W75"/>
    <mergeCell ref="X75:X75"/>
    <mergeCell ref="Y75:Y75"/>
    <mergeCell ref="Z75:Z75"/>
    <mergeCell ref="A76:A76"/>
    <mergeCell ref="B76:B76"/>
    <mergeCell ref="C76:C76"/>
    <mergeCell ref="D76:D76"/>
    <mergeCell ref="E76:E76"/>
    <mergeCell ref="F76:F76"/>
    <mergeCell ref="G76:G76"/>
    <mergeCell ref="H76:H76"/>
    <mergeCell ref="I76:I76"/>
    <mergeCell ref="J76:J76"/>
    <mergeCell ref="K76:K76"/>
    <mergeCell ref="L76:L76"/>
    <mergeCell ref="M76:M76"/>
    <mergeCell ref="N76:N76"/>
    <mergeCell ref="O76:O76"/>
    <mergeCell ref="P76:P76"/>
    <mergeCell ref="Q76:Q76"/>
    <mergeCell ref="R76:R76"/>
    <mergeCell ref="S76:S76"/>
    <mergeCell ref="T76:T76"/>
    <mergeCell ref="U76:U76"/>
    <mergeCell ref="V76:V76"/>
    <mergeCell ref="W76:W76"/>
    <mergeCell ref="X76:X76"/>
    <mergeCell ref="Y76:Y76"/>
    <mergeCell ref="Z76:Z76"/>
    <mergeCell ref="A77:A77"/>
    <mergeCell ref="B77:B77"/>
    <mergeCell ref="C77:C77"/>
    <mergeCell ref="D77:D77"/>
    <mergeCell ref="E77:E77"/>
    <mergeCell ref="F77:F77"/>
    <mergeCell ref="G77:G77"/>
    <mergeCell ref="H77:H77"/>
    <mergeCell ref="I77:I77"/>
    <mergeCell ref="J77:J77"/>
    <mergeCell ref="K77:K77"/>
    <mergeCell ref="L77:L77"/>
    <mergeCell ref="M77:M77"/>
    <mergeCell ref="N77:N77"/>
    <mergeCell ref="O77:O77"/>
    <mergeCell ref="P77:P77"/>
    <mergeCell ref="Q77:Q77"/>
    <mergeCell ref="R77:R77"/>
    <mergeCell ref="S77:S77"/>
    <mergeCell ref="T77:T77"/>
    <mergeCell ref="U77:U77"/>
    <mergeCell ref="V77:V77"/>
    <mergeCell ref="W77:W77"/>
    <mergeCell ref="X77:X77"/>
    <mergeCell ref="Y77:Y77"/>
    <mergeCell ref="Z77:Z77"/>
    <mergeCell ref="A78:A78"/>
    <mergeCell ref="B78:B78"/>
    <mergeCell ref="C78:C78"/>
    <mergeCell ref="D78:D78"/>
    <mergeCell ref="E78:E78"/>
    <mergeCell ref="F78:F78"/>
    <mergeCell ref="G78:G78"/>
    <mergeCell ref="H78:H78"/>
    <mergeCell ref="I78:I78"/>
    <mergeCell ref="J78:J78"/>
    <mergeCell ref="K78:K78"/>
    <mergeCell ref="L78:L78"/>
    <mergeCell ref="M78:M78"/>
    <mergeCell ref="N78:N78"/>
    <mergeCell ref="O78:O78"/>
    <mergeCell ref="P78:P78"/>
    <mergeCell ref="Q78:Q78"/>
    <mergeCell ref="R78:R78"/>
    <mergeCell ref="S78:S78"/>
    <mergeCell ref="T78:T78"/>
    <mergeCell ref="U78:U78"/>
    <mergeCell ref="V78:V78"/>
    <mergeCell ref="W78:W78"/>
    <mergeCell ref="X78:X78"/>
    <mergeCell ref="Y78:Y78"/>
    <mergeCell ref="Z78:Z78"/>
    <mergeCell ref="A79:A79"/>
    <mergeCell ref="B79:B79"/>
    <mergeCell ref="C79:C79"/>
    <mergeCell ref="D79:D79"/>
    <mergeCell ref="E79:E79"/>
    <mergeCell ref="F79:F79"/>
    <mergeCell ref="G79:G79"/>
    <mergeCell ref="H79:H79"/>
    <mergeCell ref="I79:I79"/>
    <mergeCell ref="J79:J79"/>
    <mergeCell ref="K79:K79"/>
    <mergeCell ref="L79:L79"/>
    <mergeCell ref="M79:M79"/>
    <mergeCell ref="N79:N79"/>
    <mergeCell ref="O79:O79"/>
    <mergeCell ref="P79:P79"/>
    <mergeCell ref="Q79:Q79"/>
    <mergeCell ref="R79:R79"/>
    <mergeCell ref="S79:S79"/>
    <mergeCell ref="T79:T79"/>
    <mergeCell ref="U79:U79"/>
    <mergeCell ref="V79:V79"/>
    <mergeCell ref="W79:W79"/>
    <mergeCell ref="X79:X79"/>
    <mergeCell ref="Y79:Y79"/>
    <mergeCell ref="Z79:Z79"/>
    <mergeCell ref="A80:A80"/>
    <mergeCell ref="B80:B80"/>
    <mergeCell ref="C80:C80"/>
    <mergeCell ref="D80:D80"/>
    <mergeCell ref="E80:E80"/>
    <mergeCell ref="F80:F80"/>
    <mergeCell ref="G80:G80"/>
    <mergeCell ref="H80:H80"/>
    <mergeCell ref="I80:I80"/>
    <mergeCell ref="J80:J80"/>
    <mergeCell ref="K80:K80"/>
    <mergeCell ref="L80:L80"/>
    <mergeCell ref="M80:M80"/>
    <mergeCell ref="N80:N80"/>
    <mergeCell ref="O80:O80"/>
    <mergeCell ref="P80:P80"/>
    <mergeCell ref="Q80:Q80"/>
    <mergeCell ref="R80:R80"/>
    <mergeCell ref="S80:S80"/>
    <mergeCell ref="T80:T80"/>
    <mergeCell ref="U80:U80"/>
    <mergeCell ref="V80:V80"/>
    <mergeCell ref="W80:W80"/>
    <mergeCell ref="X80:X80"/>
    <mergeCell ref="Y80:Y80"/>
    <mergeCell ref="Z80:Z80"/>
    <mergeCell ref="A81:A81"/>
    <mergeCell ref="B81:B81"/>
    <mergeCell ref="C81:C81"/>
    <mergeCell ref="D81:D81"/>
    <mergeCell ref="E81:E81"/>
    <mergeCell ref="F81:F81"/>
    <mergeCell ref="G81:G81"/>
    <mergeCell ref="H81:H81"/>
    <mergeCell ref="I81:I81"/>
    <mergeCell ref="J81:J81"/>
    <mergeCell ref="K81:K81"/>
    <mergeCell ref="L81:L81"/>
    <mergeCell ref="M81:M81"/>
    <mergeCell ref="N81:N81"/>
    <mergeCell ref="O81:O81"/>
    <mergeCell ref="P81:P81"/>
    <mergeCell ref="Q81:Q81"/>
    <mergeCell ref="R81:R81"/>
    <mergeCell ref="S81:S81"/>
    <mergeCell ref="T81:T81"/>
    <mergeCell ref="U81:U81"/>
    <mergeCell ref="V81:V81"/>
    <mergeCell ref="W81:W81"/>
    <mergeCell ref="X81:X81"/>
    <mergeCell ref="Y81:Y81"/>
    <mergeCell ref="Z81:Z81"/>
    <mergeCell ref="A82:A82"/>
    <mergeCell ref="B82:B82"/>
    <mergeCell ref="C82:C82"/>
    <mergeCell ref="D82:D82"/>
    <mergeCell ref="E82:E82"/>
    <mergeCell ref="F82:F82"/>
    <mergeCell ref="G82:G82"/>
    <mergeCell ref="H82:H82"/>
    <mergeCell ref="I82:I82"/>
    <mergeCell ref="J82:J82"/>
    <mergeCell ref="K82:K82"/>
    <mergeCell ref="L82:L82"/>
    <mergeCell ref="M82:M82"/>
    <mergeCell ref="N82:N82"/>
    <mergeCell ref="O82:O82"/>
    <mergeCell ref="P82:P82"/>
    <mergeCell ref="Q82:Q82"/>
    <mergeCell ref="R82:R82"/>
    <mergeCell ref="S82:S82"/>
    <mergeCell ref="T82:T82"/>
    <mergeCell ref="U82:U82"/>
    <mergeCell ref="V82:V82"/>
    <mergeCell ref="W82:W82"/>
    <mergeCell ref="X82:X82"/>
    <mergeCell ref="Y82:Y82"/>
    <mergeCell ref="Z82:Z82"/>
    <mergeCell ref="A83:A83"/>
    <mergeCell ref="B83:B83"/>
    <mergeCell ref="C83:C83"/>
    <mergeCell ref="D83:D83"/>
    <mergeCell ref="E83:E83"/>
    <mergeCell ref="F83:F83"/>
    <mergeCell ref="G83:G83"/>
    <mergeCell ref="H83:H83"/>
    <mergeCell ref="I83:I83"/>
    <mergeCell ref="J83:J83"/>
    <mergeCell ref="K83:K83"/>
    <mergeCell ref="L83:L83"/>
    <mergeCell ref="M83:M83"/>
    <mergeCell ref="N83:N83"/>
    <mergeCell ref="O83:O83"/>
    <mergeCell ref="P83:P83"/>
    <mergeCell ref="Q83:Q83"/>
    <mergeCell ref="R83:R83"/>
    <mergeCell ref="S83:S83"/>
    <mergeCell ref="T83:T83"/>
    <mergeCell ref="U83:U83"/>
    <mergeCell ref="V83:V83"/>
    <mergeCell ref="W83:W83"/>
    <mergeCell ref="X83:X83"/>
    <mergeCell ref="Y83:Y83"/>
    <mergeCell ref="Z83:Z83"/>
    <mergeCell ref="A84:A84"/>
    <mergeCell ref="B84:B84"/>
    <mergeCell ref="C84:C84"/>
    <mergeCell ref="D84:D84"/>
    <mergeCell ref="E84:E84"/>
    <mergeCell ref="F84:F84"/>
    <mergeCell ref="G84:G84"/>
    <mergeCell ref="H84:H84"/>
    <mergeCell ref="I84:I84"/>
    <mergeCell ref="J84:J84"/>
    <mergeCell ref="K84:K84"/>
    <mergeCell ref="L84:L84"/>
    <mergeCell ref="M84:M84"/>
    <mergeCell ref="N84:N84"/>
    <mergeCell ref="O84:O84"/>
    <mergeCell ref="P84:P84"/>
    <mergeCell ref="Q84:Q84"/>
    <mergeCell ref="R84:R84"/>
    <mergeCell ref="S84:S84"/>
    <mergeCell ref="T84:T84"/>
    <mergeCell ref="U84:U84"/>
    <mergeCell ref="V84:V84"/>
    <mergeCell ref="W84:W84"/>
    <mergeCell ref="X84:X84"/>
    <mergeCell ref="Y84:Y84"/>
    <mergeCell ref="Z84:Z84"/>
    <mergeCell ref="A85:A85"/>
    <mergeCell ref="B85:B85"/>
    <mergeCell ref="C85:C85"/>
    <mergeCell ref="D85:D85"/>
    <mergeCell ref="E85:E85"/>
    <mergeCell ref="F85:F85"/>
    <mergeCell ref="G85:G85"/>
    <mergeCell ref="H85:H85"/>
    <mergeCell ref="I85:I85"/>
    <mergeCell ref="J85:J85"/>
    <mergeCell ref="K85:K85"/>
    <mergeCell ref="L85:L85"/>
    <mergeCell ref="M85:M85"/>
    <mergeCell ref="N85:N85"/>
    <mergeCell ref="O85:O85"/>
    <mergeCell ref="P85:P85"/>
    <mergeCell ref="Q85:Q85"/>
    <mergeCell ref="R85:R85"/>
    <mergeCell ref="S85:S85"/>
    <mergeCell ref="T85:T85"/>
    <mergeCell ref="U85:U85"/>
    <mergeCell ref="V85:V85"/>
    <mergeCell ref="W85:W85"/>
    <mergeCell ref="X85:X85"/>
    <mergeCell ref="Y85:Y85"/>
    <mergeCell ref="Z85:Z85"/>
    <mergeCell ref="A86:A86"/>
    <mergeCell ref="B86:B86"/>
    <mergeCell ref="C86:C86"/>
    <mergeCell ref="D86:D86"/>
    <mergeCell ref="E86:E86"/>
    <mergeCell ref="F86:F86"/>
    <mergeCell ref="G86:G86"/>
    <mergeCell ref="H86:H86"/>
    <mergeCell ref="I86:I86"/>
    <mergeCell ref="J86:J86"/>
    <mergeCell ref="K86:K86"/>
    <mergeCell ref="L86:L86"/>
    <mergeCell ref="M86:M86"/>
    <mergeCell ref="N86:N86"/>
    <mergeCell ref="O86:O86"/>
    <mergeCell ref="P86:P86"/>
    <mergeCell ref="Q86:Q86"/>
    <mergeCell ref="R86:R86"/>
    <mergeCell ref="S86:S86"/>
    <mergeCell ref="T86:T86"/>
    <mergeCell ref="U86:U86"/>
    <mergeCell ref="V86:V86"/>
    <mergeCell ref="W86:W86"/>
    <mergeCell ref="X86:X86"/>
    <mergeCell ref="Y86:Y86"/>
    <mergeCell ref="Z86:Z86"/>
    <mergeCell ref="A87:A87"/>
    <mergeCell ref="B87:B87"/>
    <mergeCell ref="C87:C87"/>
    <mergeCell ref="D87:D87"/>
    <mergeCell ref="E87:E87"/>
    <mergeCell ref="F87:F87"/>
    <mergeCell ref="G87:G87"/>
    <mergeCell ref="H87:H87"/>
    <mergeCell ref="I87:I87"/>
    <mergeCell ref="J87:J87"/>
    <mergeCell ref="K87:K87"/>
    <mergeCell ref="L87:L87"/>
    <mergeCell ref="M87:M87"/>
    <mergeCell ref="N87:N87"/>
    <mergeCell ref="O87:O87"/>
    <mergeCell ref="P87:P87"/>
    <mergeCell ref="Q87:Q87"/>
    <mergeCell ref="R87:R87"/>
    <mergeCell ref="S87:S87"/>
    <mergeCell ref="T87:T87"/>
    <mergeCell ref="U87:U87"/>
    <mergeCell ref="V87:V87"/>
    <mergeCell ref="W87:W87"/>
    <mergeCell ref="X87:X87"/>
    <mergeCell ref="Y87:Y87"/>
    <mergeCell ref="Z87:Z87"/>
    <mergeCell ref="A88:A88"/>
    <mergeCell ref="B88:B88"/>
    <mergeCell ref="C88:C88"/>
    <mergeCell ref="D88:D88"/>
    <mergeCell ref="E88:E88"/>
    <mergeCell ref="F88:F88"/>
    <mergeCell ref="G88:G88"/>
    <mergeCell ref="H88:H88"/>
    <mergeCell ref="I88:I88"/>
    <mergeCell ref="J88:J88"/>
    <mergeCell ref="K88:K88"/>
    <mergeCell ref="L88:L88"/>
    <mergeCell ref="M88:M88"/>
    <mergeCell ref="N88:N88"/>
    <mergeCell ref="O88:O88"/>
    <mergeCell ref="P88:P88"/>
    <mergeCell ref="Q88:Q88"/>
    <mergeCell ref="R88:R88"/>
    <mergeCell ref="S88:S88"/>
    <mergeCell ref="T88:T88"/>
    <mergeCell ref="U88:U88"/>
    <mergeCell ref="V88:V88"/>
    <mergeCell ref="W88:W88"/>
    <mergeCell ref="X88:X88"/>
    <mergeCell ref="Y88:Y88"/>
    <mergeCell ref="Z88:Z88"/>
    <mergeCell ref="A89:A89"/>
    <mergeCell ref="B89:B89"/>
    <mergeCell ref="C89:C89"/>
    <mergeCell ref="D89:D89"/>
    <mergeCell ref="E89:E89"/>
    <mergeCell ref="F89:F89"/>
    <mergeCell ref="G89:G89"/>
    <mergeCell ref="H89:H89"/>
    <mergeCell ref="I89:I89"/>
    <mergeCell ref="J89:J89"/>
    <mergeCell ref="K89:K89"/>
    <mergeCell ref="L89:L89"/>
    <mergeCell ref="M89:M89"/>
    <mergeCell ref="N89:N89"/>
    <mergeCell ref="O89:O89"/>
    <mergeCell ref="P89:P89"/>
    <mergeCell ref="Q89:Q89"/>
    <mergeCell ref="R89:R89"/>
    <mergeCell ref="S89:S89"/>
    <mergeCell ref="T89:T89"/>
    <mergeCell ref="U89:U89"/>
    <mergeCell ref="V89:V89"/>
    <mergeCell ref="W89:W89"/>
    <mergeCell ref="X89:X89"/>
    <mergeCell ref="Y89:Y89"/>
    <mergeCell ref="Z89:Z89"/>
    <mergeCell ref="A90:A90"/>
    <mergeCell ref="B90:B90"/>
    <mergeCell ref="C90:C90"/>
    <mergeCell ref="D90:D90"/>
    <mergeCell ref="E90:E90"/>
    <mergeCell ref="F90:F90"/>
    <mergeCell ref="G90:G90"/>
    <mergeCell ref="H90:H90"/>
    <mergeCell ref="I90:I90"/>
    <mergeCell ref="J90:J90"/>
    <mergeCell ref="K90:K90"/>
    <mergeCell ref="L90:L90"/>
    <mergeCell ref="M90:M90"/>
    <mergeCell ref="N90:N90"/>
    <mergeCell ref="O90:O90"/>
    <mergeCell ref="P90:P90"/>
    <mergeCell ref="Q90:Q90"/>
    <mergeCell ref="R90:R90"/>
    <mergeCell ref="S90:S90"/>
    <mergeCell ref="T90:T90"/>
    <mergeCell ref="U90:U90"/>
    <mergeCell ref="V90:V90"/>
    <mergeCell ref="W90:W90"/>
    <mergeCell ref="X90:X90"/>
    <mergeCell ref="Y90:Y90"/>
    <mergeCell ref="Z90:Z90"/>
    <mergeCell ref="A91:A91"/>
    <mergeCell ref="B91:B91"/>
    <mergeCell ref="C91:C91"/>
    <mergeCell ref="D91:D91"/>
    <mergeCell ref="E91:E91"/>
    <mergeCell ref="F91:F91"/>
    <mergeCell ref="G91:G91"/>
    <mergeCell ref="H91:H91"/>
    <mergeCell ref="I91:I91"/>
    <mergeCell ref="J91:J91"/>
    <mergeCell ref="K91:K91"/>
    <mergeCell ref="L91:L91"/>
    <mergeCell ref="M91:M91"/>
    <mergeCell ref="N91:N91"/>
    <mergeCell ref="O91:O91"/>
    <mergeCell ref="P91:P91"/>
    <mergeCell ref="Q91:Q91"/>
    <mergeCell ref="R91:R91"/>
    <mergeCell ref="S91:S91"/>
    <mergeCell ref="T91:T91"/>
    <mergeCell ref="U91:U91"/>
    <mergeCell ref="V91:V91"/>
    <mergeCell ref="W91:W91"/>
    <mergeCell ref="X91:X91"/>
    <mergeCell ref="Y91:Y91"/>
    <mergeCell ref="Z91:Z91"/>
    <mergeCell ref="A92:A92"/>
    <mergeCell ref="B92:B92"/>
    <mergeCell ref="C92:C92"/>
    <mergeCell ref="D92:D92"/>
    <mergeCell ref="E92:E92"/>
    <mergeCell ref="F92:F92"/>
    <mergeCell ref="G92:G92"/>
    <mergeCell ref="H92:H92"/>
    <mergeCell ref="I92:I92"/>
    <mergeCell ref="J92:J92"/>
    <mergeCell ref="K92:K92"/>
    <mergeCell ref="L92:L92"/>
    <mergeCell ref="M92:M92"/>
    <mergeCell ref="N92:N92"/>
    <mergeCell ref="O92:O92"/>
    <mergeCell ref="P92:P92"/>
    <mergeCell ref="Q92:Q92"/>
    <mergeCell ref="R92:R92"/>
    <mergeCell ref="S92:S92"/>
    <mergeCell ref="T92:T92"/>
    <mergeCell ref="U92:U92"/>
    <mergeCell ref="V92:V92"/>
    <mergeCell ref="W92:W92"/>
    <mergeCell ref="X92:X92"/>
    <mergeCell ref="Y92:Y92"/>
    <mergeCell ref="Z92:Z92"/>
    <mergeCell ref="A93:A93"/>
    <mergeCell ref="B93:B93"/>
    <mergeCell ref="C93:C93"/>
    <mergeCell ref="D93:D93"/>
    <mergeCell ref="E93:E93"/>
    <mergeCell ref="F93:F93"/>
    <mergeCell ref="G93:G93"/>
    <mergeCell ref="H93:H93"/>
    <mergeCell ref="I93:I93"/>
    <mergeCell ref="J93:J93"/>
    <mergeCell ref="K93:K93"/>
    <mergeCell ref="L93:L93"/>
    <mergeCell ref="M93:M93"/>
    <mergeCell ref="N93:N93"/>
    <mergeCell ref="O93:O93"/>
    <mergeCell ref="P93:P93"/>
    <mergeCell ref="Q93:Q93"/>
    <mergeCell ref="R93:R93"/>
    <mergeCell ref="S93:S93"/>
    <mergeCell ref="T93:T93"/>
    <mergeCell ref="U93:U93"/>
    <mergeCell ref="V93:V93"/>
    <mergeCell ref="W93:W93"/>
    <mergeCell ref="X93:X93"/>
    <mergeCell ref="Y93:Y93"/>
    <mergeCell ref="Z93:Z93"/>
    <mergeCell ref="A94:A94"/>
    <mergeCell ref="B94:B94"/>
    <mergeCell ref="C94:C94"/>
    <mergeCell ref="D94:D94"/>
    <mergeCell ref="E94:E94"/>
    <mergeCell ref="F94:F94"/>
    <mergeCell ref="G94:G94"/>
    <mergeCell ref="H94:H94"/>
    <mergeCell ref="I94:I94"/>
    <mergeCell ref="J94:J94"/>
    <mergeCell ref="K94:K94"/>
    <mergeCell ref="L94:L94"/>
    <mergeCell ref="M94:M94"/>
    <mergeCell ref="N94:N94"/>
    <mergeCell ref="O94:O94"/>
    <mergeCell ref="P94:P94"/>
    <mergeCell ref="Q94:Q94"/>
    <mergeCell ref="R94:R94"/>
    <mergeCell ref="S94:S94"/>
    <mergeCell ref="T94:T94"/>
    <mergeCell ref="U94:U94"/>
    <mergeCell ref="V94:V94"/>
    <mergeCell ref="W94:W94"/>
    <mergeCell ref="X94:X94"/>
    <mergeCell ref="Y94:Y94"/>
    <mergeCell ref="Z94:Z94"/>
    <mergeCell ref="A95:A95"/>
    <mergeCell ref="B95:B95"/>
    <mergeCell ref="C95:C95"/>
    <mergeCell ref="D95:D95"/>
    <mergeCell ref="E95:E95"/>
    <mergeCell ref="F95:F95"/>
    <mergeCell ref="G95:G95"/>
    <mergeCell ref="H95:H95"/>
    <mergeCell ref="I95:I95"/>
    <mergeCell ref="J95:J95"/>
    <mergeCell ref="K95:K95"/>
    <mergeCell ref="L95:L95"/>
    <mergeCell ref="M95:M95"/>
    <mergeCell ref="N95:N95"/>
    <mergeCell ref="O95:O95"/>
    <mergeCell ref="P95:P95"/>
    <mergeCell ref="Q95:Q95"/>
    <mergeCell ref="R95:R95"/>
    <mergeCell ref="S95:S95"/>
    <mergeCell ref="T95:T95"/>
    <mergeCell ref="U95:U95"/>
    <mergeCell ref="V95:V95"/>
    <mergeCell ref="W95:W95"/>
    <mergeCell ref="X95:X95"/>
    <mergeCell ref="Y95:Y95"/>
    <mergeCell ref="Z95:Z95"/>
    <mergeCell ref="A96:A96"/>
    <mergeCell ref="B96:B96"/>
    <mergeCell ref="C96:C96"/>
    <mergeCell ref="D96:D96"/>
    <mergeCell ref="E96:E96"/>
    <mergeCell ref="F96:F96"/>
    <mergeCell ref="G96:G96"/>
    <mergeCell ref="H96:H96"/>
    <mergeCell ref="I96:I96"/>
    <mergeCell ref="J96:J96"/>
    <mergeCell ref="K96:K96"/>
    <mergeCell ref="L96:L96"/>
    <mergeCell ref="M96:M96"/>
    <mergeCell ref="N96:N96"/>
    <mergeCell ref="O96:O96"/>
    <mergeCell ref="P96:P96"/>
    <mergeCell ref="Q96:Q96"/>
    <mergeCell ref="R96:R96"/>
    <mergeCell ref="S96:S96"/>
    <mergeCell ref="T96:T96"/>
    <mergeCell ref="U96:U96"/>
    <mergeCell ref="V96:V96"/>
    <mergeCell ref="W96:W96"/>
    <mergeCell ref="X96:X96"/>
    <mergeCell ref="Y96:Y96"/>
    <mergeCell ref="Z96:Z96"/>
    <mergeCell ref="A97:A97"/>
    <mergeCell ref="B97:B97"/>
    <mergeCell ref="C97:C97"/>
    <mergeCell ref="D97:D97"/>
    <mergeCell ref="E97:E97"/>
    <mergeCell ref="F97:F97"/>
    <mergeCell ref="G97:G97"/>
    <mergeCell ref="H97:H97"/>
    <mergeCell ref="I97:I97"/>
    <mergeCell ref="J97:J97"/>
    <mergeCell ref="K97:K97"/>
    <mergeCell ref="L97:L97"/>
    <mergeCell ref="M97:M97"/>
    <mergeCell ref="N97:N97"/>
    <mergeCell ref="O97:O97"/>
    <mergeCell ref="P97:P97"/>
    <mergeCell ref="Q97:Q97"/>
    <mergeCell ref="R97:R97"/>
    <mergeCell ref="S97:S97"/>
    <mergeCell ref="T97:T97"/>
    <mergeCell ref="U97:U97"/>
    <mergeCell ref="V97:V97"/>
    <mergeCell ref="W97:W97"/>
    <mergeCell ref="X97:X97"/>
    <mergeCell ref="Y97:Y97"/>
    <mergeCell ref="Z97:Z97"/>
    <mergeCell ref="A98:A98"/>
    <mergeCell ref="B98:B98"/>
    <mergeCell ref="C98:C98"/>
    <mergeCell ref="D98:D98"/>
    <mergeCell ref="E98:E98"/>
    <mergeCell ref="F98:F98"/>
    <mergeCell ref="G98:G98"/>
    <mergeCell ref="H98:H98"/>
    <mergeCell ref="I98:I98"/>
    <mergeCell ref="J98:J98"/>
    <mergeCell ref="K98:K98"/>
    <mergeCell ref="L98:L98"/>
    <mergeCell ref="M98:M98"/>
    <mergeCell ref="N98:N98"/>
    <mergeCell ref="O98:O98"/>
    <mergeCell ref="P98:P98"/>
    <mergeCell ref="Q98:Q98"/>
    <mergeCell ref="R98:R98"/>
    <mergeCell ref="S98:S98"/>
    <mergeCell ref="T98:T98"/>
    <mergeCell ref="U98:U98"/>
    <mergeCell ref="V98:V98"/>
    <mergeCell ref="W98:W98"/>
    <mergeCell ref="X98:X98"/>
    <mergeCell ref="Y98:Y98"/>
    <mergeCell ref="Z98:Z98"/>
    <mergeCell ref="A99:A99"/>
    <mergeCell ref="B99:B99"/>
    <mergeCell ref="C99:C99"/>
    <mergeCell ref="D99:D99"/>
    <mergeCell ref="E99:E99"/>
    <mergeCell ref="F99:F99"/>
    <mergeCell ref="G99:G99"/>
    <mergeCell ref="H99:H99"/>
    <mergeCell ref="I99:I99"/>
    <mergeCell ref="J99:J99"/>
    <mergeCell ref="K99:K99"/>
    <mergeCell ref="L99:L99"/>
    <mergeCell ref="M99:M99"/>
    <mergeCell ref="N99:N99"/>
    <mergeCell ref="O99:O99"/>
    <mergeCell ref="P99:P99"/>
    <mergeCell ref="Q99:Q99"/>
    <mergeCell ref="R99:R99"/>
    <mergeCell ref="S99:S99"/>
    <mergeCell ref="T99:T99"/>
    <mergeCell ref="U99:U99"/>
    <mergeCell ref="V99:V99"/>
    <mergeCell ref="W99:W99"/>
    <mergeCell ref="X99:X99"/>
    <mergeCell ref="Y99:Y99"/>
    <mergeCell ref="Z99:Z99"/>
    <mergeCell ref="A100:A100"/>
    <mergeCell ref="B100:B100"/>
    <mergeCell ref="C100:C100"/>
    <mergeCell ref="D100:D100"/>
    <mergeCell ref="E100:E100"/>
    <mergeCell ref="F100:F100"/>
    <mergeCell ref="G100:G100"/>
    <mergeCell ref="H100:H100"/>
    <mergeCell ref="I100:I100"/>
    <mergeCell ref="J100:J100"/>
    <mergeCell ref="K100:K100"/>
    <mergeCell ref="L100:L100"/>
    <mergeCell ref="M100:M100"/>
    <mergeCell ref="N100:N100"/>
    <mergeCell ref="O100:O100"/>
    <mergeCell ref="P100:P100"/>
    <mergeCell ref="Q100:Q100"/>
    <mergeCell ref="R100:R100"/>
    <mergeCell ref="S100:S100"/>
    <mergeCell ref="T100:T100"/>
    <mergeCell ref="U100:U100"/>
    <mergeCell ref="V100:V100"/>
    <mergeCell ref="W100:W100"/>
    <mergeCell ref="X100:X100"/>
    <mergeCell ref="Y100:Y100"/>
    <mergeCell ref="Z100:Z100"/>
    <mergeCell ref="A101:A101"/>
    <mergeCell ref="B101:B101"/>
    <mergeCell ref="C101:C101"/>
    <mergeCell ref="D101:D101"/>
    <mergeCell ref="E101:E101"/>
    <mergeCell ref="F101:F101"/>
    <mergeCell ref="G101:G101"/>
    <mergeCell ref="H101:H101"/>
    <mergeCell ref="I101:I101"/>
    <mergeCell ref="J101:J101"/>
    <mergeCell ref="K101:K101"/>
    <mergeCell ref="L101:L101"/>
    <mergeCell ref="M101:M101"/>
    <mergeCell ref="N101:N101"/>
    <mergeCell ref="O101:O101"/>
    <mergeCell ref="P101:P101"/>
    <mergeCell ref="Q101:Q101"/>
    <mergeCell ref="R101:R101"/>
    <mergeCell ref="S101:S101"/>
    <mergeCell ref="T101:T101"/>
    <mergeCell ref="U101:U101"/>
    <mergeCell ref="V101:V101"/>
    <mergeCell ref="W101:W101"/>
    <mergeCell ref="X101:X101"/>
    <mergeCell ref="Y101:Y101"/>
    <mergeCell ref="Z101:Z101"/>
    <mergeCell ref="A102:A102"/>
    <mergeCell ref="B102:B102"/>
    <mergeCell ref="C102:C102"/>
    <mergeCell ref="D102:D102"/>
    <mergeCell ref="E102:E102"/>
    <mergeCell ref="F102:F102"/>
    <mergeCell ref="G102:G102"/>
    <mergeCell ref="H102:H102"/>
    <mergeCell ref="I102:I102"/>
    <mergeCell ref="J102:J102"/>
    <mergeCell ref="K102:K102"/>
    <mergeCell ref="L102:L102"/>
    <mergeCell ref="M102:M102"/>
    <mergeCell ref="N102:N102"/>
    <mergeCell ref="O102:O102"/>
    <mergeCell ref="P102:P102"/>
    <mergeCell ref="Q102:Q102"/>
    <mergeCell ref="R102:R102"/>
    <mergeCell ref="S102:S102"/>
    <mergeCell ref="T102:T102"/>
    <mergeCell ref="U102:U102"/>
    <mergeCell ref="V102:V102"/>
    <mergeCell ref="W102:W102"/>
    <mergeCell ref="X102:X102"/>
    <mergeCell ref="Y102:Y102"/>
    <mergeCell ref="Z102:Z102"/>
    <mergeCell ref="A103:A103"/>
    <mergeCell ref="B103:B103"/>
    <mergeCell ref="C103:C103"/>
    <mergeCell ref="D103:D103"/>
    <mergeCell ref="E103:E103"/>
    <mergeCell ref="F103:F103"/>
    <mergeCell ref="G103:G103"/>
    <mergeCell ref="H103:H103"/>
    <mergeCell ref="I103:I103"/>
    <mergeCell ref="J103:J103"/>
    <mergeCell ref="K103:K103"/>
    <mergeCell ref="L103:L103"/>
    <mergeCell ref="M103:M103"/>
    <mergeCell ref="N103:N103"/>
    <mergeCell ref="O103:O103"/>
    <mergeCell ref="P103:P103"/>
    <mergeCell ref="Q103:Q103"/>
    <mergeCell ref="R103:R103"/>
    <mergeCell ref="S103:S103"/>
    <mergeCell ref="T103:T103"/>
    <mergeCell ref="U103:U103"/>
    <mergeCell ref="V103:V103"/>
    <mergeCell ref="W103:W103"/>
    <mergeCell ref="X103:X103"/>
    <mergeCell ref="Y103:Y103"/>
    <mergeCell ref="Z103:Z103"/>
    <mergeCell ref="A104:A104"/>
    <mergeCell ref="B104:B104"/>
    <mergeCell ref="C104:C104"/>
    <mergeCell ref="D104:D104"/>
    <mergeCell ref="E104:E104"/>
    <mergeCell ref="F104:F104"/>
    <mergeCell ref="G104:G104"/>
    <mergeCell ref="H104:H104"/>
    <mergeCell ref="I104:I104"/>
    <mergeCell ref="J104:J104"/>
    <mergeCell ref="K104:K104"/>
    <mergeCell ref="L104:L104"/>
    <mergeCell ref="M104:M104"/>
    <mergeCell ref="N104:N104"/>
    <mergeCell ref="O104:O104"/>
    <mergeCell ref="P104:P104"/>
    <mergeCell ref="Q104:Q104"/>
    <mergeCell ref="R104:R104"/>
    <mergeCell ref="S104:S104"/>
    <mergeCell ref="T104:T104"/>
    <mergeCell ref="U104:U104"/>
    <mergeCell ref="V104:V104"/>
    <mergeCell ref="W104:W104"/>
    <mergeCell ref="X104:X104"/>
    <mergeCell ref="Y104:Y104"/>
    <mergeCell ref="Z104:Z104"/>
    <mergeCell ref="A105:A105"/>
    <mergeCell ref="B105:B105"/>
    <mergeCell ref="C105:C105"/>
    <mergeCell ref="D105:D105"/>
    <mergeCell ref="E105:E105"/>
    <mergeCell ref="F105:F105"/>
    <mergeCell ref="G105:G105"/>
    <mergeCell ref="H105:H105"/>
    <mergeCell ref="I105:I105"/>
    <mergeCell ref="J105:J105"/>
    <mergeCell ref="K105:K105"/>
    <mergeCell ref="L105:L105"/>
    <mergeCell ref="M105:M105"/>
    <mergeCell ref="N105:N105"/>
    <mergeCell ref="O105:O105"/>
    <mergeCell ref="P105:P105"/>
    <mergeCell ref="Q105:Q105"/>
    <mergeCell ref="R105:R105"/>
    <mergeCell ref="S105:S105"/>
    <mergeCell ref="T105:T105"/>
    <mergeCell ref="U105:U105"/>
    <mergeCell ref="V105:V105"/>
    <mergeCell ref="W105:W105"/>
    <mergeCell ref="X105:X105"/>
    <mergeCell ref="Y105:Y105"/>
    <mergeCell ref="Z105:Z105"/>
    <mergeCell ref="A106:A106"/>
    <mergeCell ref="B106:B106"/>
    <mergeCell ref="C106:C106"/>
    <mergeCell ref="D106:D106"/>
    <mergeCell ref="E106:E106"/>
    <mergeCell ref="F106:F106"/>
    <mergeCell ref="G106:G106"/>
    <mergeCell ref="H106:H106"/>
    <mergeCell ref="I106:I106"/>
    <mergeCell ref="J106:J106"/>
    <mergeCell ref="K106:K106"/>
    <mergeCell ref="L106:L106"/>
    <mergeCell ref="M106:M106"/>
    <mergeCell ref="N106:N106"/>
    <mergeCell ref="O106:O106"/>
    <mergeCell ref="P106:P106"/>
    <mergeCell ref="Q106:Q106"/>
    <mergeCell ref="R106:R106"/>
    <mergeCell ref="S106:S106"/>
    <mergeCell ref="T106:T106"/>
    <mergeCell ref="U106:U106"/>
    <mergeCell ref="V106:V106"/>
    <mergeCell ref="W106:W106"/>
    <mergeCell ref="X106:X106"/>
    <mergeCell ref="Y106:Y106"/>
    <mergeCell ref="Z106:Z106"/>
    <mergeCell ref="A107:A107"/>
    <mergeCell ref="B107:B107"/>
    <mergeCell ref="C107:C107"/>
    <mergeCell ref="D107:D107"/>
    <mergeCell ref="E107:E107"/>
    <mergeCell ref="F107:F107"/>
    <mergeCell ref="G107:G107"/>
    <mergeCell ref="H107:H107"/>
    <mergeCell ref="I107:I107"/>
    <mergeCell ref="J107:J107"/>
    <mergeCell ref="K107:K107"/>
    <mergeCell ref="L107:L107"/>
    <mergeCell ref="M107:M107"/>
    <mergeCell ref="N107:N107"/>
    <mergeCell ref="O107:O107"/>
    <mergeCell ref="P107:P107"/>
    <mergeCell ref="Q107:Q107"/>
    <mergeCell ref="R107:R107"/>
    <mergeCell ref="S107:S107"/>
    <mergeCell ref="T107:T107"/>
    <mergeCell ref="U107:U107"/>
    <mergeCell ref="V107:V107"/>
    <mergeCell ref="W107:W107"/>
    <mergeCell ref="X107:X107"/>
    <mergeCell ref="Y107:Y107"/>
    <mergeCell ref="Z107:Z107"/>
    <mergeCell ref="A108:A108"/>
    <mergeCell ref="B108:B108"/>
    <mergeCell ref="C108:C108"/>
    <mergeCell ref="D108:D108"/>
    <mergeCell ref="E108:E108"/>
    <mergeCell ref="F108:F108"/>
    <mergeCell ref="G108:G108"/>
    <mergeCell ref="H108:H108"/>
    <mergeCell ref="I108:I108"/>
    <mergeCell ref="J108:J108"/>
    <mergeCell ref="K108:K108"/>
    <mergeCell ref="L108:L108"/>
    <mergeCell ref="M108:M108"/>
    <mergeCell ref="N108:N108"/>
    <mergeCell ref="O108:O108"/>
    <mergeCell ref="P108:P108"/>
    <mergeCell ref="Q108:Q108"/>
    <mergeCell ref="R108:R108"/>
    <mergeCell ref="S108:S108"/>
    <mergeCell ref="T108:T108"/>
    <mergeCell ref="U108:U108"/>
    <mergeCell ref="V108:V108"/>
    <mergeCell ref="W108:W108"/>
    <mergeCell ref="X108:X108"/>
    <mergeCell ref="Y108:Y108"/>
    <mergeCell ref="Z108:Z108"/>
    <mergeCell ref="A109:A109"/>
    <mergeCell ref="B109:B109"/>
    <mergeCell ref="C109:C109"/>
    <mergeCell ref="D109:D109"/>
    <mergeCell ref="E109:E109"/>
    <mergeCell ref="F109:F109"/>
    <mergeCell ref="G109:G109"/>
    <mergeCell ref="H109:H109"/>
    <mergeCell ref="I109:I109"/>
    <mergeCell ref="J109:J109"/>
    <mergeCell ref="K109:K109"/>
    <mergeCell ref="L109:L109"/>
    <mergeCell ref="M109:M109"/>
    <mergeCell ref="N109:N109"/>
    <mergeCell ref="O109:O109"/>
    <mergeCell ref="P109:P109"/>
    <mergeCell ref="Q109:Q109"/>
    <mergeCell ref="R109:R109"/>
    <mergeCell ref="S109:S109"/>
    <mergeCell ref="T109:T109"/>
    <mergeCell ref="U109:U109"/>
    <mergeCell ref="V109:V109"/>
    <mergeCell ref="W109:W109"/>
    <mergeCell ref="X109:X109"/>
    <mergeCell ref="Y109:Y109"/>
    <mergeCell ref="Z109:Z109"/>
    <mergeCell ref="A110:A110"/>
    <mergeCell ref="B110:B110"/>
    <mergeCell ref="C110:C110"/>
    <mergeCell ref="D110:D110"/>
    <mergeCell ref="E110:E110"/>
    <mergeCell ref="F110:F110"/>
    <mergeCell ref="G110:G110"/>
    <mergeCell ref="H110:H110"/>
    <mergeCell ref="I110:I110"/>
    <mergeCell ref="J110:J110"/>
    <mergeCell ref="K110:K110"/>
    <mergeCell ref="L110:L110"/>
    <mergeCell ref="M110:M110"/>
    <mergeCell ref="N110:N110"/>
    <mergeCell ref="O110:O110"/>
    <mergeCell ref="P110:P110"/>
    <mergeCell ref="Q110:Q110"/>
    <mergeCell ref="R110:R110"/>
    <mergeCell ref="S110:S110"/>
    <mergeCell ref="T110:T110"/>
    <mergeCell ref="U110:U110"/>
    <mergeCell ref="V110:V110"/>
    <mergeCell ref="W110:W110"/>
    <mergeCell ref="X110:X110"/>
    <mergeCell ref="Y110:Y110"/>
    <mergeCell ref="Z110:Z110"/>
    <mergeCell ref="A111:A111"/>
    <mergeCell ref="B111:B111"/>
    <mergeCell ref="C111:C111"/>
    <mergeCell ref="D111:D111"/>
    <mergeCell ref="E111:E111"/>
    <mergeCell ref="F111:F111"/>
    <mergeCell ref="G111:G111"/>
    <mergeCell ref="H111:H111"/>
    <mergeCell ref="I111:I111"/>
    <mergeCell ref="J111:J111"/>
    <mergeCell ref="K111:K111"/>
    <mergeCell ref="L111:L111"/>
    <mergeCell ref="M111:M111"/>
    <mergeCell ref="N111:N111"/>
    <mergeCell ref="O111:O111"/>
    <mergeCell ref="P111:P111"/>
    <mergeCell ref="Q111:Q111"/>
    <mergeCell ref="R111:R111"/>
    <mergeCell ref="S111:S111"/>
    <mergeCell ref="T111:T111"/>
    <mergeCell ref="U111:U111"/>
    <mergeCell ref="V111:V111"/>
    <mergeCell ref="W111:W111"/>
    <mergeCell ref="X111:X111"/>
    <mergeCell ref="Y111:Y111"/>
    <mergeCell ref="Z111:Z111"/>
    <mergeCell ref="A112:A112"/>
    <mergeCell ref="B112:B112"/>
    <mergeCell ref="C112:C112"/>
    <mergeCell ref="D112:D112"/>
    <mergeCell ref="E112:E112"/>
    <mergeCell ref="F112:F112"/>
    <mergeCell ref="G112:G112"/>
    <mergeCell ref="H112:H112"/>
    <mergeCell ref="I112:I112"/>
    <mergeCell ref="J112:J112"/>
    <mergeCell ref="K112:K112"/>
    <mergeCell ref="L112:L112"/>
    <mergeCell ref="M112:M112"/>
    <mergeCell ref="N112:N112"/>
    <mergeCell ref="O112:O112"/>
    <mergeCell ref="P112:P112"/>
    <mergeCell ref="Q112:Q112"/>
    <mergeCell ref="R112:R112"/>
    <mergeCell ref="S112:S112"/>
    <mergeCell ref="T112:T112"/>
    <mergeCell ref="U112:U112"/>
    <mergeCell ref="V112:V112"/>
    <mergeCell ref="W112:W112"/>
    <mergeCell ref="X112:X112"/>
    <mergeCell ref="Y112:Y112"/>
    <mergeCell ref="Z112:Z112"/>
    <mergeCell ref="A113:A113"/>
    <mergeCell ref="B113:B113"/>
    <mergeCell ref="C113:C113"/>
    <mergeCell ref="D113:D113"/>
    <mergeCell ref="E113:E113"/>
    <mergeCell ref="F113:F113"/>
    <mergeCell ref="G113:G113"/>
    <mergeCell ref="H113:H113"/>
    <mergeCell ref="I113:I113"/>
    <mergeCell ref="J113:J113"/>
    <mergeCell ref="K113:K113"/>
    <mergeCell ref="L113:L113"/>
    <mergeCell ref="M113:M113"/>
    <mergeCell ref="N113:N113"/>
    <mergeCell ref="O113:O113"/>
    <mergeCell ref="P113:P113"/>
    <mergeCell ref="Q113:Q113"/>
    <mergeCell ref="R113:R113"/>
    <mergeCell ref="S113:S113"/>
    <mergeCell ref="T113:T113"/>
    <mergeCell ref="U113:U113"/>
    <mergeCell ref="V113:V113"/>
    <mergeCell ref="W113:W113"/>
    <mergeCell ref="X113:X113"/>
    <mergeCell ref="Y113:Y113"/>
    <mergeCell ref="Z113:Z113"/>
    <mergeCell ref="A114:A114"/>
    <mergeCell ref="B114:B114"/>
    <mergeCell ref="C114:C114"/>
    <mergeCell ref="D114:D114"/>
    <mergeCell ref="E114:E114"/>
    <mergeCell ref="F114:F114"/>
    <mergeCell ref="G114:G114"/>
    <mergeCell ref="H114:H114"/>
    <mergeCell ref="I114:I114"/>
    <mergeCell ref="J114:J114"/>
    <mergeCell ref="K114:K114"/>
    <mergeCell ref="L114:L114"/>
    <mergeCell ref="M114:M114"/>
    <mergeCell ref="N114:N114"/>
    <mergeCell ref="O114:O114"/>
    <mergeCell ref="P114:P114"/>
    <mergeCell ref="Q114:Q114"/>
    <mergeCell ref="R114:R114"/>
    <mergeCell ref="S114:S114"/>
    <mergeCell ref="T114:T114"/>
    <mergeCell ref="U114:U114"/>
    <mergeCell ref="V114:V114"/>
    <mergeCell ref="W114:W114"/>
    <mergeCell ref="X114:X114"/>
    <mergeCell ref="Y114:Y114"/>
    <mergeCell ref="Z114:Z114"/>
    <mergeCell ref="A115:A115"/>
    <mergeCell ref="B115:B115"/>
    <mergeCell ref="C115:C115"/>
    <mergeCell ref="D115:D115"/>
    <mergeCell ref="E115:E115"/>
    <mergeCell ref="F115:F115"/>
    <mergeCell ref="G115:G115"/>
    <mergeCell ref="H115:H115"/>
    <mergeCell ref="I115:I115"/>
    <mergeCell ref="J115:J115"/>
    <mergeCell ref="K115:K115"/>
    <mergeCell ref="L115:L115"/>
    <mergeCell ref="M115:M115"/>
    <mergeCell ref="N115:N115"/>
    <mergeCell ref="O115:O115"/>
    <mergeCell ref="P115:P115"/>
    <mergeCell ref="Q115:Q115"/>
    <mergeCell ref="R115:R115"/>
    <mergeCell ref="S115:S115"/>
    <mergeCell ref="T115:T115"/>
    <mergeCell ref="U115:U115"/>
    <mergeCell ref="V115:V115"/>
    <mergeCell ref="W115:W115"/>
    <mergeCell ref="X115:X115"/>
    <mergeCell ref="Y115:Y115"/>
    <mergeCell ref="Z115:Z115"/>
    <mergeCell ref="A116:A116"/>
    <mergeCell ref="B116:B116"/>
    <mergeCell ref="C116:C116"/>
    <mergeCell ref="D116:D116"/>
    <mergeCell ref="E116:E116"/>
    <mergeCell ref="F116:F116"/>
    <mergeCell ref="G116:G116"/>
    <mergeCell ref="H116:H116"/>
    <mergeCell ref="I116:I116"/>
    <mergeCell ref="J116:J116"/>
    <mergeCell ref="K116:K116"/>
    <mergeCell ref="L116:L116"/>
    <mergeCell ref="M116:M116"/>
    <mergeCell ref="N116:N116"/>
    <mergeCell ref="O116:O116"/>
    <mergeCell ref="P116:P116"/>
    <mergeCell ref="Q116:Q116"/>
    <mergeCell ref="R116:R116"/>
    <mergeCell ref="S116:S116"/>
    <mergeCell ref="T116:T116"/>
    <mergeCell ref="U116:U116"/>
    <mergeCell ref="V116:V116"/>
    <mergeCell ref="W116:W116"/>
    <mergeCell ref="X116:X116"/>
    <mergeCell ref="Y116:Y116"/>
    <mergeCell ref="Z116:Z116"/>
    <mergeCell ref="A117:A117"/>
    <mergeCell ref="B117:B117"/>
    <mergeCell ref="C117:C117"/>
    <mergeCell ref="D117:D117"/>
    <mergeCell ref="E117:E117"/>
    <mergeCell ref="F117:F117"/>
    <mergeCell ref="G117:G117"/>
    <mergeCell ref="H117:H117"/>
    <mergeCell ref="I117:I117"/>
    <mergeCell ref="J117:J117"/>
    <mergeCell ref="K117:K117"/>
    <mergeCell ref="L117:L117"/>
    <mergeCell ref="M117:M117"/>
    <mergeCell ref="N117:N117"/>
    <mergeCell ref="O117:O117"/>
    <mergeCell ref="P117:P117"/>
    <mergeCell ref="Q117:Q117"/>
    <mergeCell ref="R117:R117"/>
    <mergeCell ref="S117:S117"/>
    <mergeCell ref="T117:T117"/>
    <mergeCell ref="U117:U117"/>
    <mergeCell ref="V117:V117"/>
    <mergeCell ref="W117:W117"/>
    <mergeCell ref="X117:X117"/>
    <mergeCell ref="Y117:Y117"/>
    <mergeCell ref="Z117:Z117"/>
    <mergeCell ref="A118:A118"/>
    <mergeCell ref="B118:B118"/>
    <mergeCell ref="C118:C118"/>
    <mergeCell ref="D118:D118"/>
    <mergeCell ref="E118:E118"/>
    <mergeCell ref="F118:F118"/>
    <mergeCell ref="G118:G118"/>
    <mergeCell ref="H118:H118"/>
    <mergeCell ref="I118:I118"/>
    <mergeCell ref="J118:J118"/>
    <mergeCell ref="K118:K118"/>
    <mergeCell ref="L118:L118"/>
    <mergeCell ref="M118:M118"/>
    <mergeCell ref="N118:N118"/>
    <mergeCell ref="O118:O118"/>
    <mergeCell ref="P118:P118"/>
    <mergeCell ref="Q118:Q118"/>
    <mergeCell ref="R118:R118"/>
    <mergeCell ref="S118:S118"/>
    <mergeCell ref="T118:T118"/>
    <mergeCell ref="U118:U118"/>
    <mergeCell ref="V118:V118"/>
    <mergeCell ref="W118:W118"/>
    <mergeCell ref="X118:X118"/>
    <mergeCell ref="Y118:Y118"/>
    <mergeCell ref="Z118:Z118"/>
    <mergeCell ref="A119:A119"/>
    <mergeCell ref="B119:B119"/>
    <mergeCell ref="C119:C119"/>
    <mergeCell ref="D119:D119"/>
    <mergeCell ref="E119:E119"/>
    <mergeCell ref="F119:F119"/>
    <mergeCell ref="G119:G119"/>
    <mergeCell ref="H119:H119"/>
    <mergeCell ref="I119:I119"/>
    <mergeCell ref="J119:J119"/>
    <mergeCell ref="K119:K119"/>
    <mergeCell ref="L119:L119"/>
    <mergeCell ref="M119:M119"/>
    <mergeCell ref="N119:N119"/>
    <mergeCell ref="O119:O119"/>
    <mergeCell ref="P119:P119"/>
    <mergeCell ref="Q119:Q119"/>
    <mergeCell ref="R119:R119"/>
    <mergeCell ref="S119:S119"/>
    <mergeCell ref="T119:T119"/>
    <mergeCell ref="U119:U119"/>
    <mergeCell ref="V119:V119"/>
    <mergeCell ref="W119:W119"/>
    <mergeCell ref="X119:X119"/>
    <mergeCell ref="Y119:Y119"/>
    <mergeCell ref="Z119:Z119"/>
    <mergeCell ref="A120:A120"/>
    <mergeCell ref="B120:B120"/>
    <mergeCell ref="C120:C120"/>
    <mergeCell ref="D120:D120"/>
    <mergeCell ref="E120:E120"/>
    <mergeCell ref="F120:F120"/>
    <mergeCell ref="G120:G120"/>
    <mergeCell ref="H120:H120"/>
    <mergeCell ref="I120:I120"/>
    <mergeCell ref="J120:J120"/>
    <mergeCell ref="K120:K120"/>
    <mergeCell ref="L120:L120"/>
    <mergeCell ref="M120:M120"/>
    <mergeCell ref="N120:N120"/>
    <mergeCell ref="O120:O120"/>
    <mergeCell ref="P120:P120"/>
    <mergeCell ref="Q120:Q120"/>
    <mergeCell ref="R120:R120"/>
    <mergeCell ref="S120:S120"/>
    <mergeCell ref="T120:T120"/>
    <mergeCell ref="U120:U120"/>
    <mergeCell ref="V120:V120"/>
    <mergeCell ref="W120:W120"/>
    <mergeCell ref="X120:X120"/>
    <mergeCell ref="Y120:Y120"/>
    <mergeCell ref="Z120:Z120"/>
    <mergeCell ref="A121:A121"/>
    <mergeCell ref="B121:B121"/>
    <mergeCell ref="C121:C121"/>
    <mergeCell ref="D121:D121"/>
    <mergeCell ref="E121:E121"/>
    <mergeCell ref="F121:F121"/>
    <mergeCell ref="G121:G121"/>
    <mergeCell ref="H121:H121"/>
    <mergeCell ref="I121:I121"/>
    <mergeCell ref="J121:J121"/>
    <mergeCell ref="K121:K121"/>
    <mergeCell ref="L121:L121"/>
    <mergeCell ref="M121:M121"/>
    <mergeCell ref="N121:N121"/>
    <mergeCell ref="O121:O121"/>
    <mergeCell ref="P121:P121"/>
    <mergeCell ref="Q121:Q121"/>
    <mergeCell ref="R121:R121"/>
    <mergeCell ref="S121:S121"/>
    <mergeCell ref="T121:T121"/>
    <mergeCell ref="U121:U121"/>
    <mergeCell ref="V121:V121"/>
    <mergeCell ref="W121:W121"/>
    <mergeCell ref="X121:X121"/>
    <mergeCell ref="Y121:Y121"/>
    <mergeCell ref="Z121:Z121"/>
    <mergeCell ref="A122:A122"/>
    <mergeCell ref="B122:B122"/>
    <mergeCell ref="C122:C122"/>
    <mergeCell ref="D122:D122"/>
    <mergeCell ref="E122:E122"/>
    <mergeCell ref="F122:F122"/>
    <mergeCell ref="G122:G122"/>
    <mergeCell ref="H122:H122"/>
    <mergeCell ref="I122:I122"/>
    <mergeCell ref="J122:J122"/>
    <mergeCell ref="K122:K122"/>
    <mergeCell ref="L122:L122"/>
    <mergeCell ref="M122:M122"/>
    <mergeCell ref="N122:N122"/>
    <mergeCell ref="O122:O122"/>
    <mergeCell ref="P122:P122"/>
    <mergeCell ref="Q122:Q122"/>
    <mergeCell ref="R122:R122"/>
    <mergeCell ref="S122:S122"/>
    <mergeCell ref="T122:T122"/>
    <mergeCell ref="U122:U122"/>
    <mergeCell ref="V122:V122"/>
    <mergeCell ref="W122:W122"/>
    <mergeCell ref="X122:X122"/>
    <mergeCell ref="Y122:Y122"/>
    <mergeCell ref="Z122:Z122"/>
    <mergeCell ref="A123:A123"/>
    <mergeCell ref="B123:B123"/>
    <mergeCell ref="C123:C123"/>
    <mergeCell ref="D123:D123"/>
    <mergeCell ref="E123:E123"/>
    <mergeCell ref="F123:F123"/>
    <mergeCell ref="G123:G123"/>
    <mergeCell ref="H123:H123"/>
    <mergeCell ref="I123:I123"/>
    <mergeCell ref="J123:J123"/>
    <mergeCell ref="K123:K123"/>
    <mergeCell ref="L123:L123"/>
    <mergeCell ref="M123:M123"/>
    <mergeCell ref="N123:N123"/>
    <mergeCell ref="O123:O123"/>
    <mergeCell ref="P123:P123"/>
    <mergeCell ref="Q123:Q123"/>
    <mergeCell ref="R123:R123"/>
    <mergeCell ref="S123:S123"/>
    <mergeCell ref="T123:T123"/>
    <mergeCell ref="U123:U123"/>
    <mergeCell ref="V123:V123"/>
    <mergeCell ref="W123:W123"/>
    <mergeCell ref="X123:X123"/>
    <mergeCell ref="Y123:Y123"/>
    <mergeCell ref="Z123:Z123"/>
    <mergeCell ref="A124:A124"/>
    <mergeCell ref="B124:B124"/>
    <mergeCell ref="C124:C124"/>
    <mergeCell ref="D124:D124"/>
    <mergeCell ref="E124:E124"/>
    <mergeCell ref="F124:F124"/>
    <mergeCell ref="G124:G124"/>
    <mergeCell ref="H124:H124"/>
    <mergeCell ref="I124:I124"/>
    <mergeCell ref="J124:J124"/>
    <mergeCell ref="K124:K124"/>
    <mergeCell ref="L124:L124"/>
    <mergeCell ref="M124:M124"/>
    <mergeCell ref="N124:N124"/>
    <mergeCell ref="O124:O124"/>
    <mergeCell ref="P124:P124"/>
    <mergeCell ref="Q124:Q124"/>
    <mergeCell ref="R124:R124"/>
    <mergeCell ref="S124:S124"/>
    <mergeCell ref="T124:T124"/>
    <mergeCell ref="U124:U124"/>
    <mergeCell ref="V124:V124"/>
    <mergeCell ref="W124:W124"/>
    <mergeCell ref="X124:X124"/>
    <mergeCell ref="Y124:Y124"/>
    <mergeCell ref="Z124:Z124"/>
    <mergeCell ref="A125:A125"/>
    <mergeCell ref="B125:B125"/>
    <mergeCell ref="C125:C125"/>
    <mergeCell ref="D125:D125"/>
    <mergeCell ref="E125:E125"/>
    <mergeCell ref="F125:F125"/>
    <mergeCell ref="G125:G125"/>
    <mergeCell ref="H125:H125"/>
    <mergeCell ref="I125:I125"/>
    <mergeCell ref="J125:J125"/>
    <mergeCell ref="K125:K125"/>
    <mergeCell ref="L125:L125"/>
    <mergeCell ref="M125:M125"/>
    <mergeCell ref="N125:N125"/>
    <mergeCell ref="O125:O125"/>
    <mergeCell ref="P125:P125"/>
    <mergeCell ref="Q125:Q125"/>
    <mergeCell ref="R125:R125"/>
    <mergeCell ref="S125:S125"/>
    <mergeCell ref="T125:T125"/>
    <mergeCell ref="U125:U125"/>
    <mergeCell ref="V125:V125"/>
    <mergeCell ref="W125:W125"/>
    <mergeCell ref="X125:X125"/>
    <mergeCell ref="Y125:Y125"/>
    <mergeCell ref="Z125:Z125"/>
    <mergeCell ref="A126:A126"/>
    <mergeCell ref="B126:B126"/>
    <mergeCell ref="C126:C126"/>
    <mergeCell ref="D126:D126"/>
    <mergeCell ref="E126:E126"/>
    <mergeCell ref="F126:F126"/>
    <mergeCell ref="G126:G126"/>
    <mergeCell ref="H126:H126"/>
    <mergeCell ref="I126:I126"/>
    <mergeCell ref="J126:J126"/>
    <mergeCell ref="K126:K126"/>
    <mergeCell ref="L126:L126"/>
    <mergeCell ref="M126:M126"/>
    <mergeCell ref="N126:N126"/>
    <mergeCell ref="O126:O126"/>
    <mergeCell ref="P126:P126"/>
    <mergeCell ref="Q126:Q126"/>
    <mergeCell ref="R126:R126"/>
    <mergeCell ref="S126:S126"/>
    <mergeCell ref="T126:T126"/>
    <mergeCell ref="U126:U126"/>
    <mergeCell ref="V126:V126"/>
    <mergeCell ref="W126:W126"/>
    <mergeCell ref="X126:X126"/>
    <mergeCell ref="Y126:Y126"/>
    <mergeCell ref="Z126:Z126"/>
    <mergeCell ref="A127:A127"/>
    <mergeCell ref="B127:B127"/>
    <mergeCell ref="C127:C127"/>
    <mergeCell ref="D127:D127"/>
    <mergeCell ref="E127:E127"/>
    <mergeCell ref="F127:F127"/>
    <mergeCell ref="G127:G127"/>
    <mergeCell ref="H127:H127"/>
    <mergeCell ref="I127:I127"/>
    <mergeCell ref="J127:J127"/>
    <mergeCell ref="K127:K127"/>
    <mergeCell ref="L127:L127"/>
    <mergeCell ref="M127:M127"/>
    <mergeCell ref="N127:N127"/>
    <mergeCell ref="O127:O127"/>
    <mergeCell ref="P127:P127"/>
    <mergeCell ref="Q127:Q127"/>
    <mergeCell ref="R127:R127"/>
    <mergeCell ref="S127:S127"/>
    <mergeCell ref="T127:T127"/>
    <mergeCell ref="U127:U127"/>
    <mergeCell ref="V127:V127"/>
    <mergeCell ref="W127:W127"/>
    <mergeCell ref="X127:X127"/>
    <mergeCell ref="Y127:Y127"/>
    <mergeCell ref="Z127:Z127"/>
    <mergeCell ref="A128:A128"/>
    <mergeCell ref="B128:B128"/>
    <mergeCell ref="C128:C128"/>
    <mergeCell ref="D128:D128"/>
    <mergeCell ref="E128:E128"/>
    <mergeCell ref="F128:F128"/>
    <mergeCell ref="G128:G128"/>
    <mergeCell ref="H128:H128"/>
    <mergeCell ref="I128:I128"/>
    <mergeCell ref="J128:J128"/>
    <mergeCell ref="K128:K128"/>
    <mergeCell ref="L128:L128"/>
    <mergeCell ref="M128:M128"/>
    <mergeCell ref="N128:N128"/>
    <mergeCell ref="O128:O128"/>
    <mergeCell ref="P128:P128"/>
    <mergeCell ref="Q128:Q128"/>
    <mergeCell ref="R128:R128"/>
    <mergeCell ref="S128:S128"/>
    <mergeCell ref="T128:T128"/>
    <mergeCell ref="U128:U128"/>
    <mergeCell ref="V128:V128"/>
    <mergeCell ref="W128:W128"/>
    <mergeCell ref="X128:X128"/>
    <mergeCell ref="Y128:Y128"/>
    <mergeCell ref="Z128:Z128"/>
    <mergeCell ref="A129:A129"/>
    <mergeCell ref="B129:B129"/>
    <mergeCell ref="C129:C129"/>
    <mergeCell ref="D129:D129"/>
    <mergeCell ref="E129:E129"/>
    <mergeCell ref="F129:F129"/>
    <mergeCell ref="G129:G129"/>
    <mergeCell ref="H129:H129"/>
    <mergeCell ref="I129:I129"/>
    <mergeCell ref="J129:J129"/>
    <mergeCell ref="K129:K129"/>
    <mergeCell ref="L129:L129"/>
    <mergeCell ref="M129:M129"/>
    <mergeCell ref="N129:N129"/>
    <mergeCell ref="O129:O129"/>
    <mergeCell ref="P129:P129"/>
    <mergeCell ref="Q129:Q129"/>
    <mergeCell ref="R129:R129"/>
    <mergeCell ref="S129:S129"/>
    <mergeCell ref="T129:T129"/>
    <mergeCell ref="U129:U129"/>
    <mergeCell ref="V129:V129"/>
    <mergeCell ref="W129:W129"/>
    <mergeCell ref="X129:X129"/>
    <mergeCell ref="Y129:Y129"/>
    <mergeCell ref="Z129:Z129"/>
    <mergeCell ref="A130:A130"/>
    <mergeCell ref="B130:B130"/>
    <mergeCell ref="C130:C130"/>
    <mergeCell ref="D130:D130"/>
    <mergeCell ref="E130:E130"/>
    <mergeCell ref="F130:F130"/>
    <mergeCell ref="G130:G130"/>
    <mergeCell ref="H130:H130"/>
    <mergeCell ref="I130:I130"/>
    <mergeCell ref="J130:J130"/>
    <mergeCell ref="K130:K130"/>
    <mergeCell ref="L130:L130"/>
    <mergeCell ref="M130:M130"/>
    <mergeCell ref="N130:N130"/>
    <mergeCell ref="O130:O130"/>
    <mergeCell ref="P130:P130"/>
    <mergeCell ref="Q130:Q130"/>
    <mergeCell ref="R130:R130"/>
    <mergeCell ref="S130:S130"/>
    <mergeCell ref="T130:T130"/>
    <mergeCell ref="U130:U130"/>
    <mergeCell ref="V130:V130"/>
    <mergeCell ref="W130:W130"/>
    <mergeCell ref="X130:X130"/>
    <mergeCell ref="Y130:Y130"/>
    <mergeCell ref="Z130:Z130"/>
    <mergeCell ref="A131:A131"/>
    <mergeCell ref="B131:B131"/>
    <mergeCell ref="C131:C131"/>
    <mergeCell ref="D131:D131"/>
    <mergeCell ref="E131:E131"/>
    <mergeCell ref="F131:F131"/>
    <mergeCell ref="G131:G131"/>
    <mergeCell ref="H131:H131"/>
    <mergeCell ref="I131:I131"/>
    <mergeCell ref="J131:J131"/>
    <mergeCell ref="K131:K131"/>
    <mergeCell ref="L131:L131"/>
    <mergeCell ref="M131:M131"/>
    <mergeCell ref="N131:N131"/>
    <mergeCell ref="O131:O131"/>
    <mergeCell ref="P131:P131"/>
    <mergeCell ref="Q131:Q131"/>
    <mergeCell ref="R131:R131"/>
    <mergeCell ref="S131:S131"/>
    <mergeCell ref="T131:T131"/>
    <mergeCell ref="U131:U131"/>
    <mergeCell ref="V131:V131"/>
    <mergeCell ref="W131:W131"/>
    <mergeCell ref="X131:X131"/>
    <mergeCell ref="Y131:Y131"/>
    <mergeCell ref="Z131:Z131"/>
    <mergeCell ref="A132:A132"/>
    <mergeCell ref="B132:B132"/>
    <mergeCell ref="C132:C132"/>
    <mergeCell ref="D132:D132"/>
    <mergeCell ref="E132:E132"/>
    <mergeCell ref="F132:F132"/>
    <mergeCell ref="G132:G132"/>
    <mergeCell ref="H132:H132"/>
    <mergeCell ref="I132:I132"/>
    <mergeCell ref="J132:J132"/>
    <mergeCell ref="K132:K132"/>
    <mergeCell ref="L132:L132"/>
    <mergeCell ref="M132:M132"/>
    <mergeCell ref="N132:N132"/>
    <mergeCell ref="O132:O132"/>
    <mergeCell ref="P132:P132"/>
    <mergeCell ref="Q132:Q132"/>
    <mergeCell ref="R132:R132"/>
    <mergeCell ref="S132:S132"/>
    <mergeCell ref="T132:T132"/>
    <mergeCell ref="U132:U132"/>
    <mergeCell ref="V132:V132"/>
    <mergeCell ref="W132:W132"/>
    <mergeCell ref="X132:X132"/>
    <mergeCell ref="Y132:Y132"/>
    <mergeCell ref="Z132:Z132"/>
    <mergeCell ref="A133:A133"/>
    <mergeCell ref="B133:B133"/>
    <mergeCell ref="C133:C133"/>
    <mergeCell ref="D133:D133"/>
    <mergeCell ref="E133:E133"/>
    <mergeCell ref="F133:F133"/>
    <mergeCell ref="G133:G133"/>
    <mergeCell ref="H133:H133"/>
    <mergeCell ref="I133:I133"/>
    <mergeCell ref="J133:J133"/>
    <mergeCell ref="K133:K133"/>
    <mergeCell ref="L133:L133"/>
    <mergeCell ref="M133:M133"/>
    <mergeCell ref="N133:N133"/>
    <mergeCell ref="O133:O133"/>
    <mergeCell ref="P133:P133"/>
    <mergeCell ref="Q133:Q133"/>
    <mergeCell ref="R133:R133"/>
    <mergeCell ref="S133:S133"/>
    <mergeCell ref="T133:T133"/>
    <mergeCell ref="U133:U133"/>
    <mergeCell ref="V133:V133"/>
    <mergeCell ref="W133:W133"/>
    <mergeCell ref="X133:X133"/>
    <mergeCell ref="Y133:Y133"/>
    <mergeCell ref="Z133:Z133"/>
    <mergeCell ref="A134:A134"/>
    <mergeCell ref="B134:B134"/>
    <mergeCell ref="C134:C134"/>
    <mergeCell ref="D134:D134"/>
    <mergeCell ref="E134:E134"/>
    <mergeCell ref="F134:F134"/>
    <mergeCell ref="G134:G134"/>
    <mergeCell ref="H134:H134"/>
    <mergeCell ref="I134:I134"/>
    <mergeCell ref="J134:J134"/>
    <mergeCell ref="K134:K134"/>
    <mergeCell ref="L134:L134"/>
    <mergeCell ref="M134:M134"/>
    <mergeCell ref="N134:N134"/>
    <mergeCell ref="O134:O134"/>
    <mergeCell ref="P134:P134"/>
    <mergeCell ref="Q134:Q134"/>
    <mergeCell ref="R134:R134"/>
    <mergeCell ref="S134:S134"/>
    <mergeCell ref="T134:T134"/>
    <mergeCell ref="U134:U134"/>
    <mergeCell ref="V134:V134"/>
    <mergeCell ref="W134:W134"/>
    <mergeCell ref="X134:X134"/>
    <mergeCell ref="Y134:Y134"/>
    <mergeCell ref="Z134:Z134"/>
    <mergeCell ref="A135:A135"/>
    <mergeCell ref="B135:B135"/>
    <mergeCell ref="C135:C135"/>
    <mergeCell ref="D135:D135"/>
    <mergeCell ref="E135:E135"/>
    <mergeCell ref="F135:F135"/>
    <mergeCell ref="G135:G135"/>
    <mergeCell ref="H135:H135"/>
    <mergeCell ref="I135:I135"/>
    <mergeCell ref="J135:J135"/>
    <mergeCell ref="K135:K135"/>
    <mergeCell ref="L135:L135"/>
    <mergeCell ref="M135:M135"/>
    <mergeCell ref="N135:N135"/>
    <mergeCell ref="O135:O135"/>
    <mergeCell ref="P135:P135"/>
    <mergeCell ref="Q135:Q135"/>
    <mergeCell ref="R135:R135"/>
    <mergeCell ref="S135:S135"/>
    <mergeCell ref="T135:T135"/>
    <mergeCell ref="U135:U135"/>
    <mergeCell ref="V135:V135"/>
    <mergeCell ref="W135:W135"/>
    <mergeCell ref="X135:X135"/>
    <mergeCell ref="Y135:Y135"/>
    <mergeCell ref="Z135:Z135"/>
    <mergeCell ref="A136:A136"/>
    <mergeCell ref="B136:B136"/>
    <mergeCell ref="C136:C136"/>
    <mergeCell ref="D136:D136"/>
    <mergeCell ref="E136:E136"/>
    <mergeCell ref="F136:F136"/>
    <mergeCell ref="G136:G136"/>
    <mergeCell ref="H136:H136"/>
    <mergeCell ref="I136:I136"/>
    <mergeCell ref="J136:J136"/>
    <mergeCell ref="K136:K136"/>
    <mergeCell ref="L136:L136"/>
    <mergeCell ref="M136:M136"/>
    <mergeCell ref="N136:N136"/>
    <mergeCell ref="O136:O136"/>
    <mergeCell ref="P136:P136"/>
    <mergeCell ref="Q136:Q136"/>
    <mergeCell ref="R136:R136"/>
    <mergeCell ref="S136:S136"/>
    <mergeCell ref="T136:T136"/>
    <mergeCell ref="U136:U136"/>
    <mergeCell ref="V136:V136"/>
    <mergeCell ref="W136:W136"/>
    <mergeCell ref="X136:X136"/>
    <mergeCell ref="Y136:Y136"/>
    <mergeCell ref="Z136:Z136"/>
    <mergeCell ref="A137:A137"/>
    <mergeCell ref="B137:B137"/>
    <mergeCell ref="C137:C137"/>
    <mergeCell ref="D137:D137"/>
    <mergeCell ref="E137:E137"/>
    <mergeCell ref="F137:F137"/>
    <mergeCell ref="G137:G137"/>
    <mergeCell ref="H137:H137"/>
    <mergeCell ref="I137:I137"/>
    <mergeCell ref="J137:J137"/>
    <mergeCell ref="K137:K137"/>
    <mergeCell ref="L137:L137"/>
    <mergeCell ref="M137:M137"/>
    <mergeCell ref="N137:N137"/>
    <mergeCell ref="O137:O137"/>
    <mergeCell ref="P137:P137"/>
    <mergeCell ref="Q137:Q137"/>
    <mergeCell ref="R137:R137"/>
    <mergeCell ref="S137:S137"/>
    <mergeCell ref="T137:T137"/>
    <mergeCell ref="U137:U137"/>
    <mergeCell ref="V137:V137"/>
    <mergeCell ref="W137:W137"/>
    <mergeCell ref="X137:X137"/>
    <mergeCell ref="Y137:Y137"/>
    <mergeCell ref="Z137:Z137"/>
    <mergeCell ref="A138:A138"/>
    <mergeCell ref="B138:B138"/>
    <mergeCell ref="C138:C138"/>
    <mergeCell ref="D138:D138"/>
    <mergeCell ref="E138:E138"/>
    <mergeCell ref="F138:F138"/>
    <mergeCell ref="G138:G138"/>
    <mergeCell ref="H138:H138"/>
    <mergeCell ref="I138:I138"/>
    <mergeCell ref="J138:J138"/>
    <mergeCell ref="K138:K138"/>
    <mergeCell ref="L138:L138"/>
    <mergeCell ref="M138:M138"/>
    <mergeCell ref="N138:N138"/>
    <mergeCell ref="O138:O138"/>
    <mergeCell ref="P138:P138"/>
    <mergeCell ref="Q138:Q138"/>
    <mergeCell ref="R138:R138"/>
    <mergeCell ref="S138:S138"/>
    <mergeCell ref="T138:T138"/>
    <mergeCell ref="U138:U138"/>
    <mergeCell ref="V138:V138"/>
    <mergeCell ref="W138:W138"/>
    <mergeCell ref="X138:X138"/>
    <mergeCell ref="Y138:Y138"/>
    <mergeCell ref="Z138:Z138"/>
    <mergeCell ref="A139:A139"/>
    <mergeCell ref="B139:B139"/>
    <mergeCell ref="C139:C139"/>
    <mergeCell ref="D139:D139"/>
    <mergeCell ref="E139:E139"/>
    <mergeCell ref="F139:F139"/>
    <mergeCell ref="G139:G139"/>
    <mergeCell ref="H139:H139"/>
    <mergeCell ref="I139:I139"/>
    <mergeCell ref="J139:J139"/>
    <mergeCell ref="K139:K139"/>
    <mergeCell ref="L139:L139"/>
    <mergeCell ref="M139:M139"/>
    <mergeCell ref="N139:N139"/>
    <mergeCell ref="O139:O139"/>
    <mergeCell ref="P139:P139"/>
    <mergeCell ref="Q139:Q139"/>
    <mergeCell ref="R139:R139"/>
    <mergeCell ref="S139:S139"/>
    <mergeCell ref="T139:T139"/>
    <mergeCell ref="U139:U139"/>
    <mergeCell ref="V139:V139"/>
    <mergeCell ref="W139:W139"/>
    <mergeCell ref="X139:X139"/>
    <mergeCell ref="Y139:Y139"/>
    <mergeCell ref="Z139:Z139"/>
    <mergeCell ref="A140:A140"/>
    <mergeCell ref="B140:B140"/>
    <mergeCell ref="C140:C140"/>
    <mergeCell ref="D140:D140"/>
    <mergeCell ref="E140:E140"/>
    <mergeCell ref="F140:F140"/>
    <mergeCell ref="G140:G140"/>
    <mergeCell ref="H140:H140"/>
    <mergeCell ref="I140:I140"/>
    <mergeCell ref="J140:J140"/>
    <mergeCell ref="K140:K140"/>
    <mergeCell ref="L140:L140"/>
    <mergeCell ref="M140:M140"/>
    <mergeCell ref="N140:N140"/>
    <mergeCell ref="O140:O140"/>
    <mergeCell ref="P140:P140"/>
    <mergeCell ref="Q140:Q140"/>
    <mergeCell ref="R140:R140"/>
    <mergeCell ref="S140:S140"/>
    <mergeCell ref="T140:T140"/>
    <mergeCell ref="U140:U140"/>
    <mergeCell ref="V140:V140"/>
    <mergeCell ref="W140:W140"/>
    <mergeCell ref="X140:X140"/>
    <mergeCell ref="Y140:Y140"/>
    <mergeCell ref="Z140:Z140"/>
    <mergeCell ref="A141:A141"/>
    <mergeCell ref="B141:B141"/>
    <mergeCell ref="C141:C141"/>
    <mergeCell ref="D141:D141"/>
    <mergeCell ref="E141:E141"/>
    <mergeCell ref="F141:F141"/>
    <mergeCell ref="G141:G141"/>
    <mergeCell ref="H141:H141"/>
    <mergeCell ref="I141:I141"/>
    <mergeCell ref="J141:J141"/>
    <mergeCell ref="K141:K141"/>
    <mergeCell ref="L141:L141"/>
    <mergeCell ref="M141:M141"/>
    <mergeCell ref="N141:N141"/>
    <mergeCell ref="O141:O141"/>
    <mergeCell ref="P141:P141"/>
    <mergeCell ref="Q141:Q141"/>
    <mergeCell ref="R141:R141"/>
    <mergeCell ref="S141:S141"/>
    <mergeCell ref="T141:T141"/>
    <mergeCell ref="U141:U141"/>
    <mergeCell ref="V141:V141"/>
    <mergeCell ref="W141:W141"/>
    <mergeCell ref="X141:X141"/>
    <mergeCell ref="Y141:Y141"/>
    <mergeCell ref="Z141:Z141"/>
    <mergeCell ref="A142:A142"/>
    <mergeCell ref="B142:B142"/>
    <mergeCell ref="C142:C142"/>
    <mergeCell ref="D142:D142"/>
    <mergeCell ref="E142:E142"/>
    <mergeCell ref="F142:F142"/>
    <mergeCell ref="G142:G142"/>
    <mergeCell ref="H142:H142"/>
    <mergeCell ref="I142:I142"/>
    <mergeCell ref="J142:J142"/>
    <mergeCell ref="K142:K142"/>
    <mergeCell ref="L142:L142"/>
    <mergeCell ref="M142:M142"/>
    <mergeCell ref="N142:N142"/>
    <mergeCell ref="O142:O142"/>
    <mergeCell ref="P142:P142"/>
    <mergeCell ref="Q142:Q142"/>
    <mergeCell ref="R142:R142"/>
    <mergeCell ref="S142:S142"/>
    <mergeCell ref="T142:T142"/>
    <mergeCell ref="U142:U142"/>
    <mergeCell ref="V142:V142"/>
    <mergeCell ref="W142:W142"/>
    <mergeCell ref="X142:X142"/>
    <mergeCell ref="Y142:Y142"/>
    <mergeCell ref="Z142:Z142"/>
    <mergeCell ref="A143:A143"/>
    <mergeCell ref="B143:B143"/>
    <mergeCell ref="C143:C143"/>
    <mergeCell ref="D143:D143"/>
    <mergeCell ref="E143:E143"/>
    <mergeCell ref="F143:F143"/>
    <mergeCell ref="G143:G143"/>
    <mergeCell ref="H143:H143"/>
    <mergeCell ref="I143:I143"/>
    <mergeCell ref="J143:J143"/>
    <mergeCell ref="K143:K143"/>
    <mergeCell ref="L143:L143"/>
    <mergeCell ref="M143:M143"/>
    <mergeCell ref="N143:N143"/>
    <mergeCell ref="O143:O143"/>
    <mergeCell ref="P143:P143"/>
    <mergeCell ref="Q143:Q143"/>
    <mergeCell ref="R143:R143"/>
    <mergeCell ref="S143:S143"/>
    <mergeCell ref="T143:T143"/>
    <mergeCell ref="U143:U143"/>
    <mergeCell ref="V143:V143"/>
    <mergeCell ref="W143:W143"/>
    <mergeCell ref="X143:X143"/>
    <mergeCell ref="Y143:Y143"/>
    <mergeCell ref="Z143:Z143"/>
    <mergeCell ref="A144:A144"/>
    <mergeCell ref="B144:B144"/>
    <mergeCell ref="C144:C144"/>
    <mergeCell ref="D144:D144"/>
    <mergeCell ref="E144:E144"/>
    <mergeCell ref="F144:F144"/>
    <mergeCell ref="G144:G144"/>
    <mergeCell ref="H144:H144"/>
    <mergeCell ref="I144:I144"/>
    <mergeCell ref="J144:J144"/>
    <mergeCell ref="K144:K144"/>
    <mergeCell ref="L144:L144"/>
    <mergeCell ref="M144:M144"/>
    <mergeCell ref="N144:N144"/>
    <mergeCell ref="O144:O144"/>
    <mergeCell ref="P144:P144"/>
    <mergeCell ref="Q144:Q144"/>
    <mergeCell ref="R144:R144"/>
    <mergeCell ref="S144:S144"/>
    <mergeCell ref="T144:T144"/>
    <mergeCell ref="U144:U144"/>
    <mergeCell ref="V144:V144"/>
    <mergeCell ref="W144:W144"/>
    <mergeCell ref="X144:X144"/>
    <mergeCell ref="Y144:Y144"/>
    <mergeCell ref="Z144:Z144"/>
    <mergeCell ref="A145:A145"/>
    <mergeCell ref="B145:B145"/>
    <mergeCell ref="C145:C145"/>
    <mergeCell ref="D145:D145"/>
    <mergeCell ref="E145:E145"/>
    <mergeCell ref="F145:F145"/>
    <mergeCell ref="G145:G145"/>
    <mergeCell ref="H145:H145"/>
    <mergeCell ref="I145:I145"/>
    <mergeCell ref="J145:J145"/>
    <mergeCell ref="K145:K145"/>
    <mergeCell ref="L145:L145"/>
    <mergeCell ref="M145:M145"/>
    <mergeCell ref="N145:N145"/>
    <mergeCell ref="O145:O145"/>
    <mergeCell ref="P145:P145"/>
    <mergeCell ref="Q145:Q145"/>
    <mergeCell ref="R145:R145"/>
    <mergeCell ref="S145:S145"/>
    <mergeCell ref="T145:T145"/>
    <mergeCell ref="U145:U145"/>
    <mergeCell ref="V145:V145"/>
    <mergeCell ref="W145:W145"/>
    <mergeCell ref="X145:X145"/>
    <mergeCell ref="Y145:Y145"/>
    <mergeCell ref="Z145:Z145"/>
    <mergeCell ref="A146:A146"/>
    <mergeCell ref="B146:B146"/>
    <mergeCell ref="C146:C146"/>
    <mergeCell ref="D146:D146"/>
    <mergeCell ref="E146:E146"/>
    <mergeCell ref="F146:F146"/>
    <mergeCell ref="G146:G146"/>
    <mergeCell ref="H146:H146"/>
    <mergeCell ref="I146:I146"/>
    <mergeCell ref="J146:J146"/>
    <mergeCell ref="K146:K146"/>
    <mergeCell ref="L146:L146"/>
    <mergeCell ref="M146:M146"/>
    <mergeCell ref="N146:N146"/>
    <mergeCell ref="O146:O146"/>
    <mergeCell ref="P146:P146"/>
    <mergeCell ref="Q146:Q146"/>
    <mergeCell ref="R146:R146"/>
    <mergeCell ref="S146:S146"/>
    <mergeCell ref="T146:T146"/>
    <mergeCell ref="U146:U146"/>
    <mergeCell ref="V146:V146"/>
    <mergeCell ref="W146:W146"/>
    <mergeCell ref="X146:X146"/>
    <mergeCell ref="Y146:Y146"/>
    <mergeCell ref="Z146:Z146"/>
    <mergeCell ref="A147:A147"/>
    <mergeCell ref="B147:B147"/>
    <mergeCell ref="C147:C147"/>
    <mergeCell ref="D147:D147"/>
    <mergeCell ref="E147:E147"/>
    <mergeCell ref="F147:F147"/>
    <mergeCell ref="G147:G147"/>
    <mergeCell ref="H147:H147"/>
    <mergeCell ref="I147:I147"/>
    <mergeCell ref="J147:J147"/>
    <mergeCell ref="K147:K147"/>
    <mergeCell ref="L147:L147"/>
    <mergeCell ref="M147:M147"/>
    <mergeCell ref="N147:N147"/>
    <mergeCell ref="O147:O147"/>
    <mergeCell ref="P147:P147"/>
    <mergeCell ref="Q147:Q147"/>
    <mergeCell ref="R147:R147"/>
    <mergeCell ref="S147:S147"/>
    <mergeCell ref="T147:T147"/>
    <mergeCell ref="U147:U147"/>
    <mergeCell ref="V147:V147"/>
    <mergeCell ref="W147:W147"/>
    <mergeCell ref="X147:X147"/>
    <mergeCell ref="Y147:Y147"/>
    <mergeCell ref="Z147:Z147"/>
    <mergeCell ref="A148:A148"/>
    <mergeCell ref="B148:B148"/>
    <mergeCell ref="C148:C148"/>
    <mergeCell ref="D148:D148"/>
    <mergeCell ref="E148:E148"/>
    <mergeCell ref="F148:F148"/>
    <mergeCell ref="G148:G148"/>
    <mergeCell ref="H148:H148"/>
    <mergeCell ref="I148:I148"/>
    <mergeCell ref="J148:J148"/>
    <mergeCell ref="K148:K148"/>
    <mergeCell ref="L148:L148"/>
    <mergeCell ref="M148:M148"/>
    <mergeCell ref="N148:N148"/>
    <mergeCell ref="O148:O148"/>
    <mergeCell ref="P148:P148"/>
    <mergeCell ref="Q148:Q148"/>
    <mergeCell ref="R148:R148"/>
    <mergeCell ref="S148:S148"/>
    <mergeCell ref="T148:T148"/>
    <mergeCell ref="U148:U148"/>
    <mergeCell ref="V148:V148"/>
    <mergeCell ref="W148:W148"/>
    <mergeCell ref="X148:X148"/>
    <mergeCell ref="Y148:Y148"/>
    <mergeCell ref="Z148:Z148"/>
    <mergeCell ref="A149:A149"/>
    <mergeCell ref="B149:B149"/>
    <mergeCell ref="C149:C149"/>
    <mergeCell ref="D149:D149"/>
    <mergeCell ref="E149:E149"/>
    <mergeCell ref="F149:F149"/>
    <mergeCell ref="G149:G149"/>
    <mergeCell ref="H149:H149"/>
    <mergeCell ref="I149:I149"/>
    <mergeCell ref="J149:J149"/>
    <mergeCell ref="K149:K149"/>
    <mergeCell ref="L149:L149"/>
    <mergeCell ref="M149:M149"/>
    <mergeCell ref="N149:N149"/>
    <mergeCell ref="O149:O149"/>
    <mergeCell ref="P149:P149"/>
    <mergeCell ref="Q149:Q149"/>
    <mergeCell ref="R149:R149"/>
    <mergeCell ref="S149:S149"/>
    <mergeCell ref="T149:T149"/>
    <mergeCell ref="U149:U149"/>
    <mergeCell ref="V149:V149"/>
    <mergeCell ref="W149:W149"/>
    <mergeCell ref="X149:X149"/>
    <mergeCell ref="Y149:Y149"/>
    <mergeCell ref="Z149:Z149"/>
    <mergeCell ref="A150:A150"/>
    <mergeCell ref="B150:B150"/>
    <mergeCell ref="C150:C150"/>
    <mergeCell ref="D150:D150"/>
    <mergeCell ref="E150:E150"/>
    <mergeCell ref="F150:F150"/>
    <mergeCell ref="G150:G150"/>
    <mergeCell ref="H150:H150"/>
    <mergeCell ref="I150:I150"/>
    <mergeCell ref="J150:J150"/>
    <mergeCell ref="K150:K150"/>
    <mergeCell ref="L150:L150"/>
    <mergeCell ref="M150:M150"/>
    <mergeCell ref="N150:N150"/>
    <mergeCell ref="O150:O150"/>
    <mergeCell ref="P150:P150"/>
    <mergeCell ref="Q150:Q150"/>
    <mergeCell ref="R150:R150"/>
    <mergeCell ref="S150:S150"/>
    <mergeCell ref="T150:T150"/>
    <mergeCell ref="U150:U150"/>
    <mergeCell ref="V150:V150"/>
    <mergeCell ref="W150:W150"/>
    <mergeCell ref="X150:X150"/>
    <mergeCell ref="Y150:Y150"/>
    <mergeCell ref="Z150:Z150"/>
    <mergeCell ref="A151:A151"/>
    <mergeCell ref="B151:B151"/>
    <mergeCell ref="C151:C151"/>
    <mergeCell ref="D151:D151"/>
    <mergeCell ref="E151:E151"/>
    <mergeCell ref="F151:F151"/>
    <mergeCell ref="G151:G151"/>
    <mergeCell ref="H151:H151"/>
    <mergeCell ref="I151:I151"/>
    <mergeCell ref="J151:J151"/>
    <mergeCell ref="K151:K151"/>
    <mergeCell ref="L151:L151"/>
    <mergeCell ref="M151:M151"/>
    <mergeCell ref="N151:N151"/>
    <mergeCell ref="O151:O151"/>
    <mergeCell ref="P151:P151"/>
    <mergeCell ref="Q151:Q151"/>
    <mergeCell ref="R151:R151"/>
    <mergeCell ref="S151:S151"/>
    <mergeCell ref="T151:T151"/>
    <mergeCell ref="U151:U151"/>
    <mergeCell ref="V151:V151"/>
    <mergeCell ref="W151:W151"/>
    <mergeCell ref="X151:X151"/>
    <mergeCell ref="Y151:Y151"/>
    <mergeCell ref="Z151:Z151"/>
    <mergeCell ref="A152:A152"/>
    <mergeCell ref="B152:B152"/>
    <mergeCell ref="C152:C152"/>
    <mergeCell ref="D152:D152"/>
    <mergeCell ref="E152:E152"/>
    <mergeCell ref="F152:F152"/>
    <mergeCell ref="G152:G152"/>
    <mergeCell ref="H152:H152"/>
    <mergeCell ref="I152:I152"/>
    <mergeCell ref="J152:J152"/>
    <mergeCell ref="K152:K152"/>
    <mergeCell ref="L152:L152"/>
    <mergeCell ref="M152:M152"/>
    <mergeCell ref="N152:N152"/>
    <mergeCell ref="O152:O152"/>
    <mergeCell ref="P152:P152"/>
    <mergeCell ref="Q152:Q152"/>
    <mergeCell ref="R152:R152"/>
    <mergeCell ref="S152:S152"/>
    <mergeCell ref="T152:T152"/>
    <mergeCell ref="U152:U152"/>
    <mergeCell ref="V152:V152"/>
    <mergeCell ref="W152:W152"/>
    <mergeCell ref="X152:X152"/>
    <mergeCell ref="Y152:Y152"/>
    <mergeCell ref="Z152:Z152"/>
    <mergeCell ref="A153:A153"/>
    <mergeCell ref="B153:B153"/>
    <mergeCell ref="C153:C153"/>
    <mergeCell ref="D153:D153"/>
    <mergeCell ref="E153:E153"/>
    <mergeCell ref="F153:F153"/>
    <mergeCell ref="G153:G153"/>
    <mergeCell ref="H153:H153"/>
    <mergeCell ref="I153:I153"/>
    <mergeCell ref="J153:J153"/>
    <mergeCell ref="K153:K153"/>
    <mergeCell ref="L153:L153"/>
    <mergeCell ref="M153:M153"/>
    <mergeCell ref="N153:N153"/>
    <mergeCell ref="O153:O153"/>
    <mergeCell ref="P153:P153"/>
    <mergeCell ref="Q153:Q153"/>
    <mergeCell ref="R153:R153"/>
    <mergeCell ref="S153:S153"/>
    <mergeCell ref="T153:T153"/>
    <mergeCell ref="U153:U153"/>
    <mergeCell ref="V153:V153"/>
    <mergeCell ref="W153:W153"/>
    <mergeCell ref="X153:X153"/>
    <mergeCell ref="Y153:Y153"/>
    <mergeCell ref="Z153:Z153"/>
    <mergeCell ref="A154:A154"/>
    <mergeCell ref="B154:B154"/>
    <mergeCell ref="C154:C154"/>
    <mergeCell ref="D154:D154"/>
    <mergeCell ref="E154:E154"/>
    <mergeCell ref="F154:F154"/>
    <mergeCell ref="G154:G154"/>
    <mergeCell ref="H154:H154"/>
    <mergeCell ref="I154:I154"/>
    <mergeCell ref="J154:J154"/>
    <mergeCell ref="K154:K154"/>
    <mergeCell ref="L154:L154"/>
    <mergeCell ref="M154:M154"/>
    <mergeCell ref="N154:N154"/>
    <mergeCell ref="O154:O154"/>
    <mergeCell ref="P154:P154"/>
    <mergeCell ref="Q154:Q154"/>
    <mergeCell ref="R154:R154"/>
    <mergeCell ref="S154:S154"/>
    <mergeCell ref="T154:T154"/>
    <mergeCell ref="U154:U154"/>
    <mergeCell ref="V154:V154"/>
    <mergeCell ref="W154:W154"/>
    <mergeCell ref="X154:X154"/>
    <mergeCell ref="Y154:Y154"/>
    <mergeCell ref="Z154:Z154"/>
    <mergeCell ref="A155:A155"/>
    <mergeCell ref="B155:B155"/>
    <mergeCell ref="C155:C155"/>
    <mergeCell ref="D155:D155"/>
    <mergeCell ref="E155:E155"/>
    <mergeCell ref="F155:F155"/>
    <mergeCell ref="G155:G155"/>
    <mergeCell ref="H155:H155"/>
    <mergeCell ref="I155:I155"/>
    <mergeCell ref="J155:J155"/>
    <mergeCell ref="K155:K155"/>
    <mergeCell ref="L155:L155"/>
    <mergeCell ref="M155:M155"/>
    <mergeCell ref="N155:N155"/>
    <mergeCell ref="O155:O155"/>
    <mergeCell ref="P155:P155"/>
    <mergeCell ref="Q155:Q155"/>
    <mergeCell ref="R155:R155"/>
    <mergeCell ref="S155:S155"/>
    <mergeCell ref="T155:T155"/>
    <mergeCell ref="U155:U155"/>
    <mergeCell ref="V155:V155"/>
    <mergeCell ref="W155:W155"/>
    <mergeCell ref="X155:X155"/>
    <mergeCell ref="Y155:Y155"/>
    <mergeCell ref="Z155:Z155"/>
    <mergeCell ref="A156:A156"/>
    <mergeCell ref="B156:B156"/>
    <mergeCell ref="C156:C156"/>
    <mergeCell ref="D156:D156"/>
    <mergeCell ref="E156:E156"/>
    <mergeCell ref="F156:F156"/>
    <mergeCell ref="G156:G156"/>
    <mergeCell ref="H156:H156"/>
    <mergeCell ref="I156:I156"/>
    <mergeCell ref="J156:J156"/>
    <mergeCell ref="K156:K156"/>
    <mergeCell ref="L156:L156"/>
    <mergeCell ref="M156:M156"/>
    <mergeCell ref="N156:N156"/>
    <mergeCell ref="O156:O156"/>
    <mergeCell ref="P156:P156"/>
    <mergeCell ref="Q156:Q156"/>
    <mergeCell ref="R156:R156"/>
    <mergeCell ref="S156:S156"/>
    <mergeCell ref="T156:T156"/>
    <mergeCell ref="U156:U156"/>
    <mergeCell ref="V156:V156"/>
    <mergeCell ref="W156:W156"/>
    <mergeCell ref="X156:X156"/>
    <mergeCell ref="Y156:Y156"/>
    <mergeCell ref="Z156:Z156"/>
    <mergeCell ref="A157:A157"/>
    <mergeCell ref="B157:B157"/>
    <mergeCell ref="C157:C157"/>
    <mergeCell ref="D157:D157"/>
    <mergeCell ref="E157:E157"/>
    <mergeCell ref="F157:F157"/>
    <mergeCell ref="G157:G157"/>
    <mergeCell ref="H157:H157"/>
    <mergeCell ref="I157:I157"/>
    <mergeCell ref="J157:J157"/>
    <mergeCell ref="K157:K157"/>
    <mergeCell ref="L157:L157"/>
    <mergeCell ref="M157:M157"/>
    <mergeCell ref="N157:N157"/>
    <mergeCell ref="O157:O157"/>
    <mergeCell ref="P157:P157"/>
    <mergeCell ref="Q157:Q157"/>
    <mergeCell ref="R157:R157"/>
    <mergeCell ref="S157:S157"/>
    <mergeCell ref="T157:T157"/>
    <mergeCell ref="U157:U157"/>
    <mergeCell ref="V157:V157"/>
    <mergeCell ref="W157:W157"/>
    <mergeCell ref="X157:X157"/>
    <mergeCell ref="Y157:Y157"/>
    <mergeCell ref="Z157:Z157"/>
    <mergeCell ref="A158:A158"/>
    <mergeCell ref="B158:B158"/>
    <mergeCell ref="C158:C158"/>
    <mergeCell ref="D158:D158"/>
    <mergeCell ref="E158:E158"/>
    <mergeCell ref="F158:F158"/>
    <mergeCell ref="G158:G158"/>
    <mergeCell ref="H158:H158"/>
    <mergeCell ref="I158:I158"/>
    <mergeCell ref="J158:J158"/>
    <mergeCell ref="K158:K158"/>
    <mergeCell ref="L158:L158"/>
    <mergeCell ref="M158:M158"/>
    <mergeCell ref="N158:N158"/>
    <mergeCell ref="O158:O158"/>
    <mergeCell ref="P158:P158"/>
    <mergeCell ref="Q158:Q158"/>
    <mergeCell ref="R158:R158"/>
    <mergeCell ref="S158:S158"/>
    <mergeCell ref="T158:T158"/>
    <mergeCell ref="U158:U158"/>
    <mergeCell ref="V158:V158"/>
    <mergeCell ref="W158:W158"/>
    <mergeCell ref="X158:X158"/>
    <mergeCell ref="Y158:Y158"/>
    <mergeCell ref="Z158:Z158"/>
    <mergeCell ref="A159:A159"/>
    <mergeCell ref="B159:B159"/>
    <mergeCell ref="C159:C159"/>
    <mergeCell ref="D159:D159"/>
    <mergeCell ref="E159:E159"/>
    <mergeCell ref="F159:F159"/>
    <mergeCell ref="G159:G159"/>
    <mergeCell ref="H159:H159"/>
    <mergeCell ref="I159:I159"/>
    <mergeCell ref="J159:J159"/>
    <mergeCell ref="K159:K159"/>
    <mergeCell ref="L159:L159"/>
    <mergeCell ref="M159:M159"/>
    <mergeCell ref="N159:N159"/>
    <mergeCell ref="O159:O159"/>
    <mergeCell ref="P159:P159"/>
    <mergeCell ref="Q159:Q159"/>
    <mergeCell ref="R159:R159"/>
    <mergeCell ref="S159:S159"/>
    <mergeCell ref="T159:T159"/>
    <mergeCell ref="U159:U159"/>
    <mergeCell ref="V159:V159"/>
    <mergeCell ref="W159:W159"/>
    <mergeCell ref="X159:X159"/>
    <mergeCell ref="Y159:Y159"/>
    <mergeCell ref="Z159:Z159"/>
    <mergeCell ref="A160:A160"/>
    <mergeCell ref="B160:B160"/>
    <mergeCell ref="C160:C160"/>
    <mergeCell ref="D160:D160"/>
    <mergeCell ref="E160:E160"/>
    <mergeCell ref="F160:F160"/>
    <mergeCell ref="G160:G160"/>
    <mergeCell ref="H160:H160"/>
    <mergeCell ref="I160:I160"/>
    <mergeCell ref="J160:J160"/>
    <mergeCell ref="K160:K160"/>
    <mergeCell ref="L160:L160"/>
    <mergeCell ref="M160:M160"/>
    <mergeCell ref="N160:N160"/>
    <mergeCell ref="O160:O160"/>
    <mergeCell ref="P160:P160"/>
    <mergeCell ref="Q160:Q160"/>
    <mergeCell ref="R160:R160"/>
    <mergeCell ref="S160:S160"/>
    <mergeCell ref="T160:T160"/>
    <mergeCell ref="U160:U160"/>
    <mergeCell ref="V160:V160"/>
    <mergeCell ref="W160:W160"/>
    <mergeCell ref="X160:X160"/>
    <mergeCell ref="Y160:Y160"/>
    <mergeCell ref="Z160:Z160"/>
    <mergeCell ref="A161:A161"/>
    <mergeCell ref="B161:B161"/>
    <mergeCell ref="C161:C161"/>
    <mergeCell ref="D161:D161"/>
    <mergeCell ref="E161:E161"/>
    <mergeCell ref="F161:F161"/>
    <mergeCell ref="G161:G161"/>
    <mergeCell ref="H161:H161"/>
    <mergeCell ref="I161:I161"/>
    <mergeCell ref="J161:J161"/>
    <mergeCell ref="K161:K161"/>
    <mergeCell ref="L161:L161"/>
    <mergeCell ref="M161:M161"/>
    <mergeCell ref="N161:N161"/>
    <mergeCell ref="O161:O161"/>
    <mergeCell ref="P161:P161"/>
    <mergeCell ref="Q161:Q161"/>
    <mergeCell ref="R161:R161"/>
    <mergeCell ref="S161:S161"/>
    <mergeCell ref="T161:T161"/>
    <mergeCell ref="U161:U161"/>
    <mergeCell ref="V161:V161"/>
    <mergeCell ref="W161:W161"/>
    <mergeCell ref="X161:X161"/>
    <mergeCell ref="Y161:Y161"/>
    <mergeCell ref="Z161:Z161"/>
    <mergeCell ref="A162:A162"/>
    <mergeCell ref="B162:B162"/>
    <mergeCell ref="C162:C162"/>
    <mergeCell ref="D162:D162"/>
    <mergeCell ref="E162:E162"/>
    <mergeCell ref="F162:F162"/>
    <mergeCell ref="G162:G162"/>
    <mergeCell ref="H162:H162"/>
    <mergeCell ref="I162:I162"/>
    <mergeCell ref="J162:J162"/>
    <mergeCell ref="K162:K162"/>
    <mergeCell ref="L162:L162"/>
    <mergeCell ref="M162:M162"/>
    <mergeCell ref="N162:N162"/>
    <mergeCell ref="O162:O162"/>
    <mergeCell ref="P162:P162"/>
    <mergeCell ref="Q162:Q162"/>
    <mergeCell ref="R162:R162"/>
    <mergeCell ref="S162:S162"/>
    <mergeCell ref="T162:T162"/>
    <mergeCell ref="U162:U162"/>
    <mergeCell ref="V162:V162"/>
    <mergeCell ref="W162:W162"/>
    <mergeCell ref="X162:X162"/>
    <mergeCell ref="Y162:Y162"/>
    <mergeCell ref="Z162:Z162"/>
    <mergeCell ref="A163:A163"/>
    <mergeCell ref="B163:B163"/>
    <mergeCell ref="C163:C163"/>
    <mergeCell ref="D163:D163"/>
    <mergeCell ref="E163:E163"/>
    <mergeCell ref="F163:F163"/>
    <mergeCell ref="G163:G163"/>
    <mergeCell ref="H163:H163"/>
    <mergeCell ref="I163:I163"/>
    <mergeCell ref="J163:J163"/>
    <mergeCell ref="K163:K163"/>
    <mergeCell ref="L163:L163"/>
    <mergeCell ref="M163:M163"/>
    <mergeCell ref="N163:N163"/>
    <mergeCell ref="O163:O163"/>
    <mergeCell ref="P163:P163"/>
    <mergeCell ref="Q163:Q163"/>
    <mergeCell ref="R163:R163"/>
    <mergeCell ref="S163:S163"/>
    <mergeCell ref="T163:T163"/>
    <mergeCell ref="U163:U163"/>
    <mergeCell ref="V163:V163"/>
    <mergeCell ref="W163:W163"/>
    <mergeCell ref="X163:X163"/>
    <mergeCell ref="Y163:Y163"/>
    <mergeCell ref="Z163:Z163"/>
    <mergeCell ref="A164:A164"/>
    <mergeCell ref="B164:B164"/>
    <mergeCell ref="C164:C164"/>
    <mergeCell ref="D164:D164"/>
    <mergeCell ref="E164:E164"/>
    <mergeCell ref="F164:F164"/>
    <mergeCell ref="G164:G164"/>
    <mergeCell ref="H164:H164"/>
    <mergeCell ref="I164:I164"/>
    <mergeCell ref="J164:J164"/>
    <mergeCell ref="K164:K164"/>
    <mergeCell ref="L164:L164"/>
    <mergeCell ref="M164:M164"/>
    <mergeCell ref="N164:N164"/>
    <mergeCell ref="O164:O164"/>
    <mergeCell ref="P164:P164"/>
    <mergeCell ref="Q164:Q164"/>
    <mergeCell ref="R164:R164"/>
    <mergeCell ref="S164:S164"/>
    <mergeCell ref="T164:T164"/>
    <mergeCell ref="U164:U164"/>
    <mergeCell ref="V164:V164"/>
    <mergeCell ref="W164:W164"/>
    <mergeCell ref="X164:X164"/>
    <mergeCell ref="Y164:Y164"/>
    <mergeCell ref="Z164:Z164"/>
    <mergeCell ref="A165:A165"/>
    <mergeCell ref="B165:B165"/>
    <mergeCell ref="C165:C165"/>
    <mergeCell ref="D165:D165"/>
    <mergeCell ref="E165:E165"/>
    <mergeCell ref="F165:F165"/>
    <mergeCell ref="G165:G165"/>
    <mergeCell ref="H165:H165"/>
    <mergeCell ref="I165:I165"/>
    <mergeCell ref="J165:J165"/>
    <mergeCell ref="K165:K165"/>
    <mergeCell ref="L165:L165"/>
    <mergeCell ref="M165:M165"/>
    <mergeCell ref="N165:N165"/>
    <mergeCell ref="O165:O165"/>
    <mergeCell ref="P165:P165"/>
    <mergeCell ref="Q165:Q165"/>
    <mergeCell ref="R165:R165"/>
    <mergeCell ref="S165:S165"/>
    <mergeCell ref="T165:T165"/>
    <mergeCell ref="U165:U165"/>
    <mergeCell ref="V165:V165"/>
    <mergeCell ref="W165:W165"/>
    <mergeCell ref="X165:X165"/>
    <mergeCell ref="Y165:Y165"/>
    <mergeCell ref="Z165:Z165"/>
    <mergeCell ref="A166:A166"/>
    <mergeCell ref="B166:B166"/>
    <mergeCell ref="C166:C166"/>
    <mergeCell ref="D166:D166"/>
    <mergeCell ref="E166:E166"/>
    <mergeCell ref="F166:F166"/>
    <mergeCell ref="G166:G166"/>
    <mergeCell ref="H166:H166"/>
    <mergeCell ref="I166:I166"/>
    <mergeCell ref="J166:J166"/>
    <mergeCell ref="K166:K166"/>
    <mergeCell ref="L166:L166"/>
    <mergeCell ref="M166:M166"/>
    <mergeCell ref="N166:N166"/>
    <mergeCell ref="O166:O166"/>
    <mergeCell ref="P166:P166"/>
    <mergeCell ref="Q166:Q166"/>
    <mergeCell ref="R166:R166"/>
    <mergeCell ref="S166:S166"/>
    <mergeCell ref="T166:T166"/>
    <mergeCell ref="U166:U166"/>
    <mergeCell ref="V166:V166"/>
    <mergeCell ref="W166:W166"/>
    <mergeCell ref="X166:X166"/>
    <mergeCell ref="Y166:Y166"/>
    <mergeCell ref="Z166:Z166"/>
    <mergeCell ref="A167:A167"/>
    <mergeCell ref="B167:B167"/>
    <mergeCell ref="C167:C167"/>
    <mergeCell ref="D167:D167"/>
    <mergeCell ref="E167:E167"/>
    <mergeCell ref="F167:F167"/>
    <mergeCell ref="G167:G167"/>
    <mergeCell ref="H167:H167"/>
    <mergeCell ref="I167:I167"/>
    <mergeCell ref="J167:J167"/>
    <mergeCell ref="K167:K167"/>
    <mergeCell ref="L167:L167"/>
    <mergeCell ref="M167:M167"/>
    <mergeCell ref="N167:N167"/>
    <mergeCell ref="O167:O167"/>
    <mergeCell ref="P167:P167"/>
    <mergeCell ref="Q167:Q167"/>
    <mergeCell ref="R167:R167"/>
    <mergeCell ref="S167:S167"/>
    <mergeCell ref="T167:T167"/>
    <mergeCell ref="U167:U167"/>
    <mergeCell ref="V167:V167"/>
    <mergeCell ref="W167:W167"/>
    <mergeCell ref="X167:X167"/>
    <mergeCell ref="Y167:Y167"/>
    <mergeCell ref="Z167:Z167"/>
    <mergeCell ref="A168:A168"/>
    <mergeCell ref="B168:B168"/>
    <mergeCell ref="C168:C168"/>
    <mergeCell ref="D168:D168"/>
    <mergeCell ref="E168:E168"/>
    <mergeCell ref="F168:F168"/>
    <mergeCell ref="G168:G168"/>
    <mergeCell ref="H168:H168"/>
    <mergeCell ref="I168:I168"/>
    <mergeCell ref="J168:J168"/>
    <mergeCell ref="K168:K168"/>
    <mergeCell ref="L168:L168"/>
    <mergeCell ref="M168:M168"/>
    <mergeCell ref="N168:N168"/>
    <mergeCell ref="O168:O168"/>
    <mergeCell ref="P168:P168"/>
    <mergeCell ref="Q168:Q168"/>
    <mergeCell ref="R168:R168"/>
    <mergeCell ref="S168:S168"/>
    <mergeCell ref="T168:T168"/>
    <mergeCell ref="U168:U168"/>
    <mergeCell ref="V168:V168"/>
    <mergeCell ref="W168:W168"/>
    <mergeCell ref="X168:X168"/>
    <mergeCell ref="Y168:Y168"/>
    <mergeCell ref="Z168:Z168"/>
    <mergeCell ref="A169:A169"/>
    <mergeCell ref="B169:B169"/>
    <mergeCell ref="C169:C169"/>
    <mergeCell ref="D169:D169"/>
    <mergeCell ref="E169:E169"/>
    <mergeCell ref="F169:F169"/>
    <mergeCell ref="G169:G169"/>
    <mergeCell ref="H169:H169"/>
    <mergeCell ref="I169:I169"/>
    <mergeCell ref="J169:J169"/>
    <mergeCell ref="K169:K169"/>
    <mergeCell ref="L169:L169"/>
    <mergeCell ref="M169:M169"/>
    <mergeCell ref="N169:N169"/>
    <mergeCell ref="O169:O169"/>
    <mergeCell ref="P169:P169"/>
    <mergeCell ref="Q169:Q169"/>
    <mergeCell ref="R169:R169"/>
    <mergeCell ref="S169:S169"/>
    <mergeCell ref="T169:T169"/>
    <mergeCell ref="U169:U169"/>
    <mergeCell ref="V169:V169"/>
    <mergeCell ref="W169:W169"/>
    <mergeCell ref="X169:X169"/>
    <mergeCell ref="Y169:Y169"/>
    <mergeCell ref="Z169:Z169"/>
    <mergeCell ref="A170:A170"/>
    <mergeCell ref="B170:B170"/>
    <mergeCell ref="C170:C170"/>
    <mergeCell ref="D170:D170"/>
    <mergeCell ref="E170:E170"/>
    <mergeCell ref="F170:F170"/>
    <mergeCell ref="G170:G170"/>
    <mergeCell ref="H170:H170"/>
    <mergeCell ref="I170:I170"/>
    <mergeCell ref="J170:J170"/>
    <mergeCell ref="K170:K170"/>
    <mergeCell ref="L170:L170"/>
    <mergeCell ref="M170:M170"/>
    <mergeCell ref="N170:N170"/>
    <mergeCell ref="O170:O170"/>
    <mergeCell ref="P170:P170"/>
    <mergeCell ref="Q170:Q170"/>
    <mergeCell ref="R170:R170"/>
    <mergeCell ref="S170:S170"/>
    <mergeCell ref="T170:T170"/>
    <mergeCell ref="U170:U170"/>
    <mergeCell ref="V170:V170"/>
    <mergeCell ref="W170:W170"/>
    <mergeCell ref="X170:X170"/>
    <mergeCell ref="Y170:Y170"/>
    <mergeCell ref="Z170:Z170"/>
    <mergeCell ref="A171:A171"/>
    <mergeCell ref="B171:B171"/>
    <mergeCell ref="C171:C171"/>
    <mergeCell ref="D171:D171"/>
    <mergeCell ref="E171:E171"/>
    <mergeCell ref="F171:F171"/>
    <mergeCell ref="G171:G171"/>
    <mergeCell ref="H171:H171"/>
    <mergeCell ref="I171:I171"/>
    <mergeCell ref="J171:J171"/>
    <mergeCell ref="K171:K171"/>
    <mergeCell ref="L171:L171"/>
    <mergeCell ref="M171:M171"/>
    <mergeCell ref="N171:N171"/>
    <mergeCell ref="O171:O171"/>
    <mergeCell ref="P171:P171"/>
    <mergeCell ref="Q171:Q171"/>
    <mergeCell ref="R171:R171"/>
    <mergeCell ref="S171:S171"/>
    <mergeCell ref="T171:T171"/>
    <mergeCell ref="U171:U171"/>
    <mergeCell ref="V171:V171"/>
    <mergeCell ref="W171:W171"/>
    <mergeCell ref="X171:X171"/>
    <mergeCell ref="Y171:Y171"/>
    <mergeCell ref="Z171:Z171"/>
    <mergeCell ref="A172:A172"/>
    <mergeCell ref="B172:B172"/>
    <mergeCell ref="C172:C172"/>
    <mergeCell ref="D172:D172"/>
    <mergeCell ref="E172:E172"/>
    <mergeCell ref="F172:F172"/>
    <mergeCell ref="G172:G172"/>
    <mergeCell ref="H172:H172"/>
    <mergeCell ref="I172:I172"/>
    <mergeCell ref="J172:J172"/>
    <mergeCell ref="K172:K172"/>
    <mergeCell ref="L172:L172"/>
    <mergeCell ref="M172:M172"/>
    <mergeCell ref="N172:N172"/>
    <mergeCell ref="O172:O172"/>
    <mergeCell ref="P172:P172"/>
    <mergeCell ref="Q172:Q172"/>
    <mergeCell ref="R172:R172"/>
    <mergeCell ref="S172:S172"/>
    <mergeCell ref="T172:T172"/>
    <mergeCell ref="U172:U172"/>
    <mergeCell ref="V172:V172"/>
    <mergeCell ref="W172:W172"/>
    <mergeCell ref="X172:X172"/>
    <mergeCell ref="Y172:Y172"/>
    <mergeCell ref="Z172:Z172"/>
    <mergeCell ref="A173:A173"/>
    <mergeCell ref="B173:B173"/>
    <mergeCell ref="C173:C173"/>
    <mergeCell ref="D173:D173"/>
    <mergeCell ref="E173:E173"/>
    <mergeCell ref="F173:F173"/>
    <mergeCell ref="G173:G173"/>
    <mergeCell ref="H173:H173"/>
    <mergeCell ref="I173:I173"/>
    <mergeCell ref="J173:J173"/>
    <mergeCell ref="K173:K173"/>
    <mergeCell ref="L173:L173"/>
    <mergeCell ref="M173:M173"/>
    <mergeCell ref="N173:N173"/>
    <mergeCell ref="O173:O173"/>
    <mergeCell ref="P173:P173"/>
    <mergeCell ref="Q173:Q173"/>
    <mergeCell ref="R173:R173"/>
    <mergeCell ref="S173:S173"/>
    <mergeCell ref="T173:T173"/>
    <mergeCell ref="U173:U173"/>
    <mergeCell ref="V173:V173"/>
    <mergeCell ref="W173:W173"/>
    <mergeCell ref="X173:X173"/>
    <mergeCell ref="Y173:Y173"/>
    <mergeCell ref="Z173:Z173"/>
    <mergeCell ref="A174:A174"/>
    <mergeCell ref="B174:B174"/>
    <mergeCell ref="C174:C174"/>
    <mergeCell ref="D174:D174"/>
    <mergeCell ref="E174:E174"/>
    <mergeCell ref="F174:F174"/>
    <mergeCell ref="G174:G174"/>
    <mergeCell ref="H174:H174"/>
    <mergeCell ref="I174:I174"/>
    <mergeCell ref="J174:J174"/>
    <mergeCell ref="K174:K174"/>
    <mergeCell ref="L174:L174"/>
    <mergeCell ref="M174:M174"/>
    <mergeCell ref="N174:N174"/>
    <mergeCell ref="O174:O174"/>
    <mergeCell ref="P174:P174"/>
    <mergeCell ref="Q174:Q174"/>
    <mergeCell ref="R174:R174"/>
    <mergeCell ref="S174:S174"/>
    <mergeCell ref="T174:T174"/>
    <mergeCell ref="U174:U174"/>
    <mergeCell ref="V174:V174"/>
    <mergeCell ref="W174:W174"/>
    <mergeCell ref="X174:X174"/>
    <mergeCell ref="Y174:Y174"/>
    <mergeCell ref="Z174:Z174"/>
    <mergeCell ref="A175:A175"/>
    <mergeCell ref="B175:B175"/>
    <mergeCell ref="C175:C175"/>
    <mergeCell ref="D175:D175"/>
    <mergeCell ref="E175:E175"/>
    <mergeCell ref="F175:F175"/>
    <mergeCell ref="G175:G175"/>
    <mergeCell ref="H175:H175"/>
    <mergeCell ref="I175:I175"/>
    <mergeCell ref="J175:J175"/>
    <mergeCell ref="K175:K175"/>
    <mergeCell ref="L175:L175"/>
    <mergeCell ref="M175:M175"/>
    <mergeCell ref="N175:N175"/>
    <mergeCell ref="O175:O175"/>
    <mergeCell ref="P175:P175"/>
    <mergeCell ref="Q175:Q175"/>
    <mergeCell ref="R175:R175"/>
    <mergeCell ref="S175:S175"/>
    <mergeCell ref="T175:T175"/>
    <mergeCell ref="U175:U175"/>
    <mergeCell ref="V175:V175"/>
    <mergeCell ref="W175:W175"/>
    <mergeCell ref="X175:X175"/>
    <mergeCell ref="Y175:Y175"/>
    <mergeCell ref="Z175:Z175"/>
    <mergeCell ref="A176:A176"/>
    <mergeCell ref="B176:B176"/>
    <mergeCell ref="C176:C176"/>
    <mergeCell ref="D176:D176"/>
    <mergeCell ref="E176:E176"/>
    <mergeCell ref="F176:F176"/>
    <mergeCell ref="G176:G176"/>
    <mergeCell ref="H176:H176"/>
    <mergeCell ref="I176:I176"/>
    <mergeCell ref="J176:J176"/>
    <mergeCell ref="K176:K176"/>
    <mergeCell ref="L176:L176"/>
    <mergeCell ref="M176:M176"/>
    <mergeCell ref="N176:N176"/>
    <mergeCell ref="O176:O176"/>
    <mergeCell ref="P176:P176"/>
    <mergeCell ref="Q176:Q176"/>
    <mergeCell ref="R176:R176"/>
    <mergeCell ref="S176:S176"/>
    <mergeCell ref="T176:T176"/>
    <mergeCell ref="U176:U176"/>
    <mergeCell ref="V176:V176"/>
    <mergeCell ref="W176:W176"/>
    <mergeCell ref="X176:X176"/>
    <mergeCell ref="Y176:Y176"/>
    <mergeCell ref="Z176:Z176"/>
    <mergeCell ref="A177:A177"/>
    <mergeCell ref="B177:B177"/>
    <mergeCell ref="C177:C177"/>
    <mergeCell ref="D177:D177"/>
    <mergeCell ref="E177:E177"/>
    <mergeCell ref="F177:F177"/>
    <mergeCell ref="G177:G177"/>
    <mergeCell ref="H177:H177"/>
    <mergeCell ref="I177:I177"/>
    <mergeCell ref="J177:J177"/>
    <mergeCell ref="K177:K177"/>
    <mergeCell ref="L177:L177"/>
    <mergeCell ref="M177:M177"/>
    <mergeCell ref="N177:N177"/>
    <mergeCell ref="O177:O177"/>
    <mergeCell ref="P177:P177"/>
    <mergeCell ref="Q177:Q177"/>
    <mergeCell ref="R177:R177"/>
    <mergeCell ref="S177:S177"/>
    <mergeCell ref="T177:T177"/>
    <mergeCell ref="U177:U177"/>
    <mergeCell ref="V177:V177"/>
    <mergeCell ref="W177:W177"/>
    <mergeCell ref="X177:X177"/>
    <mergeCell ref="Y177:Y177"/>
    <mergeCell ref="Z177:Z177"/>
    <mergeCell ref="A178:A178"/>
    <mergeCell ref="B178:B178"/>
    <mergeCell ref="C178:C178"/>
    <mergeCell ref="D178:D178"/>
    <mergeCell ref="E178:E178"/>
    <mergeCell ref="F178:F178"/>
    <mergeCell ref="G178:G178"/>
    <mergeCell ref="H178:H178"/>
    <mergeCell ref="I178:I178"/>
    <mergeCell ref="J178:J178"/>
    <mergeCell ref="K178:K178"/>
    <mergeCell ref="L178:L178"/>
    <mergeCell ref="M178:M178"/>
    <mergeCell ref="N178:N178"/>
    <mergeCell ref="O178:O178"/>
    <mergeCell ref="P178:P178"/>
    <mergeCell ref="Q178:Q178"/>
    <mergeCell ref="R178:R178"/>
    <mergeCell ref="S178:S178"/>
    <mergeCell ref="T178:T178"/>
    <mergeCell ref="U178:U178"/>
    <mergeCell ref="V178:V178"/>
    <mergeCell ref="W178:W178"/>
    <mergeCell ref="X178:X178"/>
    <mergeCell ref="Y178:Y178"/>
    <mergeCell ref="Z178:Z178"/>
    <mergeCell ref="A179:A179"/>
    <mergeCell ref="B179:B179"/>
    <mergeCell ref="C179:C179"/>
    <mergeCell ref="D179:D179"/>
    <mergeCell ref="E179:E179"/>
    <mergeCell ref="F179:F179"/>
    <mergeCell ref="G179:G179"/>
    <mergeCell ref="H179:H179"/>
    <mergeCell ref="I179:I179"/>
    <mergeCell ref="J179:J179"/>
    <mergeCell ref="K179:K179"/>
    <mergeCell ref="L179:L179"/>
    <mergeCell ref="M179:M179"/>
    <mergeCell ref="N179:N179"/>
    <mergeCell ref="O179:O179"/>
    <mergeCell ref="P179:P179"/>
    <mergeCell ref="Q179:Q179"/>
    <mergeCell ref="R179:R179"/>
    <mergeCell ref="S179:S179"/>
    <mergeCell ref="T179:T179"/>
    <mergeCell ref="U179:U179"/>
    <mergeCell ref="V179:V179"/>
    <mergeCell ref="W179:W179"/>
    <mergeCell ref="X179:X179"/>
    <mergeCell ref="Y179:Y179"/>
    <mergeCell ref="Z179:Z179"/>
    <mergeCell ref="A180:A180"/>
    <mergeCell ref="B180:B180"/>
    <mergeCell ref="C180:C180"/>
    <mergeCell ref="D180:D180"/>
    <mergeCell ref="E180:E180"/>
    <mergeCell ref="F180:F180"/>
    <mergeCell ref="G180:G180"/>
    <mergeCell ref="H180:H180"/>
    <mergeCell ref="I180:I180"/>
    <mergeCell ref="J180:J180"/>
    <mergeCell ref="K180:K180"/>
    <mergeCell ref="L180:L180"/>
    <mergeCell ref="M180:M180"/>
    <mergeCell ref="N180:N180"/>
    <mergeCell ref="O180:O180"/>
    <mergeCell ref="P180:P180"/>
    <mergeCell ref="Q180:Q180"/>
    <mergeCell ref="R180:R180"/>
    <mergeCell ref="S180:S180"/>
    <mergeCell ref="T180:T180"/>
    <mergeCell ref="U180:U180"/>
    <mergeCell ref="V180:V180"/>
    <mergeCell ref="W180:W180"/>
    <mergeCell ref="X180:X180"/>
    <mergeCell ref="Y180:Y180"/>
    <mergeCell ref="Z180:Z180"/>
    <mergeCell ref="A181:A181"/>
    <mergeCell ref="B181:B181"/>
    <mergeCell ref="C181:C181"/>
    <mergeCell ref="D181:D181"/>
    <mergeCell ref="E181:E181"/>
    <mergeCell ref="F181:F181"/>
    <mergeCell ref="G181:G181"/>
    <mergeCell ref="H181:H181"/>
    <mergeCell ref="I181:I181"/>
    <mergeCell ref="J181:J181"/>
    <mergeCell ref="K181:K181"/>
    <mergeCell ref="L181:L181"/>
    <mergeCell ref="M181:M181"/>
    <mergeCell ref="N181:N181"/>
    <mergeCell ref="O181:O181"/>
    <mergeCell ref="P181:P181"/>
    <mergeCell ref="Q181:Q181"/>
    <mergeCell ref="R181:R181"/>
    <mergeCell ref="S181:S181"/>
    <mergeCell ref="T181:T181"/>
    <mergeCell ref="U181:U181"/>
    <mergeCell ref="V181:V181"/>
    <mergeCell ref="W181:W181"/>
    <mergeCell ref="X181:X181"/>
    <mergeCell ref="Y181:Y181"/>
    <mergeCell ref="Z181:Z181"/>
    <mergeCell ref="A182:A182"/>
    <mergeCell ref="B182:B182"/>
    <mergeCell ref="C182:C182"/>
    <mergeCell ref="D182:D182"/>
    <mergeCell ref="E182:E182"/>
    <mergeCell ref="F182:F182"/>
    <mergeCell ref="G182:G182"/>
    <mergeCell ref="H182:H182"/>
    <mergeCell ref="I182:I182"/>
    <mergeCell ref="J182:J182"/>
    <mergeCell ref="K182:K182"/>
    <mergeCell ref="L182:L182"/>
    <mergeCell ref="M182:M182"/>
    <mergeCell ref="N182:N182"/>
    <mergeCell ref="O182:O182"/>
    <mergeCell ref="P182:P182"/>
    <mergeCell ref="Q182:Q182"/>
    <mergeCell ref="R182:R182"/>
    <mergeCell ref="S182:S182"/>
    <mergeCell ref="T182:T182"/>
    <mergeCell ref="U182:U182"/>
    <mergeCell ref="V182:V182"/>
    <mergeCell ref="W182:W182"/>
    <mergeCell ref="X182:X182"/>
    <mergeCell ref="Y182:Y182"/>
    <mergeCell ref="Z182:Z182"/>
    <mergeCell ref="A183:A183"/>
    <mergeCell ref="B183:B183"/>
    <mergeCell ref="C183:C183"/>
    <mergeCell ref="D183:D183"/>
    <mergeCell ref="E183:E183"/>
    <mergeCell ref="F183:F183"/>
    <mergeCell ref="G183:G183"/>
    <mergeCell ref="H183:H183"/>
    <mergeCell ref="I183:I183"/>
    <mergeCell ref="J183:J183"/>
    <mergeCell ref="K183:K183"/>
    <mergeCell ref="L183:L183"/>
    <mergeCell ref="M183:M183"/>
    <mergeCell ref="N183:N183"/>
    <mergeCell ref="O183:O183"/>
    <mergeCell ref="P183:P183"/>
    <mergeCell ref="Q183:Q183"/>
    <mergeCell ref="R183:R183"/>
    <mergeCell ref="S183:S183"/>
    <mergeCell ref="T183:T183"/>
    <mergeCell ref="U183:U183"/>
    <mergeCell ref="V183:V183"/>
    <mergeCell ref="W183:W183"/>
    <mergeCell ref="X183:X183"/>
    <mergeCell ref="Y183:Y183"/>
    <mergeCell ref="Z183:Z183"/>
    <mergeCell ref="A184:A184"/>
    <mergeCell ref="B184:B184"/>
    <mergeCell ref="C184:C184"/>
    <mergeCell ref="D184:D184"/>
    <mergeCell ref="E184:E184"/>
    <mergeCell ref="F184:F184"/>
    <mergeCell ref="G184:G184"/>
    <mergeCell ref="H184:H184"/>
    <mergeCell ref="I184:I184"/>
    <mergeCell ref="J184:J184"/>
    <mergeCell ref="K184:K184"/>
    <mergeCell ref="L184:L184"/>
    <mergeCell ref="M184:M184"/>
    <mergeCell ref="N184:N184"/>
    <mergeCell ref="O184:O184"/>
    <mergeCell ref="P184:P184"/>
    <mergeCell ref="Q184:Q184"/>
    <mergeCell ref="R184:R184"/>
    <mergeCell ref="S184:S184"/>
    <mergeCell ref="T184:T184"/>
    <mergeCell ref="U184:U184"/>
    <mergeCell ref="V184:V184"/>
    <mergeCell ref="W184:W184"/>
    <mergeCell ref="X184:X184"/>
    <mergeCell ref="Y184:Y184"/>
    <mergeCell ref="Z184:Z184"/>
    <mergeCell ref="A185:A185"/>
    <mergeCell ref="B185:B185"/>
    <mergeCell ref="C185:C185"/>
    <mergeCell ref="D185:D185"/>
    <mergeCell ref="E185:E185"/>
    <mergeCell ref="F185:F185"/>
    <mergeCell ref="G185:G185"/>
    <mergeCell ref="H185:H185"/>
    <mergeCell ref="I185:I185"/>
    <mergeCell ref="J185:J185"/>
    <mergeCell ref="K185:K185"/>
    <mergeCell ref="L185:L185"/>
    <mergeCell ref="M185:M185"/>
    <mergeCell ref="N185:N185"/>
    <mergeCell ref="O185:O185"/>
    <mergeCell ref="P185:P185"/>
    <mergeCell ref="Q185:Q185"/>
    <mergeCell ref="R185:R185"/>
    <mergeCell ref="S185:S185"/>
    <mergeCell ref="T185:T185"/>
    <mergeCell ref="U185:U185"/>
    <mergeCell ref="V185:V185"/>
    <mergeCell ref="W185:W185"/>
    <mergeCell ref="X185:X185"/>
    <mergeCell ref="Y185:Y185"/>
    <mergeCell ref="Z185:Z185"/>
    <mergeCell ref="A186:A186"/>
    <mergeCell ref="B186:B186"/>
    <mergeCell ref="C186:C186"/>
    <mergeCell ref="D186:D186"/>
    <mergeCell ref="E186:E186"/>
    <mergeCell ref="F186:F186"/>
    <mergeCell ref="G186:G186"/>
    <mergeCell ref="H186:H186"/>
    <mergeCell ref="I186:I186"/>
    <mergeCell ref="J186:J186"/>
    <mergeCell ref="K186:K186"/>
    <mergeCell ref="L186:L186"/>
    <mergeCell ref="M186:M186"/>
    <mergeCell ref="N186:N186"/>
    <mergeCell ref="O186:O186"/>
    <mergeCell ref="P186:P186"/>
    <mergeCell ref="Q186:Q186"/>
    <mergeCell ref="R186:R186"/>
    <mergeCell ref="S186:S186"/>
    <mergeCell ref="T186:T186"/>
    <mergeCell ref="U186:U186"/>
    <mergeCell ref="V186:V186"/>
    <mergeCell ref="W186:W186"/>
    <mergeCell ref="X186:X186"/>
    <mergeCell ref="Y186:Y186"/>
    <mergeCell ref="Z186:Z186"/>
    <mergeCell ref="A187:A187"/>
    <mergeCell ref="B187:B187"/>
    <mergeCell ref="C187:C187"/>
    <mergeCell ref="D187:D187"/>
    <mergeCell ref="E187:E187"/>
    <mergeCell ref="F187:F187"/>
    <mergeCell ref="G187:G187"/>
    <mergeCell ref="H187:H187"/>
    <mergeCell ref="I187:I187"/>
    <mergeCell ref="J187:J187"/>
    <mergeCell ref="K187:K187"/>
    <mergeCell ref="L187:L187"/>
    <mergeCell ref="M187:M187"/>
    <mergeCell ref="N187:N187"/>
    <mergeCell ref="O187:O187"/>
    <mergeCell ref="P187:P187"/>
    <mergeCell ref="Q187:Q187"/>
    <mergeCell ref="R187:R187"/>
    <mergeCell ref="S187:S187"/>
    <mergeCell ref="T187:T187"/>
    <mergeCell ref="U187:U187"/>
    <mergeCell ref="V187:V187"/>
    <mergeCell ref="W187:W187"/>
    <mergeCell ref="X187:X187"/>
    <mergeCell ref="Y187:Y187"/>
    <mergeCell ref="Z187:Z187"/>
    <mergeCell ref="A188:A188"/>
    <mergeCell ref="B188:B188"/>
    <mergeCell ref="C188:C188"/>
    <mergeCell ref="D188:D188"/>
    <mergeCell ref="E188:E188"/>
    <mergeCell ref="F188:F188"/>
    <mergeCell ref="G188:G188"/>
    <mergeCell ref="H188:H188"/>
    <mergeCell ref="I188:I188"/>
    <mergeCell ref="J188:J188"/>
    <mergeCell ref="K188:K188"/>
    <mergeCell ref="L188:L188"/>
    <mergeCell ref="M188:M188"/>
    <mergeCell ref="N188:N188"/>
    <mergeCell ref="O188:O188"/>
    <mergeCell ref="P188:P188"/>
    <mergeCell ref="Q188:Q188"/>
    <mergeCell ref="R188:R188"/>
    <mergeCell ref="S188:S188"/>
    <mergeCell ref="T188:T188"/>
    <mergeCell ref="U188:U188"/>
    <mergeCell ref="V188:V188"/>
    <mergeCell ref="W188:W188"/>
    <mergeCell ref="X188:X188"/>
    <mergeCell ref="Y188:Y188"/>
    <mergeCell ref="Z188:Z188"/>
    <mergeCell ref="A189:A189"/>
    <mergeCell ref="B189:B189"/>
    <mergeCell ref="C189:C189"/>
    <mergeCell ref="D189:D189"/>
    <mergeCell ref="E189:E189"/>
    <mergeCell ref="F189:F189"/>
    <mergeCell ref="G189:G189"/>
    <mergeCell ref="H189:H189"/>
    <mergeCell ref="I189:I189"/>
    <mergeCell ref="J189:J189"/>
    <mergeCell ref="K189:K189"/>
    <mergeCell ref="L189:L189"/>
    <mergeCell ref="M189:M189"/>
    <mergeCell ref="N189:N189"/>
    <mergeCell ref="O189:O189"/>
    <mergeCell ref="P189:P189"/>
    <mergeCell ref="Q189:Q189"/>
    <mergeCell ref="R189:R189"/>
    <mergeCell ref="S189:S189"/>
    <mergeCell ref="T189:T189"/>
    <mergeCell ref="U189:U189"/>
    <mergeCell ref="V189:V189"/>
    <mergeCell ref="W189:W189"/>
    <mergeCell ref="X189:X189"/>
    <mergeCell ref="Y189:Y189"/>
    <mergeCell ref="Z189:Z189"/>
    <mergeCell ref="A190:A190"/>
    <mergeCell ref="B190:B190"/>
    <mergeCell ref="C190:C190"/>
    <mergeCell ref="D190:D190"/>
    <mergeCell ref="E190:E190"/>
    <mergeCell ref="F190:F190"/>
    <mergeCell ref="G190:G190"/>
    <mergeCell ref="H190:H190"/>
    <mergeCell ref="I190:I190"/>
    <mergeCell ref="J190:J190"/>
    <mergeCell ref="K190:K190"/>
    <mergeCell ref="L190:L190"/>
    <mergeCell ref="M190:M190"/>
    <mergeCell ref="N190:N190"/>
    <mergeCell ref="O190:O190"/>
    <mergeCell ref="P190:P190"/>
    <mergeCell ref="Q190:Q190"/>
    <mergeCell ref="R190:R190"/>
    <mergeCell ref="S190:S190"/>
    <mergeCell ref="T190:T190"/>
    <mergeCell ref="U190:U190"/>
    <mergeCell ref="V190:V190"/>
    <mergeCell ref="W190:W190"/>
    <mergeCell ref="X190:X190"/>
    <mergeCell ref="Y190:Y190"/>
    <mergeCell ref="Z190:Z190"/>
    <mergeCell ref="A191:A191"/>
    <mergeCell ref="B191:B191"/>
    <mergeCell ref="C191:C191"/>
    <mergeCell ref="D191:D191"/>
    <mergeCell ref="E191:E191"/>
    <mergeCell ref="F191:F191"/>
    <mergeCell ref="G191:G191"/>
    <mergeCell ref="H191:H191"/>
    <mergeCell ref="I191:I191"/>
    <mergeCell ref="J191:J191"/>
    <mergeCell ref="K191:K191"/>
    <mergeCell ref="L191:L191"/>
    <mergeCell ref="M191:M191"/>
    <mergeCell ref="N191:N191"/>
    <mergeCell ref="O191:O191"/>
    <mergeCell ref="P191:P191"/>
    <mergeCell ref="Q191:Q191"/>
    <mergeCell ref="R191:R191"/>
    <mergeCell ref="S191:S191"/>
    <mergeCell ref="T191:T191"/>
    <mergeCell ref="U191:U191"/>
    <mergeCell ref="V191:V191"/>
    <mergeCell ref="W191:W191"/>
    <mergeCell ref="X191:X191"/>
    <mergeCell ref="Y191:Y191"/>
    <mergeCell ref="Z191:Z191"/>
    <mergeCell ref="A192:A192"/>
    <mergeCell ref="B192:B192"/>
    <mergeCell ref="C192:C192"/>
    <mergeCell ref="D192:D192"/>
    <mergeCell ref="E192:E192"/>
    <mergeCell ref="F192:F192"/>
    <mergeCell ref="G192:G192"/>
    <mergeCell ref="H192:H192"/>
    <mergeCell ref="I192:I192"/>
    <mergeCell ref="J192:J192"/>
    <mergeCell ref="K192:K192"/>
    <mergeCell ref="L192:L192"/>
    <mergeCell ref="M192:M192"/>
    <mergeCell ref="N192:N192"/>
    <mergeCell ref="O192:O192"/>
    <mergeCell ref="P192:P192"/>
    <mergeCell ref="Q192:Q192"/>
    <mergeCell ref="R192:R192"/>
    <mergeCell ref="S192:S192"/>
    <mergeCell ref="T192:T192"/>
    <mergeCell ref="U192:U192"/>
    <mergeCell ref="V192:V192"/>
    <mergeCell ref="W192:W192"/>
    <mergeCell ref="X192:X192"/>
    <mergeCell ref="Y192:Y192"/>
    <mergeCell ref="Z192:Z192"/>
    <mergeCell ref="A193:A193"/>
    <mergeCell ref="B193:B193"/>
    <mergeCell ref="C193:C193"/>
    <mergeCell ref="D193:D193"/>
    <mergeCell ref="E193:E193"/>
    <mergeCell ref="F193:F193"/>
    <mergeCell ref="G193:G193"/>
    <mergeCell ref="H193:H193"/>
    <mergeCell ref="I193:I193"/>
    <mergeCell ref="J193:J193"/>
    <mergeCell ref="K193:K193"/>
    <mergeCell ref="L193:L193"/>
    <mergeCell ref="M193:M193"/>
    <mergeCell ref="N193:N193"/>
    <mergeCell ref="O193:O193"/>
    <mergeCell ref="P193:P193"/>
    <mergeCell ref="Q193:Q193"/>
    <mergeCell ref="R193:R193"/>
    <mergeCell ref="S193:S193"/>
    <mergeCell ref="T193:T193"/>
    <mergeCell ref="U193:U193"/>
    <mergeCell ref="V193:V193"/>
    <mergeCell ref="W193:W193"/>
    <mergeCell ref="X193:X193"/>
    <mergeCell ref="Y193:Y193"/>
    <mergeCell ref="Z193:Z193"/>
    <mergeCell ref="A194:A194"/>
    <mergeCell ref="B194:B194"/>
    <mergeCell ref="C194:C194"/>
    <mergeCell ref="D194:D194"/>
    <mergeCell ref="E194:E194"/>
    <mergeCell ref="F194:F194"/>
    <mergeCell ref="G194:G194"/>
    <mergeCell ref="H194:H194"/>
    <mergeCell ref="I194:I194"/>
    <mergeCell ref="J194:J194"/>
    <mergeCell ref="K194:K194"/>
    <mergeCell ref="L194:L194"/>
    <mergeCell ref="M194:M194"/>
    <mergeCell ref="N194:N194"/>
    <mergeCell ref="O194:O194"/>
    <mergeCell ref="P194:P194"/>
    <mergeCell ref="Q194:Q194"/>
    <mergeCell ref="R194:R194"/>
    <mergeCell ref="S194:S194"/>
    <mergeCell ref="T194:T194"/>
    <mergeCell ref="U194:U194"/>
    <mergeCell ref="V194:V194"/>
    <mergeCell ref="W194:W194"/>
    <mergeCell ref="X194:X194"/>
    <mergeCell ref="Y194:Y194"/>
    <mergeCell ref="Z194:Z194"/>
    <mergeCell ref="A195:A195"/>
    <mergeCell ref="B195:B195"/>
    <mergeCell ref="C195:C195"/>
    <mergeCell ref="D195:D195"/>
    <mergeCell ref="E195:E195"/>
    <mergeCell ref="F195:F195"/>
    <mergeCell ref="G195:G195"/>
    <mergeCell ref="H195:H195"/>
    <mergeCell ref="I195:I195"/>
    <mergeCell ref="J195:J195"/>
    <mergeCell ref="K195:K195"/>
    <mergeCell ref="L195:L195"/>
    <mergeCell ref="M195:M195"/>
    <mergeCell ref="N195:N195"/>
    <mergeCell ref="O195:O195"/>
    <mergeCell ref="P195:P195"/>
    <mergeCell ref="Q195:Q195"/>
    <mergeCell ref="R195:R195"/>
    <mergeCell ref="S195:S195"/>
    <mergeCell ref="T195:T195"/>
    <mergeCell ref="U195:U195"/>
    <mergeCell ref="V195:V195"/>
    <mergeCell ref="W195:W195"/>
    <mergeCell ref="X195:X195"/>
    <mergeCell ref="Y195:Y195"/>
    <mergeCell ref="Z195:Z195"/>
    <mergeCell ref="A196:A196"/>
    <mergeCell ref="B196:B196"/>
    <mergeCell ref="C196:C196"/>
    <mergeCell ref="D196:D196"/>
    <mergeCell ref="E196:E196"/>
    <mergeCell ref="F196:F196"/>
    <mergeCell ref="G196:G196"/>
    <mergeCell ref="H196:H196"/>
    <mergeCell ref="I196:I196"/>
    <mergeCell ref="J196:J196"/>
    <mergeCell ref="K196:K196"/>
    <mergeCell ref="L196:L196"/>
    <mergeCell ref="M196:M196"/>
    <mergeCell ref="N196:N196"/>
    <mergeCell ref="O196:O196"/>
    <mergeCell ref="P196:P196"/>
    <mergeCell ref="Q196:Q196"/>
    <mergeCell ref="R196:R196"/>
    <mergeCell ref="S196:S196"/>
    <mergeCell ref="T196:T196"/>
    <mergeCell ref="U196:U196"/>
    <mergeCell ref="V196:V196"/>
    <mergeCell ref="W196:W196"/>
    <mergeCell ref="X196:X196"/>
    <mergeCell ref="Y196:Y196"/>
    <mergeCell ref="Z196:Z196"/>
    <mergeCell ref="A197:A197"/>
    <mergeCell ref="B197:B197"/>
    <mergeCell ref="C197:C197"/>
    <mergeCell ref="D197:D197"/>
    <mergeCell ref="E197:E197"/>
    <mergeCell ref="F197:F197"/>
    <mergeCell ref="G197:G197"/>
    <mergeCell ref="H197:H197"/>
    <mergeCell ref="I197:I197"/>
    <mergeCell ref="J197:J197"/>
    <mergeCell ref="K197:K197"/>
    <mergeCell ref="L197:L197"/>
    <mergeCell ref="M197:M197"/>
    <mergeCell ref="N197:N197"/>
    <mergeCell ref="O197:O197"/>
    <mergeCell ref="P197:P197"/>
    <mergeCell ref="Q197:Q197"/>
    <mergeCell ref="R197:R197"/>
    <mergeCell ref="S197:S197"/>
    <mergeCell ref="T197:T197"/>
    <mergeCell ref="U197:U197"/>
    <mergeCell ref="V197:V197"/>
    <mergeCell ref="W197:W197"/>
    <mergeCell ref="X197:X197"/>
    <mergeCell ref="Y197:Y197"/>
    <mergeCell ref="Z197:Z197"/>
    <mergeCell ref="A198:A198"/>
    <mergeCell ref="B198:B198"/>
    <mergeCell ref="C198:C198"/>
    <mergeCell ref="D198:D198"/>
    <mergeCell ref="E198:E198"/>
    <mergeCell ref="F198:F198"/>
    <mergeCell ref="G198:G198"/>
    <mergeCell ref="H198:H198"/>
    <mergeCell ref="I198:I198"/>
    <mergeCell ref="J198:J198"/>
    <mergeCell ref="K198:K198"/>
    <mergeCell ref="L198:L198"/>
    <mergeCell ref="M198:M198"/>
    <mergeCell ref="N198:N198"/>
    <mergeCell ref="O198:O198"/>
    <mergeCell ref="P198:P198"/>
    <mergeCell ref="Q198:Q198"/>
    <mergeCell ref="R198:R198"/>
    <mergeCell ref="S198:S198"/>
    <mergeCell ref="T198:T198"/>
    <mergeCell ref="U198:U198"/>
    <mergeCell ref="V198:V198"/>
    <mergeCell ref="W198:W198"/>
    <mergeCell ref="X198:X198"/>
    <mergeCell ref="Y198:Y198"/>
    <mergeCell ref="Z198:Z198"/>
    <mergeCell ref="A199:A199"/>
    <mergeCell ref="B199:B199"/>
    <mergeCell ref="C199:C199"/>
    <mergeCell ref="D199:D199"/>
    <mergeCell ref="E199:E199"/>
    <mergeCell ref="F199:F199"/>
    <mergeCell ref="G199:G199"/>
    <mergeCell ref="H199:H199"/>
    <mergeCell ref="I199:I199"/>
    <mergeCell ref="J199:J199"/>
    <mergeCell ref="K199:K199"/>
    <mergeCell ref="L199:L199"/>
    <mergeCell ref="M199:M199"/>
    <mergeCell ref="N199:N199"/>
    <mergeCell ref="O199:O199"/>
    <mergeCell ref="P199:P199"/>
    <mergeCell ref="Q199:Q199"/>
    <mergeCell ref="R199:R199"/>
    <mergeCell ref="S199:S199"/>
    <mergeCell ref="T199:T199"/>
    <mergeCell ref="U199:U199"/>
    <mergeCell ref="V199:V199"/>
    <mergeCell ref="W199:W199"/>
    <mergeCell ref="X199:X199"/>
    <mergeCell ref="Y199:Y199"/>
    <mergeCell ref="Z199:Z199"/>
    <mergeCell ref="A200:A200"/>
    <mergeCell ref="B200:B200"/>
    <mergeCell ref="C200:C200"/>
    <mergeCell ref="D200:D200"/>
    <mergeCell ref="E200:E200"/>
    <mergeCell ref="F200:F200"/>
    <mergeCell ref="G200:G200"/>
    <mergeCell ref="H200:H200"/>
    <mergeCell ref="I200:I200"/>
    <mergeCell ref="J200:J200"/>
    <mergeCell ref="K200:K200"/>
    <mergeCell ref="L200:L200"/>
    <mergeCell ref="M200:M200"/>
    <mergeCell ref="N200:N200"/>
    <mergeCell ref="O200:O200"/>
    <mergeCell ref="P200:P200"/>
    <mergeCell ref="Q200:Q200"/>
    <mergeCell ref="R200:R200"/>
    <mergeCell ref="S200:S200"/>
    <mergeCell ref="T200:T200"/>
    <mergeCell ref="U200:U200"/>
    <mergeCell ref="V200:V200"/>
    <mergeCell ref="W200:W200"/>
    <mergeCell ref="X200:X200"/>
    <mergeCell ref="Y200:Y200"/>
    <mergeCell ref="Z200:Z200"/>
    <mergeCell ref="A201:A201"/>
    <mergeCell ref="B201:B201"/>
    <mergeCell ref="C201:C201"/>
    <mergeCell ref="D201:D201"/>
    <mergeCell ref="E201:E201"/>
    <mergeCell ref="F201:F201"/>
    <mergeCell ref="G201:G201"/>
    <mergeCell ref="H201:H201"/>
    <mergeCell ref="I201:I201"/>
    <mergeCell ref="J201:J201"/>
    <mergeCell ref="K201:K201"/>
    <mergeCell ref="L201:L201"/>
    <mergeCell ref="M201:M201"/>
    <mergeCell ref="N201:N201"/>
    <mergeCell ref="O201:O201"/>
    <mergeCell ref="P201:P201"/>
    <mergeCell ref="Q201:Q201"/>
    <mergeCell ref="R201:R201"/>
    <mergeCell ref="S201:S201"/>
    <mergeCell ref="T201:T201"/>
    <mergeCell ref="U201:U201"/>
    <mergeCell ref="V201:V201"/>
    <mergeCell ref="W201:W201"/>
    <mergeCell ref="X201:X201"/>
    <mergeCell ref="Y201:Y201"/>
    <mergeCell ref="Z201:Z201"/>
    <mergeCell ref="A202:A202"/>
    <mergeCell ref="B202:B202"/>
    <mergeCell ref="C202:C202"/>
    <mergeCell ref="D202:D202"/>
    <mergeCell ref="E202:E202"/>
    <mergeCell ref="F202:F202"/>
    <mergeCell ref="G202:G202"/>
    <mergeCell ref="H202:H202"/>
    <mergeCell ref="I202:I202"/>
    <mergeCell ref="J202:J202"/>
    <mergeCell ref="K202:K202"/>
    <mergeCell ref="L202:L202"/>
    <mergeCell ref="M202:M202"/>
    <mergeCell ref="N202:N202"/>
    <mergeCell ref="O202:O202"/>
    <mergeCell ref="P202:P202"/>
    <mergeCell ref="Q202:Q202"/>
    <mergeCell ref="R202:R202"/>
    <mergeCell ref="S202:S202"/>
    <mergeCell ref="T202:T202"/>
    <mergeCell ref="U202:U202"/>
    <mergeCell ref="V202:V202"/>
    <mergeCell ref="W202:W202"/>
    <mergeCell ref="X202:X202"/>
    <mergeCell ref="Y202:Y202"/>
    <mergeCell ref="Z202:Z202"/>
    <mergeCell ref="A203:A203"/>
    <mergeCell ref="B203:B203"/>
    <mergeCell ref="C203:C203"/>
    <mergeCell ref="D203:D203"/>
    <mergeCell ref="E203:E203"/>
    <mergeCell ref="F203:F203"/>
    <mergeCell ref="G203:G203"/>
    <mergeCell ref="H203:H203"/>
    <mergeCell ref="I203:I203"/>
    <mergeCell ref="J203:J203"/>
    <mergeCell ref="K203:K203"/>
    <mergeCell ref="L203:L203"/>
    <mergeCell ref="M203:M203"/>
    <mergeCell ref="N203:N203"/>
    <mergeCell ref="O203:O203"/>
    <mergeCell ref="P203:P203"/>
    <mergeCell ref="Q203:Q203"/>
    <mergeCell ref="R203:R203"/>
    <mergeCell ref="S203:S203"/>
    <mergeCell ref="T203:T203"/>
    <mergeCell ref="U203:U203"/>
    <mergeCell ref="V203:V203"/>
    <mergeCell ref="W203:W203"/>
    <mergeCell ref="X203:X203"/>
    <mergeCell ref="Y203:Y203"/>
    <mergeCell ref="Z203:Z203"/>
    <mergeCell ref="A204:A204"/>
    <mergeCell ref="B204:B204"/>
    <mergeCell ref="C204:C204"/>
    <mergeCell ref="D204:D204"/>
    <mergeCell ref="E204:E204"/>
    <mergeCell ref="F204:F204"/>
    <mergeCell ref="G204:G204"/>
    <mergeCell ref="H204:H204"/>
    <mergeCell ref="I204:I204"/>
    <mergeCell ref="J204:J204"/>
    <mergeCell ref="K204:K204"/>
    <mergeCell ref="L204:L204"/>
    <mergeCell ref="M204:M204"/>
    <mergeCell ref="N204:N204"/>
    <mergeCell ref="O204:O204"/>
    <mergeCell ref="P204:P204"/>
    <mergeCell ref="Q204:Q204"/>
    <mergeCell ref="R204:R204"/>
    <mergeCell ref="S204:S204"/>
    <mergeCell ref="T204:T204"/>
    <mergeCell ref="U204:U204"/>
    <mergeCell ref="V204:V204"/>
    <mergeCell ref="W204:W204"/>
    <mergeCell ref="X204:X204"/>
    <mergeCell ref="Y204:Y204"/>
    <mergeCell ref="Z204:Z204"/>
    <mergeCell ref="A205:A205"/>
    <mergeCell ref="B205:B205"/>
    <mergeCell ref="C205:C205"/>
    <mergeCell ref="D205:D205"/>
    <mergeCell ref="E205:E205"/>
    <mergeCell ref="F205:F205"/>
    <mergeCell ref="G205:G205"/>
    <mergeCell ref="H205:H205"/>
    <mergeCell ref="I205:I205"/>
    <mergeCell ref="J205:J205"/>
    <mergeCell ref="K205:K205"/>
    <mergeCell ref="L205:L205"/>
    <mergeCell ref="M205:M205"/>
    <mergeCell ref="N205:N205"/>
    <mergeCell ref="O205:O205"/>
    <mergeCell ref="P205:P205"/>
    <mergeCell ref="Q205:Q205"/>
    <mergeCell ref="R205:R205"/>
    <mergeCell ref="S205:S205"/>
    <mergeCell ref="T205:T205"/>
    <mergeCell ref="U205:U205"/>
    <mergeCell ref="V205:V205"/>
    <mergeCell ref="W205:W205"/>
    <mergeCell ref="X205:X205"/>
    <mergeCell ref="Y205:Y205"/>
    <mergeCell ref="Z205:Z205"/>
    <mergeCell ref="A206:A206"/>
    <mergeCell ref="B206:B206"/>
    <mergeCell ref="C206:C206"/>
    <mergeCell ref="D206:D206"/>
    <mergeCell ref="E206:E206"/>
    <mergeCell ref="F206:F206"/>
    <mergeCell ref="G206:G206"/>
    <mergeCell ref="H206:H206"/>
    <mergeCell ref="I206:I206"/>
    <mergeCell ref="J206:J206"/>
    <mergeCell ref="K206:K206"/>
    <mergeCell ref="L206:L206"/>
    <mergeCell ref="M206:M206"/>
    <mergeCell ref="N206:N206"/>
    <mergeCell ref="O206:O206"/>
    <mergeCell ref="P206:P206"/>
    <mergeCell ref="Q206:Q206"/>
    <mergeCell ref="R206:R206"/>
    <mergeCell ref="S206:S206"/>
    <mergeCell ref="T206:T206"/>
    <mergeCell ref="U206:U206"/>
    <mergeCell ref="V206:V206"/>
    <mergeCell ref="W206:W206"/>
    <mergeCell ref="X206:X206"/>
    <mergeCell ref="Y206:Y206"/>
    <mergeCell ref="Z206:Z206"/>
    <mergeCell ref="A207:A207"/>
    <mergeCell ref="B207:B207"/>
    <mergeCell ref="C207:C207"/>
    <mergeCell ref="D207:D207"/>
    <mergeCell ref="E207:E207"/>
    <mergeCell ref="F207:F207"/>
    <mergeCell ref="G207:G207"/>
    <mergeCell ref="H207:H207"/>
    <mergeCell ref="I207:I207"/>
    <mergeCell ref="J207:J207"/>
    <mergeCell ref="K207:K207"/>
    <mergeCell ref="L207:L207"/>
    <mergeCell ref="M207:M207"/>
    <mergeCell ref="N207:N207"/>
    <mergeCell ref="O207:O207"/>
    <mergeCell ref="P207:P207"/>
    <mergeCell ref="Q207:Q207"/>
    <mergeCell ref="R207:R207"/>
    <mergeCell ref="S207:S207"/>
    <mergeCell ref="T207:T207"/>
    <mergeCell ref="U207:U207"/>
    <mergeCell ref="V207:V207"/>
    <mergeCell ref="W207:W207"/>
    <mergeCell ref="X207:X207"/>
    <mergeCell ref="Y207:Y207"/>
    <mergeCell ref="Z207:Z207"/>
    <mergeCell ref="A208:A208"/>
    <mergeCell ref="B208:B208"/>
    <mergeCell ref="C208:C208"/>
    <mergeCell ref="D208:D208"/>
    <mergeCell ref="E208:E208"/>
    <mergeCell ref="F208:F208"/>
    <mergeCell ref="G208:G208"/>
    <mergeCell ref="H208:H208"/>
    <mergeCell ref="I208:I208"/>
    <mergeCell ref="J208:J208"/>
    <mergeCell ref="K208:K208"/>
    <mergeCell ref="L208:L208"/>
    <mergeCell ref="M208:M208"/>
    <mergeCell ref="N208:N208"/>
    <mergeCell ref="O208:O208"/>
    <mergeCell ref="P208:P208"/>
    <mergeCell ref="Q208:Q208"/>
    <mergeCell ref="R208:R208"/>
    <mergeCell ref="S208:S208"/>
    <mergeCell ref="T208:T208"/>
    <mergeCell ref="U208:U208"/>
    <mergeCell ref="V208:V208"/>
    <mergeCell ref="W208:W208"/>
    <mergeCell ref="X208:X208"/>
    <mergeCell ref="Y208:Y208"/>
    <mergeCell ref="Z208:Z208"/>
    <mergeCell ref="A209:A209"/>
    <mergeCell ref="B209:B209"/>
    <mergeCell ref="C209:C209"/>
    <mergeCell ref="D209:D209"/>
    <mergeCell ref="E209:E209"/>
    <mergeCell ref="F209:F209"/>
    <mergeCell ref="G209:G209"/>
    <mergeCell ref="H209:H209"/>
    <mergeCell ref="I209:I209"/>
    <mergeCell ref="J209:J209"/>
    <mergeCell ref="K209:K209"/>
    <mergeCell ref="L209:L209"/>
    <mergeCell ref="M209:M209"/>
    <mergeCell ref="N209:N209"/>
    <mergeCell ref="O209:O209"/>
    <mergeCell ref="P209:P209"/>
    <mergeCell ref="Q209:Q209"/>
    <mergeCell ref="R209:R209"/>
    <mergeCell ref="S209:S209"/>
    <mergeCell ref="T209:T209"/>
    <mergeCell ref="U209:U209"/>
    <mergeCell ref="V209:V209"/>
    <mergeCell ref="W209:W209"/>
    <mergeCell ref="X209:X209"/>
    <mergeCell ref="Y209:Y209"/>
    <mergeCell ref="Z209:Z209"/>
    <mergeCell ref="A210:A210"/>
    <mergeCell ref="B210:B210"/>
    <mergeCell ref="C210:C210"/>
    <mergeCell ref="D210:D210"/>
    <mergeCell ref="E210:E210"/>
    <mergeCell ref="F210:F210"/>
    <mergeCell ref="G210:G210"/>
    <mergeCell ref="H210:H210"/>
    <mergeCell ref="I210:I210"/>
    <mergeCell ref="J210:J210"/>
    <mergeCell ref="K210:K210"/>
    <mergeCell ref="L210:L210"/>
    <mergeCell ref="M210:M210"/>
    <mergeCell ref="N210:N210"/>
    <mergeCell ref="O210:O210"/>
    <mergeCell ref="P210:P210"/>
    <mergeCell ref="Q210:Q210"/>
    <mergeCell ref="R210:R210"/>
    <mergeCell ref="S210:S210"/>
    <mergeCell ref="T210:T210"/>
    <mergeCell ref="U210:U210"/>
    <mergeCell ref="V210:V210"/>
    <mergeCell ref="W210:W210"/>
    <mergeCell ref="X210:X210"/>
    <mergeCell ref="Y210:Y210"/>
    <mergeCell ref="Z210:Z210"/>
    <mergeCell ref="A211:A211"/>
    <mergeCell ref="B211:B211"/>
    <mergeCell ref="C211:C211"/>
    <mergeCell ref="D211:D211"/>
    <mergeCell ref="E211:E211"/>
    <mergeCell ref="F211:F211"/>
    <mergeCell ref="G211:G211"/>
    <mergeCell ref="H211:H211"/>
    <mergeCell ref="I211:I211"/>
    <mergeCell ref="J211:J211"/>
    <mergeCell ref="K211:K211"/>
    <mergeCell ref="L211:L211"/>
    <mergeCell ref="M211:M211"/>
    <mergeCell ref="N211:N211"/>
    <mergeCell ref="O211:O211"/>
    <mergeCell ref="P211:P211"/>
    <mergeCell ref="Q211:Q211"/>
    <mergeCell ref="R211:R211"/>
    <mergeCell ref="S211:S211"/>
    <mergeCell ref="T211:T211"/>
    <mergeCell ref="U211:U211"/>
    <mergeCell ref="V211:V211"/>
    <mergeCell ref="W211:W211"/>
    <mergeCell ref="X211:X211"/>
    <mergeCell ref="Y211:Y211"/>
    <mergeCell ref="Z211:Z211"/>
    <mergeCell ref="A212:A212"/>
    <mergeCell ref="B212:B212"/>
    <mergeCell ref="C212:C212"/>
    <mergeCell ref="D212:D212"/>
    <mergeCell ref="E212:E212"/>
    <mergeCell ref="F212:F212"/>
    <mergeCell ref="G212:G212"/>
    <mergeCell ref="H212:H212"/>
    <mergeCell ref="I212:I212"/>
    <mergeCell ref="J212:J212"/>
    <mergeCell ref="K212:K212"/>
    <mergeCell ref="L212:L212"/>
    <mergeCell ref="M212:M212"/>
    <mergeCell ref="N212:N212"/>
    <mergeCell ref="O212:O212"/>
    <mergeCell ref="P212:P212"/>
    <mergeCell ref="Q212:Q212"/>
    <mergeCell ref="R212:R212"/>
    <mergeCell ref="S212:S212"/>
    <mergeCell ref="T212:T212"/>
    <mergeCell ref="U212:U212"/>
    <mergeCell ref="V212:V212"/>
    <mergeCell ref="W212:W212"/>
    <mergeCell ref="X212:X212"/>
    <mergeCell ref="Y212:Y212"/>
    <mergeCell ref="Z212:Z212"/>
    <mergeCell ref="A213:A213"/>
    <mergeCell ref="B213:B213"/>
    <mergeCell ref="C213:C213"/>
    <mergeCell ref="D213:D213"/>
    <mergeCell ref="E213:E213"/>
    <mergeCell ref="F213:F213"/>
    <mergeCell ref="G213:G213"/>
    <mergeCell ref="H213:H213"/>
    <mergeCell ref="I213:I213"/>
    <mergeCell ref="J213:J213"/>
    <mergeCell ref="K213:K213"/>
    <mergeCell ref="L213:L213"/>
    <mergeCell ref="M213:M213"/>
    <mergeCell ref="N213:N213"/>
    <mergeCell ref="O213:O213"/>
    <mergeCell ref="P213:P213"/>
    <mergeCell ref="Q213:Q213"/>
    <mergeCell ref="R213:R213"/>
    <mergeCell ref="S213:S213"/>
    <mergeCell ref="T213:T213"/>
    <mergeCell ref="U213:U213"/>
    <mergeCell ref="V213:V213"/>
    <mergeCell ref="W213:W213"/>
    <mergeCell ref="X213:X213"/>
    <mergeCell ref="Y213:Y213"/>
    <mergeCell ref="Z213:Z213"/>
    <mergeCell ref="A214:A214"/>
    <mergeCell ref="B214:B214"/>
    <mergeCell ref="C214:C214"/>
    <mergeCell ref="D214:D214"/>
    <mergeCell ref="E214:E214"/>
    <mergeCell ref="F214:F214"/>
    <mergeCell ref="G214:G214"/>
    <mergeCell ref="H214:H214"/>
    <mergeCell ref="I214:I214"/>
    <mergeCell ref="J214:J214"/>
    <mergeCell ref="K214:K214"/>
    <mergeCell ref="L214:L214"/>
    <mergeCell ref="M214:M214"/>
    <mergeCell ref="N214:N214"/>
    <mergeCell ref="O214:O214"/>
    <mergeCell ref="P214:P214"/>
    <mergeCell ref="Q214:Q214"/>
    <mergeCell ref="R214:R214"/>
    <mergeCell ref="S214:S214"/>
    <mergeCell ref="T214:T214"/>
    <mergeCell ref="U214:U214"/>
    <mergeCell ref="V214:V214"/>
    <mergeCell ref="W214:W214"/>
    <mergeCell ref="X214:X214"/>
    <mergeCell ref="Y214:Y214"/>
    <mergeCell ref="Z214:Z214"/>
    <mergeCell ref="A215:A215"/>
    <mergeCell ref="B215:B215"/>
    <mergeCell ref="C215:C215"/>
    <mergeCell ref="D215:D215"/>
    <mergeCell ref="E215:E215"/>
    <mergeCell ref="F215:F215"/>
    <mergeCell ref="G215:G215"/>
    <mergeCell ref="H215:H215"/>
    <mergeCell ref="I215:I215"/>
    <mergeCell ref="J215:J215"/>
    <mergeCell ref="K215:K215"/>
    <mergeCell ref="L215:L215"/>
    <mergeCell ref="M215:M215"/>
    <mergeCell ref="N215:N215"/>
    <mergeCell ref="O215:O215"/>
    <mergeCell ref="P215:P215"/>
    <mergeCell ref="Q215:Q215"/>
    <mergeCell ref="R215:R215"/>
    <mergeCell ref="S215:S215"/>
    <mergeCell ref="T215:T215"/>
    <mergeCell ref="U215:U215"/>
    <mergeCell ref="V215:V215"/>
    <mergeCell ref="W215:W215"/>
    <mergeCell ref="X215:X215"/>
    <mergeCell ref="Y215:Y215"/>
    <mergeCell ref="Z215:Z215"/>
    <mergeCell ref="A216:A216"/>
    <mergeCell ref="B216:B216"/>
    <mergeCell ref="C216:C216"/>
    <mergeCell ref="D216:D216"/>
    <mergeCell ref="E216:E216"/>
    <mergeCell ref="F216:F216"/>
    <mergeCell ref="G216:G216"/>
    <mergeCell ref="H216:H216"/>
    <mergeCell ref="I216:I216"/>
    <mergeCell ref="J216:J216"/>
    <mergeCell ref="K216:K216"/>
    <mergeCell ref="L216:L216"/>
    <mergeCell ref="M216:M216"/>
    <mergeCell ref="N216:N216"/>
    <mergeCell ref="O216:O216"/>
    <mergeCell ref="P216:P216"/>
    <mergeCell ref="Q216:Q216"/>
    <mergeCell ref="R216:R216"/>
    <mergeCell ref="S216:S216"/>
    <mergeCell ref="T216:T216"/>
    <mergeCell ref="U216:U216"/>
    <mergeCell ref="V216:V216"/>
    <mergeCell ref="W216:W216"/>
    <mergeCell ref="X216:X216"/>
    <mergeCell ref="Y216:Y216"/>
    <mergeCell ref="Z216:Z216"/>
    <mergeCell ref="A217:A217"/>
    <mergeCell ref="B217:B217"/>
    <mergeCell ref="C217:C217"/>
    <mergeCell ref="D217:D217"/>
    <mergeCell ref="E217:E217"/>
    <mergeCell ref="F217:F217"/>
    <mergeCell ref="G217:G217"/>
    <mergeCell ref="H217:H217"/>
    <mergeCell ref="I217:I217"/>
    <mergeCell ref="J217:J217"/>
    <mergeCell ref="K217:K217"/>
    <mergeCell ref="L217:L217"/>
    <mergeCell ref="M217:M217"/>
    <mergeCell ref="N217:N217"/>
    <mergeCell ref="O217:O217"/>
    <mergeCell ref="P217:P217"/>
    <mergeCell ref="Q217:Q217"/>
    <mergeCell ref="R217:R217"/>
    <mergeCell ref="S217:S217"/>
    <mergeCell ref="T217:T217"/>
    <mergeCell ref="U217:U217"/>
    <mergeCell ref="V217:V217"/>
    <mergeCell ref="W217:W217"/>
    <mergeCell ref="X217:X217"/>
    <mergeCell ref="Y217:Y217"/>
    <mergeCell ref="Z217:Z217"/>
    <mergeCell ref="A218:A218"/>
    <mergeCell ref="B218:B218"/>
    <mergeCell ref="C218:C218"/>
    <mergeCell ref="D218:D218"/>
    <mergeCell ref="E218:E218"/>
    <mergeCell ref="F218:F218"/>
    <mergeCell ref="G218:G218"/>
    <mergeCell ref="H218:H218"/>
    <mergeCell ref="I218:I218"/>
    <mergeCell ref="J218:J218"/>
    <mergeCell ref="K218:K218"/>
    <mergeCell ref="L218:L218"/>
    <mergeCell ref="M218:M218"/>
    <mergeCell ref="N218:N218"/>
    <mergeCell ref="O218:O218"/>
    <mergeCell ref="P218:P218"/>
    <mergeCell ref="Q218:Q218"/>
    <mergeCell ref="R218:R218"/>
    <mergeCell ref="S218:S218"/>
    <mergeCell ref="T218:T218"/>
    <mergeCell ref="U218:U218"/>
    <mergeCell ref="V218:V218"/>
    <mergeCell ref="W218:W218"/>
    <mergeCell ref="X218:X218"/>
    <mergeCell ref="Y218:Y218"/>
    <mergeCell ref="Z218:Z218"/>
    <mergeCell ref="A219:A219"/>
    <mergeCell ref="B219:B219"/>
    <mergeCell ref="C219:C219"/>
    <mergeCell ref="D219:D219"/>
    <mergeCell ref="E219:E219"/>
    <mergeCell ref="F219:F219"/>
    <mergeCell ref="G219:G219"/>
    <mergeCell ref="H219:H219"/>
    <mergeCell ref="I219:I219"/>
    <mergeCell ref="J219:J219"/>
    <mergeCell ref="K219:K219"/>
    <mergeCell ref="L219:L219"/>
    <mergeCell ref="M219:M219"/>
    <mergeCell ref="N219:N219"/>
    <mergeCell ref="O219:O219"/>
    <mergeCell ref="P219:P219"/>
    <mergeCell ref="Q219:Q219"/>
    <mergeCell ref="R219:R219"/>
    <mergeCell ref="S219:S219"/>
    <mergeCell ref="T219:T219"/>
    <mergeCell ref="U219:U219"/>
    <mergeCell ref="V219:V219"/>
    <mergeCell ref="W219:W219"/>
    <mergeCell ref="X219:X219"/>
    <mergeCell ref="Y219:Y219"/>
    <mergeCell ref="Z219:Z219"/>
    <mergeCell ref="A220:A220"/>
    <mergeCell ref="B220:B220"/>
    <mergeCell ref="C220:C220"/>
    <mergeCell ref="D220:D220"/>
    <mergeCell ref="E220:E220"/>
    <mergeCell ref="F220:F220"/>
    <mergeCell ref="G220:G220"/>
    <mergeCell ref="H220:H220"/>
    <mergeCell ref="I220:I220"/>
    <mergeCell ref="J220:J220"/>
    <mergeCell ref="K220:K220"/>
    <mergeCell ref="L220:L220"/>
    <mergeCell ref="M220:M220"/>
    <mergeCell ref="N220:N220"/>
    <mergeCell ref="O220:O220"/>
    <mergeCell ref="P220:P220"/>
    <mergeCell ref="Q220:Q220"/>
    <mergeCell ref="R220:R220"/>
    <mergeCell ref="S220:S220"/>
    <mergeCell ref="T220:T220"/>
    <mergeCell ref="U220:U220"/>
    <mergeCell ref="V220:V220"/>
    <mergeCell ref="W220:W220"/>
    <mergeCell ref="X220:X220"/>
    <mergeCell ref="Y220:Y220"/>
    <mergeCell ref="Z220:Z220"/>
    <mergeCell ref="A221:A221"/>
    <mergeCell ref="B221:B221"/>
    <mergeCell ref="C221:C221"/>
    <mergeCell ref="D221:D221"/>
    <mergeCell ref="E221:E221"/>
    <mergeCell ref="F221:F221"/>
    <mergeCell ref="G221:G221"/>
    <mergeCell ref="H221:H221"/>
    <mergeCell ref="I221:I221"/>
    <mergeCell ref="J221:J221"/>
    <mergeCell ref="K221:K221"/>
    <mergeCell ref="L221:L221"/>
    <mergeCell ref="M221:M221"/>
    <mergeCell ref="N221:N221"/>
    <mergeCell ref="O221:O221"/>
    <mergeCell ref="P221:P221"/>
    <mergeCell ref="Q221:Q221"/>
    <mergeCell ref="R221:R221"/>
    <mergeCell ref="S221:S221"/>
    <mergeCell ref="T221:T221"/>
    <mergeCell ref="U221:U221"/>
    <mergeCell ref="V221:V221"/>
    <mergeCell ref="W221:W221"/>
    <mergeCell ref="X221:X221"/>
    <mergeCell ref="Y221:Y221"/>
    <mergeCell ref="Z221:Z221"/>
    <mergeCell ref="A222:A222"/>
    <mergeCell ref="B222:B222"/>
    <mergeCell ref="C222:C222"/>
    <mergeCell ref="D222:D222"/>
    <mergeCell ref="E222:E222"/>
    <mergeCell ref="F222:F222"/>
    <mergeCell ref="G222:G222"/>
    <mergeCell ref="H222:H222"/>
    <mergeCell ref="I222:I222"/>
    <mergeCell ref="J222:J222"/>
    <mergeCell ref="K222:K222"/>
    <mergeCell ref="L222:L222"/>
    <mergeCell ref="M222:M222"/>
    <mergeCell ref="N222:N222"/>
    <mergeCell ref="O222:O222"/>
    <mergeCell ref="P222:P222"/>
    <mergeCell ref="Q222:Q222"/>
    <mergeCell ref="R222:R222"/>
    <mergeCell ref="S222:S222"/>
    <mergeCell ref="T222:T222"/>
    <mergeCell ref="U222:U222"/>
    <mergeCell ref="V222:V222"/>
    <mergeCell ref="W222:W222"/>
    <mergeCell ref="X222:X222"/>
    <mergeCell ref="Y222:Y222"/>
    <mergeCell ref="Z222:Z222"/>
    <mergeCell ref="A223:A223"/>
    <mergeCell ref="B223:B223"/>
    <mergeCell ref="C223:C223"/>
    <mergeCell ref="D223:D223"/>
    <mergeCell ref="E223:E223"/>
    <mergeCell ref="F223:F223"/>
    <mergeCell ref="G223:G223"/>
    <mergeCell ref="H223:H223"/>
    <mergeCell ref="I223:I223"/>
    <mergeCell ref="J223:J223"/>
    <mergeCell ref="K223:K223"/>
    <mergeCell ref="L223:L223"/>
    <mergeCell ref="M223:M223"/>
    <mergeCell ref="N223:N223"/>
    <mergeCell ref="O223:O223"/>
    <mergeCell ref="P223:P223"/>
    <mergeCell ref="Q223:Q223"/>
    <mergeCell ref="R223:R223"/>
    <mergeCell ref="S223:S223"/>
    <mergeCell ref="T223:T223"/>
    <mergeCell ref="U223:U223"/>
    <mergeCell ref="V223:V223"/>
    <mergeCell ref="W223:W223"/>
    <mergeCell ref="X223:X223"/>
    <mergeCell ref="Y223:Y223"/>
    <mergeCell ref="Z223:Z223"/>
    <mergeCell ref="A224:A224"/>
    <mergeCell ref="B224:B224"/>
    <mergeCell ref="C224:C224"/>
    <mergeCell ref="D224:D224"/>
    <mergeCell ref="E224:E224"/>
    <mergeCell ref="F224:F224"/>
    <mergeCell ref="G224:G224"/>
    <mergeCell ref="H224:H224"/>
    <mergeCell ref="I224:I224"/>
    <mergeCell ref="J224:J224"/>
    <mergeCell ref="K224:K224"/>
    <mergeCell ref="L224:L224"/>
    <mergeCell ref="M224:M224"/>
    <mergeCell ref="N224:N224"/>
    <mergeCell ref="O224:O224"/>
    <mergeCell ref="P224:P224"/>
    <mergeCell ref="Q224:Q224"/>
    <mergeCell ref="R224:R224"/>
    <mergeCell ref="S224:S224"/>
    <mergeCell ref="T224:T224"/>
    <mergeCell ref="U224:U224"/>
    <mergeCell ref="V224:V224"/>
    <mergeCell ref="W224:W224"/>
    <mergeCell ref="X224:X224"/>
    <mergeCell ref="Y224:Y224"/>
    <mergeCell ref="Z224:Z224"/>
    <mergeCell ref="A225:A225"/>
    <mergeCell ref="B225:B225"/>
    <mergeCell ref="C225:C225"/>
    <mergeCell ref="D225:D225"/>
    <mergeCell ref="E225:E225"/>
    <mergeCell ref="F225:F225"/>
    <mergeCell ref="G225:G225"/>
    <mergeCell ref="H225:H225"/>
    <mergeCell ref="I225:I225"/>
    <mergeCell ref="J225:J225"/>
    <mergeCell ref="K225:K225"/>
    <mergeCell ref="L225:L225"/>
    <mergeCell ref="M225:M225"/>
    <mergeCell ref="N225:N225"/>
    <mergeCell ref="O225:O225"/>
    <mergeCell ref="P225:P225"/>
    <mergeCell ref="Q225:Q225"/>
    <mergeCell ref="R225:R225"/>
    <mergeCell ref="S225:S225"/>
    <mergeCell ref="T225:T225"/>
    <mergeCell ref="U225:U225"/>
    <mergeCell ref="V225:V225"/>
    <mergeCell ref="W225:W225"/>
    <mergeCell ref="X225:X225"/>
    <mergeCell ref="Y225:Y225"/>
    <mergeCell ref="Z225:Z225"/>
    <mergeCell ref="A226:A226"/>
    <mergeCell ref="B226:B226"/>
    <mergeCell ref="C226:C226"/>
    <mergeCell ref="D226:D226"/>
    <mergeCell ref="E226:E226"/>
    <mergeCell ref="F226:F226"/>
    <mergeCell ref="G226:G226"/>
    <mergeCell ref="H226:H226"/>
    <mergeCell ref="I226:I226"/>
    <mergeCell ref="J226:J226"/>
    <mergeCell ref="K226:K226"/>
    <mergeCell ref="L226:L226"/>
    <mergeCell ref="M226:M226"/>
    <mergeCell ref="N226:N226"/>
    <mergeCell ref="O226:O226"/>
    <mergeCell ref="P226:P226"/>
    <mergeCell ref="Q226:Q226"/>
    <mergeCell ref="R226:R226"/>
    <mergeCell ref="S226:S226"/>
    <mergeCell ref="T226:T226"/>
    <mergeCell ref="U226:U226"/>
    <mergeCell ref="V226:V226"/>
    <mergeCell ref="W226:W226"/>
    <mergeCell ref="X226:X226"/>
    <mergeCell ref="Y226:Y226"/>
    <mergeCell ref="Z226:Z226"/>
    <mergeCell ref="A227:A227"/>
    <mergeCell ref="B227:B227"/>
    <mergeCell ref="C227:C227"/>
    <mergeCell ref="D227:D227"/>
    <mergeCell ref="E227:E227"/>
    <mergeCell ref="F227:F227"/>
    <mergeCell ref="G227:G227"/>
    <mergeCell ref="H227:H227"/>
    <mergeCell ref="I227:I227"/>
    <mergeCell ref="J227:J227"/>
    <mergeCell ref="K227:K227"/>
    <mergeCell ref="L227:L227"/>
    <mergeCell ref="M227:M227"/>
    <mergeCell ref="N227:N227"/>
    <mergeCell ref="O227:O227"/>
    <mergeCell ref="P227:P227"/>
    <mergeCell ref="Q227:Q227"/>
    <mergeCell ref="R227:R227"/>
    <mergeCell ref="S227:S227"/>
    <mergeCell ref="T227:T227"/>
    <mergeCell ref="U227:U227"/>
    <mergeCell ref="V227:V227"/>
    <mergeCell ref="W227:W227"/>
    <mergeCell ref="X227:X227"/>
    <mergeCell ref="Y227:Y227"/>
    <mergeCell ref="Z227:Z227"/>
    <mergeCell ref="A228:A228"/>
    <mergeCell ref="B228:B228"/>
    <mergeCell ref="C228:C228"/>
    <mergeCell ref="D228:D228"/>
    <mergeCell ref="E228:E228"/>
    <mergeCell ref="F228:F228"/>
    <mergeCell ref="G228:G228"/>
    <mergeCell ref="H228:H228"/>
    <mergeCell ref="I228:I228"/>
    <mergeCell ref="J228:J228"/>
    <mergeCell ref="K228:K228"/>
    <mergeCell ref="L228:L228"/>
    <mergeCell ref="M228:M228"/>
    <mergeCell ref="N228:N228"/>
    <mergeCell ref="O228:O228"/>
    <mergeCell ref="P228:P228"/>
    <mergeCell ref="Q228:Q228"/>
    <mergeCell ref="R228:R228"/>
    <mergeCell ref="S228:S228"/>
    <mergeCell ref="T228:T228"/>
    <mergeCell ref="U228:U228"/>
    <mergeCell ref="V228:V228"/>
    <mergeCell ref="W228:W228"/>
    <mergeCell ref="X228:X228"/>
    <mergeCell ref="Y228:Y228"/>
    <mergeCell ref="Z228:Z228"/>
    <mergeCell ref="A229:A229"/>
    <mergeCell ref="B229:B229"/>
    <mergeCell ref="C229:C229"/>
    <mergeCell ref="D229:D229"/>
    <mergeCell ref="E229:E229"/>
    <mergeCell ref="F229:F229"/>
    <mergeCell ref="G229:G229"/>
    <mergeCell ref="H229:H229"/>
    <mergeCell ref="I229:I229"/>
    <mergeCell ref="J229:J229"/>
    <mergeCell ref="K229:K229"/>
    <mergeCell ref="L229:L229"/>
    <mergeCell ref="M229:M229"/>
    <mergeCell ref="N229:N229"/>
    <mergeCell ref="O229:O229"/>
    <mergeCell ref="P229:P229"/>
    <mergeCell ref="Q229:Q229"/>
    <mergeCell ref="R229:R229"/>
    <mergeCell ref="S229:S229"/>
    <mergeCell ref="T229:T229"/>
    <mergeCell ref="U229:U229"/>
    <mergeCell ref="V229:V229"/>
    <mergeCell ref="W229:W229"/>
    <mergeCell ref="X229:X229"/>
    <mergeCell ref="Y229:Y229"/>
    <mergeCell ref="Z229:Z229"/>
    <mergeCell ref="A230:A230"/>
    <mergeCell ref="B230:B230"/>
    <mergeCell ref="C230:C230"/>
    <mergeCell ref="D230:D230"/>
    <mergeCell ref="E230:E230"/>
    <mergeCell ref="F230:F230"/>
    <mergeCell ref="G230:G230"/>
    <mergeCell ref="H230:H230"/>
    <mergeCell ref="I230:I230"/>
    <mergeCell ref="J230:J230"/>
    <mergeCell ref="K230:K230"/>
    <mergeCell ref="L230:L230"/>
    <mergeCell ref="M230:M230"/>
    <mergeCell ref="N230:N230"/>
    <mergeCell ref="O230:O230"/>
    <mergeCell ref="P230:P230"/>
    <mergeCell ref="Q230:Q230"/>
    <mergeCell ref="R230:R230"/>
    <mergeCell ref="S230:S230"/>
    <mergeCell ref="T230:T230"/>
    <mergeCell ref="U230:U230"/>
    <mergeCell ref="V230:V230"/>
    <mergeCell ref="W230:W230"/>
    <mergeCell ref="X230:X230"/>
    <mergeCell ref="Y230:Y230"/>
    <mergeCell ref="Z230:Z230"/>
    <mergeCell ref="A231:A231"/>
    <mergeCell ref="B231:B231"/>
    <mergeCell ref="C231:C231"/>
    <mergeCell ref="D231:D231"/>
    <mergeCell ref="E231:E231"/>
    <mergeCell ref="F231:F231"/>
    <mergeCell ref="G231:G231"/>
    <mergeCell ref="H231:H231"/>
    <mergeCell ref="I231:I231"/>
    <mergeCell ref="J231:J231"/>
    <mergeCell ref="K231:K231"/>
    <mergeCell ref="L231:L231"/>
    <mergeCell ref="M231:M231"/>
    <mergeCell ref="N231:N231"/>
    <mergeCell ref="O231:O231"/>
    <mergeCell ref="P231:P231"/>
    <mergeCell ref="Q231:Q231"/>
    <mergeCell ref="R231:R231"/>
    <mergeCell ref="S231:S231"/>
    <mergeCell ref="T231:T231"/>
    <mergeCell ref="U231:U231"/>
    <mergeCell ref="V231:V231"/>
    <mergeCell ref="W231:W231"/>
    <mergeCell ref="X231:X231"/>
    <mergeCell ref="Y231:Y231"/>
    <mergeCell ref="Z231:Z231"/>
    <mergeCell ref="A232:A232"/>
    <mergeCell ref="B232:B232"/>
    <mergeCell ref="C232:C232"/>
    <mergeCell ref="D232:D232"/>
    <mergeCell ref="E232:E232"/>
    <mergeCell ref="F232:F232"/>
    <mergeCell ref="G232:G232"/>
    <mergeCell ref="H232:H232"/>
    <mergeCell ref="I232:I232"/>
    <mergeCell ref="J232:J232"/>
    <mergeCell ref="K232:K232"/>
    <mergeCell ref="L232:L232"/>
    <mergeCell ref="M232:M232"/>
    <mergeCell ref="N232:N232"/>
    <mergeCell ref="O232:O232"/>
    <mergeCell ref="P232:P232"/>
    <mergeCell ref="Q232:Q232"/>
    <mergeCell ref="R232:R232"/>
    <mergeCell ref="S232:S232"/>
    <mergeCell ref="T232:T232"/>
    <mergeCell ref="U232:U232"/>
    <mergeCell ref="V232:V232"/>
    <mergeCell ref="W232:W232"/>
    <mergeCell ref="X232:X232"/>
    <mergeCell ref="Y232:Y232"/>
    <mergeCell ref="Z232:Z232"/>
    <mergeCell ref="A233:A233"/>
    <mergeCell ref="B233:B233"/>
    <mergeCell ref="C233:C233"/>
    <mergeCell ref="D233:D233"/>
    <mergeCell ref="E233:E233"/>
    <mergeCell ref="F233:F233"/>
    <mergeCell ref="G233:G233"/>
    <mergeCell ref="H233:H233"/>
    <mergeCell ref="I233:I233"/>
    <mergeCell ref="J233:J233"/>
    <mergeCell ref="K233:K233"/>
    <mergeCell ref="L233:L233"/>
    <mergeCell ref="M233:M233"/>
    <mergeCell ref="N233:N233"/>
    <mergeCell ref="O233:O233"/>
    <mergeCell ref="P233:P233"/>
    <mergeCell ref="Q233:Q233"/>
    <mergeCell ref="R233:R233"/>
    <mergeCell ref="S233:S233"/>
    <mergeCell ref="T233:T233"/>
    <mergeCell ref="U233:U233"/>
    <mergeCell ref="V233:V233"/>
    <mergeCell ref="W233:W233"/>
    <mergeCell ref="X233:X233"/>
    <mergeCell ref="Y233:Y233"/>
    <mergeCell ref="Z233:Z233"/>
    <mergeCell ref="A234:A234"/>
    <mergeCell ref="B234:B234"/>
    <mergeCell ref="C234:C234"/>
    <mergeCell ref="D234:D234"/>
    <mergeCell ref="E234:E234"/>
    <mergeCell ref="F234:F234"/>
    <mergeCell ref="G234:G234"/>
    <mergeCell ref="H234:H234"/>
    <mergeCell ref="I234:I234"/>
    <mergeCell ref="J234:J234"/>
    <mergeCell ref="K234:K234"/>
    <mergeCell ref="L234:L234"/>
    <mergeCell ref="M234:M234"/>
    <mergeCell ref="N234:N234"/>
    <mergeCell ref="O234:O234"/>
    <mergeCell ref="P234:P234"/>
    <mergeCell ref="Q234:Q234"/>
    <mergeCell ref="R234:R234"/>
    <mergeCell ref="S234:S234"/>
    <mergeCell ref="T234:T234"/>
    <mergeCell ref="U234:U234"/>
    <mergeCell ref="V234:V234"/>
    <mergeCell ref="W234:W234"/>
    <mergeCell ref="X234:X234"/>
    <mergeCell ref="Y234:Y234"/>
    <mergeCell ref="Z234:Z234"/>
    <mergeCell ref="A235:A235"/>
    <mergeCell ref="B235:B235"/>
    <mergeCell ref="C235:C235"/>
    <mergeCell ref="D235:D235"/>
    <mergeCell ref="E235:E235"/>
    <mergeCell ref="F235:F235"/>
    <mergeCell ref="G235:G235"/>
    <mergeCell ref="H235:H235"/>
    <mergeCell ref="I235:I235"/>
    <mergeCell ref="J235:J235"/>
    <mergeCell ref="K235:K235"/>
    <mergeCell ref="L235:L235"/>
    <mergeCell ref="M235:M235"/>
    <mergeCell ref="N235:N235"/>
    <mergeCell ref="O235:O235"/>
    <mergeCell ref="P235:P235"/>
    <mergeCell ref="Q235:Q235"/>
    <mergeCell ref="R235:R235"/>
    <mergeCell ref="S235:S235"/>
    <mergeCell ref="T235:T235"/>
    <mergeCell ref="U235:U235"/>
    <mergeCell ref="V235:V235"/>
    <mergeCell ref="W235:W235"/>
    <mergeCell ref="X235:X235"/>
    <mergeCell ref="Y235:Y235"/>
    <mergeCell ref="Z235:Z235"/>
    <mergeCell ref="A236:A236"/>
    <mergeCell ref="B236:B236"/>
    <mergeCell ref="C236:C236"/>
    <mergeCell ref="D236:D236"/>
    <mergeCell ref="E236:E236"/>
    <mergeCell ref="F236:F236"/>
    <mergeCell ref="G236:G236"/>
    <mergeCell ref="H236:H236"/>
    <mergeCell ref="I236:I236"/>
    <mergeCell ref="J236:J236"/>
    <mergeCell ref="K236:K236"/>
    <mergeCell ref="L236:L236"/>
    <mergeCell ref="M236:M236"/>
    <mergeCell ref="N236:N236"/>
    <mergeCell ref="O236:O236"/>
    <mergeCell ref="P236:P236"/>
    <mergeCell ref="Q236:Q236"/>
    <mergeCell ref="R236:R236"/>
    <mergeCell ref="S236:S236"/>
    <mergeCell ref="T236:T236"/>
    <mergeCell ref="U236:U236"/>
    <mergeCell ref="V236:V236"/>
    <mergeCell ref="W236:W236"/>
    <mergeCell ref="X236:X236"/>
    <mergeCell ref="Y236:Y236"/>
    <mergeCell ref="Z236:Z236"/>
    <mergeCell ref="A237:A237"/>
    <mergeCell ref="B237:B237"/>
    <mergeCell ref="C237:C237"/>
    <mergeCell ref="D237:D237"/>
    <mergeCell ref="E237:E237"/>
    <mergeCell ref="F237:F237"/>
    <mergeCell ref="G237:G237"/>
    <mergeCell ref="H237:H237"/>
    <mergeCell ref="I237:I237"/>
    <mergeCell ref="J237:J237"/>
    <mergeCell ref="K237:K237"/>
    <mergeCell ref="L237:L237"/>
    <mergeCell ref="M237:M237"/>
    <mergeCell ref="N237:N237"/>
    <mergeCell ref="O237:O237"/>
    <mergeCell ref="P237:P237"/>
    <mergeCell ref="Q237:Q237"/>
    <mergeCell ref="R237:R237"/>
    <mergeCell ref="S237:S237"/>
    <mergeCell ref="T237:T237"/>
    <mergeCell ref="U237:U237"/>
    <mergeCell ref="V237:V237"/>
    <mergeCell ref="W237:W237"/>
    <mergeCell ref="X237:X237"/>
    <mergeCell ref="Y237:Y237"/>
    <mergeCell ref="Z237:Z237"/>
    <mergeCell ref="A238:A238"/>
    <mergeCell ref="B238:B238"/>
    <mergeCell ref="C238:C238"/>
    <mergeCell ref="D238:D238"/>
    <mergeCell ref="E238:E238"/>
    <mergeCell ref="F238:F238"/>
    <mergeCell ref="G238:G238"/>
    <mergeCell ref="H238:H238"/>
    <mergeCell ref="I238:I238"/>
    <mergeCell ref="J238:J238"/>
    <mergeCell ref="K238:K238"/>
    <mergeCell ref="L238:L238"/>
    <mergeCell ref="M238:M238"/>
    <mergeCell ref="N238:N238"/>
    <mergeCell ref="O238:O238"/>
    <mergeCell ref="P238:P238"/>
    <mergeCell ref="Q238:Q238"/>
    <mergeCell ref="R238:R238"/>
    <mergeCell ref="S238:S238"/>
    <mergeCell ref="T238:T238"/>
    <mergeCell ref="U238:U238"/>
    <mergeCell ref="V238:V238"/>
    <mergeCell ref="W238:W238"/>
    <mergeCell ref="X238:X238"/>
    <mergeCell ref="Y238:Y238"/>
    <mergeCell ref="Z238:Z238"/>
    <mergeCell ref="A239:A239"/>
    <mergeCell ref="B239:B239"/>
    <mergeCell ref="C239:C239"/>
    <mergeCell ref="D239:D239"/>
    <mergeCell ref="E239:E239"/>
    <mergeCell ref="F239:F239"/>
    <mergeCell ref="G239:G239"/>
    <mergeCell ref="H239:H239"/>
    <mergeCell ref="I239:I239"/>
    <mergeCell ref="J239:J239"/>
    <mergeCell ref="K239:K239"/>
    <mergeCell ref="L239:L239"/>
    <mergeCell ref="M239:M239"/>
    <mergeCell ref="N239:N239"/>
    <mergeCell ref="O239:O239"/>
    <mergeCell ref="P239:P239"/>
    <mergeCell ref="Q239:Q239"/>
    <mergeCell ref="R239:R239"/>
    <mergeCell ref="S239:S239"/>
    <mergeCell ref="T239:T239"/>
    <mergeCell ref="U239:U239"/>
    <mergeCell ref="V239:V239"/>
    <mergeCell ref="W239:W239"/>
    <mergeCell ref="X239:X239"/>
    <mergeCell ref="Y239:Y239"/>
    <mergeCell ref="Z239:Z239"/>
    <mergeCell ref="A240:A240"/>
    <mergeCell ref="B240:B240"/>
    <mergeCell ref="C240:C240"/>
    <mergeCell ref="D240:D240"/>
    <mergeCell ref="E240:E240"/>
    <mergeCell ref="F240:F240"/>
    <mergeCell ref="G240:G240"/>
    <mergeCell ref="H240:H240"/>
    <mergeCell ref="I240:I240"/>
    <mergeCell ref="J240:J240"/>
    <mergeCell ref="K240:K240"/>
    <mergeCell ref="L240:L240"/>
    <mergeCell ref="M240:M240"/>
    <mergeCell ref="N240:N240"/>
    <mergeCell ref="O240:O240"/>
    <mergeCell ref="P240:P240"/>
    <mergeCell ref="Q240:Q240"/>
    <mergeCell ref="R240:R240"/>
    <mergeCell ref="S240:S240"/>
    <mergeCell ref="T240:T240"/>
    <mergeCell ref="U240:U240"/>
    <mergeCell ref="V240:V240"/>
    <mergeCell ref="W240:W240"/>
    <mergeCell ref="X240:X240"/>
    <mergeCell ref="Y240:Y240"/>
    <mergeCell ref="Z240:Z240"/>
    <mergeCell ref="A241:A241"/>
    <mergeCell ref="B241:B241"/>
    <mergeCell ref="C241:C241"/>
    <mergeCell ref="D241:D241"/>
    <mergeCell ref="E241:E241"/>
    <mergeCell ref="F241:F241"/>
    <mergeCell ref="G241:G241"/>
    <mergeCell ref="H241:H241"/>
    <mergeCell ref="I241:I241"/>
    <mergeCell ref="J241:J241"/>
    <mergeCell ref="K241:K241"/>
    <mergeCell ref="L241:L241"/>
    <mergeCell ref="M241:M241"/>
    <mergeCell ref="N241:N241"/>
    <mergeCell ref="O241:O241"/>
    <mergeCell ref="P241:P241"/>
    <mergeCell ref="Q241:Q241"/>
    <mergeCell ref="R241:R241"/>
    <mergeCell ref="S241:S241"/>
    <mergeCell ref="T241:T241"/>
    <mergeCell ref="U241:U241"/>
    <mergeCell ref="V241:V241"/>
    <mergeCell ref="W241:W241"/>
    <mergeCell ref="X241:X241"/>
    <mergeCell ref="Y241:Y241"/>
    <mergeCell ref="Z241:Z241"/>
    <mergeCell ref="A242:A242"/>
    <mergeCell ref="B242:B242"/>
    <mergeCell ref="C242:C242"/>
    <mergeCell ref="D242:D242"/>
    <mergeCell ref="E242:E242"/>
    <mergeCell ref="F242:F242"/>
    <mergeCell ref="G242:G242"/>
    <mergeCell ref="H242:H242"/>
    <mergeCell ref="I242:I242"/>
    <mergeCell ref="J242:J242"/>
    <mergeCell ref="K242:K242"/>
    <mergeCell ref="L242:L242"/>
    <mergeCell ref="M242:M242"/>
    <mergeCell ref="N242:N242"/>
    <mergeCell ref="O242:O242"/>
    <mergeCell ref="P242:P242"/>
    <mergeCell ref="Q242:Q242"/>
    <mergeCell ref="R242:R242"/>
    <mergeCell ref="S242:S242"/>
    <mergeCell ref="T242:T242"/>
    <mergeCell ref="U242:U242"/>
    <mergeCell ref="V242:V242"/>
    <mergeCell ref="W242:W242"/>
    <mergeCell ref="X242:X242"/>
    <mergeCell ref="Y242:Y242"/>
    <mergeCell ref="Z242:Z242"/>
    <mergeCell ref="A243:A243"/>
    <mergeCell ref="B243:B243"/>
    <mergeCell ref="C243:C243"/>
    <mergeCell ref="D243:D243"/>
    <mergeCell ref="E243:E243"/>
    <mergeCell ref="F243:F243"/>
    <mergeCell ref="G243:G243"/>
    <mergeCell ref="H243:H243"/>
    <mergeCell ref="I243:I243"/>
    <mergeCell ref="J243:J243"/>
    <mergeCell ref="K243:K243"/>
    <mergeCell ref="L243:L243"/>
    <mergeCell ref="M243:M243"/>
    <mergeCell ref="N243:N243"/>
    <mergeCell ref="O243:O243"/>
    <mergeCell ref="P243:P243"/>
    <mergeCell ref="Q243:Q243"/>
    <mergeCell ref="R243:R243"/>
    <mergeCell ref="S243:S243"/>
    <mergeCell ref="T243:T243"/>
    <mergeCell ref="U243:U243"/>
    <mergeCell ref="V243:V243"/>
    <mergeCell ref="W243:W243"/>
    <mergeCell ref="X243:X243"/>
    <mergeCell ref="Y243:Y243"/>
    <mergeCell ref="Z243:Z243"/>
    <mergeCell ref="A244:A244"/>
    <mergeCell ref="B244:B244"/>
    <mergeCell ref="C244:C244"/>
    <mergeCell ref="D244:D244"/>
    <mergeCell ref="E244:E244"/>
    <mergeCell ref="F244:F244"/>
    <mergeCell ref="G244:G244"/>
    <mergeCell ref="H244:H244"/>
    <mergeCell ref="I244:I244"/>
    <mergeCell ref="J244:J244"/>
    <mergeCell ref="K244:K244"/>
    <mergeCell ref="L244:L244"/>
    <mergeCell ref="M244:M244"/>
    <mergeCell ref="N244:N244"/>
    <mergeCell ref="O244:O244"/>
    <mergeCell ref="P244:P244"/>
    <mergeCell ref="Q244:Q244"/>
    <mergeCell ref="R244:R244"/>
    <mergeCell ref="S244:S244"/>
    <mergeCell ref="T244:T244"/>
    <mergeCell ref="U244:U244"/>
    <mergeCell ref="V244:V244"/>
    <mergeCell ref="W244:W244"/>
    <mergeCell ref="X244:X244"/>
    <mergeCell ref="Y244:Y244"/>
    <mergeCell ref="Z244:Z244"/>
    <mergeCell ref="A245:A245"/>
    <mergeCell ref="B245:B245"/>
    <mergeCell ref="C245:C245"/>
    <mergeCell ref="D245:D245"/>
    <mergeCell ref="E245:E245"/>
    <mergeCell ref="F245:F245"/>
    <mergeCell ref="G245:G245"/>
    <mergeCell ref="H245:H245"/>
    <mergeCell ref="I245:I245"/>
    <mergeCell ref="J245:J245"/>
    <mergeCell ref="K245:K245"/>
    <mergeCell ref="L245:L245"/>
    <mergeCell ref="M245:M245"/>
    <mergeCell ref="N245:N245"/>
    <mergeCell ref="O245:O245"/>
    <mergeCell ref="P245:P245"/>
    <mergeCell ref="Q245:Q245"/>
    <mergeCell ref="R245:R245"/>
    <mergeCell ref="S245:S245"/>
    <mergeCell ref="T245:T245"/>
    <mergeCell ref="U245:U245"/>
    <mergeCell ref="V245:V245"/>
    <mergeCell ref="W245:W245"/>
    <mergeCell ref="X245:X245"/>
    <mergeCell ref="Y245:Y245"/>
    <mergeCell ref="Z245:Z245"/>
    <mergeCell ref="A246:A246"/>
    <mergeCell ref="B246:B246"/>
    <mergeCell ref="C246:C246"/>
    <mergeCell ref="D246:D246"/>
    <mergeCell ref="E246:E246"/>
    <mergeCell ref="F246:F246"/>
    <mergeCell ref="G246:G246"/>
    <mergeCell ref="H246:H246"/>
    <mergeCell ref="I246:I246"/>
    <mergeCell ref="J246:J246"/>
    <mergeCell ref="K246:K246"/>
    <mergeCell ref="L246:L246"/>
    <mergeCell ref="M246:M246"/>
    <mergeCell ref="N246:N246"/>
    <mergeCell ref="O246:O246"/>
    <mergeCell ref="P246:P246"/>
    <mergeCell ref="Q246:Q246"/>
    <mergeCell ref="R246:R246"/>
    <mergeCell ref="S246:S246"/>
    <mergeCell ref="T246:T246"/>
    <mergeCell ref="U246:U246"/>
    <mergeCell ref="V246:V246"/>
    <mergeCell ref="W246:W246"/>
    <mergeCell ref="X246:X246"/>
    <mergeCell ref="Y246:Y246"/>
    <mergeCell ref="Z246:Z246"/>
    <mergeCell ref="A247:A247"/>
    <mergeCell ref="B247:B247"/>
    <mergeCell ref="C247:C247"/>
    <mergeCell ref="D247:D247"/>
    <mergeCell ref="E247:E247"/>
    <mergeCell ref="F247:F247"/>
    <mergeCell ref="G247:G247"/>
    <mergeCell ref="H247:H247"/>
    <mergeCell ref="I247:I247"/>
    <mergeCell ref="J247:J247"/>
    <mergeCell ref="K247:K247"/>
    <mergeCell ref="L247:L247"/>
    <mergeCell ref="M247:M247"/>
    <mergeCell ref="N247:N247"/>
    <mergeCell ref="O247:O247"/>
    <mergeCell ref="P247:P247"/>
    <mergeCell ref="Q247:Q247"/>
    <mergeCell ref="R247:R247"/>
    <mergeCell ref="S247:S247"/>
    <mergeCell ref="T247:T247"/>
    <mergeCell ref="U247:U247"/>
    <mergeCell ref="V247:V247"/>
    <mergeCell ref="W247:W247"/>
    <mergeCell ref="X247:X247"/>
    <mergeCell ref="Y247:Y247"/>
    <mergeCell ref="Z247:Z247"/>
    <mergeCell ref="A248:A248"/>
    <mergeCell ref="B248:B248"/>
    <mergeCell ref="C248:C248"/>
    <mergeCell ref="D248:D248"/>
    <mergeCell ref="E248:E248"/>
    <mergeCell ref="F248:F248"/>
    <mergeCell ref="G248:G248"/>
    <mergeCell ref="H248:H248"/>
    <mergeCell ref="I248:I248"/>
    <mergeCell ref="J248:J248"/>
    <mergeCell ref="K248:K248"/>
    <mergeCell ref="L248:L248"/>
    <mergeCell ref="M248:M248"/>
    <mergeCell ref="N248:N248"/>
    <mergeCell ref="O248:O248"/>
    <mergeCell ref="P248:P248"/>
    <mergeCell ref="Q248:Q248"/>
    <mergeCell ref="R248:R248"/>
    <mergeCell ref="S248:S248"/>
    <mergeCell ref="T248:T248"/>
    <mergeCell ref="U248:U248"/>
    <mergeCell ref="V248:V248"/>
    <mergeCell ref="W248:W248"/>
    <mergeCell ref="X248:X248"/>
    <mergeCell ref="Y248:Y248"/>
    <mergeCell ref="Z248:Z248"/>
    <mergeCell ref="A249:A249"/>
    <mergeCell ref="B249:B249"/>
    <mergeCell ref="C249:C249"/>
    <mergeCell ref="D249:D249"/>
    <mergeCell ref="E249:E249"/>
    <mergeCell ref="F249:F249"/>
    <mergeCell ref="G249:G249"/>
    <mergeCell ref="H249:H249"/>
    <mergeCell ref="I249:I249"/>
    <mergeCell ref="J249:J249"/>
    <mergeCell ref="K249:K249"/>
    <mergeCell ref="L249:L249"/>
    <mergeCell ref="M249:M249"/>
    <mergeCell ref="N249:N249"/>
    <mergeCell ref="O249:O249"/>
    <mergeCell ref="P249:P249"/>
    <mergeCell ref="Q249:Q249"/>
    <mergeCell ref="R249:R249"/>
    <mergeCell ref="S249:S249"/>
    <mergeCell ref="T249:T249"/>
    <mergeCell ref="U249:U249"/>
    <mergeCell ref="V249:V249"/>
    <mergeCell ref="W249:W249"/>
    <mergeCell ref="X249:X249"/>
    <mergeCell ref="Y249:Y249"/>
    <mergeCell ref="Z249:Z249"/>
    <mergeCell ref="A250:A250"/>
    <mergeCell ref="B250:B250"/>
    <mergeCell ref="C250:C250"/>
    <mergeCell ref="D250:D250"/>
    <mergeCell ref="E250:E250"/>
    <mergeCell ref="F250:F250"/>
    <mergeCell ref="G250:G250"/>
    <mergeCell ref="H250:H250"/>
    <mergeCell ref="I250:I250"/>
    <mergeCell ref="J250:J250"/>
    <mergeCell ref="K250:K250"/>
    <mergeCell ref="L250:L250"/>
    <mergeCell ref="M250:M250"/>
    <mergeCell ref="N250:N250"/>
    <mergeCell ref="O250:O250"/>
    <mergeCell ref="P250:P250"/>
    <mergeCell ref="Q250:Q250"/>
    <mergeCell ref="R250:R250"/>
    <mergeCell ref="S250:S250"/>
    <mergeCell ref="T250:T250"/>
    <mergeCell ref="U250:U250"/>
    <mergeCell ref="V250:V250"/>
    <mergeCell ref="W250:W250"/>
    <mergeCell ref="X250:X250"/>
    <mergeCell ref="Y250:Y250"/>
    <mergeCell ref="Z250:Z250"/>
    <mergeCell ref="A251:A251"/>
    <mergeCell ref="B251:B251"/>
    <mergeCell ref="C251:C251"/>
    <mergeCell ref="D251:D251"/>
    <mergeCell ref="E251:E251"/>
    <mergeCell ref="F251:F251"/>
    <mergeCell ref="G251:G251"/>
    <mergeCell ref="H251:H251"/>
    <mergeCell ref="I251:I251"/>
    <mergeCell ref="J251:J251"/>
    <mergeCell ref="K251:K251"/>
    <mergeCell ref="L251:L251"/>
    <mergeCell ref="M251:M251"/>
    <mergeCell ref="N251:N251"/>
    <mergeCell ref="O251:O251"/>
    <mergeCell ref="P251:P251"/>
    <mergeCell ref="Q251:Q251"/>
    <mergeCell ref="R251:R251"/>
    <mergeCell ref="S251:S251"/>
    <mergeCell ref="T251:T251"/>
    <mergeCell ref="U251:U251"/>
    <mergeCell ref="V251:V251"/>
    <mergeCell ref="W251:W251"/>
    <mergeCell ref="X251:X251"/>
    <mergeCell ref="Y251:Y251"/>
    <mergeCell ref="Z251:Z251"/>
    <mergeCell ref="A252:A252"/>
    <mergeCell ref="B252:B252"/>
    <mergeCell ref="C252:C252"/>
    <mergeCell ref="D252:D252"/>
    <mergeCell ref="E252:E252"/>
    <mergeCell ref="F252:F252"/>
    <mergeCell ref="G252:G252"/>
    <mergeCell ref="H252:H252"/>
    <mergeCell ref="I252:I252"/>
    <mergeCell ref="J252:J252"/>
    <mergeCell ref="K252:K252"/>
    <mergeCell ref="L252:L252"/>
    <mergeCell ref="M252:M252"/>
    <mergeCell ref="N252:N252"/>
    <mergeCell ref="O252:O252"/>
    <mergeCell ref="P252:P252"/>
    <mergeCell ref="Q252:Q252"/>
    <mergeCell ref="R252:R252"/>
    <mergeCell ref="S252:S252"/>
    <mergeCell ref="T252:T252"/>
    <mergeCell ref="U252:U252"/>
    <mergeCell ref="V252:V252"/>
    <mergeCell ref="W252:W252"/>
    <mergeCell ref="X252:X252"/>
    <mergeCell ref="Y252:Y252"/>
    <mergeCell ref="Z252:Z252"/>
    <mergeCell ref="A253:A253"/>
    <mergeCell ref="B253:B253"/>
    <mergeCell ref="C253:C253"/>
    <mergeCell ref="D253:D253"/>
    <mergeCell ref="E253:E253"/>
    <mergeCell ref="F253:F253"/>
    <mergeCell ref="G253:G253"/>
    <mergeCell ref="H253:H253"/>
    <mergeCell ref="I253:I253"/>
    <mergeCell ref="J253:J253"/>
    <mergeCell ref="K253:K253"/>
    <mergeCell ref="L253:L253"/>
    <mergeCell ref="M253:M253"/>
    <mergeCell ref="N253:N253"/>
    <mergeCell ref="O253:O253"/>
    <mergeCell ref="P253:P253"/>
    <mergeCell ref="Q253:Q253"/>
    <mergeCell ref="R253:R253"/>
    <mergeCell ref="S253:S253"/>
    <mergeCell ref="T253:T253"/>
    <mergeCell ref="U253:U253"/>
    <mergeCell ref="V253:V253"/>
    <mergeCell ref="W253:W253"/>
    <mergeCell ref="X253:X253"/>
    <mergeCell ref="Y253:Y253"/>
    <mergeCell ref="Z253:Z253"/>
    <mergeCell ref="A254:A254"/>
    <mergeCell ref="B254:B254"/>
    <mergeCell ref="C254:C254"/>
    <mergeCell ref="D254:D254"/>
    <mergeCell ref="E254:E254"/>
    <mergeCell ref="F254:F254"/>
    <mergeCell ref="G254:G254"/>
    <mergeCell ref="H254:H254"/>
    <mergeCell ref="I254:I254"/>
    <mergeCell ref="J254:J254"/>
    <mergeCell ref="K254:K254"/>
    <mergeCell ref="L254:L254"/>
    <mergeCell ref="M254:M254"/>
    <mergeCell ref="N254:N254"/>
    <mergeCell ref="O254:O254"/>
    <mergeCell ref="P254:P254"/>
    <mergeCell ref="Q254:Q254"/>
    <mergeCell ref="R254:R254"/>
    <mergeCell ref="S254:S254"/>
    <mergeCell ref="T254:T254"/>
    <mergeCell ref="U254:U254"/>
    <mergeCell ref="V254:V254"/>
    <mergeCell ref="W254:W254"/>
    <mergeCell ref="X254:X254"/>
    <mergeCell ref="Y254:Y254"/>
    <mergeCell ref="Z254:Z254"/>
    <mergeCell ref="A255:A255"/>
    <mergeCell ref="B255:B255"/>
    <mergeCell ref="C255:C255"/>
    <mergeCell ref="D255:D255"/>
    <mergeCell ref="E255:E255"/>
    <mergeCell ref="F255:F255"/>
    <mergeCell ref="G255:G255"/>
    <mergeCell ref="H255:H255"/>
    <mergeCell ref="I255:I255"/>
    <mergeCell ref="J255:J255"/>
    <mergeCell ref="K255:K255"/>
    <mergeCell ref="L255:L255"/>
    <mergeCell ref="M255:M255"/>
    <mergeCell ref="N255:N255"/>
    <mergeCell ref="O255:O255"/>
    <mergeCell ref="P255:P255"/>
    <mergeCell ref="Q255:Q255"/>
    <mergeCell ref="R255:R255"/>
    <mergeCell ref="S255:S255"/>
    <mergeCell ref="T255:T255"/>
    <mergeCell ref="U255:U255"/>
    <mergeCell ref="V255:V255"/>
    <mergeCell ref="W255:W255"/>
    <mergeCell ref="X255:X255"/>
    <mergeCell ref="Y255:Y255"/>
    <mergeCell ref="Z255:Z255"/>
    <mergeCell ref="A256:A256"/>
    <mergeCell ref="B256:B256"/>
    <mergeCell ref="C256:C256"/>
    <mergeCell ref="D256:D256"/>
    <mergeCell ref="E256:E256"/>
    <mergeCell ref="F256:F256"/>
    <mergeCell ref="G256:G256"/>
    <mergeCell ref="H256:H256"/>
    <mergeCell ref="I256:I256"/>
    <mergeCell ref="J256:J256"/>
    <mergeCell ref="K256:K256"/>
    <mergeCell ref="L256:L256"/>
    <mergeCell ref="M256:M256"/>
    <mergeCell ref="N256:N256"/>
    <mergeCell ref="O256:O256"/>
    <mergeCell ref="P256:P256"/>
    <mergeCell ref="Q256:Q256"/>
    <mergeCell ref="R256:R256"/>
    <mergeCell ref="S256:S256"/>
    <mergeCell ref="T256:T256"/>
    <mergeCell ref="U256:U256"/>
    <mergeCell ref="V256:V256"/>
    <mergeCell ref="W256:W256"/>
    <mergeCell ref="X256:X256"/>
    <mergeCell ref="Y256:Y256"/>
    <mergeCell ref="Z256:Z256"/>
    <mergeCell ref="A257:A257"/>
    <mergeCell ref="B257:B257"/>
    <mergeCell ref="C257:C257"/>
    <mergeCell ref="D257:D257"/>
    <mergeCell ref="E257:E257"/>
    <mergeCell ref="F257:F257"/>
    <mergeCell ref="G257:G257"/>
    <mergeCell ref="H257:H257"/>
    <mergeCell ref="I257:I257"/>
    <mergeCell ref="J257:J257"/>
    <mergeCell ref="K257:K257"/>
    <mergeCell ref="L257:L257"/>
    <mergeCell ref="M257:M257"/>
    <mergeCell ref="N257:N257"/>
    <mergeCell ref="O257:O257"/>
    <mergeCell ref="P257:P257"/>
    <mergeCell ref="Q257:Q257"/>
    <mergeCell ref="R257:R257"/>
    <mergeCell ref="S257:S257"/>
    <mergeCell ref="T257:T257"/>
    <mergeCell ref="U257:U257"/>
    <mergeCell ref="V257:V257"/>
    <mergeCell ref="W257:W257"/>
    <mergeCell ref="X257:X257"/>
    <mergeCell ref="Y257:Y257"/>
    <mergeCell ref="Z257:Z257"/>
    <mergeCell ref="A258:A258"/>
    <mergeCell ref="B258:B258"/>
    <mergeCell ref="C258:C258"/>
    <mergeCell ref="D258:D258"/>
    <mergeCell ref="E258:E258"/>
    <mergeCell ref="F258:F258"/>
    <mergeCell ref="G258:G258"/>
    <mergeCell ref="H258:H258"/>
    <mergeCell ref="I258:I258"/>
    <mergeCell ref="J258:J258"/>
    <mergeCell ref="K258:K258"/>
    <mergeCell ref="L258:L258"/>
    <mergeCell ref="M258:M258"/>
    <mergeCell ref="N258:N258"/>
    <mergeCell ref="O258:O258"/>
    <mergeCell ref="P258:P258"/>
    <mergeCell ref="Q258:Q258"/>
    <mergeCell ref="R258:R258"/>
    <mergeCell ref="S258:S258"/>
    <mergeCell ref="T258:T258"/>
    <mergeCell ref="U258:U258"/>
    <mergeCell ref="V258:V258"/>
    <mergeCell ref="W258:W258"/>
    <mergeCell ref="X258:X258"/>
    <mergeCell ref="Y258:Y258"/>
    <mergeCell ref="Z258:Z258"/>
    <mergeCell ref="A259:A259"/>
    <mergeCell ref="B259:B259"/>
    <mergeCell ref="C259:C259"/>
    <mergeCell ref="D259:D259"/>
    <mergeCell ref="E259:E259"/>
    <mergeCell ref="F259:F259"/>
    <mergeCell ref="G259:G259"/>
    <mergeCell ref="H259:H259"/>
    <mergeCell ref="I259:I259"/>
    <mergeCell ref="J259:J259"/>
    <mergeCell ref="K259:K259"/>
    <mergeCell ref="L259:L259"/>
    <mergeCell ref="M259:M259"/>
    <mergeCell ref="N259:N259"/>
    <mergeCell ref="O259:O259"/>
    <mergeCell ref="P259:P259"/>
    <mergeCell ref="Q259:Q259"/>
    <mergeCell ref="R259:R259"/>
    <mergeCell ref="S259:S259"/>
    <mergeCell ref="T259:T259"/>
    <mergeCell ref="U259:U259"/>
    <mergeCell ref="V259:V259"/>
    <mergeCell ref="W259:W259"/>
    <mergeCell ref="X259:X259"/>
    <mergeCell ref="Y259:Y259"/>
    <mergeCell ref="Z259:Z259"/>
    <mergeCell ref="A260:A260"/>
    <mergeCell ref="B260:B260"/>
    <mergeCell ref="C260:C260"/>
    <mergeCell ref="D260:D260"/>
    <mergeCell ref="E260:E260"/>
    <mergeCell ref="F260:F260"/>
    <mergeCell ref="G260:G260"/>
    <mergeCell ref="H260:H260"/>
    <mergeCell ref="I260:I260"/>
    <mergeCell ref="J260:J260"/>
    <mergeCell ref="K260:K260"/>
    <mergeCell ref="L260:L260"/>
    <mergeCell ref="M260:M260"/>
    <mergeCell ref="N260:N260"/>
    <mergeCell ref="O260:O260"/>
    <mergeCell ref="P260:P260"/>
    <mergeCell ref="Q260:Q260"/>
    <mergeCell ref="R260:R260"/>
    <mergeCell ref="S260:S260"/>
    <mergeCell ref="T260:T260"/>
    <mergeCell ref="U260:U260"/>
    <mergeCell ref="V260:V260"/>
    <mergeCell ref="W260:W260"/>
    <mergeCell ref="X260:X260"/>
    <mergeCell ref="Y260:Y260"/>
    <mergeCell ref="Z260:Z260"/>
    <mergeCell ref="A261:A261"/>
    <mergeCell ref="B261:B261"/>
    <mergeCell ref="C261:C261"/>
    <mergeCell ref="D261:D261"/>
    <mergeCell ref="E261:E261"/>
    <mergeCell ref="F261:F261"/>
    <mergeCell ref="G261:G261"/>
    <mergeCell ref="H261:H261"/>
    <mergeCell ref="I261:I261"/>
    <mergeCell ref="J261:J261"/>
    <mergeCell ref="K261:K261"/>
    <mergeCell ref="L261:L261"/>
    <mergeCell ref="M261:M261"/>
    <mergeCell ref="N261:N261"/>
    <mergeCell ref="O261:O261"/>
    <mergeCell ref="P261:P261"/>
    <mergeCell ref="Q261:Q261"/>
    <mergeCell ref="R261:R261"/>
    <mergeCell ref="S261:S261"/>
    <mergeCell ref="T261:T261"/>
    <mergeCell ref="U261:U261"/>
    <mergeCell ref="V261:V261"/>
    <mergeCell ref="W261:W261"/>
    <mergeCell ref="X261:X261"/>
    <mergeCell ref="Y261:Y261"/>
    <mergeCell ref="Z261:Z261"/>
    <mergeCell ref="A262:A262"/>
    <mergeCell ref="B262:B262"/>
    <mergeCell ref="C262:C262"/>
    <mergeCell ref="D262:D262"/>
    <mergeCell ref="E262:E262"/>
    <mergeCell ref="F262:F262"/>
    <mergeCell ref="G262:G262"/>
    <mergeCell ref="H262:H262"/>
    <mergeCell ref="I262:I262"/>
    <mergeCell ref="J262:J262"/>
    <mergeCell ref="K262:K262"/>
    <mergeCell ref="L262:L262"/>
    <mergeCell ref="M262:M262"/>
    <mergeCell ref="N262:N262"/>
    <mergeCell ref="O262:O262"/>
    <mergeCell ref="P262:P262"/>
    <mergeCell ref="Q262:Q262"/>
    <mergeCell ref="R262:R262"/>
    <mergeCell ref="S262:S262"/>
    <mergeCell ref="T262:T262"/>
    <mergeCell ref="U262:U262"/>
    <mergeCell ref="V262:V262"/>
    <mergeCell ref="W262:W262"/>
    <mergeCell ref="X262:X262"/>
    <mergeCell ref="Y262:Y262"/>
    <mergeCell ref="Z262:Z262"/>
    <mergeCell ref="A263:A263"/>
    <mergeCell ref="B263:B263"/>
    <mergeCell ref="C263:C263"/>
    <mergeCell ref="D263:D263"/>
    <mergeCell ref="E263:E263"/>
    <mergeCell ref="F263:F263"/>
    <mergeCell ref="G263:G263"/>
    <mergeCell ref="H263:H263"/>
    <mergeCell ref="I263:I263"/>
    <mergeCell ref="J263:J263"/>
    <mergeCell ref="K263:K263"/>
    <mergeCell ref="L263:L263"/>
    <mergeCell ref="M263:M263"/>
    <mergeCell ref="N263:N263"/>
    <mergeCell ref="O263:O263"/>
    <mergeCell ref="P263:P263"/>
    <mergeCell ref="Q263:Q263"/>
    <mergeCell ref="R263:R263"/>
    <mergeCell ref="S263:S263"/>
    <mergeCell ref="T263:T263"/>
    <mergeCell ref="U263:U263"/>
    <mergeCell ref="V263:V263"/>
    <mergeCell ref="W263:W263"/>
    <mergeCell ref="X263:X263"/>
    <mergeCell ref="Y263:Y263"/>
    <mergeCell ref="Z263:Z263"/>
    <mergeCell ref="A264:A264"/>
    <mergeCell ref="B264:B264"/>
    <mergeCell ref="C264:C264"/>
    <mergeCell ref="D264:D264"/>
    <mergeCell ref="E264:E264"/>
    <mergeCell ref="F264:F264"/>
    <mergeCell ref="G264:G264"/>
    <mergeCell ref="H264:H264"/>
    <mergeCell ref="I264:I264"/>
    <mergeCell ref="J264:J264"/>
    <mergeCell ref="K264:K264"/>
    <mergeCell ref="L264:L264"/>
    <mergeCell ref="M264:M264"/>
    <mergeCell ref="N264:N264"/>
    <mergeCell ref="O264:O264"/>
    <mergeCell ref="P264:P264"/>
    <mergeCell ref="Q264:Q264"/>
    <mergeCell ref="R264:R264"/>
    <mergeCell ref="S264:S264"/>
    <mergeCell ref="T264:T264"/>
    <mergeCell ref="U264:U264"/>
    <mergeCell ref="V264:V264"/>
    <mergeCell ref="W264:W264"/>
    <mergeCell ref="X264:X264"/>
    <mergeCell ref="Y264:Y264"/>
    <mergeCell ref="Z264:Z264"/>
    <mergeCell ref="A265:A265"/>
    <mergeCell ref="B265:B265"/>
    <mergeCell ref="C265:C265"/>
    <mergeCell ref="D265:D265"/>
    <mergeCell ref="E265:E265"/>
    <mergeCell ref="F265:F265"/>
    <mergeCell ref="G265:G265"/>
    <mergeCell ref="H265:H265"/>
    <mergeCell ref="I265:I265"/>
    <mergeCell ref="J265:J265"/>
    <mergeCell ref="K265:K265"/>
    <mergeCell ref="L265:L265"/>
    <mergeCell ref="M265:M265"/>
    <mergeCell ref="N265:N265"/>
    <mergeCell ref="O265:O265"/>
    <mergeCell ref="P265:P265"/>
    <mergeCell ref="Q265:Q265"/>
    <mergeCell ref="R265:R265"/>
    <mergeCell ref="S265:S265"/>
    <mergeCell ref="T265:T265"/>
    <mergeCell ref="U265:U265"/>
    <mergeCell ref="V265:V265"/>
    <mergeCell ref="W265:W265"/>
    <mergeCell ref="X265:X265"/>
    <mergeCell ref="Y265:Y265"/>
    <mergeCell ref="Z265:Z265"/>
    <mergeCell ref="A266:A266"/>
    <mergeCell ref="B266:B266"/>
    <mergeCell ref="C266:C266"/>
    <mergeCell ref="D266:D266"/>
    <mergeCell ref="E266:E266"/>
    <mergeCell ref="F266:F266"/>
    <mergeCell ref="G266:G266"/>
    <mergeCell ref="H266:H266"/>
    <mergeCell ref="I266:I266"/>
    <mergeCell ref="J266:J266"/>
    <mergeCell ref="K266:K266"/>
    <mergeCell ref="L266:L266"/>
    <mergeCell ref="M266:M266"/>
    <mergeCell ref="N266:N266"/>
    <mergeCell ref="O266:O266"/>
    <mergeCell ref="P266:P266"/>
    <mergeCell ref="Q266:Q266"/>
    <mergeCell ref="R266:R266"/>
    <mergeCell ref="S266:S266"/>
    <mergeCell ref="T266:T266"/>
    <mergeCell ref="U266:U266"/>
    <mergeCell ref="V266:V266"/>
    <mergeCell ref="W266:W266"/>
    <mergeCell ref="X266:X266"/>
    <mergeCell ref="Y266:Y266"/>
    <mergeCell ref="Z266:Z266"/>
    <mergeCell ref="A267:A267"/>
    <mergeCell ref="B267:B267"/>
    <mergeCell ref="C267:C267"/>
    <mergeCell ref="D267:D267"/>
    <mergeCell ref="E267:E267"/>
    <mergeCell ref="F267:F267"/>
    <mergeCell ref="G267:G267"/>
    <mergeCell ref="H267:H267"/>
    <mergeCell ref="I267:I267"/>
    <mergeCell ref="J267:J267"/>
    <mergeCell ref="K267:K267"/>
    <mergeCell ref="L267:L267"/>
    <mergeCell ref="M267:M267"/>
    <mergeCell ref="N267:N267"/>
    <mergeCell ref="O267:O267"/>
    <mergeCell ref="P267:P267"/>
    <mergeCell ref="Q267:Q267"/>
    <mergeCell ref="R267:R267"/>
    <mergeCell ref="S267:S267"/>
    <mergeCell ref="T267:T267"/>
    <mergeCell ref="U267:U267"/>
    <mergeCell ref="V267:V267"/>
    <mergeCell ref="W267:W267"/>
    <mergeCell ref="X267:X267"/>
    <mergeCell ref="Y267:Y267"/>
    <mergeCell ref="Z267:Z267"/>
    <mergeCell ref="A268:A268"/>
    <mergeCell ref="B268:B268"/>
    <mergeCell ref="C268:C268"/>
    <mergeCell ref="D268:D268"/>
    <mergeCell ref="E268:E268"/>
    <mergeCell ref="F268:F268"/>
    <mergeCell ref="G268:G268"/>
    <mergeCell ref="H268:H268"/>
    <mergeCell ref="I268:I268"/>
    <mergeCell ref="J268:J268"/>
    <mergeCell ref="K268:K268"/>
    <mergeCell ref="L268:L268"/>
    <mergeCell ref="M268:M268"/>
    <mergeCell ref="N268:N268"/>
    <mergeCell ref="O268:O268"/>
    <mergeCell ref="P268:P268"/>
    <mergeCell ref="Q268:Q268"/>
    <mergeCell ref="R268:R268"/>
    <mergeCell ref="S268:S268"/>
    <mergeCell ref="T268:T268"/>
    <mergeCell ref="U268:U268"/>
    <mergeCell ref="V268:V268"/>
    <mergeCell ref="W268:W268"/>
    <mergeCell ref="X268:X268"/>
    <mergeCell ref="Y268:Y268"/>
    <mergeCell ref="Z268:Z268"/>
    <mergeCell ref="A269:A269"/>
    <mergeCell ref="B269:B269"/>
    <mergeCell ref="C269:C269"/>
    <mergeCell ref="D269:D269"/>
    <mergeCell ref="E269:E269"/>
    <mergeCell ref="F269:F269"/>
    <mergeCell ref="G269:G269"/>
    <mergeCell ref="H269:H269"/>
    <mergeCell ref="I269:I269"/>
    <mergeCell ref="J269:J269"/>
    <mergeCell ref="K269:K269"/>
    <mergeCell ref="L269:L269"/>
    <mergeCell ref="M269:M269"/>
    <mergeCell ref="N269:N269"/>
    <mergeCell ref="O269:O269"/>
    <mergeCell ref="P269:P269"/>
    <mergeCell ref="Q269:Q269"/>
    <mergeCell ref="R269:R269"/>
    <mergeCell ref="S269:S269"/>
    <mergeCell ref="T269:T269"/>
    <mergeCell ref="U269:U269"/>
    <mergeCell ref="V269:V269"/>
    <mergeCell ref="W269:W269"/>
    <mergeCell ref="X269:X269"/>
    <mergeCell ref="Y269:Y269"/>
    <mergeCell ref="Z269:Z269"/>
    <mergeCell ref="A270:A270"/>
    <mergeCell ref="B270:B270"/>
    <mergeCell ref="C270:C270"/>
    <mergeCell ref="D270:D270"/>
    <mergeCell ref="E270:E270"/>
    <mergeCell ref="F270:F270"/>
    <mergeCell ref="G270:G270"/>
    <mergeCell ref="H270:H270"/>
    <mergeCell ref="I270:I270"/>
    <mergeCell ref="J270:J270"/>
    <mergeCell ref="K270:K270"/>
    <mergeCell ref="L270:L270"/>
    <mergeCell ref="M270:M270"/>
    <mergeCell ref="N270:N270"/>
    <mergeCell ref="O270:O270"/>
    <mergeCell ref="P270:P270"/>
    <mergeCell ref="Q270:Q270"/>
    <mergeCell ref="R270:R270"/>
    <mergeCell ref="S270:S270"/>
    <mergeCell ref="T270:T270"/>
    <mergeCell ref="U270:U270"/>
    <mergeCell ref="V270:V270"/>
    <mergeCell ref="W270:W270"/>
    <mergeCell ref="X270:X270"/>
    <mergeCell ref="Y270:Y270"/>
    <mergeCell ref="Z270:Z270"/>
    <mergeCell ref="A271:A271"/>
    <mergeCell ref="B271:B271"/>
    <mergeCell ref="C271:C271"/>
    <mergeCell ref="D271:D271"/>
    <mergeCell ref="E271:E271"/>
    <mergeCell ref="F271:F271"/>
    <mergeCell ref="G271:G271"/>
    <mergeCell ref="H271:H271"/>
    <mergeCell ref="I271:I271"/>
    <mergeCell ref="J271:J271"/>
    <mergeCell ref="K271:K271"/>
    <mergeCell ref="L271:L271"/>
    <mergeCell ref="M271:M271"/>
    <mergeCell ref="N271:N271"/>
    <mergeCell ref="O271:O271"/>
    <mergeCell ref="P271:P271"/>
    <mergeCell ref="Q271:Q271"/>
    <mergeCell ref="R271:R271"/>
    <mergeCell ref="S271:S271"/>
    <mergeCell ref="T271:T271"/>
    <mergeCell ref="U271:U271"/>
    <mergeCell ref="V271:V271"/>
    <mergeCell ref="W271:W271"/>
    <mergeCell ref="X271:X271"/>
    <mergeCell ref="Y271:Y271"/>
    <mergeCell ref="Z271:Z271"/>
    <mergeCell ref="A272:A272"/>
    <mergeCell ref="B272:B272"/>
    <mergeCell ref="C272:C272"/>
    <mergeCell ref="D272:D272"/>
    <mergeCell ref="E272:E272"/>
    <mergeCell ref="F272:F272"/>
    <mergeCell ref="G272:G272"/>
    <mergeCell ref="H272:H272"/>
    <mergeCell ref="I272:I272"/>
    <mergeCell ref="J272:J272"/>
    <mergeCell ref="K272:K272"/>
    <mergeCell ref="L272:L272"/>
    <mergeCell ref="M272:M272"/>
    <mergeCell ref="N272:N272"/>
    <mergeCell ref="O272:O272"/>
    <mergeCell ref="P272:P272"/>
    <mergeCell ref="Q272:Q272"/>
    <mergeCell ref="R272:R272"/>
    <mergeCell ref="S272:S272"/>
    <mergeCell ref="T272:T272"/>
    <mergeCell ref="U272:U272"/>
    <mergeCell ref="V272:V272"/>
    <mergeCell ref="W272:W272"/>
    <mergeCell ref="X272:X272"/>
    <mergeCell ref="Y272:Y272"/>
    <mergeCell ref="Z272:Z272"/>
    <mergeCell ref="A273:A273"/>
    <mergeCell ref="B273:B273"/>
    <mergeCell ref="C273:C273"/>
    <mergeCell ref="D273:D273"/>
    <mergeCell ref="E273:E273"/>
    <mergeCell ref="F273:F273"/>
    <mergeCell ref="G273:G273"/>
    <mergeCell ref="H273:H273"/>
    <mergeCell ref="I273:I273"/>
    <mergeCell ref="J273:J273"/>
    <mergeCell ref="K273:K273"/>
    <mergeCell ref="L273:L273"/>
    <mergeCell ref="M273:M273"/>
    <mergeCell ref="N273:N273"/>
    <mergeCell ref="O273:O273"/>
    <mergeCell ref="P273:P273"/>
    <mergeCell ref="Q273:Q273"/>
    <mergeCell ref="R273:R273"/>
    <mergeCell ref="S273:S273"/>
    <mergeCell ref="T273:T273"/>
    <mergeCell ref="U273:U273"/>
    <mergeCell ref="V273:V273"/>
    <mergeCell ref="W273:W273"/>
    <mergeCell ref="X273:X273"/>
    <mergeCell ref="Y273:Y273"/>
    <mergeCell ref="Z273:Z273"/>
    <mergeCell ref="A274:A274"/>
    <mergeCell ref="B274:B274"/>
    <mergeCell ref="C274:C274"/>
    <mergeCell ref="D274:D274"/>
    <mergeCell ref="E274:E274"/>
    <mergeCell ref="F274:F274"/>
    <mergeCell ref="G274:G274"/>
    <mergeCell ref="H274:H274"/>
    <mergeCell ref="I274:I274"/>
    <mergeCell ref="J274:J274"/>
    <mergeCell ref="K274:K274"/>
    <mergeCell ref="L274:L274"/>
    <mergeCell ref="M274:M274"/>
    <mergeCell ref="N274:N274"/>
    <mergeCell ref="O274:O274"/>
    <mergeCell ref="P274:P274"/>
    <mergeCell ref="Q274:Q274"/>
    <mergeCell ref="R274:R274"/>
    <mergeCell ref="S274:S274"/>
    <mergeCell ref="T274:T274"/>
    <mergeCell ref="U274:U274"/>
    <mergeCell ref="V274:V274"/>
    <mergeCell ref="W274:W274"/>
    <mergeCell ref="X274:X274"/>
    <mergeCell ref="Y274:Y274"/>
    <mergeCell ref="Z274:Z274"/>
    <mergeCell ref="A275:A275"/>
    <mergeCell ref="B275:B275"/>
    <mergeCell ref="C275:C275"/>
    <mergeCell ref="D275:D275"/>
    <mergeCell ref="E275:E275"/>
    <mergeCell ref="F275:F275"/>
    <mergeCell ref="G275:G275"/>
    <mergeCell ref="H275:H275"/>
    <mergeCell ref="I275:I275"/>
    <mergeCell ref="J275:J275"/>
    <mergeCell ref="K275:K275"/>
    <mergeCell ref="L275:L275"/>
    <mergeCell ref="M275:M275"/>
    <mergeCell ref="N275:N275"/>
    <mergeCell ref="O275:O275"/>
    <mergeCell ref="P275:P275"/>
    <mergeCell ref="Q275:Q275"/>
    <mergeCell ref="R275:R275"/>
    <mergeCell ref="S275:S275"/>
    <mergeCell ref="T275:T275"/>
    <mergeCell ref="U275:U275"/>
    <mergeCell ref="V275:V275"/>
    <mergeCell ref="W275:W275"/>
    <mergeCell ref="X275:X275"/>
    <mergeCell ref="Y275:Y275"/>
    <mergeCell ref="Z275:Z275"/>
    <mergeCell ref="A276:A276"/>
    <mergeCell ref="B276:B276"/>
    <mergeCell ref="C276:C276"/>
    <mergeCell ref="D276:D276"/>
    <mergeCell ref="E276:E276"/>
    <mergeCell ref="F276:F276"/>
    <mergeCell ref="G276:G276"/>
    <mergeCell ref="H276:H276"/>
    <mergeCell ref="I276:I276"/>
    <mergeCell ref="J276:J276"/>
    <mergeCell ref="K276:K276"/>
    <mergeCell ref="L276:L276"/>
    <mergeCell ref="M276:M276"/>
    <mergeCell ref="N276:N276"/>
    <mergeCell ref="O276:O276"/>
    <mergeCell ref="P276:P276"/>
    <mergeCell ref="Q276:Q276"/>
    <mergeCell ref="R276:R276"/>
    <mergeCell ref="S276:S276"/>
    <mergeCell ref="T276:T276"/>
    <mergeCell ref="U276:U276"/>
    <mergeCell ref="V276:V276"/>
    <mergeCell ref="W276:W276"/>
    <mergeCell ref="X276:X276"/>
    <mergeCell ref="Y276:Y276"/>
    <mergeCell ref="Z276:Z276"/>
    <mergeCell ref="A277:A277"/>
    <mergeCell ref="B277:B277"/>
    <mergeCell ref="C277:C277"/>
    <mergeCell ref="D277:D277"/>
    <mergeCell ref="E277:E277"/>
    <mergeCell ref="F277:F277"/>
    <mergeCell ref="G277:G277"/>
    <mergeCell ref="H277:H277"/>
    <mergeCell ref="I277:I277"/>
    <mergeCell ref="J277:J277"/>
    <mergeCell ref="K277:K277"/>
    <mergeCell ref="L277:L277"/>
    <mergeCell ref="M277:M277"/>
    <mergeCell ref="N277:N277"/>
    <mergeCell ref="O277:O277"/>
    <mergeCell ref="P277:P277"/>
    <mergeCell ref="Q277:Q277"/>
    <mergeCell ref="R277:R277"/>
    <mergeCell ref="S277:S277"/>
    <mergeCell ref="T277:T277"/>
    <mergeCell ref="U277:U277"/>
    <mergeCell ref="V277:V277"/>
    <mergeCell ref="W277:W277"/>
    <mergeCell ref="X277:X277"/>
    <mergeCell ref="Y277:Y277"/>
    <mergeCell ref="Z277:Z277"/>
    <mergeCell ref="A278:A278"/>
    <mergeCell ref="B278:B278"/>
    <mergeCell ref="C278:C278"/>
    <mergeCell ref="D278:D278"/>
    <mergeCell ref="E278:E278"/>
    <mergeCell ref="F278:F278"/>
    <mergeCell ref="G278:G278"/>
    <mergeCell ref="H278:H278"/>
    <mergeCell ref="I278:I278"/>
    <mergeCell ref="J278:J278"/>
    <mergeCell ref="K278:K278"/>
    <mergeCell ref="L278:L278"/>
    <mergeCell ref="M278:M278"/>
    <mergeCell ref="N278:N278"/>
    <mergeCell ref="O278:O278"/>
    <mergeCell ref="P278:P278"/>
    <mergeCell ref="Q278:Q278"/>
    <mergeCell ref="R278:R278"/>
    <mergeCell ref="S278:S278"/>
    <mergeCell ref="T278:T278"/>
    <mergeCell ref="U278:U278"/>
    <mergeCell ref="V278:V278"/>
    <mergeCell ref="W278:W278"/>
    <mergeCell ref="X278:X278"/>
    <mergeCell ref="Y278:Y278"/>
    <mergeCell ref="Z278:Z278"/>
    <mergeCell ref="A279:A279"/>
    <mergeCell ref="B279:B279"/>
    <mergeCell ref="C279:C279"/>
    <mergeCell ref="D279:D279"/>
    <mergeCell ref="E279:E279"/>
    <mergeCell ref="F279:F279"/>
    <mergeCell ref="G279:G279"/>
    <mergeCell ref="H279:H279"/>
    <mergeCell ref="I279:I279"/>
    <mergeCell ref="J279:J279"/>
    <mergeCell ref="K279:K279"/>
    <mergeCell ref="L279:L279"/>
    <mergeCell ref="M279:M279"/>
    <mergeCell ref="N279:N279"/>
    <mergeCell ref="O279:O279"/>
    <mergeCell ref="P279:P279"/>
    <mergeCell ref="Q279:Q279"/>
    <mergeCell ref="R279:R279"/>
    <mergeCell ref="S279:S279"/>
    <mergeCell ref="T279:T279"/>
    <mergeCell ref="U279:U279"/>
    <mergeCell ref="V279:V279"/>
    <mergeCell ref="W279:W279"/>
    <mergeCell ref="X279:X279"/>
    <mergeCell ref="Y279:Y279"/>
    <mergeCell ref="Z279:Z279"/>
    <mergeCell ref="A280:A280"/>
    <mergeCell ref="B280:B280"/>
    <mergeCell ref="C280:C280"/>
    <mergeCell ref="D280:D280"/>
    <mergeCell ref="E280:E280"/>
    <mergeCell ref="F280:F280"/>
    <mergeCell ref="G280:G280"/>
    <mergeCell ref="H280:H280"/>
    <mergeCell ref="I280:I280"/>
    <mergeCell ref="J280:J280"/>
    <mergeCell ref="K280:K280"/>
    <mergeCell ref="L280:L280"/>
    <mergeCell ref="M280:M280"/>
    <mergeCell ref="N280:N280"/>
    <mergeCell ref="O280:O280"/>
    <mergeCell ref="P280:P280"/>
    <mergeCell ref="Q280:Q280"/>
    <mergeCell ref="R280:R280"/>
    <mergeCell ref="S280:S280"/>
    <mergeCell ref="T280:T280"/>
    <mergeCell ref="U280:U280"/>
    <mergeCell ref="V280:V280"/>
    <mergeCell ref="W280:W280"/>
    <mergeCell ref="X280:X280"/>
    <mergeCell ref="Y280:Y280"/>
    <mergeCell ref="Z280:Z280"/>
    <mergeCell ref="A281:A281"/>
    <mergeCell ref="B281:B281"/>
    <mergeCell ref="C281:C281"/>
    <mergeCell ref="D281:D281"/>
    <mergeCell ref="E281:E281"/>
    <mergeCell ref="F281:F281"/>
    <mergeCell ref="G281:G281"/>
    <mergeCell ref="H281:H281"/>
    <mergeCell ref="I281:I281"/>
    <mergeCell ref="J281:J281"/>
    <mergeCell ref="K281:K281"/>
    <mergeCell ref="L281:L281"/>
    <mergeCell ref="M281:M281"/>
    <mergeCell ref="N281:N281"/>
    <mergeCell ref="O281:O281"/>
    <mergeCell ref="P281:P281"/>
    <mergeCell ref="Q281:Q281"/>
    <mergeCell ref="R281:R281"/>
    <mergeCell ref="S281:S281"/>
    <mergeCell ref="T281:T281"/>
    <mergeCell ref="U281:U281"/>
    <mergeCell ref="V281:V281"/>
    <mergeCell ref="W281:W281"/>
    <mergeCell ref="X281:X281"/>
    <mergeCell ref="Y281:Y281"/>
    <mergeCell ref="Z281:Z281"/>
    <mergeCell ref="A282:A282"/>
    <mergeCell ref="B282:B282"/>
    <mergeCell ref="C282:C282"/>
    <mergeCell ref="D282:D282"/>
    <mergeCell ref="E282:E282"/>
    <mergeCell ref="F282:F282"/>
    <mergeCell ref="G282:G282"/>
    <mergeCell ref="H282:H282"/>
    <mergeCell ref="I282:I282"/>
    <mergeCell ref="J282:J282"/>
    <mergeCell ref="K282:K282"/>
    <mergeCell ref="L282:L282"/>
    <mergeCell ref="M282:M282"/>
    <mergeCell ref="N282:N282"/>
    <mergeCell ref="O282:O282"/>
    <mergeCell ref="P282:P282"/>
    <mergeCell ref="Q282:Q282"/>
    <mergeCell ref="R282:R282"/>
    <mergeCell ref="S282:S282"/>
    <mergeCell ref="T282:T282"/>
    <mergeCell ref="U282:U282"/>
    <mergeCell ref="V282:V282"/>
    <mergeCell ref="W282:W282"/>
    <mergeCell ref="X282:X282"/>
    <mergeCell ref="Y282:Y282"/>
    <mergeCell ref="Z282:Z282"/>
    <mergeCell ref="A283:A283"/>
    <mergeCell ref="B283:B283"/>
    <mergeCell ref="C283:C283"/>
    <mergeCell ref="D283:D283"/>
    <mergeCell ref="E283:E283"/>
    <mergeCell ref="F283:F283"/>
    <mergeCell ref="G283:G283"/>
    <mergeCell ref="H283:H283"/>
    <mergeCell ref="I283:I283"/>
    <mergeCell ref="J283:J283"/>
    <mergeCell ref="K283:K283"/>
    <mergeCell ref="L283:L283"/>
    <mergeCell ref="M283:M283"/>
    <mergeCell ref="N283:N283"/>
    <mergeCell ref="O283:O283"/>
    <mergeCell ref="P283:P283"/>
    <mergeCell ref="Q283:Q283"/>
    <mergeCell ref="R283:R283"/>
    <mergeCell ref="S283:S283"/>
    <mergeCell ref="T283:T283"/>
    <mergeCell ref="U283:U283"/>
    <mergeCell ref="V283:V283"/>
    <mergeCell ref="W283:W283"/>
    <mergeCell ref="X283:X283"/>
    <mergeCell ref="Y283:Y283"/>
    <mergeCell ref="Z283:Z283"/>
    <mergeCell ref="A284:A284"/>
    <mergeCell ref="B284:B284"/>
    <mergeCell ref="C284:C284"/>
    <mergeCell ref="D284:D284"/>
    <mergeCell ref="E284:E284"/>
    <mergeCell ref="F284:F284"/>
    <mergeCell ref="G284:G284"/>
    <mergeCell ref="H284:H284"/>
    <mergeCell ref="I284:I284"/>
    <mergeCell ref="J284:J284"/>
    <mergeCell ref="K284:K284"/>
    <mergeCell ref="L284:L284"/>
    <mergeCell ref="M284:M284"/>
    <mergeCell ref="N284:N284"/>
    <mergeCell ref="O284:O284"/>
    <mergeCell ref="P284:P284"/>
    <mergeCell ref="Q284:Q284"/>
    <mergeCell ref="R284:R284"/>
    <mergeCell ref="S284:S284"/>
    <mergeCell ref="T284:T284"/>
    <mergeCell ref="U284:U284"/>
    <mergeCell ref="V284:V284"/>
    <mergeCell ref="W284:W284"/>
    <mergeCell ref="X284:X284"/>
    <mergeCell ref="Y284:Y284"/>
    <mergeCell ref="Z284:Z284"/>
    <mergeCell ref="A285:A285"/>
    <mergeCell ref="B285:B285"/>
    <mergeCell ref="C285:C285"/>
    <mergeCell ref="D285:D285"/>
    <mergeCell ref="E285:E285"/>
    <mergeCell ref="F285:F285"/>
    <mergeCell ref="G285:G285"/>
    <mergeCell ref="H285:H285"/>
    <mergeCell ref="I285:I285"/>
    <mergeCell ref="J285:J285"/>
    <mergeCell ref="K285:K285"/>
    <mergeCell ref="L285:L285"/>
    <mergeCell ref="M285:M285"/>
    <mergeCell ref="N285:N285"/>
    <mergeCell ref="O285:O285"/>
    <mergeCell ref="P285:P285"/>
    <mergeCell ref="Q285:Q285"/>
    <mergeCell ref="R285:R285"/>
    <mergeCell ref="S285:S285"/>
    <mergeCell ref="T285:T285"/>
    <mergeCell ref="U285:U285"/>
    <mergeCell ref="V285:V285"/>
    <mergeCell ref="W285:W285"/>
    <mergeCell ref="X285:X285"/>
    <mergeCell ref="Y285:Y285"/>
    <mergeCell ref="Z285:Z285"/>
    <mergeCell ref="A286:A286"/>
    <mergeCell ref="B286:B286"/>
    <mergeCell ref="C286:C286"/>
    <mergeCell ref="D286:D286"/>
    <mergeCell ref="E286:E286"/>
    <mergeCell ref="F286:F286"/>
    <mergeCell ref="G286:G286"/>
    <mergeCell ref="H286:H286"/>
    <mergeCell ref="I286:I286"/>
    <mergeCell ref="J286:J286"/>
    <mergeCell ref="K286:K286"/>
    <mergeCell ref="L286:L286"/>
    <mergeCell ref="M286:M286"/>
    <mergeCell ref="N286:N286"/>
    <mergeCell ref="O286:O286"/>
    <mergeCell ref="P286:P286"/>
    <mergeCell ref="Q286:Q286"/>
    <mergeCell ref="R286:R286"/>
    <mergeCell ref="S286:S286"/>
    <mergeCell ref="T286:T286"/>
    <mergeCell ref="U286:U286"/>
    <mergeCell ref="V286:V286"/>
    <mergeCell ref="W286:W286"/>
    <mergeCell ref="X286:X286"/>
    <mergeCell ref="Y286:Y286"/>
    <mergeCell ref="Z286:Z286"/>
    <mergeCell ref="A287:A287"/>
    <mergeCell ref="B287:B287"/>
    <mergeCell ref="C287:C287"/>
    <mergeCell ref="D287:D287"/>
    <mergeCell ref="E287:E287"/>
    <mergeCell ref="F287:F287"/>
    <mergeCell ref="G287:G287"/>
    <mergeCell ref="H287:H287"/>
    <mergeCell ref="I287:I287"/>
    <mergeCell ref="J287:J287"/>
    <mergeCell ref="K287:K287"/>
    <mergeCell ref="L287:L287"/>
    <mergeCell ref="M287:M287"/>
    <mergeCell ref="N287:N287"/>
    <mergeCell ref="O287:O287"/>
    <mergeCell ref="P287:P287"/>
    <mergeCell ref="Q287:Q287"/>
    <mergeCell ref="R287:R287"/>
    <mergeCell ref="S287:S287"/>
    <mergeCell ref="T287:T287"/>
    <mergeCell ref="U287:U287"/>
    <mergeCell ref="V287:V287"/>
    <mergeCell ref="W287:W287"/>
    <mergeCell ref="X287:X287"/>
    <mergeCell ref="Y287:Y287"/>
    <mergeCell ref="Z287:Z287"/>
    <mergeCell ref="A288:A288"/>
    <mergeCell ref="B288:B288"/>
    <mergeCell ref="C288:C288"/>
    <mergeCell ref="D288:D288"/>
    <mergeCell ref="E288:E288"/>
    <mergeCell ref="F288:F288"/>
    <mergeCell ref="G288:G288"/>
    <mergeCell ref="H288:H288"/>
    <mergeCell ref="I288:I288"/>
    <mergeCell ref="J288:J288"/>
    <mergeCell ref="K288:K288"/>
    <mergeCell ref="L288:L288"/>
    <mergeCell ref="M288:M288"/>
    <mergeCell ref="N288:N288"/>
    <mergeCell ref="O288:O288"/>
    <mergeCell ref="P288:P288"/>
    <mergeCell ref="Q288:Q288"/>
    <mergeCell ref="R288:R288"/>
    <mergeCell ref="S288:S288"/>
    <mergeCell ref="T288:T288"/>
    <mergeCell ref="U288:U288"/>
    <mergeCell ref="V288:V288"/>
    <mergeCell ref="W288:W288"/>
    <mergeCell ref="X288:X288"/>
    <mergeCell ref="Y288:Y288"/>
    <mergeCell ref="Z288:Z288"/>
    <mergeCell ref="A289:A289"/>
    <mergeCell ref="B289:B289"/>
    <mergeCell ref="C289:C289"/>
    <mergeCell ref="D289:D289"/>
    <mergeCell ref="E289:E289"/>
    <mergeCell ref="F289:F289"/>
    <mergeCell ref="G289:G289"/>
    <mergeCell ref="H289:H289"/>
    <mergeCell ref="I289:I289"/>
    <mergeCell ref="J289:J289"/>
    <mergeCell ref="K289:K289"/>
    <mergeCell ref="L289:L289"/>
    <mergeCell ref="M289:M289"/>
    <mergeCell ref="N289:N289"/>
    <mergeCell ref="O289:O289"/>
    <mergeCell ref="P289:P289"/>
    <mergeCell ref="Q289:Q289"/>
    <mergeCell ref="R289:R289"/>
    <mergeCell ref="S289:S289"/>
    <mergeCell ref="T289:T289"/>
    <mergeCell ref="U289:U289"/>
    <mergeCell ref="V289:V289"/>
    <mergeCell ref="W289:W289"/>
    <mergeCell ref="X289:X289"/>
    <mergeCell ref="Y289:Y289"/>
    <mergeCell ref="Z289:Z289"/>
    <mergeCell ref="A290:A290"/>
    <mergeCell ref="B290:B290"/>
    <mergeCell ref="C290:C290"/>
    <mergeCell ref="D290:D290"/>
    <mergeCell ref="E290:E290"/>
    <mergeCell ref="F290:F290"/>
    <mergeCell ref="G290:G290"/>
    <mergeCell ref="H290:H290"/>
    <mergeCell ref="I290:I290"/>
    <mergeCell ref="J290:J290"/>
    <mergeCell ref="K290:K290"/>
    <mergeCell ref="L290:L290"/>
    <mergeCell ref="M290:M290"/>
    <mergeCell ref="N290:N290"/>
    <mergeCell ref="O290:O290"/>
    <mergeCell ref="P290:P290"/>
    <mergeCell ref="Q290:Q290"/>
    <mergeCell ref="R290:R290"/>
    <mergeCell ref="S290:S290"/>
    <mergeCell ref="T290:T290"/>
    <mergeCell ref="U290:U290"/>
    <mergeCell ref="V290:V290"/>
    <mergeCell ref="W290:W290"/>
    <mergeCell ref="X290:X290"/>
    <mergeCell ref="Y290:Y290"/>
    <mergeCell ref="Z290:Z290"/>
    <mergeCell ref="A291:A291"/>
    <mergeCell ref="B291:B291"/>
    <mergeCell ref="C291:C291"/>
    <mergeCell ref="D291:D291"/>
    <mergeCell ref="E291:E291"/>
    <mergeCell ref="F291:F291"/>
    <mergeCell ref="G291:G291"/>
    <mergeCell ref="H291:H291"/>
    <mergeCell ref="I291:I291"/>
    <mergeCell ref="J291:J291"/>
    <mergeCell ref="K291:K291"/>
    <mergeCell ref="L291:L291"/>
    <mergeCell ref="M291:M291"/>
    <mergeCell ref="N291:N291"/>
    <mergeCell ref="O291:O291"/>
    <mergeCell ref="P291:P291"/>
    <mergeCell ref="Q291:Q291"/>
    <mergeCell ref="R291:R291"/>
    <mergeCell ref="S291:S291"/>
    <mergeCell ref="T291:T291"/>
    <mergeCell ref="U291:U291"/>
    <mergeCell ref="V291:V291"/>
    <mergeCell ref="W291:W291"/>
    <mergeCell ref="X291:X291"/>
    <mergeCell ref="Y291:Y291"/>
    <mergeCell ref="Z291:Z291"/>
    <mergeCell ref="A292:A292"/>
    <mergeCell ref="B292:B292"/>
    <mergeCell ref="C292:C292"/>
    <mergeCell ref="D292:D292"/>
    <mergeCell ref="E292:E292"/>
    <mergeCell ref="F292:F292"/>
    <mergeCell ref="G292:G292"/>
    <mergeCell ref="H292:H292"/>
    <mergeCell ref="I292:I292"/>
    <mergeCell ref="J292:J292"/>
    <mergeCell ref="K292:K292"/>
    <mergeCell ref="L292:L292"/>
    <mergeCell ref="M292:M292"/>
    <mergeCell ref="N292:N292"/>
    <mergeCell ref="O292:O292"/>
    <mergeCell ref="P292:P292"/>
    <mergeCell ref="Q292:Q292"/>
    <mergeCell ref="R292:R292"/>
    <mergeCell ref="S292:S292"/>
    <mergeCell ref="T292:T292"/>
    <mergeCell ref="U292:U292"/>
    <mergeCell ref="V292:V292"/>
    <mergeCell ref="W292:W292"/>
    <mergeCell ref="X292:X292"/>
    <mergeCell ref="Y292:Y292"/>
    <mergeCell ref="Z292:Z292"/>
    <mergeCell ref="A293:A293"/>
    <mergeCell ref="B293:B293"/>
    <mergeCell ref="C293:C293"/>
    <mergeCell ref="D293:D293"/>
    <mergeCell ref="E293:E293"/>
    <mergeCell ref="F293:F293"/>
    <mergeCell ref="G293:G293"/>
    <mergeCell ref="H293:H293"/>
    <mergeCell ref="I293:I293"/>
    <mergeCell ref="J293:J293"/>
    <mergeCell ref="K293:K293"/>
    <mergeCell ref="L293:L293"/>
    <mergeCell ref="M293:M293"/>
    <mergeCell ref="N293:N293"/>
    <mergeCell ref="O293:O293"/>
    <mergeCell ref="P293:P293"/>
    <mergeCell ref="Q293:Q293"/>
    <mergeCell ref="R293:R293"/>
    <mergeCell ref="S293:S293"/>
    <mergeCell ref="T293:T293"/>
    <mergeCell ref="U293:U293"/>
    <mergeCell ref="V293:V293"/>
    <mergeCell ref="W293:W293"/>
    <mergeCell ref="X293:X293"/>
    <mergeCell ref="Y293:Y293"/>
    <mergeCell ref="Z293:Z293"/>
    <mergeCell ref="A294:A294"/>
    <mergeCell ref="B294:B294"/>
    <mergeCell ref="C294:C294"/>
    <mergeCell ref="D294:D294"/>
    <mergeCell ref="E294:E294"/>
    <mergeCell ref="F294:F294"/>
    <mergeCell ref="G294:G294"/>
    <mergeCell ref="H294:H294"/>
    <mergeCell ref="I294:I294"/>
    <mergeCell ref="J294:J294"/>
    <mergeCell ref="K294:K294"/>
    <mergeCell ref="L294:L294"/>
    <mergeCell ref="M294:M294"/>
    <mergeCell ref="N294:N294"/>
    <mergeCell ref="O294:O294"/>
    <mergeCell ref="P294:P294"/>
    <mergeCell ref="Q294:Q294"/>
    <mergeCell ref="R294:R294"/>
    <mergeCell ref="S294:S294"/>
    <mergeCell ref="T294:T294"/>
    <mergeCell ref="U294:U294"/>
    <mergeCell ref="V294:V294"/>
    <mergeCell ref="W294:W294"/>
    <mergeCell ref="X294:X294"/>
    <mergeCell ref="Y294:Y294"/>
    <mergeCell ref="Z294:Z294"/>
    <mergeCell ref="A295:A295"/>
    <mergeCell ref="B295:B295"/>
    <mergeCell ref="C295:C295"/>
    <mergeCell ref="D295:D295"/>
    <mergeCell ref="E295:E295"/>
    <mergeCell ref="F295:F295"/>
    <mergeCell ref="G295:G295"/>
    <mergeCell ref="H295:H295"/>
    <mergeCell ref="I295:I295"/>
    <mergeCell ref="J295:J295"/>
    <mergeCell ref="K295:K295"/>
    <mergeCell ref="L295:L295"/>
    <mergeCell ref="M295:M295"/>
    <mergeCell ref="N295:N295"/>
    <mergeCell ref="O295:O295"/>
    <mergeCell ref="P295:P295"/>
    <mergeCell ref="Q295:Q295"/>
    <mergeCell ref="R295:R295"/>
    <mergeCell ref="S295:S295"/>
    <mergeCell ref="T295:T295"/>
    <mergeCell ref="U295:U295"/>
    <mergeCell ref="V295:V295"/>
    <mergeCell ref="W295:W295"/>
    <mergeCell ref="X295:X295"/>
    <mergeCell ref="Y295:Y295"/>
    <mergeCell ref="Z295:Z295"/>
    <mergeCell ref="A296:A296"/>
    <mergeCell ref="B296:B296"/>
    <mergeCell ref="C296:C296"/>
    <mergeCell ref="D296:D296"/>
    <mergeCell ref="E296:E296"/>
    <mergeCell ref="F296:F296"/>
    <mergeCell ref="G296:G296"/>
    <mergeCell ref="H296:H296"/>
    <mergeCell ref="I296:I296"/>
    <mergeCell ref="J296:J296"/>
    <mergeCell ref="K296:K296"/>
    <mergeCell ref="L296:L296"/>
    <mergeCell ref="M296:M296"/>
    <mergeCell ref="N296:N296"/>
    <mergeCell ref="O296:O296"/>
    <mergeCell ref="P296:P296"/>
    <mergeCell ref="Q296:Q296"/>
    <mergeCell ref="R296:R296"/>
    <mergeCell ref="S296:S296"/>
    <mergeCell ref="T296:T296"/>
    <mergeCell ref="U296:U296"/>
    <mergeCell ref="V296:V296"/>
    <mergeCell ref="W296:W296"/>
    <mergeCell ref="X296:X296"/>
    <mergeCell ref="Y296:Y296"/>
    <mergeCell ref="Z296:Z296"/>
    <mergeCell ref="A297:A297"/>
    <mergeCell ref="B297:B297"/>
    <mergeCell ref="C297:C297"/>
    <mergeCell ref="D297:D297"/>
    <mergeCell ref="E297:E297"/>
    <mergeCell ref="F297:F297"/>
    <mergeCell ref="G297:G297"/>
    <mergeCell ref="H297:H297"/>
    <mergeCell ref="I297:I297"/>
    <mergeCell ref="J297:J297"/>
    <mergeCell ref="K297:K297"/>
    <mergeCell ref="L297:L297"/>
    <mergeCell ref="M297:M297"/>
    <mergeCell ref="N297:N297"/>
    <mergeCell ref="O297:O297"/>
    <mergeCell ref="P297:P297"/>
    <mergeCell ref="Q297:Q297"/>
    <mergeCell ref="R297:R297"/>
    <mergeCell ref="S297:S297"/>
    <mergeCell ref="T297:T297"/>
    <mergeCell ref="U297:U297"/>
    <mergeCell ref="V297:V297"/>
    <mergeCell ref="W297:W297"/>
    <mergeCell ref="X297:X297"/>
    <mergeCell ref="Y297:Y297"/>
    <mergeCell ref="Z297:Z297"/>
    <mergeCell ref="A298:A298"/>
    <mergeCell ref="B298:B298"/>
    <mergeCell ref="C298:C298"/>
    <mergeCell ref="D298:D298"/>
    <mergeCell ref="E298:E298"/>
    <mergeCell ref="F298:F298"/>
    <mergeCell ref="G298:G298"/>
    <mergeCell ref="H298:H298"/>
    <mergeCell ref="I298:I298"/>
    <mergeCell ref="J298:J298"/>
    <mergeCell ref="K298:K298"/>
    <mergeCell ref="L298:L298"/>
    <mergeCell ref="M298:M298"/>
    <mergeCell ref="N298:N298"/>
    <mergeCell ref="O298:O298"/>
    <mergeCell ref="P298:P298"/>
    <mergeCell ref="Q298:Q298"/>
    <mergeCell ref="R298:R298"/>
    <mergeCell ref="S298:S298"/>
    <mergeCell ref="T298:T298"/>
    <mergeCell ref="U298:U298"/>
    <mergeCell ref="V298:V298"/>
    <mergeCell ref="W298:W298"/>
    <mergeCell ref="X298:X298"/>
    <mergeCell ref="Y298:Y298"/>
    <mergeCell ref="Z298:Z298"/>
    <mergeCell ref="A299:A299"/>
    <mergeCell ref="B299:B299"/>
    <mergeCell ref="C299:C299"/>
    <mergeCell ref="D299:D299"/>
    <mergeCell ref="E299:E299"/>
    <mergeCell ref="F299:F299"/>
    <mergeCell ref="G299:G299"/>
    <mergeCell ref="H299:H299"/>
    <mergeCell ref="I299:I299"/>
    <mergeCell ref="J299:J299"/>
    <mergeCell ref="K299:K299"/>
    <mergeCell ref="L299:L299"/>
    <mergeCell ref="M299:M299"/>
    <mergeCell ref="N299:N299"/>
    <mergeCell ref="O299:O299"/>
    <mergeCell ref="P299:P299"/>
    <mergeCell ref="Q299:Q299"/>
    <mergeCell ref="R299:R299"/>
    <mergeCell ref="S299:S299"/>
    <mergeCell ref="T299:T299"/>
    <mergeCell ref="U299:U299"/>
    <mergeCell ref="V299:V299"/>
    <mergeCell ref="W299:W299"/>
    <mergeCell ref="X299:X299"/>
    <mergeCell ref="Y299:Y299"/>
    <mergeCell ref="Z299:Z299"/>
    <mergeCell ref="A300:A300"/>
    <mergeCell ref="B300:B300"/>
    <mergeCell ref="C300:C300"/>
    <mergeCell ref="D300:D300"/>
    <mergeCell ref="E300:E300"/>
    <mergeCell ref="F300:F300"/>
    <mergeCell ref="G300:G300"/>
    <mergeCell ref="H300:H300"/>
    <mergeCell ref="I300:I300"/>
    <mergeCell ref="J300:J300"/>
    <mergeCell ref="K300:K300"/>
    <mergeCell ref="L300:L300"/>
    <mergeCell ref="M300:M300"/>
    <mergeCell ref="N300:N300"/>
    <mergeCell ref="O300:O300"/>
    <mergeCell ref="P300:P300"/>
    <mergeCell ref="Q300:Q300"/>
    <mergeCell ref="R300:R300"/>
    <mergeCell ref="S300:S300"/>
    <mergeCell ref="T300:T300"/>
    <mergeCell ref="U300:U300"/>
    <mergeCell ref="V300:V300"/>
    <mergeCell ref="W300:W300"/>
    <mergeCell ref="X300:X300"/>
    <mergeCell ref="Y300:Y300"/>
    <mergeCell ref="Z300:Z300"/>
    <mergeCell ref="A301:A301"/>
    <mergeCell ref="B301:B301"/>
    <mergeCell ref="C301:C301"/>
    <mergeCell ref="D301:D301"/>
    <mergeCell ref="E301:E301"/>
    <mergeCell ref="F301:F301"/>
    <mergeCell ref="G301:G301"/>
    <mergeCell ref="H301:H301"/>
    <mergeCell ref="I301:I301"/>
    <mergeCell ref="J301:J301"/>
    <mergeCell ref="K301:K301"/>
    <mergeCell ref="L301:L301"/>
    <mergeCell ref="M301:M301"/>
    <mergeCell ref="N301:N301"/>
    <mergeCell ref="O301:O301"/>
    <mergeCell ref="P301:P301"/>
    <mergeCell ref="Q301:Q301"/>
    <mergeCell ref="R301:R301"/>
    <mergeCell ref="S301:S301"/>
    <mergeCell ref="T301:T301"/>
    <mergeCell ref="U301:U301"/>
    <mergeCell ref="V301:V301"/>
    <mergeCell ref="W301:W301"/>
    <mergeCell ref="X301:X301"/>
    <mergeCell ref="Y301:Y301"/>
    <mergeCell ref="Z301:Z301"/>
    <mergeCell ref="A302:A302"/>
    <mergeCell ref="B302:B302"/>
    <mergeCell ref="C302:C302"/>
    <mergeCell ref="D302:D302"/>
    <mergeCell ref="E302:E302"/>
    <mergeCell ref="F302:F302"/>
    <mergeCell ref="G302:G302"/>
    <mergeCell ref="H302:H302"/>
    <mergeCell ref="I302:I302"/>
    <mergeCell ref="J302:J302"/>
    <mergeCell ref="K302:K302"/>
    <mergeCell ref="L302:L302"/>
    <mergeCell ref="M302:M302"/>
    <mergeCell ref="N302:N302"/>
    <mergeCell ref="O302:O302"/>
    <mergeCell ref="P302:P302"/>
    <mergeCell ref="Q302:Q302"/>
    <mergeCell ref="R302:R302"/>
    <mergeCell ref="S302:S302"/>
    <mergeCell ref="T302:T302"/>
    <mergeCell ref="U302:U302"/>
    <mergeCell ref="V302:V302"/>
    <mergeCell ref="W302:W302"/>
    <mergeCell ref="X302:X302"/>
    <mergeCell ref="Y302:Y302"/>
    <mergeCell ref="Z302:Z302"/>
    <mergeCell ref="A303:A303"/>
    <mergeCell ref="B303:B303"/>
    <mergeCell ref="C303:C303"/>
    <mergeCell ref="D303:D303"/>
    <mergeCell ref="E303:E303"/>
    <mergeCell ref="F303:F303"/>
    <mergeCell ref="G303:G303"/>
    <mergeCell ref="H303:H303"/>
    <mergeCell ref="I303:I303"/>
    <mergeCell ref="J303:J303"/>
    <mergeCell ref="K303:K303"/>
    <mergeCell ref="L303:L303"/>
    <mergeCell ref="M303:M303"/>
    <mergeCell ref="N303:N303"/>
    <mergeCell ref="O303:O303"/>
    <mergeCell ref="P303:P303"/>
    <mergeCell ref="Q303:Q303"/>
    <mergeCell ref="R303:R303"/>
    <mergeCell ref="S303:S303"/>
    <mergeCell ref="T303:T303"/>
    <mergeCell ref="U303:U303"/>
    <mergeCell ref="V303:V303"/>
    <mergeCell ref="W303:W303"/>
    <mergeCell ref="X303:X303"/>
    <mergeCell ref="Y303:Y303"/>
    <mergeCell ref="Z303:Z303"/>
    <mergeCell ref="A304:A304"/>
    <mergeCell ref="B304:B304"/>
    <mergeCell ref="C304:C304"/>
    <mergeCell ref="D304:D304"/>
    <mergeCell ref="E304:E304"/>
    <mergeCell ref="F304:F304"/>
    <mergeCell ref="G304:G304"/>
    <mergeCell ref="H304:H304"/>
    <mergeCell ref="I304:I304"/>
    <mergeCell ref="J304:J304"/>
    <mergeCell ref="K304:K304"/>
    <mergeCell ref="L304:L304"/>
    <mergeCell ref="M304:M304"/>
    <mergeCell ref="N304:N304"/>
    <mergeCell ref="O304:O304"/>
    <mergeCell ref="P304:P304"/>
    <mergeCell ref="Q304:Q304"/>
    <mergeCell ref="R304:R304"/>
    <mergeCell ref="S304:S304"/>
    <mergeCell ref="T304:T304"/>
    <mergeCell ref="U304:U304"/>
    <mergeCell ref="V304:V304"/>
    <mergeCell ref="W304:W304"/>
    <mergeCell ref="X304:X304"/>
    <mergeCell ref="Y304:Y304"/>
    <mergeCell ref="Z304:Z304"/>
    <mergeCell ref="A305:A305"/>
    <mergeCell ref="B305:B305"/>
    <mergeCell ref="C305:C305"/>
    <mergeCell ref="D305:D305"/>
    <mergeCell ref="E305:E305"/>
    <mergeCell ref="F305:F305"/>
    <mergeCell ref="G305:G305"/>
    <mergeCell ref="H305:H305"/>
    <mergeCell ref="I305:I305"/>
    <mergeCell ref="J305:J305"/>
    <mergeCell ref="K305:K305"/>
    <mergeCell ref="L305:L305"/>
    <mergeCell ref="M305:M305"/>
    <mergeCell ref="N305:N305"/>
    <mergeCell ref="O305:O305"/>
    <mergeCell ref="P305:P305"/>
    <mergeCell ref="Q305:Q305"/>
    <mergeCell ref="R305:R305"/>
    <mergeCell ref="S305:S305"/>
    <mergeCell ref="T305:T305"/>
    <mergeCell ref="U305:U305"/>
    <mergeCell ref="V305:V305"/>
    <mergeCell ref="W305:W305"/>
    <mergeCell ref="X305:X305"/>
    <mergeCell ref="Y305:Y305"/>
    <mergeCell ref="Z305:Z305"/>
    <mergeCell ref="A306:A306"/>
    <mergeCell ref="B306:B306"/>
    <mergeCell ref="C306:C306"/>
    <mergeCell ref="D306:D306"/>
    <mergeCell ref="E306:E306"/>
    <mergeCell ref="F306:F306"/>
    <mergeCell ref="G306:G306"/>
    <mergeCell ref="H306:H306"/>
    <mergeCell ref="I306:I306"/>
    <mergeCell ref="J306:J306"/>
    <mergeCell ref="K306:K306"/>
    <mergeCell ref="L306:L306"/>
    <mergeCell ref="M306:M306"/>
    <mergeCell ref="N306:N306"/>
    <mergeCell ref="O306:O306"/>
    <mergeCell ref="P306:P306"/>
    <mergeCell ref="Q306:Q306"/>
    <mergeCell ref="R306:R306"/>
    <mergeCell ref="S306:S306"/>
    <mergeCell ref="T306:T306"/>
    <mergeCell ref="U306:U306"/>
    <mergeCell ref="V306:V306"/>
    <mergeCell ref="W306:W306"/>
    <mergeCell ref="X306:X306"/>
    <mergeCell ref="Y306:Y306"/>
    <mergeCell ref="Z306:Z306"/>
    <mergeCell ref="A307:A307"/>
    <mergeCell ref="B307:B307"/>
    <mergeCell ref="C307:C307"/>
    <mergeCell ref="D307:D307"/>
    <mergeCell ref="E307:E307"/>
    <mergeCell ref="F307:F307"/>
    <mergeCell ref="G307:G307"/>
    <mergeCell ref="H307:H307"/>
    <mergeCell ref="I307:I307"/>
    <mergeCell ref="J307:J307"/>
    <mergeCell ref="K307:K307"/>
    <mergeCell ref="L307:L307"/>
    <mergeCell ref="M307:M307"/>
    <mergeCell ref="N307:N307"/>
    <mergeCell ref="O307:O307"/>
    <mergeCell ref="P307:P307"/>
    <mergeCell ref="Q307:Q307"/>
    <mergeCell ref="R307:R307"/>
    <mergeCell ref="S307:S307"/>
    <mergeCell ref="T307:T307"/>
    <mergeCell ref="U307:U307"/>
    <mergeCell ref="V307:V307"/>
    <mergeCell ref="W307:W307"/>
    <mergeCell ref="X307:X307"/>
    <mergeCell ref="Y307:Y307"/>
    <mergeCell ref="Z307:Z307"/>
    <mergeCell ref="A308:A308"/>
    <mergeCell ref="B308:B308"/>
    <mergeCell ref="C308:C308"/>
    <mergeCell ref="D308:D308"/>
    <mergeCell ref="E308:E308"/>
    <mergeCell ref="F308:F308"/>
    <mergeCell ref="G308:G308"/>
    <mergeCell ref="H308:H308"/>
    <mergeCell ref="I308:I308"/>
    <mergeCell ref="J308:J308"/>
    <mergeCell ref="K308:K308"/>
    <mergeCell ref="L308:L308"/>
    <mergeCell ref="M308:M308"/>
    <mergeCell ref="N308:N308"/>
    <mergeCell ref="O308:O308"/>
    <mergeCell ref="P308:P308"/>
    <mergeCell ref="Q308:Q308"/>
    <mergeCell ref="R308:R308"/>
    <mergeCell ref="S308:S308"/>
    <mergeCell ref="T308:T308"/>
    <mergeCell ref="U308:U308"/>
    <mergeCell ref="V308:V308"/>
    <mergeCell ref="W308:W308"/>
    <mergeCell ref="X308:X308"/>
    <mergeCell ref="Y308:Y308"/>
    <mergeCell ref="Z308:Z308"/>
    <mergeCell ref="A309:A309"/>
    <mergeCell ref="B309:B309"/>
    <mergeCell ref="C309:C309"/>
    <mergeCell ref="D309:D309"/>
    <mergeCell ref="E309:E309"/>
    <mergeCell ref="F309:F309"/>
    <mergeCell ref="G309:G309"/>
    <mergeCell ref="H309:H309"/>
    <mergeCell ref="I309:I309"/>
    <mergeCell ref="J309:J309"/>
    <mergeCell ref="K309:K309"/>
    <mergeCell ref="L309:L309"/>
    <mergeCell ref="M309:M309"/>
    <mergeCell ref="N309:N309"/>
    <mergeCell ref="O309:O309"/>
    <mergeCell ref="P309:P309"/>
    <mergeCell ref="Q309:Q309"/>
    <mergeCell ref="R309:R309"/>
    <mergeCell ref="S309:S309"/>
    <mergeCell ref="T309:T309"/>
    <mergeCell ref="U309:U309"/>
    <mergeCell ref="V309:V309"/>
    <mergeCell ref="W309:W309"/>
    <mergeCell ref="X309:X309"/>
    <mergeCell ref="Y309:Y309"/>
    <mergeCell ref="Z309:Z309"/>
    <mergeCell ref="A310:A310"/>
    <mergeCell ref="B310:B310"/>
    <mergeCell ref="C310:C310"/>
    <mergeCell ref="D310:D310"/>
    <mergeCell ref="E310:E310"/>
    <mergeCell ref="F310:F310"/>
    <mergeCell ref="G310:G310"/>
    <mergeCell ref="H310:H310"/>
    <mergeCell ref="I310:I310"/>
    <mergeCell ref="J310:J310"/>
    <mergeCell ref="K310:K310"/>
    <mergeCell ref="L310:L310"/>
    <mergeCell ref="M310:M310"/>
    <mergeCell ref="N310:N310"/>
    <mergeCell ref="O310:O310"/>
    <mergeCell ref="P310:P310"/>
    <mergeCell ref="Q310:Q310"/>
    <mergeCell ref="R310:R310"/>
    <mergeCell ref="S310:S310"/>
    <mergeCell ref="T310:T310"/>
    <mergeCell ref="U310:U310"/>
    <mergeCell ref="V310:V310"/>
    <mergeCell ref="W310:W310"/>
    <mergeCell ref="X310:X310"/>
    <mergeCell ref="Y310:Y310"/>
    <mergeCell ref="Z310:Z310"/>
    <mergeCell ref="A311:A311"/>
    <mergeCell ref="B311:B311"/>
    <mergeCell ref="C311:C311"/>
    <mergeCell ref="D311:D311"/>
    <mergeCell ref="E311:E311"/>
    <mergeCell ref="F311:F311"/>
    <mergeCell ref="G311:G311"/>
    <mergeCell ref="H311:H311"/>
    <mergeCell ref="I311:I311"/>
    <mergeCell ref="J311:J311"/>
    <mergeCell ref="K311:K311"/>
    <mergeCell ref="L311:L311"/>
    <mergeCell ref="M311:M311"/>
    <mergeCell ref="N311:N311"/>
    <mergeCell ref="O311:O311"/>
    <mergeCell ref="P311:P311"/>
    <mergeCell ref="Q311:Q311"/>
    <mergeCell ref="R311:R311"/>
    <mergeCell ref="S311:S311"/>
    <mergeCell ref="T311:T311"/>
    <mergeCell ref="U311:U311"/>
    <mergeCell ref="V311:V311"/>
    <mergeCell ref="W311:W311"/>
    <mergeCell ref="X311:X311"/>
    <mergeCell ref="Y311:Y311"/>
    <mergeCell ref="Z311:Z311"/>
    <mergeCell ref="A312:A312"/>
    <mergeCell ref="B312:B312"/>
    <mergeCell ref="C312:C312"/>
    <mergeCell ref="D312:D312"/>
    <mergeCell ref="E312:E312"/>
    <mergeCell ref="F312:F312"/>
    <mergeCell ref="G312:G312"/>
    <mergeCell ref="H312:H312"/>
    <mergeCell ref="I312:I312"/>
    <mergeCell ref="J312:J312"/>
    <mergeCell ref="K312:K312"/>
    <mergeCell ref="L312:L312"/>
    <mergeCell ref="M312:M312"/>
    <mergeCell ref="N312:N312"/>
    <mergeCell ref="O312:O312"/>
    <mergeCell ref="P312:P312"/>
    <mergeCell ref="Q312:Q312"/>
    <mergeCell ref="R312:R312"/>
    <mergeCell ref="S312:S312"/>
    <mergeCell ref="T312:T312"/>
    <mergeCell ref="U312:U312"/>
    <mergeCell ref="V312:V312"/>
    <mergeCell ref="W312:W312"/>
    <mergeCell ref="X312:X312"/>
    <mergeCell ref="Y312:Y312"/>
    <mergeCell ref="Z312:Z312"/>
    <mergeCell ref="A313:A313"/>
    <mergeCell ref="B313:B313"/>
    <mergeCell ref="C313:C313"/>
    <mergeCell ref="D313:D313"/>
    <mergeCell ref="E313:E313"/>
    <mergeCell ref="F313:F313"/>
    <mergeCell ref="G313:G313"/>
    <mergeCell ref="H313:H313"/>
    <mergeCell ref="I313:I313"/>
    <mergeCell ref="J313:J313"/>
    <mergeCell ref="K313:K313"/>
    <mergeCell ref="L313:L313"/>
    <mergeCell ref="M313:M313"/>
    <mergeCell ref="N313:N313"/>
    <mergeCell ref="O313:O313"/>
    <mergeCell ref="P313:P313"/>
    <mergeCell ref="Q313:Q313"/>
    <mergeCell ref="R313:R313"/>
    <mergeCell ref="S313:S313"/>
    <mergeCell ref="T313:T313"/>
    <mergeCell ref="U313:U313"/>
    <mergeCell ref="V313:V313"/>
    <mergeCell ref="W313:W313"/>
    <mergeCell ref="X313:X313"/>
    <mergeCell ref="Y313:Y313"/>
    <mergeCell ref="Z313:Z313"/>
    <mergeCell ref="A314:A314"/>
    <mergeCell ref="B314:B314"/>
    <mergeCell ref="C314:C314"/>
    <mergeCell ref="D314:D314"/>
    <mergeCell ref="E314:E314"/>
    <mergeCell ref="F314:F314"/>
    <mergeCell ref="G314:G314"/>
    <mergeCell ref="H314:H314"/>
    <mergeCell ref="I314:I314"/>
    <mergeCell ref="J314:J314"/>
    <mergeCell ref="K314:K314"/>
    <mergeCell ref="L314:L314"/>
    <mergeCell ref="M314:M314"/>
    <mergeCell ref="N314:N314"/>
    <mergeCell ref="O314:O314"/>
    <mergeCell ref="P314:P314"/>
    <mergeCell ref="Q314:Q314"/>
    <mergeCell ref="R314:R314"/>
    <mergeCell ref="S314:S314"/>
    <mergeCell ref="T314:T314"/>
    <mergeCell ref="U314:U314"/>
    <mergeCell ref="V314:V314"/>
    <mergeCell ref="W314:W314"/>
    <mergeCell ref="X314:X314"/>
    <mergeCell ref="Y314:Y314"/>
    <mergeCell ref="Z314:Z314"/>
    <mergeCell ref="A315:A315"/>
    <mergeCell ref="B315:B315"/>
    <mergeCell ref="C315:C315"/>
    <mergeCell ref="D315:D315"/>
    <mergeCell ref="E315:E315"/>
    <mergeCell ref="F315:F315"/>
    <mergeCell ref="G315:G315"/>
    <mergeCell ref="H315:H315"/>
    <mergeCell ref="I315:I315"/>
    <mergeCell ref="J315:J315"/>
    <mergeCell ref="K315:K315"/>
    <mergeCell ref="L315:L315"/>
    <mergeCell ref="M315:M315"/>
    <mergeCell ref="N315:N315"/>
    <mergeCell ref="O315:O315"/>
    <mergeCell ref="P315:P315"/>
    <mergeCell ref="Q315:Q315"/>
    <mergeCell ref="R315:R315"/>
    <mergeCell ref="S315:S315"/>
    <mergeCell ref="T315:T315"/>
    <mergeCell ref="U315:U315"/>
    <mergeCell ref="V315:V315"/>
    <mergeCell ref="W315:W315"/>
    <mergeCell ref="X315:X315"/>
    <mergeCell ref="Y315:Y315"/>
    <mergeCell ref="Z315:Z315"/>
    <mergeCell ref="A316:A316"/>
    <mergeCell ref="B316:B316"/>
    <mergeCell ref="C316:C316"/>
    <mergeCell ref="D316:D316"/>
    <mergeCell ref="E316:E316"/>
    <mergeCell ref="F316:F316"/>
    <mergeCell ref="G316:G316"/>
    <mergeCell ref="H316:H316"/>
    <mergeCell ref="I316:I316"/>
    <mergeCell ref="J316:J316"/>
    <mergeCell ref="K316:K316"/>
    <mergeCell ref="L316:L316"/>
    <mergeCell ref="M316:M316"/>
    <mergeCell ref="N316:N316"/>
    <mergeCell ref="O316:O316"/>
    <mergeCell ref="P316:P316"/>
    <mergeCell ref="Q316:Q316"/>
    <mergeCell ref="R316:R316"/>
    <mergeCell ref="S316:S316"/>
    <mergeCell ref="T316:T316"/>
    <mergeCell ref="U316:U316"/>
    <mergeCell ref="V316:V316"/>
    <mergeCell ref="W316:W316"/>
    <mergeCell ref="X316:X316"/>
    <mergeCell ref="Y316:Y316"/>
    <mergeCell ref="Z316:Z316"/>
    <mergeCell ref="A317:A317"/>
    <mergeCell ref="B317:B317"/>
    <mergeCell ref="C317:C317"/>
    <mergeCell ref="D317:D317"/>
    <mergeCell ref="E317:E317"/>
    <mergeCell ref="F317:F317"/>
    <mergeCell ref="G317:G317"/>
    <mergeCell ref="H317:H317"/>
    <mergeCell ref="I317:I317"/>
    <mergeCell ref="J317:J317"/>
    <mergeCell ref="K317:K317"/>
    <mergeCell ref="L317:L317"/>
    <mergeCell ref="M317:M317"/>
    <mergeCell ref="N317:N317"/>
    <mergeCell ref="O317:O317"/>
    <mergeCell ref="P317:P317"/>
    <mergeCell ref="Q317:Q317"/>
    <mergeCell ref="R317:R317"/>
    <mergeCell ref="S317:S317"/>
    <mergeCell ref="T317:T317"/>
    <mergeCell ref="U317:U317"/>
    <mergeCell ref="V317:V317"/>
    <mergeCell ref="W317:W317"/>
    <mergeCell ref="X317:X317"/>
    <mergeCell ref="Y317:Y317"/>
    <mergeCell ref="Z317:Z317"/>
    <mergeCell ref="A318:A318"/>
    <mergeCell ref="B318:B318"/>
    <mergeCell ref="C318:C318"/>
    <mergeCell ref="D318:D318"/>
    <mergeCell ref="E318:E318"/>
    <mergeCell ref="F318:F318"/>
    <mergeCell ref="G318:G318"/>
    <mergeCell ref="H318:H318"/>
    <mergeCell ref="I318:I318"/>
    <mergeCell ref="J318:J318"/>
    <mergeCell ref="K318:K318"/>
    <mergeCell ref="L318:L318"/>
    <mergeCell ref="M318:M318"/>
    <mergeCell ref="N318:N318"/>
    <mergeCell ref="O318:O318"/>
    <mergeCell ref="P318:P318"/>
    <mergeCell ref="Q318:Q318"/>
    <mergeCell ref="R318:R318"/>
    <mergeCell ref="S318:S318"/>
    <mergeCell ref="T318:T318"/>
    <mergeCell ref="U318:U318"/>
    <mergeCell ref="V318:V318"/>
    <mergeCell ref="W318:W318"/>
    <mergeCell ref="X318:X318"/>
    <mergeCell ref="Y318:Y318"/>
    <mergeCell ref="Z318:Z318"/>
    <mergeCell ref="A319:A319"/>
    <mergeCell ref="B319:B319"/>
    <mergeCell ref="C319:C319"/>
    <mergeCell ref="D319:D319"/>
    <mergeCell ref="E319:E319"/>
    <mergeCell ref="F319:F319"/>
    <mergeCell ref="G319:G319"/>
    <mergeCell ref="H319:H319"/>
    <mergeCell ref="I319:I319"/>
    <mergeCell ref="J319:J319"/>
    <mergeCell ref="K319:K319"/>
    <mergeCell ref="L319:L319"/>
    <mergeCell ref="M319:M319"/>
    <mergeCell ref="N319:N319"/>
    <mergeCell ref="O319:O319"/>
    <mergeCell ref="P319:P319"/>
    <mergeCell ref="Q319:Q319"/>
    <mergeCell ref="R319:R319"/>
    <mergeCell ref="S319:S319"/>
    <mergeCell ref="T319:T319"/>
    <mergeCell ref="U319:U319"/>
    <mergeCell ref="V319:V319"/>
    <mergeCell ref="W319:W319"/>
    <mergeCell ref="X319:X319"/>
    <mergeCell ref="Y319:Y319"/>
    <mergeCell ref="Z319:Z319"/>
    <mergeCell ref="A320:A320"/>
    <mergeCell ref="B320:B320"/>
    <mergeCell ref="C320:C320"/>
    <mergeCell ref="D320:D320"/>
    <mergeCell ref="E320:E320"/>
    <mergeCell ref="F320:F320"/>
    <mergeCell ref="G320:G320"/>
    <mergeCell ref="H320:H320"/>
    <mergeCell ref="I320:I320"/>
    <mergeCell ref="J320:J320"/>
    <mergeCell ref="K320:K320"/>
    <mergeCell ref="L320:L320"/>
    <mergeCell ref="M320:M320"/>
    <mergeCell ref="N320:N320"/>
    <mergeCell ref="O320:O320"/>
    <mergeCell ref="P320:P320"/>
    <mergeCell ref="Q320:Q320"/>
    <mergeCell ref="R320:R320"/>
    <mergeCell ref="S320:S320"/>
    <mergeCell ref="T320:T320"/>
    <mergeCell ref="U320:U320"/>
    <mergeCell ref="V320:V320"/>
    <mergeCell ref="W320:W320"/>
    <mergeCell ref="X320:X320"/>
    <mergeCell ref="Y320:Y320"/>
    <mergeCell ref="Z320:Z320"/>
    <mergeCell ref="A321:A321"/>
    <mergeCell ref="B321:B321"/>
    <mergeCell ref="C321:C321"/>
    <mergeCell ref="D321:D321"/>
    <mergeCell ref="E321:E321"/>
    <mergeCell ref="F321:F321"/>
    <mergeCell ref="G321:G321"/>
    <mergeCell ref="H321:H321"/>
    <mergeCell ref="I321:I321"/>
    <mergeCell ref="J321:J321"/>
    <mergeCell ref="K321:K321"/>
    <mergeCell ref="L321:L321"/>
    <mergeCell ref="M321:M321"/>
    <mergeCell ref="N321:N321"/>
    <mergeCell ref="O321:O321"/>
    <mergeCell ref="P321:P321"/>
    <mergeCell ref="Q321:Q321"/>
    <mergeCell ref="R321:R321"/>
    <mergeCell ref="S321:S321"/>
    <mergeCell ref="T321:T321"/>
    <mergeCell ref="U321:U321"/>
    <mergeCell ref="V321:V321"/>
    <mergeCell ref="W321:W321"/>
    <mergeCell ref="X321:X321"/>
    <mergeCell ref="Y321:Y321"/>
    <mergeCell ref="Z321:Z321"/>
    <mergeCell ref="A322:A322"/>
    <mergeCell ref="B322:B322"/>
    <mergeCell ref="C322:C322"/>
    <mergeCell ref="D322:D322"/>
    <mergeCell ref="E322:E322"/>
    <mergeCell ref="F322:F322"/>
    <mergeCell ref="G322:G322"/>
    <mergeCell ref="H322:H322"/>
    <mergeCell ref="I322:I322"/>
    <mergeCell ref="J322:J322"/>
    <mergeCell ref="K322:K322"/>
    <mergeCell ref="L322:L322"/>
    <mergeCell ref="M322:M322"/>
    <mergeCell ref="N322:N322"/>
    <mergeCell ref="O322:O322"/>
    <mergeCell ref="P322:P322"/>
    <mergeCell ref="Q322:Q322"/>
    <mergeCell ref="R322:R322"/>
    <mergeCell ref="S322:S322"/>
    <mergeCell ref="T322:T322"/>
    <mergeCell ref="U322:U322"/>
    <mergeCell ref="V322:V322"/>
    <mergeCell ref="W322:W322"/>
    <mergeCell ref="X322:X322"/>
    <mergeCell ref="Y322:Y322"/>
    <mergeCell ref="Z322:Z322"/>
    <mergeCell ref="A323:A323"/>
    <mergeCell ref="B323:B323"/>
    <mergeCell ref="C323:C323"/>
    <mergeCell ref="D323:D323"/>
    <mergeCell ref="E323:E323"/>
    <mergeCell ref="F323:F323"/>
    <mergeCell ref="G323:G323"/>
    <mergeCell ref="H323:H323"/>
    <mergeCell ref="I323:I323"/>
    <mergeCell ref="J323:J323"/>
    <mergeCell ref="K323:K323"/>
    <mergeCell ref="L323:L323"/>
    <mergeCell ref="M323:M323"/>
    <mergeCell ref="N323:N323"/>
    <mergeCell ref="O323:O323"/>
    <mergeCell ref="P323:P323"/>
    <mergeCell ref="Q323:Q323"/>
    <mergeCell ref="R323:R323"/>
    <mergeCell ref="S323:S323"/>
    <mergeCell ref="T323:T323"/>
    <mergeCell ref="U323:U323"/>
    <mergeCell ref="V323:V323"/>
    <mergeCell ref="W323:W323"/>
    <mergeCell ref="X323:X323"/>
    <mergeCell ref="Y323:Y323"/>
    <mergeCell ref="Z323:Z323"/>
    <mergeCell ref="A324:A324"/>
    <mergeCell ref="B324:B324"/>
    <mergeCell ref="C324:C324"/>
    <mergeCell ref="D324:D324"/>
    <mergeCell ref="E324:E324"/>
    <mergeCell ref="F324:F324"/>
    <mergeCell ref="G324:G324"/>
    <mergeCell ref="H324:H324"/>
    <mergeCell ref="I324:I324"/>
    <mergeCell ref="J324:J324"/>
    <mergeCell ref="K324:K324"/>
    <mergeCell ref="L324:L324"/>
    <mergeCell ref="M324:M324"/>
    <mergeCell ref="N324:N324"/>
    <mergeCell ref="O324:O324"/>
    <mergeCell ref="P324:P324"/>
    <mergeCell ref="Q324:Q324"/>
    <mergeCell ref="R324:R324"/>
    <mergeCell ref="S324:S324"/>
    <mergeCell ref="T324:T324"/>
    <mergeCell ref="U324:U324"/>
    <mergeCell ref="V324:V324"/>
    <mergeCell ref="W324:W324"/>
    <mergeCell ref="X324:X324"/>
    <mergeCell ref="Y324:Y324"/>
    <mergeCell ref="Z324:Z324"/>
    <mergeCell ref="A325:A325"/>
    <mergeCell ref="B325:B325"/>
    <mergeCell ref="C325:C325"/>
    <mergeCell ref="D325:D325"/>
    <mergeCell ref="E325:E325"/>
    <mergeCell ref="F325:F325"/>
    <mergeCell ref="G325:G325"/>
    <mergeCell ref="H325:H325"/>
    <mergeCell ref="I325:I325"/>
    <mergeCell ref="J325:J325"/>
    <mergeCell ref="K325:K325"/>
    <mergeCell ref="L325:L325"/>
    <mergeCell ref="M325:M325"/>
    <mergeCell ref="N325:N325"/>
    <mergeCell ref="O325:O325"/>
    <mergeCell ref="P325:P325"/>
    <mergeCell ref="Q325:Q325"/>
    <mergeCell ref="R325:R325"/>
    <mergeCell ref="S325:S325"/>
    <mergeCell ref="T325:T325"/>
    <mergeCell ref="U325:U325"/>
    <mergeCell ref="V325:V325"/>
    <mergeCell ref="W325:W325"/>
    <mergeCell ref="X325:X325"/>
    <mergeCell ref="Y325:Y325"/>
    <mergeCell ref="Z325:Z325"/>
    <mergeCell ref="A326:A326"/>
    <mergeCell ref="B326:B326"/>
    <mergeCell ref="C326:C326"/>
    <mergeCell ref="D326:D326"/>
    <mergeCell ref="E326:E326"/>
    <mergeCell ref="F326:F326"/>
    <mergeCell ref="G326:G326"/>
    <mergeCell ref="H326:H326"/>
    <mergeCell ref="I326:I326"/>
    <mergeCell ref="J326:J326"/>
    <mergeCell ref="K326:K326"/>
    <mergeCell ref="L326:L326"/>
    <mergeCell ref="M326:M326"/>
    <mergeCell ref="N326:N326"/>
    <mergeCell ref="O326:O326"/>
    <mergeCell ref="P326:P326"/>
    <mergeCell ref="Q326:Q326"/>
    <mergeCell ref="R326:R326"/>
    <mergeCell ref="S326:S326"/>
    <mergeCell ref="T326:T326"/>
    <mergeCell ref="U326:U326"/>
    <mergeCell ref="V326:V326"/>
    <mergeCell ref="W326:W326"/>
    <mergeCell ref="X326:X326"/>
    <mergeCell ref="Y326:Y326"/>
    <mergeCell ref="Z326:Z326"/>
    <mergeCell ref="A327:A327"/>
    <mergeCell ref="B327:B327"/>
    <mergeCell ref="C327:C327"/>
    <mergeCell ref="D327:D327"/>
    <mergeCell ref="E327:E327"/>
    <mergeCell ref="F327:F327"/>
    <mergeCell ref="G327:G327"/>
    <mergeCell ref="H327:H327"/>
    <mergeCell ref="I327:I327"/>
    <mergeCell ref="J327:J327"/>
    <mergeCell ref="K327:K327"/>
    <mergeCell ref="L327:L327"/>
    <mergeCell ref="M327:M327"/>
    <mergeCell ref="N327:N327"/>
    <mergeCell ref="O327:O327"/>
    <mergeCell ref="P327:P327"/>
    <mergeCell ref="Q327:Q327"/>
    <mergeCell ref="R327:R327"/>
    <mergeCell ref="S327:S327"/>
    <mergeCell ref="T327:T327"/>
    <mergeCell ref="U327:U327"/>
    <mergeCell ref="V327:V327"/>
    <mergeCell ref="W327:W327"/>
    <mergeCell ref="X327:X327"/>
    <mergeCell ref="Y327:Y327"/>
    <mergeCell ref="Z327:Z327"/>
    <mergeCell ref="A328:A328"/>
    <mergeCell ref="B328:B328"/>
    <mergeCell ref="C328:C328"/>
    <mergeCell ref="D328:D328"/>
    <mergeCell ref="E328:E328"/>
    <mergeCell ref="F328:F328"/>
    <mergeCell ref="G328:G328"/>
    <mergeCell ref="H328:H328"/>
    <mergeCell ref="I328:I328"/>
    <mergeCell ref="J328:J328"/>
    <mergeCell ref="K328:K328"/>
    <mergeCell ref="L328:L328"/>
    <mergeCell ref="M328:M328"/>
    <mergeCell ref="N328:N328"/>
    <mergeCell ref="O328:O328"/>
    <mergeCell ref="P328:P328"/>
    <mergeCell ref="Q328:Q328"/>
    <mergeCell ref="R328:R328"/>
    <mergeCell ref="S328:S328"/>
    <mergeCell ref="T328:T328"/>
    <mergeCell ref="U328:U328"/>
    <mergeCell ref="V328:V328"/>
    <mergeCell ref="W328:W328"/>
    <mergeCell ref="X328:X328"/>
    <mergeCell ref="Y328:Y328"/>
    <mergeCell ref="Z328:Z328"/>
    <mergeCell ref="A329:A329"/>
    <mergeCell ref="B329:B329"/>
    <mergeCell ref="C329:C329"/>
    <mergeCell ref="D329:D329"/>
    <mergeCell ref="E329:E329"/>
    <mergeCell ref="F329:F329"/>
    <mergeCell ref="G329:G329"/>
    <mergeCell ref="H329:H329"/>
    <mergeCell ref="I329:I329"/>
    <mergeCell ref="J329:J329"/>
    <mergeCell ref="K329:K329"/>
    <mergeCell ref="L329:L329"/>
    <mergeCell ref="M329:M329"/>
    <mergeCell ref="N329:N329"/>
    <mergeCell ref="O329:O329"/>
    <mergeCell ref="P329:P329"/>
    <mergeCell ref="Q329:Q329"/>
    <mergeCell ref="R329:R329"/>
    <mergeCell ref="S329:S329"/>
    <mergeCell ref="T329:T329"/>
    <mergeCell ref="U329:U329"/>
    <mergeCell ref="V329:V329"/>
    <mergeCell ref="W329:W329"/>
    <mergeCell ref="X329:X329"/>
    <mergeCell ref="Y329:Y329"/>
    <mergeCell ref="Z329:Z329"/>
    <mergeCell ref="A330:A330"/>
    <mergeCell ref="B330:B330"/>
    <mergeCell ref="C330:C330"/>
    <mergeCell ref="D330:D330"/>
    <mergeCell ref="E330:E330"/>
    <mergeCell ref="F330:F330"/>
    <mergeCell ref="G330:G330"/>
    <mergeCell ref="H330:H330"/>
    <mergeCell ref="I330:I330"/>
    <mergeCell ref="J330:J330"/>
    <mergeCell ref="K330:K330"/>
    <mergeCell ref="L330:L330"/>
    <mergeCell ref="M330:M330"/>
    <mergeCell ref="N330:N330"/>
    <mergeCell ref="O330:O330"/>
    <mergeCell ref="P330:P330"/>
    <mergeCell ref="Q330:Q330"/>
    <mergeCell ref="R330:R330"/>
    <mergeCell ref="S330:S330"/>
    <mergeCell ref="T330:T330"/>
    <mergeCell ref="U330:U330"/>
    <mergeCell ref="V330:V330"/>
    <mergeCell ref="W330:W330"/>
    <mergeCell ref="X330:X330"/>
    <mergeCell ref="Y330:Y330"/>
    <mergeCell ref="Z330:Z330"/>
    <mergeCell ref="A331:A331"/>
    <mergeCell ref="B331:B331"/>
    <mergeCell ref="C331:C331"/>
    <mergeCell ref="D331:D331"/>
    <mergeCell ref="E331:E331"/>
    <mergeCell ref="F331:F331"/>
    <mergeCell ref="G331:G331"/>
    <mergeCell ref="H331:H331"/>
    <mergeCell ref="I331:I331"/>
    <mergeCell ref="J331:J331"/>
    <mergeCell ref="K331:K331"/>
    <mergeCell ref="L331:L331"/>
    <mergeCell ref="M331:M331"/>
    <mergeCell ref="N331:N331"/>
    <mergeCell ref="O331:O331"/>
    <mergeCell ref="P331:P331"/>
    <mergeCell ref="Q331:Q331"/>
    <mergeCell ref="R331:R331"/>
    <mergeCell ref="S331:S331"/>
    <mergeCell ref="T331:T331"/>
    <mergeCell ref="U331:U331"/>
    <mergeCell ref="V331:V331"/>
    <mergeCell ref="W331:W331"/>
    <mergeCell ref="X331:X331"/>
    <mergeCell ref="Y331:Y331"/>
    <mergeCell ref="Z331:Z331"/>
    <mergeCell ref="A332:A332"/>
    <mergeCell ref="B332:B332"/>
    <mergeCell ref="C332:C332"/>
    <mergeCell ref="D332:D332"/>
    <mergeCell ref="E332:E332"/>
    <mergeCell ref="F332:F332"/>
    <mergeCell ref="G332:G332"/>
    <mergeCell ref="H332:H332"/>
    <mergeCell ref="I332:I332"/>
    <mergeCell ref="J332:J332"/>
    <mergeCell ref="K332:K332"/>
    <mergeCell ref="L332:L332"/>
    <mergeCell ref="M332:M332"/>
    <mergeCell ref="N332:N332"/>
    <mergeCell ref="O332:O332"/>
    <mergeCell ref="P332:P332"/>
    <mergeCell ref="Q332:Q332"/>
    <mergeCell ref="R332:R332"/>
    <mergeCell ref="S332:S332"/>
    <mergeCell ref="T332:T332"/>
    <mergeCell ref="U332:U332"/>
    <mergeCell ref="V332:V332"/>
    <mergeCell ref="W332:W332"/>
    <mergeCell ref="X332:X332"/>
    <mergeCell ref="Y332:Y332"/>
    <mergeCell ref="Z332:Z332"/>
    <mergeCell ref="A333:A333"/>
    <mergeCell ref="B333:B333"/>
    <mergeCell ref="C333:C333"/>
    <mergeCell ref="D333:D333"/>
    <mergeCell ref="E333:E333"/>
    <mergeCell ref="F333:F333"/>
    <mergeCell ref="G333:G333"/>
    <mergeCell ref="H333:H333"/>
    <mergeCell ref="I333:I333"/>
    <mergeCell ref="J333:J333"/>
    <mergeCell ref="K333:K333"/>
    <mergeCell ref="L333:L333"/>
    <mergeCell ref="M333:M333"/>
    <mergeCell ref="N333:N333"/>
    <mergeCell ref="O333:O333"/>
    <mergeCell ref="P333:P333"/>
    <mergeCell ref="Q333:Q333"/>
    <mergeCell ref="R333:R333"/>
    <mergeCell ref="S333:S333"/>
    <mergeCell ref="T333:T333"/>
    <mergeCell ref="U333:U333"/>
    <mergeCell ref="V333:V333"/>
    <mergeCell ref="W333:W333"/>
    <mergeCell ref="X333:X333"/>
    <mergeCell ref="Y333:Y333"/>
    <mergeCell ref="Z333:Z333"/>
    <mergeCell ref="A334:A334"/>
    <mergeCell ref="B334:B334"/>
    <mergeCell ref="C334:C334"/>
    <mergeCell ref="D334:D334"/>
    <mergeCell ref="E334:E334"/>
    <mergeCell ref="F334:F334"/>
    <mergeCell ref="G334:G334"/>
    <mergeCell ref="H334:H334"/>
    <mergeCell ref="I334:I334"/>
    <mergeCell ref="J334:J334"/>
    <mergeCell ref="K334:K334"/>
    <mergeCell ref="L334:L334"/>
    <mergeCell ref="M334:M334"/>
    <mergeCell ref="N334:N334"/>
    <mergeCell ref="O334:O334"/>
    <mergeCell ref="P334:P334"/>
    <mergeCell ref="Q334:Q334"/>
    <mergeCell ref="R334:R334"/>
    <mergeCell ref="S334:S334"/>
    <mergeCell ref="T334:T334"/>
    <mergeCell ref="U334:U334"/>
    <mergeCell ref="V334:V334"/>
    <mergeCell ref="W334:W334"/>
    <mergeCell ref="X334:X334"/>
    <mergeCell ref="Y334:Y334"/>
    <mergeCell ref="Z334:Z334"/>
    <mergeCell ref="A335:A335"/>
    <mergeCell ref="B335:B335"/>
    <mergeCell ref="C335:C335"/>
    <mergeCell ref="D335:D335"/>
    <mergeCell ref="E335:E335"/>
    <mergeCell ref="F335:F335"/>
    <mergeCell ref="G335:G335"/>
    <mergeCell ref="H335:H335"/>
    <mergeCell ref="I335:I335"/>
    <mergeCell ref="J335:J335"/>
    <mergeCell ref="K335:K335"/>
    <mergeCell ref="L335:L335"/>
    <mergeCell ref="M335:M335"/>
    <mergeCell ref="N335:N335"/>
    <mergeCell ref="O335:O335"/>
    <mergeCell ref="P335:P335"/>
    <mergeCell ref="Q335:Q335"/>
    <mergeCell ref="R335:R335"/>
    <mergeCell ref="S335:S335"/>
    <mergeCell ref="T335:T335"/>
    <mergeCell ref="U335:U335"/>
    <mergeCell ref="V335:V335"/>
    <mergeCell ref="W335:W335"/>
    <mergeCell ref="X335:X335"/>
    <mergeCell ref="Y335:Y335"/>
    <mergeCell ref="Z335:Z335"/>
    <mergeCell ref="A336:A336"/>
    <mergeCell ref="B336:B336"/>
    <mergeCell ref="C336:C336"/>
    <mergeCell ref="D336:D336"/>
    <mergeCell ref="E336:E336"/>
    <mergeCell ref="F336:F336"/>
    <mergeCell ref="G336:G336"/>
    <mergeCell ref="H336:H336"/>
    <mergeCell ref="I336:I336"/>
    <mergeCell ref="J336:J336"/>
    <mergeCell ref="K336:K336"/>
    <mergeCell ref="L336:L336"/>
    <mergeCell ref="M336:M336"/>
    <mergeCell ref="N336:N336"/>
    <mergeCell ref="O336:O336"/>
    <mergeCell ref="P336:P336"/>
    <mergeCell ref="Q336:Q336"/>
    <mergeCell ref="R336:R336"/>
    <mergeCell ref="S336:S336"/>
    <mergeCell ref="T336:T336"/>
    <mergeCell ref="U336:U336"/>
    <mergeCell ref="V336:V336"/>
    <mergeCell ref="W336:W336"/>
    <mergeCell ref="X336:X336"/>
    <mergeCell ref="Y336:Y336"/>
    <mergeCell ref="Z336:Z336"/>
    <mergeCell ref="A337:A337"/>
    <mergeCell ref="B337:B337"/>
    <mergeCell ref="C337:C337"/>
    <mergeCell ref="D337:D337"/>
    <mergeCell ref="E337:E337"/>
    <mergeCell ref="F337:F337"/>
    <mergeCell ref="G337:G337"/>
    <mergeCell ref="H337:H337"/>
    <mergeCell ref="I337:I337"/>
    <mergeCell ref="J337:J337"/>
    <mergeCell ref="K337:K337"/>
    <mergeCell ref="L337:L337"/>
    <mergeCell ref="M337:M337"/>
    <mergeCell ref="N337:N337"/>
    <mergeCell ref="O337:O337"/>
    <mergeCell ref="P337:P337"/>
    <mergeCell ref="Q337:Q337"/>
    <mergeCell ref="R337:R337"/>
    <mergeCell ref="S337:S337"/>
    <mergeCell ref="T337:T337"/>
    <mergeCell ref="U337:U337"/>
    <mergeCell ref="V337:V337"/>
    <mergeCell ref="W337:W337"/>
    <mergeCell ref="X337:X337"/>
    <mergeCell ref="Y337:Y337"/>
    <mergeCell ref="Z337:Z337"/>
    <mergeCell ref="A338:A338"/>
    <mergeCell ref="B338:B338"/>
    <mergeCell ref="C338:C338"/>
    <mergeCell ref="D338:D338"/>
    <mergeCell ref="E338:E338"/>
    <mergeCell ref="F338:F338"/>
    <mergeCell ref="G338:G338"/>
    <mergeCell ref="H338:H338"/>
    <mergeCell ref="I338:I338"/>
    <mergeCell ref="J338:J338"/>
    <mergeCell ref="K338:K338"/>
    <mergeCell ref="L338:L338"/>
    <mergeCell ref="M338:M338"/>
    <mergeCell ref="N338:N338"/>
    <mergeCell ref="O338:O338"/>
    <mergeCell ref="P338:P338"/>
    <mergeCell ref="Q338:Q338"/>
    <mergeCell ref="R338:R338"/>
    <mergeCell ref="S338:S338"/>
    <mergeCell ref="T338:T338"/>
    <mergeCell ref="U338:U338"/>
    <mergeCell ref="V338:V338"/>
    <mergeCell ref="W338:W338"/>
    <mergeCell ref="X338:X338"/>
    <mergeCell ref="Y338:Y338"/>
    <mergeCell ref="Z338:Z338"/>
    <mergeCell ref="A339:A339"/>
    <mergeCell ref="B339:B339"/>
    <mergeCell ref="C339:C339"/>
    <mergeCell ref="D339:D339"/>
    <mergeCell ref="E339:E339"/>
    <mergeCell ref="F339:F339"/>
    <mergeCell ref="G339:G339"/>
    <mergeCell ref="H339:H339"/>
    <mergeCell ref="I339:I339"/>
    <mergeCell ref="J339:J339"/>
    <mergeCell ref="K339:K339"/>
    <mergeCell ref="L339:L339"/>
    <mergeCell ref="M339:M339"/>
    <mergeCell ref="N339:N339"/>
    <mergeCell ref="O339:O339"/>
    <mergeCell ref="P339:P339"/>
    <mergeCell ref="Q339:Q339"/>
    <mergeCell ref="R339:R339"/>
    <mergeCell ref="S339:S339"/>
    <mergeCell ref="T339:T339"/>
    <mergeCell ref="U339:U339"/>
    <mergeCell ref="V339:V339"/>
    <mergeCell ref="W339:W339"/>
    <mergeCell ref="X339:X339"/>
    <mergeCell ref="Y339:Y339"/>
    <mergeCell ref="Z339:Z339"/>
    <mergeCell ref="A340:A340"/>
    <mergeCell ref="B340:B340"/>
    <mergeCell ref="C340:C340"/>
    <mergeCell ref="D340:D340"/>
    <mergeCell ref="E340:E340"/>
    <mergeCell ref="F340:F340"/>
    <mergeCell ref="G340:G340"/>
    <mergeCell ref="H340:H340"/>
    <mergeCell ref="I340:I340"/>
    <mergeCell ref="J340:J340"/>
    <mergeCell ref="K340:K340"/>
    <mergeCell ref="L340:L340"/>
    <mergeCell ref="M340:M340"/>
    <mergeCell ref="N340:N340"/>
    <mergeCell ref="O340:O340"/>
    <mergeCell ref="P340:P340"/>
    <mergeCell ref="Q340:Q340"/>
    <mergeCell ref="R340:R340"/>
    <mergeCell ref="S340:S340"/>
    <mergeCell ref="T340:T340"/>
    <mergeCell ref="U340:U340"/>
    <mergeCell ref="V340:V340"/>
    <mergeCell ref="W340:W340"/>
    <mergeCell ref="X340:X340"/>
    <mergeCell ref="Y340:Y340"/>
    <mergeCell ref="Z340:Z340"/>
    <mergeCell ref="A341:A341"/>
    <mergeCell ref="B341:B341"/>
    <mergeCell ref="C341:C341"/>
    <mergeCell ref="D341:D341"/>
    <mergeCell ref="E341:E341"/>
    <mergeCell ref="F341:F341"/>
    <mergeCell ref="G341:G341"/>
    <mergeCell ref="H341:H341"/>
    <mergeCell ref="I341:I341"/>
    <mergeCell ref="J341:J341"/>
    <mergeCell ref="K341:K341"/>
    <mergeCell ref="L341:L341"/>
    <mergeCell ref="M341:M341"/>
    <mergeCell ref="N341:N341"/>
    <mergeCell ref="O341:O341"/>
    <mergeCell ref="P341:P341"/>
    <mergeCell ref="Q341:Q341"/>
    <mergeCell ref="R341:R341"/>
    <mergeCell ref="S341:S341"/>
    <mergeCell ref="T341:T341"/>
    <mergeCell ref="U341:U341"/>
    <mergeCell ref="V341:V341"/>
    <mergeCell ref="W341:W341"/>
    <mergeCell ref="X341:X341"/>
    <mergeCell ref="Y341:Y341"/>
    <mergeCell ref="Z341:Z341"/>
    <mergeCell ref="A342:A342"/>
    <mergeCell ref="B342:B342"/>
    <mergeCell ref="C342:C342"/>
    <mergeCell ref="D342:D342"/>
    <mergeCell ref="E342:E342"/>
    <mergeCell ref="F342:F342"/>
    <mergeCell ref="G342:G342"/>
    <mergeCell ref="H342:H342"/>
    <mergeCell ref="I342:I342"/>
    <mergeCell ref="J342:J342"/>
    <mergeCell ref="K342:K342"/>
    <mergeCell ref="L342:L342"/>
    <mergeCell ref="M342:M342"/>
    <mergeCell ref="N342:N342"/>
    <mergeCell ref="O342:O342"/>
    <mergeCell ref="P342:P342"/>
    <mergeCell ref="Q342:Q342"/>
    <mergeCell ref="R342:R342"/>
    <mergeCell ref="S342:S342"/>
    <mergeCell ref="T342:T342"/>
    <mergeCell ref="U342:U342"/>
    <mergeCell ref="V342:V342"/>
    <mergeCell ref="W342:W342"/>
    <mergeCell ref="X342:X342"/>
    <mergeCell ref="Y342:Y342"/>
    <mergeCell ref="Z342:Z342"/>
    <mergeCell ref="A343:A343"/>
    <mergeCell ref="B343:B343"/>
    <mergeCell ref="C343:C343"/>
    <mergeCell ref="D343:D343"/>
    <mergeCell ref="E343:E343"/>
    <mergeCell ref="F343:F343"/>
    <mergeCell ref="G343:G343"/>
    <mergeCell ref="H343:H343"/>
    <mergeCell ref="I343:I343"/>
    <mergeCell ref="J343:J343"/>
    <mergeCell ref="K343:K343"/>
    <mergeCell ref="L343:L343"/>
    <mergeCell ref="M343:M343"/>
    <mergeCell ref="N343:N343"/>
    <mergeCell ref="O343:O343"/>
    <mergeCell ref="P343:P343"/>
    <mergeCell ref="Q343:Q343"/>
    <mergeCell ref="R343:R343"/>
    <mergeCell ref="S343:S343"/>
    <mergeCell ref="T343:T343"/>
    <mergeCell ref="U343:U343"/>
    <mergeCell ref="V343:V343"/>
    <mergeCell ref="W343:W343"/>
    <mergeCell ref="X343:X343"/>
    <mergeCell ref="Y343:Y343"/>
    <mergeCell ref="Z343:Z343"/>
    <mergeCell ref="A344:A344"/>
    <mergeCell ref="B344:B344"/>
    <mergeCell ref="C344:C344"/>
    <mergeCell ref="D344:D344"/>
    <mergeCell ref="E344:E344"/>
    <mergeCell ref="F344:F344"/>
    <mergeCell ref="G344:G344"/>
    <mergeCell ref="H344:H344"/>
    <mergeCell ref="I344:I344"/>
    <mergeCell ref="J344:J344"/>
    <mergeCell ref="K344:K344"/>
    <mergeCell ref="L344:L344"/>
    <mergeCell ref="M344:M344"/>
    <mergeCell ref="N344:N344"/>
    <mergeCell ref="O344:O344"/>
    <mergeCell ref="P344:P344"/>
    <mergeCell ref="Q344:Q344"/>
    <mergeCell ref="R344:R344"/>
    <mergeCell ref="S344:S344"/>
    <mergeCell ref="T344:T344"/>
    <mergeCell ref="U344:U344"/>
    <mergeCell ref="V344:V344"/>
    <mergeCell ref="W344:W344"/>
    <mergeCell ref="X344:X344"/>
    <mergeCell ref="Y344:Y344"/>
    <mergeCell ref="Z344:Z344"/>
    <mergeCell ref="A345:A345"/>
    <mergeCell ref="B345:B345"/>
    <mergeCell ref="C345:C345"/>
    <mergeCell ref="D345:D345"/>
    <mergeCell ref="E345:E345"/>
    <mergeCell ref="F345:F345"/>
    <mergeCell ref="G345:G345"/>
    <mergeCell ref="H345:H345"/>
    <mergeCell ref="I345:I345"/>
    <mergeCell ref="J345:J345"/>
    <mergeCell ref="K345:K345"/>
    <mergeCell ref="L345:L345"/>
    <mergeCell ref="M345:M345"/>
    <mergeCell ref="N345:N345"/>
    <mergeCell ref="O345:O345"/>
    <mergeCell ref="P345:P345"/>
    <mergeCell ref="Q345:Q345"/>
    <mergeCell ref="R345:R345"/>
    <mergeCell ref="S345:S345"/>
    <mergeCell ref="T345:T345"/>
    <mergeCell ref="U345:U345"/>
    <mergeCell ref="V345:V345"/>
    <mergeCell ref="W345:W345"/>
    <mergeCell ref="X345:X345"/>
    <mergeCell ref="Y345:Y345"/>
    <mergeCell ref="Z345:Z345"/>
    <mergeCell ref="A346:A346"/>
    <mergeCell ref="B346:B346"/>
    <mergeCell ref="C346:C346"/>
    <mergeCell ref="D346:D346"/>
    <mergeCell ref="E346:E346"/>
    <mergeCell ref="F346:F346"/>
    <mergeCell ref="G346:G346"/>
    <mergeCell ref="H346:H346"/>
    <mergeCell ref="I346:I346"/>
    <mergeCell ref="J346:J346"/>
    <mergeCell ref="K346:K346"/>
    <mergeCell ref="L346:L346"/>
    <mergeCell ref="M346:M346"/>
    <mergeCell ref="N346:N346"/>
    <mergeCell ref="O346:O346"/>
    <mergeCell ref="P346:P346"/>
    <mergeCell ref="Q346:Q346"/>
    <mergeCell ref="R346:R346"/>
    <mergeCell ref="S346:S346"/>
    <mergeCell ref="T346:T346"/>
    <mergeCell ref="U346:U346"/>
    <mergeCell ref="V346:V346"/>
    <mergeCell ref="W346:W346"/>
    <mergeCell ref="X346:X346"/>
    <mergeCell ref="Y346:Y346"/>
    <mergeCell ref="Z346:Z346"/>
    <mergeCell ref="A347:A347"/>
    <mergeCell ref="B347:B347"/>
    <mergeCell ref="C347:C347"/>
    <mergeCell ref="D347:D347"/>
    <mergeCell ref="E347:E347"/>
    <mergeCell ref="F347:F347"/>
    <mergeCell ref="G347:G347"/>
    <mergeCell ref="H347:H347"/>
    <mergeCell ref="I347:I347"/>
    <mergeCell ref="J347:J347"/>
    <mergeCell ref="K347:K347"/>
    <mergeCell ref="L347:L347"/>
    <mergeCell ref="M347:M347"/>
    <mergeCell ref="N347:N347"/>
    <mergeCell ref="O347:O347"/>
    <mergeCell ref="P347:P347"/>
    <mergeCell ref="Q347:Q347"/>
    <mergeCell ref="R347:R347"/>
    <mergeCell ref="S347:S347"/>
    <mergeCell ref="T347:T347"/>
    <mergeCell ref="U347:U347"/>
    <mergeCell ref="V347:V347"/>
    <mergeCell ref="W347:W347"/>
    <mergeCell ref="X347:X347"/>
    <mergeCell ref="Y347:Y347"/>
    <mergeCell ref="Z347:Z347"/>
    <mergeCell ref="A348:A348"/>
    <mergeCell ref="B348:B348"/>
    <mergeCell ref="C348:C348"/>
    <mergeCell ref="D348:D348"/>
    <mergeCell ref="E348:E348"/>
    <mergeCell ref="F348:F348"/>
    <mergeCell ref="G348:G348"/>
    <mergeCell ref="H348:H348"/>
    <mergeCell ref="I348:I348"/>
    <mergeCell ref="J348:J348"/>
    <mergeCell ref="K348:K348"/>
    <mergeCell ref="L348:L348"/>
    <mergeCell ref="M348:M348"/>
    <mergeCell ref="N348:N348"/>
    <mergeCell ref="O348:O348"/>
    <mergeCell ref="P348:P348"/>
    <mergeCell ref="Q348:Q348"/>
    <mergeCell ref="R348:R348"/>
    <mergeCell ref="S348:S348"/>
    <mergeCell ref="T348:T348"/>
    <mergeCell ref="U348:U348"/>
    <mergeCell ref="V348:V348"/>
    <mergeCell ref="W348:W348"/>
    <mergeCell ref="X348:X348"/>
    <mergeCell ref="Y348:Y348"/>
    <mergeCell ref="Z348:Z348"/>
    <mergeCell ref="A349:A349"/>
    <mergeCell ref="B349:B349"/>
    <mergeCell ref="C349:C349"/>
    <mergeCell ref="D349:D349"/>
    <mergeCell ref="E349:E349"/>
    <mergeCell ref="F349:F349"/>
    <mergeCell ref="G349:G349"/>
    <mergeCell ref="H349:H349"/>
    <mergeCell ref="I349:I349"/>
    <mergeCell ref="J349:J349"/>
    <mergeCell ref="K349:K349"/>
    <mergeCell ref="L349:L349"/>
    <mergeCell ref="M349:M349"/>
    <mergeCell ref="N349:N349"/>
    <mergeCell ref="O349:O349"/>
    <mergeCell ref="P349:P349"/>
    <mergeCell ref="Q349:Q349"/>
    <mergeCell ref="R349:R349"/>
    <mergeCell ref="S349:S349"/>
    <mergeCell ref="T349:T349"/>
    <mergeCell ref="U349:U349"/>
    <mergeCell ref="V349:V349"/>
    <mergeCell ref="W349:W349"/>
    <mergeCell ref="X349:X349"/>
    <mergeCell ref="Y349:Y349"/>
    <mergeCell ref="Z349:Z349"/>
    <mergeCell ref="A350:A350"/>
    <mergeCell ref="B350:B350"/>
    <mergeCell ref="C350:C350"/>
    <mergeCell ref="D350:D350"/>
    <mergeCell ref="E350:E350"/>
    <mergeCell ref="F350:F350"/>
    <mergeCell ref="G350:G350"/>
    <mergeCell ref="H350:H350"/>
    <mergeCell ref="I350:I350"/>
    <mergeCell ref="J350:J350"/>
    <mergeCell ref="K350:K350"/>
    <mergeCell ref="L350:L350"/>
    <mergeCell ref="M350:M350"/>
    <mergeCell ref="N350:N350"/>
    <mergeCell ref="O350:O350"/>
    <mergeCell ref="P350:P350"/>
    <mergeCell ref="Q350:Q350"/>
    <mergeCell ref="R350:R350"/>
    <mergeCell ref="S350:S350"/>
    <mergeCell ref="T350:T350"/>
    <mergeCell ref="U350:U350"/>
    <mergeCell ref="V350:V350"/>
    <mergeCell ref="W350:W350"/>
    <mergeCell ref="X350:X350"/>
    <mergeCell ref="Y350:Y350"/>
    <mergeCell ref="Z350:Z350"/>
    <mergeCell ref="A351:A351"/>
    <mergeCell ref="B351:B351"/>
    <mergeCell ref="C351:C351"/>
    <mergeCell ref="D351:D351"/>
    <mergeCell ref="E351:E351"/>
    <mergeCell ref="F351:F351"/>
    <mergeCell ref="G351:G351"/>
    <mergeCell ref="H351:H351"/>
    <mergeCell ref="I351:I351"/>
    <mergeCell ref="J351:J351"/>
    <mergeCell ref="K351:K351"/>
    <mergeCell ref="L351:L351"/>
    <mergeCell ref="M351:M351"/>
    <mergeCell ref="N351:N351"/>
    <mergeCell ref="O351:O351"/>
    <mergeCell ref="P351:P351"/>
    <mergeCell ref="Q351:Q351"/>
    <mergeCell ref="R351:R351"/>
    <mergeCell ref="S351:S351"/>
    <mergeCell ref="T351:T351"/>
    <mergeCell ref="U351:U351"/>
    <mergeCell ref="V351:V351"/>
    <mergeCell ref="W351:W351"/>
    <mergeCell ref="X351:X351"/>
    <mergeCell ref="Y351:Y351"/>
    <mergeCell ref="Z351:Z351"/>
    <mergeCell ref="A352:A352"/>
    <mergeCell ref="B352:B352"/>
    <mergeCell ref="C352:C352"/>
    <mergeCell ref="D352:D352"/>
    <mergeCell ref="E352:E352"/>
    <mergeCell ref="F352:F352"/>
    <mergeCell ref="G352:G352"/>
    <mergeCell ref="H352:H352"/>
    <mergeCell ref="I352:I352"/>
    <mergeCell ref="J352:J352"/>
    <mergeCell ref="K352:K352"/>
    <mergeCell ref="L352:L352"/>
    <mergeCell ref="M352:M352"/>
    <mergeCell ref="N352:N352"/>
    <mergeCell ref="O352:O352"/>
    <mergeCell ref="P352:P352"/>
    <mergeCell ref="Q352:Q352"/>
    <mergeCell ref="R352:R352"/>
    <mergeCell ref="S352:S352"/>
    <mergeCell ref="T352:T352"/>
    <mergeCell ref="U352:U352"/>
    <mergeCell ref="V352:V352"/>
    <mergeCell ref="W352:W352"/>
    <mergeCell ref="X352:X352"/>
    <mergeCell ref="Y352:Y352"/>
    <mergeCell ref="Z352:Z352"/>
    <mergeCell ref="A353:A353"/>
    <mergeCell ref="B353:B353"/>
    <mergeCell ref="C353:C353"/>
    <mergeCell ref="D353:D353"/>
    <mergeCell ref="E353:E353"/>
    <mergeCell ref="F353:F353"/>
    <mergeCell ref="G353:G353"/>
    <mergeCell ref="H353:H353"/>
    <mergeCell ref="I353:I353"/>
    <mergeCell ref="J353:J353"/>
    <mergeCell ref="K353:K353"/>
    <mergeCell ref="L353:L353"/>
    <mergeCell ref="M353:M353"/>
    <mergeCell ref="N353:N353"/>
    <mergeCell ref="O353:O353"/>
    <mergeCell ref="P353:P353"/>
    <mergeCell ref="Q353:Q353"/>
    <mergeCell ref="R353:R353"/>
    <mergeCell ref="S353:S353"/>
    <mergeCell ref="T353:T353"/>
    <mergeCell ref="U353:U353"/>
    <mergeCell ref="V353:V353"/>
    <mergeCell ref="W353:W353"/>
    <mergeCell ref="X353:X353"/>
    <mergeCell ref="Y353:Y353"/>
    <mergeCell ref="Z353:Z353"/>
    <mergeCell ref="A354:A354"/>
    <mergeCell ref="B354:B354"/>
    <mergeCell ref="C354:C354"/>
    <mergeCell ref="D354:D354"/>
    <mergeCell ref="E354:E354"/>
    <mergeCell ref="F354:F354"/>
    <mergeCell ref="G354:G354"/>
    <mergeCell ref="H354:H354"/>
    <mergeCell ref="I354:I354"/>
    <mergeCell ref="J354:J354"/>
    <mergeCell ref="K354:K354"/>
    <mergeCell ref="L354:L354"/>
    <mergeCell ref="M354:M354"/>
    <mergeCell ref="N354:N354"/>
    <mergeCell ref="O354:O354"/>
    <mergeCell ref="P354:P354"/>
    <mergeCell ref="Q354:Q354"/>
    <mergeCell ref="R354:R354"/>
    <mergeCell ref="S354:S354"/>
    <mergeCell ref="T354:T354"/>
    <mergeCell ref="U354:U354"/>
    <mergeCell ref="V354:V354"/>
    <mergeCell ref="W354:W354"/>
    <mergeCell ref="X354:X354"/>
    <mergeCell ref="Y354:Y354"/>
    <mergeCell ref="Z354:Z354"/>
    <mergeCell ref="A355:A355"/>
    <mergeCell ref="B355:B355"/>
    <mergeCell ref="C355:C355"/>
    <mergeCell ref="D355:D355"/>
    <mergeCell ref="E355:E355"/>
    <mergeCell ref="F355:F355"/>
    <mergeCell ref="G355:G355"/>
    <mergeCell ref="H355:H355"/>
    <mergeCell ref="I355:I355"/>
    <mergeCell ref="J355:J355"/>
    <mergeCell ref="K355:K355"/>
    <mergeCell ref="L355:L355"/>
    <mergeCell ref="M355:M355"/>
    <mergeCell ref="N355:N355"/>
    <mergeCell ref="O355:O355"/>
    <mergeCell ref="P355:P355"/>
    <mergeCell ref="Q355:Q355"/>
    <mergeCell ref="R355:R355"/>
    <mergeCell ref="S355:S355"/>
    <mergeCell ref="T355:T355"/>
    <mergeCell ref="U355:U355"/>
    <mergeCell ref="V355:V355"/>
    <mergeCell ref="W355:W355"/>
    <mergeCell ref="X355:X355"/>
    <mergeCell ref="Y355:Y355"/>
    <mergeCell ref="Z355:Z355"/>
    <mergeCell ref="A356:A356"/>
    <mergeCell ref="B356:B356"/>
    <mergeCell ref="C356:C356"/>
    <mergeCell ref="D356:D356"/>
    <mergeCell ref="E356:E356"/>
    <mergeCell ref="F356:F356"/>
    <mergeCell ref="G356:G356"/>
    <mergeCell ref="H356:H356"/>
    <mergeCell ref="I356:I356"/>
    <mergeCell ref="J356:J356"/>
    <mergeCell ref="K356:K356"/>
    <mergeCell ref="L356:L356"/>
    <mergeCell ref="M356:M356"/>
    <mergeCell ref="N356:N356"/>
    <mergeCell ref="O356:O356"/>
    <mergeCell ref="P356:P356"/>
    <mergeCell ref="Q356:Q356"/>
    <mergeCell ref="R356:R356"/>
    <mergeCell ref="S356:S356"/>
    <mergeCell ref="T356:T356"/>
    <mergeCell ref="U356:U356"/>
    <mergeCell ref="V356:V356"/>
    <mergeCell ref="W356:W356"/>
    <mergeCell ref="X356:X356"/>
    <mergeCell ref="Y356:Y356"/>
    <mergeCell ref="Z356:Z356"/>
    <mergeCell ref="A357:A357"/>
    <mergeCell ref="B357:B357"/>
    <mergeCell ref="C357:C357"/>
    <mergeCell ref="D357:D357"/>
    <mergeCell ref="E357:E357"/>
    <mergeCell ref="F357:F357"/>
    <mergeCell ref="G357:G357"/>
    <mergeCell ref="H357:H357"/>
    <mergeCell ref="I357:I357"/>
    <mergeCell ref="J357:J357"/>
    <mergeCell ref="K357:K357"/>
    <mergeCell ref="L357:L357"/>
    <mergeCell ref="M357:M357"/>
    <mergeCell ref="N357:N357"/>
    <mergeCell ref="O357:O357"/>
    <mergeCell ref="P357:P357"/>
    <mergeCell ref="Q357:Q357"/>
    <mergeCell ref="R357:R357"/>
    <mergeCell ref="S357:S357"/>
    <mergeCell ref="T357:T357"/>
    <mergeCell ref="U357:U357"/>
    <mergeCell ref="V357:V357"/>
    <mergeCell ref="W357:W357"/>
    <mergeCell ref="X357:X357"/>
    <mergeCell ref="Y357:Y357"/>
    <mergeCell ref="Z357:Z357"/>
    <mergeCell ref="A358:A358"/>
    <mergeCell ref="B358:B358"/>
    <mergeCell ref="C358:C358"/>
    <mergeCell ref="D358:D358"/>
    <mergeCell ref="E358:E358"/>
    <mergeCell ref="F358:F358"/>
    <mergeCell ref="G358:G358"/>
    <mergeCell ref="H358:H358"/>
    <mergeCell ref="I358:I358"/>
    <mergeCell ref="J358:J358"/>
    <mergeCell ref="K358:K358"/>
    <mergeCell ref="L358:L358"/>
    <mergeCell ref="M358:M358"/>
    <mergeCell ref="N358:N358"/>
    <mergeCell ref="O358:O358"/>
    <mergeCell ref="P358:P358"/>
    <mergeCell ref="Q358:Q358"/>
    <mergeCell ref="R358:R358"/>
    <mergeCell ref="S358:S358"/>
    <mergeCell ref="T358:T358"/>
    <mergeCell ref="U358:U358"/>
    <mergeCell ref="V358:V358"/>
    <mergeCell ref="W358:W358"/>
    <mergeCell ref="X358:X358"/>
    <mergeCell ref="Y358:Y358"/>
    <mergeCell ref="Z358:Z358"/>
    <mergeCell ref="A359:A359"/>
    <mergeCell ref="B359:B359"/>
    <mergeCell ref="C359:C359"/>
    <mergeCell ref="D359:D359"/>
    <mergeCell ref="E359:E359"/>
    <mergeCell ref="F359:F359"/>
    <mergeCell ref="G359:G359"/>
    <mergeCell ref="H359:H359"/>
    <mergeCell ref="I359:I359"/>
    <mergeCell ref="J359:J359"/>
    <mergeCell ref="K359:K359"/>
    <mergeCell ref="L359:L359"/>
    <mergeCell ref="M359:M359"/>
    <mergeCell ref="N359:N359"/>
    <mergeCell ref="O359:O359"/>
    <mergeCell ref="P359:P359"/>
    <mergeCell ref="Q359:Q359"/>
    <mergeCell ref="R359:R359"/>
    <mergeCell ref="S359:S359"/>
    <mergeCell ref="T359:T359"/>
    <mergeCell ref="U359:U359"/>
    <mergeCell ref="V359:V359"/>
    <mergeCell ref="W359:W359"/>
    <mergeCell ref="X359:X359"/>
    <mergeCell ref="Y359:Y359"/>
    <mergeCell ref="Z359:Z359"/>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I2205"/>
  <sheetViews>
    <sheetView tabSelected="0" workbookViewId="0" showGridLines="true" showRowColHeaders="1">
      <selection activeCell="AW47" sqref="AW47"/>
    </sheetView>
  </sheetViews>
  <sheetFormatPr defaultRowHeight="14.4" outlineLevelRow="0" outlineLevelCol="0"/>
  <cols>
    <col min="1" max="1" width="13.996582" bestFit="true" customWidth="true" style="0"/>
    <col min="14" max="14" width="25" customWidth="true" style="0"/>
    <col min="13" max="13" width="34.134521" bestFit="true" customWidth="true" style="0"/>
    <col min="15" max="15" width="27.70752" bestFit="true" customWidth="true" style="0"/>
    <col min="16" max="16" width="10" customWidth="true" style="0"/>
    <col min="17" max="17" width="10" customWidth="true" style="0"/>
    <col min="18" max="18" width="15" customWidth="true" style="0"/>
    <col min="19" max="19" width="10" customWidth="true" style="0"/>
    <col min="26" max="26" width="25" customWidth="true" style="0"/>
    <col min="25" max="25" width="34.134521" bestFit="true" customWidth="true" style="0"/>
    <col min="27" max="27" width="27.70752" bestFit="true" customWidth="true" style="0"/>
    <col min="28" max="28" width="10" customWidth="true" style="0"/>
    <col min="29" max="29" width="10" customWidth="true" style="0"/>
    <col min="30" max="30" width="15" customWidth="true" style="0"/>
    <col min="31" max="31" width="10" customWidth="true" style="0"/>
    <col min="38" max="38" width="25" customWidth="true" style="0"/>
    <col min="37" max="37" width="34.134521" bestFit="true" customWidth="true" style="0"/>
    <col min="39" max="39" width="27.70752" bestFit="true" customWidth="true" style="0"/>
    <col min="40" max="40" width="10" customWidth="true" style="0"/>
    <col min="41" max="41" width="10" customWidth="true" style="0"/>
    <col min="42" max="42" width="15" customWidth="true" style="0"/>
    <col min="43" max="43" width="10" customWidth="true" style="0"/>
    <col min="50" max="50" width="25" customWidth="true" style="0"/>
    <col min="49" max="49" width="34.134521" bestFit="true" customWidth="true" style="0"/>
    <col min="51" max="51" width="27.70752" bestFit="true" customWidth="true" style="0"/>
    <col min="52" max="52" width="10" customWidth="true" style="0"/>
    <col min="53" max="53" width="10" customWidth="true" style="0"/>
    <col min="54" max="54" width="15" customWidth="true" style="0"/>
    <col min="55" max="55" width="10" customWidth="true" style="0"/>
  </cols>
  <sheetData>
    <row r="1" spans="1:61">
      <c r="A1" s="6" t="s">
        <v>0</v>
      </c>
      <c r="B1" s="6"/>
      <c r="C1" s="6"/>
      <c r="D1" s="6"/>
      <c r="E1" s="6"/>
      <c r="F1" s="6"/>
      <c r="G1" s="6"/>
      <c r="H1" s="6"/>
      <c r="I1" s="6"/>
    </row>
    <row r="2" spans="1:61">
      <c r="A2" s="7" t="s">
        <v>402</v>
      </c>
      <c r="B2" s="9" t="s">
        <v>1</v>
      </c>
      <c r="C2" s="9"/>
      <c r="D2" s="9" t="s">
        <v>2</v>
      </c>
      <c r="E2" s="9"/>
      <c r="F2" s="9" t="s">
        <v>3</v>
      </c>
      <c r="G2" s="9"/>
      <c r="H2" s="9" t="s">
        <v>403</v>
      </c>
      <c r="I2" s="9"/>
    </row>
    <row r="3" spans="1:61">
      <c r="A3" s="7"/>
      <c r="B3" s="8" t="s">
        <v>404</v>
      </c>
      <c r="C3" s="8" t="s">
        <v>5</v>
      </c>
      <c r="D3" s="8" t="s">
        <v>404</v>
      </c>
      <c r="E3" s="8" t="s">
        <v>5</v>
      </c>
      <c r="F3" s="8" t="s">
        <v>404</v>
      </c>
      <c r="G3" s="8" t="s">
        <v>5</v>
      </c>
      <c r="H3" s="8" t="s">
        <v>404</v>
      </c>
      <c r="I3" s="8" t="s">
        <v>5</v>
      </c>
      <c r="K3" s="11"/>
      <c r="L3" s="11"/>
      <c r="M3" s="11"/>
      <c r="N3" s="11"/>
      <c r="O3" s="11"/>
      <c r="P3" s="11"/>
      <c r="Q3" s="11"/>
      <c r="R3" s="11"/>
      <c r="S3" s="11"/>
      <c r="T3" s="11"/>
      <c r="U3" s="11"/>
      <c r="W3" s="11"/>
      <c r="X3" s="11"/>
      <c r="Y3" s="11"/>
      <c r="Z3" s="11"/>
      <c r="AA3" s="11"/>
      <c r="AB3" s="11"/>
      <c r="AC3" s="11"/>
      <c r="AD3" s="11"/>
      <c r="AE3" s="11"/>
      <c r="AF3" s="11"/>
      <c r="AG3" s="11"/>
      <c r="AI3" s="11"/>
      <c r="AJ3" s="11"/>
      <c r="AK3" s="11"/>
      <c r="AL3" s="11"/>
      <c r="AM3" s="11"/>
      <c r="AN3" s="11"/>
      <c r="AO3" s="11"/>
      <c r="AP3" s="11"/>
      <c r="AQ3" s="11"/>
      <c r="AR3" s="11"/>
      <c r="AS3" s="11"/>
      <c r="AU3" s="28"/>
      <c r="AV3" s="28"/>
      <c r="AW3" s="28"/>
      <c r="AX3" s="28"/>
      <c r="AY3" s="28"/>
      <c r="AZ3" s="28"/>
      <c r="BA3" s="28"/>
      <c r="BB3" s="28"/>
      <c r="BC3" s="28"/>
      <c r="BD3" s="28"/>
      <c r="BE3" s="28"/>
    </row>
    <row r="4" spans="1:61">
      <c r="A4" t="s">
        <v>30</v>
      </c>
      <c r="B4" t="str">
        <f>SUM('Inteligencia emocional'!B5:I5)</f>
        <v>0</v>
      </c>
      <c r="C4" s="10" t="str">
        <f>IF(B4&lt;=$Q$19,"Bajo",IF(B4&lt;=$Q$20,"Regular",IF(B4&lt;=$Q$21,"Alto",0)))</f>
        <v>0</v>
      </c>
      <c r="D4" t="str">
        <f>SUM('Inteligencia emocional'!J5:Q5)</f>
        <v>0</v>
      </c>
      <c r="E4" s="10" t="str">
        <f>IF(D4&lt;=$AC$19,"Bajo",IF(D4&lt;=$AC$20,"Regular",IF(D4&lt;=$AC$21,"Alto",0)))</f>
        <v>0</v>
      </c>
      <c r="F4" t="str">
        <f>SUM('Inteligencia emocional'!R5:Y5)</f>
        <v>0</v>
      </c>
      <c r="G4" s="10" t="str">
        <f>IF(F4&lt;=$AO$19,"Bajo",IF(F4&lt;=$AO$20,"Regular",IF(F4&lt;=$AO$21,"Alto",0)))</f>
        <v>0</v>
      </c>
      <c r="H4" t="str">
        <f>SUM(B4:F4)</f>
        <v>0</v>
      </c>
      <c r="I4" s="10" t="str">
        <f>IF(H4&lt;=$BA$19,"Bajo",IF(H4&lt;=$BA$20,"Regular",IF(H4&lt;=$BA$21,"Alto",0)))</f>
        <v>0</v>
      </c>
      <c r="K4" s="11"/>
      <c r="M4" s="10" t="s">
        <v>405</v>
      </c>
      <c r="N4" s="10" t="s">
        <v>403</v>
      </c>
      <c r="U4" s="11"/>
      <c r="W4" s="11"/>
      <c r="Y4" s="10" t="s">
        <v>405</v>
      </c>
      <c r="Z4" s="10" t="s">
        <v>403</v>
      </c>
      <c r="AG4" s="11"/>
      <c r="AI4" s="11"/>
      <c r="AK4" s="10" t="s">
        <v>405</v>
      </c>
      <c r="AL4" s="10" t="s">
        <v>403</v>
      </c>
      <c r="AS4" s="11"/>
      <c r="AU4" s="28"/>
      <c r="AW4" s="10" t="s">
        <v>405</v>
      </c>
      <c r="AX4" s="10" t="s">
        <v>403</v>
      </c>
      <c r="BE4" s="28"/>
    </row>
    <row r="5" spans="1:61">
      <c r="A5" t="s">
        <v>31</v>
      </c>
      <c r="B5" t="str">
        <f>SUM('Inteligencia emocional'!B6:I6)</f>
        <v>0</v>
      </c>
      <c r="C5" s="10" t="str">
        <f>IF(B5&lt;=$Q$19,"Bajo",IF(B5&lt;=$Q$20,"Regular",IF(B5&lt;=$Q$21,"Alto",0)))</f>
        <v>0</v>
      </c>
      <c r="D5" t="str">
        <f>SUM('Inteligencia emocional'!J6:Q6)</f>
        <v>0</v>
      </c>
      <c r="E5" s="10" t="str">
        <f>IF(D5&lt;=$AC$19,"Bajo",IF(D5&lt;=$AC$20,"Regular",IF(D5&lt;=$AC$21,"Alto",0)))</f>
        <v>0</v>
      </c>
      <c r="F5" t="str">
        <f>SUM('Inteligencia emocional'!R6:Y6)</f>
        <v>0</v>
      </c>
      <c r="G5" s="10" t="str">
        <f>IF(F5&lt;=$AO$19,"Bajo",IF(F5&lt;=$AO$20,"Regular",IF(F5&lt;=$AO$21,"Alto",0)))</f>
        <v>0</v>
      </c>
      <c r="H5" t="str">
        <f>SUM(B5:F5)</f>
        <v>0</v>
      </c>
      <c r="I5" s="10" t="str">
        <f>IF(H5&lt;=$BA$19,"Bajo",IF(H5&lt;=$BA$20,"Regular",IF(H5&lt;=$BA$21,"Alto",0)))</f>
        <v>0</v>
      </c>
      <c r="K5" s="11"/>
      <c r="M5" s="10" t="s">
        <v>406</v>
      </c>
      <c r="N5" s="10" t="str">
        <f>B2</f>
        <v>0</v>
      </c>
      <c r="U5" s="11"/>
      <c r="W5" s="11"/>
      <c r="Y5" s="10" t="s">
        <v>406</v>
      </c>
      <c r="Z5" s="10" t="str">
        <f>D2</f>
        <v>0</v>
      </c>
      <c r="AG5" s="11"/>
      <c r="AI5" s="11"/>
      <c r="AK5" s="10" t="s">
        <v>406</v>
      </c>
      <c r="AL5" s="10" t="str">
        <f>F2</f>
        <v>0</v>
      </c>
      <c r="AS5" s="11"/>
      <c r="AU5" s="28"/>
      <c r="BE5" s="28"/>
    </row>
    <row r="6" spans="1:61">
      <c r="A6" t="s">
        <v>32</v>
      </c>
      <c r="B6" t="str">
        <f>SUM('Inteligencia emocional'!B7:I7)</f>
        <v>0</v>
      </c>
      <c r="C6" s="10" t="str">
        <f>IF(B6&lt;=$Q$19,"Bajo",IF(B6&lt;=$Q$20,"Regular",IF(B6&lt;=$Q$21,"Alto",0)))</f>
        <v>0</v>
      </c>
      <c r="D6" t="str">
        <f>SUM('Inteligencia emocional'!J7:Q7)</f>
        <v>0</v>
      </c>
      <c r="E6" s="10" t="str">
        <f>IF(D6&lt;=$AC$19,"Bajo",IF(D6&lt;=$AC$20,"Regular",IF(D6&lt;=$AC$21,"Alto",0)))</f>
        <v>0</v>
      </c>
      <c r="F6" t="str">
        <f>SUM('Inteligencia emocional'!R7:Y7)</f>
        <v>0</v>
      </c>
      <c r="G6" s="10" t="str">
        <f>IF(F6&lt;=$AO$19,"Bajo",IF(F6&lt;=$AO$20,"Regular",IF(F6&lt;=$AO$21,"Alto",0)))</f>
        <v>0</v>
      </c>
      <c r="H6" t="str">
        <f>SUM(B6:F6)</f>
        <v>0</v>
      </c>
      <c r="I6" s="10" t="str">
        <f>IF(H6&lt;=$BA$19,"Bajo",IF(H6&lt;=$BA$20,"Regular",IF(H6&lt;=$BA$21,"Alto",0)))</f>
        <v>0</v>
      </c>
      <c r="K6" s="11"/>
      <c r="M6" s="10" t="s">
        <v>407</v>
      </c>
      <c r="N6" s="10">
        <v>3</v>
      </c>
      <c r="U6" s="11"/>
      <c r="W6" s="11"/>
      <c r="Y6" s="10" t="s">
        <v>407</v>
      </c>
      <c r="Z6" s="10">
        <v>3</v>
      </c>
      <c r="AG6" s="11"/>
      <c r="AI6" s="11"/>
      <c r="AK6" s="10" t="s">
        <v>407</v>
      </c>
      <c r="AL6" s="10">
        <v>3</v>
      </c>
      <c r="AS6" s="11"/>
      <c r="AU6" s="28"/>
      <c r="AW6" s="10" t="s">
        <v>407</v>
      </c>
      <c r="AX6" s="10">
        <v>3</v>
      </c>
      <c r="BE6" s="28"/>
    </row>
    <row r="7" spans="1:61">
      <c r="A7" t="s">
        <v>33</v>
      </c>
      <c r="B7" t="str">
        <f>SUM('Inteligencia emocional'!B8:I8)</f>
        <v>0</v>
      </c>
      <c r="C7" s="10" t="str">
        <f>IF(B7&lt;=$Q$19,"Bajo",IF(B7&lt;=$Q$20,"Regular",IF(B7&lt;=$Q$21,"Alto",0)))</f>
        <v>0</v>
      </c>
      <c r="D7" t="str">
        <f>SUM('Inteligencia emocional'!J8:Q8)</f>
        <v>0</v>
      </c>
      <c r="E7" s="10" t="str">
        <f>IF(D7&lt;=$AC$19,"Bajo",IF(D7&lt;=$AC$20,"Regular",IF(D7&lt;=$AC$21,"Alto",0)))</f>
        <v>0</v>
      </c>
      <c r="F7" t="str">
        <f>SUM('Inteligencia emocional'!R8:Y8)</f>
        <v>0</v>
      </c>
      <c r="G7" s="10" t="str">
        <f>IF(F7&lt;=$AO$19,"Bajo",IF(F7&lt;=$AO$20,"Regular",IF(F7&lt;=$AO$21,"Alto",0)))</f>
        <v>0</v>
      </c>
      <c r="H7" t="str">
        <f>SUM(B7:F7)</f>
        <v>0</v>
      </c>
      <c r="I7" s="10" t="str">
        <f>IF(H7&lt;=$BA$19,"Bajo",IF(H7&lt;=$BA$20,"Regular",IF(H7&lt;=$BA$21,"Alto",0)))</f>
        <v>0</v>
      </c>
      <c r="K7" s="11"/>
      <c r="M7" s="10" t="s">
        <v>408</v>
      </c>
      <c r="N7" s="10">
        <v>8</v>
      </c>
      <c r="U7" s="11"/>
      <c r="W7" s="11"/>
      <c r="Y7" s="10" t="s">
        <v>408</v>
      </c>
      <c r="Z7" s="10">
        <v>8</v>
      </c>
      <c r="AG7" s="11"/>
      <c r="AI7" s="11"/>
      <c r="AK7" s="10" t="s">
        <v>408</v>
      </c>
      <c r="AL7" s="10">
        <v>8</v>
      </c>
      <c r="AS7" s="11"/>
      <c r="AU7" s="28"/>
      <c r="AW7" s="10" t="s">
        <v>408</v>
      </c>
      <c r="AX7" s="10">
        <v>24</v>
      </c>
      <c r="BE7" s="28"/>
    </row>
    <row r="8" spans="1:61">
      <c r="A8" t="s">
        <v>34</v>
      </c>
      <c r="B8" t="str">
        <f>SUM('Inteligencia emocional'!B9:I9)</f>
        <v>0</v>
      </c>
      <c r="C8" s="10" t="str">
        <f>IF(B8&lt;=$Q$19,"Bajo",IF(B8&lt;=$Q$20,"Regular",IF(B8&lt;=$Q$21,"Alto",0)))</f>
        <v>0</v>
      </c>
      <c r="D8" t="str">
        <f>SUM('Inteligencia emocional'!J9:Q9)</f>
        <v>0</v>
      </c>
      <c r="E8" s="10" t="str">
        <f>IF(D8&lt;=$AC$19,"Bajo",IF(D8&lt;=$AC$20,"Regular",IF(D8&lt;=$AC$21,"Alto",0)))</f>
        <v>0</v>
      </c>
      <c r="F8" t="str">
        <f>SUM('Inteligencia emocional'!R9:Y9)</f>
        <v>0</v>
      </c>
      <c r="G8" s="10" t="str">
        <f>IF(F8&lt;=$AO$19,"Bajo",IF(F8&lt;=$AO$20,"Regular",IF(F8&lt;=$AO$21,"Alto",0)))</f>
        <v>0</v>
      </c>
      <c r="H8" t="str">
        <f>SUM(B8:F8)</f>
        <v>0</v>
      </c>
      <c r="I8" s="10" t="str">
        <f>IF(H8&lt;=$BA$19,"Bajo",IF(H8&lt;=$BA$20,"Regular",IF(H8&lt;=$BA$21,"Alto",0)))</f>
        <v>0</v>
      </c>
      <c r="K8" s="11"/>
      <c r="M8" s="10" t="s">
        <v>409</v>
      </c>
      <c r="N8" s="10">
        <v>1</v>
      </c>
      <c r="U8" s="11"/>
      <c r="W8" s="11"/>
      <c r="Y8" s="10" t="s">
        <v>409</v>
      </c>
      <c r="Z8" s="10">
        <v>1</v>
      </c>
      <c r="AG8" s="11"/>
      <c r="AI8" s="11"/>
      <c r="AK8" s="10" t="s">
        <v>409</v>
      </c>
      <c r="AL8" s="10">
        <v>1</v>
      </c>
      <c r="AS8" s="11"/>
      <c r="AU8" s="28"/>
      <c r="AW8" s="10" t="s">
        <v>409</v>
      </c>
      <c r="AX8" s="10">
        <v>1</v>
      </c>
      <c r="BE8" s="28"/>
    </row>
    <row r="9" spans="1:61">
      <c r="A9" t="s">
        <v>35</v>
      </c>
      <c r="B9" t="str">
        <f>SUM('Inteligencia emocional'!B10:I10)</f>
        <v>0</v>
      </c>
      <c r="C9" s="10" t="str">
        <f>IF(B9&lt;=$Q$19,"Bajo",IF(B9&lt;=$Q$20,"Regular",IF(B9&lt;=$Q$21,"Alto",0)))</f>
        <v>0</v>
      </c>
      <c r="D9" t="str">
        <f>SUM('Inteligencia emocional'!J10:Q10)</f>
        <v>0</v>
      </c>
      <c r="E9" s="10" t="str">
        <f>IF(D9&lt;=$AC$19,"Bajo",IF(D9&lt;=$AC$20,"Regular",IF(D9&lt;=$AC$21,"Alto",0)))</f>
        <v>0</v>
      </c>
      <c r="F9" t="str">
        <f>SUM('Inteligencia emocional'!R10:Y10)</f>
        <v>0</v>
      </c>
      <c r="G9" s="10" t="str">
        <f>IF(F9&lt;=$AO$19,"Bajo",IF(F9&lt;=$AO$20,"Regular",IF(F9&lt;=$AO$21,"Alto",0)))</f>
        <v>0</v>
      </c>
      <c r="H9" t="str">
        <f>SUM(B9:F9)</f>
        <v>0</v>
      </c>
      <c r="I9" s="10" t="str">
        <f>IF(H9&lt;=$BA$19,"Bajo",IF(H9&lt;=$BA$20,"Regular",IF(H9&lt;=$BA$21,"Alto",0)))</f>
        <v>0</v>
      </c>
      <c r="K9" s="11"/>
      <c r="M9" s="10" t="s">
        <v>410</v>
      </c>
      <c r="N9" s="10">
        <v>5</v>
      </c>
      <c r="U9" s="11"/>
      <c r="W9" s="11"/>
      <c r="Y9" s="10" t="s">
        <v>410</v>
      </c>
      <c r="Z9" s="10">
        <v>5</v>
      </c>
      <c r="AG9" s="11"/>
      <c r="AI9" s="11"/>
      <c r="AK9" s="10" t="s">
        <v>410</v>
      </c>
      <c r="AL9" s="10">
        <v>5</v>
      </c>
      <c r="AS9" s="11"/>
      <c r="AU9" s="28"/>
      <c r="AW9" s="10" t="s">
        <v>410</v>
      </c>
      <c r="AX9" s="10">
        <v>5</v>
      </c>
      <c r="BE9" s="28"/>
    </row>
    <row r="10" spans="1:61">
      <c r="A10" t="s">
        <v>36</v>
      </c>
      <c r="B10" t="str">
        <f>SUM('Inteligencia emocional'!B11:I11)</f>
        <v>0</v>
      </c>
      <c r="C10" s="10" t="str">
        <f>IF(B10&lt;=$Q$19,"Bajo",IF(B10&lt;=$Q$20,"Regular",IF(B10&lt;=$Q$21,"Alto",0)))</f>
        <v>0</v>
      </c>
      <c r="D10" t="str">
        <f>SUM('Inteligencia emocional'!J11:Q11)</f>
        <v>0</v>
      </c>
      <c r="E10" s="10" t="str">
        <f>IF(D10&lt;=$AC$19,"Bajo",IF(D10&lt;=$AC$20,"Regular",IF(D10&lt;=$AC$21,"Alto",0)))</f>
        <v>0</v>
      </c>
      <c r="F10" t="str">
        <f>SUM('Inteligencia emocional'!R11:Y11)</f>
        <v>0</v>
      </c>
      <c r="G10" s="10" t="str">
        <f>IF(F10&lt;=$AO$19,"Bajo",IF(F10&lt;=$AO$20,"Regular",IF(F10&lt;=$AO$21,"Alto",0)))</f>
        <v>0</v>
      </c>
      <c r="H10" t="str">
        <f>SUM(B10:F10)</f>
        <v>0</v>
      </c>
      <c r="I10" s="10" t="str">
        <f>IF(H10&lt;=$BA$19,"Bajo",IF(H10&lt;=$BA$20,"Regular",IF(H10&lt;=$BA$21,"Alto",0)))</f>
        <v>0</v>
      </c>
      <c r="K10" s="11"/>
      <c r="M10" s="10" t="s">
        <v>411</v>
      </c>
      <c r="N10" s="10" t="str">
        <f>N7*N9</f>
        <v>0</v>
      </c>
      <c r="U10" s="11"/>
      <c r="W10" s="11"/>
      <c r="Y10" s="10" t="s">
        <v>411</v>
      </c>
      <c r="Z10" s="10" t="str">
        <f>Z7*Z9</f>
        <v>0</v>
      </c>
      <c r="AG10" s="11"/>
      <c r="AI10" s="11"/>
      <c r="AK10" s="10" t="s">
        <v>411</v>
      </c>
      <c r="AL10" s="10" t="str">
        <f>AL7*AL9</f>
        <v>0</v>
      </c>
      <c r="AS10" s="11"/>
      <c r="AU10" s="28"/>
      <c r="AW10" s="10" t="s">
        <v>411</v>
      </c>
      <c r="AX10" s="10" t="str">
        <f>AX7*AX9</f>
        <v>0</v>
      </c>
      <c r="BE10" s="28"/>
    </row>
    <row r="11" spans="1:61">
      <c r="A11" t="s">
        <v>37</v>
      </c>
      <c r="B11" t="str">
        <f>SUM('Inteligencia emocional'!B12:I12)</f>
        <v>0</v>
      </c>
      <c r="C11" s="10" t="str">
        <f>IF(B11&lt;=$Q$19,"Bajo",IF(B11&lt;=$Q$20,"Regular",IF(B11&lt;=$Q$21,"Alto",0)))</f>
        <v>0</v>
      </c>
      <c r="D11" t="str">
        <f>SUM('Inteligencia emocional'!J12:Q12)</f>
        <v>0</v>
      </c>
      <c r="E11" s="10" t="str">
        <f>IF(D11&lt;=$AC$19,"Bajo",IF(D11&lt;=$AC$20,"Regular",IF(D11&lt;=$AC$21,"Alto",0)))</f>
        <v>0</v>
      </c>
      <c r="F11" t="str">
        <f>SUM('Inteligencia emocional'!R12:Y12)</f>
        <v>0</v>
      </c>
      <c r="G11" s="10" t="str">
        <f>IF(F11&lt;=$AO$19,"Bajo",IF(F11&lt;=$AO$20,"Regular",IF(F11&lt;=$AO$21,"Alto",0)))</f>
        <v>0</v>
      </c>
      <c r="H11" t="str">
        <f>SUM(B11:F11)</f>
        <v>0</v>
      </c>
      <c r="I11" s="10" t="str">
        <f>IF(H11&lt;=$BA$19,"Bajo",IF(H11&lt;=$BA$20,"Regular",IF(H11&lt;=$BA$21,"Alto",0)))</f>
        <v>0</v>
      </c>
      <c r="K11" s="11"/>
      <c r="M11" s="10" t="s">
        <v>412</v>
      </c>
      <c r="N11" s="10" t="str">
        <f>N8*N7</f>
        <v>0</v>
      </c>
      <c r="U11" s="11"/>
      <c r="W11" s="11"/>
      <c r="Y11" s="10" t="s">
        <v>412</v>
      </c>
      <c r="Z11" s="10" t="str">
        <f>Z8*Z7</f>
        <v>0</v>
      </c>
      <c r="AG11" s="11"/>
      <c r="AI11" s="11"/>
      <c r="AK11" s="10" t="s">
        <v>412</v>
      </c>
      <c r="AL11" s="10" t="str">
        <f>AL8*AL7</f>
        <v>0</v>
      </c>
      <c r="AS11" s="11"/>
      <c r="AU11" s="28"/>
      <c r="AW11" s="10" t="s">
        <v>412</v>
      </c>
      <c r="AX11" s="10" t="str">
        <f>AX8*AX7</f>
        <v>0</v>
      </c>
      <c r="BE11" s="28"/>
    </row>
    <row r="12" spans="1:61">
      <c r="A12" t="s">
        <v>38</v>
      </c>
      <c r="B12" t="str">
        <f>SUM('Inteligencia emocional'!B13:I13)</f>
        <v>0</v>
      </c>
      <c r="C12" s="10" t="str">
        <f>IF(B12&lt;=$Q$19,"Bajo",IF(B12&lt;=$Q$20,"Regular",IF(B12&lt;=$Q$21,"Alto",0)))</f>
        <v>0</v>
      </c>
      <c r="D12" t="str">
        <f>SUM('Inteligencia emocional'!J13:Q13)</f>
        <v>0</v>
      </c>
      <c r="E12" s="10" t="str">
        <f>IF(D12&lt;=$AC$19,"Bajo",IF(D12&lt;=$AC$20,"Regular",IF(D12&lt;=$AC$21,"Alto",0)))</f>
        <v>0</v>
      </c>
      <c r="F12" t="str">
        <f>SUM('Inteligencia emocional'!R13:Y13)</f>
        <v>0</v>
      </c>
      <c r="G12" s="10" t="str">
        <f>IF(F12&lt;=$AO$19,"Bajo",IF(F12&lt;=$AO$20,"Regular",IF(F12&lt;=$AO$21,"Alto",0)))</f>
        <v>0</v>
      </c>
      <c r="H12" t="str">
        <f>SUM(B12:F12)</f>
        <v>0</v>
      </c>
      <c r="I12" s="10" t="str">
        <f>IF(H12&lt;=$BA$19,"Bajo",IF(H12&lt;=$BA$20,"Regular",IF(H12&lt;=$BA$21,"Alto",0)))</f>
        <v>0</v>
      </c>
      <c r="K12" s="11"/>
      <c r="M12" s="10" t="s">
        <v>413</v>
      </c>
      <c r="N12" s="10" t="str">
        <f>N10-N11</f>
        <v>0</v>
      </c>
      <c r="U12" s="11"/>
      <c r="W12" s="11"/>
      <c r="Y12" s="10" t="s">
        <v>413</v>
      </c>
      <c r="Z12" s="10" t="str">
        <f>Z10-Z11</f>
        <v>0</v>
      </c>
      <c r="AG12" s="11"/>
      <c r="AI12" s="11"/>
      <c r="AK12" s="10" t="s">
        <v>413</v>
      </c>
      <c r="AL12" s="10" t="str">
        <f>AL10-AL11</f>
        <v>0</v>
      </c>
      <c r="AS12" s="11"/>
      <c r="AU12" s="28"/>
      <c r="AW12" s="10" t="s">
        <v>413</v>
      </c>
      <c r="AX12" s="10" t="str">
        <f>AX10-AX11</f>
        <v>0</v>
      </c>
      <c r="BE12" s="28"/>
    </row>
    <row r="13" spans="1:61">
      <c r="A13" t="s">
        <v>39</v>
      </c>
      <c r="B13" t="str">
        <f>SUM('Inteligencia emocional'!B14:I14)</f>
        <v>0</v>
      </c>
      <c r="C13" s="10" t="str">
        <f>IF(B13&lt;=$Q$19,"Bajo",IF(B13&lt;=$Q$20,"Regular",IF(B13&lt;=$Q$21,"Alto",0)))</f>
        <v>0</v>
      </c>
      <c r="D13" t="str">
        <f>SUM('Inteligencia emocional'!J14:Q14)</f>
        <v>0</v>
      </c>
      <c r="E13" s="10" t="str">
        <f>IF(D13&lt;=$AC$19,"Bajo",IF(D13&lt;=$AC$20,"Regular",IF(D13&lt;=$AC$21,"Alto",0)))</f>
        <v>0</v>
      </c>
      <c r="F13" t="str">
        <f>SUM('Inteligencia emocional'!R14:Y14)</f>
        <v>0</v>
      </c>
      <c r="G13" s="10" t="str">
        <f>IF(F13&lt;=$AO$19,"Bajo",IF(F13&lt;=$AO$20,"Regular",IF(F13&lt;=$AO$21,"Alto",0)))</f>
        <v>0</v>
      </c>
      <c r="H13" t="str">
        <f>SUM(B13:F13)</f>
        <v>0</v>
      </c>
      <c r="I13" s="10" t="str">
        <f>IF(H13&lt;=$BA$19,"Bajo",IF(H13&lt;=$BA$20,"Regular",IF(H13&lt;=$BA$21,"Alto",0)))</f>
        <v>0</v>
      </c>
      <c r="K13" s="11"/>
      <c r="M13" s="10" t="s">
        <v>414</v>
      </c>
      <c r="N13" s="10" t="str">
        <f>ROUND(N12/N6,0)</f>
        <v>0</v>
      </c>
      <c r="U13" s="11"/>
      <c r="W13" s="11"/>
      <c r="Y13" s="10" t="s">
        <v>414</v>
      </c>
      <c r="Z13" s="10" t="str">
        <f>ROUND(Z12/Z6,0)</f>
        <v>0</v>
      </c>
      <c r="AG13" s="11"/>
      <c r="AI13" s="11"/>
      <c r="AK13" s="10" t="s">
        <v>414</v>
      </c>
      <c r="AL13" s="10" t="str">
        <f>ROUND(AL12/AL6,0)</f>
        <v>0</v>
      </c>
      <c r="AS13" s="11"/>
      <c r="AU13" s="28"/>
      <c r="AW13" s="10" t="s">
        <v>414</v>
      </c>
      <c r="AX13" s="10" t="str">
        <f>ROUND(AX12/AX6,0)</f>
        <v>0</v>
      </c>
      <c r="BE13" s="28"/>
    </row>
    <row r="14" spans="1:61">
      <c r="A14" t="s">
        <v>40</v>
      </c>
      <c r="B14" t="str">
        <f>SUM('Inteligencia emocional'!B15:I15)</f>
        <v>0</v>
      </c>
      <c r="C14" s="10" t="str">
        <f>IF(B14&lt;=$Q$19,"Bajo",IF(B14&lt;=$Q$20,"Regular",IF(B14&lt;=$Q$21,"Alto",0)))</f>
        <v>0</v>
      </c>
      <c r="D14" t="str">
        <f>SUM('Inteligencia emocional'!J15:Q15)</f>
        <v>0</v>
      </c>
      <c r="E14" s="10" t="str">
        <f>IF(D14&lt;=$AC$19,"Bajo",IF(D14&lt;=$AC$20,"Regular",IF(D14&lt;=$AC$21,"Alto",0)))</f>
        <v>0</v>
      </c>
      <c r="F14" t="str">
        <f>SUM('Inteligencia emocional'!R15:Y15)</f>
        <v>0</v>
      </c>
      <c r="G14" s="10" t="str">
        <f>IF(F14&lt;=$AO$19,"Bajo",IF(F14&lt;=$AO$20,"Regular",IF(F14&lt;=$AO$21,"Alto",0)))</f>
        <v>0</v>
      </c>
      <c r="H14" t="str">
        <f>SUM(B14:F14)</f>
        <v>0</v>
      </c>
      <c r="I14" s="10" t="str">
        <f>IF(H14&lt;=$BA$19,"Bajo",IF(H14&lt;=$BA$20,"Regular",IF(H14&lt;=$BA$21,"Alto",0)))</f>
        <v>0</v>
      </c>
      <c r="K14" s="11"/>
      <c r="O14" s="15"/>
      <c r="P14" s="15"/>
      <c r="Q14" s="15"/>
      <c r="R14" s="15"/>
      <c r="S14" s="15"/>
      <c r="U14" s="11"/>
      <c r="W14" s="11"/>
      <c r="AA14" s="15"/>
      <c r="AB14" s="15"/>
      <c r="AC14" s="15"/>
      <c r="AD14" s="15"/>
      <c r="AE14" s="15"/>
      <c r="AG14" s="11"/>
      <c r="AI14" s="11"/>
      <c r="AM14" s="15"/>
      <c r="AN14" s="15"/>
      <c r="AO14" s="15"/>
      <c r="AP14" s="15"/>
      <c r="AQ14" s="15"/>
      <c r="AS14" s="11"/>
      <c r="AU14" s="28"/>
      <c r="AY14" s="15"/>
      <c r="AZ14" s="15"/>
      <c r="BA14" s="15"/>
      <c r="BB14" s="15"/>
      <c r="BC14" s="15"/>
      <c r="BE14" s="28"/>
    </row>
    <row r="15" spans="1:61">
      <c r="A15" t="s">
        <v>41</v>
      </c>
      <c r="B15" t="str">
        <f>SUM('Inteligencia emocional'!B16:I16)</f>
        <v>0</v>
      </c>
      <c r="C15" s="10" t="str">
        <f>IF(B15&lt;=$Q$19,"Bajo",IF(B15&lt;=$Q$20,"Regular",IF(B15&lt;=$Q$21,"Alto",0)))</f>
        <v>0</v>
      </c>
      <c r="D15" t="str">
        <f>SUM('Inteligencia emocional'!J16:Q16)</f>
        <v>0</v>
      </c>
      <c r="E15" s="10" t="str">
        <f>IF(D15&lt;=$AC$19,"Bajo",IF(D15&lt;=$AC$20,"Regular",IF(D15&lt;=$AC$21,"Alto",0)))</f>
        <v>0</v>
      </c>
      <c r="F15" t="str">
        <f>SUM('Inteligencia emocional'!R16:Y16)</f>
        <v>0</v>
      </c>
      <c r="G15" s="10" t="str">
        <f>IF(F15&lt;=$AO$19,"Bajo",IF(F15&lt;=$AO$20,"Regular",IF(F15&lt;=$AO$21,"Alto",0)))</f>
        <v>0</v>
      </c>
      <c r="H15" t="str">
        <f>SUM(B15:F15)</f>
        <v>0</v>
      </c>
      <c r="I15" s="10" t="str">
        <f>IF(H15&lt;=$BA$19,"Bajo",IF(H15&lt;=$BA$20,"Regular",IF(H15&lt;=$BA$21,"Alto",0)))</f>
        <v>0</v>
      </c>
      <c r="K15" s="11"/>
      <c r="O15" s="24" t="s">
        <v>415</v>
      </c>
      <c r="P15" s="15"/>
      <c r="Q15" s="15"/>
      <c r="R15" s="15"/>
      <c r="S15" s="15"/>
      <c r="U15" s="11"/>
      <c r="W15" s="11"/>
      <c r="AA15" s="24" t="s">
        <v>416</v>
      </c>
      <c r="AB15" s="15"/>
      <c r="AC15" s="15"/>
      <c r="AD15" s="15"/>
      <c r="AE15" s="15"/>
      <c r="AG15" s="11"/>
      <c r="AI15" s="11"/>
      <c r="AM15" s="24" t="s">
        <v>417</v>
      </c>
      <c r="AN15" s="15"/>
      <c r="AO15" s="15"/>
      <c r="AP15" s="15"/>
      <c r="AQ15" s="15"/>
      <c r="AS15" s="11"/>
      <c r="AU15" s="28"/>
      <c r="AY15" s="24" t="s">
        <v>418</v>
      </c>
      <c r="AZ15" s="15"/>
      <c r="BA15" s="15"/>
      <c r="BB15" s="15"/>
      <c r="BC15" s="15"/>
      <c r="BE15" s="28"/>
    </row>
    <row r="16" spans="1:61">
      <c r="A16" t="s">
        <v>42</v>
      </c>
      <c r="B16" t="str">
        <f>SUM('Inteligencia emocional'!B17:I17)</f>
        <v>0</v>
      </c>
      <c r="C16" s="10" t="str">
        <f>IF(B16&lt;=$Q$19,"Bajo",IF(B16&lt;=$Q$20,"Regular",IF(B16&lt;=$Q$21,"Alto",0)))</f>
        <v>0</v>
      </c>
      <c r="D16" t="str">
        <f>SUM('Inteligencia emocional'!J17:Q17)</f>
        <v>0</v>
      </c>
      <c r="E16" s="10" t="str">
        <f>IF(D16&lt;=$AC$19,"Bajo",IF(D16&lt;=$AC$20,"Regular",IF(D16&lt;=$AC$21,"Alto",0)))</f>
        <v>0</v>
      </c>
      <c r="F16" t="str">
        <f>SUM('Inteligencia emocional'!R17:Y17)</f>
        <v>0</v>
      </c>
      <c r="G16" s="10" t="str">
        <f>IF(F16&lt;=$AO$19,"Bajo",IF(F16&lt;=$AO$20,"Regular",IF(F16&lt;=$AO$21,"Alto",0)))</f>
        <v>0</v>
      </c>
      <c r="H16" t="str">
        <f>SUM(B16:F16)</f>
        <v>0</v>
      </c>
      <c r="I16" s="10" t="str">
        <f>IF(H16&lt;=$BA$19,"Bajo",IF(H16&lt;=$BA$20,"Regular",IF(H16&lt;=$BA$21,"Alto",0)))</f>
        <v>0</v>
      </c>
      <c r="K16" s="11"/>
      <c r="O16" s="25" t="str">
        <f>N5</f>
        <v>0</v>
      </c>
      <c r="P16" s="20"/>
      <c r="Q16" s="20"/>
      <c r="R16" s="20"/>
      <c r="S16" s="20"/>
      <c r="U16" s="11"/>
      <c r="W16" s="11"/>
      <c r="AA16" s="25" t="str">
        <f>Z5</f>
        <v>0</v>
      </c>
      <c r="AB16" s="20"/>
      <c r="AC16" s="20"/>
      <c r="AD16" s="20"/>
      <c r="AE16" s="20"/>
      <c r="AG16" s="11"/>
      <c r="AI16" s="11"/>
      <c r="AM16" s="25" t="str">
        <f>AL5</f>
        <v>0</v>
      </c>
      <c r="AN16" s="20"/>
      <c r="AO16" s="20"/>
      <c r="AP16" s="20"/>
      <c r="AQ16" s="20"/>
      <c r="AS16" s="11"/>
      <c r="AU16" s="28"/>
      <c r="AY16" s="25" t="str">
        <f>AX4</f>
        <v>0</v>
      </c>
      <c r="AZ16" s="20"/>
      <c r="BA16" s="20"/>
      <c r="BB16" s="20"/>
      <c r="BC16" s="20"/>
      <c r="BE16" s="28"/>
    </row>
    <row r="17" spans="1:61">
      <c r="A17" t="s">
        <v>43</v>
      </c>
      <c r="B17" t="str">
        <f>SUM('Inteligencia emocional'!B18:I18)</f>
        <v>0</v>
      </c>
      <c r="C17" s="10" t="str">
        <f>IF(B17&lt;=$Q$19,"Bajo",IF(B17&lt;=$Q$20,"Regular",IF(B17&lt;=$Q$21,"Alto",0)))</f>
        <v>0</v>
      </c>
      <c r="D17" t="str">
        <f>SUM('Inteligencia emocional'!J18:Q18)</f>
        <v>0</v>
      </c>
      <c r="E17" s="10" t="str">
        <f>IF(D17&lt;=$AC$19,"Bajo",IF(D17&lt;=$AC$20,"Regular",IF(D17&lt;=$AC$21,"Alto",0)))</f>
        <v>0</v>
      </c>
      <c r="F17" t="str">
        <f>SUM('Inteligencia emocional'!R18:Y18)</f>
        <v>0</v>
      </c>
      <c r="G17" s="10" t="str">
        <f>IF(F17&lt;=$AO$19,"Bajo",IF(F17&lt;=$AO$20,"Regular",IF(F17&lt;=$AO$21,"Alto",0)))</f>
        <v>0</v>
      </c>
      <c r="H17" t="str">
        <f>SUM(B17:F17)</f>
        <v>0</v>
      </c>
      <c r="I17" s="10" t="str">
        <f>IF(H17&lt;=$BA$19,"Bajo",IF(H17&lt;=$BA$20,"Regular",IF(H17&lt;=$BA$21,"Alto",0)))</f>
        <v>0</v>
      </c>
      <c r="K17" s="11"/>
      <c r="O17" s="16" t="s">
        <v>419</v>
      </c>
      <c r="P17" s="18" t="s">
        <v>413</v>
      </c>
      <c r="Q17" s="18"/>
      <c r="R17" s="18" t="s">
        <v>420</v>
      </c>
      <c r="S17" s="18" t="s">
        <v>421</v>
      </c>
      <c r="U17" s="11"/>
      <c r="W17" s="11"/>
      <c r="AA17" s="16" t="s">
        <v>419</v>
      </c>
      <c r="AB17" s="18" t="s">
        <v>413</v>
      </c>
      <c r="AC17" s="18"/>
      <c r="AD17" s="18" t="s">
        <v>420</v>
      </c>
      <c r="AE17" s="18" t="s">
        <v>421</v>
      </c>
      <c r="AG17" s="11"/>
      <c r="AI17" s="11"/>
      <c r="AM17" s="16" t="s">
        <v>419</v>
      </c>
      <c r="AN17" s="18" t="s">
        <v>413</v>
      </c>
      <c r="AO17" s="18"/>
      <c r="AP17" s="18" t="s">
        <v>420</v>
      </c>
      <c r="AQ17" s="18" t="s">
        <v>421</v>
      </c>
      <c r="AS17" s="11"/>
      <c r="AU17" s="28"/>
      <c r="AY17" s="16" t="s">
        <v>419</v>
      </c>
      <c r="AZ17" s="18" t="s">
        <v>413</v>
      </c>
      <c r="BA17" s="18"/>
      <c r="BB17" s="18" t="s">
        <v>420</v>
      </c>
      <c r="BC17" s="18" t="s">
        <v>421</v>
      </c>
      <c r="BE17" s="28"/>
    </row>
    <row r="18" spans="1:61">
      <c r="A18" t="s">
        <v>44</v>
      </c>
      <c r="B18" t="str">
        <f>SUM('Inteligencia emocional'!B19:I19)</f>
        <v>0</v>
      </c>
      <c r="C18" s="10" t="str">
        <f>IF(B18&lt;=$Q$19,"Bajo",IF(B18&lt;=$Q$20,"Regular",IF(B18&lt;=$Q$21,"Alto",0)))</f>
        <v>0</v>
      </c>
      <c r="D18" t="str">
        <f>SUM('Inteligencia emocional'!J19:Q19)</f>
        <v>0</v>
      </c>
      <c r="E18" s="10" t="str">
        <f>IF(D18&lt;=$AC$19,"Bajo",IF(D18&lt;=$AC$20,"Regular",IF(D18&lt;=$AC$21,"Alto",0)))</f>
        <v>0</v>
      </c>
      <c r="F18" t="str">
        <f>SUM('Inteligencia emocional'!R19:Y19)</f>
        <v>0</v>
      </c>
      <c r="G18" s="10" t="str">
        <f>IF(F18&lt;=$AO$19,"Bajo",IF(F18&lt;=$AO$20,"Regular",IF(F18&lt;=$AO$21,"Alto",0)))</f>
        <v>0</v>
      </c>
      <c r="H18" t="str">
        <f>SUM(B18:F18)</f>
        <v>0</v>
      </c>
      <c r="I18" s="10" t="str">
        <f>IF(H18&lt;=$BA$19,"Bajo",IF(H18&lt;=$BA$20,"Regular",IF(H18&lt;=$BA$21,"Alto",0)))</f>
        <v>0</v>
      </c>
      <c r="K18" s="11"/>
      <c r="O18" s="17"/>
      <c r="P18" s="20" t="s">
        <v>422</v>
      </c>
      <c r="Q18" s="20" t="s">
        <v>423</v>
      </c>
      <c r="R18" s="20"/>
      <c r="S18" s="20"/>
      <c r="U18" s="11"/>
      <c r="W18" s="11"/>
      <c r="AA18" s="17"/>
      <c r="AB18" s="20" t="s">
        <v>422</v>
      </c>
      <c r="AC18" s="20" t="s">
        <v>423</v>
      </c>
      <c r="AD18" s="20"/>
      <c r="AE18" s="20"/>
      <c r="AG18" s="11"/>
      <c r="AI18" s="11"/>
      <c r="AM18" s="17"/>
      <c r="AN18" s="20" t="s">
        <v>422</v>
      </c>
      <c r="AO18" s="20" t="s">
        <v>423</v>
      </c>
      <c r="AP18" s="20"/>
      <c r="AQ18" s="20"/>
      <c r="AS18" s="11"/>
      <c r="AU18" s="28"/>
      <c r="AY18" s="17"/>
      <c r="AZ18" s="20" t="s">
        <v>422</v>
      </c>
      <c r="BA18" s="20" t="s">
        <v>423</v>
      </c>
      <c r="BB18" s="20"/>
      <c r="BC18" s="20"/>
      <c r="BE18" s="28"/>
    </row>
    <row r="19" spans="1:61">
      <c r="A19" t="s">
        <v>45</v>
      </c>
      <c r="B19" t="str">
        <f>SUM('Inteligencia emocional'!B20:I20)</f>
        <v>0</v>
      </c>
      <c r="C19" s="10" t="str">
        <f>IF(B19&lt;=$Q$19,"Bajo",IF(B19&lt;=$Q$20,"Regular",IF(B19&lt;=$Q$21,"Alto",0)))</f>
        <v>0</v>
      </c>
      <c r="D19" t="str">
        <f>SUM('Inteligencia emocional'!J20:Q20)</f>
        <v>0</v>
      </c>
      <c r="E19" s="10" t="str">
        <f>IF(D19&lt;=$AC$19,"Bajo",IF(D19&lt;=$AC$20,"Regular",IF(D19&lt;=$AC$21,"Alto",0)))</f>
        <v>0</v>
      </c>
      <c r="F19" t="str">
        <f>SUM('Inteligencia emocional'!R20:Y20)</f>
        <v>0</v>
      </c>
      <c r="G19" s="10" t="str">
        <f>IF(F19&lt;=$AO$19,"Bajo",IF(F19&lt;=$AO$20,"Regular",IF(F19&lt;=$AO$21,"Alto",0)))</f>
        <v>0</v>
      </c>
      <c r="H19" t="str">
        <f>SUM(B19:F19)</f>
        <v>0</v>
      </c>
      <c r="I19" s="10" t="str">
        <f>IF(H19&lt;=$BA$19,"Bajo",IF(H19&lt;=$BA$20,"Regular",IF(H19&lt;=$BA$21,"Alto",0)))</f>
        <v>0</v>
      </c>
      <c r="K19" s="11"/>
      <c r="O19" s="18" t="s">
        <v>424</v>
      </c>
      <c r="P19" s="18" t="str">
        <f>N11</f>
        <v>0</v>
      </c>
      <c r="Q19" s="18" t="str">
        <f>P19+N13</f>
        <v>0</v>
      </c>
      <c r="R19" s="18" t="str">
        <f>COUNTIF($C$4:$C$358,$O19)</f>
        <v>0</v>
      </c>
      <c r="S19" s="22" t="str">
        <f>R19/R22</f>
        <v>0</v>
      </c>
      <c r="U19" s="11"/>
      <c r="W19" s="11"/>
      <c r="AA19" s="18" t="s">
        <v>424</v>
      </c>
      <c r="AB19" s="18" t="str">
        <f>Z11</f>
        <v>0</v>
      </c>
      <c r="AC19" s="18" t="str">
        <f>AB19+Z13</f>
        <v>0</v>
      </c>
      <c r="AD19" s="18" t="str">
        <f>COUNTIF($E$4:$E$358,$AA19)</f>
        <v>0</v>
      </c>
      <c r="AE19" s="22" t="str">
        <f>AD19/AD22</f>
        <v>0</v>
      </c>
      <c r="AG19" s="11"/>
      <c r="AI19" s="11"/>
      <c r="AM19" s="18" t="s">
        <v>424</v>
      </c>
      <c r="AN19" s="18" t="str">
        <f>AL11</f>
        <v>0</v>
      </c>
      <c r="AO19" s="18" t="str">
        <f>AN19+AL13</f>
        <v>0</v>
      </c>
      <c r="AP19" s="18" t="str">
        <f>COUNTIF($G$4:$G$358,$AM19)</f>
        <v>0</v>
      </c>
      <c r="AQ19" s="22" t="str">
        <f>AP19/AP22</f>
        <v>0</v>
      </c>
      <c r="AS19" s="11"/>
      <c r="AU19" s="28"/>
      <c r="AY19" s="18" t="s">
        <v>424</v>
      </c>
      <c r="AZ19" s="18" t="str">
        <f>AX11</f>
        <v>0</v>
      </c>
      <c r="BA19" s="18" t="str">
        <f>AZ19+AX13 - 1</f>
        <v>0</v>
      </c>
      <c r="BB19" s="18" t="str">
        <f>COUNTIF($I$4:$I$358,$AY19)</f>
        <v>0</v>
      </c>
      <c r="BC19" s="22" t="str">
        <f>BB19/BB22</f>
        <v>0</v>
      </c>
      <c r="BE19" s="28"/>
    </row>
    <row r="20" spans="1:61">
      <c r="A20" t="s">
        <v>46</v>
      </c>
      <c r="B20" t="str">
        <f>SUM('Inteligencia emocional'!B21:I21)</f>
        <v>0</v>
      </c>
      <c r="C20" s="10" t="str">
        <f>IF(B20&lt;=$Q$19,"Bajo",IF(B20&lt;=$Q$20,"Regular",IF(B20&lt;=$Q$21,"Alto",0)))</f>
        <v>0</v>
      </c>
      <c r="D20" t="str">
        <f>SUM('Inteligencia emocional'!J21:Q21)</f>
        <v>0</v>
      </c>
      <c r="E20" s="10" t="str">
        <f>IF(D20&lt;=$AC$19,"Bajo",IF(D20&lt;=$AC$20,"Regular",IF(D20&lt;=$AC$21,"Alto",0)))</f>
        <v>0</v>
      </c>
      <c r="F20" t="str">
        <f>SUM('Inteligencia emocional'!R21:Y21)</f>
        <v>0</v>
      </c>
      <c r="G20" s="10" t="str">
        <f>IF(F20&lt;=$AO$19,"Bajo",IF(F20&lt;=$AO$20,"Regular",IF(F20&lt;=$AO$21,"Alto",0)))</f>
        <v>0</v>
      </c>
      <c r="H20" t="str">
        <f>SUM(B20:F20)</f>
        <v>0</v>
      </c>
      <c r="I20" s="10" t="str">
        <f>IF(H20&lt;=$BA$19,"Bajo",IF(H20&lt;=$BA$20,"Regular",IF(H20&lt;=$BA$21,"Alto",0)))</f>
        <v>0</v>
      </c>
      <c r="K20" s="11"/>
      <c r="O20" s="18" t="s">
        <v>425</v>
      </c>
      <c r="P20" s="18" t="str">
        <f>Q19+ 1</f>
        <v>0</v>
      </c>
      <c r="Q20" s="18" t="str">
        <f>P20+N13</f>
        <v>0</v>
      </c>
      <c r="R20" s="18" t="str">
        <f>COUNTIF($C$4:$C$358,$O20)</f>
        <v>0</v>
      </c>
      <c r="S20" s="22" t="str">
        <f>R20/R22</f>
        <v>0</v>
      </c>
      <c r="U20" s="11"/>
      <c r="W20" s="11"/>
      <c r="AA20" s="18" t="s">
        <v>425</v>
      </c>
      <c r="AB20" s="18" t="str">
        <f>AC19+ 1</f>
        <v>0</v>
      </c>
      <c r="AC20" s="18" t="str">
        <f>AB20+Z13</f>
        <v>0</v>
      </c>
      <c r="AD20" s="18" t="str">
        <f>COUNTIF($E$4:$E$358,$AA20)</f>
        <v>0</v>
      </c>
      <c r="AE20" s="22" t="str">
        <f>AD20/AD22</f>
        <v>0</v>
      </c>
      <c r="AG20" s="11"/>
      <c r="AI20" s="11"/>
      <c r="AM20" s="18" t="s">
        <v>425</v>
      </c>
      <c r="AN20" s="18" t="str">
        <f>AO19+ 1</f>
        <v>0</v>
      </c>
      <c r="AO20" s="18" t="str">
        <f>AN20+AL13</f>
        <v>0</v>
      </c>
      <c r="AP20" s="18" t="str">
        <f>COUNTIF($G$4:$G$358,$AM20)</f>
        <v>0</v>
      </c>
      <c r="AQ20" s="22" t="str">
        <f>AP20/AP22</f>
        <v>0</v>
      </c>
      <c r="AS20" s="11"/>
      <c r="AU20" s="28"/>
      <c r="AY20" s="18" t="s">
        <v>425</v>
      </c>
      <c r="AZ20" s="18" t="str">
        <f>BA19+ 1</f>
        <v>0</v>
      </c>
      <c r="BA20" s="18" t="str">
        <f>AZ20+AX13 - 1</f>
        <v>0</v>
      </c>
      <c r="BB20" s="18" t="str">
        <f>COUNTIF($I$4:$I$358,$AY20)</f>
        <v>0</v>
      </c>
      <c r="BC20" s="22" t="str">
        <f>BB20/BB22</f>
        <v>0</v>
      </c>
      <c r="BE20" s="28"/>
    </row>
    <row r="21" spans="1:61">
      <c r="A21" t="s">
        <v>47</v>
      </c>
      <c r="B21" t="str">
        <f>SUM('Inteligencia emocional'!B22:I22)</f>
        <v>0</v>
      </c>
      <c r="C21" s="10" t="str">
        <f>IF(B21&lt;=$Q$19,"Bajo",IF(B21&lt;=$Q$20,"Regular",IF(B21&lt;=$Q$21,"Alto",0)))</f>
        <v>0</v>
      </c>
      <c r="D21" t="str">
        <f>SUM('Inteligencia emocional'!J22:Q22)</f>
        <v>0</v>
      </c>
      <c r="E21" s="10" t="str">
        <f>IF(D21&lt;=$AC$19,"Bajo",IF(D21&lt;=$AC$20,"Regular",IF(D21&lt;=$AC$21,"Alto",0)))</f>
        <v>0</v>
      </c>
      <c r="F21" t="str">
        <f>SUM('Inteligencia emocional'!R22:Y22)</f>
        <v>0</v>
      </c>
      <c r="G21" s="10" t="str">
        <f>IF(F21&lt;=$AO$19,"Bajo",IF(F21&lt;=$AO$20,"Regular",IF(F21&lt;=$AO$21,"Alto",0)))</f>
        <v>0</v>
      </c>
      <c r="H21" t="str">
        <f>SUM(B21:F21)</f>
        <v>0</v>
      </c>
      <c r="I21" s="10" t="str">
        <f>IF(H21&lt;=$BA$19,"Bajo",IF(H21&lt;=$BA$20,"Regular",IF(H21&lt;=$BA$21,"Alto",0)))</f>
        <v>0</v>
      </c>
      <c r="K21" s="11"/>
      <c r="O21" s="18" t="s">
        <v>426</v>
      </c>
      <c r="P21" s="18" t="str">
        <f>Q20+ 1</f>
        <v>0</v>
      </c>
      <c r="Q21" s="18" t="str">
        <f>N10</f>
        <v>0</v>
      </c>
      <c r="R21" s="18" t="str">
        <f>COUNTIF($C$4:$C$358,$O21)</f>
        <v>0</v>
      </c>
      <c r="S21" s="22" t="str">
        <f>R21/R22</f>
        <v>0</v>
      </c>
      <c r="U21" s="11"/>
      <c r="W21" s="11"/>
      <c r="AA21" s="18" t="s">
        <v>426</v>
      </c>
      <c r="AB21" s="18" t="str">
        <f>AC20+ 1</f>
        <v>0</v>
      </c>
      <c r="AC21" s="18" t="str">
        <f>Z10</f>
        <v>0</v>
      </c>
      <c r="AD21" s="18" t="str">
        <f>COUNTIF($E$4:$E$358,$AA21)</f>
        <v>0</v>
      </c>
      <c r="AE21" s="22" t="str">
        <f>AD21/AD22</f>
        <v>0</v>
      </c>
      <c r="AG21" s="11"/>
      <c r="AI21" s="11"/>
      <c r="AM21" s="18" t="s">
        <v>426</v>
      </c>
      <c r="AN21" s="18" t="str">
        <f>AO20+ 1</f>
        <v>0</v>
      </c>
      <c r="AO21" s="18" t="str">
        <f>AL10</f>
        <v>0</v>
      </c>
      <c r="AP21" s="18" t="str">
        <f>COUNTIF($G$4:$G$358,$AM21)</f>
        <v>0</v>
      </c>
      <c r="AQ21" s="22" t="str">
        <f>AP21/AP22</f>
        <v>0</v>
      </c>
      <c r="AS21" s="11"/>
      <c r="AU21" s="28"/>
      <c r="AY21" s="18" t="s">
        <v>426</v>
      </c>
      <c r="AZ21" s="18" t="str">
        <f>BA20+ 1</f>
        <v>0</v>
      </c>
      <c r="BA21" s="18" t="str">
        <f>AX10</f>
        <v>0</v>
      </c>
      <c r="BB21" s="18" t="str">
        <f>COUNTIF($I$4:$I$358,$AY21)</f>
        <v>0</v>
      </c>
      <c r="BC21" s="22" t="str">
        <f>BB21/BB22</f>
        <v>0</v>
      </c>
      <c r="BE21" s="28"/>
    </row>
    <row r="22" spans="1:61">
      <c r="A22" t="s">
        <v>48</v>
      </c>
      <c r="B22" t="str">
        <f>SUM('Inteligencia emocional'!B23:I23)</f>
        <v>0</v>
      </c>
      <c r="C22" s="10" t="str">
        <f>IF(B22&lt;=$Q$19,"Bajo",IF(B22&lt;=$Q$20,"Regular",IF(B22&lt;=$Q$21,"Alto",0)))</f>
        <v>0</v>
      </c>
      <c r="D22" t="str">
        <f>SUM('Inteligencia emocional'!J23:Q23)</f>
        <v>0</v>
      </c>
      <c r="E22" s="10" t="str">
        <f>IF(D22&lt;=$AC$19,"Bajo",IF(D22&lt;=$AC$20,"Regular",IF(D22&lt;=$AC$21,"Alto",0)))</f>
        <v>0</v>
      </c>
      <c r="F22" t="str">
        <f>SUM('Inteligencia emocional'!R23:Y23)</f>
        <v>0</v>
      </c>
      <c r="G22" s="10" t="str">
        <f>IF(F22&lt;=$AO$19,"Bajo",IF(F22&lt;=$AO$20,"Regular",IF(F22&lt;=$AO$21,"Alto",0)))</f>
        <v>0</v>
      </c>
      <c r="H22" t="str">
        <f>SUM(B22:F22)</f>
        <v>0</v>
      </c>
      <c r="I22" s="10" t="str">
        <f>IF(H22&lt;=$BA$19,"Bajo",IF(H22&lt;=$BA$20,"Regular",IF(H22&lt;=$BA$21,"Alto",0)))</f>
        <v>0</v>
      </c>
      <c r="K22" s="11"/>
      <c r="O22" s="19" t="s">
        <v>4</v>
      </c>
      <c r="P22" s="21"/>
      <c r="Q22" s="21"/>
      <c r="R22" s="19" t="str">
        <f>SUM(R19:R21)</f>
        <v>0</v>
      </c>
      <c r="S22" s="23" t="str">
        <f>SUM(S19:S21)</f>
        <v>0</v>
      </c>
      <c r="U22" s="11"/>
      <c r="W22" s="11"/>
      <c r="AA22" s="19" t="s">
        <v>4</v>
      </c>
      <c r="AB22" s="21"/>
      <c r="AC22" s="21"/>
      <c r="AD22" s="19" t="str">
        <f>SUM(AD19:AD21)</f>
        <v>0</v>
      </c>
      <c r="AE22" s="23" t="str">
        <f>SUM(AE19:AE21)</f>
        <v>0</v>
      </c>
      <c r="AG22" s="11"/>
      <c r="AI22" s="11"/>
      <c r="AM22" s="19" t="s">
        <v>4</v>
      </c>
      <c r="AN22" s="21"/>
      <c r="AO22" s="21"/>
      <c r="AP22" s="19" t="str">
        <f>SUM(AP19:AP21)</f>
        <v>0</v>
      </c>
      <c r="AQ22" s="23" t="str">
        <f>SUM(AQ19:AQ21)</f>
        <v>0</v>
      </c>
      <c r="AS22" s="11"/>
      <c r="AU22" s="28"/>
      <c r="AY22" s="19" t="s">
        <v>4</v>
      </c>
      <c r="AZ22" s="21"/>
      <c r="BA22" s="21"/>
      <c r="BB22" s="19" t="str">
        <f>SUM(BB19:BB21)</f>
        <v>0</v>
      </c>
      <c r="BC22" s="23" t="str">
        <f>SUM(BC19:BC21)</f>
        <v>0</v>
      </c>
      <c r="BE22" s="28"/>
    </row>
    <row r="23" spans="1:61">
      <c r="A23" t="s">
        <v>49</v>
      </c>
      <c r="B23" t="str">
        <f>SUM('Inteligencia emocional'!B24:I24)</f>
        <v>0</v>
      </c>
      <c r="C23" s="10" t="str">
        <f>IF(B23&lt;=$Q$19,"Bajo",IF(B23&lt;=$Q$20,"Regular",IF(B23&lt;=$Q$21,"Alto",0)))</f>
        <v>0</v>
      </c>
      <c r="D23" t="str">
        <f>SUM('Inteligencia emocional'!J24:Q24)</f>
        <v>0</v>
      </c>
      <c r="E23" s="10" t="str">
        <f>IF(D23&lt;=$AC$19,"Bajo",IF(D23&lt;=$AC$20,"Regular",IF(D23&lt;=$AC$21,"Alto",0)))</f>
        <v>0</v>
      </c>
      <c r="F23" t="str">
        <f>SUM('Inteligencia emocional'!R24:Y24)</f>
        <v>0</v>
      </c>
      <c r="G23" s="10" t="str">
        <f>IF(F23&lt;=$AO$19,"Bajo",IF(F23&lt;=$AO$20,"Regular",IF(F23&lt;=$AO$21,"Alto",0)))</f>
        <v>0</v>
      </c>
      <c r="H23" t="str">
        <f>SUM(B23:F23)</f>
        <v>0</v>
      </c>
      <c r="I23" s="10" t="str">
        <f>IF(H23&lt;=$BA$19,"Bajo",IF(H23&lt;=$BA$20,"Regular",IF(H23&lt;=$BA$21,"Alto",0)))</f>
        <v>0</v>
      </c>
      <c r="K23" s="11"/>
      <c r="O23" s="10" t="s">
        <v>427</v>
      </c>
      <c r="U23" s="11"/>
      <c r="W23" s="11"/>
      <c r="AA23" s="10" t="s">
        <v>427</v>
      </c>
      <c r="AG23" s="11"/>
      <c r="AI23" s="11"/>
      <c r="AM23" s="10" t="s">
        <v>427</v>
      </c>
      <c r="AS23" s="11"/>
      <c r="AU23" s="28"/>
      <c r="AY23" s="10" t="s">
        <v>427</v>
      </c>
      <c r="BE23" s="28"/>
    </row>
    <row r="24" spans="1:61">
      <c r="A24" t="s">
        <v>50</v>
      </c>
      <c r="B24" t="str">
        <f>SUM('Inteligencia emocional'!B25:I25)</f>
        <v>0</v>
      </c>
      <c r="C24" s="10" t="str">
        <f>IF(B24&lt;=$Q$19,"Bajo",IF(B24&lt;=$Q$20,"Regular",IF(B24&lt;=$Q$21,"Alto",0)))</f>
        <v>0</v>
      </c>
      <c r="D24" t="str">
        <f>SUM('Inteligencia emocional'!J25:Q25)</f>
        <v>0</v>
      </c>
      <c r="E24" s="10" t="str">
        <f>IF(D24&lt;=$AC$19,"Bajo",IF(D24&lt;=$AC$20,"Regular",IF(D24&lt;=$AC$21,"Alto",0)))</f>
        <v>0</v>
      </c>
      <c r="F24" t="str">
        <f>SUM('Inteligencia emocional'!R25:Y25)</f>
        <v>0</v>
      </c>
      <c r="G24" s="10" t="str">
        <f>IF(F24&lt;=$AO$19,"Bajo",IF(F24&lt;=$AO$20,"Regular",IF(F24&lt;=$AO$21,"Alto",0)))</f>
        <v>0</v>
      </c>
      <c r="H24" t="str">
        <f>SUM(B24:F24)</f>
        <v>0</v>
      </c>
      <c r="I24" s="10" t="str">
        <f>IF(H24&lt;=$BA$19,"Bajo",IF(H24&lt;=$BA$20,"Regular",IF(H24&lt;=$BA$21,"Alto",0)))</f>
        <v>0</v>
      </c>
      <c r="K24" s="11"/>
      <c r="O24" s="10" t="s">
        <v>428</v>
      </c>
      <c r="U24" s="11"/>
      <c r="W24" s="11"/>
      <c r="AA24" s="10" t="s">
        <v>428</v>
      </c>
      <c r="AG24" s="11"/>
      <c r="AI24" s="11"/>
      <c r="AM24" s="10" t="s">
        <v>428</v>
      </c>
      <c r="AS24" s="11"/>
      <c r="AU24" s="28"/>
      <c r="AY24" s="10" t="s">
        <v>428</v>
      </c>
      <c r="BE24" s="28"/>
    </row>
    <row r="25" spans="1:61">
      <c r="A25" t="s">
        <v>51</v>
      </c>
      <c r="B25" t="str">
        <f>SUM('Inteligencia emocional'!B26:I26)</f>
        <v>0</v>
      </c>
      <c r="C25" s="10" t="str">
        <f>IF(B25&lt;=$Q$19,"Bajo",IF(B25&lt;=$Q$20,"Regular",IF(B25&lt;=$Q$21,"Alto",0)))</f>
        <v>0</v>
      </c>
      <c r="D25" t="str">
        <f>SUM('Inteligencia emocional'!J26:Q26)</f>
        <v>0</v>
      </c>
      <c r="E25" s="10" t="str">
        <f>IF(D25&lt;=$AC$19,"Bajo",IF(D25&lt;=$AC$20,"Regular",IF(D25&lt;=$AC$21,"Alto",0)))</f>
        <v>0</v>
      </c>
      <c r="F25" t="str">
        <f>SUM('Inteligencia emocional'!R26:Y26)</f>
        <v>0</v>
      </c>
      <c r="G25" s="10" t="str">
        <f>IF(F25&lt;=$AO$19,"Bajo",IF(F25&lt;=$AO$20,"Regular",IF(F25&lt;=$AO$21,"Alto",0)))</f>
        <v>0</v>
      </c>
      <c r="H25" t="str">
        <f>SUM(B25:F25)</f>
        <v>0</v>
      </c>
      <c r="I25" s="10" t="str">
        <f>IF(H25&lt;=$BA$19,"Bajo",IF(H25&lt;=$BA$20,"Regular",IF(H25&lt;=$BA$21,"Alto",0)))</f>
        <v>0</v>
      </c>
      <c r="K25" s="11"/>
      <c r="U25" s="11"/>
      <c r="W25" s="11"/>
      <c r="AG25" s="11"/>
      <c r="AI25" s="11"/>
      <c r="AS25" s="11"/>
      <c r="AU25" s="28"/>
      <c r="BE25" s="28"/>
    </row>
    <row r="26" spans="1:61">
      <c r="A26" t="s">
        <v>52</v>
      </c>
      <c r="B26" t="str">
        <f>SUM('Inteligencia emocional'!B27:I27)</f>
        <v>0</v>
      </c>
      <c r="C26" s="10" t="str">
        <f>IF(B26&lt;=$Q$19,"Bajo",IF(B26&lt;=$Q$20,"Regular",IF(B26&lt;=$Q$21,"Alto",0)))</f>
        <v>0</v>
      </c>
      <c r="D26" t="str">
        <f>SUM('Inteligencia emocional'!J27:Q27)</f>
        <v>0</v>
      </c>
      <c r="E26" s="10" t="str">
        <f>IF(D26&lt;=$AC$19,"Bajo",IF(D26&lt;=$AC$20,"Regular",IF(D26&lt;=$AC$21,"Alto",0)))</f>
        <v>0</v>
      </c>
      <c r="F26" t="str">
        <f>SUM('Inteligencia emocional'!R27:Y27)</f>
        <v>0</v>
      </c>
      <c r="G26" s="10" t="str">
        <f>IF(F26&lt;=$AO$19,"Bajo",IF(F26&lt;=$AO$20,"Regular",IF(F26&lt;=$AO$21,"Alto",0)))</f>
        <v>0</v>
      </c>
      <c r="H26" t="str">
        <f>SUM(B26:F26)</f>
        <v>0</v>
      </c>
      <c r="I26" s="10" t="str">
        <f>IF(H26&lt;=$BA$19,"Bajo",IF(H26&lt;=$BA$20,"Regular",IF(H26&lt;=$BA$21,"Alto",0)))</f>
        <v>0</v>
      </c>
      <c r="K26" s="11"/>
      <c r="U26" s="11"/>
      <c r="W26" s="11"/>
      <c r="AG26" s="11"/>
      <c r="AI26" s="11"/>
      <c r="AS26" s="11"/>
      <c r="AU26" s="28"/>
      <c r="BE26" s="28"/>
    </row>
    <row r="27" spans="1:61">
      <c r="A27" t="s">
        <v>53</v>
      </c>
      <c r="B27" t="str">
        <f>SUM('Inteligencia emocional'!B28:I28)</f>
        <v>0</v>
      </c>
      <c r="C27" s="10" t="str">
        <f>IF(B27&lt;=$Q$19,"Bajo",IF(B27&lt;=$Q$20,"Regular",IF(B27&lt;=$Q$21,"Alto",0)))</f>
        <v>0</v>
      </c>
      <c r="D27" t="str">
        <f>SUM('Inteligencia emocional'!J28:Q28)</f>
        <v>0</v>
      </c>
      <c r="E27" s="10" t="str">
        <f>IF(D27&lt;=$AC$19,"Bajo",IF(D27&lt;=$AC$20,"Regular",IF(D27&lt;=$AC$21,"Alto",0)))</f>
        <v>0</v>
      </c>
      <c r="F27" t="str">
        <f>SUM('Inteligencia emocional'!R28:Y28)</f>
        <v>0</v>
      </c>
      <c r="G27" s="10" t="str">
        <f>IF(F27&lt;=$AO$19,"Bajo",IF(F27&lt;=$AO$20,"Regular",IF(F27&lt;=$AO$21,"Alto",0)))</f>
        <v>0</v>
      </c>
      <c r="H27" t="str">
        <f>SUM(B27:F27)</f>
        <v>0</v>
      </c>
      <c r="I27" s="10" t="str">
        <f>IF(H27&lt;=$BA$19,"Bajo",IF(H27&lt;=$BA$20,"Regular",IF(H27&lt;=$BA$21,"Alto",0)))</f>
        <v>0</v>
      </c>
      <c r="K27" s="11"/>
      <c r="U27" s="11"/>
      <c r="W27" s="11"/>
      <c r="AG27" s="11"/>
      <c r="AI27" s="11"/>
      <c r="AS27" s="11"/>
      <c r="AU27" s="28"/>
      <c r="BE27" s="28"/>
    </row>
    <row r="28" spans="1:61">
      <c r="A28" t="s">
        <v>54</v>
      </c>
      <c r="B28" t="str">
        <f>SUM('Inteligencia emocional'!B29:I29)</f>
        <v>0</v>
      </c>
      <c r="C28" s="10" t="str">
        <f>IF(B28&lt;=$Q$19,"Bajo",IF(B28&lt;=$Q$20,"Regular",IF(B28&lt;=$Q$21,"Alto",0)))</f>
        <v>0</v>
      </c>
      <c r="D28" t="str">
        <f>SUM('Inteligencia emocional'!J29:Q29)</f>
        <v>0</v>
      </c>
      <c r="E28" s="10" t="str">
        <f>IF(D28&lt;=$AC$19,"Bajo",IF(D28&lt;=$AC$20,"Regular",IF(D28&lt;=$AC$21,"Alto",0)))</f>
        <v>0</v>
      </c>
      <c r="F28" t="str">
        <f>SUM('Inteligencia emocional'!R29:Y29)</f>
        <v>0</v>
      </c>
      <c r="G28" s="10" t="str">
        <f>IF(F28&lt;=$AO$19,"Bajo",IF(F28&lt;=$AO$20,"Regular",IF(F28&lt;=$AO$21,"Alto",0)))</f>
        <v>0</v>
      </c>
      <c r="H28" t="str">
        <f>SUM(B28:F28)</f>
        <v>0</v>
      </c>
      <c r="I28" s="10" t="str">
        <f>IF(H28&lt;=$BA$19,"Bajo",IF(H28&lt;=$BA$20,"Regular",IF(H28&lt;=$BA$21,"Alto",0)))</f>
        <v>0</v>
      </c>
      <c r="K28" s="11"/>
      <c r="U28" s="11"/>
      <c r="W28" s="11"/>
      <c r="AG28" s="11"/>
      <c r="AI28" s="11"/>
      <c r="AS28" s="11"/>
      <c r="AU28" s="28"/>
      <c r="BE28" s="28"/>
    </row>
    <row r="29" spans="1:61">
      <c r="A29" t="s">
        <v>55</v>
      </c>
      <c r="B29" t="str">
        <f>SUM('Inteligencia emocional'!B30:I30)</f>
        <v>0</v>
      </c>
      <c r="C29" s="10" t="str">
        <f>IF(B29&lt;=$Q$19,"Bajo",IF(B29&lt;=$Q$20,"Regular",IF(B29&lt;=$Q$21,"Alto",0)))</f>
        <v>0</v>
      </c>
      <c r="D29" t="str">
        <f>SUM('Inteligencia emocional'!J30:Q30)</f>
        <v>0</v>
      </c>
      <c r="E29" s="10" t="str">
        <f>IF(D29&lt;=$AC$19,"Bajo",IF(D29&lt;=$AC$20,"Regular",IF(D29&lt;=$AC$21,"Alto",0)))</f>
        <v>0</v>
      </c>
      <c r="F29" t="str">
        <f>SUM('Inteligencia emocional'!R30:Y30)</f>
        <v>0</v>
      </c>
      <c r="G29" s="10" t="str">
        <f>IF(F29&lt;=$AO$19,"Bajo",IF(F29&lt;=$AO$20,"Regular",IF(F29&lt;=$AO$21,"Alto",0)))</f>
        <v>0</v>
      </c>
      <c r="H29" t="str">
        <f>SUM(B29:F29)</f>
        <v>0</v>
      </c>
      <c r="I29" s="10" t="str">
        <f>IF(H29&lt;=$BA$19,"Bajo",IF(H29&lt;=$BA$20,"Regular",IF(H29&lt;=$BA$21,"Alto",0)))</f>
        <v>0</v>
      </c>
      <c r="K29" s="11"/>
      <c r="U29" s="11"/>
      <c r="W29" s="11"/>
      <c r="AG29" s="11"/>
      <c r="AI29" s="11"/>
      <c r="AS29" s="11"/>
      <c r="AU29" s="28"/>
      <c r="BE29" s="28"/>
    </row>
    <row r="30" spans="1:61">
      <c r="A30" t="s">
        <v>56</v>
      </c>
      <c r="B30" t="str">
        <f>SUM('Inteligencia emocional'!B31:I31)</f>
        <v>0</v>
      </c>
      <c r="C30" s="10" t="str">
        <f>IF(B30&lt;=$Q$19,"Bajo",IF(B30&lt;=$Q$20,"Regular",IF(B30&lt;=$Q$21,"Alto",0)))</f>
        <v>0</v>
      </c>
      <c r="D30" t="str">
        <f>SUM('Inteligencia emocional'!J31:Q31)</f>
        <v>0</v>
      </c>
      <c r="E30" s="10" t="str">
        <f>IF(D30&lt;=$AC$19,"Bajo",IF(D30&lt;=$AC$20,"Regular",IF(D30&lt;=$AC$21,"Alto",0)))</f>
        <v>0</v>
      </c>
      <c r="F30" t="str">
        <f>SUM('Inteligencia emocional'!R31:Y31)</f>
        <v>0</v>
      </c>
      <c r="G30" s="10" t="str">
        <f>IF(F30&lt;=$AO$19,"Bajo",IF(F30&lt;=$AO$20,"Regular",IF(F30&lt;=$AO$21,"Alto",0)))</f>
        <v>0</v>
      </c>
      <c r="H30" t="str">
        <f>SUM(B30:F30)</f>
        <v>0</v>
      </c>
      <c r="I30" s="10" t="str">
        <f>IF(H30&lt;=$BA$19,"Bajo",IF(H30&lt;=$BA$20,"Regular",IF(H30&lt;=$BA$21,"Alto",0)))</f>
        <v>0</v>
      </c>
      <c r="K30" s="11"/>
      <c r="U30" s="11"/>
      <c r="W30" s="11"/>
      <c r="AG30" s="11"/>
      <c r="AI30" s="11"/>
      <c r="AS30" s="11"/>
      <c r="AU30" s="28"/>
      <c r="BE30" s="28"/>
    </row>
    <row r="31" spans="1:61">
      <c r="A31" t="s">
        <v>57</v>
      </c>
      <c r="B31" t="str">
        <f>SUM('Inteligencia emocional'!B32:I32)</f>
        <v>0</v>
      </c>
      <c r="C31" s="10" t="str">
        <f>IF(B31&lt;=$Q$19,"Bajo",IF(B31&lt;=$Q$20,"Regular",IF(B31&lt;=$Q$21,"Alto",0)))</f>
        <v>0</v>
      </c>
      <c r="D31" t="str">
        <f>SUM('Inteligencia emocional'!J32:Q32)</f>
        <v>0</v>
      </c>
      <c r="E31" s="10" t="str">
        <f>IF(D31&lt;=$AC$19,"Bajo",IF(D31&lt;=$AC$20,"Regular",IF(D31&lt;=$AC$21,"Alto",0)))</f>
        <v>0</v>
      </c>
      <c r="F31" t="str">
        <f>SUM('Inteligencia emocional'!R32:Y32)</f>
        <v>0</v>
      </c>
      <c r="G31" s="10" t="str">
        <f>IF(F31&lt;=$AO$19,"Bajo",IF(F31&lt;=$AO$20,"Regular",IF(F31&lt;=$AO$21,"Alto",0)))</f>
        <v>0</v>
      </c>
      <c r="H31" t="str">
        <f>SUM(B31:F31)</f>
        <v>0</v>
      </c>
      <c r="I31" s="10" t="str">
        <f>IF(H31&lt;=$BA$19,"Bajo",IF(H31&lt;=$BA$20,"Regular",IF(H31&lt;=$BA$21,"Alto",0)))</f>
        <v>0</v>
      </c>
      <c r="K31" s="11"/>
      <c r="U31" s="11"/>
      <c r="W31" s="11"/>
      <c r="AG31" s="11"/>
      <c r="AI31" s="11"/>
      <c r="AS31" s="11"/>
      <c r="AU31" s="28"/>
      <c r="BE31" s="28"/>
    </row>
    <row r="32" spans="1:61">
      <c r="A32" t="s">
        <v>58</v>
      </c>
      <c r="B32" t="str">
        <f>SUM('Inteligencia emocional'!B33:I33)</f>
        <v>0</v>
      </c>
      <c r="C32" s="10" t="str">
        <f>IF(B32&lt;=$Q$19,"Bajo",IF(B32&lt;=$Q$20,"Regular",IF(B32&lt;=$Q$21,"Alto",0)))</f>
        <v>0</v>
      </c>
      <c r="D32" t="str">
        <f>SUM('Inteligencia emocional'!J33:Q33)</f>
        <v>0</v>
      </c>
      <c r="E32" s="10" t="str">
        <f>IF(D32&lt;=$AC$19,"Bajo",IF(D32&lt;=$AC$20,"Regular",IF(D32&lt;=$AC$21,"Alto",0)))</f>
        <v>0</v>
      </c>
      <c r="F32" t="str">
        <f>SUM('Inteligencia emocional'!R33:Y33)</f>
        <v>0</v>
      </c>
      <c r="G32" s="10" t="str">
        <f>IF(F32&lt;=$AO$19,"Bajo",IF(F32&lt;=$AO$20,"Regular",IF(F32&lt;=$AO$21,"Alto",0)))</f>
        <v>0</v>
      </c>
      <c r="H32" t="str">
        <f>SUM(B32:F32)</f>
        <v>0</v>
      </c>
      <c r="I32" s="10" t="str">
        <f>IF(H32&lt;=$BA$19,"Bajo",IF(H32&lt;=$BA$20,"Regular",IF(H32&lt;=$BA$21,"Alto",0)))</f>
        <v>0</v>
      </c>
      <c r="K32" s="11"/>
      <c r="U32" s="11"/>
      <c r="W32" s="11"/>
      <c r="AG32" s="11"/>
      <c r="AI32" s="11"/>
      <c r="AS32" s="11"/>
      <c r="AU32" s="28"/>
      <c r="BE32" s="28"/>
    </row>
    <row r="33" spans="1:61">
      <c r="A33" t="s">
        <v>59</v>
      </c>
      <c r="B33" t="str">
        <f>SUM('Inteligencia emocional'!B34:I34)</f>
        <v>0</v>
      </c>
      <c r="C33" s="10" t="str">
        <f>IF(B33&lt;=$Q$19,"Bajo",IF(B33&lt;=$Q$20,"Regular",IF(B33&lt;=$Q$21,"Alto",0)))</f>
        <v>0</v>
      </c>
      <c r="D33" t="str">
        <f>SUM('Inteligencia emocional'!J34:Q34)</f>
        <v>0</v>
      </c>
      <c r="E33" s="10" t="str">
        <f>IF(D33&lt;=$AC$19,"Bajo",IF(D33&lt;=$AC$20,"Regular",IF(D33&lt;=$AC$21,"Alto",0)))</f>
        <v>0</v>
      </c>
      <c r="F33" t="str">
        <f>SUM('Inteligencia emocional'!R34:Y34)</f>
        <v>0</v>
      </c>
      <c r="G33" s="10" t="str">
        <f>IF(F33&lt;=$AO$19,"Bajo",IF(F33&lt;=$AO$20,"Regular",IF(F33&lt;=$AO$21,"Alto",0)))</f>
        <v>0</v>
      </c>
      <c r="H33" t="str">
        <f>SUM(B33:F33)</f>
        <v>0</v>
      </c>
      <c r="I33" s="10" t="str">
        <f>IF(H33&lt;=$BA$19,"Bajo",IF(H33&lt;=$BA$20,"Regular",IF(H33&lt;=$BA$21,"Alto",0)))</f>
        <v>0</v>
      </c>
      <c r="K33" s="11"/>
      <c r="U33" s="11"/>
      <c r="W33" s="11"/>
      <c r="AG33" s="11"/>
      <c r="AI33" s="11"/>
      <c r="AS33" s="11"/>
      <c r="AU33" s="28"/>
      <c r="BE33" s="28"/>
    </row>
    <row r="34" spans="1:61">
      <c r="A34" t="s">
        <v>60</v>
      </c>
      <c r="B34" t="str">
        <f>SUM('Inteligencia emocional'!B35:I35)</f>
        <v>0</v>
      </c>
      <c r="C34" s="10" t="str">
        <f>IF(B34&lt;=$Q$19,"Bajo",IF(B34&lt;=$Q$20,"Regular",IF(B34&lt;=$Q$21,"Alto",0)))</f>
        <v>0</v>
      </c>
      <c r="D34" t="str">
        <f>SUM('Inteligencia emocional'!J35:Q35)</f>
        <v>0</v>
      </c>
      <c r="E34" s="10" t="str">
        <f>IF(D34&lt;=$AC$19,"Bajo",IF(D34&lt;=$AC$20,"Regular",IF(D34&lt;=$AC$21,"Alto",0)))</f>
        <v>0</v>
      </c>
      <c r="F34" t="str">
        <f>SUM('Inteligencia emocional'!R35:Y35)</f>
        <v>0</v>
      </c>
      <c r="G34" s="10" t="str">
        <f>IF(F34&lt;=$AO$19,"Bajo",IF(F34&lt;=$AO$20,"Regular",IF(F34&lt;=$AO$21,"Alto",0)))</f>
        <v>0</v>
      </c>
      <c r="H34" t="str">
        <f>SUM(B34:F34)</f>
        <v>0</v>
      </c>
      <c r="I34" s="10" t="str">
        <f>IF(H34&lt;=$BA$19,"Bajo",IF(H34&lt;=$BA$20,"Regular",IF(H34&lt;=$BA$21,"Alto",0)))</f>
        <v>0</v>
      </c>
      <c r="K34" s="11"/>
      <c r="U34" s="11"/>
      <c r="W34" s="11"/>
      <c r="AG34" s="11"/>
      <c r="AI34" s="11"/>
      <c r="AS34" s="11"/>
      <c r="AU34" s="28"/>
      <c r="BE34" s="28"/>
    </row>
    <row r="35" spans="1:61">
      <c r="A35" t="s">
        <v>61</v>
      </c>
      <c r="B35" t="str">
        <f>SUM('Inteligencia emocional'!B36:I36)</f>
        <v>0</v>
      </c>
      <c r="C35" s="10" t="str">
        <f>IF(B35&lt;=$Q$19,"Bajo",IF(B35&lt;=$Q$20,"Regular",IF(B35&lt;=$Q$21,"Alto",0)))</f>
        <v>0</v>
      </c>
      <c r="D35" t="str">
        <f>SUM('Inteligencia emocional'!J36:Q36)</f>
        <v>0</v>
      </c>
      <c r="E35" s="10" t="str">
        <f>IF(D35&lt;=$AC$19,"Bajo",IF(D35&lt;=$AC$20,"Regular",IF(D35&lt;=$AC$21,"Alto",0)))</f>
        <v>0</v>
      </c>
      <c r="F35" t="str">
        <f>SUM('Inteligencia emocional'!R36:Y36)</f>
        <v>0</v>
      </c>
      <c r="G35" s="10" t="str">
        <f>IF(F35&lt;=$AO$19,"Bajo",IF(F35&lt;=$AO$20,"Regular",IF(F35&lt;=$AO$21,"Alto",0)))</f>
        <v>0</v>
      </c>
      <c r="H35" t="str">
        <f>SUM(B35:F35)</f>
        <v>0</v>
      </c>
      <c r="I35" s="10" t="str">
        <f>IF(H35&lt;=$BA$19,"Bajo",IF(H35&lt;=$BA$20,"Regular",IF(H35&lt;=$BA$21,"Alto",0)))</f>
        <v>0</v>
      </c>
      <c r="K35" s="11"/>
      <c r="U35" s="11"/>
      <c r="W35" s="11"/>
      <c r="AG35" s="11"/>
      <c r="AI35" s="11"/>
      <c r="AS35" s="11"/>
      <c r="AU35" s="28"/>
      <c r="BE35" s="28"/>
    </row>
    <row r="36" spans="1:61">
      <c r="A36" t="s">
        <v>62</v>
      </c>
      <c r="B36" t="str">
        <f>SUM('Inteligencia emocional'!B37:I37)</f>
        <v>0</v>
      </c>
      <c r="C36" s="10" t="str">
        <f>IF(B36&lt;=$Q$19,"Bajo",IF(B36&lt;=$Q$20,"Regular",IF(B36&lt;=$Q$21,"Alto",0)))</f>
        <v>0</v>
      </c>
      <c r="D36" t="str">
        <f>SUM('Inteligencia emocional'!J37:Q37)</f>
        <v>0</v>
      </c>
      <c r="E36" s="10" t="str">
        <f>IF(D36&lt;=$AC$19,"Bajo",IF(D36&lt;=$AC$20,"Regular",IF(D36&lt;=$AC$21,"Alto",0)))</f>
        <v>0</v>
      </c>
      <c r="F36" t="str">
        <f>SUM('Inteligencia emocional'!R37:Y37)</f>
        <v>0</v>
      </c>
      <c r="G36" s="10" t="str">
        <f>IF(F36&lt;=$AO$19,"Bajo",IF(F36&lt;=$AO$20,"Regular",IF(F36&lt;=$AO$21,"Alto",0)))</f>
        <v>0</v>
      </c>
      <c r="H36" t="str">
        <f>SUM(B36:F36)</f>
        <v>0</v>
      </c>
      <c r="I36" s="10" t="str">
        <f>IF(H36&lt;=$BA$19,"Bajo",IF(H36&lt;=$BA$20,"Regular",IF(H36&lt;=$BA$21,"Alto",0)))</f>
        <v>0</v>
      </c>
      <c r="K36" s="11"/>
      <c r="U36" s="11"/>
      <c r="W36" s="11"/>
      <c r="AG36" s="11"/>
      <c r="AI36" s="11"/>
      <c r="AS36" s="11"/>
      <c r="AU36" s="28"/>
      <c r="BE36" s="28"/>
    </row>
    <row r="37" spans="1:61">
      <c r="A37" t="s">
        <v>63</v>
      </c>
      <c r="B37" t="str">
        <f>SUM('Inteligencia emocional'!B38:I38)</f>
        <v>0</v>
      </c>
      <c r="C37" s="10" t="str">
        <f>IF(B37&lt;=$Q$19,"Bajo",IF(B37&lt;=$Q$20,"Regular",IF(B37&lt;=$Q$21,"Alto",0)))</f>
        <v>0</v>
      </c>
      <c r="D37" t="str">
        <f>SUM('Inteligencia emocional'!J38:Q38)</f>
        <v>0</v>
      </c>
      <c r="E37" s="10" t="str">
        <f>IF(D37&lt;=$AC$19,"Bajo",IF(D37&lt;=$AC$20,"Regular",IF(D37&lt;=$AC$21,"Alto",0)))</f>
        <v>0</v>
      </c>
      <c r="F37" t="str">
        <f>SUM('Inteligencia emocional'!R38:Y38)</f>
        <v>0</v>
      </c>
      <c r="G37" s="10" t="str">
        <f>IF(F37&lt;=$AO$19,"Bajo",IF(F37&lt;=$AO$20,"Regular",IF(F37&lt;=$AO$21,"Alto",0)))</f>
        <v>0</v>
      </c>
      <c r="H37" t="str">
        <f>SUM(B37:F37)</f>
        <v>0</v>
      </c>
      <c r="I37" s="10" t="str">
        <f>IF(H37&lt;=$BA$19,"Bajo",IF(H37&lt;=$BA$20,"Regular",IF(H37&lt;=$BA$21,"Alto",0)))</f>
        <v>0</v>
      </c>
      <c r="K37" s="11"/>
      <c r="U37" s="11"/>
      <c r="W37" s="11"/>
      <c r="AG37" s="11"/>
      <c r="AI37" s="11"/>
      <c r="AS37" s="11"/>
      <c r="AU37" s="28"/>
      <c r="BE37" s="28"/>
    </row>
    <row r="38" spans="1:61">
      <c r="A38" t="s">
        <v>64</v>
      </c>
      <c r="B38" t="str">
        <f>SUM('Inteligencia emocional'!B39:I39)</f>
        <v>0</v>
      </c>
      <c r="C38" s="10" t="str">
        <f>IF(B38&lt;=$Q$19,"Bajo",IF(B38&lt;=$Q$20,"Regular",IF(B38&lt;=$Q$21,"Alto",0)))</f>
        <v>0</v>
      </c>
      <c r="D38" t="str">
        <f>SUM('Inteligencia emocional'!J39:Q39)</f>
        <v>0</v>
      </c>
      <c r="E38" s="10" t="str">
        <f>IF(D38&lt;=$AC$19,"Bajo",IF(D38&lt;=$AC$20,"Regular",IF(D38&lt;=$AC$21,"Alto",0)))</f>
        <v>0</v>
      </c>
      <c r="F38" t="str">
        <f>SUM('Inteligencia emocional'!R39:Y39)</f>
        <v>0</v>
      </c>
      <c r="G38" s="10" t="str">
        <f>IF(F38&lt;=$AO$19,"Bajo",IF(F38&lt;=$AO$20,"Regular",IF(F38&lt;=$AO$21,"Alto",0)))</f>
        <v>0</v>
      </c>
      <c r="H38" t="str">
        <f>SUM(B38:F38)</f>
        <v>0</v>
      </c>
      <c r="I38" s="10" t="str">
        <f>IF(H38&lt;=$BA$19,"Bajo",IF(H38&lt;=$BA$20,"Regular",IF(H38&lt;=$BA$21,"Alto",0)))</f>
        <v>0</v>
      </c>
      <c r="K38" s="11"/>
      <c r="U38" s="11"/>
      <c r="W38" s="11"/>
      <c r="AG38" s="11"/>
      <c r="AI38" s="11"/>
      <c r="AS38" s="11"/>
      <c r="AU38" s="28"/>
      <c r="BE38" s="28"/>
    </row>
    <row r="39" spans="1:61">
      <c r="A39" t="s">
        <v>65</v>
      </c>
      <c r="B39" t="str">
        <f>SUM('Inteligencia emocional'!B40:I40)</f>
        <v>0</v>
      </c>
      <c r="C39" s="10" t="str">
        <f>IF(B39&lt;=$Q$19,"Bajo",IF(B39&lt;=$Q$20,"Regular",IF(B39&lt;=$Q$21,"Alto",0)))</f>
        <v>0</v>
      </c>
      <c r="D39" t="str">
        <f>SUM('Inteligencia emocional'!J40:Q40)</f>
        <v>0</v>
      </c>
      <c r="E39" s="10" t="str">
        <f>IF(D39&lt;=$AC$19,"Bajo",IF(D39&lt;=$AC$20,"Regular",IF(D39&lt;=$AC$21,"Alto",0)))</f>
        <v>0</v>
      </c>
      <c r="F39" t="str">
        <f>SUM('Inteligencia emocional'!R40:Y40)</f>
        <v>0</v>
      </c>
      <c r="G39" s="10" t="str">
        <f>IF(F39&lt;=$AO$19,"Bajo",IF(F39&lt;=$AO$20,"Regular",IF(F39&lt;=$AO$21,"Alto",0)))</f>
        <v>0</v>
      </c>
      <c r="H39" t="str">
        <f>SUM(B39:F39)</f>
        <v>0</v>
      </c>
      <c r="I39" s="10" t="str">
        <f>IF(H39&lt;=$BA$19,"Bajo",IF(H39&lt;=$BA$20,"Regular",IF(H39&lt;=$BA$21,"Alto",0)))</f>
        <v>0</v>
      </c>
      <c r="K39" s="11"/>
      <c r="U39" s="11"/>
      <c r="W39" s="11"/>
      <c r="AG39" s="11"/>
      <c r="AI39" s="11"/>
      <c r="AS39" s="11"/>
      <c r="AU39" s="28"/>
      <c r="BE39" s="28"/>
    </row>
    <row r="40" spans="1:61">
      <c r="A40" t="s">
        <v>66</v>
      </c>
      <c r="B40" t="str">
        <f>SUM('Inteligencia emocional'!B41:I41)</f>
        <v>0</v>
      </c>
      <c r="C40" s="10" t="str">
        <f>IF(B40&lt;=$Q$19,"Bajo",IF(B40&lt;=$Q$20,"Regular",IF(B40&lt;=$Q$21,"Alto",0)))</f>
        <v>0</v>
      </c>
      <c r="D40" t="str">
        <f>SUM('Inteligencia emocional'!J41:Q41)</f>
        <v>0</v>
      </c>
      <c r="E40" s="10" t="str">
        <f>IF(D40&lt;=$AC$19,"Bajo",IF(D40&lt;=$AC$20,"Regular",IF(D40&lt;=$AC$21,"Alto",0)))</f>
        <v>0</v>
      </c>
      <c r="F40" t="str">
        <f>SUM('Inteligencia emocional'!R41:Y41)</f>
        <v>0</v>
      </c>
      <c r="G40" s="10" t="str">
        <f>IF(F40&lt;=$AO$19,"Bajo",IF(F40&lt;=$AO$20,"Regular",IF(F40&lt;=$AO$21,"Alto",0)))</f>
        <v>0</v>
      </c>
      <c r="H40" t="str">
        <f>SUM(B40:F40)</f>
        <v>0</v>
      </c>
      <c r="I40" s="10" t="str">
        <f>IF(H40&lt;=$BA$19,"Bajo",IF(H40&lt;=$BA$20,"Regular",IF(H40&lt;=$BA$21,"Alto",0)))</f>
        <v>0</v>
      </c>
      <c r="K40" s="11"/>
      <c r="U40" s="11"/>
      <c r="W40" s="11"/>
      <c r="AG40" s="11"/>
      <c r="AI40" s="11"/>
      <c r="AS40" s="11"/>
      <c r="AU40" s="28"/>
      <c r="BE40" s="28"/>
    </row>
    <row r="41" spans="1:61">
      <c r="A41" t="s">
        <v>67</v>
      </c>
      <c r="B41" t="str">
        <f>SUM('Inteligencia emocional'!B42:I42)</f>
        <v>0</v>
      </c>
      <c r="C41" s="10" t="str">
        <f>IF(B41&lt;=$Q$19,"Bajo",IF(B41&lt;=$Q$20,"Regular",IF(B41&lt;=$Q$21,"Alto",0)))</f>
        <v>0</v>
      </c>
      <c r="D41" t="str">
        <f>SUM('Inteligencia emocional'!J42:Q42)</f>
        <v>0</v>
      </c>
      <c r="E41" s="10" t="str">
        <f>IF(D41&lt;=$AC$19,"Bajo",IF(D41&lt;=$AC$20,"Regular",IF(D41&lt;=$AC$21,"Alto",0)))</f>
        <v>0</v>
      </c>
      <c r="F41" t="str">
        <f>SUM('Inteligencia emocional'!R42:Y42)</f>
        <v>0</v>
      </c>
      <c r="G41" s="10" t="str">
        <f>IF(F41&lt;=$AO$19,"Bajo",IF(F41&lt;=$AO$20,"Regular",IF(F41&lt;=$AO$21,"Alto",0)))</f>
        <v>0</v>
      </c>
      <c r="H41" t="str">
        <f>SUM(B41:F41)</f>
        <v>0</v>
      </c>
      <c r="I41" s="10" t="str">
        <f>IF(H41&lt;=$BA$19,"Bajo",IF(H41&lt;=$BA$20,"Regular",IF(H41&lt;=$BA$21,"Alto",0)))</f>
        <v>0</v>
      </c>
      <c r="K41" s="11"/>
      <c r="U41" s="11"/>
      <c r="W41" s="11"/>
      <c r="AG41" s="11"/>
      <c r="AI41" s="11"/>
      <c r="AS41" s="11"/>
      <c r="AU41" s="28"/>
      <c r="BE41" s="28"/>
    </row>
    <row r="42" spans="1:61">
      <c r="A42" t="s">
        <v>68</v>
      </c>
      <c r="B42" t="str">
        <f>SUM('Inteligencia emocional'!B43:I43)</f>
        <v>0</v>
      </c>
      <c r="C42" s="10" t="str">
        <f>IF(B42&lt;=$Q$19,"Bajo",IF(B42&lt;=$Q$20,"Regular",IF(B42&lt;=$Q$21,"Alto",0)))</f>
        <v>0</v>
      </c>
      <c r="D42" t="str">
        <f>SUM('Inteligencia emocional'!J43:Q43)</f>
        <v>0</v>
      </c>
      <c r="E42" s="10" t="str">
        <f>IF(D42&lt;=$AC$19,"Bajo",IF(D42&lt;=$AC$20,"Regular",IF(D42&lt;=$AC$21,"Alto",0)))</f>
        <v>0</v>
      </c>
      <c r="F42" t="str">
        <f>SUM('Inteligencia emocional'!R43:Y43)</f>
        <v>0</v>
      </c>
      <c r="G42" s="10" t="str">
        <f>IF(F42&lt;=$AO$19,"Bajo",IF(F42&lt;=$AO$20,"Regular",IF(F42&lt;=$AO$21,"Alto",0)))</f>
        <v>0</v>
      </c>
      <c r="H42" t="str">
        <f>SUM(B42:F42)</f>
        <v>0</v>
      </c>
      <c r="I42" s="10" t="str">
        <f>IF(H42&lt;=$BA$19,"Bajo",IF(H42&lt;=$BA$20,"Regular",IF(H42&lt;=$BA$21,"Alto",0)))</f>
        <v>0</v>
      </c>
      <c r="K42" s="11"/>
      <c r="U42" s="11"/>
      <c r="W42" s="11"/>
      <c r="AG42" s="11"/>
      <c r="AI42" s="11"/>
      <c r="AS42" s="11"/>
      <c r="AU42" s="28"/>
      <c r="BE42" s="28"/>
    </row>
    <row r="43" spans="1:61">
      <c r="A43" t="s">
        <v>69</v>
      </c>
      <c r="B43" t="str">
        <f>SUM('Inteligencia emocional'!B44:I44)</f>
        <v>0</v>
      </c>
      <c r="C43" s="10" t="str">
        <f>IF(B43&lt;=$Q$19,"Bajo",IF(B43&lt;=$Q$20,"Regular",IF(B43&lt;=$Q$21,"Alto",0)))</f>
        <v>0</v>
      </c>
      <c r="D43" t="str">
        <f>SUM('Inteligencia emocional'!J44:Q44)</f>
        <v>0</v>
      </c>
      <c r="E43" s="10" t="str">
        <f>IF(D43&lt;=$AC$19,"Bajo",IF(D43&lt;=$AC$20,"Regular",IF(D43&lt;=$AC$21,"Alto",0)))</f>
        <v>0</v>
      </c>
      <c r="F43" t="str">
        <f>SUM('Inteligencia emocional'!R44:Y44)</f>
        <v>0</v>
      </c>
      <c r="G43" s="10" t="str">
        <f>IF(F43&lt;=$AO$19,"Bajo",IF(F43&lt;=$AO$20,"Regular",IF(F43&lt;=$AO$21,"Alto",0)))</f>
        <v>0</v>
      </c>
      <c r="H43" t="str">
        <f>SUM(B43:F43)</f>
        <v>0</v>
      </c>
      <c r="I43" s="10" t="str">
        <f>IF(H43&lt;=$BA$19,"Bajo",IF(H43&lt;=$BA$20,"Regular",IF(H43&lt;=$BA$21,"Alto",0)))</f>
        <v>0</v>
      </c>
      <c r="K43" s="11"/>
      <c r="O43" t="s">
        <v>429</v>
      </c>
      <c r="U43" s="11"/>
      <c r="W43" s="11"/>
      <c r="AA43" t="s">
        <v>430</v>
      </c>
      <c r="AG43" s="11"/>
      <c r="AI43" s="11"/>
      <c r="AM43" t="s">
        <v>431</v>
      </c>
      <c r="AS43" s="11"/>
      <c r="AU43" s="28"/>
      <c r="AY43" t="s">
        <v>432</v>
      </c>
      <c r="BE43" s="28"/>
    </row>
    <row r="44" spans="1:61">
      <c r="A44" t="s">
        <v>70</v>
      </c>
      <c r="B44" t="str">
        <f>SUM('Inteligencia emocional'!B45:I45)</f>
        <v>0</v>
      </c>
      <c r="C44" s="10" t="str">
        <f>IF(B44&lt;=$Q$19,"Bajo",IF(B44&lt;=$Q$20,"Regular",IF(B44&lt;=$Q$21,"Alto",0)))</f>
        <v>0</v>
      </c>
      <c r="D44" t="str">
        <f>SUM('Inteligencia emocional'!J45:Q45)</f>
        <v>0</v>
      </c>
      <c r="E44" s="10" t="str">
        <f>IF(D44&lt;=$AC$19,"Bajo",IF(D44&lt;=$AC$20,"Regular",IF(D44&lt;=$AC$21,"Alto",0)))</f>
        <v>0</v>
      </c>
      <c r="F44" t="str">
        <f>SUM('Inteligencia emocional'!R45:Y45)</f>
        <v>0</v>
      </c>
      <c r="G44" s="10" t="str">
        <f>IF(F44&lt;=$AO$19,"Bajo",IF(F44&lt;=$AO$20,"Regular",IF(F44&lt;=$AO$21,"Alto",0)))</f>
        <v>0</v>
      </c>
      <c r="H44" t="str">
        <f>SUM(B44:F44)</f>
        <v>0</v>
      </c>
      <c r="I44" s="10" t="str">
        <f>IF(H44&lt;=$BA$19,"Bajo",IF(H44&lt;=$BA$20,"Regular",IF(H44&lt;=$BA$21,"Alto",0)))</f>
        <v>0</v>
      </c>
      <c r="K44" s="11"/>
      <c r="O44" s="10" t="s">
        <v>1</v>
      </c>
      <c r="U44" s="11"/>
      <c r="W44" s="11"/>
      <c r="AA44" s="10" t="s">
        <v>2</v>
      </c>
      <c r="AG44" s="11"/>
      <c r="AI44" s="11"/>
      <c r="AM44" s="10" t="s">
        <v>3</v>
      </c>
      <c r="AS44" s="11"/>
      <c r="AU44" s="28"/>
      <c r="AY44" s="10" t="s">
        <v>1</v>
      </c>
      <c r="BE44" s="28"/>
    </row>
    <row r="45" spans="1:61">
      <c r="A45" t="s">
        <v>71</v>
      </c>
      <c r="B45" t="str">
        <f>SUM('Inteligencia emocional'!B46:I46)</f>
        <v>0</v>
      </c>
      <c r="C45" s="10" t="str">
        <f>IF(B45&lt;=$Q$19,"Bajo",IF(B45&lt;=$Q$20,"Regular",IF(B45&lt;=$Q$21,"Alto",0)))</f>
        <v>0</v>
      </c>
      <c r="D45" t="str">
        <f>SUM('Inteligencia emocional'!J46:Q46)</f>
        <v>0</v>
      </c>
      <c r="E45" s="10" t="str">
        <f>IF(D45&lt;=$AC$19,"Bajo",IF(D45&lt;=$AC$20,"Regular",IF(D45&lt;=$AC$21,"Alto",0)))</f>
        <v>0</v>
      </c>
      <c r="F45" t="str">
        <f>SUM('Inteligencia emocional'!R46:Y46)</f>
        <v>0</v>
      </c>
      <c r="G45" s="10" t="str">
        <f>IF(F45&lt;=$AO$19,"Bajo",IF(F45&lt;=$AO$20,"Regular",IF(F45&lt;=$AO$21,"Alto",0)))</f>
        <v>0</v>
      </c>
      <c r="H45" t="str">
        <f>SUM(B45:F45)</f>
        <v>0</v>
      </c>
      <c r="I45" s="10" t="str">
        <f>IF(H45&lt;=$BA$19,"Bajo",IF(H45&lt;=$BA$20,"Regular",IF(H45&lt;=$BA$21,"Alto",0)))</f>
        <v>0</v>
      </c>
      <c r="K45" s="11"/>
      <c r="L45" s="11"/>
      <c r="M45" s="11"/>
      <c r="N45" s="11"/>
      <c r="O45" s="11"/>
      <c r="P45" s="11"/>
      <c r="Q45" s="11"/>
      <c r="R45" s="11"/>
      <c r="S45" s="11"/>
      <c r="T45" s="11"/>
      <c r="U45" s="11"/>
      <c r="W45" s="11"/>
      <c r="X45" s="11"/>
      <c r="Y45" s="11"/>
      <c r="Z45" s="11"/>
      <c r="AA45" s="11"/>
      <c r="AB45" s="11"/>
      <c r="AC45" s="11"/>
      <c r="AD45" s="11"/>
      <c r="AE45" s="11"/>
      <c r="AF45" s="11"/>
      <c r="AG45" s="11"/>
      <c r="AI45" s="11"/>
      <c r="AJ45" s="11"/>
      <c r="AK45" s="11"/>
      <c r="AL45" s="11"/>
      <c r="AM45" s="11"/>
      <c r="AN45" s="11"/>
      <c r="AO45" s="11"/>
      <c r="AP45" s="11"/>
      <c r="AQ45" s="11"/>
      <c r="AR45" s="11"/>
      <c r="AS45" s="11"/>
      <c r="AU45" s="28"/>
      <c r="AV45" s="28"/>
      <c r="AW45" s="28"/>
      <c r="AX45" s="28"/>
      <c r="AY45" s="28"/>
      <c r="AZ45" s="28"/>
      <c r="BA45" s="28"/>
      <c r="BB45" s="28"/>
      <c r="BC45" s="28"/>
      <c r="BD45" s="28"/>
      <c r="BE45" s="28"/>
    </row>
    <row r="46" spans="1:61">
      <c r="A46" t="s">
        <v>72</v>
      </c>
      <c r="B46" t="str">
        <f>SUM('Inteligencia emocional'!B47:I47)</f>
        <v>0</v>
      </c>
      <c r="C46" s="10" t="str">
        <f>IF(B46&lt;=$Q$19,"Bajo",IF(B46&lt;=$Q$20,"Regular",IF(B46&lt;=$Q$21,"Alto",0)))</f>
        <v>0</v>
      </c>
      <c r="D46" t="str">
        <f>SUM('Inteligencia emocional'!J47:Q47)</f>
        <v>0</v>
      </c>
      <c r="E46" s="10" t="str">
        <f>IF(D46&lt;=$AC$19,"Bajo",IF(D46&lt;=$AC$20,"Regular",IF(D46&lt;=$AC$21,"Alto",0)))</f>
        <v>0</v>
      </c>
      <c r="F46" t="str">
        <f>SUM('Inteligencia emocional'!R47:Y47)</f>
        <v>0</v>
      </c>
      <c r="G46" s="10" t="str">
        <f>IF(F46&lt;=$AO$19,"Bajo",IF(F46&lt;=$AO$20,"Regular",IF(F46&lt;=$AO$21,"Alto",0)))</f>
        <v>0</v>
      </c>
      <c r="H46" t="str">
        <f>SUM(B46:F46)</f>
        <v>0</v>
      </c>
      <c r="I46" s="10" t="str">
        <f>IF(H46&lt;=$BA$19,"Bajo",IF(H46&lt;=$BA$20,"Regular",IF(H46&lt;=$BA$21,"Alto",0)))</f>
        <v>0</v>
      </c>
    </row>
    <row r="47" spans="1:61">
      <c r="A47" t="s">
        <v>73</v>
      </c>
      <c r="B47" t="str">
        <f>SUM('Inteligencia emocional'!B48:I48)</f>
        <v>0</v>
      </c>
      <c r="C47" s="10" t="str">
        <f>IF(B47&lt;=$Q$19,"Bajo",IF(B47&lt;=$Q$20,"Regular",IF(B47&lt;=$Q$21,"Alto",0)))</f>
        <v>0</v>
      </c>
      <c r="D47" t="str">
        <f>SUM('Inteligencia emocional'!J48:Q48)</f>
        <v>0</v>
      </c>
      <c r="E47" s="10" t="str">
        <f>IF(D47&lt;=$AC$19,"Bajo",IF(D47&lt;=$AC$20,"Regular",IF(D47&lt;=$AC$21,"Alto",0)))</f>
        <v>0</v>
      </c>
      <c r="F47" t="str">
        <f>SUM('Inteligencia emocional'!R48:Y48)</f>
        <v>0</v>
      </c>
      <c r="G47" s="10" t="str">
        <f>IF(F47&lt;=$AO$19,"Bajo",IF(F47&lt;=$AO$20,"Regular",IF(F47&lt;=$AO$21,"Alto",0)))</f>
        <v>0</v>
      </c>
      <c r="H47" t="str">
        <f>SUM(B47:F47)</f>
        <v>0</v>
      </c>
      <c r="I47" s="10" t="str">
        <f>IF(H47&lt;=$BA$19,"Bajo",IF(H47&lt;=$BA$20,"Regular",IF(H47&lt;=$BA$21,"Alto",0)))</f>
        <v>0</v>
      </c>
      <c r="M47" s="27" t="str">
        <f>CONCATENATE("en la ",O15," y ",O43," se puede observar que la variable ",L901," en base a su dimensión ",L902," tiene una calificación de ",M904," por el ",ROUND(L904*100,0),"% ","de los resultados, ","los cuales fueron extraídos  de las encuestas ejecutadas a los ",N902,", estos resultados son afectados debido a que, ",U1016," ",M1016,",","asi mismo ",U1017," ",M1017,", además ",U1018," ",M1018,", con motivo ",U1019," ",M1019,", de modo que ",U1020," ",M1020,", de nuevo ",U1021," ",M1021,", de modo que ",U1022," ",M1022, ", ","y ",M1023," ",U1023,", ","por todo ello la dimensión ",L902," es ",M904,".")</f>
        <v>0</v>
      </c>
      <c r="Y47" s="27" t="str">
        <f>CONCATENATE("en la ",AA15," y ",AA43," se puede observar que la variable ",X901," en base a su dimensión ",X902," tiene una calificación de ",Y904," por el ",ROUND(X904*100,0),"% ","de los resultados, ","los cuales fueron extraídos  de las encuestas ejecutadas a los ",Z902,", estos resultados son afectados debido a que, ",AG1016," ",Y1016,",","asi mismo ",AG1017," ",Y1017,", por su parte ",AG1018," ",Y1018,", mismo ",AG1019," ",Y1019,", con motivo ",AG1020," ",Y1020,", no obstante ",AG1021," ",Y1021,", incluso ",AG1022," ",Y1022, ", ","y ",Y1023," ",AG1023,", ","por todo ello la dimensión ",X902," es ",Y904,".")</f>
        <v>0</v>
      </c>
      <c r="AK47" s="27" t="str">
        <f>CONCATENATE("en la ",AM15," y ",AM43," se puede observar que la variable ",AJ901," en base a su dimensión ",AJ902," tiene una calificación de ",AK904," por el ",ROUND(AJ904*100,0),"% ","de los resultados, ","los cuales fueron extraídos  de las encuestas ejecutadas a los ",AL902,", estos resultados son afectados debido a que, ",AS1016," ",AK1016,",","asi mismo ",AS1017," ",AK1017,", además ",AS1018," ",AK1018,", también ",AS1019," ",AK1019,", también ",AS1020," ",AK1020,", así ",AS1021," ",AK1021,", de modo que ",AS1022," ",AK1022, ", ","y ",AK1023," ",AS1023,", ","por todo ello la dimensión ",AJ902," es ",AK904,".")</f>
        <v>0</v>
      </c>
      <c r="AW47" s="27" t="str">
        <f>CONCATENATE("En la ",AY15," y ",AY43," se puede evidenciar que la variable ",AV901," es calificado como ",AW904," por el ",ROUND(AV904*100,0),"% de los resultados, mismos que son originados porque; ",BI1016," ",BI1017," ",BI1018,BI1019,BI1020,BI1021,BI1022,BI1023,BI1024,BI1025,BI1026," se concluye que la variable ",AV901,"tiene un valor de ",AW904,".")</f>
        <v>0</v>
      </c>
    </row>
    <row r="48" spans="1:61">
      <c r="A48" t="s">
        <v>74</v>
      </c>
      <c r="B48" t="str">
        <f>SUM('Inteligencia emocional'!B49:I49)</f>
        <v>0</v>
      </c>
      <c r="C48" s="10" t="str">
        <f>IF(B48&lt;=$Q$19,"Bajo",IF(B48&lt;=$Q$20,"Regular",IF(B48&lt;=$Q$21,"Alto",0)))</f>
        <v>0</v>
      </c>
      <c r="D48" t="str">
        <f>SUM('Inteligencia emocional'!J49:Q49)</f>
        <v>0</v>
      </c>
      <c r="E48" s="10" t="str">
        <f>IF(D48&lt;=$AC$19,"Bajo",IF(D48&lt;=$AC$20,"Regular",IF(D48&lt;=$AC$21,"Alto",0)))</f>
        <v>0</v>
      </c>
      <c r="F48" t="str">
        <f>SUM('Inteligencia emocional'!R49:Y49)</f>
        <v>0</v>
      </c>
      <c r="G48" s="10" t="str">
        <f>IF(F48&lt;=$AO$19,"Bajo",IF(F48&lt;=$AO$20,"Regular",IF(F48&lt;=$AO$21,"Alto",0)))</f>
        <v>0</v>
      </c>
      <c r="H48" t="str">
        <f>SUM(B48:F48)</f>
        <v>0</v>
      </c>
      <c r="I48" s="10" t="str">
        <f>IF(H48&lt;=$BA$19,"Bajo",IF(H48&lt;=$BA$20,"Regular",IF(H48&lt;=$BA$21,"Alto",0)))</f>
        <v>0</v>
      </c>
    </row>
    <row r="49" spans="1:61">
      <c r="A49" t="s">
        <v>75</v>
      </c>
      <c r="B49" t="str">
        <f>SUM('Inteligencia emocional'!B50:I50)</f>
        <v>0</v>
      </c>
      <c r="C49" s="10" t="str">
        <f>IF(B49&lt;=$Q$19,"Bajo",IF(B49&lt;=$Q$20,"Regular",IF(B49&lt;=$Q$21,"Alto",0)))</f>
        <v>0</v>
      </c>
      <c r="D49" t="str">
        <f>SUM('Inteligencia emocional'!J50:Q50)</f>
        <v>0</v>
      </c>
      <c r="E49" s="10" t="str">
        <f>IF(D49&lt;=$AC$19,"Bajo",IF(D49&lt;=$AC$20,"Regular",IF(D49&lt;=$AC$21,"Alto",0)))</f>
        <v>0</v>
      </c>
      <c r="F49" t="str">
        <f>SUM('Inteligencia emocional'!R50:Y50)</f>
        <v>0</v>
      </c>
      <c r="G49" s="10" t="str">
        <f>IF(F49&lt;=$AO$19,"Bajo",IF(F49&lt;=$AO$20,"Regular",IF(F49&lt;=$AO$21,"Alto",0)))</f>
        <v>0</v>
      </c>
      <c r="H49" t="str">
        <f>SUM(B49:F49)</f>
        <v>0</v>
      </c>
      <c r="I49" s="10" t="str">
        <f>IF(H49&lt;=$BA$19,"Bajo",IF(H49&lt;=$BA$20,"Regular",IF(H49&lt;=$BA$21,"Alto",0)))</f>
        <v>0</v>
      </c>
    </row>
    <row r="50" spans="1:61">
      <c r="A50" t="s">
        <v>76</v>
      </c>
      <c r="B50" t="str">
        <f>SUM('Inteligencia emocional'!B51:I51)</f>
        <v>0</v>
      </c>
      <c r="C50" s="10" t="str">
        <f>IF(B50&lt;=$Q$19,"Bajo",IF(B50&lt;=$Q$20,"Regular",IF(B50&lt;=$Q$21,"Alto",0)))</f>
        <v>0</v>
      </c>
      <c r="D50" t="str">
        <f>SUM('Inteligencia emocional'!J51:Q51)</f>
        <v>0</v>
      </c>
      <c r="E50" s="10" t="str">
        <f>IF(D50&lt;=$AC$19,"Bajo",IF(D50&lt;=$AC$20,"Regular",IF(D50&lt;=$AC$21,"Alto",0)))</f>
        <v>0</v>
      </c>
      <c r="F50" t="str">
        <f>SUM('Inteligencia emocional'!R51:Y51)</f>
        <v>0</v>
      </c>
      <c r="G50" s="10" t="str">
        <f>IF(F50&lt;=$AO$19,"Bajo",IF(F50&lt;=$AO$20,"Regular",IF(F50&lt;=$AO$21,"Alto",0)))</f>
        <v>0</v>
      </c>
      <c r="H50" t="str">
        <f>SUM(B50:F50)</f>
        <v>0</v>
      </c>
      <c r="I50" s="10" t="str">
        <f>IF(H50&lt;=$BA$19,"Bajo",IF(H50&lt;=$BA$20,"Regular",IF(H50&lt;=$BA$21,"Alto",0)))</f>
        <v>0</v>
      </c>
    </row>
    <row r="51" spans="1:61">
      <c r="A51" t="s">
        <v>77</v>
      </c>
      <c r="B51" t="str">
        <f>SUM('Inteligencia emocional'!B52:I52)</f>
        <v>0</v>
      </c>
      <c r="C51" s="10" t="str">
        <f>IF(B51&lt;=$Q$19,"Bajo",IF(B51&lt;=$Q$20,"Regular",IF(B51&lt;=$Q$21,"Alto",0)))</f>
        <v>0</v>
      </c>
      <c r="D51" t="str">
        <f>SUM('Inteligencia emocional'!J52:Q52)</f>
        <v>0</v>
      </c>
      <c r="E51" s="10" t="str">
        <f>IF(D51&lt;=$AC$19,"Bajo",IF(D51&lt;=$AC$20,"Regular",IF(D51&lt;=$AC$21,"Alto",0)))</f>
        <v>0</v>
      </c>
      <c r="F51" t="str">
        <f>SUM('Inteligencia emocional'!R52:Y52)</f>
        <v>0</v>
      </c>
      <c r="G51" s="10" t="str">
        <f>IF(F51&lt;=$AO$19,"Bajo",IF(F51&lt;=$AO$20,"Regular",IF(F51&lt;=$AO$21,"Alto",0)))</f>
        <v>0</v>
      </c>
      <c r="H51" t="str">
        <f>SUM(B51:F51)</f>
        <v>0</v>
      </c>
      <c r="I51" s="10" t="str">
        <f>IF(H51&lt;=$BA$19,"Bajo",IF(H51&lt;=$BA$20,"Regular",IF(H51&lt;=$BA$21,"Alto",0)))</f>
        <v>0</v>
      </c>
    </row>
    <row r="52" spans="1:61">
      <c r="A52" t="s">
        <v>78</v>
      </c>
      <c r="B52" t="str">
        <f>SUM('Inteligencia emocional'!B53:I53)</f>
        <v>0</v>
      </c>
      <c r="C52" s="10" t="str">
        <f>IF(B52&lt;=$Q$19,"Bajo",IF(B52&lt;=$Q$20,"Regular",IF(B52&lt;=$Q$21,"Alto",0)))</f>
        <v>0</v>
      </c>
      <c r="D52" t="str">
        <f>SUM('Inteligencia emocional'!J53:Q53)</f>
        <v>0</v>
      </c>
      <c r="E52" s="10" t="str">
        <f>IF(D52&lt;=$AC$19,"Bajo",IF(D52&lt;=$AC$20,"Regular",IF(D52&lt;=$AC$21,"Alto",0)))</f>
        <v>0</v>
      </c>
      <c r="F52" t="str">
        <f>SUM('Inteligencia emocional'!R53:Y53)</f>
        <v>0</v>
      </c>
      <c r="G52" s="10" t="str">
        <f>IF(F52&lt;=$AO$19,"Bajo",IF(F52&lt;=$AO$20,"Regular",IF(F52&lt;=$AO$21,"Alto",0)))</f>
        <v>0</v>
      </c>
      <c r="H52" t="str">
        <f>SUM(B52:F52)</f>
        <v>0</v>
      </c>
      <c r="I52" s="10" t="str">
        <f>IF(H52&lt;=$BA$19,"Bajo",IF(H52&lt;=$BA$20,"Regular",IF(H52&lt;=$BA$21,"Alto",0)))</f>
        <v>0</v>
      </c>
    </row>
    <row r="53" spans="1:61">
      <c r="A53" t="s">
        <v>79</v>
      </c>
      <c r="B53" t="str">
        <f>SUM('Inteligencia emocional'!B54:I54)</f>
        <v>0</v>
      </c>
      <c r="C53" s="10" t="str">
        <f>IF(B53&lt;=$Q$19,"Bajo",IF(B53&lt;=$Q$20,"Regular",IF(B53&lt;=$Q$21,"Alto",0)))</f>
        <v>0</v>
      </c>
      <c r="D53" t="str">
        <f>SUM('Inteligencia emocional'!J54:Q54)</f>
        <v>0</v>
      </c>
      <c r="E53" s="10" t="str">
        <f>IF(D53&lt;=$AC$19,"Bajo",IF(D53&lt;=$AC$20,"Regular",IF(D53&lt;=$AC$21,"Alto",0)))</f>
        <v>0</v>
      </c>
      <c r="F53" t="str">
        <f>SUM('Inteligencia emocional'!R54:Y54)</f>
        <v>0</v>
      </c>
      <c r="G53" s="10" t="str">
        <f>IF(F53&lt;=$AO$19,"Bajo",IF(F53&lt;=$AO$20,"Regular",IF(F53&lt;=$AO$21,"Alto",0)))</f>
        <v>0</v>
      </c>
      <c r="H53" t="str">
        <f>SUM(B53:F53)</f>
        <v>0</v>
      </c>
      <c r="I53" s="10" t="str">
        <f>IF(H53&lt;=$BA$19,"Bajo",IF(H53&lt;=$BA$20,"Regular",IF(H53&lt;=$BA$21,"Alto",0)))</f>
        <v>0</v>
      </c>
    </row>
    <row r="54" spans="1:61">
      <c r="A54" t="s">
        <v>80</v>
      </c>
      <c r="B54" t="str">
        <f>SUM('Inteligencia emocional'!B55:I55)</f>
        <v>0</v>
      </c>
      <c r="C54" s="10" t="str">
        <f>IF(B54&lt;=$Q$19,"Bajo",IF(B54&lt;=$Q$20,"Regular",IF(B54&lt;=$Q$21,"Alto",0)))</f>
        <v>0</v>
      </c>
      <c r="D54" t="str">
        <f>SUM('Inteligencia emocional'!J55:Q55)</f>
        <v>0</v>
      </c>
      <c r="E54" s="10" t="str">
        <f>IF(D54&lt;=$AC$19,"Bajo",IF(D54&lt;=$AC$20,"Regular",IF(D54&lt;=$AC$21,"Alto",0)))</f>
        <v>0</v>
      </c>
      <c r="F54" t="str">
        <f>SUM('Inteligencia emocional'!R55:Y55)</f>
        <v>0</v>
      </c>
      <c r="G54" s="10" t="str">
        <f>IF(F54&lt;=$AO$19,"Bajo",IF(F54&lt;=$AO$20,"Regular",IF(F54&lt;=$AO$21,"Alto",0)))</f>
        <v>0</v>
      </c>
      <c r="H54" t="str">
        <f>SUM(B54:F54)</f>
        <v>0</v>
      </c>
      <c r="I54" s="10" t="str">
        <f>IF(H54&lt;=$BA$19,"Bajo",IF(H54&lt;=$BA$20,"Regular",IF(H54&lt;=$BA$21,"Alto",0)))</f>
        <v>0</v>
      </c>
    </row>
    <row r="55" spans="1:61">
      <c r="A55" t="s">
        <v>81</v>
      </c>
      <c r="B55" t="str">
        <f>SUM('Inteligencia emocional'!B56:I56)</f>
        <v>0</v>
      </c>
      <c r="C55" s="10" t="str">
        <f>IF(B55&lt;=$Q$19,"Bajo",IF(B55&lt;=$Q$20,"Regular",IF(B55&lt;=$Q$21,"Alto",0)))</f>
        <v>0</v>
      </c>
      <c r="D55" t="str">
        <f>SUM('Inteligencia emocional'!J56:Q56)</f>
        <v>0</v>
      </c>
      <c r="E55" s="10" t="str">
        <f>IF(D55&lt;=$AC$19,"Bajo",IF(D55&lt;=$AC$20,"Regular",IF(D55&lt;=$AC$21,"Alto",0)))</f>
        <v>0</v>
      </c>
      <c r="F55" t="str">
        <f>SUM('Inteligencia emocional'!R56:Y56)</f>
        <v>0</v>
      </c>
      <c r="G55" s="10" t="str">
        <f>IF(F55&lt;=$AO$19,"Bajo",IF(F55&lt;=$AO$20,"Regular",IF(F55&lt;=$AO$21,"Alto",0)))</f>
        <v>0</v>
      </c>
      <c r="H55" t="str">
        <f>SUM(B55:F55)</f>
        <v>0</v>
      </c>
      <c r="I55" s="10" t="str">
        <f>IF(H55&lt;=$BA$19,"Bajo",IF(H55&lt;=$BA$20,"Regular",IF(H55&lt;=$BA$21,"Alto",0)))</f>
        <v>0</v>
      </c>
    </row>
    <row r="56" spans="1:61">
      <c r="A56" t="s">
        <v>82</v>
      </c>
      <c r="B56" t="str">
        <f>SUM('Inteligencia emocional'!B57:I57)</f>
        <v>0</v>
      </c>
      <c r="C56" s="10" t="str">
        <f>IF(B56&lt;=$Q$19,"Bajo",IF(B56&lt;=$Q$20,"Regular",IF(B56&lt;=$Q$21,"Alto",0)))</f>
        <v>0</v>
      </c>
      <c r="D56" t="str">
        <f>SUM('Inteligencia emocional'!J57:Q57)</f>
        <v>0</v>
      </c>
      <c r="E56" s="10" t="str">
        <f>IF(D56&lt;=$AC$19,"Bajo",IF(D56&lt;=$AC$20,"Regular",IF(D56&lt;=$AC$21,"Alto",0)))</f>
        <v>0</v>
      </c>
      <c r="F56" t="str">
        <f>SUM('Inteligencia emocional'!R57:Y57)</f>
        <v>0</v>
      </c>
      <c r="G56" s="10" t="str">
        <f>IF(F56&lt;=$AO$19,"Bajo",IF(F56&lt;=$AO$20,"Regular",IF(F56&lt;=$AO$21,"Alto",0)))</f>
        <v>0</v>
      </c>
      <c r="H56" t="str">
        <f>SUM(B56:F56)</f>
        <v>0</v>
      </c>
      <c r="I56" s="10" t="str">
        <f>IF(H56&lt;=$BA$19,"Bajo",IF(H56&lt;=$BA$20,"Regular",IF(H56&lt;=$BA$21,"Alto",0)))</f>
        <v>0</v>
      </c>
    </row>
    <row r="57" spans="1:61">
      <c r="A57" t="s">
        <v>83</v>
      </c>
      <c r="B57" t="str">
        <f>SUM('Inteligencia emocional'!B58:I58)</f>
        <v>0</v>
      </c>
      <c r="C57" s="10" t="str">
        <f>IF(B57&lt;=$Q$19,"Bajo",IF(B57&lt;=$Q$20,"Regular",IF(B57&lt;=$Q$21,"Alto",0)))</f>
        <v>0</v>
      </c>
      <c r="D57" t="str">
        <f>SUM('Inteligencia emocional'!J58:Q58)</f>
        <v>0</v>
      </c>
      <c r="E57" s="10" t="str">
        <f>IF(D57&lt;=$AC$19,"Bajo",IF(D57&lt;=$AC$20,"Regular",IF(D57&lt;=$AC$21,"Alto",0)))</f>
        <v>0</v>
      </c>
      <c r="F57" t="str">
        <f>SUM('Inteligencia emocional'!R58:Y58)</f>
        <v>0</v>
      </c>
      <c r="G57" s="10" t="str">
        <f>IF(F57&lt;=$AO$19,"Bajo",IF(F57&lt;=$AO$20,"Regular",IF(F57&lt;=$AO$21,"Alto",0)))</f>
        <v>0</v>
      </c>
      <c r="H57" t="str">
        <f>SUM(B57:F57)</f>
        <v>0</v>
      </c>
      <c r="I57" s="10" t="str">
        <f>IF(H57&lt;=$BA$19,"Bajo",IF(H57&lt;=$BA$20,"Regular",IF(H57&lt;=$BA$21,"Alto",0)))</f>
        <v>0</v>
      </c>
    </row>
    <row r="58" spans="1:61">
      <c r="A58" t="s">
        <v>84</v>
      </c>
      <c r="B58" t="str">
        <f>SUM('Inteligencia emocional'!B59:I59)</f>
        <v>0</v>
      </c>
      <c r="C58" s="10" t="str">
        <f>IF(B58&lt;=$Q$19,"Bajo",IF(B58&lt;=$Q$20,"Regular",IF(B58&lt;=$Q$21,"Alto",0)))</f>
        <v>0</v>
      </c>
      <c r="D58" t="str">
        <f>SUM('Inteligencia emocional'!J59:Q59)</f>
        <v>0</v>
      </c>
      <c r="E58" s="10" t="str">
        <f>IF(D58&lt;=$AC$19,"Bajo",IF(D58&lt;=$AC$20,"Regular",IF(D58&lt;=$AC$21,"Alto",0)))</f>
        <v>0</v>
      </c>
      <c r="F58" t="str">
        <f>SUM('Inteligencia emocional'!R59:Y59)</f>
        <v>0</v>
      </c>
      <c r="G58" s="10" t="str">
        <f>IF(F58&lt;=$AO$19,"Bajo",IF(F58&lt;=$AO$20,"Regular",IF(F58&lt;=$AO$21,"Alto",0)))</f>
        <v>0</v>
      </c>
      <c r="H58" t="str">
        <f>SUM(B58:F58)</f>
        <v>0</v>
      </c>
      <c r="I58" s="10" t="str">
        <f>IF(H58&lt;=$BA$19,"Bajo",IF(H58&lt;=$BA$20,"Regular",IF(H58&lt;=$BA$21,"Alto",0)))</f>
        <v>0</v>
      </c>
    </row>
    <row r="59" spans="1:61">
      <c r="A59" t="s">
        <v>85</v>
      </c>
      <c r="B59" t="str">
        <f>SUM('Inteligencia emocional'!B60:I60)</f>
        <v>0</v>
      </c>
      <c r="C59" s="10" t="str">
        <f>IF(B59&lt;=$Q$19,"Bajo",IF(B59&lt;=$Q$20,"Regular",IF(B59&lt;=$Q$21,"Alto",0)))</f>
        <v>0</v>
      </c>
      <c r="D59" t="str">
        <f>SUM('Inteligencia emocional'!J60:Q60)</f>
        <v>0</v>
      </c>
      <c r="E59" s="10" t="str">
        <f>IF(D59&lt;=$AC$19,"Bajo",IF(D59&lt;=$AC$20,"Regular",IF(D59&lt;=$AC$21,"Alto",0)))</f>
        <v>0</v>
      </c>
      <c r="F59" t="str">
        <f>SUM('Inteligencia emocional'!R60:Y60)</f>
        <v>0</v>
      </c>
      <c r="G59" s="10" t="str">
        <f>IF(F59&lt;=$AO$19,"Bajo",IF(F59&lt;=$AO$20,"Regular",IF(F59&lt;=$AO$21,"Alto",0)))</f>
        <v>0</v>
      </c>
      <c r="H59" t="str">
        <f>SUM(B59:F59)</f>
        <v>0</v>
      </c>
      <c r="I59" s="10" t="str">
        <f>IF(H59&lt;=$BA$19,"Bajo",IF(H59&lt;=$BA$20,"Regular",IF(H59&lt;=$BA$21,"Alto",0)))</f>
        <v>0</v>
      </c>
    </row>
    <row r="60" spans="1:61">
      <c r="A60" t="s">
        <v>86</v>
      </c>
      <c r="B60" t="str">
        <f>SUM('Inteligencia emocional'!B61:I61)</f>
        <v>0</v>
      </c>
      <c r="C60" s="10" t="str">
        <f>IF(B60&lt;=$Q$19,"Bajo",IF(B60&lt;=$Q$20,"Regular",IF(B60&lt;=$Q$21,"Alto",0)))</f>
        <v>0</v>
      </c>
      <c r="D60" t="str">
        <f>SUM('Inteligencia emocional'!J61:Q61)</f>
        <v>0</v>
      </c>
      <c r="E60" s="10" t="str">
        <f>IF(D60&lt;=$AC$19,"Bajo",IF(D60&lt;=$AC$20,"Regular",IF(D60&lt;=$AC$21,"Alto",0)))</f>
        <v>0</v>
      </c>
      <c r="F60" t="str">
        <f>SUM('Inteligencia emocional'!R61:Y61)</f>
        <v>0</v>
      </c>
      <c r="G60" s="10" t="str">
        <f>IF(F60&lt;=$AO$19,"Bajo",IF(F60&lt;=$AO$20,"Regular",IF(F60&lt;=$AO$21,"Alto",0)))</f>
        <v>0</v>
      </c>
      <c r="H60" t="str">
        <f>SUM(B60:F60)</f>
        <v>0</v>
      </c>
      <c r="I60" s="10" t="str">
        <f>IF(H60&lt;=$BA$19,"Bajo",IF(H60&lt;=$BA$20,"Regular",IF(H60&lt;=$BA$21,"Alto",0)))</f>
        <v>0</v>
      </c>
    </row>
    <row r="61" spans="1:61">
      <c r="A61" t="s">
        <v>87</v>
      </c>
      <c r="B61" t="str">
        <f>SUM('Inteligencia emocional'!B62:I62)</f>
        <v>0</v>
      </c>
      <c r="C61" s="10" t="str">
        <f>IF(B61&lt;=$Q$19,"Bajo",IF(B61&lt;=$Q$20,"Regular",IF(B61&lt;=$Q$21,"Alto",0)))</f>
        <v>0</v>
      </c>
      <c r="D61" t="str">
        <f>SUM('Inteligencia emocional'!J62:Q62)</f>
        <v>0</v>
      </c>
      <c r="E61" s="10" t="str">
        <f>IF(D61&lt;=$AC$19,"Bajo",IF(D61&lt;=$AC$20,"Regular",IF(D61&lt;=$AC$21,"Alto",0)))</f>
        <v>0</v>
      </c>
      <c r="F61" t="str">
        <f>SUM('Inteligencia emocional'!R62:Y62)</f>
        <v>0</v>
      </c>
      <c r="G61" s="10" t="str">
        <f>IF(F61&lt;=$AO$19,"Bajo",IF(F61&lt;=$AO$20,"Regular",IF(F61&lt;=$AO$21,"Alto",0)))</f>
        <v>0</v>
      </c>
      <c r="H61" t="str">
        <f>SUM(B61:F61)</f>
        <v>0</v>
      </c>
      <c r="I61" s="10" t="str">
        <f>IF(H61&lt;=$BA$19,"Bajo",IF(H61&lt;=$BA$20,"Regular",IF(H61&lt;=$BA$21,"Alto",0)))</f>
        <v>0</v>
      </c>
    </row>
    <row r="62" spans="1:61">
      <c r="A62" t="s">
        <v>88</v>
      </c>
      <c r="B62" t="str">
        <f>SUM('Inteligencia emocional'!B63:I63)</f>
        <v>0</v>
      </c>
      <c r="C62" s="10" t="str">
        <f>IF(B62&lt;=$Q$19,"Bajo",IF(B62&lt;=$Q$20,"Regular",IF(B62&lt;=$Q$21,"Alto",0)))</f>
        <v>0</v>
      </c>
      <c r="D62" t="str">
        <f>SUM('Inteligencia emocional'!J63:Q63)</f>
        <v>0</v>
      </c>
      <c r="E62" s="10" t="str">
        <f>IF(D62&lt;=$AC$19,"Bajo",IF(D62&lt;=$AC$20,"Regular",IF(D62&lt;=$AC$21,"Alto",0)))</f>
        <v>0</v>
      </c>
      <c r="F62" t="str">
        <f>SUM('Inteligencia emocional'!R63:Y63)</f>
        <v>0</v>
      </c>
      <c r="G62" s="10" t="str">
        <f>IF(F62&lt;=$AO$19,"Bajo",IF(F62&lt;=$AO$20,"Regular",IF(F62&lt;=$AO$21,"Alto",0)))</f>
        <v>0</v>
      </c>
      <c r="H62" t="str">
        <f>SUM(B62:F62)</f>
        <v>0</v>
      </c>
      <c r="I62" s="10" t="str">
        <f>IF(H62&lt;=$BA$19,"Bajo",IF(H62&lt;=$BA$20,"Regular",IF(H62&lt;=$BA$21,"Alto",0)))</f>
        <v>0</v>
      </c>
    </row>
    <row r="63" spans="1:61">
      <c r="A63" t="s">
        <v>89</v>
      </c>
      <c r="B63" t="str">
        <f>SUM('Inteligencia emocional'!B64:I64)</f>
        <v>0</v>
      </c>
      <c r="C63" s="10" t="str">
        <f>IF(B63&lt;=$Q$19,"Bajo",IF(B63&lt;=$Q$20,"Regular",IF(B63&lt;=$Q$21,"Alto",0)))</f>
        <v>0</v>
      </c>
      <c r="D63" t="str">
        <f>SUM('Inteligencia emocional'!J64:Q64)</f>
        <v>0</v>
      </c>
      <c r="E63" s="10" t="str">
        <f>IF(D63&lt;=$AC$19,"Bajo",IF(D63&lt;=$AC$20,"Regular",IF(D63&lt;=$AC$21,"Alto",0)))</f>
        <v>0</v>
      </c>
      <c r="F63" t="str">
        <f>SUM('Inteligencia emocional'!R64:Y64)</f>
        <v>0</v>
      </c>
      <c r="G63" s="10" t="str">
        <f>IF(F63&lt;=$AO$19,"Bajo",IF(F63&lt;=$AO$20,"Regular",IF(F63&lt;=$AO$21,"Alto",0)))</f>
        <v>0</v>
      </c>
      <c r="H63" t="str">
        <f>SUM(B63:F63)</f>
        <v>0</v>
      </c>
      <c r="I63" s="10" t="str">
        <f>IF(H63&lt;=$BA$19,"Bajo",IF(H63&lt;=$BA$20,"Regular",IF(H63&lt;=$BA$21,"Alto",0)))</f>
        <v>0</v>
      </c>
    </row>
    <row r="64" spans="1:61">
      <c r="A64" t="s">
        <v>90</v>
      </c>
      <c r="B64" t="str">
        <f>SUM('Inteligencia emocional'!B65:I65)</f>
        <v>0</v>
      </c>
      <c r="C64" s="10" t="str">
        <f>IF(B64&lt;=$Q$19,"Bajo",IF(B64&lt;=$Q$20,"Regular",IF(B64&lt;=$Q$21,"Alto",0)))</f>
        <v>0</v>
      </c>
      <c r="D64" t="str">
        <f>SUM('Inteligencia emocional'!J65:Q65)</f>
        <v>0</v>
      </c>
      <c r="E64" s="10" t="str">
        <f>IF(D64&lt;=$AC$19,"Bajo",IF(D64&lt;=$AC$20,"Regular",IF(D64&lt;=$AC$21,"Alto",0)))</f>
        <v>0</v>
      </c>
      <c r="F64" t="str">
        <f>SUM('Inteligencia emocional'!R65:Y65)</f>
        <v>0</v>
      </c>
      <c r="G64" s="10" t="str">
        <f>IF(F64&lt;=$AO$19,"Bajo",IF(F64&lt;=$AO$20,"Regular",IF(F64&lt;=$AO$21,"Alto",0)))</f>
        <v>0</v>
      </c>
      <c r="H64" t="str">
        <f>SUM(B64:F64)</f>
        <v>0</v>
      </c>
      <c r="I64" s="10" t="str">
        <f>IF(H64&lt;=$BA$19,"Bajo",IF(H64&lt;=$BA$20,"Regular",IF(H64&lt;=$BA$21,"Alto",0)))</f>
        <v>0</v>
      </c>
    </row>
    <row r="65" spans="1:61">
      <c r="A65" t="s">
        <v>91</v>
      </c>
      <c r="B65" t="str">
        <f>SUM('Inteligencia emocional'!B66:I66)</f>
        <v>0</v>
      </c>
      <c r="C65" s="10" t="str">
        <f>IF(B65&lt;=$Q$19,"Bajo",IF(B65&lt;=$Q$20,"Regular",IF(B65&lt;=$Q$21,"Alto",0)))</f>
        <v>0</v>
      </c>
      <c r="D65" t="str">
        <f>SUM('Inteligencia emocional'!J66:Q66)</f>
        <v>0</v>
      </c>
      <c r="E65" s="10" t="str">
        <f>IF(D65&lt;=$AC$19,"Bajo",IF(D65&lt;=$AC$20,"Regular",IF(D65&lt;=$AC$21,"Alto",0)))</f>
        <v>0</v>
      </c>
      <c r="F65" t="str">
        <f>SUM('Inteligencia emocional'!R66:Y66)</f>
        <v>0</v>
      </c>
      <c r="G65" s="10" t="str">
        <f>IF(F65&lt;=$AO$19,"Bajo",IF(F65&lt;=$AO$20,"Regular",IF(F65&lt;=$AO$21,"Alto",0)))</f>
        <v>0</v>
      </c>
      <c r="H65" t="str">
        <f>SUM(B65:F65)</f>
        <v>0</v>
      </c>
      <c r="I65" s="10" t="str">
        <f>IF(H65&lt;=$BA$19,"Bajo",IF(H65&lt;=$BA$20,"Regular",IF(H65&lt;=$BA$21,"Alto",0)))</f>
        <v>0</v>
      </c>
    </row>
    <row r="66" spans="1:61">
      <c r="A66" t="s">
        <v>92</v>
      </c>
      <c r="B66" t="str">
        <f>SUM('Inteligencia emocional'!B67:I67)</f>
        <v>0</v>
      </c>
      <c r="C66" s="10" t="str">
        <f>IF(B66&lt;=$Q$19,"Bajo",IF(B66&lt;=$Q$20,"Regular",IF(B66&lt;=$Q$21,"Alto",0)))</f>
        <v>0</v>
      </c>
      <c r="D66" t="str">
        <f>SUM('Inteligencia emocional'!J67:Q67)</f>
        <v>0</v>
      </c>
      <c r="E66" s="10" t="str">
        <f>IF(D66&lt;=$AC$19,"Bajo",IF(D66&lt;=$AC$20,"Regular",IF(D66&lt;=$AC$21,"Alto",0)))</f>
        <v>0</v>
      </c>
      <c r="F66" t="str">
        <f>SUM('Inteligencia emocional'!R67:Y67)</f>
        <v>0</v>
      </c>
      <c r="G66" s="10" t="str">
        <f>IF(F66&lt;=$AO$19,"Bajo",IF(F66&lt;=$AO$20,"Regular",IF(F66&lt;=$AO$21,"Alto",0)))</f>
        <v>0</v>
      </c>
      <c r="H66" t="str">
        <f>SUM(B66:F66)</f>
        <v>0</v>
      </c>
      <c r="I66" s="10" t="str">
        <f>IF(H66&lt;=$BA$19,"Bajo",IF(H66&lt;=$BA$20,"Regular",IF(H66&lt;=$BA$21,"Alto",0)))</f>
        <v>0</v>
      </c>
    </row>
    <row r="67" spans="1:61">
      <c r="A67" t="s">
        <v>93</v>
      </c>
      <c r="B67" t="str">
        <f>SUM('Inteligencia emocional'!B68:I68)</f>
        <v>0</v>
      </c>
      <c r="C67" s="10" t="str">
        <f>IF(B67&lt;=$Q$19,"Bajo",IF(B67&lt;=$Q$20,"Regular",IF(B67&lt;=$Q$21,"Alto",0)))</f>
        <v>0</v>
      </c>
      <c r="D67" t="str">
        <f>SUM('Inteligencia emocional'!J68:Q68)</f>
        <v>0</v>
      </c>
      <c r="E67" s="10" t="str">
        <f>IF(D67&lt;=$AC$19,"Bajo",IF(D67&lt;=$AC$20,"Regular",IF(D67&lt;=$AC$21,"Alto",0)))</f>
        <v>0</v>
      </c>
      <c r="F67" t="str">
        <f>SUM('Inteligencia emocional'!R68:Y68)</f>
        <v>0</v>
      </c>
      <c r="G67" s="10" t="str">
        <f>IF(F67&lt;=$AO$19,"Bajo",IF(F67&lt;=$AO$20,"Regular",IF(F67&lt;=$AO$21,"Alto",0)))</f>
        <v>0</v>
      </c>
      <c r="H67" t="str">
        <f>SUM(B67:F67)</f>
        <v>0</v>
      </c>
      <c r="I67" s="10" t="str">
        <f>IF(H67&lt;=$BA$19,"Bajo",IF(H67&lt;=$BA$20,"Regular",IF(H67&lt;=$BA$21,"Alto",0)))</f>
        <v>0</v>
      </c>
    </row>
    <row r="68" spans="1:61">
      <c r="A68" t="s">
        <v>94</v>
      </c>
      <c r="B68" t="str">
        <f>SUM('Inteligencia emocional'!B69:I69)</f>
        <v>0</v>
      </c>
      <c r="C68" s="10" t="str">
        <f>IF(B68&lt;=$Q$19,"Bajo",IF(B68&lt;=$Q$20,"Regular",IF(B68&lt;=$Q$21,"Alto",0)))</f>
        <v>0</v>
      </c>
      <c r="D68" t="str">
        <f>SUM('Inteligencia emocional'!J69:Q69)</f>
        <v>0</v>
      </c>
      <c r="E68" s="10" t="str">
        <f>IF(D68&lt;=$AC$19,"Bajo",IF(D68&lt;=$AC$20,"Regular",IF(D68&lt;=$AC$21,"Alto",0)))</f>
        <v>0</v>
      </c>
      <c r="F68" t="str">
        <f>SUM('Inteligencia emocional'!R69:Y69)</f>
        <v>0</v>
      </c>
      <c r="G68" s="10" t="str">
        <f>IF(F68&lt;=$AO$19,"Bajo",IF(F68&lt;=$AO$20,"Regular",IF(F68&lt;=$AO$21,"Alto",0)))</f>
        <v>0</v>
      </c>
      <c r="H68" t="str">
        <f>SUM(B68:F68)</f>
        <v>0</v>
      </c>
      <c r="I68" s="10" t="str">
        <f>IF(H68&lt;=$BA$19,"Bajo",IF(H68&lt;=$BA$20,"Regular",IF(H68&lt;=$BA$21,"Alto",0)))</f>
        <v>0</v>
      </c>
    </row>
    <row r="69" spans="1:61">
      <c r="A69" t="s">
        <v>95</v>
      </c>
      <c r="B69" t="str">
        <f>SUM('Inteligencia emocional'!B70:I70)</f>
        <v>0</v>
      </c>
      <c r="C69" s="10" t="str">
        <f>IF(B69&lt;=$Q$19,"Bajo",IF(B69&lt;=$Q$20,"Regular",IF(B69&lt;=$Q$21,"Alto",0)))</f>
        <v>0</v>
      </c>
      <c r="D69" t="str">
        <f>SUM('Inteligencia emocional'!J70:Q70)</f>
        <v>0</v>
      </c>
      <c r="E69" s="10" t="str">
        <f>IF(D69&lt;=$AC$19,"Bajo",IF(D69&lt;=$AC$20,"Regular",IF(D69&lt;=$AC$21,"Alto",0)))</f>
        <v>0</v>
      </c>
      <c r="F69" t="str">
        <f>SUM('Inteligencia emocional'!R70:Y70)</f>
        <v>0</v>
      </c>
      <c r="G69" s="10" t="str">
        <f>IF(F69&lt;=$AO$19,"Bajo",IF(F69&lt;=$AO$20,"Regular",IF(F69&lt;=$AO$21,"Alto",0)))</f>
        <v>0</v>
      </c>
      <c r="H69" t="str">
        <f>SUM(B69:F69)</f>
        <v>0</v>
      </c>
      <c r="I69" s="10" t="str">
        <f>IF(H69&lt;=$BA$19,"Bajo",IF(H69&lt;=$BA$20,"Regular",IF(H69&lt;=$BA$21,"Alto",0)))</f>
        <v>0</v>
      </c>
    </row>
    <row r="70" spans="1:61">
      <c r="A70" t="s">
        <v>96</v>
      </c>
      <c r="B70" t="str">
        <f>SUM('Inteligencia emocional'!B71:I71)</f>
        <v>0</v>
      </c>
      <c r="C70" s="10" t="str">
        <f>IF(B70&lt;=$Q$19,"Bajo",IF(B70&lt;=$Q$20,"Regular",IF(B70&lt;=$Q$21,"Alto",0)))</f>
        <v>0</v>
      </c>
      <c r="D70" t="str">
        <f>SUM('Inteligencia emocional'!J71:Q71)</f>
        <v>0</v>
      </c>
      <c r="E70" s="10" t="str">
        <f>IF(D70&lt;=$AC$19,"Bajo",IF(D70&lt;=$AC$20,"Regular",IF(D70&lt;=$AC$21,"Alto",0)))</f>
        <v>0</v>
      </c>
      <c r="F70" t="str">
        <f>SUM('Inteligencia emocional'!R71:Y71)</f>
        <v>0</v>
      </c>
      <c r="G70" s="10" t="str">
        <f>IF(F70&lt;=$AO$19,"Bajo",IF(F70&lt;=$AO$20,"Regular",IF(F70&lt;=$AO$21,"Alto",0)))</f>
        <v>0</v>
      </c>
      <c r="H70" t="str">
        <f>SUM(B70:F70)</f>
        <v>0</v>
      </c>
      <c r="I70" s="10" t="str">
        <f>IF(H70&lt;=$BA$19,"Bajo",IF(H70&lt;=$BA$20,"Regular",IF(H70&lt;=$BA$21,"Alto",0)))</f>
        <v>0</v>
      </c>
    </row>
    <row r="71" spans="1:61">
      <c r="A71" t="s">
        <v>97</v>
      </c>
      <c r="B71" t="str">
        <f>SUM('Inteligencia emocional'!B72:I72)</f>
        <v>0</v>
      </c>
      <c r="C71" s="10" t="str">
        <f>IF(B71&lt;=$Q$19,"Bajo",IF(B71&lt;=$Q$20,"Regular",IF(B71&lt;=$Q$21,"Alto",0)))</f>
        <v>0</v>
      </c>
      <c r="D71" t="str">
        <f>SUM('Inteligencia emocional'!J72:Q72)</f>
        <v>0</v>
      </c>
      <c r="E71" s="10" t="str">
        <f>IF(D71&lt;=$AC$19,"Bajo",IF(D71&lt;=$AC$20,"Regular",IF(D71&lt;=$AC$21,"Alto",0)))</f>
        <v>0</v>
      </c>
      <c r="F71" t="str">
        <f>SUM('Inteligencia emocional'!R72:Y72)</f>
        <v>0</v>
      </c>
      <c r="G71" s="10" t="str">
        <f>IF(F71&lt;=$AO$19,"Bajo",IF(F71&lt;=$AO$20,"Regular",IF(F71&lt;=$AO$21,"Alto",0)))</f>
        <v>0</v>
      </c>
      <c r="H71" t="str">
        <f>SUM(B71:F71)</f>
        <v>0</v>
      </c>
      <c r="I71" s="10" t="str">
        <f>IF(H71&lt;=$BA$19,"Bajo",IF(H71&lt;=$BA$20,"Regular",IF(H71&lt;=$BA$21,"Alto",0)))</f>
        <v>0</v>
      </c>
    </row>
    <row r="72" spans="1:61">
      <c r="A72" t="s">
        <v>98</v>
      </c>
      <c r="B72" t="str">
        <f>SUM('Inteligencia emocional'!B73:I73)</f>
        <v>0</v>
      </c>
      <c r="C72" s="10" t="str">
        <f>IF(B72&lt;=$Q$19,"Bajo",IF(B72&lt;=$Q$20,"Regular",IF(B72&lt;=$Q$21,"Alto",0)))</f>
        <v>0</v>
      </c>
      <c r="D72" t="str">
        <f>SUM('Inteligencia emocional'!J73:Q73)</f>
        <v>0</v>
      </c>
      <c r="E72" s="10" t="str">
        <f>IF(D72&lt;=$AC$19,"Bajo",IF(D72&lt;=$AC$20,"Regular",IF(D72&lt;=$AC$21,"Alto",0)))</f>
        <v>0</v>
      </c>
      <c r="F72" t="str">
        <f>SUM('Inteligencia emocional'!R73:Y73)</f>
        <v>0</v>
      </c>
      <c r="G72" s="10" t="str">
        <f>IF(F72&lt;=$AO$19,"Bajo",IF(F72&lt;=$AO$20,"Regular",IF(F72&lt;=$AO$21,"Alto",0)))</f>
        <v>0</v>
      </c>
      <c r="H72" t="str">
        <f>SUM(B72:F72)</f>
        <v>0</v>
      </c>
      <c r="I72" s="10" t="str">
        <f>IF(H72&lt;=$BA$19,"Bajo",IF(H72&lt;=$BA$20,"Regular",IF(H72&lt;=$BA$21,"Alto",0)))</f>
        <v>0</v>
      </c>
    </row>
    <row r="73" spans="1:61">
      <c r="A73" t="s">
        <v>99</v>
      </c>
      <c r="B73" t="str">
        <f>SUM('Inteligencia emocional'!B74:I74)</f>
        <v>0</v>
      </c>
      <c r="C73" s="10" t="str">
        <f>IF(B73&lt;=$Q$19,"Bajo",IF(B73&lt;=$Q$20,"Regular",IF(B73&lt;=$Q$21,"Alto",0)))</f>
        <v>0</v>
      </c>
      <c r="D73" t="str">
        <f>SUM('Inteligencia emocional'!J74:Q74)</f>
        <v>0</v>
      </c>
      <c r="E73" s="10" t="str">
        <f>IF(D73&lt;=$AC$19,"Bajo",IF(D73&lt;=$AC$20,"Regular",IF(D73&lt;=$AC$21,"Alto",0)))</f>
        <v>0</v>
      </c>
      <c r="F73" t="str">
        <f>SUM('Inteligencia emocional'!R74:Y74)</f>
        <v>0</v>
      </c>
      <c r="G73" s="10" t="str">
        <f>IF(F73&lt;=$AO$19,"Bajo",IF(F73&lt;=$AO$20,"Regular",IF(F73&lt;=$AO$21,"Alto",0)))</f>
        <v>0</v>
      </c>
      <c r="H73" t="str">
        <f>SUM(B73:F73)</f>
        <v>0</v>
      </c>
      <c r="I73" s="10" t="str">
        <f>IF(H73&lt;=$BA$19,"Bajo",IF(H73&lt;=$BA$20,"Regular",IF(H73&lt;=$BA$21,"Alto",0)))</f>
        <v>0</v>
      </c>
    </row>
    <row r="74" spans="1:61">
      <c r="A74" t="s">
        <v>100</v>
      </c>
      <c r="B74" t="str">
        <f>SUM('Inteligencia emocional'!B75:I75)</f>
        <v>0</v>
      </c>
      <c r="C74" s="10" t="str">
        <f>IF(B74&lt;=$Q$19,"Bajo",IF(B74&lt;=$Q$20,"Regular",IF(B74&lt;=$Q$21,"Alto",0)))</f>
        <v>0</v>
      </c>
      <c r="D74" t="str">
        <f>SUM('Inteligencia emocional'!J75:Q75)</f>
        <v>0</v>
      </c>
      <c r="E74" s="10" t="str">
        <f>IF(D74&lt;=$AC$19,"Bajo",IF(D74&lt;=$AC$20,"Regular",IF(D74&lt;=$AC$21,"Alto",0)))</f>
        <v>0</v>
      </c>
      <c r="F74" t="str">
        <f>SUM('Inteligencia emocional'!R75:Y75)</f>
        <v>0</v>
      </c>
      <c r="G74" s="10" t="str">
        <f>IF(F74&lt;=$AO$19,"Bajo",IF(F74&lt;=$AO$20,"Regular",IF(F74&lt;=$AO$21,"Alto",0)))</f>
        <v>0</v>
      </c>
      <c r="H74" t="str">
        <f>SUM(B74:F74)</f>
        <v>0</v>
      </c>
      <c r="I74" s="10" t="str">
        <f>IF(H74&lt;=$BA$19,"Bajo",IF(H74&lt;=$BA$20,"Regular",IF(H74&lt;=$BA$21,"Alto",0)))</f>
        <v>0</v>
      </c>
    </row>
    <row r="75" spans="1:61">
      <c r="A75" t="s">
        <v>101</v>
      </c>
      <c r="B75" t="str">
        <f>SUM('Inteligencia emocional'!B76:I76)</f>
        <v>0</v>
      </c>
      <c r="C75" s="10" t="str">
        <f>IF(B75&lt;=$Q$19,"Bajo",IF(B75&lt;=$Q$20,"Regular",IF(B75&lt;=$Q$21,"Alto",0)))</f>
        <v>0</v>
      </c>
      <c r="D75" t="str">
        <f>SUM('Inteligencia emocional'!J76:Q76)</f>
        <v>0</v>
      </c>
      <c r="E75" s="10" t="str">
        <f>IF(D75&lt;=$AC$19,"Bajo",IF(D75&lt;=$AC$20,"Regular",IF(D75&lt;=$AC$21,"Alto",0)))</f>
        <v>0</v>
      </c>
      <c r="F75" t="str">
        <f>SUM('Inteligencia emocional'!R76:Y76)</f>
        <v>0</v>
      </c>
      <c r="G75" s="10" t="str">
        <f>IF(F75&lt;=$AO$19,"Bajo",IF(F75&lt;=$AO$20,"Regular",IF(F75&lt;=$AO$21,"Alto",0)))</f>
        <v>0</v>
      </c>
      <c r="H75" t="str">
        <f>SUM(B75:F75)</f>
        <v>0</v>
      </c>
      <c r="I75" s="10" t="str">
        <f>IF(H75&lt;=$BA$19,"Bajo",IF(H75&lt;=$BA$20,"Regular",IF(H75&lt;=$BA$21,"Alto",0)))</f>
        <v>0</v>
      </c>
    </row>
    <row r="76" spans="1:61">
      <c r="A76" t="s">
        <v>102</v>
      </c>
      <c r="B76" t="str">
        <f>SUM('Inteligencia emocional'!B77:I77)</f>
        <v>0</v>
      </c>
      <c r="C76" s="10" t="str">
        <f>IF(B76&lt;=$Q$19,"Bajo",IF(B76&lt;=$Q$20,"Regular",IF(B76&lt;=$Q$21,"Alto",0)))</f>
        <v>0</v>
      </c>
      <c r="D76" t="str">
        <f>SUM('Inteligencia emocional'!J77:Q77)</f>
        <v>0</v>
      </c>
      <c r="E76" s="10" t="str">
        <f>IF(D76&lt;=$AC$19,"Bajo",IF(D76&lt;=$AC$20,"Regular",IF(D76&lt;=$AC$21,"Alto",0)))</f>
        <v>0</v>
      </c>
      <c r="F76" t="str">
        <f>SUM('Inteligencia emocional'!R77:Y77)</f>
        <v>0</v>
      </c>
      <c r="G76" s="10" t="str">
        <f>IF(F76&lt;=$AO$19,"Bajo",IF(F76&lt;=$AO$20,"Regular",IF(F76&lt;=$AO$21,"Alto",0)))</f>
        <v>0</v>
      </c>
      <c r="H76" t="str">
        <f>SUM(B76:F76)</f>
        <v>0</v>
      </c>
      <c r="I76" s="10" t="str">
        <f>IF(H76&lt;=$BA$19,"Bajo",IF(H76&lt;=$BA$20,"Regular",IF(H76&lt;=$BA$21,"Alto",0)))</f>
        <v>0</v>
      </c>
    </row>
    <row r="77" spans="1:61">
      <c r="A77" t="s">
        <v>103</v>
      </c>
      <c r="B77" t="str">
        <f>SUM('Inteligencia emocional'!B78:I78)</f>
        <v>0</v>
      </c>
      <c r="C77" s="10" t="str">
        <f>IF(B77&lt;=$Q$19,"Bajo",IF(B77&lt;=$Q$20,"Regular",IF(B77&lt;=$Q$21,"Alto",0)))</f>
        <v>0</v>
      </c>
      <c r="D77" t="str">
        <f>SUM('Inteligencia emocional'!J78:Q78)</f>
        <v>0</v>
      </c>
      <c r="E77" s="10" t="str">
        <f>IF(D77&lt;=$AC$19,"Bajo",IF(D77&lt;=$AC$20,"Regular",IF(D77&lt;=$AC$21,"Alto",0)))</f>
        <v>0</v>
      </c>
      <c r="F77" t="str">
        <f>SUM('Inteligencia emocional'!R78:Y78)</f>
        <v>0</v>
      </c>
      <c r="G77" s="10" t="str">
        <f>IF(F77&lt;=$AO$19,"Bajo",IF(F77&lt;=$AO$20,"Regular",IF(F77&lt;=$AO$21,"Alto",0)))</f>
        <v>0</v>
      </c>
      <c r="H77" t="str">
        <f>SUM(B77:F77)</f>
        <v>0</v>
      </c>
      <c r="I77" s="10" t="str">
        <f>IF(H77&lt;=$BA$19,"Bajo",IF(H77&lt;=$BA$20,"Regular",IF(H77&lt;=$BA$21,"Alto",0)))</f>
        <v>0</v>
      </c>
    </row>
    <row r="78" spans="1:61">
      <c r="A78" t="s">
        <v>104</v>
      </c>
      <c r="B78" t="str">
        <f>SUM('Inteligencia emocional'!B79:I79)</f>
        <v>0</v>
      </c>
      <c r="C78" s="10" t="str">
        <f>IF(B78&lt;=$Q$19,"Bajo",IF(B78&lt;=$Q$20,"Regular",IF(B78&lt;=$Q$21,"Alto",0)))</f>
        <v>0</v>
      </c>
      <c r="D78" t="str">
        <f>SUM('Inteligencia emocional'!J79:Q79)</f>
        <v>0</v>
      </c>
      <c r="E78" s="10" t="str">
        <f>IF(D78&lt;=$AC$19,"Bajo",IF(D78&lt;=$AC$20,"Regular",IF(D78&lt;=$AC$21,"Alto",0)))</f>
        <v>0</v>
      </c>
      <c r="F78" t="str">
        <f>SUM('Inteligencia emocional'!R79:Y79)</f>
        <v>0</v>
      </c>
      <c r="G78" s="10" t="str">
        <f>IF(F78&lt;=$AO$19,"Bajo",IF(F78&lt;=$AO$20,"Regular",IF(F78&lt;=$AO$21,"Alto",0)))</f>
        <v>0</v>
      </c>
      <c r="H78" t="str">
        <f>SUM(B78:F78)</f>
        <v>0</v>
      </c>
      <c r="I78" s="10" t="str">
        <f>IF(H78&lt;=$BA$19,"Bajo",IF(H78&lt;=$BA$20,"Regular",IF(H78&lt;=$BA$21,"Alto",0)))</f>
        <v>0</v>
      </c>
    </row>
    <row r="79" spans="1:61">
      <c r="A79" t="s">
        <v>105</v>
      </c>
      <c r="B79" t="str">
        <f>SUM('Inteligencia emocional'!B80:I80)</f>
        <v>0</v>
      </c>
      <c r="C79" s="10" t="str">
        <f>IF(B79&lt;=$Q$19,"Bajo",IF(B79&lt;=$Q$20,"Regular",IF(B79&lt;=$Q$21,"Alto",0)))</f>
        <v>0</v>
      </c>
      <c r="D79" t="str">
        <f>SUM('Inteligencia emocional'!J80:Q80)</f>
        <v>0</v>
      </c>
      <c r="E79" s="10" t="str">
        <f>IF(D79&lt;=$AC$19,"Bajo",IF(D79&lt;=$AC$20,"Regular",IF(D79&lt;=$AC$21,"Alto",0)))</f>
        <v>0</v>
      </c>
      <c r="F79" t="str">
        <f>SUM('Inteligencia emocional'!R80:Y80)</f>
        <v>0</v>
      </c>
      <c r="G79" s="10" t="str">
        <f>IF(F79&lt;=$AO$19,"Bajo",IF(F79&lt;=$AO$20,"Regular",IF(F79&lt;=$AO$21,"Alto",0)))</f>
        <v>0</v>
      </c>
      <c r="H79" t="str">
        <f>SUM(B79:F79)</f>
        <v>0</v>
      </c>
      <c r="I79" s="10" t="str">
        <f>IF(H79&lt;=$BA$19,"Bajo",IF(H79&lt;=$BA$20,"Regular",IF(H79&lt;=$BA$21,"Alto",0)))</f>
        <v>0</v>
      </c>
    </row>
    <row r="80" spans="1:61">
      <c r="A80" t="s">
        <v>106</v>
      </c>
      <c r="B80" t="str">
        <f>SUM('Inteligencia emocional'!B81:I81)</f>
        <v>0</v>
      </c>
      <c r="C80" s="10" t="str">
        <f>IF(B80&lt;=$Q$19,"Bajo",IF(B80&lt;=$Q$20,"Regular",IF(B80&lt;=$Q$21,"Alto",0)))</f>
        <v>0</v>
      </c>
      <c r="D80" t="str">
        <f>SUM('Inteligencia emocional'!J81:Q81)</f>
        <v>0</v>
      </c>
      <c r="E80" s="10" t="str">
        <f>IF(D80&lt;=$AC$19,"Bajo",IF(D80&lt;=$AC$20,"Regular",IF(D80&lt;=$AC$21,"Alto",0)))</f>
        <v>0</v>
      </c>
      <c r="F80" t="str">
        <f>SUM('Inteligencia emocional'!R81:Y81)</f>
        <v>0</v>
      </c>
      <c r="G80" s="10" t="str">
        <f>IF(F80&lt;=$AO$19,"Bajo",IF(F80&lt;=$AO$20,"Regular",IF(F80&lt;=$AO$21,"Alto",0)))</f>
        <v>0</v>
      </c>
      <c r="H80" t="str">
        <f>SUM(B80:F80)</f>
        <v>0</v>
      </c>
      <c r="I80" s="10" t="str">
        <f>IF(H80&lt;=$BA$19,"Bajo",IF(H80&lt;=$BA$20,"Regular",IF(H80&lt;=$BA$21,"Alto",0)))</f>
        <v>0</v>
      </c>
    </row>
    <row r="81" spans="1:61">
      <c r="A81" t="s">
        <v>107</v>
      </c>
      <c r="B81" t="str">
        <f>SUM('Inteligencia emocional'!B82:I82)</f>
        <v>0</v>
      </c>
      <c r="C81" s="10" t="str">
        <f>IF(B81&lt;=$Q$19,"Bajo",IF(B81&lt;=$Q$20,"Regular",IF(B81&lt;=$Q$21,"Alto",0)))</f>
        <v>0</v>
      </c>
      <c r="D81" t="str">
        <f>SUM('Inteligencia emocional'!J82:Q82)</f>
        <v>0</v>
      </c>
      <c r="E81" s="10" t="str">
        <f>IF(D81&lt;=$AC$19,"Bajo",IF(D81&lt;=$AC$20,"Regular",IF(D81&lt;=$AC$21,"Alto",0)))</f>
        <v>0</v>
      </c>
      <c r="F81" t="str">
        <f>SUM('Inteligencia emocional'!R82:Y82)</f>
        <v>0</v>
      </c>
      <c r="G81" s="10" t="str">
        <f>IF(F81&lt;=$AO$19,"Bajo",IF(F81&lt;=$AO$20,"Regular",IF(F81&lt;=$AO$21,"Alto",0)))</f>
        <v>0</v>
      </c>
      <c r="H81" t="str">
        <f>SUM(B81:F81)</f>
        <v>0</v>
      </c>
      <c r="I81" s="10" t="str">
        <f>IF(H81&lt;=$BA$19,"Bajo",IF(H81&lt;=$BA$20,"Regular",IF(H81&lt;=$BA$21,"Alto",0)))</f>
        <v>0</v>
      </c>
    </row>
    <row r="82" spans="1:61">
      <c r="A82" t="s">
        <v>108</v>
      </c>
      <c r="B82" t="str">
        <f>SUM('Inteligencia emocional'!B83:I83)</f>
        <v>0</v>
      </c>
      <c r="C82" s="10" t="str">
        <f>IF(B82&lt;=$Q$19,"Bajo",IF(B82&lt;=$Q$20,"Regular",IF(B82&lt;=$Q$21,"Alto",0)))</f>
        <v>0</v>
      </c>
      <c r="D82" t="str">
        <f>SUM('Inteligencia emocional'!J83:Q83)</f>
        <v>0</v>
      </c>
      <c r="E82" s="10" t="str">
        <f>IF(D82&lt;=$AC$19,"Bajo",IF(D82&lt;=$AC$20,"Regular",IF(D82&lt;=$AC$21,"Alto",0)))</f>
        <v>0</v>
      </c>
      <c r="F82" t="str">
        <f>SUM('Inteligencia emocional'!R83:Y83)</f>
        <v>0</v>
      </c>
      <c r="G82" s="10" t="str">
        <f>IF(F82&lt;=$AO$19,"Bajo",IF(F82&lt;=$AO$20,"Regular",IF(F82&lt;=$AO$21,"Alto",0)))</f>
        <v>0</v>
      </c>
      <c r="H82" t="str">
        <f>SUM(B82:F82)</f>
        <v>0</v>
      </c>
      <c r="I82" s="10" t="str">
        <f>IF(H82&lt;=$BA$19,"Bajo",IF(H82&lt;=$BA$20,"Regular",IF(H82&lt;=$BA$21,"Alto",0)))</f>
        <v>0</v>
      </c>
    </row>
    <row r="83" spans="1:61">
      <c r="A83" t="s">
        <v>109</v>
      </c>
      <c r="B83" t="str">
        <f>SUM('Inteligencia emocional'!B84:I84)</f>
        <v>0</v>
      </c>
      <c r="C83" s="10" t="str">
        <f>IF(B83&lt;=$Q$19,"Bajo",IF(B83&lt;=$Q$20,"Regular",IF(B83&lt;=$Q$21,"Alto",0)))</f>
        <v>0</v>
      </c>
      <c r="D83" t="str">
        <f>SUM('Inteligencia emocional'!J84:Q84)</f>
        <v>0</v>
      </c>
      <c r="E83" s="10" t="str">
        <f>IF(D83&lt;=$AC$19,"Bajo",IF(D83&lt;=$AC$20,"Regular",IF(D83&lt;=$AC$21,"Alto",0)))</f>
        <v>0</v>
      </c>
      <c r="F83" t="str">
        <f>SUM('Inteligencia emocional'!R84:Y84)</f>
        <v>0</v>
      </c>
      <c r="G83" s="10" t="str">
        <f>IF(F83&lt;=$AO$19,"Bajo",IF(F83&lt;=$AO$20,"Regular",IF(F83&lt;=$AO$21,"Alto",0)))</f>
        <v>0</v>
      </c>
      <c r="H83" t="str">
        <f>SUM(B83:F83)</f>
        <v>0</v>
      </c>
      <c r="I83" s="10" t="str">
        <f>IF(H83&lt;=$BA$19,"Bajo",IF(H83&lt;=$BA$20,"Regular",IF(H83&lt;=$BA$21,"Alto",0)))</f>
        <v>0</v>
      </c>
    </row>
    <row r="84" spans="1:61">
      <c r="A84" t="s">
        <v>110</v>
      </c>
      <c r="B84" t="str">
        <f>SUM('Inteligencia emocional'!B85:I85)</f>
        <v>0</v>
      </c>
      <c r="C84" s="10" t="str">
        <f>IF(B84&lt;=$Q$19,"Bajo",IF(B84&lt;=$Q$20,"Regular",IF(B84&lt;=$Q$21,"Alto",0)))</f>
        <v>0</v>
      </c>
      <c r="D84" t="str">
        <f>SUM('Inteligencia emocional'!J85:Q85)</f>
        <v>0</v>
      </c>
      <c r="E84" s="10" t="str">
        <f>IF(D84&lt;=$AC$19,"Bajo",IF(D84&lt;=$AC$20,"Regular",IF(D84&lt;=$AC$21,"Alto",0)))</f>
        <v>0</v>
      </c>
      <c r="F84" t="str">
        <f>SUM('Inteligencia emocional'!R85:Y85)</f>
        <v>0</v>
      </c>
      <c r="G84" s="10" t="str">
        <f>IF(F84&lt;=$AO$19,"Bajo",IF(F84&lt;=$AO$20,"Regular",IF(F84&lt;=$AO$21,"Alto",0)))</f>
        <v>0</v>
      </c>
      <c r="H84" t="str">
        <f>SUM(B84:F84)</f>
        <v>0</v>
      </c>
      <c r="I84" s="10" t="str">
        <f>IF(H84&lt;=$BA$19,"Bajo",IF(H84&lt;=$BA$20,"Regular",IF(H84&lt;=$BA$21,"Alto",0)))</f>
        <v>0</v>
      </c>
    </row>
    <row r="85" spans="1:61">
      <c r="A85" t="s">
        <v>111</v>
      </c>
      <c r="B85" t="str">
        <f>SUM('Inteligencia emocional'!B86:I86)</f>
        <v>0</v>
      </c>
      <c r="C85" s="10" t="str">
        <f>IF(B85&lt;=$Q$19,"Bajo",IF(B85&lt;=$Q$20,"Regular",IF(B85&lt;=$Q$21,"Alto",0)))</f>
        <v>0</v>
      </c>
      <c r="D85" t="str">
        <f>SUM('Inteligencia emocional'!J86:Q86)</f>
        <v>0</v>
      </c>
      <c r="E85" s="10" t="str">
        <f>IF(D85&lt;=$AC$19,"Bajo",IF(D85&lt;=$AC$20,"Regular",IF(D85&lt;=$AC$21,"Alto",0)))</f>
        <v>0</v>
      </c>
      <c r="F85" t="str">
        <f>SUM('Inteligencia emocional'!R86:Y86)</f>
        <v>0</v>
      </c>
      <c r="G85" s="10" t="str">
        <f>IF(F85&lt;=$AO$19,"Bajo",IF(F85&lt;=$AO$20,"Regular",IF(F85&lt;=$AO$21,"Alto",0)))</f>
        <v>0</v>
      </c>
      <c r="H85" t="str">
        <f>SUM(B85:F85)</f>
        <v>0</v>
      </c>
      <c r="I85" s="10" t="str">
        <f>IF(H85&lt;=$BA$19,"Bajo",IF(H85&lt;=$BA$20,"Regular",IF(H85&lt;=$BA$21,"Alto",0)))</f>
        <v>0</v>
      </c>
    </row>
    <row r="86" spans="1:61">
      <c r="A86" t="s">
        <v>112</v>
      </c>
      <c r="B86" t="str">
        <f>SUM('Inteligencia emocional'!B87:I87)</f>
        <v>0</v>
      </c>
      <c r="C86" s="10" t="str">
        <f>IF(B86&lt;=$Q$19,"Bajo",IF(B86&lt;=$Q$20,"Regular",IF(B86&lt;=$Q$21,"Alto",0)))</f>
        <v>0</v>
      </c>
      <c r="D86" t="str">
        <f>SUM('Inteligencia emocional'!J87:Q87)</f>
        <v>0</v>
      </c>
      <c r="E86" s="10" t="str">
        <f>IF(D86&lt;=$AC$19,"Bajo",IF(D86&lt;=$AC$20,"Regular",IF(D86&lt;=$AC$21,"Alto",0)))</f>
        <v>0</v>
      </c>
      <c r="F86" t="str">
        <f>SUM('Inteligencia emocional'!R87:Y87)</f>
        <v>0</v>
      </c>
      <c r="G86" s="10" t="str">
        <f>IF(F86&lt;=$AO$19,"Bajo",IF(F86&lt;=$AO$20,"Regular",IF(F86&lt;=$AO$21,"Alto",0)))</f>
        <v>0</v>
      </c>
      <c r="H86" t="str">
        <f>SUM(B86:F86)</f>
        <v>0</v>
      </c>
      <c r="I86" s="10" t="str">
        <f>IF(H86&lt;=$BA$19,"Bajo",IF(H86&lt;=$BA$20,"Regular",IF(H86&lt;=$BA$21,"Alto",0)))</f>
        <v>0</v>
      </c>
    </row>
    <row r="87" spans="1:61">
      <c r="A87" t="s">
        <v>113</v>
      </c>
      <c r="B87" t="str">
        <f>SUM('Inteligencia emocional'!B88:I88)</f>
        <v>0</v>
      </c>
      <c r="C87" s="10" t="str">
        <f>IF(B87&lt;=$Q$19,"Bajo",IF(B87&lt;=$Q$20,"Regular",IF(B87&lt;=$Q$21,"Alto",0)))</f>
        <v>0</v>
      </c>
      <c r="D87" t="str">
        <f>SUM('Inteligencia emocional'!J88:Q88)</f>
        <v>0</v>
      </c>
      <c r="E87" s="10" t="str">
        <f>IF(D87&lt;=$AC$19,"Bajo",IF(D87&lt;=$AC$20,"Regular",IF(D87&lt;=$AC$21,"Alto",0)))</f>
        <v>0</v>
      </c>
      <c r="F87" t="str">
        <f>SUM('Inteligencia emocional'!R88:Y88)</f>
        <v>0</v>
      </c>
      <c r="G87" s="10" t="str">
        <f>IF(F87&lt;=$AO$19,"Bajo",IF(F87&lt;=$AO$20,"Regular",IF(F87&lt;=$AO$21,"Alto",0)))</f>
        <v>0</v>
      </c>
      <c r="H87" t="str">
        <f>SUM(B87:F87)</f>
        <v>0</v>
      </c>
      <c r="I87" s="10" t="str">
        <f>IF(H87&lt;=$BA$19,"Bajo",IF(H87&lt;=$BA$20,"Regular",IF(H87&lt;=$BA$21,"Alto",0)))</f>
        <v>0</v>
      </c>
    </row>
    <row r="88" spans="1:61">
      <c r="A88" t="s">
        <v>114</v>
      </c>
      <c r="B88" t="str">
        <f>SUM('Inteligencia emocional'!B89:I89)</f>
        <v>0</v>
      </c>
      <c r="C88" s="10" t="str">
        <f>IF(B88&lt;=$Q$19,"Bajo",IF(B88&lt;=$Q$20,"Regular",IF(B88&lt;=$Q$21,"Alto",0)))</f>
        <v>0</v>
      </c>
      <c r="D88" t="str">
        <f>SUM('Inteligencia emocional'!J89:Q89)</f>
        <v>0</v>
      </c>
      <c r="E88" s="10" t="str">
        <f>IF(D88&lt;=$AC$19,"Bajo",IF(D88&lt;=$AC$20,"Regular",IF(D88&lt;=$AC$21,"Alto",0)))</f>
        <v>0</v>
      </c>
      <c r="F88" t="str">
        <f>SUM('Inteligencia emocional'!R89:Y89)</f>
        <v>0</v>
      </c>
      <c r="G88" s="10" t="str">
        <f>IF(F88&lt;=$AO$19,"Bajo",IF(F88&lt;=$AO$20,"Regular",IF(F88&lt;=$AO$21,"Alto",0)))</f>
        <v>0</v>
      </c>
      <c r="H88" t="str">
        <f>SUM(B88:F88)</f>
        <v>0</v>
      </c>
      <c r="I88" s="10" t="str">
        <f>IF(H88&lt;=$BA$19,"Bajo",IF(H88&lt;=$BA$20,"Regular",IF(H88&lt;=$BA$21,"Alto",0)))</f>
        <v>0</v>
      </c>
    </row>
    <row r="89" spans="1:61">
      <c r="A89" t="s">
        <v>115</v>
      </c>
      <c r="B89" t="str">
        <f>SUM('Inteligencia emocional'!B90:I90)</f>
        <v>0</v>
      </c>
      <c r="C89" s="10" t="str">
        <f>IF(B89&lt;=$Q$19,"Bajo",IF(B89&lt;=$Q$20,"Regular",IF(B89&lt;=$Q$21,"Alto",0)))</f>
        <v>0</v>
      </c>
      <c r="D89" t="str">
        <f>SUM('Inteligencia emocional'!J90:Q90)</f>
        <v>0</v>
      </c>
      <c r="E89" s="10" t="str">
        <f>IF(D89&lt;=$AC$19,"Bajo",IF(D89&lt;=$AC$20,"Regular",IF(D89&lt;=$AC$21,"Alto",0)))</f>
        <v>0</v>
      </c>
      <c r="F89" t="str">
        <f>SUM('Inteligencia emocional'!R90:Y90)</f>
        <v>0</v>
      </c>
      <c r="G89" s="10" t="str">
        <f>IF(F89&lt;=$AO$19,"Bajo",IF(F89&lt;=$AO$20,"Regular",IF(F89&lt;=$AO$21,"Alto",0)))</f>
        <v>0</v>
      </c>
      <c r="H89" t="str">
        <f>SUM(B89:F89)</f>
        <v>0</v>
      </c>
      <c r="I89" s="10" t="str">
        <f>IF(H89&lt;=$BA$19,"Bajo",IF(H89&lt;=$BA$20,"Regular",IF(H89&lt;=$BA$21,"Alto",0)))</f>
        <v>0</v>
      </c>
    </row>
    <row r="90" spans="1:61">
      <c r="A90" t="s">
        <v>116</v>
      </c>
      <c r="B90" t="str">
        <f>SUM('Inteligencia emocional'!B91:I91)</f>
        <v>0</v>
      </c>
      <c r="C90" s="10" t="str">
        <f>IF(B90&lt;=$Q$19,"Bajo",IF(B90&lt;=$Q$20,"Regular",IF(B90&lt;=$Q$21,"Alto",0)))</f>
        <v>0</v>
      </c>
      <c r="D90" t="str">
        <f>SUM('Inteligencia emocional'!J91:Q91)</f>
        <v>0</v>
      </c>
      <c r="E90" s="10" t="str">
        <f>IF(D90&lt;=$AC$19,"Bajo",IF(D90&lt;=$AC$20,"Regular",IF(D90&lt;=$AC$21,"Alto",0)))</f>
        <v>0</v>
      </c>
      <c r="F90" t="str">
        <f>SUM('Inteligencia emocional'!R91:Y91)</f>
        <v>0</v>
      </c>
      <c r="G90" s="10" t="str">
        <f>IF(F90&lt;=$AO$19,"Bajo",IF(F90&lt;=$AO$20,"Regular",IF(F90&lt;=$AO$21,"Alto",0)))</f>
        <v>0</v>
      </c>
      <c r="H90" t="str">
        <f>SUM(B90:F90)</f>
        <v>0</v>
      </c>
      <c r="I90" s="10" t="str">
        <f>IF(H90&lt;=$BA$19,"Bajo",IF(H90&lt;=$BA$20,"Regular",IF(H90&lt;=$BA$21,"Alto",0)))</f>
        <v>0</v>
      </c>
    </row>
    <row r="91" spans="1:61">
      <c r="A91" t="s">
        <v>117</v>
      </c>
      <c r="B91" t="str">
        <f>SUM('Inteligencia emocional'!B92:I92)</f>
        <v>0</v>
      </c>
      <c r="C91" s="10" t="str">
        <f>IF(B91&lt;=$Q$19,"Bajo",IF(B91&lt;=$Q$20,"Regular",IF(B91&lt;=$Q$21,"Alto",0)))</f>
        <v>0</v>
      </c>
      <c r="D91" t="str">
        <f>SUM('Inteligencia emocional'!J92:Q92)</f>
        <v>0</v>
      </c>
      <c r="E91" s="10" t="str">
        <f>IF(D91&lt;=$AC$19,"Bajo",IF(D91&lt;=$AC$20,"Regular",IF(D91&lt;=$AC$21,"Alto",0)))</f>
        <v>0</v>
      </c>
      <c r="F91" t="str">
        <f>SUM('Inteligencia emocional'!R92:Y92)</f>
        <v>0</v>
      </c>
      <c r="G91" s="10" t="str">
        <f>IF(F91&lt;=$AO$19,"Bajo",IF(F91&lt;=$AO$20,"Regular",IF(F91&lt;=$AO$21,"Alto",0)))</f>
        <v>0</v>
      </c>
      <c r="H91" t="str">
        <f>SUM(B91:F91)</f>
        <v>0</v>
      </c>
      <c r="I91" s="10" t="str">
        <f>IF(H91&lt;=$BA$19,"Bajo",IF(H91&lt;=$BA$20,"Regular",IF(H91&lt;=$BA$21,"Alto",0)))</f>
        <v>0</v>
      </c>
    </row>
    <row r="92" spans="1:61">
      <c r="A92" t="s">
        <v>118</v>
      </c>
      <c r="B92" t="str">
        <f>SUM('Inteligencia emocional'!B93:I93)</f>
        <v>0</v>
      </c>
      <c r="C92" s="10" t="str">
        <f>IF(B92&lt;=$Q$19,"Bajo",IF(B92&lt;=$Q$20,"Regular",IF(B92&lt;=$Q$21,"Alto",0)))</f>
        <v>0</v>
      </c>
      <c r="D92" t="str">
        <f>SUM('Inteligencia emocional'!J93:Q93)</f>
        <v>0</v>
      </c>
      <c r="E92" s="10" t="str">
        <f>IF(D92&lt;=$AC$19,"Bajo",IF(D92&lt;=$AC$20,"Regular",IF(D92&lt;=$AC$21,"Alto",0)))</f>
        <v>0</v>
      </c>
      <c r="F92" t="str">
        <f>SUM('Inteligencia emocional'!R93:Y93)</f>
        <v>0</v>
      </c>
      <c r="G92" s="10" t="str">
        <f>IF(F92&lt;=$AO$19,"Bajo",IF(F92&lt;=$AO$20,"Regular",IF(F92&lt;=$AO$21,"Alto",0)))</f>
        <v>0</v>
      </c>
      <c r="H92" t="str">
        <f>SUM(B92:F92)</f>
        <v>0</v>
      </c>
      <c r="I92" s="10" t="str">
        <f>IF(H92&lt;=$BA$19,"Bajo",IF(H92&lt;=$BA$20,"Regular",IF(H92&lt;=$BA$21,"Alto",0)))</f>
        <v>0</v>
      </c>
    </row>
    <row r="93" spans="1:61">
      <c r="A93" t="s">
        <v>119</v>
      </c>
      <c r="B93" t="str">
        <f>SUM('Inteligencia emocional'!B94:I94)</f>
        <v>0</v>
      </c>
      <c r="C93" s="10" t="str">
        <f>IF(B93&lt;=$Q$19,"Bajo",IF(B93&lt;=$Q$20,"Regular",IF(B93&lt;=$Q$21,"Alto",0)))</f>
        <v>0</v>
      </c>
      <c r="D93" t="str">
        <f>SUM('Inteligencia emocional'!J94:Q94)</f>
        <v>0</v>
      </c>
      <c r="E93" s="10" t="str">
        <f>IF(D93&lt;=$AC$19,"Bajo",IF(D93&lt;=$AC$20,"Regular",IF(D93&lt;=$AC$21,"Alto",0)))</f>
        <v>0</v>
      </c>
      <c r="F93" t="str">
        <f>SUM('Inteligencia emocional'!R94:Y94)</f>
        <v>0</v>
      </c>
      <c r="G93" s="10" t="str">
        <f>IF(F93&lt;=$AO$19,"Bajo",IF(F93&lt;=$AO$20,"Regular",IF(F93&lt;=$AO$21,"Alto",0)))</f>
        <v>0</v>
      </c>
      <c r="H93" t="str">
        <f>SUM(B93:F93)</f>
        <v>0</v>
      </c>
      <c r="I93" s="10" t="str">
        <f>IF(H93&lt;=$BA$19,"Bajo",IF(H93&lt;=$BA$20,"Regular",IF(H93&lt;=$BA$21,"Alto",0)))</f>
        <v>0</v>
      </c>
    </row>
    <row r="94" spans="1:61">
      <c r="A94" t="s">
        <v>120</v>
      </c>
      <c r="B94" t="str">
        <f>SUM('Inteligencia emocional'!B95:I95)</f>
        <v>0</v>
      </c>
      <c r="C94" s="10" t="str">
        <f>IF(B94&lt;=$Q$19,"Bajo",IF(B94&lt;=$Q$20,"Regular",IF(B94&lt;=$Q$21,"Alto",0)))</f>
        <v>0</v>
      </c>
      <c r="D94" t="str">
        <f>SUM('Inteligencia emocional'!J95:Q95)</f>
        <v>0</v>
      </c>
      <c r="E94" s="10" t="str">
        <f>IF(D94&lt;=$AC$19,"Bajo",IF(D94&lt;=$AC$20,"Regular",IF(D94&lt;=$AC$21,"Alto",0)))</f>
        <v>0</v>
      </c>
      <c r="F94" t="str">
        <f>SUM('Inteligencia emocional'!R95:Y95)</f>
        <v>0</v>
      </c>
      <c r="G94" s="10" t="str">
        <f>IF(F94&lt;=$AO$19,"Bajo",IF(F94&lt;=$AO$20,"Regular",IF(F94&lt;=$AO$21,"Alto",0)))</f>
        <v>0</v>
      </c>
      <c r="H94" t="str">
        <f>SUM(B94:F94)</f>
        <v>0</v>
      </c>
      <c r="I94" s="10" t="str">
        <f>IF(H94&lt;=$BA$19,"Bajo",IF(H94&lt;=$BA$20,"Regular",IF(H94&lt;=$BA$21,"Alto",0)))</f>
        <v>0</v>
      </c>
    </row>
    <row r="95" spans="1:61">
      <c r="A95" t="s">
        <v>121</v>
      </c>
      <c r="B95" t="str">
        <f>SUM('Inteligencia emocional'!B96:I96)</f>
        <v>0</v>
      </c>
      <c r="C95" s="10" t="str">
        <f>IF(B95&lt;=$Q$19,"Bajo",IF(B95&lt;=$Q$20,"Regular",IF(B95&lt;=$Q$21,"Alto",0)))</f>
        <v>0</v>
      </c>
      <c r="D95" t="str">
        <f>SUM('Inteligencia emocional'!J96:Q96)</f>
        <v>0</v>
      </c>
      <c r="E95" s="10" t="str">
        <f>IF(D95&lt;=$AC$19,"Bajo",IF(D95&lt;=$AC$20,"Regular",IF(D95&lt;=$AC$21,"Alto",0)))</f>
        <v>0</v>
      </c>
      <c r="F95" t="str">
        <f>SUM('Inteligencia emocional'!R96:Y96)</f>
        <v>0</v>
      </c>
      <c r="G95" s="10" t="str">
        <f>IF(F95&lt;=$AO$19,"Bajo",IF(F95&lt;=$AO$20,"Regular",IF(F95&lt;=$AO$21,"Alto",0)))</f>
        <v>0</v>
      </c>
      <c r="H95" t="str">
        <f>SUM(B95:F95)</f>
        <v>0</v>
      </c>
      <c r="I95" s="10" t="str">
        <f>IF(H95&lt;=$BA$19,"Bajo",IF(H95&lt;=$BA$20,"Regular",IF(H95&lt;=$BA$21,"Alto",0)))</f>
        <v>0</v>
      </c>
    </row>
    <row r="96" spans="1:61">
      <c r="A96" t="s">
        <v>122</v>
      </c>
      <c r="B96" t="str">
        <f>SUM('Inteligencia emocional'!B97:I97)</f>
        <v>0</v>
      </c>
      <c r="C96" s="10" t="str">
        <f>IF(B96&lt;=$Q$19,"Bajo",IF(B96&lt;=$Q$20,"Regular",IF(B96&lt;=$Q$21,"Alto",0)))</f>
        <v>0</v>
      </c>
      <c r="D96" t="str">
        <f>SUM('Inteligencia emocional'!J97:Q97)</f>
        <v>0</v>
      </c>
      <c r="E96" s="10" t="str">
        <f>IF(D96&lt;=$AC$19,"Bajo",IF(D96&lt;=$AC$20,"Regular",IF(D96&lt;=$AC$21,"Alto",0)))</f>
        <v>0</v>
      </c>
      <c r="F96" t="str">
        <f>SUM('Inteligencia emocional'!R97:Y97)</f>
        <v>0</v>
      </c>
      <c r="G96" s="10" t="str">
        <f>IF(F96&lt;=$AO$19,"Bajo",IF(F96&lt;=$AO$20,"Regular",IF(F96&lt;=$AO$21,"Alto",0)))</f>
        <v>0</v>
      </c>
      <c r="H96" t="str">
        <f>SUM(B96:F96)</f>
        <v>0</v>
      </c>
      <c r="I96" s="10" t="str">
        <f>IF(H96&lt;=$BA$19,"Bajo",IF(H96&lt;=$BA$20,"Regular",IF(H96&lt;=$BA$21,"Alto",0)))</f>
        <v>0</v>
      </c>
    </row>
    <row r="97" spans="1:61">
      <c r="A97" t="s">
        <v>123</v>
      </c>
      <c r="B97" t="str">
        <f>SUM('Inteligencia emocional'!B98:I98)</f>
        <v>0</v>
      </c>
      <c r="C97" s="10" t="str">
        <f>IF(B97&lt;=$Q$19,"Bajo",IF(B97&lt;=$Q$20,"Regular",IF(B97&lt;=$Q$21,"Alto",0)))</f>
        <v>0</v>
      </c>
      <c r="D97" t="str">
        <f>SUM('Inteligencia emocional'!J98:Q98)</f>
        <v>0</v>
      </c>
      <c r="E97" s="10" t="str">
        <f>IF(D97&lt;=$AC$19,"Bajo",IF(D97&lt;=$AC$20,"Regular",IF(D97&lt;=$AC$21,"Alto",0)))</f>
        <v>0</v>
      </c>
      <c r="F97" t="str">
        <f>SUM('Inteligencia emocional'!R98:Y98)</f>
        <v>0</v>
      </c>
      <c r="G97" s="10" t="str">
        <f>IF(F97&lt;=$AO$19,"Bajo",IF(F97&lt;=$AO$20,"Regular",IF(F97&lt;=$AO$21,"Alto",0)))</f>
        <v>0</v>
      </c>
      <c r="H97" t="str">
        <f>SUM(B97:F97)</f>
        <v>0</v>
      </c>
      <c r="I97" s="10" t="str">
        <f>IF(H97&lt;=$BA$19,"Bajo",IF(H97&lt;=$BA$20,"Regular",IF(H97&lt;=$BA$21,"Alto",0)))</f>
        <v>0</v>
      </c>
    </row>
    <row r="98" spans="1:61">
      <c r="A98" t="s">
        <v>124</v>
      </c>
      <c r="B98" t="str">
        <f>SUM('Inteligencia emocional'!B99:I99)</f>
        <v>0</v>
      </c>
      <c r="C98" s="10" t="str">
        <f>IF(B98&lt;=$Q$19,"Bajo",IF(B98&lt;=$Q$20,"Regular",IF(B98&lt;=$Q$21,"Alto",0)))</f>
        <v>0</v>
      </c>
      <c r="D98" t="str">
        <f>SUM('Inteligencia emocional'!J99:Q99)</f>
        <v>0</v>
      </c>
      <c r="E98" s="10" t="str">
        <f>IF(D98&lt;=$AC$19,"Bajo",IF(D98&lt;=$AC$20,"Regular",IF(D98&lt;=$AC$21,"Alto",0)))</f>
        <v>0</v>
      </c>
      <c r="F98" t="str">
        <f>SUM('Inteligencia emocional'!R99:Y99)</f>
        <v>0</v>
      </c>
      <c r="G98" s="10" t="str">
        <f>IF(F98&lt;=$AO$19,"Bajo",IF(F98&lt;=$AO$20,"Regular",IF(F98&lt;=$AO$21,"Alto",0)))</f>
        <v>0</v>
      </c>
      <c r="H98" t="str">
        <f>SUM(B98:F98)</f>
        <v>0</v>
      </c>
      <c r="I98" s="10" t="str">
        <f>IF(H98&lt;=$BA$19,"Bajo",IF(H98&lt;=$BA$20,"Regular",IF(H98&lt;=$BA$21,"Alto",0)))</f>
        <v>0</v>
      </c>
    </row>
    <row r="99" spans="1:61">
      <c r="A99" t="s">
        <v>125</v>
      </c>
      <c r="B99" t="str">
        <f>SUM('Inteligencia emocional'!B100:I100)</f>
        <v>0</v>
      </c>
      <c r="C99" s="10" t="str">
        <f>IF(B99&lt;=$Q$19,"Bajo",IF(B99&lt;=$Q$20,"Regular",IF(B99&lt;=$Q$21,"Alto",0)))</f>
        <v>0</v>
      </c>
      <c r="D99" t="str">
        <f>SUM('Inteligencia emocional'!J100:Q100)</f>
        <v>0</v>
      </c>
      <c r="E99" s="10" t="str">
        <f>IF(D99&lt;=$AC$19,"Bajo",IF(D99&lt;=$AC$20,"Regular",IF(D99&lt;=$AC$21,"Alto",0)))</f>
        <v>0</v>
      </c>
      <c r="F99" t="str">
        <f>SUM('Inteligencia emocional'!R100:Y100)</f>
        <v>0</v>
      </c>
      <c r="G99" s="10" t="str">
        <f>IF(F99&lt;=$AO$19,"Bajo",IF(F99&lt;=$AO$20,"Regular",IF(F99&lt;=$AO$21,"Alto",0)))</f>
        <v>0</v>
      </c>
      <c r="H99" t="str">
        <f>SUM(B99:F99)</f>
        <v>0</v>
      </c>
      <c r="I99" s="10" t="str">
        <f>IF(H99&lt;=$BA$19,"Bajo",IF(H99&lt;=$BA$20,"Regular",IF(H99&lt;=$BA$21,"Alto",0)))</f>
        <v>0</v>
      </c>
    </row>
    <row r="100" spans="1:61">
      <c r="A100" t="s">
        <v>126</v>
      </c>
      <c r="B100" t="str">
        <f>SUM('Inteligencia emocional'!B101:I101)</f>
        <v>0</v>
      </c>
      <c r="C100" s="10" t="str">
        <f>IF(B100&lt;=$Q$19,"Bajo",IF(B100&lt;=$Q$20,"Regular",IF(B100&lt;=$Q$21,"Alto",0)))</f>
        <v>0</v>
      </c>
      <c r="D100" t="str">
        <f>SUM('Inteligencia emocional'!J101:Q101)</f>
        <v>0</v>
      </c>
      <c r="E100" s="10" t="str">
        <f>IF(D100&lt;=$AC$19,"Bajo",IF(D100&lt;=$AC$20,"Regular",IF(D100&lt;=$AC$21,"Alto",0)))</f>
        <v>0</v>
      </c>
      <c r="F100" t="str">
        <f>SUM('Inteligencia emocional'!R101:Y101)</f>
        <v>0</v>
      </c>
      <c r="G100" s="10" t="str">
        <f>IF(F100&lt;=$AO$19,"Bajo",IF(F100&lt;=$AO$20,"Regular",IF(F100&lt;=$AO$21,"Alto",0)))</f>
        <v>0</v>
      </c>
      <c r="H100" t="str">
        <f>SUM(B100:F100)</f>
        <v>0</v>
      </c>
      <c r="I100" s="10" t="str">
        <f>IF(H100&lt;=$BA$19,"Bajo",IF(H100&lt;=$BA$20,"Regular",IF(H100&lt;=$BA$21,"Alto",0)))</f>
        <v>0</v>
      </c>
    </row>
    <row r="101" spans="1:61">
      <c r="A101" t="s">
        <v>127</v>
      </c>
      <c r="B101" t="str">
        <f>SUM('Inteligencia emocional'!B102:I102)</f>
        <v>0</v>
      </c>
      <c r="C101" s="10" t="str">
        <f>IF(B101&lt;=$Q$19,"Bajo",IF(B101&lt;=$Q$20,"Regular",IF(B101&lt;=$Q$21,"Alto",0)))</f>
        <v>0</v>
      </c>
      <c r="D101" t="str">
        <f>SUM('Inteligencia emocional'!J102:Q102)</f>
        <v>0</v>
      </c>
      <c r="E101" s="10" t="str">
        <f>IF(D101&lt;=$AC$19,"Bajo",IF(D101&lt;=$AC$20,"Regular",IF(D101&lt;=$AC$21,"Alto",0)))</f>
        <v>0</v>
      </c>
      <c r="F101" t="str">
        <f>SUM('Inteligencia emocional'!R102:Y102)</f>
        <v>0</v>
      </c>
      <c r="G101" s="10" t="str">
        <f>IF(F101&lt;=$AO$19,"Bajo",IF(F101&lt;=$AO$20,"Regular",IF(F101&lt;=$AO$21,"Alto",0)))</f>
        <v>0</v>
      </c>
      <c r="H101" t="str">
        <f>SUM(B101:F101)</f>
        <v>0</v>
      </c>
      <c r="I101" s="10" t="str">
        <f>IF(H101&lt;=$BA$19,"Bajo",IF(H101&lt;=$BA$20,"Regular",IF(H101&lt;=$BA$21,"Alto",0)))</f>
        <v>0</v>
      </c>
    </row>
    <row r="102" spans="1:61">
      <c r="A102" t="s">
        <v>128</v>
      </c>
      <c r="B102" t="str">
        <f>SUM('Inteligencia emocional'!B103:I103)</f>
        <v>0</v>
      </c>
      <c r="C102" s="10" t="str">
        <f>IF(B102&lt;=$Q$19,"Bajo",IF(B102&lt;=$Q$20,"Regular",IF(B102&lt;=$Q$21,"Alto",0)))</f>
        <v>0</v>
      </c>
      <c r="D102" t="str">
        <f>SUM('Inteligencia emocional'!J103:Q103)</f>
        <v>0</v>
      </c>
      <c r="E102" s="10" t="str">
        <f>IF(D102&lt;=$AC$19,"Bajo",IF(D102&lt;=$AC$20,"Regular",IF(D102&lt;=$AC$21,"Alto",0)))</f>
        <v>0</v>
      </c>
      <c r="F102" t="str">
        <f>SUM('Inteligencia emocional'!R103:Y103)</f>
        <v>0</v>
      </c>
      <c r="G102" s="10" t="str">
        <f>IF(F102&lt;=$AO$19,"Bajo",IF(F102&lt;=$AO$20,"Regular",IF(F102&lt;=$AO$21,"Alto",0)))</f>
        <v>0</v>
      </c>
      <c r="H102" t="str">
        <f>SUM(B102:F102)</f>
        <v>0</v>
      </c>
      <c r="I102" s="10" t="str">
        <f>IF(H102&lt;=$BA$19,"Bajo",IF(H102&lt;=$BA$20,"Regular",IF(H102&lt;=$BA$21,"Alto",0)))</f>
        <v>0</v>
      </c>
    </row>
    <row r="103" spans="1:61">
      <c r="A103" t="s">
        <v>129</v>
      </c>
      <c r="B103" t="str">
        <f>SUM('Inteligencia emocional'!B104:I104)</f>
        <v>0</v>
      </c>
      <c r="C103" s="10" t="str">
        <f>IF(B103&lt;=$Q$19,"Bajo",IF(B103&lt;=$Q$20,"Regular",IF(B103&lt;=$Q$21,"Alto",0)))</f>
        <v>0</v>
      </c>
      <c r="D103" t="str">
        <f>SUM('Inteligencia emocional'!J104:Q104)</f>
        <v>0</v>
      </c>
      <c r="E103" s="10" t="str">
        <f>IF(D103&lt;=$AC$19,"Bajo",IF(D103&lt;=$AC$20,"Regular",IF(D103&lt;=$AC$21,"Alto",0)))</f>
        <v>0</v>
      </c>
      <c r="F103" t="str">
        <f>SUM('Inteligencia emocional'!R104:Y104)</f>
        <v>0</v>
      </c>
      <c r="G103" s="10" t="str">
        <f>IF(F103&lt;=$AO$19,"Bajo",IF(F103&lt;=$AO$20,"Regular",IF(F103&lt;=$AO$21,"Alto",0)))</f>
        <v>0</v>
      </c>
      <c r="H103" t="str">
        <f>SUM(B103:F103)</f>
        <v>0</v>
      </c>
      <c r="I103" s="10" t="str">
        <f>IF(H103&lt;=$BA$19,"Bajo",IF(H103&lt;=$BA$20,"Regular",IF(H103&lt;=$BA$21,"Alto",0)))</f>
        <v>0</v>
      </c>
    </row>
    <row r="104" spans="1:61">
      <c r="A104" t="s">
        <v>130</v>
      </c>
      <c r="B104" t="str">
        <f>SUM('Inteligencia emocional'!B105:I105)</f>
        <v>0</v>
      </c>
      <c r="C104" s="10" t="str">
        <f>IF(B104&lt;=$Q$19,"Bajo",IF(B104&lt;=$Q$20,"Regular",IF(B104&lt;=$Q$21,"Alto",0)))</f>
        <v>0</v>
      </c>
      <c r="D104" t="str">
        <f>SUM('Inteligencia emocional'!J105:Q105)</f>
        <v>0</v>
      </c>
      <c r="E104" s="10" t="str">
        <f>IF(D104&lt;=$AC$19,"Bajo",IF(D104&lt;=$AC$20,"Regular",IF(D104&lt;=$AC$21,"Alto",0)))</f>
        <v>0</v>
      </c>
      <c r="F104" t="str">
        <f>SUM('Inteligencia emocional'!R105:Y105)</f>
        <v>0</v>
      </c>
      <c r="G104" s="10" t="str">
        <f>IF(F104&lt;=$AO$19,"Bajo",IF(F104&lt;=$AO$20,"Regular",IF(F104&lt;=$AO$21,"Alto",0)))</f>
        <v>0</v>
      </c>
      <c r="H104" t="str">
        <f>SUM(B104:F104)</f>
        <v>0</v>
      </c>
      <c r="I104" s="10" t="str">
        <f>IF(H104&lt;=$BA$19,"Bajo",IF(H104&lt;=$BA$20,"Regular",IF(H104&lt;=$BA$21,"Alto",0)))</f>
        <v>0</v>
      </c>
    </row>
    <row r="105" spans="1:61">
      <c r="A105" t="s">
        <v>131</v>
      </c>
      <c r="B105" t="str">
        <f>SUM('Inteligencia emocional'!B106:I106)</f>
        <v>0</v>
      </c>
      <c r="C105" s="10" t="str">
        <f>IF(B105&lt;=$Q$19,"Bajo",IF(B105&lt;=$Q$20,"Regular",IF(B105&lt;=$Q$21,"Alto",0)))</f>
        <v>0</v>
      </c>
      <c r="D105" t="str">
        <f>SUM('Inteligencia emocional'!J106:Q106)</f>
        <v>0</v>
      </c>
      <c r="E105" s="10" t="str">
        <f>IF(D105&lt;=$AC$19,"Bajo",IF(D105&lt;=$AC$20,"Regular",IF(D105&lt;=$AC$21,"Alto",0)))</f>
        <v>0</v>
      </c>
      <c r="F105" t="str">
        <f>SUM('Inteligencia emocional'!R106:Y106)</f>
        <v>0</v>
      </c>
      <c r="G105" s="10" t="str">
        <f>IF(F105&lt;=$AO$19,"Bajo",IF(F105&lt;=$AO$20,"Regular",IF(F105&lt;=$AO$21,"Alto",0)))</f>
        <v>0</v>
      </c>
      <c r="H105" t="str">
        <f>SUM(B105:F105)</f>
        <v>0</v>
      </c>
      <c r="I105" s="10" t="str">
        <f>IF(H105&lt;=$BA$19,"Bajo",IF(H105&lt;=$BA$20,"Regular",IF(H105&lt;=$BA$21,"Alto",0)))</f>
        <v>0</v>
      </c>
    </row>
    <row r="106" spans="1:61">
      <c r="A106" t="s">
        <v>132</v>
      </c>
      <c r="B106" t="str">
        <f>SUM('Inteligencia emocional'!B107:I107)</f>
        <v>0</v>
      </c>
      <c r="C106" s="10" t="str">
        <f>IF(B106&lt;=$Q$19,"Bajo",IF(B106&lt;=$Q$20,"Regular",IF(B106&lt;=$Q$21,"Alto",0)))</f>
        <v>0</v>
      </c>
      <c r="D106" t="str">
        <f>SUM('Inteligencia emocional'!J107:Q107)</f>
        <v>0</v>
      </c>
      <c r="E106" s="10" t="str">
        <f>IF(D106&lt;=$AC$19,"Bajo",IF(D106&lt;=$AC$20,"Regular",IF(D106&lt;=$AC$21,"Alto",0)))</f>
        <v>0</v>
      </c>
      <c r="F106" t="str">
        <f>SUM('Inteligencia emocional'!R107:Y107)</f>
        <v>0</v>
      </c>
      <c r="G106" s="10" t="str">
        <f>IF(F106&lt;=$AO$19,"Bajo",IF(F106&lt;=$AO$20,"Regular",IF(F106&lt;=$AO$21,"Alto",0)))</f>
        <v>0</v>
      </c>
      <c r="H106" t="str">
        <f>SUM(B106:F106)</f>
        <v>0</v>
      </c>
      <c r="I106" s="10" t="str">
        <f>IF(H106&lt;=$BA$19,"Bajo",IF(H106&lt;=$BA$20,"Regular",IF(H106&lt;=$BA$21,"Alto",0)))</f>
        <v>0</v>
      </c>
    </row>
    <row r="107" spans="1:61">
      <c r="A107" t="s">
        <v>133</v>
      </c>
      <c r="B107" t="str">
        <f>SUM('Inteligencia emocional'!B108:I108)</f>
        <v>0</v>
      </c>
      <c r="C107" s="10" t="str">
        <f>IF(B107&lt;=$Q$19,"Bajo",IF(B107&lt;=$Q$20,"Regular",IF(B107&lt;=$Q$21,"Alto",0)))</f>
        <v>0</v>
      </c>
      <c r="D107" t="str">
        <f>SUM('Inteligencia emocional'!J108:Q108)</f>
        <v>0</v>
      </c>
      <c r="E107" s="10" t="str">
        <f>IF(D107&lt;=$AC$19,"Bajo",IF(D107&lt;=$AC$20,"Regular",IF(D107&lt;=$AC$21,"Alto",0)))</f>
        <v>0</v>
      </c>
      <c r="F107" t="str">
        <f>SUM('Inteligencia emocional'!R108:Y108)</f>
        <v>0</v>
      </c>
      <c r="G107" s="10" t="str">
        <f>IF(F107&lt;=$AO$19,"Bajo",IF(F107&lt;=$AO$20,"Regular",IF(F107&lt;=$AO$21,"Alto",0)))</f>
        <v>0</v>
      </c>
      <c r="H107" t="str">
        <f>SUM(B107:F107)</f>
        <v>0</v>
      </c>
      <c r="I107" s="10" t="str">
        <f>IF(H107&lt;=$BA$19,"Bajo",IF(H107&lt;=$BA$20,"Regular",IF(H107&lt;=$BA$21,"Alto",0)))</f>
        <v>0</v>
      </c>
    </row>
    <row r="108" spans="1:61">
      <c r="A108" t="s">
        <v>134</v>
      </c>
      <c r="B108" t="str">
        <f>SUM('Inteligencia emocional'!B109:I109)</f>
        <v>0</v>
      </c>
      <c r="C108" s="10" t="str">
        <f>IF(B108&lt;=$Q$19,"Bajo",IF(B108&lt;=$Q$20,"Regular",IF(B108&lt;=$Q$21,"Alto",0)))</f>
        <v>0</v>
      </c>
      <c r="D108" t="str">
        <f>SUM('Inteligencia emocional'!J109:Q109)</f>
        <v>0</v>
      </c>
      <c r="E108" s="10" t="str">
        <f>IF(D108&lt;=$AC$19,"Bajo",IF(D108&lt;=$AC$20,"Regular",IF(D108&lt;=$AC$21,"Alto",0)))</f>
        <v>0</v>
      </c>
      <c r="F108" t="str">
        <f>SUM('Inteligencia emocional'!R109:Y109)</f>
        <v>0</v>
      </c>
      <c r="G108" s="10" t="str">
        <f>IF(F108&lt;=$AO$19,"Bajo",IF(F108&lt;=$AO$20,"Regular",IF(F108&lt;=$AO$21,"Alto",0)))</f>
        <v>0</v>
      </c>
      <c r="H108" t="str">
        <f>SUM(B108:F108)</f>
        <v>0</v>
      </c>
      <c r="I108" s="10" t="str">
        <f>IF(H108&lt;=$BA$19,"Bajo",IF(H108&lt;=$BA$20,"Regular",IF(H108&lt;=$BA$21,"Alto",0)))</f>
        <v>0</v>
      </c>
    </row>
    <row r="109" spans="1:61">
      <c r="A109" t="s">
        <v>135</v>
      </c>
      <c r="B109" t="str">
        <f>SUM('Inteligencia emocional'!B110:I110)</f>
        <v>0</v>
      </c>
      <c r="C109" s="10" t="str">
        <f>IF(B109&lt;=$Q$19,"Bajo",IF(B109&lt;=$Q$20,"Regular",IF(B109&lt;=$Q$21,"Alto",0)))</f>
        <v>0</v>
      </c>
      <c r="D109" t="str">
        <f>SUM('Inteligencia emocional'!J110:Q110)</f>
        <v>0</v>
      </c>
      <c r="E109" s="10" t="str">
        <f>IF(D109&lt;=$AC$19,"Bajo",IF(D109&lt;=$AC$20,"Regular",IF(D109&lt;=$AC$21,"Alto",0)))</f>
        <v>0</v>
      </c>
      <c r="F109" t="str">
        <f>SUM('Inteligencia emocional'!R110:Y110)</f>
        <v>0</v>
      </c>
      <c r="G109" s="10" t="str">
        <f>IF(F109&lt;=$AO$19,"Bajo",IF(F109&lt;=$AO$20,"Regular",IF(F109&lt;=$AO$21,"Alto",0)))</f>
        <v>0</v>
      </c>
      <c r="H109" t="str">
        <f>SUM(B109:F109)</f>
        <v>0</v>
      </c>
      <c r="I109" s="10" t="str">
        <f>IF(H109&lt;=$BA$19,"Bajo",IF(H109&lt;=$BA$20,"Regular",IF(H109&lt;=$BA$21,"Alto",0)))</f>
        <v>0</v>
      </c>
    </row>
    <row r="110" spans="1:61">
      <c r="A110" t="s">
        <v>136</v>
      </c>
      <c r="B110" t="str">
        <f>SUM('Inteligencia emocional'!B111:I111)</f>
        <v>0</v>
      </c>
      <c r="C110" s="10" t="str">
        <f>IF(B110&lt;=$Q$19,"Bajo",IF(B110&lt;=$Q$20,"Regular",IF(B110&lt;=$Q$21,"Alto",0)))</f>
        <v>0</v>
      </c>
      <c r="D110" t="str">
        <f>SUM('Inteligencia emocional'!J111:Q111)</f>
        <v>0</v>
      </c>
      <c r="E110" s="10" t="str">
        <f>IF(D110&lt;=$AC$19,"Bajo",IF(D110&lt;=$AC$20,"Regular",IF(D110&lt;=$AC$21,"Alto",0)))</f>
        <v>0</v>
      </c>
      <c r="F110" t="str">
        <f>SUM('Inteligencia emocional'!R111:Y111)</f>
        <v>0</v>
      </c>
      <c r="G110" s="10" t="str">
        <f>IF(F110&lt;=$AO$19,"Bajo",IF(F110&lt;=$AO$20,"Regular",IF(F110&lt;=$AO$21,"Alto",0)))</f>
        <v>0</v>
      </c>
      <c r="H110" t="str">
        <f>SUM(B110:F110)</f>
        <v>0</v>
      </c>
      <c r="I110" s="10" t="str">
        <f>IF(H110&lt;=$BA$19,"Bajo",IF(H110&lt;=$BA$20,"Regular",IF(H110&lt;=$BA$21,"Alto",0)))</f>
        <v>0</v>
      </c>
    </row>
    <row r="111" spans="1:61">
      <c r="A111" t="s">
        <v>137</v>
      </c>
      <c r="B111" t="str">
        <f>SUM('Inteligencia emocional'!B112:I112)</f>
        <v>0</v>
      </c>
      <c r="C111" s="10" t="str">
        <f>IF(B111&lt;=$Q$19,"Bajo",IF(B111&lt;=$Q$20,"Regular",IF(B111&lt;=$Q$21,"Alto",0)))</f>
        <v>0</v>
      </c>
      <c r="D111" t="str">
        <f>SUM('Inteligencia emocional'!J112:Q112)</f>
        <v>0</v>
      </c>
      <c r="E111" s="10" t="str">
        <f>IF(D111&lt;=$AC$19,"Bajo",IF(D111&lt;=$AC$20,"Regular",IF(D111&lt;=$AC$21,"Alto",0)))</f>
        <v>0</v>
      </c>
      <c r="F111" t="str">
        <f>SUM('Inteligencia emocional'!R112:Y112)</f>
        <v>0</v>
      </c>
      <c r="G111" s="10" t="str">
        <f>IF(F111&lt;=$AO$19,"Bajo",IF(F111&lt;=$AO$20,"Regular",IF(F111&lt;=$AO$21,"Alto",0)))</f>
        <v>0</v>
      </c>
      <c r="H111" t="str">
        <f>SUM(B111:F111)</f>
        <v>0</v>
      </c>
      <c r="I111" s="10" t="str">
        <f>IF(H111&lt;=$BA$19,"Bajo",IF(H111&lt;=$BA$20,"Regular",IF(H111&lt;=$BA$21,"Alto",0)))</f>
        <v>0</v>
      </c>
    </row>
    <row r="112" spans="1:61">
      <c r="A112" t="s">
        <v>138</v>
      </c>
      <c r="B112" t="str">
        <f>SUM('Inteligencia emocional'!B113:I113)</f>
        <v>0</v>
      </c>
      <c r="C112" s="10" t="str">
        <f>IF(B112&lt;=$Q$19,"Bajo",IF(B112&lt;=$Q$20,"Regular",IF(B112&lt;=$Q$21,"Alto",0)))</f>
        <v>0</v>
      </c>
      <c r="D112" t="str">
        <f>SUM('Inteligencia emocional'!J113:Q113)</f>
        <v>0</v>
      </c>
      <c r="E112" s="10" t="str">
        <f>IF(D112&lt;=$AC$19,"Bajo",IF(D112&lt;=$AC$20,"Regular",IF(D112&lt;=$AC$21,"Alto",0)))</f>
        <v>0</v>
      </c>
      <c r="F112" t="str">
        <f>SUM('Inteligencia emocional'!R113:Y113)</f>
        <v>0</v>
      </c>
      <c r="G112" s="10" t="str">
        <f>IF(F112&lt;=$AO$19,"Bajo",IF(F112&lt;=$AO$20,"Regular",IF(F112&lt;=$AO$21,"Alto",0)))</f>
        <v>0</v>
      </c>
      <c r="H112" t="str">
        <f>SUM(B112:F112)</f>
        <v>0</v>
      </c>
      <c r="I112" s="10" t="str">
        <f>IF(H112&lt;=$BA$19,"Bajo",IF(H112&lt;=$BA$20,"Regular",IF(H112&lt;=$BA$21,"Alto",0)))</f>
        <v>0</v>
      </c>
    </row>
    <row r="113" spans="1:61">
      <c r="A113" t="s">
        <v>139</v>
      </c>
      <c r="B113" t="str">
        <f>SUM('Inteligencia emocional'!B114:I114)</f>
        <v>0</v>
      </c>
      <c r="C113" s="10" t="str">
        <f>IF(B113&lt;=$Q$19,"Bajo",IF(B113&lt;=$Q$20,"Regular",IF(B113&lt;=$Q$21,"Alto",0)))</f>
        <v>0</v>
      </c>
      <c r="D113" t="str">
        <f>SUM('Inteligencia emocional'!J114:Q114)</f>
        <v>0</v>
      </c>
      <c r="E113" s="10" t="str">
        <f>IF(D113&lt;=$AC$19,"Bajo",IF(D113&lt;=$AC$20,"Regular",IF(D113&lt;=$AC$21,"Alto",0)))</f>
        <v>0</v>
      </c>
      <c r="F113" t="str">
        <f>SUM('Inteligencia emocional'!R114:Y114)</f>
        <v>0</v>
      </c>
      <c r="G113" s="10" t="str">
        <f>IF(F113&lt;=$AO$19,"Bajo",IF(F113&lt;=$AO$20,"Regular",IF(F113&lt;=$AO$21,"Alto",0)))</f>
        <v>0</v>
      </c>
      <c r="H113" t="str">
        <f>SUM(B113:F113)</f>
        <v>0</v>
      </c>
      <c r="I113" s="10" t="str">
        <f>IF(H113&lt;=$BA$19,"Bajo",IF(H113&lt;=$BA$20,"Regular",IF(H113&lt;=$BA$21,"Alto",0)))</f>
        <v>0</v>
      </c>
    </row>
    <row r="114" spans="1:61">
      <c r="A114" t="s">
        <v>140</v>
      </c>
      <c r="B114" t="str">
        <f>SUM('Inteligencia emocional'!B115:I115)</f>
        <v>0</v>
      </c>
      <c r="C114" s="10" t="str">
        <f>IF(B114&lt;=$Q$19,"Bajo",IF(B114&lt;=$Q$20,"Regular",IF(B114&lt;=$Q$21,"Alto",0)))</f>
        <v>0</v>
      </c>
      <c r="D114" t="str">
        <f>SUM('Inteligencia emocional'!J115:Q115)</f>
        <v>0</v>
      </c>
      <c r="E114" s="10" t="str">
        <f>IF(D114&lt;=$AC$19,"Bajo",IF(D114&lt;=$AC$20,"Regular",IF(D114&lt;=$AC$21,"Alto",0)))</f>
        <v>0</v>
      </c>
      <c r="F114" t="str">
        <f>SUM('Inteligencia emocional'!R115:Y115)</f>
        <v>0</v>
      </c>
      <c r="G114" s="10" t="str">
        <f>IF(F114&lt;=$AO$19,"Bajo",IF(F114&lt;=$AO$20,"Regular",IF(F114&lt;=$AO$21,"Alto",0)))</f>
        <v>0</v>
      </c>
      <c r="H114" t="str">
        <f>SUM(B114:F114)</f>
        <v>0</v>
      </c>
      <c r="I114" s="10" t="str">
        <f>IF(H114&lt;=$BA$19,"Bajo",IF(H114&lt;=$BA$20,"Regular",IF(H114&lt;=$BA$21,"Alto",0)))</f>
        <v>0</v>
      </c>
    </row>
    <row r="115" spans="1:61">
      <c r="A115" t="s">
        <v>141</v>
      </c>
      <c r="B115" t="str">
        <f>SUM('Inteligencia emocional'!B116:I116)</f>
        <v>0</v>
      </c>
      <c r="C115" s="10" t="str">
        <f>IF(B115&lt;=$Q$19,"Bajo",IF(B115&lt;=$Q$20,"Regular",IF(B115&lt;=$Q$21,"Alto",0)))</f>
        <v>0</v>
      </c>
      <c r="D115" t="str">
        <f>SUM('Inteligencia emocional'!J116:Q116)</f>
        <v>0</v>
      </c>
      <c r="E115" s="10" t="str">
        <f>IF(D115&lt;=$AC$19,"Bajo",IF(D115&lt;=$AC$20,"Regular",IF(D115&lt;=$AC$21,"Alto",0)))</f>
        <v>0</v>
      </c>
      <c r="F115" t="str">
        <f>SUM('Inteligencia emocional'!R116:Y116)</f>
        <v>0</v>
      </c>
      <c r="G115" s="10" t="str">
        <f>IF(F115&lt;=$AO$19,"Bajo",IF(F115&lt;=$AO$20,"Regular",IF(F115&lt;=$AO$21,"Alto",0)))</f>
        <v>0</v>
      </c>
      <c r="H115" t="str">
        <f>SUM(B115:F115)</f>
        <v>0</v>
      </c>
      <c r="I115" s="10" t="str">
        <f>IF(H115&lt;=$BA$19,"Bajo",IF(H115&lt;=$BA$20,"Regular",IF(H115&lt;=$BA$21,"Alto",0)))</f>
        <v>0</v>
      </c>
    </row>
    <row r="116" spans="1:61">
      <c r="A116" t="s">
        <v>142</v>
      </c>
      <c r="B116" t="str">
        <f>SUM('Inteligencia emocional'!B117:I117)</f>
        <v>0</v>
      </c>
      <c r="C116" s="10" t="str">
        <f>IF(B116&lt;=$Q$19,"Bajo",IF(B116&lt;=$Q$20,"Regular",IF(B116&lt;=$Q$21,"Alto",0)))</f>
        <v>0</v>
      </c>
      <c r="D116" t="str">
        <f>SUM('Inteligencia emocional'!J117:Q117)</f>
        <v>0</v>
      </c>
      <c r="E116" s="10" t="str">
        <f>IF(D116&lt;=$AC$19,"Bajo",IF(D116&lt;=$AC$20,"Regular",IF(D116&lt;=$AC$21,"Alto",0)))</f>
        <v>0</v>
      </c>
      <c r="F116" t="str">
        <f>SUM('Inteligencia emocional'!R117:Y117)</f>
        <v>0</v>
      </c>
      <c r="G116" s="10" t="str">
        <f>IF(F116&lt;=$AO$19,"Bajo",IF(F116&lt;=$AO$20,"Regular",IF(F116&lt;=$AO$21,"Alto",0)))</f>
        <v>0</v>
      </c>
      <c r="H116" t="str">
        <f>SUM(B116:F116)</f>
        <v>0</v>
      </c>
      <c r="I116" s="10" t="str">
        <f>IF(H116&lt;=$BA$19,"Bajo",IF(H116&lt;=$BA$20,"Regular",IF(H116&lt;=$BA$21,"Alto",0)))</f>
        <v>0</v>
      </c>
    </row>
    <row r="117" spans="1:61">
      <c r="A117" t="s">
        <v>143</v>
      </c>
      <c r="B117" t="str">
        <f>SUM('Inteligencia emocional'!B118:I118)</f>
        <v>0</v>
      </c>
      <c r="C117" s="10" t="str">
        <f>IF(B117&lt;=$Q$19,"Bajo",IF(B117&lt;=$Q$20,"Regular",IF(B117&lt;=$Q$21,"Alto",0)))</f>
        <v>0</v>
      </c>
      <c r="D117" t="str">
        <f>SUM('Inteligencia emocional'!J118:Q118)</f>
        <v>0</v>
      </c>
      <c r="E117" s="10" t="str">
        <f>IF(D117&lt;=$AC$19,"Bajo",IF(D117&lt;=$AC$20,"Regular",IF(D117&lt;=$AC$21,"Alto",0)))</f>
        <v>0</v>
      </c>
      <c r="F117" t="str">
        <f>SUM('Inteligencia emocional'!R118:Y118)</f>
        <v>0</v>
      </c>
      <c r="G117" s="10" t="str">
        <f>IF(F117&lt;=$AO$19,"Bajo",IF(F117&lt;=$AO$20,"Regular",IF(F117&lt;=$AO$21,"Alto",0)))</f>
        <v>0</v>
      </c>
      <c r="H117" t="str">
        <f>SUM(B117:F117)</f>
        <v>0</v>
      </c>
      <c r="I117" s="10" t="str">
        <f>IF(H117&lt;=$BA$19,"Bajo",IF(H117&lt;=$BA$20,"Regular",IF(H117&lt;=$BA$21,"Alto",0)))</f>
        <v>0</v>
      </c>
    </row>
    <row r="118" spans="1:61">
      <c r="A118" t="s">
        <v>144</v>
      </c>
      <c r="B118" t="str">
        <f>SUM('Inteligencia emocional'!B119:I119)</f>
        <v>0</v>
      </c>
      <c r="C118" s="10" t="str">
        <f>IF(B118&lt;=$Q$19,"Bajo",IF(B118&lt;=$Q$20,"Regular",IF(B118&lt;=$Q$21,"Alto",0)))</f>
        <v>0</v>
      </c>
      <c r="D118" t="str">
        <f>SUM('Inteligencia emocional'!J119:Q119)</f>
        <v>0</v>
      </c>
      <c r="E118" s="10" t="str">
        <f>IF(D118&lt;=$AC$19,"Bajo",IF(D118&lt;=$AC$20,"Regular",IF(D118&lt;=$AC$21,"Alto",0)))</f>
        <v>0</v>
      </c>
      <c r="F118" t="str">
        <f>SUM('Inteligencia emocional'!R119:Y119)</f>
        <v>0</v>
      </c>
      <c r="G118" s="10" t="str">
        <f>IF(F118&lt;=$AO$19,"Bajo",IF(F118&lt;=$AO$20,"Regular",IF(F118&lt;=$AO$21,"Alto",0)))</f>
        <v>0</v>
      </c>
      <c r="H118" t="str">
        <f>SUM(B118:F118)</f>
        <v>0</v>
      </c>
      <c r="I118" s="10" t="str">
        <f>IF(H118&lt;=$BA$19,"Bajo",IF(H118&lt;=$BA$20,"Regular",IF(H118&lt;=$BA$21,"Alto",0)))</f>
        <v>0</v>
      </c>
    </row>
    <row r="119" spans="1:61">
      <c r="A119" t="s">
        <v>145</v>
      </c>
      <c r="B119" t="str">
        <f>SUM('Inteligencia emocional'!B120:I120)</f>
        <v>0</v>
      </c>
      <c r="C119" s="10" t="str">
        <f>IF(B119&lt;=$Q$19,"Bajo",IF(B119&lt;=$Q$20,"Regular",IF(B119&lt;=$Q$21,"Alto",0)))</f>
        <v>0</v>
      </c>
      <c r="D119" t="str">
        <f>SUM('Inteligencia emocional'!J120:Q120)</f>
        <v>0</v>
      </c>
      <c r="E119" s="10" t="str">
        <f>IF(D119&lt;=$AC$19,"Bajo",IF(D119&lt;=$AC$20,"Regular",IF(D119&lt;=$AC$21,"Alto",0)))</f>
        <v>0</v>
      </c>
      <c r="F119" t="str">
        <f>SUM('Inteligencia emocional'!R120:Y120)</f>
        <v>0</v>
      </c>
      <c r="G119" s="10" t="str">
        <f>IF(F119&lt;=$AO$19,"Bajo",IF(F119&lt;=$AO$20,"Regular",IF(F119&lt;=$AO$21,"Alto",0)))</f>
        <v>0</v>
      </c>
      <c r="H119" t="str">
        <f>SUM(B119:F119)</f>
        <v>0</v>
      </c>
      <c r="I119" s="10" t="str">
        <f>IF(H119&lt;=$BA$19,"Bajo",IF(H119&lt;=$BA$20,"Regular",IF(H119&lt;=$BA$21,"Alto",0)))</f>
        <v>0</v>
      </c>
    </row>
    <row r="120" spans="1:61">
      <c r="A120" t="s">
        <v>146</v>
      </c>
      <c r="B120" t="str">
        <f>SUM('Inteligencia emocional'!B121:I121)</f>
        <v>0</v>
      </c>
      <c r="C120" s="10" t="str">
        <f>IF(B120&lt;=$Q$19,"Bajo",IF(B120&lt;=$Q$20,"Regular",IF(B120&lt;=$Q$21,"Alto",0)))</f>
        <v>0</v>
      </c>
      <c r="D120" t="str">
        <f>SUM('Inteligencia emocional'!J121:Q121)</f>
        <v>0</v>
      </c>
      <c r="E120" s="10" t="str">
        <f>IF(D120&lt;=$AC$19,"Bajo",IF(D120&lt;=$AC$20,"Regular",IF(D120&lt;=$AC$21,"Alto",0)))</f>
        <v>0</v>
      </c>
      <c r="F120" t="str">
        <f>SUM('Inteligencia emocional'!R121:Y121)</f>
        <v>0</v>
      </c>
      <c r="G120" s="10" t="str">
        <f>IF(F120&lt;=$AO$19,"Bajo",IF(F120&lt;=$AO$20,"Regular",IF(F120&lt;=$AO$21,"Alto",0)))</f>
        <v>0</v>
      </c>
      <c r="H120" t="str">
        <f>SUM(B120:F120)</f>
        <v>0</v>
      </c>
      <c r="I120" s="10" t="str">
        <f>IF(H120&lt;=$BA$19,"Bajo",IF(H120&lt;=$BA$20,"Regular",IF(H120&lt;=$BA$21,"Alto",0)))</f>
        <v>0</v>
      </c>
    </row>
    <row r="121" spans="1:61">
      <c r="A121" t="s">
        <v>147</v>
      </c>
      <c r="B121" t="str">
        <f>SUM('Inteligencia emocional'!B122:I122)</f>
        <v>0</v>
      </c>
      <c r="C121" s="10" t="str">
        <f>IF(B121&lt;=$Q$19,"Bajo",IF(B121&lt;=$Q$20,"Regular",IF(B121&lt;=$Q$21,"Alto",0)))</f>
        <v>0</v>
      </c>
      <c r="D121" t="str">
        <f>SUM('Inteligencia emocional'!J122:Q122)</f>
        <v>0</v>
      </c>
      <c r="E121" s="10" t="str">
        <f>IF(D121&lt;=$AC$19,"Bajo",IF(D121&lt;=$AC$20,"Regular",IF(D121&lt;=$AC$21,"Alto",0)))</f>
        <v>0</v>
      </c>
      <c r="F121" t="str">
        <f>SUM('Inteligencia emocional'!R122:Y122)</f>
        <v>0</v>
      </c>
      <c r="G121" s="10" t="str">
        <f>IF(F121&lt;=$AO$19,"Bajo",IF(F121&lt;=$AO$20,"Regular",IF(F121&lt;=$AO$21,"Alto",0)))</f>
        <v>0</v>
      </c>
      <c r="H121" t="str">
        <f>SUM(B121:F121)</f>
        <v>0</v>
      </c>
      <c r="I121" s="10" t="str">
        <f>IF(H121&lt;=$BA$19,"Bajo",IF(H121&lt;=$BA$20,"Regular",IF(H121&lt;=$BA$21,"Alto",0)))</f>
        <v>0</v>
      </c>
    </row>
    <row r="122" spans="1:61">
      <c r="A122" t="s">
        <v>148</v>
      </c>
      <c r="B122" t="str">
        <f>SUM('Inteligencia emocional'!B123:I123)</f>
        <v>0</v>
      </c>
      <c r="C122" s="10" t="str">
        <f>IF(B122&lt;=$Q$19,"Bajo",IF(B122&lt;=$Q$20,"Regular",IF(B122&lt;=$Q$21,"Alto",0)))</f>
        <v>0</v>
      </c>
      <c r="D122" t="str">
        <f>SUM('Inteligencia emocional'!J123:Q123)</f>
        <v>0</v>
      </c>
      <c r="E122" s="10" t="str">
        <f>IF(D122&lt;=$AC$19,"Bajo",IF(D122&lt;=$AC$20,"Regular",IF(D122&lt;=$AC$21,"Alto",0)))</f>
        <v>0</v>
      </c>
      <c r="F122" t="str">
        <f>SUM('Inteligencia emocional'!R123:Y123)</f>
        <v>0</v>
      </c>
      <c r="G122" s="10" t="str">
        <f>IF(F122&lt;=$AO$19,"Bajo",IF(F122&lt;=$AO$20,"Regular",IF(F122&lt;=$AO$21,"Alto",0)))</f>
        <v>0</v>
      </c>
      <c r="H122" t="str">
        <f>SUM(B122:F122)</f>
        <v>0</v>
      </c>
      <c r="I122" s="10" t="str">
        <f>IF(H122&lt;=$BA$19,"Bajo",IF(H122&lt;=$BA$20,"Regular",IF(H122&lt;=$BA$21,"Alto",0)))</f>
        <v>0</v>
      </c>
    </row>
    <row r="123" spans="1:61">
      <c r="A123" t="s">
        <v>149</v>
      </c>
      <c r="B123" t="str">
        <f>SUM('Inteligencia emocional'!B124:I124)</f>
        <v>0</v>
      </c>
      <c r="C123" s="10" t="str">
        <f>IF(B123&lt;=$Q$19,"Bajo",IF(B123&lt;=$Q$20,"Regular",IF(B123&lt;=$Q$21,"Alto",0)))</f>
        <v>0</v>
      </c>
      <c r="D123" t="str">
        <f>SUM('Inteligencia emocional'!J124:Q124)</f>
        <v>0</v>
      </c>
      <c r="E123" s="10" t="str">
        <f>IF(D123&lt;=$AC$19,"Bajo",IF(D123&lt;=$AC$20,"Regular",IF(D123&lt;=$AC$21,"Alto",0)))</f>
        <v>0</v>
      </c>
      <c r="F123" t="str">
        <f>SUM('Inteligencia emocional'!R124:Y124)</f>
        <v>0</v>
      </c>
      <c r="G123" s="10" t="str">
        <f>IF(F123&lt;=$AO$19,"Bajo",IF(F123&lt;=$AO$20,"Regular",IF(F123&lt;=$AO$21,"Alto",0)))</f>
        <v>0</v>
      </c>
      <c r="H123" t="str">
        <f>SUM(B123:F123)</f>
        <v>0</v>
      </c>
      <c r="I123" s="10" t="str">
        <f>IF(H123&lt;=$BA$19,"Bajo",IF(H123&lt;=$BA$20,"Regular",IF(H123&lt;=$BA$21,"Alto",0)))</f>
        <v>0</v>
      </c>
    </row>
    <row r="124" spans="1:61">
      <c r="A124" t="s">
        <v>150</v>
      </c>
      <c r="B124" t="str">
        <f>SUM('Inteligencia emocional'!B125:I125)</f>
        <v>0</v>
      </c>
      <c r="C124" s="10" t="str">
        <f>IF(B124&lt;=$Q$19,"Bajo",IF(B124&lt;=$Q$20,"Regular",IF(B124&lt;=$Q$21,"Alto",0)))</f>
        <v>0</v>
      </c>
      <c r="D124" t="str">
        <f>SUM('Inteligencia emocional'!J125:Q125)</f>
        <v>0</v>
      </c>
      <c r="E124" s="10" t="str">
        <f>IF(D124&lt;=$AC$19,"Bajo",IF(D124&lt;=$AC$20,"Regular",IF(D124&lt;=$AC$21,"Alto",0)))</f>
        <v>0</v>
      </c>
      <c r="F124" t="str">
        <f>SUM('Inteligencia emocional'!R125:Y125)</f>
        <v>0</v>
      </c>
      <c r="G124" s="10" t="str">
        <f>IF(F124&lt;=$AO$19,"Bajo",IF(F124&lt;=$AO$20,"Regular",IF(F124&lt;=$AO$21,"Alto",0)))</f>
        <v>0</v>
      </c>
      <c r="H124" t="str">
        <f>SUM(B124:F124)</f>
        <v>0</v>
      </c>
      <c r="I124" s="10" t="str">
        <f>IF(H124&lt;=$BA$19,"Bajo",IF(H124&lt;=$BA$20,"Regular",IF(H124&lt;=$BA$21,"Alto",0)))</f>
        <v>0</v>
      </c>
    </row>
    <row r="125" spans="1:61">
      <c r="A125" t="s">
        <v>151</v>
      </c>
      <c r="B125" t="str">
        <f>SUM('Inteligencia emocional'!B126:I126)</f>
        <v>0</v>
      </c>
      <c r="C125" s="10" t="str">
        <f>IF(B125&lt;=$Q$19,"Bajo",IF(B125&lt;=$Q$20,"Regular",IF(B125&lt;=$Q$21,"Alto",0)))</f>
        <v>0</v>
      </c>
      <c r="D125" t="str">
        <f>SUM('Inteligencia emocional'!J126:Q126)</f>
        <v>0</v>
      </c>
      <c r="E125" s="10" t="str">
        <f>IF(D125&lt;=$AC$19,"Bajo",IF(D125&lt;=$AC$20,"Regular",IF(D125&lt;=$AC$21,"Alto",0)))</f>
        <v>0</v>
      </c>
      <c r="F125" t="str">
        <f>SUM('Inteligencia emocional'!R126:Y126)</f>
        <v>0</v>
      </c>
      <c r="G125" s="10" t="str">
        <f>IF(F125&lt;=$AO$19,"Bajo",IF(F125&lt;=$AO$20,"Regular",IF(F125&lt;=$AO$21,"Alto",0)))</f>
        <v>0</v>
      </c>
      <c r="H125" t="str">
        <f>SUM(B125:F125)</f>
        <v>0</v>
      </c>
      <c r="I125" s="10" t="str">
        <f>IF(H125&lt;=$BA$19,"Bajo",IF(H125&lt;=$BA$20,"Regular",IF(H125&lt;=$BA$21,"Alto",0)))</f>
        <v>0</v>
      </c>
    </row>
    <row r="126" spans="1:61">
      <c r="A126" t="s">
        <v>152</v>
      </c>
      <c r="B126" t="str">
        <f>SUM('Inteligencia emocional'!B127:I127)</f>
        <v>0</v>
      </c>
      <c r="C126" s="10" t="str">
        <f>IF(B126&lt;=$Q$19,"Bajo",IF(B126&lt;=$Q$20,"Regular",IF(B126&lt;=$Q$21,"Alto",0)))</f>
        <v>0</v>
      </c>
      <c r="D126" t="str">
        <f>SUM('Inteligencia emocional'!J127:Q127)</f>
        <v>0</v>
      </c>
      <c r="E126" s="10" t="str">
        <f>IF(D126&lt;=$AC$19,"Bajo",IF(D126&lt;=$AC$20,"Regular",IF(D126&lt;=$AC$21,"Alto",0)))</f>
        <v>0</v>
      </c>
      <c r="F126" t="str">
        <f>SUM('Inteligencia emocional'!R127:Y127)</f>
        <v>0</v>
      </c>
      <c r="G126" s="10" t="str">
        <f>IF(F126&lt;=$AO$19,"Bajo",IF(F126&lt;=$AO$20,"Regular",IF(F126&lt;=$AO$21,"Alto",0)))</f>
        <v>0</v>
      </c>
      <c r="H126" t="str">
        <f>SUM(B126:F126)</f>
        <v>0</v>
      </c>
      <c r="I126" s="10" t="str">
        <f>IF(H126&lt;=$BA$19,"Bajo",IF(H126&lt;=$BA$20,"Regular",IF(H126&lt;=$BA$21,"Alto",0)))</f>
        <v>0</v>
      </c>
    </row>
    <row r="127" spans="1:61">
      <c r="A127" t="s">
        <v>153</v>
      </c>
      <c r="B127" t="str">
        <f>SUM('Inteligencia emocional'!B128:I128)</f>
        <v>0</v>
      </c>
      <c r="C127" s="10" t="str">
        <f>IF(B127&lt;=$Q$19,"Bajo",IF(B127&lt;=$Q$20,"Regular",IF(B127&lt;=$Q$21,"Alto",0)))</f>
        <v>0</v>
      </c>
      <c r="D127" t="str">
        <f>SUM('Inteligencia emocional'!J128:Q128)</f>
        <v>0</v>
      </c>
      <c r="E127" s="10" t="str">
        <f>IF(D127&lt;=$AC$19,"Bajo",IF(D127&lt;=$AC$20,"Regular",IF(D127&lt;=$AC$21,"Alto",0)))</f>
        <v>0</v>
      </c>
      <c r="F127" t="str">
        <f>SUM('Inteligencia emocional'!R128:Y128)</f>
        <v>0</v>
      </c>
      <c r="G127" s="10" t="str">
        <f>IF(F127&lt;=$AO$19,"Bajo",IF(F127&lt;=$AO$20,"Regular",IF(F127&lt;=$AO$21,"Alto",0)))</f>
        <v>0</v>
      </c>
      <c r="H127" t="str">
        <f>SUM(B127:F127)</f>
        <v>0</v>
      </c>
      <c r="I127" s="10" t="str">
        <f>IF(H127&lt;=$BA$19,"Bajo",IF(H127&lt;=$BA$20,"Regular",IF(H127&lt;=$BA$21,"Alto",0)))</f>
        <v>0</v>
      </c>
    </row>
    <row r="128" spans="1:61">
      <c r="A128" t="s">
        <v>154</v>
      </c>
      <c r="B128" t="str">
        <f>SUM('Inteligencia emocional'!B129:I129)</f>
        <v>0</v>
      </c>
      <c r="C128" s="10" t="str">
        <f>IF(B128&lt;=$Q$19,"Bajo",IF(B128&lt;=$Q$20,"Regular",IF(B128&lt;=$Q$21,"Alto",0)))</f>
        <v>0</v>
      </c>
      <c r="D128" t="str">
        <f>SUM('Inteligencia emocional'!J129:Q129)</f>
        <v>0</v>
      </c>
      <c r="E128" s="10" t="str">
        <f>IF(D128&lt;=$AC$19,"Bajo",IF(D128&lt;=$AC$20,"Regular",IF(D128&lt;=$AC$21,"Alto",0)))</f>
        <v>0</v>
      </c>
      <c r="F128" t="str">
        <f>SUM('Inteligencia emocional'!R129:Y129)</f>
        <v>0</v>
      </c>
      <c r="G128" s="10" t="str">
        <f>IF(F128&lt;=$AO$19,"Bajo",IF(F128&lt;=$AO$20,"Regular",IF(F128&lt;=$AO$21,"Alto",0)))</f>
        <v>0</v>
      </c>
      <c r="H128" t="str">
        <f>SUM(B128:F128)</f>
        <v>0</v>
      </c>
      <c r="I128" s="10" t="str">
        <f>IF(H128&lt;=$BA$19,"Bajo",IF(H128&lt;=$BA$20,"Regular",IF(H128&lt;=$BA$21,"Alto",0)))</f>
        <v>0</v>
      </c>
    </row>
    <row r="129" spans="1:61">
      <c r="A129" t="s">
        <v>155</v>
      </c>
      <c r="B129" t="str">
        <f>SUM('Inteligencia emocional'!B130:I130)</f>
        <v>0</v>
      </c>
      <c r="C129" s="10" t="str">
        <f>IF(B129&lt;=$Q$19,"Bajo",IF(B129&lt;=$Q$20,"Regular",IF(B129&lt;=$Q$21,"Alto",0)))</f>
        <v>0</v>
      </c>
      <c r="D129" t="str">
        <f>SUM('Inteligencia emocional'!J130:Q130)</f>
        <v>0</v>
      </c>
      <c r="E129" s="10" t="str">
        <f>IF(D129&lt;=$AC$19,"Bajo",IF(D129&lt;=$AC$20,"Regular",IF(D129&lt;=$AC$21,"Alto",0)))</f>
        <v>0</v>
      </c>
      <c r="F129" t="str">
        <f>SUM('Inteligencia emocional'!R130:Y130)</f>
        <v>0</v>
      </c>
      <c r="G129" s="10" t="str">
        <f>IF(F129&lt;=$AO$19,"Bajo",IF(F129&lt;=$AO$20,"Regular",IF(F129&lt;=$AO$21,"Alto",0)))</f>
        <v>0</v>
      </c>
      <c r="H129" t="str">
        <f>SUM(B129:F129)</f>
        <v>0</v>
      </c>
      <c r="I129" s="10" t="str">
        <f>IF(H129&lt;=$BA$19,"Bajo",IF(H129&lt;=$BA$20,"Regular",IF(H129&lt;=$BA$21,"Alto",0)))</f>
        <v>0</v>
      </c>
    </row>
    <row r="130" spans="1:61">
      <c r="A130" t="s">
        <v>156</v>
      </c>
      <c r="B130" t="str">
        <f>SUM('Inteligencia emocional'!B131:I131)</f>
        <v>0</v>
      </c>
      <c r="C130" s="10" t="str">
        <f>IF(B130&lt;=$Q$19,"Bajo",IF(B130&lt;=$Q$20,"Regular",IF(B130&lt;=$Q$21,"Alto",0)))</f>
        <v>0</v>
      </c>
      <c r="D130" t="str">
        <f>SUM('Inteligencia emocional'!J131:Q131)</f>
        <v>0</v>
      </c>
      <c r="E130" s="10" t="str">
        <f>IF(D130&lt;=$AC$19,"Bajo",IF(D130&lt;=$AC$20,"Regular",IF(D130&lt;=$AC$21,"Alto",0)))</f>
        <v>0</v>
      </c>
      <c r="F130" t="str">
        <f>SUM('Inteligencia emocional'!R131:Y131)</f>
        <v>0</v>
      </c>
      <c r="G130" s="10" t="str">
        <f>IF(F130&lt;=$AO$19,"Bajo",IF(F130&lt;=$AO$20,"Regular",IF(F130&lt;=$AO$21,"Alto",0)))</f>
        <v>0</v>
      </c>
      <c r="H130" t="str">
        <f>SUM(B130:F130)</f>
        <v>0</v>
      </c>
      <c r="I130" s="10" t="str">
        <f>IF(H130&lt;=$BA$19,"Bajo",IF(H130&lt;=$BA$20,"Regular",IF(H130&lt;=$BA$21,"Alto",0)))</f>
        <v>0</v>
      </c>
    </row>
    <row r="131" spans="1:61">
      <c r="A131" t="s">
        <v>157</v>
      </c>
      <c r="B131" t="str">
        <f>SUM('Inteligencia emocional'!B132:I132)</f>
        <v>0</v>
      </c>
      <c r="C131" s="10" t="str">
        <f>IF(B131&lt;=$Q$19,"Bajo",IF(B131&lt;=$Q$20,"Regular",IF(B131&lt;=$Q$21,"Alto",0)))</f>
        <v>0</v>
      </c>
      <c r="D131" t="str">
        <f>SUM('Inteligencia emocional'!J132:Q132)</f>
        <v>0</v>
      </c>
      <c r="E131" s="10" t="str">
        <f>IF(D131&lt;=$AC$19,"Bajo",IF(D131&lt;=$AC$20,"Regular",IF(D131&lt;=$AC$21,"Alto",0)))</f>
        <v>0</v>
      </c>
      <c r="F131" t="str">
        <f>SUM('Inteligencia emocional'!R132:Y132)</f>
        <v>0</v>
      </c>
      <c r="G131" s="10" t="str">
        <f>IF(F131&lt;=$AO$19,"Bajo",IF(F131&lt;=$AO$20,"Regular",IF(F131&lt;=$AO$21,"Alto",0)))</f>
        <v>0</v>
      </c>
      <c r="H131" t="str">
        <f>SUM(B131:F131)</f>
        <v>0</v>
      </c>
      <c r="I131" s="10" t="str">
        <f>IF(H131&lt;=$BA$19,"Bajo",IF(H131&lt;=$BA$20,"Regular",IF(H131&lt;=$BA$21,"Alto",0)))</f>
        <v>0</v>
      </c>
    </row>
    <row r="132" spans="1:61">
      <c r="A132" t="s">
        <v>158</v>
      </c>
      <c r="B132" t="str">
        <f>SUM('Inteligencia emocional'!B133:I133)</f>
        <v>0</v>
      </c>
      <c r="C132" s="10" t="str">
        <f>IF(B132&lt;=$Q$19,"Bajo",IF(B132&lt;=$Q$20,"Regular",IF(B132&lt;=$Q$21,"Alto",0)))</f>
        <v>0</v>
      </c>
      <c r="D132" t="str">
        <f>SUM('Inteligencia emocional'!J133:Q133)</f>
        <v>0</v>
      </c>
      <c r="E132" s="10" t="str">
        <f>IF(D132&lt;=$AC$19,"Bajo",IF(D132&lt;=$AC$20,"Regular",IF(D132&lt;=$AC$21,"Alto",0)))</f>
        <v>0</v>
      </c>
      <c r="F132" t="str">
        <f>SUM('Inteligencia emocional'!R133:Y133)</f>
        <v>0</v>
      </c>
      <c r="G132" s="10" t="str">
        <f>IF(F132&lt;=$AO$19,"Bajo",IF(F132&lt;=$AO$20,"Regular",IF(F132&lt;=$AO$21,"Alto",0)))</f>
        <v>0</v>
      </c>
      <c r="H132" t="str">
        <f>SUM(B132:F132)</f>
        <v>0</v>
      </c>
      <c r="I132" s="10" t="str">
        <f>IF(H132&lt;=$BA$19,"Bajo",IF(H132&lt;=$BA$20,"Regular",IF(H132&lt;=$BA$21,"Alto",0)))</f>
        <v>0</v>
      </c>
    </row>
    <row r="133" spans="1:61">
      <c r="A133" t="s">
        <v>159</v>
      </c>
      <c r="B133" t="str">
        <f>SUM('Inteligencia emocional'!B134:I134)</f>
        <v>0</v>
      </c>
      <c r="C133" s="10" t="str">
        <f>IF(B133&lt;=$Q$19,"Bajo",IF(B133&lt;=$Q$20,"Regular",IF(B133&lt;=$Q$21,"Alto",0)))</f>
        <v>0</v>
      </c>
      <c r="D133" t="str">
        <f>SUM('Inteligencia emocional'!J134:Q134)</f>
        <v>0</v>
      </c>
      <c r="E133" s="10" t="str">
        <f>IF(D133&lt;=$AC$19,"Bajo",IF(D133&lt;=$AC$20,"Regular",IF(D133&lt;=$AC$21,"Alto",0)))</f>
        <v>0</v>
      </c>
      <c r="F133" t="str">
        <f>SUM('Inteligencia emocional'!R134:Y134)</f>
        <v>0</v>
      </c>
      <c r="G133" s="10" t="str">
        <f>IF(F133&lt;=$AO$19,"Bajo",IF(F133&lt;=$AO$20,"Regular",IF(F133&lt;=$AO$21,"Alto",0)))</f>
        <v>0</v>
      </c>
      <c r="H133" t="str">
        <f>SUM(B133:F133)</f>
        <v>0</v>
      </c>
      <c r="I133" s="10" t="str">
        <f>IF(H133&lt;=$BA$19,"Bajo",IF(H133&lt;=$BA$20,"Regular",IF(H133&lt;=$BA$21,"Alto",0)))</f>
        <v>0</v>
      </c>
    </row>
    <row r="134" spans="1:61">
      <c r="A134" t="s">
        <v>160</v>
      </c>
      <c r="B134" t="str">
        <f>SUM('Inteligencia emocional'!B135:I135)</f>
        <v>0</v>
      </c>
      <c r="C134" s="10" t="str">
        <f>IF(B134&lt;=$Q$19,"Bajo",IF(B134&lt;=$Q$20,"Regular",IF(B134&lt;=$Q$21,"Alto",0)))</f>
        <v>0</v>
      </c>
      <c r="D134" t="str">
        <f>SUM('Inteligencia emocional'!J135:Q135)</f>
        <v>0</v>
      </c>
      <c r="E134" s="10" t="str">
        <f>IF(D134&lt;=$AC$19,"Bajo",IF(D134&lt;=$AC$20,"Regular",IF(D134&lt;=$AC$21,"Alto",0)))</f>
        <v>0</v>
      </c>
      <c r="F134" t="str">
        <f>SUM('Inteligencia emocional'!R135:Y135)</f>
        <v>0</v>
      </c>
      <c r="G134" s="10" t="str">
        <f>IF(F134&lt;=$AO$19,"Bajo",IF(F134&lt;=$AO$20,"Regular",IF(F134&lt;=$AO$21,"Alto",0)))</f>
        <v>0</v>
      </c>
      <c r="H134" t="str">
        <f>SUM(B134:F134)</f>
        <v>0</v>
      </c>
      <c r="I134" s="10" t="str">
        <f>IF(H134&lt;=$BA$19,"Bajo",IF(H134&lt;=$BA$20,"Regular",IF(H134&lt;=$BA$21,"Alto",0)))</f>
        <v>0</v>
      </c>
    </row>
    <row r="135" spans="1:61">
      <c r="A135" t="s">
        <v>161</v>
      </c>
      <c r="B135" t="str">
        <f>SUM('Inteligencia emocional'!B136:I136)</f>
        <v>0</v>
      </c>
      <c r="C135" s="10" t="str">
        <f>IF(B135&lt;=$Q$19,"Bajo",IF(B135&lt;=$Q$20,"Regular",IF(B135&lt;=$Q$21,"Alto",0)))</f>
        <v>0</v>
      </c>
      <c r="D135" t="str">
        <f>SUM('Inteligencia emocional'!J136:Q136)</f>
        <v>0</v>
      </c>
      <c r="E135" s="10" t="str">
        <f>IF(D135&lt;=$AC$19,"Bajo",IF(D135&lt;=$AC$20,"Regular",IF(D135&lt;=$AC$21,"Alto",0)))</f>
        <v>0</v>
      </c>
      <c r="F135" t="str">
        <f>SUM('Inteligencia emocional'!R136:Y136)</f>
        <v>0</v>
      </c>
      <c r="G135" s="10" t="str">
        <f>IF(F135&lt;=$AO$19,"Bajo",IF(F135&lt;=$AO$20,"Regular",IF(F135&lt;=$AO$21,"Alto",0)))</f>
        <v>0</v>
      </c>
      <c r="H135" t="str">
        <f>SUM(B135:F135)</f>
        <v>0</v>
      </c>
      <c r="I135" s="10" t="str">
        <f>IF(H135&lt;=$BA$19,"Bajo",IF(H135&lt;=$BA$20,"Regular",IF(H135&lt;=$BA$21,"Alto",0)))</f>
        <v>0</v>
      </c>
    </row>
    <row r="136" spans="1:61">
      <c r="A136" t="s">
        <v>162</v>
      </c>
      <c r="B136" t="str">
        <f>SUM('Inteligencia emocional'!B137:I137)</f>
        <v>0</v>
      </c>
      <c r="C136" s="10" t="str">
        <f>IF(B136&lt;=$Q$19,"Bajo",IF(B136&lt;=$Q$20,"Regular",IF(B136&lt;=$Q$21,"Alto",0)))</f>
        <v>0</v>
      </c>
      <c r="D136" t="str">
        <f>SUM('Inteligencia emocional'!J137:Q137)</f>
        <v>0</v>
      </c>
      <c r="E136" s="10" t="str">
        <f>IF(D136&lt;=$AC$19,"Bajo",IF(D136&lt;=$AC$20,"Regular",IF(D136&lt;=$AC$21,"Alto",0)))</f>
        <v>0</v>
      </c>
      <c r="F136" t="str">
        <f>SUM('Inteligencia emocional'!R137:Y137)</f>
        <v>0</v>
      </c>
      <c r="G136" s="10" t="str">
        <f>IF(F136&lt;=$AO$19,"Bajo",IF(F136&lt;=$AO$20,"Regular",IF(F136&lt;=$AO$21,"Alto",0)))</f>
        <v>0</v>
      </c>
      <c r="H136" t="str">
        <f>SUM(B136:F136)</f>
        <v>0</v>
      </c>
      <c r="I136" s="10" t="str">
        <f>IF(H136&lt;=$BA$19,"Bajo",IF(H136&lt;=$BA$20,"Regular",IF(H136&lt;=$BA$21,"Alto",0)))</f>
        <v>0</v>
      </c>
    </row>
    <row r="137" spans="1:61">
      <c r="A137" t="s">
        <v>163</v>
      </c>
      <c r="B137" t="str">
        <f>SUM('Inteligencia emocional'!B138:I138)</f>
        <v>0</v>
      </c>
      <c r="C137" s="10" t="str">
        <f>IF(B137&lt;=$Q$19,"Bajo",IF(B137&lt;=$Q$20,"Regular",IF(B137&lt;=$Q$21,"Alto",0)))</f>
        <v>0</v>
      </c>
      <c r="D137" t="str">
        <f>SUM('Inteligencia emocional'!J138:Q138)</f>
        <v>0</v>
      </c>
      <c r="E137" s="10" t="str">
        <f>IF(D137&lt;=$AC$19,"Bajo",IF(D137&lt;=$AC$20,"Regular",IF(D137&lt;=$AC$21,"Alto",0)))</f>
        <v>0</v>
      </c>
      <c r="F137" t="str">
        <f>SUM('Inteligencia emocional'!R138:Y138)</f>
        <v>0</v>
      </c>
      <c r="G137" s="10" t="str">
        <f>IF(F137&lt;=$AO$19,"Bajo",IF(F137&lt;=$AO$20,"Regular",IF(F137&lt;=$AO$21,"Alto",0)))</f>
        <v>0</v>
      </c>
      <c r="H137" t="str">
        <f>SUM(B137:F137)</f>
        <v>0</v>
      </c>
      <c r="I137" s="10" t="str">
        <f>IF(H137&lt;=$BA$19,"Bajo",IF(H137&lt;=$BA$20,"Regular",IF(H137&lt;=$BA$21,"Alto",0)))</f>
        <v>0</v>
      </c>
    </row>
    <row r="138" spans="1:61">
      <c r="A138" t="s">
        <v>164</v>
      </c>
      <c r="B138" t="str">
        <f>SUM('Inteligencia emocional'!B139:I139)</f>
        <v>0</v>
      </c>
      <c r="C138" s="10" t="str">
        <f>IF(B138&lt;=$Q$19,"Bajo",IF(B138&lt;=$Q$20,"Regular",IF(B138&lt;=$Q$21,"Alto",0)))</f>
        <v>0</v>
      </c>
      <c r="D138" t="str">
        <f>SUM('Inteligencia emocional'!J139:Q139)</f>
        <v>0</v>
      </c>
      <c r="E138" s="10" t="str">
        <f>IF(D138&lt;=$AC$19,"Bajo",IF(D138&lt;=$AC$20,"Regular",IF(D138&lt;=$AC$21,"Alto",0)))</f>
        <v>0</v>
      </c>
      <c r="F138" t="str">
        <f>SUM('Inteligencia emocional'!R139:Y139)</f>
        <v>0</v>
      </c>
      <c r="G138" s="10" t="str">
        <f>IF(F138&lt;=$AO$19,"Bajo",IF(F138&lt;=$AO$20,"Regular",IF(F138&lt;=$AO$21,"Alto",0)))</f>
        <v>0</v>
      </c>
      <c r="H138" t="str">
        <f>SUM(B138:F138)</f>
        <v>0</v>
      </c>
      <c r="I138" s="10" t="str">
        <f>IF(H138&lt;=$BA$19,"Bajo",IF(H138&lt;=$BA$20,"Regular",IF(H138&lt;=$BA$21,"Alto",0)))</f>
        <v>0</v>
      </c>
    </row>
    <row r="139" spans="1:61">
      <c r="A139" t="s">
        <v>165</v>
      </c>
      <c r="B139" t="str">
        <f>SUM('Inteligencia emocional'!B140:I140)</f>
        <v>0</v>
      </c>
      <c r="C139" s="10" t="str">
        <f>IF(B139&lt;=$Q$19,"Bajo",IF(B139&lt;=$Q$20,"Regular",IF(B139&lt;=$Q$21,"Alto",0)))</f>
        <v>0</v>
      </c>
      <c r="D139" t="str">
        <f>SUM('Inteligencia emocional'!J140:Q140)</f>
        <v>0</v>
      </c>
      <c r="E139" s="10" t="str">
        <f>IF(D139&lt;=$AC$19,"Bajo",IF(D139&lt;=$AC$20,"Regular",IF(D139&lt;=$AC$21,"Alto",0)))</f>
        <v>0</v>
      </c>
      <c r="F139" t="str">
        <f>SUM('Inteligencia emocional'!R140:Y140)</f>
        <v>0</v>
      </c>
      <c r="G139" s="10" t="str">
        <f>IF(F139&lt;=$AO$19,"Bajo",IF(F139&lt;=$AO$20,"Regular",IF(F139&lt;=$AO$21,"Alto",0)))</f>
        <v>0</v>
      </c>
      <c r="H139" t="str">
        <f>SUM(B139:F139)</f>
        <v>0</v>
      </c>
      <c r="I139" s="10" t="str">
        <f>IF(H139&lt;=$BA$19,"Bajo",IF(H139&lt;=$BA$20,"Regular",IF(H139&lt;=$BA$21,"Alto",0)))</f>
        <v>0</v>
      </c>
    </row>
    <row r="140" spans="1:61">
      <c r="A140" t="s">
        <v>166</v>
      </c>
      <c r="B140" t="str">
        <f>SUM('Inteligencia emocional'!B141:I141)</f>
        <v>0</v>
      </c>
      <c r="C140" s="10" t="str">
        <f>IF(B140&lt;=$Q$19,"Bajo",IF(B140&lt;=$Q$20,"Regular",IF(B140&lt;=$Q$21,"Alto",0)))</f>
        <v>0</v>
      </c>
      <c r="D140" t="str">
        <f>SUM('Inteligencia emocional'!J141:Q141)</f>
        <v>0</v>
      </c>
      <c r="E140" s="10" t="str">
        <f>IF(D140&lt;=$AC$19,"Bajo",IF(D140&lt;=$AC$20,"Regular",IF(D140&lt;=$AC$21,"Alto",0)))</f>
        <v>0</v>
      </c>
      <c r="F140" t="str">
        <f>SUM('Inteligencia emocional'!R141:Y141)</f>
        <v>0</v>
      </c>
      <c r="G140" s="10" t="str">
        <f>IF(F140&lt;=$AO$19,"Bajo",IF(F140&lt;=$AO$20,"Regular",IF(F140&lt;=$AO$21,"Alto",0)))</f>
        <v>0</v>
      </c>
      <c r="H140" t="str">
        <f>SUM(B140:F140)</f>
        <v>0</v>
      </c>
      <c r="I140" s="10" t="str">
        <f>IF(H140&lt;=$BA$19,"Bajo",IF(H140&lt;=$BA$20,"Regular",IF(H140&lt;=$BA$21,"Alto",0)))</f>
        <v>0</v>
      </c>
    </row>
    <row r="141" spans="1:61">
      <c r="A141" t="s">
        <v>167</v>
      </c>
      <c r="B141" t="str">
        <f>SUM('Inteligencia emocional'!B142:I142)</f>
        <v>0</v>
      </c>
      <c r="C141" s="10" t="str">
        <f>IF(B141&lt;=$Q$19,"Bajo",IF(B141&lt;=$Q$20,"Regular",IF(B141&lt;=$Q$21,"Alto",0)))</f>
        <v>0</v>
      </c>
      <c r="D141" t="str">
        <f>SUM('Inteligencia emocional'!J142:Q142)</f>
        <v>0</v>
      </c>
      <c r="E141" s="10" t="str">
        <f>IF(D141&lt;=$AC$19,"Bajo",IF(D141&lt;=$AC$20,"Regular",IF(D141&lt;=$AC$21,"Alto",0)))</f>
        <v>0</v>
      </c>
      <c r="F141" t="str">
        <f>SUM('Inteligencia emocional'!R142:Y142)</f>
        <v>0</v>
      </c>
      <c r="G141" s="10" t="str">
        <f>IF(F141&lt;=$AO$19,"Bajo",IF(F141&lt;=$AO$20,"Regular",IF(F141&lt;=$AO$21,"Alto",0)))</f>
        <v>0</v>
      </c>
      <c r="H141" t="str">
        <f>SUM(B141:F141)</f>
        <v>0</v>
      </c>
      <c r="I141" s="10" t="str">
        <f>IF(H141&lt;=$BA$19,"Bajo",IF(H141&lt;=$BA$20,"Regular",IF(H141&lt;=$BA$21,"Alto",0)))</f>
        <v>0</v>
      </c>
    </row>
    <row r="142" spans="1:61">
      <c r="A142" t="s">
        <v>168</v>
      </c>
      <c r="B142" t="str">
        <f>SUM('Inteligencia emocional'!B143:I143)</f>
        <v>0</v>
      </c>
      <c r="C142" s="10" t="str">
        <f>IF(B142&lt;=$Q$19,"Bajo",IF(B142&lt;=$Q$20,"Regular",IF(B142&lt;=$Q$21,"Alto",0)))</f>
        <v>0</v>
      </c>
      <c r="D142" t="str">
        <f>SUM('Inteligencia emocional'!J143:Q143)</f>
        <v>0</v>
      </c>
      <c r="E142" s="10" t="str">
        <f>IF(D142&lt;=$AC$19,"Bajo",IF(D142&lt;=$AC$20,"Regular",IF(D142&lt;=$AC$21,"Alto",0)))</f>
        <v>0</v>
      </c>
      <c r="F142" t="str">
        <f>SUM('Inteligencia emocional'!R143:Y143)</f>
        <v>0</v>
      </c>
      <c r="G142" s="10" t="str">
        <f>IF(F142&lt;=$AO$19,"Bajo",IF(F142&lt;=$AO$20,"Regular",IF(F142&lt;=$AO$21,"Alto",0)))</f>
        <v>0</v>
      </c>
      <c r="H142" t="str">
        <f>SUM(B142:F142)</f>
        <v>0</v>
      </c>
      <c r="I142" s="10" t="str">
        <f>IF(H142&lt;=$BA$19,"Bajo",IF(H142&lt;=$BA$20,"Regular",IF(H142&lt;=$BA$21,"Alto",0)))</f>
        <v>0</v>
      </c>
    </row>
    <row r="143" spans="1:61">
      <c r="A143" t="s">
        <v>169</v>
      </c>
      <c r="B143" t="str">
        <f>SUM('Inteligencia emocional'!B144:I144)</f>
        <v>0</v>
      </c>
      <c r="C143" s="10" t="str">
        <f>IF(B143&lt;=$Q$19,"Bajo",IF(B143&lt;=$Q$20,"Regular",IF(B143&lt;=$Q$21,"Alto",0)))</f>
        <v>0</v>
      </c>
      <c r="D143" t="str">
        <f>SUM('Inteligencia emocional'!J144:Q144)</f>
        <v>0</v>
      </c>
      <c r="E143" s="10" t="str">
        <f>IF(D143&lt;=$AC$19,"Bajo",IF(D143&lt;=$AC$20,"Regular",IF(D143&lt;=$AC$21,"Alto",0)))</f>
        <v>0</v>
      </c>
      <c r="F143" t="str">
        <f>SUM('Inteligencia emocional'!R144:Y144)</f>
        <v>0</v>
      </c>
      <c r="G143" s="10" t="str">
        <f>IF(F143&lt;=$AO$19,"Bajo",IF(F143&lt;=$AO$20,"Regular",IF(F143&lt;=$AO$21,"Alto",0)))</f>
        <v>0</v>
      </c>
      <c r="H143" t="str">
        <f>SUM(B143:F143)</f>
        <v>0</v>
      </c>
      <c r="I143" s="10" t="str">
        <f>IF(H143&lt;=$BA$19,"Bajo",IF(H143&lt;=$BA$20,"Regular",IF(H143&lt;=$BA$21,"Alto",0)))</f>
        <v>0</v>
      </c>
    </row>
    <row r="144" spans="1:61">
      <c r="A144" t="s">
        <v>170</v>
      </c>
      <c r="B144" t="str">
        <f>SUM('Inteligencia emocional'!B145:I145)</f>
        <v>0</v>
      </c>
      <c r="C144" s="10" t="str">
        <f>IF(B144&lt;=$Q$19,"Bajo",IF(B144&lt;=$Q$20,"Regular",IF(B144&lt;=$Q$21,"Alto",0)))</f>
        <v>0</v>
      </c>
      <c r="D144" t="str">
        <f>SUM('Inteligencia emocional'!J145:Q145)</f>
        <v>0</v>
      </c>
      <c r="E144" s="10" t="str">
        <f>IF(D144&lt;=$AC$19,"Bajo",IF(D144&lt;=$AC$20,"Regular",IF(D144&lt;=$AC$21,"Alto",0)))</f>
        <v>0</v>
      </c>
      <c r="F144" t="str">
        <f>SUM('Inteligencia emocional'!R145:Y145)</f>
        <v>0</v>
      </c>
      <c r="G144" s="10" t="str">
        <f>IF(F144&lt;=$AO$19,"Bajo",IF(F144&lt;=$AO$20,"Regular",IF(F144&lt;=$AO$21,"Alto",0)))</f>
        <v>0</v>
      </c>
      <c r="H144" t="str">
        <f>SUM(B144:F144)</f>
        <v>0</v>
      </c>
      <c r="I144" s="10" t="str">
        <f>IF(H144&lt;=$BA$19,"Bajo",IF(H144&lt;=$BA$20,"Regular",IF(H144&lt;=$BA$21,"Alto",0)))</f>
        <v>0</v>
      </c>
    </row>
    <row r="145" spans="1:61">
      <c r="A145" t="s">
        <v>171</v>
      </c>
      <c r="B145" t="str">
        <f>SUM('Inteligencia emocional'!B146:I146)</f>
        <v>0</v>
      </c>
      <c r="C145" s="10" t="str">
        <f>IF(B145&lt;=$Q$19,"Bajo",IF(B145&lt;=$Q$20,"Regular",IF(B145&lt;=$Q$21,"Alto",0)))</f>
        <v>0</v>
      </c>
      <c r="D145" t="str">
        <f>SUM('Inteligencia emocional'!J146:Q146)</f>
        <v>0</v>
      </c>
      <c r="E145" s="10" t="str">
        <f>IF(D145&lt;=$AC$19,"Bajo",IF(D145&lt;=$AC$20,"Regular",IF(D145&lt;=$AC$21,"Alto",0)))</f>
        <v>0</v>
      </c>
      <c r="F145" t="str">
        <f>SUM('Inteligencia emocional'!R146:Y146)</f>
        <v>0</v>
      </c>
      <c r="G145" s="10" t="str">
        <f>IF(F145&lt;=$AO$19,"Bajo",IF(F145&lt;=$AO$20,"Regular",IF(F145&lt;=$AO$21,"Alto",0)))</f>
        <v>0</v>
      </c>
      <c r="H145" t="str">
        <f>SUM(B145:F145)</f>
        <v>0</v>
      </c>
      <c r="I145" s="10" t="str">
        <f>IF(H145&lt;=$BA$19,"Bajo",IF(H145&lt;=$BA$20,"Regular",IF(H145&lt;=$BA$21,"Alto",0)))</f>
        <v>0</v>
      </c>
    </row>
    <row r="146" spans="1:61">
      <c r="A146" t="s">
        <v>172</v>
      </c>
      <c r="B146" t="str">
        <f>SUM('Inteligencia emocional'!B147:I147)</f>
        <v>0</v>
      </c>
      <c r="C146" s="10" t="str">
        <f>IF(B146&lt;=$Q$19,"Bajo",IF(B146&lt;=$Q$20,"Regular",IF(B146&lt;=$Q$21,"Alto",0)))</f>
        <v>0</v>
      </c>
      <c r="D146" t="str">
        <f>SUM('Inteligencia emocional'!J147:Q147)</f>
        <v>0</v>
      </c>
      <c r="E146" s="10" t="str">
        <f>IF(D146&lt;=$AC$19,"Bajo",IF(D146&lt;=$AC$20,"Regular",IF(D146&lt;=$AC$21,"Alto",0)))</f>
        <v>0</v>
      </c>
      <c r="F146" t="str">
        <f>SUM('Inteligencia emocional'!R147:Y147)</f>
        <v>0</v>
      </c>
      <c r="G146" s="10" t="str">
        <f>IF(F146&lt;=$AO$19,"Bajo",IF(F146&lt;=$AO$20,"Regular",IF(F146&lt;=$AO$21,"Alto",0)))</f>
        <v>0</v>
      </c>
      <c r="H146" t="str">
        <f>SUM(B146:F146)</f>
        <v>0</v>
      </c>
      <c r="I146" s="10" t="str">
        <f>IF(H146&lt;=$BA$19,"Bajo",IF(H146&lt;=$BA$20,"Regular",IF(H146&lt;=$BA$21,"Alto",0)))</f>
        <v>0</v>
      </c>
    </row>
    <row r="147" spans="1:61">
      <c r="A147" t="s">
        <v>173</v>
      </c>
      <c r="B147" t="str">
        <f>SUM('Inteligencia emocional'!B148:I148)</f>
        <v>0</v>
      </c>
      <c r="C147" s="10" t="str">
        <f>IF(B147&lt;=$Q$19,"Bajo",IF(B147&lt;=$Q$20,"Regular",IF(B147&lt;=$Q$21,"Alto",0)))</f>
        <v>0</v>
      </c>
      <c r="D147" t="str">
        <f>SUM('Inteligencia emocional'!J148:Q148)</f>
        <v>0</v>
      </c>
      <c r="E147" s="10" t="str">
        <f>IF(D147&lt;=$AC$19,"Bajo",IF(D147&lt;=$AC$20,"Regular",IF(D147&lt;=$AC$21,"Alto",0)))</f>
        <v>0</v>
      </c>
      <c r="F147" t="str">
        <f>SUM('Inteligencia emocional'!R148:Y148)</f>
        <v>0</v>
      </c>
      <c r="G147" s="10" t="str">
        <f>IF(F147&lt;=$AO$19,"Bajo",IF(F147&lt;=$AO$20,"Regular",IF(F147&lt;=$AO$21,"Alto",0)))</f>
        <v>0</v>
      </c>
      <c r="H147" t="str">
        <f>SUM(B147:F147)</f>
        <v>0</v>
      </c>
      <c r="I147" s="10" t="str">
        <f>IF(H147&lt;=$BA$19,"Bajo",IF(H147&lt;=$BA$20,"Regular",IF(H147&lt;=$BA$21,"Alto",0)))</f>
        <v>0</v>
      </c>
    </row>
    <row r="148" spans="1:61">
      <c r="A148" t="s">
        <v>174</v>
      </c>
      <c r="B148" t="str">
        <f>SUM('Inteligencia emocional'!B149:I149)</f>
        <v>0</v>
      </c>
      <c r="C148" s="10" t="str">
        <f>IF(B148&lt;=$Q$19,"Bajo",IF(B148&lt;=$Q$20,"Regular",IF(B148&lt;=$Q$21,"Alto",0)))</f>
        <v>0</v>
      </c>
      <c r="D148" t="str">
        <f>SUM('Inteligencia emocional'!J149:Q149)</f>
        <v>0</v>
      </c>
      <c r="E148" s="10" t="str">
        <f>IF(D148&lt;=$AC$19,"Bajo",IF(D148&lt;=$AC$20,"Regular",IF(D148&lt;=$AC$21,"Alto",0)))</f>
        <v>0</v>
      </c>
      <c r="F148" t="str">
        <f>SUM('Inteligencia emocional'!R149:Y149)</f>
        <v>0</v>
      </c>
      <c r="G148" s="10" t="str">
        <f>IF(F148&lt;=$AO$19,"Bajo",IF(F148&lt;=$AO$20,"Regular",IF(F148&lt;=$AO$21,"Alto",0)))</f>
        <v>0</v>
      </c>
      <c r="H148" t="str">
        <f>SUM(B148:F148)</f>
        <v>0</v>
      </c>
      <c r="I148" s="10" t="str">
        <f>IF(H148&lt;=$BA$19,"Bajo",IF(H148&lt;=$BA$20,"Regular",IF(H148&lt;=$BA$21,"Alto",0)))</f>
        <v>0</v>
      </c>
    </row>
    <row r="149" spans="1:61">
      <c r="A149" t="s">
        <v>175</v>
      </c>
      <c r="B149" t="str">
        <f>SUM('Inteligencia emocional'!B150:I150)</f>
        <v>0</v>
      </c>
      <c r="C149" s="10" t="str">
        <f>IF(B149&lt;=$Q$19,"Bajo",IF(B149&lt;=$Q$20,"Regular",IF(B149&lt;=$Q$21,"Alto",0)))</f>
        <v>0</v>
      </c>
      <c r="D149" t="str">
        <f>SUM('Inteligencia emocional'!J150:Q150)</f>
        <v>0</v>
      </c>
      <c r="E149" s="10" t="str">
        <f>IF(D149&lt;=$AC$19,"Bajo",IF(D149&lt;=$AC$20,"Regular",IF(D149&lt;=$AC$21,"Alto",0)))</f>
        <v>0</v>
      </c>
      <c r="F149" t="str">
        <f>SUM('Inteligencia emocional'!R150:Y150)</f>
        <v>0</v>
      </c>
      <c r="G149" s="10" t="str">
        <f>IF(F149&lt;=$AO$19,"Bajo",IF(F149&lt;=$AO$20,"Regular",IF(F149&lt;=$AO$21,"Alto",0)))</f>
        <v>0</v>
      </c>
      <c r="H149" t="str">
        <f>SUM(B149:F149)</f>
        <v>0</v>
      </c>
      <c r="I149" s="10" t="str">
        <f>IF(H149&lt;=$BA$19,"Bajo",IF(H149&lt;=$BA$20,"Regular",IF(H149&lt;=$BA$21,"Alto",0)))</f>
        <v>0</v>
      </c>
    </row>
    <row r="150" spans="1:61">
      <c r="A150" t="s">
        <v>176</v>
      </c>
      <c r="B150" t="str">
        <f>SUM('Inteligencia emocional'!B151:I151)</f>
        <v>0</v>
      </c>
      <c r="C150" s="10" t="str">
        <f>IF(B150&lt;=$Q$19,"Bajo",IF(B150&lt;=$Q$20,"Regular",IF(B150&lt;=$Q$21,"Alto",0)))</f>
        <v>0</v>
      </c>
      <c r="D150" t="str">
        <f>SUM('Inteligencia emocional'!J151:Q151)</f>
        <v>0</v>
      </c>
      <c r="E150" s="10" t="str">
        <f>IF(D150&lt;=$AC$19,"Bajo",IF(D150&lt;=$AC$20,"Regular",IF(D150&lt;=$AC$21,"Alto",0)))</f>
        <v>0</v>
      </c>
      <c r="F150" t="str">
        <f>SUM('Inteligencia emocional'!R151:Y151)</f>
        <v>0</v>
      </c>
      <c r="G150" s="10" t="str">
        <f>IF(F150&lt;=$AO$19,"Bajo",IF(F150&lt;=$AO$20,"Regular",IF(F150&lt;=$AO$21,"Alto",0)))</f>
        <v>0</v>
      </c>
      <c r="H150" t="str">
        <f>SUM(B150:F150)</f>
        <v>0</v>
      </c>
      <c r="I150" s="10" t="str">
        <f>IF(H150&lt;=$BA$19,"Bajo",IF(H150&lt;=$BA$20,"Regular",IF(H150&lt;=$BA$21,"Alto",0)))</f>
        <v>0</v>
      </c>
    </row>
    <row r="151" spans="1:61">
      <c r="A151" t="s">
        <v>177</v>
      </c>
      <c r="B151" t="str">
        <f>SUM('Inteligencia emocional'!B152:I152)</f>
        <v>0</v>
      </c>
      <c r="C151" s="10" t="str">
        <f>IF(B151&lt;=$Q$19,"Bajo",IF(B151&lt;=$Q$20,"Regular",IF(B151&lt;=$Q$21,"Alto",0)))</f>
        <v>0</v>
      </c>
      <c r="D151" t="str">
        <f>SUM('Inteligencia emocional'!J152:Q152)</f>
        <v>0</v>
      </c>
      <c r="E151" s="10" t="str">
        <f>IF(D151&lt;=$AC$19,"Bajo",IF(D151&lt;=$AC$20,"Regular",IF(D151&lt;=$AC$21,"Alto",0)))</f>
        <v>0</v>
      </c>
      <c r="F151" t="str">
        <f>SUM('Inteligencia emocional'!R152:Y152)</f>
        <v>0</v>
      </c>
      <c r="G151" s="10" t="str">
        <f>IF(F151&lt;=$AO$19,"Bajo",IF(F151&lt;=$AO$20,"Regular",IF(F151&lt;=$AO$21,"Alto",0)))</f>
        <v>0</v>
      </c>
      <c r="H151" t="str">
        <f>SUM(B151:F151)</f>
        <v>0</v>
      </c>
      <c r="I151" s="10" t="str">
        <f>IF(H151&lt;=$BA$19,"Bajo",IF(H151&lt;=$BA$20,"Regular",IF(H151&lt;=$BA$21,"Alto",0)))</f>
        <v>0</v>
      </c>
    </row>
    <row r="152" spans="1:61">
      <c r="A152" t="s">
        <v>178</v>
      </c>
      <c r="B152" t="str">
        <f>SUM('Inteligencia emocional'!B153:I153)</f>
        <v>0</v>
      </c>
      <c r="C152" s="10" t="str">
        <f>IF(B152&lt;=$Q$19,"Bajo",IF(B152&lt;=$Q$20,"Regular",IF(B152&lt;=$Q$21,"Alto",0)))</f>
        <v>0</v>
      </c>
      <c r="D152" t="str">
        <f>SUM('Inteligencia emocional'!J153:Q153)</f>
        <v>0</v>
      </c>
      <c r="E152" s="10" t="str">
        <f>IF(D152&lt;=$AC$19,"Bajo",IF(D152&lt;=$AC$20,"Regular",IF(D152&lt;=$AC$21,"Alto",0)))</f>
        <v>0</v>
      </c>
      <c r="F152" t="str">
        <f>SUM('Inteligencia emocional'!R153:Y153)</f>
        <v>0</v>
      </c>
      <c r="G152" s="10" t="str">
        <f>IF(F152&lt;=$AO$19,"Bajo",IF(F152&lt;=$AO$20,"Regular",IF(F152&lt;=$AO$21,"Alto",0)))</f>
        <v>0</v>
      </c>
      <c r="H152" t="str">
        <f>SUM(B152:F152)</f>
        <v>0</v>
      </c>
      <c r="I152" s="10" t="str">
        <f>IF(H152&lt;=$BA$19,"Bajo",IF(H152&lt;=$BA$20,"Regular",IF(H152&lt;=$BA$21,"Alto",0)))</f>
        <v>0</v>
      </c>
    </row>
    <row r="153" spans="1:61">
      <c r="A153" t="s">
        <v>179</v>
      </c>
      <c r="B153" t="str">
        <f>SUM('Inteligencia emocional'!B154:I154)</f>
        <v>0</v>
      </c>
      <c r="C153" s="10" t="str">
        <f>IF(B153&lt;=$Q$19,"Bajo",IF(B153&lt;=$Q$20,"Regular",IF(B153&lt;=$Q$21,"Alto",0)))</f>
        <v>0</v>
      </c>
      <c r="D153" t="str">
        <f>SUM('Inteligencia emocional'!J154:Q154)</f>
        <v>0</v>
      </c>
      <c r="E153" s="10" t="str">
        <f>IF(D153&lt;=$AC$19,"Bajo",IF(D153&lt;=$AC$20,"Regular",IF(D153&lt;=$AC$21,"Alto",0)))</f>
        <v>0</v>
      </c>
      <c r="F153" t="str">
        <f>SUM('Inteligencia emocional'!R154:Y154)</f>
        <v>0</v>
      </c>
      <c r="G153" s="10" t="str">
        <f>IF(F153&lt;=$AO$19,"Bajo",IF(F153&lt;=$AO$20,"Regular",IF(F153&lt;=$AO$21,"Alto",0)))</f>
        <v>0</v>
      </c>
      <c r="H153" t="str">
        <f>SUM(B153:F153)</f>
        <v>0</v>
      </c>
      <c r="I153" s="10" t="str">
        <f>IF(H153&lt;=$BA$19,"Bajo",IF(H153&lt;=$BA$20,"Regular",IF(H153&lt;=$BA$21,"Alto",0)))</f>
        <v>0</v>
      </c>
    </row>
    <row r="154" spans="1:61">
      <c r="A154" t="s">
        <v>180</v>
      </c>
      <c r="B154" t="str">
        <f>SUM('Inteligencia emocional'!B155:I155)</f>
        <v>0</v>
      </c>
      <c r="C154" s="10" t="str">
        <f>IF(B154&lt;=$Q$19,"Bajo",IF(B154&lt;=$Q$20,"Regular",IF(B154&lt;=$Q$21,"Alto",0)))</f>
        <v>0</v>
      </c>
      <c r="D154" t="str">
        <f>SUM('Inteligencia emocional'!J155:Q155)</f>
        <v>0</v>
      </c>
      <c r="E154" s="10" t="str">
        <f>IF(D154&lt;=$AC$19,"Bajo",IF(D154&lt;=$AC$20,"Regular",IF(D154&lt;=$AC$21,"Alto",0)))</f>
        <v>0</v>
      </c>
      <c r="F154" t="str">
        <f>SUM('Inteligencia emocional'!R155:Y155)</f>
        <v>0</v>
      </c>
      <c r="G154" s="10" t="str">
        <f>IF(F154&lt;=$AO$19,"Bajo",IF(F154&lt;=$AO$20,"Regular",IF(F154&lt;=$AO$21,"Alto",0)))</f>
        <v>0</v>
      </c>
      <c r="H154" t="str">
        <f>SUM(B154:F154)</f>
        <v>0</v>
      </c>
      <c r="I154" s="10" t="str">
        <f>IF(H154&lt;=$BA$19,"Bajo",IF(H154&lt;=$BA$20,"Regular",IF(H154&lt;=$BA$21,"Alto",0)))</f>
        <v>0</v>
      </c>
    </row>
    <row r="155" spans="1:61">
      <c r="A155" t="s">
        <v>181</v>
      </c>
      <c r="B155" t="str">
        <f>SUM('Inteligencia emocional'!B156:I156)</f>
        <v>0</v>
      </c>
      <c r="C155" s="10" t="str">
        <f>IF(B155&lt;=$Q$19,"Bajo",IF(B155&lt;=$Q$20,"Regular",IF(B155&lt;=$Q$21,"Alto",0)))</f>
        <v>0</v>
      </c>
      <c r="D155" t="str">
        <f>SUM('Inteligencia emocional'!J156:Q156)</f>
        <v>0</v>
      </c>
      <c r="E155" s="10" t="str">
        <f>IF(D155&lt;=$AC$19,"Bajo",IF(D155&lt;=$AC$20,"Regular",IF(D155&lt;=$AC$21,"Alto",0)))</f>
        <v>0</v>
      </c>
      <c r="F155" t="str">
        <f>SUM('Inteligencia emocional'!R156:Y156)</f>
        <v>0</v>
      </c>
      <c r="G155" s="10" t="str">
        <f>IF(F155&lt;=$AO$19,"Bajo",IF(F155&lt;=$AO$20,"Regular",IF(F155&lt;=$AO$21,"Alto",0)))</f>
        <v>0</v>
      </c>
      <c r="H155" t="str">
        <f>SUM(B155:F155)</f>
        <v>0</v>
      </c>
      <c r="I155" s="10" t="str">
        <f>IF(H155&lt;=$BA$19,"Bajo",IF(H155&lt;=$BA$20,"Regular",IF(H155&lt;=$BA$21,"Alto",0)))</f>
        <v>0</v>
      </c>
    </row>
    <row r="156" spans="1:61">
      <c r="A156" t="s">
        <v>182</v>
      </c>
      <c r="B156" t="str">
        <f>SUM('Inteligencia emocional'!B157:I157)</f>
        <v>0</v>
      </c>
      <c r="C156" s="10" t="str">
        <f>IF(B156&lt;=$Q$19,"Bajo",IF(B156&lt;=$Q$20,"Regular",IF(B156&lt;=$Q$21,"Alto",0)))</f>
        <v>0</v>
      </c>
      <c r="D156" t="str">
        <f>SUM('Inteligencia emocional'!J157:Q157)</f>
        <v>0</v>
      </c>
      <c r="E156" s="10" t="str">
        <f>IF(D156&lt;=$AC$19,"Bajo",IF(D156&lt;=$AC$20,"Regular",IF(D156&lt;=$AC$21,"Alto",0)))</f>
        <v>0</v>
      </c>
      <c r="F156" t="str">
        <f>SUM('Inteligencia emocional'!R157:Y157)</f>
        <v>0</v>
      </c>
      <c r="G156" s="10" t="str">
        <f>IF(F156&lt;=$AO$19,"Bajo",IF(F156&lt;=$AO$20,"Regular",IF(F156&lt;=$AO$21,"Alto",0)))</f>
        <v>0</v>
      </c>
      <c r="H156" t="str">
        <f>SUM(B156:F156)</f>
        <v>0</v>
      </c>
      <c r="I156" s="10" t="str">
        <f>IF(H156&lt;=$BA$19,"Bajo",IF(H156&lt;=$BA$20,"Regular",IF(H156&lt;=$BA$21,"Alto",0)))</f>
        <v>0</v>
      </c>
    </row>
    <row r="157" spans="1:61">
      <c r="A157" t="s">
        <v>183</v>
      </c>
      <c r="B157" t="str">
        <f>SUM('Inteligencia emocional'!B158:I158)</f>
        <v>0</v>
      </c>
      <c r="C157" s="10" t="str">
        <f>IF(B157&lt;=$Q$19,"Bajo",IF(B157&lt;=$Q$20,"Regular",IF(B157&lt;=$Q$21,"Alto",0)))</f>
        <v>0</v>
      </c>
      <c r="D157" t="str">
        <f>SUM('Inteligencia emocional'!J158:Q158)</f>
        <v>0</v>
      </c>
      <c r="E157" s="10" t="str">
        <f>IF(D157&lt;=$AC$19,"Bajo",IF(D157&lt;=$AC$20,"Regular",IF(D157&lt;=$AC$21,"Alto",0)))</f>
        <v>0</v>
      </c>
      <c r="F157" t="str">
        <f>SUM('Inteligencia emocional'!R158:Y158)</f>
        <v>0</v>
      </c>
      <c r="G157" s="10" t="str">
        <f>IF(F157&lt;=$AO$19,"Bajo",IF(F157&lt;=$AO$20,"Regular",IF(F157&lt;=$AO$21,"Alto",0)))</f>
        <v>0</v>
      </c>
      <c r="H157" t="str">
        <f>SUM(B157:F157)</f>
        <v>0</v>
      </c>
      <c r="I157" s="10" t="str">
        <f>IF(H157&lt;=$BA$19,"Bajo",IF(H157&lt;=$BA$20,"Regular",IF(H157&lt;=$BA$21,"Alto",0)))</f>
        <v>0</v>
      </c>
    </row>
    <row r="158" spans="1:61">
      <c r="A158" t="s">
        <v>184</v>
      </c>
      <c r="B158" t="str">
        <f>SUM('Inteligencia emocional'!B159:I159)</f>
        <v>0</v>
      </c>
      <c r="C158" s="10" t="str">
        <f>IF(B158&lt;=$Q$19,"Bajo",IF(B158&lt;=$Q$20,"Regular",IF(B158&lt;=$Q$21,"Alto",0)))</f>
        <v>0</v>
      </c>
      <c r="D158" t="str">
        <f>SUM('Inteligencia emocional'!J159:Q159)</f>
        <v>0</v>
      </c>
      <c r="E158" s="10" t="str">
        <f>IF(D158&lt;=$AC$19,"Bajo",IF(D158&lt;=$AC$20,"Regular",IF(D158&lt;=$AC$21,"Alto",0)))</f>
        <v>0</v>
      </c>
      <c r="F158" t="str">
        <f>SUM('Inteligencia emocional'!R159:Y159)</f>
        <v>0</v>
      </c>
      <c r="G158" s="10" t="str">
        <f>IF(F158&lt;=$AO$19,"Bajo",IF(F158&lt;=$AO$20,"Regular",IF(F158&lt;=$AO$21,"Alto",0)))</f>
        <v>0</v>
      </c>
      <c r="H158" t="str">
        <f>SUM(B158:F158)</f>
        <v>0</v>
      </c>
      <c r="I158" s="10" t="str">
        <f>IF(H158&lt;=$BA$19,"Bajo",IF(H158&lt;=$BA$20,"Regular",IF(H158&lt;=$BA$21,"Alto",0)))</f>
        <v>0</v>
      </c>
    </row>
    <row r="159" spans="1:61">
      <c r="A159" t="s">
        <v>185</v>
      </c>
      <c r="B159" t="str">
        <f>SUM('Inteligencia emocional'!B160:I160)</f>
        <v>0</v>
      </c>
      <c r="C159" s="10" t="str">
        <f>IF(B159&lt;=$Q$19,"Bajo",IF(B159&lt;=$Q$20,"Regular",IF(B159&lt;=$Q$21,"Alto",0)))</f>
        <v>0</v>
      </c>
      <c r="D159" t="str">
        <f>SUM('Inteligencia emocional'!J160:Q160)</f>
        <v>0</v>
      </c>
      <c r="E159" s="10" t="str">
        <f>IF(D159&lt;=$AC$19,"Bajo",IF(D159&lt;=$AC$20,"Regular",IF(D159&lt;=$AC$21,"Alto",0)))</f>
        <v>0</v>
      </c>
      <c r="F159" t="str">
        <f>SUM('Inteligencia emocional'!R160:Y160)</f>
        <v>0</v>
      </c>
      <c r="G159" s="10" t="str">
        <f>IF(F159&lt;=$AO$19,"Bajo",IF(F159&lt;=$AO$20,"Regular",IF(F159&lt;=$AO$21,"Alto",0)))</f>
        <v>0</v>
      </c>
      <c r="H159" t="str">
        <f>SUM(B159:F159)</f>
        <v>0</v>
      </c>
      <c r="I159" s="10" t="str">
        <f>IF(H159&lt;=$BA$19,"Bajo",IF(H159&lt;=$BA$20,"Regular",IF(H159&lt;=$BA$21,"Alto",0)))</f>
        <v>0</v>
      </c>
    </row>
    <row r="160" spans="1:61">
      <c r="A160" t="s">
        <v>186</v>
      </c>
      <c r="B160" t="str">
        <f>SUM('Inteligencia emocional'!B161:I161)</f>
        <v>0</v>
      </c>
      <c r="C160" s="10" t="str">
        <f>IF(B160&lt;=$Q$19,"Bajo",IF(B160&lt;=$Q$20,"Regular",IF(B160&lt;=$Q$21,"Alto",0)))</f>
        <v>0</v>
      </c>
      <c r="D160" t="str">
        <f>SUM('Inteligencia emocional'!J161:Q161)</f>
        <v>0</v>
      </c>
      <c r="E160" s="10" t="str">
        <f>IF(D160&lt;=$AC$19,"Bajo",IF(D160&lt;=$AC$20,"Regular",IF(D160&lt;=$AC$21,"Alto",0)))</f>
        <v>0</v>
      </c>
      <c r="F160" t="str">
        <f>SUM('Inteligencia emocional'!R161:Y161)</f>
        <v>0</v>
      </c>
      <c r="G160" s="10" t="str">
        <f>IF(F160&lt;=$AO$19,"Bajo",IF(F160&lt;=$AO$20,"Regular",IF(F160&lt;=$AO$21,"Alto",0)))</f>
        <v>0</v>
      </c>
      <c r="H160" t="str">
        <f>SUM(B160:F160)</f>
        <v>0</v>
      </c>
      <c r="I160" s="10" t="str">
        <f>IF(H160&lt;=$BA$19,"Bajo",IF(H160&lt;=$BA$20,"Regular",IF(H160&lt;=$BA$21,"Alto",0)))</f>
        <v>0</v>
      </c>
    </row>
    <row r="161" spans="1:61">
      <c r="A161" t="s">
        <v>187</v>
      </c>
      <c r="B161" t="str">
        <f>SUM('Inteligencia emocional'!B162:I162)</f>
        <v>0</v>
      </c>
      <c r="C161" s="10" t="str">
        <f>IF(B161&lt;=$Q$19,"Bajo",IF(B161&lt;=$Q$20,"Regular",IF(B161&lt;=$Q$21,"Alto",0)))</f>
        <v>0</v>
      </c>
      <c r="D161" t="str">
        <f>SUM('Inteligencia emocional'!J162:Q162)</f>
        <v>0</v>
      </c>
      <c r="E161" s="10" t="str">
        <f>IF(D161&lt;=$AC$19,"Bajo",IF(D161&lt;=$AC$20,"Regular",IF(D161&lt;=$AC$21,"Alto",0)))</f>
        <v>0</v>
      </c>
      <c r="F161" t="str">
        <f>SUM('Inteligencia emocional'!R162:Y162)</f>
        <v>0</v>
      </c>
      <c r="G161" s="10" t="str">
        <f>IF(F161&lt;=$AO$19,"Bajo",IF(F161&lt;=$AO$20,"Regular",IF(F161&lt;=$AO$21,"Alto",0)))</f>
        <v>0</v>
      </c>
      <c r="H161" t="str">
        <f>SUM(B161:F161)</f>
        <v>0</v>
      </c>
      <c r="I161" s="10" t="str">
        <f>IF(H161&lt;=$BA$19,"Bajo",IF(H161&lt;=$BA$20,"Regular",IF(H161&lt;=$BA$21,"Alto",0)))</f>
        <v>0</v>
      </c>
    </row>
    <row r="162" spans="1:61">
      <c r="A162" t="s">
        <v>188</v>
      </c>
      <c r="B162" t="str">
        <f>SUM('Inteligencia emocional'!B163:I163)</f>
        <v>0</v>
      </c>
      <c r="C162" s="10" t="str">
        <f>IF(B162&lt;=$Q$19,"Bajo",IF(B162&lt;=$Q$20,"Regular",IF(B162&lt;=$Q$21,"Alto",0)))</f>
        <v>0</v>
      </c>
      <c r="D162" t="str">
        <f>SUM('Inteligencia emocional'!J163:Q163)</f>
        <v>0</v>
      </c>
      <c r="E162" s="10" t="str">
        <f>IF(D162&lt;=$AC$19,"Bajo",IF(D162&lt;=$AC$20,"Regular",IF(D162&lt;=$AC$21,"Alto",0)))</f>
        <v>0</v>
      </c>
      <c r="F162" t="str">
        <f>SUM('Inteligencia emocional'!R163:Y163)</f>
        <v>0</v>
      </c>
      <c r="G162" s="10" t="str">
        <f>IF(F162&lt;=$AO$19,"Bajo",IF(F162&lt;=$AO$20,"Regular",IF(F162&lt;=$AO$21,"Alto",0)))</f>
        <v>0</v>
      </c>
      <c r="H162" t="str">
        <f>SUM(B162:F162)</f>
        <v>0</v>
      </c>
      <c r="I162" s="10" t="str">
        <f>IF(H162&lt;=$BA$19,"Bajo",IF(H162&lt;=$BA$20,"Regular",IF(H162&lt;=$BA$21,"Alto",0)))</f>
        <v>0</v>
      </c>
    </row>
    <row r="163" spans="1:61">
      <c r="A163" t="s">
        <v>189</v>
      </c>
      <c r="B163" t="str">
        <f>SUM('Inteligencia emocional'!B164:I164)</f>
        <v>0</v>
      </c>
      <c r="C163" s="10" t="str">
        <f>IF(B163&lt;=$Q$19,"Bajo",IF(B163&lt;=$Q$20,"Regular",IF(B163&lt;=$Q$21,"Alto",0)))</f>
        <v>0</v>
      </c>
      <c r="D163" t="str">
        <f>SUM('Inteligencia emocional'!J164:Q164)</f>
        <v>0</v>
      </c>
      <c r="E163" s="10" t="str">
        <f>IF(D163&lt;=$AC$19,"Bajo",IF(D163&lt;=$AC$20,"Regular",IF(D163&lt;=$AC$21,"Alto",0)))</f>
        <v>0</v>
      </c>
      <c r="F163" t="str">
        <f>SUM('Inteligencia emocional'!R164:Y164)</f>
        <v>0</v>
      </c>
      <c r="G163" s="10" t="str">
        <f>IF(F163&lt;=$AO$19,"Bajo",IF(F163&lt;=$AO$20,"Regular",IF(F163&lt;=$AO$21,"Alto",0)))</f>
        <v>0</v>
      </c>
      <c r="H163" t="str">
        <f>SUM(B163:F163)</f>
        <v>0</v>
      </c>
      <c r="I163" s="10" t="str">
        <f>IF(H163&lt;=$BA$19,"Bajo",IF(H163&lt;=$BA$20,"Regular",IF(H163&lt;=$BA$21,"Alto",0)))</f>
        <v>0</v>
      </c>
    </row>
    <row r="164" spans="1:61">
      <c r="A164" t="s">
        <v>190</v>
      </c>
      <c r="B164" t="str">
        <f>SUM('Inteligencia emocional'!B165:I165)</f>
        <v>0</v>
      </c>
      <c r="C164" s="10" t="str">
        <f>IF(B164&lt;=$Q$19,"Bajo",IF(B164&lt;=$Q$20,"Regular",IF(B164&lt;=$Q$21,"Alto",0)))</f>
        <v>0</v>
      </c>
      <c r="D164" t="str">
        <f>SUM('Inteligencia emocional'!J165:Q165)</f>
        <v>0</v>
      </c>
      <c r="E164" s="10" t="str">
        <f>IF(D164&lt;=$AC$19,"Bajo",IF(D164&lt;=$AC$20,"Regular",IF(D164&lt;=$AC$21,"Alto",0)))</f>
        <v>0</v>
      </c>
      <c r="F164" t="str">
        <f>SUM('Inteligencia emocional'!R165:Y165)</f>
        <v>0</v>
      </c>
      <c r="G164" s="10" t="str">
        <f>IF(F164&lt;=$AO$19,"Bajo",IF(F164&lt;=$AO$20,"Regular",IF(F164&lt;=$AO$21,"Alto",0)))</f>
        <v>0</v>
      </c>
      <c r="H164" t="str">
        <f>SUM(B164:F164)</f>
        <v>0</v>
      </c>
      <c r="I164" s="10" t="str">
        <f>IF(H164&lt;=$BA$19,"Bajo",IF(H164&lt;=$BA$20,"Regular",IF(H164&lt;=$BA$21,"Alto",0)))</f>
        <v>0</v>
      </c>
    </row>
    <row r="165" spans="1:61">
      <c r="A165" t="s">
        <v>191</v>
      </c>
      <c r="B165" t="str">
        <f>SUM('Inteligencia emocional'!B166:I166)</f>
        <v>0</v>
      </c>
      <c r="C165" s="10" t="str">
        <f>IF(B165&lt;=$Q$19,"Bajo",IF(B165&lt;=$Q$20,"Regular",IF(B165&lt;=$Q$21,"Alto",0)))</f>
        <v>0</v>
      </c>
      <c r="D165" t="str">
        <f>SUM('Inteligencia emocional'!J166:Q166)</f>
        <v>0</v>
      </c>
      <c r="E165" s="10" t="str">
        <f>IF(D165&lt;=$AC$19,"Bajo",IF(D165&lt;=$AC$20,"Regular",IF(D165&lt;=$AC$21,"Alto",0)))</f>
        <v>0</v>
      </c>
      <c r="F165" t="str">
        <f>SUM('Inteligencia emocional'!R166:Y166)</f>
        <v>0</v>
      </c>
      <c r="G165" s="10" t="str">
        <f>IF(F165&lt;=$AO$19,"Bajo",IF(F165&lt;=$AO$20,"Regular",IF(F165&lt;=$AO$21,"Alto",0)))</f>
        <v>0</v>
      </c>
      <c r="H165" t="str">
        <f>SUM(B165:F165)</f>
        <v>0</v>
      </c>
      <c r="I165" s="10" t="str">
        <f>IF(H165&lt;=$BA$19,"Bajo",IF(H165&lt;=$BA$20,"Regular",IF(H165&lt;=$BA$21,"Alto",0)))</f>
        <v>0</v>
      </c>
    </row>
    <row r="166" spans="1:61">
      <c r="A166" t="s">
        <v>192</v>
      </c>
      <c r="B166" t="str">
        <f>SUM('Inteligencia emocional'!B167:I167)</f>
        <v>0</v>
      </c>
      <c r="C166" s="10" t="str">
        <f>IF(B166&lt;=$Q$19,"Bajo",IF(B166&lt;=$Q$20,"Regular",IF(B166&lt;=$Q$21,"Alto",0)))</f>
        <v>0</v>
      </c>
      <c r="D166" t="str">
        <f>SUM('Inteligencia emocional'!J167:Q167)</f>
        <v>0</v>
      </c>
      <c r="E166" s="10" t="str">
        <f>IF(D166&lt;=$AC$19,"Bajo",IF(D166&lt;=$AC$20,"Regular",IF(D166&lt;=$AC$21,"Alto",0)))</f>
        <v>0</v>
      </c>
      <c r="F166" t="str">
        <f>SUM('Inteligencia emocional'!R167:Y167)</f>
        <v>0</v>
      </c>
      <c r="G166" s="10" t="str">
        <f>IF(F166&lt;=$AO$19,"Bajo",IF(F166&lt;=$AO$20,"Regular",IF(F166&lt;=$AO$21,"Alto",0)))</f>
        <v>0</v>
      </c>
      <c r="H166" t="str">
        <f>SUM(B166:F166)</f>
        <v>0</v>
      </c>
      <c r="I166" s="10" t="str">
        <f>IF(H166&lt;=$BA$19,"Bajo",IF(H166&lt;=$BA$20,"Regular",IF(H166&lt;=$BA$21,"Alto",0)))</f>
        <v>0</v>
      </c>
    </row>
    <row r="167" spans="1:61">
      <c r="A167" t="s">
        <v>193</v>
      </c>
      <c r="B167" t="str">
        <f>SUM('Inteligencia emocional'!B168:I168)</f>
        <v>0</v>
      </c>
      <c r="C167" s="10" t="str">
        <f>IF(B167&lt;=$Q$19,"Bajo",IF(B167&lt;=$Q$20,"Regular",IF(B167&lt;=$Q$21,"Alto",0)))</f>
        <v>0</v>
      </c>
      <c r="D167" t="str">
        <f>SUM('Inteligencia emocional'!J168:Q168)</f>
        <v>0</v>
      </c>
      <c r="E167" s="10" t="str">
        <f>IF(D167&lt;=$AC$19,"Bajo",IF(D167&lt;=$AC$20,"Regular",IF(D167&lt;=$AC$21,"Alto",0)))</f>
        <v>0</v>
      </c>
      <c r="F167" t="str">
        <f>SUM('Inteligencia emocional'!R168:Y168)</f>
        <v>0</v>
      </c>
      <c r="G167" s="10" t="str">
        <f>IF(F167&lt;=$AO$19,"Bajo",IF(F167&lt;=$AO$20,"Regular",IF(F167&lt;=$AO$21,"Alto",0)))</f>
        <v>0</v>
      </c>
      <c r="H167" t="str">
        <f>SUM(B167:F167)</f>
        <v>0</v>
      </c>
      <c r="I167" s="10" t="str">
        <f>IF(H167&lt;=$BA$19,"Bajo",IF(H167&lt;=$BA$20,"Regular",IF(H167&lt;=$BA$21,"Alto",0)))</f>
        <v>0</v>
      </c>
    </row>
    <row r="168" spans="1:61">
      <c r="A168" t="s">
        <v>194</v>
      </c>
      <c r="B168" t="str">
        <f>SUM('Inteligencia emocional'!B169:I169)</f>
        <v>0</v>
      </c>
      <c r="C168" s="10" t="str">
        <f>IF(B168&lt;=$Q$19,"Bajo",IF(B168&lt;=$Q$20,"Regular",IF(B168&lt;=$Q$21,"Alto",0)))</f>
        <v>0</v>
      </c>
      <c r="D168" t="str">
        <f>SUM('Inteligencia emocional'!J169:Q169)</f>
        <v>0</v>
      </c>
      <c r="E168" s="10" t="str">
        <f>IF(D168&lt;=$AC$19,"Bajo",IF(D168&lt;=$AC$20,"Regular",IF(D168&lt;=$AC$21,"Alto",0)))</f>
        <v>0</v>
      </c>
      <c r="F168" t="str">
        <f>SUM('Inteligencia emocional'!R169:Y169)</f>
        <v>0</v>
      </c>
      <c r="G168" s="10" t="str">
        <f>IF(F168&lt;=$AO$19,"Bajo",IF(F168&lt;=$AO$20,"Regular",IF(F168&lt;=$AO$21,"Alto",0)))</f>
        <v>0</v>
      </c>
      <c r="H168" t="str">
        <f>SUM(B168:F168)</f>
        <v>0</v>
      </c>
      <c r="I168" s="10" t="str">
        <f>IF(H168&lt;=$BA$19,"Bajo",IF(H168&lt;=$BA$20,"Regular",IF(H168&lt;=$BA$21,"Alto",0)))</f>
        <v>0</v>
      </c>
    </row>
    <row r="169" spans="1:61">
      <c r="A169" t="s">
        <v>195</v>
      </c>
      <c r="B169" t="str">
        <f>SUM('Inteligencia emocional'!B170:I170)</f>
        <v>0</v>
      </c>
      <c r="C169" s="10" t="str">
        <f>IF(B169&lt;=$Q$19,"Bajo",IF(B169&lt;=$Q$20,"Regular",IF(B169&lt;=$Q$21,"Alto",0)))</f>
        <v>0</v>
      </c>
      <c r="D169" t="str">
        <f>SUM('Inteligencia emocional'!J170:Q170)</f>
        <v>0</v>
      </c>
      <c r="E169" s="10" t="str">
        <f>IF(D169&lt;=$AC$19,"Bajo",IF(D169&lt;=$AC$20,"Regular",IF(D169&lt;=$AC$21,"Alto",0)))</f>
        <v>0</v>
      </c>
      <c r="F169" t="str">
        <f>SUM('Inteligencia emocional'!R170:Y170)</f>
        <v>0</v>
      </c>
      <c r="G169" s="10" t="str">
        <f>IF(F169&lt;=$AO$19,"Bajo",IF(F169&lt;=$AO$20,"Regular",IF(F169&lt;=$AO$21,"Alto",0)))</f>
        <v>0</v>
      </c>
      <c r="H169" t="str">
        <f>SUM(B169:F169)</f>
        <v>0</v>
      </c>
      <c r="I169" s="10" t="str">
        <f>IF(H169&lt;=$BA$19,"Bajo",IF(H169&lt;=$BA$20,"Regular",IF(H169&lt;=$BA$21,"Alto",0)))</f>
        <v>0</v>
      </c>
    </row>
    <row r="170" spans="1:61">
      <c r="A170" t="s">
        <v>196</v>
      </c>
      <c r="B170" t="str">
        <f>SUM('Inteligencia emocional'!B171:I171)</f>
        <v>0</v>
      </c>
      <c r="C170" s="10" t="str">
        <f>IF(B170&lt;=$Q$19,"Bajo",IF(B170&lt;=$Q$20,"Regular",IF(B170&lt;=$Q$21,"Alto",0)))</f>
        <v>0</v>
      </c>
      <c r="D170" t="str">
        <f>SUM('Inteligencia emocional'!J171:Q171)</f>
        <v>0</v>
      </c>
      <c r="E170" s="10" t="str">
        <f>IF(D170&lt;=$AC$19,"Bajo",IF(D170&lt;=$AC$20,"Regular",IF(D170&lt;=$AC$21,"Alto",0)))</f>
        <v>0</v>
      </c>
      <c r="F170" t="str">
        <f>SUM('Inteligencia emocional'!R171:Y171)</f>
        <v>0</v>
      </c>
      <c r="G170" s="10" t="str">
        <f>IF(F170&lt;=$AO$19,"Bajo",IF(F170&lt;=$AO$20,"Regular",IF(F170&lt;=$AO$21,"Alto",0)))</f>
        <v>0</v>
      </c>
      <c r="H170" t="str">
        <f>SUM(B170:F170)</f>
        <v>0</v>
      </c>
      <c r="I170" s="10" t="str">
        <f>IF(H170&lt;=$BA$19,"Bajo",IF(H170&lt;=$BA$20,"Regular",IF(H170&lt;=$BA$21,"Alto",0)))</f>
        <v>0</v>
      </c>
    </row>
    <row r="171" spans="1:61">
      <c r="A171" t="s">
        <v>197</v>
      </c>
      <c r="B171" t="str">
        <f>SUM('Inteligencia emocional'!B172:I172)</f>
        <v>0</v>
      </c>
      <c r="C171" s="10" t="str">
        <f>IF(B171&lt;=$Q$19,"Bajo",IF(B171&lt;=$Q$20,"Regular",IF(B171&lt;=$Q$21,"Alto",0)))</f>
        <v>0</v>
      </c>
      <c r="D171" t="str">
        <f>SUM('Inteligencia emocional'!J172:Q172)</f>
        <v>0</v>
      </c>
      <c r="E171" s="10" t="str">
        <f>IF(D171&lt;=$AC$19,"Bajo",IF(D171&lt;=$AC$20,"Regular",IF(D171&lt;=$AC$21,"Alto",0)))</f>
        <v>0</v>
      </c>
      <c r="F171" t="str">
        <f>SUM('Inteligencia emocional'!R172:Y172)</f>
        <v>0</v>
      </c>
      <c r="G171" s="10" t="str">
        <f>IF(F171&lt;=$AO$19,"Bajo",IF(F171&lt;=$AO$20,"Regular",IF(F171&lt;=$AO$21,"Alto",0)))</f>
        <v>0</v>
      </c>
      <c r="H171" t="str">
        <f>SUM(B171:F171)</f>
        <v>0</v>
      </c>
      <c r="I171" s="10" t="str">
        <f>IF(H171&lt;=$BA$19,"Bajo",IF(H171&lt;=$BA$20,"Regular",IF(H171&lt;=$BA$21,"Alto",0)))</f>
        <v>0</v>
      </c>
    </row>
    <row r="172" spans="1:61">
      <c r="A172" t="s">
        <v>198</v>
      </c>
      <c r="B172" t="str">
        <f>SUM('Inteligencia emocional'!B173:I173)</f>
        <v>0</v>
      </c>
      <c r="C172" s="10" t="str">
        <f>IF(B172&lt;=$Q$19,"Bajo",IF(B172&lt;=$Q$20,"Regular",IF(B172&lt;=$Q$21,"Alto",0)))</f>
        <v>0</v>
      </c>
      <c r="D172" t="str">
        <f>SUM('Inteligencia emocional'!J173:Q173)</f>
        <v>0</v>
      </c>
      <c r="E172" s="10" t="str">
        <f>IF(D172&lt;=$AC$19,"Bajo",IF(D172&lt;=$AC$20,"Regular",IF(D172&lt;=$AC$21,"Alto",0)))</f>
        <v>0</v>
      </c>
      <c r="F172" t="str">
        <f>SUM('Inteligencia emocional'!R173:Y173)</f>
        <v>0</v>
      </c>
      <c r="G172" s="10" t="str">
        <f>IF(F172&lt;=$AO$19,"Bajo",IF(F172&lt;=$AO$20,"Regular",IF(F172&lt;=$AO$21,"Alto",0)))</f>
        <v>0</v>
      </c>
      <c r="H172" t="str">
        <f>SUM(B172:F172)</f>
        <v>0</v>
      </c>
      <c r="I172" s="10" t="str">
        <f>IF(H172&lt;=$BA$19,"Bajo",IF(H172&lt;=$BA$20,"Regular",IF(H172&lt;=$BA$21,"Alto",0)))</f>
        <v>0</v>
      </c>
    </row>
    <row r="173" spans="1:61">
      <c r="A173" t="s">
        <v>199</v>
      </c>
      <c r="B173" t="str">
        <f>SUM('Inteligencia emocional'!B174:I174)</f>
        <v>0</v>
      </c>
      <c r="C173" s="10" t="str">
        <f>IF(B173&lt;=$Q$19,"Bajo",IF(B173&lt;=$Q$20,"Regular",IF(B173&lt;=$Q$21,"Alto",0)))</f>
        <v>0</v>
      </c>
      <c r="D173" t="str">
        <f>SUM('Inteligencia emocional'!J174:Q174)</f>
        <v>0</v>
      </c>
      <c r="E173" s="10" t="str">
        <f>IF(D173&lt;=$AC$19,"Bajo",IF(D173&lt;=$AC$20,"Regular",IF(D173&lt;=$AC$21,"Alto",0)))</f>
        <v>0</v>
      </c>
      <c r="F173" t="str">
        <f>SUM('Inteligencia emocional'!R174:Y174)</f>
        <v>0</v>
      </c>
      <c r="G173" s="10" t="str">
        <f>IF(F173&lt;=$AO$19,"Bajo",IF(F173&lt;=$AO$20,"Regular",IF(F173&lt;=$AO$21,"Alto",0)))</f>
        <v>0</v>
      </c>
      <c r="H173" t="str">
        <f>SUM(B173:F173)</f>
        <v>0</v>
      </c>
      <c r="I173" s="10" t="str">
        <f>IF(H173&lt;=$BA$19,"Bajo",IF(H173&lt;=$BA$20,"Regular",IF(H173&lt;=$BA$21,"Alto",0)))</f>
        <v>0</v>
      </c>
    </row>
    <row r="174" spans="1:61">
      <c r="A174" t="s">
        <v>200</v>
      </c>
      <c r="B174" t="str">
        <f>SUM('Inteligencia emocional'!B175:I175)</f>
        <v>0</v>
      </c>
      <c r="C174" s="10" t="str">
        <f>IF(B174&lt;=$Q$19,"Bajo",IF(B174&lt;=$Q$20,"Regular",IF(B174&lt;=$Q$21,"Alto",0)))</f>
        <v>0</v>
      </c>
      <c r="D174" t="str">
        <f>SUM('Inteligencia emocional'!J175:Q175)</f>
        <v>0</v>
      </c>
      <c r="E174" s="10" t="str">
        <f>IF(D174&lt;=$AC$19,"Bajo",IF(D174&lt;=$AC$20,"Regular",IF(D174&lt;=$AC$21,"Alto",0)))</f>
        <v>0</v>
      </c>
      <c r="F174" t="str">
        <f>SUM('Inteligencia emocional'!R175:Y175)</f>
        <v>0</v>
      </c>
      <c r="G174" s="10" t="str">
        <f>IF(F174&lt;=$AO$19,"Bajo",IF(F174&lt;=$AO$20,"Regular",IF(F174&lt;=$AO$21,"Alto",0)))</f>
        <v>0</v>
      </c>
      <c r="H174" t="str">
        <f>SUM(B174:F174)</f>
        <v>0</v>
      </c>
      <c r="I174" s="10" t="str">
        <f>IF(H174&lt;=$BA$19,"Bajo",IF(H174&lt;=$BA$20,"Regular",IF(H174&lt;=$BA$21,"Alto",0)))</f>
        <v>0</v>
      </c>
    </row>
    <row r="175" spans="1:61">
      <c r="A175" t="s">
        <v>201</v>
      </c>
      <c r="B175" t="str">
        <f>SUM('Inteligencia emocional'!B176:I176)</f>
        <v>0</v>
      </c>
      <c r="C175" s="10" t="str">
        <f>IF(B175&lt;=$Q$19,"Bajo",IF(B175&lt;=$Q$20,"Regular",IF(B175&lt;=$Q$21,"Alto",0)))</f>
        <v>0</v>
      </c>
      <c r="D175" t="str">
        <f>SUM('Inteligencia emocional'!J176:Q176)</f>
        <v>0</v>
      </c>
      <c r="E175" s="10" t="str">
        <f>IF(D175&lt;=$AC$19,"Bajo",IF(D175&lt;=$AC$20,"Regular",IF(D175&lt;=$AC$21,"Alto",0)))</f>
        <v>0</v>
      </c>
      <c r="F175" t="str">
        <f>SUM('Inteligencia emocional'!R176:Y176)</f>
        <v>0</v>
      </c>
      <c r="G175" s="10" t="str">
        <f>IF(F175&lt;=$AO$19,"Bajo",IF(F175&lt;=$AO$20,"Regular",IF(F175&lt;=$AO$21,"Alto",0)))</f>
        <v>0</v>
      </c>
      <c r="H175" t="str">
        <f>SUM(B175:F175)</f>
        <v>0</v>
      </c>
      <c r="I175" s="10" t="str">
        <f>IF(H175&lt;=$BA$19,"Bajo",IF(H175&lt;=$BA$20,"Regular",IF(H175&lt;=$BA$21,"Alto",0)))</f>
        <v>0</v>
      </c>
    </row>
    <row r="176" spans="1:61">
      <c r="A176" t="s">
        <v>202</v>
      </c>
      <c r="B176" t="str">
        <f>SUM('Inteligencia emocional'!B177:I177)</f>
        <v>0</v>
      </c>
      <c r="C176" s="10" t="str">
        <f>IF(B176&lt;=$Q$19,"Bajo",IF(B176&lt;=$Q$20,"Regular",IF(B176&lt;=$Q$21,"Alto",0)))</f>
        <v>0</v>
      </c>
      <c r="D176" t="str">
        <f>SUM('Inteligencia emocional'!J177:Q177)</f>
        <v>0</v>
      </c>
      <c r="E176" s="10" t="str">
        <f>IF(D176&lt;=$AC$19,"Bajo",IF(D176&lt;=$AC$20,"Regular",IF(D176&lt;=$AC$21,"Alto",0)))</f>
        <v>0</v>
      </c>
      <c r="F176" t="str">
        <f>SUM('Inteligencia emocional'!R177:Y177)</f>
        <v>0</v>
      </c>
      <c r="G176" s="10" t="str">
        <f>IF(F176&lt;=$AO$19,"Bajo",IF(F176&lt;=$AO$20,"Regular",IF(F176&lt;=$AO$21,"Alto",0)))</f>
        <v>0</v>
      </c>
      <c r="H176" t="str">
        <f>SUM(B176:F176)</f>
        <v>0</v>
      </c>
      <c r="I176" s="10" t="str">
        <f>IF(H176&lt;=$BA$19,"Bajo",IF(H176&lt;=$BA$20,"Regular",IF(H176&lt;=$BA$21,"Alto",0)))</f>
        <v>0</v>
      </c>
    </row>
    <row r="177" spans="1:61">
      <c r="A177" t="s">
        <v>203</v>
      </c>
      <c r="B177" t="str">
        <f>SUM('Inteligencia emocional'!B178:I178)</f>
        <v>0</v>
      </c>
      <c r="C177" s="10" t="str">
        <f>IF(B177&lt;=$Q$19,"Bajo",IF(B177&lt;=$Q$20,"Regular",IF(B177&lt;=$Q$21,"Alto",0)))</f>
        <v>0</v>
      </c>
      <c r="D177" t="str">
        <f>SUM('Inteligencia emocional'!J178:Q178)</f>
        <v>0</v>
      </c>
      <c r="E177" s="10" t="str">
        <f>IF(D177&lt;=$AC$19,"Bajo",IF(D177&lt;=$AC$20,"Regular",IF(D177&lt;=$AC$21,"Alto",0)))</f>
        <v>0</v>
      </c>
      <c r="F177" t="str">
        <f>SUM('Inteligencia emocional'!R178:Y178)</f>
        <v>0</v>
      </c>
      <c r="G177" s="10" t="str">
        <f>IF(F177&lt;=$AO$19,"Bajo",IF(F177&lt;=$AO$20,"Regular",IF(F177&lt;=$AO$21,"Alto",0)))</f>
        <v>0</v>
      </c>
      <c r="H177" t="str">
        <f>SUM(B177:F177)</f>
        <v>0</v>
      </c>
      <c r="I177" s="10" t="str">
        <f>IF(H177&lt;=$BA$19,"Bajo",IF(H177&lt;=$BA$20,"Regular",IF(H177&lt;=$BA$21,"Alto",0)))</f>
        <v>0</v>
      </c>
    </row>
    <row r="178" spans="1:61">
      <c r="A178" t="s">
        <v>204</v>
      </c>
      <c r="B178" t="str">
        <f>SUM('Inteligencia emocional'!B179:I179)</f>
        <v>0</v>
      </c>
      <c r="C178" s="10" t="str">
        <f>IF(B178&lt;=$Q$19,"Bajo",IF(B178&lt;=$Q$20,"Regular",IF(B178&lt;=$Q$21,"Alto",0)))</f>
        <v>0</v>
      </c>
      <c r="D178" t="str">
        <f>SUM('Inteligencia emocional'!J179:Q179)</f>
        <v>0</v>
      </c>
      <c r="E178" s="10" t="str">
        <f>IF(D178&lt;=$AC$19,"Bajo",IF(D178&lt;=$AC$20,"Regular",IF(D178&lt;=$AC$21,"Alto",0)))</f>
        <v>0</v>
      </c>
      <c r="F178" t="str">
        <f>SUM('Inteligencia emocional'!R179:Y179)</f>
        <v>0</v>
      </c>
      <c r="G178" s="10" t="str">
        <f>IF(F178&lt;=$AO$19,"Bajo",IF(F178&lt;=$AO$20,"Regular",IF(F178&lt;=$AO$21,"Alto",0)))</f>
        <v>0</v>
      </c>
      <c r="H178" t="str">
        <f>SUM(B178:F178)</f>
        <v>0</v>
      </c>
      <c r="I178" s="10" t="str">
        <f>IF(H178&lt;=$BA$19,"Bajo",IF(H178&lt;=$BA$20,"Regular",IF(H178&lt;=$BA$21,"Alto",0)))</f>
        <v>0</v>
      </c>
    </row>
    <row r="179" spans="1:61">
      <c r="A179" t="s">
        <v>205</v>
      </c>
      <c r="B179" t="str">
        <f>SUM('Inteligencia emocional'!B180:I180)</f>
        <v>0</v>
      </c>
      <c r="C179" s="10" t="str">
        <f>IF(B179&lt;=$Q$19,"Bajo",IF(B179&lt;=$Q$20,"Regular",IF(B179&lt;=$Q$21,"Alto",0)))</f>
        <v>0</v>
      </c>
      <c r="D179" t="str">
        <f>SUM('Inteligencia emocional'!J180:Q180)</f>
        <v>0</v>
      </c>
      <c r="E179" s="10" t="str">
        <f>IF(D179&lt;=$AC$19,"Bajo",IF(D179&lt;=$AC$20,"Regular",IF(D179&lt;=$AC$21,"Alto",0)))</f>
        <v>0</v>
      </c>
      <c r="F179" t="str">
        <f>SUM('Inteligencia emocional'!R180:Y180)</f>
        <v>0</v>
      </c>
      <c r="G179" s="10" t="str">
        <f>IF(F179&lt;=$AO$19,"Bajo",IF(F179&lt;=$AO$20,"Regular",IF(F179&lt;=$AO$21,"Alto",0)))</f>
        <v>0</v>
      </c>
      <c r="H179" t="str">
        <f>SUM(B179:F179)</f>
        <v>0</v>
      </c>
      <c r="I179" s="10" t="str">
        <f>IF(H179&lt;=$BA$19,"Bajo",IF(H179&lt;=$BA$20,"Regular",IF(H179&lt;=$BA$21,"Alto",0)))</f>
        <v>0</v>
      </c>
    </row>
    <row r="180" spans="1:61">
      <c r="A180" t="s">
        <v>206</v>
      </c>
      <c r="B180" t="str">
        <f>SUM('Inteligencia emocional'!B181:I181)</f>
        <v>0</v>
      </c>
      <c r="C180" s="10" t="str">
        <f>IF(B180&lt;=$Q$19,"Bajo",IF(B180&lt;=$Q$20,"Regular",IF(B180&lt;=$Q$21,"Alto",0)))</f>
        <v>0</v>
      </c>
      <c r="D180" t="str">
        <f>SUM('Inteligencia emocional'!J181:Q181)</f>
        <v>0</v>
      </c>
      <c r="E180" s="10" t="str">
        <f>IF(D180&lt;=$AC$19,"Bajo",IF(D180&lt;=$AC$20,"Regular",IF(D180&lt;=$AC$21,"Alto",0)))</f>
        <v>0</v>
      </c>
      <c r="F180" t="str">
        <f>SUM('Inteligencia emocional'!R181:Y181)</f>
        <v>0</v>
      </c>
      <c r="G180" s="10" t="str">
        <f>IF(F180&lt;=$AO$19,"Bajo",IF(F180&lt;=$AO$20,"Regular",IF(F180&lt;=$AO$21,"Alto",0)))</f>
        <v>0</v>
      </c>
      <c r="H180" t="str">
        <f>SUM(B180:F180)</f>
        <v>0</v>
      </c>
      <c r="I180" s="10" t="str">
        <f>IF(H180&lt;=$BA$19,"Bajo",IF(H180&lt;=$BA$20,"Regular",IF(H180&lt;=$BA$21,"Alto",0)))</f>
        <v>0</v>
      </c>
    </row>
    <row r="181" spans="1:61">
      <c r="A181" t="s">
        <v>207</v>
      </c>
      <c r="B181" t="str">
        <f>SUM('Inteligencia emocional'!B182:I182)</f>
        <v>0</v>
      </c>
      <c r="C181" s="10" t="str">
        <f>IF(B181&lt;=$Q$19,"Bajo",IF(B181&lt;=$Q$20,"Regular",IF(B181&lt;=$Q$21,"Alto",0)))</f>
        <v>0</v>
      </c>
      <c r="D181" t="str">
        <f>SUM('Inteligencia emocional'!J182:Q182)</f>
        <v>0</v>
      </c>
      <c r="E181" s="10" t="str">
        <f>IF(D181&lt;=$AC$19,"Bajo",IF(D181&lt;=$AC$20,"Regular",IF(D181&lt;=$AC$21,"Alto",0)))</f>
        <v>0</v>
      </c>
      <c r="F181" t="str">
        <f>SUM('Inteligencia emocional'!R182:Y182)</f>
        <v>0</v>
      </c>
      <c r="G181" s="10" t="str">
        <f>IF(F181&lt;=$AO$19,"Bajo",IF(F181&lt;=$AO$20,"Regular",IF(F181&lt;=$AO$21,"Alto",0)))</f>
        <v>0</v>
      </c>
      <c r="H181" t="str">
        <f>SUM(B181:F181)</f>
        <v>0</v>
      </c>
      <c r="I181" s="10" t="str">
        <f>IF(H181&lt;=$BA$19,"Bajo",IF(H181&lt;=$BA$20,"Regular",IF(H181&lt;=$BA$21,"Alto",0)))</f>
        <v>0</v>
      </c>
    </row>
    <row r="182" spans="1:61">
      <c r="A182" t="s">
        <v>208</v>
      </c>
      <c r="B182" t="str">
        <f>SUM('Inteligencia emocional'!B183:I183)</f>
        <v>0</v>
      </c>
      <c r="C182" s="10" t="str">
        <f>IF(B182&lt;=$Q$19,"Bajo",IF(B182&lt;=$Q$20,"Regular",IF(B182&lt;=$Q$21,"Alto",0)))</f>
        <v>0</v>
      </c>
      <c r="D182" t="str">
        <f>SUM('Inteligencia emocional'!J183:Q183)</f>
        <v>0</v>
      </c>
      <c r="E182" s="10" t="str">
        <f>IF(D182&lt;=$AC$19,"Bajo",IF(D182&lt;=$AC$20,"Regular",IF(D182&lt;=$AC$21,"Alto",0)))</f>
        <v>0</v>
      </c>
      <c r="F182" t="str">
        <f>SUM('Inteligencia emocional'!R183:Y183)</f>
        <v>0</v>
      </c>
      <c r="G182" s="10" t="str">
        <f>IF(F182&lt;=$AO$19,"Bajo",IF(F182&lt;=$AO$20,"Regular",IF(F182&lt;=$AO$21,"Alto",0)))</f>
        <v>0</v>
      </c>
      <c r="H182" t="str">
        <f>SUM(B182:F182)</f>
        <v>0</v>
      </c>
      <c r="I182" s="10" t="str">
        <f>IF(H182&lt;=$BA$19,"Bajo",IF(H182&lt;=$BA$20,"Regular",IF(H182&lt;=$BA$21,"Alto",0)))</f>
        <v>0</v>
      </c>
    </row>
    <row r="183" spans="1:61">
      <c r="A183" t="s">
        <v>209</v>
      </c>
      <c r="B183" t="str">
        <f>SUM('Inteligencia emocional'!B184:I184)</f>
        <v>0</v>
      </c>
      <c r="C183" s="10" t="str">
        <f>IF(B183&lt;=$Q$19,"Bajo",IF(B183&lt;=$Q$20,"Regular",IF(B183&lt;=$Q$21,"Alto",0)))</f>
        <v>0</v>
      </c>
      <c r="D183" t="str">
        <f>SUM('Inteligencia emocional'!J184:Q184)</f>
        <v>0</v>
      </c>
      <c r="E183" s="10" t="str">
        <f>IF(D183&lt;=$AC$19,"Bajo",IF(D183&lt;=$AC$20,"Regular",IF(D183&lt;=$AC$21,"Alto",0)))</f>
        <v>0</v>
      </c>
      <c r="F183" t="str">
        <f>SUM('Inteligencia emocional'!R184:Y184)</f>
        <v>0</v>
      </c>
      <c r="G183" s="10" t="str">
        <f>IF(F183&lt;=$AO$19,"Bajo",IF(F183&lt;=$AO$20,"Regular",IF(F183&lt;=$AO$21,"Alto",0)))</f>
        <v>0</v>
      </c>
      <c r="H183" t="str">
        <f>SUM(B183:F183)</f>
        <v>0</v>
      </c>
      <c r="I183" s="10" t="str">
        <f>IF(H183&lt;=$BA$19,"Bajo",IF(H183&lt;=$BA$20,"Regular",IF(H183&lt;=$BA$21,"Alto",0)))</f>
        <v>0</v>
      </c>
    </row>
    <row r="184" spans="1:61">
      <c r="A184" t="s">
        <v>210</v>
      </c>
      <c r="B184" t="str">
        <f>SUM('Inteligencia emocional'!B185:I185)</f>
        <v>0</v>
      </c>
      <c r="C184" s="10" t="str">
        <f>IF(B184&lt;=$Q$19,"Bajo",IF(B184&lt;=$Q$20,"Regular",IF(B184&lt;=$Q$21,"Alto",0)))</f>
        <v>0</v>
      </c>
      <c r="D184" t="str">
        <f>SUM('Inteligencia emocional'!J185:Q185)</f>
        <v>0</v>
      </c>
      <c r="E184" s="10" t="str">
        <f>IF(D184&lt;=$AC$19,"Bajo",IF(D184&lt;=$AC$20,"Regular",IF(D184&lt;=$AC$21,"Alto",0)))</f>
        <v>0</v>
      </c>
      <c r="F184" t="str">
        <f>SUM('Inteligencia emocional'!R185:Y185)</f>
        <v>0</v>
      </c>
      <c r="G184" s="10" t="str">
        <f>IF(F184&lt;=$AO$19,"Bajo",IF(F184&lt;=$AO$20,"Regular",IF(F184&lt;=$AO$21,"Alto",0)))</f>
        <v>0</v>
      </c>
      <c r="H184" t="str">
        <f>SUM(B184:F184)</f>
        <v>0</v>
      </c>
      <c r="I184" s="10" t="str">
        <f>IF(H184&lt;=$BA$19,"Bajo",IF(H184&lt;=$BA$20,"Regular",IF(H184&lt;=$BA$21,"Alto",0)))</f>
        <v>0</v>
      </c>
    </row>
    <row r="185" spans="1:61">
      <c r="A185" t="s">
        <v>211</v>
      </c>
      <c r="B185" t="str">
        <f>SUM('Inteligencia emocional'!B186:I186)</f>
        <v>0</v>
      </c>
      <c r="C185" s="10" t="str">
        <f>IF(B185&lt;=$Q$19,"Bajo",IF(B185&lt;=$Q$20,"Regular",IF(B185&lt;=$Q$21,"Alto",0)))</f>
        <v>0</v>
      </c>
      <c r="D185" t="str">
        <f>SUM('Inteligencia emocional'!J186:Q186)</f>
        <v>0</v>
      </c>
      <c r="E185" s="10" t="str">
        <f>IF(D185&lt;=$AC$19,"Bajo",IF(D185&lt;=$AC$20,"Regular",IF(D185&lt;=$AC$21,"Alto",0)))</f>
        <v>0</v>
      </c>
      <c r="F185" t="str">
        <f>SUM('Inteligencia emocional'!R186:Y186)</f>
        <v>0</v>
      </c>
      <c r="G185" s="10" t="str">
        <f>IF(F185&lt;=$AO$19,"Bajo",IF(F185&lt;=$AO$20,"Regular",IF(F185&lt;=$AO$21,"Alto",0)))</f>
        <v>0</v>
      </c>
      <c r="H185" t="str">
        <f>SUM(B185:F185)</f>
        <v>0</v>
      </c>
      <c r="I185" s="10" t="str">
        <f>IF(H185&lt;=$BA$19,"Bajo",IF(H185&lt;=$BA$20,"Regular",IF(H185&lt;=$BA$21,"Alto",0)))</f>
        <v>0</v>
      </c>
    </row>
    <row r="186" spans="1:61">
      <c r="A186" t="s">
        <v>212</v>
      </c>
      <c r="B186" t="str">
        <f>SUM('Inteligencia emocional'!B187:I187)</f>
        <v>0</v>
      </c>
      <c r="C186" s="10" t="str">
        <f>IF(B186&lt;=$Q$19,"Bajo",IF(B186&lt;=$Q$20,"Regular",IF(B186&lt;=$Q$21,"Alto",0)))</f>
        <v>0</v>
      </c>
      <c r="D186" t="str">
        <f>SUM('Inteligencia emocional'!J187:Q187)</f>
        <v>0</v>
      </c>
      <c r="E186" s="10" t="str">
        <f>IF(D186&lt;=$AC$19,"Bajo",IF(D186&lt;=$AC$20,"Regular",IF(D186&lt;=$AC$21,"Alto",0)))</f>
        <v>0</v>
      </c>
      <c r="F186" t="str">
        <f>SUM('Inteligencia emocional'!R187:Y187)</f>
        <v>0</v>
      </c>
      <c r="G186" s="10" t="str">
        <f>IF(F186&lt;=$AO$19,"Bajo",IF(F186&lt;=$AO$20,"Regular",IF(F186&lt;=$AO$21,"Alto",0)))</f>
        <v>0</v>
      </c>
      <c r="H186" t="str">
        <f>SUM(B186:F186)</f>
        <v>0</v>
      </c>
      <c r="I186" s="10" t="str">
        <f>IF(H186&lt;=$BA$19,"Bajo",IF(H186&lt;=$BA$20,"Regular",IF(H186&lt;=$BA$21,"Alto",0)))</f>
        <v>0</v>
      </c>
    </row>
    <row r="187" spans="1:61">
      <c r="A187" t="s">
        <v>213</v>
      </c>
      <c r="B187" t="str">
        <f>SUM('Inteligencia emocional'!B188:I188)</f>
        <v>0</v>
      </c>
      <c r="C187" s="10" t="str">
        <f>IF(B187&lt;=$Q$19,"Bajo",IF(B187&lt;=$Q$20,"Regular",IF(B187&lt;=$Q$21,"Alto",0)))</f>
        <v>0</v>
      </c>
      <c r="D187" t="str">
        <f>SUM('Inteligencia emocional'!J188:Q188)</f>
        <v>0</v>
      </c>
      <c r="E187" s="10" t="str">
        <f>IF(D187&lt;=$AC$19,"Bajo",IF(D187&lt;=$AC$20,"Regular",IF(D187&lt;=$AC$21,"Alto",0)))</f>
        <v>0</v>
      </c>
      <c r="F187" t="str">
        <f>SUM('Inteligencia emocional'!R188:Y188)</f>
        <v>0</v>
      </c>
      <c r="G187" s="10" t="str">
        <f>IF(F187&lt;=$AO$19,"Bajo",IF(F187&lt;=$AO$20,"Regular",IF(F187&lt;=$AO$21,"Alto",0)))</f>
        <v>0</v>
      </c>
      <c r="H187" t="str">
        <f>SUM(B187:F187)</f>
        <v>0</v>
      </c>
      <c r="I187" s="10" t="str">
        <f>IF(H187&lt;=$BA$19,"Bajo",IF(H187&lt;=$BA$20,"Regular",IF(H187&lt;=$BA$21,"Alto",0)))</f>
        <v>0</v>
      </c>
    </row>
    <row r="188" spans="1:61">
      <c r="A188" t="s">
        <v>214</v>
      </c>
      <c r="B188" t="str">
        <f>SUM('Inteligencia emocional'!B189:I189)</f>
        <v>0</v>
      </c>
      <c r="C188" s="10" t="str">
        <f>IF(B188&lt;=$Q$19,"Bajo",IF(B188&lt;=$Q$20,"Regular",IF(B188&lt;=$Q$21,"Alto",0)))</f>
        <v>0</v>
      </c>
      <c r="D188" t="str">
        <f>SUM('Inteligencia emocional'!J189:Q189)</f>
        <v>0</v>
      </c>
      <c r="E188" s="10" t="str">
        <f>IF(D188&lt;=$AC$19,"Bajo",IF(D188&lt;=$AC$20,"Regular",IF(D188&lt;=$AC$21,"Alto",0)))</f>
        <v>0</v>
      </c>
      <c r="F188" t="str">
        <f>SUM('Inteligencia emocional'!R189:Y189)</f>
        <v>0</v>
      </c>
      <c r="G188" s="10" t="str">
        <f>IF(F188&lt;=$AO$19,"Bajo",IF(F188&lt;=$AO$20,"Regular",IF(F188&lt;=$AO$21,"Alto",0)))</f>
        <v>0</v>
      </c>
      <c r="H188" t="str">
        <f>SUM(B188:F188)</f>
        <v>0</v>
      </c>
      <c r="I188" s="10" t="str">
        <f>IF(H188&lt;=$BA$19,"Bajo",IF(H188&lt;=$BA$20,"Regular",IF(H188&lt;=$BA$21,"Alto",0)))</f>
        <v>0</v>
      </c>
    </row>
    <row r="189" spans="1:61">
      <c r="A189" t="s">
        <v>215</v>
      </c>
      <c r="B189" t="str">
        <f>SUM('Inteligencia emocional'!B190:I190)</f>
        <v>0</v>
      </c>
      <c r="C189" s="10" t="str">
        <f>IF(B189&lt;=$Q$19,"Bajo",IF(B189&lt;=$Q$20,"Regular",IF(B189&lt;=$Q$21,"Alto",0)))</f>
        <v>0</v>
      </c>
      <c r="D189" t="str">
        <f>SUM('Inteligencia emocional'!J190:Q190)</f>
        <v>0</v>
      </c>
      <c r="E189" s="10" t="str">
        <f>IF(D189&lt;=$AC$19,"Bajo",IF(D189&lt;=$AC$20,"Regular",IF(D189&lt;=$AC$21,"Alto",0)))</f>
        <v>0</v>
      </c>
      <c r="F189" t="str">
        <f>SUM('Inteligencia emocional'!R190:Y190)</f>
        <v>0</v>
      </c>
      <c r="G189" s="10" t="str">
        <f>IF(F189&lt;=$AO$19,"Bajo",IF(F189&lt;=$AO$20,"Regular",IF(F189&lt;=$AO$21,"Alto",0)))</f>
        <v>0</v>
      </c>
      <c r="H189" t="str">
        <f>SUM(B189:F189)</f>
        <v>0</v>
      </c>
      <c r="I189" s="10" t="str">
        <f>IF(H189&lt;=$BA$19,"Bajo",IF(H189&lt;=$BA$20,"Regular",IF(H189&lt;=$BA$21,"Alto",0)))</f>
        <v>0</v>
      </c>
    </row>
    <row r="190" spans="1:61">
      <c r="A190" t="s">
        <v>216</v>
      </c>
      <c r="B190" t="str">
        <f>SUM('Inteligencia emocional'!B191:I191)</f>
        <v>0</v>
      </c>
      <c r="C190" s="10" t="str">
        <f>IF(B190&lt;=$Q$19,"Bajo",IF(B190&lt;=$Q$20,"Regular",IF(B190&lt;=$Q$21,"Alto",0)))</f>
        <v>0</v>
      </c>
      <c r="D190" t="str">
        <f>SUM('Inteligencia emocional'!J191:Q191)</f>
        <v>0</v>
      </c>
      <c r="E190" s="10" t="str">
        <f>IF(D190&lt;=$AC$19,"Bajo",IF(D190&lt;=$AC$20,"Regular",IF(D190&lt;=$AC$21,"Alto",0)))</f>
        <v>0</v>
      </c>
      <c r="F190" t="str">
        <f>SUM('Inteligencia emocional'!R191:Y191)</f>
        <v>0</v>
      </c>
      <c r="G190" s="10" t="str">
        <f>IF(F190&lt;=$AO$19,"Bajo",IF(F190&lt;=$AO$20,"Regular",IF(F190&lt;=$AO$21,"Alto",0)))</f>
        <v>0</v>
      </c>
      <c r="H190" t="str">
        <f>SUM(B190:F190)</f>
        <v>0</v>
      </c>
      <c r="I190" s="10" t="str">
        <f>IF(H190&lt;=$BA$19,"Bajo",IF(H190&lt;=$BA$20,"Regular",IF(H190&lt;=$BA$21,"Alto",0)))</f>
        <v>0</v>
      </c>
    </row>
    <row r="191" spans="1:61">
      <c r="A191" t="s">
        <v>217</v>
      </c>
      <c r="B191" t="str">
        <f>SUM('Inteligencia emocional'!B192:I192)</f>
        <v>0</v>
      </c>
      <c r="C191" s="10" t="str">
        <f>IF(B191&lt;=$Q$19,"Bajo",IF(B191&lt;=$Q$20,"Regular",IF(B191&lt;=$Q$21,"Alto",0)))</f>
        <v>0</v>
      </c>
      <c r="D191" t="str">
        <f>SUM('Inteligencia emocional'!J192:Q192)</f>
        <v>0</v>
      </c>
      <c r="E191" s="10" t="str">
        <f>IF(D191&lt;=$AC$19,"Bajo",IF(D191&lt;=$AC$20,"Regular",IF(D191&lt;=$AC$21,"Alto",0)))</f>
        <v>0</v>
      </c>
      <c r="F191" t="str">
        <f>SUM('Inteligencia emocional'!R192:Y192)</f>
        <v>0</v>
      </c>
      <c r="G191" s="10" t="str">
        <f>IF(F191&lt;=$AO$19,"Bajo",IF(F191&lt;=$AO$20,"Regular",IF(F191&lt;=$AO$21,"Alto",0)))</f>
        <v>0</v>
      </c>
      <c r="H191" t="str">
        <f>SUM(B191:F191)</f>
        <v>0</v>
      </c>
      <c r="I191" s="10" t="str">
        <f>IF(H191&lt;=$BA$19,"Bajo",IF(H191&lt;=$BA$20,"Regular",IF(H191&lt;=$BA$21,"Alto",0)))</f>
        <v>0</v>
      </c>
    </row>
    <row r="192" spans="1:61">
      <c r="A192" t="s">
        <v>218</v>
      </c>
      <c r="B192" t="str">
        <f>SUM('Inteligencia emocional'!B193:I193)</f>
        <v>0</v>
      </c>
      <c r="C192" s="10" t="str">
        <f>IF(B192&lt;=$Q$19,"Bajo",IF(B192&lt;=$Q$20,"Regular",IF(B192&lt;=$Q$21,"Alto",0)))</f>
        <v>0</v>
      </c>
      <c r="D192" t="str">
        <f>SUM('Inteligencia emocional'!J193:Q193)</f>
        <v>0</v>
      </c>
      <c r="E192" s="10" t="str">
        <f>IF(D192&lt;=$AC$19,"Bajo",IF(D192&lt;=$AC$20,"Regular",IF(D192&lt;=$AC$21,"Alto",0)))</f>
        <v>0</v>
      </c>
      <c r="F192" t="str">
        <f>SUM('Inteligencia emocional'!R193:Y193)</f>
        <v>0</v>
      </c>
      <c r="G192" s="10" t="str">
        <f>IF(F192&lt;=$AO$19,"Bajo",IF(F192&lt;=$AO$20,"Regular",IF(F192&lt;=$AO$21,"Alto",0)))</f>
        <v>0</v>
      </c>
      <c r="H192" t="str">
        <f>SUM(B192:F192)</f>
        <v>0</v>
      </c>
      <c r="I192" s="10" t="str">
        <f>IF(H192&lt;=$BA$19,"Bajo",IF(H192&lt;=$BA$20,"Regular",IF(H192&lt;=$BA$21,"Alto",0)))</f>
        <v>0</v>
      </c>
    </row>
    <row r="193" spans="1:61">
      <c r="A193" t="s">
        <v>219</v>
      </c>
      <c r="B193" t="str">
        <f>SUM('Inteligencia emocional'!B194:I194)</f>
        <v>0</v>
      </c>
      <c r="C193" s="10" t="str">
        <f>IF(B193&lt;=$Q$19,"Bajo",IF(B193&lt;=$Q$20,"Regular",IF(B193&lt;=$Q$21,"Alto",0)))</f>
        <v>0</v>
      </c>
      <c r="D193" t="str">
        <f>SUM('Inteligencia emocional'!J194:Q194)</f>
        <v>0</v>
      </c>
      <c r="E193" s="10" t="str">
        <f>IF(D193&lt;=$AC$19,"Bajo",IF(D193&lt;=$AC$20,"Regular",IF(D193&lt;=$AC$21,"Alto",0)))</f>
        <v>0</v>
      </c>
      <c r="F193" t="str">
        <f>SUM('Inteligencia emocional'!R194:Y194)</f>
        <v>0</v>
      </c>
      <c r="G193" s="10" t="str">
        <f>IF(F193&lt;=$AO$19,"Bajo",IF(F193&lt;=$AO$20,"Regular",IF(F193&lt;=$AO$21,"Alto",0)))</f>
        <v>0</v>
      </c>
      <c r="H193" t="str">
        <f>SUM(B193:F193)</f>
        <v>0</v>
      </c>
      <c r="I193" s="10" t="str">
        <f>IF(H193&lt;=$BA$19,"Bajo",IF(H193&lt;=$BA$20,"Regular",IF(H193&lt;=$BA$21,"Alto",0)))</f>
        <v>0</v>
      </c>
    </row>
    <row r="194" spans="1:61">
      <c r="A194" t="s">
        <v>220</v>
      </c>
      <c r="B194" t="str">
        <f>SUM('Inteligencia emocional'!B195:I195)</f>
        <v>0</v>
      </c>
      <c r="C194" s="10" t="str">
        <f>IF(B194&lt;=$Q$19,"Bajo",IF(B194&lt;=$Q$20,"Regular",IF(B194&lt;=$Q$21,"Alto",0)))</f>
        <v>0</v>
      </c>
      <c r="D194" t="str">
        <f>SUM('Inteligencia emocional'!J195:Q195)</f>
        <v>0</v>
      </c>
      <c r="E194" s="10" t="str">
        <f>IF(D194&lt;=$AC$19,"Bajo",IF(D194&lt;=$AC$20,"Regular",IF(D194&lt;=$AC$21,"Alto",0)))</f>
        <v>0</v>
      </c>
      <c r="F194" t="str">
        <f>SUM('Inteligencia emocional'!R195:Y195)</f>
        <v>0</v>
      </c>
      <c r="G194" s="10" t="str">
        <f>IF(F194&lt;=$AO$19,"Bajo",IF(F194&lt;=$AO$20,"Regular",IF(F194&lt;=$AO$21,"Alto",0)))</f>
        <v>0</v>
      </c>
      <c r="H194" t="str">
        <f>SUM(B194:F194)</f>
        <v>0</v>
      </c>
      <c r="I194" s="10" t="str">
        <f>IF(H194&lt;=$BA$19,"Bajo",IF(H194&lt;=$BA$20,"Regular",IF(H194&lt;=$BA$21,"Alto",0)))</f>
        <v>0</v>
      </c>
    </row>
    <row r="195" spans="1:61">
      <c r="A195" t="s">
        <v>221</v>
      </c>
      <c r="B195" t="str">
        <f>SUM('Inteligencia emocional'!B196:I196)</f>
        <v>0</v>
      </c>
      <c r="C195" s="10" t="str">
        <f>IF(B195&lt;=$Q$19,"Bajo",IF(B195&lt;=$Q$20,"Regular",IF(B195&lt;=$Q$21,"Alto",0)))</f>
        <v>0</v>
      </c>
      <c r="D195" t="str">
        <f>SUM('Inteligencia emocional'!J196:Q196)</f>
        <v>0</v>
      </c>
      <c r="E195" s="10" t="str">
        <f>IF(D195&lt;=$AC$19,"Bajo",IF(D195&lt;=$AC$20,"Regular",IF(D195&lt;=$AC$21,"Alto",0)))</f>
        <v>0</v>
      </c>
      <c r="F195" t="str">
        <f>SUM('Inteligencia emocional'!R196:Y196)</f>
        <v>0</v>
      </c>
      <c r="G195" s="10" t="str">
        <f>IF(F195&lt;=$AO$19,"Bajo",IF(F195&lt;=$AO$20,"Regular",IF(F195&lt;=$AO$21,"Alto",0)))</f>
        <v>0</v>
      </c>
      <c r="H195" t="str">
        <f>SUM(B195:F195)</f>
        <v>0</v>
      </c>
      <c r="I195" s="10" t="str">
        <f>IF(H195&lt;=$BA$19,"Bajo",IF(H195&lt;=$BA$20,"Regular",IF(H195&lt;=$BA$21,"Alto",0)))</f>
        <v>0</v>
      </c>
    </row>
    <row r="196" spans="1:61">
      <c r="A196" t="s">
        <v>222</v>
      </c>
      <c r="B196" t="str">
        <f>SUM('Inteligencia emocional'!B197:I197)</f>
        <v>0</v>
      </c>
      <c r="C196" s="10" t="str">
        <f>IF(B196&lt;=$Q$19,"Bajo",IF(B196&lt;=$Q$20,"Regular",IF(B196&lt;=$Q$21,"Alto",0)))</f>
        <v>0</v>
      </c>
      <c r="D196" t="str">
        <f>SUM('Inteligencia emocional'!J197:Q197)</f>
        <v>0</v>
      </c>
      <c r="E196" s="10" t="str">
        <f>IF(D196&lt;=$AC$19,"Bajo",IF(D196&lt;=$AC$20,"Regular",IF(D196&lt;=$AC$21,"Alto",0)))</f>
        <v>0</v>
      </c>
      <c r="F196" t="str">
        <f>SUM('Inteligencia emocional'!R197:Y197)</f>
        <v>0</v>
      </c>
      <c r="G196" s="10" t="str">
        <f>IF(F196&lt;=$AO$19,"Bajo",IF(F196&lt;=$AO$20,"Regular",IF(F196&lt;=$AO$21,"Alto",0)))</f>
        <v>0</v>
      </c>
      <c r="H196" t="str">
        <f>SUM(B196:F196)</f>
        <v>0</v>
      </c>
      <c r="I196" s="10" t="str">
        <f>IF(H196&lt;=$BA$19,"Bajo",IF(H196&lt;=$BA$20,"Regular",IF(H196&lt;=$BA$21,"Alto",0)))</f>
        <v>0</v>
      </c>
    </row>
    <row r="197" spans="1:61">
      <c r="A197" t="s">
        <v>223</v>
      </c>
      <c r="B197" t="str">
        <f>SUM('Inteligencia emocional'!B198:I198)</f>
        <v>0</v>
      </c>
      <c r="C197" s="10" t="str">
        <f>IF(B197&lt;=$Q$19,"Bajo",IF(B197&lt;=$Q$20,"Regular",IF(B197&lt;=$Q$21,"Alto",0)))</f>
        <v>0</v>
      </c>
      <c r="D197" t="str">
        <f>SUM('Inteligencia emocional'!J198:Q198)</f>
        <v>0</v>
      </c>
      <c r="E197" s="10" t="str">
        <f>IF(D197&lt;=$AC$19,"Bajo",IF(D197&lt;=$AC$20,"Regular",IF(D197&lt;=$AC$21,"Alto",0)))</f>
        <v>0</v>
      </c>
      <c r="F197" t="str">
        <f>SUM('Inteligencia emocional'!R198:Y198)</f>
        <v>0</v>
      </c>
      <c r="G197" s="10" t="str">
        <f>IF(F197&lt;=$AO$19,"Bajo",IF(F197&lt;=$AO$20,"Regular",IF(F197&lt;=$AO$21,"Alto",0)))</f>
        <v>0</v>
      </c>
      <c r="H197" t="str">
        <f>SUM(B197:F197)</f>
        <v>0</v>
      </c>
      <c r="I197" s="10" t="str">
        <f>IF(H197&lt;=$BA$19,"Bajo",IF(H197&lt;=$BA$20,"Regular",IF(H197&lt;=$BA$21,"Alto",0)))</f>
        <v>0</v>
      </c>
    </row>
    <row r="198" spans="1:61">
      <c r="A198" t="s">
        <v>224</v>
      </c>
      <c r="B198" t="str">
        <f>SUM('Inteligencia emocional'!B199:I199)</f>
        <v>0</v>
      </c>
      <c r="C198" s="10" t="str">
        <f>IF(B198&lt;=$Q$19,"Bajo",IF(B198&lt;=$Q$20,"Regular",IF(B198&lt;=$Q$21,"Alto",0)))</f>
        <v>0</v>
      </c>
      <c r="D198" t="str">
        <f>SUM('Inteligencia emocional'!J199:Q199)</f>
        <v>0</v>
      </c>
      <c r="E198" s="10" t="str">
        <f>IF(D198&lt;=$AC$19,"Bajo",IF(D198&lt;=$AC$20,"Regular",IF(D198&lt;=$AC$21,"Alto",0)))</f>
        <v>0</v>
      </c>
      <c r="F198" t="str">
        <f>SUM('Inteligencia emocional'!R199:Y199)</f>
        <v>0</v>
      </c>
      <c r="G198" s="10" t="str">
        <f>IF(F198&lt;=$AO$19,"Bajo",IF(F198&lt;=$AO$20,"Regular",IF(F198&lt;=$AO$21,"Alto",0)))</f>
        <v>0</v>
      </c>
      <c r="H198" t="str">
        <f>SUM(B198:F198)</f>
        <v>0</v>
      </c>
      <c r="I198" s="10" t="str">
        <f>IF(H198&lt;=$BA$19,"Bajo",IF(H198&lt;=$BA$20,"Regular",IF(H198&lt;=$BA$21,"Alto",0)))</f>
        <v>0</v>
      </c>
    </row>
    <row r="199" spans="1:61">
      <c r="A199" t="s">
        <v>225</v>
      </c>
      <c r="B199" t="str">
        <f>SUM('Inteligencia emocional'!B200:I200)</f>
        <v>0</v>
      </c>
      <c r="C199" s="10" t="str">
        <f>IF(B199&lt;=$Q$19,"Bajo",IF(B199&lt;=$Q$20,"Regular",IF(B199&lt;=$Q$21,"Alto",0)))</f>
        <v>0</v>
      </c>
      <c r="D199" t="str">
        <f>SUM('Inteligencia emocional'!J200:Q200)</f>
        <v>0</v>
      </c>
      <c r="E199" s="10" t="str">
        <f>IF(D199&lt;=$AC$19,"Bajo",IF(D199&lt;=$AC$20,"Regular",IF(D199&lt;=$AC$21,"Alto",0)))</f>
        <v>0</v>
      </c>
      <c r="F199" t="str">
        <f>SUM('Inteligencia emocional'!R200:Y200)</f>
        <v>0</v>
      </c>
      <c r="G199" s="10" t="str">
        <f>IF(F199&lt;=$AO$19,"Bajo",IF(F199&lt;=$AO$20,"Regular",IF(F199&lt;=$AO$21,"Alto",0)))</f>
        <v>0</v>
      </c>
      <c r="H199" t="str">
        <f>SUM(B199:F199)</f>
        <v>0</v>
      </c>
      <c r="I199" s="10" t="str">
        <f>IF(H199&lt;=$BA$19,"Bajo",IF(H199&lt;=$BA$20,"Regular",IF(H199&lt;=$BA$21,"Alto",0)))</f>
        <v>0</v>
      </c>
    </row>
    <row r="200" spans="1:61">
      <c r="A200" t="s">
        <v>226</v>
      </c>
      <c r="B200" t="str">
        <f>SUM('Inteligencia emocional'!B201:I201)</f>
        <v>0</v>
      </c>
      <c r="C200" s="10" t="str">
        <f>IF(B200&lt;=$Q$19,"Bajo",IF(B200&lt;=$Q$20,"Regular",IF(B200&lt;=$Q$21,"Alto",0)))</f>
        <v>0</v>
      </c>
      <c r="D200" t="str">
        <f>SUM('Inteligencia emocional'!J201:Q201)</f>
        <v>0</v>
      </c>
      <c r="E200" s="10" t="str">
        <f>IF(D200&lt;=$AC$19,"Bajo",IF(D200&lt;=$AC$20,"Regular",IF(D200&lt;=$AC$21,"Alto",0)))</f>
        <v>0</v>
      </c>
      <c r="F200" t="str">
        <f>SUM('Inteligencia emocional'!R201:Y201)</f>
        <v>0</v>
      </c>
      <c r="G200" s="10" t="str">
        <f>IF(F200&lt;=$AO$19,"Bajo",IF(F200&lt;=$AO$20,"Regular",IF(F200&lt;=$AO$21,"Alto",0)))</f>
        <v>0</v>
      </c>
      <c r="H200" t="str">
        <f>SUM(B200:F200)</f>
        <v>0</v>
      </c>
      <c r="I200" s="10" t="str">
        <f>IF(H200&lt;=$BA$19,"Bajo",IF(H200&lt;=$BA$20,"Regular",IF(H200&lt;=$BA$21,"Alto",0)))</f>
        <v>0</v>
      </c>
    </row>
    <row r="201" spans="1:61">
      <c r="A201" t="s">
        <v>227</v>
      </c>
      <c r="B201" t="str">
        <f>SUM('Inteligencia emocional'!B202:I202)</f>
        <v>0</v>
      </c>
      <c r="C201" s="10" t="str">
        <f>IF(B201&lt;=$Q$19,"Bajo",IF(B201&lt;=$Q$20,"Regular",IF(B201&lt;=$Q$21,"Alto",0)))</f>
        <v>0</v>
      </c>
      <c r="D201" t="str">
        <f>SUM('Inteligencia emocional'!J202:Q202)</f>
        <v>0</v>
      </c>
      <c r="E201" s="10" t="str">
        <f>IF(D201&lt;=$AC$19,"Bajo",IF(D201&lt;=$AC$20,"Regular",IF(D201&lt;=$AC$21,"Alto",0)))</f>
        <v>0</v>
      </c>
      <c r="F201" t="str">
        <f>SUM('Inteligencia emocional'!R202:Y202)</f>
        <v>0</v>
      </c>
      <c r="G201" s="10" t="str">
        <f>IF(F201&lt;=$AO$19,"Bajo",IF(F201&lt;=$AO$20,"Regular",IF(F201&lt;=$AO$21,"Alto",0)))</f>
        <v>0</v>
      </c>
      <c r="H201" t="str">
        <f>SUM(B201:F201)</f>
        <v>0</v>
      </c>
      <c r="I201" s="10" t="str">
        <f>IF(H201&lt;=$BA$19,"Bajo",IF(H201&lt;=$BA$20,"Regular",IF(H201&lt;=$BA$21,"Alto",0)))</f>
        <v>0</v>
      </c>
    </row>
    <row r="202" spans="1:61">
      <c r="A202" t="s">
        <v>228</v>
      </c>
      <c r="B202" t="str">
        <f>SUM('Inteligencia emocional'!B203:I203)</f>
        <v>0</v>
      </c>
      <c r="C202" s="10" t="str">
        <f>IF(B202&lt;=$Q$19,"Bajo",IF(B202&lt;=$Q$20,"Regular",IF(B202&lt;=$Q$21,"Alto",0)))</f>
        <v>0</v>
      </c>
      <c r="D202" t="str">
        <f>SUM('Inteligencia emocional'!J203:Q203)</f>
        <v>0</v>
      </c>
      <c r="E202" s="10" t="str">
        <f>IF(D202&lt;=$AC$19,"Bajo",IF(D202&lt;=$AC$20,"Regular",IF(D202&lt;=$AC$21,"Alto",0)))</f>
        <v>0</v>
      </c>
      <c r="F202" t="str">
        <f>SUM('Inteligencia emocional'!R203:Y203)</f>
        <v>0</v>
      </c>
      <c r="G202" s="10" t="str">
        <f>IF(F202&lt;=$AO$19,"Bajo",IF(F202&lt;=$AO$20,"Regular",IF(F202&lt;=$AO$21,"Alto",0)))</f>
        <v>0</v>
      </c>
      <c r="H202" t="str">
        <f>SUM(B202:F202)</f>
        <v>0</v>
      </c>
      <c r="I202" s="10" t="str">
        <f>IF(H202&lt;=$BA$19,"Bajo",IF(H202&lt;=$BA$20,"Regular",IF(H202&lt;=$BA$21,"Alto",0)))</f>
        <v>0</v>
      </c>
    </row>
    <row r="203" spans="1:61">
      <c r="A203" t="s">
        <v>229</v>
      </c>
      <c r="B203" t="str">
        <f>SUM('Inteligencia emocional'!B204:I204)</f>
        <v>0</v>
      </c>
      <c r="C203" s="10" t="str">
        <f>IF(B203&lt;=$Q$19,"Bajo",IF(B203&lt;=$Q$20,"Regular",IF(B203&lt;=$Q$21,"Alto",0)))</f>
        <v>0</v>
      </c>
      <c r="D203" t="str">
        <f>SUM('Inteligencia emocional'!J204:Q204)</f>
        <v>0</v>
      </c>
      <c r="E203" s="10" t="str">
        <f>IF(D203&lt;=$AC$19,"Bajo",IF(D203&lt;=$AC$20,"Regular",IF(D203&lt;=$AC$21,"Alto",0)))</f>
        <v>0</v>
      </c>
      <c r="F203" t="str">
        <f>SUM('Inteligencia emocional'!R204:Y204)</f>
        <v>0</v>
      </c>
      <c r="G203" s="10" t="str">
        <f>IF(F203&lt;=$AO$19,"Bajo",IF(F203&lt;=$AO$20,"Regular",IF(F203&lt;=$AO$21,"Alto",0)))</f>
        <v>0</v>
      </c>
      <c r="H203" t="str">
        <f>SUM(B203:F203)</f>
        <v>0</v>
      </c>
      <c r="I203" s="10" t="str">
        <f>IF(H203&lt;=$BA$19,"Bajo",IF(H203&lt;=$BA$20,"Regular",IF(H203&lt;=$BA$21,"Alto",0)))</f>
        <v>0</v>
      </c>
    </row>
    <row r="204" spans="1:61">
      <c r="A204" t="s">
        <v>230</v>
      </c>
      <c r="B204" t="str">
        <f>SUM('Inteligencia emocional'!B205:I205)</f>
        <v>0</v>
      </c>
      <c r="C204" s="10" t="str">
        <f>IF(B204&lt;=$Q$19,"Bajo",IF(B204&lt;=$Q$20,"Regular",IF(B204&lt;=$Q$21,"Alto",0)))</f>
        <v>0</v>
      </c>
      <c r="D204" t="str">
        <f>SUM('Inteligencia emocional'!J205:Q205)</f>
        <v>0</v>
      </c>
      <c r="E204" s="10" t="str">
        <f>IF(D204&lt;=$AC$19,"Bajo",IF(D204&lt;=$AC$20,"Regular",IF(D204&lt;=$AC$21,"Alto",0)))</f>
        <v>0</v>
      </c>
      <c r="F204" t="str">
        <f>SUM('Inteligencia emocional'!R205:Y205)</f>
        <v>0</v>
      </c>
      <c r="G204" s="10" t="str">
        <f>IF(F204&lt;=$AO$19,"Bajo",IF(F204&lt;=$AO$20,"Regular",IF(F204&lt;=$AO$21,"Alto",0)))</f>
        <v>0</v>
      </c>
      <c r="H204" t="str">
        <f>SUM(B204:F204)</f>
        <v>0</v>
      </c>
      <c r="I204" s="10" t="str">
        <f>IF(H204&lt;=$BA$19,"Bajo",IF(H204&lt;=$BA$20,"Regular",IF(H204&lt;=$BA$21,"Alto",0)))</f>
        <v>0</v>
      </c>
    </row>
    <row r="205" spans="1:61">
      <c r="A205" t="s">
        <v>231</v>
      </c>
      <c r="B205" t="str">
        <f>SUM('Inteligencia emocional'!B206:I206)</f>
        <v>0</v>
      </c>
      <c r="C205" s="10" t="str">
        <f>IF(B205&lt;=$Q$19,"Bajo",IF(B205&lt;=$Q$20,"Regular",IF(B205&lt;=$Q$21,"Alto",0)))</f>
        <v>0</v>
      </c>
      <c r="D205" t="str">
        <f>SUM('Inteligencia emocional'!J206:Q206)</f>
        <v>0</v>
      </c>
      <c r="E205" s="10" t="str">
        <f>IF(D205&lt;=$AC$19,"Bajo",IF(D205&lt;=$AC$20,"Regular",IF(D205&lt;=$AC$21,"Alto",0)))</f>
        <v>0</v>
      </c>
      <c r="F205" t="str">
        <f>SUM('Inteligencia emocional'!R206:Y206)</f>
        <v>0</v>
      </c>
      <c r="G205" s="10" t="str">
        <f>IF(F205&lt;=$AO$19,"Bajo",IF(F205&lt;=$AO$20,"Regular",IF(F205&lt;=$AO$21,"Alto",0)))</f>
        <v>0</v>
      </c>
      <c r="H205" t="str">
        <f>SUM(B205:F205)</f>
        <v>0</v>
      </c>
      <c r="I205" s="10" t="str">
        <f>IF(H205&lt;=$BA$19,"Bajo",IF(H205&lt;=$BA$20,"Regular",IF(H205&lt;=$BA$21,"Alto",0)))</f>
        <v>0</v>
      </c>
    </row>
    <row r="206" spans="1:61">
      <c r="A206" t="s">
        <v>232</v>
      </c>
      <c r="B206" t="str">
        <f>SUM('Inteligencia emocional'!B207:I207)</f>
        <v>0</v>
      </c>
      <c r="C206" s="10" t="str">
        <f>IF(B206&lt;=$Q$19,"Bajo",IF(B206&lt;=$Q$20,"Regular",IF(B206&lt;=$Q$21,"Alto",0)))</f>
        <v>0</v>
      </c>
      <c r="D206" t="str">
        <f>SUM('Inteligencia emocional'!J207:Q207)</f>
        <v>0</v>
      </c>
      <c r="E206" s="10" t="str">
        <f>IF(D206&lt;=$AC$19,"Bajo",IF(D206&lt;=$AC$20,"Regular",IF(D206&lt;=$AC$21,"Alto",0)))</f>
        <v>0</v>
      </c>
      <c r="F206" t="str">
        <f>SUM('Inteligencia emocional'!R207:Y207)</f>
        <v>0</v>
      </c>
      <c r="G206" s="10" t="str">
        <f>IF(F206&lt;=$AO$19,"Bajo",IF(F206&lt;=$AO$20,"Regular",IF(F206&lt;=$AO$21,"Alto",0)))</f>
        <v>0</v>
      </c>
      <c r="H206" t="str">
        <f>SUM(B206:F206)</f>
        <v>0</v>
      </c>
      <c r="I206" s="10" t="str">
        <f>IF(H206&lt;=$BA$19,"Bajo",IF(H206&lt;=$BA$20,"Regular",IF(H206&lt;=$BA$21,"Alto",0)))</f>
        <v>0</v>
      </c>
    </row>
    <row r="207" spans="1:61">
      <c r="A207" t="s">
        <v>233</v>
      </c>
      <c r="B207" t="str">
        <f>SUM('Inteligencia emocional'!B208:I208)</f>
        <v>0</v>
      </c>
      <c r="C207" s="10" t="str">
        <f>IF(B207&lt;=$Q$19,"Bajo",IF(B207&lt;=$Q$20,"Regular",IF(B207&lt;=$Q$21,"Alto",0)))</f>
        <v>0</v>
      </c>
      <c r="D207" t="str">
        <f>SUM('Inteligencia emocional'!J208:Q208)</f>
        <v>0</v>
      </c>
      <c r="E207" s="10" t="str">
        <f>IF(D207&lt;=$AC$19,"Bajo",IF(D207&lt;=$AC$20,"Regular",IF(D207&lt;=$AC$21,"Alto",0)))</f>
        <v>0</v>
      </c>
      <c r="F207" t="str">
        <f>SUM('Inteligencia emocional'!R208:Y208)</f>
        <v>0</v>
      </c>
      <c r="G207" s="10" t="str">
        <f>IF(F207&lt;=$AO$19,"Bajo",IF(F207&lt;=$AO$20,"Regular",IF(F207&lt;=$AO$21,"Alto",0)))</f>
        <v>0</v>
      </c>
      <c r="H207" t="str">
        <f>SUM(B207:F207)</f>
        <v>0</v>
      </c>
      <c r="I207" s="10" t="str">
        <f>IF(H207&lt;=$BA$19,"Bajo",IF(H207&lt;=$BA$20,"Regular",IF(H207&lt;=$BA$21,"Alto",0)))</f>
        <v>0</v>
      </c>
    </row>
    <row r="208" spans="1:61">
      <c r="A208" t="s">
        <v>234</v>
      </c>
      <c r="B208" t="str">
        <f>SUM('Inteligencia emocional'!B209:I209)</f>
        <v>0</v>
      </c>
      <c r="C208" s="10" t="str">
        <f>IF(B208&lt;=$Q$19,"Bajo",IF(B208&lt;=$Q$20,"Regular",IF(B208&lt;=$Q$21,"Alto",0)))</f>
        <v>0</v>
      </c>
      <c r="D208" t="str">
        <f>SUM('Inteligencia emocional'!J209:Q209)</f>
        <v>0</v>
      </c>
      <c r="E208" s="10" t="str">
        <f>IF(D208&lt;=$AC$19,"Bajo",IF(D208&lt;=$AC$20,"Regular",IF(D208&lt;=$AC$21,"Alto",0)))</f>
        <v>0</v>
      </c>
      <c r="F208" t="str">
        <f>SUM('Inteligencia emocional'!R209:Y209)</f>
        <v>0</v>
      </c>
      <c r="G208" s="10" t="str">
        <f>IF(F208&lt;=$AO$19,"Bajo",IF(F208&lt;=$AO$20,"Regular",IF(F208&lt;=$AO$21,"Alto",0)))</f>
        <v>0</v>
      </c>
      <c r="H208" t="str">
        <f>SUM(B208:F208)</f>
        <v>0</v>
      </c>
      <c r="I208" s="10" t="str">
        <f>IF(H208&lt;=$BA$19,"Bajo",IF(H208&lt;=$BA$20,"Regular",IF(H208&lt;=$BA$21,"Alto",0)))</f>
        <v>0</v>
      </c>
    </row>
    <row r="209" spans="1:61">
      <c r="A209" t="s">
        <v>235</v>
      </c>
      <c r="B209" t="str">
        <f>SUM('Inteligencia emocional'!B210:I210)</f>
        <v>0</v>
      </c>
      <c r="C209" s="10" t="str">
        <f>IF(B209&lt;=$Q$19,"Bajo",IF(B209&lt;=$Q$20,"Regular",IF(B209&lt;=$Q$21,"Alto",0)))</f>
        <v>0</v>
      </c>
      <c r="D209" t="str">
        <f>SUM('Inteligencia emocional'!J210:Q210)</f>
        <v>0</v>
      </c>
      <c r="E209" s="10" t="str">
        <f>IF(D209&lt;=$AC$19,"Bajo",IF(D209&lt;=$AC$20,"Regular",IF(D209&lt;=$AC$21,"Alto",0)))</f>
        <v>0</v>
      </c>
      <c r="F209" t="str">
        <f>SUM('Inteligencia emocional'!R210:Y210)</f>
        <v>0</v>
      </c>
      <c r="G209" s="10" t="str">
        <f>IF(F209&lt;=$AO$19,"Bajo",IF(F209&lt;=$AO$20,"Regular",IF(F209&lt;=$AO$21,"Alto",0)))</f>
        <v>0</v>
      </c>
      <c r="H209" t="str">
        <f>SUM(B209:F209)</f>
        <v>0</v>
      </c>
      <c r="I209" s="10" t="str">
        <f>IF(H209&lt;=$BA$19,"Bajo",IF(H209&lt;=$BA$20,"Regular",IF(H209&lt;=$BA$21,"Alto",0)))</f>
        <v>0</v>
      </c>
    </row>
    <row r="210" spans="1:61">
      <c r="A210" t="s">
        <v>236</v>
      </c>
      <c r="B210" t="str">
        <f>SUM('Inteligencia emocional'!B211:I211)</f>
        <v>0</v>
      </c>
      <c r="C210" s="10" t="str">
        <f>IF(B210&lt;=$Q$19,"Bajo",IF(B210&lt;=$Q$20,"Regular",IF(B210&lt;=$Q$21,"Alto",0)))</f>
        <v>0</v>
      </c>
      <c r="D210" t="str">
        <f>SUM('Inteligencia emocional'!J211:Q211)</f>
        <v>0</v>
      </c>
      <c r="E210" s="10" t="str">
        <f>IF(D210&lt;=$AC$19,"Bajo",IF(D210&lt;=$AC$20,"Regular",IF(D210&lt;=$AC$21,"Alto",0)))</f>
        <v>0</v>
      </c>
      <c r="F210" t="str">
        <f>SUM('Inteligencia emocional'!R211:Y211)</f>
        <v>0</v>
      </c>
      <c r="G210" s="10" t="str">
        <f>IF(F210&lt;=$AO$19,"Bajo",IF(F210&lt;=$AO$20,"Regular",IF(F210&lt;=$AO$21,"Alto",0)))</f>
        <v>0</v>
      </c>
      <c r="H210" t="str">
        <f>SUM(B210:F210)</f>
        <v>0</v>
      </c>
      <c r="I210" s="10" t="str">
        <f>IF(H210&lt;=$BA$19,"Bajo",IF(H210&lt;=$BA$20,"Regular",IF(H210&lt;=$BA$21,"Alto",0)))</f>
        <v>0</v>
      </c>
    </row>
    <row r="211" spans="1:61">
      <c r="A211" t="s">
        <v>237</v>
      </c>
      <c r="B211" t="str">
        <f>SUM('Inteligencia emocional'!B212:I212)</f>
        <v>0</v>
      </c>
      <c r="C211" s="10" t="str">
        <f>IF(B211&lt;=$Q$19,"Bajo",IF(B211&lt;=$Q$20,"Regular",IF(B211&lt;=$Q$21,"Alto",0)))</f>
        <v>0</v>
      </c>
      <c r="D211" t="str">
        <f>SUM('Inteligencia emocional'!J212:Q212)</f>
        <v>0</v>
      </c>
      <c r="E211" s="10" t="str">
        <f>IF(D211&lt;=$AC$19,"Bajo",IF(D211&lt;=$AC$20,"Regular",IF(D211&lt;=$AC$21,"Alto",0)))</f>
        <v>0</v>
      </c>
      <c r="F211" t="str">
        <f>SUM('Inteligencia emocional'!R212:Y212)</f>
        <v>0</v>
      </c>
      <c r="G211" s="10" t="str">
        <f>IF(F211&lt;=$AO$19,"Bajo",IF(F211&lt;=$AO$20,"Regular",IF(F211&lt;=$AO$21,"Alto",0)))</f>
        <v>0</v>
      </c>
      <c r="H211" t="str">
        <f>SUM(B211:F211)</f>
        <v>0</v>
      </c>
      <c r="I211" s="10" t="str">
        <f>IF(H211&lt;=$BA$19,"Bajo",IF(H211&lt;=$BA$20,"Regular",IF(H211&lt;=$BA$21,"Alto",0)))</f>
        <v>0</v>
      </c>
    </row>
    <row r="212" spans="1:61">
      <c r="A212" t="s">
        <v>238</v>
      </c>
      <c r="B212" t="str">
        <f>SUM('Inteligencia emocional'!B213:I213)</f>
        <v>0</v>
      </c>
      <c r="C212" s="10" t="str">
        <f>IF(B212&lt;=$Q$19,"Bajo",IF(B212&lt;=$Q$20,"Regular",IF(B212&lt;=$Q$21,"Alto",0)))</f>
        <v>0</v>
      </c>
      <c r="D212" t="str">
        <f>SUM('Inteligencia emocional'!J213:Q213)</f>
        <v>0</v>
      </c>
      <c r="E212" s="10" t="str">
        <f>IF(D212&lt;=$AC$19,"Bajo",IF(D212&lt;=$AC$20,"Regular",IF(D212&lt;=$AC$21,"Alto",0)))</f>
        <v>0</v>
      </c>
      <c r="F212" t="str">
        <f>SUM('Inteligencia emocional'!R213:Y213)</f>
        <v>0</v>
      </c>
      <c r="G212" s="10" t="str">
        <f>IF(F212&lt;=$AO$19,"Bajo",IF(F212&lt;=$AO$20,"Regular",IF(F212&lt;=$AO$21,"Alto",0)))</f>
        <v>0</v>
      </c>
      <c r="H212" t="str">
        <f>SUM(B212:F212)</f>
        <v>0</v>
      </c>
      <c r="I212" s="10" t="str">
        <f>IF(H212&lt;=$BA$19,"Bajo",IF(H212&lt;=$BA$20,"Regular",IF(H212&lt;=$BA$21,"Alto",0)))</f>
        <v>0</v>
      </c>
    </row>
    <row r="213" spans="1:61">
      <c r="A213" t="s">
        <v>239</v>
      </c>
      <c r="B213" t="str">
        <f>SUM('Inteligencia emocional'!B214:I214)</f>
        <v>0</v>
      </c>
      <c r="C213" s="10" t="str">
        <f>IF(B213&lt;=$Q$19,"Bajo",IF(B213&lt;=$Q$20,"Regular",IF(B213&lt;=$Q$21,"Alto",0)))</f>
        <v>0</v>
      </c>
      <c r="D213" t="str">
        <f>SUM('Inteligencia emocional'!J214:Q214)</f>
        <v>0</v>
      </c>
      <c r="E213" s="10" t="str">
        <f>IF(D213&lt;=$AC$19,"Bajo",IF(D213&lt;=$AC$20,"Regular",IF(D213&lt;=$AC$21,"Alto",0)))</f>
        <v>0</v>
      </c>
      <c r="F213" t="str">
        <f>SUM('Inteligencia emocional'!R214:Y214)</f>
        <v>0</v>
      </c>
      <c r="G213" s="10" t="str">
        <f>IF(F213&lt;=$AO$19,"Bajo",IF(F213&lt;=$AO$20,"Regular",IF(F213&lt;=$AO$21,"Alto",0)))</f>
        <v>0</v>
      </c>
      <c r="H213" t="str">
        <f>SUM(B213:F213)</f>
        <v>0</v>
      </c>
      <c r="I213" s="10" t="str">
        <f>IF(H213&lt;=$BA$19,"Bajo",IF(H213&lt;=$BA$20,"Regular",IF(H213&lt;=$BA$21,"Alto",0)))</f>
        <v>0</v>
      </c>
    </row>
    <row r="214" spans="1:61">
      <c r="A214" t="s">
        <v>240</v>
      </c>
      <c r="B214" t="str">
        <f>SUM('Inteligencia emocional'!B215:I215)</f>
        <v>0</v>
      </c>
      <c r="C214" s="10" t="str">
        <f>IF(B214&lt;=$Q$19,"Bajo",IF(B214&lt;=$Q$20,"Regular",IF(B214&lt;=$Q$21,"Alto",0)))</f>
        <v>0</v>
      </c>
      <c r="D214" t="str">
        <f>SUM('Inteligencia emocional'!J215:Q215)</f>
        <v>0</v>
      </c>
      <c r="E214" s="10" t="str">
        <f>IF(D214&lt;=$AC$19,"Bajo",IF(D214&lt;=$AC$20,"Regular",IF(D214&lt;=$AC$21,"Alto",0)))</f>
        <v>0</v>
      </c>
      <c r="F214" t="str">
        <f>SUM('Inteligencia emocional'!R215:Y215)</f>
        <v>0</v>
      </c>
      <c r="G214" s="10" t="str">
        <f>IF(F214&lt;=$AO$19,"Bajo",IF(F214&lt;=$AO$20,"Regular",IF(F214&lt;=$AO$21,"Alto",0)))</f>
        <v>0</v>
      </c>
      <c r="H214" t="str">
        <f>SUM(B214:F214)</f>
        <v>0</v>
      </c>
      <c r="I214" s="10" t="str">
        <f>IF(H214&lt;=$BA$19,"Bajo",IF(H214&lt;=$BA$20,"Regular",IF(H214&lt;=$BA$21,"Alto",0)))</f>
        <v>0</v>
      </c>
    </row>
    <row r="215" spans="1:61">
      <c r="A215" t="s">
        <v>241</v>
      </c>
      <c r="B215" t="str">
        <f>SUM('Inteligencia emocional'!B216:I216)</f>
        <v>0</v>
      </c>
      <c r="C215" s="10" t="str">
        <f>IF(B215&lt;=$Q$19,"Bajo",IF(B215&lt;=$Q$20,"Regular",IF(B215&lt;=$Q$21,"Alto",0)))</f>
        <v>0</v>
      </c>
      <c r="D215" t="str">
        <f>SUM('Inteligencia emocional'!J216:Q216)</f>
        <v>0</v>
      </c>
      <c r="E215" s="10" t="str">
        <f>IF(D215&lt;=$AC$19,"Bajo",IF(D215&lt;=$AC$20,"Regular",IF(D215&lt;=$AC$21,"Alto",0)))</f>
        <v>0</v>
      </c>
      <c r="F215" t="str">
        <f>SUM('Inteligencia emocional'!R216:Y216)</f>
        <v>0</v>
      </c>
      <c r="G215" s="10" t="str">
        <f>IF(F215&lt;=$AO$19,"Bajo",IF(F215&lt;=$AO$20,"Regular",IF(F215&lt;=$AO$21,"Alto",0)))</f>
        <v>0</v>
      </c>
      <c r="H215" t="str">
        <f>SUM(B215:F215)</f>
        <v>0</v>
      </c>
      <c r="I215" s="10" t="str">
        <f>IF(H215&lt;=$BA$19,"Bajo",IF(H215&lt;=$BA$20,"Regular",IF(H215&lt;=$BA$21,"Alto",0)))</f>
        <v>0</v>
      </c>
    </row>
    <row r="216" spans="1:61">
      <c r="A216" t="s">
        <v>242</v>
      </c>
      <c r="B216" t="str">
        <f>SUM('Inteligencia emocional'!B217:I217)</f>
        <v>0</v>
      </c>
      <c r="C216" s="10" t="str">
        <f>IF(B216&lt;=$Q$19,"Bajo",IF(B216&lt;=$Q$20,"Regular",IF(B216&lt;=$Q$21,"Alto",0)))</f>
        <v>0</v>
      </c>
      <c r="D216" t="str">
        <f>SUM('Inteligencia emocional'!J217:Q217)</f>
        <v>0</v>
      </c>
      <c r="E216" s="10" t="str">
        <f>IF(D216&lt;=$AC$19,"Bajo",IF(D216&lt;=$AC$20,"Regular",IF(D216&lt;=$AC$21,"Alto",0)))</f>
        <v>0</v>
      </c>
      <c r="F216" t="str">
        <f>SUM('Inteligencia emocional'!R217:Y217)</f>
        <v>0</v>
      </c>
      <c r="G216" s="10" t="str">
        <f>IF(F216&lt;=$AO$19,"Bajo",IF(F216&lt;=$AO$20,"Regular",IF(F216&lt;=$AO$21,"Alto",0)))</f>
        <v>0</v>
      </c>
      <c r="H216" t="str">
        <f>SUM(B216:F216)</f>
        <v>0</v>
      </c>
      <c r="I216" s="10" t="str">
        <f>IF(H216&lt;=$BA$19,"Bajo",IF(H216&lt;=$BA$20,"Regular",IF(H216&lt;=$BA$21,"Alto",0)))</f>
        <v>0</v>
      </c>
    </row>
    <row r="217" spans="1:61">
      <c r="A217" t="s">
        <v>243</v>
      </c>
      <c r="B217" t="str">
        <f>SUM('Inteligencia emocional'!B218:I218)</f>
        <v>0</v>
      </c>
      <c r="C217" s="10" t="str">
        <f>IF(B217&lt;=$Q$19,"Bajo",IF(B217&lt;=$Q$20,"Regular",IF(B217&lt;=$Q$21,"Alto",0)))</f>
        <v>0</v>
      </c>
      <c r="D217" t="str">
        <f>SUM('Inteligencia emocional'!J218:Q218)</f>
        <v>0</v>
      </c>
      <c r="E217" s="10" t="str">
        <f>IF(D217&lt;=$AC$19,"Bajo",IF(D217&lt;=$AC$20,"Regular",IF(D217&lt;=$AC$21,"Alto",0)))</f>
        <v>0</v>
      </c>
      <c r="F217" t="str">
        <f>SUM('Inteligencia emocional'!R218:Y218)</f>
        <v>0</v>
      </c>
      <c r="G217" s="10" t="str">
        <f>IF(F217&lt;=$AO$19,"Bajo",IF(F217&lt;=$AO$20,"Regular",IF(F217&lt;=$AO$21,"Alto",0)))</f>
        <v>0</v>
      </c>
      <c r="H217" t="str">
        <f>SUM(B217:F217)</f>
        <v>0</v>
      </c>
      <c r="I217" s="10" t="str">
        <f>IF(H217&lt;=$BA$19,"Bajo",IF(H217&lt;=$BA$20,"Regular",IF(H217&lt;=$BA$21,"Alto",0)))</f>
        <v>0</v>
      </c>
    </row>
    <row r="218" spans="1:61">
      <c r="A218" t="s">
        <v>244</v>
      </c>
      <c r="B218" t="str">
        <f>SUM('Inteligencia emocional'!B219:I219)</f>
        <v>0</v>
      </c>
      <c r="C218" s="10" t="str">
        <f>IF(B218&lt;=$Q$19,"Bajo",IF(B218&lt;=$Q$20,"Regular",IF(B218&lt;=$Q$21,"Alto",0)))</f>
        <v>0</v>
      </c>
      <c r="D218" t="str">
        <f>SUM('Inteligencia emocional'!J219:Q219)</f>
        <v>0</v>
      </c>
      <c r="E218" s="10" t="str">
        <f>IF(D218&lt;=$AC$19,"Bajo",IF(D218&lt;=$AC$20,"Regular",IF(D218&lt;=$AC$21,"Alto",0)))</f>
        <v>0</v>
      </c>
      <c r="F218" t="str">
        <f>SUM('Inteligencia emocional'!R219:Y219)</f>
        <v>0</v>
      </c>
      <c r="G218" s="10" t="str">
        <f>IF(F218&lt;=$AO$19,"Bajo",IF(F218&lt;=$AO$20,"Regular",IF(F218&lt;=$AO$21,"Alto",0)))</f>
        <v>0</v>
      </c>
      <c r="H218" t="str">
        <f>SUM(B218:F218)</f>
        <v>0</v>
      </c>
      <c r="I218" s="10" t="str">
        <f>IF(H218&lt;=$BA$19,"Bajo",IF(H218&lt;=$BA$20,"Regular",IF(H218&lt;=$BA$21,"Alto",0)))</f>
        <v>0</v>
      </c>
    </row>
    <row r="219" spans="1:61">
      <c r="A219" t="s">
        <v>245</v>
      </c>
      <c r="B219" t="str">
        <f>SUM('Inteligencia emocional'!B220:I220)</f>
        <v>0</v>
      </c>
      <c r="C219" s="10" t="str">
        <f>IF(B219&lt;=$Q$19,"Bajo",IF(B219&lt;=$Q$20,"Regular",IF(B219&lt;=$Q$21,"Alto",0)))</f>
        <v>0</v>
      </c>
      <c r="D219" t="str">
        <f>SUM('Inteligencia emocional'!J220:Q220)</f>
        <v>0</v>
      </c>
      <c r="E219" s="10" t="str">
        <f>IF(D219&lt;=$AC$19,"Bajo",IF(D219&lt;=$AC$20,"Regular",IF(D219&lt;=$AC$21,"Alto",0)))</f>
        <v>0</v>
      </c>
      <c r="F219" t="str">
        <f>SUM('Inteligencia emocional'!R220:Y220)</f>
        <v>0</v>
      </c>
      <c r="G219" s="10" t="str">
        <f>IF(F219&lt;=$AO$19,"Bajo",IF(F219&lt;=$AO$20,"Regular",IF(F219&lt;=$AO$21,"Alto",0)))</f>
        <v>0</v>
      </c>
      <c r="H219" t="str">
        <f>SUM(B219:F219)</f>
        <v>0</v>
      </c>
      <c r="I219" s="10" t="str">
        <f>IF(H219&lt;=$BA$19,"Bajo",IF(H219&lt;=$BA$20,"Regular",IF(H219&lt;=$BA$21,"Alto",0)))</f>
        <v>0</v>
      </c>
    </row>
    <row r="220" spans="1:61">
      <c r="A220" t="s">
        <v>246</v>
      </c>
      <c r="B220" t="str">
        <f>SUM('Inteligencia emocional'!B221:I221)</f>
        <v>0</v>
      </c>
      <c r="C220" s="10" t="str">
        <f>IF(B220&lt;=$Q$19,"Bajo",IF(B220&lt;=$Q$20,"Regular",IF(B220&lt;=$Q$21,"Alto",0)))</f>
        <v>0</v>
      </c>
      <c r="D220" t="str">
        <f>SUM('Inteligencia emocional'!J221:Q221)</f>
        <v>0</v>
      </c>
      <c r="E220" s="10" t="str">
        <f>IF(D220&lt;=$AC$19,"Bajo",IF(D220&lt;=$AC$20,"Regular",IF(D220&lt;=$AC$21,"Alto",0)))</f>
        <v>0</v>
      </c>
      <c r="F220" t="str">
        <f>SUM('Inteligencia emocional'!R221:Y221)</f>
        <v>0</v>
      </c>
      <c r="G220" s="10" t="str">
        <f>IF(F220&lt;=$AO$19,"Bajo",IF(F220&lt;=$AO$20,"Regular",IF(F220&lt;=$AO$21,"Alto",0)))</f>
        <v>0</v>
      </c>
      <c r="H220" t="str">
        <f>SUM(B220:F220)</f>
        <v>0</v>
      </c>
      <c r="I220" s="10" t="str">
        <f>IF(H220&lt;=$BA$19,"Bajo",IF(H220&lt;=$BA$20,"Regular",IF(H220&lt;=$BA$21,"Alto",0)))</f>
        <v>0</v>
      </c>
    </row>
    <row r="221" spans="1:61">
      <c r="A221" t="s">
        <v>247</v>
      </c>
      <c r="B221" t="str">
        <f>SUM('Inteligencia emocional'!B222:I222)</f>
        <v>0</v>
      </c>
      <c r="C221" s="10" t="str">
        <f>IF(B221&lt;=$Q$19,"Bajo",IF(B221&lt;=$Q$20,"Regular",IF(B221&lt;=$Q$21,"Alto",0)))</f>
        <v>0</v>
      </c>
      <c r="D221" t="str">
        <f>SUM('Inteligencia emocional'!J222:Q222)</f>
        <v>0</v>
      </c>
      <c r="E221" s="10" t="str">
        <f>IF(D221&lt;=$AC$19,"Bajo",IF(D221&lt;=$AC$20,"Regular",IF(D221&lt;=$AC$21,"Alto",0)))</f>
        <v>0</v>
      </c>
      <c r="F221" t="str">
        <f>SUM('Inteligencia emocional'!R222:Y222)</f>
        <v>0</v>
      </c>
      <c r="G221" s="10" t="str">
        <f>IF(F221&lt;=$AO$19,"Bajo",IF(F221&lt;=$AO$20,"Regular",IF(F221&lt;=$AO$21,"Alto",0)))</f>
        <v>0</v>
      </c>
      <c r="H221" t="str">
        <f>SUM(B221:F221)</f>
        <v>0</v>
      </c>
      <c r="I221" s="10" t="str">
        <f>IF(H221&lt;=$BA$19,"Bajo",IF(H221&lt;=$BA$20,"Regular",IF(H221&lt;=$BA$21,"Alto",0)))</f>
        <v>0</v>
      </c>
    </row>
    <row r="222" spans="1:61">
      <c r="A222" t="s">
        <v>248</v>
      </c>
      <c r="B222" t="str">
        <f>SUM('Inteligencia emocional'!B223:I223)</f>
        <v>0</v>
      </c>
      <c r="C222" s="10" t="str">
        <f>IF(B222&lt;=$Q$19,"Bajo",IF(B222&lt;=$Q$20,"Regular",IF(B222&lt;=$Q$21,"Alto",0)))</f>
        <v>0</v>
      </c>
      <c r="D222" t="str">
        <f>SUM('Inteligencia emocional'!J223:Q223)</f>
        <v>0</v>
      </c>
      <c r="E222" s="10" t="str">
        <f>IF(D222&lt;=$AC$19,"Bajo",IF(D222&lt;=$AC$20,"Regular",IF(D222&lt;=$AC$21,"Alto",0)))</f>
        <v>0</v>
      </c>
      <c r="F222" t="str">
        <f>SUM('Inteligencia emocional'!R223:Y223)</f>
        <v>0</v>
      </c>
      <c r="G222" s="10" t="str">
        <f>IF(F222&lt;=$AO$19,"Bajo",IF(F222&lt;=$AO$20,"Regular",IF(F222&lt;=$AO$21,"Alto",0)))</f>
        <v>0</v>
      </c>
      <c r="H222" t="str">
        <f>SUM(B222:F222)</f>
        <v>0</v>
      </c>
      <c r="I222" s="10" t="str">
        <f>IF(H222&lt;=$BA$19,"Bajo",IF(H222&lt;=$BA$20,"Regular",IF(H222&lt;=$BA$21,"Alto",0)))</f>
        <v>0</v>
      </c>
    </row>
    <row r="223" spans="1:61">
      <c r="A223" t="s">
        <v>249</v>
      </c>
      <c r="B223" t="str">
        <f>SUM('Inteligencia emocional'!B224:I224)</f>
        <v>0</v>
      </c>
      <c r="C223" s="10" t="str">
        <f>IF(B223&lt;=$Q$19,"Bajo",IF(B223&lt;=$Q$20,"Regular",IF(B223&lt;=$Q$21,"Alto",0)))</f>
        <v>0</v>
      </c>
      <c r="D223" t="str">
        <f>SUM('Inteligencia emocional'!J224:Q224)</f>
        <v>0</v>
      </c>
      <c r="E223" s="10" t="str">
        <f>IF(D223&lt;=$AC$19,"Bajo",IF(D223&lt;=$AC$20,"Regular",IF(D223&lt;=$AC$21,"Alto",0)))</f>
        <v>0</v>
      </c>
      <c r="F223" t="str">
        <f>SUM('Inteligencia emocional'!R224:Y224)</f>
        <v>0</v>
      </c>
      <c r="G223" s="10" t="str">
        <f>IF(F223&lt;=$AO$19,"Bajo",IF(F223&lt;=$AO$20,"Regular",IF(F223&lt;=$AO$21,"Alto",0)))</f>
        <v>0</v>
      </c>
      <c r="H223" t="str">
        <f>SUM(B223:F223)</f>
        <v>0</v>
      </c>
      <c r="I223" s="10" t="str">
        <f>IF(H223&lt;=$BA$19,"Bajo",IF(H223&lt;=$BA$20,"Regular",IF(H223&lt;=$BA$21,"Alto",0)))</f>
        <v>0</v>
      </c>
    </row>
    <row r="224" spans="1:61">
      <c r="A224" t="s">
        <v>250</v>
      </c>
      <c r="B224" t="str">
        <f>SUM('Inteligencia emocional'!B225:I225)</f>
        <v>0</v>
      </c>
      <c r="C224" s="10" t="str">
        <f>IF(B224&lt;=$Q$19,"Bajo",IF(B224&lt;=$Q$20,"Regular",IF(B224&lt;=$Q$21,"Alto",0)))</f>
        <v>0</v>
      </c>
      <c r="D224" t="str">
        <f>SUM('Inteligencia emocional'!J225:Q225)</f>
        <v>0</v>
      </c>
      <c r="E224" s="10" t="str">
        <f>IF(D224&lt;=$AC$19,"Bajo",IF(D224&lt;=$AC$20,"Regular",IF(D224&lt;=$AC$21,"Alto",0)))</f>
        <v>0</v>
      </c>
      <c r="F224" t="str">
        <f>SUM('Inteligencia emocional'!R225:Y225)</f>
        <v>0</v>
      </c>
      <c r="G224" s="10" t="str">
        <f>IF(F224&lt;=$AO$19,"Bajo",IF(F224&lt;=$AO$20,"Regular",IF(F224&lt;=$AO$21,"Alto",0)))</f>
        <v>0</v>
      </c>
      <c r="H224" t="str">
        <f>SUM(B224:F224)</f>
        <v>0</v>
      </c>
      <c r="I224" s="10" t="str">
        <f>IF(H224&lt;=$BA$19,"Bajo",IF(H224&lt;=$BA$20,"Regular",IF(H224&lt;=$BA$21,"Alto",0)))</f>
        <v>0</v>
      </c>
    </row>
    <row r="225" spans="1:61">
      <c r="A225" t="s">
        <v>251</v>
      </c>
      <c r="B225" t="str">
        <f>SUM('Inteligencia emocional'!B226:I226)</f>
        <v>0</v>
      </c>
      <c r="C225" s="10" t="str">
        <f>IF(B225&lt;=$Q$19,"Bajo",IF(B225&lt;=$Q$20,"Regular",IF(B225&lt;=$Q$21,"Alto",0)))</f>
        <v>0</v>
      </c>
      <c r="D225" t="str">
        <f>SUM('Inteligencia emocional'!J226:Q226)</f>
        <v>0</v>
      </c>
      <c r="E225" s="10" t="str">
        <f>IF(D225&lt;=$AC$19,"Bajo",IF(D225&lt;=$AC$20,"Regular",IF(D225&lt;=$AC$21,"Alto",0)))</f>
        <v>0</v>
      </c>
      <c r="F225" t="str">
        <f>SUM('Inteligencia emocional'!R226:Y226)</f>
        <v>0</v>
      </c>
      <c r="G225" s="10" t="str">
        <f>IF(F225&lt;=$AO$19,"Bajo",IF(F225&lt;=$AO$20,"Regular",IF(F225&lt;=$AO$21,"Alto",0)))</f>
        <v>0</v>
      </c>
      <c r="H225" t="str">
        <f>SUM(B225:F225)</f>
        <v>0</v>
      </c>
      <c r="I225" s="10" t="str">
        <f>IF(H225&lt;=$BA$19,"Bajo",IF(H225&lt;=$BA$20,"Regular",IF(H225&lt;=$BA$21,"Alto",0)))</f>
        <v>0</v>
      </c>
    </row>
    <row r="226" spans="1:61">
      <c r="A226" t="s">
        <v>252</v>
      </c>
      <c r="B226" t="str">
        <f>SUM('Inteligencia emocional'!B227:I227)</f>
        <v>0</v>
      </c>
      <c r="C226" s="10" t="str">
        <f>IF(B226&lt;=$Q$19,"Bajo",IF(B226&lt;=$Q$20,"Regular",IF(B226&lt;=$Q$21,"Alto",0)))</f>
        <v>0</v>
      </c>
      <c r="D226" t="str">
        <f>SUM('Inteligencia emocional'!J227:Q227)</f>
        <v>0</v>
      </c>
      <c r="E226" s="10" t="str">
        <f>IF(D226&lt;=$AC$19,"Bajo",IF(D226&lt;=$AC$20,"Regular",IF(D226&lt;=$AC$21,"Alto",0)))</f>
        <v>0</v>
      </c>
      <c r="F226" t="str">
        <f>SUM('Inteligencia emocional'!R227:Y227)</f>
        <v>0</v>
      </c>
      <c r="G226" s="10" t="str">
        <f>IF(F226&lt;=$AO$19,"Bajo",IF(F226&lt;=$AO$20,"Regular",IF(F226&lt;=$AO$21,"Alto",0)))</f>
        <v>0</v>
      </c>
      <c r="H226" t="str">
        <f>SUM(B226:F226)</f>
        <v>0</v>
      </c>
      <c r="I226" s="10" t="str">
        <f>IF(H226&lt;=$BA$19,"Bajo",IF(H226&lt;=$BA$20,"Regular",IF(H226&lt;=$BA$21,"Alto",0)))</f>
        <v>0</v>
      </c>
    </row>
    <row r="227" spans="1:61">
      <c r="A227" t="s">
        <v>253</v>
      </c>
      <c r="B227" t="str">
        <f>SUM('Inteligencia emocional'!B228:I228)</f>
        <v>0</v>
      </c>
      <c r="C227" s="10" t="str">
        <f>IF(B227&lt;=$Q$19,"Bajo",IF(B227&lt;=$Q$20,"Regular",IF(B227&lt;=$Q$21,"Alto",0)))</f>
        <v>0</v>
      </c>
      <c r="D227" t="str">
        <f>SUM('Inteligencia emocional'!J228:Q228)</f>
        <v>0</v>
      </c>
      <c r="E227" s="10" t="str">
        <f>IF(D227&lt;=$AC$19,"Bajo",IF(D227&lt;=$AC$20,"Regular",IF(D227&lt;=$AC$21,"Alto",0)))</f>
        <v>0</v>
      </c>
      <c r="F227" t="str">
        <f>SUM('Inteligencia emocional'!R228:Y228)</f>
        <v>0</v>
      </c>
      <c r="G227" s="10" t="str">
        <f>IF(F227&lt;=$AO$19,"Bajo",IF(F227&lt;=$AO$20,"Regular",IF(F227&lt;=$AO$21,"Alto",0)))</f>
        <v>0</v>
      </c>
      <c r="H227" t="str">
        <f>SUM(B227:F227)</f>
        <v>0</v>
      </c>
      <c r="I227" s="10" t="str">
        <f>IF(H227&lt;=$BA$19,"Bajo",IF(H227&lt;=$BA$20,"Regular",IF(H227&lt;=$BA$21,"Alto",0)))</f>
        <v>0</v>
      </c>
    </row>
    <row r="228" spans="1:61">
      <c r="A228" t="s">
        <v>254</v>
      </c>
      <c r="B228" t="str">
        <f>SUM('Inteligencia emocional'!B229:I229)</f>
        <v>0</v>
      </c>
      <c r="C228" s="10" t="str">
        <f>IF(B228&lt;=$Q$19,"Bajo",IF(B228&lt;=$Q$20,"Regular",IF(B228&lt;=$Q$21,"Alto",0)))</f>
        <v>0</v>
      </c>
      <c r="D228" t="str">
        <f>SUM('Inteligencia emocional'!J229:Q229)</f>
        <v>0</v>
      </c>
      <c r="E228" s="10" t="str">
        <f>IF(D228&lt;=$AC$19,"Bajo",IF(D228&lt;=$AC$20,"Regular",IF(D228&lt;=$AC$21,"Alto",0)))</f>
        <v>0</v>
      </c>
      <c r="F228" t="str">
        <f>SUM('Inteligencia emocional'!R229:Y229)</f>
        <v>0</v>
      </c>
      <c r="G228" s="10" t="str">
        <f>IF(F228&lt;=$AO$19,"Bajo",IF(F228&lt;=$AO$20,"Regular",IF(F228&lt;=$AO$21,"Alto",0)))</f>
        <v>0</v>
      </c>
      <c r="H228" t="str">
        <f>SUM(B228:F228)</f>
        <v>0</v>
      </c>
      <c r="I228" s="10" t="str">
        <f>IF(H228&lt;=$BA$19,"Bajo",IF(H228&lt;=$BA$20,"Regular",IF(H228&lt;=$BA$21,"Alto",0)))</f>
        <v>0</v>
      </c>
    </row>
    <row r="229" spans="1:61">
      <c r="A229" t="s">
        <v>255</v>
      </c>
      <c r="B229" t="str">
        <f>SUM('Inteligencia emocional'!B230:I230)</f>
        <v>0</v>
      </c>
      <c r="C229" s="10" t="str">
        <f>IF(B229&lt;=$Q$19,"Bajo",IF(B229&lt;=$Q$20,"Regular",IF(B229&lt;=$Q$21,"Alto",0)))</f>
        <v>0</v>
      </c>
      <c r="D229" t="str">
        <f>SUM('Inteligencia emocional'!J230:Q230)</f>
        <v>0</v>
      </c>
      <c r="E229" s="10" t="str">
        <f>IF(D229&lt;=$AC$19,"Bajo",IF(D229&lt;=$AC$20,"Regular",IF(D229&lt;=$AC$21,"Alto",0)))</f>
        <v>0</v>
      </c>
      <c r="F229" t="str">
        <f>SUM('Inteligencia emocional'!R230:Y230)</f>
        <v>0</v>
      </c>
      <c r="G229" s="10" t="str">
        <f>IF(F229&lt;=$AO$19,"Bajo",IF(F229&lt;=$AO$20,"Regular",IF(F229&lt;=$AO$21,"Alto",0)))</f>
        <v>0</v>
      </c>
      <c r="H229" t="str">
        <f>SUM(B229:F229)</f>
        <v>0</v>
      </c>
      <c r="I229" s="10" t="str">
        <f>IF(H229&lt;=$BA$19,"Bajo",IF(H229&lt;=$BA$20,"Regular",IF(H229&lt;=$BA$21,"Alto",0)))</f>
        <v>0</v>
      </c>
    </row>
    <row r="230" spans="1:61">
      <c r="A230" t="s">
        <v>256</v>
      </c>
      <c r="B230" t="str">
        <f>SUM('Inteligencia emocional'!B231:I231)</f>
        <v>0</v>
      </c>
      <c r="C230" s="10" t="str">
        <f>IF(B230&lt;=$Q$19,"Bajo",IF(B230&lt;=$Q$20,"Regular",IF(B230&lt;=$Q$21,"Alto",0)))</f>
        <v>0</v>
      </c>
      <c r="D230" t="str">
        <f>SUM('Inteligencia emocional'!J231:Q231)</f>
        <v>0</v>
      </c>
      <c r="E230" s="10" t="str">
        <f>IF(D230&lt;=$AC$19,"Bajo",IF(D230&lt;=$AC$20,"Regular",IF(D230&lt;=$AC$21,"Alto",0)))</f>
        <v>0</v>
      </c>
      <c r="F230" t="str">
        <f>SUM('Inteligencia emocional'!R231:Y231)</f>
        <v>0</v>
      </c>
      <c r="G230" s="10" t="str">
        <f>IF(F230&lt;=$AO$19,"Bajo",IF(F230&lt;=$AO$20,"Regular",IF(F230&lt;=$AO$21,"Alto",0)))</f>
        <v>0</v>
      </c>
      <c r="H230" t="str">
        <f>SUM(B230:F230)</f>
        <v>0</v>
      </c>
      <c r="I230" s="10" t="str">
        <f>IF(H230&lt;=$BA$19,"Bajo",IF(H230&lt;=$BA$20,"Regular",IF(H230&lt;=$BA$21,"Alto",0)))</f>
        <v>0</v>
      </c>
    </row>
    <row r="231" spans="1:61">
      <c r="A231" t="s">
        <v>257</v>
      </c>
      <c r="B231" t="str">
        <f>SUM('Inteligencia emocional'!B232:I232)</f>
        <v>0</v>
      </c>
      <c r="C231" s="10" t="str">
        <f>IF(B231&lt;=$Q$19,"Bajo",IF(B231&lt;=$Q$20,"Regular",IF(B231&lt;=$Q$21,"Alto",0)))</f>
        <v>0</v>
      </c>
      <c r="D231" t="str">
        <f>SUM('Inteligencia emocional'!J232:Q232)</f>
        <v>0</v>
      </c>
      <c r="E231" s="10" t="str">
        <f>IF(D231&lt;=$AC$19,"Bajo",IF(D231&lt;=$AC$20,"Regular",IF(D231&lt;=$AC$21,"Alto",0)))</f>
        <v>0</v>
      </c>
      <c r="F231" t="str">
        <f>SUM('Inteligencia emocional'!R232:Y232)</f>
        <v>0</v>
      </c>
      <c r="G231" s="10" t="str">
        <f>IF(F231&lt;=$AO$19,"Bajo",IF(F231&lt;=$AO$20,"Regular",IF(F231&lt;=$AO$21,"Alto",0)))</f>
        <v>0</v>
      </c>
      <c r="H231" t="str">
        <f>SUM(B231:F231)</f>
        <v>0</v>
      </c>
      <c r="I231" s="10" t="str">
        <f>IF(H231&lt;=$BA$19,"Bajo",IF(H231&lt;=$BA$20,"Regular",IF(H231&lt;=$BA$21,"Alto",0)))</f>
        <v>0</v>
      </c>
    </row>
    <row r="232" spans="1:61">
      <c r="A232" t="s">
        <v>258</v>
      </c>
      <c r="B232" t="str">
        <f>SUM('Inteligencia emocional'!B233:I233)</f>
        <v>0</v>
      </c>
      <c r="C232" s="10" t="str">
        <f>IF(B232&lt;=$Q$19,"Bajo",IF(B232&lt;=$Q$20,"Regular",IF(B232&lt;=$Q$21,"Alto",0)))</f>
        <v>0</v>
      </c>
      <c r="D232" t="str">
        <f>SUM('Inteligencia emocional'!J233:Q233)</f>
        <v>0</v>
      </c>
      <c r="E232" s="10" t="str">
        <f>IF(D232&lt;=$AC$19,"Bajo",IF(D232&lt;=$AC$20,"Regular",IF(D232&lt;=$AC$21,"Alto",0)))</f>
        <v>0</v>
      </c>
      <c r="F232" t="str">
        <f>SUM('Inteligencia emocional'!R233:Y233)</f>
        <v>0</v>
      </c>
      <c r="G232" s="10" t="str">
        <f>IF(F232&lt;=$AO$19,"Bajo",IF(F232&lt;=$AO$20,"Regular",IF(F232&lt;=$AO$21,"Alto",0)))</f>
        <v>0</v>
      </c>
      <c r="H232" t="str">
        <f>SUM(B232:F232)</f>
        <v>0</v>
      </c>
      <c r="I232" s="10" t="str">
        <f>IF(H232&lt;=$BA$19,"Bajo",IF(H232&lt;=$BA$20,"Regular",IF(H232&lt;=$BA$21,"Alto",0)))</f>
        <v>0</v>
      </c>
    </row>
    <row r="233" spans="1:61">
      <c r="A233" t="s">
        <v>259</v>
      </c>
      <c r="B233" t="str">
        <f>SUM('Inteligencia emocional'!B234:I234)</f>
        <v>0</v>
      </c>
      <c r="C233" s="10" t="str">
        <f>IF(B233&lt;=$Q$19,"Bajo",IF(B233&lt;=$Q$20,"Regular",IF(B233&lt;=$Q$21,"Alto",0)))</f>
        <v>0</v>
      </c>
      <c r="D233" t="str">
        <f>SUM('Inteligencia emocional'!J234:Q234)</f>
        <v>0</v>
      </c>
      <c r="E233" s="10" t="str">
        <f>IF(D233&lt;=$AC$19,"Bajo",IF(D233&lt;=$AC$20,"Regular",IF(D233&lt;=$AC$21,"Alto",0)))</f>
        <v>0</v>
      </c>
      <c r="F233" t="str">
        <f>SUM('Inteligencia emocional'!R234:Y234)</f>
        <v>0</v>
      </c>
      <c r="G233" s="10" t="str">
        <f>IF(F233&lt;=$AO$19,"Bajo",IF(F233&lt;=$AO$20,"Regular",IF(F233&lt;=$AO$21,"Alto",0)))</f>
        <v>0</v>
      </c>
      <c r="H233" t="str">
        <f>SUM(B233:F233)</f>
        <v>0</v>
      </c>
      <c r="I233" s="10" t="str">
        <f>IF(H233&lt;=$BA$19,"Bajo",IF(H233&lt;=$BA$20,"Regular",IF(H233&lt;=$BA$21,"Alto",0)))</f>
        <v>0</v>
      </c>
    </row>
    <row r="234" spans="1:61">
      <c r="A234" t="s">
        <v>260</v>
      </c>
      <c r="B234" t="str">
        <f>SUM('Inteligencia emocional'!B235:I235)</f>
        <v>0</v>
      </c>
      <c r="C234" s="10" t="str">
        <f>IF(B234&lt;=$Q$19,"Bajo",IF(B234&lt;=$Q$20,"Regular",IF(B234&lt;=$Q$21,"Alto",0)))</f>
        <v>0</v>
      </c>
      <c r="D234" t="str">
        <f>SUM('Inteligencia emocional'!J235:Q235)</f>
        <v>0</v>
      </c>
      <c r="E234" s="10" t="str">
        <f>IF(D234&lt;=$AC$19,"Bajo",IF(D234&lt;=$AC$20,"Regular",IF(D234&lt;=$AC$21,"Alto",0)))</f>
        <v>0</v>
      </c>
      <c r="F234" t="str">
        <f>SUM('Inteligencia emocional'!R235:Y235)</f>
        <v>0</v>
      </c>
      <c r="G234" s="10" t="str">
        <f>IF(F234&lt;=$AO$19,"Bajo",IF(F234&lt;=$AO$20,"Regular",IF(F234&lt;=$AO$21,"Alto",0)))</f>
        <v>0</v>
      </c>
      <c r="H234" t="str">
        <f>SUM(B234:F234)</f>
        <v>0</v>
      </c>
      <c r="I234" s="10" t="str">
        <f>IF(H234&lt;=$BA$19,"Bajo",IF(H234&lt;=$BA$20,"Regular",IF(H234&lt;=$BA$21,"Alto",0)))</f>
        <v>0</v>
      </c>
    </row>
    <row r="235" spans="1:61">
      <c r="A235" t="s">
        <v>261</v>
      </c>
      <c r="B235" t="str">
        <f>SUM('Inteligencia emocional'!B236:I236)</f>
        <v>0</v>
      </c>
      <c r="C235" s="10" t="str">
        <f>IF(B235&lt;=$Q$19,"Bajo",IF(B235&lt;=$Q$20,"Regular",IF(B235&lt;=$Q$21,"Alto",0)))</f>
        <v>0</v>
      </c>
      <c r="D235" t="str">
        <f>SUM('Inteligencia emocional'!J236:Q236)</f>
        <v>0</v>
      </c>
      <c r="E235" s="10" t="str">
        <f>IF(D235&lt;=$AC$19,"Bajo",IF(D235&lt;=$AC$20,"Regular",IF(D235&lt;=$AC$21,"Alto",0)))</f>
        <v>0</v>
      </c>
      <c r="F235" t="str">
        <f>SUM('Inteligencia emocional'!R236:Y236)</f>
        <v>0</v>
      </c>
      <c r="G235" s="10" t="str">
        <f>IF(F235&lt;=$AO$19,"Bajo",IF(F235&lt;=$AO$20,"Regular",IF(F235&lt;=$AO$21,"Alto",0)))</f>
        <v>0</v>
      </c>
      <c r="H235" t="str">
        <f>SUM(B235:F235)</f>
        <v>0</v>
      </c>
      <c r="I235" s="10" t="str">
        <f>IF(H235&lt;=$BA$19,"Bajo",IF(H235&lt;=$BA$20,"Regular",IF(H235&lt;=$BA$21,"Alto",0)))</f>
        <v>0</v>
      </c>
    </row>
    <row r="236" spans="1:61">
      <c r="A236" t="s">
        <v>262</v>
      </c>
      <c r="B236" t="str">
        <f>SUM('Inteligencia emocional'!B237:I237)</f>
        <v>0</v>
      </c>
      <c r="C236" s="10" t="str">
        <f>IF(B236&lt;=$Q$19,"Bajo",IF(B236&lt;=$Q$20,"Regular",IF(B236&lt;=$Q$21,"Alto",0)))</f>
        <v>0</v>
      </c>
      <c r="D236" t="str">
        <f>SUM('Inteligencia emocional'!J237:Q237)</f>
        <v>0</v>
      </c>
      <c r="E236" s="10" t="str">
        <f>IF(D236&lt;=$AC$19,"Bajo",IF(D236&lt;=$AC$20,"Regular",IF(D236&lt;=$AC$21,"Alto",0)))</f>
        <v>0</v>
      </c>
      <c r="F236" t="str">
        <f>SUM('Inteligencia emocional'!R237:Y237)</f>
        <v>0</v>
      </c>
      <c r="G236" s="10" t="str">
        <f>IF(F236&lt;=$AO$19,"Bajo",IF(F236&lt;=$AO$20,"Regular",IF(F236&lt;=$AO$21,"Alto",0)))</f>
        <v>0</v>
      </c>
      <c r="H236" t="str">
        <f>SUM(B236:F236)</f>
        <v>0</v>
      </c>
      <c r="I236" s="10" t="str">
        <f>IF(H236&lt;=$BA$19,"Bajo",IF(H236&lt;=$BA$20,"Regular",IF(H236&lt;=$BA$21,"Alto",0)))</f>
        <v>0</v>
      </c>
    </row>
    <row r="237" spans="1:61">
      <c r="A237" t="s">
        <v>263</v>
      </c>
      <c r="B237" t="str">
        <f>SUM('Inteligencia emocional'!B238:I238)</f>
        <v>0</v>
      </c>
      <c r="C237" s="10" t="str">
        <f>IF(B237&lt;=$Q$19,"Bajo",IF(B237&lt;=$Q$20,"Regular",IF(B237&lt;=$Q$21,"Alto",0)))</f>
        <v>0</v>
      </c>
      <c r="D237" t="str">
        <f>SUM('Inteligencia emocional'!J238:Q238)</f>
        <v>0</v>
      </c>
      <c r="E237" s="10" t="str">
        <f>IF(D237&lt;=$AC$19,"Bajo",IF(D237&lt;=$AC$20,"Regular",IF(D237&lt;=$AC$21,"Alto",0)))</f>
        <v>0</v>
      </c>
      <c r="F237" t="str">
        <f>SUM('Inteligencia emocional'!R238:Y238)</f>
        <v>0</v>
      </c>
      <c r="G237" s="10" t="str">
        <f>IF(F237&lt;=$AO$19,"Bajo",IF(F237&lt;=$AO$20,"Regular",IF(F237&lt;=$AO$21,"Alto",0)))</f>
        <v>0</v>
      </c>
      <c r="H237" t="str">
        <f>SUM(B237:F237)</f>
        <v>0</v>
      </c>
      <c r="I237" s="10" t="str">
        <f>IF(H237&lt;=$BA$19,"Bajo",IF(H237&lt;=$BA$20,"Regular",IF(H237&lt;=$BA$21,"Alto",0)))</f>
        <v>0</v>
      </c>
    </row>
    <row r="238" spans="1:61">
      <c r="A238" t="s">
        <v>264</v>
      </c>
      <c r="B238" t="str">
        <f>SUM('Inteligencia emocional'!B239:I239)</f>
        <v>0</v>
      </c>
      <c r="C238" s="10" t="str">
        <f>IF(B238&lt;=$Q$19,"Bajo",IF(B238&lt;=$Q$20,"Regular",IF(B238&lt;=$Q$21,"Alto",0)))</f>
        <v>0</v>
      </c>
      <c r="D238" t="str">
        <f>SUM('Inteligencia emocional'!J239:Q239)</f>
        <v>0</v>
      </c>
      <c r="E238" s="10" t="str">
        <f>IF(D238&lt;=$AC$19,"Bajo",IF(D238&lt;=$AC$20,"Regular",IF(D238&lt;=$AC$21,"Alto",0)))</f>
        <v>0</v>
      </c>
      <c r="F238" t="str">
        <f>SUM('Inteligencia emocional'!R239:Y239)</f>
        <v>0</v>
      </c>
      <c r="G238" s="10" t="str">
        <f>IF(F238&lt;=$AO$19,"Bajo",IF(F238&lt;=$AO$20,"Regular",IF(F238&lt;=$AO$21,"Alto",0)))</f>
        <v>0</v>
      </c>
      <c r="H238" t="str">
        <f>SUM(B238:F238)</f>
        <v>0</v>
      </c>
      <c r="I238" s="10" t="str">
        <f>IF(H238&lt;=$BA$19,"Bajo",IF(H238&lt;=$BA$20,"Regular",IF(H238&lt;=$BA$21,"Alto",0)))</f>
        <v>0</v>
      </c>
    </row>
    <row r="239" spans="1:61">
      <c r="A239" t="s">
        <v>265</v>
      </c>
      <c r="B239" t="str">
        <f>SUM('Inteligencia emocional'!B240:I240)</f>
        <v>0</v>
      </c>
      <c r="C239" s="10" t="str">
        <f>IF(B239&lt;=$Q$19,"Bajo",IF(B239&lt;=$Q$20,"Regular",IF(B239&lt;=$Q$21,"Alto",0)))</f>
        <v>0</v>
      </c>
      <c r="D239" t="str">
        <f>SUM('Inteligencia emocional'!J240:Q240)</f>
        <v>0</v>
      </c>
      <c r="E239" s="10" t="str">
        <f>IF(D239&lt;=$AC$19,"Bajo",IF(D239&lt;=$AC$20,"Regular",IF(D239&lt;=$AC$21,"Alto",0)))</f>
        <v>0</v>
      </c>
      <c r="F239" t="str">
        <f>SUM('Inteligencia emocional'!R240:Y240)</f>
        <v>0</v>
      </c>
      <c r="G239" s="10" t="str">
        <f>IF(F239&lt;=$AO$19,"Bajo",IF(F239&lt;=$AO$20,"Regular",IF(F239&lt;=$AO$21,"Alto",0)))</f>
        <v>0</v>
      </c>
      <c r="H239" t="str">
        <f>SUM(B239:F239)</f>
        <v>0</v>
      </c>
      <c r="I239" s="10" t="str">
        <f>IF(H239&lt;=$BA$19,"Bajo",IF(H239&lt;=$BA$20,"Regular",IF(H239&lt;=$BA$21,"Alto",0)))</f>
        <v>0</v>
      </c>
    </row>
    <row r="240" spans="1:61">
      <c r="A240" t="s">
        <v>266</v>
      </c>
      <c r="B240" t="str">
        <f>SUM('Inteligencia emocional'!B241:I241)</f>
        <v>0</v>
      </c>
      <c r="C240" s="10" t="str">
        <f>IF(B240&lt;=$Q$19,"Bajo",IF(B240&lt;=$Q$20,"Regular",IF(B240&lt;=$Q$21,"Alto",0)))</f>
        <v>0</v>
      </c>
      <c r="D240" t="str">
        <f>SUM('Inteligencia emocional'!J241:Q241)</f>
        <v>0</v>
      </c>
      <c r="E240" s="10" t="str">
        <f>IF(D240&lt;=$AC$19,"Bajo",IF(D240&lt;=$AC$20,"Regular",IF(D240&lt;=$AC$21,"Alto",0)))</f>
        <v>0</v>
      </c>
      <c r="F240" t="str">
        <f>SUM('Inteligencia emocional'!R241:Y241)</f>
        <v>0</v>
      </c>
      <c r="G240" s="10" t="str">
        <f>IF(F240&lt;=$AO$19,"Bajo",IF(F240&lt;=$AO$20,"Regular",IF(F240&lt;=$AO$21,"Alto",0)))</f>
        <v>0</v>
      </c>
      <c r="H240" t="str">
        <f>SUM(B240:F240)</f>
        <v>0</v>
      </c>
      <c r="I240" s="10" t="str">
        <f>IF(H240&lt;=$BA$19,"Bajo",IF(H240&lt;=$BA$20,"Regular",IF(H240&lt;=$BA$21,"Alto",0)))</f>
        <v>0</v>
      </c>
    </row>
    <row r="241" spans="1:61">
      <c r="A241" t="s">
        <v>267</v>
      </c>
      <c r="B241" t="str">
        <f>SUM('Inteligencia emocional'!B242:I242)</f>
        <v>0</v>
      </c>
      <c r="C241" s="10" t="str">
        <f>IF(B241&lt;=$Q$19,"Bajo",IF(B241&lt;=$Q$20,"Regular",IF(B241&lt;=$Q$21,"Alto",0)))</f>
        <v>0</v>
      </c>
      <c r="D241" t="str">
        <f>SUM('Inteligencia emocional'!J242:Q242)</f>
        <v>0</v>
      </c>
      <c r="E241" s="10" t="str">
        <f>IF(D241&lt;=$AC$19,"Bajo",IF(D241&lt;=$AC$20,"Regular",IF(D241&lt;=$AC$21,"Alto",0)))</f>
        <v>0</v>
      </c>
      <c r="F241" t="str">
        <f>SUM('Inteligencia emocional'!R242:Y242)</f>
        <v>0</v>
      </c>
      <c r="G241" s="10" t="str">
        <f>IF(F241&lt;=$AO$19,"Bajo",IF(F241&lt;=$AO$20,"Regular",IF(F241&lt;=$AO$21,"Alto",0)))</f>
        <v>0</v>
      </c>
      <c r="H241" t="str">
        <f>SUM(B241:F241)</f>
        <v>0</v>
      </c>
      <c r="I241" s="10" t="str">
        <f>IF(H241&lt;=$BA$19,"Bajo",IF(H241&lt;=$BA$20,"Regular",IF(H241&lt;=$BA$21,"Alto",0)))</f>
        <v>0</v>
      </c>
    </row>
    <row r="242" spans="1:61">
      <c r="A242" t="s">
        <v>268</v>
      </c>
      <c r="B242" t="str">
        <f>SUM('Inteligencia emocional'!B243:I243)</f>
        <v>0</v>
      </c>
      <c r="C242" s="10" t="str">
        <f>IF(B242&lt;=$Q$19,"Bajo",IF(B242&lt;=$Q$20,"Regular",IF(B242&lt;=$Q$21,"Alto",0)))</f>
        <v>0</v>
      </c>
      <c r="D242" t="str">
        <f>SUM('Inteligencia emocional'!J243:Q243)</f>
        <v>0</v>
      </c>
      <c r="E242" s="10" t="str">
        <f>IF(D242&lt;=$AC$19,"Bajo",IF(D242&lt;=$AC$20,"Regular",IF(D242&lt;=$AC$21,"Alto",0)))</f>
        <v>0</v>
      </c>
      <c r="F242" t="str">
        <f>SUM('Inteligencia emocional'!R243:Y243)</f>
        <v>0</v>
      </c>
      <c r="G242" s="10" t="str">
        <f>IF(F242&lt;=$AO$19,"Bajo",IF(F242&lt;=$AO$20,"Regular",IF(F242&lt;=$AO$21,"Alto",0)))</f>
        <v>0</v>
      </c>
      <c r="H242" t="str">
        <f>SUM(B242:F242)</f>
        <v>0</v>
      </c>
      <c r="I242" s="10" t="str">
        <f>IF(H242&lt;=$BA$19,"Bajo",IF(H242&lt;=$BA$20,"Regular",IF(H242&lt;=$BA$21,"Alto",0)))</f>
        <v>0</v>
      </c>
    </row>
    <row r="243" spans="1:61">
      <c r="A243" t="s">
        <v>269</v>
      </c>
      <c r="B243" t="str">
        <f>SUM('Inteligencia emocional'!B244:I244)</f>
        <v>0</v>
      </c>
      <c r="C243" s="10" t="str">
        <f>IF(B243&lt;=$Q$19,"Bajo",IF(B243&lt;=$Q$20,"Regular",IF(B243&lt;=$Q$21,"Alto",0)))</f>
        <v>0</v>
      </c>
      <c r="D243" t="str">
        <f>SUM('Inteligencia emocional'!J244:Q244)</f>
        <v>0</v>
      </c>
      <c r="E243" s="10" t="str">
        <f>IF(D243&lt;=$AC$19,"Bajo",IF(D243&lt;=$AC$20,"Regular",IF(D243&lt;=$AC$21,"Alto",0)))</f>
        <v>0</v>
      </c>
      <c r="F243" t="str">
        <f>SUM('Inteligencia emocional'!R244:Y244)</f>
        <v>0</v>
      </c>
      <c r="G243" s="10" t="str">
        <f>IF(F243&lt;=$AO$19,"Bajo",IF(F243&lt;=$AO$20,"Regular",IF(F243&lt;=$AO$21,"Alto",0)))</f>
        <v>0</v>
      </c>
      <c r="H243" t="str">
        <f>SUM(B243:F243)</f>
        <v>0</v>
      </c>
      <c r="I243" s="10" t="str">
        <f>IF(H243&lt;=$BA$19,"Bajo",IF(H243&lt;=$BA$20,"Regular",IF(H243&lt;=$BA$21,"Alto",0)))</f>
        <v>0</v>
      </c>
    </row>
    <row r="244" spans="1:61">
      <c r="A244" t="s">
        <v>270</v>
      </c>
      <c r="B244" t="str">
        <f>SUM('Inteligencia emocional'!B245:I245)</f>
        <v>0</v>
      </c>
      <c r="C244" s="10" t="str">
        <f>IF(B244&lt;=$Q$19,"Bajo",IF(B244&lt;=$Q$20,"Regular",IF(B244&lt;=$Q$21,"Alto",0)))</f>
        <v>0</v>
      </c>
      <c r="D244" t="str">
        <f>SUM('Inteligencia emocional'!J245:Q245)</f>
        <v>0</v>
      </c>
      <c r="E244" s="10" t="str">
        <f>IF(D244&lt;=$AC$19,"Bajo",IF(D244&lt;=$AC$20,"Regular",IF(D244&lt;=$AC$21,"Alto",0)))</f>
        <v>0</v>
      </c>
      <c r="F244" t="str">
        <f>SUM('Inteligencia emocional'!R245:Y245)</f>
        <v>0</v>
      </c>
      <c r="G244" s="10" t="str">
        <f>IF(F244&lt;=$AO$19,"Bajo",IF(F244&lt;=$AO$20,"Regular",IF(F244&lt;=$AO$21,"Alto",0)))</f>
        <v>0</v>
      </c>
      <c r="H244" t="str">
        <f>SUM(B244:F244)</f>
        <v>0</v>
      </c>
      <c r="I244" s="10" t="str">
        <f>IF(H244&lt;=$BA$19,"Bajo",IF(H244&lt;=$BA$20,"Regular",IF(H244&lt;=$BA$21,"Alto",0)))</f>
        <v>0</v>
      </c>
    </row>
    <row r="245" spans="1:61">
      <c r="A245" t="s">
        <v>271</v>
      </c>
      <c r="B245" t="str">
        <f>SUM('Inteligencia emocional'!B246:I246)</f>
        <v>0</v>
      </c>
      <c r="C245" s="10" t="str">
        <f>IF(B245&lt;=$Q$19,"Bajo",IF(B245&lt;=$Q$20,"Regular",IF(B245&lt;=$Q$21,"Alto",0)))</f>
        <v>0</v>
      </c>
      <c r="D245" t="str">
        <f>SUM('Inteligencia emocional'!J246:Q246)</f>
        <v>0</v>
      </c>
      <c r="E245" s="10" t="str">
        <f>IF(D245&lt;=$AC$19,"Bajo",IF(D245&lt;=$AC$20,"Regular",IF(D245&lt;=$AC$21,"Alto",0)))</f>
        <v>0</v>
      </c>
      <c r="F245" t="str">
        <f>SUM('Inteligencia emocional'!R246:Y246)</f>
        <v>0</v>
      </c>
      <c r="G245" s="10" t="str">
        <f>IF(F245&lt;=$AO$19,"Bajo",IF(F245&lt;=$AO$20,"Regular",IF(F245&lt;=$AO$21,"Alto",0)))</f>
        <v>0</v>
      </c>
      <c r="H245" t="str">
        <f>SUM(B245:F245)</f>
        <v>0</v>
      </c>
      <c r="I245" s="10" t="str">
        <f>IF(H245&lt;=$BA$19,"Bajo",IF(H245&lt;=$BA$20,"Regular",IF(H245&lt;=$BA$21,"Alto",0)))</f>
        <v>0</v>
      </c>
    </row>
    <row r="246" spans="1:61">
      <c r="A246" t="s">
        <v>272</v>
      </c>
      <c r="B246" t="str">
        <f>SUM('Inteligencia emocional'!B247:I247)</f>
        <v>0</v>
      </c>
      <c r="C246" s="10" t="str">
        <f>IF(B246&lt;=$Q$19,"Bajo",IF(B246&lt;=$Q$20,"Regular",IF(B246&lt;=$Q$21,"Alto",0)))</f>
        <v>0</v>
      </c>
      <c r="D246" t="str">
        <f>SUM('Inteligencia emocional'!J247:Q247)</f>
        <v>0</v>
      </c>
      <c r="E246" s="10" t="str">
        <f>IF(D246&lt;=$AC$19,"Bajo",IF(D246&lt;=$AC$20,"Regular",IF(D246&lt;=$AC$21,"Alto",0)))</f>
        <v>0</v>
      </c>
      <c r="F246" t="str">
        <f>SUM('Inteligencia emocional'!R247:Y247)</f>
        <v>0</v>
      </c>
      <c r="G246" s="10" t="str">
        <f>IF(F246&lt;=$AO$19,"Bajo",IF(F246&lt;=$AO$20,"Regular",IF(F246&lt;=$AO$21,"Alto",0)))</f>
        <v>0</v>
      </c>
      <c r="H246" t="str">
        <f>SUM(B246:F246)</f>
        <v>0</v>
      </c>
      <c r="I246" s="10" t="str">
        <f>IF(H246&lt;=$BA$19,"Bajo",IF(H246&lt;=$BA$20,"Regular",IF(H246&lt;=$BA$21,"Alto",0)))</f>
        <v>0</v>
      </c>
    </row>
    <row r="247" spans="1:61">
      <c r="A247" t="s">
        <v>273</v>
      </c>
      <c r="B247" t="str">
        <f>SUM('Inteligencia emocional'!B248:I248)</f>
        <v>0</v>
      </c>
      <c r="C247" s="10" t="str">
        <f>IF(B247&lt;=$Q$19,"Bajo",IF(B247&lt;=$Q$20,"Regular",IF(B247&lt;=$Q$21,"Alto",0)))</f>
        <v>0</v>
      </c>
      <c r="D247" t="str">
        <f>SUM('Inteligencia emocional'!J248:Q248)</f>
        <v>0</v>
      </c>
      <c r="E247" s="10" t="str">
        <f>IF(D247&lt;=$AC$19,"Bajo",IF(D247&lt;=$AC$20,"Regular",IF(D247&lt;=$AC$21,"Alto",0)))</f>
        <v>0</v>
      </c>
      <c r="F247" t="str">
        <f>SUM('Inteligencia emocional'!R248:Y248)</f>
        <v>0</v>
      </c>
      <c r="G247" s="10" t="str">
        <f>IF(F247&lt;=$AO$19,"Bajo",IF(F247&lt;=$AO$20,"Regular",IF(F247&lt;=$AO$21,"Alto",0)))</f>
        <v>0</v>
      </c>
      <c r="H247" t="str">
        <f>SUM(B247:F247)</f>
        <v>0</v>
      </c>
      <c r="I247" s="10" t="str">
        <f>IF(H247&lt;=$BA$19,"Bajo",IF(H247&lt;=$BA$20,"Regular",IF(H247&lt;=$BA$21,"Alto",0)))</f>
        <v>0</v>
      </c>
    </row>
    <row r="248" spans="1:61">
      <c r="A248" t="s">
        <v>274</v>
      </c>
      <c r="B248" t="str">
        <f>SUM('Inteligencia emocional'!B249:I249)</f>
        <v>0</v>
      </c>
      <c r="C248" s="10" t="str">
        <f>IF(B248&lt;=$Q$19,"Bajo",IF(B248&lt;=$Q$20,"Regular",IF(B248&lt;=$Q$21,"Alto",0)))</f>
        <v>0</v>
      </c>
      <c r="D248" t="str">
        <f>SUM('Inteligencia emocional'!J249:Q249)</f>
        <v>0</v>
      </c>
      <c r="E248" s="10" t="str">
        <f>IF(D248&lt;=$AC$19,"Bajo",IF(D248&lt;=$AC$20,"Regular",IF(D248&lt;=$AC$21,"Alto",0)))</f>
        <v>0</v>
      </c>
      <c r="F248" t="str">
        <f>SUM('Inteligencia emocional'!R249:Y249)</f>
        <v>0</v>
      </c>
      <c r="G248" s="10" t="str">
        <f>IF(F248&lt;=$AO$19,"Bajo",IF(F248&lt;=$AO$20,"Regular",IF(F248&lt;=$AO$21,"Alto",0)))</f>
        <v>0</v>
      </c>
      <c r="H248" t="str">
        <f>SUM(B248:F248)</f>
        <v>0</v>
      </c>
      <c r="I248" s="10" t="str">
        <f>IF(H248&lt;=$BA$19,"Bajo",IF(H248&lt;=$BA$20,"Regular",IF(H248&lt;=$BA$21,"Alto",0)))</f>
        <v>0</v>
      </c>
    </row>
    <row r="249" spans="1:61">
      <c r="A249" t="s">
        <v>275</v>
      </c>
      <c r="B249" t="str">
        <f>SUM('Inteligencia emocional'!B250:I250)</f>
        <v>0</v>
      </c>
      <c r="C249" s="10" t="str">
        <f>IF(B249&lt;=$Q$19,"Bajo",IF(B249&lt;=$Q$20,"Regular",IF(B249&lt;=$Q$21,"Alto",0)))</f>
        <v>0</v>
      </c>
      <c r="D249" t="str">
        <f>SUM('Inteligencia emocional'!J250:Q250)</f>
        <v>0</v>
      </c>
      <c r="E249" s="10" t="str">
        <f>IF(D249&lt;=$AC$19,"Bajo",IF(D249&lt;=$AC$20,"Regular",IF(D249&lt;=$AC$21,"Alto",0)))</f>
        <v>0</v>
      </c>
      <c r="F249" t="str">
        <f>SUM('Inteligencia emocional'!R250:Y250)</f>
        <v>0</v>
      </c>
      <c r="G249" s="10" t="str">
        <f>IF(F249&lt;=$AO$19,"Bajo",IF(F249&lt;=$AO$20,"Regular",IF(F249&lt;=$AO$21,"Alto",0)))</f>
        <v>0</v>
      </c>
      <c r="H249" t="str">
        <f>SUM(B249:F249)</f>
        <v>0</v>
      </c>
      <c r="I249" s="10" t="str">
        <f>IF(H249&lt;=$BA$19,"Bajo",IF(H249&lt;=$BA$20,"Regular",IF(H249&lt;=$BA$21,"Alto",0)))</f>
        <v>0</v>
      </c>
    </row>
    <row r="250" spans="1:61">
      <c r="A250" t="s">
        <v>276</v>
      </c>
      <c r="B250" t="str">
        <f>SUM('Inteligencia emocional'!B251:I251)</f>
        <v>0</v>
      </c>
      <c r="C250" s="10" t="str">
        <f>IF(B250&lt;=$Q$19,"Bajo",IF(B250&lt;=$Q$20,"Regular",IF(B250&lt;=$Q$21,"Alto",0)))</f>
        <v>0</v>
      </c>
      <c r="D250" t="str">
        <f>SUM('Inteligencia emocional'!J251:Q251)</f>
        <v>0</v>
      </c>
      <c r="E250" s="10" t="str">
        <f>IF(D250&lt;=$AC$19,"Bajo",IF(D250&lt;=$AC$20,"Regular",IF(D250&lt;=$AC$21,"Alto",0)))</f>
        <v>0</v>
      </c>
      <c r="F250" t="str">
        <f>SUM('Inteligencia emocional'!R251:Y251)</f>
        <v>0</v>
      </c>
      <c r="G250" s="10" t="str">
        <f>IF(F250&lt;=$AO$19,"Bajo",IF(F250&lt;=$AO$20,"Regular",IF(F250&lt;=$AO$21,"Alto",0)))</f>
        <v>0</v>
      </c>
      <c r="H250" t="str">
        <f>SUM(B250:F250)</f>
        <v>0</v>
      </c>
      <c r="I250" s="10" t="str">
        <f>IF(H250&lt;=$BA$19,"Bajo",IF(H250&lt;=$BA$20,"Regular",IF(H250&lt;=$BA$21,"Alto",0)))</f>
        <v>0</v>
      </c>
    </row>
    <row r="251" spans="1:61">
      <c r="A251" t="s">
        <v>277</v>
      </c>
      <c r="B251" t="str">
        <f>SUM('Inteligencia emocional'!B252:I252)</f>
        <v>0</v>
      </c>
      <c r="C251" s="10" t="str">
        <f>IF(B251&lt;=$Q$19,"Bajo",IF(B251&lt;=$Q$20,"Regular",IF(B251&lt;=$Q$21,"Alto",0)))</f>
        <v>0</v>
      </c>
      <c r="D251" t="str">
        <f>SUM('Inteligencia emocional'!J252:Q252)</f>
        <v>0</v>
      </c>
      <c r="E251" s="10" t="str">
        <f>IF(D251&lt;=$AC$19,"Bajo",IF(D251&lt;=$AC$20,"Regular",IF(D251&lt;=$AC$21,"Alto",0)))</f>
        <v>0</v>
      </c>
      <c r="F251" t="str">
        <f>SUM('Inteligencia emocional'!R252:Y252)</f>
        <v>0</v>
      </c>
      <c r="G251" s="10" t="str">
        <f>IF(F251&lt;=$AO$19,"Bajo",IF(F251&lt;=$AO$20,"Regular",IF(F251&lt;=$AO$21,"Alto",0)))</f>
        <v>0</v>
      </c>
      <c r="H251" t="str">
        <f>SUM(B251:F251)</f>
        <v>0</v>
      </c>
      <c r="I251" s="10" t="str">
        <f>IF(H251&lt;=$BA$19,"Bajo",IF(H251&lt;=$BA$20,"Regular",IF(H251&lt;=$BA$21,"Alto",0)))</f>
        <v>0</v>
      </c>
    </row>
    <row r="252" spans="1:61">
      <c r="A252" t="s">
        <v>278</v>
      </c>
      <c r="B252" t="str">
        <f>SUM('Inteligencia emocional'!B253:I253)</f>
        <v>0</v>
      </c>
      <c r="C252" s="10" t="str">
        <f>IF(B252&lt;=$Q$19,"Bajo",IF(B252&lt;=$Q$20,"Regular",IF(B252&lt;=$Q$21,"Alto",0)))</f>
        <v>0</v>
      </c>
      <c r="D252" t="str">
        <f>SUM('Inteligencia emocional'!J253:Q253)</f>
        <v>0</v>
      </c>
      <c r="E252" s="10" t="str">
        <f>IF(D252&lt;=$AC$19,"Bajo",IF(D252&lt;=$AC$20,"Regular",IF(D252&lt;=$AC$21,"Alto",0)))</f>
        <v>0</v>
      </c>
      <c r="F252" t="str">
        <f>SUM('Inteligencia emocional'!R253:Y253)</f>
        <v>0</v>
      </c>
      <c r="G252" s="10" t="str">
        <f>IF(F252&lt;=$AO$19,"Bajo",IF(F252&lt;=$AO$20,"Regular",IF(F252&lt;=$AO$21,"Alto",0)))</f>
        <v>0</v>
      </c>
      <c r="H252" t="str">
        <f>SUM(B252:F252)</f>
        <v>0</v>
      </c>
      <c r="I252" s="10" t="str">
        <f>IF(H252&lt;=$BA$19,"Bajo",IF(H252&lt;=$BA$20,"Regular",IF(H252&lt;=$BA$21,"Alto",0)))</f>
        <v>0</v>
      </c>
    </row>
    <row r="253" spans="1:61">
      <c r="A253" t="s">
        <v>279</v>
      </c>
      <c r="B253" t="str">
        <f>SUM('Inteligencia emocional'!B254:I254)</f>
        <v>0</v>
      </c>
      <c r="C253" s="10" t="str">
        <f>IF(B253&lt;=$Q$19,"Bajo",IF(B253&lt;=$Q$20,"Regular",IF(B253&lt;=$Q$21,"Alto",0)))</f>
        <v>0</v>
      </c>
      <c r="D253" t="str">
        <f>SUM('Inteligencia emocional'!J254:Q254)</f>
        <v>0</v>
      </c>
      <c r="E253" s="10" t="str">
        <f>IF(D253&lt;=$AC$19,"Bajo",IF(D253&lt;=$AC$20,"Regular",IF(D253&lt;=$AC$21,"Alto",0)))</f>
        <v>0</v>
      </c>
      <c r="F253" t="str">
        <f>SUM('Inteligencia emocional'!R254:Y254)</f>
        <v>0</v>
      </c>
      <c r="G253" s="10" t="str">
        <f>IF(F253&lt;=$AO$19,"Bajo",IF(F253&lt;=$AO$20,"Regular",IF(F253&lt;=$AO$21,"Alto",0)))</f>
        <v>0</v>
      </c>
      <c r="H253" t="str">
        <f>SUM(B253:F253)</f>
        <v>0</v>
      </c>
      <c r="I253" s="10" t="str">
        <f>IF(H253&lt;=$BA$19,"Bajo",IF(H253&lt;=$BA$20,"Regular",IF(H253&lt;=$BA$21,"Alto",0)))</f>
        <v>0</v>
      </c>
    </row>
    <row r="254" spans="1:61">
      <c r="A254" t="s">
        <v>280</v>
      </c>
      <c r="B254" t="str">
        <f>SUM('Inteligencia emocional'!B255:I255)</f>
        <v>0</v>
      </c>
      <c r="C254" s="10" t="str">
        <f>IF(B254&lt;=$Q$19,"Bajo",IF(B254&lt;=$Q$20,"Regular",IF(B254&lt;=$Q$21,"Alto",0)))</f>
        <v>0</v>
      </c>
      <c r="D254" t="str">
        <f>SUM('Inteligencia emocional'!J255:Q255)</f>
        <v>0</v>
      </c>
      <c r="E254" s="10" t="str">
        <f>IF(D254&lt;=$AC$19,"Bajo",IF(D254&lt;=$AC$20,"Regular",IF(D254&lt;=$AC$21,"Alto",0)))</f>
        <v>0</v>
      </c>
      <c r="F254" t="str">
        <f>SUM('Inteligencia emocional'!R255:Y255)</f>
        <v>0</v>
      </c>
      <c r="G254" s="10" t="str">
        <f>IF(F254&lt;=$AO$19,"Bajo",IF(F254&lt;=$AO$20,"Regular",IF(F254&lt;=$AO$21,"Alto",0)))</f>
        <v>0</v>
      </c>
      <c r="H254" t="str">
        <f>SUM(B254:F254)</f>
        <v>0</v>
      </c>
      <c r="I254" s="10" t="str">
        <f>IF(H254&lt;=$BA$19,"Bajo",IF(H254&lt;=$BA$20,"Regular",IF(H254&lt;=$BA$21,"Alto",0)))</f>
        <v>0</v>
      </c>
    </row>
    <row r="255" spans="1:61">
      <c r="A255" t="s">
        <v>281</v>
      </c>
      <c r="B255" t="str">
        <f>SUM('Inteligencia emocional'!B256:I256)</f>
        <v>0</v>
      </c>
      <c r="C255" s="10" t="str">
        <f>IF(B255&lt;=$Q$19,"Bajo",IF(B255&lt;=$Q$20,"Regular",IF(B255&lt;=$Q$21,"Alto",0)))</f>
        <v>0</v>
      </c>
      <c r="D255" t="str">
        <f>SUM('Inteligencia emocional'!J256:Q256)</f>
        <v>0</v>
      </c>
      <c r="E255" s="10" t="str">
        <f>IF(D255&lt;=$AC$19,"Bajo",IF(D255&lt;=$AC$20,"Regular",IF(D255&lt;=$AC$21,"Alto",0)))</f>
        <v>0</v>
      </c>
      <c r="F255" t="str">
        <f>SUM('Inteligencia emocional'!R256:Y256)</f>
        <v>0</v>
      </c>
      <c r="G255" s="10" t="str">
        <f>IF(F255&lt;=$AO$19,"Bajo",IF(F255&lt;=$AO$20,"Regular",IF(F255&lt;=$AO$21,"Alto",0)))</f>
        <v>0</v>
      </c>
      <c r="H255" t="str">
        <f>SUM(B255:F255)</f>
        <v>0</v>
      </c>
      <c r="I255" s="10" t="str">
        <f>IF(H255&lt;=$BA$19,"Bajo",IF(H255&lt;=$BA$20,"Regular",IF(H255&lt;=$BA$21,"Alto",0)))</f>
        <v>0</v>
      </c>
    </row>
    <row r="256" spans="1:61">
      <c r="A256" t="s">
        <v>282</v>
      </c>
      <c r="B256" t="str">
        <f>SUM('Inteligencia emocional'!B257:I257)</f>
        <v>0</v>
      </c>
      <c r="C256" s="10" t="str">
        <f>IF(B256&lt;=$Q$19,"Bajo",IF(B256&lt;=$Q$20,"Regular",IF(B256&lt;=$Q$21,"Alto",0)))</f>
        <v>0</v>
      </c>
      <c r="D256" t="str">
        <f>SUM('Inteligencia emocional'!J257:Q257)</f>
        <v>0</v>
      </c>
      <c r="E256" s="10" t="str">
        <f>IF(D256&lt;=$AC$19,"Bajo",IF(D256&lt;=$AC$20,"Regular",IF(D256&lt;=$AC$21,"Alto",0)))</f>
        <v>0</v>
      </c>
      <c r="F256" t="str">
        <f>SUM('Inteligencia emocional'!R257:Y257)</f>
        <v>0</v>
      </c>
      <c r="G256" s="10" t="str">
        <f>IF(F256&lt;=$AO$19,"Bajo",IF(F256&lt;=$AO$20,"Regular",IF(F256&lt;=$AO$21,"Alto",0)))</f>
        <v>0</v>
      </c>
      <c r="H256" t="str">
        <f>SUM(B256:F256)</f>
        <v>0</v>
      </c>
      <c r="I256" s="10" t="str">
        <f>IF(H256&lt;=$BA$19,"Bajo",IF(H256&lt;=$BA$20,"Regular",IF(H256&lt;=$BA$21,"Alto",0)))</f>
        <v>0</v>
      </c>
    </row>
    <row r="257" spans="1:61">
      <c r="A257" t="s">
        <v>283</v>
      </c>
      <c r="B257" t="str">
        <f>SUM('Inteligencia emocional'!B258:I258)</f>
        <v>0</v>
      </c>
      <c r="C257" s="10" t="str">
        <f>IF(B257&lt;=$Q$19,"Bajo",IF(B257&lt;=$Q$20,"Regular",IF(B257&lt;=$Q$21,"Alto",0)))</f>
        <v>0</v>
      </c>
      <c r="D257" t="str">
        <f>SUM('Inteligencia emocional'!J258:Q258)</f>
        <v>0</v>
      </c>
      <c r="E257" s="10" t="str">
        <f>IF(D257&lt;=$AC$19,"Bajo",IF(D257&lt;=$AC$20,"Regular",IF(D257&lt;=$AC$21,"Alto",0)))</f>
        <v>0</v>
      </c>
      <c r="F257" t="str">
        <f>SUM('Inteligencia emocional'!R258:Y258)</f>
        <v>0</v>
      </c>
      <c r="G257" s="10" t="str">
        <f>IF(F257&lt;=$AO$19,"Bajo",IF(F257&lt;=$AO$20,"Regular",IF(F257&lt;=$AO$21,"Alto",0)))</f>
        <v>0</v>
      </c>
      <c r="H257" t="str">
        <f>SUM(B257:F257)</f>
        <v>0</v>
      </c>
      <c r="I257" s="10" t="str">
        <f>IF(H257&lt;=$BA$19,"Bajo",IF(H257&lt;=$BA$20,"Regular",IF(H257&lt;=$BA$21,"Alto",0)))</f>
        <v>0</v>
      </c>
    </row>
    <row r="258" spans="1:61">
      <c r="A258" t="s">
        <v>284</v>
      </c>
      <c r="B258" t="str">
        <f>SUM('Inteligencia emocional'!B259:I259)</f>
        <v>0</v>
      </c>
      <c r="C258" s="10" t="str">
        <f>IF(B258&lt;=$Q$19,"Bajo",IF(B258&lt;=$Q$20,"Regular",IF(B258&lt;=$Q$21,"Alto",0)))</f>
        <v>0</v>
      </c>
      <c r="D258" t="str">
        <f>SUM('Inteligencia emocional'!J259:Q259)</f>
        <v>0</v>
      </c>
      <c r="E258" s="10" t="str">
        <f>IF(D258&lt;=$AC$19,"Bajo",IF(D258&lt;=$AC$20,"Regular",IF(D258&lt;=$AC$21,"Alto",0)))</f>
        <v>0</v>
      </c>
      <c r="F258" t="str">
        <f>SUM('Inteligencia emocional'!R259:Y259)</f>
        <v>0</v>
      </c>
      <c r="G258" s="10" t="str">
        <f>IF(F258&lt;=$AO$19,"Bajo",IF(F258&lt;=$AO$20,"Regular",IF(F258&lt;=$AO$21,"Alto",0)))</f>
        <v>0</v>
      </c>
      <c r="H258" t="str">
        <f>SUM(B258:F258)</f>
        <v>0</v>
      </c>
      <c r="I258" s="10" t="str">
        <f>IF(H258&lt;=$BA$19,"Bajo",IF(H258&lt;=$BA$20,"Regular",IF(H258&lt;=$BA$21,"Alto",0)))</f>
        <v>0</v>
      </c>
    </row>
    <row r="259" spans="1:61">
      <c r="A259" t="s">
        <v>285</v>
      </c>
      <c r="B259" t="str">
        <f>SUM('Inteligencia emocional'!B260:I260)</f>
        <v>0</v>
      </c>
      <c r="C259" s="10" t="str">
        <f>IF(B259&lt;=$Q$19,"Bajo",IF(B259&lt;=$Q$20,"Regular",IF(B259&lt;=$Q$21,"Alto",0)))</f>
        <v>0</v>
      </c>
      <c r="D259" t="str">
        <f>SUM('Inteligencia emocional'!J260:Q260)</f>
        <v>0</v>
      </c>
      <c r="E259" s="10" t="str">
        <f>IF(D259&lt;=$AC$19,"Bajo",IF(D259&lt;=$AC$20,"Regular",IF(D259&lt;=$AC$21,"Alto",0)))</f>
        <v>0</v>
      </c>
      <c r="F259" t="str">
        <f>SUM('Inteligencia emocional'!R260:Y260)</f>
        <v>0</v>
      </c>
      <c r="G259" s="10" t="str">
        <f>IF(F259&lt;=$AO$19,"Bajo",IF(F259&lt;=$AO$20,"Regular",IF(F259&lt;=$AO$21,"Alto",0)))</f>
        <v>0</v>
      </c>
      <c r="H259" t="str">
        <f>SUM(B259:F259)</f>
        <v>0</v>
      </c>
      <c r="I259" s="10" t="str">
        <f>IF(H259&lt;=$BA$19,"Bajo",IF(H259&lt;=$BA$20,"Regular",IF(H259&lt;=$BA$21,"Alto",0)))</f>
        <v>0</v>
      </c>
    </row>
    <row r="260" spans="1:61">
      <c r="A260" t="s">
        <v>286</v>
      </c>
      <c r="B260" t="str">
        <f>SUM('Inteligencia emocional'!B261:I261)</f>
        <v>0</v>
      </c>
      <c r="C260" s="10" t="str">
        <f>IF(B260&lt;=$Q$19,"Bajo",IF(B260&lt;=$Q$20,"Regular",IF(B260&lt;=$Q$21,"Alto",0)))</f>
        <v>0</v>
      </c>
      <c r="D260" t="str">
        <f>SUM('Inteligencia emocional'!J261:Q261)</f>
        <v>0</v>
      </c>
      <c r="E260" s="10" t="str">
        <f>IF(D260&lt;=$AC$19,"Bajo",IF(D260&lt;=$AC$20,"Regular",IF(D260&lt;=$AC$21,"Alto",0)))</f>
        <v>0</v>
      </c>
      <c r="F260" t="str">
        <f>SUM('Inteligencia emocional'!R261:Y261)</f>
        <v>0</v>
      </c>
      <c r="G260" s="10" t="str">
        <f>IF(F260&lt;=$AO$19,"Bajo",IF(F260&lt;=$AO$20,"Regular",IF(F260&lt;=$AO$21,"Alto",0)))</f>
        <v>0</v>
      </c>
      <c r="H260" t="str">
        <f>SUM(B260:F260)</f>
        <v>0</v>
      </c>
      <c r="I260" s="10" t="str">
        <f>IF(H260&lt;=$BA$19,"Bajo",IF(H260&lt;=$BA$20,"Regular",IF(H260&lt;=$BA$21,"Alto",0)))</f>
        <v>0</v>
      </c>
    </row>
    <row r="261" spans="1:61">
      <c r="A261" t="s">
        <v>287</v>
      </c>
      <c r="B261" t="str">
        <f>SUM('Inteligencia emocional'!B262:I262)</f>
        <v>0</v>
      </c>
      <c r="C261" s="10" t="str">
        <f>IF(B261&lt;=$Q$19,"Bajo",IF(B261&lt;=$Q$20,"Regular",IF(B261&lt;=$Q$21,"Alto",0)))</f>
        <v>0</v>
      </c>
      <c r="D261" t="str">
        <f>SUM('Inteligencia emocional'!J262:Q262)</f>
        <v>0</v>
      </c>
      <c r="E261" s="10" t="str">
        <f>IF(D261&lt;=$AC$19,"Bajo",IF(D261&lt;=$AC$20,"Regular",IF(D261&lt;=$AC$21,"Alto",0)))</f>
        <v>0</v>
      </c>
      <c r="F261" t="str">
        <f>SUM('Inteligencia emocional'!R262:Y262)</f>
        <v>0</v>
      </c>
      <c r="G261" s="10" t="str">
        <f>IF(F261&lt;=$AO$19,"Bajo",IF(F261&lt;=$AO$20,"Regular",IF(F261&lt;=$AO$21,"Alto",0)))</f>
        <v>0</v>
      </c>
      <c r="H261" t="str">
        <f>SUM(B261:F261)</f>
        <v>0</v>
      </c>
      <c r="I261" s="10" t="str">
        <f>IF(H261&lt;=$BA$19,"Bajo",IF(H261&lt;=$BA$20,"Regular",IF(H261&lt;=$BA$21,"Alto",0)))</f>
        <v>0</v>
      </c>
    </row>
    <row r="262" spans="1:61">
      <c r="A262" t="s">
        <v>288</v>
      </c>
      <c r="B262" t="str">
        <f>SUM('Inteligencia emocional'!B263:I263)</f>
        <v>0</v>
      </c>
      <c r="C262" s="10" t="str">
        <f>IF(B262&lt;=$Q$19,"Bajo",IF(B262&lt;=$Q$20,"Regular",IF(B262&lt;=$Q$21,"Alto",0)))</f>
        <v>0</v>
      </c>
      <c r="D262" t="str">
        <f>SUM('Inteligencia emocional'!J263:Q263)</f>
        <v>0</v>
      </c>
      <c r="E262" s="10" t="str">
        <f>IF(D262&lt;=$AC$19,"Bajo",IF(D262&lt;=$AC$20,"Regular",IF(D262&lt;=$AC$21,"Alto",0)))</f>
        <v>0</v>
      </c>
      <c r="F262" t="str">
        <f>SUM('Inteligencia emocional'!R263:Y263)</f>
        <v>0</v>
      </c>
      <c r="G262" s="10" t="str">
        <f>IF(F262&lt;=$AO$19,"Bajo",IF(F262&lt;=$AO$20,"Regular",IF(F262&lt;=$AO$21,"Alto",0)))</f>
        <v>0</v>
      </c>
      <c r="H262" t="str">
        <f>SUM(B262:F262)</f>
        <v>0</v>
      </c>
      <c r="I262" s="10" t="str">
        <f>IF(H262&lt;=$BA$19,"Bajo",IF(H262&lt;=$BA$20,"Regular",IF(H262&lt;=$BA$21,"Alto",0)))</f>
        <v>0</v>
      </c>
    </row>
    <row r="263" spans="1:61">
      <c r="A263" t="s">
        <v>289</v>
      </c>
      <c r="B263" t="str">
        <f>SUM('Inteligencia emocional'!B264:I264)</f>
        <v>0</v>
      </c>
      <c r="C263" s="10" t="str">
        <f>IF(B263&lt;=$Q$19,"Bajo",IF(B263&lt;=$Q$20,"Regular",IF(B263&lt;=$Q$21,"Alto",0)))</f>
        <v>0</v>
      </c>
      <c r="D263" t="str">
        <f>SUM('Inteligencia emocional'!J264:Q264)</f>
        <v>0</v>
      </c>
      <c r="E263" s="10" t="str">
        <f>IF(D263&lt;=$AC$19,"Bajo",IF(D263&lt;=$AC$20,"Regular",IF(D263&lt;=$AC$21,"Alto",0)))</f>
        <v>0</v>
      </c>
      <c r="F263" t="str">
        <f>SUM('Inteligencia emocional'!R264:Y264)</f>
        <v>0</v>
      </c>
      <c r="G263" s="10" t="str">
        <f>IF(F263&lt;=$AO$19,"Bajo",IF(F263&lt;=$AO$20,"Regular",IF(F263&lt;=$AO$21,"Alto",0)))</f>
        <v>0</v>
      </c>
      <c r="H263" t="str">
        <f>SUM(B263:F263)</f>
        <v>0</v>
      </c>
      <c r="I263" s="10" t="str">
        <f>IF(H263&lt;=$BA$19,"Bajo",IF(H263&lt;=$BA$20,"Regular",IF(H263&lt;=$BA$21,"Alto",0)))</f>
        <v>0</v>
      </c>
    </row>
    <row r="264" spans="1:61">
      <c r="A264" t="s">
        <v>290</v>
      </c>
      <c r="B264" t="str">
        <f>SUM('Inteligencia emocional'!B265:I265)</f>
        <v>0</v>
      </c>
      <c r="C264" s="10" t="str">
        <f>IF(B264&lt;=$Q$19,"Bajo",IF(B264&lt;=$Q$20,"Regular",IF(B264&lt;=$Q$21,"Alto",0)))</f>
        <v>0</v>
      </c>
      <c r="D264" t="str">
        <f>SUM('Inteligencia emocional'!J265:Q265)</f>
        <v>0</v>
      </c>
      <c r="E264" s="10" t="str">
        <f>IF(D264&lt;=$AC$19,"Bajo",IF(D264&lt;=$AC$20,"Regular",IF(D264&lt;=$AC$21,"Alto",0)))</f>
        <v>0</v>
      </c>
      <c r="F264" t="str">
        <f>SUM('Inteligencia emocional'!R265:Y265)</f>
        <v>0</v>
      </c>
      <c r="G264" s="10" t="str">
        <f>IF(F264&lt;=$AO$19,"Bajo",IF(F264&lt;=$AO$20,"Regular",IF(F264&lt;=$AO$21,"Alto",0)))</f>
        <v>0</v>
      </c>
      <c r="H264" t="str">
        <f>SUM(B264:F264)</f>
        <v>0</v>
      </c>
      <c r="I264" s="10" t="str">
        <f>IF(H264&lt;=$BA$19,"Bajo",IF(H264&lt;=$BA$20,"Regular",IF(H264&lt;=$BA$21,"Alto",0)))</f>
        <v>0</v>
      </c>
    </row>
    <row r="265" spans="1:61">
      <c r="A265" t="s">
        <v>291</v>
      </c>
      <c r="B265" t="str">
        <f>SUM('Inteligencia emocional'!B266:I266)</f>
        <v>0</v>
      </c>
      <c r="C265" s="10" t="str">
        <f>IF(B265&lt;=$Q$19,"Bajo",IF(B265&lt;=$Q$20,"Regular",IF(B265&lt;=$Q$21,"Alto",0)))</f>
        <v>0</v>
      </c>
      <c r="D265" t="str">
        <f>SUM('Inteligencia emocional'!J266:Q266)</f>
        <v>0</v>
      </c>
      <c r="E265" s="10" t="str">
        <f>IF(D265&lt;=$AC$19,"Bajo",IF(D265&lt;=$AC$20,"Regular",IF(D265&lt;=$AC$21,"Alto",0)))</f>
        <v>0</v>
      </c>
      <c r="F265" t="str">
        <f>SUM('Inteligencia emocional'!R266:Y266)</f>
        <v>0</v>
      </c>
      <c r="G265" s="10" t="str">
        <f>IF(F265&lt;=$AO$19,"Bajo",IF(F265&lt;=$AO$20,"Regular",IF(F265&lt;=$AO$21,"Alto",0)))</f>
        <v>0</v>
      </c>
      <c r="H265" t="str">
        <f>SUM(B265:F265)</f>
        <v>0</v>
      </c>
      <c r="I265" s="10" t="str">
        <f>IF(H265&lt;=$BA$19,"Bajo",IF(H265&lt;=$BA$20,"Regular",IF(H265&lt;=$BA$21,"Alto",0)))</f>
        <v>0</v>
      </c>
    </row>
    <row r="266" spans="1:61">
      <c r="A266" t="s">
        <v>292</v>
      </c>
      <c r="B266" t="str">
        <f>SUM('Inteligencia emocional'!B267:I267)</f>
        <v>0</v>
      </c>
      <c r="C266" s="10" t="str">
        <f>IF(B266&lt;=$Q$19,"Bajo",IF(B266&lt;=$Q$20,"Regular",IF(B266&lt;=$Q$21,"Alto",0)))</f>
        <v>0</v>
      </c>
      <c r="D266" t="str">
        <f>SUM('Inteligencia emocional'!J267:Q267)</f>
        <v>0</v>
      </c>
      <c r="E266" s="10" t="str">
        <f>IF(D266&lt;=$AC$19,"Bajo",IF(D266&lt;=$AC$20,"Regular",IF(D266&lt;=$AC$21,"Alto",0)))</f>
        <v>0</v>
      </c>
      <c r="F266" t="str">
        <f>SUM('Inteligencia emocional'!R267:Y267)</f>
        <v>0</v>
      </c>
      <c r="G266" s="10" t="str">
        <f>IF(F266&lt;=$AO$19,"Bajo",IF(F266&lt;=$AO$20,"Regular",IF(F266&lt;=$AO$21,"Alto",0)))</f>
        <v>0</v>
      </c>
      <c r="H266" t="str">
        <f>SUM(B266:F266)</f>
        <v>0</v>
      </c>
      <c r="I266" s="10" t="str">
        <f>IF(H266&lt;=$BA$19,"Bajo",IF(H266&lt;=$BA$20,"Regular",IF(H266&lt;=$BA$21,"Alto",0)))</f>
        <v>0</v>
      </c>
    </row>
    <row r="267" spans="1:61">
      <c r="A267" t="s">
        <v>293</v>
      </c>
      <c r="B267" t="str">
        <f>SUM('Inteligencia emocional'!B268:I268)</f>
        <v>0</v>
      </c>
      <c r="C267" s="10" t="str">
        <f>IF(B267&lt;=$Q$19,"Bajo",IF(B267&lt;=$Q$20,"Regular",IF(B267&lt;=$Q$21,"Alto",0)))</f>
        <v>0</v>
      </c>
      <c r="D267" t="str">
        <f>SUM('Inteligencia emocional'!J268:Q268)</f>
        <v>0</v>
      </c>
      <c r="E267" s="10" t="str">
        <f>IF(D267&lt;=$AC$19,"Bajo",IF(D267&lt;=$AC$20,"Regular",IF(D267&lt;=$AC$21,"Alto",0)))</f>
        <v>0</v>
      </c>
      <c r="F267" t="str">
        <f>SUM('Inteligencia emocional'!R268:Y268)</f>
        <v>0</v>
      </c>
      <c r="G267" s="10" t="str">
        <f>IF(F267&lt;=$AO$19,"Bajo",IF(F267&lt;=$AO$20,"Regular",IF(F267&lt;=$AO$21,"Alto",0)))</f>
        <v>0</v>
      </c>
      <c r="H267" t="str">
        <f>SUM(B267:F267)</f>
        <v>0</v>
      </c>
      <c r="I267" s="10" t="str">
        <f>IF(H267&lt;=$BA$19,"Bajo",IF(H267&lt;=$BA$20,"Regular",IF(H267&lt;=$BA$21,"Alto",0)))</f>
        <v>0</v>
      </c>
    </row>
    <row r="268" spans="1:61">
      <c r="A268" t="s">
        <v>294</v>
      </c>
      <c r="B268" t="str">
        <f>SUM('Inteligencia emocional'!B269:I269)</f>
        <v>0</v>
      </c>
      <c r="C268" s="10" t="str">
        <f>IF(B268&lt;=$Q$19,"Bajo",IF(B268&lt;=$Q$20,"Regular",IF(B268&lt;=$Q$21,"Alto",0)))</f>
        <v>0</v>
      </c>
      <c r="D268" t="str">
        <f>SUM('Inteligencia emocional'!J269:Q269)</f>
        <v>0</v>
      </c>
      <c r="E268" s="10" t="str">
        <f>IF(D268&lt;=$AC$19,"Bajo",IF(D268&lt;=$AC$20,"Regular",IF(D268&lt;=$AC$21,"Alto",0)))</f>
        <v>0</v>
      </c>
      <c r="F268" t="str">
        <f>SUM('Inteligencia emocional'!R269:Y269)</f>
        <v>0</v>
      </c>
      <c r="G268" s="10" t="str">
        <f>IF(F268&lt;=$AO$19,"Bajo",IF(F268&lt;=$AO$20,"Regular",IF(F268&lt;=$AO$21,"Alto",0)))</f>
        <v>0</v>
      </c>
      <c r="H268" t="str">
        <f>SUM(B268:F268)</f>
        <v>0</v>
      </c>
      <c r="I268" s="10" t="str">
        <f>IF(H268&lt;=$BA$19,"Bajo",IF(H268&lt;=$BA$20,"Regular",IF(H268&lt;=$BA$21,"Alto",0)))</f>
        <v>0</v>
      </c>
    </row>
    <row r="269" spans="1:61">
      <c r="A269" t="s">
        <v>295</v>
      </c>
      <c r="B269" t="str">
        <f>SUM('Inteligencia emocional'!B270:I270)</f>
        <v>0</v>
      </c>
      <c r="C269" s="10" t="str">
        <f>IF(B269&lt;=$Q$19,"Bajo",IF(B269&lt;=$Q$20,"Regular",IF(B269&lt;=$Q$21,"Alto",0)))</f>
        <v>0</v>
      </c>
      <c r="D269" t="str">
        <f>SUM('Inteligencia emocional'!J270:Q270)</f>
        <v>0</v>
      </c>
      <c r="E269" s="10" t="str">
        <f>IF(D269&lt;=$AC$19,"Bajo",IF(D269&lt;=$AC$20,"Regular",IF(D269&lt;=$AC$21,"Alto",0)))</f>
        <v>0</v>
      </c>
      <c r="F269" t="str">
        <f>SUM('Inteligencia emocional'!R270:Y270)</f>
        <v>0</v>
      </c>
      <c r="G269" s="10" t="str">
        <f>IF(F269&lt;=$AO$19,"Bajo",IF(F269&lt;=$AO$20,"Regular",IF(F269&lt;=$AO$21,"Alto",0)))</f>
        <v>0</v>
      </c>
      <c r="H269" t="str">
        <f>SUM(B269:F269)</f>
        <v>0</v>
      </c>
      <c r="I269" s="10" t="str">
        <f>IF(H269&lt;=$BA$19,"Bajo",IF(H269&lt;=$BA$20,"Regular",IF(H269&lt;=$BA$21,"Alto",0)))</f>
        <v>0</v>
      </c>
    </row>
    <row r="270" spans="1:61">
      <c r="A270" t="s">
        <v>296</v>
      </c>
      <c r="B270" t="str">
        <f>SUM('Inteligencia emocional'!B271:I271)</f>
        <v>0</v>
      </c>
      <c r="C270" s="10" t="str">
        <f>IF(B270&lt;=$Q$19,"Bajo",IF(B270&lt;=$Q$20,"Regular",IF(B270&lt;=$Q$21,"Alto",0)))</f>
        <v>0</v>
      </c>
      <c r="D270" t="str">
        <f>SUM('Inteligencia emocional'!J271:Q271)</f>
        <v>0</v>
      </c>
      <c r="E270" s="10" t="str">
        <f>IF(D270&lt;=$AC$19,"Bajo",IF(D270&lt;=$AC$20,"Regular",IF(D270&lt;=$AC$21,"Alto",0)))</f>
        <v>0</v>
      </c>
      <c r="F270" t="str">
        <f>SUM('Inteligencia emocional'!R271:Y271)</f>
        <v>0</v>
      </c>
      <c r="G270" s="10" t="str">
        <f>IF(F270&lt;=$AO$19,"Bajo",IF(F270&lt;=$AO$20,"Regular",IF(F270&lt;=$AO$21,"Alto",0)))</f>
        <v>0</v>
      </c>
      <c r="H270" t="str">
        <f>SUM(B270:F270)</f>
        <v>0</v>
      </c>
      <c r="I270" s="10" t="str">
        <f>IF(H270&lt;=$BA$19,"Bajo",IF(H270&lt;=$BA$20,"Regular",IF(H270&lt;=$BA$21,"Alto",0)))</f>
        <v>0</v>
      </c>
    </row>
    <row r="271" spans="1:61">
      <c r="A271" t="s">
        <v>297</v>
      </c>
      <c r="B271" t="str">
        <f>SUM('Inteligencia emocional'!B272:I272)</f>
        <v>0</v>
      </c>
      <c r="C271" s="10" t="str">
        <f>IF(B271&lt;=$Q$19,"Bajo",IF(B271&lt;=$Q$20,"Regular",IF(B271&lt;=$Q$21,"Alto",0)))</f>
        <v>0</v>
      </c>
      <c r="D271" t="str">
        <f>SUM('Inteligencia emocional'!J272:Q272)</f>
        <v>0</v>
      </c>
      <c r="E271" s="10" t="str">
        <f>IF(D271&lt;=$AC$19,"Bajo",IF(D271&lt;=$AC$20,"Regular",IF(D271&lt;=$AC$21,"Alto",0)))</f>
        <v>0</v>
      </c>
      <c r="F271" t="str">
        <f>SUM('Inteligencia emocional'!R272:Y272)</f>
        <v>0</v>
      </c>
      <c r="G271" s="10" t="str">
        <f>IF(F271&lt;=$AO$19,"Bajo",IF(F271&lt;=$AO$20,"Regular",IF(F271&lt;=$AO$21,"Alto",0)))</f>
        <v>0</v>
      </c>
      <c r="H271" t="str">
        <f>SUM(B271:F271)</f>
        <v>0</v>
      </c>
      <c r="I271" s="10" t="str">
        <f>IF(H271&lt;=$BA$19,"Bajo",IF(H271&lt;=$BA$20,"Regular",IF(H271&lt;=$BA$21,"Alto",0)))</f>
        <v>0</v>
      </c>
    </row>
    <row r="272" spans="1:61">
      <c r="A272" t="s">
        <v>298</v>
      </c>
      <c r="B272" t="str">
        <f>SUM('Inteligencia emocional'!B273:I273)</f>
        <v>0</v>
      </c>
      <c r="C272" s="10" t="str">
        <f>IF(B272&lt;=$Q$19,"Bajo",IF(B272&lt;=$Q$20,"Regular",IF(B272&lt;=$Q$21,"Alto",0)))</f>
        <v>0</v>
      </c>
      <c r="D272" t="str">
        <f>SUM('Inteligencia emocional'!J273:Q273)</f>
        <v>0</v>
      </c>
      <c r="E272" s="10" t="str">
        <f>IF(D272&lt;=$AC$19,"Bajo",IF(D272&lt;=$AC$20,"Regular",IF(D272&lt;=$AC$21,"Alto",0)))</f>
        <v>0</v>
      </c>
      <c r="F272" t="str">
        <f>SUM('Inteligencia emocional'!R273:Y273)</f>
        <v>0</v>
      </c>
      <c r="G272" s="10" t="str">
        <f>IF(F272&lt;=$AO$19,"Bajo",IF(F272&lt;=$AO$20,"Regular",IF(F272&lt;=$AO$21,"Alto",0)))</f>
        <v>0</v>
      </c>
      <c r="H272" t="str">
        <f>SUM(B272:F272)</f>
        <v>0</v>
      </c>
      <c r="I272" s="10" t="str">
        <f>IF(H272&lt;=$BA$19,"Bajo",IF(H272&lt;=$BA$20,"Regular",IF(H272&lt;=$BA$21,"Alto",0)))</f>
        <v>0</v>
      </c>
    </row>
    <row r="273" spans="1:61">
      <c r="A273" t="s">
        <v>299</v>
      </c>
      <c r="B273" t="str">
        <f>SUM('Inteligencia emocional'!B274:I274)</f>
        <v>0</v>
      </c>
      <c r="C273" s="10" t="str">
        <f>IF(B273&lt;=$Q$19,"Bajo",IF(B273&lt;=$Q$20,"Regular",IF(B273&lt;=$Q$21,"Alto",0)))</f>
        <v>0</v>
      </c>
      <c r="D273" t="str">
        <f>SUM('Inteligencia emocional'!J274:Q274)</f>
        <v>0</v>
      </c>
      <c r="E273" s="10" t="str">
        <f>IF(D273&lt;=$AC$19,"Bajo",IF(D273&lt;=$AC$20,"Regular",IF(D273&lt;=$AC$21,"Alto",0)))</f>
        <v>0</v>
      </c>
      <c r="F273" t="str">
        <f>SUM('Inteligencia emocional'!R274:Y274)</f>
        <v>0</v>
      </c>
      <c r="G273" s="10" t="str">
        <f>IF(F273&lt;=$AO$19,"Bajo",IF(F273&lt;=$AO$20,"Regular",IF(F273&lt;=$AO$21,"Alto",0)))</f>
        <v>0</v>
      </c>
      <c r="H273" t="str">
        <f>SUM(B273:F273)</f>
        <v>0</v>
      </c>
      <c r="I273" s="10" t="str">
        <f>IF(H273&lt;=$BA$19,"Bajo",IF(H273&lt;=$BA$20,"Regular",IF(H273&lt;=$BA$21,"Alto",0)))</f>
        <v>0</v>
      </c>
    </row>
    <row r="274" spans="1:61">
      <c r="A274" t="s">
        <v>300</v>
      </c>
      <c r="B274" t="str">
        <f>SUM('Inteligencia emocional'!B275:I275)</f>
        <v>0</v>
      </c>
      <c r="C274" s="10" t="str">
        <f>IF(B274&lt;=$Q$19,"Bajo",IF(B274&lt;=$Q$20,"Regular",IF(B274&lt;=$Q$21,"Alto",0)))</f>
        <v>0</v>
      </c>
      <c r="D274" t="str">
        <f>SUM('Inteligencia emocional'!J275:Q275)</f>
        <v>0</v>
      </c>
      <c r="E274" s="10" t="str">
        <f>IF(D274&lt;=$AC$19,"Bajo",IF(D274&lt;=$AC$20,"Regular",IF(D274&lt;=$AC$21,"Alto",0)))</f>
        <v>0</v>
      </c>
      <c r="F274" t="str">
        <f>SUM('Inteligencia emocional'!R275:Y275)</f>
        <v>0</v>
      </c>
      <c r="G274" s="10" t="str">
        <f>IF(F274&lt;=$AO$19,"Bajo",IF(F274&lt;=$AO$20,"Regular",IF(F274&lt;=$AO$21,"Alto",0)))</f>
        <v>0</v>
      </c>
      <c r="H274" t="str">
        <f>SUM(B274:F274)</f>
        <v>0</v>
      </c>
      <c r="I274" s="10" t="str">
        <f>IF(H274&lt;=$BA$19,"Bajo",IF(H274&lt;=$BA$20,"Regular",IF(H274&lt;=$BA$21,"Alto",0)))</f>
        <v>0</v>
      </c>
    </row>
    <row r="275" spans="1:61">
      <c r="A275" t="s">
        <v>301</v>
      </c>
      <c r="B275" t="str">
        <f>SUM('Inteligencia emocional'!B276:I276)</f>
        <v>0</v>
      </c>
      <c r="C275" s="10" t="str">
        <f>IF(B275&lt;=$Q$19,"Bajo",IF(B275&lt;=$Q$20,"Regular",IF(B275&lt;=$Q$21,"Alto",0)))</f>
        <v>0</v>
      </c>
      <c r="D275" t="str">
        <f>SUM('Inteligencia emocional'!J276:Q276)</f>
        <v>0</v>
      </c>
      <c r="E275" s="10" t="str">
        <f>IF(D275&lt;=$AC$19,"Bajo",IF(D275&lt;=$AC$20,"Regular",IF(D275&lt;=$AC$21,"Alto",0)))</f>
        <v>0</v>
      </c>
      <c r="F275" t="str">
        <f>SUM('Inteligencia emocional'!R276:Y276)</f>
        <v>0</v>
      </c>
      <c r="G275" s="10" t="str">
        <f>IF(F275&lt;=$AO$19,"Bajo",IF(F275&lt;=$AO$20,"Regular",IF(F275&lt;=$AO$21,"Alto",0)))</f>
        <v>0</v>
      </c>
      <c r="H275" t="str">
        <f>SUM(B275:F275)</f>
        <v>0</v>
      </c>
      <c r="I275" s="10" t="str">
        <f>IF(H275&lt;=$BA$19,"Bajo",IF(H275&lt;=$BA$20,"Regular",IF(H275&lt;=$BA$21,"Alto",0)))</f>
        <v>0</v>
      </c>
    </row>
    <row r="276" spans="1:61">
      <c r="A276" t="s">
        <v>302</v>
      </c>
      <c r="B276" t="str">
        <f>SUM('Inteligencia emocional'!B277:I277)</f>
        <v>0</v>
      </c>
      <c r="C276" s="10" t="str">
        <f>IF(B276&lt;=$Q$19,"Bajo",IF(B276&lt;=$Q$20,"Regular",IF(B276&lt;=$Q$21,"Alto",0)))</f>
        <v>0</v>
      </c>
      <c r="D276" t="str">
        <f>SUM('Inteligencia emocional'!J277:Q277)</f>
        <v>0</v>
      </c>
      <c r="E276" s="10" t="str">
        <f>IF(D276&lt;=$AC$19,"Bajo",IF(D276&lt;=$AC$20,"Regular",IF(D276&lt;=$AC$21,"Alto",0)))</f>
        <v>0</v>
      </c>
      <c r="F276" t="str">
        <f>SUM('Inteligencia emocional'!R277:Y277)</f>
        <v>0</v>
      </c>
      <c r="G276" s="10" t="str">
        <f>IF(F276&lt;=$AO$19,"Bajo",IF(F276&lt;=$AO$20,"Regular",IF(F276&lt;=$AO$21,"Alto",0)))</f>
        <v>0</v>
      </c>
      <c r="H276" t="str">
        <f>SUM(B276:F276)</f>
        <v>0</v>
      </c>
      <c r="I276" s="10" t="str">
        <f>IF(H276&lt;=$BA$19,"Bajo",IF(H276&lt;=$BA$20,"Regular",IF(H276&lt;=$BA$21,"Alto",0)))</f>
        <v>0</v>
      </c>
    </row>
    <row r="277" spans="1:61">
      <c r="A277" t="s">
        <v>303</v>
      </c>
      <c r="B277" t="str">
        <f>SUM('Inteligencia emocional'!B278:I278)</f>
        <v>0</v>
      </c>
      <c r="C277" s="10" t="str">
        <f>IF(B277&lt;=$Q$19,"Bajo",IF(B277&lt;=$Q$20,"Regular",IF(B277&lt;=$Q$21,"Alto",0)))</f>
        <v>0</v>
      </c>
      <c r="D277" t="str">
        <f>SUM('Inteligencia emocional'!J278:Q278)</f>
        <v>0</v>
      </c>
      <c r="E277" s="10" t="str">
        <f>IF(D277&lt;=$AC$19,"Bajo",IF(D277&lt;=$AC$20,"Regular",IF(D277&lt;=$AC$21,"Alto",0)))</f>
        <v>0</v>
      </c>
      <c r="F277" t="str">
        <f>SUM('Inteligencia emocional'!R278:Y278)</f>
        <v>0</v>
      </c>
      <c r="G277" s="10" t="str">
        <f>IF(F277&lt;=$AO$19,"Bajo",IF(F277&lt;=$AO$20,"Regular",IF(F277&lt;=$AO$21,"Alto",0)))</f>
        <v>0</v>
      </c>
      <c r="H277" t="str">
        <f>SUM(B277:F277)</f>
        <v>0</v>
      </c>
      <c r="I277" s="10" t="str">
        <f>IF(H277&lt;=$BA$19,"Bajo",IF(H277&lt;=$BA$20,"Regular",IF(H277&lt;=$BA$21,"Alto",0)))</f>
        <v>0</v>
      </c>
    </row>
    <row r="278" spans="1:61">
      <c r="A278" t="s">
        <v>304</v>
      </c>
      <c r="B278" t="str">
        <f>SUM('Inteligencia emocional'!B279:I279)</f>
        <v>0</v>
      </c>
      <c r="C278" s="10" t="str">
        <f>IF(B278&lt;=$Q$19,"Bajo",IF(B278&lt;=$Q$20,"Regular",IF(B278&lt;=$Q$21,"Alto",0)))</f>
        <v>0</v>
      </c>
      <c r="D278" t="str">
        <f>SUM('Inteligencia emocional'!J279:Q279)</f>
        <v>0</v>
      </c>
      <c r="E278" s="10" t="str">
        <f>IF(D278&lt;=$AC$19,"Bajo",IF(D278&lt;=$AC$20,"Regular",IF(D278&lt;=$AC$21,"Alto",0)))</f>
        <v>0</v>
      </c>
      <c r="F278" t="str">
        <f>SUM('Inteligencia emocional'!R279:Y279)</f>
        <v>0</v>
      </c>
      <c r="G278" s="10" t="str">
        <f>IF(F278&lt;=$AO$19,"Bajo",IF(F278&lt;=$AO$20,"Regular",IF(F278&lt;=$AO$21,"Alto",0)))</f>
        <v>0</v>
      </c>
      <c r="H278" t="str">
        <f>SUM(B278:F278)</f>
        <v>0</v>
      </c>
      <c r="I278" s="10" t="str">
        <f>IF(H278&lt;=$BA$19,"Bajo",IF(H278&lt;=$BA$20,"Regular",IF(H278&lt;=$BA$21,"Alto",0)))</f>
        <v>0</v>
      </c>
    </row>
    <row r="279" spans="1:61">
      <c r="A279" t="s">
        <v>305</v>
      </c>
      <c r="B279" t="str">
        <f>SUM('Inteligencia emocional'!B280:I280)</f>
        <v>0</v>
      </c>
      <c r="C279" s="10" t="str">
        <f>IF(B279&lt;=$Q$19,"Bajo",IF(B279&lt;=$Q$20,"Regular",IF(B279&lt;=$Q$21,"Alto",0)))</f>
        <v>0</v>
      </c>
      <c r="D279" t="str">
        <f>SUM('Inteligencia emocional'!J280:Q280)</f>
        <v>0</v>
      </c>
      <c r="E279" s="10" t="str">
        <f>IF(D279&lt;=$AC$19,"Bajo",IF(D279&lt;=$AC$20,"Regular",IF(D279&lt;=$AC$21,"Alto",0)))</f>
        <v>0</v>
      </c>
      <c r="F279" t="str">
        <f>SUM('Inteligencia emocional'!R280:Y280)</f>
        <v>0</v>
      </c>
      <c r="G279" s="10" t="str">
        <f>IF(F279&lt;=$AO$19,"Bajo",IF(F279&lt;=$AO$20,"Regular",IF(F279&lt;=$AO$21,"Alto",0)))</f>
        <v>0</v>
      </c>
      <c r="H279" t="str">
        <f>SUM(B279:F279)</f>
        <v>0</v>
      </c>
      <c r="I279" s="10" t="str">
        <f>IF(H279&lt;=$BA$19,"Bajo",IF(H279&lt;=$BA$20,"Regular",IF(H279&lt;=$BA$21,"Alto",0)))</f>
        <v>0</v>
      </c>
    </row>
    <row r="280" spans="1:61">
      <c r="A280" t="s">
        <v>306</v>
      </c>
      <c r="B280" t="str">
        <f>SUM('Inteligencia emocional'!B281:I281)</f>
        <v>0</v>
      </c>
      <c r="C280" s="10" t="str">
        <f>IF(B280&lt;=$Q$19,"Bajo",IF(B280&lt;=$Q$20,"Regular",IF(B280&lt;=$Q$21,"Alto",0)))</f>
        <v>0</v>
      </c>
      <c r="D280" t="str">
        <f>SUM('Inteligencia emocional'!J281:Q281)</f>
        <v>0</v>
      </c>
      <c r="E280" s="10" t="str">
        <f>IF(D280&lt;=$AC$19,"Bajo",IF(D280&lt;=$AC$20,"Regular",IF(D280&lt;=$AC$21,"Alto",0)))</f>
        <v>0</v>
      </c>
      <c r="F280" t="str">
        <f>SUM('Inteligencia emocional'!R281:Y281)</f>
        <v>0</v>
      </c>
      <c r="G280" s="10" t="str">
        <f>IF(F280&lt;=$AO$19,"Bajo",IF(F280&lt;=$AO$20,"Regular",IF(F280&lt;=$AO$21,"Alto",0)))</f>
        <v>0</v>
      </c>
      <c r="H280" t="str">
        <f>SUM(B280:F280)</f>
        <v>0</v>
      </c>
      <c r="I280" s="10" t="str">
        <f>IF(H280&lt;=$BA$19,"Bajo",IF(H280&lt;=$BA$20,"Regular",IF(H280&lt;=$BA$21,"Alto",0)))</f>
        <v>0</v>
      </c>
    </row>
    <row r="281" spans="1:61">
      <c r="A281" t="s">
        <v>307</v>
      </c>
      <c r="B281" t="str">
        <f>SUM('Inteligencia emocional'!B282:I282)</f>
        <v>0</v>
      </c>
      <c r="C281" s="10" t="str">
        <f>IF(B281&lt;=$Q$19,"Bajo",IF(B281&lt;=$Q$20,"Regular",IF(B281&lt;=$Q$21,"Alto",0)))</f>
        <v>0</v>
      </c>
      <c r="D281" t="str">
        <f>SUM('Inteligencia emocional'!J282:Q282)</f>
        <v>0</v>
      </c>
      <c r="E281" s="10" t="str">
        <f>IF(D281&lt;=$AC$19,"Bajo",IF(D281&lt;=$AC$20,"Regular",IF(D281&lt;=$AC$21,"Alto",0)))</f>
        <v>0</v>
      </c>
      <c r="F281" t="str">
        <f>SUM('Inteligencia emocional'!R282:Y282)</f>
        <v>0</v>
      </c>
      <c r="G281" s="10" t="str">
        <f>IF(F281&lt;=$AO$19,"Bajo",IF(F281&lt;=$AO$20,"Regular",IF(F281&lt;=$AO$21,"Alto",0)))</f>
        <v>0</v>
      </c>
      <c r="H281" t="str">
        <f>SUM(B281:F281)</f>
        <v>0</v>
      </c>
      <c r="I281" s="10" t="str">
        <f>IF(H281&lt;=$BA$19,"Bajo",IF(H281&lt;=$BA$20,"Regular",IF(H281&lt;=$BA$21,"Alto",0)))</f>
        <v>0</v>
      </c>
    </row>
    <row r="282" spans="1:61">
      <c r="A282" t="s">
        <v>308</v>
      </c>
      <c r="B282" t="str">
        <f>SUM('Inteligencia emocional'!B283:I283)</f>
        <v>0</v>
      </c>
      <c r="C282" s="10" t="str">
        <f>IF(B282&lt;=$Q$19,"Bajo",IF(B282&lt;=$Q$20,"Regular",IF(B282&lt;=$Q$21,"Alto",0)))</f>
        <v>0</v>
      </c>
      <c r="D282" t="str">
        <f>SUM('Inteligencia emocional'!J283:Q283)</f>
        <v>0</v>
      </c>
      <c r="E282" s="10" t="str">
        <f>IF(D282&lt;=$AC$19,"Bajo",IF(D282&lt;=$AC$20,"Regular",IF(D282&lt;=$AC$21,"Alto",0)))</f>
        <v>0</v>
      </c>
      <c r="F282" t="str">
        <f>SUM('Inteligencia emocional'!R283:Y283)</f>
        <v>0</v>
      </c>
      <c r="G282" s="10" t="str">
        <f>IF(F282&lt;=$AO$19,"Bajo",IF(F282&lt;=$AO$20,"Regular",IF(F282&lt;=$AO$21,"Alto",0)))</f>
        <v>0</v>
      </c>
      <c r="H282" t="str">
        <f>SUM(B282:F282)</f>
        <v>0</v>
      </c>
      <c r="I282" s="10" t="str">
        <f>IF(H282&lt;=$BA$19,"Bajo",IF(H282&lt;=$BA$20,"Regular",IF(H282&lt;=$BA$21,"Alto",0)))</f>
        <v>0</v>
      </c>
    </row>
    <row r="283" spans="1:61">
      <c r="A283" t="s">
        <v>309</v>
      </c>
      <c r="B283" t="str">
        <f>SUM('Inteligencia emocional'!B284:I284)</f>
        <v>0</v>
      </c>
      <c r="C283" s="10" t="str">
        <f>IF(B283&lt;=$Q$19,"Bajo",IF(B283&lt;=$Q$20,"Regular",IF(B283&lt;=$Q$21,"Alto",0)))</f>
        <v>0</v>
      </c>
      <c r="D283" t="str">
        <f>SUM('Inteligencia emocional'!J284:Q284)</f>
        <v>0</v>
      </c>
      <c r="E283" s="10" t="str">
        <f>IF(D283&lt;=$AC$19,"Bajo",IF(D283&lt;=$AC$20,"Regular",IF(D283&lt;=$AC$21,"Alto",0)))</f>
        <v>0</v>
      </c>
      <c r="F283" t="str">
        <f>SUM('Inteligencia emocional'!R284:Y284)</f>
        <v>0</v>
      </c>
      <c r="G283" s="10" t="str">
        <f>IF(F283&lt;=$AO$19,"Bajo",IF(F283&lt;=$AO$20,"Regular",IF(F283&lt;=$AO$21,"Alto",0)))</f>
        <v>0</v>
      </c>
      <c r="H283" t="str">
        <f>SUM(B283:F283)</f>
        <v>0</v>
      </c>
      <c r="I283" s="10" t="str">
        <f>IF(H283&lt;=$BA$19,"Bajo",IF(H283&lt;=$BA$20,"Regular",IF(H283&lt;=$BA$21,"Alto",0)))</f>
        <v>0</v>
      </c>
    </row>
    <row r="284" spans="1:61">
      <c r="A284" t="s">
        <v>310</v>
      </c>
      <c r="B284" t="str">
        <f>SUM('Inteligencia emocional'!B285:I285)</f>
        <v>0</v>
      </c>
      <c r="C284" s="10" t="str">
        <f>IF(B284&lt;=$Q$19,"Bajo",IF(B284&lt;=$Q$20,"Regular",IF(B284&lt;=$Q$21,"Alto",0)))</f>
        <v>0</v>
      </c>
      <c r="D284" t="str">
        <f>SUM('Inteligencia emocional'!J285:Q285)</f>
        <v>0</v>
      </c>
      <c r="E284" s="10" t="str">
        <f>IF(D284&lt;=$AC$19,"Bajo",IF(D284&lt;=$AC$20,"Regular",IF(D284&lt;=$AC$21,"Alto",0)))</f>
        <v>0</v>
      </c>
      <c r="F284" t="str">
        <f>SUM('Inteligencia emocional'!R285:Y285)</f>
        <v>0</v>
      </c>
      <c r="G284" s="10" t="str">
        <f>IF(F284&lt;=$AO$19,"Bajo",IF(F284&lt;=$AO$20,"Regular",IF(F284&lt;=$AO$21,"Alto",0)))</f>
        <v>0</v>
      </c>
      <c r="H284" t="str">
        <f>SUM(B284:F284)</f>
        <v>0</v>
      </c>
      <c r="I284" s="10" t="str">
        <f>IF(H284&lt;=$BA$19,"Bajo",IF(H284&lt;=$BA$20,"Regular",IF(H284&lt;=$BA$21,"Alto",0)))</f>
        <v>0</v>
      </c>
    </row>
    <row r="285" spans="1:61">
      <c r="A285" t="s">
        <v>311</v>
      </c>
      <c r="B285" t="str">
        <f>SUM('Inteligencia emocional'!B286:I286)</f>
        <v>0</v>
      </c>
      <c r="C285" s="10" t="str">
        <f>IF(B285&lt;=$Q$19,"Bajo",IF(B285&lt;=$Q$20,"Regular",IF(B285&lt;=$Q$21,"Alto",0)))</f>
        <v>0</v>
      </c>
      <c r="D285" t="str">
        <f>SUM('Inteligencia emocional'!J286:Q286)</f>
        <v>0</v>
      </c>
      <c r="E285" s="10" t="str">
        <f>IF(D285&lt;=$AC$19,"Bajo",IF(D285&lt;=$AC$20,"Regular",IF(D285&lt;=$AC$21,"Alto",0)))</f>
        <v>0</v>
      </c>
      <c r="F285" t="str">
        <f>SUM('Inteligencia emocional'!R286:Y286)</f>
        <v>0</v>
      </c>
      <c r="G285" s="10" t="str">
        <f>IF(F285&lt;=$AO$19,"Bajo",IF(F285&lt;=$AO$20,"Regular",IF(F285&lt;=$AO$21,"Alto",0)))</f>
        <v>0</v>
      </c>
      <c r="H285" t="str">
        <f>SUM(B285:F285)</f>
        <v>0</v>
      </c>
      <c r="I285" s="10" t="str">
        <f>IF(H285&lt;=$BA$19,"Bajo",IF(H285&lt;=$BA$20,"Regular",IF(H285&lt;=$BA$21,"Alto",0)))</f>
        <v>0</v>
      </c>
    </row>
    <row r="286" spans="1:61">
      <c r="A286" t="s">
        <v>312</v>
      </c>
      <c r="B286" t="str">
        <f>SUM('Inteligencia emocional'!B287:I287)</f>
        <v>0</v>
      </c>
      <c r="C286" s="10" t="str">
        <f>IF(B286&lt;=$Q$19,"Bajo",IF(B286&lt;=$Q$20,"Regular",IF(B286&lt;=$Q$21,"Alto",0)))</f>
        <v>0</v>
      </c>
      <c r="D286" t="str">
        <f>SUM('Inteligencia emocional'!J287:Q287)</f>
        <v>0</v>
      </c>
      <c r="E286" s="10" t="str">
        <f>IF(D286&lt;=$AC$19,"Bajo",IF(D286&lt;=$AC$20,"Regular",IF(D286&lt;=$AC$21,"Alto",0)))</f>
        <v>0</v>
      </c>
      <c r="F286" t="str">
        <f>SUM('Inteligencia emocional'!R287:Y287)</f>
        <v>0</v>
      </c>
      <c r="G286" s="10" t="str">
        <f>IF(F286&lt;=$AO$19,"Bajo",IF(F286&lt;=$AO$20,"Regular",IF(F286&lt;=$AO$21,"Alto",0)))</f>
        <v>0</v>
      </c>
      <c r="H286" t="str">
        <f>SUM(B286:F286)</f>
        <v>0</v>
      </c>
      <c r="I286" s="10" t="str">
        <f>IF(H286&lt;=$BA$19,"Bajo",IF(H286&lt;=$BA$20,"Regular",IF(H286&lt;=$BA$21,"Alto",0)))</f>
        <v>0</v>
      </c>
    </row>
    <row r="287" spans="1:61">
      <c r="A287" t="s">
        <v>313</v>
      </c>
      <c r="B287" t="str">
        <f>SUM('Inteligencia emocional'!B288:I288)</f>
        <v>0</v>
      </c>
      <c r="C287" s="10" t="str">
        <f>IF(B287&lt;=$Q$19,"Bajo",IF(B287&lt;=$Q$20,"Regular",IF(B287&lt;=$Q$21,"Alto",0)))</f>
        <v>0</v>
      </c>
      <c r="D287" t="str">
        <f>SUM('Inteligencia emocional'!J288:Q288)</f>
        <v>0</v>
      </c>
      <c r="E287" s="10" t="str">
        <f>IF(D287&lt;=$AC$19,"Bajo",IF(D287&lt;=$AC$20,"Regular",IF(D287&lt;=$AC$21,"Alto",0)))</f>
        <v>0</v>
      </c>
      <c r="F287" t="str">
        <f>SUM('Inteligencia emocional'!R288:Y288)</f>
        <v>0</v>
      </c>
      <c r="G287" s="10" t="str">
        <f>IF(F287&lt;=$AO$19,"Bajo",IF(F287&lt;=$AO$20,"Regular",IF(F287&lt;=$AO$21,"Alto",0)))</f>
        <v>0</v>
      </c>
      <c r="H287" t="str">
        <f>SUM(B287:F287)</f>
        <v>0</v>
      </c>
      <c r="I287" s="10" t="str">
        <f>IF(H287&lt;=$BA$19,"Bajo",IF(H287&lt;=$BA$20,"Regular",IF(H287&lt;=$BA$21,"Alto",0)))</f>
        <v>0</v>
      </c>
    </row>
    <row r="288" spans="1:61">
      <c r="A288" t="s">
        <v>314</v>
      </c>
      <c r="B288" t="str">
        <f>SUM('Inteligencia emocional'!B289:I289)</f>
        <v>0</v>
      </c>
      <c r="C288" s="10" t="str">
        <f>IF(B288&lt;=$Q$19,"Bajo",IF(B288&lt;=$Q$20,"Regular",IF(B288&lt;=$Q$21,"Alto",0)))</f>
        <v>0</v>
      </c>
      <c r="D288" t="str">
        <f>SUM('Inteligencia emocional'!J289:Q289)</f>
        <v>0</v>
      </c>
      <c r="E288" s="10" t="str">
        <f>IF(D288&lt;=$AC$19,"Bajo",IF(D288&lt;=$AC$20,"Regular",IF(D288&lt;=$AC$21,"Alto",0)))</f>
        <v>0</v>
      </c>
      <c r="F288" t="str">
        <f>SUM('Inteligencia emocional'!R289:Y289)</f>
        <v>0</v>
      </c>
      <c r="G288" s="10" t="str">
        <f>IF(F288&lt;=$AO$19,"Bajo",IF(F288&lt;=$AO$20,"Regular",IF(F288&lt;=$AO$21,"Alto",0)))</f>
        <v>0</v>
      </c>
      <c r="H288" t="str">
        <f>SUM(B288:F288)</f>
        <v>0</v>
      </c>
      <c r="I288" s="10" t="str">
        <f>IF(H288&lt;=$BA$19,"Bajo",IF(H288&lt;=$BA$20,"Regular",IF(H288&lt;=$BA$21,"Alto",0)))</f>
        <v>0</v>
      </c>
    </row>
    <row r="289" spans="1:61">
      <c r="A289" t="s">
        <v>315</v>
      </c>
      <c r="B289" t="str">
        <f>SUM('Inteligencia emocional'!B290:I290)</f>
        <v>0</v>
      </c>
      <c r="C289" s="10" t="str">
        <f>IF(B289&lt;=$Q$19,"Bajo",IF(B289&lt;=$Q$20,"Regular",IF(B289&lt;=$Q$21,"Alto",0)))</f>
        <v>0</v>
      </c>
      <c r="D289" t="str">
        <f>SUM('Inteligencia emocional'!J290:Q290)</f>
        <v>0</v>
      </c>
      <c r="E289" s="10" t="str">
        <f>IF(D289&lt;=$AC$19,"Bajo",IF(D289&lt;=$AC$20,"Regular",IF(D289&lt;=$AC$21,"Alto",0)))</f>
        <v>0</v>
      </c>
      <c r="F289" t="str">
        <f>SUM('Inteligencia emocional'!R290:Y290)</f>
        <v>0</v>
      </c>
      <c r="G289" s="10" t="str">
        <f>IF(F289&lt;=$AO$19,"Bajo",IF(F289&lt;=$AO$20,"Regular",IF(F289&lt;=$AO$21,"Alto",0)))</f>
        <v>0</v>
      </c>
      <c r="H289" t="str">
        <f>SUM(B289:F289)</f>
        <v>0</v>
      </c>
      <c r="I289" s="10" t="str">
        <f>IF(H289&lt;=$BA$19,"Bajo",IF(H289&lt;=$BA$20,"Regular",IF(H289&lt;=$BA$21,"Alto",0)))</f>
        <v>0</v>
      </c>
    </row>
    <row r="290" spans="1:61">
      <c r="A290" t="s">
        <v>316</v>
      </c>
      <c r="B290" t="str">
        <f>SUM('Inteligencia emocional'!B291:I291)</f>
        <v>0</v>
      </c>
      <c r="C290" s="10" t="str">
        <f>IF(B290&lt;=$Q$19,"Bajo",IF(B290&lt;=$Q$20,"Regular",IF(B290&lt;=$Q$21,"Alto",0)))</f>
        <v>0</v>
      </c>
      <c r="D290" t="str">
        <f>SUM('Inteligencia emocional'!J291:Q291)</f>
        <v>0</v>
      </c>
      <c r="E290" s="10" t="str">
        <f>IF(D290&lt;=$AC$19,"Bajo",IF(D290&lt;=$AC$20,"Regular",IF(D290&lt;=$AC$21,"Alto",0)))</f>
        <v>0</v>
      </c>
      <c r="F290" t="str">
        <f>SUM('Inteligencia emocional'!R291:Y291)</f>
        <v>0</v>
      </c>
      <c r="G290" s="10" t="str">
        <f>IF(F290&lt;=$AO$19,"Bajo",IF(F290&lt;=$AO$20,"Regular",IF(F290&lt;=$AO$21,"Alto",0)))</f>
        <v>0</v>
      </c>
      <c r="H290" t="str">
        <f>SUM(B290:F290)</f>
        <v>0</v>
      </c>
      <c r="I290" s="10" t="str">
        <f>IF(H290&lt;=$BA$19,"Bajo",IF(H290&lt;=$BA$20,"Regular",IF(H290&lt;=$BA$21,"Alto",0)))</f>
        <v>0</v>
      </c>
    </row>
    <row r="291" spans="1:61">
      <c r="A291" t="s">
        <v>317</v>
      </c>
      <c r="B291" t="str">
        <f>SUM('Inteligencia emocional'!B292:I292)</f>
        <v>0</v>
      </c>
      <c r="C291" s="10" t="str">
        <f>IF(B291&lt;=$Q$19,"Bajo",IF(B291&lt;=$Q$20,"Regular",IF(B291&lt;=$Q$21,"Alto",0)))</f>
        <v>0</v>
      </c>
      <c r="D291" t="str">
        <f>SUM('Inteligencia emocional'!J292:Q292)</f>
        <v>0</v>
      </c>
      <c r="E291" s="10" t="str">
        <f>IF(D291&lt;=$AC$19,"Bajo",IF(D291&lt;=$AC$20,"Regular",IF(D291&lt;=$AC$21,"Alto",0)))</f>
        <v>0</v>
      </c>
      <c r="F291" t="str">
        <f>SUM('Inteligencia emocional'!R292:Y292)</f>
        <v>0</v>
      </c>
      <c r="G291" s="10" t="str">
        <f>IF(F291&lt;=$AO$19,"Bajo",IF(F291&lt;=$AO$20,"Regular",IF(F291&lt;=$AO$21,"Alto",0)))</f>
        <v>0</v>
      </c>
      <c r="H291" t="str">
        <f>SUM(B291:F291)</f>
        <v>0</v>
      </c>
      <c r="I291" s="10" t="str">
        <f>IF(H291&lt;=$BA$19,"Bajo",IF(H291&lt;=$BA$20,"Regular",IF(H291&lt;=$BA$21,"Alto",0)))</f>
        <v>0</v>
      </c>
    </row>
    <row r="292" spans="1:61">
      <c r="A292" t="s">
        <v>318</v>
      </c>
      <c r="B292" t="str">
        <f>SUM('Inteligencia emocional'!B293:I293)</f>
        <v>0</v>
      </c>
      <c r="C292" s="10" t="str">
        <f>IF(B292&lt;=$Q$19,"Bajo",IF(B292&lt;=$Q$20,"Regular",IF(B292&lt;=$Q$21,"Alto",0)))</f>
        <v>0</v>
      </c>
      <c r="D292" t="str">
        <f>SUM('Inteligencia emocional'!J293:Q293)</f>
        <v>0</v>
      </c>
      <c r="E292" s="10" t="str">
        <f>IF(D292&lt;=$AC$19,"Bajo",IF(D292&lt;=$AC$20,"Regular",IF(D292&lt;=$AC$21,"Alto",0)))</f>
        <v>0</v>
      </c>
      <c r="F292" t="str">
        <f>SUM('Inteligencia emocional'!R293:Y293)</f>
        <v>0</v>
      </c>
      <c r="G292" s="10" t="str">
        <f>IF(F292&lt;=$AO$19,"Bajo",IF(F292&lt;=$AO$20,"Regular",IF(F292&lt;=$AO$21,"Alto",0)))</f>
        <v>0</v>
      </c>
      <c r="H292" t="str">
        <f>SUM(B292:F292)</f>
        <v>0</v>
      </c>
      <c r="I292" s="10" t="str">
        <f>IF(H292&lt;=$BA$19,"Bajo",IF(H292&lt;=$BA$20,"Regular",IF(H292&lt;=$BA$21,"Alto",0)))</f>
        <v>0</v>
      </c>
    </row>
    <row r="293" spans="1:61">
      <c r="A293" t="s">
        <v>319</v>
      </c>
      <c r="B293" t="str">
        <f>SUM('Inteligencia emocional'!B294:I294)</f>
        <v>0</v>
      </c>
      <c r="C293" s="10" t="str">
        <f>IF(B293&lt;=$Q$19,"Bajo",IF(B293&lt;=$Q$20,"Regular",IF(B293&lt;=$Q$21,"Alto",0)))</f>
        <v>0</v>
      </c>
      <c r="D293" t="str">
        <f>SUM('Inteligencia emocional'!J294:Q294)</f>
        <v>0</v>
      </c>
      <c r="E293" s="10" t="str">
        <f>IF(D293&lt;=$AC$19,"Bajo",IF(D293&lt;=$AC$20,"Regular",IF(D293&lt;=$AC$21,"Alto",0)))</f>
        <v>0</v>
      </c>
      <c r="F293" t="str">
        <f>SUM('Inteligencia emocional'!R294:Y294)</f>
        <v>0</v>
      </c>
      <c r="G293" s="10" t="str">
        <f>IF(F293&lt;=$AO$19,"Bajo",IF(F293&lt;=$AO$20,"Regular",IF(F293&lt;=$AO$21,"Alto",0)))</f>
        <v>0</v>
      </c>
      <c r="H293" t="str">
        <f>SUM(B293:F293)</f>
        <v>0</v>
      </c>
      <c r="I293" s="10" t="str">
        <f>IF(H293&lt;=$BA$19,"Bajo",IF(H293&lt;=$BA$20,"Regular",IF(H293&lt;=$BA$21,"Alto",0)))</f>
        <v>0</v>
      </c>
    </row>
    <row r="294" spans="1:61">
      <c r="A294" t="s">
        <v>320</v>
      </c>
      <c r="B294" t="str">
        <f>SUM('Inteligencia emocional'!B295:I295)</f>
        <v>0</v>
      </c>
      <c r="C294" s="10" t="str">
        <f>IF(B294&lt;=$Q$19,"Bajo",IF(B294&lt;=$Q$20,"Regular",IF(B294&lt;=$Q$21,"Alto",0)))</f>
        <v>0</v>
      </c>
      <c r="D294" t="str">
        <f>SUM('Inteligencia emocional'!J295:Q295)</f>
        <v>0</v>
      </c>
      <c r="E294" s="10" t="str">
        <f>IF(D294&lt;=$AC$19,"Bajo",IF(D294&lt;=$AC$20,"Regular",IF(D294&lt;=$AC$21,"Alto",0)))</f>
        <v>0</v>
      </c>
      <c r="F294" t="str">
        <f>SUM('Inteligencia emocional'!R295:Y295)</f>
        <v>0</v>
      </c>
      <c r="G294" s="10" t="str">
        <f>IF(F294&lt;=$AO$19,"Bajo",IF(F294&lt;=$AO$20,"Regular",IF(F294&lt;=$AO$21,"Alto",0)))</f>
        <v>0</v>
      </c>
      <c r="H294" t="str">
        <f>SUM(B294:F294)</f>
        <v>0</v>
      </c>
      <c r="I294" s="10" t="str">
        <f>IF(H294&lt;=$BA$19,"Bajo",IF(H294&lt;=$BA$20,"Regular",IF(H294&lt;=$BA$21,"Alto",0)))</f>
        <v>0</v>
      </c>
    </row>
    <row r="295" spans="1:61">
      <c r="A295" t="s">
        <v>321</v>
      </c>
      <c r="B295" t="str">
        <f>SUM('Inteligencia emocional'!B296:I296)</f>
        <v>0</v>
      </c>
      <c r="C295" s="10" t="str">
        <f>IF(B295&lt;=$Q$19,"Bajo",IF(B295&lt;=$Q$20,"Regular",IF(B295&lt;=$Q$21,"Alto",0)))</f>
        <v>0</v>
      </c>
      <c r="D295" t="str">
        <f>SUM('Inteligencia emocional'!J296:Q296)</f>
        <v>0</v>
      </c>
      <c r="E295" s="10" t="str">
        <f>IF(D295&lt;=$AC$19,"Bajo",IF(D295&lt;=$AC$20,"Regular",IF(D295&lt;=$AC$21,"Alto",0)))</f>
        <v>0</v>
      </c>
      <c r="F295" t="str">
        <f>SUM('Inteligencia emocional'!R296:Y296)</f>
        <v>0</v>
      </c>
      <c r="G295" s="10" t="str">
        <f>IF(F295&lt;=$AO$19,"Bajo",IF(F295&lt;=$AO$20,"Regular",IF(F295&lt;=$AO$21,"Alto",0)))</f>
        <v>0</v>
      </c>
      <c r="H295" t="str">
        <f>SUM(B295:F295)</f>
        <v>0</v>
      </c>
      <c r="I295" s="10" t="str">
        <f>IF(H295&lt;=$BA$19,"Bajo",IF(H295&lt;=$BA$20,"Regular",IF(H295&lt;=$BA$21,"Alto",0)))</f>
        <v>0</v>
      </c>
    </row>
    <row r="296" spans="1:61">
      <c r="A296" t="s">
        <v>322</v>
      </c>
      <c r="B296" t="str">
        <f>SUM('Inteligencia emocional'!B297:I297)</f>
        <v>0</v>
      </c>
      <c r="C296" s="10" t="str">
        <f>IF(B296&lt;=$Q$19,"Bajo",IF(B296&lt;=$Q$20,"Regular",IF(B296&lt;=$Q$21,"Alto",0)))</f>
        <v>0</v>
      </c>
      <c r="D296" t="str">
        <f>SUM('Inteligencia emocional'!J297:Q297)</f>
        <v>0</v>
      </c>
      <c r="E296" s="10" t="str">
        <f>IF(D296&lt;=$AC$19,"Bajo",IF(D296&lt;=$AC$20,"Regular",IF(D296&lt;=$AC$21,"Alto",0)))</f>
        <v>0</v>
      </c>
      <c r="F296" t="str">
        <f>SUM('Inteligencia emocional'!R297:Y297)</f>
        <v>0</v>
      </c>
      <c r="G296" s="10" t="str">
        <f>IF(F296&lt;=$AO$19,"Bajo",IF(F296&lt;=$AO$20,"Regular",IF(F296&lt;=$AO$21,"Alto",0)))</f>
        <v>0</v>
      </c>
      <c r="H296" t="str">
        <f>SUM(B296:F296)</f>
        <v>0</v>
      </c>
      <c r="I296" s="10" t="str">
        <f>IF(H296&lt;=$BA$19,"Bajo",IF(H296&lt;=$BA$20,"Regular",IF(H296&lt;=$BA$21,"Alto",0)))</f>
        <v>0</v>
      </c>
    </row>
    <row r="297" spans="1:61">
      <c r="A297" t="s">
        <v>323</v>
      </c>
      <c r="B297" t="str">
        <f>SUM('Inteligencia emocional'!B298:I298)</f>
        <v>0</v>
      </c>
      <c r="C297" s="10" t="str">
        <f>IF(B297&lt;=$Q$19,"Bajo",IF(B297&lt;=$Q$20,"Regular",IF(B297&lt;=$Q$21,"Alto",0)))</f>
        <v>0</v>
      </c>
      <c r="D297" t="str">
        <f>SUM('Inteligencia emocional'!J298:Q298)</f>
        <v>0</v>
      </c>
      <c r="E297" s="10" t="str">
        <f>IF(D297&lt;=$AC$19,"Bajo",IF(D297&lt;=$AC$20,"Regular",IF(D297&lt;=$AC$21,"Alto",0)))</f>
        <v>0</v>
      </c>
      <c r="F297" t="str">
        <f>SUM('Inteligencia emocional'!R298:Y298)</f>
        <v>0</v>
      </c>
      <c r="G297" s="10" t="str">
        <f>IF(F297&lt;=$AO$19,"Bajo",IF(F297&lt;=$AO$20,"Regular",IF(F297&lt;=$AO$21,"Alto",0)))</f>
        <v>0</v>
      </c>
      <c r="H297" t="str">
        <f>SUM(B297:F297)</f>
        <v>0</v>
      </c>
      <c r="I297" s="10" t="str">
        <f>IF(H297&lt;=$BA$19,"Bajo",IF(H297&lt;=$BA$20,"Regular",IF(H297&lt;=$BA$21,"Alto",0)))</f>
        <v>0</v>
      </c>
    </row>
    <row r="298" spans="1:61">
      <c r="A298" t="s">
        <v>324</v>
      </c>
      <c r="B298" t="str">
        <f>SUM('Inteligencia emocional'!B299:I299)</f>
        <v>0</v>
      </c>
      <c r="C298" s="10" t="str">
        <f>IF(B298&lt;=$Q$19,"Bajo",IF(B298&lt;=$Q$20,"Regular",IF(B298&lt;=$Q$21,"Alto",0)))</f>
        <v>0</v>
      </c>
      <c r="D298" t="str">
        <f>SUM('Inteligencia emocional'!J299:Q299)</f>
        <v>0</v>
      </c>
      <c r="E298" s="10" t="str">
        <f>IF(D298&lt;=$AC$19,"Bajo",IF(D298&lt;=$AC$20,"Regular",IF(D298&lt;=$AC$21,"Alto",0)))</f>
        <v>0</v>
      </c>
      <c r="F298" t="str">
        <f>SUM('Inteligencia emocional'!R299:Y299)</f>
        <v>0</v>
      </c>
      <c r="G298" s="10" t="str">
        <f>IF(F298&lt;=$AO$19,"Bajo",IF(F298&lt;=$AO$20,"Regular",IF(F298&lt;=$AO$21,"Alto",0)))</f>
        <v>0</v>
      </c>
      <c r="H298" t="str">
        <f>SUM(B298:F298)</f>
        <v>0</v>
      </c>
      <c r="I298" s="10" t="str">
        <f>IF(H298&lt;=$BA$19,"Bajo",IF(H298&lt;=$BA$20,"Regular",IF(H298&lt;=$BA$21,"Alto",0)))</f>
        <v>0</v>
      </c>
    </row>
    <row r="299" spans="1:61">
      <c r="A299" t="s">
        <v>325</v>
      </c>
      <c r="B299" t="str">
        <f>SUM('Inteligencia emocional'!B300:I300)</f>
        <v>0</v>
      </c>
      <c r="C299" s="10" t="str">
        <f>IF(B299&lt;=$Q$19,"Bajo",IF(B299&lt;=$Q$20,"Regular",IF(B299&lt;=$Q$21,"Alto",0)))</f>
        <v>0</v>
      </c>
      <c r="D299" t="str">
        <f>SUM('Inteligencia emocional'!J300:Q300)</f>
        <v>0</v>
      </c>
      <c r="E299" s="10" t="str">
        <f>IF(D299&lt;=$AC$19,"Bajo",IF(D299&lt;=$AC$20,"Regular",IF(D299&lt;=$AC$21,"Alto",0)))</f>
        <v>0</v>
      </c>
      <c r="F299" t="str">
        <f>SUM('Inteligencia emocional'!R300:Y300)</f>
        <v>0</v>
      </c>
      <c r="G299" s="10" t="str">
        <f>IF(F299&lt;=$AO$19,"Bajo",IF(F299&lt;=$AO$20,"Regular",IF(F299&lt;=$AO$21,"Alto",0)))</f>
        <v>0</v>
      </c>
      <c r="H299" t="str">
        <f>SUM(B299:F299)</f>
        <v>0</v>
      </c>
      <c r="I299" s="10" t="str">
        <f>IF(H299&lt;=$BA$19,"Bajo",IF(H299&lt;=$BA$20,"Regular",IF(H299&lt;=$BA$21,"Alto",0)))</f>
        <v>0</v>
      </c>
    </row>
    <row r="300" spans="1:61">
      <c r="A300" t="s">
        <v>326</v>
      </c>
      <c r="B300" t="str">
        <f>SUM('Inteligencia emocional'!B301:I301)</f>
        <v>0</v>
      </c>
      <c r="C300" s="10" t="str">
        <f>IF(B300&lt;=$Q$19,"Bajo",IF(B300&lt;=$Q$20,"Regular",IF(B300&lt;=$Q$21,"Alto",0)))</f>
        <v>0</v>
      </c>
      <c r="D300" t="str">
        <f>SUM('Inteligencia emocional'!J301:Q301)</f>
        <v>0</v>
      </c>
      <c r="E300" s="10" t="str">
        <f>IF(D300&lt;=$AC$19,"Bajo",IF(D300&lt;=$AC$20,"Regular",IF(D300&lt;=$AC$21,"Alto",0)))</f>
        <v>0</v>
      </c>
      <c r="F300" t="str">
        <f>SUM('Inteligencia emocional'!R301:Y301)</f>
        <v>0</v>
      </c>
      <c r="G300" s="10" t="str">
        <f>IF(F300&lt;=$AO$19,"Bajo",IF(F300&lt;=$AO$20,"Regular",IF(F300&lt;=$AO$21,"Alto",0)))</f>
        <v>0</v>
      </c>
      <c r="H300" t="str">
        <f>SUM(B300:F300)</f>
        <v>0</v>
      </c>
      <c r="I300" s="10" t="str">
        <f>IF(H300&lt;=$BA$19,"Bajo",IF(H300&lt;=$BA$20,"Regular",IF(H300&lt;=$BA$21,"Alto",0)))</f>
        <v>0</v>
      </c>
    </row>
    <row r="301" spans="1:61">
      <c r="A301" t="s">
        <v>327</v>
      </c>
      <c r="B301" t="str">
        <f>SUM('Inteligencia emocional'!B302:I302)</f>
        <v>0</v>
      </c>
      <c r="C301" s="10" t="str">
        <f>IF(B301&lt;=$Q$19,"Bajo",IF(B301&lt;=$Q$20,"Regular",IF(B301&lt;=$Q$21,"Alto",0)))</f>
        <v>0</v>
      </c>
      <c r="D301" t="str">
        <f>SUM('Inteligencia emocional'!J302:Q302)</f>
        <v>0</v>
      </c>
      <c r="E301" s="10" t="str">
        <f>IF(D301&lt;=$AC$19,"Bajo",IF(D301&lt;=$AC$20,"Regular",IF(D301&lt;=$AC$21,"Alto",0)))</f>
        <v>0</v>
      </c>
      <c r="F301" t="str">
        <f>SUM('Inteligencia emocional'!R302:Y302)</f>
        <v>0</v>
      </c>
      <c r="G301" s="10" t="str">
        <f>IF(F301&lt;=$AO$19,"Bajo",IF(F301&lt;=$AO$20,"Regular",IF(F301&lt;=$AO$21,"Alto",0)))</f>
        <v>0</v>
      </c>
      <c r="H301" t="str">
        <f>SUM(B301:F301)</f>
        <v>0</v>
      </c>
      <c r="I301" s="10" t="str">
        <f>IF(H301&lt;=$BA$19,"Bajo",IF(H301&lt;=$BA$20,"Regular",IF(H301&lt;=$BA$21,"Alto",0)))</f>
        <v>0</v>
      </c>
    </row>
    <row r="302" spans="1:61">
      <c r="A302" t="s">
        <v>328</v>
      </c>
      <c r="B302" t="str">
        <f>SUM('Inteligencia emocional'!B303:I303)</f>
        <v>0</v>
      </c>
      <c r="C302" s="10" t="str">
        <f>IF(B302&lt;=$Q$19,"Bajo",IF(B302&lt;=$Q$20,"Regular",IF(B302&lt;=$Q$21,"Alto",0)))</f>
        <v>0</v>
      </c>
      <c r="D302" t="str">
        <f>SUM('Inteligencia emocional'!J303:Q303)</f>
        <v>0</v>
      </c>
      <c r="E302" s="10" t="str">
        <f>IF(D302&lt;=$AC$19,"Bajo",IF(D302&lt;=$AC$20,"Regular",IF(D302&lt;=$AC$21,"Alto",0)))</f>
        <v>0</v>
      </c>
      <c r="F302" t="str">
        <f>SUM('Inteligencia emocional'!R303:Y303)</f>
        <v>0</v>
      </c>
      <c r="G302" s="10" t="str">
        <f>IF(F302&lt;=$AO$19,"Bajo",IF(F302&lt;=$AO$20,"Regular",IF(F302&lt;=$AO$21,"Alto",0)))</f>
        <v>0</v>
      </c>
      <c r="H302" t="str">
        <f>SUM(B302:F302)</f>
        <v>0</v>
      </c>
      <c r="I302" s="10" t="str">
        <f>IF(H302&lt;=$BA$19,"Bajo",IF(H302&lt;=$BA$20,"Regular",IF(H302&lt;=$BA$21,"Alto",0)))</f>
        <v>0</v>
      </c>
    </row>
    <row r="303" spans="1:61">
      <c r="A303" t="s">
        <v>329</v>
      </c>
      <c r="B303" t="str">
        <f>SUM('Inteligencia emocional'!B304:I304)</f>
        <v>0</v>
      </c>
      <c r="C303" s="10" t="str">
        <f>IF(B303&lt;=$Q$19,"Bajo",IF(B303&lt;=$Q$20,"Regular",IF(B303&lt;=$Q$21,"Alto",0)))</f>
        <v>0</v>
      </c>
      <c r="D303" t="str">
        <f>SUM('Inteligencia emocional'!J304:Q304)</f>
        <v>0</v>
      </c>
      <c r="E303" s="10" t="str">
        <f>IF(D303&lt;=$AC$19,"Bajo",IF(D303&lt;=$AC$20,"Regular",IF(D303&lt;=$AC$21,"Alto",0)))</f>
        <v>0</v>
      </c>
      <c r="F303" t="str">
        <f>SUM('Inteligencia emocional'!R304:Y304)</f>
        <v>0</v>
      </c>
      <c r="G303" s="10" t="str">
        <f>IF(F303&lt;=$AO$19,"Bajo",IF(F303&lt;=$AO$20,"Regular",IF(F303&lt;=$AO$21,"Alto",0)))</f>
        <v>0</v>
      </c>
      <c r="H303" t="str">
        <f>SUM(B303:F303)</f>
        <v>0</v>
      </c>
      <c r="I303" s="10" t="str">
        <f>IF(H303&lt;=$BA$19,"Bajo",IF(H303&lt;=$BA$20,"Regular",IF(H303&lt;=$BA$21,"Alto",0)))</f>
        <v>0</v>
      </c>
    </row>
    <row r="304" spans="1:61">
      <c r="A304" t="s">
        <v>330</v>
      </c>
      <c r="B304" t="str">
        <f>SUM('Inteligencia emocional'!B305:I305)</f>
        <v>0</v>
      </c>
      <c r="C304" s="10" t="str">
        <f>IF(B304&lt;=$Q$19,"Bajo",IF(B304&lt;=$Q$20,"Regular",IF(B304&lt;=$Q$21,"Alto",0)))</f>
        <v>0</v>
      </c>
      <c r="D304" t="str">
        <f>SUM('Inteligencia emocional'!J305:Q305)</f>
        <v>0</v>
      </c>
      <c r="E304" s="10" t="str">
        <f>IF(D304&lt;=$AC$19,"Bajo",IF(D304&lt;=$AC$20,"Regular",IF(D304&lt;=$AC$21,"Alto",0)))</f>
        <v>0</v>
      </c>
      <c r="F304" t="str">
        <f>SUM('Inteligencia emocional'!R305:Y305)</f>
        <v>0</v>
      </c>
      <c r="G304" s="10" t="str">
        <f>IF(F304&lt;=$AO$19,"Bajo",IF(F304&lt;=$AO$20,"Regular",IF(F304&lt;=$AO$21,"Alto",0)))</f>
        <v>0</v>
      </c>
      <c r="H304" t="str">
        <f>SUM(B304:F304)</f>
        <v>0</v>
      </c>
      <c r="I304" s="10" t="str">
        <f>IF(H304&lt;=$BA$19,"Bajo",IF(H304&lt;=$BA$20,"Regular",IF(H304&lt;=$BA$21,"Alto",0)))</f>
        <v>0</v>
      </c>
    </row>
    <row r="305" spans="1:61">
      <c r="A305" t="s">
        <v>331</v>
      </c>
      <c r="B305" t="str">
        <f>SUM('Inteligencia emocional'!B306:I306)</f>
        <v>0</v>
      </c>
      <c r="C305" s="10" t="str">
        <f>IF(B305&lt;=$Q$19,"Bajo",IF(B305&lt;=$Q$20,"Regular",IF(B305&lt;=$Q$21,"Alto",0)))</f>
        <v>0</v>
      </c>
      <c r="D305" t="str">
        <f>SUM('Inteligencia emocional'!J306:Q306)</f>
        <v>0</v>
      </c>
      <c r="E305" s="10" t="str">
        <f>IF(D305&lt;=$AC$19,"Bajo",IF(D305&lt;=$AC$20,"Regular",IF(D305&lt;=$AC$21,"Alto",0)))</f>
        <v>0</v>
      </c>
      <c r="F305" t="str">
        <f>SUM('Inteligencia emocional'!R306:Y306)</f>
        <v>0</v>
      </c>
      <c r="G305" s="10" t="str">
        <f>IF(F305&lt;=$AO$19,"Bajo",IF(F305&lt;=$AO$20,"Regular",IF(F305&lt;=$AO$21,"Alto",0)))</f>
        <v>0</v>
      </c>
      <c r="H305" t="str">
        <f>SUM(B305:F305)</f>
        <v>0</v>
      </c>
      <c r="I305" s="10" t="str">
        <f>IF(H305&lt;=$BA$19,"Bajo",IF(H305&lt;=$BA$20,"Regular",IF(H305&lt;=$BA$21,"Alto",0)))</f>
        <v>0</v>
      </c>
    </row>
    <row r="306" spans="1:61">
      <c r="A306" t="s">
        <v>332</v>
      </c>
      <c r="B306" t="str">
        <f>SUM('Inteligencia emocional'!B307:I307)</f>
        <v>0</v>
      </c>
      <c r="C306" s="10" t="str">
        <f>IF(B306&lt;=$Q$19,"Bajo",IF(B306&lt;=$Q$20,"Regular",IF(B306&lt;=$Q$21,"Alto",0)))</f>
        <v>0</v>
      </c>
      <c r="D306" t="str">
        <f>SUM('Inteligencia emocional'!J307:Q307)</f>
        <v>0</v>
      </c>
      <c r="E306" s="10" t="str">
        <f>IF(D306&lt;=$AC$19,"Bajo",IF(D306&lt;=$AC$20,"Regular",IF(D306&lt;=$AC$21,"Alto",0)))</f>
        <v>0</v>
      </c>
      <c r="F306" t="str">
        <f>SUM('Inteligencia emocional'!R307:Y307)</f>
        <v>0</v>
      </c>
      <c r="G306" s="10" t="str">
        <f>IF(F306&lt;=$AO$19,"Bajo",IF(F306&lt;=$AO$20,"Regular",IF(F306&lt;=$AO$21,"Alto",0)))</f>
        <v>0</v>
      </c>
      <c r="H306" t="str">
        <f>SUM(B306:F306)</f>
        <v>0</v>
      </c>
      <c r="I306" s="10" t="str">
        <f>IF(H306&lt;=$BA$19,"Bajo",IF(H306&lt;=$BA$20,"Regular",IF(H306&lt;=$BA$21,"Alto",0)))</f>
        <v>0</v>
      </c>
    </row>
    <row r="307" spans="1:61">
      <c r="A307" t="s">
        <v>333</v>
      </c>
      <c r="B307" t="str">
        <f>SUM('Inteligencia emocional'!B308:I308)</f>
        <v>0</v>
      </c>
      <c r="C307" s="10" t="str">
        <f>IF(B307&lt;=$Q$19,"Bajo",IF(B307&lt;=$Q$20,"Regular",IF(B307&lt;=$Q$21,"Alto",0)))</f>
        <v>0</v>
      </c>
      <c r="D307" t="str">
        <f>SUM('Inteligencia emocional'!J308:Q308)</f>
        <v>0</v>
      </c>
      <c r="E307" s="10" t="str">
        <f>IF(D307&lt;=$AC$19,"Bajo",IF(D307&lt;=$AC$20,"Regular",IF(D307&lt;=$AC$21,"Alto",0)))</f>
        <v>0</v>
      </c>
      <c r="F307" t="str">
        <f>SUM('Inteligencia emocional'!R308:Y308)</f>
        <v>0</v>
      </c>
      <c r="G307" s="10" t="str">
        <f>IF(F307&lt;=$AO$19,"Bajo",IF(F307&lt;=$AO$20,"Regular",IF(F307&lt;=$AO$21,"Alto",0)))</f>
        <v>0</v>
      </c>
      <c r="H307" t="str">
        <f>SUM(B307:F307)</f>
        <v>0</v>
      </c>
      <c r="I307" s="10" t="str">
        <f>IF(H307&lt;=$BA$19,"Bajo",IF(H307&lt;=$BA$20,"Regular",IF(H307&lt;=$BA$21,"Alto",0)))</f>
        <v>0</v>
      </c>
    </row>
    <row r="308" spans="1:61">
      <c r="A308" t="s">
        <v>334</v>
      </c>
      <c r="B308" t="str">
        <f>SUM('Inteligencia emocional'!B309:I309)</f>
        <v>0</v>
      </c>
      <c r="C308" s="10" t="str">
        <f>IF(B308&lt;=$Q$19,"Bajo",IF(B308&lt;=$Q$20,"Regular",IF(B308&lt;=$Q$21,"Alto",0)))</f>
        <v>0</v>
      </c>
      <c r="D308" t="str">
        <f>SUM('Inteligencia emocional'!J309:Q309)</f>
        <v>0</v>
      </c>
      <c r="E308" s="10" t="str">
        <f>IF(D308&lt;=$AC$19,"Bajo",IF(D308&lt;=$AC$20,"Regular",IF(D308&lt;=$AC$21,"Alto",0)))</f>
        <v>0</v>
      </c>
      <c r="F308" t="str">
        <f>SUM('Inteligencia emocional'!R309:Y309)</f>
        <v>0</v>
      </c>
      <c r="G308" s="10" t="str">
        <f>IF(F308&lt;=$AO$19,"Bajo",IF(F308&lt;=$AO$20,"Regular",IF(F308&lt;=$AO$21,"Alto",0)))</f>
        <v>0</v>
      </c>
      <c r="H308" t="str">
        <f>SUM(B308:F308)</f>
        <v>0</v>
      </c>
      <c r="I308" s="10" t="str">
        <f>IF(H308&lt;=$BA$19,"Bajo",IF(H308&lt;=$BA$20,"Regular",IF(H308&lt;=$BA$21,"Alto",0)))</f>
        <v>0</v>
      </c>
    </row>
    <row r="309" spans="1:61">
      <c r="A309" t="s">
        <v>335</v>
      </c>
      <c r="B309" t="str">
        <f>SUM('Inteligencia emocional'!B310:I310)</f>
        <v>0</v>
      </c>
      <c r="C309" s="10" t="str">
        <f>IF(B309&lt;=$Q$19,"Bajo",IF(B309&lt;=$Q$20,"Regular",IF(B309&lt;=$Q$21,"Alto",0)))</f>
        <v>0</v>
      </c>
      <c r="D309" t="str">
        <f>SUM('Inteligencia emocional'!J310:Q310)</f>
        <v>0</v>
      </c>
      <c r="E309" s="10" t="str">
        <f>IF(D309&lt;=$AC$19,"Bajo",IF(D309&lt;=$AC$20,"Regular",IF(D309&lt;=$AC$21,"Alto",0)))</f>
        <v>0</v>
      </c>
      <c r="F309" t="str">
        <f>SUM('Inteligencia emocional'!R310:Y310)</f>
        <v>0</v>
      </c>
      <c r="G309" s="10" t="str">
        <f>IF(F309&lt;=$AO$19,"Bajo",IF(F309&lt;=$AO$20,"Regular",IF(F309&lt;=$AO$21,"Alto",0)))</f>
        <v>0</v>
      </c>
      <c r="H309" t="str">
        <f>SUM(B309:F309)</f>
        <v>0</v>
      </c>
      <c r="I309" s="10" t="str">
        <f>IF(H309&lt;=$BA$19,"Bajo",IF(H309&lt;=$BA$20,"Regular",IF(H309&lt;=$BA$21,"Alto",0)))</f>
        <v>0</v>
      </c>
    </row>
    <row r="310" spans="1:61">
      <c r="A310" t="s">
        <v>336</v>
      </c>
      <c r="B310" t="str">
        <f>SUM('Inteligencia emocional'!B311:I311)</f>
        <v>0</v>
      </c>
      <c r="C310" s="10" t="str">
        <f>IF(B310&lt;=$Q$19,"Bajo",IF(B310&lt;=$Q$20,"Regular",IF(B310&lt;=$Q$21,"Alto",0)))</f>
        <v>0</v>
      </c>
      <c r="D310" t="str">
        <f>SUM('Inteligencia emocional'!J311:Q311)</f>
        <v>0</v>
      </c>
      <c r="E310" s="10" t="str">
        <f>IF(D310&lt;=$AC$19,"Bajo",IF(D310&lt;=$AC$20,"Regular",IF(D310&lt;=$AC$21,"Alto",0)))</f>
        <v>0</v>
      </c>
      <c r="F310" t="str">
        <f>SUM('Inteligencia emocional'!R311:Y311)</f>
        <v>0</v>
      </c>
      <c r="G310" s="10" t="str">
        <f>IF(F310&lt;=$AO$19,"Bajo",IF(F310&lt;=$AO$20,"Regular",IF(F310&lt;=$AO$21,"Alto",0)))</f>
        <v>0</v>
      </c>
      <c r="H310" t="str">
        <f>SUM(B310:F310)</f>
        <v>0</v>
      </c>
      <c r="I310" s="10" t="str">
        <f>IF(H310&lt;=$BA$19,"Bajo",IF(H310&lt;=$BA$20,"Regular",IF(H310&lt;=$BA$21,"Alto",0)))</f>
        <v>0</v>
      </c>
    </row>
    <row r="311" spans="1:61">
      <c r="A311" t="s">
        <v>337</v>
      </c>
      <c r="B311" t="str">
        <f>SUM('Inteligencia emocional'!B312:I312)</f>
        <v>0</v>
      </c>
      <c r="C311" s="10" t="str">
        <f>IF(B311&lt;=$Q$19,"Bajo",IF(B311&lt;=$Q$20,"Regular",IF(B311&lt;=$Q$21,"Alto",0)))</f>
        <v>0</v>
      </c>
      <c r="D311" t="str">
        <f>SUM('Inteligencia emocional'!J312:Q312)</f>
        <v>0</v>
      </c>
      <c r="E311" s="10" t="str">
        <f>IF(D311&lt;=$AC$19,"Bajo",IF(D311&lt;=$AC$20,"Regular",IF(D311&lt;=$AC$21,"Alto",0)))</f>
        <v>0</v>
      </c>
      <c r="F311" t="str">
        <f>SUM('Inteligencia emocional'!R312:Y312)</f>
        <v>0</v>
      </c>
      <c r="G311" s="10" t="str">
        <f>IF(F311&lt;=$AO$19,"Bajo",IF(F311&lt;=$AO$20,"Regular",IF(F311&lt;=$AO$21,"Alto",0)))</f>
        <v>0</v>
      </c>
      <c r="H311" t="str">
        <f>SUM(B311:F311)</f>
        <v>0</v>
      </c>
      <c r="I311" s="10" t="str">
        <f>IF(H311&lt;=$BA$19,"Bajo",IF(H311&lt;=$BA$20,"Regular",IF(H311&lt;=$BA$21,"Alto",0)))</f>
        <v>0</v>
      </c>
    </row>
    <row r="312" spans="1:61">
      <c r="A312" t="s">
        <v>338</v>
      </c>
      <c r="B312" t="str">
        <f>SUM('Inteligencia emocional'!B313:I313)</f>
        <v>0</v>
      </c>
      <c r="C312" s="10" t="str">
        <f>IF(B312&lt;=$Q$19,"Bajo",IF(B312&lt;=$Q$20,"Regular",IF(B312&lt;=$Q$21,"Alto",0)))</f>
        <v>0</v>
      </c>
      <c r="D312" t="str">
        <f>SUM('Inteligencia emocional'!J313:Q313)</f>
        <v>0</v>
      </c>
      <c r="E312" s="10" t="str">
        <f>IF(D312&lt;=$AC$19,"Bajo",IF(D312&lt;=$AC$20,"Regular",IF(D312&lt;=$AC$21,"Alto",0)))</f>
        <v>0</v>
      </c>
      <c r="F312" t="str">
        <f>SUM('Inteligencia emocional'!R313:Y313)</f>
        <v>0</v>
      </c>
      <c r="G312" s="10" t="str">
        <f>IF(F312&lt;=$AO$19,"Bajo",IF(F312&lt;=$AO$20,"Regular",IF(F312&lt;=$AO$21,"Alto",0)))</f>
        <v>0</v>
      </c>
      <c r="H312" t="str">
        <f>SUM(B312:F312)</f>
        <v>0</v>
      </c>
      <c r="I312" s="10" t="str">
        <f>IF(H312&lt;=$BA$19,"Bajo",IF(H312&lt;=$BA$20,"Regular",IF(H312&lt;=$BA$21,"Alto",0)))</f>
        <v>0</v>
      </c>
    </row>
    <row r="313" spans="1:61">
      <c r="A313" t="s">
        <v>339</v>
      </c>
      <c r="B313" t="str">
        <f>SUM('Inteligencia emocional'!B314:I314)</f>
        <v>0</v>
      </c>
      <c r="C313" s="10" t="str">
        <f>IF(B313&lt;=$Q$19,"Bajo",IF(B313&lt;=$Q$20,"Regular",IF(B313&lt;=$Q$21,"Alto",0)))</f>
        <v>0</v>
      </c>
      <c r="D313" t="str">
        <f>SUM('Inteligencia emocional'!J314:Q314)</f>
        <v>0</v>
      </c>
      <c r="E313" s="10" t="str">
        <f>IF(D313&lt;=$AC$19,"Bajo",IF(D313&lt;=$AC$20,"Regular",IF(D313&lt;=$AC$21,"Alto",0)))</f>
        <v>0</v>
      </c>
      <c r="F313" t="str">
        <f>SUM('Inteligencia emocional'!R314:Y314)</f>
        <v>0</v>
      </c>
      <c r="G313" s="10" t="str">
        <f>IF(F313&lt;=$AO$19,"Bajo",IF(F313&lt;=$AO$20,"Regular",IF(F313&lt;=$AO$21,"Alto",0)))</f>
        <v>0</v>
      </c>
      <c r="H313" t="str">
        <f>SUM(B313:F313)</f>
        <v>0</v>
      </c>
      <c r="I313" s="10" t="str">
        <f>IF(H313&lt;=$BA$19,"Bajo",IF(H313&lt;=$BA$20,"Regular",IF(H313&lt;=$BA$21,"Alto",0)))</f>
        <v>0</v>
      </c>
    </row>
    <row r="314" spans="1:61">
      <c r="A314" t="s">
        <v>340</v>
      </c>
      <c r="B314" t="str">
        <f>SUM('Inteligencia emocional'!B315:I315)</f>
        <v>0</v>
      </c>
      <c r="C314" s="10" t="str">
        <f>IF(B314&lt;=$Q$19,"Bajo",IF(B314&lt;=$Q$20,"Regular",IF(B314&lt;=$Q$21,"Alto",0)))</f>
        <v>0</v>
      </c>
      <c r="D314" t="str">
        <f>SUM('Inteligencia emocional'!J315:Q315)</f>
        <v>0</v>
      </c>
      <c r="E314" s="10" t="str">
        <f>IF(D314&lt;=$AC$19,"Bajo",IF(D314&lt;=$AC$20,"Regular",IF(D314&lt;=$AC$21,"Alto",0)))</f>
        <v>0</v>
      </c>
      <c r="F314" t="str">
        <f>SUM('Inteligencia emocional'!R315:Y315)</f>
        <v>0</v>
      </c>
      <c r="G314" s="10" t="str">
        <f>IF(F314&lt;=$AO$19,"Bajo",IF(F314&lt;=$AO$20,"Regular",IF(F314&lt;=$AO$21,"Alto",0)))</f>
        <v>0</v>
      </c>
      <c r="H314" t="str">
        <f>SUM(B314:F314)</f>
        <v>0</v>
      </c>
      <c r="I314" s="10" t="str">
        <f>IF(H314&lt;=$BA$19,"Bajo",IF(H314&lt;=$BA$20,"Regular",IF(H314&lt;=$BA$21,"Alto",0)))</f>
        <v>0</v>
      </c>
    </row>
    <row r="315" spans="1:61">
      <c r="A315" t="s">
        <v>341</v>
      </c>
      <c r="B315" t="str">
        <f>SUM('Inteligencia emocional'!B316:I316)</f>
        <v>0</v>
      </c>
      <c r="C315" s="10" t="str">
        <f>IF(B315&lt;=$Q$19,"Bajo",IF(B315&lt;=$Q$20,"Regular",IF(B315&lt;=$Q$21,"Alto",0)))</f>
        <v>0</v>
      </c>
      <c r="D315" t="str">
        <f>SUM('Inteligencia emocional'!J316:Q316)</f>
        <v>0</v>
      </c>
      <c r="E315" s="10" t="str">
        <f>IF(D315&lt;=$AC$19,"Bajo",IF(D315&lt;=$AC$20,"Regular",IF(D315&lt;=$AC$21,"Alto",0)))</f>
        <v>0</v>
      </c>
      <c r="F315" t="str">
        <f>SUM('Inteligencia emocional'!R316:Y316)</f>
        <v>0</v>
      </c>
      <c r="G315" s="10" t="str">
        <f>IF(F315&lt;=$AO$19,"Bajo",IF(F315&lt;=$AO$20,"Regular",IF(F315&lt;=$AO$21,"Alto",0)))</f>
        <v>0</v>
      </c>
      <c r="H315" t="str">
        <f>SUM(B315:F315)</f>
        <v>0</v>
      </c>
      <c r="I315" s="10" t="str">
        <f>IF(H315&lt;=$BA$19,"Bajo",IF(H315&lt;=$BA$20,"Regular",IF(H315&lt;=$BA$21,"Alto",0)))</f>
        <v>0</v>
      </c>
    </row>
    <row r="316" spans="1:61">
      <c r="A316" t="s">
        <v>342</v>
      </c>
      <c r="B316" t="str">
        <f>SUM('Inteligencia emocional'!B317:I317)</f>
        <v>0</v>
      </c>
      <c r="C316" s="10" t="str">
        <f>IF(B316&lt;=$Q$19,"Bajo",IF(B316&lt;=$Q$20,"Regular",IF(B316&lt;=$Q$21,"Alto",0)))</f>
        <v>0</v>
      </c>
      <c r="D316" t="str">
        <f>SUM('Inteligencia emocional'!J317:Q317)</f>
        <v>0</v>
      </c>
      <c r="E316" s="10" t="str">
        <f>IF(D316&lt;=$AC$19,"Bajo",IF(D316&lt;=$AC$20,"Regular",IF(D316&lt;=$AC$21,"Alto",0)))</f>
        <v>0</v>
      </c>
      <c r="F316" t="str">
        <f>SUM('Inteligencia emocional'!R317:Y317)</f>
        <v>0</v>
      </c>
      <c r="G316" s="10" t="str">
        <f>IF(F316&lt;=$AO$19,"Bajo",IF(F316&lt;=$AO$20,"Regular",IF(F316&lt;=$AO$21,"Alto",0)))</f>
        <v>0</v>
      </c>
      <c r="H316" t="str">
        <f>SUM(B316:F316)</f>
        <v>0</v>
      </c>
      <c r="I316" s="10" t="str">
        <f>IF(H316&lt;=$BA$19,"Bajo",IF(H316&lt;=$BA$20,"Regular",IF(H316&lt;=$BA$21,"Alto",0)))</f>
        <v>0</v>
      </c>
    </row>
    <row r="317" spans="1:61">
      <c r="A317" t="s">
        <v>343</v>
      </c>
      <c r="B317" t="str">
        <f>SUM('Inteligencia emocional'!B318:I318)</f>
        <v>0</v>
      </c>
      <c r="C317" s="10" t="str">
        <f>IF(B317&lt;=$Q$19,"Bajo",IF(B317&lt;=$Q$20,"Regular",IF(B317&lt;=$Q$21,"Alto",0)))</f>
        <v>0</v>
      </c>
      <c r="D317" t="str">
        <f>SUM('Inteligencia emocional'!J318:Q318)</f>
        <v>0</v>
      </c>
      <c r="E317" s="10" t="str">
        <f>IF(D317&lt;=$AC$19,"Bajo",IF(D317&lt;=$AC$20,"Regular",IF(D317&lt;=$AC$21,"Alto",0)))</f>
        <v>0</v>
      </c>
      <c r="F317" t="str">
        <f>SUM('Inteligencia emocional'!R318:Y318)</f>
        <v>0</v>
      </c>
      <c r="G317" s="10" t="str">
        <f>IF(F317&lt;=$AO$19,"Bajo",IF(F317&lt;=$AO$20,"Regular",IF(F317&lt;=$AO$21,"Alto",0)))</f>
        <v>0</v>
      </c>
      <c r="H317" t="str">
        <f>SUM(B317:F317)</f>
        <v>0</v>
      </c>
      <c r="I317" s="10" t="str">
        <f>IF(H317&lt;=$BA$19,"Bajo",IF(H317&lt;=$BA$20,"Regular",IF(H317&lt;=$BA$21,"Alto",0)))</f>
        <v>0</v>
      </c>
    </row>
    <row r="318" spans="1:61">
      <c r="A318" t="s">
        <v>344</v>
      </c>
      <c r="B318" t="str">
        <f>SUM('Inteligencia emocional'!B319:I319)</f>
        <v>0</v>
      </c>
      <c r="C318" s="10" t="str">
        <f>IF(B318&lt;=$Q$19,"Bajo",IF(B318&lt;=$Q$20,"Regular",IF(B318&lt;=$Q$21,"Alto",0)))</f>
        <v>0</v>
      </c>
      <c r="D318" t="str">
        <f>SUM('Inteligencia emocional'!J319:Q319)</f>
        <v>0</v>
      </c>
      <c r="E318" s="10" t="str">
        <f>IF(D318&lt;=$AC$19,"Bajo",IF(D318&lt;=$AC$20,"Regular",IF(D318&lt;=$AC$21,"Alto",0)))</f>
        <v>0</v>
      </c>
      <c r="F318" t="str">
        <f>SUM('Inteligencia emocional'!R319:Y319)</f>
        <v>0</v>
      </c>
      <c r="G318" s="10" t="str">
        <f>IF(F318&lt;=$AO$19,"Bajo",IF(F318&lt;=$AO$20,"Regular",IF(F318&lt;=$AO$21,"Alto",0)))</f>
        <v>0</v>
      </c>
      <c r="H318" t="str">
        <f>SUM(B318:F318)</f>
        <v>0</v>
      </c>
      <c r="I318" s="10" t="str">
        <f>IF(H318&lt;=$BA$19,"Bajo",IF(H318&lt;=$BA$20,"Regular",IF(H318&lt;=$BA$21,"Alto",0)))</f>
        <v>0</v>
      </c>
    </row>
    <row r="319" spans="1:61">
      <c r="A319" t="s">
        <v>345</v>
      </c>
      <c r="B319" t="str">
        <f>SUM('Inteligencia emocional'!B320:I320)</f>
        <v>0</v>
      </c>
      <c r="C319" s="10" t="str">
        <f>IF(B319&lt;=$Q$19,"Bajo",IF(B319&lt;=$Q$20,"Regular",IF(B319&lt;=$Q$21,"Alto",0)))</f>
        <v>0</v>
      </c>
      <c r="D319" t="str">
        <f>SUM('Inteligencia emocional'!J320:Q320)</f>
        <v>0</v>
      </c>
      <c r="E319" s="10" t="str">
        <f>IF(D319&lt;=$AC$19,"Bajo",IF(D319&lt;=$AC$20,"Regular",IF(D319&lt;=$AC$21,"Alto",0)))</f>
        <v>0</v>
      </c>
      <c r="F319" t="str">
        <f>SUM('Inteligencia emocional'!R320:Y320)</f>
        <v>0</v>
      </c>
      <c r="G319" s="10" t="str">
        <f>IF(F319&lt;=$AO$19,"Bajo",IF(F319&lt;=$AO$20,"Regular",IF(F319&lt;=$AO$21,"Alto",0)))</f>
        <v>0</v>
      </c>
      <c r="H319" t="str">
        <f>SUM(B319:F319)</f>
        <v>0</v>
      </c>
      <c r="I319" s="10" t="str">
        <f>IF(H319&lt;=$BA$19,"Bajo",IF(H319&lt;=$BA$20,"Regular",IF(H319&lt;=$BA$21,"Alto",0)))</f>
        <v>0</v>
      </c>
    </row>
    <row r="320" spans="1:61">
      <c r="A320" t="s">
        <v>346</v>
      </c>
      <c r="B320" t="str">
        <f>SUM('Inteligencia emocional'!B321:I321)</f>
        <v>0</v>
      </c>
      <c r="C320" s="10" t="str">
        <f>IF(B320&lt;=$Q$19,"Bajo",IF(B320&lt;=$Q$20,"Regular",IF(B320&lt;=$Q$21,"Alto",0)))</f>
        <v>0</v>
      </c>
      <c r="D320" t="str">
        <f>SUM('Inteligencia emocional'!J321:Q321)</f>
        <v>0</v>
      </c>
      <c r="E320" s="10" t="str">
        <f>IF(D320&lt;=$AC$19,"Bajo",IF(D320&lt;=$AC$20,"Regular",IF(D320&lt;=$AC$21,"Alto",0)))</f>
        <v>0</v>
      </c>
      <c r="F320" t="str">
        <f>SUM('Inteligencia emocional'!R321:Y321)</f>
        <v>0</v>
      </c>
      <c r="G320" s="10" t="str">
        <f>IF(F320&lt;=$AO$19,"Bajo",IF(F320&lt;=$AO$20,"Regular",IF(F320&lt;=$AO$21,"Alto",0)))</f>
        <v>0</v>
      </c>
      <c r="H320" t="str">
        <f>SUM(B320:F320)</f>
        <v>0</v>
      </c>
      <c r="I320" s="10" t="str">
        <f>IF(H320&lt;=$BA$19,"Bajo",IF(H320&lt;=$BA$20,"Regular",IF(H320&lt;=$BA$21,"Alto",0)))</f>
        <v>0</v>
      </c>
    </row>
    <row r="321" spans="1:61">
      <c r="A321" t="s">
        <v>347</v>
      </c>
      <c r="B321" t="str">
        <f>SUM('Inteligencia emocional'!B322:I322)</f>
        <v>0</v>
      </c>
      <c r="C321" s="10" t="str">
        <f>IF(B321&lt;=$Q$19,"Bajo",IF(B321&lt;=$Q$20,"Regular",IF(B321&lt;=$Q$21,"Alto",0)))</f>
        <v>0</v>
      </c>
      <c r="D321" t="str">
        <f>SUM('Inteligencia emocional'!J322:Q322)</f>
        <v>0</v>
      </c>
      <c r="E321" s="10" t="str">
        <f>IF(D321&lt;=$AC$19,"Bajo",IF(D321&lt;=$AC$20,"Regular",IF(D321&lt;=$AC$21,"Alto",0)))</f>
        <v>0</v>
      </c>
      <c r="F321" t="str">
        <f>SUM('Inteligencia emocional'!R322:Y322)</f>
        <v>0</v>
      </c>
      <c r="G321" s="10" t="str">
        <f>IF(F321&lt;=$AO$19,"Bajo",IF(F321&lt;=$AO$20,"Regular",IF(F321&lt;=$AO$21,"Alto",0)))</f>
        <v>0</v>
      </c>
      <c r="H321" t="str">
        <f>SUM(B321:F321)</f>
        <v>0</v>
      </c>
      <c r="I321" s="10" t="str">
        <f>IF(H321&lt;=$BA$19,"Bajo",IF(H321&lt;=$BA$20,"Regular",IF(H321&lt;=$BA$21,"Alto",0)))</f>
        <v>0</v>
      </c>
    </row>
    <row r="322" spans="1:61">
      <c r="A322" t="s">
        <v>348</v>
      </c>
      <c r="B322" t="str">
        <f>SUM('Inteligencia emocional'!B323:I323)</f>
        <v>0</v>
      </c>
      <c r="C322" s="10" t="str">
        <f>IF(B322&lt;=$Q$19,"Bajo",IF(B322&lt;=$Q$20,"Regular",IF(B322&lt;=$Q$21,"Alto",0)))</f>
        <v>0</v>
      </c>
      <c r="D322" t="str">
        <f>SUM('Inteligencia emocional'!J323:Q323)</f>
        <v>0</v>
      </c>
      <c r="E322" s="10" t="str">
        <f>IF(D322&lt;=$AC$19,"Bajo",IF(D322&lt;=$AC$20,"Regular",IF(D322&lt;=$AC$21,"Alto",0)))</f>
        <v>0</v>
      </c>
      <c r="F322" t="str">
        <f>SUM('Inteligencia emocional'!R323:Y323)</f>
        <v>0</v>
      </c>
      <c r="G322" s="10" t="str">
        <f>IF(F322&lt;=$AO$19,"Bajo",IF(F322&lt;=$AO$20,"Regular",IF(F322&lt;=$AO$21,"Alto",0)))</f>
        <v>0</v>
      </c>
      <c r="H322" t="str">
        <f>SUM(B322:F322)</f>
        <v>0</v>
      </c>
      <c r="I322" s="10" t="str">
        <f>IF(H322&lt;=$BA$19,"Bajo",IF(H322&lt;=$BA$20,"Regular",IF(H322&lt;=$BA$21,"Alto",0)))</f>
        <v>0</v>
      </c>
    </row>
    <row r="323" spans="1:61">
      <c r="A323" t="s">
        <v>349</v>
      </c>
      <c r="B323" t="str">
        <f>SUM('Inteligencia emocional'!B324:I324)</f>
        <v>0</v>
      </c>
      <c r="C323" s="10" t="str">
        <f>IF(B323&lt;=$Q$19,"Bajo",IF(B323&lt;=$Q$20,"Regular",IF(B323&lt;=$Q$21,"Alto",0)))</f>
        <v>0</v>
      </c>
      <c r="D323" t="str">
        <f>SUM('Inteligencia emocional'!J324:Q324)</f>
        <v>0</v>
      </c>
      <c r="E323" s="10" t="str">
        <f>IF(D323&lt;=$AC$19,"Bajo",IF(D323&lt;=$AC$20,"Regular",IF(D323&lt;=$AC$21,"Alto",0)))</f>
        <v>0</v>
      </c>
      <c r="F323" t="str">
        <f>SUM('Inteligencia emocional'!R324:Y324)</f>
        <v>0</v>
      </c>
      <c r="G323" s="10" t="str">
        <f>IF(F323&lt;=$AO$19,"Bajo",IF(F323&lt;=$AO$20,"Regular",IF(F323&lt;=$AO$21,"Alto",0)))</f>
        <v>0</v>
      </c>
      <c r="H323" t="str">
        <f>SUM(B323:F323)</f>
        <v>0</v>
      </c>
      <c r="I323" s="10" t="str">
        <f>IF(H323&lt;=$BA$19,"Bajo",IF(H323&lt;=$BA$20,"Regular",IF(H323&lt;=$BA$21,"Alto",0)))</f>
        <v>0</v>
      </c>
    </row>
    <row r="324" spans="1:61">
      <c r="A324" t="s">
        <v>350</v>
      </c>
      <c r="B324" t="str">
        <f>SUM('Inteligencia emocional'!B325:I325)</f>
        <v>0</v>
      </c>
      <c r="C324" s="10" t="str">
        <f>IF(B324&lt;=$Q$19,"Bajo",IF(B324&lt;=$Q$20,"Regular",IF(B324&lt;=$Q$21,"Alto",0)))</f>
        <v>0</v>
      </c>
      <c r="D324" t="str">
        <f>SUM('Inteligencia emocional'!J325:Q325)</f>
        <v>0</v>
      </c>
      <c r="E324" s="10" t="str">
        <f>IF(D324&lt;=$AC$19,"Bajo",IF(D324&lt;=$AC$20,"Regular",IF(D324&lt;=$AC$21,"Alto",0)))</f>
        <v>0</v>
      </c>
      <c r="F324" t="str">
        <f>SUM('Inteligencia emocional'!R325:Y325)</f>
        <v>0</v>
      </c>
      <c r="G324" s="10" t="str">
        <f>IF(F324&lt;=$AO$19,"Bajo",IF(F324&lt;=$AO$20,"Regular",IF(F324&lt;=$AO$21,"Alto",0)))</f>
        <v>0</v>
      </c>
      <c r="H324" t="str">
        <f>SUM(B324:F324)</f>
        <v>0</v>
      </c>
      <c r="I324" s="10" t="str">
        <f>IF(H324&lt;=$BA$19,"Bajo",IF(H324&lt;=$BA$20,"Regular",IF(H324&lt;=$BA$21,"Alto",0)))</f>
        <v>0</v>
      </c>
    </row>
    <row r="325" spans="1:61">
      <c r="A325" t="s">
        <v>351</v>
      </c>
      <c r="B325" t="str">
        <f>SUM('Inteligencia emocional'!B326:I326)</f>
        <v>0</v>
      </c>
      <c r="C325" s="10" t="str">
        <f>IF(B325&lt;=$Q$19,"Bajo",IF(B325&lt;=$Q$20,"Regular",IF(B325&lt;=$Q$21,"Alto",0)))</f>
        <v>0</v>
      </c>
      <c r="D325" t="str">
        <f>SUM('Inteligencia emocional'!J326:Q326)</f>
        <v>0</v>
      </c>
      <c r="E325" s="10" t="str">
        <f>IF(D325&lt;=$AC$19,"Bajo",IF(D325&lt;=$AC$20,"Regular",IF(D325&lt;=$AC$21,"Alto",0)))</f>
        <v>0</v>
      </c>
      <c r="F325" t="str">
        <f>SUM('Inteligencia emocional'!R326:Y326)</f>
        <v>0</v>
      </c>
      <c r="G325" s="10" t="str">
        <f>IF(F325&lt;=$AO$19,"Bajo",IF(F325&lt;=$AO$20,"Regular",IF(F325&lt;=$AO$21,"Alto",0)))</f>
        <v>0</v>
      </c>
      <c r="H325" t="str">
        <f>SUM(B325:F325)</f>
        <v>0</v>
      </c>
      <c r="I325" s="10" t="str">
        <f>IF(H325&lt;=$BA$19,"Bajo",IF(H325&lt;=$BA$20,"Regular",IF(H325&lt;=$BA$21,"Alto",0)))</f>
        <v>0</v>
      </c>
    </row>
    <row r="326" spans="1:61">
      <c r="A326" t="s">
        <v>352</v>
      </c>
      <c r="B326" t="str">
        <f>SUM('Inteligencia emocional'!B327:I327)</f>
        <v>0</v>
      </c>
      <c r="C326" s="10" t="str">
        <f>IF(B326&lt;=$Q$19,"Bajo",IF(B326&lt;=$Q$20,"Regular",IF(B326&lt;=$Q$21,"Alto",0)))</f>
        <v>0</v>
      </c>
      <c r="D326" t="str">
        <f>SUM('Inteligencia emocional'!J327:Q327)</f>
        <v>0</v>
      </c>
      <c r="E326" s="10" t="str">
        <f>IF(D326&lt;=$AC$19,"Bajo",IF(D326&lt;=$AC$20,"Regular",IF(D326&lt;=$AC$21,"Alto",0)))</f>
        <v>0</v>
      </c>
      <c r="F326" t="str">
        <f>SUM('Inteligencia emocional'!R327:Y327)</f>
        <v>0</v>
      </c>
      <c r="G326" s="10" t="str">
        <f>IF(F326&lt;=$AO$19,"Bajo",IF(F326&lt;=$AO$20,"Regular",IF(F326&lt;=$AO$21,"Alto",0)))</f>
        <v>0</v>
      </c>
      <c r="H326" t="str">
        <f>SUM(B326:F326)</f>
        <v>0</v>
      </c>
      <c r="I326" s="10" t="str">
        <f>IF(H326&lt;=$BA$19,"Bajo",IF(H326&lt;=$BA$20,"Regular",IF(H326&lt;=$BA$21,"Alto",0)))</f>
        <v>0</v>
      </c>
    </row>
    <row r="327" spans="1:61">
      <c r="A327" t="s">
        <v>353</v>
      </c>
      <c r="B327" t="str">
        <f>SUM('Inteligencia emocional'!B328:I328)</f>
        <v>0</v>
      </c>
      <c r="C327" s="10" t="str">
        <f>IF(B327&lt;=$Q$19,"Bajo",IF(B327&lt;=$Q$20,"Regular",IF(B327&lt;=$Q$21,"Alto",0)))</f>
        <v>0</v>
      </c>
      <c r="D327" t="str">
        <f>SUM('Inteligencia emocional'!J328:Q328)</f>
        <v>0</v>
      </c>
      <c r="E327" s="10" t="str">
        <f>IF(D327&lt;=$AC$19,"Bajo",IF(D327&lt;=$AC$20,"Regular",IF(D327&lt;=$AC$21,"Alto",0)))</f>
        <v>0</v>
      </c>
      <c r="F327" t="str">
        <f>SUM('Inteligencia emocional'!R328:Y328)</f>
        <v>0</v>
      </c>
      <c r="G327" s="10" t="str">
        <f>IF(F327&lt;=$AO$19,"Bajo",IF(F327&lt;=$AO$20,"Regular",IF(F327&lt;=$AO$21,"Alto",0)))</f>
        <v>0</v>
      </c>
      <c r="H327" t="str">
        <f>SUM(B327:F327)</f>
        <v>0</v>
      </c>
      <c r="I327" s="10" t="str">
        <f>IF(H327&lt;=$BA$19,"Bajo",IF(H327&lt;=$BA$20,"Regular",IF(H327&lt;=$BA$21,"Alto",0)))</f>
        <v>0</v>
      </c>
    </row>
    <row r="328" spans="1:61">
      <c r="A328" t="s">
        <v>354</v>
      </c>
      <c r="B328" t="str">
        <f>SUM('Inteligencia emocional'!B329:I329)</f>
        <v>0</v>
      </c>
      <c r="C328" s="10" t="str">
        <f>IF(B328&lt;=$Q$19,"Bajo",IF(B328&lt;=$Q$20,"Regular",IF(B328&lt;=$Q$21,"Alto",0)))</f>
        <v>0</v>
      </c>
      <c r="D328" t="str">
        <f>SUM('Inteligencia emocional'!J329:Q329)</f>
        <v>0</v>
      </c>
      <c r="E328" s="10" t="str">
        <f>IF(D328&lt;=$AC$19,"Bajo",IF(D328&lt;=$AC$20,"Regular",IF(D328&lt;=$AC$21,"Alto",0)))</f>
        <v>0</v>
      </c>
      <c r="F328" t="str">
        <f>SUM('Inteligencia emocional'!R329:Y329)</f>
        <v>0</v>
      </c>
      <c r="G328" s="10" t="str">
        <f>IF(F328&lt;=$AO$19,"Bajo",IF(F328&lt;=$AO$20,"Regular",IF(F328&lt;=$AO$21,"Alto",0)))</f>
        <v>0</v>
      </c>
      <c r="H328" t="str">
        <f>SUM(B328:F328)</f>
        <v>0</v>
      </c>
      <c r="I328" s="10" t="str">
        <f>IF(H328&lt;=$BA$19,"Bajo",IF(H328&lt;=$BA$20,"Regular",IF(H328&lt;=$BA$21,"Alto",0)))</f>
        <v>0</v>
      </c>
    </row>
    <row r="329" spans="1:61">
      <c r="A329" t="s">
        <v>355</v>
      </c>
      <c r="B329" t="str">
        <f>SUM('Inteligencia emocional'!B330:I330)</f>
        <v>0</v>
      </c>
      <c r="C329" s="10" t="str">
        <f>IF(B329&lt;=$Q$19,"Bajo",IF(B329&lt;=$Q$20,"Regular",IF(B329&lt;=$Q$21,"Alto",0)))</f>
        <v>0</v>
      </c>
      <c r="D329" t="str">
        <f>SUM('Inteligencia emocional'!J330:Q330)</f>
        <v>0</v>
      </c>
      <c r="E329" s="10" t="str">
        <f>IF(D329&lt;=$AC$19,"Bajo",IF(D329&lt;=$AC$20,"Regular",IF(D329&lt;=$AC$21,"Alto",0)))</f>
        <v>0</v>
      </c>
      <c r="F329" t="str">
        <f>SUM('Inteligencia emocional'!R330:Y330)</f>
        <v>0</v>
      </c>
      <c r="G329" s="10" t="str">
        <f>IF(F329&lt;=$AO$19,"Bajo",IF(F329&lt;=$AO$20,"Regular",IF(F329&lt;=$AO$21,"Alto",0)))</f>
        <v>0</v>
      </c>
      <c r="H329" t="str">
        <f>SUM(B329:F329)</f>
        <v>0</v>
      </c>
      <c r="I329" s="10" t="str">
        <f>IF(H329&lt;=$BA$19,"Bajo",IF(H329&lt;=$BA$20,"Regular",IF(H329&lt;=$BA$21,"Alto",0)))</f>
        <v>0</v>
      </c>
    </row>
    <row r="330" spans="1:61">
      <c r="A330" t="s">
        <v>356</v>
      </c>
      <c r="B330" t="str">
        <f>SUM('Inteligencia emocional'!B331:I331)</f>
        <v>0</v>
      </c>
      <c r="C330" s="10" t="str">
        <f>IF(B330&lt;=$Q$19,"Bajo",IF(B330&lt;=$Q$20,"Regular",IF(B330&lt;=$Q$21,"Alto",0)))</f>
        <v>0</v>
      </c>
      <c r="D330" t="str">
        <f>SUM('Inteligencia emocional'!J331:Q331)</f>
        <v>0</v>
      </c>
      <c r="E330" s="10" t="str">
        <f>IF(D330&lt;=$AC$19,"Bajo",IF(D330&lt;=$AC$20,"Regular",IF(D330&lt;=$AC$21,"Alto",0)))</f>
        <v>0</v>
      </c>
      <c r="F330" t="str">
        <f>SUM('Inteligencia emocional'!R331:Y331)</f>
        <v>0</v>
      </c>
      <c r="G330" s="10" t="str">
        <f>IF(F330&lt;=$AO$19,"Bajo",IF(F330&lt;=$AO$20,"Regular",IF(F330&lt;=$AO$21,"Alto",0)))</f>
        <v>0</v>
      </c>
      <c r="H330" t="str">
        <f>SUM(B330:F330)</f>
        <v>0</v>
      </c>
      <c r="I330" s="10" t="str">
        <f>IF(H330&lt;=$BA$19,"Bajo",IF(H330&lt;=$BA$20,"Regular",IF(H330&lt;=$BA$21,"Alto",0)))</f>
        <v>0</v>
      </c>
    </row>
    <row r="331" spans="1:61">
      <c r="A331" t="s">
        <v>357</v>
      </c>
      <c r="B331" t="str">
        <f>SUM('Inteligencia emocional'!B332:I332)</f>
        <v>0</v>
      </c>
      <c r="C331" s="10" t="str">
        <f>IF(B331&lt;=$Q$19,"Bajo",IF(B331&lt;=$Q$20,"Regular",IF(B331&lt;=$Q$21,"Alto",0)))</f>
        <v>0</v>
      </c>
      <c r="D331" t="str">
        <f>SUM('Inteligencia emocional'!J332:Q332)</f>
        <v>0</v>
      </c>
      <c r="E331" s="10" t="str">
        <f>IF(D331&lt;=$AC$19,"Bajo",IF(D331&lt;=$AC$20,"Regular",IF(D331&lt;=$AC$21,"Alto",0)))</f>
        <v>0</v>
      </c>
      <c r="F331" t="str">
        <f>SUM('Inteligencia emocional'!R332:Y332)</f>
        <v>0</v>
      </c>
      <c r="G331" s="10" t="str">
        <f>IF(F331&lt;=$AO$19,"Bajo",IF(F331&lt;=$AO$20,"Regular",IF(F331&lt;=$AO$21,"Alto",0)))</f>
        <v>0</v>
      </c>
      <c r="H331" t="str">
        <f>SUM(B331:F331)</f>
        <v>0</v>
      </c>
      <c r="I331" s="10" t="str">
        <f>IF(H331&lt;=$BA$19,"Bajo",IF(H331&lt;=$BA$20,"Regular",IF(H331&lt;=$BA$21,"Alto",0)))</f>
        <v>0</v>
      </c>
    </row>
    <row r="332" spans="1:61">
      <c r="A332" t="s">
        <v>358</v>
      </c>
      <c r="B332" t="str">
        <f>SUM('Inteligencia emocional'!B333:I333)</f>
        <v>0</v>
      </c>
      <c r="C332" s="10" t="str">
        <f>IF(B332&lt;=$Q$19,"Bajo",IF(B332&lt;=$Q$20,"Regular",IF(B332&lt;=$Q$21,"Alto",0)))</f>
        <v>0</v>
      </c>
      <c r="D332" t="str">
        <f>SUM('Inteligencia emocional'!J333:Q333)</f>
        <v>0</v>
      </c>
      <c r="E332" s="10" t="str">
        <f>IF(D332&lt;=$AC$19,"Bajo",IF(D332&lt;=$AC$20,"Regular",IF(D332&lt;=$AC$21,"Alto",0)))</f>
        <v>0</v>
      </c>
      <c r="F332" t="str">
        <f>SUM('Inteligencia emocional'!R333:Y333)</f>
        <v>0</v>
      </c>
      <c r="G332" s="10" t="str">
        <f>IF(F332&lt;=$AO$19,"Bajo",IF(F332&lt;=$AO$20,"Regular",IF(F332&lt;=$AO$21,"Alto",0)))</f>
        <v>0</v>
      </c>
      <c r="H332" t="str">
        <f>SUM(B332:F332)</f>
        <v>0</v>
      </c>
      <c r="I332" s="10" t="str">
        <f>IF(H332&lt;=$BA$19,"Bajo",IF(H332&lt;=$BA$20,"Regular",IF(H332&lt;=$BA$21,"Alto",0)))</f>
        <v>0</v>
      </c>
    </row>
    <row r="333" spans="1:61">
      <c r="A333" t="s">
        <v>359</v>
      </c>
      <c r="B333" t="str">
        <f>SUM('Inteligencia emocional'!B334:I334)</f>
        <v>0</v>
      </c>
      <c r="C333" s="10" t="str">
        <f>IF(B333&lt;=$Q$19,"Bajo",IF(B333&lt;=$Q$20,"Regular",IF(B333&lt;=$Q$21,"Alto",0)))</f>
        <v>0</v>
      </c>
      <c r="D333" t="str">
        <f>SUM('Inteligencia emocional'!J334:Q334)</f>
        <v>0</v>
      </c>
      <c r="E333" s="10" t="str">
        <f>IF(D333&lt;=$AC$19,"Bajo",IF(D333&lt;=$AC$20,"Regular",IF(D333&lt;=$AC$21,"Alto",0)))</f>
        <v>0</v>
      </c>
      <c r="F333" t="str">
        <f>SUM('Inteligencia emocional'!R334:Y334)</f>
        <v>0</v>
      </c>
      <c r="G333" s="10" t="str">
        <f>IF(F333&lt;=$AO$19,"Bajo",IF(F333&lt;=$AO$20,"Regular",IF(F333&lt;=$AO$21,"Alto",0)))</f>
        <v>0</v>
      </c>
      <c r="H333" t="str">
        <f>SUM(B333:F333)</f>
        <v>0</v>
      </c>
      <c r="I333" s="10" t="str">
        <f>IF(H333&lt;=$BA$19,"Bajo",IF(H333&lt;=$BA$20,"Regular",IF(H333&lt;=$BA$21,"Alto",0)))</f>
        <v>0</v>
      </c>
    </row>
    <row r="334" spans="1:61">
      <c r="A334" t="s">
        <v>360</v>
      </c>
      <c r="B334" t="str">
        <f>SUM('Inteligencia emocional'!B335:I335)</f>
        <v>0</v>
      </c>
      <c r="C334" s="10" t="str">
        <f>IF(B334&lt;=$Q$19,"Bajo",IF(B334&lt;=$Q$20,"Regular",IF(B334&lt;=$Q$21,"Alto",0)))</f>
        <v>0</v>
      </c>
      <c r="D334" t="str">
        <f>SUM('Inteligencia emocional'!J335:Q335)</f>
        <v>0</v>
      </c>
      <c r="E334" s="10" t="str">
        <f>IF(D334&lt;=$AC$19,"Bajo",IF(D334&lt;=$AC$20,"Regular",IF(D334&lt;=$AC$21,"Alto",0)))</f>
        <v>0</v>
      </c>
      <c r="F334" t="str">
        <f>SUM('Inteligencia emocional'!R335:Y335)</f>
        <v>0</v>
      </c>
      <c r="G334" s="10" t="str">
        <f>IF(F334&lt;=$AO$19,"Bajo",IF(F334&lt;=$AO$20,"Regular",IF(F334&lt;=$AO$21,"Alto",0)))</f>
        <v>0</v>
      </c>
      <c r="H334" t="str">
        <f>SUM(B334:F334)</f>
        <v>0</v>
      </c>
      <c r="I334" s="10" t="str">
        <f>IF(H334&lt;=$BA$19,"Bajo",IF(H334&lt;=$BA$20,"Regular",IF(H334&lt;=$BA$21,"Alto",0)))</f>
        <v>0</v>
      </c>
    </row>
    <row r="335" spans="1:61">
      <c r="A335" t="s">
        <v>361</v>
      </c>
      <c r="B335" t="str">
        <f>SUM('Inteligencia emocional'!B336:I336)</f>
        <v>0</v>
      </c>
      <c r="C335" s="10" t="str">
        <f>IF(B335&lt;=$Q$19,"Bajo",IF(B335&lt;=$Q$20,"Regular",IF(B335&lt;=$Q$21,"Alto",0)))</f>
        <v>0</v>
      </c>
      <c r="D335" t="str">
        <f>SUM('Inteligencia emocional'!J336:Q336)</f>
        <v>0</v>
      </c>
      <c r="E335" s="10" t="str">
        <f>IF(D335&lt;=$AC$19,"Bajo",IF(D335&lt;=$AC$20,"Regular",IF(D335&lt;=$AC$21,"Alto",0)))</f>
        <v>0</v>
      </c>
      <c r="F335" t="str">
        <f>SUM('Inteligencia emocional'!R336:Y336)</f>
        <v>0</v>
      </c>
      <c r="G335" s="10" t="str">
        <f>IF(F335&lt;=$AO$19,"Bajo",IF(F335&lt;=$AO$20,"Regular",IF(F335&lt;=$AO$21,"Alto",0)))</f>
        <v>0</v>
      </c>
      <c r="H335" t="str">
        <f>SUM(B335:F335)</f>
        <v>0</v>
      </c>
      <c r="I335" s="10" t="str">
        <f>IF(H335&lt;=$BA$19,"Bajo",IF(H335&lt;=$BA$20,"Regular",IF(H335&lt;=$BA$21,"Alto",0)))</f>
        <v>0</v>
      </c>
    </row>
    <row r="336" spans="1:61">
      <c r="A336" t="s">
        <v>362</v>
      </c>
      <c r="B336" t="str">
        <f>SUM('Inteligencia emocional'!B337:I337)</f>
        <v>0</v>
      </c>
      <c r="C336" s="10" t="str">
        <f>IF(B336&lt;=$Q$19,"Bajo",IF(B336&lt;=$Q$20,"Regular",IF(B336&lt;=$Q$21,"Alto",0)))</f>
        <v>0</v>
      </c>
      <c r="D336" t="str">
        <f>SUM('Inteligencia emocional'!J337:Q337)</f>
        <v>0</v>
      </c>
      <c r="E336" s="10" t="str">
        <f>IF(D336&lt;=$AC$19,"Bajo",IF(D336&lt;=$AC$20,"Regular",IF(D336&lt;=$AC$21,"Alto",0)))</f>
        <v>0</v>
      </c>
      <c r="F336" t="str">
        <f>SUM('Inteligencia emocional'!R337:Y337)</f>
        <v>0</v>
      </c>
      <c r="G336" s="10" t="str">
        <f>IF(F336&lt;=$AO$19,"Bajo",IF(F336&lt;=$AO$20,"Regular",IF(F336&lt;=$AO$21,"Alto",0)))</f>
        <v>0</v>
      </c>
      <c r="H336" t="str">
        <f>SUM(B336:F336)</f>
        <v>0</v>
      </c>
      <c r="I336" s="10" t="str">
        <f>IF(H336&lt;=$BA$19,"Bajo",IF(H336&lt;=$BA$20,"Regular",IF(H336&lt;=$BA$21,"Alto",0)))</f>
        <v>0</v>
      </c>
    </row>
    <row r="337" spans="1:61">
      <c r="A337" t="s">
        <v>363</v>
      </c>
      <c r="B337" t="str">
        <f>SUM('Inteligencia emocional'!B338:I338)</f>
        <v>0</v>
      </c>
      <c r="C337" s="10" t="str">
        <f>IF(B337&lt;=$Q$19,"Bajo",IF(B337&lt;=$Q$20,"Regular",IF(B337&lt;=$Q$21,"Alto",0)))</f>
        <v>0</v>
      </c>
      <c r="D337" t="str">
        <f>SUM('Inteligencia emocional'!J338:Q338)</f>
        <v>0</v>
      </c>
      <c r="E337" s="10" t="str">
        <f>IF(D337&lt;=$AC$19,"Bajo",IF(D337&lt;=$AC$20,"Regular",IF(D337&lt;=$AC$21,"Alto",0)))</f>
        <v>0</v>
      </c>
      <c r="F337" t="str">
        <f>SUM('Inteligencia emocional'!R338:Y338)</f>
        <v>0</v>
      </c>
      <c r="G337" s="10" t="str">
        <f>IF(F337&lt;=$AO$19,"Bajo",IF(F337&lt;=$AO$20,"Regular",IF(F337&lt;=$AO$21,"Alto",0)))</f>
        <v>0</v>
      </c>
      <c r="H337" t="str">
        <f>SUM(B337:F337)</f>
        <v>0</v>
      </c>
      <c r="I337" s="10" t="str">
        <f>IF(H337&lt;=$BA$19,"Bajo",IF(H337&lt;=$BA$20,"Regular",IF(H337&lt;=$BA$21,"Alto",0)))</f>
        <v>0</v>
      </c>
    </row>
    <row r="338" spans="1:61">
      <c r="A338" t="s">
        <v>364</v>
      </c>
      <c r="B338" t="str">
        <f>SUM('Inteligencia emocional'!B339:I339)</f>
        <v>0</v>
      </c>
      <c r="C338" s="10" t="str">
        <f>IF(B338&lt;=$Q$19,"Bajo",IF(B338&lt;=$Q$20,"Regular",IF(B338&lt;=$Q$21,"Alto",0)))</f>
        <v>0</v>
      </c>
      <c r="D338" t="str">
        <f>SUM('Inteligencia emocional'!J339:Q339)</f>
        <v>0</v>
      </c>
      <c r="E338" s="10" t="str">
        <f>IF(D338&lt;=$AC$19,"Bajo",IF(D338&lt;=$AC$20,"Regular",IF(D338&lt;=$AC$21,"Alto",0)))</f>
        <v>0</v>
      </c>
      <c r="F338" t="str">
        <f>SUM('Inteligencia emocional'!R339:Y339)</f>
        <v>0</v>
      </c>
      <c r="G338" s="10" t="str">
        <f>IF(F338&lt;=$AO$19,"Bajo",IF(F338&lt;=$AO$20,"Regular",IF(F338&lt;=$AO$21,"Alto",0)))</f>
        <v>0</v>
      </c>
      <c r="H338" t="str">
        <f>SUM(B338:F338)</f>
        <v>0</v>
      </c>
      <c r="I338" s="10" t="str">
        <f>IF(H338&lt;=$BA$19,"Bajo",IF(H338&lt;=$BA$20,"Regular",IF(H338&lt;=$BA$21,"Alto",0)))</f>
        <v>0</v>
      </c>
    </row>
    <row r="339" spans="1:61">
      <c r="A339" t="s">
        <v>365</v>
      </c>
      <c r="B339" t="str">
        <f>SUM('Inteligencia emocional'!B340:I340)</f>
        <v>0</v>
      </c>
      <c r="C339" s="10" t="str">
        <f>IF(B339&lt;=$Q$19,"Bajo",IF(B339&lt;=$Q$20,"Regular",IF(B339&lt;=$Q$21,"Alto",0)))</f>
        <v>0</v>
      </c>
      <c r="D339" t="str">
        <f>SUM('Inteligencia emocional'!J340:Q340)</f>
        <v>0</v>
      </c>
      <c r="E339" s="10" t="str">
        <f>IF(D339&lt;=$AC$19,"Bajo",IF(D339&lt;=$AC$20,"Regular",IF(D339&lt;=$AC$21,"Alto",0)))</f>
        <v>0</v>
      </c>
      <c r="F339" t="str">
        <f>SUM('Inteligencia emocional'!R340:Y340)</f>
        <v>0</v>
      </c>
      <c r="G339" s="10" t="str">
        <f>IF(F339&lt;=$AO$19,"Bajo",IF(F339&lt;=$AO$20,"Regular",IF(F339&lt;=$AO$21,"Alto",0)))</f>
        <v>0</v>
      </c>
      <c r="H339" t="str">
        <f>SUM(B339:F339)</f>
        <v>0</v>
      </c>
      <c r="I339" s="10" t="str">
        <f>IF(H339&lt;=$BA$19,"Bajo",IF(H339&lt;=$BA$20,"Regular",IF(H339&lt;=$BA$21,"Alto",0)))</f>
        <v>0</v>
      </c>
    </row>
    <row r="340" spans="1:61">
      <c r="A340" t="s">
        <v>366</v>
      </c>
      <c r="B340" t="str">
        <f>SUM('Inteligencia emocional'!B341:I341)</f>
        <v>0</v>
      </c>
      <c r="C340" s="10" t="str">
        <f>IF(B340&lt;=$Q$19,"Bajo",IF(B340&lt;=$Q$20,"Regular",IF(B340&lt;=$Q$21,"Alto",0)))</f>
        <v>0</v>
      </c>
      <c r="D340" t="str">
        <f>SUM('Inteligencia emocional'!J341:Q341)</f>
        <v>0</v>
      </c>
      <c r="E340" s="10" t="str">
        <f>IF(D340&lt;=$AC$19,"Bajo",IF(D340&lt;=$AC$20,"Regular",IF(D340&lt;=$AC$21,"Alto",0)))</f>
        <v>0</v>
      </c>
      <c r="F340" t="str">
        <f>SUM('Inteligencia emocional'!R341:Y341)</f>
        <v>0</v>
      </c>
      <c r="G340" s="10" t="str">
        <f>IF(F340&lt;=$AO$19,"Bajo",IF(F340&lt;=$AO$20,"Regular",IF(F340&lt;=$AO$21,"Alto",0)))</f>
        <v>0</v>
      </c>
      <c r="H340" t="str">
        <f>SUM(B340:F340)</f>
        <v>0</v>
      </c>
      <c r="I340" s="10" t="str">
        <f>IF(H340&lt;=$BA$19,"Bajo",IF(H340&lt;=$BA$20,"Regular",IF(H340&lt;=$BA$21,"Alto",0)))</f>
        <v>0</v>
      </c>
    </row>
    <row r="341" spans="1:61">
      <c r="A341" t="s">
        <v>367</v>
      </c>
      <c r="B341" t="str">
        <f>SUM('Inteligencia emocional'!B342:I342)</f>
        <v>0</v>
      </c>
      <c r="C341" s="10" t="str">
        <f>IF(B341&lt;=$Q$19,"Bajo",IF(B341&lt;=$Q$20,"Regular",IF(B341&lt;=$Q$21,"Alto",0)))</f>
        <v>0</v>
      </c>
      <c r="D341" t="str">
        <f>SUM('Inteligencia emocional'!J342:Q342)</f>
        <v>0</v>
      </c>
      <c r="E341" s="10" t="str">
        <f>IF(D341&lt;=$AC$19,"Bajo",IF(D341&lt;=$AC$20,"Regular",IF(D341&lt;=$AC$21,"Alto",0)))</f>
        <v>0</v>
      </c>
      <c r="F341" t="str">
        <f>SUM('Inteligencia emocional'!R342:Y342)</f>
        <v>0</v>
      </c>
      <c r="G341" s="10" t="str">
        <f>IF(F341&lt;=$AO$19,"Bajo",IF(F341&lt;=$AO$20,"Regular",IF(F341&lt;=$AO$21,"Alto",0)))</f>
        <v>0</v>
      </c>
      <c r="H341" t="str">
        <f>SUM(B341:F341)</f>
        <v>0</v>
      </c>
      <c r="I341" s="10" t="str">
        <f>IF(H341&lt;=$BA$19,"Bajo",IF(H341&lt;=$BA$20,"Regular",IF(H341&lt;=$BA$21,"Alto",0)))</f>
        <v>0</v>
      </c>
    </row>
    <row r="342" spans="1:61">
      <c r="A342" t="s">
        <v>368</v>
      </c>
      <c r="B342" t="str">
        <f>SUM('Inteligencia emocional'!B343:I343)</f>
        <v>0</v>
      </c>
      <c r="C342" s="10" t="str">
        <f>IF(B342&lt;=$Q$19,"Bajo",IF(B342&lt;=$Q$20,"Regular",IF(B342&lt;=$Q$21,"Alto",0)))</f>
        <v>0</v>
      </c>
      <c r="D342" t="str">
        <f>SUM('Inteligencia emocional'!J343:Q343)</f>
        <v>0</v>
      </c>
      <c r="E342" s="10" t="str">
        <f>IF(D342&lt;=$AC$19,"Bajo",IF(D342&lt;=$AC$20,"Regular",IF(D342&lt;=$AC$21,"Alto",0)))</f>
        <v>0</v>
      </c>
      <c r="F342" t="str">
        <f>SUM('Inteligencia emocional'!R343:Y343)</f>
        <v>0</v>
      </c>
      <c r="G342" s="10" t="str">
        <f>IF(F342&lt;=$AO$19,"Bajo",IF(F342&lt;=$AO$20,"Regular",IF(F342&lt;=$AO$21,"Alto",0)))</f>
        <v>0</v>
      </c>
      <c r="H342" t="str">
        <f>SUM(B342:F342)</f>
        <v>0</v>
      </c>
      <c r="I342" s="10" t="str">
        <f>IF(H342&lt;=$BA$19,"Bajo",IF(H342&lt;=$BA$20,"Regular",IF(H342&lt;=$BA$21,"Alto",0)))</f>
        <v>0</v>
      </c>
    </row>
    <row r="343" spans="1:61">
      <c r="A343" t="s">
        <v>369</v>
      </c>
      <c r="B343" t="str">
        <f>SUM('Inteligencia emocional'!B344:I344)</f>
        <v>0</v>
      </c>
      <c r="C343" s="10" t="str">
        <f>IF(B343&lt;=$Q$19,"Bajo",IF(B343&lt;=$Q$20,"Regular",IF(B343&lt;=$Q$21,"Alto",0)))</f>
        <v>0</v>
      </c>
      <c r="D343" t="str">
        <f>SUM('Inteligencia emocional'!J344:Q344)</f>
        <v>0</v>
      </c>
      <c r="E343" s="10" t="str">
        <f>IF(D343&lt;=$AC$19,"Bajo",IF(D343&lt;=$AC$20,"Regular",IF(D343&lt;=$AC$21,"Alto",0)))</f>
        <v>0</v>
      </c>
      <c r="F343" t="str">
        <f>SUM('Inteligencia emocional'!R344:Y344)</f>
        <v>0</v>
      </c>
      <c r="G343" s="10" t="str">
        <f>IF(F343&lt;=$AO$19,"Bajo",IF(F343&lt;=$AO$20,"Regular",IF(F343&lt;=$AO$21,"Alto",0)))</f>
        <v>0</v>
      </c>
      <c r="H343" t="str">
        <f>SUM(B343:F343)</f>
        <v>0</v>
      </c>
      <c r="I343" s="10" t="str">
        <f>IF(H343&lt;=$BA$19,"Bajo",IF(H343&lt;=$BA$20,"Regular",IF(H343&lt;=$BA$21,"Alto",0)))</f>
        <v>0</v>
      </c>
    </row>
    <row r="344" spans="1:61">
      <c r="A344" t="s">
        <v>370</v>
      </c>
      <c r="B344" t="str">
        <f>SUM('Inteligencia emocional'!B345:I345)</f>
        <v>0</v>
      </c>
      <c r="C344" s="10" t="str">
        <f>IF(B344&lt;=$Q$19,"Bajo",IF(B344&lt;=$Q$20,"Regular",IF(B344&lt;=$Q$21,"Alto",0)))</f>
        <v>0</v>
      </c>
      <c r="D344" t="str">
        <f>SUM('Inteligencia emocional'!J345:Q345)</f>
        <v>0</v>
      </c>
      <c r="E344" s="10" t="str">
        <f>IF(D344&lt;=$AC$19,"Bajo",IF(D344&lt;=$AC$20,"Regular",IF(D344&lt;=$AC$21,"Alto",0)))</f>
        <v>0</v>
      </c>
      <c r="F344" t="str">
        <f>SUM('Inteligencia emocional'!R345:Y345)</f>
        <v>0</v>
      </c>
      <c r="G344" s="10" t="str">
        <f>IF(F344&lt;=$AO$19,"Bajo",IF(F344&lt;=$AO$20,"Regular",IF(F344&lt;=$AO$21,"Alto",0)))</f>
        <v>0</v>
      </c>
      <c r="H344" t="str">
        <f>SUM(B344:F344)</f>
        <v>0</v>
      </c>
      <c r="I344" s="10" t="str">
        <f>IF(H344&lt;=$BA$19,"Bajo",IF(H344&lt;=$BA$20,"Regular",IF(H344&lt;=$BA$21,"Alto",0)))</f>
        <v>0</v>
      </c>
    </row>
    <row r="345" spans="1:61">
      <c r="A345" t="s">
        <v>371</v>
      </c>
      <c r="B345" t="str">
        <f>SUM('Inteligencia emocional'!B346:I346)</f>
        <v>0</v>
      </c>
      <c r="C345" s="10" t="str">
        <f>IF(B345&lt;=$Q$19,"Bajo",IF(B345&lt;=$Q$20,"Regular",IF(B345&lt;=$Q$21,"Alto",0)))</f>
        <v>0</v>
      </c>
      <c r="D345" t="str">
        <f>SUM('Inteligencia emocional'!J346:Q346)</f>
        <v>0</v>
      </c>
      <c r="E345" s="10" t="str">
        <f>IF(D345&lt;=$AC$19,"Bajo",IF(D345&lt;=$AC$20,"Regular",IF(D345&lt;=$AC$21,"Alto",0)))</f>
        <v>0</v>
      </c>
      <c r="F345" t="str">
        <f>SUM('Inteligencia emocional'!R346:Y346)</f>
        <v>0</v>
      </c>
      <c r="G345" s="10" t="str">
        <f>IF(F345&lt;=$AO$19,"Bajo",IF(F345&lt;=$AO$20,"Regular",IF(F345&lt;=$AO$21,"Alto",0)))</f>
        <v>0</v>
      </c>
      <c r="H345" t="str">
        <f>SUM(B345:F345)</f>
        <v>0</v>
      </c>
      <c r="I345" s="10" t="str">
        <f>IF(H345&lt;=$BA$19,"Bajo",IF(H345&lt;=$BA$20,"Regular",IF(H345&lt;=$BA$21,"Alto",0)))</f>
        <v>0</v>
      </c>
    </row>
    <row r="346" spans="1:61">
      <c r="A346" t="s">
        <v>372</v>
      </c>
      <c r="B346" t="str">
        <f>SUM('Inteligencia emocional'!B347:I347)</f>
        <v>0</v>
      </c>
      <c r="C346" s="10" t="str">
        <f>IF(B346&lt;=$Q$19,"Bajo",IF(B346&lt;=$Q$20,"Regular",IF(B346&lt;=$Q$21,"Alto",0)))</f>
        <v>0</v>
      </c>
      <c r="D346" t="str">
        <f>SUM('Inteligencia emocional'!J347:Q347)</f>
        <v>0</v>
      </c>
      <c r="E346" s="10" t="str">
        <f>IF(D346&lt;=$AC$19,"Bajo",IF(D346&lt;=$AC$20,"Regular",IF(D346&lt;=$AC$21,"Alto",0)))</f>
        <v>0</v>
      </c>
      <c r="F346" t="str">
        <f>SUM('Inteligencia emocional'!R347:Y347)</f>
        <v>0</v>
      </c>
      <c r="G346" s="10" t="str">
        <f>IF(F346&lt;=$AO$19,"Bajo",IF(F346&lt;=$AO$20,"Regular",IF(F346&lt;=$AO$21,"Alto",0)))</f>
        <v>0</v>
      </c>
      <c r="H346" t="str">
        <f>SUM(B346:F346)</f>
        <v>0</v>
      </c>
      <c r="I346" s="10" t="str">
        <f>IF(H346&lt;=$BA$19,"Bajo",IF(H346&lt;=$BA$20,"Regular",IF(H346&lt;=$BA$21,"Alto",0)))</f>
        <v>0</v>
      </c>
    </row>
    <row r="347" spans="1:61">
      <c r="A347" t="s">
        <v>373</v>
      </c>
      <c r="B347" t="str">
        <f>SUM('Inteligencia emocional'!B348:I348)</f>
        <v>0</v>
      </c>
      <c r="C347" s="10" t="str">
        <f>IF(B347&lt;=$Q$19,"Bajo",IF(B347&lt;=$Q$20,"Regular",IF(B347&lt;=$Q$21,"Alto",0)))</f>
        <v>0</v>
      </c>
      <c r="D347" t="str">
        <f>SUM('Inteligencia emocional'!J348:Q348)</f>
        <v>0</v>
      </c>
      <c r="E347" s="10" t="str">
        <f>IF(D347&lt;=$AC$19,"Bajo",IF(D347&lt;=$AC$20,"Regular",IF(D347&lt;=$AC$21,"Alto",0)))</f>
        <v>0</v>
      </c>
      <c r="F347" t="str">
        <f>SUM('Inteligencia emocional'!R348:Y348)</f>
        <v>0</v>
      </c>
      <c r="G347" s="10" t="str">
        <f>IF(F347&lt;=$AO$19,"Bajo",IF(F347&lt;=$AO$20,"Regular",IF(F347&lt;=$AO$21,"Alto",0)))</f>
        <v>0</v>
      </c>
      <c r="H347" t="str">
        <f>SUM(B347:F347)</f>
        <v>0</v>
      </c>
      <c r="I347" s="10" t="str">
        <f>IF(H347&lt;=$BA$19,"Bajo",IF(H347&lt;=$BA$20,"Regular",IF(H347&lt;=$BA$21,"Alto",0)))</f>
        <v>0</v>
      </c>
    </row>
    <row r="348" spans="1:61">
      <c r="A348" t="s">
        <v>374</v>
      </c>
      <c r="B348" t="str">
        <f>SUM('Inteligencia emocional'!B349:I349)</f>
        <v>0</v>
      </c>
      <c r="C348" s="10" t="str">
        <f>IF(B348&lt;=$Q$19,"Bajo",IF(B348&lt;=$Q$20,"Regular",IF(B348&lt;=$Q$21,"Alto",0)))</f>
        <v>0</v>
      </c>
      <c r="D348" t="str">
        <f>SUM('Inteligencia emocional'!J349:Q349)</f>
        <v>0</v>
      </c>
      <c r="E348" s="10" t="str">
        <f>IF(D348&lt;=$AC$19,"Bajo",IF(D348&lt;=$AC$20,"Regular",IF(D348&lt;=$AC$21,"Alto",0)))</f>
        <v>0</v>
      </c>
      <c r="F348" t="str">
        <f>SUM('Inteligencia emocional'!R349:Y349)</f>
        <v>0</v>
      </c>
      <c r="G348" s="10" t="str">
        <f>IF(F348&lt;=$AO$19,"Bajo",IF(F348&lt;=$AO$20,"Regular",IF(F348&lt;=$AO$21,"Alto",0)))</f>
        <v>0</v>
      </c>
      <c r="H348" t="str">
        <f>SUM(B348:F348)</f>
        <v>0</v>
      </c>
      <c r="I348" s="10" t="str">
        <f>IF(H348&lt;=$BA$19,"Bajo",IF(H348&lt;=$BA$20,"Regular",IF(H348&lt;=$BA$21,"Alto",0)))</f>
        <v>0</v>
      </c>
    </row>
    <row r="349" spans="1:61">
      <c r="A349" t="s">
        <v>375</v>
      </c>
      <c r="B349" t="str">
        <f>SUM('Inteligencia emocional'!B350:I350)</f>
        <v>0</v>
      </c>
      <c r="C349" s="10" t="str">
        <f>IF(B349&lt;=$Q$19,"Bajo",IF(B349&lt;=$Q$20,"Regular",IF(B349&lt;=$Q$21,"Alto",0)))</f>
        <v>0</v>
      </c>
      <c r="D349" t="str">
        <f>SUM('Inteligencia emocional'!J350:Q350)</f>
        <v>0</v>
      </c>
      <c r="E349" s="10" t="str">
        <f>IF(D349&lt;=$AC$19,"Bajo",IF(D349&lt;=$AC$20,"Regular",IF(D349&lt;=$AC$21,"Alto",0)))</f>
        <v>0</v>
      </c>
      <c r="F349" t="str">
        <f>SUM('Inteligencia emocional'!R350:Y350)</f>
        <v>0</v>
      </c>
      <c r="G349" s="10" t="str">
        <f>IF(F349&lt;=$AO$19,"Bajo",IF(F349&lt;=$AO$20,"Regular",IF(F349&lt;=$AO$21,"Alto",0)))</f>
        <v>0</v>
      </c>
      <c r="H349" t="str">
        <f>SUM(B349:F349)</f>
        <v>0</v>
      </c>
      <c r="I349" s="10" t="str">
        <f>IF(H349&lt;=$BA$19,"Bajo",IF(H349&lt;=$BA$20,"Regular",IF(H349&lt;=$BA$21,"Alto",0)))</f>
        <v>0</v>
      </c>
    </row>
    <row r="350" spans="1:61">
      <c r="A350" t="s">
        <v>376</v>
      </c>
      <c r="B350" t="str">
        <f>SUM('Inteligencia emocional'!B351:I351)</f>
        <v>0</v>
      </c>
      <c r="C350" s="10" t="str">
        <f>IF(B350&lt;=$Q$19,"Bajo",IF(B350&lt;=$Q$20,"Regular",IF(B350&lt;=$Q$21,"Alto",0)))</f>
        <v>0</v>
      </c>
      <c r="D350" t="str">
        <f>SUM('Inteligencia emocional'!J351:Q351)</f>
        <v>0</v>
      </c>
      <c r="E350" s="10" t="str">
        <f>IF(D350&lt;=$AC$19,"Bajo",IF(D350&lt;=$AC$20,"Regular",IF(D350&lt;=$AC$21,"Alto",0)))</f>
        <v>0</v>
      </c>
      <c r="F350" t="str">
        <f>SUM('Inteligencia emocional'!R351:Y351)</f>
        <v>0</v>
      </c>
      <c r="G350" s="10" t="str">
        <f>IF(F350&lt;=$AO$19,"Bajo",IF(F350&lt;=$AO$20,"Regular",IF(F350&lt;=$AO$21,"Alto",0)))</f>
        <v>0</v>
      </c>
      <c r="H350" t="str">
        <f>SUM(B350:F350)</f>
        <v>0</v>
      </c>
      <c r="I350" s="10" t="str">
        <f>IF(H350&lt;=$BA$19,"Bajo",IF(H350&lt;=$BA$20,"Regular",IF(H350&lt;=$BA$21,"Alto",0)))</f>
        <v>0</v>
      </c>
    </row>
    <row r="351" spans="1:61">
      <c r="A351" t="s">
        <v>377</v>
      </c>
      <c r="B351" t="str">
        <f>SUM('Inteligencia emocional'!B352:I352)</f>
        <v>0</v>
      </c>
      <c r="C351" s="10" t="str">
        <f>IF(B351&lt;=$Q$19,"Bajo",IF(B351&lt;=$Q$20,"Regular",IF(B351&lt;=$Q$21,"Alto",0)))</f>
        <v>0</v>
      </c>
      <c r="D351" t="str">
        <f>SUM('Inteligencia emocional'!J352:Q352)</f>
        <v>0</v>
      </c>
      <c r="E351" s="10" t="str">
        <f>IF(D351&lt;=$AC$19,"Bajo",IF(D351&lt;=$AC$20,"Regular",IF(D351&lt;=$AC$21,"Alto",0)))</f>
        <v>0</v>
      </c>
      <c r="F351" t="str">
        <f>SUM('Inteligencia emocional'!R352:Y352)</f>
        <v>0</v>
      </c>
      <c r="G351" s="10" t="str">
        <f>IF(F351&lt;=$AO$19,"Bajo",IF(F351&lt;=$AO$20,"Regular",IF(F351&lt;=$AO$21,"Alto",0)))</f>
        <v>0</v>
      </c>
      <c r="H351" t="str">
        <f>SUM(B351:F351)</f>
        <v>0</v>
      </c>
      <c r="I351" s="10" t="str">
        <f>IF(H351&lt;=$BA$19,"Bajo",IF(H351&lt;=$BA$20,"Regular",IF(H351&lt;=$BA$21,"Alto",0)))</f>
        <v>0</v>
      </c>
    </row>
    <row r="352" spans="1:61">
      <c r="A352" t="s">
        <v>378</v>
      </c>
      <c r="B352" t="str">
        <f>SUM('Inteligencia emocional'!B353:I353)</f>
        <v>0</v>
      </c>
      <c r="C352" s="10" t="str">
        <f>IF(B352&lt;=$Q$19,"Bajo",IF(B352&lt;=$Q$20,"Regular",IF(B352&lt;=$Q$21,"Alto",0)))</f>
        <v>0</v>
      </c>
      <c r="D352" t="str">
        <f>SUM('Inteligencia emocional'!J353:Q353)</f>
        <v>0</v>
      </c>
      <c r="E352" s="10" t="str">
        <f>IF(D352&lt;=$AC$19,"Bajo",IF(D352&lt;=$AC$20,"Regular",IF(D352&lt;=$AC$21,"Alto",0)))</f>
        <v>0</v>
      </c>
      <c r="F352" t="str">
        <f>SUM('Inteligencia emocional'!R353:Y353)</f>
        <v>0</v>
      </c>
      <c r="G352" s="10" t="str">
        <f>IF(F352&lt;=$AO$19,"Bajo",IF(F352&lt;=$AO$20,"Regular",IF(F352&lt;=$AO$21,"Alto",0)))</f>
        <v>0</v>
      </c>
      <c r="H352" t="str">
        <f>SUM(B352:F352)</f>
        <v>0</v>
      </c>
      <c r="I352" s="10" t="str">
        <f>IF(H352&lt;=$BA$19,"Bajo",IF(H352&lt;=$BA$20,"Regular",IF(H352&lt;=$BA$21,"Alto",0)))</f>
        <v>0</v>
      </c>
    </row>
    <row r="353" spans="1:61">
      <c r="A353" t="s">
        <v>379</v>
      </c>
      <c r="B353" t="str">
        <f>SUM('Inteligencia emocional'!B354:I354)</f>
        <v>0</v>
      </c>
      <c r="C353" s="10" t="str">
        <f>IF(B353&lt;=$Q$19,"Bajo",IF(B353&lt;=$Q$20,"Regular",IF(B353&lt;=$Q$21,"Alto",0)))</f>
        <v>0</v>
      </c>
      <c r="D353" t="str">
        <f>SUM('Inteligencia emocional'!J354:Q354)</f>
        <v>0</v>
      </c>
      <c r="E353" s="10" t="str">
        <f>IF(D353&lt;=$AC$19,"Bajo",IF(D353&lt;=$AC$20,"Regular",IF(D353&lt;=$AC$21,"Alto",0)))</f>
        <v>0</v>
      </c>
      <c r="F353" t="str">
        <f>SUM('Inteligencia emocional'!R354:Y354)</f>
        <v>0</v>
      </c>
      <c r="G353" s="10" t="str">
        <f>IF(F353&lt;=$AO$19,"Bajo",IF(F353&lt;=$AO$20,"Regular",IF(F353&lt;=$AO$21,"Alto",0)))</f>
        <v>0</v>
      </c>
      <c r="H353" t="str">
        <f>SUM(B353:F353)</f>
        <v>0</v>
      </c>
      <c r="I353" s="10" t="str">
        <f>IF(H353&lt;=$BA$19,"Bajo",IF(H353&lt;=$BA$20,"Regular",IF(H353&lt;=$BA$21,"Alto",0)))</f>
        <v>0</v>
      </c>
    </row>
    <row r="354" spans="1:61">
      <c r="A354" t="s">
        <v>380</v>
      </c>
      <c r="B354" t="str">
        <f>SUM('Inteligencia emocional'!B355:I355)</f>
        <v>0</v>
      </c>
      <c r="C354" s="10" t="str">
        <f>IF(B354&lt;=$Q$19,"Bajo",IF(B354&lt;=$Q$20,"Regular",IF(B354&lt;=$Q$21,"Alto",0)))</f>
        <v>0</v>
      </c>
      <c r="D354" t="str">
        <f>SUM('Inteligencia emocional'!J355:Q355)</f>
        <v>0</v>
      </c>
      <c r="E354" s="10" t="str">
        <f>IF(D354&lt;=$AC$19,"Bajo",IF(D354&lt;=$AC$20,"Regular",IF(D354&lt;=$AC$21,"Alto",0)))</f>
        <v>0</v>
      </c>
      <c r="F354" t="str">
        <f>SUM('Inteligencia emocional'!R355:Y355)</f>
        <v>0</v>
      </c>
      <c r="G354" s="10" t="str">
        <f>IF(F354&lt;=$AO$19,"Bajo",IF(F354&lt;=$AO$20,"Regular",IF(F354&lt;=$AO$21,"Alto",0)))</f>
        <v>0</v>
      </c>
      <c r="H354" t="str">
        <f>SUM(B354:F354)</f>
        <v>0</v>
      </c>
      <c r="I354" s="10" t="str">
        <f>IF(H354&lt;=$BA$19,"Bajo",IF(H354&lt;=$BA$20,"Regular",IF(H354&lt;=$BA$21,"Alto",0)))</f>
        <v>0</v>
      </c>
    </row>
    <row r="355" spans="1:61">
      <c r="A355" t="s">
        <v>381</v>
      </c>
      <c r="B355" t="str">
        <f>SUM('Inteligencia emocional'!B356:I356)</f>
        <v>0</v>
      </c>
      <c r="C355" s="10" t="str">
        <f>IF(B355&lt;=$Q$19,"Bajo",IF(B355&lt;=$Q$20,"Regular",IF(B355&lt;=$Q$21,"Alto",0)))</f>
        <v>0</v>
      </c>
      <c r="D355" t="str">
        <f>SUM('Inteligencia emocional'!J356:Q356)</f>
        <v>0</v>
      </c>
      <c r="E355" s="10" t="str">
        <f>IF(D355&lt;=$AC$19,"Bajo",IF(D355&lt;=$AC$20,"Regular",IF(D355&lt;=$AC$21,"Alto",0)))</f>
        <v>0</v>
      </c>
      <c r="F355" t="str">
        <f>SUM('Inteligencia emocional'!R356:Y356)</f>
        <v>0</v>
      </c>
      <c r="G355" s="10" t="str">
        <f>IF(F355&lt;=$AO$19,"Bajo",IF(F355&lt;=$AO$20,"Regular",IF(F355&lt;=$AO$21,"Alto",0)))</f>
        <v>0</v>
      </c>
      <c r="H355" t="str">
        <f>SUM(B355:F355)</f>
        <v>0</v>
      </c>
      <c r="I355" s="10" t="str">
        <f>IF(H355&lt;=$BA$19,"Bajo",IF(H355&lt;=$BA$20,"Regular",IF(H355&lt;=$BA$21,"Alto",0)))</f>
        <v>0</v>
      </c>
    </row>
    <row r="356" spans="1:61">
      <c r="A356" t="s">
        <v>382</v>
      </c>
      <c r="B356" t="str">
        <f>SUM('Inteligencia emocional'!B357:I357)</f>
        <v>0</v>
      </c>
      <c r="C356" s="10" t="str">
        <f>IF(B356&lt;=$Q$19,"Bajo",IF(B356&lt;=$Q$20,"Regular",IF(B356&lt;=$Q$21,"Alto",0)))</f>
        <v>0</v>
      </c>
      <c r="D356" t="str">
        <f>SUM('Inteligencia emocional'!J357:Q357)</f>
        <v>0</v>
      </c>
      <c r="E356" s="10" t="str">
        <f>IF(D356&lt;=$AC$19,"Bajo",IF(D356&lt;=$AC$20,"Regular",IF(D356&lt;=$AC$21,"Alto",0)))</f>
        <v>0</v>
      </c>
      <c r="F356" t="str">
        <f>SUM('Inteligencia emocional'!R357:Y357)</f>
        <v>0</v>
      </c>
      <c r="G356" s="10" t="str">
        <f>IF(F356&lt;=$AO$19,"Bajo",IF(F356&lt;=$AO$20,"Regular",IF(F356&lt;=$AO$21,"Alto",0)))</f>
        <v>0</v>
      </c>
      <c r="H356" t="str">
        <f>SUM(B356:F356)</f>
        <v>0</v>
      </c>
      <c r="I356" s="10" t="str">
        <f>IF(H356&lt;=$BA$19,"Bajo",IF(H356&lt;=$BA$20,"Regular",IF(H356&lt;=$BA$21,"Alto",0)))</f>
        <v>0</v>
      </c>
    </row>
    <row r="357" spans="1:61">
      <c r="A357" t="s">
        <v>383</v>
      </c>
      <c r="B357" t="str">
        <f>SUM('Inteligencia emocional'!B358:I358)</f>
        <v>0</v>
      </c>
      <c r="C357" s="10" t="str">
        <f>IF(B357&lt;=$Q$19,"Bajo",IF(B357&lt;=$Q$20,"Regular",IF(B357&lt;=$Q$21,"Alto",0)))</f>
        <v>0</v>
      </c>
      <c r="D357" t="str">
        <f>SUM('Inteligencia emocional'!J358:Q358)</f>
        <v>0</v>
      </c>
      <c r="E357" s="10" t="str">
        <f>IF(D357&lt;=$AC$19,"Bajo",IF(D357&lt;=$AC$20,"Regular",IF(D357&lt;=$AC$21,"Alto",0)))</f>
        <v>0</v>
      </c>
      <c r="F357" t="str">
        <f>SUM('Inteligencia emocional'!R358:Y358)</f>
        <v>0</v>
      </c>
      <c r="G357" s="10" t="str">
        <f>IF(F357&lt;=$AO$19,"Bajo",IF(F357&lt;=$AO$20,"Regular",IF(F357&lt;=$AO$21,"Alto",0)))</f>
        <v>0</v>
      </c>
      <c r="H357" t="str">
        <f>SUM(B357:F357)</f>
        <v>0</v>
      </c>
      <c r="I357" s="10" t="str">
        <f>IF(H357&lt;=$BA$19,"Bajo",IF(H357&lt;=$BA$20,"Regular",IF(H357&lt;=$BA$21,"Alto",0)))</f>
        <v>0</v>
      </c>
    </row>
    <row r="358" spans="1:61">
      <c r="A358" t="s">
        <v>384</v>
      </c>
      <c r="B358" t="str">
        <f>SUM('Inteligencia emocional'!B359:I359)</f>
        <v>0</v>
      </c>
      <c r="C358" s="10" t="str">
        <f>IF(B358&lt;=$Q$19,"Bajo",IF(B358&lt;=$Q$20,"Regular",IF(B358&lt;=$Q$21,"Alto",0)))</f>
        <v>0</v>
      </c>
      <c r="D358" t="str">
        <f>SUM('Inteligencia emocional'!J359:Q359)</f>
        <v>0</v>
      </c>
      <c r="E358" s="10" t="str">
        <f>IF(D358&lt;=$AC$19,"Bajo",IF(D358&lt;=$AC$20,"Regular",IF(D358&lt;=$AC$21,"Alto",0)))</f>
        <v>0</v>
      </c>
      <c r="F358" t="str">
        <f>SUM('Inteligencia emocional'!R359:Y359)</f>
        <v>0</v>
      </c>
      <c r="G358" s="10" t="str">
        <f>IF(F358&lt;=$AO$19,"Bajo",IF(F358&lt;=$AO$20,"Regular",IF(F358&lt;=$AO$21,"Alto",0)))</f>
        <v>0</v>
      </c>
      <c r="H358" t="str">
        <f>SUM(B358:F358)</f>
        <v>0</v>
      </c>
      <c r="I358" s="10" t="str">
        <f>IF(H358&lt;=$BA$19,"Bajo",IF(H358&lt;=$BA$20,"Regular",IF(H358&lt;=$BA$21,"Alto",0)))</f>
        <v>0</v>
      </c>
    </row>
    <row r="901" spans="1:61">
      <c r="K901" s="10" t="s">
        <v>405</v>
      </c>
      <c r="L901" s="10" t="str">
        <f>(N4)</f>
        <v>0</v>
      </c>
      <c r="N901" s="10" t="s">
        <v>433</v>
      </c>
      <c r="W901" s="10" t="s">
        <v>405</v>
      </c>
      <c r="X901" s="10" t="str">
        <f>(Z4)</f>
        <v>0</v>
      </c>
      <c r="Z901" s="10" t="s">
        <v>433</v>
      </c>
      <c r="AI901" s="10" t="s">
        <v>405</v>
      </c>
      <c r="AJ901" s="10" t="str">
        <f>(AL4)</f>
        <v>0</v>
      </c>
      <c r="AL901" s="10" t="s">
        <v>433</v>
      </c>
      <c r="AU901" s="10" t="s">
        <v>405</v>
      </c>
      <c r="AV901" s="10" t="str">
        <f>(AX4)</f>
        <v>0</v>
      </c>
      <c r="AX901" s="10" t="s">
        <v>433</v>
      </c>
    </row>
    <row r="902" spans="1:61">
      <c r="K902" s="10" t="s">
        <v>434</v>
      </c>
      <c r="L902" s="10" t="str">
        <f>(N5)</f>
        <v>0</v>
      </c>
      <c r="N902" s="10" t="s">
        <v>435</v>
      </c>
      <c r="W902" s="10" t="s">
        <v>434</v>
      </c>
      <c r="X902" s="10" t="str">
        <f>(Z5)</f>
        <v>0</v>
      </c>
      <c r="Z902" s="10" t="s">
        <v>435</v>
      </c>
      <c r="AI902" s="10" t="s">
        <v>434</v>
      </c>
      <c r="AJ902" s="10" t="str">
        <f>(AL5)</f>
        <v>0</v>
      </c>
      <c r="AL902" s="10" t="s">
        <v>435</v>
      </c>
      <c r="AU902" s="10" t="s">
        <v>434</v>
      </c>
      <c r="AV902" s="10" t="str">
        <f>(AX5)</f>
        <v>0</v>
      </c>
      <c r="AX902" s="10" t="s">
        <v>435</v>
      </c>
    </row>
    <row r="904" spans="1:61">
      <c r="K904" s="10" t="s">
        <v>436</v>
      </c>
      <c r="L904" s="14" t="str">
        <f>MAX(S19:S21)</f>
        <v>0</v>
      </c>
      <c r="M904" s="10" t="str">
        <f>IF(L2104=S19,O19,IF(L2104=S20,O20,IF(L2104=S21,O21,"algo esta mal")))</f>
        <v>0</v>
      </c>
      <c r="W904" s="10" t="s">
        <v>436</v>
      </c>
      <c r="X904" s="14" t="str">
        <f>MAX(AE19:AE21)</f>
        <v>0</v>
      </c>
      <c r="Y904" s="10" t="str">
        <f>IF(X2104=AE19,AA19,IF(X2104=AE20,AA20,IF(X2104=AE21,AA21,"algo esta mal")))</f>
        <v>0</v>
      </c>
      <c r="AI904" s="10" t="s">
        <v>436</v>
      </c>
      <c r="AJ904" s="14" t="str">
        <f>MAX(AQ19:AQ21)</f>
        <v>0</v>
      </c>
      <c r="AK904" s="10" t="str">
        <f>IF(AJ2104=AQ19,AM19,IF(AJ2104=AQ20,AM20,IF(AJ2104=AQ21,AM21,"algo esta mal")))</f>
        <v>0</v>
      </c>
      <c r="AU904" s="10" t="s">
        <v>436</v>
      </c>
      <c r="AV904" s="14" t="str">
        <f>MAX(BC19:BC21)</f>
        <v>0</v>
      </c>
      <c r="AW904" s="10" t="str">
        <f>IF(AV2104=BC19,AY19,IF(AV2104=BC20,AY20,IF(AV2104=BC21,AY21,"algo esta mal")))</f>
        <v>0</v>
      </c>
    </row>
    <row r="905" spans="1:61">
      <c r="M905" s="10" t="s">
        <v>437</v>
      </c>
      <c r="N905" s="10" t="s">
        <v>438</v>
      </c>
      <c r="O905" s="10" t="s">
        <v>391</v>
      </c>
      <c r="P905" s="10" t="s">
        <v>392</v>
      </c>
      <c r="Q905" s="10" t="s">
        <v>393</v>
      </c>
      <c r="R905" s="10" t="s">
        <v>394</v>
      </c>
      <c r="S905" s="10" t="s">
        <v>395</v>
      </c>
      <c r="Y905" s="10" t="s">
        <v>437</v>
      </c>
      <c r="Z905" s="10" t="s">
        <v>438</v>
      </c>
      <c r="AA905" s="10" t="s">
        <v>391</v>
      </c>
      <c r="AB905" s="10" t="s">
        <v>392</v>
      </c>
      <c r="AC905" s="10" t="s">
        <v>393</v>
      </c>
      <c r="AD905" s="10" t="s">
        <v>394</v>
      </c>
      <c r="AE905" s="10" t="s">
        <v>395</v>
      </c>
      <c r="AK905" s="10" t="s">
        <v>437</v>
      </c>
      <c r="AL905" s="10" t="s">
        <v>438</v>
      </c>
      <c r="AM905" s="10" t="s">
        <v>391</v>
      </c>
      <c r="AN905" s="10" t="s">
        <v>392</v>
      </c>
      <c r="AO905" s="10" t="s">
        <v>393</v>
      </c>
      <c r="AP905" s="10" t="s">
        <v>394</v>
      </c>
      <c r="AQ905" s="10" t="s">
        <v>395</v>
      </c>
    </row>
    <row r="906" spans="1:61">
      <c r="M906" s="10" t="s">
        <v>439</v>
      </c>
      <c r="N906" s="14" t="s">
        <v>439</v>
      </c>
      <c r="O906" t="str">
        <f>('Inteligencia emocional'!B372)</f>
        <v>0</v>
      </c>
      <c r="P906" t="str">
        <f>('Inteligencia emocional'!B373)</f>
        <v>0</v>
      </c>
      <c r="Q906" t="str">
        <f>('Inteligencia emocional'!B374)</f>
        <v>0</v>
      </c>
      <c r="R906" t="str">
        <f>('Inteligencia emocional'!B375)</f>
        <v>0</v>
      </c>
      <c r="S906" t="str">
        <f>('Inteligencia emocional'!B376)</f>
        <v>0</v>
      </c>
      <c r="Y906" s="10"/>
      <c r="Z906" s="14"/>
      <c r="AA906" t="str">
        <f>('Inteligencia emocional'!J372)</f>
        <v>0</v>
      </c>
      <c r="AB906" t="str">
        <f>('Inteligencia emocional'!J373)</f>
        <v>0</v>
      </c>
      <c r="AC906" t="str">
        <f>('Inteligencia emocional'!J374)</f>
        <v>0</v>
      </c>
      <c r="AD906" t="str">
        <f>('Inteligencia emocional'!J375)</f>
        <v>0</v>
      </c>
      <c r="AE906" t="str">
        <f>('Inteligencia emocional'!J376)</f>
        <v>0</v>
      </c>
      <c r="AK906" s="10"/>
      <c r="AL906" s="14"/>
      <c r="AM906" t="str">
        <f>('Inteligencia emocional'!R372)</f>
        <v>0</v>
      </c>
      <c r="AN906" t="str">
        <f>('Inteligencia emocional'!R373)</f>
        <v>0</v>
      </c>
      <c r="AO906" t="str">
        <f>('Inteligencia emocional'!R374)</f>
        <v>0</v>
      </c>
      <c r="AP906" t="str">
        <f>('Inteligencia emocional'!R375)</f>
        <v>0</v>
      </c>
      <c r="AQ906" t="str">
        <f>('Inteligencia emocional'!R376)</f>
        <v>0</v>
      </c>
    </row>
    <row r="907" spans="1:61">
      <c r="M907" s="10"/>
      <c r="N907" s="14"/>
      <c r="O907" t="str">
        <f>('Inteligencia emocional'!C372)</f>
        <v>0</v>
      </c>
      <c r="P907" t="str">
        <f>('Inteligencia emocional'!C373)</f>
        <v>0</v>
      </c>
      <c r="Q907" t="str">
        <f>('Inteligencia emocional'!C374)</f>
        <v>0</v>
      </c>
      <c r="R907" t="str">
        <f>('Inteligencia emocional'!C375)</f>
        <v>0</v>
      </c>
      <c r="S907" t="str">
        <f>('Inteligencia emocional'!C376)</f>
        <v>0</v>
      </c>
      <c r="Y907" s="10"/>
      <c r="Z907" s="14"/>
      <c r="AA907" t="str">
        <f>('Inteligencia emocional'!K372)</f>
        <v>0</v>
      </c>
      <c r="AB907" t="str">
        <f>('Inteligencia emocional'!K373)</f>
        <v>0</v>
      </c>
      <c r="AC907" t="str">
        <f>('Inteligencia emocional'!K374)</f>
        <v>0</v>
      </c>
      <c r="AD907" t="str">
        <f>('Inteligencia emocional'!K375)</f>
        <v>0</v>
      </c>
      <c r="AE907" t="str">
        <f>('Inteligencia emocional'!K376)</f>
        <v>0</v>
      </c>
      <c r="AK907" s="10"/>
      <c r="AL907" s="14"/>
      <c r="AM907" t="str">
        <f>('Inteligencia emocional'!S372)</f>
        <v>0</v>
      </c>
      <c r="AN907" t="str">
        <f>('Inteligencia emocional'!S373)</f>
        <v>0</v>
      </c>
      <c r="AO907" t="str">
        <f>('Inteligencia emocional'!S374)</f>
        <v>0</v>
      </c>
      <c r="AP907" t="str">
        <f>('Inteligencia emocional'!S375)</f>
        <v>0</v>
      </c>
      <c r="AQ907" t="str">
        <f>('Inteligencia emocional'!S376)</f>
        <v>0</v>
      </c>
    </row>
    <row r="908" spans="1:61">
      <c r="M908" s="10"/>
      <c r="N908" s="14"/>
      <c r="O908" t="str">
        <f>('Inteligencia emocional'!D372)</f>
        <v>0</v>
      </c>
      <c r="P908" t="str">
        <f>('Inteligencia emocional'!D373)</f>
        <v>0</v>
      </c>
      <c r="Q908" t="str">
        <f>('Inteligencia emocional'!D374)</f>
        <v>0</v>
      </c>
      <c r="R908" t="str">
        <f>('Inteligencia emocional'!D375)</f>
        <v>0</v>
      </c>
      <c r="S908" t="str">
        <f>('Inteligencia emocional'!D376)</f>
        <v>0</v>
      </c>
      <c r="Y908" s="10"/>
      <c r="Z908" s="14"/>
      <c r="AA908" t="str">
        <f>('Inteligencia emocional'!L372)</f>
        <v>0</v>
      </c>
      <c r="AB908" t="str">
        <f>('Inteligencia emocional'!L373)</f>
        <v>0</v>
      </c>
      <c r="AC908" t="str">
        <f>('Inteligencia emocional'!L374)</f>
        <v>0</v>
      </c>
      <c r="AD908" t="str">
        <f>('Inteligencia emocional'!L375)</f>
        <v>0</v>
      </c>
      <c r="AE908" t="str">
        <f>('Inteligencia emocional'!L376)</f>
        <v>0</v>
      </c>
      <c r="AK908" s="10"/>
      <c r="AL908" s="14"/>
      <c r="AM908" t="str">
        <f>('Inteligencia emocional'!T372)</f>
        <v>0</v>
      </c>
      <c r="AN908" t="str">
        <f>('Inteligencia emocional'!T373)</f>
        <v>0</v>
      </c>
      <c r="AO908" t="str">
        <f>('Inteligencia emocional'!T374)</f>
        <v>0</v>
      </c>
      <c r="AP908" t="str">
        <f>('Inteligencia emocional'!T375)</f>
        <v>0</v>
      </c>
      <c r="AQ908" t="str">
        <f>('Inteligencia emocional'!T376)</f>
        <v>0</v>
      </c>
    </row>
    <row r="909" spans="1:61">
      <c r="M909" s="10"/>
      <c r="N909" s="14"/>
      <c r="O909" t="str">
        <f>('Inteligencia emocional'!E372)</f>
        <v>0</v>
      </c>
      <c r="P909" t="str">
        <f>('Inteligencia emocional'!E373)</f>
        <v>0</v>
      </c>
      <c r="Q909" t="str">
        <f>('Inteligencia emocional'!E374)</f>
        <v>0</v>
      </c>
      <c r="R909" t="str">
        <f>('Inteligencia emocional'!E375)</f>
        <v>0</v>
      </c>
      <c r="S909" t="str">
        <f>('Inteligencia emocional'!E376)</f>
        <v>0</v>
      </c>
      <c r="Y909" s="10"/>
      <c r="Z909" s="14"/>
      <c r="AA909" t="str">
        <f>('Inteligencia emocional'!M372)</f>
        <v>0</v>
      </c>
      <c r="AB909" t="str">
        <f>('Inteligencia emocional'!M373)</f>
        <v>0</v>
      </c>
      <c r="AC909" t="str">
        <f>('Inteligencia emocional'!M374)</f>
        <v>0</v>
      </c>
      <c r="AD909" t="str">
        <f>('Inteligencia emocional'!M375)</f>
        <v>0</v>
      </c>
      <c r="AE909" t="str">
        <f>('Inteligencia emocional'!M376)</f>
        <v>0</v>
      </c>
      <c r="AK909" s="10"/>
      <c r="AL909" s="14"/>
      <c r="AM909" t="str">
        <f>('Inteligencia emocional'!U372)</f>
        <v>0</v>
      </c>
      <c r="AN909" t="str">
        <f>('Inteligencia emocional'!U373)</f>
        <v>0</v>
      </c>
      <c r="AO909" t="str">
        <f>('Inteligencia emocional'!U374)</f>
        <v>0</v>
      </c>
      <c r="AP909" t="str">
        <f>('Inteligencia emocional'!U375)</f>
        <v>0</v>
      </c>
      <c r="AQ909" t="str">
        <f>('Inteligencia emocional'!U376)</f>
        <v>0</v>
      </c>
    </row>
    <row r="910" spans="1:61">
      <c r="M910" s="10"/>
      <c r="N910" s="14"/>
      <c r="O910" t="str">
        <f>('Inteligencia emocional'!F372)</f>
        <v>0</v>
      </c>
      <c r="P910" t="str">
        <f>('Inteligencia emocional'!F373)</f>
        <v>0</v>
      </c>
      <c r="Q910" t="str">
        <f>('Inteligencia emocional'!F374)</f>
        <v>0</v>
      </c>
      <c r="R910" t="str">
        <f>('Inteligencia emocional'!F375)</f>
        <v>0</v>
      </c>
      <c r="S910" t="str">
        <f>('Inteligencia emocional'!F376)</f>
        <v>0</v>
      </c>
      <c r="Y910" s="10"/>
      <c r="Z910" s="14"/>
      <c r="AA910" t="str">
        <f>('Inteligencia emocional'!N372)</f>
        <v>0</v>
      </c>
      <c r="AB910" t="str">
        <f>('Inteligencia emocional'!N373)</f>
        <v>0</v>
      </c>
      <c r="AC910" t="str">
        <f>('Inteligencia emocional'!N374)</f>
        <v>0</v>
      </c>
      <c r="AD910" t="str">
        <f>('Inteligencia emocional'!N375)</f>
        <v>0</v>
      </c>
      <c r="AE910" t="str">
        <f>('Inteligencia emocional'!N376)</f>
        <v>0</v>
      </c>
      <c r="AK910" s="10"/>
      <c r="AL910" s="14"/>
      <c r="AM910" t="str">
        <f>('Inteligencia emocional'!V372)</f>
        <v>0</v>
      </c>
      <c r="AN910" t="str">
        <f>('Inteligencia emocional'!V373)</f>
        <v>0</v>
      </c>
      <c r="AO910" t="str">
        <f>('Inteligencia emocional'!V374)</f>
        <v>0</v>
      </c>
      <c r="AP910" t="str">
        <f>('Inteligencia emocional'!V375)</f>
        <v>0</v>
      </c>
      <c r="AQ910" t="str">
        <f>('Inteligencia emocional'!V376)</f>
        <v>0</v>
      </c>
    </row>
    <row r="911" spans="1:61">
      <c r="M911" s="10"/>
      <c r="N911" s="14"/>
      <c r="O911" t="str">
        <f>('Inteligencia emocional'!G372)</f>
        <v>0</v>
      </c>
      <c r="P911" t="str">
        <f>('Inteligencia emocional'!G373)</f>
        <v>0</v>
      </c>
      <c r="Q911" t="str">
        <f>('Inteligencia emocional'!G374)</f>
        <v>0</v>
      </c>
      <c r="R911" t="str">
        <f>('Inteligencia emocional'!G375)</f>
        <v>0</v>
      </c>
      <c r="S911" t="str">
        <f>('Inteligencia emocional'!G376)</f>
        <v>0</v>
      </c>
      <c r="Y911" s="10"/>
      <c r="Z911" s="14"/>
      <c r="AA911" t="str">
        <f>('Inteligencia emocional'!O372)</f>
        <v>0</v>
      </c>
      <c r="AB911" t="str">
        <f>('Inteligencia emocional'!O373)</f>
        <v>0</v>
      </c>
      <c r="AC911" t="str">
        <f>('Inteligencia emocional'!O374)</f>
        <v>0</v>
      </c>
      <c r="AD911" t="str">
        <f>('Inteligencia emocional'!O375)</f>
        <v>0</v>
      </c>
      <c r="AE911" t="str">
        <f>('Inteligencia emocional'!O376)</f>
        <v>0</v>
      </c>
      <c r="AK911" s="10"/>
      <c r="AL911" s="14"/>
      <c r="AM911" t="str">
        <f>('Inteligencia emocional'!W372)</f>
        <v>0</v>
      </c>
      <c r="AN911" t="str">
        <f>('Inteligencia emocional'!W373)</f>
        <v>0</v>
      </c>
      <c r="AO911" t="str">
        <f>('Inteligencia emocional'!W374)</f>
        <v>0</v>
      </c>
      <c r="AP911" t="str">
        <f>('Inteligencia emocional'!W375)</f>
        <v>0</v>
      </c>
      <c r="AQ911" t="str">
        <f>('Inteligencia emocional'!W376)</f>
        <v>0</v>
      </c>
    </row>
    <row r="912" spans="1:61">
      <c r="M912" s="10"/>
      <c r="N912" s="14"/>
      <c r="O912" t="str">
        <f>('Inteligencia emocional'!H372)</f>
        <v>0</v>
      </c>
      <c r="P912" t="str">
        <f>('Inteligencia emocional'!H373)</f>
        <v>0</v>
      </c>
      <c r="Q912" t="str">
        <f>('Inteligencia emocional'!H374)</f>
        <v>0</v>
      </c>
      <c r="R912" t="str">
        <f>('Inteligencia emocional'!H375)</f>
        <v>0</v>
      </c>
      <c r="S912" t="str">
        <f>('Inteligencia emocional'!H376)</f>
        <v>0</v>
      </c>
      <c r="Y912" s="10"/>
      <c r="Z912" s="14"/>
      <c r="AA912" t="str">
        <f>('Inteligencia emocional'!P372)</f>
        <v>0</v>
      </c>
      <c r="AB912" t="str">
        <f>('Inteligencia emocional'!P373)</f>
        <v>0</v>
      </c>
      <c r="AC912" t="str">
        <f>('Inteligencia emocional'!P374)</f>
        <v>0</v>
      </c>
      <c r="AD912" t="str">
        <f>('Inteligencia emocional'!P375)</f>
        <v>0</v>
      </c>
      <c r="AE912" t="str">
        <f>('Inteligencia emocional'!P376)</f>
        <v>0</v>
      </c>
      <c r="AK912" s="10"/>
      <c r="AL912" s="14"/>
      <c r="AM912" t="str">
        <f>('Inteligencia emocional'!X372)</f>
        <v>0</v>
      </c>
      <c r="AN912" t="str">
        <f>('Inteligencia emocional'!X373)</f>
        <v>0</v>
      </c>
      <c r="AO912" t="str">
        <f>('Inteligencia emocional'!X374)</f>
        <v>0</v>
      </c>
      <c r="AP912" t="str">
        <f>('Inteligencia emocional'!X375)</f>
        <v>0</v>
      </c>
      <c r="AQ912" t="str">
        <f>('Inteligencia emocional'!X376)</f>
        <v>0</v>
      </c>
    </row>
    <row r="913" spans="1:61">
      <c r="M913" s="10"/>
      <c r="N913" s="14"/>
      <c r="O913" t="str">
        <f>('Inteligencia emocional'!I372)</f>
        <v>0</v>
      </c>
      <c r="P913" t="str">
        <f>('Inteligencia emocional'!I373)</f>
        <v>0</v>
      </c>
      <c r="Q913" t="str">
        <f>('Inteligencia emocional'!I374)</f>
        <v>0</v>
      </c>
      <c r="R913" t="str">
        <f>('Inteligencia emocional'!I375)</f>
        <v>0</v>
      </c>
      <c r="S913" t="str">
        <f>('Inteligencia emocional'!I376)</f>
        <v>0</v>
      </c>
      <c r="Y913" s="10"/>
      <c r="Z913" s="14"/>
      <c r="AA913" t="str">
        <f>('Inteligencia emocional'!Q372)</f>
        <v>0</v>
      </c>
      <c r="AB913" t="str">
        <f>('Inteligencia emocional'!Q373)</f>
        <v>0</v>
      </c>
      <c r="AC913" t="str">
        <f>('Inteligencia emocional'!Q374)</f>
        <v>0</v>
      </c>
      <c r="AD913" t="str">
        <f>('Inteligencia emocional'!Q375)</f>
        <v>0</v>
      </c>
      <c r="AE913" t="str">
        <f>('Inteligencia emocional'!Q376)</f>
        <v>0</v>
      </c>
      <c r="AK913" s="10"/>
      <c r="AL913" s="14"/>
      <c r="AM913" t="str">
        <f>('Inteligencia emocional'!Y372)</f>
        <v>0</v>
      </c>
      <c r="AN913" t="str">
        <f>('Inteligencia emocional'!Y373)</f>
        <v>0</v>
      </c>
      <c r="AO913" t="str">
        <f>('Inteligencia emocional'!Y374)</f>
        <v>0</v>
      </c>
      <c r="AP913" t="str">
        <f>('Inteligencia emocional'!Y375)</f>
        <v>0</v>
      </c>
      <c r="AQ913" t="str">
        <f>('Inteligencia emocional'!Y376)</f>
        <v>0</v>
      </c>
    </row>
    <row r="1015" spans="1:61">
      <c r="M1015" s="10" t="s">
        <v>438</v>
      </c>
      <c r="N1015" s="10" t="str">
        <f>CONCATENATE(O905," y ",P905)</f>
        <v>0</v>
      </c>
      <c r="O1015" s="10" t="str">
        <f>(Q905)</f>
        <v>0</v>
      </c>
      <c r="P1015" s="10" t="str">
        <f>CONCATENATE(R905," y ",S905)</f>
        <v>0</v>
      </c>
      <c r="Q1015" s="10" t="s">
        <v>440</v>
      </c>
      <c r="R1015" s="10" t="s">
        <v>441</v>
      </c>
      <c r="S1015" s="10" t="s">
        <v>442</v>
      </c>
      <c r="T1015" s="10" t="s">
        <v>443</v>
      </c>
      <c r="U1015" s="10" t="s">
        <v>444</v>
      </c>
      <c r="Y1015" s="10" t="s">
        <v>438</v>
      </c>
      <c r="Z1015" s="10" t="str">
        <f>CONCATENATE(AA905," y ",AB905)</f>
        <v>0</v>
      </c>
      <c r="AA1015" s="10" t="str">
        <f>(AC905)</f>
        <v>0</v>
      </c>
      <c r="AB1015" s="10" t="str">
        <f>CONCATENATE(AD905," y ",AE905)</f>
        <v>0</v>
      </c>
      <c r="AC1015" s="10" t="s">
        <v>440</v>
      </c>
      <c r="AD1015" s="10" t="s">
        <v>441</v>
      </c>
      <c r="AE1015" s="10" t="s">
        <v>442</v>
      </c>
      <c r="AF1015" s="10" t="s">
        <v>443</v>
      </c>
      <c r="AG1015" s="10" t="s">
        <v>444</v>
      </c>
      <c r="AK1015" s="10" t="s">
        <v>438</v>
      </c>
      <c r="AL1015" s="10" t="str">
        <f>CONCATENATE(AM905," y ",AN905)</f>
        <v>0</v>
      </c>
      <c r="AM1015" s="10" t="str">
        <f>(AO905)</f>
        <v>0</v>
      </c>
      <c r="AN1015" s="10" t="str">
        <f>CONCATENATE(AP905," y ",AQ905)</f>
        <v>0</v>
      </c>
      <c r="AO1015" s="10" t="s">
        <v>440</v>
      </c>
      <c r="AP1015" s="10" t="s">
        <v>441</v>
      </c>
      <c r="AQ1015" s="10" t="s">
        <v>442</v>
      </c>
      <c r="AR1015" s="10" t="s">
        <v>443</v>
      </c>
      <c r="AS1015" s="10" t="s">
        <v>444</v>
      </c>
      <c r="AW1015" s="10" t="s">
        <v>445</v>
      </c>
      <c r="AX1015" s="10" t="s">
        <v>424</v>
      </c>
      <c r="AY1015" s="10" t="s">
        <v>425</v>
      </c>
      <c r="AZ1015" s="10" t="s">
        <v>426</v>
      </c>
      <c r="BA1015" s="10" t="s">
        <v>440</v>
      </c>
      <c r="BB1015" s="10" t="s">
        <v>446</v>
      </c>
      <c r="BC1015" s="10" t="s">
        <v>447</v>
      </c>
      <c r="BD1015" s="10" t="s">
        <v>448</v>
      </c>
      <c r="BE1015" s="10" t="s">
        <v>449</v>
      </c>
      <c r="BF1015" s="10" t="s">
        <v>450</v>
      </c>
      <c r="BG1015" s="10" t="s">
        <v>451</v>
      </c>
      <c r="BH1015" s="10" t="s">
        <v>452</v>
      </c>
      <c r="BI1015" s="10" t="s">
        <v>444</v>
      </c>
    </row>
    <row r="1016" spans="1:61">
      <c r="M1016" s="10" t="str">
        <f>(N906)</f>
        <v>0</v>
      </c>
      <c r="N1016" s="14" t="str">
        <f>SUM(O906:P906)</f>
        <v>0</v>
      </c>
      <c r="O1016" s="14" t="str">
        <f>(Q906)</f>
        <v>0</v>
      </c>
      <c r="P1016" s="14" t="str">
        <f>SUM(R906:S906)</f>
        <v>0</v>
      </c>
      <c r="Q1016" s="14" t="str">
        <f>MAX(N1016:P1016)</f>
        <v>0</v>
      </c>
      <c r="R1016" s="10" t="str">
        <f>IF(Q1016=N1016,$N$1015,IF(Q1016=O1016,$O$1015,IF(Q1016=P1016,$P$1015,"ALGO ESTA MAL")))</f>
        <v>0</v>
      </c>
      <c r="S1016" s="10" t="str">
        <f>RANDBETWEEN(1,10)</f>
        <v>0</v>
      </c>
      <c r="T1016" s="10" t="str">
        <f>IF(S1016=$T$1100,$U$1100,IF(S1016=$T$1101,$U$1101,IF(S1016=$T$1102,$U$1102,IF(S1016=$T$1103,$U$1103,IF(S1016=$T$1104,$U$1104,IF(S1016=$T$1105,$U$1105,IF(S1016=$T$1106,$U$1106,IF(S1016=$T$1107,$U$1107,IF(S1016=$T$1108,$U$1108,IF(S1016=$T$1109,$U$1109,"algo esta mal"))))))))))</f>
        <v>0</v>
      </c>
      <c r="U1016" s="10" t="str">
        <f>CONCATENATE("el ",ROUND(Q1016*100,0),"% ",T1016," como ",R1016 )</f>
        <v>0</v>
      </c>
      <c r="Y1016" s="10" t="str">
        <f>(Z906)</f>
        <v>0</v>
      </c>
      <c r="Z1016" s="14" t="str">
        <f>SUM(AA906:AB906)</f>
        <v>0</v>
      </c>
      <c r="AA1016" s="14" t="str">
        <f>(AC906)</f>
        <v>0</v>
      </c>
      <c r="AB1016" s="14" t="str">
        <f>SUM(AD906:AE906)</f>
        <v>0</v>
      </c>
      <c r="AC1016" s="14" t="str">
        <f>MAX(Z1016:AB1016)</f>
        <v>0</v>
      </c>
      <c r="AD1016" s="10" t="str">
        <f>IF(AC1016=Z1016,$Z$1015,IF(AC1016=AA1016,$AA$1015,IF(AC1016=AB1016,$AB$1015,"ALGO ESTA MAL")))</f>
        <v>0</v>
      </c>
      <c r="AE1016" s="10" t="str">
        <f>RANDBETWEEN(1,10)</f>
        <v>0</v>
      </c>
      <c r="AF1016" s="10" t="str">
        <f>IF(AE1016=$AF$1100,$AG$1100,IF(AE1016=$AF$1101,$AG$1101,IF(AE1016=$AF$1102,$AG$1102,IF(AE1016=$AF$1103,$AG$1103,IF(AE1016=$AF$1104,$AG$1104,IF(AE1016=$AF$1105,$AG$1105,IF(AE1016=$AF$1106,$AG$1106,IF(AE1016=$AF$1107,$AG$1107,IF(AE1016=$AF$1108,$AG$1108,IF(AE1016=$AF$1109,$AG$1109,"algo esta mal"))))))))))</f>
        <v>0</v>
      </c>
      <c r="AG1016" s="10" t="str">
        <f>CONCATENATE("el ",ROUND(AC1016*100,0),"% ",AF1016," como ",AD1016 )</f>
        <v>0</v>
      </c>
      <c r="AK1016" s="10" t="str">
        <f>(AL906)</f>
        <v>0</v>
      </c>
      <c r="AL1016" s="14" t="str">
        <f>SUM(AM906:AN906)</f>
        <v>0</v>
      </c>
      <c r="AM1016" s="14" t="str">
        <f>(AO906)</f>
        <v>0</v>
      </c>
      <c r="AN1016" s="14" t="str">
        <f>SUM(AP906:AQ906)</f>
        <v>0</v>
      </c>
      <c r="AO1016" s="14" t="str">
        <f>MAX(AL1016:AN1016)</f>
        <v>0</v>
      </c>
      <c r="AP1016" s="10" t="str">
        <f>IF(AO1016=AL1016,$AL$1015,IF(AO1016=AM1016,$AM$1015,IF(AO1016=AN1016,$AN$1015,"ALGO ESTA MAL")))</f>
        <v>0</v>
      </c>
      <c r="AQ1016" s="10" t="str">
        <f>RANDBETWEEN(1,10)</f>
        <v>0</v>
      </c>
      <c r="AR1016" s="10" t="str">
        <f>IF(AQ1016=$AR$1100,$AS$1100,IF(AQ1016=$AR$1101,$AS$1101,IF(AQ1016=$AR$1102,$AS$1102,IF(AQ1016=$AR$1103,$AS$1103,IF(AQ1016=$AR$1104,$AS$1104,IF(AQ1016=$AR$1105,$AS$1105,IF(AQ1016=$AR$1106,$AS$1106,IF(AQ1016=$AR$1107,$AS$1107,IF(AQ1016=$AR$1108,$AS$1108,IF(AQ1016=$AR$1109,$AS$1109,"algo esta mal"))))))))))</f>
        <v>0</v>
      </c>
      <c r="AS1016" s="10" t="str">
        <f>CONCATENATE("el ",ROUND(AO1016*100,0),"% ",AR1016," como ",AP1016 )</f>
        <v>0</v>
      </c>
      <c r="AW1016" s="14" t="str">
        <f>(O16)</f>
        <v>0</v>
      </c>
      <c r="AX1016" s="14" t="str">
        <f>(S19)</f>
        <v>0</v>
      </c>
      <c r="AY1016" s="5" t="str">
        <f>(S20)</f>
        <v>0</v>
      </c>
      <c r="AZ1016" s="14" t="str">
        <f>(S21)</f>
        <v>0</v>
      </c>
      <c r="BA1016" s="14" t="str">
        <f>MAX(AX1016:AZ1016)</f>
        <v>0</v>
      </c>
      <c r="BB1016" s="10" t="str">
        <f>IF(BA1016=AX1016,$AX$1015,IF(BA1016=AY1016,$AY$1015,IF(BA1016=AZ1016,$AZ$1015,"algo esta mal")))</f>
        <v>0</v>
      </c>
      <c r="BC1016" s="10" t="str">
        <f> RANDBETWEEN(1,10)</f>
        <v>0</v>
      </c>
      <c r="BD1016" s="10" t="str">
        <f>IF(BC1016=$BD$1100,$BE$1100,IF(BC1016=$BD$1101,$BE$1101,IF(BC1016=$BD$1102,$BE$1102,IF(BC1016=$BD$1103,$BE$1103,IF(BC1016=$BD$1104,$BE$1104,IF(BC1016=$BD$1105,$BE$1105,IF(BC1016=$BD$1106,$BE$1106,IF(BC1016=$BD$1107,$BE$1107,IF(BC1016=$BD$1108,$BE$1108,IF(BC1016=$BD$1109,$BE$1109,"algo esta mal"))))))))))</f>
        <v>0</v>
      </c>
      <c r="BE1016" s="10" t="str">
        <f> RANDBETWEEN(1,7)</f>
        <v>0</v>
      </c>
      <c r="BF1016" s="10" t="str">
        <f>IF(BE1016=$BD$1110,$BE$1110,IF(BE1016=$BD$1111,$BE$1111,IF(BE1016=$BD$1112,$BE$1112,IF(BE1016=$BD$1113,$BE$1113,IF(BE1016=$BD$1114,$BE$1114,IF(BE1016=$BD$1115,$BE$1115,IF(BE1016=$BD$1116,$BE$1116,IF(BE1016=$BD$1047,$BE$1047,IF(BE1016=$BD$1048,$BE$1048,IF(BE1016=$BD$1049,$BE$1049,"algo esta mal"))))))))))</f>
        <v>0</v>
      </c>
      <c r="BG1016" s="10" t="str">
        <f> RANDBETWEEN(1,2)</f>
        <v>0</v>
      </c>
      <c r="BH1016" s="10" t="str">
        <f>IF(BG1016=$BD$1120,$BE$1120,IF(BG1016=$BD$1121,$BE$1121,"algo esta mal"))</f>
        <v>0</v>
      </c>
      <c r="BI1016" s="10" t="str">
        <f>CONCATENATE("el ",ROUND(BA1016*100,0),"% de los ",BH1016," ",BD1016," a la dimensión ",AW1016," como ",BB1016,", ",BF1016)</f>
        <v>0</v>
      </c>
    </row>
    <row r="1017" spans="1:61">
      <c r="M1017" s="10" t="str">
        <f>(N907)</f>
        <v>0</v>
      </c>
      <c r="N1017" s="14" t="str">
        <f>SUM(O907:P907)</f>
        <v>0</v>
      </c>
      <c r="O1017" s="14" t="str">
        <f>(Q907)</f>
        <v>0</v>
      </c>
      <c r="P1017" s="14" t="str">
        <f>SUM(R907:S907)</f>
        <v>0</v>
      </c>
      <c r="Q1017" s="14" t="str">
        <f>MAX(N1017:P1017)</f>
        <v>0</v>
      </c>
      <c r="R1017" s="10" t="str">
        <f>IF(Q1017=N1017,$N$1015,IF(Q1017=O1017,$O$1015,IF(Q1017=P1017,$P$1015,"ALGO ESTA MAL")))</f>
        <v>0</v>
      </c>
      <c r="S1017" s="10" t="str">
        <f>RANDBETWEEN(1,10)</f>
        <v>0</v>
      </c>
      <c r="T1017" s="10" t="str">
        <f>IF(S1017=$T$1100,$U$1100,IF(S1017=$T$1101,$U$1101,IF(S1017=$T$1102,$U$1102,IF(S1017=$T$1103,$U$1103,IF(S1017=$T$1104,$U$1104,IF(S1017=$T$1105,$U$1105,IF(S1017=$T$1106,$U$1106,IF(S1017=$T$1107,$U$1107,IF(S1017=$T$1108,$U$1108,IF(S1017=$T$1109,$U$1109,"algo esta mal"))))))))))</f>
        <v>0</v>
      </c>
      <c r="U1017" s="10" t="str">
        <f>CONCATENATE("el ",ROUND(Q1017*100,0),"% de los ",T1017," como ",R1017)</f>
        <v>0</v>
      </c>
      <c r="Y1017" s="10" t="str">
        <f>(Z907)</f>
        <v>0</v>
      </c>
      <c r="Z1017" s="14" t="str">
        <f>SUM(AA907:AB907)</f>
        <v>0</v>
      </c>
      <c r="AA1017" s="14" t="str">
        <f>(AC907)</f>
        <v>0</v>
      </c>
      <c r="AB1017" s="14" t="str">
        <f>SUM(AD907:AE907)</f>
        <v>0</v>
      </c>
      <c r="AC1017" s="14" t="str">
        <f>MAX(Z1017:AB1017)</f>
        <v>0</v>
      </c>
      <c r="AD1017" s="10" t="str">
        <f>IF(AC1017=Z1017,$Z$1015,IF(AC1017=AA1017,$AA$1015,IF(AC1017=AB1017,$AB$1015,"ALGO ESTA MAL")))</f>
        <v>0</v>
      </c>
      <c r="AE1017" s="10" t="str">
        <f>RANDBETWEEN(1,10)</f>
        <v>0</v>
      </c>
      <c r="AF1017" s="10" t="str">
        <f>IF(AE1017=$AF$1100,$AG$1100,IF(AE1017=$AF$1101,$AG$1101,IF(AE1017=$AF$1102,$AG$1102,IF(AE1017=$AF$1103,$AG$1103,IF(AE1017=$AF$1104,$AG$1104,IF(AE1017=$AF$1105,$AG$1105,IF(AE1017=$AF$1106,$AG$1106,IF(AE1017=$AF$1107,$AG$1107,IF(AE1017=$AF$1108,$AG$1108,IF(AE1017=$AF$1109,$AG$1109,"algo esta mal"))))))))))</f>
        <v>0</v>
      </c>
      <c r="AG1017" s="10" t="str">
        <f>CONCATENATE("el ",ROUND(AC1017*100,0),"% de los ",AF1017," como ",AD1017)</f>
        <v>0</v>
      </c>
      <c r="AK1017" s="10" t="str">
        <f>(AL907)</f>
        <v>0</v>
      </c>
      <c r="AL1017" s="14" t="str">
        <f>SUM(AM907:AN907)</f>
        <v>0</v>
      </c>
      <c r="AM1017" s="14" t="str">
        <f>(AO907)</f>
        <v>0</v>
      </c>
      <c r="AN1017" s="14" t="str">
        <f>SUM(AP907:AQ907)</f>
        <v>0</v>
      </c>
      <c r="AO1017" s="14" t="str">
        <f>MAX(AL1017:AN1017)</f>
        <v>0</v>
      </c>
      <c r="AP1017" s="10" t="str">
        <f>IF(AO1017=AL1017,$AL$1015,IF(AO1017=AM1017,$AM$1015,IF(AO1017=AN1017,$AN$1015,"ALGO ESTA MAL")))</f>
        <v>0</v>
      </c>
      <c r="AQ1017" s="10" t="str">
        <f>RANDBETWEEN(1,10)</f>
        <v>0</v>
      </c>
      <c r="AR1017" s="10" t="str">
        <f>IF(AQ1017=$AR$1100,$AS$1100,IF(AQ1017=$AR$1101,$AS$1101,IF(AQ1017=$AR$1102,$AS$1102,IF(AQ1017=$AR$1103,$AS$1103,IF(AQ1017=$AR$1104,$AS$1104,IF(AQ1017=$AR$1105,$AS$1105,IF(AQ1017=$AR$1106,$AS$1106,IF(AQ1017=$AR$1107,$AS$1107,IF(AQ1017=$AR$1108,$AS$1108,IF(AQ1017=$AR$1109,$AS$1109,"algo esta mal"))))))))))</f>
        <v>0</v>
      </c>
      <c r="AS1017" s="10" t="str">
        <f>CONCATENATE("el ",ROUND(AO1017*100,0),"% de los ",AR1017," como ",AP1017)</f>
        <v>0</v>
      </c>
      <c r="AW1017" s="14" t="str">
        <f>(AA16)</f>
        <v>0</v>
      </c>
      <c r="AX1017" s="14" t="str">
        <f>(AE19)</f>
        <v>0</v>
      </c>
      <c r="AY1017" s="5" t="str">
        <f>(AE20)</f>
        <v>0</v>
      </c>
      <c r="AZ1017" s="14" t="str">
        <f>(AE21)</f>
        <v>0</v>
      </c>
      <c r="BA1017" s="14" t="str">
        <f>MAX(AX1017:AZ1017)</f>
        <v>0</v>
      </c>
      <c r="BB1017" s="10" t="str">
        <f>IF(BA1017=AX1017,$AX$1015,IF(BA1017=AY1017,$AY$1015,IF(BA1017=AZ1017,$AZ$1015,"algo esta mal")))</f>
        <v>0</v>
      </c>
      <c r="BC1017" s="10" t="str">
        <f> RANDBETWEEN(1,10)</f>
        <v>0</v>
      </c>
      <c r="BD1017" s="10" t="str">
        <f>IF(BC1017=$BD$1100,$BE$1100,IF(BC1017=$BD$1101,$BE$1101,IF(BC1017=$BD$1102,$BE$1102,IF(BC1017=$BD$1103,$BE$1103,IF(BC1017=$BD$1104,$BE$1104,IF(BC1017=$BD$1105,$BE$1105,IF(BC1017=$BD$1106,$BE$1106,IF(BC1017=$BD$1107,$BE$1107,IF(BC1017=$BD$1108,$BE$1108,IF(BC1017=$BD$1109,$BE$1109,"algo esta mal"))))))))))</f>
        <v>0</v>
      </c>
      <c r="BE1017" s="10" t="str">
        <f> RANDBETWEEN(1,7)</f>
        <v>0</v>
      </c>
      <c r="BF1017" s="10" t="str">
        <f>IF(BE1017=$BD$1110,$BE$1110,IF(BE1017=$BD$1111,$BE$1111,IF(BE1017=$BD$1112,$BE$1112,IF(BE1017=$BD$1113,$BE$1113,IF(BE1017=$BD$1114,$BE$1114,IF(BE1017=$BD$1115,$BE$1115,IF(BE1017=$BD$1116,$BE$1116,IF(BE1017=$BD$1047,$BE$1047,IF(BE1017=$BD$1048,$BE$1048,IF(BE1017=$BD$1049,$BE$1049,"algo esta mal"))))))))))</f>
        <v>0</v>
      </c>
      <c r="BG1017" s="10" t="str">
        <f> RANDBETWEEN(1,2)</f>
        <v>0</v>
      </c>
      <c r="BH1017" s="10" t="str">
        <f>IF(BG1017=$BD$1120,$BE$1120,IF(BG1017=$BD$1121,$BE$1121,"algo esta mal"))</f>
        <v>0</v>
      </c>
      <c r="BI1017" s="10" t="str">
        <f>CONCATENATE("el ",ROUND(BA1017*100,0),"% de los ",BH1017," ",BD1017," a la dimensión ",AW1017," como ",BB1017,", ",BF1017)</f>
        <v>0</v>
      </c>
    </row>
    <row r="1018" spans="1:61">
      <c r="M1018" s="10" t="str">
        <f>(N908)</f>
        <v>0</v>
      </c>
      <c r="N1018" s="14" t="str">
        <f>SUM(O908:P908)</f>
        <v>0</v>
      </c>
      <c r="O1018" s="14" t="str">
        <f>(Q908)</f>
        <v>0</v>
      </c>
      <c r="P1018" s="14" t="str">
        <f>SUM(R908:S908)</f>
        <v>0</v>
      </c>
      <c r="Q1018" s="14" t="str">
        <f>MAX(N1018:P1018)</f>
        <v>0</v>
      </c>
      <c r="R1018" s="10" t="str">
        <f>IF(Q1018=N1018,$N$1015,IF(Q1018=O1018,$O$1015,IF(Q1018=P1018,$P$1015,"ALGO ESTA MAL")))</f>
        <v>0</v>
      </c>
      <c r="S1018" s="10" t="str">
        <f>RANDBETWEEN(1,10)</f>
        <v>0</v>
      </c>
      <c r="T1018" s="10" t="str">
        <f>IF(S1018=$T$1100,$U$1100,IF(S1018=$T$1101,$U$1101,IF(S1018=$T$1102,$U$1102,IF(S1018=$T$1103,$U$1103,IF(S1018=$T$1104,$U$1104,IF(S1018=$T$1105,$U$1105,IF(S1018=$T$1106,$U$1106,IF(S1018=$T$1107,$U$1107,IF(S1018=$T$1108,$U$1108,IF(S1018=$T$1109,$U$1109,"algo esta mal"))))))))))</f>
        <v>0</v>
      </c>
      <c r="U1018" s="10" t="str">
        <f>CONCATENATE("el ",ROUND(Q1018*100,0),"% ",T1018," como ",R1018 )</f>
        <v>0</v>
      </c>
      <c r="Y1018" s="10" t="str">
        <f>(Z908)</f>
        <v>0</v>
      </c>
      <c r="Z1018" s="14" t="str">
        <f>SUM(AA908:AB908)</f>
        <v>0</v>
      </c>
      <c r="AA1018" s="14" t="str">
        <f>(AC908)</f>
        <v>0</v>
      </c>
      <c r="AB1018" s="14" t="str">
        <f>SUM(AD908:AE908)</f>
        <v>0</v>
      </c>
      <c r="AC1018" s="14" t="str">
        <f>MAX(Z1018:AB1018)</f>
        <v>0</v>
      </c>
      <c r="AD1018" s="10" t="str">
        <f>IF(AC1018=Z1018,$Z$1015,IF(AC1018=AA1018,$AA$1015,IF(AC1018=AB1018,$AB$1015,"ALGO ESTA MAL")))</f>
        <v>0</v>
      </c>
      <c r="AE1018" s="10" t="str">
        <f>RANDBETWEEN(1,10)</f>
        <v>0</v>
      </c>
      <c r="AF1018" s="10" t="str">
        <f>IF(AE1018=$AF$1100,$AG$1100,IF(AE1018=$AF$1101,$AG$1101,IF(AE1018=$AF$1102,$AG$1102,IF(AE1018=$AF$1103,$AG$1103,IF(AE1018=$AF$1104,$AG$1104,IF(AE1018=$AF$1105,$AG$1105,IF(AE1018=$AF$1106,$AG$1106,IF(AE1018=$AF$1107,$AG$1107,IF(AE1018=$AF$1108,$AG$1108,IF(AE1018=$AF$1109,$AG$1109,"algo esta mal"))))))))))</f>
        <v>0</v>
      </c>
      <c r="AG1018" s="10" t="str">
        <f>CONCATENATE("el ",ROUND(AC1018*100,0),"% ",AF1018," como ",AD1018 )</f>
        <v>0</v>
      </c>
      <c r="AK1018" s="10" t="str">
        <f>(AL908)</f>
        <v>0</v>
      </c>
      <c r="AL1018" s="14" t="str">
        <f>SUM(AM908:AN908)</f>
        <v>0</v>
      </c>
      <c r="AM1018" s="14" t="str">
        <f>(AO908)</f>
        <v>0</v>
      </c>
      <c r="AN1018" s="14" t="str">
        <f>SUM(AP908:AQ908)</f>
        <v>0</v>
      </c>
      <c r="AO1018" s="14" t="str">
        <f>MAX(AL1018:AN1018)</f>
        <v>0</v>
      </c>
      <c r="AP1018" s="10" t="str">
        <f>IF(AO1018=AL1018,$AL$1015,IF(AO1018=AM1018,$AM$1015,IF(AO1018=AN1018,$AN$1015,"ALGO ESTA MAL")))</f>
        <v>0</v>
      </c>
      <c r="AQ1018" s="10" t="str">
        <f>RANDBETWEEN(1,10)</f>
        <v>0</v>
      </c>
      <c r="AR1018" s="10" t="str">
        <f>IF(AQ1018=$AR$1100,$AS$1100,IF(AQ1018=$AR$1101,$AS$1101,IF(AQ1018=$AR$1102,$AS$1102,IF(AQ1018=$AR$1103,$AS$1103,IF(AQ1018=$AR$1104,$AS$1104,IF(AQ1018=$AR$1105,$AS$1105,IF(AQ1018=$AR$1106,$AS$1106,IF(AQ1018=$AR$1107,$AS$1107,IF(AQ1018=$AR$1108,$AS$1108,IF(AQ1018=$AR$1109,$AS$1109,"algo esta mal"))))))))))</f>
        <v>0</v>
      </c>
      <c r="AS1018" s="10" t="str">
        <f>CONCATENATE("el ",ROUND(AO1018*100,0),"% ",AR1018," como ",AP1018 )</f>
        <v>0</v>
      </c>
      <c r="AW1018" s="14" t="str">
        <f>(AM16)</f>
        <v>0</v>
      </c>
      <c r="AX1018" s="14" t="str">
        <f>(AQ19)</f>
        <v>0</v>
      </c>
      <c r="AY1018" s="5" t="str">
        <f>(AQ20)</f>
        <v>0</v>
      </c>
      <c r="AZ1018" s="14" t="str">
        <f>(AQ21)</f>
        <v>0</v>
      </c>
      <c r="BA1018" s="14" t="str">
        <f>MAX(AX1018:AZ1018)</f>
        <v>0</v>
      </c>
      <c r="BB1018" s="10" t="str">
        <f>IF(BA1018=AX1018,$AX$1015,IF(BA1018=AY1018,$AY$1015,IF(BA1018=AZ1018,$AZ$1015,"algo esta mal")))</f>
        <v>0</v>
      </c>
      <c r="BC1018" s="10" t="str">
        <f> RANDBETWEEN(1,10)</f>
        <v>0</v>
      </c>
      <c r="BD1018" s="10" t="str">
        <f>IF(BC1018=$BD$1100,$BE$1100,IF(BC1018=$BD$1101,$BE$1101,IF(BC1018=$BD$1102,$BE$1102,IF(BC1018=$BD$1103,$BE$1103,IF(BC1018=$BD$1104,$BE$1104,IF(BC1018=$BD$1105,$BE$1105,IF(BC1018=$BD$1106,$BE$1106,IF(BC1018=$BD$1107,$BE$1107,IF(BC1018=$BD$1108,$BE$1108,IF(BC1018=$BD$1109,$BE$1109,"algo esta mal"))))))))))</f>
        <v>0</v>
      </c>
      <c r="BE1018" s="10" t="str">
        <f> RANDBETWEEN(1,7)</f>
        <v>0</v>
      </c>
      <c r="BF1018" s="10" t="str">
        <f>IF(BE1018=$BD$1110,$BE$1110,IF(BE1018=$BD$1111,$BE$1111,IF(BE1018=$BD$1112,$BE$1112,IF(BE1018=$BD$1113,$BE$1113,IF(BE1018=$BD$1114,$BE$1114,IF(BE1018=$BD$1115,$BE$1115,IF(BE1018=$BD$1116,$BE$1116,IF(BE1018=$BD$1047,$BE$1047,IF(BE1018=$BD$1048,$BE$1048,IF(BE1018=$BD$1049,$BE$1049,"algo esta mal"))))))))))</f>
        <v>0</v>
      </c>
      <c r="BG1018" s="10" t="str">
        <f> RANDBETWEEN(1,2)</f>
        <v>0</v>
      </c>
      <c r="BH1018" s="10" t="str">
        <f>IF(BG1018=$BD$1120,$BE$1120,IF(BG1018=$BD$1121,$BE$1121,"algo esta mal"))</f>
        <v>0</v>
      </c>
      <c r="BI1018" s="10" t="str">
        <f>CONCATENATE("el ",ROUND(BA1018*100,0),"% de los ",BH1018," ",BD1018," a la dimensión ",AW1018," como ",BB1018,", ",BF1018)</f>
        <v>0</v>
      </c>
    </row>
    <row r="1019" spans="1:61">
      <c r="M1019" s="10" t="str">
        <f>(N909)</f>
        <v>0</v>
      </c>
      <c r="N1019" s="14" t="str">
        <f>SUM(O909:P909)</f>
        <v>0</v>
      </c>
      <c r="O1019" s="14" t="str">
        <f>(Q909)</f>
        <v>0</v>
      </c>
      <c r="P1019" s="14" t="str">
        <f>SUM(R909:S909)</f>
        <v>0</v>
      </c>
      <c r="Q1019" s="14" t="str">
        <f>MAX(N1019:P1019)</f>
        <v>0</v>
      </c>
      <c r="R1019" s="10" t="str">
        <f>IF(Q1019=N1019,$N$1015,IF(Q1019=O1019,$O$1015,IF(Q1019=P1019,$P$1015,"ALGO ESTA MAL")))</f>
        <v>0</v>
      </c>
      <c r="S1019" s="10" t="str">
        <f>RANDBETWEEN(1,10)</f>
        <v>0</v>
      </c>
      <c r="T1019" s="10" t="str">
        <f>IF(S1019=$T$1100,$U$1100,IF(S1019=$T$1101,$U$1101,IF(S1019=$T$1102,$U$1102,IF(S1019=$T$1103,$U$1103,IF(S1019=$T$1104,$U$1104,IF(S1019=$T$1105,$U$1105,IF(S1019=$T$1106,$U$1106,IF(S1019=$T$1107,$U$1107,IF(S1019=$T$1108,$U$1108,IF(S1019=$T$1109,$U$1109,"algo esta mal"))))))))))</f>
        <v>0</v>
      </c>
      <c r="U1019" s="10" t="str">
        <f>CONCATENATE("el ",ROUND(Q1019*100,0),"% de los ",T1019," como ",R1019)</f>
        <v>0</v>
      </c>
      <c r="Y1019" s="10" t="str">
        <f>(Z909)</f>
        <v>0</v>
      </c>
      <c r="Z1019" s="14" t="str">
        <f>SUM(AA909:AB909)</f>
        <v>0</v>
      </c>
      <c r="AA1019" s="14" t="str">
        <f>(AC909)</f>
        <v>0</v>
      </c>
      <c r="AB1019" s="14" t="str">
        <f>SUM(AD909:AE909)</f>
        <v>0</v>
      </c>
      <c r="AC1019" s="14" t="str">
        <f>MAX(Z1019:AB1019)</f>
        <v>0</v>
      </c>
      <c r="AD1019" s="10" t="str">
        <f>IF(AC1019=Z1019,$Z$1015,IF(AC1019=AA1019,$AA$1015,IF(AC1019=AB1019,$AB$1015,"ALGO ESTA MAL")))</f>
        <v>0</v>
      </c>
      <c r="AE1019" s="10" t="str">
        <f>RANDBETWEEN(1,10)</f>
        <v>0</v>
      </c>
      <c r="AF1019" s="10" t="str">
        <f>IF(AE1019=$AF$1100,$AG$1100,IF(AE1019=$AF$1101,$AG$1101,IF(AE1019=$AF$1102,$AG$1102,IF(AE1019=$AF$1103,$AG$1103,IF(AE1019=$AF$1104,$AG$1104,IF(AE1019=$AF$1105,$AG$1105,IF(AE1019=$AF$1106,$AG$1106,IF(AE1019=$AF$1107,$AG$1107,IF(AE1019=$AF$1108,$AG$1108,IF(AE1019=$AF$1109,$AG$1109,"algo esta mal"))))))))))</f>
        <v>0</v>
      </c>
      <c r="AG1019" s="10" t="str">
        <f>CONCATENATE("el ",ROUND(AC1019*100,0),"% de los ",AF1019," como ",AD1019)</f>
        <v>0</v>
      </c>
      <c r="AK1019" s="10" t="str">
        <f>(AL909)</f>
        <v>0</v>
      </c>
      <c r="AL1019" s="14" t="str">
        <f>SUM(AM909:AN909)</f>
        <v>0</v>
      </c>
      <c r="AM1019" s="14" t="str">
        <f>(AO909)</f>
        <v>0</v>
      </c>
      <c r="AN1019" s="14" t="str">
        <f>SUM(AP909:AQ909)</f>
        <v>0</v>
      </c>
      <c r="AO1019" s="14" t="str">
        <f>MAX(AL1019:AN1019)</f>
        <v>0</v>
      </c>
      <c r="AP1019" s="10" t="str">
        <f>IF(AO1019=AL1019,$AL$1015,IF(AO1019=AM1019,$AM$1015,IF(AO1019=AN1019,$AN$1015,"ALGO ESTA MAL")))</f>
        <v>0</v>
      </c>
      <c r="AQ1019" s="10" t="str">
        <f>RANDBETWEEN(1,10)</f>
        <v>0</v>
      </c>
      <c r="AR1019" s="10" t="str">
        <f>IF(AQ1019=$AR$1100,$AS$1100,IF(AQ1019=$AR$1101,$AS$1101,IF(AQ1019=$AR$1102,$AS$1102,IF(AQ1019=$AR$1103,$AS$1103,IF(AQ1019=$AR$1104,$AS$1104,IF(AQ1019=$AR$1105,$AS$1105,IF(AQ1019=$AR$1106,$AS$1106,IF(AQ1019=$AR$1107,$AS$1107,IF(AQ1019=$AR$1108,$AS$1108,IF(AQ1019=$AR$1109,$AS$1109,"algo esta mal"))))))))))</f>
        <v>0</v>
      </c>
      <c r="AS1019" s="10" t="str">
        <f>CONCATENATE("el ",ROUND(AO1019*100,0),"% de los ",AR1019," como ",AP1019)</f>
        <v>0</v>
      </c>
    </row>
    <row r="1020" spans="1:61">
      <c r="M1020" s="10" t="str">
        <f>(N910)</f>
        <v>0</v>
      </c>
      <c r="N1020" s="14" t="str">
        <f>SUM(O910:P910)</f>
        <v>0</v>
      </c>
      <c r="O1020" s="14" t="str">
        <f>(Q910)</f>
        <v>0</v>
      </c>
      <c r="P1020" s="14" t="str">
        <f>SUM(R910:S910)</f>
        <v>0</v>
      </c>
      <c r="Q1020" s="14" t="str">
        <f>MAX(N1020:P1020)</f>
        <v>0</v>
      </c>
      <c r="R1020" s="10" t="str">
        <f>IF(Q1020=N1020,$N$1015,IF(Q1020=O1020,$O$1015,IF(Q1020=P1020,$P$1015,"ALGO ESTA MAL")))</f>
        <v>0</v>
      </c>
      <c r="S1020" s="10" t="str">
        <f>RANDBETWEEN(1,10)</f>
        <v>0</v>
      </c>
      <c r="T1020" s="10" t="str">
        <f>IF(S1020=$T$1100,$U$1100,IF(S1020=$T$1101,$U$1101,IF(S1020=$T$1102,$U$1102,IF(S1020=$T$1103,$U$1103,IF(S1020=$T$1104,$U$1104,IF(S1020=$T$1105,$U$1105,IF(S1020=$T$1106,$U$1106,IF(S1020=$T$1107,$U$1107,IF(S1020=$T$1108,$U$1108,IF(S1020=$T$1109,$U$1109,"algo esta mal"))))))))))</f>
        <v>0</v>
      </c>
      <c r="U1020" s="10" t="str">
        <f>CONCATENATE("el ",ROUND(Q1020*100,0),"% ",T1020," como ",R1020)</f>
        <v>0</v>
      </c>
      <c r="Y1020" s="10" t="str">
        <f>(Z910)</f>
        <v>0</v>
      </c>
      <c r="Z1020" s="14" t="str">
        <f>SUM(AA910:AB910)</f>
        <v>0</v>
      </c>
      <c r="AA1020" s="14" t="str">
        <f>(AC910)</f>
        <v>0</v>
      </c>
      <c r="AB1020" s="14" t="str">
        <f>SUM(AD910:AE910)</f>
        <v>0</v>
      </c>
      <c r="AC1020" s="14" t="str">
        <f>MAX(Z1020:AB1020)</f>
        <v>0</v>
      </c>
      <c r="AD1020" s="10" t="str">
        <f>IF(AC1020=Z1020,$Z$1015,IF(AC1020=AA1020,$AA$1015,IF(AC1020=AB1020,$AB$1015,"ALGO ESTA MAL")))</f>
        <v>0</v>
      </c>
      <c r="AE1020" s="10" t="str">
        <f>RANDBETWEEN(1,10)</f>
        <v>0</v>
      </c>
      <c r="AF1020" s="10" t="str">
        <f>IF(AE1020=$AF$1100,$AG$1100,IF(AE1020=$AF$1101,$AG$1101,IF(AE1020=$AF$1102,$AG$1102,IF(AE1020=$AF$1103,$AG$1103,IF(AE1020=$AF$1104,$AG$1104,IF(AE1020=$AF$1105,$AG$1105,IF(AE1020=$AF$1106,$AG$1106,IF(AE1020=$AF$1107,$AG$1107,IF(AE1020=$AF$1108,$AG$1108,IF(AE1020=$AF$1109,$AG$1109,"algo esta mal"))))))))))</f>
        <v>0</v>
      </c>
      <c r="AG1020" s="10" t="str">
        <f>CONCATENATE("el ",ROUND(AC1020*100,0),"% ",AF1020," como ",AD1020)</f>
        <v>0</v>
      </c>
      <c r="AK1020" s="10" t="str">
        <f>(AL910)</f>
        <v>0</v>
      </c>
      <c r="AL1020" s="14" t="str">
        <f>SUM(AM910:AN910)</f>
        <v>0</v>
      </c>
      <c r="AM1020" s="14" t="str">
        <f>(AO910)</f>
        <v>0</v>
      </c>
      <c r="AN1020" s="14" t="str">
        <f>SUM(AP910:AQ910)</f>
        <v>0</v>
      </c>
      <c r="AO1020" s="14" t="str">
        <f>MAX(AL1020:AN1020)</f>
        <v>0</v>
      </c>
      <c r="AP1020" s="10" t="str">
        <f>IF(AO1020=AL1020,$AL$1015,IF(AO1020=AM1020,$AM$1015,IF(AO1020=AN1020,$AN$1015,"ALGO ESTA MAL")))</f>
        <v>0</v>
      </c>
      <c r="AQ1020" s="10" t="str">
        <f>RANDBETWEEN(1,10)</f>
        <v>0</v>
      </c>
      <c r="AR1020" s="10" t="str">
        <f>IF(AQ1020=$AR$1100,$AS$1100,IF(AQ1020=$AR$1101,$AS$1101,IF(AQ1020=$AR$1102,$AS$1102,IF(AQ1020=$AR$1103,$AS$1103,IF(AQ1020=$AR$1104,$AS$1104,IF(AQ1020=$AR$1105,$AS$1105,IF(AQ1020=$AR$1106,$AS$1106,IF(AQ1020=$AR$1107,$AS$1107,IF(AQ1020=$AR$1108,$AS$1108,IF(AQ1020=$AR$1109,$AS$1109,"algo esta mal"))))))))))</f>
        <v>0</v>
      </c>
      <c r="AS1020" s="10" t="str">
        <f>CONCATENATE("el ",ROUND(AO1020*100,0),"% ",AR1020," como ",AP1020)</f>
        <v>0</v>
      </c>
    </row>
    <row r="1021" spans="1:61">
      <c r="M1021" s="10" t="str">
        <f>(N911)</f>
        <v>0</v>
      </c>
      <c r="N1021" s="14" t="str">
        <f>SUM(O911:P911)</f>
        <v>0</v>
      </c>
      <c r="O1021" s="14" t="str">
        <f>(Q911)</f>
        <v>0</v>
      </c>
      <c r="P1021" s="14" t="str">
        <f>SUM(R911:S911)</f>
        <v>0</v>
      </c>
      <c r="Q1021" s="14" t="str">
        <f>MAX(N1021:P1021)</f>
        <v>0</v>
      </c>
      <c r="R1021" s="10" t="str">
        <f>IF(Q1021=N1021,$N$1015,IF(Q1021=O1021,$O$1015,IF(Q1021=P1021,$P$1015,"ALGO ESTA MAL")))</f>
        <v>0</v>
      </c>
      <c r="S1021" s="10" t="str">
        <f>RANDBETWEEN(1,10)</f>
        <v>0</v>
      </c>
      <c r="T1021" s="10" t="str">
        <f>IF(S1021=$T$1100,$U$1100,IF(S1021=$T$1101,$U$1101,IF(S1021=$T$1102,$U$1102,IF(S1021=$T$1103,$U$1103,IF(S1021=$T$1104,$U$1104,IF(S1021=$T$1105,$U$1105,IF(S1021=$T$1106,$U$1106,IF(S1021=$T$1107,$U$1107,IF(S1021=$T$1108,$U$1108,IF(S1021=$T$1109,$U$1109,"algo esta mal"))))))))))</f>
        <v>0</v>
      </c>
      <c r="U1021" s="10" t="str">
        <f>CONCATENATE("el ",ROUND(Q1021*100,0),"% ",T1021," como ",R1021)</f>
        <v>0</v>
      </c>
      <c r="Y1021" s="10" t="str">
        <f>(Z911)</f>
        <v>0</v>
      </c>
      <c r="Z1021" s="14" t="str">
        <f>SUM(AA911:AB911)</f>
        <v>0</v>
      </c>
      <c r="AA1021" s="14" t="str">
        <f>(AC911)</f>
        <v>0</v>
      </c>
      <c r="AB1021" s="14" t="str">
        <f>SUM(AD911:AE911)</f>
        <v>0</v>
      </c>
      <c r="AC1021" s="14" t="str">
        <f>MAX(Z1021:AB1021)</f>
        <v>0</v>
      </c>
      <c r="AD1021" s="10" t="str">
        <f>IF(AC1021=Z1021,$Z$1015,IF(AC1021=AA1021,$AA$1015,IF(AC1021=AB1021,$AB$1015,"ALGO ESTA MAL")))</f>
        <v>0</v>
      </c>
      <c r="AE1021" s="10" t="str">
        <f>RANDBETWEEN(1,10)</f>
        <v>0</v>
      </c>
      <c r="AF1021" s="10" t="str">
        <f>IF(AE1021=$AF$1100,$AG$1100,IF(AE1021=$AF$1101,$AG$1101,IF(AE1021=$AF$1102,$AG$1102,IF(AE1021=$AF$1103,$AG$1103,IF(AE1021=$AF$1104,$AG$1104,IF(AE1021=$AF$1105,$AG$1105,IF(AE1021=$AF$1106,$AG$1106,IF(AE1021=$AF$1107,$AG$1107,IF(AE1021=$AF$1108,$AG$1108,IF(AE1021=$AF$1109,$AG$1109,"algo esta mal"))))))))))</f>
        <v>0</v>
      </c>
      <c r="AG1021" s="10" t="str">
        <f>CONCATENATE("el ",ROUND(AC1021*100,0),"% ",AF1021," como ",AD1021)</f>
        <v>0</v>
      </c>
      <c r="AK1021" s="10" t="str">
        <f>(AL911)</f>
        <v>0</v>
      </c>
      <c r="AL1021" s="14" t="str">
        <f>SUM(AM911:AN911)</f>
        <v>0</v>
      </c>
      <c r="AM1021" s="14" t="str">
        <f>(AO911)</f>
        <v>0</v>
      </c>
      <c r="AN1021" s="14" t="str">
        <f>SUM(AP911:AQ911)</f>
        <v>0</v>
      </c>
      <c r="AO1021" s="14" t="str">
        <f>MAX(AL1021:AN1021)</f>
        <v>0</v>
      </c>
      <c r="AP1021" s="10" t="str">
        <f>IF(AO1021=AL1021,$AL$1015,IF(AO1021=AM1021,$AM$1015,IF(AO1021=AN1021,$AN$1015,"ALGO ESTA MAL")))</f>
        <v>0</v>
      </c>
      <c r="AQ1021" s="10" t="str">
        <f>RANDBETWEEN(1,10)</f>
        <v>0</v>
      </c>
      <c r="AR1021" s="10" t="str">
        <f>IF(AQ1021=$AR$1100,$AS$1100,IF(AQ1021=$AR$1101,$AS$1101,IF(AQ1021=$AR$1102,$AS$1102,IF(AQ1021=$AR$1103,$AS$1103,IF(AQ1021=$AR$1104,$AS$1104,IF(AQ1021=$AR$1105,$AS$1105,IF(AQ1021=$AR$1106,$AS$1106,IF(AQ1021=$AR$1107,$AS$1107,IF(AQ1021=$AR$1108,$AS$1108,IF(AQ1021=$AR$1109,$AS$1109,"algo esta mal"))))))))))</f>
        <v>0</v>
      </c>
      <c r="AS1021" s="10" t="str">
        <f>CONCATENATE("el ",ROUND(AO1021*100,0),"% ",AR1021," como ",AP1021)</f>
        <v>0</v>
      </c>
    </row>
    <row r="1022" spans="1:61">
      <c r="M1022" s="10" t="str">
        <f>(N912)</f>
        <v>0</v>
      </c>
      <c r="N1022" s="14" t="str">
        <f>SUM(O912:P912)</f>
        <v>0</v>
      </c>
      <c r="O1022" s="14" t="str">
        <f>(Q912)</f>
        <v>0</v>
      </c>
      <c r="P1022" s="14" t="str">
        <f>SUM(R912:S912)</f>
        <v>0</v>
      </c>
      <c r="Q1022" s="14" t="str">
        <f>MAX(N1022:P1022)</f>
        <v>0</v>
      </c>
      <c r="R1022" s="10" t="str">
        <f>IF(Q1022=N1022,$N$1015,IF(Q1022=O1022,$O$1015,IF(Q1022=P1022,$P$1015,"ALGO ESTA MAL")))</f>
        <v>0</v>
      </c>
      <c r="S1022" s="10" t="str">
        <f>RANDBETWEEN(1,10)</f>
        <v>0</v>
      </c>
      <c r="T1022" s="10" t="str">
        <f>IF(S1022=$T$1100,$U$1100,IF(S1022=$T$1101,$U$1101,IF(S1022=$T$1102,$U$1102,IF(S1022=$T$1103,$U$1103,IF(S1022=$T$1104,$U$1104,IF(S1022=$T$1105,$U$1105,IF(S1022=$T$1106,$U$1106,IF(S1022=$T$1107,$U$1107,IF(S1022=$T$1108,$U$1108,IF(S1022=$T$1109,$U$1109,"algo esta mal"))))))))))</f>
        <v>0</v>
      </c>
      <c r="U1022" s="10" t="str">
        <f>CONCATENATE("el ",ROUND(Q1022*100,0),"% de los ",T1022," como ",R1022)</f>
        <v>0</v>
      </c>
      <c r="Y1022" s="10" t="str">
        <f>(Z912)</f>
        <v>0</v>
      </c>
      <c r="Z1022" s="14" t="str">
        <f>SUM(AA912:AB912)</f>
        <v>0</v>
      </c>
      <c r="AA1022" s="14" t="str">
        <f>(AC912)</f>
        <v>0</v>
      </c>
      <c r="AB1022" s="14" t="str">
        <f>SUM(AD912:AE912)</f>
        <v>0</v>
      </c>
      <c r="AC1022" s="14" t="str">
        <f>MAX(Z1022:AB1022)</f>
        <v>0</v>
      </c>
      <c r="AD1022" s="10" t="str">
        <f>IF(AC1022=Z1022,$Z$1015,IF(AC1022=AA1022,$AA$1015,IF(AC1022=AB1022,$AB$1015,"ALGO ESTA MAL")))</f>
        <v>0</v>
      </c>
      <c r="AE1022" s="10" t="str">
        <f>RANDBETWEEN(1,10)</f>
        <v>0</v>
      </c>
      <c r="AF1022" s="10" t="str">
        <f>IF(AE1022=$AF$1100,$AG$1100,IF(AE1022=$AF$1101,$AG$1101,IF(AE1022=$AF$1102,$AG$1102,IF(AE1022=$AF$1103,$AG$1103,IF(AE1022=$AF$1104,$AG$1104,IF(AE1022=$AF$1105,$AG$1105,IF(AE1022=$AF$1106,$AG$1106,IF(AE1022=$AF$1107,$AG$1107,IF(AE1022=$AF$1108,$AG$1108,IF(AE1022=$AF$1109,$AG$1109,"algo esta mal"))))))))))</f>
        <v>0</v>
      </c>
      <c r="AG1022" s="10" t="str">
        <f>CONCATENATE("el ",ROUND(AC1022*100,0),"% de los ",AF1022," como ",AD1022)</f>
        <v>0</v>
      </c>
      <c r="AK1022" s="10" t="str">
        <f>(AL912)</f>
        <v>0</v>
      </c>
      <c r="AL1022" s="14" t="str">
        <f>SUM(AM912:AN912)</f>
        <v>0</v>
      </c>
      <c r="AM1022" s="14" t="str">
        <f>(AO912)</f>
        <v>0</v>
      </c>
      <c r="AN1022" s="14" t="str">
        <f>SUM(AP912:AQ912)</f>
        <v>0</v>
      </c>
      <c r="AO1022" s="14" t="str">
        <f>MAX(AL1022:AN1022)</f>
        <v>0</v>
      </c>
      <c r="AP1022" s="10" t="str">
        <f>IF(AO1022=AL1022,$AL$1015,IF(AO1022=AM1022,$AM$1015,IF(AO1022=AN1022,$AN$1015,"ALGO ESTA MAL")))</f>
        <v>0</v>
      </c>
      <c r="AQ1022" s="10" t="str">
        <f>RANDBETWEEN(1,10)</f>
        <v>0</v>
      </c>
      <c r="AR1022" s="10" t="str">
        <f>IF(AQ1022=$AR$1100,$AS$1100,IF(AQ1022=$AR$1101,$AS$1101,IF(AQ1022=$AR$1102,$AS$1102,IF(AQ1022=$AR$1103,$AS$1103,IF(AQ1022=$AR$1104,$AS$1104,IF(AQ1022=$AR$1105,$AS$1105,IF(AQ1022=$AR$1106,$AS$1106,IF(AQ1022=$AR$1107,$AS$1107,IF(AQ1022=$AR$1108,$AS$1108,IF(AQ1022=$AR$1109,$AS$1109,"algo esta mal"))))))))))</f>
        <v>0</v>
      </c>
      <c r="AS1022" s="10" t="str">
        <f>CONCATENATE("el ",ROUND(AO1022*100,0),"% de los ",AR1022," como ",AP1022)</f>
        <v>0</v>
      </c>
    </row>
    <row r="1023" spans="1:61">
      <c r="M1023" s="10" t="str">
        <f>(N913)</f>
        <v>0</v>
      </c>
      <c r="N1023" s="14" t="str">
        <f>SUM(O913:P913)</f>
        <v>0</v>
      </c>
      <c r="O1023" s="14" t="str">
        <f>(Q913)</f>
        <v>0</v>
      </c>
      <c r="P1023" s="14" t="str">
        <f>SUM(R913:S913)</f>
        <v>0</v>
      </c>
      <c r="Q1023" s="14" t="str">
        <f>MAX(N1023:P1023)</f>
        <v>0</v>
      </c>
      <c r="R1023" s="10" t="str">
        <f>IF(Q1023=N1023,$N$1015,IF(Q1023=O1023,$O$1015,IF(Q1023=P1023,$P$1015,"ALGO ESTA MAL")))</f>
        <v>0</v>
      </c>
      <c r="S1023" s="10" t="str">
        <f>RANDBETWEEN(1,10)</f>
        <v>0</v>
      </c>
      <c r="T1023" s="10" t="str">
        <f>IF(S1023=$T$1100,$U$1100,IF(S1023=$T$1101,$U$1101,IF(S1023=$T$1102,$U$1102,IF(S1023=$T$1103,$U$1103,IF(S1023=$T$1104,$U$1104,IF(S1023=$T$1105,$U$1105,IF(S1023=$T$1106,$U$1106,IF(S1023=$T$1107,$U$1107,IF(S1023=$T$1108,$U$1108,IF(S1023=$T$1109,$U$1109,"algo esta mal"))))))))))</f>
        <v>0</v>
      </c>
      <c r="U1023" s="10" t="str">
        <f>CONCATENATE("el ",ROUND(Q1023*100,0),"% ",T1023," como ",R1023)</f>
        <v>0</v>
      </c>
      <c r="Y1023" s="10" t="str">
        <f>(Z913)</f>
        <v>0</v>
      </c>
      <c r="Z1023" s="14" t="str">
        <f>SUM(AA913:AB913)</f>
        <v>0</v>
      </c>
      <c r="AA1023" s="14" t="str">
        <f>(AC913)</f>
        <v>0</v>
      </c>
      <c r="AB1023" s="14" t="str">
        <f>SUM(AD913:AE913)</f>
        <v>0</v>
      </c>
      <c r="AC1023" s="14" t="str">
        <f>MAX(Z1023:AB1023)</f>
        <v>0</v>
      </c>
      <c r="AD1023" s="10" t="str">
        <f>IF(AC1023=Z1023,$Z$1015,IF(AC1023=AA1023,$AA$1015,IF(AC1023=AB1023,$AB$1015,"ALGO ESTA MAL")))</f>
        <v>0</v>
      </c>
      <c r="AE1023" s="10" t="str">
        <f>RANDBETWEEN(1,10)</f>
        <v>0</v>
      </c>
      <c r="AF1023" s="10" t="str">
        <f>IF(AE1023=$AF$1100,$AG$1100,IF(AE1023=$AF$1101,$AG$1101,IF(AE1023=$AF$1102,$AG$1102,IF(AE1023=$AF$1103,$AG$1103,IF(AE1023=$AF$1104,$AG$1104,IF(AE1023=$AF$1105,$AG$1105,IF(AE1023=$AF$1106,$AG$1106,IF(AE1023=$AF$1107,$AG$1107,IF(AE1023=$AF$1108,$AG$1108,IF(AE1023=$AF$1109,$AG$1109,"algo esta mal"))))))))))</f>
        <v>0</v>
      </c>
      <c r="AG1023" s="10" t="str">
        <f>CONCATENATE("el ",ROUND(AC1023*100,0),"% ",AF1023," como ",AD1023)</f>
        <v>0</v>
      </c>
      <c r="AK1023" s="10" t="str">
        <f>(AL913)</f>
        <v>0</v>
      </c>
      <c r="AL1023" s="14" t="str">
        <f>SUM(AM913:AN913)</f>
        <v>0</v>
      </c>
      <c r="AM1023" s="14" t="str">
        <f>(AO913)</f>
        <v>0</v>
      </c>
      <c r="AN1023" s="14" t="str">
        <f>SUM(AP913:AQ913)</f>
        <v>0</v>
      </c>
      <c r="AO1023" s="14" t="str">
        <f>MAX(AL1023:AN1023)</f>
        <v>0</v>
      </c>
      <c r="AP1023" s="10" t="str">
        <f>IF(AO1023=AL1023,$AL$1015,IF(AO1023=AM1023,$AM$1015,IF(AO1023=AN1023,$AN$1015,"ALGO ESTA MAL")))</f>
        <v>0</v>
      </c>
      <c r="AQ1023" s="10" t="str">
        <f>RANDBETWEEN(1,10)</f>
        <v>0</v>
      </c>
      <c r="AR1023" s="10" t="str">
        <f>IF(AQ1023=$AR$1100,$AS$1100,IF(AQ1023=$AR$1101,$AS$1101,IF(AQ1023=$AR$1102,$AS$1102,IF(AQ1023=$AR$1103,$AS$1103,IF(AQ1023=$AR$1104,$AS$1104,IF(AQ1023=$AR$1105,$AS$1105,IF(AQ1023=$AR$1106,$AS$1106,IF(AQ1023=$AR$1107,$AS$1107,IF(AQ1023=$AR$1108,$AS$1108,IF(AQ1023=$AR$1109,$AS$1109,"algo esta mal"))))))))))</f>
        <v>0</v>
      </c>
      <c r="AS1023" s="10" t="str">
        <f>CONCATENATE("el ",ROUND(AO1023*100,0),"% ",AR1023," como ",AP1023)</f>
        <v>0</v>
      </c>
    </row>
    <row r="1100" spans="1:61">
      <c r="T1100" s="10">
        <v>1</v>
      </c>
      <c r="U1100" s="10" t="s">
        <v>453</v>
      </c>
      <c r="AF1100" s="10">
        <v>1</v>
      </c>
      <c r="AG1100" s="10" t="s">
        <v>453</v>
      </c>
      <c r="AR1100" s="10">
        <v>1</v>
      </c>
      <c r="AS1100" s="10" t="s">
        <v>453</v>
      </c>
      <c r="BD1100" s="10">
        <v>1</v>
      </c>
      <c r="BE1100" s="10" t="s">
        <v>453</v>
      </c>
    </row>
    <row r="1101" spans="1:61">
      <c r="T1101" s="10">
        <v>2</v>
      </c>
      <c r="U1101" s="10" t="s">
        <v>454</v>
      </c>
      <c r="AF1101" s="10">
        <v>2</v>
      </c>
      <c r="AG1101" s="10" t="s">
        <v>454</v>
      </c>
      <c r="AR1101" s="10">
        <v>2</v>
      </c>
      <c r="AS1101" s="10" t="s">
        <v>454</v>
      </c>
      <c r="BD1101" s="10">
        <v>2</v>
      </c>
      <c r="BE1101" s="10" t="s">
        <v>454</v>
      </c>
    </row>
    <row r="1102" spans="1:61">
      <c r="T1102" s="10">
        <v>3</v>
      </c>
      <c r="U1102" s="10" t="s">
        <v>455</v>
      </c>
      <c r="AF1102" s="10">
        <v>3</v>
      </c>
      <c r="AG1102" s="10" t="s">
        <v>455</v>
      </c>
      <c r="AR1102" s="10">
        <v>3</v>
      </c>
      <c r="AS1102" s="10" t="s">
        <v>455</v>
      </c>
      <c r="BD1102" s="10">
        <v>3</v>
      </c>
      <c r="BE1102" s="10" t="s">
        <v>455</v>
      </c>
    </row>
    <row r="1103" spans="1:61">
      <c r="T1103" s="10">
        <v>4</v>
      </c>
      <c r="U1103" s="10" t="s">
        <v>456</v>
      </c>
      <c r="AF1103" s="10">
        <v>4</v>
      </c>
      <c r="AG1103" s="10" t="s">
        <v>456</v>
      </c>
      <c r="AR1103" s="10">
        <v>4</v>
      </c>
      <c r="AS1103" s="10" t="s">
        <v>456</v>
      </c>
      <c r="BD1103" s="10">
        <v>4</v>
      </c>
      <c r="BE1103" s="10" t="s">
        <v>456</v>
      </c>
    </row>
    <row r="1104" spans="1:61">
      <c r="T1104" s="10">
        <v>5</v>
      </c>
      <c r="U1104" s="10" t="s">
        <v>457</v>
      </c>
      <c r="AF1104" s="10">
        <v>5</v>
      </c>
      <c r="AG1104" s="10" t="s">
        <v>457</v>
      </c>
      <c r="AR1104" s="10">
        <v>5</v>
      </c>
      <c r="AS1104" s="10" t="s">
        <v>457</v>
      </c>
      <c r="BD1104" s="10">
        <v>5</v>
      </c>
      <c r="BE1104" s="10" t="s">
        <v>457</v>
      </c>
    </row>
    <row r="1105" spans="1:61">
      <c r="T1105" s="10">
        <v>6</v>
      </c>
      <c r="U1105" s="10" t="s">
        <v>458</v>
      </c>
      <c r="AF1105" s="10">
        <v>6</v>
      </c>
      <c r="AG1105" s="10" t="s">
        <v>458</v>
      </c>
      <c r="AR1105" s="10">
        <v>6</v>
      </c>
      <c r="AS1105" s="10" t="s">
        <v>458</v>
      </c>
      <c r="BD1105" s="10">
        <v>6</v>
      </c>
      <c r="BE1105" s="10" t="s">
        <v>458</v>
      </c>
    </row>
    <row r="1106" spans="1:61">
      <c r="T1106" s="10">
        <v>7</v>
      </c>
      <c r="U1106" s="10" t="s">
        <v>459</v>
      </c>
      <c r="AF1106" s="10">
        <v>7</v>
      </c>
      <c r="AG1106" s="10" t="s">
        <v>459</v>
      </c>
      <c r="AR1106" s="10">
        <v>7</v>
      </c>
      <c r="AS1106" s="10" t="s">
        <v>459</v>
      </c>
      <c r="BD1106" s="10">
        <v>7</v>
      </c>
      <c r="BE1106" s="10" t="s">
        <v>459</v>
      </c>
    </row>
    <row r="1107" spans="1:61">
      <c r="T1107" s="10">
        <v>8</v>
      </c>
      <c r="U1107" s="10" t="s">
        <v>460</v>
      </c>
      <c r="AF1107" s="10">
        <v>8</v>
      </c>
      <c r="AG1107" s="10" t="s">
        <v>460</v>
      </c>
      <c r="AR1107" s="10">
        <v>8</v>
      </c>
      <c r="AS1107" s="10" t="s">
        <v>460</v>
      </c>
      <c r="BD1107" s="10">
        <v>8</v>
      </c>
      <c r="BE1107" s="10" t="s">
        <v>460</v>
      </c>
    </row>
    <row r="1108" spans="1:61">
      <c r="T1108" s="10">
        <v>9</v>
      </c>
      <c r="U1108" s="10" t="s">
        <v>461</v>
      </c>
      <c r="AF1108" s="10">
        <v>9</v>
      </c>
      <c r="AG1108" s="10" t="s">
        <v>461</v>
      </c>
      <c r="AR1108" s="10">
        <v>9</v>
      </c>
      <c r="AS1108" s="10" t="s">
        <v>461</v>
      </c>
      <c r="BD1108" s="10">
        <v>9</v>
      </c>
      <c r="BE1108" s="10" t="s">
        <v>461</v>
      </c>
    </row>
    <row r="1109" spans="1:61">
      <c r="T1109" s="10">
        <v>10</v>
      </c>
      <c r="U1109" s="10" t="s">
        <v>462</v>
      </c>
      <c r="AF1109" s="10">
        <v>10</v>
      </c>
      <c r="AG1109" s="10" t="s">
        <v>462</v>
      </c>
      <c r="AR1109" s="10">
        <v>10</v>
      </c>
      <c r="AS1109" s="10" t="s">
        <v>462</v>
      </c>
      <c r="BD1109" s="10">
        <v>10</v>
      </c>
      <c r="BE1109" s="10" t="s">
        <v>462</v>
      </c>
    </row>
    <row r="1110" spans="1:61">
      <c r="BD1110" s="10">
        <v>1</v>
      </c>
      <c r="BE1110" s="10" t="s">
        <v>463</v>
      </c>
    </row>
    <row r="1111" spans="1:61">
      <c r="BD1111" s="10">
        <v>2</v>
      </c>
      <c r="BE1111" s="10" t="s">
        <v>464</v>
      </c>
    </row>
    <row r="1112" spans="1:61">
      <c r="BD1112" s="10">
        <v>3</v>
      </c>
      <c r="BE1112" s="10" t="s">
        <v>465</v>
      </c>
    </row>
    <row r="1113" spans="1:61">
      <c r="BD1113" s="10">
        <v>4</v>
      </c>
      <c r="BE1113" s="10" t="s">
        <v>466</v>
      </c>
    </row>
    <row r="1114" spans="1:61">
      <c r="BD1114" s="10">
        <v>5</v>
      </c>
      <c r="BE1114" s="10" t="s">
        <v>467</v>
      </c>
    </row>
    <row r="1115" spans="1:61">
      <c r="BD1115" s="10">
        <v>6</v>
      </c>
      <c r="BE1115" s="10" t="s">
        <v>468</v>
      </c>
    </row>
    <row r="1116" spans="1:61">
      <c r="BD1116" s="10">
        <v>7</v>
      </c>
      <c r="BE1116" s="10" t="s">
        <v>469</v>
      </c>
    </row>
    <row r="1120" spans="1:61">
      <c r="BD1120" s="10">
        <v>1</v>
      </c>
      <c r="BE1120" s="10" t="str">
        <f>(AX902)</f>
        <v>0</v>
      </c>
    </row>
    <row r="1121" spans="1:61">
      <c r="BD1121" s="10">
        <v>2</v>
      </c>
      <c r="BE1121" s="10" t="s">
        <v>470</v>
      </c>
    </row>
    <row r="2019" spans="1:61">
      <c r="P2019" t="str">
        <f>N11</f>
        <v>0</v>
      </c>
      <c r="Q2019" t="str">
        <f>P19+N13</f>
        <v>0</v>
      </c>
      <c r="R2019" t="str">
        <f>COUNTIF($C$4:$C$358,$O19)</f>
        <v>0</v>
      </c>
      <c r="S2019" s="5" t="str">
        <f>R2019/R2022</f>
        <v>0</v>
      </c>
      <c r="AB2019" t="str">
        <f>Z11</f>
        <v>0</v>
      </c>
      <c r="AC2019" t="str">
        <f>AB19+Z13</f>
        <v>0</v>
      </c>
      <c r="AD2019" t="str">
        <f>COUNTIF($E$4:$E$358,$AA19)</f>
        <v>0</v>
      </c>
      <c r="AE2019" s="5" t="str">
        <f>AD2019/AD2022</f>
        <v>0</v>
      </c>
      <c r="AN2019" t="str">
        <f>AL11</f>
        <v>0</v>
      </c>
      <c r="AO2019" t="str">
        <f>AN19+AL13</f>
        <v>0</v>
      </c>
      <c r="AP2019" t="str">
        <f>COUNTIF($G$4:$G$358,$AM19)</f>
        <v>0</v>
      </c>
      <c r="AQ2019" s="5" t="str">
        <f>AP2019/AP2022</f>
        <v>0</v>
      </c>
      <c r="AZ2019" t="str">
        <f>AX11</f>
        <v>0</v>
      </c>
      <c r="BA2019" t="str">
        <f>AZ19+AX13 - 1</f>
        <v>0</v>
      </c>
      <c r="BB2019" t="str">
        <f>COUNTIF($I$4:$I$358,$AY19)</f>
        <v>0</v>
      </c>
      <c r="BC2019" s="5" t="str">
        <f>BB2019/BB2022</f>
        <v>0</v>
      </c>
    </row>
    <row r="2020" spans="1:61">
      <c r="P2020" t="str">
        <f>Q19+ 1</f>
        <v>0</v>
      </c>
      <c r="Q2020" t="str">
        <f>P20+N13</f>
        <v>0</v>
      </c>
      <c r="R2020" t="str">
        <f>COUNTIF($C$4:$C$358,$O20)</f>
        <v>0</v>
      </c>
      <c r="S2020" s="5" t="str">
        <f>R2020/R2022</f>
        <v>0</v>
      </c>
      <c r="AB2020" t="str">
        <f>AC19+ 1</f>
        <v>0</v>
      </c>
      <c r="AC2020" t="str">
        <f>AB20+Z13</f>
        <v>0</v>
      </c>
      <c r="AD2020" t="str">
        <f>COUNTIF($E$4:$E$358,$AA20)</f>
        <v>0</v>
      </c>
      <c r="AE2020" s="5" t="str">
        <f>AD2020/AD2022</f>
        <v>0</v>
      </c>
      <c r="AN2020" t="str">
        <f>AO19+ 1</f>
        <v>0</v>
      </c>
      <c r="AO2020" t="str">
        <f>AN20+AL13</f>
        <v>0</v>
      </c>
      <c r="AP2020" t="str">
        <f>COUNTIF($G$4:$G$358,$AM20)</f>
        <v>0</v>
      </c>
      <c r="AQ2020" s="5" t="str">
        <f>AP2020/AP2022</f>
        <v>0</v>
      </c>
      <c r="AZ2020" t="str">
        <f>BA19+ 1</f>
        <v>0</v>
      </c>
      <c r="BA2020" t="str">
        <f>AZ20+AX13 - 1</f>
        <v>0</v>
      </c>
      <c r="BB2020" t="str">
        <f>COUNTIF($I$4:$I$358,$AY20)</f>
        <v>0</v>
      </c>
      <c r="BC2020" s="5" t="str">
        <f>BB2020/BB2022</f>
        <v>0</v>
      </c>
    </row>
    <row r="2021" spans="1:61">
      <c r="P2021" t="str">
        <f>Q20+ 1</f>
        <v>0</v>
      </c>
      <c r="Q2021" t="str">
        <f>N10</f>
        <v>0</v>
      </c>
      <c r="R2021" t="str">
        <f>COUNTIF($C$4:$C$358,$O21)</f>
        <v>0</v>
      </c>
      <c r="S2021" s="5" t="str">
        <f>R2021/R2022</f>
        <v>0</v>
      </c>
      <c r="AB2021" t="str">
        <f>AC20+ 1</f>
        <v>0</v>
      </c>
      <c r="AC2021" t="str">
        <f>Z10</f>
        <v>0</v>
      </c>
      <c r="AD2021" t="str">
        <f>COUNTIF($E$4:$E$358,$AA21)</f>
        <v>0</v>
      </c>
      <c r="AE2021" s="5" t="str">
        <f>AD2021/AD2022</f>
        <v>0</v>
      </c>
      <c r="AN2021" t="str">
        <f>AO20+ 1</f>
        <v>0</v>
      </c>
      <c r="AO2021" t="str">
        <f>AL10</f>
        <v>0</v>
      </c>
      <c r="AP2021" t="str">
        <f>COUNTIF($G$4:$G$358,$AM21)</f>
        <v>0</v>
      </c>
      <c r="AQ2021" s="5" t="str">
        <f>AP2021/AP2022</f>
        <v>0</v>
      </c>
      <c r="AZ2021" t="str">
        <f>BA20+ 1</f>
        <v>0</v>
      </c>
      <c r="BA2021" t="str">
        <f>AX10</f>
        <v>0</v>
      </c>
      <c r="BB2021" t="str">
        <f>COUNTIF($I$4:$I$358,$AY21)</f>
        <v>0</v>
      </c>
      <c r="BC2021" s="5" t="str">
        <f>BB2021/BB2022</f>
        <v>0</v>
      </c>
    </row>
    <row r="2022" spans="1:61">
      <c r="R2022" t="str">
        <f>SUM(R2019:R2021)</f>
        <v>0</v>
      </c>
      <c r="S2022" s="5" t="str">
        <f>SUM(S2019:S2021)</f>
        <v>0</v>
      </c>
      <c r="AD2022" t="str">
        <f>SUM(AD2019:AD2021)</f>
        <v>0</v>
      </c>
      <c r="AE2022" s="5" t="str">
        <f>SUM(AE2019:AE2021)</f>
        <v>0</v>
      </c>
      <c r="AP2022" t="str">
        <f>SUM(AP2019:AP2021)</f>
        <v>0</v>
      </c>
      <c r="AQ2022" s="5" t="str">
        <f>SUM(AQ2019:AQ2021)</f>
        <v>0</v>
      </c>
      <c r="BB2022" t="str">
        <f>SUM(BB2019:BB2021)</f>
        <v>0</v>
      </c>
      <c r="BC2022" s="5" t="str">
        <f>SUM(BC2019:BC2021)</f>
        <v>0</v>
      </c>
    </row>
    <row r="2101" spans="1:61">
      <c r="K2101" s="10" t="s">
        <v>405</v>
      </c>
      <c r="L2101" s="10" t="str">
        <f>(N4)</f>
        <v>0</v>
      </c>
      <c r="N2101" s="10" t="s">
        <v>433</v>
      </c>
      <c r="W2101" s="10" t="s">
        <v>405</v>
      </c>
      <c r="X2101" s="10" t="str">
        <f>(Z4)</f>
        <v>0</v>
      </c>
      <c r="Z2101" s="10" t="s">
        <v>433</v>
      </c>
      <c r="AI2101" s="10" t="s">
        <v>405</v>
      </c>
      <c r="AJ2101" s="10" t="str">
        <f>(AL4)</f>
        <v>0</v>
      </c>
      <c r="AL2101" s="10" t="s">
        <v>433</v>
      </c>
      <c r="AU2101" s="10" t="s">
        <v>405</v>
      </c>
      <c r="AV2101" s="10" t="str">
        <f>(AX4)</f>
        <v>0</v>
      </c>
      <c r="AX2101" s="10" t="s">
        <v>433</v>
      </c>
    </row>
    <row r="2102" spans="1:61">
      <c r="K2102" s="10" t="s">
        <v>434</v>
      </c>
      <c r="L2102" s="10" t="str">
        <f>(N5)</f>
        <v>0</v>
      </c>
      <c r="N2102" s="10" t="s">
        <v>435</v>
      </c>
      <c r="W2102" s="10" t="s">
        <v>434</v>
      </c>
      <c r="X2102" s="10" t="str">
        <f>(Z5)</f>
        <v>0</v>
      </c>
      <c r="Z2102" s="10" t="s">
        <v>435</v>
      </c>
      <c r="AI2102" s="10" t="s">
        <v>434</v>
      </c>
      <c r="AJ2102" s="10" t="str">
        <f>(AL5)</f>
        <v>0</v>
      </c>
      <c r="AL2102" s="10" t="s">
        <v>435</v>
      </c>
      <c r="AU2102" s="10" t="s">
        <v>434</v>
      </c>
      <c r="AV2102" s="10" t="str">
        <f>(AX5)</f>
        <v>0</v>
      </c>
      <c r="AX2102" s="10" t="s">
        <v>435</v>
      </c>
    </row>
    <row r="2104" spans="1:61">
      <c r="K2104" s="10" t="s">
        <v>436</v>
      </c>
      <c r="L2104" s="14" t="str">
        <f>MAX(S19:S21)</f>
        <v>0</v>
      </c>
      <c r="M2104" s="10" t="str">
        <f>IF(L2104=S19,O19,IF(L2104=S20,O20,IF(L2104=S21,O21,"algo esta mal")))</f>
        <v>0</v>
      </c>
      <c r="W2104" s="10" t="s">
        <v>436</v>
      </c>
      <c r="X2104" s="14" t="str">
        <f>MAX(AE19:AE21)</f>
        <v>0</v>
      </c>
      <c r="Y2104" s="10" t="str">
        <f>IF(X2104=AE19,AA19,IF(X2104=AE20,AA20,IF(X2104=AE21,AA21,"algo esta mal")))</f>
        <v>0</v>
      </c>
      <c r="AI2104" s="10" t="s">
        <v>436</v>
      </c>
      <c r="AJ2104" s="14" t="str">
        <f>MAX(AQ19:AQ21)</f>
        <v>0</v>
      </c>
      <c r="AK2104" s="10" t="str">
        <f>IF(AJ2104=AQ19,AM19,IF(AJ2104=AQ20,AM20,IF(AJ2104=AQ21,AM21,"algo esta mal")))</f>
        <v>0</v>
      </c>
      <c r="AU2104" s="10" t="s">
        <v>436</v>
      </c>
      <c r="AV2104" s="14" t="str">
        <f>MAX(BC19:BC21)</f>
        <v>0</v>
      </c>
      <c r="AW2104" s="10" t="str">
        <f>IF(AV2104=BC19,AY19,IF(AV2104=BC20,AY20,IF(AV2104=BC21,AY21,"algo esta mal")))</f>
        <v>0</v>
      </c>
    </row>
    <row r="2105" spans="1:61">
      <c r="M2105" s="10" t="s">
        <v>437</v>
      </c>
      <c r="N2105" s="10" t="s">
        <v>438</v>
      </c>
      <c r="O2105" s="10" t="s">
        <v>391</v>
      </c>
      <c r="P2105" s="10" t="s">
        <v>392</v>
      </c>
      <c r="Q2105" s="10" t="s">
        <v>393</v>
      </c>
      <c r="R2105" s="10" t="s">
        <v>394</v>
      </c>
      <c r="S2105" s="10" t="s">
        <v>395</v>
      </c>
      <c r="Y2105" s="10" t="s">
        <v>437</v>
      </c>
      <c r="Z2105" s="10" t="s">
        <v>438</v>
      </c>
      <c r="AA2105" s="10" t="s">
        <v>391</v>
      </c>
      <c r="AB2105" s="10" t="s">
        <v>392</v>
      </c>
      <c r="AC2105" s="10" t="s">
        <v>393</v>
      </c>
      <c r="AD2105" s="10" t="s">
        <v>394</v>
      </c>
      <c r="AE2105" s="10" t="s">
        <v>395</v>
      </c>
      <c r="AK2105" s="10" t="s">
        <v>437</v>
      </c>
      <c r="AL2105" s="10" t="s">
        <v>438</v>
      </c>
      <c r="AM2105" s="10" t="s">
        <v>391</v>
      </c>
      <c r="AN2105" s="10" t="s">
        <v>392</v>
      </c>
      <c r="AO2105" s="10" t="s">
        <v>393</v>
      </c>
      <c r="AP2105" s="10" t="s">
        <v>394</v>
      </c>
      <c r="AQ2105" s="10" t="s">
        <v>395</v>
      </c>
    </row>
    <row r="2205" spans="1:61">
      <c r="M2205" s="10" t="s">
        <v>438</v>
      </c>
      <c r="N2205" s="10" t="str">
        <f>CONCATENATE(O2105," y ",P2105)</f>
        <v>0</v>
      </c>
      <c r="O2205" s="10" t="str">
        <f>(Q2105)</f>
        <v>0</v>
      </c>
      <c r="P2205" s="10" t="str">
        <f>CONCATENATE(R2105," y ",S2105)</f>
        <v>0</v>
      </c>
      <c r="Q2205" s="10" t="s">
        <v>440</v>
      </c>
      <c r="R2205" s="10" t="s">
        <v>441</v>
      </c>
      <c r="S2205" s="10" t="s">
        <v>442</v>
      </c>
      <c r="T2205" s="10" t="s">
        <v>443</v>
      </c>
      <c r="U2205" s="10" t="s">
        <v>444</v>
      </c>
      <c r="Y2205" s="10" t="s">
        <v>438</v>
      </c>
      <c r="Z2205" s="10" t="str">
        <f>CONCATENATE(AA2105," y ",AB2105)</f>
        <v>0</v>
      </c>
      <c r="AA2205" s="10" t="str">
        <f>(AC2105)</f>
        <v>0</v>
      </c>
      <c r="AB2205" s="10" t="str">
        <f>CONCATENATE(AD2105," y ",AE2105)</f>
        <v>0</v>
      </c>
      <c r="AC2205" s="10" t="s">
        <v>440</v>
      </c>
      <c r="AD2205" s="10" t="s">
        <v>441</v>
      </c>
      <c r="AE2205" s="10" t="s">
        <v>442</v>
      </c>
      <c r="AF2205" s="10" t="s">
        <v>443</v>
      </c>
      <c r="AG2205" s="10" t="s">
        <v>444</v>
      </c>
      <c r="AK2205" s="10" t="s">
        <v>438</v>
      </c>
      <c r="AL2205" s="10" t="str">
        <f>CONCATENATE(AM2105," y ",AN2105)</f>
        <v>0</v>
      </c>
      <c r="AM2205" s="10" t="str">
        <f>(AO2105)</f>
        <v>0</v>
      </c>
      <c r="AN2205" s="10" t="str">
        <f>CONCATENATE(AP2105," y ",AQ2105)</f>
        <v>0</v>
      </c>
      <c r="AO2205" s="10" t="s">
        <v>440</v>
      </c>
      <c r="AP2205" s="10" t="s">
        <v>441</v>
      </c>
      <c r="AQ2205" s="10" t="s">
        <v>442</v>
      </c>
      <c r="AR2205" s="10" t="s">
        <v>443</v>
      </c>
      <c r="AS2205" s="10" t="s">
        <v>444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A3"/>
    <mergeCell ref="B2:C2"/>
    <mergeCell ref="B3:B3"/>
    <mergeCell ref="C3:C3"/>
    <mergeCell ref="D2:E2"/>
    <mergeCell ref="D3:D3"/>
    <mergeCell ref="E3:E3"/>
    <mergeCell ref="F2:G2"/>
    <mergeCell ref="F3:F3"/>
    <mergeCell ref="G3:G3"/>
    <mergeCell ref="H2:I2"/>
    <mergeCell ref="H3:H3"/>
    <mergeCell ref="I3:I3"/>
    <mergeCell ref="O17:O18"/>
    <mergeCell ref="P17:Q17"/>
    <mergeCell ref="R17:R18"/>
    <mergeCell ref="S17:S18"/>
    <mergeCell ref="M47:R53"/>
    <mergeCell ref="AA17:AA18"/>
    <mergeCell ref="AB17:AC17"/>
    <mergeCell ref="AD17:AD18"/>
    <mergeCell ref="AE17:AE18"/>
    <mergeCell ref="Y47:AD53"/>
    <mergeCell ref="AM17:AM18"/>
    <mergeCell ref="AN17:AO17"/>
    <mergeCell ref="AP17:AP18"/>
    <mergeCell ref="AQ17:AQ18"/>
    <mergeCell ref="AK47:AP53"/>
    <mergeCell ref="AY17:AY18"/>
    <mergeCell ref="AZ17:BA17"/>
    <mergeCell ref="BB17:BB18"/>
    <mergeCell ref="BC17:BC18"/>
    <mergeCell ref="AW47:BB5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HG2135"/>
  <sheetViews>
    <sheetView tabSelected="0" workbookViewId="0" showGridLines="true" showRowColHeaders="1">
      <selection activeCell="HC2135" sqref="HC2135"/>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 min="40" max="40" width="26" customWidth="true" style="0"/>
    <col min="41" max="41" width="26" customWidth="true" style="0"/>
    <col min="42" max="42" width="26" customWidth="true" style="0"/>
    <col min="49" max="49" width="26" customWidth="true" style="0"/>
    <col min="50" max="50" width="26" customWidth="true" style="0"/>
    <col min="51" max="51" width="26" customWidth="true" style="0"/>
    <col min="58" max="58" width="26" customWidth="true" style="0"/>
    <col min="59" max="59" width="26" customWidth="true" style="0"/>
    <col min="60" max="60" width="26" customWidth="true" style="0"/>
    <col min="67" max="67" width="26" customWidth="true" style="0"/>
    <col min="68" max="68" width="26" customWidth="true" style="0"/>
    <col min="69" max="69" width="26" customWidth="true" style="0"/>
    <col min="76" max="76" width="26" customWidth="true" style="0"/>
    <col min="77" max="77" width="26" customWidth="true" style="0"/>
    <col min="78" max="78" width="26" customWidth="true" style="0"/>
    <col min="85" max="85" width="26" customWidth="true" style="0"/>
    <col min="86" max="86" width="26" customWidth="true" style="0"/>
    <col min="87" max="87" width="26" customWidth="true" style="0"/>
    <col min="94" max="94" width="26" customWidth="true" style="0"/>
    <col min="95" max="95" width="26" customWidth="true" style="0"/>
    <col min="96" max="96" width="26" customWidth="true" style="0"/>
    <col min="103" max="103" width="26" customWidth="true" style="0"/>
    <col min="104" max="104" width="26" customWidth="true" style="0"/>
    <col min="105" max="105" width="26" customWidth="true" style="0"/>
    <col min="112" max="112" width="26" customWidth="true" style="0"/>
    <col min="113" max="113" width="26" customWidth="true" style="0"/>
    <col min="114" max="114" width="26" customWidth="true" style="0"/>
    <col min="121" max="121" width="26" customWidth="true" style="0"/>
    <col min="122" max="122" width="26" customWidth="true" style="0"/>
    <col min="123" max="123" width="26" customWidth="true" style="0"/>
    <col min="130" max="130" width="26" customWidth="true" style="0"/>
    <col min="131" max="131" width="26" customWidth="true" style="0"/>
    <col min="132" max="132" width="26" customWidth="true" style="0"/>
    <col min="139" max="139" width="26" customWidth="true" style="0"/>
    <col min="140" max="140" width="26" customWidth="true" style="0"/>
    <col min="141" max="141" width="26" customWidth="true" style="0"/>
    <col min="148" max="148" width="26" customWidth="true" style="0"/>
    <col min="149" max="149" width="26" customWidth="true" style="0"/>
    <col min="150" max="150" width="26" customWidth="true" style="0"/>
    <col min="157" max="157" width="26" customWidth="true" style="0"/>
    <col min="158" max="158" width="26" customWidth="true" style="0"/>
    <col min="159" max="159" width="26" customWidth="true" style="0"/>
    <col min="166" max="166" width="26" customWidth="true" style="0"/>
    <col min="167" max="167" width="26" customWidth="true" style="0"/>
    <col min="168" max="168" width="26" customWidth="true" style="0"/>
    <col min="175" max="175" width="26" customWidth="true" style="0"/>
    <col min="176" max="176" width="26" customWidth="true" style="0"/>
    <col min="177" max="177" width="26" customWidth="true" style="0"/>
    <col min="184" max="184" width="26" customWidth="true" style="0"/>
    <col min="185" max="185" width="26" customWidth="true" style="0"/>
    <col min="186" max="186" width="26" customWidth="true" style="0"/>
    <col min="193" max="193" width="26" customWidth="true" style="0"/>
    <col min="194" max="194" width="26" customWidth="true" style="0"/>
    <col min="195" max="195" width="26" customWidth="true" style="0"/>
    <col min="202" max="202" width="26" customWidth="true" style="0"/>
    <col min="203" max="203" width="26" customWidth="true" style="0"/>
    <col min="204" max="204" width="26" customWidth="true" style="0"/>
    <col min="211" max="211" width="26" customWidth="true" style="0"/>
    <col min="212" max="212" width="26" customWidth="true" style="0"/>
    <col min="213" max="213" width="26" customWidth="true" style="0"/>
  </cols>
  <sheetData>
    <row r="3" spans="1:215">
      <c r="B3" s="11"/>
      <c r="C3" s="11"/>
      <c r="D3" s="11"/>
      <c r="E3" s="11"/>
      <c r="F3" s="11"/>
      <c r="G3" s="11"/>
      <c r="H3" s="11"/>
      <c r="K3" s="11"/>
      <c r="L3" s="11"/>
      <c r="M3" s="11"/>
      <c r="N3" s="11"/>
      <c r="O3" s="11"/>
      <c r="P3" s="11"/>
      <c r="Q3" s="11"/>
      <c r="T3" s="11"/>
      <c r="U3" s="11"/>
      <c r="V3" s="11"/>
      <c r="W3" s="11"/>
      <c r="X3" s="11"/>
      <c r="Y3" s="11"/>
      <c r="Z3" s="11"/>
      <c r="AC3" s="11"/>
      <c r="AD3" s="11"/>
      <c r="AE3" s="11"/>
      <c r="AF3" s="11"/>
      <c r="AG3" s="11"/>
      <c r="AH3" s="11"/>
      <c r="AI3" s="11"/>
      <c r="AL3" s="11"/>
      <c r="AM3" s="11"/>
      <c r="AN3" s="11"/>
      <c r="AO3" s="11"/>
      <c r="AP3" s="11"/>
      <c r="AQ3" s="11"/>
      <c r="AR3" s="11"/>
      <c r="AU3" s="11"/>
      <c r="AV3" s="11"/>
      <c r="AW3" s="11"/>
      <c r="AX3" s="11"/>
      <c r="AY3" s="11"/>
      <c r="AZ3" s="11"/>
      <c r="BA3" s="11"/>
      <c r="BD3" s="11"/>
      <c r="BE3" s="11"/>
      <c r="BF3" s="11"/>
      <c r="BG3" s="11"/>
      <c r="BH3" s="11"/>
      <c r="BI3" s="11"/>
      <c r="BJ3" s="11"/>
      <c r="BM3" s="11"/>
      <c r="BN3" s="11"/>
      <c r="BO3" s="11"/>
      <c r="BP3" s="11"/>
      <c r="BQ3" s="11"/>
      <c r="BR3" s="11"/>
      <c r="BS3" s="11"/>
      <c r="BV3" s="11"/>
      <c r="BW3" s="11"/>
      <c r="BX3" s="11"/>
      <c r="BY3" s="11"/>
      <c r="BZ3" s="11"/>
      <c r="CA3" s="11"/>
      <c r="CB3" s="11"/>
      <c r="CE3" s="11"/>
      <c r="CF3" s="11"/>
      <c r="CG3" s="11"/>
      <c r="CH3" s="11"/>
      <c r="CI3" s="11"/>
      <c r="CJ3" s="11"/>
      <c r="CK3" s="11"/>
      <c r="CN3" s="11"/>
      <c r="CO3" s="11"/>
      <c r="CP3" s="11"/>
      <c r="CQ3" s="11"/>
      <c r="CR3" s="11"/>
      <c r="CS3" s="11"/>
      <c r="CT3" s="11"/>
      <c r="CW3" s="11"/>
      <c r="CX3" s="11"/>
      <c r="CY3" s="11"/>
      <c r="CZ3" s="11"/>
      <c r="DA3" s="11"/>
      <c r="DB3" s="11"/>
      <c r="DC3" s="11"/>
      <c r="DF3" s="11"/>
      <c r="DG3" s="11"/>
      <c r="DH3" s="11"/>
      <c r="DI3" s="11"/>
      <c r="DJ3" s="11"/>
      <c r="DK3" s="11"/>
      <c r="DL3" s="11"/>
      <c r="DO3" s="11"/>
      <c r="DP3" s="11"/>
      <c r="DQ3" s="11"/>
      <c r="DR3" s="11"/>
      <c r="DS3" s="11"/>
      <c r="DT3" s="11"/>
      <c r="DU3" s="11"/>
      <c r="DX3" s="11"/>
      <c r="DY3" s="11"/>
      <c r="DZ3" s="11"/>
      <c r="EA3" s="11"/>
      <c r="EB3" s="11"/>
      <c r="EC3" s="11"/>
      <c r="ED3" s="11"/>
      <c r="EG3" s="11"/>
      <c r="EH3" s="11"/>
      <c r="EI3" s="11"/>
      <c r="EJ3" s="11"/>
      <c r="EK3" s="11"/>
      <c r="EL3" s="11"/>
      <c r="EM3" s="11"/>
      <c r="EP3" s="11"/>
      <c r="EQ3" s="11"/>
      <c r="ER3" s="11"/>
      <c r="ES3" s="11"/>
      <c r="ET3" s="11"/>
      <c r="EU3" s="11"/>
      <c r="EV3" s="11"/>
      <c r="EY3" s="11"/>
      <c r="EZ3" s="11"/>
      <c r="FA3" s="11"/>
      <c r="FB3" s="11"/>
      <c r="FC3" s="11"/>
      <c r="FD3" s="11"/>
      <c r="FE3" s="11"/>
      <c r="FH3" s="11"/>
      <c r="FI3" s="11"/>
      <c r="FJ3" s="11"/>
      <c r="FK3" s="11"/>
      <c r="FL3" s="11"/>
      <c r="FM3" s="11"/>
      <c r="FN3" s="11"/>
      <c r="FQ3" s="11"/>
      <c r="FR3" s="11"/>
      <c r="FS3" s="11"/>
      <c r="FT3" s="11"/>
      <c r="FU3" s="11"/>
      <c r="FV3" s="11"/>
      <c r="FW3" s="11"/>
      <c r="FZ3" s="11"/>
      <c r="GA3" s="11"/>
      <c r="GB3" s="11"/>
      <c r="GC3" s="11"/>
      <c r="GD3" s="11"/>
      <c r="GE3" s="11"/>
      <c r="GF3" s="11"/>
      <c r="GI3" s="11"/>
      <c r="GJ3" s="11"/>
      <c r="GK3" s="11"/>
      <c r="GL3" s="11"/>
      <c r="GM3" s="11"/>
      <c r="GN3" s="11"/>
      <c r="GO3" s="11"/>
      <c r="GR3" s="11"/>
      <c r="GS3" s="11"/>
      <c r="GT3" s="11"/>
      <c r="GU3" s="11"/>
      <c r="GV3" s="11"/>
      <c r="GW3" s="11"/>
      <c r="GX3" s="11"/>
      <c r="HA3" s="11"/>
      <c r="HB3" s="11"/>
      <c r="HC3" s="11"/>
      <c r="HD3" s="11"/>
      <c r="HE3" s="11"/>
      <c r="HF3" s="11"/>
      <c r="HG3" s="11"/>
    </row>
    <row r="4" spans="1:215">
      <c r="B4" s="11"/>
      <c r="D4" s="30" t="s">
        <v>471</v>
      </c>
      <c r="E4" s="29"/>
      <c r="F4" s="29"/>
      <c r="H4" s="11"/>
      <c r="K4" s="11"/>
      <c r="M4" s="30" t="s">
        <v>472</v>
      </c>
      <c r="N4" s="29"/>
      <c r="O4" s="29"/>
      <c r="Q4" s="11"/>
      <c r="T4" s="11"/>
      <c r="V4" s="30" t="s">
        <v>473</v>
      </c>
      <c r="W4" s="29"/>
      <c r="X4" s="29"/>
      <c r="Z4" s="11"/>
      <c r="AC4" s="11"/>
      <c r="AE4" s="30" t="s">
        <v>474</v>
      </c>
      <c r="AF4" s="29"/>
      <c r="AG4" s="29"/>
      <c r="AI4" s="11"/>
      <c r="AL4" s="11"/>
      <c r="AN4" s="30" t="s">
        <v>475</v>
      </c>
      <c r="AO4" s="29"/>
      <c r="AP4" s="29"/>
      <c r="AR4" s="11"/>
      <c r="AU4" s="11"/>
      <c r="AW4" s="30" t="s">
        <v>476</v>
      </c>
      <c r="AX4" s="29"/>
      <c r="AY4" s="29"/>
      <c r="BA4" s="11"/>
      <c r="BD4" s="11"/>
      <c r="BF4" s="30" t="s">
        <v>477</v>
      </c>
      <c r="BG4" s="29"/>
      <c r="BH4" s="29"/>
      <c r="BJ4" s="11"/>
      <c r="BM4" s="11"/>
      <c r="BO4" s="30" t="s">
        <v>478</v>
      </c>
      <c r="BP4" s="29"/>
      <c r="BQ4" s="29"/>
      <c r="BS4" s="11"/>
      <c r="BV4" s="11"/>
      <c r="BX4" s="30" t="s">
        <v>479</v>
      </c>
      <c r="BY4" s="29"/>
      <c r="BZ4" s="29"/>
      <c r="CB4" s="11"/>
      <c r="CE4" s="11"/>
      <c r="CG4" s="30" t="s">
        <v>480</v>
      </c>
      <c r="CH4" s="29"/>
      <c r="CI4" s="29"/>
      <c r="CK4" s="11"/>
      <c r="CN4" s="11"/>
      <c r="CP4" s="30" t="s">
        <v>481</v>
      </c>
      <c r="CQ4" s="29"/>
      <c r="CR4" s="29"/>
      <c r="CT4" s="11"/>
      <c r="CW4" s="11"/>
      <c r="CY4" s="30" t="s">
        <v>482</v>
      </c>
      <c r="CZ4" s="29"/>
      <c r="DA4" s="29"/>
      <c r="DC4" s="11"/>
      <c r="DF4" s="11"/>
      <c r="DH4" s="30" t="s">
        <v>483</v>
      </c>
      <c r="DI4" s="29"/>
      <c r="DJ4" s="29"/>
      <c r="DL4" s="11"/>
      <c r="DO4" s="11"/>
      <c r="DQ4" s="30" t="s">
        <v>484</v>
      </c>
      <c r="DR4" s="29"/>
      <c r="DS4" s="29"/>
      <c r="DU4" s="11"/>
      <c r="DX4" s="11"/>
      <c r="DZ4" s="30" t="s">
        <v>485</v>
      </c>
      <c r="EA4" s="29"/>
      <c r="EB4" s="29"/>
      <c r="ED4" s="11"/>
      <c r="EG4" s="11"/>
      <c r="EI4" s="30" t="s">
        <v>486</v>
      </c>
      <c r="EJ4" s="29"/>
      <c r="EK4" s="29"/>
      <c r="EM4" s="11"/>
      <c r="EP4" s="11"/>
      <c r="ER4" s="30" t="s">
        <v>487</v>
      </c>
      <c r="ES4" s="29"/>
      <c r="ET4" s="29"/>
      <c r="EV4" s="11"/>
      <c r="EY4" s="11"/>
      <c r="FA4" s="30" t="s">
        <v>488</v>
      </c>
      <c r="FB4" s="29"/>
      <c r="FC4" s="29"/>
      <c r="FE4" s="11"/>
      <c r="FH4" s="11"/>
      <c r="FJ4" s="30" t="s">
        <v>489</v>
      </c>
      <c r="FK4" s="29"/>
      <c r="FL4" s="29"/>
      <c r="FN4" s="11"/>
      <c r="FQ4" s="11"/>
      <c r="FS4" s="30" t="s">
        <v>490</v>
      </c>
      <c r="FT4" s="29"/>
      <c r="FU4" s="29"/>
      <c r="FW4" s="11"/>
      <c r="FZ4" s="11"/>
      <c r="GB4" s="30" t="s">
        <v>491</v>
      </c>
      <c r="GC4" s="29"/>
      <c r="GD4" s="29"/>
      <c r="GF4" s="11"/>
      <c r="GI4" s="11"/>
      <c r="GK4" s="30" t="s">
        <v>492</v>
      </c>
      <c r="GL4" s="29"/>
      <c r="GM4" s="29"/>
      <c r="GO4" s="11"/>
      <c r="GR4" s="11"/>
      <c r="GT4" s="30" t="s">
        <v>493</v>
      </c>
      <c r="GU4" s="29"/>
      <c r="GV4" s="29"/>
      <c r="GX4" s="11"/>
      <c r="HA4" s="11"/>
      <c r="HC4" s="30" t="s">
        <v>494</v>
      </c>
      <c r="HD4" s="29"/>
      <c r="HE4" s="29"/>
      <c r="HG4" s="11"/>
    </row>
    <row r="5" spans="1:215">
      <c r="B5" s="11"/>
      <c r="D5" s="10" t="s">
        <v>415</v>
      </c>
      <c r="H5" s="11"/>
      <c r="K5" s="11"/>
      <c r="M5" s="10" t="s">
        <v>416</v>
      </c>
      <c r="Q5" s="11"/>
      <c r="T5" s="11"/>
      <c r="V5" s="10" t="s">
        <v>417</v>
      </c>
      <c r="Z5" s="11"/>
      <c r="AC5" s="11"/>
      <c r="AE5" s="10" t="s">
        <v>418</v>
      </c>
      <c r="AI5" s="11"/>
      <c r="AL5" s="11"/>
      <c r="AN5" s="10" t="s">
        <v>495</v>
      </c>
      <c r="AR5" s="11"/>
      <c r="AU5" s="11"/>
      <c r="AW5" s="10" t="s">
        <v>496</v>
      </c>
      <c r="BA5" s="11"/>
      <c r="BD5" s="11"/>
      <c r="BF5" s="10" t="s">
        <v>497</v>
      </c>
      <c r="BJ5" s="11"/>
      <c r="BM5" s="11"/>
      <c r="BO5" s="10" t="s">
        <v>498</v>
      </c>
      <c r="BS5" s="11"/>
      <c r="BV5" s="11"/>
      <c r="BX5" s="10" t="s">
        <v>499</v>
      </c>
      <c r="CB5" s="11"/>
      <c r="CE5" s="11"/>
      <c r="CG5" s="10" t="s">
        <v>500</v>
      </c>
      <c r="CK5" s="11"/>
      <c r="CN5" s="11"/>
      <c r="CP5" s="10" t="s">
        <v>501</v>
      </c>
      <c r="CT5" s="11"/>
      <c r="CW5" s="11"/>
      <c r="CY5" s="10" t="s">
        <v>502</v>
      </c>
      <c r="DC5" s="11"/>
      <c r="DF5" s="11"/>
      <c r="DH5" s="10" t="s">
        <v>503</v>
      </c>
      <c r="DL5" s="11"/>
      <c r="DO5" s="11"/>
      <c r="DQ5" s="10" t="s">
        <v>504</v>
      </c>
      <c r="DU5" s="11"/>
      <c r="DX5" s="11"/>
      <c r="DZ5" s="10" t="s">
        <v>505</v>
      </c>
      <c r="ED5" s="11"/>
      <c r="EG5" s="11"/>
      <c r="EI5" s="10" t="s">
        <v>506</v>
      </c>
      <c r="EM5" s="11"/>
      <c r="EP5" s="11"/>
      <c r="ER5" s="10" t="s">
        <v>507</v>
      </c>
      <c r="EV5" s="11"/>
      <c r="EY5" s="11"/>
      <c r="FA5" s="10" t="s">
        <v>508</v>
      </c>
      <c r="FE5" s="11"/>
      <c r="FH5" s="11"/>
      <c r="FJ5" s="10" t="s">
        <v>509</v>
      </c>
      <c r="FN5" s="11"/>
      <c r="FQ5" s="11"/>
      <c r="FS5" s="10" t="s">
        <v>510</v>
      </c>
      <c r="FW5" s="11"/>
      <c r="FZ5" s="11"/>
      <c r="GB5" s="10" t="s">
        <v>511</v>
      </c>
      <c r="GF5" s="11"/>
      <c r="GI5" s="11"/>
      <c r="GK5" s="10" t="s">
        <v>512</v>
      </c>
      <c r="GO5" s="11"/>
      <c r="GR5" s="11"/>
      <c r="GT5" s="10" t="s">
        <v>513</v>
      </c>
      <c r="GX5" s="11"/>
      <c r="HA5" s="11"/>
      <c r="HC5" s="10" t="s">
        <v>514</v>
      </c>
      <c r="HG5" s="11"/>
    </row>
    <row r="6" spans="1:215">
      <c r="B6" s="11"/>
      <c r="D6" s="10" t="s">
        <v>439</v>
      </c>
      <c r="H6" s="11"/>
      <c r="K6" s="11"/>
      <c r="M6" s="10"/>
      <c r="Q6" s="11"/>
      <c r="T6" s="11"/>
      <c r="V6" s="10"/>
      <c r="Z6" s="11"/>
      <c r="AC6" s="11"/>
      <c r="AE6" s="10"/>
      <c r="AI6" s="11"/>
      <c r="AL6" s="11"/>
      <c r="AN6" s="10"/>
      <c r="AR6" s="11"/>
      <c r="AU6" s="11"/>
      <c r="AW6" s="10"/>
      <c r="BA6" s="11"/>
      <c r="BD6" s="11"/>
      <c r="BF6" s="10"/>
      <c r="BJ6" s="11"/>
      <c r="BM6" s="11"/>
      <c r="BO6" s="10"/>
      <c r="BS6" s="11"/>
      <c r="BV6" s="11"/>
      <c r="BX6" s="10"/>
      <c r="CB6" s="11"/>
      <c r="CE6" s="11"/>
      <c r="CG6" s="10"/>
      <c r="CK6" s="11"/>
      <c r="CN6" s="11"/>
      <c r="CP6" s="10"/>
      <c r="CT6" s="11"/>
      <c r="CW6" s="11"/>
      <c r="CY6" s="10"/>
      <c r="DC6" s="11"/>
      <c r="DF6" s="11"/>
      <c r="DH6" s="10"/>
      <c r="DL6" s="11"/>
      <c r="DO6" s="11"/>
      <c r="DQ6" s="10"/>
      <c r="DU6" s="11"/>
      <c r="DX6" s="11"/>
      <c r="DZ6" s="10"/>
      <c r="ED6" s="11"/>
      <c r="EG6" s="11"/>
      <c r="EI6" s="10"/>
      <c r="EM6" s="11"/>
      <c r="EP6" s="11"/>
      <c r="ER6" s="10"/>
      <c r="EV6" s="11"/>
      <c r="EY6" s="11"/>
      <c r="FA6" s="10"/>
      <c r="FE6" s="11"/>
      <c r="FH6" s="11"/>
      <c r="FJ6" s="10"/>
      <c r="FN6" s="11"/>
      <c r="FQ6" s="11"/>
      <c r="FS6" s="10"/>
      <c r="FW6" s="11"/>
      <c r="FZ6" s="11"/>
      <c r="GB6" s="10"/>
      <c r="GF6" s="11"/>
      <c r="GI6" s="11"/>
      <c r="GK6" s="10"/>
      <c r="GO6" s="11"/>
      <c r="GR6" s="11"/>
      <c r="GT6" s="10"/>
      <c r="GX6" s="11"/>
      <c r="HA6" s="11"/>
      <c r="HC6" s="10"/>
      <c r="HG6" s="11"/>
    </row>
    <row r="7" spans="1:215">
      <c r="B7" s="11"/>
      <c r="D7" s="13"/>
      <c r="E7" s="19" t="s">
        <v>420</v>
      </c>
      <c r="F7" s="19" t="s">
        <v>421</v>
      </c>
      <c r="H7" s="11"/>
      <c r="K7" s="11"/>
      <c r="M7" s="13"/>
      <c r="N7" s="19" t="s">
        <v>420</v>
      </c>
      <c r="O7" s="19" t="s">
        <v>421</v>
      </c>
      <c r="Q7" s="11"/>
      <c r="T7" s="11"/>
      <c r="V7" s="13"/>
      <c r="W7" s="19" t="s">
        <v>420</v>
      </c>
      <c r="X7" s="19" t="s">
        <v>421</v>
      </c>
      <c r="Z7" s="11"/>
      <c r="AC7" s="11"/>
      <c r="AE7" s="13"/>
      <c r="AF7" s="19" t="s">
        <v>420</v>
      </c>
      <c r="AG7" s="19" t="s">
        <v>421</v>
      </c>
      <c r="AI7" s="11"/>
      <c r="AL7" s="11"/>
      <c r="AN7" s="13"/>
      <c r="AO7" s="19" t="s">
        <v>420</v>
      </c>
      <c r="AP7" s="19" t="s">
        <v>421</v>
      </c>
      <c r="AR7" s="11"/>
      <c r="AU7" s="11"/>
      <c r="AW7" s="13"/>
      <c r="AX7" s="19" t="s">
        <v>420</v>
      </c>
      <c r="AY7" s="19" t="s">
        <v>421</v>
      </c>
      <c r="BA7" s="11"/>
      <c r="BD7" s="11"/>
      <c r="BF7" s="13"/>
      <c r="BG7" s="19" t="s">
        <v>420</v>
      </c>
      <c r="BH7" s="19" t="s">
        <v>421</v>
      </c>
      <c r="BJ7" s="11"/>
      <c r="BM7" s="11"/>
      <c r="BO7" s="13"/>
      <c r="BP7" s="19" t="s">
        <v>420</v>
      </c>
      <c r="BQ7" s="19" t="s">
        <v>421</v>
      </c>
      <c r="BS7" s="11"/>
      <c r="BV7" s="11"/>
      <c r="BX7" s="13"/>
      <c r="BY7" s="19" t="s">
        <v>420</v>
      </c>
      <c r="BZ7" s="19" t="s">
        <v>421</v>
      </c>
      <c r="CB7" s="11"/>
      <c r="CE7" s="11"/>
      <c r="CG7" s="13"/>
      <c r="CH7" s="19" t="s">
        <v>420</v>
      </c>
      <c r="CI7" s="19" t="s">
        <v>421</v>
      </c>
      <c r="CK7" s="11"/>
      <c r="CN7" s="11"/>
      <c r="CP7" s="13"/>
      <c r="CQ7" s="19" t="s">
        <v>420</v>
      </c>
      <c r="CR7" s="19" t="s">
        <v>421</v>
      </c>
      <c r="CT7" s="11"/>
      <c r="CW7" s="11"/>
      <c r="CY7" s="13"/>
      <c r="CZ7" s="19" t="s">
        <v>420</v>
      </c>
      <c r="DA7" s="19" t="s">
        <v>421</v>
      </c>
      <c r="DC7" s="11"/>
      <c r="DF7" s="11"/>
      <c r="DH7" s="13"/>
      <c r="DI7" s="19" t="s">
        <v>420</v>
      </c>
      <c r="DJ7" s="19" t="s">
        <v>421</v>
      </c>
      <c r="DL7" s="11"/>
      <c r="DO7" s="11"/>
      <c r="DQ7" s="13"/>
      <c r="DR7" s="19" t="s">
        <v>420</v>
      </c>
      <c r="DS7" s="19" t="s">
        <v>421</v>
      </c>
      <c r="DU7" s="11"/>
      <c r="DX7" s="11"/>
      <c r="DZ7" s="13"/>
      <c r="EA7" s="19" t="s">
        <v>420</v>
      </c>
      <c r="EB7" s="19" t="s">
        <v>421</v>
      </c>
      <c r="ED7" s="11"/>
      <c r="EG7" s="11"/>
      <c r="EI7" s="13"/>
      <c r="EJ7" s="19" t="s">
        <v>420</v>
      </c>
      <c r="EK7" s="19" t="s">
        <v>421</v>
      </c>
      <c r="EM7" s="11"/>
      <c r="EP7" s="11"/>
      <c r="ER7" s="13"/>
      <c r="ES7" s="19" t="s">
        <v>420</v>
      </c>
      <c r="ET7" s="19" t="s">
        <v>421</v>
      </c>
      <c r="EV7" s="11"/>
      <c r="EY7" s="11"/>
      <c r="FA7" s="13"/>
      <c r="FB7" s="19" t="s">
        <v>420</v>
      </c>
      <c r="FC7" s="19" t="s">
        <v>421</v>
      </c>
      <c r="FE7" s="11"/>
      <c r="FH7" s="11"/>
      <c r="FJ7" s="13"/>
      <c r="FK7" s="19" t="s">
        <v>420</v>
      </c>
      <c r="FL7" s="19" t="s">
        <v>421</v>
      </c>
      <c r="FN7" s="11"/>
      <c r="FQ7" s="11"/>
      <c r="FS7" s="13"/>
      <c r="FT7" s="19" t="s">
        <v>420</v>
      </c>
      <c r="FU7" s="19" t="s">
        <v>421</v>
      </c>
      <c r="FW7" s="11"/>
      <c r="FZ7" s="11"/>
      <c r="GB7" s="13"/>
      <c r="GC7" s="19" t="s">
        <v>420</v>
      </c>
      <c r="GD7" s="19" t="s">
        <v>421</v>
      </c>
      <c r="GF7" s="11"/>
      <c r="GI7" s="11"/>
      <c r="GK7" s="13"/>
      <c r="GL7" s="19" t="s">
        <v>420</v>
      </c>
      <c r="GM7" s="19" t="s">
        <v>421</v>
      </c>
      <c r="GO7" s="11"/>
      <c r="GR7" s="11"/>
      <c r="GT7" s="13"/>
      <c r="GU7" s="19" t="s">
        <v>420</v>
      </c>
      <c r="GV7" s="19" t="s">
        <v>421</v>
      </c>
      <c r="GX7" s="11"/>
      <c r="HA7" s="11"/>
      <c r="HC7" s="13"/>
      <c r="HD7" s="19" t="s">
        <v>420</v>
      </c>
      <c r="HE7" s="19" t="s">
        <v>421</v>
      </c>
      <c r="HG7" s="11"/>
    </row>
    <row r="8" spans="1:215">
      <c r="B8" s="11"/>
      <c r="D8" s="26" t="str">
        <f>('Inteligencia emocional'!A366)</f>
        <v>0</v>
      </c>
      <c r="E8" s="18" t="str">
        <f>('Inteligencia emocional'!B366)</f>
        <v>0</v>
      </c>
      <c r="F8" s="22" t="str">
        <f>('Inteligencia emocional'!B372)</f>
        <v>0</v>
      </c>
      <c r="H8" s="11"/>
      <c r="K8" s="11"/>
      <c r="M8" s="26" t="str">
        <f>('Inteligencia emocional'!A366)</f>
        <v>0</v>
      </c>
      <c r="N8" s="18" t="str">
        <f>('Inteligencia emocional'!C366)</f>
        <v>0</v>
      </c>
      <c r="O8" s="22" t="str">
        <f>('Inteligencia emocional'!C372)</f>
        <v>0</v>
      </c>
      <c r="Q8" s="11"/>
      <c r="T8" s="11"/>
      <c r="V8" s="26" t="str">
        <f>('Inteligencia emocional'!A366)</f>
        <v>0</v>
      </c>
      <c r="W8" s="18" t="str">
        <f>('Inteligencia emocional'!D366)</f>
        <v>0</v>
      </c>
      <c r="X8" s="22" t="str">
        <f>('Inteligencia emocional'!D372)</f>
        <v>0</v>
      </c>
      <c r="Z8" s="11"/>
      <c r="AC8" s="11"/>
      <c r="AE8" s="26" t="str">
        <f>('Inteligencia emocional'!A366)</f>
        <v>0</v>
      </c>
      <c r="AF8" s="18" t="str">
        <f>('Inteligencia emocional'!E366)</f>
        <v>0</v>
      </c>
      <c r="AG8" s="22" t="str">
        <f>('Inteligencia emocional'!E372)</f>
        <v>0</v>
      </c>
      <c r="AI8" s="11"/>
      <c r="AL8" s="11"/>
      <c r="AN8" s="26" t="str">
        <f>('Inteligencia emocional'!A366)</f>
        <v>0</v>
      </c>
      <c r="AO8" s="18" t="str">
        <f>('Inteligencia emocional'!F366)</f>
        <v>0</v>
      </c>
      <c r="AP8" s="22" t="str">
        <f>('Inteligencia emocional'!F372)</f>
        <v>0</v>
      </c>
      <c r="AR8" s="11"/>
      <c r="AU8" s="11"/>
      <c r="AW8" s="26" t="str">
        <f>('Inteligencia emocional'!A366)</f>
        <v>0</v>
      </c>
      <c r="AX8" s="18" t="str">
        <f>('Inteligencia emocional'!G366)</f>
        <v>0</v>
      </c>
      <c r="AY8" s="22" t="str">
        <f>('Inteligencia emocional'!G372)</f>
        <v>0</v>
      </c>
      <c r="BA8" s="11"/>
      <c r="BD8" s="11"/>
      <c r="BF8" s="26" t="str">
        <f>('Inteligencia emocional'!A366)</f>
        <v>0</v>
      </c>
      <c r="BG8" s="18" t="str">
        <f>('Inteligencia emocional'!H366)</f>
        <v>0</v>
      </c>
      <c r="BH8" s="22" t="str">
        <f>('Inteligencia emocional'!H372)</f>
        <v>0</v>
      </c>
      <c r="BJ8" s="11"/>
      <c r="BM8" s="11"/>
      <c r="BO8" s="26" t="str">
        <f>('Inteligencia emocional'!A366)</f>
        <v>0</v>
      </c>
      <c r="BP8" s="18" t="str">
        <f>('Inteligencia emocional'!I366)</f>
        <v>0</v>
      </c>
      <c r="BQ8" s="22" t="str">
        <f>('Inteligencia emocional'!I372)</f>
        <v>0</v>
      </c>
      <c r="BS8" s="11"/>
      <c r="BV8" s="11"/>
      <c r="BX8" s="26" t="str">
        <f>('Inteligencia emocional'!A366)</f>
        <v>0</v>
      </c>
      <c r="BY8" s="18" t="str">
        <f>('Inteligencia emocional'!J366)</f>
        <v>0</v>
      </c>
      <c r="BZ8" s="22" t="str">
        <f>('Inteligencia emocional'!J372)</f>
        <v>0</v>
      </c>
      <c r="CB8" s="11"/>
      <c r="CE8" s="11"/>
      <c r="CG8" s="26" t="str">
        <f>('Inteligencia emocional'!A366)</f>
        <v>0</v>
      </c>
      <c r="CH8" s="18" t="str">
        <f>('Inteligencia emocional'!K366)</f>
        <v>0</v>
      </c>
      <c r="CI8" s="22" t="str">
        <f>('Inteligencia emocional'!K372)</f>
        <v>0</v>
      </c>
      <c r="CK8" s="11"/>
      <c r="CN8" s="11"/>
      <c r="CP8" s="26" t="str">
        <f>('Inteligencia emocional'!A366)</f>
        <v>0</v>
      </c>
      <c r="CQ8" s="18" t="str">
        <f>('Inteligencia emocional'!L366)</f>
        <v>0</v>
      </c>
      <c r="CR8" s="22" t="str">
        <f>('Inteligencia emocional'!L372)</f>
        <v>0</v>
      </c>
      <c r="CT8" s="11"/>
      <c r="CW8" s="11"/>
      <c r="CY8" s="26" t="str">
        <f>('Inteligencia emocional'!A366)</f>
        <v>0</v>
      </c>
      <c r="CZ8" s="18" t="str">
        <f>('Inteligencia emocional'!M366)</f>
        <v>0</v>
      </c>
      <c r="DA8" s="22" t="str">
        <f>('Inteligencia emocional'!M372)</f>
        <v>0</v>
      </c>
      <c r="DC8" s="11"/>
      <c r="DF8" s="11"/>
      <c r="DH8" s="26" t="str">
        <f>('Inteligencia emocional'!A366)</f>
        <v>0</v>
      </c>
      <c r="DI8" s="18" t="str">
        <f>('Inteligencia emocional'!N366)</f>
        <v>0</v>
      </c>
      <c r="DJ8" s="22" t="str">
        <f>('Inteligencia emocional'!N372)</f>
        <v>0</v>
      </c>
      <c r="DL8" s="11"/>
      <c r="DO8" s="11"/>
      <c r="DQ8" s="26" t="str">
        <f>('Inteligencia emocional'!A366)</f>
        <v>0</v>
      </c>
      <c r="DR8" s="18" t="str">
        <f>('Inteligencia emocional'!O366)</f>
        <v>0</v>
      </c>
      <c r="DS8" s="22" t="str">
        <f>('Inteligencia emocional'!O372)</f>
        <v>0</v>
      </c>
      <c r="DU8" s="11"/>
      <c r="DX8" s="11"/>
      <c r="DZ8" s="26" t="str">
        <f>('Inteligencia emocional'!A366)</f>
        <v>0</v>
      </c>
      <c r="EA8" s="18" t="str">
        <f>('Inteligencia emocional'!P366)</f>
        <v>0</v>
      </c>
      <c r="EB8" s="22" t="str">
        <f>('Inteligencia emocional'!P372)</f>
        <v>0</v>
      </c>
      <c r="ED8" s="11"/>
      <c r="EG8" s="11"/>
      <c r="EI8" s="26" t="str">
        <f>('Inteligencia emocional'!A366)</f>
        <v>0</v>
      </c>
      <c r="EJ8" s="18" t="str">
        <f>('Inteligencia emocional'!Q366)</f>
        <v>0</v>
      </c>
      <c r="EK8" s="22" t="str">
        <f>('Inteligencia emocional'!Q372)</f>
        <v>0</v>
      </c>
      <c r="EM8" s="11"/>
      <c r="EP8" s="11"/>
      <c r="ER8" s="26" t="str">
        <f>('Inteligencia emocional'!A366)</f>
        <v>0</v>
      </c>
      <c r="ES8" s="18" t="str">
        <f>('Inteligencia emocional'!R366)</f>
        <v>0</v>
      </c>
      <c r="ET8" s="22" t="str">
        <f>('Inteligencia emocional'!R372)</f>
        <v>0</v>
      </c>
      <c r="EV8" s="11"/>
      <c r="EY8" s="11"/>
      <c r="FA8" s="26" t="str">
        <f>('Inteligencia emocional'!A366)</f>
        <v>0</v>
      </c>
      <c r="FB8" s="18" t="str">
        <f>('Inteligencia emocional'!S366)</f>
        <v>0</v>
      </c>
      <c r="FC8" s="22" t="str">
        <f>('Inteligencia emocional'!S372)</f>
        <v>0</v>
      </c>
      <c r="FE8" s="11"/>
      <c r="FH8" s="11"/>
      <c r="FJ8" s="26" t="str">
        <f>('Inteligencia emocional'!A366)</f>
        <v>0</v>
      </c>
      <c r="FK8" s="18" t="str">
        <f>('Inteligencia emocional'!T366)</f>
        <v>0</v>
      </c>
      <c r="FL8" s="22" t="str">
        <f>('Inteligencia emocional'!T372)</f>
        <v>0</v>
      </c>
      <c r="FN8" s="11"/>
      <c r="FQ8" s="11"/>
      <c r="FS8" s="26" t="str">
        <f>('Inteligencia emocional'!A366)</f>
        <v>0</v>
      </c>
      <c r="FT8" s="18" t="str">
        <f>('Inteligencia emocional'!U366)</f>
        <v>0</v>
      </c>
      <c r="FU8" s="22" t="str">
        <f>('Inteligencia emocional'!U372)</f>
        <v>0</v>
      </c>
      <c r="FW8" s="11"/>
      <c r="FZ8" s="11"/>
      <c r="GB8" s="26" t="str">
        <f>('Inteligencia emocional'!A366)</f>
        <v>0</v>
      </c>
      <c r="GC8" s="18" t="str">
        <f>('Inteligencia emocional'!V366)</f>
        <v>0</v>
      </c>
      <c r="GD8" s="22" t="str">
        <f>('Inteligencia emocional'!V372)</f>
        <v>0</v>
      </c>
      <c r="GF8" s="11"/>
      <c r="GI8" s="11"/>
      <c r="GK8" s="26" t="str">
        <f>('Inteligencia emocional'!A366)</f>
        <v>0</v>
      </c>
      <c r="GL8" s="18" t="str">
        <f>('Inteligencia emocional'!W366)</f>
        <v>0</v>
      </c>
      <c r="GM8" s="22" t="str">
        <f>('Inteligencia emocional'!W372)</f>
        <v>0</v>
      </c>
      <c r="GO8" s="11"/>
      <c r="GR8" s="11"/>
      <c r="GT8" s="26" t="str">
        <f>('Inteligencia emocional'!A366)</f>
        <v>0</v>
      </c>
      <c r="GU8" s="18" t="str">
        <f>('Inteligencia emocional'!X366)</f>
        <v>0</v>
      </c>
      <c r="GV8" s="22" t="str">
        <f>('Inteligencia emocional'!X372)</f>
        <v>0</v>
      </c>
      <c r="GX8" s="11"/>
      <c r="HA8" s="11"/>
      <c r="HC8" s="26" t="str">
        <f>('Inteligencia emocional'!A366)</f>
        <v>0</v>
      </c>
      <c r="HD8" s="18" t="str">
        <f>('Inteligencia emocional'!Y366)</f>
        <v>0</v>
      </c>
      <c r="HE8" s="22" t="str">
        <f>('Inteligencia emocional'!Y372)</f>
        <v>0</v>
      </c>
      <c r="HG8" s="11"/>
    </row>
    <row r="9" spans="1:215">
      <c r="B9" s="11"/>
      <c r="D9" s="26" t="str">
        <f>('Inteligencia emocional'!A367)</f>
        <v>0</v>
      </c>
      <c r="E9" s="18" t="str">
        <f>('Inteligencia emocional'!B367)</f>
        <v>0</v>
      </c>
      <c r="F9" s="22" t="str">
        <f>('Inteligencia emocional'!B373)</f>
        <v>0</v>
      </c>
      <c r="H9" s="11"/>
      <c r="K9" s="11"/>
      <c r="M9" s="26" t="str">
        <f>('Inteligencia emocional'!A367)</f>
        <v>0</v>
      </c>
      <c r="N9" s="18" t="str">
        <f>('Inteligencia emocional'!C367)</f>
        <v>0</v>
      </c>
      <c r="O9" s="22" t="str">
        <f>('Inteligencia emocional'!C373)</f>
        <v>0</v>
      </c>
      <c r="Q9" s="11"/>
      <c r="T9" s="11"/>
      <c r="V9" s="26" t="str">
        <f>('Inteligencia emocional'!A367)</f>
        <v>0</v>
      </c>
      <c r="W9" s="18" t="str">
        <f>('Inteligencia emocional'!D367)</f>
        <v>0</v>
      </c>
      <c r="X9" s="22" t="str">
        <f>('Inteligencia emocional'!D373)</f>
        <v>0</v>
      </c>
      <c r="Z9" s="11"/>
      <c r="AC9" s="11"/>
      <c r="AE9" s="26" t="str">
        <f>('Inteligencia emocional'!A367)</f>
        <v>0</v>
      </c>
      <c r="AF9" s="18" t="str">
        <f>('Inteligencia emocional'!E367)</f>
        <v>0</v>
      </c>
      <c r="AG9" s="22" t="str">
        <f>('Inteligencia emocional'!E373)</f>
        <v>0</v>
      </c>
      <c r="AI9" s="11"/>
      <c r="AL9" s="11"/>
      <c r="AN9" s="26" t="str">
        <f>('Inteligencia emocional'!A367)</f>
        <v>0</v>
      </c>
      <c r="AO9" s="18" t="str">
        <f>('Inteligencia emocional'!F367)</f>
        <v>0</v>
      </c>
      <c r="AP9" s="22" t="str">
        <f>('Inteligencia emocional'!F373)</f>
        <v>0</v>
      </c>
      <c r="AR9" s="11"/>
      <c r="AU9" s="11"/>
      <c r="AW9" s="26" t="str">
        <f>('Inteligencia emocional'!A367)</f>
        <v>0</v>
      </c>
      <c r="AX9" s="18" t="str">
        <f>('Inteligencia emocional'!G367)</f>
        <v>0</v>
      </c>
      <c r="AY9" s="22" t="str">
        <f>('Inteligencia emocional'!G373)</f>
        <v>0</v>
      </c>
      <c r="BA9" s="11"/>
      <c r="BD9" s="11"/>
      <c r="BF9" s="26" t="str">
        <f>('Inteligencia emocional'!A367)</f>
        <v>0</v>
      </c>
      <c r="BG9" s="18" t="str">
        <f>('Inteligencia emocional'!H367)</f>
        <v>0</v>
      </c>
      <c r="BH9" s="22" t="str">
        <f>('Inteligencia emocional'!H373)</f>
        <v>0</v>
      </c>
      <c r="BJ9" s="11"/>
      <c r="BM9" s="11"/>
      <c r="BO9" s="26" t="str">
        <f>('Inteligencia emocional'!A367)</f>
        <v>0</v>
      </c>
      <c r="BP9" s="18" t="str">
        <f>('Inteligencia emocional'!I367)</f>
        <v>0</v>
      </c>
      <c r="BQ9" s="22" t="str">
        <f>('Inteligencia emocional'!I373)</f>
        <v>0</v>
      </c>
      <c r="BS9" s="11"/>
      <c r="BV9" s="11"/>
      <c r="BX9" s="26" t="str">
        <f>('Inteligencia emocional'!A367)</f>
        <v>0</v>
      </c>
      <c r="BY9" s="18" t="str">
        <f>('Inteligencia emocional'!J367)</f>
        <v>0</v>
      </c>
      <c r="BZ9" s="22" t="str">
        <f>('Inteligencia emocional'!J373)</f>
        <v>0</v>
      </c>
      <c r="CB9" s="11"/>
      <c r="CE9" s="11"/>
      <c r="CG9" s="26" t="str">
        <f>('Inteligencia emocional'!A367)</f>
        <v>0</v>
      </c>
      <c r="CH9" s="18" t="str">
        <f>('Inteligencia emocional'!K367)</f>
        <v>0</v>
      </c>
      <c r="CI9" s="22" t="str">
        <f>('Inteligencia emocional'!K373)</f>
        <v>0</v>
      </c>
      <c r="CK9" s="11"/>
      <c r="CN9" s="11"/>
      <c r="CP9" s="26" t="str">
        <f>('Inteligencia emocional'!A367)</f>
        <v>0</v>
      </c>
      <c r="CQ9" s="18" t="str">
        <f>('Inteligencia emocional'!L367)</f>
        <v>0</v>
      </c>
      <c r="CR9" s="22" t="str">
        <f>('Inteligencia emocional'!L373)</f>
        <v>0</v>
      </c>
      <c r="CT9" s="11"/>
      <c r="CW9" s="11"/>
      <c r="CY9" s="26" t="str">
        <f>('Inteligencia emocional'!A367)</f>
        <v>0</v>
      </c>
      <c r="CZ9" s="18" t="str">
        <f>('Inteligencia emocional'!M367)</f>
        <v>0</v>
      </c>
      <c r="DA9" s="22" t="str">
        <f>('Inteligencia emocional'!M373)</f>
        <v>0</v>
      </c>
      <c r="DC9" s="11"/>
      <c r="DF9" s="11"/>
      <c r="DH9" s="26" t="str">
        <f>('Inteligencia emocional'!A367)</f>
        <v>0</v>
      </c>
      <c r="DI9" s="18" t="str">
        <f>('Inteligencia emocional'!N367)</f>
        <v>0</v>
      </c>
      <c r="DJ9" s="22" t="str">
        <f>('Inteligencia emocional'!N373)</f>
        <v>0</v>
      </c>
      <c r="DL9" s="11"/>
      <c r="DO9" s="11"/>
      <c r="DQ9" s="26" t="str">
        <f>('Inteligencia emocional'!A367)</f>
        <v>0</v>
      </c>
      <c r="DR9" s="18" t="str">
        <f>('Inteligencia emocional'!O367)</f>
        <v>0</v>
      </c>
      <c r="DS9" s="22" t="str">
        <f>('Inteligencia emocional'!O373)</f>
        <v>0</v>
      </c>
      <c r="DU9" s="11"/>
      <c r="DX9" s="11"/>
      <c r="DZ9" s="26" t="str">
        <f>('Inteligencia emocional'!A367)</f>
        <v>0</v>
      </c>
      <c r="EA9" s="18" t="str">
        <f>('Inteligencia emocional'!P367)</f>
        <v>0</v>
      </c>
      <c r="EB9" s="22" t="str">
        <f>('Inteligencia emocional'!P373)</f>
        <v>0</v>
      </c>
      <c r="ED9" s="11"/>
      <c r="EG9" s="11"/>
      <c r="EI9" s="26" t="str">
        <f>('Inteligencia emocional'!A367)</f>
        <v>0</v>
      </c>
      <c r="EJ9" s="18" t="str">
        <f>('Inteligencia emocional'!Q367)</f>
        <v>0</v>
      </c>
      <c r="EK9" s="22" t="str">
        <f>('Inteligencia emocional'!Q373)</f>
        <v>0</v>
      </c>
      <c r="EM9" s="11"/>
      <c r="EP9" s="11"/>
      <c r="ER9" s="26" t="str">
        <f>('Inteligencia emocional'!A367)</f>
        <v>0</v>
      </c>
      <c r="ES9" s="18" t="str">
        <f>('Inteligencia emocional'!R367)</f>
        <v>0</v>
      </c>
      <c r="ET9" s="22" t="str">
        <f>('Inteligencia emocional'!R373)</f>
        <v>0</v>
      </c>
      <c r="EV9" s="11"/>
      <c r="EY9" s="11"/>
      <c r="FA9" s="26" t="str">
        <f>('Inteligencia emocional'!A367)</f>
        <v>0</v>
      </c>
      <c r="FB9" s="18" t="str">
        <f>('Inteligencia emocional'!S367)</f>
        <v>0</v>
      </c>
      <c r="FC9" s="22" t="str">
        <f>('Inteligencia emocional'!S373)</f>
        <v>0</v>
      </c>
      <c r="FE9" s="11"/>
      <c r="FH9" s="11"/>
      <c r="FJ9" s="26" t="str">
        <f>('Inteligencia emocional'!A367)</f>
        <v>0</v>
      </c>
      <c r="FK9" s="18" t="str">
        <f>('Inteligencia emocional'!T367)</f>
        <v>0</v>
      </c>
      <c r="FL9" s="22" t="str">
        <f>('Inteligencia emocional'!T373)</f>
        <v>0</v>
      </c>
      <c r="FN9" s="11"/>
      <c r="FQ9" s="11"/>
      <c r="FS9" s="26" t="str">
        <f>('Inteligencia emocional'!A367)</f>
        <v>0</v>
      </c>
      <c r="FT9" s="18" t="str">
        <f>('Inteligencia emocional'!U367)</f>
        <v>0</v>
      </c>
      <c r="FU9" s="22" t="str">
        <f>('Inteligencia emocional'!U373)</f>
        <v>0</v>
      </c>
      <c r="FW9" s="11"/>
      <c r="FZ9" s="11"/>
      <c r="GB9" s="26" t="str">
        <f>('Inteligencia emocional'!A367)</f>
        <v>0</v>
      </c>
      <c r="GC9" s="18" t="str">
        <f>('Inteligencia emocional'!V367)</f>
        <v>0</v>
      </c>
      <c r="GD9" s="22" t="str">
        <f>('Inteligencia emocional'!V373)</f>
        <v>0</v>
      </c>
      <c r="GF9" s="11"/>
      <c r="GI9" s="11"/>
      <c r="GK9" s="26" t="str">
        <f>('Inteligencia emocional'!A367)</f>
        <v>0</v>
      </c>
      <c r="GL9" s="18" t="str">
        <f>('Inteligencia emocional'!W367)</f>
        <v>0</v>
      </c>
      <c r="GM9" s="22" t="str">
        <f>('Inteligencia emocional'!W373)</f>
        <v>0</v>
      </c>
      <c r="GO9" s="11"/>
      <c r="GR9" s="11"/>
      <c r="GT9" s="26" t="str">
        <f>('Inteligencia emocional'!A367)</f>
        <v>0</v>
      </c>
      <c r="GU9" s="18" t="str">
        <f>('Inteligencia emocional'!X367)</f>
        <v>0</v>
      </c>
      <c r="GV9" s="22" t="str">
        <f>('Inteligencia emocional'!X373)</f>
        <v>0</v>
      </c>
      <c r="GX9" s="11"/>
      <c r="HA9" s="11"/>
      <c r="HC9" s="26" t="str">
        <f>('Inteligencia emocional'!A367)</f>
        <v>0</v>
      </c>
      <c r="HD9" s="18" t="str">
        <f>('Inteligencia emocional'!Y367)</f>
        <v>0</v>
      </c>
      <c r="HE9" s="22" t="str">
        <f>('Inteligencia emocional'!Y373)</f>
        <v>0</v>
      </c>
      <c r="HG9" s="11"/>
    </row>
    <row r="10" spans="1:215">
      <c r="B10" s="11"/>
      <c r="D10" s="26" t="str">
        <f>('Inteligencia emocional'!A368)</f>
        <v>0</v>
      </c>
      <c r="E10" s="18" t="str">
        <f>('Inteligencia emocional'!B368)</f>
        <v>0</v>
      </c>
      <c r="F10" s="22" t="str">
        <f>('Inteligencia emocional'!B374)</f>
        <v>0</v>
      </c>
      <c r="H10" s="11"/>
      <c r="K10" s="11"/>
      <c r="M10" s="26" t="str">
        <f>('Inteligencia emocional'!A368)</f>
        <v>0</v>
      </c>
      <c r="N10" s="18" t="str">
        <f>('Inteligencia emocional'!C368)</f>
        <v>0</v>
      </c>
      <c r="O10" s="22" t="str">
        <f>('Inteligencia emocional'!C374)</f>
        <v>0</v>
      </c>
      <c r="Q10" s="11"/>
      <c r="T10" s="11"/>
      <c r="V10" s="26" t="str">
        <f>('Inteligencia emocional'!A368)</f>
        <v>0</v>
      </c>
      <c r="W10" s="18" t="str">
        <f>('Inteligencia emocional'!D368)</f>
        <v>0</v>
      </c>
      <c r="X10" s="22" t="str">
        <f>('Inteligencia emocional'!D374)</f>
        <v>0</v>
      </c>
      <c r="Z10" s="11"/>
      <c r="AC10" s="11"/>
      <c r="AE10" s="26" t="str">
        <f>('Inteligencia emocional'!A368)</f>
        <v>0</v>
      </c>
      <c r="AF10" s="18" t="str">
        <f>('Inteligencia emocional'!E368)</f>
        <v>0</v>
      </c>
      <c r="AG10" s="22" t="str">
        <f>('Inteligencia emocional'!E374)</f>
        <v>0</v>
      </c>
      <c r="AI10" s="11"/>
      <c r="AL10" s="11"/>
      <c r="AN10" s="26" t="str">
        <f>('Inteligencia emocional'!A368)</f>
        <v>0</v>
      </c>
      <c r="AO10" s="18" t="str">
        <f>('Inteligencia emocional'!F368)</f>
        <v>0</v>
      </c>
      <c r="AP10" s="22" t="str">
        <f>('Inteligencia emocional'!F374)</f>
        <v>0</v>
      </c>
      <c r="AR10" s="11"/>
      <c r="AU10" s="11"/>
      <c r="AW10" s="26" t="str">
        <f>('Inteligencia emocional'!A368)</f>
        <v>0</v>
      </c>
      <c r="AX10" s="18" t="str">
        <f>('Inteligencia emocional'!G368)</f>
        <v>0</v>
      </c>
      <c r="AY10" s="22" t="str">
        <f>('Inteligencia emocional'!G374)</f>
        <v>0</v>
      </c>
      <c r="BA10" s="11"/>
      <c r="BD10" s="11"/>
      <c r="BF10" s="26" t="str">
        <f>('Inteligencia emocional'!A368)</f>
        <v>0</v>
      </c>
      <c r="BG10" s="18" t="str">
        <f>('Inteligencia emocional'!H368)</f>
        <v>0</v>
      </c>
      <c r="BH10" s="22" t="str">
        <f>('Inteligencia emocional'!H374)</f>
        <v>0</v>
      </c>
      <c r="BJ10" s="11"/>
      <c r="BM10" s="11"/>
      <c r="BO10" s="26" t="str">
        <f>('Inteligencia emocional'!A368)</f>
        <v>0</v>
      </c>
      <c r="BP10" s="18" t="str">
        <f>('Inteligencia emocional'!I368)</f>
        <v>0</v>
      </c>
      <c r="BQ10" s="22" t="str">
        <f>('Inteligencia emocional'!I374)</f>
        <v>0</v>
      </c>
      <c r="BS10" s="11"/>
      <c r="BV10" s="11"/>
      <c r="BX10" s="26" t="str">
        <f>('Inteligencia emocional'!A368)</f>
        <v>0</v>
      </c>
      <c r="BY10" s="18" t="str">
        <f>('Inteligencia emocional'!J368)</f>
        <v>0</v>
      </c>
      <c r="BZ10" s="22" t="str">
        <f>('Inteligencia emocional'!J374)</f>
        <v>0</v>
      </c>
      <c r="CB10" s="11"/>
      <c r="CE10" s="11"/>
      <c r="CG10" s="26" t="str">
        <f>('Inteligencia emocional'!A368)</f>
        <v>0</v>
      </c>
      <c r="CH10" s="18" t="str">
        <f>('Inteligencia emocional'!K368)</f>
        <v>0</v>
      </c>
      <c r="CI10" s="22" t="str">
        <f>('Inteligencia emocional'!K374)</f>
        <v>0</v>
      </c>
      <c r="CK10" s="11"/>
      <c r="CN10" s="11"/>
      <c r="CP10" s="26" t="str">
        <f>('Inteligencia emocional'!A368)</f>
        <v>0</v>
      </c>
      <c r="CQ10" s="18" t="str">
        <f>('Inteligencia emocional'!L368)</f>
        <v>0</v>
      </c>
      <c r="CR10" s="22" t="str">
        <f>('Inteligencia emocional'!L374)</f>
        <v>0</v>
      </c>
      <c r="CT10" s="11"/>
      <c r="CW10" s="11"/>
      <c r="CY10" s="26" t="str">
        <f>('Inteligencia emocional'!A368)</f>
        <v>0</v>
      </c>
      <c r="CZ10" s="18" t="str">
        <f>('Inteligencia emocional'!M368)</f>
        <v>0</v>
      </c>
      <c r="DA10" s="22" t="str">
        <f>('Inteligencia emocional'!M374)</f>
        <v>0</v>
      </c>
      <c r="DC10" s="11"/>
      <c r="DF10" s="11"/>
      <c r="DH10" s="26" t="str">
        <f>('Inteligencia emocional'!A368)</f>
        <v>0</v>
      </c>
      <c r="DI10" s="18" t="str">
        <f>('Inteligencia emocional'!N368)</f>
        <v>0</v>
      </c>
      <c r="DJ10" s="22" t="str">
        <f>('Inteligencia emocional'!N374)</f>
        <v>0</v>
      </c>
      <c r="DL10" s="11"/>
      <c r="DO10" s="11"/>
      <c r="DQ10" s="26" t="str">
        <f>('Inteligencia emocional'!A368)</f>
        <v>0</v>
      </c>
      <c r="DR10" s="18" t="str">
        <f>('Inteligencia emocional'!O368)</f>
        <v>0</v>
      </c>
      <c r="DS10" s="22" t="str">
        <f>('Inteligencia emocional'!O374)</f>
        <v>0</v>
      </c>
      <c r="DU10" s="11"/>
      <c r="DX10" s="11"/>
      <c r="DZ10" s="26" t="str">
        <f>('Inteligencia emocional'!A368)</f>
        <v>0</v>
      </c>
      <c r="EA10" s="18" t="str">
        <f>('Inteligencia emocional'!P368)</f>
        <v>0</v>
      </c>
      <c r="EB10" s="22" t="str">
        <f>('Inteligencia emocional'!P374)</f>
        <v>0</v>
      </c>
      <c r="ED10" s="11"/>
      <c r="EG10" s="11"/>
      <c r="EI10" s="26" t="str">
        <f>('Inteligencia emocional'!A368)</f>
        <v>0</v>
      </c>
      <c r="EJ10" s="18" t="str">
        <f>('Inteligencia emocional'!Q368)</f>
        <v>0</v>
      </c>
      <c r="EK10" s="22" t="str">
        <f>('Inteligencia emocional'!Q374)</f>
        <v>0</v>
      </c>
      <c r="EM10" s="11"/>
      <c r="EP10" s="11"/>
      <c r="ER10" s="26" t="str">
        <f>('Inteligencia emocional'!A368)</f>
        <v>0</v>
      </c>
      <c r="ES10" s="18" t="str">
        <f>('Inteligencia emocional'!R368)</f>
        <v>0</v>
      </c>
      <c r="ET10" s="22" t="str">
        <f>('Inteligencia emocional'!R374)</f>
        <v>0</v>
      </c>
      <c r="EV10" s="11"/>
      <c r="EY10" s="11"/>
      <c r="FA10" s="26" t="str">
        <f>('Inteligencia emocional'!A368)</f>
        <v>0</v>
      </c>
      <c r="FB10" s="18" t="str">
        <f>('Inteligencia emocional'!S368)</f>
        <v>0</v>
      </c>
      <c r="FC10" s="22" t="str">
        <f>('Inteligencia emocional'!S374)</f>
        <v>0</v>
      </c>
      <c r="FE10" s="11"/>
      <c r="FH10" s="11"/>
      <c r="FJ10" s="26" t="str">
        <f>('Inteligencia emocional'!A368)</f>
        <v>0</v>
      </c>
      <c r="FK10" s="18" t="str">
        <f>('Inteligencia emocional'!T368)</f>
        <v>0</v>
      </c>
      <c r="FL10" s="22" t="str">
        <f>('Inteligencia emocional'!T374)</f>
        <v>0</v>
      </c>
      <c r="FN10" s="11"/>
      <c r="FQ10" s="11"/>
      <c r="FS10" s="26" t="str">
        <f>('Inteligencia emocional'!A368)</f>
        <v>0</v>
      </c>
      <c r="FT10" s="18" t="str">
        <f>('Inteligencia emocional'!U368)</f>
        <v>0</v>
      </c>
      <c r="FU10" s="22" t="str">
        <f>('Inteligencia emocional'!U374)</f>
        <v>0</v>
      </c>
      <c r="FW10" s="11"/>
      <c r="FZ10" s="11"/>
      <c r="GB10" s="26" t="str">
        <f>('Inteligencia emocional'!A368)</f>
        <v>0</v>
      </c>
      <c r="GC10" s="18" t="str">
        <f>('Inteligencia emocional'!V368)</f>
        <v>0</v>
      </c>
      <c r="GD10" s="22" t="str">
        <f>('Inteligencia emocional'!V374)</f>
        <v>0</v>
      </c>
      <c r="GF10" s="11"/>
      <c r="GI10" s="11"/>
      <c r="GK10" s="26" t="str">
        <f>('Inteligencia emocional'!A368)</f>
        <v>0</v>
      </c>
      <c r="GL10" s="18" t="str">
        <f>('Inteligencia emocional'!W368)</f>
        <v>0</v>
      </c>
      <c r="GM10" s="22" t="str">
        <f>('Inteligencia emocional'!W374)</f>
        <v>0</v>
      </c>
      <c r="GO10" s="11"/>
      <c r="GR10" s="11"/>
      <c r="GT10" s="26" t="str">
        <f>('Inteligencia emocional'!A368)</f>
        <v>0</v>
      </c>
      <c r="GU10" s="18" t="str">
        <f>('Inteligencia emocional'!X368)</f>
        <v>0</v>
      </c>
      <c r="GV10" s="22" t="str">
        <f>('Inteligencia emocional'!X374)</f>
        <v>0</v>
      </c>
      <c r="GX10" s="11"/>
      <c r="HA10" s="11"/>
      <c r="HC10" s="26" t="str">
        <f>('Inteligencia emocional'!A368)</f>
        <v>0</v>
      </c>
      <c r="HD10" s="18" t="str">
        <f>('Inteligencia emocional'!Y368)</f>
        <v>0</v>
      </c>
      <c r="HE10" s="22" t="str">
        <f>('Inteligencia emocional'!Y374)</f>
        <v>0</v>
      </c>
      <c r="HG10" s="11"/>
    </row>
    <row r="11" spans="1:215">
      <c r="B11" s="11"/>
      <c r="D11" s="26" t="str">
        <f>('Inteligencia emocional'!A369)</f>
        <v>0</v>
      </c>
      <c r="E11" s="18" t="str">
        <f>('Inteligencia emocional'!B369)</f>
        <v>0</v>
      </c>
      <c r="F11" s="22" t="str">
        <f>('Inteligencia emocional'!B375)</f>
        <v>0</v>
      </c>
      <c r="H11" s="11"/>
      <c r="K11" s="11"/>
      <c r="M11" s="26" t="str">
        <f>('Inteligencia emocional'!A369)</f>
        <v>0</v>
      </c>
      <c r="N11" s="18" t="str">
        <f>('Inteligencia emocional'!C369)</f>
        <v>0</v>
      </c>
      <c r="O11" s="22" t="str">
        <f>('Inteligencia emocional'!C375)</f>
        <v>0</v>
      </c>
      <c r="Q11" s="11"/>
      <c r="T11" s="11"/>
      <c r="V11" s="26" t="str">
        <f>('Inteligencia emocional'!A369)</f>
        <v>0</v>
      </c>
      <c r="W11" s="18" t="str">
        <f>('Inteligencia emocional'!D369)</f>
        <v>0</v>
      </c>
      <c r="X11" s="22" t="str">
        <f>('Inteligencia emocional'!D375)</f>
        <v>0</v>
      </c>
      <c r="Z11" s="11"/>
      <c r="AC11" s="11"/>
      <c r="AE11" s="26" t="str">
        <f>('Inteligencia emocional'!A369)</f>
        <v>0</v>
      </c>
      <c r="AF11" s="18" t="str">
        <f>('Inteligencia emocional'!E369)</f>
        <v>0</v>
      </c>
      <c r="AG11" s="22" t="str">
        <f>('Inteligencia emocional'!E375)</f>
        <v>0</v>
      </c>
      <c r="AI11" s="11"/>
      <c r="AL11" s="11"/>
      <c r="AN11" s="26" t="str">
        <f>('Inteligencia emocional'!A369)</f>
        <v>0</v>
      </c>
      <c r="AO11" s="18" t="str">
        <f>('Inteligencia emocional'!F369)</f>
        <v>0</v>
      </c>
      <c r="AP11" s="22" t="str">
        <f>('Inteligencia emocional'!F375)</f>
        <v>0</v>
      </c>
      <c r="AR11" s="11"/>
      <c r="AU11" s="11"/>
      <c r="AW11" s="26" t="str">
        <f>('Inteligencia emocional'!A369)</f>
        <v>0</v>
      </c>
      <c r="AX11" s="18" t="str">
        <f>('Inteligencia emocional'!G369)</f>
        <v>0</v>
      </c>
      <c r="AY11" s="22" t="str">
        <f>('Inteligencia emocional'!G375)</f>
        <v>0</v>
      </c>
      <c r="BA11" s="11"/>
      <c r="BD11" s="11"/>
      <c r="BF11" s="26" t="str">
        <f>('Inteligencia emocional'!A369)</f>
        <v>0</v>
      </c>
      <c r="BG11" s="18" t="str">
        <f>('Inteligencia emocional'!H369)</f>
        <v>0</v>
      </c>
      <c r="BH11" s="22" t="str">
        <f>('Inteligencia emocional'!H375)</f>
        <v>0</v>
      </c>
      <c r="BJ11" s="11"/>
      <c r="BM11" s="11"/>
      <c r="BO11" s="26" t="str">
        <f>('Inteligencia emocional'!A369)</f>
        <v>0</v>
      </c>
      <c r="BP11" s="18" t="str">
        <f>('Inteligencia emocional'!I369)</f>
        <v>0</v>
      </c>
      <c r="BQ11" s="22" t="str">
        <f>('Inteligencia emocional'!I375)</f>
        <v>0</v>
      </c>
      <c r="BS11" s="11"/>
      <c r="BV11" s="11"/>
      <c r="BX11" s="26" t="str">
        <f>('Inteligencia emocional'!A369)</f>
        <v>0</v>
      </c>
      <c r="BY11" s="18" t="str">
        <f>('Inteligencia emocional'!J369)</f>
        <v>0</v>
      </c>
      <c r="BZ11" s="22" t="str">
        <f>('Inteligencia emocional'!J375)</f>
        <v>0</v>
      </c>
      <c r="CB11" s="11"/>
      <c r="CE11" s="11"/>
      <c r="CG11" s="26" t="str">
        <f>('Inteligencia emocional'!A369)</f>
        <v>0</v>
      </c>
      <c r="CH11" s="18" t="str">
        <f>('Inteligencia emocional'!K369)</f>
        <v>0</v>
      </c>
      <c r="CI11" s="22" t="str">
        <f>('Inteligencia emocional'!K375)</f>
        <v>0</v>
      </c>
      <c r="CK11" s="11"/>
      <c r="CN11" s="11"/>
      <c r="CP11" s="26" t="str">
        <f>('Inteligencia emocional'!A369)</f>
        <v>0</v>
      </c>
      <c r="CQ11" s="18" t="str">
        <f>('Inteligencia emocional'!L369)</f>
        <v>0</v>
      </c>
      <c r="CR11" s="22" t="str">
        <f>('Inteligencia emocional'!L375)</f>
        <v>0</v>
      </c>
      <c r="CT11" s="11"/>
      <c r="CW11" s="11"/>
      <c r="CY11" s="26" t="str">
        <f>('Inteligencia emocional'!A369)</f>
        <v>0</v>
      </c>
      <c r="CZ11" s="18" t="str">
        <f>('Inteligencia emocional'!M369)</f>
        <v>0</v>
      </c>
      <c r="DA11" s="22" t="str">
        <f>('Inteligencia emocional'!M375)</f>
        <v>0</v>
      </c>
      <c r="DC11" s="11"/>
      <c r="DF11" s="11"/>
      <c r="DH11" s="26" t="str">
        <f>('Inteligencia emocional'!A369)</f>
        <v>0</v>
      </c>
      <c r="DI11" s="18" t="str">
        <f>('Inteligencia emocional'!N369)</f>
        <v>0</v>
      </c>
      <c r="DJ11" s="22" t="str">
        <f>('Inteligencia emocional'!N375)</f>
        <v>0</v>
      </c>
      <c r="DL11" s="11"/>
      <c r="DO11" s="11"/>
      <c r="DQ11" s="26" t="str">
        <f>('Inteligencia emocional'!A369)</f>
        <v>0</v>
      </c>
      <c r="DR11" s="18" t="str">
        <f>('Inteligencia emocional'!O369)</f>
        <v>0</v>
      </c>
      <c r="DS11" s="22" t="str">
        <f>('Inteligencia emocional'!O375)</f>
        <v>0</v>
      </c>
      <c r="DU11" s="11"/>
      <c r="DX11" s="11"/>
      <c r="DZ11" s="26" t="str">
        <f>('Inteligencia emocional'!A369)</f>
        <v>0</v>
      </c>
      <c r="EA11" s="18" t="str">
        <f>('Inteligencia emocional'!P369)</f>
        <v>0</v>
      </c>
      <c r="EB11" s="22" t="str">
        <f>('Inteligencia emocional'!P375)</f>
        <v>0</v>
      </c>
      <c r="ED11" s="11"/>
      <c r="EG11" s="11"/>
      <c r="EI11" s="26" t="str">
        <f>('Inteligencia emocional'!A369)</f>
        <v>0</v>
      </c>
      <c r="EJ11" s="18" t="str">
        <f>('Inteligencia emocional'!Q369)</f>
        <v>0</v>
      </c>
      <c r="EK11" s="22" t="str">
        <f>('Inteligencia emocional'!Q375)</f>
        <v>0</v>
      </c>
      <c r="EM11" s="11"/>
      <c r="EP11" s="11"/>
      <c r="ER11" s="26" t="str">
        <f>('Inteligencia emocional'!A369)</f>
        <v>0</v>
      </c>
      <c r="ES11" s="18" t="str">
        <f>('Inteligencia emocional'!R369)</f>
        <v>0</v>
      </c>
      <c r="ET11" s="22" t="str">
        <f>('Inteligencia emocional'!R375)</f>
        <v>0</v>
      </c>
      <c r="EV11" s="11"/>
      <c r="EY11" s="11"/>
      <c r="FA11" s="26" t="str">
        <f>('Inteligencia emocional'!A369)</f>
        <v>0</v>
      </c>
      <c r="FB11" s="18" t="str">
        <f>('Inteligencia emocional'!S369)</f>
        <v>0</v>
      </c>
      <c r="FC11" s="22" t="str">
        <f>('Inteligencia emocional'!S375)</f>
        <v>0</v>
      </c>
      <c r="FE11" s="11"/>
      <c r="FH11" s="11"/>
      <c r="FJ11" s="26" t="str">
        <f>('Inteligencia emocional'!A369)</f>
        <v>0</v>
      </c>
      <c r="FK11" s="18" t="str">
        <f>('Inteligencia emocional'!T369)</f>
        <v>0</v>
      </c>
      <c r="FL11" s="22" t="str">
        <f>('Inteligencia emocional'!T375)</f>
        <v>0</v>
      </c>
      <c r="FN11" s="11"/>
      <c r="FQ11" s="11"/>
      <c r="FS11" s="26" t="str">
        <f>('Inteligencia emocional'!A369)</f>
        <v>0</v>
      </c>
      <c r="FT11" s="18" t="str">
        <f>('Inteligencia emocional'!U369)</f>
        <v>0</v>
      </c>
      <c r="FU11" s="22" t="str">
        <f>('Inteligencia emocional'!U375)</f>
        <v>0</v>
      </c>
      <c r="FW11" s="11"/>
      <c r="FZ11" s="11"/>
      <c r="GB11" s="26" t="str">
        <f>('Inteligencia emocional'!A369)</f>
        <v>0</v>
      </c>
      <c r="GC11" s="18" t="str">
        <f>('Inteligencia emocional'!V369)</f>
        <v>0</v>
      </c>
      <c r="GD11" s="22" t="str">
        <f>('Inteligencia emocional'!V375)</f>
        <v>0</v>
      </c>
      <c r="GF11" s="11"/>
      <c r="GI11" s="11"/>
      <c r="GK11" s="26" t="str">
        <f>('Inteligencia emocional'!A369)</f>
        <v>0</v>
      </c>
      <c r="GL11" s="18" t="str">
        <f>('Inteligencia emocional'!W369)</f>
        <v>0</v>
      </c>
      <c r="GM11" s="22" t="str">
        <f>('Inteligencia emocional'!W375)</f>
        <v>0</v>
      </c>
      <c r="GO11" s="11"/>
      <c r="GR11" s="11"/>
      <c r="GT11" s="26" t="str">
        <f>('Inteligencia emocional'!A369)</f>
        <v>0</v>
      </c>
      <c r="GU11" s="18" t="str">
        <f>('Inteligencia emocional'!X369)</f>
        <v>0</v>
      </c>
      <c r="GV11" s="22" t="str">
        <f>('Inteligencia emocional'!X375)</f>
        <v>0</v>
      </c>
      <c r="GX11" s="11"/>
      <c r="HA11" s="11"/>
      <c r="HC11" s="26" t="str">
        <f>('Inteligencia emocional'!A369)</f>
        <v>0</v>
      </c>
      <c r="HD11" s="18" t="str">
        <f>('Inteligencia emocional'!Y369)</f>
        <v>0</v>
      </c>
      <c r="HE11" s="22" t="str">
        <f>('Inteligencia emocional'!Y375)</f>
        <v>0</v>
      </c>
      <c r="HG11" s="11"/>
    </row>
    <row r="12" spans="1:215">
      <c r="B12" s="11"/>
      <c r="D12" s="26" t="str">
        <f>('Inteligencia emocional'!A370)</f>
        <v>0</v>
      </c>
      <c r="E12" s="18" t="str">
        <f>('Inteligencia emocional'!B370)</f>
        <v>0</v>
      </c>
      <c r="F12" s="22" t="str">
        <f>('Inteligencia emocional'!B376)</f>
        <v>0</v>
      </c>
      <c r="H12" s="11"/>
      <c r="K12" s="11"/>
      <c r="M12" s="26" t="str">
        <f>('Inteligencia emocional'!A370)</f>
        <v>0</v>
      </c>
      <c r="N12" s="18" t="str">
        <f>('Inteligencia emocional'!C370)</f>
        <v>0</v>
      </c>
      <c r="O12" s="22" t="str">
        <f>('Inteligencia emocional'!C376)</f>
        <v>0</v>
      </c>
      <c r="Q12" s="11"/>
      <c r="T12" s="11"/>
      <c r="V12" s="26" t="str">
        <f>('Inteligencia emocional'!A370)</f>
        <v>0</v>
      </c>
      <c r="W12" s="18" t="str">
        <f>('Inteligencia emocional'!D370)</f>
        <v>0</v>
      </c>
      <c r="X12" s="22" t="str">
        <f>('Inteligencia emocional'!D376)</f>
        <v>0</v>
      </c>
      <c r="Z12" s="11"/>
      <c r="AC12" s="11"/>
      <c r="AE12" s="26" t="str">
        <f>('Inteligencia emocional'!A370)</f>
        <v>0</v>
      </c>
      <c r="AF12" s="18" t="str">
        <f>('Inteligencia emocional'!E370)</f>
        <v>0</v>
      </c>
      <c r="AG12" s="22" t="str">
        <f>('Inteligencia emocional'!E376)</f>
        <v>0</v>
      </c>
      <c r="AI12" s="11"/>
      <c r="AL12" s="11"/>
      <c r="AN12" s="26" t="str">
        <f>('Inteligencia emocional'!A370)</f>
        <v>0</v>
      </c>
      <c r="AO12" s="18" t="str">
        <f>('Inteligencia emocional'!F370)</f>
        <v>0</v>
      </c>
      <c r="AP12" s="22" t="str">
        <f>('Inteligencia emocional'!F376)</f>
        <v>0</v>
      </c>
      <c r="AR12" s="11"/>
      <c r="AU12" s="11"/>
      <c r="AW12" s="26" t="str">
        <f>('Inteligencia emocional'!A370)</f>
        <v>0</v>
      </c>
      <c r="AX12" s="18" t="str">
        <f>('Inteligencia emocional'!G370)</f>
        <v>0</v>
      </c>
      <c r="AY12" s="22" t="str">
        <f>('Inteligencia emocional'!G376)</f>
        <v>0</v>
      </c>
      <c r="BA12" s="11"/>
      <c r="BD12" s="11"/>
      <c r="BF12" s="26" t="str">
        <f>('Inteligencia emocional'!A370)</f>
        <v>0</v>
      </c>
      <c r="BG12" s="18" t="str">
        <f>('Inteligencia emocional'!H370)</f>
        <v>0</v>
      </c>
      <c r="BH12" s="22" t="str">
        <f>('Inteligencia emocional'!H376)</f>
        <v>0</v>
      </c>
      <c r="BJ12" s="11"/>
      <c r="BM12" s="11"/>
      <c r="BO12" s="26" t="str">
        <f>('Inteligencia emocional'!A370)</f>
        <v>0</v>
      </c>
      <c r="BP12" s="18" t="str">
        <f>('Inteligencia emocional'!I370)</f>
        <v>0</v>
      </c>
      <c r="BQ12" s="22" t="str">
        <f>('Inteligencia emocional'!I376)</f>
        <v>0</v>
      </c>
      <c r="BS12" s="11"/>
      <c r="BV12" s="11"/>
      <c r="BX12" s="26" t="str">
        <f>('Inteligencia emocional'!A370)</f>
        <v>0</v>
      </c>
      <c r="BY12" s="18" t="str">
        <f>('Inteligencia emocional'!J370)</f>
        <v>0</v>
      </c>
      <c r="BZ12" s="22" t="str">
        <f>('Inteligencia emocional'!J376)</f>
        <v>0</v>
      </c>
      <c r="CB12" s="11"/>
      <c r="CE12" s="11"/>
      <c r="CG12" s="26" t="str">
        <f>('Inteligencia emocional'!A370)</f>
        <v>0</v>
      </c>
      <c r="CH12" s="18" t="str">
        <f>('Inteligencia emocional'!K370)</f>
        <v>0</v>
      </c>
      <c r="CI12" s="22" t="str">
        <f>('Inteligencia emocional'!K376)</f>
        <v>0</v>
      </c>
      <c r="CK12" s="11"/>
      <c r="CN12" s="11"/>
      <c r="CP12" s="26" t="str">
        <f>('Inteligencia emocional'!A370)</f>
        <v>0</v>
      </c>
      <c r="CQ12" s="18" t="str">
        <f>('Inteligencia emocional'!L370)</f>
        <v>0</v>
      </c>
      <c r="CR12" s="22" t="str">
        <f>('Inteligencia emocional'!L376)</f>
        <v>0</v>
      </c>
      <c r="CT12" s="11"/>
      <c r="CW12" s="11"/>
      <c r="CY12" s="26" t="str">
        <f>('Inteligencia emocional'!A370)</f>
        <v>0</v>
      </c>
      <c r="CZ12" s="18" t="str">
        <f>('Inteligencia emocional'!M370)</f>
        <v>0</v>
      </c>
      <c r="DA12" s="22" t="str">
        <f>('Inteligencia emocional'!M376)</f>
        <v>0</v>
      </c>
      <c r="DC12" s="11"/>
      <c r="DF12" s="11"/>
      <c r="DH12" s="26" t="str">
        <f>('Inteligencia emocional'!A370)</f>
        <v>0</v>
      </c>
      <c r="DI12" s="18" t="str">
        <f>('Inteligencia emocional'!N370)</f>
        <v>0</v>
      </c>
      <c r="DJ12" s="22" t="str">
        <f>('Inteligencia emocional'!N376)</f>
        <v>0</v>
      </c>
      <c r="DL12" s="11"/>
      <c r="DO12" s="11"/>
      <c r="DQ12" s="26" t="str">
        <f>('Inteligencia emocional'!A370)</f>
        <v>0</v>
      </c>
      <c r="DR12" s="18" t="str">
        <f>('Inteligencia emocional'!O370)</f>
        <v>0</v>
      </c>
      <c r="DS12" s="22" t="str">
        <f>('Inteligencia emocional'!O376)</f>
        <v>0</v>
      </c>
      <c r="DU12" s="11"/>
      <c r="DX12" s="11"/>
      <c r="DZ12" s="26" t="str">
        <f>('Inteligencia emocional'!A370)</f>
        <v>0</v>
      </c>
      <c r="EA12" s="18" t="str">
        <f>('Inteligencia emocional'!P370)</f>
        <v>0</v>
      </c>
      <c r="EB12" s="22" t="str">
        <f>('Inteligencia emocional'!P376)</f>
        <v>0</v>
      </c>
      <c r="ED12" s="11"/>
      <c r="EG12" s="11"/>
      <c r="EI12" s="26" t="str">
        <f>('Inteligencia emocional'!A370)</f>
        <v>0</v>
      </c>
      <c r="EJ12" s="18" t="str">
        <f>('Inteligencia emocional'!Q370)</f>
        <v>0</v>
      </c>
      <c r="EK12" s="22" t="str">
        <f>('Inteligencia emocional'!Q376)</f>
        <v>0</v>
      </c>
      <c r="EM12" s="11"/>
      <c r="EP12" s="11"/>
      <c r="ER12" s="26" t="str">
        <f>('Inteligencia emocional'!A370)</f>
        <v>0</v>
      </c>
      <c r="ES12" s="18" t="str">
        <f>('Inteligencia emocional'!R370)</f>
        <v>0</v>
      </c>
      <c r="ET12" s="22" t="str">
        <f>('Inteligencia emocional'!R376)</f>
        <v>0</v>
      </c>
      <c r="EV12" s="11"/>
      <c r="EY12" s="11"/>
      <c r="FA12" s="26" t="str">
        <f>('Inteligencia emocional'!A370)</f>
        <v>0</v>
      </c>
      <c r="FB12" s="18" t="str">
        <f>('Inteligencia emocional'!S370)</f>
        <v>0</v>
      </c>
      <c r="FC12" s="22" t="str">
        <f>('Inteligencia emocional'!S376)</f>
        <v>0</v>
      </c>
      <c r="FE12" s="11"/>
      <c r="FH12" s="11"/>
      <c r="FJ12" s="26" t="str">
        <f>('Inteligencia emocional'!A370)</f>
        <v>0</v>
      </c>
      <c r="FK12" s="18" t="str">
        <f>('Inteligencia emocional'!T370)</f>
        <v>0</v>
      </c>
      <c r="FL12" s="22" t="str">
        <f>('Inteligencia emocional'!T376)</f>
        <v>0</v>
      </c>
      <c r="FN12" s="11"/>
      <c r="FQ12" s="11"/>
      <c r="FS12" s="26" t="str">
        <f>('Inteligencia emocional'!A370)</f>
        <v>0</v>
      </c>
      <c r="FT12" s="18" t="str">
        <f>('Inteligencia emocional'!U370)</f>
        <v>0</v>
      </c>
      <c r="FU12" s="22" t="str">
        <f>('Inteligencia emocional'!U376)</f>
        <v>0</v>
      </c>
      <c r="FW12" s="11"/>
      <c r="FZ12" s="11"/>
      <c r="GB12" s="26" t="str">
        <f>('Inteligencia emocional'!A370)</f>
        <v>0</v>
      </c>
      <c r="GC12" s="18" t="str">
        <f>('Inteligencia emocional'!V370)</f>
        <v>0</v>
      </c>
      <c r="GD12" s="22" t="str">
        <f>('Inteligencia emocional'!V376)</f>
        <v>0</v>
      </c>
      <c r="GF12" s="11"/>
      <c r="GI12" s="11"/>
      <c r="GK12" s="26" t="str">
        <f>('Inteligencia emocional'!A370)</f>
        <v>0</v>
      </c>
      <c r="GL12" s="18" t="str">
        <f>('Inteligencia emocional'!W370)</f>
        <v>0</v>
      </c>
      <c r="GM12" s="22" t="str">
        <f>('Inteligencia emocional'!W376)</f>
        <v>0</v>
      </c>
      <c r="GO12" s="11"/>
      <c r="GR12" s="11"/>
      <c r="GT12" s="26" t="str">
        <f>('Inteligencia emocional'!A370)</f>
        <v>0</v>
      </c>
      <c r="GU12" s="18" t="str">
        <f>('Inteligencia emocional'!X370)</f>
        <v>0</v>
      </c>
      <c r="GV12" s="22" t="str">
        <f>('Inteligencia emocional'!X376)</f>
        <v>0</v>
      </c>
      <c r="GX12" s="11"/>
      <c r="HA12" s="11"/>
      <c r="HC12" s="26" t="str">
        <f>('Inteligencia emocional'!A370)</f>
        <v>0</v>
      </c>
      <c r="HD12" s="18" t="str">
        <f>('Inteligencia emocional'!Y370)</f>
        <v>0</v>
      </c>
      <c r="HE12" s="22" t="str">
        <f>('Inteligencia emocional'!Y376)</f>
        <v>0</v>
      </c>
      <c r="HG12" s="11"/>
    </row>
    <row r="13" spans="1:215">
      <c r="B13" s="11"/>
      <c r="D13" s="32" t="str">
        <f>('Inteligencia emocional'!A371)</f>
        <v>0</v>
      </c>
      <c r="E13" s="19" t="str">
        <f>('Inteligencia emocional'!B371)</f>
        <v>0</v>
      </c>
      <c r="F13" s="23" t="str">
        <f>('Inteligencia emocional'!B377)</f>
        <v>0</v>
      </c>
      <c r="H13" s="11"/>
      <c r="K13" s="11"/>
      <c r="M13" s="32" t="str">
        <f>('Inteligencia emocional'!A371)</f>
        <v>0</v>
      </c>
      <c r="N13" s="19" t="str">
        <f>('Inteligencia emocional'!C371)</f>
        <v>0</v>
      </c>
      <c r="O13" s="23" t="str">
        <f>('Inteligencia emocional'!C377)</f>
        <v>0</v>
      </c>
      <c r="Q13" s="11"/>
      <c r="T13" s="11"/>
      <c r="V13" s="32" t="str">
        <f>('Inteligencia emocional'!A371)</f>
        <v>0</v>
      </c>
      <c r="W13" s="19" t="str">
        <f>('Inteligencia emocional'!D371)</f>
        <v>0</v>
      </c>
      <c r="X13" s="23" t="str">
        <f>('Inteligencia emocional'!D377)</f>
        <v>0</v>
      </c>
      <c r="Z13" s="11"/>
      <c r="AC13" s="11"/>
      <c r="AE13" s="32" t="str">
        <f>('Inteligencia emocional'!A371)</f>
        <v>0</v>
      </c>
      <c r="AF13" s="19" t="str">
        <f>('Inteligencia emocional'!E371)</f>
        <v>0</v>
      </c>
      <c r="AG13" s="23" t="str">
        <f>('Inteligencia emocional'!E377)</f>
        <v>0</v>
      </c>
      <c r="AI13" s="11"/>
      <c r="AL13" s="11"/>
      <c r="AN13" s="32" t="str">
        <f>('Inteligencia emocional'!A371)</f>
        <v>0</v>
      </c>
      <c r="AO13" s="19" t="str">
        <f>('Inteligencia emocional'!F371)</f>
        <v>0</v>
      </c>
      <c r="AP13" s="23" t="str">
        <f>('Inteligencia emocional'!F377)</f>
        <v>0</v>
      </c>
      <c r="AR13" s="11"/>
      <c r="AU13" s="11"/>
      <c r="AW13" s="32" t="str">
        <f>('Inteligencia emocional'!A371)</f>
        <v>0</v>
      </c>
      <c r="AX13" s="19" t="str">
        <f>('Inteligencia emocional'!G371)</f>
        <v>0</v>
      </c>
      <c r="AY13" s="23" t="str">
        <f>('Inteligencia emocional'!G377)</f>
        <v>0</v>
      </c>
      <c r="BA13" s="11"/>
      <c r="BD13" s="11"/>
      <c r="BF13" s="32" t="str">
        <f>('Inteligencia emocional'!A371)</f>
        <v>0</v>
      </c>
      <c r="BG13" s="19" t="str">
        <f>('Inteligencia emocional'!H371)</f>
        <v>0</v>
      </c>
      <c r="BH13" s="23" t="str">
        <f>('Inteligencia emocional'!H377)</f>
        <v>0</v>
      </c>
      <c r="BJ13" s="11"/>
      <c r="BM13" s="11"/>
      <c r="BO13" s="32" t="str">
        <f>('Inteligencia emocional'!A371)</f>
        <v>0</v>
      </c>
      <c r="BP13" s="19" t="str">
        <f>('Inteligencia emocional'!I371)</f>
        <v>0</v>
      </c>
      <c r="BQ13" s="23" t="str">
        <f>('Inteligencia emocional'!I377)</f>
        <v>0</v>
      </c>
      <c r="BS13" s="11"/>
      <c r="BV13" s="11"/>
      <c r="BX13" s="32" t="str">
        <f>('Inteligencia emocional'!A371)</f>
        <v>0</v>
      </c>
      <c r="BY13" s="19" t="str">
        <f>('Inteligencia emocional'!J371)</f>
        <v>0</v>
      </c>
      <c r="BZ13" s="23" t="str">
        <f>('Inteligencia emocional'!J377)</f>
        <v>0</v>
      </c>
      <c r="CB13" s="11"/>
      <c r="CE13" s="11"/>
      <c r="CG13" s="32" t="str">
        <f>('Inteligencia emocional'!A371)</f>
        <v>0</v>
      </c>
      <c r="CH13" s="19" t="str">
        <f>('Inteligencia emocional'!K371)</f>
        <v>0</v>
      </c>
      <c r="CI13" s="23" t="str">
        <f>('Inteligencia emocional'!K377)</f>
        <v>0</v>
      </c>
      <c r="CK13" s="11"/>
      <c r="CN13" s="11"/>
      <c r="CP13" s="32" t="str">
        <f>('Inteligencia emocional'!A371)</f>
        <v>0</v>
      </c>
      <c r="CQ13" s="19" t="str">
        <f>('Inteligencia emocional'!L371)</f>
        <v>0</v>
      </c>
      <c r="CR13" s="23" t="str">
        <f>('Inteligencia emocional'!L377)</f>
        <v>0</v>
      </c>
      <c r="CT13" s="11"/>
      <c r="CW13" s="11"/>
      <c r="CY13" s="32" t="str">
        <f>('Inteligencia emocional'!A371)</f>
        <v>0</v>
      </c>
      <c r="CZ13" s="19" t="str">
        <f>('Inteligencia emocional'!M371)</f>
        <v>0</v>
      </c>
      <c r="DA13" s="23" t="str">
        <f>('Inteligencia emocional'!M377)</f>
        <v>0</v>
      </c>
      <c r="DC13" s="11"/>
      <c r="DF13" s="11"/>
      <c r="DH13" s="32" t="str">
        <f>('Inteligencia emocional'!A371)</f>
        <v>0</v>
      </c>
      <c r="DI13" s="19" t="str">
        <f>('Inteligencia emocional'!N371)</f>
        <v>0</v>
      </c>
      <c r="DJ13" s="23" t="str">
        <f>('Inteligencia emocional'!N377)</f>
        <v>0</v>
      </c>
      <c r="DL13" s="11"/>
      <c r="DO13" s="11"/>
      <c r="DQ13" s="32" t="str">
        <f>('Inteligencia emocional'!A371)</f>
        <v>0</v>
      </c>
      <c r="DR13" s="19" t="str">
        <f>('Inteligencia emocional'!O371)</f>
        <v>0</v>
      </c>
      <c r="DS13" s="23" t="str">
        <f>('Inteligencia emocional'!O377)</f>
        <v>0</v>
      </c>
      <c r="DU13" s="11"/>
      <c r="DX13" s="11"/>
      <c r="DZ13" s="32" t="str">
        <f>('Inteligencia emocional'!A371)</f>
        <v>0</v>
      </c>
      <c r="EA13" s="19" t="str">
        <f>('Inteligencia emocional'!P371)</f>
        <v>0</v>
      </c>
      <c r="EB13" s="23" t="str">
        <f>('Inteligencia emocional'!P377)</f>
        <v>0</v>
      </c>
      <c r="ED13" s="11"/>
      <c r="EG13" s="11"/>
      <c r="EI13" s="32" t="str">
        <f>('Inteligencia emocional'!A371)</f>
        <v>0</v>
      </c>
      <c r="EJ13" s="19" t="str">
        <f>('Inteligencia emocional'!Q371)</f>
        <v>0</v>
      </c>
      <c r="EK13" s="23" t="str">
        <f>('Inteligencia emocional'!Q377)</f>
        <v>0</v>
      </c>
      <c r="EM13" s="11"/>
      <c r="EP13" s="11"/>
      <c r="ER13" s="32" t="str">
        <f>('Inteligencia emocional'!A371)</f>
        <v>0</v>
      </c>
      <c r="ES13" s="19" t="str">
        <f>('Inteligencia emocional'!R371)</f>
        <v>0</v>
      </c>
      <c r="ET13" s="23" t="str">
        <f>('Inteligencia emocional'!R377)</f>
        <v>0</v>
      </c>
      <c r="EV13" s="11"/>
      <c r="EY13" s="11"/>
      <c r="FA13" s="32" t="str">
        <f>('Inteligencia emocional'!A371)</f>
        <v>0</v>
      </c>
      <c r="FB13" s="19" t="str">
        <f>('Inteligencia emocional'!S371)</f>
        <v>0</v>
      </c>
      <c r="FC13" s="23" t="str">
        <f>('Inteligencia emocional'!S377)</f>
        <v>0</v>
      </c>
      <c r="FE13" s="11"/>
      <c r="FH13" s="11"/>
      <c r="FJ13" s="32" t="str">
        <f>('Inteligencia emocional'!A371)</f>
        <v>0</v>
      </c>
      <c r="FK13" s="19" t="str">
        <f>('Inteligencia emocional'!T371)</f>
        <v>0</v>
      </c>
      <c r="FL13" s="23" t="str">
        <f>('Inteligencia emocional'!T377)</f>
        <v>0</v>
      </c>
      <c r="FN13" s="11"/>
      <c r="FQ13" s="11"/>
      <c r="FS13" s="32" t="str">
        <f>('Inteligencia emocional'!A371)</f>
        <v>0</v>
      </c>
      <c r="FT13" s="19" t="str">
        <f>('Inteligencia emocional'!U371)</f>
        <v>0</v>
      </c>
      <c r="FU13" s="23" t="str">
        <f>('Inteligencia emocional'!U377)</f>
        <v>0</v>
      </c>
      <c r="FW13" s="11"/>
      <c r="FZ13" s="11"/>
      <c r="GB13" s="32" t="str">
        <f>('Inteligencia emocional'!A371)</f>
        <v>0</v>
      </c>
      <c r="GC13" s="19" t="str">
        <f>('Inteligencia emocional'!V371)</f>
        <v>0</v>
      </c>
      <c r="GD13" s="23" t="str">
        <f>('Inteligencia emocional'!V377)</f>
        <v>0</v>
      </c>
      <c r="GF13" s="11"/>
      <c r="GI13" s="11"/>
      <c r="GK13" s="32" t="str">
        <f>('Inteligencia emocional'!A371)</f>
        <v>0</v>
      </c>
      <c r="GL13" s="19" t="str">
        <f>('Inteligencia emocional'!W371)</f>
        <v>0</v>
      </c>
      <c r="GM13" s="23" t="str">
        <f>('Inteligencia emocional'!W377)</f>
        <v>0</v>
      </c>
      <c r="GO13" s="11"/>
      <c r="GR13" s="11"/>
      <c r="GT13" s="32" t="str">
        <f>('Inteligencia emocional'!A371)</f>
        <v>0</v>
      </c>
      <c r="GU13" s="19" t="str">
        <f>('Inteligencia emocional'!X371)</f>
        <v>0</v>
      </c>
      <c r="GV13" s="23" t="str">
        <f>('Inteligencia emocional'!X377)</f>
        <v>0</v>
      </c>
      <c r="GX13" s="11"/>
      <c r="HA13" s="11"/>
      <c r="HC13" s="32" t="str">
        <f>('Inteligencia emocional'!A371)</f>
        <v>0</v>
      </c>
      <c r="HD13" s="19" t="str">
        <f>('Inteligencia emocional'!Y371)</f>
        <v>0</v>
      </c>
      <c r="HE13" s="23" t="str">
        <f>('Inteligencia emocional'!Y377)</f>
        <v>0</v>
      </c>
      <c r="HG13" s="11"/>
    </row>
    <row r="14" spans="1:215">
      <c r="B14" s="11"/>
      <c r="D14" s="10" t="s">
        <v>428</v>
      </c>
      <c r="H14" s="11"/>
      <c r="K14" s="11"/>
      <c r="M14" s="10" t="s">
        <v>428</v>
      </c>
      <c r="Q14" s="11"/>
      <c r="T14" s="11"/>
      <c r="V14" s="10" t="s">
        <v>428</v>
      </c>
      <c r="Z14" s="11"/>
      <c r="AC14" s="11"/>
      <c r="AE14" s="10" t="s">
        <v>428</v>
      </c>
      <c r="AI14" s="11"/>
      <c r="AL14" s="11"/>
      <c r="AN14" s="10" t="s">
        <v>428</v>
      </c>
      <c r="AR14" s="11"/>
      <c r="AU14" s="11"/>
      <c r="AW14" s="10" t="s">
        <v>428</v>
      </c>
      <c r="BA14" s="11"/>
      <c r="BD14" s="11"/>
      <c r="BF14" s="10" t="s">
        <v>428</v>
      </c>
      <c r="BJ14" s="11"/>
      <c r="BM14" s="11"/>
      <c r="BO14" s="10" t="s">
        <v>428</v>
      </c>
      <c r="BS14" s="11"/>
      <c r="BV14" s="11"/>
      <c r="BX14" s="10" t="s">
        <v>428</v>
      </c>
      <c r="CB14" s="11"/>
      <c r="CE14" s="11"/>
      <c r="CG14" s="10" t="s">
        <v>428</v>
      </c>
      <c r="CK14" s="11"/>
      <c r="CN14" s="11"/>
      <c r="CP14" s="10" t="s">
        <v>428</v>
      </c>
      <c r="CT14" s="11"/>
      <c r="CW14" s="11"/>
      <c r="CY14" s="10" t="s">
        <v>428</v>
      </c>
      <c r="DC14" s="11"/>
      <c r="DF14" s="11"/>
      <c r="DH14" s="10" t="s">
        <v>428</v>
      </c>
      <c r="DL14" s="11"/>
      <c r="DO14" s="11"/>
      <c r="DQ14" s="10" t="s">
        <v>428</v>
      </c>
      <c r="DU14" s="11"/>
      <c r="DX14" s="11"/>
      <c r="DZ14" s="10" t="s">
        <v>428</v>
      </c>
      <c r="ED14" s="11"/>
      <c r="EG14" s="11"/>
      <c r="EI14" s="10" t="s">
        <v>428</v>
      </c>
      <c r="EM14" s="11"/>
      <c r="EP14" s="11"/>
      <c r="ER14" s="10" t="s">
        <v>428</v>
      </c>
      <c r="EV14" s="11"/>
      <c r="EY14" s="11"/>
      <c r="FA14" s="10" t="s">
        <v>428</v>
      </c>
      <c r="FE14" s="11"/>
      <c r="FH14" s="11"/>
      <c r="FJ14" s="10" t="s">
        <v>428</v>
      </c>
      <c r="FN14" s="11"/>
      <c r="FQ14" s="11"/>
      <c r="FS14" s="10" t="s">
        <v>428</v>
      </c>
      <c r="FW14" s="11"/>
      <c r="FZ14" s="11"/>
      <c r="GB14" s="10" t="s">
        <v>428</v>
      </c>
      <c r="GF14" s="11"/>
      <c r="GI14" s="11"/>
      <c r="GK14" s="10" t="s">
        <v>428</v>
      </c>
      <c r="GO14" s="11"/>
      <c r="GR14" s="11"/>
      <c r="GT14" s="10" t="s">
        <v>428</v>
      </c>
      <c r="GX14" s="11"/>
      <c r="HA14" s="11"/>
      <c r="HC14" s="10" t="s">
        <v>428</v>
      </c>
      <c r="HG14" s="11"/>
    </row>
    <row r="15" spans="1:215">
      <c r="B15" s="11"/>
      <c r="D15" s="10" t="s">
        <v>427</v>
      </c>
      <c r="H15" s="11"/>
      <c r="K15" s="11"/>
      <c r="M15" s="10" t="s">
        <v>427</v>
      </c>
      <c r="Q15" s="11"/>
      <c r="T15" s="11"/>
      <c r="V15" s="10" t="s">
        <v>427</v>
      </c>
      <c r="Z15" s="11"/>
      <c r="AC15" s="11"/>
      <c r="AE15" s="10" t="s">
        <v>427</v>
      </c>
      <c r="AI15" s="11"/>
      <c r="AL15" s="11"/>
      <c r="AN15" s="10" t="s">
        <v>427</v>
      </c>
      <c r="AR15" s="11"/>
      <c r="AU15" s="11"/>
      <c r="AW15" s="10" t="s">
        <v>427</v>
      </c>
      <c r="BA15" s="11"/>
      <c r="BD15" s="11"/>
      <c r="BF15" s="10" t="s">
        <v>427</v>
      </c>
      <c r="BJ15" s="11"/>
      <c r="BM15" s="11"/>
      <c r="BO15" s="10" t="s">
        <v>427</v>
      </c>
      <c r="BS15" s="11"/>
      <c r="BV15" s="11"/>
      <c r="BX15" s="10" t="s">
        <v>427</v>
      </c>
      <c r="CB15" s="11"/>
      <c r="CE15" s="11"/>
      <c r="CG15" s="10" t="s">
        <v>427</v>
      </c>
      <c r="CK15" s="11"/>
      <c r="CN15" s="11"/>
      <c r="CP15" s="10" t="s">
        <v>427</v>
      </c>
      <c r="CT15" s="11"/>
      <c r="CW15" s="11"/>
      <c r="CY15" s="10" t="s">
        <v>427</v>
      </c>
      <c r="DC15" s="11"/>
      <c r="DF15" s="11"/>
      <c r="DH15" s="10" t="s">
        <v>427</v>
      </c>
      <c r="DL15" s="11"/>
      <c r="DO15" s="11"/>
      <c r="DQ15" s="10" t="s">
        <v>427</v>
      </c>
      <c r="DU15" s="11"/>
      <c r="DX15" s="11"/>
      <c r="DZ15" s="10" t="s">
        <v>427</v>
      </c>
      <c r="ED15" s="11"/>
      <c r="EG15" s="11"/>
      <c r="EI15" s="10" t="s">
        <v>427</v>
      </c>
      <c r="EM15" s="11"/>
      <c r="EP15" s="11"/>
      <c r="ER15" s="10" t="s">
        <v>427</v>
      </c>
      <c r="EV15" s="11"/>
      <c r="EY15" s="11"/>
      <c r="FA15" s="10" t="s">
        <v>427</v>
      </c>
      <c r="FE15" s="11"/>
      <c r="FH15" s="11"/>
      <c r="FJ15" s="10" t="s">
        <v>427</v>
      </c>
      <c r="FN15" s="11"/>
      <c r="FQ15" s="11"/>
      <c r="FS15" s="10" t="s">
        <v>427</v>
      </c>
      <c r="FW15" s="11"/>
      <c r="FZ15" s="11"/>
      <c r="GB15" s="10" t="s">
        <v>427</v>
      </c>
      <c r="GF15" s="11"/>
      <c r="GI15" s="11"/>
      <c r="GK15" s="10" t="s">
        <v>427</v>
      </c>
      <c r="GO15" s="11"/>
      <c r="GR15" s="11"/>
      <c r="GT15" s="10" t="s">
        <v>427</v>
      </c>
      <c r="GX15" s="11"/>
      <c r="HA15" s="11"/>
      <c r="HC15" s="10" t="s">
        <v>427</v>
      </c>
      <c r="HG15" s="11"/>
    </row>
    <row r="16" spans="1:215">
      <c r="B16" s="11"/>
      <c r="H16" s="11"/>
      <c r="K16" s="11"/>
      <c r="Q16" s="11"/>
      <c r="T16" s="11"/>
      <c r="Z16" s="11"/>
      <c r="AC16" s="11"/>
      <c r="AI16" s="11"/>
      <c r="AL16" s="11"/>
      <c r="AR16" s="11"/>
      <c r="AU16" s="11"/>
      <c r="BA16" s="11"/>
      <c r="BD16" s="11"/>
      <c r="BJ16" s="11"/>
      <c r="BM16" s="11"/>
      <c r="BS16" s="11"/>
      <c r="BV16" s="11"/>
      <c r="CB16" s="11"/>
      <c r="CE16" s="11"/>
      <c r="CK16" s="11"/>
      <c r="CN16" s="11"/>
      <c r="CT16" s="11"/>
      <c r="CW16" s="11"/>
      <c r="DC16" s="11"/>
      <c r="DF16" s="11"/>
      <c r="DL16" s="11"/>
      <c r="DO16" s="11"/>
      <c r="DU16" s="11"/>
      <c r="DX16" s="11"/>
      <c r="ED16" s="11"/>
      <c r="EG16" s="11"/>
      <c r="EM16" s="11"/>
      <c r="EP16" s="11"/>
      <c r="EV16" s="11"/>
      <c r="EY16" s="11"/>
      <c r="FE16" s="11"/>
      <c r="FH16" s="11"/>
      <c r="FN16" s="11"/>
      <c r="FQ16" s="11"/>
      <c r="FW16" s="11"/>
      <c r="FZ16" s="11"/>
      <c r="GF16" s="11"/>
      <c r="GI16" s="11"/>
      <c r="GO16" s="11"/>
      <c r="GR16" s="11"/>
      <c r="GX16" s="11"/>
      <c r="HA16" s="11"/>
      <c r="HG16" s="11"/>
    </row>
    <row r="17" spans="1:215">
      <c r="B17" s="11"/>
      <c r="H17" s="11"/>
      <c r="K17" s="11"/>
      <c r="Q17" s="11"/>
      <c r="T17" s="11"/>
      <c r="Z17" s="11"/>
      <c r="AC17" s="11"/>
      <c r="AI17" s="11"/>
      <c r="AL17" s="11"/>
      <c r="AR17" s="11"/>
      <c r="AU17" s="11"/>
      <c r="BA17" s="11"/>
      <c r="BD17" s="11"/>
      <c r="BJ17" s="11"/>
      <c r="BM17" s="11"/>
      <c r="BS17" s="11"/>
      <c r="BV17" s="11"/>
      <c r="CB17" s="11"/>
      <c r="CE17" s="11"/>
      <c r="CK17" s="11"/>
      <c r="CN17" s="11"/>
      <c r="CT17" s="11"/>
      <c r="CW17" s="11"/>
      <c r="DC17" s="11"/>
      <c r="DF17" s="11"/>
      <c r="DL17" s="11"/>
      <c r="DO17" s="11"/>
      <c r="DU17" s="11"/>
      <c r="DX17" s="11"/>
      <c r="ED17" s="11"/>
      <c r="EG17" s="11"/>
      <c r="EM17" s="11"/>
      <c r="EP17" s="11"/>
      <c r="EV17" s="11"/>
      <c r="EY17" s="11"/>
      <c r="FE17" s="11"/>
      <c r="FH17" s="11"/>
      <c r="FN17" s="11"/>
      <c r="FQ17" s="11"/>
      <c r="FW17" s="11"/>
      <c r="FZ17" s="11"/>
      <c r="GF17" s="11"/>
      <c r="GI17" s="11"/>
      <c r="GO17" s="11"/>
      <c r="GR17" s="11"/>
      <c r="GX17" s="11"/>
      <c r="HA17" s="11"/>
      <c r="HG17" s="11"/>
    </row>
    <row r="18" spans="1:215">
      <c r="B18" s="11"/>
      <c r="H18" s="11"/>
      <c r="K18" s="11"/>
      <c r="Q18" s="11"/>
      <c r="T18" s="11"/>
      <c r="Z18" s="11"/>
      <c r="AC18" s="11"/>
      <c r="AI18" s="11"/>
      <c r="AL18" s="11"/>
      <c r="AR18" s="11"/>
      <c r="AU18" s="11"/>
      <c r="BA18" s="11"/>
      <c r="BD18" s="11"/>
      <c r="BJ18" s="11"/>
      <c r="BM18" s="11"/>
      <c r="BS18" s="11"/>
      <c r="BV18" s="11"/>
      <c r="CB18" s="11"/>
      <c r="CE18" s="11"/>
      <c r="CK18" s="11"/>
      <c r="CN18" s="11"/>
      <c r="CT18" s="11"/>
      <c r="CW18" s="11"/>
      <c r="DC18" s="11"/>
      <c r="DF18" s="11"/>
      <c r="DL18" s="11"/>
      <c r="DO18" s="11"/>
      <c r="DU18" s="11"/>
      <c r="DX18" s="11"/>
      <c r="ED18" s="11"/>
      <c r="EG18" s="11"/>
      <c r="EM18" s="11"/>
      <c r="EP18" s="11"/>
      <c r="EV18" s="11"/>
      <c r="EY18" s="11"/>
      <c r="FE18" s="11"/>
      <c r="FH18" s="11"/>
      <c r="FN18" s="11"/>
      <c r="FQ18" s="11"/>
      <c r="FW18" s="11"/>
      <c r="FZ18" s="11"/>
      <c r="GF18" s="11"/>
      <c r="GI18" s="11"/>
      <c r="GO18" s="11"/>
      <c r="GR18" s="11"/>
      <c r="GX18" s="11"/>
      <c r="HA18" s="11"/>
      <c r="HG18" s="11"/>
    </row>
    <row r="19" spans="1:215">
      <c r="B19" s="11"/>
      <c r="H19" s="11"/>
      <c r="K19" s="11"/>
      <c r="Q19" s="11"/>
      <c r="T19" s="11"/>
      <c r="Z19" s="11"/>
      <c r="AC19" s="11"/>
      <c r="AI19" s="11"/>
      <c r="AL19" s="11"/>
      <c r="AR19" s="11"/>
      <c r="AU19" s="11"/>
      <c r="BA19" s="11"/>
      <c r="BD19" s="11"/>
      <c r="BJ19" s="11"/>
      <c r="BM19" s="11"/>
      <c r="BS19" s="11"/>
      <c r="BV19" s="11"/>
      <c r="CB19" s="11"/>
      <c r="CE19" s="11"/>
      <c r="CK19" s="11"/>
      <c r="CN19" s="11"/>
      <c r="CT19" s="11"/>
      <c r="CW19" s="11"/>
      <c r="DC19" s="11"/>
      <c r="DF19" s="11"/>
      <c r="DL19" s="11"/>
      <c r="DO19" s="11"/>
      <c r="DU19" s="11"/>
      <c r="DX19" s="11"/>
      <c r="ED19" s="11"/>
      <c r="EG19" s="11"/>
      <c r="EM19" s="11"/>
      <c r="EP19" s="11"/>
      <c r="EV19" s="11"/>
      <c r="EY19" s="11"/>
      <c r="FE19" s="11"/>
      <c r="FH19" s="11"/>
      <c r="FN19" s="11"/>
      <c r="FQ19" s="11"/>
      <c r="FW19" s="11"/>
      <c r="FZ19" s="11"/>
      <c r="GF19" s="11"/>
      <c r="GI19" s="11"/>
      <c r="GO19" s="11"/>
      <c r="GR19" s="11"/>
      <c r="GX19" s="11"/>
      <c r="HA19" s="11"/>
      <c r="HG19" s="11"/>
    </row>
    <row r="20" spans="1:215">
      <c r="B20" s="11"/>
      <c r="H20" s="11"/>
      <c r="K20" s="11"/>
      <c r="Q20" s="11"/>
      <c r="T20" s="11"/>
      <c r="Z20" s="11"/>
      <c r="AC20" s="11"/>
      <c r="AI20" s="11"/>
      <c r="AL20" s="11"/>
      <c r="AR20" s="11"/>
      <c r="AU20" s="11"/>
      <c r="BA20" s="11"/>
      <c r="BD20" s="11"/>
      <c r="BJ20" s="11"/>
      <c r="BM20" s="11"/>
      <c r="BS20" s="11"/>
      <c r="BV20" s="11"/>
      <c r="CB20" s="11"/>
      <c r="CE20" s="11"/>
      <c r="CK20" s="11"/>
      <c r="CN20" s="11"/>
      <c r="CT20" s="11"/>
      <c r="CW20" s="11"/>
      <c r="DC20" s="11"/>
      <c r="DF20" s="11"/>
      <c r="DL20" s="11"/>
      <c r="DO20" s="11"/>
      <c r="DU20" s="11"/>
      <c r="DX20" s="11"/>
      <c r="ED20" s="11"/>
      <c r="EG20" s="11"/>
      <c r="EM20" s="11"/>
      <c r="EP20" s="11"/>
      <c r="EV20" s="11"/>
      <c r="EY20" s="11"/>
      <c r="FE20" s="11"/>
      <c r="FH20" s="11"/>
      <c r="FN20" s="11"/>
      <c r="FQ20" s="11"/>
      <c r="FW20" s="11"/>
      <c r="FZ20" s="11"/>
      <c r="GF20" s="11"/>
      <c r="GI20" s="11"/>
      <c r="GO20" s="11"/>
      <c r="GR20" s="11"/>
      <c r="GX20" s="11"/>
      <c r="HA20" s="11"/>
      <c r="HG20" s="11"/>
    </row>
    <row r="21" spans="1:215">
      <c r="B21" s="11"/>
      <c r="H21" s="11"/>
      <c r="K21" s="11"/>
      <c r="Q21" s="11"/>
      <c r="T21" s="11"/>
      <c r="Z21" s="11"/>
      <c r="AC21" s="11"/>
      <c r="AI21" s="11"/>
      <c r="AL21" s="11"/>
      <c r="AR21" s="11"/>
      <c r="AU21" s="11"/>
      <c r="BA21" s="11"/>
      <c r="BD21" s="11"/>
      <c r="BJ21" s="11"/>
      <c r="BM21" s="11"/>
      <c r="BS21" s="11"/>
      <c r="BV21" s="11"/>
      <c r="CB21" s="11"/>
      <c r="CE21" s="11"/>
      <c r="CK21" s="11"/>
      <c r="CN21" s="11"/>
      <c r="CT21" s="11"/>
      <c r="CW21" s="11"/>
      <c r="DC21" s="11"/>
      <c r="DF21" s="11"/>
      <c r="DL21" s="11"/>
      <c r="DO21" s="11"/>
      <c r="DU21" s="11"/>
      <c r="DX21" s="11"/>
      <c r="ED21" s="11"/>
      <c r="EG21" s="11"/>
      <c r="EM21" s="11"/>
      <c r="EP21" s="11"/>
      <c r="EV21" s="11"/>
      <c r="EY21" s="11"/>
      <c r="FE21" s="11"/>
      <c r="FH21" s="11"/>
      <c r="FN21" s="11"/>
      <c r="FQ21" s="11"/>
      <c r="FW21" s="11"/>
      <c r="FZ21" s="11"/>
      <c r="GF21" s="11"/>
      <c r="GI21" s="11"/>
      <c r="GO21" s="11"/>
      <c r="GR21" s="11"/>
      <c r="GX21" s="11"/>
      <c r="HA21" s="11"/>
      <c r="HG21" s="11"/>
    </row>
    <row r="22" spans="1:215">
      <c r="B22" s="11"/>
      <c r="H22" s="11"/>
      <c r="K22" s="11"/>
      <c r="Q22" s="11"/>
      <c r="T22" s="11"/>
      <c r="Z22" s="11"/>
      <c r="AC22" s="11"/>
      <c r="AI22" s="11"/>
      <c r="AL22" s="11"/>
      <c r="AR22" s="11"/>
      <c r="AU22" s="11"/>
      <c r="BA22" s="11"/>
      <c r="BD22" s="11"/>
      <c r="BJ22" s="11"/>
      <c r="BM22" s="11"/>
      <c r="BS22" s="11"/>
      <c r="BV22" s="11"/>
      <c r="CB22" s="11"/>
      <c r="CE22" s="11"/>
      <c r="CK22" s="11"/>
      <c r="CN22" s="11"/>
      <c r="CT22" s="11"/>
      <c r="CW22" s="11"/>
      <c r="DC22" s="11"/>
      <c r="DF22" s="11"/>
      <c r="DL22" s="11"/>
      <c r="DO22" s="11"/>
      <c r="DU22" s="11"/>
      <c r="DX22" s="11"/>
      <c r="ED22" s="11"/>
      <c r="EG22" s="11"/>
      <c r="EM22" s="11"/>
      <c r="EP22" s="11"/>
      <c r="EV22" s="11"/>
      <c r="EY22" s="11"/>
      <c r="FE22" s="11"/>
      <c r="FH22" s="11"/>
      <c r="FN22" s="11"/>
      <c r="FQ22" s="11"/>
      <c r="FW22" s="11"/>
      <c r="FZ22" s="11"/>
      <c r="GF22" s="11"/>
      <c r="GI22" s="11"/>
      <c r="GO22" s="11"/>
      <c r="GR22" s="11"/>
      <c r="GX22" s="11"/>
      <c r="HA22" s="11"/>
      <c r="HG22" s="11"/>
    </row>
    <row r="23" spans="1:215">
      <c r="B23" s="11"/>
      <c r="H23" s="11"/>
      <c r="K23" s="11"/>
      <c r="Q23" s="11"/>
      <c r="T23" s="11"/>
      <c r="Z23" s="11"/>
      <c r="AC23" s="11"/>
      <c r="AI23" s="11"/>
      <c r="AL23" s="11"/>
      <c r="AR23" s="11"/>
      <c r="AU23" s="11"/>
      <c r="BA23" s="11"/>
      <c r="BD23" s="11"/>
      <c r="BJ23" s="11"/>
      <c r="BM23" s="11"/>
      <c r="BS23" s="11"/>
      <c r="BV23" s="11"/>
      <c r="CB23" s="11"/>
      <c r="CE23" s="11"/>
      <c r="CK23" s="11"/>
      <c r="CN23" s="11"/>
      <c r="CT23" s="11"/>
      <c r="CW23" s="11"/>
      <c r="DC23" s="11"/>
      <c r="DF23" s="11"/>
      <c r="DL23" s="11"/>
      <c r="DO23" s="11"/>
      <c r="DU23" s="11"/>
      <c r="DX23" s="11"/>
      <c r="ED23" s="11"/>
      <c r="EG23" s="11"/>
      <c r="EM23" s="11"/>
      <c r="EP23" s="11"/>
      <c r="EV23" s="11"/>
      <c r="EY23" s="11"/>
      <c r="FE23" s="11"/>
      <c r="FH23" s="11"/>
      <c r="FN23" s="11"/>
      <c r="FQ23" s="11"/>
      <c r="FW23" s="11"/>
      <c r="FZ23" s="11"/>
      <c r="GF23" s="11"/>
      <c r="GI23" s="11"/>
      <c r="GO23" s="11"/>
      <c r="GR23" s="11"/>
      <c r="GX23" s="11"/>
      <c r="HA23" s="11"/>
      <c r="HG23" s="11"/>
    </row>
    <row r="24" spans="1:215">
      <c r="B24" s="11"/>
      <c r="H24" s="11"/>
      <c r="K24" s="11"/>
      <c r="Q24" s="11"/>
      <c r="T24" s="11"/>
      <c r="Z24" s="11"/>
      <c r="AC24" s="11"/>
      <c r="AI24" s="11"/>
      <c r="AL24" s="11"/>
      <c r="AR24" s="11"/>
      <c r="AU24" s="11"/>
      <c r="BA24" s="11"/>
      <c r="BD24" s="11"/>
      <c r="BJ24" s="11"/>
      <c r="BM24" s="11"/>
      <c r="BS24" s="11"/>
      <c r="BV24" s="11"/>
      <c r="CB24" s="11"/>
      <c r="CE24" s="11"/>
      <c r="CK24" s="11"/>
      <c r="CN24" s="11"/>
      <c r="CT24" s="11"/>
      <c r="CW24" s="11"/>
      <c r="DC24" s="11"/>
      <c r="DF24" s="11"/>
      <c r="DL24" s="11"/>
      <c r="DO24" s="11"/>
      <c r="DU24" s="11"/>
      <c r="DX24" s="11"/>
      <c r="ED24" s="11"/>
      <c r="EG24" s="11"/>
      <c r="EM24" s="11"/>
      <c r="EP24" s="11"/>
      <c r="EV24" s="11"/>
      <c r="EY24" s="11"/>
      <c r="FE24" s="11"/>
      <c r="FH24" s="11"/>
      <c r="FN24" s="11"/>
      <c r="FQ24" s="11"/>
      <c r="FW24" s="11"/>
      <c r="FZ24" s="11"/>
      <c r="GF24" s="11"/>
      <c r="GI24" s="11"/>
      <c r="GO24" s="11"/>
      <c r="GR24" s="11"/>
      <c r="GX24" s="11"/>
      <c r="HA24" s="11"/>
      <c r="HG24" s="11"/>
    </row>
    <row r="25" spans="1:215">
      <c r="B25" s="11"/>
      <c r="H25" s="11"/>
      <c r="K25" s="11"/>
      <c r="Q25" s="11"/>
      <c r="T25" s="11"/>
      <c r="Z25" s="11"/>
      <c r="AC25" s="11"/>
      <c r="AI25" s="11"/>
      <c r="AL25" s="11"/>
      <c r="AR25" s="11"/>
      <c r="AU25" s="11"/>
      <c r="BA25" s="11"/>
      <c r="BD25" s="11"/>
      <c r="BJ25" s="11"/>
      <c r="BM25" s="11"/>
      <c r="BS25" s="11"/>
      <c r="BV25" s="11"/>
      <c r="CB25" s="11"/>
      <c r="CE25" s="11"/>
      <c r="CK25" s="11"/>
      <c r="CN25" s="11"/>
      <c r="CT25" s="11"/>
      <c r="CW25" s="11"/>
      <c r="DC25" s="11"/>
      <c r="DF25" s="11"/>
      <c r="DL25" s="11"/>
      <c r="DO25" s="11"/>
      <c r="DU25" s="11"/>
      <c r="DX25" s="11"/>
      <c r="ED25" s="11"/>
      <c r="EG25" s="11"/>
      <c r="EM25" s="11"/>
      <c r="EP25" s="11"/>
      <c r="EV25" s="11"/>
      <c r="EY25" s="11"/>
      <c r="FE25" s="11"/>
      <c r="FH25" s="11"/>
      <c r="FN25" s="11"/>
      <c r="FQ25" s="11"/>
      <c r="FW25" s="11"/>
      <c r="FZ25" s="11"/>
      <c r="GF25" s="11"/>
      <c r="GI25" s="11"/>
      <c r="GO25" s="11"/>
      <c r="GR25" s="11"/>
      <c r="GX25" s="11"/>
      <c r="HA25" s="11"/>
      <c r="HG25" s="11"/>
    </row>
    <row r="26" spans="1:215">
      <c r="B26" s="11"/>
      <c r="H26" s="11"/>
      <c r="K26" s="11"/>
      <c r="Q26" s="11"/>
      <c r="T26" s="11"/>
      <c r="Z26" s="11"/>
      <c r="AC26" s="11"/>
      <c r="AI26" s="11"/>
      <c r="AL26" s="11"/>
      <c r="AR26" s="11"/>
      <c r="AU26" s="11"/>
      <c r="BA26" s="11"/>
      <c r="BD26" s="11"/>
      <c r="BJ26" s="11"/>
      <c r="BM26" s="11"/>
      <c r="BS26" s="11"/>
      <c r="BV26" s="11"/>
      <c r="CB26" s="11"/>
      <c r="CE26" s="11"/>
      <c r="CK26" s="11"/>
      <c r="CN26" s="11"/>
      <c r="CT26" s="11"/>
      <c r="CW26" s="11"/>
      <c r="DC26" s="11"/>
      <c r="DF26" s="11"/>
      <c r="DL26" s="11"/>
      <c r="DO26" s="11"/>
      <c r="DU26" s="11"/>
      <c r="DX26" s="11"/>
      <c r="ED26" s="11"/>
      <c r="EG26" s="11"/>
      <c r="EM26" s="11"/>
      <c r="EP26" s="11"/>
      <c r="EV26" s="11"/>
      <c r="EY26" s="11"/>
      <c r="FE26" s="11"/>
      <c r="FH26" s="11"/>
      <c r="FN26" s="11"/>
      <c r="FQ26" s="11"/>
      <c r="FW26" s="11"/>
      <c r="FZ26" s="11"/>
      <c r="GF26" s="11"/>
      <c r="GI26" s="11"/>
      <c r="GO26" s="11"/>
      <c r="GR26" s="11"/>
      <c r="GX26" s="11"/>
      <c r="HA26" s="11"/>
      <c r="HG26" s="11"/>
    </row>
    <row r="27" spans="1:215">
      <c r="B27" s="11"/>
      <c r="H27" s="11"/>
      <c r="K27" s="11"/>
      <c r="Q27" s="11"/>
      <c r="T27" s="11"/>
      <c r="Z27" s="11"/>
      <c r="AC27" s="11"/>
      <c r="AI27" s="11"/>
      <c r="AL27" s="11"/>
      <c r="AR27" s="11"/>
      <c r="AU27" s="11"/>
      <c r="BA27" s="11"/>
      <c r="BD27" s="11"/>
      <c r="BJ27" s="11"/>
      <c r="BM27" s="11"/>
      <c r="BS27" s="11"/>
      <c r="BV27" s="11"/>
      <c r="CB27" s="11"/>
      <c r="CE27" s="11"/>
      <c r="CK27" s="11"/>
      <c r="CN27" s="11"/>
      <c r="CT27" s="11"/>
      <c r="CW27" s="11"/>
      <c r="DC27" s="11"/>
      <c r="DF27" s="11"/>
      <c r="DL27" s="11"/>
      <c r="DO27" s="11"/>
      <c r="DU27" s="11"/>
      <c r="DX27" s="11"/>
      <c r="ED27" s="11"/>
      <c r="EG27" s="11"/>
      <c r="EM27" s="11"/>
      <c r="EP27" s="11"/>
      <c r="EV27" s="11"/>
      <c r="EY27" s="11"/>
      <c r="FE27" s="11"/>
      <c r="FH27" s="11"/>
      <c r="FN27" s="11"/>
      <c r="FQ27" s="11"/>
      <c r="FW27" s="11"/>
      <c r="FZ27" s="11"/>
      <c r="GF27" s="11"/>
      <c r="GI27" s="11"/>
      <c r="GO27" s="11"/>
      <c r="GR27" s="11"/>
      <c r="GX27" s="11"/>
      <c r="HA27" s="11"/>
      <c r="HG27" s="11"/>
    </row>
    <row r="28" spans="1:215">
      <c r="B28" s="11"/>
      <c r="H28" s="11"/>
      <c r="K28" s="11"/>
      <c r="Q28" s="11"/>
      <c r="T28" s="11"/>
      <c r="Z28" s="11"/>
      <c r="AC28" s="11"/>
      <c r="AI28" s="11"/>
      <c r="AL28" s="11"/>
      <c r="AR28" s="11"/>
      <c r="AU28" s="11"/>
      <c r="BA28" s="11"/>
      <c r="BD28" s="11"/>
      <c r="BJ28" s="11"/>
      <c r="BM28" s="11"/>
      <c r="BS28" s="11"/>
      <c r="BV28" s="11"/>
      <c r="CB28" s="11"/>
      <c r="CE28" s="11"/>
      <c r="CK28" s="11"/>
      <c r="CN28" s="11"/>
      <c r="CT28" s="11"/>
      <c r="CW28" s="11"/>
      <c r="DC28" s="11"/>
      <c r="DF28" s="11"/>
      <c r="DL28" s="11"/>
      <c r="DO28" s="11"/>
      <c r="DU28" s="11"/>
      <c r="DX28" s="11"/>
      <c r="ED28" s="11"/>
      <c r="EG28" s="11"/>
      <c r="EM28" s="11"/>
      <c r="EP28" s="11"/>
      <c r="EV28" s="11"/>
      <c r="EY28" s="11"/>
      <c r="FE28" s="11"/>
      <c r="FH28" s="11"/>
      <c r="FN28" s="11"/>
      <c r="FQ28" s="11"/>
      <c r="FW28" s="11"/>
      <c r="FZ28" s="11"/>
      <c r="GF28" s="11"/>
      <c r="GI28" s="11"/>
      <c r="GO28" s="11"/>
      <c r="GR28" s="11"/>
      <c r="GX28" s="11"/>
      <c r="HA28" s="11"/>
      <c r="HG28" s="11"/>
    </row>
    <row r="29" spans="1:215">
      <c r="B29" s="11"/>
      <c r="H29" s="11"/>
      <c r="K29" s="11"/>
      <c r="Q29" s="11"/>
      <c r="T29" s="11"/>
      <c r="Z29" s="11"/>
      <c r="AC29" s="11"/>
      <c r="AI29" s="11"/>
      <c r="AL29" s="11"/>
      <c r="AR29" s="11"/>
      <c r="AU29" s="11"/>
      <c r="BA29" s="11"/>
      <c r="BD29" s="11"/>
      <c r="BJ29" s="11"/>
      <c r="BM29" s="11"/>
      <c r="BS29" s="11"/>
      <c r="BV29" s="11"/>
      <c r="CB29" s="11"/>
      <c r="CE29" s="11"/>
      <c r="CK29" s="11"/>
      <c r="CN29" s="11"/>
      <c r="CT29" s="11"/>
      <c r="CW29" s="11"/>
      <c r="DC29" s="11"/>
      <c r="DF29" s="11"/>
      <c r="DL29" s="11"/>
      <c r="DO29" s="11"/>
      <c r="DU29" s="11"/>
      <c r="DX29" s="11"/>
      <c r="ED29" s="11"/>
      <c r="EG29" s="11"/>
      <c r="EM29" s="11"/>
      <c r="EP29" s="11"/>
      <c r="EV29" s="11"/>
      <c r="EY29" s="11"/>
      <c r="FE29" s="11"/>
      <c r="FH29" s="11"/>
      <c r="FN29" s="11"/>
      <c r="FQ29" s="11"/>
      <c r="FW29" s="11"/>
      <c r="FZ29" s="11"/>
      <c r="GF29" s="11"/>
      <c r="GI29" s="11"/>
      <c r="GO29" s="11"/>
      <c r="GR29" s="11"/>
      <c r="GX29" s="11"/>
      <c r="HA29" s="11"/>
      <c r="HG29" s="11"/>
    </row>
    <row r="30" spans="1:215">
      <c r="B30" s="11"/>
      <c r="H30" s="11"/>
      <c r="K30" s="11"/>
      <c r="Q30" s="11"/>
      <c r="T30" s="11"/>
      <c r="Z30" s="11"/>
      <c r="AC30" s="11"/>
      <c r="AI30" s="11"/>
      <c r="AL30" s="11"/>
      <c r="AR30" s="11"/>
      <c r="AU30" s="11"/>
      <c r="BA30" s="11"/>
      <c r="BD30" s="11"/>
      <c r="BJ30" s="11"/>
      <c r="BM30" s="11"/>
      <c r="BS30" s="11"/>
      <c r="BV30" s="11"/>
      <c r="CB30" s="11"/>
      <c r="CE30" s="11"/>
      <c r="CK30" s="11"/>
      <c r="CN30" s="11"/>
      <c r="CT30" s="11"/>
      <c r="CW30" s="11"/>
      <c r="DC30" s="11"/>
      <c r="DF30" s="11"/>
      <c r="DL30" s="11"/>
      <c r="DO30" s="11"/>
      <c r="DU30" s="11"/>
      <c r="DX30" s="11"/>
      <c r="ED30" s="11"/>
      <c r="EG30" s="11"/>
      <c r="EM30" s="11"/>
      <c r="EP30" s="11"/>
      <c r="EV30" s="11"/>
      <c r="EY30" s="11"/>
      <c r="FE30" s="11"/>
      <c r="FH30" s="11"/>
      <c r="FN30" s="11"/>
      <c r="FQ30" s="11"/>
      <c r="FW30" s="11"/>
      <c r="FZ30" s="11"/>
      <c r="GF30" s="11"/>
      <c r="GI30" s="11"/>
      <c r="GO30" s="11"/>
      <c r="GR30" s="11"/>
      <c r="GX30" s="11"/>
      <c r="HA30" s="11"/>
      <c r="HG30" s="11"/>
    </row>
    <row r="31" spans="1:215">
      <c r="B31" s="11"/>
      <c r="H31" s="11"/>
      <c r="K31" s="11"/>
      <c r="Q31" s="11"/>
      <c r="T31" s="11"/>
      <c r="Z31" s="11"/>
      <c r="AC31" s="11"/>
      <c r="AI31" s="11"/>
      <c r="AL31" s="11"/>
      <c r="AR31" s="11"/>
      <c r="AU31" s="11"/>
      <c r="BA31" s="11"/>
      <c r="BD31" s="11"/>
      <c r="BJ31" s="11"/>
      <c r="BM31" s="11"/>
      <c r="BS31" s="11"/>
      <c r="BV31" s="11"/>
      <c r="CB31" s="11"/>
      <c r="CE31" s="11"/>
      <c r="CK31" s="11"/>
      <c r="CN31" s="11"/>
      <c r="CT31" s="11"/>
      <c r="CW31" s="11"/>
      <c r="DC31" s="11"/>
      <c r="DF31" s="11"/>
      <c r="DL31" s="11"/>
      <c r="DO31" s="11"/>
      <c r="DU31" s="11"/>
      <c r="DX31" s="11"/>
      <c r="ED31" s="11"/>
      <c r="EG31" s="11"/>
      <c r="EM31" s="11"/>
      <c r="EP31" s="11"/>
      <c r="EV31" s="11"/>
      <c r="EY31" s="11"/>
      <c r="FE31" s="11"/>
      <c r="FH31" s="11"/>
      <c r="FN31" s="11"/>
      <c r="FQ31" s="11"/>
      <c r="FW31" s="11"/>
      <c r="FZ31" s="11"/>
      <c r="GF31" s="11"/>
      <c r="GI31" s="11"/>
      <c r="GO31" s="11"/>
      <c r="GR31" s="11"/>
      <c r="GX31" s="11"/>
      <c r="HA31" s="11"/>
      <c r="HG31" s="11"/>
    </row>
    <row r="32" spans="1:215">
      <c r="B32" s="11"/>
      <c r="H32" s="11"/>
      <c r="K32" s="11"/>
      <c r="Q32" s="11"/>
      <c r="T32" s="11"/>
      <c r="Z32" s="11"/>
      <c r="AC32" s="11"/>
      <c r="AI32" s="11"/>
      <c r="AL32" s="11"/>
      <c r="AR32" s="11"/>
      <c r="AU32" s="11"/>
      <c r="BA32" s="11"/>
      <c r="BD32" s="11"/>
      <c r="BJ32" s="11"/>
      <c r="BM32" s="11"/>
      <c r="BS32" s="11"/>
      <c r="BV32" s="11"/>
      <c r="CB32" s="11"/>
      <c r="CE32" s="11"/>
      <c r="CK32" s="11"/>
      <c r="CN32" s="11"/>
      <c r="CT32" s="11"/>
      <c r="CW32" s="11"/>
      <c r="DC32" s="11"/>
      <c r="DF32" s="11"/>
      <c r="DL32" s="11"/>
      <c r="DO32" s="11"/>
      <c r="DU32" s="11"/>
      <c r="DX32" s="11"/>
      <c r="ED32" s="11"/>
      <c r="EG32" s="11"/>
      <c r="EM32" s="11"/>
      <c r="EP32" s="11"/>
      <c r="EV32" s="11"/>
      <c r="EY32" s="11"/>
      <c r="FE32" s="11"/>
      <c r="FH32" s="11"/>
      <c r="FN32" s="11"/>
      <c r="FQ32" s="11"/>
      <c r="FW32" s="11"/>
      <c r="FZ32" s="11"/>
      <c r="GF32" s="11"/>
      <c r="GI32" s="11"/>
      <c r="GO32" s="11"/>
      <c r="GR32" s="11"/>
      <c r="GX32" s="11"/>
      <c r="HA32" s="11"/>
      <c r="HG32" s="11"/>
    </row>
    <row r="33" spans="1:215">
      <c r="B33" s="11"/>
      <c r="D33" s="10" t="s">
        <v>515</v>
      </c>
      <c r="H33" s="11"/>
      <c r="K33" s="11"/>
      <c r="M33" s="10" t="s">
        <v>516</v>
      </c>
      <c r="Q33" s="11"/>
      <c r="T33" s="11"/>
      <c r="V33" s="10" t="s">
        <v>517</v>
      </c>
      <c r="Z33" s="11"/>
      <c r="AC33" s="11"/>
      <c r="AE33" s="10" t="s">
        <v>518</v>
      </c>
      <c r="AI33" s="11"/>
      <c r="AL33" s="11"/>
      <c r="AN33" s="10" t="s">
        <v>519</v>
      </c>
      <c r="AR33" s="11"/>
      <c r="AU33" s="11"/>
      <c r="AW33" s="10" t="s">
        <v>520</v>
      </c>
      <c r="BA33" s="11"/>
      <c r="BD33" s="11"/>
      <c r="BF33" s="10" t="s">
        <v>521</v>
      </c>
      <c r="BJ33" s="11"/>
      <c r="BM33" s="11"/>
      <c r="BO33" s="10" t="s">
        <v>522</v>
      </c>
      <c r="BS33" s="11"/>
      <c r="BV33" s="11"/>
      <c r="BX33" s="10" t="s">
        <v>523</v>
      </c>
      <c r="CB33" s="11"/>
      <c r="CE33" s="11"/>
      <c r="CG33" s="10" t="s">
        <v>524</v>
      </c>
      <c r="CK33" s="11"/>
      <c r="CN33" s="11"/>
      <c r="CP33" s="10" t="s">
        <v>525</v>
      </c>
      <c r="CT33" s="11"/>
      <c r="CW33" s="11"/>
      <c r="CY33" s="10" t="s">
        <v>526</v>
      </c>
      <c r="DC33" s="11"/>
      <c r="DF33" s="11"/>
      <c r="DH33" s="10" t="s">
        <v>527</v>
      </c>
      <c r="DL33" s="11"/>
      <c r="DO33" s="11"/>
      <c r="DQ33" s="10" t="s">
        <v>528</v>
      </c>
      <c r="DU33" s="11"/>
      <c r="DX33" s="11"/>
      <c r="DZ33" s="10" t="s">
        <v>529</v>
      </c>
      <c r="ED33" s="11"/>
      <c r="EG33" s="11"/>
      <c r="EI33" s="10" t="s">
        <v>530</v>
      </c>
      <c r="EM33" s="11"/>
      <c r="EP33" s="11"/>
      <c r="ER33" s="10" t="s">
        <v>531</v>
      </c>
      <c r="EV33" s="11"/>
      <c r="EY33" s="11"/>
      <c r="FA33" s="10" t="s">
        <v>532</v>
      </c>
      <c r="FE33" s="11"/>
      <c r="FH33" s="11"/>
      <c r="FJ33" s="10" t="s">
        <v>533</v>
      </c>
      <c r="FN33" s="11"/>
      <c r="FQ33" s="11"/>
      <c r="FS33" s="10" t="s">
        <v>534</v>
      </c>
      <c r="FW33" s="11"/>
      <c r="FZ33" s="11"/>
      <c r="GB33" s="10" t="s">
        <v>535</v>
      </c>
      <c r="GF33" s="11"/>
      <c r="GI33" s="11"/>
      <c r="GK33" s="10" t="s">
        <v>536</v>
      </c>
      <c r="GO33" s="11"/>
      <c r="GR33" s="11"/>
      <c r="GT33" s="10" t="s">
        <v>537</v>
      </c>
      <c r="GX33" s="11"/>
      <c r="HA33" s="11"/>
      <c r="HC33" s="10" t="s">
        <v>538</v>
      </c>
      <c r="HG33" s="11"/>
    </row>
    <row r="34" spans="1:215">
      <c r="B34" s="11"/>
      <c r="D34" s="10" t="s">
        <v>439</v>
      </c>
      <c r="H34" s="11"/>
      <c r="K34" s="11"/>
      <c r="M34" s="10"/>
      <c r="Q34" s="11"/>
      <c r="T34" s="11"/>
      <c r="V34" s="10"/>
      <c r="Z34" s="11"/>
      <c r="AC34" s="11"/>
      <c r="AE34" s="10"/>
      <c r="AI34" s="11"/>
      <c r="AL34" s="11"/>
      <c r="AN34" s="10"/>
      <c r="AR34" s="11"/>
      <c r="AU34" s="11"/>
      <c r="AW34" s="10"/>
      <c r="BA34" s="11"/>
      <c r="BD34" s="11"/>
      <c r="BF34" s="10"/>
      <c r="BJ34" s="11"/>
      <c r="BM34" s="11"/>
      <c r="BO34" s="10"/>
      <c r="BS34" s="11"/>
      <c r="BV34" s="11"/>
      <c r="BX34" s="10"/>
      <c r="CB34" s="11"/>
      <c r="CE34" s="11"/>
      <c r="CG34" s="10"/>
      <c r="CK34" s="11"/>
      <c r="CN34" s="11"/>
      <c r="CP34" s="10"/>
      <c r="CT34" s="11"/>
      <c r="CW34" s="11"/>
      <c r="CY34" s="10"/>
      <c r="DC34" s="11"/>
      <c r="DF34" s="11"/>
      <c r="DH34" s="10"/>
      <c r="DL34" s="11"/>
      <c r="DO34" s="11"/>
      <c r="DQ34" s="10"/>
      <c r="DU34" s="11"/>
      <c r="DX34" s="11"/>
      <c r="DZ34" s="10"/>
      <c r="ED34" s="11"/>
      <c r="EG34" s="11"/>
      <c r="EI34" s="10"/>
      <c r="EM34" s="11"/>
      <c r="EP34" s="11"/>
      <c r="ER34" s="10"/>
      <c r="EV34" s="11"/>
      <c r="EY34" s="11"/>
      <c r="FA34" s="10"/>
      <c r="FE34" s="11"/>
      <c r="FH34" s="11"/>
      <c r="FJ34" s="10"/>
      <c r="FN34" s="11"/>
      <c r="FQ34" s="11"/>
      <c r="FS34" s="10"/>
      <c r="FW34" s="11"/>
      <c r="FZ34" s="11"/>
      <c r="GB34" s="10"/>
      <c r="GF34" s="11"/>
      <c r="GI34" s="11"/>
      <c r="GK34" s="10"/>
      <c r="GO34" s="11"/>
      <c r="GR34" s="11"/>
      <c r="GT34" s="10"/>
      <c r="GX34" s="11"/>
      <c r="HA34" s="11"/>
      <c r="HC34" s="10"/>
      <c r="HG34" s="11"/>
    </row>
    <row r="35" spans="1:215">
      <c r="B35" s="11"/>
      <c r="D35" s="27"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0</v>
      </c>
      <c r="H35" s="11"/>
      <c r="K35" s="11"/>
      <c r="M35" s="27"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0</v>
      </c>
      <c r="Q35" s="11"/>
      <c r="T35" s="11"/>
      <c r="V35" s="27"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0</v>
      </c>
      <c r="Z35" s="11"/>
      <c r="AC35" s="11"/>
      <c r="AE35" s="27"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0</v>
      </c>
      <c r="AI35" s="11"/>
      <c r="AL35" s="11"/>
      <c r="AN35" s="27"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0</v>
      </c>
      <c r="AR35" s="11"/>
      <c r="AU35" s="11"/>
      <c r="AW35" s="27"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0</v>
      </c>
      <c r="BA35" s="11"/>
      <c r="BD35" s="11"/>
      <c r="BF35" s="27"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0</v>
      </c>
      <c r="BJ35" s="11"/>
      <c r="BM35" s="11"/>
      <c r="BO35" s="27"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0</v>
      </c>
      <c r="BS35" s="11"/>
      <c r="BV35" s="11"/>
      <c r="BX35" s="27"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0</v>
      </c>
      <c r="CB35" s="11"/>
      <c r="CE35" s="11"/>
      <c r="CG35" s="27" t="str">
        <f>CONCATENATE("En ","la ",CG5," y ",CG33," se observa los resultados  del  ",CG4," el cual aborda ",CH1062,",en donde se demuestra que el ",ROUND(CI8*100,0),"%"," de los ",CG1045," tienen una percepción de ",CJ1046,", el ",ROUND(CI9*100,0),"%"," ",CJ1047,", un ",ROUND(CI10*100,0),"%"," ",CJ1048,",",IF(CH1049&gt;0,CONCATENATE(" ademas el ",ROUND(CI11*100,0),"%"," ",CJ1049,)," "),IF(CH1049&gt;0,CONCATENATE(" y ",ROUND(CI12*100,0),"%",", ",CJ1050,)," "),"en tal sentido la mayoría de los ",CG1045," es decir el ",ROUND(CH1053*100,0),"%"," tienen una percepción con una inclinación a un valor ",CG1056,","," para ",CH1062,".")</f>
        <v>0</v>
      </c>
      <c r="CK35" s="11"/>
      <c r="CN35" s="11"/>
      <c r="CP35" s="27" t="str">
        <f>CONCATENATE("En ","la ",CP5," y ",CP33," se observa los resultados  del  ",CP4," el cual aborda ",CQ1062,",en donde se demuestra que el ",ROUND(CR8*100,0),"%"," de los ",CP1045," tienen una percepción de ",CS1046,", el ",ROUND(CR9*100,0),"%"," ",CS1047,", un ",ROUND(CR10*100,0),"%"," ",CS1048,",",IF(CQ1049&gt;0,CONCATENATE(" ademas el ",ROUND(CR11*100,0),"%"," ",CS1049,)," "),IF(CQ1049&gt;0,CONCATENATE(" y ",ROUND(CR12*100,0),"%",", ",CS1050,)," "),"en tal sentido la mayoría de los ",CP1045," es decir el ",ROUND(CQ1053*100,0),"%"," tienen una percepción con una inclinación a un valor ",CP1056,","," para ",CQ1062,".")</f>
        <v>0</v>
      </c>
      <c r="CT35" s="11"/>
      <c r="CW35" s="11"/>
      <c r="CY35" s="27" t="str">
        <f>CONCATENATE("En ","la ",CY5," y ",CY33," se observa los resultados  del  ",CY4," el cual aborda ",CZ1062,",en donde se demuestra que el ",ROUND(DA8*100,0),"%"," de los ",CY1045," tienen una percepción de ",DB1046,", el ",ROUND(DA9*100,0),"%"," ",DB1047,", un ",ROUND(DA10*100,0),"%"," ",DB1048,",",IF(CZ1049&gt;0,CONCATENATE(" ademas el ",ROUND(DA11*100,0),"%"," ",DB1049,)," "),IF(CZ1049&gt;0,CONCATENATE(" y ",ROUND(DA12*100,0),"%",", ",DB1050,)," "),"en tal sentido la mayoría de los ",CY1045," es decir el ",ROUND(CZ1053*100,0),"%"," tienen una percepción con una inclinación a un valor ",CY1056,","," para ",CZ1062,".")</f>
        <v>0</v>
      </c>
      <c r="DC35" s="11"/>
      <c r="DF35" s="11"/>
      <c r="DH35" s="27" t="str">
        <f>CONCATENATE("En ","la ",DH5," y ",DH33," se observa los resultados  del  ",DH4," el cual aborda ",DI1062,",en donde se demuestra que el ",ROUND(DJ8*100,0),"%"," de los ",DH1045," tienen una percepción de ",DK1046,", el ",ROUND(DJ9*100,0),"%"," ",DK1047,", un ",ROUND(DJ10*100,0),"%"," ",DK1048,",",IF(DI1049&gt;0,CONCATENATE(" ademas el ",ROUND(DJ11*100,0),"%"," ",DK1049,)," "),IF(DI1049&gt;0,CONCATENATE(" y ",ROUND(DJ12*100,0),"%",", ",DK1050,)," "),"en tal sentido la mayoría de los ",DH1045," es decir el ",ROUND(DI1053*100,0),"%"," tienen una percepción con una inclinación a un valor ",DH1056,","," para ",DI1062,".")</f>
        <v>0</v>
      </c>
      <c r="DL35" s="11"/>
      <c r="DO35" s="11"/>
      <c r="DQ35" s="27" t="str">
        <f>CONCATENATE("En ","la ",DQ5," y ",DQ33," se observa los resultados  del  ",DQ4," el cual aborda ",DR1062,",en donde se demuestra que el ",ROUND(DS8*100,0),"%"," de los ",DQ1045," tienen una percepción de ",DT1046,", el ",ROUND(DS9*100,0),"%"," ",DT1047,", un ",ROUND(DS10*100,0),"%"," ",DT1048,",",IF(DR1049&gt;0,CONCATENATE(" ademas el ",ROUND(DS11*100,0),"%"," ",DT1049,)," "),IF(DR1049&gt;0,CONCATENATE(" y ",ROUND(DS12*100,0),"%",", ",DT1050,)," "),"en tal sentido la mayoría de los ",DQ1045," es decir el ",ROUND(DR1053*100,0),"%"," tienen una percepción con una inclinación a un valor ",DQ1056,","," para ",DR1062,".")</f>
        <v>0</v>
      </c>
      <c r="DU35" s="11"/>
      <c r="DX35" s="11"/>
      <c r="DZ35" s="27" t="str">
        <f>CONCATENATE("En ","la ",DZ5," y ",DZ33," se observa los resultados  del  ",DZ4," el cual aborda ",EA1062,",en donde se demuestra que el ",ROUND(EB8*100,0),"%"," de los ",DZ1045," tienen una percepción de ",EC1046,", el ",ROUND(EB9*100,0),"%"," ",EC1047,", un ",ROUND(EB10*100,0),"%"," ",EC1048,",",IF(EA1049&gt;0,CONCATENATE(" ademas el ",ROUND(EB11*100,0),"%"," ",EC1049,)," "),IF(EA1049&gt;0,CONCATENATE(" y ",ROUND(EB12*100,0),"%",", ",EC1050,)," "),"en tal sentido la mayoría de los ",DZ1045," es decir el ",ROUND(EA1053*100,0),"%"," tienen una percepción con una inclinación a un valor ",DZ1056,","," para ",EA1062,".")</f>
        <v>0</v>
      </c>
      <c r="ED35" s="11"/>
      <c r="EG35" s="11"/>
      <c r="EI35" s="27" t="str">
        <f>CONCATENATE("En ","la ",EI5," y ",EI33," se observa los resultados  del  ",EI4," el cual aborda ",EJ1062,",en donde se demuestra que el ",ROUND(EK8*100,0),"%"," de los ",EI1045," tienen una percepción de ",EL1046,", el ",ROUND(EK9*100,0),"%"," ",EL1047,", un ",ROUND(EK10*100,0),"%"," ",EL1048,",",IF(EJ1049&gt;0,CONCATENATE(" ademas el ",ROUND(EK11*100,0),"%"," ",EL1049,)," "),IF(EJ1049&gt;0,CONCATENATE(" y ",ROUND(EK12*100,0),"%",", ",EL1050,)," "),"en tal sentido la mayoría de los ",EI1045," es decir el ",ROUND(EJ1053*100,0),"%"," tienen una percepción con una inclinación a un valor ",EI1056,","," para ",EJ1062,".")</f>
        <v>0</v>
      </c>
      <c r="EM35" s="11"/>
      <c r="EP35" s="11"/>
      <c r="ER35" s="27" t="str">
        <f>CONCATENATE("En ","la ",ER5," y ",ER33," se observa los resultados  del  ",ER4," el cual aborda ",ES1062,",en donde se demuestra que el ",ROUND(ET8*100,0),"%"," de los ",ER1045," tienen una percepción de ",EU1046,", el ",ROUND(ET9*100,0),"%"," ",EU1047,", un ",ROUND(ET10*100,0),"%"," ",EU1048,",",IF(ES1049&gt;0,CONCATENATE(" ademas el ",ROUND(ET11*100,0),"%"," ",EU1049,)," "),IF(ES1049&gt;0,CONCATENATE(" y ",ROUND(ET12*100,0),"%",", ",EU1050,)," "),"en tal sentido la mayoría de los ",ER1045," es decir el ",ROUND(ES1053*100,0),"%"," tienen una percepción con una inclinación a un valor ",ER1056,","," para ",ES1062,".")</f>
        <v>0</v>
      </c>
      <c r="EV35" s="11"/>
      <c r="EY35" s="11"/>
      <c r="FA35" s="27" t="str">
        <f>CONCATENATE("En ","la ",FA5," y ",FA33," se observa los resultados  del  ",FA4," el cual aborda ",FB1062,",en donde se demuestra que el ",ROUND(FC8*100,0),"%"," de los ",FA1045," tienen una percepción de ",FD1046,", el ",ROUND(FC9*100,0),"%"," ",FD1047,", un ",ROUND(FC10*100,0),"%"," ",FD1048,",",IF(FB1049&gt;0,CONCATENATE(" ademas el ",ROUND(FC11*100,0),"%"," ",FD1049,)," "),IF(FB1049&gt;0,CONCATENATE(" y ",ROUND(FC12*100,0),"%",", ",FD1050,)," "),"en tal sentido la mayoría de los ",FA1045," es decir el ",ROUND(FB1053*100,0),"%"," tienen una percepción con una inclinación a un valor ",FA1056,","," para ",FB1062,".")</f>
        <v>0</v>
      </c>
      <c r="FE35" s="11"/>
      <c r="FH35" s="11"/>
      <c r="FJ35" s="27" t="str">
        <f>CONCATENATE("En ","la ",FJ5," y ",FJ33," se observa los resultados  del  ",FJ4," el cual aborda ",FK1062,",en donde se demuestra que el ",ROUND(FL8*100,0),"%"," de los ",FJ1045," tienen una percepción de ",FM1046,", el ",ROUND(FL9*100,0),"%"," ",FM1047,", un ",ROUND(FL10*100,0),"%"," ",FM1048,",",IF(FK1049&gt;0,CONCATENATE(" ademas el ",ROUND(FL11*100,0),"%"," ",FM1049,)," "),IF(FK1049&gt;0,CONCATENATE(" y ",ROUND(FL12*100,0),"%",", ",FM1050,)," "),"en tal sentido la mayoría de los ",FJ1045," es decir el ",ROUND(FK1053*100,0),"%"," tienen una percepción con una inclinación a un valor ",FJ1056,","," para ",FK1062,".")</f>
        <v>0</v>
      </c>
      <c r="FN35" s="11"/>
      <c r="FQ35" s="11"/>
      <c r="FS35" s="27" t="str">
        <f>CONCATENATE("En ","la ",FS5," y ",FS33," se observa los resultados  del  ",FS4," el cual aborda ",FT1062,",en donde se demuestra que el ",ROUND(FU8*100,0),"%"," de los ",FS1045," tienen una percepción de ",FV1046,", el ",ROUND(FU9*100,0),"%"," ",FV1047,", un ",ROUND(FU10*100,0),"%"," ",FV1048,",",IF(FT1049&gt;0,CONCATENATE(" ademas el ",ROUND(FU11*100,0),"%"," ",FV1049,)," "),IF(FT1049&gt;0,CONCATENATE(" y ",ROUND(FU12*100,0),"%",", ",FV1050,)," "),"en tal sentido la mayoría de los ",FS1045," es decir el ",ROUND(FT1053*100,0),"%"," tienen una percepción con una inclinación a un valor ",FS1056,","," para ",FT1062,".")</f>
        <v>0</v>
      </c>
      <c r="FW35" s="11"/>
      <c r="FZ35" s="11"/>
      <c r="GB35" s="27" t="str">
        <f>CONCATENATE("En ","la ",GB5," y ",GB33," se observa los resultados  del  ",GB4," el cual aborda ",GC1062,",en donde se demuestra que el ",ROUND(GD8*100,0),"%"," de los ",GB1045," tienen una percepción de ",GE1046,", el ",ROUND(GD9*100,0),"%"," ",GE1047,", un ",ROUND(GD10*100,0),"%"," ",GE1048,",",IF(GC1049&gt;0,CONCATENATE(" ademas el ",ROUND(GD11*100,0),"%"," ",GE1049,)," "),IF(GC1049&gt;0,CONCATENATE(" y ",ROUND(GD12*100,0),"%",", ",GE1050,)," "),"en tal sentido la mayoría de los ",GB1045," es decir el ",ROUND(GC1053*100,0),"%"," tienen una percepción con una inclinación a un valor ",GB1056,","," para ",GC1062,".")</f>
        <v>0</v>
      </c>
      <c r="GF35" s="11"/>
      <c r="GI35" s="11"/>
      <c r="GK35" s="27" t="str">
        <f>CONCATENATE("En ","la ",GK5," y ",GK33," se observa los resultados  del  ",GK4," el cual aborda ",GL1062,",en donde se demuestra que el ",ROUND(GM8*100,0),"%"," de los ",GK1045," tienen una percepción de ",GN1046,", el ",ROUND(GM9*100,0),"%"," ",GN1047,", un ",ROUND(GM10*100,0),"%"," ",GN1048,",",IF(GL1049&gt;0,CONCATENATE(" ademas el ",ROUND(GM11*100,0),"%"," ",GN1049,)," "),IF(GL1049&gt;0,CONCATENATE(" y ",ROUND(GM12*100,0),"%",", ",GN1050,)," "),"en tal sentido la mayoría de los ",GK1045," es decir el ",ROUND(GL1053*100,0),"%"," tienen una percepción con una inclinación a un valor ",GK1056,","," para ",GL1062,".")</f>
        <v>0</v>
      </c>
      <c r="GO35" s="11"/>
      <c r="GR35" s="11"/>
      <c r="GT35" s="27" t="str">
        <f>CONCATENATE("En ","la ",GT5," y ",GT33," se observa los resultados  del  ",GT4," el cual aborda ",GU1062,",en donde se demuestra que el ",ROUND(GV8*100,0),"%"," de los ",GT1045," tienen una percepción de ",GW1046,", el ",ROUND(GV9*100,0),"%"," ",GW1047,", un ",ROUND(GV10*100,0),"%"," ",GW1048,",",IF(GU1049&gt;0,CONCATENATE(" ademas el ",ROUND(GV11*100,0),"%"," ",GW1049,)," "),IF(GU1049&gt;0,CONCATENATE(" y ",ROUND(GV12*100,0),"%",", ",GW1050,)," "),"en tal sentido la mayoría de los ",GT1045," es decir el ",ROUND(GU1053*100,0),"%"," tienen una percepción con una inclinación a un valor ",GT1056,","," para ",GU1062,".")</f>
        <v>0</v>
      </c>
      <c r="GX35" s="11"/>
      <c r="HA35" s="11"/>
      <c r="HC35" s="27" t="str">
        <f>CONCATENATE("En ","la ",HC5," y ",HC33," se observa los resultados  del  ",HC4," el cual aborda ",HD1062,",en donde se demuestra que el ",ROUND(HE8*100,0),"%"," de los ",HC1045," tienen una percepción de ",HF1046,", el ",ROUND(HE9*100,0),"%"," ",HF1047,", un ",ROUND(HE10*100,0),"%"," ",HF1048,",",IF(HD1049&gt;0,CONCATENATE(" ademas el ",ROUND(HE11*100,0),"%"," ",HF1049,)," "),IF(HD1049&gt;0,CONCATENATE(" y ",ROUND(HE12*100,0),"%",", ",HF1050,)," "),"en tal sentido la mayoría de los ",HC1045," es decir el ",ROUND(HD1053*100,0),"%"," tienen una percepción con una inclinación a un valor ",HC1056,","," para ",HD1062,".")</f>
        <v>0</v>
      </c>
      <c r="HG35" s="11"/>
    </row>
    <row r="36" spans="1:215">
      <c r="B36" s="11"/>
      <c r="H36" s="11"/>
      <c r="K36" s="11"/>
      <c r="Q36" s="11"/>
      <c r="T36" s="11"/>
      <c r="Z36" s="11"/>
      <c r="AC36" s="11"/>
      <c r="AI36" s="11"/>
      <c r="AL36" s="11"/>
      <c r="AR36" s="11"/>
      <c r="AU36" s="11"/>
      <c r="BA36" s="11"/>
      <c r="BD36" s="11"/>
      <c r="BJ36" s="11"/>
      <c r="BM36" s="11"/>
      <c r="BS36" s="11"/>
      <c r="BV36" s="11"/>
      <c r="CB36" s="11"/>
      <c r="CE36" s="11"/>
      <c r="CK36" s="11"/>
      <c r="CN36" s="11"/>
      <c r="CT36" s="11"/>
      <c r="CW36" s="11"/>
      <c r="DC36" s="11"/>
      <c r="DF36" s="11"/>
      <c r="DL36" s="11"/>
      <c r="DO36" s="11"/>
      <c r="DU36" s="11"/>
      <c r="DX36" s="11"/>
      <c r="ED36" s="11"/>
      <c r="EG36" s="11"/>
      <c r="EM36" s="11"/>
      <c r="EP36" s="11"/>
      <c r="EV36" s="11"/>
      <c r="EY36" s="11"/>
      <c r="FE36" s="11"/>
      <c r="FH36" s="11"/>
      <c r="FN36" s="11"/>
      <c r="FQ36" s="11"/>
      <c r="FW36" s="11"/>
      <c r="FZ36" s="11"/>
      <c r="GF36" s="11"/>
      <c r="GI36" s="11"/>
      <c r="GO36" s="11"/>
      <c r="GR36" s="11"/>
      <c r="GX36" s="11"/>
      <c r="HA36" s="11"/>
      <c r="HG36" s="11"/>
    </row>
    <row r="37" spans="1:215">
      <c r="B37" s="11"/>
      <c r="H37" s="11"/>
      <c r="K37" s="11"/>
      <c r="Q37" s="11"/>
      <c r="T37" s="11"/>
      <c r="Z37" s="11"/>
      <c r="AC37" s="11"/>
      <c r="AI37" s="11"/>
      <c r="AL37" s="11"/>
      <c r="AR37" s="11"/>
      <c r="AU37" s="11"/>
      <c r="BA37" s="11"/>
      <c r="BD37" s="11"/>
      <c r="BJ37" s="11"/>
      <c r="BM37" s="11"/>
      <c r="BS37" s="11"/>
      <c r="BV37" s="11"/>
      <c r="CB37" s="11"/>
      <c r="CE37" s="11"/>
      <c r="CK37" s="11"/>
      <c r="CN37" s="11"/>
      <c r="CT37" s="11"/>
      <c r="CW37" s="11"/>
      <c r="DC37" s="11"/>
      <c r="DF37" s="11"/>
      <c r="DL37" s="11"/>
      <c r="DO37" s="11"/>
      <c r="DU37" s="11"/>
      <c r="DX37" s="11"/>
      <c r="ED37" s="11"/>
      <c r="EG37" s="11"/>
      <c r="EM37" s="11"/>
      <c r="EP37" s="11"/>
      <c r="EV37" s="11"/>
      <c r="EY37" s="11"/>
      <c r="FE37" s="11"/>
      <c r="FH37" s="11"/>
      <c r="FN37" s="11"/>
      <c r="FQ37" s="11"/>
      <c r="FW37" s="11"/>
      <c r="FZ37" s="11"/>
      <c r="GF37" s="11"/>
      <c r="GI37" s="11"/>
      <c r="GO37" s="11"/>
      <c r="GR37" s="11"/>
      <c r="GX37" s="11"/>
      <c r="HA37" s="11"/>
      <c r="HG37" s="11"/>
    </row>
    <row r="38" spans="1:215">
      <c r="B38" s="11"/>
      <c r="H38" s="11"/>
      <c r="K38" s="11"/>
      <c r="Q38" s="11"/>
      <c r="T38" s="11"/>
      <c r="Z38" s="11"/>
      <c r="AC38" s="11"/>
      <c r="AI38" s="11"/>
      <c r="AL38" s="11"/>
      <c r="AR38" s="11"/>
      <c r="AU38" s="11"/>
      <c r="BA38" s="11"/>
      <c r="BD38" s="11"/>
      <c r="BJ38" s="11"/>
      <c r="BM38" s="11"/>
      <c r="BS38" s="11"/>
      <c r="BV38" s="11"/>
      <c r="CB38" s="11"/>
      <c r="CE38" s="11"/>
      <c r="CK38" s="11"/>
      <c r="CN38" s="11"/>
      <c r="CT38" s="11"/>
      <c r="CW38" s="11"/>
      <c r="DC38" s="11"/>
      <c r="DF38" s="11"/>
      <c r="DL38" s="11"/>
      <c r="DO38" s="11"/>
      <c r="DU38" s="11"/>
      <c r="DX38" s="11"/>
      <c r="ED38" s="11"/>
      <c r="EG38" s="11"/>
      <c r="EM38" s="11"/>
      <c r="EP38" s="11"/>
      <c r="EV38" s="11"/>
      <c r="EY38" s="11"/>
      <c r="FE38" s="11"/>
      <c r="FH38" s="11"/>
      <c r="FN38" s="11"/>
      <c r="FQ38" s="11"/>
      <c r="FW38" s="11"/>
      <c r="FZ38" s="11"/>
      <c r="GF38" s="11"/>
      <c r="GI38" s="11"/>
      <c r="GO38" s="11"/>
      <c r="GR38" s="11"/>
      <c r="GX38" s="11"/>
      <c r="HA38" s="11"/>
      <c r="HG38" s="11"/>
    </row>
    <row r="39" spans="1:215">
      <c r="B39" s="11"/>
      <c r="H39" s="11"/>
      <c r="K39" s="11"/>
      <c r="Q39" s="11"/>
      <c r="T39" s="11"/>
      <c r="Z39" s="11"/>
      <c r="AC39" s="11"/>
      <c r="AI39" s="11"/>
      <c r="AL39" s="11"/>
      <c r="AR39" s="11"/>
      <c r="AU39" s="11"/>
      <c r="BA39" s="11"/>
      <c r="BD39" s="11"/>
      <c r="BJ39" s="11"/>
      <c r="BM39" s="11"/>
      <c r="BS39" s="11"/>
      <c r="BV39" s="11"/>
      <c r="CB39" s="11"/>
      <c r="CE39" s="11"/>
      <c r="CK39" s="11"/>
      <c r="CN39" s="11"/>
      <c r="CT39" s="11"/>
      <c r="CW39" s="11"/>
      <c r="DC39" s="11"/>
      <c r="DF39" s="11"/>
      <c r="DL39" s="11"/>
      <c r="DO39" s="11"/>
      <c r="DU39" s="11"/>
      <c r="DX39" s="11"/>
      <c r="ED39" s="11"/>
      <c r="EG39" s="11"/>
      <c r="EM39" s="11"/>
      <c r="EP39" s="11"/>
      <c r="EV39" s="11"/>
      <c r="EY39" s="11"/>
      <c r="FE39" s="11"/>
      <c r="FH39" s="11"/>
      <c r="FN39" s="11"/>
      <c r="FQ39" s="11"/>
      <c r="FW39" s="11"/>
      <c r="FZ39" s="11"/>
      <c r="GF39" s="11"/>
      <c r="GI39" s="11"/>
      <c r="GO39" s="11"/>
      <c r="GR39" s="11"/>
      <c r="GX39" s="11"/>
      <c r="HA39" s="11"/>
      <c r="HG39" s="11"/>
    </row>
    <row r="1045" spans="1:215">
      <c r="D1045" s="33" t="s">
        <v>435</v>
      </c>
      <c r="E1045" s="33" t="s">
        <v>439</v>
      </c>
      <c r="M1045" s="33" t="s">
        <v>435</v>
      </c>
      <c r="N1045" s="33"/>
      <c r="V1045" s="33" t="s">
        <v>435</v>
      </c>
      <c r="W1045" s="33"/>
      <c r="AE1045" s="33" t="s">
        <v>435</v>
      </c>
      <c r="AF1045" s="33"/>
      <c r="AN1045" s="33" t="s">
        <v>435</v>
      </c>
      <c r="AO1045" s="33"/>
      <c r="AW1045" s="33" t="s">
        <v>435</v>
      </c>
      <c r="AX1045" s="33"/>
      <c r="BF1045" s="33" t="s">
        <v>435</v>
      </c>
      <c r="BG1045" s="33"/>
      <c r="BO1045" s="33" t="s">
        <v>435</v>
      </c>
      <c r="BP1045" s="33"/>
      <c r="BX1045" s="33" t="s">
        <v>435</v>
      </c>
      <c r="BY1045" s="33"/>
      <c r="CG1045" s="33" t="s">
        <v>435</v>
      </c>
      <c r="CH1045" s="33"/>
      <c r="CP1045" s="33" t="s">
        <v>435</v>
      </c>
      <c r="CQ1045" s="33"/>
      <c r="CY1045" s="33" t="s">
        <v>435</v>
      </c>
      <c r="CZ1045" s="33"/>
      <c r="DH1045" s="33" t="s">
        <v>435</v>
      </c>
      <c r="DI1045" s="33"/>
      <c r="DQ1045" s="33" t="s">
        <v>435</v>
      </c>
      <c r="DR1045" s="33"/>
      <c r="DZ1045" s="33" t="s">
        <v>435</v>
      </c>
      <c r="EA1045" s="33"/>
      <c r="EI1045" s="33" t="s">
        <v>435</v>
      </c>
      <c r="EJ1045" s="33"/>
      <c r="ER1045" s="33" t="s">
        <v>435</v>
      </c>
      <c r="ES1045" s="33"/>
      <c r="FA1045" s="33" t="s">
        <v>435</v>
      </c>
      <c r="FB1045" s="33"/>
      <c r="FJ1045" s="33" t="s">
        <v>435</v>
      </c>
      <c r="FK1045" s="33"/>
      <c r="FS1045" s="33" t="s">
        <v>435</v>
      </c>
      <c r="FT1045" s="33"/>
      <c r="GB1045" s="33" t="s">
        <v>435</v>
      </c>
      <c r="GC1045" s="33"/>
      <c r="GK1045" s="33" t="s">
        <v>435</v>
      </c>
      <c r="GL1045" s="33"/>
      <c r="GT1045" s="33" t="s">
        <v>435</v>
      </c>
      <c r="GU1045" s="33"/>
      <c r="HC1045" s="33" t="s">
        <v>435</v>
      </c>
      <c r="HD1045" s="33"/>
    </row>
    <row r="1046" spans="1:215">
      <c r="C1046" s="33">
        <v>1</v>
      </c>
      <c r="D1046" s="33" t="str">
        <f>IF(E1046=F8,D8,IF(E1046=F9,D9,IF(E1046=F10,D10,IF(E1046=F11,D11,IF(E1046=F12,D12,"ALGO ESTA MAL")))))</f>
        <v>0</v>
      </c>
      <c r="E1046" s="34" t="str">
        <f>LARGE($F$8:$F$12,C1046)</f>
        <v>0</v>
      </c>
      <c r="F1046" s="34" t="str">
        <f>IF(E1046&gt;0.1%,E1046,"Algo Esta Mal")</f>
        <v>0</v>
      </c>
      <c r="G1046" s="33" t="str">
        <f>IF(F1046=E1046,D1046," ")</f>
        <v>0</v>
      </c>
      <c r="L1046" s="33">
        <v>1</v>
      </c>
      <c r="M1046" s="33" t="str">
        <f>IF(N1046=O8,M8,IF(N1046=O9,M9,IF(N1046=O10,M10,IF(N1046=O11,M11,IF(N1046=O12,M12,"ALGO ESTA MAL")))))</f>
        <v>0</v>
      </c>
      <c r="N1046" s="34" t="str">
        <f>LARGE($O$8:$O$12,L1046)</f>
        <v>0</v>
      </c>
      <c r="O1046" s="34" t="str">
        <f>IF(N1046&gt;0.1%,N1046,"Algo Esta Mal")</f>
        <v>0</v>
      </c>
      <c r="P1046" s="33" t="str">
        <f>IF(O1046=N1046,M1046," ")</f>
        <v>0</v>
      </c>
      <c r="U1046" s="33">
        <v>1</v>
      </c>
      <c r="V1046" s="33" t="str">
        <f>IF(W1046=X8,V8,IF(W1046=X9,V9,IF(W1046=X10,V10,IF(W1046=X11,V11,IF(W1046=X12,V12,"ALGO ESTA MAL")))))</f>
        <v>0</v>
      </c>
      <c r="W1046" s="34" t="str">
        <f>LARGE($X$8:$X$12,U1046)</f>
        <v>0</v>
      </c>
      <c r="X1046" s="34" t="str">
        <f>IF(W1046&gt;0.1%,W1046,"Algo Esta Mal")</f>
        <v>0</v>
      </c>
      <c r="Y1046" s="33" t="str">
        <f>IF(X1046=W1046,V1046," ")</f>
        <v>0</v>
      </c>
      <c r="AD1046" s="33">
        <v>1</v>
      </c>
      <c r="AE1046" s="33" t="str">
        <f>IF(AF1046=AG8,AE8,IF(AF1046=AG9,AE9,IF(AF1046=AG10,AE10,IF(AF1046=AG11,AE11,IF(AF1046=AG12,AE12,"ALGO ESTA MAL")))))</f>
        <v>0</v>
      </c>
      <c r="AF1046" s="34" t="str">
        <f>LARGE($AG$8:$AG$12,AD1046)</f>
        <v>0</v>
      </c>
      <c r="AG1046" s="34" t="str">
        <f>IF(AF1046&gt;0.1%,AF1046,"Algo Esta Mal")</f>
        <v>0</v>
      </c>
      <c r="AH1046" s="33" t="str">
        <f>IF(AG1046=AF1046,AE1046," ")</f>
        <v>0</v>
      </c>
      <c r="AM1046" s="33">
        <v>1</v>
      </c>
      <c r="AN1046" s="33" t="str">
        <f>IF(AO1046=AP8,AN8,IF(AO1046=AP9,AN9,IF(AO1046=AP10,AN10,IF(AO1046=AP11,AN11,IF(AO1046=AP12,AN12,"ALGO ESTA MAL")))))</f>
        <v>0</v>
      </c>
      <c r="AO1046" s="34" t="str">
        <f>LARGE($AP$8:$AP$12,AM1046)</f>
        <v>0</v>
      </c>
      <c r="AP1046" s="34" t="str">
        <f>IF(AO1046&gt;0.1%,AO1046,"Algo Esta Mal")</f>
        <v>0</v>
      </c>
      <c r="AQ1046" s="33" t="str">
        <f>IF(AP1046=AO1046,AN1046," ")</f>
        <v>0</v>
      </c>
      <c r="AV1046" s="33">
        <v>1</v>
      </c>
      <c r="AW1046" s="33" t="str">
        <f>IF(AX1046=AY8,AW8,IF(AX1046=AY9,AW9,IF(AX1046=AY10,AW10,IF(AX1046=AY11,AW11,IF(AX1046=AY12,AW12,"ALGO ESTA MAL")))))</f>
        <v>0</v>
      </c>
      <c r="AX1046" s="34" t="str">
        <f>LARGE($AY$8:$AY$12,AV1046)</f>
        <v>0</v>
      </c>
      <c r="AY1046" s="34" t="str">
        <f>IF(AX1046&gt;0.1%,AX1046,"Algo Esta Mal")</f>
        <v>0</v>
      </c>
      <c r="AZ1046" s="33" t="str">
        <f>IF(AY1046=AX1046,AW1046," ")</f>
        <v>0</v>
      </c>
      <c r="BE1046" s="33">
        <v>1</v>
      </c>
      <c r="BF1046" s="33" t="str">
        <f>IF(BG1046=BH8,BF8,IF(BG1046=BH9,BF9,IF(BG1046=BH10,BF10,IF(BG1046=BH11,BF11,IF(BG1046=BH12,BF12,"ALGO ESTA MAL")))))</f>
        <v>0</v>
      </c>
      <c r="BG1046" s="34" t="str">
        <f>LARGE($BH$8:$BH$12,BE1046)</f>
        <v>0</v>
      </c>
      <c r="BH1046" s="34" t="str">
        <f>IF(BG1046&gt;0.1%,BG1046,"Algo Esta Mal")</f>
        <v>0</v>
      </c>
      <c r="BI1046" s="33" t="str">
        <f>IF(BH1046=BG1046,BF1046," ")</f>
        <v>0</v>
      </c>
      <c r="BN1046" s="33">
        <v>1</v>
      </c>
      <c r="BO1046" s="33" t="str">
        <f>IF(BP1046=BQ8,BO8,IF(BP1046=BQ9,BO9,IF(BP1046=BQ10,BO10,IF(BP1046=BQ11,BO11,IF(BP1046=BQ12,BO12,"ALGO ESTA MAL")))))</f>
        <v>0</v>
      </c>
      <c r="BP1046" s="34" t="str">
        <f>LARGE($BQ$8:$BQ$12,BN1046)</f>
        <v>0</v>
      </c>
      <c r="BQ1046" s="34" t="str">
        <f>IF(BP1046&gt;0.1%,BP1046,"Algo Esta Mal")</f>
        <v>0</v>
      </c>
      <c r="BR1046" s="33" t="str">
        <f>IF(BQ1046=BP1046,BO1046," ")</f>
        <v>0</v>
      </c>
      <c r="BW1046" s="33">
        <v>1</v>
      </c>
      <c r="BX1046" s="33" t="str">
        <f>IF(BY1046=BZ8,BX8,IF(BY1046=BZ9,BX9,IF(BY1046=BZ10,BX10,IF(BY1046=BZ11,BX11,IF(BY1046=BZ12,BX12,"ALGO ESTA MAL")))))</f>
        <v>0</v>
      </c>
      <c r="BY1046" s="34" t="str">
        <f>LARGE($BZ$8:$BZ$12,BW1046)</f>
        <v>0</v>
      </c>
      <c r="BZ1046" s="34" t="str">
        <f>IF(BY1046&gt;0.1%,BY1046,"Algo Esta Mal")</f>
        <v>0</v>
      </c>
      <c r="CA1046" s="33" t="str">
        <f>IF(BZ1046=BY1046,BX1046," ")</f>
        <v>0</v>
      </c>
      <c r="CF1046" s="33">
        <v>1</v>
      </c>
      <c r="CG1046" s="33" t="str">
        <f>IF(CH1046=CI8,CG8,IF(CH1046=CI9,CG9,IF(CH1046=CI10,CG10,IF(CH1046=CI11,CG11,IF(CH1046=CI12,CG12,"ALGO ESTA MAL")))))</f>
        <v>0</v>
      </c>
      <c r="CH1046" s="34" t="str">
        <f>LARGE($CI$8:$CI$12,CF1046)</f>
        <v>0</v>
      </c>
      <c r="CI1046" s="34" t="str">
        <f>IF(CH1046&gt;0.1%,CH1046,"Algo Esta Mal")</f>
        <v>0</v>
      </c>
      <c r="CJ1046" s="33" t="str">
        <f>IF(CI1046=CH1046,CG1046," ")</f>
        <v>0</v>
      </c>
      <c r="CO1046" s="33">
        <v>1</v>
      </c>
      <c r="CP1046" s="33" t="str">
        <f>IF(CQ1046=CR8,CP8,IF(CQ1046=CR9,CP9,IF(CQ1046=CR10,CP10,IF(CQ1046=CR11,CP11,IF(CQ1046=CR12,CP12,"ALGO ESTA MAL")))))</f>
        <v>0</v>
      </c>
      <c r="CQ1046" s="34" t="str">
        <f>LARGE($CR$8:$CR$12,CO1046)</f>
        <v>0</v>
      </c>
      <c r="CR1046" s="34" t="str">
        <f>IF(CQ1046&gt;0.1%,CQ1046,"Algo Esta Mal")</f>
        <v>0</v>
      </c>
      <c r="CS1046" s="33" t="str">
        <f>IF(CR1046=CQ1046,CP1046," ")</f>
        <v>0</v>
      </c>
      <c r="CX1046" s="33">
        <v>1</v>
      </c>
      <c r="CY1046" s="33" t="str">
        <f>IF(CZ1046=DA8,CY8,IF(CZ1046=DA9,CY9,IF(CZ1046=DA10,CY10,IF(CZ1046=DA11,CY11,IF(CZ1046=DA12,CY12,"ALGO ESTA MAL")))))</f>
        <v>0</v>
      </c>
      <c r="CZ1046" s="34" t="str">
        <f>LARGE($DA$8:$DA$12,CX1046)</f>
        <v>0</v>
      </c>
      <c r="DA1046" s="34" t="str">
        <f>IF(CZ1046&gt;0.1%,CZ1046,"Algo Esta Mal")</f>
        <v>0</v>
      </c>
      <c r="DB1046" s="33" t="str">
        <f>IF(DA1046=CZ1046,CY1046," ")</f>
        <v>0</v>
      </c>
      <c r="DG1046" s="33">
        <v>1</v>
      </c>
      <c r="DH1046" s="33" t="str">
        <f>IF(DI1046=DJ8,DH8,IF(DI1046=DJ9,DH9,IF(DI1046=DJ10,DH10,IF(DI1046=DJ11,DH11,IF(DI1046=DJ12,DH12,"ALGO ESTA MAL")))))</f>
        <v>0</v>
      </c>
      <c r="DI1046" s="34" t="str">
        <f>LARGE($DJ$8:$DJ$12,DG1046)</f>
        <v>0</v>
      </c>
      <c r="DJ1046" s="34" t="str">
        <f>IF(DI1046&gt;0.1%,DI1046,"Algo Esta Mal")</f>
        <v>0</v>
      </c>
      <c r="DK1046" s="33" t="str">
        <f>IF(DJ1046=DI1046,DH1046," ")</f>
        <v>0</v>
      </c>
      <c r="DP1046" s="33">
        <v>1</v>
      </c>
      <c r="DQ1046" s="33" t="str">
        <f>IF(DR1046=DS8,DQ8,IF(DR1046=DS9,DQ9,IF(DR1046=DS10,DQ10,IF(DR1046=DS11,DQ11,IF(DR1046=DS12,DQ12,"ALGO ESTA MAL")))))</f>
        <v>0</v>
      </c>
      <c r="DR1046" s="34" t="str">
        <f>LARGE($DS$8:$DS$12,DP1046)</f>
        <v>0</v>
      </c>
      <c r="DS1046" s="34" t="str">
        <f>IF(DR1046&gt;0.1%,DR1046,"Algo Esta Mal")</f>
        <v>0</v>
      </c>
      <c r="DT1046" s="33" t="str">
        <f>IF(DS1046=DR1046,DQ1046," ")</f>
        <v>0</v>
      </c>
      <c r="DY1046" s="33">
        <v>1</v>
      </c>
      <c r="DZ1046" s="33" t="str">
        <f>IF(EA1046=EB8,DZ8,IF(EA1046=EB9,DZ9,IF(EA1046=EB10,DZ10,IF(EA1046=EB11,DZ11,IF(EA1046=EB12,DZ12,"ALGO ESTA MAL")))))</f>
        <v>0</v>
      </c>
      <c r="EA1046" s="34" t="str">
        <f>LARGE($EB$8:$EB$12,DY1046)</f>
        <v>0</v>
      </c>
      <c r="EB1046" s="34" t="str">
        <f>IF(EA1046&gt;0.1%,EA1046,"Algo Esta Mal")</f>
        <v>0</v>
      </c>
      <c r="EC1046" s="33" t="str">
        <f>IF(EB1046=EA1046,DZ1046," ")</f>
        <v>0</v>
      </c>
      <c r="EH1046" s="33">
        <v>1</v>
      </c>
      <c r="EI1046" s="33" t="str">
        <f>IF(EJ1046=EK8,EI8,IF(EJ1046=EK9,EI9,IF(EJ1046=EK10,EI10,IF(EJ1046=EK11,EI11,IF(EJ1046=EK12,EI12,"ALGO ESTA MAL")))))</f>
        <v>0</v>
      </c>
      <c r="EJ1046" s="34" t="str">
        <f>LARGE($EK$8:$EK$12,EH1046)</f>
        <v>0</v>
      </c>
      <c r="EK1046" s="34" t="str">
        <f>IF(EJ1046&gt;0.1%,EJ1046,"Algo Esta Mal")</f>
        <v>0</v>
      </c>
      <c r="EL1046" s="33" t="str">
        <f>IF(EK1046=EJ1046,EI1046," ")</f>
        <v>0</v>
      </c>
      <c r="EQ1046" s="33">
        <v>1</v>
      </c>
      <c r="ER1046" s="33" t="str">
        <f>IF(ES1046=ET8,ER8,IF(ES1046=ET9,ER9,IF(ES1046=ET10,ER10,IF(ES1046=ET11,ER11,IF(ES1046=ET12,ER12,"ALGO ESTA MAL")))))</f>
        <v>0</v>
      </c>
      <c r="ES1046" s="34" t="str">
        <f>LARGE($ET$8:$ET$12,EQ1046)</f>
        <v>0</v>
      </c>
      <c r="ET1046" s="34" t="str">
        <f>IF(ES1046&gt;0.1%,ES1046,"Algo Esta Mal")</f>
        <v>0</v>
      </c>
      <c r="EU1046" s="33" t="str">
        <f>IF(ET1046=ES1046,ER1046," ")</f>
        <v>0</v>
      </c>
      <c r="EZ1046" s="33">
        <v>1</v>
      </c>
      <c r="FA1046" s="33" t="str">
        <f>IF(FB1046=FC8,FA8,IF(FB1046=FC9,FA9,IF(FB1046=FC10,FA10,IF(FB1046=FC11,FA11,IF(FB1046=FC12,FA12,"ALGO ESTA MAL")))))</f>
        <v>0</v>
      </c>
      <c r="FB1046" s="34" t="str">
        <f>LARGE($FC$8:$FC$12,EZ1046)</f>
        <v>0</v>
      </c>
      <c r="FC1046" s="34" t="str">
        <f>IF(FB1046&gt;0.1%,FB1046,"Algo Esta Mal")</f>
        <v>0</v>
      </c>
      <c r="FD1046" s="33" t="str">
        <f>IF(FC1046=FB1046,FA1046," ")</f>
        <v>0</v>
      </c>
      <c r="FI1046" s="33">
        <v>1</v>
      </c>
      <c r="FJ1046" s="33" t="str">
        <f>IF(FK1046=FL8,FJ8,IF(FK1046=FL9,FJ9,IF(FK1046=FL10,FJ10,IF(FK1046=FL11,FJ11,IF(FK1046=FL12,FJ12,"ALGO ESTA MAL")))))</f>
        <v>0</v>
      </c>
      <c r="FK1046" s="34" t="str">
        <f>LARGE($FL$8:$FL$12,FI1046)</f>
        <v>0</v>
      </c>
      <c r="FL1046" s="34" t="str">
        <f>IF(FK1046&gt;0.1%,FK1046,"Algo Esta Mal")</f>
        <v>0</v>
      </c>
      <c r="FM1046" s="33" t="str">
        <f>IF(FL1046=FK1046,FJ1046," ")</f>
        <v>0</v>
      </c>
      <c r="FR1046" s="33">
        <v>1</v>
      </c>
      <c r="FS1046" s="33" t="str">
        <f>IF(FT1046=FU8,FS8,IF(FT1046=FU9,FS9,IF(FT1046=FU10,FS10,IF(FT1046=FU11,FS11,IF(FT1046=FU12,FS12,"ALGO ESTA MAL")))))</f>
        <v>0</v>
      </c>
      <c r="FT1046" s="34" t="str">
        <f>LARGE($FU$8:$FU$12,FR1046)</f>
        <v>0</v>
      </c>
      <c r="FU1046" s="34" t="str">
        <f>IF(FT1046&gt;0.1%,FT1046,"Algo Esta Mal")</f>
        <v>0</v>
      </c>
      <c r="FV1046" s="33" t="str">
        <f>IF(FU1046=FT1046,FS1046," ")</f>
        <v>0</v>
      </c>
      <c r="GA1046" s="33">
        <v>1</v>
      </c>
      <c r="GB1046" s="33" t="str">
        <f>IF(GC1046=GD8,GB8,IF(GC1046=GD9,GB9,IF(GC1046=GD10,GB10,IF(GC1046=GD11,GB11,IF(GC1046=GD12,GB12,"ALGO ESTA MAL")))))</f>
        <v>0</v>
      </c>
      <c r="GC1046" s="34" t="str">
        <f>LARGE($GD$8:$GD$12,GA1046)</f>
        <v>0</v>
      </c>
      <c r="GD1046" s="34" t="str">
        <f>IF(GC1046&gt;0.1%,GC1046,"Algo Esta Mal")</f>
        <v>0</v>
      </c>
      <c r="GE1046" s="33" t="str">
        <f>IF(GD1046=GC1046,GB1046," ")</f>
        <v>0</v>
      </c>
      <c r="GJ1046" s="33">
        <v>1</v>
      </c>
      <c r="GK1046" s="33" t="str">
        <f>IF(GL1046=GM8,GK8,IF(GL1046=GM9,GK9,IF(GL1046=GM10,GK10,IF(GL1046=GM11,GK11,IF(GL1046=GM12,GK12,"ALGO ESTA MAL")))))</f>
        <v>0</v>
      </c>
      <c r="GL1046" s="34" t="str">
        <f>LARGE($GM$8:$GM$12,GJ1046)</f>
        <v>0</v>
      </c>
      <c r="GM1046" s="34" t="str">
        <f>IF(GL1046&gt;0.1%,GL1046,"Algo Esta Mal")</f>
        <v>0</v>
      </c>
      <c r="GN1046" s="33" t="str">
        <f>IF(GM1046=GL1046,GK1046," ")</f>
        <v>0</v>
      </c>
      <c r="GS1046" s="33">
        <v>1</v>
      </c>
      <c r="GT1046" s="33" t="str">
        <f>IF(GU1046=GV8,GT8,IF(GU1046=GV9,GT9,IF(GU1046=GV10,GT10,IF(GU1046=GV11,GT11,IF(GU1046=GV12,GT12,"ALGO ESTA MAL")))))</f>
        <v>0</v>
      </c>
      <c r="GU1046" s="34" t="str">
        <f>LARGE($GV$8:$GV$12,GS1046)</f>
        <v>0</v>
      </c>
      <c r="GV1046" s="34" t="str">
        <f>IF(GU1046&gt;0.1%,GU1046,"Algo Esta Mal")</f>
        <v>0</v>
      </c>
      <c r="GW1046" s="33" t="str">
        <f>IF(GV1046=GU1046,GT1046," ")</f>
        <v>0</v>
      </c>
      <c r="HB1046" s="33">
        <v>1</v>
      </c>
      <c r="HC1046" s="33" t="str">
        <f>IF(HD1046=HE8,HC8,IF(HD1046=HE9,HC9,IF(HD1046=HE10,HC10,IF(HD1046=HE11,HC11,IF(HD1046=HE12,HC12,"ALGO ESTA MAL")))))</f>
        <v>0</v>
      </c>
      <c r="HD1046" s="34" t="str">
        <f>LARGE($HE$8:$HE$12,HB1046)</f>
        <v>0</v>
      </c>
      <c r="HE1046" s="34" t="str">
        <f>IF(HD1046&gt;0.1%,HD1046,"Algo Esta Mal")</f>
        <v>0</v>
      </c>
      <c r="HF1046" s="33" t="str">
        <f>IF(HE1046=HD1046,HC1046," ")</f>
        <v>0</v>
      </c>
    </row>
    <row r="1047" spans="1:215">
      <c r="C1047" s="33">
        <v>2</v>
      </c>
      <c r="D1047" s="33" t="str">
        <f>IF(E1047=F8,D8,IF(E1047=F9,D9,IF(E1047=F10,D10,IF(E1047=F11,D11,IF(E1047=F12,D12,"ALGO ESTA MAL")))))</f>
        <v>0</v>
      </c>
      <c r="E1047" s="34" t="str">
        <f>LARGE($F$8:$F$12,C1047)</f>
        <v>0</v>
      </c>
      <c r="F1047" s="34" t="str">
        <f>IF(E1047&gt;0.1%,E1047,"Algo Esta Mal")</f>
        <v>0</v>
      </c>
      <c r="G1047" s="33" t="str">
        <f>IF(F1047=E1047,D1047," ")</f>
        <v>0</v>
      </c>
      <c r="L1047" s="33">
        <v>2</v>
      </c>
      <c r="M1047" s="33" t="str">
        <f>IF(N1047=O8,M8,IF(N1047=O9,M9,IF(N1047=O10,M10,IF(N1047=O11,M11,IF(N1047=O12,M12,"ALGO ESTA MAL")))))</f>
        <v>0</v>
      </c>
      <c r="N1047" s="34" t="str">
        <f>LARGE($O$8:$O$12,L1047)</f>
        <v>0</v>
      </c>
      <c r="O1047" s="34" t="str">
        <f>IF(N1047&gt;0.1%,N1047,"Algo Esta Mal")</f>
        <v>0</v>
      </c>
      <c r="P1047" s="33" t="str">
        <f>IF(O1047=N1047,M1047," ")</f>
        <v>0</v>
      </c>
      <c r="U1047" s="33">
        <v>2</v>
      </c>
      <c r="V1047" s="33" t="str">
        <f>IF(W1047=X8,V8,IF(W1047=X9,V9,IF(W1047=X10,V10,IF(W1047=X11,V11,IF(W1047=X12,V12,"ALGO ESTA MAL")))))</f>
        <v>0</v>
      </c>
      <c r="W1047" s="34" t="str">
        <f>LARGE($X$8:$X$12,U1047)</f>
        <v>0</v>
      </c>
      <c r="X1047" s="34" t="str">
        <f>IF(W1047&gt;0.1%,W1047,"Algo Esta Mal")</f>
        <v>0</v>
      </c>
      <c r="Y1047" s="33" t="str">
        <f>IF(X1047=W1047,V1047," ")</f>
        <v>0</v>
      </c>
      <c r="AD1047" s="33">
        <v>2</v>
      </c>
      <c r="AE1047" s="33" t="str">
        <f>IF(AF1047=AG8,AE8,IF(AF1047=AG9,AE9,IF(AF1047=AG10,AE10,IF(AF1047=AG11,AE11,IF(AF1047=AG12,AE12,"ALGO ESTA MAL")))))</f>
        <v>0</v>
      </c>
      <c r="AF1047" s="34" t="str">
        <f>LARGE($AG$8:$AG$12,AD1047)</f>
        <v>0</v>
      </c>
      <c r="AG1047" s="34" t="str">
        <f>IF(AF1047&gt;0.1%,AF1047,"Algo Esta Mal")</f>
        <v>0</v>
      </c>
      <c r="AH1047" s="33" t="str">
        <f>IF(AG1047=AF1047,AE1047," ")</f>
        <v>0</v>
      </c>
      <c r="AM1047" s="33">
        <v>2</v>
      </c>
      <c r="AN1047" s="33" t="str">
        <f>IF(AO1047=AP8,AN8,IF(AO1047=AP9,AN9,IF(AO1047=AP10,AN10,IF(AO1047=AP11,AN11,IF(AO1047=AP12,AN12,"ALGO ESTA MAL")))))</f>
        <v>0</v>
      </c>
      <c r="AO1047" s="34" t="str">
        <f>LARGE($AP$8:$AP$12,AM1047)</f>
        <v>0</v>
      </c>
      <c r="AP1047" s="34" t="str">
        <f>IF(AO1047&gt;0.1%,AO1047,"Algo Esta Mal")</f>
        <v>0</v>
      </c>
      <c r="AQ1047" s="33" t="str">
        <f>IF(AP1047=AO1047,AN1047," ")</f>
        <v>0</v>
      </c>
      <c r="AV1047" s="33">
        <v>2</v>
      </c>
      <c r="AW1047" s="33" t="str">
        <f>IF(AX1047=AY8,AW8,IF(AX1047=AY9,AW9,IF(AX1047=AY10,AW10,IF(AX1047=AY11,AW11,IF(AX1047=AY12,AW12,"ALGO ESTA MAL")))))</f>
        <v>0</v>
      </c>
      <c r="AX1047" s="34" t="str">
        <f>LARGE($AY$8:$AY$12,AV1047)</f>
        <v>0</v>
      </c>
      <c r="AY1047" s="34" t="str">
        <f>IF(AX1047&gt;0.1%,AX1047,"Algo Esta Mal")</f>
        <v>0</v>
      </c>
      <c r="AZ1047" s="33" t="str">
        <f>IF(AY1047=AX1047,AW1047," ")</f>
        <v>0</v>
      </c>
      <c r="BE1047" s="33">
        <v>2</v>
      </c>
      <c r="BF1047" s="33" t="str">
        <f>IF(BG1047=BH8,BF8,IF(BG1047=BH9,BF9,IF(BG1047=BH10,BF10,IF(BG1047=BH11,BF11,IF(BG1047=BH12,BF12,"ALGO ESTA MAL")))))</f>
        <v>0</v>
      </c>
      <c r="BG1047" s="34" t="str">
        <f>LARGE($BH$8:$BH$12,BE1047)</f>
        <v>0</v>
      </c>
      <c r="BH1047" s="34" t="str">
        <f>IF(BG1047&gt;0.1%,BG1047,"Algo Esta Mal")</f>
        <v>0</v>
      </c>
      <c r="BI1047" s="33" t="str">
        <f>IF(BH1047=BG1047,BF1047," ")</f>
        <v>0</v>
      </c>
      <c r="BN1047" s="33">
        <v>2</v>
      </c>
      <c r="BO1047" s="33" t="str">
        <f>IF(BP1047=BQ8,BO8,IF(BP1047=BQ9,BO9,IF(BP1047=BQ10,BO10,IF(BP1047=BQ11,BO11,IF(BP1047=BQ12,BO12,"ALGO ESTA MAL")))))</f>
        <v>0</v>
      </c>
      <c r="BP1047" s="34" t="str">
        <f>LARGE($BQ$8:$BQ$12,BN1047)</f>
        <v>0</v>
      </c>
      <c r="BQ1047" s="34" t="str">
        <f>IF(BP1047&gt;0.1%,BP1047,"Algo Esta Mal")</f>
        <v>0</v>
      </c>
      <c r="BR1047" s="33" t="str">
        <f>IF(BQ1047=BP1047,BO1047," ")</f>
        <v>0</v>
      </c>
      <c r="BW1047" s="33">
        <v>2</v>
      </c>
      <c r="BX1047" s="33" t="str">
        <f>IF(BY1047=BZ8,BX8,IF(BY1047=BZ9,BX9,IF(BY1047=BZ10,BX10,IF(BY1047=BZ11,BX11,IF(BY1047=BZ12,BX12,"ALGO ESTA MAL")))))</f>
        <v>0</v>
      </c>
      <c r="BY1047" s="34" t="str">
        <f>LARGE($BZ$8:$BZ$12,BW1047)</f>
        <v>0</v>
      </c>
      <c r="BZ1047" s="34" t="str">
        <f>IF(BY1047&gt;0.1%,BY1047,"Algo Esta Mal")</f>
        <v>0</v>
      </c>
      <c r="CA1047" s="33" t="str">
        <f>IF(BZ1047=BY1047,BX1047," ")</f>
        <v>0</v>
      </c>
      <c r="CF1047" s="33">
        <v>2</v>
      </c>
      <c r="CG1047" s="33" t="str">
        <f>IF(CH1047=CI8,CG8,IF(CH1047=CI9,CG9,IF(CH1047=CI10,CG10,IF(CH1047=CI11,CG11,IF(CH1047=CI12,CG12,"ALGO ESTA MAL")))))</f>
        <v>0</v>
      </c>
      <c r="CH1047" s="34" t="str">
        <f>LARGE($CI$8:$CI$12,CF1047)</f>
        <v>0</v>
      </c>
      <c r="CI1047" s="34" t="str">
        <f>IF(CH1047&gt;0.1%,CH1047,"Algo Esta Mal")</f>
        <v>0</v>
      </c>
      <c r="CJ1047" s="33" t="str">
        <f>IF(CI1047=CH1047,CG1047," ")</f>
        <v>0</v>
      </c>
      <c r="CO1047" s="33">
        <v>2</v>
      </c>
      <c r="CP1047" s="33" t="str">
        <f>IF(CQ1047=CR8,CP8,IF(CQ1047=CR9,CP9,IF(CQ1047=CR10,CP10,IF(CQ1047=CR11,CP11,IF(CQ1047=CR12,CP12,"ALGO ESTA MAL")))))</f>
        <v>0</v>
      </c>
      <c r="CQ1047" s="34" t="str">
        <f>LARGE($CR$8:$CR$12,CO1047)</f>
        <v>0</v>
      </c>
      <c r="CR1047" s="34" t="str">
        <f>IF(CQ1047&gt;0.1%,CQ1047,"Algo Esta Mal")</f>
        <v>0</v>
      </c>
      <c r="CS1047" s="33" t="str">
        <f>IF(CR1047=CQ1047,CP1047," ")</f>
        <v>0</v>
      </c>
      <c r="CX1047" s="33">
        <v>2</v>
      </c>
      <c r="CY1047" s="33" t="str">
        <f>IF(CZ1047=DA8,CY8,IF(CZ1047=DA9,CY9,IF(CZ1047=DA10,CY10,IF(CZ1047=DA11,CY11,IF(CZ1047=DA12,CY12,"ALGO ESTA MAL")))))</f>
        <v>0</v>
      </c>
      <c r="CZ1047" s="34" t="str">
        <f>LARGE($DA$8:$DA$12,CX1047)</f>
        <v>0</v>
      </c>
      <c r="DA1047" s="34" t="str">
        <f>IF(CZ1047&gt;0.1%,CZ1047,"Algo Esta Mal")</f>
        <v>0</v>
      </c>
      <c r="DB1047" s="33" t="str">
        <f>IF(DA1047=CZ1047,CY1047," ")</f>
        <v>0</v>
      </c>
      <c r="DG1047" s="33">
        <v>2</v>
      </c>
      <c r="DH1047" s="33" t="str">
        <f>IF(DI1047=DJ8,DH8,IF(DI1047=DJ9,DH9,IF(DI1047=DJ10,DH10,IF(DI1047=DJ11,DH11,IF(DI1047=DJ12,DH12,"ALGO ESTA MAL")))))</f>
        <v>0</v>
      </c>
      <c r="DI1047" s="34" t="str">
        <f>LARGE($DJ$8:$DJ$12,DG1047)</f>
        <v>0</v>
      </c>
      <c r="DJ1047" s="34" t="str">
        <f>IF(DI1047&gt;0.1%,DI1047,"Algo Esta Mal")</f>
        <v>0</v>
      </c>
      <c r="DK1047" s="33" t="str">
        <f>IF(DJ1047=DI1047,DH1047," ")</f>
        <v>0</v>
      </c>
      <c r="DP1047" s="33">
        <v>2</v>
      </c>
      <c r="DQ1047" s="33" t="str">
        <f>IF(DR1047=DS8,DQ8,IF(DR1047=DS9,DQ9,IF(DR1047=DS10,DQ10,IF(DR1047=DS11,DQ11,IF(DR1047=DS12,DQ12,"ALGO ESTA MAL")))))</f>
        <v>0</v>
      </c>
      <c r="DR1047" s="34" t="str">
        <f>LARGE($DS$8:$DS$12,DP1047)</f>
        <v>0</v>
      </c>
      <c r="DS1047" s="34" t="str">
        <f>IF(DR1047&gt;0.1%,DR1047,"Algo Esta Mal")</f>
        <v>0</v>
      </c>
      <c r="DT1047" s="33" t="str">
        <f>IF(DS1047=DR1047,DQ1047," ")</f>
        <v>0</v>
      </c>
      <c r="DY1047" s="33">
        <v>2</v>
      </c>
      <c r="DZ1047" s="33" t="str">
        <f>IF(EA1047=EB8,DZ8,IF(EA1047=EB9,DZ9,IF(EA1047=EB10,DZ10,IF(EA1047=EB11,DZ11,IF(EA1047=EB12,DZ12,"ALGO ESTA MAL")))))</f>
        <v>0</v>
      </c>
      <c r="EA1047" s="34" t="str">
        <f>LARGE($EB$8:$EB$12,DY1047)</f>
        <v>0</v>
      </c>
      <c r="EB1047" s="34" t="str">
        <f>IF(EA1047&gt;0.1%,EA1047,"Algo Esta Mal")</f>
        <v>0</v>
      </c>
      <c r="EC1047" s="33" t="str">
        <f>IF(EB1047=EA1047,DZ1047," ")</f>
        <v>0</v>
      </c>
      <c r="EH1047" s="33">
        <v>2</v>
      </c>
      <c r="EI1047" s="33" t="str">
        <f>IF(EJ1047=EK8,EI8,IF(EJ1047=EK9,EI9,IF(EJ1047=EK10,EI10,IF(EJ1047=EK11,EI11,IF(EJ1047=EK12,EI12,"ALGO ESTA MAL")))))</f>
        <v>0</v>
      </c>
      <c r="EJ1047" s="34" t="str">
        <f>LARGE($EK$8:$EK$12,EH1047)</f>
        <v>0</v>
      </c>
      <c r="EK1047" s="34" t="str">
        <f>IF(EJ1047&gt;0.1%,EJ1047,"Algo Esta Mal")</f>
        <v>0</v>
      </c>
      <c r="EL1047" s="33" t="str">
        <f>IF(EK1047=EJ1047,EI1047," ")</f>
        <v>0</v>
      </c>
      <c r="EQ1047" s="33">
        <v>2</v>
      </c>
      <c r="ER1047" s="33" t="str">
        <f>IF(ES1047=ET8,ER8,IF(ES1047=ET9,ER9,IF(ES1047=ET10,ER10,IF(ES1047=ET11,ER11,IF(ES1047=ET12,ER12,"ALGO ESTA MAL")))))</f>
        <v>0</v>
      </c>
      <c r="ES1047" s="34" t="str">
        <f>LARGE($ET$8:$ET$12,EQ1047)</f>
        <v>0</v>
      </c>
      <c r="ET1047" s="34" t="str">
        <f>IF(ES1047&gt;0.1%,ES1047,"Algo Esta Mal")</f>
        <v>0</v>
      </c>
      <c r="EU1047" s="33" t="str">
        <f>IF(ET1047=ES1047,ER1047," ")</f>
        <v>0</v>
      </c>
      <c r="EZ1047" s="33">
        <v>2</v>
      </c>
      <c r="FA1047" s="33" t="str">
        <f>IF(FB1047=FC8,FA8,IF(FB1047=FC9,FA9,IF(FB1047=FC10,FA10,IF(FB1047=FC11,FA11,IF(FB1047=FC12,FA12,"ALGO ESTA MAL")))))</f>
        <v>0</v>
      </c>
      <c r="FB1047" s="34" t="str">
        <f>LARGE($FC$8:$FC$12,EZ1047)</f>
        <v>0</v>
      </c>
      <c r="FC1047" s="34" t="str">
        <f>IF(FB1047&gt;0.1%,FB1047,"Algo Esta Mal")</f>
        <v>0</v>
      </c>
      <c r="FD1047" s="33" t="str">
        <f>IF(FC1047=FB1047,FA1047," ")</f>
        <v>0</v>
      </c>
      <c r="FI1047" s="33">
        <v>2</v>
      </c>
      <c r="FJ1047" s="33" t="str">
        <f>IF(FK1047=FL8,FJ8,IF(FK1047=FL9,FJ9,IF(FK1047=FL10,FJ10,IF(FK1047=FL11,FJ11,IF(FK1047=FL12,FJ12,"ALGO ESTA MAL")))))</f>
        <v>0</v>
      </c>
      <c r="FK1047" s="34" t="str">
        <f>LARGE($FL$8:$FL$12,FI1047)</f>
        <v>0</v>
      </c>
      <c r="FL1047" s="34" t="str">
        <f>IF(FK1047&gt;0.1%,FK1047,"Algo Esta Mal")</f>
        <v>0</v>
      </c>
      <c r="FM1047" s="33" t="str">
        <f>IF(FL1047=FK1047,FJ1047," ")</f>
        <v>0</v>
      </c>
      <c r="FR1047" s="33">
        <v>2</v>
      </c>
      <c r="FS1047" s="33" t="str">
        <f>IF(FT1047=FU8,FS8,IF(FT1047=FU9,FS9,IF(FT1047=FU10,FS10,IF(FT1047=FU11,FS11,IF(FT1047=FU12,FS12,"ALGO ESTA MAL")))))</f>
        <v>0</v>
      </c>
      <c r="FT1047" s="34" t="str">
        <f>LARGE($FU$8:$FU$12,FR1047)</f>
        <v>0</v>
      </c>
      <c r="FU1047" s="34" t="str">
        <f>IF(FT1047&gt;0.1%,FT1047,"Algo Esta Mal")</f>
        <v>0</v>
      </c>
      <c r="FV1047" s="33" t="str">
        <f>IF(FU1047=FT1047,FS1047," ")</f>
        <v>0</v>
      </c>
      <c r="GA1047" s="33">
        <v>2</v>
      </c>
      <c r="GB1047" s="33" t="str">
        <f>IF(GC1047=GD8,GB8,IF(GC1047=GD9,GB9,IF(GC1047=GD10,GB10,IF(GC1047=GD11,GB11,IF(GC1047=GD12,GB12,"ALGO ESTA MAL")))))</f>
        <v>0</v>
      </c>
      <c r="GC1047" s="34" t="str">
        <f>LARGE($GD$8:$GD$12,GA1047)</f>
        <v>0</v>
      </c>
      <c r="GD1047" s="34" t="str">
        <f>IF(GC1047&gt;0.1%,GC1047,"Algo Esta Mal")</f>
        <v>0</v>
      </c>
      <c r="GE1047" s="33" t="str">
        <f>IF(GD1047=GC1047,GB1047," ")</f>
        <v>0</v>
      </c>
      <c r="GJ1047" s="33">
        <v>2</v>
      </c>
      <c r="GK1047" s="33" t="str">
        <f>IF(GL1047=GM8,GK8,IF(GL1047=GM9,GK9,IF(GL1047=GM10,GK10,IF(GL1047=GM11,GK11,IF(GL1047=GM12,GK12,"ALGO ESTA MAL")))))</f>
        <v>0</v>
      </c>
      <c r="GL1047" s="34" t="str">
        <f>LARGE($GM$8:$GM$12,GJ1047)</f>
        <v>0</v>
      </c>
      <c r="GM1047" s="34" t="str">
        <f>IF(GL1047&gt;0.1%,GL1047,"Algo Esta Mal")</f>
        <v>0</v>
      </c>
      <c r="GN1047" s="33" t="str">
        <f>IF(GM1047=GL1047,GK1047," ")</f>
        <v>0</v>
      </c>
      <c r="GS1047" s="33">
        <v>2</v>
      </c>
      <c r="GT1047" s="33" t="str">
        <f>IF(GU1047=GV8,GT8,IF(GU1047=GV9,GT9,IF(GU1047=GV10,GT10,IF(GU1047=GV11,GT11,IF(GU1047=GV12,GT12,"ALGO ESTA MAL")))))</f>
        <v>0</v>
      </c>
      <c r="GU1047" s="34" t="str">
        <f>LARGE($GV$8:$GV$12,GS1047)</f>
        <v>0</v>
      </c>
      <c r="GV1047" s="34" t="str">
        <f>IF(GU1047&gt;0.1%,GU1047,"Algo Esta Mal")</f>
        <v>0</v>
      </c>
      <c r="GW1047" s="33" t="str">
        <f>IF(GV1047=GU1047,GT1047," ")</f>
        <v>0</v>
      </c>
      <c r="HB1047" s="33">
        <v>2</v>
      </c>
      <c r="HC1047" s="33" t="str">
        <f>IF(HD1047=HE8,HC8,IF(HD1047=HE9,HC9,IF(HD1047=HE10,HC10,IF(HD1047=HE11,HC11,IF(HD1047=HE12,HC12,"ALGO ESTA MAL")))))</f>
        <v>0</v>
      </c>
      <c r="HD1047" s="34" t="str">
        <f>LARGE($HE$8:$HE$12,HB1047)</f>
        <v>0</v>
      </c>
      <c r="HE1047" s="34" t="str">
        <f>IF(HD1047&gt;0.1%,HD1047,"Algo Esta Mal")</f>
        <v>0</v>
      </c>
      <c r="HF1047" s="33" t="str">
        <f>IF(HE1047=HD1047,HC1047," ")</f>
        <v>0</v>
      </c>
    </row>
    <row r="1048" spans="1:215">
      <c r="C1048" s="33">
        <v>3</v>
      </c>
      <c r="D1048" s="33" t="str">
        <f>IF(E1048=F8,D8,IF(E1048=F9,D9,IF(E1048=F10,D10,IF(E1048=F11,D11,IF(E1048=F12,D12,"ALGO ESTA MAL")))))</f>
        <v>0</v>
      </c>
      <c r="E1048" s="34" t="str">
        <f>LARGE($F$8:$F$12,C1048)</f>
        <v>0</v>
      </c>
      <c r="F1048" s="34" t="str">
        <f>IF(E1048&gt;0.1%,E1048,"Algo Esta Mal")</f>
        <v>0</v>
      </c>
      <c r="G1048" s="33" t="str">
        <f>IF(F1048=E1048,D1048," ")</f>
        <v>0</v>
      </c>
      <c r="L1048" s="33">
        <v>3</v>
      </c>
      <c r="M1048" s="33" t="str">
        <f>IF(N1048=O8,M8,IF(N1048=O9,M9,IF(N1048=O10,M10,IF(N1048=O11,M11,IF(N1048=O12,M12,"ALGO ESTA MAL")))))</f>
        <v>0</v>
      </c>
      <c r="N1048" s="34" t="str">
        <f>LARGE($O$8:$O$12,L1048)</f>
        <v>0</v>
      </c>
      <c r="O1048" s="34" t="str">
        <f>IF(N1048&gt;0.1%,N1048,"Algo Esta Mal")</f>
        <v>0</v>
      </c>
      <c r="P1048" s="33" t="str">
        <f>IF(O1048=N1048,M1048," ")</f>
        <v>0</v>
      </c>
      <c r="U1048" s="33">
        <v>3</v>
      </c>
      <c r="V1048" s="33" t="str">
        <f>IF(W1048=X8,V8,IF(W1048=X9,V9,IF(W1048=X10,V10,IF(W1048=X11,V11,IF(W1048=X12,V12,"ALGO ESTA MAL")))))</f>
        <v>0</v>
      </c>
      <c r="W1048" s="34" t="str">
        <f>LARGE($X$8:$X$12,U1048)</f>
        <v>0</v>
      </c>
      <c r="X1048" s="34" t="str">
        <f>IF(W1048&gt;0.1%,W1048,"Algo Esta Mal")</f>
        <v>0</v>
      </c>
      <c r="Y1048" s="33" t="str">
        <f>IF(X1048=W1048,V1048," ")</f>
        <v>0</v>
      </c>
      <c r="AD1048" s="33">
        <v>3</v>
      </c>
      <c r="AE1048" s="33" t="str">
        <f>IF(AF1048=AG8,AE8,IF(AF1048=AG9,AE9,IF(AF1048=AG10,AE10,IF(AF1048=AG11,AE11,IF(AF1048=AG12,AE12,"ALGO ESTA MAL")))))</f>
        <v>0</v>
      </c>
      <c r="AF1048" s="34" t="str">
        <f>LARGE($AG$8:$AG$12,AD1048)</f>
        <v>0</v>
      </c>
      <c r="AG1048" s="34" t="str">
        <f>IF(AF1048&gt;0.1%,AF1048,"Algo Esta Mal")</f>
        <v>0</v>
      </c>
      <c r="AH1048" s="33" t="str">
        <f>IF(AG1048=AF1048,AE1048," ")</f>
        <v>0</v>
      </c>
      <c r="AM1048" s="33">
        <v>3</v>
      </c>
      <c r="AN1048" s="33" t="str">
        <f>IF(AO1048=AP8,AN8,IF(AO1048=AP9,AN9,IF(AO1048=AP10,AN10,IF(AO1048=AP11,AN11,IF(AO1048=AP12,AN12,"ALGO ESTA MAL")))))</f>
        <v>0</v>
      </c>
      <c r="AO1048" s="34" t="str">
        <f>LARGE($AP$8:$AP$12,AM1048)</f>
        <v>0</v>
      </c>
      <c r="AP1048" s="34" t="str">
        <f>IF(AO1048&gt;0.1%,AO1048,"Algo Esta Mal")</f>
        <v>0</v>
      </c>
      <c r="AQ1048" s="33" t="str">
        <f>IF(AP1048=AO1048,AN1048," ")</f>
        <v>0</v>
      </c>
      <c r="AV1048" s="33">
        <v>3</v>
      </c>
      <c r="AW1048" s="33" t="str">
        <f>IF(AX1048=AY8,AW8,IF(AX1048=AY9,AW9,IF(AX1048=AY10,AW10,IF(AX1048=AY11,AW11,IF(AX1048=AY12,AW12,"ALGO ESTA MAL")))))</f>
        <v>0</v>
      </c>
      <c r="AX1048" s="34" t="str">
        <f>LARGE($AY$8:$AY$12,AV1048)</f>
        <v>0</v>
      </c>
      <c r="AY1048" s="34" t="str">
        <f>IF(AX1048&gt;0.1%,AX1048,"Algo Esta Mal")</f>
        <v>0</v>
      </c>
      <c r="AZ1048" s="33" t="str">
        <f>IF(AY1048=AX1048,AW1048," ")</f>
        <v>0</v>
      </c>
      <c r="BE1048" s="33">
        <v>3</v>
      </c>
      <c r="BF1048" s="33" t="str">
        <f>IF(BG1048=BH8,BF8,IF(BG1048=BH9,BF9,IF(BG1048=BH10,BF10,IF(BG1048=BH11,BF11,IF(BG1048=BH12,BF12,"ALGO ESTA MAL")))))</f>
        <v>0</v>
      </c>
      <c r="BG1048" s="34" t="str">
        <f>LARGE($BH$8:$BH$12,BE1048)</f>
        <v>0</v>
      </c>
      <c r="BH1048" s="34" t="str">
        <f>IF(BG1048&gt;0.1%,BG1048,"Algo Esta Mal")</f>
        <v>0</v>
      </c>
      <c r="BI1048" s="33" t="str">
        <f>IF(BH1048=BG1048,BF1048," ")</f>
        <v>0</v>
      </c>
      <c r="BN1048" s="33">
        <v>3</v>
      </c>
      <c r="BO1048" s="33" t="str">
        <f>IF(BP1048=BQ8,BO8,IF(BP1048=BQ9,BO9,IF(BP1048=BQ10,BO10,IF(BP1048=BQ11,BO11,IF(BP1048=BQ12,BO12,"ALGO ESTA MAL")))))</f>
        <v>0</v>
      </c>
      <c r="BP1048" s="34" t="str">
        <f>LARGE($BQ$8:$BQ$12,BN1048)</f>
        <v>0</v>
      </c>
      <c r="BQ1048" s="34" t="str">
        <f>IF(BP1048&gt;0.1%,BP1048,"Algo Esta Mal")</f>
        <v>0</v>
      </c>
      <c r="BR1048" s="33" t="str">
        <f>IF(BQ1048=BP1048,BO1048," ")</f>
        <v>0</v>
      </c>
      <c r="BW1048" s="33">
        <v>3</v>
      </c>
      <c r="BX1048" s="33" t="str">
        <f>IF(BY1048=BZ8,BX8,IF(BY1048=BZ9,BX9,IF(BY1048=BZ10,BX10,IF(BY1048=BZ11,BX11,IF(BY1048=BZ12,BX12,"ALGO ESTA MAL")))))</f>
        <v>0</v>
      </c>
      <c r="BY1048" s="34" t="str">
        <f>LARGE($BZ$8:$BZ$12,BW1048)</f>
        <v>0</v>
      </c>
      <c r="BZ1048" s="34" t="str">
        <f>IF(BY1048&gt;0.1%,BY1048,"Algo Esta Mal")</f>
        <v>0</v>
      </c>
      <c r="CA1048" s="33" t="str">
        <f>IF(BZ1048=BY1048,BX1048," ")</f>
        <v>0</v>
      </c>
      <c r="CF1048" s="33">
        <v>3</v>
      </c>
      <c r="CG1048" s="33" t="str">
        <f>IF(CH1048=CI8,CG8,IF(CH1048=CI9,CG9,IF(CH1048=CI10,CG10,IF(CH1048=CI11,CG11,IF(CH1048=CI12,CG12,"ALGO ESTA MAL")))))</f>
        <v>0</v>
      </c>
      <c r="CH1048" s="34" t="str">
        <f>LARGE($CI$8:$CI$12,CF1048)</f>
        <v>0</v>
      </c>
      <c r="CI1048" s="34" t="str">
        <f>IF(CH1048&gt;0.1%,CH1048,"Algo Esta Mal")</f>
        <v>0</v>
      </c>
      <c r="CJ1048" s="33" t="str">
        <f>IF(CI1048=CH1048,CG1048," ")</f>
        <v>0</v>
      </c>
      <c r="CO1048" s="33">
        <v>3</v>
      </c>
      <c r="CP1048" s="33" t="str">
        <f>IF(CQ1048=CR8,CP8,IF(CQ1048=CR9,CP9,IF(CQ1048=CR10,CP10,IF(CQ1048=CR11,CP11,IF(CQ1048=CR12,CP12,"ALGO ESTA MAL")))))</f>
        <v>0</v>
      </c>
      <c r="CQ1048" s="34" t="str">
        <f>LARGE($CR$8:$CR$12,CO1048)</f>
        <v>0</v>
      </c>
      <c r="CR1048" s="34" t="str">
        <f>IF(CQ1048&gt;0.1%,CQ1048,"Algo Esta Mal")</f>
        <v>0</v>
      </c>
      <c r="CS1048" s="33" t="str">
        <f>IF(CR1048=CQ1048,CP1048," ")</f>
        <v>0</v>
      </c>
      <c r="CX1048" s="33">
        <v>3</v>
      </c>
      <c r="CY1048" s="33" t="str">
        <f>IF(CZ1048=DA8,CY8,IF(CZ1048=DA9,CY9,IF(CZ1048=DA10,CY10,IF(CZ1048=DA11,CY11,IF(CZ1048=DA12,CY12,"ALGO ESTA MAL")))))</f>
        <v>0</v>
      </c>
      <c r="CZ1048" s="34" t="str">
        <f>LARGE($DA$8:$DA$12,CX1048)</f>
        <v>0</v>
      </c>
      <c r="DA1048" s="34" t="str">
        <f>IF(CZ1048&gt;0.1%,CZ1048,"Algo Esta Mal")</f>
        <v>0</v>
      </c>
      <c r="DB1048" s="33" t="str">
        <f>IF(DA1048=CZ1048,CY1048," ")</f>
        <v>0</v>
      </c>
      <c r="DG1048" s="33">
        <v>3</v>
      </c>
      <c r="DH1048" s="33" t="str">
        <f>IF(DI1048=DJ8,DH8,IF(DI1048=DJ9,DH9,IF(DI1048=DJ10,DH10,IF(DI1048=DJ11,DH11,IF(DI1048=DJ12,DH12,"ALGO ESTA MAL")))))</f>
        <v>0</v>
      </c>
      <c r="DI1048" s="34" t="str">
        <f>LARGE($DJ$8:$DJ$12,DG1048)</f>
        <v>0</v>
      </c>
      <c r="DJ1048" s="34" t="str">
        <f>IF(DI1048&gt;0.1%,DI1048,"Algo Esta Mal")</f>
        <v>0</v>
      </c>
      <c r="DK1048" s="33" t="str">
        <f>IF(DJ1048=DI1048,DH1048," ")</f>
        <v>0</v>
      </c>
      <c r="DP1048" s="33">
        <v>3</v>
      </c>
      <c r="DQ1048" s="33" t="str">
        <f>IF(DR1048=DS8,DQ8,IF(DR1048=DS9,DQ9,IF(DR1048=DS10,DQ10,IF(DR1048=DS11,DQ11,IF(DR1048=DS12,DQ12,"ALGO ESTA MAL")))))</f>
        <v>0</v>
      </c>
      <c r="DR1048" s="34" t="str">
        <f>LARGE($DS$8:$DS$12,DP1048)</f>
        <v>0</v>
      </c>
      <c r="DS1048" s="34" t="str">
        <f>IF(DR1048&gt;0.1%,DR1048,"Algo Esta Mal")</f>
        <v>0</v>
      </c>
      <c r="DT1048" s="33" t="str">
        <f>IF(DS1048=DR1048,DQ1048," ")</f>
        <v>0</v>
      </c>
      <c r="DY1048" s="33">
        <v>3</v>
      </c>
      <c r="DZ1048" s="33" t="str">
        <f>IF(EA1048=EB8,DZ8,IF(EA1048=EB9,DZ9,IF(EA1048=EB10,DZ10,IF(EA1048=EB11,DZ11,IF(EA1048=EB12,DZ12,"ALGO ESTA MAL")))))</f>
        <v>0</v>
      </c>
      <c r="EA1048" s="34" t="str">
        <f>LARGE($EB$8:$EB$12,DY1048)</f>
        <v>0</v>
      </c>
      <c r="EB1048" s="34" t="str">
        <f>IF(EA1048&gt;0.1%,EA1048,"Algo Esta Mal")</f>
        <v>0</v>
      </c>
      <c r="EC1048" s="33" t="str">
        <f>IF(EB1048=EA1048,DZ1048," ")</f>
        <v>0</v>
      </c>
      <c r="EH1048" s="33">
        <v>3</v>
      </c>
      <c r="EI1048" s="33" t="str">
        <f>IF(EJ1048=EK8,EI8,IF(EJ1048=EK9,EI9,IF(EJ1048=EK10,EI10,IF(EJ1048=EK11,EI11,IF(EJ1048=EK12,EI12,"ALGO ESTA MAL")))))</f>
        <v>0</v>
      </c>
      <c r="EJ1048" s="34" t="str">
        <f>LARGE($EK$8:$EK$12,EH1048)</f>
        <v>0</v>
      </c>
      <c r="EK1048" s="34" t="str">
        <f>IF(EJ1048&gt;0.1%,EJ1048,"Algo Esta Mal")</f>
        <v>0</v>
      </c>
      <c r="EL1048" s="33" t="str">
        <f>IF(EK1048=EJ1048,EI1048," ")</f>
        <v>0</v>
      </c>
      <c r="EQ1048" s="33">
        <v>3</v>
      </c>
      <c r="ER1048" s="33" t="str">
        <f>IF(ES1048=ET8,ER8,IF(ES1048=ET9,ER9,IF(ES1048=ET10,ER10,IF(ES1048=ET11,ER11,IF(ES1048=ET12,ER12,"ALGO ESTA MAL")))))</f>
        <v>0</v>
      </c>
      <c r="ES1048" s="34" t="str">
        <f>LARGE($ET$8:$ET$12,EQ1048)</f>
        <v>0</v>
      </c>
      <c r="ET1048" s="34" t="str">
        <f>IF(ES1048&gt;0.1%,ES1048,"Algo Esta Mal")</f>
        <v>0</v>
      </c>
      <c r="EU1048" s="33" t="str">
        <f>IF(ET1048=ES1048,ER1048," ")</f>
        <v>0</v>
      </c>
      <c r="EZ1048" s="33">
        <v>3</v>
      </c>
      <c r="FA1048" s="33" t="str">
        <f>IF(FB1048=FC8,FA8,IF(FB1048=FC9,FA9,IF(FB1048=FC10,FA10,IF(FB1048=FC11,FA11,IF(FB1048=FC12,FA12,"ALGO ESTA MAL")))))</f>
        <v>0</v>
      </c>
      <c r="FB1048" s="34" t="str">
        <f>LARGE($FC$8:$FC$12,EZ1048)</f>
        <v>0</v>
      </c>
      <c r="FC1048" s="34" t="str">
        <f>IF(FB1048&gt;0.1%,FB1048,"Algo Esta Mal")</f>
        <v>0</v>
      </c>
      <c r="FD1048" s="33" t="str">
        <f>IF(FC1048=FB1048,FA1048," ")</f>
        <v>0</v>
      </c>
      <c r="FI1048" s="33">
        <v>3</v>
      </c>
      <c r="FJ1048" s="33" t="str">
        <f>IF(FK1048=FL8,FJ8,IF(FK1048=FL9,FJ9,IF(FK1048=FL10,FJ10,IF(FK1048=FL11,FJ11,IF(FK1048=FL12,FJ12,"ALGO ESTA MAL")))))</f>
        <v>0</v>
      </c>
      <c r="FK1048" s="34" t="str">
        <f>LARGE($FL$8:$FL$12,FI1048)</f>
        <v>0</v>
      </c>
      <c r="FL1048" s="34" t="str">
        <f>IF(FK1048&gt;0.1%,FK1048,"Algo Esta Mal")</f>
        <v>0</v>
      </c>
      <c r="FM1048" s="33" t="str">
        <f>IF(FL1048=FK1048,FJ1048," ")</f>
        <v>0</v>
      </c>
      <c r="FR1048" s="33">
        <v>3</v>
      </c>
      <c r="FS1048" s="33" t="str">
        <f>IF(FT1048=FU8,FS8,IF(FT1048=FU9,FS9,IF(FT1048=FU10,FS10,IF(FT1048=FU11,FS11,IF(FT1048=FU12,FS12,"ALGO ESTA MAL")))))</f>
        <v>0</v>
      </c>
      <c r="FT1048" s="34" t="str">
        <f>LARGE($FU$8:$FU$12,FR1048)</f>
        <v>0</v>
      </c>
      <c r="FU1048" s="34" t="str">
        <f>IF(FT1048&gt;0.1%,FT1048,"Algo Esta Mal")</f>
        <v>0</v>
      </c>
      <c r="FV1048" s="33" t="str">
        <f>IF(FU1048=FT1048,FS1048," ")</f>
        <v>0</v>
      </c>
      <c r="GA1048" s="33">
        <v>3</v>
      </c>
      <c r="GB1048" s="33" t="str">
        <f>IF(GC1048=GD8,GB8,IF(GC1048=GD9,GB9,IF(GC1048=GD10,GB10,IF(GC1048=GD11,GB11,IF(GC1048=GD12,GB12,"ALGO ESTA MAL")))))</f>
        <v>0</v>
      </c>
      <c r="GC1048" s="34" t="str">
        <f>LARGE($GD$8:$GD$12,GA1048)</f>
        <v>0</v>
      </c>
      <c r="GD1048" s="34" t="str">
        <f>IF(GC1048&gt;0.1%,GC1048,"Algo Esta Mal")</f>
        <v>0</v>
      </c>
      <c r="GE1048" s="33" t="str">
        <f>IF(GD1048=GC1048,GB1048," ")</f>
        <v>0</v>
      </c>
      <c r="GJ1048" s="33">
        <v>3</v>
      </c>
      <c r="GK1048" s="33" t="str">
        <f>IF(GL1048=GM8,GK8,IF(GL1048=GM9,GK9,IF(GL1048=GM10,GK10,IF(GL1048=GM11,GK11,IF(GL1048=GM12,GK12,"ALGO ESTA MAL")))))</f>
        <v>0</v>
      </c>
      <c r="GL1048" s="34" t="str">
        <f>LARGE($GM$8:$GM$12,GJ1048)</f>
        <v>0</v>
      </c>
      <c r="GM1048" s="34" t="str">
        <f>IF(GL1048&gt;0.1%,GL1048,"Algo Esta Mal")</f>
        <v>0</v>
      </c>
      <c r="GN1048" s="33" t="str">
        <f>IF(GM1048=GL1048,GK1048," ")</f>
        <v>0</v>
      </c>
      <c r="GS1048" s="33">
        <v>3</v>
      </c>
      <c r="GT1048" s="33" t="str">
        <f>IF(GU1048=GV8,GT8,IF(GU1048=GV9,GT9,IF(GU1048=GV10,GT10,IF(GU1048=GV11,GT11,IF(GU1048=GV12,GT12,"ALGO ESTA MAL")))))</f>
        <v>0</v>
      </c>
      <c r="GU1048" s="34" t="str">
        <f>LARGE($GV$8:$GV$12,GS1048)</f>
        <v>0</v>
      </c>
      <c r="GV1048" s="34" t="str">
        <f>IF(GU1048&gt;0.1%,GU1048,"Algo Esta Mal")</f>
        <v>0</v>
      </c>
      <c r="GW1048" s="33" t="str">
        <f>IF(GV1048=GU1048,GT1048," ")</f>
        <v>0</v>
      </c>
      <c r="HB1048" s="33">
        <v>3</v>
      </c>
      <c r="HC1048" s="33" t="str">
        <f>IF(HD1048=HE8,HC8,IF(HD1048=HE9,HC9,IF(HD1048=HE10,HC10,IF(HD1048=HE11,HC11,IF(HD1048=HE12,HC12,"ALGO ESTA MAL")))))</f>
        <v>0</v>
      </c>
      <c r="HD1048" s="34" t="str">
        <f>LARGE($HE$8:$HE$12,HB1048)</f>
        <v>0</v>
      </c>
      <c r="HE1048" s="34" t="str">
        <f>IF(HD1048&gt;0.1%,HD1048,"Algo Esta Mal")</f>
        <v>0</v>
      </c>
      <c r="HF1048" s="33" t="str">
        <f>IF(HE1048=HD1048,HC1048," ")</f>
        <v>0</v>
      </c>
    </row>
    <row r="1049" spans="1:215">
      <c r="C1049" s="33">
        <v>4</v>
      </c>
      <c r="D1049" s="33" t="str">
        <f>IF(E1049=F8,D8,IF(E1049=F9,D9,IF(E1049=F10,D10,IF(E1049=F11,D11,IF(E1049=F12,D12,"ALGO ESTA MAL")))))</f>
        <v>0</v>
      </c>
      <c r="E1049" s="34" t="str">
        <f>LARGE($F$8:$F$12,C1049)</f>
        <v>0</v>
      </c>
      <c r="F1049" s="34" t="str">
        <f>IF(E1049&gt;0.1%,E1049,"Algo Esta Mal")</f>
        <v>0</v>
      </c>
      <c r="G1049" s="33" t="str">
        <f>IF(F1049=E1049,D1049," ")</f>
        <v>0</v>
      </c>
      <c r="L1049" s="33">
        <v>4</v>
      </c>
      <c r="M1049" s="33" t="str">
        <f>IF(N1049=O8,M8,IF(N1049=O9,M9,IF(N1049=O10,M10,IF(N1049=O11,M11,IF(N1049=O12,M12,"ALGO ESTA MAL")))))</f>
        <v>0</v>
      </c>
      <c r="N1049" s="34" t="str">
        <f>LARGE($O$8:$O$12,L1049)</f>
        <v>0</v>
      </c>
      <c r="O1049" s="34" t="str">
        <f>IF(N1049&gt;0.1%,N1049,"Algo Esta Mal")</f>
        <v>0</v>
      </c>
      <c r="P1049" s="33" t="str">
        <f>IF(O1049=N1049,M1049," ")</f>
        <v>0</v>
      </c>
      <c r="U1049" s="33">
        <v>4</v>
      </c>
      <c r="V1049" s="33" t="str">
        <f>IF(W1049=X8,V8,IF(W1049=X9,V9,IF(W1049=X10,V10,IF(W1049=X11,V11,IF(W1049=X12,V12,"ALGO ESTA MAL")))))</f>
        <v>0</v>
      </c>
      <c r="W1049" s="34" t="str">
        <f>LARGE($X$8:$X$12,U1049)</f>
        <v>0</v>
      </c>
      <c r="X1049" s="34" t="str">
        <f>IF(W1049&gt;0.1%,W1049,"Algo Esta Mal")</f>
        <v>0</v>
      </c>
      <c r="Y1049" s="33" t="str">
        <f>IF(X1049=W1049,V1049," ")</f>
        <v>0</v>
      </c>
      <c r="AD1049" s="33">
        <v>4</v>
      </c>
      <c r="AE1049" s="33" t="str">
        <f>IF(AF1049=AG8,AE8,IF(AF1049=AG9,AE9,IF(AF1049=AG10,AE10,IF(AF1049=AG11,AE11,IF(AF1049=AG12,AE12,"ALGO ESTA MAL")))))</f>
        <v>0</v>
      </c>
      <c r="AF1049" s="34" t="str">
        <f>LARGE($AG$8:$AG$12,AD1049)</f>
        <v>0</v>
      </c>
      <c r="AG1049" s="34" t="str">
        <f>IF(AF1049&gt;0.1%,AF1049,"Algo Esta Mal")</f>
        <v>0</v>
      </c>
      <c r="AH1049" s="33" t="str">
        <f>IF(AG1049=AF1049,AE1049," ")</f>
        <v>0</v>
      </c>
      <c r="AM1049" s="33">
        <v>4</v>
      </c>
      <c r="AN1049" s="33" t="str">
        <f>IF(AO1049=AP8,AN8,IF(AO1049=AP9,AN9,IF(AO1049=AP10,AN10,IF(AO1049=AP11,AN11,IF(AO1049=AP12,AN12,"ALGO ESTA MAL")))))</f>
        <v>0</v>
      </c>
      <c r="AO1049" s="34" t="str">
        <f>LARGE($AP$8:$AP$12,AM1049)</f>
        <v>0</v>
      </c>
      <c r="AP1049" s="34" t="str">
        <f>IF(AO1049&gt;0.1%,AO1049,"Algo Esta Mal")</f>
        <v>0</v>
      </c>
      <c r="AQ1049" s="33" t="str">
        <f>IF(AP1049=AO1049,AN1049," ")</f>
        <v>0</v>
      </c>
      <c r="AV1049" s="33">
        <v>4</v>
      </c>
      <c r="AW1049" s="33" t="str">
        <f>IF(AX1049=AY8,AW8,IF(AX1049=AY9,AW9,IF(AX1049=AY10,AW10,IF(AX1049=AY11,AW11,IF(AX1049=AY12,AW12,"ALGO ESTA MAL")))))</f>
        <v>0</v>
      </c>
      <c r="AX1049" s="34" t="str">
        <f>LARGE($AY$8:$AY$12,AV1049)</f>
        <v>0</v>
      </c>
      <c r="AY1049" s="34" t="str">
        <f>IF(AX1049&gt;0.1%,AX1049,"Algo Esta Mal")</f>
        <v>0</v>
      </c>
      <c r="AZ1049" s="33" t="str">
        <f>IF(AY1049=AX1049,AW1049," ")</f>
        <v>0</v>
      </c>
      <c r="BE1049" s="33">
        <v>4</v>
      </c>
      <c r="BF1049" s="33" t="str">
        <f>IF(BG1049=BH8,BF8,IF(BG1049=BH9,BF9,IF(BG1049=BH10,BF10,IF(BG1049=BH11,BF11,IF(BG1049=BH12,BF12,"ALGO ESTA MAL")))))</f>
        <v>0</v>
      </c>
      <c r="BG1049" s="34" t="str">
        <f>LARGE($BH$8:$BH$12,BE1049)</f>
        <v>0</v>
      </c>
      <c r="BH1049" s="34" t="str">
        <f>IF(BG1049&gt;0.1%,BG1049,"Algo Esta Mal")</f>
        <v>0</v>
      </c>
      <c r="BI1049" s="33" t="str">
        <f>IF(BH1049=BG1049,BF1049," ")</f>
        <v>0</v>
      </c>
      <c r="BN1049" s="33">
        <v>4</v>
      </c>
      <c r="BO1049" s="33" t="str">
        <f>IF(BP1049=BQ8,BO8,IF(BP1049=BQ9,BO9,IF(BP1049=BQ10,BO10,IF(BP1049=BQ11,BO11,IF(BP1049=BQ12,BO12,"ALGO ESTA MAL")))))</f>
        <v>0</v>
      </c>
      <c r="BP1049" s="34" t="str">
        <f>LARGE($BQ$8:$BQ$12,BN1049)</f>
        <v>0</v>
      </c>
      <c r="BQ1049" s="34" t="str">
        <f>IF(BP1049&gt;0.1%,BP1049,"Algo Esta Mal")</f>
        <v>0</v>
      </c>
      <c r="BR1049" s="33" t="str">
        <f>IF(BQ1049=BP1049,BO1049," ")</f>
        <v>0</v>
      </c>
      <c r="BW1049" s="33">
        <v>4</v>
      </c>
      <c r="BX1049" s="33" t="str">
        <f>IF(BY1049=BZ8,BX8,IF(BY1049=BZ9,BX9,IF(BY1049=BZ10,BX10,IF(BY1049=BZ11,BX11,IF(BY1049=BZ12,BX12,"ALGO ESTA MAL")))))</f>
        <v>0</v>
      </c>
      <c r="BY1049" s="34" t="str">
        <f>LARGE($BZ$8:$BZ$12,BW1049)</f>
        <v>0</v>
      </c>
      <c r="BZ1049" s="34" t="str">
        <f>IF(BY1049&gt;0.1%,BY1049,"Algo Esta Mal")</f>
        <v>0</v>
      </c>
      <c r="CA1049" s="33" t="str">
        <f>IF(BZ1049=BY1049,BX1049," ")</f>
        <v>0</v>
      </c>
      <c r="CF1049" s="33">
        <v>4</v>
      </c>
      <c r="CG1049" s="33" t="str">
        <f>IF(CH1049=CI8,CG8,IF(CH1049=CI9,CG9,IF(CH1049=CI10,CG10,IF(CH1049=CI11,CG11,IF(CH1049=CI12,CG12,"ALGO ESTA MAL")))))</f>
        <v>0</v>
      </c>
      <c r="CH1049" s="34" t="str">
        <f>LARGE($CI$8:$CI$12,CF1049)</f>
        <v>0</v>
      </c>
      <c r="CI1049" s="34" t="str">
        <f>IF(CH1049&gt;0.1%,CH1049,"Algo Esta Mal")</f>
        <v>0</v>
      </c>
      <c r="CJ1049" s="33" t="str">
        <f>IF(CI1049=CH1049,CG1049," ")</f>
        <v>0</v>
      </c>
      <c r="CO1049" s="33">
        <v>4</v>
      </c>
      <c r="CP1049" s="33" t="str">
        <f>IF(CQ1049=CR8,CP8,IF(CQ1049=CR9,CP9,IF(CQ1049=CR10,CP10,IF(CQ1049=CR11,CP11,IF(CQ1049=CR12,CP12,"ALGO ESTA MAL")))))</f>
        <v>0</v>
      </c>
      <c r="CQ1049" s="34" t="str">
        <f>LARGE($CR$8:$CR$12,CO1049)</f>
        <v>0</v>
      </c>
      <c r="CR1049" s="34" t="str">
        <f>IF(CQ1049&gt;0.1%,CQ1049,"Algo Esta Mal")</f>
        <v>0</v>
      </c>
      <c r="CS1049" s="33" t="str">
        <f>IF(CR1049=CQ1049,CP1049," ")</f>
        <v>0</v>
      </c>
      <c r="CX1049" s="33">
        <v>4</v>
      </c>
      <c r="CY1049" s="33" t="str">
        <f>IF(CZ1049=DA8,CY8,IF(CZ1049=DA9,CY9,IF(CZ1049=DA10,CY10,IF(CZ1049=DA11,CY11,IF(CZ1049=DA12,CY12,"ALGO ESTA MAL")))))</f>
        <v>0</v>
      </c>
      <c r="CZ1049" s="34" t="str">
        <f>LARGE($DA$8:$DA$12,CX1049)</f>
        <v>0</v>
      </c>
      <c r="DA1049" s="34" t="str">
        <f>IF(CZ1049&gt;0.1%,CZ1049,"Algo Esta Mal")</f>
        <v>0</v>
      </c>
      <c r="DB1049" s="33" t="str">
        <f>IF(DA1049=CZ1049,CY1049," ")</f>
        <v>0</v>
      </c>
      <c r="DG1049" s="33">
        <v>4</v>
      </c>
      <c r="DH1049" s="33" t="str">
        <f>IF(DI1049=DJ8,DH8,IF(DI1049=DJ9,DH9,IF(DI1049=DJ10,DH10,IF(DI1049=DJ11,DH11,IF(DI1049=DJ12,DH12,"ALGO ESTA MAL")))))</f>
        <v>0</v>
      </c>
      <c r="DI1049" s="34" t="str">
        <f>LARGE($DJ$8:$DJ$12,DG1049)</f>
        <v>0</v>
      </c>
      <c r="DJ1049" s="34" t="str">
        <f>IF(DI1049&gt;0.1%,DI1049,"Algo Esta Mal")</f>
        <v>0</v>
      </c>
      <c r="DK1049" s="33" t="str">
        <f>IF(DJ1049=DI1049,DH1049," ")</f>
        <v>0</v>
      </c>
      <c r="DP1049" s="33">
        <v>4</v>
      </c>
      <c r="DQ1049" s="33" t="str">
        <f>IF(DR1049=DS8,DQ8,IF(DR1049=DS9,DQ9,IF(DR1049=DS10,DQ10,IF(DR1049=DS11,DQ11,IF(DR1049=DS12,DQ12,"ALGO ESTA MAL")))))</f>
        <v>0</v>
      </c>
      <c r="DR1049" s="34" t="str">
        <f>LARGE($DS$8:$DS$12,DP1049)</f>
        <v>0</v>
      </c>
      <c r="DS1049" s="34" t="str">
        <f>IF(DR1049&gt;0.1%,DR1049,"Algo Esta Mal")</f>
        <v>0</v>
      </c>
      <c r="DT1049" s="33" t="str">
        <f>IF(DS1049=DR1049,DQ1049," ")</f>
        <v>0</v>
      </c>
      <c r="DY1049" s="33">
        <v>4</v>
      </c>
      <c r="DZ1049" s="33" t="str">
        <f>IF(EA1049=EB8,DZ8,IF(EA1049=EB9,DZ9,IF(EA1049=EB10,DZ10,IF(EA1049=EB11,DZ11,IF(EA1049=EB12,DZ12,"ALGO ESTA MAL")))))</f>
        <v>0</v>
      </c>
      <c r="EA1049" s="34" t="str">
        <f>LARGE($EB$8:$EB$12,DY1049)</f>
        <v>0</v>
      </c>
      <c r="EB1049" s="34" t="str">
        <f>IF(EA1049&gt;0.1%,EA1049,"Algo Esta Mal")</f>
        <v>0</v>
      </c>
      <c r="EC1049" s="33" t="str">
        <f>IF(EB1049=EA1049,DZ1049," ")</f>
        <v>0</v>
      </c>
      <c r="EH1049" s="33">
        <v>4</v>
      </c>
      <c r="EI1049" s="33" t="str">
        <f>IF(EJ1049=EK8,EI8,IF(EJ1049=EK9,EI9,IF(EJ1049=EK10,EI10,IF(EJ1049=EK11,EI11,IF(EJ1049=EK12,EI12,"ALGO ESTA MAL")))))</f>
        <v>0</v>
      </c>
      <c r="EJ1049" s="34" t="str">
        <f>LARGE($EK$8:$EK$12,EH1049)</f>
        <v>0</v>
      </c>
      <c r="EK1049" s="34" t="str">
        <f>IF(EJ1049&gt;0.1%,EJ1049,"Algo Esta Mal")</f>
        <v>0</v>
      </c>
      <c r="EL1049" s="33" t="str">
        <f>IF(EK1049=EJ1049,EI1049," ")</f>
        <v>0</v>
      </c>
      <c r="EQ1049" s="33">
        <v>4</v>
      </c>
      <c r="ER1049" s="33" t="str">
        <f>IF(ES1049=ET8,ER8,IF(ES1049=ET9,ER9,IF(ES1049=ET10,ER10,IF(ES1049=ET11,ER11,IF(ES1049=ET12,ER12,"ALGO ESTA MAL")))))</f>
        <v>0</v>
      </c>
      <c r="ES1049" s="34" t="str">
        <f>LARGE($ET$8:$ET$12,EQ1049)</f>
        <v>0</v>
      </c>
      <c r="ET1049" s="34" t="str">
        <f>IF(ES1049&gt;0.1%,ES1049,"Algo Esta Mal")</f>
        <v>0</v>
      </c>
      <c r="EU1049" s="33" t="str">
        <f>IF(ET1049=ES1049,ER1049," ")</f>
        <v>0</v>
      </c>
      <c r="EZ1049" s="33">
        <v>4</v>
      </c>
      <c r="FA1049" s="33" t="str">
        <f>IF(FB1049=FC8,FA8,IF(FB1049=FC9,FA9,IF(FB1049=FC10,FA10,IF(FB1049=FC11,FA11,IF(FB1049=FC12,FA12,"ALGO ESTA MAL")))))</f>
        <v>0</v>
      </c>
      <c r="FB1049" s="34" t="str">
        <f>LARGE($FC$8:$FC$12,EZ1049)</f>
        <v>0</v>
      </c>
      <c r="FC1049" s="34" t="str">
        <f>IF(FB1049&gt;0.1%,FB1049,"Algo Esta Mal")</f>
        <v>0</v>
      </c>
      <c r="FD1049" s="33" t="str">
        <f>IF(FC1049=FB1049,FA1049," ")</f>
        <v>0</v>
      </c>
      <c r="FI1049" s="33">
        <v>4</v>
      </c>
      <c r="FJ1049" s="33" t="str">
        <f>IF(FK1049=FL8,FJ8,IF(FK1049=FL9,FJ9,IF(FK1049=FL10,FJ10,IF(FK1049=FL11,FJ11,IF(FK1049=FL12,FJ12,"ALGO ESTA MAL")))))</f>
        <v>0</v>
      </c>
      <c r="FK1049" s="34" t="str">
        <f>LARGE($FL$8:$FL$12,FI1049)</f>
        <v>0</v>
      </c>
      <c r="FL1049" s="34" t="str">
        <f>IF(FK1049&gt;0.1%,FK1049,"Algo Esta Mal")</f>
        <v>0</v>
      </c>
      <c r="FM1049" s="33" t="str">
        <f>IF(FL1049=FK1049,FJ1049," ")</f>
        <v>0</v>
      </c>
      <c r="FR1049" s="33">
        <v>4</v>
      </c>
      <c r="FS1049" s="33" t="str">
        <f>IF(FT1049=FU8,FS8,IF(FT1049=FU9,FS9,IF(FT1049=FU10,FS10,IF(FT1049=FU11,FS11,IF(FT1049=FU12,FS12,"ALGO ESTA MAL")))))</f>
        <v>0</v>
      </c>
      <c r="FT1049" s="34" t="str">
        <f>LARGE($FU$8:$FU$12,FR1049)</f>
        <v>0</v>
      </c>
      <c r="FU1049" s="34" t="str">
        <f>IF(FT1049&gt;0.1%,FT1049,"Algo Esta Mal")</f>
        <v>0</v>
      </c>
      <c r="FV1049" s="33" t="str">
        <f>IF(FU1049=FT1049,FS1049," ")</f>
        <v>0</v>
      </c>
      <c r="GA1049" s="33">
        <v>4</v>
      </c>
      <c r="GB1049" s="33" t="str">
        <f>IF(GC1049=GD8,GB8,IF(GC1049=GD9,GB9,IF(GC1049=GD10,GB10,IF(GC1049=GD11,GB11,IF(GC1049=GD12,GB12,"ALGO ESTA MAL")))))</f>
        <v>0</v>
      </c>
      <c r="GC1049" s="34" t="str">
        <f>LARGE($GD$8:$GD$12,GA1049)</f>
        <v>0</v>
      </c>
      <c r="GD1049" s="34" t="str">
        <f>IF(GC1049&gt;0.1%,GC1049,"Algo Esta Mal")</f>
        <v>0</v>
      </c>
      <c r="GE1049" s="33" t="str">
        <f>IF(GD1049=GC1049,GB1049," ")</f>
        <v>0</v>
      </c>
      <c r="GJ1049" s="33">
        <v>4</v>
      </c>
      <c r="GK1049" s="33" t="str">
        <f>IF(GL1049=GM8,GK8,IF(GL1049=GM9,GK9,IF(GL1049=GM10,GK10,IF(GL1049=GM11,GK11,IF(GL1049=GM12,GK12,"ALGO ESTA MAL")))))</f>
        <v>0</v>
      </c>
      <c r="GL1049" s="34" t="str">
        <f>LARGE($GM$8:$GM$12,GJ1049)</f>
        <v>0</v>
      </c>
      <c r="GM1049" s="34" t="str">
        <f>IF(GL1049&gt;0.1%,GL1049,"Algo Esta Mal")</f>
        <v>0</v>
      </c>
      <c r="GN1049" s="33" t="str">
        <f>IF(GM1049=GL1049,GK1049," ")</f>
        <v>0</v>
      </c>
      <c r="GS1049" s="33">
        <v>4</v>
      </c>
      <c r="GT1049" s="33" t="str">
        <f>IF(GU1049=GV8,GT8,IF(GU1049=GV9,GT9,IF(GU1049=GV10,GT10,IF(GU1049=GV11,GT11,IF(GU1049=GV12,GT12,"ALGO ESTA MAL")))))</f>
        <v>0</v>
      </c>
      <c r="GU1049" s="34" t="str">
        <f>LARGE($GV$8:$GV$12,GS1049)</f>
        <v>0</v>
      </c>
      <c r="GV1049" s="34" t="str">
        <f>IF(GU1049&gt;0.1%,GU1049,"Algo Esta Mal")</f>
        <v>0</v>
      </c>
      <c r="GW1049" s="33" t="str">
        <f>IF(GV1049=GU1049,GT1049," ")</f>
        <v>0</v>
      </c>
      <c r="HB1049" s="33">
        <v>4</v>
      </c>
      <c r="HC1049" s="33" t="str">
        <f>IF(HD1049=HE8,HC8,IF(HD1049=HE9,HC9,IF(HD1049=HE10,HC10,IF(HD1049=HE11,HC11,IF(HD1049=HE12,HC12,"ALGO ESTA MAL")))))</f>
        <v>0</v>
      </c>
      <c r="HD1049" s="34" t="str">
        <f>LARGE($HE$8:$HE$12,HB1049)</f>
        <v>0</v>
      </c>
      <c r="HE1049" s="34" t="str">
        <f>IF(HD1049&gt;0.1%,HD1049,"Algo Esta Mal")</f>
        <v>0</v>
      </c>
      <c r="HF1049" s="33" t="str">
        <f>IF(HE1049=HD1049,HC1049," ")</f>
        <v>0</v>
      </c>
    </row>
    <row r="1050" spans="1:215">
      <c r="C1050" s="33">
        <v>5</v>
      </c>
      <c r="D1050" s="33" t="str">
        <f>IF(E1050=F8,D8,IF(E1050=F9,D9,IF(E1050=F10,D10,IF(E1050=F11,D11,IF(E1050=F12,D12,"ALGO ESTA MAL")))))</f>
        <v>0</v>
      </c>
      <c r="E1050" s="34" t="str">
        <f>LARGE($F$8:$F$12,C1050)</f>
        <v>0</v>
      </c>
      <c r="F1050" s="34" t="str">
        <f>IF(E1050&gt;0.1%,E1050,"Algo Esta Mal")</f>
        <v>0</v>
      </c>
      <c r="G1050" s="33" t="str">
        <f>IF(F1050=E1050,D1050," ")</f>
        <v>0</v>
      </c>
      <c r="L1050" s="33">
        <v>5</v>
      </c>
      <c r="M1050" s="33" t="str">
        <f>IF(N1050=O8,M8,IF(N1050=O9,M9,IF(N1050=O10,M10,IF(N1050=O11,M11,IF(N1050=O12,M12,"ALGO ESTA MAL")))))</f>
        <v>0</v>
      </c>
      <c r="N1050" s="34" t="str">
        <f>LARGE($O$8:$O$12,L1050)</f>
        <v>0</v>
      </c>
      <c r="O1050" s="34" t="str">
        <f>IF(N1050&gt;0.1%,N1050,"Algo Esta Mal")</f>
        <v>0</v>
      </c>
      <c r="P1050" s="33" t="str">
        <f>IF(O1050=N1050,M1050," ")</f>
        <v>0</v>
      </c>
      <c r="U1050" s="33">
        <v>5</v>
      </c>
      <c r="V1050" s="33" t="str">
        <f>IF(W1050=X8,V8,IF(W1050=X9,V9,IF(W1050=X10,V10,IF(W1050=X11,V11,IF(W1050=X12,V12,"ALGO ESTA MAL")))))</f>
        <v>0</v>
      </c>
      <c r="W1050" s="34" t="str">
        <f>LARGE($X$8:$X$12,U1050)</f>
        <v>0</v>
      </c>
      <c r="X1050" s="34" t="str">
        <f>IF(W1050&gt;0.1%,W1050,"Algo Esta Mal")</f>
        <v>0</v>
      </c>
      <c r="Y1050" s="33" t="str">
        <f>IF(X1050=W1050,V1050," ")</f>
        <v>0</v>
      </c>
      <c r="AD1050" s="33">
        <v>5</v>
      </c>
      <c r="AE1050" s="33" t="str">
        <f>IF(AF1050=AG8,AE8,IF(AF1050=AG9,AE9,IF(AF1050=AG10,AE10,IF(AF1050=AG11,AE11,IF(AF1050=AG12,AE12,"ALGO ESTA MAL")))))</f>
        <v>0</v>
      </c>
      <c r="AF1050" s="34" t="str">
        <f>LARGE($AG$8:$AG$12,AD1050)</f>
        <v>0</v>
      </c>
      <c r="AG1050" s="34" t="str">
        <f>IF(AF1050&gt;0.1%,AF1050,"Algo Esta Mal")</f>
        <v>0</v>
      </c>
      <c r="AH1050" s="33" t="str">
        <f>IF(AG1050=AF1050,AE1050," ")</f>
        <v>0</v>
      </c>
      <c r="AM1050" s="33">
        <v>5</v>
      </c>
      <c r="AN1050" s="33" t="str">
        <f>IF(AO1050=AP8,AN8,IF(AO1050=AP9,AN9,IF(AO1050=AP10,AN10,IF(AO1050=AP11,AN11,IF(AO1050=AP12,AN12,"ALGO ESTA MAL")))))</f>
        <v>0</v>
      </c>
      <c r="AO1050" s="34" t="str">
        <f>LARGE($AP$8:$AP$12,AM1050)</f>
        <v>0</v>
      </c>
      <c r="AP1050" s="34" t="str">
        <f>IF(AO1050&gt;0.1%,AO1050,"Algo Esta Mal")</f>
        <v>0</v>
      </c>
      <c r="AQ1050" s="33" t="str">
        <f>IF(AP1050=AO1050,AN1050," ")</f>
        <v>0</v>
      </c>
      <c r="AV1050" s="33">
        <v>5</v>
      </c>
      <c r="AW1050" s="33" t="str">
        <f>IF(AX1050=AY8,AW8,IF(AX1050=AY9,AW9,IF(AX1050=AY10,AW10,IF(AX1050=AY11,AW11,IF(AX1050=AY12,AW12,"ALGO ESTA MAL")))))</f>
        <v>0</v>
      </c>
      <c r="AX1050" s="34" t="str">
        <f>LARGE($AY$8:$AY$12,AV1050)</f>
        <v>0</v>
      </c>
      <c r="AY1050" s="34" t="str">
        <f>IF(AX1050&gt;0.1%,AX1050,"Algo Esta Mal")</f>
        <v>0</v>
      </c>
      <c r="AZ1050" s="33" t="str">
        <f>IF(AY1050=AX1050,AW1050," ")</f>
        <v>0</v>
      </c>
      <c r="BE1050" s="33">
        <v>5</v>
      </c>
      <c r="BF1050" s="33" t="str">
        <f>IF(BG1050=BH8,BF8,IF(BG1050=BH9,BF9,IF(BG1050=BH10,BF10,IF(BG1050=BH11,BF11,IF(BG1050=BH12,BF12,"ALGO ESTA MAL")))))</f>
        <v>0</v>
      </c>
      <c r="BG1050" s="34" t="str">
        <f>LARGE($BH$8:$BH$12,BE1050)</f>
        <v>0</v>
      </c>
      <c r="BH1050" s="34" t="str">
        <f>IF(BG1050&gt;0.1%,BG1050,"Algo Esta Mal")</f>
        <v>0</v>
      </c>
      <c r="BI1050" s="33" t="str">
        <f>IF(BH1050=BG1050,BF1050," ")</f>
        <v>0</v>
      </c>
      <c r="BN1050" s="33">
        <v>5</v>
      </c>
      <c r="BO1050" s="33" t="str">
        <f>IF(BP1050=BQ8,BO8,IF(BP1050=BQ9,BO9,IF(BP1050=BQ10,BO10,IF(BP1050=BQ11,BO11,IF(BP1050=BQ12,BO12,"ALGO ESTA MAL")))))</f>
        <v>0</v>
      </c>
      <c r="BP1050" s="34" t="str">
        <f>LARGE($BQ$8:$BQ$12,BN1050)</f>
        <v>0</v>
      </c>
      <c r="BQ1050" s="34" t="str">
        <f>IF(BP1050&gt;0.1%,BP1050,"Algo Esta Mal")</f>
        <v>0</v>
      </c>
      <c r="BR1050" s="33" t="str">
        <f>IF(BQ1050=BP1050,BO1050," ")</f>
        <v>0</v>
      </c>
      <c r="BW1050" s="33">
        <v>5</v>
      </c>
      <c r="BX1050" s="33" t="str">
        <f>IF(BY1050=BZ8,BX8,IF(BY1050=BZ9,BX9,IF(BY1050=BZ10,BX10,IF(BY1050=BZ11,BX11,IF(BY1050=BZ12,BX12,"ALGO ESTA MAL")))))</f>
        <v>0</v>
      </c>
      <c r="BY1050" s="34" t="str">
        <f>LARGE($BZ$8:$BZ$12,BW1050)</f>
        <v>0</v>
      </c>
      <c r="BZ1050" s="34" t="str">
        <f>IF(BY1050&gt;0.1%,BY1050,"Algo Esta Mal")</f>
        <v>0</v>
      </c>
      <c r="CA1050" s="33" t="str">
        <f>IF(BZ1050=BY1050,BX1050," ")</f>
        <v>0</v>
      </c>
      <c r="CF1050" s="33">
        <v>5</v>
      </c>
      <c r="CG1050" s="33" t="str">
        <f>IF(CH1050=CI8,CG8,IF(CH1050=CI9,CG9,IF(CH1050=CI10,CG10,IF(CH1050=CI11,CG11,IF(CH1050=CI12,CG12,"ALGO ESTA MAL")))))</f>
        <v>0</v>
      </c>
      <c r="CH1050" s="34" t="str">
        <f>LARGE($CI$8:$CI$12,CF1050)</f>
        <v>0</v>
      </c>
      <c r="CI1050" s="34" t="str">
        <f>IF(CH1050&gt;0.1%,CH1050,"Algo Esta Mal")</f>
        <v>0</v>
      </c>
      <c r="CJ1050" s="33" t="str">
        <f>IF(CI1050=CH1050,CG1050," ")</f>
        <v>0</v>
      </c>
      <c r="CO1050" s="33">
        <v>5</v>
      </c>
      <c r="CP1050" s="33" t="str">
        <f>IF(CQ1050=CR8,CP8,IF(CQ1050=CR9,CP9,IF(CQ1050=CR10,CP10,IF(CQ1050=CR11,CP11,IF(CQ1050=CR12,CP12,"ALGO ESTA MAL")))))</f>
        <v>0</v>
      </c>
      <c r="CQ1050" s="34" t="str">
        <f>LARGE($CR$8:$CR$12,CO1050)</f>
        <v>0</v>
      </c>
      <c r="CR1050" s="34" t="str">
        <f>IF(CQ1050&gt;0.1%,CQ1050,"Algo Esta Mal")</f>
        <v>0</v>
      </c>
      <c r="CS1050" s="33" t="str">
        <f>IF(CR1050=CQ1050,CP1050," ")</f>
        <v>0</v>
      </c>
      <c r="CX1050" s="33">
        <v>5</v>
      </c>
      <c r="CY1050" s="33" t="str">
        <f>IF(CZ1050=DA8,CY8,IF(CZ1050=DA9,CY9,IF(CZ1050=DA10,CY10,IF(CZ1050=DA11,CY11,IF(CZ1050=DA12,CY12,"ALGO ESTA MAL")))))</f>
        <v>0</v>
      </c>
      <c r="CZ1050" s="34" t="str">
        <f>LARGE($DA$8:$DA$12,CX1050)</f>
        <v>0</v>
      </c>
      <c r="DA1050" s="34" t="str">
        <f>IF(CZ1050&gt;0.1%,CZ1050,"Algo Esta Mal")</f>
        <v>0</v>
      </c>
      <c r="DB1050" s="33" t="str">
        <f>IF(DA1050=CZ1050,CY1050," ")</f>
        <v>0</v>
      </c>
      <c r="DG1050" s="33">
        <v>5</v>
      </c>
      <c r="DH1050" s="33" t="str">
        <f>IF(DI1050=DJ8,DH8,IF(DI1050=DJ9,DH9,IF(DI1050=DJ10,DH10,IF(DI1050=DJ11,DH11,IF(DI1050=DJ12,DH12,"ALGO ESTA MAL")))))</f>
        <v>0</v>
      </c>
      <c r="DI1050" s="34" t="str">
        <f>LARGE($DJ$8:$DJ$12,DG1050)</f>
        <v>0</v>
      </c>
      <c r="DJ1050" s="34" t="str">
        <f>IF(DI1050&gt;0.1%,DI1050,"Algo Esta Mal")</f>
        <v>0</v>
      </c>
      <c r="DK1050" s="33" t="str">
        <f>IF(DJ1050=DI1050,DH1050," ")</f>
        <v>0</v>
      </c>
      <c r="DP1050" s="33">
        <v>5</v>
      </c>
      <c r="DQ1050" s="33" t="str">
        <f>IF(DR1050=DS8,DQ8,IF(DR1050=DS9,DQ9,IF(DR1050=DS10,DQ10,IF(DR1050=DS11,DQ11,IF(DR1050=DS12,DQ12,"ALGO ESTA MAL")))))</f>
        <v>0</v>
      </c>
      <c r="DR1050" s="34" t="str">
        <f>LARGE($DS$8:$DS$12,DP1050)</f>
        <v>0</v>
      </c>
      <c r="DS1050" s="34" t="str">
        <f>IF(DR1050&gt;0.1%,DR1050,"Algo Esta Mal")</f>
        <v>0</v>
      </c>
      <c r="DT1050" s="33" t="str">
        <f>IF(DS1050=DR1050,DQ1050," ")</f>
        <v>0</v>
      </c>
      <c r="DY1050" s="33">
        <v>5</v>
      </c>
      <c r="DZ1050" s="33" t="str">
        <f>IF(EA1050=EB8,DZ8,IF(EA1050=EB9,DZ9,IF(EA1050=EB10,DZ10,IF(EA1050=EB11,DZ11,IF(EA1050=EB12,DZ12,"ALGO ESTA MAL")))))</f>
        <v>0</v>
      </c>
      <c r="EA1050" s="34" t="str">
        <f>LARGE($EB$8:$EB$12,DY1050)</f>
        <v>0</v>
      </c>
      <c r="EB1050" s="34" t="str">
        <f>IF(EA1050&gt;0.1%,EA1050,"Algo Esta Mal")</f>
        <v>0</v>
      </c>
      <c r="EC1050" s="33" t="str">
        <f>IF(EB1050=EA1050,DZ1050," ")</f>
        <v>0</v>
      </c>
      <c r="EH1050" s="33">
        <v>5</v>
      </c>
      <c r="EI1050" s="33" t="str">
        <f>IF(EJ1050=EK8,EI8,IF(EJ1050=EK9,EI9,IF(EJ1050=EK10,EI10,IF(EJ1050=EK11,EI11,IF(EJ1050=EK12,EI12,"ALGO ESTA MAL")))))</f>
        <v>0</v>
      </c>
      <c r="EJ1050" s="34" t="str">
        <f>LARGE($EK$8:$EK$12,EH1050)</f>
        <v>0</v>
      </c>
      <c r="EK1050" s="34" t="str">
        <f>IF(EJ1050&gt;0.1%,EJ1050,"Algo Esta Mal")</f>
        <v>0</v>
      </c>
      <c r="EL1050" s="33" t="str">
        <f>IF(EK1050=EJ1050,EI1050," ")</f>
        <v>0</v>
      </c>
      <c r="EQ1050" s="33">
        <v>5</v>
      </c>
      <c r="ER1050" s="33" t="str">
        <f>IF(ES1050=ET8,ER8,IF(ES1050=ET9,ER9,IF(ES1050=ET10,ER10,IF(ES1050=ET11,ER11,IF(ES1050=ET12,ER12,"ALGO ESTA MAL")))))</f>
        <v>0</v>
      </c>
      <c r="ES1050" s="34" t="str">
        <f>LARGE($ET$8:$ET$12,EQ1050)</f>
        <v>0</v>
      </c>
      <c r="ET1050" s="34" t="str">
        <f>IF(ES1050&gt;0.1%,ES1050,"Algo Esta Mal")</f>
        <v>0</v>
      </c>
      <c r="EU1050" s="33" t="str">
        <f>IF(ET1050=ES1050,ER1050," ")</f>
        <v>0</v>
      </c>
      <c r="EZ1050" s="33">
        <v>5</v>
      </c>
      <c r="FA1050" s="33" t="str">
        <f>IF(FB1050=FC8,FA8,IF(FB1050=FC9,FA9,IF(FB1050=FC10,FA10,IF(FB1050=FC11,FA11,IF(FB1050=FC12,FA12,"ALGO ESTA MAL")))))</f>
        <v>0</v>
      </c>
      <c r="FB1050" s="34" t="str">
        <f>LARGE($FC$8:$FC$12,EZ1050)</f>
        <v>0</v>
      </c>
      <c r="FC1050" s="34" t="str">
        <f>IF(FB1050&gt;0.1%,FB1050,"Algo Esta Mal")</f>
        <v>0</v>
      </c>
      <c r="FD1050" s="33" t="str">
        <f>IF(FC1050=FB1050,FA1050," ")</f>
        <v>0</v>
      </c>
      <c r="FI1050" s="33">
        <v>5</v>
      </c>
      <c r="FJ1050" s="33" t="str">
        <f>IF(FK1050=FL8,FJ8,IF(FK1050=FL9,FJ9,IF(FK1050=FL10,FJ10,IF(FK1050=FL11,FJ11,IF(FK1050=FL12,FJ12,"ALGO ESTA MAL")))))</f>
        <v>0</v>
      </c>
      <c r="FK1050" s="34" t="str">
        <f>LARGE($FL$8:$FL$12,FI1050)</f>
        <v>0</v>
      </c>
      <c r="FL1050" s="34" t="str">
        <f>IF(FK1050&gt;0.1%,FK1050,"Algo Esta Mal")</f>
        <v>0</v>
      </c>
      <c r="FM1050" s="33" t="str">
        <f>IF(FL1050=FK1050,FJ1050," ")</f>
        <v>0</v>
      </c>
      <c r="FR1050" s="33">
        <v>5</v>
      </c>
      <c r="FS1050" s="33" t="str">
        <f>IF(FT1050=FU8,FS8,IF(FT1050=FU9,FS9,IF(FT1050=FU10,FS10,IF(FT1050=FU11,FS11,IF(FT1050=FU12,FS12,"ALGO ESTA MAL")))))</f>
        <v>0</v>
      </c>
      <c r="FT1050" s="34" t="str">
        <f>LARGE($FU$8:$FU$12,FR1050)</f>
        <v>0</v>
      </c>
      <c r="FU1050" s="34" t="str">
        <f>IF(FT1050&gt;0.1%,FT1050,"Algo Esta Mal")</f>
        <v>0</v>
      </c>
      <c r="FV1050" s="33" t="str">
        <f>IF(FU1050=FT1050,FS1050," ")</f>
        <v>0</v>
      </c>
      <c r="GA1050" s="33">
        <v>5</v>
      </c>
      <c r="GB1050" s="33" t="str">
        <f>IF(GC1050=GD8,GB8,IF(GC1050=GD9,GB9,IF(GC1050=GD10,GB10,IF(GC1050=GD11,GB11,IF(GC1050=GD12,GB12,"ALGO ESTA MAL")))))</f>
        <v>0</v>
      </c>
      <c r="GC1050" s="34" t="str">
        <f>LARGE($GD$8:$GD$12,GA1050)</f>
        <v>0</v>
      </c>
      <c r="GD1050" s="34" t="str">
        <f>IF(GC1050&gt;0.1%,GC1050,"Algo Esta Mal")</f>
        <v>0</v>
      </c>
      <c r="GE1050" s="33" t="str">
        <f>IF(GD1050=GC1050,GB1050," ")</f>
        <v>0</v>
      </c>
      <c r="GJ1050" s="33">
        <v>5</v>
      </c>
      <c r="GK1050" s="33" t="str">
        <f>IF(GL1050=GM8,GK8,IF(GL1050=GM9,GK9,IF(GL1050=GM10,GK10,IF(GL1050=GM11,GK11,IF(GL1050=GM12,GK12,"ALGO ESTA MAL")))))</f>
        <v>0</v>
      </c>
      <c r="GL1050" s="34" t="str">
        <f>LARGE($GM$8:$GM$12,GJ1050)</f>
        <v>0</v>
      </c>
      <c r="GM1050" s="34" t="str">
        <f>IF(GL1050&gt;0.1%,GL1050,"Algo Esta Mal")</f>
        <v>0</v>
      </c>
      <c r="GN1050" s="33" t="str">
        <f>IF(GM1050=GL1050,GK1050," ")</f>
        <v>0</v>
      </c>
      <c r="GS1050" s="33">
        <v>5</v>
      </c>
      <c r="GT1050" s="33" t="str">
        <f>IF(GU1050=GV8,GT8,IF(GU1050=GV9,GT9,IF(GU1050=GV10,GT10,IF(GU1050=GV11,GT11,IF(GU1050=GV12,GT12,"ALGO ESTA MAL")))))</f>
        <v>0</v>
      </c>
      <c r="GU1050" s="34" t="str">
        <f>LARGE($GV$8:$GV$12,GS1050)</f>
        <v>0</v>
      </c>
      <c r="GV1050" s="34" t="str">
        <f>IF(GU1050&gt;0.1%,GU1050,"Algo Esta Mal")</f>
        <v>0</v>
      </c>
      <c r="GW1050" s="33" t="str">
        <f>IF(GV1050=GU1050,GT1050," ")</f>
        <v>0</v>
      </c>
      <c r="HB1050" s="33">
        <v>5</v>
      </c>
      <c r="HC1050" s="33" t="str">
        <f>IF(HD1050=HE8,HC8,IF(HD1050=HE9,HC9,IF(HD1050=HE10,HC10,IF(HD1050=HE11,HC11,IF(HD1050=HE12,HC12,"ALGO ESTA MAL")))))</f>
        <v>0</v>
      </c>
      <c r="HD1050" s="34" t="str">
        <f>LARGE($HE$8:$HE$12,HB1050)</f>
        <v>0</v>
      </c>
      <c r="HE1050" s="34" t="str">
        <f>IF(HD1050&gt;0.1%,HD1050,"Algo Esta Mal")</f>
        <v>0</v>
      </c>
      <c r="HF1050" s="33" t="str">
        <f>IF(HE1050=HD1050,HC1050," ")</f>
        <v>0</v>
      </c>
    </row>
    <row r="1052" spans="1:215">
      <c r="D1052" s="33" t="s">
        <v>539</v>
      </c>
      <c r="M1052" s="33" t="s">
        <v>539</v>
      </c>
      <c r="V1052" s="33" t="s">
        <v>539</v>
      </c>
      <c r="AE1052" s="33" t="s">
        <v>539</v>
      </c>
      <c r="AN1052" s="33" t="s">
        <v>539</v>
      </c>
      <c r="AW1052" s="33" t="s">
        <v>539</v>
      </c>
      <c r="BF1052" s="33" t="s">
        <v>539</v>
      </c>
      <c r="BO1052" s="33" t="s">
        <v>539</v>
      </c>
      <c r="BX1052" s="33" t="s">
        <v>539</v>
      </c>
      <c r="CG1052" s="33" t="s">
        <v>539</v>
      </c>
      <c r="CP1052" s="33" t="s">
        <v>539</v>
      </c>
      <c r="CY1052" s="33" t="s">
        <v>539</v>
      </c>
      <c r="DH1052" s="33" t="s">
        <v>539</v>
      </c>
      <c r="DQ1052" s="33" t="s">
        <v>539</v>
      </c>
      <c r="DZ1052" s="33" t="s">
        <v>539</v>
      </c>
      <c r="EI1052" s="33" t="s">
        <v>539</v>
      </c>
      <c r="ER1052" s="33" t="s">
        <v>539</v>
      </c>
      <c r="FA1052" s="33" t="s">
        <v>539</v>
      </c>
      <c r="FJ1052" s="33" t="s">
        <v>539</v>
      </c>
      <c r="FS1052" s="33" t="s">
        <v>539</v>
      </c>
      <c r="GB1052" s="33" t="s">
        <v>539</v>
      </c>
      <c r="GK1052" s="33" t="s">
        <v>539</v>
      </c>
      <c r="GT1052" s="33" t="s">
        <v>539</v>
      </c>
      <c r="HC1052" s="33" t="s">
        <v>539</v>
      </c>
    </row>
    <row r="1053" spans="1:215">
      <c r="D1053" s="34" t="str">
        <f>SUM(F8:F10)</f>
        <v>0</v>
      </c>
      <c r="E1053" s="34" t="str">
        <f>MAX(D1053:D1054)</f>
        <v>0</v>
      </c>
      <c r="M1053" s="34" t="str">
        <f>SUM(O8:O10)</f>
        <v>0</v>
      </c>
      <c r="N1053" s="34" t="str">
        <f>MAX(M1053:M1054)</f>
        <v>0</v>
      </c>
      <c r="V1053" s="34" t="str">
        <f>SUM(X8:X10)</f>
        <v>0</v>
      </c>
      <c r="W1053" s="34" t="str">
        <f>MAX(V1053:V1054)</f>
        <v>0</v>
      </c>
      <c r="AE1053" s="34" t="str">
        <f>SUM(AG8:AG10)</f>
        <v>0</v>
      </c>
      <c r="AF1053" s="34" t="str">
        <f>MAX(AE1053:AE1054)</f>
        <v>0</v>
      </c>
      <c r="AN1053" s="34" t="str">
        <f>SUM(AP8:AP10)</f>
        <v>0</v>
      </c>
      <c r="AO1053" s="34" t="str">
        <f>MAX(AN1053:AN1054)</f>
        <v>0</v>
      </c>
      <c r="AW1053" s="34" t="str">
        <f>SUM(AY8:AY10)</f>
        <v>0</v>
      </c>
      <c r="AX1053" s="34" t="str">
        <f>MAX(AW1053:AW1054)</f>
        <v>0</v>
      </c>
      <c r="BF1053" s="34" t="str">
        <f>SUM(BH8:BH10)</f>
        <v>0</v>
      </c>
      <c r="BG1053" s="34" t="str">
        <f>MAX(BF1053:BF1054)</f>
        <v>0</v>
      </c>
      <c r="BO1053" s="34" t="str">
        <f>SUM(BQ8:BQ10)</f>
        <v>0</v>
      </c>
      <c r="BP1053" s="34" t="str">
        <f>MAX(BO1053:BO1054)</f>
        <v>0</v>
      </c>
      <c r="BX1053" s="34" t="str">
        <f>SUM(BZ8:BZ10)</f>
        <v>0</v>
      </c>
      <c r="BY1053" s="34" t="str">
        <f>MAX(BX1053:BX1054)</f>
        <v>0</v>
      </c>
      <c r="CG1053" s="34" t="str">
        <f>SUM(CI8:CI10)</f>
        <v>0</v>
      </c>
      <c r="CH1053" s="34" t="str">
        <f>MAX(CG1053:CG1054)</f>
        <v>0</v>
      </c>
      <c r="CP1053" s="34" t="str">
        <f>SUM(CR8:CR10)</f>
        <v>0</v>
      </c>
      <c r="CQ1053" s="34" t="str">
        <f>MAX(CP1053:CP1054)</f>
        <v>0</v>
      </c>
      <c r="CY1053" s="34" t="str">
        <f>SUM(DA8:DA10)</f>
        <v>0</v>
      </c>
      <c r="CZ1053" s="34" t="str">
        <f>MAX(CY1053:CY1054)</f>
        <v>0</v>
      </c>
      <c r="DH1053" s="34" t="str">
        <f>SUM(DJ8:DJ10)</f>
        <v>0</v>
      </c>
      <c r="DI1053" s="34" t="str">
        <f>MAX(DH1053:DH1054)</f>
        <v>0</v>
      </c>
      <c r="DQ1053" s="34" t="str">
        <f>SUM(DS8:DS10)</f>
        <v>0</v>
      </c>
      <c r="DR1053" s="34" t="str">
        <f>MAX(DQ1053:DQ1054)</f>
        <v>0</v>
      </c>
      <c r="DZ1053" s="34" t="str">
        <f>SUM(EB8:EB10)</f>
        <v>0</v>
      </c>
      <c r="EA1053" s="34" t="str">
        <f>MAX(DZ1053:DZ1054)</f>
        <v>0</v>
      </c>
      <c r="EI1053" s="34" t="str">
        <f>SUM(EK8:EK10)</f>
        <v>0</v>
      </c>
      <c r="EJ1053" s="34" t="str">
        <f>MAX(EI1053:EI1054)</f>
        <v>0</v>
      </c>
      <c r="ER1053" s="34" t="str">
        <f>SUM(ET8:ET10)</f>
        <v>0</v>
      </c>
      <c r="ES1053" s="34" t="str">
        <f>MAX(ER1053:ER1054)</f>
        <v>0</v>
      </c>
      <c r="FA1053" s="34" t="str">
        <f>SUM(FC8:FC10)</f>
        <v>0</v>
      </c>
      <c r="FB1053" s="34" t="str">
        <f>MAX(FA1053:FA1054)</f>
        <v>0</v>
      </c>
      <c r="FJ1053" s="34" t="str">
        <f>SUM(FL8:FL10)</f>
        <v>0</v>
      </c>
      <c r="FK1053" s="34" t="str">
        <f>MAX(FJ1053:FJ1054)</f>
        <v>0</v>
      </c>
      <c r="FS1053" s="34" t="str">
        <f>SUM(FU8:FU10)</f>
        <v>0</v>
      </c>
      <c r="FT1053" s="34" t="str">
        <f>MAX(FS1053:FS1054)</f>
        <v>0</v>
      </c>
      <c r="GB1053" s="34" t="str">
        <f>SUM(GD8:GD10)</f>
        <v>0</v>
      </c>
      <c r="GC1053" s="34" t="str">
        <f>MAX(GB1053:GB1054)</f>
        <v>0</v>
      </c>
      <c r="GK1053" s="34" t="str">
        <f>SUM(GM8:GM10)</f>
        <v>0</v>
      </c>
      <c r="GL1053" s="34" t="str">
        <f>MAX(GK1053:GK1054)</f>
        <v>0</v>
      </c>
      <c r="GT1053" s="34" t="str">
        <f>SUM(GV8:GV10)</f>
        <v>0</v>
      </c>
      <c r="GU1053" s="34" t="str">
        <f>MAX(GT1053:GT1054)</f>
        <v>0</v>
      </c>
      <c r="HC1053" s="34" t="str">
        <f>SUM(HE8:HE10)</f>
        <v>0</v>
      </c>
      <c r="HD1053" s="34" t="str">
        <f>MAX(HC1053:HC1054)</f>
        <v>0</v>
      </c>
    </row>
    <row r="1054" spans="1:215">
      <c r="D1054" s="34" t="str">
        <f>SUM(F10:F12)</f>
        <v>0</v>
      </c>
      <c r="M1054" s="34" t="str">
        <f>SUM(O10:O12)</f>
        <v>0</v>
      </c>
      <c r="V1054" s="34" t="str">
        <f>SUM(X10:X12)</f>
        <v>0</v>
      </c>
      <c r="AE1054" s="34" t="str">
        <f>SUM(AG10:AG12)</f>
        <v>0</v>
      </c>
      <c r="AN1054" s="34" t="str">
        <f>SUM(AP10:AP12)</f>
        <v>0</v>
      </c>
      <c r="AW1054" s="34" t="str">
        <f>SUM(AY10:AY12)</f>
        <v>0</v>
      </c>
      <c r="BF1054" s="34" t="str">
        <f>SUM(BH10:BH12)</f>
        <v>0</v>
      </c>
      <c r="BO1054" s="34" t="str">
        <f>SUM(BQ10:BQ12)</f>
        <v>0</v>
      </c>
      <c r="BX1054" s="34" t="str">
        <f>SUM(BZ10:BZ12)</f>
        <v>0</v>
      </c>
      <c r="CG1054" s="34" t="str">
        <f>SUM(CI10:CI12)</f>
        <v>0</v>
      </c>
      <c r="CP1054" s="34" t="str">
        <f>SUM(CR10:CR12)</f>
        <v>0</v>
      </c>
      <c r="CY1054" s="34" t="str">
        <f>SUM(DA10:DA12)</f>
        <v>0</v>
      </c>
      <c r="DH1054" s="34" t="str">
        <f>SUM(DJ10:DJ12)</f>
        <v>0</v>
      </c>
      <c r="DQ1054" s="34" t="str">
        <f>SUM(DS10:DS12)</f>
        <v>0</v>
      </c>
      <c r="DZ1054" s="34" t="str">
        <f>SUM(EB10:EB12)</f>
        <v>0</v>
      </c>
      <c r="EI1054" s="34" t="str">
        <f>SUM(EK10:EK12)</f>
        <v>0</v>
      </c>
      <c r="ER1054" s="34" t="str">
        <f>SUM(ET10:ET12)</f>
        <v>0</v>
      </c>
      <c r="FA1054" s="34" t="str">
        <f>SUM(FC10:FC12)</f>
        <v>0</v>
      </c>
      <c r="FJ1054" s="34" t="str">
        <f>SUM(FL10:FL12)</f>
        <v>0</v>
      </c>
      <c r="FS1054" s="34" t="str">
        <f>SUM(FU10:FU12)</f>
        <v>0</v>
      </c>
      <c r="GB1054" s="34" t="str">
        <f>SUM(GD10:GD12)</f>
        <v>0</v>
      </c>
      <c r="GK1054" s="34" t="str">
        <f>SUM(GM10:GM12)</f>
        <v>0</v>
      </c>
      <c r="GT1054" s="34" t="str">
        <f>SUM(GV10:GV12)</f>
        <v>0</v>
      </c>
      <c r="HC1054" s="34" t="str">
        <f>SUM(HE10:HE12)</f>
        <v>0</v>
      </c>
    </row>
    <row r="1056" spans="1:215">
      <c r="D1056" s="33" t="s">
        <v>424</v>
      </c>
      <c r="E1056" s="34" t="str">
        <f>SUM(F8:F9)</f>
        <v>0</v>
      </c>
      <c r="M1056" s="33" t="s">
        <v>424</v>
      </c>
      <c r="N1056" s="34" t="str">
        <f>SUM(O8:O9)</f>
        <v>0</v>
      </c>
      <c r="V1056" s="33" t="s">
        <v>424</v>
      </c>
      <c r="W1056" s="34" t="str">
        <f>SUM(X8:X9)</f>
        <v>0</v>
      </c>
      <c r="AE1056" s="33" t="s">
        <v>424</v>
      </c>
      <c r="AF1056" s="34" t="str">
        <f>SUM(AG8:AG9)</f>
        <v>0</v>
      </c>
      <c r="AN1056" s="33" t="s">
        <v>424</v>
      </c>
      <c r="AO1056" s="34" t="str">
        <f>SUM(AP8:AP9)</f>
        <v>0</v>
      </c>
      <c r="AW1056" s="33" t="s">
        <v>424</v>
      </c>
      <c r="AX1056" s="34" t="str">
        <f>SUM(AY8:AY9)</f>
        <v>0</v>
      </c>
      <c r="BF1056" s="33" t="s">
        <v>424</v>
      </c>
      <c r="BG1056" s="34" t="str">
        <f>SUM(BH8:BH9)</f>
        <v>0</v>
      </c>
      <c r="BO1056" s="33" t="s">
        <v>424</v>
      </c>
      <c r="BP1056" s="34" t="str">
        <f>SUM(BQ8:BQ9)</f>
        <v>0</v>
      </c>
      <c r="BX1056" s="33" t="s">
        <v>424</v>
      </c>
      <c r="BY1056" s="34" t="str">
        <f>SUM(BZ8:BZ9)</f>
        <v>0</v>
      </c>
      <c r="CG1056" s="33" t="s">
        <v>424</v>
      </c>
      <c r="CH1056" s="34" t="str">
        <f>SUM(CI8:CI9)</f>
        <v>0</v>
      </c>
      <c r="CP1056" s="33" t="s">
        <v>424</v>
      </c>
      <c r="CQ1056" s="34" t="str">
        <f>SUM(CR8:CR9)</f>
        <v>0</v>
      </c>
      <c r="CY1056" s="33" t="s">
        <v>424</v>
      </c>
      <c r="CZ1056" s="34" t="str">
        <f>SUM(DA8:DA9)</f>
        <v>0</v>
      </c>
      <c r="DH1056" s="33" t="s">
        <v>424</v>
      </c>
      <c r="DI1056" s="34" t="str">
        <f>SUM(DJ8:DJ9)</f>
        <v>0</v>
      </c>
      <c r="DQ1056" s="33" t="s">
        <v>424</v>
      </c>
      <c r="DR1056" s="34" t="str">
        <f>SUM(DS8:DS9)</f>
        <v>0</v>
      </c>
      <c r="DZ1056" s="33" t="s">
        <v>424</v>
      </c>
      <c r="EA1056" s="34" t="str">
        <f>SUM(EB8:EB9)</f>
        <v>0</v>
      </c>
      <c r="EI1056" s="33" t="s">
        <v>424</v>
      </c>
      <c r="EJ1056" s="34" t="str">
        <f>SUM(EK8:EK9)</f>
        <v>0</v>
      </c>
      <c r="ER1056" s="33" t="s">
        <v>424</v>
      </c>
      <c r="ES1056" s="34" t="str">
        <f>SUM(ET8:ET9)</f>
        <v>0</v>
      </c>
      <c r="FA1056" s="33" t="s">
        <v>424</v>
      </c>
      <c r="FB1056" s="34" t="str">
        <f>SUM(FC8:FC9)</f>
        <v>0</v>
      </c>
      <c r="FJ1056" s="33" t="s">
        <v>424</v>
      </c>
      <c r="FK1056" s="34" t="str">
        <f>SUM(FL8:FL9)</f>
        <v>0</v>
      </c>
      <c r="FS1056" s="33" t="s">
        <v>424</v>
      </c>
      <c r="FT1056" s="34" t="str">
        <f>SUM(FU8:FU9)</f>
        <v>0</v>
      </c>
      <c r="GB1056" s="33" t="s">
        <v>424</v>
      </c>
      <c r="GC1056" s="34" t="str">
        <f>SUM(GD8:GD9)</f>
        <v>0</v>
      </c>
      <c r="GK1056" s="33" t="s">
        <v>424</v>
      </c>
      <c r="GL1056" s="34" t="str">
        <f>SUM(GM8:GM9)</f>
        <v>0</v>
      </c>
      <c r="GT1056" s="33" t="s">
        <v>424</v>
      </c>
      <c r="GU1056" s="34" t="str">
        <f>SUM(GV8:GV9)</f>
        <v>0</v>
      </c>
      <c r="HC1056" s="33" t="s">
        <v>424</v>
      </c>
      <c r="HD1056" s="34" t="str">
        <f>SUM(HE8:HE9)</f>
        <v>0</v>
      </c>
    </row>
    <row r="1057" spans="1:215">
      <c r="D1057" s="33" t="s">
        <v>425</v>
      </c>
      <c r="E1057" s="34" t="str">
        <f>SUM(F10)</f>
        <v>0</v>
      </c>
      <c r="M1057" s="33" t="s">
        <v>425</v>
      </c>
      <c r="N1057" s="34" t="str">
        <f>SUM(O10)</f>
        <v>0</v>
      </c>
      <c r="V1057" s="33" t="s">
        <v>425</v>
      </c>
      <c r="W1057" s="34" t="str">
        <f>SUM(X10)</f>
        <v>0</v>
      </c>
      <c r="AE1057" s="33" t="s">
        <v>425</v>
      </c>
      <c r="AF1057" s="34" t="str">
        <f>SUM(AG10)</f>
        <v>0</v>
      </c>
      <c r="AN1057" s="33" t="s">
        <v>425</v>
      </c>
      <c r="AO1057" s="34" t="str">
        <f>SUM(AP10)</f>
        <v>0</v>
      </c>
      <c r="AW1057" s="33" t="s">
        <v>425</v>
      </c>
      <c r="AX1057" s="34" t="str">
        <f>SUM(AY10)</f>
        <v>0</v>
      </c>
      <c r="BF1057" s="33" t="s">
        <v>425</v>
      </c>
      <c r="BG1057" s="34" t="str">
        <f>SUM(BH10)</f>
        <v>0</v>
      </c>
      <c r="BO1057" s="33" t="s">
        <v>425</v>
      </c>
      <c r="BP1057" s="34" t="str">
        <f>SUM(BQ10)</f>
        <v>0</v>
      </c>
      <c r="BX1057" s="33" t="s">
        <v>425</v>
      </c>
      <c r="BY1057" s="34" t="str">
        <f>SUM(BZ10)</f>
        <v>0</v>
      </c>
      <c r="CG1057" s="33" t="s">
        <v>425</v>
      </c>
      <c r="CH1057" s="34" t="str">
        <f>SUM(CI10)</f>
        <v>0</v>
      </c>
      <c r="CP1057" s="33" t="s">
        <v>425</v>
      </c>
      <c r="CQ1057" s="34" t="str">
        <f>SUM(CR10)</f>
        <v>0</v>
      </c>
      <c r="CY1057" s="33" t="s">
        <v>425</v>
      </c>
      <c r="CZ1057" s="34" t="str">
        <f>SUM(DA10)</f>
        <v>0</v>
      </c>
      <c r="DH1057" s="33" t="s">
        <v>425</v>
      </c>
      <c r="DI1057" s="34" t="str">
        <f>SUM(DJ10)</f>
        <v>0</v>
      </c>
      <c r="DQ1057" s="33" t="s">
        <v>425</v>
      </c>
      <c r="DR1057" s="34" t="str">
        <f>SUM(DS10)</f>
        <v>0</v>
      </c>
      <c r="DZ1057" s="33" t="s">
        <v>425</v>
      </c>
      <c r="EA1057" s="34" t="str">
        <f>SUM(EB10)</f>
        <v>0</v>
      </c>
      <c r="EI1057" s="33" t="s">
        <v>425</v>
      </c>
      <c r="EJ1057" s="34" t="str">
        <f>SUM(EK10)</f>
        <v>0</v>
      </c>
      <c r="ER1057" s="33" t="s">
        <v>425</v>
      </c>
      <c r="ES1057" s="34" t="str">
        <f>SUM(ET10)</f>
        <v>0</v>
      </c>
      <c r="FA1057" s="33" t="s">
        <v>425</v>
      </c>
      <c r="FB1057" s="34" t="str">
        <f>SUM(FC10)</f>
        <v>0</v>
      </c>
      <c r="FJ1057" s="33" t="s">
        <v>425</v>
      </c>
      <c r="FK1057" s="34" t="str">
        <f>SUM(FL10)</f>
        <v>0</v>
      </c>
      <c r="FS1057" s="33" t="s">
        <v>425</v>
      </c>
      <c r="FT1057" s="34" t="str">
        <f>SUM(FU10)</f>
        <v>0</v>
      </c>
      <c r="GB1057" s="33" t="s">
        <v>425</v>
      </c>
      <c r="GC1057" s="34" t="str">
        <f>SUM(GD10)</f>
        <v>0</v>
      </c>
      <c r="GK1057" s="33" t="s">
        <v>425</v>
      </c>
      <c r="GL1057" s="34" t="str">
        <f>SUM(GM10)</f>
        <v>0</v>
      </c>
      <c r="GT1057" s="33" t="s">
        <v>425</v>
      </c>
      <c r="GU1057" s="34" t="str">
        <f>SUM(GV10)</f>
        <v>0</v>
      </c>
      <c r="HC1057" s="33" t="s">
        <v>425</v>
      </c>
      <c r="HD1057" s="34" t="str">
        <f>SUM(HE10)</f>
        <v>0</v>
      </c>
    </row>
    <row r="1058" spans="1:215">
      <c r="D1058" s="33" t="s">
        <v>426</v>
      </c>
      <c r="E1058" s="34" t="str">
        <f>SUM(F11:F12)</f>
        <v>0</v>
      </c>
      <c r="M1058" s="33" t="s">
        <v>426</v>
      </c>
      <c r="N1058" s="34" t="str">
        <f>SUM(O11:O12)</f>
        <v>0</v>
      </c>
      <c r="V1058" s="33" t="s">
        <v>426</v>
      </c>
      <c r="W1058" s="34" t="str">
        <f>SUM(X11:X12)</f>
        <v>0</v>
      </c>
      <c r="AE1058" s="33" t="s">
        <v>426</v>
      </c>
      <c r="AF1058" s="34" t="str">
        <f>SUM(AG11:AG12)</f>
        <v>0</v>
      </c>
      <c r="AN1058" s="33" t="s">
        <v>426</v>
      </c>
      <c r="AO1058" s="34" t="str">
        <f>SUM(AP11:AP12)</f>
        <v>0</v>
      </c>
      <c r="AW1058" s="33" t="s">
        <v>426</v>
      </c>
      <c r="AX1058" s="34" t="str">
        <f>SUM(AY11:AY12)</f>
        <v>0</v>
      </c>
      <c r="BF1058" s="33" t="s">
        <v>426</v>
      </c>
      <c r="BG1058" s="34" t="str">
        <f>SUM(BH11:BH12)</f>
        <v>0</v>
      </c>
      <c r="BO1058" s="33" t="s">
        <v>426</v>
      </c>
      <c r="BP1058" s="34" t="str">
        <f>SUM(BQ11:BQ12)</f>
        <v>0</v>
      </c>
      <c r="BX1058" s="33" t="s">
        <v>426</v>
      </c>
      <c r="BY1058" s="34" t="str">
        <f>SUM(BZ11:BZ12)</f>
        <v>0</v>
      </c>
      <c r="CG1058" s="33" t="s">
        <v>426</v>
      </c>
      <c r="CH1058" s="34" t="str">
        <f>SUM(CI11:CI12)</f>
        <v>0</v>
      </c>
      <c r="CP1058" s="33" t="s">
        <v>426</v>
      </c>
      <c r="CQ1058" s="34" t="str">
        <f>SUM(CR11:CR12)</f>
        <v>0</v>
      </c>
      <c r="CY1058" s="33" t="s">
        <v>426</v>
      </c>
      <c r="CZ1058" s="34" t="str">
        <f>SUM(DA11:DA12)</f>
        <v>0</v>
      </c>
      <c r="DH1058" s="33" t="s">
        <v>426</v>
      </c>
      <c r="DI1058" s="34" t="str">
        <f>SUM(DJ11:DJ12)</f>
        <v>0</v>
      </c>
      <c r="DQ1058" s="33" t="s">
        <v>426</v>
      </c>
      <c r="DR1058" s="34" t="str">
        <f>SUM(DS11:DS12)</f>
        <v>0</v>
      </c>
      <c r="DZ1058" s="33" t="s">
        <v>426</v>
      </c>
      <c r="EA1058" s="34" t="str">
        <f>SUM(EB11:EB12)</f>
        <v>0</v>
      </c>
      <c r="EI1058" s="33" t="s">
        <v>426</v>
      </c>
      <c r="EJ1058" s="34" t="str">
        <f>SUM(EK11:EK12)</f>
        <v>0</v>
      </c>
      <c r="ER1058" s="33" t="s">
        <v>426</v>
      </c>
      <c r="ES1058" s="34" t="str">
        <f>SUM(ET11:ET12)</f>
        <v>0</v>
      </c>
      <c r="FA1058" s="33" t="s">
        <v>426</v>
      </c>
      <c r="FB1058" s="34" t="str">
        <f>SUM(FC11:FC12)</f>
        <v>0</v>
      </c>
      <c r="FJ1058" s="33" t="s">
        <v>426</v>
      </c>
      <c r="FK1058" s="34" t="str">
        <f>SUM(FL11:FL12)</f>
        <v>0</v>
      </c>
      <c r="FS1058" s="33" t="s">
        <v>426</v>
      </c>
      <c r="FT1058" s="34" t="str">
        <f>SUM(FU11:FU12)</f>
        <v>0</v>
      </c>
      <c r="GB1058" s="33" t="s">
        <v>426</v>
      </c>
      <c r="GC1058" s="34" t="str">
        <f>SUM(GD11:GD12)</f>
        <v>0</v>
      </c>
      <c r="GK1058" s="33" t="s">
        <v>426</v>
      </c>
      <c r="GL1058" s="34" t="str">
        <f>SUM(GM11:GM12)</f>
        <v>0</v>
      </c>
      <c r="GT1058" s="33" t="s">
        <v>426</v>
      </c>
      <c r="GU1058" s="34" t="str">
        <f>SUM(GV11:GV12)</f>
        <v>0</v>
      </c>
      <c r="HC1058" s="33" t="s">
        <v>426</v>
      </c>
      <c r="HD1058" s="34" t="str">
        <f>SUM(HE11:HE12)</f>
        <v>0</v>
      </c>
    </row>
    <row r="1060" spans="1:215">
      <c r="E1060" s="33" t="str">
        <f>IF(E1056&gt;=51%,D1056,IF(E1057&gt;=51%,D1057,IF(E1058&gt;=51%,D1058,IF(SUM(E1056:E1057)&gt;SUM(E1057:E1058),D1056,IF(SUM(E1056:E1057)&lt;SUM(E1057:E1058),D1058,"Algo esta Mal")))))</f>
        <v>0</v>
      </c>
      <c r="N1060" s="33" t="str">
        <f>IF(N1056&gt;=51%,M1056,IF(N1057&gt;=51%,M1057,IF(N1058&gt;=51%,M1058,IF(SUM(N1056:N1057)&gt;SUM(N1057:N1058),M1056,IF(SUM(N1056:N1057)&lt;SUM(N1057:N1058),M1058,"Algo esta Mal")))))</f>
        <v>0</v>
      </c>
      <c r="W1060" s="33" t="str">
        <f>IF(W1056&gt;=51%,V1056,IF(W1057&gt;=51%,V1057,IF(W1058&gt;=51%,V1058,IF(SUM(W1056:W1057)&gt;SUM(W1057:W1058),V1056,IF(SUM(W1056:W1057)&lt;SUM(W1057:W1058),V1058,"Algo esta Mal")))))</f>
        <v>0</v>
      </c>
      <c r="AF1060" s="33" t="str">
        <f>IF(AF1056&gt;=51%,AE1056,IF(AF1057&gt;=51%,AE1057,IF(AF1058&gt;=51%,AE1058,IF(SUM(AF1056:AF1057)&gt;SUM(AF1057:AF1058),AE1056,IF(SUM(AF1056:AF1057)&lt;SUM(AF1057:AF1058),AE1058,"Algo esta Mal")))))</f>
        <v>0</v>
      </c>
      <c r="AO1060" s="33" t="str">
        <f>IF(AO1056&gt;=51%,AN1056,IF(AO1057&gt;=51%,AN1057,IF(AO1058&gt;=51%,AN1058,IF(SUM(AO1056:AO1057)&gt;SUM(AO1057:AO1058),AN1056,IF(SUM(AO1056:AO1057)&lt;SUM(AO1057:AO1058),AN1058,"Algo esta Mal")))))</f>
        <v>0</v>
      </c>
      <c r="AX1060" s="33" t="str">
        <f>IF(AX1056&gt;=51%,AW1056,IF(AX1057&gt;=51%,AW1057,IF(AX1058&gt;=51%,AW1058,IF(SUM(AX1056:AX1057)&gt;SUM(AX1057:AX1058),AW1056,IF(SUM(AX1056:AX1057)&lt;SUM(AX1057:AX1058),AW1058,"Algo esta Mal")))))</f>
        <v>0</v>
      </c>
      <c r="BG1060" s="33" t="str">
        <f>IF(BG1056&gt;=51%,BF1056,IF(BG1057&gt;=51%,BF1057,IF(BG1058&gt;=51%,BF1058,IF(SUM(BG1056:BG1057)&gt;SUM(BG1057:BG1058),BF1056,IF(SUM(BG1056:BG1057)&lt;SUM(BG1057:BG1058),BF1058,"Algo esta Mal")))))</f>
        <v>0</v>
      </c>
      <c r="BP1060" s="33" t="str">
        <f>IF(BP1056&gt;=51%,BO1056,IF(BP1057&gt;=51%,BO1057,IF(BP1058&gt;=51%,BO1058,IF(SUM(BP1056:BP1057)&gt;SUM(BP1057:BP1058),BO1056,IF(SUM(BP1056:BP1057)&lt;SUM(BP1057:BP1058),BO1058,"Algo esta Mal")))))</f>
        <v>0</v>
      </c>
      <c r="BY1060" s="33" t="str">
        <f>IF(BY1056&gt;=51%,BX1056,IF(BY1057&gt;=51%,BX1057,IF(BY1058&gt;=51%,BX1058,IF(SUM(BY1056:BY1057)&gt;SUM(BY1057:BY1058),BX1056,IF(SUM(BY1056:BY1057)&lt;SUM(BY1057:BY1058),BX1058,"Algo esta Mal")))))</f>
        <v>0</v>
      </c>
      <c r="CH1060" s="33" t="str">
        <f>IF(CH1056&gt;=51%,CG1056,IF(CH1057&gt;=51%,CG1057,IF(CH1058&gt;=51%,CG1058,IF(SUM(CH1056:CH1057)&gt;SUM(CH1057:CH1058),CG1056,IF(SUM(CH1056:CH1057)&lt;SUM(CH1057:CH1058),CG1058,"Algo esta Mal")))))</f>
        <v>0</v>
      </c>
      <c r="CQ1060" s="33" t="str">
        <f>IF(CQ1056&gt;=51%,CP1056,IF(CQ1057&gt;=51%,CP1057,IF(CQ1058&gt;=51%,CP1058,IF(SUM(CQ1056:CQ1057)&gt;SUM(CQ1057:CQ1058),CP1056,IF(SUM(CQ1056:CQ1057)&lt;SUM(CQ1057:CQ1058),CP1058,"Algo esta Mal")))))</f>
        <v>0</v>
      </c>
      <c r="CZ1060" s="33" t="str">
        <f>IF(CZ1056&gt;=51%,CY1056,IF(CZ1057&gt;=51%,CY1057,IF(CZ1058&gt;=51%,CY1058,IF(SUM(CZ1056:CZ1057)&gt;SUM(CZ1057:CZ1058),CY1056,IF(SUM(CZ1056:CZ1057)&lt;SUM(CZ1057:CZ1058),CY1058,"Algo esta Mal")))))</f>
        <v>0</v>
      </c>
      <c r="DI1060" s="33" t="str">
        <f>IF(DI1056&gt;=51%,DH1056,IF(DI1057&gt;=51%,DH1057,IF(DI1058&gt;=51%,DH1058,IF(SUM(DI1056:DI1057)&gt;SUM(DI1057:DI1058),DH1056,IF(SUM(DI1056:DI1057)&lt;SUM(DI1057:DI1058),DH1058,"Algo esta Mal")))))</f>
        <v>0</v>
      </c>
      <c r="DR1060" s="33" t="str">
        <f>IF(DR1056&gt;=51%,DQ1056,IF(DR1057&gt;=51%,DQ1057,IF(DR1058&gt;=51%,DQ1058,IF(SUM(DR1056:DR1057)&gt;SUM(DR1057:DR1058),DQ1056,IF(SUM(DR1056:DR1057)&lt;SUM(DR1057:DR1058),DQ1058,"Algo esta Mal")))))</f>
        <v>0</v>
      </c>
      <c r="EA1060" s="33" t="str">
        <f>IF(EA1056&gt;=51%,DZ1056,IF(EA1057&gt;=51%,DZ1057,IF(EA1058&gt;=51%,DZ1058,IF(SUM(EA1056:EA1057)&gt;SUM(EA1057:EA1058),DZ1056,IF(SUM(EA1056:EA1057)&lt;SUM(EA1057:EA1058),DZ1058,"Algo esta Mal")))))</f>
        <v>0</v>
      </c>
      <c r="EJ1060" s="33" t="str">
        <f>IF(EJ1056&gt;=51%,EI1056,IF(EJ1057&gt;=51%,EI1057,IF(EJ1058&gt;=51%,EI1058,IF(SUM(EJ1056:EJ1057)&gt;SUM(EJ1057:EJ1058),EI1056,IF(SUM(EJ1056:EJ1057)&lt;SUM(EJ1057:EJ1058),EI1058,"Algo esta Mal")))))</f>
        <v>0</v>
      </c>
      <c r="ES1060" s="33" t="str">
        <f>IF(ES1056&gt;=51%,ER1056,IF(ES1057&gt;=51%,ER1057,IF(ES1058&gt;=51%,ER1058,IF(SUM(ES1056:ES1057)&gt;SUM(ES1057:ES1058),ER1056,IF(SUM(ES1056:ES1057)&lt;SUM(ES1057:ES1058),ER1058,"Algo esta Mal")))))</f>
        <v>0</v>
      </c>
      <c r="FB1060" s="33" t="str">
        <f>IF(FB1056&gt;=51%,FA1056,IF(FB1057&gt;=51%,FA1057,IF(FB1058&gt;=51%,FA1058,IF(SUM(FB1056:FB1057)&gt;SUM(FB1057:FB1058),FA1056,IF(SUM(FB1056:FB1057)&lt;SUM(FB1057:FB1058),FA1058,"Algo esta Mal")))))</f>
        <v>0</v>
      </c>
      <c r="FK1060" s="33" t="str">
        <f>IF(FK1056&gt;=51%,FJ1056,IF(FK1057&gt;=51%,FJ1057,IF(FK1058&gt;=51%,FJ1058,IF(SUM(FK1056:FK1057)&gt;SUM(FK1057:FK1058),FJ1056,IF(SUM(FK1056:FK1057)&lt;SUM(FK1057:FK1058),FJ1058,"Algo esta Mal")))))</f>
        <v>0</v>
      </c>
      <c r="FT1060" s="33" t="str">
        <f>IF(FT1056&gt;=51%,FS1056,IF(FT1057&gt;=51%,FS1057,IF(FT1058&gt;=51%,FS1058,IF(SUM(FT1056:FT1057)&gt;SUM(FT1057:FT1058),FS1056,IF(SUM(FT1056:FT1057)&lt;SUM(FT1057:FT1058),FS1058,"Algo esta Mal")))))</f>
        <v>0</v>
      </c>
      <c r="GC1060" s="33" t="str">
        <f>IF(GC1056&gt;=51%,GB1056,IF(GC1057&gt;=51%,GB1057,IF(GC1058&gt;=51%,GB1058,IF(SUM(GC1056:GC1057)&gt;SUM(GC1057:GC1058),GB1056,IF(SUM(GC1056:GC1057)&lt;SUM(GC1057:GC1058),GB1058,"Algo esta Mal")))))</f>
        <v>0</v>
      </c>
      <c r="GL1060" s="33" t="str">
        <f>IF(GL1056&gt;=51%,GK1056,IF(GL1057&gt;=51%,GK1057,IF(GL1058&gt;=51%,GK1058,IF(SUM(GL1056:GL1057)&gt;SUM(GL1057:GL1058),GK1056,IF(SUM(GL1056:GL1057)&lt;SUM(GL1057:GL1058),GK1058,"Algo esta Mal")))))</f>
        <v>0</v>
      </c>
      <c r="GU1060" s="33" t="str">
        <f>IF(GU1056&gt;=51%,GT1056,IF(GU1057&gt;=51%,GT1057,IF(GU1058&gt;=51%,GT1058,IF(SUM(GU1056:GU1057)&gt;SUM(GU1057:GU1058),GT1056,IF(SUM(GU1056:GU1057)&lt;SUM(GU1057:GU1058),GT1058,"Algo esta Mal")))))</f>
        <v>0</v>
      </c>
      <c r="HD1060" s="33" t="str">
        <f>IF(HD1056&gt;=51%,HC1056,IF(HD1057&gt;=51%,HC1057,IF(HD1058&gt;=51%,HC1058,IF(SUM(HD1056:HD1057)&gt;SUM(HD1057:HD1058),HC1056,IF(SUM(HD1056:HD1057)&lt;SUM(HD1057:HD1058),HC1058,"Algo esta Mal")))))</f>
        <v>0</v>
      </c>
    </row>
    <row r="1062" spans="1:215">
      <c r="E1062" s="33" t="s">
        <v>439</v>
      </c>
      <c r="N1062" s="33"/>
      <c r="W1062" s="33"/>
      <c r="AF1062" s="33"/>
      <c r="AO1062" s="33"/>
      <c r="AX1062" s="33"/>
      <c r="BG1062" s="33"/>
      <c r="BP1062" s="33"/>
      <c r="BY1062" s="33"/>
      <c r="CH1062" s="33"/>
      <c r="CQ1062" s="33"/>
      <c r="CZ1062" s="33"/>
      <c r="DI1062" s="33"/>
      <c r="DR1062" s="33"/>
      <c r="EA1062" s="33"/>
      <c r="EJ1062" s="33"/>
      <c r="ES1062" s="33"/>
      <c r="FB1062" s="33"/>
      <c r="FK1062" s="33"/>
      <c r="FT1062" s="33"/>
      <c r="GC1062" s="33"/>
      <c r="GL1062" s="33"/>
      <c r="GU1062" s="33"/>
      <c r="HD1062" s="33"/>
    </row>
    <row r="2008" spans="1:215">
      <c r="D2008" s="26" t="str">
        <f>('Inteligencia emocional'!A1355)</f>
        <v>0</v>
      </c>
      <c r="E2008" s="15" t="str">
        <f>('Inteligencia emocional'!B1355)</f>
        <v>0</v>
      </c>
      <c r="F2008" s="31" t="str">
        <f>('Inteligencia emocional'!B1361)</f>
        <v>0</v>
      </c>
      <c r="M2008" s="26" t="str">
        <f>('Inteligencia emocional'!A1355)</f>
        <v>0</v>
      </c>
      <c r="N2008" s="15" t="str">
        <f>('Inteligencia emocional'!C1355)</f>
        <v>0</v>
      </c>
      <c r="O2008" s="31" t="str">
        <f>('Inteligencia emocional'!C1361)</f>
        <v>0</v>
      </c>
      <c r="V2008" s="26" t="str">
        <f>('Inteligencia emocional'!A1355)</f>
        <v>0</v>
      </c>
      <c r="W2008" s="15" t="str">
        <f>('Inteligencia emocional'!D1355)</f>
        <v>0</v>
      </c>
      <c r="X2008" s="31" t="str">
        <f>('Inteligencia emocional'!D1361)</f>
        <v>0</v>
      </c>
      <c r="AE2008" s="26" t="str">
        <f>('Inteligencia emocional'!A1355)</f>
        <v>0</v>
      </c>
      <c r="AF2008" s="15" t="str">
        <f>('Inteligencia emocional'!E1355)</f>
        <v>0</v>
      </c>
      <c r="AG2008" s="31" t="str">
        <f>('Inteligencia emocional'!E1361)</f>
        <v>0</v>
      </c>
      <c r="AN2008" s="26" t="str">
        <f>('Inteligencia emocional'!A1355)</f>
        <v>0</v>
      </c>
      <c r="AO2008" s="15" t="str">
        <f>('Inteligencia emocional'!F1355)</f>
        <v>0</v>
      </c>
      <c r="AP2008" s="31" t="str">
        <f>('Inteligencia emocional'!F1361)</f>
        <v>0</v>
      </c>
      <c r="AW2008" s="26" t="str">
        <f>('Inteligencia emocional'!A1355)</f>
        <v>0</v>
      </c>
      <c r="AX2008" s="15" t="str">
        <f>('Inteligencia emocional'!G1355)</f>
        <v>0</v>
      </c>
      <c r="AY2008" s="31" t="str">
        <f>('Inteligencia emocional'!G1361)</f>
        <v>0</v>
      </c>
      <c r="BF2008" s="26" t="str">
        <f>('Inteligencia emocional'!A1355)</f>
        <v>0</v>
      </c>
      <c r="BG2008" s="15" t="str">
        <f>('Inteligencia emocional'!H1355)</f>
        <v>0</v>
      </c>
      <c r="BH2008" s="31" t="str">
        <f>('Inteligencia emocional'!H1361)</f>
        <v>0</v>
      </c>
      <c r="BO2008" s="26" t="str">
        <f>('Inteligencia emocional'!A1355)</f>
        <v>0</v>
      </c>
      <c r="BP2008" s="15" t="str">
        <f>('Inteligencia emocional'!I1355)</f>
        <v>0</v>
      </c>
      <c r="BQ2008" s="31" t="str">
        <f>('Inteligencia emocional'!I1361)</f>
        <v>0</v>
      </c>
      <c r="BX2008" s="26" t="str">
        <f>('Inteligencia emocional'!A1355)</f>
        <v>0</v>
      </c>
      <c r="BY2008" s="15" t="str">
        <f>('Inteligencia emocional'!J1355)</f>
        <v>0</v>
      </c>
      <c r="BZ2008" s="31" t="str">
        <f>('Inteligencia emocional'!J1361)</f>
        <v>0</v>
      </c>
      <c r="CG2008" s="26" t="str">
        <f>('Inteligencia emocional'!A1355)</f>
        <v>0</v>
      </c>
      <c r="CH2008" s="15" t="str">
        <f>('Inteligencia emocional'!K1355)</f>
        <v>0</v>
      </c>
      <c r="CI2008" s="31" t="str">
        <f>('Inteligencia emocional'!K1361)</f>
        <v>0</v>
      </c>
      <c r="CP2008" s="26" t="str">
        <f>('Inteligencia emocional'!A1355)</f>
        <v>0</v>
      </c>
      <c r="CQ2008" s="15" t="str">
        <f>('Inteligencia emocional'!L1355)</f>
        <v>0</v>
      </c>
      <c r="CR2008" s="31" t="str">
        <f>('Inteligencia emocional'!L1361)</f>
        <v>0</v>
      </c>
      <c r="CY2008" s="26" t="str">
        <f>('Inteligencia emocional'!A1355)</f>
        <v>0</v>
      </c>
      <c r="CZ2008" s="15" t="str">
        <f>('Inteligencia emocional'!M1355)</f>
        <v>0</v>
      </c>
      <c r="DA2008" s="31" t="str">
        <f>('Inteligencia emocional'!M1361)</f>
        <v>0</v>
      </c>
      <c r="DH2008" s="26" t="str">
        <f>('Inteligencia emocional'!A1355)</f>
        <v>0</v>
      </c>
      <c r="DI2008" s="15" t="str">
        <f>('Inteligencia emocional'!N1355)</f>
        <v>0</v>
      </c>
      <c r="DJ2008" s="31" t="str">
        <f>('Inteligencia emocional'!N1361)</f>
        <v>0</v>
      </c>
      <c r="DQ2008" s="26" t="str">
        <f>('Inteligencia emocional'!A1355)</f>
        <v>0</v>
      </c>
      <c r="DR2008" s="15" t="str">
        <f>('Inteligencia emocional'!O1355)</f>
        <v>0</v>
      </c>
      <c r="DS2008" s="31" t="str">
        <f>('Inteligencia emocional'!O1361)</f>
        <v>0</v>
      </c>
      <c r="DZ2008" s="26" t="str">
        <f>('Inteligencia emocional'!A1355)</f>
        <v>0</v>
      </c>
      <c r="EA2008" s="15" t="str">
        <f>('Inteligencia emocional'!P1355)</f>
        <v>0</v>
      </c>
      <c r="EB2008" s="31" t="str">
        <f>('Inteligencia emocional'!P1361)</f>
        <v>0</v>
      </c>
      <c r="EI2008" s="26" t="str">
        <f>('Inteligencia emocional'!A1355)</f>
        <v>0</v>
      </c>
      <c r="EJ2008" s="15" t="str">
        <f>('Inteligencia emocional'!Q1355)</f>
        <v>0</v>
      </c>
      <c r="EK2008" s="31" t="str">
        <f>('Inteligencia emocional'!Q1361)</f>
        <v>0</v>
      </c>
      <c r="ER2008" s="26" t="str">
        <f>('Inteligencia emocional'!A1355)</f>
        <v>0</v>
      </c>
      <c r="ES2008" s="15" t="str">
        <f>('Inteligencia emocional'!R1355)</f>
        <v>0</v>
      </c>
      <c r="ET2008" s="31" t="str">
        <f>('Inteligencia emocional'!R1361)</f>
        <v>0</v>
      </c>
      <c r="FA2008" s="26" t="str">
        <f>('Inteligencia emocional'!A1355)</f>
        <v>0</v>
      </c>
      <c r="FB2008" s="15" t="str">
        <f>('Inteligencia emocional'!S1355)</f>
        <v>0</v>
      </c>
      <c r="FC2008" s="31" t="str">
        <f>('Inteligencia emocional'!S1361)</f>
        <v>0</v>
      </c>
      <c r="FJ2008" s="26" t="str">
        <f>('Inteligencia emocional'!A1355)</f>
        <v>0</v>
      </c>
      <c r="FK2008" s="15" t="str">
        <f>('Inteligencia emocional'!T1355)</f>
        <v>0</v>
      </c>
      <c r="FL2008" s="31" t="str">
        <f>('Inteligencia emocional'!T1361)</f>
        <v>0</v>
      </c>
      <c r="FS2008" s="26" t="str">
        <f>('Inteligencia emocional'!A1355)</f>
        <v>0</v>
      </c>
      <c r="FT2008" s="15" t="str">
        <f>('Inteligencia emocional'!U1355)</f>
        <v>0</v>
      </c>
      <c r="FU2008" s="31" t="str">
        <f>('Inteligencia emocional'!U1361)</f>
        <v>0</v>
      </c>
      <c r="GB2008" s="26" t="str">
        <f>('Inteligencia emocional'!A1355)</f>
        <v>0</v>
      </c>
      <c r="GC2008" s="15" t="str">
        <f>('Inteligencia emocional'!V1355)</f>
        <v>0</v>
      </c>
      <c r="GD2008" s="31" t="str">
        <f>('Inteligencia emocional'!V1361)</f>
        <v>0</v>
      </c>
      <c r="GK2008" s="26" t="str">
        <f>('Inteligencia emocional'!A1355)</f>
        <v>0</v>
      </c>
      <c r="GL2008" s="15" t="str">
        <f>('Inteligencia emocional'!W1355)</f>
        <v>0</v>
      </c>
      <c r="GM2008" s="31" t="str">
        <f>('Inteligencia emocional'!W1361)</f>
        <v>0</v>
      </c>
      <c r="GT2008" s="26" t="str">
        <f>('Inteligencia emocional'!A1355)</f>
        <v>0</v>
      </c>
      <c r="GU2008" s="15" t="str">
        <f>('Inteligencia emocional'!X1355)</f>
        <v>0</v>
      </c>
      <c r="GV2008" s="31" t="str">
        <f>('Inteligencia emocional'!X1361)</f>
        <v>0</v>
      </c>
      <c r="HC2008" s="26" t="str">
        <f>('Inteligencia emocional'!A1355)</f>
        <v>0</v>
      </c>
      <c r="HD2008" s="15" t="str">
        <f>('Inteligencia emocional'!Y1355)</f>
        <v>0</v>
      </c>
      <c r="HE2008" s="31" t="str">
        <f>('Inteligencia emocional'!Y1361)</f>
        <v>0</v>
      </c>
    </row>
    <row r="2009" spans="1:215">
      <c r="D2009" s="26" t="str">
        <f>('Inteligencia emocional'!A1356)</f>
        <v>0</v>
      </c>
      <c r="E2009" s="15" t="str">
        <f>('Inteligencia emocional'!B1356)</f>
        <v>0</v>
      </c>
      <c r="F2009" s="31" t="str">
        <f>('Inteligencia emocional'!B1362)</f>
        <v>0</v>
      </c>
      <c r="M2009" s="26" t="str">
        <f>('Inteligencia emocional'!A1356)</f>
        <v>0</v>
      </c>
      <c r="N2009" s="15" t="str">
        <f>('Inteligencia emocional'!C1356)</f>
        <v>0</v>
      </c>
      <c r="O2009" s="31" t="str">
        <f>('Inteligencia emocional'!C1362)</f>
        <v>0</v>
      </c>
      <c r="V2009" s="26" t="str">
        <f>('Inteligencia emocional'!A1356)</f>
        <v>0</v>
      </c>
      <c r="W2009" s="15" t="str">
        <f>('Inteligencia emocional'!D1356)</f>
        <v>0</v>
      </c>
      <c r="X2009" s="31" t="str">
        <f>('Inteligencia emocional'!D1362)</f>
        <v>0</v>
      </c>
      <c r="AE2009" s="26" t="str">
        <f>('Inteligencia emocional'!A1356)</f>
        <v>0</v>
      </c>
      <c r="AF2009" s="15" t="str">
        <f>('Inteligencia emocional'!E1356)</f>
        <v>0</v>
      </c>
      <c r="AG2009" s="31" t="str">
        <f>('Inteligencia emocional'!E1362)</f>
        <v>0</v>
      </c>
      <c r="AN2009" s="26" t="str">
        <f>('Inteligencia emocional'!A1356)</f>
        <v>0</v>
      </c>
      <c r="AO2009" s="15" t="str">
        <f>('Inteligencia emocional'!F1356)</f>
        <v>0</v>
      </c>
      <c r="AP2009" s="31" t="str">
        <f>('Inteligencia emocional'!F1362)</f>
        <v>0</v>
      </c>
      <c r="AW2009" s="26" t="str">
        <f>('Inteligencia emocional'!A1356)</f>
        <v>0</v>
      </c>
      <c r="AX2009" s="15" t="str">
        <f>('Inteligencia emocional'!G1356)</f>
        <v>0</v>
      </c>
      <c r="AY2009" s="31" t="str">
        <f>('Inteligencia emocional'!G1362)</f>
        <v>0</v>
      </c>
      <c r="BF2009" s="26" t="str">
        <f>('Inteligencia emocional'!A1356)</f>
        <v>0</v>
      </c>
      <c r="BG2009" s="15" t="str">
        <f>('Inteligencia emocional'!H1356)</f>
        <v>0</v>
      </c>
      <c r="BH2009" s="31" t="str">
        <f>('Inteligencia emocional'!H1362)</f>
        <v>0</v>
      </c>
      <c r="BO2009" s="26" t="str">
        <f>('Inteligencia emocional'!A1356)</f>
        <v>0</v>
      </c>
      <c r="BP2009" s="15" t="str">
        <f>('Inteligencia emocional'!I1356)</f>
        <v>0</v>
      </c>
      <c r="BQ2009" s="31" t="str">
        <f>('Inteligencia emocional'!I1362)</f>
        <v>0</v>
      </c>
      <c r="BX2009" s="26" t="str">
        <f>('Inteligencia emocional'!A1356)</f>
        <v>0</v>
      </c>
      <c r="BY2009" s="15" t="str">
        <f>('Inteligencia emocional'!J1356)</f>
        <v>0</v>
      </c>
      <c r="BZ2009" s="31" t="str">
        <f>('Inteligencia emocional'!J1362)</f>
        <v>0</v>
      </c>
      <c r="CG2009" s="26" t="str">
        <f>('Inteligencia emocional'!A1356)</f>
        <v>0</v>
      </c>
      <c r="CH2009" s="15" t="str">
        <f>('Inteligencia emocional'!K1356)</f>
        <v>0</v>
      </c>
      <c r="CI2009" s="31" t="str">
        <f>('Inteligencia emocional'!K1362)</f>
        <v>0</v>
      </c>
      <c r="CP2009" s="26" t="str">
        <f>('Inteligencia emocional'!A1356)</f>
        <v>0</v>
      </c>
      <c r="CQ2009" s="15" t="str">
        <f>('Inteligencia emocional'!L1356)</f>
        <v>0</v>
      </c>
      <c r="CR2009" s="31" t="str">
        <f>('Inteligencia emocional'!L1362)</f>
        <v>0</v>
      </c>
      <c r="CY2009" s="26" t="str">
        <f>('Inteligencia emocional'!A1356)</f>
        <v>0</v>
      </c>
      <c r="CZ2009" s="15" t="str">
        <f>('Inteligencia emocional'!M1356)</f>
        <v>0</v>
      </c>
      <c r="DA2009" s="31" t="str">
        <f>('Inteligencia emocional'!M1362)</f>
        <v>0</v>
      </c>
      <c r="DH2009" s="26" t="str">
        <f>('Inteligencia emocional'!A1356)</f>
        <v>0</v>
      </c>
      <c r="DI2009" s="15" t="str">
        <f>('Inteligencia emocional'!N1356)</f>
        <v>0</v>
      </c>
      <c r="DJ2009" s="31" t="str">
        <f>('Inteligencia emocional'!N1362)</f>
        <v>0</v>
      </c>
      <c r="DQ2009" s="26" t="str">
        <f>('Inteligencia emocional'!A1356)</f>
        <v>0</v>
      </c>
      <c r="DR2009" s="15" t="str">
        <f>('Inteligencia emocional'!O1356)</f>
        <v>0</v>
      </c>
      <c r="DS2009" s="31" t="str">
        <f>('Inteligencia emocional'!O1362)</f>
        <v>0</v>
      </c>
      <c r="DZ2009" s="26" t="str">
        <f>('Inteligencia emocional'!A1356)</f>
        <v>0</v>
      </c>
      <c r="EA2009" s="15" t="str">
        <f>('Inteligencia emocional'!P1356)</f>
        <v>0</v>
      </c>
      <c r="EB2009" s="31" t="str">
        <f>('Inteligencia emocional'!P1362)</f>
        <v>0</v>
      </c>
      <c r="EI2009" s="26" t="str">
        <f>('Inteligencia emocional'!A1356)</f>
        <v>0</v>
      </c>
      <c r="EJ2009" s="15" t="str">
        <f>('Inteligencia emocional'!Q1356)</f>
        <v>0</v>
      </c>
      <c r="EK2009" s="31" t="str">
        <f>('Inteligencia emocional'!Q1362)</f>
        <v>0</v>
      </c>
      <c r="ER2009" s="26" t="str">
        <f>('Inteligencia emocional'!A1356)</f>
        <v>0</v>
      </c>
      <c r="ES2009" s="15" t="str">
        <f>('Inteligencia emocional'!R1356)</f>
        <v>0</v>
      </c>
      <c r="ET2009" s="31" t="str">
        <f>('Inteligencia emocional'!R1362)</f>
        <v>0</v>
      </c>
      <c r="FA2009" s="26" t="str">
        <f>('Inteligencia emocional'!A1356)</f>
        <v>0</v>
      </c>
      <c r="FB2009" s="15" t="str">
        <f>('Inteligencia emocional'!S1356)</f>
        <v>0</v>
      </c>
      <c r="FC2009" s="31" t="str">
        <f>('Inteligencia emocional'!S1362)</f>
        <v>0</v>
      </c>
      <c r="FJ2009" s="26" t="str">
        <f>('Inteligencia emocional'!A1356)</f>
        <v>0</v>
      </c>
      <c r="FK2009" s="15" t="str">
        <f>('Inteligencia emocional'!T1356)</f>
        <v>0</v>
      </c>
      <c r="FL2009" s="31" t="str">
        <f>('Inteligencia emocional'!T1362)</f>
        <v>0</v>
      </c>
      <c r="FS2009" s="26" t="str">
        <f>('Inteligencia emocional'!A1356)</f>
        <v>0</v>
      </c>
      <c r="FT2009" s="15" t="str">
        <f>('Inteligencia emocional'!U1356)</f>
        <v>0</v>
      </c>
      <c r="FU2009" s="31" t="str">
        <f>('Inteligencia emocional'!U1362)</f>
        <v>0</v>
      </c>
      <c r="GB2009" s="26" t="str">
        <f>('Inteligencia emocional'!A1356)</f>
        <v>0</v>
      </c>
      <c r="GC2009" s="15" t="str">
        <f>('Inteligencia emocional'!V1356)</f>
        <v>0</v>
      </c>
      <c r="GD2009" s="31" t="str">
        <f>('Inteligencia emocional'!V1362)</f>
        <v>0</v>
      </c>
      <c r="GK2009" s="26" t="str">
        <f>('Inteligencia emocional'!A1356)</f>
        <v>0</v>
      </c>
      <c r="GL2009" s="15" t="str">
        <f>('Inteligencia emocional'!W1356)</f>
        <v>0</v>
      </c>
      <c r="GM2009" s="31" t="str">
        <f>('Inteligencia emocional'!W1362)</f>
        <v>0</v>
      </c>
      <c r="GT2009" s="26" t="str">
        <f>('Inteligencia emocional'!A1356)</f>
        <v>0</v>
      </c>
      <c r="GU2009" s="15" t="str">
        <f>('Inteligencia emocional'!X1356)</f>
        <v>0</v>
      </c>
      <c r="GV2009" s="31" t="str">
        <f>('Inteligencia emocional'!X1362)</f>
        <v>0</v>
      </c>
      <c r="HC2009" s="26" t="str">
        <f>('Inteligencia emocional'!A1356)</f>
        <v>0</v>
      </c>
      <c r="HD2009" s="15" t="str">
        <f>('Inteligencia emocional'!Y1356)</f>
        <v>0</v>
      </c>
      <c r="HE2009" s="31" t="str">
        <f>('Inteligencia emocional'!Y1362)</f>
        <v>0</v>
      </c>
    </row>
    <row r="2010" spans="1:215">
      <c r="D2010" s="26" t="str">
        <f>('Inteligencia emocional'!A1357)</f>
        <v>0</v>
      </c>
      <c r="E2010" s="15" t="str">
        <f>('Inteligencia emocional'!B1357)</f>
        <v>0</v>
      </c>
      <c r="F2010" s="31" t="str">
        <f>('Inteligencia emocional'!B1363)</f>
        <v>0</v>
      </c>
      <c r="M2010" s="26" t="str">
        <f>('Inteligencia emocional'!A1357)</f>
        <v>0</v>
      </c>
      <c r="N2010" s="15" t="str">
        <f>('Inteligencia emocional'!C1357)</f>
        <v>0</v>
      </c>
      <c r="O2010" s="31" t="str">
        <f>('Inteligencia emocional'!C1363)</f>
        <v>0</v>
      </c>
      <c r="V2010" s="26" t="str">
        <f>('Inteligencia emocional'!A1357)</f>
        <v>0</v>
      </c>
      <c r="W2010" s="15" t="str">
        <f>('Inteligencia emocional'!D1357)</f>
        <v>0</v>
      </c>
      <c r="X2010" s="31" t="str">
        <f>('Inteligencia emocional'!D1363)</f>
        <v>0</v>
      </c>
      <c r="AE2010" s="26" t="str">
        <f>('Inteligencia emocional'!A1357)</f>
        <v>0</v>
      </c>
      <c r="AF2010" s="15" t="str">
        <f>('Inteligencia emocional'!E1357)</f>
        <v>0</v>
      </c>
      <c r="AG2010" s="31" t="str">
        <f>('Inteligencia emocional'!E1363)</f>
        <v>0</v>
      </c>
      <c r="AN2010" s="26" t="str">
        <f>('Inteligencia emocional'!A1357)</f>
        <v>0</v>
      </c>
      <c r="AO2010" s="15" t="str">
        <f>('Inteligencia emocional'!F1357)</f>
        <v>0</v>
      </c>
      <c r="AP2010" s="31" t="str">
        <f>('Inteligencia emocional'!F1363)</f>
        <v>0</v>
      </c>
      <c r="AW2010" s="26" t="str">
        <f>('Inteligencia emocional'!A1357)</f>
        <v>0</v>
      </c>
      <c r="AX2010" s="15" t="str">
        <f>('Inteligencia emocional'!G1357)</f>
        <v>0</v>
      </c>
      <c r="AY2010" s="31" t="str">
        <f>('Inteligencia emocional'!G1363)</f>
        <v>0</v>
      </c>
      <c r="BF2010" s="26" t="str">
        <f>('Inteligencia emocional'!A1357)</f>
        <v>0</v>
      </c>
      <c r="BG2010" s="15" t="str">
        <f>('Inteligencia emocional'!H1357)</f>
        <v>0</v>
      </c>
      <c r="BH2010" s="31" t="str">
        <f>('Inteligencia emocional'!H1363)</f>
        <v>0</v>
      </c>
      <c r="BO2010" s="26" t="str">
        <f>('Inteligencia emocional'!A1357)</f>
        <v>0</v>
      </c>
      <c r="BP2010" s="15" t="str">
        <f>('Inteligencia emocional'!I1357)</f>
        <v>0</v>
      </c>
      <c r="BQ2010" s="31" t="str">
        <f>('Inteligencia emocional'!I1363)</f>
        <v>0</v>
      </c>
      <c r="BX2010" s="26" t="str">
        <f>('Inteligencia emocional'!A1357)</f>
        <v>0</v>
      </c>
      <c r="BY2010" s="15" t="str">
        <f>('Inteligencia emocional'!J1357)</f>
        <v>0</v>
      </c>
      <c r="BZ2010" s="31" t="str">
        <f>('Inteligencia emocional'!J1363)</f>
        <v>0</v>
      </c>
      <c r="CG2010" s="26" t="str">
        <f>('Inteligencia emocional'!A1357)</f>
        <v>0</v>
      </c>
      <c r="CH2010" s="15" t="str">
        <f>('Inteligencia emocional'!K1357)</f>
        <v>0</v>
      </c>
      <c r="CI2010" s="31" t="str">
        <f>('Inteligencia emocional'!K1363)</f>
        <v>0</v>
      </c>
      <c r="CP2010" s="26" t="str">
        <f>('Inteligencia emocional'!A1357)</f>
        <v>0</v>
      </c>
      <c r="CQ2010" s="15" t="str">
        <f>('Inteligencia emocional'!L1357)</f>
        <v>0</v>
      </c>
      <c r="CR2010" s="31" t="str">
        <f>('Inteligencia emocional'!L1363)</f>
        <v>0</v>
      </c>
      <c r="CY2010" s="26" t="str">
        <f>('Inteligencia emocional'!A1357)</f>
        <v>0</v>
      </c>
      <c r="CZ2010" s="15" t="str">
        <f>('Inteligencia emocional'!M1357)</f>
        <v>0</v>
      </c>
      <c r="DA2010" s="31" t="str">
        <f>('Inteligencia emocional'!M1363)</f>
        <v>0</v>
      </c>
      <c r="DH2010" s="26" t="str">
        <f>('Inteligencia emocional'!A1357)</f>
        <v>0</v>
      </c>
      <c r="DI2010" s="15" t="str">
        <f>('Inteligencia emocional'!N1357)</f>
        <v>0</v>
      </c>
      <c r="DJ2010" s="31" t="str">
        <f>('Inteligencia emocional'!N1363)</f>
        <v>0</v>
      </c>
      <c r="DQ2010" s="26" t="str">
        <f>('Inteligencia emocional'!A1357)</f>
        <v>0</v>
      </c>
      <c r="DR2010" s="15" t="str">
        <f>('Inteligencia emocional'!O1357)</f>
        <v>0</v>
      </c>
      <c r="DS2010" s="31" t="str">
        <f>('Inteligencia emocional'!O1363)</f>
        <v>0</v>
      </c>
      <c r="DZ2010" s="26" t="str">
        <f>('Inteligencia emocional'!A1357)</f>
        <v>0</v>
      </c>
      <c r="EA2010" s="15" t="str">
        <f>('Inteligencia emocional'!P1357)</f>
        <v>0</v>
      </c>
      <c r="EB2010" s="31" t="str">
        <f>('Inteligencia emocional'!P1363)</f>
        <v>0</v>
      </c>
      <c r="EI2010" s="26" t="str">
        <f>('Inteligencia emocional'!A1357)</f>
        <v>0</v>
      </c>
      <c r="EJ2010" s="15" t="str">
        <f>('Inteligencia emocional'!Q1357)</f>
        <v>0</v>
      </c>
      <c r="EK2010" s="31" t="str">
        <f>('Inteligencia emocional'!Q1363)</f>
        <v>0</v>
      </c>
      <c r="ER2010" s="26" t="str">
        <f>('Inteligencia emocional'!A1357)</f>
        <v>0</v>
      </c>
      <c r="ES2010" s="15" t="str">
        <f>('Inteligencia emocional'!R1357)</f>
        <v>0</v>
      </c>
      <c r="ET2010" s="31" t="str">
        <f>('Inteligencia emocional'!R1363)</f>
        <v>0</v>
      </c>
      <c r="FA2010" s="26" t="str">
        <f>('Inteligencia emocional'!A1357)</f>
        <v>0</v>
      </c>
      <c r="FB2010" s="15" t="str">
        <f>('Inteligencia emocional'!S1357)</f>
        <v>0</v>
      </c>
      <c r="FC2010" s="31" t="str">
        <f>('Inteligencia emocional'!S1363)</f>
        <v>0</v>
      </c>
      <c r="FJ2010" s="26" t="str">
        <f>('Inteligencia emocional'!A1357)</f>
        <v>0</v>
      </c>
      <c r="FK2010" s="15" t="str">
        <f>('Inteligencia emocional'!T1357)</f>
        <v>0</v>
      </c>
      <c r="FL2010" s="31" t="str">
        <f>('Inteligencia emocional'!T1363)</f>
        <v>0</v>
      </c>
      <c r="FS2010" s="26" t="str">
        <f>('Inteligencia emocional'!A1357)</f>
        <v>0</v>
      </c>
      <c r="FT2010" s="15" t="str">
        <f>('Inteligencia emocional'!U1357)</f>
        <v>0</v>
      </c>
      <c r="FU2010" s="31" t="str">
        <f>('Inteligencia emocional'!U1363)</f>
        <v>0</v>
      </c>
      <c r="GB2010" s="26" t="str">
        <f>('Inteligencia emocional'!A1357)</f>
        <v>0</v>
      </c>
      <c r="GC2010" s="15" t="str">
        <f>('Inteligencia emocional'!V1357)</f>
        <v>0</v>
      </c>
      <c r="GD2010" s="31" t="str">
        <f>('Inteligencia emocional'!V1363)</f>
        <v>0</v>
      </c>
      <c r="GK2010" s="26" t="str">
        <f>('Inteligencia emocional'!A1357)</f>
        <v>0</v>
      </c>
      <c r="GL2010" s="15" t="str">
        <f>('Inteligencia emocional'!W1357)</f>
        <v>0</v>
      </c>
      <c r="GM2010" s="31" t="str">
        <f>('Inteligencia emocional'!W1363)</f>
        <v>0</v>
      </c>
      <c r="GT2010" s="26" t="str">
        <f>('Inteligencia emocional'!A1357)</f>
        <v>0</v>
      </c>
      <c r="GU2010" s="15" t="str">
        <f>('Inteligencia emocional'!X1357)</f>
        <v>0</v>
      </c>
      <c r="GV2010" s="31" t="str">
        <f>('Inteligencia emocional'!X1363)</f>
        <v>0</v>
      </c>
      <c r="HC2010" s="26" t="str">
        <f>('Inteligencia emocional'!A1357)</f>
        <v>0</v>
      </c>
      <c r="HD2010" s="15" t="str">
        <f>('Inteligencia emocional'!Y1357)</f>
        <v>0</v>
      </c>
      <c r="HE2010" s="31" t="str">
        <f>('Inteligencia emocional'!Y1363)</f>
        <v>0</v>
      </c>
    </row>
    <row r="2011" spans="1:215">
      <c r="D2011" s="26" t="str">
        <f>('Inteligencia emocional'!A1358)</f>
        <v>0</v>
      </c>
      <c r="E2011" s="15" t="str">
        <f>('Inteligencia emocional'!B1358)</f>
        <v>0</v>
      </c>
      <c r="F2011" s="31" t="str">
        <f>('Inteligencia emocional'!B1364)</f>
        <v>0</v>
      </c>
      <c r="M2011" s="26" t="str">
        <f>('Inteligencia emocional'!A1358)</f>
        <v>0</v>
      </c>
      <c r="N2011" s="15" t="str">
        <f>('Inteligencia emocional'!C1358)</f>
        <v>0</v>
      </c>
      <c r="O2011" s="31" t="str">
        <f>('Inteligencia emocional'!C1364)</f>
        <v>0</v>
      </c>
      <c r="V2011" s="26" t="str">
        <f>('Inteligencia emocional'!A1358)</f>
        <v>0</v>
      </c>
      <c r="W2011" s="15" t="str">
        <f>('Inteligencia emocional'!D1358)</f>
        <v>0</v>
      </c>
      <c r="X2011" s="31" t="str">
        <f>('Inteligencia emocional'!D1364)</f>
        <v>0</v>
      </c>
      <c r="AE2011" s="26" t="str">
        <f>('Inteligencia emocional'!A1358)</f>
        <v>0</v>
      </c>
      <c r="AF2011" s="15" t="str">
        <f>('Inteligencia emocional'!E1358)</f>
        <v>0</v>
      </c>
      <c r="AG2011" s="31" t="str">
        <f>('Inteligencia emocional'!E1364)</f>
        <v>0</v>
      </c>
      <c r="AN2011" s="26" t="str">
        <f>('Inteligencia emocional'!A1358)</f>
        <v>0</v>
      </c>
      <c r="AO2011" s="15" t="str">
        <f>('Inteligencia emocional'!F1358)</f>
        <v>0</v>
      </c>
      <c r="AP2011" s="31" t="str">
        <f>('Inteligencia emocional'!F1364)</f>
        <v>0</v>
      </c>
      <c r="AW2011" s="26" t="str">
        <f>('Inteligencia emocional'!A1358)</f>
        <v>0</v>
      </c>
      <c r="AX2011" s="15" t="str">
        <f>('Inteligencia emocional'!G1358)</f>
        <v>0</v>
      </c>
      <c r="AY2011" s="31" t="str">
        <f>('Inteligencia emocional'!G1364)</f>
        <v>0</v>
      </c>
      <c r="BF2011" s="26" t="str">
        <f>('Inteligencia emocional'!A1358)</f>
        <v>0</v>
      </c>
      <c r="BG2011" s="15" t="str">
        <f>('Inteligencia emocional'!H1358)</f>
        <v>0</v>
      </c>
      <c r="BH2011" s="31" t="str">
        <f>('Inteligencia emocional'!H1364)</f>
        <v>0</v>
      </c>
      <c r="BO2011" s="26" t="str">
        <f>('Inteligencia emocional'!A1358)</f>
        <v>0</v>
      </c>
      <c r="BP2011" s="15" t="str">
        <f>('Inteligencia emocional'!I1358)</f>
        <v>0</v>
      </c>
      <c r="BQ2011" s="31" t="str">
        <f>('Inteligencia emocional'!I1364)</f>
        <v>0</v>
      </c>
      <c r="BX2011" s="26" t="str">
        <f>('Inteligencia emocional'!A1358)</f>
        <v>0</v>
      </c>
      <c r="BY2011" s="15" t="str">
        <f>('Inteligencia emocional'!J1358)</f>
        <v>0</v>
      </c>
      <c r="BZ2011" s="31" t="str">
        <f>('Inteligencia emocional'!J1364)</f>
        <v>0</v>
      </c>
      <c r="CG2011" s="26" t="str">
        <f>('Inteligencia emocional'!A1358)</f>
        <v>0</v>
      </c>
      <c r="CH2011" s="15" t="str">
        <f>('Inteligencia emocional'!K1358)</f>
        <v>0</v>
      </c>
      <c r="CI2011" s="31" t="str">
        <f>('Inteligencia emocional'!K1364)</f>
        <v>0</v>
      </c>
      <c r="CP2011" s="26" t="str">
        <f>('Inteligencia emocional'!A1358)</f>
        <v>0</v>
      </c>
      <c r="CQ2011" s="15" t="str">
        <f>('Inteligencia emocional'!L1358)</f>
        <v>0</v>
      </c>
      <c r="CR2011" s="31" t="str">
        <f>('Inteligencia emocional'!L1364)</f>
        <v>0</v>
      </c>
      <c r="CY2011" s="26" t="str">
        <f>('Inteligencia emocional'!A1358)</f>
        <v>0</v>
      </c>
      <c r="CZ2011" s="15" t="str">
        <f>('Inteligencia emocional'!M1358)</f>
        <v>0</v>
      </c>
      <c r="DA2011" s="31" t="str">
        <f>('Inteligencia emocional'!M1364)</f>
        <v>0</v>
      </c>
      <c r="DH2011" s="26" t="str">
        <f>('Inteligencia emocional'!A1358)</f>
        <v>0</v>
      </c>
      <c r="DI2011" s="15" t="str">
        <f>('Inteligencia emocional'!N1358)</f>
        <v>0</v>
      </c>
      <c r="DJ2011" s="31" t="str">
        <f>('Inteligencia emocional'!N1364)</f>
        <v>0</v>
      </c>
      <c r="DQ2011" s="26" t="str">
        <f>('Inteligencia emocional'!A1358)</f>
        <v>0</v>
      </c>
      <c r="DR2011" s="15" t="str">
        <f>('Inteligencia emocional'!O1358)</f>
        <v>0</v>
      </c>
      <c r="DS2011" s="31" t="str">
        <f>('Inteligencia emocional'!O1364)</f>
        <v>0</v>
      </c>
      <c r="DZ2011" s="26" t="str">
        <f>('Inteligencia emocional'!A1358)</f>
        <v>0</v>
      </c>
      <c r="EA2011" s="15" t="str">
        <f>('Inteligencia emocional'!P1358)</f>
        <v>0</v>
      </c>
      <c r="EB2011" s="31" t="str">
        <f>('Inteligencia emocional'!P1364)</f>
        <v>0</v>
      </c>
      <c r="EI2011" s="26" t="str">
        <f>('Inteligencia emocional'!A1358)</f>
        <v>0</v>
      </c>
      <c r="EJ2011" s="15" t="str">
        <f>('Inteligencia emocional'!Q1358)</f>
        <v>0</v>
      </c>
      <c r="EK2011" s="31" t="str">
        <f>('Inteligencia emocional'!Q1364)</f>
        <v>0</v>
      </c>
      <c r="ER2011" s="26" t="str">
        <f>('Inteligencia emocional'!A1358)</f>
        <v>0</v>
      </c>
      <c r="ES2011" s="15" t="str">
        <f>('Inteligencia emocional'!R1358)</f>
        <v>0</v>
      </c>
      <c r="ET2011" s="31" t="str">
        <f>('Inteligencia emocional'!R1364)</f>
        <v>0</v>
      </c>
      <c r="FA2011" s="26" t="str">
        <f>('Inteligencia emocional'!A1358)</f>
        <v>0</v>
      </c>
      <c r="FB2011" s="15" t="str">
        <f>('Inteligencia emocional'!S1358)</f>
        <v>0</v>
      </c>
      <c r="FC2011" s="31" t="str">
        <f>('Inteligencia emocional'!S1364)</f>
        <v>0</v>
      </c>
      <c r="FJ2011" s="26" t="str">
        <f>('Inteligencia emocional'!A1358)</f>
        <v>0</v>
      </c>
      <c r="FK2011" s="15" t="str">
        <f>('Inteligencia emocional'!T1358)</f>
        <v>0</v>
      </c>
      <c r="FL2011" s="31" t="str">
        <f>('Inteligencia emocional'!T1364)</f>
        <v>0</v>
      </c>
      <c r="FS2011" s="26" t="str">
        <f>('Inteligencia emocional'!A1358)</f>
        <v>0</v>
      </c>
      <c r="FT2011" s="15" t="str">
        <f>('Inteligencia emocional'!U1358)</f>
        <v>0</v>
      </c>
      <c r="FU2011" s="31" t="str">
        <f>('Inteligencia emocional'!U1364)</f>
        <v>0</v>
      </c>
      <c r="GB2011" s="26" t="str">
        <f>('Inteligencia emocional'!A1358)</f>
        <v>0</v>
      </c>
      <c r="GC2011" s="15" t="str">
        <f>('Inteligencia emocional'!V1358)</f>
        <v>0</v>
      </c>
      <c r="GD2011" s="31" t="str">
        <f>('Inteligencia emocional'!V1364)</f>
        <v>0</v>
      </c>
      <c r="GK2011" s="26" t="str">
        <f>('Inteligencia emocional'!A1358)</f>
        <v>0</v>
      </c>
      <c r="GL2011" s="15" t="str">
        <f>('Inteligencia emocional'!W1358)</f>
        <v>0</v>
      </c>
      <c r="GM2011" s="31" t="str">
        <f>('Inteligencia emocional'!W1364)</f>
        <v>0</v>
      </c>
      <c r="GT2011" s="26" t="str">
        <f>('Inteligencia emocional'!A1358)</f>
        <v>0</v>
      </c>
      <c r="GU2011" s="15" t="str">
        <f>('Inteligencia emocional'!X1358)</f>
        <v>0</v>
      </c>
      <c r="GV2011" s="31" t="str">
        <f>('Inteligencia emocional'!X1364)</f>
        <v>0</v>
      </c>
      <c r="HC2011" s="26" t="str">
        <f>('Inteligencia emocional'!A1358)</f>
        <v>0</v>
      </c>
      <c r="HD2011" s="15" t="str">
        <f>('Inteligencia emocional'!Y1358)</f>
        <v>0</v>
      </c>
      <c r="HE2011" s="31" t="str">
        <f>('Inteligencia emocional'!Y1364)</f>
        <v>0</v>
      </c>
    </row>
    <row r="2012" spans="1:215">
      <c r="D2012" s="26" t="str">
        <f>('Inteligencia emocional'!A1359)</f>
        <v>0</v>
      </c>
      <c r="E2012" s="15" t="str">
        <f>('Inteligencia emocional'!B1359)</f>
        <v>0</v>
      </c>
      <c r="F2012" s="31" t="str">
        <f>('Inteligencia emocional'!B1365)</f>
        <v>0</v>
      </c>
      <c r="M2012" s="26" t="str">
        <f>('Inteligencia emocional'!A1359)</f>
        <v>0</v>
      </c>
      <c r="N2012" s="15" t="str">
        <f>('Inteligencia emocional'!C1359)</f>
        <v>0</v>
      </c>
      <c r="O2012" s="31" t="str">
        <f>('Inteligencia emocional'!C1365)</f>
        <v>0</v>
      </c>
      <c r="V2012" s="26" t="str">
        <f>('Inteligencia emocional'!A1359)</f>
        <v>0</v>
      </c>
      <c r="W2012" s="15" t="str">
        <f>('Inteligencia emocional'!D1359)</f>
        <v>0</v>
      </c>
      <c r="X2012" s="31" t="str">
        <f>('Inteligencia emocional'!D1365)</f>
        <v>0</v>
      </c>
      <c r="AE2012" s="26" t="str">
        <f>('Inteligencia emocional'!A1359)</f>
        <v>0</v>
      </c>
      <c r="AF2012" s="15" t="str">
        <f>('Inteligencia emocional'!E1359)</f>
        <v>0</v>
      </c>
      <c r="AG2012" s="31" t="str">
        <f>('Inteligencia emocional'!E1365)</f>
        <v>0</v>
      </c>
      <c r="AN2012" s="26" t="str">
        <f>('Inteligencia emocional'!A1359)</f>
        <v>0</v>
      </c>
      <c r="AO2012" s="15" t="str">
        <f>('Inteligencia emocional'!F1359)</f>
        <v>0</v>
      </c>
      <c r="AP2012" s="31" t="str">
        <f>('Inteligencia emocional'!F1365)</f>
        <v>0</v>
      </c>
      <c r="AW2012" s="26" t="str">
        <f>('Inteligencia emocional'!A1359)</f>
        <v>0</v>
      </c>
      <c r="AX2012" s="15" t="str">
        <f>('Inteligencia emocional'!G1359)</f>
        <v>0</v>
      </c>
      <c r="AY2012" s="31" t="str">
        <f>('Inteligencia emocional'!G1365)</f>
        <v>0</v>
      </c>
      <c r="BF2012" s="26" t="str">
        <f>('Inteligencia emocional'!A1359)</f>
        <v>0</v>
      </c>
      <c r="BG2012" s="15" t="str">
        <f>('Inteligencia emocional'!H1359)</f>
        <v>0</v>
      </c>
      <c r="BH2012" s="31" t="str">
        <f>('Inteligencia emocional'!H1365)</f>
        <v>0</v>
      </c>
      <c r="BO2012" s="26" t="str">
        <f>('Inteligencia emocional'!A1359)</f>
        <v>0</v>
      </c>
      <c r="BP2012" s="15" t="str">
        <f>('Inteligencia emocional'!I1359)</f>
        <v>0</v>
      </c>
      <c r="BQ2012" s="31" t="str">
        <f>('Inteligencia emocional'!I1365)</f>
        <v>0</v>
      </c>
      <c r="BX2012" s="26" t="str">
        <f>('Inteligencia emocional'!A1359)</f>
        <v>0</v>
      </c>
      <c r="BY2012" s="15" t="str">
        <f>('Inteligencia emocional'!J1359)</f>
        <v>0</v>
      </c>
      <c r="BZ2012" s="31" t="str">
        <f>('Inteligencia emocional'!J1365)</f>
        <v>0</v>
      </c>
      <c r="CG2012" s="26" t="str">
        <f>('Inteligencia emocional'!A1359)</f>
        <v>0</v>
      </c>
      <c r="CH2012" s="15" t="str">
        <f>('Inteligencia emocional'!K1359)</f>
        <v>0</v>
      </c>
      <c r="CI2012" s="31" t="str">
        <f>('Inteligencia emocional'!K1365)</f>
        <v>0</v>
      </c>
      <c r="CP2012" s="26" t="str">
        <f>('Inteligencia emocional'!A1359)</f>
        <v>0</v>
      </c>
      <c r="CQ2012" s="15" t="str">
        <f>('Inteligencia emocional'!L1359)</f>
        <v>0</v>
      </c>
      <c r="CR2012" s="31" t="str">
        <f>('Inteligencia emocional'!L1365)</f>
        <v>0</v>
      </c>
      <c r="CY2012" s="26" t="str">
        <f>('Inteligencia emocional'!A1359)</f>
        <v>0</v>
      </c>
      <c r="CZ2012" s="15" t="str">
        <f>('Inteligencia emocional'!M1359)</f>
        <v>0</v>
      </c>
      <c r="DA2012" s="31" t="str">
        <f>('Inteligencia emocional'!M1365)</f>
        <v>0</v>
      </c>
      <c r="DH2012" s="26" t="str">
        <f>('Inteligencia emocional'!A1359)</f>
        <v>0</v>
      </c>
      <c r="DI2012" s="15" t="str">
        <f>('Inteligencia emocional'!N1359)</f>
        <v>0</v>
      </c>
      <c r="DJ2012" s="31" t="str">
        <f>('Inteligencia emocional'!N1365)</f>
        <v>0</v>
      </c>
      <c r="DQ2012" s="26" t="str">
        <f>('Inteligencia emocional'!A1359)</f>
        <v>0</v>
      </c>
      <c r="DR2012" s="15" t="str">
        <f>('Inteligencia emocional'!O1359)</f>
        <v>0</v>
      </c>
      <c r="DS2012" s="31" t="str">
        <f>('Inteligencia emocional'!O1365)</f>
        <v>0</v>
      </c>
      <c r="DZ2012" s="26" t="str">
        <f>('Inteligencia emocional'!A1359)</f>
        <v>0</v>
      </c>
      <c r="EA2012" s="15" t="str">
        <f>('Inteligencia emocional'!P1359)</f>
        <v>0</v>
      </c>
      <c r="EB2012" s="31" t="str">
        <f>('Inteligencia emocional'!P1365)</f>
        <v>0</v>
      </c>
      <c r="EI2012" s="26" t="str">
        <f>('Inteligencia emocional'!A1359)</f>
        <v>0</v>
      </c>
      <c r="EJ2012" s="15" t="str">
        <f>('Inteligencia emocional'!Q1359)</f>
        <v>0</v>
      </c>
      <c r="EK2012" s="31" t="str">
        <f>('Inteligencia emocional'!Q1365)</f>
        <v>0</v>
      </c>
      <c r="ER2012" s="26" t="str">
        <f>('Inteligencia emocional'!A1359)</f>
        <v>0</v>
      </c>
      <c r="ES2012" s="15" t="str">
        <f>('Inteligencia emocional'!R1359)</f>
        <v>0</v>
      </c>
      <c r="ET2012" s="31" t="str">
        <f>('Inteligencia emocional'!R1365)</f>
        <v>0</v>
      </c>
      <c r="FA2012" s="26" t="str">
        <f>('Inteligencia emocional'!A1359)</f>
        <v>0</v>
      </c>
      <c r="FB2012" s="15" t="str">
        <f>('Inteligencia emocional'!S1359)</f>
        <v>0</v>
      </c>
      <c r="FC2012" s="31" t="str">
        <f>('Inteligencia emocional'!S1365)</f>
        <v>0</v>
      </c>
      <c r="FJ2012" s="26" t="str">
        <f>('Inteligencia emocional'!A1359)</f>
        <v>0</v>
      </c>
      <c r="FK2012" s="15" t="str">
        <f>('Inteligencia emocional'!T1359)</f>
        <v>0</v>
      </c>
      <c r="FL2012" s="31" t="str">
        <f>('Inteligencia emocional'!T1365)</f>
        <v>0</v>
      </c>
      <c r="FS2012" s="26" t="str">
        <f>('Inteligencia emocional'!A1359)</f>
        <v>0</v>
      </c>
      <c r="FT2012" s="15" t="str">
        <f>('Inteligencia emocional'!U1359)</f>
        <v>0</v>
      </c>
      <c r="FU2012" s="31" t="str">
        <f>('Inteligencia emocional'!U1365)</f>
        <v>0</v>
      </c>
      <c r="GB2012" s="26" t="str">
        <f>('Inteligencia emocional'!A1359)</f>
        <v>0</v>
      </c>
      <c r="GC2012" s="15" t="str">
        <f>('Inteligencia emocional'!V1359)</f>
        <v>0</v>
      </c>
      <c r="GD2012" s="31" t="str">
        <f>('Inteligencia emocional'!V1365)</f>
        <v>0</v>
      </c>
      <c r="GK2012" s="26" t="str">
        <f>('Inteligencia emocional'!A1359)</f>
        <v>0</v>
      </c>
      <c r="GL2012" s="15" t="str">
        <f>('Inteligencia emocional'!W1359)</f>
        <v>0</v>
      </c>
      <c r="GM2012" s="31" t="str">
        <f>('Inteligencia emocional'!W1365)</f>
        <v>0</v>
      </c>
      <c r="GT2012" s="26" t="str">
        <f>('Inteligencia emocional'!A1359)</f>
        <v>0</v>
      </c>
      <c r="GU2012" s="15" t="str">
        <f>('Inteligencia emocional'!X1359)</f>
        <v>0</v>
      </c>
      <c r="GV2012" s="31" t="str">
        <f>('Inteligencia emocional'!X1365)</f>
        <v>0</v>
      </c>
      <c r="HC2012" s="26" t="str">
        <f>('Inteligencia emocional'!A1359)</f>
        <v>0</v>
      </c>
      <c r="HD2012" s="15" t="str">
        <f>('Inteligencia emocional'!Y1359)</f>
        <v>0</v>
      </c>
      <c r="HE2012" s="31" t="str">
        <f>('Inteligencia emocional'!Y1365)</f>
        <v>0</v>
      </c>
    </row>
    <row r="2013" spans="1:215">
      <c r="D2013" s="26" t="str">
        <f>('Inteligencia emocional'!A1360)</f>
        <v>0</v>
      </c>
      <c r="E2013" s="15" t="str">
        <f>('Inteligencia emocional'!B1360)</f>
        <v>0</v>
      </c>
      <c r="F2013" s="31" t="str">
        <f>('Inteligencia emocional'!B1366)</f>
        <v>0</v>
      </c>
      <c r="M2013" s="26" t="str">
        <f>('Inteligencia emocional'!A1360)</f>
        <v>0</v>
      </c>
      <c r="N2013" s="15" t="str">
        <f>('Inteligencia emocional'!C1360)</f>
        <v>0</v>
      </c>
      <c r="O2013" s="31" t="str">
        <f>('Inteligencia emocional'!C1366)</f>
        <v>0</v>
      </c>
      <c r="V2013" s="26" t="str">
        <f>('Inteligencia emocional'!A1360)</f>
        <v>0</v>
      </c>
      <c r="W2013" s="15" t="str">
        <f>('Inteligencia emocional'!D1360)</f>
        <v>0</v>
      </c>
      <c r="X2013" s="31" t="str">
        <f>('Inteligencia emocional'!D1366)</f>
        <v>0</v>
      </c>
      <c r="AE2013" s="26" t="str">
        <f>('Inteligencia emocional'!A1360)</f>
        <v>0</v>
      </c>
      <c r="AF2013" s="15" t="str">
        <f>('Inteligencia emocional'!E1360)</f>
        <v>0</v>
      </c>
      <c r="AG2013" s="31" t="str">
        <f>('Inteligencia emocional'!E1366)</f>
        <v>0</v>
      </c>
      <c r="AN2013" s="26" t="str">
        <f>('Inteligencia emocional'!A1360)</f>
        <v>0</v>
      </c>
      <c r="AO2013" s="15" t="str">
        <f>('Inteligencia emocional'!F1360)</f>
        <v>0</v>
      </c>
      <c r="AP2013" s="31" t="str">
        <f>('Inteligencia emocional'!F1366)</f>
        <v>0</v>
      </c>
      <c r="AW2013" s="26" t="str">
        <f>('Inteligencia emocional'!A1360)</f>
        <v>0</v>
      </c>
      <c r="AX2013" s="15" t="str">
        <f>('Inteligencia emocional'!G1360)</f>
        <v>0</v>
      </c>
      <c r="AY2013" s="31" t="str">
        <f>('Inteligencia emocional'!G1366)</f>
        <v>0</v>
      </c>
      <c r="BF2013" s="26" t="str">
        <f>('Inteligencia emocional'!A1360)</f>
        <v>0</v>
      </c>
      <c r="BG2013" s="15" t="str">
        <f>('Inteligencia emocional'!H1360)</f>
        <v>0</v>
      </c>
      <c r="BH2013" s="31" t="str">
        <f>('Inteligencia emocional'!H1366)</f>
        <v>0</v>
      </c>
      <c r="BO2013" s="26" t="str">
        <f>('Inteligencia emocional'!A1360)</f>
        <v>0</v>
      </c>
      <c r="BP2013" s="15" t="str">
        <f>('Inteligencia emocional'!I1360)</f>
        <v>0</v>
      </c>
      <c r="BQ2013" s="31" t="str">
        <f>('Inteligencia emocional'!I1366)</f>
        <v>0</v>
      </c>
      <c r="BX2013" s="26" t="str">
        <f>('Inteligencia emocional'!A1360)</f>
        <v>0</v>
      </c>
      <c r="BY2013" s="15" t="str">
        <f>('Inteligencia emocional'!J1360)</f>
        <v>0</v>
      </c>
      <c r="BZ2013" s="31" t="str">
        <f>('Inteligencia emocional'!J1366)</f>
        <v>0</v>
      </c>
      <c r="CG2013" s="26" t="str">
        <f>('Inteligencia emocional'!A1360)</f>
        <v>0</v>
      </c>
      <c r="CH2013" s="15" t="str">
        <f>('Inteligencia emocional'!K1360)</f>
        <v>0</v>
      </c>
      <c r="CI2013" s="31" t="str">
        <f>('Inteligencia emocional'!K1366)</f>
        <v>0</v>
      </c>
      <c r="CP2013" s="26" t="str">
        <f>('Inteligencia emocional'!A1360)</f>
        <v>0</v>
      </c>
      <c r="CQ2013" s="15" t="str">
        <f>('Inteligencia emocional'!L1360)</f>
        <v>0</v>
      </c>
      <c r="CR2013" s="31" t="str">
        <f>('Inteligencia emocional'!L1366)</f>
        <v>0</v>
      </c>
      <c r="CY2013" s="26" t="str">
        <f>('Inteligencia emocional'!A1360)</f>
        <v>0</v>
      </c>
      <c r="CZ2013" s="15" t="str">
        <f>('Inteligencia emocional'!M1360)</f>
        <v>0</v>
      </c>
      <c r="DA2013" s="31" t="str">
        <f>('Inteligencia emocional'!M1366)</f>
        <v>0</v>
      </c>
      <c r="DH2013" s="26" t="str">
        <f>('Inteligencia emocional'!A1360)</f>
        <v>0</v>
      </c>
      <c r="DI2013" s="15" t="str">
        <f>('Inteligencia emocional'!N1360)</f>
        <v>0</v>
      </c>
      <c r="DJ2013" s="31" t="str">
        <f>('Inteligencia emocional'!N1366)</f>
        <v>0</v>
      </c>
      <c r="DQ2013" s="26" t="str">
        <f>('Inteligencia emocional'!A1360)</f>
        <v>0</v>
      </c>
      <c r="DR2013" s="15" t="str">
        <f>('Inteligencia emocional'!O1360)</f>
        <v>0</v>
      </c>
      <c r="DS2013" s="31" t="str">
        <f>('Inteligencia emocional'!O1366)</f>
        <v>0</v>
      </c>
      <c r="DZ2013" s="26" t="str">
        <f>('Inteligencia emocional'!A1360)</f>
        <v>0</v>
      </c>
      <c r="EA2013" s="15" t="str">
        <f>('Inteligencia emocional'!P1360)</f>
        <v>0</v>
      </c>
      <c r="EB2013" s="31" t="str">
        <f>('Inteligencia emocional'!P1366)</f>
        <v>0</v>
      </c>
      <c r="EI2013" s="26" t="str">
        <f>('Inteligencia emocional'!A1360)</f>
        <v>0</v>
      </c>
      <c r="EJ2013" s="15" t="str">
        <f>('Inteligencia emocional'!Q1360)</f>
        <v>0</v>
      </c>
      <c r="EK2013" s="31" t="str">
        <f>('Inteligencia emocional'!Q1366)</f>
        <v>0</v>
      </c>
      <c r="ER2013" s="26" t="str">
        <f>('Inteligencia emocional'!A1360)</f>
        <v>0</v>
      </c>
      <c r="ES2013" s="15" t="str">
        <f>('Inteligencia emocional'!R1360)</f>
        <v>0</v>
      </c>
      <c r="ET2013" s="31" t="str">
        <f>('Inteligencia emocional'!R1366)</f>
        <v>0</v>
      </c>
      <c r="FA2013" s="26" t="str">
        <f>('Inteligencia emocional'!A1360)</f>
        <v>0</v>
      </c>
      <c r="FB2013" s="15" t="str">
        <f>('Inteligencia emocional'!S1360)</f>
        <v>0</v>
      </c>
      <c r="FC2013" s="31" t="str">
        <f>('Inteligencia emocional'!S1366)</f>
        <v>0</v>
      </c>
      <c r="FJ2013" s="26" t="str">
        <f>('Inteligencia emocional'!A1360)</f>
        <v>0</v>
      </c>
      <c r="FK2013" s="15" t="str">
        <f>('Inteligencia emocional'!T1360)</f>
        <v>0</v>
      </c>
      <c r="FL2013" s="31" t="str">
        <f>('Inteligencia emocional'!T1366)</f>
        <v>0</v>
      </c>
      <c r="FS2013" s="26" t="str">
        <f>('Inteligencia emocional'!A1360)</f>
        <v>0</v>
      </c>
      <c r="FT2013" s="15" t="str">
        <f>('Inteligencia emocional'!U1360)</f>
        <v>0</v>
      </c>
      <c r="FU2013" s="31" t="str">
        <f>('Inteligencia emocional'!U1366)</f>
        <v>0</v>
      </c>
      <c r="GB2013" s="26" t="str">
        <f>('Inteligencia emocional'!A1360)</f>
        <v>0</v>
      </c>
      <c r="GC2013" s="15" t="str">
        <f>('Inteligencia emocional'!V1360)</f>
        <v>0</v>
      </c>
      <c r="GD2013" s="31" t="str">
        <f>('Inteligencia emocional'!V1366)</f>
        <v>0</v>
      </c>
      <c r="GK2013" s="26" t="str">
        <f>('Inteligencia emocional'!A1360)</f>
        <v>0</v>
      </c>
      <c r="GL2013" s="15" t="str">
        <f>('Inteligencia emocional'!W1360)</f>
        <v>0</v>
      </c>
      <c r="GM2013" s="31" t="str">
        <f>('Inteligencia emocional'!W1366)</f>
        <v>0</v>
      </c>
      <c r="GT2013" s="26" t="str">
        <f>('Inteligencia emocional'!A1360)</f>
        <v>0</v>
      </c>
      <c r="GU2013" s="15" t="str">
        <f>('Inteligencia emocional'!X1360)</f>
        <v>0</v>
      </c>
      <c r="GV2013" s="31" t="str">
        <f>('Inteligencia emocional'!X1366)</f>
        <v>0</v>
      </c>
      <c r="HC2013" s="26" t="str">
        <f>('Inteligencia emocional'!A1360)</f>
        <v>0</v>
      </c>
      <c r="HD2013" s="15" t="str">
        <f>('Inteligencia emocional'!Y1360)</f>
        <v>0</v>
      </c>
      <c r="HE2013" s="31" t="str">
        <f>('Inteligencia emocional'!Y1366)</f>
        <v>0</v>
      </c>
    </row>
    <row r="2046" spans="1:215">
      <c r="D2046" t="str">
        <f>IF(E2046=F2008,D2008,IF(E2046=F2009,D2009,IF(E2046=F2010,D2010,IF(E2046=F2011,D2011,IF(E2046=F2012,D2012,"ALGO ESTA MAL")))))</f>
        <v>0</v>
      </c>
      <c r="E2046" s="34" t="str">
        <f>LARGE($F$2008:$F$2012,C1046)</f>
        <v>0</v>
      </c>
      <c r="F2046" s="34" t="str">
        <f>IF(E2046&gt;0.1%,E2046,"Algo Esta Mal")</f>
        <v>0</v>
      </c>
      <c r="G2046" s="33" t="str">
        <f>IF(F2046=E2046,D2046," ")</f>
        <v>0</v>
      </c>
      <c r="M2046" t="str">
        <f>IF(N2046=O2008,M2008,IF(N2046=O2009,M2009,IF(N2046=O2010,M2010,IF(N2046=O2011,M2011,IF(N2046=O2012,M2012,"ALGO ESTA MAL")))))</f>
        <v>0</v>
      </c>
      <c r="N2046" s="34" t="str">
        <f>LARGE($O$2008:$O$2012,L1046)</f>
        <v>0</v>
      </c>
      <c r="O2046" s="34" t="str">
        <f>IF(N2046&gt;0.1%,N2046,"Algo Esta Mal")</f>
        <v>0</v>
      </c>
      <c r="P2046" s="33" t="str">
        <f>IF(O2046=N2046,M2046," ")</f>
        <v>0</v>
      </c>
      <c r="V2046" t="str">
        <f>IF(W2046=X2008,V2008,IF(W2046=X2009,V2009,IF(W2046=X2010,V2010,IF(W2046=X2011,V2011,IF(W2046=X2012,V2012,"ALGO ESTA MAL")))))</f>
        <v>0</v>
      </c>
      <c r="W2046" s="34" t="str">
        <f>LARGE($X$2008:$X$2012,U1046)</f>
        <v>0</v>
      </c>
      <c r="X2046" s="34" t="str">
        <f>IF(W2046&gt;0.1%,W2046,"Algo Esta Mal")</f>
        <v>0</v>
      </c>
      <c r="Y2046" s="33" t="str">
        <f>IF(X2046=W2046,V2046," ")</f>
        <v>0</v>
      </c>
      <c r="AE2046" t="str">
        <f>IF(AF2046=AG2008,AE2008,IF(AF2046=AG2009,AE2009,IF(AF2046=AG2010,AE2010,IF(AF2046=AG2011,AE2011,IF(AF2046=AG2012,AE2012,"ALGO ESTA MAL")))))</f>
        <v>0</v>
      </c>
      <c r="AF2046" s="34" t="str">
        <f>LARGE($AG$2008:$AG$2012,AD1046)</f>
        <v>0</v>
      </c>
      <c r="AG2046" s="34" t="str">
        <f>IF(AF2046&gt;0.1%,AF2046,"Algo Esta Mal")</f>
        <v>0</v>
      </c>
      <c r="AH2046" s="33" t="str">
        <f>IF(AG2046=AF2046,AE2046," ")</f>
        <v>0</v>
      </c>
      <c r="AN2046" t="str">
        <f>IF(AO2046=AP2008,AN2008,IF(AO2046=AP2009,AN2009,IF(AO2046=AP2010,AN2010,IF(AO2046=AP2011,AN2011,IF(AO2046=AP2012,AN2012,"ALGO ESTA MAL")))))</f>
        <v>0</v>
      </c>
      <c r="AO2046" s="34" t="str">
        <f>LARGE($AP$2008:$AP$2012,AM1046)</f>
        <v>0</v>
      </c>
      <c r="AP2046" s="34" t="str">
        <f>IF(AO2046&gt;0.1%,AO2046,"Algo Esta Mal")</f>
        <v>0</v>
      </c>
      <c r="AQ2046" s="33" t="str">
        <f>IF(AP2046=AO2046,AN2046," ")</f>
        <v>0</v>
      </c>
      <c r="AW2046" t="str">
        <f>IF(AX2046=AY2008,AW2008,IF(AX2046=AY2009,AW2009,IF(AX2046=AY2010,AW2010,IF(AX2046=AY2011,AW2011,IF(AX2046=AY2012,AW2012,"ALGO ESTA MAL")))))</f>
        <v>0</v>
      </c>
      <c r="AX2046" s="34" t="str">
        <f>LARGE($AY$2008:$AY$2012,AV1046)</f>
        <v>0</v>
      </c>
      <c r="AY2046" s="34" t="str">
        <f>IF(AX2046&gt;0.1%,AX2046,"Algo Esta Mal")</f>
        <v>0</v>
      </c>
      <c r="AZ2046" s="33" t="str">
        <f>IF(AY2046=AX2046,AW2046," ")</f>
        <v>0</v>
      </c>
      <c r="BF2046" t="str">
        <f>IF(BG2046=BH2008,BF2008,IF(BG2046=BH2009,BF2009,IF(BG2046=BH2010,BF2010,IF(BG2046=BH2011,BF2011,IF(BG2046=BH2012,BF2012,"ALGO ESTA MAL")))))</f>
        <v>0</v>
      </c>
      <c r="BG2046" s="34" t="str">
        <f>LARGE($BH$2008:$BH$2012,BE1046)</f>
        <v>0</v>
      </c>
      <c r="BH2046" s="34" t="str">
        <f>IF(BG2046&gt;0.1%,BG2046,"Algo Esta Mal")</f>
        <v>0</v>
      </c>
      <c r="BI2046" s="33" t="str">
        <f>IF(BH2046=BG2046,BF2046," ")</f>
        <v>0</v>
      </c>
      <c r="BO2046" t="str">
        <f>IF(BP2046=BQ2008,BO2008,IF(BP2046=BQ2009,BO2009,IF(BP2046=BQ2010,BO2010,IF(BP2046=BQ2011,BO2011,IF(BP2046=BQ2012,BO2012,"ALGO ESTA MAL")))))</f>
        <v>0</v>
      </c>
      <c r="BP2046" s="34" t="str">
        <f>LARGE($BQ$2008:$BQ$2012,BN1046)</f>
        <v>0</v>
      </c>
      <c r="BQ2046" s="34" t="str">
        <f>IF(BP2046&gt;0.1%,BP2046,"Algo Esta Mal")</f>
        <v>0</v>
      </c>
      <c r="BR2046" s="33" t="str">
        <f>IF(BQ2046=BP2046,BO2046," ")</f>
        <v>0</v>
      </c>
      <c r="BX2046" t="str">
        <f>IF(BY2046=BZ2008,BX2008,IF(BY2046=BZ2009,BX2009,IF(BY2046=BZ2010,BX2010,IF(BY2046=BZ2011,BX2011,IF(BY2046=BZ2012,BX2012,"ALGO ESTA MAL")))))</f>
        <v>0</v>
      </c>
      <c r="BY2046" s="34" t="str">
        <f>LARGE($BZ$2008:$BZ$2012,BW1046)</f>
        <v>0</v>
      </c>
      <c r="BZ2046" s="34" t="str">
        <f>IF(BY2046&gt;0.1%,BY2046,"Algo Esta Mal")</f>
        <v>0</v>
      </c>
      <c r="CA2046" s="33" t="str">
        <f>IF(BZ2046=BY2046,BX2046," ")</f>
        <v>0</v>
      </c>
      <c r="CG2046" t="str">
        <f>IF(CH2046=CI2008,CG2008,IF(CH2046=CI2009,CG2009,IF(CH2046=CI2010,CG2010,IF(CH2046=CI2011,CG2011,IF(CH2046=CI2012,CG2012,"ALGO ESTA MAL")))))</f>
        <v>0</v>
      </c>
      <c r="CH2046" s="34" t="str">
        <f>LARGE($CI$2008:$CI$2012,CF1046)</f>
        <v>0</v>
      </c>
      <c r="CI2046" s="34" t="str">
        <f>IF(CH2046&gt;0.1%,CH2046,"Algo Esta Mal")</f>
        <v>0</v>
      </c>
      <c r="CJ2046" s="33" t="str">
        <f>IF(CI2046=CH2046,CG2046," ")</f>
        <v>0</v>
      </c>
      <c r="CP2046" t="str">
        <f>IF(CQ2046=CR2008,CP2008,IF(CQ2046=CR2009,CP2009,IF(CQ2046=CR2010,CP2010,IF(CQ2046=CR2011,CP2011,IF(CQ2046=CR2012,CP2012,"ALGO ESTA MAL")))))</f>
        <v>0</v>
      </c>
      <c r="CQ2046" s="34" t="str">
        <f>LARGE($CR$2008:$CR$2012,CO1046)</f>
        <v>0</v>
      </c>
      <c r="CR2046" s="34" t="str">
        <f>IF(CQ2046&gt;0.1%,CQ2046,"Algo Esta Mal")</f>
        <v>0</v>
      </c>
      <c r="CS2046" s="33" t="str">
        <f>IF(CR2046=CQ2046,CP2046," ")</f>
        <v>0</v>
      </c>
      <c r="CY2046" t="str">
        <f>IF(CZ2046=DA2008,CY2008,IF(CZ2046=DA2009,CY2009,IF(CZ2046=DA2010,CY2010,IF(CZ2046=DA2011,CY2011,IF(CZ2046=DA2012,CY2012,"ALGO ESTA MAL")))))</f>
        <v>0</v>
      </c>
      <c r="CZ2046" s="34" t="str">
        <f>LARGE($DA$2008:$DA$2012,CX1046)</f>
        <v>0</v>
      </c>
      <c r="DA2046" s="34" t="str">
        <f>IF(CZ2046&gt;0.1%,CZ2046,"Algo Esta Mal")</f>
        <v>0</v>
      </c>
      <c r="DB2046" s="33" t="str">
        <f>IF(DA2046=CZ2046,CY2046," ")</f>
        <v>0</v>
      </c>
      <c r="DH2046" t="str">
        <f>IF(DI2046=DJ2008,DH2008,IF(DI2046=DJ2009,DH2009,IF(DI2046=DJ2010,DH2010,IF(DI2046=DJ2011,DH2011,IF(DI2046=DJ2012,DH2012,"ALGO ESTA MAL")))))</f>
        <v>0</v>
      </c>
      <c r="DI2046" s="34" t="str">
        <f>LARGE($DJ$2008:$DJ$2012,DG1046)</f>
        <v>0</v>
      </c>
      <c r="DJ2046" s="34" t="str">
        <f>IF(DI2046&gt;0.1%,DI2046,"Algo Esta Mal")</f>
        <v>0</v>
      </c>
      <c r="DK2046" s="33" t="str">
        <f>IF(DJ2046=DI2046,DH2046," ")</f>
        <v>0</v>
      </c>
      <c r="DQ2046" t="str">
        <f>IF(DR2046=DS2008,DQ2008,IF(DR2046=DS2009,DQ2009,IF(DR2046=DS2010,DQ2010,IF(DR2046=DS2011,DQ2011,IF(DR2046=DS2012,DQ2012,"ALGO ESTA MAL")))))</f>
        <v>0</v>
      </c>
      <c r="DR2046" s="34" t="str">
        <f>LARGE($DS$2008:$DS$2012,DP1046)</f>
        <v>0</v>
      </c>
      <c r="DS2046" s="34" t="str">
        <f>IF(DR2046&gt;0.1%,DR2046,"Algo Esta Mal")</f>
        <v>0</v>
      </c>
      <c r="DT2046" s="33" t="str">
        <f>IF(DS2046=DR2046,DQ2046," ")</f>
        <v>0</v>
      </c>
      <c r="DZ2046" t="str">
        <f>IF(EA2046=EB2008,DZ2008,IF(EA2046=EB2009,DZ2009,IF(EA2046=EB2010,DZ2010,IF(EA2046=EB2011,DZ2011,IF(EA2046=EB2012,DZ2012,"ALGO ESTA MAL")))))</f>
        <v>0</v>
      </c>
      <c r="EA2046" s="34" t="str">
        <f>LARGE($EB$2008:$EB$2012,DY1046)</f>
        <v>0</v>
      </c>
      <c r="EB2046" s="34" t="str">
        <f>IF(EA2046&gt;0.1%,EA2046,"Algo Esta Mal")</f>
        <v>0</v>
      </c>
      <c r="EC2046" s="33" t="str">
        <f>IF(EB2046=EA2046,DZ2046," ")</f>
        <v>0</v>
      </c>
      <c r="EI2046" t="str">
        <f>IF(EJ2046=EK2008,EI2008,IF(EJ2046=EK2009,EI2009,IF(EJ2046=EK2010,EI2010,IF(EJ2046=EK2011,EI2011,IF(EJ2046=EK2012,EI2012,"ALGO ESTA MAL")))))</f>
        <v>0</v>
      </c>
      <c r="EJ2046" s="34" t="str">
        <f>LARGE($EK$2008:$EK$2012,EH1046)</f>
        <v>0</v>
      </c>
      <c r="EK2046" s="34" t="str">
        <f>IF(EJ2046&gt;0.1%,EJ2046,"Algo Esta Mal")</f>
        <v>0</v>
      </c>
      <c r="EL2046" s="33" t="str">
        <f>IF(EK2046=EJ2046,EI2046," ")</f>
        <v>0</v>
      </c>
      <c r="ER2046" t="str">
        <f>IF(ES2046=ET2008,ER2008,IF(ES2046=ET2009,ER2009,IF(ES2046=ET2010,ER2010,IF(ES2046=ET2011,ER2011,IF(ES2046=ET2012,ER2012,"ALGO ESTA MAL")))))</f>
        <v>0</v>
      </c>
      <c r="ES2046" s="34" t="str">
        <f>LARGE($ET$2008:$ET$2012,EQ1046)</f>
        <v>0</v>
      </c>
      <c r="ET2046" s="34" t="str">
        <f>IF(ES2046&gt;0.1%,ES2046,"Algo Esta Mal")</f>
        <v>0</v>
      </c>
      <c r="EU2046" s="33" t="str">
        <f>IF(ET2046=ES2046,ER2046," ")</f>
        <v>0</v>
      </c>
      <c r="FA2046" t="str">
        <f>IF(FB2046=FC2008,FA2008,IF(FB2046=FC2009,FA2009,IF(FB2046=FC2010,FA2010,IF(FB2046=FC2011,FA2011,IF(FB2046=FC2012,FA2012,"ALGO ESTA MAL")))))</f>
        <v>0</v>
      </c>
      <c r="FB2046" s="34" t="str">
        <f>LARGE($FC$2008:$FC$2012,EZ1046)</f>
        <v>0</v>
      </c>
      <c r="FC2046" s="34" t="str">
        <f>IF(FB2046&gt;0.1%,FB2046,"Algo Esta Mal")</f>
        <v>0</v>
      </c>
      <c r="FD2046" s="33" t="str">
        <f>IF(FC2046=FB2046,FA2046," ")</f>
        <v>0</v>
      </c>
      <c r="FJ2046" t="str">
        <f>IF(FK2046=FL2008,FJ2008,IF(FK2046=FL2009,FJ2009,IF(FK2046=FL2010,FJ2010,IF(FK2046=FL2011,FJ2011,IF(FK2046=FL2012,FJ2012,"ALGO ESTA MAL")))))</f>
        <v>0</v>
      </c>
      <c r="FK2046" s="34" t="str">
        <f>LARGE($FL$2008:$FL$2012,FI1046)</f>
        <v>0</v>
      </c>
      <c r="FL2046" s="34" t="str">
        <f>IF(FK2046&gt;0.1%,FK2046,"Algo Esta Mal")</f>
        <v>0</v>
      </c>
      <c r="FM2046" s="33" t="str">
        <f>IF(FL2046=FK2046,FJ2046," ")</f>
        <v>0</v>
      </c>
      <c r="FS2046" t="str">
        <f>IF(FT2046=FU2008,FS2008,IF(FT2046=FU2009,FS2009,IF(FT2046=FU2010,FS2010,IF(FT2046=FU2011,FS2011,IF(FT2046=FU2012,FS2012,"ALGO ESTA MAL")))))</f>
        <v>0</v>
      </c>
      <c r="FT2046" s="34" t="str">
        <f>LARGE($FU$2008:$FU$2012,FR1046)</f>
        <v>0</v>
      </c>
      <c r="FU2046" s="34" t="str">
        <f>IF(FT2046&gt;0.1%,FT2046,"Algo Esta Mal")</f>
        <v>0</v>
      </c>
      <c r="FV2046" s="33" t="str">
        <f>IF(FU2046=FT2046,FS2046," ")</f>
        <v>0</v>
      </c>
      <c r="GB2046" t="str">
        <f>IF(GC2046=GD2008,GB2008,IF(GC2046=GD2009,GB2009,IF(GC2046=GD2010,GB2010,IF(GC2046=GD2011,GB2011,IF(GC2046=GD2012,GB2012,"ALGO ESTA MAL")))))</f>
        <v>0</v>
      </c>
      <c r="GC2046" s="34" t="str">
        <f>LARGE($GD$2008:$GD$2012,GA1046)</f>
        <v>0</v>
      </c>
      <c r="GD2046" s="34" t="str">
        <f>IF(GC2046&gt;0.1%,GC2046,"Algo Esta Mal")</f>
        <v>0</v>
      </c>
      <c r="GE2046" s="33" t="str">
        <f>IF(GD2046=GC2046,GB2046," ")</f>
        <v>0</v>
      </c>
      <c r="GK2046" t="str">
        <f>IF(GL2046=GM2008,GK2008,IF(GL2046=GM2009,GK2009,IF(GL2046=GM2010,GK2010,IF(GL2046=GM2011,GK2011,IF(GL2046=GM2012,GK2012,"ALGO ESTA MAL")))))</f>
        <v>0</v>
      </c>
      <c r="GL2046" s="34" t="str">
        <f>LARGE($GM$2008:$GM$2012,GJ1046)</f>
        <v>0</v>
      </c>
      <c r="GM2046" s="34" t="str">
        <f>IF(GL2046&gt;0.1%,GL2046,"Algo Esta Mal")</f>
        <v>0</v>
      </c>
      <c r="GN2046" s="33" t="str">
        <f>IF(GM2046=GL2046,GK2046," ")</f>
        <v>0</v>
      </c>
      <c r="GT2046" t="str">
        <f>IF(GU2046=GV2008,GT2008,IF(GU2046=GV2009,GT2009,IF(GU2046=GV2010,GT2010,IF(GU2046=GV2011,GT2011,IF(GU2046=GV2012,GT2012,"ALGO ESTA MAL")))))</f>
        <v>0</v>
      </c>
      <c r="GU2046" s="34" t="str">
        <f>LARGE($GV$2008:$GV$2012,GS1046)</f>
        <v>0</v>
      </c>
      <c r="GV2046" s="34" t="str">
        <f>IF(GU2046&gt;0.1%,GU2046,"Algo Esta Mal")</f>
        <v>0</v>
      </c>
      <c r="GW2046" s="33" t="str">
        <f>IF(GV2046=GU2046,GT2046," ")</f>
        <v>0</v>
      </c>
      <c r="HC2046" t="str">
        <f>IF(HD2046=HE2008,HC2008,IF(HD2046=HE2009,HC2009,IF(HD2046=HE2010,HC2010,IF(HD2046=HE2011,HC2011,IF(HD2046=HE2012,HC2012,"ALGO ESTA MAL")))))</f>
        <v>0</v>
      </c>
      <c r="HD2046" s="34" t="str">
        <f>LARGE($HE$2008:$HE$2012,HB1046)</f>
        <v>0</v>
      </c>
      <c r="HE2046" s="34" t="str">
        <f>IF(HD2046&gt;0.1%,HD2046,"Algo Esta Mal")</f>
        <v>0</v>
      </c>
      <c r="HF2046" s="33" t="str">
        <f>IF(HE2046=HD2046,HC2046," ")</f>
        <v>0</v>
      </c>
    </row>
    <row r="2047" spans="1:215">
      <c r="D2047" t="str">
        <f>IF(E2047=F2008,D2008,IF(E2047=F2009,D2009,IF(E2047=F2010,D2010,IF(E2047=F2011,D2011,IF(E2047=F2012,D2012,"ALGO ESTA MAL")))))</f>
        <v>0</v>
      </c>
      <c r="E2047" s="34" t="str">
        <f>LARGE($F$2008:$F$2012,C1047)</f>
        <v>0</v>
      </c>
      <c r="F2047" s="34" t="str">
        <f>IF(E2047&gt;0.1%,E2047,"Algo Esta Mal")</f>
        <v>0</v>
      </c>
      <c r="G2047" s="33" t="str">
        <f>IF(F2047=E2047,D2047," ")</f>
        <v>0</v>
      </c>
      <c r="M2047" t="str">
        <f>IF(N2047=O2008,M2008,IF(N2047=O2009,M2009,IF(N2047=O2010,M2010,IF(N2047=O2011,M2011,IF(N2047=O2012,M2012,"ALGO ESTA MAL")))))</f>
        <v>0</v>
      </c>
      <c r="N2047" s="34" t="str">
        <f>LARGE($O$2008:$O$2012,L1047)</f>
        <v>0</v>
      </c>
      <c r="O2047" s="34" t="str">
        <f>IF(N2047&gt;0.1%,N2047,"Algo Esta Mal")</f>
        <v>0</v>
      </c>
      <c r="P2047" s="33" t="str">
        <f>IF(O2047=N2047,M2047," ")</f>
        <v>0</v>
      </c>
      <c r="V2047" t="str">
        <f>IF(W2047=X2008,V2008,IF(W2047=X2009,V2009,IF(W2047=X2010,V2010,IF(W2047=X2011,V2011,IF(W2047=X2012,V2012,"ALGO ESTA MAL")))))</f>
        <v>0</v>
      </c>
      <c r="W2047" s="34" t="str">
        <f>LARGE($X$2008:$X$2012,U1047)</f>
        <v>0</v>
      </c>
      <c r="X2047" s="34" t="str">
        <f>IF(W2047&gt;0.1%,W2047,"Algo Esta Mal")</f>
        <v>0</v>
      </c>
      <c r="Y2047" s="33" t="str">
        <f>IF(X2047=W2047,V2047," ")</f>
        <v>0</v>
      </c>
      <c r="AE2047" t="str">
        <f>IF(AF2047=AG2008,AE2008,IF(AF2047=AG2009,AE2009,IF(AF2047=AG2010,AE2010,IF(AF2047=AG2011,AE2011,IF(AF2047=AG2012,AE2012,"ALGO ESTA MAL")))))</f>
        <v>0</v>
      </c>
      <c r="AF2047" s="34" t="str">
        <f>LARGE($AG$2008:$AG$2012,AD1047)</f>
        <v>0</v>
      </c>
      <c r="AG2047" s="34" t="str">
        <f>IF(AF2047&gt;0.1%,AF2047,"Algo Esta Mal")</f>
        <v>0</v>
      </c>
      <c r="AH2047" s="33" t="str">
        <f>IF(AG2047=AF2047,AE2047," ")</f>
        <v>0</v>
      </c>
      <c r="AN2047" t="str">
        <f>IF(AO2047=AP2008,AN2008,IF(AO2047=AP2009,AN2009,IF(AO2047=AP2010,AN2010,IF(AO2047=AP2011,AN2011,IF(AO2047=AP2012,AN2012,"ALGO ESTA MAL")))))</f>
        <v>0</v>
      </c>
      <c r="AO2047" s="34" t="str">
        <f>LARGE($AP$2008:$AP$2012,AM1047)</f>
        <v>0</v>
      </c>
      <c r="AP2047" s="34" t="str">
        <f>IF(AO2047&gt;0.1%,AO2047,"Algo Esta Mal")</f>
        <v>0</v>
      </c>
      <c r="AQ2047" s="33" t="str">
        <f>IF(AP2047=AO2047,AN2047," ")</f>
        <v>0</v>
      </c>
      <c r="AW2047" t="str">
        <f>IF(AX2047=AY2008,AW2008,IF(AX2047=AY2009,AW2009,IF(AX2047=AY2010,AW2010,IF(AX2047=AY2011,AW2011,IF(AX2047=AY2012,AW2012,"ALGO ESTA MAL")))))</f>
        <v>0</v>
      </c>
      <c r="AX2047" s="34" t="str">
        <f>LARGE($AY$2008:$AY$2012,AV1047)</f>
        <v>0</v>
      </c>
      <c r="AY2047" s="34" t="str">
        <f>IF(AX2047&gt;0.1%,AX2047,"Algo Esta Mal")</f>
        <v>0</v>
      </c>
      <c r="AZ2047" s="33" t="str">
        <f>IF(AY2047=AX2047,AW2047," ")</f>
        <v>0</v>
      </c>
      <c r="BF2047" t="str">
        <f>IF(BG2047=BH2008,BF2008,IF(BG2047=BH2009,BF2009,IF(BG2047=BH2010,BF2010,IF(BG2047=BH2011,BF2011,IF(BG2047=BH2012,BF2012,"ALGO ESTA MAL")))))</f>
        <v>0</v>
      </c>
      <c r="BG2047" s="34" t="str">
        <f>LARGE($BH$2008:$BH$2012,BE1047)</f>
        <v>0</v>
      </c>
      <c r="BH2047" s="34" t="str">
        <f>IF(BG2047&gt;0.1%,BG2047,"Algo Esta Mal")</f>
        <v>0</v>
      </c>
      <c r="BI2047" s="33" t="str">
        <f>IF(BH2047=BG2047,BF2047," ")</f>
        <v>0</v>
      </c>
      <c r="BO2047" t="str">
        <f>IF(BP2047=BQ2008,BO2008,IF(BP2047=BQ2009,BO2009,IF(BP2047=BQ2010,BO2010,IF(BP2047=BQ2011,BO2011,IF(BP2047=BQ2012,BO2012,"ALGO ESTA MAL")))))</f>
        <v>0</v>
      </c>
      <c r="BP2047" s="34" t="str">
        <f>LARGE($BQ$2008:$BQ$2012,BN1047)</f>
        <v>0</v>
      </c>
      <c r="BQ2047" s="34" t="str">
        <f>IF(BP2047&gt;0.1%,BP2047,"Algo Esta Mal")</f>
        <v>0</v>
      </c>
      <c r="BR2047" s="33" t="str">
        <f>IF(BQ2047=BP2047,BO2047," ")</f>
        <v>0</v>
      </c>
      <c r="BX2047" t="str">
        <f>IF(BY2047=BZ2008,BX2008,IF(BY2047=BZ2009,BX2009,IF(BY2047=BZ2010,BX2010,IF(BY2047=BZ2011,BX2011,IF(BY2047=BZ2012,BX2012,"ALGO ESTA MAL")))))</f>
        <v>0</v>
      </c>
      <c r="BY2047" s="34" t="str">
        <f>LARGE($BZ$2008:$BZ$2012,BW1047)</f>
        <v>0</v>
      </c>
      <c r="BZ2047" s="34" t="str">
        <f>IF(BY2047&gt;0.1%,BY2047,"Algo Esta Mal")</f>
        <v>0</v>
      </c>
      <c r="CA2047" s="33" t="str">
        <f>IF(BZ2047=BY2047,BX2047," ")</f>
        <v>0</v>
      </c>
      <c r="CG2047" t="str">
        <f>IF(CH2047=CI2008,CG2008,IF(CH2047=CI2009,CG2009,IF(CH2047=CI2010,CG2010,IF(CH2047=CI2011,CG2011,IF(CH2047=CI2012,CG2012,"ALGO ESTA MAL")))))</f>
        <v>0</v>
      </c>
      <c r="CH2047" s="34" t="str">
        <f>LARGE($CI$2008:$CI$2012,CF1047)</f>
        <v>0</v>
      </c>
      <c r="CI2047" s="34" t="str">
        <f>IF(CH2047&gt;0.1%,CH2047,"Algo Esta Mal")</f>
        <v>0</v>
      </c>
      <c r="CJ2047" s="33" t="str">
        <f>IF(CI2047=CH2047,CG2047," ")</f>
        <v>0</v>
      </c>
      <c r="CP2047" t="str">
        <f>IF(CQ2047=CR2008,CP2008,IF(CQ2047=CR2009,CP2009,IF(CQ2047=CR2010,CP2010,IF(CQ2047=CR2011,CP2011,IF(CQ2047=CR2012,CP2012,"ALGO ESTA MAL")))))</f>
        <v>0</v>
      </c>
      <c r="CQ2047" s="34" t="str">
        <f>LARGE($CR$2008:$CR$2012,CO1047)</f>
        <v>0</v>
      </c>
      <c r="CR2047" s="34" t="str">
        <f>IF(CQ2047&gt;0.1%,CQ2047,"Algo Esta Mal")</f>
        <v>0</v>
      </c>
      <c r="CS2047" s="33" t="str">
        <f>IF(CR2047=CQ2047,CP2047," ")</f>
        <v>0</v>
      </c>
      <c r="CY2047" t="str">
        <f>IF(CZ2047=DA2008,CY2008,IF(CZ2047=DA2009,CY2009,IF(CZ2047=DA2010,CY2010,IF(CZ2047=DA2011,CY2011,IF(CZ2047=DA2012,CY2012,"ALGO ESTA MAL")))))</f>
        <v>0</v>
      </c>
      <c r="CZ2047" s="34" t="str">
        <f>LARGE($DA$2008:$DA$2012,CX1047)</f>
        <v>0</v>
      </c>
      <c r="DA2047" s="34" t="str">
        <f>IF(CZ2047&gt;0.1%,CZ2047,"Algo Esta Mal")</f>
        <v>0</v>
      </c>
      <c r="DB2047" s="33" t="str">
        <f>IF(DA2047=CZ2047,CY2047," ")</f>
        <v>0</v>
      </c>
      <c r="DH2047" t="str">
        <f>IF(DI2047=DJ2008,DH2008,IF(DI2047=DJ2009,DH2009,IF(DI2047=DJ2010,DH2010,IF(DI2047=DJ2011,DH2011,IF(DI2047=DJ2012,DH2012,"ALGO ESTA MAL")))))</f>
        <v>0</v>
      </c>
      <c r="DI2047" s="34" t="str">
        <f>LARGE($DJ$2008:$DJ$2012,DG1047)</f>
        <v>0</v>
      </c>
      <c r="DJ2047" s="34" t="str">
        <f>IF(DI2047&gt;0.1%,DI2047,"Algo Esta Mal")</f>
        <v>0</v>
      </c>
      <c r="DK2047" s="33" t="str">
        <f>IF(DJ2047=DI2047,DH2047," ")</f>
        <v>0</v>
      </c>
      <c r="DQ2047" t="str">
        <f>IF(DR2047=DS2008,DQ2008,IF(DR2047=DS2009,DQ2009,IF(DR2047=DS2010,DQ2010,IF(DR2047=DS2011,DQ2011,IF(DR2047=DS2012,DQ2012,"ALGO ESTA MAL")))))</f>
        <v>0</v>
      </c>
      <c r="DR2047" s="34" t="str">
        <f>LARGE($DS$2008:$DS$2012,DP1047)</f>
        <v>0</v>
      </c>
      <c r="DS2047" s="34" t="str">
        <f>IF(DR2047&gt;0.1%,DR2047,"Algo Esta Mal")</f>
        <v>0</v>
      </c>
      <c r="DT2047" s="33" t="str">
        <f>IF(DS2047=DR2047,DQ2047," ")</f>
        <v>0</v>
      </c>
      <c r="DZ2047" t="str">
        <f>IF(EA2047=EB2008,DZ2008,IF(EA2047=EB2009,DZ2009,IF(EA2047=EB2010,DZ2010,IF(EA2047=EB2011,DZ2011,IF(EA2047=EB2012,DZ2012,"ALGO ESTA MAL")))))</f>
        <v>0</v>
      </c>
      <c r="EA2047" s="34" t="str">
        <f>LARGE($EB$2008:$EB$2012,DY1047)</f>
        <v>0</v>
      </c>
      <c r="EB2047" s="34" t="str">
        <f>IF(EA2047&gt;0.1%,EA2047,"Algo Esta Mal")</f>
        <v>0</v>
      </c>
      <c r="EC2047" s="33" t="str">
        <f>IF(EB2047=EA2047,DZ2047," ")</f>
        <v>0</v>
      </c>
      <c r="EI2047" t="str">
        <f>IF(EJ2047=EK2008,EI2008,IF(EJ2047=EK2009,EI2009,IF(EJ2047=EK2010,EI2010,IF(EJ2047=EK2011,EI2011,IF(EJ2047=EK2012,EI2012,"ALGO ESTA MAL")))))</f>
        <v>0</v>
      </c>
      <c r="EJ2047" s="34" t="str">
        <f>LARGE($EK$2008:$EK$2012,EH1047)</f>
        <v>0</v>
      </c>
      <c r="EK2047" s="34" t="str">
        <f>IF(EJ2047&gt;0.1%,EJ2047,"Algo Esta Mal")</f>
        <v>0</v>
      </c>
      <c r="EL2047" s="33" t="str">
        <f>IF(EK2047=EJ2047,EI2047," ")</f>
        <v>0</v>
      </c>
      <c r="ER2047" t="str">
        <f>IF(ES2047=ET2008,ER2008,IF(ES2047=ET2009,ER2009,IF(ES2047=ET2010,ER2010,IF(ES2047=ET2011,ER2011,IF(ES2047=ET2012,ER2012,"ALGO ESTA MAL")))))</f>
        <v>0</v>
      </c>
      <c r="ES2047" s="34" t="str">
        <f>LARGE($ET$2008:$ET$2012,EQ1047)</f>
        <v>0</v>
      </c>
      <c r="ET2047" s="34" t="str">
        <f>IF(ES2047&gt;0.1%,ES2047,"Algo Esta Mal")</f>
        <v>0</v>
      </c>
      <c r="EU2047" s="33" t="str">
        <f>IF(ET2047=ES2047,ER2047," ")</f>
        <v>0</v>
      </c>
      <c r="FA2047" t="str">
        <f>IF(FB2047=FC2008,FA2008,IF(FB2047=FC2009,FA2009,IF(FB2047=FC2010,FA2010,IF(FB2047=FC2011,FA2011,IF(FB2047=FC2012,FA2012,"ALGO ESTA MAL")))))</f>
        <v>0</v>
      </c>
      <c r="FB2047" s="34" t="str">
        <f>LARGE($FC$2008:$FC$2012,EZ1047)</f>
        <v>0</v>
      </c>
      <c r="FC2047" s="34" t="str">
        <f>IF(FB2047&gt;0.1%,FB2047,"Algo Esta Mal")</f>
        <v>0</v>
      </c>
      <c r="FD2047" s="33" t="str">
        <f>IF(FC2047=FB2047,FA2047," ")</f>
        <v>0</v>
      </c>
      <c r="FJ2047" t="str">
        <f>IF(FK2047=FL2008,FJ2008,IF(FK2047=FL2009,FJ2009,IF(FK2047=FL2010,FJ2010,IF(FK2047=FL2011,FJ2011,IF(FK2047=FL2012,FJ2012,"ALGO ESTA MAL")))))</f>
        <v>0</v>
      </c>
      <c r="FK2047" s="34" t="str">
        <f>LARGE($FL$2008:$FL$2012,FI1047)</f>
        <v>0</v>
      </c>
      <c r="FL2047" s="34" t="str">
        <f>IF(FK2047&gt;0.1%,FK2047,"Algo Esta Mal")</f>
        <v>0</v>
      </c>
      <c r="FM2047" s="33" t="str">
        <f>IF(FL2047=FK2047,FJ2047," ")</f>
        <v>0</v>
      </c>
      <c r="FS2047" t="str">
        <f>IF(FT2047=FU2008,FS2008,IF(FT2047=FU2009,FS2009,IF(FT2047=FU2010,FS2010,IF(FT2047=FU2011,FS2011,IF(FT2047=FU2012,FS2012,"ALGO ESTA MAL")))))</f>
        <v>0</v>
      </c>
      <c r="FT2047" s="34" t="str">
        <f>LARGE($FU$2008:$FU$2012,FR1047)</f>
        <v>0</v>
      </c>
      <c r="FU2047" s="34" t="str">
        <f>IF(FT2047&gt;0.1%,FT2047,"Algo Esta Mal")</f>
        <v>0</v>
      </c>
      <c r="FV2047" s="33" t="str">
        <f>IF(FU2047=FT2047,FS2047," ")</f>
        <v>0</v>
      </c>
      <c r="GB2047" t="str">
        <f>IF(GC2047=GD2008,GB2008,IF(GC2047=GD2009,GB2009,IF(GC2047=GD2010,GB2010,IF(GC2047=GD2011,GB2011,IF(GC2047=GD2012,GB2012,"ALGO ESTA MAL")))))</f>
        <v>0</v>
      </c>
      <c r="GC2047" s="34" t="str">
        <f>LARGE($GD$2008:$GD$2012,GA1047)</f>
        <v>0</v>
      </c>
      <c r="GD2047" s="34" t="str">
        <f>IF(GC2047&gt;0.1%,GC2047,"Algo Esta Mal")</f>
        <v>0</v>
      </c>
      <c r="GE2047" s="33" t="str">
        <f>IF(GD2047=GC2047,GB2047," ")</f>
        <v>0</v>
      </c>
      <c r="GK2047" t="str">
        <f>IF(GL2047=GM2008,GK2008,IF(GL2047=GM2009,GK2009,IF(GL2047=GM2010,GK2010,IF(GL2047=GM2011,GK2011,IF(GL2047=GM2012,GK2012,"ALGO ESTA MAL")))))</f>
        <v>0</v>
      </c>
      <c r="GL2047" s="34" t="str">
        <f>LARGE($GM$2008:$GM$2012,GJ1047)</f>
        <v>0</v>
      </c>
      <c r="GM2047" s="34" t="str">
        <f>IF(GL2047&gt;0.1%,GL2047,"Algo Esta Mal")</f>
        <v>0</v>
      </c>
      <c r="GN2047" s="33" t="str">
        <f>IF(GM2047=GL2047,GK2047," ")</f>
        <v>0</v>
      </c>
      <c r="GT2047" t="str">
        <f>IF(GU2047=GV2008,GT2008,IF(GU2047=GV2009,GT2009,IF(GU2047=GV2010,GT2010,IF(GU2047=GV2011,GT2011,IF(GU2047=GV2012,GT2012,"ALGO ESTA MAL")))))</f>
        <v>0</v>
      </c>
      <c r="GU2047" s="34" t="str">
        <f>LARGE($GV$2008:$GV$2012,GS1047)</f>
        <v>0</v>
      </c>
      <c r="GV2047" s="34" t="str">
        <f>IF(GU2047&gt;0.1%,GU2047,"Algo Esta Mal")</f>
        <v>0</v>
      </c>
      <c r="GW2047" s="33" t="str">
        <f>IF(GV2047=GU2047,GT2047," ")</f>
        <v>0</v>
      </c>
      <c r="HC2047" t="str">
        <f>IF(HD2047=HE2008,HC2008,IF(HD2047=HE2009,HC2009,IF(HD2047=HE2010,HC2010,IF(HD2047=HE2011,HC2011,IF(HD2047=HE2012,HC2012,"ALGO ESTA MAL")))))</f>
        <v>0</v>
      </c>
      <c r="HD2047" s="34" t="str">
        <f>LARGE($HE$2008:$HE$2012,HB1047)</f>
        <v>0</v>
      </c>
      <c r="HE2047" s="34" t="str">
        <f>IF(HD2047&gt;0.1%,HD2047,"Algo Esta Mal")</f>
        <v>0</v>
      </c>
      <c r="HF2047" s="33" t="str">
        <f>IF(HE2047=HD2047,HC2047," ")</f>
        <v>0</v>
      </c>
    </row>
    <row r="2048" spans="1:215">
      <c r="D2048" t="str">
        <f>IF(E2048=F2008,D2008,IF(E2048=F2009,D2009,IF(E2048=F2010,D2010,IF(E2048=F2011,D2011,IF(E2048=F2012,D2012,"ALGO ESTA MAL")))))</f>
        <v>0</v>
      </c>
      <c r="E2048" s="34" t="str">
        <f>LARGE($F$2008:$F$2012,C1048)</f>
        <v>0</v>
      </c>
      <c r="F2048" s="34" t="str">
        <f>IF(E2048&gt;0.1%,E2048,"Algo Esta Mal")</f>
        <v>0</v>
      </c>
      <c r="G2048" s="33" t="str">
        <f>IF(F2048=E2048,D2048," ")</f>
        <v>0</v>
      </c>
      <c r="M2048" t="str">
        <f>IF(N2048=O2008,M2008,IF(N2048=O2009,M2009,IF(N2048=O2010,M2010,IF(N2048=O2011,M2011,IF(N2048=O2012,M2012,"ALGO ESTA MAL")))))</f>
        <v>0</v>
      </c>
      <c r="N2048" s="34" t="str">
        <f>LARGE($O$2008:$O$2012,L1048)</f>
        <v>0</v>
      </c>
      <c r="O2048" s="34" t="str">
        <f>IF(N2048&gt;0.1%,N2048,"Algo Esta Mal")</f>
        <v>0</v>
      </c>
      <c r="P2048" s="33" t="str">
        <f>IF(O2048=N2048,M2048," ")</f>
        <v>0</v>
      </c>
      <c r="V2048" t="str">
        <f>IF(W2048=X2008,V2008,IF(W2048=X2009,V2009,IF(W2048=X2010,V2010,IF(W2048=X2011,V2011,IF(W2048=X2012,V2012,"ALGO ESTA MAL")))))</f>
        <v>0</v>
      </c>
      <c r="W2048" s="34" t="str">
        <f>LARGE($X$2008:$X$2012,U1048)</f>
        <v>0</v>
      </c>
      <c r="X2048" s="34" t="str">
        <f>IF(W2048&gt;0.1%,W2048,"Algo Esta Mal")</f>
        <v>0</v>
      </c>
      <c r="Y2048" s="33" t="str">
        <f>IF(X2048=W2048,V2048," ")</f>
        <v>0</v>
      </c>
      <c r="AE2048" t="str">
        <f>IF(AF2048=AG2008,AE2008,IF(AF2048=AG2009,AE2009,IF(AF2048=AG2010,AE2010,IF(AF2048=AG2011,AE2011,IF(AF2048=AG2012,AE2012,"ALGO ESTA MAL")))))</f>
        <v>0</v>
      </c>
      <c r="AF2048" s="34" t="str">
        <f>LARGE($AG$2008:$AG$2012,AD1048)</f>
        <v>0</v>
      </c>
      <c r="AG2048" s="34" t="str">
        <f>IF(AF2048&gt;0.1%,AF2048,"Algo Esta Mal")</f>
        <v>0</v>
      </c>
      <c r="AH2048" s="33" t="str">
        <f>IF(AG2048=AF2048,AE2048," ")</f>
        <v>0</v>
      </c>
      <c r="AN2048" t="str">
        <f>IF(AO2048=AP2008,AN2008,IF(AO2048=AP2009,AN2009,IF(AO2048=AP2010,AN2010,IF(AO2048=AP2011,AN2011,IF(AO2048=AP2012,AN2012,"ALGO ESTA MAL")))))</f>
        <v>0</v>
      </c>
      <c r="AO2048" s="34" t="str">
        <f>LARGE($AP$2008:$AP$2012,AM1048)</f>
        <v>0</v>
      </c>
      <c r="AP2048" s="34" t="str">
        <f>IF(AO2048&gt;0.1%,AO2048,"Algo Esta Mal")</f>
        <v>0</v>
      </c>
      <c r="AQ2048" s="33" t="str">
        <f>IF(AP2048=AO2048,AN2048," ")</f>
        <v>0</v>
      </c>
      <c r="AW2048" t="str">
        <f>IF(AX2048=AY2008,AW2008,IF(AX2048=AY2009,AW2009,IF(AX2048=AY2010,AW2010,IF(AX2048=AY2011,AW2011,IF(AX2048=AY2012,AW2012,"ALGO ESTA MAL")))))</f>
        <v>0</v>
      </c>
      <c r="AX2048" s="34" t="str">
        <f>LARGE($AY$2008:$AY$2012,AV1048)</f>
        <v>0</v>
      </c>
      <c r="AY2048" s="34" t="str">
        <f>IF(AX2048&gt;0.1%,AX2048,"Algo Esta Mal")</f>
        <v>0</v>
      </c>
      <c r="AZ2048" s="33" t="str">
        <f>IF(AY2048=AX2048,AW2048," ")</f>
        <v>0</v>
      </c>
      <c r="BF2048" t="str">
        <f>IF(BG2048=BH2008,BF2008,IF(BG2048=BH2009,BF2009,IF(BG2048=BH2010,BF2010,IF(BG2048=BH2011,BF2011,IF(BG2048=BH2012,BF2012,"ALGO ESTA MAL")))))</f>
        <v>0</v>
      </c>
      <c r="BG2048" s="34" t="str">
        <f>LARGE($BH$2008:$BH$2012,BE1048)</f>
        <v>0</v>
      </c>
      <c r="BH2048" s="34" t="str">
        <f>IF(BG2048&gt;0.1%,BG2048,"Algo Esta Mal")</f>
        <v>0</v>
      </c>
      <c r="BI2048" s="33" t="str">
        <f>IF(BH2048=BG2048,BF2048," ")</f>
        <v>0</v>
      </c>
      <c r="BO2048" t="str">
        <f>IF(BP2048=BQ2008,BO2008,IF(BP2048=BQ2009,BO2009,IF(BP2048=BQ2010,BO2010,IF(BP2048=BQ2011,BO2011,IF(BP2048=BQ2012,BO2012,"ALGO ESTA MAL")))))</f>
        <v>0</v>
      </c>
      <c r="BP2048" s="34" t="str">
        <f>LARGE($BQ$2008:$BQ$2012,BN1048)</f>
        <v>0</v>
      </c>
      <c r="BQ2048" s="34" t="str">
        <f>IF(BP2048&gt;0.1%,BP2048,"Algo Esta Mal")</f>
        <v>0</v>
      </c>
      <c r="BR2048" s="33" t="str">
        <f>IF(BQ2048=BP2048,BO2048," ")</f>
        <v>0</v>
      </c>
      <c r="BX2048" t="str">
        <f>IF(BY2048=BZ2008,BX2008,IF(BY2048=BZ2009,BX2009,IF(BY2048=BZ2010,BX2010,IF(BY2048=BZ2011,BX2011,IF(BY2048=BZ2012,BX2012,"ALGO ESTA MAL")))))</f>
        <v>0</v>
      </c>
      <c r="BY2048" s="34" t="str">
        <f>LARGE($BZ$2008:$BZ$2012,BW1048)</f>
        <v>0</v>
      </c>
      <c r="BZ2048" s="34" t="str">
        <f>IF(BY2048&gt;0.1%,BY2048,"Algo Esta Mal")</f>
        <v>0</v>
      </c>
      <c r="CA2048" s="33" t="str">
        <f>IF(BZ2048=BY2048,BX2048," ")</f>
        <v>0</v>
      </c>
      <c r="CG2048" t="str">
        <f>IF(CH2048=CI2008,CG2008,IF(CH2048=CI2009,CG2009,IF(CH2048=CI2010,CG2010,IF(CH2048=CI2011,CG2011,IF(CH2048=CI2012,CG2012,"ALGO ESTA MAL")))))</f>
        <v>0</v>
      </c>
      <c r="CH2048" s="34" t="str">
        <f>LARGE($CI$2008:$CI$2012,CF1048)</f>
        <v>0</v>
      </c>
      <c r="CI2048" s="34" t="str">
        <f>IF(CH2048&gt;0.1%,CH2048,"Algo Esta Mal")</f>
        <v>0</v>
      </c>
      <c r="CJ2048" s="33" t="str">
        <f>IF(CI2048=CH2048,CG2048," ")</f>
        <v>0</v>
      </c>
      <c r="CP2048" t="str">
        <f>IF(CQ2048=CR2008,CP2008,IF(CQ2048=CR2009,CP2009,IF(CQ2048=CR2010,CP2010,IF(CQ2048=CR2011,CP2011,IF(CQ2048=CR2012,CP2012,"ALGO ESTA MAL")))))</f>
        <v>0</v>
      </c>
      <c r="CQ2048" s="34" t="str">
        <f>LARGE($CR$2008:$CR$2012,CO1048)</f>
        <v>0</v>
      </c>
      <c r="CR2048" s="34" t="str">
        <f>IF(CQ2048&gt;0.1%,CQ2048,"Algo Esta Mal")</f>
        <v>0</v>
      </c>
      <c r="CS2048" s="33" t="str">
        <f>IF(CR2048=CQ2048,CP2048," ")</f>
        <v>0</v>
      </c>
      <c r="CY2048" t="str">
        <f>IF(CZ2048=DA2008,CY2008,IF(CZ2048=DA2009,CY2009,IF(CZ2048=DA2010,CY2010,IF(CZ2048=DA2011,CY2011,IF(CZ2048=DA2012,CY2012,"ALGO ESTA MAL")))))</f>
        <v>0</v>
      </c>
      <c r="CZ2048" s="34" t="str">
        <f>LARGE($DA$2008:$DA$2012,CX1048)</f>
        <v>0</v>
      </c>
      <c r="DA2048" s="34" t="str">
        <f>IF(CZ2048&gt;0.1%,CZ2048,"Algo Esta Mal")</f>
        <v>0</v>
      </c>
      <c r="DB2048" s="33" t="str">
        <f>IF(DA2048=CZ2048,CY2048," ")</f>
        <v>0</v>
      </c>
      <c r="DH2048" t="str">
        <f>IF(DI2048=DJ2008,DH2008,IF(DI2048=DJ2009,DH2009,IF(DI2048=DJ2010,DH2010,IF(DI2048=DJ2011,DH2011,IF(DI2048=DJ2012,DH2012,"ALGO ESTA MAL")))))</f>
        <v>0</v>
      </c>
      <c r="DI2048" s="34" t="str">
        <f>LARGE($DJ$2008:$DJ$2012,DG1048)</f>
        <v>0</v>
      </c>
      <c r="DJ2048" s="34" t="str">
        <f>IF(DI2048&gt;0.1%,DI2048,"Algo Esta Mal")</f>
        <v>0</v>
      </c>
      <c r="DK2048" s="33" t="str">
        <f>IF(DJ2048=DI2048,DH2048," ")</f>
        <v>0</v>
      </c>
      <c r="DQ2048" t="str">
        <f>IF(DR2048=DS2008,DQ2008,IF(DR2048=DS2009,DQ2009,IF(DR2048=DS2010,DQ2010,IF(DR2048=DS2011,DQ2011,IF(DR2048=DS2012,DQ2012,"ALGO ESTA MAL")))))</f>
        <v>0</v>
      </c>
      <c r="DR2048" s="34" t="str">
        <f>LARGE($DS$2008:$DS$2012,DP1048)</f>
        <v>0</v>
      </c>
      <c r="DS2048" s="34" t="str">
        <f>IF(DR2048&gt;0.1%,DR2048,"Algo Esta Mal")</f>
        <v>0</v>
      </c>
      <c r="DT2048" s="33" t="str">
        <f>IF(DS2048=DR2048,DQ2048," ")</f>
        <v>0</v>
      </c>
      <c r="DZ2048" t="str">
        <f>IF(EA2048=EB2008,DZ2008,IF(EA2048=EB2009,DZ2009,IF(EA2048=EB2010,DZ2010,IF(EA2048=EB2011,DZ2011,IF(EA2048=EB2012,DZ2012,"ALGO ESTA MAL")))))</f>
        <v>0</v>
      </c>
      <c r="EA2048" s="34" t="str">
        <f>LARGE($EB$2008:$EB$2012,DY1048)</f>
        <v>0</v>
      </c>
      <c r="EB2048" s="34" t="str">
        <f>IF(EA2048&gt;0.1%,EA2048,"Algo Esta Mal")</f>
        <v>0</v>
      </c>
      <c r="EC2048" s="33" t="str">
        <f>IF(EB2048=EA2048,DZ2048," ")</f>
        <v>0</v>
      </c>
      <c r="EI2048" t="str">
        <f>IF(EJ2048=EK2008,EI2008,IF(EJ2048=EK2009,EI2009,IF(EJ2048=EK2010,EI2010,IF(EJ2048=EK2011,EI2011,IF(EJ2048=EK2012,EI2012,"ALGO ESTA MAL")))))</f>
        <v>0</v>
      </c>
      <c r="EJ2048" s="34" t="str">
        <f>LARGE($EK$2008:$EK$2012,EH1048)</f>
        <v>0</v>
      </c>
      <c r="EK2048" s="34" t="str">
        <f>IF(EJ2048&gt;0.1%,EJ2048,"Algo Esta Mal")</f>
        <v>0</v>
      </c>
      <c r="EL2048" s="33" t="str">
        <f>IF(EK2048=EJ2048,EI2048," ")</f>
        <v>0</v>
      </c>
      <c r="ER2048" t="str">
        <f>IF(ES2048=ET2008,ER2008,IF(ES2048=ET2009,ER2009,IF(ES2048=ET2010,ER2010,IF(ES2048=ET2011,ER2011,IF(ES2048=ET2012,ER2012,"ALGO ESTA MAL")))))</f>
        <v>0</v>
      </c>
      <c r="ES2048" s="34" t="str">
        <f>LARGE($ET$2008:$ET$2012,EQ1048)</f>
        <v>0</v>
      </c>
      <c r="ET2048" s="34" t="str">
        <f>IF(ES2048&gt;0.1%,ES2048,"Algo Esta Mal")</f>
        <v>0</v>
      </c>
      <c r="EU2048" s="33" t="str">
        <f>IF(ET2048=ES2048,ER2048," ")</f>
        <v>0</v>
      </c>
      <c r="FA2048" t="str">
        <f>IF(FB2048=FC2008,FA2008,IF(FB2048=FC2009,FA2009,IF(FB2048=FC2010,FA2010,IF(FB2048=FC2011,FA2011,IF(FB2048=FC2012,FA2012,"ALGO ESTA MAL")))))</f>
        <v>0</v>
      </c>
      <c r="FB2048" s="34" t="str">
        <f>LARGE($FC$2008:$FC$2012,EZ1048)</f>
        <v>0</v>
      </c>
      <c r="FC2048" s="34" t="str">
        <f>IF(FB2048&gt;0.1%,FB2048,"Algo Esta Mal")</f>
        <v>0</v>
      </c>
      <c r="FD2048" s="33" t="str">
        <f>IF(FC2048=FB2048,FA2048," ")</f>
        <v>0</v>
      </c>
      <c r="FJ2048" t="str">
        <f>IF(FK2048=FL2008,FJ2008,IF(FK2048=FL2009,FJ2009,IF(FK2048=FL2010,FJ2010,IF(FK2048=FL2011,FJ2011,IF(FK2048=FL2012,FJ2012,"ALGO ESTA MAL")))))</f>
        <v>0</v>
      </c>
      <c r="FK2048" s="34" t="str">
        <f>LARGE($FL$2008:$FL$2012,FI1048)</f>
        <v>0</v>
      </c>
      <c r="FL2048" s="34" t="str">
        <f>IF(FK2048&gt;0.1%,FK2048,"Algo Esta Mal")</f>
        <v>0</v>
      </c>
      <c r="FM2048" s="33" t="str">
        <f>IF(FL2048=FK2048,FJ2048," ")</f>
        <v>0</v>
      </c>
      <c r="FS2048" t="str">
        <f>IF(FT2048=FU2008,FS2008,IF(FT2048=FU2009,FS2009,IF(FT2048=FU2010,FS2010,IF(FT2048=FU2011,FS2011,IF(FT2048=FU2012,FS2012,"ALGO ESTA MAL")))))</f>
        <v>0</v>
      </c>
      <c r="FT2048" s="34" t="str">
        <f>LARGE($FU$2008:$FU$2012,FR1048)</f>
        <v>0</v>
      </c>
      <c r="FU2048" s="34" t="str">
        <f>IF(FT2048&gt;0.1%,FT2048,"Algo Esta Mal")</f>
        <v>0</v>
      </c>
      <c r="FV2048" s="33" t="str">
        <f>IF(FU2048=FT2048,FS2048," ")</f>
        <v>0</v>
      </c>
      <c r="GB2048" t="str">
        <f>IF(GC2048=GD2008,GB2008,IF(GC2048=GD2009,GB2009,IF(GC2048=GD2010,GB2010,IF(GC2048=GD2011,GB2011,IF(GC2048=GD2012,GB2012,"ALGO ESTA MAL")))))</f>
        <v>0</v>
      </c>
      <c r="GC2048" s="34" t="str">
        <f>LARGE($GD$2008:$GD$2012,GA1048)</f>
        <v>0</v>
      </c>
      <c r="GD2048" s="34" t="str">
        <f>IF(GC2048&gt;0.1%,GC2048,"Algo Esta Mal")</f>
        <v>0</v>
      </c>
      <c r="GE2048" s="33" t="str">
        <f>IF(GD2048=GC2048,GB2048," ")</f>
        <v>0</v>
      </c>
      <c r="GK2048" t="str">
        <f>IF(GL2048=GM2008,GK2008,IF(GL2048=GM2009,GK2009,IF(GL2048=GM2010,GK2010,IF(GL2048=GM2011,GK2011,IF(GL2048=GM2012,GK2012,"ALGO ESTA MAL")))))</f>
        <v>0</v>
      </c>
      <c r="GL2048" s="34" t="str">
        <f>LARGE($GM$2008:$GM$2012,GJ1048)</f>
        <v>0</v>
      </c>
      <c r="GM2048" s="34" t="str">
        <f>IF(GL2048&gt;0.1%,GL2048,"Algo Esta Mal")</f>
        <v>0</v>
      </c>
      <c r="GN2048" s="33" t="str">
        <f>IF(GM2048=GL2048,GK2048," ")</f>
        <v>0</v>
      </c>
      <c r="GT2048" t="str">
        <f>IF(GU2048=GV2008,GT2008,IF(GU2048=GV2009,GT2009,IF(GU2048=GV2010,GT2010,IF(GU2048=GV2011,GT2011,IF(GU2048=GV2012,GT2012,"ALGO ESTA MAL")))))</f>
        <v>0</v>
      </c>
      <c r="GU2048" s="34" t="str">
        <f>LARGE($GV$2008:$GV$2012,GS1048)</f>
        <v>0</v>
      </c>
      <c r="GV2048" s="34" t="str">
        <f>IF(GU2048&gt;0.1%,GU2048,"Algo Esta Mal")</f>
        <v>0</v>
      </c>
      <c r="GW2048" s="33" t="str">
        <f>IF(GV2048=GU2048,GT2048," ")</f>
        <v>0</v>
      </c>
      <c r="HC2048" t="str">
        <f>IF(HD2048=HE2008,HC2008,IF(HD2048=HE2009,HC2009,IF(HD2048=HE2010,HC2010,IF(HD2048=HE2011,HC2011,IF(HD2048=HE2012,HC2012,"ALGO ESTA MAL")))))</f>
        <v>0</v>
      </c>
      <c r="HD2048" s="34" t="str">
        <f>LARGE($HE$2008:$HE$2012,HB1048)</f>
        <v>0</v>
      </c>
      <c r="HE2048" s="34" t="str">
        <f>IF(HD2048&gt;0.1%,HD2048,"Algo Esta Mal")</f>
        <v>0</v>
      </c>
      <c r="HF2048" s="33" t="str">
        <f>IF(HE2048=HD2048,HC2048," ")</f>
        <v>0</v>
      </c>
    </row>
    <row r="2049" spans="1:215">
      <c r="D2049" t="str">
        <f>IF(E2049=F2008,D2008,IF(E2049=F2009,D2009,IF(E2049=F2010,D2010,IF(E2049=F2011,D2011,IF(E2049=F2012,D2012,"ALGO ESTA MAL")))))</f>
        <v>0</v>
      </c>
      <c r="E2049" s="34" t="str">
        <f>LARGE($F$2008:$F$2012,C1049)</f>
        <v>0</v>
      </c>
      <c r="F2049" s="34" t="str">
        <f>IF(E2049&gt;0.1%,E2049,"Algo Esta Mal")</f>
        <v>0</v>
      </c>
      <c r="G2049" s="33" t="str">
        <f>IF(F2049=E2049,D2049," ")</f>
        <v>0</v>
      </c>
      <c r="M2049" t="str">
        <f>IF(N2049=O2008,M2008,IF(N2049=O2009,M2009,IF(N2049=O2010,M2010,IF(N2049=O2011,M2011,IF(N2049=O2012,M2012,"ALGO ESTA MAL")))))</f>
        <v>0</v>
      </c>
      <c r="N2049" s="34" t="str">
        <f>LARGE($O$2008:$O$2012,L1049)</f>
        <v>0</v>
      </c>
      <c r="O2049" s="34" t="str">
        <f>IF(N2049&gt;0.1%,N2049,"Algo Esta Mal")</f>
        <v>0</v>
      </c>
      <c r="P2049" s="33" t="str">
        <f>IF(O2049=N2049,M2049," ")</f>
        <v>0</v>
      </c>
      <c r="V2049" t="str">
        <f>IF(W2049=X2008,V2008,IF(W2049=X2009,V2009,IF(W2049=X2010,V2010,IF(W2049=X2011,V2011,IF(W2049=X2012,V2012,"ALGO ESTA MAL")))))</f>
        <v>0</v>
      </c>
      <c r="W2049" s="34" t="str">
        <f>LARGE($X$2008:$X$2012,U1049)</f>
        <v>0</v>
      </c>
      <c r="X2049" s="34" t="str">
        <f>IF(W2049&gt;0.1%,W2049,"Algo Esta Mal")</f>
        <v>0</v>
      </c>
      <c r="Y2049" s="33" t="str">
        <f>IF(X2049=W2049,V2049," ")</f>
        <v>0</v>
      </c>
      <c r="AE2049" t="str">
        <f>IF(AF2049=AG2008,AE2008,IF(AF2049=AG2009,AE2009,IF(AF2049=AG2010,AE2010,IF(AF2049=AG2011,AE2011,IF(AF2049=AG2012,AE2012,"ALGO ESTA MAL")))))</f>
        <v>0</v>
      </c>
      <c r="AF2049" s="34" t="str">
        <f>LARGE($AG$2008:$AG$2012,AD1049)</f>
        <v>0</v>
      </c>
      <c r="AG2049" s="34" t="str">
        <f>IF(AF2049&gt;0.1%,AF2049,"Algo Esta Mal")</f>
        <v>0</v>
      </c>
      <c r="AH2049" s="33" t="str">
        <f>IF(AG2049=AF2049,AE2049," ")</f>
        <v>0</v>
      </c>
      <c r="AN2049" t="str">
        <f>IF(AO2049=AP2008,AN2008,IF(AO2049=AP2009,AN2009,IF(AO2049=AP2010,AN2010,IF(AO2049=AP2011,AN2011,IF(AO2049=AP2012,AN2012,"ALGO ESTA MAL")))))</f>
        <v>0</v>
      </c>
      <c r="AO2049" s="34" t="str">
        <f>LARGE($AP$2008:$AP$2012,AM1049)</f>
        <v>0</v>
      </c>
      <c r="AP2049" s="34" t="str">
        <f>IF(AO2049&gt;0.1%,AO2049,"Algo Esta Mal")</f>
        <v>0</v>
      </c>
      <c r="AQ2049" s="33" t="str">
        <f>IF(AP2049=AO2049,AN2049," ")</f>
        <v>0</v>
      </c>
      <c r="AW2049" t="str">
        <f>IF(AX2049=AY2008,AW2008,IF(AX2049=AY2009,AW2009,IF(AX2049=AY2010,AW2010,IF(AX2049=AY2011,AW2011,IF(AX2049=AY2012,AW2012,"ALGO ESTA MAL")))))</f>
        <v>0</v>
      </c>
      <c r="AX2049" s="34" t="str">
        <f>LARGE($AY$2008:$AY$2012,AV1049)</f>
        <v>0</v>
      </c>
      <c r="AY2049" s="34" t="str">
        <f>IF(AX2049&gt;0.1%,AX2049,"Algo Esta Mal")</f>
        <v>0</v>
      </c>
      <c r="AZ2049" s="33" t="str">
        <f>IF(AY2049=AX2049,AW2049," ")</f>
        <v>0</v>
      </c>
      <c r="BF2049" t="str">
        <f>IF(BG2049=BH2008,BF2008,IF(BG2049=BH2009,BF2009,IF(BG2049=BH2010,BF2010,IF(BG2049=BH2011,BF2011,IF(BG2049=BH2012,BF2012,"ALGO ESTA MAL")))))</f>
        <v>0</v>
      </c>
      <c r="BG2049" s="34" t="str">
        <f>LARGE($BH$2008:$BH$2012,BE1049)</f>
        <v>0</v>
      </c>
      <c r="BH2049" s="34" t="str">
        <f>IF(BG2049&gt;0.1%,BG2049,"Algo Esta Mal")</f>
        <v>0</v>
      </c>
      <c r="BI2049" s="33" t="str">
        <f>IF(BH2049=BG2049,BF2049," ")</f>
        <v>0</v>
      </c>
      <c r="BO2049" t="str">
        <f>IF(BP2049=BQ2008,BO2008,IF(BP2049=BQ2009,BO2009,IF(BP2049=BQ2010,BO2010,IF(BP2049=BQ2011,BO2011,IF(BP2049=BQ2012,BO2012,"ALGO ESTA MAL")))))</f>
        <v>0</v>
      </c>
      <c r="BP2049" s="34" t="str">
        <f>LARGE($BQ$2008:$BQ$2012,BN1049)</f>
        <v>0</v>
      </c>
      <c r="BQ2049" s="34" t="str">
        <f>IF(BP2049&gt;0.1%,BP2049,"Algo Esta Mal")</f>
        <v>0</v>
      </c>
      <c r="BR2049" s="33" t="str">
        <f>IF(BQ2049=BP2049,BO2049," ")</f>
        <v>0</v>
      </c>
      <c r="BX2049" t="str">
        <f>IF(BY2049=BZ2008,BX2008,IF(BY2049=BZ2009,BX2009,IF(BY2049=BZ2010,BX2010,IF(BY2049=BZ2011,BX2011,IF(BY2049=BZ2012,BX2012,"ALGO ESTA MAL")))))</f>
        <v>0</v>
      </c>
      <c r="BY2049" s="34" t="str">
        <f>LARGE($BZ$2008:$BZ$2012,BW1049)</f>
        <v>0</v>
      </c>
      <c r="BZ2049" s="34" t="str">
        <f>IF(BY2049&gt;0.1%,BY2049,"Algo Esta Mal")</f>
        <v>0</v>
      </c>
      <c r="CA2049" s="33" t="str">
        <f>IF(BZ2049=BY2049,BX2049," ")</f>
        <v>0</v>
      </c>
      <c r="CG2049" t="str">
        <f>IF(CH2049=CI2008,CG2008,IF(CH2049=CI2009,CG2009,IF(CH2049=CI2010,CG2010,IF(CH2049=CI2011,CG2011,IF(CH2049=CI2012,CG2012,"ALGO ESTA MAL")))))</f>
        <v>0</v>
      </c>
      <c r="CH2049" s="34" t="str">
        <f>LARGE($CI$2008:$CI$2012,CF1049)</f>
        <v>0</v>
      </c>
      <c r="CI2049" s="34" t="str">
        <f>IF(CH2049&gt;0.1%,CH2049,"Algo Esta Mal")</f>
        <v>0</v>
      </c>
      <c r="CJ2049" s="33" t="str">
        <f>IF(CI2049=CH2049,CG2049," ")</f>
        <v>0</v>
      </c>
      <c r="CP2049" t="str">
        <f>IF(CQ2049=CR2008,CP2008,IF(CQ2049=CR2009,CP2009,IF(CQ2049=CR2010,CP2010,IF(CQ2049=CR2011,CP2011,IF(CQ2049=CR2012,CP2012,"ALGO ESTA MAL")))))</f>
        <v>0</v>
      </c>
      <c r="CQ2049" s="34" t="str">
        <f>LARGE($CR$2008:$CR$2012,CO1049)</f>
        <v>0</v>
      </c>
      <c r="CR2049" s="34" t="str">
        <f>IF(CQ2049&gt;0.1%,CQ2049,"Algo Esta Mal")</f>
        <v>0</v>
      </c>
      <c r="CS2049" s="33" t="str">
        <f>IF(CR2049=CQ2049,CP2049," ")</f>
        <v>0</v>
      </c>
      <c r="CY2049" t="str">
        <f>IF(CZ2049=DA2008,CY2008,IF(CZ2049=DA2009,CY2009,IF(CZ2049=DA2010,CY2010,IF(CZ2049=DA2011,CY2011,IF(CZ2049=DA2012,CY2012,"ALGO ESTA MAL")))))</f>
        <v>0</v>
      </c>
      <c r="CZ2049" s="34" t="str">
        <f>LARGE($DA$2008:$DA$2012,CX1049)</f>
        <v>0</v>
      </c>
      <c r="DA2049" s="34" t="str">
        <f>IF(CZ2049&gt;0.1%,CZ2049,"Algo Esta Mal")</f>
        <v>0</v>
      </c>
      <c r="DB2049" s="33" t="str">
        <f>IF(DA2049=CZ2049,CY2049," ")</f>
        <v>0</v>
      </c>
      <c r="DH2049" t="str">
        <f>IF(DI2049=DJ2008,DH2008,IF(DI2049=DJ2009,DH2009,IF(DI2049=DJ2010,DH2010,IF(DI2049=DJ2011,DH2011,IF(DI2049=DJ2012,DH2012,"ALGO ESTA MAL")))))</f>
        <v>0</v>
      </c>
      <c r="DI2049" s="34" t="str">
        <f>LARGE($DJ$2008:$DJ$2012,DG1049)</f>
        <v>0</v>
      </c>
      <c r="DJ2049" s="34" t="str">
        <f>IF(DI2049&gt;0.1%,DI2049,"Algo Esta Mal")</f>
        <v>0</v>
      </c>
      <c r="DK2049" s="33" t="str">
        <f>IF(DJ2049=DI2049,DH2049," ")</f>
        <v>0</v>
      </c>
      <c r="DQ2049" t="str">
        <f>IF(DR2049=DS2008,DQ2008,IF(DR2049=DS2009,DQ2009,IF(DR2049=DS2010,DQ2010,IF(DR2049=DS2011,DQ2011,IF(DR2049=DS2012,DQ2012,"ALGO ESTA MAL")))))</f>
        <v>0</v>
      </c>
      <c r="DR2049" s="34" t="str">
        <f>LARGE($DS$2008:$DS$2012,DP1049)</f>
        <v>0</v>
      </c>
      <c r="DS2049" s="34" t="str">
        <f>IF(DR2049&gt;0.1%,DR2049,"Algo Esta Mal")</f>
        <v>0</v>
      </c>
      <c r="DT2049" s="33" t="str">
        <f>IF(DS2049=DR2049,DQ2049," ")</f>
        <v>0</v>
      </c>
      <c r="DZ2049" t="str">
        <f>IF(EA2049=EB2008,DZ2008,IF(EA2049=EB2009,DZ2009,IF(EA2049=EB2010,DZ2010,IF(EA2049=EB2011,DZ2011,IF(EA2049=EB2012,DZ2012,"ALGO ESTA MAL")))))</f>
        <v>0</v>
      </c>
      <c r="EA2049" s="34" t="str">
        <f>LARGE($EB$2008:$EB$2012,DY1049)</f>
        <v>0</v>
      </c>
      <c r="EB2049" s="34" t="str">
        <f>IF(EA2049&gt;0.1%,EA2049,"Algo Esta Mal")</f>
        <v>0</v>
      </c>
      <c r="EC2049" s="33" t="str">
        <f>IF(EB2049=EA2049,DZ2049," ")</f>
        <v>0</v>
      </c>
      <c r="EI2049" t="str">
        <f>IF(EJ2049=EK2008,EI2008,IF(EJ2049=EK2009,EI2009,IF(EJ2049=EK2010,EI2010,IF(EJ2049=EK2011,EI2011,IF(EJ2049=EK2012,EI2012,"ALGO ESTA MAL")))))</f>
        <v>0</v>
      </c>
      <c r="EJ2049" s="34" t="str">
        <f>LARGE($EK$2008:$EK$2012,EH1049)</f>
        <v>0</v>
      </c>
      <c r="EK2049" s="34" t="str">
        <f>IF(EJ2049&gt;0.1%,EJ2049,"Algo Esta Mal")</f>
        <v>0</v>
      </c>
      <c r="EL2049" s="33" t="str">
        <f>IF(EK2049=EJ2049,EI2049," ")</f>
        <v>0</v>
      </c>
      <c r="ER2049" t="str">
        <f>IF(ES2049=ET2008,ER2008,IF(ES2049=ET2009,ER2009,IF(ES2049=ET2010,ER2010,IF(ES2049=ET2011,ER2011,IF(ES2049=ET2012,ER2012,"ALGO ESTA MAL")))))</f>
        <v>0</v>
      </c>
      <c r="ES2049" s="34" t="str">
        <f>LARGE($ET$2008:$ET$2012,EQ1049)</f>
        <v>0</v>
      </c>
      <c r="ET2049" s="34" t="str">
        <f>IF(ES2049&gt;0.1%,ES2049,"Algo Esta Mal")</f>
        <v>0</v>
      </c>
      <c r="EU2049" s="33" t="str">
        <f>IF(ET2049=ES2049,ER2049," ")</f>
        <v>0</v>
      </c>
      <c r="FA2049" t="str">
        <f>IF(FB2049=FC2008,FA2008,IF(FB2049=FC2009,FA2009,IF(FB2049=FC2010,FA2010,IF(FB2049=FC2011,FA2011,IF(FB2049=FC2012,FA2012,"ALGO ESTA MAL")))))</f>
        <v>0</v>
      </c>
      <c r="FB2049" s="34" t="str">
        <f>LARGE($FC$2008:$FC$2012,EZ1049)</f>
        <v>0</v>
      </c>
      <c r="FC2049" s="34" t="str">
        <f>IF(FB2049&gt;0.1%,FB2049,"Algo Esta Mal")</f>
        <v>0</v>
      </c>
      <c r="FD2049" s="33" t="str">
        <f>IF(FC2049=FB2049,FA2049," ")</f>
        <v>0</v>
      </c>
      <c r="FJ2049" t="str">
        <f>IF(FK2049=FL2008,FJ2008,IF(FK2049=FL2009,FJ2009,IF(FK2049=FL2010,FJ2010,IF(FK2049=FL2011,FJ2011,IF(FK2049=FL2012,FJ2012,"ALGO ESTA MAL")))))</f>
        <v>0</v>
      </c>
      <c r="FK2049" s="34" t="str">
        <f>LARGE($FL$2008:$FL$2012,FI1049)</f>
        <v>0</v>
      </c>
      <c r="FL2049" s="34" t="str">
        <f>IF(FK2049&gt;0.1%,FK2049,"Algo Esta Mal")</f>
        <v>0</v>
      </c>
      <c r="FM2049" s="33" t="str">
        <f>IF(FL2049=FK2049,FJ2049," ")</f>
        <v>0</v>
      </c>
      <c r="FS2049" t="str">
        <f>IF(FT2049=FU2008,FS2008,IF(FT2049=FU2009,FS2009,IF(FT2049=FU2010,FS2010,IF(FT2049=FU2011,FS2011,IF(FT2049=FU2012,FS2012,"ALGO ESTA MAL")))))</f>
        <v>0</v>
      </c>
      <c r="FT2049" s="34" t="str">
        <f>LARGE($FU$2008:$FU$2012,FR1049)</f>
        <v>0</v>
      </c>
      <c r="FU2049" s="34" t="str">
        <f>IF(FT2049&gt;0.1%,FT2049,"Algo Esta Mal")</f>
        <v>0</v>
      </c>
      <c r="FV2049" s="33" t="str">
        <f>IF(FU2049=FT2049,FS2049," ")</f>
        <v>0</v>
      </c>
      <c r="GB2049" t="str">
        <f>IF(GC2049=GD2008,GB2008,IF(GC2049=GD2009,GB2009,IF(GC2049=GD2010,GB2010,IF(GC2049=GD2011,GB2011,IF(GC2049=GD2012,GB2012,"ALGO ESTA MAL")))))</f>
        <v>0</v>
      </c>
      <c r="GC2049" s="34" t="str">
        <f>LARGE($GD$2008:$GD$2012,GA1049)</f>
        <v>0</v>
      </c>
      <c r="GD2049" s="34" t="str">
        <f>IF(GC2049&gt;0.1%,GC2049,"Algo Esta Mal")</f>
        <v>0</v>
      </c>
      <c r="GE2049" s="33" t="str">
        <f>IF(GD2049=GC2049,GB2049," ")</f>
        <v>0</v>
      </c>
      <c r="GK2049" t="str">
        <f>IF(GL2049=GM2008,GK2008,IF(GL2049=GM2009,GK2009,IF(GL2049=GM2010,GK2010,IF(GL2049=GM2011,GK2011,IF(GL2049=GM2012,GK2012,"ALGO ESTA MAL")))))</f>
        <v>0</v>
      </c>
      <c r="GL2049" s="34" t="str">
        <f>LARGE($GM$2008:$GM$2012,GJ1049)</f>
        <v>0</v>
      </c>
      <c r="GM2049" s="34" t="str">
        <f>IF(GL2049&gt;0.1%,GL2049,"Algo Esta Mal")</f>
        <v>0</v>
      </c>
      <c r="GN2049" s="33" t="str">
        <f>IF(GM2049=GL2049,GK2049," ")</f>
        <v>0</v>
      </c>
      <c r="GT2049" t="str">
        <f>IF(GU2049=GV2008,GT2008,IF(GU2049=GV2009,GT2009,IF(GU2049=GV2010,GT2010,IF(GU2049=GV2011,GT2011,IF(GU2049=GV2012,GT2012,"ALGO ESTA MAL")))))</f>
        <v>0</v>
      </c>
      <c r="GU2049" s="34" t="str">
        <f>LARGE($GV$2008:$GV$2012,GS1049)</f>
        <v>0</v>
      </c>
      <c r="GV2049" s="34" t="str">
        <f>IF(GU2049&gt;0.1%,GU2049,"Algo Esta Mal")</f>
        <v>0</v>
      </c>
      <c r="GW2049" s="33" t="str">
        <f>IF(GV2049=GU2049,GT2049," ")</f>
        <v>0</v>
      </c>
      <c r="HC2049" t="str">
        <f>IF(HD2049=HE2008,HC2008,IF(HD2049=HE2009,HC2009,IF(HD2049=HE2010,HC2010,IF(HD2049=HE2011,HC2011,IF(HD2049=HE2012,HC2012,"ALGO ESTA MAL")))))</f>
        <v>0</v>
      </c>
      <c r="HD2049" s="34" t="str">
        <f>LARGE($HE$2008:$HE$2012,HB1049)</f>
        <v>0</v>
      </c>
      <c r="HE2049" s="34" t="str">
        <f>IF(HD2049&gt;0.1%,HD2049,"Algo Esta Mal")</f>
        <v>0</v>
      </c>
      <c r="HF2049" s="33" t="str">
        <f>IF(HE2049=HD2049,HC2049," ")</f>
        <v>0</v>
      </c>
    </row>
    <row r="2050" spans="1:215">
      <c r="D2050" t="str">
        <f>IF(E2050=F2008,D2008,IF(E2050=F2009,D2009,IF(E2050=F2010,D2010,IF(E2050=F2011,D2011,IF(E2050=F2012,D2012,"ALGO ESTA MAL")))))</f>
        <v>0</v>
      </c>
      <c r="E2050" s="34" t="str">
        <f>LARGE($F$2008:$F$2012,C1050)</f>
        <v>0</v>
      </c>
      <c r="F2050" s="34" t="str">
        <f>IF(E2050&gt;0.1%,E2050,"Algo Esta Mal")</f>
        <v>0</v>
      </c>
      <c r="G2050" s="33" t="str">
        <f>IF(F2050=E2050,D2050," ")</f>
        <v>0</v>
      </c>
      <c r="M2050" t="str">
        <f>IF(N2050=O2008,M2008,IF(N2050=O2009,M2009,IF(N2050=O2010,M2010,IF(N2050=O2011,M2011,IF(N2050=O2012,M2012,"ALGO ESTA MAL")))))</f>
        <v>0</v>
      </c>
      <c r="N2050" s="34" t="str">
        <f>LARGE($O$2008:$O$2012,L1050)</f>
        <v>0</v>
      </c>
      <c r="O2050" s="34" t="str">
        <f>IF(N2050&gt;0.1%,N2050,"Algo Esta Mal")</f>
        <v>0</v>
      </c>
      <c r="P2050" s="33" t="str">
        <f>IF(O2050=N2050,M2050," ")</f>
        <v>0</v>
      </c>
      <c r="V2050" t="str">
        <f>IF(W2050=X2008,V2008,IF(W2050=X2009,V2009,IF(W2050=X2010,V2010,IF(W2050=X2011,V2011,IF(W2050=X2012,V2012,"ALGO ESTA MAL")))))</f>
        <v>0</v>
      </c>
      <c r="W2050" s="34" t="str">
        <f>LARGE($X$2008:$X$2012,U1050)</f>
        <v>0</v>
      </c>
      <c r="X2050" s="34" t="str">
        <f>IF(W2050&gt;0.1%,W2050,"Algo Esta Mal")</f>
        <v>0</v>
      </c>
      <c r="Y2050" s="33" t="str">
        <f>IF(X2050=W2050,V2050," ")</f>
        <v>0</v>
      </c>
      <c r="AE2050" t="str">
        <f>IF(AF2050=AG2008,AE2008,IF(AF2050=AG2009,AE2009,IF(AF2050=AG2010,AE2010,IF(AF2050=AG2011,AE2011,IF(AF2050=AG2012,AE2012,"ALGO ESTA MAL")))))</f>
        <v>0</v>
      </c>
      <c r="AF2050" s="34" t="str">
        <f>LARGE($AG$2008:$AG$2012,AD1050)</f>
        <v>0</v>
      </c>
      <c r="AG2050" s="34" t="str">
        <f>IF(AF2050&gt;0.1%,AF2050,"Algo Esta Mal")</f>
        <v>0</v>
      </c>
      <c r="AH2050" s="33" t="str">
        <f>IF(AG2050=AF2050,AE2050," ")</f>
        <v>0</v>
      </c>
      <c r="AN2050" t="str">
        <f>IF(AO2050=AP2008,AN2008,IF(AO2050=AP2009,AN2009,IF(AO2050=AP2010,AN2010,IF(AO2050=AP2011,AN2011,IF(AO2050=AP2012,AN2012,"ALGO ESTA MAL")))))</f>
        <v>0</v>
      </c>
      <c r="AO2050" s="34" t="str">
        <f>LARGE($AP$2008:$AP$2012,AM1050)</f>
        <v>0</v>
      </c>
      <c r="AP2050" s="34" t="str">
        <f>IF(AO2050&gt;0.1%,AO2050,"Algo Esta Mal")</f>
        <v>0</v>
      </c>
      <c r="AQ2050" s="33" t="str">
        <f>IF(AP2050=AO2050,AN2050," ")</f>
        <v>0</v>
      </c>
      <c r="AW2050" t="str">
        <f>IF(AX2050=AY2008,AW2008,IF(AX2050=AY2009,AW2009,IF(AX2050=AY2010,AW2010,IF(AX2050=AY2011,AW2011,IF(AX2050=AY2012,AW2012,"ALGO ESTA MAL")))))</f>
        <v>0</v>
      </c>
      <c r="AX2050" s="34" t="str">
        <f>LARGE($AY$2008:$AY$2012,AV1050)</f>
        <v>0</v>
      </c>
      <c r="AY2050" s="34" t="str">
        <f>IF(AX2050&gt;0.1%,AX2050,"Algo Esta Mal")</f>
        <v>0</v>
      </c>
      <c r="AZ2050" s="33" t="str">
        <f>IF(AY2050=AX2050,AW2050," ")</f>
        <v>0</v>
      </c>
      <c r="BF2050" t="str">
        <f>IF(BG2050=BH2008,BF2008,IF(BG2050=BH2009,BF2009,IF(BG2050=BH2010,BF2010,IF(BG2050=BH2011,BF2011,IF(BG2050=BH2012,BF2012,"ALGO ESTA MAL")))))</f>
        <v>0</v>
      </c>
      <c r="BG2050" s="34" t="str">
        <f>LARGE($BH$2008:$BH$2012,BE1050)</f>
        <v>0</v>
      </c>
      <c r="BH2050" s="34" t="str">
        <f>IF(BG2050&gt;0.1%,BG2050,"Algo Esta Mal")</f>
        <v>0</v>
      </c>
      <c r="BI2050" s="33" t="str">
        <f>IF(BH2050=BG2050,BF2050," ")</f>
        <v>0</v>
      </c>
      <c r="BO2050" t="str">
        <f>IF(BP2050=BQ2008,BO2008,IF(BP2050=BQ2009,BO2009,IF(BP2050=BQ2010,BO2010,IF(BP2050=BQ2011,BO2011,IF(BP2050=BQ2012,BO2012,"ALGO ESTA MAL")))))</f>
        <v>0</v>
      </c>
      <c r="BP2050" s="34" t="str">
        <f>LARGE($BQ$2008:$BQ$2012,BN1050)</f>
        <v>0</v>
      </c>
      <c r="BQ2050" s="34" t="str">
        <f>IF(BP2050&gt;0.1%,BP2050,"Algo Esta Mal")</f>
        <v>0</v>
      </c>
      <c r="BR2050" s="33" t="str">
        <f>IF(BQ2050=BP2050,BO2050," ")</f>
        <v>0</v>
      </c>
      <c r="BX2050" t="str">
        <f>IF(BY2050=BZ2008,BX2008,IF(BY2050=BZ2009,BX2009,IF(BY2050=BZ2010,BX2010,IF(BY2050=BZ2011,BX2011,IF(BY2050=BZ2012,BX2012,"ALGO ESTA MAL")))))</f>
        <v>0</v>
      </c>
      <c r="BY2050" s="34" t="str">
        <f>LARGE($BZ$2008:$BZ$2012,BW1050)</f>
        <v>0</v>
      </c>
      <c r="BZ2050" s="34" t="str">
        <f>IF(BY2050&gt;0.1%,BY2050,"Algo Esta Mal")</f>
        <v>0</v>
      </c>
      <c r="CA2050" s="33" t="str">
        <f>IF(BZ2050=BY2050,BX2050," ")</f>
        <v>0</v>
      </c>
      <c r="CG2050" t="str">
        <f>IF(CH2050=CI2008,CG2008,IF(CH2050=CI2009,CG2009,IF(CH2050=CI2010,CG2010,IF(CH2050=CI2011,CG2011,IF(CH2050=CI2012,CG2012,"ALGO ESTA MAL")))))</f>
        <v>0</v>
      </c>
      <c r="CH2050" s="34" t="str">
        <f>LARGE($CI$2008:$CI$2012,CF1050)</f>
        <v>0</v>
      </c>
      <c r="CI2050" s="34" t="str">
        <f>IF(CH2050&gt;0.1%,CH2050,"Algo Esta Mal")</f>
        <v>0</v>
      </c>
      <c r="CJ2050" s="33" t="str">
        <f>IF(CI2050=CH2050,CG2050," ")</f>
        <v>0</v>
      </c>
      <c r="CP2050" t="str">
        <f>IF(CQ2050=CR2008,CP2008,IF(CQ2050=CR2009,CP2009,IF(CQ2050=CR2010,CP2010,IF(CQ2050=CR2011,CP2011,IF(CQ2050=CR2012,CP2012,"ALGO ESTA MAL")))))</f>
        <v>0</v>
      </c>
      <c r="CQ2050" s="34" t="str">
        <f>LARGE($CR$2008:$CR$2012,CO1050)</f>
        <v>0</v>
      </c>
      <c r="CR2050" s="34" t="str">
        <f>IF(CQ2050&gt;0.1%,CQ2050,"Algo Esta Mal")</f>
        <v>0</v>
      </c>
      <c r="CS2050" s="33" t="str">
        <f>IF(CR2050=CQ2050,CP2050," ")</f>
        <v>0</v>
      </c>
      <c r="CY2050" t="str">
        <f>IF(CZ2050=DA2008,CY2008,IF(CZ2050=DA2009,CY2009,IF(CZ2050=DA2010,CY2010,IF(CZ2050=DA2011,CY2011,IF(CZ2050=DA2012,CY2012,"ALGO ESTA MAL")))))</f>
        <v>0</v>
      </c>
      <c r="CZ2050" s="34" t="str">
        <f>LARGE($DA$2008:$DA$2012,CX1050)</f>
        <v>0</v>
      </c>
      <c r="DA2050" s="34" t="str">
        <f>IF(CZ2050&gt;0.1%,CZ2050,"Algo Esta Mal")</f>
        <v>0</v>
      </c>
      <c r="DB2050" s="33" t="str">
        <f>IF(DA2050=CZ2050,CY2050," ")</f>
        <v>0</v>
      </c>
      <c r="DH2050" t="str">
        <f>IF(DI2050=DJ2008,DH2008,IF(DI2050=DJ2009,DH2009,IF(DI2050=DJ2010,DH2010,IF(DI2050=DJ2011,DH2011,IF(DI2050=DJ2012,DH2012,"ALGO ESTA MAL")))))</f>
        <v>0</v>
      </c>
      <c r="DI2050" s="34" t="str">
        <f>LARGE($DJ$2008:$DJ$2012,DG1050)</f>
        <v>0</v>
      </c>
      <c r="DJ2050" s="34" t="str">
        <f>IF(DI2050&gt;0.1%,DI2050,"Algo Esta Mal")</f>
        <v>0</v>
      </c>
      <c r="DK2050" s="33" t="str">
        <f>IF(DJ2050=DI2050,DH2050," ")</f>
        <v>0</v>
      </c>
      <c r="DQ2050" t="str">
        <f>IF(DR2050=DS2008,DQ2008,IF(DR2050=DS2009,DQ2009,IF(DR2050=DS2010,DQ2010,IF(DR2050=DS2011,DQ2011,IF(DR2050=DS2012,DQ2012,"ALGO ESTA MAL")))))</f>
        <v>0</v>
      </c>
      <c r="DR2050" s="34" t="str">
        <f>LARGE($DS$2008:$DS$2012,DP1050)</f>
        <v>0</v>
      </c>
      <c r="DS2050" s="34" t="str">
        <f>IF(DR2050&gt;0.1%,DR2050,"Algo Esta Mal")</f>
        <v>0</v>
      </c>
      <c r="DT2050" s="33" t="str">
        <f>IF(DS2050=DR2050,DQ2050," ")</f>
        <v>0</v>
      </c>
      <c r="DZ2050" t="str">
        <f>IF(EA2050=EB2008,DZ2008,IF(EA2050=EB2009,DZ2009,IF(EA2050=EB2010,DZ2010,IF(EA2050=EB2011,DZ2011,IF(EA2050=EB2012,DZ2012,"ALGO ESTA MAL")))))</f>
        <v>0</v>
      </c>
      <c r="EA2050" s="34" t="str">
        <f>LARGE($EB$2008:$EB$2012,DY1050)</f>
        <v>0</v>
      </c>
      <c r="EB2050" s="34" t="str">
        <f>IF(EA2050&gt;0.1%,EA2050,"Algo Esta Mal")</f>
        <v>0</v>
      </c>
      <c r="EC2050" s="33" t="str">
        <f>IF(EB2050=EA2050,DZ2050," ")</f>
        <v>0</v>
      </c>
      <c r="EI2050" t="str">
        <f>IF(EJ2050=EK2008,EI2008,IF(EJ2050=EK2009,EI2009,IF(EJ2050=EK2010,EI2010,IF(EJ2050=EK2011,EI2011,IF(EJ2050=EK2012,EI2012,"ALGO ESTA MAL")))))</f>
        <v>0</v>
      </c>
      <c r="EJ2050" s="34" t="str">
        <f>LARGE($EK$2008:$EK$2012,EH1050)</f>
        <v>0</v>
      </c>
      <c r="EK2050" s="34" t="str">
        <f>IF(EJ2050&gt;0.1%,EJ2050,"Algo Esta Mal")</f>
        <v>0</v>
      </c>
      <c r="EL2050" s="33" t="str">
        <f>IF(EK2050=EJ2050,EI2050," ")</f>
        <v>0</v>
      </c>
      <c r="ER2050" t="str">
        <f>IF(ES2050=ET2008,ER2008,IF(ES2050=ET2009,ER2009,IF(ES2050=ET2010,ER2010,IF(ES2050=ET2011,ER2011,IF(ES2050=ET2012,ER2012,"ALGO ESTA MAL")))))</f>
        <v>0</v>
      </c>
      <c r="ES2050" s="34" t="str">
        <f>LARGE($ET$2008:$ET$2012,EQ1050)</f>
        <v>0</v>
      </c>
      <c r="ET2050" s="34" t="str">
        <f>IF(ES2050&gt;0.1%,ES2050,"Algo Esta Mal")</f>
        <v>0</v>
      </c>
      <c r="EU2050" s="33" t="str">
        <f>IF(ET2050=ES2050,ER2050," ")</f>
        <v>0</v>
      </c>
      <c r="FA2050" t="str">
        <f>IF(FB2050=FC2008,FA2008,IF(FB2050=FC2009,FA2009,IF(FB2050=FC2010,FA2010,IF(FB2050=FC2011,FA2011,IF(FB2050=FC2012,FA2012,"ALGO ESTA MAL")))))</f>
        <v>0</v>
      </c>
      <c r="FB2050" s="34" t="str">
        <f>LARGE($FC$2008:$FC$2012,EZ1050)</f>
        <v>0</v>
      </c>
      <c r="FC2050" s="34" t="str">
        <f>IF(FB2050&gt;0.1%,FB2050,"Algo Esta Mal")</f>
        <v>0</v>
      </c>
      <c r="FD2050" s="33" t="str">
        <f>IF(FC2050=FB2050,FA2050," ")</f>
        <v>0</v>
      </c>
      <c r="FJ2050" t="str">
        <f>IF(FK2050=FL2008,FJ2008,IF(FK2050=FL2009,FJ2009,IF(FK2050=FL2010,FJ2010,IF(FK2050=FL2011,FJ2011,IF(FK2050=FL2012,FJ2012,"ALGO ESTA MAL")))))</f>
        <v>0</v>
      </c>
      <c r="FK2050" s="34" t="str">
        <f>LARGE($FL$2008:$FL$2012,FI1050)</f>
        <v>0</v>
      </c>
      <c r="FL2050" s="34" t="str">
        <f>IF(FK2050&gt;0.1%,FK2050,"Algo Esta Mal")</f>
        <v>0</v>
      </c>
      <c r="FM2050" s="33" t="str">
        <f>IF(FL2050=FK2050,FJ2050," ")</f>
        <v>0</v>
      </c>
      <c r="FS2050" t="str">
        <f>IF(FT2050=FU2008,FS2008,IF(FT2050=FU2009,FS2009,IF(FT2050=FU2010,FS2010,IF(FT2050=FU2011,FS2011,IF(FT2050=FU2012,FS2012,"ALGO ESTA MAL")))))</f>
        <v>0</v>
      </c>
      <c r="FT2050" s="34" t="str">
        <f>LARGE($FU$2008:$FU$2012,FR1050)</f>
        <v>0</v>
      </c>
      <c r="FU2050" s="34" t="str">
        <f>IF(FT2050&gt;0.1%,FT2050,"Algo Esta Mal")</f>
        <v>0</v>
      </c>
      <c r="FV2050" s="33" t="str">
        <f>IF(FU2050=FT2050,FS2050," ")</f>
        <v>0</v>
      </c>
      <c r="GB2050" t="str">
        <f>IF(GC2050=GD2008,GB2008,IF(GC2050=GD2009,GB2009,IF(GC2050=GD2010,GB2010,IF(GC2050=GD2011,GB2011,IF(GC2050=GD2012,GB2012,"ALGO ESTA MAL")))))</f>
        <v>0</v>
      </c>
      <c r="GC2050" s="34" t="str">
        <f>LARGE($GD$2008:$GD$2012,GA1050)</f>
        <v>0</v>
      </c>
      <c r="GD2050" s="34" t="str">
        <f>IF(GC2050&gt;0.1%,GC2050,"Algo Esta Mal")</f>
        <v>0</v>
      </c>
      <c r="GE2050" s="33" t="str">
        <f>IF(GD2050=GC2050,GB2050," ")</f>
        <v>0</v>
      </c>
      <c r="GK2050" t="str">
        <f>IF(GL2050=GM2008,GK2008,IF(GL2050=GM2009,GK2009,IF(GL2050=GM2010,GK2010,IF(GL2050=GM2011,GK2011,IF(GL2050=GM2012,GK2012,"ALGO ESTA MAL")))))</f>
        <v>0</v>
      </c>
      <c r="GL2050" s="34" t="str">
        <f>LARGE($GM$2008:$GM$2012,GJ1050)</f>
        <v>0</v>
      </c>
      <c r="GM2050" s="34" t="str">
        <f>IF(GL2050&gt;0.1%,GL2050,"Algo Esta Mal")</f>
        <v>0</v>
      </c>
      <c r="GN2050" s="33" t="str">
        <f>IF(GM2050=GL2050,GK2050," ")</f>
        <v>0</v>
      </c>
      <c r="GT2050" t="str">
        <f>IF(GU2050=GV2008,GT2008,IF(GU2050=GV2009,GT2009,IF(GU2050=GV2010,GT2010,IF(GU2050=GV2011,GT2011,IF(GU2050=GV2012,GT2012,"ALGO ESTA MAL")))))</f>
        <v>0</v>
      </c>
      <c r="GU2050" s="34" t="str">
        <f>LARGE($GV$2008:$GV$2012,GS1050)</f>
        <v>0</v>
      </c>
      <c r="GV2050" s="34" t="str">
        <f>IF(GU2050&gt;0.1%,GU2050,"Algo Esta Mal")</f>
        <v>0</v>
      </c>
      <c r="GW2050" s="33" t="str">
        <f>IF(GV2050=GU2050,GT2050," ")</f>
        <v>0</v>
      </c>
      <c r="HC2050" t="str">
        <f>IF(HD2050=HE2008,HC2008,IF(HD2050=HE2009,HC2009,IF(HD2050=HE2010,HC2010,IF(HD2050=HE2011,HC2011,IF(HD2050=HE2012,HC2012,"ALGO ESTA MAL")))))</f>
        <v>0</v>
      </c>
      <c r="HD2050" s="34" t="str">
        <f>LARGE($HE$2008:$HE$2012,HB1050)</f>
        <v>0</v>
      </c>
      <c r="HE2050" s="34" t="str">
        <f>IF(HD2050&gt;0.1%,HD2050,"Algo Esta Mal")</f>
        <v>0</v>
      </c>
      <c r="HF2050" s="33" t="str">
        <f>IF(HE2050=HD2050,HC2050," ")</f>
        <v>0</v>
      </c>
    </row>
    <row r="2052" spans="1:215">
      <c r="D2052" s="33" t="s">
        <v>539</v>
      </c>
      <c r="M2052" s="33" t="s">
        <v>539</v>
      </c>
      <c r="V2052" s="33" t="s">
        <v>539</v>
      </c>
      <c r="AE2052" s="33" t="s">
        <v>539</v>
      </c>
      <c r="AN2052" s="33" t="s">
        <v>539</v>
      </c>
      <c r="AW2052" s="33" t="s">
        <v>539</v>
      </c>
      <c r="BF2052" s="33" t="s">
        <v>539</v>
      </c>
      <c r="BO2052" s="33" t="s">
        <v>539</v>
      </c>
      <c r="BX2052" s="33" t="s">
        <v>539</v>
      </c>
      <c r="CG2052" s="33" t="s">
        <v>539</v>
      </c>
      <c r="CP2052" s="33" t="s">
        <v>539</v>
      </c>
      <c r="CY2052" s="33" t="s">
        <v>539</v>
      </c>
      <c r="DH2052" s="33" t="s">
        <v>539</v>
      </c>
      <c r="DQ2052" s="33" t="s">
        <v>539</v>
      </c>
      <c r="DZ2052" s="33" t="s">
        <v>539</v>
      </c>
      <c r="EI2052" s="33" t="s">
        <v>539</v>
      </c>
      <c r="ER2052" s="33" t="s">
        <v>539</v>
      </c>
      <c r="FA2052" s="33" t="s">
        <v>539</v>
      </c>
      <c r="FJ2052" s="33" t="s">
        <v>539</v>
      </c>
      <c r="FS2052" s="33" t="s">
        <v>539</v>
      </c>
      <c r="GB2052" s="33" t="s">
        <v>539</v>
      </c>
      <c r="GK2052" s="33" t="s">
        <v>539</v>
      </c>
      <c r="GT2052" s="33" t="s">
        <v>539</v>
      </c>
      <c r="HC2052" s="33" t="s">
        <v>539</v>
      </c>
    </row>
    <row r="2053" spans="1:215">
      <c r="D2053" s="34" t="str">
        <f>SUM(F2008:F2010)</f>
        <v>0</v>
      </c>
      <c r="E2053" s="34" t="str">
        <f>MAX(D2053:D2054)</f>
        <v>0</v>
      </c>
      <c r="M2053" s="34" t="str">
        <f>SUM(O2008:O2010)</f>
        <v>0</v>
      </c>
      <c r="N2053" s="34" t="str">
        <f>MAX(M2053:M2054)</f>
        <v>0</v>
      </c>
      <c r="V2053" s="34" t="str">
        <f>SUM(X2008:X2010)</f>
        <v>0</v>
      </c>
      <c r="W2053" s="34" t="str">
        <f>MAX(V2053:V2054)</f>
        <v>0</v>
      </c>
      <c r="AE2053" s="34" t="str">
        <f>SUM(AG2008:AG2010)</f>
        <v>0</v>
      </c>
      <c r="AF2053" s="34" t="str">
        <f>MAX(AE2053:AE2054)</f>
        <v>0</v>
      </c>
      <c r="AN2053" s="34" t="str">
        <f>SUM(AP2008:AP2010)</f>
        <v>0</v>
      </c>
      <c r="AO2053" s="34" t="str">
        <f>MAX(AN2053:AN2054)</f>
        <v>0</v>
      </c>
      <c r="AW2053" s="34" t="str">
        <f>SUM(AY2008:AY2010)</f>
        <v>0</v>
      </c>
      <c r="AX2053" s="34" t="str">
        <f>MAX(AW2053:AW2054)</f>
        <v>0</v>
      </c>
      <c r="BF2053" s="34" t="str">
        <f>SUM(BH2008:BH2010)</f>
        <v>0</v>
      </c>
      <c r="BG2053" s="34" t="str">
        <f>MAX(BF2053:BF2054)</f>
        <v>0</v>
      </c>
      <c r="BO2053" s="34" t="str">
        <f>SUM(BQ2008:BQ2010)</f>
        <v>0</v>
      </c>
      <c r="BP2053" s="34" t="str">
        <f>MAX(BO2053:BO2054)</f>
        <v>0</v>
      </c>
      <c r="BX2053" s="34" t="str">
        <f>SUM(BZ2008:BZ2010)</f>
        <v>0</v>
      </c>
      <c r="BY2053" s="34" t="str">
        <f>MAX(BX2053:BX2054)</f>
        <v>0</v>
      </c>
      <c r="CG2053" s="34" t="str">
        <f>SUM(CI2008:CI2010)</f>
        <v>0</v>
      </c>
      <c r="CH2053" s="34" t="str">
        <f>MAX(CG2053:CG2054)</f>
        <v>0</v>
      </c>
      <c r="CP2053" s="34" t="str">
        <f>SUM(CR2008:CR2010)</f>
        <v>0</v>
      </c>
      <c r="CQ2053" s="34" t="str">
        <f>MAX(CP2053:CP2054)</f>
        <v>0</v>
      </c>
      <c r="CY2053" s="34" t="str">
        <f>SUM(DA2008:DA2010)</f>
        <v>0</v>
      </c>
      <c r="CZ2053" s="34" t="str">
        <f>MAX(CY2053:CY2054)</f>
        <v>0</v>
      </c>
      <c r="DH2053" s="34" t="str">
        <f>SUM(DJ2008:DJ2010)</f>
        <v>0</v>
      </c>
      <c r="DI2053" s="34" t="str">
        <f>MAX(DH2053:DH2054)</f>
        <v>0</v>
      </c>
      <c r="DQ2053" s="34" t="str">
        <f>SUM(DS2008:DS2010)</f>
        <v>0</v>
      </c>
      <c r="DR2053" s="34" t="str">
        <f>MAX(DQ2053:DQ2054)</f>
        <v>0</v>
      </c>
      <c r="DZ2053" s="34" t="str">
        <f>SUM(EB2008:EB2010)</f>
        <v>0</v>
      </c>
      <c r="EA2053" s="34" t="str">
        <f>MAX(DZ2053:DZ2054)</f>
        <v>0</v>
      </c>
      <c r="EI2053" s="34" t="str">
        <f>SUM(EK2008:EK2010)</f>
        <v>0</v>
      </c>
      <c r="EJ2053" s="34" t="str">
        <f>MAX(EI2053:EI2054)</f>
        <v>0</v>
      </c>
      <c r="ER2053" s="34" t="str">
        <f>SUM(ET2008:ET2010)</f>
        <v>0</v>
      </c>
      <c r="ES2053" s="34" t="str">
        <f>MAX(ER2053:ER2054)</f>
        <v>0</v>
      </c>
      <c r="FA2053" s="34" t="str">
        <f>SUM(FC2008:FC2010)</f>
        <v>0</v>
      </c>
      <c r="FB2053" s="34" t="str">
        <f>MAX(FA2053:FA2054)</f>
        <v>0</v>
      </c>
      <c r="FJ2053" s="34" t="str">
        <f>SUM(FL2008:FL2010)</f>
        <v>0</v>
      </c>
      <c r="FK2053" s="34" t="str">
        <f>MAX(FJ2053:FJ2054)</f>
        <v>0</v>
      </c>
      <c r="FS2053" s="34" t="str">
        <f>SUM(FU2008:FU2010)</f>
        <v>0</v>
      </c>
      <c r="FT2053" s="34" t="str">
        <f>MAX(FS2053:FS2054)</f>
        <v>0</v>
      </c>
      <c r="GB2053" s="34" t="str">
        <f>SUM(GD2008:GD2010)</f>
        <v>0</v>
      </c>
      <c r="GC2053" s="34" t="str">
        <f>MAX(GB2053:GB2054)</f>
        <v>0</v>
      </c>
      <c r="GK2053" s="34" t="str">
        <f>SUM(GM2008:GM2010)</f>
        <v>0</v>
      </c>
      <c r="GL2053" s="34" t="str">
        <f>MAX(GK2053:GK2054)</f>
        <v>0</v>
      </c>
      <c r="GT2053" s="34" t="str">
        <f>SUM(GV2008:GV2010)</f>
        <v>0</v>
      </c>
      <c r="GU2053" s="34" t="str">
        <f>MAX(GT2053:GT2054)</f>
        <v>0</v>
      </c>
      <c r="HC2053" s="34" t="str">
        <f>SUM(HE2008:HE2010)</f>
        <v>0</v>
      </c>
      <c r="HD2053" s="34" t="str">
        <f>MAX(HC2053:HC2054)</f>
        <v>0</v>
      </c>
    </row>
    <row r="2054" spans="1:215">
      <c r="D2054" s="34" t="str">
        <f>SUM(F2010:F2012)</f>
        <v>0</v>
      </c>
      <c r="M2054" s="34" t="str">
        <f>SUM(O2010:O2012)</f>
        <v>0</v>
      </c>
      <c r="V2054" s="34" t="str">
        <f>SUM(X2010:X2012)</f>
        <v>0</v>
      </c>
      <c r="AE2054" s="34" t="str">
        <f>SUM(AG2010:AG2012)</f>
        <v>0</v>
      </c>
      <c r="AN2054" s="34" t="str">
        <f>SUM(AP2010:AP2012)</f>
        <v>0</v>
      </c>
      <c r="AW2054" s="34" t="str">
        <f>SUM(AY2010:AY2012)</f>
        <v>0</v>
      </c>
      <c r="BF2054" s="34" t="str">
        <f>SUM(BH2010:BH2012)</f>
        <v>0</v>
      </c>
      <c r="BO2054" s="34" t="str">
        <f>SUM(BQ2010:BQ2012)</f>
        <v>0</v>
      </c>
      <c r="BX2054" s="34" t="str">
        <f>SUM(BZ2010:BZ2012)</f>
        <v>0</v>
      </c>
      <c r="CG2054" s="34" t="str">
        <f>SUM(CI2010:CI2012)</f>
        <v>0</v>
      </c>
      <c r="CP2054" s="34" t="str">
        <f>SUM(CR2010:CR2012)</f>
        <v>0</v>
      </c>
      <c r="CY2054" s="34" t="str">
        <f>SUM(DA2010:DA2012)</f>
        <v>0</v>
      </c>
      <c r="DH2054" s="34" t="str">
        <f>SUM(DJ2010:DJ2012)</f>
        <v>0</v>
      </c>
      <c r="DQ2054" s="34" t="str">
        <f>SUM(DS2010:DS2012)</f>
        <v>0</v>
      </c>
      <c r="DZ2054" s="34" t="str">
        <f>SUM(EB2010:EB2012)</f>
        <v>0</v>
      </c>
      <c r="EI2054" s="34" t="str">
        <f>SUM(EK2010:EK2012)</f>
        <v>0</v>
      </c>
      <c r="ER2054" s="34" t="str">
        <f>SUM(ET2010:ET2012)</f>
        <v>0</v>
      </c>
      <c r="FA2054" s="34" t="str">
        <f>SUM(FC2010:FC2012)</f>
        <v>0</v>
      </c>
      <c r="FJ2054" s="34" t="str">
        <f>SUM(FL2010:FL2012)</f>
        <v>0</v>
      </c>
      <c r="FS2054" s="34" t="str">
        <f>SUM(FU2010:FU2012)</f>
        <v>0</v>
      </c>
      <c r="GB2054" s="34" t="str">
        <f>SUM(GD2010:GD2012)</f>
        <v>0</v>
      </c>
      <c r="GK2054" s="34" t="str">
        <f>SUM(GM2010:GM2012)</f>
        <v>0</v>
      </c>
      <c r="GT2054" s="34" t="str">
        <f>SUM(GV2010:GV2012)</f>
        <v>0</v>
      </c>
      <c r="HC2054" s="34" t="str">
        <f>SUM(HE2010:HE2012)</f>
        <v>0</v>
      </c>
    </row>
    <row r="2056" spans="1:215">
      <c r="E2056" s="34" t="str">
        <f>SUM(F2008:F2009)</f>
        <v>0</v>
      </c>
      <c r="N2056" s="34" t="str">
        <f>SUM(O2008:O2009)</f>
        <v>0</v>
      </c>
      <c r="W2056" s="34" t="str">
        <f>SUM(X2008:X2009)</f>
        <v>0</v>
      </c>
      <c r="AF2056" s="34" t="str">
        <f>SUM(AG2008:AG2009)</f>
        <v>0</v>
      </c>
      <c r="AO2056" s="34" t="str">
        <f>SUM(AP2008:AP2009)</f>
        <v>0</v>
      </c>
      <c r="AX2056" s="34" t="str">
        <f>SUM(AY2008:AY2009)</f>
        <v>0</v>
      </c>
      <c r="BG2056" s="34" t="str">
        <f>SUM(BH2008:BH2009)</f>
        <v>0</v>
      </c>
      <c r="BP2056" s="34" t="str">
        <f>SUM(BQ2008:BQ2009)</f>
        <v>0</v>
      </c>
      <c r="BY2056" s="34" t="str">
        <f>SUM(BZ2008:BZ2009)</f>
        <v>0</v>
      </c>
      <c r="CH2056" s="34" t="str">
        <f>SUM(CI2008:CI2009)</f>
        <v>0</v>
      </c>
      <c r="CQ2056" s="34" t="str">
        <f>SUM(CR2008:CR2009)</f>
        <v>0</v>
      </c>
      <c r="CZ2056" s="34" t="str">
        <f>SUM(DA2008:DA2009)</f>
        <v>0</v>
      </c>
      <c r="DI2056" s="34" t="str">
        <f>SUM(DJ2008:DJ2009)</f>
        <v>0</v>
      </c>
      <c r="DR2056" s="34" t="str">
        <f>SUM(DS2008:DS2009)</f>
        <v>0</v>
      </c>
      <c r="EA2056" s="34" t="str">
        <f>SUM(EB2008:EB2009)</f>
        <v>0</v>
      </c>
      <c r="EJ2056" s="34" t="str">
        <f>SUM(EK2008:EK2009)</f>
        <v>0</v>
      </c>
      <c r="ES2056" s="34" t="str">
        <f>SUM(ET2008:ET2009)</f>
        <v>0</v>
      </c>
      <c r="FB2056" s="34" t="str">
        <f>SUM(FC2008:FC2009)</f>
        <v>0</v>
      </c>
      <c r="FK2056" s="34" t="str">
        <f>SUM(FL2008:FL2009)</f>
        <v>0</v>
      </c>
      <c r="FT2056" s="34" t="str">
        <f>SUM(FU2008:FU2009)</f>
        <v>0</v>
      </c>
      <c r="GC2056" s="34" t="str">
        <f>SUM(GD2008:GD2009)</f>
        <v>0</v>
      </c>
      <c r="GL2056" s="34" t="str">
        <f>SUM(GM2008:GM2009)</f>
        <v>0</v>
      </c>
      <c r="GU2056" s="34" t="str">
        <f>SUM(GV2008:GV2009)</f>
        <v>0</v>
      </c>
      <c r="HD2056" s="34" t="str">
        <f>SUM(HE2008:HE2009)</f>
        <v>0</v>
      </c>
    </row>
    <row r="2057" spans="1:215">
      <c r="E2057" s="34" t="str">
        <f>SUM(F2010)</f>
        <v>0</v>
      </c>
      <c r="N2057" s="34" t="str">
        <f>SUM(O2010)</f>
        <v>0</v>
      </c>
      <c r="W2057" s="34" t="str">
        <f>SUM(X2010)</f>
        <v>0</v>
      </c>
      <c r="AF2057" s="34" t="str">
        <f>SUM(AG2010)</f>
        <v>0</v>
      </c>
      <c r="AO2057" s="34" t="str">
        <f>SUM(AP2010)</f>
        <v>0</v>
      </c>
      <c r="AX2057" s="34" t="str">
        <f>SUM(AY2010)</f>
        <v>0</v>
      </c>
      <c r="BG2057" s="34" t="str">
        <f>SUM(BH2010)</f>
        <v>0</v>
      </c>
      <c r="BP2057" s="34" t="str">
        <f>SUM(BQ2010)</f>
        <v>0</v>
      </c>
      <c r="BY2057" s="34" t="str">
        <f>SUM(BZ2010)</f>
        <v>0</v>
      </c>
      <c r="CH2057" s="34" t="str">
        <f>SUM(CI2010)</f>
        <v>0</v>
      </c>
      <c r="CQ2057" s="34" t="str">
        <f>SUM(CR2010)</f>
        <v>0</v>
      </c>
      <c r="CZ2057" s="34" t="str">
        <f>SUM(DA2010)</f>
        <v>0</v>
      </c>
      <c r="DI2057" s="34" t="str">
        <f>SUM(DJ2010)</f>
        <v>0</v>
      </c>
      <c r="DR2057" s="34" t="str">
        <f>SUM(DS2010)</f>
        <v>0</v>
      </c>
      <c r="EA2057" s="34" t="str">
        <f>SUM(EB2010)</f>
        <v>0</v>
      </c>
      <c r="EJ2057" s="34" t="str">
        <f>SUM(EK2010)</f>
        <v>0</v>
      </c>
      <c r="ES2057" s="34" t="str">
        <f>SUM(ET2010)</f>
        <v>0</v>
      </c>
      <c r="FB2057" s="34" t="str">
        <f>SUM(FC2010)</f>
        <v>0</v>
      </c>
      <c r="FK2057" s="34" t="str">
        <f>SUM(FL2010)</f>
        <v>0</v>
      </c>
      <c r="FT2057" s="34" t="str">
        <f>SUM(FU2010)</f>
        <v>0</v>
      </c>
      <c r="GC2057" s="34" t="str">
        <f>SUM(GD2010)</f>
        <v>0</v>
      </c>
      <c r="GL2057" s="34" t="str">
        <f>SUM(GM2010)</f>
        <v>0</v>
      </c>
      <c r="GU2057" s="34" t="str">
        <f>SUM(GV2010)</f>
        <v>0</v>
      </c>
      <c r="HD2057" s="34" t="str">
        <f>SUM(HE2010)</f>
        <v>0</v>
      </c>
    </row>
    <row r="2058" spans="1:215">
      <c r="E2058" s="34" t="str">
        <f>SUM(F2011:F2012)</f>
        <v>0</v>
      </c>
      <c r="N2058" s="34" t="str">
        <f>SUM(O2011:O2012)</f>
        <v>0</v>
      </c>
      <c r="W2058" s="34" t="str">
        <f>SUM(X2011:X2012)</f>
        <v>0</v>
      </c>
      <c r="AF2058" s="34" t="str">
        <f>SUM(AG2011:AG2012)</f>
        <v>0</v>
      </c>
      <c r="AO2058" s="34" t="str">
        <f>SUM(AP2011:AP2012)</f>
        <v>0</v>
      </c>
      <c r="AX2058" s="34" t="str">
        <f>SUM(AY2011:AY2012)</f>
        <v>0</v>
      </c>
      <c r="BG2058" s="34" t="str">
        <f>SUM(BH2011:BH2012)</f>
        <v>0</v>
      </c>
      <c r="BP2058" s="34" t="str">
        <f>SUM(BQ2011:BQ2012)</f>
        <v>0</v>
      </c>
      <c r="BY2058" s="34" t="str">
        <f>SUM(BZ2011:BZ2012)</f>
        <v>0</v>
      </c>
      <c r="CH2058" s="34" t="str">
        <f>SUM(CI2011:CI2012)</f>
        <v>0</v>
      </c>
      <c r="CQ2058" s="34" t="str">
        <f>SUM(CR2011:CR2012)</f>
        <v>0</v>
      </c>
      <c r="CZ2058" s="34" t="str">
        <f>SUM(DA2011:DA2012)</f>
        <v>0</v>
      </c>
      <c r="DI2058" s="34" t="str">
        <f>SUM(DJ2011:DJ2012)</f>
        <v>0</v>
      </c>
      <c r="DR2058" s="34" t="str">
        <f>SUM(DS2011:DS2012)</f>
        <v>0</v>
      </c>
      <c r="EA2058" s="34" t="str">
        <f>SUM(EB2011:EB2012)</f>
        <v>0</v>
      </c>
      <c r="EJ2058" s="34" t="str">
        <f>SUM(EK2011:EK2012)</f>
        <v>0</v>
      </c>
      <c r="ES2058" s="34" t="str">
        <f>SUM(ET2011:ET2012)</f>
        <v>0</v>
      </c>
      <c r="FB2058" s="34" t="str">
        <f>SUM(FC2011:FC2012)</f>
        <v>0</v>
      </c>
      <c r="FK2058" s="34" t="str">
        <f>SUM(FL2011:FL2012)</f>
        <v>0</v>
      </c>
      <c r="FT2058" s="34" t="str">
        <f>SUM(FU2011:FU2012)</f>
        <v>0</v>
      </c>
      <c r="GC2058" s="34" t="str">
        <f>SUM(GD2011:GD2012)</f>
        <v>0</v>
      </c>
      <c r="GL2058" s="34" t="str">
        <f>SUM(GM2011:GM2012)</f>
        <v>0</v>
      </c>
      <c r="GU2058" s="34" t="str">
        <f>SUM(GV2011:GV2012)</f>
        <v>0</v>
      </c>
      <c r="HD2058" s="34" t="str">
        <f>SUM(HE2011:HE2012)</f>
        <v>0</v>
      </c>
    </row>
    <row r="2060" spans="1:215">
      <c r="E2060" s="33" t="str">
        <f>IF(E2056&gt;=51%,D2056,IF(E2057&gt;=51%,D2057,IF(E2058&gt;=51%,D2058,IF(SUM(E2056:E2057)&gt;SUM(E2057:E2058),D2056,IF(SUM(E2056:E2057)&lt;SUM(E2057:E2058),D2058,"Algo esta Mal")))))</f>
        <v>0</v>
      </c>
      <c r="N2060" s="33" t="str">
        <f>IF(N2056&gt;=51%,M2056,IF(N2057&gt;=51%,M2057,IF(N2058&gt;=51%,M2058,IF(SUM(N2056:N2057)&gt;SUM(N2057:N2058),M2056,IF(SUM(N2056:N2057)&lt;SUM(N2057:N2058),M2058,"Algo esta Mal")))))</f>
        <v>0</v>
      </c>
      <c r="W2060" s="33" t="str">
        <f>IF(W2056&gt;=51%,V2056,IF(W2057&gt;=51%,V2057,IF(W2058&gt;=51%,V2058,IF(SUM(W2056:W2057)&gt;SUM(W2057:W2058),V2056,IF(SUM(W2056:W2057)&lt;SUM(W2057:W2058),V2058,"Algo esta Mal")))))</f>
        <v>0</v>
      </c>
      <c r="AF2060" s="33" t="str">
        <f>IF(AF2056&gt;=51%,AE2056,IF(AF2057&gt;=51%,AE2057,IF(AF2058&gt;=51%,AE2058,IF(SUM(AF2056:AF2057)&gt;SUM(AF2057:AF2058),AE2056,IF(SUM(AF2056:AF2057)&lt;SUM(AF2057:AF2058),AE2058,"Algo esta Mal")))))</f>
        <v>0</v>
      </c>
      <c r="AO2060" s="33" t="str">
        <f>IF(AO2056&gt;=51%,AN2056,IF(AO2057&gt;=51%,AN2057,IF(AO2058&gt;=51%,AN2058,IF(SUM(AO2056:AO2057)&gt;SUM(AO2057:AO2058),AN2056,IF(SUM(AO2056:AO2057)&lt;SUM(AO2057:AO2058),AN2058,"Algo esta Mal")))))</f>
        <v>0</v>
      </c>
      <c r="AX2060" s="33" t="str">
        <f>IF(AX2056&gt;=51%,AW2056,IF(AX2057&gt;=51%,AW2057,IF(AX2058&gt;=51%,AW2058,IF(SUM(AX2056:AX2057)&gt;SUM(AX2057:AX2058),AW2056,IF(SUM(AX2056:AX2057)&lt;SUM(AX2057:AX2058),AW2058,"Algo esta Mal")))))</f>
        <v>0</v>
      </c>
      <c r="BG2060" s="33" t="str">
        <f>IF(BG2056&gt;=51%,BF2056,IF(BG2057&gt;=51%,BF2057,IF(BG2058&gt;=51%,BF2058,IF(SUM(BG2056:BG2057)&gt;SUM(BG2057:BG2058),BF2056,IF(SUM(BG2056:BG2057)&lt;SUM(BG2057:BG2058),BF2058,"Algo esta Mal")))))</f>
        <v>0</v>
      </c>
      <c r="BP2060" s="33" t="str">
        <f>IF(BP2056&gt;=51%,BO2056,IF(BP2057&gt;=51%,BO2057,IF(BP2058&gt;=51%,BO2058,IF(SUM(BP2056:BP2057)&gt;SUM(BP2057:BP2058),BO2056,IF(SUM(BP2056:BP2057)&lt;SUM(BP2057:BP2058),BO2058,"Algo esta Mal")))))</f>
        <v>0</v>
      </c>
      <c r="BY2060" s="33" t="str">
        <f>IF(BY2056&gt;=51%,BX2056,IF(BY2057&gt;=51%,BX2057,IF(BY2058&gt;=51%,BX2058,IF(SUM(BY2056:BY2057)&gt;SUM(BY2057:BY2058),BX2056,IF(SUM(BY2056:BY2057)&lt;SUM(BY2057:BY2058),BX2058,"Algo esta Mal")))))</f>
        <v>0</v>
      </c>
      <c r="CH2060" s="33" t="str">
        <f>IF(CH2056&gt;=51%,CG2056,IF(CH2057&gt;=51%,CG2057,IF(CH2058&gt;=51%,CG2058,IF(SUM(CH2056:CH2057)&gt;SUM(CH2057:CH2058),CG2056,IF(SUM(CH2056:CH2057)&lt;SUM(CH2057:CH2058),CG2058,"Algo esta Mal")))))</f>
        <v>0</v>
      </c>
      <c r="CQ2060" s="33" t="str">
        <f>IF(CQ2056&gt;=51%,CP2056,IF(CQ2057&gt;=51%,CP2057,IF(CQ2058&gt;=51%,CP2058,IF(SUM(CQ2056:CQ2057)&gt;SUM(CQ2057:CQ2058),CP2056,IF(SUM(CQ2056:CQ2057)&lt;SUM(CQ2057:CQ2058),CP2058,"Algo esta Mal")))))</f>
        <v>0</v>
      </c>
      <c r="CZ2060" s="33" t="str">
        <f>IF(CZ2056&gt;=51%,CY2056,IF(CZ2057&gt;=51%,CY2057,IF(CZ2058&gt;=51%,CY2058,IF(SUM(CZ2056:CZ2057)&gt;SUM(CZ2057:CZ2058),CY2056,IF(SUM(CZ2056:CZ2057)&lt;SUM(CZ2057:CZ2058),CY2058,"Algo esta Mal")))))</f>
        <v>0</v>
      </c>
      <c r="DI2060" s="33" t="str">
        <f>IF(DI2056&gt;=51%,DH2056,IF(DI2057&gt;=51%,DH2057,IF(DI2058&gt;=51%,DH2058,IF(SUM(DI2056:DI2057)&gt;SUM(DI2057:DI2058),DH2056,IF(SUM(DI2056:DI2057)&lt;SUM(DI2057:DI2058),DH2058,"Algo esta Mal")))))</f>
        <v>0</v>
      </c>
      <c r="DR2060" s="33" t="str">
        <f>IF(DR2056&gt;=51%,DQ2056,IF(DR2057&gt;=51%,DQ2057,IF(DR2058&gt;=51%,DQ2058,IF(SUM(DR2056:DR2057)&gt;SUM(DR2057:DR2058),DQ2056,IF(SUM(DR2056:DR2057)&lt;SUM(DR2057:DR2058),DQ2058,"Algo esta Mal")))))</f>
        <v>0</v>
      </c>
      <c r="EA2060" s="33" t="str">
        <f>IF(EA2056&gt;=51%,DZ2056,IF(EA2057&gt;=51%,DZ2057,IF(EA2058&gt;=51%,DZ2058,IF(SUM(EA2056:EA2057)&gt;SUM(EA2057:EA2058),DZ2056,IF(SUM(EA2056:EA2057)&lt;SUM(EA2057:EA2058),DZ2058,"Algo esta Mal")))))</f>
        <v>0</v>
      </c>
      <c r="EJ2060" s="33" t="str">
        <f>IF(EJ2056&gt;=51%,EI2056,IF(EJ2057&gt;=51%,EI2057,IF(EJ2058&gt;=51%,EI2058,IF(SUM(EJ2056:EJ2057)&gt;SUM(EJ2057:EJ2058),EI2056,IF(SUM(EJ2056:EJ2057)&lt;SUM(EJ2057:EJ2058),EI2058,"Algo esta Mal")))))</f>
        <v>0</v>
      </c>
      <c r="ES2060" s="33" t="str">
        <f>IF(ES2056&gt;=51%,ER2056,IF(ES2057&gt;=51%,ER2057,IF(ES2058&gt;=51%,ER2058,IF(SUM(ES2056:ES2057)&gt;SUM(ES2057:ES2058),ER2056,IF(SUM(ES2056:ES2057)&lt;SUM(ES2057:ES2058),ER2058,"Algo esta Mal")))))</f>
        <v>0</v>
      </c>
      <c r="FB2060" s="33" t="str">
        <f>IF(FB2056&gt;=51%,FA2056,IF(FB2057&gt;=51%,FA2057,IF(FB2058&gt;=51%,FA2058,IF(SUM(FB2056:FB2057)&gt;SUM(FB2057:FB2058),FA2056,IF(SUM(FB2056:FB2057)&lt;SUM(FB2057:FB2058),FA2058,"Algo esta Mal")))))</f>
        <v>0</v>
      </c>
      <c r="FK2060" s="33" t="str">
        <f>IF(FK2056&gt;=51%,FJ2056,IF(FK2057&gt;=51%,FJ2057,IF(FK2058&gt;=51%,FJ2058,IF(SUM(FK2056:FK2057)&gt;SUM(FK2057:FK2058),FJ2056,IF(SUM(FK2056:FK2057)&lt;SUM(FK2057:FK2058),FJ2058,"Algo esta Mal")))))</f>
        <v>0</v>
      </c>
      <c r="FT2060" s="33" t="str">
        <f>IF(FT2056&gt;=51%,FS2056,IF(FT2057&gt;=51%,FS2057,IF(FT2058&gt;=51%,FS2058,IF(SUM(FT2056:FT2057)&gt;SUM(FT2057:FT2058),FS2056,IF(SUM(FT2056:FT2057)&lt;SUM(FT2057:FT2058),FS2058,"Algo esta Mal")))))</f>
        <v>0</v>
      </c>
      <c r="GC2060" s="33" t="str">
        <f>IF(GC2056&gt;=51%,GB2056,IF(GC2057&gt;=51%,GB2057,IF(GC2058&gt;=51%,GB2058,IF(SUM(GC2056:GC2057)&gt;SUM(GC2057:GC2058),GB2056,IF(SUM(GC2056:GC2057)&lt;SUM(GC2057:GC2058),GB2058,"Algo esta Mal")))))</f>
        <v>0</v>
      </c>
      <c r="GL2060" s="33" t="str">
        <f>IF(GL2056&gt;=51%,GK2056,IF(GL2057&gt;=51%,GK2057,IF(GL2058&gt;=51%,GK2058,IF(SUM(GL2056:GL2057)&gt;SUM(GL2057:GL2058),GK2056,IF(SUM(GL2056:GL2057)&lt;SUM(GL2057:GL2058),GK2058,"Algo esta Mal")))))</f>
        <v>0</v>
      </c>
      <c r="GU2060" s="33" t="str">
        <f>IF(GU2056&gt;=51%,GT2056,IF(GU2057&gt;=51%,GT2057,IF(GU2058&gt;=51%,GT2058,IF(SUM(GU2056:GU2057)&gt;SUM(GU2057:GU2058),GT2056,IF(SUM(GU2056:GU2057)&lt;SUM(GU2057:GU2058),GT2058,"Algo esta Mal")))))</f>
        <v>0</v>
      </c>
      <c r="HD2060" s="33" t="str">
        <f>IF(HD2056&gt;=51%,HC2056,IF(HD2057&gt;=51%,HC2057,IF(HD2058&gt;=51%,HC2058,IF(SUM(HD2056:HD2057)&gt;SUM(HD2057:HD2058),HC2056,IF(SUM(HD2056:HD2057)&lt;SUM(HD2057:HD2058),HC2058,"Algo esta Mal")))))</f>
        <v>0</v>
      </c>
    </row>
    <row r="2062" spans="1:215">
      <c r="E2062" s="33" t="s">
        <v>439</v>
      </c>
      <c r="N2062" s="33"/>
      <c r="W2062" s="33"/>
      <c r="AF2062" s="33"/>
      <c r="AO2062" s="33"/>
      <c r="AX2062" s="33"/>
      <c r="BG2062" s="33"/>
      <c r="BP2062" s="33"/>
      <c r="BY2062" s="33"/>
      <c r="CH2062" s="33"/>
      <c r="CQ2062" s="33"/>
      <c r="CZ2062" s="33"/>
      <c r="DI2062" s="33"/>
      <c r="DR2062" s="33"/>
      <c r="EA2062" s="33"/>
      <c r="EJ2062" s="33"/>
      <c r="ES2062" s="33"/>
      <c r="FB2062" s="33"/>
      <c r="FK2062" s="33"/>
      <c r="FT2062" s="33"/>
      <c r="GC2062" s="33"/>
      <c r="GL2062" s="33"/>
      <c r="GU2062" s="33"/>
      <c r="HD2062" s="33"/>
    </row>
    <row r="2135" spans="1:215">
      <c r="D2135" s="27" t="str">
        <f>CONCATENATE("En ","la ",D5," y ",D33," se observa los resultados  del  ",D4," el cual aborda ",E2062,",en donde se demuestra que el ",ROUND(F2008*100,0),"%"," de los ",D1045," tienen una percepción de ",G2046,", el ",ROUND(F2009*100,0),"%"," ",G2047,", un ",ROUND(F2010*100,0),"%"," ",G2048,",",IF(E2049&gt;0,CONCATENATE(" ademas el ",ROUND(F2011*100,0),"%"," ",G2049,)," "),IF(E2049&gt;0,CONCATENATE(" y ",ROUND(F2012*100,0),"%",", ",G2050,)," "),"en tal sentido la mayoría de los ",D1045," es decir el ",ROUND(E2053*100,0),"%"," tienen una percepción con una inclinación a un valor ",D2056,","," para ",E2062,".")</f>
        <v>0</v>
      </c>
      <c r="M2135" s="27" t="str">
        <f>CONCATENATE("En ","la ",M5," y ",M33," se observa los resultados  del  ",M4," el cual aborda ",N2062,",en donde se demuestra que el ",ROUND(O2008*100,0),"%"," de los ",M1045," tienen una percepción de ",P2046,", el ",ROUND(O2009*100,0),"%"," ",P2047,", un ",ROUND(O2010*100,0),"%"," ",P2048,",",IF(N2049&gt;0,CONCATENATE(" ademas el ",ROUND(O2011*100,0),"%"," ",P2049,)," "),IF(N2049&gt;0,CONCATENATE(" y ",ROUND(O2012*100,0),"%",", ",P2050,)," "),"en tal sentido la mayoría de los ",M1045," es decir el ",ROUND(N2053*100,0),"%"," tienen una percepción con una inclinación a un valor ",M2056,","," para ",N2062,".")</f>
        <v>0</v>
      </c>
      <c r="V2135" s="27" t="str">
        <f>CONCATENATE("En ","la ",V5," y ",V33," se observa los resultados  del  ",V4," el cual aborda ",W2062,",en donde se demuestra que el ",ROUND(X2008*100,0),"%"," de los ",V1045," tienen una percepción de ",Y2046,", el ",ROUND(X2009*100,0),"%"," ",Y2047,", un ",ROUND(X2010*100,0),"%"," ",Y2048,",",IF(W2049&gt;0,CONCATENATE(" ademas el ",ROUND(X2011*100,0),"%"," ",Y2049,)," "),IF(W2049&gt;0,CONCATENATE(" y ",ROUND(X2012*100,0),"%",", ",Y2050,)," "),"en tal sentido la mayoría de los ",V1045," es decir el ",ROUND(W2053*100,0),"%"," tienen una percepción con una inclinación a un valor ",V2056,","," para ",W2062,".")</f>
        <v>0</v>
      </c>
      <c r="AE2135" s="27" t="str">
        <f>CONCATENATE("En ","la ",AE5," y ",AE33," se observa los resultados  del  ",AE4," el cual aborda ",AF2062,",en donde se demuestra que el ",ROUND(AG2008*100,0),"%"," de los ",AE1045," tienen una percepción de ",AH2046,", el ",ROUND(AG2009*100,0),"%"," ",AH2047,", un ",ROUND(AG2010*100,0),"%"," ",AH2048,",",IF(AF2049&gt;0,CONCATENATE(" ademas el ",ROUND(AG2011*100,0),"%"," ",AH2049,)," "),IF(AF2049&gt;0,CONCATENATE(" y ",ROUND(AG2012*100,0),"%",", ",AH2050,)," "),"en tal sentido la mayoría de los ",AE1045," es decir el ",ROUND(AF2053*100,0),"%"," tienen una percepción con una inclinación a un valor ",AE2056,","," para ",AF2062,".")</f>
        <v>0</v>
      </c>
      <c r="AN2135" s="27" t="str">
        <f>CONCATENATE("En ","la ",AN5," y ",AN33," se observa los resultados  del  ",AN4," el cual aborda ",AO2062,",en donde se demuestra que el ",ROUND(AP2008*100,0),"%"," de los ",AN1045," tienen una percepción de ",AQ2046,", el ",ROUND(AP2009*100,0),"%"," ",AQ2047,", un ",ROUND(AP2010*100,0),"%"," ",AQ2048,",",IF(AO2049&gt;0,CONCATENATE(" ademas el ",ROUND(AP2011*100,0),"%"," ",AQ2049,)," "),IF(AO2049&gt;0,CONCATENATE(" y ",ROUND(AP2012*100,0),"%",", ",AQ2050,)," "),"en tal sentido la mayoría de los ",AN1045," es decir el ",ROUND(AO2053*100,0),"%"," tienen una percepción con una inclinación a un valor ",AN2056,","," para ",AO2062,".")</f>
        <v>0</v>
      </c>
      <c r="AW2135" s="27" t="str">
        <f>CONCATENATE("En ","la ",AW5," y ",AW33," se observa los resultados  del  ",AW4," el cual aborda ",AX2062,",en donde se demuestra que el ",ROUND(AY2008*100,0),"%"," de los ",AW1045," tienen una percepción de ",AZ2046,", el ",ROUND(AY2009*100,0),"%"," ",AZ2047,", un ",ROUND(AY2010*100,0),"%"," ",AZ2048,",",IF(AX2049&gt;0,CONCATENATE(" ademas el ",ROUND(AY2011*100,0),"%"," ",AZ2049,)," "),IF(AX2049&gt;0,CONCATENATE(" y ",ROUND(AY2012*100,0),"%",", ",AZ2050,)," "),"en tal sentido la mayoría de los ",AW1045," es decir el ",ROUND(AX2053*100,0),"%"," tienen una percepción con una inclinación a un valor ",AW2056,","," para ",AX2062,".")</f>
        <v>0</v>
      </c>
      <c r="BF2135" s="27" t="str">
        <f>CONCATENATE("En ","la ",BF5," y ",BF33," se observa los resultados  del  ",BF4," el cual aborda ",BG2062,",en donde se demuestra que el ",ROUND(BH2008*100,0),"%"," de los ",BF1045," tienen una percepción de ",BI2046,", el ",ROUND(BH2009*100,0),"%"," ",BI2047,", un ",ROUND(BH2010*100,0),"%"," ",BI2048,",",IF(BG2049&gt;0,CONCATENATE(" ademas el ",ROUND(BH2011*100,0),"%"," ",BI2049,)," "),IF(BG2049&gt;0,CONCATENATE(" y ",ROUND(BH2012*100,0),"%",", ",BI2050,)," "),"en tal sentido la mayoría de los ",BF1045," es decir el ",ROUND(BG2053*100,0),"%"," tienen una percepción con una inclinación a un valor ",BF2056,","," para ",BG2062,".")</f>
        <v>0</v>
      </c>
      <c r="BO2135" s="27" t="str">
        <f>CONCATENATE("En ","la ",BO5," y ",BO33," se observa los resultados  del  ",BO4," el cual aborda ",BP2062,",en donde se demuestra que el ",ROUND(BQ2008*100,0),"%"," de los ",BO1045," tienen una percepción de ",BR2046,", el ",ROUND(BQ2009*100,0),"%"," ",BR2047,", un ",ROUND(BQ2010*100,0),"%"," ",BR2048,",",IF(BP2049&gt;0,CONCATENATE(" ademas el ",ROUND(BQ2011*100,0),"%"," ",BR2049,)," "),IF(BP2049&gt;0,CONCATENATE(" y ",ROUND(BQ2012*100,0),"%",", ",BR2050,)," "),"en tal sentido la mayoría de los ",BO1045," es decir el ",ROUND(BP2053*100,0),"%"," tienen una percepción con una inclinación a un valor ",BO2056,","," para ",BP2062,".")</f>
        <v>0</v>
      </c>
      <c r="BX2135" s="27" t="str">
        <f>CONCATENATE("En ","la ",BX5," y ",BX33," se observa los resultados  del  ",BX4," el cual aborda ",BY2062,",en donde se demuestra que el ",ROUND(BZ2008*100,0),"%"," de los ",BX1045," tienen una percepción de ",CA2046,", el ",ROUND(BZ2009*100,0),"%"," ",CA2047,", un ",ROUND(BZ2010*100,0),"%"," ",CA2048,",",IF(BY2049&gt;0,CONCATENATE(" ademas el ",ROUND(BZ2011*100,0),"%"," ",CA2049,)," "),IF(BY2049&gt;0,CONCATENATE(" y ",ROUND(BZ2012*100,0),"%",", ",CA2050,)," "),"en tal sentido la mayoría de los ",BX1045," es decir el ",ROUND(BY2053*100,0),"%"," tienen una percepción con una inclinación a un valor ",BX2056,","," para ",BY2062,".")</f>
        <v>0</v>
      </c>
      <c r="CG2135" s="27" t="str">
        <f>CONCATENATE("En ","la ",CG5," y ",CG33," se observa los resultados  del  ",CG4," el cual aborda ",CH2062,",en donde se demuestra que el ",ROUND(CI2008*100,0),"%"," de los ",CG1045," tienen una percepción de ",CJ2046,", el ",ROUND(CI2009*100,0),"%"," ",CJ2047,", un ",ROUND(CI2010*100,0),"%"," ",CJ2048,",",IF(CH2049&gt;0,CONCATENATE(" ademas el ",ROUND(CI2011*100,0),"%"," ",CJ2049,)," "),IF(CH2049&gt;0,CONCATENATE(" y ",ROUND(CI2012*100,0),"%",", ",CJ2050,)," "),"en tal sentido la mayoría de los ",CG1045," es decir el ",ROUND(CH2053*100,0),"%"," tienen una percepción con una inclinación a un valor ",CG2056,","," para ",CH2062,".")</f>
        <v>0</v>
      </c>
      <c r="CP2135" s="27" t="str">
        <f>CONCATENATE("En ","la ",CP5," y ",CP33," se observa los resultados  del  ",CP4," el cual aborda ",CQ2062,",en donde se demuestra que el ",ROUND(CR2008*100,0),"%"," de los ",CP1045," tienen una percepción de ",CS2046,", el ",ROUND(CR2009*100,0),"%"," ",CS2047,", un ",ROUND(CR2010*100,0),"%"," ",CS2048,",",IF(CQ2049&gt;0,CONCATENATE(" ademas el ",ROUND(CR2011*100,0),"%"," ",CS2049,)," "),IF(CQ2049&gt;0,CONCATENATE(" y ",ROUND(CR2012*100,0),"%",", ",CS2050,)," "),"en tal sentido la mayoría de los ",CP1045," es decir el ",ROUND(CQ2053*100,0),"%"," tienen una percepción con una inclinación a un valor ",CP2056,","," para ",CQ2062,".")</f>
        <v>0</v>
      </c>
      <c r="CY2135" s="27" t="str">
        <f>CONCATENATE("En ","la ",CY5," y ",CY33," se observa los resultados  del  ",CY4," el cual aborda ",CZ2062,",en donde se demuestra que el ",ROUND(DA2008*100,0),"%"," de los ",CY1045," tienen una percepción de ",DB2046,", el ",ROUND(DA2009*100,0),"%"," ",DB2047,", un ",ROUND(DA2010*100,0),"%"," ",DB2048,",",IF(CZ2049&gt;0,CONCATENATE(" ademas el ",ROUND(DA2011*100,0),"%"," ",DB2049,)," "),IF(CZ2049&gt;0,CONCATENATE(" y ",ROUND(DA2012*100,0),"%",", ",DB2050,)," "),"en tal sentido la mayoría de los ",CY1045," es decir el ",ROUND(CZ2053*100,0),"%"," tienen una percepción con una inclinación a un valor ",CY2056,","," para ",CZ2062,".")</f>
        <v>0</v>
      </c>
      <c r="DH2135" s="27" t="str">
        <f>CONCATENATE("En ","la ",DH5," y ",DH33," se observa los resultados  del  ",DH4," el cual aborda ",DI2062,",en donde se demuestra que el ",ROUND(DJ2008*100,0),"%"," de los ",DH1045," tienen una percepción de ",DK2046,", el ",ROUND(DJ2009*100,0),"%"," ",DK2047,", un ",ROUND(DJ2010*100,0),"%"," ",DK2048,",",IF(DI2049&gt;0,CONCATENATE(" ademas el ",ROUND(DJ2011*100,0),"%"," ",DK2049,)," "),IF(DI2049&gt;0,CONCATENATE(" y ",ROUND(DJ2012*100,0),"%",", ",DK2050,)," "),"en tal sentido la mayoría de los ",DH1045," es decir el ",ROUND(DI2053*100,0),"%"," tienen una percepción con una inclinación a un valor ",DH2056,","," para ",DI2062,".")</f>
        <v>0</v>
      </c>
      <c r="DQ2135" s="27" t="str">
        <f>CONCATENATE("En ","la ",DQ5," y ",DQ33," se observa los resultados  del  ",DQ4," el cual aborda ",DR2062,",en donde se demuestra que el ",ROUND(DS2008*100,0),"%"," de los ",DQ1045," tienen una percepción de ",DT2046,", el ",ROUND(DS2009*100,0),"%"," ",DT2047,", un ",ROUND(DS2010*100,0),"%"," ",DT2048,",",IF(DR2049&gt;0,CONCATENATE(" ademas el ",ROUND(DS2011*100,0),"%"," ",DT2049,)," "),IF(DR2049&gt;0,CONCATENATE(" y ",ROUND(DS2012*100,0),"%",", ",DT2050,)," "),"en tal sentido la mayoría de los ",DQ1045," es decir el ",ROUND(DR2053*100,0),"%"," tienen una percepción con una inclinación a un valor ",DQ2056,","," para ",DR2062,".")</f>
        <v>0</v>
      </c>
      <c r="DZ2135" s="27" t="str">
        <f>CONCATENATE("En ","la ",DZ5," y ",DZ33," se observa los resultados  del  ",DZ4," el cual aborda ",EA2062,",en donde se demuestra que el ",ROUND(EB2008*100,0),"%"," de los ",DZ1045," tienen una percepción de ",EC2046,", el ",ROUND(EB2009*100,0),"%"," ",EC2047,", un ",ROUND(EB2010*100,0),"%"," ",EC2048,",",IF(EA2049&gt;0,CONCATENATE(" ademas el ",ROUND(EB2011*100,0),"%"," ",EC2049,)," "),IF(EA2049&gt;0,CONCATENATE(" y ",ROUND(EB2012*100,0),"%",", ",EC2050,)," "),"en tal sentido la mayoría de los ",DZ1045," es decir el ",ROUND(EA2053*100,0),"%"," tienen una percepción con una inclinación a un valor ",DZ2056,","," para ",EA2062,".")</f>
        <v>0</v>
      </c>
      <c r="EI2135" s="27" t="str">
        <f>CONCATENATE("En ","la ",EI5," y ",EI33," se observa los resultados  del  ",EI4," el cual aborda ",EJ2062,",en donde se demuestra que el ",ROUND(EK2008*100,0),"%"," de los ",EI1045," tienen una percepción de ",EL2046,", el ",ROUND(EK2009*100,0),"%"," ",EL2047,", un ",ROUND(EK2010*100,0),"%"," ",EL2048,",",IF(EJ2049&gt;0,CONCATENATE(" ademas el ",ROUND(EK2011*100,0),"%"," ",EL2049,)," "),IF(EJ2049&gt;0,CONCATENATE(" y ",ROUND(EK2012*100,0),"%",", ",EL2050,)," "),"en tal sentido la mayoría de los ",EI1045," es decir el ",ROUND(EJ2053*100,0),"%"," tienen una percepción con una inclinación a un valor ",EI2056,","," para ",EJ2062,".")</f>
        <v>0</v>
      </c>
      <c r="ER2135" s="27" t="str">
        <f>CONCATENATE("En ","la ",ER5," y ",ER33," se observa los resultados  del  ",ER4," el cual aborda ",ES2062,",en donde se demuestra que el ",ROUND(ET2008*100,0),"%"," de los ",ER1045," tienen una percepción de ",EU2046,", el ",ROUND(ET2009*100,0),"%"," ",EU2047,", un ",ROUND(ET2010*100,0),"%"," ",EU2048,",",IF(ES2049&gt;0,CONCATENATE(" ademas el ",ROUND(ET2011*100,0),"%"," ",EU2049,)," "),IF(ES2049&gt;0,CONCATENATE(" y ",ROUND(ET2012*100,0),"%",", ",EU2050,)," "),"en tal sentido la mayoría de los ",ER1045," es decir el ",ROUND(ES2053*100,0),"%"," tienen una percepción con una inclinación a un valor ",ER2056,","," para ",ES2062,".")</f>
        <v>0</v>
      </c>
      <c r="FA2135" s="27" t="str">
        <f>CONCATENATE("En ","la ",FA5," y ",FA33," se observa los resultados  del  ",FA4," el cual aborda ",FB2062,",en donde se demuestra que el ",ROUND(FC2008*100,0),"%"," de los ",FA1045," tienen una percepción de ",FD2046,", el ",ROUND(FC2009*100,0),"%"," ",FD2047,", un ",ROUND(FC2010*100,0),"%"," ",FD2048,",",IF(FB2049&gt;0,CONCATENATE(" ademas el ",ROUND(FC2011*100,0),"%"," ",FD2049,)," "),IF(FB2049&gt;0,CONCATENATE(" y ",ROUND(FC2012*100,0),"%",", ",FD2050,)," "),"en tal sentido la mayoría de los ",FA1045," es decir el ",ROUND(FB2053*100,0),"%"," tienen una percepción con una inclinación a un valor ",FA2056,","," para ",FB2062,".")</f>
        <v>0</v>
      </c>
      <c r="FJ2135" s="27" t="str">
        <f>CONCATENATE("En ","la ",FJ5," y ",FJ33," se observa los resultados  del  ",FJ4," el cual aborda ",FK2062,",en donde se demuestra que el ",ROUND(FL2008*100,0),"%"," de los ",FJ1045," tienen una percepción de ",FM2046,", el ",ROUND(FL2009*100,0),"%"," ",FM2047,", un ",ROUND(FL2010*100,0),"%"," ",FM2048,",",IF(FK2049&gt;0,CONCATENATE(" ademas el ",ROUND(FL2011*100,0),"%"," ",FM2049,)," "),IF(FK2049&gt;0,CONCATENATE(" y ",ROUND(FL2012*100,0),"%",", ",FM2050,)," "),"en tal sentido la mayoría de los ",FJ1045," es decir el ",ROUND(FK2053*100,0),"%"," tienen una percepción con una inclinación a un valor ",FJ2056,","," para ",FK2062,".")</f>
        <v>0</v>
      </c>
      <c r="FS2135" s="27" t="str">
        <f>CONCATENATE("En ","la ",FS5," y ",FS33," se observa los resultados  del  ",FS4," el cual aborda ",FT2062,",en donde se demuestra que el ",ROUND(FU2008*100,0),"%"," de los ",FS1045," tienen una percepción de ",FV2046,", el ",ROUND(FU2009*100,0),"%"," ",FV2047,", un ",ROUND(FU2010*100,0),"%"," ",FV2048,",",IF(FT2049&gt;0,CONCATENATE(" ademas el ",ROUND(FU2011*100,0),"%"," ",FV2049,)," "),IF(FT2049&gt;0,CONCATENATE(" y ",ROUND(FU2012*100,0),"%",", ",FV2050,)," "),"en tal sentido la mayoría de los ",FS1045," es decir el ",ROUND(FT2053*100,0),"%"," tienen una percepción con una inclinación a un valor ",FS2056,","," para ",FT2062,".")</f>
        <v>0</v>
      </c>
      <c r="GB2135" s="27" t="str">
        <f>CONCATENATE("En ","la ",GB5," y ",GB33," se observa los resultados  del  ",GB4," el cual aborda ",GC2062,",en donde se demuestra que el ",ROUND(GD2008*100,0),"%"," de los ",GB1045," tienen una percepción de ",GE2046,", el ",ROUND(GD2009*100,0),"%"," ",GE2047,", un ",ROUND(GD2010*100,0),"%"," ",GE2048,",",IF(GC2049&gt;0,CONCATENATE(" ademas el ",ROUND(GD2011*100,0),"%"," ",GE2049,)," "),IF(GC2049&gt;0,CONCATENATE(" y ",ROUND(GD2012*100,0),"%",", ",GE2050,)," "),"en tal sentido la mayoría de los ",GB1045," es decir el ",ROUND(GC2053*100,0),"%"," tienen una percepción con una inclinación a un valor ",GB2056,","," para ",GC2062,".")</f>
        <v>0</v>
      </c>
      <c r="GK2135" s="27" t="str">
        <f>CONCATENATE("En ","la ",GK5," y ",GK33," se observa los resultados  del  ",GK4," el cual aborda ",GL2062,",en donde se demuestra que el ",ROUND(GM2008*100,0),"%"," de los ",GK1045," tienen una percepción de ",GN2046,", el ",ROUND(GM2009*100,0),"%"," ",GN2047,", un ",ROUND(GM2010*100,0),"%"," ",GN2048,",",IF(GL2049&gt;0,CONCATENATE(" ademas el ",ROUND(GM2011*100,0),"%"," ",GN2049,)," "),IF(GL2049&gt;0,CONCATENATE(" y ",ROUND(GM2012*100,0),"%",", ",GN2050,)," "),"en tal sentido la mayoría de los ",GK1045," es decir el ",ROUND(GL2053*100,0),"%"," tienen una percepción con una inclinación a un valor ",GK2056,","," para ",GL2062,".")</f>
        <v>0</v>
      </c>
      <c r="GT2135" s="27" t="str">
        <f>CONCATENATE("En ","la ",GT5," y ",GT33," se observa los resultados  del  ",GT4," el cual aborda ",GU2062,",en donde se demuestra que el ",ROUND(GV2008*100,0),"%"," de los ",GT1045," tienen una percepción de ",GW2046,", el ",ROUND(GV2009*100,0),"%"," ",GW2047,", un ",ROUND(GV2010*100,0),"%"," ",GW2048,",",IF(GU2049&gt;0,CONCATENATE(" ademas el ",ROUND(GV2011*100,0),"%"," ",GW2049,)," "),IF(GU2049&gt;0,CONCATENATE(" y ",ROUND(GV2012*100,0),"%",", ",GW2050,)," "),"en tal sentido la mayoría de los ",GT1045," es decir el ",ROUND(GU2053*100,0),"%"," tienen una percepción con una inclinación a un valor ",GT2056,","," para ",GU2062,".")</f>
        <v>0</v>
      </c>
      <c r="HC2135" s="27" t="str">
        <f>CONCATENATE("En ","la ",HC5," y ",HC33," se observa los resultados  del  ",HC4," el cual aborda ",HD2062,",en donde se demuestra que el ",ROUND(HE2008*100,0),"%"," de los ",HC1045," tienen una percepción de ",HF2046,", el ",ROUND(HE2009*100,0),"%"," ",HF2047,", un ",ROUND(HE2010*100,0),"%"," ",HF2048,",",IF(HD2049&gt;0,CONCATENATE(" ademas el ",ROUND(HE2011*100,0),"%"," ",HF2049,)," "),IF(HD2049&gt;0,CONCATENATE(" y ",ROUND(HE2012*100,0),"%",", ",HF2050,)," "),"en tal sentido la mayoría de los ",HC1045," es decir el ",ROUND(HD2053*100,0),"%"," tienen una percepción con una inclinación a un valor ",HC2056,","," para ",HD2062,".")</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5:F43"/>
    <mergeCell ref="D2135:F2143"/>
    <mergeCell ref="M4:O4"/>
    <mergeCell ref="M35:O43"/>
    <mergeCell ref="M2135:O2143"/>
    <mergeCell ref="V4:X4"/>
    <mergeCell ref="V35:X43"/>
    <mergeCell ref="V2135:X2143"/>
    <mergeCell ref="AE4:AG4"/>
    <mergeCell ref="AE35:AG43"/>
    <mergeCell ref="AE2135:AG2143"/>
    <mergeCell ref="AN4:AP4"/>
    <mergeCell ref="AN35:AP43"/>
    <mergeCell ref="AN2135:AP2143"/>
    <mergeCell ref="AW4:AY4"/>
    <mergeCell ref="AW35:AY43"/>
    <mergeCell ref="AW2135:AY2143"/>
    <mergeCell ref="BF4:BH4"/>
    <mergeCell ref="BF35:BH43"/>
    <mergeCell ref="BF2135:BH2143"/>
    <mergeCell ref="BO4:BQ4"/>
    <mergeCell ref="BO35:BQ43"/>
    <mergeCell ref="BO2135:BQ2143"/>
    <mergeCell ref="BX4:BZ4"/>
    <mergeCell ref="BX35:BZ43"/>
    <mergeCell ref="BX2135:BZ2143"/>
    <mergeCell ref="CG4:CI4"/>
    <mergeCell ref="CG35:CI43"/>
    <mergeCell ref="CG2135:CI2143"/>
    <mergeCell ref="CP4:CR4"/>
    <mergeCell ref="CP35:CR43"/>
    <mergeCell ref="CP2135:CR2143"/>
    <mergeCell ref="CY4:DA4"/>
    <mergeCell ref="CY35:DA43"/>
    <mergeCell ref="CY2135:DA2143"/>
    <mergeCell ref="DH4:DJ4"/>
    <mergeCell ref="DH35:DJ43"/>
    <mergeCell ref="DH2135:DJ2143"/>
    <mergeCell ref="DQ4:DS4"/>
    <mergeCell ref="DQ35:DS43"/>
    <mergeCell ref="DQ2135:DS2143"/>
    <mergeCell ref="DZ4:EB4"/>
    <mergeCell ref="DZ35:EB43"/>
    <mergeCell ref="DZ2135:EB2143"/>
    <mergeCell ref="EI4:EK4"/>
    <mergeCell ref="EI35:EK43"/>
    <mergeCell ref="EI2135:EK2143"/>
    <mergeCell ref="ER4:ET4"/>
    <mergeCell ref="ER35:ET43"/>
    <mergeCell ref="ER2135:ET2143"/>
    <mergeCell ref="FA4:FC4"/>
    <mergeCell ref="FA35:FC43"/>
    <mergeCell ref="FA2135:FC2143"/>
    <mergeCell ref="FJ4:FL4"/>
    <mergeCell ref="FJ35:FL43"/>
    <mergeCell ref="FJ2135:FL2143"/>
    <mergeCell ref="FS4:FU4"/>
    <mergeCell ref="FS35:FU43"/>
    <mergeCell ref="FS2135:FU2143"/>
    <mergeCell ref="GB4:GD4"/>
    <mergeCell ref="GB35:GD43"/>
    <mergeCell ref="GB2135:GD2143"/>
    <mergeCell ref="GK4:GM4"/>
    <mergeCell ref="GK35:GM43"/>
    <mergeCell ref="GK2135:GM2143"/>
    <mergeCell ref="GT4:GV4"/>
    <mergeCell ref="GT35:GV43"/>
    <mergeCell ref="GT2135:GV2143"/>
    <mergeCell ref="HC4:HE4"/>
    <mergeCell ref="HC35:HE43"/>
    <mergeCell ref="HC2135:HE214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BB2107"/>
  <sheetViews>
    <sheetView tabSelected="0" workbookViewId="0" showGridLines="true" showRowColHeaders="1">
      <selection activeCell="AE36" sqref="AE36"/>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s>
  <sheetData>
    <row r="3" spans="1:54">
      <c r="B3" s="11"/>
      <c r="C3" s="11"/>
      <c r="D3" s="11"/>
      <c r="E3" s="11"/>
      <c r="F3" s="11"/>
      <c r="G3" s="11"/>
      <c r="H3" s="11"/>
      <c r="K3" s="11"/>
      <c r="L3" s="11"/>
      <c r="M3" s="11"/>
      <c r="N3" s="11"/>
      <c r="O3" s="11"/>
      <c r="P3" s="11"/>
      <c r="Q3" s="11"/>
      <c r="T3" s="11"/>
      <c r="U3" s="11"/>
      <c r="V3" s="11"/>
      <c r="W3" s="11"/>
      <c r="X3" s="11"/>
      <c r="Y3" s="11"/>
      <c r="Z3" s="11"/>
      <c r="AC3" s="28"/>
      <c r="AD3" s="28"/>
      <c r="AE3" s="28"/>
      <c r="AF3" s="28"/>
      <c r="AG3" s="28"/>
      <c r="AH3" s="28"/>
      <c r="AI3" s="28"/>
    </row>
    <row r="4" spans="1:54">
      <c r="B4" s="11"/>
      <c r="D4" s="30" t="s">
        <v>540</v>
      </c>
      <c r="E4" s="29"/>
      <c r="F4" s="29"/>
      <c r="H4" s="11"/>
      <c r="K4" s="11"/>
      <c r="M4" s="30" t="s">
        <v>541</v>
      </c>
      <c r="N4" s="29"/>
      <c r="O4" s="29"/>
      <c r="Q4" s="11"/>
      <c r="T4" s="11"/>
      <c r="V4" s="30" t="s">
        <v>542</v>
      </c>
      <c r="W4" s="29"/>
      <c r="X4" s="29"/>
      <c r="Z4" s="11"/>
      <c r="AC4" s="28"/>
      <c r="AE4" s="30" t="s">
        <v>543</v>
      </c>
      <c r="AF4" s="29"/>
      <c r="AG4" s="29"/>
      <c r="AI4" s="28"/>
    </row>
    <row r="5" spans="1:54">
      <c r="B5" s="11"/>
      <c r="D5" s="10" t="s">
        <v>415</v>
      </c>
      <c r="H5" s="11"/>
      <c r="K5" s="11"/>
      <c r="M5" s="10" t="s">
        <v>416</v>
      </c>
      <c r="Q5" s="11"/>
      <c r="T5" s="11"/>
      <c r="V5" s="10" t="s">
        <v>417</v>
      </c>
      <c r="Z5" s="11"/>
      <c r="AC5" s="28"/>
      <c r="AE5" s="10" t="s">
        <v>418</v>
      </c>
      <c r="AI5" s="28"/>
    </row>
    <row r="6" spans="1:54">
      <c r="B6" s="11"/>
      <c r="D6" s="10" t="s">
        <v>1</v>
      </c>
      <c r="H6" s="11"/>
      <c r="K6" s="11"/>
      <c r="M6" s="10" t="s">
        <v>2</v>
      </c>
      <c r="Q6" s="11"/>
      <c r="T6" s="11"/>
      <c r="V6" s="10" t="s">
        <v>3</v>
      </c>
      <c r="Z6" s="11"/>
      <c r="AC6" s="28"/>
      <c r="AE6" s="10" t="s">
        <v>403</v>
      </c>
      <c r="AI6" s="28"/>
    </row>
    <row r="7" spans="1:54">
      <c r="B7" s="11"/>
      <c r="D7" s="13"/>
      <c r="E7" s="19" t="s">
        <v>420</v>
      </c>
      <c r="F7" s="19" t="s">
        <v>421</v>
      </c>
      <c r="H7" s="11"/>
      <c r="K7" s="11"/>
      <c r="M7" s="13"/>
      <c r="N7" s="19" t="s">
        <v>420</v>
      </c>
      <c r="O7" s="19" t="s">
        <v>421</v>
      </c>
      <c r="Q7" s="11"/>
      <c r="T7" s="11"/>
      <c r="V7" s="13"/>
      <c r="W7" s="19" t="s">
        <v>420</v>
      </c>
      <c r="X7" s="19" t="s">
        <v>421</v>
      </c>
      <c r="Z7" s="11"/>
      <c r="AC7" s="28"/>
      <c r="AE7" s="13"/>
      <c r="AF7" s="19" t="s">
        <v>420</v>
      </c>
      <c r="AG7" s="19" t="s">
        <v>421</v>
      </c>
      <c r="AI7" s="28"/>
    </row>
    <row r="8" spans="1:54">
      <c r="B8" s="11"/>
      <c r="D8" s="26" t="str">
        <f>('Inteligencia emocional'!A366)</f>
        <v>0</v>
      </c>
      <c r="E8" s="18" t="str">
        <f>COUNTIF('Inteligencia emocional'!B5:I359,1)</f>
        <v>0</v>
      </c>
      <c r="F8" s="22" t="str">
        <f>(E8/E13)</f>
        <v>0</v>
      </c>
      <c r="H8" s="11"/>
      <c r="K8" s="11"/>
      <c r="M8" s="26" t="str">
        <f>('Inteligencia emocional'!A366)</f>
        <v>0</v>
      </c>
      <c r="N8" s="18" t="str">
        <f>COUNTIF('Inteligencia emocional'!J5:Q359,1)</f>
        <v>0</v>
      </c>
      <c r="O8" s="22" t="str">
        <f>(N8/N13)</f>
        <v>0</v>
      </c>
      <c r="Q8" s="11"/>
      <c r="T8" s="11"/>
      <c r="V8" s="26" t="str">
        <f>('Inteligencia emocional'!A366)</f>
        <v>0</v>
      </c>
      <c r="W8" s="18" t="str">
        <f>COUNTIF('Inteligencia emocional'!R5:Y359,1)</f>
        <v>0</v>
      </c>
      <c r="X8" s="22" t="str">
        <f>(W8/W13)</f>
        <v>0</v>
      </c>
      <c r="Z8" s="11"/>
      <c r="AC8" s="28"/>
      <c r="AE8" s="26" t="str">
        <f>('Inteligencia emocional'!A366)</f>
        <v>0</v>
      </c>
      <c r="AF8" s="18" t="str">
        <f>COUNTIF('Inteligencia emocional'!B5:Y359,1)</f>
        <v>0</v>
      </c>
      <c r="AG8" s="22" t="str">
        <f>(AF8/AF13)</f>
        <v>0</v>
      </c>
      <c r="AI8" s="28"/>
    </row>
    <row r="9" spans="1:54">
      <c r="B9" s="11"/>
      <c r="D9" s="26" t="str">
        <f>('Inteligencia emocional'!A367)</f>
        <v>0</v>
      </c>
      <c r="E9" s="18" t="str">
        <f>COUNTIF('Inteligencia emocional'!B5:I359,2)</f>
        <v>0</v>
      </c>
      <c r="F9" s="22" t="str">
        <f>(E9/E13)</f>
        <v>0</v>
      </c>
      <c r="H9" s="11"/>
      <c r="K9" s="11"/>
      <c r="M9" s="26" t="str">
        <f>('Inteligencia emocional'!A367)</f>
        <v>0</v>
      </c>
      <c r="N9" s="18" t="str">
        <f>COUNTIF('Inteligencia emocional'!J5:Q359,2)</f>
        <v>0</v>
      </c>
      <c r="O9" s="22" t="str">
        <f>(N9/N13)</f>
        <v>0</v>
      </c>
      <c r="Q9" s="11"/>
      <c r="T9" s="11"/>
      <c r="V9" s="26" t="str">
        <f>('Inteligencia emocional'!A367)</f>
        <v>0</v>
      </c>
      <c r="W9" s="18" t="str">
        <f>COUNTIF('Inteligencia emocional'!R5:Y359,2)</f>
        <v>0</v>
      </c>
      <c r="X9" s="22" t="str">
        <f>(W9/W13)</f>
        <v>0</v>
      </c>
      <c r="Z9" s="11"/>
      <c r="AC9" s="28"/>
      <c r="AE9" s="26" t="str">
        <f>('Inteligencia emocional'!A367)</f>
        <v>0</v>
      </c>
      <c r="AF9" s="18" t="str">
        <f>COUNTIF('Inteligencia emocional'!B5:Y359,2)</f>
        <v>0</v>
      </c>
      <c r="AG9" s="22" t="str">
        <f>(AF9/AF13)</f>
        <v>0</v>
      </c>
      <c r="AI9" s="28"/>
    </row>
    <row r="10" spans="1:54">
      <c r="B10" s="11"/>
      <c r="D10" s="26" t="str">
        <f>('Inteligencia emocional'!A368)</f>
        <v>0</v>
      </c>
      <c r="E10" s="18" t="str">
        <f>COUNTIF('Inteligencia emocional'!B5:I359,3)</f>
        <v>0</v>
      </c>
      <c r="F10" s="22" t="str">
        <f>(E10/E13)</f>
        <v>0</v>
      </c>
      <c r="H10" s="11"/>
      <c r="K10" s="11"/>
      <c r="M10" s="26" t="str">
        <f>('Inteligencia emocional'!A368)</f>
        <v>0</v>
      </c>
      <c r="N10" s="18" t="str">
        <f>COUNTIF('Inteligencia emocional'!J5:Q359,3)</f>
        <v>0</v>
      </c>
      <c r="O10" s="22" t="str">
        <f>(N10/N13)</f>
        <v>0</v>
      </c>
      <c r="Q10" s="11"/>
      <c r="T10" s="11"/>
      <c r="V10" s="26" t="str">
        <f>('Inteligencia emocional'!A368)</f>
        <v>0</v>
      </c>
      <c r="W10" s="18" t="str">
        <f>COUNTIF('Inteligencia emocional'!R5:Y359,3)</f>
        <v>0</v>
      </c>
      <c r="X10" s="22" t="str">
        <f>(W10/W13)</f>
        <v>0</v>
      </c>
      <c r="Z10" s="11"/>
      <c r="AC10" s="28"/>
      <c r="AE10" s="26" t="str">
        <f>('Inteligencia emocional'!A368)</f>
        <v>0</v>
      </c>
      <c r="AF10" s="18" t="str">
        <f>COUNTIF('Inteligencia emocional'!B5:Y359,3)</f>
        <v>0</v>
      </c>
      <c r="AG10" s="22" t="str">
        <f>(AF10/AF13)</f>
        <v>0</v>
      </c>
      <c r="AI10" s="28"/>
    </row>
    <row r="11" spans="1:54">
      <c r="B11" s="11"/>
      <c r="D11" s="26" t="str">
        <f>('Inteligencia emocional'!A369)</f>
        <v>0</v>
      </c>
      <c r="E11" s="18" t="str">
        <f>COUNTIF('Inteligencia emocional'!B5:I359,4)</f>
        <v>0</v>
      </c>
      <c r="F11" s="22" t="str">
        <f>(E11/E13)</f>
        <v>0</v>
      </c>
      <c r="H11" s="11"/>
      <c r="K11" s="11"/>
      <c r="M11" s="26" t="str">
        <f>('Inteligencia emocional'!A369)</f>
        <v>0</v>
      </c>
      <c r="N11" s="18" t="str">
        <f>COUNTIF('Inteligencia emocional'!J5:Q359,4)</f>
        <v>0</v>
      </c>
      <c r="O11" s="22" t="str">
        <f>(N11/N13)</f>
        <v>0</v>
      </c>
      <c r="Q11" s="11"/>
      <c r="T11" s="11"/>
      <c r="V11" s="26" t="str">
        <f>('Inteligencia emocional'!A369)</f>
        <v>0</v>
      </c>
      <c r="W11" s="18" t="str">
        <f>COUNTIF('Inteligencia emocional'!R5:Y359,4)</f>
        <v>0</v>
      </c>
      <c r="X11" s="22" t="str">
        <f>(W11/W13)</f>
        <v>0</v>
      </c>
      <c r="Z11" s="11"/>
      <c r="AC11" s="28"/>
      <c r="AE11" s="26" t="str">
        <f>('Inteligencia emocional'!A369)</f>
        <v>0</v>
      </c>
      <c r="AF11" s="18" t="str">
        <f>COUNTIF('Inteligencia emocional'!B5:Y359,4)</f>
        <v>0</v>
      </c>
      <c r="AG11" s="22" t="str">
        <f>(AF11/AF13)</f>
        <v>0</v>
      </c>
      <c r="AI11" s="28"/>
    </row>
    <row r="12" spans="1:54">
      <c r="B12" s="11"/>
      <c r="D12" s="26" t="str">
        <f>('Inteligencia emocional'!A370)</f>
        <v>0</v>
      </c>
      <c r="E12" s="18" t="str">
        <f>COUNTIF('Inteligencia emocional'!B5:I359,5)</f>
        <v>0</v>
      </c>
      <c r="F12" s="22" t="str">
        <f>(E12/E13)</f>
        <v>0</v>
      </c>
      <c r="H12" s="11"/>
      <c r="K12" s="11"/>
      <c r="M12" s="26" t="str">
        <f>('Inteligencia emocional'!A370)</f>
        <v>0</v>
      </c>
      <c r="N12" s="18" t="str">
        <f>COUNTIF('Inteligencia emocional'!J5:Q359,5)</f>
        <v>0</v>
      </c>
      <c r="O12" s="22" t="str">
        <f>(N12/N13)</f>
        <v>0</v>
      </c>
      <c r="Q12" s="11"/>
      <c r="T12" s="11"/>
      <c r="V12" s="26" t="str">
        <f>('Inteligencia emocional'!A370)</f>
        <v>0</v>
      </c>
      <c r="W12" s="18" t="str">
        <f>COUNTIF('Inteligencia emocional'!R5:Y359,5)</f>
        <v>0</v>
      </c>
      <c r="X12" s="22" t="str">
        <f>(W12/W13)</f>
        <v>0</v>
      </c>
      <c r="Z12" s="11"/>
      <c r="AC12" s="28"/>
      <c r="AE12" s="26" t="str">
        <f>('Inteligencia emocional'!A370)</f>
        <v>0</v>
      </c>
      <c r="AF12" s="18" t="str">
        <f>COUNTIF('Inteligencia emocional'!B5:Y359,5)</f>
        <v>0</v>
      </c>
      <c r="AG12" s="22" t="str">
        <f>(AF12/AF13)</f>
        <v>0</v>
      </c>
      <c r="AI12" s="28"/>
    </row>
    <row r="13" spans="1:54">
      <c r="B13" s="11"/>
      <c r="D13" s="32" t="str">
        <f>('Inteligencia emocional'!A371)</f>
        <v>0</v>
      </c>
      <c r="E13" s="19" t="str">
        <f>SUM(E8:E12)</f>
        <v>0</v>
      </c>
      <c r="F13" s="23" t="str">
        <f>SUM(F8:F12)</f>
        <v>0</v>
      </c>
      <c r="H13" s="11"/>
      <c r="K13" s="11"/>
      <c r="M13" s="32" t="str">
        <f>('Inteligencia emocional'!A371)</f>
        <v>0</v>
      </c>
      <c r="N13" s="19" t="str">
        <f>SUM(N8:N12)</f>
        <v>0</v>
      </c>
      <c r="O13" s="23" t="str">
        <f>SUM(O8:O12)</f>
        <v>0</v>
      </c>
      <c r="Q13" s="11"/>
      <c r="T13" s="11"/>
      <c r="V13" s="32" t="str">
        <f>('Inteligencia emocional'!A371)</f>
        <v>0</v>
      </c>
      <c r="W13" s="19" t="str">
        <f>SUM(W8:W12)</f>
        <v>0</v>
      </c>
      <c r="X13" s="23" t="str">
        <f>SUM(X8:X12)</f>
        <v>0</v>
      </c>
      <c r="Z13" s="11"/>
      <c r="AC13" s="28"/>
      <c r="AE13" s="32" t="str">
        <f>('Inteligencia emocional'!A371)</f>
        <v>0</v>
      </c>
      <c r="AF13" s="19" t="str">
        <f>SUM(AF8:AF12)</f>
        <v>0</v>
      </c>
      <c r="AG13" s="23" t="str">
        <f>SUM(AG8:AG12)</f>
        <v>0</v>
      </c>
      <c r="AI13" s="28"/>
    </row>
    <row r="14" spans="1:54">
      <c r="B14" s="11"/>
      <c r="D14" s="10" t="s">
        <v>428</v>
      </c>
      <c r="H14" s="11"/>
      <c r="K14" s="11"/>
      <c r="M14" s="10" t="s">
        <v>428</v>
      </c>
      <c r="Q14" s="11"/>
      <c r="T14" s="11"/>
      <c r="V14" s="10" t="s">
        <v>428</v>
      </c>
      <c r="Z14" s="11"/>
      <c r="AC14" s="28"/>
      <c r="AE14" s="10" t="s">
        <v>428</v>
      </c>
      <c r="AI14" s="28"/>
    </row>
    <row r="15" spans="1:54">
      <c r="B15" s="11"/>
      <c r="D15" s="10" t="s">
        <v>427</v>
      </c>
      <c r="H15" s="11"/>
      <c r="K15" s="11"/>
      <c r="M15" s="10" t="s">
        <v>427</v>
      </c>
      <c r="Q15" s="11"/>
      <c r="T15" s="11"/>
      <c r="V15" s="10" t="s">
        <v>427</v>
      </c>
      <c r="Z15" s="11"/>
      <c r="AC15" s="28"/>
      <c r="AE15" s="10" t="s">
        <v>427</v>
      </c>
      <c r="AI15" s="28"/>
    </row>
    <row r="16" spans="1:54">
      <c r="B16" s="11"/>
      <c r="H16" s="11"/>
      <c r="K16" s="11"/>
      <c r="Q16" s="11"/>
      <c r="T16" s="11"/>
      <c r="Z16" s="11"/>
      <c r="AC16" s="28"/>
      <c r="AI16" s="28"/>
    </row>
    <row r="17" spans="1:54">
      <c r="B17" s="11"/>
      <c r="H17" s="11"/>
      <c r="K17" s="11"/>
      <c r="Q17" s="11"/>
      <c r="T17" s="11"/>
      <c r="Z17" s="11"/>
      <c r="AC17" s="28"/>
      <c r="AI17" s="28"/>
    </row>
    <row r="18" spans="1:54">
      <c r="B18" s="11"/>
      <c r="H18" s="11"/>
      <c r="K18" s="11"/>
      <c r="Q18" s="11"/>
      <c r="T18" s="11"/>
      <c r="Z18" s="11"/>
      <c r="AC18" s="28"/>
      <c r="AI18" s="28"/>
    </row>
    <row r="19" spans="1:54">
      <c r="B19" s="11"/>
      <c r="H19" s="11"/>
      <c r="K19" s="11"/>
      <c r="Q19" s="11"/>
      <c r="T19" s="11"/>
      <c r="Z19" s="11"/>
      <c r="AC19" s="28"/>
      <c r="AI19" s="28"/>
    </row>
    <row r="20" spans="1:54">
      <c r="B20" s="11"/>
      <c r="H20" s="11"/>
      <c r="K20" s="11"/>
      <c r="Q20" s="11"/>
      <c r="T20" s="11"/>
      <c r="Z20" s="11"/>
      <c r="AC20" s="28"/>
      <c r="AI20" s="28"/>
    </row>
    <row r="21" spans="1:54">
      <c r="B21" s="11"/>
      <c r="H21" s="11"/>
      <c r="K21" s="11"/>
      <c r="Q21" s="11"/>
      <c r="T21" s="11"/>
      <c r="Z21" s="11"/>
      <c r="AC21" s="28"/>
      <c r="AI21" s="28"/>
    </row>
    <row r="22" spans="1:54">
      <c r="B22" s="11"/>
      <c r="H22" s="11"/>
      <c r="K22" s="11"/>
      <c r="Q22" s="11"/>
      <c r="T22" s="11"/>
      <c r="Z22" s="11"/>
      <c r="AC22" s="28"/>
      <c r="AI22" s="28"/>
    </row>
    <row r="23" spans="1:54">
      <c r="B23" s="11"/>
      <c r="H23" s="11"/>
      <c r="K23" s="11"/>
      <c r="Q23" s="11"/>
      <c r="T23" s="11"/>
      <c r="Z23" s="11"/>
      <c r="AC23" s="28"/>
      <c r="AI23" s="28"/>
    </row>
    <row r="24" spans="1:54">
      <c r="B24" s="11"/>
      <c r="H24" s="11"/>
      <c r="K24" s="11"/>
      <c r="Q24" s="11"/>
      <c r="T24" s="11"/>
      <c r="Z24" s="11"/>
      <c r="AC24" s="28"/>
      <c r="AI24" s="28"/>
    </row>
    <row r="25" spans="1:54">
      <c r="B25" s="11"/>
      <c r="H25" s="11"/>
      <c r="K25" s="11"/>
      <c r="Q25" s="11"/>
      <c r="T25" s="11"/>
      <c r="Z25" s="11"/>
      <c r="AC25" s="28"/>
      <c r="AI25" s="28"/>
    </row>
    <row r="26" spans="1:54">
      <c r="B26" s="11"/>
      <c r="H26" s="11"/>
      <c r="K26" s="11"/>
      <c r="Q26" s="11"/>
      <c r="T26" s="11"/>
      <c r="Z26" s="11"/>
      <c r="AC26" s="28"/>
      <c r="AI26" s="28"/>
    </row>
    <row r="27" spans="1:54">
      <c r="B27" s="11"/>
      <c r="H27" s="11"/>
      <c r="K27" s="11"/>
      <c r="Q27" s="11"/>
      <c r="T27" s="11"/>
      <c r="Z27" s="11"/>
      <c r="AC27" s="28"/>
      <c r="AI27" s="28"/>
    </row>
    <row r="28" spans="1:54">
      <c r="B28" s="11"/>
      <c r="H28" s="11"/>
      <c r="K28" s="11"/>
      <c r="Q28" s="11"/>
      <c r="T28" s="11"/>
      <c r="Z28" s="11"/>
      <c r="AC28" s="28"/>
      <c r="AI28" s="28"/>
    </row>
    <row r="29" spans="1:54">
      <c r="B29" s="11"/>
      <c r="H29" s="11"/>
      <c r="K29" s="11"/>
      <c r="Q29" s="11"/>
      <c r="T29" s="11"/>
      <c r="Z29" s="11"/>
      <c r="AC29" s="28"/>
      <c r="AI29" s="28"/>
    </row>
    <row r="30" spans="1:54">
      <c r="B30" s="11"/>
      <c r="H30" s="11"/>
      <c r="K30" s="11"/>
      <c r="Q30" s="11"/>
      <c r="T30" s="11"/>
      <c r="Z30" s="11"/>
      <c r="AC30" s="28"/>
      <c r="AI30" s="28"/>
    </row>
    <row r="31" spans="1:54">
      <c r="B31" s="11"/>
      <c r="H31" s="11"/>
      <c r="K31" s="11"/>
      <c r="Q31" s="11"/>
      <c r="T31" s="11"/>
      <c r="Z31" s="11"/>
      <c r="AC31" s="28"/>
      <c r="AI31" s="28"/>
    </row>
    <row r="32" spans="1:54">
      <c r="B32" s="11"/>
      <c r="H32" s="11"/>
      <c r="K32" s="11"/>
      <c r="Q32" s="11"/>
      <c r="T32" s="11"/>
      <c r="Z32" s="11"/>
      <c r="AC32" s="28"/>
      <c r="AI32" s="28"/>
    </row>
    <row r="33" spans="1:54">
      <c r="B33" s="11"/>
      <c r="D33" s="10" t="s">
        <v>429</v>
      </c>
      <c r="H33" s="11"/>
      <c r="K33" s="11"/>
      <c r="M33" s="10" t="s">
        <v>430</v>
      </c>
      <c r="Q33" s="11"/>
      <c r="T33" s="11"/>
      <c r="V33" s="10" t="s">
        <v>431</v>
      </c>
      <c r="Z33" s="11"/>
      <c r="AC33" s="28"/>
      <c r="AE33" s="10" t="s">
        <v>432</v>
      </c>
      <c r="AI33" s="28"/>
    </row>
    <row r="34" spans="1:54">
      <c r="B34" s="11"/>
      <c r="D34" s="10" t="s">
        <v>1</v>
      </c>
      <c r="H34" s="11"/>
      <c r="K34" s="11"/>
      <c r="M34" s="10" t="s">
        <v>2</v>
      </c>
      <c r="Q34" s="11"/>
      <c r="T34" s="11"/>
      <c r="V34" s="10" t="s">
        <v>3</v>
      </c>
      <c r="Z34" s="11"/>
      <c r="AC34" s="28"/>
      <c r="AE34" s="10" t="s">
        <v>403</v>
      </c>
      <c r="AI34" s="28"/>
    </row>
    <row r="35" spans="1:54">
      <c r="B35" s="11"/>
      <c r="H35" s="11"/>
      <c r="K35" s="11"/>
      <c r="Q35" s="11"/>
      <c r="T35" s="11"/>
      <c r="Z35" s="11"/>
      <c r="AC35" s="28"/>
      <c r="AI35" s="28"/>
    </row>
    <row r="36" spans="1:54">
      <c r="B36" s="11"/>
      <c r="D36" s="27" t="str">
        <f>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por su parte ",D1013," ",E1013,", también ",D1014," ",E1014,", por su parte ",D1015," ",E1015,", en cambio ",D1016," ",E1016,", de modo que ",D1017," ",E1017, ", ","asi mismo ",D1018," ",E1018,","," por todas estas razones, es que la variable ",E1001," basado en su dimensión ",E1002," y calificado por los ",E1003," es considerado como ",E1008,".")</f>
        <v>0</v>
      </c>
      <c r="E36" s="35"/>
      <c r="F36" s="35"/>
      <c r="G36" s="35"/>
      <c r="H36" s="36"/>
      <c r="I36" s="35"/>
      <c r="J36" s="35"/>
      <c r="K36" s="11"/>
      <c r="L36" s="35"/>
      <c r="M36" s="27" t="str">
        <f>CONCATENATE("En la ",M5," y ",M33," se puede observar que la variable ",N1001," en base a su dimensión ",N1002," es calificado como ",N1008," ya que el ",ROUND(M1006*100,0),"% de los resultados lo califican como ",M1005,", el ",ROUND(N1006*100,0),"% ",N1005," y el ",ROUND(O1006*100,0),"% lo califico como ",O1005," estos resultados son originados debido a que, ",M1011," ",N1011,",","asi mismo ",M1012," ",N1012,", no obstante ",M1013," ",N1013,", de nuevo ",M1014," ",N1014,", sin embargo ",M1015," ",N1015,", mismo ",M1016," ",N1016,", por su parte ",M1017," ",N1017, ", ","asi mismo ",M1018," ",N1018,","," por todas estas razones, es que la variable ",N1001," basado en su dimensión ",N1002," y calificado por los ",N1003," es considerado como ",N1008,".")</f>
        <v>0</v>
      </c>
      <c r="N36" s="35"/>
      <c r="O36" s="35"/>
      <c r="P36" s="35"/>
      <c r="Q36" s="36"/>
      <c r="R36" s="35"/>
      <c r="S36" s="35"/>
      <c r="T36" s="11"/>
      <c r="U36" s="35"/>
      <c r="V36" s="27" t="str">
        <f>CONCATENATE("En la ",V5," y ",V33," se puede observar que la variable ",W1001," en base a su dimensión ",W1002," es calificado como ",W1008," ya que el ",ROUND(V1006*100,0),"% de los resultados lo califican como ",V1005,", el ",ROUND(W1006*100,0),"% ",W1005," y el ",ROUND(X1006*100,0),"% lo califico como ",X1005," estos resultados son originados debido a que, ",V1011," ",W1011,",","asi mismo ",V1012," ",W1012,", también ",V1013," ",W1013,", de nuevo ",V1014," ",W1014,", así ",V1015," ",W1015,", sin embargo ",V1016," ",W1016,", mismo ",V1017," ",W1017, ", ","asi mismo ",V1018," ",W1018,","," por todas estas razones, es que la variable ",W1001," basado en su dimensión ",W1002," y calificado por los ",W1003," es considerado como ",W1008,".")</f>
        <v>0</v>
      </c>
      <c r="W36" s="35"/>
      <c r="X36" s="35"/>
      <c r="Y36" s="35"/>
      <c r="Z36" s="36"/>
      <c r="AA36" s="35"/>
      <c r="AB36" s="35"/>
      <c r="AC36" s="28"/>
      <c r="AD36" s="35"/>
      <c r="AE36" s="27" t="str">
        <f>CONCATENATE("En la ",AE5," y ",AE33," se puede observar que la variable ",AF1001," tiene una calificación de ",AF1008,","," ello debido a que el ",ROUND(AF1006*100,0),"% de los resultados estan en las categorias de ",AE1005," mientras que el ",ROUND(AF1006*100,0),"% ",AF1005," y el ",ROUND(AG1006*100,0),"% ",AG1005," en tal sentido se puede observar que la mayoria de los resultados es decir el ",ROUND(AH1007*100,0),"% tiene una calificación inclinada para un valor ",AF1008," estos resultados se originaron debido a que ",AP1016," ",AP1017," ",AP1018,", finalmente dentro de las dimensiones evaluadas la que cuenta con mayor deficiencia es la dimensión ",AD1076,)</f>
        <v>0</v>
      </c>
      <c r="AF36" s="35"/>
      <c r="AG36" s="35"/>
      <c r="AH36" s="35"/>
      <c r="AI36" s="37"/>
      <c r="AJ36" s="35"/>
      <c r="AK36" s="35"/>
      <c r="AL36" s="35"/>
      <c r="AM36" s="35"/>
      <c r="AN36" s="35"/>
      <c r="AO36" s="35"/>
      <c r="AP36" s="35"/>
      <c r="AQ36" s="35"/>
      <c r="AR36" s="35"/>
      <c r="AS36" s="35"/>
      <c r="AT36" s="35"/>
      <c r="AU36" s="35"/>
      <c r="AV36" s="35"/>
      <c r="AW36" s="35"/>
    </row>
    <row r="37" spans="1:54">
      <c r="B37" s="11"/>
      <c r="H37" s="11"/>
      <c r="K37" s="11"/>
      <c r="Q37" s="11"/>
      <c r="T37" s="11"/>
      <c r="Z37" s="11"/>
      <c r="AC37" s="28"/>
      <c r="AI37" s="28"/>
    </row>
    <row r="38" spans="1:54">
      <c r="B38" s="11"/>
      <c r="H38" s="11"/>
      <c r="K38" s="11"/>
      <c r="Q38" s="11"/>
      <c r="T38" s="11"/>
      <c r="Z38" s="11"/>
      <c r="AC38" s="28"/>
      <c r="AI38" s="28"/>
    </row>
    <row r="39" spans="1:54">
      <c r="B39" s="11"/>
      <c r="H39" s="11"/>
      <c r="K39" s="11"/>
      <c r="Q39" s="11"/>
      <c r="T39" s="11"/>
      <c r="Z39" s="11"/>
      <c r="AC39" s="28"/>
      <c r="AI39" s="28"/>
    </row>
    <row r="1001" spans="1:54">
      <c r="D1001" s="10" t="s">
        <v>405</v>
      </c>
      <c r="E1001" s="10" t="str">
        <f>(AE6)</f>
        <v>0</v>
      </c>
      <c r="M1001" s="10" t="s">
        <v>405</v>
      </c>
      <c r="N1001" s="10" t="str">
        <f>(AE6)</f>
        <v>0</v>
      </c>
      <c r="V1001" s="10" t="s">
        <v>405</v>
      </c>
      <c r="W1001" s="10" t="str">
        <f>(AE6)</f>
        <v>0</v>
      </c>
      <c r="AE1001" s="10" t="s">
        <v>405</v>
      </c>
      <c r="AF1001" s="10" t="str">
        <f>(AE6)</f>
        <v>0</v>
      </c>
    </row>
    <row r="1002" spans="1:54">
      <c r="D1002" s="10" t="s">
        <v>434</v>
      </c>
      <c r="E1002" s="10" t="str">
        <f>(D6)</f>
        <v>0</v>
      </c>
      <c r="M1002" s="10" t="s">
        <v>434</v>
      </c>
      <c r="N1002" s="10" t="str">
        <f>(M6)</f>
        <v>0</v>
      </c>
      <c r="V1002" s="10" t="s">
        <v>434</v>
      </c>
      <c r="W1002" s="10" t="str">
        <f>(V6)</f>
        <v>0</v>
      </c>
      <c r="AE1002" s="10" t="s">
        <v>434</v>
      </c>
      <c r="AF1002" s="10" t="str">
        <f>(AE6)</f>
        <v>0</v>
      </c>
    </row>
    <row r="1003" spans="1:54">
      <c r="D1003" s="10" t="s">
        <v>544</v>
      </c>
      <c r="E1003" s="10" t="s">
        <v>435</v>
      </c>
      <c r="M1003" s="10" t="s">
        <v>544</v>
      </c>
      <c r="N1003" s="10" t="s">
        <v>435</v>
      </c>
      <c r="V1003" s="10" t="s">
        <v>544</v>
      </c>
      <c r="W1003" s="10" t="s">
        <v>435</v>
      </c>
      <c r="AE1003" s="10" t="s">
        <v>544</v>
      </c>
      <c r="AF1003" s="10" t="s">
        <v>435</v>
      </c>
    </row>
    <row r="1004" spans="1:54">
      <c r="C1004" s="10" t="s">
        <v>441</v>
      </c>
      <c r="D1004" s="10" t="s">
        <v>424</v>
      </c>
      <c r="E1004" s="10" t="s">
        <v>425</v>
      </c>
      <c r="F1004" s="10" t="s">
        <v>426</v>
      </c>
      <c r="L1004" s="10" t="s">
        <v>441</v>
      </c>
      <c r="M1004" s="10" t="s">
        <v>424</v>
      </c>
      <c r="N1004" s="10" t="s">
        <v>425</v>
      </c>
      <c r="O1004" s="10" t="s">
        <v>426</v>
      </c>
      <c r="U1004" s="10" t="s">
        <v>441</v>
      </c>
      <c r="V1004" s="10" t="s">
        <v>424</v>
      </c>
      <c r="W1004" s="10" t="s">
        <v>425</v>
      </c>
      <c r="X1004" s="10" t="s">
        <v>426</v>
      </c>
      <c r="AD1004" s="10" t="s">
        <v>441</v>
      </c>
      <c r="AE1004" s="10" t="s">
        <v>424</v>
      </c>
      <c r="AF1004" s="10" t="s">
        <v>425</v>
      </c>
      <c r="AG1004" s="10" t="s">
        <v>426</v>
      </c>
    </row>
    <row r="1005" spans="1:54">
      <c r="C1005" s="10" t="s">
        <v>419</v>
      </c>
      <c r="D1005" s="10" t="str">
        <f>CONCATENATE(D8," y ",D9)</f>
        <v>0</v>
      </c>
      <c r="E1005" s="10" t="str">
        <f>D10</f>
        <v>0</v>
      </c>
      <c r="F1005" s="10" t="str">
        <f>CONCATENATE(D11," y ",D12)</f>
        <v>0</v>
      </c>
      <c r="L1005" s="10" t="s">
        <v>419</v>
      </c>
      <c r="M1005" s="10" t="str">
        <f>CONCATENATE(M8," y ",M9)</f>
        <v>0</v>
      </c>
      <c r="N1005" s="10" t="str">
        <f>M10</f>
        <v>0</v>
      </c>
      <c r="O1005" s="10" t="str">
        <f>CONCATENATE(M11," y ",M12)</f>
        <v>0</v>
      </c>
      <c r="U1005" s="10" t="s">
        <v>419</v>
      </c>
      <c r="V1005" s="10" t="str">
        <f>CONCATENATE(V8," y ",V9)</f>
        <v>0</v>
      </c>
      <c r="W1005" s="10" t="str">
        <f>V10</f>
        <v>0</v>
      </c>
      <c r="X1005" s="10" t="str">
        <f>CONCATENATE(V11," y ",V12)</f>
        <v>0</v>
      </c>
      <c r="AD1005" s="10" t="s">
        <v>419</v>
      </c>
      <c r="AE1005" s="10" t="str">
        <f>CONCATENATE(AE8," y ",AE9)</f>
        <v>0</v>
      </c>
      <c r="AF1005" s="10" t="str">
        <f>AE10</f>
        <v>0</v>
      </c>
      <c r="AG1005" s="10" t="str">
        <f>CONCATENATE(AE11," y ",AE12)</f>
        <v>0</v>
      </c>
    </row>
    <row r="1006" spans="1:54">
      <c r="D1006" s="14" t="str">
        <f>SUM(F8:F9)</f>
        <v>0</v>
      </c>
      <c r="E1006" s="14" t="str">
        <f>F10</f>
        <v>0</v>
      </c>
      <c r="F1006" s="14" t="str">
        <f>SUM(F11:F12)</f>
        <v>0</v>
      </c>
      <c r="M1006" s="14" t="str">
        <f>SUM(O8:O9)</f>
        <v>0</v>
      </c>
      <c r="N1006" s="14" t="str">
        <f>O10</f>
        <v>0</v>
      </c>
      <c r="O1006" s="14" t="str">
        <f>SUM(O11:O12)</f>
        <v>0</v>
      </c>
      <c r="V1006" s="14" t="str">
        <f>SUM(X8:X9)</f>
        <v>0</v>
      </c>
      <c r="W1006" s="14" t="str">
        <f>X10</f>
        <v>0</v>
      </c>
      <c r="X1006" s="14" t="str">
        <f>SUM(X11:X12)</f>
        <v>0</v>
      </c>
      <c r="AE1006" s="14" t="str">
        <f>SUM(AG8:AG9)</f>
        <v>0</v>
      </c>
      <c r="AF1006" s="14" t="str">
        <f>AG10</f>
        <v>0</v>
      </c>
      <c r="AG1006" s="14" t="str">
        <f>SUM(AG11:AG12)</f>
        <v>0</v>
      </c>
    </row>
    <row r="1007" spans="1:54">
      <c r="C1007" s="10" t="s">
        <v>545</v>
      </c>
      <c r="D1007" s="14" t="str">
        <f>SUM(D1006:E1006)</f>
        <v>0</v>
      </c>
      <c r="E1007" s="14" t="str">
        <f>SUM(E1006:F1006)</f>
        <v>0</v>
      </c>
      <c r="F1007" s="14" t="str">
        <f>(D1007-E1007)</f>
        <v>0</v>
      </c>
      <c r="L1007" s="10" t="s">
        <v>545</v>
      </c>
      <c r="M1007" s="14" t="str">
        <f>SUM(M1006:N1006)</f>
        <v>0</v>
      </c>
      <c r="N1007" s="14" t="str">
        <f>SUM(N1006:O1006)</f>
        <v>0</v>
      </c>
      <c r="O1007" s="14" t="str">
        <f>(M1007-N1007)</f>
        <v>0</v>
      </c>
      <c r="U1007" s="10" t="s">
        <v>545</v>
      </c>
      <c r="V1007" s="14" t="str">
        <f>SUM(V1006:W1006)</f>
        <v>0</v>
      </c>
      <c r="W1007" s="14" t="str">
        <f>SUM(W1006:X1006)</f>
        <v>0</v>
      </c>
      <c r="X1007" s="14" t="str">
        <f>(V1007-W1007)</f>
        <v>0</v>
      </c>
      <c r="AD1007" s="10" t="s">
        <v>545</v>
      </c>
      <c r="AE1007" s="14" t="str">
        <f>SUM(AE1006:AF1006)</f>
        <v>0</v>
      </c>
      <c r="AF1007" s="14" t="str">
        <f>SUM(AF1006:AG1006)</f>
        <v>0</v>
      </c>
      <c r="AG1007" s="14" t="str">
        <f>(AE1007-AF1007)</f>
        <v>0</v>
      </c>
      <c r="AH1007" s="14" t="str">
        <f>MAX(AE1007:AF1007)</f>
        <v>0</v>
      </c>
    </row>
    <row r="1008" spans="1:54">
      <c r="D1008" s="10" t="s">
        <v>546</v>
      </c>
      <c r="E1008" t="str">
        <f>IF(AND(F1007&gt;=-5%,F1007&lt;=5%),E1004,IF(F1007&gt;=6%,D1004,IF(F1007&lt;=-5%,F1004,E1004)))</f>
        <v>0</v>
      </c>
      <c r="M1008" s="10" t="s">
        <v>546</v>
      </c>
      <c r="N1008" t="str">
        <f>IF(AND(O1007&gt;=-5%,O1007&lt;=5%),N1004,IF(O1007&gt;=6%,M1004,IF(O1007&lt;=-5%,O1004,N1004)))</f>
        <v>0</v>
      </c>
      <c r="V1008" s="10" t="s">
        <v>546</v>
      </c>
      <c r="W1008" t="str">
        <f>IF(AND(X1007&gt;=-5%,X1007&lt;=5%),W1004,IF(X1007&gt;=6%,V1004,IF(X1007&lt;=-5%,X1004,W1004)))</f>
        <v>0</v>
      </c>
      <c r="AE1008" s="10" t="s">
        <v>546</v>
      </c>
      <c r="AF1008" t="str">
        <f>IF(AND(AG1007&gt;=-5%,AG1007&lt;=5%),AF1004,IF(AG1007&gt;=6%,AE1004,IF(AG1007&lt;=-5%,AG1004,AF1004)))</f>
        <v>0</v>
      </c>
    </row>
    <row r="1011" spans="1:54">
      <c r="D1011" s="10" t="str">
        <f>'Por Valoracion (3) Dimension'!U1016</f>
        <v>0</v>
      </c>
      <c r="E1011" s="10" t="str">
        <f>'Por Valoracion (3) Dimension'!M1016</f>
        <v>0</v>
      </c>
      <c r="M1011" s="10" t="str">
        <f>'Por Valoracion (3) Dimension'!AG1016</f>
        <v>0</v>
      </c>
      <c r="N1011" s="10" t="str">
        <f>'Por Valoracion (3) Dimension'!Y1016</f>
        <v>0</v>
      </c>
      <c r="V1011" s="10" t="str">
        <f>'Por Valoracion (3) Dimension'!AS1016</f>
        <v>0</v>
      </c>
      <c r="W1011" s="10" t="str">
        <f>'Por Valoracion (3) Dimension'!AK1016</f>
        <v>0</v>
      </c>
    </row>
    <row r="1012" spans="1:54">
      <c r="D1012" s="10" t="str">
        <f>'Por Valoracion (3) Dimension'!U1017</f>
        <v>0</v>
      </c>
      <c r="E1012" s="10" t="str">
        <f>'Por Valoracion (3) Dimension'!M1017</f>
        <v>0</v>
      </c>
      <c r="M1012" s="10" t="str">
        <f>'Por Valoracion (3) Dimension'!AG1017</f>
        <v>0</v>
      </c>
      <c r="N1012" s="10" t="str">
        <f>'Por Valoracion (3) Dimension'!Y1017</f>
        <v>0</v>
      </c>
      <c r="V1012" s="10" t="str">
        <f>'Por Valoracion (3) Dimension'!AS1017</f>
        <v>0</v>
      </c>
      <c r="W1012" s="10" t="str">
        <f>'Por Valoracion (3) Dimension'!AK1017</f>
        <v>0</v>
      </c>
    </row>
    <row r="1013" spans="1:54">
      <c r="D1013" s="10" t="str">
        <f>'Por Valoracion (3) Dimension'!U1018</f>
        <v>0</v>
      </c>
      <c r="E1013" s="10" t="str">
        <f>'Por Valoracion (3) Dimension'!M1018</f>
        <v>0</v>
      </c>
      <c r="M1013" s="10" t="str">
        <f>'Por Valoracion (3) Dimension'!AG1018</f>
        <v>0</v>
      </c>
      <c r="N1013" s="10" t="str">
        <f>'Por Valoracion (3) Dimension'!Y1018</f>
        <v>0</v>
      </c>
      <c r="V1013" s="10" t="str">
        <f>'Por Valoracion (3) Dimension'!AS1018</f>
        <v>0</v>
      </c>
      <c r="W1013" s="10" t="str">
        <f>'Por Valoracion (3) Dimension'!AK1018</f>
        <v>0</v>
      </c>
    </row>
    <row r="1014" spans="1:54">
      <c r="D1014" s="10" t="str">
        <f>'Por Valoracion (3) Dimension'!U1019</f>
        <v>0</v>
      </c>
      <c r="E1014" s="10" t="str">
        <f>'Por Valoracion (3) Dimension'!M1019</f>
        <v>0</v>
      </c>
      <c r="M1014" s="10" t="str">
        <f>'Por Valoracion (3) Dimension'!AG1019</f>
        <v>0</v>
      </c>
      <c r="N1014" s="10" t="str">
        <f>'Por Valoracion (3) Dimension'!Y1019</f>
        <v>0</v>
      </c>
      <c r="V1014" s="10" t="str">
        <f>'Por Valoracion (3) Dimension'!AS1019</f>
        <v>0</v>
      </c>
      <c r="W1014" s="10" t="str">
        <f>'Por Valoracion (3) Dimension'!AK1019</f>
        <v>0</v>
      </c>
    </row>
    <row r="1015" spans="1:54">
      <c r="D1015" s="10" t="str">
        <f>'Por Valoracion (3) Dimension'!U1020</f>
        <v>0</v>
      </c>
      <c r="E1015" s="10" t="str">
        <f>'Por Valoracion (3) Dimension'!M1020</f>
        <v>0</v>
      </c>
      <c r="M1015" s="10" t="str">
        <f>'Por Valoracion (3) Dimension'!AG1020</f>
        <v>0</v>
      </c>
      <c r="N1015" s="10" t="str">
        <f>'Por Valoracion (3) Dimension'!Y1020</f>
        <v>0</v>
      </c>
      <c r="V1015" s="10" t="str">
        <f>'Por Valoracion (3) Dimension'!AS1020</f>
        <v>0</v>
      </c>
      <c r="W1015" s="10" t="str">
        <f>'Por Valoracion (3) Dimension'!AK1020</f>
        <v>0</v>
      </c>
      <c r="AD1015" s="10" t="s">
        <v>445</v>
      </c>
      <c r="AE1015" s="10" t="str">
        <f>AE1005</f>
        <v>0</v>
      </c>
      <c r="AF1015" s="10" t="str">
        <f>AF1005</f>
        <v>0</v>
      </c>
      <c r="AG1015" s="10" t="str">
        <f>AG1005</f>
        <v>0</v>
      </c>
      <c r="AH1015" s="10" t="s">
        <v>547</v>
      </c>
      <c r="AI1015" s="10" t="s">
        <v>446</v>
      </c>
      <c r="AJ1015" s="10" t="s">
        <v>447</v>
      </c>
      <c r="AK1015" s="10" t="s">
        <v>448</v>
      </c>
      <c r="AL1015" s="10" t="s">
        <v>449</v>
      </c>
      <c r="AM1015" s="10" t="s">
        <v>450</v>
      </c>
      <c r="AN1015" s="10" t="s">
        <v>451</v>
      </c>
      <c r="AO1015" s="10" t="s">
        <v>452</v>
      </c>
      <c r="AP1015" s="10" t="s">
        <v>444</v>
      </c>
      <c r="AQ1015" s="10"/>
      <c r="AR1015" s="10"/>
      <c r="AS1015" s="10"/>
      <c r="AT1015" s="10"/>
      <c r="AU1015" s="10"/>
      <c r="AV1015" s="10"/>
      <c r="AW1015" s="10"/>
      <c r="AX1015" s="10"/>
      <c r="AY1015" s="10"/>
      <c r="AZ1015" s="10"/>
      <c r="BA1015" s="10"/>
      <c r="BB1015" s="10"/>
    </row>
    <row r="1016" spans="1:54">
      <c r="D1016" s="10" t="str">
        <f>'Por Valoracion (3) Dimension'!U1021</f>
        <v>0</v>
      </c>
      <c r="E1016" s="10" t="str">
        <f>'Por Valoracion (3) Dimension'!M1021</f>
        <v>0</v>
      </c>
      <c r="M1016" s="10" t="str">
        <f>'Por Valoracion (3) Dimension'!AG1021</f>
        <v>0</v>
      </c>
      <c r="N1016" s="10" t="str">
        <f>'Por Valoracion (3) Dimension'!Y1021</f>
        <v>0</v>
      </c>
      <c r="V1016" s="10" t="str">
        <f>'Por Valoracion (3) Dimension'!AS1021</f>
        <v>0</v>
      </c>
      <c r="W1016" s="10" t="str">
        <f>'Por Valoracion (3) Dimension'!AK1021</f>
        <v>0</v>
      </c>
      <c r="AD1016" s="10" t="str">
        <f>(D6)</f>
        <v>0</v>
      </c>
      <c r="AE1016" s="14" t="str">
        <f>(D1006)</f>
        <v>0</v>
      </c>
      <c r="AF1016" s="14" t="str">
        <f>(E1006)</f>
        <v>0</v>
      </c>
      <c r="AG1016" s="14" t="str">
        <f>(F1006)</f>
        <v>0</v>
      </c>
      <c r="AH1016" s="14" t="str">
        <f>MAX(AE1016:AG1016)</f>
        <v>0</v>
      </c>
      <c r="AI1016" s="10" t="str">
        <f>IF(AH1016=AE1016,$AE$1015,IF(AH1016=AF1016,$AF$1015,IF(AH1016=AG1016,$AG$1015,"algo esta mal")))</f>
        <v>0</v>
      </c>
      <c r="AJ1016" s="10" t="str">
        <f> RANDBETWEEN(1,10)</f>
        <v>0</v>
      </c>
      <c r="AK1016" s="10" t="str">
        <f>IF(AJ1016='Por Valoracion (3) Dimension'!$BD$1100,'Por Valoracion (3) Dimension'!$BE$1100,IF(AJ1016='Por Valoracion (3) Dimension'!$BD$1101,'Por Valoracion (3) Dimension'!$BE$1101,IF(AJ1016='Por Valoracion (3) Dimension'!$BD$1102,'Por Valoracion (3) Dimension'!$BE$1102,IF(AJ1016='Por Valoracion (3) Dimension'!$BD$1103,'Por Valoracion (3) Dimension'!$BE$1103,IF(AJ1016='Por Valoracion (3) Dimension'!$BD$1104,'Por Valoracion (3) Dimension'!$BE$1104,IF(AJ1016='Por Valoracion (3) Dimension'!$BD$1105,'Por Valoracion (3) Dimension'!$BE$1105,IF(AJ1016='Por Valoracion (3) Dimension'!$BD$1106,'Por Valoracion (3) Dimension'!$BE$1106,IF(AJ1016='Por Valoracion (3) Dimension'!$BD$1107,'Por Valoracion (3) Dimension'!$BE$1107,IF(AJ1016='Por Valoracion (3) Dimension'!$BD$1108,'Por Valoracion (3) Dimension'!$BE$1108,IF(AJ1016='Por Valoracion (3) Dimension'!$BD$1109,'Por Valoracion (3) Dimension'!$BE$1109, A4000))))))))))</f>
        <v>0</v>
      </c>
      <c r="AL1016" s="10" t="str">
        <f> RANDBETWEEN(1,7)</f>
        <v>0</v>
      </c>
      <c r="AM1016" s="10" t="str">
        <f>IF(AL1016='Por Valoracion (3) Dimension'!$BD$1110,'Por Valoracion (3) Dimension'!$BE$1110,IF(AL1016='Por Valoracion (3) Dimension'!$BD$1111,'Por Valoracion (3) Dimension'!$BE$1111,IF(AL1016='Por Valoracion (3) Dimension'!$BD$1112,'Por Valoracion (3) Dimension'!$BE$1112,IF(AL1016='Por Valoracion (3) Dimension'!$BD$1113,'Por Valoracion (3) Dimension'!$BE$1113,IF(AL1016='Por Valoracion (3) Dimension'!$BD$1114,'Por Valoracion (3) Dimension'!$BE$1114,IF(AL1016='Por Valoracion (3) Dimension'!$BD$1115,'Por Valoracion (3) Dimension'!$BE$1115,IF(AL1016='Por Valoracion (3) Dimension'!$BD$1116,'Por Valoracion (3) Dimension'!$BE$1116,IF(AL1016='Por Valoracion (3) Dimension'!$BD$1117,'Por Valoracion (3) Dimension'!$BE$1117,IF(AL1016='Por Valoracion (3) Dimension'!$BD$1118,'Por Valoracion (3) Dimension'!$BE$1118,IF(AL1016='Por Valoracion (3) Dimension'!$BD$1119,'Por Valoracion (3) Dimension'!$BE$1119, A4000))))))))))</f>
        <v>0</v>
      </c>
      <c r="AN1016" s="10" t="str">
        <f> RANDBETWEEN(1,2)</f>
        <v>0</v>
      </c>
      <c r="AO1016" s="10" t="str">
        <f>IF(AN1016='Por Valoracion (3) Dimension'!$BD$1120,'Por Valoracion (3) Dimension'!$BE$1120,IF(AN1016='Por Valoracion (3) Dimension'!$BD$1121,'Por Valoracion (3) Dimension'!$BE$1121,A4000))</f>
        <v>0</v>
      </c>
      <c r="AP1016" s="10" t="str">
        <f>CONCATENATE("el ",ROUND(AH1016*100,0),"% de los ",AO1016," ",AK1016," a la dimensión ",AD1016," como ",AI1016,", ",AM1016)</f>
        <v>0</v>
      </c>
    </row>
    <row r="1017" spans="1:54">
      <c r="D1017" s="10" t="str">
        <f>'Por Valoracion (3) Dimension'!U1022</f>
        <v>0</v>
      </c>
      <c r="E1017" s="10" t="str">
        <f>'Por Valoracion (3) Dimension'!M1022</f>
        <v>0</v>
      </c>
      <c r="M1017" s="10" t="str">
        <f>'Por Valoracion (3) Dimension'!AG1022</f>
        <v>0</v>
      </c>
      <c r="N1017" s="10" t="str">
        <f>'Por Valoracion (3) Dimension'!Y1022</f>
        <v>0</v>
      </c>
      <c r="V1017" s="10" t="str">
        <f>'Por Valoracion (3) Dimension'!AS1022</f>
        <v>0</v>
      </c>
      <c r="W1017" s="10" t="str">
        <f>'Por Valoracion (3) Dimension'!AK1022</f>
        <v>0</v>
      </c>
      <c r="AD1017" s="10" t="str">
        <f>(M6)</f>
        <v>0</v>
      </c>
      <c r="AE1017" s="14" t="str">
        <f>(M1006)</f>
        <v>0</v>
      </c>
      <c r="AF1017" s="14" t="str">
        <f>(N1006)</f>
        <v>0</v>
      </c>
      <c r="AG1017" s="14" t="str">
        <f>(O1006)</f>
        <v>0</v>
      </c>
      <c r="AH1017" s="14" t="str">
        <f>MAX(AE1017:AG1017)</f>
        <v>0</v>
      </c>
      <c r="AI1017" s="10" t="str">
        <f>IF(AH1017=AE1017,$AE$1015,IF(AH1017=AF1017,$AF$1015,IF(AH1017=AG1017,$AG$1015,"algo esta mal")))</f>
        <v>0</v>
      </c>
      <c r="AJ1017" s="10" t="str">
        <f> RANDBETWEEN(1,10)</f>
        <v>0</v>
      </c>
      <c r="AK1017" s="10" t="str">
        <f>IF(AJ1017='Por Valoracion (3) Dimension'!$BD$1100,'Por Valoracion (3) Dimension'!$BE$1100,IF(AJ1017='Por Valoracion (3) Dimension'!$BD$1101,'Por Valoracion (3) Dimension'!$BE$1101,IF(AJ1017='Por Valoracion (3) Dimension'!$BD$1102,'Por Valoracion (3) Dimension'!$BE$1102,IF(AJ1017='Por Valoracion (3) Dimension'!$BD$1103,'Por Valoracion (3) Dimension'!$BE$1103,IF(AJ1017='Por Valoracion (3) Dimension'!$BD$1104,'Por Valoracion (3) Dimension'!$BE$1104,IF(AJ1017='Por Valoracion (3) Dimension'!$BD$1105,'Por Valoracion (3) Dimension'!$BE$1105,IF(AJ1017='Por Valoracion (3) Dimension'!$BD$1106,'Por Valoracion (3) Dimension'!$BE$1106,IF(AJ1017='Por Valoracion (3) Dimension'!$BD$1107,'Por Valoracion (3) Dimension'!$BE$1107,IF(AJ1017='Por Valoracion (3) Dimension'!$BD$1108,'Por Valoracion (3) Dimension'!$BE$1108,IF(AJ1017='Por Valoracion (3) Dimension'!$BD$1109,'Por Valoracion (3) Dimension'!$BE$1109, A4000))))))))))</f>
        <v>0</v>
      </c>
      <c r="AL1017" s="10" t="str">
        <f> RANDBETWEEN(1,7)</f>
        <v>0</v>
      </c>
      <c r="AM1017" s="10" t="str">
        <f>IF(AL1017='Por Valoracion (3) Dimension'!$BD$1110,'Por Valoracion (3) Dimension'!$BE$1110,IF(AL1017='Por Valoracion (3) Dimension'!$BD$1111,'Por Valoracion (3) Dimension'!$BE$1111,IF(AL1017='Por Valoracion (3) Dimension'!$BD$1112,'Por Valoracion (3) Dimension'!$BE$1112,IF(AL1017='Por Valoracion (3) Dimension'!$BD$1113,'Por Valoracion (3) Dimension'!$BE$1113,IF(AL1017='Por Valoracion (3) Dimension'!$BD$1114,'Por Valoracion (3) Dimension'!$BE$1114,IF(AL1017='Por Valoracion (3) Dimension'!$BD$1115,'Por Valoracion (3) Dimension'!$BE$1115,IF(AL1017='Por Valoracion (3) Dimension'!$BD$1116,'Por Valoracion (3) Dimension'!$BE$1116,IF(AL1017='Por Valoracion (3) Dimension'!$BD$1117,'Por Valoracion (3) Dimension'!$BE$1117,IF(AL1017='Por Valoracion (3) Dimension'!$BD$1118,'Por Valoracion (3) Dimension'!$BE$1118,IF(AL1017='Por Valoracion (3) Dimension'!$BD$1119,'Por Valoracion (3) Dimension'!$BE$1119, A4000))))))))))</f>
        <v>0</v>
      </c>
      <c r="AN1017" s="10" t="str">
        <f> RANDBETWEEN(1,2)</f>
        <v>0</v>
      </c>
      <c r="AO1017" s="10" t="str">
        <f>IF(AN1017='Por Valoracion (3) Dimension'!$BD$1120,'Por Valoracion (3) Dimension'!$BE$1120,IF(AN1017='Por Valoracion (3) Dimension'!$BD$1121,'Por Valoracion (3) Dimension'!$BE$1121,A4000))</f>
        <v>0</v>
      </c>
      <c r="AP1017" s="10" t="str">
        <f>CONCATENATE("el ",ROUND(AH1017*100,0),"% de los ",AO1017," ",AK1017," a la dimensión ",AD1017," como ",AI1017,", ",AM1017)</f>
        <v>0</v>
      </c>
    </row>
    <row r="1018" spans="1:54">
      <c r="D1018" s="10" t="str">
        <f>'Por Valoracion (3) Dimension'!U1023</f>
        <v>0</v>
      </c>
      <c r="E1018" s="10" t="str">
        <f>'Por Valoracion (3) Dimension'!M1023</f>
        <v>0</v>
      </c>
      <c r="M1018" s="10" t="str">
        <f>'Por Valoracion (3) Dimension'!AG1023</f>
        <v>0</v>
      </c>
      <c r="N1018" s="10" t="str">
        <f>'Por Valoracion (3) Dimension'!Y1023</f>
        <v>0</v>
      </c>
      <c r="V1018" s="10" t="str">
        <f>'Por Valoracion (3) Dimension'!AS1023</f>
        <v>0</v>
      </c>
      <c r="W1018" s="10" t="str">
        <f>'Por Valoracion (3) Dimension'!AK1023</f>
        <v>0</v>
      </c>
      <c r="AD1018" s="10" t="str">
        <f>(V6)</f>
        <v>0</v>
      </c>
      <c r="AE1018" s="14" t="str">
        <f>(V1006)</f>
        <v>0</v>
      </c>
      <c r="AF1018" s="14" t="str">
        <f>(W1006)</f>
        <v>0</v>
      </c>
      <c r="AG1018" s="14" t="str">
        <f>(X1006)</f>
        <v>0</v>
      </c>
      <c r="AH1018" s="14" t="str">
        <f>MAX(AE1018:AG1018)</f>
        <v>0</v>
      </c>
      <c r="AI1018" s="10" t="str">
        <f>IF(AH1018=AE1018,$AE$1015,IF(AH1018=AF1018,$AF$1015,IF(AH1018=AG1018,$AG$1015,"algo esta mal")))</f>
        <v>0</v>
      </c>
      <c r="AJ1018" s="10" t="str">
        <f> RANDBETWEEN(1,10)</f>
        <v>0</v>
      </c>
      <c r="AK1018" s="10" t="str">
        <f>IF(AJ1018='Por Valoracion (3) Dimension'!$BD$1100,'Por Valoracion (3) Dimension'!$BE$1100,IF(AJ1018='Por Valoracion (3) Dimension'!$BD$1101,'Por Valoracion (3) Dimension'!$BE$1101,IF(AJ1018='Por Valoracion (3) Dimension'!$BD$1102,'Por Valoracion (3) Dimension'!$BE$1102,IF(AJ1018='Por Valoracion (3) Dimension'!$BD$1103,'Por Valoracion (3) Dimension'!$BE$1103,IF(AJ1018='Por Valoracion (3) Dimension'!$BD$1104,'Por Valoracion (3) Dimension'!$BE$1104,IF(AJ1018='Por Valoracion (3) Dimension'!$BD$1105,'Por Valoracion (3) Dimension'!$BE$1105,IF(AJ1018='Por Valoracion (3) Dimension'!$BD$1106,'Por Valoracion (3) Dimension'!$BE$1106,IF(AJ1018='Por Valoracion (3) Dimension'!$BD$1107,'Por Valoracion (3) Dimension'!$BE$1107,IF(AJ1018='Por Valoracion (3) Dimension'!$BD$1108,'Por Valoracion (3) Dimension'!$BE$1108,IF(AJ1018='Por Valoracion (3) Dimension'!$BD$1109,'Por Valoracion (3) Dimension'!$BE$1109, A4000))))))))))</f>
        <v>0</v>
      </c>
      <c r="AL1018" s="10" t="str">
        <f> RANDBETWEEN(1,7)</f>
        <v>0</v>
      </c>
      <c r="AM1018" s="10" t="str">
        <f>IF(AL1018='Por Valoracion (3) Dimension'!$BD$1110,'Por Valoracion (3) Dimension'!$BE$1110,IF(AL1018='Por Valoracion (3) Dimension'!$BD$1111,'Por Valoracion (3) Dimension'!$BE$1111,IF(AL1018='Por Valoracion (3) Dimension'!$BD$1112,'Por Valoracion (3) Dimension'!$BE$1112,IF(AL1018='Por Valoracion (3) Dimension'!$BD$1113,'Por Valoracion (3) Dimension'!$BE$1113,IF(AL1018='Por Valoracion (3) Dimension'!$BD$1114,'Por Valoracion (3) Dimension'!$BE$1114,IF(AL1018='Por Valoracion (3) Dimension'!$BD$1115,'Por Valoracion (3) Dimension'!$BE$1115,IF(AL1018='Por Valoracion (3) Dimension'!$BD$1116,'Por Valoracion (3) Dimension'!$BE$1116,IF(AL1018='Por Valoracion (3) Dimension'!$BD$1117,'Por Valoracion (3) Dimension'!$BE$1117,IF(AL1018='Por Valoracion (3) Dimension'!$BD$1118,'Por Valoracion (3) Dimension'!$BE$1118,IF(AL1018='Por Valoracion (3) Dimension'!$BD$1119,'Por Valoracion (3) Dimension'!$BE$1119, A4000))))))))))</f>
        <v>0</v>
      </c>
      <c r="AN1018" s="10" t="str">
        <f> RANDBETWEEN(1,2)</f>
        <v>0</v>
      </c>
      <c r="AO1018" s="10" t="str">
        <f>IF(AN1018='Por Valoracion (3) Dimension'!$BD$1120,'Por Valoracion (3) Dimension'!$BE$1120,IF(AN1018='Por Valoracion (3) Dimension'!$BD$1121,'Por Valoracion (3) Dimension'!$BE$1121,A4000))</f>
        <v>0</v>
      </c>
      <c r="AP1018" s="10" t="str">
        <f>CONCATENATE("el ",ROUND(AH1018*100,0),"% de los ",AO1018," ",AK1018," a la dimensión ",AD1018," como ",AI1018)</f>
        <v>0</v>
      </c>
    </row>
    <row r="1076" spans="1:54">
      <c r="AD1076" s="10" t="str">
        <f>IF(AE1076=AE1016,AD1016,IF(AE1076=AE1017,AD1017,IF(AE1076=AE1018,AD1018)))</f>
        <v>0</v>
      </c>
      <c r="AE1076" s="14" t="str">
        <f>MAX(AE1016:AE1018)</f>
        <v>0</v>
      </c>
    </row>
    <row r="2008" spans="1:54">
      <c r="E2008" s="10"/>
      <c r="N2008" s="10"/>
      <c r="W2008" s="10"/>
      <c r="AF2008" s="10"/>
    </row>
    <row r="2009" spans="1:54">
      <c r="E2009" s="10"/>
      <c r="N2009" s="10"/>
      <c r="W2009" s="10"/>
      <c r="AF2009" s="10"/>
    </row>
    <row r="2010" spans="1:54">
      <c r="E2010" s="10"/>
      <c r="N2010" s="10"/>
      <c r="W2010" s="10"/>
      <c r="AF2010" s="10"/>
    </row>
    <row r="2011" spans="1:54">
      <c r="E2011" s="10"/>
      <c r="N2011" s="10"/>
      <c r="W2011" s="10"/>
      <c r="AF2011" s="10"/>
    </row>
    <row r="2012" spans="1:54">
      <c r="E2012" s="10"/>
      <c r="N2012" s="10"/>
      <c r="W2012" s="10"/>
      <c r="AF2012" s="10"/>
    </row>
    <row r="2013" spans="1:54">
      <c r="E2013" s="18" t="str">
        <f>SUM(E2008:E2012)</f>
        <v>0</v>
      </c>
      <c r="F2013" s="22" t="str">
        <f>SUM(F2008:F2012)</f>
        <v>0</v>
      </c>
      <c r="N2013" s="18" t="str">
        <f>SUM(N2008:N2012)</f>
        <v>0</v>
      </c>
      <c r="O2013" s="22" t="str">
        <f>SUM(O2008:O2012)</f>
        <v>0</v>
      </c>
      <c r="W2013" s="18" t="str">
        <f>SUM(W2008:W2012)</f>
        <v>0</v>
      </c>
      <c r="X2013" s="22" t="str">
        <f>SUM(X2008:X2012)</f>
        <v>0</v>
      </c>
      <c r="AF2013" s="18" t="str">
        <f>SUM(AF2008:AF2012)</f>
        <v>0</v>
      </c>
      <c r="AG2013" s="22" t="str">
        <f>SUM(AG2008:AG2012)</f>
        <v>0</v>
      </c>
    </row>
    <row r="2101" spans="1:54">
      <c r="D2101" s="10" t="s">
        <v>405</v>
      </c>
      <c r="E2101" s="10" t="str">
        <f>(AE6)</f>
        <v>0</v>
      </c>
      <c r="M2101" s="10" t="s">
        <v>405</v>
      </c>
      <c r="N2101" s="10" t="str">
        <f>(AE6)</f>
        <v>0</v>
      </c>
      <c r="V2101" s="10" t="s">
        <v>405</v>
      </c>
      <c r="W2101" s="10" t="str">
        <f>(AE6)</f>
        <v>0</v>
      </c>
      <c r="AE2101" s="10" t="s">
        <v>405</v>
      </c>
      <c r="AF2101" s="10" t="str">
        <f>(AE6)</f>
        <v>0</v>
      </c>
    </row>
    <row r="2102" spans="1:54">
      <c r="D2102" s="10" t="s">
        <v>434</v>
      </c>
      <c r="E2102" s="10" t="str">
        <f>(D6)</f>
        <v>0</v>
      </c>
      <c r="M2102" s="10" t="s">
        <v>434</v>
      </c>
      <c r="N2102" s="10" t="str">
        <f>(M6)</f>
        <v>0</v>
      </c>
      <c r="V2102" s="10" t="s">
        <v>434</v>
      </c>
      <c r="W2102" s="10" t="str">
        <f>(V6)</f>
        <v>0</v>
      </c>
      <c r="AE2102" s="10" t="s">
        <v>434</v>
      </c>
      <c r="AF2102" s="10" t="str">
        <f>(AE6)</f>
        <v>0</v>
      </c>
    </row>
    <row r="2103" spans="1:54">
      <c r="D2103" s="10" t="s">
        <v>544</v>
      </c>
      <c r="E2103" s="10" t="s">
        <v>435</v>
      </c>
      <c r="M2103" s="10" t="s">
        <v>544</v>
      </c>
      <c r="N2103" s="10" t="s">
        <v>435</v>
      </c>
      <c r="V2103" s="10" t="s">
        <v>544</v>
      </c>
      <c r="W2103" s="10" t="s">
        <v>435</v>
      </c>
      <c r="AE2103" s="10" t="s">
        <v>544</v>
      </c>
      <c r="AF2103" s="10" t="s">
        <v>435</v>
      </c>
    </row>
    <row r="2104" spans="1:54">
      <c r="C2104" s="10" t="s">
        <v>441</v>
      </c>
      <c r="D2104" s="10" t="s">
        <v>424</v>
      </c>
      <c r="E2104" s="10" t="s">
        <v>425</v>
      </c>
      <c r="F2104" s="10" t="s">
        <v>426</v>
      </c>
      <c r="L2104" s="10" t="s">
        <v>441</v>
      </c>
      <c r="M2104" s="10" t="s">
        <v>424</v>
      </c>
      <c r="N2104" s="10" t="s">
        <v>425</v>
      </c>
      <c r="O2104" s="10" t="s">
        <v>426</v>
      </c>
      <c r="U2104" s="10" t="s">
        <v>441</v>
      </c>
      <c r="V2104" s="10" t="s">
        <v>424</v>
      </c>
      <c r="W2104" s="10" t="s">
        <v>425</v>
      </c>
      <c r="X2104" s="10" t="s">
        <v>426</v>
      </c>
      <c r="AD2104" s="10" t="s">
        <v>441</v>
      </c>
      <c r="AE2104" s="10" t="s">
        <v>424</v>
      </c>
      <c r="AF2104" s="10" t="s">
        <v>425</v>
      </c>
      <c r="AG2104" s="10" t="s">
        <v>426</v>
      </c>
    </row>
    <row r="2105" spans="1:54">
      <c r="C2105" s="10" t="s">
        <v>419</v>
      </c>
      <c r="L2105" s="10" t="s">
        <v>419</v>
      </c>
      <c r="U2105" s="10" t="s">
        <v>419</v>
      </c>
      <c r="AD2105" s="10" t="s">
        <v>419</v>
      </c>
    </row>
    <row r="2107" spans="1:54">
      <c r="C2107" s="10" t="s">
        <v>545</v>
      </c>
      <c r="L2107" s="10" t="s">
        <v>545</v>
      </c>
      <c r="U2107" s="10" t="s">
        <v>545</v>
      </c>
      <c r="AD2107" s="10" t="s">
        <v>545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6:F47"/>
    <mergeCell ref="M4:O4"/>
    <mergeCell ref="M36:O47"/>
    <mergeCell ref="V4:X4"/>
    <mergeCell ref="V36:X47"/>
    <mergeCell ref="AE4:AG4"/>
    <mergeCell ref="AE36:AG4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Q377"/>
  <sheetViews>
    <sheetView tabSelected="0" workbookViewId="0" showGridLines="true" showRowColHeaders="1">
      <selection activeCell="AO377" sqref="AO377"/>
    </sheetView>
  </sheetViews>
  <sheetFormatPr defaultRowHeight="14.4" outlineLevelRow="0" outlineLevelCol="0"/>
  <sheetData>
    <row r="1" spans="1:43">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c r="B3" s="3" t="s">
        <v>548</v>
      </c>
      <c r="C3" s="3"/>
      <c r="D3" s="3"/>
      <c r="E3" s="3"/>
      <c r="F3" s="3"/>
      <c r="G3" s="3"/>
      <c r="H3" s="3"/>
      <c r="I3" s="3"/>
      <c r="J3" s="3"/>
      <c r="K3" s="3"/>
      <c r="L3" s="3" t="s">
        <v>549</v>
      </c>
      <c r="M3" s="3"/>
      <c r="N3" s="3"/>
      <c r="O3" s="3"/>
      <c r="P3" s="3"/>
      <c r="Q3" s="3"/>
      <c r="R3" s="3"/>
      <c r="S3" s="3"/>
      <c r="T3" s="3"/>
      <c r="U3" s="3"/>
      <c r="V3" s="3"/>
      <c r="W3" s="3"/>
      <c r="X3" s="3"/>
      <c r="Y3" s="3"/>
      <c r="Z3" s="3"/>
      <c r="AA3" s="3"/>
      <c r="AB3" s="3"/>
      <c r="AC3" s="3"/>
      <c r="AD3" s="3"/>
      <c r="AE3" s="3" t="s">
        <v>550</v>
      </c>
      <c r="AF3" s="3"/>
      <c r="AG3" s="3"/>
      <c r="AH3" s="3"/>
      <c r="AI3" s="3"/>
      <c r="AJ3" s="3"/>
      <c r="AK3" s="3" t="s">
        <v>551</v>
      </c>
      <c r="AL3" s="3"/>
      <c r="AM3" s="3"/>
      <c r="AN3" s="3"/>
      <c r="AO3" s="3"/>
      <c r="AP3" s="3" t="s">
        <v>4</v>
      </c>
      <c r="AQ3" s="3" t="s">
        <v>5</v>
      </c>
    </row>
    <row r="4" spans="1:43">
      <c r="B4" s="2" t="s">
        <v>6</v>
      </c>
      <c r="C4" s="2" t="s">
        <v>7</v>
      </c>
      <c r="D4" s="2" t="s">
        <v>8</v>
      </c>
      <c r="E4" s="2" t="s">
        <v>9</v>
      </c>
      <c r="F4" s="2" t="s">
        <v>10</v>
      </c>
      <c r="G4" s="2" t="s">
        <v>11</v>
      </c>
      <c r="H4" s="2" t="s">
        <v>12</v>
      </c>
      <c r="I4" s="2" t="s">
        <v>13</v>
      </c>
      <c r="J4" s="2" t="s">
        <v>14</v>
      </c>
      <c r="K4" s="2" t="s">
        <v>15</v>
      </c>
      <c r="L4" s="2" t="s">
        <v>16</v>
      </c>
      <c r="M4" s="2" t="s">
        <v>17</v>
      </c>
      <c r="N4" s="2" t="s">
        <v>18</v>
      </c>
      <c r="O4" s="2" t="s">
        <v>19</v>
      </c>
      <c r="P4" s="2" t="s">
        <v>20</v>
      </c>
      <c r="Q4" s="2" t="s">
        <v>21</v>
      </c>
      <c r="R4" s="2" t="s">
        <v>22</v>
      </c>
      <c r="S4" s="2" t="s">
        <v>23</v>
      </c>
      <c r="T4" s="2" t="s">
        <v>24</v>
      </c>
      <c r="U4" s="2" t="s">
        <v>25</v>
      </c>
      <c r="V4" s="2" t="s">
        <v>26</v>
      </c>
      <c r="W4" s="2" t="s">
        <v>27</v>
      </c>
      <c r="X4" s="2" t="s">
        <v>28</v>
      </c>
      <c r="Y4" s="2" t="s">
        <v>29</v>
      </c>
      <c r="Z4" s="2" t="s">
        <v>552</v>
      </c>
      <c r="AA4" s="2" t="s">
        <v>553</v>
      </c>
      <c r="AB4" s="2" t="s">
        <v>554</v>
      </c>
      <c r="AC4" s="2" t="s">
        <v>555</v>
      </c>
      <c r="AD4" s="2" t="s">
        <v>556</v>
      </c>
      <c r="AE4" s="2" t="s">
        <v>557</v>
      </c>
      <c r="AF4" s="2" t="s">
        <v>558</v>
      </c>
      <c r="AG4" s="2" t="s">
        <v>559</v>
      </c>
      <c r="AH4" s="2" t="s">
        <v>560</v>
      </c>
      <c r="AI4" s="2" t="s">
        <v>561</v>
      </c>
      <c r="AJ4" s="2" t="s">
        <v>562</v>
      </c>
      <c r="AK4" s="2" t="s">
        <v>563</v>
      </c>
      <c r="AL4" s="2" t="s">
        <v>564</v>
      </c>
      <c r="AM4" s="2" t="s">
        <v>565</v>
      </c>
      <c r="AN4" s="2" t="s">
        <v>566</v>
      </c>
      <c r="AO4" s="2" t="s">
        <v>567</v>
      </c>
    </row>
    <row r="5" spans="1:43">
      <c r="A5" t="s">
        <v>30</v>
      </c>
      <c r="B5">
        <v>3</v>
      </c>
      <c r="C5">
        <v>4</v>
      </c>
      <c r="D5">
        <v>2</v>
      </c>
      <c r="E5">
        <v>2</v>
      </c>
      <c r="F5">
        <v>4</v>
      </c>
      <c r="G5">
        <v>3</v>
      </c>
      <c r="H5">
        <v>3</v>
      </c>
      <c r="I5">
        <v>3</v>
      </c>
      <c r="J5">
        <v>4</v>
      </c>
      <c r="K5">
        <v>3</v>
      </c>
      <c r="L5">
        <v>2</v>
      </c>
      <c r="M5">
        <v>4</v>
      </c>
      <c r="N5">
        <v>4</v>
      </c>
      <c r="O5">
        <v>4</v>
      </c>
      <c r="P5">
        <v>3</v>
      </c>
      <c r="Q5">
        <v>5</v>
      </c>
      <c r="R5">
        <v>3</v>
      </c>
      <c r="S5">
        <v>3</v>
      </c>
      <c r="T5">
        <v>2</v>
      </c>
      <c r="U5">
        <v>3</v>
      </c>
      <c r="V5">
        <v>4</v>
      </c>
      <c r="W5">
        <v>3</v>
      </c>
      <c r="X5">
        <v>2</v>
      </c>
      <c r="Y5">
        <v>4</v>
      </c>
      <c r="Z5">
        <v>3</v>
      </c>
      <c r="AA5">
        <v>3</v>
      </c>
      <c r="AB5">
        <v>4</v>
      </c>
      <c r="AC5">
        <v>3</v>
      </c>
      <c r="AD5">
        <v>4</v>
      </c>
      <c r="AE5">
        <v>5</v>
      </c>
      <c r="AF5">
        <v>3</v>
      </c>
      <c r="AG5">
        <v>4</v>
      </c>
      <c r="AH5">
        <v>4</v>
      </c>
      <c r="AI5">
        <v>4</v>
      </c>
      <c r="AJ5">
        <v>2</v>
      </c>
      <c r="AK5">
        <v>3</v>
      </c>
      <c r="AL5">
        <v>4</v>
      </c>
      <c r="AM5">
        <v>4</v>
      </c>
      <c r="AN5">
        <v>3</v>
      </c>
      <c r="AO5">
        <v>4</v>
      </c>
      <c r="AP5" t="str">
        <f>SUM(B5:AO5)</f>
        <v>0</v>
      </c>
    </row>
    <row r="6" spans="1:43">
      <c r="A6" t="s">
        <v>31</v>
      </c>
      <c r="B6">
        <v>3</v>
      </c>
      <c r="C6">
        <v>5</v>
      </c>
      <c r="D6">
        <v>3</v>
      </c>
      <c r="E6">
        <v>4</v>
      </c>
      <c r="F6">
        <v>4</v>
      </c>
      <c r="G6">
        <v>4</v>
      </c>
      <c r="H6">
        <v>5</v>
      </c>
      <c r="I6">
        <v>3</v>
      </c>
      <c r="J6">
        <v>4</v>
      </c>
      <c r="K6">
        <v>5</v>
      </c>
      <c r="L6">
        <v>4</v>
      </c>
      <c r="M6">
        <v>3</v>
      </c>
      <c r="N6">
        <v>5</v>
      </c>
      <c r="O6">
        <v>4</v>
      </c>
      <c r="P6">
        <v>3</v>
      </c>
      <c r="Q6">
        <v>5</v>
      </c>
      <c r="R6">
        <v>4</v>
      </c>
      <c r="S6">
        <v>4</v>
      </c>
      <c r="T6">
        <v>5</v>
      </c>
      <c r="U6">
        <v>4</v>
      </c>
      <c r="V6">
        <v>4</v>
      </c>
      <c r="W6">
        <v>5</v>
      </c>
      <c r="X6">
        <v>4</v>
      </c>
      <c r="Y6">
        <v>4</v>
      </c>
      <c r="Z6">
        <v>4</v>
      </c>
      <c r="AA6">
        <v>4</v>
      </c>
      <c r="AB6">
        <v>4</v>
      </c>
      <c r="AC6">
        <v>4</v>
      </c>
      <c r="AD6">
        <v>5</v>
      </c>
      <c r="AE6">
        <v>5</v>
      </c>
      <c r="AF6">
        <v>5</v>
      </c>
      <c r="AG6">
        <v>4</v>
      </c>
      <c r="AH6">
        <v>4</v>
      </c>
      <c r="AI6">
        <v>4</v>
      </c>
      <c r="AJ6">
        <v>4</v>
      </c>
      <c r="AK6">
        <v>4</v>
      </c>
      <c r="AL6">
        <v>3</v>
      </c>
      <c r="AM6">
        <v>3</v>
      </c>
      <c r="AN6">
        <v>5</v>
      </c>
      <c r="AO6">
        <v>5</v>
      </c>
      <c r="AP6" t="str">
        <f>SUM(B6:AO6)</f>
        <v>0</v>
      </c>
    </row>
    <row r="7" spans="1:43">
      <c r="A7" t="s">
        <v>32</v>
      </c>
      <c r="B7">
        <v>2</v>
      </c>
      <c r="C7">
        <v>2</v>
      </c>
      <c r="D7">
        <v>2</v>
      </c>
      <c r="E7">
        <v>2</v>
      </c>
      <c r="F7">
        <v>2</v>
      </c>
      <c r="G7">
        <v>1</v>
      </c>
      <c r="H7">
        <v>2</v>
      </c>
      <c r="I7">
        <v>1</v>
      </c>
      <c r="J7">
        <v>2</v>
      </c>
      <c r="K7">
        <v>2</v>
      </c>
      <c r="L7">
        <v>2</v>
      </c>
      <c r="M7">
        <v>1</v>
      </c>
      <c r="N7">
        <v>2</v>
      </c>
      <c r="O7">
        <v>2</v>
      </c>
      <c r="P7">
        <v>2</v>
      </c>
      <c r="Q7">
        <v>1</v>
      </c>
      <c r="R7">
        <v>2</v>
      </c>
      <c r="S7">
        <v>2</v>
      </c>
      <c r="T7">
        <v>2</v>
      </c>
      <c r="U7">
        <v>1</v>
      </c>
      <c r="V7">
        <v>2</v>
      </c>
      <c r="W7">
        <v>2</v>
      </c>
      <c r="X7">
        <v>2</v>
      </c>
      <c r="Y7">
        <v>2</v>
      </c>
      <c r="Z7">
        <v>2</v>
      </c>
      <c r="AA7">
        <v>2</v>
      </c>
      <c r="AB7">
        <v>2</v>
      </c>
      <c r="AC7">
        <v>1</v>
      </c>
      <c r="AD7">
        <v>2</v>
      </c>
      <c r="AE7">
        <v>1</v>
      </c>
      <c r="AF7">
        <v>2</v>
      </c>
      <c r="AG7">
        <v>2</v>
      </c>
      <c r="AH7">
        <v>2</v>
      </c>
      <c r="AI7">
        <v>2</v>
      </c>
      <c r="AJ7">
        <v>2</v>
      </c>
      <c r="AK7">
        <v>2</v>
      </c>
      <c r="AL7">
        <v>2</v>
      </c>
      <c r="AM7">
        <v>2</v>
      </c>
      <c r="AN7">
        <v>1</v>
      </c>
      <c r="AO7">
        <v>2</v>
      </c>
      <c r="AP7" t="str">
        <f>SUM(B7:AO7)</f>
        <v>0</v>
      </c>
    </row>
    <row r="8" spans="1:43">
      <c r="A8" t="s">
        <v>33</v>
      </c>
      <c r="B8">
        <v>3</v>
      </c>
      <c r="C8">
        <v>4</v>
      </c>
      <c r="D8">
        <v>3</v>
      </c>
      <c r="E8">
        <v>3</v>
      </c>
      <c r="F8">
        <v>5</v>
      </c>
      <c r="G8">
        <v>4</v>
      </c>
      <c r="H8">
        <v>5</v>
      </c>
      <c r="I8">
        <v>5</v>
      </c>
      <c r="J8">
        <v>5</v>
      </c>
      <c r="K8">
        <v>4</v>
      </c>
      <c r="L8">
        <v>3</v>
      </c>
      <c r="M8">
        <v>5</v>
      </c>
      <c r="N8">
        <v>4</v>
      </c>
      <c r="O8">
        <v>5</v>
      </c>
      <c r="P8">
        <v>4</v>
      </c>
      <c r="Q8">
        <v>4</v>
      </c>
      <c r="R8">
        <v>5</v>
      </c>
      <c r="S8">
        <v>3</v>
      </c>
      <c r="T8">
        <v>5</v>
      </c>
      <c r="U8">
        <v>4</v>
      </c>
      <c r="V8">
        <v>5</v>
      </c>
      <c r="W8">
        <v>5</v>
      </c>
      <c r="X8">
        <v>4</v>
      </c>
      <c r="Y8">
        <v>4</v>
      </c>
      <c r="Z8">
        <v>5</v>
      </c>
      <c r="AA8">
        <v>4</v>
      </c>
      <c r="AB8">
        <v>3</v>
      </c>
      <c r="AC8">
        <v>5</v>
      </c>
      <c r="AD8">
        <v>3</v>
      </c>
      <c r="AE8">
        <v>4</v>
      </c>
      <c r="AF8">
        <v>3</v>
      </c>
      <c r="AG8">
        <v>5</v>
      </c>
      <c r="AH8">
        <v>4</v>
      </c>
      <c r="AI8">
        <v>5</v>
      </c>
      <c r="AJ8">
        <v>5</v>
      </c>
      <c r="AK8">
        <v>4</v>
      </c>
      <c r="AL8">
        <v>5</v>
      </c>
      <c r="AM8">
        <v>4</v>
      </c>
      <c r="AN8">
        <v>3</v>
      </c>
      <c r="AO8">
        <v>5</v>
      </c>
      <c r="AP8" t="str">
        <f>SUM(B8:AO8)</f>
        <v>0</v>
      </c>
    </row>
    <row r="9" spans="1:43">
      <c r="A9" t="s">
        <v>34</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t="str">
        <f>SUM(B9:AO9)</f>
        <v>0</v>
      </c>
    </row>
    <row r="10" spans="1:43">
      <c r="A10" t="s">
        <v>35</v>
      </c>
      <c r="B10">
        <v>4</v>
      </c>
      <c r="C10">
        <v>5</v>
      </c>
      <c r="D10">
        <v>4</v>
      </c>
      <c r="E10">
        <v>5</v>
      </c>
      <c r="F10">
        <v>5</v>
      </c>
      <c r="G10">
        <v>5</v>
      </c>
      <c r="H10">
        <v>4</v>
      </c>
      <c r="I10">
        <v>5</v>
      </c>
      <c r="J10">
        <v>5</v>
      </c>
      <c r="K10">
        <v>5</v>
      </c>
      <c r="L10">
        <v>4</v>
      </c>
      <c r="M10">
        <v>4</v>
      </c>
      <c r="N10">
        <v>5</v>
      </c>
      <c r="O10">
        <v>5</v>
      </c>
      <c r="P10">
        <v>4</v>
      </c>
      <c r="Q10">
        <v>5</v>
      </c>
      <c r="R10">
        <v>4</v>
      </c>
      <c r="S10">
        <v>5</v>
      </c>
      <c r="T10">
        <v>5</v>
      </c>
      <c r="U10">
        <v>5</v>
      </c>
      <c r="V10">
        <v>5</v>
      </c>
      <c r="W10">
        <v>5</v>
      </c>
      <c r="X10">
        <v>4</v>
      </c>
      <c r="Y10">
        <v>4</v>
      </c>
      <c r="Z10">
        <v>5</v>
      </c>
      <c r="AA10">
        <v>5</v>
      </c>
      <c r="AB10">
        <v>5</v>
      </c>
      <c r="AC10">
        <v>5</v>
      </c>
      <c r="AD10">
        <v>5</v>
      </c>
      <c r="AE10">
        <v>4</v>
      </c>
      <c r="AF10">
        <v>5</v>
      </c>
      <c r="AG10">
        <v>4</v>
      </c>
      <c r="AH10">
        <v>5</v>
      </c>
      <c r="AI10">
        <v>4</v>
      </c>
      <c r="AJ10">
        <v>5</v>
      </c>
      <c r="AK10">
        <v>4</v>
      </c>
      <c r="AL10">
        <v>4</v>
      </c>
      <c r="AM10">
        <v>4</v>
      </c>
      <c r="AN10">
        <v>4</v>
      </c>
      <c r="AO10">
        <v>5</v>
      </c>
      <c r="AP10" t="str">
        <f>SUM(B10:AO10)</f>
        <v>0</v>
      </c>
    </row>
    <row r="11" spans="1:43">
      <c r="A11" t="s">
        <v>36</v>
      </c>
      <c r="B11">
        <v>5</v>
      </c>
      <c r="C11">
        <v>5</v>
      </c>
      <c r="D11">
        <v>3</v>
      </c>
      <c r="E11">
        <v>4</v>
      </c>
      <c r="F11">
        <v>4</v>
      </c>
      <c r="G11">
        <v>3</v>
      </c>
      <c r="H11">
        <v>5</v>
      </c>
      <c r="I11">
        <v>4</v>
      </c>
      <c r="J11">
        <v>4</v>
      </c>
      <c r="K11">
        <v>3</v>
      </c>
      <c r="L11">
        <v>5</v>
      </c>
      <c r="M11">
        <v>5</v>
      </c>
      <c r="N11">
        <v>3</v>
      </c>
      <c r="O11">
        <v>5</v>
      </c>
      <c r="P11">
        <v>5</v>
      </c>
      <c r="Q11">
        <v>5</v>
      </c>
      <c r="R11">
        <v>4</v>
      </c>
      <c r="S11">
        <v>4</v>
      </c>
      <c r="T11">
        <v>4</v>
      </c>
      <c r="U11">
        <v>5</v>
      </c>
      <c r="V11">
        <v>5</v>
      </c>
      <c r="W11">
        <v>3</v>
      </c>
      <c r="X11">
        <v>5</v>
      </c>
      <c r="Y11">
        <v>4</v>
      </c>
      <c r="Z11">
        <v>4</v>
      </c>
      <c r="AA11">
        <v>4</v>
      </c>
      <c r="AB11">
        <v>4</v>
      </c>
      <c r="AC11">
        <v>5</v>
      </c>
      <c r="AD11">
        <v>5</v>
      </c>
      <c r="AE11">
        <v>5</v>
      </c>
      <c r="AF11">
        <v>5</v>
      </c>
      <c r="AG11">
        <v>4</v>
      </c>
      <c r="AH11">
        <v>4</v>
      </c>
      <c r="AI11">
        <v>3</v>
      </c>
      <c r="AJ11">
        <v>5</v>
      </c>
      <c r="AK11">
        <v>3</v>
      </c>
      <c r="AL11">
        <v>5</v>
      </c>
      <c r="AM11">
        <v>5</v>
      </c>
      <c r="AN11">
        <v>3</v>
      </c>
      <c r="AO11">
        <v>4</v>
      </c>
      <c r="AP11" t="str">
        <f>SUM(B11:AO11)</f>
        <v>0</v>
      </c>
    </row>
    <row r="12" spans="1:43">
      <c r="A12" t="s">
        <v>37</v>
      </c>
      <c r="B12">
        <v>2</v>
      </c>
      <c r="C12">
        <v>2</v>
      </c>
      <c r="D12">
        <v>2</v>
      </c>
      <c r="E12">
        <v>2</v>
      </c>
      <c r="F12">
        <v>3</v>
      </c>
      <c r="G12">
        <v>2</v>
      </c>
      <c r="H12">
        <v>2</v>
      </c>
      <c r="I12">
        <v>2</v>
      </c>
      <c r="J12">
        <v>2</v>
      </c>
      <c r="K12">
        <v>2</v>
      </c>
      <c r="L12">
        <v>2</v>
      </c>
      <c r="M12">
        <v>2</v>
      </c>
      <c r="N12">
        <v>2</v>
      </c>
      <c r="O12">
        <v>1</v>
      </c>
      <c r="P12">
        <v>2</v>
      </c>
      <c r="Q12">
        <v>2</v>
      </c>
      <c r="R12">
        <v>2</v>
      </c>
      <c r="S12">
        <v>2</v>
      </c>
      <c r="T12">
        <v>3</v>
      </c>
      <c r="U12">
        <v>2</v>
      </c>
      <c r="V12">
        <v>2</v>
      </c>
      <c r="W12">
        <v>2</v>
      </c>
      <c r="X12">
        <v>2</v>
      </c>
      <c r="Y12">
        <v>2</v>
      </c>
      <c r="Z12">
        <v>2</v>
      </c>
      <c r="AA12">
        <v>2</v>
      </c>
      <c r="AB12">
        <v>3</v>
      </c>
      <c r="AC12">
        <v>3</v>
      </c>
      <c r="AD12">
        <v>2</v>
      </c>
      <c r="AE12">
        <v>2</v>
      </c>
      <c r="AF12">
        <v>2</v>
      </c>
      <c r="AG12">
        <v>2</v>
      </c>
      <c r="AH12">
        <v>2</v>
      </c>
      <c r="AI12">
        <v>2</v>
      </c>
      <c r="AJ12">
        <v>2</v>
      </c>
      <c r="AK12">
        <v>3</v>
      </c>
      <c r="AL12">
        <v>3</v>
      </c>
      <c r="AM12">
        <v>2</v>
      </c>
      <c r="AN12">
        <v>2</v>
      </c>
      <c r="AO12">
        <v>3</v>
      </c>
      <c r="AP12" t="str">
        <f>SUM(B12:AO12)</f>
        <v>0</v>
      </c>
    </row>
    <row r="13" spans="1:43">
      <c r="A13" t="s">
        <v>38</v>
      </c>
      <c r="B13">
        <v>1</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t="str">
        <f>SUM(B13:AO13)</f>
        <v>0</v>
      </c>
    </row>
    <row r="14" spans="1:43">
      <c r="A14" t="s">
        <v>39</v>
      </c>
      <c r="B14">
        <v>2</v>
      </c>
      <c r="C14">
        <v>1</v>
      </c>
      <c r="D14">
        <v>1</v>
      </c>
      <c r="E14">
        <v>2</v>
      </c>
      <c r="F14">
        <v>1</v>
      </c>
      <c r="G14">
        <v>1</v>
      </c>
      <c r="H14">
        <v>1</v>
      </c>
      <c r="I14">
        <v>1</v>
      </c>
      <c r="J14">
        <v>1</v>
      </c>
      <c r="K14">
        <v>1</v>
      </c>
      <c r="L14">
        <v>1</v>
      </c>
      <c r="M14">
        <v>2</v>
      </c>
      <c r="N14">
        <v>2</v>
      </c>
      <c r="O14">
        <v>1</v>
      </c>
      <c r="P14">
        <v>1</v>
      </c>
      <c r="Q14">
        <v>1</v>
      </c>
      <c r="R14">
        <v>1</v>
      </c>
      <c r="S14">
        <v>2</v>
      </c>
      <c r="T14">
        <v>2</v>
      </c>
      <c r="U14">
        <v>1</v>
      </c>
      <c r="V14">
        <v>1</v>
      </c>
      <c r="W14">
        <v>1</v>
      </c>
      <c r="X14">
        <v>1</v>
      </c>
      <c r="Y14">
        <v>1</v>
      </c>
      <c r="Z14">
        <v>1</v>
      </c>
      <c r="AA14">
        <v>1</v>
      </c>
      <c r="AB14">
        <v>2</v>
      </c>
      <c r="AC14">
        <v>1</v>
      </c>
      <c r="AD14">
        <v>2</v>
      </c>
      <c r="AE14">
        <v>1</v>
      </c>
      <c r="AF14">
        <v>2</v>
      </c>
      <c r="AG14">
        <v>2</v>
      </c>
      <c r="AH14">
        <v>1</v>
      </c>
      <c r="AI14">
        <v>1</v>
      </c>
      <c r="AJ14">
        <v>1</v>
      </c>
      <c r="AK14">
        <v>2</v>
      </c>
      <c r="AL14">
        <v>1</v>
      </c>
      <c r="AM14">
        <v>1</v>
      </c>
      <c r="AN14">
        <v>1</v>
      </c>
      <c r="AO14">
        <v>2</v>
      </c>
      <c r="AP14" t="str">
        <f>SUM(B14:AO14)</f>
        <v>0</v>
      </c>
    </row>
    <row r="15" spans="1:43">
      <c r="A15" t="s">
        <v>40</v>
      </c>
      <c r="B15">
        <v>5</v>
      </c>
      <c r="C15">
        <v>4</v>
      </c>
      <c r="D15">
        <v>5</v>
      </c>
      <c r="E15">
        <v>4</v>
      </c>
      <c r="F15">
        <v>5</v>
      </c>
      <c r="G15">
        <v>4</v>
      </c>
      <c r="H15">
        <v>5</v>
      </c>
      <c r="I15">
        <v>4</v>
      </c>
      <c r="J15">
        <v>5</v>
      </c>
      <c r="K15">
        <v>4</v>
      </c>
      <c r="L15">
        <v>4</v>
      </c>
      <c r="M15">
        <v>4</v>
      </c>
      <c r="N15">
        <v>5</v>
      </c>
      <c r="O15">
        <v>5</v>
      </c>
      <c r="P15">
        <v>5</v>
      </c>
      <c r="Q15">
        <v>5</v>
      </c>
      <c r="R15">
        <v>5</v>
      </c>
      <c r="S15">
        <v>5</v>
      </c>
      <c r="T15">
        <v>5</v>
      </c>
      <c r="U15">
        <v>5</v>
      </c>
      <c r="V15">
        <v>5</v>
      </c>
      <c r="W15">
        <v>4</v>
      </c>
      <c r="X15">
        <v>5</v>
      </c>
      <c r="Y15">
        <v>3</v>
      </c>
      <c r="Z15">
        <v>5</v>
      </c>
      <c r="AA15">
        <v>3</v>
      </c>
      <c r="AB15">
        <v>5</v>
      </c>
      <c r="AC15">
        <v>3</v>
      </c>
      <c r="AD15">
        <v>5</v>
      </c>
      <c r="AE15">
        <v>5</v>
      </c>
      <c r="AF15">
        <v>5</v>
      </c>
      <c r="AG15">
        <v>3</v>
      </c>
      <c r="AH15">
        <v>5</v>
      </c>
      <c r="AI15">
        <v>4</v>
      </c>
      <c r="AJ15">
        <v>5</v>
      </c>
      <c r="AK15">
        <v>5</v>
      </c>
      <c r="AL15">
        <v>5</v>
      </c>
      <c r="AM15">
        <v>4</v>
      </c>
      <c r="AN15">
        <v>5</v>
      </c>
      <c r="AO15">
        <v>5</v>
      </c>
      <c r="AP15" t="str">
        <f>SUM(B15:AO15)</f>
        <v>0</v>
      </c>
    </row>
    <row r="16" spans="1:43">
      <c r="A16" t="s">
        <v>41</v>
      </c>
      <c r="B16">
        <v>4</v>
      </c>
      <c r="C16">
        <v>4</v>
      </c>
      <c r="D16">
        <v>5</v>
      </c>
      <c r="E16">
        <v>4</v>
      </c>
      <c r="F16">
        <v>4</v>
      </c>
      <c r="G16">
        <v>3</v>
      </c>
      <c r="H16">
        <v>5</v>
      </c>
      <c r="I16">
        <v>3</v>
      </c>
      <c r="J16">
        <v>3</v>
      </c>
      <c r="K16">
        <v>4</v>
      </c>
      <c r="L16">
        <v>3</v>
      </c>
      <c r="M16">
        <v>3</v>
      </c>
      <c r="N16">
        <v>5</v>
      </c>
      <c r="O16">
        <v>4</v>
      </c>
      <c r="P16">
        <v>4</v>
      </c>
      <c r="Q16">
        <v>5</v>
      </c>
      <c r="R16">
        <v>4</v>
      </c>
      <c r="S16">
        <v>5</v>
      </c>
      <c r="T16">
        <v>5</v>
      </c>
      <c r="U16">
        <v>3</v>
      </c>
      <c r="V16">
        <v>4</v>
      </c>
      <c r="W16">
        <v>5</v>
      </c>
      <c r="X16">
        <v>5</v>
      </c>
      <c r="Y16">
        <v>4</v>
      </c>
      <c r="Z16">
        <v>5</v>
      </c>
      <c r="AA16">
        <v>4</v>
      </c>
      <c r="AB16">
        <v>3</v>
      </c>
      <c r="AC16">
        <v>4</v>
      </c>
      <c r="AD16">
        <v>4</v>
      </c>
      <c r="AE16">
        <v>4</v>
      </c>
      <c r="AF16">
        <v>5</v>
      </c>
      <c r="AG16">
        <v>4</v>
      </c>
      <c r="AH16">
        <v>3</v>
      </c>
      <c r="AI16">
        <v>5</v>
      </c>
      <c r="AJ16">
        <v>5</v>
      </c>
      <c r="AK16">
        <v>4</v>
      </c>
      <c r="AL16">
        <v>3</v>
      </c>
      <c r="AM16">
        <v>3</v>
      </c>
      <c r="AN16">
        <v>4</v>
      </c>
      <c r="AO16">
        <v>3</v>
      </c>
      <c r="AP16" t="str">
        <f>SUM(B16:AO16)</f>
        <v>0</v>
      </c>
    </row>
    <row r="17" spans="1:43">
      <c r="A17" t="s">
        <v>42</v>
      </c>
      <c r="B17">
        <v>5</v>
      </c>
      <c r="C17">
        <v>4</v>
      </c>
      <c r="D17">
        <v>4</v>
      </c>
      <c r="E17">
        <v>3</v>
      </c>
      <c r="F17">
        <v>4</v>
      </c>
      <c r="G17">
        <v>4</v>
      </c>
      <c r="H17">
        <v>3</v>
      </c>
      <c r="I17">
        <v>4</v>
      </c>
      <c r="J17">
        <v>3</v>
      </c>
      <c r="K17">
        <v>4</v>
      </c>
      <c r="L17">
        <v>4</v>
      </c>
      <c r="M17">
        <v>5</v>
      </c>
      <c r="N17">
        <v>4</v>
      </c>
      <c r="O17">
        <v>3</v>
      </c>
      <c r="P17">
        <v>5</v>
      </c>
      <c r="Q17">
        <v>4</v>
      </c>
      <c r="R17">
        <v>3</v>
      </c>
      <c r="S17">
        <v>4</v>
      </c>
      <c r="T17">
        <v>4</v>
      </c>
      <c r="U17">
        <v>3</v>
      </c>
      <c r="V17">
        <v>3</v>
      </c>
      <c r="W17">
        <v>3</v>
      </c>
      <c r="X17">
        <v>4</v>
      </c>
      <c r="Y17">
        <v>3</v>
      </c>
      <c r="Z17">
        <v>4</v>
      </c>
      <c r="AA17">
        <v>3</v>
      </c>
      <c r="AB17">
        <v>4</v>
      </c>
      <c r="AC17">
        <v>4</v>
      </c>
      <c r="AD17">
        <v>3</v>
      </c>
      <c r="AE17">
        <v>4</v>
      </c>
      <c r="AF17">
        <v>4</v>
      </c>
      <c r="AG17">
        <v>3</v>
      </c>
      <c r="AH17">
        <v>5</v>
      </c>
      <c r="AI17">
        <v>3</v>
      </c>
      <c r="AJ17">
        <v>4</v>
      </c>
      <c r="AK17">
        <v>5</v>
      </c>
      <c r="AL17">
        <v>3</v>
      </c>
      <c r="AM17">
        <v>3</v>
      </c>
      <c r="AN17">
        <v>5</v>
      </c>
      <c r="AO17">
        <v>5</v>
      </c>
      <c r="AP17" t="str">
        <f>SUM(B17:AO17)</f>
        <v>0</v>
      </c>
    </row>
    <row r="18" spans="1:43">
      <c r="A18" t="s">
        <v>43</v>
      </c>
      <c r="B18">
        <v>1</v>
      </c>
      <c r="C18">
        <v>1</v>
      </c>
      <c r="D18">
        <v>1</v>
      </c>
      <c r="E18">
        <v>1</v>
      </c>
      <c r="F18">
        <v>2</v>
      </c>
      <c r="G18">
        <v>1</v>
      </c>
      <c r="H18">
        <v>2</v>
      </c>
      <c r="I18">
        <v>1</v>
      </c>
      <c r="J18">
        <v>1</v>
      </c>
      <c r="K18">
        <v>1</v>
      </c>
      <c r="L18">
        <v>2</v>
      </c>
      <c r="M18">
        <v>2</v>
      </c>
      <c r="N18">
        <v>1</v>
      </c>
      <c r="O18">
        <v>1</v>
      </c>
      <c r="P18">
        <v>1</v>
      </c>
      <c r="Q18">
        <v>1</v>
      </c>
      <c r="R18">
        <v>2</v>
      </c>
      <c r="S18">
        <v>2</v>
      </c>
      <c r="T18">
        <v>1</v>
      </c>
      <c r="U18">
        <v>1</v>
      </c>
      <c r="V18">
        <v>1</v>
      </c>
      <c r="W18">
        <v>1</v>
      </c>
      <c r="X18">
        <v>1</v>
      </c>
      <c r="Y18">
        <v>2</v>
      </c>
      <c r="Z18">
        <v>1</v>
      </c>
      <c r="AA18">
        <v>1</v>
      </c>
      <c r="AB18">
        <v>1</v>
      </c>
      <c r="AC18">
        <v>1</v>
      </c>
      <c r="AD18">
        <v>2</v>
      </c>
      <c r="AE18">
        <v>1</v>
      </c>
      <c r="AF18">
        <v>1</v>
      </c>
      <c r="AG18">
        <v>2</v>
      </c>
      <c r="AH18">
        <v>2</v>
      </c>
      <c r="AI18">
        <v>2</v>
      </c>
      <c r="AJ18">
        <v>2</v>
      </c>
      <c r="AK18">
        <v>1</v>
      </c>
      <c r="AL18">
        <v>1</v>
      </c>
      <c r="AM18">
        <v>2</v>
      </c>
      <c r="AN18">
        <v>2</v>
      </c>
      <c r="AO18">
        <v>2</v>
      </c>
      <c r="AP18" t="str">
        <f>SUM(B18:AO18)</f>
        <v>0</v>
      </c>
    </row>
    <row r="19" spans="1:43">
      <c r="A19" t="s">
        <v>44</v>
      </c>
      <c r="B19">
        <v>5</v>
      </c>
      <c r="C19">
        <v>5</v>
      </c>
      <c r="D19">
        <v>5</v>
      </c>
      <c r="E19">
        <v>5</v>
      </c>
      <c r="F19">
        <v>5</v>
      </c>
      <c r="G19">
        <v>4</v>
      </c>
      <c r="H19">
        <v>5</v>
      </c>
      <c r="I19">
        <v>5</v>
      </c>
      <c r="J19">
        <v>3</v>
      </c>
      <c r="K19">
        <v>4</v>
      </c>
      <c r="L19">
        <v>5</v>
      </c>
      <c r="M19">
        <v>5</v>
      </c>
      <c r="N19">
        <v>4</v>
      </c>
      <c r="O19">
        <v>5</v>
      </c>
      <c r="P19">
        <v>4</v>
      </c>
      <c r="Q19">
        <v>5</v>
      </c>
      <c r="R19">
        <v>5</v>
      </c>
      <c r="S19">
        <v>5</v>
      </c>
      <c r="T19">
        <v>5</v>
      </c>
      <c r="U19">
        <v>5</v>
      </c>
      <c r="V19">
        <v>5</v>
      </c>
      <c r="W19">
        <v>5</v>
      </c>
      <c r="X19">
        <v>4</v>
      </c>
      <c r="Y19">
        <v>4</v>
      </c>
      <c r="Z19">
        <v>5</v>
      </c>
      <c r="AA19">
        <v>4</v>
      </c>
      <c r="AB19">
        <v>5</v>
      </c>
      <c r="AC19">
        <v>3</v>
      </c>
      <c r="AD19">
        <v>5</v>
      </c>
      <c r="AE19">
        <v>5</v>
      </c>
      <c r="AF19">
        <v>5</v>
      </c>
      <c r="AG19">
        <v>5</v>
      </c>
      <c r="AH19">
        <v>5</v>
      </c>
      <c r="AI19">
        <v>5</v>
      </c>
      <c r="AJ19">
        <v>5</v>
      </c>
      <c r="AK19">
        <v>5</v>
      </c>
      <c r="AL19">
        <v>4</v>
      </c>
      <c r="AM19">
        <v>3</v>
      </c>
      <c r="AN19">
        <v>4</v>
      </c>
      <c r="AO19">
        <v>4</v>
      </c>
      <c r="AP19" t="str">
        <f>SUM(B19:AO19)</f>
        <v>0</v>
      </c>
    </row>
    <row r="20" spans="1:43">
      <c r="A20" t="s">
        <v>45</v>
      </c>
      <c r="B20">
        <v>3</v>
      </c>
      <c r="C20">
        <v>5</v>
      </c>
      <c r="D20">
        <v>3</v>
      </c>
      <c r="E20">
        <v>5</v>
      </c>
      <c r="F20">
        <v>4</v>
      </c>
      <c r="G20">
        <v>5</v>
      </c>
      <c r="H20">
        <v>5</v>
      </c>
      <c r="I20">
        <v>4</v>
      </c>
      <c r="J20">
        <v>5</v>
      </c>
      <c r="K20">
        <v>3</v>
      </c>
      <c r="L20">
        <v>5</v>
      </c>
      <c r="M20">
        <v>5</v>
      </c>
      <c r="N20">
        <v>5</v>
      </c>
      <c r="O20">
        <v>3</v>
      </c>
      <c r="P20">
        <v>3</v>
      </c>
      <c r="Q20">
        <v>3</v>
      </c>
      <c r="R20">
        <v>3</v>
      </c>
      <c r="S20">
        <v>4</v>
      </c>
      <c r="T20">
        <v>3</v>
      </c>
      <c r="U20">
        <v>5</v>
      </c>
      <c r="V20">
        <v>3</v>
      </c>
      <c r="W20">
        <v>4</v>
      </c>
      <c r="X20">
        <v>4</v>
      </c>
      <c r="Y20">
        <v>4</v>
      </c>
      <c r="Z20">
        <v>4</v>
      </c>
      <c r="AA20">
        <v>5</v>
      </c>
      <c r="AB20">
        <v>3</v>
      </c>
      <c r="AC20">
        <v>3</v>
      </c>
      <c r="AD20">
        <v>5</v>
      </c>
      <c r="AE20">
        <v>3</v>
      </c>
      <c r="AF20">
        <v>4</v>
      </c>
      <c r="AG20">
        <v>5</v>
      </c>
      <c r="AH20">
        <v>5</v>
      </c>
      <c r="AI20">
        <v>5</v>
      </c>
      <c r="AJ20">
        <v>3</v>
      </c>
      <c r="AK20">
        <v>3</v>
      </c>
      <c r="AL20">
        <v>5</v>
      </c>
      <c r="AM20">
        <v>5</v>
      </c>
      <c r="AN20">
        <v>4</v>
      </c>
      <c r="AO20">
        <v>4</v>
      </c>
      <c r="AP20" t="str">
        <f>SUM(B20:AO20)</f>
        <v>0</v>
      </c>
    </row>
    <row r="21" spans="1:43">
      <c r="A21" t="s">
        <v>46</v>
      </c>
      <c r="B21">
        <v>5</v>
      </c>
      <c r="C21">
        <v>3</v>
      </c>
      <c r="D21">
        <v>4</v>
      </c>
      <c r="E21">
        <v>5</v>
      </c>
      <c r="F21">
        <v>5</v>
      </c>
      <c r="G21">
        <v>4</v>
      </c>
      <c r="H21">
        <v>4</v>
      </c>
      <c r="I21">
        <v>5</v>
      </c>
      <c r="J21">
        <v>3</v>
      </c>
      <c r="K21">
        <v>4</v>
      </c>
      <c r="L21">
        <v>3</v>
      </c>
      <c r="M21">
        <v>4</v>
      </c>
      <c r="N21">
        <v>4</v>
      </c>
      <c r="O21">
        <v>5</v>
      </c>
      <c r="P21">
        <v>5</v>
      </c>
      <c r="Q21">
        <v>5</v>
      </c>
      <c r="R21">
        <v>5</v>
      </c>
      <c r="S21">
        <v>4</v>
      </c>
      <c r="T21">
        <v>5</v>
      </c>
      <c r="U21">
        <v>4</v>
      </c>
      <c r="V21">
        <v>5</v>
      </c>
      <c r="W21">
        <v>5</v>
      </c>
      <c r="X21">
        <v>5</v>
      </c>
      <c r="Y21">
        <v>4</v>
      </c>
      <c r="Z21">
        <v>3</v>
      </c>
      <c r="AA21">
        <v>4</v>
      </c>
      <c r="AB21">
        <v>5</v>
      </c>
      <c r="AC21">
        <v>4</v>
      </c>
      <c r="AD21">
        <v>4</v>
      </c>
      <c r="AE21">
        <v>5</v>
      </c>
      <c r="AF21">
        <v>5</v>
      </c>
      <c r="AG21">
        <v>3</v>
      </c>
      <c r="AH21">
        <v>4</v>
      </c>
      <c r="AI21">
        <v>5</v>
      </c>
      <c r="AJ21">
        <v>4</v>
      </c>
      <c r="AK21">
        <v>3</v>
      </c>
      <c r="AL21">
        <v>5</v>
      </c>
      <c r="AM21">
        <v>5</v>
      </c>
      <c r="AN21">
        <v>3</v>
      </c>
      <c r="AO21">
        <v>3</v>
      </c>
      <c r="AP21" t="str">
        <f>SUM(B21:AO21)</f>
        <v>0</v>
      </c>
    </row>
    <row r="22" spans="1:43">
      <c r="A22" t="s">
        <v>47</v>
      </c>
      <c r="B22">
        <v>5</v>
      </c>
      <c r="C22">
        <v>5</v>
      </c>
      <c r="D22">
        <v>3</v>
      </c>
      <c r="E22">
        <v>5</v>
      </c>
      <c r="F22">
        <v>3</v>
      </c>
      <c r="G22">
        <v>4</v>
      </c>
      <c r="H22">
        <v>4</v>
      </c>
      <c r="I22">
        <v>4</v>
      </c>
      <c r="J22">
        <v>4</v>
      </c>
      <c r="K22">
        <v>5</v>
      </c>
      <c r="L22">
        <v>4</v>
      </c>
      <c r="M22">
        <v>4</v>
      </c>
      <c r="N22">
        <v>5</v>
      </c>
      <c r="O22">
        <v>4</v>
      </c>
      <c r="P22">
        <v>5</v>
      </c>
      <c r="Q22">
        <v>3</v>
      </c>
      <c r="R22">
        <v>4</v>
      </c>
      <c r="S22">
        <v>5</v>
      </c>
      <c r="T22">
        <v>4</v>
      </c>
      <c r="U22">
        <v>3</v>
      </c>
      <c r="V22">
        <v>4</v>
      </c>
      <c r="W22">
        <v>5</v>
      </c>
      <c r="X22">
        <v>5</v>
      </c>
      <c r="Y22">
        <v>4</v>
      </c>
      <c r="Z22">
        <v>5</v>
      </c>
      <c r="AA22">
        <v>4</v>
      </c>
      <c r="AB22">
        <v>4</v>
      </c>
      <c r="AC22">
        <v>4</v>
      </c>
      <c r="AD22">
        <v>4</v>
      </c>
      <c r="AE22">
        <v>5</v>
      </c>
      <c r="AF22">
        <v>3</v>
      </c>
      <c r="AG22">
        <v>3</v>
      </c>
      <c r="AH22">
        <v>5</v>
      </c>
      <c r="AI22">
        <v>4</v>
      </c>
      <c r="AJ22">
        <v>5</v>
      </c>
      <c r="AK22">
        <v>4</v>
      </c>
      <c r="AL22">
        <v>4</v>
      </c>
      <c r="AM22">
        <v>3</v>
      </c>
      <c r="AN22">
        <v>3</v>
      </c>
      <c r="AO22">
        <v>5</v>
      </c>
      <c r="AP22" t="str">
        <f>SUM(B22:AO22)</f>
        <v>0</v>
      </c>
    </row>
    <row r="23" spans="1:43">
      <c r="A23" t="s">
        <v>48</v>
      </c>
      <c r="B23">
        <v>3</v>
      </c>
      <c r="C23">
        <v>5</v>
      </c>
      <c r="D23">
        <v>3</v>
      </c>
      <c r="E23">
        <v>5</v>
      </c>
      <c r="F23">
        <v>5</v>
      </c>
      <c r="G23">
        <v>5</v>
      </c>
      <c r="H23">
        <v>3</v>
      </c>
      <c r="I23">
        <v>3</v>
      </c>
      <c r="J23">
        <v>4</v>
      </c>
      <c r="K23">
        <v>3</v>
      </c>
      <c r="L23">
        <v>3</v>
      </c>
      <c r="M23">
        <v>3</v>
      </c>
      <c r="N23">
        <v>4</v>
      </c>
      <c r="O23">
        <v>3</v>
      </c>
      <c r="P23">
        <v>5</v>
      </c>
      <c r="Q23">
        <v>4</v>
      </c>
      <c r="R23">
        <v>4</v>
      </c>
      <c r="S23">
        <v>4</v>
      </c>
      <c r="T23">
        <v>3</v>
      </c>
      <c r="U23">
        <v>5</v>
      </c>
      <c r="V23">
        <v>5</v>
      </c>
      <c r="W23">
        <v>3</v>
      </c>
      <c r="X23">
        <v>3</v>
      </c>
      <c r="Y23">
        <v>3</v>
      </c>
      <c r="Z23">
        <v>4</v>
      </c>
      <c r="AA23">
        <v>4</v>
      </c>
      <c r="AB23">
        <v>3</v>
      </c>
      <c r="AC23">
        <v>4</v>
      </c>
      <c r="AD23">
        <v>3</v>
      </c>
      <c r="AE23">
        <v>4</v>
      </c>
      <c r="AF23">
        <v>3</v>
      </c>
      <c r="AG23">
        <v>5</v>
      </c>
      <c r="AH23">
        <v>5</v>
      </c>
      <c r="AI23">
        <v>4</v>
      </c>
      <c r="AJ23">
        <v>4</v>
      </c>
      <c r="AK23">
        <v>4</v>
      </c>
      <c r="AL23">
        <v>3</v>
      </c>
      <c r="AM23">
        <v>3</v>
      </c>
      <c r="AN23">
        <v>4</v>
      </c>
      <c r="AO23">
        <v>5</v>
      </c>
      <c r="AP23" t="str">
        <f>SUM(B23:AO23)</f>
        <v>0</v>
      </c>
    </row>
    <row r="24" spans="1:43">
      <c r="A24" t="s">
        <v>49</v>
      </c>
      <c r="B24">
        <v>4</v>
      </c>
      <c r="C24">
        <v>5</v>
      </c>
      <c r="D24">
        <v>5</v>
      </c>
      <c r="E24">
        <v>4</v>
      </c>
      <c r="F24">
        <v>5</v>
      </c>
      <c r="G24">
        <v>4</v>
      </c>
      <c r="H24">
        <v>5</v>
      </c>
      <c r="I24">
        <v>5</v>
      </c>
      <c r="J24">
        <v>4</v>
      </c>
      <c r="K24">
        <v>4</v>
      </c>
      <c r="L24">
        <v>5</v>
      </c>
      <c r="M24">
        <v>5</v>
      </c>
      <c r="N24">
        <v>4</v>
      </c>
      <c r="O24">
        <v>5</v>
      </c>
      <c r="P24">
        <v>4</v>
      </c>
      <c r="Q24">
        <v>3</v>
      </c>
      <c r="R24">
        <v>4</v>
      </c>
      <c r="S24">
        <v>5</v>
      </c>
      <c r="T24">
        <v>5</v>
      </c>
      <c r="U24">
        <v>5</v>
      </c>
      <c r="V24">
        <v>4</v>
      </c>
      <c r="W24">
        <v>4</v>
      </c>
      <c r="X24">
        <v>5</v>
      </c>
      <c r="Y24">
        <v>4</v>
      </c>
      <c r="Z24">
        <v>5</v>
      </c>
      <c r="AA24">
        <v>4</v>
      </c>
      <c r="AB24">
        <v>5</v>
      </c>
      <c r="AC24">
        <v>5</v>
      </c>
      <c r="AD24">
        <v>5</v>
      </c>
      <c r="AE24">
        <v>5</v>
      </c>
      <c r="AF24">
        <v>4</v>
      </c>
      <c r="AG24">
        <v>5</v>
      </c>
      <c r="AH24">
        <v>4</v>
      </c>
      <c r="AI24">
        <v>5</v>
      </c>
      <c r="AJ24">
        <v>5</v>
      </c>
      <c r="AK24">
        <v>4</v>
      </c>
      <c r="AL24">
        <v>5</v>
      </c>
      <c r="AM24">
        <v>5</v>
      </c>
      <c r="AN24">
        <v>5</v>
      </c>
      <c r="AO24">
        <v>4</v>
      </c>
      <c r="AP24" t="str">
        <f>SUM(B24:AO24)</f>
        <v>0</v>
      </c>
    </row>
    <row r="25" spans="1:43">
      <c r="A25" t="s">
        <v>50</v>
      </c>
      <c r="B25">
        <v>5</v>
      </c>
      <c r="C25">
        <v>3</v>
      </c>
      <c r="D25">
        <v>5</v>
      </c>
      <c r="E25">
        <v>4</v>
      </c>
      <c r="F25">
        <v>4</v>
      </c>
      <c r="G25">
        <v>3</v>
      </c>
      <c r="H25">
        <v>3</v>
      </c>
      <c r="I25">
        <v>3</v>
      </c>
      <c r="J25">
        <v>4</v>
      </c>
      <c r="K25">
        <v>3</v>
      </c>
      <c r="L25">
        <v>4</v>
      </c>
      <c r="M25">
        <v>5</v>
      </c>
      <c r="N25">
        <v>5</v>
      </c>
      <c r="O25">
        <v>3</v>
      </c>
      <c r="P25">
        <v>3</v>
      </c>
      <c r="Q25">
        <v>3</v>
      </c>
      <c r="R25">
        <v>4</v>
      </c>
      <c r="S25">
        <v>3</v>
      </c>
      <c r="T25">
        <v>4</v>
      </c>
      <c r="U25">
        <v>5</v>
      </c>
      <c r="V25">
        <v>5</v>
      </c>
      <c r="W25">
        <v>3</v>
      </c>
      <c r="X25">
        <v>3</v>
      </c>
      <c r="Y25">
        <v>3</v>
      </c>
      <c r="Z25">
        <v>4</v>
      </c>
      <c r="AA25">
        <v>5</v>
      </c>
      <c r="AB25">
        <v>4</v>
      </c>
      <c r="AC25">
        <v>5</v>
      </c>
      <c r="AD25">
        <v>4</v>
      </c>
      <c r="AE25">
        <v>4</v>
      </c>
      <c r="AF25">
        <v>3</v>
      </c>
      <c r="AG25">
        <v>4</v>
      </c>
      <c r="AH25">
        <v>4</v>
      </c>
      <c r="AI25">
        <v>4</v>
      </c>
      <c r="AJ25">
        <v>5</v>
      </c>
      <c r="AK25">
        <v>4</v>
      </c>
      <c r="AL25">
        <v>3</v>
      </c>
      <c r="AM25">
        <v>3</v>
      </c>
      <c r="AN25">
        <v>3</v>
      </c>
      <c r="AO25">
        <v>3</v>
      </c>
      <c r="AP25" t="str">
        <f>SUM(B25:AO25)</f>
        <v>0</v>
      </c>
    </row>
    <row r="26" spans="1:43">
      <c r="A26" t="s">
        <v>51</v>
      </c>
      <c r="B26">
        <v>1</v>
      </c>
      <c r="C26">
        <v>2</v>
      </c>
      <c r="D26">
        <v>2</v>
      </c>
      <c r="E26">
        <v>1</v>
      </c>
      <c r="F26">
        <v>2</v>
      </c>
      <c r="G26">
        <v>2</v>
      </c>
      <c r="H26">
        <v>2</v>
      </c>
      <c r="I26">
        <v>2</v>
      </c>
      <c r="J26">
        <v>1</v>
      </c>
      <c r="K26">
        <v>2</v>
      </c>
      <c r="L26">
        <v>2</v>
      </c>
      <c r="M26">
        <v>2</v>
      </c>
      <c r="N26">
        <v>2</v>
      </c>
      <c r="O26">
        <v>2</v>
      </c>
      <c r="P26">
        <v>2</v>
      </c>
      <c r="Q26">
        <v>3</v>
      </c>
      <c r="R26">
        <v>1</v>
      </c>
      <c r="S26">
        <v>2</v>
      </c>
      <c r="T26">
        <v>2</v>
      </c>
      <c r="U26">
        <v>2</v>
      </c>
      <c r="V26">
        <v>2</v>
      </c>
      <c r="W26">
        <v>2</v>
      </c>
      <c r="X26">
        <v>2</v>
      </c>
      <c r="Y26">
        <v>2</v>
      </c>
      <c r="Z26">
        <v>2</v>
      </c>
      <c r="AA26">
        <v>2</v>
      </c>
      <c r="AB26">
        <v>2</v>
      </c>
      <c r="AC26">
        <v>2</v>
      </c>
      <c r="AD26">
        <v>1</v>
      </c>
      <c r="AE26">
        <v>2</v>
      </c>
      <c r="AF26">
        <v>2</v>
      </c>
      <c r="AG26">
        <v>2</v>
      </c>
      <c r="AH26">
        <v>2</v>
      </c>
      <c r="AI26">
        <v>2</v>
      </c>
      <c r="AJ26">
        <v>3</v>
      </c>
      <c r="AK26">
        <v>1</v>
      </c>
      <c r="AL26">
        <v>2</v>
      </c>
      <c r="AM26">
        <v>2</v>
      </c>
      <c r="AN26">
        <v>2</v>
      </c>
      <c r="AO26">
        <v>2</v>
      </c>
      <c r="AP26" t="str">
        <f>SUM(B26:AO26)</f>
        <v>0</v>
      </c>
    </row>
    <row r="27" spans="1:43">
      <c r="A27" t="s">
        <v>52</v>
      </c>
      <c r="B27">
        <v>5</v>
      </c>
      <c r="C27">
        <v>5</v>
      </c>
      <c r="D27">
        <v>5</v>
      </c>
      <c r="E27">
        <v>5</v>
      </c>
      <c r="F27">
        <v>5</v>
      </c>
      <c r="G27">
        <v>4</v>
      </c>
      <c r="H27">
        <v>4</v>
      </c>
      <c r="I27">
        <v>5</v>
      </c>
      <c r="J27">
        <v>5</v>
      </c>
      <c r="K27">
        <v>5</v>
      </c>
      <c r="L27">
        <v>5</v>
      </c>
      <c r="M27">
        <v>3</v>
      </c>
      <c r="N27">
        <v>5</v>
      </c>
      <c r="O27">
        <v>5</v>
      </c>
      <c r="P27">
        <v>4</v>
      </c>
      <c r="Q27">
        <v>5</v>
      </c>
      <c r="R27">
        <v>5</v>
      </c>
      <c r="S27">
        <v>3</v>
      </c>
      <c r="T27">
        <v>5</v>
      </c>
      <c r="U27">
        <v>4</v>
      </c>
      <c r="V27">
        <v>5</v>
      </c>
      <c r="W27">
        <v>5</v>
      </c>
      <c r="X27">
        <v>5</v>
      </c>
      <c r="Y27">
        <v>4</v>
      </c>
      <c r="Z27">
        <v>3</v>
      </c>
      <c r="AA27">
        <v>5</v>
      </c>
      <c r="AB27">
        <v>4</v>
      </c>
      <c r="AC27">
        <v>5</v>
      </c>
      <c r="AD27">
        <v>5</v>
      </c>
      <c r="AE27">
        <v>3</v>
      </c>
      <c r="AF27">
        <v>4</v>
      </c>
      <c r="AG27">
        <v>5</v>
      </c>
      <c r="AH27">
        <v>4</v>
      </c>
      <c r="AI27">
        <v>3</v>
      </c>
      <c r="AJ27">
        <v>5</v>
      </c>
      <c r="AK27">
        <v>4</v>
      </c>
      <c r="AL27">
        <v>3</v>
      </c>
      <c r="AM27">
        <v>5</v>
      </c>
      <c r="AN27">
        <v>4</v>
      </c>
      <c r="AO27">
        <v>4</v>
      </c>
      <c r="AP27" t="str">
        <f>SUM(B27:AO27)</f>
        <v>0</v>
      </c>
    </row>
    <row r="28" spans="1:43">
      <c r="A28" t="s">
        <v>53</v>
      </c>
      <c r="B28">
        <v>5</v>
      </c>
      <c r="C28">
        <v>4</v>
      </c>
      <c r="D28">
        <v>5</v>
      </c>
      <c r="E28">
        <v>4</v>
      </c>
      <c r="F28">
        <v>5</v>
      </c>
      <c r="G28">
        <v>4</v>
      </c>
      <c r="H28">
        <v>4</v>
      </c>
      <c r="I28">
        <v>5</v>
      </c>
      <c r="J28">
        <v>5</v>
      </c>
      <c r="K28">
        <v>5</v>
      </c>
      <c r="L28">
        <v>5</v>
      </c>
      <c r="M28">
        <v>4</v>
      </c>
      <c r="N28">
        <v>5</v>
      </c>
      <c r="O28">
        <v>5</v>
      </c>
      <c r="P28">
        <v>4</v>
      </c>
      <c r="Q28">
        <v>5</v>
      </c>
      <c r="R28">
        <v>5</v>
      </c>
      <c r="S28">
        <v>5</v>
      </c>
      <c r="T28">
        <v>5</v>
      </c>
      <c r="U28">
        <v>3</v>
      </c>
      <c r="V28">
        <v>5</v>
      </c>
      <c r="W28">
        <v>5</v>
      </c>
      <c r="X28">
        <v>4</v>
      </c>
      <c r="Y28">
        <v>5</v>
      </c>
      <c r="Z28">
        <v>4</v>
      </c>
      <c r="AA28">
        <v>5</v>
      </c>
      <c r="AB28">
        <v>3</v>
      </c>
      <c r="AC28">
        <v>5</v>
      </c>
      <c r="AD28">
        <v>3</v>
      </c>
      <c r="AE28">
        <v>4</v>
      </c>
      <c r="AF28">
        <v>4</v>
      </c>
      <c r="AG28">
        <v>5</v>
      </c>
      <c r="AH28">
        <v>4</v>
      </c>
      <c r="AI28">
        <v>3</v>
      </c>
      <c r="AJ28">
        <v>5</v>
      </c>
      <c r="AK28">
        <v>3</v>
      </c>
      <c r="AL28">
        <v>5</v>
      </c>
      <c r="AM28">
        <v>4</v>
      </c>
      <c r="AN28">
        <v>5</v>
      </c>
      <c r="AO28">
        <v>4</v>
      </c>
      <c r="AP28" t="str">
        <f>SUM(B28:AO28)</f>
        <v>0</v>
      </c>
    </row>
    <row r="29" spans="1:43">
      <c r="A29" t="s">
        <v>54</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t="str">
        <f>SUM(B29:AO29)</f>
        <v>0</v>
      </c>
    </row>
    <row r="30" spans="1:43">
      <c r="A30" t="s">
        <v>55</v>
      </c>
      <c r="B30">
        <v>1</v>
      </c>
      <c r="C30">
        <v>1</v>
      </c>
      <c r="D30">
        <v>2</v>
      </c>
      <c r="E30">
        <v>2</v>
      </c>
      <c r="F30">
        <v>1</v>
      </c>
      <c r="G30">
        <v>1</v>
      </c>
      <c r="H30">
        <v>1</v>
      </c>
      <c r="I30">
        <v>1</v>
      </c>
      <c r="J30">
        <v>2</v>
      </c>
      <c r="K30">
        <v>1</v>
      </c>
      <c r="L30">
        <v>1</v>
      </c>
      <c r="M30">
        <v>2</v>
      </c>
      <c r="N30">
        <v>1</v>
      </c>
      <c r="O30">
        <v>1</v>
      </c>
      <c r="P30">
        <v>1</v>
      </c>
      <c r="Q30">
        <v>1</v>
      </c>
      <c r="R30">
        <v>1</v>
      </c>
      <c r="S30">
        <v>1</v>
      </c>
      <c r="T30">
        <v>1</v>
      </c>
      <c r="U30">
        <v>1</v>
      </c>
      <c r="V30">
        <v>2</v>
      </c>
      <c r="W30">
        <v>1</v>
      </c>
      <c r="X30">
        <v>1</v>
      </c>
      <c r="Y30">
        <v>1</v>
      </c>
      <c r="Z30">
        <v>1</v>
      </c>
      <c r="AA30">
        <v>1</v>
      </c>
      <c r="AB30">
        <v>1</v>
      </c>
      <c r="AC30">
        <v>2</v>
      </c>
      <c r="AD30">
        <v>2</v>
      </c>
      <c r="AE30">
        <v>1</v>
      </c>
      <c r="AF30">
        <v>2</v>
      </c>
      <c r="AG30">
        <v>1</v>
      </c>
      <c r="AH30">
        <v>1</v>
      </c>
      <c r="AI30">
        <v>2</v>
      </c>
      <c r="AJ30">
        <v>1</v>
      </c>
      <c r="AK30">
        <v>2</v>
      </c>
      <c r="AL30">
        <v>2</v>
      </c>
      <c r="AM30">
        <v>1</v>
      </c>
      <c r="AN30">
        <v>1</v>
      </c>
      <c r="AO30">
        <v>2</v>
      </c>
      <c r="AP30" t="str">
        <f>SUM(B30:AO30)</f>
        <v>0</v>
      </c>
    </row>
    <row r="31" spans="1:43">
      <c r="A31" t="s">
        <v>56</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t="str">
        <f>SUM(B31:AO31)</f>
        <v>0</v>
      </c>
    </row>
    <row r="32" spans="1:43">
      <c r="A32" t="s">
        <v>57</v>
      </c>
      <c r="B32">
        <v>5</v>
      </c>
      <c r="C32">
        <v>4</v>
      </c>
      <c r="D32">
        <v>5</v>
      </c>
      <c r="E32">
        <v>5</v>
      </c>
      <c r="F32">
        <v>3</v>
      </c>
      <c r="G32">
        <v>5</v>
      </c>
      <c r="H32">
        <v>5</v>
      </c>
      <c r="I32">
        <v>5</v>
      </c>
      <c r="J32">
        <v>5</v>
      </c>
      <c r="K32">
        <v>4</v>
      </c>
      <c r="L32">
        <v>5</v>
      </c>
      <c r="M32">
        <v>5</v>
      </c>
      <c r="N32">
        <v>5</v>
      </c>
      <c r="O32">
        <v>5</v>
      </c>
      <c r="P32">
        <v>5</v>
      </c>
      <c r="Q32">
        <v>5</v>
      </c>
      <c r="R32">
        <v>5</v>
      </c>
      <c r="S32">
        <v>5</v>
      </c>
      <c r="T32">
        <v>5</v>
      </c>
      <c r="U32">
        <v>5</v>
      </c>
      <c r="V32">
        <v>3</v>
      </c>
      <c r="W32">
        <v>3</v>
      </c>
      <c r="X32">
        <v>4</v>
      </c>
      <c r="Y32">
        <v>4</v>
      </c>
      <c r="Z32">
        <v>5</v>
      </c>
      <c r="AA32">
        <v>5</v>
      </c>
      <c r="AB32">
        <v>5</v>
      </c>
      <c r="AC32">
        <v>5</v>
      </c>
      <c r="AD32">
        <v>5</v>
      </c>
      <c r="AE32">
        <v>5</v>
      </c>
      <c r="AF32">
        <v>5</v>
      </c>
      <c r="AG32">
        <v>4</v>
      </c>
      <c r="AH32">
        <v>3</v>
      </c>
      <c r="AI32">
        <v>4</v>
      </c>
      <c r="AJ32">
        <v>5</v>
      </c>
      <c r="AK32">
        <v>4</v>
      </c>
      <c r="AL32">
        <v>5</v>
      </c>
      <c r="AM32">
        <v>5</v>
      </c>
      <c r="AN32">
        <v>3</v>
      </c>
      <c r="AO32">
        <v>4</v>
      </c>
      <c r="AP32" t="str">
        <f>SUM(B32:AO32)</f>
        <v>0</v>
      </c>
    </row>
    <row r="33" spans="1:43">
      <c r="A33" t="s">
        <v>58</v>
      </c>
      <c r="B33">
        <v>3</v>
      </c>
      <c r="C33">
        <v>5</v>
      </c>
      <c r="D33">
        <v>3</v>
      </c>
      <c r="E33">
        <v>5</v>
      </c>
      <c r="F33">
        <v>4</v>
      </c>
      <c r="G33">
        <v>4</v>
      </c>
      <c r="H33">
        <v>4</v>
      </c>
      <c r="I33">
        <v>4</v>
      </c>
      <c r="J33">
        <v>4</v>
      </c>
      <c r="K33">
        <v>3</v>
      </c>
      <c r="L33">
        <v>4</v>
      </c>
      <c r="M33">
        <v>4</v>
      </c>
      <c r="N33">
        <v>4</v>
      </c>
      <c r="O33">
        <v>4</v>
      </c>
      <c r="P33">
        <v>4</v>
      </c>
      <c r="Q33">
        <v>5</v>
      </c>
      <c r="R33">
        <v>5</v>
      </c>
      <c r="S33">
        <v>4</v>
      </c>
      <c r="T33">
        <v>3</v>
      </c>
      <c r="U33">
        <v>5</v>
      </c>
      <c r="V33">
        <v>4</v>
      </c>
      <c r="W33">
        <v>3</v>
      </c>
      <c r="X33">
        <v>5</v>
      </c>
      <c r="Y33">
        <v>3</v>
      </c>
      <c r="Z33">
        <v>4</v>
      </c>
      <c r="AA33">
        <v>3</v>
      </c>
      <c r="AB33">
        <v>4</v>
      </c>
      <c r="AC33">
        <v>3</v>
      </c>
      <c r="AD33">
        <v>3</v>
      </c>
      <c r="AE33">
        <v>3</v>
      </c>
      <c r="AF33">
        <v>4</v>
      </c>
      <c r="AG33">
        <v>4</v>
      </c>
      <c r="AH33">
        <v>4</v>
      </c>
      <c r="AI33">
        <v>5</v>
      </c>
      <c r="AJ33">
        <v>5</v>
      </c>
      <c r="AK33">
        <v>3</v>
      </c>
      <c r="AL33">
        <v>5</v>
      </c>
      <c r="AM33">
        <v>5</v>
      </c>
      <c r="AN33">
        <v>5</v>
      </c>
      <c r="AO33">
        <v>4</v>
      </c>
      <c r="AP33" t="str">
        <f>SUM(B33:AO33)</f>
        <v>0</v>
      </c>
    </row>
    <row r="34" spans="1:43">
      <c r="A34" t="s">
        <v>59</v>
      </c>
      <c r="B34">
        <v>3</v>
      </c>
      <c r="C34">
        <v>2</v>
      </c>
      <c r="D34">
        <v>3</v>
      </c>
      <c r="E34">
        <v>2</v>
      </c>
      <c r="F34">
        <v>2</v>
      </c>
      <c r="G34">
        <v>2</v>
      </c>
      <c r="H34">
        <v>3</v>
      </c>
      <c r="I34">
        <v>2</v>
      </c>
      <c r="J34">
        <v>2</v>
      </c>
      <c r="K34">
        <v>3</v>
      </c>
      <c r="L34">
        <v>2</v>
      </c>
      <c r="M34">
        <v>2</v>
      </c>
      <c r="N34">
        <v>2</v>
      </c>
      <c r="O34">
        <v>3</v>
      </c>
      <c r="P34">
        <v>2</v>
      </c>
      <c r="Q34">
        <v>2</v>
      </c>
      <c r="R34">
        <v>2</v>
      </c>
      <c r="S34">
        <v>3</v>
      </c>
      <c r="T34">
        <v>2</v>
      </c>
      <c r="U34">
        <v>2</v>
      </c>
      <c r="V34">
        <v>2</v>
      </c>
      <c r="W34">
        <v>2</v>
      </c>
      <c r="X34">
        <v>3</v>
      </c>
      <c r="Y34">
        <v>2</v>
      </c>
      <c r="Z34">
        <v>3</v>
      </c>
      <c r="AA34">
        <v>2</v>
      </c>
      <c r="AB34">
        <v>2</v>
      </c>
      <c r="AC34">
        <v>2</v>
      </c>
      <c r="AD34">
        <v>2</v>
      </c>
      <c r="AE34">
        <v>1</v>
      </c>
      <c r="AF34">
        <v>2</v>
      </c>
      <c r="AG34">
        <v>2</v>
      </c>
      <c r="AH34">
        <v>3</v>
      </c>
      <c r="AI34">
        <v>1</v>
      </c>
      <c r="AJ34">
        <v>2</v>
      </c>
      <c r="AK34">
        <v>2</v>
      </c>
      <c r="AL34">
        <v>2</v>
      </c>
      <c r="AM34">
        <v>3</v>
      </c>
      <c r="AN34">
        <v>1</v>
      </c>
      <c r="AO34">
        <v>2</v>
      </c>
      <c r="AP34" t="str">
        <f>SUM(B34:AO34)</f>
        <v>0</v>
      </c>
    </row>
    <row r="35" spans="1:43">
      <c r="A35" t="s">
        <v>60</v>
      </c>
      <c r="B35">
        <v>5</v>
      </c>
      <c r="C35">
        <v>5</v>
      </c>
      <c r="D35">
        <v>5</v>
      </c>
      <c r="E35">
        <v>3</v>
      </c>
      <c r="F35">
        <v>5</v>
      </c>
      <c r="G35">
        <v>5</v>
      </c>
      <c r="H35">
        <v>5</v>
      </c>
      <c r="I35">
        <v>5</v>
      </c>
      <c r="J35">
        <v>3</v>
      </c>
      <c r="K35">
        <v>4</v>
      </c>
      <c r="L35">
        <v>5</v>
      </c>
      <c r="M35">
        <v>5</v>
      </c>
      <c r="N35">
        <v>3</v>
      </c>
      <c r="O35">
        <v>5</v>
      </c>
      <c r="P35">
        <v>3</v>
      </c>
      <c r="Q35">
        <v>5</v>
      </c>
      <c r="R35">
        <v>4</v>
      </c>
      <c r="S35">
        <v>4</v>
      </c>
      <c r="T35">
        <v>4</v>
      </c>
      <c r="U35">
        <v>5</v>
      </c>
      <c r="V35">
        <v>5</v>
      </c>
      <c r="W35">
        <v>5</v>
      </c>
      <c r="X35">
        <v>3</v>
      </c>
      <c r="Y35">
        <v>3</v>
      </c>
      <c r="Z35">
        <v>4</v>
      </c>
      <c r="AA35">
        <v>4</v>
      </c>
      <c r="AB35">
        <v>5</v>
      </c>
      <c r="AC35">
        <v>5</v>
      </c>
      <c r="AD35">
        <v>4</v>
      </c>
      <c r="AE35">
        <v>5</v>
      </c>
      <c r="AF35">
        <v>5</v>
      </c>
      <c r="AG35">
        <v>5</v>
      </c>
      <c r="AH35">
        <v>3</v>
      </c>
      <c r="AI35">
        <v>5</v>
      </c>
      <c r="AJ35">
        <v>4</v>
      </c>
      <c r="AK35">
        <v>4</v>
      </c>
      <c r="AL35">
        <v>4</v>
      </c>
      <c r="AM35">
        <v>5</v>
      </c>
      <c r="AN35">
        <v>5</v>
      </c>
      <c r="AO35">
        <v>5</v>
      </c>
      <c r="AP35" t="str">
        <f>SUM(B35:AO35)</f>
        <v>0</v>
      </c>
    </row>
    <row r="36" spans="1:43">
      <c r="A36" t="s">
        <v>61</v>
      </c>
      <c r="B36">
        <v>5</v>
      </c>
      <c r="C36">
        <v>4</v>
      </c>
      <c r="D36">
        <v>5</v>
      </c>
      <c r="E36">
        <v>5</v>
      </c>
      <c r="F36">
        <v>5</v>
      </c>
      <c r="G36">
        <v>5</v>
      </c>
      <c r="H36">
        <v>4</v>
      </c>
      <c r="I36">
        <v>4</v>
      </c>
      <c r="J36">
        <v>4</v>
      </c>
      <c r="K36">
        <v>5</v>
      </c>
      <c r="L36">
        <v>5</v>
      </c>
      <c r="M36">
        <v>5</v>
      </c>
      <c r="N36">
        <v>5</v>
      </c>
      <c r="O36">
        <v>5</v>
      </c>
      <c r="P36">
        <v>5</v>
      </c>
      <c r="Q36">
        <v>4</v>
      </c>
      <c r="R36">
        <v>5</v>
      </c>
      <c r="S36">
        <v>4</v>
      </c>
      <c r="T36">
        <v>5</v>
      </c>
      <c r="U36">
        <v>4</v>
      </c>
      <c r="V36">
        <v>4</v>
      </c>
      <c r="W36">
        <v>5</v>
      </c>
      <c r="X36">
        <v>5</v>
      </c>
      <c r="Y36">
        <v>5</v>
      </c>
      <c r="Z36">
        <v>5</v>
      </c>
      <c r="AA36">
        <v>5</v>
      </c>
      <c r="AB36">
        <v>5</v>
      </c>
      <c r="AC36">
        <v>5</v>
      </c>
      <c r="AD36">
        <v>4</v>
      </c>
      <c r="AE36">
        <v>5</v>
      </c>
      <c r="AF36">
        <v>3</v>
      </c>
      <c r="AG36">
        <v>5</v>
      </c>
      <c r="AH36">
        <v>4</v>
      </c>
      <c r="AI36">
        <v>5</v>
      </c>
      <c r="AJ36">
        <v>5</v>
      </c>
      <c r="AK36">
        <v>4</v>
      </c>
      <c r="AL36">
        <v>5</v>
      </c>
      <c r="AM36">
        <v>5</v>
      </c>
      <c r="AN36">
        <v>5</v>
      </c>
      <c r="AO36">
        <v>5</v>
      </c>
      <c r="AP36" t="str">
        <f>SUM(B36:AO36)</f>
        <v>0</v>
      </c>
    </row>
    <row r="37" spans="1:43">
      <c r="A37" t="s">
        <v>62</v>
      </c>
      <c r="B37">
        <v>5</v>
      </c>
      <c r="C37">
        <v>3</v>
      </c>
      <c r="D37">
        <v>4</v>
      </c>
      <c r="E37">
        <v>3</v>
      </c>
      <c r="F37">
        <v>3</v>
      </c>
      <c r="G37">
        <v>5</v>
      </c>
      <c r="H37">
        <v>4</v>
      </c>
      <c r="I37">
        <v>3</v>
      </c>
      <c r="J37">
        <v>4</v>
      </c>
      <c r="K37">
        <v>3</v>
      </c>
      <c r="L37">
        <v>5</v>
      </c>
      <c r="M37">
        <v>3</v>
      </c>
      <c r="N37">
        <v>4</v>
      </c>
      <c r="O37">
        <v>3</v>
      </c>
      <c r="P37">
        <v>5</v>
      </c>
      <c r="Q37">
        <v>4</v>
      </c>
      <c r="R37">
        <v>3</v>
      </c>
      <c r="S37">
        <v>3</v>
      </c>
      <c r="T37">
        <v>4</v>
      </c>
      <c r="U37">
        <v>5</v>
      </c>
      <c r="V37">
        <v>5</v>
      </c>
      <c r="W37">
        <v>4</v>
      </c>
      <c r="X37">
        <v>3</v>
      </c>
      <c r="Y37">
        <v>5</v>
      </c>
      <c r="Z37">
        <v>3</v>
      </c>
      <c r="AA37">
        <v>3</v>
      </c>
      <c r="AB37">
        <v>3</v>
      </c>
      <c r="AC37">
        <v>4</v>
      </c>
      <c r="AD37">
        <v>5</v>
      </c>
      <c r="AE37">
        <v>4</v>
      </c>
      <c r="AF37">
        <v>5</v>
      </c>
      <c r="AG37">
        <v>3</v>
      </c>
      <c r="AH37">
        <v>3</v>
      </c>
      <c r="AI37">
        <v>4</v>
      </c>
      <c r="AJ37">
        <v>4</v>
      </c>
      <c r="AK37">
        <v>5</v>
      </c>
      <c r="AL37">
        <v>4</v>
      </c>
      <c r="AM37">
        <v>4</v>
      </c>
      <c r="AN37">
        <v>4</v>
      </c>
      <c r="AO37">
        <v>4</v>
      </c>
      <c r="AP37" t="str">
        <f>SUM(B37:AO37)</f>
        <v>0</v>
      </c>
    </row>
    <row r="38" spans="1:43">
      <c r="A38" t="s">
        <v>63</v>
      </c>
      <c r="B38">
        <v>1</v>
      </c>
      <c r="C38">
        <v>1</v>
      </c>
      <c r="D38">
        <v>1</v>
      </c>
      <c r="E38">
        <v>1</v>
      </c>
      <c r="F38">
        <v>1</v>
      </c>
      <c r="G38">
        <v>1</v>
      </c>
      <c r="H38">
        <v>1</v>
      </c>
      <c r="I38">
        <v>1</v>
      </c>
      <c r="J38">
        <v>1</v>
      </c>
      <c r="K38">
        <v>1</v>
      </c>
      <c r="L38">
        <v>1</v>
      </c>
      <c r="M38">
        <v>1</v>
      </c>
      <c r="N38">
        <v>1</v>
      </c>
      <c r="O38">
        <v>1</v>
      </c>
      <c r="P38">
        <v>2</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t="str">
        <f>SUM(B38:AO38)</f>
        <v>0</v>
      </c>
    </row>
    <row r="39" spans="1:43">
      <c r="A39" t="s">
        <v>64</v>
      </c>
      <c r="B39">
        <v>1</v>
      </c>
      <c r="C39">
        <v>1</v>
      </c>
      <c r="D39">
        <v>2</v>
      </c>
      <c r="E39">
        <v>1</v>
      </c>
      <c r="F39">
        <v>1</v>
      </c>
      <c r="G39">
        <v>1</v>
      </c>
      <c r="H39">
        <v>1</v>
      </c>
      <c r="I39">
        <v>1</v>
      </c>
      <c r="J39">
        <v>2</v>
      </c>
      <c r="K39">
        <v>2</v>
      </c>
      <c r="L39">
        <v>2</v>
      </c>
      <c r="M39">
        <v>2</v>
      </c>
      <c r="N39">
        <v>1</v>
      </c>
      <c r="O39">
        <v>1</v>
      </c>
      <c r="P39">
        <v>1</v>
      </c>
      <c r="Q39">
        <v>1</v>
      </c>
      <c r="R39">
        <v>1</v>
      </c>
      <c r="S39">
        <v>1</v>
      </c>
      <c r="T39">
        <v>2</v>
      </c>
      <c r="U39">
        <v>1</v>
      </c>
      <c r="V39">
        <v>2</v>
      </c>
      <c r="W39">
        <v>1</v>
      </c>
      <c r="X39">
        <v>1</v>
      </c>
      <c r="Y39">
        <v>1</v>
      </c>
      <c r="Z39">
        <v>1</v>
      </c>
      <c r="AA39">
        <v>1</v>
      </c>
      <c r="AB39">
        <v>1</v>
      </c>
      <c r="AC39">
        <v>2</v>
      </c>
      <c r="AD39">
        <v>1</v>
      </c>
      <c r="AE39">
        <v>1</v>
      </c>
      <c r="AF39">
        <v>1</v>
      </c>
      <c r="AG39">
        <v>1</v>
      </c>
      <c r="AH39">
        <v>1</v>
      </c>
      <c r="AI39">
        <v>2</v>
      </c>
      <c r="AJ39">
        <v>1</v>
      </c>
      <c r="AK39">
        <v>1</v>
      </c>
      <c r="AL39">
        <v>1</v>
      </c>
      <c r="AM39">
        <v>1</v>
      </c>
      <c r="AN39">
        <v>2</v>
      </c>
      <c r="AO39">
        <v>1</v>
      </c>
      <c r="AP39" t="str">
        <f>SUM(B39:AO39)</f>
        <v>0</v>
      </c>
    </row>
    <row r="40" spans="1:43">
      <c r="A40" t="s">
        <v>65</v>
      </c>
      <c r="B40">
        <v>5</v>
      </c>
      <c r="C40">
        <v>4</v>
      </c>
      <c r="D40">
        <v>5</v>
      </c>
      <c r="E40">
        <v>5</v>
      </c>
      <c r="F40">
        <v>5</v>
      </c>
      <c r="G40">
        <v>4</v>
      </c>
      <c r="H40">
        <v>4</v>
      </c>
      <c r="I40">
        <v>3</v>
      </c>
      <c r="J40">
        <v>3</v>
      </c>
      <c r="K40">
        <v>3</v>
      </c>
      <c r="L40">
        <v>4</v>
      </c>
      <c r="M40">
        <v>4</v>
      </c>
      <c r="N40">
        <v>5</v>
      </c>
      <c r="O40">
        <v>2</v>
      </c>
      <c r="P40">
        <v>4</v>
      </c>
      <c r="Q40">
        <v>4</v>
      </c>
      <c r="R40">
        <v>3</v>
      </c>
      <c r="S40">
        <v>3</v>
      </c>
      <c r="T40">
        <v>4</v>
      </c>
      <c r="U40">
        <v>5</v>
      </c>
      <c r="V40">
        <v>4</v>
      </c>
      <c r="W40">
        <v>3</v>
      </c>
      <c r="X40">
        <v>3</v>
      </c>
      <c r="Y40">
        <v>5</v>
      </c>
      <c r="Z40">
        <v>5</v>
      </c>
      <c r="AA40">
        <v>3</v>
      </c>
      <c r="AB40">
        <v>4</v>
      </c>
      <c r="AC40">
        <v>3</v>
      </c>
      <c r="AD40">
        <v>5</v>
      </c>
      <c r="AE40">
        <v>4</v>
      </c>
      <c r="AF40">
        <v>4</v>
      </c>
      <c r="AG40">
        <v>4</v>
      </c>
      <c r="AH40">
        <v>3</v>
      </c>
      <c r="AI40">
        <v>3</v>
      </c>
      <c r="AJ40">
        <v>4</v>
      </c>
      <c r="AK40">
        <v>3</v>
      </c>
      <c r="AL40">
        <v>3</v>
      </c>
      <c r="AM40">
        <v>4</v>
      </c>
      <c r="AN40">
        <v>4</v>
      </c>
      <c r="AO40">
        <v>3</v>
      </c>
      <c r="AP40" t="str">
        <f>SUM(B40:AO40)</f>
        <v>0</v>
      </c>
    </row>
    <row r="41" spans="1:43">
      <c r="A41" t="s">
        <v>66</v>
      </c>
      <c r="B41">
        <v>4</v>
      </c>
      <c r="C41">
        <v>5</v>
      </c>
      <c r="D41">
        <v>4</v>
      </c>
      <c r="E41">
        <v>4</v>
      </c>
      <c r="F41">
        <v>3</v>
      </c>
      <c r="G41">
        <v>3</v>
      </c>
      <c r="H41">
        <v>5</v>
      </c>
      <c r="I41">
        <v>4</v>
      </c>
      <c r="J41">
        <v>5</v>
      </c>
      <c r="K41">
        <v>4</v>
      </c>
      <c r="L41">
        <v>4</v>
      </c>
      <c r="M41">
        <v>5</v>
      </c>
      <c r="N41">
        <v>4</v>
      </c>
      <c r="O41">
        <v>3</v>
      </c>
      <c r="P41">
        <v>5</v>
      </c>
      <c r="Q41">
        <v>4</v>
      </c>
      <c r="R41">
        <v>5</v>
      </c>
      <c r="S41">
        <v>5</v>
      </c>
      <c r="T41">
        <v>4</v>
      </c>
      <c r="U41">
        <v>4</v>
      </c>
      <c r="V41">
        <v>4</v>
      </c>
      <c r="W41">
        <v>4</v>
      </c>
      <c r="X41">
        <v>4</v>
      </c>
      <c r="Y41">
        <v>4</v>
      </c>
      <c r="Z41">
        <v>4</v>
      </c>
      <c r="AA41">
        <v>4</v>
      </c>
      <c r="AB41">
        <v>4</v>
      </c>
      <c r="AC41">
        <v>3</v>
      </c>
      <c r="AD41">
        <v>5</v>
      </c>
      <c r="AE41">
        <v>5</v>
      </c>
      <c r="AF41">
        <v>3</v>
      </c>
      <c r="AG41">
        <v>4</v>
      </c>
      <c r="AH41">
        <v>5</v>
      </c>
      <c r="AI41">
        <v>5</v>
      </c>
      <c r="AJ41">
        <v>4</v>
      </c>
      <c r="AK41">
        <v>4</v>
      </c>
      <c r="AL41">
        <v>5</v>
      </c>
      <c r="AM41">
        <v>5</v>
      </c>
      <c r="AN41">
        <v>3</v>
      </c>
      <c r="AO41">
        <v>3</v>
      </c>
      <c r="AP41" t="str">
        <f>SUM(B41:AO41)</f>
        <v>0</v>
      </c>
    </row>
    <row r="42" spans="1:43">
      <c r="A42" t="s">
        <v>67</v>
      </c>
      <c r="B42">
        <v>1</v>
      </c>
      <c r="C42">
        <v>1</v>
      </c>
      <c r="D42">
        <v>2</v>
      </c>
      <c r="E42">
        <v>2</v>
      </c>
      <c r="F42">
        <v>2</v>
      </c>
      <c r="G42">
        <v>2</v>
      </c>
      <c r="H42">
        <v>2</v>
      </c>
      <c r="I42">
        <v>2</v>
      </c>
      <c r="J42">
        <v>1</v>
      </c>
      <c r="K42">
        <v>1</v>
      </c>
      <c r="L42">
        <v>2</v>
      </c>
      <c r="M42">
        <v>2</v>
      </c>
      <c r="N42">
        <v>1</v>
      </c>
      <c r="O42">
        <v>2</v>
      </c>
      <c r="P42">
        <v>1</v>
      </c>
      <c r="Q42">
        <v>1</v>
      </c>
      <c r="R42">
        <v>1</v>
      </c>
      <c r="S42">
        <v>1</v>
      </c>
      <c r="T42">
        <v>2</v>
      </c>
      <c r="U42">
        <v>1</v>
      </c>
      <c r="V42">
        <v>1</v>
      </c>
      <c r="W42">
        <v>2</v>
      </c>
      <c r="X42">
        <v>2</v>
      </c>
      <c r="Y42">
        <v>1</v>
      </c>
      <c r="Z42">
        <v>2</v>
      </c>
      <c r="AA42">
        <v>1</v>
      </c>
      <c r="AB42">
        <v>1</v>
      </c>
      <c r="AC42">
        <v>2</v>
      </c>
      <c r="AD42">
        <v>2</v>
      </c>
      <c r="AE42">
        <v>2</v>
      </c>
      <c r="AF42">
        <v>2</v>
      </c>
      <c r="AG42">
        <v>1</v>
      </c>
      <c r="AH42">
        <v>2</v>
      </c>
      <c r="AI42">
        <v>2</v>
      </c>
      <c r="AJ42">
        <v>2</v>
      </c>
      <c r="AK42">
        <v>1</v>
      </c>
      <c r="AL42">
        <v>2</v>
      </c>
      <c r="AM42">
        <v>2</v>
      </c>
      <c r="AN42">
        <v>1</v>
      </c>
      <c r="AO42">
        <v>1</v>
      </c>
      <c r="AP42" t="str">
        <f>SUM(B42:AO42)</f>
        <v>0</v>
      </c>
    </row>
    <row r="43" spans="1:43">
      <c r="A43" t="s">
        <v>68</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t="str">
        <f>SUM(B43:AO43)</f>
        <v>0</v>
      </c>
    </row>
    <row r="44" spans="1:43">
      <c r="A44" t="s">
        <v>69</v>
      </c>
      <c r="B44">
        <v>4</v>
      </c>
      <c r="C44">
        <v>4</v>
      </c>
      <c r="D44">
        <v>3</v>
      </c>
      <c r="E44">
        <v>3</v>
      </c>
      <c r="F44">
        <v>4</v>
      </c>
      <c r="G44">
        <v>4</v>
      </c>
      <c r="H44">
        <v>4</v>
      </c>
      <c r="I44">
        <v>3</v>
      </c>
      <c r="J44">
        <v>4</v>
      </c>
      <c r="K44">
        <v>4</v>
      </c>
      <c r="L44">
        <v>3</v>
      </c>
      <c r="M44">
        <v>4</v>
      </c>
      <c r="N44">
        <v>3</v>
      </c>
      <c r="O44">
        <v>4</v>
      </c>
      <c r="P44">
        <v>4</v>
      </c>
      <c r="Q44">
        <v>3</v>
      </c>
      <c r="R44">
        <v>3</v>
      </c>
      <c r="S44">
        <v>4</v>
      </c>
      <c r="T44">
        <v>4</v>
      </c>
      <c r="U44">
        <v>5</v>
      </c>
      <c r="V44">
        <v>5</v>
      </c>
      <c r="W44">
        <v>4</v>
      </c>
      <c r="X44">
        <v>5</v>
      </c>
      <c r="Y44">
        <v>4</v>
      </c>
      <c r="Z44">
        <v>5</v>
      </c>
      <c r="AA44">
        <v>5</v>
      </c>
      <c r="AB44">
        <v>4</v>
      </c>
      <c r="AC44">
        <v>5</v>
      </c>
      <c r="AD44">
        <v>4</v>
      </c>
      <c r="AE44">
        <v>4</v>
      </c>
      <c r="AF44">
        <v>4</v>
      </c>
      <c r="AG44">
        <v>4</v>
      </c>
      <c r="AH44">
        <v>4</v>
      </c>
      <c r="AI44">
        <v>3</v>
      </c>
      <c r="AJ44">
        <v>4</v>
      </c>
      <c r="AK44">
        <v>3</v>
      </c>
      <c r="AL44">
        <v>3</v>
      </c>
      <c r="AM44">
        <v>3</v>
      </c>
      <c r="AN44">
        <v>4</v>
      </c>
      <c r="AO44">
        <v>4</v>
      </c>
      <c r="AP44" t="str">
        <f>SUM(B44:AO44)</f>
        <v>0</v>
      </c>
    </row>
    <row r="45" spans="1:43">
      <c r="A45" t="s">
        <v>70</v>
      </c>
      <c r="B45">
        <v>4</v>
      </c>
      <c r="C45">
        <v>4</v>
      </c>
      <c r="D45">
        <v>5</v>
      </c>
      <c r="E45">
        <v>5</v>
      </c>
      <c r="F45">
        <v>5</v>
      </c>
      <c r="G45">
        <v>5</v>
      </c>
      <c r="H45">
        <v>4</v>
      </c>
      <c r="I45">
        <v>5</v>
      </c>
      <c r="J45">
        <v>4</v>
      </c>
      <c r="K45">
        <v>5</v>
      </c>
      <c r="L45">
        <v>5</v>
      </c>
      <c r="M45">
        <v>5</v>
      </c>
      <c r="N45">
        <v>5</v>
      </c>
      <c r="O45">
        <v>5</v>
      </c>
      <c r="P45">
        <v>5</v>
      </c>
      <c r="Q45">
        <v>4</v>
      </c>
      <c r="R45">
        <v>5</v>
      </c>
      <c r="S45">
        <v>5</v>
      </c>
      <c r="T45">
        <v>5</v>
      </c>
      <c r="U45">
        <v>4</v>
      </c>
      <c r="V45">
        <v>5</v>
      </c>
      <c r="W45">
        <v>4</v>
      </c>
      <c r="X45">
        <v>5</v>
      </c>
      <c r="Y45">
        <v>3</v>
      </c>
      <c r="Z45">
        <v>3</v>
      </c>
      <c r="AA45">
        <v>5</v>
      </c>
      <c r="AB45">
        <v>5</v>
      </c>
      <c r="AC45">
        <v>4</v>
      </c>
      <c r="AD45">
        <v>4</v>
      </c>
      <c r="AE45">
        <v>5</v>
      </c>
      <c r="AF45">
        <v>5</v>
      </c>
      <c r="AG45">
        <v>4</v>
      </c>
      <c r="AH45">
        <v>4</v>
      </c>
      <c r="AI45">
        <v>5</v>
      </c>
      <c r="AJ45">
        <v>5</v>
      </c>
      <c r="AK45">
        <v>5</v>
      </c>
      <c r="AL45">
        <v>5</v>
      </c>
      <c r="AM45">
        <v>4</v>
      </c>
      <c r="AN45">
        <v>3</v>
      </c>
      <c r="AO45">
        <v>5</v>
      </c>
      <c r="AP45" t="str">
        <f>SUM(B45:AO45)</f>
        <v>0</v>
      </c>
    </row>
    <row r="46" spans="1:43">
      <c r="A46" t="s">
        <v>71</v>
      </c>
      <c r="B46">
        <v>2</v>
      </c>
      <c r="C46">
        <v>2</v>
      </c>
      <c r="D46">
        <v>2</v>
      </c>
      <c r="E46">
        <v>2</v>
      </c>
      <c r="F46">
        <v>2</v>
      </c>
      <c r="G46">
        <v>2</v>
      </c>
      <c r="H46">
        <v>2</v>
      </c>
      <c r="I46">
        <v>2</v>
      </c>
      <c r="J46">
        <v>2</v>
      </c>
      <c r="K46">
        <v>2</v>
      </c>
      <c r="L46">
        <v>2</v>
      </c>
      <c r="M46">
        <v>2</v>
      </c>
      <c r="N46">
        <v>1</v>
      </c>
      <c r="O46">
        <v>1</v>
      </c>
      <c r="P46">
        <v>2</v>
      </c>
      <c r="Q46">
        <v>1</v>
      </c>
      <c r="R46">
        <v>2</v>
      </c>
      <c r="S46">
        <v>2</v>
      </c>
      <c r="T46">
        <v>1</v>
      </c>
      <c r="U46">
        <v>2</v>
      </c>
      <c r="V46">
        <v>2</v>
      </c>
      <c r="W46">
        <v>2</v>
      </c>
      <c r="X46">
        <v>2</v>
      </c>
      <c r="Y46">
        <v>2</v>
      </c>
      <c r="Z46">
        <v>2</v>
      </c>
      <c r="AA46">
        <v>2</v>
      </c>
      <c r="AB46">
        <v>2</v>
      </c>
      <c r="AC46">
        <v>2</v>
      </c>
      <c r="AD46">
        <v>2</v>
      </c>
      <c r="AE46">
        <v>1</v>
      </c>
      <c r="AF46">
        <v>2</v>
      </c>
      <c r="AG46">
        <v>1</v>
      </c>
      <c r="AH46">
        <v>2</v>
      </c>
      <c r="AI46">
        <v>2</v>
      </c>
      <c r="AJ46">
        <v>2</v>
      </c>
      <c r="AK46">
        <v>1</v>
      </c>
      <c r="AL46">
        <v>1</v>
      </c>
      <c r="AM46">
        <v>1</v>
      </c>
      <c r="AN46">
        <v>2</v>
      </c>
      <c r="AO46">
        <v>2</v>
      </c>
      <c r="AP46" t="str">
        <f>SUM(B46:AO46)</f>
        <v>0</v>
      </c>
    </row>
    <row r="47" spans="1:43">
      <c r="A47" t="s">
        <v>72</v>
      </c>
      <c r="B47">
        <v>2</v>
      </c>
      <c r="C47">
        <v>1</v>
      </c>
      <c r="D47">
        <v>1</v>
      </c>
      <c r="E47">
        <v>2</v>
      </c>
      <c r="F47">
        <v>2</v>
      </c>
      <c r="G47">
        <v>2</v>
      </c>
      <c r="H47">
        <v>1</v>
      </c>
      <c r="I47">
        <v>1</v>
      </c>
      <c r="J47">
        <v>2</v>
      </c>
      <c r="K47">
        <v>1</v>
      </c>
      <c r="L47">
        <v>2</v>
      </c>
      <c r="M47">
        <v>2</v>
      </c>
      <c r="N47">
        <v>1</v>
      </c>
      <c r="O47">
        <v>2</v>
      </c>
      <c r="P47">
        <v>2</v>
      </c>
      <c r="Q47">
        <v>2</v>
      </c>
      <c r="R47">
        <v>2</v>
      </c>
      <c r="S47">
        <v>1</v>
      </c>
      <c r="T47">
        <v>2</v>
      </c>
      <c r="U47">
        <v>2</v>
      </c>
      <c r="V47">
        <v>2</v>
      </c>
      <c r="W47">
        <v>1</v>
      </c>
      <c r="X47">
        <v>2</v>
      </c>
      <c r="Y47">
        <v>2</v>
      </c>
      <c r="Z47">
        <v>2</v>
      </c>
      <c r="AA47">
        <v>2</v>
      </c>
      <c r="AB47">
        <v>2</v>
      </c>
      <c r="AC47">
        <v>2</v>
      </c>
      <c r="AD47">
        <v>2</v>
      </c>
      <c r="AE47">
        <v>2</v>
      </c>
      <c r="AF47">
        <v>2</v>
      </c>
      <c r="AG47">
        <v>2</v>
      </c>
      <c r="AH47">
        <v>2</v>
      </c>
      <c r="AI47">
        <v>1</v>
      </c>
      <c r="AJ47">
        <v>2</v>
      </c>
      <c r="AK47">
        <v>2</v>
      </c>
      <c r="AL47">
        <v>2</v>
      </c>
      <c r="AM47">
        <v>1</v>
      </c>
      <c r="AN47">
        <v>2</v>
      </c>
      <c r="AO47">
        <v>1</v>
      </c>
      <c r="AP47" t="str">
        <f>SUM(B47:AO47)</f>
        <v>0</v>
      </c>
    </row>
    <row r="48" spans="1:43">
      <c r="A48" t="s">
        <v>73</v>
      </c>
      <c r="B48">
        <v>4</v>
      </c>
      <c r="C48">
        <v>5</v>
      </c>
      <c r="D48">
        <v>5</v>
      </c>
      <c r="E48">
        <v>4</v>
      </c>
      <c r="F48">
        <v>5</v>
      </c>
      <c r="G48">
        <v>5</v>
      </c>
      <c r="H48">
        <v>5</v>
      </c>
      <c r="I48">
        <v>4</v>
      </c>
      <c r="J48">
        <v>3</v>
      </c>
      <c r="K48">
        <v>5</v>
      </c>
      <c r="L48">
        <v>5</v>
      </c>
      <c r="M48">
        <v>5</v>
      </c>
      <c r="N48">
        <v>4</v>
      </c>
      <c r="O48">
        <v>5</v>
      </c>
      <c r="P48">
        <v>5</v>
      </c>
      <c r="Q48">
        <v>5</v>
      </c>
      <c r="R48">
        <v>5</v>
      </c>
      <c r="S48">
        <v>3</v>
      </c>
      <c r="T48">
        <v>4</v>
      </c>
      <c r="U48">
        <v>5</v>
      </c>
      <c r="V48">
        <v>3</v>
      </c>
      <c r="W48">
        <v>4</v>
      </c>
      <c r="X48">
        <v>5</v>
      </c>
      <c r="Y48">
        <v>4</v>
      </c>
      <c r="Z48">
        <v>5</v>
      </c>
      <c r="AA48">
        <v>5</v>
      </c>
      <c r="AB48">
        <v>4</v>
      </c>
      <c r="AC48">
        <v>5</v>
      </c>
      <c r="AD48">
        <v>3</v>
      </c>
      <c r="AE48">
        <v>5</v>
      </c>
      <c r="AF48">
        <v>5</v>
      </c>
      <c r="AG48">
        <v>5</v>
      </c>
      <c r="AH48">
        <v>4</v>
      </c>
      <c r="AI48">
        <v>5</v>
      </c>
      <c r="AJ48">
        <v>5</v>
      </c>
      <c r="AK48">
        <v>4</v>
      </c>
      <c r="AL48">
        <v>5</v>
      </c>
      <c r="AM48">
        <v>3</v>
      </c>
      <c r="AN48">
        <v>5</v>
      </c>
      <c r="AO48">
        <v>5</v>
      </c>
      <c r="AP48" t="str">
        <f>SUM(B48:AO48)</f>
        <v>0</v>
      </c>
    </row>
    <row r="49" spans="1:43">
      <c r="A49" t="s">
        <v>74</v>
      </c>
      <c r="B49">
        <v>2</v>
      </c>
      <c r="C49">
        <v>2</v>
      </c>
      <c r="D49">
        <v>2</v>
      </c>
      <c r="E49">
        <v>2</v>
      </c>
      <c r="F49">
        <v>2</v>
      </c>
      <c r="G49">
        <v>2</v>
      </c>
      <c r="H49">
        <v>2</v>
      </c>
      <c r="I49">
        <v>2</v>
      </c>
      <c r="J49">
        <v>1</v>
      </c>
      <c r="K49">
        <v>1</v>
      </c>
      <c r="L49">
        <v>2</v>
      </c>
      <c r="M49">
        <v>2</v>
      </c>
      <c r="N49">
        <v>2</v>
      </c>
      <c r="O49">
        <v>2</v>
      </c>
      <c r="P49">
        <v>2</v>
      </c>
      <c r="Q49">
        <v>2</v>
      </c>
      <c r="R49">
        <v>2</v>
      </c>
      <c r="S49">
        <v>2</v>
      </c>
      <c r="T49">
        <v>2</v>
      </c>
      <c r="U49">
        <v>1</v>
      </c>
      <c r="V49">
        <v>1</v>
      </c>
      <c r="W49">
        <v>2</v>
      </c>
      <c r="X49">
        <v>2</v>
      </c>
      <c r="Y49">
        <v>1</v>
      </c>
      <c r="Z49">
        <v>2</v>
      </c>
      <c r="AA49">
        <v>2</v>
      </c>
      <c r="AB49">
        <v>1</v>
      </c>
      <c r="AC49">
        <v>1</v>
      </c>
      <c r="AD49">
        <v>2</v>
      </c>
      <c r="AE49">
        <v>2</v>
      </c>
      <c r="AF49">
        <v>1</v>
      </c>
      <c r="AG49">
        <v>2</v>
      </c>
      <c r="AH49">
        <v>1</v>
      </c>
      <c r="AI49">
        <v>2</v>
      </c>
      <c r="AJ49">
        <v>1</v>
      </c>
      <c r="AK49">
        <v>2</v>
      </c>
      <c r="AL49">
        <v>2</v>
      </c>
      <c r="AM49">
        <v>2</v>
      </c>
      <c r="AN49">
        <v>2</v>
      </c>
      <c r="AO49">
        <v>2</v>
      </c>
      <c r="AP49" t="str">
        <f>SUM(B49:AO49)</f>
        <v>0</v>
      </c>
    </row>
    <row r="50" spans="1:43">
      <c r="A50" t="s">
        <v>75</v>
      </c>
      <c r="B50">
        <v>5</v>
      </c>
      <c r="C50">
        <v>5</v>
      </c>
      <c r="D50">
        <v>5</v>
      </c>
      <c r="E50">
        <v>4</v>
      </c>
      <c r="F50">
        <v>5</v>
      </c>
      <c r="G50">
        <v>5</v>
      </c>
      <c r="H50">
        <v>5</v>
      </c>
      <c r="I50">
        <v>5</v>
      </c>
      <c r="J50">
        <v>4</v>
      </c>
      <c r="K50">
        <v>3</v>
      </c>
      <c r="L50">
        <v>5</v>
      </c>
      <c r="M50">
        <v>5</v>
      </c>
      <c r="N50">
        <v>4</v>
      </c>
      <c r="O50">
        <v>3</v>
      </c>
      <c r="P50">
        <v>4</v>
      </c>
      <c r="Q50">
        <v>3</v>
      </c>
      <c r="R50">
        <v>5</v>
      </c>
      <c r="S50">
        <v>4</v>
      </c>
      <c r="T50">
        <v>3</v>
      </c>
      <c r="U50">
        <v>5</v>
      </c>
      <c r="V50">
        <v>5</v>
      </c>
      <c r="W50">
        <v>5</v>
      </c>
      <c r="X50">
        <v>5</v>
      </c>
      <c r="Y50">
        <v>4</v>
      </c>
      <c r="Z50">
        <v>4</v>
      </c>
      <c r="AA50">
        <v>4</v>
      </c>
      <c r="AB50">
        <v>5</v>
      </c>
      <c r="AC50">
        <v>5</v>
      </c>
      <c r="AD50">
        <v>5</v>
      </c>
      <c r="AE50">
        <v>5</v>
      </c>
      <c r="AF50">
        <v>5</v>
      </c>
      <c r="AG50">
        <v>5</v>
      </c>
      <c r="AH50">
        <v>5</v>
      </c>
      <c r="AI50">
        <v>4</v>
      </c>
      <c r="AJ50">
        <v>4</v>
      </c>
      <c r="AK50">
        <v>3</v>
      </c>
      <c r="AL50">
        <v>5</v>
      </c>
      <c r="AM50">
        <v>4</v>
      </c>
      <c r="AN50">
        <v>5</v>
      </c>
      <c r="AO50">
        <v>3</v>
      </c>
      <c r="AP50" t="str">
        <f>SUM(B50:AO50)</f>
        <v>0</v>
      </c>
    </row>
    <row r="51" spans="1:43">
      <c r="A51" t="s">
        <v>76</v>
      </c>
      <c r="B51">
        <v>2</v>
      </c>
      <c r="C51">
        <v>2</v>
      </c>
      <c r="D51">
        <v>2</v>
      </c>
      <c r="E51">
        <v>2</v>
      </c>
      <c r="F51">
        <v>2</v>
      </c>
      <c r="G51">
        <v>2</v>
      </c>
      <c r="H51">
        <v>2</v>
      </c>
      <c r="I51">
        <v>2</v>
      </c>
      <c r="J51">
        <v>2</v>
      </c>
      <c r="K51">
        <v>2</v>
      </c>
      <c r="L51">
        <v>2</v>
      </c>
      <c r="M51">
        <v>2</v>
      </c>
      <c r="N51">
        <v>1</v>
      </c>
      <c r="O51">
        <v>2</v>
      </c>
      <c r="P51">
        <v>1</v>
      </c>
      <c r="Q51">
        <v>2</v>
      </c>
      <c r="R51">
        <v>2</v>
      </c>
      <c r="S51">
        <v>2</v>
      </c>
      <c r="T51">
        <v>2</v>
      </c>
      <c r="U51">
        <v>1</v>
      </c>
      <c r="V51">
        <v>2</v>
      </c>
      <c r="W51">
        <v>1</v>
      </c>
      <c r="X51">
        <v>2</v>
      </c>
      <c r="Y51">
        <v>2</v>
      </c>
      <c r="Z51">
        <v>2</v>
      </c>
      <c r="AA51">
        <v>2</v>
      </c>
      <c r="AB51">
        <v>1</v>
      </c>
      <c r="AC51">
        <v>2</v>
      </c>
      <c r="AD51">
        <v>2</v>
      </c>
      <c r="AE51">
        <v>2</v>
      </c>
      <c r="AF51">
        <v>2</v>
      </c>
      <c r="AG51">
        <v>2</v>
      </c>
      <c r="AH51">
        <v>1</v>
      </c>
      <c r="AI51">
        <v>2</v>
      </c>
      <c r="AJ51">
        <v>2</v>
      </c>
      <c r="AK51">
        <v>1</v>
      </c>
      <c r="AL51">
        <v>2</v>
      </c>
      <c r="AM51">
        <v>1</v>
      </c>
      <c r="AN51">
        <v>2</v>
      </c>
      <c r="AO51">
        <v>2</v>
      </c>
      <c r="AP51" t="str">
        <f>SUM(B51:AO51)</f>
        <v>0</v>
      </c>
    </row>
    <row r="52" spans="1:43">
      <c r="A52" t="s">
        <v>77</v>
      </c>
      <c r="B52">
        <v>4</v>
      </c>
      <c r="C52">
        <v>3</v>
      </c>
      <c r="D52">
        <v>4</v>
      </c>
      <c r="E52">
        <v>5</v>
      </c>
      <c r="F52">
        <v>4</v>
      </c>
      <c r="G52">
        <v>3</v>
      </c>
      <c r="H52">
        <v>5</v>
      </c>
      <c r="I52">
        <v>5</v>
      </c>
      <c r="J52">
        <v>4</v>
      </c>
      <c r="K52">
        <v>5</v>
      </c>
      <c r="L52">
        <v>3</v>
      </c>
      <c r="M52">
        <v>5</v>
      </c>
      <c r="N52">
        <v>4</v>
      </c>
      <c r="O52">
        <v>5</v>
      </c>
      <c r="P52">
        <v>4</v>
      </c>
      <c r="Q52">
        <v>3</v>
      </c>
      <c r="R52">
        <v>4</v>
      </c>
      <c r="S52">
        <v>4</v>
      </c>
      <c r="T52">
        <v>4</v>
      </c>
      <c r="U52">
        <v>5</v>
      </c>
      <c r="V52">
        <v>5</v>
      </c>
      <c r="W52">
        <v>4</v>
      </c>
      <c r="X52">
        <v>4</v>
      </c>
      <c r="Y52">
        <v>4</v>
      </c>
      <c r="Z52">
        <v>3</v>
      </c>
      <c r="AA52">
        <v>4</v>
      </c>
      <c r="AB52">
        <v>5</v>
      </c>
      <c r="AC52">
        <v>5</v>
      </c>
      <c r="AD52">
        <v>4</v>
      </c>
      <c r="AE52">
        <v>4</v>
      </c>
      <c r="AF52">
        <v>4</v>
      </c>
      <c r="AG52">
        <v>3</v>
      </c>
      <c r="AH52">
        <v>5</v>
      </c>
      <c r="AI52">
        <v>3</v>
      </c>
      <c r="AJ52">
        <v>5</v>
      </c>
      <c r="AK52">
        <v>5</v>
      </c>
      <c r="AL52">
        <v>3</v>
      </c>
      <c r="AM52">
        <v>4</v>
      </c>
      <c r="AN52">
        <v>5</v>
      </c>
      <c r="AO52">
        <v>5</v>
      </c>
      <c r="AP52" t="str">
        <f>SUM(B52:AO52)</f>
        <v>0</v>
      </c>
    </row>
    <row r="53" spans="1:43">
      <c r="A53" t="s">
        <v>78</v>
      </c>
      <c r="B53">
        <v>5</v>
      </c>
      <c r="C53">
        <v>3</v>
      </c>
      <c r="D53">
        <v>3</v>
      </c>
      <c r="E53">
        <v>5</v>
      </c>
      <c r="F53">
        <v>5</v>
      </c>
      <c r="G53">
        <v>3</v>
      </c>
      <c r="H53">
        <v>4</v>
      </c>
      <c r="I53">
        <v>3</v>
      </c>
      <c r="J53">
        <v>4</v>
      </c>
      <c r="K53">
        <v>5</v>
      </c>
      <c r="L53">
        <v>3</v>
      </c>
      <c r="M53">
        <v>4</v>
      </c>
      <c r="N53">
        <v>5</v>
      </c>
      <c r="O53">
        <v>5</v>
      </c>
      <c r="P53">
        <v>5</v>
      </c>
      <c r="Q53">
        <v>4</v>
      </c>
      <c r="R53">
        <v>4</v>
      </c>
      <c r="S53">
        <v>3</v>
      </c>
      <c r="T53">
        <v>5</v>
      </c>
      <c r="U53">
        <v>3</v>
      </c>
      <c r="V53">
        <v>4</v>
      </c>
      <c r="W53">
        <v>4</v>
      </c>
      <c r="X53">
        <v>3</v>
      </c>
      <c r="Y53">
        <v>3</v>
      </c>
      <c r="Z53">
        <v>3</v>
      </c>
      <c r="AA53">
        <v>5</v>
      </c>
      <c r="AB53">
        <v>5</v>
      </c>
      <c r="AC53">
        <v>5</v>
      </c>
      <c r="AD53">
        <v>4</v>
      </c>
      <c r="AE53">
        <v>4</v>
      </c>
      <c r="AF53">
        <v>4</v>
      </c>
      <c r="AG53">
        <v>5</v>
      </c>
      <c r="AH53">
        <v>5</v>
      </c>
      <c r="AI53">
        <v>5</v>
      </c>
      <c r="AJ53">
        <v>5</v>
      </c>
      <c r="AK53">
        <v>5</v>
      </c>
      <c r="AL53">
        <v>5</v>
      </c>
      <c r="AM53">
        <v>4</v>
      </c>
      <c r="AN53">
        <v>5</v>
      </c>
      <c r="AO53">
        <v>5</v>
      </c>
      <c r="AP53" t="str">
        <f>SUM(B53:AO53)</f>
        <v>0</v>
      </c>
    </row>
    <row r="54" spans="1:43">
      <c r="A54" t="s">
        <v>79</v>
      </c>
      <c r="B54">
        <v>3</v>
      </c>
      <c r="C54">
        <v>5</v>
      </c>
      <c r="D54">
        <v>3</v>
      </c>
      <c r="E54">
        <v>4</v>
      </c>
      <c r="F54">
        <v>4</v>
      </c>
      <c r="G54">
        <v>4</v>
      </c>
      <c r="H54">
        <v>4</v>
      </c>
      <c r="I54">
        <v>4</v>
      </c>
      <c r="J54">
        <v>5</v>
      </c>
      <c r="K54">
        <v>3</v>
      </c>
      <c r="L54">
        <v>4</v>
      </c>
      <c r="M54">
        <v>3</v>
      </c>
      <c r="N54">
        <v>4</v>
      </c>
      <c r="O54">
        <v>3</v>
      </c>
      <c r="P54">
        <v>3</v>
      </c>
      <c r="Q54">
        <v>5</v>
      </c>
      <c r="R54">
        <v>5</v>
      </c>
      <c r="S54">
        <v>3</v>
      </c>
      <c r="T54">
        <v>3</v>
      </c>
      <c r="U54">
        <v>3</v>
      </c>
      <c r="V54">
        <v>4</v>
      </c>
      <c r="W54">
        <v>4</v>
      </c>
      <c r="X54">
        <v>4</v>
      </c>
      <c r="Y54">
        <v>3</v>
      </c>
      <c r="Z54">
        <v>3</v>
      </c>
      <c r="AA54">
        <v>5</v>
      </c>
      <c r="AB54">
        <v>3</v>
      </c>
      <c r="AC54">
        <v>5</v>
      </c>
      <c r="AD54">
        <v>5</v>
      </c>
      <c r="AE54">
        <v>5</v>
      </c>
      <c r="AF54">
        <v>5</v>
      </c>
      <c r="AG54">
        <v>5</v>
      </c>
      <c r="AH54">
        <v>5</v>
      </c>
      <c r="AI54">
        <v>4</v>
      </c>
      <c r="AJ54">
        <v>5</v>
      </c>
      <c r="AK54">
        <v>4</v>
      </c>
      <c r="AL54">
        <v>5</v>
      </c>
      <c r="AM54">
        <v>4</v>
      </c>
      <c r="AN54">
        <v>4</v>
      </c>
      <c r="AO54">
        <v>5</v>
      </c>
      <c r="AP54" t="str">
        <f>SUM(B54:AO54)</f>
        <v>0</v>
      </c>
    </row>
    <row r="55" spans="1:43">
      <c r="A55" t="s">
        <v>80</v>
      </c>
      <c r="B55">
        <v>1</v>
      </c>
      <c r="C55">
        <v>2</v>
      </c>
      <c r="D55">
        <v>2</v>
      </c>
      <c r="E55">
        <v>1</v>
      </c>
      <c r="F55">
        <v>1</v>
      </c>
      <c r="G55">
        <v>1</v>
      </c>
      <c r="H55">
        <v>2</v>
      </c>
      <c r="I55">
        <v>1</v>
      </c>
      <c r="J55">
        <v>2</v>
      </c>
      <c r="K55">
        <v>1</v>
      </c>
      <c r="L55">
        <v>1</v>
      </c>
      <c r="M55">
        <v>1</v>
      </c>
      <c r="N55">
        <v>1</v>
      </c>
      <c r="O55">
        <v>1</v>
      </c>
      <c r="P55">
        <v>1</v>
      </c>
      <c r="Q55">
        <v>2</v>
      </c>
      <c r="R55">
        <v>2</v>
      </c>
      <c r="S55">
        <v>1</v>
      </c>
      <c r="T55">
        <v>1</v>
      </c>
      <c r="U55">
        <v>1</v>
      </c>
      <c r="V55">
        <v>1</v>
      </c>
      <c r="W55">
        <v>1</v>
      </c>
      <c r="X55">
        <v>2</v>
      </c>
      <c r="Y55">
        <v>2</v>
      </c>
      <c r="Z55">
        <v>2</v>
      </c>
      <c r="AA55">
        <v>1</v>
      </c>
      <c r="AB55">
        <v>2</v>
      </c>
      <c r="AC55">
        <v>2</v>
      </c>
      <c r="AD55">
        <v>1</v>
      </c>
      <c r="AE55">
        <v>2</v>
      </c>
      <c r="AF55">
        <v>2</v>
      </c>
      <c r="AG55">
        <v>1</v>
      </c>
      <c r="AH55">
        <v>1</v>
      </c>
      <c r="AI55">
        <v>1</v>
      </c>
      <c r="AJ55">
        <v>2</v>
      </c>
      <c r="AK55">
        <v>1</v>
      </c>
      <c r="AL55">
        <v>1</v>
      </c>
      <c r="AM55">
        <v>2</v>
      </c>
      <c r="AN55">
        <v>1</v>
      </c>
      <c r="AO55">
        <v>2</v>
      </c>
      <c r="AP55" t="str">
        <f>SUM(B55:AO55)</f>
        <v>0</v>
      </c>
    </row>
    <row r="56" spans="1:43">
      <c r="A56" t="s">
        <v>81</v>
      </c>
      <c r="B56">
        <v>2</v>
      </c>
      <c r="C56">
        <v>2</v>
      </c>
      <c r="D56">
        <v>2</v>
      </c>
      <c r="E56">
        <v>1</v>
      </c>
      <c r="F56">
        <v>1</v>
      </c>
      <c r="G56">
        <v>2</v>
      </c>
      <c r="H56">
        <v>1</v>
      </c>
      <c r="I56">
        <v>2</v>
      </c>
      <c r="J56">
        <v>2</v>
      </c>
      <c r="K56">
        <v>2</v>
      </c>
      <c r="L56">
        <v>1</v>
      </c>
      <c r="M56">
        <v>2</v>
      </c>
      <c r="N56">
        <v>2</v>
      </c>
      <c r="O56">
        <v>2</v>
      </c>
      <c r="P56">
        <v>2</v>
      </c>
      <c r="Q56">
        <v>2</v>
      </c>
      <c r="R56">
        <v>2</v>
      </c>
      <c r="S56">
        <v>2</v>
      </c>
      <c r="T56">
        <v>2</v>
      </c>
      <c r="U56">
        <v>2</v>
      </c>
      <c r="V56">
        <v>2</v>
      </c>
      <c r="W56">
        <v>2</v>
      </c>
      <c r="X56">
        <v>1</v>
      </c>
      <c r="Y56">
        <v>2</v>
      </c>
      <c r="Z56">
        <v>2</v>
      </c>
      <c r="AA56">
        <v>2</v>
      </c>
      <c r="AB56">
        <v>2</v>
      </c>
      <c r="AC56">
        <v>2</v>
      </c>
      <c r="AD56">
        <v>1</v>
      </c>
      <c r="AE56">
        <v>2</v>
      </c>
      <c r="AF56">
        <v>2</v>
      </c>
      <c r="AG56">
        <v>1</v>
      </c>
      <c r="AH56">
        <v>2</v>
      </c>
      <c r="AI56">
        <v>2</v>
      </c>
      <c r="AJ56">
        <v>1</v>
      </c>
      <c r="AK56">
        <v>2</v>
      </c>
      <c r="AL56">
        <v>2</v>
      </c>
      <c r="AM56">
        <v>2</v>
      </c>
      <c r="AN56">
        <v>2</v>
      </c>
      <c r="AO56">
        <v>2</v>
      </c>
      <c r="AP56" t="str">
        <f>SUM(B56:AO56)</f>
        <v>0</v>
      </c>
    </row>
    <row r="57" spans="1:43">
      <c r="A57" t="s">
        <v>82</v>
      </c>
      <c r="B57">
        <v>1</v>
      </c>
      <c r="C57">
        <v>1</v>
      </c>
      <c r="D57">
        <v>1</v>
      </c>
      <c r="E57">
        <v>1</v>
      </c>
      <c r="F57">
        <v>1</v>
      </c>
      <c r="G57">
        <v>1</v>
      </c>
      <c r="H57">
        <v>1</v>
      </c>
      <c r="I57">
        <v>1</v>
      </c>
      <c r="J57">
        <v>1</v>
      </c>
      <c r="K57">
        <v>2</v>
      </c>
      <c r="L57">
        <v>1</v>
      </c>
      <c r="M57">
        <v>1</v>
      </c>
      <c r="N57">
        <v>1</v>
      </c>
      <c r="O57">
        <v>1</v>
      </c>
      <c r="P57">
        <v>1</v>
      </c>
      <c r="Q57">
        <v>1</v>
      </c>
      <c r="R57">
        <v>1</v>
      </c>
      <c r="S57">
        <v>2</v>
      </c>
      <c r="T57">
        <v>1</v>
      </c>
      <c r="U57">
        <v>1</v>
      </c>
      <c r="V57">
        <v>2</v>
      </c>
      <c r="W57">
        <v>1</v>
      </c>
      <c r="X57">
        <v>2</v>
      </c>
      <c r="Y57">
        <v>1</v>
      </c>
      <c r="Z57">
        <v>1</v>
      </c>
      <c r="AA57">
        <v>2</v>
      </c>
      <c r="AB57">
        <v>1</v>
      </c>
      <c r="AC57">
        <v>2</v>
      </c>
      <c r="AD57">
        <v>2</v>
      </c>
      <c r="AE57">
        <v>1</v>
      </c>
      <c r="AF57">
        <v>1</v>
      </c>
      <c r="AG57">
        <v>1</v>
      </c>
      <c r="AH57">
        <v>1</v>
      </c>
      <c r="AI57">
        <v>1</v>
      </c>
      <c r="AJ57">
        <v>1</v>
      </c>
      <c r="AK57">
        <v>1</v>
      </c>
      <c r="AL57">
        <v>1</v>
      </c>
      <c r="AM57">
        <v>1</v>
      </c>
      <c r="AN57">
        <v>1</v>
      </c>
      <c r="AO57">
        <v>1</v>
      </c>
      <c r="AP57" t="str">
        <f>SUM(B57:AO57)</f>
        <v>0</v>
      </c>
    </row>
    <row r="58" spans="1:43">
      <c r="A58" t="s">
        <v>83</v>
      </c>
      <c r="B58">
        <v>2</v>
      </c>
      <c r="C58">
        <v>1</v>
      </c>
      <c r="D58">
        <v>2</v>
      </c>
      <c r="E58">
        <v>2</v>
      </c>
      <c r="F58">
        <v>1</v>
      </c>
      <c r="G58">
        <v>2</v>
      </c>
      <c r="H58">
        <v>2</v>
      </c>
      <c r="I58">
        <v>1</v>
      </c>
      <c r="J58">
        <v>1</v>
      </c>
      <c r="K58">
        <v>2</v>
      </c>
      <c r="L58">
        <v>2</v>
      </c>
      <c r="M58">
        <v>2</v>
      </c>
      <c r="N58">
        <v>1</v>
      </c>
      <c r="O58">
        <v>2</v>
      </c>
      <c r="P58">
        <v>2</v>
      </c>
      <c r="Q58">
        <v>2</v>
      </c>
      <c r="R58">
        <v>1</v>
      </c>
      <c r="S58">
        <v>1</v>
      </c>
      <c r="T58">
        <v>2</v>
      </c>
      <c r="U58">
        <v>2</v>
      </c>
      <c r="V58">
        <v>2</v>
      </c>
      <c r="W58">
        <v>1</v>
      </c>
      <c r="X58">
        <v>2</v>
      </c>
      <c r="Y58">
        <v>2</v>
      </c>
      <c r="Z58">
        <v>1</v>
      </c>
      <c r="AA58">
        <v>1</v>
      </c>
      <c r="AB58">
        <v>2</v>
      </c>
      <c r="AC58">
        <v>1</v>
      </c>
      <c r="AD58">
        <v>1</v>
      </c>
      <c r="AE58">
        <v>1</v>
      </c>
      <c r="AF58">
        <v>1</v>
      </c>
      <c r="AG58">
        <v>2</v>
      </c>
      <c r="AH58">
        <v>1</v>
      </c>
      <c r="AI58">
        <v>1</v>
      </c>
      <c r="AJ58">
        <v>1</v>
      </c>
      <c r="AK58">
        <v>2</v>
      </c>
      <c r="AL58">
        <v>2</v>
      </c>
      <c r="AM58">
        <v>1</v>
      </c>
      <c r="AN58">
        <v>1</v>
      </c>
      <c r="AO58">
        <v>2</v>
      </c>
      <c r="AP58" t="str">
        <f>SUM(B58:AO58)</f>
        <v>0</v>
      </c>
    </row>
    <row r="59" spans="1:43">
      <c r="A59" t="s">
        <v>84</v>
      </c>
      <c r="B59">
        <v>1</v>
      </c>
      <c r="C59">
        <v>2</v>
      </c>
      <c r="D59">
        <v>2</v>
      </c>
      <c r="E59">
        <v>2</v>
      </c>
      <c r="F59">
        <v>2</v>
      </c>
      <c r="G59">
        <v>1</v>
      </c>
      <c r="H59">
        <v>1</v>
      </c>
      <c r="I59">
        <v>2</v>
      </c>
      <c r="J59">
        <v>2</v>
      </c>
      <c r="K59">
        <v>2</v>
      </c>
      <c r="L59">
        <v>2</v>
      </c>
      <c r="M59">
        <v>2</v>
      </c>
      <c r="N59">
        <v>2</v>
      </c>
      <c r="O59">
        <v>2</v>
      </c>
      <c r="P59">
        <v>1</v>
      </c>
      <c r="Q59">
        <v>2</v>
      </c>
      <c r="R59">
        <v>2</v>
      </c>
      <c r="S59">
        <v>1</v>
      </c>
      <c r="T59">
        <v>2</v>
      </c>
      <c r="U59">
        <v>2</v>
      </c>
      <c r="V59">
        <v>2</v>
      </c>
      <c r="W59">
        <v>2</v>
      </c>
      <c r="X59">
        <v>2</v>
      </c>
      <c r="Y59">
        <v>2</v>
      </c>
      <c r="Z59">
        <v>1</v>
      </c>
      <c r="AA59">
        <v>1</v>
      </c>
      <c r="AB59">
        <v>2</v>
      </c>
      <c r="AC59">
        <v>1</v>
      </c>
      <c r="AD59">
        <v>2</v>
      </c>
      <c r="AE59">
        <v>2</v>
      </c>
      <c r="AF59">
        <v>2</v>
      </c>
      <c r="AG59">
        <v>1</v>
      </c>
      <c r="AH59">
        <v>2</v>
      </c>
      <c r="AI59">
        <v>1</v>
      </c>
      <c r="AJ59">
        <v>2</v>
      </c>
      <c r="AK59">
        <v>1</v>
      </c>
      <c r="AL59">
        <v>2</v>
      </c>
      <c r="AM59">
        <v>2</v>
      </c>
      <c r="AN59">
        <v>2</v>
      </c>
      <c r="AO59">
        <v>2</v>
      </c>
      <c r="AP59" t="str">
        <f>SUM(B59:AO59)</f>
        <v>0</v>
      </c>
    </row>
    <row r="60" spans="1:43">
      <c r="A60" t="s">
        <v>85</v>
      </c>
      <c r="B60">
        <v>2</v>
      </c>
      <c r="C60">
        <v>2</v>
      </c>
      <c r="D60">
        <v>3</v>
      </c>
      <c r="E60">
        <v>2</v>
      </c>
      <c r="F60">
        <v>2</v>
      </c>
      <c r="G60">
        <v>2</v>
      </c>
      <c r="H60">
        <v>1</v>
      </c>
      <c r="I60">
        <v>2</v>
      </c>
      <c r="J60">
        <v>2</v>
      </c>
      <c r="K60">
        <v>2</v>
      </c>
      <c r="L60">
        <v>2</v>
      </c>
      <c r="M60">
        <v>1</v>
      </c>
      <c r="N60">
        <v>1</v>
      </c>
      <c r="O60">
        <v>2</v>
      </c>
      <c r="P60">
        <v>1</v>
      </c>
      <c r="Q60">
        <v>2</v>
      </c>
      <c r="R60">
        <v>2</v>
      </c>
      <c r="S60">
        <v>1</v>
      </c>
      <c r="T60">
        <v>1</v>
      </c>
      <c r="U60">
        <v>2</v>
      </c>
      <c r="V60">
        <v>3</v>
      </c>
      <c r="W60">
        <v>2</v>
      </c>
      <c r="X60">
        <v>3</v>
      </c>
      <c r="Y60">
        <v>2</v>
      </c>
      <c r="Z60">
        <v>1</v>
      </c>
      <c r="AA60">
        <v>1</v>
      </c>
      <c r="AB60">
        <v>2</v>
      </c>
      <c r="AC60">
        <v>2</v>
      </c>
      <c r="AD60">
        <v>2</v>
      </c>
      <c r="AE60">
        <v>2</v>
      </c>
      <c r="AF60">
        <v>1</v>
      </c>
      <c r="AG60">
        <v>2</v>
      </c>
      <c r="AH60">
        <v>1</v>
      </c>
      <c r="AI60">
        <v>2</v>
      </c>
      <c r="AJ60">
        <v>2</v>
      </c>
      <c r="AK60">
        <v>2</v>
      </c>
      <c r="AL60">
        <v>2</v>
      </c>
      <c r="AM60">
        <v>2</v>
      </c>
      <c r="AN60">
        <v>2</v>
      </c>
      <c r="AO60">
        <v>2</v>
      </c>
      <c r="AP60" t="str">
        <f>SUM(B60:AO60)</f>
        <v>0</v>
      </c>
    </row>
    <row r="61" spans="1:43">
      <c r="A61" t="s">
        <v>86</v>
      </c>
      <c r="B61">
        <v>5</v>
      </c>
      <c r="C61">
        <v>3</v>
      </c>
      <c r="D61">
        <v>4</v>
      </c>
      <c r="E61">
        <v>4</v>
      </c>
      <c r="F61">
        <v>4</v>
      </c>
      <c r="G61">
        <v>3</v>
      </c>
      <c r="H61">
        <v>5</v>
      </c>
      <c r="I61">
        <v>3</v>
      </c>
      <c r="J61">
        <v>5</v>
      </c>
      <c r="K61">
        <v>5</v>
      </c>
      <c r="L61">
        <v>3</v>
      </c>
      <c r="M61">
        <v>5</v>
      </c>
      <c r="N61">
        <v>5</v>
      </c>
      <c r="O61">
        <v>3</v>
      </c>
      <c r="P61">
        <v>5</v>
      </c>
      <c r="Q61">
        <v>3</v>
      </c>
      <c r="R61">
        <v>4</v>
      </c>
      <c r="S61">
        <v>3</v>
      </c>
      <c r="T61">
        <v>5</v>
      </c>
      <c r="U61">
        <v>4</v>
      </c>
      <c r="V61">
        <v>5</v>
      </c>
      <c r="W61">
        <v>5</v>
      </c>
      <c r="X61">
        <v>5</v>
      </c>
      <c r="Y61">
        <v>3</v>
      </c>
      <c r="Z61">
        <v>5</v>
      </c>
      <c r="AA61">
        <v>5</v>
      </c>
      <c r="AB61">
        <v>4</v>
      </c>
      <c r="AC61">
        <v>5</v>
      </c>
      <c r="AD61">
        <v>5</v>
      </c>
      <c r="AE61">
        <v>3</v>
      </c>
      <c r="AF61">
        <v>5</v>
      </c>
      <c r="AG61">
        <v>3</v>
      </c>
      <c r="AH61">
        <v>4</v>
      </c>
      <c r="AI61">
        <v>4</v>
      </c>
      <c r="AJ61">
        <v>4</v>
      </c>
      <c r="AK61">
        <v>5</v>
      </c>
      <c r="AL61">
        <v>5</v>
      </c>
      <c r="AM61">
        <v>5</v>
      </c>
      <c r="AN61">
        <v>5</v>
      </c>
      <c r="AO61">
        <v>4</v>
      </c>
      <c r="AP61" t="str">
        <f>SUM(B61:AO61)</f>
        <v>0</v>
      </c>
    </row>
    <row r="62" spans="1:43">
      <c r="A62" t="s">
        <v>87</v>
      </c>
      <c r="B62">
        <v>3</v>
      </c>
      <c r="C62">
        <v>3</v>
      </c>
      <c r="D62">
        <v>3</v>
      </c>
      <c r="E62">
        <v>3</v>
      </c>
      <c r="F62">
        <v>3</v>
      </c>
      <c r="G62">
        <v>5</v>
      </c>
      <c r="H62">
        <v>4</v>
      </c>
      <c r="I62">
        <v>5</v>
      </c>
      <c r="J62">
        <v>4</v>
      </c>
      <c r="K62">
        <v>4</v>
      </c>
      <c r="L62">
        <v>3</v>
      </c>
      <c r="M62">
        <v>4</v>
      </c>
      <c r="N62">
        <v>3</v>
      </c>
      <c r="O62">
        <v>3</v>
      </c>
      <c r="P62">
        <v>5</v>
      </c>
      <c r="Q62">
        <v>5</v>
      </c>
      <c r="R62">
        <v>5</v>
      </c>
      <c r="S62">
        <v>4</v>
      </c>
      <c r="T62">
        <v>4</v>
      </c>
      <c r="U62">
        <v>4</v>
      </c>
      <c r="V62">
        <v>3</v>
      </c>
      <c r="W62">
        <v>4</v>
      </c>
      <c r="X62">
        <v>3</v>
      </c>
      <c r="Y62">
        <v>5</v>
      </c>
      <c r="Z62">
        <v>4</v>
      </c>
      <c r="AA62">
        <v>3</v>
      </c>
      <c r="AB62">
        <v>4</v>
      </c>
      <c r="AC62">
        <v>4</v>
      </c>
      <c r="AD62">
        <v>4</v>
      </c>
      <c r="AE62">
        <v>5</v>
      </c>
      <c r="AF62">
        <v>4</v>
      </c>
      <c r="AG62">
        <v>5</v>
      </c>
      <c r="AH62">
        <v>4</v>
      </c>
      <c r="AI62">
        <v>5</v>
      </c>
      <c r="AJ62">
        <v>3</v>
      </c>
      <c r="AK62">
        <v>5</v>
      </c>
      <c r="AL62">
        <v>4</v>
      </c>
      <c r="AM62">
        <v>4</v>
      </c>
      <c r="AN62">
        <v>4</v>
      </c>
      <c r="AO62">
        <v>3</v>
      </c>
      <c r="AP62" t="str">
        <f>SUM(B62:AO62)</f>
        <v>0</v>
      </c>
    </row>
    <row r="63" spans="1:43">
      <c r="A63" t="s">
        <v>88</v>
      </c>
      <c r="B63">
        <v>5</v>
      </c>
      <c r="C63">
        <v>5</v>
      </c>
      <c r="D63">
        <v>5</v>
      </c>
      <c r="E63">
        <v>5</v>
      </c>
      <c r="F63">
        <v>4</v>
      </c>
      <c r="G63">
        <v>3</v>
      </c>
      <c r="H63">
        <v>3</v>
      </c>
      <c r="I63">
        <v>5</v>
      </c>
      <c r="J63">
        <v>5</v>
      </c>
      <c r="K63">
        <v>3</v>
      </c>
      <c r="L63">
        <v>5</v>
      </c>
      <c r="M63">
        <v>5</v>
      </c>
      <c r="N63">
        <v>5</v>
      </c>
      <c r="O63">
        <v>4</v>
      </c>
      <c r="P63">
        <v>5</v>
      </c>
      <c r="Q63">
        <v>5</v>
      </c>
      <c r="R63">
        <v>4</v>
      </c>
      <c r="S63">
        <v>5</v>
      </c>
      <c r="T63">
        <v>5</v>
      </c>
      <c r="U63">
        <v>4</v>
      </c>
      <c r="V63">
        <v>5</v>
      </c>
      <c r="W63">
        <v>3</v>
      </c>
      <c r="X63">
        <v>4</v>
      </c>
      <c r="Y63">
        <v>5</v>
      </c>
      <c r="Z63">
        <v>5</v>
      </c>
      <c r="AA63">
        <v>4</v>
      </c>
      <c r="AB63">
        <v>5</v>
      </c>
      <c r="AC63">
        <v>5</v>
      </c>
      <c r="AD63">
        <v>4</v>
      </c>
      <c r="AE63">
        <v>5</v>
      </c>
      <c r="AF63">
        <v>3</v>
      </c>
      <c r="AG63">
        <v>5</v>
      </c>
      <c r="AH63">
        <v>5</v>
      </c>
      <c r="AI63">
        <v>4</v>
      </c>
      <c r="AJ63">
        <v>5</v>
      </c>
      <c r="AK63">
        <v>5</v>
      </c>
      <c r="AL63">
        <v>4</v>
      </c>
      <c r="AM63">
        <v>5</v>
      </c>
      <c r="AN63">
        <v>5</v>
      </c>
      <c r="AO63">
        <v>3</v>
      </c>
      <c r="AP63" t="str">
        <f>SUM(B63:AO63)</f>
        <v>0</v>
      </c>
    </row>
    <row r="64" spans="1:43">
      <c r="A64" t="s">
        <v>89</v>
      </c>
      <c r="B64">
        <v>5</v>
      </c>
      <c r="C64">
        <v>5</v>
      </c>
      <c r="D64">
        <v>5</v>
      </c>
      <c r="E64">
        <v>3</v>
      </c>
      <c r="F64">
        <v>4</v>
      </c>
      <c r="G64">
        <v>4</v>
      </c>
      <c r="H64">
        <v>5</v>
      </c>
      <c r="I64">
        <v>4</v>
      </c>
      <c r="J64">
        <v>4</v>
      </c>
      <c r="K64">
        <v>4</v>
      </c>
      <c r="L64">
        <v>3</v>
      </c>
      <c r="M64">
        <v>5</v>
      </c>
      <c r="N64">
        <v>5</v>
      </c>
      <c r="O64">
        <v>3</v>
      </c>
      <c r="P64">
        <v>5</v>
      </c>
      <c r="Q64">
        <v>3</v>
      </c>
      <c r="R64">
        <v>5</v>
      </c>
      <c r="S64">
        <v>4</v>
      </c>
      <c r="T64">
        <v>4</v>
      </c>
      <c r="U64">
        <v>5</v>
      </c>
      <c r="V64">
        <v>4</v>
      </c>
      <c r="W64">
        <v>4</v>
      </c>
      <c r="X64">
        <v>5</v>
      </c>
      <c r="Y64">
        <v>5</v>
      </c>
      <c r="Z64">
        <v>4</v>
      </c>
      <c r="AA64">
        <v>5</v>
      </c>
      <c r="AB64">
        <v>4</v>
      </c>
      <c r="AC64">
        <v>5</v>
      </c>
      <c r="AD64">
        <v>5</v>
      </c>
      <c r="AE64">
        <v>4</v>
      </c>
      <c r="AF64">
        <v>4</v>
      </c>
      <c r="AG64">
        <v>5</v>
      </c>
      <c r="AH64">
        <v>3</v>
      </c>
      <c r="AI64">
        <v>3</v>
      </c>
      <c r="AJ64">
        <v>5</v>
      </c>
      <c r="AK64">
        <v>4</v>
      </c>
      <c r="AL64">
        <v>5</v>
      </c>
      <c r="AM64">
        <v>4</v>
      </c>
      <c r="AN64">
        <v>3</v>
      </c>
      <c r="AO64">
        <v>5</v>
      </c>
      <c r="AP64" t="str">
        <f>SUM(B64:AO64)</f>
        <v>0</v>
      </c>
    </row>
    <row r="65" spans="1:43">
      <c r="A65" t="s">
        <v>90</v>
      </c>
      <c r="B65">
        <v>2</v>
      </c>
      <c r="C65">
        <v>2</v>
      </c>
      <c r="D65">
        <v>2</v>
      </c>
      <c r="E65">
        <v>2</v>
      </c>
      <c r="F65">
        <v>2</v>
      </c>
      <c r="G65">
        <v>2</v>
      </c>
      <c r="H65">
        <v>2</v>
      </c>
      <c r="I65">
        <v>2</v>
      </c>
      <c r="J65">
        <v>2</v>
      </c>
      <c r="K65">
        <v>2</v>
      </c>
      <c r="L65">
        <v>1</v>
      </c>
      <c r="M65">
        <v>2</v>
      </c>
      <c r="N65">
        <v>2</v>
      </c>
      <c r="O65">
        <v>2</v>
      </c>
      <c r="P65">
        <v>2</v>
      </c>
      <c r="Q65">
        <v>2</v>
      </c>
      <c r="R65">
        <v>2</v>
      </c>
      <c r="S65">
        <v>2</v>
      </c>
      <c r="T65">
        <v>1</v>
      </c>
      <c r="U65">
        <v>2</v>
      </c>
      <c r="V65">
        <v>2</v>
      </c>
      <c r="W65">
        <v>1</v>
      </c>
      <c r="X65">
        <v>2</v>
      </c>
      <c r="Y65">
        <v>2</v>
      </c>
      <c r="Z65">
        <v>2</v>
      </c>
      <c r="AA65">
        <v>2</v>
      </c>
      <c r="AB65">
        <v>2</v>
      </c>
      <c r="AC65">
        <v>2</v>
      </c>
      <c r="AD65">
        <v>2</v>
      </c>
      <c r="AE65">
        <v>2</v>
      </c>
      <c r="AF65">
        <v>2</v>
      </c>
      <c r="AG65">
        <v>2</v>
      </c>
      <c r="AH65">
        <v>2</v>
      </c>
      <c r="AI65">
        <v>2</v>
      </c>
      <c r="AJ65">
        <v>2</v>
      </c>
      <c r="AK65">
        <v>2</v>
      </c>
      <c r="AL65">
        <v>2</v>
      </c>
      <c r="AM65">
        <v>2</v>
      </c>
      <c r="AN65">
        <v>2</v>
      </c>
      <c r="AO65">
        <v>2</v>
      </c>
      <c r="AP65" t="str">
        <f>SUM(B65:AO65)</f>
        <v>0</v>
      </c>
    </row>
    <row r="66" spans="1:43">
      <c r="A66" t="s">
        <v>91</v>
      </c>
      <c r="B66">
        <v>5</v>
      </c>
      <c r="C66">
        <v>5</v>
      </c>
      <c r="D66">
        <v>4</v>
      </c>
      <c r="E66">
        <v>5</v>
      </c>
      <c r="F66">
        <v>3</v>
      </c>
      <c r="G66">
        <v>5</v>
      </c>
      <c r="H66">
        <v>3</v>
      </c>
      <c r="I66">
        <v>3</v>
      </c>
      <c r="J66">
        <v>4</v>
      </c>
      <c r="K66">
        <v>5</v>
      </c>
      <c r="L66">
        <v>4</v>
      </c>
      <c r="M66">
        <v>4</v>
      </c>
      <c r="N66">
        <v>3</v>
      </c>
      <c r="O66">
        <v>3</v>
      </c>
      <c r="P66">
        <v>5</v>
      </c>
      <c r="Q66">
        <v>3</v>
      </c>
      <c r="R66">
        <v>5</v>
      </c>
      <c r="S66">
        <v>5</v>
      </c>
      <c r="T66">
        <v>4</v>
      </c>
      <c r="U66">
        <v>5</v>
      </c>
      <c r="V66">
        <v>4</v>
      </c>
      <c r="W66">
        <v>3</v>
      </c>
      <c r="X66">
        <v>5</v>
      </c>
      <c r="Y66">
        <v>5</v>
      </c>
      <c r="Z66">
        <v>5</v>
      </c>
      <c r="AA66">
        <v>4</v>
      </c>
      <c r="AB66">
        <v>5</v>
      </c>
      <c r="AC66">
        <v>3</v>
      </c>
      <c r="AD66">
        <v>4</v>
      </c>
      <c r="AE66">
        <v>4</v>
      </c>
      <c r="AF66">
        <v>5</v>
      </c>
      <c r="AG66">
        <v>5</v>
      </c>
      <c r="AH66">
        <v>5</v>
      </c>
      <c r="AI66">
        <v>5</v>
      </c>
      <c r="AJ66">
        <v>3</v>
      </c>
      <c r="AK66">
        <v>3</v>
      </c>
      <c r="AL66">
        <v>5</v>
      </c>
      <c r="AM66">
        <v>4</v>
      </c>
      <c r="AN66">
        <v>5</v>
      </c>
      <c r="AO66">
        <v>3</v>
      </c>
      <c r="AP66" t="str">
        <f>SUM(B66:AO66)</f>
        <v>0</v>
      </c>
    </row>
    <row r="67" spans="1:43">
      <c r="A67" t="s">
        <v>92</v>
      </c>
      <c r="B67">
        <v>4</v>
      </c>
      <c r="C67">
        <v>4</v>
      </c>
      <c r="D67">
        <v>4</v>
      </c>
      <c r="E67">
        <v>5</v>
      </c>
      <c r="F67">
        <v>5</v>
      </c>
      <c r="G67">
        <v>4</v>
      </c>
      <c r="H67">
        <v>4</v>
      </c>
      <c r="I67">
        <v>4</v>
      </c>
      <c r="J67">
        <v>5</v>
      </c>
      <c r="K67">
        <v>3</v>
      </c>
      <c r="L67">
        <v>4</v>
      </c>
      <c r="M67">
        <v>3</v>
      </c>
      <c r="N67">
        <v>5</v>
      </c>
      <c r="O67">
        <v>5</v>
      </c>
      <c r="P67">
        <v>4</v>
      </c>
      <c r="Q67">
        <v>3</v>
      </c>
      <c r="R67">
        <v>4</v>
      </c>
      <c r="S67">
        <v>5</v>
      </c>
      <c r="T67">
        <v>5</v>
      </c>
      <c r="U67">
        <v>5</v>
      </c>
      <c r="V67">
        <v>3</v>
      </c>
      <c r="W67">
        <v>5</v>
      </c>
      <c r="X67">
        <v>3</v>
      </c>
      <c r="Y67">
        <v>4</v>
      </c>
      <c r="Z67">
        <v>5</v>
      </c>
      <c r="AA67">
        <v>4</v>
      </c>
      <c r="AB67">
        <v>3</v>
      </c>
      <c r="AC67">
        <v>4</v>
      </c>
      <c r="AD67">
        <v>3</v>
      </c>
      <c r="AE67">
        <v>5</v>
      </c>
      <c r="AF67">
        <v>4</v>
      </c>
      <c r="AG67">
        <v>5</v>
      </c>
      <c r="AH67">
        <v>5</v>
      </c>
      <c r="AI67">
        <v>3</v>
      </c>
      <c r="AJ67">
        <v>4</v>
      </c>
      <c r="AK67">
        <v>5</v>
      </c>
      <c r="AL67">
        <v>5</v>
      </c>
      <c r="AM67">
        <v>5</v>
      </c>
      <c r="AN67">
        <v>4</v>
      </c>
      <c r="AO67">
        <v>5</v>
      </c>
      <c r="AP67" t="str">
        <f>SUM(B67:AO67)</f>
        <v>0</v>
      </c>
    </row>
    <row r="68" spans="1:43">
      <c r="A68" t="s">
        <v>93</v>
      </c>
      <c r="B68">
        <v>3</v>
      </c>
      <c r="C68">
        <v>3</v>
      </c>
      <c r="D68">
        <v>5</v>
      </c>
      <c r="E68">
        <v>3</v>
      </c>
      <c r="F68">
        <v>3</v>
      </c>
      <c r="G68">
        <v>4</v>
      </c>
      <c r="H68">
        <v>4</v>
      </c>
      <c r="I68">
        <v>5</v>
      </c>
      <c r="J68">
        <v>3</v>
      </c>
      <c r="K68">
        <v>5</v>
      </c>
      <c r="L68">
        <v>3</v>
      </c>
      <c r="M68">
        <v>5</v>
      </c>
      <c r="N68">
        <v>5</v>
      </c>
      <c r="O68">
        <v>5</v>
      </c>
      <c r="P68">
        <v>4</v>
      </c>
      <c r="Q68">
        <v>3</v>
      </c>
      <c r="R68">
        <v>3</v>
      </c>
      <c r="S68">
        <v>5</v>
      </c>
      <c r="T68">
        <v>3</v>
      </c>
      <c r="U68">
        <v>4</v>
      </c>
      <c r="V68">
        <v>5</v>
      </c>
      <c r="W68">
        <v>4</v>
      </c>
      <c r="X68">
        <v>5</v>
      </c>
      <c r="Y68">
        <v>5</v>
      </c>
      <c r="Z68">
        <v>5</v>
      </c>
      <c r="AA68">
        <v>4</v>
      </c>
      <c r="AB68">
        <v>4</v>
      </c>
      <c r="AC68">
        <v>3</v>
      </c>
      <c r="AD68">
        <v>5</v>
      </c>
      <c r="AE68">
        <v>5</v>
      </c>
      <c r="AF68">
        <v>4</v>
      </c>
      <c r="AG68">
        <v>5</v>
      </c>
      <c r="AH68">
        <v>3</v>
      </c>
      <c r="AI68">
        <v>5</v>
      </c>
      <c r="AJ68">
        <v>4</v>
      </c>
      <c r="AK68">
        <v>5</v>
      </c>
      <c r="AL68">
        <v>3</v>
      </c>
      <c r="AM68">
        <v>3</v>
      </c>
      <c r="AN68">
        <v>4</v>
      </c>
      <c r="AO68">
        <v>3</v>
      </c>
      <c r="AP68" t="str">
        <f>SUM(B68:AO68)</f>
        <v>0</v>
      </c>
    </row>
    <row r="69" spans="1:43">
      <c r="A69" t="s">
        <v>94</v>
      </c>
      <c r="B69">
        <v>1</v>
      </c>
      <c r="C69">
        <v>1</v>
      </c>
      <c r="D69">
        <v>1</v>
      </c>
      <c r="E69">
        <v>1</v>
      </c>
      <c r="F69">
        <v>1</v>
      </c>
      <c r="G69">
        <v>2</v>
      </c>
      <c r="H69">
        <v>1</v>
      </c>
      <c r="I69">
        <v>1</v>
      </c>
      <c r="J69">
        <v>1</v>
      </c>
      <c r="K69">
        <v>1</v>
      </c>
      <c r="L69">
        <v>1</v>
      </c>
      <c r="M69">
        <v>1</v>
      </c>
      <c r="N69">
        <v>1</v>
      </c>
      <c r="O69">
        <v>1</v>
      </c>
      <c r="P69">
        <v>1</v>
      </c>
      <c r="Q69">
        <v>1</v>
      </c>
      <c r="R69">
        <v>2</v>
      </c>
      <c r="S69">
        <v>1</v>
      </c>
      <c r="T69">
        <v>1</v>
      </c>
      <c r="U69">
        <v>2</v>
      </c>
      <c r="V69">
        <v>1</v>
      </c>
      <c r="W69">
        <v>1</v>
      </c>
      <c r="X69">
        <v>1</v>
      </c>
      <c r="Y69">
        <v>1</v>
      </c>
      <c r="Z69">
        <v>1</v>
      </c>
      <c r="AA69">
        <v>1</v>
      </c>
      <c r="AB69">
        <v>1</v>
      </c>
      <c r="AC69">
        <v>2</v>
      </c>
      <c r="AD69">
        <v>1</v>
      </c>
      <c r="AE69">
        <v>1</v>
      </c>
      <c r="AF69">
        <v>1</v>
      </c>
      <c r="AG69">
        <v>2</v>
      </c>
      <c r="AH69">
        <v>1</v>
      </c>
      <c r="AI69">
        <v>1</v>
      </c>
      <c r="AJ69">
        <v>1</v>
      </c>
      <c r="AK69">
        <v>1</v>
      </c>
      <c r="AL69">
        <v>2</v>
      </c>
      <c r="AM69">
        <v>1</v>
      </c>
      <c r="AN69">
        <v>2</v>
      </c>
      <c r="AO69">
        <v>2</v>
      </c>
      <c r="AP69" t="str">
        <f>SUM(B69:AO69)</f>
        <v>0</v>
      </c>
    </row>
    <row r="70" spans="1:43">
      <c r="A70" t="s">
        <v>95</v>
      </c>
      <c r="B70">
        <v>2</v>
      </c>
      <c r="C70">
        <v>1</v>
      </c>
      <c r="D70">
        <v>2</v>
      </c>
      <c r="E70">
        <v>2</v>
      </c>
      <c r="F70">
        <v>2</v>
      </c>
      <c r="G70">
        <v>1</v>
      </c>
      <c r="H70">
        <v>1</v>
      </c>
      <c r="I70">
        <v>2</v>
      </c>
      <c r="J70">
        <v>1</v>
      </c>
      <c r="K70">
        <v>1</v>
      </c>
      <c r="L70">
        <v>1</v>
      </c>
      <c r="M70">
        <v>1</v>
      </c>
      <c r="N70">
        <v>2</v>
      </c>
      <c r="O70">
        <v>2</v>
      </c>
      <c r="P70">
        <v>1</v>
      </c>
      <c r="Q70">
        <v>2</v>
      </c>
      <c r="R70">
        <v>2</v>
      </c>
      <c r="S70">
        <v>2</v>
      </c>
      <c r="T70">
        <v>2</v>
      </c>
      <c r="U70">
        <v>2</v>
      </c>
      <c r="V70">
        <v>2</v>
      </c>
      <c r="W70">
        <v>2</v>
      </c>
      <c r="X70">
        <v>2</v>
      </c>
      <c r="Y70">
        <v>2</v>
      </c>
      <c r="Z70">
        <v>1</v>
      </c>
      <c r="AA70">
        <v>2</v>
      </c>
      <c r="AB70">
        <v>2</v>
      </c>
      <c r="AC70">
        <v>2</v>
      </c>
      <c r="AD70">
        <v>2</v>
      </c>
      <c r="AE70">
        <v>1</v>
      </c>
      <c r="AF70">
        <v>2</v>
      </c>
      <c r="AG70">
        <v>2</v>
      </c>
      <c r="AH70">
        <v>2</v>
      </c>
      <c r="AI70">
        <v>2</v>
      </c>
      <c r="AJ70">
        <v>1</v>
      </c>
      <c r="AK70">
        <v>1</v>
      </c>
      <c r="AL70">
        <v>1</v>
      </c>
      <c r="AM70">
        <v>1</v>
      </c>
      <c r="AN70">
        <v>2</v>
      </c>
      <c r="AO70">
        <v>2</v>
      </c>
      <c r="AP70" t="str">
        <f>SUM(B70:AO70)</f>
        <v>0</v>
      </c>
    </row>
    <row r="71" spans="1:43">
      <c r="A71" t="s">
        <v>96</v>
      </c>
      <c r="B71">
        <v>2</v>
      </c>
      <c r="C71">
        <v>2</v>
      </c>
      <c r="D71">
        <v>1</v>
      </c>
      <c r="E71">
        <v>2</v>
      </c>
      <c r="F71">
        <v>2</v>
      </c>
      <c r="G71">
        <v>2</v>
      </c>
      <c r="H71">
        <v>3</v>
      </c>
      <c r="I71">
        <v>2</v>
      </c>
      <c r="J71">
        <v>3</v>
      </c>
      <c r="K71">
        <v>2</v>
      </c>
      <c r="L71">
        <v>2</v>
      </c>
      <c r="M71">
        <v>2</v>
      </c>
      <c r="N71">
        <v>2</v>
      </c>
      <c r="O71">
        <v>1</v>
      </c>
      <c r="P71">
        <v>2</v>
      </c>
      <c r="Q71">
        <v>2</v>
      </c>
      <c r="R71">
        <v>2</v>
      </c>
      <c r="S71">
        <v>2</v>
      </c>
      <c r="T71">
        <v>2</v>
      </c>
      <c r="U71">
        <v>2</v>
      </c>
      <c r="V71">
        <v>2</v>
      </c>
      <c r="W71">
        <v>3</v>
      </c>
      <c r="X71">
        <v>3</v>
      </c>
      <c r="Y71">
        <v>2</v>
      </c>
      <c r="Z71">
        <v>2</v>
      </c>
      <c r="AA71">
        <v>2</v>
      </c>
      <c r="AB71">
        <v>2</v>
      </c>
      <c r="AC71">
        <v>2</v>
      </c>
      <c r="AD71">
        <v>2</v>
      </c>
      <c r="AE71">
        <v>2</v>
      </c>
      <c r="AF71">
        <v>2</v>
      </c>
      <c r="AG71">
        <v>2</v>
      </c>
      <c r="AH71">
        <v>2</v>
      </c>
      <c r="AI71">
        <v>2</v>
      </c>
      <c r="AJ71">
        <v>2</v>
      </c>
      <c r="AK71">
        <v>2</v>
      </c>
      <c r="AL71">
        <v>2</v>
      </c>
      <c r="AM71">
        <v>3</v>
      </c>
      <c r="AN71">
        <v>2</v>
      </c>
      <c r="AO71">
        <v>1</v>
      </c>
      <c r="AP71" t="str">
        <f>SUM(B71:AO71)</f>
        <v>0</v>
      </c>
    </row>
    <row r="72" spans="1:43">
      <c r="A72" t="s">
        <v>97</v>
      </c>
      <c r="B72">
        <v>4</v>
      </c>
      <c r="C72">
        <v>4</v>
      </c>
      <c r="D72">
        <v>3</v>
      </c>
      <c r="E72">
        <v>3</v>
      </c>
      <c r="F72">
        <v>3</v>
      </c>
      <c r="G72">
        <v>4</v>
      </c>
      <c r="H72">
        <v>3</v>
      </c>
      <c r="I72">
        <v>3</v>
      </c>
      <c r="J72">
        <v>4</v>
      </c>
      <c r="K72">
        <v>4</v>
      </c>
      <c r="L72">
        <v>5</v>
      </c>
      <c r="M72">
        <v>4</v>
      </c>
      <c r="N72">
        <v>4</v>
      </c>
      <c r="O72">
        <v>5</v>
      </c>
      <c r="P72">
        <v>3</v>
      </c>
      <c r="Q72">
        <v>3</v>
      </c>
      <c r="R72">
        <v>5</v>
      </c>
      <c r="S72">
        <v>4</v>
      </c>
      <c r="T72">
        <v>5</v>
      </c>
      <c r="U72">
        <v>5</v>
      </c>
      <c r="V72">
        <v>4</v>
      </c>
      <c r="W72">
        <v>4</v>
      </c>
      <c r="X72">
        <v>3</v>
      </c>
      <c r="Y72">
        <v>4</v>
      </c>
      <c r="Z72">
        <v>3</v>
      </c>
      <c r="AA72">
        <v>4</v>
      </c>
      <c r="AB72">
        <v>4</v>
      </c>
      <c r="AC72">
        <v>3</v>
      </c>
      <c r="AD72">
        <v>4</v>
      </c>
      <c r="AE72">
        <v>3</v>
      </c>
      <c r="AF72">
        <v>4</v>
      </c>
      <c r="AG72">
        <v>5</v>
      </c>
      <c r="AH72">
        <v>5</v>
      </c>
      <c r="AI72">
        <v>5</v>
      </c>
      <c r="AJ72">
        <v>3</v>
      </c>
      <c r="AK72">
        <v>4</v>
      </c>
      <c r="AL72">
        <v>3</v>
      </c>
      <c r="AM72">
        <v>3</v>
      </c>
      <c r="AN72">
        <v>4</v>
      </c>
      <c r="AO72">
        <v>4</v>
      </c>
      <c r="AP72" t="str">
        <f>SUM(B72:AO72)</f>
        <v>0</v>
      </c>
    </row>
    <row r="73" spans="1:43">
      <c r="A73" t="s">
        <v>98</v>
      </c>
      <c r="B73">
        <v>3</v>
      </c>
      <c r="C73">
        <v>3</v>
      </c>
      <c r="D73">
        <v>3</v>
      </c>
      <c r="E73">
        <v>3</v>
      </c>
      <c r="F73">
        <v>3</v>
      </c>
      <c r="G73">
        <v>5</v>
      </c>
      <c r="H73">
        <v>5</v>
      </c>
      <c r="I73">
        <v>4</v>
      </c>
      <c r="J73">
        <v>5</v>
      </c>
      <c r="K73">
        <v>5</v>
      </c>
      <c r="L73">
        <v>3</v>
      </c>
      <c r="M73">
        <v>3</v>
      </c>
      <c r="N73">
        <v>4</v>
      </c>
      <c r="O73">
        <v>4</v>
      </c>
      <c r="P73">
        <v>5</v>
      </c>
      <c r="Q73">
        <v>5</v>
      </c>
      <c r="R73">
        <v>4</v>
      </c>
      <c r="S73">
        <v>4</v>
      </c>
      <c r="T73">
        <v>3</v>
      </c>
      <c r="U73">
        <v>3</v>
      </c>
      <c r="V73">
        <v>4</v>
      </c>
      <c r="W73">
        <v>5</v>
      </c>
      <c r="X73">
        <v>4</v>
      </c>
      <c r="Y73">
        <v>3</v>
      </c>
      <c r="Z73">
        <v>3</v>
      </c>
      <c r="AA73">
        <v>4</v>
      </c>
      <c r="AB73">
        <v>5</v>
      </c>
      <c r="AC73">
        <v>4</v>
      </c>
      <c r="AD73">
        <v>5</v>
      </c>
      <c r="AE73">
        <v>4</v>
      </c>
      <c r="AF73">
        <v>5</v>
      </c>
      <c r="AG73">
        <v>4</v>
      </c>
      <c r="AH73">
        <v>4</v>
      </c>
      <c r="AI73">
        <v>5</v>
      </c>
      <c r="AJ73">
        <v>4</v>
      </c>
      <c r="AK73">
        <v>5</v>
      </c>
      <c r="AL73">
        <v>5</v>
      </c>
      <c r="AM73">
        <v>3</v>
      </c>
      <c r="AN73">
        <v>3</v>
      </c>
      <c r="AO73">
        <v>4</v>
      </c>
      <c r="AP73" t="str">
        <f>SUM(B73:AO73)</f>
        <v>0</v>
      </c>
    </row>
    <row r="74" spans="1:43">
      <c r="A74" t="s">
        <v>99</v>
      </c>
      <c r="B74">
        <v>4</v>
      </c>
      <c r="C74">
        <v>3</v>
      </c>
      <c r="D74">
        <v>5</v>
      </c>
      <c r="E74">
        <v>3</v>
      </c>
      <c r="F74">
        <v>4</v>
      </c>
      <c r="G74">
        <v>5</v>
      </c>
      <c r="H74">
        <v>3</v>
      </c>
      <c r="I74">
        <v>5</v>
      </c>
      <c r="J74">
        <v>4</v>
      </c>
      <c r="K74">
        <v>3</v>
      </c>
      <c r="L74">
        <v>4</v>
      </c>
      <c r="M74">
        <v>5</v>
      </c>
      <c r="N74">
        <v>5</v>
      </c>
      <c r="O74">
        <v>4</v>
      </c>
      <c r="P74">
        <v>4</v>
      </c>
      <c r="Q74">
        <v>5</v>
      </c>
      <c r="R74">
        <v>5</v>
      </c>
      <c r="S74">
        <v>5</v>
      </c>
      <c r="T74">
        <v>3</v>
      </c>
      <c r="U74">
        <v>5</v>
      </c>
      <c r="V74">
        <v>5</v>
      </c>
      <c r="W74">
        <v>5</v>
      </c>
      <c r="X74">
        <v>4</v>
      </c>
      <c r="Y74">
        <v>5</v>
      </c>
      <c r="Z74">
        <v>5</v>
      </c>
      <c r="AA74">
        <v>5</v>
      </c>
      <c r="AB74">
        <v>5</v>
      </c>
      <c r="AC74">
        <v>5</v>
      </c>
      <c r="AD74">
        <v>4</v>
      </c>
      <c r="AE74">
        <v>3</v>
      </c>
      <c r="AF74">
        <v>4</v>
      </c>
      <c r="AG74">
        <v>5</v>
      </c>
      <c r="AH74">
        <v>5</v>
      </c>
      <c r="AI74">
        <v>4</v>
      </c>
      <c r="AJ74">
        <v>3</v>
      </c>
      <c r="AK74">
        <v>5</v>
      </c>
      <c r="AL74">
        <v>4</v>
      </c>
      <c r="AM74">
        <v>5</v>
      </c>
      <c r="AN74">
        <v>3</v>
      </c>
      <c r="AO74">
        <v>4</v>
      </c>
      <c r="AP74" t="str">
        <f>SUM(B74:AO74)</f>
        <v>0</v>
      </c>
    </row>
    <row r="75" spans="1:43">
      <c r="A75" t="s">
        <v>100</v>
      </c>
      <c r="B75">
        <v>3</v>
      </c>
      <c r="C75">
        <v>4</v>
      </c>
      <c r="D75">
        <v>4</v>
      </c>
      <c r="E75">
        <v>4</v>
      </c>
      <c r="F75">
        <v>5</v>
      </c>
      <c r="G75">
        <v>3</v>
      </c>
      <c r="H75">
        <v>4</v>
      </c>
      <c r="I75">
        <v>4</v>
      </c>
      <c r="J75">
        <v>3</v>
      </c>
      <c r="K75">
        <v>3</v>
      </c>
      <c r="L75">
        <v>4</v>
      </c>
      <c r="M75">
        <v>3</v>
      </c>
      <c r="N75">
        <v>3</v>
      </c>
      <c r="O75">
        <v>4</v>
      </c>
      <c r="P75">
        <v>5</v>
      </c>
      <c r="Q75">
        <v>5</v>
      </c>
      <c r="R75">
        <v>4</v>
      </c>
      <c r="S75">
        <v>3</v>
      </c>
      <c r="T75">
        <v>3</v>
      </c>
      <c r="U75">
        <v>4</v>
      </c>
      <c r="V75">
        <v>4</v>
      </c>
      <c r="W75">
        <v>4</v>
      </c>
      <c r="X75">
        <v>4</v>
      </c>
      <c r="Y75">
        <v>4</v>
      </c>
      <c r="Z75">
        <v>3</v>
      </c>
      <c r="AA75">
        <v>5</v>
      </c>
      <c r="AB75">
        <v>4</v>
      </c>
      <c r="AC75">
        <v>4</v>
      </c>
      <c r="AD75">
        <v>5</v>
      </c>
      <c r="AE75">
        <v>4</v>
      </c>
      <c r="AF75">
        <v>4</v>
      </c>
      <c r="AG75">
        <v>5</v>
      </c>
      <c r="AH75">
        <v>4</v>
      </c>
      <c r="AI75">
        <v>3</v>
      </c>
      <c r="AJ75">
        <v>4</v>
      </c>
      <c r="AK75">
        <v>4</v>
      </c>
      <c r="AL75">
        <v>4</v>
      </c>
      <c r="AM75">
        <v>3</v>
      </c>
      <c r="AN75">
        <v>3</v>
      </c>
      <c r="AO75">
        <v>4</v>
      </c>
      <c r="AP75" t="str">
        <f>SUM(B75:AO75)</f>
        <v>0</v>
      </c>
    </row>
    <row r="76" spans="1:43">
      <c r="A76" t="s">
        <v>101</v>
      </c>
      <c r="B76">
        <v>2</v>
      </c>
      <c r="C76">
        <v>3</v>
      </c>
      <c r="D76">
        <v>3</v>
      </c>
      <c r="E76">
        <v>3</v>
      </c>
      <c r="F76">
        <v>2</v>
      </c>
      <c r="G76">
        <v>3</v>
      </c>
      <c r="H76">
        <v>3</v>
      </c>
      <c r="I76">
        <v>2</v>
      </c>
      <c r="J76">
        <v>2</v>
      </c>
      <c r="K76">
        <v>2</v>
      </c>
      <c r="L76">
        <v>3</v>
      </c>
      <c r="M76">
        <v>3</v>
      </c>
      <c r="N76">
        <v>2</v>
      </c>
      <c r="O76">
        <v>2</v>
      </c>
      <c r="P76">
        <v>2</v>
      </c>
      <c r="Q76">
        <v>2</v>
      </c>
      <c r="R76">
        <v>3</v>
      </c>
      <c r="S76">
        <v>2</v>
      </c>
      <c r="T76">
        <v>2</v>
      </c>
      <c r="U76">
        <v>2</v>
      </c>
      <c r="V76">
        <v>2</v>
      </c>
      <c r="W76">
        <v>3</v>
      </c>
      <c r="X76">
        <v>2</v>
      </c>
      <c r="Y76">
        <v>2</v>
      </c>
      <c r="Z76">
        <v>2</v>
      </c>
      <c r="AA76">
        <v>2</v>
      </c>
      <c r="AB76">
        <v>3</v>
      </c>
      <c r="AC76">
        <v>2</v>
      </c>
      <c r="AD76">
        <v>2</v>
      </c>
      <c r="AE76">
        <v>2</v>
      </c>
      <c r="AF76">
        <v>1</v>
      </c>
      <c r="AG76">
        <v>2</v>
      </c>
      <c r="AH76">
        <v>2</v>
      </c>
      <c r="AI76">
        <v>2</v>
      </c>
      <c r="AJ76">
        <v>3</v>
      </c>
      <c r="AK76">
        <v>2</v>
      </c>
      <c r="AL76">
        <v>2</v>
      </c>
      <c r="AM76">
        <v>2</v>
      </c>
      <c r="AN76">
        <v>2</v>
      </c>
      <c r="AO76">
        <v>2</v>
      </c>
      <c r="AP76" t="str">
        <f>SUM(B76:AO76)</f>
        <v>0</v>
      </c>
    </row>
    <row r="77" spans="1:43">
      <c r="A77" t="s">
        <v>102</v>
      </c>
      <c r="B77">
        <v>5</v>
      </c>
      <c r="C77">
        <v>4</v>
      </c>
      <c r="D77">
        <v>4</v>
      </c>
      <c r="E77">
        <v>5</v>
      </c>
      <c r="F77">
        <v>5</v>
      </c>
      <c r="G77">
        <v>3</v>
      </c>
      <c r="H77">
        <v>4</v>
      </c>
      <c r="I77">
        <v>5</v>
      </c>
      <c r="J77">
        <v>4</v>
      </c>
      <c r="K77">
        <v>5</v>
      </c>
      <c r="L77">
        <v>5</v>
      </c>
      <c r="M77">
        <v>4</v>
      </c>
      <c r="N77">
        <v>4</v>
      </c>
      <c r="O77">
        <v>5</v>
      </c>
      <c r="P77">
        <v>5</v>
      </c>
      <c r="Q77">
        <v>5</v>
      </c>
      <c r="R77">
        <v>4</v>
      </c>
      <c r="S77">
        <v>4</v>
      </c>
      <c r="T77">
        <v>5</v>
      </c>
      <c r="U77">
        <v>4</v>
      </c>
      <c r="V77">
        <v>4</v>
      </c>
      <c r="W77">
        <v>5</v>
      </c>
      <c r="X77">
        <v>5</v>
      </c>
      <c r="Y77">
        <v>3</v>
      </c>
      <c r="Z77">
        <v>4</v>
      </c>
      <c r="AA77">
        <v>4</v>
      </c>
      <c r="AB77">
        <v>4</v>
      </c>
      <c r="AC77">
        <v>4</v>
      </c>
      <c r="AD77">
        <v>5</v>
      </c>
      <c r="AE77">
        <v>5</v>
      </c>
      <c r="AF77">
        <v>4</v>
      </c>
      <c r="AG77">
        <v>5</v>
      </c>
      <c r="AH77">
        <v>5</v>
      </c>
      <c r="AI77">
        <v>4</v>
      </c>
      <c r="AJ77">
        <v>5</v>
      </c>
      <c r="AK77">
        <v>4</v>
      </c>
      <c r="AL77">
        <v>5</v>
      </c>
      <c r="AM77">
        <v>5</v>
      </c>
      <c r="AN77">
        <v>5</v>
      </c>
      <c r="AO77">
        <v>4</v>
      </c>
      <c r="AP77" t="str">
        <f>SUM(B77:AO77)</f>
        <v>0</v>
      </c>
    </row>
    <row r="78" spans="1:43">
      <c r="A78" t="s">
        <v>103</v>
      </c>
      <c r="B78">
        <v>3</v>
      </c>
      <c r="C78">
        <v>3</v>
      </c>
      <c r="D78">
        <v>5</v>
      </c>
      <c r="E78">
        <v>3</v>
      </c>
      <c r="F78">
        <v>4</v>
      </c>
      <c r="G78">
        <v>5</v>
      </c>
      <c r="H78">
        <v>4</v>
      </c>
      <c r="I78">
        <v>3</v>
      </c>
      <c r="J78">
        <v>4</v>
      </c>
      <c r="K78">
        <v>3</v>
      </c>
      <c r="L78">
        <v>4</v>
      </c>
      <c r="M78">
        <v>3</v>
      </c>
      <c r="N78">
        <v>5</v>
      </c>
      <c r="O78">
        <v>5</v>
      </c>
      <c r="P78">
        <v>3</v>
      </c>
      <c r="Q78">
        <v>4</v>
      </c>
      <c r="R78">
        <v>3</v>
      </c>
      <c r="S78">
        <v>4</v>
      </c>
      <c r="T78">
        <v>3</v>
      </c>
      <c r="U78">
        <v>4</v>
      </c>
      <c r="V78">
        <v>4</v>
      </c>
      <c r="W78">
        <v>4</v>
      </c>
      <c r="X78">
        <v>3</v>
      </c>
      <c r="Y78">
        <v>4</v>
      </c>
      <c r="Z78">
        <v>4</v>
      </c>
      <c r="AA78">
        <v>4</v>
      </c>
      <c r="AB78">
        <v>3</v>
      </c>
      <c r="AC78">
        <v>5</v>
      </c>
      <c r="AD78">
        <v>4</v>
      </c>
      <c r="AE78">
        <v>4</v>
      </c>
      <c r="AF78">
        <v>3</v>
      </c>
      <c r="AG78">
        <v>4</v>
      </c>
      <c r="AH78">
        <v>4</v>
      </c>
      <c r="AI78">
        <v>3</v>
      </c>
      <c r="AJ78">
        <v>3</v>
      </c>
      <c r="AK78">
        <v>4</v>
      </c>
      <c r="AL78">
        <v>4</v>
      </c>
      <c r="AM78">
        <v>4</v>
      </c>
      <c r="AN78">
        <v>3</v>
      </c>
      <c r="AO78">
        <v>4</v>
      </c>
      <c r="AP78" t="str">
        <f>SUM(B78:AO78)</f>
        <v>0</v>
      </c>
    </row>
    <row r="79" spans="1:43">
      <c r="A79" t="s">
        <v>104</v>
      </c>
      <c r="B79">
        <v>2</v>
      </c>
      <c r="C79">
        <v>2</v>
      </c>
      <c r="D79">
        <v>2</v>
      </c>
      <c r="E79">
        <v>2</v>
      </c>
      <c r="F79">
        <v>2</v>
      </c>
      <c r="G79">
        <v>2</v>
      </c>
      <c r="H79">
        <v>3</v>
      </c>
      <c r="I79">
        <v>2</v>
      </c>
      <c r="J79">
        <v>2</v>
      </c>
      <c r="K79">
        <v>2</v>
      </c>
      <c r="L79">
        <v>1</v>
      </c>
      <c r="M79">
        <v>2</v>
      </c>
      <c r="N79">
        <v>2</v>
      </c>
      <c r="O79">
        <v>2</v>
      </c>
      <c r="P79">
        <v>2</v>
      </c>
      <c r="Q79">
        <v>2</v>
      </c>
      <c r="R79">
        <v>2</v>
      </c>
      <c r="S79">
        <v>1</v>
      </c>
      <c r="T79">
        <v>2</v>
      </c>
      <c r="U79">
        <v>3</v>
      </c>
      <c r="V79">
        <v>2</v>
      </c>
      <c r="W79">
        <v>2</v>
      </c>
      <c r="X79">
        <v>3</v>
      </c>
      <c r="Y79">
        <v>2</v>
      </c>
      <c r="Z79">
        <v>2</v>
      </c>
      <c r="AA79">
        <v>2</v>
      </c>
      <c r="AB79">
        <v>2</v>
      </c>
      <c r="AC79">
        <v>2</v>
      </c>
      <c r="AD79">
        <v>2</v>
      </c>
      <c r="AE79">
        <v>2</v>
      </c>
      <c r="AF79">
        <v>2</v>
      </c>
      <c r="AG79">
        <v>3</v>
      </c>
      <c r="AH79">
        <v>2</v>
      </c>
      <c r="AI79">
        <v>2</v>
      </c>
      <c r="AJ79">
        <v>2</v>
      </c>
      <c r="AK79">
        <v>2</v>
      </c>
      <c r="AL79">
        <v>2</v>
      </c>
      <c r="AM79">
        <v>2</v>
      </c>
      <c r="AN79">
        <v>2</v>
      </c>
      <c r="AO79">
        <v>1</v>
      </c>
      <c r="AP79" t="str">
        <f>SUM(B79:AO79)</f>
        <v>0</v>
      </c>
    </row>
    <row r="80" spans="1:43">
      <c r="A80" t="s">
        <v>105</v>
      </c>
      <c r="B80">
        <v>3</v>
      </c>
      <c r="C80">
        <v>5</v>
      </c>
      <c r="D80">
        <v>4</v>
      </c>
      <c r="E80">
        <v>4</v>
      </c>
      <c r="F80">
        <v>4</v>
      </c>
      <c r="G80">
        <v>5</v>
      </c>
      <c r="H80">
        <v>4</v>
      </c>
      <c r="I80">
        <v>5</v>
      </c>
      <c r="J80">
        <v>5</v>
      </c>
      <c r="K80">
        <v>4</v>
      </c>
      <c r="L80">
        <v>5</v>
      </c>
      <c r="M80">
        <v>5</v>
      </c>
      <c r="N80">
        <v>4</v>
      </c>
      <c r="O80">
        <v>5</v>
      </c>
      <c r="P80">
        <v>4</v>
      </c>
      <c r="Q80">
        <v>5</v>
      </c>
      <c r="R80">
        <v>5</v>
      </c>
      <c r="S80">
        <v>5</v>
      </c>
      <c r="T80">
        <v>4</v>
      </c>
      <c r="U80">
        <v>5</v>
      </c>
      <c r="V80">
        <v>4</v>
      </c>
      <c r="W80">
        <v>3</v>
      </c>
      <c r="X80">
        <v>5</v>
      </c>
      <c r="Y80">
        <v>5</v>
      </c>
      <c r="Z80">
        <v>3</v>
      </c>
      <c r="AA80">
        <v>5</v>
      </c>
      <c r="AB80">
        <v>3</v>
      </c>
      <c r="AC80">
        <v>5</v>
      </c>
      <c r="AD80">
        <v>5</v>
      </c>
      <c r="AE80">
        <v>4</v>
      </c>
      <c r="AF80">
        <v>5</v>
      </c>
      <c r="AG80">
        <v>3</v>
      </c>
      <c r="AH80">
        <v>5</v>
      </c>
      <c r="AI80">
        <v>3</v>
      </c>
      <c r="AJ80">
        <v>4</v>
      </c>
      <c r="AK80">
        <v>5</v>
      </c>
      <c r="AL80">
        <v>5</v>
      </c>
      <c r="AM80">
        <v>5</v>
      </c>
      <c r="AN80">
        <v>3</v>
      </c>
      <c r="AO80">
        <v>5</v>
      </c>
      <c r="AP80" t="str">
        <f>SUM(B80:AO80)</f>
        <v>0</v>
      </c>
    </row>
    <row r="81" spans="1:43">
      <c r="A81" t="s">
        <v>106</v>
      </c>
      <c r="B81">
        <v>5</v>
      </c>
      <c r="C81">
        <v>4</v>
      </c>
      <c r="D81">
        <v>4</v>
      </c>
      <c r="E81">
        <v>3</v>
      </c>
      <c r="F81">
        <v>5</v>
      </c>
      <c r="G81">
        <v>4</v>
      </c>
      <c r="H81">
        <v>5</v>
      </c>
      <c r="I81">
        <v>5</v>
      </c>
      <c r="J81">
        <v>4</v>
      </c>
      <c r="K81">
        <v>4</v>
      </c>
      <c r="L81">
        <v>5</v>
      </c>
      <c r="M81">
        <v>5</v>
      </c>
      <c r="N81">
        <v>5</v>
      </c>
      <c r="O81">
        <v>5</v>
      </c>
      <c r="P81">
        <v>5</v>
      </c>
      <c r="Q81">
        <v>5</v>
      </c>
      <c r="R81">
        <v>4</v>
      </c>
      <c r="S81">
        <v>4</v>
      </c>
      <c r="T81">
        <v>4</v>
      </c>
      <c r="U81">
        <v>5</v>
      </c>
      <c r="V81">
        <v>5</v>
      </c>
      <c r="W81">
        <v>4</v>
      </c>
      <c r="X81">
        <v>4</v>
      </c>
      <c r="Y81">
        <v>5</v>
      </c>
      <c r="Z81">
        <v>5</v>
      </c>
      <c r="AA81">
        <v>3</v>
      </c>
      <c r="AB81">
        <v>4</v>
      </c>
      <c r="AC81">
        <v>5</v>
      </c>
      <c r="AD81">
        <v>5</v>
      </c>
      <c r="AE81">
        <v>5</v>
      </c>
      <c r="AF81">
        <v>4</v>
      </c>
      <c r="AG81">
        <v>5</v>
      </c>
      <c r="AH81">
        <v>5</v>
      </c>
      <c r="AI81">
        <v>4</v>
      </c>
      <c r="AJ81">
        <v>5</v>
      </c>
      <c r="AK81">
        <v>4</v>
      </c>
      <c r="AL81">
        <v>5</v>
      </c>
      <c r="AM81">
        <v>5</v>
      </c>
      <c r="AN81">
        <v>5</v>
      </c>
      <c r="AO81">
        <v>5</v>
      </c>
      <c r="AP81" t="str">
        <f>SUM(B81:AO81)</f>
        <v>0</v>
      </c>
    </row>
    <row r="82" spans="1:43">
      <c r="A82" t="s">
        <v>107</v>
      </c>
      <c r="B82">
        <v>2</v>
      </c>
      <c r="C82">
        <v>2</v>
      </c>
      <c r="D82">
        <v>2</v>
      </c>
      <c r="E82">
        <v>1</v>
      </c>
      <c r="F82">
        <v>2</v>
      </c>
      <c r="G82">
        <v>2</v>
      </c>
      <c r="H82">
        <v>2</v>
      </c>
      <c r="I82">
        <v>3</v>
      </c>
      <c r="J82">
        <v>3</v>
      </c>
      <c r="K82">
        <v>2</v>
      </c>
      <c r="L82">
        <v>2</v>
      </c>
      <c r="M82">
        <v>2</v>
      </c>
      <c r="N82">
        <v>2</v>
      </c>
      <c r="O82">
        <v>2</v>
      </c>
      <c r="P82">
        <v>2</v>
      </c>
      <c r="Q82">
        <v>1</v>
      </c>
      <c r="R82">
        <v>2</v>
      </c>
      <c r="S82">
        <v>3</v>
      </c>
      <c r="T82">
        <v>2</v>
      </c>
      <c r="U82">
        <v>2</v>
      </c>
      <c r="V82">
        <v>2</v>
      </c>
      <c r="W82">
        <v>1</v>
      </c>
      <c r="X82">
        <v>2</v>
      </c>
      <c r="Y82">
        <v>2</v>
      </c>
      <c r="Z82">
        <v>2</v>
      </c>
      <c r="AA82">
        <v>2</v>
      </c>
      <c r="AB82">
        <v>2</v>
      </c>
      <c r="AC82">
        <v>2</v>
      </c>
      <c r="AD82">
        <v>2</v>
      </c>
      <c r="AE82">
        <v>1</v>
      </c>
      <c r="AF82">
        <v>2</v>
      </c>
      <c r="AG82">
        <v>2</v>
      </c>
      <c r="AH82">
        <v>2</v>
      </c>
      <c r="AI82">
        <v>2</v>
      </c>
      <c r="AJ82">
        <v>2</v>
      </c>
      <c r="AK82">
        <v>2</v>
      </c>
      <c r="AL82">
        <v>1</v>
      </c>
      <c r="AM82">
        <v>3</v>
      </c>
      <c r="AN82">
        <v>2</v>
      </c>
      <c r="AO82">
        <v>3</v>
      </c>
      <c r="AP82" t="str">
        <f>SUM(B82:AO82)</f>
        <v>0</v>
      </c>
    </row>
    <row r="83" spans="1:43">
      <c r="A83" t="s">
        <v>108</v>
      </c>
      <c r="B83">
        <v>1</v>
      </c>
      <c r="C83">
        <v>2</v>
      </c>
      <c r="D83">
        <v>1</v>
      </c>
      <c r="E83">
        <v>1</v>
      </c>
      <c r="F83">
        <v>2</v>
      </c>
      <c r="G83">
        <v>2</v>
      </c>
      <c r="H83">
        <v>2</v>
      </c>
      <c r="I83">
        <v>2</v>
      </c>
      <c r="J83">
        <v>2</v>
      </c>
      <c r="K83">
        <v>2</v>
      </c>
      <c r="L83">
        <v>2</v>
      </c>
      <c r="M83">
        <v>1</v>
      </c>
      <c r="N83">
        <v>2</v>
      </c>
      <c r="O83">
        <v>2</v>
      </c>
      <c r="P83">
        <v>2</v>
      </c>
      <c r="Q83">
        <v>1</v>
      </c>
      <c r="R83">
        <v>2</v>
      </c>
      <c r="S83">
        <v>1</v>
      </c>
      <c r="T83">
        <v>2</v>
      </c>
      <c r="U83">
        <v>2</v>
      </c>
      <c r="V83">
        <v>1</v>
      </c>
      <c r="W83">
        <v>2</v>
      </c>
      <c r="X83">
        <v>2</v>
      </c>
      <c r="Y83">
        <v>2</v>
      </c>
      <c r="Z83">
        <v>1</v>
      </c>
      <c r="AA83">
        <v>2</v>
      </c>
      <c r="AB83">
        <v>1</v>
      </c>
      <c r="AC83">
        <v>2</v>
      </c>
      <c r="AD83">
        <v>1</v>
      </c>
      <c r="AE83">
        <v>2</v>
      </c>
      <c r="AF83">
        <v>2</v>
      </c>
      <c r="AG83">
        <v>1</v>
      </c>
      <c r="AH83">
        <v>2</v>
      </c>
      <c r="AI83">
        <v>2</v>
      </c>
      <c r="AJ83">
        <v>2</v>
      </c>
      <c r="AK83">
        <v>2</v>
      </c>
      <c r="AL83">
        <v>1</v>
      </c>
      <c r="AM83">
        <v>1</v>
      </c>
      <c r="AN83">
        <v>1</v>
      </c>
      <c r="AO83">
        <v>1</v>
      </c>
      <c r="AP83" t="str">
        <f>SUM(B83:AO83)</f>
        <v>0</v>
      </c>
    </row>
    <row r="84" spans="1:43">
      <c r="A84" t="s">
        <v>109</v>
      </c>
      <c r="B84">
        <v>4</v>
      </c>
      <c r="C84">
        <v>5</v>
      </c>
      <c r="D84">
        <v>5</v>
      </c>
      <c r="E84">
        <v>3</v>
      </c>
      <c r="F84">
        <v>5</v>
      </c>
      <c r="G84">
        <v>3</v>
      </c>
      <c r="H84">
        <v>3</v>
      </c>
      <c r="I84">
        <v>4</v>
      </c>
      <c r="J84">
        <v>4</v>
      </c>
      <c r="K84">
        <v>4</v>
      </c>
      <c r="L84">
        <v>4</v>
      </c>
      <c r="M84">
        <v>3</v>
      </c>
      <c r="N84">
        <v>4</v>
      </c>
      <c r="O84">
        <v>5</v>
      </c>
      <c r="P84">
        <v>5</v>
      </c>
      <c r="Q84">
        <v>5</v>
      </c>
      <c r="R84">
        <v>5</v>
      </c>
      <c r="S84">
        <v>4</v>
      </c>
      <c r="T84">
        <v>4</v>
      </c>
      <c r="U84">
        <v>5</v>
      </c>
      <c r="V84">
        <v>4</v>
      </c>
      <c r="W84">
        <v>4</v>
      </c>
      <c r="X84">
        <v>4</v>
      </c>
      <c r="Y84">
        <v>5</v>
      </c>
      <c r="Z84">
        <v>5</v>
      </c>
      <c r="AA84">
        <v>5</v>
      </c>
      <c r="AB84">
        <v>5</v>
      </c>
      <c r="AC84">
        <v>5</v>
      </c>
      <c r="AD84">
        <v>4</v>
      </c>
      <c r="AE84">
        <v>5</v>
      </c>
      <c r="AF84">
        <v>4</v>
      </c>
      <c r="AG84">
        <v>5</v>
      </c>
      <c r="AH84">
        <v>4</v>
      </c>
      <c r="AI84">
        <v>5</v>
      </c>
      <c r="AJ84">
        <v>4</v>
      </c>
      <c r="AK84">
        <v>4</v>
      </c>
      <c r="AL84">
        <v>4</v>
      </c>
      <c r="AM84">
        <v>5</v>
      </c>
      <c r="AN84">
        <v>4</v>
      </c>
      <c r="AO84">
        <v>5</v>
      </c>
      <c r="AP84" t="str">
        <f>SUM(B84:AO84)</f>
        <v>0</v>
      </c>
    </row>
    <row r="85" spans="1:43">
      <c r="A85" t="s">
        <v>110</v>
      </c>
      <c r="B85">
        <v>4</v>
      </c>
      <c r="C85">
        <v>3</v>
      </c>
      <c r="D85">
        <v>3</v>
      </c>
      <c r="E85">
        <v>4</v>
      </c>
      <c r="F85">
        <v>3</v>
      </c>
      <c r="G85">
        <v>4</v>
      </c>
      <c r="H85">
        <v>4</v>
      </c>
      <c r="I85">
        <v>4</v>
      </c>
      <c r="J85">
        <v>4</v>
      </c>
      <c r="K85">
        <v>4</v>
      </c>
      <c r="L85">
        <v>3</v>
      </c>
      <c r="M85">
        <v>4</v>
      </c>
      <c r="N85">
        <v>3</v>
      </c>
      <c r="O85">
        <v>4</v>
      </c>
      <c r="P85">
        <v>3</v>
      </c>
      <c r="Q85">
        <v>3</v>
      </c>
      <c r="R85">
        <v>3</v>
      </c>
      <c r="S85">
        <v>5</v>
      </c>
      <c r="T85">
        <v>4</v>
      </c>
      <c r="U85">
        <v>5</v>
      </c>
      <c r="V85">
        <v>3</v>
      </c>
      <c r="W85">
        <v>3</v>
      </c>
      <c r="X85">
        <v>5</v>
      </c>
      <c r="Y85">
        <v>4</v>
      </c>
      <c r="Z85">
        <v>3</v>
      </c>
      <c r="AA85">
        <v>4</v>
      </c>
      <c r="AB85">
        <v>4</v>
      </c>
      <c r="AC85">
        <v>4</v>
      </c>
      <c r="AD85">
        <v>4</v>
      </c>
      <c r="AE85">
        <v>5</v>
      </c>
      <c r="AF85">
        <v>4</v>
      </c>
      <c r="AG85">
        <v>4</v>
      </c>
      <c r="AH85">
        <v>3</v>
      </c>
      <c r="AI85">
        <v>3</v>
      </c>
      <c r="AJ85">
        <v>4</v>
      </c>
      <c r="AK85">
        <v>4</v>
      </c>
      <c r="AL85">
        <v>4</v>
      </c>
      <c r="AM85">
        <v>3</v>
      </c>
      <c r="AN85">
        <v>4</v>
      </c>
      <c r="AO85">
        <v>4</v>
      </c>
      <c r="AP85" t="str">
        <f>SUM(B85:AO85)</f>
        <v>0</v>
      </c>
    </row>
    <row r="86" spans="1:43">
      <c r="A86" t="s">
        <v>111</v>
      </c>
      <c r="B86">
        <v>4</v>
      </c>
      <c r="C86">
        <v>4</v>
      </c>
      <c r="D86">
        <v>5</v>
      </c>
      <c r="E86">
        <v>4</v>
      </c>
      <c r="F86">
        <v>5</v>
      </c>
      <c r="G86">
        <v>5</v>
      </c>
      <c r="H86">
        <v>4</v>
      </c>
      <c r="I86">
        <v>3</v>
      </c>
      <c r="J86">
        <v>4</v>
      </c>
      <c r="K86">
        <v>4</v>
      </c>
      <c r="L86">
        <v>5</v>
      </c>
      <c r="M86">
        <v>5</v>
      </c>
      <c r="N86">
        <v>5</v>
      </c>
      <c r="O86">
        <v>3</v>
      </c>
      <c r="P86">
        <v>5</v>
      </c>
      <c r="Q86">
        <v>4</v>
      </c>
      <c r="R86">
        <v>5</v>
      </c>
      <c r="S86">
        <v>4</v>
      </c>
      <c r="T86">
        <v>4</v>
      </c>
      <c r="U86">
        <v>4</v>
      </c>
      <c r="V86">
        <v>3</v>
      </c>
      <c r="W86">
        <v>5</v>
      </c>
      <c r="X86">
        <v>5</v>
      </c>
      <c r="Y86">
        <v>4</v>
      </c>
      <c r="Z86">
        <v>5</v>
      </c>
      <c r="AA86">
        <v>5</v>
      </c>
      <c r="AB86">
        <v>4</v>
      </c>
      <c r="AC86">
        <v>5</v>
      </c>
      <c r="AD86">
        <v>3</v>
      </c>
      <c r="AE86">
        <v>5</v>
      </c>
      <c r="AF86">
        <v>3</v>
      </c>
      <c r="AG86">
        <v>5</v>
      </c>
      <c r="AH86">
        <v>3</v>
      </c>
      <c r="AI86">
        <v>5</v>
      </c>
      <c r="AJ86">
        <v>4</v>
      </c>
      <c r="AK86">
        <v>4</v>
      </c>
      <c r="AL86">
        <v>5</v>
      </c>
      <c r="AM86">
        <v>5</v>
      </c>
      <c r="AN86">
        <v>4</v>
      </c>
      <c r="AO86">
        <v>5</v>
      </c>
      <c r="AP86" t="str">
        <f>SUM(B86:AO86)</f>
        <v>0</v>
      </c>
    </row>
    <row r="87" spans="1:43">
      <c r="A87" t="s">
        <v>112</v>
      </c>
      <c r="B87">
        <v>4</v>
      </c>
      <c r="C87">
        <v>4</v>
      </c>
      <c r="D87">
        <v>3</v>
      </c>
      <c r="E87">
        <v>3</v>
      </c>
      <c r="F87">
        <v>3</v>
      </c>
      <c r="G87">
        <v>3</v>
      </c>
      <c r="H87">
        <v>5</v>
      </c>
      <c r="I87">
        <v>4</v>
      </c>
      <c r="J87">
        <v>4</v>
      </c>
      <c r="K87">
        <v>4</v>
      </c>
      <c r="L87">
        <v>4</v>
      </c>
      <c r="M87">
        <v>4</v>
      </c>
      <c r="N87">
        <v>3</v>
      </c>
      <c r="O87">
        <v>3</v>
      </c>
      <c r="P87">
        <v>4</v>
      </c>
      <c r="Q87">
        <v>5</v>
      </c>
      <c r="R87">
        <v>3</v>
      </c>
      <c r="S87">
        <v>5</v>
      </c>
      <c r="T87">
        <v>3</v>
      </c>
      <c r="U87">
        <v>4</v>
      </c>
      <c r="V87">
        <v>5</v>
      </c>
      <c r="W87">
        <v>3</v>
      </c>
      <c r="X87">
        <v>3</v>
      </c>
      <c r="Y87">
        <v>3</v>
      </c>
      <c r="Z87">
        <v>5</v>
      </c>
      <c r="AA87">
        <v>4</v>
      </c>
      <c r="AB87">
        <v>4</v>
      </c>
      <c r="AC87">
        <v>4</v>
      </c>
      <c r="AD87">
        <v>4</v>
      </c>
      <c r="AE87">
        <v>4</v>
      </c>
      <c r="AF87">
        <v>5</v>
      </c>
      <c r="AG87">
        <v>5</v>
      </c>
      <c r="AH87">
        <v>3</v>
      </c>
      <c r="AI87">
        <v>3</v>
      </c>
      <c r="AJ87">
        <v>5</v>
      </c>
      <c r="AK87">
        <v>5</v>
      </c>
      <c r="AL87">
        <v>3</v>
      </c>
      <c r="AM87">
        <v>4</v>
      </c>
      <c r="AN87">
        <v>3</v>
      </c>
      <c r="AO87">
        <v>3</v>
      </c>
      <c r="AP87" t="str">
        <f>SUM(B87:AO87)</f>
        <v>0</v>
      </c>
    </row>
    <row r="88" spans="1:43">
      <c r="A88" t="s">
        <v>113</v>
      </c>
      <c r="B88">
        <v>1</v>
      </c>
      <c r="C88">
        <v>1</v>
      </c>
      <c r="D88">
        <v>1</v>
      </c>
      <c r="E88">
        <v>2</v>
      </c>
      <c r="F88">
        <v>1</v>
      </c>
      <c r="G88">
        <v>2</v>
      </c>
      <c r="H88">
        <v>1</v>
      </c>
      <c r="I88">
        <v>1</v>
      </c>
      <c r="J88">
        <v>1</v>
      </c>
      <c r="K88">
        <v>2</v>
      </c>
      <c r="L88">
        <v>2</v>
      </c>
      <c r="M88">
        <v>1</v>
      </c>
      <c r="N88">
        <v>1</v>
      </c>
      <c r="O88">
        <v>2</v>
      </c>
      <c r="P88">
        <v>1</v>
      </c>
      <c r="Q88">
        <v>1</v>
      </c>
      <c r="R88">
        <v>1</v>
      </c>
      <c r="S88">
        <v>2</v>
      </c>
      <c r="T88">
        <v>1</v>
      </c>
      <c r="U88">
        <v>1</v>
      </c>
      <c r="V88">
        <v>2</v>
      </c>
      <c r="W88">
        <v>1</v>
      </c>
      <c r="X88">
        <v>1</v>
      </c>
      <c r="Y88">
        <v>1</v>
      </c>
      <c r="Z88">
        <v>1</v>
      </c>
      <c r="AA88">
        <v>1</v>
      </c>
      <c r="AB88">
        <v>1</v>
      </c>
      <c r="AC88">
        <v>1</v>
      </c>
      <c r="AD88">
        <v>1</v>
      </c>
      <c r="AE88">
        <v>1</v>
      </c>
      <c r="AF88">
        <v>1</v>
      </c>
      <c r="AG88">
        <v>2</v>
      </c>
      <c r="AH88">
        <v>1</v>
      </c>
      <c r="AI88">
        <v>1</v>
      </c>
      <c r="AJ88">
        <v>1</v>
      </c>
      <c r="AK88">
        <v>2</v>
      </c>
      <c r="AL88">
        <v>1</v>
      </c>
      <c r="AM88">
        <v>1</v>
      </c>
      <c r="AN88">
        <v>1</v>
      </c>
      <c r="AO88">
        <v>1</v>
      </c>
      <c r="AP88" t="str">
        <f>SUM(B88:AO88)</f>
        <v>0</v>
      </c>
    </row>
    <row r="89" spans="1:43">
      <c r="A89" t="s">
        <v>114</v>
      </c>
      <c r="B89">
        <v>1</v>
      </c>
      <c r="C89">
        <v>1</v>
      </c>
      <c r="D89">
        <v>1</v>
      </c>
      <c r="E89">
        <v>1</v>
      </c>
      <c r="F89">
        <v>1</v>
      </c>
      <c r="G89">
        <v>1</v>
      </c>
      <c r="H89">
        <v>1</v>
      </c>
      <c r="I89">
        <v>1</v>
      </c>
      <c r="J89">
        <v>1</v>
      </c>
      <c r="K89">
        <v>1</v>
      </c>
      <c r="L89">
        <v>2</v>
      </c>
      <c r="M89">
        <v>1</v>
      </c>
      <c r="N89">
        <v>2</v>
      </c>
      <c r="O89">
        <v>2</v>
      </c>
      <c r="P89">
        <v>1</v>
      </c>
      <c r="Q89">
        <v>1</v>
      </c>
      <c r="R89">
        <v>1</v>
      </c>
      <c r="S89">
        <v>1</v>
      </c>
      <c r="T89">
        <v>2</v>
      </c>
      <c r="U89">
        <v>1</v>
      </c>
      <c r="V89">
        <v>1</v>
      </c>
      <c r="W89">
        <v>1</v>
      </c>
      <c r="X89">
        <v>1</v>
      </c>
      <c r="Y89">
        <v>1</v>
      </c>
      <c r="Z89">
        <v>1</v>
      </c>
      <c r="AA89">
        <v>1</v>
      </c>
      <c r="AB89">
        <v>1</v>
      </c>
      <c r="AC89">
        <v>1</v>
      </c>
      <c r="AD89">
        <v>1</v>
      </c>
      <c r="AE89">
        <v>1</v>
      </c>
      <c r="AF89">
        <v>1</v>
      </c>
      <c r="AG89">
        <v>1</v>
      </c>
      <c r="AH89">
        <v>1</v>
      </c>
      <c r="AI89">
        <v>1</v>
      </c>
      <c r="AJ89">
        <v>2</v>
      </c>
      <c r="AK89">
        <v>1</v>
      </c>
      <c r="AL89">
        <v>1</v>
      </c>
      <c r="AM89">
        <v>1</v>
      </c>
      <c r="AN89">
        <v>1</v>
      </c>
      <c r="AO89">
        <v>1</v>
      </c>
      <c r="AP89" t="str">
        <f>SUM(B89:AO89)</f>
        <v>0</v>
      </c>
    </row>
    <row r="90" spans="1:43">
      <c r="A90" t="s">
        <v>115</v>
      </c>
      <c r="B90">
        <v>2</v>
      </c>
      <c r="C90">
        <v>2</v>
      </c>
      <c r="D90">
        <v>1</v>
      </c>
      <c r="E90">
        <v>1</v>
      </c>
      <c r="F90">
        <v>2</v>
      </c>
      <c r="G90">
        <v>1</v>
      </c>
      <c r="H90">
        <v>2</v>
      </c>
      <c r="I90">
        <v>2</v>
      </c>
      <c r="J90">
        <v>2</v>
      </c>
      <c r="K90">
        <v>1</v>
      </c>
      <c r="L90">
        <v>1</v>
      </c>
      <c r="M90">
        <v>2</v>
      </c>
      <c r="N90">
        <v>1</v>
      </c>
      <c r="O90">
        <v>2</v>
      </c>
      <c r="P90">
        <v>2</v>
      </c>
      <c r="Q90">
        <v>2</v>
      </c>
      <c r="R90">
        <v>1</v>
      </c>
      <c r="S90">
        <v>2</v>
      </c>
      <c r="T90">
        <v>1</v>
      </c>
      <c r="U90">
        <v>2</v>
      </c>
      <c r="V90">
        <v>1</v>
      </c>
      <c r="W90">
        <v>2</v>
      </c>
      <c r="X90">
        <v>1</v>
      </c>
      <c r="Y90">
        <v>2</v>
      </c>
      <c r="Z90">
        <v>1</v>
      </c>
      <c r="AA90">
        <v>2</v>
      </c>
      <c r="AB90">
        <v>1</v>
      </c>
      <c r="AC90">
        <v>2</v>
      </c>
      <c r="AD90">
        <v>1</v>
      </c>
      <c r="AE90">
        <v>1</v>
      </c>
      <c r="AF90">
        <v>2</v>
      </c>
      <c r="AG90">
        <v>2</v>
      </c>
      <c r="AH90">
        <v>2</v>
      </c>
      <c r="AI90">
        <v>1</v>
      </c>
      <c r="AJ90">
        <v>1</v>
      </c>
      <c r="AK90">
        <v>2</v>
      </c>
      <c r="AL90">
        <v>1</v>
      </c>
      <c r="AM90">
        <v>1</v>
      </c>
      <c r="AN90">
        <v>1</v>
      </c>
      <c r="AO90">
        <v>2</v>
      </c>
      <c r="AP90" t="str">
        <f>SUM(B90:AO90)</f>
        <v>0</v>
      </c>
    </row>
    <row r="91" spans="1:43">
      <c r="A91" t="s">
        <v>116</v>
      </c>
      <c r="B91">
        <v>2</v>
      </c>
      <c r="C91">
        <v>1</v>
      </c>
      <c r="D91">
        <v>2</v>
      </c>
      <c r="E91">
        <v>2</v>
      </c>
      <c r="F91">
        <v>1</v>
      </c>
      <c r="G91">
        <v>2</v>
      </c>
      <c r="H91">
        <v>1</v>
      </c>
      <c r="I91">
        <v>2</v>
      </c>
      <c r="J91">
        <v>1</v>
      </c>
      <c r="K91">
        <v>1</v>
      </c>
      <c r="L91">
        <v>2</v>
      </c>
      <c r="M91">
        <v>1</v>
      </c>
      <c r="N91">
        <v>2</v>
      </c>
      <c r="O91">
        <v>1</v>
      </c>
      <c r="P91">
        <v>1</v>
      </c>
      <c r="Q91">
        <v>2</v>
      </c>
      <c r="R91">
        <v>1</v>
      </c>
      <c r="S91">
        <v>1</v>
      </c>
      <c r="T91">
        <v>2</v>
      </c>
      <c r="U91">
        <v>1</v>
      </c>
      <c r="V91">
        <v>2</v>
      </c>
      <c r="W91">
        <v>1</v>
      </c>
      <c r="X91">
        <v>2</v>
      </c>
      <c r="Y91">
        <v>1</v>
      </c>
      <c r="Z91">
        <v>2</v>
      </c>
      <c r="AA91">
        <v>1</v>
      </c>
      <c r="AB91">
        <v>1</v>
      </c>
      <c r="AC91">
        <v>1</v>
      </c>
      <c r="AD91">
        <v>2</v>
      </c>
      <c r="AE91">
        <v>2</v>
      </c>
      <c r="AF91">
        <v>1</v>
      </c>
      <c r="AG91">
        <v>2</v>
      </c>
      <c r="AH91">
        <v>1</v>
      </c>
      <c r="AI91">
        <v>2</v>
      </c>
      <c r="AJ91">
        <v>2</v>
      </c>
      <c r="AK91">
        <v>1</v>
      </c>
      <c r="AL91">
        <v>1</v>
      </c>
      <c r="AM91">
        <v>2</v>
      </c>
      <c r="AN91">
        <v>1</v>
      </c>
      <c r="AO91">
        <v>1</v>
      </c>
      <c r="AP91" t="str">
        <f>SUM(B91:AO91)</f>
        <v>0</v>
      </c>
    </row>
    <row r="92" spans="1:43">
      <c r="A92" t="s">
        <v>117</v>
      </c>
      <c r="B92">
        <v>4</v>
      </c>
      <c r="C92">
        <v>5</v>
      </c>
      <c r="D92">
        <v>4</v>
      </c>
      <c r="E92">
        <v>4</v>
      </c>
      <c r="F92">
        <v>5</v>
      </c>
      <c r="G92">
        <v>4</v>
      </c>
      <c r="H92">
        <v>5</v>
      </c>
      <c r="I92">
        <v>4</v>
      </c>
      <c r="J92">
        <v>4</v>
      </c>
      <c r="K92">
        <v>5</v>
      </c>
      <c r="L92">
        <v>4</v>
      </c>
      <c r="M92">
        <v>3</v>
      </c>
      <c r="N92">
        <v>4</v>
      </c>
      <c r="O92">
        <v>4</v>
      </c>
      <c r="P92">
        <v>3</v>
      </c>
      <c r="Q92">
        <v>4</v>
      </c>
      <c r="R92">
        <v>3</v>
      </c>
      <c r="S92">
        <v>3</v>
      </c>
      <c r="T92">
        <v>3</v>
      </c>
      <c r="U92">
        <v>4</v>
      </c>
      <c r="V92">
        <v>5</v>
      </c>
      <c r="W92">
        <v>3</v>
      </c>
      <c r="X92">
        <v>3</v>
      </c>
      <c r="Y92">
        <v>4</v>
      </c>
      <c r="Z92">
        <v>5</v>
      </c>
      <c r="AA92">
        <v>4</v>
      </c>
      <c r="AB92">
        <v>5</v>
      </c>
      <c r="AC92">
        <v>5</v>
      </c>
      <c r="AD92">
        <v>5</v>
      </c>
      <c r="AE92">
        <v>5</v>
      </c>
      <c r="AF92">
        <v>5</v>
      </c>
      <c r="AG92">
        <v>5</v>
      </c>
      <c r="AH92">
        <v>4</v>
      </c>
      <c r="AI92">
        <v>3</v>
      </c>
      <c r="AJ92">
        <v>3</v>
      </c>
      <c r="AK92">
        <v>3</v>
      </c>
      <c r="AL92">
        <v>3</v>
      </c>
      <c r="AM92">
        <v>4</v>
      </c>
      <c r="AN92">
        <v>4</v>
      </c>
      <c r="AO92">
        <v>3</v>
      </c>
      <c r="AP92" t="str">
        <f>SUM(B92:AO92)</f>
        <v>0</v>
      </c>
    </row>
    <row r="93" spans="1:43">
      <c r="A93" t="s">
        <v>118</v>
      </c>
      <c r="B93">
        <v>2</v>
      </c>
      <c r="C93">
        <v>2</v>
      </c>
      <c r="D93">
        <v>2</v>
      </c>
      <c r="E93">
        <v>1</v>
      </c>
      <c r="F93">
        <v>2</v>
      </c>
      <c r="G93">
        <v>2</v>
      </c>
      <c r="H93">
        <v>1</v>
      </c>
      <c r="I93">
        <v>2</v>
      </c>
      <c r="J93">
        <v>2</v>
      </c>
      <c r="K93">
        <v>2</v>
      </c>
      <c r="L93">
        <v>2</v>
      </c>
      <c r="M93">
        <v>1</v>
      </c>
      <c r="N93">
        <v>2</v>
      </c>
      <c r="O93">
        <v>2</v>
      </c>
      <c r="P93">
        <v>2</v>
      </c>
      <c r="Q93">
        <v>1</v>
      </c>
      <c r="R93">
        <v>1</v>
      </c>
      <c r="S93">
        <v>2</v>
      </c>
      <c r="T93">
        <v>2</v>
      </c>
      <c r="U93">
        <v>2</v>
      </c>
      <c r="V93">
        <v>2</v>
      </c>
      <c r="W93">
        <v>1</v>
      </c>
      <c r="X93">
        <v>1</v>
      </c>
      <c r="Y93">
        <v>1</v>
      </c>
      <c r="Z93">
        <v>2</v>
      </c>
      <c r="AA93">
        <v>2</v>
      </c>
      <c r="AB93">
        <v>2</v>
      </c>
      <c r="AC93">
        <v>2</v>
      </c>
      <c r="AD93">
        <v>2</v>
      </c>
      <c r="AE93">
        <v>2</v>
      </c>
      <c r="AF93">
        <v>2</v>
      </c>
      <c r="AG93">
        <v>2</v>
      </c>
      <c r="AH93">
        <v>1</v>
      </c>
      <c r="AI93">
        <v>2</v>
      </c>
      <c r="AJ93">
        <v>1</v>
      </c>
      <c r="AK93">
        <v>2</v>
      </c>
      <c r="AL93">
        <v>2</v>
      </c>
      <c r="AM93">
        <v>2</v>
      </c>
      <c r="AN93">
        <v>2</v>
      </c>
      <c r="AO93">
        <v>2</v>
      </c>
      <c r="AP93" t="str">
        <f>SUM(B93:AO93)</f>
        <v>0</v>
      </c>
    </row>
    <row r="94" spans="1:43">
      <c r="A94" t="s">
        <v>119</v>
      </c>
      <c r="B94">
        <v>2</v>
      </c>
      <c r="C94">
        <v>2</v>
      </c>
      <c r="D94">
        <v>2</v>
      </c>
      <c r="E94">
        <v>2</v>
      </c>
      <c r="F94">
        <v>2</v>
      </c>
      <c r="G94">
        <v>2</v>
      </c>
      <c r="H94">
        <v>2</v>
      </c>
      <c r="I94">
        <v>2</v>
      </c>
      <c r="J94">
        <v>2</v>
      </c>
      <c r="K94">
        <v>2</v>
      </c>
      <c r="L94">
        <v>2</v>
      </c>
      <c r="M94">
        <v>1</v>
      </c>
      <c r="N94">
        <v>2</v>
      </c>
      <c r="O94">
        <v>1</v>
      </c>
      <c r="P94">
        <v>2</v>
      </c>
      <c r="Q94">
        <v>2</v>
      </c>
      <c r="R94">
        <v>2</v>
      </c>
      <c r="S94">
        <v>2</v>
      </c>
      <c r="T94">
        <v>1</v>
      </c>
      <c r="U94">
        <v>2</v>
      </c>
      <c r="V94">
        <v>2</v>
      </c>
      <c r="W94">
        <v>2</v>
      </c>
      <c r="X94">
        <v>2</v>
      </c>
      <c r="Y94">
        <v>1</v>
      </c>
      <c r="Z94">
        <v>2</v>
      </c>
      <c r="AA94">
        <v>2</v>
      </c>
      <c r="AB94">
        <v>2</v>
      </c>
      <c r="AC94">
        <v>1</v>
      </c>
      <c r="AD94">
        <v>1</v>
      </c>
      <c r="AE94">
        <v>2</v>
      </c>
      <c r="AF94">
        <v>1</v>
      </c>
      <c r="AG94">
        <v>2</v>
      </c>
      <c r="AH94">
        <v>2</v>
      </c>
      <c r="AI94">
        <v>2</v>
      </c>
      <c r="AJ94">
        <v>1</v>
      </c>
      <c r="AK94">
        <v>2</v>
      </c>
      <c r="AL94">
        <v>2</v>
      </c>
      <c r="AM94">
        <v>2</v>
      </c>
      <c r="AN94">
        <v>2</v>
      </c>
      <c r="AO94">
        <v>2</v>
      </c>
      <c r="AP94" t="str">
        <f>SUM(B94:AO94)</f>
        <v>0</v>
      </c>
    </row>
    <row r="95" spans="1:43">
      <c r="A95" t="s">
        <v>120</v>
      </c>
      <c r="B95">
        <v>5</v>
      </c>
      <c r="C95">
        <v>4</v>
      </c>
      <c r="D95">
        <v>3</v>
      </c>
      <c r="E95">
        <v>5</v>
      </c>
      <c r="F95">
        <v>5</v>
      </c>
      <c r="G95">
        <v>5</v>
      </c>
      <c r="H95">
        <v>5</v>
      </c>
      <c r="I95">
        <v>5</v>
      </c>
      <c r="J95">
        <v>5</v>
      </c>
      <c r="K95">
        <v>4</v>
      </c>
      <c r="L95">
        <v>4</v>
      </c>
      <c r="M95">
        <v>3</v>
      </c>
      <c r="N95">
        <v>4</v>
      </c>
      <c r="O95">
        <v>4</v>
      </c>
      <c r="P95">
        <v>4</v>
      </c>
      <c r="Q95">
        <v>5</v>
      </c>
      <c r="R95">
        <v>3</v>
      </c>
      <c r="S95">
        <v>4</v>
      </c>
      <c r="T95">
        <v>4</v>
      </c>
      <c r="U95">
        <v>5</v>
      </c>
      <c r="V95">
        <v>4</v>
      </c>
      <c r="W95">
        <v>3</v>
      </c>
      <c r="X95">
        <v>4</v>
      </c>
      <c r="Y95">
        <v>4</v>
      </c>
      <c r="Z95">
        <v>3</v>
      </c>
      <c r="AA95">
        <v>4</v>
      </c>
      <c r="AB95">
        <v>5</v>
      </c>
      <c r="AC95">
        <v>4</v>
      </c>
      <c r="AD95">
        <v>4</v>
      </c>
      <c r="AE95">
        <v>4</v>
      </c>
      <c r="AF95">
        <v>5</v>
      </c>
      <c r="AG95">
        <v>5</v>
      </c>
      <c r="AH95">
        <v>4</v>
      </c>
      <c r="AI95">
        <v>5</v>
      </c>
      <c r="AJ95">
        <v>5</v>
      </c>
      <c r="AK95">
        <v>3</v>
      </c>
      <c r="AL95">
        <v>4</v>
      </c>
      <c r="AM95">
        <v>3</v>
      </c>
      <c r="AN95">
        <v>4</v>
      </c>
      <c r="AO95">
        <v>5</v>
      </c>
      <c r="AP95" t="str">
        <f>SUM(B95:AO95)</f>
        <v>0</v>
      </c>
    </row>
    <row r="96" spans="1:43">
      <c r="A96" t="s">
        <v>121</v>
      </c>
      <c r="B96">
        <v>5</v>
      </c>
      <c r="C96">
        <v>5</v>
      </c>
      <c r="D96">
        <v>3</v>
      </c>
      <c r="E96">
        <v>5</v>
      </c>
      <c r="F96">
        <v>3</v>
      </c>
      <c r="G96">
        <v>3</v>
      </c>
      <c r="H96">
        <v>4</v>
      </c>
      <c r="I96">
        <v>3</v>
      </c>
      <c r="J96">
        <v>3</v>
      </c>
      <c r="K96">
        <v>4</v>
      </c>
      <c r="L96">
        <v>4</v>
      </c>
      <c r="M96">
        <v>4</v>
      </c>
      <c r="N96">
        <v>5</v>
      </c>
      <c r="O96">
        <v>3</v>
      </c>
      <c r="P96">
        <v>4</v>
      </c>
      <c r="Q96">
        <v>4</v>
      </c>
      <c r="R96">
        <v>3</v>
      </c>
      <c r="S96">
        <v>4</v>
      </c>
      <c r="T96">
        <v>5</v>
      </c>
      <c r="U96">
        <v>4</v>
      </c>
      <c r="V96">
        <v>4</v>
      </c>
      <c r="W96">
        <v>4</v>
      </c>
      <c r="X96">
        <v>3</v>
      </c>
      <c r="Y96">
        <v>4</v>
      </c>
      <c r="Z96">
        <v>5</v>
      </c>
      <c r="AA96">
        <v>5</v>
      </c>
      <c r="AB96">
        <v>4</v>
      </c>
      <c r="AC96">
        <v>3</v>
      </c>
      <c r="AD96">
        <v>3</v>
      </c>
      <c r="AE96">
        <v>3</v>
      </c>
      <c r="AF96">
        <v>5</v>
      </c>
      <c r="AG96">
        <v>5</v>
      </c>
      <c r="AH96">
        <v>5</v>
      </c>
      <c r="AI96">
        <v>4</v>
      </c>
      <c r="AJ96">
        <v>4</v>
      </c>
      <c r="AK96">
        <v>4</v>
      </c>
      <c r="AL96">
        <v>3</v>
      </c>
      <c r="AM96">
        <v>5</v>
      </c>
      <c r="AN96">
        <v>4</v>
      </c>
      <c r="AO96">
        <v>5</v>
      </c>
      <c r="AP96" t="str">
        <f>SUM(B96:AO96)</f>
        <v>0</v>
      </c>
    </row>
    <row r="97" spans="1:43">
      <c r="A97" t="s">
        <v>122</v>
      </c>
      <c r="B97">
        <v>5</v>
      </c>
      <c r="C97">
        <v>5</v>
      </c>
      <c r="D97">
        <v>5</v>
      </c>
      <c r="E97">
        <v>5</v>
      </c>
      <c r="F97">
        <v>4</v>
      </c>
      <c r="G97">
        <v>5</v>
      </c>
      <c r="H97">
        <v>4</v>
      </c>
      <c r="I97">
        <v>5</v>
      </c>
      <c r="J97">
        <v>5</v>
      </c>
      <c r="K97">
        <v>4</v>
      </c>
      <c r="L97">
        <v>4</v>
      </c>
      <c r="M97">
        <v>4</v>
      </c>
      <c r="N97">
        <v>5</v>
      </c>
      <c r="O97">
        <v>4</v>
      </c>
      <c r="P97">
        <v>5</v>
      </c>
      <c r="Q97">
        <v>5</v>
      </c>
      <c r="R97">
        <v>5</v>
      </c>
      <c r="S97">
        <v>3</v>
      </c>
      <c r="T97">
        <v>4</v>
      </c>
      <c r="U97">
        <v>5</v>
      </c>
      <c r="V97">
        <v>5</v>
      </c>
      <c r="W97">
        <v>4</v>
      </c>
      <c r="X97">
        <v>4</v>
      </c>
      <c r="Y97">
        <v>5</v>
      </c>
      <c r="Z97">
        <v>4</v>
      </c>
      <c r="AA97">
        <v>4</v>
      </c>
      <c r="AB97">
        <v>5</v>
      </c>
      <c r="AC97">
        <v>5</v>
      </c>
      <c r="AD97">
        <v>5</v>
      </c>
      <c r="AE97">
        <v>4</v>
      </c>
      <c r="AF97">
        <v>5</v>
      </c>
      <c r="AG97">
        <v>5</v>
      </c>
      <c r="AH97">
        <v>5</v>
      </c>
      <c r="AI97">
        <v>5</v>
      </c>
      <c r="AJ97">
        <v>4</v>
      </c>
      <c r="AK97">
        <v>4</v>
      </c>
      <c r="AL97">
        <v>3</v>
      </c>
      <c r="AM97">
        <v>5</v>
      </c>
      <c r="AN97">
        <v>4</v>
      </c>
      <c r="AO97">
        <v>3</v>
      </c>
      <c r="AP97" t="str">
        <f>SUM(B97:AO97)</f>
        <v>0</v>
      </c>
    </row>
    <row r="98" spans="1:43">
      <c r="A98" t="s">
        <v>123</v>
      </c>
      <c r="B98">
        <v>5</v>
      </c>
      <c r="C98">
        <v>4</v>
      </c>
      <c r="D98">
        <v>4</v>
      </c>
      <c r="E98">
        <v>3</v>
      </c>
      <c r="F98">
        <v>5</v>
      </c>
      <c r="G98">
        <v>5</v>
      </c>
      <c r="H98">
        <v>3</v>
      </c>
      <c r="I98">
        <v>4</v>
      </c>
      <c r="J98">
        <v>3</v>
      </c>
      <c r="K98">
        <v>5</v>
      </c>
      <c r="L98">
        <v>5</v>
      </c>
      <c r="M98">
        <v>4</v>
      </c>
      <c r="N98">
        <v>4</v>
      </c>
      <c r="O98">
        <v>3</v>
      </c>
      <c r="P98">
        <v>4</v>
      </c>
      <c r="Q98">
        <v>4</v>
      </c>
      <c r="R98">
        <v>5</v>
      </c>
      <c r="S98">
        <v>4</v>
      </c>
      <c r="T98">
        <v>5</v>
      </c>
      <c r="U98">
        <v>4</v>
      </c>
      <c r="V98">
        <v>4</v>
      </c>
      <c r="W98">
        <v>4</v>
      </c>
      <c r="X98">
        <v>3</v>
      </c>
      <c r="Y98">
        <v>5</v>
      </c>
      <c r="Z98">
        <v>3</v>
      </c>
      <c r="AA98">
        <v>4</v>
      </c>
      <c r="AB98">
        <v>5</v>
      </c>
      <c r="AC98">
        <v>4</v>
      </c>
      <c r="AD98">
        <v>5</v>
      </c>
      <c r="AE98">
        <v>5</v>
      </c>
      <c r="AF98">
        <v>3</v>
      </c>
      <c r="AG98">
        <v>5</v>
      </c>
      <c r="AH98">
        <v>4</v>
      </c>
      <c r="AI98">
        <v>3</v>
      </c>
      <c r="AJ98">
        <v>4</v>
      </c>
      <c r="AK98">
        <v>4</v>
      </c>
      <c r="AL98">
        <v>3</v>
      </c>
      <c r="AM98">
        <v>4</v>
      </c>
      <c r="AN98">
        <v>5</v>
      </c>
      <c r="AO98">
        <v>4</v>
      </c>
      <c r="AP98" t="str">
        <f>SUM(B98:AO98)</f>
        <v>0</v>
      </c>
    </row>
    <row r="99" spans="1:43">
      <c r="A99" t="s">
        <v>124</v>
      </c>
      <c r="B99">
        <v>1</v>
      </c>
      <c r="C99">
        <v>1</v>
      </c>
      <c r="D99">
        <v>1</v>
      </c>
      <c r="E99">
        <v>1</v>
      </c>
      <c r="F99">
        <v>1</v>
      </c>
      <c r="G99">
        <v>1</v>
      </c>
      <c r="H99">
        <v>1</v>
      </c>
      <c r="I99">
        <v>1</v>
      </c>
      <c r="J99">
        <v>1</v>
      </c>
      <c r="K99">
        <v>1</v>
      </c>
      <c r="L99">
        <v>1</v>
      </c>
      <c r="M99">
        <v>1</v>
      </c>
      <c r="N99">
        <v>1</v>
      </c>
      <c r="O99">
        <v>1</v>
      </c>
      <c r="P99">
        <v>1</v>
      </c>
      <c r="Q99">
        <v>1</v>
      </c>
      <c r="R99">
        <v>1</v>
      </c>
      <c r="S99">
        <v>1</v>
      </c>
      <c r="T99">
        <v>1</v>
      </c>
      <c r="U99">
        <v>1</v>
      </c>
      <c r="V99">
        <v>1</v>
      </c>
      <c r="W99">
        <v>1</v>
      </c>
      <c r="X99">
        <v>1</v>
      </c>
      <c r="Y99">
        <v>1</v>
      </c>
      <c r="Z99">
        <v>1</v>
      </c>
      <c r="AA99">
        <v>1</v>
      </c>
      <c r="AB99">
        <v>1</v>
      </c>
      <c r="AC99">
        <v>1</v>
      </c>
      <c r="AD99">
        <v>1</v>
      </c>
      <c r="AE99">
        <v>1</v>
      </c>
      <c r="AF99">
        <v>1</v>
      </c>
      <c r="AG99">
        <v>1</v>
      </c>
      <c r="AH99">
        <v>1</v>
      </c>
      <c r="AI99">
        <v>1</v>
      </c>
      <c r="AJ99">
        <v>1</v>
      </c>
      <c r="AK99">
        <v>1</v>
      </c>
      <c r="AL99">
        <v>1</v>
      </c>
      <c r="AM99">
        <v>1</v>
      </c>
      <c r="AN99">
        <v>1</v>
      </c>
      <c r="AO99">
        <v>1</v>
      </c>
      <c r="AP99" t="str">
        <f>SUM(B99:AO99)</f>
        <v>0</v>
      </c>
    </row>
    <row r="100" spans="1:43">
      <c r="A100" t="s">
        <v>125</v>
      </c>
      <c r="B100">
        <v>4</v>
      </c>
      <c r="C100">
        <v>3</v>
      </c>
      <c r="D100">
        <v>4</v>
      </c>
      <c r="E100">
        <v>3</v>
      </c>
      <c r="F100">
        <v>4</v>
      </c>
      <c r="G100">
        <v>4</v>
      </c>
      <c r="H100">
        <v>4</v>
      </c>
      <c r="I100">
        <v>4</v>
      </c>
      <c r="J100">
        <v>4</v>
      </c>
      <c r="K100">
        <v>4</v>
      </c>
      <c r="L100">
        <v>2</v>
      </c>
      <c r="M100">
        <v>3</v>
      </c>
      <c r="N100">
        <v>4</v>
      </c>
      <c r="O100">
        <v>3</v>
      </c>
      <c r="P100">
        <v>4</v>
      </c>
      <c r="Q100">
        <v>4</v>
      </c>
      <c r="R100">
        <v>3</v>
      </c>
      <c r="S100">
        <v>2</v>
      </c>
      <c r="T100">
        <v>3</v>
      </c>
      <c r="U100">
        <v>4</v>
      </c>
      <c r="V100">
        <v>4</v>
      </c>
      <c r="W100">
        <v>4</v>
      </c>
      <c r="X100">
        <v>4</v>
      </c>
      <c r="Y100">
        <v>3</v>
      </c>
      <c r="Z100">
        <v>2</v>
      </c>
      <c r="AA100">
        <v>4</v>
      </c>
      <c r="AB100">
        <v>4</v>
      </c>
      <c r="AC100">
        <v>3</v>
      </c>
      <c r="AD100">
        <v>4</v>
      </c>
      <c r="AE100">
        <v>3</v>
      </c>
      <c r="AF100">
        <v>5</v>
      </c>
      <c r="AG100">
        <v>4</v>
      </c>
      <c r="AH100">
        <v>5</v>
      </c>
      <c r="AI100">
        <v>3</v>
      </c>
      <c r="AJ100">
        <v>5</v>
      </c>
      <c r="AK100">
        <v>4</v>
      </c>
      <c r="AL100">
        <v>4</v>
      </c>
      <c r="AM100">
        <v>4</v>
      </c>
      <c r="AN100">
        <v>5</v>
      </c>
      <c r="AO100">
        <v>3</v>
      </c>
      <c r="AP100" t="str">
        <f>SUM(B100:AO100)</f>
        <v>0</v>
      </c>
    </row>
    <row r="101" spans="1:43">
      <c r="A101" t="s">
        <v>126</v>
      </c>
      <c r="B101">
        <v>3</v>
      </c>
      <c r="C101">
        <v>2</v>
      </c>
      <c r="D101">
        <v>2</v>
      </c>
      <c r="E101">
        <v>3</v>
      </c>
      <c r="F101">
        <v>2</v>
      </c>
      <c r="G101">
        <v>2</v>
      </c>
      <c r="H101">
        <v>2</v>
      </c>
      <c r="I101">
        <v>3</v>
      </c>
      <c r="J101">
        <v>2</v>
      </c>
      <c r="K101">
        <v>2</v>
      </c>
      <c r="L101">
        <v>2</v>
      </c>
      <c r="M101">
        <v>2</v>
      </c>
      <c r="N101">
        <v>2</v>
      </c>
      <c r="O101">
        <v>3</v>
      </c>
      <c r="P101">
        <v>2</v>
      </c>
      <c r="Q101">
        <v>2</v>
      </c>
      <c r="R101">
        <v>3</v>
      </c>
      <c r="S101">
        <v>2</v>
      </c>
      <c r="T101">
        <v>2</v>
      </c>
      <c r="U101">
        <v>2</v>
      </c>
      <c r="V101">
        <v>2</v>
      </c>
      <c r="W101">
        <v>2</v>
      </c>
      <c r="X101">
        <v>3</v>
      </c>
      <c r="Y101">
        <v>2</v>
      </c>
      <c r="Z101">
        <v>2</v>
      </c>
      <c r="AA101">
        <v>3</v>
      </c>
      <c r="AB101">
        <v>2</v>
      </c>
      <c r="AC101">
        <v>3</v>
      </c>
      <c r="AD101">
        <v>3</v>
      </c>
      <c r="AE101">
        <v>2</v>
      </c>
      <c r="AF101">
        <v>2</v>
      </c>
      <c r="AG101">
        <v>2</v>
      </c>
      <c r="AH101">
        <v>2</v>
      </c>
      <c r="AI101">
        <v>3</v>
      </c>
      <c r="AJ101">
        <v>2</v>
      </c>
      <c r="AK101">
        <v>3</v>
      </c>
      <c r="AL101">
        <v>2</v>
      </c>
      <c r="AM101">
        <v>2</v>
      </c>
      <c r="AN101">
        <v>3</v>
      </c>
      <c r="AO101">
        <v>2</v>
      </c>
      <c r="AP101" t="str">
        <f>SUM(B101:AO101)</f>
        <v>0</v>
      </c>
    </row>
    <row r="102" spans="1:43">
      <c r="A102" t="s">
        <v>127</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c r="AF102">
        <v>1</v>
      </c>
      <c r="AG102">
        <v>1</v>
      </c>
      <c r="AH102">
        <v>1</v>
      </c>
      <c r="AI102">
        <v>1</v>
      </c>
      <c r="AJ102">
        <v>1</v>
      </c>
      <c r="AK102">
        <v>1</v>
      </c>
      <c r="AL102">
        <v>1</v>
      </c>
      <c r="AM102">
        <v>1</v>
      </c>
      <c r="AN102">
        <v>1</v>
      </c>
      <c r="AO102">
        <v>1</v>
      </c>
      <c r="AP102" t="str">
        <f>SUM(B102:AO102)</f>
        <v>0</v>
      </c>
    </row>
    <row r="103" spans="1:43">
      <c r="A103" t="s">
        <v>128</v>
      </c>
      <c r="B103">
        <v>5</v>
      </c>
      <c r="C103">
        <v>5</v>
      </c>
      <c r="D103">
        <v>4</v>
      </c>
      <c r="E103">
        <v>4</v>
      </c>
      <c r="F103">
        <v>5</v>
      </c>
      <c r="G103">
        <v>3</v>
      </c>
      <c r="H103">
        <v>5</v>
      </c>
      <c r="I103">
        <v>4</v>
      </c>
      <c r="J103">
        <v>4</v>
      </c>
      <c r="K103">
        <v>3</v>
      </c>
      <c r="L103">
        <v>4</v>
      </c>
      <c r="M103">
        <v>5</v>
      </c>
      <c r="N103">
        <v>5</v>
      </c>
      <c r="O103">
        <v>4</v>
      </c>
      <c r="P103">
        <v>4</v>
      </c>
      <c r="Q103">
        <v>5</v>
      </c>
      <c r="R103">
        <v>3</v>
      </c>
      <c r="S103">
        <v>5</v>
      </c>
      <c r="T103">
        <v>3</v>
      </c>
      <c r="U103">
        <v>5</v>
      </c>
      <c r="V103">
        <v>5</v>
      </c>
      <c r="W103">
        <v>4</v>
      </c>
      <c r="X103">
        <v>5</v>
      </c>
      <c r="Y103">
        <v>3</v>
      </c>
      <c r="Z103">
        <v>4</v>
      </c>
      <c r="AA103">
        <v>5</v>
      </c>
      <c r="AB103">
        <v>5</v>
      </c>
      <c r="AC103">
        <v>3</v>
      </c>
      <c r="AD103">
        <v>3</v>
      </c>
      <c r="AE103">
        <v>5</v>
      </c>
      <c r="AF103">
        <v>4</v>
      </c>
      <c r="AG103">
        <v>5</v>
      </c>
      <c r="AH103">
        <v>4</v>
      </c>
      <c r="AI103">
        <v>5</v>
      </c>
      <c r="AJ103">
        <v>5</v>
      </c>
      <c r="AK103">
        <v>5</v>
      </c>
      <c r="AL103">
        <v>4</v>
      </c>
      <c r="AM103">
        <v>5</v>
      </c>
      <c r="AN103">
        <v>5</v>
      </c>
      <c r="AO103">
        <v>5</v>
      </c>
      <c r="AP103" t="str">
        <f>SUM(B103:AO103)</f>
        <v>0</v>
      </c>
    </row>
    <row r="104" spans="1:43">
      <c r="A104" t="s">
        <v>129</v>
      </c>
      <c r="B104">
        <v>3</v>
      </c>
      <c r="C104">
        <v>3</v>
      </c>
      <c r="D104">
        <v>3</v>
      </c>
      <c r="E104">
        <v>2</v>
      </c>
      <c r="F104">
        <v>3</v>
      </c>
      <c r="G104">
        <v>3</v>
      </c>
      <c r="H104">
        <v>3</v>
      </c>
      <c r="I104">
        <v>3</v>
      </c>
      <c r="J104">
        <v>2</v>
      </c>
      <c r="K104">
        <v>2</v>
      </c>
      <c r="L104">
        <v>2</v>
      </c>
      <c r="M104">
        <v>2</v>
      </c>
      <c r="N104">
        <v>3</v>
      </c>
      <c r="O104">
        <v>3</v>
      </c>
      <c r="P104">
        <v>2</v>
      </c>
      <c r="Q104">
        <v>2</v>
      </c>
      <c r="R104">
        <v>2</v>
      </c>
      <c r="S104">
        <v>2</v>
      </c>
      <c r="T104">
        <v>2</v>
      </c>
      <c r="U104">
        <v>2</v>
      </c>
      <c r="V104">
        <v>3</v>
      </c>
      <c r="W104">
        <v>2</v>
      </c>
      <c r="X104">
        <v>2</v>
      </c>
      <c r="Y104">
        <v>4</v>
      </c>
      <c r="Z104">
        <v>3</v>
      </c>
      <c r="AA104">
        <v>2</v>
      </c>
      <c r="AB104">
        <v>3</v>
      </c>
      <c r="AC104">
        <v>3</v>
      </c>
      <c r="AD104">
        <v>3</v>
      </c>
      <c r="AE104">
        <v>4</v>
      </c>
      <c r="AF104">
        <v>3</v>
      </c>
      <c r="AG104">
        <v>2</v>
      </c>
      <c r="AH104">
        <v>3</v>
      </c>
      <c r="AI104">
        <v>2</v>
      </c>
      <c r="AJ104">
        <v>3</v>
      </c>
      <c r="AK104">
        <v>2</v>
      </c>
      <c r="AL104">
        <v>3</v>
      </c>
      <c r="AM104">
        <v>2</v>
      </c>
      <c r="AN104">
        <v>3</v>
      </c>
      <c r="AO104">
        <v>3</v>
      </c>
      <c r="AP104" t="str">
        <f>SUM(B104:AO104)</f>
        <v>0</v>
      </c>
    </row>
    <row r="105" spans="1:43">
      <c r="A105" t="s">
        <v>130</v>
      </c>
      <c r="B105">
        <v>2</v>
      </c>
      <c r="C105">
        <v>2</v>
      </c>
      <c r="D105">
        <v>2</v>
      </c>
      <c r="E105">
        <v>1</v>
      </c>
      <c r="F105">
        <v>2</v>
      </c>
      <c r="G105">
        <v>1</v>
      </c>
      <c r="H105">
        <v>2</v>
      </c>
      <c r="I105">
        <v>2</v>
      </c>
      <c r="J105">
        <v>2</v>
      </c>
      <c r="K105">
        <v>2</v>
      </c>
      <c r="L105">
        <v>2</v>
      </c>
      <c r="M105">
        <v>1</v>
      </c>
      <c r="N105">
        <v>2</v>
      </c>
      <c r="O105">
        <v>2</v>
      </c>
      <c r="P105">
        <v>2</v>
      </c>
      <c r="Q105">
        <v>2</v>
      </c>
      <c r="R105">
        <v>2</v>
      </c>
      <c r="S105">
        <v>1</v>
      </c>
      <c r="T105">
        <v>2</v>
      </c>
      <c r="U105">
        <v>1</v>
      </c>
      <c r="V105">
        <v>2</v>
      </c>
      <c r="W105">
        <v>2</v>
      </c>
      <c r="X105">
        <v>1</v>
      </c>
      <c r="Y105">
        <v>1</v>
      </c>
      <c r="Z105">
        <v>2</v>
      </c>
      <c r="AA105">
        <v>1</v>
      </c>
      <c r="AB105">
        <v>2</v>
      </c>
      <c r="AC105">
        <v>2</v>
      </c>
      <c r="AD105">
        <v>2</v>
      </c>
      <c r="AE105">
        <v>2</v>
      </c>
      <c r="AF105">
        <v>2</v>
      </c>
      <c r="AG105">
        <v>2</v>
      </c>
      <c r="AH105">
        <v>2</v>
      </c>
      <c r="AI105">
        <v>1</v>
      </c>
      <c r="AJ105">
        <v>2</v>
      </c>
      <c r="AK105">
        <v>2</v>
      </c>
      <c r="AL105">
        <v>1</v>
      </c>
      <c r="AM105">
        <v>2</v>
      </c>
      <c r="AN105">
        <v>2</v>
      </c>
      <c r="AO105">
        <v>1</v>
      </c>
      <c r="AP105" t="str">
        <f>SUM(B105:AO105)</f>
        <v>0</v>
      </c>
    </row>
    <row r="106" spans="1:43">
      <c r="A106" t="s">
        <v>131</v>
      </c>
      <c r="B106">
        <v>2</v>
      </c>
      <c r="C106">
        <v>4</v>
      </c>
      <c r="D106">
        <v>3</v>
      </c>
      <c r="E106">
        <v>4</v>
      </c>
      <c r="F106">
        <v>3</v>
      </c>
      <c r="G106">
        <v>4</v>
      </c>
      <c r="H106">
        <v>3</v>
      </c>
      <c r="I106">
        <v>4</v>
      </c>
      <c r="J106">
        <v>3</v>
      </c>
      <c r="K106">
        <v>3</v>
      </c>
      <c r="L106">
        <v>3</v>
      </c>
      <c r="M106">
        <v>4</v>
      </c>
      <c r="N106">
        <v>3</v>
      </c>
      <c r="O106">
        <v>4</v>
      </c>
      <c r="P106">
        <v>4</v>
      </c>
      <c r="Q106">
        <v>3</v>
      </c>
      <c r="R106">
        <v>3</v>
      </c>
      <c r="S106">
        <v>4</v>
      </c>
      <c r="T106">
        <v>3</v>
      </c>
      <c r="U106">
        <v>3</v>
      </c>
      <c r="V106">
        <v>3</v>
      </c>
      <c r="W106">
        <v>3</v>
      </c>
      <c r="X106">
        <v>4</v>
      </c>
      <c r="Y106">
        <v>3</v>
      </c>
      <c r="Z106">
        <v>4</v>
      </c>
      <c r="AA106">
        <v>4</v>
      </c>
      <c r="AB106">
        <v>3</v>
      </c>
      <c r="AC106">
        <v>3</v>
      </c>
      <c r="AD106">
        <v>4</v>
      </c>
      <c r="AE106">
        <v>4</v>
      </c>
      <c r="AF106">
        <v>4</v>
      </c>
      <c r="AG106">
        <v>4</v>
      </c>
      <c r="AH106">
        <v>4</v>
      </c>
      <c r="AI106">
        <v>4</v>
      </c>
      <c r="AJ106">
        <v>3</v>
      </c>
      <c r="AK106">
        <v>4</v>
      </c>
      <c r="AL106">
        <v>4</v>
      </c>
      <c r="AM106">
        <v>4</v>
      </c>
      <c r="AN106">
        <v>4</v>
      </c>
      <c r="AO106">
        <v>3</v>
      </c>
      <c r="AP106" t="str">
        <f>SUM(B106:AO106)</f>
        <v>0</v>
      </c>
    </row>
    <row r="107" spans="1:43">
      <c r="A107" t="s">
        <v>132</v>
      </c>
      <c r="B107">
        <v>3</v>
      </c>
      <c r="C107">
        <v>4</v>
      </c>
      <c r="D107">
        <v>4</v>
      </c>
      <c r="E107">
        <v>3</v>
      </c>
      <c r="F107">
        <v>3</v>
      </c>
      <c r="G107">
        <v>4</v>
      </c>
      <c r="H107">
        <v>4</v>
      </c>
      <c r="I107">
        <v>3</v>
      </c>
      <c r="J107">
        <v>3</v>
      </c>
      <c r="K107">
        <v>3</v>
      </c>
      <c r="L107">
        <v>4</v>
      </c>
      <c r="M107">
        <v>3</v>
      </c>
      <c r="N107">
        <v>5</v>
      </c>
      <c r="O107">
        <v>3</v>
      </c>
      <c r="P107">
        <v>5</v>
      </c>
      <c r="Q107">
        <v>5</v>
      </c>
      <c r="R107">
        <v>3</v>
      </c>
      <c r="S107">
        <v>4</v>
      </c>
      <c r="T107">
        <v>4</v>
      </c>
      <c r="U107">
        <v>5</v>
      </c>
      <c r="V107">
        <v>3</v>
      </c>
      <c r="W107">
        <v>4</v>
      </c>
      <c r="X107">
        <v>5</v>
      </c>
      <c r="Y107">
        <v>4</v>
      </c>
      <c r="Z107">
        <v>5</v>
      </c>
      <c r="AA107">
        <v>4</v>
      </c>
      <c r="AB107">
        <v>5</v>
      </c>
      <c r="AC107">
        <v>3</v>
      </c>
      <c r="AD107">
        <v>4</v>
      </c>
      <c r="AE107">
        <v>4</v>
      </c>
      <c r="AF107">
        <v>4</v>
      </c>
      <c r="AG107">
        <v>5</v>
      </c>
      <c r="AH107">
        <v>3</v>
      </c>
      <c r="AI107">
        <v>3</v>
      </c>
      <c r="AJ107">
        <v>4</v>
      </c>
      <c r="AK107">
        <v>3</v>
      </c>
      <c r="AL107">
        <v>5</v>
      </c>
      <c r="AM107">
        <v>3</v>
      </c>
      <c r="AN107">
        <v>5</v>
      </c>
      <c r="AO107">
        <v>4</v>
      </c>
      <c r="AP107" t="str">
        <f>SUM(B107:AO107)</f>
        <v>0</v>
      </c>
    </row>
    <row r="108" spans="1:43">
      <c r="A108" t="s">
        <v>133</v>
      </c>
      <c r="B108">
        <v>3</v>
      </c>
      <c r="C108">
        <v>3</v>
      </c>
      <c r="D108">
        <v>3</v>
      </c>
      <c r="E108">
        <v>4</v>
      </c>
      <c r="F108">
        <v>3</v>
      </c>
      <c r="G108">
        <v>4</v>
      </c>
      <c r="H108">
        <v>3</v>
      </c>
      <c r="I108">
        <v>4</v>
      </c>
      <c r="J108">
        <v>2</v>
      </c>
      <c r="K108">
        <v>4</v>
      </c>
      <c r="L108">
        <v>3</v>
      </c>
      <c r="M108">
        <v>4</v>
      </c>
      <c r="N108">
        <v>2</v>
      </c>
      <c r="O108">
        <v>3</v>
      </c>
      <c r="P108">
        <v>2</v>
      </c>
      <c r="Q108">
        <v>3</v>
      </c>
      <c r="R108">
        <v>2</v>
      </c>
      <c r="S108">
        <v>4</v>
      </c>
      <c r="T108">
        <v>2</v>
      </c>
      <c r="U108">
        <v>3</v>
      </c>
      <c r="V108">
        <v>3</v>
      </c>
      <c r="W108">
        <v>3</v>
      </c>
      <c r="X108">
        <v>4</v>
      </c>
      <c r="Y108">
        <v>2</v>
      </c>
      <c r="Z108">
        <v>4</v>
      </c>
      <c r="AA108">
        <v>4</v>
      </c>
      <c r="AB108">
        <v>4</v>
      </c>
      <c r="AC108">
        <v>3</v>
      </c>
      <c r="AD108">
        <v>3</v>
      </c>
      <c r="AE108">
        <v>3</v>
      </c>
      <c r="AF108">
        <v>2</v>
      </c>
      <c r="AG108">
        <v>4</v>
      </c>
      <c r="AH108">
        <v>2</v>
      </c>
      <c r="AI108">
        <v>3</v>
      </c>
      <c r="AJ108">
        <v>4</v>
      </c>
      <c r="AK108">
        <v>3</v>
      </c>
      <c r="AL108">
        <v>3</v>
      </c>
      <c r="AM108">
        <v>4</v>
      </c>
      <c r="AN108">
        <v>2</v>
      </c>
      <c r="AO108">
        <v>4</v>
      </c>
      <c r="AP108" t="str">
        <f>SUM(B108:AO108)</f>
        <v>0</v>
      </c>
    </row>
    <row r="109" spans="1:43">
      <c r="A109" t="s">
        <v>134</v>
      </c>
      <c r="B109">
        <v>2</v>
      </c>
      <c r="C109">
        <v>3</v>
      </c>
      <c r="D109">
        <v>2</v>
      </c>
      <c r="E109">
        <v>3</v>
      </c>
      <c r="F109">
        <v>2</v>
      </c>
      <c r="G109">
        <v>3</v>
      </c>
      <c r="H109">
        <v>3</v>
      </c>
      <c r="I109">
        <v>2</v>
      </c>
      <c r="J109">
        <v>3</v>
      </c>
      <c r="K109">
        <v>2</v>
      </c>
      <c r="L109">
        <v>2</v>
      </c>
      <c r="M109">
        <v>2</v>
      </c>
      <c r="N109">
        <v>3</v>
      </c>
      <c r="O109">
        <v>3</v>
      </c>
      <c r="P109">
        <v>3</v>
      </c>
      <c r="Q109">
        <v>2</v>
      </c>
      <c r="R109">
        <v>3</v>
      </c>
      <c r="S109">
        <v>3</v>
      </c>
      <c r="T109">
        <v>2</v>
      </c>
      <c r="U109">
        <v>2</v>
      </c>
      <c r="V109">
        <v>3</v>
      </c>
      <c r="W109">
        <v>2</v>
      </c>
      <c r="X109">
        <v>2</v>
      </c>
      <c r="Y109">
        <v>3</v>
      </c>
      <c r="Z109">
        <v>2</v>
      </c>
      <c r="AA109">
        <v>2</v>
      </c>
      <c r="AB109">
        <v>3</v>
      </c>
      <c r="AC109">
        <v>3</v>
      </c>
      <c r="AD109">
        <v>2</v>
      </c>
      <c r="AE109">
        <v>2</v>
      </c>
      <c r="AF109">
        <v>2</v>
      </c>
      <c r="AG109">
        <v>2</v>
      </c>
      <c r="AH109">
        <v>3</v>
      </c>
      <c r="AI109">
        <v>3</v>
      </c>
      <c r="AJ109">
        <v>2</v>
      </c>
      <c r="AK109">
        <v>2</v>
      </c>
      <c r="AL109">
        <v>3</v>
      </c>
      <c r="AM109">
        <v>2</v>
      </c>
      <c r="AN109">
        <v>3</v>
      </c>
      <c r="AO109">
        <v>2</v>
      </c>
      <c r="AP109" t="str">
        <f>SUM(B109:AO109)</f>
        <v>0</v>
      </c>
    </row>
    <row r="110" spans="1:43">
      <c r="A110" t="s">
        <v>135</v>
      </c>
      <c r="B110">
        <v>1</v>
      </c>
      <c r="C110">
        <v>1</v>
      </c>
      <c r="D110">
        <v>1</v>
      </c>
      <c r="E110">
        <v>2</v>
      </c>
      <c r="F110">
        <v>2</v>
      </c>
      <c r="G110">
        <v>2</v>
      </c>
      <c r="H110">
        <v>1</v>
      </c>
      <c r="I110">
        <v>2</v>
      </c>
      <c r="J110">
        <v>1</v>
      </c>
      <c r="K110">
        <v>1</v>
      </c>
      <c r="L110">
        <v>1</v>
      </c>
      <c r="M110">
        <v>2</v>
      </c>
      <c r="N110">
        <v>1</v>
      </c>
      <c r="O110">
        <v>1</v>
      </c>
      <c r="P110">
        <v>2</v>
      </c>
      <c r="Q110">
        <v>1</v>
      </c>
      <c r="R110">
        <v>2</v>
      </c>
      <c r="S110">
        <v>1</v>
      </c>
      <c r="T110">
        <v>2</v>
      </c>
      <c r="U110">
        <v>2</v>
      </c>
      <c r="V110">
        <v>1</v>
      </c>
      <c r="W110">
        <v>1</v>
      </c>
      <c r="X110">
        <v>1</v>
      </c>
      <c r="Y110">
        <v>1</v>
      </c>
      <c r="Z110">
        <v>1</v>
      </c>
      <c r="AA110">
        <v>1</v>
      </c>
      <c r="AB110">
        <v>1</v>
      </c>
      <c r="AC110">
        <v>1</v>
      </c>
      <c r="AD110">
        <v>2</v>
      </c>
      <c r="AE110">
        <v>2</v>
      </c>
      <c r="AF110">
        <v>2</v>
      </c>
      <c r="AG110">
        <v>1</v>
      </c>
      <c r="AH110">
        <v>2</v>
      </c>
      <c r="AI110">
        <v>1</v>
      </c>
      <c r="AJ110">
        <v>1</v>
      </c>
      <c r="AK110">
        <v>1</v>
      </c>
      <c r="AL110">
        <v>2</v>
      </c>
      <c r="AM110">
        <v>1</v>
      </c>
      <c r="AN110">
        <v>2</v>
      </c>
      <c r="AO110">
        <v>2</v>
      </c>
      <c r="AP110" t="str">
        <f>SUM(B110:AO110)</f>
        <v>0</v>
      </c>
    </row>
    <row r="111" spans="1:43">
      <c r="A111" t="s">
        <v>136</v>
      </c>
      <c r="B111">
        <v>4</v>
      </c>
      <c r="C111">
        <v>4</v>
      </c>
      <c r="D111">
        <v>3</v>
      </c>
      <c r="E111">
        <v>2</v>
      </c>
      <c r="F111">
        <v>4</v>
      </c>
      <c r="G111">
        <v>3</v>
      </c>
      <c r="H111">
        <v>3</v>
      </c>
      <c r="I111">
        <v>3</v>
      </c>
      <c r="J111">
        <v>2</v>
      </c>
      <c r="K111">
        <v>2</v>
      </c>
      <c r="L111">
        <v>3</v>
      </c>
      <c r="M111">
        <v>4</v>
      </c>
      <c r="N111">
        <v>3</v>
      </c>
      <c r="O111">
        <v>2</v>
      </c>
      <c r="P111">
        <v>3</v>
      </c>
      <c r="Q111">
        <v>4</v>
      </c>
      <c r="R111">
        <v>2</v>
      </c>
      <c r="S111">
        <v>3</v>
      </c>
      <c r="T111">
        <v>2</v>
      </c>
      <c r="U111">
        <v>2</v>
      </c>
      <c r="V111">
        <v>3</v>
      </c>
      <c r="W111">
        <v>3</v>
      </c>
      <c r="X111">
        <v>3</v>
      </c>
      <c r="Y111">
        <v>4</v>
      </c>
      <c r="Z111">
        <v>3</v>
      </c>
      <c r="AA111">
        <v>3</v>
      </c>
      <c r="AB111">
        <v>2</v>
      </c>
      <c r="AC111">
        <v>3</v>
      </c>
      <c r="AD111">
        <v>2</v>
      </c>
      <c r="AE111">
        <v>3</v>
      </c>
      <c r="AF111">
        <v>2</v>
      </c>
      <c r="AG111">
        <v>4</v>
      </c>
      <c r="AH111">
        <v>2</v>
      </c>
      <c r="AI111">
        <v>3</v>
      </c>
      <c r="AJ111">
        <v>3</v>
      </c>
      <c r="AK111">
        <v>2</v>
      </c>
      <c r="AL111">
        <v>3</v>
      </c>
      <c r="AM111">
        <v>3</v>
      </c>
      <c r="AN111">
        <v>2</v>
      </c>
      <c r="AO111">
        <v>2</v>
      </c>
      <c r="AP111" t="str">
        <f>SUM(B111:AO111)</f>
        <v>0</v>
      </c>
    </row>
    <row r="112" spans="1:43">
      <c r="A112" t="s">
        <v>137</v>
      </c>
      <c r="B112">
        <v>4</v>
      </c>
      <c r="C112">
        <v>3</v>
      </c>
      <c r="D112">
        <v>4</v>
      </c>
      <c r="E112">
        <v>3</v>
      </c>
      <c r="F112">
        <v>4</v>
      </c>
      <c r="G112">
        <v>4</v>
      </c>
      <c r="H112">
        <v>4</v>
      </c>
      <c r="I112">
        <v>3</v>
      </c>
      <c r="J112">
        <v>3</v>
      </c>
      <c r="K112">
        <v>3</v>
      </c>
      <c r="L112">
        <v>3</v>
      </c>
      <c r="M112">
        <v>4</v>
      </c>
      <c r="N112">
        <v>4</v>
      </c>
      <c r="O112">
        <v>4</v>
      </c>
      <c r="P112">
        <v>3</v>
      </c>
      <c r="Q112">
        <v>3</v>
      </c>
      <c r="R112">
        <v>3</v>
      </c>
      <c r="S112">
        <v>3</v>
      </c>
      <c r="T112">
        <v>3</v>
      </c>
      <c r="U112">
        <v>3</v>
      </c>
      <c r="V112">
        <v>4</v>
      </c>
      <c r="W112">
        <v>4</v>
      </c>
      <c r="X112">
        <v>3</v>
      </c>
      <c r="Y112">
        <v>3</v>
      </c>
      <c r="Z112">
        <v>5</v>
      </c>
      <c r="AA112">
        <v>4</v>
      </c>
      <c r="AB112">
        <v>4</v>
      </c>
      <c r="AC112">
        <v>2</v>
      </c>
      <c r="AD112">
        <v>3</v>
      </c>
      <c r="AE112">
        <v>4</v>
      </c>
      <c r="AF112">
        <v>3</v>
      </c>
      <c r="AG112">
        <v>4</v>
      </c>
      <c r="AH112">
        <v>4</v>
      </c>
      <c r="AI112">
        <v>3</v>
      </c>
      <c r="AJ112">
        <v>3</v>
      </c>
      <c r="AK112">
        <v>4</v>
      </c>
      <c r="AL112">
        <v>3</v>
      </c>
      <c r="AM112">
        <v>4</v>
      </c>
      <c r="AN112">
        <v>3</v>
      </c>
      <c r="AO112">
        <v>3</v>
      </c>
      <c r="AP112" t="str">
        <f>SUM(B112:AO112)</f>
        <v>0</v>
      </c>
    </row>
    <row r="113" spans="1:43">
      <c r="A113" t="s">
        <v>138</v>
      </c>
      <c r="B113">
        <v>3</v>
      </c>
      <c r="C113">
        <v>2</v>
      </c>
      <c r="D113">
        <v>2</v>
      </c>
      <c r="E113">
        <v>2</v>
      </c>
      <c r="F113">
        <v>3</v>
      </c>
      <c r="G113">
        <v>2</v>
      </c>
      <c r="H113">
        <v>3</v>
      </c>
      <c r="I113">
        <v>3</v>
      </c>
      <c r="J113">
        <v>2</v>
      </c>
      <c r="K113">
        <v>2</v>
      </c>
      <c r="L113">
        <v>2</v>
      </c>
      <c r="M113">
        <v>2</v>
      </c>
      <c r="N113">
        <v>3</v>
      </c>
      <c r="O113">
        <v>3</v>
      </c>
      <c r="P113">
        <v>3</v>
      </c>
      <c r="Q113">
        <v>2</v>
      </c>
      <c r="R113">
        <v>2</v>
      </c>
      <c r="S113">
        <v>2</v>
      </c>
      <c r="T113">
        <v>3</v>
      </c>
      <c r="U113">
        <v>3</v>
      </c>
      <c r="V113">
        <v>2</v>
      </c>
      <c r="W113">
        <v>2</v>
      </c>
      <c r="X113">
        <v>2</v>
      </c>
      <c r="Y113">
        <v>2</v>
      </c>
      <c r="Z113">
        <v>3</v>
      </c>
      <c r="AA113">
        <v>2</v>
      </c>
      <c r="AB113">
        <v>3</v>
      </c>
      <c r="AC113">
        <v>2</v>
      </c>
      <c r="AD113">
        <v>3</v>
      </c>
      <c r="AE113">
        <v>3</v>
      </c>
      <c r="AF113">
        <v>2</v>
      </c>
      <c r="AG113">
        <v>3</v>
      </c>
      <c r="AH113">
        <v>2</v>
      </c>
      <c r="AI113">
        <v>3</v>
      </c>
      <c r="AJ113">
        <v>2</v>
      </c>
      <c r="AK113">
        <v>2</v>
      </c>
      <c r="AL113">
        <v>2</v>
      </c>
      <c r="AM113">
        <v>2</v>
      </c>
      <c r="AN113">
        <v>2</v>
      </c>
      <c r="AO113">
        <v>2</v>
      </c>
      <c r="AP113" t="str">
        <f>SUM(B113:AO113)</f>
        <v>0</v>
      </c>
    </row>
    <row r="114" spans="1:43">
      <c r="A114" t="s">
        <v>139</v>
      </c>
      <c r="B114">
        <v>3</v>
      </c>
      <c r="C114">
        <v>3</v>
      </c>
      <c r="D114">
        <v>4</v>
      </c>
      <c r="E114">
        <v>4</v>
      </c>
      <c r="F114">
        <v>3</v>
      </c>
      <c r="G114">
        <v>3</v>
      </c>
      <c r="H114">
        <v>4</v>
      </c>
      <c r="I114">
        <v>4</v>
      </c>
      <c r="J114">
        <v>4</v>
      </c>
      <c r="K114">
        <v>3</v>
      </c>
      <c r="L114">
        <v>3</v>
      </c>
      <c r="M114">
        <v>3</v>
      </c>
      <c r="N114">
        <v>4</v>
      </c>
      <c r="O114">
        <v>3</v>
      </c>
      <c r="P114">
        <v>3</v>
      </c>
      <c r="Q114">
        <v>3</v>
      </c>
      <c r="R114">
        <v>2</v>
      </c>
      <c r="S114">
        <v>3</v>
      </c>
      <c r="T114">
        <v>3</v>
      </c>
      <c r="U114">
        <v>4</v>
      </c>
      <c r="V114">
        <v>3</v>
      </c>
      <c r="W114">
        <v>3</v>
      </c>
      <c r="X114">
        <v>4</v>
      </c>
      <c r="Y114">
        <v>4</v>
      </c>
      <c r="Z114">
        <v>4</v>
      </c>
      <c r="AA114">
        <v>3</v>
      </c>
      <c r="AB114">
        <v>3</v>
      </c>
      <c r="AC114">
        <v>3</v>
      </c>
      <c r="AD114">
        <v>3</v>
      </c>
      <c r="AE114">
        <v>4</v>
      </c>
      <c r="AF114">
        <v>4</v>
      </c>
      <c r="AG114">
        <v>4</v>
      </c>
      <c r="AH114">
        <v>2</v>
      </c>
      <c r="AI114">
        <v>3</v>
      </c>
      <c r="AJ114">
        <v>4</v>
      </c>
      <c r="AK114">
        <v>4</v>
      </c>
      <c r="AL114">
        <v>3</v>
      </c>
      <c r="AM114">
        <v>3</v>
      </c>
      <c r="AN114">
        <v>3</v>
      </c>
      <c r="AO114">
        <v>2</v>
      </c>
      <c r="AP114" t="str">
        <f>SUM(B114:AO114)</f>
        <v>0</v>
      </c>
    </row>
    <row r="115" spans="1:43">
      <c r="A115" t="s">
        <v>140</v>
      </c>
      <c r="B115">
        <v>4</v>
      </c>
      <c r="C115">
        <v>3</v>
      </c>
      <c r="D115">
        <v>3</v>
      </c>
      <c r="E115">
        <v>3</v>
      </c>
      <c r="F115">
        <v>3</v>
      </c>
      <c r="G115">
        <v>4</v>
      </c>
      <c r="H115">
        <v>3</v>
      </c>
      <c r="I115">
        <v>4</v>
      </c>
      <c r="J115">
        <v>4</v>
      </c>
      <c r="K115">
        <v>4</v>
      </c>
      <c r="L115">
        <v>3</v>
      </c>
      <c r="M115">
        <v>4</v>
      </c>
      <c r="N115">
        <v>4</v>
      </c>
      <c r="O115">
        <v>3</v>
      </c>
      <c r="P115">
        <v>4</v>
      </c>
      <c r="Q115">
        <v>3</v>
      </c>
      <c r="R115">
        <v>3</v>
      </c>
      <c r="S115">
        <v>4</v>
      </c>
      <c r="T115">
        <v>4</v>
      </c>
      <c r="U115">
        <v>4</v>
      </c>
      <c r="V115">
        <v>3</v>
      </c>
      <c r="W115">
        <v>4</v>
      </c>
      <c r="X115">
        <v>4</v>
      </c>
      <c r="Y115">
        <v>3</v>
      </c>
      <c r="Z115">
        <v>3</v>
      </c>
      <c r="AA115">
        <v>4</v>
      </c>
      <c r="AB115">
        <v>4</v>
      </c>
      <c r="AC115">
        <v>3</v>
      </c>
      <c r="AD115">
        <v>5</v>
      </c>
      <c r="AE115">
        <v>4</v>
      </c>
      <c r="AF115">
        <v>4</v>
      </c>
      <c r="AG115">
        <v>4</v>
      </c>
      <c r="AH115">
        <v>4</v>
      </c>
      <c r="AI115">
        <v>3</v>
      </c>
      <c r="AJ115">
        <v>4</v>
      </c>
      <c r="AK115">
        <v>4</v>
      </c>
      <c r="AL115">
        <v>3</v>
      </c>
      <c r="AM115">
        <v>4</v>
      </c>
      <c r="AN115">
        <v>3</v>
      </c>
      <c r="AO115">
        <v>3</v>
      </c>
      <c r="AP115" t="str">
        <f>SUM(B115:AO115)</f>
        <v>0</v>
      </c>
    </row>
    <row r="116" spans="1:43">
      <c r="A116" t="s">
        <v>141</v>
      </c>
      <c r="B116">
        <v>3</v>
      </c>
      <c r="C116">
        <v>4</v>
      </c>
      <c r="D116">
        <v>2</v>
      </c>
      <c r="E116">
        <v>2</v>
      </c>
      <c r="F116">
        <v>3</v>
      </c>
      <c r="G116">
        <v>3</v>
      </c>
      <c r="H116">
        <v>2</v>
      </c>
      <c r="I116">
        <v>3</v>
      </c>
      <c r="J116">
        <v>4</v>
      </c>
      <c r="K116">
        <v>3</v>
      </c>
      <c r="L116">
        <v>3</v>
      </c>
      <c r="M116">
        <v>4</v>
      </c>
      <c r="N116">
        <v>4</v>
      </c>
      <c r="O116">
        <v>4</v>
      </c>
      <c r="P116">
        <v>2</v>
      </c>
      <c r="Q116">
        <v>4</v>
      </c>
      <c r="R116">
        <v>4</v>
      </c>
      <c r="S116">
        <v>3</v>
      </c>
      <c r="T116">
        <v>2</v>
      </c>
      <c r="U116">
        <v>4</v>
      </c>
      <c r="V116">
        <v>3</v>
      </c>
      <c r="W116">
        <v>4</v>
      </c>
      <c r="X116">
        <v>3</v>
      </c>
      <c r="Y116">
        <v>3</v>
      </c>
      <c r="Z116">
        <v>3</v>
      </c>
      <c r="AA116">
        <v>4</v>
      </c>
      <c r="AB116">
        <v>4</v>
      </c>
      <c r="AC116">
        <v>5</v>
      </c>
      <c r="AD116">
        <v>4</v>
      </c>
      <c r="AE116">
        <v>4</v>
      </c>
      <c r="AF116">
        <v>4</v>
      </c>
      <c r="AG116">
        <v>4</v>
      </c>
      <c r="AH116">
        <v>4</v>
      </c>
      <c r="AI116">
        <v>4</v>
      </c>
      <c r="AJ116">
        <v>3</v>
      </c>
      <c r="AK116">
        <v>3</v>
      </c>
      <c r="AL116">
        <v>4</v>
      </c>
      <c r="AM116">
        <v>2</v>
      </c>
      <c r="AN116">
        <v>2</v>
      </c>
      <c r="AO116">
        <v>4</v>
      </c>
      <c r="AP116" t="str">
        <f>SUM(B116:AO116)</f>
        <v>0</v>
      </c>
    </row>
    <row r="117" spans="1:43">
      <c r="A117" t="s">
        <v>142</v>
      </c>
      <c r="B117">
        <v>3</v>
      </c>
      <c r="C117">
        <v>2</v>
      </c>
      <c r="D117">
        <v>3</v>
      </c>
      <c r="E117">
        <v>2</v>
      </c>
      <c r="F117">
        <v>4</v>
      </c>
      <c r="G117">
        <v>3</v>
      </c>
      <c r="H117">
        <v>3</v>
      </c>
      <c r="I117">
        <v>4</v>
      </c>
      <c r="J117">
        <v>3</v>
      </c>
      <c r="K117">
        <v>3</v>
      </c>
      <c r="L117">
        <v>3</v>
      </c>
      <c r="M117">
        <v>2</v>
      </c>
      <c r="N117">
        <v>3</v>
      </c>
      <c r="O117">
        <v>3</v>
      </c>
      <c r="P117">
        <v>3</v>
      </c>
      <c r="Q117">
        <v>4</v>
      </c>
      <c r="R117">
        <v>2</v>
      </c>
      <c r="S117">
        <v>2</v>
      </c>
      <c r="T117">
        <v>2</v>
      </c>
      <c r="U117">
        <v>3</v>
      </c>
      <c r="V117">
        <v>4</v>
      </c>
      <c r="W117">
        <v>3</v>
      </c>
      <c r="X117">
        <v>3</v>
      </c>
      <c r="Y117">
        <v>4</v>
      </c>
      <c r="Z117">
        <v>3</v>
      </c>
      <c r="AA117">
        <v>3</v>
      </c>
      <c r="AB117">
        <v>3</v>
      </c>
      <c r="AC117">
        <v>3</v>
      </c>
      <c r="AD117">
        <v>3</v>
      </c>
      <c r="AE117">
        <v>3</v>
      </c>
      <c r="AF117">
        <v>4</v>
      </c>
      <c r="AG117">
        <v>3</v>
      </c>
      <c r="AH117">
        <v>4</v>
      </c>
      <c r="AI117">
        <v>2</v>
      </c>
      <c r="AJ117">
        <v>2</v>
      </c>
      <c r="AK117">
        <v>4</v>
      </c>
      <c r="AL117">
        <v>3</v>
      </c>
      <c r="AM117">
        <v>3</v>
      </c>
      <c r="AN117">
        <v>3</v>
      </c>
      <c r="AO117">
        <v>2</v>
      </c>
      <c r="AP117" t="str">
        <f>SUM(B117:AO117)</f>
        <v>0</v>
      </c>
    </row>
    <row r="118" spans="1:43">
      <c r="A118" t="s">
        <v>143</v>
      </c>
      <c r="B118">
        <v>3</v>
      </c>
      <c r="C118">
        <v>4</v>
      </c>
      <c r="D118">
        <v>4</v>
      </c>
      <c r="E118">
        <v>3</v>
      </c>
      <c r="F118">
        <v>5</v>
      </c>
      <c r="G118">
        <v>3</v>
      </c>
      <c r="H118">
        <v>4</v>
      </c>
      <c r="I118">
        <v>3</v>
      </c>
      <c r="J118">
        <v>4</v>
      </c>
      <c r="K118">
        <v>5</v>
      </c>
      <c r="L118">
        <v>5</v>
      </c>
      <c r="M118">
        <v>4</v>
      </c>
      <c r="N118">
        <v>4</v>
      </c>
      <c r="O118">
        <v>4</v>
      </c>
      <c r="P118">
        <v>5</v>
      </c>
      <c r="Q118">
        <v>5</v>
      </c>
      <c r="R118">
        <v>5</v>
      </c>
      <c r="S118">
        <v>4</v>
      </c>
      <c r="T118">
        <v>4</v>
      </c>
      <c r="U118">
        <v>4</v>
      </c>
      <c r="V118">
        <v>4</v>
      </c>
      <c r="W118">
        <v>3</v>
      </c>
      <c r="X118">
        <v>3</v>
      </c>
      <c r="Y118">
        <v>5</v>
      </c>
      <c r="Z118">
        <v>4</v>
      </c>
      <c r="AA118">
        <v>4</v>
      </c>
      <c r="AB118">
        <v>5</v>
      </c>
      <c r="AC118">
        <v>4</v>
      </c>
      <c r="AD118">
        <v>4</v>
      </c>
      <c r="AE118">
        <v>4</v>
      </c>
      <c r="AF118">
        <v>5</v>
      </c>
      <c r="AG118">
        <v>4</v>
      </c>
      <c r="AH118">
        <v>3</v>
      </c>
      <c r="AI118">
        <v>5</v>
      </c>
      <c r="AJ118">
        <v>5</v>
      </c>
      <c r="AK118">
        <v>4</v>
      </c>
      <c r="AL118">
        <v>5</v>
      </c>
      <c r="AM118">
        <v>5</v>
      </c>
      <c r="AN118">
        <v>3</v>
      </c>
      <c r="AO118">
        <v>5</v>
      </c>
      <c r="AP118" t="str">
        <f>SUM(B118:AO118)</f>
        <v>0</v>
      </c>
    </row>
    <row r="119" spans="1:43">
      <c r="A119" t="s">
        <v>144</v>
      </c>
      <c r="B119">
        <v>3</v>
      </c>
      <c r="C119">
        <v>4</v>
      </c>
      <c r="D119">
        <v>3</v>
      </c>
      <c r="E119">
        <v>4</v>
      </c>
      <c r="F119">
        <v>3</v>
      </c>
      <c r="G119">
        <v>4</v>
      </c>
      <c r="H119">
        <v>3</v>
      </c>
      <c r="I119">
        <v>4</v>
      </c>
      <c r="J119">
        <v>3</v>
      </c>
      <c r="K119">
        <v>4</v>
      </c>
      <c r="L119">
        <v>4</v>
      </c>
      <c r="M119">
        <v>3</v>
      </c>
      <c r="N119">
        <v>4</v>
      </c>
      <c r="O119">
        <v>4</v>
      </c>
      <c r="P119">
        <v>4</v>
      </c>
      <c r="Q119">
        <v>4</v>
      </c>
      <c r="R119">
        <v>4</v>
      </c>
      <c r="S119">
        <v>5</v>
      </c>
      <c r="T119">
        <v>4</v>
      </c>
      <c r="U119">
        <v>5</v>
      </c>
      <c r="V119">
        <v>3</v>
      </c>
      <c r="W119">
        <v>4</v>
      </c>
      <c r="X119">
        <v>4</v>
      </c>
      <c r="Y119">
        <v>3</v>
      </c>
      <c r="Z119">
        <v>5</v>
      </c>
      <c r="AA119">
        <v>3</v>
      </c>
      <c r="AB119">
        <v>4</v>
      </c>
      <c r="AC119">
        <v>5</v>
      </c>
      <c r="AD119">
        <v>3</v>
      </c>
      <c r="AE119">
        <v>3</v>
      </c>
      <c r="AF119">
        <v>4</v>
      </c>
      <c r="AG119">
        <v>4</v>
      </c>
      <c r="AH119">
        <v>5</v>
      </c>
      <c r="AI119">
        <v>3</v>
      </c>
      <c r="AJ119">
        <v>3</v>
      </c>
      <c r="AK119">
        <v>3</v>
      </c>
      <c r="AL119">
        <v>3</v>
      </c>
      <c r="AM119">
        <v>4</v>
      </c>
      <c r="AN119">
        <v>4</v>
      </c>
      <c r="AO119">
        <v>5</v>
      </c>
      <c r="AP119" t="str">
        <f>SUM(B119:AO119)</f>
        <v>0</v>
      </c>
    </row>
    <row r="120" spans="1:43">
      <c r="A120" t="s">
        <v>145</v>
      </c>
      <c r="B120">
        <v>2</v>
      </c>
      <c r="C120">
        <v>3</v>
      </c>
      <c r="D120">
        <v>2</v>
      </c>
      <c r="E120">
        <v>3</v>
      </c>
      <c r="F120">
        <v>2</v>
      </c>
      <c r="G120">
        <v>2</v>
      </c>
      <c r="H120">
        <v>3</v>
      </c>
      <c r="I120">
        <v>3</v>
      </c>
      <c r="J120">
        <v>3</v>
      </c>
      <c r="K120">
        <v>3</v>
      </c>
      <c r="L120">
        <v>3</v>
      </c>
      <c r="M120">
        <v>4</v>
      </c>
      <c r="N120">
        <v>3</v>
      </c>
      <c r="O120">
        <v>3</v>
      </c>
      <c r="P120">
        <v>3</v>
      </c>
      <c r="Q120">
        <v>4</v>
      </c>
      <c r="R120">
        <v>2</v>
      </c>
      <c r="S120">
        <v>3</v>
      </c>
      <c r="T120">
        <v>3</v>
      </c>
      <c r="U120">
        <v>3</v>
      </c>
      <c r="V120">
        <v>4</v>
      </c>
      <c r="W120">
        <v>3</v>
      </c>
      <c r="X120">
        <v>3</v>
      </c>
      <c r="Y120">
        <v>3</v>
      </c>
      <c r="Z120">
        <v>3</v>
      </c>
      <c r="AA120">
        <v>2</v>
      </c>
      <c r="AB120">
        <v>3</v>
      </c>
      <c r="AC120">
        <v>3</v>
      </c>
      <c r="AD120">
        <v>4</v>
      </c>
      <c r="AE120">
        <v>2</v>
      </c>
      <c r="AF120">
        <v>2</v>
      </c>
      <c r="AG120">
        <v>2</v>
      </c>
      <c r="AH120">
        <v>2</v>
      </c>
      <c r="AI120">
        <v>4</v>
      </c>
      <c r="AJ120">
        <v>3</v>
      </c>
      <c r="AK120">
        <v>3</v>
      </c>
      <c r="AL120">
        <v>2</v>
      </c>
      <c r="AM120">
        <v>2</v>
      </c>
      <c r="AN120">
        <v>3</v>
      </c>
      <c r="AO120">
        <v>2</v>
      </c>
      <c r="AP120" t="str">
        <f>SUM(B120:AO120)</f>
        <v>0</v>
      </c>
    </row>
    <row r="121" spans="1:43">
      <c r="A121" t="s">
        <v>146</v>
      </c>
      <c r="B121">
        <v>3</v>
      </c>
      <c r="C121">
        <v>3</v>
      </c>
      <c r="D121">
        <v>3</v>
      </c>
      <c r="E121">
        <v>3</v>
      </c>
      <c r="F121">
        <v>3</v>
      </c>
      <c r="G121">
        <v>2</v>
      </c>
      <c r="H121">
        <v>2</v>
      </c>
      <c r="I121">
        <v>3</v>
      </c>
      <c r="J121">
        <v>3</v>
      </c>
      <c r="K121">
        <v>3</v>
      </c>
      <c r="L121">
        <v>2</v>
      </c>
      <c r="M121">
        <v>2</v>
      </c>
      <c r="N121">
        <v>3</v>
      </c>
      <c r="O121">
        <v>2</v>
      </c>
      <c r="P121">
        <v>3</v>
      </c>
      <c r="Q121">
        <v>2</v>
      </c>
      <c r="R121">
        <v>2</v>
      </c>
      <c r="S121">
        <v>2</v>
      </c>
      <c r="T121">
        <v>3</v>
      </c>
      <c r="U121">
        <v>3</v>
      </c>
      <c r="V121">
        <v>2</v>
      </c>
      <c r="W121">
        <v>2</v>
      </c>
      <c r="X121">
        <v>2</v>
      </c>
      <c r="Y121">
        <v>3</v>
      </c>
      <c r="Z121">
        <v>2</v>
      </c>
      <c r="AA121">
        <v>3</v>
      </c>
      <c r="AB121">
        <v>2</v>
      </c>
      <c r="AC121">
        <v>3</v>
      </c>
      <c r="AD121">
        <v>2</v>
      </c>
      <c r="AE121">
        <v>3</v>
      </c>
      <c r="AF121">
        <v>3</v>
      </c>
      <c r="AG121">
        <v>3</v>
      </c>
      <c r="AH121">
        <v>3</v>
      </c>
      <c r="AI121">
        <v>3</v>
      </c>
      <c r="AJ121">
        <v>3</v>
      </c>
      <c r="AK121">
        <v>3</v>
      </c>
      <c r="AL121">
        <v>2</v>
      </c>
      <c r="AM121">
        <v>2</v>
      </c>
      <c r="AN121">
        <v>2</v>
      </c>
      <c r="AO121">
        <v>3</v>
      </c>
      <c r="AP121" t="str">
        <f>SUM(B121:AO121)</f>
        <v>0</v>
      </c>
    </row>
    <row r="122" spans="1:43">
      <c r="A122" t="s">
        <v>147</v>
      </c>
      <c r="B122">
        <v>4</v>
      </c>
      <c r="C122">
        <v>4</v>
      </c>
      <c r="D122">
        <v>3</v>
      </c>
      <c r="E122">
        <v>2</v>
      </c>
      <c r="F122">
        <v>5</v>
      </c>
      <c r="G122">
        <v>4</v>
      </c>
      <c r="H122">
        <v>4</v>
      </c>
      <c r="I122">
        <v>3</v>
      </c>
      <c r="J122">
        <v>5</v>
      </c>
      <c r="K122">
        <v>3</v>
      </c>
      <c r="L122">
        <v>4</v>
      </c>
      <c r="M122">
        <v>4</v>
      </c>
      <c r="N122">
        <v>4</v>
      </c>
      <c r="O122">
        <v>3</v>
      </c>
      <c r="P122">
        <v>4</v>
      </c>
      <c r="Q122">
        <v>3</v>
      </c>
      <c r="R122">
        <v>4</v>
      </c>
      <c r="S122">
        <v>3</v>
      </c>
      <c r="T122">
        <v>2</v>
      </c>
      <c r="U122">
        <v>3</v>
      </c>
      <c r="V122">
        <v>2</v>
      </c>
      <c r="W122">
        <v>5</v>
      </c>
      <c r="X122">
        <v>4</v>
      </c>
      <c r="Y122">
        <v>3</v>
      </c>
      <c r="Z122">
        <v>4</v>
      </c>
      <c r="AA122">
        <v>4</v>
      </c>
      <c r="AB122">
        <v>3</v>
      </c>
      <c r="AC122">
        <v>3</v>
      </c>
      <c r="AD122">
        <v>3</v>
      </c>
      <c r="AE122">
        <v>3</v>
      </c>
      <c r="AF122">
        <v>5</v>
      </c>
      <c r="AG122">
        <v>4</v>
      </c>
      <c r="AH122">
        <v>4</v>
      </c>
      <c r="AI122">
        <v>4</v>
      </c>
      <c r="AJ122">
        <v>4</v>
      </c>
      <c r="AK122">
        <v>5</v>
      </c>
      <c r="AL122">
        <v>3</v>
      </c>
      <c r="AM122">
        <v>2</v>
      </c>
      <c r="AN122">
        <v>3</v>
      </c>
      <c r="AO122">
        <v>4</v>
      </c>
      <c r="AP122" t="str">
        <f>SUM(B122:AO122)</f>
        <v>0</v>
      </c>
    </row>
    <row r="123" spans="1:43">
      <c r="A123" t="s">
        <v>148</v>
      </c>
      <c r="B123">
        <v>2</v>
      </c>
      <c r="C123">
        <v>3</v>
      </c>
      <c r="D123">
        <v>3</v>
      </c>
      <c r="E123">
        <v>4</v>
      </c>
      <c r="F123">
        <v>3</v>
      </c>
      <c r="G123">
        <v>3</v>
      </c>
      <c r="H123">
        <v>2</v>
      </c>
      <c r="I123">
        <v>3</v>
      </c>
      <c r="J123">
        <v>4</v>
      </c>
      <c r="K123">
        <v>4</v>
      </c>
      <c r="L123">
        <v>3</v>
      </c>
      <c r="M123">
        <v>3</v>
      </c>
      <c r="N123">
        <v>3</v>
      </c>
      <c r="O123">
        <v>3</v>
      </c>
      <c r="P123">
        <v>2</v>
      </c>
      <c r="Q123">
        <v>3</v>
      </c>
      <c r="R123">
        <v>3</v>
      </c>
      <c r="S123">
        <v>3</v>
      </c>
      <c r="T123">
        <v>2</v>
      </c>
      <c r="U123">
        <v>4</v>
      </c>
      <c r="V123">
        <v>4</v>
      </c>
      <c r="W123">
        <v>3</v>
      </c>
      <c r="X123">
        <v>3</v>
      </c>
      <c r="Y123">
        <v>3</v>
      </c>
      <c r="Z123">
        <v>4</v>
      </c>
      <c r="AA123">
        <v>3</v>
      </c>
      <c r="AB123">
        <v>2</v>
      </c>
      <c r="AC123">
        <v>2</v>
      </c>
      <c r="AD123">
        <v>3</v>
      </c>
      <c r="AE123">
        <v>3</v>
      </c>
      <c r="AF123">
        <v>2</v>
      </c>
      <c r="AG123">
        <v>3</v>
      </c>
      <c r="AH123">
        <v>3</v>
      </c>
      <c r="AI123">
        <v>4</v>
      </c>
      <c r="AJ123">
        <v>4</v>
      </c>
      <c r="AK123">
        <v>3</v>
      </c>
      <c r="AL123">
        <v>3</v>
      </c>
      <c r="AM123">
        <v>4</v>
      </c>
      <c r="AN123">
        <v>3</v>
      </c>
      <c r="AO123">
        <v>2</v>
      </c>
      <c r="AP123" t="str">
        <f>SUM(B123:AO123)</f>
        <v>0</v>
      </c>
    </row>
    <row r="124" spans="1:43">
      <c r="A124" t="s">
        <v>149</v>
      </c>
      <c r="B124">
        <v>2</v>
      </c>
      <c r="C124">
        <v>2</v>
      </c>
      <c r="D124">
        <v>2</v>
      </c>
      <c r="E124">
        <v>2</v>
      </c>
      <c r="F124">
        <v>1</v>
      </c>
      <c r="G124">
        <v>2</v>
      </c>
      <c r="H124">
        <v>1</v>
      </c>
      <c r="I124">
        <v>2</v>
      </c>
      <c r="J124">
        <v>2</v>
      </c>
      <c r="K124">
        <v>2</v>
      </c>
      <c r="L124">
        <v>2</v>
      </c>
      <c r="M124">
        <v>2</v>
      </c>
      <c r="N124">
        <v>1</v>
      </c>
      <c r="O124">
        <v>2</v>
      </c>
      <c r="P124">
        <v>1</v>
      </c>
      <c r="Q124">
        <v>2</v>
      </c>
      <c r="R124">
        <v>2</v>
      </c>
      <c r="S124">
        <v>2</v>
      </c>
      <c r="T124">
        <v>2</v>
      </c>
      <c r="U124">
        <v>2</v>
      </c>
      <c r="V124">
        <v>2</v>
      </c>
      <c r="W124">
        <v>2</v>
      </c>
      <c r="X124">
        <v>2</v>
      </c>
      <c r="Y124">
        <v>2</v>
      </c>
      <c r="Z124">
        <v>2</v>
      </c>
      <c r="AA124">
        <v>2</v>
      </c>
      <c r="AB124">
        <v>2</v>
      </c>
      <c r="AC124">
        <v>1</v>
      </c>
      <c r="AD124">
        <v>2</v>
      </c>
      <c r="AE124">
        <v>2</v>
      </c>
      <c r="AF124">
        <v>2</v>
      </c>
      <c r="AG124">
        <v>2</v>
      </c>
      <c r="AH124">
        <v>2</v>
      </c>
      <c r="AI124">
        <v>1</v>
      </c>
      <c r="AJ124">
        <v>2</v>
      </c>
      <c r="AK124">
        <v>2</v>
      </c>
      <c r="AL124">
        <v>2</v>
      </c>
      <c r="AM124">
        <v>1</v>
      </c>
      <c r="AN124">
        <v>2</v>
      </c>
      <c r="AO124">
        <v>2</v>
      </c>
      <c r="AP124" t="str">
        <f>SUM(B124:AO124)</f>
        <v>0</v>
      </c>
    </row>
    <row r="125" spans="1:43">
      <c r="A125" t="s">
        <v>150</v>
      </c>
      <c r="B125">
        <v>4</v>
      </c>
      <c r="C125">
        <v>3</v>
      </c>
      <c r="D125">
        <v>4</v>
      </c>
      <c r="E125">
        <v>4</v>
      </c>
      <c r="F125">
        <v>2</v>
      </c>
      <c r="G125">
        <v>4</v>
      </c>
      <c r="H125">
        <v>3</v>
      </c>
      <c r="I125">
        <v>3</v>
      </c>
      <c r="J125">
        <v>3</v>
      </c>
      <c r="K125">
        <v>3</v>
      </c>
      <c r="L125">
        <v>2</v>
      </c>
      <c r="M125">
        <v>2</v>
      </c>
      <c r="N125">
        <v>4</v>
      </c>
      <c r="O125">
        <v>2</v>
      </c>
      <c r="P125">
        <v>4</v>
      </c>
      <c r="Q125">
        <v>4</v>
      </c>
      <c r="R125">
        <v>2</v>
      </c>
      <c r="S125">
        <v>4</v>
      </c>
      <c r="T125">
        <v>2</v>
      </c>
      <c r="U125">
        <v>4</v>
      </c>
      <c r="V125">
        <v>3</v>
      </c>
      <c r="W125">
        <v>4</v>
      </c>
      <c r="X125">
        <v>2</v>
      </c>
      <c r="Y125">
        <v>4</v>
      </c>
      <c r="Z125">
        <v>4</v>
      </c>
      <c r="AA125">
        <v>4</v>
      </c>
      <c r="AB125">
        <v>2</v>
      </c>
      <c r="AC125">
        <v>2</v>
      </c>
      <c r="AD125">
        <v>3</v>
      </c>
      <c r="AE125">
        <v>2</v>
      </c>
      <c r="AF125">
        <v>2</v>
      </c>
      <c r="AG125">
        <v>3</v>
      </c>
      <c r="AH125">
        <v>4</v>
      </c>
      <c r="AI125">
        <v>3</v>
      </c>
      <c r="AJ125">
        <v>4</v>
      </c>
      <c r="AK125">
        <v>4</v>
      </c>
      <c r="AL125">
        <v>3</v>
      </c>
      <c r="AM125">
        <v>4</v>
      </c>
      <c r="AN125">
        <v>4</v>
      </c>
      <c r="AO125">
        <v>3</v>
      </c>
      <c r="AP125" t="str">
        <f>SUM(B125:AO125)</f>
        <v>0</v>
      </c>
    </row>
    <row r="126" spans="1:43">
      <c r="A126" t="s">
        <v>151</v>
      </c>
      <c r="B126">
        <v>3</v>
      </c>
      <c r="C126">
        <v>3</v>
      </c>
      <c r="D126">
        <v>3</v>
      </c>
      <c r="E126">
        <v>3</v>
      </c>
      <c r="F126">
        <v>3</v>
      </c>
      <c r="G126">
        <v>4</v>
      </c>
      <c r="H126">
        <v>3</v>
      </c>
      <c r="I126">
        <v>3</v>
      </c>
      <c r="J126">
        <v>3</v>
      </c>
      <c r="K126">
        <v>2</v>
      </c>
      <c r="L126">
        <v>3</v>
      </c>
      <c r="M126">
        <v>2</v>
      </c>
      <c r="N126">
        <v>2</v>
      </c>
      <c r="O126">
        <v>2</v>
      </c>
      <c r="P126">
        <v>2</v>
      </c>
      <c r="Q126">
        <v>2</v>
      </c>
      <c r="R126">
        <v>3</v>
      </c>
      <c r="S126">
        <v>2</v>
      </c>
      <c r="T126">
        <v>3</v>
      </c>
      <c r="U126">
        <v>2</v>
      </c>
      <c r="V126">
        <v>3</v>
      </c>
      <c r="W126">
        <v>2</v>
      </c>
      <c r="X126">
        <v>4</v>
      </c>
      <c r="Y126">
        <v>3</v>
      </c>
      <c r="Z126">
        <v>3</v>
      </c>
      <c r="AA126">
        <v>3</v>
      </c>
      <c r="AB126">
        <v>2</v>
      </c>
      <c r="AC126">
        <v>3</v>
      </c>
      <c r="AD126">
        <v>4</v>
      </c>
      <c r="AE126">
        <v>3</v>
      </c>
      <c r="AF126">
        <v>3</v>
      </c>
      <c r="AG126">
        <v>2</v>
      </c>
      <c r="AH126">
        <v>2</v>
      </c>
      <c r="AI126">
        <v>2</v>
      </c>
      <c r="AJ126">
        <v>2</v>
      </c>
      <c r="AK126">
        <v>3</v>
      </c>
      <c r="AL126">
        <v>2</v>
      </c>
      <c r="AM126">
        <v>3</v>
      </c>
      <c r="AN126">
        <v>2</v>
      </c>
      <c r="AO126">
        <v>3</v>
      </c>
      <c r="AP126" t="str">
        <f>SUM(B126:AO126)</f>
        <v>0</v>
      </c>
    </row>
    <row r="127" spans="1:43">
      <c r="A127" t="s">
        <v>152</v>
      </c>
      <c r="B127">
        <v>2</v>
      </c>
      <c r="C127">
        <v>2</v>
      </c>
      <c r="D127">
        <v>3</v>
      </c>
      <c r="E127">
        <v>2</v>
      </c>
      <c r="F127">
        <v>4</v>
      </c>
      <c r="G127">
        <v>4</v>
      </c>
      <c r="H127">
        <v>3</v>
      </c>
      <c r="I127">
        <v>2</v>
      </c>
      <c r="J127">
        <v>4</v>
      </c>
      <c r="K127">
        <v>3</v>
      </c>
      <c r="L127">
        <v>2</v>
      </c>
      <c r="M127">
        <v>2</v>
      </c>
      <c r="N127">
        <v>2</v>
      </c>
      <c r="O127">
        <v>3</v>
      </c>
      <c r="P127">
        <v>3</v>
      </c>
      <c r="Q127">
        <v>3</v>
      </c>
      <c r="R127">
        <v>2</v>
      </c>
      <c r="S127">
        <v>2</v>
      </c>
      <c r="T127">
        <v>2</v>
      </c>
      <c r="U127">
        <v>3</v>
      </c>
      <c r="V127">
        <v>4</v>
      </c>
      <c r="W127">
        <v>3</v>
      </c>
      <c r="X127">
        <v>3</v>
      </c>
      <c r="Y127">
        <v>3</v>
      </c>
      <c r="Z127">
        <v>2</v>
      </c>
      <c r="AA127">
        <v>3</v>
      </c>
      <c r="AB127">
        <v>3</v>
      </c>
      <c r="AC127">
        <v>4</v>
      </c>
      <c r="AD127">
        <v>3</v>
      </c>
      <c r="AE127">
        <v>2</v>
      </c>
      <c r="AF127">
        <v>2</v>
      </c>
      <c r="AG127">
        <v>2</v>
      </c>
      <c r="AH127">
        <v>3</v>
      </c>
      <c r="AI127">
        <v>4</v>
      </c>
      <c r="AJ127">
        <v>4</v>
      </c>
      <c r="AK127">
        <v>2</v>
      </c>
      <c r="AL127">
        <v>2</v>
      </c>
      <c r="AM127">
        <v>3</v>
      </c>
      <c r="AN127">
        <v>2</v>
      </c>
      <c r="AO127">
        <v>2</v>
      </c>
      <c r="AP127" t="str">
        <f>SUM(B127:AO127)</f>
        <v>0</v>
      </c>
    </row>
    <row r="128" spans="1:43">
      <c r="A128" t="s">
        <v>153</v>
      </c>
      <c r="B128">
        <v>2</v>
      </c>
      <c r="C128">
        <v>2</v>
      </c>
      <c r="D128">
        <v>1</v>
      </c>
      <c r="E128">
        <v>1</v>
      </c>
      <c r="F128">
        <v>1</v>
      </c>
      <c r="G128">
        <v>2</v>
      </c>
      <c r="H128">
        <v>2</v>
      </c>
      <c r="I128">
        <v>1</v>
      </c>
      <c r="J128">
        <v>2</v>
      </c>
      <c r="K128">
        <v>2</v>
      </c>
      <c r="L128">
        <v>1</v>
      </c>
      <c r="M128">
        <v>2</v>
      </c>
      <c r="N128">
        <v>1</v>
      </c>
      <c r="O128">
        <v>2</v>
      </c>
      <c r="P128">
        <v>1</v>
      </c>
      <c r="Q128">
        <v>1</v>
      </c>
      <c r="R128">
        <v>2</v>
      </c>
      <c r="S128">
        <v>2</v>
      </c>
      <c r="T128">
        <v>1</v>
      </c>
      <c r="U128">
        <v>1</v>
      </c>
      <c r="V128">
        <v>1</v>
      </c>
      <c r="W128">
        <v>2</v>
      </c>
      <c r="X128">
        <v>1</v>
      </c>
      <c r="Y128">
        <v>2</v>
      </c>
      <c r="Z128">
        <v>1</v>
      </c>
      <c r="AA128">
        <v>1</v>
      </c>
      <c r="AB128">
        <v>1</v>
      </c>
      <c r="AC128">
        <v>2</v>
      </c>
      <c r="AD128">
        <v>1</v>
      </c>
      <c r="AE128">
        <v>1</v>
      </c>
      <c r="AF128">
        <v>2</v>
      </c>
      <c r="AG128">
        <v>1</v>
      </c>
      <c r="AH128">
        <v>2</v>
      </c>
      <c r="AI128">
        <v>2</v>
      </c>
      <c r="AJ128">
        <v>1</v>
      </c>
      <c r="AK128">
        <v>1</v>
      </c>
      <c r="AL128">
        <v>2</v>
      </c>
      <c r="AM128">
        <v>1</v>
      </c>
      <c r="AN128">
        <v>1</v>
      </c>
      <c r="AO128">
        <v>1</v>
      </c>
      <c r="AP128" t="str">
        <f>SUM(B128:AO128)</f>
        <v>0</v>
      </c>
    </row>
    <row r="129" spans="1:43">
      <c r="A129" t="s">
        <v>154</v>
      </c>
      <c r="B129">
        <v>4</v>
      </c>
      <c r="C129">
        <v>5</v>
      </c>
      <c r="D129">
        <v>4</v>
      </c>
      <c r="E129">
        <v>4</v>
      </c>
      <c r="F129">
        <v>5</v>
      </c>
      <c r="G129">
        <v>5</v>
      </c>
      <c r="H129">
        <v>4</v>
      </c>
      <c r="I129">
        <v>4</v>
      </c>
      <c r="J129">
        <v>5</v>
      </c>
      <c r="K129">
        <v>3</v>
      </c>
      <c r="L129">
        <v>4</v>
      </c>
      <c r="M129">
        <v>5</v>
      </c>
      <c r="N129">
        <v>5</v>
      </c>
      <c r="O129">
        <v>4</v>
      </c>
      <c r="P129">
        <v>5</v>
      </c>
      <c r="Q129">
        <v>5</v>
      </c>
      <c r="R129">
        <v>3</v>
      </c>
      <c r="S129">
        <v>5</v>
      </c>
      <c r="T129">
        <v>4</v>
      </c>
      <c r="U129">
        <v>4</v>
      </c>
      <c r="V129">
        <v>4</v>
      </c>
      <c r="W129">
        <v>5</v>
      </c>
      <c r="X129">
        <v>4</v>
      </c>
      <c r="Y129">
        <v>4</v>
      </c>
      <c r="Z129">
        <v>5</v>
      </c>
      <c r="AA129">
        <v>5</v>
      </c>
      <c r="AB129">
        <v>5</v>
      </c>
      <c r="AC129">
        <v>5</v>
      </c>
      <c r="AD129">
        <v>5</v>
      </c>
      <c r="AE129">
        <v>3</v>
      </c>
      <c r="AF129">
        <v>4</v>
      </c>
      <c r="AG129">
        <v>5</v>
      </c>
      <c r="AH129">
        <v>4</v>
      </c>
      <c r="AI129">
        <v>3</v>
      </c>
      <c r="AJ129">
        <v>5</v>
      </c>
      <c r="AK129">
        <v>5</v>
      </c>
      <c r="AL129">
        <v>5</v>
      </c>
      <c r="AM129">
        <v>5</v>
      </c>
      <c r="AN129">
        <v>5</v>
      </c>
      <c r="AO129">
        <v>3</v>
      </c>
      <c r="AP129" t="str">
        <f>SUM(B129:AO129)</f>
        <v>0</v>
      </c>
    </row>
    <row r="130" spans="1:43">
      <c r="A130" t="s">
        <v>155</v>
      </c>
      <c r="B130">
        <v>2</v>
      </c>
      <c r="C130">
        <v>2</v>
      </c>
      <c r="D130">
        <v>2</v>
      </c>
      <c r="E130">
        <v>2</v>
      </c>
      <c r="F130">
        <v>2</v>
      </c>
      <c r="G130">
        <v>1</v>
      </c>
      <c r="H130">
        <v>1</v>
      </c>
      <c r="I130">
        <v>1</v>
      </c>
      <c r="J130">
        <v>1</v>
      </c>
      <c r="K130">
        <v>2</v>
      </c>
      <c r="L130">
        <v>1</v>
      </c>
      <c r="M130">
        <v>1</v>
      </c>
      <c r="N130">
        <v>2</v>
      </c>
      <c r="O130">
        <v>1</v>
      </c>
      <c r="P130">
        <v>1</v>
      </c>
      <c r="Q130">
        <v>1</v>
      </c>
      <c r="R130">
        <v>2</v>
      </c>
      <c r="S130">
        <v>2</v>
      </c>
      <c r="T130">
        <v>1</v>
      </c>
      <c r="U130">
        <v>1</v>
      </c>
      <c r="V130">
        <v>2</v>
      </c>
      <c r="W130">
        <v>2</v>
      </c>
      <c r="X130">
        <v>1</v>
      </c>
      <c r="Y130">
        <v>2</v>
      </c>
      <c r="Z130">
        <v>1</v>
      </c>
      <c r="AA130">
        <v>1</v>
      </c>
      <c r="AB130">
        <v>1</v>
      </c>
      <c r="AC130">
        <v>1</v>
      </c>
      <c r="AD130">
        <v>2</v>
      </c>
      <c r="AE130">
        <v>2</v>
      </c>
      <c r="AF130">
        <v>2</v>
      </c>
      <c r="AG130">
        <v>1</v>
      </c>
      <c r="AH130">
        <v>1</v>
      </c>
      <c r="AI130">
        <v>2</v>
      </c>
      <c r="AJ130">
        <v>2</v>
      </c>
      <c r="AK130">
        <v>2</v>
      </c>
      <c r="AL130">
        <v>1</v>
      </c>
      <c r="AM130">
        <v>2</v>
      </c>
      <c r="AN130">
        <v>1</v>
      </c>
      <c r="AO130">
        <v>2</v>
      </c>
      <c r="AP130" t="str">
        <f>SUM(B130:AO130)</f>
        <v>0</v>
      </c>
    </row>
    <row r="131" spans="1:43">
      <c r="A131" t="s">
        <v>156</v>
      </c>
      <c r="B131">
        <v>5</v>
      </c>
      <c r="C131">
        <v>4</v>
      </c>
      <c r="D131">
        <v>5</v>
      </c>
      <c r="E131">
        <v>3</v>
      </c>
      <c r="F131">
        <v>3</v>
      </c>
      <c r="G131">
        <v>3</v>
      </c>
      <c r="H131">
        <v>5</v>
      </c>
      <c r="I131">
        <v>3</v>
      </c>
      <c r="J131">
        <v>4</v>
      </c>
      <c r="K131">
        <v>5</v>
      </c>
      <c r="L131">
        <v>3</v>
      </c>
      <c r="M131">
        <v>5</v>
      </c>
      <c r="N131">
        <v>3</v>
      </c>
      <c r="O131">
        <v>4</v>
      </c>
      <c r="P131">
        <v>3</v>
      </c>
      <c r="Q131">
        <v>4</v>
      </c>
      <c r="R131">
        <v>4</v>
      </c>
      <c r="S131">
        <v>4</v>
      </c>
      <c r="T131">
        <v>5</v>
      </c>
      <c r="U131">
        <v>5</v>
      </c>
      <c r="V131">
        <v>5</v>
      </c>
      <c r="W131">
        <v>4</v>
      </c>
      <c r="X131">
        <v>3</v>
      </c>
      <c r="Y131">
        <v>5</v>
      </c>
      <c r="Z131">
        <v>4</v>
      </c>
      <c r="AA131">
        <v>4</v>
      </c>
      <c r="AB131">
        <v>5</v>
      </c>
      <c r="AC131">
        <v>4</v>
      </c>
      <c r="AD131">
        <v>4</v>
      </c>
      <c r="AE131">
        <v>4</v>
      </c>
      <c r="AF131">
        <v>4</v>
      </c>
      <c r="AG131">
        <v>5</v>
      </c>
      <c r="AH131">
        <v>5</v>
      </c>
      <c r="AI131">
        <v>5</v>
      </c>
      <c r="AJ131">
        <v>3</v>
      </c>
      <c r="AK131">
        <v>4</v>
      </c>
      <c r="AL131">
        <v>5</v>
      </c>
      <c r="AM131">
        <v>5</v>
      </c>
      <c r="AN131">
        <v>5</v>
      </c>
      <c r="AO131">
        <v>5</v>
      </c>
      <c r="AP131" t="str">
        <f>SUM(B131:AO131)</f>
        <v>0</v>
      </c>
    </row>
    <row r="132" spans="1:43">
      <c r="A132" t="s">
        <v>157</v>
      </c>
      <c r="B132">
        <v>2</v>
      </c>
      <c r="C132">
        <v>2</v>
      </c>
      <c r="D132">
        <v>2</v>
      </c>
      <c r="E132">
        <v>2</v>
      </c>
      <c r="F132">
        <v>3</v>
      </c>
      <c r="G132">
        <v>2</v>
      </c>
      <c r="H132">
        <v>3</v>
      </c>
      <c r="I132">
        <v>2</v>
      </c>
      <c r="J132">
        <v>3</v>
      </c>
      <c r="K132">
        <v>2</v>
      </c>
      <c r="L132">
        <v>2</v>
      </c>
      <c r="M132">
        <v>3</v>
      </c>
      <c r="N132">
        <v>2</v>
      </c>
      <c r="O132">
        <v>3</v>
      </c>
      <c r="P132">
        <v>2</v>
      </c>
      <c r="Q132">
        <v>3</v>
      </c>
      <c r="R132">
        <v>2</v>
      </c>
      <c r="S132">
        <v>2</v>
      </c>
      <c r="T132">
        <v>3</v>
      </c>
      <c r="U132">
        <v>2</v>
      </c>
      <c r="V132">
        <v>3</v>
      </c>
      <c r="W132">
        <v>2</v>
      </c>
      <c r="X132">
        <v>2</v>
      </c>
      <c r="Y132">
        <v>3</v>
      </c>
      <c r="Z132">
        <v>3</v>
      </c>
      <c r="AA132">
        <v>2</v>
      </c>
      <c r="AB132">
        <v>2</v>
      </c>
      <c r="AC132">
        <v>2</v>
      </c>
      <c r="AD132">
        <v>3</v>
      </c>
      <c r="AE132">
        <v>3</v>
      </c>
      <c r="AF132">
        <v>2</v>
      </c>
      <c r="AG132">
        <v>2</v>
      </c>
      <c r="AH132">
        <v>3</v>
      </c>
      <c r="AI132">
        <v>3</v>
      </c>
      <c r="AJ132">
        <v>2</v>
      </c>
      <c r="AK132">
        <v>2</v>
      </c>
      <c r="AL132">
        <v>3</v>
      </c>
      <c r="AM132">
        <v>3</v>
      </c>
      <c r="AN132">
        <v>3</v>
      </c>
      <c r="AO132">
        <v>2</v>
      </c>
      <c r="AP132" t="str">
        <f>SUM(B132:AO132)</f>
        <v>0</v>
      </c>
    </row>
    <row r="133" spans="1:43">
      <c r="A133" t="s">
        <v>158</v>
      </c>
      <c r="B133">
        <v>4</v>
      </c>
      <c r="C133">
        <v>2</v>
      </c>
      <c r="D133">
        <v>3</v>
      </c>
      <c r="E133">
        <v>3</v>
      </c>
      <c r="F133">
        <v>4</v>
      </c>
      <c r="G133">
        <v>4</v>
      </c>
      <c r="H133">
        <v>5</v>
      </c>
      <c r="I133">
        <v>3</v>
      </c>
      <c r="J133">
        <v>4</v>
      </c>
      <c r="K133">
        <v>3</v>
      </c>
      <c r="L133">
        <v>3</v>
      </c>
      <c r="M133">
        <v>3</v>
      </c>
      <c r="N133">
        <v>4</v>
      </c>
      <c r="O133">
        <v>3</v>
      </c>
      <c r="P133">
        <v>5</v>
      </c>
      <c r="Q133">
        <v>3</v>
      </c>
      <c r="R133">
        <v>5</v>
      </c>
      <c r="S133">
        <v>3</v>
      </c>
      <c r="T133">
        <v>4</v>
      </c>
      <c r="U133">
        <v>4</v>
      </c>
      <c r="V133">
        <v>3</v>
      </c>
      <c r="W133">
        <v>3</v>
      </c>
      <c r="X133">
        <v>4</v>
      </c>
      <c r="Y133">
        <v>3</v>
      </c>
      <c r="Z133">
        <v>2</v>
      </c>
      <c r="AA133">
        <v>4</v>
      </c>
      <c r="AB133">
        <v>3</v>
      </c>
      <c r="AC133">
        <v>5</v>
      </c>
      <c r="AD133">
        <v>3</v>
      </c>
      <c r="AE133">
        <v>4</v>
      </c>
      <c r="AF133">
        <v>4</v>
      </c>
      <c r="AG133">
        <v>4</v>
      </c>
      <c r="AH133">
        <v>3</v>
      </c>
      <c r="AI133">
        <v>4</v>
      </c>
      <c r="AJ133">
        <v>3</v>
      </c>
      <c r="AK133">
        <v>5</v>
      </c>
      <c r="AL133">
        <v>4</v>
      </c>
      <c r="AM133">
        <v>3</v>
      </c>
      <c r="AN133">
        <v>4</v>
      </c>
      <c r="AO133">
        <v>3</v>
      </c>
      <c r="AP133" t="str">
        <f>SUM(B133:AO133)</f>
        <v>0</v>
      </c>
    </row>
    <row r="134" spans="1:43">
      <c r="A134" t="s">
        <v>159</v>
      </c>
      <c r="B134">
        <v>1</v>
      </c>
      <c r="C134">
        <v>1</v>
      </c>
      <c r="D134">
        <v>1</v>
      </c>
      <c r="E134">
        <v>1</v>
      </c>
      <c r="F134">
        <v>1</v>
      </c>
      <c r="G134">
        <v>1</v>
      </c>
      <c r="H134">
        <v>1</v>
      </c>
      <c r="I134">
        <v>1</v>
      </c>
      <c r="J134">
        <v>1</v>
      </c>
      <c r="K134">
        <v>1</v>
      </c>
      <c r="L134">
        <v>1</v>
      </c>
      <c r="M134">
        <v>2</v>
      </c>
      <c r="N134">
        <v>1</v>
      </c>
      <c r="O134">
        <v>1</v>
      </c>
      <c r="P134">
        <v>1</v>
      </c>
      <c r="Q134">
        <v>1</v>
      </c>
      <c r="R134">
        <v>1</v>
      </c>
      <c r="S134">
        <v>2</v>
      </c>
      <c r="T134">
        <v>1</v>
      </c>
      <c r="U134">
        <v>1</v>
      </c>
      <c r="V134">
        <v>1</v>
      </c>
      <c r="W134">
        <v>1</v>
      </c>
      <c r="X134">
        <v>1</v>
      </c>
      <c r="Y134">
        <v>1</v>
      </c>
      <c r="Z134">
        <v>1</v>
      </c>
      <c r="AA134">
        <v>1</v>
      </c>
      <c r="AB134">
        <v>2</v>
      </c>
      <c r="AC134">
        <v>2</v>
      </c>
      <c r="AD134">
        <v>1</v>
      </c>
      <c r="AE134">
        <v>1</v>
      </c>
      <c r="AF134">
        <v>1</v>
      </c>
      <c r="AG134">
        <v>1</v>
      </c>
      <c r="AH134">
        <v>1</v>
      </c>
      <c r="AI134">
        <v>1</v>
      </c>
      <c r="AJ134">
        <v>2</v>
      </c>
      <c r="AK134">
        <v>1</v>
      </c>
      <c r="AL134">
        <v>1</v>
      </c>
      <c r="AM134">
        <v>2</v>
      </c>
      <c r="AN134">
        <v>1</v>
      </c>
      <c r="AO134">
        <v>1</v>
      </c>
      <c r="AP134" t="str">
        <f>SUM(B134:AO134)</f>
        <v>0</v>
      </c>
    </row>
    <row r="135" spans="1:43">
      <c r="A135" t="s">
        <v>160</v>
      </c>
      <c r="B135">
        <v>4</v>
      </c>
      <c r="C135">
        <v>4</v>
      </c>
      <c r="D135">
        <v>4</v>
      </c>
      <c r="E135">
        <v>3</v>
      </c>
      <c r="F135">
        <v>4</v>
      </c>
      <c r="G135">
        <v>3</v>
      </c>
      <c r="H135">
        <v>4</v>
      </c>
      <c r="I135">
        <v>4</v>
      </c>
      <c r="J135">
        <v>3</v>
      </c>
      <c r="K135">
        <v>4</v>
      </c>
      <c r="L135">
        <v>4</v>
      </c>
      <c r="M135">
        <v>3</v>
      </c>
      <c r="N135">
        <v>3</v>
      </c>
      <c r="O135">
        <v>4</v>
      </c>
      <c r="P135">
        <v>3</v>
      </c>
      <c r="Q135">
        <v>5</v>
      </c>
      <c r="R135">
        <v>4</v>
      </c>
      <c r="S135">
        <v>3</v>
      </c>
      <c r="T135">
        <v>4</v>
      </c>
      <c r="U135">
        <v>4</v>
      </c>
      <c r="V135">
        <v>4</v>
      </c>
      <c r="W135">
        <v>4</v>
      </c>
      <c r="X135">
        <v>3</v>
      </c>
      <c r="Y135">
        <v>5</v>
      </c>
      <c r="Z135">
        <v>4</v>
      </c>
      <c r="AA135">
        <v>5</v>
      </c>
      <c r="AB135">
        <v>5</v>
      </c>
      <c r="AC135">
        <v>4</v>
      </c>
      <c r="AD135">
        <v>4</v>
      </c>
      <c r="AE135">
        <v>3</v>
      </c>
      <c r="AF135">
        <v>4</v>
      </c>
      <c r="AG135">
        <v>3</v>
      </c>
      <c r="AH135">
        <v>5</v>
      </c>
      <c r="AI135">
        <v>3</v>
      </c>
      <c r="AJ135">
        <v>3</v>
      </c>
      <c r="AK135">
        <v>4</v>
      </c>
      <c r="AL135">
        <v>3</v>
      </c>
      <c r="AM135">
        <v>3</v>
      </c>
      <c r="AN135">
        <v>4</v>
      </c>
      <c r="AO135">
        <v>5</v>
      </c>
      <c r="AP135" t="str">
        <f>SUM(B135:AO135)</f>
        <v>0</v>
      </c>
    </row>
    <row r="136" spans="1:43">
      <c r="A136" t="s">
        <v>161</v>
      </c>
      <c r="B136">
        <v>3</v>
      </c>
      <c r="C136">
        <v>2</v>
      </c>
      <c r="D136">
        <v>2</v>
      </c>
      <c r="E136">
        <v>2</v>
      </c>
      <c r="F136">
        <v>3</v>
      </c>
      <c r="G136">
        <v>2</v>
      </c>
      <c r="H136">
        <v>2</v>
      </c>
      <c r="I136">
        <v>3</v>
      </c>
      <c r="J136">
        <v>3</v>
      </c>
      <c r="K136">
        <v>3</v>
      </c>
      <c r="L136">
        <v>3</v>
      </c>
      <c r="M136">
        <v>3</v>
      </c>
      <c r="N136">
        <v>3</v>
      </c>
      <c r="O136">
        <v>2</v>
      </c>
      <c r="P136">
        <v>2</v>
      </c>
      <c r="Q136">
        <v>2</v>
      </c>
      <c r="R136">
        <v>3</v>
      </c>
      <c r="S136">
        <v>3</v>
      </c>
      <c r="T136">
        <v>2</v>
      </c>
      <c r="U136">
        <v>3</v>
      </c>
      <c r="V136">
        <v>3</v>
      </c>
      <c r="W136">
        <v>4</v>
      </c>
      <c r="X136">
        <v>3</v>
      </c>
      <c r="Y136">
        <v>2</v>
      </c>
      <c r="Z136">
        <v>2</v>
      </c>
      <c r="AA136">
        <v>2</v>
      </c>
      <c r="AB136">
        <v>3</v>
      </c>
      <c r="AC136">
        <v>3</v>
      </c>
      <c r="AD136">
        <v>2</v>
      </c>
      <c r="AE136">
        <v>2</v>
      </c>
      <c r="AF136">
        <v>3</v>
      </c>
      <c r="AG136">
        <v>3</v>
      </c>
      <c r="AH136">
        <v>2</v>
      </c>
      <c r="AI136">
        <v>3</v>
      </c>
      <c r="AJ136">
        <v>3</v>
      </c>
      <c r="AK136">
        <v>3</v>
      </c>
      <c r="AL136">
        <v>3</v>
      </c>
      <c r="AM136">
        <v>3</v>
      </c>
      <c r="AN136">
        <v>3</v>
      </c>
      <c r="AO136">
        <v>2</v>
      </c>
      <c r="AP136" t="str">
        <f>SUM(B136:AO136)</f>
        <v>0</v>
      </c>
    </row>
    <row r="137" spans="1:43">
      <c r="A137" t="s">
        <v>162</v>
      </c>
      <c r="B137">
        <v>4</v>
      </c>
      <c r="C137">
        <v>3</v>
      </c>
      <c r="D137">
        <v>4</v>
      </c>
      <c r="E137">
        <v>3</v>
      </c>
      <c r="F137">
        <v>2</v>
      </c>
      <c r="G137">
        <v>3</v>
      </c>
      <c r="H137">
        <v>3</v>
      </c>
      <c r="I137">
        <v>3</v>
      </c>
      <c r="J137">
        <v>2</v>
      </c>
      <c r="K137">
        <v>3</v>
      </c>
      <c r="L137">
        <v>2</v>
      </c>
      <c r="M137">
        <v>4</v>
      </c>
      <c r="N137">
        <v>4</v>
      </c>
      <c r="O137">
        <v>3</v>
      </c>
      <c r="P137">
        <v>3</v>
      </c>
      <c r="Q137">
        <v>3</v>
      </c>
      <c r="R137">
        <v>3</v>
      </c>
      <c r="S137">
        <v>4</v>
      </c>
      <c r="T137">
        <v>2</v>
      </c>
      <c r="U137">
        <v>2</v>
      </c>
      <c r="V137">
        <v>4</v>
      </c>
      <c r="W137">
        <v>2</v>
      </c>
      <c r="X137">
        <v>3</v>
      </c>
      <c r="Y137">
        <v>4</v>
      </c>
      <c r="Z137">
        <v>3</v>
      </c>
      <c r="AA137">
        <v>3</v>
      </c>
      <c r="AB137">
        <v>4</v>
      </c>
      <c r="AC137">
        <v>3</v>
      </c>
      <c r="AD137">
        <v>3</v>
      </c>
      <c r="AE137">
        <v>3</v>
      </c>
      <c r="AF137">
        <v>2</v>
      </c>
      <c r="AG137">
        <v>4</v>
      </c>
      <c r="AH137">
        <v>3</v>
      </c>
      <c r="AI137">
        <v>4</v>
      </c>
      <c r="AJ137">
        <v>4</v>
      </c>
      <c r="AK137">
        <v>3</v>
      </c>
      <c r="AL137">
        <v>3</v>
      </c>
      <c r="AM137">
        <v>2</v>
      </c>
      <c r="AN137">
        <v>2</v>
      </c>
      <c r="AO137">
        <v>4</v>
      </c>
      <c r="AP137" t="str">
        <f>SUM(B137:AO137)</f>
        <v>0</v>
      </c>
    </row>
    <row r="138" spans="1:43">
      <c r="A138" t="s">
        <v>163</v>
      </c>
      <c r="B138">
        <v>1</v>
      </c>
      <c r="C138">
        <v>1</v>
      </c>
      <c r="D138">
        <v>1</v>
      </c>
      <c r="E138">
        <v>2</v>
      </c>
      <c r="F138">
        <v>1</v>
      </c>
      <c r="G138">
        <v>2</v>
      </c>
      <c r="H138">
        <v>1</v>
      </c>
      <c r="I138">
        <v>1</v>
      </c>
      <c r="J138">
        <v>1</v>
      </c>
      <c r="K138">
        <v>1</v>
      </c>
      <c r="L138">
        <v>2</v>
      </c>
      <c r="M138">
        <v>1</v>
      </c>
      <c r="N138">
        <v>1</v>
      </c>
      <c r="O138">
        <v>1</v>
      </c>
      <c r="P138">
        <v>1</v>
      </c>
      <c r="Q138">
        <v>1</v>
      </c>
      <c r="R138">
        <v>1</v>
      </c>
      <c r="S138">
        <v>2</v>
      </c>
      <c r="T138">
        <v>1</v>
      </c>
      <c r="U138">
        <v>1</v>
      </c>
      <c r="V138">
        <v>2</v>
      </c>
      <c r="W138">
        <v>1</v>
      </c>
      <c r="X138">
        <v>2</v>
      </c>
      <c r="Y138">
        <v>1</v>
      </c>
      <c r="Z138">
        <v>1</v>
      </c>
      <c r="AA138">
        <v>2</v>
      </c>
      <c r="AB138">
        <v>1</v>
      </c>
      <c r="AC138">
        <v>1</v>
      </c>
      <c r="AD138">
        <v>1</v>
      </c>
      <c r="AE138">
        <v>2</v>
      </c>
      <c r="AF138">
        <v>1</v>
      </c>
      <c r="AG138">
        <v>2</v>
      </c>
      <c r="AH138">
        <v>1</v>
      </c>
      <c r="AI138">
        <v>1</v>
      </c>
      <c r="AJ138">
        <v>1</v>
      </c>
      <c r="AK138">
        <v>1</v>
      </c>
      <c r="AL138">
        <v>1</v>
      </c>
      <c r="AM138">
        <v>1</v>
      </c>
      <c r="AN138">
        <v>1</v>
      </c>
      <c r="AO138">
        <v>2</v>
      </c>
      <c r="AP138" t="str">
        <f>SUM(B138:AO138)</f>
        <v>0</v>
      </c>
    </row>
    <row r="139" spans="1:43">
      <c r="A139" t="s">
        <v>164</v>
      </c>
      <c r="B139">
        <v>2</v>
      </c>
      <c r="C139">
        <v>2</v>
      </c>
      <c r="D139">
        <v>3</v>
      </c>
      <c r="E139">
        <v>2</v>
      </c>
      <c r="F139">
        <v>3</v>
      </c>
      <c r="G139">
        <v>2</v>
      </c>
      <c r="H139">
        <v>2</v>
      </c>
      <c r="I139">
        <v>3</v>
      </c>
      <c r="J139">
        <v>2</v>
      </c>
      <c r="K139">
        <v>3</v>
      </c>
      <c r="L139">
        <v>2</v>
      </c>
      <c r="M139">
        <v>2</v>
      </c>
      <c r="N139">
        <v>3</v>
      </c>
      <c r="O139">
        <v>3</v>
      </c>
      <c r="P139">
        <v>3</v>
      </c>
      <c r="Q139">
        <v>3</v>
      </c>
      <c r="R139">
        <v>2</v>
      </c>
      <c r="S139">
        <v>2</v>
      </c>
      <c r="T139">
        <v>3</v>
      </c>
      <c r="U139">
        <v>2</v>
      </c>
      <c r="V139">
        <v>2</v>
      </c>
      <c r="W139">
        <v>2</v>
      </c>
      <c r="X139">
        <v>3</v>
      </c>
      <c r="Y139">
        <v>3</v>
      </c>
      <c r="Z139">
        <v>2</v>
      </c>
      <c r="AA139">
        <v>3</v>
      </c>
      <c r="AB139">
        <v>3</v>
      </c>
      <c r="AC139">
        <v>2</v>
      </c>
      <c r="AD139">
        <v>2</v>
      </c>
      <c r="AE139">
        <v>3</v>
      </c>
      <c r="AF139">
        <v>3</v>
      </c>
      <c r="AG139">
        <v>2</v>
      </c>
      <c r="AH139">
        <v>3</v>
      </c>
      <c r="AI139">
        <v>2</v>
      </c>
      <c r="AJ139">
        <v>2</v>
      </c>
      <c r="AK139">
        <v>2</v>
      </c>
      <c r="AL139">
        <v>3</v>
      </c>
      <c r="AM139">
        <v>2</v>
      </c>
      <c r="AN139">
        <v>2</v>
      </c>
      <c r="AO139">
        <v>2</v>
      </c>
      <c r="AP139" t="str">
        <f>SUM(B139:AO139)</f>
        <v>0</v>
      </c>
    </row>
    <row r="140" spans="1:43">
      <c r="A140" t="s">
        <v>165</v>
      </c>
      <c r="B140">
        <v>4</v>
      </c>
      <c r="C140">
        <v>4</v>
      </c>
      <c r="D140">
        <v>3</v>
      </c>
      <c r="E140">
        <v>3</v>
      </c>
      <c r="F140">
        <v>5</v>
      </c>
      <c r="G140">
        <v>5</v>
      </c>
      <c r="H140">
        <v>5</v>
      </c>
      <c r="I140">
        <v>4</v>
      </c>
      <c r="J140">
        <v>4</v>
      </c>
      <c r="K140">
        <v>4</v>
      </c>
      <c r="L140">
        <v>3</v>
      </c>
      <c r="M140">
        <v>3</v>
      </c>
      <c r="N140">
        <v>3</v>
      </c>
      <c r="O140">
        <v>4</v>
      </c>
      <c r="P140">
        <v>3</v>
      </c>
      <c r="Q140">
        <v>4</v>
      </c>
      <c r="R140">
        <v>3</v>
      </c>
      <c r="S140">
        <v>4</v>
      </c>
      <c r="T140">
        <v>3</v>
      </c>
      <c r="U140">
        <v>3</v>
      </c>
      <c r="V140">
        <v>3</v>
      </c>
      <c r="W140">
        <v>4</v>
      </c>
      <c r="X140">
        <v>3</v>
      </c>
      <c r="Y140">
        <v>3</v>
      </c>
      <c r="Z140">
        <v>3</v>
      </c>
      <c r="AA140">
        <v>3</v>
      </c>
      <c r="AB140">
        <v>5</v>
      </c>
      <c r="AC140">
        <v>3</v>
      </c>
      <c r="AD140">
        <v>4</v>
      </c>
      <c r="AE140">
        <v>5</v>
      </c>
      <c r="AF140">
        <v>4</v>
      </c>
      <c r="AG140">
        <v>3</v>
      </c>
      <c r="AH140">
        <v>3</v>
      </c>
      <c r="AI140">
        <v>3</v>
      </c>
      <c r="AJ140">
        <v>3</v>
      </c>
      <c r="AK140">
        <v>4</v>
      </c>
      <c r="AL140">
        <v>5</v>
      </c>
      <c r="AM140">
        <v>3</v>
      </c>
      <c r="AN140">
        <v>3</v>
      </c>
      <c r="AO140">
        <v>4</v>
      </c>
      <c r="AP140" t="str">
        <f>SUM(B140:AO140)</f>
        <v>0</v>
      </c>
    </row>
    <row r="141" spans="1:43">
      <c r="A141" t="s">
        <v>166</v>
      </c>
      <c r="B141">
        <v>3</v>
      </c>
      <c r="C141">
        <v>3</v>
      </c>
      <c r="D141">
        <v>3</v>
      </c>
      <c r="E141">
        <v>3</v>
      </c>
      <c r="F141">
        <v>3</v>
      </c>
      <c r="G141">
        <v>3</v>
      </c>
      <c r="H141">
        <v>3</v>
      </c>
      <c r="I141">
        <v>2</v>
      </c>
      <c r="J141">
        <v>3</v>
      </c>
      <c r="K141">
        <v>2</v>
      </c>
      <c r="L141">
        <v>3</v>
      </c>
      <c r="M141">
        <v>2</v>
      </c>
      <c r="N141">
        <v>3</v>
      </c>
      <c r="O141">
        <v>3</v>
      </c>
      <c r="P141">
        <v>4</v>
      </c>
      <c r="Q141">
        <v>3</v>
      </c>
      <c r="R141">
        <v>3</v>
      </c>
      <c r="S141">
        <v>2</v>
      </c>
      <c r="T141">
        <v>3</v>
      </c>
      <c r="U141">
        <v>3</v>
      </c>
      <c r="V141">
        <v>2</v>
      </c>
      <c r="W141">
        <v>2</v>
      </c>
      <c r="X141">
        <v>2</v>
      </c>
      <c r="Y141">
        <v>2</v>
      </c>
      <c r="Z141">
        <v>3</v>
      </c>
      <c r="AA141">
        <v>2</v>
      </c>
      <c r="AB141">
        <v>3</v>
      </c>
      <c r="AC141">
        <v>3</v>
      </c>
      <c r="AD141">
        <v>3</v>
      </c>
      <c r="AE141">
        <v>2</v>
      </c>
      <c r="AF141">
        <v>3</v>
      </c>
      <c r="AG141">
        <v>3</v>
      </c>
      <c r="AH141">
        <v>3</v>
      </c>
      <c r="AI141">
        <v>3</v>
      </c>
      <c r="AJ141">
        <v>3</v>
      </c>
      <c r="AK141">
        <v>2</v>
      </c>
      <c r="AL141">
        <v>2</v>
      </c>
      <c r="AM141">
        <v>2</v>
      </c>
      <c r="AN141">
        <v>3</v>
      </c>
      <c r="AO141">
        <v>3</v>
      </c>
      <c r="AP141" t="str">
        <f>SUM(B141:AO141)</f>
        <v>0</v>
      </c>
    </row>
    <row r="142" spans="1:43">
      <c r="A142" t="s">
        <v>167</v>
      </c>
      <c r="B142">
        <v>2</v>
      </c>
      <c r="C142">
        <v>3</v>
      </c>
      <c r="D142">
        <v>2</v>
      </c>
      <c r="E142">
        <v>2</v>
      </c>
      <c r="F142">
        <v>3</v>
      </c>
      <c r="G142">
        <v>2</v>
      </c>
      <c r="H142">
        <v>2</v>
      </c>
      <c r="I142">
        <v>4</v>
      </c>
      <c r="J142">
        <v>3</v>
      </c>
      <c r="K142">
        <v>4</v>
      </c>
      <c r="L142">
        <v>3</v>
      </c>
      <c r="M142">
        <v>4</v>
      </c>
      <c r="N142">
        <v>3</v>
      </c>
      <c r="O142">
        <v>3</v>
      </c>
      <c r="P142">
        <v>3</v>
      </c>
      <c r="Q142">
        <v>3</v>
      </c>
      <c r="R142">
        <v>4</v>
      </c>
      <c r="S142">
        <v>4</v>
      </c>
      <c r="T142">
        <v>3</v>
      </c>
      <c r="U142">
        <v>3</v>
      </c>
      <c r="V142">
        <v>3</v>
      </c>
      <c r="W142">
        <v>3</v>
      </c>
      <c r="X142">
        <v>4</v>
      </c>
      <c r="Y142">
        <v>4</v>
      </c>
      <c r="Z142">
        <v>3</v>
      </c>
      <c r="AA142">
        <v>2</v>
      </c>
      <c r="AB142">
        <v>3</v>
      </c>
      <c r="AC142">
        <v>4</v>
      </c>
      <c r="AD142">
        <v>3</v>
      </c>
      <c r="AE142">
        <v>3</v>
      </c>
      <c r="AF142">
        <v>2</v>
      </c>
      <c r="AG142">
        <v>3</v>
      </c>
      <c r="AH142">
        <v>3</v>
      </c>
      <c r="AI142">
        <v>2</v>
      </c>
      <c r="AJ142">
        <v>3</v>
      </c>
      <c r="AK142">
        <v>3</v>
      </c>
      <c r="AL142">
        <v>3</v>
      </c>
      <c r="AM142">
        <v>4</v>
      </c>
      <c r="AN142">
        <v>2</v>
      </c>
      <c r="AO142">
        <v>3</v>
      </c>
      <c r="AP142" t="str">
        <f>SUM(B142:AO142)</f>
        <v>0</v>
      </c>
    </row>
    <row r="143" spans="1:43">
      <c r="A143" t="s">
        <v>168</v>
      </c>
      <c r="B143">
        <v>3</v>
      </c>
      <c r="C143">
        <v>3</v>
      </c>
      <c r="D143">
        <v>4</v>
      </c>
      <c r="E143">
        <v>4</v>
      </c>
      <c r="F143">
        <v>4</v>
      </c>
      <c r="G143">
        <v>3</v>
      </c>
      <c r="H143">
        <v>4</v>
      </c>
      <c r="I143">
        <v>3</v>
      </c>
      <c r="J143">
        <v>4</v>
      </c>
      <c r="K143">
        <v>3</v>
      </c>
      <c r="L143">
        <v>3</v>
      </c>
      <c r="M143">
        <v>2</v>
      </c>
      <c r="N143">
        <v>3</v>
      </c>
      <c r="O143">
        <v>4</v>
      </c>
      <c r="P143">
        <v>4</v>
      </c>
      <c r="Q143">
        <v>3</v>
      </c>
      <c r="R143">
        <v>3</v>
      </c>
      <c r="S143">
        <v>4</v>
      </c>
      <c r="T143">
        <v>3</v>
      </c>
      <c r="U143">
        <v>3</v>
      </c>
      <c r="V143">
        <v>4</v>
      </c>
      <c r="W143">
        <v>3</v>
      </c>
      <c r="X143">
        <v>3</v>
      </c>
      <c r="Y143">
        <v>4</v>
      </c>
      <c r="Z143">
        <v>4</v>
      </c>
      <c r="AA143">
        <v>3</v>
      </c>
      <c r="AB143">
        <v>3</v>
      </c>
      <c r="AC143">
        <v>4</v>
      </c>
      <c r="AD143">
        <v>4</v>
      </c>
      <c r="AE143">
        <v>4</v>
      </c>
      <c r="AF143">
        <v>3</v>
      </c>
      <c r="AG143">
        <v>4</v>
      </c>
      <c r="AH143">
        <v>4</v>
      </c>
      <c r="AI143">
        <v>3</v>
      </c>
      <c r="AJ143">
        <v>3</v>
      </c>
      <c r="AK143">
        <v>4</v>
      </c>
      <c r="AL143">
        <v>3</v>
      </c>
      <c r="AM143">
        <v>2</v>
      </c>
      <c r="AN143">
        <v>5</v>
      </c>
      <c r="AO143">
        <v>3</v>
      </c>
      <c r="AP143" t="str">
        <f>SUM(B143:AO143)</f>
        <v>0</v>
      </c>
    </row>
    <row r="144" spans="1:43">
      <c r="A144" t="s">
        <v>169</v>
      </c>
      <c r="B144">
        <v>3</v>
      </c>
      <c r="C144">
        <v>3</v>
      </c>
      <c r="D144">
        <v>3</v>
      </c>
      <c r="E144">
        <v>3</v>
      </c>
      <c r="F144">
        <v>2</v>
      </c>
      <c r="G144">
        <v>2</v>
      </c>
      <c r="H144">
        <v>2</v>
      </c>
      <c r="I144">
        <v>3</v>
      </c>
      <c r="J144">
        <v>3</v>
      </c>
      <c r="K144">
        <v>2</v>
      </c>
      <c r="L144">
        <v>2</v>
      </c>
      <c r="M144">
        <v>2</v>
      </c>
      <c r="N144">
        <v>2</v>
      </c>
      <c r="O144">
        <v>3</v>
      </c>
      <c r="P144">
        <v>3</v>
      </c>
      <c r="Q144">
        <v>2</v>
      </c>
      <c r="R144">
        <v>2</v>
      </c>
      <c r="S144">
        <v>3</v>
      </c>
      <c r="T144">
        <v>2</v>
      </c>
      <c r="U144">
        <v>2</v>
      </c>
      <c r="V144">
        <v>3</v>
      </c>
      <c r="W144">
        <v>2</v>
      </c>
      <c r="X144">
        <v>3</v>
      </c>
      <c r="Y144">
        <v>2</v>
      </c>
      <c r="Z144">
        <v>2</v>
      </c>
      <c r="AA144">
        <v>3</v>
      </c>
      <c r="AB144">
        <v>3</v>
      </c>
      <c r="AC144">
        <v>2</v>
      </c>
      <c r="AD144">
        <v>3</v>
      </c>
      <c r="AE144">
        <v>3</v>
      </c>
      <c r="AF144">
        <v>3</v>
      </c>
      <c r="AG144">
        <v>2</v>
      </c>
      <c r="AH144">
        <v>3</v>
      </c>
      <c r="AI144">
        <v>3</v>
      </c>
      <c r="AJ144">
        <v>3</v>
      </c>
      <c r="AK144">
        <v>2</v>
      </c>
      <c r="AL144">
        <v>2</v>
      </c>
      <c r="AM144">
        <v>3</v>
      </c>
      <c r="AN144">
        <v>3</v>
      </c>
      <c r="AO144">
        <v>2</v>
      </c>
      <c r="AP144" t="str">
        <f>SUM(B144:AO144)</f>
        <v>0</v>
      </c>
    </row>
    <row r="145" spans="1:43">
      <c r="A145" t="s">
        <v>170</v>
      </c>
      <c r="B145">
        <v>2</v>
      </c>
      <c r="C145">
        <v>2</v>
      </c>
      <c r="D145">
        <v>2</v>
      </c>
      <c r="E145">
        <v>2</v>
      </c>
      <c r="F145">
        <v>2</v>
      </c>
      <c r="G145">
        <v>2</v>
      </c>
      <c r="H145">
        <v>2</v>
      </c>
      <c r="I145">
        <v>2</v>
      </c>
      <c r="J145">
        <v>2</v>
      </c>
      <c r="K145">
        <v>2</v>
      </c>
      <c r="L145">
        <v>2</v>
      </c>
      <c r="M145">
        <v>1</v>
      </c>
      <c r="N145">
        <v>2</v>
      </c>
      <c r="O145">
        <v>2</v>
      </c>
      <c r="P145">
        <v>2</v>
      </c>
      <c r="Q145">
        <v>2</v>
      </c>
      <c r="R145">
        <v>2</v>
      </c>
      <c r="S145">
        <v>2</v>
      </c>
      <c r="T145">
        <v>2</v>
      </c>
      <c r="U145">
        <v>2</v>
      </c>
      <c r="V145">
        <v>2</v>
      </c>
      <c r="W145">
        <v>2</v>
      </c>
      <c r="X145">
        <v>2</v>
      </c>
      <c r="Y145">
        <v>1</v>
      </c>
      <c r="Z145">
        <v>2</v>
      </c>
      <c r="AA145">
        <v>2</v>
      </c>
      <c r="AB145">
        <v>2</v>
      </c>
      <c r="AC145">
        <v>2</v>
      </c>
      <c r="AD145">
        <v>2</v>
      </c>
      <c r="AE145">
        <v>2</v>
      </c>
      <c r="AF145">
        <v>2</v>
      </c>
      <c r="AG145">
        <v>2</v>
      </c>
      <c r="AH145">
        <v>2</v>
      </c>
      <c r="AI145">
        <v>2</v>
      </c>
      <c r="AJ145">
        <v>2</v>
      </c>
      <c r="AK145">
        <v>2</v>
      </c>
      <c r="AL145">
        <v>1</v>
      </c>
      <c r="AM145">
        <v>2</v>
      </c>
      <c r="AN145">
        <v>1</v>
      </c>
      <c r="AO145">
        <v>1</v>
      </c>
      <c r="AP145" t="str">
        <f>SUM(B145:AO145)</f>
        <v>0</v>
      </c>
    </row>
    <row r="146" spans="1:43">
      <c r="A146" t="s">
        <v>171</v>
      </c>
      <c r="B146">
        <v>3</v>
      </c>
      <c r="C146">
        <v>2</v>
      </c>
      <c r="D146">
        <v>3</v>
      </c>
      <c r="E146">
        <v>2</v>
      </c>
      <c r="F146">
        <v>2</v>
      </c>
      <c r="G146">
        <v>3</v>
      </c>
      <c r="H146">
        <v>2</v>
      </c>
      <c r="I146">
        <v>3</v>
      </c>
      <c r="J146">
        <v>3</v>
      </c>
      <c r="K146">
        <v>3</v>
      </c>
      <c r="L146">
        <v>3</v>
      </c>
      <c r="M146">
        <v>3</v>
      </c>
      <c r="N146">
        <v>3</v>
      </c>
      <c r="O146">
        <v>3</v>
      </c>
      <c r="P146">
        <v>2</v>
      </c>
      <c r="Q146">
        <v>2</v>
      </c>
      <c r="R146">
        <v>3</v>
      </c>
      <c r="S146">
        <v>3</v>
      </c>
      <c r="T146">
        <v>2</v>
      </c>
      <c r="U146">
        <v>3</v>
      </c>
      <c r="V146">
        <v>3</v>
      </c>
      <c r="W146">
        <v>2</v>
      </c>
      <c r="X146">
        <v>2</v>
      </c>
      <c r="Y146">
        <v>3</v>
      </c>
      <c r="Z146">
        <v>3</v>
      </c>
      <c r="AA146">
        <v>3</v>
      </c>
      <c r="AB146">
        <v>2</v>
      </c>
      <c r="AC146">
        <v>2</v>
      </c>
      <c r="AD146">
        <v>2</v>
      </c>
      <c r="AE146">
        <v>3</v>
      </c>
      <c r="AF146">
        <v>4</v>
      </c>
      <c r="AG146">
        <v>2</v>
      </c>
      <c r="AH146">
        <v>2</v>
      </c>
      <c r="AI146">
        <v>2</v>
      </c>
      <c r="AJ146">
        <v>3</v>
      </c>
      <c r="AK146">
        <v>3</v>
      </c>
      <c r="AL146">
        <v>2</v>
      </c>
      <c r="AM146">
        <v>2</v>
      </c>
      <c r="AN146">
        <v>2</v>
      </c>
      <c r="AO146">
        <v>2</v>
      </c>
      <c r="AP146" t="str">
        <f>SUM(B146:AO146)</f>
        <v>0</v>
      </c>
    </row>
    <row r="147" spans="1:43">
      <c r="A147" t="s">
        <v>172</v>
      </c>
      <c r="B147">
        <v>1</v>
      </c>
      <c r="C147">
        <v>1</v>
      </c>
      <c r="D147">
        <v>1</v>
      </c>
      <c r="E147">
        <v>1</v>
      </c>
      <c r="F147">
        <v>1</v>
      </c>
      <c r="G147">
        <v>1</v>
      </c>
      <c r="H147">
        <v>2</v>
      </c>
      <c r="I147">
        <v>1</v>
      </c>
      <c r="J147">
        <v>2</v>
      </c>
      <c r="K147">
        <v>1</v>
      </c>
      <c r="L147">
        <v>1</v>
      </c>
      <c r="M147">
        <v>1</v>
      </c>
      <c r="N147">
        <v>1</v>
      </c>
      <c r="O147">
        <v>1</v>
      </c>
      <c r="P147">
        <v>2</v>
      </c>
      <c r="Q147">
        <v>1</v>
      </c>
      <c r="R147">
        <v>2</v>
      </c>
      <c r="S147">
        <v>2</v>
      </c>
      <c r="T147">
        <v>1</v>
      </c>
      <c r="U147">
        <v>1</v>
      </c>
      <c r="V147">
        <v>2</v>
      </c>
      <c r="W147">
        <v>1</v>
      </c>
      <c r="X147">
        <v>1</v>
      </c>
      <c r="Y147">
        <v>2</v>
      </c>
      <c r="Z147">
        <v>1</v>
      </c>
      <c r="AA147">
        <v>1</v>
      </c>
      <c r="AB147">
        <v>1</v>
      </c>
      <c r="AC147">
        <v>1</v>
      </c>
      <c r="AD147">
        <v>2</v>
      </c>
      <c r="AE147">
        <v>2</v>
      </c>
      <c r="AF147">
        <v>1</v>
      </c>
      <c r="AG147">
        <v>1</v>
      </c>
      <c r="AH147">
        <v>2</v>
      </c>
      <c r="AI147">
        <v>2</v>
      </c>
      <c r="AJ147">
        <v>2</v>
      </c>
      <c r="AK147">
        <v>1</v>
      </c>
      <c r="AL147">
        <v>2</v>
      </c>
      <c r="AM147">
        <v>1</v>
      </c>
      <c r="AN147">
        <v>2</v>
      </c>
      <c r="AO147">
        <v>1</v>
      </c>
      <c r="AP147" t="str">
        <f>SUM(B147:AO147)</f>
        <v>0</v>
      </c>
    </row>
    <row r="148" spans="1:43">
      <c r="A148" t="s">
        <v>173</v>
      </c>
      <c r="B148">
        <v>2</v>
      </c>
      <c r="C148">
        <v>3</v>
      </c>
      <c r="D148">
        <v>2</v>
      </c>
      <c r="E148">
        <v>3</v>
      </c>
      <c r="F148">
        <v>3</v>
      </c>
      <c r="G148">
        <v>4</v>
      </c>
      <c r="H148">
        <v>3</v>
      </c>
      <c r="I148">
        <v>3</v>
      </c>
      <c r="J148">
        <v>2</v>
      </c>
      <c r="K148">
        <v>3</v>
      </c>
      <c r="L148">
        <v>4</v>
      </c>
      <c r="M148">
        <v>3</v>
      </c>
      <c r="N148">
        <v>3</v>
      </c>
      <c r="O148">
        <v>3</v>
      </c>
      <c r="P148">
        <v>3</v>
      </c>
      <c r="Q148">
        <v>3</v>
      </c>
      <c r="R148">
        <v>3</v>
      </c>
      <c r="S148">
        <v>3</v>
      </c>
      <c r="T148">
        <v>3</v>
      </c>
      <c r="U148">
        <v>4</v>
      </c>
      <c r="V148">
        <v>3</v>
      </c>
      <c r="W148">
        <v>4</v>
      </c>
      <c r="X148">
        <v>3</v>
      </c>
      <c r="Y148">
        <v>2</v>
      </c>
      <c r="Z148">
        <v>3</v>
      </c>
      <c r="AA148">
        <v>3</v>
      </c>
      <c r="AB148">
        <v>4</v>
      </c>
      <c r="AC148">
        <v>4</v>
      </c>
      <c r="AD148">
        <v>3</v>
      </c>
      <c r="AE148">
        <v>3</v>
      </c>
      <c r="AF148">
        <v>4</v>
      </c>
      <c r="AG148">
        <v>3</v>
      </c>
      <c r="AH148">
        <v>3</v>
      </c>
      <c r="AI148">
        <v>2</v>
      </c>
      <c r="AJ148">
        <v>4</v>
      </c>
      <c r="AK148">
        <v>3</v>
      </c>
      <c r="AL148">
        <v>3</v>
      </c>
      <c r="AM148">
        <v>2</v>
      </c>
      <c r="AN148">
        <v>3</v>
      </c>
      <c r="AO148">
        <v>3</v>
      </c>
      <c r="AP148" t="str">
        <f>SUM(B148:AO148)</f>
        <v>0</v>
      </c>
    </row>
    <row r="149" spans="1:43">
      <c r="A149" t="s">
        <v>174</v>
      </c>
      <c r="B149">
        <v>2</v>
      </c>
      <c r="C149">
        <v>3</v>
      </c>
      <c r="D149">
        <v>3</v>
      </c>
      <c r="E149">
        <v>3</v>
      </c>
      <c r="F149">
        <v>4</v>
      </c>
      <c r="G149">
        <v>3</v>
      </c>
      <c r="H149">
        <v>3</v>
      </c>
      <c r="I149">
        <v>4</v>
      </c>
      <c r="J149">
        <v>4</v>
      </c>
      <c r="K149">
        <v>4</v>
      </c>
      <c r="L149">
        <v>3</v>
      </c>
      <c r="M149">
        <v>2</v>
      </c>
      <c r="N149">
        <v>4</v>
      </c>
      <c r="O149">
        <v>4</v>
      </c>
      <c r="P149">
        <v>4</v>
      </c>
      <c r="Q149">
        <v>2</v>
      </c>
      <c r="R149">
        <v>4</v>
      </c>
      <c r="S149">
        <v>3</v>
      </c>
      <c r="T149">
        <v>4</v>
      </c>
      <c r="U149">
        <v>4</v>
      </c>
      <c r="V149">
        <v>3</v>
      </c>
      <c r="W149">
        <v>4</v>
      </c>
      <c r="X149">
        <v>3</v>
      </c>
      <c r="Y149">
        <v>3</v>
      </c>
      <c r="Z149">
        <v>4</v>
      </c>
      <c r="AA149">
        <v>3</v>
      </c>
      <c r="AB149">
        <v>4</v>
      </c>
      <c r="AC149">
        <v>2</v>
      </c>
      <c r="AD149">
        <v>3</v>
      </c>
      <c r="AE149">
        <v>2</v>
      </c>
      <c r="AF149">
        <v>3</v>
      </c>
      <c r="AG149">
        <v>4</v>
      </c>
      <c r="AH149">
        <v>4</v>
      </c>
      <c r="AI149">
        <v>4</v>
      </c>
      <c r="AJ149">
        <v>3</v>
      </c>
      <c r="AK149">
        <v>3</v>
      </c>
      <c r="AL149">
        <v>4</v>
      </c>
      <c r="AM149">
        <v>3</v>
      </c>
      <c r="AN149">
        <v>4</v>
      </c>
      <c r="AO149">
        <v>2</v>
      </c>
      <c r="AP149" t="str">
        <f>SUM(B149:AO149)</f>
        <v>0</v>
      </c>
    </row>
    <row r="150" spans="1:43">
      <c r="A150" t="s">
        <v>175</v>
      </c>
      <c r="B150">
        <v>1</v>
      </c>
      <c r="C150">
        <v>1</v>
      </c>
      <c r="D150">
        <v>1</v>
      </c>
      <c r="E150">
        <v>2</v>
      </c>
      <c r="F150">
        <v>1</v>
      </c>
      <c r="G150">
        <v>1</v>
      </c>
      <c r="H150">
        <v>1</v>
      </c>
      <c r="I150">
        <v>1</v>
      </c>
      <c r="J150">
        <v>1</v>
      </c>
      <c r="K150">
        <v>2</v>
      </c>
      <c r="L150">
        <v>1</v>
      </c>
      <c r="M150">
        <v>1</v>
      </c>
      <c r="N150">
        <v>1</v>
      </c>
      <c r="O150">
        <v>2</v>
      </c>
      <c r="P150">
        <v>2</v>
      </c>
      <c r="Q150">
        <v>2</v>
      </c>
      <c r="R150">
        <v>2</v>
      </c>
      <c r="S150">
        <v>1</v>
      </c>
      <c r="T150">
        <v>1</v>
      </c>
      <c r="U150">
        <v>1</v>
      </c>
      <c r="V150">
        <v>2</v>
      </c>
      <c r="W150">
        <v>2</v>
      </c>
      <c r="X150">
        <v>1</v>
      </c>
      <c r="Y150">
        <v>2</v>
      </c>
      <c r="Z150">
        <v>2</v>
      </c>
      <c r="AA150">
        <v>1</v>
      </c>
      <c r="AB150">
        <v>1</v>
      </c>
      <c r="AC150">
        <v>1</v>
      </c>
      <c r="AD150">
        <v>1</v>
      </c>
      <c r="AE150">
        <v>1</v>
      </c>
      <c r="AF150">
        <v>1</v>
      </c>
      <c r="AG150">
        <v>1</v>
      </c>
      <c r="AH150">
        <v>2</v>
      </c>
      <c r="AI150">
        <v>1</v>
      </c>
      <c r="AJ150">
        <v>2</v>
      </c>
      <c r="AK150">
        <v>1</v>
      </c>
      <c r="AL150">
        <v>1</v>
      </c>
      <c r="AM150">
        <v>2</v>
      </c>
      <c r="AN150">
        <v>1</v>
      </c>
      <c r="AO150">
        <v>2</v>
      </c>
      <c r="AP150" t="str">
        <f>SUM(B150:AO150)</f>
        <v>0</v>
      </c>
    </row>
    <row r="151" spans="1:43">
      <c r="A151" t="s">
        <v>176</v>
      </c>
      <c r="B151">
        <v>1</v>
      </c>
      <c r="C151">
        <v>1</v>
      </c>
      <c r="D151">
        <v>1</v>
      </c>
      <c r="E151">
        <v>1</v>
      </c>
      <c r="F151">
        <v>1</v>
      </c>
      <c r="G151">
        <v>1</v>
      </c>
      <c r="H151">
        <v>1</v>
      </c>
      <c r="I151">
        <v>1</v>
      </c>
      <c r="J151">
        <v>1</v>
      </c>
      <c r="K151">
        <v>2</v>
      </c>
      <c r="L151">
        <v>2</v>
      </c>
      <c r="M151">
        <v>2</v>
      </c>
      <c r="N151">
        <v>3</v>
      </c>
      <c r="O151">
        <v>2</v>
      </c>
      <c r="P151">
        <v>2</v>
      </c>
      <c r="Q151">
        <v>1</v>
      </c>
      <c r="R151">
        <v>1</v>
      </c>
      <c r="S151">
        <v>3</v>
      </c>
      <c r="T151">
        <v>2</v>
      </c>
      <c r="U151">
        <v>2</v>
      </c>
      <c r="V151">
        <v>2</v>
      </c>
      <c r="W151">
        <v>2</v>
      </c>
      <c r="X151">
        <v>2</v>
      </c>
      <c r="Y151">
        <v>2</v>
      </c>
      <c r="Z151">
        <v>2</v>
      </c>
      <c r="AA151">
        <v>2</v>
      </c>
      <c r="AB151">
        <v>2</v>
      </c>
      <c r="AC151">
        <v>1</v>
      </c>
      <c r="AD151">
        <v>2</v>
      </c>
      <c r="AE151">
        <v>2</v>
      </c>
      <c r="AF151">
        <v>3</v>
      </c>
      <c r="AG151">
        <v>2</v>
      </c>
      <c r="AH151">
        <v>2</v>
      </c>
      <c r="AI151">
        <v>2</v>
      </c>
      <c r="AJ151">
        <v>2</v>
      </c>
      <c r="AK151">
        <v>1</v>
      </c>
      <c r="AL151">
        <v>2</v>
      </c>
      <c r="AM151">
        <v>2</v>
      </c>
      <c r="AN151">
        <v>2</v>
      </c>
      <c r="AO151">
        <v>2</v>
      </c>
      <c r="AP151" t="str">
        <f>SUM(B151:AO151)</f>
        <v>0</v>
      </c>
    </row>
    <row r="152" spans="1:43">
      <c r="A152" t="s">
        <v>177</v>
      </c>
      <c r="B152">
        <v>1</v>
      </c>
      <c r="C152">
        <v>2</v>
      </c>
      <c r="D152">
        <v>1</v>
      </c>
      <c r="E152">
        <v>1</v>
      </c>
      <c r="F152">
        <v>1</v>
      </c>
      <c r="G152">
        <v>1</v>
      </c>
      <c r="H152">
        <v>1</v>
      </c>
      <c r="I152">
        <v>1</v>
      </c>
      <c r="J152">
        <v>2</v>
      </c>
      <c r="K152">
        <v>1</v>
      </c>
      <c r="L152">
        <v>2</v>
      </c>
      <c r="M152">
        <v>1</v>
      </c>
      <c r="N152">
        <v>1</v>
      </c>
      <c r="O152">
        <v>1</v>
      </c>
      <c r="P152">
        <v>2</v>
      </c>
      <c r="Q152">
        <v>1</v>
      </c>
      <c r="R152">
        <v>1</v>
      </c>
      <c r="S152">
        <v>2</v>
      </c>
      <c r="T152">
        <v>1</v>
      </c>
      <c r="U152">
        <v>2</v>
      </c>
      <c r="V152">
        <v>1</v>
      </c>
      <c r="W152">
        <v>1</v>
      </c>
      <c r="X152">
        <v>2</v>
      </c>
      <c r="Y152">
        <v>1</v>
      </c>
      <c r="Z152">
        <v>1</v>
      </c>
      <c r="AA152">
        <v>2</v>
      </c>
      <c r="AB152">
        <v>1</v>
      </c>
      <c r="AC152">
        <v>2</v>
      </c>
      <c r="AD152">
        <v>1</v>
      </c>
      <c r="AE152">
        <v>1</v>
      </c>
      <c r="AF152">
        <v>1</v>
      </c>
      <c r="AG152">
        <v>1</v>
      </c>
      <c r="AH152">
        <v>1</v>
      </c>
      <c r="AI152">
        <v>2</v>
      </c>
      <c r="AJ152">
        <v>1</v>
      </c>
      <c r="AK152">
        <v>1</v>
      </c>
      <c r="AL152">
        <v>1</v>
      </c>
      <c r="AM152">
        <v>1</v>
      </c>
      <c r="AN152">
        <v>1</v>
      </c>
      <c r="AO152">
        <v>1</v>
      </c>
      <c r="AP152" t="str">
        <f>SUM(B152:AO152)</f>
        <v>0</v>
      </c>
    </row>
    <row r="153" spans="1:43">
      <c r="A153" t="s">
        <v>178</v>
      </c>
      <c r="B153">
        <v>2</v>
      </c>
      <c r="C153">
        <v>1</v>
      </c>
      <c r="D153">
        <v>1</v>
      </c>
      <c r="E153">
        <v>1</v>
      </c>
      <c r="F153">
        <v>1</v>
      </c>
      <c r="G153">
        <v>1</v>
      </c>
      <c r="H153">
        <v>2</v>
      </c>
      <c r="I153">
        <v>1</v>
      </c>
      <c r="J153">
        <v>1</v>
      </c>
      <c r="K153">
        <v>2</v>
      </c>
      <c r="L153">
        <v>2</v>
      </c>
      <c r="M153">
        <v>1</v>
      </c>
      <c r="N153">
        <v>1</v>
      </c>
      <c r="O153">
        <v>2</v>
      </c>
      <c r="P153">
        <v>1</v>
      </c>
      <c r="Q153">
        <v>2</v>
      </c>
      <c r="R153">
        <v>2</v>
      </c>
      <c r="S153">
        <v>1</v>
      </c>
      <c r="T153">
        <v>1</v>
      </c>
      <c r="U153">
        <v>2</v>
      </c>
      <c r="V153">
        <v>1</v>
      </c>
      <c r="W153">
        <v>2</v>
      </c>
      <c r="X153">
        <v>2</v>
      </c>
      <c r="Y153">
        <v>1</v>
      </c>
      <c r="Z153">
        <v>2</v>
      </c>
      <c r="AA153">
        <v>2</v>
      </c>
      <c r="AB153">
        <v>1</v>
      </c>
      <c r="AC153">
        <v>2</v>
      </c>
      <c r="AD153">
        <v>1</v>
      </c>
      <c r="AE153">
        <v>2</v>
      </c>
      <c r="AF153">
        <v>1</v>
      </c>
      <c r="AG153">
        <v>2</v>
      </c>
      <c r="AH153">
        <v>2</v>
      </c>
      <c r="AI153">
        <v>2</v>
      </c>
      <c r="AJ153">
        <v>2</v>
      </c>
      <c r="AK153">
        <v>2</v>
      </c>
      <c r="AL153">
        <v>1</v>
      </c>
      <c r="AM153">
        <v>1</v>
      </c>
      <c r="AN153">
        <v>1</v>
      </c>
      <c r="AO153">
        <v>1</v>
      </c>
      <c r="AP153" t="str">
        <f>SUM(B153:AO153)</f>
        <v>0</v>
      </c>
    </row>
    <row r="154" spans="1:43">
      <c r="A154" t="s">
        <v>179</v>
      </c>
      <c r="B154">
        <v>1</v>
      </c>
      <c r="C154">
        <v>2</v>
      </c>
      <c r="D154">
        <v>1</v>
      </c>
      <c r="E154">
        <v>2</v>
      </c>
      <c r="F154">
        <v>1</v>
      </c>
      <c r="G154">
        <v>2</v>
      </c>
      <c r="H154">
        <v>1</v>
      </c>
      <c r="I154">
        <v>2</v>
      </c>
      <c r="J154">
        <v>1</v>
      </c>
      <c r="K154">
        <v>2</v>
      </c>
      <c r="L154">
        <v>2</v>
      </c>
      <c r="M154">
        <v>2</v>
      </c>
      <c r="N154">
        <v>1</v>
      </c>
      <c r="O154">
        <v>1</v>
      </c>
      <c r="P154">
        <v>1</v>
      </c>
      <c r="Q154">
        <v>1</v>
      </c>
      <c r="R154">
        <v>2</v>
      </c>
      <c r="S154">
        <v>2</v>
      </c>
      <c r="T154">
        <v>2</v>
      </c>
      <c r="U154">
        <v>2</v>
      </c>
      <c r="V154">
        <v>2</v>
      </c>
      <c r="W154">
        <v>1</v>
      </c>
      <c r="X154">
        <v>2</v>
      </c>
      <c r="Y154">
        <v>1</v>
      </c>
      <c r="Z154">
        <v>2</v>
      </c>
      <c r="AA154">
        <v>1</v>
      </c>
      <c r="AB154">
        <v>2</v>
      </c>
      <c r="AC154">
        <v>1</v>
      </c>
      <c r="AD154">
        <v>2</v>
      </c>
      <c r="AE154">
        <v>1</v>
      </c>
      <c r="AF154">
        <v>1</v>
      </c>
      <c r="AG154">
        <v>2</v>
      </c>
      <c r="AH154">
        <v>2</v>
      </c>
      <c r="AI154">
        <v>1</v>
      </c>
      <c r="AJ154">
        <v>1</v>
      </c>
      <c r="AK154">
        <v>1</v>
      </c>
      <c r="AL154">
        <v>2</v>
      </c>
      <c r="AM154">
        <v>1</v>
      </c>
      <c r="AN154">
        <v>2</v>
      </c>
      <c r="AO154">
        <v>1</v>
      </c>
      <c r="AP154" t="str">
        <f>SUM(B154:AO154)</f>
        <v>0</v>
      </c>
    </row>
    <row r="155" spans="1:43">
      <c r="A155" t="s">
        <v>180</v>
      </c>
      <c r="B155">
        <v>1</v>
      </c>
      <c r="C155">
        <v>2</v>
      </c>
      <c r="D155">
        <v>2</v>
      </c>
      <c r="E155">
        <v>2</v>
      </c>
      <c r="F155">
        <v>1</v>
      </c>
      <c r="G155">
        <v>1</v>
      </c>
      <c r="H155">
        <v>1</v>
      </c>
      <c r="I155">
        <v>1</v>
      </c>
      <c r="J155">
        <v>2</v>
      </c>
      <c r="K155">
        <v>1</v>
      </c>
      <c r="L155">
        <v>1</v>
      </c>
      <c r="M155">
        <v>1</v>
      </c>
      <c r="N155">
        <v>1</v>
      </c>
      <c r="O155">
        <v>1</v>
      </c>
      <c r="P155">
        <v>2</v>
      </c>
      <c r="Q155">
        <v>1</v>
      </c>
      <c r="R155">
        <v>1</v>
      </c>
      <c r="S155">
        <v>1</v>
      </c>
      <c r="T155">
        <v>1</v>
      </c>
      <c r="U155">
        <v>1</v>
      </c>
      <c r="V155">
        <v>2</v>
      </c>
      <c r="W155">
        <v>1</v>
      </c>
      <c r="X155">
        <v>1</v>
      </c>
      <c r="Y155">
        <v>1</v>
      </c>
      <c r="Z155">
        <v>1</v>
      </c>
      <c r="AA155">
        <v>2</v>
      </c>
      <c r="AB155">
        <v>1</v>
      </c>
      <c r="AC155">
        <v>1</v>
      </c>
      <c r="AD155">
        <v>1</v>
      </c>
      <c r="AE155">
        <v>1</v>
      </c>
      <c r="AF155">
        <v>2</v>
      </c>
      <c r="AG155">
        <v>1</v>
      </c>
      <c r="AH155">
        <v>1</v>
      </c>
      <c r="AI155">
        <v>1</v>
      </c>
      <c r="AJ155">
        <v>1</v>
      </c>
      <c r="AK155">
        <v>1</v>
      </c>
      <c r="AL155">
        <v>2</v>
      </c>
      <c r="AM155">
        <v>1</v>
      </c>
      <c r="AN155">
        <v>1</v>
      </c>
      <c r="AO155">
        <v>2</v>
      </c>
      <c r="AP155" t="str">
        <f>SUM(B155:AO155)</f>
        <v>0</v>
      </c>
    </row>
    <row r="156" spans="1:43">
      <c r="A156" t="s">
        <v>181</v>
      </c>
      <c r="B156">
        <v>2</v>
      </c>
      <c r="C156">
        <v>2</v>
      </c>
      <c r="D156">
        <v>2</v>
      </c>
      <c r="E156">
        <v>2</v>
      </c>
      <c r="F156">
        <v>2</v>
      </c>
      <c r="G156">
        <v>2</v>
      </c>
      <c r="H156">
        <v>2</v>
      </c>
      <c r="I156">
        <v>2</v>
      </c>
      <c r="J156">
        <v>3</v>
      </c>
      <c r="K156">
        <v>1</v>
      </c>
      <c r="L156">
        <v>1</v>
      </c>
      <c r="M156">
        <v>3</v>
      </c>
      <c r="N156">
        <v>2</v>
      </c>
      <c r="O156">
        <v>2</v>
      </c>
      <c r="P156">
        <v>2</v>
      </c>
      <c r="Q156">
        <v>1</v>
      </c>
      <c r="R156">
        <v>2</v>
      </c>
      <c r="S156">
        <v>1</v>
      </c>
      <c r="T156">
        <v>3</v>
      </c>
      <c r="U156">
        <v>2</v>
      </c>
      <c r="V156">
        <v>2</v>
      </c>
      <c r="W156">
        <v>2</v>
      </c>
      <c r="X156">
        <v>1</v>
      </c>
      <c r="Y156">
        <v>2</v>
      </c>
      <c r="Z156">
        <v>2</v>
      </c>
      <c r="AA156">
        <v>3</v>
      </c>
      <c r="AB156">
        <v>2</v>
      </c>
      <c r="AC156">
        <v>3</v>
      </c>
      <c r="AD156">
        <v>2</v>
      </c>
      <c r="AE156">
        <v>2</v>
      </c>
      <c r="AF156">
        <v>3</v>
      </c>
      <c r="AG156">
        <v>1</v>
      </c>
      <c r="AH156">
        <v>3</v>
      </c>
      <c r="AI156">
        <v>2</v>
      </c>
      <c r="AJ156">
        <v>2</v>
      </c>
      <c r="AK156">
        <v>2</v>
      </c>
      <c r="AL156">
        <v>3</v>
      </c>
      <c r="AM156">
        <v>3</v>
      </c>
      <c r="AN156">
        <v>3</v>
      </c>
      <c r="AO156">
        <v>2</v>
      </c>
      <c r="AP156" t="str">
        <f>SUM(B156:AO156)</f>
        <v>0</v>
      </c>
    </row>
    <row r="157" spans="1:43">
      <c r="A157" t="s">
        <v>182</v>
      </c>
      <c r="B157">
        <v>2</v>
      </c>
      <c r="C157">
        <v>2</v>
      </c>
      <c r="D157">
        <v>1</v>
      </c>
      <c r="E157">
        <v>1</v>
      </c>
      <c r="F157">
        <v>2</v>
      </c>
      <c r="G157">
        <v>1</v>
      </c>
      <c r="H157">
        <v>2</v>
      </c>
      <c r="I157">
        <v>1</v>
      </c>
      <c r="J157">
        <v>1</v>
      </c>
      <c r="K157">
        <v>1</v>
      </c>
      <c r="L157">
        <v>2</v>
      </c>
      <c r="M157">
        <v>2</v>
      </c>
      <c r="N157">
        <v>2</v>
      </c>
      <c r="O157">
        <v>2</v>
      </c>
      <c r="P157">
        <v>1</v>
      </c>
      <c r="Q157">
        <v>1</v>
      </c>
      <c r="R157">
        <v>1</v>
      </c>
      <c r="S157">
        <v>2</v>
      </c>
      <c r="T157">
        <v>1</v>
      </c>
      <c r="U157">
        <v>2</v>
      </c>
      <c r="V157">
        <v>2</v>
      </c>
      <c r="W157">
        <v>1</v>
      </c>
      <c r="X157">
        <v>2</v>
      </c>
      <c r="Y157">
        <v>2</v>
      </c>
      <c r="Z157">
        <v>2</v>
      </c>
      <c r="AA157">
        <v>2</v>
      </c>
      <c r="AB157">
        <v>2</v>
      </c>
      <c r="AC157">
        <v>2</v>
      </c>
      <c r="AD157">
        <v>2</v>
      </c>
      <c r="AE157">
        <v>2</v>
      </c>
      <c r="AF157">
        <v>1</v>
      </c>
      <c r="AG157">
        <v>2</v>
      </c>
      <c r="AH157">
        <v>1</v>
      </c>
      <c r="AI157">
        <v>1</v>
      </c>
      <c r="AJ157">
        <v>1</v>
      </c>
      <c r="AK157">
        <v>1</v>
      </c>
      <c r="AL157">
        <v>2</v>
      </c>
      <c r="AM157">
        <v>1</v>
      </c>
      <c r="AN157">
        <v>2</v>
      </c>
      <c r="AO157">
        <v>1</v>
      </c>
      <c r="AP157" t="str">
        <f>SUM(B157:AO157)</f>
        <v>0</v>
      </c>
    </row>
    <row r="158" spans="1:43">
      <c r="A158" t="s">
        <v>183</v>
      </c>
      <c r="B158">
        <v>2</v>
      </c>
      <c r="C158">
        <v>2</v>
      </c>
      <c r="D158">
        <v>2</v>
      </c>
      <c r="E158">
        <v>2</v>
      </c>
      <c r="F158">
        <v>2</v>
      </c>
      <c r="G158">
        <v>1</v>
      </c>
      <c r="H158">
        <v>1</v>
      </c>
      <c r="I158">
        <v>2</v>
      </c>
      <c r="J158">
        <v>2</v>
      </c>
      <c r="K158">
        <v>1</v>
      </c>
      <c r="L158">
        <v>2</v>
      </c>
      <c r="M158">
        <v>2</v>
      </c>
      <c r="N158">
        <v>2</v>
      </c>
      <c r="O158">
        <v>2</v>
      </c>
      <c r="P158">
        <v>2</v>
      </c>
      <c r="Q158">
        <v>2</v>
      </c>
      <c r="R158">
        <v>2</v>
      </c>
      <c r="S158">
        <v>2</v>
      </c>
      <c r="T158">
        <v>2</v>
      </c>
      <c r="U158">
        <v>1</v>
      </c>
      <c r="V158">
        <v>1</v>
      </c>
      <c r="W158">
        <v>1</v>
      </c>
      <c r="X158">
        <v>2</v>
      </c>
      <c r="Y158">
        <v>2</v>
      </c>
      <c r="Z158">
        <v>1</v>
      </c>
      <c r="AA158">
        <v>2</v>
      </c>
      <c r="AB158">
        <v>2</v>
      </c>
      <c r="AC158">
        <v>1</v>
      </c>
      <c r="AD158">
        <v>2</v>
      </c>
      <c r="AE158">
        <v>2</v>
      </c>
      <c r="AF158">
        <v>2</v>
      </c>
      <c r="AG158">
        <v>2</v>
      </c>
      <c r="AH158">
        <v>2</v>
      </c>
      <c r="AI158">
        <v>1</v>
      </c>
      <c r="AJ158">
        <v>1</v>
      </c>
      <c r="AK158">
        <v>2</v>
      </c>
      <c r="AL158">
        <v>2</v>
      </c>
      <c r="AM158">
        <v>2</v>
      </c>
      <c r="AN158">
        <v>2</v>
      </c>
      <c r="AO158">
        <v>2</v>
      </c>
      <c r="AP158" t="str">
        <f>SUM(B158:AO158)</f>
        <v>0</v>
      </c>
    </row>
    <row r="159" spans="1:43">
      <c r="A159" t="s">
        <v>184</v>
      </c>
      <c r="B159">
        <v>1</v>
      </c>
      <c r="C159">
        <v>1</v>
      </c>
      <c r="D159">
        <v>1</v>
      </c>
      <c r="E159">
        <v>1</v>
      </c>
      <c r="F159">
        <v>1</v>
      </c>
      <c r="G159">
        <v>1</v>
      </c>
      <c r="H159">
        <v>1</v>
      </c>
      <c r="I159">
        <v>1</v>
      </c>
      <c r="J159">
        <v>1</v>
      </c>
      <c r="K159">
        <v>1</v>
      </c>
      <c r="L159">
        <v>1</v>
      </c>
      <c r="M159">
        <v>1</v>
      </c>
      <c r="N159">
        <v>1</v>
      </c>
      <c r="O159">
        <v>1</v>
      </c>
      <c r="P159">
        <v>1</v>
      </c>
      <c r="Q159">
        <v>1</v>
      </c>
      <c r="R159">
        <v>1</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t="str">
        <f>SUM(B159:AO159)</f>
        <v>0</v>
      </c>
    </row>
    <row r="160" spans="1:43">
      <c r="A160" t="s">
        <v>185</v>
      </c>
      <c r="B160">
        <v>2</v>
      </c>
      <c r="C160">
        <v>2</v>
      </c>
      <c r="D160">
        <v>2</v>
      </c>
      <c r="E160">
        <v>1</v>
      </c>
      <c r="F160">
        <v>1</v>
      </c>
      <c r="G160">
        <v>1</v>
      </c>
      <c r="H160">
        <v>1</v>
      </c>
      <c r="I160">
        <v>1</v>
      </c>
      <c r="J160">
        <v>1</v>
      </c>
      <c r="K160">
        <v>1</v>
      </c>
      <c r="L160">
        <v>1</v>
      </c>
      <c r="M160">
        <v>1</v>
      </c>
      <c r="N160">
        <v>1</v>
      </c>
      <c r="O160">
        <v>1</v>
      </c>
      <c r="P160">
        <v>1</v>
      </c>
      <c r="Q160">
        <v>1</v>
      </c>
      <c r="R160">
        <v>1</v>
      </c>
      <c r="S160">
        <v>2</v>
      </c>
      <c r="T160">
        <v>1</v>
      </c>
      <c r="U160">
        <v>1</v>
      </c>
      <c r="V160">
        <v>1</v>
      </c>
      <c r="W160">
        <v>2</v>
      </c>
      <c r="X160">
        <v>1</v>
      </c>
      <c r="Y160">
        <v>1</v>
      </c>
      <c r="Z160">
        <v>2</v>
      </c>
      <c r="AA160">
        <v>1</v>
      </c>
      <c r="AB160">
        <v>2</v>
      </c>
      <c r="AC160">
        <v>2</v>
      </c>
      <c r="AD160">
        <v>1</v>
      </c>
      <c r="AE160">
        <v>1</v>
      </c>
      <c r="AF160">
        <v>1</v>
      </c>
      <c r="AG160">
        <v>1</v>
      </c>
      <c r="AH160">
        <v>2</v>
      </c>
      <c r="AI160">
        <v>1</v>
      </c>
      <c r="AJ160">
        <v>1</v>
      </c>
      <c r="AK160">
        <v>1</v>
      </c>
      <c r="AL160">
        <v>2</v>
      </c>
      <c r="AM160">
        <v>1</v>
      </c>
      <c r="AN160">
        <v>1</v>
      </c>
      <c r="AO160">
        <v>1</v>
      </c>
      <c r="AP160" t="str">
        <f>SUM(B160:AO160)</f>
        <v>0</v>
      </c>
    </row>
    <row r="161" spans="1:43">
      <c r="A161" t="s">
        <v>186</v>
      </c>
      <c r="B161">
        <v>1</v>
      </c>
      <c r="C161">
        <v>2</v>
      </c>
      <c r="D161">
        <v>2</v>
      </c>
      <c r="E161">
        <v>2</v>
      </c>
      <c r="F161">
        <v>2</v>
      </c>
      <c r="G161">
        <v>2</v>
      </c>
      <c r="H161">
        <v>1</v>
      </c>
      <c r="I161">
        <v>3</v>
      </c>
      <c r="J161">
        <v>3</v>
      </c>
      <c r="K161">
        <v>2</v>
      </c>
      <c r="L161">
        <v>1</v>
      </c>
      <c r="M161">
        <v>2</v>
      </c>
      <c r="N161">
        <v>2</v>
      </c>
      <c r="O161">
        <v>3</v>
      </c>
      <c r="P161">
        <v>3</v>
      </c>
      <c r="Q161">
        <v>3</v>
      </c>
      <c r="R161">
        <v>2</v>
      </c>
      <c r="S161">
        <v>3</v>
      </c>
      <c r="T161">
        <v>2</v>
      </c>
      <c r="U161">
        <v>2</v>
      </c>
      <c r="V161">
        <v>2</v>
      </c>
      <c r="W161">
        <v>2</v>
      </c>
      <c r="X161">
        <v>3</v>
      </c>
      <c r="Y161">
        <v>2</v>
      </c>
      <c r="Z161">
        <v>2</v>
      </c>
      <c r="AA161">
        <v>2</v>
      </c>
      <c r="AB161">
        <v>2</v>
      </c>
      <c r="AC161">
        <v>2</v>
      </c>
      <c r="AD161">
        <v>3</v>
      </c>
      <c r="AE161">
        <v>2</v>
      </c>
      <c r="AF161">
        <v>2</v>
      </c>
      <c r="AG161">
        <v>2</v>
      </c>
      <c r="AH161">
        <v>2</v>
      </c>
      <c r="AI161">
        <v>3</v>
      </c>
      <c r="AJ161">
        <v>3</v>
      </c>
      <c r="AK161">
        <v>2</v>
      </c>
      <c r="AL161">
        <v>2</v>
      </c>
      <c r="AM161">
        <v>2</v>
      </c>
      <c r="AN161">
        <v>2</v>
      </c>
      <c r="AO161">
        <v>2</v>
      </c>
      <c r="AP161" t="str">
        <f>SUM(B161:AO161)</f>
        <v>0</v>
      </c>
    </row>
    <row r="162" spans="1:43">
      <c r="A162" t="s">
        <v>187</v>
      </c>
      <c r="B162">
        <v>1</v>
      </c>
      <c r="C162">
        <v>2</v>
      </c>
      <c r="D162">
        <v>2</v>
      </c>
      <c r="E162">
        <v>1</v>
      </c>
      <c r="F162">
        <v>2</v>
      </c>
      <c r="G162">
        <v>1</v>
      </c>
      <c r="H162">
        <v>2</v>
      </c>
      <c r="I162">
        <v>2</v>
      </c>
      <c r="J162">
        <v>2</v>
      </c>
      <c r="K162">
        <v>1</v>
      </c>
      <c r="L162">
        <v>2</v>
      </c>
      <c r="M162">
        <v>1</v>
      </c>
      <c r="N162">
        <v>2</v>
      </c>
      <c r="O162">
        <v>1</v>
      </c>
      <c r="P162">
        <v>1</v>
      </c>
      <c r="Q162">
        <v>1</v>
      </c>
      <c r="R162">
        <v>1</v>
      </c>
      <c r="S162">
        <v>2</v>
      </c>
      <c r="T162">
        <v>2</v>
      </c>
      <c r="U162">
        <v>1</v>
      </c>
      <c r="V162">
        <v>1</v>
      </c>
      <c r="W162">
        <v>1</v>
      </c>
      <c r="X162">
        <v>2</v>
      </c>
      <c r="Y162">
        <v>2</v>
      </c>
      <c r="Z162">
        <v>1</v>
      </c>
      <c r="AA162">
        <v>1</v>
      </c>
      <c r="AB162">
        <v>1</v>
      </c>
      <c r="AC162">
        <v>1</v>
      </c>
      <c r="AD162">
        <v>1</v>
      </c>
      <c r="AE162">
        <v>1</v>
      </c>
      <c r="AF162">
        <v>2</v>
      </c>
      <c r="AG162">
        <v>1</v>
      </c>
      <c r="AH162">
        <v>2</v>
      </c>
      <c r="AI162">
        <v>2</v>
      </c>
      <c r="AJ162">
        <v>2</v>
      </c>
      <c r="AK162">
        <v>1</v>
      </c>
      <c r="AL162">
        <v>2</v>
      </c>
      <c r="AM162">
        <v>1</v>
      </c>
      <c r="AN162">
        <v>1</v>
      </c>
      <c r="AO162">
        <v>2</v>
      </c>
      <c r="AP162" t="str">
        <f>SUM(B162:AO162)</f>
        <v>0</v>
      </c>
    </row>
    <row r="163" spans="1:43">
      <c r="A163" t="s">
        <v>188</v>
      </c>
      <c r="B163">
        <v>2</v>
      </c>
      <c r="C163">
        <v>1</v>
      </c>
      <c r="D163">
        <v>2</v>
      </c>
      <c r="E163">
        <v>1</v>
      </c>
      <c r="F163">
        <v>1</v>
      </c>
      <c r="G163">
        <v>2</v>
      </c>
      <c r="H163">
        <v>2</v>
      </c>
      <c r="I163">
        <v>2</v>
      </c>
      <c r="J163">
        <v>2</v>
      </c>
      <c r="K163">
        <v>2</v>
      </c>
      <c r="L163">
        <v>1</v>
      </c>
      <c r="M163">
        <v>1</v>
      </c>
      <c r="N163">
        <v>2</v>
      </c>
      <c r="O163">
        <v>2</v>
      </c>
      <c r="P163">
        <v>2</v>
      </c>
      <c r="Q163">
        <v>2</v>
      </c>
      <c r="R163">
        <v>2</v>
      </c>
      <c r="S163">
        <v>2</v>
      </c>
      <c r="T163">
        <v>2</v>
      </c>
      <c r="U163">
        <v>2</v>
      </c>
      <c r="V163">
        <v>2</v>
      </c>
      <c r="W163">
        <v>2</v>
      </c>
      <c r="X163">
        <v>1</v>
      </c>
      <c r="Y163">
        <v>1</v>
      </c>
      <c r="Z163">
        <v>2</v>
      </c>
      <c r="AA163">
        <v>2</v>
      </c>
      <c r="AB163">
        <v>1</v>
      </c>
      <c r="AC163">
        <v>2</v>
      </c>
      <c r="AD163">
        <v>2</v>
      </c>
      <c r="AE163">
        <v>2</v>
      </c>
      <c r="AF163">
        <v>2</v>
      </c>
      <c r="AG163">
        <v>2</v>
      </c>
      <c r="AH163">
        <v>2</v>
      </c>
      <c r="AI163">
        <v>2</v>
      </c>
      <c r="AJ163">
        <v>2</v>
      </c>
      <c r="AK163">
        <v>2</v>
      </c>
      <c r="AL163">
        <v>2</v>
      </c>
      <c r="AM163">
        <v>1</v>
      </c>
      <c r="AN163">
        <v>1</v>
      </c>
      <c r="AO163">
        <v>2</v>
      </c>
      <c r="AP163" t="str">
        <f>SUM(B163:AO163)</f>
        <v>0</v>
      </c>
    </row>
    <row r="164" spans="1:43">
      <c r="A164" t="s">
        <v>189</v>
      </c>
      <c r="B164">
        <v>2</v>
      </c>
      <c r="C164">
        <v>2</v>
      </c>
      <c r="D164">
        <v>2</v>
      </c>
      <c r="E164">
        <v>2</v>
      </c>
      <c r="F164">
        <v>2</v>
      </c>
      <c r="G164">
        <v>2</v>
      </c>
      <c r="H164">
        <v>2</v>
      </c>
      <c r="I164">
        <v>2</v>
      </c>
      <c r="J164">
        <v>2</v>
      </c>
      <c r="K164">
        <v>3</v>
      </c>
      <c r="L164">
        <v>2</v>
      </c>
      <c r="M164">
        <v>3</v>
      </c>
      <c r="N164">
        <v>2</v>
      </c>
      <c r="O164">
        <v>2</v>
      </c>
      <c r="P164">
        <v>2</v>
      </c>
      <c r="Q164">
        <v>2</v>
      </c>
      <c r="R164">
        <v>3</v>
      </c>
      <c r="S164">
        <v>2</v>
      </c>
      <c r="T164">
        <v>2</v>
      </c>
      <c r="U164">
        <v>3</v>
      </c>
      <c r="V164">
        <v>3</v>
      </c>
      <c r="W164">
        <v>2</v>
      </c>
      <c r="X164">
        <v>2</v>
      </c>
      <c r="Y164">
        <v>2</v>
      </c>
      <c r="Z164">
        <v>2</v>
      </c>
      <c r="AA164">
        <v>2</v>
      </c>
      <c r="AB164">
        <v>2</v>
      </c>
      <c r="AC164">
        <v>2</v>
      </c>
      <c r="AD164">
        <v>3</v>
      </c>
      <c r="AE164">
        <v>2</v>
      </c>
      <c r="AF164">
        <v>2</v>
      </c>
      <c r="AG164">
        <v>2</v>
      </c>
      <c r="AH164">
        <v>2</v>
      </c>
      <c r="AI164">
        <v>2</v>
      </c>
      <c r="AJ164">
        <v>2</v>
      </c>
      <c r="AK164">
        <v>3</v>
      </c>
      <c r="AL164">
        <v>2</v>
      </c>
      <c r="AM164">
        <v>2</v>
      </c>
      <c r="AN164">
        <v>3</v>
      </c>
      <c r="AO164">
        <v>2</v>
      </c>
      <c r="AP164" t="str">
        <f>SUM(B164:AO164)</f>
        <v>0</v>
      </c>
    </row>
    <row r="165" spans="1:43">
      <c r="A165" t="s">
        <v>190</v>
      </c>
      <c r="B165">
        <v>1</v>
      </c>
      <c r="C165">
        <v>1</v>
      </c>
      <c r="D165">
        <v>2</v>
      </c>
      <c r="E165">
        <v>2</v>
      </c>
      <c r="F165">
        <v>1</v>
      </c>
      <c r="G165">
        <v>2</v>
      </c>
      <c r="H165">
        <v>2</v>
      </c>
      <c r="I165">
        <v>2</v>
      </c>
      <c r="J165">
        <v>1</v>
      </c>
      <c r="K165">
        <v>2</v>
      </c>
      <c r="L165">
        <v>2</v>
      </c>
      <c r="M165">
        <v>2</v>
      </c>
      <c r="N165">
        <v>1</v>
      </c>
      <c r="O165">
        <v>1</v>
      </c>
      <c r="P165">
        <v>1</v>
      </c>
      <c r="Q165">
        <v>1</v>
      </c>
      <c r="R165">
        <v>2</v>
      </c>
      <c r="S165">
        <v>2</v>
      </c>
      <c r="T165">
        <v>1</v>
      </c>
      <c r="U165">
        <v>2</v>
      </c>
      <c r="V165">
        <v>1</v>
      </c>
      <c r="W165">
        <v>1</v>
      </c>
      <c r="X165">
        <v>2</v>
      </c>
      <c r="Y165">
        <v>1</v>
      </c>
      <c r="Z165">
        <v>2</v>
      </c>
      <c r="AA165">
        <v>2</v>
      </c>
      <c r="AB165">
        <v>1</v>
      </c>
      <c r="AC165">
        <v>2</v>
      </c>
      <c r="AD165">
        <v>2</v>
      </c>
      <c r="AE165">
        <v>1</v>
      </c>
      <c r="AF165">
        <v>2</v>
      </c>
      <c r="AG165">
        <v>2</v>
      </c>
      <c r="AH165">
        <v>1</v>
      </c>
      <c r="AI165">
        <v>2</v>
      </c>
      <c r="AJ165">
        <v>2</v>
      </c>
      <c r="AK165">
        <v>2</v>
      </c>
      <c r="AL165">
        <v>1</v>
      </c>
      <c r="AM165">
        <v>2</v>
      </c>
      <c r="AN165">
        <v>1</v>
      </c>
      <c r="AO165">
        <v>1</v>
      </c>
      <c r="AP165" t="str">
        <f>SUM(B165:AO165)</f>
        <v>0</v>
      </c>
    </row>
    <row r="166" spans="1:43">
      <c r="A166" t="s">
        <v>191</v>
      </c>
      <c r="B166">
        <v>2</v>
      </c>
      <c r="C166">
        <v>2</v>
      </c>
      <c r="D166">
        <v>2</v>
      </c>
      <c r="E166">
        <v>2</v>
      </c>
      <c r="F166">
        <v>2</v>
      </c>
      <c r="G166">
        <v>1</v>
      </c>
      <c r="H166">
        <v>1</v>
      </c>
      <c r="I166">
        <v>2</v>
      </c>
      <c r="J166">
        <v>2</v>
      </c>
      <c r="K166">
        <v>1</v>
      </c>
      <c r="L166">
        <v>1</v>
      </c>
      <c r="M166">
        <v>2</v>
      </c>
      <c r="N166">
        <v>2</v>
      </c>
      <c r="O166">
        <v>1</v>
      </c>
      <c r="P166">
        <v>2</v>
      </c>
      <c r="Q166">
        <v>2</v>
      </c>
      <c r="R166">
        <v>2</v>
      </c>
      <c r="S166">
        <v>1</v>
      </c>
      <c r="T166">
        <v>1</v>
      </c>
      <c r="U166">
        <v>2</v>
      </c>
      <c r="V166">
        <v>1</v>
      </c>
      <c r="W166">
        <v>1</v>
      </c>
      <c r="X166">
        <v>2</v>
      </c>
      <c r="Y166">
        <v>1</v>
      </c>
      <c r="Z166">
        <v>2</v>
      </c>
      <c r="AA166">
        <v>2</v>
      </c>
      <c r="AB166">
        <v>2</v>
      </c>
      <c r="AC166">
        <v>2</v>
      </c>
      <c r="AD166">
        <v>2</v>
      </c>
      <c r="AE166">
        <v>2</v>
      </c>
      <c r="AF166">
        <v>2</v>
      </c>
      <c r="AG166">
        <v>2</v>
      </c>
      <c r="AH166">
        <v>2</v>
      </c>
      <c r="AI166">
        <v>1</v>
      </c>
      <c r="AJ166">
        <v>2</v>
      </c>
      <c r="AK166">
        <v>2</v>
      </c>
      <c r="AL166">
        <v>1</v>
      </c>
      <c r="AM166">
        <v>1</v>
      </c>
      <c r="AN166">
        <v>2</v>
      </c>
      <c r="AO166">
        <v>2</v>
      </c>
      <c r="AP166" t="str">
        <f>SUM(B166:AO166)</f>
        <v>0</v>
      </c>
    </row>
    <row r="167" spans="1:43">
      <c r="A167" t="s">
        <v>192</v>
      </c>
      <c r="B167">
        <v>2</v>
      </c>
      <c r="C167">
        <v>2</v>
      </c>
      <c r="D167">
        <v>1</v>
      </c>
      <c r="E167">
        <v>2</v>
      </c>
      <c r="F167">
        <v>2</v>
      </c>
      <c r="G167">
        <v>2</v>
      </c>
      <c r="H167">
        <v>1</v>
      </c>
      <c r="I167">
        <v>2</v>
      </c>
      <c r="J167">
        <v>2</v>
      </c>
      <c r="K167">
        <v>2</v>
      </c>
      <c r="L167">
        <v>1</v>
      </c>
      <c r="M167">
        <v>2</v>
      </c>
      <c r="N167">
        <v>1</v>
      </c>
      <c r="O167">
        <v>1</v>
      </c>
      <c r="P167">
        <v>1</v>
      </c>
      <c r="Q167">
        <v>2</v>
      </c>
      <c r="R167">
        <v>2</v>
      </c>
      <c r="S167">
        <v>2</v>
      </c>
      <c r="T167">
        <v>2</v>
      </c>
      <c r="U167">
        <v>2</v>
      </c>
      <c r="V167">
        <v>2</v>
      </c>
      <c r="W167">
        <v>2</v>
      </c>
      <c r="X167">
        <v>3</v>
      </c>
      <c r="Y167">
        <v>2</v>
      </c>
      <c r="Z167">
        <v>2</v>
      </c>
      <c r="AA167">
        <v>2</v>
      </c>
      <c r="AB167">
        <v>1</v>
      </c>
      <c r="AC167">
        <v>2</v>
      </c>
      <c r="AD167">
        <v>1</v>
      </c>
      <c r="AE167">
        <v>2</v>
      </c>
      <c r="AF167">
        <v>2</v>
      </c>
      <c r="AG167">
        <v>2</v>
      </c>
      <c r="AH167">
        <v>2</v>
      </c>
      <c r="AI167">
        <v>1</v>
      </c>
      <c r="AJ167">
        <v>2</v>
      </c>
      <c r="AK167">
        <v>2</v>
      </c>
      <c r="AL167">
        <v>1</v>
      </c>
      <c r="AM167">
        <v>2</v>
      </c>
      <c r="AN167">
        <v>2</v>
      </c>
      <c r="AO167">
        <v>1</v>
      </c>
      <c r="AP167" t="str">
        <f>SUM(B167:AO167)</f>
        <v>0</v>
      </c>
    </row>
    <row r="168" spans="1:43">
      <c r="A168" t="s">
        <v>193</v>
      </c>
      <c r="B168">
        <v>2</v>
      </c>
      <c r="C168">
        <v>2</v>
      </c>
      <c r="D168">
        <v>1</v>
      </c>
      <c r="E168">
        <v>1</v>
      </c>
      <c r="F168">
        <v>1</v>
      </c>
      <c r="G168">
        <v>1</v>
      </c>
      <c r="H168">
        <v>2</v>
      </c>
      <c r="I168">
        <v>1</v>
      </c>
      <c r="J168">
        <v>2</v>
      </c>
      <c r="K168">
        <v>2</v>
      </c>
      <c r="L168">
        <v>1</v>
      </c>
      <c r="M168">
        <v>1</v>
      </c>
      <c r="N168">
        <v>2</v>
      </c>
      <c r="O168">
        <v>2</v>
      </c>
      <c r="P168">
        <v>1</v>
      </c>
      <c r="Q168">
        <v>1</v>
      </c>
      <c r="R168">
        <v>1</v>
      </c>
      <c r="S168">
        <v>1</v>
      </c>
      <c r="T168">
        <v>2</v>
      </c>
      <c r="U168">
        <v>1</v>
      </c>
      <c r="V168">
        <v>1</v>
      </c>
      <c r="W168">
        <v>2</v>
      </c>
      <c r="X168">
        <v>1</v>
      </c>
      <c r="Y168">
        <v>2</v>
      </c>
      <c r="Z168">
        <v>1</v>
      </c>
      <c r="AA168">
        <v>1</v>
      </c>
      <c r="AB168">
        <v>2</v>
      </c>
      <c r="AC168">
        <v>2</v>
      </c>
      <c r="AD168">
        <v>1</v>
      </c>
      <c r="AE168">
        <v>1</v>
      </c>
      <c r="AF168">
        <v>1</v>
      </c>
      <c r="AG168">
        <v>1</v>
      </c>
      <c r="AH168">
        <v>1</v>
      </c>
      <c r="AI168">
        <v>1</v>
      </c>
      <c r="AJ168">
        <v>1</v>
      </c>
      <c r="AK168">
        <v>2</v>
      </c>
      <c r="AL168">
        <v>1</v>
      </c>
      <c r="AM168">
        <v>2</v>
      </c>
      <c r="AN168">
        <v>2</v>
      </c>
      <c r="AO168">
        <v>1</v>
      </c>
      <c r="AP168" t="str">
        <f>SUM(B168:AO168)</f>
        <v>0</v>
      </c>
    </row>
    <row r="169" spans="1:43">
      <c r="A169" t="s">
        <v>194</v>
      </c>
      <c r="B169">
        <v>2</v>
      </c>
      <c r="C169">
        <v>1</v>
      </c>
      <c r="D169">
        <v>2</v>
      </c>
      <c r="E169">
        <v>1</v>
      </c>
      <c r="F169">
        <v>2</v>
      </c>
      <c r="G169">
        <v>2</v>
      </c>
      <c r="H169">
        <v>2</v>
      </c>
      <c r="I169">
        <v>1</v>
      </c>
      <c r="J169">
        <v>1</v>
      </c>
      <c r="K169">
        <v>1</v>
      </c>
      <c r="L169">
        <v>1</v>
      </c>
      <c r="M169">
        <v>2</v>
      </c>
      <c r="N169">
        <v>2</v>
      </c>
      <c r="O169">
        <v>2</v>
      </c>
      <c r="P169">
        <v>1</v>
      </c>
      <c r="Q169">
        <v>2</v>
      </c>
      <c r="R169">
        <v>2</v>
      </c>
      <c r="S169">
        <v>1</v>
      </c>
      <c r="T169">
        <v>1</v>
      </c>
      <c r="U169">
        <v>2</v>
      </c>
      <c r="V169">
        <v>1</v>
      </c>
      <c r="W169">
        <v>1</v>
      </c>
      <c r="X169">
        <v>1</v>
      </c>
      <c r="Y169">
        <v>2</v>
      </c>
      <c r="Z169">
        <v>2</v>
      </c>
      <c r="AA169">
        <v>2</v>
      </c>
      <c r="AB169">
        <v>2</v>
      </c>
      <c r="AC169">
        <v>2</v>
      </c>
      <c r="AD169">
        <v>2</v>
      </c>
      <c r="AE169">
        <v>1</v>
      </c>
      <c r="AF169">
        <v>1</v>
      </c>
      <c r="AG169">
        <v>2</v>
      </c>
      <c r="AH169">
        <v>1</v>
      </c>
      <c r="AI169">
        <v>1</v>
      </c>
      <c r="AJ169">
        <v>1</v>
      </c>
      <c r="AK169">
        <v>1</v>
      </c>
      <c r="AL169">
        <v>1</v>
      </c>
      <c r="AM169">
        <v>1</v>
      </c>
      <c r="AN169">
        <v>2</v>
      </c>
      <c r="AO169">
        <v>2</v>
      </c>
      <c r="AP169" t="str">
        <f>SUM(B169:AO169)</f>
        <v>0</v>
      </c>
    </row>
    <row r="170" spans="1:43">
      <c r="A170" t="s">
        <v>195</v>
      </c>
      <c r="B170">
        <v>1</v>
      </c>
      <c r="C170">
        <v>1</v>
      </c>
      <c r="D170">
        <v>1</v>
      </c>
      <c r="E170">
        <v>1</v>
      </c>
      <c r="F170">
        <v>1</v>
      </c>
      <c r="G170">
        <v>1</v>
      </c>
      <c r="H170">
        <v>2</v>
      </c>
      <c r="I170">
        <v>1</v>
      </c>
      <c r="J170">
        <v>1</v>
      </c>
      <c r="K170">
        <v>1</v>
      </c>
      <c r="L170">
        <v>1</v>
      </c>
      <c r="M170">
        <v>2</v>
      </c>
      <c r="N170">
        <v>1</v>
      </c>
      <c r="O170">
        <v>2</v>
      </c>
      <c r="P170">
        <v>1</v>
      </c>
      <c r="Q170">
        <v>1</v>
      </c>
      <c r="R170">
        <v>1</v>
      </c>
      <c r="S170">
        <v>1</v>
      </c>
      <c r="T170">
        <v>1</v>
      </c>
      <c r="U170">
        <v>2</v>
      </c>
      <c r="V170">
        <v>1</v>
      </c>
      <c r="W170">
        <v>1</v>
      </c>
      <c r="X170">
        <v>1</v>
      </c>
      <c r="Y170">
        <v>1</v>
      </c>
      <c r="Z170">
        <v>1</v>
      </c>
      <c r="AA170">
        <v>2</v>
      </c>
      <c r="AB170">
        <v>1</v>
      </c>
      <c r="AC170">
        <v>1</v>
      </c>
      <c r="AD170">
        <v>1</v>
      </c>
      <c r="AE170">
        <v>1</v>
      </c>
      <c r="AF170">
        <v>1</v>
      </c>
      <c r="AG170">
        <v>1</v>
      </c>
      <c r="AH170">
        <v>2</v>
      </c>
      <c r="AI170">
        <v>1</v>
      </c>
      <c r="AJ170">
        <v>1</v>
      </c>
      <c r="AK170">
        <v>1</v>
      </c>
      <c r="AL170">
        <v>1</v>
      </c>
      <c r="AM170">
        <v>1</v>
      </c>
      <c r="AN170">
        <v>1</v>
      </c>
      <c r="AO170">
        <v>2</v>
      </c>
      <c r="AP170" t="str">
        <f>SUM(B170:AO170)</f>
        <v>0</v>
      </c>
    </row>
    <row r="171" spans="1:43">
      <c r="A171" t="s">
        <v>196</v>
      </c>
      <c r="B171">
        <v>2</v>
      </c>
      <c r="C171">
        <v>3</v>
      </c>
      <c r="D171">
        <v>2</v>
      </c>
      <c r="E171">
        <v>2</v>
      </c>
      <c r="F171">
        <v>3</v>
      </c>
      <c r="G171">
        <v>2</v>
      </c>
      <c r="H171">
        <v>2</v>
      </c>
      <c r="I171">
        <v>2</v>
      </c>
      <c r="J171">
        <v>2</v>
      </c>
      <c r="K171">
        <v>2</v>
      </c>
      <c r="L171">
        <v>2</v>
      </c>
      <c r="M171">
        <v>2</v>
      </c>
      <c r="N171">
        <v>2</v>
      </c>
      <c r="O171">
        <v>3</v>
      </c>
      <c r="P171">
        <v>2</v>
      </c>
      <c r="Q171">
        <v>2</v>
      </c>
      <c r="R171">
        <v>2</v>
      </c>
      <c r="S171">
        <v>3</v>
      </c>
      <c r="T171">
        <v>3</v>
      </c>
      <c r="U171">
        <v>2</v>
      </c>
      <c r="V171">
        <v>3</v>
      </c>
      <c r="W171">
        <v>3</v>
      </c>
      <c r="X171">
        <v>2</v>
      </c>
      <c r="Y171">
        <v>1</v>
      </c>
      <c r="Z171">
        <v>2</v>
      </c>
      <c r="AA171">
        <v>2</v>
      </c>
      <c r="AB171">
        <v>2</v>
      </c>
      <c r="AC171">
        <v>2</v>
      </c>
      <c r="AD171">
        <v>2</v>
      </c>
      <c r="AE171">
        <v>2</v>
      </c>
      <c r="AF171">
        <v>3</v>
      </c>
      <c r="AG171">
        <v>2</v>
      </c>
      <c r="AH171">
        <v>2</v>
      </c>
      <c r="AI171">
        <v>2</v>
      </c>
      <c r="AJ171">
        <v>2</v>
      </c>
      <c r="AK171">
        <v>2</v>
      </c>
      <c r="AL171">
        <v>2</v>
      </c>
      <c r="AM171">
        <v>2</v>
      </c>
      <c r="AN171">
        <v>2</v>
      </c>
      <c r="AO171">
        <v>2</v>
      </c>
      <c r="AP171" t="str">
        <f>SUM(B171:AO171)</f>
        <v>0</v>
      </c>
    </row>
    <row r="172" spans="1:43">
      <c r="A172" t="s">
        <v>197</v>
      </c>
      <c r="B172">
        <v>2</v>
      </c>
      <c r="C172">
        <v>2</v>
      </c>
      <c r="D172">
        <v>2</v>
      </c>
      <c r="E172">
        <v>2</v>
      </c>
      <c r="F172">
        <v>1</v>
      </c>
      <c r="G172">
        <v>3</v>
      </c>
      <c r="H172">
        <v>2</v>
      </c>
      <c r="I172">
        <v>2</v>
      </c>
      <c r="J172">
        <v>3</v>
      </c>
      <c r="K172">
        <v>1</v>
      </c>
      <c r="L172">
        <v>2</v>
      </c>
      <c r="M172">
        <v>2</v>
      </c>
      <c r="N172">
        <v>1</v>
      </c>
      <c r="O172">
        <v>2</v>
      </c>
      <c r="P172">
        <v>2</v>
      </c>
      <c r="Q172">
        <v>2</v>
      </c>
      <c r="R172">
        <v>2</v>
      </c>
      <c r="S172">
        <v>2</v>
      </c>
      <c r="T172">
        <v>2</v>
      </c>
      <c r="U172">
        <v>2</v>
      </c>
      <c r="V172">
        <v>2</v>
      </c>
      <c r="W172">
        <v>1</v>
      </c>
      <c r="X172">
        <v>2</v>
      </c>
      <c r="Y172">
        <v>2</v>
      </c>
      <c r="Z172">
        <v>2</v>
      </c>
      <c r="AA172">
        <v>2</v>
      </c>
      <c r="AB172">
        <v>2</v>
      </c>
      <c r="AC172">
        <v>1</v>
      </c>
      <c r="AD172">
        <v>2</v>
      </c>
      <c r="AE172">
        <v>2</v>
      </c>
      <c r="AF172">
        <v>1</v>
      </c>
      <c r="AG172">
        <v>1</v>
      </c>
      <c r="AH172">
        <v>1</v>
      </c>
      <c r="AI172">
        <v>2</v>
      </c>
      <c r="AJ172">
        <v>2</v>
      </c>
      <c r="AK172">
        <v>2</v>
      </c>
      <c r="AL172">
        <v>2</v>
      </c>
      <c r="AM172">
        <v>1</v>
      </c>
      <c r="AN172">
        <v>1</v>
      </c>
      <c r="AO172">
        <v>2</v>
      </c>
      <c r="AP172" t="str">
        <f>SUM(B172:AO172)</f>
        <v>0</v>
      </c>
    </row>
    <row r="173" spans="1:43">
      <c r="A173" t="s">
        <v>198</v>
      </c>
      <c r="B173">
        <v>2</v>
      </c>
      <c r="C173">
        <v>2</v>
      </c>
      <c r="D173">
        <v>1</v>
      </c>
      <c r="E173">
        <v>2</v>
      </c>
      <c r="F173">
        <v>2</v>
      </c>
      <c r="G173">
        <v>2</v>
      </c>
      <c r="H173">
        <v>2</v>
      </c>
      <c r="I173">
        <v>2</v>
      </c>
      <c r="J173">
        <v>1</v>
      </c>
      <c r="K173">
        <v>2</v>
      </c>
      <c r="L173">
        <v>2</v>
      </c>
      <c r="M173">
        <v>1</v>
      </c>
      <c r="N173">
        <v>2</v>
      </c>
      <c r="O173">
        <v>1</v>
      </c>
      <c r="P173">
        <v>2</v>
      </c>
      <c r="Q173">
        <v>2</v>
      </c>
      <c r="R173">
        <v>1</v>
      </c>
      <c r="S173">
        <v>2</v>
      </c>
      <c r="T173">
        <v>2</v>
      </c>
      <c r="U173">
        <v>1</v>
      </c>
      <c r="V173">
        <v>2</v>
      </c>
      <c r="W173">
        <v>2</v>
      </c>
      <c r="X173">
        <v>1</v>
      </c>
      <c r="Y173">
        <v>2</v>
      </c>
      <c r="Z173">
        <v>2</v>
      </c>
      <c r="AA173">
        <v>1</v>
      </c>
      <c r="AB173">
        <v>1</v>
      </c>
      <c r="AC173">
        <v>1</v>
      </c>
      <c r="AD173">
        <v>1</v>
      </c>
      <c r="AE173">
        <v>2</v>
      </c>
      <c r="AF173">
        <v>2</v>
      </c>
      <c r="AG173">
        <v>1</v>
      </c>
      <c r="AH173">
        <v>1</v>
      </c>
      <c r="AI173">
        <v>1</v>
      </c>
      <c r="AJ173">
        <v>2</v>
      </c>
      <c r="AK173">
        <v>2</v>
      </c>
      <c r="AL173">
        <v>2</v>
      </c>
      <c r="AM173">
        <v>2</v>
      </c>
      <c r="AN173">
        <v>2</v>
      </c>
      <c r="AO173">
        <v>1</v>
      </c>
      <c r="AP173" t="str">
        <f>SUM(B173:AO173)</f>
        <v>0</v>
      </c>
    </row>
    <row r="174" spans="1:43">
      <c r="A174" t="s">
        <v>199</v>
      </c>
      <c r="B174">
        <v>1</v>
      </c>
      <c r="C174">
        <v>1</v>
      </c>
      <c r="D174">
        <v>2</v>
      </c>
      <c r="E174">
        <v>1</v>
      </c>
      <c r="F174">
        <v>1</v>
      </c>
      <c r="G174">
        <v>1</v>
      </c>
      <c r="H174">
        <v>2</v>
      </c>
      <c r="I174">
        <v>2</v>
      </c>
      <c r="J174">
        <v>2</v>
      </c>
      <c r="K174">
        <v>2</v>
      </c>
      <c r="L174">
        <v>2</v>
      </c>
      <c r="M174">
        <v>1</v>
      </c>
      <c r="N174">
        <v>2</v>
      </c>
      <c r="O174">
        <v>1</v>
      </c>
      <c r="P174">
        <v>1</v>
      </c>
      <c r="Q174">
        <v>2</v>
      </c>
      <c r="R174">
        <v>1</v>
      </c>
      <c r="S174">
        <v>1</v>
      </c>
      <c r="T174">
        <v>2</v>
      </c>
      <c r="U174">
        <v>2</v>
      </c>
      <c r="V174">
        <v>1</v>
      </c>
      <c r="W174">
        <v>1</v>
      </c>
      <c r="X174">
        <v>2</v>
      </c>
      <c r="Y174">
        <v>2</v>
      </c>
      <c r="Z174">
        <v>2</v>
      </c>
      <c r="AA174">
        <v>2</v>
      </c>
      <c r="AB174">
        <v>1</v>
      </c>
      <c r="AC174">
        <v>2</v>
      </c>
      <c r="AD174">
        <v>2</v>
      </c>
      <c r="AE174">
        <v>2</v>
      </c>
      <c r="AF174">
        <v>2</v>
      </c>
      <c r="AG174">
        <v>2</v>
      </c>
      <c r="AH174">
        <v>2</v>
      </c>
      <c r="AI174">
        <v>2</v>
      </c>
      <c r="AJ174">
        <v>2</v>
      </c>
      <c r="AK174">
        <v>2</v>
      </c>
      <c r="AL174">
        <v>2</v>
      </c>
      <c r="AM174">
        <v>2</v>
      </c>
      <c r="AN174">
        <v>2</v>
      </c>
      <c r="AO174">
        <v>2</v>
      </c>
      <c r="AP174" t="str">
        <f>SUM(B174:AO174)</f>
        <v>0</v>
      </c>
    </row>
    <row r="175" spans="1:43">
      <c r="A175" t="s">
        <v>200</v>
      </c>
      <c r="B175">
        <v>1</v>
      </c>
      <c r="C175">
        <v>2</v>
      </c>
      <c r="D175">
        <v>2</v>
      </c>
      <c r="E175">
        <v>2</v>
      </c>
      <c r="F175">
        <v>2</v>
      </c>
      <c r="G175">
        <v>2</v>
      </c>
      <c r="H175">
        <v>1</v>
      </c>
      <c r="I175">
        <v>2</v>
      </c>
      <c r="J175">
        <v>2</v>
      </c>
      <c r="K175">
        <v>2</v>
      </c>
      <c r="L175">
        <v>2</v>
      </c>
      <c r="M175">
        <v>1</v>
      </c>
      <c r="N175">
        <v>2</v>
      </c>
      <c r="O175">
        <v>2</v>
      </c>
      <c r="P175">
        <v>2</v>
      </c>
      <c r="Q175">
        <v>2</v>
      </c>
      <c r="R175">
        <v>1</v>
      </c>
      <c r="S175">
        <v>1</v>
      </c>
      <c r="T175">
        <v>1</v>
      </c>
      <c r="U175">
        <v>2</v>
      </c>
      <c r="V175">
        <v>2</v>
      </c>
      <c r="W175">
        <v>2</v>
      </c>
      <c r="X175">
        <v>1</v>
      </c>
      <c r="Y175">
        <v>2</v>
      </c>
      <c r="Z175">
        <v>1</v>
      </c>
      <c r="AA175">
        <v>1</v>
      </c>
      <c r="AB175">
        <v>2</v>
      </c>
      <c r="AC175">
        <v>1</v>
      </c>
      <c r="AD175">
        <v>2</v>
      </c>
      <c r="AE175">
        <v>2</v>
      </c>
      <c r="AF175">
        <v>1</v>
      </c>
      <c r="AG175">
        <v>1</v>
      </c>
      <c r="AH175">
        <v>2</v>
      </c>
      <c r="AI175">
        <v>2</v>
      </c>
      <c r="AJ175">
        <v>2</v>
      </c>
      <c r="AK175">
        <v>1</v>
      </c>
      <c r="AL175">
        <v>2</v>
      </c>
      <c r="AM175">
        <v>1</v>
      </c>
      <c r="AN175">
        <v>1</v>
      </c>
      <c r="AO175">
        <v>2</v>
      </c>
      <c r="AP175" t="str">
        <f>SUM(B175:AO175)</f>
        <v>0</v>
      </c>
    </row>
    <row r="176" spans="1:43">
      <c r="A176" t="s">
        <v>201</v>
      </c>
      <c r="B176">
        <v>1</v>
      </c>
      <c r="C176">
        <v>1</v>
      </c>
      <c r="D176">
        <v>1</v>
      </c>
      <c r="E176">
        <v>1</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c r="AD176">
        <v>1</v>
      </c>
      <c r="AE176">
        <v>1</v>
      </c>
      <c r="AF176">
        <v>1</v>
      </c>
      <c r="AG176">
        <v>1</v>
      </c>
      <c r="AH176">
        <v>1</v>
      </c>
      <c r="AI176">
        <v>1</v>
      </c>
      <c r="AJ176">
        <v>1</v>
      </c>
      <c r="AK176">
        <v>1</v>
      </c>
      <c r="AL176">
        <v>1</v>
      </c>
      <c r="AM176">
        <v>1</v>
      </c>
      <c r="AN176">
        <v>1</v>
      </c>
      <c r="AO176">
        <v>1</v>
      </c>
      <c r="AP176" t="str">
        <f>SUM(B176:AO176)</f>
        <v>0</v>
      </c>
    </row>
    <row r="177" spans="1:43">
      <c r="A177" t="s">
        <v>202</v>
      </c>
      <c r="B177">
        <v>2</v>
      </c>
      <c r="C177">
        <v>2</v>
      </c>
      <c r="D177">
        <v>1</v>
      </c>
      <c r="E177">
        <v>2</v>
      </c>
      <c r="F177">
        <v>2</v>
      </c>
      <c r="G177">
        <v>2</v>
      </c>
      <c r="H177">
        <v>2</v>
      </c>
      <c r="I177">
        <v>2</v>
      </c>
      <c r="J177">
        <v>2</v>
      </c>
      <c r="K177">
        <v>2</v>
      </c>
      <c r="L177">
        <v>2</v>
      </c>
      <c r="M177">
        <v>2</v>
      </c>
      <c r="N177">
        <v>2</v>
      </c>
      <c r="O177">
        <v>2</v>
      </c>
      <c r="P177">
        <v>2</v>
      </c>
      <c r="Q177">
        <v>2</v>
      </c>
      <c r="R177">
        <v>1</v>
      </c>
      <c r="S177">
        <v>2</v>
      </c>
      <c r="T177">
        <v>2</v>
      </c>
      <c r="U177">
        <v>2</v>
      </c>
      <c r="V177">
        <v>1</v>
      </c>
      <c r="W177">
        <v>2</v>
      </c>
      <c r="X177">
        <v>2</v>
      </c>
      <c r="Y177">
        <v>2</v>
      </c>
      <c r="Z177">
        <v>2</v>
      </c>
      <c r="AA177">
        <v>2</v>
      </c>
      <c r="AB177">
        <v>2</v>
      </c>
      <c r="AC177">
        <v>1</v>
      </c>
      <c r="AD177">
        <v>2</v>
      </c>
      <c r="AE177">
        <v>1</v>
      </c>
      <c r="AF177">
        <v>2</v>
      </c>
      <c r="AG177">
        <v>2</v>
      </c>
      <c r="AH177">
        <v>2</v>
      </c>
      <c r="AI177">
        <v>1</v>
      </c>
      <c r="AJ177">
        <v>2</v>
      </c>
      <c r="AK177">
        <v>1</v>
      </c>
      <c r="AL177">
        <v>2</v>
      </c>
      <c r="AM177">
        <v>1</v>
      </c>
      <c r="AN177">
        <v>2</v>
      </c>
      <c r="AO177">
        <v>2</v>
      </c>
      <c r="AP177" t="str">
        <f>SUM(B177:AO177)</f>
        <v>0</v>
      </c>
    </row>
    <row r="178" spans="1:43">
      <c r="A178" t="s">
        <v>203</v>
      </c>
      <c r="B178">
        <v>2</v>
      </c>
      <c r="C178">
        <v>1</v>
      </c>
      <c r="D178">
        <v>2</v>
      </c>
      <c r="E178">
        <v>2</v>
      </c>
      <c r="F178">
        <v>2</v>
      </c>
      <c r="G178">
        <v>2</v>
      </c>
      <c r="H178">
        <v>2</v>
      </c>
      <c r="I178">
        <v>1</v>
      </c>
      <c r="J178">
        <v>2</v>
      </c>
      <c r="K178">
        <v>2</v>
      </c>
      <c r="L178">
        <v>2</v>
      </c>
      <c r="M178">
        <v>1</v>
      </c>
      <c r="N178">
        <v>1</v>
      </c>
      <c r="O178">
        <v>2</v>
      </c>
      <c r="P178">
        <v>2</v>
      </c>
      <c r="Q178">
        <v>2</v>
      </c>
      <c r="R178">
        <v>2</v>
      </c>
      <c r="S178">
        <v>2</v>
      </c>
      <c r="T178">
        <v>2</v>
      </c>
      <c r="U178">
        <v>2</v>
      </c>
      <c r="V178">
        <v>1</v>
      </c>
      <c r="W178">
        <v>1</v>
      </c>
      <c r="X178">
        <v>2</v>
      </c>
      <c r="Y178">
        <v>2</v>
      </c>
      <c r="Z178">
        <v>2</v>
      </c>
      <c r="AA178">
        <v>1</v>
      </c>
      <c r="AB178">
        <v>2</v>
      </c>
      <c r="AC178">
        <v>2</v>
      </c>
      <c r="AD178">
        <v>2</v>
      </c>
      <c r="AE178">
        <v>1</v>
      </c>
      <c r="AF178">
        <v>2</v>
      </c>
      <c r="AG178">
        <v>1</v>
      </c>
      <c r="AH178">
        <v>1</v>
      </c>
      <c r="AI178">
        <v>1</v>
      </c>
      <c r="AJ178">
        <v>1</v>
      </c>
      <c r="AK178">
        <v>2</v>
      </c>
      <c r="AL178">
        <v>1</v>
      </c>
      <c r="AM178">
        <v>2</v>
      </c>
      <c r="AN178">
        <v>1</v>
      </c>
      <c r="AO178">
        <v>1</v>
      </c>
      <c r="AP178" t="str">
        <f>SUM(B178:AO178)</f>
        <v>0</v>
      </c>
    </row>
    <row r="179" spans="1:43">
      <c r="A179" t="s">
        <v>204</v>
      </c>
      <c r="B179">
        <v>2</v>
      </c>
      <c r="C179">
        <v>2</v>
      </c>
      <c r="D179">
        <v>2</v>
      </c>
      <c r="E179">
        <v>1</v>
      </c>
      <c r="F179">
        <v>2</v>
      </c>
      <c r="G179">
        <v>2</v>
      </c>
      <c r="H179">
        <v>2</v>
      </c>
      <c r="I179">
        <v>2</v>
      </c>
      <c r="J179">
        <v>1</v>
      </c>
      <c r="K179">
        <v>1</v>
      </c>
      <c r="L179">
        <v>2</v>
      </c>
      <c r="M179">
        <v>2</v>
      </c>
      <c r="N179">
        <v>1</v>
      </c>
      <c r="O179">
        <v>2</v>
      </c>
      <c r="P179">
        <v>1</v>
      </c>
      <c r="Q179">
        <v>2</v>
      </c>
      <c r="R179">
        <v>2</v>
      </c>
      <c r="S179">
        <v>2</v>
      </c>
      <c r="T179">
        <v>2</v>
      </c>
      <c r="U179">
        <v>1</v>
      </c>
      <c r="V179">
        <v>1</v>
      </c>
      <c r="W179">
        <v>1</v>
      </c>
      <c r="X179">
        <v>2</v>
      </c>
      <c r="Y179">
        <v>1</v>
      </c>
      <c r="Z179">
        <v>2</v>
      </c>
      <c r="AA179">
        <v>1</v>
      </c>
      <c r="AB179">
        <v>2</v>
      </c>
      <c r="AC179">
        <v>2</v>
      </c>
      <c r="AD179">
        <v>2</v>
      </c>
      <c r="AE179">
        <v>2</v>
      </c>
      <c r="AF179">
        <v>2</v>
      </c>
      <c r="AG179">
        <v>2</v>
      </c>
      <c r="AH179">
        <v>2</v>
      </c>
      <c r="AI179">
        <v>2</v>
      </c>
      <c r="AJ179">
        <v>2</v>
      </c>
      <c r="AK179">
        <v>1</v>
      </c>
      <c r="AL179">
        <v>2</v>
      </c>
      <c r="AM179">
        <v>1</v>
      </c>
      <c r="AN179">
        <v>1</v>
      </c>
      <c r="AO179">
        <v>2</v>
      </c>
      <c r="AP179" t="str">
        <f>SUM(B179:AO179)</f>
        <v>0</v>
      </c>
    </row>
    <row r="180" spans="1:43">
      <c r="A180" t="s">
        <v>205</v>
      </c>
      <c r="B180">
        <v>2</v>
      </c>
      <c r="C180">
        <v>2</v>
      </c>
      <c r="D180">
        <v>2</v>
      </c>
      <c r="E180">
        <v>3</v>
      </c>
      <c r="F180">
        <v>2</v>
      </c>
      <c r="G180">
        <v>3</v>
      </c>
      <c r="H180">
        <v>2</v>
      </c>
      <c r="I180">
        <v>2</v>
      </c>
      <c r="J180">
        <v>2</v>
      </c>
      <c r="K180">
        <v>2</v>
      </c>
      <c r="L180">
        <v>2</v>
      </c>
      <c r="M180">
        <v>1</v>
      </c>
      <c r="N180">
        <v>3</v>
      </c>
      <c r="O180">
        <v>3</v>
      </c>
      <c r="P180">
        <v>2</v>
      </c>
      <c r="Q180">
        <v>2</v>
      </c>
      <c r="R180">
        <v>1</v>
      </c>
      <c r="S180">
        <v>3</v>
      </c>
      <c r="T180">
        <v>2</v>
      </c>
      <c r="U180">
        <v>2</v>
      </c>
      <c r="V180">
        <v>2</v>
      </c>
      <c r="W180">
        <v>2</v>
      </c>
      <c r="X180">
        <v>1</v>
      </c>
      <c r="Y180">
        <v>2</v>
      </c>
      <c r="Z180">
        <v>2</v>
      </c>
      <c r="AA180">
        <v>2</v>
      </c>
      <c r="AB180">
        <v>2</v>
      </c>
      <c r="AC180">
        <v>2</v>
      </c>
      <c r="AD180">
        <v>2</v>
      </c>
      <c r="AE180">
        <v>2</v>
      </c>
      <c r="AF180">
        <v>1</v>
      </c>
      <c r="AG180">
        <v>2</v>
      </c>
      <c r="AH180">
        <v>2</v>
      </c>
      <c r="AI180">
        <v>1</v>
      </c>
      <c r="AJ180">
        <v>2</v>
      </c>
      <c r="AK180">
        <v>2</v>
      </c>
      <c r="AL180">
        <v>2</v>
      </c>
      <c r="AM180">
        <v>2</v>
      </c>
      <c r="AN180">
        <v>2</v>
      </c>
      <c r="AO180">
        <v>2</v>
      </c>
      <c r="AP180" t="str">
        <f>SUM(B180:AO180)</f>
        <v>0</v>
      </c>
    </row>
    <row r="181" spans="1:43">
      <c r="A181" t="s">
        <v>206</v>
      </c>
      <c r="B181">
        <v>2</v>
      </c>
      <c r="C181">
        <v>2</v>
      </c>
      <c r="D181">
        <v>1</v>
      </c>
      <c r="E181">
        <v>2</v>
      </c>
      <c r="F181">
        <v>1</v>
      </c>
      <c r="G181">
        <v>1</v>
      </c>
      <c r="H181">
        <v>2</v>
      </c>
      <c r="I181">
        <v>2</v>
      </c>
      <c r="J181">
        <v>1</v>
      </c>
      <c r="K181">
        <v>1</v>
      </c>
      <c r="L181">
        <v>2</v>
      </c>
      <c r="M181">
        <v>1</v>
      </c>
      <c r="N181">
        <v>1</v>
      </c>
      <c r="O181">
        <v>2</v>
      </c>
      <c r="P181">
        <v>1</v>
      </c>
      <c r="Q181">
        <v>2</v>
      </c>
      <c r="R181">
        <v>2</v>
      </c>
      <c r="S181">
        <v>2</v>
      </c>
      <c r="T181">
        <v>1</v>
      </c>
      <c r="U181">
        <v>2</v>
      </c>
      <c r="V181">
        <v>2</v>
      </c>
      <c r="W181">
        <v>2</v>
      </c>
      <c r="X181">
        <v>2</v>
      </c>
      <c r="Y181">
        <v>2</v>
      </c>
      <c r="Z181">
        <v>2</v>
      </c>
      <c r="AA181">
        <v>2</v>
      </c>
      <c r="AB181">
        <v>2</v>
      </c>
      <c r="AC181">
        <v>1</v>
      </c>
      <c r="AD181">
        <v>2</v>
      </c>
      <c r="AE181">
        <v>2</v>
      </c>
      <c r="AF181">
        <v>2</v>
      </c>
      <c r="AG181">
        <v>2</v>
      </c>
      <c r="AH181">
        <v>1</v>
      </c>
      <c r="AI181">
        <v>2</v>
      </c>
      <c r="AJ181">
        <v>2</v>
      </c>
      <c r="AK181">
        <v>1</v>
      </c>
      <c r="AL181">
        <v>2</v>
      </c>
      <c r="AM181">
        <v>2</v>
      </c>
      <c r="AN181">
        <v>2</v>
      </c>
      <c r="AO181">
        <v>2</v>
      </c>
      <c r="AP181" t="str">
        <f>SUM(B181:AO181)</f>
        <v>0</v>
      </c>
    </row>
    <row r="182" spans="1:43">
      <c r="A182" t="s">
        <v>207</v>
      </c>
      <c r="B182">
        <v>1</v>
      </c>
      <c r="C182">
        <v>2</v>
      </c>
      <c r="D182">
        <v>2</v>
      </c>
      <c r="E182">
        <v>2</v>
      </c>
      <c r="F182">
        <v>2</v>
      </c>
      <c r="G182">
        <v>2</v>
      </c>
      <c r="H182">
        <v>1</v>
      </c>
      <c r="I182">
        <v>2</v>
      </c>
      <c r="J182">
        <v>1</v>
      </c>
      <c r="K182">
        <v>1</v>
      </c>
      <c r="L182">
        <v>2</v>
      </c>
      <c r="M182">
        <v>2</v>
      </c>
      <c r="N182">
        <v>2</v>
      </c>
      <c r="O182">
        <v>1</v>
      </c>
      <c r="P182">
        <v>2</v>
      </c>
      <c r="Q182">
        <v>1</v>
      </c>
      <c r="R182">
        <v>2</v>
      </c>
      <c r="S182">
        <v>2</v>
      </c>
      <c r="T182">
        <v>2</v>
      </c>
      <c r="U182">
        <v>2</v>
      </c>
      <c r="V182">
        <v>2</v>
      </c>
      <c r="W182">
        <v>2</v>
      </c>
      <c r="X182">
        <v>2</v>
      </c>
      <c r="Y182">
        <v>2</v>
      </c>
      <c r="Z182">
        <v>2</v>
      </c>
      <c r="AA182">
        <v>2</v>
      </c>
      <c r="AB182">
        <v>2</v>
      </c>
      <c r="AC182">
        <v>1</v>
      </c>
      <c r="AD182">
        <v>2</v>
      </c>
      <c r="AE182">
        <v>2</v>
      </c>
      <c r="AF182">
        <v>2</v>
      </c>
      <c r="AG182">
        <v>2</v>
      </c>
      <c r="AH182">
        <v>1</v>
      </c>
      <c r="AI182">
        <v>1</v>
      </c>
      <c r="AJ182">
        <v>2</v>
      </c>
      <c r="AK182">
        <v>2</v>
      </c>
      <c r="AL182">
        <v>2</v>
      </c>
      <c r="AM182">
        <v>2</v>
      </c>
      <c r="AN182">
        <v>2</v>
      </c>
      <c r="AO182">
        <v>1</v>
      </c>
      <c r="AP182" t="str">
        <f>SUM(B182:AO182)</f>
        <v>0</v>
      </c>
    </row>
    <row r="183" spans="1:43">
      <c r="A183" t="s">
        <v>208</v>
      </c>
      <c r="B183">
        <v>2</v>
      </c>
      <c r="C183">
        <v>2</v>
      </c>
      <c r="D183">
        <v>1</v>
      </c>
      <c r="E183">
        <v>2</v>
      </c>
      <c r="F183">
        <v>1</v>
      </c>
      <c r="G183">
        <v>2</v>
      </c>
      <c r="H183">
        <v>2</v>
      </c>
      <c r="I183">
        <v>2</v>
      </c>
      <c r="J183">
        <v>2</v>
      </c>
      <c r="K183">
        <v>2</v>
      </c>
      <c r="L183">
        <v>2</v>
      </c>
      <c r="M183">
        <v>2</v>
      </c>
      <c r="N183">
        <v>1</v>
      </c>
      <c r="O183">
        <v>2</v>
      </c>
      <c r="P183">
        <v>2</v>
      </c>
      <c r="Q183">
        <v>2</v>
      </c>
      <c r="R183">
        <v>2</v>
      </c>
      <c r="S183">
        <v>1</v>
      </c>
      <c r="T183">
        <v>2</v>
      </c>
      <c r="U183">
        <v>2</v>
      </c>
      <c r="V183">
        <v>2</v>
      </c>
      <c r="W183">
        <v>2</v>
      </c>
      <c r="X183">
        <v>2</v>
      </c>
      <c r="Y183">
        <v>2</v>
      </c>
      <c r="Z183">
        <v>2</v>
      </c>
      <c r="AA183">
        <v>2</v>
      </c>
      <c r="AB183">
        <v>2</v>
      </c>
      <c r="AC183">
        <v>1</v>
      </c>
      <c r="AD183">
        <v>2</v>
      </c>
      <c r="AE183">
        <v>1</v>
      </c>
      <c r="AF183">
        <v>2</v>
      </c>
      <c r="AG183">
        <v>2</v>
      </c>
      <c r="AH183">
        <v>2</v>
      </c>
      <c r="AI183">
        <v>2</v>
      </c>
      <c r="AJ183">
        <v>2</v>
      </c>
      <c r="AK183">
        <v>2</v>
      </c>
      <c r="AL183">
        <v>2</v>
      </c>
      <c r="AM183">
        <v>2</v>
      </c>
      <c r="AN183">
        <v>2</v>
      </c>
      <c r="AO183">
        <v>2</v>
      </c>
      <c r="AP183" t="str">
        <f>SUM(B183:AO183)</f>
        <v>0</v>
      </c>
    </row>
    <row r="184" spans="1:43">
      <c r="A184" t="s">
        <v>209</v>
      </c>
      <c r="B184">
        <v>2</v>
      </c>
      <c r="C184">
        <v>1</v>
      </c>
      <c r="D184">
        <v>2</v>
      </c>
      <c r="E184">
        <v>2</v>
      </c>
      <c r="F184">
        <v>2</v>
      </c>
      <c r="G184">
        <v>1</v>
      </c>
      <c r="H184">
        <v>2</v>
      </c>
      <c r="I184">
        <v>2</v>
      </c>
      <c r="J184">
        <v>2</v>
      </c>
      <c r="K184">
        <v>2</v>
      </c>
      <c r="L184">
        <v>1</v>
      </c>
      <c r="M184">
        <v>2</v>
      </c>
      <c r="N184">
        <v>2</v>
      </c>
      <c r="O184">
        <v>1</v>
      </c>
      <c r="P184">
        <v>1</v>
      </c>
      <c r="Q184">
        <v>2</v>
      </c>
      <c r="R184">
        <v>2</v>
      </c>
      <c r="S184">
        <v>2</v>
      </c>
      <c r="T184">
        <v>1</v>
      </c>
      <c r="U184">
        <v>2</v>
      </c>
      <c r="V184">
        <v>1</v>
      </c>
      <c r="W184">
        <v>1</v>
      </c>
      <c r="X184">
        <v>2</v>
      </c>
      <c r="Y184">
        <v>2</v>
      </c>
      <c r="Z184">
        <v>1</v>
      </c>
      <c r="AA184">
        <v>2</v>
      </c>
      <c r="AB184">
        <v>2</v>
      </c>
      <c r="AC184">
        <v>2</v>
      </c>
      <c r="AD184">
        <v>1</v>
      </c>
      <c r="AE184">
        <v>2</v>
      </c>
      <c r="AF184">
        <v>2</v>
      </c>
      <c r="AG184">
        <v>2</v>
      </c>
      <c r="AH184">
        <v>2</v>
      </c>
      <c r="AI184">
        <v>2</v>
      </c>
      <c r="AJ184">
        <v>2</v>
      </c>
      <c r="AK184">
        <v>2</v>
      </c>
      <c r="AL184">
        <v>2</v>
      </c>
      <c r="AM184">
        <v>2</v>
      </c>
      <c r="AN184">
        <v>2</v>
      </c>
      <c r="AO184">
        <v>2</v>
      </c>
      <c r="AP184" t="str">
        <f>SUM(B184:AO184)</f>
        <v>0</v>
      </c>
    </row>
    <row r="185" spans="1:43">
      <c r="A185" t="s">
        <v>210</v>
      </c>
      <c r="B185">
        <v>2</v>
      </c>
      <c r="C185">
        <v>1</v>
      </c>
      <c r="D185">
        <v>2</v>
      </c>
      <c r="E185">
        <v>2</v>
      </c>
      <c r="F185">
        <v>1</v>
      </c>
      <c r="G185">
        <v>2</v>
      </c>
      <c r="H185">
        <v>1</v>
      </c>
      <c r="I185">
        <v>1</v>
      </c>
      <c r="J185">
        <v>1</v>
      </c>
      <c r="K185">
        <v>1</v>
      </c>
      <c r="L185">
        <v>2</v>
      </c>
      <c r="M185">
        <v>1</v>
      </c>
      <c r="N185">
        <v>1</v>
      </c>
      <c r="O185">
        <v>2</v>
      </c>
      <c r="P185">
        <v>1</v>
      </c>
      <c r="Q185">
        <v>1</v>
      </c>
      <c r="R185">
        <v>2</v>
      </c>
      <c r="S185">
        <v>1</v>
      </c>
      <c r="T185">
        <v>1</v>
      </c>
      <c r="U185">
        <v>1</v>
      </c>
      <c r="V185">
        <v>2</v>
      </c>
      <c r="W185">
        <v>1</v>
      </c>
      <c r="X185">
        <v>1</v>
      </c>
      <c r="Y185">
        <v>1</v>
      </c>
      <c r="Z185">
        <v>1</v>
      </c>
      <c r="AA185">
        <v>1</v>
      </c>
      <c r="AB185">
        <v>2</v>
      </c>
      <c r="AC185">
        <v>2</v>
      </c>
      <c r="AD185">
        <v>2</v>
      </c>
      <c r="AE185">
        <v>2</v>
      </c>
      <c r="AF185">
        <v>1</v>
      </c>
      <c r="AG185">
        <v>2</v>
      </c>
      <c r="AH185">
        <v>1</v>
      </c>
      <c r="AI185">
        <v>2</v>
      </c>
      <c r="AJ185">
        <v>1</v>
      </c>
      <c r="AK185">
        <v>2</v>
      </c>
      <c r="AL185">
        <v>1</v>
      </c>
      <c r="AM185">
        <v>1</v>
      </c>
      <c r="AN185">
        <v>1</v>
      </c>
      <c r="AO185">
        <v>2</v>
      </c>
      <c r="AP185" t="str">
        <f>SUM(B185:AO185)</f>
        <v>0</v>
      </c>
    </row>
    <row r="186" spans="1:43">
      <c r="A186" t="s">
        <v>211</v>
      </c>
      <c r="B186">
        <v>2</v>
      </c>
      <c r="C186">
        <v>1</v>
      </c>
      <c r="D186">
        <v>1</v>
      </c>
      <c r="E186">
        <v>1</v>
      </c>
      <c r="F186">
        <v>2</v>
      </c>
      <c r="G186">
        <v>1</v>
      </c>
      <c r="H186">
        <v>1</v>
      </c>
      <c r="I186">
        <v>1</v>
      </c>
      <c r="J186">
        <v>1</v>
      </c>
      <c r="K186">
        <v>1</v>
      </c>
      <c r="L186">
        <v>2</v>
      </c>
      <c r="M186">
        <v>2</v>
      </c>
      <c r="N186">
        <v>1</v>
      </c>
      <c r="O186">
        <v>1</v>
      </c>
      <c r="P186">
        <v>1</v>
      </c>
      <c r="Q186">
        <v>1</v>
      </c>
      <c r="R186">
        <v>1</v>
      </c>
      <c r="S186">
        <v>2</v>
      </c>
      <c r="T186">
        <v>1</v>
      </c>
      <c r="U186">
        <v>1</v>
      </c>
      <c r="V186">
        <v>1</v>
      </c>
      <c r="W186">
        <v>1</v>
      </c>
      <c r="X186">
        <v>1</v>
      </c>
      <c r="Y186">
        <v>2</v>
      </c>
      <c r="Z186">
        <v>1</v>
      </c>
      <c r="AA186">
        <v>2</v>
      </c>
      <c r="AB186">
        <v>1</v>
      </c>
      <c r="AC186">
        <v>2</v>
      </c>
      <c r="AD186">
        <v>1</v>
      </c>
      <c r="AE186">
        <v>1</v>
      </c>
      <c r="AF186">
        <v>1</v>
      </c>
      <c r="AG186">
        <v>1</v>
      </c>
      <c r="AH186">
        <v>1</v>
      </c>
      <c r="AI186">
        <v>1</v>
      </c>
      <c r="AJ186">
        <v>1</v>
      </c>
      <c r="AK186">
        <v>1</v>
      </c>
      <c r="AL186">
        <v>1</v>
      </c>
      <c r="AM186">
        <v>1</v>
      </c>
      <c r="AN186">
        <v>1</v>
      </c>
      <c r="AO186">
        <v>1</v>
      </c>
      <c r="AP186" t="str">
        <f>SUM(B186:AO186)</f>
        <v>0</v>
      </c>
    </row>
    <row r="187" spans="1:43">
      <c r="A187" t="s">
        <v>212</v>
      </c>
      <c r="B187">
        <v>1</v>
      </c>
      <c r="C187">
        <v>1</v>
      </c>
      <c r="D187">
        <v>1</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v>1</v>
      </c>
      <c r="AH187">
        <v>1</v>
      </c>
      <c r="AI187">
        <v>1</v>
      </c>
      <c r="AJ187">
        <v>1</v>
      </c>
      <c r="AK187">
        <v>1</v>
      </c>
      <c r="AL187">
        <v>1</v>
      </c>
      <c r="AM187">
        <v>1</v>
      </c>
      <c r="AN187">
        <v>1</v>
      </c>
      <c r="AO187">
        <v>1</v>
      </c>
      <c r="AP187" t="str">
        <f>SUM(B187:AO187)</f>
        <v>0</v>
      </c>
    </row>
    <row r="188" spans="1:43">
      <c r="A188" t="s">
        <v>213</v>
      </c>
      <c r="B188">
        <v>2</v>
      </c>
      <c r="C188">
        <v>2</v>
      </c>
      <c r="D188">
        <v>2</v>
      </c>
      <c r="E188">
        <v>2</v>
      </c>
      <c r="F188">
        <v>2</v>
      </c>
      <c r="G188">
        <v>2</v>
      </c>
      <c r="H188">
        <v>2</v>
      </c>
      <c r="I188">
        <v>2</v>
      </c>
      <c r="J188">
        <v>2</v>
      </c>
      <c r="K188">
        <v>1</v>
      </c>
      <c r="L188">
        <v>2</v>
      </c>
      <c r="M188">
        <v>2</v>
      </c>
      <c r="N188">
        <v>2</v>
      </c>
      <c r="O188">
        <v>2</v>
      </c>
      <c r="P188">
        <v>2</v>
      </c>
      <c r="Q188">
        <v>1</v>
      </c>
      <c r="R188">
        <v>2</v>
      </c>
      <c r="S188">
        <v>1</v>
      </c>
      <c r="T188">
        <v>2</v>
      </c>
      <c r="U188">
        <v>1</v>
      </c>
      <c r="V188">
        <v>2</v>
      </c>
      <c r="W188">
        <v>2</v>
      </c>
      <c r="X188">
        <v>1</v>
      </c>
      <c r="Y188">
        <v>2</v>
      </c>
      <c r="Z188">
        <v>2</v>
      </c>
      <c r="AA188">
        <v>2</v>
      </c>
      <c r="AB188">
        <v>1</v>
      </c>
      <c r="AC188">
        <v>2</v>
      </c>
      <c r="AD188">
        <v>2</v>
      </c>
      <c r="AE188">
        <v>2</v>
      </c>
      <c r="AF188">
        <v>2</v>
      </c>
      <c r="AG188">
        <v>2</v>
      </c>
      <c r="AH188">
        <v>2</v>
      </c>
      <c r="AI188">
        <v>2</v>
      </c>
      <c r="AJ188">
        <v>2</v>
      </c>
      <c r="AK188">
        <v>1</v>
      </c>
      <c r="AL188">
        <v>1</v>
      </c>
      <c r="AM188">
        <v>2</v>
      </c>
      <c r="AN188">
        <v>2</v>
      </c>
      <c r="AO188">
        <v>2</v>
      </c>
      <c r="AP188" t="str">
        <f>SUM(B188:AO188)</f>
        <v>0</v>
      </c>
    </row>
    <row r="189" spans="1:43">
      <c r="A189" t="s">
        <v>214</v>
      </c>
      <c r="B189">
        <v>1</v>
      </c>
      <c r="C189">
        <v>1</v>
      </c>
      <c r="D189">
        <v>1</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1</v>
      </c>
      <c r="AA189">
        <v>1</v>
      </c>
      <c r="AB189">
        <v>1</v>
      </c>
      <c r="AC189">
        <v>1</v>
      </c>
      <c r="AD189">
        <v>1</v>
      </c>
      <c r="AE189">
        <v>1</v>
      </c>
      <c r="AF189">
        <v>1</v>
      </c>
      <c r="AG189">
        <v>1</v>
      </c>
      <c r="AH189">
        <v>1</v>
      </c>
      <c r="AI189">
        <v>1</v>
      </c>
      <c r="AJ189">
        <v>1</v>
      </c>
      <c r="AK189">
        <v>1</v>
      </c>
      <c r="AL189">
        <v>1</v>
      </c>
      <c r="AM189">
        <v>1</v>
      </c>
      <c r="AN189">
        <v>1</v>
      </c>
      <c r="AO189">
        <v>1</v>
      </c>
      <c r="AP189" t="str">
        <f>SUM(B189:AO189)</f>
        <v>0</v>
      </c>
    </row>
    <row r="190" spans="1:43">
      <c r="A190" t="s">
        <v>215</v>
      </c>
      <c r="B190">
        <v>2</v>
      </c>
      <c r="C190">
        <v>2</v>
      </c>
      <c r="D190">
        <v>2</v>
      </c>
      <c r="E190">
        <v>2</v>
      </c>
      <c r="F190">
        <v>2</v>
      </c>
      <c r="G190">
        <v>1</v>
      </c>
      <c r="H190">
        <v>2</v>
      </c>
      <c r="I190">
        <v>1</v>
      </c>
      <c r="J190">
        <v>2</v>
      </c>
      <c r="K190">
        <v>2</v>
      </c>
      <c r="L190">
        <v>2</v>
      </c>
      <c r="M190">
        <v>2</v>
      </c>
      <c r="N190">
        <v>2</v>
      </c>
      <c r="O190">
        <v>2</v>
      </c>
      <c r="P190">
        <v>2</v>
      </c>
      <c r="Q190">
        <v>2</v>
      </c>
      <c r="R190">
        <v>2</v>
      </c>
      <c r="S190">
        <v>2</v>
      </c>
      <c r="T190">
        <v>1</v>
      </c>
      <c r="U190">
        <v>2</v>
      </c>
      <c r="V190">
        <v>1</v>
      </c>
      <c r="W190">
        <v>2</v>
      </c>
      <c r="X190">
        <v>2</v>
      </c>
      <c r="Y190">
        <v>1</v>
      </c>
      <c r="Z190">
        <v>2</v>
      </c>
      <c r="AA190">
        <v>2</v>
      </c>
      <c r="AB190">
        <v>2</v>
      </c>
      <c r="AC190">
        <v>2</v>
      </c>
      <c r="AD190">
        <v>2</v>
      </c>
      <c r="AE190">
        <v>2</v>
      </c>
      <c r="AF190">
        <v>1</v>
      </c>
      <c r="AG190">
        <v>2</v>
      </c>
      <c r="AH190">
        <v>2</v>
      </c>
      <c r="AI190">
        <v>2</v>
      </c>
      <c r="AJ190">
        <v>1</v>
      </c>
      <c r="AK190">
        <v>2</v>
      </c>
      <c r="AL190">
        <v>2</v>
      </c>
      <c r="AM190">
        <v>2</v>
      </c>
      <c r="AN190">
        <v>2</v>
      </c>
      <c r="AO190">
        <v>1</v>
      </c>
      <c r="AP190" t="str">
        <f>SUM(B190:AO190)</f>
        <v>0</v>
      </c>
    </row>
    <row r="191" spans="1:43">
      <c r="A191" t="s">
        <v>216</v>
      </c>
      <c r="B191">
        <v>1</v>
      </c>
      <c r="C191">
        <v>1</v>
      </c>
      <c r="D191">
        <v>1</v>
      </c>
      <c r="E191">
        <v>1</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c r="AD191">
        <v>1</v>
      </c>
      <c r="AE191">
        <v>1</v>
      </c>
      <c r="AF191">
        <v>1</v>
      </c>
      <c r="AG191">
        <v>1</v>
      </c>
      <c r="AH191">
        <v>1</v>
      </c>
      <c r="AI191">
        <v>1</v>
      </c>
      <c r="AJ191">
        <v>1</v>
      </c>
      <c r="AK191">
        <v>1</v>
      </c>
      <c r="AL191">
        <v>1</v>
      </c>
      <c r="AM191">
        <v>1</v>
      </c>
      <c r="AN191">
        <v>1</v>
      </c>
      <c r="AO191">
        <v>1</v>
      </c>
      <c r="AP191" t="str">
        <f>SUM(B191:AO191)</f>
        <v>0</v>
      </c>
    </row>
    <row r="192" spans="1:43">
      <c r="A192" t="s">
        <v>217</v>
      </c>
      <c r="B192">
        <v>3</v>
      </c>
      <c r="C192">
        <v>2</v>
      </c>
      <c r="D192">
        <v>2</v>
      </c>
      <c r="E192">
        <v>2</v>
      </c>
      <c r="F192">
        <v>2</v>
      </c>
      <c r="G192">
        <v>2</v>
      </c>
      <c r="H192">
        <v>1</v>
      </c>
      <c r="I192">
        <v>2</v>
      </c>
      <c r="J192">
        <v>3</v>
      </c>
      <c r="K192">
        <v>2</v>
      </c>
      <c r="L192">
        <v>2</v>
      </c>
      <c r="M192">
        <v>2</v>
      </c>
      <c r="N192">
        <v>2</v>
      </c>
      <c r="O192">
        <v>3</v>
      </c>
      <c r="P192">
        <v>3</v>
      </c>
      <c r="Q192">
        <v>2</v>
      </c>
      <c r="R192">
        <v>2</v>
      </c>
      <c r="S192">
        <v>3</v>
      </c>
      <c r="T192">
        <v>2</v>
      </c>
      <c r="U192">
        <v>2</v>
      </c>
      <c r="V192">
        <v>2</v>
      </c>
      <c r="W192">
        <v>2</v>
      </c>
      <c r="X192">
        <v>2</v>
      </c>
      <c r="Y192">
        <v>3</v>
      </c>
      <c r="Z192">
        <v>2</v>
      </c>
      <c r="AA192">
        <v>2</v>
      </c>
      <c r="AB192">
        <v>2</v>
      </c>
      <c r="AC192">
        <v>2</v>
      </c>
      <c r="AD192">
        <v>3</v>
      </c>
      <c r="AE192">
        <v>2</v>
      </c>
      <c r="AF192">
        <v>2</v>
      </c>
      <c r="AG192">
        <v>2</v>
      </c>
      <c r="AH192">
        <v>2</v>
      </c>
      <c r="AI192">
        <v>1</v>
      </c>
      <c r="AJ192">
        <v>3</v>
      </c>
      <c r="AK192">
        <v>2</v>
      </c>
      <c r="AL192">
        <v>2</v>
      </c>
      <c r="AM192">
        <v>2</v>
      </c>
      <c r="AN192">
        <v>1</v>
      </c>
      <c r="AO192">
        <v>2</v>
      </c>
      <c r="AP192" t="str">
        <f>SUM(B192:AO192)</f>
        <v>0</v>
      </c>
    </row>
    <row r="193" spans="1:43">
      <c r="A193" t="s">
        <v>218</v>
      </c>
      <c r="B193">
        <v>1</v>
      </c>
      <c r="C193">
        <v>1</v>
      </c>
      <c r="D193">
        <v>1</v>
      </c>
      <c r="E193">
        <v>1</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c r="AD193">
        <v>1</v>
      </c>
      <c r="AE193">
        <v>1</v>
      </c>
      <c r="AF193">
        <v>1</v>
      </c>
      <c r="AG193">
        <v>1</v>
      </c>
      <c r="AH193">
        <v>1</v>
      </c>
      <c r="AI193">
        <v>1</v>
      </c>
      <c r="AJ193">
        <v>1</v>
      </c>
      <c r="AK193">
        <v>1</v>
      </c>
      <c r="AL193">
        <v>1</v>
      </c>
      <c r="AM193">
        <v>1</v>
      </c>
      <c r="AN193">
        <v>1</v>
      </c>
      <c r="AO193">
        <v>1</v>
      </c>
      <c r="AP193" t="str">
        <f>SUM(B193:AO193)</f>
        <v>0</v>
      </c>
    </row>
    <row r="194" spans="1:43">
      <c r="A194" t="s">
        <v>219</v>
      </c>
      <c r="B194">
        <v>2</v>
      </c>
      <c r="C194">
        <v>3</v>
      </c>
      <c r="D194">
        <v>2</v>
      </c>
      <c r="E194">
        <v>2</v>
      </c>
      <c r="F194">
        <v>3</v>
      </c>
      <c r="G194">
        <v>2</v>
      </c>
      <c r="H194">
        <v>2</v>
      </c>
      <c r="I194">
        <v>3</v>
      </c>
      <c r="J194">
        <v>2</v>
      </c>
      <c r="K194">
        <v>2</v>
      </c>
      <c r="L194">
        <v>2</v>
      </c>
      <c r="M194">
        <v>2</v>
      </c>
      <c r="N194">
        <v>2</v>
      </c>
      <c r="O194">
        <v>2</v>
      </c>
      <c r="P194">
        <v>3</v>
      </c>
      <c r="Q194">
        <v>2</v>
      </c>
      <c r="R194">
        <v>3</v>
      </c>
      <c r="S194">
        <v>2</v>
      </c>
      <c r="T194">
        <v>2</v>
      </c>
      <c r="U194">
        <v>3</v>
      </c>
      <c r="V194">
        <v>2</v>
      </c>
      <c r="W194">
        <v>2</v>
      </c>
      <c r="X194">
        <v>2</v>
      </c>
      <c r="Y194">
        <v>3</v>
      </c>
      <c r="Z194">
        <v>2</v>
      </c>
      <c r="AA194">
        <v>2</v>
      </c>
      <c r="AB194">
        <v>3</v>
      </c>
      <c r="AC194">
        <v>2</v>
      </c>
      <c r="AD194">
        <v>2</v>
      </c>
      <c r="AE194">
        <v>2</v>
      </c>
      <c r="AF194">
        <v>2</v>
      </c>
      <c r="AG194">
        <v>3</v>
      </c>
      <c r="AH194">
        <v>3</v>
      </c>
      <c r="AI194">
        <v>3</v>
      </c>
      <c r="AJ194">
        <v>2</v>
      </c>
      <c r="AK194">
        <v>2</v>
      </c>
      <c r="AL194">
        <v>2</v>
      </c>
      <c r="AM194">
        <v>2</v>
      </c>
      <c r="AN194">
        <v>2</v>
      </c>
      <c r="AO194">
        <v>3</v>
      </c>
      <c r="AP194" t="str">
        <f>SUM(B194:AO194)</f>
        <v>0</v>
      </c>
    </row>
    <row r="195" spans="1:43">
      <c r="A195" t="s">
        <v>220</v>
      </c>
      <c r="B195">
        <v>2</v>
      </c>
      <c r="C195">
        <v>2</v>
      </c>
      <c r="D195">
        <v>3</v>
      </c>
      <c r="E195">
        <v>2</v>
      </c>
      <c r="F195">
        <v>2</v>
      </c>
      <c r="G195">
        <v>2</v>
      </c>
      <c r="H195">
        <v>3</v>
      </c>
      <c r="I195">
        <v>2</v>
      </c>
      <c r="J195">
        <v>2</v>
      </c>
      <c r="K195">
        <v>3</v>
      </c>
      <c r="L195">
        <v>3</v>
      </c>
      <c r="M195">
        <v>2</v>
      </c>
      <c r="N195">
        <v>3</v>
      </c>
      <c r="O195">
        <v>2</v>
      </c>
      <c r="P195">
        <v>2</v>
      </c>
      <c r="Q195">
        <v>2</v>
      </c>
      <c r="R195">
        <v>2</v>
      </c>
      <c r="S195">
        <v>2</v>
      </c>
      <c r="T195">
        <v>3</v>
      </c>
      <c r="U195">
        <v>3</v>
      </c>
      <c r="V195">
        <v>2</v>
      </c>
      <c r="W195">
        <v>3</v>
      </c>
      <c r="X195">
        <v>1</v>
      </c>
      <c r="Y195">
        <v>2</v>
      </c>
      <c r="Z195">
        <v>2</v>
      </c>
      <c r="AA195">
        <v>2</v>
      </c>
      <c r="AB195">
        <v>3</v>
      </c>
      <c r="AC195">
        <v>3</v>
      </c>
      <c r="AD195">
        <v>2</v>
      </c>
      <c r="AE195">
        <v>2</v>
      </c>
      <c r="AF195">
        <v>2</v>
      </c>
      <c r="AG195">
        <v>3</v>
      </c>
      <c r="AH195">
        <v>3</v>
      </c>
      <c r="AI195">
        <v>1</v>
      </c>
      <c r="AJ195">
        <v>2</v>
      </c>
      <c r="AK195">
        <v>3</v>
      </c>
      <c r="AL195">
        <v>2</v>
      </c>
      <c r="AM195">
        <v>2</v>
      </c>
      <c r="AN195">
        <v>2</v>
      </c>
      <c r="AO195">
        <v>2</v>
      </c>
      <c r="AP195" t="str">
        <f>SUM(B195:AO195)</f>
        <v>0</v>
      </c>
    </row>
    <row r="196" spans="1:43">
      <c r="A196" t="s">
        <v>221</v>
      </c>
      <c r="B196">
        <v>1</v>
      </c>
      <c r="C196">
        <v>1</v>
      </c>
      <c r="D196">
        <v>1</v>
      </c>
      <c r="E196">
        <v>1</v>
      </c>
      <c r="F196">
        <v>2</v>
      </c>
      <c r="G196">
        <v>1</v>
      </c>
      <c r="H196">
        <v>1</v>
      </c>
      <c r="I196">
        <v>2</v>
      </c>
      <c r="J196">
        <v>2</v>
      </c>
      <c r="K196">
        <v>1</v>
      </c>
      <c r="L196">
        <v>1</v>
      </c>
      <c r="M196">
        <v>1</v>
      </c>
      <c r="N196">
        <v>1</v>
      </c>
      <c r="O196">
        <v>1</v>
      </c>
      <c r="P196">
        <v>1</v>
      </c>
      <c r="Q196">
        <v>1</v>
      </c>
      <c r="R196">
        <v>1</v>
      </c>
      <c r="S196">
        <v>1</v>
      </c>
      <c r="T196">
        <v>1</v>
      </c>
      <c r="U196">
        <v>1</v>
      </c>
      <c r="V196">
        <v>1</v>
      </c>
      <c r="W196">
        <v>1</v>
      </c>
      <c r="X196">
        <v>1</v>
      </c>
      <c r="Y196">
        <v>1</v>
      </c>
      <c r="Z196">
        <v>1</v>
      </c>
      <c r="AA196">
        <v>1</v>
      </c>
      <c r="AB196">
        <v>2</v>
      </c>
      <c r="AC196">
        <v>2</v>
      </c>
      <c r="AD196">
        <v>2</v>
      </c>
      <c r="AE196">
        <v>2</v>
      </c>
      <c r="AF196">
        <v>1</v>
      </c>
      <c r="AG196">
        <v>1</v>
      </c>
      <c r="AH196">
        <v>2</v>
      </c>
      <c r="AI196">
        <v>1</v>
      </c>
      <c r="AJ196">
        <v>1</v>
      </c>
      <c r="AK196">
        <v>1</v>
      </c>
      <c r="AL196">
        <v>1</v>
      </c>
      <c r="AM196">
        <v>2</v>
      </c>
      <c r="AN196">
        <v>1</v>
      </c>
      <c r="AO196">
        <v>1</v>
      </c>
      <c r="AP196" t="str">
        <f>SUM(B196:AO196)</f>
        <v>0</v>
      </c>
    </row>
    <row r="197" spans="1:43">
      <c r="A197" t="s">
        <v>222</v>
      </c>
      <c r="B197">
        <v>1</v>
      </c>
      <c r="C197">
        <v>1</v>
      </c>
      <c r="D197">
        <v>1</v>
      </c>
      <c r="E197">
        <v>1</v>
      </c>
      <c r="F197">
        <v>1</v>
      </c>
      <c r="G197">
        <v>1</v>
      </c>
      <c r="H197">
        <v>1</v>
      </c>
      <c r="I197">
        <v>1</v>
      </c>
      <c r="J197">
        <v>1</v>
      </c>
      <c r="K197">
        <v>1</v>
      </c>
      <c r="L197">
        <v>1</v>
      </c>
      <c r="M197">
        <v>1</v>
      </c>
      <c r="N197">
        <v>1</v>
      </c>
      <c r="O197">
        <v>2</v>
      </c>
      <c r="P197">
        <v>2</v>
      </c>
      <c r="Q197">
        <v>1</v>
      </c>
      <c r="R197">
        <v>1</v>
      </c>
      <c r="S197">
        <v>1</v>
      </c>
      <c r="T197">
        <v>1</v>
      </c>
      <c r="U197">
        <v>1</v>
      </c>
      <c r="V197">
        <v>1</v>
      </c>
      <c r="W197">
        <v>1</v>
      </c>
      <c r="X197">
        <v>1</v>
      </c>
      <c r="Y197">
        <v>2</v>
      </c>
      <c r="Z197">
        <v>1</v>
      </c>
      <c r="AA197">
        <v>1</v>
      </c>
      <c r="AB197">
        <v>1</v>
      </c>
      <c r="AC197">
        <v>1</v>
      </c>
      <c r="AD197">
        <v>2</v>
      </c>
      <c r="AE197">
        <v>1</v>
      </c>
      <c r="AF197">
        <v>1</v>
      </c>
      <c r="AG197">
        <v>1</v>
      </c>
      <c r="AH197">
        <v>1</v>
      </c>
      <c r="AI197">
        <v>2</v>
      </c>
      <c r="AJ197">
        <v>1</v>
      </c>
      <c r="AK197">
        <v>1</v>
      </c>
      <c r="AL197">
        <v>1</v>
      </c>
      <c r="AM197">
        <v>1</v>
      </c>
      <c r="AN197">
        <v>1</v>
      </c>
      <c r="AO197">
        <v>1</v>
      </c>
      <c r="AP197" t="str">
        <f>SUM(B197:AO197)</f>
        <v>0</v>
      </c>
    </row>
    <row r="198" spans="1:43">
      <c r="A198" t="s">
        <v>223</v>
      </c>
      <c r="B198">
        <v>1</v>
      </c>
      <c r="C198">
        <v>1</v>
      </c>
      <c r="D198">
        <v>1</v>
      </c>
      <c r="E198">
        <v>1</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c r="AD198">
        <v>1</v>
      </c>
      <c r="AE198">
        <v>1</v>
      </c>
      <c r="AF198">
        <v>1</v>
      </c>
      <c r="AG198">
        <v>1</v>
      </c>
      <c r="AH198">
        <v>1</v>
      </c>
      <c r="AI198">
        <v>1</v>
      </c>
      <c r="AJ198">
        <v>1</v>
      </c>
      <c r="AK198">
        <v>1</v>
      </c>
      <c r="AL198">
        <v>1</v>
      </c>
      <c r="AM198">
        <v>1</v>
      </c>
      <c r="AN198">
        <v>1</v>
      </c>
      <c r="AO198">
        <v>1</v>
      </c>
      <c r="AP198" t="str">
        <f>SUM(B198:AO198)</f>
        <v>0</v>
      </c>
    </row>
    <row r="199" spans="1:43">
      <c r="A199" t="s">
        <v>224</v>
      </c>
      <c r="B199">
        <v>2</v>
      </c>
      <c r="C199">
        <v>2</v>
      </c>
      <c r="D199">
        <v>2</v>
      </c>
      <c r="E199">
        <v>1</v>
      </c>
      <c r="F199">
        <v>1</v>
      </c>
      <c r="G199">
        <v>2</v>
      </c>
      <c r="H199">
        <v>1</v>
      </c>
      <c r="I199">
        <v>2</v>
      </c>
      <c r="J199">
        <v>2</v>
      </c>
      <c r="K199">
        <v>2</v>
      </c>
      <c r="L199">
        <v>2</v>
      </c>
      <c r="M199">
        <v>1</v>
      </c>
      <c r="N199">
        <v>1</v>
      </c>
      <c r="O199">
        <v>2</v>
      </c>
      <c r="P199">
        <v>1</v>
      </c>
      <c r="Q199">
        <v>2</v>
      </c>
      <c r="R199">
        <v>2</v>
      </c>
      <c r="S199">
        <v>1</v>
      </c>
      <c r="T199">
        <v>2</v>
      </c>
      <c r="U199">
        <v>2</v>
      </c>
      <c r="V199">
        <v>1</v>
      </c>
      <c r="W199">
        <v>2</v>
      </c>
      <c r="X199">
        <v>2</v>
      </c>
      <c r="Y199">
        <v>1</v>
      </c>
      <c r="Z199">
        <v>2</v>
      </c>
      <c r="AA199">
        <v>2</v>
      </c>
      <c r="AB199">
        <v>2</v>
      </c>
      <c r="AC199">
        <v>1</v>
      </c>
      <c r="AD199">
        <v>2</v>
      </c>
      <c r="AE199">
        <v>1</v>
      </c>
      <c r="AF199">
        <v>2</v>
      </c>
      <c r="AG199">
        <v>2</v>
      </c>
      <c r="AH199">
        <v>2</v>
      </c>
      <c r="AI199">
        <v>2</v>
      </c>
      <c r="AJ199">
        <v>2</v>
      </c>
      <c r="AK199">
        <v>1</v>
      </c>
      <c r="AL199">
        <v>2</v>
      </c>
      <c r="AM199">
        <v>2</v>
      </c>
      <c r="AN199">
        <v>2</v>
      </c>
      <c r="AO199">
        <v>2</v>
      </c>
      <c r="AP199" t="str">
        <f>SUM(B199:AO199)</f>
        <v>0</v>
      </c>
    </row>
    <row r="200" spans="1:43">
      <c r="A200" t="s">
        <v>225</v>
      </c>
      <c r="B200">
        <v>1</v>
      </c>
      <c r="C200">
        <v>1</v>
      </c>
      <c r="D200">
        <v>1</v>
      </c>
      <c r="E200">
        <v>1</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c r="AD200">
        <v>1</v>
      </c>
      <c r="AE200">
        <v>1</v>
      </c>
      <c r="AF200">
        <v>1</v>
      </c>
      <c r="AG200">
        <v>1</v>
      </c>
      <c r="AH200">
        <v>1</v>
      </c>
      <c r="AI200">
        <v>1</v>
      </c>
      <c r="AJ200">
        <v>1</v>
      </c>
      <c r="AK200">
        <v>1</v>
      </c>
      <c r="AL200">
        <v>1</v>
      </c>
      <c r="AM200">
        <v>1</v>
      </c>
      <c r="AN200">
        <v>1</v>
      </c>
      <c r="AO200">
        <v>1</v>
      </c>
      <c r="AP200" t="str">
        <f>SUM(B200:AO200)</f>
        <v>0</v>
      </c>
    </row>
    <row r="201" spans="1:43">
      <c r="A201" t="s">
        <v>226</v>
      </c>
      <c r="B201">
        <v>1</v>
      </c>
      <c r="C201">
        <v>1</v>
      </c>
      <c r="D201">
        <v>1</v>
      </c>
      <c r="E201">
        <v>1</v>
      </c>
      <c r="F201">
        <v>1</v>
      </c>
      <c r="G201">
        <v>1</v>
      </c>
      <c r="H201">
        <v>1</v>
      </c>
      <c r="I201">
        <v>1</v>
      </c>
      <c r="J201">
        <v>1</v>
      </c>
      <c r="K201">
        <v>1</v>
      </c>
      <c r="L201">
        <v>1</v>
      </c>
      <c r="M201">
        <v>1</v>
      </c>
      <c r="N201">
        <v>1</v>
      </c>
      <c r="O201">
        <v>1</v>
      </c>
      <c r="P201">
        <v>1</v>
      </c>
      <c r="Q201">
        <v>1</v>
      </c>
      <c r="R201">
        <v>1</v>
      </c>
      <c r="S201">
        <v>1</v>
      </c>
      <c r="T201">
        <v>1</v>
      </c>
      <c r="U201">
        <v>1</v>
      </c>
      <c r="V201">
        <v>1</v>
      </c>
      <c r="W201">
        <v>1</v>
      </c>
      <c r="X201">
        <v>1</v>
      </c>
      <c r="Y201">
        <v>1</v>
      </c>
      <c r="Z201">
        <v>1</v>
      </c>
      <c r="AA201">
        <v>1</v>
      </c>
      <c r="AB201">
        <v>1</v>
      </c>
      <c r="AC201">
        <v>1</v>
      </c>
      <c r="AD201">
        <v>1</v>
      </c>
      <c r="AE201">
        <v>1</v>
      </c>
      <c r="AF201">
        <v>1</v>
      </c>
      <c r="AG201">
        <v>1</v>
      </c>
      <c r="AH201">
        <v>1</v>
      </c>
      <c r="AI201">
        <v>1</v>
      </c>
      <c r="AJ201">
        <v>1</v>
      </c>
      <c r="AK201">
        <v>1</v>
      </c>
      <c r="AL201">
        <v>1</v>
      </c>
      <c r="AM201">
        <v>1</v>
      </c>
      <c r="AN201">
        <v>1</v>
      </c>
      <c r="AO201">
        <v>1</v>
      </c>
      <c r="AP201" t="str">
        <f>SUM(B201:AO201)</f>
        <v>0</v>
      </c>
    </row>
    <row r="202" spans="1:43">
      <c r="A202" t="s">
        <v>227</v>
      </c>
      <c r="B202">
        <v>2</v>
      </c>
      <c r="C202">
        <v>3</v>
      </c>
      <c r="D202">
        <v>2</v>
      </c>
      <c r="E202">
        <v>2</v>
      </c>
      <c r="F202">
        <v>2</v>
      </c>
      <c r="G202">
        <v>2</v>
      </c>
      <c r="H202">
        <v>2</v>
      </c>
      <c r="I202">
        <v>3</v>
      </c>
      <c r="J202">
        <v>2</v>
      </c>
      <c r="K202">
        <v>2</v>
      </c>
      <c r="L202">
        <v>2</v>
      </c>
      <c r="M202">
        <v>3</v>
      </c>
      <c r="N202">
        <v>3</v>
      </c>
      <c r="O202">
        <v>2</v>
      </c>
      <c r="P202">
        <v>2</v>
      </c>
      <c r="Q202">
        <v>2</v>
      </c>
      <c r="R202">
        <v>2</v>
      </c>
      <c r="S202">
        <v>2</v>
      </c>
      <c r="T202">
        <v>2</v>
      </c>
      <c r="U202">
        <v>3</v>
      </c>
      <c r="V202">
        <v>2</v>
      </c>
      <c r="W202">
        <v>3</v>
      </c>
      <c r="X202">
        <v>2</v>
      </c>
      <c r="Y202">
        <v>2</v>
      </c>
      <c r="Z202">
        <v>3</v>
      </c>
      <c r="AA202">
        <v>3</v>
      </c>
      <c r="AB202">
        <v>2</v>
      </c>
      <c r="AC202">
        <v>2</v>
      </c>
      <c r="AD202">
        <v>2</v>
      </c>
      <c r="AE202">
        <v>3</v>
      </c>
      <c r="AF202">
        <v>2</v>
      </c>
      <c r="AG202">
        <v>3</v>
      </c>
      <c r="AH202">
        <v>3</v>
      </c>
      <c r="AI202">
        <v>3</v>
      </c>
      <c r="AJ202">
        <v>2</v>
      </c>
      <c r="AK202">
        <v>2</v>
      </c>
      <c r="AL202">
        <v>2</v>
      </c>
      <c r="AM202">
        <v>2</v>
      </c>
      <c r="AN202">
        <v>2</v>
      </c>
      <c r="AO202">
        <v>2</v>
      </c>
      <c r="AP202" t="str">
        <f>SUM(B202:AO202)</f>
        <v>0</v>
      </c>
    </row>
    <row r="203" spans="1:43">
      <c r="A203" t="s">
        <v>228</v>
      </c>
      <c r="B203">
        <v>1</v>
      </c>
      <c r="C203">
        <v>1</v>
      </c>
      <c r="D203">
        <v>1</v>
      </c>
      <c r="E203">
        <v>1</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c r="AD203">
        <v>1</v>
      </c>
      <c r="AE203">
        <v>1</v>
      </c>
      <c r="AF203">
        <v>1</v>
      </c>
      <c r="AG203">
        <v>1</v>
      </c>
      <c r="AH203">
        <v>1</v>
      </c>
      <c r="AI203">
        <v>1</v>
      </c>
      <c r="AJ203">
        <v>1</v>
      </c>
      <c r="AK203">
        <v>1</v>
      </c>
      <c r="AL203">
        <v>1</v>
      </c>
      <c r="AM203">
        <v>1</v>
      </c>
      <c r="AN203">
        <v>1</v>
      </c>
      <c r="AO203">
        <v>1</v>
      </c>
      <c r="AP203" t="str">
        <f>SUM(B203:AO203)</f>
        <v>0</v>
      </c>
    </row>
    <row r="204" spans="1:43">
      <c r="A204" t="s">
        <v>229</v>
      </c>
      <c r="B204">
        <v>2</v>
      </c>
      <c r="C204">
        <v>2</v>
      </c>
      <c r="D204">
        <v>2</v>
      </c>
      <c r="E204">
        <v>2</v>
      </c>
      <c r="F204">
        <v>2</v>
      </c>
      <c r="G204">
        <v>3</v>
      </c>
      <c r="H204">
        <v>2</v>
      </c>
      <c r="I204">
        <v>3</v>
      </c>
      <c r="J204">
        <v>2</v>
      </c>
      <c r="K204">
        <v>2</v>
      </c>
      <c r="L204">
        <v>2</v>
      </c>
      <c r="M204">
        <v>2</v>
      </c>
      <c r="N204">
        <v>2</v>
      </c>
      <c r="O204">
        <v>2</v>
      </c>
      <c r="P204">
        <v>2</v>
      </c>
      <c r="Q204">
        <v>3</v>
      </c>
      <c r="R204">
        <v>2</v>
      </c>
      <c r="S204">
        <v>2</v>
      </c>
      <c r="T204">
        <v>2</v>
      </c>
      <c r="U204">
        <v>3</v>
      </c>
      <c r="V204">
        <v>2</v>
      </c>
      <c r="W204">
        <v>2</v>
      </c>
      <c r="X204">
        <v>2</v>
      </c>
      <c r="Y204">
        <v>2</v>
      </c>
      <c r="Z204">
        <v>2</v>
      </c>
      <c r="AA204">
        <v>2</v>
      </c>
      <c r="AB204">
        <v>3</v>
      </c>
      <c r="AC204">
        <v>2</v>
      </c>
      <c r="AD204">
        <v>2</v>
      </c>
      <c r="AE204">
        <v>2</v>
      </c>
      <c r="AF204">
        <v>3</v>
      </c>
      <c r="AG204">
        <v>3</v>
      </c>
      <c r="AH204">
        <v>2</v>
      </c>
      <c r="AI204">
        <v>2</v>
      </c>
      <c r="AJ204">
        <v>2</v>
      </c>
      <c r="AK204">
        <v>2</v>
      </c>
      <c r="AL204">
        <v>2</v>
      </c>
      <c r="AM204">
        <v>3</v>
      </c>
      <c r="AN204">
        <v>2</v>
      </c>
      <c r="AO204">
        <v>2</v>
      </c>
      <c r="AP204" t="str">
        <f>SUM(B204:AO204)</f>
        <v>0</v>
      </c>
    </row>
    <row r="205" spans="1:43">
      <c r="A205" t="s">
        <v>230</v>
      </c>
      <c r="B205">
        <v>2</v>
      </c>
      <c r="C205">
        <v>2</v>
      </c>
      <c r="D205">
        <v>3</v>
      </c>
      <c r="E205">
        <v>2</v>
      </c>
      <c r="F205">
        <v>2</v>
      </c>
      <c r="G205">
        <v>3</v>
      </c>
      <c r="H205">
        <v>2</v>
      </c>
      <c r="I205">
        <v>2</v>
      </c>
      <c r="J205">
        <v>2</v>
      </c>
      <c r="K205">
        <v>2</v>
      </c>
      <c r="L205">
        <v>2</v>
      </c>
      <c r="M205">
        <v>2</v>
      </c>
      <c r="N205">
        <v>2</v>
      </c>
      <c r="O205">
        <v>2</v>
      </c>
      <c r="P205">
        <v>2</v>
      </c>
      <c r="Q205">
        <v>2</v>
      </c>
      <c r="R205">
        <v>3</v>
      </c>
      <c r="S205">
        <v>2</v>
      </c>
      <c r="T205">
        <v>2</v>
      </c>
      <c r="U205">
        <v>3</v>
      </c>
      <c r="V205">
        <v>2</v>
      </c>
      <c r="W205">
        <v>3</v>
      </c>
      <c r="X205">
        <v>2</v>
      </c>
      <c r="Y205">
        <v>2</v>
      </c>
      <c r="Z205">
        <v>2</v>
      </c>
      <c r="AA205">
        <v>2</v>
      </c>
      <c r="AB205">
        <v>3</v>
      </c>
      <c r="AC205">
        <v>3</v>
      </c>
      <c r="AD205">
        <v>2</v>
      </c>
      <c r="AE205">
        <v>2</v>
      </c>
      <c r="AF205">
        <v>3</v>
      </c>
      <c r="AG205">
        <v>2</v>
      </c>
      <c r="AH205">
        <v>3</v>
      </c>
      <c r="AI205">
        <v>3</v>
      </c>
      <c r="AJ205">
        <v>2</v>
      </c>
      <c r="AK205">
        <v>2</v>
      </c>
      <c r="AL205">
        <v>3</v>
      </c>
      <c r="AM205">
        <v>2</v>
      </c>
      <c r="AN205">
        <v>2</v>
      </c>
      <c r="AO205">
        <v>3</v>
      </c>
      <c r="AP205" t="str">
        <f>SUM(B205:AO205)</f>
        <v>0</v>
      </c>
    </row>
    <row r="206" spans="1:43">
      <c r="A206" t="s">
        <v>231</v>
      </c>
      <c r="B206">
        <v>2</v>
      </c>
      <c r="C206">
        <v>1</v>
      </c>
      <c r="D206">
        <v>1</v>
      </c>
      <c r="E206">
        <v>1</v>
      </c>
      <c r="F206">
        <v>1</v>
      </c>
      <c r="G206">
        <v>2</v>
      </c>
      <c r="H206">
        <v>1</v>
      </c>
      <c r="I206">
        <v>1</v>
      </c>
      <c r="J206">
        <v>2</v>
      </c>
      <c r="K206">
        <v>1</v>
      </c>
      <c r="L206">
        <v>2</v>
      </c>
      <c r="M206">
        <v>1</v>
      </c>
      <c r="N206">
        <v>1</v>
      </c>
      <c r="O206">
        <v>1</v>
      </c>
      <c r="P206">
        <v>2</v>
      </c>
      <c r="Q206">
        <v>1</v>
      </c>
      <c r="R206">
        <v>2</v>
      </c>
      <c r="S206">
        <v>1</v>
      </c>
      <c r="T206">
        <v>1</v>
      </c>
      <c r="U206">
        <v>2</v>
      </c>
      <c r="V206">
        <v>1</v>
      </c>
      <c r="W206">
        <v>2</v>
      </c>
      <c r="X206">
        <v>1</v>
      </c>
      <c r="Y206">
        <v>2</v>
      </c>
      <c r="Z206">
        <v>1</v>
      </c>
      <c r="AA206">
        <v>1</v>
      </c>
      <c r="AB206">
        <v>2</v>
      </c>
      <c r="AC206">
        <v>2</v>
      </c>
      <c r="AD206">
        <v>1</v>
      </c>
      <c r="AE206">
        <v>2</v>
      </c>
      <c r="AF206">
        <v>2</v>
      </c>
      <c r="AG206">
        <v>1</v>
      </c>
      <c r="AH206">
        <v>2</v>
      </c>
      <c r="AI206">
        <v>1</v>
      </c>
      <c r="AJ206">
        <v>2</v>
      </c>
      <c r="AK206">
        <v>1</v>
      </c>
      <c r="AL206">
        <v>2</v>
      </c>
      <c r="AM206">
        <v>2</v>
      </c>
      <c r="AN206">
        <v>2</v>
      </c>
      <c r="AO206">
        <v>1</v>
      </c>
      <c r="AP206" t="str">
        <f>SUM(B206:AO206)</f>
        <v>0</v>
      </c>
    </row>
    <row r="207" spans="1:43">
      <c r="A207" t="s">
        <v>232</v>
      </c>
      <c r="B207">
        <v>2</v>
      </c>
      <c r="C207">
        <v>1</v>
      </c>
      <c r="D207">
        <v>2</v>
      </c>
      <c r="E207">
        <v>2</v>
      </c>
      <c r="F207">
        <v>2</v>
      </c>
      <c r="G207">
        <v>2</v>
      </c>
      <c r="H207">
        <v>1</v>
      </c>
      <c r="I207">
        <v>2</v>
      </c>
      <c r="J207">
        <v>2</v>
      </c>
      <c r="K207">
        <v>2</v>
      </c>
      <c r="L207">
        <v>2</v>
      </c>
      <c r="M207">
        <v>2</v>
      </c>
      <c r="N207">
        <v>2</v>
      </c>
      <c r="O207">
        <v>1</v>
      </c>
      <c r="P207">
        <v>2</v>
      </c>
      <c r="Q207">
        <v>1</v>
      </c>
      <c r="R207">
        <v>2</v>
      </c>
      <c r="S207">
        <v>2</v>
      </c>
      <c r="T207">
        <v>2</v>
      </c>
      <c r="U207">
        <v>1</v>
      </c>
      <c r="V207">
        <v>1</v>
      </c>
      <c r="W207">
        <v>1</v>
      </c>
      <c r="X207">
        <v>2</v>
      </c>
      <c r="Y207">
        <v>1</v>
      </c>
      <c r="Z207">
        <v>2</v>
      </c>
      <c r="AA207">
        <v>1</v>
      </c>
      <c r="AB207">
        <v>2</v>
      </c>
      <c r="AC207">
        <v>2</v>
      </c>
      <c r="AD207">
        <v>1</v>
      </c>
      <c r="AE207">
        <v>2</v>
      </c>
      <c r="AF207">
        <v>2</v>
      </c>
      <c r="AG207">
        <v>1</v>
      </c>
      <c r="AH207">
        <v>2</v>
      </c>
      <c r="AI207">
        <v>1</v>
      </c>
      <c r="AJ207">
        <v>2</v>
      </c>
      <c r="AK207">
        <v>1</v>
      </c>
      <c r="AL207">
        <v>1</v>
      </c>
      <c r="AM207">
        <v>2</v>
      </c>
      <c r="AN207">
        <v>1</v>
      </c>
      <c r="AO207">
        <v>1</v>
      </c>
      <c r="AP207" t="str">
        <f>SUM(B207:AO207)</f>
        <v>0</v>
      </c>
    </row>
    <row r="208" spans="1:43">
      <c r="A208" t="s">
        <v>233</v>
      </c>
      <c r="B208">
        <v>1</v>
      </c>
      <c r="C208">
        <v>1</v>
      </c>
      <c r="D208">
        <v>1</v>
      </c>
      <c r="E208">
        <v>1</v>
      </c>
      <c r="F208">
        <v>1</v>
      </c>
      <c r="G208">
        <v>1</v>
      </c>
      <c r="H208">
        <v>1</v>
      </c>
      <c r="I208">
        <v>1</v>
      </c>
      <c r="J208">
        <v>1</v>
      </c>
      <c r="K208">
        <v>1</v>
      </c>
      <c r="L208">
        <v>1</v>
      </c>
      <c r="M208">
        <v>1</v>
      </c>
      <c r="N208">
        <v>1</v>
      </c>
      <c r="O208">
        <v>1</v>
      </c>
      <c r="P208">
        <v>1</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t="str">
        <f>SUM(B208:AO208)</f>
        <v>0</v>
      </c>
    </row>
    <row r="209" spans="1:43">
      <c r="A209" t="s">
        <v>234</v>
      </c>
      <c r="B209">
        <v>2</v>
      </c>
      <c r="C209">
        <v>1</v>
      </c>
      <c r="D209">
        <v>1</v>
      </c>
      <c r="E209">
        <v>2</v>
      </c>
      <c r="F209">
        <v>2</v>
      </c>
      <c r="G209">
        <v>1</v>
      </c>
      <c r="H209">
        <v>2</v>
      </c>
      <c r="I209">
        <v>2</v>
      </c>
      <c r="J209">
        <v>1</v>
      </c>
      <c r="K209">
        <v>2</v>
      </c>
      <c r="L209">
        <v>1</v>
      </c>
      <c r="M209">
        <v>2</v>
      </c>
      <c r="N209">
        <v>2</v>
      </c>
      <c r="O209">
        <v>1</v>
      </c>
      <c r="P209">
        <v>2</v>
      </c>
      <c r="Q209">
        <v>2</v>
      </c>
      <c r="R209">
        <v>2</v>
      </c>
      <c r="S209">
        <v>2</v>
      </c>
      <c r="T209">
        <v>2</v>
      </c>
      <c r="U209">
        <v>1</v>
      </c>
      <c r="V209">
        <v>2</v>
      </c>
      <c r="W209">
        <v>2</v>
      </c>
      <c r="X209">
        <v>2</v>
      </c>
      <c r="Y209">
        <v>2</v>
      </c>
      <c r="Z209">
        <v>2</v>
      </c>
      <c r="AA209">
        <v>1</v>
      </c>
      <c r="AB209">
        <v>1</v>
      </c>
      <c r="AC209">
        <v>2</v>
      </c>
      <c r="AD209">
        <v>2</v>
      </c>
      <c r="AE209">
        <v>2</v>
      </c>
      <c r="AF209">
        <v>2</v>
      </c>
      <c r="AG209">
        <v>2</v>
      </c>
      <c r="AH209">
        <v>2</v>
      </c>
      <c r="AI209">
        <v>2</v>
      </c>
      <c r="AJ209">
        <v>2</v>
      </c>
      <c r="AK209">
        <v>2</v>
      </c>
      <c r="AL209">
        <v>2</v>
      </c>
      <c r="AM209">
        <v>2</v>
      </c>
      <c r="AN209">
        <v>2</v>
      </c>
      <c r="AO209">
        <v>2</v>
      </c>
      <c r="AP209" t="str">
        <f>SUM(B209:AO209)</f>
        <v>0</v>
      </c>
    </row>
    <row r="210" spans="1:43">
      <c r="A210" t="s">
        <v>235</v>
      </c>
      <c r="B210">
        <v>1</v>
      </c>
      <c r="C210">
        <v>2</v>
      </c>
      <c r="D210">
        <v>1</v>
      </c>
      <c r="E210">
        <v>2</v>
      </c>
      <c r="F210">
        <v>2</v>
      </c>
      <c r="G210">
        <v>2</v>
      </c>
      <c r="H210">
        <v>2</v>
      </c>
      <c r="I210">
        <v>2</v>
      </c>
      <c r="J210">
        <v>2</v>
      </c>
      <c r="K210">
        <v>1</v>
      </c>
      <c r="L210">
        <v>2</v>
      </c>
      <c r="M210">
        <v>2</v>
      </c>
      <c r="N210">
        <v>1</v>
      </c>
      <c r="O210">
        <v>1</v>
      </c>
      <c r="P210">
        <v>2</v>
      </c>
      <c r="Q210">
        <v>2</v>
      </c>
      <c r="R210">
        <v>2</v>
      </c>
      <c r="S210">
        <v>1</v>
      </c>
      <c r="T210">
        <v>2</v>
      </c>
      <c r="U210">
        <v>2</v>
      </c>
      <c r="V210">
        <v>2</v>
      </c>
      <c r="W210">
        <v>2</v>
      </c>
      <c r="X210">
        <v>2</v>
      </c>
      <c r="Y210">
        <v>2</v>
      </c>
      <c r="Z210">
        <v>1</v>
      </c>
      <c r="AA210">
        <v>2</v>
      </c>
      <c r="AB210">
        <v>2</v>
      </c>
      <c r="AC210">
        <v>2</v>
      </c>
      <c r="AD210">
        <v>2</v>
      </c>
      <c r="AE210">
        <v>2</v>
      </c>
      <c r="AF210">
        <v>1</v>
      </c>
      <c r="AG210">
        <v>2</v>
      </c>
      <c r="AH210">
        <v>2</v>
      </c>
      <c r="AI210">
        <v>1</v>
      </c>
      <c r="AJ210">
        <v>1</v>
      </c>
      <c r="AK210">
        <v>2</v>
      </c>
      <c r="AL210">
        <v>2</v>
      </c>
      <c r="AM210">
        <v>2</v>
      </c>
      <c r="AN210">
        <v>1</v>
      </c>
      <c r="AO210">
        <v>2</v>
      </c>
      <c r="AP210" t="str">
        <f>SUM(B210:AO210)</f>
        <v>0</v>
      </c>
    </row>
    <row r="211" spans="1:43">
      <c r="A211" t="s">
        <v>236</v>
      </c>
      <c r="B211">
        <v>2</v>
      </c>
      <c r="C211">
        <v>2</v>
      </c>
      <c r="D211">
        <v>1</v>
      </c>
      <c r="E211">
        <v>2</v>
      </c>
      <c r="F211">
        <v>1</v>
      </c>
      <c r="G211">
        <v>1</v>
      </c>
      <c r="H211">
        <v>2</v>
      </c>
      <c r="I211">
        <v>2</v>
      </c>
      <c r="J211">
        <v>1</v>
      </c>
      <c r="K211">
        <v>1</v>
      </c>
      <c r="L211">
        <v>2</v>
      </c>
      <c r="M211">
        <v>2</v>
      </c>
      <c r="N211">
        <v>1</v>
      </c>
      <c r="O211">
        <v>1</v>
      </c>
      <c r="P211">
        <v>2</v>
      </c>
      <c r="Q211">
        <v>2</v>
      </c>
      <c r="R211">
        <v>2</v>
      </c>
      <c r="S211">
        <v>2</v>
      </c>
      <c r="T211">
        <v>2</v>
      </c>
      <c r="U211">
        <v>1</v>
      </c>
      <c r="V211">
        <v>2</v>
      </c>
      <c r="W211">
        <v>2</v>
      </c>
      <c r="X211">
        <v>1</v>
      </c>
      <c r="Y211">
        <v>1</v>
      </c>
      <c r="Z211">
        <v>2</v>
      </c>
      <c r="AA211">
        <v>1</v>
      </c>
      <c r="AB211">
        <v>2</v>
      </c>
      <c r="AC211">
        <v>1</v>
      </c>
      <c r="AD211">
        <v>1</v>
      </c>
      <c r="AE211">
        <v>2</v>
      </c>
      <c r="AF211">
        <v>2</v>
      </c>
      <c r="AG211">
        <v>2</v>
      </c>
      <c r="AH211">
        <v>1</v>
      </c>
      <c r="AI211">
        <v>2</v>
      </c>
      <c r="AJ211">
        <v>1</v>
      </c>
      <c r="AK211">
        <v>1</v>
      </c>
      <c r="AL211">
        <v>1</v>
      </c>
      <c r="AM211">
        <v>2</v>
      </c>
      <c r="AN211">
        <v>1</v>
      </c>
      <c r="AO211">
        <v>2</v>
      </c>
      <c r="AP211" t="str">
        <f>SUM(B211:AO211)</f>
        <v>0</v>
      </c>
    </row>
    <row r="212" spans="1:43">
      <c r="A212" t="s">
        <v>237</v>
      </c>
      <c r="B212">
        <v>2</v>
      </c>
      <c r="C212">
        <v>1</v>
      </c>
      <c r="D212">
        <v>2</v>
      </c>
      <c r="E212">
        <v>2</v>
      </c>
      <c r="F212">
        <v>1</v>
      </c>
      <c r="G212">
        <v>2</v>
      </c>
      <c r="H212">
        <v>1</v>
      </c>
      <c r="I212">
        <v>1</v>
      </c>
      <c r="J212">
        <v>2</v>
      </c>
      <c r="K212">
        <v>1</v>
      </c>
      <c r="L212">
        <v>2</v>
      </c>
      <c r="M212">
        <v>1</v>
      </c>
      <c r="N212">
        <v>2</v>
      </c>
      <c r="O212">
        <v>2</v>
      </c>
      <c r="P212">
        <v>1</v>
      </c>
      <c r="Q212">
        <v>2</v>
      </c>
      <c r="R212">
        <v>2</v>
      </c>
      <c r="S212">
        <v>2</v>
      </c>
      <c r="T212">
        <v>1</v>
      </c>
      <c r="U212">
        <v>2</v>
      </c>
      <c r="V212">
        <v>2</v>
      </c>
      <c r="W212">
        <v>2</v>
      </c>
      <c r="X212">
        <v>2</v>
      </c>
      <c r="Y212">
        <v>2</v>
      </c>
      <c r="Z212">
        <v>2</v>
      </c>
      <c r="AA212">
        <v>2</v>
      </c>
      <c r="AB212">
        <v>1</v>
      </c>
      <c r="AC212">
        <v>2</v>
      </c>
      <c r="AD212">
        <v>2</v>
      </c>
      <c r="AE212">
        <v>2</v>
      </c>
      <c r="AF212">
        <v>2</v>
      </c>
      <c r="AG212">
        <v>2</v>
      </c>
      <c r="AH212">
        <v>2</v>
      </c>
      <c r="AI212">
        <v>2</v>
      </c>
      <c r="AJ212">
        <v>2</v>
      </c>
      <c r="AK212">
        <v>2</v>
      </c>
      <c r="AL212">
        <v>1</v>
      </c>
      <c r="AM212">
        <v>1</v>
      </c>
      <c r="AN212">
        <v>2</v>
      </c>
      <c r="AO212">
        <v>1</v>
      </c>
      <c r="AP212" t="str">
        <f>SUM(B212:AO212)</f>
        <v>0</v>
      </c>
    </row>
    <row r="213" spans="1:43">
      <c r="A213" t="s">
        <v>238</v>
      </c>
      <c r="B213">
        <v>2</v>
      </c>
      <c r="C213">
        <v>2</v>
      </c>
      <c r="D213">
        <v>3</v>
      </c>
      <c r="E213">
        <v>3</v>
      </c>
      <c r="F213">
        <v>2</v>
      </c>
      <c r="G213">
        <v>2</v>
      </c>
      <c r="H213">
        <v>2</v>
      </c>
      <c r="I213">
        <v>2</v>
      </c>
      <c r="J213">
        <v>2</v>
      </c>
      <c r="K213">
        <v>2</v>
      </c>
      <c r="L213">
        <v>2</v>
      </c>
      <c r="M213">
        <v>2</v>
      </c>
      <c r="N213">
        <v>2</v>
      </c>
      <c r="O213">
        <v>1</v>
      </c>
      <c r="P213">
        <v>2</v>
      </c>
      <c r="Q213">
        <v>2</v>
      </c>
      <c r="R213">
        <v>2</v>
      </c>
      <c r="S213">
        <v>2</v>
      </c>
      <c r="T213">
        <v>1</v>
      </c>
      <c r="U213">
        <v>2</v>
      </c>
      <c r="V213">
        <v>2</v>
      </c>
      <c r="W213">
        <v>2</v>
      </c>
      <c r="X213">
        <v>1</v>
      </c>
      <c r="Y213">
        <v>2</v>
      </c>
      <c r="Z213">
        <v>2</v>
      </c>
      <c r="AA213">
        <v>1</v>
      </c>
      <c r="AB213">
        <v>3</v>
      </c>
      <c r="AC213">
        <v>2</v>
      </c>
      <c r="AD213">
        <v>2</v>
      </c>
      <c r="AE213">
        <v>2</v>
      </c>
      <c r="AF213">
        <v>3</v>
      </c>
      <c r="AG213">
        <v>2</v>
      </c>
      <c r="AH213">
        <v>3</v>
      </c>
      <c r="AI213">
        <v>2</v>
      </c>
      <c r="AJ213">
        <v>1</v>
      </c>
      <c r="AK213">
        <v>2</v>
      </c>
      <c r="AL213">
        <v>3</v>
      </c>
      <c r="AM213">
        <v>2</v>
      </c>
      <c r="AN213">
        <v>2</v>
      </c>
      <c r="AO213">
        <v>3</v>
      </c>
      <c r="AP213" t="str">
        <f>SUM(B213:AO213)</f>
        <v>0</v>
      </c>
    </row>
    <row r="214" spans="1:43">
      <c r="A214" t="s">
        <v>239</v>
      </c>
      <c r="B214">
        <v>2</v>
      </c>
      <c r="C214">
        <v>2</v>
      </c>
      <c r="D214">
        <v>2</v>
      </c>
      <c r="E214">
        <v>1</v>
      </c>
      <c r="F214">
        <v>1</v>
      </c>
      <c r="G214">
        <v>2</v>
      </c>
      <c r="H214">
        <v>2</v>
      </c>
      <c r="I214">
        <v>1</v>
      </c>
      <c r="J214">
        <v>1</v>
      </c>
      <c r="K214">
        <v>1</v>
      </c>
      <c r="L214">
        <v>2</v>
      </c>
      <c r="M214">
        <v>2</v>
      </c>
      <c r="N214">
        <v>2</v>
      </c>
      <c r="O214">
        <v>1</v>
      </c>
      <c r="P214">
        <v>2</v>
      </c>
      <c r="Q214">
        <v>2</v>
      </c>
      <c r="R214">
        <v>1</v>
      </c>
      <c r="S214">
        <v>2</v>
      </c>
      <c r="T214">
        <v>2</v>
      </c>
      <c r="U214">
        <v>1</v>
      </c>
      <c r="V214">
        <v>2</v>
      </c>
      <c r="W214">
        <v>2</v>
      </c>
      <c r="X214">
        <v>1</v>
      </c>
      <c r="Y214">
        <v>2</v>
      </c>
      <c r="Z214">
        <v>1</v>
      </c>
      <c r="AA214">
        <v>2</v>
      </c>
      <c r="AB214">
        <v>2</v>
      </c>
      <c r="AC214">
        <v>2</v>
      </c>
      <c r="AD214">
        <v>2</v>
      </c>
      <c r="AE214">
        <v>2</v>
      </c>
      <c r="AF214">
        <v>2</v>
      </c>
      <c r="AG214">
        <v>2</v>
      </c>
      <c r="AH214">
        <v>2</v>
      </c>
      <c r="AI214">
        <v>1</v>
      </c>
      <c r="AJ214">
        <v>1</v>
      </c>
      <c r="AK214">
        <v>2</v>
      </c>
      <c r="AL214">
        <v>2</v>
      </c>
      <c r="AM214">
        <v>1</v>
      </c>
      <c r="AN214">
        <v>2</v>
      </c>
      <c r="AO214">
        <v>1</v>
      </c>
      <c r="AP214" t="str">
        <f>SUM(B214:AO214)</f>
        <v>0</v>
      </c>
    </row>
    <row r="215" spans="1:43">
      <c r="A215" t="s">
        <v>240</v>
      </c>
      <c r="B215">
        <v>1</v>
      </c>
      <c r="C215">
        <v>1</v>
      </c>
      <c r="D215">
        <v>1</v>
      </c>
      <c r="E215">
        <v>1</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c r="AD215">
        <v>1</v>
      </c>
      <c r="AE215">
        <v>1</v>
      </c>
      <c r="AF215">
        <v>1</v>
      </c>
      <c r="AG215">
        <v>1</v>
      </c>
      <c r="AH215">
        <v>1</v>
      </c>
      <c r="AI215">
        <v>1</v>
      </c>
      <c r="AJ215">
        <v>1</v>
      </c>
      <c r="AK215">
        <v>1</v>
      </c>
      <c r="AL215">
        <v>1</v>
      </c>
      <c r="AM215">
        <v>1</v>
      </c>
      <c r="AN215">
        <v>1</v>
      </c>
      <c r="AO215">
        <v>1</v>
      </c>
      <c r="AP215" t="str">
        <f>SUM(B215:AO215)</f>
        <v>0</v>
      </c>
    </row>
    <row r="216" spans="1:43">
      <c r="A216" t="s">
        <v>241</v>
      </c>
      <c r="B216">
        <v>2</v>
      </c>
      <c r="C216">
        <v>2</v>
      </c>
      <c r="D216">
        <v>2</v>
      </c>
      <c r="E216">
        <v>2</v>
      </c>
      <c r="F216">
        <v>1</v>
      </c>
      <c r="G216">
        <v>2</v>
      </c>
      <c r="H216">
        <v>1</v>
      </c>
      <c r="I216">
        <v>1</v>
      </c>
      <c r="J216">
        <v>1</v>
      </c>
      <c r="K216">
        <v>2</v>
      </c>
      <c r="L216">
        <v>2</v>
      </c>
      <c r="M216">
        <v>1</v>
      </c>
      <c r="N216">
        <v>2</v>
      </c>
      <c r="O216">
        <v>2</v>
      </c>
      <c r="P216">
        <v>2</v>
      </c>
      <c r="Q216">
        <v>1</v>
      </c>
      <c r="R216">
        <v>2</v>
      </c>
      <c r="S216">
        <v>2</v>
      </c>
      <c r="T216">
        <v>2</v>
      </c>
      <c r="U216">
        <v>1</v>
      </c>
      <c r="V216">
        <v>2</v>
      </c>
      <c r="W216">
        <v>2</v>
      </c>
      <c r="X216">
        <v>1</v>
      </c>
      <c r="Y216">
        <v>1</v>
      </c>
      <c r="Z216">
        <v>1</v>
      </c>
      <c r="AA216">
        <v>1</v>
      </c>
      <c r="AB216">
        <v>2</v>
      </c>
      <c r="AC216">
        <v>1</v>
      </c>
      <c r="AD216">
        <v>1</v>
      </c>
      <c r="AE216">
        <v>1</v>
      </c>
      <c r="AF216">
        <v>2</v>
      </c>
      <c r="AG216">
        <v>2</v>
      </c>
      <c r="AH216">
        <v>1</v>
      </c>
      <c r="AI216">
        <v>2</v>
      </c>
      <c r="AJ216">
        <v>2</v>
      </c>
      <c r="AK216">
        <v>2</v>
      </c>
      <c r="AL216">
        <v>1</v>
      </c>
      <c r="AM216">
        <v>2</v>
      </c>
      <c r="AN216">
        <v>2</v>
      </c>
      <c r="AO216">
        <v>1</v>
      </c>
      <c r="AP216" t="str">
        <f>SUM(B216:AO216)</f>
        <v>0</v>
      </c>
    </row>
    <row r="217" spans="1:43">
      <c r="A217" t="s">
        <v>242</v>
      </c>
      <c r="B217">
        <v>2</v>
      </c>
      <c r="C217">
        <v>2</v>
      </c>
      <c r="D217">
        <v>1</v>
      </c>
      <c r="E217">
        <v>1</v>
      </c>
      <c r="F217">
        <v>1</v>
      </c>
      <c r="G217">
        <v>1</v>
      </c>
      <c r="H217">
        <v>1</v>
      </c>
      <c r="I217">
        <v>2</v>
      </c>
      <c r="J217">
        <v>2</v>
      </c>
      <c r="K217">
        <v>1</v>
      </c>
      <c r="L217">
        <v>2</v>
      </c>
      <c r="M217">
        <v>2</v>
      </c>
      <c r="N217">
        <v>2</v>
      </c>
      <c r="O217">
        <v>1</v>
      </c>
      <c r="P217">
        <v>2</v>
      </c>
      <c r="Q217">
        <v>2</v>
      </c>
      <c r="R217">
        <v>2</v>
      </c>
      <c r="S217">
        <v>2</v>
      </c>
      <c r="T217">
        <v>2</v>
      </c>
      <c r="U217">
        <v>2</v>
      </c>
      <c r="V217">
        <v>1</v>
      </c>
      <c r="W217">
        <v>1</v>
      </c>
      <c r="X217">
        <v>2</v>
      </c>
      <c r="Y217">
        <v>2</v>
      </c>
      <c r="Z217">
        <v>1</v>
      </c>
      <c r="AA217">
        <v>1</v>
      </c>
      <c r="AB217">
        <v>2</v>
      </c>
      <c r="AC217">
        <v>1</v>
      </c>
      <c r="AD217">
        <v>1</v>
      </c>
      <c r="AE217">
        <v>2</v>
      </c>
      <c r="AF217">
        <v>2</v>
      </c>
      <c r="AG217">
        <v>2</v>
      </c>
      <c r="AH217">
        <v>1</v>
      </c>
      <c r="AI217">
        <v>1</v>
      </c>
      <c r="AJ217">
        <v>2</v>
      </c>
      <c r="AK217">
        <v>2</v>
      </c>
      <c r="AL217">
        <v>2</v>
      </c>
      <c r="AM217">
        <v>1</v>
      </c>
      <c r="AN217">
        <v>2</v>
      </c>
      <c r="AO217">
        <v>1</v>
      </c>
      <c r="AP217" t="str">
        <f>SUM(B217:AO217)</f>
        <v>0</v>
      </c>
    </row>
    <row r="218" spans="1:43">
      <c r="A218" t="s">
        <v>243</v>
      </c>
      <c r="B218">
        <v>1</v>
      </c>
      <c r="C218">
        <v>1</v>
      </c>
      <c r="D218">
        <v>1</v>
      </c>
      <c r="E218">
        <v>1</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c r="AD218">
        <v>1</v>
      </c>
      <c r="AE218">
        <v>1</v>
      </c>
      <c r="AF218">
        <v>1</v>
      </c>
      <c r="AG218">
        <v>1</v>
      </c>
      <c r="AH218">
        <v>1</v>
      </c>
      <c r="AI218">
        <v>1</v>
      </c>
      <c r="AJ218">
        <v>1</v>
      </c>
      <c r="AK218">
        <v>1</v>
      </c>
      <c r="AL218">
        <v>1</v>
      </c>
      <c r="AM218">
        <v>1</v>
      </c>
      <c r="AN218">
        <v>1</v>
      </c>
      <c r="AO218">
        <v>1</v>
      </c>
      <c r="AP218" t="str">
        <f>SUM(B218:AO218)</f>
        <v>0</v>
      </c>
    </row>
    <row r="219" spans="1:43">
      <c r="A219" t="s">
        <v>244</v>
      </c>
      <c r="B219">
        <v>2</v>
      </c>
      <c r="C219">
        <v>2</v>
      </c>
      <c r="D219">
        <v>1</v>
      </c>
      <c r="E219">
        <v>2</v>
      </c>
      <c r="F219">
        <v>1</v>
      </c>
      <c r="G219">
        <v>1</v>
      </c>
      <c r="H219">
        <v>1</v>
      </c>
      <c r="I219">
        <v>2</v>
      </c>
      <c r="J219">
        <v>1</v>
      </c>
      <c r="K219">
        <v>1</v>
      </c>
      <c r="L219">
        <v>2</v>
      </c>
      <c r="M219">
        <v>1</v>
      </c>
      <c r="N219">
        <v>2</v>
      </c>
      <c r="O219">
        <v>2</v>
      </c>
      <c r="P219">
        <v>1</v>
      </c>
      <c r="Q219">
        <v>1</v>
      </c>
      <c r="R219">
        <v>2</v>
      </c>
      <c r="S219">
        <v>1</v>
      </c>
      <c r="T219">
        <v>1</v>
      </c>
      <c r="U219">
        <v>2</v>
      </c>
      <c r="V219">
        <v>1</v>
      </c>
      <c r="W219">
        <v>2</v>
      </c>
      <c r="X219">
        <v>2</v>
      </c>
      <c r="Y219">
        <v>1</v>
      </c>
      <c r="Z219">
        <v>1</v>
      </c>
      <c r="AA219">
        <v>1</v>
      </c>
      <c r="AB219">
        <v>1</v>
      </c>
      <c r="AC219">
        <v>2</v>
      </c>
      <c r="AD219">
        <v>1</v>
      </c>
      <c r="AE219">
        <v>1</v>
      </c>
      <c r="AF219">
        <v>1</v>
      </c>
      <c r="AG219">
        <v>2</v>
      </c>
      <c r="AH219">
        <v>2</v>
      </c>
      <c r="AI219">
        <v>1</v>
      </c>
      <c r="AJ219">
        <v>2</v>
      </c>
      <c r="AK219">
        <v>1</v>
      </c>
      <c r="AL219">
        <v>2</v>
      </c>
      <c r="AM219">
        <v>1</v>
      </c>
      <c r="AN219">
        <v>2</v>
      </c>
      <c r="AO219">
        <v>2</v>
      </c>
      <c r="AP219" t="str">
        <f>SUM(B219:AO219)</f>
        <v>0</v>
      </c>
    </row>
    <row r="220" spans="1:43">
      <c r="A220" t="s">
        <v>245</v>
      </c>
      <c r="B220">
        <v>1</v>
      </c>
      <c r="C220">
        <v>2</v>
      </c>
      <c r="D220">
        <v>2</v>
      </c>
      <c r="E220">
        <v>1</v>
      </c>
      <c r="F220">
        <v>2</v>
      </c>
      <c r="G220">
        <v>2</v>
      </c>
      <c r="H220">
        <v>2</v>
      </c>
      <c r="I220">
        <v>2</v>
      </c>
      <c r="J220">
        <v>1</v>
      </c>
      <c r="K220">
        <v>2</v>
      </c>
      <c r="L220">
        <v>2</v>
      </c>
      <c r="M220">
        <v>2</v>
      </c>
      <c r="N220">
        <v>2</v>
      </c>
      <c r="O220">
        <v>1</v>
      </c>
      <c r="P220">
        <v>2</v>
      </c>
      <c r="Q220">
        <v>2</v>
      </c>
      <c r="R220">
        <v>2</v>
      </c>
      <c r="S220">
        <v>2</v>
      </c>
      <c r="T220">
        <v>1</v>
      </c>
      <c r="U220">
        <v>2</v>
      </c>
      <c r="V220">
        <v>2</v>
      </c>
      <c r="W220">
        <v>2</v>
      </c>
      <c r="X220">
        <v>1</v>
      </c>
      <c r="Y220">
        <v>2</v>
      </c>
      <c r="Z220">
        <v>2</v>
      </c>
      <c r="AA220">
        <v>1</v>
      </c>
      <c r="AB220">
        <v>2</v>
      </c>
      <c r="AC220">
        <v>2</v>
      </c>
      <c r="AD220">
        <v>2</v>
      </c>
      <c r="AE220">
        <v>1</v>
      </c>
      <c r="AF220">
        <v>2</v>
      </c>
      <c r="AG220">
        <v>1</v>
      </c>
      <c r="AH220">
        <v>2</v>
      </c>
      <c r="AI220">
        <v>1</v>
      </c>
      <c r="AJ220">
        <v>2</v>
      </c>
      <c r="AK220">
        <v>1</v>
      </c>
      <c r="AL220">
        <v>1</v>
      </c>
      <c r="AM220">
        <v>1</v>
      </c>
      <c r="AN220">
        <v>2</v>
      </c>
      <c r="AO220">
        <v>2</v>
      </c>
      <c r="AP220" t="str">
        <f>SUM(B220:AO220)</f>
        <v>0</v>
      </c>
    </row>
    <row r="221" spans="1:43">
      <c r="A221" t="s">
        <v>246</v>
      </c>
      <c r="B221">
        <v>2</v>
      </c>
      <c r="C221">
        <v>1</v>
      </c>
      <c r="D221">
        <v>1</v>
      </c>
      <c r="E221">
        <v>1</v>
      </c>
      <c r="F221">
        <v>1</v>
      </c>
      <c r="G221">
        <v>1</v>
      </c>
      <c r="H221">
        <v>2</v>
      </c>
      <c r="I221">
        <v>1</v>
      </c>
      <c r="J221">
        <v>1</v>
      </c>
      <c r="K221">
        <v>2</v>
      </c>
      <c r="L221">
        <v>2</v>
      </c>
      <c r="M221">
        <v>1</v>
      </c>
      <c r="N221">
        <v>2</v>
      </c>
      <c r="O221">
        <v>2</v>
      </c>
      <c r="P221">
        <v>1</v>
      </c>
      <c r="Q221">
        <v>1</v>
      </c>
      <c r="R221">
        <v>1</v>
      </c>
      <c r="S221">
        <v>1</v>
      </c>
      <c r="T221">
        <v>2</v>
      </c>
      <c r="U221">
        <v>2</v>
      </c>
      <c r="V221">
        <v>2</v>
      </c>
      <c r="W221">
        <v>1</v>
      </c>
      <c r="X221">
        <v>1</v>
      </c>
      <c r="Y221">
        <v>1</v>
      </c>
      <c r="Z221">
        <v>1</v>
      </c>
      <c r="AA221">
        <v>1</v>
      </c>
      <c r="AB221">
        <v>1</v>
      </c>
      <c r="AC221">
        <v>1</v>
      </c>
      <c r="AD221">
        <v>1</v>
      </c>
      <c r="AE221">
        <v>1</v>
      </c>
      <c r="AF221">
        <v>1</v>
      </c>
      <c r="AG221">
        <v>1</v>
      </c>
      <c r="AH221">
        <v>2</v>
      </c>
      <c r="AI221">
        <v>1</v>
      </c>
      <c r="AJ221">
        <v>1</v>
      </c>
      <c r="AK221">
        <v>1</v>
      </c>
      <c r="AL221">
        <v>1</v>
      </c>
      <c r="AM221">
        <v>2</v>
      </c>
      <c r="AN221">
        <v>1</v>
      </c>
      <c r="AO221">
        <v>1</v>
      </c>
      <c r="AP221" t="str">
        <f>SUM(B221:AO221)</f>
        <v>0</v>
      </c>
    </row>
    <row r="222" spans="1:43">
      <c r="A222" t="s">
        <v>247</v>
      </c>
      <c r="B222">
        <v>1</v>
      </c>
      <c r="C222">
        <v>1</v>
      </c>
      <c r="D222">
        <v>1</v>
      </c>
      <c r="E222">
        <v>1</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c r="AD222">
        <v>1</v>
      </c>
      <c r="AE222">
        <v>1</v>
      </c>
      <c r="AF222">
        <v>1</v>
      </c>
      <c r="AG222">
        <v>1</v>
      </c>
      <c r="AH222">
        <v>1</v>
      </c>
      <c r="AI222">
        <v>1</v>
      </c>
      <c r="AJ222">
        <v>1</v>
      </c>
      <c r="AK222">
        <v>1</v>
      </c>
      <c r="AL222">
        <v>1</v>
      </c>
      <c r="AM222">
        <v>1</v>
      </c>
      <c r="AN222">
        <v>1</v>
      </c>
      <c r="AO222">
        <v>1</v>
      </c>
      <c r="AP222" t="str">
        <f>SUM(B222:AO222)</f>
        <v>0</v>
      </c>
    </row>
    <row r="223" spans="1:43">
      <c r="A223" t="s">
        <v>248</v>
      </c>
      <c r="B223">
        <v>2</v>
      </c>
      <c r="C223">
        <v>2</v>
      </c>
      <c r="D223">
        <v>2</v>
      </c>
      <c r="E223">
        <v>1</v>
      </c>
      <c r="F223">
        <v>2</v>
      </c>
      <c r="G223">
        <v>1</v>
      </c>
      <c r="H223">
        <v>2</v>
      </c>
      <c r="I223">
        <v>1</v>
      </c>
      <c r="J223">
        <v>1</v>
      </c>
      <c r="K223">
        <v>1</v>
      </c>
      <c r="L223">
        <v>2</v>
      </c>
      <c r="M223">
        <v>1</v>
      </c>
      <c r="N223">
        <v>2</v>
      </c>
      <c r="O223">
        <v>1</v>
      </c>
      <c r="P223">
        <v>2</v>
      </c>
      <c r="Q223">
        <v>2</v>
      </c>
      <c r="R223">
        <v>2</v>
      </c>
      <c r="S223">
        <v>2</v>
      </c>
      <c r="T223">
        <v>1</v>
      </c>
      <c r="U223">
        <v>2</v>
      </c>
      <c r="V223">
        <v>1</v>
      </c>
      <c r="W223">
        <v>2</v>
      </c>
      <c r="X223">
        <v>2</v>
      </c>
      <c r="Y223">
        <v>2</v>
      </c>
      <c r="Z223">
        <v>1</v>
      </c>
      <c r="AA223">
        <v>2</v>
      </c>
      <c r="AB223">
        <v>1</v>
      </c>
      <c r="AC223">
        <v>2</v>
      </c>
      <c r="AD223">
        <v>1</v>
      </c>
      <c r="AE223">
        <v>2</v>
      </c>
      <c r="AF223">
        <v>2</v>
      </c>
      <c r="AG223">
        <v>2</v>
      </c>
      <c r="AH223">
        <v>2</v>
      </c>
      <c r="AI223">
        <v>2</v>
      </c>
      <c r="AJ223">
        <v>2</v>
      </c>
      <c r="AK223">
        <v>2</v>
      </c>
      <c r="AL223">
        <v>1</v>
      </c>
      <c r="AM223">
        <v>1</v>
      </c>
      <c r="AN223">
        <v>1</v>
      </c>
      <c r="AO223">
        <v>2</v>
      </c>
      <c r="AP223" t="str">
        <f>SUM(B223:AO223)</f>
        <v>0</v>
      </c>
    </row>
    <row r="224" spans="1:43">
      <c r="A224" t="s">
        <v>249</v>
      </c>
      <c r="B224">
        <v>3</v>
      </c>
      <c r="C224">
        <v>2</v>
      </c>
      <c r="D224">
        <v>2</v>
      </c>
      <c r="E224">
        <v>2</v>
      </c>
      <c r="F224">
        <v>3</v>
      </c>
      <c r="G224">
        <v>2</v>
      </c>
      <c r="H224">
        <v>2</v>
      </c>
      <c r="I224">
        <v>2</v>
      </c>
      <c r="J224">
        <v>3</v>
      </c>
      <c r="K224">
        <v>3</v>
      </c>
      <c r="L224">
        <v>3</v>
      </c>
      <c r="M224">
        <v>2</v>
      </c>
      <c r="N224">
        <v>2</v>
      </c>
      <c r="O224">
        <v>2</v>
      </c>
      <c r="P224">
        <v>2</v>
      </c>
      <c r="Q224">
        <v>2</v>
      </c>
      <c r="R224">
        <v>3</v>
      </c>
      <c r="S224">
        <v>2</v>
      </c>
      <c r="T224">
        <v>2</v>
      </c>
      <c r="U224">
        <v>2</v>
      </c>
      <c r="V224">
        <v>2</v>
      </c>
      <c r="W224">
        <v>3</v>
      </c>
      <c r="X224">
        <v>3</v>
      </c>
      <c r="Y224">
        <v>2</v>
      </c>
      <c r="Z224">
        <v>2</v>
      </c>
      <c r="AA224">
        <v>3</v>
      </c>
      <c r="AB224">
        <v>2</v>
      </c>
      <c r="AC224">
        <v>2</v>
      </c>
      <c r="AD224">
        <v>2</v>
      </c>
      <c r="AE224">
        <v>3</v>
      </c>
      <c r="AF224">
        <v>2</v>
      </c>
      <c r="AG224">
        <v>2</v>
      </c>
      <c r="AH224">
        <v>2</v>
      </c>
      <c r="AI224">
        <v>2</v>
      </c>
      <c r="AJ224">
        <v>2</v>
      </c>
      <c r="AK224">
        <v>3</v>
      </c>
      <c r="AL224">
        <v>2</v>
      </c>
      <c r="AM224">
        <v>2</v>
      </c>
      <c r="AN224">
        <v>3</v>
      </c>
      <c r="AO224">
        <v>2</v>
      </c>
      <c r="AP224" t="str">
        <f>SUM(B224:AO224)</f>
        <v>0</v>
      </c>
    </row>
    <row r="225" spans="1:43">
      <c r="A225" t="s">
        <v>250</v>
      </c>
      <c r="B225">
        <v>1</v>
      </c>
      <c r="C225">
        <v>1</v>
      </c>
      <c r="D225">
        <v>1</v>
      </c>
      <c r="E225">
        <v>1</v>
      </c>
      <c r="F225">
        <v>1</v>
      </c>
      <c r="G225">
        <v>1</v>
      </c>
      <c r="H225">
        <v>1</v>
      </c>
      <c r="I225">
        <v>1</v>
      </c>
      <c r="J225">
        <v>1</v>
      </c>
      <c r="K225">
        <v>1</v>
      </c>
      <c r="L225">
        <v>1</v>
      </c>
      <c r="M225">
        <v>1</v>
      </c>
      <c r="N225">
        <v>1</v>
      </c>
      <c r="O225">
        <v>1</v>
      </c>
      <c r="P225">
        <v>1</v>
      </c>
      <c r="Q225">
        <v>1</v>
      </c>
      <c r="R225">
        <v>1</v>
      </c>
      <c r="S225">
        <v>1</v>
      </c>
      <c r="T225">
        <v>1</v>
      </c>
      <c r="U225">
        <v>1</v>
      </c>
      <c r="V225">
        <v>1</v>
      </c>
      <c r="W225">
        <v>1</v>
      </c>
      <c r="X225">
        <v>1</v>
      </c>
      <c r="Y225">
        <v>1</v>
      </c>
      <c r="Z225">
        <v>1</v>
      </c>
      <c r="AA225">
        <v>1</v>
      </c>
      <c r="AB225">
        <v>1</v>
      </c>
      <c r="AC225">
        <v>1</v>
      </c>
      <c r="AD225">
        <v>1</v>
      </c>
      <c r="AE225">
        <v>1</v>
      </c>
      <c r="AF225">
        <v>1</v>
      </c>
      <c r="AG225">
        <v>1</v>
      </c>
      <c r="AH225">
        <v>1</v>
      </c>
      <c r="AI225">
        <v>1</v>
      </c>
      <c r="AJ225">
        <v>1</v>
      </c>
      <c r="AK225">
        <v>1</v>
      </c>
      <c r="AL225">
        <v>1</v>
      </c>
      <c r="AM225">
        <v>1</v>
      </c>
      <c r="AN225">
        <v>1</v>
      </c>
      <c r="AO225">
        <v>1</v>
      </c>
      <c r="AP225" t="str">
        <f>SUM(B225:AO225)</f>
        <v>0</v>
      </c>
    </row>
    <row r="226" spans="1:43">
      <c r="A226" t="s">
        <v>251</v>
      </c>
      <c r="B226">
        <v>2</v>
      </c>
      <c r="C226">
        <v>1</v>
      </c>
      <c r="D226">
        <v>2</v>
      </c>
      <c r="E226">
        <v>1</v>
      </c>
      <c r="F226">
        <v>1</v>
      </c>
      <c r="G226">
        <v>2</v>
      </c>
      <c r="H226">
        <v>2</v>
      </c>
      <c r="I226">
        <v>2</v>
      </c>
      <c r="J226">
        <v>1</v>
      </c>
      <c r="K226">
        <v>1</v>
      </c>
      <c r="L226">
        <v>1</v>
      </c>
      <c r="M226">
        <v>1</v>
      </c>
      <c r="N226">
        <v>1</v>
      </c>
      <c r="O226">
        <v>1</v>
      </c>
      <c r="P226">
        <v>1</v>
      </c>
      <c r="Q226">
        <v>1</v>
      </c>
      <c r="R226">
        <v>2</v>
      </c>
      <c r="S226">
        <v>2</v>
      </c>
      <c r="T226">
        <v>1</v>
      </c>
      <c r="U226">
        <v>2</v>
      </c>
      <c r="V226">
        <v>1</v>
      </c>
      <c r="W226">
        <v>2</v>
      </c>
      <c r="X226">
        <v>1</v>
      </c>
      <c r="Y226">
        <v>1</v>
      </c>
      <c r="Z226">
        <v>1</v>
      </c>
      <c r="AA226">
        <v>2</v>
      </c>
      <c r="AB226">
        <v>1</v>
      </c>
      <c r="AC226">
        <v>1</v>
      </c>
      <c r="AD226">
        <v>2</v>
      </c>
      <c r="AE226">
        <v>1</v>
      </c>
      <c r="AF226">
        <v>2</v>
      </c>
      <c r="AG226">
        <v>2</v>
      </c>
      <c r="AH226">
        <v>1</v>
      </c>
      <c r="AI226">
        <v>1</v>
      </c>
      <c r="AJ226">
        <v>1</v>
      </c>
      <c r="AK226">
        <v>2</v>
      </c>
      <c r="AL226">
        <v>2</v>
      </c>
      <c r="AM226">
        <v>1</v>
      </c>
      <c r="AN226">
        <v>1</v>
      </c>
      <c r="AO226">
        <v>1</v>
      </c>
      <c r="AP226" t="str">
        <f>SUM(B226:AO226)</f>
        <v>0</v>
      </c>
    </row>
    <row r="227" spans="1:43">
      <c r="A227" t="s">
        <v>252</v>
      </c>
      <c r="B227">
        <v>2</v>
      </c>
      <c r="C227">
        <v>2</v>
      </c>
      <c r="D227">
        <v>3</v>
      </c>
      <c r="E227">
        <v>2</v>
      </c>
      <c r="F227">
        <v>2</v>
      </c>
      <c r="G227">
        <v>1</v>
      </c>
      <c r="H227">
        <v>2</v>
      </c>
      <c r="I227">
        <v>2</v>
      </c>
      <c r="J227">
        <v>2</v>
      </c>
      <c r="K227">
        <v>3</v>
      </c>
      <c r="L227">
        <v>2</v>
      </c>
      <c r="M227">
        <v>2</v>
      </c>
      <c r="N227">
        <v>3</v>
      </c>
      <c r="O227">
        <v>2</v>
      </c>
      <c r="P227">
        <v>2</v>
      </c>
      <c r="Q227">
        <v>1</v>
      </c>
      <c r="R227">
        <v>2</v>
      </c>
      <c r="S227">
        <v>2</v>
      </c>
      <c r="T227">
        <v>2</v>
      </c>
      <c r="U227">
        <v>3</v>
      </c>
      <c r="V227">
        <v>2</v>
      </c>
      <c r="W227">
        <v>2</v>
      </c>
      <c r="X227">
        <v>1</v>
      </c>
      <c r="Y227">
        <v>3</v>
      </c>
      <c r="Z227">
        <v>2</v>
      </c>
      <c r="AA227">
        <v>3</v>
      </c>
      <c r="AB227">
        <v>2</v>
      </c>
      <c r="AC227">
        <v>2</v>
      </c>
      <c r="AD227">
        <v>2</v>
      </c>
      <c r="AE227">
        <v>2</v>
      </c>
      <c r="AF227">
        <v>2</v>
      </c>
      <c r="AG227">
        <v>3</v>
      </c>
      <c r="AH227">
        <v>2</v>
      </c>
      <c r="AI227">
        <v>2</v>
      </c>
      <c r="AJ227">
        <v>2</v>
      </c>
      <c r="AK227">
        <v>2</v>
      </c>
      <c r="AL227">
        <v>3</v>
      </c>
      <c r="AM227">
        <v>2</v>
      </c>
      <c r="AN227">
        <v>1</v>
      </c>
      <c r="AO227">
        <v>2</v>
      </c>
      <c r="AP227" t="str">
        <f>SUM(B227:AO227)</f>
        <v>0</v>
      </c>
    </row>
    <row r="228" spans="1:43">
      <c r="A228" t="s">
        <v>253</v>
      </c>
      <c r="B228">
        <v>1</v>
      </c>
      <c r="C228">
        <v>1</v>
      </c>
      <c r="D228">
        <v>1</v>
      </c>
      <c r="E228">
        <v>1</v>
      </c>
      <c r="F228">
        <v>1</v>
      </c>
      <c r="G228">
        <v>1</v>
      </c>
      <c r="H228">
        <v>1</v>
      </c>
      <c r="I228">
        <v>1</v>
      </c>
      <c r="J228">
        <v>2</v>
      </c>
      <c r="K228">
        <v>1</v>
      </c>
      <c r="L228">
        <v>1</v>
      </c>
      <c r="M228">
        <v>1</v>
      </c>
      <c r="N228">
        <v>2</v>
      </c>
      <c r="O228">
        <v>1</v>
      </c>
      <c r="P228">
        <v>1</v>
      </c>
      <c r="Q228">
        <v>1</v>
      </c>
      <c r="R228">
        <v>1</v>
      </c>
      <c r="S228">
        <v>1</v>
      </c>
      <c r="T228">
        <v>1</v>
      </c>
      <c r="U228">
        <v>1</v>
      </c>
      <c r="V228">
        <v>1</v>
      </c>
      <c r="W228">
        <v>1</v>
      </c>
      <c r="X228">
        <v>1</v>
      </c>
      <c r="Y228">
        <v>1</v>
      </c>
      <c r="Z228">
        <v>1</v>
      </c>
      <c r="AA228">
        <v>1</v>
      </c>
      <c r="AB228">
        <v>1</v>
      </c>
      <c r="AC228">
        <v>2</v>
      </c>
      <c r="AD228">
        <v>2</v>
      </c>
      <c r="AE228">
        <v>2</v>
      </c>
      <c r="AF228">
        <v>1</v>
      </c>
      <c r="AG228">
        <v>1</v>
      </c>
      <c r="AH228">
        <v>1</v>
      </c>
      <c r="AI228">
        <v>2</v>
      </c>
      <c r="AJ228">
        <v>1</v>
      </c>
      <c r="AK228">
        <v>1</v>
      </c>
      <c r="AL228">
        <v>1</v>
      </c>
      <c r="AM228">
        <v>1</v>
      </c>
      <c r="AN228">
        <v>2</v>
      </c>
      <c r="AO228">
        <v>1</v>
      </c>
      <c r="AP228" t="str">
        <f>SUM(B228:AO228)</f>
        <v>0</v>
      </c>
    </row>
    <row r="229" spans="1:43">
      <c r="A229" t="s">
        <v>254</v>
      </c>
      <c r="B229">
        <v>2</v>
      </c>
      <c r="C229">
        <v>2</v>
      </c>
      <c r="D229">
        <v>3</v>
      </c>
      <c r="E229">
        <v>2</v>
      </c>
      <c r="F229">
        <v>1</v>
      </c>
      <c r="G229">
        <v>2</v>
      </c>
      <c r="H229">
        <v>1</v>
      </c>
      <c r="I229">
        <v>2</v>
      </c>
      <c r="J229">
        <v>3</v>
      </c>
      <c r="K229">
        <v>2</v>
      </c>
      <c r="L229">
        <v>3</v>
      </c>
      <c r="M229">
        <v>2</v>
      </c>
      <c r="N229">
        <v>2</v>
      </c>
      <c r="O229">
        <v>2</v>
      </c>
      <c r="P229">
        <v>3</v>
      </c>
      <c r="Q229">
        <v>2</v>
      </c>
      <c r="R229">
        <v>2</v>
      </c>
      <c r="S229">
        <v>2</v>
      </c>
      <c r="T229">
        <v>1</v>
      </c>
      <c r="U229">
        <v>2</v>
      </c>
      <c r="V229">
        <v>2</v>
      </c>
      <c r="W229">
        <v>2</v>
      </c>
      <c r="X229">
        <v>2</v>
      </c>
      <c r="Y229">
        <v>1</v>
      </c>
      <c r="Z229">
        <v>2</v>
      </c>
      <c r="AA229">
        <v>2</v>
      </c>
      <c r="AB229">
        <v>2</v>
      </c>
      <c r="AC229">
        <v>2</v>
      </c>
      <c r="AD229">
        <v>2</v>
      </c>
      <c r="AE229">
        <v>2</v>
      </c>
      <c r="AF229">
        <v>2</v>
      </c>
      <c r="AG229">
        <v>3</v>
      </c>
      <c r="AH229">
        <v>3</v>
      </c>
      <c r="AI229">
        <v>2</v>
      </c>
      <c r="AJ229">
        <v>2</v>
      </c>
      <c r="AK229">
        <v>2</v>
      </c>
      <c r="AL229">
        <v>2</v>
      </c>
      <c r="AM229">
        <v>3</v>
      </c>
      <c r="AN229">
        <v>2</v>
      </c>
      <c r="AO229">
        <v>2</v>
      </c>
      <c r="AP229" t="str">
        <f>SUM(B229:AO229)</f>
        <v>0</v>
      </c>
    </row>
    <row r="230" spans="1:43">
      <c r="A230" t="s">
        <v>255</v>
      </c>
      <c r="B230">
        <v>1</v>
      </c>
      <c r="C230">
        <v>2</v>
      </c>
      <c r="D230">
        <v>2</v>
      </c>
      <c r="E230">
        <v>1</v>
      </c>
      <c r="F230">
        <v>2</v>
      </c>
      <c r="G230">
        <v>1</v>
      </c>
      <c r="H230">
        <v>1</v>
      </c>
      <c r="I230">
        <v>2</v>
      </c>
      <c r="J230">
        <v>1</v>
      </c>
      <c r="K230">
        <v>1</v>
      </c>
      <c r="L230">
        <v>2</v>
      </c>
      <c r="M230">
        <v>1</v>
      </c>
      <c r="N230">
        <v>1</v>
      </c>
      <c r="O230">
        <v>1</v>
      </c>
      <c r="P230">
        <v>1</v>
      </c>
      <c r="Q230">
        <v>2</v>
      </c>
      <c r="R230">
        <v>2</v>
      </c>
      <c r="S230">
        <v>2</v>
      </c>
      <c r="T230">
        <v>2</v>
      </c>
      <c r="U230">
        <v>1</v>
      </c>
      <c r="V230">
        <v>2</v>
      </c>
      <c r="W230">
        <v>1</v>
      </c>
      <c r="X230">
        <v>2</v>
      </c>
      <c r="Y230">
        <v>2</v>
      </c>
      <c r="Z230">
        <v>1</v>
      </c>
      <c r="AA230">
        <v>2</v>
      </c>
      <c r="AB230">
        <v>1</v>
      </c>
      <c r="AC230">
        <v>1</v>
      </c>
      <c r="AD230">
        <v>2</v>
      </c>
      <c r="AE230">
        <v>1</v>
      </c>
      <c r="AF230">
        <v>1</v>
      </c>
      <c r="AG230">
        <v>1</v>
      </c>
      <c r="AH230">
        <v>2</v>
      </c>
      <c r="AI230">
        <v>1</v>
      </c>
      <c r="AJ230">
        <v>1</v>
      </c>
      <c r="AK230">
        <v>2</v>
      </c>
      <c r="AL230">
        <v>1</v>
      </c>
      <c r="AM230">
        <v>1</v>
      </c>
      <c r="AN230">
        <v>1</v>
      </c>
      <c r="AO230">
        <v>2</v>
      </c>
      <c r="AP230" t="str">
        <f>SUM(B230:AO230)</f>
        <v>0</v>
      </c>
    </row>
    <row r="231" spans="1:43">
      <c r="A231" t="s">
        <v>256</v>
      </c>
      <c r="B231">
        <v>1</v>
      </c>
      <c r="C231">
        <v>1</v>
      </c>
      <c r="D231">
        <v>2</v>
      </c>
      <c r="E231">
        <v>1</v>
      </c>
      <c r="F231">
        <v>1</v>
      </c>
      <c r="G231">
        <v>2</v>
      </c>
      <c r="H231">
        <v>1</v>
      </c>
      <c r="I231">
        <v>1</v>
      </c>
      <c r="J231">
        <v>2</v>
      </c>
      <c r="K231">
        <v>2</v>
      </c>
      <c r="L231">
        <v>2</v>
      </c>
      <c r="M231">
        <v>2</v>
      </c>
      <c r="N231">
        <v>1</v>
      </c>
      <c r="O231">
        <v>2</v>
      </c>
      <c r="P231">
        <v>1</v>
      </c>
      <c r="Q231">
        <v>1</v>
      </c>
      <c r="R231">
        <v>1</v>
      </c>
      <c r="S231">
        <v>1</v>
      </c>
      <c r="T231">
        <v>1</v>
      </c>
      <c r="U231">
        <v>2</v>
      </c>
      <c r="V231">
        <v>1</v>
      </c>
      <c r="W231">
        <v>1</v>
      </c>
      <c r="X231">
        <v>1</v>
      </c>
      <c r="Y231">
        <v>1</v>
      </c>
      <c r="Z231">
        <v>1</v>
      </c>
      <c r="AA231">
        <v>2</v>
      </c>
      <c r="AB231">
        <v>1</v>
      </c>
      <c r="AC231">
        <v>1</v>
      </c>
      <c r="AD231">
        <v>1</v>
      </c>
      <c r="AE231">
        <v>2</v>
      </c>
      <c r="AF231">
        <v>1</v>
      </c>
      <c r="AG231">
        <v>1</v>
      </c>
      <c r="AH231">
        <v>1</v>
      </c>
      <c r="AI231">
        <v>2</v>
      </c>
      <c r="AJ231">
        <v>1</v>
      </c>
      <c r="AK231">
        <v>1</v>
      </c>
      <c r="AL231">
        <v>1</v>
      </c>
      <c r="AM231">
        <v>1</v>
      </c>
      <c r="AN231">
        <v>1</v>
      </c>
      <c r="AO231">
        <v>1</v>
      </c>
      <c r="AP231" t="str">
        <f>SUM(B231:AO231)</f>
        <v>0</v>
      </c>
    </row>
    <row r="232" spans="1:43">
      <c r="A232" t="s">
        <v>257</v>
      </c>
      <c r="B232">
        <v>2</v>
      </c>
      <c r="C232">
        <v>2</v>
      </c>
      <c r="D232">
        <v>2</v>
      </c>
      <c r="E232">
        <v>2</v>
      </c>
      <c r="F232">
        <v>2</v>
      </c>
      <c r="G232">
        <v>2</v>
      </c>
      <c r="H232">
        <v>2</v>
      </c>
      <c r="I232">
        <v>2</v>
      </c>
      <c r="J232">
        <v>1</v>
      </c>
      <c r="K232">
        <v>2</v>
      </c>
      <c r="L232">
        <v>2</v>
      </c>
      <c r="M232">
        <v>2</v>
      </c>
      <c r="N232">
        <v>2</v>
      </c>
      <c r="O232">
        <v>1</v>
      </c>
      <c r="P232">
        <v>2</v>
      </c>
      <c r="Q232">
        <v>2</v>
      </c>
      <c r="R232">
        <v>2</v>
      </c>
      <c r="S232">
        <v>2</v>
      </c>
      <c r="T232">
        <v>1</v>
      </c>
      <c r="U232">
        <v>2</v>
      </c>
      <c r="V232">
        <v>2</v>
      </c>
      <c r="W232">
        <v>2</v>
      </c>
      <c r="X232">
        <v>1</v>
      </c>
      <c r="Y232">
        <v>2</v>
      </c>
      <c r="Z232">
        <v>1</v>
      </c>
      <c r="AA232">
        <v>2</v>
      </c>
      <c r="AB232">
        <v>1</v>
      </c>
      <c r="AC232">
        <v>2</v>
      </c>
      <c r="AD232">
        <v>2</v>
      </c>
      <c r="AE232">
        <v>1</v>
      </c>
      <c r="AF232">
        <v>2</v>
      </c>
      <c r="AG232">
        <v>2</v>
      </c>
      <c r="AH232">
        <v>1</v>
      </c>
      <c r="AI232">
        <v>2</v>
      </c>
      <c r="AJ232">
        <v>2</v>
      </c>
      <c r="AK232">
        <v>2</v>
      </c>
      <c r="AL232">
        <v>2</v>
      </c>
      <c r="AM232">
        <v>2</v>
      </c>
      <c r="AN232">
        <v>2</v>
      </c>
      <c r="AO232">
        <v>2</v>
      </c>
      <c r="AP232" t="str">
        <f>SUM(B232:AO232)</f>
        <v>0</v>
      </c>
    </row>
    <row r="233" spans="1:43">
      <c r="A233" t="s">
        <v>258</v>
      </c>
      <c r="B233">
        <v>2</v>
      </c>
      <c r="C233">
        <v>2</v>
      </c>
      <c r="D233">
        <v>2</v>
      </c>
      <c r="E233">
        <v>2</v>
      </c>
      <c r="F233">
        <v>2</v>
      </c>
      <c r="G233">
        <v>3</v>
      </c>
      <c r="H233">
        <v>2</v>
      </c>
      <c r="I233">
        <v>2</v>
      </c>
      <c r="J233">
        <v>1</v>
      </c>
      <c r="K233">
        <v>2</v>
      </c>
      <c r="L233">
        <v>2</v>
      </c>
      <c r="M233">
        <v>1</v>
      </c>
      <c r="N233">
        <v>2</v>
      </c>
      <c r="O233">
        <v>1</v>
      </c>
      <c r="P233">
        <v>2</v>
      </c>
      <c r="Q233">
        <v>1</v>
      </c>
      <c r="R233">
        <v>2</v>
      </c>
      <c r="S233">
        <v>2</v>
      </c>
      <c r="T233">
        <v>2</v>
      </c>
      <c r="U233">
        <v>2</v>
      </c>
      <c r="V233">
        <v>2</v>
      </c>
      <c r="W233">
        <v>2</v>
      </c>
      <c r="X233">
        <v>2</v>
      </c>
      <c r="Y233">
        <v>2</v>
      </c>
      <c r="Z233">
        <v>2</v>
      </c>
      <c r="AA233">
        <v>2</v>
      </c>
      <c r="AB233">
        <v>1</v>
      </c>
      <c r="AC233">
        <v>1</v>
      </c>
      <c r="AD233">
        <v>2</v>
      </c>
      <c r="AE233">
        <v>2</v>
      </c>
      <c r="AF233">
        <v>1</v>
      </c>
      <c r="AG233">
        <v>2</v>
      </c>
      <c r="AH233">
        <v>2</v>
      </c>
      <c r="AI233">
        <v>2</v>
      </c>
      <c r="AJ233">
        <v>1</v>
      </c>
      <c r="AK233">
        <v>2</v>
      </c>
      <c r="AL233">
        <v>1</v>
      </c>
      <c r="AM233">
        <v>2</v>
      </c>
      <c r="AN233">
        <v>2</v>
      </c>
      <c r="AO233">
        <v>2</v>
      </c>
      <c r="AP233" t="str">
        <f>SUM(B233:AO233)</f>
        <v>0</v>
      </c>
    </row>
    <row r="234" spans="1:43">
      <c r="A234" t="s">
        <v>259</v>
      </c>
      <c r="B234">
        <v>1</v>
      </c>
      <c r="C234">
        <v>1</v>
      </c>
      <c r="D234">
        <v>2</v>
      </c>
      <c r="E234">
        <v>1</v>
      </c>
      <c r="F234">
        <v>1</v>
      </c>
      <c r="G234">
        <v>1</v>
      </c>
      <c r="H234">
        <v>1</v>
      </c>
      <c r="I234">
        <v>2</v>
      </c>
      <c r="J234">
        <v>1</v>
      </c>
      <c r="K234">
        <v>1</v>
      </c>
      <c r="L234">
        <v>1</v>
      </c>
      <c r="M234">
        <v>2</v>
      </c>
      <c r="N234">
        <v>1</v>
      </c>
      <c r="O234">
        <v>2</v>
      </c>
      <c r="P234">
        <v>2</v>
      </c>
      <c r="Q234">
        <v>2</v>
      </c>
      <c r="R234">
        <v>2</v>
      </c>
      <c r="S234">
        <v>2</v>
      </c>
      <c r="T234">
        <v>2</v>
      </c>
      <c r="U234">
        <v>1</v>
      </c>
      <c r="V234">
        <v>2</v>
      </c>
      <c r="W234">
        <v>1</v>
      </c>
      <c r="X234">
        <v>2</v>
      </c>
      <c r="Y234">
        <v>2</v>
      </c>
      <c r="Z234">
        <v>2</v>
      </c>
      <c r="AA234">
        <v>2</v>
      </c>
      <c r="AB234">
        <v>2</v>
      </c>
      <c r="AC234">
        <v>1</v>
      </c>
      <c r="AD234">
        <v>1</v>
      </c>
      <c r="AE234">
        <v>2</v>
      </c>
      <c r="AF234">
        <v>1</v>
      </c>
      <c r="AG234">
        <v>1</v>
      </c>
      <c r="AH234">
        <v>1</v>
      </c>
      <c r="AI234">
        <v>2</v>
      </c>
      <c r="AJ234">
        <v>2</v>
      </c>
      <c r="AK234">
        <v>1</v>
      </c>
      <c r="AL234">
        <v>1</v>
      </c>
      <c r="AM234">
        <v>1</v>
      </c>
      <c r="AN234">
        <v>1</v>
      </c>
      <c r="AO234">
        <v>2</v>
      </c>
      <c r="AP234" t="str">
        <f>SUM(B234:AO234)</f>
        <v>0</v>
      </c>
    </row>
    <row r="235" spans="1:43">
      <c r="A235" t="s">
        <v>260</v>
      </c>
      <c r="B235">
        <v>2</v>
      </c>
      <c r="C235">
        <v>2</v>
      </c>
      <c r="D235">
        <v>2</v>
      </c>
      <c r="E235">
        <v>2</v>
      </c>
      <c r="F235">
        <v>3</v>
      </c>
      <c r="G235">
        <v>3</v>
      </c>
      <c r="H235">
        <v>2</v>
      </c>
      <c r="I235">
        <v>3</v>
      </c>
      <c r="J235">
        <v>3</v>
      </c>
      <c r="K235">
        <v>2</v>
      </c>
      <c r="L235">
        <v>2</v>
      </c>
      <c r="M235">
        <v>2</v>
      </c>
      <c r="N235">
        <v>2</v>
      </c>
      <c r="O235">
        <v>3</v>
      </c>
      <c r="P235">
        <v>2</v>
      </c>
      <c r="Q235">
        <v>3</v>
      </c>
      <c r="R235">
        <v>2</v>
      </c>
      <c r="S235">
        <v>2</v>
      </c>
      <c r="T235">
        <v>2</v>
      </c>
      <c r="U235">
        <v>2</v>
      </c>
      <c r="V235">
        <v>2</v>
      </c>
      <c r="W235">
        <v>2</v>
      </c>
      <c r="X235">
        <v>2</v>
      </c>
      <c r="Y235">
        <v>2</v>
      </c>
      <c r="Z235">
        <v>2</v>
      </c>
      <c r="AA235">
        <v>2</v>
      </c>
      <c r="AB235">
        <v>3</v>
      </c>
      <c r="AC235">
        <v>2</v>
      </c>
      <c r="AD235">
        <v>3</v>
      </c>
      <c r="AE235">
        <v>2</v>
      </c>
      <c r="AF235">
        <v>3</v>
      </c>
      <c r="AG235">
        <v>2</v>
      </c>
      <c r="AH235">
        <v>2</v>
      </c>
      <c r="AI235">
        <v>2</v>
      </c>
      <c r="AJ235">
        <v>2</v>
      </c>
      <c r="AK235">
        <v>2</v>
      </c>
      <c r="AL235">
        <v>2</v>
      </c>
      <c r="AM235">
        <v>2</v>
      </c>
      <c r="AN235">
        <v>2</v>
      </c>
      <c r="AO235">
        <v>2</v>
      </c>
      <c r="AP235" t="str">
        <f>SUM(B235:AO235)</f>
        <v>0</v>
      </c>
    </row>
    <row r="236" spans="1:43">
      <c r="A236" t="s">
        <v>261</v>
      </c>
      <c r="B236">
        <v>2</v>
      </c>
      <c r="C236">
        <v>2</v>
      </c>
      <c r="D236">
        <v>2</v>
      </c>
      <c r="E236">
        <v>1</v>
      </c>
      <c r="F236">
        <v>2</v>
      </c>
      <c r="G236">
        <v>2</v>
      </c>
      <c r="H236">
        <v>2</v>
      </c>
      <c r="I236">
        <v>2</v>
      </c>
      <c r="J236">
        <v>2</v>
      </c>
      <c r="K236">
        <v>2</v>
      </c>
      <c r="L236">
        <v>2</v>
      </c>
      <c r="M236">
        <v>2</v>
      </c>
      <c r="N236">
        <v>1</v>
      </c>
      <c r="O236">
        <v>3</v>
      </c>
      <c r="P236">
        <v>2</v>
      </c>
      <c r="Q236">
        <v>2</v>
      </c>
      <c r="R236">
        <v>2</v>
      </c>
      <c r="S236">
        <v>2</v>
      </c>
      <c r="T236">
        <v>2</v>
      </c>
      <c r="U236">
        <v>3</v>
      </c>
      <c r="V236">
        <v>2</v>
      </c>
      <c r="W236">
        <v>3</v>
      </c>
      <c r="X236">
        <v>2</v>
      </c>
      <c r="Y236">
        <v>2</v>
      </c>
      <c r="Z236">
        <v>2</v>
      </c>
      <c r="AA236">
        <v>2</v>
      </c>
      <c r="AB236">
        <v>2</v>
      </c>
      <c r="AC236">
        <v>1</v>
      </c>
      <c r="AD236">
        <v>2</v>
      </c>
      <c r="AE236">
        <v>2</v>
      </c>
      <c r="AF236">
        <v>3</v>
      </c>
      <c r="AG236">
        <v>2</v>
      </c>
      <c r="AH236">
        <v>3</v>
      </c>
      <c r="AI236">
        <v>2</v>
      </c>
      <c r="AJ236">
        <v>2</v>
      </c>
      <c r="AK236">
        <v>2</v>
      </c>
      <c r="AL236">
        <v>2</v>
      </c>
      <c r="AM236">
        <v>3</v>
      </c>
      <c r="AN236">
        <v>1</v>
      </c>
      <c r="AO236">
        <v>1</v>
      </c>
      <c r="AP236" t="str">
        <f>SUM(B236:AO236)</f>
        <v>0</v>
      </c>
    </row>
    <row r="237" spans="1:43">
      <c r="A237" t="s">
        <v>262</v>
      </c>
      <c r="B237">
        <v>1</v>
      </c>
      <c r="C237">
        <v>1</v>
      </c>
      <c r="D237">
        <v>1</v>
      </c>
      <c r="E237">
        <v>1</v>
      </c>
      <c r="F237">
        <v>1</v>
      </c>
      <c r="G237">
        <v>2</v>
      </c>
      <c r="H237">
        <v>2</v>
      </c>
      <c r="I237">
        <v>2</v>
      </c>
      <c r="J237">
        <v>1</v>
      </c>
      <c r="K237">
        <v>1</v>
      </c>
      <c r="L237">
        <v>1</v>
      </c>
      <c r="M237">
        <v>2</v>
      </c>
      <c r="N237">
        <v>1</v>
      </c>
      <c r="O237">
        <v>1</v>
      </c>
      <c r="P237">
        <v>2</v>
      </c>
      <c r="Q237">
        <v>2</v>
      </c>
      <c r="R237">
        <v>1</v>
      </c>
      <c r="S237">
        <v>2</v>
      </c>
      <c r="T237">
        <v>2</v>
      </c>
      <c r="U237">
        <v>1</v>
      </c>
      <c r="V237">
        <v>2</v>
      </c>
      <c r="W237">
        <v>2</v>
      </c>
      <c r="X237">
        <v>1</v>
      </c>
      <c r="Y237">
        <v>1</v>
      </c>
      <c r="Z237">
        <v>2</v>
      </c>
      <c r="AA237">
        <v>1</v>
      </c>
      <c r="AB237">
        <v>2</v>
      </c>
      <c r="AC237">
        <v>1</v>
      </c>
      <c r="AD237">
        <v>2</v>
      </c>
      <c r="AE237">
        <v>2</v>
      </c>
      <c r="AF237">
        <v>2</v>
      </c>
      <c r="AG237">
        <v>2</v>
      </c>
      <c r="AH237">
        <v>1</v>
      </c>
      <c r="AI237">
        <v>1</v>
      </c>
      <c r="AJ237">
        <v>2</v>
      </c>
      <c r="AK237">
        <v>1</v>
      </c>
      <c r="AL237">
        <v>1</v>
      </c>
      <c r="AM237">
        <v>2</v>
      </c>
      <c r="AN237">
        <v>2</v>
      </c>
      <c r="AO237">
        <v>2</v>
      </c>
      <c r="AP237" t="str">
        <f>SUM(B237:AO237)</f>
        <v>0</v>
      </c>
    </row>
    <row r="238" spans="1:43">
      <c r="A238" t="s">
        <v>263</v>
      </c>
      <c r="B238">
        <v>2</v>
      </c>
      <c r="C238">
        <v>2</v>
      </c>
      <c r="D238">
        <v>2</v>
      </c>
      <c r="E238">
        <v>3</v>
      </c>
      <c r="F238">
        <v>2</v>
      </c>
      <c r="G238">
        <v>3</v>
      </c>
      <c r="H238">
        <v>2</v>
      </c>
      <c r="I238">
        <v>2</v>
      </c>
      <c r="J238">
        <v>2</v>
      </c>
      <c r="K238">
        <v>3</v>
      </c>
      <c r="L238">
        <v>1</v>
      </c>
      <c r="M238">
        <v>2</v>
      </c>
      <c r="N238">
        <v>2</v>
      </c>
      <c r="O238">
        <v>3</v>
      </c>
      <c r="P238">
        <v>3</v>
      </c>
      <c r="Q238">
        <v>2</v>
      </c>
      <c r="R238">
        <v>2</v>
      </c>
      <c r="S238">
        <v>2</v>
      </c>
      <c r="T238">
        <v>3</v>
      </c>
      <c r="U238">
        <v>3</v>
      </c>
      <c r="V238">
        <v>2</v>
      </c>
      <c r="W238">
        <v>2</v>
      </c>
      <c r="X238">
        <v>3</v>
      </c>
      <c r="Y238">
        <v>2</v>
      </c>
      <c r="Z238">
        <v>2</v>
      </c>
      <c r="AA238">
        <v>3</v>
      </c>
      <c r="AB238">
        <v>2</v>
      </c>
      <c r="AC238">
        <v>2</v>
      </c>
      <c r="AD238">
        <v>2</v>
      </c>
      <c r="AE238">
        <v>2</v>
      </c>
      <c r="AF238">
        <v>2</v>
      </c>
      <c r="AG238">
        <v>2</v>
      </c>
      <c r="AH238">
        <v>2</v>
      </c>
      <c r="AI238">
        <v>2</v>
      </c>
      <c r="AJ238">
        <v>2</v>
      </c>
      <c r="AK238">
        <v>3</v>
      </c>
      <c r="AL238">
        <v>2</v>
      </c>
      <c r="AM238">
        <v>2</v>
      </c>
      <c r="AN238">
        <v>2</v>
      </c>
      <c r="AO238">
        <v>2</v>
      </c>
      <c r="AP238" t="str">
        <f>SUM(B238:AO238)</f>
        <v>0</v>
      </c>
    </row>
    <row r="239" spans="1:43">
      <c r="A239" t="s">
        <v>264</v>
      </c>
      <c r="B239">
        <v>1</v>
      </c>
      <c r="C239">
        <v>1</v>
      </c>
      <c r="D239">
        <v>2</v>
      </c>
      <c r="E239">
        <v>1</v>
      </c>
      <c r="F239">
        <v>1</v>
      </c>
      <c r="G239">
        <v>1</v>
      </c>
      <c r="H239">
        <v>1</v>
      </c>
      <c r="I239">
        <v>1</v>
      </c>
      <c r="J239">
        <v>1</v>
      </c>
      <c r="K239">
        <v>1</v>
      </c>
      <c r="L239">
        <v>1</v>
      </c>
      <c r="M239">
        <v>1</v>
      </c>
      <c r="N239">
        <v>1</v>
      </c>
      <c r="O239">
        <v>1</v>
      </c>
      <c r="P239">
        <v>1</v>
      </c>
      <c r="Q239">
        <v>1</v>
      </c>
      <c r="R239">
        <v>1</v>
      </c>
      <c r="S239">
        <v>1</v>
      </c>
      <c r="T239">
        <v>1</v>
      </c>
      <c r="U239">
        <v>1</v>
      </c>
      <c r="V239">
        <v>2</v>
      </c>
      <c r="W239">
        <v>1</v>
      </c>
      <c r="X239">
        <v>2</v>
      </c>
      <c r="Y239">
        <v>1</v>
      </c>
      <c r="Z239">
        <v>2</v>
      </c>
      <c r="AA239">
        <v>1</v>
      </c>
      <c r="AB239">
        <v>1</v>
      </c>
      <c r="AC239">
        <v>1</v>
      </c>
      <c r="AD239">
        <v>1</v>
      </c>
      <c r="AE239">
        <v>1</v>
      </c>
      <c r="AF239">
        <v>1</v>
      </c>
      <c r="AG239">
        <v>1</v>
      </c>
      <c r="AH239">
        <v>1</v>
      </c>
      <c r="AI239">
        <v>1</v>
      </c>
      <c r="AJ239">
        <v>2</v>
      </c>
      <c r="AK239">
        <v>1</v>
      </c>
      <c r="AL239">
        <v>1</v>
      </c>
      <c r="AM239">
        <v>1</v>
      </c>
      <c r="AN239">
        <v>1</v>
      </c>
      <c r="AO239">
        <v>1</v>
      </c>
      <c r="AP239" t="str">
        <f>SUM(B239:AO239)</f>
        <v>0</v>
      </c>
    </row>
    <row r="240" spans="1:43">
      <c r="A240" t="s">
        <v>265</v>
      </c>
      <c r="B240">
        <v>1</v>
      </c>
      <c r="C240">
        <v>2</v>
      </c>
      <c r="D240">
        <v>2</v>
      </c>
      <c r="E240">
        <v>2</v>
      </c>
      <c r="F240">
        <v>1</v>
      </c>
      <c r="G240">
        <v>2</v>
      </c>
      <c r="H240">
        <v>1</v>
      </c>
      <c r="I240">
        <v>1</v>
      </c>
      <c r="J240">
        <v>2</v>
      </c>
      <c r="K240">
        <v>2</v>
      </c>
      <c r="L240">
        <v>1</v>
      </c>
      <c r="M240">
        <v>1</v>
      </c>
      <c r="N240">
        <v>1</v>
      </c>
      <c r="O240">
        <v>1</v>
      </c>
      <c r="P240">
        <v>2</v>
      </c>
      <c r="Q240">
        <v>2</v>
      </c>
      <c r="R240">
        <v>2</v>
      </c>
      <c r="S240">
        <v>2</v>
      </c>
      <c r="T240">
        <v>2</v>
      </c>
      <c r="U240">
        <v>1</v>
      </c>
      <c r="V240">
        <v>2</v>
      </c>
      <c r="W240">
        <v>2</v>
      </c>
      <c r="X240">
        <v>2</v>
      </c>
      <c r="Y240">
        <v>2</v>
      </c>
      <c r="Z240">
        <v>1</v>
      </c>
      <c r="AA240">
        <v>1</v>
      </c>
      <c r="AB240">
        <v>1</v>
      </c>
      <c r="AC240">
        <v>1</v>
      </c>
      <c r="AD240">
        <v>1</v>
      </c>
      <c r="AE240">
        <v>1</v>
      </c>
      <c r="AF240">
        <v>1</v>
      </c>
      <c r="AG240">
        <v>2</v>
      </c>
      <c r="AH240">
        <v>2</v>
      </c>
      <c r="AI240">
        <v>1</v>
      </c>
      <c r="AJ240">
        <v>1</v>
      </c>
      <c r="AK240">
        <v>2</v>
      </c>
      <c r="AL240">
        <v>2</v>
      </c>
      <c r="AM240">
        <v>1</v>
      </c>
      <c r="AN240">
        <v>1</v>
      </c>
      <c r="AO240">
        <v>1</v>
      </c>
      <c r="AP240" t="str">
        <f>SUM(B240:AO240)</f>
        <v>0</v>
      </c>
    </row>
    <row r="241" spans="1:43">
      <c r="A241" t="s">
        <v>266</v>
      </c>
      <c r="B241">
        <v>1</v>
      </c>
      <c r="C241">
        <v>1</v>
      </c>
      <c r="D241">
        <v>1</v>
      </c>
      <c r="E241">
        <v>1</v>
      </c>
      <c r="F241">
        <v>2</v>
      </c>
      <c r="G241">
        <v>2</v>
      </c>
      <c r="H241">
        <v>2</v>
      </c>
      <c r="I241">
        <v>2</v>
      </c>
      <c r="J241">
        <v>2</v>
      </c>
      <c r="K241">
        <v>2</v>
      </c>
      <c r="L241">
        <v>1</v>
      </c>
      <c r="M241">
        <v>1</v>
      </c>
      <c r="N241">
        <v>1</v>
      </c>
      <c r="O241">
        <v>1</v>
      </c>
      <c r="P241">
        <v>2</v>
      </c>
      <c r="Q241">
        <v>2</v>
      </c>
      <c r="R241">
        <v>2</v>
      </c>
      <c r="S241">
        <v>1</v>
      </c>
      <c r="T241">
        <v>1</v>
      </c>
      <c r="U241">
        <v>1</v>
      </c>
      <c r="V241">
        <v>1</v>
      </c>
      <c r="W241">
        <v>2</v>
      </c>
      <c r="X241">
        <v>1</v>
      </c>
      <c r="Y241">
        <v>1</v>
      </c>
      <c r="Z241">
        <v>1</v>
      </c>
      <c r="AA241">
        <v>2</v>
      </c>
      <c r="AB241">
        <v>1</v>
      </c>
      <c r="AC241">
        <v>1</v>
      </c>
      <c r="AD241">
        <v>1</v>
      </c>
      <c r="AE241">
        <v>2</v>
      </c>
      <c r="AF241">
        <v>1</v>
      </c>
      <c r="AG241">
        <v>1</v>
      </c>
      <c r="AH241">
        <v>2</v>
      </c>
      <c r="AI241">
        <v>1</v>
      </c>
      <c r="AJ241">
        <v>2</v>
      </c>
      <c r="AK241">
        <v>2</v>
      </c>
      <c r="AL241">
        <v>1</v>
      </c>
      <c r="AM241">
        <v>1</v>
      </c>
      <c r="AN241">
        <v>2</v>
      </c>
      <c r="AO241">
        <v>2</v>
      </c>
      <c r="AP241" t="str">
        <f>SUM(B241:AO241)</f>
        <v>0</v>
      </c>
    </row>
    <row r="242" spans="1:43">
      <c r="A242" t="s">
        <v>267</v>
      </c>
      <c r="B242">
        <v>1</v>
      </c>
      <c r="C242">
        <v>2</v>
      </c>
      <c r="D242">
        <v>1</v>
      </c>
      <c r="E242">
        <v>2</v>
      </c>
      <c r="F242">
        <v>2</v>
      </c>
      <c r="G242">
        <v>2</v>
      </c>
      <c r="H242">
        <v>2</v>
      </c>
      <c r="I242">
        <v>2</v>
      </c>
      <c r="J242">
        <v>1</v>
      </c>
      <c r="K242">
        <v>2</v>
      </c>
      <c r="L242">
        <v>2</v>
      </c>
      <c r="M242">
        <v>2</v>
      </c>
      <c r="N242">
        <v>2</v>
      </c>
      <c r="O242">
        <v>2</v>
      </c>
      <c r="P242">
        <v>2</v>
      </c>
      <c r="Q242">
        <v>2</v>
      </c>
      <c r="R242">
        <v>2</v>
      </c>
      <c r="S242">
        <v>2</v>
      </c>
      <c r="T242">
        <v>2</v>
      </c>
      <c r="U242">
        <v>2</v>
      </c>
      <c r="V242">
        <v>2</v>
      </c>
      <c r="W242">
        <v>2</v>
      </c>
      <c r="X242">
        <v>2</v>
      </c>
      <c r="Y242">
        <v>1</v>
      </c>
      <c r="Z242">
        <v>2</v>
      </c>
      <c r="AA242">
        <v>1</v>
      </c>
      <c r="AB242">
        <v>1</v>
      </c>
      <c r="AC242">
        <v>2</v>
      </c>
      <c r="AD242">
        <v>2</v>
      </c>
      <c r="AE242">
        <v>2</v>
      </c>
      <c r="AF242">
        <v>2</v>
      </c>
      <c r="AG242">
        <v>2</v>
      </c>
      <c r="AH242">
        <v>2</v>
      </c>
      <c r="AI242">
        <v>2</v>
      </c>
      <c r="AJ242">
        <v>2</v>
      </c>
      <c r="AK242">
        <v>2</v>
      </c>
      <c r="AL242">
        <v>2</v>
      </c>
      <c r="AM242">
        <v>2</v>
      </c>
      <c r="AN242">
        <v>2</v>
      </c>
      <c r="AO242">
        <v>2</v>
      </c>
      <c r="AP242" t="str">
        <f>SUM(B242:AO242)</f>
        <v>0</v>
      </c>
    </row>
    <row r="243" spans="1:43">
      <c r="A243" t="s">
        <v>268</v>
      </c>
      <c r="B243">
        <v>1</v>
      </c>
      <c r="C243">
        <v>1</v>
      </c>
      <c r="D243">
        <v>2</v>
      </c>
      <c r="E243">
        <v>2</v>
      </c>
      <c r="F243">
        <v>1</v>
      </c>
      <c r="G243">
        <v>2</v>
      </c>
      <c r="H243">
        <v>1</v>
      </c>
      <c r="I243">
        <v>1</v>
      </c>
      <c r="J243">
        <v>2</v>
      </c>
      <c r="K243">
        <v>2</v>
      </c>
      <c r="L243">
        <v>2</v>
      </c>
      <c r="M243">
        <v>2</v>
      </c>
      <c r="N243">
        <v>2</v>
      </c>
      <c r="O243">
        <v>1</v>
      </c>
      <c r="P243">
        <v>2</v>
      </c>
      <c r="Q243">
        <v>2</v>
      </c>
      <c r="R243">
        <v>1</v>
      </c>
      <c r="S243">
        <v>2</v>
      </c>
      <c r="T243">
        <v>2</v>
      </c>
      <c r="U243">
        <v>2</v>
      </c>
      <c r="V243">
        <v>1</v>
      </c>
      <c r="W243">
        <v>2</v>
      </c>
      <c r="X243">
        <v>2</v>
      </c>
      <c r="Y243">
        <v>1</v>
      </c>
      <c r="Z243">
        <v>1</v>
      </c>
      <c r="AA243">
        <v>1</v>
      </c>
      <c r="AB243">
        <v>1</v>
      </c>
      <c r="AC243">
        <v>2</v>
      </c>
      <c r="AD243">
        <v>2</v>
      </c>
      <c r="AE243">
        <v>1</v>
      </c>
      <c r="AF243">
        <v>1</v>
      </c>
      <c r="AG243">
        <v>2</v>
      </c>
      <c r="AH243">
        <v>2</v>
      </c>
      <c r="AI243">
        <v>2</v>
      </c>
      <c r="AJ243">
        <v>1</v>
      </c>
      <c r="AK243">
        <v>2</v>
      </c>
      <c r="AL243">
        <v>2</v>
      </c>
      <c r="AM243">
        <v>1</v>
      </c>
      <c r="AN243">
        <v>1</v>
      </c>
      <c r="AO243">
        <v>2</v>
      </c>
      <c r="AP243" t="str">
        <f>SUM(B243:AO243)</f>
        <v>0</v>
      </c>
    </row>
    <row r="244" spans="1:43">
      <c r="A244" t="s">
        <v>269</v>
      </c>
      <c r="B244">
        <v>1</v>
      </c>
      <c r="C244">
        <v>2</v>
      </c>
      <c r="D244">
        <v>2</v>
      </c>
      <c r="E244">
        <v>1</v>
      </c>
      <c r="F244">
        <v>1</v>
      </c>
      <c r="G244">
        <v>1</v>
      </c>
      <c r="H244">
        <v>1</v>
      </c>
      <c r="I244">
        <v>1</v>
      </c>
      <c r="J244">
        <v>1</v>
      </c>
      <c r="K244">
        <v>1</v>
      </c>
      <c r="L244">
        <v>1</v>
      </c>
      <c r="M244">
        <v>1</v>
      </c>
      <c r="N244">
        <v>1</v>
      </c>
      <c r="O244">
        <v>1</v>
      </c>
      <c r="P244">
        <v>1</v>
      </c>
      <c r="Q244">
        <v>1</v>
      </c>
      <c r="R244">
        <v>2</v>
      </c>
      <c r="S244">
        <v>1</v>
      </c>
      <c r="T244">
        <v>1</v>
      </c>
      <c r="U244">
        <v>1</v>
      </c>
      <c r="V244">
        <v>1</v>
      </c>
      <c r="W244">
        <v>1</v>
      </c>
      <c r="X244">
        <v>2</v>
      </c>
      <c r="Y244">
        <v>1</v>
      </c>
      <c r="Z244">
        <v>1</v>
      </c>
      <c r="AA244">
        <v>1</v>
      </c>
      <c r="AB244">
        <v>1</v>
      </c>
      <c r="AC244">
        <v>1</v>
      </c>
      <c r="AD244">
        <v>1</v>
      </c>
      <c r="AE244">
        <v>1</v>
      </c>
      <c r="AF244">
        <v>1</v>
      </c>
      <c r="AG244">
        <v>1</v>
      </c>
      <c r="AH244">
        <v>1</v>
      </c>
      <c r="AI244">
        <v>1</v>
      </c>
      <c r="AJ244">
        <v>1</v>
      </c>
      <c r="AK244">
        <v>1</v>
      </c>
      <c r="AL244">
        <v>1</v>
      </c>
      <c r="AM244">
        <v>1</v>
      </c>
      <c r="AN244">
        <v>1</v>
      </c>
      <c r="AO244">
        <v>1</v>
      </c>
      <c r="AP244" t="str">
        <f>SUM(B244:AO244)</f>
        <v>0</v>
      </c>
    </row>
    <row r="245" spans="1:43">
      <c r="A245" t="s">
        <v>270</v>
      </c>
      <c r="B245">
        <v>1</v>
      </c>
      <c r="C245">
        <v>1</v>
      </c>
      <c r="D245">
        <v>1</v>
      </c>
      <c r="E245">
        <v>1</v>
      </c>
      <c r="F245">
        <v>1</v>
      </c>
      <c r="G245">
        <v>1</v>
      </c>
      <c r="H245">
        <v>1</v>
      </c>
      <c r="I245">
        <v>1</v>
      </c>
      <c r="J245">
        <v>1</v>
      </c>
      <c r="K245">
        <v>2</v>
      </c>
      <c r="L245">
        <v>1</v>
      </c>
      <c r="M245">
        <v>1</v>
      </c>
      <c r="N245">
        <v>1</v>
      </c>
      <c r="O245">
        <v>1</v>
      </c>
      <c r="P245">
        <v>1</v>
      </c>
      <c r="Q245">
        <v>1</v>
      </c>
      <c r="R245">
        <v>1</v>
      </c>
      <c r="S245">
        <v>1</v>
      </c>
      <c r="T245">
        <v>1</v>
      </c>
      <c r="U245">
        <v>1</v>
      </c>
      <c r="V245">
        <v>1</v>
      </c>
      <c r="W245">
        <v>1</v>
      </c>
      <c r="X245">
        <v>2</v>
      </c>
      <c r="Y245">
        <v>1</v>
      </c>
      <c r="Z245">
        <v>1</v>
      </c>
      <c r="AA245">
        <v>1</v>
      </c>
      <c r="AB245">
        <v>1</v>
      </c>
      <c r="AC245">
        <v>1</v>
      </c>
      <c r="AD245">
        <v>1</v>
      </c>
      <c r="AE245">
        <v>2</v>
      </c>
      <c r="AF245">
        <v>1</v>
      </c>
      <c r="AG245">
        <v>1</v>
      </c>
      <c r="AH245">
        <v>1</v>
      </c>
      <c r="AI245">
        <v>1</v>
      </c>
      <c r="AJ245">
        <v>1</v>
      </c>
      <c r="AK245">
        <v>1</v>
      </c>
      <c r="AL245">
        <v>1</v>
      </c>
      <c r="AM245">
        <v>1</v>
      </c>
      <c r="AN245">
        <v>1</v>
      </c>
      <c r="AO245">
        <v>2</v>
      </c>
      <c r="AP245" t="str">
        <f>SUM(B245:AO245)</f>
        <v>0</v>
      </c>
    </row>
    <row r="246" spans="1:43">
      <c r="A246" t="s">
        <v>271</v>
      </c>
      <c r="B246">
        <v>2</v>
      </c>
      <c r="C246">
        <v>2</v>
      </c>
      <c r="D246">
        <v>2</v>
      </c>
      <c r="E246">
        <v>2</v>
      </c>
      <c r="F246">
        <v>2</v>
      </c>
      <c r="G246">
        <v>1</v>
      </c>
      <c r="H246">
        <v>2</v>
      </c>
      <c r="I246">
        <v>2</v>
      </c>
      <c r="J246">
        <v>1</v>
      </c>
      <c r="K246">
        <v>2</v>
      </c>
      <c r="L246">
        <v>1</v>
      </c>
      <c r="M246">
        <v>2</v>
      </c>
      <c r="N246">
        <v>2</v>
      </c>
      <c r="O246">
        <v>2</v>
      </c>
      <c r="P246">
        <v>2</v>
      </c>
      <c r="Q246">
        <v>1</v>
      </c>
      <c r="R246">
        <v>1</v>
      </c>
      <c r="S246">
        <v>1</v>
      </c>
      <c r="T246">
        <v>2</v>
      </c>
      <c r="U246">
        <v>2</v>
      </c>
      <c r="V246">
        <v>2</v>
      </c>
      <c r="W246">
        <v>2</v>
      </c>
      <c r="X246">
        <v>2</v>
      </c>
      <c r="Y246">
        <v>2</v>
      </c>
      <c r="Z246">
        <v>2</v>
      </c>
      <c r="AA246">
        <v>2</v>
      </c>
      <c r="AB246">
        <v>1</v>
      </c>
      <c r="AC246">
        <v>2</v>
      </c>
      <c r="AD246">
        <v>2</v>
      </c>
      <c r="AE246">
        <v>2</v>
      </c>
      <c r="AF246">
        <v>2</v>
      </c>
      <c r="AG246">
        <v>1</v>
      </c>
      <c r="AH246">
        <v>2</v>
      </c>
      <c r="AI246">
        <v>2</v>
      </c>
      <c r="AJ246">
        <v>2</v>
      </c>
      <c r="AK246">
        <v>1</v>
      </c>
      <c r="AL246">
        <v>2</v>
      </c>
      <c r="AM246">
        <v>2</v>
      </c>
      <c r="AN246">
        <v>1</v>
      </c>
      <c r="AO246">
        <v>2</v>
      </c>
      <c r="AP246" t="str">
        <f>SUM(B246:AO246)</f>
        <v>0</v>
      </c>
    </row>
    <row r="247" spans="1:43">
      <c r="A247" t="s">
        <v>272</v>
      </c>
      <c r="B247">
        <v>2</v>
      </c>
      <c r="C247">
        <v>2</v>
      </c>
      <c r="D247">
        <v>2</v>
      </c>
      <c r="E247">
        <v>2</v>
      </c>
      <c r="F247">
        <v>2</v>
      </c>
      <c r="G247">
        <v>2</v>
      </c>
      <c r="H247">
        <v>1</v>
      </c>
      <c r="I247">
        <v>2</v>
      </c>
      <c r="J247">
        <v>1</v>
      </c>
      <c r="K247">
        <v>1</v>
      </c>
      <c r="L247">
        <v>2</v>
      </c>
      <c r="M247">
        <v>2</v>
      </c>
      <c r="N247">
        <v>2</v>
      </c>
      <c r="O247">
        <v>2</v>
      </c>
      <c r="P247">
        <v>2</v>
      </c>
      <c r="Q247">
        <v>2</v>
      </c>
      <c r="R247">
        <v>2</v>
      </c>
      <c r="S247">
        <v>2</v>
      </c>
      <c r="T247">
        <v>2</v>
      </c>
      <c r="U247">
        <v>2</v>
      </c>
      <c r="V247">
        <v>2</v>
      </c>
      <c r="W247">
        <v>2</v>
      </c>
      <c r="X247">
        <v>2</v>
      </c>
      <c r="Y247">
        <v>2</v>
      </c>
      <c r="Z247">
        <v>1</v>
      </c>
      <c r="AA247">
        <v>2</v>
      </c>
      <c r="AB247">
        <v>2</v>
      </c>
      <c r="AC247">
        <v>2</v>
      </c>
      <c r="AD247">
        <v>2</v>
      </c>
      <c r="AE247">
        <v>1</v>
      </c>
      <c r="AF247">
        <v>2</v>
      </c>
      <c r="AG247">
        <v>2</v>
      </c>
      <c r="AH247">
        <v>2</v>
      </c>
      <c r="AI247">
        <v>2</v>
      </c>
      <c r="AJ247">
        <v>2</v>
      </c>
      <c r="AK247">
        <v>1</v>
      </c>
      <c r="AL247">
        <v>3</v>
      </c>
      <c r="AM247">
        <v>2</v>
      </c>
      <c r="AN247">
        <v>3</v>
      </c>
      <c r="AO247">
        <v>2</v>
      </c>
      <c r="AP247" t="str">
        <f>SUM(B247:AO247)</f>
        <v>0</v>
      </c>
    </row>
    <row r="248" spans="1:43">
      <c r="A248" t="s">
        <v>273</v>
      </c>
      <c r="B248">
        <v>2</v>
      </c>
      <c r="C248">
        <v>1</v>
      </c>
      <c r="D248">
        <v>1</v>
      </c>
      <c r="E248">
        <v>2</v>
      </c>
      <c r="F248">
        <v>2</v>
      </c>
      <c r="G248">
        <v>2</v>
      </c>
      <c r="H248">
        <v>2</v>
      </c>
      <c r="I248">
        <v>1</v>
      </c>
      <c r="J248">
        <v>1</v>
      </c>
      <c r="K248">
        <v>1</v>
      </c>
      <c r="L248">
        <v>2</v>
      </c>
      <c r="M248">
        <v>2</v>
      </c>
      <c r="N248">
        <v>2</v>
      </c>
      <c r="O248">
        <v>2</v>
      </c>
      <c r="P248">
        <v>2</v>
      </c>
      <c r="Q248">
        <v>1</v>
      </c>
      <c r="R248">
        <v>2</v>
      </c>
      <c r="S248">
        <v>1</v>
      </c>
      <c r="T248">
        <v>2</v>
      </c>
      <c r="U248">
        <v>1</v>
      </c>
      <c r="V248">
        <v>2</v>
      </c>
      <c r="W248">
        <v>2</v>
      </c>
      <c r="X248">
        <v>2</v>
      </c>
      <c r="Y248">
        <v>1</v>
      </c>
      <c r="Z248">
        <v>2</v>
      </c>
      <c r="AA248">
        <v>1</v>
      </c>
      <c r="AB248">
        <v>2</v>
      </c>
      <c r="AC248">
        <v>2</v>
      </c>
      <c r="AD248">
        <v>1</v>
      </c>
      <c r="AE248">
        <v>1</v>
      </c>
      <c r="AF248">
        <v>2</v>
      </c>
      <c r="AG248">
        <v>2</v>
      </c>
      <c r="AH248">
        <v>2</v>
      </c>
      <c r="AI248">
        <v>2</v>
      </c>
      <c r="AJ248">
        <v>1</v>
      </c>
      <c r="AK248">
        <v>1</v>
      </c>
      <c r="AL248">
        <v>2</v>
      </c>
      <c r="AM248">
        <v>1</v>
      </c>
      <c r="AN248">
        <v>1</v>
      </c>
      <c r="AO248">
        <v>2</v>
      </c>
      <c r="AP248" t="str">
        <f>SUM(B248:AO248)</f>
        <v>0</v>
      </c>
    </row>
    <row r="249" spans="1:43">
      <c r="A249" t="s">
        <v>274</v>
      </c>
      <c r="B249">
        <v>1</v>
      </c>
      <c r="C249">
        <v>2</v>
      </c>
      <c r="D249">
        <v>2</v>
      </c>
      <c r="E249">
        <v>2</v>
      </c>
      <c r="F249">
        <v>2</v>
      </c>
      <c r="G249">
        <v>2</v>
      </c>
      <c r="H249">
        <v>2</v>
      </c>
      <c r="I249">
        <v>2</v>
      </c>
      <c r="J249">
        <v>2</v>
      </c>
      <c r="K249">
        <v>2</v>
      </c>
      <c r="L249">
        <v>2</v>
      </c>
      <c r="M249">
        <v>2</v>
      </c>
      <c r="N249">
        <v>2</v>
      </c>
      <c r="O249">
        <v>2</v>
      </c>
      <c r="P249">
        <v>2</v>
      </c>
      <c r="Q249">
        <v>2</v>
      </c>
      <c r="R249">
        <v>2</v>
      </c>
      <c r="S249">
        <v>2</v>
      </c>
      <c r="T249">
        <v>2</v>
      </c>
      <c r="U249">
        <v>2</v>
      </c>
      <c r="V249">
        <v>2</v>
      </c>
      <c r="W249">
        <v>2</v>
      </c>
      <c r="X249">
        <v>1</v>
      </c>
      <c r="Y249">
        <v>2</v>
      </c>
      <c r="Z249">
        <v>2</v>
      </c>
      <c r="AA249">
        <v>2</v>
      </c>
      <c r="AB249">
        <v>2</v>
      </c>
      <c r="AC249">
        <v>2</v>
      </c>
      <c r="AD249">
        <v>2</v>
      </c>
      <c r="AE249">
        <v>2</v>
      </c>
      <c r="AF249">
        <v>2</v>
      </c>
      <c r="AG249">
        <v>1</v>
      </c>
      <c r="AH249">
        <v>2</v>
      </c>
      <c r="AI249">
        <v>1</v>
      </c>
      <c r="AJ249">
        <v>2</v>
      </c>
      <c r="AK249">
        <v>2</v>
      </c>
      <c r="AL249">
        <v>2</v>
      </c>
      <c r="AM249">
        <v>2</v>
      </c>
      <c r="AN249">
        <v>2</v>
      </c>
      <c r="AO249">
        <v>2</v>
      </c>
      <c r="AP249" t="str">
        <f>SUM(B249:AO249)</f>
        <v>0</v>
      </c>
    </row>
    <row r="250" spans="1:43">
      <c r="A250" t="s">
        <v>275</v>
      </c>
      <c r="B250">
        <v>2</v>
      </c>
      <c r="C250">
        <v>2</v>
      </c>
      <c r="D250">
        <v>1</v>
      </c>
      <c r="E250">
        <v>1</v>
      </c>
      <c r="F250">
        <v>2</v>
      </c>
      <c r="G250">
        <v>1</v>
      </c>
      <c r="H250">
        <v>1</v>
      </c>
      <c r="I250">
        <v>2</v>
      </c>
      <c r="J250">
        <v>1</v>
      </c>
      <c r="K250">
        <v>1</v>
      </c>
      <c r="L250">
        <v>1</v>
      </c>
      <c r="M250">
        <v>1</v>
      </c>
      <c r="N250">
        <v>1</v>
      </c>
      <c r="O250">
        <v>1</v>
      </c>
      <c r="P250">
        <v>1</v>
      </c>
      <c r="Q250">
        <v>2</v>
      </c>
      <c r="R250">
        <v>2</v>
      </c>
      <c r="S250">
        <v>1</v>
      </c>
      <c r="T250">
        <v>2</v>
      </c>
      <c r="U250">
        <v>2</v>
      </c>
      <c r="V250">
        <v>2</v>
      </c>
      <c r="W250">
        <v>2</v>
      </c>
      <c r="X250">
        <v>1</v>
      </c>
      <c r="Y250">
        <v>1</v>
      </c>
      <c r="Z250">
        <v>1</v>
      </c>
      <c r="AA250">
        <v>1</v>
      </c>
      <c r="AB250">
        <v>2</v>
      </c>
      <c r="AC250">
        <v>1</v>
      </c>
      <c r="AD250">
        <v>1</v>
      </c>
      <c r="AE250">
        <v>2</v>
      </c>
      <c r="AF250">
        <v>1</v>
      </c>
      <c r="AG250">
        <v>2</v>
      </c>
      <c r="AH250">
        <v>1</v>
      </c>
      <c r="AI250">
        <v>1</v>
      </c>
      <c r="AJ250">
        <v>1</v>
      </c>
      <c r="AK250">
        <v>2</v>
      </c>
      <c r="AL250">
        <v>1</v>
      </c>
      <c r="AM250">
        <v>2</v>
      </c>
      <c r="AN250">
        <v>1</v>
      </c>
      <c r="AO250">
        <v>1</v>
      </c>
      <c r="AP250" t="str">
        <f>SUM(B250:AO250)</f>
        <v>0</v>
      </c>
    </row>
    <row r="251" spans="1:43">
      <c r="A251" t="s">
        <v>276</v>
      </c>
      <c r="B251">
        <v>2</v>
      </c>
      <c r="C251">
        <v>1</v>
      </c>
      <c r="D251">
        <v>1</v>
      </c>
      <c r="E251">
        <v>2</v>
      </c>
      <c r="F251">
        <v>1</v>
      </c>
      <c r="G251">
        <v>2</v>
      </c>
      <c r="H251">
        <v>1</v>
      </c>
      <c r="I251">
        <v>1</v>
      </c>
      <c r="J251">
        <v>2</v>
      </c>
      <c r="K251">
        <v>1</v>
      </c>
      <c r="L251">
        <v>2</v>
      </c>
      <c r="M251">
        <v>1</v>
      </c>
      <c r="N251">
        <v>1</v>
      </c>
      <c r="O251">
        <v>1</v>
      </c>
      <c r="P251">
        <v>1</v>
      </c>
      <c r="Q251">
        <v>1</v>
      </c>
      <c r="R251">
        <v>2</v>
      </c>
      <c r="S251">
        <v>1</v>
      </c>
      <c r="T251">
        <v>1</v>
      </c>
      <c r="U251">
        <v>2</v>
      </c>
      <c r="V251">
        <v>2</v>
      </c>
      <c r="W251">
        <v>2</v>
      </c>
      <c r="X251">
        <v>2</v>
      </c>
      <c r="Y251">
        <v>1</v>
      </c>
      <c r="Z251">
        <v>2</v>
      </c>
      <c r="AA251">
        <v>1</v>
      </c>
      <c r="AB251">
        <v>2</v>
      </c>
      <c r="AC251">
        <v>2</v>
      </c>
      <c r="AD251">
        <v>1</v>
      </c>
      <c r="AE251">
        <v>1</v>
      </c>
      <c r="AF251">
        <v>2</v>
      </c>
      <c r="AG251">
        <v>2</v>
      </c>
      <c r="AH251">
        <v>1</v>
      </c>
      <c r="AI251">
        <v>1</v>
      </c>
      <c r="AJ251">
        <v>2</v>
      </c>
      <c r="AK251">
        <v>2</v>
      </c>
      <c r="AL251">
        <v>1</v>
      </c>
      <c r="AM251">
        <v>2</v>
      </c>
      <c r="AN251">
        <v>2</v>
      </c>
      <c r="AO251">
        <v>1</v>
      </c>
      <c r="AP251" t="str">
        <f>SUM(B251:AO251)</f>
        <v>0</v>
      </c>
    </row>
    <row r="252" spans="1:43">
      <c r="A252" t="s">
        <v>277</v>
      </c>
      <c r="B252">
        <v>1</v>
      </c>
      <c r="C252">
        <v>1</v>
      </c>
      <c r="D252">
        <v>2</v>
      </c>
      <c r="E252">
        <v>2</v>
      </c>
      <c r="F252">
        <v>1</v>
      </c>
      <c r="G252">
        <v>1</v>
      </c>
      <c r="H252">
        <v>1</v>
      </c>
      <c r="I252">
        <v>1</v>
      </c>
      <c r="J252">
        <v>1</v>
      </c>
      <c r="K252">
        <v>1</v>
      </c>
      <c r="L252">
        <v>2</v>
      </c>
      <c r="M252">
        <v>1</v>
      </c>
      <c r="N252">
        <v>2</v>
      </c>
      <c r="O252">
        <v>1</v>
      </c>
      <c r="P252">
        <v>1</v>
      </c>
      <c r="Q252">
        <v>2</v>
      </c>
      <c r="R252">
        <v>1</v>
      </c>
      <c r="S252">
        <v>1</v>
      </c>
      <c r="T252">
        <v>1</v>
      </c>
      <c r="U252">
        <v>1</v>
      </c>
      <c r="V252">
        <v>1</v>
      </c>
      <c r="W252">
        <v>2</v>
      </c>
      <c r="X252">
        <v>2</v>
      </c>
      <c r="Y252">
        <v>1</v>
      </c>
      <c r="Z252">
        <v>1</v>
      </c>
      <c r="AA252">
        <v>2</v>
      </c>
      <c r="AB252">
        <v>1</v>
      </c>
      <c r="AC252">
        <v>1</v>
      </c>
      <c r="AD252">
        <v>2</v>
      </c>
      <c r="AE252">
        <v>2</v>
      </c>
      <c r="AF252">
        <v>1</v>
      </c>
      <c r="AG252">
        <v>2</v>
      </c>
      <c r="AH252">
        <v>1</v>
      </c>
      <c r="AI252">
        <v>2</v>
      </c>
      <c r="AJ252">
        <v>2</v>
      </c>
      <c r="AK252">
        <v>2</v>
      </c>
      <c r="AL252">
        <v>1</v>
      </c>
      <c r="AM252">
        <v>1</v>
      </c>
      <c r="AN252">
        <v>1</v>
      </c>
      <c r="AO252">
        <v>1</v>
      </c>
      <c r="AP252" t="str">
        <f>SUM(B252:AO252)</f>
        <v>0</v>
      </c>
    </row>
    <row r="253" spans="1:43">
      <c r="A253" t="s">
        <v>278</v>
      </c>
      <c r="B253">
        <v>2</v>
      </c>
      <c r="C253">
        <v>2</v>
      </c>
      <c r="D253">
        <v>2</v>
      </c>
      <c r="E253">
        <v>2</v>
      </c>
      <c r="F253">
        <v>2</v>
      </c>
      <c r="G253">
        <v>2</v>
      </c>
      <c r="H253">
        <v>3</v>
      </c>
      <c r="I253">
        <v>2</v>
      </c>
      <c r="J253">
        <v>2</v>
      </c>
      <c r="K253">
        <v>2</v>
      </c>
      <c r="L253">
        <v>2</v>
      </c>
      <c r="M253">
        <v>2</v>
      </c>
      <c r="N253">
        <v>3</v>
      </c>
      <c r="O253">
        <v>2</v>
      </c>
      <c r="P253">
        <v>2</v>
      </c>
      <c r="Q253">
        <v>2</v>
      </c>
      <c r="R253">
        <v>2</v>
      </c>
      <c r="S253">
        <v>3</v>
      </c>
      <c r="T253">
        <v>2</v>
      </c>
      <c r="U253">
        <v>2</v>
      </c>
      <c r="V253">
        <v>2</v>
      </c>
      <c r="W253">
        <v>3</v>
      </c>
      <c r="X253">
        <v>2</v>
      </c>
      <c r="Y253">
        <v>2</v>
      </c>
      <c r="Z253">
        <v>3</v>
      </c>
      <c r="AA253">
        <v>2</v>
      </c>
      <c r="AB253">
        <v>2</v>
      </c>
      <c r="AC253">
        <v>2</v>
      </c>
      <c r="AD253">
        <v>3</v>
      </c>
      <c r="AE253">
        <v>3</v>
      </c>
      <c r="AF253">
        <v>2</v>
      </c>
      <c r="AG253">
        <v>2</v>
      </c>
      <c r="AH253">
        <v>2</v>
      </c>
      <c r="AI253">
        <v>2</v>
      </c>
      <c r="AJ253">
        <v>3</v>
      </c>
      <c r="AK253">
        <v>3</v>
      </c>
      <c r="AL253">
        <v>2</v>
      </c>
      <c r="AM253">
        <v>2</v>
      </c>
      <c r="AN253">
        <v>2</v>
      </c>
      <c r="AO253">
        <v>2</v>
      </c>
      <c r="AP253" t="str">
        <f>SUM(B253:AO253)</f>
        <v>0</v>
      </c>
    </row>
    <row r="254" spans="1:43">
      <c r="A254" t="s">
        <v>279</v>
      </c>
      <c r="B254">
        <v>2</v>
      </c>
      <c r="C254">
        <v>1</v>
      </c>
      <c r="D254">
        <v>1</v>
      </c>
      <c r="E254">
        <v>2</v>
      </c>
      <c r="F254">
        <v>1</v>
      </c>
      <c r="G254">
        <v>2</v>
      </c>
      <c r="H254">
        <v>2</v>
      </c>
      <c r="I254">
        <v>2</v>
      </c>
      <c r="J254">
        <v>2</v>
      </c>
      <c r="K254">
        <v>1</v>
      </c>
      <c r="L254">
        <v>2</v>
      </c>
      <c r="M254">
        <v>2</v>
      </c>
      <c r="N254">
        <v>1</v>
      </c>
      <c r="O254">
        <v>1</v>
      </c>
      <c r="P254">
        <v>2</v>
      </c>
      <c r="Q254">
        <v>2</v>
      </c>
      <c r="R254">
        <v>1</v>
      </c>
      <c r="S254">
        <v>1</v>
      </c>
      <c r="T254">
        <v>1</v>
      </c>
      <c r="U254">
        <v>2</v>
      </c>
      <c r="V254">
        <v>2</v>
      </c>
      <c r="W254">
        <v>1</v>
      </c>
      <c r="X254">
        <v>2</v>
      </c>
      <c r="Y254">
        <v>1</v>
      </c>
      <c r="Z254">
        <v>2</v>
      </c>
      <c r="AA254">
        <v>1</v>
      </c>
      <c r="AB254">
        <v>2</v>
      </c>
      <c r="AC254">
        <v>2</v>
      </c>
      <c r="AD254">
        <v>2</v>
      </c>
      <c r="AE254">
        <v>2</v>
      </c>
      <c r="AF254">
        <v>1</v>
      </c>
      <c r="AG254">
        <v>2</v>
      </c>
      <c r="AH254">
        <v>2</v>
      </c>
      <c r="AI254">
        <v>1</v>
      </c>
      <c r="AJ254">
        <v>2</v>
      </c>
      <c r="AK254">
        <v>1</v>
      </c>
      <c r="AL254">
        <v>2</v>
      </c>
      <c r="AM254">
        <v>2</v>
      </c>
      <c r="AN254">
        <v>2</v>
      </c>
      <c r="AO254">
        <v>2</v>
      </c>
      <c r="AP254" t="str">
        <f>SUM(B254:AO254)</f>
        <v>0</v>
      </c>
    </row>
    <row r="255" spans="1:43">
      <c r="A255" t="s">
        <v>280</v>
      </c>
      <c r="B255">
        <v>3</v>
      </c>
      <c r="C255">
        <v>2</v>
      </c>
      <c r="D255">
        <v>3</v>
      </c>
      <c r="E255">
        <v>2</v>
      </c>
      <c r="F255">
        <v>2</v>
      </c>
      <c r="G255">
        <v>2</v>
      </c>
      <c r="H255">
        <v>3</v>
      </c>
      <c r="I255">
        <v>2</v>
      </c>
      <c r="J255">
        <v>1</v>
      </c>
      <c r="K255">
        <v>3</v>
      </c>
      <c r="L255">
        <v>1</v>
      </c>
      <c r="M255">
        <v>1</v>
      </c>
      <c r="N255">
        <v>2</v>
      </c>
      <c r="O255">
        <v>2</v>
      </c>
      <c r="P255">
        <v>3</v>
      </c>
      <c r="Q255">
        <v>2</v>
      </c>
      <c r="R255">
        <v>2</v>
      </c>
      <c r="S255">
        <v>2</v>
      </c>
      <c r="T255">
        <v>2</v>
      </c>
      <c r="U255">
        <v>2</v>
      </c>
      <c r="V255">
        <v>3</v>
      </c>
      <c r="W255">
        <v>2</v>
      </c>
      <c r="X255">
        <v>2</v>
      </c>
      <c r="Y255">
        <v>2</v>
      </c>
      <c r="Z255">
        <v>2</v>
      </c>
      <c r="AA255">
        <v>2</v>
      </c>
      <c r="AB255">
        <v>2</v>
      </c>
      <c r="AC255">
        <v>2</v>
      </c>
      <c r="AD255">
        <v>2</v>
      </c>
      <c r="AE255">
        <v>2</v>
      </c>
      <c r="AF255">
        <v>1</v>
      </c>
      <c r="AG255">
        <v>2</v>
      </c>
      <c r="AH255">
        <v>2</v>
      </c>
      <c r="AI255">
        <v>1</v>
      </c>
      <c r="AJ255">
        <v>2</v>
      </c>
      <c r="AK255">
        <v>2</v>
      </c>
      <c r="AL255">
        <v>2</v>
      </c>
      <c r="AM255">
        <v>2</v>
      </c>
      <c r="AN255">
        <v>3</v>
      </c>
      <c r="AO255">
        <v>1</v>
      </c>
      <c r="AP255" t="str">
        <f>SUM(B255:AO255)</f>
        <v>0</v>
      </c>
    </row>
    <row r="256" spans="1:43">
      <c r="A256" t="s">
        <v>281</v>
      </c>
      <c r="B256">
        <v>1</v>
      </c>
      <c r="C256">
        <v>1</v>
      </c>
      <c r="D256">
        <v>1</v>
      </c>
      <c r="E256">
        <v>2</v>
      </c>
      <c r="F256">
        <v>2</v>
      </c>
      <c r="G256">
        <v>1</v>
      </c>
      <c r="H256">
        <v>2</v>
      </c>
      <c r="I256">
        <v>2</v>
      </c>
      <c r="J256">
        <v>1</v>
      </c>
      <c r="K256">
        <v>2</v>
      </c>
      <c r="L256">
        <v>2</v>
      </c>
      <c r="M256">
        <v>2</v>
      </c>
      <c r="N256">
        <v>1</v>
      </c>
      <c r="O256">
        <v>2</v>
      </c>
      <c r="P256">
        <v>2</v>
      </c>
      <c r="Q256">
        <v>2</v>
      </c>
      <c r="R256">
        <v>1</v>
      </c>
      <c r="S256">
        <v>2</v>
      </c>
      <c r="T256">
        <v>2</v>
      </c>
      <c r="U256">
        <v>2</v>
      </c>
      <c r="V256">
        <v>2</v>
      </c>
      <c r="W256">
        <v>2</v>
      </c>
      <c r="X256">
        <v>1</v>
      </c>
      <c r="Y256">
        <v>2</v>
      </c>
      <c r="Z256">
        <v>2</v>
      </c>
      <c r="AA256">
        <v>2</v>
      </c>
      <c r="AB256">
        <v>1</v>
      </c>
      <c r="AC256">
        <v>1</v>
      </c>
      <c r="AD256">
        <v>1</v>
      </c>
      <c r="AE256">
        <v>2</v>
      </c>
      <c r="AF256">
        <v>2</v>
      </c>
      <c r="AG256">
        <v>1</v>
      </c>
      <c r="AH256">
        <v>1</v>
      </c>
      <c r="AI256">
        <v>1</v>
      </c>
      <c r="AJ256">
        <v>1</v>
      </c>
      <c r="AK256">
        <v>2</v>
      </c>
      <c r="AL256">
        <v>1</v>
      </c>
      <c r="AM256">
        <v>2</v>
      </c>
      <c r="AN256">
        <v>2</v>
      </c>
      <c r="AO256">
        <v>2</v>
      </c>
      <c r="AP256" t="str">
        <f>SUM(B256:AO256)</f>
        <v>0</v>
      </c>
    </row>
    <row r="257" spans="1:43">
      <c r="A257" t="s">
        <v>282</v>
      </c>
      <c r="B257">
        <v>2</v>
      </c>
      <c r="C257">
        <v>2</v>
      </c>
      <c r="D257">
        <v>2</v>
      </c>
      <c r="E257">
        <v>2</v>
      </c>
      <c r="F257">
        <v>2</v>
      </c>
      <c r="G257">
        <v>2</v>
      </c>
      <c r="H257">
        <v>1</v>
      </c>
      <c r="I257">
        <v>2</v>
      </c>
      <c r="J257">
        <v>2</v>
      </c>
      <c r="K257">
        <v>2</v>
      </c>
      <c r="L257">
        <v>2</v>
      </c>
      <c r="M257">
        <v>2</v>
      </c>
      <c r="N257">
        <v>2</v>
      </c>
      <c r="O257">
        <v>1</v>
      </c>
      <c r="P257">
        <v>1</v>
      </c>
      <c r="Q257">
        <v>2</v>
      </c>
      <c r="R257">
        <v>2</v>
      </c>
      <c r="S257">
        <v>2</v>
      </c>
      <c r="T257">
        <v>2</v>
      </c>
      <c r="U257">
        <v>3</v>
      </c>
      <c r="V257">
        <v>2</v>
      </c>
      <c r="W257">
        <v>2</v>
      </c>
      <c r="X257">
        <v>2</v>
      </c>
      <c r="Y257">
        <v>2</v>
      </c>
      <c r="Z257">
        <v>2</v>
      </c>
      <c r="AA257">
        <v>1</v>
      </c>
      <c r="AB257">
        <v>2</v>
      </c>
      <c r="AC257">
        <v>2</v>
      </c>
      <c r="AD257">
        <v>2</v>
      </c>
      <c r="AE257">
        <v>3</v>
      </c>
      <c r="AF257">
        <v>2</v>
      </c>
      <c r="AG257">
        <v>3</v>
      </c>
      <c r="AH257">
        <v>1</v>
      </c>
      <c r="AI257">
        <v>2</v>
      </c>
      <c r="AJ257">
        <v>2</v>
      </c>
      <c r="AK257">
        <v>2</v>
      </c>
      <c r="AL257">
        <v>2</v>
      </c>
      <c r="AM257">
        <v>2</v>
      </c>
      <c r="AN257">
        <v>2</v>
      </c>
      <c r="AO257">
        <v>2</v>
      </c>
      <c r="AP257" t="str">
        <f>SUM(B257:AO257)</f>
        <v>0</v>
      </c>
    </row>
    <row r="258" spans="1:43">
      <c r="A258" t="s">
        <v>283</v>
      </c>
      <c r="B258">
        <v>2</v>
      </c>
      <c r="C258">
        <v>1</v>
      </c>
      <c r="D258">
        <v>1</v>
      </c>
      <c r="E258">
        <v>1</v>
      </c>
      <c r="F258">
        <v>1</v>
      </c>
      <c r="G258">
        <v>1</v>
      </c>
      <c r="H258">
        <v>1</v>
      </c>
      <c r="I258">
        <v>1</v>
      </c>
      <c r="J258">
        <v>1</v>
      </c>
      <c r="K258">
        <v>1</v>
      </c>
      <c r="L258">
        <v>1</v>
      </c>
      <c r="M258">
        <v>1</v>
      </c>
      <c r="N258">
        <v>1</v>
      </c>
      <c r="O258">
        <v>1</v>
      </c>
      <c r="P258">
        <v>1</v>
      </c>
      <c r="Q258">
        <v>1</v>
      </c>
      <c r="R258">
        <v>2</v>
      </c>
      <c r="S258">
        <v>1</v>
      </c>
      <c r="T258">
        <v>1</v>
      </c>
      <c r="U258">
        <v>1</v>
      </c>
      <c r="V258">
        <v>1</v>
      </c>
      <c r="W258">
        <v>1</v>
      </c>
      <c r="X258">
        <v>1</v>
      </c>
      <c r="Y258">
        <v>1</v>
      </c>
      <c r="Z258">
        <v>1</v>
      </c>
      <c r="AA258">
        <v>1</v>
      </c>
      <c r="AB258">
        <v>1</v>
      </c>
      <c r="AC258">
        <v>1</v>
      </c>
      <c r="AD258">
        <v>1</v>
      </c>
      <c r="AE258">
        <v>1</v>
      </c>
      <c r="AF258">
        <v>1</v>
      </c>
      <c r="AG258">
        <v>2</v>
      </c>
      <c r="AH258">
        <v>1</v>
      </c>
      <c r="AI258">
        <v>1</v>
      </c>
      <c r="AJ258">
        <v>1</v>
      </c>
      <c r="AK258">
        <v>1</v>
      </c>
      <c r="AL258">
        <v>1</v>
      </c>
      <c r="AM258">
        <v>1</v>
      </c>
      <c r="AN258">
        <v>1</v>
      </c>
      <c r="AO258">
        <v>1</v>
      </c>
      <c r="AP258" t="str">
        <f>SUM(B258:AO258)</f>
        <v>0</v>
      </c>
    </row>
    <row r="259" spans="1:43">
      <c r="A259" t="s">
        <v>284</v>
      </c>
      <c r="B259">
        <v>1</v>
      </c>
      <c r="C259">
        <v>2</v>
      </c>
      <c r="D259">
        <v>1</v>
      </c>
      <c r="E259">
        <v>1</v>
      </c>
      <c r="F259">
        <v>1</v>
      </c>
      <c r="G259">
        <v>1</v>
      </c>
      <c r="H259">
        <v>1</v>
      </c>
      <c r="I259">
        <v>1</v>
      </c>
      <c r="J259">
        <v>1</v>
      </c>
      <c r="K259">
        <v>1</v>
      </c>
      <c r="L259">
        <v>1</v>
      </c>
      <c r="M259">
        <v>1</v>
      </c>
      <c r="N259">
        <v>1</v>
      </c>
      <c r="O259">
        <v>1</v>
      </c>
      <c r="P259">
        <v>1</v>
      </c>
      <c r="Q259">
        <v>1</v>
      </c>
      <c r="R259">
        <v>1</v>
      </c>
      <c r="S259">
        <v>1</v>
      </c>
      <c r="T259">
        <v>1</v>
      </c>
      <c r="U259">
        <v>2</v>
      </c>
      <c r="V259">
        <v>1</v>
      </c>
      <c r="W259">
        <v>2</v>
      </c>
      <c r="X259">
        <v>1</v>
      </c>
      <c r="Y259">
        <v>1</v>
      </c>
      <c r="Z259">
        <v>2</v>
      </c>
      <c r="AA259">
        <v>1</v>
      </c>
      <c r="AB259">
        <v>1</v>
      </c>
      <c r="AC259">
        <v>1</v>
      </c>
      <c r="AD259">
        <v>2</v>
      </c>
      <c r="AE259">
        <v>1</v>
      </c>
      <c r="AF259">
        <v>1</v>
      </c>
      <c r="AG259">
        <v>1</v>
      </c>
      <c r="AH259">
        <v>2</v>
      </c>
      <c r="AI259">
        <v>2</v>
      </c>
      <c r="AJ259">
        <v>1</v>
      </c>
      <c r="AK259">
        <v>1</v>
      </c>
      <c r="AL259">
        <v>2</v>
      </c>
      <c r="AM259">
        <v>2</v>
      </c>
      <c r="AN259">
        <v>1</v>
      </c>
      <c r="AO259">
        <v>2</v>
      </c>
      <c r="AP259" t="str">
        <f>SUM(B259:AO259)</f>
        <v>0</v>
      </c>
    </row>
    <row r="260" spans="1:43">
      <c r="A260" t="s">
        <v>285</v>
      </c>
      <c r="B260">
        <v>2</v>
      </c>
      <c r="C260">
        <v>1</v>
      </c>
      <c r="D260">
        <v>2</v>
      </c>
      <c r="E260">
        <v>2</v>
      </c>
      <c r="F260">
        <v>2</v>
      </c>
      <c r="G260">
        <v>2</v>
      </c>
      <c r="H260">
        <v>2</v>
      </c>
      <c r="I260">
        <v>1</v>
      </c>
      <c r="J260">
        <v>2</v>
      </c>
      <c r="K260">
        <v>2</v>
      </c>
      <c r="L260">
        <v>2</v>
      </c>
      <c r="M260">
        <v>2</v>
      </c>
      <c r="N260">
        <v>1</v>
      </c>
      <c r="O260">
        <v>2</v>
      </c>
      <c r="P260">
        <v>2</v>
      </c>
      <c r="Q260">
        <v>1</v>
      </c>
      <c r="R260">
        <v>1</v>
      </c>
      <c r="S260">
        <v>2</v>
      </c>
      <c r="T260">
        <v>1</v>
      </c>
      <c r="U260">
        <v>2</v>
      </c>
      <c r="V260">
        <v>2</v>
      </c>
      <c r="W260">
        <v>2</v>
      </c>
      <c r="X260">
        <v>2</v>
      </c>
      <c r="Y260">
        <v>2</v>
      </c>
      <c r="Z260">
        <v>1</v>
      </c>
      <c r="AA260">
        <v>2</v>
      </c>
      <c r="AB260">
        <v>2</v>
      </c>
      <c r="AC260">
        <v>2</v>
      </c>
      <c r="AD260">
        <v>2</v>
      </c>
      <c r="AE260">
        <v>1</v>
      </c>
      <c r="AF260">
        <v>2</v>
      </c>
      <c r="AG260">
        <v>2</v>
      </c>
      <c r="AH260">
        <v>1</v>
      </c>
      <c r="AI260">
        <v>1</v>
      </c>
      <c r="AJ260">
        <v>2</v>
      </c>
      <c r="AK260">
        <v>2</v>
      </c>
      <c r="AL260">
        <v>1</v>
      </c>
      <c r="AM260">
        <v>2</v>
      </c>
      <c r="AN260">
        <v>2</v>
      </c>
      <c r="AO260">
        <v>2</v>
      </c>
      <c r="AP260" t="str">
        <f>SUM(B260:AO260)</f>
        <v>0</v>
      </c>
    </row>
    <row r="261" spans="1:43">
      <c r="A261" t="s">
        <v>286</v>
      </c>
      <c r="B261">
        <v>1</v>
      </c>
      <c r="C261">
        <v>1</v>
      </c>
      <c r="D261">
        <v>1</v>
      </c>
      <c r="E261">
        <v>2</v>
      </c>
      <c r="F261">
        <v>1</v>
      </c>
      <c r="G261">
        <v>1</v>
      </c>
      <c r="H261">
        <v>2</v>
      </c>
      <c r="I261">
        <v>1</v>
      </c>
      <c r="J261">
        <v>1</v>
      </c>
      <c r="K261">
        <v>2</v>
      </c>
      <c r="L261">
        <v>1</v>
      </c>
      <c r="M261">
        <v>1</v>
      </c>
      <c r="N261">
        <v>2</v>
      </c>
      <c r="O261">
        <v>1</v>
      </c>
      <c r="P261">
        <v>2</v>
      </c>
      <c r="Q261">
        <v>1</v>
      </c>
      <c r="R261">
        <v>1</v>
      </c>
      <c r="S261">
        <v>1</v>
      </c>
      <c r="T261">
        <v>1</v>
      </c>
      <c r="U261">
        <v>1</v>
      </c>
      <c r="V261">
        <v>2</v>
      </c>
      <c r="W261">
        <v>1</v>
      </c>
      <c r="X261">
        <v>1</v>
      </c>
      <c r="Y261">
        <v>1</v>
      </c>
      <c r="Z261">
        <v>1</v>
      </c>
      <c r="AA261">
        <v>1</v>
      </c>
      <c r="AB261">
        <v>1</v>
      </c>
      <c r="AC261">
        <v>1</v>
      </c>
      <c r="AD261">
        <v>1</v>
      </c>
      <c r="AE261">
        <v>2</v>
      </c>
      <c r="AF261">
        <v>1</v>
      </c>
      <c r="AG261">
        <v>1</v>
      </c>
      <c r="AH261">
        <v>1</v>
      </c>
      <c r="AI261">
        <v>2</v>
      </c>
      <c r="AJ261">
        <v>2</v>
      </c>
      <c r="AK261">
        <v>1</v>
      </c>
      <c r="AL261">
        <v>1</v>
      </c>
      <c r="AM261">
        <v>1</v>
      </c>
      <c r="AN261">
        <v>2</v>
      </c>
      <c r="AO261">
        <v>1</v>
      </c>
      <c r="AP261" t="str">
        <f>SUM(B261:AO261)</f>
        <v>0</v>
      </c>
    </row>
    <row r="262" spans="1:43">
      <c r="A262" t="s">
        <v>287</v>
      </c>
      <c r="B262">
        <v>1</v>
      </c>
      <c r="C262">
        <v>1</v>
      </c>
      <c r="D262">
        <v>2</v>
      </c>
      <c r="E262">
        <v>1</v>
      </c>
      <c r="F262">
        <v>1</v>
      </c>
      <c r="G262">
        <v>2</v>
      </c>
      <c r="H262">
        <v>2</v>
      </c>
      <c r="I262">
        <v>1</v>
      </c>
      <c r="J262">
        <v>2</v>
      </c>
      <c r="K262">
        <v>2</v>
      </c>
      <c r="L262">
        <v>1</v>
      </c>
      <c r="M262">
        <v>2</v>
      </c>
      <c r="N262">
        <v>2</v>
      </c>
      <c r="O262">
        <v>1</v>
      </c>
      <c r="P262">
        <v>1</v>
      </c>
      <c r="Q262">
        <v>2</v>
      </c>
      <c r="R262">
        <v>2</v>
      </c>
      <c r="S262">
        <v>2</v>
      </c>
      <c r="T262">
        <v>2</v>
      </c>
      <c r="U262">
        <v>2</v>
      </c>
      <c r="V262">
        <v>2</v>
      </c>
      <c r="W262">
        <v>2</v>
      </c>
      <c r="X262">
        <v>2</v>
      </c>
      <c r="Y262">
        <v>2</v>
      </c>
      <c r="Z262">
        <v>2</v>
      </c>
      <c r="AA262">
        <v>2</v>
      </c>
      <c r="AB262">
        <v>2</v>
      </c>
      <c r="AC262">
        <v>2</v>
      </c>
      <c r="AD262">
        <v>2</v>
      </c>
      <c r="AE262">
        <v>2</v>
      </c>
      <c r="AF262">
        <v>2</v>
      </c>
      <c r="AG262">
        <v>1</v>
      </c>
      <c r="AH262">
        <v>2</v>
      </c>
      <c r="AI262">
        <v>1</v>
      </c>
      <c r="AJ262">
        <v>2</v>
      </c>
      <c r="AK262">
        <v>1</v>
      </c>
      <c r="AL262">
        <v>1</v>
      </c>
      <c r="AM262">
        <v>1</v>
      </c>
      <c r="AN262">
        <v>2</v>
      </c>
      <c r="AO262">
        <v>1</v>
      </c>
      <c r="AP262" t="str">
        <f>SUM(B262:AO262)</f>
        <v>0</v>
      </c>
    </row>
    <row r="263" spans="1:43">
      <c r="A263" t="s">
        <v>288</v>
      </c>
      <c r="B263">
        <v>1</v>
      </c>
      <c r="C263">
        <v>1</v>
      </c>
      <c r="D263">
        <v>1</v>
      </c>
      <c r="E263">
        <v>1</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c r="AD263">
        <v>1</v>
      </c>
      <c r="AE263">
        <v>1</v>
      </c>
      <c r="AF263">
        <v>1</v>
      </c>
      <c r="AG263">
        <v>1</v>
      </c>
      <c r="AH263">
        <v>1</v>
      </c>
      <c r="AI263">
        <v>1</v>
      </c>
      <c r="AJ263">
        <v>1</v>
      </c>
      <c r="AK263">
        <v>1</v>
      </c>
      <c r="AL263">
        <v>1</v>
      </c>
      <c r="AM263">
        <v>1</v>
      </c>
      <c r="AN263">
        <v>1</v>
      </c>
      <c r="AO263">
        <v>1</v>
      </c>
      <c r="AP263" t="str">
        <f>SUM(B263:AO263)</f>
        <v>0</v>
      </c>
    </row>
    <row r="264" spans="1:43">
      <c r="A264" t="s">
        <v>289</v>
      </c>
      <c r="B264">
        <v>1</v>
      </c>
      <c r="C264">
        <v>2</v>
      </c>
      <c r="D264">
        <v>2</v>
      </c>
      <c r="E264">
        <v>1</v>
      </c>
      <c r="F264">
        <v>2</v>
      </c>
      <c r="G264">
        <v>1</v>
      </c>
      <c r="H264">
        <v>1</v>
      </c>
      <c r="I264">
        <v>1</v>
      </c>
      <c r="J264">
        <v>1</v>
      </c>
      <c r="K264">
        <v>2</v>
      </c>
      <c r="L264">
        <v>2</v>
      </c>
      <c r="M264">
        <v>1</v>
      </c>
      <c r="N264">
        <v>2</v>
      </c>
      <c r="O264">
        <v>1</v>
      </c>
      <c r="P264">
        <v>1</v>
      </c>
      <c r="Q264">
        <v>1</v>
      </c>
      <c r="R264">
        <v>1</v>
      </c>
      <c r="S264">
        <v>1</v>
      </c>
      <c r="T264">
        <v>1</v>
      </c>
      <c r="U264">
        <v>2</v>
      </c>
      <c r="V264">
        <v>1</v>
      </c>
      <c r="W264">
        <v>1</v>
      </c>
      <c r="X264">
        <v>1</v>
      </c>
      <c r="Y264">
        <v>1</v>
      </c>
      <c r="Z264">
        <v>1</v>
      </c>
      <c r="AA264">
        <v>2</v>
      </c>
      <c r="AB264">
        <v>2</v>
      </c>
      <c r="AC264">
        <v>1</v>
      </c>
      <c r="AD264">
        <v>1</v>
      </c>
      <c r="AE264">
        <v>2</v>
      </c>
      <c r="AF264">
        <v>1</v>
      </c>
      <c r="AG264">
        <v>1</v>
      </c>
      <c r="AH264">
        <v>1</v>
      </c>
      <c r="AI264">
        <v>2</v>
      </c>
      <c r="AJ264">
        <v>2</v>
      </c>
      <c r="AK264">
        <v>2</v>
      </c>
      <c r="AL264">
        <v>1</v>
      </c>
      <c r="AM264">
        <v>1</v>
      </c>
      <c r="AN264">
        <v>1</v>
      </c>
      <c r="AO264">
        <v>2</v>
      </c>
      <c r="AP264" t="str">
        <f>SUM(B264:AO264)</f>
        <v>0</v>
      </c>
    </row>
    <row r="265" spans="1:43">
      <c r="A265" t="s">
        <v>290</v>
      </c>
      <c r="B265">
        <v>2</v>
      </c>
      <c r="C265">
        <v>2</v>
      </c>
      <c r="D265">
        <v>2</v>
      </c>
      <c r="E265">
        <v>2</v>
      </c>
      <c r="F265">
        <v>2</v>
      </c>
      <c r="G265">
        <v>2</v>
      </c>
      <c r="H265">
        <v>2</v>
      </c>
      <c r="I265">
        <v>2</v>
      </c>
      <c r="J265">
        <v>2</v>
      </c>
      <c r="K265">
        <v>2</v>
      </c>
      <c r="L265">
        <v>2</v>
      </c>
      <c r="M265">
        <v>2</v>
      </c>
      <c r="N265">
        <v>2</v>
      </c>
      <c r="O265">
        <v>2</v>
      </c>
      <c r="P265">
        <v>2</v>
      </c>
      <c r="Q265">
        <v>2</v>
      </c>
      <c r="R265">
        <v>2</v>
      </c>
      <c r="S265">
        <v>2</v>
      </c>
      <c r="T265">
        <v>2</v>
      </c>
      <c r="U265">
        <v>2</v>
      </c>
      <c r="V265">
        <v>2</v>
      </c>
      <c r="W265">
        <v>2</v>
      </c>
      <c r="X265">
        <v>2</v>
      </c>
      <c r="Y265">
        <v>2</v>
      </c>
      <c r="Z265">
        <v>2</v>
      </c>
      <c r="AA265">
        <v>2</v>
      </c>
      <c r="AB265">
        <v>2</v>
      </c>
      <c r="AC265">
        <v>2</v>
      </c>
      <c r="AD265">
        <v>1</v>
      </c>
      <c r="AE265">
        <v>2</v>
      </c>
      <c r="AF265">
        <v>2</v>
      </c>
      <c r="AG265">
        <v>1</v>
      </c>
      <c r="AH265">
        <v>2</v>
      </c>
      <c r="AI265">
        <v>2</v>
      </c>
      <c r="AJ265">
        <v>2</v>
      </c>
      <c r="AK265">
        <v>2</v>
      </c>
      <c r="AL265">
        <v>2</v>
      </c>
      <c r="AM265">
        <v>2</v>
      </c>
      <c r="AN265">
        <v>2</v>
      </c>
      <c r="AO265">
        <v>1</v>
      </c>
      <c r="AP265" t="str">
        <f>SUM(B265:AO265)</f>
        <v>0</v>
      </c>
    </row>
    <row r="266" spans="1:43">
      <c r="A266" t="s">
        <v>291</v>
      </c>
      <c r="B266">
        <v>1</v>
      </c>
      <c r="C266">
        <v>1</v>
      </c>
      <c r="D266">
        <v>1</v>
      </c>
      <c r="E266">
        <v>1</v>
      </c>
      <c r="F266">
        <v>1</v>
      </c>
      <c r="G266">
        <v>1</v>
      </c>
      <c r="H266">
        <v>1</v>
      </c>
      <c r="I266">
        <v>1</v>
      </c>
      <c r="J266">
        <v>1</v>
      </c>
      <c r="K266">
        <v>1</v>
      </c>
      <c r="L266">
        <v>1</v>
      </c>
      <c r="M266">
        <v>2</v>
      </c>
      <c r="N266">
        <v>1</v>
      </c>
      <c r="O266">
        <v>1</v>
      </c>
      <c r="P266">
        <v>1</v>
      </c>
      <c r="Q266">
        <v>1</v>
      </c>
      <c r="R266">
        <v>1</v>
      </c>
      <c r="S266">
        <v>1</v>
      </c>
      <c r="T266">
        <v>1</v>
      </c>
      <c r="U266">
        <v>1</v>
      </c>
      <c r="V266">
        <v>1</v>
      </c>
      <c r="W266">
        <v>1</v>
      </c>
      <c r="X266">
        <v>1</v>
      </c>
      <c r="Y266">
        <v>1</v>
      </c>
      <c r="Z266">
        <v>1</v>
      </c>
      <c r="AA266">
        <v>1</v>
      </c>
      <c r="AB266">
        <v>1</v>
      </c>
      <c r="AC266">
        <v>1</v>
      </c>
      <c r="AD266">
        <v>1</v>
      </c>
      <c r="AE266">
        <v>1</v>
      </c>
      <c r="AF266">
        <v>1</v>
      </c>
      <c r="AG266">
        <v>1</v>
      </c>
      <c r="AH266">
        <v>1</v>
      </c>
      <c r="AI266">
        <v>1</v>
      </c>
      <c r="AJ266">
        <v>1</v>
      </c>
      <c r="AK266">
        <v>1</v>
      </c>
      <c r="AL266">
        <v>1</v>
      </c>
      <c r="AM266">
        <v>1</v>
      </c>
      <c r="AN266">
        <v>1</v>
      </c>
      <c r="AO266">
        <v>1</v>
      </c>
      <c r="AP266" t="str">
        <f>SUM(B266:AO266)</f>
        <v>0</v>
      </c>
    </row>
    <row r="267" spans="1:43">
      <c r="A267" t="s">
        <v>292</v>
      </c>
      <c r="B267">
        <v>2</v>
      </c>
      <c r="C267">
        <v>2</v>
      </c>
      <c r="D267">
        <v>2</v>
      </c>
      <c r="E267">
        <v>2</v>
      </c>
      <c r="F267">
        <v>2</v>
      </c>
      <c r="G267">
        <v>2</v>
      </c>
      <c r="H267">
        <v>2</v>
      </c>
      <c r="I267">
        <v>2</v>
      </c>
      <c r="J267">
        <v>1</v>
      </c>
      <c r="K267">
        <v>2</v>
      </c>
      <c r="L267">
        <v>2</v>
      </c>
      <c r="M267">
        <v>2</v>
      </c>
      <c r="N267">
        <v>2</v>
      </c>
      <c r="O267">
        <v>2</v>
      </c>
      <c r="P267">
        <v>2</v>
      </c>
      <c r="Q267">
        <v>2</v>
      </c>
      <c r="R267">
        <v>2</v>
      </c>
      <c r="S267">
        <v>2</v>
      </c>
      <c r="T267">
        <v>1</v>
      </c>
      <c r="U267">
        <v>2</v>
      </c>
      <c r="V267">
        <v>2</v>
      </c>
      <c r="W267">
        <v>2</v>
      </c>
      <c r="X267">
        <v>1</v>
      </c>
      <c r="Y267">
        <v>2</v>
      </c>
      <c r="Z267">
        <v>2</v>
      </c>
      <c r="AA267">
        <v>2</v>
      </c>
      <c r="AB267">
        <v>2</v>
      </c>
      <c r="AC267">
        <v>2</v>
      </c>
      <c r="AD267">
        <v>1</v>
      </c>
      <c r="AE267">
        <v>2</v>
      </c>
      <c r="AF267">
        <v>2</v>
      </c>
      <c r="AG267">
        <v>2</v>
      </c>
      <c r="AH267">
        <v>2</v>
      </c>
      <c r="AI267">
        <v>2</v>
      </c>
      <c r="AJ267">
        <v>2</v>
      </c>
      <c r="AK267">
        <v>2</v>
      </c>
      <c r="AL267">
        <v>1</v>
      </c>
      <c r="AM267">
        <v>1</v>
      </c>
      <c r="AN267">
        <v>2</v>
      </c>
      <c r="AO267">
        <v>2</v>
      </c>
      <c r="AP267" t="str">
        <f>SUM(B267:AO267)</f>
        <v>0</v>
      </c>
    </row>
    <row r="268" spans="1:43">
      <c r="A268" t="s">
        <v>293</v>
      </c>
      <c r="B268">
        <v>2</v>
      </c>
      <c r="C268">
        <v>2</v>
      </c>
      <c r="D268">
        <v>2</v>
      </c>
      <c r="E268">
        <v>2</v>
      </c>
      <c r="F268">
        <v>1</v>
      </c>
      <c r="G268">
        <v>2</v>
      </c>
      <c r="H268">
        <v>1</v>
      </c>
      <c r="I268">
        <v>1</v>
      </c>
      <c r="J268">
        <v>2</v>
      </c>
      <c r="K268">
        <v>2</v>
      </c>
      <c r="L268">
        <v>1</v>
      </c>
      <c r="M268">
        <v>1</v>
      </c>
      <c r="N268">
        <v>2</v>
      </c>
      <c r="O268">
        <v>1</v>
      </c>
      <c r="P268">
        <v>2</v>
      </c>
      <c r="Q268">
        <v>2</v>
      </c>
      <c r="R268">
        <v>2</v>
      </c>
      <c r="S268">
        <v>1</v>
      </c>
      <c r="T268">
        <v>2</v>
      </c>
      <c r="U268">
        <v>1</v>
      </c>
      <c r="V268">
        <v>2</v>
      </c>
      <c r="W268">
        <v>2</v>
      </c>
      <c r="X268">
        <v>1</v>
      </c>
      <c r="Y268">
        <v>1</v>
      </c>
      <c r="Z268">
        <v>2</v>
      </c>
      <c r="AA268">
        <v>2</v>
      </c>
      <c r="AB268">
        <v>2</v>
      </c>
      <c r="AC268">
        <v>2</v>
      </c>
      <c r="AD268">
        <v>2</v>
      </c>
      <c r="AE268">
        <v>1</v>
      </c>
      <c r="AF268">
        <v>1</v>
      </c>
      <c r="AG268">
        <v>2</v>
      </c>
      <c r="AH268">
        <v>1</v>
      </c>
      <c r="AI268">
        <v>1</v>
      </c>
      <c r="AJ268">
        <v>2</v>
      </c>
      <c r="AK268">
        <v>2</v>
      </c>
      <c r="AL268">
        <v>1</v>
      </c>
      <c r="AM268">
        <v>2</v>
      </c>
      <c r="AN268">
        <v>1</v>
      </c>
      <c r="AO268">
        <v>1</v>
      </c>
      <c r="AP268" t="str">
        <f>SUM(B268:AO268)</f>
        <v>0</v>
      </c>
    </row>
    <row r="269" spans="1:43">
      <c r="A269" t="s">
        <v>294</v>
      </c>
      <c r="B269">
        <v>1</v>
      </c>
      <c r="C269">
        <v>1</v>
      </c>
      <c r="D269">
        <v>1</v>
      </c>
      <c r="E269">
        <v>2</v>
      </c>
      <c r="F269">
        <v>2</v>
      </c>
      <c r="G269">
        <v>2</v>
      </c>
      <c r="H269">
        <v>1</v>
      </c>
      <c r="I269">
        <v>1</v>
      </c>
      <c r="J269">
        <v>2</v>
      </c>
      <c r="K269">
        <v>2</v>
      </c>
      <c r="L269">
        <v>2</v>
      </c>
      <c r="M269">
        <v>2</v>
      </c>
      <c r="N269">
        <v>1</v>
      </c>
      <c r="O269">
        <v>1</v>
      </c>
      <c r="P269">
        <v>2</v>
      </c>
      <c r="Q269">
        <v>1</v>
      </c>
      <c r="R269">
        <v>2</v>
      </c>
      <c r="S269">
        <v>2</v>
      </c>
      <c r="T269">
        <v>1</v>
      </c>
      <c r="U269">
        <v>2</v>
      </c>
      <c r="V269">
        <v>2</v>
      </c>
      <c r="W269">
        <v>2</v>
      </c>
      <c r="X269">
        <v>2</v>
      </c>
      <c r="Y269">
        <v>2</v>
      </c>
      <c r="Z269">
        <v>2</v>
      </c>
      <c r="AA269">
        <v>2</v>
      </c>
      <c r="AB269">
        <v>2</v>
      </c>
      <c r="AC269">
        <v>2</v>
      </c>
      <c r="AD269">
        <v>2</v>
      </c>
      <c r="AE269">
        <v>2</v>
      </c>
      <c r="AF269">
        <v>1</v>
      </c>
      <c r="AG269">
        <v>2</v>
      </c>
      <c r="AH269">
        <v>1</v>
      </c>
      <c r="AI269">
        <v>1</v>
      </c>
      <c r="AJ269">
        <v>1</v>
      </c>
      <c r="AK269">
        <v>1</v>
      </c>
      <c r="AL269">
        <v>2</v>
      </c>
      <c r="AM269">
        <v>2</v>
      </c>
      <c r="AN269">
        <v>1</v>
      </c>
      <c r="AO269">
        <v>1</v>
      </c>
      <c r="AP269" t="str">
        <f>SUM(B269:AO269)</f>
        <v>0</v>
      </c>
    </row>
    <row r="270" spans="1:43">
      <c r="A270" t="s">
        <v>295</v>
      </c>
      <c r="B270">
        <v>2</v>
      </c>
      <c r="C270">
        <v>3</v>
      </c>
      <c r="D270">
        <v>2</v>
      </c>
      <c r="E270">
        <v>2</v>
      </c>
      <c r="F270">
        <v>2</v>
      </c>
      <c r="G270">
        <v>3</v>
      </c>
      <c r="H270">
        <v>2</v>
      </c>
      <c r="I270">
        <v>2</v>
      </c>
      <c r="J270">
        <v>3</v>
      </c>
      <c r="K270">
        <v>2</v>
      </c>
      <c r="L270">
        <v>2</v>
      </c>
      <c r="M270">
        <v>2</v>
      </c>
      <c r="N270">
        <v>2</v>
      </c>
      <c r="O270">
        <v>2</v>
      </c>
      <c r="P270">
        <v>3</v>
      </c>
      <c r="Q270">
        <v>2</v>
      </c>
      <c r="R270">
        <v>1</v>
      </c>
      <c r="S270">
        <v>2</v>
      </c>
      <c r="T270">
        <v>2</v>
      </c>
      <c r="U270">
        <v>2</v>
      </c>
      <c r="V270">
        <v>3</v>
      </c>
      <c r="W270">
        <v>2</v>
      </c>
      <c r="X270">
        <v>2</v>
      </c>
      <c r="Y270">
        <v>2</v>
      </c>
      <c r="Z270">
        <v>2</v>
      </c>
      <c r="AA270">
        <v>2</v>
      </c>
      <c r="AB270">
        <v>2</v>
      </c>
      <c r="AC270">
        <v>1</v>
      </c>
      <c r="AD270">
        <v>2</v>
      </c>
      <c r="AE270">
        <v>2</v>
      </c>
      <c r="AF270">
        <v>2</v>
      </c>
      <c r="AG270">
        <v>3</v>
      </c>
      <c r="AH270">
        <v>2</v>
      </c>
      <c r="AI270">
        <v>2</v>
      </c>
      <c r="AJ270">
        <v>2</v>
      </c>
      <c r="AK270">
        <v>2</v>
      </c>
      <c r="AL270">
        <v>1</v>
      </c>
      <c r="AM270">
        <v>1</v>
      </c>
      <c r="AN270">
        <v>2</v>
      </c>
      <c r="AO270">
        <v>2</v>
      </c>
      <c r="AP270" t="str">
        <f>SUM(B270:AO270)</f>
        <v>0</v>
      </c>
    </row>
    <row r="271" spans="1:43">
      <c r="A271" t="s">
        <v>296</v>
      </c>
      <c r="B271">
        <v>2</v>
      </c>
      <c r="C271">
        <v>3</v>
      </c>
      <c r="D271">
        <v>2</v>
      </c>
      <c r="E271">
        <v>3</v>
      </c>
      <c r="F271">
        <v>3</v>
      </c>
      <c r="G271">
        <v>2</v>
      </c>
      <c r="H271">
        <v>2</v>
      </c>
      <c r="I271">
        <v>2</v>
      </c>
      <c r="J271">
        <v>2</v>
      </c>
      <c r="K271">
        <v>2</v>
      </c>
      <c r="L271">
        <v>2</v>
      </c>
      <c r="M271">
        <v>2</v>
      </c>
      <c r="N271">
        <v>2</v>
      </c>
      <c r="O271">
        <v>2</v>
      </c>
      <c r="P271">
        <v>2</v>
      </c>
      <c r="Q271">
        <v>2</v>
      </c>
      <c r="R271">
        <v>2</v>
      </c>
      <c r="S271">
        <v>2</v>
      </c>
      <c r="T271">
        <v>3</v>
      </c>
      <c r="U271">
        <v>2</v>
      </c>
      <c r="V271">
        <v>2</v>
      </c>
      <c r="W271">
        <v>2</v>
      </c>
      <c r="X271">
        <v>3</v>
      </c>
      <c r="Y271">
        <v>3</v>
      </c>
      <c r="Z271">
        <v>2</v>
      </c>
      <c r="AA271">
        <v>2</v>
      </c>
      <c r="AB271">
        <v>3</v>
      </c>
      <c r="AC271">
        <v>3</v>
      </c>
      <c r="AD271">
        <v>2</v>
      </c>
      <c r="AE271">
        <v>2</v>
      </c>
      <c r="AF271">
        <v>2</v>
      </c>
      <c r="AG271">
        <v>2</v>
      </c>
      <c r="AH271">
        <v>2</v>
      </c>
      <c r="AI271">
        <v>3</v>
      </c>
      <c r="AJ271">
        <v>2</v>
      </c>
      <c r="AK271">
        <v>2</v>
      </c>
      <c r="AL271">
        <v>2</v>
      </c>
      <c r="AM271">
        <v>2</v>
      </c>
      <c r="AN271">
        <v>2</v>
      </c>
      <c r="AO271">
        <v>3</v>
      </c>
      <c r="AP271" t="str">
        <f>SUM(B271:AO271)</f>
        <v>0</v>
      </c>
    </row>
    <row r="272" spans="1:43">
      <c r="A272" t="s">
        <v>297</v>
      </c>
      <c r="B272">
        <v>1</v>
      </c>
      <c r="C272">
        <v>1</v>
      </c>
      <c r="D272">
        <v>1</v>
      </c>
      <c r="E272">
        <v>1</v>
      </c>
      <c r="F272">
        <v>2</v>
      </c>
      <c r="G272">
        <v>1</v>
      </c>
      <c r="H272">
        <v>1</v>
      </c>
      <c r="I272">
        <v>1</v>
      </c>
      <c r="J272">
        <v>2</v>
      </c>
      <c r="K272">
        <v>1</v>
      </c>
      <c r="L272">
        <v>2</v>
      </c>
      <c r="M272">
        <v>1</v>
      </c>
      <c r="N272">
        <v>2</v>
      </c>
      <c r="O272">
        <v>2</v>
      </c>
      <c r="P272">
        <v>1</v>
      </c>
      <c r="Q272">
        <v>1</v>
      </c>
      <c r="R272">
        <v>1</v>
      </c>
      <c r="S272">
        <v>2</v>
      </c>
      <c r="T272">
        <v>1</v>
      </c>
      <c r="U272">
        <v>1</v>
      </c>
      <c r="V272">
        <v>1</v>
      </c>
      <c r="W272">
        <v>2</v>
      </c>
      <c r="X272">
        <v>1</v>
      </c>
      <c r="Y272">
        <v>1</v>
      </c>
      <c r="Z272">
        <v>1</v>
      </c>
      <c r="AA272">
        <v>2</v>
      </c>
      <c r="AB272">
        <v>2</v>
      </c>
      <c r="AC272">
        <v>1</v>
      </c>
      <c r="AD272">
        <v>1</v>
      </c>
      <c r="AE272">
        <v>1</v>
      </c>
      <c r="AF272">
        <v>1</v>
      </c>
      <c r="AG272">
        <v>2</v>
      </c>
      <c r="AH272">
        <v>2</v>
      </c>
      <c r="AI272">
        <v>2</v>
      </c>
      <c r="AJ272">
        <v>2</v>
      </c>
      <c r="AK272">
        <v>1</v>
      </c>
      <c r="AL272">
        <v>1</v>
      </c>
      <c r="AM272">
        <v>2</v>
      </c>
      <c r="AN272">
        <v>1</v>
      </c>
      <c r="AO272">
        <v>1</v>
      </c>
      <c r="AP272" t="str">
        <f>SUM(B272:AO272)</f>
        <v>0</v>
      </c>
    </row>
    <row r="273" spans="1:43">
      <c r="A273" t="s">
        <v>298</v>
      </c>
      <c r="B273">
        <v>1</v>
      </c>
      <c r="C273">
        <v>1</v>
      </c>
      <c r="D273">
        <v>1</v>
      </c>
      <c r="E273">
        <v>1</v>
      </c>
      <c r="F273">
        <v>1</v>
      </c>
      <c r="G273">
        <v>1</v>
      </c>
      <c r="H273">
        <v>1</v>
      </c>
      <c r="I273">
        <v>1</v>
      </c>
      <c r="J273">
        <v>1</v>
      </c>
      <c r="K273">
        <v>2</v>
      </c>
      <c r="L273">
        <v>1</v>
      </c>
      <c r="M273">
        <v>1</v>
      </c>
      <c r="N273">
        <v>1</v>
      </c>
      <c r="O273">
        <v>2</v>
      </c>
      <c r="P273">
        <v>1</v>
      </c>
      <c r="Q273">
        <v>1</v>
      </c>
      <c r="R273">
        <v>2</v>
      </c>
      <c r="S273">
        <v>1</v>
      </c>
      <c r="T273">
        <v>1</v>
      </c>
      <c r="U273">
        <v>1</v>
      </c>
      <c r="V273">
        <v>1</v>
      </c>
      <c r="W273">
        <v>1</v>
      </c>
      <c r="X273">
        <v>1</v>
      </c>
      <c r="Y273">
        <v>1</v>
      </c>
      <c r="Z273">
        <v>1</v>
      </c>
      <c r="AA273">
        <v>1</v>
      </c>
      <c r="AB273">
        <v>1</v>
      </c>
      <c r="AC273">
        <v>1</v>
      </c>
      <c r="AD273">
        <v>1</v>
      </c>
      <c r="AE273">
        <v>1</v>
      </c>
      <c r="AF273">
        <v>1</v>
      </c>
      <c r="AG273">
        <v>1</v>
      </c>
      <c r="AH273">
        <v>1</v>
      </c>
      <c r="AI273">
        <v>1</v>
      </c>
      <c r="AJ273">
        <v>1</v>
      </c>
      <c r="AK273">
        <v>1</v>
      </c>
      <c r="AL273">
        <v>1</v>
      </c>
      <c r="AM273">
        <v>1</v>
      </c>
      <c r="AN273">
        <v>1</v>
      </c>
      <c r="AO273">
        <v>1</v>
      </c>
      <c r="AP273" t="str">
        <f>SUM(B273:AO273)</f>
        <v>0</v>
      </c>
    </row>
    <row r="274" spans="1:43">
      <c r="A274" t="s">
        <v>299</v>
      </c>
      <c r="B274">
        <v>2</v>
      </c>
      <c r="C274">
        <v>1</v>
      </c>
      <c r="D274">
        <v>2</v>
      </c>
      <c r="E274">
        <v>2</v>
      </c>
      <c r="F274">
        <v>1</v>
      </c>
      <c r="G274">
        <v>2</v>
      </c>
      <c r="H274">
        <v>2</v>
      </c>
      <c r="I274">
        <v>1</v>
      </c>
      <c r="J274">
        <v>1</v>
      </c>
      <c r="K274">
        <v>2</v>
      </c>
      <c r="L274">
        <v>2</v>
      </c>
      <c r="M274">
        <v>2</v>
      </c>
      <c r="N274">
        <v>1</v>
      </c>
      <c r="O274">
        <v>2</v>
      </c>
      <c r="P274">
        <v>2</v>
      </c>
      <c r="Q274">
        <v>1</v>
      </c>
      <c r="R274">
        <v>1</v>
      </c>
      <c r="S274">
        <v>2</v>
      </c>
      <c r="T274">
        <v>1</v>
      </c>
      <c r="U274">
        <v>1</v>
      </c>
      <c r="V274">
        <v>1</v>
      </c>
      <c r="W274">
        <v>2</v>
      </c>
      <c r="X274">
        <v>2</v>
      </c>
      <c r="Y274">
        <v>1</v>
      </c>
      <c r="Z274">
        <v>2</v>
      </c>
      <c r="AA274">
        <v>1</v>
      </c>
      <c r="AB274">
        <v>2</v>
      </c>
      <c r="AC274">
        <v>2</v>
      </c>
      <c r="AD274">
        <v>1</v>
      </c>
      <c r="AE274">
        <v>1</v>
      </c>
      <c r="AF274">
        <v>1</v>
      </c>
      <c r="AG274">
        <v>2</v>
      </c>
      <c r="AH274">
        <v>2</v>
      </c>
      <c r="AI274">
        <v>1</v>
      </c>
      <c r="AJ274">
        <v>2</v>
      </c>
      <c r="AK274">
        <v>1</v>
      </c>
      <c r="AL274">
        <v>1</v>
      </c>
      <c r="AM274">
        <v>1</v>
      </c>
      <c r="AN274">
        <v>1</v>
      </c>
      <c r="AO274">
        <v>2</v>
      </c>
      <c r="AP274" t="str">
        <f>SUM(B274:AO274)</f>
        <v>0</v>
      </c>
    </row>
    <row r="275" spans="1:43">
      <c r="A275" t="s">
        <v>300</v>
      </c>
      <c r="B275">
        <v>2</v>
      </c>
      <c r="C275">
        <v>1</v>
      </c>
      <c r="D275">
        <v>2</v>
      </c>
      <c r="E275">
        <v>2</v>
      </c>
      <c r="F275">
        <v>2</v>
      </c>
      <c r="G275">
        <v>1</v>
      </c>
      <c r="H275">
        <v>1</v>
      </c>
      <c r="I275">
        <v>1</v>
      </c>
      <c r="J275">
        <v>2</v>
      </c>
      <c r="K275">
        <v>1</v>
      </c>
      <c r="L275">
        <v>1</v>
      </c>
      <c r="M275">
        <v>1</v>
      </c>
      <c r="N275">
        <v>2</v>
      </c>
      <c r="O275">
        <v>2</v>
      </c>
      <c r="P275">
        <v>1</v>
      </c>
      <c r="Q275">
        <v>2</v>
      </c>
      <c r="R275">
        <v>1</v>
      </c>
      <c r="S275">
        <v>1</v>
      </c>
      <c r="T275">
        <v>1</v>
      </c>
      <c r="U275">
        <v>1</v>
      </c>
      <c r="V275">
        <v>1</v>
      </c>
      <c r="W275">
        <v>1</v>
      </c>
      <c r="X275">
        <v>1</v>
      </c>
      <c r="Y275">
        <v>1</v>
      </c>
      <c r="Z275">
        <v>1</v>
      </c>
      <c r="AA275">
        <v>1</v>
      </c>
      <c r="AB275">
        <v>2</v>
      </c>
      <c r="AC275">
        <v>1</v>
      </c>
      <c r="AD275">
        <v>2</v>
      </c>
      <c r="AE275">
        <v>1</v>
      </c>
      <c r="AF275">
        <v>1</v>
      </c>
      <c r="AG275">
        <v>1</v>
      </c>
      <c r="AH275">
        <v>1</v>
      </c>
      <c r="AI275">
        <v>1</v>
      </c>
      <c r="AJ275">
        <v>2</v>
      </c>
      <c r="AK275">
        <v>1</v>
      </c>
      <c r="AL275">
        <v>1</v>
      </c>
      <c r="AM275">
        <v>2</v>
      </c>
      <c r="AN275">
        <v>1</v>
      </c>
      <c r="AO275">
        <v>1</v>
      </c>
      <c r="AP275" t="str">
        <f>SUM(B275:AO275)</f>
        <v>0</v>
      </c>
    </row>
    <row r="276" spans="1:43">
      <c r="A276" t="s">
        <v>301</v>
      </c>
      <c r="B276">
        <v>1</v>
      </c>
      <c r="C276">
        <v>1</v>
      </c>
      <c r="D276">
        <v>1</v>
      </c>
      <c r="E276">
        <v>1</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c r="AO276">
        <v>1</v>
      </c>
      <c r="AP276" t="str">
        <f>SUM(B276:AO276)</f>
        <v>0</v>
      </c>
    </row>
    <row r="277" spans="1:43">
      <c r="A277" t="s">
        <v>302</v>
      </c>
      <c r="B277">
        <v>1</v>
      </c>
      <c r="C277">
        <v>2</v>
      </c>
      <c r="D277">
        <v>1</v>
      </c>
      <c r="E277">
        <v>2</v>
      </c>
      <c r="F277">
        <v>2</v>
      </c>
      <c r="G277">
        <v>2</v>
      </c>
      <c r="H277">
        <v>2</v>
      </c>
      <c r="I277">
        <v>2</v>
      </c>
      <c r="J277">
        <v>2</v>
      </c>
      <c r="K277">
        <v>2</v>
      </c>
      <c r="L277">
        <v>2</v>
      </c>
      <c r="M277">
        <v>2</v>
      </c>
      <c r="N277">
        <v>2</v>
      </c>
      <c r="O277">
        <v>2</v>
      </c>
      <c r="P277">
        <v>2</v>
      </c>
      <c r="Q277">
        <v>1</v>
      </c>
      <c r="R277">
        <v>2</v>
      </c>
      <c r="S277">
        <v>2</v>
      </c>
      <c r="T277">
        <v>2</v>
      </c>
      <c r="U277">
        <v>2</v>
      </c>
      <c r="V277">
        <v>2</v>
      </c>
      <c r="W277">
        <v>2</v>
      </c>
      <c r="X277">
        <v>1</v>
      </c>
      <c r="Y277">
        <v>2</v>
      </c>
      <c r="Z277">
        <v>2</v>
      </c>
      <c r="AA277">
        <v>1</v>
      </c>
      <c r="AB277">
        <v>1</v>
      </c>
      <c r="AC277">
        <v>2</v>
      </c>
      <c r="AD277">
        <v>1</v>
      </c>
      <c r="AE277">
        <v>2</v>
      </c>
      <c r="AF277">
        <v>2</v>
      </c>
      <c r="AG277">
        <v>2</v>
      </c>
      <c r="AH277">
        <v>2</v>
      </c>
      <c r="AI277">
        <v>2</v>
      </c>
      <c r="AJ277">
        <v>2</v>
      </c>
      <c r="AK277">
        <v>1</v>
      </c>
      <c r="AL277">
        <v>2</v>
      </c>
      <c r="AM277">
        <v>2</v>
      </c>
      <c r="AN277">
        <v>2</v>
      </c>
      <c r="AO277">
        <v>2</v>
      </c>
      <c r="AP277" t="str">
        <f>SUM(B277:AO277)</f>
        <v>0</v>
      </c>
    </row>
    <row r="278" spans="1:43">
      <c r="A278" t="s">
        <v>303</v>
      </c>
      <c r="B278">
        <v>2</v>
      </c>
      <c r="C278">
        <v>1</v>
      </c>
      <c r="D278">
        <v>1</v>
      </c>
      <c r="E278">
        <v>1</v>
      </c>
      <c r="F278">
        <v>1</v>
      </c>
      <c r="G278">
        <v>1</v>
      </c>
      <c r="H278">
        <v>1</v>
      </c>
      <c r="I278">
        <v>1</v>
      </c>
      <c r="J278">
        <v>1</v>
      </c>
      <c r="K278">
        <v>1</v>
      </c>
      <c r="L278">
        <v>1</v>
      </c>
      <c r="M278">
        <v>1</v>
      </c>
      <c r="N278">
        <v>1</v>
      </c>
      <c r="O278">
        <v>1</v>
      </c>
      <c r="P278">
        <v>1</v>
      </c>
      <c r="Q278">
        <v>1</v>
      </c>
      <c r="R278">
        <v>1</v>
      </c>
      <c r="S278">
        <v>1</v>
      </c>
      <c r="T278">
        <v>1</v>
      </c>
      <c r="U278">
        <v>1</v>
      </c>
      <c r="V278">
        <v>1</v>
      </c>
      <c r="W278">
        <v>2</v>
      </c>
      <c r="X278">
        <v>1</v>
      </c>
      <c r="Y278">
        <v>1</v>
      </c>
      <c r="Z278">
        <v>1</v>
      </c>
      <c r="AA278">
        <v>1</v>
      </c>
      <c r="AB278">
        <v>1</v>
      </c>
      <c r="AC278">
        <v>1</v>
      </c>
      <c r="AD278">
        <v>1</v>
      </c>
      <c r="AE278">
        <v>1</v>
      </c>
      <c r="AF278">
        <v>1</v>
      </c>
      <c r="AG278">
        <v>1</v>
      </c>
      <c r="AH278">
        <v>1</v>
      </c>
      <c r="AI278">
        <v>1</v>
      </c>
      <c r="AJ278">
        <v>2</v>
      </c>
      <c r="AK278">
        <v>1</v>
      </c>
      <c r="AL278">
        <v>2</v>
      </c>
      <c r="AM278">
        <v>1</v>
      </c>
      <c r="AN278">
        <v>1</v>
      </c>
      <c r="AO278">
        <v>1</v>
      </c>
      <c r="AP278" t="str">
        <f>SUM(B278:AO278)</f>
        <v>0</v>
      </c>
    </row>
    <row r="279" spans="1:43">
      <c r="A279" t="s">
        <v>304</v>
      </c>
      <c r="B279">
        <v>2</v>
      </c>
      <c r="C279">
        <v>2</v>
      </c>
      <c r="D279">
        <v>1</v>
      </c>
      <c r="E279">
        <v>2</v>
      </c>
      <c r="F279">
        <v>2</v>
      </c>
      <c r="G279">
        <v>2</v>
      </c>
      <c r="H279">
        <v>2</v>
      </c>
      <c r="I279">
        <v>2</v>
      </c>
      <c r="J279">
        <v>2</v>
      </c>
      <c r="K279">
        <v>2</v>
      </c>
      <c r="L279">
        <v>2</v>
      </c>
      <c r="M279">
        <v>1</v>
      </c>
      <c r="N279">
        <v>2</v>
      </c>
      <c r="O279">
        <v>1</v>
      </c>
      <c r="P279">
        <v>1</v>
      </c>
      <c r="Q279">
        <v>2</v>
      </c>
      <c r="R279">
        <v>2</v>
      </c>
      <c r="S279">
        <v>2</v>
      </c>
      <c r="T279">
        <v>2</v>
      </c>
      <c r="U279">
        <v>2</v>
      </c>
      <c r="V279">
        <v>1</v>
      </c>
      <c r="W279">
        <v>2</v>
      </c>
      <c r="X279">
        <v>2</v>
      </c>
      <c r="Y279">
        <v>1</v>
      </c>
      <c r="Z279">
        <v>1</v>
      </c>
      <c r="AA279">
        <v>2</v>
      </c>
      <c r="AB279">
        <v>2</v>
      </c>
      <c r="AC279">
        <v>2</v>
      </c>
      <c r="AD279">
        <v>1</v>
      </c>
      <c r="AE279">
        <v>2</v>
      </c>
      <c r="AF279">
        <v>2</v>
      </c>
      <c r="AG279">
        <v>2</v>
      </c>
      <c r="AH279">
        <v>2</v>
      </c>
      <c r="AI279">
        <v>1</v>
      </c>
      <c r="AJ279">
        <v>2</v>
      </c>
      <c r="AK279">
        <v>2</v>
      </c>
      <c r="AL279">
        <v>1</v>
      </c>
      <c r="AM279">
        <v>2</v>
      </c>
      <c r="AN279">
        <v>1</v>
      </c>
      <c r="AO279">
        <v>2</v>
      </c>
      <c r="AP279" t="str">
        <f>SUM(B279:AO279)</f>
        <v>0</v>
      </c>
    </row>
    <row r="280" spans="1:43">
      <c r="A280" t="s">
        <v>305</v>
      </c>
      <c r="B280">
        <v>2</v>
      </c>
      <c r="C280">
        <v>2</v>
      </c>
      <c r="D280">
        <v>1</v>
      </c>
      <c r="E280">
        <v>2</v>
      </c>
      <c r="F280">
        <v>2</v>
      </c>
      <c r="G280">
        <v>2</v>
      </c>
      <c r="H280">
        <v>2</v>
      </c>
      <c r="I280">
        <v>2</v>
      </c>
      <c r="J280">
        <v>1</v>
      </c>
      <c r="K280">
        <v>2</v>
      </c>
      <c r="L280">
        <v>2</v>
      </c>
      <c r="M280">
        <v>2</v>
      </c>
      <c r="N280">
        <v>2</v>
      </c>
      <c r="O280">
        <v>2</v>
      </c>
      <c r="P280">
        <v>1</v>
      </c>
      <c r="Q280">
        <v>2</v>
      </c>
      <c r="R280">
        <v>1</v>
      </c>
      <c r="S280">
        <v>1</v>
      </c>
      <c r="T280">
        <v>2</v>
      </c>
      <c r="U280">
        <v>1</v>
      </c>
      <c r="V280">
        <v>2</v>
      </c>
      <c r="W280">
        <v>2</v>
      </c>
      <c r="X280">
        <v>2</v>
      </c>
      <c r="Y280">
        <v>2</v>
      </c>
      <c r="Z280">
        <v>2</v>
      </c>
      <c r="AA280">
        <v>2</v>
      </c>
      <c r="AB280">
        <v>2</v>
      </c>
      <c r="AC280">
        <v>2</v>
      </c>
      <c r="AD280">
        <v>1</v>
      </c>
      <c r="AE280">
        <v>2</v>
      </c>
      <c r="AF280">
        <v>2</v>
      </c>
      <c r="AG280">
        <v>2</v>
      </c>
      <c r="AH280">
        <v>1</v>
      </c>
      <c r="AI280">
        <v>2</v>
      </c>
      <c r="AJ280">
        <v>2</v>
      </c>
      <c r="AK280">
        <v>2</v>
      </c>
      <c r="AL280">
        <v>2</v>
      </c>
      <c r="AM280">
        <v>1</v>
      </c>
      <c r="AN280">
        <v>2</v>
      </c>
      <c r="AO280">
        <v>2</v>
      </c>
      <c r="AP280" t="str">
        <f>SUM(B280:AO280)</f>
        <v>0</v>
      </c>
    </row>
    <row r="281" spans="1:43">
      <c r="A281" t="s">
        <v>306</v>
      </c>
      <c r="B281">
        <v>1</v>
      </c>
      <c r="C281">
        <v>1</v>
      </c>
      <c r="D281">
        <v>1</v>
      </c>
      <c r="E281">
        <v>1</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t="str">
        <f>SUM(B281:AO281)</f>
        <v>0</v>
      </c>
    </row>
    <row r="282" spans="1:43">
      <c r="A282" t="s">
        <v>307</v>
      </c>
      <c r="B282">
        <v>1</v>
      </c>
      <c r="C282">
        <v>1</v>
      </c>
      <c r="D282">
        <v>1</v>
      </c>
      <c r="E282">
        <v>1</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c r="AD282">
        <v>1</v>
      </c>
      <c r="AE282">
        <v>1</v>
      </c>
      <c r="AF282">
        <v>1</v>
      </c>
      <c r="AG282">
        <v>1</v>
      </c>
      <c r="AH282">
        <v>1</v>
      </c>
      <c r="AI282">
        <v>1</v>
      </c>
      <c r="AJ282">
        <v>1</v>
      </c>
      <c r="AK282">
        <v>1</v>
      </c>
      <c r="AL282">
        <v>1</v>
      </c>
      <c r="AM282">
        <v>1</v>
      </c>
      <c r="AN282">
        <v>2</v>
      </c>
      <c r="AO282">
        <v>1</v>
      </c>
      <c r="AP282" t="str">
        <f>SUM(B282:AO282)</f>
        <v>0</v>
      </c>
    </row>
    <row r="283" spans="1:43">
      <c r="A283" t="s">
        <v>308</v>
      </c>
      <c r="B283">
        <v>1</v>
      </c>
      <c r="C283">
        <v>2</v>
      </c>
      <c r="D283">
        <v>1</v>
      </c>
      <c r="E283">
        <v>2</v>
      </c>
      <c r="F283">
        <v>2</v>
      </c>
      <c r="G283">
        <v>2</v>
      </c>
      <c r="H283">
        <v>1</v>
      </c>
      <c r="I283">
        <v>2</v>
      </c>
      <c r="J283">
        <v>2</v>
      </c>
      <c r="K283">
        <v>2</v>
      </c>
      <c r="L283">
        <v>2</v>
      </c>
      <c r="M283">
        <v>2</v>
      </c>
      <c r="N283">
        <v>2</v>
      </c>
      <c r="O283">
        <v>2</v>
      </c>
      <c r="P283">
        <v>2</v>
      </c>
      <c r="Q283">
        <v>2</v>
      </c>
      <c r="R283">
        <v>2</v>
      </c>
      <c r="S283">
        <v>1</v>
      </c>
      <c r="T283">
        <v>2</v>
      </c>
      <c r="U283">
        <v>2</v>
      </c>
      <c r="V283">
        <v>2</v>
      </c>
      <c r="W283">
        <v>2</v>
      </c>
      <c r="X283">
        <v>2</v>
      </c>
      <c r="Y283">
        <v>1</v>
      </c>
      <c r="Z283">
        <v>2</v>
      </c>
      <c r="AA283">
        <v>1</v>
      </c>
      <c r="AB283">
        <v>2</v>
      </c>
      <c r="AC283">
        <v>1</v>
      </c>
      <c r="AD283">
        <v>2</v>
      </c>
      <c r="AE283">
        <v>2</v>
      </c>
      <c r="AF283">
        <v>2</v>
      </c>
      <c r="AG283">
        <v>2</v>
      </c>
      <c r="AH283">
        <v>2</v>
      </c>
      <c r="AI283">
        <v>2</v>
      </c>
      <c r="AJ283">
        <v>1</v>
      </c>
      <c r="AK283">
        <v>2</v>
      </c>
      <c r="AL283">
        <v>2</v>
      </c>
      <c r="AM283">
        <v>1</v>
      </c>
      <c r="AN283">
        <v>2</v>
      </c>
      <c r="AO283">
        <v>2</v>
      </c>
      <c r="AP283" t="str">
        <f>SUM(B283:AO283)</f>
        <v>0</v>
      </c>
    </row>
    <row r="284" spans="1:43">
      <c r="A284" t="s">
        <v>309</v>
      </c>
      <c r="B284">
        <v>1</v>
      </c>
      <c r="C284">
        <v>1</v>
      </c>
      <c r="D284">
        <v>1</v>
      </c>
      <c r="E284">
        <v>1</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c r="AD284">
        <v>1</v>
      </c>
      <c r="AE284">
        <v>1</v>
      </c>
      <c r="AF284">
        <v>1</v>
      </c>
      <c r="AG284">
        <v>1</v>
      </c>
      <c r="AH284">
        <v>1</v>
      </c>
      <c r="AI284">
        <v>1</v>
      </c>
      <c r="AJ284">
        <v>1</v>
      </c>
      <c r="AK284">
        <v>1</v>
      </c>
      <c r="AL284">
        <v>1</v>
      </c>
      <c r="AM284">
        <v>1</v>
      </c>
      <c r="AN284">
        <v>1</v>
      </c>
      <c r="AO284">
        <v>1</v>
      </c>
      <c r="AP284" t="str">
        <f>SUM(B284:AO284)</f>
        <v>0</v>
      </c>
    </row>
    <row r="285" spans="1:43">
      <c r="A285" t="s">
        <v>310</v>
      </c>
      <c r="B285">
        <v>1</v>
      </c>
      <c r="C285">
        <v>1</v>
      </c>
      <c r="D285">
        <v>1</v>
      </c>
      <c r="E285">
        <v>1</v>
      </c>
      <c r="F285">
        <v>1</v>
      </c>
      <c r="G285">
        <v>1</v>
      </c>
      <c r="H285">
        <v>1</v>
      </c>
      <c r="I285">
        <v>1</v>
      </c>
      <c r="J285">
        <v>1</v>
      </c>
      <c r="K285">
        <v>1</v>
      </c>
      <c r="L285">
        <v>1</v>
      </c>
      <c r="M285">
        <v>1</v>
      </c>
      <c r="N285">
        <v>1</v>
      </c>
      <c r="O285">
        <v>1</v>
      </c>
      <c r="P285">
        <v>1</v>
      </c>
      <c r="Q285">
        <v>1</v>
      </c>
      <c r="R285">
        <v>1</v>
      </c>
      <c r="S285">
        <v>1</v>
      </c>
      <c r="T285">
        <v>1</v>
      </c>
      <c r="U285">
        <v>1</v>
      </c>
      <c r="V285">
        <v>1</v>
      </c>
      <c r="W285">
        <v>1</v>
      </c>
      <c r="X285">
        <v>1</v>
      </c>
      <c r="Y285">
        <v>1</v>
      </c>
      <c r="Z285">
        <v>1</v>
      </c>
      <c r="AA285">
        <v>1</v>
      </c>
      <c r="AB285">
        <v>1</v>
      </c>
      <c r="AC285">
        <v>1</v>
      </c>
      <c r="AD285">
        <v>1</v>
      </c>
      <c r="AE285">
        <v>1</v>
      </c>
      <c r="AF285">
        <v>1</v>
      </c>
      <c r="AG285">
        <v>1</v>
      </c>
      <c r="AH285">
        <v>1</v>
      </c>
      <c r="AI285">
        <v>1</v>
      </c>
      <c r="AJ285">
        <v>1</v>
      </c>
      <c r="AK285">
        <v>1</v>
      </c>
      <c r="AL285">
        <v>1</v>
      </c>
      <c r="AM285">
        <v>1</v>
      </c>
      <c r="AN285">
        <v>1</v>
      </c>
      <c r="AO285">
        <v>1</v>
      </c>
      <c r="AP285" t="str">
        <f>SUM(B285:AO285)</f>
        <v>0</v>
      </c>
    </row>
    <row r="286" spans="1:43">
      <c r="A286" t="s">
        <v>311</v>
      </c>
      <c r="B286">
        <v>2</v>
      </c>
      <c r="C286">
        <v>2</v>
      </c>
      <c r="D286">
        <v>1</v>
      </c>
      <c r="E286">
        <v>3</v>
      </c>
      <c r="F286">
        <v>2</v>
      </c>
      <c r="G286">
        <v>2</v>
      </c>
      <c r="H286">
        <v>3</v>
      </c>
      <c r="I286">
        <v>1</v>
      </c>
      <c r="J286">
        <v>2</v>
      </c>
      <c r="K286">
        <v>2</v>
      </c>
      <c r="L286">
        <v>2</v>
      </c>
      <c r="M286">
        <v>2</v>
      </c>
      <c r="N286">
        <v>3</v>
      </c>
      <c r="O286">
        <v>2</v>
      </c>
      <c r="P286">
        <v>2</v>
      </c>
      <c r="Q286">
        <v>2</v>
      </c>
      <c r="R286">
        <v>2</v>
      </c>
      <c r="S286">
        <v>1</v>
      </c>
      <c r="T286">
        <v>2</v>
      </c>
      <c r="U286">
        <v>3</v>
      </c>
      <c r="V286">
        <v>2</v>
      </c>
      <c r="W286">
        <v>2</v>
      </c>
      <c r="X286">
        <v>2</v>
      </c>
      <c r="Y286">
        <v>2</v>
      </c>
      <c r="Z286">
        <v>1</v>
      </c>
      <c r="AA286">
        <v>1</v>
      </c>
      <c r="AB286">
        <v>1</v>
      </c>
      <c r="AC286">
        <v>2</v>
      </c>
      <c r="AD286">
        <v>2</v>
      </c>
      <c r="AE286">
        <v>2</v>
      </c>
      <c r="AF286">
        <v>2</v>
      </c>
      <c r="AG286">
        <v>3</v>
      </c>
      <c r="AH286">
        <v>2</v>
      </c>
      <c r="AI286">
        <v>2</v>
      </c>
      <c r="AJ286">
        <v>3</v>
      </c>
      <c r="AK286">
        <v>2</v>
      </c>
      <c r="AL286">
        <v>2</v>
      </c>
      <c r="AM286">
        <v>3</v>
      </c>
      <c r="AN286">
        <v>2</v>
      </c>
      <c r="AO286">
        <v>2</v>
      </c>
      <c r="AP286" t="str">
        <f>SUM(B286:AO286)</f>
        <v>0</v>
      </c>
    </row>
    <row r="287" spans="1:43">
      <c r="A287" t="s">
        <v>312</v>
      </c>
      <c r="B287">
        <v>2</v>
      </c>
      <c r="C287">
        <v>2</v>
      </c>
      <c r="D287">
        <v>2</v>
      </c>
      <c r="E287">
        <v>1</v>
      </c>
      <c r="F287">
        <v>2</v>
      </c>
      <c r="G287">
        <v>3</v>
      </c>
      <c r="H287">
        <v>2</v>
      </c>
      <c r="I287">
        <v>2</v>
      </c>
      <c r="J287">
        <v>2</v>
      </c>
      <c r="K287">
        <v>3</v>
      </c>
      <c r="L287">
        <v>2</v>
      </c>
      <c r="M287">
        <v>2</v>
      </c>
      <c r="N287">
        <v>2</v>
      </c>
      <c r="O287">
        <v>2</v>
      </c>
      <c r="P287">
        <v>3</v>
      </c>
      <c r="Q287">
        <v>2</v>
      </c>
      <c r="R287">
        <v>1</v>
      </c>
      <c r="S287">
        <v>2</v>
      </c>
      <c r="T287">
        <v>2</v>
      </c>
      <c r="U287">
        <v>1</v>
      </c>
      <c r="V287">
        <v>2</v>
      </c>
      <c r="W287">
        <v>2</v>
      </c>
      <c r="X287">
        <v>2</v>
      </c>
      <c r="Y287">
        <v>2</v>
      </c>
      <c r="Z287">
        <v>2</v>
      </c>
      <c r="AA287">
        <v>2</v>
      </c>
      <c r="AB287">
        <v>1</v>
      </c>
      <c r="AC287">
        <v>2</v>
      </c>
      <c r="AD287">
        <v>2</v>
      </c>
      <c r="AE287">
        <v>2</v>
      </c>
      <c r="AF287">
        <v>2</v>
      </c>
      <c r="AG287">
        <v>1</v>
      </c>
      <c r="AH287">
        <v>2</v>
      </c>
      <c r="AI287">
        <v>2</v>
      </c>
      <c r="AJ287">
        <v>1</v>
      </c>
      <c r="AK287">
        <v>2</v>
      </c>
      <c r="AL287">
        <v>2</v>
      </c>
      <c r="AM287">
        <v>3</v>
      </c>
      <c r="AN287">
        <v>2</v>
      </c>
      <c r="AO287">
        <v>2</v>
      </c>
      <c r="AP287" t="str">
        <f>SUM(B287:AO287)</f>
        <v>0</v>
      </c>
    </row>
    <row r="288" spans="1:43">
      <c r="A288" t="s">
        <v>313</v>
      </c>
      <c r="B288">
        <v>2</v>
      </c>
      <c r="C288">
        <v>3</v>
      </c>
      <c r="D288">
        <v>3</v>
      </c>
      <c r="E288">
        <v>2</v>
      </c>
      <c r="F288">
        <v>2</v>
      </c>
      <c r="G288">
        <v>3</v>
      </c>
      <c r="H288">
        <v>3</v>
      </c>
      <c r="I288">
        <v>2</v>
      </c>
      <c r="J288">
        <v>3</v>
      </c>
      <c r="K288">
        <v>2</v>
      </c>
      <c r="L288">
        <v>3</v>
      </c>
      <c r="M288">
        <v>3</v>
      </c>
      <c r="N288">
        <v>2</v>
      </c>
      <c r="O288">
        <v>3</v>
      </c>
      <c r="P288">
        <v>2</v>
      </c>
      <c r="Q288">
        <v>2</v>
      </c>
      <c r="R288">
        <v>2</v>
      </c>
      <c r="S288">
        <v>2</v>
      </c>
      <c r="T288">
        <v>2</v>
      </c>
      <c r="U288">
        <v>3</v>
      </c>
      <c r="V288">
        <v>2</v>
      </c>
      <c r="W288">
        <v>2</v>
      </c>
      <c r="X288">
        <v>2</v>
      </c>
      <c r="Y288">
        <v>2</v>
      </c>
      <c r="Z288">
        <v>1</v>
      </c>
      <c r="AA288">
        <v>2</v>
      </c>
      <c r="AB288">
        <v>3</v>
      </c>
      <c r="AC288">
        <v>3</v>
      </c>
      <c r="AD288">
        <v>2</v>
      </c>
      <c r="AE288">
        <v>2</v>
      </c>
      <c r="AF288">
        <v>2</v>
      </c>
      <c r="AG288">
        <v>2</v>
      </c>
      <c r="AH288">
        <v>2</v>
      </c>
      <c r="AI288">
        <v>2</v>
      </c>
      <c r="AJ288">
        <v>2</v>
      </c>
      <c r="AK288">
        <v>2</v>
      </c>
      <c r="AL288">
        <v>2</v>
      </c>
      <c r="AM288">
        <v>2</v>
      </c>
      <c r="AN288">
        <v>2</v>
      </c>
      <c r="AO288">
        <v>2</v>
      </c>
      <c r="AP288" t="str">
        <f>SUM(B288:AO288)</f>
        <v>0</v>
      </c>
    </row>
    <row r="289" spans="1:43">
      <c r="A289" t="s">
        <v>314</v>
      </c>
      <c r="B289">
        <v>2</v>
      </c>
      <c r="C289">
        <v>2</v>
      </c>
      <c r="D289">
        <v>2</v>
      </c>
      <c r="E289">
        <v>2</v>
      </c>
      <c r="F289">
        <v>1</v>
      </c>
      <c r="G289">
        <v>2</v>
      </c>
      <c r="H289">
        <v>2</v>
      </c>
      <c r="I289">
        <v>2</v>
      </c>
      <c r="J289">
        <v>1</v>
      </c>
      <c r="K289">
        <v>2</v>
      </c>
      <c r="L289">
        <v>2</v>
      </c>
      <c r="M289">
        <v>2</v>
      </c>
      <c r="N289">
        <v>1</v>
      </c>
      <c r="O289">
        <v>1</v>
      </c>
      <c r="P289">
        <v>1</v>
      </c>
      <c r="Q289">
        <v>2</v>
      </c>
      <c r="R289">
        <v>2</v>
      </c>
      <c r="S289">
        <v>2</v>
      </c>
      <c r="T289">
        <v>1</v>
      </c>
      <c r="U289">
        <v>2</v>
      </c>
      <c r="V289">
        <v>2</v>
      </c>
      <c r="W289">
        <v>1</v>
      </c>
      <c r="X289">
        <v>1</v>
      </c>
      <c r="Y289">
        <v>2</v>
      </c>
      <c r="Z289">
        <v>2</v>
      </c>
      <c r="AA289">
        <v>2</v>
      </c>
      <c r="AB289">
        <v>1</v>
      </c>
      <c r="AC289">
        <v>2</v>
      </c>
      <c r="AD289">
        <v>1</v>
      </c>
      <c r="AE289">
        <v>2</v>
      </c>
      <c r="AF289">
        <v>2</v>
      </c>
      <c r="AG289">
        <v>2</v>
      </c>
      <c r="AH289">
        <v>2</v>
      </c>
      <c r="AI289">
        <v>2</v>
      </c>
      <c r="AJ289">
        <v>2</v>
      </c>
      <c r="AK289">
        <v>2</v>
      </c>
      <c r="AL289">
        <v>2</v>
      </c>
      <c r="AM289">
        <v>2</v>
      </c>
      <c r="AN289">
        <v>2</v>
      </c>
      <c r="AO289">
        <v>2</v>
      </c>
      <c r="AP289" t="str">
        <f>SUM(B289:AO289)</f>
        <v>0</v>
      </c>
    </row>
    <row r="290" spans="1:43">
      <c r="A290" t="s">
        <v>315</v>
      </c>
      <c r="B290">
        <v>3</v>
      </c>
      <c r="C290">
        <v>2</v>
      </c>
      <c r="D290">
        <v>2</v>
      </c>
      <c r="E290">
        <v>2</v>
      </c>
      <c r="F290">
        <v>3</v>
      </c>
      <c r="G290">
        <v>3</v>
      </c>
      <c r="H290">
        <v>2</v>
      </c>
      <c r="I290">
        <v>2</v>
      </c>
      <c r="J290">
        <v>2</v>
      </c>
      <c r="K290">
        <v>2</v>
      </c>
      <c r="L290">
        <v>2</v>
      </c>
      <c r="M290">
        <v>2</v>
      </c>
      <c r="N290">
        <v>3</v>
      </c>
      <c r="O290">
        <v>2</v>
      </c>
      <c r="P290">
        <v>3</v>
      </c>
      <c r="Q290">
        <v>1</v>
      </c>
      <c r="R290">
        <v>2</v>
      </c>
      <c r="S290">
        <v>2</v>
      </c>
      <c r="T290">
        <v>2</v>
      </c>
      <c r="U290">
        <v>2</v>
      </c>
      <c r="V290">
        <v>2</v>
      </c>
      <c r="W290">
        <v>2</v>
      </c>
      <c r="X290">
        <v>2</v>
      </c>
      <c r="Y290">
        <v>2</v>
      </c>
      <c r="Z290">
        <v>2</v>
      </c>
      <c r="AA290">
        <v>3</v>
      </c>
      <c r="AB290">
        <v>2</v>
      </c>
      <c r="AC290">
        <v>2</v>
      </c>
      <c r="AD290">
        <v>3</v>
      </c>
      <c r="AE290">
        <v>3</v>
      </c>
      <c r="AF290">
        <v>3</v>
      </c>
      <c r="AG290">
        <v>2</v>
      </c>
      <c r="AH290">
        <v>2</v>
      </c>
      <c r="AI290">
        <v>3</v>
      </c>
      <c r="AJ290">
        <v>2</v>
      </c>
      <c r="AK290">
        <v>2</v>
      </c>
      <c r="AL290">
        <v>2</v>
      </c>
      <c r="AM290">
        <v>3</v>
      </c>
      <c r="AN290">
        <v>2</v>
      </c>
      <c r="AO290">
        <v>3</v>
      </c>
      <c r="AP290" t="str">
        <f>SUM(B290:AO290)</f>
        <v>0</v>
      </c>
    </row>
    <row r="291" spans="1:43">
      <c r="A291" t="s">
        <v>316</v>
      </c>
      <c r="B291">
        <v>1</v>
      </c>
      <c r="C291">
        <v>1</v>
      </c>
      <c r="D291">
        <v>1</v>
      </c>
      <c r="E291">
        <v>2</v>
      </c>
      <c r="F291">
        <v>2</v>
      </c>
      <c r="G291">
        <v>2</v>
      </c>
      <c r="H291">
        <v>1</v>
      </c>
      <c r="I291">
        <v>2</v>
      </c>
      <c r="J291">
        <v>2</v>
      </c>
      <c r="K291">
        <v>2</v>
      </c>
      <c r="L291">
        <v>2</v>
      </c>
      <c r="M291">
        <v>2</v>
      </c>
      <c r="N291">
        <v>1</v>
      </c>
      <c r="O291">
        <v>2</v>
      </c>
      <c r="P291">
        <v>1</v>
      </c>
      <c r="Q291">
        <v>2</v>
      </c>
      <c r="R291">
        <v>2</v>
      </c>
      <c r="S291">
        <v>1</v>
      </c>
      <c r="T291">
        <v>2</v>
      </c>
      <c r="U291">
        <v>1</v>
      </c>
      <c r="V291">
        <v>2</v>
      </c>
      <c r="W291">
        <v>2</v>
      </c>
      <c r="X291">
        <v>2</v>
      </c>
      <c r="Y291">
        <v>2</v>
      </c>
      <c r="Z291">
        <v>2</v>
      </c>
      <c r="AA291">
        <v>2</v>
      </c>
      <c r="AB291">
        <v>2</v>
      </c>
      <c r="AC291">
        <v>2</v>
      </c>
      <c r="AD291">
        <v>1</v>
      </c>
      <c r="AE291">
        <v>2</v>
      </c>
      <c r="AF291">
        <v>2</v>
      </c>
      <c r="AG291">
        <v>2</v>
      </c>
      <c r="AH291">
        <v>2</v>
      </c>
      <c r="AI291">
        <v>2</v>
      </c>
      <c r="AJ291">
        <v>2</v>
      </c>
      <c r="AK291">
        <v>2</v>
      </c>
      <c r="AL291">
        <v>2</v>
      </c>
      <c r="AM291">
        <v>1</v>
      </c>
      <c r="AN291">
        <v>1</v>
      </c>
      <c r="AO291">
        <v>2</v>
      </c>
      <c r="AP291" t="str">
        <f>SUM(B291:AO291)</f>
        <v>0</v>
      </c>
    </row>
    <row r="292" spans="1:43">
      <c r="A292" t="s">
        <v>317</v>
      </c>
      <c r="B292">
        <v>2</v>
      </c>
      <c r="C292">
        <v>2</v>
      </c>
      <c r="D292">
        <v>2</v>
      </c>
      <c r="E292">
        <v>2</v>
      </c>
      <c r="F292">
        <v>2</v>
      </c>
      <c r="G292">
        <v>2</v>
      </c>
      <c r="H292">
        <v>2</v>
      </c>
      <c r="I292">
        <v>1</v>
      </c>
      <c r="J292">
        <v>2</v>
      </c>
      <c r="K292">
        <v>2</v>
      </c>
      <c r="L292">
        <v>2</v>
      </c>
      <c r="M292">
        <v>2</v>
      </c>
      <c r="N292">
        <v>1</v>
      </c>
      <c r="O292">
        <v>2</v>
      </c>
      <c r="P292">
        <v>2</v>
      </c>
      <c r="Q292">
        <v>1</v>
      </c>
      <c r="R292">
        <v>1</v>
      </c>
      <c r="S292">
        <v>2</v>
      </c>
      <c r="T292">
        <v>2</v>
      </c>
      <c r="U292">
        <v>2</v>
      </c>
      <c r="V292">
        <v>1</v>
      </c>
      <c r="W292">
        <v>2</v>
      </c>
      <c r="X292">
        <v>2</v>
      </c>
      <c r="Y292">
        <v>2</v>
      </c>
      <c r="Z292">
        <v>2</v>
      </c>
      <c r="AA292">
        <v>2</v>
      </c>
      <c r="AB292">
        <v>2</v>
      </c>
      <c r="AC292">
        <v>1</v>
      </c>
      <c r="AD292">
        <v>2</v>
      </c>
      <c r="AE292">
        <v>1</v>
      </c>
      <c r="AF292">
        <v>2</v>
      </c>
      <c r="AG292">
        <v>1</v>
      </c>
      <c r="AH292">
        <v>2</v>
      </c>
      <c r="AI292">
        <v>1</v>
      </c>
      <c r="AJ292">
        <v>2</v>
      </c>
      <c r="AK292">
        <v>1</v>
      </c>
      <c r="AL292">
        <v>2</v>
      </c>
      <c r="AM292">
        <v>2</v>
      </c>
      <c r="AN292">
        <v>2</v>
      </c>
      <c r="AO292">
        <v>2</v>
      </c>
      <c r="AP292" t="str">
        <f>SUM(B292:AO292)</f>
        <v>0</v>
      </c>
    </row>
    <row r="293" spans="1:43">
      <c r="A293" t="s">
        <v>318</v>
      </c>
      <c r="B293">
        <v>1</v>
      </c>
      <c r="C293">
        <v>1</v>
      </c>
      <c r="D293">
        <v>2</v>
      </c>
      <c r="E293">
        <v>1</v>
      </c>
      <c r="F293">
        <v>1</v>
      </c>
      <c r="G293">
        <v>1</v>
      </c>
      <c r="H293">
        <v>1</v>
      </c>
      <c r="I293">
        <v>1</v>
      </c>
      <c r="J293">
        <v>2</v>
      </c>
      <c r="K293">
        <v>1</v>
      </c>
      <c r="L293">
        <v>1</v>
      </c>
      <c r="M293">
        <v>1</v>
      </c>
      <c r="N293">
        <v>1</v>
      </c>
      <c r="O293">
        <v>2</v>
      </c>
      <c r="P293">
        <v>2</v>
      </c>
      <c r="Q293">
        <v>1</v>
      </c>
      <c r="R293">
        <v>1</v>
      </c>
      <c r="S293">
        <v>2</v>
      </c>
      <c r="T293">
        <v>1</v>
      </c>
      <c r="U293">
        <v>1</v>
      </c>
      <c r="V293">
        <v>2</v>
      </c>
      <c r="W293">
        <v>1</v>
      </c>
      <c r="X293">
        <v>1</v>
      </c>
      <c r="Y293">
        <v>1</v>
      </c>
      <c r="Z293">
        <v>1</v>
      </c>
      <c r="AA293">
        <v>1</v>
      </c>
      <c r="AB293">
        <v>2</v>
      </c>
      <c r="AC293">
        <v>1</v>
      </c>
      <c r="AD293">
        <v>1</v>
      </c>
      <c r="AE293">
        <v>2</v>
      </c>
      <c r="AF293">
        <v>1</v>
      </c>
      <c r="AG293">
        <v>1</v>
      </c>
      <c r="AH293">
        <v>1</v>
      </c>
      <c r="AI293">
        <v>1</v>
      </c>
      <c r="AJ293">
        <v>1</v>
      </c>
      <c r="AK293">
        <v>1</v>
      </c>
      <c r="AL293">
        <v>1</v>
      </c>
      <c r="AM293">
        <v>1</v>
      </c>
      <c r="AN293">
        <v>1</v>
      </c>
      <c r="AO293">
        <v>2</v>
      </c>
      <c r="AP293" t="str">
        <f>SUM(B293:AO293)</f>
        <v>0</v>
      </c>
    </row>
    <row r="294" spans="1:43">
      <c r="A294" t="s">
        <v>319</v>
      </c>
      <c r="B294">
        <v>1</v>
      </c>
      <c r="C294">
        <v>1</v>
      </c>
      <c r="D294">
        <v>2</v>
      </c>
      <c r="E294">
        <v>1</v>
      </c>
      <c r="F294">
        <v>1</v>
      </c>
      <c r="G294">
        <v>2</v>
      </c>
      <c r="H294">
        <v>1</v>
      </c>
      <c r="I294">
        <v>1</v>
      </c>
      <c r="J294">
        <v>1</v>
      </c>
      <c r="K294">
        <v>2</v>
      </c>
      <c r="L294">
        <v>1</v>
      </c>
      <c r="M294">
        <v>1</v>
      </c>
      <c r="N294">
        <v>1</v>
      </c>
      <c r="O294">
        <v>2</v>
      </c>
      <c r="P294">
        <v>2</v>
      </c>
      <c r="Q294">
        <v>1</v>
      </c>
      <c r="R294">
        <v>2</v>
      </c>
      <c r="S294">
        <v>1</v>
      </c>
      <c r="T294">
        <v>1</v>
      </c>
      <c r="U294">
        <v>2</v>
      </c>
      <c r="V294">
        <v>1</v>
      </c>
      <c r="W294">
        <v>1</v>
      </c>
      <c r="X294">
        <v>2</v>
      </c>
      <c r="Y294">
        <v>1</v>
      </c>
      <c r="Z294">
        <v>1</v>
      </c>
      <c r="AA294">
        <v>1</v>
      </c>
      <c r="AB294">
        <v>1</v>
      </c>
      <c r="AC294">
        <v>1</v>
      </c>
      <c r="AD294">
        <v>2</v>
      </c>
      <c r="AE294">
        <v>1</v>
      </c>
      <c r="AF294">
        <v>1</v>
      </c>
      <c r="AG294">
        <v>1</v>
      </c>
      <c r="AH294">
        <v>1</v>
      </c>
      <c r="AI294">
        <v>1</v>
      </c>
      <c r="AJ294">
        <v>1</v>
      </c>
      <c r="AK294">
        <v>2</v>
      </c>
      <c r="AL294">
        <v>1</v>
      </c>
      <c r="AM294">
        <v>1</v>
      </c>
      <c r="AN294">
        <v>1</v>
      </c>
      <c r="AO294">
        <v>2</v>
      </c>
      <c r="AP294" t="str">
        <f>SUM(B294:AO294)</f>
        <v>0</v>
      </c>
    </row>
    <row r="295" spans="1:43">
      <c r="A295" t="s">
        <v>320</v>
      </c>
      <c r="B295">
        <v>1</v>
      </c>
      <c r="C295">
        <v>1</v>
      </c>
      <c r="D295">
        <v>1</v>
      </c>
      <c r="E295">
        <v>2</v>
      </c>
      <c r="F295">
        <v>1</v>
      </c>
      <c r="G295">
        <v>1</v>
      </c>
      <c r="H295">
        <v>1</v>
      </c>
      <c r="I295">
        <v>1</v>
      </c>
      <c r="J295">
        <v>1</v>
      </c>
      <c r="K295">
        <v>1</v>
      </c>
      <c r="L295">
        <v>1</v>
      </c>
      <c r="M295">
        <v>1</v>
      </c>
      <c r="N295">
        <v>1</v>
      </c>
      <c r="O295">
        <v>1</v>
      </c>
      <c r="P295">
        <v>1</v>
      </c>
      <c r="Q295">
        <v>2</v>
      </c>
      <c r="R295">
        <v>1</v>
      </c>
      <c r="S295">
        <v>1</v>
      </c>
      <c r="T295">
        <v>1</v>
      </c>
      <c r="U295">
        <v>1</v>
      </c>
      <c r="V295">
        <v>1</v>
      </c>
      <c r="W295">
        <v>1</v>
      </c>
      <c r="X295">
        <v>1</v>
      </c>
      <c r="Y295">
        <v>1</v>
      </c>
      <c r="Z295">
        <v>1</v>
      </c>
      <c r="AA295">
        <v>1</v>
      </c>
      <c r="AB295">
        <v>1</v>
      </c>
      <c r="AC295">
        <v>1</v>
      </c>
      <c r="AD295">
        <v>1</v>
      </c>
      <c r="AE295">
        <v>1</v>
      </c>
      <c r="AF295">
        <v>1</v>
      </c>
      <c r="AG295">
        <v>1</v>
      </c>
      <c r="AH295">
        <v>1</v>
      </c>
      <c r="AI295">
        <v>1</v>
      </c>
      <c r="AJ295">
        <v>1</v>
      </c>
      <c r="AK295">
        <v>1</v>
      </c>
      <c r="AL295">
        <v>1</v>
      </c>
      <c r="AM295">
        <v>1</v>
      </c>
      <c r="AN295">
        <v>1</v>
      </c>
      <c r="AO295">
        <v>1</v>
      </c>
      <c r="AP295" t="str">
        <f>SUM(B295:AO295)</f>
        <v>0</v>
      </c>
    </row>
    <row r="296" spans="1:43">
      <c r="A296" t="s">
        <v>321</v>
      </c>
      <c r="B296">
        <v>1</v>
      </c>
      <c r="C296">
        <v>1</v>
      </c>
      <c r="D296">
        <v>1</v>
      </c>
      <c r="E296">
        <v>1</v>
      </c>
      <c r="F296">
        <v>2</v>
      </c>
      <c r="G296">
        <v>2</v>
      </c>
      <c r="H296">
        <v>2</v>
      </c>
      <c r="I296">
        <v>1</v>
      </c>
      <c r="J296">
        <v>1</v>
      </c>
      <c r="K296">
        <v>1</v>
      </c>
      <c r="L296">
        <v>2</v>
      </c>
      <c r="M296">
        <v>1</v>
      </c>
      <c r="N296">
        <v>2</v>
      </c>
      <c r="O296">
        <v>2</v>
      </c>
      <c r="P296">
        <v>1</v>
      </c>
      <c r="Q296">
        <v>1</v>
      </c>
      <c r="R296">
        <v>1</v>
      </c>
      <c r="S296">
        <v>1</v>
      </c>
      <c r="T296">
        <v>2</v>
      </c>
      <c r="U296">
        <v>2</v>
      </c>
      <c r="V296">
        <v>1</v>
      </c>
      <c r="W296">
        <v>1</v>
      </c>
      <c r="X296">
        <v>2</v>
      </c>
      <c r="Y296">
        <v>2</v>
      </c>
      <c r="Z296">
        <v>2</v>
      </c>
      <c r="AA296">
        <v>1</v>
      </c>
      <c r="AB296">
        <v>2</v>
      </c>
      <c r="AC296">
        <v>1</v>
      </c>
      <c r="AD296">
        <v>1</v>
      </c>
      <c r="AE296">
        <v>2</v>
      </c>
      <c r="AF296">
        <v>2</v>
      </c>
      <c r="AG296">
        <v>2</v>
      </c>
      <c r="AH296">
        <v>1</v>
      </c>
      <c r="AI296">
        <v>1</v>
      </c>
      <c r="AJ296">
        <v>1</v>
      </c>
      <c r="AK296">
        <v>1</v>
      </c>
      <c r="AL296">
        <v>2</v>
      </c>
      <c r="AM296">
        <v>1</v>
      </c>
      <c r="AN296">
        <v>2</v>
      </c>
      <c r="AO296">
        <v>1</v>
      </c>
      <c r="AP296" t="str">
        <f>SUM(B296:AO296)</f>
        <v>0</v>
      </c>
    </row>
    <row r="297" spans="1:43">
      <c r="A297" t="s">
        <v>322</v>
      </c>
      <c r="B297">
        <v>1</v>
      </c>
      <c r="C297">
        <v>2</v>
      </c>
      <c r="D297">
        <v>1</v>
      </c>
      <c r="E297">
        <v>2</v>
      </c>
      <c r="F297">
        <v>1</v>
      </c>
      <c r="G297">
        <v>2</v>
      </c>
      <c r="H297">
        <v>1</v>
      </c>
      <c r="I297">
        <v>1</v>
      </c>
      <c r="J297">
        <v>1</v>
      </c>
      <c r="K297">
        <v>1</v>
      </c>
      <c r="L297">
        <v>2</v>
      </c>
      <c r="M297">
        <v>1</v>
      </c>
      <c r="N297">
        <v>1</v>
      </c>
      <c r="O297">
        <v>2</v>
      </c>
      <c r="P297">
        <v>2</v>
      </c>
      <c r="Q297">
        <v>2</v>
      </c>
      <c r="R297">
        <v>1</v>
      </c>
      <c r="S297">
        <v>2</v>
      </c>
      <c r="T297">
        <v>1</v>
      </c>
      <c r="U297">
        <v>2</v>
      </c>
      <c r="V297">
        <v>1</v>
      </c>
      <c r="W297">
        <v>2</v>
      </c>
      <c r="X297">
        <v>1</v>
      </c>
      <c r="Y297">
        <v>2</v>
      </c>
      <c r="Z297">
        <v>2</v>
      </c>
      <c r="AA297">
        <v>2</v>
      </c>
      <c r="AB297">
        <v>2</v>
      </c>
      <c r="AC297">
        <v>2</v>
      </c>
      <c r="AD297">
        <v>2</v>
      </c>
      <c r="AE297">
        <v>2</v>
      </c>
      <c r="AF297">
        <v>2</v>
      </c>
      <c r="AG297">
        <v>1</v>
      </c>
      <c r="AH297">
        <v>2</v>
      </c>
      <c r="AI297">
        <v>2</v>
      </c>
      <c r="AJ297">
        <v>1</v>
      </c>
      <c r="AK297">
        <v>1</v>
      </c>
      <c r="AL297">
        <v>1</v>
      </c>
      <c r="AM297">
        <v>2</v>
      </c>
      <c r="AN297">
        <v>1</v>
      </c>
      <c r="AO297">
        <v>2</v>
      </c>
      <c r="AP297" t="str">
        <f>SUM(B297:AO297)</f>
        <v>0</v>
      </c>
    </row>
    <row r="298" spans="1:43">
      <c r="A298" t="s">
        <v>323</v>
      </c>
      <c r="B298">
        <v>2</v>
      </c>
      <c r="C298">
        <v>2</v>
      </c>
      <c r="D298">
        <v>2</v>
      </c>
      <c r="E298">
        <v>2</v>
      </c>
      <c r="F298">
        <v>2</v>
      </c>
      <c r="G298">
        <v>1</v>
      </c>
      <c r="H298">
        <v>1</v>
      </c>
      <c r="I298">
        <v>2</v>
      </c>
      <c r="J298">
        <v>1</v>
      </c>
      <c r="K298">
        <v>1</v>
      </c>
      <c r="L298">
        <v>1</v>
      </c>
      <c r="M298">
        <v>2</v>
      </c>
      <c r="N298">
        <v>2</v>
      </c>
      <c r="O298">
        <v>2</v>
      </c>
      <c r="P298">
        <v>1</v>
      </c>
      <c r="Q298">
        <v>2</v>
      </c>
      <c r="R298">
        <v>2</v>
      </c>
      <c r="S298">
        <v>1</v>
      </c>
      <c r="T298">
        <v>2</v>
      </c>
      <c r="U298">
        <v>2</v>
      </c>
      <c r="V298">
        <v>1</v>
      </c>
      <c r="W298">
        <v>1</v>
      </c>
      <c r="X298">
        <v>1</v>
      </c>
      <c r="Y298">
        <v>1</v>
      </c>
      <c r="Z298">
        <v>1</v>
      </c>
      <c r="AA298">
        <v>1</v>
      </c>
      <c r="AB298">
        <v>1</v>
      </c>
      <c r="AC298">
        <v>1</v>
      </c>
      <c r="AD298">
        <v>1</v>
      </c>
      <c r="AE298">
        <v>2</v>
      </c>
      <c r="AF298">
        <v>1</v>
      </c>
      <c r="AG298">
        <v>1</v>
      </c>
      <c r="AH298">
        <v>1</v>
      </c>
      <c r="AI298">
        <v>1</v>
      </c>
      <c r="AJ298">
        <v>1</v>
      </c>
      <c r="AK298">
        <v>2</v>
      </c>
      <c r="AL298">
        <v>2</v>
      </c>
      <c r="AM298">
        <v>1</v>
      </c>
      <c r="AN298">
        <v>2</v>
      </c>
      <c r="AO298">
        <v>1</v>
      </c>
      <c r="AP298" t="str">
        <f>SUM(B298:AO298)</f>
        <v>0</v>
      </c>
    </row>
    <row r="299" spans="1:43">
      <c r="A299" t="s">
        <v>324</v>
      </c>
      <c r="B299">
        <v>1</v>
      </c>
      <c r="C299">
        <v>1</v>
      </c>
      <c r="D299">
        <v>1</v>
      </c>
      <c r="E299">
        <v>1</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c r="AD299">
        <v>1</v>
      </c>
      <c r="AE299">
        <v>1</v>
      </c>
      <c r="AF299">
        <v>1</v>
      </c>
      <c r="AG299">
        <v>1</v>
      </c>
      <c r="AH299">
        <v>1</v>
      </c>
      <c r="AI299">
        <v>1</v>
      </c>
      <c r="AJ299">
        <v>1</v>
      </c>
      <c r="AK299">
        <v>1</v>
      </c>
      <c r="AL299">
        <v>1</v>
      </c>
      <c r="AM299">
        <v>1</v>
      </c>
      <c r="AN299">
        <v>1</v>
      </c>
      <c r="AO299">
        <v>1</v>
      </c>
      <c r="AP299" t="str">
        <f>SUM(B299:AO299)</f>
        <v>0</v>
      </c>
    </row>
    <row r="300" spans="1:43">
      <c r="A300" t="s">
        <v>325</v>
      </c>
      <c r="B300">
        <v>3</v>
      </c>
      <c r="C300">
        <v>2</v>
      </c>
      <c r="D300">
        <v>2</v>
      </c>
      <c r="E300">
        <v>2</v>
      </c>
      <c r="F300">
        <v>2</v>
      </c>
      <c r="G300">
        <v>2</v>
      </c>
      <c r="H300">
        <v>2</v>
      </c>
      <c r="I300">
        <v>2</v>
      </c>
      <c r="J300">
        <v>3</v>
      </c>
      <c r="K300">
        <v>2</v>
      </c>
      <c r="L300">
        <v>1</v>
      </c>
      <c r="M300">
        <v>2</v>
      </c>
      <c r="N300">
        <v>2</v>
      </c>
      <c r="O300">
        <v>2</v>
      </c>
      <c r="P300">
        <v>2</v>
      </c>
      <c r="Q300">
        <v>1</v>
      </c>
      <c r="R300">
        <v>1</v>
      </c>
      <c r="S300">
        <v>2</v>
      </c>
      <c r="T300">
        <v>2</v>
      </c>
      <c r="U300">
        <v>2</v>
      </c>
      <c r="V300">
        <v>2</v>
      </c>
      <c r="W300">
        <v>1</v>
      </c>
      <c r="X300">
        <v>3</v>
      </c>
      <c r="Y300">
        <v>2</v>
      </c>
      <c r="Z300">
        <v>2</v>
      </c>
      <c r="AA300">
        <v>2</v>
      </c>
      <c r="AB300">
        <v>2</v>
      </c>
      <c r="AC300">
        <v>2</v>
      </c>
      <c r="AD300">
        <v>2</v>
      </c>
      <c r="AE300">
        <v>2</v>
      </c>
      <c r="AF300">
        <v>2</v>
      </c>
      <c r="AG300">
        <v>2</v>
      </c>
      <c r="AH300">
        <v>2</v>
      </c>
      <c r="AI300">
        <v>1</v>
      </c>
      <c r="AJ300">
        <v>2</v>
      </c>
      <c r="AK300">
        <v>2</v>
      </c>
      <c r="AL300">
        <v>2</v>
      </c>
      <c r="AM300">
        <v>2</v>
      </c>
      <c r="AN300">
        <v>2</v>
      </c>
      <c r="AO300">
        <v>1</v>
      </c>
      <c r="AP300" t="str">
        <f>SUM(B300:AO300)</f>
        <v>0</v>
      </c>
    </row>
    <row r="301" spans="1:43">
      <c r="A301" t="s">
        <v>326</v>
      </c>
      <c r="B301">
        <v>1</v>
      </c>
      <c r="C301">
        <v>1</v>
      </c>
      <c r="D301">
        <v>1</v>
      </c>
      <c r="E301">
        <v>2</v>
      </c>
      <c r="F301">
        <v>1</v>
      </c>
      <c r="G301">
        <v>1</v>
      </c>
      <c r="H301">
        <v>2</v>
      </c>
      <c r="I301">
        <v>1</v>
      </c>
      <c r="J301">
        <v>1</v>
      </c>
      <c r="K301">
        <v>1</v>
      </c>
      <c r="L301">
        <v>1</v>
      </c>
      <c r="M301">
        <v>2</v>
      </c>
      <c r="N301">
        <v>1</v>
      </c>
      <c r="O301">
        <v>1</v>
      </c>
      <c r="P301">
        <v>1</v>
      </c>
      <c r="Q301">
        <v>1</v>
      </c>
      <c r="R301">
        <v>1</v>
      </c>
      <c r="S301">
        <v>1</v>
      </c>
      <c r="T301">
        <v>2</v>
      </c>
      <c r="U301">
        <v>1</v>
      </c>
      <c r="V301">
        <v>1</v>
      </c>
      <c r="W301">
        <v>1</v>
      </c>
      <c r="X301">
        <v>1</v>
      </c>
      <c r="Y301">
        <v>1</v>
      </c>
      <c r="Z301">
        <v>1</v>
      </c>
      <c r="AA301">
        <v>1</v>
      </c>
      <c r="AB301">
        <v>2</v>
      </c>
      <c r="AC301">
        <v>2</v>
      </c>
      <c r="AD301">
        <v>1</v>
      </c>
      <c r="AE301">
        <v>1</v>
      </c>
      <c r="AF301">
        <v>1</v>
      </c>
      <c r="AG301">
        <v>2</v>
      </c>
      <c r="AH301">
        <v>1</v>
      </c>
      <c r="AI301">
        <v>1</v>
      </c>
      <c r="AJ301">
        <v>1</v>
      </c>
      <c r="AK301">
        <v>1</v>
      </c>
      <c r="AL301">
        <v>2</v>
      </c>
      <c r="AM301">
        <v>2</v>
      </c>
      <c r="AN301">
        <v>2</v>
      </c>
      <c r="AO301">
        <v>1</v>
      </c>
      <c r="AP301" t="str">
        <f>SUM(B301:AO301)</f>
        <v>0</v>
      </c>
    </row>
    <row r="302" spans="1:43">
      <c r="A302" t="s">
        <v>327</v>
      </c>
      <c r="B302">
        <v>2</v>
      </c>
      <c r="C302">
        <v>1</v>
      </c>
      <c r="D302">
        <v>2</v>
      </c>
      <c r="E302">
        <v>2</v>
      </c>
      <c r="F302">
        <v>1</v>
      </c>
      <c r="G302">
        <v>1</v>
      </c>
      <c r="H302">
        <v>1</v>
      </c>
      <c r="I302">
        <v>1</v>
      </c>
      <c r="J302">
        <v>1</v>
      </c>
      <c r="K302">
        <v>2</v>
      </c>
      <c r="L302">
        <v>2</v>
      </c>
      <c r="M302">
        <v>2</v>
      </c>
      <c r="N302">
        <v>1</v>
      </c>
      <c r="O302">
        <v>2</v>
      </c>
      <c r="P302">
        <v>2</v>
      </c>
      <c r="Q302">
        <v>1</v>
      </c>
      <c r="R302">
        <v>1</v>
      </c>
      <c r="S302">
        <v>2</v>
      </c>
      <c r="T302">
        <v>2</v>
      </c>
      <c r="U302">
        <v>2</v>
      </c>
      <c r="V302">
        <v>2</v>
      </c>
      <c r="W302">
        <v>2</v>
      </c>
      <c r="X302">
        <v>2</v>
      </c>
      <c r="Y302">
        <v>1</v>
      </c>
      <c r="Z302">
        <v>1</v>
      </c>
      <c r="AA302">
        <v>2</v>
      </c>
      <c r="AB302">
        <v>1</v>
      </c>
      <c r="AC302">
        <v>1</v>
      </c>
      <c r="AD302">
        <v>2</v>
      </c>
      <c r="AE302">
        <v>2</v>
      </c>
      <c r="AF302">
        <v>1</v>
      </c>
      <c r="AG302">
        <v>2</v>
      </c>
      <c r="AH302">
        <v>2</v>
      </c>
      <c r="AI302">
        <v>2</v>
      </c>
      <c r="AJ302">
        <v>2</v>
      </c>
      <c r="AK302">
        <v>2</v>
      </c>
      <c r="AL302">
        <v>2</v>
      </c>
      <c r="AM302">
        <v>1</v>
      </c>
      <c r="AN302">
        <v>2</v>
      </c>
      <c r="AO302">
        <v>2</v>
      </c>
      <c r="AP302" t="str">
        <f>SUM(B302:AO302)</f>
        <v>0</v>
      </c>
    </row>
    <row r="303" spans="1:43">
      <c r="A303" t="s">
        <v>328</v>
      </c>
      <c r="B303">
        <v>1</v>
      </c>
      <c r="C303">
        <v>1</v>
      </c>
      <c r="D303">
        <v>2</v>
      </c>
      <c r="E303">
        <v>2</v>
      </c>
      <c r="F303">
        <v>1</v>
      </c>
      <c r="G303">
        <v>2</v>
      </c>
      <c r="H303">
        <v>1</v>
      </c>
      <c r="I303">
        <v>1</v>
      </c>
      <c r="J303">
        <v>1</v>
      </c>
      <c r="K303">
        <v>2</v>
      </c>
      <c r="L303">
        <v>1</v>
      </c>
      <c r="M303">
        <v>2</v>
      </c>
      <c r="N303">
        <v>1</v>
      </c>
      <c r="O303">
        <v>1</v>
      </c>
      <c r="P303">
        <v>1</v>
      </c>
      <c r="Q303">
        <v>1</v>
      </c>
      <c r="R303">
        <v>1</v>
      </c>
      <c r="S303">
        <v>1</v>
      </c>
      <c r="T303">
        <v>1</v>
      </c>
      <c r="U303">
        <v>2</v>
      </c>
      <c r="V303">
        <v>2</v>
      </c>
      <c r="W303">
        <v>1</v>
      </c>
      <c r="X303">
        <v>1</v>
      </c>
      <c r="Y303">
        <v>2</v>
      </c>
      <c r="Z303">
        <v>2</v>
      </c>
      <c r="AA303">
        <v>1</v>
      </c>
      <c r="AB303">
        <v>1</v>
      </c>
      <c r="AC303">
        <v>1</v>
      </c>
      <c r="AD303">
        <v>2</v>
      </c>
      <c r="AE303">
        <v>1</v>
      </c>
      <c r="AF303">
        <v>2</v>
      </c>
      <c r="AG303">
        <v>2</v>
      </c>
      <c r="AH303">
        <v>2</v>
      </c>
      <c r="AI303">
        <v>1</v>
      </c>
      <c r="AJ303">
        <v>2</v>
      </c>
      <c r="AK303">
        <v>2</v>
      </c>
      <c r="AL303">
        <v>2</v>
      </c>
      <c r="AM303">
        <v>1</v>
      </c>
      <c r="AN303">
        <v>2</v>
      </c>
      <c r="AO303">
        <v>1</v>
      </c>
      <c r="AP303" t="str">
        <f>SUM(B303:AO303)</f>
        <v>0</v>
      </c>
    </row>
    <row r="304" spans="1:43">
      <c r="A304" t="s">
        <v>329</v>
      </c>
      <c r="B304">
        <v>1</v>
      </c>
      <c r="C304">
        <v>1</v>
      </c>
      <c r="D304">
        <v>1</v>
      </c>
      <c r="E304">
        <v>1</v>
      </c>
      <c r="F304">
        <v>1</v>
      </c>
      <c r="G304">
        <v>1</v>
      </c>
      <c r="H304">
        <v>1</v>
      </c>
      <c r="I304">
        <v>2</v>
      </c>
      <c r="J304">
        <v>1</v>
      </c>
      <c r="K304">
        <v>1</v>
      </c>
      <c r="L304">
        <v>2</v>
      </c>
      <c r="M304">
        <v>1</v>
      </c>
      <c r="N304">
        <v>1</v>
      </c>
      <c r="O304">
        <v>1</v>
      </c>
      <c r="P304">
        <v>2</v>
      </c>
      <c r="Q304">
        <v>1</v>
      </c>
      <c r="R304">
        <v>1</v>
      </c>
      <c r="S304">
        <v>1</v>
      </c>
      <c r="T304">
        <v>2</v>
      </c>
      <c r="U304">
        <v>2</v>
      </c>
      <c r="V304">
        <v>2</v>
      </c>
      <c r="W304">
        <v>1</v>
      </c>
      <c r="X304">
        <v>1</v>
      </c>
      <c r="Y304">
        <v>1</v>
      </c>
      <c r="Z304">
        <v>2</v>
      </c>
      <c r="AA304">
        <v>1</v>
      </c>
      <c r="AB304">
        <v>1</v>
      </c>
      <c r="AC304">
        <v>1</v>
      </c>
      <c r="AD304">
        <v>2</v>
      </c>
      <c r="AE304">
        <v>1</v>
      </c>
      <c r="AF304">
        <v>1</v>
      </c>
      <c r="AG304">
        <v>2</v>
      </c>
      <c r="AH304">
        <v>1</v>
      </c>
      <c r="AI304">
        <v>1</v>
      </c>
      <c r="AJ304">
        <v>1</v>
      </c>
      <c r="AK304">
        <v>1</v>
      </c>
      <c r="AL304">
        <v>1</v>
      </c>
      <c r="AM304">
        <v>2</v>
      </c>
      <c r="AN304">
        <v>1</v>
      </c>
      <c r="AO304">
        <v>1</v>
      </c>
      <c r="AP304" t="str">
        <f>SUM(B304:AO304)</f>
        <v>0</v>
      </c>
    </row>
    <row r="305" spans="1:43">
      <c r="A305" t="s">
        <v>330</v>
      </c>
      <c r="B305">
        <v>1</v>
      </c>
      <c r="C305">
        <v>1</v>
      </c>
      <c r="D305">
        <v>2</v>
      </c>
      <c r="E305">
        <v>1</v>
      </c>
      <c r="F305">
        <v>2</v>
      </c>
      <c r="G305">
        <v>1</v>
      </c>
      <c r="H305">
        <v>2</v>
      </c>
      <c r="I305">
        <v>2</v>
      </c>
      <c r="J305">
        <v>2</v>
      </c>
      <c r="K305">
        <v>2</v>
      </c>
      <c r="L305">
        <v>2</v>
      </c>
      <c r="M305">
        <v>1</v>
      </c>
      <c r="N305">
        <v>1</v>
      </c>
      <c r="O305">
        <v>2</v>
      </c>
      <c r="P305">
        <v>1</v>
      </c>
      <c r="Q305">
        <v>1</v>
      </c>
      <c r="R305">
        <v>2</v>
      </c>
      <c r="S305">
        <v>1</v>
      </c>
      <c r="T305">
        <v>2</v>
      </c>
      <c r="U305">
        <v>1</v>
      </c>
      <c r="V305">
        <v>2</v>
      </c>
      <c r="W305">
        <v>2</v>
      </c>
      <c r="X305">
        <v>2</v>
      </c>
      <c r="Y305">
        <v>2</v>
      </c>
      <c r="Z305">
        <v>2</v>
      </c>
      <c r="AA305">
        <v>2</v>
      </c>
      <c r="AB305">
        <v>2</v>
      </c>
      <c r="AC305">
        <v>2</v>
      </c>
      <c r="AD305">
        <v>2</v>
      </c>
      <c r="AE305">
        <v>2</v>
      </c>
      <c r="AF305">
        <v>2</v>
      </c>
      <c r="AG305">
        <v>2</v>
      </c>
      <c r="AH305">
        <v>2</v>
      </c>
      <c r="AI305">
        <v>2</v>
      </c>
      <c r="AJ305">
        <v>2</v>
      </c>
      <c r="AK305">
        <v>2</v>
      </c>
      <c r="AL305">
        <v>2</v>
      </c>
      <c r="AM305">
        <v>2</v>
      </c>
      <c r="AN305">
        <v>2</v>
      </c>
      <c r="AO305">
        <v>2</v>
      </c>
      <c r="AP305" t="str">
        <f>SUM(B305:AO305)</f>
        <v>0</v>
      </c>
    </row>
    <row r="306" spans="1:43">
      <c r="A306" t="s">
        <v>331</v>
      </c>
      <c r="B306">
        <v>1</v>
      </c>
      <c r="C306">
        <v>1</v>
      </c>
      <c r="D306">
        <v>2</v>
      </c>
      <c r="E306">
        <v>1</v>
      </c>
      <c r="F306">
        <v>2</v>
      </c>
      <c r="G306">
        <v>1</v>
      </c>
      <c r="H306">
        <v>1</v>
      </c>
      <c r="I306">
        <v>1</v>
      </c>
      <c r="J306">
        <v>2</v>
      </c>
      <c r="K306">
        <v>1</v>
      </c>
      <c r="L306">
        <v>2</v>
      </c>
      <c r="M306">
        <v>2</v>
      </c>
      <c r="N306">
        <v>1</v>
      </c>
      <c r="O306">
        <v>2</v>
      </c>
      <c r="P306">
        <v>1</v>
      </c>
      <c r="Q306">
        <v>1</v>
      </c>
      <c r="R306">
        <v>1</v>
      </c>
      <c r="S306">
        <v>1</v>
      </c>
      <c r="T306">
        <v>2</v>
      </c>
      <c r="U306">
        <v>2</v>
      </c>
      <c r="V306">
        <v>1</v>
      </c>
      <c r="W306">
        <v>1</v>
      </c>
      <c r="X306">
        <v>2</v>
      </c>
      <c r="Y306">
        <v>1</v>
      </c>
      <c r="Z306">
        <v>1</v>
      </c>
      <c r="AA306">
        <v>1</v>
      </c>
      <c r="AB306">
        <v>1</v>
      </c>
      <c r="AC306">
        <v>1</v>
      </c>
      <c r="AD306">
        <v>2</v>
      </c>
      <c r="AE306">
        <v>1</v>
      </c>
      <c r="AF306">
        <v>2</v>
      </c>
      <c r="AG306">
        <v>1</v>
      </c>
      <c r="AH306">
        <v>1</v>
      </c>
      <c r="AI306">
        <v>2</v>
      </c>
      <c r="AJ306">
        <v>2</v>
      </c>
      <c r="AK306">
        <v>1</v>
      </c>
      <c r="AL306">
        <v>1</v>
      </c>
      <c r="AM306">
        <v>2</v>
      </c>
      <c r="AN306">
        <v>1</v>
      </c>
      <c r="AO306">
        <v>1</v>
      </c>
      <c r="AP306" t="str">
        <f>SUM(B306:AO306)</f>
        <v>0</v>
      </c>
    </row>
    <row r="307" spans="1:43">
      <c r="A307" t="s">
        <v>332</v>
      </c>
      <c r="B307">
        <v>3</v>
      </c>
      <c r="C307">
        <v>2</v>
      </c>
      <c r="D307">
        <v>2</v>
      </c>
      <c r="E307">
        <v>2</v>
      </c>
      <c r="F307">
        <v>2</v>
      </c>
      <c r="G307">
        <v>3</v>
      </c>
      <c r="H307">
        <v>2</v>
      </c>
      <c r="I307">
        <v>2</v>
      </c>
      <c r="J307">
        <v>2</v>
      </c>
      <c r="K307">
        <v>3</v>
      </c>
      <c r="L307">
        <v>1</v>
      </c>
      <c r="M307">
        <v>2</v>
      </c>
      <c r="N307">
        <v>2</v>
      </c>
      <c r="O307">
        <v>2</v>
      </c>
      <c r="P307">
        <v>2</v>
      </c>
      <c r="Q307">
        <v>2</v>
      </c>
      <c r="R307">
        <v>2</v>
      </c>
      <c r="S307">
        <v>2</v>
      </c>
      <c r="T307">
        <v>2</v>
      </c>
      <c r="U307">
        <v>3</v>
      </c>
      <c r="V307">
        <v>2</v>
      </c>
      <c r="W307">
        <v>2</v>
      </c>
      <c r="X307">
        <v>2</v>
      </c>
      <c r="Y307">
        <v>2</v>
      </c>
      <c r="Z307">
        <v>3</v>
      </c>
      <c r="AA307">
        <v>2</v>
      </c>
      <c r="AB307">
        <v>2</v>
      </c>
      <c r="AC307">
        <v>2</v>
      </c>
      <c r="AD307">
        <v>2</v>
      </c>
      <c r="AE307">
        <v>2</v>
      </c>
      <c r="AF307">
        <v>2</v>
      </c>
      <c r="AG307">
        <v>2</v>
      </c>
      <c r="AH307">
        <v>2</v>
      </c>
      <c r="AI307">
        <v>2</v>
      </c>
      <c r="AJ307">
        <v>3</v>
      </c>
      <c r="AK307">
        <v>2</v>
      </c>
      <c r="AL307">
        <v>3</v>
      </c>
      <c r="AM307">
        <v>2</v>
      </c>
      <c r="AN307">
        <v>2</v>
      </c>
      <c r="AO307">
        <v>2</v>
      </c>
      <c r="AP307" t="str">
        <f>SUM(B307:AO307)</f>
        <v>0</v>
      </c>
    </row>
    <row r="308" spans="1:43">
      <c r="A308" t="s">
        <v>333</v>
      </c>
      <c r="B308">
        <v>1</v>
      </c>
      <c r="C308">
        <v>2</v>
      </c>
      <c r="D308">
        <v>2</v>
      </c>
      <c r="E308">
        <v>1</v>
      </c>
      <c r="F308">
        <v>2</v>
      </c>
      <c r="G308">
        <v>2</v>
      </c>
      <c r="H308">
        <v>2</v>
      </c>
      <c r="I308">
        <v>1</v>
      </c>
      <c r="J308">
        <v>2</v>
      </c>
      <c r="K308">
        <v>1</v>
      </c>
      <c r="L308">
        <v>2</v>
      </c>
      <c r="M308">
        <v>1</v>
      </c>
      <c r="N308">
        <v>2</v>
      </c>
      <c r="O308">
        <v>1</v>
      </c>
      <c r="P308">
        <v>1</v>
      </c>
      <c r="Q308">
        <v>2</v>
      </c>
      <c r="R308">
        <v>2</v>
      </c>
      <c r="S308">
        <v>2</v>
      </c>
      <c r="T308">
        <v>1</v>
      </c>
      <c r="U308">
        <v>2</v>
      </c>
      <c r="V308">
        <v>2</v>
      </c>
      <c r="W308">
        <v>2</v>
      </c>
      <c r="X308">
        <v>1</v>
      </c>
      <c r="Y308">
        <v>2</v>
      </c>
      <c r="Z308">
        <v>2</v>
      </c>
      <c r="AA308">
        <v>1</v>
      </c>
      <c r="AB308">
        <v>1</v>
      </c>
      <c r="AC308">
        <v>2</v>
      </c>
      <c r="AD308">
        <v>1</v>
      </c>
      <c r="AE308">
        <v>2</v>
      </c>
      <c r="AF308">
        <v>1</v>
      </c>
      <c r="AG308">
        <v>2</v>
      </c>
      <c r="AH308">
        <v>1</v>
      </c>
      <c r="AI308">
        <v>2</v>
      </c>
      <c r="AJ308">
        <v>2</v>
      </c>
      <c r="AK308">
        <v>2</v>
      </c>
      <c r="AL308">
        <v>2</v>
      </c>
      <c r="AM308">
        <v>2</v>
      </c>
      <c r="AN308">
        <v>2</v>
      </c>
      <c r="AO308">
        <v>2</v>
      </c>
      <c r="AP308" t="str">
        <f>SUM(B308:AO308)</f>
        <v>0</v>
      </c>
    </row>
    <row r="309" spans="1:43">
      <c r="A309" t="s">
        <v>334</v>
      </c>
      <c r="B309">
        <v>1</v>
      </c>
      <c r="C309">
        <v>1</v>
      </c>
      <c r="D309">
        <v>1</v>
      </c>
      <c r="E309">
        <v>1</v>
      </c>
      <c r="F309">
        <v>1</v>
      </c>
      <c r="G309">
        <v>1</v>
      </c>
      <c r="H309">
        <v>1</v>
      </c>
      <c r="I309">
        <v>1</v>
      </c>
      <c r="J309">
        <v>1</v>
      </c>
      <c r="K309">
        <v>1</v>
      </c>
      <c r="L309">
        <v>1</v>
      </c>
      <c r="M309">
        <v>1</v>
      </c>
      <c r="N309">
        <v>1</v>
      </c>
      <c r="O309">
        <v>1</v>
      </c>
      <c r="P309">
        <v>1</v>
      </c>
      <c r="Q309">
        <v>1</v>
      </c>
      <c r="R309">
        <v>1</v>
      </c>
      <c r="S309">
        <v>1</v>
      </c>
      <c r="T309">
        <v>1</v>
      </c>
      <c r="U309">
        <v>1</v>
      </c>
      <c r="V309">
        <v>1</v>
      </c>
      <c r="W309">
        <v>1</v>
      </c>
      <c r="X309">
        <v>1</v>
      </c>
      <c r="Y309">
        <v>1</v>
      </c>
      <c r="Z309">
        <v>1</v>
      </c>
      <c r="AA309">
        <v>1</v>
      </c>
      <c r="AB309">
        <v>1</v>
      </c>
      <c r="AC309">
        <v>1</v>
      </c>
      <c r="AD309">
        <v>1</v>
      </c>
      <c r="AE309">
        <v>1</v>
      </c>
      <c r="AF309">
        <v>1</v>
      </c>
      <c r="AG309">
        <v>1</v>
      </c>
      <c r="AH309">
        <v>1</v>
      </c>
      <c r="AI309">
        <v>1</v>
      </c>
      <c r="AJ309">
        <v>1</v>
      </c>
      <c r="AK309">
        <v>1</v>
      </c>
      <c r="AL309">
        <v>1</v>
      </c>
      <c r="AM309">
        <v>1</v>
      </c>
      <c r="AN309">
        <v>1</v>
      </c>
      <c r="AO309">
        <v>1</v>
      </c>
      <c r="AP309" t="str">
        <f>SUM(B309:AO309)</f>
        <v>0</v>
      </c>
    </row>
    <row r="310" spans="1:43">
      <c r="A310" t="s">
        <v>335</v>
      </c>
      <c r="B310">
        <v>2</v>
      </c>
      <c r="C310">
        <v>3</v>
      </c>
      <c r="D310">
        <v>3</v>
      </c>
      <c r="E310">
        <v>3</v>
      </c>
      <c r="F310">
        <v>2</v>
      </c>
      <c r="G310">
        <v>2</v>
      </c>
      <c r="H310">
        <v>2</v>
      </c>
      <c r="I310">
        <v>3</v>
      </c>
      <c r="J310">
        <v>3</v>
      </c>
      <c r="K310">
        <v>3</v>
      </c>
      <c r="L310">
        <v>2</v>
      </c>
      <c r="M310">
        <v>2</v>
      </c>
      <c r="N310">
        <v>2</v>
      </c>
      <c r="O310">
        <v>2</v>
      </c>
      <c r="P310">
        <v>2</v>
      </c>
      <c r="Q310">
        <v>2</v>
      </c>
      <c r="R310">
        <v>3</v>
      </c>
      <c r="S310">
        <v>2</v>
      </c>
      <c r="T310">
        <v>2</v>
      </c>
      <c r="U310">
        <v>3</v>
      </c>
      <c r="V310">
        <v>2</v>
      </c>
      <c r="W310">
        <v>2</v>
      </c>
      <c r="X310">
        <v>3</v>
      </c>
      <c r="Y310">
        <v>2</v>
      </c>
      <c r="Z310">
        <v>2</v>
      </c>
      <c r="AA310">
        <v>3</v>
      </c>
      <c r="AB310">
        <v>2</v>
      </c>
      <c r="AC310">
        <v>2</v>
      </c>
      <c r="AD310">
        <v>2</v>
      </c>
      <c r="AE310">
        <v>3</v>
      </c>
      <c r="AF310">
        <v>2</v>
      </c>
      <c r="AG310">
        <v>2</v>
      </c>
      <c r="AH310">
        <v>2</v>
      </c>
      <c r="AI310">
        <v>2</v>
      </c>
      <c r="AJ310">
        <v>2</v>
      </c>
      <c r="AK310">
        <v>3</v>
      </c>
      <c r="AL310">
        <v>2</v>
      </c>
      <c r="AM310">
        <v>2</v>
      </c>
      <c r="AN310">
        <v>2</v>
      </c>
      <c r="AO310">
        <v>2</v>
      </c>
      <c r="AP310" t="str">
        <f>SUM(B310:AO310)</f>
        <v>0</v>
      </c>
    </row>
    <row r="311" spans="1:43">
      <c r="A311" t="s">
        <v>336</v>
      </c>
      <c r="B311">
        <v>2</v>
      </c>
      <c r="C311">
        <v>1</v>
      </c>
      <c r="D311">
        <v>2</v>
      </c>
      <c r="E311">
        <v>1</v>
      </c>
      <c r="F311">
        <v>1</v>
      </c>
      <c r="G311">
        <v>2</v>
      </c>
      <c r="H311">
        <v>1</v>
      </c>
      <c r="I311">
        <v>1</v>
      </c>
      <c r="J311">
        <v>1</v>
      </c>
      <c r="K311">
        <v>1</v>
      </c>
      <c r="L311">
        <v>2</v>
      </c>
      <c r="M311">
        <v>2</v>
      </c>
      <c r="N311">
        <v>2</v>
      </c>
      <c r="O311">
        <v>1</v>
      </c>
      <c r="P311">
        <v>2</v>
      </c>
      <c r="Q311">
        <v>1</v>
      </c>
      <c r="R311">
        <v>1</v>
      </c>
      <c r="S311">
        <v>2</v>
      </c>
      <c r="T311">
        <v>2</v>
      </c>
      <c r="U311">
        <v>2</v>
      </c>
      <c r="V311">
        <v>2</v>
      </c>
      <c r="W311">
        <v>2</v>
      </c>
      <c r="X311">
        <v>2</v>
      </c>
      <c r="Y311">
        <v>1</v>
      </c>
      <c r="Z311">
        <v>2</v>
      </c>
      <c r="AA311">
        <v>1</v>
      </c>
      <c r="AB311">
        <v>2</v>
      </c>
      <c r="AC311">
        <v>2</v>
      </c>
      <c r="AD311">
        <v>2</v>
      </c>
      <c r="AE311">
        <v>2</v>
      </c>
      <c r="AF311">
        <v>2</v>
      </c>
      <c r="AG311">
        <v>2</v>
      </c>
      <c r="AH311">
        <v>2</v>
      </c>
      <c r="AI311">
        <v>2</v>
      </c>
      <c r="AJ311">
        <v>2</v>
      </c>
      <c r="AK311">
        <v>2</v>
      </c>
      <c r="AL311">
        <v>2</v>
      </c>
      <c r="AM311">
        <v>2</v>
      </c>
      <c r="AN311">
        <v>2</v>
      </c>
      <c r="AO311">
        <v>2</v>
      </c>
      <c r="AP311" t="str">
        <f>SUM(B311:AO311)</f>
        <v>0</v>
      </c>
    </row>
    <row r="312" spans="1:43">
      <c r="A312" t="s">
        <v>337</v>
      </c>
      <c r="B312">
        <v>2</v>
      </c>
      <c r="C312">
        <v>1</v>
      </c>
      <c r="D312">
        <v>2</v>
      </c>
      <c r="E312">
        <v>2</v>
      </c>
      <c r="F312">
        <v>2</v>
      </c>
      <c r="G312">
        <v>2</v>
      </c>
      <c r="H312">
        <v>2</v>
      </c>
      <c r="I312">
        <v>2</v>
      </c>
      <c r="J312">
        <v>2</v>
      </c>
      <c r="K312">
        <v>2</v>
      </c>
      <c r="L312">
        <v>2</v>
      </c>
      <c r="M312">
        <v>3</v>
      </c>
      <c r="N312">
        <v>2</v>
      </c>
      <c r="O312">
        <v>2</v>
      </c>
      <c r="P312">
        <v>2</v>
      </c>
      <c r="Q312">
        <v>2</v>
      </c>
      <c r="R312">
        <v>2</v>
      </c>
      <c r="S312">
        <v>3</v>
      </c>
      <c r="T312">
        <v>2</v>
      </c>
      <c r="U312">
        <v>3</v>
      </c>
      <c r="V312">
        <v>2</v>
      </c>
      <c r="W312">
        <v>2</v>
      </c>
      <c r="X312">
        <v>2</v>
      </c>
      <c r="Y312">
        <v>2</v>
      </c>
      <c r="Z312">
        <v>2</v>
      </c>
      <c r="AA312">
        <v>2</v>
      </c>
      <c r="AB312">
        <v>2</v>
      </c>
      <c r="AC312">
        <v>2</v>
      </c>
      <c r="AD312">
        <v>2</v>
      </c>
      <c r="AE312">
        <v>2</v>
      </c>
      <c r="AF312">
        <v>2</v>
      </c>
      <c r="AG312">
        <v>2</v>
      </c>
      <c r="AH312">
        <v>2</v>
      </c>
      <c r="AI312">
        <v>3</v>
      </c>
      <c r="AJ312">
        <v>2</v>
      </c>
      <c r="AK312">
        <v>1</v>
      </c>
      <c r="AL312">
        <v>2</v>
      </c>
      <c r="AM312">
        <v>2</v>
      </c>
      <c r="AN312">
        <v>2</v>
      </c>
      <c r="AO312">
        <v>3</v>
      </c>
      <c r="AP312" t="str">
        <f>SUM(B312:AO312)</f>
        <v>0</v>
      </c>
    </row>
    <row r="313" spans="1:43">
      <c r="A313" t="s">
        <v>338</v>
      </c>
      <c r="B313">
        <v>1</v>
      </c>
      <c r="C313">
        <v>2</v>
      </c>
      <c r="D313">
        <v>1</v>
      </c>
      <c r="E313">
        <v>1</v>
      </c>
      <c r="F313">
        <v>1</v>
      </c>
      <c r="G313">
        <v>1</v>
      </c>
      <c r="H313">
        <v>1</v>
      </c>
      <c r="I313">
        <v>1</v>
      </c>
      <c r="J313">
        <v>1</v>
      </c>
      <c r="K313">
        <v>1</v>
      </c>
      <c r="L313">
        <v>1</v>
      </c>
      <c r="M313">
        <v>1</v>
      </c>
      <c r="N313">
        <v>2</v>
      </c>
      <c r="O313">
        <v>1</v>
      </c>
      <c r="P313">
        <v>1</v>
      </c>
      <c r="Q313">
        <v>1</v>
      </c>
      <c r="R313">
        <v>1</v>
      </c>
      <c r="S313">
        <v>1</v>
      </c>
      <c r="T313">
        <v>2</v>
      </c>
      <c r="U313">
        <v>1</v>
      </c>
      <c r="V313">
        <v>1</v>
      </c>
      <c r="W313">
        <v>1</v>
      </c>
      <c r="X313">
        <v>1</v>
      </c>
      <c r="Y313">
        <v>1</v>
      </c>
      <c r="Z313">
        <v>2</v>
      </c>
      <c r="AA313">
        <v>2</v>
      </c>
      <c r="AB313">
        <v>1</v>
      </c>
      <c r="AC313">
        <v>1</v>
      </c>
      <c r="AD313">
        <v>1</v>
      </c>
      <c r="AE313">
        <v>1</v>
      </c>
      <c r="AF313">
        <v>1</v>
      </c>
      <c r="AG313">
        <v>1</v>
      </c>
      <c r="AH313">
        <v>1</v>
      </c>
      <c r="AI313">
        <v>1</v>
      </c>
      <c r="AJ313">
        <v>1</v>
      </c>
      <c r="AK313">
        <v>1</v>
      </c>
      <c r="AL313">
        <v>1</v>
      </c>
      <c r="AM313">
        <v>1</v>
      </c>
      <c r="AN313">
        <v>1</v>
      </c>
      <c r="AO313">
        <v>2</v>
      </c>
      <c r="AP313" t="str">
        <f>SUM(B313:AO313)</f>
        <v>0</v>
      </c>
    </row>
    <row r="314" spans="1:43">
      <c r="A314" t="s">
        <v>339</v>
      </c>
      <c r="B314">
        <v>1</v>
      </c>
      <c r="C314">
        <v>1</v>
      </c>
      <c r="D314">
        <v>2</v>
      </c>
      <c r="E314">
        <v>1</v>
      </c>
      <c r="F314">
        <v>1</v>
      </c>
      <c r="G314">
        <v>1</v>
      </c>
      <c r="H314">
        <v>2</v>
      </c>
      <c r="I314">
        <v>2</v>
      </c>
      <c r="J314">
        <v>1</v>
      </c>
      <c r="K314">
        <v>2</v>
      </c>
      <c r="L314">
        <v>1</v>
      </c>
      <c r="M314">
        <v>2</v>
      </c>
      <c r="N314">
        <v>1</v>
      </c>
      <c r="O314">
        <v>2</v>
      </c>
      <c r="P314">
        <v>2</v>
      </c>
      <c r="Q314">
        <v>2</v>
      </c>
      <c r="R314">
        <v>2</v>
      </c>
      <c r="S314">
        <v>2</v>
      </c>
      <c r="T314">
        <v>1</v>
      </c>
      <c r="U314">
        <v>2</v>
      </c>
      <c r="V314">
        <v>1</v>
      </c>
      <c r="W314">
        <v>1</v>
      </c>
      <c r="X314">
        <v>2</v>
      </c>
      <c r="Y314">
        <v>2</v>
      </c>
      <c r="Z314">
        <v>2</v>
      </c>
      <c r="AA314">
        <v>2</v>
      </c>
      <c r="AB314">
        <v>1</v>
      </c>
      <c r="AC314">
        <v>1</v>
      </c>
      <c r="AD314">
        <v>2</v>
      </c>
      <c r="AE314">
        <v>2</v>
      </c>
      <c r="AF314">
        <v>2</v>
      </c>
      <c r="AG314">
        <v>1</v>
      </c>
      <c r="AH314">
        <v>2</v>
      </c>
      <c r="AI314">
        <v>2</v>
      </c>
      <c r="AJ314">
        <v>2</v>
      </c>
      <c r="AK314">
        <v>2</v>
      </c>
      <c r="AL314">
        <v>1</v>
      </c>
      <c r="AM314">
        <v>1</v>
      </c>
      <c r="AN314">
        <v>2</v>
      </c>
      <c r="AO314">
        <v>2</v>
      </c>
      <c r="AP314" t="str">
        <f>SUM(B314:AO314)</f>
        <v>0</v>
      </c>
    </row>
    <row r="315" spans="1:43">
      <c r="A315" t="s">
        <v>340</v>
      </c>
      <c r="B315">
        <v>1</v>
      </c>
      <c r="C315">
        <v>2</v>
      </c>
      <c r="D315">
        <v>1</v>
      </c>
      <c r="E315">
        <v>1</v>
      </c>
      <c r="F315">
        <v>1</v>
      </c>
      <c r="G315">
        <v>1</v>
      </c>
      <c r="H315">
        <v>1</v>
      </c>
      <c r="I315">
        <v>1</v>
      </c>
      <c r="J315">
        <v>1</v>
      </c>
      <c r="K315">
        <v>1</v>
      </c>
      <c r="L315">
        <v>1</v>
      </c>
      <c r="M315">
        <v>2</v>
      </c>
      <c r="N315">
        <v>1</v>
      </c>
      <c r="O315">
        <v>1</v>
      </c>
      <c r="P315">
        <v>1</v>
      </c>
      <c r="Q315">
        <v>1</v>
      </c>
      <c r="R315">
        <v>1</v>
      </c>
      <c r="S315">
        <v>1</v>
      </c>
      <c r="T315">
        <v>1</v>
      </c>
      <c r="U315">
        <v>2</v>
      </c>
      <c r="V315">
        <v>1</v>
      </c>
      <c r="W315">
        <v>2</v>
      </c>
      <c r="X315">
        <v>1</v>
      </c>
      <c r="Y315">
        <v>1</v>
      </c>
      <c r="Z315">
        <v>1</v>
      </c>
      <c r="AA315">
        <v>2</v>
      </c>
      <c r="AB315">
        <v>1</v>
      </c>
      <c r="AC315">
        <v>1</v>
      </c>
      <c r="AD315">
        <v>1</v>
      </c>
      <c r="AE315">
        <v>1</v>
      </c>
      <c r="AF315">
        <v>1</v>
      </c>
      <c r="AG315">
        <v>2</v>
      </c>
      <c r="AH315">
        <v>1</v>
      </c>
      <c r="AI315">
        <v>1</v>
      </c>
      <c r="AJ315">
        <v>1</v>
      </c>
      <c r="AK315">
        <v>2</v>
      </c>
      <c r="AL315">
        <v>1</v>
      </c>
      <c r="AM315">
        <v>1</v>
      </c>
      <c r="AN315">
        <v>1</v>
      </c>
      <c r="AO315">
        <v>1</v>
      </c>
      <c r="AP315" t="str">
        <f>SUM(B315:AO315)</f>
        <v>0</v>
      </c>
    </row>
    <row r="316" spans="1:43">
      <c r="A316" t="s">
        <v>341</v>
      </c>
      <c r="B316">
        <v>1</v>
      </c>
      <c r="C316">
        <v>1</v>
      </c>
      <c r="D316">
        <v>2</v>
      </c>
      <c r="E316">
        <v>1</v>
      </c>
      <c r="F316">
        <v>2</v>
      </c>
      <c r="G316">
        <v>2</v>
      </c>
      <c r="H316">
        <v>2</v>
      </c>
      <c r="I316">
        <v>1</v>
      </c>
      <c r="J316">
        <v>2</v>
      </c>
      <c r="K316">
        <v>2</v>
      </c>
      <c r="L316">
        <v>2</v>
      </c>
      <c r="M316">
        <v>2</v>
      </c>
      <c r="N316">
        <v>1</v>
      </c>
      <c r="O316">
        <v>1</v>
      </c>
      <c r="P316">
        <v>2</v>
      </c>
      <c r="Q316">
        <v>2</v>
      </c>
      <c r="R316">
        <v>1</v>
      </c>
      <c r="S316">
        <v>2</v>
      </c>
      <c r="T316">
        <v>2</v>
      </c>
      <c r="U316">
        <v>2</v>
      </c>
      <c r="V316">
        <v>2</v>
      </c>
      <c r="W316">
        <v>1</v>
      </c>
      <c r="X316">
        <v>2</v>
      </c>
      <c r="Y316">
        <v>1</v>
      </c>
      <c r="Z316">
        <v>2</v>
      </c>
      <c r="AA316">
        <v>2</v>
      </c>
      <c r="AB316">
        <v>2</v>
      </c>
      <c r="AC316">
        <v>2</v>
      </c>
      <c r="AD316">
        <v>2</v>
      </c>
      <c r="AE316">
        <v>2</v>
      </c>
      <c r="AF316">
        <v>1</v>
      </c>
      <c r="AG316">
        <v>2</v>
      </c>
      <c r="AH316">
        <v>2</v>
      </c>
      <c r="AI316">
        <v>1</v>
      </c>
      <c r="AJ316">
        <v>1</v>
      </c>
      <c r="AK316">
        <v>1</v>
      </c>
      <c r="AL316">
        <v>2</v>
      </c>
      <c r="AM316">
        <v>2</v>
      </c>
      <c r="AN316">
        <v>2</v>
      </c>
      <c r="AO316">
        <v>2</v>
      </c>
      <c r="AP316" t="str">
        <f>SUM(B316:AO316)</f>
        <v>0</v>
      </c>
    </row>
    <row r="317" spans="1:43">
      <c r="A317" t="s">
        <v>342</v>
      </c>
      <c r="B317">
        <v>1</v>
      </c>
      <c r="C317">
        <v>1</v>
      </c>
      <c r="D317">
        <v>1</v>
      </c>
      <c r="E317">
        <v>1</v>
      </c>
      <c r="F317">
        <v>1</v>
      </c>
      <c r="G317">
        <v>1</v>
      </c>
      <c r="H317">
        <v>1</v>
      </c>
      <c r="I317">
        <v>1</v>
      </c>
      <c r="J317">
        <v>1</v>
      </c>
      <c r="K317">
        <v>1</v>
      </c>
      <c r="L317">
        <v>1</v>
      </c>
      <c r="M317">
        <v>1</v>
      </c>
      <c r="N317">
        <v>1</v>
      </c>
      <c r="O317">
        <v>1</v>
      </c>
      <c r="P317">
        <v>1</v>
      </c>
      <c r="Q317">
        <v>1</v>
      </c>
      <c r="R317">
        <v>1</v>
      </c>
      <c r="S317">
        <v>1</v>
      </c>
      <c r="T317">
        <v>1</v>
      </c>
      <c r="U317">
        <v>1</v>
      </c>
      <c r="V317">
        <v>2</v>
      </c>
      <c r="W317">
        <v>1</v>
      </c>
      <c r="X317">
        <v>1</v>
      </c>
      <c r="Y317">
        <v>1</v>
      </c>
      <c r="Z317">
        <v>1</v>
      </c>
      <c r="AA317">
        <v>1</v>
      </c>
      <c r="AB317">
        <v>1</v>
      </c>
      <c r="AC317">
        <v>1</v>
      </c>
      <c r="AD317">
        <v>1</v>
      </c>
      <c r="AE317">
        <v>1</v>
      </c>
      <c r="AF317">
        <v>1</v>
      </c>
      <c r="AG317">
        <v>2</v>
      </c>
      <c r="AH317">
        <v>1</v>
      </c>
      <c r="AI317">
        <v>1</v>
      </c>
      <c r="AJ317">
        <v>1</v>
      </c>
      <c r="AK317">
        <v>1</v>
      </c>
      <c r="AL317">
        <v>2</v>
      </c>
      <c r="AM317">
        <v>1</v>
      </c>
      <c r="AN317">
        <v>1</v>
      </c>
      <c r="AO317">
        <v>2</v>
      </c>
      <c r="AP317" t="str">
        <f>SUM(B317:AO317)</f>
        <v>0</v>
      </c>
    </row>
    <row r="318" spans="1:43">
      <c r="A318" t="s">
        <v>343</v>
      </c>
      <c r="B318">
        <v>2</v>
      </c>
      <c r="C318">
        <v>2</v>
      </c>
      <c r="D318">
        <v>2</v>
      </c>
      <c r="E318">
        <v>2</v>
      </c>
      <c r="F318">
        <v>2</v>
      </c>
      <c r="G318">
        <v>1</v>
      </c>
      <c r="H318">
        <v>1</v>
      </c>
      <c r="I318">
        <v>2</v>
      </c>
      <c r="J318">
        <v>2</v>
      </c>
      <c r="K318">
        <v>2</v>
      </c>
      <c r="L318">
        <v>2</v>
      </c>
      <c r="M318">
        <v>2</v>
      </c>
      <c r="N318">
        <v>2</v>
      </c>
      <c r="O318">
        <v>2</v>
      </c>
      <c r="P318">
        <v>2</v>
      </c>
      <c r="Q318">
        <v>2</v>
      </c>
      <c r="R318">
        <v>2</v>
      </c>
      <c r="S318">
        <v>1</v>
      </c>
      <c r="T318">
        <v>2</v>
      </c>
      <c r="U318">
        <v>2</v>
      </c>
      <c r="V318">
        <v>2</v>
      </c>
      <c r="W318">
        <v>1</v>
      </c>
      <c r="X318">
        <v>1</v>
      </c>
      <c r="Y318">
        <v>2</v>
      </c>
      <c r="Z318">
        <v>2</v>
      </c>
      <c r="AA318">
        <v>2</v>
      </c>
      <c r="AB318">
        <v>2</v>
      </c>
      <c r="AC318">
        <v>1</v>
      </c>
      <c r="AD318">
        <v>1</v>
      </c>
      <c r="AE318">
        <v>2</v>
      </c>
      <c r="AF318">
        <v>1</v>
      </c>
      <c r="AG318">
        <v>1</v>
      </c>
      <c r="AH318">
        <v>2</v>
      </c>
      <c r="AI318">
        <v>2</v>
      </c>
      <c r="AJ318">
        <v>2</v>
      </c>
      <c r="AK318">
        <v>2</v>
      </c>
      <c r="AL318">
        <v>2</v>
      </c>
      <c r="AM318">
        <v>2</v>
      </c>
      <c r="AN318">
        <v>2</v>
      </c>
      <c r="AO318">
        <v>2</v>
      </c>
      <c r="AP318" t="str">
        <f>SUM(B318:AO318)</f>
        <v>0</v>
      </c>
    </row>
    <row r="319" spans="1:43">
      <c r="A319" t="s">
        <v>344</v>
      </c>
      <c r="B319">
        <v>2</v>
      </c>
      <c r="C319">
        <v>2</v>
      </c>
      <c r="D319">
        <v>2</v>
      </c>
      <c r="E319">
        <v>2</v>
      </c>
      <c r="F319">
        <v>2</v>
      </c>
      <c r="G319">
        <v>2</v>
      </c>
      <c r="H319">
        <v>2</v>
      </c>
      <c r="I319">
        <v>1</v>
      </c>
      <c r="J319">
        <v>2</v>
      </c>
      <c r="K319">
        <v>1</v>
      </c>
      <c r="L319">
        <v>2</v>
      </c>
      <c r="M319">
        <v>2</v>
      </c>
      <c r="N319">
        <v>2</v>
      </c>
      <c r="O319">
        <v>2</v>
      </c>
      <c r="P319">
        <v>2</v>
      </c>
      <c r="Q319">
        <v>2</v>
      </c>
      <c r="R319">
        <v>2</v>
      </c>
      <c r="S319">
        <v>1</v>
      </c>
      <c r="T319">
        <v>1</v>
      </c>
      <c r="U319">
        <v>1</v>
      </c>
      <c r="V319">
        <v>3</v>
      </c>
      <c r="W319">
        <v>3</v>
      </c>
      <c r="X319">
        <v>2</v>
      </c>
      <c r="Y319">
        <v>2</v>
      </c>
      <c r="Z319">
        <v>2</v>
      </c>
      <c r="AA319">
        <v>2</v>
      </c>
      <c r="AB319">
        <v>2</v>
      </c>
      <c r="AC319">
        <v>1</v>
      </c>
      <c r="AD319">
        <v>2</v>
      </c>
      <c r="AE319">
        <v>3</v>
      </c>
      <c r="AF319">
        <v>2</v>
      </c>
      <c r="AG319">
        <v>2</v>
      </c>
      <c r="AH319">
        <v>2</v>
      </c>
      <c r="AI319">
        <v>2</v>
      </c>
      <c r="AJ319">
        <v>2</v>
      </c>
      <c r="AK319">
        <v>2</v>
      </c>
      <c r="AL319">
        <v>1</v>
      </c>
      <c r="AM319">
        <v>2</v>
      </c>
      <c r="AN319">
        <v>1</v>
      </c>
      <c r="AO319">
        <v>2</v>
      </c>
      <c r="AP319" t="str">
        <f>SUM(B319:AO319)</f>
        <v>0</v>
      </c>
    </row>
    <row r="320" spans="1:43">
      <c r="A320" t="s">
        <v>345</v>
      </c>
      <c r="B320">
        <v>2</v>
      </c>
      <c r="C320">
        <v>1</v>
      </c>
      <c r="D320">
        <v>2</v>
      </c>
      <c r="E320">
        <v>1</v>
      </c>
      <c r="F320">
        <v>2</v>
      </c>
      <c r="G320">
        <v>2</v>
      </c>
      <c r="H320">
        <v>1</v>
      </c>
      <c r="I320">
        <v>2</v>
      </c>
      <c r="J320">
        <v>2</v>
      </c>
      <c r="K320">
        <v>1</v>
      </c>
      <c r="L320">
        <v>2</v>
      </c>
      <c r="M320">
        <v>1</v>
      </c>
      <c r="N320">
        <v>1</v>
      </c>
      <c r="O320">
        <v>2</v>
      </c>
      <c r="P320">
        <v>1</v>
      </c>
      <c r="Q320">
        <v>1</v>
      </c>
      <c r="R320">
        <v>2</v>
      </c>
      <c r="S320">
        <v>1</v>
      </c>
      <c r="T320">
        <v>2</v>
      </c>
      <c r="U320">
        <v>2</v>
      </c>
      <c r="V320">
        <v>2</v>
      </c>
      <c r="W320">
        <v>2</v>
      </c>
      <c r="X320">
        <v>1</v>
      </c>
      <c r="Y320">
        <v>1</v>
      </c>
      <c r="Z320">
        <v>2</v>
      </c>
      <c r="AA320">
        <v>2</v>
      </c>
      <c r="AB320">
        <v>1</v>
      </c>
      <c r="AC320">
        <v>1</v>
      </c>
      <c r="AD320">
        <v>1</v>
      </c>
      <c r="AE320">
        <v>2</v>
      </c>
      <c r="AF320">
        <v>1</v>
      </c>
      <c r="AG320">
        <v>1</v>
      </c>
      <c r="AH320">
        <v>2</v>
      </c>
      <c r="AI320">
        <v>1</v>
      </c>
      <c r="AJ320">
        <v>2</v>
      </c>
      <c r="AK320">
        <v>2</v>
      </c>
      <c r="AL320">
        <v>1</v>
      </c>
      <c r="AM320">
        <v>1</v>
      </c>
      <c r="AN320">
        <v>1</v>
      </c>
      <c r="AO320">
        <v>2</v>
      </c>
      <c r="AP320" t="str">
        <f>SUM(B320:AO320)</f>
        <v>0</v>
      </c>
    </row>
    <row r="321" spans="1:43">
      <c r="A321" t="s">
        <v>346</v>
      </c>
      <c r="B321">
        <v>1</v>
      </c>
      <c r="C321">
        <v>2</v>
      </c>
      <c r="D321">
        <v>2</v>
      </c>
      <c r="E321">
        <v>1</v>
      </c>
      <c r="F321">
        <v>1</v>
      </c>
      <c r="G321">
        <v>2</v>
      </c>
      <c r="H321">
        <v>2</v>
      </c>
      <c r="I321">
        <v>1</v>
      </c>
      <c r="J321">
        <v>1</v>
      </c>
      <c r="K321">
        <v>1</v>
      </c>
      <c r="L321">
        <v>2</v>
      </c>
      <c r="M321">
        <v>2</v>
      </c>
      <c r="N321">
        <v>1</v>
      </c>
      <c r="O321">
        <v>1</v>
      </c>
      <c r="P321">
        <v>1</v>
      </c>
      <c r="Q321">
        <v>1</v>
      </c>
      <c r="R321">
        <v>1</v>
      </c>
      <c r="S321">
        <v>2</v>
      </c>
      <c r="T321">
        <v>2</v>
      </c>
      <c r="U321">
        <v>2</v>
      </c>
      <c r="V321">
        <v>2</v>
      </c>
      <c r="W321">
        <v>1</v>
      </c>
      <c r="X321">
        <v>1</v>
      </c>
      <c r="Y321">
        <v>1</v>
      </c>
      <c r="Z321">
        <v>1</v>
      </c>
      <c r="AA321">
        <v>1</v>
      </c>
      <c r="AB321">
        <v>2</v>
      </c>
      <c r="AC321">
        <v>2</v>
      </c>
      <c r="AD321">
        <v>1</v>
      </c>
      <c r="AE321">
        <v>1</v>
      </c>
      <c r="AF321">
        <v>1</v>
      </c>
      <c r="AG321">
        <v>1</v>
      </c>
      <c r="AH321">
        <v>1</v>
      </c>
      <c r="AI321">
        <v>1</v>
      </c>
      <c r="AJ321">
        <v>1</v>
      </c>
      <c r="AK321">
        <v>2</v>
      </c>
      <c r="AL321">
        <v>1</v>
      </c>
      <c r="AM321">
        <v>2</v>
      </c>
      <c r="AN321">
        <v>1</v>
      </c>
      <c r="AO321">
        <v>2</v>
      </c>
      <c r="AP321" t="str">
        <f>SUM(B321:AO321)</f>
        <v>0</v>
      </c>
    </row>
    <row r="322" spans="1:43">
      <c r="A322" t="s">
        <v>347</v>
      </c>
      <c r="B322">
        <v>1</v>
      </c>
      <c r="C322">
        <v>2</v>
      </c>
      <c r="D322">
        <v>1</v>
      </c>
      <c r="E322">
        <v>2</v>
      </c>
      <c r="F322">
        <v>1</v>
      </c>
      <c r="G322">
        <v>1</v>
      </c>
      <c r="H322">
        <v>1</v>
      </c>
      <c r="I322">
        <v>1</v>
      </c>
      <c r="J322">
        <v>1</v>
      </c>
      <c r="K322">
        <v>1</v>
      </c>
      <c r="L322">
        <v>1</v>
      </c>
      <c r="M322">
        <v>1</v>
      </c>
      <c r="N322">
        <v>1</v>
      </c>
      <c r="O322">
        <v>2</v>
      </c>
      <c r="P322">
        <v>2</v>
      </c>
      <c r="Q322">
        <v>1</v>
      </c>
      <c r="R322">
        <v>2</v>
      </c>
      <c r="S322">
        <v>1</v>
      </c>
      <c r="T322">
        <v>1</v>
      </c>
      <c r="U322">
        <v>2</v>
      </c>
      <c r="V322">
        <v>1</v>
      </c>
      <c r="W322">
        <v>1</v>
      </c>
      <c r="X322">
        <v>1</v>
      </c>
      <c r="Y322">
        <v>1</v>
      </c>
      <c r="Z322">
        <v>1</v>
      </c>
      <c r="AA322">
        <v>2</v>
      </c>
      <c r="AB322">
        <v>1</v>
      </c>
      <c r="AC322">
        <v>1</v>
      </c>
      <c r="AD322">
        <v>1</v>
      </c>
      <c r="AE322">
        <v>1</v>
      </c>
      <c r="AF322">
        <v>1</v>
      </c>
      <c r="AG322">
        <v>1</v>
      </c>
      <c r="AH322">
        <v>1</v>
      </c>
      <c r="AI322">
        <v>2</v>
      </c>
      <c r="AJ322">
        <v>1</v>
      </c>
      <c r="AK322">
        <v>1</v>
      </c>
      <c r="AL322">
        <v>2</v>
      </c>
      <c r="AM322">
        <v>1</v>
      </c>
      <c r="AN322">
        <v>1</v>
      </c>
      <c r="AO322">
        <v>1</v>
      </c>
      <c r="AP322" t="str">
        <f>SUM(B322:AO322)</f>
        <v>0</v>
      </c>
    </row>
    <row r="323" spans="1:43">
      <c r="A323" t="s">
        <v>348</v>
      </c>
      <c r="B323">
        <v>2</v>
      </c>
      <c r="C323">
        <v>2</v>
      </c>
      <c r="D323">
        <v>3</v>
      </c>
      <c r="E323">
        <v>2</v>
      </c>
      <c r="F323">
        <v>2</v>
      </c>
      <c r="G323">
        <v>2</v>
      </c>
      <c r="H323">
        <v>2</v>
      </c>
      <c r="I323">
        <v>2</v>
      </c>
      <c r="J323">
        <v>3</v>
      </c>
      <c r="K323">
        <v>3</v>
      </c>
      <c r="L323">
        <v>3</v>
      </c>
      <c r="M323">
        <v>2</v>
      </c>
      <c r="N323">
        <v>2</v>
      </c>
      <c r="O323">
        <v>2</v>
      </c>
      <c r="P323">
        <v>1</v>
      </c>
      <c r="Q323">
        <v>2</v>
      </c>
      <c r="R323">
        <v>2</v>
      </c>
      <c r="S323">
        <v>2</v>
      </c>
      <c r="T323">
        <v>2</v>
      </c>
      <c r="U323">
        <v>2</v>
      </c>
      <c r="V323">
        <v>2</v>
      </c>
      <c r="W323">
        <v>2</v>
      </c>
      <c r="X323">
        <v>2</v>
      </c>
      <c r="Y323">
        <v>2</v>
      </c>
      <c r="Z323">
        <v>3</v>
      </c>
      <c r="AA323">
        <v>2</v>
      </c>
      <c r="AB323">
        <v>2</v>
      </c>
      <c r="AC323">
        <v>3</v>
      </c>
      <c r="AD323">
        <v>2</v>
      </c>
      <c r="AE323">
        <v>2</v>
      </c>
      <c r="AF323">
        <v>3</v>
      </c>
      <c r="AG323">
        <v>1</v>
      </c>
      <c r="AH323">
        <v>2</v>
      </c>
      <c r="AI323">
        <v>1</v>
      </c>
      <c r="AJ323">
        <v>3</v>
      </c>
      <c r="AK323">
        <v>2</v>
      </c>
      <c r="AL323">
        <v>2</v>
      </c>
      <c r="AM323">
        <v>3</v>
      </c>
      <c r="AN323">
        <v>2</v>
      </c>
      <c r="AO323">
        <v>2</v>
      </c>
      <c r="AP323" t="str">
        <f>SUM(B323:AO323)</f>
        <v>0</v>
      </c>
    </row>
    <row r="324" spans="1:43">
      <c r="A324" t="s">
        <v>349</v>
      </c>
      <c r="B324">
        <v>2</v>
      </c>
      <c r="C324">
        <v>1</v>
      </c>
      <c r="D324">
        <v>1</v>
      </c>
      <c r="E324">
        <v>2</v>
      </c>
      <c r="F324">
        <v>2</v>
      </c>
      <c r="G324">
        <v>2</v>
      </c>
      <c r="H324">
        <v>2</v>
      </c>
      <c r="I324">
        <v>2</v>
      </c>
      <c r="J324">
        <v>1</v>
      </c>
      <c r="K324">
        <v>2</v>
      </c>
      <c r="L324">
        <v>2</v>
      </c>
      <c r="M324">
        <v>2</v>
      </c>
      <c r="N324">
        <v>1</v>
      </c>
      <c r="O324">
        <v>2</v>
      </c>
      <c r="P324">
        <v>1</v>
      </c>
      <c r="Q324">
        <v>2</v>
      </c>
      <c r="R324">
        <v>2</v>
      </c>
      <c r="S324">
        <v>2</v>
      </c>
      <c r="T324">
        <v>2</v>
      </c>
      <c r="U324">
        <v>2</v>
      </c>
      <c r="V324">
        <v>2</v>
      </c>
      <c r="W324">
        <v>2</v>
      </c>
      <c r="X324">
        <v>2</v>
      </c>
      <c r="Y324">
        <v>2</v>
      </c>
      <c r="Z324">
        <v>2</v>
      </c>
      <c r="AA324">
        <v>2</v>
      </c>
      <c r="AB324">
        <v>1</v>
      </c>
      <c r="AC324">
        <v>2</v>
      </c>
      <c r="AD324">
        <v>1</v>
      </c>
      <c r="AE324">
        <v>2</v>
      </c>
      <c r="AF324">
        <v>2</v>
      </c>
      <c r="AG324">
        <v>2</v>
      </c>
      <c r="AH324">
        <v>2</v>
      </c>
      <c r="AI324">
        <v>2</v>
      </c>
      <c r="AJ324">
        <v>1</v>
      </c>
      <c r="AK324">
        <v>2</v>
      </c>
      <c r="AL324">
        <v>2</v>
      </c>
      <c r="AM324">
        <v>2</v>
      </c>
      <c r="AN324">
        <v>2</v>
      </c>
      <c r="AO324">
        <v>1</v>
      </c>
      <c r="AP324" t="str">
        <f>SUM(B324:AO324)</f>
        <v>0</v>
      </c>
    </row>
    <row r="325" spans="1:43">
      <c r="A325" t="s">
        <v>350</v>
      </c>
      <c r="B325">
        <v>2</v>
      </c>
      <c r="C325">
        <v>3</v>
      </c>
      <c r="D325">
        <v>2</v>
      </c>
      <c r="E325">
        <v>2</v>
      </c>
      <c r="F325">
        <v>2</v>
      </c>
      <c r="G325">
        <v>3</v>
      </c>
      <c r="H325">
        <v>2</v>
      </c>
      <c r="I325">
        <v>2</v>
      </c>
      <c r="J325">
        <v>2</v>
      </c>
      <c r="K325">
        <v>2</v>
      </c>
      <c r="L325">
        <v>2</v>
      </c>
      <c r="M325">
        <v>2</v>
      </c>
      <c r="N325">
        <v>2</v>
      </c>
      <c r="O325">
        <v>2</v>
      </c>
      <c r="P325">
        <v>2</v>
      </c>
      <c r="Q325">
        <v>3</v>
      </c>
      <c r="R325">
        <v>2</v>
      </c>
      <c r="S325">
        <v>3</v>
      </c>
      <c r="T325">
        <v>2</v>
      </c>
      <c r="U325">
        <v>3</v>
      </c>
      <c r="V325">
        <v>2</v>
      </c>
      <c r="W325">
        <v>2</v>
      </c>
      <c r="X325">
        <v>2</v>
      </c>
      <c r="Y325">
        <v>2</v>
      </c>
      <c r="Z325">
        <v>2</v>
      </c>
      <c r="AA325">
        <v>2</v>
      </c>
      <c r="AB325">
        <v>3</v>
      </c>
      <c r="AC325">
        <v>2</v>
      </c>
      <c r="AD325">
        <v>3</v>
      </c>
      <c r="AE325">
        <v>2</v>
      </c>
      <c r="AF325">
        <v>3</v>
      </c>
      <c r="AG325">
        <v>2</v>
      </c>
      <c r="AH325">
        <v>3</v>
      </c>
      <c r="AI325">
        <v>2</v>
      </c>
      <c r="AJ325">
        <v>3</v>
      </c>
      <c r="AK325">
        <v>3</v>
      </c>
      <c r="AL325">
        <v>2</v>
      </c>
      <c r="AM325">
        <v>3</v>
      </c>
      <c r="AN325">
        <v>2</v>
      </c>
      <c r="AO325">
        <v>2</v>
      </c>
      <c r="AP325" t="str">
        <f>SUM(B325:AO325)</f>
        <v>0</v>
      </c>
    </row>
    <row r="326" spans="1:43">
      <c r="A326" t="s">
        <v>351</v>
      </c>
      <c r="B326">
        <v>3</v>
      </c>
      <c r="C326">
        <v>2</v>
      </c>
      <c r="D326">
        <v>2</v>
      </c>
      <c r="E326">
        <v>2</v>
      </c>
      <c r="F326">
        <v>1</v>
      </c>
      <c r="G326">
        <v>3</v>
      </c>
      <c r="H326">
        <v>3</v>
      </c>
      <c r="I326">
        <v>2</v>
      </c>
      <c r="J326">
        <v>2</v>
      </c>
      <c r="K326">
        <v>2</v>
      </c>
      <c r="L326">
        <v>2</v>
      </c>
      <c r="M326">
        <v>2</v>
      </c>
      <c r="N326">
        <v>2</v>
      </c>
      <c r="O326">
        <v>2</v>
      </c>
      <c r="P326">
        <v>2</v>
      </c>
      <c r="Q326">
        <v>2</v>
      </c>
      <c r="R326">
        <v>3</v>
      </c>
      <c r="S326">
        <v>3</v>
      </c>
      <c r="T326">
        <v>3</v>
      </c>
      <c r="U326">
        <v>2</v>
      </c>
      <c r="V326">
        <v>3</v>
      </c>
      <c r="W326">
        <v>2</v>
      </c>
      <c r="X326">
        <v>2</v>
      </c>
      <c r="Y326">
        <v>1</v>
      </c>
      <c r="Z326">
        <v>2</v>
      </c>
      <c r="AA326">
        <v>3</v>
      </c>
      <c r="AB326">
        <v>2</v>
      </c>
      <c r="AC326">
        <v>2</v>
      </c>
      <c r="AD326">
        <v>2</v>
      </c>
      <c r="AE326">
        <v>2</v>
      </c>
      <c r="AF326">
        <v>2</v>
      </c>
      <c r="AG326">
        <v>3</v>
      </c>
      <c r="AH326">
        <v>2</v>
      </c>
      <c r="AI326">
        <v>2</v>
      </c>
      <c r="AJ326">
        <v>3</v>
      </c>
      <c r="AK326">
        <v>2</v>
      </c>
      <c r="AL326">
        <v>2</v>
      </c>
      <c r="AM326">
        <v>2</v>
      </c>
      <c r="AN326">
        <v>2</v>
      </c>
      <c r="AO326">
        <v>3</v>
      </c>
      <c r="AP326" t="str">
        <f>SUM(B326:AO326)</f>
        <v>0</v>
      </c>
    </row>
    <row r="327" spans="1:43">
      <c r="A327" t="s">
        <v>352</v>
      </c>
      <c r="B327">
        <v>1</v>
      </c>
      <c r="C327">
        <v>2</v>
      </c>
      <c r="D327">
        <v>2</v>
      </c>
      <c r="E327">
        <v>2</v>
      </c>
      <c r="F327">
        <v>1</v>
      </c>
      <c r="G327">
        <v>2</v>
      </c>
      <c r="H327">
        <v>1</v>
      </c>
      <c r="I327">
        <v>2</v>
      </c>
      <c r="J327">
        <v>1</v>
      </c>
      <c r="K327">
        <v>1</v>
      </c>
      <c r="L327">
        <v>1</v>
      </c>
      <c r="M327">
        <v>2</v>
      </c>
      <c r="N327">
        <v>2</v>
      </c>
      <c r="O327">
        <v>2</v>
      </c>
      <c r="P327">
        <v>2</v>
      </c>
      <c r="Q327">
        <v>2</v>
      </c>
      <c r="R327">
        <v>1</v>
      </c>
      <c r="S327">
        <v>2</v>
      </c>
      <c r="T327">
        <v>1</v>
      </c>
      <c r="U327">
        <v>1</v>
      </c>
      <c r="V327">
        <v>2</v>
      </c>
      <c r="W327">
        <v>2</v>
      </c>
      <c r="X327">
        <v>1</v>
      </c>
      <c r="Y327">
        <v>2</v>
      </c>
      <c r="Z327">
        <v>2</v>
      </c>
      <c r="AA327">
        <v>2</v>
      </c>
      <c r="AB327">
        <v>2</v>
      </c>
      <c r="AC327">
        <v>1</v>
      </c>
      <c r="AD327">
        <v>1</v>
      </c>
      <c r="AE327">
        <v>1</v>
      </c>
      <c r="AF327">
        <v>1</v>
      </c>
      <c r="AG327">
        <v>2</v>
      </c>
      <c r="AH327">
        <v>2</v>
      </c>
      <c r="AI327">
        <v>2</v>
      </c>
      <c r="AJ327">
        <v>1</v>
      </c>
      <c r="AK327">
        <v>1</v>
      </c>
      <c r="AL327">
        <v>2</v>
      </c>
      <c r="AM327">
        <v>1</v>
      </c>
      <c r="AN327">
        <v>2</v>
      </c>
      <c r="AO327">
        <v>1</v>
      </c>
      <c r="AP327" t="str">
        <f>SUM(B327:AO327)</f>
        <v>0</v>
      </c>
    </row>
    <row r="328" spans="1:43">
      <c r="A328" t="s">
        <v>353</v>
      </c>
      <c r="B328">
        <v>2</v>
      </c>
      <c r="C328">
        <v>1</v>
      </c>
      <c r="D328">
        <v>2</v>
      </c>
      <c r="E328">
        <v>2</v>
      </c>
      <c r="F328">
        <v>2</v>
      </c>
      <c r="G328">
        <v>2</v>
      </c>
      <c r="H328">
        <v>3</v>
      </c>
      <c r="I328">
        <v>2</v>
      </c>
      <c r="J328">
        <v>2</v>
      </c>
      <c r="K328">
        <v>1</v>
      </c>
      <c r="L328">
        <v>1</v>
      </c>
      <c r="M328">
        <v>1</v>
      </c>
      <c r="N328">
        <v>1</v>
      </c>
      <c r="O328">
        <v>2</v>
      </c>
      <c r="P328">
        <v>1</v>
      </c>
      <c r="Q328">
        <v>2</v>
      </c>
      <c r="R328">
        <v>2</v>
      </c>
      <c r="S328">
        <v>2</v>
      </c>
      <c r="T328">
        <v>2</v>
      </c>
      <c r="U328">
        <v>1</v>
      </c>
      <c r="V328">
        <v>2</v>
      </c>
      <c r="W328">
        <v>2</v>
      </c>
      <c r="X328">
        <v>1</v>
      </c>
      <c r="Y328">
        <v>2</v>
      </c>
      <c r="Z328">
        <v>2</v>
      </c>
      <c r="AA328">
        <v>2</v>
      </c>
      <c r="AB328">
        <v>2</v>
      </c>
      <c r="AC328">
        <v>2</v>
      </c>
      <c r="AD328">
        <v>2</v>
      </c>
      <c r="AE328">
        <v>2</v>
      </c>
      <c r="AF328">
        <v>2</v>
      </c>
      <c r="AG328">
        <v>2</v>
      </c>
      <c r="AH328">
        <v>3</v>
      </c>
      <c r="AI328">
        <v>2</v>
      </c>
      <c r="AJ328">
        <v>2</v>
      </c>
      <c r="AK328">
        <v>2</v>
      </c>
      <c r="AL328">
        <v>2</v>
      </c>
      <c r="AM328">
        <v>2</v>
      </c>
      <c r="AN328">
        <v>1</v>
      </c>
      <c r="AO328">
        <v>2</v>
      </c>
      <c r="AP328" t="str">
        <f>SUM(B328:AO328)</f>
        <v>0</v>
      </c>
    </row>
    <row r="329" spans="1:43">
      <c r="A329" t="s">
        <v>354</v>
      </c>
      <c r="B329">
        <v>2</v>
      </c>
      <c r="C329">
        <v>2</v>
      </c>
      <c r="D329">
        <v>2</v>
      </c>
      <c r="E329">
        <v>1</v>
      </c>
      <c r="F329">
        <v>1</v>
      </c>
      <c r="G329">
        <v>1</v>
      </c>
      <c r="H329">
        <v>2</v>
      </c>
      <c r="I329">
        <v>1</v>
      </c>
      <c r="J329">
        <v>1</v>
      </c>
      <c r="K329">
        <v>1</v>
      </c>
      <c r="L329">
        <v>1</v>
      </c>
      <c r="M329">
        <v>1</v>
      </c>
      <c r="N329">
        <v>2</v>
      </c>
      <c r="O329">
        <v>2</v>
      </c>
      <c r="P329">
        <v>1</v>
      </c>
      <c r="Q329">
        <v>2</v>
      </c>
      <c r="R329">
        <v>2</v>
      </c>
      <c r="S329">
        <v>1</v>
      </c>
      <c r="T329">
        <v>1</v>
      </c>
      <c r="U329">
        <v>1</v>
      </c>
      <c r="V329">
        <v>2</v>
      </c>
      <c r="W329">
        <v>1</v>
      </c>
      <c r="X329">
        <v>2</v>
      </c>
      <c r="Y329">
        <v>1</v>
      </c>
      <c r="Z329">
        <v>1</v>
      </c>
      <c r="AA329">
        <v>2</v>
      </c>
      <c r="AB329">
        <v>2</v>
      </c>
      <c r="AC329">
        <v>1</v>
      </c>
      <c r="AD329">
        <v>1</v>
      </c>
      <c r="AE329">
        <v>1</v>
      </c>
      <c r="AF329">
        <v>2</v>
      </c>
      <c r="AG329">
        <v>1</v>
      </c>
      <c r="AH329">
        <v>2</v>
      </c>
      <c r="AI329">
        <v>2</v>
      </c>
      <c r="AJ329">
        <v>1</v>
      </c>
      <c r="AK329">
        <v>1</v>
      </c>
      <c r="AL329">
        <v>2</v>
      </c>
      <c r="AM329">
        <v>2</v>
      </c>
      <c r="AN329">
        <v>1</v>
      </c>
      <c r="AO329">
        <v>1</v>
      </c>
      <c r="AP329" t="str">
        <f>SUM(B329:AO329)</f>
        <v>0</v>
      </c>
    </row>
    <row r="330" spans="1:43">
      <c r="A330" t="s">
        <v>355</v>
      </c>
      <c r="B330">
        <v>1</v>
      </c>
      <c r="C330">
        <v>2</v>
      </c>
      <c r="D330">
        <v>2</v>
      </c>
      <c r="E330">
        <v>2</v>
      </c>
      <c r="F330">
        <v>1</v>
      </c>
      <c r="G330">
        <v>2</v>
      </c>
      <c r="H330">
        <v>2</v>
      </c>
      <c r="I330">
        <v>2</v>
      </c>
      <c r="J330">
        <v>1</v>
      </c>
      <c r="K330">
        <v>1</v>
      </c>
      <c r="L330">
        <v>1</v>
      </c>
      <c r="M330">
        <v>2</v>
      </c>
      <c r="N330">
        <v>1</v>
      </c>
      <c r="O330">
        <v>2</v>
      </c>
      <c r="P330">
        <v>1</v>
      </c>
      <c r="Q330">
        <v>2</v>
      </c>
      <c r="R330">
        <v>2</v>
      </c>
      <c r="S330">
        <v>2</v>
      </c>
      <c r="T330">
        <v>1</v>
      </c>
      <c r="U330">
        <v>2</v>
      </c>
      <c r="V330">
        <v>2</v>
      </c>
      <c r="W330">
        <v>1</v>
      </c>
      <c r="X330">
        <v>2</v>
      </c>
      <c r="Y330">
        <v>1</v>
      </c>
      <c r="Z330">
        <v>1</v>
      </c>
      <c r="AA330">
        <v>2</v>
      </c>
      <c r="AB330">
        <v>1</v>
      </c>
      <c r="AC330">
        <v>1</v>
      </c>
      <c r="AD330">
        <v>2</v>
      </c>
      <c r="AE330">
        <v>2</v>
      </c>
      <c r="AF330">
        <v>1</v>
      </c>
      <c r="AG330">
        <v>2</v>
      </c>
      <c r="AH330">
        <v>2</v>
      </c>
      <c r="AI330">
        <v>1</v>
      </c>
      <c r="AJ330">
        <v>2</v>
      </c>
      <c r="AK330">
        <v>2</v>
      </c>
      <c r="AL330">
        <v>2</v>
      </c>
      <c r="AM330">
        <v>2</v>
      </c>
      <c r="AN330">
        <v>1</v>
      </c>
      <c r="AO330">
        <v>2</v>
      </c>
      <c r="AP330" t="str">
        <f>SUM(B330:AO330)</f>
        <v>0</v>
      </c>
    </row>
    <row r="331" spans="1:43">
      <c r="A331" t="s">
        <v>356</v>
      </c>
      <c r="B331">
        <v>1</v>
      </c>
      <c r="C331">
        <v>2</v>
      </c>
      <c r="D331">
        <v>1</v>
      </c>
      <c r="E331">
        <v>1</v>
      </c>
      <c r="F331">
        <v>1</v>
      </c>
      <c r="G331">
        <v>1</v>
      </c>
      <c r="H331">
        <v>1</v>
      </c>
      <c r="I331">
        <v>1</v>
      </c>
      <c r="J331">
        <v>1</v>
      </c>
      <c r="K331">
        <v>2</v>
      </c>
      <c r="L331">
        <v>1</v>
      </c>
      <c r="M331">
        <v>2</v>
      </c>
      <c r="N331">
        <v>1</v>
      </c>
      <c r="O331">
        <v>2</v>
      </c>
      <c r="P331">
        <v>2</v>
      </c>
      <c r="Q331">
        <v>2</v>
      </c>
      <c r="R331">
        <v>1</v>
      </c>
      <c r="S331">
        <v>1</v>
      </c>
      <c r="T331">
        <v>1</v>
      </c>
      <c r="U331">
        <v>2</v>
      </c>
      <c r="V331">
        <v>1</v>
      </c>
      <c r="W331">
        <v>2</v>
      </c>
      <c r="X331">
        <v>2</v>
      </c>
      <c r="Y331">
        <v>2</v>
      </c>
      <c r="Z331">
        <v>2</v>
      </c>
      <c r="AA331">
        <v>2</v>
      </c>
      <c r="AB331">
        <v>1</v>
      </c>
      <c r="AC331">
        <v>1</v>
      </c>
      <c r="AD331">
        <v>1</v>
      </c>
      <c r="AE331">
        <v>1</v>
      </c>
      <c r="AF331">
        <v>1</v>
      </c>
      <c r="AG331">
        <v>1</v>
      </c>
      <c r="AH331">
        <v>1</v>
      </c>
      <c r="AI331">
        <v>1</v>
      </c>
      <c r="AJ331">
        <v>1</v>
      </c>
      <c r="AK331">
        <v>1</v>
      </c>
      <c r="AL331">
        <v>1</v>
      </c>
      <c r="AM331">
        <v>1</v>
      </c>
      <c r="AN331">
        <v>1</v>
      </c>
      <c r="AO331">
        <v>1</v>
      </c>
      <c r="AP331" t="str">
        <f>SUM(B331:AO331)</f>
        <v>0</v>
      </c>
    </row>
    <row r="332" spans="1:43">
      <c r="A332" t="s">
        <v>357</v>
      </c>
      <c r="B332">
        <v>2</v>
      </c>
      <c r="C332">
        <v>1</v>
      </c>
      <c r="D332">
        <v>1</v>
      </c>
      <c r="E332">
        <v>1</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2</v>
      </c>
      <c r="AA332">
        <v>1</v>
      </c>
      <c r="AB332">
        <v>1</v>
      </c>
      <c r="AC332">
        <v>1</v>
      </c>
      <c r="AD332">
        <v>1</v>
      </c>
      <c r="AE332">
        <v>1</v>
      </c>
      <c r="AF332">
        <v>1</v>
      </c>
      <c r="AG332">
        <v>1</v>
      </c>
      <c r="AH332">
        <v>1</v>
      </c>
      <c r="AI332">
        <v>1</v>
      </c>
      <c r="AJ332">
        <v>1</v>
      </c>
      <c r="AK332">
        <v>1</v>
      </c>
      <c r="AL332">
        <v>1</v>
      </c>
      <c r="AM332">
        <v>1</v>
      </c>
      <c r="AN332">
        <v>1</v>
      </c>
      <c r="AO332">
        <v>1</v>
      </c>
      <c r="AP332" t="str">
        <f>SUM(B332:AO332)</f>
        <v>0</v>
      </c>
    </row>
    <row r="333" spans="1:43">
      <c r="A333" t="s">
        <v>358</v>
      </c>
      <c r="B333">
        <v>2</v>
      </c>
      <c r="C333">
        <v>2</v>
      </c>
      <c r="D333">
        <v>2</v>
      </c>
      <c r="E333">
        <v>2</v>
      </c>
      <c r="F333">
        <v>3</v>
      </c>
      <c r="G333">
        <v>3</v>
      </c>
      <c r="H333">
        <v>3</v>
      </c>
      <c r="I333">
        <v>3</v>
      </c>
      <c r="J333">
        <v>3</v>
      </c>
      <c r="K333">
        <v>3</v>
      </c>
      <c r="L333">
        <v>2</v>
      </c>
      <c r="M333">
        <v>2</v>
      </c>
      <c r="N333">
        <v>2</v>
      </c>
      <c r="O333">
        <v>2</v>
      </c>
      <c r="P333">
        <v>1</v>
      </c>
      <c r="Q333">
        <v>2</v>
      </c>
      <c r="R333">
        <v>3</v>
      </c>
      <c r="S333">
        <v>2</v>
      </c>
      <c r="T333">
        <v>2</v>
      </c>
      <c r="U333">
        <v>1</v>
      </c>
      <c r="V333">
        <v>2</v>
      </c>
      <c r="W333">
        <v>2</v>
      </c>
      <c r="X333">
        <v>2</v>
      </c>
      <c r="Y333">
        <v>2</v>
      </c>
      <c r="Z333">
        <v>2</v>
      </c>
      <c r="AA333">
        <v>2</v>
      </c>
      <c r="AB333">
        <v>2</v>
      </c>
      <c r="AC333">
        <v>2</v>
      </c>
      <c r="AD333">
        <v>2</v>
      </c>
      <c r="AE333">
        <v>2</v>
      </c>
      <c r="AF333">
        <v>2</v>
      </c>
      <c r="AG333">
        <v>2</v>
      </c>
      <c r="AH333">
        <v>2</v>
      </c>
      <c r="AI333">
        <v>2</v>
      </c>
      <c r="AJ333">
        <v>3</v>
      </c>
      <c r="AK333">
        <v>2</v>
      </c>
      <c r="AL333">
        <v>2</v>
      </c>
      <c r="AM333">
        <v>2</v>
      </c>
      <c r="AN333">
        <v>2</v>
      </c>
      <c r="AO333">
        <v>2</v>
      </c>
      <c r="AP333" t="str">
        <f>SUM(B333:AO333)</f>
        <v>0</v>
      </c>
    </row>
    <row r="334" spans="1:43">
      <c r="A334" t="s">
        <v>359</v>
      </c>
      <c r="B334">
        <v>1</v>
      </c>
      <c r="C334">
        <v>1</v>
      </c>
      <c r="D334">
        <v>2</v>
      </c>
      <c r="E334">
        <v>2</v>
      </c>
      <c r="F334">
        <v>1</v>
      </c>
      <c r="G334">
        <v>2</v>
      </c>
      <c r="H334">
        <v>2</v>
      </c>
      <c r="I334">
        <v>2</v>
      </c>
      <c r="J334">
        <v>2</v>
      </c>
      <c r="K334">
        <v>2</v>
      </c>
      <c r="L334">
        <v>1</v>
      </c>
      <c r="M334">
        <v>1</v>
      </c>
      <c r="N334">
        <v>1</v>
      </c>
      <c r="O334">
        <v>1</v>
      </c>
      <c r="P334">
        <v>2</v>
      </c>
      <c r="Q334">
        <v>2</v>
      </c>
      <c r="R334">
        <v>2</v>
      </c>
      <c r="S334">
        <v>1</v>
      </c>
      <c r="T334">
        <v>2</v>
      </c>
      <c r="U334">
        <v>2</v>
      </c>
      <c r="V334">
        <v>1</v>
      </c>
      <c r="W334">
        <v>1</v>
      </c>
      <c r="X334">
        <v>2</v>
      </c>
      <c r="Y334">
        <v>1</v>
      </c>
      <c r="Z334">
        <v>1</v>
      </c>
      <c r="AA334">
        <v>1</v>
      </c>
      <c r="AB334">
        <v>1</v>
      </c>
      <c r="AC334">
        <v>2</v>
      </c>
      <c r="AD334">
        <v>2</v>
      </c>
      <c r="AE334">
        <v>2</v>
      </c>
      <c r="AF334">
        <v>2</v>
      </c>
      <c r="AG334">
        <v>1</v>
      </c>
      <c r="AH334">
        <v>2</v>
      </c>
      <c r="AI334">
        <v>1</v>
      </c>
      <c r="AJ334">
        <v>2</v>
      </c>
      <c r="AK334">
        <v>2</v>
      </c>
      <c r="AL334">
        <v>1</v>
      </c>
      <c r="AM334">
        <v>2</v>
      </c>
      <c r="AN334">
        <v>1</v>
      </c>
      <c r="AO334">
        <v>2</v>
      </c>
      <c r="AP334" t="str">
        <f>SUM(B334:AO334)</f>
        <v>0</v>
      </c>
    </row>
    <row r="335" spans="1:43">
      <c r="A335" t="s">
        <v>360</v>
      </c>
      <c r="B335">
        <v>1</v>
      </c>
      <c r="C335">
        <v>2</v>
      </c>
      <c r="D335">
        <v>2</v>
      </c>
      <c r="E335">
        <v>1</v>
      </c>
      <c r="F335">
        <v>2</v>
      </c>
      <c r="G335">
        <v>2</v>
      </c>
      <c r="H335">
        <v>2</v>
      </c>
      <c r="I335">
        <v>2</v>
      </c>
      <c r="J335">
        <v>2</v>
      </c>
      <c r="K335">
        <v>1</v>
      </c>
      <c r="L335">
        <v>1</v>
      </c>
      <c r="M335">
        <v>2</v>
      </c>
      <c r="N335">
        <v>1</v>
      </c>
      <c r="O335">
        <v>2</v>
      </c>
      <c r="P335">
        <v>1</v>
      </c>
      <c r="Q335">
        <v>2</v>
      </c>
      <c r="R335">
        <v>1</v>
      </c>
      <c r="S335">
        <v>2</v>
      </c>
      <c r="T335">
        <v>2</v>
      </c>
      <c r="U335">
        <v>2</v>
      </c>
      <c r="V335">
        <v>1</v>
      </c>
      <c r="W335">
        <v>2</v>
      </c>
      <c r="X335">
        <v>1</v>
      </c>
      <c r="Y335">
        <v>2</v>
      </c>
      <c r="Z335">
        <v>2</v>
      </c>
      <c r="AA335">
        <v>1</v>
      </c>
      <c r="AB335">
        <v>1</v>
      </c>
      <c r="AC335">
        <v>1</v>
      </c>
      <c r="AD335">
        <v>1</v>
      </c>
      <c r="AE335">
        <v>2</v>
      </c>
      <c r="AF335">
        <v>1</v>
      </c>
      <c r="AG335">
        <v>1</v>
      </c>
      <c r="AH335">
        <v>1</v>
      </c>
      <c r="AI335">
        <v>2</v>
      </c>
      <c r="AJ335">
        <v>1</v>
      </c>
      <c r="AK335">
        <v>1</v>
      </c>
      <c r="AL335">
        <v>1</v>
      </c>
      <c r="AM335">
        <v>2</v>
      </c>
      <c r="AN335">
        <v>2</v>
      </c>
      <c r="AO335">
        <v>2</v>
      </c>
      <c r="AP335" t="str">
        <f>SUM(B335:AO335)</f>
        <v>0</v>
      </c>
    </row>
    <row r="336" spans="1:43">
      <c r="A336" t="s">
        <v>361</v>
      </c>
      <c r="B336">
        <v>2</v>
      </c>
      <c r="C336">
        <v>2</v>
      </c>
      <c r="D336">
        <v>2</v>
      </c>
      <c r="E336">
        <v>2</v>
      </c>
      <c r="F336">
        <v>2</v>
      </c>
      <c r="G336">
        <v>1</v>
      </c>
      <c r="H336">
        <v>1</v>
      </c>
      <c r="I336">
        <v>2</v>
      </c>
      <c r="J336">
        <v>2</v>
      </c>
      <c r="K336">
        <v>1</v>
      </c>
      <c r="L336">
        <v>1</v>
      </c>
      <c r="M336">
        <v>2</v>
      </c>
      <c r="N336">
        <v>2</v>
      </c>
      <c r="O336">
        <v>2</v>
      </c>
      <c r="P336">
        <v>2</v>
      </c>
      <c r="Q336">
        <v>2</v>
      </c>
      <c r="R336">
        <v>2</v>
      </c>
      <c r="S336">
        <v>1</v>
      </c>
      <c r="T336">
        <v>2</v>
      </c>
      <c r="U336">
        <v>1</v>
      </c>
      <c r="V336">
        <v>2</v>
      </c>
      <c r="W336">
        <v>2</v>
      </c>
      <c r="X336">
        <v>2</v>
      </c>
      <c r="Y336">
        <v>2</v>
      </c>
      <c r="Z336">
        <v>2</v>
      </c>
      <c r="AA336">
        <v>2</v>
      </c>
      <c r="AB336">
        <v>2</v>
      </c>
      <c r="AC336">
        <v>1</v>
      </c>
      <c r="AD336">
        <v>2</v>
      </c>
      <c r="AE336">
        <v>2</v>
      </c>
      <c r="AF336">
        <v>1</v>
      </c>
      <c r="AG336">
        <v>2</v>
      </c>
      <c r="AH336">
        <v>1</v>
      </c>
      <c r="AI336">
        <v>2</v>
      </c>
      <c r="AJ336">
        <v>2</v>
      </c>
      <c r="AK336">
        <v>2</v>
      </c>
      <c r="AL336">
        <v>2</v>
      </c>
      <c r="AM336">
        <v>2</v>
      </c>
      <c r="AN336">
        <v>2</v>
      </c>
      <c r="AO336">
        <v>2</v>
      </c>
      <c r="AP336" t="str">
        <f>SUM(B336:AO336)</f>
        <v>0</v>
      </c>
    </row>
    <row r="337" spans="1:43">
      <c r="A337" t="s">
        <v>362</v>
      </c>
      <c r="B337">
        <v>1</v>
      </c>
      <c r="C337">
        <v>2</v>
      </c>
      <c r="D337">
        <v>1</v>
      </c>
      <c r="E337">
        <v>2</v>
      </c>
      <c r="F337">
        <v>1</v>
      </c>
      <c r="G337">
        <v>2</v>
      </c>
      <c r="H337">
        <v>2</v>
      </c>
      <c r="I337">
        <v>2</v>
      </c>
      <c r="J337">
        <v>2</v>
      </c>
      <c r="K337">
        <v>1</v>
      </c>
      <c r="L337">
        <v>1</v>
      </c>
      <c r="M337">
        <v>1</v>
      </c>
      <c r="N337">
        <v>1</v>
      </c>
      <c r="O337">
        <v>2</v>
      </c>
      <c r="P337">
        <v>2</v>
      </c>
      <c r="Q337">
        <v>1</v>
      </c>
      <c r="R337">
        <v>2</v>
      </c>
      <c r="S337">
        <v>2</v>
      </c>
      <c r="T337">
        <v>1</v>
      </c>
      <c r="U337">
        <v>2</v>
      </c>
      <c r="V337">
        <v>1</v>
      </c>
      <c r="W337">
        <v>2</v>
      </c>
      <c r="X337">
        <v>2</v>
      </c>
      <c r="Y337">
        <v>1</v>
      </c>
      <c r="Z337">
        <v>2</v>
      </c>
      <c r="AA337">
        <v>1</v>
      </c>
      <c r="AB337">
        <v>1</v>
      </c>
      <c r="AC337">
        <v>1</v>
      </c>
      <c r="AD337">
        <v>2</v>
      </c>
      <c r="AE337">
        <v>2</v>
      </c>
      <c r="AF337">
        <v>1</v>
      </c>
      <c r="AG337">
        <v>2</v>
      </c>
      <c r="AH337">
        <v>2</v>
      </c>
      <c r="AI337">
        <v>2</v>
      </c>
      <c r="AJ337">
        <v>2</v>
      </c>
      <c r="AK337">
        <v>1</v>
      </c>
      <c r="AL337">
        <v>2</v>
      </c>
      <c r="AM337">
        <v>2</v>
      </c>
      <c r="AN337">
        <v>1</v>
      </c>
      <c r="AO337">
        <v>2</v>
      </c>
      <c r="AP337" t="str">
        <f>SUM(B337:AO337)</f>
        <v>0</v>
      </c>
    </row>
    <row r="338" spans="1:43">
      <c r="A338" t="s">
        <v>363</v>
      </c>
      <c r="B338">
        <v>1</v>
      </c>
      <c r="C338">
        <v>2</v>
      </c>
      <c r="D338">
        <v>2</v>
      </c>
      <c r="E338">
        <v>2</v>
      </c>
      <c r="F338">
        <v>2</v>
      </c>
      <c r="G338">
        <v>2</v>
      </c>
      <c r="H338">
        <v>2</v>
      </c>
      <c r="I338">
        <v>2</v>
      </c>
      <c r="J338">
        <v>2</v>
      </c>
      <c r="K338">
        <v>1</v>
      </c>
      <c r="L338">
        <v>2</v>
      </c>
      <c r="M338">
        <v>2</v>
      </c>
      <c r="N338">
        <v>1</v>
      </c>
      <c r="O338">
        <v>2</v>
      </c>
      <c r="P338">
        <v>1</v>
      </c>
      <c r="Q338">
        <v>2</v>
      </c>
      <c r="R338">
        <v>1</v>
      </c>
      <c r="S338">
        <v>1</v>
      </c>
      <c r="T338">
        <v>1</v>
      </c>
      <c r="U338">
        <v>1</v>
      </c>
      <c r="V338">
        <v>1</v>
      </c>
      <c r="W338">
        <v>1</v>
      </c>
      <c r="X338">
        <v>1</v>
      </c>
      <c r="Y338">
        <v>1</v>
      </c>
      <c r="Z338">
        <v>2</v>
      </c>
      <c r="AA338">
        <v>2</v>
      </c>
      <c r="AB338">
        <v>1</v>
      </c>
      <c r="AC338">
        <v>2</v>
      </c>
      <c r="AD338">
        <v>2</v>
      </c>
      <c r="AE338">
        <v>1</v>
      </c>
      <c r="AF338">
        <v>1</v>
      </c>
      <c r="AG338">
        <v>1</v>
      </c>
      <c r="AH338">
        <v>1</v>
      </c>
      <c r="AI338">
        <v>1</v>
      </c>
      <c r="AJ338">
        <v>1</v>
      </c>
      <c r="AK338">
        <v>1</v>
      </c>
      <c r="AL338">
        <v>1</v>
      </c>
      <c r="AM338">
        <v>1</v>
      </c>
      <c r="AN338">
        <v>2</v>
      </c>
      <c r="AO338">
        <v>1</v>
      </c>
      <c r="AP338" t="str">
        <f>SUM(B338:AO338)</f>
        <v>0</v>
      </c>
    </row>
    <row r="339" spans="1:43">
      <c r="A339" t="s">
        <v>364</v>
      </c>
      <c r="B339">
        <v>2</v>
      </c>
      <c r="C339">
        <v>1</v>
      </c>
      <c r="D339">
        <v>2</v>
      </c>
      <c r="E339">
        <v>2</v>
      </c>
      <c r="F339">
        <v>3</v>
      </c>
      <c r="G339">
        <v>2</v>
      </c>
      <c r="H339">
        <v>2</v>
      </c>
      <c r="I339">
        <v>2</v>
      </c>
      <c r="J339">
        <v>2</v>
      </c>
      <c r="K339">
        <v>2</v>
      </c>
      <c r="L339">
        <v>2</v>
      </c>
      <c r="M339">
        <v>2</v>
      </c>
      <c r="N339">
        <v>2</v>
      </c>
      <c r="O339">
        <v>3</v>
      </c>
      <c r="P339">
        <v>3</v>
      </c>
      <c r="Q339">
        <v>3</v>
      </c>
      <c r="R339">
        <v>2</v>
      </c>
      <c r="S339">
        <v>2</v>
      </c>
      <c r="T339">
        <v>3</v>
      </c>
      <c r="U339">
        <v>2</v>
      </c>
      <c r="V339">
        <v>2</v>
      </c>
      <c r="W339">
        <v>2</v>
      </c>
      <c r="X339">
        <v>2</v>
      </c>
      <c r="Y339">
        <v>2</v>
      </c>
      <c r="Z339">
        <v>2</v>
      </c>
      <c r="AA339">
        <v>2</v>
      </c>
      <c r="AB339">
        <v>2</v>
      </c>
      <c r="AC339">
        <v>2</v>
      </c>
      <c r="AD339">
        <v>2</v>
      </c>
      <c r="AE339">
        <v>2</v>
      </c>
      <c r="AF339">
        <v>2</v>
      </c>
      <c r="AG339">
        <v>2</v>
      </c>
      <c r="AH339">
        <v>2</v>
      </c>
      <c r="AI339">
        <v>2</v>
      </c>
      <c r="AJ339">
        <v>2</v>
      </c>
      <c r="AK339">
        <v>1</v>
      </c>
      <c r="AL339">
        <v>2</v>
      </c>
      <c r="AM339">
        <v>2</v>
      </c>
      <c r="AN339">
        <v>2</v>
      </c>
      <c r="AO339">
        <v>1</v>
      </c>
      <c r="AP339" t="str">
        <f>SUM(B339:AO339)</f>
        <v>0</v>
      </c>
    </row>
    <row r="340" spans="1:43">
      <c r="A340" t="s">
        <v>365</v>
      </c>
      <c r="B340">
        <v>2</v>
      </c>
      <c r="C340">
        <v>1</v>
      </c>
      <c r="D340">
        <v>2</v>
      </c>
      <c r="E340">
        <v>1</v>
      </c>
      <c r="F340">
        <v>2</v>
      </c>
      <c r="G340">
        <v>2</v>
      </c>
      <c r="H340">
        <v>2</v>
      </c>
      <c r="I340">
        <v>2</v>
      </c>
      <c r="J340">
        <v>2</v>
      </c>
      <c r="K340">
        <v>2</v>
      </c>
      <c r="L340">
        <v>1</v>
      </c>
      <c r="M340">
        <v>2</v>
      </c>
      <c r="N340">
        <v>2</v>
      </c>
      <c r="O340">
        <v>1</v>
      </c>
      <c r="P340">
        <v>2</v>
      </c>
      <c r="Q340">
        <v>2</v>
      </c>
      <c r="R340">
        <v>1</v>
      </c>
      <c r="S340">
        <v>2</v>
      </c>
      <c r="T340">
        <v>2</v>
      </c>
      <c r="U340">
        <v>1</v>
      </c>
      <c r="V340">
        <v>2</v>
      </c>
      <c r="W340">
        <v>2</v>
      </c>
      <c r="X340">
        <v>2</v>
      </c>
      <c r="Y340">
        <v>2</v>
      </c>
      <c r="Z340">
        <v>2</v>
      </c>
      <c r="AA340">
        <v>2</v>
      </c>
      <c r="AB340">
        <v>2</v>
      </c>
      <c r="AC340">
        <v>2</v>
      </c>
      <c r="AD340">
        <v>2</v>
      </c>
      <c r="AE340">
        <v>2</v>
      </c>
      <c r="AF340">
        <v>2</v>
      </c>
      <c r="AG340">
        <v>1</v>
      </c>
      <c r="AH340">
        <v>2</v>
      </c>
      <c r="AI340">
        <v>2</v>
      </c>
      <c r="AJ340">
        <v>1</v>
      </c>
      <c r="AK340">
        <v>2</v>
      </c>
      <c r="AL340">
        <v>1</v>
      </c>
      <c r="AM340">
        <v>1</v>
      </c>
      <c r="AN340">
        <v>1</v>
      </c>
      <c r="AO340">
        <v>2</v>
      </c>
      <c r="AP340" t="str">
        <f>SUM(B340:AO340)</f>
        <v>0</v>
      </c>
    </row>
    <row r="341" spans="1:43">
      <c r="A341" t="s">
        <v>366</v>
      </c>
      <c r="B341">
        <v>1</v>
      </c>
      <c r="C341">
        <v>3</v>
      </c>
      <c r="D341">
        <v>2</v>
      </c>
      <c r="E341">
        <v>2</v>
      </c>
      <c r="F341">
        <v>2</v>
      </c>
      <c r="G341">
        <v>2</v>
      </c>
      <c r="H341">
        <v>1</v>
      </c>
      <c r="I341">
        <v>3</v>
      </c>
      <c r="J341">
        <v>2</v>
      </c>
      <c r="K341">
        <v>2</v>
      </c>
      <c r="L341">
        <v>3</v>
      </c>
      <c r="M341">
        <v>2</v>
      </c>
      <c r="N341">
        <v>2</v>
      </c>
      <c r="O341">
        <v>2</v>
      </c>
      <c r="P341">
        <v>3</v>
      </c>
      <c r="Q341">
        <v>3</v>
      </c>
      <c r="R341">
        <v>2</v>
      </c>
      <c r="S341">
        <v>2</v>
      </c>
      <c r="T341">
        <v>2</v>
      </c>
      <c r="U341">
        <v>2</v>
      </c>
      <c r="V341">
        <v>3</v>
      </c>
      <c r="W341">
        <v>2</v>
      </c>
      <c r="X341">
        <v>2</v>
      </c>
      <c r="Y341">
        <v>2</v>
      </c>
      <c r="Z341">
        <v>2</v>
      </c>
      <c r="AA341">
        <v>2</v>
      </c>
      <c r="AB341">
        <v>2</v>
      </c>
      <c r="AC341">
        <v>2</v>
      </c>
      <c r="AD341">
        <v>2</v>
      </c>
      <c r="AE341">
        <v>3</v>
      </c>
      <c r="AF341">
        <v>2</v>
      </c>
      <c r="AG341">
        <v>2</v>
      </c>
      <c r="AH341">
        <v>2</v>
      </c>
      <c r="AI341">
        <v>2</v>
      </c>
      <c r="AJ341">
        <v>2</v>
      </c>
      <c r="AK341">
        <v>2</v>
      </c>
      <c r="AL341">
        <v>2</v>
      </c>
      <c r="AM341">
        <v>1</v>
      </c>
      <c r="AN341">
        <v>2</v>
      </c>
      <c r="AO341">
        <v>2</v>
      </c>
      <c r="AP341" t="str">
        <f>SUM(B341:AO341)</f>
        <v>0</v>
      </c>
    </row>
    <row r="342" spans="1:43">
      <c r="A342" t="s">
        <v>367</v>
      </c>
      <c r="B342">
        <v>2</v>
      </c>
      <c r="C342">
        <v>1</v>
      </c>
      <c r="D342">
        <v>2</v>
      </c>
      <c r="E342">
        <v>2</v>
      </c>
      <c r="F342">
        <v>2</v>
      </c>
      <c r="G342">
        <v>2</v>
      </c>
      <c r="H342">
        <v>3</v>
      </c>
      <c r="I342">
        <v>2</v>
      </c>
      <c r="J342">
        <v>3</v>
      </c>
      <c r="K342">
        <v>2</v>
      </c>
      <c r="L342">
        <v>3</v>
      </c>
      <c r="M342">
        <v>2</v>
      </c>
      <c r="N342">
        <v>3</v>
      </c>
      <c r="O342">
        <v>3</v>
      </c>
      <c r="P342">
        <v>2</v>
      </c>
      <c r="Q342">
        <v>3</v>
      </c>
      <c r="R342">
        <v>2</v>
      </c>
      <c r="S342">
        <v>2</v>
      </c>
      <c r="T342">
        <v>2</v>
      </c>
      <c r="U342">
        <v>2</v>
      </c>
      <c r="V342">
        <v>2</v>
      </c>
      <c r="W342">
        <v>2</v>
      </c>
      <c r="X342">
        <v>2</v>
      </c>
      <c r="Y342">
        <v>3</v>
      </c>
      <c r="Z342">
        <v>1</v>
      </c>
      <c r="AA342">
        <v>3</v>
      </c>
      <c r="AB342">
        <v>2</v>
      </c>
      <c r="AC342">
        <v>2</v>
      </c>
      <c r="AD342">
        <v>2</v>
      </c>
      <c r="AE342">
        <v>2</v>
      </c>
      <c r="AF342">
        <v>2</v>
      </c>
      <c r="AG342">
        <v>2</v>
      </c>
      <c r="AH342">
        <v>2</v>
      </c>
      <c r="AI342">
        <v>3</v>
      </c>
      <c r="AJ342">
        <v>1</v>
      </c>
      <c r="AK342">
        <v>2</v>
      </c>
      <c r="AL342">
        <v>2</v>
      </c>
      <c r="AM342">
        <v>3</v>
      </c>
      <c r="AN342">
        <v>2</v>
      </c>
      <c r="AO342">
        <v>3</v>
      </c>
      <c r="AP342" t="str">
        <f>SUM(B342:AO342)</f>
        <v>0</v>
      </c>
    </row>
    <row r="343" spans="1:43">
      <c r="A343" t="s">
        <v>368</v>
      </c>
      <c r="B343">
        <v>2</v>
      </c>
      <c r="C343">
        <v>2</v>
      </c>
      <c r="D343">
        <v>2</v>
      </c>
      <c r="E343">
        <v>2</v>
      </c>
      <c r="F343">
        <v>3</v>
      </c>
      <c r="G343">
        <v>3</v>
      </c>
      <c r="H343">
        <v>3</v>
      </c>
      <c r="I343">
        <v>3</v>
      </c>
      <c r="J343">
        <v>3</v>
      </c>
      <c r="K343">
        <v>2</v>
      </c>
      <c r="L343">
        <v>3</v>
      </c>
      <c r="M343">
        <v>2</v>
      </c>
      <c r="N343">
        <v>2</v>
      </c>
      <c r="O343">
        <v>2</v>
      </c>
      <c r="P343">
        <v>2</v>
      </c>
      <c r="Q343">
        <v>2</v>
      </c>
      <c r="R343">
        <v>2</v>
      </c>
      <c r="S343">
        <v>3</v>
      </c>
      <c r="T343">
        <v>1</v>
      </c>
      <c r="U343">
        <v>2</v>
      </c>
      <c r="V343">
        <v>3</v>
      </c>
      <c r="W343">
        <v>3</v>
      </c>
      <c r="X343">
        <v>2</v>
      </c>
      <c r="Y343">
        <v>2</v>
      </c>
      <c r="Z343">
        <v>2</v>
      </c>
      <c r="AA343">
        <v>2</v>
      </c>
      <c r="AB343">
        <v>2</v>
      </c>
      <c r="AC343">
        <v>2</v>
      </c>
      <c r="AD343">
        <v>2</v>
      </c>
      <c r="AE343">
        <v>2</v>
      </c>
      <c r="AF343">
        <v>3</v>
      </c>
      <c r="AG343">
        <v>2</v>
      </c>
      <c r="AH343">
        <v>2</v>
      </c>
      <c r="AI343">
        <v>2</v>
      </c>
      <c r="AJ343">
        <v>2</v>
      </c>
      <c r="AK343">
        <v>3</v>
      </c>
      <c r="AL343">
        <v>2</v>
      </c>
      <c r="AM343">
        <v>2</v>
      </c>
      <c r="AN343">
        <v>2</v>
      </c>
      <c r="AO343">
        <v>2</v>
      </c>
      <c r="AP343" t="str">
        <f>SUM(B343:AO343)</f>
        <v>0</v>
      </c>
    </row>
    <row r="344" spans="1:43">
      <c r="A344" t="s">
        <v>369</v>
      </c>
      <c r="B344">
        <v>2</v>
      </c>
      <c r="C344">
        <v>2</v>
      </c>
      <c r="D344">
        <v>2</v>
      </c>
      <c r="E344">
        <v>2</v>
      </c>
      <c r="F344">
        <v>2</v>
      </c>
      <c r="G344">
        <v>2</v>
      </c>
      <c r="H344">
        <v>1</v>
      </c>
      <c r="I344">
        <v>1</v>
      </c>
      <c r="J344">
        <v>3</v>
      </c>
      <c r="K344">
        <v>2</v>
      </c>
      <c r="L344">
        <v>2</v>
      </c>
      <c r="M344">
        <v>2</v>
      </c>
      <c r="N344">
        <v>2</v>
      </c>
      <c r="O344">
        <v>1</v>
      </c>
      <c r="P344">
        <v>2</v>
      </c>
      <c r="Q344">
        <v>2</v>
      </c>
      <c r="R344">
        <v>2</v>
      </c>
      <c r="S344">
        <v>3</v>
      </c>
      <c r="T344">
        <v>3</v>
      </c>
      <c r="U344">
        <v>2</v>
      </c>
      <c r="V344">
        <v>2</v>
      </c>
      <c r="W344">
        <v>2</v>
      </c>
      <c r="X344">
        <v>2</v>
      </c>
      <c r="Y344">
        <v>2</v>
      </c>
      <c r="Z344">
        <v>2</v>
      </c>
      <c r="AA344">
        <v>2</v>
      </c>
      <c r="AB344">
        <v>2</v>
      </c>
      <c r="AC344">
        <v>2</v>
      </c>
      <c r="AD344">
        <v>2</v>
      </c>
      <c r="AE344">
        <v>2</v>
      </c>
      <c r="AF344">
        <v>2</v>
      </c>
      <c r="AG344">
        <v>2</v>
      </c>
      <c r="AH344">
        <v>3</v>
      </c>
      <c r="AI344">
        <v>3</v>
      </c>
      <c r="AJ344">
        <v>1</v>
      </c>
      <c r="AK344">
        <v>2</v>
      </c>
      <c r="AL344">
        <v>1</v>
      </c>
      <c r="AM344">
        <v>2</v>
      </c>
      <c r="AN344">
        <v>3</v>
      </c>
      <c r="AO344">
        <v>2</v>
      </c>
      <c r="AP344" t="str">
        <f>SUM(B344:AO344)</f>
        <v>0</v>
      </c>
    </row>
    <row r="345" spans="1:43">
      <c r="A345" t="s">
        <v>370</v>
      </c>
      <c r="B345">
        <v>2</v>
      </c>
      <c r="C345">
        <v>2</v>
      </c>
      <c r="D345">
        <v>2</v>
      </c>
      <c r="E345">
        <v>1</v>
      </c>
      <c r="F345">
        <v>1</v>
      </c>
      <c r="G345">
        <v>2</v>
      </c>
      <c r="H345">
        <v>2</v>
      </c>
      <c r="I345">
        <v>1</v>
      </c>
      <c r="J345">
        <v>2</v>
      </c>
      <c r="K345">
        <v>2</v>
      </c>
      <c r="L345">
        <v>1</v>
      </c>
      <c r="M345">
        <v>1</v>
      </c>
      <c r="N345">
        <v>2</v>
      </c>
      <c r="O345">
        <v>2</v>
      </c>
      <c r="P345">
        <v>2</v>
      </c>
      <c r="Q345">
        <v>2</v>
      </c>
      <c r="R345">
        <v>2</v>
      </c>
      <c r="S345">
        <v>2</v>
      </c>
      <c r="T345">
        <v>2</v>
      </c>
      <c r="U345">
        <v>1</v>
      </c>
      <c r="V345">
        <v>2</v>
      </c>
      <c r="W345">
        <v>1</v>
      </c>
      <c r="X345">
        <v>1</v>
      </c>
      <c r="Y345">
        <v>1</v>
      </c>
      <c r="Z345">
        <v>2</v>
      </c>
      <c r="AA345">
        <v>2</v>
      </c>
      <c r="AB345">
        <v>1</v>
      </c>
      <c r="AC345">
        <v>2</v>
      </c>
      <c r="AD345">
        <v>2</v>
      </c>
      <c r="AE345">
        <v>2</v>
      </c>
      <c r="AF345">
        <v>2</v>
      </c>
      <c r="AG345">
        <v>1</v>
      </c>
      <c r="AH345">
        <v>1</v>
      </c>
      <c r="AI345">
        <v>2</v>
      </c>
      <c r="AJ345">
        <v>1</v>
      </c>
      <c r="AK345">
        <v>1</v>
      </c>
      <c r="AL345">
        <v>2</v>
      </c>
      <c r="AM345">
        <v>1</v>
      </c>
      <c r="AN345">
        <v>2</v>
      </c>
      <c r="AO345">
        <v>2</v>
      </c>
      <c r="AP345" t="str">
        <f>SUM(B345:AO345)</f>
        <v>0</v>
      </c>
    </row>
    <row r="346" spans="1:43">
      <c r="A346" t="s">
        <v>371</v>
      </c>
      <c r="B346">
        <v>2</v>
      </c>
      <c r="C346">
        <v>1</v>
      </c>
      <c r="D346">
        <v>1</v>
      </c>
      <c r="E346">
        <v>1</v>
      </c>
      <c r="F346">
        <v>1</v>
      </c>
      <c r="G346">
        <v>2</v>
      </c>
      <c r="H346">
        <v>2</v>
      </c>
      <c r="I346">
        <v>1</v>
      </c>
      <c r="J346">
        <v>1</v>
      </c>
      <c r="K346">
        <v>1</v>
      </c>
      <c r="L346">
        <v>2</v>
      </c>
      <c r="M346">
        <v>2</v>
      </c>
      <c r="N346">
        <v>1</v>
      </c>
      <c r="O346">
        <v>2</v>
      </c>
      <c r="P346">
        <v>2</v>
      </c>
      <c r="Q346">
        <v>2</v>
      </c>
      <c r="R346">
        <v>2</v>
      </c>
      <c r="S346">
        <v>2</v>
      </c>
      <c r="T346">
        <v>1</v>
      </c>
      <c r="U346">
        <v>2</v>
      </c>
      <c r="V346">
        <v>2</v>
      </c>
      <c r="W346">
        <v>1</v>
      </c>
      <c r="X346">
        <v>2</v>
      </c>
      <c r="Y346">
        <v>2</v>
      </c>
      <c r="Z346">
        <v>2</v>
      </c>
      <c r="AA346">
        <v>1</v>
      </c>
      <c r="AB346">
        <v>1</v>
      </c>
      <c r="AC346">
        <v>1</v>
      </c>
      <c r="AD346">
        <v>2</v>
      </c>
      <c r="AE346">
        <v>1</v>
      </c>
      <c r="AF346">
        <v>1</v>
      </c>
      <c r="AG346">
        <v>1</v>
      </c>
      <c r="AH346">
        <v>1</v>
      </c>
      <c r="AI346">
        <v>1</v>
      </c>
      <c r="AJ346">
        <v>2</v>
      </c>
      <c r="AK346">
        <v>2</v>
      </c>
      <c r="AL346">
        <v>2</v>
      </c>
      <c r="AM346">
        <v>2</v>
      </c>
      <c r="AN346">
        <v>1</v>
      </c>
      <c r="AO346">
        <v>1</v>
      </c>
      <c r="AP346" t="str">
        <f>SUM(B346:AO346)</f>
        <v>0</v>
      </c>
    </row>
    <row r="347" spans="1:43">
      <c r="A347" t="s">
        <v>372</v>
      </c>
      <c r="B347">
        <v>2</v>
      </c>
      <c r="C347">
        <v>2</v>
      </c>
      <c r="D347">
        <v>2</v>
      </c>
      <c r="E347">
        <v>2</v>
      </c>
      <c r="F347">
        <v>2</v>
      </c>
      <c r="G347">
        <v>1</v>
      </c>
      <c r="H347">
        <v>2</v>
      </c>
      <c r="I347">
        <v>1</v>
      </c>
      <c r="J347">
        <v>1</v>
      </c>
      <c r="K347">
        <v>2</v>
      </c>
      <c r="L347">
        <v>1</v>
      </c>
      <c r="M347">
        <v>2</v>
      </c>
      <c r="N347">
        <v>1</v>
      </c>
      <c r="O347">
        <v>1</v>
      </c>
      <c r="P347">
        <v>2</v>
      </c>
      <c r="Q347">
        <v>2</v>
      </c>
      <c r="R347">
        <v>2</v>
      </c>
      <c r="S347">
        <v>2</v>
      </c>
      <c r="T347">
        <v>2</v>
      </c>
      <c r="U347">
        <v>2</v>
      </c>
      <c r="V347">
        <v>2</v>
      </c>
      <c r="W347">
        <v>1</v>
      </c>
      <c r="X347">
        <v>1</v>
      </c>
      <c r="Y347">
        <v>1</v>
      </c>
      <c r="Z347">
        <v>2</v>
      </c>
      <c r="AA347">
        <v>1</v>
      </c>
      <c r="AB347">
        <v>1</v>
      </c>
      <c r="AC347">
        <v>1</v>
      </c>
      <c r="AD347">
        <v>1</v>
      </c>
      <c r="AE347">
        <v>1</v>
      </c>
      <c r="AF347">
        <v>1</v>
      </c>
      <c r="AG347">
        <v>1</v>
      </c>
      <c r="AH347">
        <v>2</v>
      </c>
      <c r="AI347">
        <v>1</v>
      </c>
      <c r="AJ347">
        <v>2</v>
      </c>
      <c r="AK347">
        <v>2</v>
      </c>
      <c r="AL347">
        <v>2</v>
      </c>
      <c r="AM347">
        <v>2</v>
      </c>
      <c r="AN347">
        <v>2</v>
      </c>
      <c r="AO347">
        <v>1</v>
      </c>
      <c r="AP347" t="str">
        <f>SUM(B347:AO347)</f>
        <v>0</v>
      </c>
    </row>
    <row r="348" spans="1:43">
      <c r="A348" t="s">
        <v>373</v>
      </c>
      <c r="B348">
        <v>1</v>
      </c>
      <c r="C348">
        <v>1</v>
      </c>
      <c r="D348">
        <v>1</v>
      </c>
      <c r="E348">
        <v>1</v>
      </c>
      <c r="F348">
        <v>2</v>
      </c>
      <c r="G348">
        <v>2</v>
      </c>
      <c r="H348">
        <v>1</v>
      </c>
      <c r="I348">
        <v>1</v>
      </c>
      <c r="J348">
        <v>1</v>
      </c>
      <c r="K348">
        <v>1</v>
      </c>
      <c r="L348">
        <v>2</v>
      </c>
      <c r="M348">
        <v>2</v>
      </c>
      <c r="N348">
        <v>1</v>
      </c>
      <c r="O348">
        <v>1</v>
      </c>
      <c r="P348">
        <v>2</v>
      </c>
      <c r="Q348">
        <v>1</v>
      </c>
      <c r="R348">
        <v>2</v>
      </c>
      <c r="S348">
        <v>2</v>
      </c>
      <c r="T348">
        <v>1</v>
      </c>
      <c r="U348">
        <v>1</v>
      </c>
      <c r="V348">
        <v>1</v>
      </c>
      <c r="W348">
        <v>1</v>
      </c>
      <c r="X348">
        <v>2</v>
      </c>
      <c r="Y348">
        <v>2</v>
      </c>
      <c r="Z348">
        <v>1</v>
      </c>
      <c r="AA348">
        <v>2</v>
      </c>
      <c r="AB348">
        <v>1</v>
      </c>
      <c r="AC348">
        <v>1</v>
      </c>
      <c r="AD348">
        <v>1</v>
      </c>
      <c r="AE348">
        <v>1</v>
      </c>
      <c r="AF348">
        <v>2</v>
      </c>
      <c r="AG348">
        <v>1</v>
      </c>
      <c r="AH348">
        <v>2</v>
      </c>
      <c r="AI348">
        <v>2</v>
      </c>
      <c r="AJ348">
        <v>2</v>
      </c>
      <c r="AK348">
        <v>1</v>
      </c>
      <c r="AL348">
        <v>1</v>
      </c>
      <c r="AM348">
        <v>2</v>
      </c>
      <c r="AN348">
        <v>1</v>
      </c>
      <c r="AO348">
        <v>1</v>
      </c>
      <c r="AP348" t="str">
        <f>SUM(B348:AO348)</f>
        <v>0</v>
      </c>
    </row>
    <row r="349" spans="1:43">
      <c r="A349" t="s">
        <v>374</v>
      </c>
      <c r="B349">
        <v>2</v>
      </c>
      <c r="C349">
        <v>1</v>
      </c>
      <c r="D349">
        <v>2</v>
      </c>
      <c r="E349">
        <v>1</v>
      </c>
      <c r="F349">
        <v>2</v>
      </c>
      <c r="G349">
        <v>1</v>
      </c>
      <c r="H349">
        <v>1</v>
      </c>
      <c r="I349">
        <v>2</v>
      </c>
      <c r="J349">
        <v>2</v>
      </c>
      <c r="K349">
        <v>1</v>
      </c>
      <c r="L349">
        <v>2</v>
      </c>
      <c r="M349">
        <v>1</v>
      </c>
      <c r="N349">
        <v>1</v>
      </c>
      <c r="O349">
        <v>1</v>
      </c>
      <c r="P349">
        <v>1</v>
      </c>
      <c r="Q349">
        <v>1</v>
      </c>
      <c r="R349">
        <v>2</v>
      </c>
      <c r="S349">
        <v>1</v>
      </c>
      <c r="T349">
        <v>1</v>
      </c>
      <c r="U349">
        <v>1</v>
      </c>
      <c r="V349">
        <v>2</v>
      </c>
      <c r="W349">
        <v>2</v>
      </c>
      <c r="X349">
        <v>1</v>
      </c>
      <c r="Y349">
        <v>1</v>
      </c>
      <c r="Z349">
        <v>2</v>
      </c>
      <c r="AA349">
        <v>2</v>
      </c>
      <c r="AB349">
        <v>2</v>
      </c>
      <c r="AC349">
        <v>2</v>
      </c>
      <c r="AD349">
        <v>1</v>
      </c>
      <c r="AE349">
        <v>2</v>
      </c>
      <c r="AF349">
        <v>1</v>
      </c>
      <c r="AG349">
        <v>2</v>
      </c>
      <c r="AH349">
        <v>1</v>
      </c>
      <c r="AI349">
        <v>2</v>
      </c>
      <c r="AJ349">
        <v>1</v>
      </c>
      <c r="AK349">
        <v>1</v>
      </c>
      <c r="AL349">
        <v>1</v>
      </c>
      <c r="AM349">
        <v>1</v>
      </c>
      <c r="AN349">
        <v>1</v>
      </c>
      <c r="AO349">
        <v>2</v>
      </c>
      <c r="AP349" t="str">
        <f>SUM(B349:AO349)</f>
        <v>0</v>
      </c>
    </row>
    <row r="350" spans="1:43">
      <c r="A350" t="s">
        <v>375</v>
      </c>
      <c r="B350">
        <v>1</v>
      </c>
      <c r="C350">
        <v>2</v>
      </c>
      <c r="D350">
        <v>1</v>
      </c>
      <c r="E350">
        <v>1</v>
      </c>
      <c r="F350">
        <v>1</v>
      </c>
      <c r="G350">
        <v>1</v>
      </c>
      <c r="H350">
        <v>1</v>
      </c>
      <c r="I350">
        <v>1</v>
      </c>
      <c r="J350">
        <v>1</v>
      </c>
      <c r="K350">
        <v>1</v>
      </c>
      <c r="L350">
        <v>1</v>
      </c>
      <c r="M350">
        <v>1</v>
      </c>
      <c r="N350">
        <v>1</v>
      </c>
      <c r="O350">
        <v>1</v>
      </c>
      <c r="P350">
        <v>1</v>
      </c>
      <c r="Q350">
        <v>1</v>
      </c>
      <c r="R350">
        <v>1</v>
      </c>
      <c r="S350">
        <v>1</v>
      </c>
      <c r="T350">
        <v>1</v>
      </c>
      <c r="U350">
        <v>1</v>
      </c>
      <c r="V350">
        <v>1</v>
      </c>
      <c r="W350">
        <v>1</v>
      </c>
      <c r="X350">
        <v>2</v>
      </c>
      <c r="Y350">
        <v>1</v>
      </c>
      <c r="Z350">
        <v>2</v>
      </c>
      <c r="AA350">
        <v>1</v>
      </c>
      <c r="AB350">
        <v>1</v>
      </c>
      <c r="AC350">
        <v>1</v>
      </c>
      <c r="AD350">
        <v>1</v>
      </c>
      <c r="AE350">
        <v>1</v>
      </c>
      <c r="AF350">
        <v>1</v>
      </c>
      <c r="AG350">
        <v>1</v>
      </c>
      <c r="AH350">
        <v>1</v>
      </c>
      <c r="AI350">
        <v>1</v>
      </c>
      <c r="AJ350">
        <v>1</v>
      </c>
      <c r="AK350">
        <v>1</v>
      </c>
      <c r="AL350">
        <v>1</v>
      </c>
      <c r="AM350">
        <v>1</v>
      </c>
      <c r="AN350">
        <v>1</v>
      </c>
      <c r="AO350">
        <v>1</v>
      </c>
      <c r="AP350" t="str">
        <f>SUM(B350:AO350)</f>
        <v>0</v>
      </c>
    </row>
    <row r="351" spans="1:43">
      <c r="A351" t="s">
        <v>376</v>
      </c>
      <c r="B351">
        <v>1</v>
      </c>
      <c r="C351">
        <v>1</v>
      </c>
      <c r="D351">
        <v>1</v>
      </c>
      <c r="E351">
        <v>1</v>
      </c>
      <c r="F351">
        <v>1</v>
      </c>
      <c r="G351">
        <v>1</v>
      </c>
      <c r="H351">
        <v>1</v>
      </c>
      <c r="I351">
        <v>1</v>
      </c>
      <c r="J351">
        <v>1</v>
      </c>
      <c r="K351">
        <v>1</v>
      </c>
      <c r="L351">
        <v>1</v>
      </c>
      <c r="M351">
        <v>1</v>
      </c>
      <c r="N351">
        <v>1</v>
      </c>
      <c r="O351">
        <v>1</v>
      </c>
      <c r="P351">
        <v>1</v>
      </c>
      <c r="Q351">
        <v>1</v>
      </c>
      <c r="R351">
        <v>1</v>
      </c>
      <c r="S351">
        <v>1</v>
      </c>
      <c r="T351">
        <v>1</v>
      </c>
      <c r="U351">
        <v>1</v>
      </c>
      <c r="V351">
        <v>1</v>
      </c>
      <c r="W351">
        <v>1</v>
      </c>
      <c r="X351">
        <v>1</v>
      </c>
      <c r="Y351">
        <v>1</v>
      </c>
      <c r="Z351">
        <v>1</v>
      </c>
      <c r="AA351">
        <v>1</v>
      </c>
      <c r="AB351">
        <v>1</v>
      </c>
      <c r="AC351">
        <v>1</v>
      </c>
      <c r="AD351">
        <v>1</v>
      </c>
      <c r="AE351">
        <v>1</v>
      </c>
      <c r="AF351">
        <v>1</v>
      </c>
      <c r="AG351">
        <v>1</v>
      </c>
      <c r="AH351">
        <v>1</v>
      </c>
      <c r="AI351">
        <v>1</v>
      </c>
      <c r="AJ351">
        <v>1</v>
      </c>
      <c r="AK351">
        <v>1</v>
      </c>
      <c r="AL351">
        <v>1</v>
      </c>
      <c r="AM351">
        <v>1</v>
      </c>
      <c r="AN351">
        <v>1</v>
      </c>
      <c r="AO351">
        <v>1</v>
      </c>
      <c r="AP351" t="str">
        <f>SUM(B351:AO351)</f>
        <v>0</v>
      </c>
    </row>
    <row r="352" spans="1:43">
      <c r="A352" t="s">
        <v>377</v>
      </c>
      <c r="B352">
        <v>1</v>
      </c>
      <c r="C352">
        <v>2</v>
      </c>
      <c r="D352">
        <v>2</v>
      </c>
      <c r="E352">
        <v>2</v>
      </c>
      <c r="F352">
        <v>1</v>
      </c>
      <c r="G352">
        <v>2</v>
      </c>
      <c r="H352">
        <v>2</v>
      </c>
      <c r="I352">
        <v>2</v>
      </c>
      <c r="J352">
        <v>1</v>
      </c>
      <c r="K352">
        <v>1</v>
      </c>
      <c r="L352">
        <v>2</v>
      </c>
      <c r="M352">
        <v>2</v>
      </c>
      <c r="N352">
        <v>2</v>
      </c>
      <c r="O352">
        <v>2</v>
      </c>
      <c r="P352">
        <v>1</v>
      </c>
      <c r="Q352">
        <v>2</v>
      </c>
      <c r="R352">
        <v>2</v>
      </c>
      <c r="S352">
        <v>1</v>
      </c>
      <c r="T352">
        <v>1</v>
      </c>
      <c r="U352">
        <v>2</v>
      </c>
      <c r="V352">
        <v>1</v>
      </c>
      <c r="W352">
        <v>1</v>
      </c>
      <c r="X352">
        <v>2</v>
      </c>
      <c r="Y352">
        <v>1</v>
      </c>
      <c r="Z352">
        <v>1</v>
      </c>
      <c r="AA352">
        <v>1</v>
      </c>
      <c r="AB352">
        <v>2</v>
      </c>
      <c r="AC352">
        <v>1</v>
      </c>
      <c r="AD352">
        <v>2</v>
      </c>
      <c r="AE352">
        <v>1</v>
      </c>
      <c r="AF352">
        <v>1</v>
      </c>
      <c r="AG352">
        <v>2</v>
      </c>
      <c r="AH352">
        <v>2</v>
      </c>
      <c r="AI352">
        <v>2</v>
      </c>
      <c r="AJ352">
        <v>2</v>
      </c>
      <c r="AK352">
        <v>1</v>
      </c>
      <c r="AL352">
        <v>1</v>
      </c>
      <c r="AM352">
        <v>2</v>
      </c>
      <c r="AN352">
        <v>2</v>
      </c>
      <c r="AO352">
        <v>2</v>
      </c>
      <c r="AP352" t="str">
        <f>SUM(B352:AO352)</f>
        <v>0</v>
      </c>
    </row>
    <row r="353" spans="1:43">
      <c r="A353" t="s">
        <v>378</v>
      </c>
      <c r="B353">
        <v>2</v>
      </c>
      <c r="C353">
        <v>2</v>
      </c>
      <c r="D353">
        <v>3</v>
      </c>
      <c r="E353">
        <v>3</v>
      </c>
      <c r="F353">
        <v>2</v>
      </c>
      <c r="G353">
        <v>1</v>
      </c>
      <c r="H353">
        <v>3</v>
      </c>
      <c r="I353">
        <v>1</v>
      </c>
      <c r="J353">
        <v>2</v>
      </c>
      <c r="K353">
        <v>2</v>
      </c>
      <c r="L353">
        <v>2</v>
      </c>
      <c r="M353">
        <v>2</v>
      </c>
      <c r="N353">
        <v>2</v>
      </c>
      <c r="O353">
        <v>2</v>
      </c>
      <c r="P353">
        <v>2</v>
      </c>
      <c r="Q353">
        <v>1</v>
      </c>
      <c r="R353">
        <v>2</v>
      </c>
      <c r="S353">
        <v>2</v>
      </c>
      <c r="T353">
        <v>2</v>
      </c>
      <c r="U353">
        <v>2</v>
      </c>
      <c r="V353">
        <v>2</v>
      </c>
      <c r="W353">
        <v>2</v>
      </c>
      <c r="X353">
        <v>2</v>
      </c>
      <c r="Y353">
        <v>2</v>
      </c>
      <c r="Z353">
        <v>2</v>
      </c>
      <c r="AA353">
        <v>2</v>
      </c>
      <c r="AB353">
        <v>2</v>
      </c>
      <c r="AC353">
        <v>2</v>
      </c>
      <c r="AD353">
        <v>1</v>
      </c>
      <c r="AE353">
        <v>1</v>
      </c>
      <c r="AF353">
        <v>2</v>
      </c>
      <c r="AG353">
        <v>2</v>
      </c>
      <c r="AH353">
        <v>1</v>
      </c>
      <c r="AI353">
        <v>2</v>
      </c>
      <c r="AJ353">
        <v>2</v>
      </c>
      <c r="AK353">
        <v>2</v>
      </c>
      <c r="AL353">
        <v>2</v>
      </c>
      <c r="AM353">
        <v>2</v>
      </c>
      <c r="AN353">
        <v>2</v>
      </c>
      <c r="AO353">
        <v>2</v>
      </c>
      <c r="AP353" t="str">
        <f>SUM(B353:AO353)</f>
        <v>0</v>
      </c>
    </row>
    <row r="354" spans="1:43">
      <c r="A354" t="s">
        <v>379</v>
      </c>
      <c r="B354">
        <v>1</v>
      </c>
      <c r="C354">
        <v>1</v>
      </c>
      <c r="D354">
        <v>1</v>
      </c>
      <c r="E354">
        <v>1</v>
      </c>
      <c r="F354">
        <v>2</v>
      </c>
      <c r="G354">
        <v>2</v>
      </c>
      <c r="H354">
        <v>2</v>
      </c>
      <c r="I354">
        <v>2</v>
      </c>
      <c r="J354">
        <v>2</v>
      </c>
      <c r="K354">
        <v>1</v>
      </c>
      <c r="L354">
        <v>1</v>
      </c>
      <c r="M354">
        <v>2</v>
      </c>
      <c r="N354">
        <v>1</v>
      </c>
      <c r="O354">
        <v>1</v>
      </c>
      <c r="P354">
        <v>2</v>
      </c>
      <c r="Q354">
        <v>2</v>
      </c>
      <c r="R354">
        <v>2</v>
      </c>
      <c r="S354">
        <v>2</v>
      </c>
      <c r="T354">
        <v>1</v>
      </c>
      <c r="U354">
        <v>1</v>
      </c>
      <c r="V354">
        <v>2</v>
      </c>
      <c r="W354">
        <v>2</v>
      </c>
      <c r="X354">
        <v>2</v>
      </c>
      <c r="Y354">
        <v>2</v>
      </c>
      <c r="Z354">
        <v>2</v>
      </c>
      <c r="AA354">
        <v>2</v>
      </c>
      <c r="AB354">
        <v>2</v>
      </c>
      <c r="AC354">
        <v>2</v>
      </c>
      <c r="AD354">
        <v>2</v>
      </c>
      <c r="AE354">
        <v>2</v>
      </c>
      <c r="AF354">
        <v>1</v>
      </c>
      <c r="AG354">
        <v>1</v>
      </c>
      <c r="AH354">
        <v>2</v>
      </c>
      <c r="AI354">
        <v>1</v>
      </c>
      <c r="AJ354">
        <v>1</v>
      </c>
      <c r="AK354">
        <v>2</v>
      </c>
      <c r="AL354">
        <v>1</v>
      </c>
      <c r="AM354">
        <v>2</v>
      </c>
      <c r="AN354">
        <v>2</v>
      </c>
      <c r="AO354">
        <v>2</v>
      </c>
      <c r="AP354" t="str">
        <f>SUM(B354:AO354)</f>
        <v>0</v>
      </c>
    </row>
    <row r="355" spans="1:43">
      <c r="A355" t="s">
        <v>380</v>
      </c>
      <c r="B355">
        <v>1</v>
      </c>
      <c r="C355">
        <v>1</v>
      </c>
      <c r="D355">
        <v>1</v>
      </c>
      <c r="E355">
        <v>1</v>
      </c>
      <c r="F355">
        <v>1</v>
      </c>
      <c r="G355">
        <v>1</v>
      </c>
      <c r="H355">
        <v>1</v>
      </c>
      <c r="I355">
        <v>1</v>
      </c>
      <c r="J355">
        <v>1</v>
      </c>
      <c r="K355">
        <v>1</v>
      </c>
      <c r="L355">
        <v>1</v>
      </c>
      <c r="M355">
        <v>1</v>
      </c>
      <c r="N355">
        <v>1</v>
      </c>
      <c r="O355">
        <v>1</v>
      </c>
      <c r="P355">
        <v>2</v>
      </c>
      <c r="Q355">
        <v>1</v>
      </c>
      <c r="R355">
        <v>1</v>
      </c>
      <c r="S355">
        <v>1</v>
      </c>
      <c r="T355">
        <v>1</v>
      </c>
      <c r="U355">
        <v>1</v>
      </c>
      <c r="V355">
        <v>1</v>
      </c>
      <c r="W355">
        <v>1</v>
      </c>
      <c r="X355">
        <v>1</v>
      </c>
      <c r="Y355">
        <v>1</v>
      </c>
      <c r="Z355">
        <v>1</v>
      </c>
      <c r="AA355">
        <v>1</v>
      </c>
      <c r="AB355">
        <v>1</v>
      </c>
      <c r="AC355">
        <v>1</v>
      </c>
      <c r="AD355">
        <v>1</v>
      </c>
      <c r="AE355">
        <v>1</v>
      </c>
      <c r="AF355">
        <v>1</v>
      </c>
      <c r="AG355">
        <v>1</v>
      </c>
      <c r="AH355">
        <v>1</v>
      </c>
      <c r="AI355">
        <v>1</v>
      </c>
      <c r="AJ355">
        <v>1</v>
      </c>
      <c r="AK355">
        <v>1</v>
      </c>
      <c r="AL355">
        <v>1</v>
      </c>
      <c r="AM355">
        <v>1</v>
      </c>
      <c r="AN355">
        <v>1</v>
      </c>
      <c r="AO355">
        <v>1</v>
      </c>
      <c r="AP355" t="str">
        <f>SUM(B355:AO355)</f>
        <v>0</v>
      </c>
    </row>
    <row r="356" spans="1:43">
      <c r="A356" t="s">
        <v>381</v>
      </c>
      <c r="B356">
        <v>1</v>
      </c>
      <c r="C356">
        <v>2</v>
      </c>
      <c r="D356">
        <v>1</v>
      </c>
      <c r="E356">
        <v>2</v>
      </c>
      <c r="F356">
        <v>2</v>
      </c>
      <c r="G356">
        <v>1</v>
      </c>
      <c r="H356">
        <v>1</v>
      </c>
      <c r="I356">
        <v>2</v>
      </c>
      <c r="J356">
        <v>2</v>
      </c>
      <c r="K356">
        <v>2</v>
      </c>
      <c r="L356">
        <v>2</v>
      </c>
      <c r="M356">
        <v>2</v>
      </c>
      <c r="N356">
        <v>2</v>
      </c>
      <c r="O356">
        <v>1</v>
      </c>
      <c r="P356">
        <v>2</v>
      </c>
      <c r="Q356">
        <v>2</v>
      </c>
      <c r="R356">
        <v>2</v>
      </c>
      <c r="S356">
        <v>2</v>
      </c>
      <c r="T356">
        <v>2</v>
      </c>
      <c r="U356">
        <v>2</v>
      </c>
      <c r="V356">
        <v>2</v>
      </c>
      <c r="W356">
        <v>2</v>
      </c>
      <c r="X356">
        <v>1</v>
      </c>
      <c r="Y356">
        <v>2</v>
      </c>
      <c r="Z356">
        <v>1</v>
      </c>
      <c r="AA356">
        <v>2</v>
      </c>
      <c r="AB356">
        <v>2</v>
      </c>
      <c r="AC356">
        <v>2</v>
      </c>
      <c r="AD356">
        <v>1</v>
      </c>
      <c r="AE356">
        <v>2</v>
      </c>
      <c r="AF356">
        <v>2</v>
      </c>
      <c r="AG356">
        <v>1</v>
      </c>
      <c r="AH356">
        <v>1</v>
      </c>
      <c r="AI356">
        <v>2</v>
      </c>
      <c r="AJ356">
        <v>2</v>
      </c>
      <c r="AK356">
        <v>2</v>
      </c>
      <c r="AL356">
        <v>2</v>
      </c>
      <c r="AM356">
        <v>2</v>
      </c>
      <c r="AN356">
        <v>2</v>
      </c>
      <c r="AO356">
        <v>2</v>
      </c>
      <c r="AP356" t="str">
        <f>SUM(B356:AO356)</f>
        <v>0</v>
      </c>
    </row>
    <row r="357" spans="1:43">
      <c r="A357" t="s">
        <v>382</v>
      </c>
      <c r="B357">
        <v>2</v>
      </c>
      <c r="C357">
        <v>2</v>
      </c>
      <c r="D357">
        <v>2</v>
      </c>
      <c r="E357">
        <v>2</v>
      </c>
      <c r="F357">
        <v>2</v>
      </c>
      <c r="G357">
        <v>2</v>
      </c>
      <c r="H357">
        <v>1</v>
      </c>
      <c r="I357">
        <v>3</v>
      </c>
      <c r="J357">
        <v>2</v>
      </c>
      <c r="K357">
        <v>2</v>
      </c>
      <c r="L357">
        <v>2</v>
      </c>
      <c r="M357">
        <v>2</v>
      </c>
      <c r="N357">
        <v>1</v>
      </c>
      <c r="O357">
        <v>2</v>
      </c>
      <c r="P357">
        <v>1</v>
      </c>
      <c r="Q357">
        <v>2</v>
      </c>
      <c r="R357">
        <v>3</v>
      </c>
      <c r="S357">
        <v>2</v>
      </c>
      <c r="T357">
        <v>1</v>
      </c>
      <c r="U357">
        <v>2</v>
      </c>
      <c r="V357">
        <v>2</v>
      </c>
      <c r="W357">
        <v>2</v>
      </c>
      <c r="X357">
        <v>1</v>
      </c>
      <c r="Y357">
        <v>2</v>
      </c>
      <c r="Z357">
        <v>2</v>
      </c>
      <c r="AA357">
        <v>1</v>
      </c>
      <c r="AB357">
        <v>2</v>
      </c>
      <c r="AC357">
        <v>2</v>
      </c>
      <c r="AD357">
        <v>1</v>
      </c>
      <c r="AE357">
        <v>2</v>
      </c>
      <c r="AF357">
        <v>2</v>
      </c>
      <c r="AG357">
        <v>2</v>
      </c>
      <c r="AH357">
        <v>1</v>
      </c>
      <c r="AI357">
        <v>2</v>
      </c>
      <c r="AJ357">
        <v>2</v>
      </c>
      <c r="AK357">
        <v>1</v>
      </c>
      <c r="AL357">
        <v>2</v>
      </c>
      <c r="AM357">
        <v>2</v>
      </c>
      <c r="AN357">
        <v>2</v>
      </c>
      <c r="AO357">
        <v>1</v>
      </c>
      <c r="AP357" t="str">
        <f>SUM(B357:AO357)</f>
        <v>0</v>
      </c>
    </row>
    <row r="358" spans="1:43">
      <c r="A358" t="s">
        <v>383</v>
      </c>
      <c r="B358">
        <v>2</v>
      </c>
      <c r="C358">
        <v>2</v>
      </c>
      <c r="D358">
        <v>2</v>
      </c>
      <c r="E358">
        <v>2</v>
      </c>
      <c r="F358">
        <v>2</v>
      </c>
      <c r="G358">
        <v>2</v>
      </c>
      <c r="H358">
        <v>2</v>
      </c>
      <c r="I358">
        <v>2</v>
      </c>
      <c r="J358">
        <v>2</v>
      </c>
      <c r="K358">
        <v>2</v>
      </c>
      <c r="L358">
        <v>1</v>
      </c>
      <c r="M358">
        <v>2</v>
      </c>
      <c r="N358">
        <v>2</v>
      </c>
      <c r="O358">
        <v>1</v>
      </c>
      <c r="P358">
        <v>2</v>
      </c>
      <c r="Q358">
        <v>2</v>
      </c>
      <c r="R358">
        <v>2</v>
      </c>
      <c r="S358">
        <v>2</v>
      </c>
      <c r="T358">
        <v>2</v>
      </c>
      <c r="U358">
        <v>1</v>
      </c>
      <c r="V358">
        <v>2</v>
      </c>
      <c r="W358">
        <v>2</v>
      </c>
      <c r="X358">
        <v>2</v>
      </c>
      <c r="Y358">
        <v>2</v>
      </c>
      <c r="Z358">
        <v>1</v>
      </c>
      <c r="AA358">
        <v>2</v>
      </c>
      <c r="AB358">
        <v>2</v>
      </c>
      <c r="AC358">
        <v>2</v>
      </c>
      <c r="AD358">
        <v>2</v>
      </c>
      <c r="AE358">
        <v>2</v>
      </c>
      <c r="AF358">
        <v>2</v>
      </c>
      <c r="AG358">
        <v>2</v>
      </c>
      <c r="AH358">
        <v>2</v>
      </c>
      <c r="AI358">
        <v>2</v>
      </c>
      <c r="AJ358">
        <v>2</v>
      </c>
      <c r="AK358">
        <v>2</v>
      </c>
      <c r="AL358">
        <v>2</v>
      </c>
      <c r="AM358">
        <v>2</v>
      </c>
      <c r="AN358">
        <v>2</v>
      </c>
      <c r="AO358">
        <v>2</v>
      </c>
      <c r="AP358" t="str">
        <f>SUM(B358:AO358)</f>
        <v>0</v>
      </c>
    </row>
    <row r="359" spans="1:43">
      <c r="A359" t="s">
        <v>384</v>
      </c>
      <c r="B359">
        <v>2</v>
      </c>
      <c r="C359">
        <v>1</v>
      </c>
      <c r="D359">
        <v>1</v>
      </c>
      <c r="E359">
        <v>2</v>
      </c>
      <c r="F359">
        <v>1</v>
      </c>
      <c r="G359">
        <v>2</v>
      </c>
      <c r="H359">
        <v>1</v>
      </c>
      <c r="I359">
        <v>1</v>
      </c>
      <c r="J359">
        <v>2</v>
      </c>
      <c r="K359">
        <v>2</v>
      </c>
      <c r="L359">
        <v>1</v>
      </c>
      <c r="M359">
        <v>2</v>
      </c>
      <c r="N359">
        <v>1</v>
      </c>
      <c r="O359">
        <v>1</v>
      </c>
      <c r="P359">
        <v>1</v>
      </c>
      <c r="Q359">
        <v>1</v>
      </c>
      <c r="R359">
        <v>2</v>
      </c>
      <c r="S359">
        <v>2</v>
      </c>
      <c r="T359">
        <v>2</v>
      </c>
      <c r="U359">
        <v>2</v>
      </c>
      <c r="V359">
        <v>2</v>
      </c>
      <c r="W359">
        <v>1</v>
      </c>
      <c r="X359">
        <v>1</v>
      </c>
      <c r="Y359">
        <v>1</v>
      </c>
      <c r="Z359">
        <v>2</v>
      </c>
      <c r="AA359">
        <v>1</v>
      </c>
      <c r="AB359">
        <v>2</v>
      </c>
      <c r="AC359">
        <v>1</v>
      </c>
      <c r="AD359">
        <v>2</v>
      </c>
      <c r="AE359">
        <v>1</v>
      </c>
      <c r="AF359">
        <v>1</v>
      </c>
      <c r="AG359">
        <v>2</v>
      </c>
      <c r="AH359">
        <v>1</v>
      </c>
      <c r="AI359">
        <v>1</v>
      </c>
      <c r="AJ359">
        <v>1</v>
      </c>
      <c r="AK359">
        <v>2</v>
      </c>
      <c r="AL359">
        <v>2</v>
      </c>
      <c r="AM359">
        <v>2</v>
      </c>
      <c r="AN359">
        <v>2</v>
      </c>
      <c r="AO359">
        <v>1</v>
      </c>
      <c r="AP359" t="str">
        <f>SUM(B359:AO359)</f>
        <v>0</v>
      </c>
    </row>
    <row r="360" spans="1:43">
      <c r="A360" t="s">
        <v>385</v>
      </c>
      <c r="B360" t="str">
        <f>SUM(B5:B359)</f>
        <v>0</v>
      </c>
      <c r="C360" t="str">
        <f>SUM(C5:C359)</f>
        <v>0</v>
      </c>
      <c r="D360" t="str">
        <f>SUM(D5:D359)</f>
        <v>0</v>
      </c>
      <c r="E360" t="str">
        <f>SUM(E5:E359)</f>
        <v>0</v>
      </c>
      <c r="F360" t="str">
        <f>SUM(F5:F359)</f>
        <v>0</v>
      </c>
      <c r="G360" t="str">
        <f>SUM(G5:G359)</f>
        <v>0</v>
      </c>
      <c r="H360" t="str">
        <f>SUM(H5:H359)</f>
        <v>0</v>
      </c>
      <c r="I360" t="str">
        <f>SUM(I5:I359)</f>
        <v>0</v>
      </c>
      <c r="J360" t="str">
        <f>SUM(J5:J359)</f>
        <v>0</v>
      </c>
      <c r="K360" t="str">
        <f>SUM(K5:K359)</f>
        <v>0</v>
      </c>
      <c r="L360" t="str">
        <f>SUM(L5:L359)</f>
        <v>0</v>
      </c>
      <c r="M360" t="str">
        <f>SUM(M5:M359)</f>
        <v>0</v>
      </c>
      <c r="N360" t="str">
        <f>SUM(N5:N359)</f>
        <v>0</v>
      </c>
      <c r="O360" t="str">
        <f>SUM(O5:O359)</f>
        <v>0</v>
      </c>
      <c r="P360" t="str">
        <f>SUM(P5:P359)</f>
        <v>0</v>
      </c>
      <c r="Q360" t="str">
        <f>SUM(Q5:Q359)</f>
        <v>0</v>
      </c>
      <c r="R360" t="str">
        <f>SUM(R5:R359)</f>
        <v>0</v>
      </c>
      <c r="S360" t="str">
        <f>SUM(S5:S359)</f>
        <v>0</v>
      </c>
      <c r="T360" t="str">
        <f>SUM(T5:T359)</f>
        <v>0</v>
      </c>
      <c r="U360" t="str">
        <f>SUM(U5:U359)</f>
        <v>0</v>
      </c>
      <c r="V360" t="str">
        <f>SUM(V5:V359)</f>
        <v>0</v>
      </c>
      <c r="W360" t="str">
        <f>SUM(W5:W359)</f>
        <v>0</v>
      </c>
      <c r="X360" t="str">
        <f>SUM(X5:X359)</f>
        <v>0</v>
      </c>
      <c r="Y360" t="str">
        <f>SUM(Y5:Y359)</f>
        <v>0</v>
      </c>
      <c r="Z360" t="str">
        <f>SUM(Z5:Z359)</f>
        <v>0</v>
      </c>
      <c r="AA360" t="str">
        <f>SUM(AA5:AA359)</f>
        <v>0</v>
      </c>
      <c r="AB360" t="str">
        <f>SUM(AB5:AB359)</f>
        <v>0</v>
      </c>
      <c r="AC360" t="str">
        <f>SUM(AC5:AC359)</f>
        <v>0</v>
      </c>
      <c r="AD360" t="str">
        <f>SUM(AD5:AD359)</f>
        <v>0</v>
      </c>
      <c r="AE360" t="str">
        <f>SUM(AE5:AE359)</f>
        <v>0</v>
      </c>
      <c r="AF360" t="str">
        <f>SUM(AF5:AF359)</f>
        <v>0</v>
      </c>
      <c r="AG360" t="str">
        <f>SUM(AG5:AG359)</f>
        <v>0</v>
      </c>
      <c r="AH360" t="str">
        <f>SUM(AH5:AH359)</f>
        <v>0</v>
      </c>
      <c r="AI360" t="str">
        <f>SUM(AI5:AI359)</f>
        <v>0</v>
      </c>
      <c r="AJ360" t="str">
        <f>SUM(AJ5:AJ359)</f>
        <v>0</v>
      </c>
      <c r="AK360" t="str">
        <f>SUM(AK5:AK359)</f>
        <v>0</v>
      </c>
      <c r="AL360" t="str">
        <f>SUM(AL5:AL359)</f>
        <v>0</v>
      </c>
      <c r="AM360" t="str">
        <f>SUM(AM5:AM359)</f>
        <v>0</v>
      </c>
      <c r="AN360" t="str">
        <f>SUM(AN5:AN359)</f>
        <v>0</v>
      </c>
      <c r="AO360" t="str">
        <f>SUM(AO5:AO359)</f>
        <v>0</v>
      </c>
      <c r="AP360" t="str">
        <f>SUM(AP5:AP359)</f>
        <v>0</v>
      </c>
    </row>
    <row r="361" spans="1:43">
      <c r="A361" t="s">
        <v>386</v>
      </c>
      <c r="B361" t="str">
        <f>MODE(B5:B359)</f>
        <v>0</v>
      </c>
      <c r="C361" t="str">
        <f>MODE(C5:C359)</f>
        <v>0</v>
      </c>
      <c r="D361" t="str">
        <f>MODE(D5:D359)</f>
        <v>0</v>
      </c>
      <c r="E361" t="str">
        <f>MODE(E5:E359)</f>
        <v>0</v>
      </c>
      <c r="F361" t="str">
        <f>MODE(F5:F359)</f>
        <v>0</v>
      </c>
      <c r="G361" t="str">
        <f>MODE(G5:G359)</f>
        <v>0</v>
      </c>
      <c r="H361" t="str">
        <f>MODE(H5:H359)</f>
        <v>0</v>
      </c>
      <c r="I361" t="str">
        <f>MODE(I5:I359)</f>
        <v>0</v>
      </c>
      <c r="J361" t="str">
        <f>MODE(J5:J359)</f>
        <v>0</v>
      </c>
      <c r="K361" t="str">
        <f>MODE(K5:K359)</f>
        <v>0</v>
      </c>
      <c r="L361" t="str">
        <f>MODE(L5:L359)</f>
        <v>0</v>
      </c>
      <c r="M361" t="str">
        <f>MODE(M5:M359)</f>
        <v>0</v>
      </c>
      <c r="N361" t="str">
        <f>MODE(N5:N359)</f>
        <v>0</v>
      </c>
      <c r="O361" t="str">
        <f>MODE(O5:O359)</f>
        <v>0</v>
      </c>
      <c r="P361" t="str">
        <f>MODE(P5:P359)</f>
        <v>0</v>
      </c>
      <c r="Q361" t="str">
        <f>MODE(Q5:Q359)</f>
        <v>0</v>
      </c>
      <c r="R361" t="str">
        <f>MODE(R5:R359)</f>
        <v>0</v>
      </c>
      <c r="S361" t="str">
        <f>MODE(S5:S359)</f>
        <v>0</v>
      </c>
      <c r="T361" t="str">
        <f>MODE(T5:T359)</f>
        <v>0</v>
      </c>
      <c r="U361" t="str">
        <f>MODE(U5:U359)</f>
        <v>0</v>
      </c>
      <c r="V361" t="str">
        <f>MODE(V5:V359)</f>
        <v>0</v>
      </c>
      <c r="W361" t="str">
        <f>MODE(W5:W359)</f>
        <v>0</v>
      </c>
      <c r="X361" t="str">
        <f>MODE(X5:X359)</f>
        <v>0</v>
      </c>
      <c r="Y361" t="str">
        <f>MODE(Y5:Y359)</f>
        <v>0</v>
      </c>
      <c r="Z361" t="str">
        <f>MODE(Z5:Z359)</f>
        <v>0</v>
      </c>
      <c r="AA361" t="str">
        <f>MODE(AA5:AA359)</f>
        <v>0</v>
      </c>
      <c r="AB361" t="str">
        <f>MODE(AB5:AB359)</f>
        <v>0</v>
      </c>
      <c r="AC361" t="str">
        <f>MODE(AC5:AC359)</f>
        <v>0</v>
      </c>
      <c r="AD361" t="str">
        <f>MODE(AD5:AD359)</f>
        <v>0</v>
      </c>
      <c r="AE361" t="str">
        <f>MODE(AE5:AE359)</f>
        <v>0</v>
      </c>
      <c r="AF361" t="str">
        <f>MODE(AF5:AF359)</f>
        <v>0</v>
      </c>
      <c r="AG361" t="str">
        <f>MODE(AG5:AG359)</f>
        <v>0</v>
      </c>
      <c r="AH361" t="str">
        <f>MODE(AH5:AH359)</f>
        <v>0</v>
      </c>
      <c r="AI361" t="str">
        <f>MODE(AI5:AI359)</f>
        <v>0</v>
      </c>
      <c r="AJ361" t="str">
        <f>MODE(AJ5:AJ359)</f>
        <v>0</v>
      </c>
      <c r="AK361" t="str">
        <f>MODE(AK5:AK359)</f>
        <v>0</v>
      </c>
      <c r="AL361" t="str">
        <f>MODE(AL5:AL359)</f>
        <v>0</v>
      </c>
      <c r="AM361" t="str">
        <f>MODE(AM5:AM359)</f>
        <v>0</v>
      </c>
      <c r="AN361" t="str">
        <f>MODE(AN5:AN359)</f>
        <v>0</v>
      </c>
      <c r="AO361" t="str">
        <f>MODE(AO5:AO359)</f>
        <v>0</v>
      </c>
      <c r="AP361" t="str">
        <f>MODE(AP5:AP359)</f>
        <v>0</v>
      </c>
    </row>
    <row r="362" spans="1:43">
      <c r="A362" t="s">
        <v>387</v>
      </c>
      <c r="B362" t="str">
        <f>(B360/355)</f>
        <v>0</v>
      </c>
      <c r="C362" t="str">
        <f>(C360/355)</f>
        <v>0</v>
      </c>
      <c r="D362" t="str">
        <f>(D360/355)</f>
        <v>0</v>
      </c>
      <c r="E362" t="str">
        <f>(E360/355)</f>
        <v>0</v>
      </c>
      <c r="F362" t="str">
        <f>(F360/355)</f>
        <v>0</v>
      </c>
      <c r="G362" t="str">
        <f>(G360/355)</f>
        <v>0</v>
      </c>
      <c r="H362" t="str">
        <f>(H360/355)</f>
        <v>0</v>
      </c>
      <c r="I362" t="str">
        <f>(I360/355)</f>
        <v>0</v>
      </c>
      <c r="J362" t="str">
        <f>(J360/355)</f>
        <v>0</v>
      </c>
      <c r="K362" t="str">
        <f>(K360/355)</f>
        <v>0</v>
      </c>
      <c r="L362" t="str">
        <f>(L360/355)</f>
        <v>0</v>
      </c>
      <c r="M362" t="str">
        <f>(M360/355)</f>
        <v>0</v>
      </c>
      <c r="N362" t="str">
        <f>(N360/355)</f>
        <v>0</v>
      </c>
      <c r="O362" t="str">
        <f>(O360/355)</f>
        <v>0</v>
      </c>
      <c r="P362" t="str">
        <f>(P360/355)</f>
        <v>0</v>
      </c>
      <c r="Q362" t="str">
        <f>(Q360/355)</f>
        <v>0</v>
      </c>
      <c r="R362" t="str">
        <f>(R360/355)</f>
        <v>0</v>
      </c>
      <c r="S362" t="str">
        <f>(S360/355)</f>
        <v>0</v>
      </c>
      <c r="T362" t="str">
        <f>(T360/355)</f>
        <v>0</v>
      </c>
      <c r="U362" t="str">
        <f>(U360/355)</f>
        <v>0</v>
      </c>
      <c r="V362" t="str">
        <f>(V360/355)</f>
        <v>0</v>
      </c>
      <c r="W362" t="str">
        <f>(W360/355)</f>
        <v>0</v>
      </c>
      <c r="X362" t="str">
        <f>(X360/355)</f>
        <v>0</v>
      </c>
      <c r="Y362" t="str">
        <f>(Y360/355)</f>
        <v>0</v>
      </c>
      <c r="Z362" t="str">
        <f>(Z360/355)</f>
        <v>0</v>
      </c>
      <c r="AA362" t="str">
        <f>(AA360/355)</f>
        <v>0</v>
      </c>
      <c r="AB362" t="str">
        <f>(AB360/355)</f>
        <v>0</v>
      </c>
      <c r="AC362" t="str">
        <f>(AC360/355)</f>
        <v>0</v>
      </c>
      <c r="AD362" t="str">
        <f>(AD360/355)</f>
        <v>0</v>
      </c>
      <c r="AE362" t="str">
        <f>(AE360/355)</f>
        <v>0</v>
      </c>
      <c r="AF362" t="str">
        <f>(AF360/355)</f>
        <v>0</v>
      </c>
      <c r="AG362" t="str">
        <f>(AG360/355)</f>
        <v>0</v>
      </c>
      <c r="AH362" t="str">
        <f>(AH360/355)</f>
        <v>0</v>
      </c>
      <c r="AI362" t="str">
        <f>(AI360/355)</f>
        <v>0</v>
      </c>
      <c r="AJ362" t="str">
        <f>(AJ360/355)</f>
        <v>0</v>
      </c>
      <c r="AK362" t="str">
        <f>(AK360/355)</f>
        <v>0</v>
      </c>
      <c r="AL362" t="str">
        <f>(AL360/355)</f>
        <v>0</v>
      </c>
      <c r="AM362" t="str">
        <f>(AM360/355)</f>
        <v>0</v>
      </c>
      <c r="AN362" t="str">
        <f>(AN360/355)</f>
        <v>0</v>
      </c>
      <c r="AO362" t="str">
        <f>(AO360/355)</f>
        <v>0</v>
      </c>
      <c r="AP362" t="str">
        <f>(AP360/355)</f>
        <v>0</v>
      </c>
    </row>
    <row r="363" spans="1:43">
      <c r="A363" t="s">
        <v>388</v>
      </c>
      <c r="B363" t="str">
        <f>MEDIAN(B5:B359)</f>
        <v>0</v>
      </c>
      <c r="C363" t="str">
        <f>MEDIAN(C5:C359)</f>
        <v>0</v>
      </c>
      <c r="D363" t="str">
        <f>MEDIAN(D5:D359)</f>
        <v>0</v>
      </c>
      <c r="E363" t="str">
        <f>MEDIAN(E5:E359)</f>
        <v>0</v>
      </c>
      <c r="F363" t="str">
        <f>MEDIAN(F5:F359)</f>
        <v>0</v>
      </c>
      <c r="G363" t="str">
        <f>MEDIAN(G5:G359)</f>
        <v>0</v>
      </c>
      <c r="H363" t="str">
        <f>MEDIAN(H5:H359)</f>
        <v>0</v>
      </c>
      <c r="I363" t="str">
        <f>MEDIAN(I5:I359)</f>
        <v>0</v>
      </c>
      <c r="J363" t="str">
        <f>MEDIAN(J5:J359)</f>
        <v>0</v>
      </c>
      <c r="K363" t="str">
        <f>MEDIAN(K5:K359)</f>
        <v>0</v>
      </c>
      <c r="L363" t="str">
        <f>MEDIAN(L5:L359)</f>
        <v>0</v>
      </c>
      <c r="M363" t="str">
        <f>MEDIAN(M5:M359)</f>
        <v>0</v>
      </c>
      <c r="N363" t="str">
        <f>MEDIAN(N5:N359)</f>
        <v>0</v>
      </c>
      <c r="O363" t="str">
        <f>MEDIAN(O5:O359)</f>
        <v>0</v>
      </c>
      <c r="P363" t="str">
        <f>MEDIAN(P5:P359)</f>
        <v>0</v>
      </c>
      <c r="Q363" t="str">
        <f>MEDIAN(Q5:Q359)</f>
        <v>0</v>
      </c>
      <c r="R363" t="str">
        <f>MEDIAN(R5:R359)</f>
        <v>0</v>
      </c>
      <c r="S363" t="str">
        <f>MEDIAN(S5:S359)</f>
        <v>0</v>
      </c>
      <c r="T363" t="str">
        <f>MEDIAN(T5:T359)</f>
        <v>0</v>
      </c>
      <c r="U363" t="str">
        <f>MEDIAN(U5:U359)</f>
        <v>0</v>
      </c>
      <c r="V363" t="str">
        <f>MEDIAN(V5:V359)</f>
        <v>0</v>
      </c>
      <c r="W363" t="str">
        <f>MEDIAN(W5:W359)</f>
        <v>0</v>
      </c>
      <c r="X363" t="str">
        <f>MEDIAN(X5:X359)</f>
        <v>0</v>
      </c>
      <c r="Y363" t="str">
        <f>MEDIAN(Y5:Y359)</f>
        <v>0</v>
      </c>
      <c r="Z363" t="str">
        <f>MEDIAN(Z5:Z359)</f>
        <v>0</v>
      </c>
      <c r="AA363" t="str">
        <f>MEDIAN(AA5:AA359)</f>
        <v>0</v>
      </c>
      <c r="AB363" t="str">
        <f>MEDIAN(AB5:AB359)</f>
        <v>0</v>
      </c>
      <c r="AC363" t="str">
        <f>MEDIAN(AC5:AC359)</f>
        <v>0</v>
      </c>
      <c r="AD363" t="str">
        <f>MEDIAN(AD5:AD359)</f>
        <v>0</v>
      </c>
      <c r="AE363" t="str">
        <f>MEDIAN(AE5:AE359)</f>
        <v>0</v>
      </c>
      <c r="AF363" t="str">
        <f>MEDIAN(AF5:AF359)</f>
        <v>0</v>
      </c>
      <c r="AG363" t="str">
        <f>MEDIAN(AG5:AG359)</f>
        <v>0</v>
      </c>
      <c r="AH363" t="str">
        <f>MEDIAN(AH5:AH359)</f>
        <v>0</v>
      </c>
      <c r="AI363" t="str">
        <f>MEDIAN(AI5:AI359)</f>
        <v>0</v>
      </c>
      <c r="AJ363" t="str">
        <f>MEDIAN(AJ5:AJ359)</f>
        <v>0</v>
      </c>
      <c r="AK363" t="str">
        <f>MEDIAN(AK5:AK359)</f>
        <v>0</v>
      </c>
      <c r="AL363" t="str">
        <f>MEDIAN(AL5:AL359)</f>
        <v>0</v>
      </c>
      <c r="AM363" t="str">
        <f>MEDIAN(AM5:AM359)</f>
        <v>0</v>
      </c>
      <c r="AN363" t="str">
        <f>MEDIAN(AN5:AN359)</f>
        <v>0</v>
      </c>
      <c r="AO363" t="str">
        <f>MEDIAN(AO5:AO359)</f>
        <v>0</v>
      </c>
      <c r="AP363" t="str">
        <f>MEDIAN(AP5:AP359)</f>
        <v>0</v>
      </c>
    </row>
    <row r="364" spans="1:43">
      <c r="A364" t="s">
        <v>389</v>
      </c>
      <c r="B364" t="str">
        <f>ROUND(STDEV(B5:B359),2)</f>
        <v>0</v>
      </c>
      <c r="C364" t="str">
        <f>ROUND(STDEV(C5:C359),2)</f>
        <v>0</v>
      </c>
      <c r="D364" t="str">
        <f>ROUND(STDEV(D5:D359),2)</f>
        <v>0</v>
      </c>
      <c r="E364" t="str">
        <f>ROUND(STDEV(E5:E359),2)</f>
        <v>0</v>
      </c>
      <c r="F364" t="str">
        <f>ROUND(STDEV(F5:F359),2)</f>
        <v>0</v>
      </c>
      <c r="G364" t="str">
        <f>ROUND(STDEV(G5:G359),2)</f>
        <v>0</v>
      </c>
      <c r="H364" t="str">
        <f>ROUND(STDEV(H5:H359),2)</f>
        <v>0</v>
      </c>
      <c r="I364" t="str">
        <f>ROUND(STDEV(I5:I359),2)</f>
        <v>0</v>
      </c>
      <c r="J364" t="str">
        <f>ROUND(STDEV(J5:J359),2)</f>
        <v>0</v>
      </c>
      <c r="K364" t="str">
        <f>ROUND(STDEV(K5:K359),2)</f>
        <v>0</v>
      </c>
      <c r="L364" t="str">
        <f>ROUND(STDEV(L5:L359),2)</f>
        <v>0</v>
      </c>
      <c r="M364" t="str">
        <f>ROUND(STDEV(M5:M359),2)</f>
        <v>0</v>
      </c>
      <c r="N364" t="str">
        <f>ROUND(STDEV(N5:N359),2)</f>
        <v>0</v>
      </c>
      <c r="O364" t="str">
        <f>ROUND(STDEV(O5:O359),2)</f>
        <v>0</v>
      </c>
      <c r="P364" t="str">
        <f>ROUND(STDEV(P5:P359),2)</f>
        <v>0</v>
      </c>
      <c r="Q364" t="str">
        <f>ROUND(STDEV(Q5:Q359),2)</f>
        <v>0</v>
      </c>
      <c r="R364" t="str">
        <f>ROUND(STDEV(R5:R359),2)</f>
        <v>0</v>
      </c>
      <c r="S364" t="str">
        <f>ROUND(STDEV(S5:S359),2)</f>
        <v>0</v>
      </c>
      <c r="T364" t="str">
        <f>ROUND(STDEV(T5:T359),2)</f>
        <v>0</v>
      </c>
      <c r="U364" t="str">
        <f>ROUND(STDEV(U5:U359),2)</f>
        <v>0</v>
      </c>
      <c r="V364" t="str">
        <f>ROUND(STDEV(V5:V359),2)</f>
        <v>0</v>
      </c>
      <c r="W364" t="str">
        <f>ROUND(STDEV(W5:W359),2)</f>
        <v>0</v>
      </c>
      <c r="X364" t="str">
        <f>ROUND(STDEV(X5:X359),2)</f>
        <v>0</v>
      </c>
      <c r="Y364" t="str">
        <f>ROUND(STDEV(Y5:Y359),2)</f>
        <v>0</v>
      </c>
      <c r="Z364" t="str">
        <f>ROUND(STDEV(Z5:Z359),2)</f>
        <v>0</v>
      </c>
      <c r="AA364" t="str">
        <f>ROUND(STDEV(AA5:AA359),2)</f>
        <v>0</v>
      </c>
      <c r="AB364" t="str">
        <f>ROUND(STDEV(AB5:AB359),2)</f>
        <v>0</v>
      </c>
      <c r="AC364" t="str">
        <f>ROUND(STDEV(AC5:AC359),2)</f>
        <v>0</v>
      </c>
      <c r="AD364" t="str">
        <f>ROUND(STDEV(AD5:AD359),2)</f>
        <v>0</v>
      </c>
      <c r="AE364" t="str">
        <f>ROUND(STDEV(AE5:AE359),2)</f>
        <v>0</v>
      </c>
      <c r="AF364" t="str">
        <f>ROUND(STDEV(AF5:AF359),2)</f>
        <v>0</v>
      </c>
      <c r="AG364" t="str">
        <f>ROUND(STDEV(AG5:AG359),2)</f>
        <v>0</v>
      </c>
      <c r="AH364" t="str">
        <f>ROUND(STDEV(AH5:AH359),2)</f>
        <v>0</v>
      </c>
      <c r="AI364" t="str">
        <f>ROUND(STDEV(AI5:AI359),2)</f>
        <v>0</v>
      </c>
      <c r="AJ364" t="str">
        <f>ROUND(STDEV(AJ5:AJ359),2)</f>
        <v>0</v>
      </c>
      <c r="AK364" t="str">
        <f>ROUND(STDEV(AK5:AK359),2)</f>
        <v>0</v>
      </c>
      <c r="AL364" t="str">
        <f>ROUND(STDEV(AL5:AL359),2)</f>
        <v>0</v>
      </c>
      <c r="AM364" t="str">
        <f>ROUND(STDEV(AM5:AM359),2)</f>
        <v>0</v>
      </c>
      <c r="AN364" t="str">
        <f>ROUND(STDEV(AN5:AN359),2)</f>
        <v>0</v>
      </c>
      <c r="AO364" t="str">
        <f>ROUND(STDEV(AO5:AO359),2)</f>
        <v>0</v>
      </c>
      <c r="AP364" t="str">
        <f>ROUND(STDEV(AP5:AP359),2)</f>
        <v>0</v>
      </c>
    </row>
    <row r="365" spans="1:43">
      <c r="A365" t="s">
        <v>390</v>
      </c>
      <c r="B365" s="5" t="str">
        <f>(B364/B362)</f>
        <v>0</v>
      </c>
      <c r="C365" s="5" t="str">
        <f>(C364/C362)</f>
        <v>0</v>
      </c>
      <c r="D365" s="5" t="str">
        <f>(D364/D362)</f>
        <v>0</v>
      </c>
      <c r="E365" s="5" t="str">
        <f>(E364/E362)</f>
        <v>0</v>
      </c>
      <c r="F365" s="5" t="str">
        <f>(F364/F362)</f>
        <v>0</v>
      </c>
      <c r="G365" s="5" t="str">
        <f>(G364/G362)</f>
        <v>0</v>
      </c>
      <c r="H365" s="5" t="str">
        <f>(H364/H362)</f>
        <v>0</v>
      </c>
      <c r="I365" s="5" t="str">
        <f>(I364/I362)</f>
        <v>0</v>
      </c>
      <c r="J365" s="5" t="str">
        <f>(J364/J362)</f>
        <v>0</v>
      </c>
      <c r="K365" s="5" t="str">
        <f>(K364/K362)</f>
        <v>0</v>
      </c>
      <c r="L365" s="5" t="str">
        <f>(L364/L362)</f>
        <v>0</v>
      </c>
      <c r="M365" s="5" t="str">
        <f>(M364/M362)</f>
        <v>0</v>
      </c>
      <c r="N365" s="5" t="str">
        <f>(N364/N362)</f>
        <v>0</v>
      </c>
      <c r="O365" s="5" t="str">
        <f>(O364/O362)</f>
        <v>0</v>
      </c>
      <c r="P365" s="5" t="str">
        <f>(P364/P362)</f>
        <v>0</v>
      </c>
      <c r="Q365" s="5" t="str">
        <f>(Q364/Q362)</f>
        <v>0</v>
      </c>
      <c r="R365" s="5" t="str">
        <f>(R364/R362)</f>
        <v>0</v>
      </c>
      <c r="S365" s="5" t="str">
        <f>(S364/S362)</f>
        <v>0</v>
      </c>
      <c r="T365" s="5" t="str">
        <f>(T364/T362)</f>
        <v>0</v>
      </c>
      <c r="U365" s="5" t="str">
        <f>(U364/U362)</f>
        <v>0</v>
      </c>
      <c r="V365" s="5" t="str">
        <f>(V364/V362)</f>
        <v>0</v>
      </c>
      <c r="W365" s="5" t="str">
        <f>(W364/W362)</f>
        <v>0</v>
      </c>
      <c r="X365" s="5" t="str">
        <f>(X364/X362)</f>
        <v>0</v>
      </c>
      <c r="Y365" s="5" t="str">
        <f>(Y364/Y362)</f>
        <v>0</v>
      </c>
      <c r="Z365" s="5" t="str">
        <f>(Z364/Z362)</f>
        <v>0</v>
      </c>
      <c r="AA365" s="5" t="str">
        <f>(AA364/AA362)</f>
        <v>0</v>
      </c>
      <c r="AB365" s="5" t="str">
        <f>(AB364/AB362)</f>
        <v>0</v>
      </c>
      <c r="AC365" s="5" t="str">
        <f>(AC364/AC362)</f>
        <v>0</v>
      </c>
      <c r="AD365" s="5" t="str">
        <f>(AD364/AD362)</f>
        <v>0</v>
      </c>
      <c r="AE365" s="5" t="str">
        <f>(AE364/AE362)</f>
        <v>0</v>
      </c>
      <c r="AF365" s="5" t="str">
        <f>(AF364/AF362)</f>
        <v>0</v>
      </c>
      <c r="AG365" s="5" t="str">
        <f>(AG364/AG362)</f>
        <v>0</v>
      </c>
      <c r="AH365" s="5" t="str">
        <f>(AH364/AH362)</f>
        <v>0</v>
      </c>
      <c r="AI365" s="5" t="str">
        <f>(AI364/AI362)</f>
        <v>0</v>
      </c>
      <c r="AJ365" s="5" t="str">
        <f>(AJ364/AJ362)</f>
        <v>0</v>
      </c>
      <c r="AK365" s="5" t="str">
        <f>(AK364/AK362)</f>
        <v>0</v>
      </c>
      <c r="AL365" s="5" t="str">
        <f>(AL364/AL362)</f>
        <v>0</v>
      </c>
      <c r="AM365" s="5" t="str">
        <f>(AM364/AM362)</f>
        <v>0</v>
      </c>
      <c r="AN365" s="5" t="str">
        <f>(AN364/AN362)</f>
        <v>0</v>
      </c>
      <c r="AO365" s="5" t="str">
        <f>(AO364/AO362)</f>
        <v>0</v>
      </c>
      <c r="AP365" s="5" t="str">
        <f>(AP364/AP362)</f>
        <v>0</v>
      </c>
    </row>
    <row r="366" spans="1:43">
      <c r="A366" t="s">
        <v>568</v>
      </c>
      <c r="B366" t="str">
        <f>COUNTIF($B$5:$B$359,1)</f>
        <v>0</v>
      </c>
      <c r="C366" t="str">
        <f>COUNTIF($C$5:$C$359,1)</f>
        <v>0</v>
      </c>
      <c r="D366" t="str">
        <f>COUNTIF($D$5:$D$359,1)</f>
        <v>0</v>
      </c>
      <c r="E366" t="str">
        <f>COUNTIF($E$5:$E$359,1)</f>
        <v>0</v>
      </c>
      <c r="F366" t="str">
        <f>COUNTIF($F$5:$F$359,1)</f>
        <v>0</v>
      </c>
      <c r="G366" t="str">
        <f>COUNTIF($G$5:$G$359,1)</f>
        <v>0</v>
      </c>
      <c r="H366" t="str">
        <f>COUNTIF($H$5:$H$359,1)</f>
        <v>0</v>
      </c>
      <c r="I366" t="str">
        <f>COUNTIF($I$5:$I$359,1)</f>
        <v>0</v>
      </c>
      <c r="J366" t="str">
        <f>COUNTIF($J$5:$J$359,1)</f>
        <v>0</v>
      </c>
      <c r="K366" t="str">
        <f>COUNTIF($K$5:$K$359,1)</f>
        <v>0</v>
      </c>
      <c r="L366" t="str">
        <f>COUNTIF($L$5:$L$359,1)</f>
        <v>0</v>
      </c>
      <c r="M366" t="str">
        <f>COUNTIF($M$5:$M$359,1)</f>
        <v>0</v>
      </c>
      <c r="N366" t="str">
        <f>COUNTIF($N$5:$N$359,1)</f>
        <v>0</v>
      </c>
      <c r="O366" t="str">
        <f>COUNTIF($O$5:$O$359,1)</f>
        <v>0</v>
      </c>
      <c r="P366" t="str">
        <f>COUNTIF($P$5:$P$359,1)</f>
        <v>0</v>
      </c>
      <c r="Q366" t="str">
        <f>COUNTIF($Q$5:$Q$359,1)</f>
        <v>0</v>
      </c>
      <c r="R366" t="str">
        <f>COUNTIF($R$5:$R$359,1)</f>
        <v>0</v>
      </c>
      <c r="S366" t="str">
        <f>COUNTIF($S$5:$S$359,1)</f>
        <v>0</v>
      </c>
      <c r="T366" t="str">
        <f>COUNTIF($T$5:$T$359,1)</f>
        <v>0</v>
      </c>
      <c r="U366" t="str">
        <f>COUNTIF($U$5:$U$359,1)</f>
        <v>0</v>
      </c>
      <c r="V366" t="str">
        <f>COUNTIF($V$5:$V$359,1)</f>
        <v>0</v>
      </c>
      <c r="W366" t="str">
        <f>COUNTIF($W$5:$W$359,1)</f>
        <v>0</v>
      </c>
      <c r="X366" t="str">
        <f>COUNTIF($X$5:$X$359,1)</f>
        <v>0</v>
      </c>
      <c r="Y366" t="str">
        <f>COUNTIF($Y$5:$Y$359,1)</f>
        <v>0</v>
      </c>
      <c r="Z366" t="str">
        <f>COUNTIF($Z$5:$Z$359,1)</f>
        <v>0</v>
      </c>
      <c r="AA366" t="str">
        <f>COUNTIF($AA$5:$AA$359,1)</f>
        <v>0</v>
      </c>
      <c r="AB366" t="str">
        <f>COUNTIF($AB$5:$AB$359,1)</f>
        <v>0</v>
      </c>
      <c r="AC366" t="str">
        <f>COUNTIF($AC$5:$AC$359,1)</f>
        <v>0</v>
      </c>
      <c r="AD366" t="str">
        <f>COUNTIF($AD$5:$AD$359,1)</f>
        <v>0</v>
      </c>
      <c r="AE366" t="str">
        <f>COUNTIF($AE$5:$AE$359,1)</f>
        <v>0</v>
      </c>
      <c r="AF366" t="str">
        <f>COUNTIF($AF$5:$AF$359,1)</f>
        <v>0</v>
      </c>
      <c r="AG366" t="str">
        <f>COUNTIF($AG$5:$AG$359,1)</f>
        <v>0</v>
      </c>
      <c r="AH366" t="str">
        <f>COUNTIF($AH$5:$AH$359,1)</f>
        <v>0</v>
      </c>
      <c r="AI366" t="str">
        <f>COUNTIF($AI$5:$AI$359,1)</f>
        <v>0</v>
      </c>
      <c r="AJ366" t="str">
        <f>COUNTIF($AJ$5:$AJ$359,1)</f>
        <v>0</v>
      </c>
      <c r="AK366" t="str">
        <f>COUNTIF($AK$5:$AK$359,1)</f>
        <v>0</v>
      </c>
      <c r="AL366" t="str">
        <f>COUNTIF($AL$5:$AL$359,1)</f>
        <v>0</v>
      </c>
      <c r="AM366" t="str">
        <f>COUNTIF($AM$5:$AM$359,1)</f>
        <v>0</v>
      </c>
      <c r="AN366" t="str">
        <f>COUNTIF($AN$5:$AN$359,1)</f>
        <v>0</v>
      </c>
      <c r="AO366" t="str">
        <f>COUNTIF($AO$5:$AO$359,1)</f>
        <v>0</v>
      </c>
    </row>
    <row r="367" spans="1:43">
      <c r="A367" t="s">
        <v>569</v>
      </c>
      <c r="B367" t="str">
        <f>COUNTIF($B$5:$B$359,2)</f>
        <v>0</v>
      </c>
      <c r="C367" t="str">
        <f>COUNTIF($C$5:$C$359,2)</f>
        <v>0</v>
      </c>
      <c r="D367" t="str">
        <f>COUNTIF($D$5:$D$359,2)</f>
        <v>0</v>
      </c>
      <c r="E367" t="str">
        <f>COUNTIF($E$5:$E$359,2)</f>
        <v>0</v>
      </c>
      <c r="F367" t="str">
        <f>COUNTIF($F$5:$F$359,2)</f>
        <v>0</v>
      </c>
      <c r="G367" t="str">
        <f>COUNTIF($G$5:$G$359,2)</f>
        <v>0</v>
      </c>
      <c r="H367" t="str">
        <f>COUNTIF($H$5:$H$359,2)</f>
        <v>0</v>
      </c>
      <c r="I367" t="str">
        <f>COUNTIF($I$5:$I$359,2)</f>
        <v>0</v>
      </c>
      <c r="J367" t="str">
        <f>COUNTIF($J$5:$J$359,2)</f>
        <v>0</v>
      </c>
      <c r="K367" t="str">
        <f>COUNTIF($K$5:$K$359,2)</f>
        <v>0</v>
      </c>
      <c r="L367" t="str">
        <f>COUNTIF($L$5:$L$359,2)</f>
        <v>0</v>
      </c>
      <c r="M367" t="str">
        <f>COUNTIF($M$5:$M$359,2)</f>
        <v>0</v>
      </c>
      <c r="N367" t="str">
        <f>COUNTIF($N$5:$N$359,2)</f>
        <v>0</v>
      </c>
      <c r="O367" t="str">
        <f>COUNTIF($O$5:$O$359,2)</f>
        <v>0</v>
      </c>
      <c r="P367" t="str">
        <f>COUNTIF($P$5:$P$359,2)</f>
        <v>0</v>
      </c>
      <c r="Q367" t="str">
        <f>COUNTIF($Q$5:$Q$359,2)</f>
        <v>0</v>
      </c>
      <c r="R367" t="str">
        <f>COUNTIF($R$5:$R$359,2)</f>
        <v>0</v>
      </c>
      <c r="S367" t="str">
        <f>COUNTIF($S$5:$S$359,2)</f>
        <v>0</v>
      </c>
      <c r="T367" t="str">
        <f>COUNTIF($T$5:$T$359,2)</f>
        <v>0</v>
      </c>
      <c r="U367" t="str">
        <f>COUNTIF($U$5:$U$359,2)</f>
        <v>0</v>
      </c>
      <c r="V367" t="str">
        <f>COUNTIF($V$5:$V$359,2)</f>
        <v>0</v>
      </c>
      <c r="W367" t="str">
        <f>COUNTIF($W$5:$W$359,2)</f>
        <v>0</v>
      </c>
      <c r="X367" t="str">
        <f>COUNTIF($X$5:$X$359,2)</f>
        <v>0</v>
      </c>
      <c r="Y367" t="str">
        <f>COUNTIF($Y$5:$Y$359,2)</f>
        <v>0</v>
      </c>
      <c r="Z367" t="str">
        <f>COUNTIF($Z$5:$Z$359,2)</f>
        <v>0</v>
      </c>
      <c r="AA367" t="str">
        <f>COUNTIF($AA$5:$AA$359,2)</f>
        <v>0</v>
      </c>
      <c r="AB367" t="str">
        <f>COUNTIF($AB$5:$AB$359,2)</f>
        <v>0</v>
      </c>
      <c r="AC367" t="str">
        <f>COUNTIF($AC$5:$AC$359,2)</f>
        <v>0</v>
      </c>
      <c r="AD367" t="str">
        <f>COUNTIF($AD$5:$AD$359,2)</f>
        <v>0</v>
      </c>
      <c r="AE367" t="str">
        <f>COUNTIF($AE$5:$AE$359,2)</f>
        <v>0</v>
      </c>
      <c r="AF367" t="str">
        <f>COUNTIF($AF$5:$AF$359,2)</f>
        <v>0</v>
      </c>
      <c r="AG367" t="str">
        <f>COUNTIF($AG$5:$AG$359,2)</f>
        <v>0</v>
      </c>
      <c r="AH367" t="str">
        <f>COUNTIF($AH$5:$AH$359,2)</f>
        <v>0</v>
      </c>
      <c r="AI367" t="str">
        <f>COUNTIF($AI$5:$AI$359,2)</f>
        <v>0</v>
      </c>
      <c r="AJ367" t="str">
        <f>COUNTIF($AJ$5:$AJ$359,2)</f>
        <v>0</v>
      </c>
      <c r="AK367" t="str">
        <f>COUNTIF($AK$5:$AK$359,2)</f>
        <v>0</v>
      </c>
      <c r="AL367" t="str">
        <f>COUNTIF($AL$5:$AL$359,2)</f>
        <v>0</v>
      </c>
      <c r="AM367" t="str">
        <f>COUNTIF($AM$5:$AM$359,2)</f>
        <v>0</v>
      </c>
      <c r="AN367" t="str">
        <f>COUNTIF($AN$5:$AN$359,2)</f>
        <v>0</v>
      </c>
      <c r="AO367" t="str">
        <f>COUNTIF($AO$5:$AO$359,2)</f>
        <v>0</v>
      </c>
    </row>
    <row r="368" spans="1:43">
      <c r="A368" t="s">
        <v>570</v>
      </c>
      <c r="B368" t="str">
        <f>COUNTIF($B$5:$B$359,3)</f>
        <v>0</v>
      </c>
      <c r="C368" t="str">
        <f>COUNTIF($C$5:$C$359,3)</f>
        <v>0</v>
      </c>
      <c r="D368" t="str">
        <f>COUNTIF($D$5:$D$359,3)</f>
        <v>0</v>
      </c>
      <c r="E368" t="str">
        <f>COUNTIF($E$5:$E$359,3)</f>
        <v>0</v>
      </c>
      <c r="F368" t="str">
        <f>COUNTIF($F$5:$F$359,3)</f>
        <v>0</v>
      </c>
      <c r="G368" t="str">
        <f>COUNTIF($G$5:$G$359,3)</f>
        <v>0</v>
      </c>
      <c r="H368" t="str">
        <f>COUNTIF($H$5:$H$359,3)</f>
        <v>0</v>
      </c>
      <c r="I368" t="str">
        <f>COUNTIF($I$5:$I$359,3)</f>
        <v>0</v>
      </c>
      <c r="J368" t="str">
        <f>COUNTIF($J$5:$J$359,3)</f>
        <v>0</v>
      </c>
      <c r="K368" t="str">
        <f>COUNTIF($K$5:$K$359,3)</f>
        <v>0</v>
      </c>
      <c r="L368" t="str">
        <f>COUNTIF($L$5:$L$359,3)</f>
        <v>0</v>
      </c>
      <c r="M368" t="str">
        <f>COUNTIF($M$5:$M$359,3)</f>
        <v>0</v>
      </c>
      <c r="N368" t="str">
        <f>COUNTIF($N$5:$N$359,3)</f>
        <v>0</v>
      </c>
      <c r="O368" t="str">
        <f>COUNTIF($O$5:$O$359,3)</f>
        <v>0</v>
      </c>
      <c r="P368" t="str">
        <f>COUNTIF($P$5:$P$359,3)</f>
        <v>0</v>
      </c>
      <c r="Q368" t="str">
        <f>COUNTIF($Q$5:$Q$359,3)</f>
        <v>0</v>
      </c>
      <c r="R368" t="str">
        <f>COUNTIF($R$5:$R$359,3)</f>
        <v>0</v>
      </c>
      <c r="S368" t="str">
        <f>COUNTIF($S$5:$S$359,3)</f>
        <v>0</v>
      </c>
      <c r="T368" t="str">
        <f>COUNTIF($T$5:$T$359,3)</f>
        <v>0</v>
      </c>
      <c r="U368" t="str">
        <f>COUNTIF($U$5:$U$359,3)</f>
        <v>0</v>
      </c>
      <c r="V368" t="str">
        <f>COUNTIF($V$5:$V$359,3)</f>
        <v>0</v>
      </c>
      <c r="W368" t="str">
        <f>COUNTIF($W$5:$W$359,3)</f>
        <v>0</v>
      </c>
      <c r="X368" t="str">
        <f>COUNTIF($X$5:$X$359,3)</f>
        <v>0</v>
      </c>
      <c r="Y368" t="str">
        <f>COUNTIF($Y$5:$Y$359,3)</f>
        <v>0</v>
      </c>
      <c r="Z368" t="str">
        <f>COUNTIF($Z$5:$Z$359,3)</f>
        <v>0</v>
      </c>
      <c r="AA368" t="str">
        <f>COUNTIF($AA$5:$AA$359,3)</f>
        <v>0</v>
      </c>
      <c r="AB368" t="str">
        <f>COUNTIF($AB$5:$AB$359,3)</f>
        <v>0</v>
      </c>
      <c r="AC368" t="str">
        <f>COUNTIF($AC$5:$AC$359,3)</f>
        <v>0</v>
      </c>
      <c r="AD368" t="str">
        <f>COUNTIF($AD$5:$AD$359,3)</f>
        <v>0</v>
      </c>
      <c r="AE368" t="str">
        <f>COUNTIF($AE$5:$AE$359,3)</f>
        <v>0</v>
      </c>
      <c r="AF368" t="str">
        <f>COUNTIF($AF$5:$AF$359,3)</f>
        <v>0</v>
      </c>
      <c r="AG368" t="str">
        <f>COUNTIF($AG$5:$AG$359,3)</f>
        <v>0</v>
      </c>
      <c r="AH368" t="str">
        <f>COUNTIF($AH$5:$AH$359,3)</f>
        <v>0</v>
      </c>
      <c r="AI368" t="str">
        <f>COUNTIF($AI$5:$AI$359,3)</f>
        <v>0</v>
      </c>
      <c r="AJ368" t="str">
        <f>COUNTIF($AJ$5:$AJ$359,3)</f>
        <v>0</v>
      </c>
      <c r="AK368" t="str">
        <f>COUNTIF($AK$5:$AK$359,3)</f>
        <v>0</v>
      </c>
      <c r="AL368" t="str">
        <f>COUNTIF($AL$5:$AL$359,3)</f>
        <v>0</v>
      </c>
      <c r="AM368" t="str">
        <f>COUNTIF($AM$5:$AM$359,3)</f>
        <v>0</v>
      </c>
      <c r="AN368" t="str">
        <f>COUNTIF($AN$5:$AN$359,3)</f>
        <v>0</v>
      </c>
      <c r="AO368" t="str">
        <f>COUNTIF($AO$5:$AO$359,3)</f>
        <v>0</v>
      </c>
    </row>
    <row r="369" spans="1:43">
      <c r="A369" t="s">
        <v>571</v>
      </c>
      <c r="B369" t="str">
        <f>COUNTIF($B$5:$B$359,4)</f>
        <v>0</v>
      </c>
      <c r="C369" t="str">
        <f>COUNTIF($C$5:$C$359,4)</f>
        <v>0</v>
      </c>
      <c r="D369" t="str">
        <f>COUNTIF($D$5:$D$359,4)</f>
        <v>0</v>
      </c>
      <c r="E369" t="str">
        <f>COUNTIF($E$5:$E$359,4)</f>
        <v>0</v>
      </c>
      <c r="F369" t="str">
        <f>COUNTIF($F$5:$F$359,4)</f>
        <v>0</v>
      </c>
      <c r="G369" t="str">
        <f>COUNTIF($G$5:$G$359,4)</f>
        <v>0</v>
      </c>
      <c r="H369" t="str">
        <f>COUNTIF($H$5:$H$359,4)</f>
        <v>0</v>
      </c>
      <c r="I369" t="str">
        <f>COUNTIF($I$5:$I$359,4)</f>
        <v>0</v>
      </c>
      <c r="J369" t="str">
        <f>COUNTIF($J$5:$J$359,4)</f>
        <v>0</v>
      </c>
      <c r="K369" t="str">
        <f>COUNTIF($K$5:$K$359,4)</f>
        <v>0</v>
      </c>
      <c r="L369" t="str">
        <f>COUNTIF($L$5:$L$359,4)</f>
        <v>0</v>
      </c>
      <c r="M369" t="str">
        <f>COUNTIF($M$5:$M$359,4)</f>
        <v>0</v>
      </c>
      <c r="N369" t="str">
        <f>COUNTIF($N$5:$N$359,4)</f>
        <v>0</v>
      </c>
      <c r="O369" t="str">
        <f>COUNTIF($O$5:$O$359,4)</f>
        <v>0</v>
      </c>
      <c r="P369" t="str">
        <f>COUNTIF($P$5:$P$359,4)</f>
        <v>0</v>
      </c>
      <c r="Q369" t="str">
        <f>COUNTIF($Q$5:$Q$359,4)</f>
        <v>0</v>
      </c>
      <c r="R369" t="str">
        <f>COUNTIF($R$5:$R$359,4)</f>
        <v>0</v>
      </c>
      <c r="S369" t="str">
        <f>COUNTIF($S$5:$S$359,4)</f>
        <v>0</v>
      </c>
      <c r="T369" t="str">
        <f>COUNTIF($T$5:$T$359,4)</f>
        <v>0</v>
      </c>
      <c r="U369" t="str">
        <f>COUNTIF($U$5:$U$359,4)</f>
        <v>0</v>
      </c>
      <c r="V369" t="str">
        <f>COUNTIF($V$5:$V$359,4)</f>
        <v>0</v>
      </c>
      <c r="W369" t="str">
        <f>COUNTIF($W$5:$W$359,4)</f>
        <v>0</v>
      </c>
      <c r="X369" t="str">
        <f>COUNTIF($X$5:$X$359,4)</f>
        <v>0</v>
      </c>
      <c r="Y369" t="str">
        <f>COUNTIF($Y$5:$Y$359,4)</f>
        <v>0</v>
      </c>
      <c r="Z369" t="str">
        <f>COUNTIF($Z$5:$Z$359,4)</f>
        <v>0</v>
      </c>
      <c r="AA369" t="str">
        <f>COUNTIF($AA$5:$AA$359,4)</f>
        <v>0</v>
      </c>
      <c r="AB369" t="str">
        <f>COUNTIF($AB$5:$AB$359,4)</f>
        <v>0</v>
      </c>
      <c r="AC369" t="str">
        <f>COUNTIF($AC$5:$AC$359,4)</f>
        <v>0</v>
      </c>
      <c r="AD369" t="str">
        <f>COUNTIF($AD$5:$AD$359,4)</f>
        <v>0</v>
      </c>
      <c r="AE369" t="str">
        <f>COUNTIF($AE$5:$AE$359,4)</f>
        <v>0</v>
      </c>
      <c r="AF369" t="str">
        <f>COUNTIF($AF$5:$AF$359,4)</f>
        <v>0</v>
      </c>
      <c r="AG369" t="str">
        <f>COUNTIF($AG$5:$AG$359,4)</f>
        <v>0</v>
      </c>
      <c r="AH369" t="str">
        <f>COUNTIF($AH$5:$AH$359,4)</f>
        <v>0</v>
      </c>
      <c r="AI369" t="str">
        <f>COUNTIF($AI$5:$AI$359,4)</f>
        <v>0</v>
      </c>
      <c r="AJ369" t="str">
        <f>COUNTIF($AJ$5:$AJ$359,4)</f>
        <v>0</v>
      </c>
      <c r="AK369" t="str">
        <f>COUNTIF($AK$5:$AK$359,4)</f>
        <v>0</v>
      </c>
      <c r="AL369" t="str">
        <f>COUNTIF($AL$5:$AL$359,4)</f>
        <v>0</v>
      </c>
      <c r="AM369" t="str">
        <f>COUNTIF($AM$5:$AM$359,4)</f>
        <v>0</v>
      </c>
      <c r="AN369" t="str">
        <f>COUNTIF($AN$5:$AN$359,4)</f>
        <v>0</v>
      </c>
      <c r="AO369" t="str">
        <f>COUNTIF($AO$5:$AO$359,4)</f>
        <v>0</v>
      </c>
    </row>
    <row r="370" spans="1:43">
      <c r="A370" t="s">
        <v>572</v>
      </c>
      <c r="B370" t="str">
        <f>COUNTIF($B$5:$B$359,5)</f>
        <v>0</v>
      </c>
      <c r="C370" t="str">
        <f>COUNTIF($C$5:$C$359,5)</f>
        <v>0</v>
      </c>
      <c r="D370" t="str">
        <f>COUNTIF($D$5:$D$359,5)</f>
        <v>0</v>
      </c>
      <c r="E370" t="str">
        <f>COUNTIF($E$5:$E$359,5)</f>
        <v>0</v>
      </c>
      <c r="F370" t="str">
        <f>COUNTIF($F$5:$F$359,5)</f>
        <v>0</v>
      </c>
      <c r="G370" t="str">
        <f>COUNTIF($G$5:$G$359,5)</f>
        <v>0</v>
      </c>
      <c r="H370" t="str">
        <f>COUNTIF($H$5:$H$359,5)</f>
        <v>0</v>
      </c>
      <c r="I370" t="str">
        <f>COUNTIF($I$5:$I$359,5)</f>
        <v>0</v>
      </c>
      <c r="J370" t="str">
        <f>COUNTIF($J$5:$J$359,5)</f>
        <v>0</v>
      </c>
      <c r="K370" t="str">
        <f>COUNTIF($K$5:$K$359,5)</f>
        <v>0</v>
      </c>
      <c r="L370" t="str">
        <f>COUNTIF($L$5:$L$359,5)</f>
        <v>0</v>
      </c>
      <c r="M370" t="str">
        <f>COUNTIF($M$5:$M$359,5)</f>
        <v>0</v>
      </c>
      <c r="N370" t="str">
        <f>COUNTIF($N$5:$N$359,5)</f>
        <v>0</v>
      </c>
      <c r="O370" t="str">
        <f>COUNTIF($O$5:$O$359,5)</f>
        <v>0</v>
      </c>
      <c r="P370" t="str">
        <f>COUNTIF($P$5:$P$359,5)</f>
        <v>0</v>
      </c>
      <c r="Q370" t="str">
        <f>COUNTIF($Q$5:$Q$359,5)</f>
        <v>0</v>
      </c>
      <c r="R370" t="str">
        <f>COUNTIF($R$5:$R$359,5)</f>
        <v>0</v>
      </c>
      <c r="S370" t="str">
        <f>COUNTIF($S$5:$S$359,5)</f>
        <v>0</v>
      </c>
      <c r="T370" t="str">
        <f>COUNTIF($T$5:$T$359,5)</f>
        <v>0</v>
      </c>
      <c r="U370" t="str">
        <f>COUNTIF($U$5:$U$359,5)</f>
        <v>0</v>
      </c>
      <c r="V370" t="str">
        <f>COUNTIF($V$5:$V$359,5)</f>
        <v>0</v>
      </c>
      <c r="W370" t="str">
        <f>COUNTIF($W$5:$W$359,5)</f>
        <v>0</v>
      </c>
      <c r="X370" t="str">
        <f>COUNTIF($X$5:$X$359,5)</f>
        <v>0</v>
      </c>
      <c r="Y370" t="str">
        <f>COUNTIF($Y$5:$Y$359,5)</f>
        <v>0</v>
      </c>
      <c r="Z370" t="str">
        <f>COUNTIF($Z$5:$Z$359,5)</f>
        <v>0</v>
      </c>
      <c r="AA370" t="str">
        <f>COUNTIF($AA$5:$AA$359,5)</f>
        <v>0</v>
      </c>
      <c r="AB370" t="str">
        <f>COUNTIF($AB$5:$AB$359,5)</f>
        <v>0</v>
      </c>
      <c r="AC370" t="str">
        <f>COUNTIF($AC$5:$AC$359,5)</f>
        <v>0</v>
      </c>
      <c r="AD370" t="str">
        <f>COUNTIF($AD$5:$AD$359,5)</f>
        <v>0</v>
      </c>
      <c r="AE370" t="str">
        <f>COUNTIF($AE$5:$AE$359,5)</f>
        <v>0</v>
      </c>
      <c r="AF370" t="str">
        <f>COUNTIF($AF$5:$AF$359,5)</f>
        <v>0</v>
      </c>
      <c r="AG370" t="str">
        <f>COUNTIF($AG$5:$AG$359,5)</f>
        <v>0</v>
      </c>
      <c r="AH370" t="str">
        <f>COUNTIF($AH$5:$AH$359,5)</f>
        <v>0</v>
      </c>
      <c r="AI370" t="str">
        <f>COUNTIF($AI$5:$AI$359,5)</f>
        <v>0</v>
      </c>
      <c r="AJ370" t="str">
        <f>COUNTIF($AJ$5:$AJ$359,5)</f>
        <v>0</v>
      </c>
      <c r="AK370" t="str">
        <f>COUNTIF($AK$5:$AK$359,5)</f>
        <v>0</v>
      </c>
      <c r="AL370" t="str">
        <f>COUNTIF($AL$5:$AL$359,5)</f>
        <v>0</v>
      </c>
      <c r="AM370" t="str">
        <f>COUNTIF($AM$5:$AM$359,5)</f>
        <v>0</v>
      </c>
      <c r="AN370" t="str">
        <f>COUNTIF($AN$5:$AN$359,5)</f>
        <v>0</v>
      </c>
      <c r="AO370" t="str">
        <f>COUNTIF($AO$5:$AO$359,5)</f>
        <v>0</v>
      </c>
    </row>
    <row r="371" spans="1:43">
      <c r="A371" t="s">
        <v>4</v>
      </c>
      <c r="B371" t="str">
        <f>SUM($B366:$B370)</f>
        <v>0</v>
      </c>
      <c r="C371" t="str">
        <f>SUM($C366:$C370)</f>
        <v>0</v>
      </c>
      <c r="D371" t="str">
        <f>SUM($D366:$D370)</f>
        <v>0</v>
      </c>
      <c r="E371" t="str">
        <f>SUM($E366:$E370)</f>
        <v>0</v>
      </c>
      <c r="F371" t="str">
        <f>SUM($F366:$F370)</f>
        <v>0</v>
      </c>
      <c r="G371" t="str">
        <f>SUM($G366:$G370)</f>
        <v>0</v>
      </c>
      <c r="H371" t="str">
        <f>SUM($H366:$H370)</f>
        <v>0</v>
      </c>
      <c r="I371" t="str">
        <f>SUM($I366:$I370)</f>
        <v>0</v>
      </c>
      <c r="J371" t="str">
        <f>SUM($J366:$J370)</f>
        <v>0</v>
      </c>
      <c r="K371" t="str">
        <f>SUM($K366:$K370)</f>
        <v>0</v>
      </c>
      <c r="L371" t="str">
        <f>SUM($L366:$L370)</f>
        <v>0</v>
      </c>
      <c r="M371" t="str">
        <f>SUM($M366:$M370)</f>
        <v>0</v>
      </c>
      <c r="N371" t="str">
        <f>SUM($N366:$N370)</f>
        <v>0</v>
      </c>
      <c r="O371" t="str">
        <f>SUM($O366:$O370)</f>
        <v>0</v>
      </c>
      <c r="P371" t="str">
        <f>SUM($P366:$P370)</f>
        <v>0</v>
      </c>
      <c r="Q371" t="str">
        <f>SUM($Q366:$Q370)</f>
        <v>0</v>
      </c>
      <c r="R371" t="str">
        <f>SUM($R366:$R370)</f>
        <v>0</v>
      </c>
      <c r="S371" t="str">
        <f>SUM($S366:$S370)</f>
        <v>0</v>
      </c>
      <c r="T371" t="str">
        <f>SUM($T366:$T370)</f>
        <v>0</v>
      </c>
      <c r="U371" t="str">
        <f>SUM($U366:$U370)</f>
        <v>0</v>
      </c>
      <c r="V371" t="str">
        <f>SUM($V366:$V370)</f>
        <v>0</v>
      </c>
      <c r="W371" t="str">
        <f>SUM($W366:$W370)</f>
        <v>0</v>
      </c>
      <c r="X371" t="str">
        <f>SUM($X366:$X370)</f>
        <v>0</v>
      </c>
      <c r="Y371" t="str">
        <f>SUM($Y366:$Y370)</f>
        <v>0</v>
      </c>
      <c r="Z371" t="str">
        <f>SUM($Z366:$Z370)</f>
        <v>0</v>
      </c>
      <c r="AA371" t="str">
        <f>SUM($AA366:$AA370)</f>
        <v>0</v>
      </c>
      <c r="AB371" t="str">
        <f>SUM($AB366:$AB370)</f>
        <v>0</v>
      </c>
      <c r="AC371" t="str">
        <f>SUM($AC366:$AC370)</f>
        <v>0</v>
      </c>
      <c r="AD371" t="str">
        <f>SUM($AD366:$AD370)</f>
        <v>0</v>
      </c>
      <c r="AE371" t="str">
        <f>SUM($AE366:$AE370)</f>
        <v>0</v>
      </c>
      <c r="AF371" t="str">
        <f>SUM($AF366:$AF370)</f>
        <v>0</v>
      </c>
      <c r="AG371" t="str">
        <f>SUM($AG366:$AG370)</f>
        <v>0</v>
      </c>
      <c r="AH371" t="str">
        <f>SUM($AH366:$AH370)</f>
        <v>0</v>
      </c>
      <c r="AI371" t="str">
        <f>SUM($AI366:$AI370)</f>
        <v>0</v>
      </c>
      <c r="AJ371" t="str">
        <f>SUM($AJ366:$AJ370)</f>
        <v>0</v>
      </c>
      <c r="AK371" t="str">
        <f>SUM($AK366:$AK370)</f>
        <v>0</v>
      </c>
      <c r="AL371" t="str">
        <f>SUM($AL366:$AL370)</f>
        <v>0</v>
      </c>
      <c r="AM371" t="str">
        <f>SUM($AM366:$AM370)</f>
        <v>0</v>
      </c>
      <c r="AN371" t="str">
        <f>SUM($AN366:$AN370)</f>
        <v>0</v>
      </c>
      <c r="AO371" t="str">
        <f>SUM($AO366:$AO370)</f>
        <v>0</v>
      </c>
    </row>
    <row r="372" spans="1:43">
      <c r="A372" t="s">
        <v>573</v>
      </c>
      <c r="B372" s="5" t="str">
        <f>($B366/$B371)</f>
        <v>0</v>
      </c>
      <c r="C372" s="5" t="str">
        <f>($C366/$C371)</f>
        <v>0</v>
      </c>
      <c r="D372" s="5" t="str">
        <f>($D366/$D371)</f>
        <v>0</v>
      </c>
      <c r="E372" s="5" t="str">
        <f>($E366/$E371)</f>
        <v>0</v>
      </c>
      <c r="F372" s="5" t="str">
        <f>($F366/$F371)</f>
        <v>0</v>
      </c>
      <c r="G372" s="5" t="str">
        <f>($G366/$G371)</f>
        <v>0</v>
      </c>
      <c r="H372" s="5" t="str">
        <f>($H366/$H371)</f>
        <v>0</v>
      </c>
      <c r="I372" s="5" t="str">
        <f>($I366/$I371)</f>
        <v>0</v>
      </c>
      <c r="J372" s="5" t="str">
        <f>($J366/$J371)</f>
        <v>0</v>
      </c>
      <c r="K372" s="5" t="str">
        <f>($K366/$K371)</f>
        <v>0</v>
      </c>
      <c r="L372" s="5" t="str">
        <f>($L366/$L371)</f>
        <v>0</v>
      </c>
      <c r="M372" s="5" t="str">
        <f>($M366/$M371)</f>
        <v>0</v>
      </c>
      <c r="N372" s="5" t="str">
        <f>($N366/$N371)</f>
        <v>0</v>
      </c>
      <c r="O372" s="5" t="str">
        <f>($O366/$O371)</f>
        <v>0</v>
      </c>
      <c r="P372" s="5" t="str">
        <f>($P366/$P371)</f>
        <v>0</v>
      </c>
      <c r="Q372" s="5" t="str">
        <f>($Q366/$Q371)</f>
        <v>0</v>
      </c>
      <c r="R372" s="5" t="str">
        <f>($R366/$R371)</f>
        <v>0</v>
      </c>
      <c r="S372" s="5" t="str">
        <f>($S366/$S371)</f>
        <v>0</v>
      </c>
      <c r="T372" s="5" t="str">
        <f>($T366/$T371)</f>
        <v>0</v>
      </c>
      <c r="U372" s="5" t="str">
        <f>($U366/$U371)</f>
        <v>0</v>
      </c>
      <c r="V372" s="5" t="str">
        <f>($V366/$V371)</f>
        <v>0</v>
      </c>
      <c r="W372" s="5" t="str">
        <f>($W366/$W371)</f>
        <v>0</v>
      </c>
      <c r="X372" s="5" t="str">
        <f>($X366/$X371)</f>
        <v>0</v>
      </c>
      <c r="Y372" s="5" t="str">
        <f>($Y366/$Y371)</f>
        <v>0</v>
      </c>
      <c r="Z372" s="5" t="str">
        <f>($Z366/$Z371)</f>
        <v>0</v>
      </c>
      <c r="AA372" s="5" t="str">
        <f>($AA366/$AA371)</f>
        <v>0</v>
      </c>
      <c r="AB372" s="5" t="str">
        <f>($AB366/$AB371)</f>
        <v>0</v>
      </c>
      <c r="AC372" s="5" t="str">
        <f>($AC366/$AC371)</f>
        <v>0</v>
      </c>
      <c r="AD372" s="5" t="str">
        <f>($AD366/$AD371)</f>
        <v>0</v>
      </c>
      <c r="AE372" s="5" t="str">
        <f>($AE366/$AE371)</f>
        <v>0</v>
      </c>
      <c r="AF372" s="5" t="str">
        <f>($AF366/$AF371)</f>
        <v>0</v>
      </c>
      <c r="AG372" s="5" t="str">
        <f>($AG366/$AG371)</f>
        <v>0</v>
      </c>
      <c r="AH372" s="5" t="str">
        <f>($AH366/$AH371)</f>
        <v>0</v>
      </c>
      <c r="AI372" s="5" t="str">
        <f>($AI366/$AI371)</f>
        <v>0</v>
      </c>
      <c r="AJ372" s="5" t="str">
        <f>($AJ366/$AJ371)</f>
        <v>0</v>
      </c>
      <c r="AK372" s="5" t="str">
        <f>($AK366/$AK371)</f>
        <v>0</v>
      </c>
      <c r="AL372" s="5" t="str">
        <f>($AL366/$AL371)</f>
        <v>0</v>
      </c>
      <c r="AM372" s="5" t="str">
        <f>($AM366/$AM371)</f>
        <v>0</v>
      </c>
      <c r="AN372" s="5" t="str">
        <f>($AN366/$AN371)</f>
        <v>0</v>
      </c>
      <c r="AO372" s="5" t="str">
        <f>($AO366/$AO371)</f>
        <v>0</v>
      </c>
    </row>
    <row r="373" spans="1:43">
      <c r="A373" t="s">
        <v>574</v>
      </c>
      <c r="B373" s="5" t="str">
        <f>($B367/$B371)</f>
        <v>0</v>
      </c>
      <c r="C373" s="5" t="str">
        <f>($C367/$C371)</f>
        <v>0</v>
      </c>
      <c r="D373" s="5" t="str">
        <f>($D367/$D371)</f>
        <v>0</v>
      </c>
      <c r="E373" s="5" t="str">
        <f>($E367/$E371)</f>
        <v>0</v>
      </c>
      <c r="F373" s="5" t="str">
        <f>($F367/$F371)</f>
        <v>0</v>
      </c>
      <c r="G373" s="5" t="str">
        <f>($G367/$G371)</f>
        <v>0</v>
      </c>
      <c r="H373" s="5" t="str">
        <f>($H367/$H371)</f>
        <v>0</v>
      </c>
      <c r="I373" s="5" t="str">
        <f>($I367/$I371)</f>
        <v>0</v>
      </c>
      <c r="J373" s="5" t="str">
        <f>($J367/$J371)</f>
        <v>0</v>
      </c>
      <c r="K373" s="5" t="str">
        <f>($K367/$K371)</f>
        <v>0</v>
      </c>
      <c r="L373" s="5" t="str">
        <f>($L367/$L371)</f>
        <v>0</v>
      </c>
      <c r="M373" s="5" t="str">
        <f>($M367/$M371)</f>
        <v>0</v>
      </c>
      <c r="N373" s="5" t="str">
        <f>($N367/$N371)</f>
        <v>0</v>
      </c>
      <c r="O373" s="5" t="str">
        <f>($O367/$O371)</f>
        <v>0</v>
      </c>
      <c r="P373" s="5" t="str">
        <f>($P367/$P371)</f>
        <v>0</v>
      </c>
      <c r="Q373" s="5" t="str">
        <f>($Q367/$Q371)</f>
        <v>0</v>
      </c>
      <c r="R373" s="5" t="str">
        <f>($R367/$R371)</f>
        <v>0</v>
      </c>
      <c r="S373" s="5" t="str">
        <f>($S367/$S371)</f>
        <v>0</v>
      </c>
      <c r="T373" s="5" t="str">
        <f>($T367/$T371)</f>
        <v>0</v>
      </c>
      <c r="U373" s="5" t="str">
        <f>($U367/$U371)</f>
        <v>0</v>
      </c>
      <c r="V373" s="5" t="str">
        <f>($V367/$V371)</f>
        <v>0</v>
      </c>
      <c r="W373" s="5" t="str">
        <f>($W367/$W371)</f>
        <v>0</v>
      </c>
      <c r="X373" s="5" t="str">
        <f>($X367/$X371)</f>
        <v>0</v>
      </c>
      <c r="Y373" s="5" t="str">
        <f>($Y367/$Y371)</f>
        <v>0</v>
      </c>
      <c r="Z373" s="5" t="str">
        <f>($Z367/$Z371)</f>
        <v>0</v>
      </c>
      <c r="AA373" s="5" t="str">
        <f>($AA367/$AA371)</f>
        <v>0</v>
      </c>
      <c r="AB373" s="5" t="str">
        <f>($AB367/$AB371)</f>
        <v>0</v>
      </c>
      <c r="AC373" s="5" t="str">
        <f>($AC367/$AC371)</f>
        <v>0</v>
      </c>
      <c r="AD373" s="5" t="str">
        <f>($AD367/$AD371)</f>
        <v>0</v>
      </c>
      <c r="AE373" s="5" t="str">
        <f>($AE367/$AE371)</f>
        <v>0</v>
      </c>
      <c r="AF373" s="5" t="str">
        <f>($AF367/$AF371)</f>
        <v>0</v>
      </c>
      <c r="AG373" s="5" t="str">
        <f>($AG367/$AG371)</f>
        <v>0</v>
      </c>
      <c r="AH373" s="5" t="str">
        <f>($AH367/$AH371)</f>
        <v>0</v>
      </c>
      <c r="AI373" s="5" t="str">
        <f>($AI367/$AI371)</f>
        <v>0</v>
      </c>
      <c r="AJ373" s="5" t="str">
        <f>($AJ367/$AJ371)</f>
        <v>0</v>
      </c>
      <c r="AK373" s="5" t="str">
        <f>($AK367/$AK371)</f>
        <v>0</v>
      </c>
      <c r="AL373" s="5" t="str">
        <f>($AL367/$AL371)</f>
        <v>0</v>
      </c>
      <c r="AM373" s="5" t="str">
        <f>($AM367/$AM371)</f>
        <v>0</v>
      </c>
      <c r="AN373" s="5" t="str">
        <f>($AN367/$AN371)</f>
        <v>0</v>
      </c>
      <c r="AO373" s="5" t="str">
        <f>($AO367/$AO371)</f>
        <v>0</v>
      </c>
    </row>
    <row r="374" spans="1:43">
      <c r="A374" t="s">
        <v>575</v>
      </c>
      <c r="B374" s="5" t="str">
        <f>($B368/$B371)</f>
        <v>0</v>
      </c>
      <c r="C374" s="5" t="str">
        <f>($C368/$C371)</f>
        <v>0</v>
      </c>
      <c r="D374" s="5" t="str">
        <f>($D368/$D371)</f>
        <v>0</v>
      </c>
      <c r="E374" s="5" t="str">
        <f>($E368/$E371)</f>
        <v>0</v>
      </c>
      <c r="F374" s="5" t="str">
        <f>($F368/$F371)</f>
        <v>0</v>
      </c>
      <c r="G374" s="5" t="str">
        <f>($G368/$G371)</f>
        <v>0</v>
      </c>
      <c r="H374" s="5" t="str">
        <f>($H368/$H371)</f>
        <v>0</v>
      </c>
      <c r="I374" s="5" t="str">
        <f>($I368/$I371)</f>
        <v>0</v>
      </c>
      <c r="J374" s="5" t="str">
        <f>($J368/$J371)</f>
        <v>0</v>
      </c>
      <c r="K374" s="5" t="str">
        <f>($K368/$K371)</f>
        <v>0</v>
      </c>
      <c r="L374" s="5" t="str">
        <f>($L368/$L371)</f>
        <v>0</v>
      </c>
      <c r="M374" s="5" t="str">
        <f>($M368/$M371)</f>
        <v>0</v>
      </c>
      <c r="N374" s="5" t="str">
        <f>($N368/$N371)</f>
        <v>0</v>
      </c>
      <c r="O374" s="5" t="str">
        <f>($O368/$O371)</f>
        <v>0</v>
      </c>
      <c r="P374" s="5" t="str">
        <f>($P368/$P371)</f>
        <v>0</v>
      </c>
      <c r="Q374" s="5" t="str">
        <f>($Q368/$Q371)</f>
        <v>0</v>
      </c>
      <c r="R374" s="5" t="str">
        <f>($R368/$R371)</f>
        <v>0</v>
      </c>
      <c r="S374" s="5" t="str">
        <f>($S368/$S371)</f>
        <v>0</v>
      </c>
      <c r="T374" s="5" t="str">
        <f>($T368/$T371)</f>
        <v>0</v>
      </c>
      <c r="U374" s="5" t="str">
        <f>($U368/$U371)</f>
        <v>0</v>
      </c>
      <c r="V374" s="5" t="str">
        <f>($V368/$V371)</f>
        <v>0</v>
      </c>
      <c r="W374" s="5" t="str">
        <f>($W368/$W371)</f>
        <v>0</v>
      </c>
      <c r="X374" s="5" t="str">
        <f>($X368/$X371)</f>
        <v>0</v>
      </c>
      <c r="Y374" s="5" t="str">
        <f>($Y368/$Y371)</f>
        <v>0</v>
      </c>
      <c r="Z374" s="5" t="str">
        <f>($Z368/$Z371)</f>
        <v>0</v>
      </c>
      <c r="AA374" s="5" t="str">
        <f>($AA368/$AA371)</f>
        <v>0</v>
      </c>
      <c r="AB374" s="5" t="str">
        <f>($AB368/$AB371)</f>
        <v>0</v>
      </c>
      <c r="AC374" s="5" t="str">
        <f>($AC368/$AC371)</f>
        <v>0</v>
      </c>
      <c r="AD374" s="5" t="str">
        <f>($AD368/$AD371)</f>
        <v>0</v>
      </c>
      <c r="AE374" s="5" t="str">
        <f>($AE368/$AE371)</f>
        <v>0</v>
      </c>
      <c r="AF374" s="5" t="str">
        <f>($AF368/$AF371)</f>
        <v>0</v>
      </c>
      <c r="AG374" s="5" t="str">
        <f>($AG368/$AG371)</f>
        <v>0</v>
      </c>
      <c r="AH374" s="5" t="str">
        <f>($AH368/$AH371)</f>
        <v>0</v>
      </c>
      <c r="AI374" s="5" t="str">
        <f>($AI368/$AI371)</f>
        <v>0</v>
      </c>
      <c r="AJ374" s="5" t="str">
        <f>($AJ368/$AJ371)</f>
        <v>0</v>
      </c>
      <c r="AK374" s="5" t="str">
        <f>($AK368/$AK371)</f>
        <v>0</v>
      </c>
      <c r="AL374" s="5" t="str">
        <f>($AL368/$AL371)</f>
        <v>0</v>
      </c>
      <c r="AM374" s="5" t="str">
        <f>($AM368/$AM371)</f>
        <v>0</v>
      </c>
      <c r="AN374" s="5" t="str">
        <f>($AN368/$AN371)</f>
        <v>0</v>
      </c>
      <c r="AO374" s="5" t="str">
        <f>($AO368/$AO371)</f>
        <v>0</v>
      </c>
    </row>
    <row r="375" spans="1:43">
      <c r="A375" t="s">
        <v>576</v>
      </c>
      <c r="B375" s="5" t="str">
        <f>($B369/$B371)</f>
        <v>0</v>
      </c>
      <c r="C375" s="5" t="str">
        <f>($C369/$C371)</f>
        <v>0</v>
      </c>
      <c r="D375" s="5" t="str">
        <f>($D369/$D371)</f>
        <v>0</v>
      </c>
      <c r="E375" s="5" t="str">
        <f>($E369/$E371)</f>
        <v>0</v>
      </c>
      <c r="F375" s="5" t="str">
        <f>($F369/$F371)</f>
        <v>0</v>
      </c>
      <c r="G375" s="5" t="str">
        <f>($G369/$G371)</f>
        <v>0</v>
      </c>
      <c r="H375" s="5" t="str">
        <f>($H369/$H371)</f>
        <v>0</v>
      </c>
      <c r="I375" s="5" t="str">
        <f>($I369/$I371)</f>
        <v>0</v>
      </c>
      <c r="J375" s="5" t="str">
        <f>($J369/$J371)</f>
        <v>0</v>
      </c>
      <c r="K375" s="5" t="str">
        <f>($K369/$K371)</f>
        <v>0</v>
      </c>
      <c r="L375" s="5" t="str">
        <f>($L369/$L371)</f>
        <v>0</v>
      </c>
      <c r="M375" s="5" t="str">
        <f>($M369/$M371)</f>
        <v>0</v>
      </c>
      <c r="N375" s="5" t="str">
        <f>($N369/$N371)</f>
        <v>0</v>
      </c>
      <c r="O375" s="5" t="str">
        <f>($O369/$O371)</f>
        <v>0</v>
      </c>
      <c r="P375" s="5" t="str">
        <f>($P369/$P371)</f>
        <v>0</v>
      </c>
      <c r="Q375" s="5" t="str">
        <f>($Q369/$Q371)</f>
        <v>0</v>
      </c>
      <c r="R375" s="5" t="str">
        <f>($R369/$R371)</f>
        <v>0</v>
      </c>
      <c r="S375" s="5" t="str">
        <f>($S369/$S371)</f>
        <v>0</v>
      </c>
      <c r="T375" s="5" t="str">
        <f>($T369/$T371)</f>
        <v>0</v>
      </c>
      <c r="U375" s="5" t="str">
        <f>($U369/$U371)</f>
        <v>0</v>
      </c>
      <c r="V375" s="5" t="str">
        <f>($V369/$V371)</f>
        <v>0</v>
      </c>
      <c r="W375" s="5" t="str">
        <f>($W369/$W371)</f>
        <v>0</v>
      </c>
      <c r="X375" s="5" t="str">
        <f>($X369/$X371)</f>
        <v>0</v>
      </c>
      <c r="Y375" s="5" t="str">
        <f>($Y369/$Y371)</f>
        <v>0</v>
      </c>
      <c r="Z375" s="5" t="str">
        <f>($Z369/$Z371)</f>
        <v>0</v>
      </c>
      <c r="AA375" s="5" t="str">
        <f>($AA369/$AA371)</f>
        <v>0</v>
      </c>
      <c r="AB375" s="5" t="str">
        <f>($AB369/$AB371)</f>
        <v>0</v>
      </c>
      <c r="AC375" s="5" t="str">
        <f>($AC369/$AC371)</f>
        <v>0</v>
      </c>
      <c r="AD375" s="5" t="str">
        <f>($AD369/$AD371)</f>
        <v>0</v>
      </c>
      <c r="AE375" s="5" t="str">
        <f>($AE369/$AE371)</f>
        <v>0</v>
      </c>
      <c r="AF375" s="5" t="str">
        <f>($AF369/$AF371)</f>
        <v>0</v>
      </c>
      <c r="AG375" s="5" t="str">
        <f>($AG369/$AG371)</f>
        <v>0</v>
      </c>
      <c r="AH375" s="5" t="str">
        <f>($AH369/$AH371)</f>
        <v>0</v>
      </c>
      <c r="AI375" s="5" t="str">
        <f>($AI369/$AI371)</f>
        <v>0</v>
      </c>
      <c r="AJ375" s="5" t="str">
        <f>($AJ369/$AJ371)</f>
        <v>0</v>
      </c>
      <c r="AK375" s="5" t="str">
        <f>($AK369/$AK371)</f>
        <v>0</v>
      </c>
      <c r="AL375" s="5" t="str">
        <f>($AL369/$AL371)</f>
        <v>0</v>
      </c>
      <c r="AM375" s="5" t="str">
        <f>($AM369/$AM371)</f>
        <v>0</v>
      </c>
      <c r="AN375" s="5" t="str">
        <f>($AN369/$AN371)</f>
        <v>0</v>
      </c>
      <c r="AO375" s="5" t="str">
        <f>($AO369/$AO371)</f>
        <v>0</v>
      </c>
    </row>
    <row r="376" spans="1:43">
      <c r="A376" t="s">
        <v>577</v>
      </c>
      <c r="B376" s="5" t="str">
        <f>($B370/$B371)</f>
        <v>0</v>
      </c>
      <c r="C376" s="5" t="str">
        <f>($C370/$C371)</f>
        <v>0</v>
      </c>
      <c r="D376" s="5" t="str">
        <f>($D370/$D371)</f>
        <v>0</v>
      </c>
      <c r="E376" s="5" t="str">
        <f>($E370/$E371)</f>
        <v>0</v>
      </c>
      <c r="F376" s="5" t="str">
        <f>($F370/$F371)</f>
        <v>0</v>
      </c>
      <c r="G376" s="5" t="str">
        <f>($G370/$G371)</f>
        <v>0</v>
      </c>
      <c r="H376" s="5" t="str">
        <f>($H370/$H371)</f>
        <v>0</v>
      </c>
      <c r="I376" s="5" t="str">
        <f>($I370/$I371)</f>
        <v>0</v>
      </c>
      <c r="J376" s="5" t="str">
        <f>($J370/$J371)</f>
        <v>0</v>
      </c>
      <c r="K376" s="5" t="str">
        <f>($K370/$K371)</f>
        <v>0</v>
      </c>
      <c r="L376" s="5" t="str">
        <f>($L370/$L371)</f>
        <v>0</v>
      </c>
      <c r="M376" s="5" t="str">
        <f>($M370/$M371)</f>
        <v>0</v>
      </c>
      <c r="N376" s="5" t="str">
        <f>($N370/$N371)</f>
        <v>0</v>
      </c>
      <c r="O376" s="5" t="str">
        <f>($O370/$O371)</f>
        <v>0</v>
      </c>
      <c r="P376" s="5" t="str">
        <f>($P370/$P371)</f>
        <v>0</v>
      </c>
      <c r="Q376" s="5" t="str">
        <f>($Q370/$Q371)</f>
        <v>0</v>
      </c>
      <c r="R376" s="5" t="str">
        <f>($R370/$R371)</f>
        <v>0</v>
      </c>
      <c r="S376" s="5" t="str">
        <f>($S370/$S371)</f>
        <v>0</v>
      </c>
      <c r="T376" s="5" t="str">
        <f>($T370/$T371)</f>
        <v>0</v>
      </c>
      <c r="U376" s="5" t="str">
        <f>($U370/$U371)</f>
        <v>0</v>
      </c>
      <c r="V376" s="5" t="str">
        <f>($V370/$V371)</f>
        <v>0</v>
      </c>
      <c r="W376" s="5" t="str">
        <f>($W370/$W371)</f>
        <v>0</v>
      </c>
      <c r="X376" s="5" t="str">
        <f>($X370/$X371)</f>
        <v>0</v>
      </c>
      <c r="Y376" s="5" t="str">
        <f>($Y370/$Y371)</f>
        <v>0</v>
      </c>
      <c r="Z376" s="5" t="str">
        <f>($Z370/$Z371)</f>
        <v>0</v>
      </c>
      <c r="AA376" s="5" t="str">
        <f>($AA370/$AA371)</f>
        <v>0</v>
      </c>
      <c r="AB376" s="5" t="str">
        <f>($AB370/$AB371)</f>
        <v>0</v>
      </c>
      <c r="AC376" s="5" t="str">
        <f>($AC370/$AC371)</f>
        <v>0</v>
      </c>
      <c r="AD376" s="5" t="str">
        <f>($AD370/$AD371)</f>
        <v>0</v>
      </c>
      <c r="AE376" s="5" t="str">
        <f>($AE370/$AE371)</f>
        <v>0</v>
      </c>
      <c r="AF376" s="5" t="str">
        <f>($AF370/$AF371)</f>
        <v>0</v>
      </c>
      <c r="AG376" s="5" t="str">
        <f>($AG370/$AG371)</f>
        <v>0</v>
      </c>
      <c r="AH376" s="5" t="str">
        <f>($AH370/$AH371)</f>
        <v>0</v>
      </c>
      <c r="AI376" s="5" t="str">
        <f>($AI370/$AI371)</f>
        <v>0</v>
      </c>
      <c r="AJ376" s="5" t="str">
        <f>($AJ370/$AJ371)</f>
        <v>0</v>
      </c>
      <c r="AK376" s="5" t="str">
        <f>($AK370/$AK371)</f>
        <v>0</v>
      </c>
      <c r="AL376" s="5" t="str">
        <f>($AL370/$AL371)</f>
        <v>0</v>
      </c>
      <c r="AM376" s="5" t="str">
        <f>($AM370/$AM371)</f>
        <v>0</v>
      </c>
      <c r="AN376" s="5" t="str">
        <f>($AN370/$AN371)</f>
        <v>0</v>
      </c>
      <c r="AO376" s="5" t="str">
        <f>($AO370/$AO371)</f>
        <v>0</v>
      </c>
    </row>
    <row r="377" spans="1:43">
      <c r="A377" t="s">
        <v>401</v>
      </c>
      <c r="B377" s="5" t="str">
        <f>SUM($B372:$B376)</f>
        <v>0</v>
      </c>
      <c r="C377" s="5" t="str">
        <f>SUM($C372:$C376)</f>
        <v>0</v>
      </c>
      <c r="D377" s="5" t="str">
        <f>SUM($D372:$D376)</f>
        <v>0</v>
      </c>
      <c r="E377" s="5" t="str">
        <f>SUM($E372:$E376)</f>
        <v>0</v>
      </c>
      <c r="F377" s="5" t="str">
        <f>SUM($F372:$F376)</f>
        <v>0</v>
      </c>
      <c r="G377" s="5" t="str">
        <f>SUM($G372:$G376)</f>
        <v>0</v>
      </c>
      <c r="H377" s="5" t="str">
        <f>SUM($H372:$H376)</f>
        <v>0</v>
      </c>
      <c r="I377" s="5" t="str">
        <f>SUM($I372:$I376)</f>
        <v>0</v>
      </c>
      <c r="J377" s="5" t="str">
        <f>SUM($J372:$J376)</f>
        <v>0</v>
      </c>
      <c r="K377" s="5" t="str">
        <f>SUM($K372:$K376)</f>
        <v>0</v>
      </c>
      <c r="L377" s="5" t="str">
        <f>SUM($L372:$L376)</f>
        <v>0</v>
      </c>
      <c r="M377" s="5" t="str">
        <f>SUM($M372:$M376)</f>
        <v>0</v>
      </c>
      <c r="N377" s="5" t="str">
        <f>SUM($N372:$N376)</f>
        <v>0</v>
      </c>
      <c r="O377" s="5" t="str">
        <f>SUM($O372:$O376)</f>
        <v>0</v>
      </c>
      <c r="P377" s="5" t="str">
        <f>SUM($P372:$P376)</f>
        <v>0</v>
      </c>
      <c r="Q377" s="5" t="str">
        <f>SUM($Q372:$Q376)</f>
        <v>0</v>
      </c>
      <c r="R377" s="5" t="str">
        <f>SUM($R372:$R376)</f>
        <v>0</v>
      </c>
      <c r="S377" s="5" t="str">
        <f>SUM($S372:$S376)</f>
        <v>0</v>
      </c>
      <c r="T377" s="5" t="str">
        <f>SUM($T372:$T376)</f>
        <v>0</v>
      </c>
      <c r="U377" s="5" t="str">
        <f>SUM($U372:$U376)</f>
        <v>0</v>
      </c>
      <c r="V377" s="5" t="str">
        <f>SUM($V372:$V376)</f>
        <v>0</v>
      </c>
      <c r="W377" s="5" t="str">
        <f>SUM($W372:$W376)</f>
        <v>0</v>
      </c>
      <c r="X377" s="5" t="str">
        <f>SUM($X372:$X376)</f>
        <v>0</v>
      </c>
      <c r="Y377" s="5" t="str">
        <f>SUM($Y372:$Y376)</f>
        <v>0</v>
      </c>
      <c r="Z377" s="5" t="str">
        <f>SUM($Z372:$Z376)</f>
        <v>0</v>
      </c>
      <c r="AA377" s="5" t="str">
        <f>SUM($AA372:$AA376)</f>
        <v>0</v>
      </c>
      <c r="AB377" s="5" t="str">
        <f>SUM($AB372:$AB376)</f>
        <v>0</v>
      </c>
      <c r="AC377" s="5" t="str">
        <f>SUM($AC372:$AC376)</f>
        <v>0</v>
      </c>
      <c r="AD377" s="5" t="str">
        <f>SUM($AD372:$AD376)</f>
        <v>0</v>
      </c>
      <c r="AE377" s="5" t="str">
        <f>SUM($AE372:$AE376)</f>
        <v>0</v>
      </c>
      <c r="AF377" s="5" t="str">
        <f>SUM($AF372:$AF376)</f>
        <v>0</v>
      </c>
      <c r="AG377" s="5" t="str">
        <f>SUM($AG372:$AG376)</f>
        <v>0</v>
      </c>
      <c r="AH377" s="5" t="str">
        <f>SUM($AH372:$AH376)</f>
        <v>0</v>
      </c>
      <c r="AI377" s="5" t="str">
        <f>SUM($AI372:$AI376)</f>
        <v>0</v>
      </c>
      <c r="AJ377" s="5" t="str">
        <f>SUM($AJ372:$AJ376)</f>
        <v>0</v>
      </c>
      <c r="AK377" s="5" t="str">
        <f>SUM($AK372:$AK376)</f>
        <v>0</v>
      </c>
      <c r="AL377" s="5" t="str">
        <f>SUM($AL372:$AL376)</f>
        <v>0</v>
      </c>
      <c r="AM377" s="5" t="str">
        <f>SUM($AM372:$AM376)</f>
        <v>0</v>
      </c>
      <c r="AN377" s="5" t="str">
        <f>SUM($AN372:$AN376)</f>
        <v>0</v>
      </c>
      <c r="AO377" s="5" t="str">
        <f>SUM($AO372:$AO376)</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Q2"/>
    <mergeCell ref="B3:K3"/>
    <mergeCell ref="L3:AD3"/>
    <mergeCell ref="AE3:AJ3"/>
    <mergeCell ref="AK3:AO3"/>
    <mergeCell ref="AP3:AP3"/>
    <mergeCell ref="AQ3:AQ3"/>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X4:X4"/>
    <mergeCell ref="Y4:Y4"/>
    <mergeCell ref="Z4:Z4"/>
    <mergeCell ref="AA4:AA4"/>
    <mergeCell ref="AB4:AB4"/>
    <mergeCell ref="AC4:AC4"/>
    <mergeCell ref="AD4:AD4"/>
    <mergeCell ref="AE4:AE4"/>
    <mergeCell ref="AF4:AF4"/>
    <mergeCell ref="AG4:AG4"/>
    <mergeCell ref="AH4:AH4"/>
    <mergeCell ref="AI4:AI4"/>
    <mergeCell ref="AJ4:AJ4"/>
    <mergeCell ref="AK4:AK4"/>
    <mergeCell ref="AL4:AL4"/>
    <mergeCell ref="AM4:AM4"/>
    <mergeCell ref="AN4:AN4"/>
    <mergeCell ref="AO4:AO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Y5:Y5"/>
    <mergeCell ref="Z5:Z5"/>
    <mergeCell ref="AA5:AA5"/>
    <mergeCell ref="AB5:AB5"/>
    <mergeCell ref="AC5:AC5"/>
    <mergeCell ref="AD5:AD5"/>
    <mergeCell ref="AE5:AE5"/>
    <mergeCell ref="AF5:AF5"/>
    <mergeCell ref="AG5:AG5"/>
    <mergeCell ref="AH5:AH5"/>
    <mergeCell ref="AI5:AI5"/>
    <mergeCell ref="AJ5:AJ5"/>
    <mergeCell ref="AK5:AK5"/>
    <mergeCell ref="AL5:AL5"/>
    <mergeCell ref="AM5:AM5"/>
    <mergeCell ref="AN5:AN5"/>
    <mergeCell ref="AO5:AO5"/>
    <mergeCell ref="A6:A6"/>
    <mergeCell ref="B6:B6"/>
    <mergeCell ref="C6:C6"/>
    <mergeCell ref="D6:D6"/>
    <mergeCell ref="E6:E6"/>
    <mergeCell ref="F6:F6"/>
    <mergeCell ref="G6:G6"/>
    <mergeCell ref="H6:H6"/>
    <mergeCell ref="I6:I6"/>
    <mergeCell ref="J6:J6"/>
    <mergeCell ref="K6:K6"/>
    <mergeCell ref="L6:L6"/>
    <mergeCell ref="M6:M6"/>
    <mergeCell ref="N6:N6"/>
    <mergeCell ref="O6:O6"/>
    <mergeCell ref="P6:P6"/>
    <mergeCell ref="Q6:Q6"/>
    <mergeCell ref="R6:R6"/>
    <mergeCell ref="S6:S6"/>
    <mergeCell ref="T6:T6"/>
    <mergeCell ref="U6:U6"/>
    <mergeCell ref="V6:V6"/>
    <mergeCell ref="W6:W6"/>
    <mergeCell ref="X6:X6"/>
    <mergeCell ref="Y6:Y6"/>
    <mergeCell ref="Z6:Z6"/>
    <mergeCell ref="AA6:AA6"/>
    <mergeCell ref="AB6:AB6"/>
    <mergeCell ref="AC6:AC6"/>
    <mergeCell ref="AD6:AD6"/>
    <mergeCell ref="AE6:AE6"/>
    <mergeCell ref="AF6:AF6"/>
    <mergeCell ref="AG6:AG6"/>
    <mergeCell ref="AH6:AH6"/>
    <mergeCell ref="AI6:AI6"/>
    <mergeCell ref="AJ6:AJ6"/>
    <mergeCell ref="AK6:AK6"/>
    <mergeCell ref="AL6:AL6"/>
    <mergeCell ref="AM6:AM6"/>
    <mergeCell ref="AN6:AN6"/>
    <mergeCell ref="AO6:AO6"/>
    <mergeCell ref="A7:A7"/>
    <mergeCell ref="B7:B7"/>
    <mergeCell ref="C7:C7"/>
    <mergeCell ref="D7:D7"/>
    <mergeCell ref="E7:E7"/>
    <mergeCell ref="F7:F7"/>
    <mergeCell ref="G7:G7"/>
    <mergeCell ref="H7:H7"/>
    <mergeCell ref="I7:I7"/>
    <mergeCell ref="J7:J7"/>
    <mergeCell ref="K7:K7"/>
    <mergeCell ref="L7:L7"/>
    <mergeCell ref="M7:M7"/>
    <mergeCell ref="N7:N7"/>
    <mergeCell ref="O7:O7"/>
    <mergeCell ref="P7:P7"/>
    <mergeCell ref="Q7:Q7"/>
    <mergeCell ref="R7:R7"/>
    <mergeCell ref="S7:S7"/>
    <mergeCell ref="T7:T7"/>
    <mergeCell ref="U7:U7"/>
    <mergeCell ref="V7:V7"/>
    <mergeCell ref="W7:W7"/>
    <mergeCell ref="X7:X7"/>
    <mergeCell ref="Y7:Y7"/>
    <mergeCell ref="Z7:Z7"/>
    <mergeCell ref="AA7:AA7"/>
    <mergeCell ref="AB7:AB7"/>
    <mergeCell ref="AC7:AC7"/>
    <mergeCell ref="AD7:AD7"/>
    <mergeCell ref="AE7:AE7"/>
    <mergeCell ref="AF7:AF7"/>
    <mergeCell ref="AG7:AG7"/>
    <mergeCell ref="AH7:AH7"/>
    <mergeCell ref="AI7:AI7"/>
    <mergeCell ref="AJ7:AJ7"/>
    <mergeCell ref="AK7:AK7"/>
    <mergeCell ref="AL7:AL7"/>
    <mergeCell ref="AM7:AM7"/>
    <mergeCell ref="AN7:AN7"/>
    <mergeCell ref="AO7:AO7"/>
    <mergeCell ref="A8:A8"/>
    <mergeCell ref="B8:B8"/>
    <mergeCell ref="C8:C8"/>
    <mergeCell ref="D8:D8"/>
    <mergeCell ref="E8:E8"/>
    <mergeCell ref="F8:F8"/>
    <mergeCell ref="G8:G8"/>
    <mergeCell ref="H8:H8"/>
    <mergeCell ref="I8:I8"/>
    <mergeCell ref="J8:J8"/>
    <mergeCell ref="K8:K8"/>
    <mergeCell ref="L8:L8"/>
    <mergeCell ref="M8:M8"/>
    <mergeCell ref="N8:N8"/>
    <mergeCell ref="O8:O8"/>
    <mergeCell ref="P8:P8"/>
    <mergeCell ref="Q8:Q8"/>
    <mergeCell ref="R8:R8"/>
    <mergeCell ref="S8:S8"/>
    <mergeCell ref="T8:T8"/>
    <mergeCell ref="U8:U8"/>
    <mergeCell ref="V8:V8"/>
    <mergeCell ref="W8:W8"/>
    <mergeCell ref="X8:X8"/>
    <mergeCell ref="Y8:Y8"/>
    <mergeCell ref="Z8:Z8"/>
    <mergeCell ref="AA8:AA8"/>
    <mergeCell ref="AB8:AB8"/>
    <mergeCell ref="AC8:AC8"/>
    <mergeCell ref="AD8:AD8"/>
    <mergeCell ref="AE8:AE8"/>
    <mergeCell ref="AF8:AF8"/>
    <mergeCell ref="AG8:AG8"/>
    <mergeCell ref="AH8:AH8"/>
    <mergeCell ref="AI8:AI8"/>
    <mergeCell ref="AJ8:AJ8"/>
    <mergeCell ref="AK8:AK8"/>
    <mergeCell ref="AL8:AL8"/>
    <mergeCell ref="AM8:AM8"/>
    <mergeCell ref="AN8:AN8"/>
    <mergeCell ref="AO8:AO8"/>
    <mergeCell ref="A9:A9"/>
    <mergeCell ref="B9:B9"/>
    <mergeCell ref="C9:C9"/>
    <mergeCell ref="D9:D9"/>
    <mergeCell ref="E9:E9"/>
    <mergeCell ref="F9:F9"/>
    <mergeCell ref="G9:G9"/>
    <mergeCell ref="H9:H9"/>
    <mergeCell ref="I9:I9"/>
    <mergeCell ref="J9:J9"/>
    <mergeCell ref="K9:K9"/>
    <mergeCell ref="L9:L9"/>
    <mergeCell ref="M9:M9"/>
    <mergeCell ref="N9:N9"/>
    <mergeCell ref="O9:O9"/>
    <mergeCell ref="P9:P9"/>
    <mergeCell ref="Q9:Q9"/>
    <mergeCell ref="R9:R9"/>
    <mergeCell ref="S9:S9"/>
    <mergeCell ref="T9:T9"/>
    <mergeCell ref="U9:U9"/>
    <mergeCell ref="V9:V9"/>
    <mergeCell ref="W9:W9"/>
    <mergeCell ref="X9:X9"/>
    <mergeCell ref="Y9:Y9"/>
    <mergeCell ref="Z9:Z9"/>
    <mergeCell ref="AA9:AA9"/>
    <mergeCell ref="AB9:AB9"/>
    <mergeCell ref="AC9:AC9"/>
    <mergeCell ref="AD9:AD9"/>
    <mergeCell ref="AE9:AE9"/>
    <mergeCell ref="AF9:AF9"/>
    <mergeCell ref="AG9:AG9"/>
    <mergeCell ref="AH9:AH9"/>
    <mergeCell ref="AI9:AI9"/>
    <mergeCell ref="AJ9:AJ9"/>
    <mergeCell ref="AK9:AK9"/>
    <mergeCell ref="AL9:AL9"/>
    <mergeCell ref="AM9:AM9"/>
    <mergeCell ref="AN9:AN9"/>
    <mergeCell ref="AO9:AO9"/>
    <mergeCell ref="A10:A10"/>
    <mergeCell ref="B10:B10"/>
    <mergeCell ref="C10:C10"/>
    <mergeCell ref="D10:D10"/>
    <mergeCell ref="E10:E10"/>
    <mergeCell ref="F10:F10"/>
    <mergeCell ref="G10:G10"/>
    <mergeCell ref="H10:H10"/>
    <mergeCell ref="I10:I10"/>
    <mergeCell ref="J10:J10"/>
    <mergeCell ref="K10:K10"/>
    <mergeCell ref="L10:L10"/>
    <mergeCell ref="M10:M10"/>
    <mergeCell ref="N10:N10"/>
    <mergeCell ref="O10:O10"/>
    <mergeCell ref="P10:P10"/>
    <mergeCell ref="Q10:Q10"/>
    <mergeCell ref="R10:R10"/>
    <mergeCell ref="S10:S10"/>
    <mergeCell ref="T10:T10"/>
    <mergeCell ref="U10:U10"/>
    <mergeCell ref="V10:V10"/>
    <mergeCell ref="W10:W10"/>
    <mergeCell ref="X10:X10"/>
    <mergeCell ref="Y10:Y10"/>
    <mergeCell ref="Z10:Z10"/>
    <mergeCell ref="AA10:AA10"/>
    <mergeCell ref="AB10:AB10"/>
    <mergeCell ref="AC10:AC10"/>
    <mergeCell ref="AD10:AD10"/>
    <mergeCell ref="AE10:AE10"/>
    <mergeCell ref="AF10:AF10"/>
    <mergeCell ref="AG10:AG10"/>
    <mergeCell ref="AH10:AH10"/>
    <mergeCell ref="AI10:AI10"/>
    <mergeCell ref="AJ10:AJ10"/>
    <mergeCell ref="AK10:AK10"/>
    <mergeCell ref="AL10:AL10"/>
    <mergeCell ref="AM10:AM10"/>
    <mergeCell ref="AN10:AN10"/>
    <mergeCell ref="AO10:AO10"/>
    <mergeCell ref="A11:A11"/>
    <mergeCell ref="B11:B11"/>
    <mergeCell ref="C11:C11"/>
    <mergeCell ref="D11:D11"/>
    <mergeCell ref="E11:E11"/>
    <mergeCell ref="F11:F11"/>
    <mergeCell ref="G11:G11"/>
    <mergeCell ref="H11:H11"/>
    <mergeCell ref="I11:I11"/>
    <mergeCell ref="J11:J11"/>
    <mergeCell ref="K11:K11"/>
    <mergeCell ref="L11:L11"/>
    <mergeCell ref="M11:M11"/>
    <mergeCell ref="N11:N11"/>
    <mergeCell ref="O11:O11"/>
    <mergeCell ref="P11:P11"/>
    <mergeCell ref="Q11:Q11"/>
    <mergeCell ref="R11:R11"/>
    <mergeCell ref="S11:S11"/>
    <mergeCell ref="T11:T11"/>
    <mergeCell ref="U11:U11"/>
    <mergeCell ref="V11:V11"/>
    <mergeCell ref="W11:W11"/>
    <mergeCell ref="X11:X11"/>
    <mergeCell ref="Y11:Y11"/>
    <mergeCell ref="Z11:Z11"/>
    <mergeCell ref="AA11:AA11"/>
    <mergeCell ref="AB11:AB11"/>
    <mergeCell ref="AC11:AC11"/>
    <mergeCell ref="AD11:AD11"/>
    <mergeCell ref="AE11:AE11"/>
    <mergeCell ref="AF11:AF11"/>
    <mergeCell ref="AG11:AG11"/>
    <mergeCell ref="AH11:AH11"/>
    <mergeCell ref="AI11:AI11"/>
    <mergeCell ref="AJ11:AJ11"/>
    <mergeCell ref="AK11:AK11"/>
    <mergeCell ref="AL11:AL11"/>
    <mergeCell ref="AM11:AM11"/>
    <mergeCell ref="AN11:AN11"/>
    <mergeCell ref="AO11:AO11"/>
    <mergeCell ref="A12:A12"/>
    <mergeCell ref="B12:B12"/>
    <mergeCell ref="C12:C12"/>
    <mergeCell ref="D12:D12"/>
    <mergeCell ref="E12:E12"/>
    <mergeCell ref="F12:F12"/>
    <mergeCell ref="G12:G12"/>
    <mergeCell ref="H12:H12"/>
    <mergeCell ref="I12:I12"/>
    <mergeCell ref="J12:J12"/>
    <mergeCell ref="K12:K12"/>
    <mergeCell ref="L12:L12"/>
    <mergeCell ref="M12:M12"/>
    <mergeCell ref="N12:N12"/>
    <mergeCell ref="O12:O12"/>
    <mergeCell ref="P12:P12"/>
    <mergeCell ref="Q12:Q12"/>
    <mergeCell ref="R12:R12"/>
    <mergeCell ref="S12:S12"/>
    <mergeCell ref="T12:T12"/>
    <mergeCell ref="U12:U12"/>
    <mergeCell ref="V12:V12"/>
    <mergeCell ref="W12:W12"/>
    <mergeCell ref="X12:X12"/>
    <mergeCell ref="Y12:Y12"/>
    <mergeCell ref="Z12:Z12"/>
    <mergeCell ref="AA12:AA12"/>
    <mergeCell ref="AB12:AB12"/>
    <mergeCell ref="AC12:AC12"/>
    <mergeCell ref="AD12:AD12"/>
    <mergeCell ref="AE12:AE12"/>
    <mergeCell ref="AF12:AF12"/>
    <mergeCell ref="AG12:AG12"/>
    <mergeCell ref="AH12:AH12"/>
    <mergeCell ref="AI12:AI12"/>
    <mergeCell ref="AJ12:AJ12"/>
    <mergeCell ref="AK12:AK12"/>
    <mergeCell ref="AL12:AL12"/>
    <mergeCell ref="AM12:AM12"/>
    <mergeCell ref="AN12:AN12"/>
    <mergeCell ref="AO12:AO12"/>
    <mergeCell ref="A13:A13"/>
    <mergeCell ref="B13:B13"/>
    <mergeCell ref="C13:C13"/>
    <mergeCell ref="D13:D13"/>
    <mergeCell ref="E13:E13"/>
    <mergeCell ref="F13:F13"/>
    <mergeCell ref="G13:G13"/>
    <mergeCell ref="H13:H13"/>
    <mergeCell ref="I13:I13"/>
    <mergeCell ref="J13:J13"/>
    <mergeCell ref="K13:K13"/>
    <mergeCell ref="L13:L13"/>
    <mergeCell ref="M13:M13"/>
    <mergeCell ref="N13:N13"/>
    <mergeCell ref="O13:O13"/>
    <mergeCell ref="P13:P13"/>
    <mergeCell ref="Q13:Q13"/>
    <mergeCell ref="R13:R13"/>
    <mergeCell ref="S13:S13"/>
    <mergeCell ref="T13:T13"/>
    <mergeCell ref="U13:U13"/>
    <mergeCell ref="V13:V13"/>
    <mergeCell ref="W13:W13"/>
    <mergeCell ref="X13:X13"/>
    <mergeCell ref="Y13:Y13"/>
    <mergeCell ref="Z13:Z13"/>
    <mergeCell ref="AA13:AA13"/>
    <mergeCell ref="AB13:AB13"/>
    <mergeCell ref="AC13:AC13"/>
    <mergeCell ref="AD13:AD13"/>
    <mergeCell ref="AE13:AE13"/>
    <mergeCell ref="AF13:AF13"/>
    <mergeCell ref="AG13:AG13"/>
    <mergeCell ref="AH13:AH13"/>
    <mergeCell ref="AI13:AI13"/>
    <mergeCell ref="AJ13:AJ13"/>
    <mergeCell ref="AK13:AK13"/>
    <mergeCell ref="AL13:AL13"/>
    <mergeCell ref="AM13:AM13"/>
    <mergeCell ref="AN13:AN13"/>
    <mergeCell ref="AO13:AO13"/>
    <mergeCell ref="A14:A14"/>
    <mergeCell ref="B14:B14"/>
    <mergeCell ref="C14:C14"/>
    <mergeCell ref="D14:D14"/>
    <mergeCell ref="E14:E14"/>
    <mergeCell ref="F14:F14"/>
    <mergeCell ref="G14:G14"/>
    <mergeCell ref="H14:H14"/>
    <mergeCell ref="I14:I14"/>
    <mergeCell ref="J14:J14"/>
    <mergeCell ref="K14:K14"/>
    <mergeCell ref="L14:L14"/>
    <mergeCell ref="M14:M14"/>
    <mergeCell ref="N14:N14"/>
    <mergeCell ref="O14:O14"/>
    <mergeCell ref="P14:P14"/>
    <mergeCell ref="Q14:Q14"/>
    <mergeCell ref="R14:R14"/>
    <mergeCell ref="S14:S14"/>
    <mergeCell ref="T14:T14"/>
    <mergeCell ref="U14:U14"/>
    <mergeCell ref="V14:V14"/>
    <mergeCell ref="W14:W14"/>
    <mergeCell ref="X14:X14"/>
    <mergeCell ref="Y14:Y14"/>
    <mergeCell ref="Z14:Z14"/>
    <mergeCell ref="AA14:AA14"/>
    <mergeCell ref="AB14:AB14"/>
    <mergeCell ref="AC14:AC14"/>
    <mergeCell ref="AD14:AD14"/>
    <mergeCell ref="AE14:AE14"/>
    <mergeCell ref="AF14:AF14"/>
    <mergeCell ref="AG14:AG14"/>
    <mergeCell ref="AH14:AH14"/>
    <mergeCell ref="AI14:AI14"/>
    <mergeCell ref="AJ14:AJ14"/>
    <mergeCell ref="AK14:AK14"/>
    <mergeCell ref="AL14:AL14"/>
    <mergeCell ref="AM14:AM14"/>
    <mergeCell ref="AN14:AN14"/>
    <mergeCell ref="AO14:AO14"/>
    <mergeCell ref="A15:A15"/>
    <mergeCell ref="B15:B15"/>
    <mergeCell ref="C15:C15"/>
    <mergeCell ref="D15:D15"/>
    <mergeCell ref="E15:E15"/>
    <mergeCell ref="F15:F15"/>
    <mergeCell ref="G15:G15"/>
    <mergeCell ref="H15:H15"/>
    <mergeCell ref="I15:I15"/>
    <mergeCell ref="J15:J15"/>
    <mergeCell ref="K15:K15"/>
    <mergeCell ref="L15:L15"/>
    <mergeCell ref="M15:M15"/>
    <mergeCell ref="N15:N15"/>
    <mergeCell ref="O15:O15"/>
    <mergeCell ref="P15:P15"/>
    <mergeCell ref="Q15:Q15"/>
    <mergeCell ref="R15:R15"/>
    <mergeCell ref="S15:S15"/>
    <mergeCell ref="T15:T15"/>
    <mergeCell ref="U15:U15"/>
    <mergeCell ref="V15:V15"/>
    <mergeCell ref="W15:W15"/>
    <mergeCell ref="X15:X15"/>
    <mergeCell ref="Y15:Y15"/>
    <mergeCell ref="Z15:Z15"/>
    <mergeCell ref="AA15:AA15"/>
    <mergeCell ref="AB15:AB15"/>
    <mergeCell ref="AC15:AC15"/>
    <mergeCell ref="AD15:AD15"/>
    <mergeCell ref="AE15:AE15"/>
    <mergeCell ref="AF15:AF15"/>
    <mergeCell ref="AG15:AG15"/>
    <mergeCell ref="AH15:AH15"/>
    <mergeCell ref="AI15:AI15"/>
    <mergeCell ref="AJ15:AJ15"/>
    <mergeCell ref="AK15:AK15"/>
    <mergeCell ref="AL15:AL15"/>
    <mergeCell ref="AM15:AM15"/>
    <mergeCell ref="AN15:AN15"/>
    <mergeCell ref="AO15:AO15"/>
    <mergeCell ref="A16:A16"/>
    <mergeCell ref="B16:B16"/>
    <mergeCell ref="C16:C16"/>
    <mergeCell ref="D16:D16"/>
    <mergeCell ref="E16:E16"/>
    <mergeCell ref="F16:F16"/>
    <mergeCell ref="G16:G16"/>
    <mergeCell ref="H16:H16"/>
    <mergeCell ref="I16:I16"/>
    <mergeCell ref="J16:J16"/>
    <mergeCell ref="K16:K16"/>
    <mergeCell ref="L16:L16"/>
    <mergeCell ref="M16:M16"/>
    <mergeCell ref="N16:N16"/>
    <mergeCell ref="O16:O16"/>
    <mergeCell ref="P16:P16"/>
    <mergeCell ref="Q16:Q16"/>
    <mergeCell ref="R16:R16"/>
    <mergeCell ref="S16:S16"/>
    <mergeCell ref="T16:T16"/>
    <mergeCell ref="U16:U16"/>
    <mergeCell ref="V16:V16"/>
    <mergeCell ref="W16:W16"/>
    <mergeCell ref="X16:X16"/>
    <mergeCell ref="Y16:Y16"/>
    <mergeCell ref="Z16:Z16"/>
    <mergeCell ref="AA16:AA16"/>
    <mergeCell ref="AB16:AB16"/>
    <mergeCell ref="AC16:AC16"/>
    <mergeCell ref="AD16:AD16"/>
    <mergeCell ref="AE16:AE16"/>
    <mergeCell ref="AF16:AF16"/>
    <mergeCell ref="AG16:AG16"/>
    <mergeCell ref="AH16:AH16"/>
    <mergeCell ref="AI16:AI16"/>
    <mergeCell ref="AJ16:AJ16"/>
    <mergeCell ref="AK16:AK16"/>
    <mergeCell ref="AL16:AL16"/>
    <mergeCell ref="AM16:AM16"/>
    <mergeCell ref="AN16:AN16"/>
    <mergeCell ref="AO16:AO16"/>
    <mergeCell ref="A17:A17"/>
    <mergeCell ref="B17:B17"/>
    <mergeCell ref="C17:C17"/>
    <mergeCell ref="D17:D17"/>
    <mergeCell ref="E17:E17"/>
    <mergeCell ref="F17:F17"/>
    <mergeCell ref="G17:G17"/>
    <mergeCell ref="H17:H17"/>
    <mergeCell ref="I17:I17"/>
    <mergeCell ref="J17:J17"/>
    <mergeCell ref="K17:K17"/>
    <mergeCell ref="L17:L17"/>
    <mergeCell ref="M17:M17"/>
    <mergeCell ref="N17:N17"/>
    <mergeCell ref="O17:O17"/>
    <mergeCell ref="P17:P17"/>
    <mergeCell ref="Q17:Q17"/>
    <mergeCell ref="R17:R17"/>
    <mergeCell ref="S17:S17"/>
    <mergeCell ref="T17:T17"/>
    <mergeCell ref="U17:U17"/>
    <mergeCell ref="V17:V17"/>
    <mergeCell ref="W17:W17"/>
    <mergeCell ref="X17:X17"/>
    <mergeCell ref="Y17:Y17"/>
    <mergeCell ref="Z17:Z17"/>
    <mergeCell ref="AA17:AA17"/>
    <mergeCell ref="AB17:AB17"/>
    <mergeCell ref="AC17:AC17"/>
    <mergeCell ref="AD17:AD17"/>
    <mergeCell ref="AE17:AE17"/>
    <mergeCell ref="AF17:AF17"/>
    <mergeCell ref="AG17:AG17"/>
    <mergeCell ref="AH17:AH17"/>
    <mergeCell ref="AI17:AI17"/>
    <mergeCell ref="AJ17:AJ17"/>
    <mergeCell ref="AK17:AK17"/>
    <mergeCell ref="AL17:AL17"/>
    <mergeCell ref="AM17:AM17"/>
    <mergeCell ref="AN17:AN17"/>
    <mergeCell ref="AO17:AO17"/>
    <mergeCell ref="A18:A18"/>
    <mergeCell ref="B18:B18"/>
    <mergeCell ref="C18:C18"/>
    <mergeCell ref="D18:D18"/>
    <mergeCell ref="E18:E18"/>
    <mergeCell ref="F18:F18"/>
    <mergeCell ref="G18:G18"/>
    <mergeCell ref="H18:H18"/>
    <mergeCell ref="I18:I18"/>
    <mergeCell ref="J18:J18"/>
    <mergeCell ref="K18:K18"/>
    <mergeCell ref="L18:L18"/>
    <mergeCell ref="M18:M18"/>
    <mergeCell ref="N18:N18"/>
    <mergeCell ref="O18:O18"/>
    <mergeCell ref="P18:P18"/>
    <mergeCell ref="Q18:Q18"/>
    <mergeCell ref="R18:R18"/>
    <mergeCell ref="S18:S18"/>
    <mergeCell ref="T18:T18"/>
    <mergeCell ref="U18:U18"/>
    <mergeCell ref="V18:V18"/>
    <mergeCell ref="W18:W18"/>
    <mergeCell ref="X18:X18"/>
    <mergeCell ref="Y18:Y18"/>
    <mergeCell ref="Z18:Z18"/>
    <mergeCell ref="AA18:AA18"/>
    <mergeCell ref="AB18:AB18"/>
    <mergeCell ref="AC18:AC18"/>
    <mergeCell ref="AD18:AD18"/>
    <mergeCell ref="AE18:AE18"/>
    <mergeCell ref="AF18:AF18"/>
    <mergeCell ref="AG18:AG18"/>
    <mergeCell ref="AH18:AH18"/>
    <mergeCell ref="AI18:AI18"/>
    <mergeCell ref="AJ18:AJ18"/>
    <mergeCell ref="AK18:AK18"/>
    <mergeCell ref="AL18:AL18"/>
    <mergeCell ref="AM18:AM18"/>
    <mergeCell ref="AN18:AN18"/>
    <mergeCell ref="AO18:AO18"/>
    <mergeCell ref="A19:A19"/>
    <mergeCell ref="B19:B19"/>
    <mergeCell ref="C19:C19"/>
    <mergeCell ref="D19:D19"/>
    <mergeCell ref="E19:E19"/>
    <mergeCell ref="F19:F19"/>
    <mergeCell ref="G19:G19"/>
    <mergeCell ref="H19:H19"/>
    <mergeCell ref="I19:I19"/>
    <mergeCell ref="J19:J19"/>
    <mergeCell ref="K19:K19"/>
    <mergeCell ref="L19:L19"/>
    <mergeCell ref="M19:M19"/>
    <mergeCell ref="N19:N19"/>
    <mergeCell ref="O19:O19"/>
    <mergeCell ref="P19:P19"/>
    <mergeCell ref="Q19:Q19"/>
    <mergeCell ref="R19:R19"/>
    <mergeCell ref="S19:S19"/>
    <mergeCell ref="T19:T19"/>
    <mergeCell ref="U19:U19"/>
    <mergeCell ref="V19:V19"/>
    <mergeCell ref="W19:W19"/>
    <mergeCell ref="X19:X19"/>
    <mergeCell ref="Y19:Y19"/>
    <mergeCell ref="Z19:Z19"/>
    <mergeCell ref="AA19:AA19"/>
    <mergeCell ref="AB19:AB19"/>
    <mergeCell ref="AC19:AC19"/>
    <mergeCell ref="AD19:AD19"/>
    <mergeCell ref="AE19:AE19"/>
    <mergeCell ref="AF19:AF19"/>
    <mergeCell ref="AG19:AG19"/>
    <mergeCell ref="AH19:AH19"/>
    <mergeCell ref="AI19:AI19"/>
    <mergeCell ref="AJ19:AJ19"/>
    <mergeCell ref="AK19:AK19"/>
    <mergeCell ref="AL19:AL19"/>
    <mergeCell ref="AM19:AM19"/>
    <mergeCell ref="AN19:AN19"/>
    <mergeCell ref="AO19:AO19"/>
    <mergeCell ref="A20:A20"/>
    <mergeCell ref="B20:B20"/>
    <mergeCell ref="C20:C20"/>
    <mergeCell ref="D20:D20"/>
    <mergeCell ref="E20:E20"/>
    <mergeCell ref="F20:F20"/>
    <mergeCell ref="G20:G20"/>
    <mergeCell ref="H20:H20"/>
    <mergeCell ref="I20:I20"/>
    <mergeCell ref="J20:J20"/>
    <mergeCell ref="K20:K20"/>
    <mergeCell ref="L20:L20"/>
    <mergeCell ref="M20:M20"/>
    <mergeCell ref="N20:N20"/>
    <mergeCell ref="O20:O20"/>
    <mergeCell ref="P20:P20"/>
    <mergeCell ref="Q20:Q20"/>
    <mergeCell ref="R20:R20"/>
    <mergeCell ref="S20:S20"/>
    <mergeCell ref="T20:T20"/>
    <mergeCell ref="U20:U20"/>
    <mergeCell ref="V20:V20"/>
    <mergeCell ref="W20:W20"/>
    <mergeCell ref="X20:X20"/>
    <mergeCell ref="Y20:Y20"/>
    <mergeCell ref="Z20:Z20"/>
    <mergeCell ref="AA20:AA20"/>
    <mergeCell ref="AB20:AB20"/>
    <mergeCell ref="AC20:AC20"/>
    <mergeCell ref="AD20:AD20"/>
    <mergeCell ref="AE20:AE20"/>
    <mergeCell ref="AF20:AF20"/>
    <mergeCell ref="AG20:AG20"/>
    <mergeCell ref="AH20:AH20"/>
    <mergeCell ref="AI20:AI20"/>
    <mergeCell ref="AJ20:AJ20"/>
    <mergeCell ref="AK20:AK20"/>
    <mergeCell ref="AL20:AL20"/>
    <mergeCell ref="AM20:AM20"/>
    <mergeCell ref="AN20:AN20"/>
    <mergeCell ref="AO20:AO20"/>
    <mergeCell ref="A21:A21"/>
    <mergeCell ref="B21:B21"/>
    <mergeCell ref="C21:C21"/>
    <mergeCell ref="D21:D21"/>
    <mergeCell ref="E21:E21"/>
    <mergeCell ref="F21:F21"/>
    <mergeCell ref="G21:G21"/>
    <mergeCell ref="H21:H21"/>
    <mergeCell ref="I21:I21"/>
    <mergeCell ref="J21:J21"/>
    <mergeCell ref="K21:K21"/>
    <mergeCell ref="L21:L21"/>
    <mergeCell ref="M21:M21"/>
    <mergeCell ref="N21:N21"/>
    <mergeCell ref="O21:O21"/>
    <mergeCell ref="P21:P21"/>
    <mergeCell ref="Q21:Q21"/>
    <mergeCell ref="R21:R21"/>
    <mergeCell ref="S21:S21"/>
    <mergeCell ref="T21:T21"/>
    <mergeCell ref="U21:U21"/>
    <mergeCell ref="V21:V21"/>
    <mergeCell ref="W21:W21"/>
    <mergeCell ref="X21:X21"/>
    <mergeCell ref="Y21:Y21"/>
    <mergeCell ref="Z21:Z21"/>
    <mergeCell ref="AA21:AA21"/>
    <mergeCell ref="AB21:AB21"/>
    <mergeCell ref="AC21:AC21"/>
    <mergeCell ref="AD21:AD21"/>
    <mergeCell ref="AE21:AE21"/>
    <mergeCell ref="AF21:AF21"/>
    <mergeCell ref="AG21:AG21"/>
    <mergeCell ref="AH21:AH21"/>
    <mergeCell ref="AI21:AI21"/>
    <mergeCell ref="AJ21:AJ21"/>
    <mergeCell ref="AK21:AK21"/>
    <mergeCell ref="AL21:AL21"/>
    <mergeCell ref="AM21:AM21"/>
    <mergeCell ref="AN21:AN21"/>
    <mergeCell ref="AO21:AO21"/>
    <mergeCell ref="A22:A22"/>
    <mergeCell ref="B22:B22"/>
    <mergeCell ref="C22:C22"/>
    <mergeCell ref="D22:D22"/>
    <mergeCell ref="E22:E22"/>
    <mergeCell ref="F22:F22"/>
    <mergeCell ref="G22:G22"/>
    <mergeCell ref="H22:H22"/>
    <mergeCell ref="I22:I22"/>
    <mergeCell ref="J22:J22"/>
    <mergeCell ref="K22:K22"/>
    <mergeCell ref="L22:L22"/>
    <mergeCell ref="M22:M22"/>
    <mergeCell ref="N22:N22"/>
    <mergeCell ref="O22:O22"/>
    <mergeCell ref="P22:P22"/>
    <mergeCell ref="Q22:Q22"/>
    <mergeCell ref="R22:R22"/>
    <mergeCell ref="S22:S22"/>
    <mergeCell ref="T22:T22"/>
    <mergeCell ref="U22:U22"/>
    <mergeCell ref="V22:V22"/>
    <mergeCell ref="W22:W22"/>
    <mergeCell ref="X22:X22"/>
    <mergeCell ref="Y22:Y22"/>
    <mergeCell ref="Z22:Z22"/>
    <mergeCell ref="AA22:AA22"/>
    <mergeCell ref="AB22:AB22"/>
    <mergeCell ref="AC22:AC22"/>
    <mergeCell ref="AD22:AD22"/>
    <mergeCell ref="AE22:AE22"/>
    <mergeCell ref="AF22:AF22"/>
    <mergeCell ref="AG22:AG22"/>
    <mergeCell ref="AH22:AH22"/>
    <mergeCell ref="AI22:AI22"/>
    <mergeCell ref="AJ22:AJ22"/>
    <mergeCell ref="AK22:AK22"/>
    <mergeCell ref="AL22:AL22"/>
    <mergeCell ref="AM22:AM22"/>
    <mergeCell ref="AN22:AN22"/>
    <mergeCell ref="AO22:AO22"/>
    <mergeCell ref="A23:A23"/>
    <mergeCell ref="B23:B23"/>
    <mergeCell ref="C23:C23"/>
    <mergeCell ref="D23:D23"/>
    <mergeCell ref="E23:E23"/>
    <mergeCell ref="F23:F23"/>
    <mergeCell ref="G23:G23"/>
    <mergeCell ref="H23:H23"/>
    <mergeCell ref="I23:I23"/>
    <mergeCell ref="J23:J23"/>
    <mergeCell ref="K23:K23"/>
    <mergeCell ref="L23:L23"/>
    <mergeCell ref="M23:M23"/>
    <mergeCell ref="N23:N23"/>
    <mergeCell ref="O23:O23"/>
    <mergeCell ref="P23:P23"/>
    <mergeCell ref="Q23:Q23"/>
    <mergeCell ref="R23:R23"/>
    <mergeCell ref="S23:S23"/>
    <mergeCell ref="T23:T23"/>
    <mergeCell ref="U23:U23"/>
    <mergeCell ref="V23:V23"/>
    <mergeCell ref="W23:W23"/>
    <mergeCell ref="X23:X23"/>
    <mergeCell ref="Y23:Y23"/>
    <mergeCell ref="Z23:Z23"/>
    <mergeCell ref="AA23:AA23"/>
    <mergeCell ref="AB23:AB23"/>
    <mergeCell ref="AC23:AC23"/>
    <mergeCell ref="AD23:AD23"/>
    <mergeCell ref="AE23:AE23"/>
    <mergeCell ref="AF23:AF23"/>
    <mergeCell ref="AG23:AG23"/>
    <mergeCell ref="AH23:AH23"/>
    <mergeCell ref="AI23:AI23"/>
    <mergeCell ref="AJ23:AJ23"/>
    <mergeCell ref="AK23:AK23"/>
    <mergeCell ref="AL23:AL23"/>
    <mergeCell ref="AM23:AM23"/>
    <mergeCell ref="AN23:AN23"/>
    <mergeCell ref="AO23:AO23"/>
    <mergeCell ref="A24:A24"/>
    <mergeCell ref="B24:B24"/>
    <mergeCell ref="C24:C24"/>
    <mergeCell ref="D24:D24"/>
    <mergeCell ref="E24:E24"/>
    <mergeCell ref="F24:F24"/>
    <mergeCell ref="G24:G24"/>
    <mergeCell ref="H24:H24"/>
    <mergeCell ref="I24:I24"/>
    <mergeCell ref="J24:J24"/>
    <mergeCell ref="K24:K24"/>
    <mergeCell ref="L24:L24"/>
    <mergeCell ref="M24:M24"/>
    <mergeCell ref="N24:N24"/>
    <mergeCell ref="O24:O24"/>
    <mergeCell ref="P24:P24"/>
    <mergeCell ref="Q24:Q24"/>
    <mergeCell ref="R24:R24"/>
    <mergeCell ref="S24:S24"/>
    <mergeCell ref="T24:T24"/>
    <mergeCell ref="U24:U24"/>
    <mergeCell ref="V24:V24"/>
    <mergeCell ref="W24:W24"/>
    <mergeCell ref="X24:X24"/>
    <mergeCell ref="Y24:Y24"/>
    <mergeCell ref="Z24:Z24"/>
    <mergeCell ref="AA24:AA24"/>
    <mergeCell ref="AB24:AB24"/>
    <mergeCell ref="AC24:AC24"/>
    <mergeCell ref="AD24:AD24"/>
    <mergeCell ref="AE24:AE24"/>
    <mergeCell ref="AF24:AF24"/>
    <mergeCell ref="AG24:AG24"/>
    <mergeCell ref="AH24:AH24"/>
    <mergeCell ref="AI24:AI24"/>
    <mergeCell ref="AJ24:AJ24"/>
    <mergeCell ref="AK24:AK24"/>
    <mergeCell ref="AL24:AL24"/>
    <mergeCell ref="AM24:AM24"/>
    <mergeCell ref="AN24:AN24"/>
    <mergeCell ref="AO24:AO24"/>
    <mergeCell ref="A25:A25"/>
    <mergeCell ref="B25:B25"/>
    <mergeCell ref="C25:C25"/>
    <mergeCell ref="D25:D25"/>
    <mergeCell ref="E25:E25"/>
    <mergeCell ref="F25:F25"/>
    <mergeCell ref="G25:G25"/>
    <mergeCell ref="H25:H25"/>
    <mergeCell ref="I25:I25"/>
    <mergeCell ref="J25:J25"/>
    <mergeCell ref="K25:K25"/>
    <mergeCell ref="L25:L25"/>
    <mergeCell ref="M25:M25"/>
    <mergeCell ref="N25:N25"/>
    <mergeCell ref="O25:O25"/>
    <mergeCell ref="P25:P25"/>
    <mergeCell ref="Q25:Q25"/>
    <mergeCell ref="R25:R25"/>
    <mergeCell ref="S25:S25"/>
    <mergeCell ref="T25:T25"/>
    <mergeCell ref="U25:U25"/>
    <mergeCell ref="V25:V25"/>
    <mergeCell ref="W25:W25"/>
    <mergeCell ref="X25:X25"/>
    <mergeCell ref="Y25:Y25"/>
    <mergeCell ref="Z25:Z25"/>
    <mergeCell ref="AA25:AA25"/>
    <mergeCell ref="AB25:AB25"/>
    <mergeCell ref="AC25:AC25"/>
    <mergeCell ref="AD25:AD25"/>
    <mergeCell ref="AE25:AE25"/>
    <mergeCell ref="AF25:AF25"/>
    <mergeCell ref="AG25:AG25"/>
    <mergeCell ref="AH25:AH25"/>
    <mergeCell ref="AI25:AI25"/>
    <mergeCell ref="AJ25:AJ25"/>
    <mergeCell ref="AK25:AK25"/>
    <mergeCell ref="AL25:AL25"/>
    <mergeCell ref="AM25:AM25"/>
    <mergeCell ref="AN25:AN25"/>
    <mergeCell ref="AO25:AO25"/>
    <mergeCell ref="A26:A26"/>
    <mergeCell ref="B26:B26"/>
    <mergeCell ref="C26:C26"/>
    <mergeCell ref="D26:D26"/>
    <mergeCell ref="E26:E26"/>
    <mergeCell ref="F26:F26"/>
    <mergeCell ref="G26:G26"/>
    <mergeCell ref="H26:H26"/>
    <mergeCell ref="I26:I26"/>
    <mergeCell ref="J26:J26"/>
    <mergeCell ref="K26:K26"/>
    <mergeCell ref="L26:L26"/>
    <mergeCell ref="M26:M26"/>
    <mergeCell ref="N26:N26"/>
    <mergeCell ref="O26:O26"/>
    <mergeCell ref="P26:P26"/>
    <mergeCell ref="Q26:Q26"/>
    <mergeCell ref="R26:R26"/>
    <mergeCell ref="S26:S26"/>
    <mergeCell ref="T26:T26"/>
    <mergeCell ref="U26:U26"/>
    <mergeCell ref="V26:V26"/>
    <mergeCell ref="W26:W26"/>
    <mergeCell ref="X26:X26"/>
    <mergeCell ref="Y26:Y26"/>
    <mergeCell ref="Z26:Z26"/>
    <mergeCell ref="AA26:AA26"/>
    <mergeCell ref="AB26:AB26"/>
    <mergeCell ref="AC26:AC26"/>
    <mergeCell ref="AD26:AD26"/>
    <mergeCell ref="AE26:AE26"/>
    <mergeCell ref="AF26:AF26"/>
    <mergeCell ref="AG26:AG26"/>
    <mergeCell ref="AH26:AH26"/>
    <mergeCell ref="AI26:AI26"/>
    <mergeCell ref="AJ26:AJ26"/>
    <mergeCell ref="AK26:AK26"/>
    <mergeCell ref="AL26:AL26"/>
    <mergeCell ref="AM26:AM26"/>
    <mergeCell ref="AN26:AN26"/>
    <mergeCell ref="AO26:AO26"/>
    <mergeCell ref="A27:A27"/>
    <mergeCell ref="B27:B27"/>
    <mergeCell ref="C27:C27"/>
    <mergeCell ref="D27:D27"/>
    <mergeCell ref="E27:E27"/>
    <mergeCell ref="F27:F27"/>
    <mergeCell ref="G27:G27"/>
    <mergeCell ref="H27:H27"/>
    <mergeCell ref="I27:I27"/>
    <mergeCell ref="J27:J27"/>
    <mergeCell ref="K27:K27"/>
    <mergeCell ref="L27:L27"/>
    <mergeCell ref="M27:M27"/>
    <mergeCell ref="N27:N27"/>
    <mergeCell ref="O27:O27"/>
    <mergeCell ref="P27:P27"/>
    <mergeCell ref="Q27:Q27"/>
    <mergeCell ref="R27:R27"/>
    <mergeCell ref="S27:S27"/>
    <mergeCell ref="T27:T27"/>
    <mergeCell ref="U27:U27"/>
    <mergeCell ref="V27:V27"/>
    <mergeCell ref="W27:W27"/>
    <mergeCell ref="X27:X27"/>
    <mergeCell ref="Y27:Y27"/>
    <mergeCell ref="Z27:Z27"/>
    <mergeCell ref="AA27:AA27"/>
    <mergeCell ref="AB27:AB27"/>
    <mergeCell ref="AC27:AC27"/>
    <mergeCell ref="AD27:AD27"/>
    <mergeCell ref="AE27:AE27"/>
    <mergeCell ref="AF27:AF27"/>
    <mergeCell ref="AG27:AG27"/>
    <mergeCell ref="AH27:AH27"/>
    <mergeCell ref="AI27:AI27"/>
    <mergeCell ref="AJ27:AJ27"/>
    <mergeCell ref="AK27:AK27"/>
    <mergeCell ref="AL27:AL27"/>
    <mergeCell ref="AM27:AM27"/>
    <mergeCell ref="AN27:AN27"/>
    <mergeCell ref="AO27:AO27"/>
    <mergeCell ref="A28:A28"/>
    <mergeCell ref="B28:B28"/>
    <mergeCell ref="C28:C28"/>
    <mergeCell ref="D28:D28"/>
    <mergeCell ref="E28:E28"/>
    <mergeCell ref="F28:F28"/>
    <mergeCell ref="G28:G28"/>
    <mergeCell ref="H28:H28"/>
    <mergeCell ref="I28:I28"/>
    <mergeCell ref="J28:J28"/>
    <mergeCell ref="K28:K28"/>
    <mergeCell ref="L28:L28"/>
    <mergeCell ref="M28:M28"/>
    <mergeCell ref="N28:N28"/>
    <mergeCell ref="O28:O28"/>
    <mergeCell ref="P28:P28"/>
    <mergeCell ref="Q28:Q28"/>
    <mergeCell ref="R28:R28"/>
    <mergeCell ref="S28:S28"/>
    <mergeCell ref="T28:T28"/>
    <mergeCell ref="U28:U28"/>
    <mergeCell ref="V28:V28"/>
    <mergeCell ref="W28:W28"/>
    <mergeCell ref="X28:X28"/>
    <mergeCell ref="Y28:Y28"/>
    <mergeCell ref="Z28:Z28"/>
    <mergeCell ref="AA28:AA28"/>
    <mergeCell ref="AB28:AB28"/>
    <mergeCell ref="AC28:AC28"/>
    <mergeCell ref="AD28:AD28"/>
    <mergeCell ref="AE28:AE28"/>
    <mergeCell ref="AF28:AF28"/>
    <mergeCell ref="AG28:AG28"/>
    <mergeCell ref="AH28:AH28"/>
    <mergeCell ref="AI28:AI28"/>
    <mergeCell ref="AJ28:AJ28"/>
    <mergeCell ref="AK28:AK28"/>
    <mergeCell ref="AL28:AL28"/>
    <mergeCell ref="AM28:AM28"/>
    <mergeCell ref="AN28:AN28"/>
    <mergeCell ref="AO28:AO28"/>
    <mergeCell ref="A29:A29"/>
    <mergeCell ref="B29:B29"/>
    <mergeCell ref="C29:C29"/>
    <mergeCell ref="D29:D29"/>
    <mergeCell ref="E29:E29"/>
    <mergeCell ref="F29:F29"/>
    <mergeCell ref="G29:G29"/>
    <mergeCell ref="H29:H29"/>
    <mergeCell ref="I29:I29"/>
    <mergeCell ref="J29:J29"/>
    <mergeCell ref="K29:K29"/>
    <mergeCell ref="L29:L29"/>
    <mergeCell ref="M29:M29"/>
    <mergeCell ref="N29:N29"/>
    <mergeCell ref="O29:O29"/>
    <mergeCell ref="P29:P29"/>
    <mergeCell ref="Q29:Q29"/>
    <mergeCell ref="R29:R29"/>
    <mergeCell ref="S29:S29"/>
    <mergeCell ref="T29:T29"/>
    <mergeCell ref="U29:U29"/>
    <mergeCell ref="V29:V29"/>
    <mergeCell ref="W29:W29"/>
    <mergeCell ref="X29:X29"/>
    <mergeCell ref="Y29:Y29"/>
    <mergeCell ref="Z29:Z29"/>
    <mergeCell ref="AA29:AA29"/>
    <mergeCell ref="AB29:AB29"/>
    <mergeCell ref="AC29:AC29"/>
    <mergeCell ref="AD29:AD29"/>
    <mergeCell ref="AE29:AE29"/>
    <mergeCell ref="AF29:AF29"/>
    <mergeCell ref="AG29:AG29"/>
    <mergeCell ref="AH29:AH29"/>
    <mergeCell ref="AI29:AI29"/>
    <mergeCell ref="AJ29:AJ29"/>
    <mergeCell ref="AK29:AK29"/>
    <mergeCell ref="AL29:AL29"/>
    <mergeCell ref="AM29:AM29"/>
    <mergeCell ref="AN29:AN29"/>
    <mergeCell ref="AO29:AO29"/>
    <mergeCell ref="A30:A30"/>
    <mergeCell ref="B30:B30"/>
    <mergeCell ref="C30:C30"/>
    <mergeCell ref="D30:D30"/>
    <mergeCell ref="E30:E30"/>
    <mergeCell ref="F30:F30"/>
    <mergeCell ref="G30:G30"/>
    <mergeCell ref="H30:H30"/>
    <mergeCell ref="I30:I30"/>
    <mergeCell ref="J30:J30"/>
    <mergeCell ref="K30:K30"/>
    <mergeCell ref="L30:L30"/>
    <mergeCell ref="M30:M30"/>
    <mergeCell ref="N30:N30"/>
    <mergeCell ref="O30:O30"/>
    <mergeCell ref="P30:P30"/>
    <mergeCell ref="Q30:Q30"/>
    <mergeCell ref="R30:R30"/>
    <mergeCell ref="S30:S30"/>
    <mergeCell ref="T30:T30"/>
    <mergeCell ref="U30:U30"/>
    <mergeCell ref="V30:V30"/>
    <mergeCell ref="W30:W30"/>
    <mergeCell ref="X30:X30"/>
    <mergeCell ref="Y30:Y30"/>
    <mergeCell ref="Z30:Z30"/>
    <mergeCell ref="AA30:AA30"/>
    <mergeCell ref="AB30:AB30"/>
    <mergeCell ref="AC30:AC30"/>
    <mergeCell ref="AD30:AD30"/>
    <mergeCell ref="AE30:AE30"/>
    <mergeCell ref="AF30:AF30"/>
    <mergeCell ref="AG30:AG30"/>
    <mergeCell ref="AH30:AH30"/>
    <mergeCell ref="AI30:AI30"/>
    <mergeCell ref="AJ30:AJ30"/>
    <mergeCell ref="AK30:AK30"/>
    <mergeCell ref="AL30:AL30"/>
    <mergeCell ref="AM30:AM30"/>
    <mergeCell ref="AN30:AN30"/>
    <mergeCell ref="AO30:AO30"/>
    <mergeCell ref="A31:A31"/>
    <mergeCell ref="B31:B31"/>
    <mergeCell ref="C31:C31"/>
    <mergeCell ref="D31:D31"/>
    <mergeCell ref="E31:E31"/>
    <mergeCell ref="F31:F31"/>
    <mergeCell ref="G31:G31"/>
    <mergeCell ref="H31:H31"/>
    <mergeCell ref="I31:I31"/>
    <mergeCell ref="J31:J31"/>
    <mergeCell ref="K31:K31"/>
    <mergeCell ref="L31:L31"/>
    <mergeCell ref="M31:M31"/>
    <mergeCell ref="N31:N31"/>
    <mergeCell ref="O31:O31"/>
    <mergeCell ref="P31:P31"/>
    <mergeCell ref="Q31:Q31"/>
    <mergeCell ref="R31:R31"/>
    <mergeCell ref="S31:S31"/>
    <mergeCell ref="T31:T31"/>
    <mergeCell ref="U31:U31"/>
    <mergeCell ref="V31:V31"/>
    <mergeCell ref="W31:W31"/>
    <mergeCell ref="X31:X31"/>
    <mergeCell ref="Y31:Y31"/>
    <mergeCell ref="Z31:Z31"/>
    <mergeCell ref="AA31:AA31"/>
    <mergeCell ref="AB31:AB31"/>
    <mergeCell ref="AC31:AC31"/>
    <mergeCell ref="AD31:AD31"/>
    <mergeCell ref="AE31:AE31"/>
    <mergeCell ref="AF31:AF31"/>
    <mergeCell ref="AG31:AG31"/>
    <mergeCell ref="AH31:AH31"/>
    <mergeCell ref="AI31:AI31"/>
    <mergeCell ref="AJ31:AJ31"/>
    <mergeCell ref="AK31:AK31"/>
    <mergeCell ref="AL31:AL31"/>
    <mergeCell ref="AM31:AM31"/>
    <mergeCell ref="AN31:AN31"/>
    <mergeCell ref="AO31:AO31"/>
    <mergeCell ref="A32:A32"/>
    <mergeCell ref="B32:B32"/>
    <mergeCell ref="C32:C32"/>
    <mergeCell ref="D32:D32"/>
    <mergeCell ref="E32:E32"/>
    <mergeCell ref="F32:F32"/>
    <mergeCell ref="G32:G32"/>
    <mergeCell ref="H32:H32"/>
    <mergeCell ref="I32:I32"/>
    <mergeCell ref="J32:J32"/>
    <mergeCell ref="K32:K32"/>
    <mergeCell ref="L32:L32"/>
    <mergeCell ref="M32:M32"/>
    <mergeCell ref="N32:N32"/>
    <mergeCell ref="O32:O32"/>
    <mergeCell ref="P32:P32"/>
    <mergeCell ref="Q32:Q32"/>
    <mergeCell ref="R32:R32"/>
    <mergeCell ref="S32:S32"/>
    <mergeCell ref="T32:T32"/>
    <mergeCell ref="U32:U32"/>
    <mergeCell ref="V32:V32"/>
    <mergeCell ref="W32:W32"/>
    <mergeCell ref="X32:X32"/>
    <mergeCell ref="Y32:Y32"/>
    <mergeCell ref="Z32:Z32"/>
    <mergeCell ref="AA32:AA32"/>
    <mergeCell ref="AB32:AB32"/>
    <mergeCell ref="AC32:AC32"/>
    <mergeCell ref="AD32:AD32"/>
    <mergeCell ref="AE32:AE32"/>
    <mergeCell ref="AF32:AF32"/>
    <mergeCell ref="AG32:AG32"/>
    <mergeCell ref="AH32:AH32"/>
    <mergeCell ref="AI32:AI32"/>
    <mergeCell ref="AJ32:AJ32"/>
    <mergeCell ref="AK32:AK32"/>
    <mergeCell ref="AL32:AL32"/>
    <mergeCell ref="AM32:AM32"/>
    <mergeCell ref="AN32:AN32"/>
    <mergeCell ref="AO32:AO32"/>
    <mergeCell ref="A33:A33"/>
    <mergeCell ref="B33:B33"/>
    <mergeCell ref="C33:C33"/>
    <mergeCell ref="D33:D33"/>
    <mergeCell ref="E33:E33"/>
    <mergeCell ref="F33:F33"/>
    <mergeCell ref="G33:G33"/>
    <mergeCell ref="H33:H33"/>
    <mergeCell ref="I33:I33"/>
    <mergeCell ref="J33:J33"/>
    <mergeCell ref="K33:K33"/>
    <mergeCell ref="L33:L33"/>
    <mergeCell ref="M33:M33"/>
    <mergeCell ref="N33:N33"/>
    <mergeCell ref="O33:O33"/>
    <mergeCell ref="P33:P33"/>
    <mergeCell ref="Q33:Q33"/>
    <mergeCell ref="R33:R33"/>
    <mergeCell ref="S33:S33"/>
    <mergeCell ref="T33:T33"/>
    <mergeCell ref="U33:U33"/>
    <mergeCell ref="V33:V33"/>
    <mergeCell ref="W33:W33"/>
    <mergeCell ref="X33:X33"/>
    <mergeCell ref="Y33:Y33"/>
    <mergeCell ref="Z33:Z33"/>
    <mergeCell ref="AA33:AA33"/>
    <mergeCell ref="AB33:AB33"/>
    <mergeCell ref="AC33:AC33"/>
    <mergeCell ref="AD33:AD33"/>
    <mergeCell ref="AE33:AE33"/>
    <mergeCell ref="AF33:AF33"/>
    <mergeCell ref="AG33:AG33"/>
    <mergeCell ref="AH33:AH33"/>
    <mergeCell ref="AI33:AI33"/>
    <mergeCell ref="AJ33:AJ33"/>
    <mergeCell ref="AK33:AK33"/>
    <mergeCell ref="AL33:AL33"/>
    <mergeCell ref="AM33:AM33"/>
    <mergeCell ref="AN33:AN33"/>
    <mergeCell ref="AO33:AO33"/>
    <mergeCell ref="A34:A34"/>
    <mergeCell ref="B34:B34"/>
    <mergeCell ref="C34:C34"/>
    <mergeCell ref="D34:D34"/>
    <mergeCell ref="E34:E34"/>
    <mergeCell ref="F34:F34"/>
    <mergeCell ref="G34:G34"/>
    <mergeCell ref="H34:H34"/>
    <mergeCell ref="I34:I34"/>
    <mergeCell ref="J34:J34"/>
    <mergeCell ref="K34:K34"/>
    <mergeCell ref="L34:L34"/>
    <mergeCell ref="M34:M34"/>
    <mergeCell ref="N34:N34"/>
    <mergeCell ref="O34:O34"/>
    <mergeCell ref="P34:P34"/>
    <mergeCell ref="Q34:Q34"/>
    <mergeCell ref="R34:R34"/>
    <mergeCell ref="S34:S34"/>
    <mergeCell ref="T34:T34"/>
    <mergeCell ref="U34:U34"/>
    <mergeCell ref="V34:V34"/>
    <mergeCell ref="W34:W34"/>
    <mergeCell ref="X34:X34"/>
    <mergeCell ref="Y34:Y34"/>
    <mergeCell ref="Z34:Z34"/>
    <mergeCell ref="AA34:AA34"/>
    <mergeCell ref="AB34:AB34"/>
    <mergeCell ref="AC34:AC34"/>
    <mergeCell ref="AD34:AD34"/>
    <mergeCell ref="AE34:AE34"/>
    <mergeCell ref="AF34:AF34"/>
    <mergeCell ref="AG34:AG34"/>
    <mergeCell ref="AH34:AH34"/>
    <mergeCell ref="AI34:AI34"/>
    <mergeCell ref="AJ34:AJ34"/>
    <mergeCell ref="AK34:AK34"/>
    <mergeCell ref="AL34:AL34"/>
    <mergeCell ref="AM34:AM34"/>
    <mergeCell ref="AN34:AN34"/>
    <mergeCell ref="AO34:AO34"/>
    <mergeCell ref="A35:A35"/>
    <mergeCell ref="B35:B35"/>
    <mergeCell ref="C35:C35"/>
    <mergeCell ref="D35:D35"/>
    <mergeCell ref="E35:E35"/>
    <mergeCell ref="F35:F35"/>
    <mergeCell ref="G35:G35"/>
    <mergeCell ref="H35:H35"/>
    <mergeCell ref="I35:I35"/>
    <mergeCell ref="J35:J35"/>
    <mergeCell ref="K35:K35"/>
    <mergeCell ref="L35:L35"/>
    <mergeCell ref="M35:M35"/>
    <mergeCell ref="N35:N35"/>
    <mergeCell ref="O35:O35"/>
    <mergeCell ref="P35:P35"/>
    <mergeCell ref="Q35:Q35"/>
    <mergeCell ref="R35:R35"/>
    <mergeCell ref="S35:S35"/>
    <mergeCell ref="T35:T35"/>
    <mergeCell ref="U35:U35"/>
    <mergeCell ref="V35:V35"/>
    <mergeCell ref="W35:W35"/>
    <mergeCell ref="X35:X35"/>
    <mergeCell ref="Y35:Y35"/>
    <mergeCell ref="Z35:Z35"/>
    <mergeCell ref="AA35:AA35"/>
    <mergeCell ref="AB35:AB35"/>
    <mergeCell ref="AC35:AC35"/>
    <mergeCell ref="AD35:AD35"/>
    <mergeCell ref="AE35:AE35"/>
    <mergeCell ref="AF35:AF35"/>
    <mergeCell ref="AG35:AG35"/>
    <mergeCell ref="AH35:AH35"/>
    <mergeCell ref="AI35:AI35"/>
    <mergeCell ref="AJ35:AJ35"/>
    <mergeCell ref="AK35:AK35"/>
    <mergeCell ref="AL35:AL35"/>
    <mergeCell ref="AM35:AM35"/>
    <mergeCell ref="AN35:AN35"/>
    <mergeCell ref="AO35:AO35"/>
    <mergeCell ref="A36:A36"/>
    <mergeCell ref="B36:B36"/>
    <mergeCell ref="C36:C36"/>
    <mergeCell ref="D36:D36"/>
    <mergeCell ref="E36:E36"/>
    <mergeCell ref="F36:F36"/>
    <mergeCell ref="G36:G36"/>
    <mergeCell ref="H36:H36"/>
    <mergeCell ref="I36:I36"/>
    <mergeCell ref="J36:J36"/>
    <mergeCell ref="K36:K36"/>
    <mergeCell ref="L36:L36"/>
    <mergeCell ref="M36:M36"/>
    <mergeCell ref="N36:N36"/>
    <mergeCell ref="O36:O36"/>
    <mergeCell ref="P36:P36"/>
    <mergeCell ref="Q36:Q36"/>
    <mergeCell ref="R36:R36"/>
    <mergeCell ref="S36:S36"/>
    <mergeCell ref="T36:T36"/>
    <mergeCell ref="U36:U36"/>
    <mergeCell ref="V36:V36"/>
    <mergeCell ref="W36:W36"/>
    <mergeCell ref="X36:X36"/>
    <mergeCell ref="Y36:Y36"/>
    <mergeCell ref="Z36:Z36"/>
    <mergeCell ref="AA36:AA36"/>
    <mergeCell ref="AB36:AB36"/>
    <mergeCell ref="AC36:AC36"/>
    <mergeCell ref="AD36:AD36"/>
    <mergeCell ref="AE36:AE36"/>
    <mergeCell ref="AF36:AF36"/>
    <mergeCell ref="AG36:AG36"/>
    <mergeCell ref="AH36:AH36"/>
    <mergeCell ref="AI36:AI36"/>
    <mergeCell ref="AJ36:AJ36"/>
    <mergeCell ref="AK36:AK36"/>
    <mergeCell ref="AL36:AL36"/>
    <mergeCell ref="AM36:AM36"/>
    <mergeCell ref="AN36:AN36"/>
    <mergeCell ref="AO36:AO36"/>
    <mergeCell ref="A37:A37"/>
    <mergeCell ref="B37:B37"/>
    <mergeCell ref="C37:C37"/>
    <mergeCell ref="D37:D37"/>
    <mergeCell ref="E37:E37"/>
    <mergeCell ref="F37:F37"/>
    <mergeCell ref="G37:G37"/>
    <mergeCell ref="H37:H37"/>
    <mergeCell ref="I37:I37"/>
    <mergeCell ref="J37:J37"/>
    <mergeCell ref="K37:K37"/>
    <mergeCell ref="L37:L37"/>
    <mergeCell ref="M37:M37"/>
    <mergeCell ref="N37:N37"/>
    <mergeCell ref="O37:O37"/>
    <mergeCell ref="P37:P37"/>
    <mergeCell ref="Q37:Q37"/>
    <mergeCell ref="R37:R37"/>
    <mergeCell ref="S37:S37"/>
    <mergeCell ref="T37:T37"/>
    <mergeCell ref="U37:U37"/>
    <mergeCell ref="V37:V37"/>
    <mergeCell ref="W37:W37"/>
    <mergeCell ref="X37:X37"/>
    <mergeCell ref="Y37:Y37"/>
    <mergeCell ref="Z37:Z37"/>
    <mergeCell ref="AA37:AA37"/>
    <mergeCell ref="AB37:AB37"/>
    <mergeCell ref="AC37:AC37"/>
    <mergeCell ref="AD37:AD37"/>
    <mergeCell ref="AE37:AE37"/>
    <mergeCell ref="AF37:AF37"/>
    <mergeCell ref="AG37:AG37"/>
    <mergeCell ref="AH37:AH37"/>
    <mergeCell ref="AI37:AI37"/>
    <mergeCell ref="AJ37:AJ37"/>
    <mergeCell ref="AK37:AK37"/>
    <mergeCell ref="AL37:AL37"/>
    <mergeCell ref="AM37:AM37"/>
    <mergeCell ref="AN37:AN37"/>
    <mergeCell ref="AO37:AO37"/>
    <mergeCell ref="A38:A38"/>
    <mergeCell ref="B38:B38"/>
    <mergeCell ref="C38:C38"/>
    <mergeCell ref="D38:D38"/>
    <mergeCell ref="E38:E38"/>
    <mergeCell ref="F38:F38"/>
    <mergeCell ref="G38:G38"/>
    <mergeCell ref="H38:H38"/>
    <mergeCell ref="I38:I38"/>
    <mergeCell ref="J38:J38"/>
    <mergeCell ref="K38:K38"/>
    <mergeCell ref="L38:L38"/>
    <mergeCell ref="M38:M38"/>
    <mergeCell ref="N38:N38"/>
    <mergeCell ref="O38:O38"/>
    <mergeCell ref="P38:P38"/>
    <mergeCell ref="Q38:Q38"/>
    <mergeCell ref="R38:R38"/>
    <mergeCell ref="S38:S38"/>
    <mergeCell ref="T38:T38"/>
    <mergeCell ref="U38:U38"/>
    <mergeCell ref="V38:V38"/>
    <mergeCell ref="W38:W38"/>
    <mergeCell ref="X38:X38"/>
    <mergeCell ref="Y38:Y38"/>
    <mergeCell ref="Z38:Z38"/>
    <mergeCell ref="AA38:AA38"/>
    <mergeCell ref="AB38:AB38"/>
    <mergeCell ref="AC38:AC38"/>
    <mergeCell ref="AD38:AD38"/>
    <mergeCell ref="AE38:AE38"/>
    <mergeCell ref="AF38:AF38"/>
    <mergeCell ref="AG38:AG38"/>
    <mergeCell ref="AH38:AH38"/>
    <mergeCell ref="AI38:AI38"/>
    <mergeCell ref="AJ38:AJ38"/>
    <mergeCell ref="AK38:AK38"/>
    <mergeCell ref="AL38:AL38"/>
    <mergeCell ref="AM38:AM38"/>
    <mergeCell ref="AN38:AN38"/>
    <mergeCell ref="AO38:AO38"/>
    <mergeCell ref="A39:A39"/>
    <mergeCell ref="B39:B39"/>
    <mergeCell ref="C39:C39"/>
    <mergeCell ref="D39:D39"/>
    <mergeCell ref="E39:E39"/>
    <mergeCell ref="F39:F39"/>
    <mergeCell ref="G39:G39"/>
    <mergeCell ref="H39:H39"/>
    <mergeCell ref="I39:I39"/>
    <mergeCell ref="J39:J39"/>
    <mergeCell ref="K39:K39"/>
    <mergeCell ref="L39:L39"/>
    <mergeCell ref="M39:M39"/>
    <mergeCell ref="N39:N39"/>
    <mergeCell ref="O39:O39"/>
    <mergeCell ref="P39:P39"/>
    <mergeCell ref="Q39:Q39"/>
    <mergeCell ref="R39:R39"/>
    <mergeCell ref="S39:S39"/>
    <mergeCell ref="T39:T39"/>
    <mergeCell ref="U39:U39"/>
    <mergeCell ref="V39:V39"/>
    <mergeCell ref="W39:W39"/>
    <mergeCell ref="X39:X39"/>
    <mergeCell ref="Y39:Y39"/>
    <mergeCell ref="Z39:Z39"/>
    <mergeCell ref="AA39:AA39"/>
    <mergeCell ref="AB39:AB39"/>
    <mergeCell ref="AC39:AC39"/>
    <mergeCell ref="AD39:AD39"/>
    <mergeCell ref="AE39:AE39"/>
    <mergeCell ref="AF39:AF39"/>
    <mergeCell ref="AG39:AG39"/>
    <mergeCell ref="AH39:AH39"/>
    <mergeCell ref="AI39:AI39"/>
    <mergeCell ref="AJ39:AJ39"/>
    <mergeCell ref="AK39:AK39"/>
    <mergeCell ref="AL39:AL39"/>
    <mergeCell ref="AM39:AM39"/>
    <mergeCell ref="AN39:AN39"/>
    <mergeCell ref="AO39:AO39"/>
    <mergeCell ref="A40:A40"/>
    <mergeCell ref="B40:B40"/>
    <mergeCell ref="C40:C40"/>
    <mergeCell ref="D40:D40"/>
    <mergeCell ref="E40:E40"/>
    <mergeCell ref="F40:F40"/>
    <mergeCell ref="G40:G40"/>
    <mergeCell ref="H40:H40"/>
    <mergeCell ref="I40:I40"/>
    <mergeCell ref="J40:J40"/>
    <mergeCell ref="K40:K40"/>
    <mergeCell ref="L40:L40"/>
    <mergeCell ref="M40:M40"/>
    <mergeCell ref="N40:N40"/>
    <mergeCell ref="O40:O40"/>
    <mergeCell ref="P40:P40"/>
    <mergeCell ref="Q40:Q40"/>
    <mergeCell ref="R40:R40"/>
    <mergeCell ref="S40:S40"/>
    <mergeCell ref="T40:T40"/>
    <mergeCell ref="U40:U40"/>
    <mergeCell ref="V40:V40"/>
    <mergeCell ref="W40:W40"/>
    <mergeCell ref="X40:X40"/>
    <mergeCell ref="Y40:Y40"/>
    <mergeCell ref="Z40:Z40"/>
    <mergeCell ref="AA40:AA40"/>
    <mergeCell ref="AB40:AB40"/>
    <mergeCell ref="AC40:AC40"/>
    <mergeCell ref="AD40:AD40"/>
    <mergeCell ref="AE40:AE40"/>
    <mergeCell ref="AF40:AF40"/>
    <mergeCell ref="AG40:AG40"/>
    <mergeCell ref="AH40:AH40"/>
    <mergeCell ref="AI40:AI40"/>
    <mergeCell ref="AJ40:AJ40"/>
    <mergeCell ref="AK40:AK40"/>
    <mergeCell ref="AL40:AL40"/>
    <mergeCell ref="AM40:AM40"/>
    <mergeCell ref="AN40:AN40"/>
    <mergeCell ref="AO40:AO40"/>
    <mergeCell ref="A41:A41"/>
    <mergeCell ref="B41:B41"/>
    <mergeCell ref="C41:C41"/>
    <mergeCell ref="D41:D41"/>
    <mergeCell ref="E41:E41"/>
    <mergeCell ref="F41:F41"/>
    <mergeCell ref="G41:G41"/>
    <mergeCell ref="H41:H41"/>
    <mergeCell ref="I41:I41"/>
    <mergeCell ref="J41:J41"/>
    <mergeCell ref="K41:K41"/>
    <mergeCell ref="L41:L41"/>
    <mergeCell ref="M41:M41"/>
    <mergeCell ref="N41:N41"/>
    <mergeCell ref="O41:O41"/>
    <mergeCell ref="P41:P41"/>
    <mergeCell ref="Q41:Q41"/>
    <mergeCell ref="R41:R41"/>
    <mergeCell ref="S41:S41"/>
    <mergeCell ref="T41:T41"/>
    <mergeCell ref="U41:U41"/>
    <mergeCell ref="V41:V41"/>
    <mergeCell ref="W41:W41"/>
    <mergeCell ref="X41:X41"/>
    <mergeCell ref="Y41:Y41"/>
    <mergeCell ref="Z41:Z41"/>
    <mergeCell ref="AA41:AA41"/>
    <mergeCell ref="AB41:AB41"/>
    <mergeCell ref="AC41:AC41"/>
    <mergeCell ref="AD41:AD41"/>
    <mergeCell ref="AE41:AE41"/>
    <mergeCell ref="AF41:AF41"/>
    <mergeCell ref="AG41:AG41"/>
    <mergeCell ref="AH41:AH41"/>
    <mergeCell ref="AI41:AI41"/>
    <mergeCell ref="AJ41:AJ41"/>
    <mergeCell ref="AK41:AK41"/>
    <mergeCell ref="AL41:AL41"/>
    <mergeCell ref="AM41:AM41"/>
    <mergeCell ref="AN41:AN41"/>
    <mergeCell ref="AO41:AO41"/>
    <mergeCell ref="A42:A42"/>
    <mergeCell ref="B42:B42"/>
    <mergeCell ref="C42:C42"/>
    <mergeCell ref="D42:D42"/>
    <mergeCell ref="E42:E42"/>
    <mergeCell ref="F42:F42"/>
    <mergeCell ref="G42:G42"/>
    <mergeCell ref="H42:H42"/>
    <mergeCell ref="I42:I42"/>
    <mergeCell ref="J42:J42"/>
    <mergeCell ref="K42:K42"/>
    <mergeCell ref="L42:L42"/>
    <mergeCell ref="M42:M42"/>
    <mergeCell ref="N42:N42"/>
    <mergeCell ref="O42:O42"/>
    <mergeCell ref="P42:P42"/>
    <mergeCell ref="Q42:Q42"/>
    <mergeCell ref="R42:R42"/>
    <mergeCell ref="S42:S42"/>
    <mergeCell ref="T42:T42"/>
    <mergeCell ref="U42:U42"/>
    <mergeCell ref="V42:V42"/>
    <mergeCell ref="W42:W42"/>
    <mergeCell ref="X42:X42"/>
    <mergeCell ref="Y42:Y42"/>
    <mergeCell ref="Z42:Z42"/>
    <mergeCell ref="AA42:AA42"/>
    <mergeCell ref="AB42:AB42"/>
    <mergeCell ref="AC42:AC42"/>
    <mergeCell ref="AD42:AD42"/>
    <mergeCell ref="AE42:AE42"/>
    <mergeCell ref="AF42:AF42"/>
    <mergeCell ref="AG42:AG42"/>
    <mergeCell ref="AH42:AH42"/>
    <mergeCell ref="AI42:AI42"/>
    <mergeCell ref="AJ42:AJ42"/>
    <mergeCell ref="AK42:AK42"/>
    <mergeCell ref="AL42:AL42"/>
    <mergeCell ref="AM42:AM42"/>
    <mergeCell ref="AN42:AN42"/>
    <mergeCell ref="AO42:AO42"/>
    <mergeCell ref="A43:A43"/>
    <mergeCell ref="B43:B43"/>
    <mergeCell ref="C43:C43"/>
    <mergeCell ref="D43:D43"/>
    <mergeCell ref="E43:E43"/>
    <mergeCell ref="F43:F43"/>
    <mergeCell ref="G43:G43"/>
    <mergeCell ref="H43:H43"/>
    <mergeCell ref="I43:I43"/>
    <mergeCell ref="J43:J43"/>
    <mergeCell ref="K43:K43"/>
    <mergeCell ref="L43:L43"/>
    <mergeCell ref="M43:M43"/>
    <mergeCell ref="N43:N43"/>
    <mergeCell ref="O43:O43"/>
    <mergeCell ref="P43:P43"/>
    <mergeCell ref="Q43:Q43"/>
    <mergeCell ref="R43:R43"/>
    <mergeCell ref="S43:S43"/>
    <mergeCell ref="T43:T43"/>
    <mergeCell ref="U43:U43"/>
    <mergeCell ref="V43:V43"/>
    <mergeCell ref="W43:W43"/>
    <mergeCell ref="X43:X43"/>
    <mergeCell ref="Y43:Y43"/>
    <mergeCell ref="Z43:Z43"/>
    <mergeCell ref="AA43:AA43"/>
    <mergeCell ref="AB43:AB43"/>
    <mergeCell ref="AC43:AC43"/>
    <mergeCell ref="AD43:AD43"/>
    <mergeCell ref="AE43:AE43"/>
    <mergeCell ref="AF43:AF43"/>
    <mergeCell ref="AG43:AG43"/>
    <mergeCell ref="AH43:AH43"/>
    <mergeCell ref="AI43:AI43"/>
    <mergeCell ref="AJ43:AJ43"/>
    <mergeCell ref="AK43:AK43"/>
    <mergeCell ref="AL43:AL43"/>
    <mergeCell ref="AM43:AM43"/>
    <mergeCell ref="AN43:AN43"/>
    <mergeCell ref="AO43:AO43"/>
    <mergeCell ref="A44:A44"/>
    <mergeCell ref="B44:B44"/>
    <mergeCell ref="C44:C44"/>
    <mergeCell ref="D44:D44"/>
    <mergeCell ref="E44:E44"/>
    <mergeCell ref="F44:F44"/>
    <mergeCell ref="G44:G44"/>
    <mergeCell ref="H44:H44"/>
    <mergeCell ref="I44:I44"/>
    <mergeCell ref="J44:J44"/>
    <mergeCell ref="K44:K44"/>
    <mergeCell ref="L44:L44"/>
    <mergeCell ref="M44:M44"/>
    <mergeCell ref="N44:N44"/>
    <mergeCell ref="O44:O44"/>
    <mergeCell ref="P44:P44"/>
    <mergeCell ref="Q44:Q44"/>
    <mergeCell ref="R44:R44"/>
    <mergeCell ref="S44:S44"/>
    <mergeCell ref="T44:T44"/>
    <mergeCell ref="U44:U44"/>
    <mergeCell ref="V44:V44"/>
    <mergeCell ref="W44:W44"/>
    <mergeCell ref="X44:X44"/>
    <mergeCell ref="Y44:Y44"/>
    <mergeCell ref="Z44:Z44"/>
    <mergeCell ref="AA44:AA44"/>
    <mergeCell ref="AB44:AB44"/>
    <mergeCell ref="AC44:AC44"/>
    <mergeCell ref="AD44:AD44"/>
    <mergeCell ref="AE44:AE44"/>
    <mergeCell ref="AF44:AF44"/>
    <mergeCell ref="AG44:AG44"/>
    <mergeCell ref="AH44:AH44"/>
    <mergeCell ref="AI44:AI44"/>
    <mergeCell ref="AJ44:AJ44"/>
    <mergeCell ref="AK44:AK44"/>
    <mergeCell ref="AL44:AL44"/>
    <mergeCell ref="AM44:AM44"/>
    <mergeCell ref="AN44:AN44"/>
    <mergeCell ref="AO44:AO44"/>
    <mergeCell ref="A45:A45"/>
    <mergeCell ref="B45:B45"/>
    <mergeCell ref="C45:C45"/>
    <mergeCell ref="D45:D45"/>
    <mergeCell ref="E45:E45"/>
    <mergeCell ref="F45:F45"/>
    <mergeCell ref="G45:G45"/>
    <mergeCell ref="H45:H45"/>
    <mergeCell ref="I45:I45"/>
    <mergeCell ref="J45:J45"/>
    <mergeCell ref="K45:K45"/>
    <mergeCell ref="L45:L45"/>
    <mergeCell ref="M45:M45"/>
    <mergeCell ref="N45:N45"/>
    <mergeCell ref="O45:O45"/>
    <mergeCell ref="P45:P45"/>
    <mergeCell ref="Q45:Q45"/>
    <mergeCell ref="R45:R45"/>
    <mergeCell ref="S45:S45"/>
    <mergeCell ref="T45:T45"/>
    <mergeCell ref="U45:U45"/>
    <mergeCell ref="V45:V45"/>
    <mergeCell ref="W45:W45"/>
    <mergeCell ref="X45:X45"/>
    <mergeCell ref="Y45:Y45"/>
    <mergeCell ref="Z45:Z45"/>
    <mergeCell ref="AA45:AA45"/>
    <mergeCell ref="AB45:AB45"/>
    <mergeCell ref="AC45:AC45"/>
    <mergeCell ref="AD45:AD45"/>
    <mergeCell ref="AE45:AE45"/>
    <mergeCell ref="AF45:AF45"/>
    <mergeCell ref="AG45:AG45"/>
    <mergeCell ref="AH45:AH45"/>
    <mergeCell ref="AI45:AI45"/>
    <mergeCell ref="AJ45:AJ45"/>
    <mergeCell ref="AK45:AK45"/>
    <mergeCell ref="AL45:AL45"/>
    <mergeCell ref="AM45:AM45"/>
    <mergeCell ref="AN45:AN45"/>
    <mergeCell ref="AO45:AO45"/>
    <mergeCell ref="A46:A46"/>
    <mergeCell ref="B46:B46"/>
    <mergeCell ref="C46:C46"/>
    <mergeCell ref="D46:D46"/>
    <mergeCell ref="E46:E46"/>
    <mergeCell ref="F46:F46"/>
    <mergeCell ref="G46:G46"/>
    <mergeCell ref="H46:H46"/>
    <mergeCell ref="I46:I46"/>
    <mergeCell ref="J46:J46"/>
    <mergeCell ref="K46:K46"/>
    <mergeCell ref="L46:L46"/>
    <mergeCell ref="M46:M46"/>
    <mergeCell ref="N46:N46"/>
    <mergeCell ref="O46:O46"/>
    <mergeCell ref="P46:P46"/>
    <mergeCell ref="Q46:Q46"/>
    <mergeCell ref="R46:R46"/>
    <mergeCell ref="S46:S46"/>
    <mergeCell ref="T46:T46"/>
    <mergeCell ref="U46:U46"/>
    <mergeCell ref="V46:V46"/>
    <mergeCell ref="W46:W46"/>
    <mergeCell ref="X46:X46"/>
    <mergeCell ref="Y46:Y46"/>
    <mergeCell ref="Z46:Z46"/>
    <mergeCell ref="AA46:AA46"/>
    <mergeCell ref="AB46:AB46"/>
    <mergeCell ref="AC46:AC46"/>
    <mergeCell ref="AD46:AD46"/>
    <mergeCell ref="AE46:AE46"/>
    <mergeCell ref="AF46:AF46"/>
    <mergeCell ref="AG46:AG46"/>
    <mergeCell ref="AH46:AH46"/>
    <mergeCell ref="AI46:AI46"/>
    <mergeCell ref="AJ46:AJ46"/>
    <mergeCell ref="AK46:AK46"/>
    <mergeCell ref="AL46:AL46"/>
    <mergeCell ref="AM46:AM46"/>
    <mergeCell ref="AN46:AN46"/>
    <mergeCell ref="AO46:AO46"/>
    <mergeCell ref="A47:A47"/>
    <mergeCell ref="B47:B47"/>
    <mergeCell ref="C47:C47"/>
    <mergeCell ref="D47:D47"/>
    <mergeCell ref="E47:E47"/>
    <mergeCell ref="F47:F47"/>
    <mergeCell ref="G47:G47"/>
    <mergeCell ref="H47:H47"/>
    <mergeCell ref="I47:I47"/>
    <mergeCell ref="J47:J47"/>
    <mergeCell ref="K47:K47"/>
    <mergeCell ref="L47:L47"/>
    <mergeCell ref="M47:M47"/>
    <mergeCell ref="N47:N47"/>
    <mergeCell ref="O47:O47"/>
    <mergeCell ref="P47:P47"/>
    <mergeCell ref="Q47:Q47"/>
    <mergeCell ref="R47:R47"/>
    <mergeCell ref="S47:S47"/>
    <mergeCell ref="T47:T47"/>
    <mergeCell ref="U47:U47"/>
    <mergeCell ref="V47:V47"/>
    <mergeCell ref="W47:W47"/>
    <mergeCell ref="X47:X47"/>
    <mergeCell ref="Y47:Y47"/>
    <mergeCell ref="Z47:Z47"/>
    <mergeCell ref="AA47:AA47"/>
    <mergeCell ref="AB47:AB47"/>
    <mergeCell ref="AC47:AC47"/>
    <mergeCell ref="AD47:AD47"/>
    <mergeCell ref="AE47:AE47"/>
    <mergeCell ref="AF47:AF47"/>
    <mergeCell ref="AG47:AG47"/>
    <mergeCell ref="AH47:AH47"/>
    <mergeCell ref="AI47:AI47"/>
    <mergeCell ref="AJ47:AJ47"/>
    <mergeCell ref="AK47:AK47"/>
    <mergeCell ref="AL47:AL47"/>
    <mergeCell ref="AM47:AM47"/>
    <mergeCell ref="AN47:AN47"/>
    <mergeCell ref="AO47:AO47"/>
    <mergeCell ref="A48:A48"/>
    <mergeCell ref="B48:B48"/>
    <mergeCell ref="C48:C48"/>
    <mergeCell ref="D48:D48"/>
    <mergeCell ref="E48:E48"/>
    <mergeCell ref="F48:F48"/>
    <mergeCell ref="G48:G48"/>
    <mergeCell ref="H48:H48"/>
    <mergeCell ref="I48:I48"/>
    <mergeCell ref="J48:J48"/>
    <mergeCell ref="K48:K48"/>
    <mergeCell ref="L48:L48"/>
    <mergeCell ref="M48:M48"/>
    <mergeCell ref="N48:N48"/>
    <mergeCell ref="O48:O48"/>
    <mergeCell ref="P48:P48"/>
    <mergeCell ref="Q48:Q48"/>
    <mergeCell ref="R48:R48"/>
    <mergeCell ref="S48:S48"/>
    <mergeCell ref="T48:T48"/>
    <mergeCell ref="U48:U48"/>
    <mergeCell ref="V48:V48"/>
    <mergeCell ref="W48:W48"/>
    <mergeCell ref="X48:X48"/>
    <mergeCell ref="Y48:Y48"/>
    <mergeCell ref="Z48:Z48"/>
    <mergeCell ref="AA48:AA48"/>
    <mergeCell ref="AB48:AB48"/>
    <mergeCell ref="AC48:AC48"/>
    <mergeCell ref="AD48:AD48"/>
    <mergeCell ref="AE48:AE48"/>
    <mergeCell ref="AF48:AF48"/>
    <mergeCell ref="AG48:AG48"/>
    <mergeCell ref="AH48:AH48"/>
    <mergeCell ref="AI48:AI48"/>
    <mergeCell ref="AJ48:AJ48"/>
    <mergeCell ref="AK48:AK48"/>
    <mergeCell ref="AL48:AL48"/>
    <mergeCell ref="AM48:AM48"/>
    <mergeCell ref="AN48:AN48"/>
    <mergeCell ref="AO48:AO48"/>
    <mergeCell ref="A49:A49"/>
    <mergeCell ref="B49:B49"/>
    <mergeCell ref="C49:C49"/>
    <mergeCell ref="D49:D49"/>
    <mergeCell ref="E49:E49"/>
    <mergeCell ref="F49:F49"/>
    <mergeCell ref="G49:G49"/>
    <mergeCell ref="H49:H49"/>
    <mergeCell ref="I49:I49"/>
    <mergeCell ref="J49:J49"/>
    <mergeCell ref="K49:K49"/>
    <mergeCell ref="L49:L49"/>
    <mergeCell ref="M49:M49"/>
    <mergeCell ref="N49:N49"/>
    <mergeCell ref="O49:O49"/>
    <mergeCell ref="P49:P49"/>
    <mergeCell ref="Q49:Q49"/>
    <mergeCell ref="R49:R49"/>
    <mergeCell ref="S49:S49"/>
    <mergeCell ref="T49:T49"/>
    <mergeCell ref="U49:U49"/>
    <mergeCell ref="V49:V49"/>
    <mergeCell ref="W49:W49"/>
    <mergeCell ref="X49:X49"/>
    <mergeCell ref="Y49:Y49"/>
    <mergeCell ref="Z49:Z49"/>
    <mergeCell ref="AA49:AA49"/>
    <mergeCell ref="AB49:AB49"/>
    <mergeCell ref="AC49:AC49"/>
    <mergeCell ref="AD49:AD49"/>
    <mergeCell ref="AE49:AE49"/>
    <mergeCell ref="AF49:AF49"/>
    <mergeCell ref="AG49:AG49"/>
    <mergeCell ref="AH49:AH49"/>
    <mergeCell ref="AI49:AI49"/>
    <mergeCell ref="AJ49:AJ49"/>
    <mergeCell ref="AK49:AK49"/>
    <mergeCell ref="AL49:AL49"/>
    <mergeCell ref="AM49:AM49"/>
    <mergeCell ref="AN49:AN49"/>
    <mergeCell ref="AO49:AO49"/>
    <mergeCell ref="A50:A50"/>
    <mergeCell ref="B50:B50"/>
    <mergeCell ref="C50:C50"/>
    <mergeCell ref="D50:D50"/>
    <mergeCell ref="E50:E50"/>
    <mergeCell ref="F50:F50"/>
    <mergeCell ref="G50:G50"/>
    <mergeCell ref="H50:H50"/>
    <mergeCell ref="I50:I50"/>
    <mergeCell ref="J50:J50"/>
    <mergeCell ref="K50:K50"/>
    <mergeCell ref="L50:L50"/>
    <mergeCell ref="M50:M50"/>
    <mergeCell ref="N50:N50"/>
    <mergeCell ref="O50:O50"/>
    <mergeCell ref="P50:P50"/>
    <mergeCell ref="Q50:Q50"/>
    <mergeCell ref="R50:R50"/>
    <mergeCell ref="S50:S50"/>
    <mergeCell ref="T50:T50"/>
    <mergeCell ref="U50:U50"/>
    <mergeCell ref="V50:V50"/>
    <mergeCell ref="W50:W50"/>
    <mergeCell ref="X50:X50"/>
    <mergeCell ref="Y50:Y50"/>
    <mergeCell ref="Z50:Z50"/>
    <mergeCell ref="AA50:AA50"/>
    <mergeCell ref="AB50:AB50"/>
    <mergeCell ref="AC50:AC50"/>
    <mergeCell ref="AD50:AD50"/>
    <mergeCell ref="AE50:AE50"/>
    <mergeCell ref="AF50:AF50"/>
    <mergeCell ref="AG50:AG50"/>
    <mergeCell ref="AH50:AH50"/>
    <mergeCell ref="AI50:AI50"/>
    <mergeCell ref="AJ50:AJ50"/>
    <mergeCell ref="AK50:AK50"/>
    <mergeCell ref="AL50:AL50"/>
    <mergeCell ref="AM50:AM50"/>
    <mergeCell ref="AN50:AN50"/>
    <mergeCell ref="AO50:AO50"/>
    <mergeCell ref="A51:A51"/>
    <mergeCell ref="B51:B51"/>
    <mergeCell ref="C51:C51"/>
    <mergeCell ref="D51:D51"/>
    <mergeCell ref="E51:E51"/>
    <mergeCell ref="F51:F51"/>
    <mergeCell ref="G51:G51"/>
    <mergeCell ref="H51:H51"/>
    <mergeCell ref="I51:I51"/>
    <mergeCell ref="J51:J51"/>
    <mergeCell ref="K51:K51"/>
    <mergeCell ref="L51:L51"/>
    <mergeCell ref="M51:M51"/>
    <mergeCell ref="N51:N51"/>
    <mergeCell ref="O51:O51"/>
    <mergeCell ref="P51:P51"/>
    <mergeCell ref="Q51:Q51"/>
    <mergeCell ref="R51:R51"/>
    <mergeCell ref="S51:S51"/>
    <mergeCell ref="T51:T51"/>
    <mergeCell ref="U51:U51"/>
    <mergeCell ref="V51:V51"/>
    <mergeCell ref="W51:W51"/>
    <mergeCell ref="X51:X51"/>
    <mergeCell ref="Y51:Y51"/>
    <mergeCell ref="Z51:Z51"/>
    <mergeCell ref="AA51:AA51"/>
    <mergeCell ref="AB51:AB51"/>
    <mergeCell ref="AC51:AC51"/>
    <mergeCell ref="AD51:AD51"/>
    <mergeCell ref="AE51:AE51"/>
    <mergeCell ref="AF51:AF51"/>
    <mergeCell ref="AG51:AG51"/>
    <mergeCell ref="AH51:AH51"/>
    <mergeCell ref="AI51:AI51"/>
    <mergeCell ref="AJ51:AJ51"/>
    <mergeCell ref="AK51:AK51"/>
    <mergeCell ref="AL51:AL51"/>
    <mergeCell ref="AM51:AM51"/>
    <mergeCell ref="AN51:AN51"/>
    <mergeCell ref="AO51:AO51"/>
    <mergeCell ref="A52:A52"/>
    <mergeCell ref="B52:B52"/>
    <mergeCell ref="C52:C52"/>
    <mergeCell ref="D52:D52"/>
    <mergeCell ref="E52:E52"/>
    <mergeCell ref="F52:F52"/>
    <mergeCell ref="G52:G52"/>
    <mergeCell ref="H52:H52"/>
    <mergeCell ref="I52:I52"/>
    <mergeCell ref="J52:J52"/>
    <mergeCell ref="K52:K52"/>
    <mergeCell ref="L52:L52"/>
    <mergeCell ref="M52:M52"/>
    <mergeCell ref="N52:N52"/>
    <mergeCell ref="O52:O52"/>
    <mergeCell ref="P52:P52"/>
    <mergeCell ref="Q52:Q52"/>
    <mergeCell ref="R52:R52"/>
    <mergeCell ref="S52:S52"/>
    <mergeCell ref="T52:T52"/>
    <mergeCell ref="U52:U52"/>
    <mergeCell ref="V52:V52"/>
    <mergeCell ref="W52:W52"/>
    <mergeCell ref="X52:X52"/>
    <mergeCell ref="Y52:Y52"/>
    <mergeCell ref="Z52:Z52"/>
    <mergeCell ref="AA52:AA52"/>
    <mergeCell ref="AB52:AB52"/>
    <mergeCell ref="AC52:AC52"/>
    <mergeCell ref="AD52:AD52"/>
    <mergeCell ref="AE52:AE52"/>
    <mergeCell ref="AF52:AF52"/>
    <mergeCell ref="AG52:AG52"/>
    <mergeCell ref="AH52:AH52"/>
    <mergeCell ref="AI52:AI52"/>
    <mergeCell ref="AJ52:AJ52"/>
    <mergeCell ref="AK52:AK52"/>
    <mergeCell ref="AL52:AL52"/>
    <mergeCell ref="AM52:AM52"/>
    <mergeCell ref="AN52:AN52"/>
    <mergeCell ref="AO52:AO52"/>
    <mergeCell ref="A53:A53"/>
    <mergeCell ref="B53:B53"/>
    <mergeCell ref="C53:C53"/>
    <mergeCell ref="D53:D53"/>
    <mergeCell ref="E53:E53"/>
    <mergeCell ref="F53:F53"/>
    <mergeCell ref="G53:G53"/>
    <mergeCell ref="H53:H53"/>
    <mergeCell ref="I53:I53"/>
    <mergeCell ref="J53:J53"/>
    <mergeCell ref="K53:K53"/>
    <mergeCell ref="L53:L53"/>
    <mergeCell ref="M53:M53"/>
    <mergeCell ref="N53:N53"/>
    <mergeCell ref="O53:O53"/>
    <mergeCell ref="P53:P53"/>
    <mergeCell ref="Q53:Q53"/>
    <mergeCell ref="R53:R53"/>
    <mergeCell ref="S53:S53"/>
    <mergeCell ref="T53:T53"/>
    <mergeCell ref="U53:U53"/>
    <mergeCell ref="V53:V53"/>
    <mergeCell ref="W53:W53"/>
    <mergeCell ref="X53:X53"/>
    <mergeCell ref="Y53:Y53"/>
    <mergeCell ref="Z53:Z53"/>
    <mergeCell ref="AA53:AA53"/>
    <mergeCell ref="AB53:AB53"/>
    <mergeCell ref="AC53:AC53"/>
    <mergeCell ref="AD53:AD53"/>
    <mergeCell ref="AE53:AE53"/>
    <mergeCell ref="AF53:AF53"/>
    <mergeCell ref="AG53:AG53"/>
    <mergeCell ref="AH53:AH53"/>
    <mergeCell ref="AI53:AI53"/>
    <mergeCell ref="AJ53:AJ53"/>
    <mergeCell ref="AK53:AK53"/>
    <mergeCell ref="AL53:AL53"/>
    <mergeCell ref="AM53:AM53"/>
    <mergeCell ref="AN53:AN53"/>
    <mergeCell ref="AO53:AO53"/>
    <mergeCell ref="A54:A54"/>
    <mergeCell ref="B54:B54"/>
    <mergeCell ref="C54:C54"/>
    <mergeCell ref="D54:D54"/>
    <mergeCell ref="E54:E54"/>
    <mergeCell ref="F54:F54"/>
    <mergeCell ref="G54:G54"/>
    <mergeCell ref="H54:H54"/>
    <mergeCell ref="I54:I54"/>
    <mergeCell ref="J54:J54"/>
    <mergeCell ref="K54:K54"/>
    <mergeCell ref="L54:L54"/>
    <mergeCell ref="M54:M54"/>
    <mergeCell ref="N54:N54"/>
    <mergeCell ref="O54:O54"/>
    <mergeCell ref="P54:P54"/>
    <mergeCell ref="Q54:Q54"/>
    <mergeCell ref="R54:R54"/>
    <mergeCell ref="S54:S54"/>
    <mergeCell ref="T54:T54"/>
    <mergeCell ref="U54:U54"/>
    <mergeCell ref="V54:V54"/>
    <mergeCell ref="W54:W54"/>
    <mergeCell ref="X54:X54"/>
    <mergeCell ref="Y54:Y54"/>
    <mergeCell ref="Z54:Z54"/>
    <mergeCell ref="AA54:AA54"/>
    <mergeCell ref="AB54:AB54"/>
    <mergeCell ref="AC54:AC54"/>
    <mergeCell ref="AD54:AD54"/>
    <mergeCell ref="AE54:AE54"/>
    <mergeCell ref="AF54:AF54"/>
    <mergeCell ref="AG54:AG54"/>
    <mergeCell ref="AH54:AH54"/>
    <mergeCell ref="AI54:AI54"/>
    <mergeCell ref="AJ54:AJ54"/>
    <mergeCell ref="AK54:AK54"/>
    <mergeCell ref="AL54:AL54"/>
    <mergeCell ref="AM54:AM54"/>
    <mergeCell ref="AN54:AN54"/>
    <mergeCell ref="AO54:AO54"/>
    <mergeCell ref="A55:A55"/>
    <mergeCell ref="B55:B55"/>
    <mergeCell ref="C55:C55"/>
    <mergeCell ref="D55:D55"/>
    <mergeCell ref="E55:E55"/>
    <mergeCell ref="F55:F55"/>
    <mergeCell ref="G55:G55"/>
    <mergeCell ref="H55:H55"/>
    <mergeCell ref="I55:I55"/>
    <mergeCell ref="J55:J55"/>
    <mergeCell ref="K55:K55"/>
    <mergeCell ref="L55:L55"/>
    <mergeCell ref="M55:M55"/>
    <mergeCell ref="N55:N55"/>
    <mergeCell ref="O55:O55"/>
    <mergeCell ref="P55:P55"/>
    <mergeCell ref="Q55:Q55"/>
    <mergeCell ref="R55:R55"/>
    <mergeCell ref="S55:S55"/>
    <mergeCell ref="T55:T55"/>
    <mergeCell ref="U55:U55"/>
    <mergeCell ref="V55:V55"/>
    <mergeCell ref="W55:W55"/>
    <mergeCell ref="X55:X55"/>
    <mergeCell ref="Y55:Y55"/>
    <mergeCell ref="Z55:Z55"/>
    <mergeCell ref="AA55:AA55"/>
    <mergeCell ref="AB55:AB55"/>
    <mergeCell ref="AC55:AC55"/>
    <mergeCell ref="AD55:AD55"/>
    <mergeCell ref="AE55:AE55"/>
    <mergeCell ref="AF55:AF55"/>
    <mergeCell ref="AG55:AG55"/>
    <mergeCell ref="AH55:AH55"/>
    <mergeCell ref="AI55:AI55"/>
    <mergeCell ref="AJ55:AJ55"/>
    <mergeCell ref="AK55:AK55"/>
    <mergeCell ref="AL55:AL55"/>
    <mergeCell ref="AM55:AM55"/>
    <mergeCell ref="AN55:AN55"/>
    <mergeCell ref="AO55:AO55"/>
    <mergeCell ref="A56:A56"/>
    <mergeCell ref="B56:B56"/>
    <mergeCell ref="C56:C56"/>
    <mergeCell ref="D56:D56"/>
    <mergeCell ref="E56:E56"/>
    <mergeCell ref="F56:F56"/>
    <mergeCell ref="G56:G56"/>
    <mergeCell ref="H56:H56"/>
    <mergeCell ref="I56:I56"/>
    <mergeCell ref="J56:J56"/>
    <mergeCell ref="K56:K56"/>
    <mergeCell ref="L56:L56"/>
    <mergeCell ref="M56:M56"/>
    <mergeCell ref="N56:N56"/>
    <mergeCell ref="O56:O56"/>
    <mergeCell ref="P56:P56"/>
    <mergeCell ref="Q56:Q56"/>
    <mergeCell ref="R56:R56"/>
    <mergeCell ref="S56:S56"/>
    <mergeCell ref="T56:T56"/>
    <mergeCell ref="U56:U56"/>
    <mergeCell ref="V56:V56"/>
    <mergeCell ref="W56:W56"/>
    <mergeCell ref="X56:X56"/>
    <mergeCell ref="Y56:Y56"/>
    <mergeCell ref="Z56:Z56"/>
    <mergeCell ref="AA56:AA56"/>
    <mergeCell ref="AB56:AB56"/>
    <mergeCell ref="AC56:AC56"/>
    <mergeCell ref="AD56:AD56"/>
    <mergeCell ref="AE56:AE56"/>
    <mergeCell ref="AF56:AF56"/>
    <mergeCell ref="AG56:AG56"/>
    <mergeCell ref="AH56:AH56"/>
    <mergeCell ref="AI56:AI56"/>
    <mergeCell ref="AJ56:AJ56"/>
    <mergeCell ref="AK56:AK56"/>
    <mergeCell ref="AL56:AL56"/>
    <mergeCell ref="AM56:AM56"/>
    <mergeCell ref="AN56:AN56"/>
    <mergeCell ref="AO56:AO56"/>
    <mergeCell ref="A57:A57"/>
    <mergeCell ref="B57:B57"/>
    <mergeCell ref="C57:C57"/>
    <mergeCell ref="D57:D57"/>
    <mergeCell ref="E57:E57"/>
    <mergeCell ref="F57:F57"/>
    <mergeCell ref="G57:G57"/>
    <mergeCell ref="H57:H57"/>
    <mergeCell ref="I57:I57"/>
    <mergeCell ref="J57:J57"/>
    <mergeCell ref="K57:K57"/>
    <mergeCell ref="L57:L57"/>
    <mergeCell ref="M57:M57"/>
    <mergeCell ref="N57:N57"/>
    <mergeCell ref="O57:O57"/>
    <mergeCell ref="P57:P57"/>
    <mergeCell ref="Q57:Q57"/>
    <mergeCell ref="R57:R57"/>
    <mergeCell ref="S57:S57"/>
    <mergeCell ref="T57:T57"/>
    <mergeCell ref="U57:U57"/>
    <mergeCell ref="V57:V57"/>
    <mergeCell ref="W57:W57"/>
    <mergeCell ref="X57:X57"/>
    <mergeCell ref="Y57:Y57"/>
    <mergeCell ref="Z57:Z57"/>
    <mergeCell ref="AA57:AA57"/>
    <mergeCell ref="AB57:AB57"/>
    <mergeCell ref="AC57:AC57"/>
    <mergeCell ref="AD57:AD57"/>
    <mergeCell ref="AE57:AE57"/>
    <mergeCell ref="AF57:AF57"/>
    <mergeCell ref="AG57:AG57"/>
    <mergeCell ref="AH57:AH57"/>
    <mergeCell ref="AI57:AI57"/>
    <mergeCell ref="AJ57:AJ57"/>
    <mergeCell ref="AK57:AK57"/>
    <mergeCell ref="AL57:AL57"/>
    <mergeCell ref="AM57:AM57"/>
    <mergeCell ref="AN57:AN57"/>
    <mergeCell ref="AO57:AO57"/>
    <mergeCell ref="A58:A58"/>
    <mergeCell ref="B58:B58"/>
    <mergeCell ref="C58:C58"/>
    <mergeCell ref="D58:D58"/>
    <mergeCell ref="E58:E58"/>
    <mergeCell ref="F58:F58"/>
    <mergeCell ref="G58:G58"/>
    <mergeCell ref="H58:H58"/>
    <mergeCell ref="I58:I58"/>
    <mergeCell ref="J58:J58"/>
    <mergeCell ref="K58:K58"/>
    <mergeCell ref="L58:L58"/>
    <mergeCell ref="M58:M58"/>
    <mergeCell ref="N58:N58"/>
    <mergeCell ref="O58:O58"/>
    <mergeCell ref="P58:P58"/>
    <mergeCell ref="Q58:Q58"/>
    <mergeCell ref="R58:R58"/>
    <mergeCell ref="S58:S58"/>
    <mergeCell ref="T58:T58"/>
    <mergeCell ref="U58:U58"/>
    <mergeCell ref="V58:V58"/>
    <mergeCell ref="W58:W58"/>
    <mergeCell ref="X58:X58"/>
    <mergeCell ref="Y58:Y58"/>
    <mergeCell ref="Z58:Z58"/>
    <mergeCell ref="AA58:AA58"/>
    <mergeCell ref="AB58:AB58"/>
    <mergeCell ref="AC58:AC58"/>
    <mergeCell ref="AD58:AD58"/>
    <mergeCell ref="AE58:AE58"/>
    <mergeCell ref="AF58:AF58"/>
    <mergeCell ref="AG58:AG58"/>
    <mergeCell ref="AH58:AH58"/>
    <mergeCell ref="AI58:AI58"/>
    <mergeCell ref="AJ58:AJ58"/>
    <mergeCell ref="AK58:AK58"/>
    <mergeCell ref="AL58:AL58"/>
    <mergeCell ref="AM58:AM58"/>
    <mergeCell ref="AN58:AN58"/>
    <mergeCell ref="AO58:AO58"/>
    <mergeCell ref="A59:A59"/>
    <mergeCell ref="B59:B59"/>
    <mergeCell ref="C59:C59"/>
    <mergeCell ref="D59:D59"/>
    <mergeCell ref="E59:E59"/>
    <mergeCell ref="F59:F59"/>
    <mergeCell ref="G59:G59"/>
    <mergeCell ref="H59:H59"/>
    <mergeCell ref="I59:I59"/>
    <mergeCell ref="J59:J59"/>
    <mergeCell ref="K59:K59"/>
    <mergeCell ref="L59:L59"/>
    <mergeCell ref="M59:M59"/>
    <mergeCell ref="N59:N59"/>
    <mergeCell ref="O59:O59"/>
    <mergeCell ref="P59:P59"/>
    <mergeCell ref="Q59:Q59"/>
    <mergeCell ref="R59:R59"/>
    <mergeCell ref="S59:S59"/>
    <mergeCell ref="T59:T59"/>
    <mergeCell ref="U59:U59"/>
    <mergeCell ref="V59:V59"/>
    <mergeCell ref="W59:W59"/>
    <mergeCell ref="X59:X59"/>
    <mergeCell ref="Y59:Y59"/>
    <mergeCell ref="Z59:Z59"/>
    <mergeCell ref="AA59:AA59"/>
    <mergeCell ref="AB59:AB59"/>
    <mergeCell ref="AC59:AC59"/>
    <mergeCell ref="AD59:AD59"/>
    <mergeCell ref="AE59:AE59"/>
    <mergeCell ref="AF59:AF59"/>
    <mergeCell ref="AG59:AG59"/>
    <mergeCell ref="AH59:AH59"/>
    <mergeCell ref="AI59:AI59"/>
    <mergeCell ref="AJ59:AJ59"/>
    <mergeCell ref="AK59:AK59"/>
    <mergeCell ref="AL59:AL59"/>
    <mergeCell ref="AM59:AM59"/>
    <mergeCell ref="AN59:AN59"/>
    <mergeCell ref="AO59:AO59"/>
    <mergeCell ref="A60:A60"/>
    <mergeCell ref="B60:B60"/>
    <mergeCell ref="C60:C60"/>
    <mergeCell ref="D60:D60"/>
    <mergeCell ref="E60:E60"/>
    <mergeCell ref="F60:F60"/>
    <mergeCell ref="G60:G60"/>
    <mergeCell ref="H60:H60"/>
    <mergeCell ref="I60:I60"/>
    <mergeCell ref="J60:J60"/>
    <mergeCell ref="K60:K60"/>
    <mergeCell ref="L60:L60"/>
    <mergeCell ref="M60:M60"/>
    <mergeCell ref="N60:N60"/>
    <mergeCell ref="O60:O60"/>
    <mergeCell ref="P60:P60"/>
    <mergeCell ref="Q60:Q60"/>
    <mergeCell ref="R60:R60"/>
    <mergeCell ref="S60:S60"/>
    <mergeCell ref="T60:T60"/>
    <mergeCell ref="U60:U60"/>
    <mergeCell ref="V60:V60"/>
    <mergeCell ref="W60:W60"/>
    <mergeCell ref="X60:X60"/>
    <mergeCell ref="Y60:Y60"/>
    <mergeCell ref="Z60:Z60"/>
    <mergeCell ref="AA60:AA60"/>
    <mergeCell ref="AB60:AB60"/>
    <mergeCell ref="AC60:AC60"/>
    <mergeCell ref="AD60:AD60"/>
    <mergeCell ref="AE60:AE60"/>
    <mergeCell ref="AF60:AF60"/>
    <mergeCell ref="AG60:AG60"/>
    <mergeCell ref="AH60:AH60"/>
    <mergeCell ref="AI60:AI60"/>
    <mergeCell ref="AJ60:AJ60"/>
    <mergeCell ref="AK60:AK60"/>
    <mergeCell ref="AL60:AL60"/>
    <mergeCell ref="AM60:AM60"/>
    <mergeCell ref="AN60:AN60"/>
    <mergeCell ref="AO60:AO60"/>
    <mergeCell ref="A61:A61"/>
    <mergeCell ref="B61:B61"/>
    <mergeCell ref="C61:C61"/>
    <mergeCell ref="D61:D61"/>
    <mergeCell ref="E61:E61"/>
    <mergeCell ref="F61:F61"/>
    <mergeCell ref="G61:G61"/>
    <mergeCell ref="H61:H61"/>
    <mergeCell ref="I61:I61"/>
    <mergeCell ref="J61:J61"/>
    <mergeCell ref="K61:K61"/>
    <mergeCell ref="L61:L61"/>
    <mergeCell ref="M61:M61"/>
    <mergeCell ref="N61:N61"/>
    <mergeCell ref="O61:O61"/>
    <mergeCell ref="P61:P61"/>
    <mergeCell ref="Q61:Q61"/>
    <mergeCell ref="R61:R61"/>
    <mergeCell ref="S61:S61"/>
    <mergeCell ref="T61:T61"/>
    <mergeCell ref="U61:U61"/>
    <mergeCell ref="V61:V61"/>
    <mergeCell ref="W61:W61"/>
    <mergeCell ref="X61:X61"/>
    <mergeCell ref="Y61:Y61"/>
    <mergeCell ref="Z61:Z61"/>
    <mergeCell ref="AA61:AA61"/>
    <mergeCell ref="AB61:AB61"/>
    <mergeCell ref="AC61:AC61"/>
    <mergeCell ref="AD61:AD61"/>
    <mergeCell ref="AE61:AE61"/>
    <mergeCell ref="AF61:AF61"/>
    <mergeCell ref="AG61:AG61"/>
    <mergeCell ref="AH61:AH61"/>
    <mergeCell ref="AI61:AI61"/>
    <mergeCell ref="AJ61:AJ61"/>
    <mergeCell ref="AK61:AK61"/>
    <mergeCell ref="AL61:AL61"/>
    <mergeCell ref="AM61:AM61"/>
    <mergeCell ref="AN61:AN61"/>
    <mergeCell ref="AO61:AO61"/>
    <mergeCell ref="A62:A62"/>
    <mergeCell ref="B62:B62"/>
    <mergeCell ref="C62:C62"/>
    <mergeCell ref="D62:D62"/>
    <mergeCell ref="E62:E62"/>
    <mergeCell ref="F62:F62"/>
    <mergeCell ref="G62:G62"/>
    <mergeCell ref="H62:H62"/>
    <mergeCell ref="I62:I62"/>
    <mergeCell ref="J62:J62"/>
    <mergeCell ref="K62:K62"/>
    <mergeCell ref="L62:L62"/>
    <mergeCell ref="M62:M62"/>
    <mergeCell ref="N62:N62"/>
    <mergeCell ref="O62:O62"/>
    <mergeCell ref="P62:P62"/>
    <mergeCell ref="Q62:Q62"/>
    <mergeCell ref="R62:R62"/>
    <mergeCell ref="S62:S62"/>
    <mergeCell ref="T62:T62"/>
    <mergeCell ref="U62:U62"/>
    <mergeCell ref="V62:V62"/>
    <mergeCell ref="W62:W62"/>
    <mergeCell ref="X62:X62"/>
    <mergeCell ref="Y62:Y62"/>
    <mergeCell ref="Z62:Z62"/>
    <mergeCell ref="AA62:AA62"/>
    <mergeCell ref="AB62:AB62"/>
    <mergeCell ref="AC62:AC62"/>
    <mergeCell ref="AD62:AD62"/>
    <mergeCell ref="AE62:AE62"/>
    <mergeCell ref="AF62:AF62"/>
    <mergeCell ref="AG62:AG62"/>
    <mergeCell ref="AH62:AH62"/>
    <mergeCell ref="AI62:AI62"/>
    <mergeCell ref="AJ62:AJ62"/>
    <mergeCell ref="AK62:AK62"/>
    <mergeCell ref="AL62:AL62"/>
    <mergeCell ref="AM62:AM62"/>
    <mergeCell ref="AN62:AN62"/>
    <mergeCell ref="AO62:AO62"/>
    <mergeCell ref="A63:A63"/>
    <mergeCell ref="B63:B63"/>
    <mergeCell ref="C63:C63"/>
    <mergeCell ref="D63:D63"/>
    <mergeCell ref="E63:E63"/>
    <mergeCell ref="F63:F63"/>
    <mergeCell ref="G63:G63"/>
    <mergeCell ref="H63:H63"/>
    <mergeCell ref="I63:I63"/>
    <mergeCell ref="J63:J63"/>
    <mergeCell ref="K63:K63"/>
    <mergeCell ref="L63:L63"/>
    <mergeCell ref="M63:M63"/>
    <mergeCell ref="N63:N63"/>
    <mergeCell ref="O63:O63"/>
    <mergeCell ref="P63:P63"/>
    <mergeCell ref="Q63:Q63"/>
    <mergeCell ref="R63:R63"/>
    <mergeCell ref="S63:S63"/>
    <mergeCell ref="T63:T63"/>
    <mergeCell ref="U63:U63"/>
    <mergeCell ref="V63:V63"/>
    <mergeCell ref="W63:W63"/>
    <mergeCell ref="X63:X63"/>
    <mergeCell ref="Y63:Y63"/>
    <mergeCell ref="Z63:Z63"/>
    <mergeCell ref="AA63:AA63"/>
    <mergeCell ref="AB63:AB63"/>
    <mergeCell ref="AC63:AC63"/>
    <mergeCell ref="AD63:AD63"/>
    <mergeCell ref="AE63:AE63"/>
    <mergeCell ref="AF63:AF63"/>
    <mergeCell ref="AG63:AG63"/>
    <mergeCell ref="AH63:AH63"/>
    <mergeCell ref="AI63:AI63"/>
    <mergeCell ref="AJ63:AJ63"/>
    <mergeCell ref="AK63:AK63"/>
    <mergeCell ref="AL63:AL63"/>
    <mergeCell ref="AM63:AM63"/>
    <mergeCell ref="AN63:AN63"/>
    <mergeCell ref="AO63:AO63"/>
    <mergeCell ref="A64:A64"/>
    <mergeCell ref="B64:B64"/>
    <mergeCell ref="C64:C64"/>
    <mergeCell ref="D64:D64"/>
    <mergeCell ref="E64:E64"/>
    <mergeCell ref="F64:F64"/>
    <mergeCell ref="G64:G64"/>
    <mergeCell ref="H64:H64"/>
    <mergeCell ref="I64:I64"/>
    <mergeCell ref="J64:J64"/>
    <mergeCell ref="K64:K64"/>
    <mergeCell ref="L64:L64"/>
    <mergeCell ref="M64:M64"/>
    <mergeCell ref="N64:N64"/>
    <mergeCell ref="O64:O64"/>
    <mergeCell ref="P64:P64"/>
    <mergeCell ref="Q64:Q64"/>
    <mergeCell ref="R64:R64"/>
    <mergeCell ref="S64:S64"/>
    <mergeCell ref="T64:T64"/>
    <mergeCell ref="U64:U64"/>
    <mergeCell ref="V64:V64"/>
    <mergeCell ref="W64:W64"/>
    <mergeCell ref="X64:X64"/>
    <mergeCell ref="Y64:Y64"/>
    <mergeCell ref="Z64:Z64"/>
    <mergeCell ref="AA64:AA64"/>
    <mergeCell ref="AB64:AB64"/>
    <mergeCell ref="AC64:AC64"/>
    <mergeCell ref="AD64:AD64"/>
    <mergeCell ref="AE64:AE64"/>
    <mergeCell ref="AF64:AF64"/>
    <mergeCell ref="AG64:AG64"/>
    <mergeCell ref="AH64:AH64"/>
    <mergeCell ref="AI64:AI64"/>
    <mergeCell ref="AJ64:AJ64"/>
    <mergeCell ref="AK64:AK64"/>
    <mergeCell ref="AL64:AL64"/>
    <mergeCell ref="AM64:AM64"/>
    <mergeCell ref="AN64:AN64"/>
    <mergeCell ref="AO64:AO64"/>
    <mergeCell ref="A65:A65"/>
    <mergeCell ref="B65:B65"/>
    <mergeCell ref="C65:C65"/>
    <mergeCell ref="D65:D65"/>
    <mergeCell ref="E65:E65"/>
    <mergeCell ref="F65:F65"/>
    <mergeCell ref="G65:G65"/>
    <mergeCell ref="H65:H65"/>
    <mergeCell ref="I65:I65"/>
    <mergeCell ref="J65:J65"/>
    <mergeCell ref="K65:K65"/>
    <mergeCell ref="L65:L65"/>
    <mergeCell ref="M65:M65"/>
    <mergeCell ref="N65:N65"/>
    <mergeCell ref="O65:O65"/>
    <mergeCell ref="P65:P65"/>
    <mergeCell ref="Q65:Q65"/>
    <mergeCell ref="R65:R65"/>
    <mergeCell ref="S65:S65"/>
    <mergeCell ref="T65:T65"/>
    <mergeCell ref="U65:U65"/>
    <mergeCell ref="V65:V65"/>
    <mergeCell ref="W65:W65"/>
    <mergeCell ref="X65:X65"/>
    <mergeCell ref="Y65:Y65"/>
    <mergeCell ref="Z65:Z65"/>
    <mergeCell ref="AA65:AA65"/>
    <mergeCell ref="AB65:AB65"/>
    <mergeCell ref="AC65:AC65"/>
    <mergeCell ref="AD65:AD65"/>
    <mergeCell ref="AE65:AE65"/>
    <mergeCell ref="AF65:AF65"/>
    <mergeCell ref="AG65:AG65"/>
    <mergeCell ref="AH65:AH65"/>
    <mergeCell ref="AI65:AI65"/>
    <mergeCell ref="AJ65:AJ65"/>
    <mergeCell ref="AK65:AK65"/>
    <mergeCell ref="AL65:AL65"/>
    <mergeCell ref="AM65:AM65"/>
    <mergeCell ref="AN65:AN65"/>
    <mergeCell ref="AO65:AO65"/>
    <mergeCell ref="A66:A66"/>
    <mergeCell ref="B66:B66"/>
    <mergeCell ref="C66:C66"/>
    <mergeCell ref="D66:D66"/>
    <mergeCell ref="E66:E66"/>
    <mergeCell ref="F66:F66"/>
    <mergeCell ref="G66:G66"/>
    <mergeCell ref="H66:H66"/>
    <mergeCell ref="I66:I66"/>
    <mergeCell ref="J66:J66"/>
    <mergeCell ref="K66:K66"/>
    <mergeCell ref="L66:L66"/>
    <mergeCell ref="M66:M66"/>
    <mergeCell ref="N66:N66"/>
    <mergeCell ref="O66:O66"/>
    <mergeCell ref="P66:P66"/>
    <mergeCell ref="Q66:Q66"/>
    <mergeCell ref="R66:R66"/>
    <mergeCell ref="S66:S66"/>
    <mergeCell ref="T66:T66"/>
    <mergeCell ref="U66:U66"/>
    <mergeCell ref="V66:V66"/>
    <mergeCell ref="W66:W66"/>
    <mergeCell ref="X66:X66"/>
    <mergeCell ref="Y66:Y66"/>
    <mergeCell ref="Z66:Z66"/>
    <mergeCell ref="AA66:AA66"/>
    <mergeCell ref="AB66:AB66"/>
    <mergeCell ref="AC66:AC66"/>
    <mergeCell ref="AD66:AD66"/>
    <mergeCell ref="AE66:AE66"/>
    <mergeCell ref="AF66:AF66"/>
    <mergeCell ref="AG66:AG66"/>
    <mergeCell ref="AH66:AH66"/>
    <mergeCell ref="AI66:AI66"/>
    <mergeCell ref="AJ66:AJ66"/>
    <mergeCell ref="AK66:AK66"/>
    <mergeCell ref="AL66:AL66"/>
    <mergeCell ref="AM66:AM66"/>
    <mergeCell ref="AN66:AN66"/>
    <mergeCell ref="AO66:AO66"/>
    <mergeCell ref="A67:A67"/>
    <mergeCell ref="B67:B67"/>
    <mergeCell ref="C67:C67"/>
    <mergeCell ref="D67:D67"/>
    <mergeCell ref="E67:E67"/>
    <mergeCell ref="F67:F67"/>
    <mergeCell ref="G67:G67"/>
    <mergeCell ref="H67:H67"/>
    <mergeCell ref="I67:I67"/>
    <mergeCell ref="J67:J67"/>
    <mergeCell ref="K67:K67"/>
    <mergeCell ref="L67:L67"/>
    <mergeCell ref="M67:M67"/>
    <mergeCell ref="N67:N67"/>
    <mergeCell ref="O67:O67"/>
    <mergeCell ref="P67:P67"/>
    <mergeCell ref="Q67:Q67"/>
    <mergeCell ref="R67:R67"/>
    <mergeCell ref="S67:S67"/>
    <mergeCell ref="T67:T67"/>
    <mergeCell ref="U67:U67"/>
    <mergeCell ref="V67:V67"/>
    <mergeCell ref="W67:W67"/>
    <mergeCell ref="X67:X67"/>
    <mergeCell ref="Y67:Y67"/>
    <mergeCell ref="Z67:Z67"/>
    <mergeCell ref="AA67:AA67"/>
    <mergeCell ref="AB67:AB67"/>
    <mergeCell ref="AC67:AC67"/>
    <mergeCell ref="AD67:AD67"/>
    <mergeCell ref="AE67:AE67"/>
    <mergeCell ref="AF67:AF67"/>
    <mergeCell ref="AG67:AG67"/>
    <mergeCell ref="AH67:AH67"/>
    <mergeCell ref="AI67:AI67"/>
    <mergeCell ref="AJ67:AJ67"/>
    <mergeCell ref="AK67:AK67"/>
    <mergeCell ref="AL67:AL67"/>
    <mergeCell ref="AM67:AM67"/>
    <mergeCell ref="AN67:AN67"/>
    <mergeCell ref="AO67:AO67"/>
    <mergeCell ref="A68:A68"/>
    <mergeCell ref="B68:B68"/>
    <mergeCell ref="C68:C68"/>
    <mergeCell ref="D68:D68"/>
    <mergeCell ref="E68:E68"/>
    <mergeCell ref="F68:F68"/>
    <mergeCell ref="G68:G68"/>
    <mergeCell ref="H68:H68"/>
    <mergeCell ref="I68:I68"/>
    <mergeCell ref="J68:J68"/>
    <mergeCell ref="K68:K68"/>
    <mergeCell ref="L68:L68"/>
    <mergeCell ref="M68:M68"/>
    <mergeCell ref="N68:N68"/>
    <mergeCell ref="O68:O68"/>
    <mergeCell ref="P68:P68"/>
    <mergeCell ref="Q68:Q68"/>
    <mergeCell ref="R68:R68"/>
    <mergeCell ref="S68:S68"/>
    <mergeCell ref="T68:T68"/>
    <mergeCell ref="U68:U68"/>
    <mergeCell ref="V68:V68"/>
    <mergeCell ref="W68:W68"/>
    <mergeCell ref="X68:X68"/>
    <mergeCell ref="Y68:Y68"/>
    <mergeCell ref="Z68:Z68"/>
    <mergeCell ref="AA68:AA68"/>
    <mergeCell ref="AB68:AB68"/>
    <mergeCell ref="AC68:AC68"/>
    <mergeCell ref="AD68:AD68"/>
    <mergeCell ref="AE68:AE68"/>
    <mergeCell ref="AF68:AF68"/>
    <mergeCell ref="AG68:AG68"/>
    <mergeCell ref="AH68:AH68"/>
    <mergeCell ref="AI68:AI68"/>
    <mergeCell ref="AJ68:AJ68"/>
    <mergeCell ref="AK68:AK68"/>
    <mergeCell ref="AL68:AL68"/>
    <mergeCell ref="AM68:AM68"/>
    <mergeCell ref="AN68:AN68"/>
    <mergeCell ref="AO68:AO68"/>
    <mergeCell ref="A69:A69"/>
    <mergeCell ref="B69:B69"/>
    <mergeCell ref="C69:C69"/>
    <mergeCell ref="D69:D69"/>
    <mergeCell ref="E69:E69"/>
    <mergeCell ref="F69:F69"/>
    <mergeCell ref="G69:G69"/>
    <mergeCell ref="H69:H69"/>
    <mergeCell ref="I69:I69"/>
    <mergeCell ref="J69:J69"/>
    <mergeCell ref="K69:K69"/>
    <mergeCell ref="L69:L69"/>
    <mergeCell ref="M69:M69"/>
    <mergeCell ref="N69:N69"/>
    <mergeCell ref="O69:O69"/>
    <mergeCell ref="P69:P69"/>
    <mergeCell ref="Q69:Q69"/>
    <mergeCell ref="R69:R69"/>
    <mergeCell ref="S69:S69"/>
    <mergeCell ref="T69:T69"/>
    <mergeCell ref="U69:U69"/>
    <mergeCell ref="V69:V69"/>
    <mergeCell ref="W69:W69"/>
    <mergeCell ref="X69:X69"/>
    <mergeCell ref="Y69:Y69"/>
    <mergeCell ref="Z69:Z69"/>
    <mergeCell ref="AA69:AA69"/>
    <mergeCell ref="AB69:AB69"/>
    <mergeCell ref="AC69:AC69"/>
    <mergeCell ref="AD69:AD69"/>
    <mergeCell ref="AE69:AE69"/>
    <mergeCell ref="AF69:AF69"/>
    <mergeCell ref="AG69:AG69"/>
    <mergeCell ref="AH69:AH69"/>
    <mergeCell ref="AI69:AI69"/>
    <mergeCell ref="AJ69:AJ69"/>
    <mergeCell ref="AK69:AK69"/>
    <mergeCell ref="AL69:AL69"/>
    <mergeCell ref="AM69:AM69"/>
    <mergeCell ref="AN69:AN69"/>
    <mergeCell ref="AO69:AO69"/>
    <mergeCell ref="A70:A70"/>
    <mergeCell ref="B70:B70"/>
    <mergeCell ref="C70:C70"/>
    <mergeCell ref="D70:D70"/>
    <mergeCell ref="E70:E70"/>
    <mergeCell ref="F70:F70"/>
    <mergeCell ref="G70:G70"/>
    <mergeCell ref="H70:H70"/>
    <mergeCell ref="I70:I70"/>
    <mergeCell ref="J70:J70"/>
    <mergeCell ref="K70:K70"/>
    <mergeCell ref="L70:L70"/>
    <mergeCell ref="M70:M70"/>
    <mergeCell ref="N70:N70"/>
    <mergeCell ref="O70:O70"/>
    <mergeCell ref="P70:P70"/>
    <mergeCell ref="Q70:Q70"/>
    <mergeCell ref="R70:R70"/>
    <mergeCell ref="S70:S70"/>
    <mergeCell ref="T70:T70"/>
    <mergeCell ref="U70:U70"/>
    <mergeCell ref="V70:V70"/>
    <mergeCell ref="W70:W70"/>
    <mergeCell ref="X70:X70"/>
    <mergeCell ref="Y70:Y70"/>
    <mergeCell ref="Z70:Z70"/>
    <mergeCell ref="AA70:AA70"/>
    <mergeCell ref="AB70:AB70"/>
    <mergeCell ref="AC70:AC70"/>
    <mergeCell ref="AD70:AD70"/>
    <mergeCell ref="AE70:AE70"/>
    <mergeCell ref="AF70:AF70"/>
    <mergeCell ref="AG70:AG70"/>
    <mergeCell ref="AH70:AH70"/>
    <mergeCell ref="AI70:AI70"/>
    <mergeCell ref="AJ70:AJ70"/>
    <mergeCell ref="AK70:AK70"/>
    <mergeCell ref="AL70:AL70"/>
    <mergeCell ref="AM70:AM70"/>
    <mergeCell ref="AN70:AN70"/>
    <mergeCell ref="AO70:AO70"/>
    <mergeCell ref="A71:A71"/>
    <mergeCell ref="B71:B71"/>
    <mergeCell ref="C71:C71"/>
    <mergeCell ref="D71:D71"/>
    <mergeCell ref="E71:E71"/>
    <mergeCell ref="F71:F71"/>
    <mergeCell ref="G71:G71"/>
    <mergeCell ref="H71:H71"/>
    <mergeCell ref="I71:I71"/>
    <mergeCell ref="J71:J71"/>
    <mergeCell ref="K71:K71"/>
    <mergeCell ref="L71:L71"/>
    <mergeCell ref="M71:M71"/>
    <mergeCell ref="N71:N71"/>
    <mergeCell ref="O71:O71"/>
    <mergeCell ref="P71:P71"/>
    <mergeCell ref="Q71:Q71"/>
    <mergeCell ref="R71:R71"/>
    <mergeCell ref="S71:S71"/>
    <mergeCell ref="T71:T71"/>
    <mergeCell ref="U71:U71"/>
    <mergeCell ref="V71:V71"/>
    <mergeCell ref="W71:W71"/>
    <mergeCell ref="X71:X71"/>
    <mergeCell ref="Y71:Y71"/>
    <mergeCell ref="Z71:Z71"/>
    <mergeCell ref="AA71:AA71"/>
    <mergeCell ref="AB71:AB71"/>
    <mergeCell ref="AC71:AC71"/>
    <mergeCell ref="AD71:AD71"/>
    <mergeCell ref="AE71:AE71"/>
    <mergeCell ref="AF71:AF71"/>
    <mergeCell ref="AG71:AG71"/>
    <mergeCell ref="AH71:AH71"/>
    <mergeCell ref="AI71:AI71"/>
    <mergeCell ref="AJ71:AJ71"/>
    <mergeCell ref="AK71:AK71"/>
    <mergeCell ref="AL71:AL71"/>
    <mergeCell ref="AM71:AM71"/>
    <mergeCell ref="AN71:AN71"/>
    <mergeCell ref="AO71:AO71"/>
    <mergeCell ref="A72:A72"/>
    <mergeCell ref="B72:B72"/>
    <mergeCell ref="C72:C72"/>
    <mergeCell ref="D72:D72"/>
    <mergeCell ref="E72:E72"/>
    <mergeCell ref="F72:F72"/>
    <mergeCell ref="G72:G72"/>
    <mergeCell ref="H72:H72"/>
    <mergeCell ref="I72:I72"/>
    <mergeCell ref="J72:J72"/>
    <mergeCell ref="K72:K72"/>
    <mergeCell ref="L72:L72"/>
    <mergeCell ref="M72:M72"/>
    <mergeCell ref="N72:N72"/>
    <mergeCell ref="O72:O72"/>
    <mergeCell ref="P72:P72"/>
    <mergeCell ref="Q72:Q72"/>
    <mergeCell ref="R72:R72"/>
    <mergeCell ref="S72:S72"/>
    <mergeCell ref="T72:T72"/>
    <mergeCell ref="U72:U72"/>
    <mergeCell ref="V72:V72"/>
    <mergeCell ref="W72:W72"/>
    <mergeCell ref="X72:X72"/>
    <mergeCell ref="Y72:Y72"/>
    <mergeCell ref="Z72:Z72"/>
    <mergeCell ref="AA72:AA72"/>
    <mergeCell ref="AB72:AB72"/>
    <mergeCell ref="AC72:AC72"/>
    <mergeCell ref="AD72:AD72"/>
    <mergeCell ref="AE72:AE72"/>
    <mergeCell ref="AF72:AF72"/>
    <mergeCell ref="AG72:AG72"/>
    <mergeCell ref="AH72:AH72"/>
    <mergeCell ref="AI72:AI72"/>
    <mergeCell ref="AJ72:AJ72"/>
    <mergeCell ref="AK72:AK72"/>
    <mergeCell ref="AL72:AL72"/>
    <mergeCell ref="AM72:AM72"/>
    <mergeCell ref="AN72:AN72"/>
    <mergeCell ref="AO72:AO72"/>
    <mergeCell ref="A73:A73"/>
    <mergeCell ref="B73:B73"/>
    <mergeCell ref="C73:C73"/>
    <mergeCell ref="D73:D73"/>
    <mergeCell ref="E73:E73"/>
    <mergeCell ref="F73:F73"/>
    <mergeCell ref="G73:G73"/>
    <mergeCell ref="H73:H73"/>
    <mergeCell ref="I73:I73"/>
    <mergeCell ref="J73:J73"/>
    <mergeCell ref="K73:K73"/>
    <mergeCell ref="L73:L73"/>
    <mergeCell ref="M73:M73"/>
    <mergeCell ref="N73:N73"/>
    <mergeCell ref="O73:O73"/>
    <mergeCell ref="P73:P73"/>
    <mergeCell ref="Q73:Q73"/>
    <mergeCell ref="R73:R73"/>
    <mergeCell ref="S73:S73"/>
    <mergeCell ref="T73:T73"/>
    <mergeCell ref="U73:U73"/>
    <mergeCell ref="V73:V73"/>
    <mergeCell ref="W73:W73"/>
    <mergeCell ref="X73:X73"/>
    <mergeCell ref="Y73:Y73"/>
    <mergeCell ref="Z73:Z73"/>
    <mergeCell ref="AA73:AA73"/>
    <mergeCell ref="AB73:AB73"/>
    <mergeCell ref="AC73:AC73"/>
    <mergeCell ref="AD73:AD73"/>
    <mergeCell ref="AE73:AE73"/>
    <mergeCell ref="AF73:AF73"/>
    <mergeCell ref="AG73:AG73"/>
    <mergeCell ref="AH73:AH73"/>
    <mergeCell ref="AI73:AI73"/>
    <mergeCell ref="AJ73:AJ73"/>
    <mergeCell ref="AK73:AK73"/>
    <mergeCell ref="AL73:AL73"/>
    <mergeCell ref="AM73:AM73"/>
    <mergeCell ref="AN73:AN73"/>
    <mergeCell ref="AO73:AO73"/>
    <mergeCell ref="A74:A74"/>
    <mergeCell ref="B74:B74"/>
    <mergeCell ref="C74:C74"/>
    <mergeCell ref="D74:D74"/>
    <mergeCell ref="E74:E74"/>
    <mergeCell ref="F74:F74"/>
    <mergeCell ref="G74:G74"/>
    <mergeCell ref="H74:H74"/>
    <mergeCell ref="I74:I74"/>
    <mergeCell ref="J74:J74"/>
    <mergeCell ref="K74:K74"/>
    <mergeCell ref="L74:L74"/>
    <mergeCell ref="M74:M74"/>
    <mergeCell ref="N74:N74"/>
    <mergeCell ref="O74:O74"/>
    <mergeCell ref="P74:P74"/>
    <mergeCell ref="Q74:Q74"/>
    <mergeCell ref="R74:R74"/>
    <mergeCell ref="S74:S74"/>
    <mergeCell ref="T74:T74"/>
    <mergeCell ref="U74:U74"/>
    <mergeCell ref="V74:V74"/>
    <mergeCell ref="W74:W74"/>
    <mergeCell ref="X74:X74"/>
    <mergeCell ref="Y74:Y74"/>
    <mergeCell ref="Z74:Z74"/>
    <mergeCell ref="AA74:AA74"/>
    <mergeCell ref="AB74:AB74"/>
    <mergeCell ref="AC74:AC74"/>
    <mergeCell ref="AD74:AD74"/>
    <mergeCell ref="AE74:AE74"/>
    <mergeCell ref="AF74:AF74"/>
    <mergeCell ref="AG74:AG74"/>
    <mergeCell ref="AH74:AH74"/>
    <mergeCell ref="AI74:AI74"/>
    <mergeCell ref="AJ74:AJ74"/>
    <mergeCell ref="AK74:AK74"/>
    <mergeCell ref="AL74:AL74"/>
    <mergeCell ref="AM74:AM74"/>
    <mergeCell ref="AN74:AN74"/>
    <mergeCell ref="AO74:AO74"/>
    <mergeCell ref="A75:A75"/>
    <mergeCell ref="B75:B75"/>
    <mergeCell ref="C75:C75"/>
    <mergeCell ref="D75:D75"/>
    <mergeCell ref="E75:E75"/>
    <mergeCell ref="F75:F75"/>
    <mergeCell ref="G75:G75"/>
    <mergeCell ref="H75:H75"/>
    <mergeCell ref="I75:I75"/>
    <mergeCell ref="J75:J75"/>
    <mergeCell ref="K75:K75"/>
    <mergeCell ref="L75:L75"/>
    <mergeCell ref="M75:M75"/>
    <mergeCell ref="N75:N75"/>
    <mergeCell ref="O75:O75"/>
    <mergeCell ref="P75:P75"/>
    <mergeCell ref="Q75:Q75"/>
    <mergeCell ref="R75:R75"/>
    <mergeCell ref="S75:S75"/>
    <mergeCell ref="T75:T75"/>
    <mergeCell ref="U75:U75"/>
    <mergeCell ref="V75:V75"/>
    <mergeCell ref="W75:W75"/>
    <mergeCell ref="X75:X75"/>
    <mergeCell ref="Y75:Y75"/>
    <mergeCell ref="Z75:Z75"/>
    <mergeCell ref="AA75:AA75"/>
    <mergeCell ref="AB75:AB75"/>
    <mergeCell ref="AC75:AC75"/>
    <mergeCell ref="AD75:AD75"/>
    <mergeCell ref="AE75:AE75"/>
    <mergeCell ref="AF75:AF75"/>
    <mergeCell ref="AG75:AG75"/>
    <mergeCell ref="AH75:AH75"/>
    <mergeCell ref="AI75:AI75"/>
    <mergeCell ref="AJ75:AJ75"/>
    <mergeCell ref="AK75:AK75"/>
    <mergeCell ref="AL75:AL75"/>
    <mergeCell ref="AM75:AM75"/>
    <mergeCell ref="AN75:AN75"/>
    <mergeCell ref="AO75:AO75"/>
    <mergeCell ref="A76:A76"/>
    <mergeCell ref="B76:B76"/>
    <mergeCell ref="C76:C76"/>
    <mergeCell ref="D76:D76"/>
    <mergeCell ref="E76:E76"/>
    <mergeCell ref="F76:F76"/>
    <mergeCell ref="G76:G76"/>
    <mergeCell ref="H76:H76"/>
    <mergeCell ref="I76:I76"/>
    <mergeCell ref="J76:J76"/>
    <mergeCell ref="K76:K76"/>
    <mergeCell ref="L76:L76"/>
    <mergeCell ref="M76:M76"/>
    <mergeCell ref="N76:N76"/>
    <mergeCell ref="O76:O76"/>
    <mergeCell ref="P76:P76"/>
    <mergeCell ref="Q76:Q76"/>
    <mergeCell ref="R76:R76"/>
    <mergeCell ref="S76:S76"/>
    <mergeCell ref="T76:T76"/>
    <mergeCell ref="U76:U76"/>
    <mergeCell ref="V76:V76"/>
    <mergeCell ref="W76:W76"/>
    <mergeCell ref="X76:X76"/>
    <mergeCell ref="Y76:Y76"/>
    <mergeCell ref="Z76:Z76"/>
    <mergeCell ref="AA76:AA76"/>
    <mergeCell ref="AB76:AB76"/>
    <mergeCell ref="AC76:AC76"/>
    <mergeCell ref="AD76:AD76"/>
    <mergeCell ref="AE76:AE76"/>
    <mergeCell ref="AF76:AF76"/>
    <mergeCell ref="AG76:AG76"/>
    <mergeCell ref="AH76:AH76"/>
    <mergeCell ref="AI76:AI76"/>
    <mergeCell ref="AJ76:AJ76"/>
    <mergeCell ref="AK76:AK76"/>
    <mergeCell ref="AL76:AL76"/>
    <mergeCell ref="AM76:AM76"/>
    <mergeCell ref="AN76:AN76"/>
    <mergeCell ref="AO76:AO76"/>
    <mergeCell ref="A77:A77"/>
    <mergeCell ref="B77:B77"/>
    <mergeCell ref="C77:C77"/>
    <mergeCell ref="D77:D77"/>
    <mergeCell ref="E77:E77"/>
    <mergeCell ref="F77:F77"/>
    <mergeCell ref="G77:G77"/>
    <mergeCell ref="H77:H77"/>
    <mergeCell ref="I77:I77"/>
    <mergeCell ref="J77:J77"/>
    <mergeCell ref="K77:K77"/>
    <mergeCell ref="L77:L77"/>
    <mergeCell ref="M77:M77"/>
    <mergeCell ref="N77:N77"/>
    <mergeCell ref="O77:O77"/>
    <mergeCell ref="P77:P77"/>
    <mergeCell ref="Q77:Q77"/>
    <mergeCell ref="R77:R77"/>
    <mergeCell ref="S77:S77"/>
    <mergeCell ref="T77:T77"/>
    <mergeCell ref="U77:U77"/>
    <mergeCell ref="V77:V77"/>
    <mergeCell ref="W77:W77"/>
    <mergeCell ref="X77:X77"/>
    <mergeCell ref="Y77:Y77"/>
    <mergeCell ref="Z77:Z77"/>
    <mergeCell ref="AA77:AA77"/>
    <mergeCell ref="AB77:AB77"/>
    <mergeCell ref="AC77:AC77"/>
    <mergeCell ref="AD77:AD77"/>
    <mergeCell ref="AE77:AE77"/>
    <mergeCell ref="AF77:AF77"/>
    <mergeCell ref="AG77:AG77"/>
    <mergeCell ref="AH77:AH77"/>
    <mergeCell ref="AI77:AI77"/>
    <mergeCell ref="AJ77:AJ77"/>
    <mergeCell ref="AK77:AK77"/>
    <mergeCell ref="AL77:AL77"/>
    <mergeCell ref="AM77:AM77"/>
    <mergeCell ref="AN77:AN77"/>
    <mergeCell ref="AO77:AO77"/>
    <mergeCell ref="A78:A78"/>
    <mergeCell ref="B78:B78"/>
    <mergeCell ref="C78:C78"/>
    <mergeCell ref="D78:D78"/>
    <mergeCell ref="E78:E78"/>
    <mergeCell ref="F78:F78"/>
    <mergeCell ref="G78:G78"/>
    <mergeCell ref="H78:H78"/>
    <mergeCell ref="I78:I78"/>
    <mergeCell ref="J78:J78"/>
    <mergeCell ref="K78:K78"/>
    <mergeCell ref="L78:L78"/>
    <mergeCell ref="M78:M78"/>
    <mergeCell ref="N78:N78"/>
    <mergeCell ref="O78:O78"/>
    <mergeCell ref="P78:P78"/>
    <mergeCell ref="Q78:Q78"/>
    <mergeCell ref="R78:R78"/>
    <mergeCell ref="S78:S78"/>
    <mergeCell ref="T78:T78"/>
    <mergeCell ref="U78:U78"/>
    <mergeCell ref="V78:V78"/>
    <mergeCell ref="W78:W78"/>
    <mergeCell ref="X78:X78"/>
    <mergeCell ref="Y78:Y78"/>
    <mergeCell ref="Z78:Z78"/>
    <mergeCell ref="AA78:AA78"/>
    <mergeCell ref="AB78:AB78"/>
    <mergeCell ref="AC78:AC78"/>
    <mergeCell ref="AD78:AD78"/>
    <mergeCell ref="AE78:AE78"/>
    <mergeCell ref="AF78:AF78"/>
    <mergeCell ref="AG78:AG78"/>
    <mergeCell ref="AH78:AH78"/>
    <mergeCell ref="AI78:AI78"/>
    <mergeCell ref="AJ78:AJ78"/>
    <mergeCell ref="AK78:AK78"/>
    <mergeCell ref="AL78:AL78"/>
    <mergeCell ref="AM78:AM78"/>
    <mergeCell ref="AN78:AN78"/>
    <mergeCell ref="AO78:AO78"/>
    <mergeCell ref="A79:A79"/>
    <mergeCell ref="B79:B79"/>
    <mergeCell ref="C79:C79"/>
    <mergeCell ref="D79:D79"/>
    <mergeCell ref="E79:E79"/>
    <mergeCell ref="F79:F79"/>
    <mergeCell ref="G79:G79"/>
    <mergeCell ref="H79:H79"/>
    <mergeCell ref="I79:I79"/>
    <mergeCell ref="J79:J79"/>
    <mergeCell ref="K79:K79"/>
    <mergeCell ref="L79:L79"/>
    <mergeCell ref="M79:M79"/>
    <mergeCell ref="N79:N79"/>
    <mergeCell ref="O79:O79"/>
    <mergeCell ref="P79:P79"/>
    <mergeCell ref="Q79:Q79"/>
    <mergeCell ref="R79:R79"/>
    <mergeCell ref="S79:S79"/>
    <mergeCell ref="T79:T79"/>
    <mergeCell ref="U79:U79"/>
    <mergeCell ref="V79:V79"/>
    <mergeCell ref="W79:W79"/>
    <mergeCell ref="X79:X79"/>
    <mergeCell ref="Y79:Y79"/>
    <mergeCell ref="Z79:Z79"/>
    <mergeCell ref="AA79:AA79"/>
    <mergeCell ref="AB79:AB79"/>
    <mergeCell ref="AC79:AC79"/>
    <mergeCell ref="AD79:AD79"/>
    <mergeCell ref="AE79:AE79"/>
    <mergeCell ref="AF79:AF79"/>
    <mergeCell ref="AG79:AG79"/>
    <mergeCell ref="AH79:AH79"/>
    <mergeCell ref="AI79:AI79"/>
    <mergeCell ref="AJ79:AJ79"/>
    <mergeCell ref="AK79:AK79"/>
    <mergeCell ref="AL79:AL79"/>
    <mergeCell ref="AM79:AM79"/>
    <mergeCell ref="AN79:AN79"/>
    <mergeCell ref="AO79:AO79"/>
    <mergeCell ref="A80:A80"/>
    <mergeCell ref="B80:B80"/>
    <mergeCell ref="C80:C80"/>
    <mergeCell ref="D80:D80"/>
    <mergeCell ref="E80:E80"/>
    <mergeCell ref="F80:F80"/>
    <mergeCell ref="G80:G80"/>
    <mergeCell ref="H80:H80"/>
    <mergeCell ref="I80:I80"/>
    <mergeCell ref="J80:J80"/>
    <mergeCell ref="K80:K80"/>
    <mergeCell ref="L80:L80"/>
    <mergeCell ref="M80:M80"/>
    <mergeCell ref="N80:N80"/>
    <mergeCell ref="O80:O80"/>
    <mergeCell ref="P80:P80"/>
    <mergeCell ref="Q80:Q80"/>
    <mergeCell ref="R80:R80"/>
    <mergeCell ref="S80:S80"/>
    <mergeCell ref="T80:T80"/>
    <mergeCell ref="U80:U80"/>
    <mergeCell ref="V80:V80"/>
    <mergeCell ref="W80:W80"/>
    <mergeCell ref="X80:X80"/>
    <mergeCell ref="Y80:Y80"/>
    <mergeCell ref="Z80:Z80"/>
    <mergeCell ref="AA80:AA80"/>
    <mergeCell ref="AB80:AB80"/>
    <mergeCell ref="AC80:AC80"/>
    <mergeCell ref="AD80:AD80"/>
    <mergeCell ref="AE80:AE80"/>
    <mergeCell ref="AF80:AF80"/>
    <mergeCell ref="AG80:AG80"/>
    <mergeCell ref="AH80:AH80"/>
    <mergeCell ref="AI80:AI80"/>
    <mergeCell ref="AJ80:AJ80"/>
    <mergeCell ref="AK80:AK80"/>
    <mergeCell ref="AL80:AL80"/>
    <mergeCell ref="AM80:AM80"/>
    <mergeCell ref="AN80:AN80"/>
    <mergeCell ref="AO80:AO80"/>
    <mergeCell ref="A81:A81"/>
    <mergeCell ref="B81:B81"/>
    <mergeCell ref="C81:C81"/>
    <mergeCell ref="D81:D81"/>
    <mergeCell ref="E81:E81"/>
    <mergeCell ref="F81:F81"/>
    <mergeCell ref="G81:G81"/>
    <mergeCell ref="H81:H81"/>
    <mergeCell ref="I81:I81"/>
    <mergeCell ref="J81:J81"/>
    <mergeCell ref="K81:K81"/>
    <mergeCell ref="L81:L81"/>
    <mergeCell ref="M81:M81"/>
    <mergeCell ref="N81:N81"/>
    <mergeCell ref="O81:O81"/>
    <mergeCell ref="P81:P81"/>
    <mergeCell ref="Q81:Q81"/>
    <mergeCell ref="R81:R81"/>
    <mergeCell ref="S81:S81"/>
    <mergeCell ref="T81:T81"/>
    <mergeCell ref="U81:U81"/>
    <mergeCell ref="V81:V81"/>
    <mergeCell ref="W81:W81"/>
    <mergeCell ref="X81:X81"/>
    <mergeCell ref="Y81:Y81"/>
    <mergeCell ref="Z81:Z81"/>
    <mergeCell ref="AA81:AA81"/>
    <mergeCell ref="AB81:AB81"/>
    <mergeCell ref="AC81:AC81"/>
    <mergeCell ref="AD81:AD81"/>
    <mergeCell ref="AE81:AE81"/>
    <mergeCell ref="AF81:AF81"/>
    <mergeCell ref="AG81:AG81"/>
    <mergeCell ref="AH81:AH81"/>
    <mergeCell ref="AI81:AI81"/>
    <mergeCell ref="AJ81:AJ81"/>
    <mergeCell ref="AK81:AK81"/>
    <mergeCell ref="AL81:AL81"/>
    <mergeCell ref="AM81:AM81"/>
    <mergeCell ref="AN81:AN81"/>
    <mergeCell ref="AO81:AO81"/>
    <mergeCell ref="A82:A82"/>
    <mergeCell ref="B82:B82"/>
    <mergeCell ref="C82:C82"/>
    <mergeCell ref="D82:D82"/>
    <mergeCell ref="E82:E82"/>
    <mergeCell ref="F82:F82"/>
    <mergeCell ref="G82:G82"/>
    <mergeCell ref="H82:H82"/>
    <mergeCell ref="I82:I82"/>
    <mergeCell ref="J82:J82"/>
    <mergeCell ref="K82:K82"/>
    <mergeCell ref="L82:L82"/>
    <mergeCell ref="M82:M82"/>
    <mergeCell ref="N82:N82"/>
    <mergeCell ref="O82:O82"/>
    <mergeCell ref="P82:P82"/>
    <mergeCell ref="Q82:Q82"/>
    <mergeCell ref="R82:R82"/>
    <mergeCell ref="S82:S82"/>
    <mergeCell ref="T82:T82"/>
    <mergeCell ref="U82:U82"/>
    <mergeCell ref="V82:V82"/>
    <mergeCell ref="W82:W82"/>
    <mergeCell ref="X82:X82"/>
    <mergeCell ref="Y82:Y82"/>
    <mergeCell ref="Z82:Z82"/>
    <mergeCell ref="AA82:AA82"/>
    <mergeCell ref="AB82:AB82"/>
    <mergeCell ref="AC82:AC82"/>
    <mergeCell ref="AD82:AD82"/>
    <mergeCell ref="AE82:AE82"/>
    <mergeCell ref="AF82:AF82"/>
    <mergeCell ref="AG82:AG82"/>
    <mergeCell ref="AH82:AH82"/>
    <mergeCell ref="AI82:AI82"/>
    <mergeCell ref="AJ82:AJ82"/>
    <mergeCell ref="AK82:AK82"/>
    <mergeCell ref="AL82:AL82"/>
    <mergeCell ref="AM82:AM82"/>
    <mergeCell ref="AN82:AN82"/>
    <mergeCell ref="AO82:AO82"/>
    <mergeCell ref="A83:A83"/>
    <mergeCell ref="B83:B83"/>
    <mergeCell ref="C83:C83"/>
    <mergeCell ref="D83:D83"/>
    <mergeCell ref="E83:E83"/>
    <mergeCell ref="F83:F83"/>
    <mergeCell ref="G83:G83"/>
    <mergeCell ref="H83:H83"/>
    <mergeCell ref="I83:I83"/>
    <mergeCell ref="J83:J83"/>
    <mergeCell ref="K83:K83"/>
    <mergeCell ref="L83:L83"/>
    <mergeCell ref="M83:M83"/>
    <mergeCell ref="N83:N83"/>
    <mergeCell ref="O83:O83"/>
    <mergeCell ref="P83:P83"/>
    <mergeCell ref="Q83:Q83"/>
    <mergeCell ref="R83:R83"/>
    <mergeCell ref="S83:S83"/>
    <mergeCell ref="T83:T83"/>
    <mergeCell ref="U83:U83"/>
    <mergeCell ref="V83:V83"/>
    <mergeCell ref="W83:W83"/>
    <mergeCell ref="X83:X83"/>
    <mergeCell ref="Y83:Y83"/>
    <mergeCell ref="Z83:Z83"/>
    <mergeCell ref="AA83:AA83"/>
    <mergeCell ref="AB83:AB83"/>
    <mergeCell ref="AC83:AC83"/>
    <mergeCell ref="AD83:AD83"/>
    <mergeCell ref="AE83:AE83"/>
    <mergeCell ref="AF83:AF83"/>
    <mergeCell ref="AG83:AG83"/>
    <mergeCell ref="AH83:AH83"/>
    <mergeCell ref="AI83:AI83"/>
    <mergeCell ref="AJ83:AJ83"/>
    <mergeCell ref="AK83:AK83"/>
    <mergeCell ref="AL83:AL83"/>
    <mergeCell ref="AM83:AM83"/>
    <mergeCell ref="AN83:AN83"/>
    <mergeCell ref="AO83:AO83"/>
    <mergeCell ref="A84:A84"/>
    <mergeCell ref="B84:B84"/>
    <mergeCell ref="C84:C84"/>
    <mergeCell ref="D84:D84"/>
    <mergeCell ref="E84:E84"/>
    <mergeCell ref="F84:F84"/>
    <mergeCell ref="G84:G84"/>
    <mergeCell ref="H84:H84"/>
    <mergeCell ref="I84:I84"/>
    <mergeCell ref="J84:J84"/>
    <mergeCell ref="K84:K84"/>
    <mergeCell ref="L84:L84"/>
    <mergeCell ref="M84:M84"/>
    <mergeCell ref="N84:N84"/>
    <mergeCell ref="O84:O84"/>
    <mergeCell ref="P84:P84"/>
    <mergeCell ref="Q84:Q84"/>
    <mergeCell ref="R84:R84"/>
    <mergeCell ref="S84:S84"/>
    <mergeCell ref="T84:T84"/>
    <mergeCell ref="U84:U84"/>
    <mergeCell ref="V84:V84"/>
    <mergeCell ref="W84:W84"/>
    <mergeCell ref="X84:X84"/>
    <mergeCell ref="Y84:Y84"/>
    <mergeCell ref="Z84:Z84"/>
    <mergeCell ref="AA84:AA84"/>
    <mergeCell ref="AB84:AB84"/>
    <mergeCell ref="AC84:AC84"/>
    <mergeCell ref="AD84:AD84"/>
    <mergeCell ref="AE84:AE84"/>
    <mergeCell ref="AF84:AF84"/>
    <mergeCell ref="AG84:AG84"/>
    <mergeCell ref="AH84:AH84"/>
    <mergeCell ref="AI84:AI84"/>
    <mergeCell ref="AJ84:AJ84"/>
    <mergeCell ref="AK84:AK84"/>
    <mergeCell ref="AL84:AL84"/>
    <mergeCell ref="AM84:AM84"/>
    <mergeCell ref="AN84:AN84"/>
    <mergeCell ref="AO84:AO84"/>
    <mergeCell ref="A85:A85"/>
    <mergeCell ref="B85:B85"/>
    <mergeCell ref="C85:C85"/>
    <mergeCell ref="D85:D85"/>
    <mergeCell ref="E85:E85"/>
    <mergeCell ref="F85:F85"/>
    <mergeCell ref="G85:G85"/>
    <mergeCell ref="H85:H85"/>
    <mergeCell ref="I85:I85"/>
    <mergeCell ref="J85:J85"/>
    <mergeCell ref="K85:K85"/>
    <mergeCell ref="L85:L85"/>
    <mergeCell ref="M85:M85"/>
    <mergeCell ref="N85:N85"/>
    <mergeCell ref="O85:O85"/>
    <mergeCell ref="P85:P85"/>
    <mergeCell ref="Q85:Q85"/>
    <mergeCell ref="R85:R85"/>
    <mergeCell ref="S85:S85"/>
    <mergeCell ref="T85:T85"/>
    <mergeCell ref="U85:U85"/>
    <mergeCell ref="V85:V85"/>
    <mergeCell ref="W85:W85"/>
    <mergeCell ref="X85:X85"/>
    <mergeCell ref="Y85:Y85"/>
    <mergeCell ref="Z85:Z85"/>
    <mergeCell ref="AA85:AA85"/>
    <mergeCell ref="AB85:AB85"/>
    <mergeCell ref="AC85:AC85"/>
    <mergeCell ref="AD85:AD85"/>
    <mergeCell ref="AE85:AE85"/>
    <mergeCell ref="AF85:AF85"/>
    <mergeCell ref="AG85:AG85"/>
    <mergeCell ref="AH85:AH85"/>
    <mergeCell ref="AI85:AI85"/>
    <mergeCell ref="AJ85:AJ85"/>
    <mergeCell ref="AK85:AK85"/>
    <mergeCell ref="AL85:AL85"/>
    <mergeCell ref="AM85:AM85"/>
    <mergeCell ref="AN85:AN85"/>
    <mergeCell ref="AO85:AO85"/>
    <mergeCell ref="A86:A86"/>
    <mergeCell ref="B86:B86"/>
    <mergeCell ref="C86:C86"/>
    <mergeCell ref="D86:D86"/>
    <mergeCell ref="E86:E86"/>
    <mergeCell ref="F86:F86"/>
    <mergeCell ref="G86:G86"/>
    <mergeCell ref="H86:H86"/>
    <mergeCell ref="I86:I86"/>
    <mergeCell ref="J86:J86"/>
    <mergeCell ref="K86:K86"/>
    <mergeCell ref="L86:L86"/>
    <mergeCell ref="M86:M86"/>
    <mergeCell ref="N86:N86"/>
    <mergeCell ref="O86:O86"/>
    <mergeCell ref="P86:P86"/>
    <mergeCell ref="Q86:Q86"/>
    <mergeCell ref="R86:R86"/>
    <mergeCell ref="S86:S86"/>
    <mergeCell ref="T86:T86"/>
    <mergeCell ref="U86:U86"/>
    <mergeCell ref="V86:V86"/>
    <mergeCell ref="W86:W86"/>
    <mergeCell ref="X86:X86"/>
    <mergeCell ref="Y86:Y86"/>
    <mergeCell ref="Z86:Z86"/>
    <mergeCell ref="AA86:AA86"/>
    <mergeCell ref="AB86:AB86"/>
    <mergeCell ref="AC86:AC86"/>
    <mergeCell ref="AD86:AD86"/>
    <mergeCell ref="AE86:AE86"/>
    <mergeCell ref="AF86:AF86"/>
    <mergeCell ref="AG86:AG86"/>
    <mergeCell ref="AH86:AH86"/>
    <mergeCell ref="AI86:AI86"/>
    <mergeCell ref="AJ86:AJ86"/>
    <mergeCell ref="AK86:AK86"/>
    <mergeCell ref="AL86:AL86"/>
    <mergeCell ref="AM86:AM86"/>
    <mergeCell ref="AN86:AN86"/>
    <mergeCell ref="AO86:AO86"/>
    <mergeCell ref="A87:A87"/>
    <mergeCell ref="B87:B87"/>
    <mergeCell ref="C87:C87"/>
    <mergeCell ref="D87:D87"/>
    <mergeCell ref="E87:E87"/>
    <mergeCell ref="F87:F87"/>
    <mergeCell ref="G87:G87"/>
    <mergeCell ref="H87:H87"/>
    <mergeCell ref="I87:I87"/>
    <mergeCell ref="J87:J87"/>
    <mergeCell ref="K87:K87"/>
    <mergeCell ref="L87:L87"/>
    <mergeCell ref="M87:M87"/>
    <mergeCell ref="N87:N87"/>
    <mergeCell ref="O87:O87"/>
    <mergeCell ref="P87:P87"/>
    <mergeCell ref="Q87:Q87"/>
    <mergeCell ref="R87:R87"/>
    <mergeCell ref="S87:S87"/>
    <mergeCell ref="T87:T87"/>
    <mergeCell ref="U87:U87"/>
    <mergeCell ref="V87:V87"/>
    <mergeCell ref="W87:W87"/>
    <mergeCell ref="X87:X87"/>
    <mergeCell ref="Y87:Y87"/>
    <mergeCell ref="Z87:Z87"/>
    <mergeCell ref="AA87:AA87"/>
    <mergeCell ref="AB87:AB87"/>
    <mergeCell ref="AC87:AC87"/>
    <mergeCell ref="AD87:AD87"/>
    <mergeCell ref="AE87:AE87"/>
    <mergeCell ref="AF87:AF87"/>
    <mergeCell ref="AG87:AG87"/>
    <mergeCell ref="AH87:AH87"/>
    <mergeCell ref="AI87:AI87"/>
    <mergeCell ref="AJ87:AJ87"/>
    <mergeCell ref="AK87:AK87"/>
    <mergeCell ref="AL87:AL87"/>
    <mergeCell ref="AM87:AM87"/>
    <mergeCell ref="AN87:AN87"/>
    <mergeCell ref="AO87:AO87"/>
    <mergeCell ref="A88:A88"/>
    <mergeCell ref="B88:B88"/>
    <mergeCell ref="C88:C88"/>
    <mergeCell ref="D88:D88"/>
    <mergeCell ref="E88:E88"/>
    <mergeCell ref="F88:F88"/>
    <mergeCell ref="G88:G88"/>
    <mergeCell ref="H88:H88"/>
    <mergeCell ref="I88:I88"/>
    <mergeCell ref="J88:J88"/>
    <mergeCell ref="K88:K88"/>
    <mergeCell ref="L88:L88"/>
    <mergeCell ref="M88:M88"/>
    <mergeCell ref="N88:N88"/>
    <mergeCell ref="O88:O88"/>
    <mergeCell ref="P88:P88"/>
    <mergeCell ref="Q88:Q88"/>
    <mergeCell ref="R88:R88"/>
    <mergeCell ref="S88:S88"/>
    <mergeCell ref="T88:T88"/>
    <mergeCell ref="U88:U88"/>
    <mergeCell ref="V88:V88"/>
    <mergeCell ref="W88:W88"/>
    <mergeCell ref="X88:X88"/>
    <mergeCell ref="Y88:Y88"/>
    <mergeCell ref="Z88:Z88"/>
    <mergeCell ref="AA88:AA88"/>
    <mergeCell ref="AB88:AB88"/>
    <mergeCell ref="AC88:AC88"/>
    <mergeCell ref="AD88:AD88"/>
    <mergeCell ref="AE88:AE88"/>
    <mergeCell ref="AF88:AF88"/>
    <mergeCell ref="AG88:AG88"/>
    <mergeCell ref="AH88:AH88"/>
    <mergeCell ref="AI88:AI88"/>
    <mergeCell ref="AJ88:AJ88"/>
    <mergeCell ref="AK88:AK88"/>
    <mergeCell ref="AL88:AL88"/>
    <mergeCell ref="AM88:AM88"/>
    <mergeCell ref="AN88:AN88"/>
    <mergeCell ref="AO88:AO88"/>
    <mergeCell ref="A89:A89"/>
    <mergeCell ref="B89:B89"/>
    <mergeCell ref="C89:C89"/>
    <mergeCell ref="D89:D89"/>
    <mergeCell ref="E89:E89"/>
    <mergeCell ref="F89:F89"/>
    <mergeCell ref="G89:G89"/>
    <mergeCell ref="H89:H89"/>
    <mergeCell ref="I89:I89"/>
    <mergeCell ref="J89:J89"/>
    <mergeCell ref="K89:K89"/>
    <mergeCell ref="L89:L89"/>
    <mergeCell ref="M89:M89"/>
    <mergeCell ref="N89:N89"/>
    <mergeCell ref="O89:O89"/>
    <mergeCell ref="P89:P89"/>
    <mergeCell ref="Q89:Q89"/>
    <mergeCell ref="R89:R89"/>
    <mergeCell ref="S89:S89"/>
    <mergeCell ref="T89:T89"/>
    <mergeCell ref="U89:U89"/>
    <mergeCell ref="V89:V89"/>
    <mergeCell ref="W89:W89"/>
    <mergeCell ref="X89:X89"/>
    <mergeCell ref="Y89:Y89"/>
    <mergeCell ref="Z89:Z89"/>
    <mergeCell ref="AA89:AA89"/>
    <mergeCell ref="AB89:AB89"/>
    <mergeCell ref="AC89:AC89"/>
    <mergeCell ref="AD89:AD89"/>
    <mergeCell ref="AE89:AE89"/>
    <mergeCell ref="AF89:AF89"/>
    <mergeCell ref="AG89:AG89"/>
    <mergeCell ref="AH89:AH89"/>
    <mergeCell ref="AI89:AI89"/>
    <mergeCell ref="AJ89:AJ89"/>
    <mergeCell ref="AK89:AK89"/>
    <mergeCell ref="AL89:AL89"/>
    <mergeCell ref="AM89:AM89"/>
    <mergeCell ref="AN89:AN89"/>
    <mergeCell ref="AO89:AO89"/>
    <mergeCell ref="A90:A90"/>
    <mergeCell ref="B90:B90"/>
    <mergeCell ref="C90:C90"/>
    <mergeCell ref="D90:D90"/>
    <mergeCell ref="E90:E90"/>
    <mergeCell ref="F90:F90"/>
    <mergeCell ref="G90:G90"/>
    <mergeCell ref="H90:H90"/>
    <mergeCell ref="I90:I90"/>
    <mergeCell ref="J90:J90"/>
    <mergeCell ref="K90:K90"/>
    <mergeCell ref="L90:L90"/>
    <mergeCell ref="M90:M90"/>
    <mergeCell ref="N90:N90"/>
    <mergeCell ref="O90:O90"/>
    <mergeCell ref="P90:P90"/>
    <mergeCell ref="Q90:Q90"/>
    <mergeCell ref="R90:R90"/>
    <mergeCell ref="S90:S90"/>
    <mergeCell ref="T90:T90"/>
    <mergeCell ref="U90:U90"/>
    <mergeCell ref="V90:V90"/>
    <mergeCell ref="W90:W90"/>
    <mergeCell ref="X90:X90"/>
    <mergeCell ref="Y90:Y90"/>
    <mergeCell ref="Z90:Z90"/>
    <mergeCell ref="AA90:AA90"/>
    <mergeCell ref="AB90:AB90"/>
    <mergeCell ref="AC90:AC90"/>
    <mergeCell ref="AD90:AD90"/>
    <mergeCell ref="AE90:AE90"/>
    <mergeCell ref="AF90:AF90"/>
    <mergeCell ref="AG90:AG90"/>
    <mergeCell ref="AH90:AH90"/>
    <mergeCell ref="AI90:AI90"/>
    <mergeCell ref="AJ90:AJ90"/>
    <mergeCell ref="AK90:AK90"/>
    <mergeCell ref="AL90:AL90"/>
    <mergeCell ref="AM90:AM90"/>
    <mergeCell ref="AN90:AN90"/>
    <mergeCell ref="AO90:AO90"/>
    <mergeCell ref="A91:A91"/>
    <mergeCell ref="B91:B91"/>
    <mergeCell ref="C91:C91"/>
    <mergeCell ref="D91:D91"/>
    <mergeCell ref="E91:E91"/>
    <mergeCell ref="F91:F91"/>
    <mergeCell ref="G91:G91"/>
    <mergeCell ref="H91:H91"/>
    <mergeCell ref="I91:I91"/>
    <mergeCell ref="J91:J91"/>
    <mergeCell ref="K91:K91"/>
    <mergeCell ref="L91:L91"/>
    <mergeCell ref="M91:M91"/>
    <mergeCell ref="N91:N91"/>
    <mergeCell ref="O91:O91"/>
    <mergeCell ref="P91:P91"/>
    <mergeCell ref="Q91:Q91"/>
    <mergeCell ref="R91:R91"/>
    <mergeCell ref="S91:S91"/>
    <mergeCell ref="T91:T91"/>
    <mergeCell ref="U91:U91"/>
    <mergeCell ref="V91:V91"/>
    <mergeCell ref="W91:W91"/>
    <mergeCell ref="X91:X91"/>
    <mergeCell ref="Y91:Y91"/>
    <mergeCell ref="Z91:Z91"/>
    <mergeCell ref="AA91:AA91"/>
    <mergeCell ref="AB91:AB91"/>
    <mergeCell ref="AC91:AC91"/>
    <mergeCell ref="AD91:AD91"/>
    <mergeCell ref="AE91:AE91"/>
    <mergeCell ref="AF91:AF91"/>
    <mergeCell ref="AG91:AG91"/>
    <mergeCell ref="AH91:AH91"/>
    <mergeCell ref="AI91:AI91"/>
    <mergeCell ref="AJ91:AJ91"/>
    <mergeCell ref="AK91:AK91"/>
    <mergeCell ref="AL91:AL91"/>
    <mergeCell ref="AM91:AM91"/>
    <mergeCell ref="AN91:AN91"/>
    <mergeCell ref="AO91:AO91"/>
    <mergeCell ref="A92:A92"/>
    <mergeCell ref="B92:B92"/>
    <mergeCell ref="C92:C92"/>
    <mergeCell ref="D92:D92"/>
    <mergeCell ref="E92:E92"/>
    <mergeCell ref="F92:F92"/>
    <mergeCell ref="G92:G92"/>
    <mergeCell ref="H92:H92"/>
    <mergeCell ref="I92:I92"/>
    <mergeCell ref="J92:J92"/>
    <mergeCell ref="K92:K92"/>
    <mergeCell ref="L92:L92"/>
    <mergeCell ref="M92:M92"/>
    <mergeCell ref="N92:N92"/>
    <mergeCell ref="O92:O92"/>
    <mergeCell ref="P92:P92"/>
    <mergeCell ref="Q92:Q92"/>
    <mergeCell ref="R92:R92"/>
    <mergeCell ref="S92:S92"/>
    <mergeCell ref="T92:T92"/>
    <mergeCell ref="U92:U92"/>
    <mergeCell ref="V92:V92"/>
    <mergeCell ref="W92:W92"/>
    <mergeCell ref="X92:X92"/>
    <mergeCell ref="Y92:Y92"/>
    <mergeCell ref="Z92:Z92"/>
    <mergeCell ref="AA92:AA92"/>
    <mergeCell ref="AB92:AB92"/>
    <mergeCell ref="AC92:AC92"/>
    <mergeCell ref="AD92:AD92"/>
    <mergeCell ref="AE92:AE92"/>
    <mergeCell ref="AF92:AF92"/>
    <mergeCell ref="AG92:AG92"/>
    <mergeCell ref="AH92:AH92"/>
    <mergeCell ref="AI92:AI92"/>
    <mergeCell ref="AJ92:AJ92"/>
    <mergeCell ref="AK92:AK92"/>
    <mergeCell ref="AL92:AL92"/>
    <mergeCell ref="AM92:AM92"/>
    <mergeCell ref="AN92:AN92"/>
    <mergeCell ref="AO92:AO92"/>
    <mergeCell ref="A93:A93"/>
    <mergeCell ref="B93:B93"/>
    <mergeCell ref="C93:C93"/>
    <mergeCell ref="D93:D93"/>
    <mergeCell ref="E93:E93"/>
    <mergeCell ref="F93:F93"/>
    <mergeCell ref="G93:G93"/>
    <mergeCell ref="H93:H93"/>
    <mergeCell ref="I93:I93"/>
    <mergeCell ref="J93:J93"/>
    <mergeCell ref="K93:K93"/>
    <mergeCell ref="L93:L93"/>
    <mergeCell ref="M93:M93"/>
    <mergeCell ref="N93:N93"/>
    <mergeCell ref="O93:O93"/>
    <mergeCell ref="P93:P93"/>
    <mergeCell ref="Q93:Q93"/>
    <mergeCell ref="R93:R93"/>
    <mergeCell ref="S93:S93"/>
    <mergeCell ref="T93:T93"/>
    <mergeCell ref="U93:U93"/>
    <mergeCell ref="V93:V93"/>
    <mergeCell ref="W93:W93"/>
    <mergeCell ref="X93:X93"/>
    <mergeCell ref="Y93:Y93"/>
    <mergeCell ref="Z93:Z93"/>
    <mergeCell ref="AA93:AA93"/>
    <mergeCell ref="AB93:AB93"/>
    <mergeCell ref="AC93:AC93"/>
    <mergeCell ref="AD93:AD93"/>
    <mergeCell ref="AE93:AE93"/>
    <mergeCell ref="AF93:AF93"/>
    <mergeCell ref="AG93:AG93"/>
    <mergeCell ref="AH93:AH93"/>
    <mergeCell ref="AI93:AI93"/>
    <mergeCell ref="AJ93:AJ93"/>
    <mergeCell ref="AK93:AK93"/>
    <mergeCell ref="AL93:AL93"/>
    <mergeCell ref="AM93:AM93"/>
    <mergeCell ref="AN93:AN93"/>
    <mergeCell ref="AO93:AO93"/>
    <mergeCell ref="A94:A94"/>
    <mergeCell ref="B94:B94"/>
    <mergeCell ref="C94:C94"/>
    <mergeCell ref="D94:D94"/>
    <mergeCell ref="E94:E94"/>
    <mergeCell ref="F94:F94"/>
    <mergeCell ref="G94:G94"/>
    <mergeCell ref="H94:H94"/>
    <mergeCell ref="I94:I94"/>
    <mergeCell ref="J94:J94"/>
    <mergeCell ref="K94:K94"/>
    <mergeCell ref="L94:L94"/>
    <mergeCell ref="M94:M94"/>
    <mergeCell ref="N94:N94"/>
    <mergeCell ref="O94:O94"/>
    <mergeCell ref="P94:P94"/>
    <mergeCell ref="Q94:Q94"/>
    <mergeCell ref="R94:R94"/>
    <mergeCell ref="S94:S94"/>
    <mergeCell ref="T94:T94"/>
    <mergeCell ref="U94:U94"/>
    <mergeCell ref="V94:V94"/>
    <mergeCell ref="W94:W94"/>
    <mergeCell ref="X94:X94"/>
    <mergeCell ref="Y94:Y94"/>
    <mergeCell ref="Z94:Z94"/>
    <mergeCell ref="AA94:AA94"/>
    <mergeCell ref="AB94:AB94"/>
    <mergeCell ref="AC94:AC94"/>
    <mergeCell ref="AD94:AD94"/>
    <mergeCell ref="AE94:AE94"/>
    <mergeCell ref="AF94:AF94"/>
    <mergeCell ref="AG94:AG94"/>
    <mergeCell ref="AH94:AH94"/>
    <mergeCell ref="AI94:AI94"/>
    <mergeCell ref="AJ94:AJ94"/>
    <mergeCell ref="AK94:AK94"/>
    <mergeCell ref="AL94:AL94"/>
    <mergeCell ref="AM94:AM94"/>
    <mergeCell ref="AN94:AN94"/>
    <mergeCell ref="AO94:AO94"/>
    <mergeCell ref="A95:A95"/>
    <mergeCell ref="B95:B95"/>
    <mergeCell ref="C95:C95"/>
    <mergeCell ref="D95:D95"/>
    <mergeCell ref="E95:E95"/>
    <mergeCell ref="F95:F95"/>
    <mergeCell ref="G95:G95"/>
    <mergeCell ref="H95:H95"/>
    <mergeCell ref="I95:I95"/>
    <mergeCell ref="J95:J95"/>
    <mergeCell ref="K95:K95"/>
    <mergeCell ref="L95:L95"/>
    <mergeCell ref="M95:M95"/>
    <mergeCell ref="N95:N95"/>
    <mergeCell ref="O95:O95"/>
    <mergeCell ref="P95:P95"/>
    <mergeCell ref="Q95:Q95"/>
    <mergeCell ref="R95:R95"/>
    <mergeCell ref="S95:S95"/>
    <mergeCell ref="T95:T95"/>
    <mergeCell ref="U95:U95"/>
    <mergeCell ref="V95:V95"/>
    <mergeCell ref="W95:W95"/>
    <mergeCell ref="X95:X95"/>
    <mergeCell ref="Y95:Y95"/>
    <mergeCell ref="Z95:Z95"/>
    <mergeCell ref="AA95:AA95"/>
    <mergeCell ref="AB95:AB95"/>
    <mergeCell ref="AC95:AC95"/>
    <mergeCell ref="AD95:AD95"/>
    <mergeCell ref="AE95:AE95"/>
    <mergeCell ref="AF95:AF95"/>
    <mergeCell ref="AG95:AG95"/>
    <mergeCell ref="AH95:AH95"/>
    <mergeCell ref="AI95:AI95"/>
    <mergeCell ref="AJ95:AJ95"/>
    <mergeCell ref="AK95:AK95"/>
    <mergeCell ref="AL95:AL95"/>
    <mergeCell ref="AM95:AM95"/>
    <mergeCell ref="AN95:AN95"/>
    <mergeCell ref="AO95:AO95"/>
    <mergeCell ref="A96:A96"/>
    <mergeCell ref="B96:B96"/>
    <mergeCell ref="C96:C96"/>
    <mergeCell ref="D96:D96"/>
    <mergeCell ref="E96:E96"/>
    <mergeCell ref="F96:F96"/>
    <mergeCell ref="G96:G96"/>
    <mergeCell ref="H96:H96"/>
    <mergeCell ref="I96:I96"/>
    <mergeCell ref="J96:J96"/>
    <mergeCell ref="K96:K96"/>
    <mergeCell ref="L96:L96"/>
    <mergeCell ref="M96:M96"/>
    <mergeCell ref="N96:N96"/>
    <mergeCell ref="O96:O96"/>
    <mergeCell ref="P96:P96"/>
    <mergeCell ref="Q96:Q96"/>
    <mergeCell ref="R96:R96"/>
    <mergeCell ref="S96:S96"/>
    <mergeCell ref="T96:T96"/>
    <mergeCell ref="U96:U96"/>
    <mergeCell ref="V96:V96"/>
    <mergeCell ref="W96:W96"/>
    <mergeCell ref="X96:X96"/>
    <mergeCell ref="Y96:Y96"/>
    <mergeCell ref="Z96:Z96"/>
    <mergeCell ref="AA96:AA96"/>
    <mergeCell ref="AB96:AB96"/>
    <mergeCell ref="AC96:AC96"/>
    <mergeCell ref="AD96:AD96"/>
    <mergeCell ref="AE96:AE96"/>
    <mergeCell ref="AF96:AF96"/>
    <mergeCell ref="AG96:AG96"/>
    <mergeCell ref="AH96:AH96"/>
    <mergeCell ref="AI96:AI96"/>
    <mergeCell ref="AJ96:AJ96"/>
    <mergeCell ref="AK96:AK96"/>
    <mergeCell ref="AL96:AL96"/>
    <mergeCell ref="AM96:AM96"/>
    <mergeCell ref="AN96:AN96"/>
    <mergeCell ref="AO96:AO96"/>
    <mergeCell ref="A97:A97"/>
    <mergeCell ref="B97:B97"/>
    <mergeCell ref="C97:C97"/>
    <mergeCell ref="D97:D97"/>
    <mergeCell ref="E97:E97"/>
    <mergeCell ref="F97:F97"/>
    <mergeCell ref="G97:G97"/>
    <mergeCell ref="H97:H97"/>
    <mergeCell ref="I97:I97"/>
    <mergeCell ref="J97:J97"/>
    <mergeCell ref="K97:K97"/>
    <mergeCell ref="L97:L97"/>
    <mergeCell ref="M97:M97"/>
    <mergeCell ref="N97:N97"/>
    <mergeCell ref="O97:O97"/>
    <mergeCell ref="P97:P97"/>
    <mergeCell ref="Q97:Q97"/>
    <mergeCell ref="R97:R97"/>
    <mergeCell ref="S97:S97"/>
    <mergeCell ref="T97:T97"/>
    <mergeCell ref="U97:U97"/>
    <mergeCell ref="V97:V97"/>
    <mergeCell ref="W97:W97"/>
    <mergeCell ref="X97:X97"/>
    <mergeCell ref="Y97:Y97"/>
    <mergeCell ref="Z97:Z97"/>
    <mergeCell ref="AA97:AA97"/>
    <mergeCell ref="AB97:AB97"/>
    <mergeCell ref="AC97:AC97"/>
    <mergeCell ref="AD97:AD97"/>
    <mergeCell ref="AE97:AE97"/>
    <mergeCell ref="AF97:AF97"/>
    <mergeCell ref="AG97:AG97"/>
    <mergeCell ref="AH97:AH97"/>
    <mergeCell ref="AI97:AI97"/>
    <mergeCell ref="AJ97:AJ97"/>
    <mergeCell ref="AK97:AK97"/>
    <mergeCell ref="AL97:AL97"/>
    <mergeCell ref="AM97:AM97"/>
    <mergeCell ref="AN97:AN97"/>
    <mergeCell ref="AO97:AO97"/>
    <mergeCell ref="A98:A98"/>
    <mergeCell ref="B98:B98"/>
    <mergeCell ref="C98:C98"/>
    <mergeCell ref="D98:D98"/>
    <mergeCell ref="E98:E98"/>
    <mergeCell ref="F98:F98"/>
    <mergeCell ref="G98:G98"/>
    <mergeCell ref="H98:H98"/>
    <mergeCell ref="I98:I98"/>
    <mergeCell ref="J98:J98"/>
    <mergeCell ref="K98:K98"/>
    <mergeCell ref="L98:L98"/>
    <mergeCell ref="M98:M98"/>
    <mergeCell ref="N98:N98"/>
    <mergeCell ref="O98:O98"/>
    <mergeCell ref="P98:P98"/>
    <mergeCell ref="Q98:Q98"/>
    <mergeCell ref="R98:R98"/>
    <mergeCell ref="S98:S98"/>
    <mergeCell ref="T98:T98"/>
    <mergeCell ref="U98:U98"/>
    <mergeCell ref="V98:V98"/>
    <mergeCell ref="W98:W98"/>
    <mergeCell ref="X98:X98"/>
    <mergeCell ref="Y98:Y98"/>
    <mergeCell ref="Z98:Z98"/>
    <mergeCell ref="AA98:AA98"/>
    <mergeCell ref="AB98:AB98"/>
    <mergeCell ref="AC98:AC98"/>
    <mergeCell ref="AD98:AD98"/>
    <mergeCell ref="AE98:AE98"/>
    <mergeCell ref="AF98:AF98"/>
    <mergeCell ref="AG98:AG98"/>
    <mergeCell ref="AH98:AH98"/>
    <mergeCell ref="AI98:AI98"/>
    <mergeCell ref="AJ98:AJ98"/>
    <mergeCell ref="AK98:AK98"/>
    <mergeCell ref="AL98:AL98"/>
    <mergeCell ref="AM98:AM98"/>
    <mergeCell ref="AN98:AN98"/>
    <mergeCell ref="AO98:AO98"/>
    <mergeCell ref="A99:A99"/>
    <mergeCell ref="B99:B99"/>
    <mergeCell ref="C99:C99"/>
    <mergeCell ref="D99:D99"/>
    <mergeCell ref="E99:E99"/>
    <mergeCell ref="F99:F99"/>
    <mergeCell ref="G99:G99"/>
    <mergeCell ref="H99:H99"/>
    <mergeCell ref="I99:I99"/>
    <mergeCell ref="J99:J99"/>
    <mergeCell ref="K99:K99"/>
    <mergeCell ref="L99:L99"/>
    <mergeCell ref="M99:M99"/>
    <mergeCell ref="N99:N99"/>
    <mergeCell ref="O99:O99"/>
    <mergeCell ref="P99:P99"/>
    <mergeCell ref="Q99:Q99"/>
    <mergeCell ref="R99:R99"/>
    <mergeCell ref="S99:S99"/>
    <mergeCell ref="T99:T99"/>
    <mergeCell ref="U99:U99"/>
    <mergeCell ref="V99:V99"/>
    <mergeCell ref="W99:W99"/>
    <mergeCell ref="X99:X99"/>
    <mergeCell ref="Y99:Y99"/>
    <mergeCell ref="Z99:Z99"/>
    <mergeCell ref="AA99:AA99"/>
    <mergeCell ref="AB99:AB99"/>
    <mergeCell ref="AC99:AC99"/>
    <mergeCell ref="AD99:AD99"/>
    <mergeCell ref="AE99:AE99"/>
    <mergeCell ref="AF99:AF99"/>
    <mergeCell ref="AG99:AG99"/>
    <mergeCell ref="AH99:AH99"/>
    <mergeCell ref="AI99:AI99"/>
    <mergeCell ref="AJ99:AJ99"/>
    <mergeCell ref="AK99:AK99"/>
    <mergeCell ref="AL99:AL99"/>
    <mergeCell ref="AM99:AM99"/>
    <mergeCell ref="AN99:AN99"/>
    <mergeCell ref="AO99:AO99"/>
    <mergeCell ref="A100:A100"/>
    <mergeCell ref="B100:B100"/>
    <mergeCell ref="C100:C100"/>
    <mergeCell ref="D100:D100"/>
    <mergeCell ref="E100:E100"/>
    <mergeCell ref="F100:F100"/>
    <mergeCell ref="G100:G100"/>
    <mergeCell ref="H100:H100"/>
    <mergeCell ref="I100:I100"/>
    <mergeCell ref="J100:J100"/>
    <mergeCell ref="K100:K100"/>
    <mergeCell ref="L100:L100"/>
    <mergeCell ref="M100:M100"/>
    <mergeCell ref="N100:N100"/>
    <mergeCell ref="O100:O100"/>
    <mergeCell ref="P100:P100"/>
    <mergeCell ref="Q100:Q100"/>
    <mergeCell ref="R100:R100"/>
    <mergeCell ref="S100:S100"/>
    <mergeCell ref="T100:T100"/>
    <mergeCell ref="U100:U100"/>
    <mergeCell ref="V100:V100"/>
    <mergeCell ref="W100:W100"/>
    <mergeCell ref="X100:X100"/>
    <mergeCell ref="Y100:Y100"/>
    <mergeCell ref="Z100:Z100"/>
    <mergeCell ref="AA100:AA100"/>
    <mergeCell ref="AB100:AB100"/>
    <mergeCell ref="AC100:AC100"/>
    <mergeCell ref="AD100:AD100"/>
    <mergeCell ref="AE100:AE100"/>
    <mergeCell ref="AF100:AF100"/>
    <mergeCell ref="AG100:AG100"/>
    <mergeCell ref="AH100:AH100"/>
    <mergeCell ref="AI100:AI100"/>
    <mergeCell ref="AJ100:AJ100"/>
    <mergeCell ref="AK100:AK100"/>
    <mergeCell ref="AL100:AL100"/>
    <mergeCell ref="AM100:AM100"/>
    <mergeCell ref="AN100:AN100"/>
    <mergeCell ref="AO100:AO100"/>
    <mergeCell ref="A101:A101"/>
    <mergeCell ref="B101:B101"/>
    <mergeCell ref="C101:C101"/>
    <mergeCell ref="D101:D101"/>
    <mergeCell ref="E101:E101"/>
    <mergeCell ref="F101:F101"/>
    <mergeCell ref="G101:G101"/>
    <mergeCell ref="H101:H101"/>
    <mergeCell ref="I101:I101"/>
    <mergeCell ref="J101:J101"/>
    <mergeCell ref="K101:K101"/>
    <mergeCell ref="L101:L101"/>
    <mergeCell ref="M101:M101"/>
    <mergeCell ref="N101:N101"/>
    <mergeCell ref="O101:O101"/>
    <mergeCell ref="P101:P101"/>
    <mergeCell ref="Q101:Q101"/>
    <mergeCell ref="R101:R101"/>
    <mergeCell ref="S101:S101"/>
    <mergeCell ref="T101:T101"/>
    <mergeCell ref="U101:U101"/>
    <mergeCell ref="V101:V101"/>
    <mergeCell ref="W101:W101"/>
    <mergeCell ref="X101:X101"/>
    <mergeCell ref="Y101:Y101"/>
    <mergeCell ref="Z101:Z101"/>
    <mergeCell ref="AA101:AA101"/>
    <mergeCell ref="AB101:AB101"/>
    <mergeCell ref="AC101:AC101"/>
    <mergeCell ref="AD101:AD101"/>
    <mergeCell ref="AE101:AE101"/>
    <mergeCell ref="AF101:AF101"/>
    <mergeCell ref="AG101:AG101"/>
    <mergeCell ref="AH101:AH101"/>
    <mergeCell ref="AI101:AI101"/>
    <mergeCell ref="AJ101:AJ101"/>
    <mergeCell ref="AK101:AK101"/>
    <mergeCell ref="AL101:AL101"/>
    <mergeCell ref="AM101:AM101"/>
    <mergeCell ref="AN101:AN101"/>
    <mergeCell ref="AO101:AO101"/>
    <mergeCell ref="A102:A102"/>
    <mergeCell ref="B102:B102"/>
    <mergeCell ref="C102:C102"/>
    <mergeCell ref="D102:D102"/>
    <mergeCell ref="E102:E102"/>
    <mergeCell ref="F102:F102"/>
    <mergeCell ref="G102:G102"/>
    <mergeCell ref="H102:H102"/>
    <mergeCell ref="I102:I102"/>
    <mergeCell ref="J102:J102"/>
    <mergeCell ref="K102:K102"/>
    <mergeCell ref="L102:L102"/>
    <mergeCell ref="M102:M102"/>
    <mergeCell ref="N102:N102"/>
    <mergeCell ref="O102:O102"/>
    <mergeCell ref="P102:P102"/>
    <mergeCell ref="Q102:Q102"/>
    <mergeCell ref="R102:R102"/>
    <mergeCell ref="S102:S102"/>
    <mergeCell ref="T102:T102"/>
    <mergeCell ref="U102:U102"/>
    <mergeCell ref="V102:V102"/>
    <mergeCell ref="W102:W102"/>
    <mergeCell ref="X102:X102"/>
    <mergeCell ref="Y102:Y102"/>
    <mergeCell ref="Z102:Z102"/>
    <mergeCell ref="AA102:AA102"/>
    <mergeCell ref="AB102:AB102"/>
    <mergeCell ref="AC102:AC102"/>
    <mergeCell ref="AD102:AD102"/>
    <mergeCell ref="AE102:AE102"/>
    <mergeCell ref="AF102:AF102"/>
    <mergeCell ref="AG102:AG102"/>
    <mergeCell ref="AH102:AH102"/>
    <mergeCell ref="AI102:AI102"/>
    <mergeCell ref="AJ102:AJ102"/>
    <mergeCell ref="AK102:AK102"/>
    <mergeCell ref="AL102:AL102"/>
    <mergeCell ref="AM102:AM102"/>
    <mergeCell ref="AN102:AN102"/>
    <mergeCell ref="AO102:AO102"/>
    <mergeCell ref="A103:A103"/>
    <mergeCell ref="B103:B103"/>
    <mergeCell ref="C103:C103"/>
    <mergeCell ref="D103:D103"/>
    <mergeCell ref="E103:E103"/>
    <mergeCell ref="F103:F103"/>
    <mergeCell ref="G103:G103"/>
    <mergeCell ref="H103:H103"/>
    <mergeCell ref="I103:I103"/>
    <mergeCell ref="J103:J103"/>
    <mergeCell ref="K103:K103"/>
    <mergeCell ref="L103:L103"/>
    <mergeCell ref="M103:M103"/>
    <mergeCell ref="N103:N103"/>
    <mergeCell ref="O103:O103"/>
    <mergeCell ref="P103:P103"/>
    <mergeCell ref="Q103:Q103"/>
    <mergeCell ref="R103:R103"/>
    <mergeCell ref="S103:S103"/>
    <mergeCell ref="T103:T103"/>
    <mergeCell ref="U103:U103"/>
    <mergeCell ref="V103:V103"/>
    <mergeCell ref="W103:W103"/>
    <mergeCell ref="X103:X103"/>
    <mergeCell ref="Y103:Y103"/>
    <mergeCell ref="Z103:Z103"/>
    <mergeCell ref="AA103:AA103"/>
    <mergeCell ref="AB103:AB103"/>
    <mergeCell ref="AC103:AC103"/>
    <mergeCell ref="AD103:AD103"/>
    <mergeCell ref="AE103:AE103"/>
    <mergeCell ref="AF103:AF103"/>
    <mergeCell ref="AG103:AG103"/>
    <mergeCell ref="AH103:AH103"/>
    <mergeCell ref="AI103:AI103"/>
    <mergeCell ref="AJ103:AJ103"/>
    <mergeCell ref="AK103:AK103"/>
    <mergeCell ref="AL103:AL103"/>
    <mergeCell ref="AM103:AM103"/>
    <mergeCell ref="AN103:AN103"/>
    <mergeCell ref="AO103:AO103"/>
    <mergeCell ref="A104:A104"/>
    <mergeCell ref="B104:B104"/>
    <mergeCell ref="C104:C104"/>
    <mergeCell ref="D104:D104"/>
    <mergeCell ref="E104:E104"/>
    <mergeCell ref="F104:F104"/>
    <mergeCell ref="G104:G104"/>
    <mergeCell ref="H104:H104"/>
    <mergeCell ref="I104:I104"/>
    <mergeCell ref="J104:J104"/>
    <mergeCell ref="K104:K104"/>
    <mergeCell ref="L104:L104"/>
    <mergeCell ref="M104:M104"/>
    <mergeCell ref="N104:N104"/>
    <mergeCell ref="O104:O104"/>
    <mergeCell ref="P104:P104"/>
    <mergeCell ref="Q104:Q104"/>
    <mergeCell ref="R104:R104"/>
    <mergeCell ref="S104:S104"/>
    <mergeCell ref="T104:T104"/>
    <mergeCell ref="U104:U104"/>
    <mergeCell ref="V104:V104"/>
    <mergeCell ref="W104:W104"/>
    <mergeCell ref="X104:X104"/>
    <mergeCell ref="Y104:Y104"/>
    <mergeCell ref="Z104:Z104"/>
    <mergeCell ref="AA104:AA104"/>
    <mergeCell ref="AB104:AB104"/>
    <mergeCell ref="AC104:AC104"/>
    <mergeCell ref="AD104:AD104"/>
    <mergeCell ref="AE104:AE104"/>
    <mergeCell ref="AF104:AF104"/>
    <mergeCell ref="AG104:AG104"/>
    <mergeCell ref="AH104:AH104"/>
    <mergeCell ref="AI104:AI104"/>
    <mergeCell ref="AJ104:AJ104"/>
    <mergeCell ref="AK104:AK104"/>
    <mergeCell ref="AL104:AL104"/>
    <mergeCell ref="AM104:AM104"/>
    <mergeCell ref="AN104:AN104"/>
    <mergeCell ref="AO104:AO104"/>
    <mergeCell ref="A105:A105"/>
    <mergeCell ref="B105:B105"/>
    <mergeCell ref="C105:C105"/>
    <mergeCell ref="D105:D105"/>
    <mergeCell ref="E105:E105"/>
    <mergeCell ref="F105:F105"/>
    <mergeCell ref="G105:G105"/>
    <mergeCell ref="H105:H105"/>
    <mergeCell ref="I105:I105"/>
    <mergeCell ref="J105:J105"/>
    <mergeCell ref="K105:K105"/>
    <mergeCell ref="L105:L105"/>
    <mergeCell ref="M105:M105"/>
    <mergeCell ref="N105:N105"/>
    <mergeCell ref="O105:O105"/>
    <mergeCell ref="P105:P105"/>
    <mergeCell ref="Q105:Q105"/>
    <mergeCell ref="R105:R105"/>
    <mergeCell ref="S105:S105"/>
    <mergeCell ref="T105:T105"/>
    <mergeCell ref="U105:U105"/>
    <mergeCell ref="V105:V105"/>
    <mergeCell ref="W105:W105"/>
    <mergeCell ref="X105:X105"/>
    <mergeCell ref="Y105:Y105"/>
    <mergeCell ref="Z105:Z105"/>
    <mergeCell ref="AA105:AA105"/>
    <mergeCell ref="AB105:AB105"/>
    <mergeCell ref="AC105:AC105"/>
    <mergeCell ref="AD105:AD105"/>
    <mergeCell ref="AE105:AE105"/>
    <mergeCell ref="AF105:AF105"/>
    <mergeCell ref="AG105:AG105"/>
    <mergeCell ref="AH105:AH105"/>
    <mergeCell ref="AI105:AI105"/>
    <mergeCell ref="AJ105:AJ105"/>
    <mergeCell ref="AK105:AK105"/>
    <mergeCell ref="AL105:AL105"/>
    <mergeCell ref="AM105:AM105"/>
    <mergeCell ref="AN105:AN105"/>
    <mergeCell ref="AO105:AO105"/>
    <mergeCell ref="A106:A106"/>
    <mergeCell ref="B106:B106"/>
    <mergeCell ref="C106:C106"/>
    <mergeCell ref="D106:D106"/>
    <mergeCell ref="E106:E106"/>
    <mergeCell ref="F106:F106"/>
    <mergeCell ref="G106:G106"/>
    <mergeCell ref="H106:H106"/>
    <mergeCell ref="I106:I106"/>
    <mergeCell ref="J106:J106"/>
    <mergeCell ref="K106:K106"/>
    <mergeCell ref="L106:L106"/>
    <mergeCell ref="M106:M106"/>
    <mergeCell ref="N106:N106"/>
    <mergeCell ref="O106:O106"/>
    <mergeCell ref="P106:P106"/>
    <mergeCell ref="Q106:Q106"/>
    <mergeCell ref="R106:R106"/>
    <mergeCell ref="S106:S106"/>
    <mergeCell ref="T106:T106"/>
    <mergeCell ref="U106:U106"/>
    <mergeCell ref="V106:V106"/>
    <mergeCell ref="W106:W106"/>
    <mergeCell ref="X106:X106"/>
    <mergeCell ref="Y106:Y106"/>
    <mergeCell ref="Z106:Z106"/>
    <mergeCell ref="AA106:AA106"/>
    <mergeCell ref="AB106:AB106"/>
    <mergeCell ref="AC106:AC106"/>
    <mergeCell ref="AD106:AD106"/>
    <mergeCell ref="AE106:AE106"/>
    <mergeCell ref="AF106:AF106"/>
    <mergeCell ref="AG106:AG106"/>
    <mergeCell ref="AH106:AH106"/>
    <mergeCell ref="AI106:AI106"/>
    <mergeCell ref="AJ106:AJ106"/>
    <mergeCell ref="AK106:AK106"/>
    <mergeCell ref="AL106:AL106"/>
    <mergeCell ref="AM106:AM106"/>
    <mergeCell ref="AN106:AN106"/>
    <mergeCell ref="AO106:AO106"/>
    <mergeCell ref="A107:A107"/>
    <mergeCell ref="B107:B107"/>
    <mergeCell ref="C107:C107"/>
    <mergeCell ref="D107:D107"/>
    <mergeCell ref="E107:E107"/>
    <mergeCell ref="F107:F107"/>
    <mergeCell ref="G107:G107"/>
    <mergeCell ref="H107:H107"/>
    <mergeCell ref="I107:I107"/>
    <mergeCell ref="J107:J107"/>
    <mergeCell ref="K107:K107"/>
    <mergeCell ref="L107:L107"/>
    <mergeCell ref="M107:M107"/>
    <mergeCell ref="N107:N107"/>
    <mergeCell ref="O107:O107"/>
    <mergeCell ref="P107:P107"/>
    <mergeCell ref="Q107:Q107"/>
    <mergeCell ref="R107:R107"/>
    <mergeCell ref="S107:S107"/>
    <mergeCell ref="T107:T107"/>
    <mergeCell ref="U107:U107"/>
    <mergeCell ref="V107:V107"/>
    <mergeCell ref="W107:W107"/>
    <mergeCell ref="X107:X107"/>
    <mergeCell ref="Y107:Y107"/>
    <mergeCell ref="Z107:Z107"/>
    <mergeCell ref="AA107:AA107"/>
    <mergeCell ref="AB107:AB107"/>
    <mergeCell ref="AC107:AC107"/>
    <mergeCell ref="AD107:AD107"/>
    <mergeCell ref="AE107:AE107"/>
    <mergeCell ref="AF107:AF107"/>
    <mergeCell ref="AG107:AG107"/>
    <mergeCell ref="AH107:AH107"/>
    <mergeCell ref="AI107:AI107"/>
    <mergeCell ref="AJ107:AJ107"/>
    <mergeCell ref="AK107:AK107"/>
    <mergeCell ref="AL107:AL107"/>
    <mergeCell ref="AM107:AM107"/>
    <mergeCell ref="AN107:AN107"/>
    <mergeCell ref="AO107:AO107"/>
    <mergeCell ref="A108:A108"/>
    <mergeCell ref="B108:B108"/>
    <mergeCell ref="C108:C108"/>
    <mergeCell ref="D108:D108"/>
    <mergeCell ref="E108:E108"/>
    <mergeCell ref="F108:F108"/>
    <mergeCell ref="G108:G108"/>
    <mergeCell ref="H108:H108"/>
    <mergeCell ref="I108:I108"/>
    <mergeCell ref="J108:J108"/>
    <mergeCell ref="K108:K108"/>
    <mergeCell ref="L108:L108"/>
    <mergeCell ref="M108:M108"/>
    <mergeCell ref="N108:N108"/>
    <mergeCell ref="O108:O108"/>
    <mergeCell ref="P108:P108"/>
    <mergeCell ref="Q108:Q108"/>
    <mergeCell ref="R108:R108"/>
    <mergeCell ref="S108:S108"/>
    <mergeCell ref="T108:T108"/>
    <mergeCell ref="U108:U108"/>
    <mergeCell ref="V108:V108"/>
    <mergeCell ref="W108:W108"/>
    <mergeCell ref="X108:X108"/>
    <mergeCell ref="Y108:Y108"/>
    <mergeCell ref="Z108:Z108"/>
    <mergeCell ref="AA108:AA108"/>
    <mergeCell ref="AB108:AB108"/>
    <mergeCell ref="AC108:AC108"/>
    <mergeCell ref="AD108:AD108"/>
    <mergeCell ref="AE108:AE108"/>
    <mergeCell ref="AF108:AF108"/>
    <mergeCell ref="AG108:AG108"/>
    <mergeCell ref="AH108:AH108"/>
    <mergeCell ref="AI108:AI108"/>
    <mergeCell ref="AJ108:AJ108"/>
    <mergeCell ref="AK108:AK108"/>
    <mergeCell ref="AL108:AL108"/>
    <mergeCell ref="AM108:AM108"/>
    <mergeCell ref="AN108:AN108"/>
    <mergeCell ref="AO108:AO108"/>
    <mergeCell ref="A109:A109"/>
    <mergeCell ref="B109:B109"/>
    <mergeCell ref="C109:C109"/>
    <mergeCell ref="D109:D109"/>
    <mergeCell ref="E109:E109"/>
    <mergeCell ref="F109:F109"/>
    <mergeCell ref="G109:G109"/>
    <mergeCell ref="H109:H109"/>
    <mergeCell ref="I109:I109"/>
    <mergeCell ref="J109:J109"/>
    <mergeCell ref="K109:K109"/>
    <mergeCell ref="L109:L109"/>
    <mergeCell ref="M109:M109"/>
    <mergeCell ref="N109:N109"/>
    <mergeCell ref="O109:O109"/>
    <mergeCell ref="P109:P109"/>
    <mergeCell ref="Q109:Q109"/>
    <mergeCell ref="R109:R109"/>
    <mergeCell ref="S109:S109"/>
    <mergeCell ref="T109:T109"/>
    <mergeCell ref="U109:U109"/>
    <mergeCell ref="V109:V109"/>
    <mergeCell ref="W109:W109"/>
    <mergeCell ref="X109:X109"/>
    <mergeCell ref="Y109:Y109"/>
    <mergeCell ref="Z109:Z109"/>
    <mergeCell ref="AA109:AA109"/>
    <mergeCell ref="AB109:AB109"/>
    <mergeCell ref="AC109:AC109"/>
    <mergeCell ref="AD109:AD109"/>
    <mergeCell ref="AE109:AE109"/>
    <mergeCell ref="AF109:AF109"/>
    <mergeCell ref="AG109:AG109"/>
    <mergeCell ref="AH109:AH109"/>
    <mergeCell ref="AI109:AI109"/>
    <mergeCell ref="AJ109:AJ109"/>
    <mergeCell ref="AK109:AK109"/>
    <mergeCell ref="AL109:AL109"/>
    <mergeCell ref="AM109:AM109"/>
    <mergeCell ref="AN109:AN109"/>
    <mergeCell ref="AO109:AO109"/>
    <mergeCell ref="A110:A110"/>
    <mergeCell ref="B110:B110"/>
    <mergeCell ref="C110:C110"/>
    <mergeCell ref="D110:D110"/>
    <mergeCell ref="E110:E110"/>
    <mergeCell ref="F110:F110"/>
    <mergeCell ref="G110:G110"/>
    <mergeCell ref="H110:H110"/>
    <mergeCell ref="I110:I110"/>
    <mergeCell ref="J110:J110"/>
    <mergeCell ref="K110:K110"/>
    <mergeCell ref="L110:L110"/>
    <mergeCell ref="M110:M110"/>
    <mergeCell ref="N110:N110"/>
    <mergeCell ref="O110:O110"/>
    <mergeCell ref="P110:P110"/>
    <mergeCell ref="Q110:Q110"/>
    <mergeCell ref="R110:R110"/>
    <mergeCell ref="S110:S110"/>
    <mergeCell ref="T110:T110"/>
    <mergeCell ref="U110:U110"/>
    <mergeCell ref="V110:V110"/>
    <mergeCell ref="W110:W110"/>
    <mergeCell ref="X110:X110"/>
    <mergeCell ref="Y110:Y110"/>
    <mergeCell ref="Z110:Z110"/>
    <mergeCell ref="AA110:AA110"/>
    <mergeCell ref="AB110:AB110"/>
    <mergeCell ref="AC110:AC110"/>
    <mergeCell ref="AD110:AD110"/>
    <mergeCell ref="AE110:AE110"/>
    <mergeCell ref="AF110:AF110"/>
    <mergeCell ref="AG110:AG110"/>
    <mergeCell ref="AH110:AH110"/>
    <mergeCell ref="AI110:AI110"/>
    <mergeCell ref="AJ110:AJ110"/>
    <mergeCell ref="AK110:AK110"/>
    <mergeCell ref="AL110:AL110"/>
    <mergeCell ref="AM110:AM110"/>
    <mergeCell ref="AN110:AN110"/>
    <mergeCell ref="AO110:AO110"/>
    <mergeCell ref="A111:A111"/>
    <mergeCell ref="B111:B111"/>
    <mergeCell ref="C111:C111"/>
    <mergeCell ref="D111:D111"/>
    <mergeCell ref="E111:E111"/>
    <mergeCell ref="F111:F111"/>
    <mergeCell ref="G111:G111"/>
    <mergeCell ref="H111:H111"/>
    <mergeCell ref="I111:I111"/>
    <mergeCell ref="J111:J111"/>
    <mergeCell ref="K111:K111"/>
    <mergeCell ref="L111:L111"/>
    <mergeCell ref="M111:M111"/>
    <mergeCell ref="N111:N111"/>
    <mergeCell ref="O111:O111"/>
    <mergeCell ref="P111:P111"/>
    <mergeCell ref="Q111:Q111"/>
    <mergeCell ref="R111:R111"/>
    <mergeCell ref="S111:S111"/>
    <mergeCell ref="T111:T111"/>
    <mergeCell ref="U111:U111"/>
    <mergeCell ref="V111:V111"/>
    <mergeCell ref="W111:W111"/>
    <mergeCell ref="X111:X111"/>
    <mergeCell ref="Y111:Y111"/>
    <mergeCell ref="Z111:Z111"/>
    <mergeCell ref="AA111:AA111"/>
    <mergeCell ref="AB111:AB111"/>
    <mergeCell ref="AC111:AC111"/>
    <mergeCell ref="AD111:AD111"/>
    <mergeCell ref="AE111:AE111"/>
    <mergeCell ref="AF111:AF111"/>
    <mergeCell ref="AG111:AG111"/>
    <mergeCell ref="AH111:AH111"/>
    <mergeCell ref="AI111:AI111"/>
    <mergeCell ref="AJ111:AJ111"/>
    <mergeCell ref="AK111:AK111"/>
    <mergeCell ref="AL111:AL111"/>
    <mergeCell ref="AM111:AM111"/>
    <mergeCell ref="AN111:AN111"/>
    <mergeCell ref="AO111:AO111"/>
    <mergeCell ref="A112:A112"/>
    <mergeCell ref="B112:B112"/>
    <mergeCell ref="C112:C112"/>
    <mergeCell ref="D112:D112"/>
    <mergeCell ref="E112:E112"/>
    <mergeCell ref="F112:F112"/>
    <mergeCell ref="G112:G112"/>
    <mergeCell ref="H112:H112"/>
    <mergeCell ref="I112:I112"/>
    <mergeCell ref="J112:J112"/>
    <mergeCell ref="K112:K112"/>
    <mergeCell ref="L112:L112"/>
    <mergeCell ref="M112:M112"/>
    <mergeCell ref="N112:N112"/>
    <mergeCell ref="O112:O112"/>
    <mergeCell ref="P112:P112"/>
    <mergeCell ref="Q112:Q112"/>
    <mergeCell ref="R112:R112"/>
    <mergeCell ref="S112:S112"/>
    <mergeCell ref="T112:T112"/>
    <mergeCell ref="U112:U112"/>
    <mergeCell ref="V112:V112"/>
    <mergeCell ref="W112:W112"/>
    <mergeCell ref="X112:X112"/>
    <mergeCell ref="Y112:Y112"/>
    <mergeCell ref="Z112:Z112"/>
    <mergeCell ref="AA112:AA112"/>
    <mergeCell ref="AB112:AB112"/>
    <mergeCell ref="AC112:AC112"/>
    <mergeCell ref="AD112:AD112"/>
    <mergeCell ref="AE112:AE112"/>
    <mergeCell ref="AF112:AF112"/>
    <mergeCell ref="AG112:AG112"/>
    <mergeCell ref="AH112:AH112"/>
    <mergeCell ref="AI112:AI112"/>
    <mergeCell ref="AJ112:AJ112"/>
    <mergeCell ref="AK112:AK112"/>
    <mergeCell ref="AL112:AL112"/>
    <mergeCell ref="AM112:AM112"/>
    <mergeCell ref="AN112:AN112"/>
    <mergeCell ref="AO112:AO112"/>
    <mergeCell ref="A113:A113"/>
    <mergeCell ref="B113:B113"/>
    <mergeCell ref="C113:C113"/>
    <mergeCell ref="D113:D113"/>
    <mergeCell ref="E113:E113"/>
    <mergeCell ref="F113:F113"/>
    <mergeCell ref="G113:G113"/>
    <mergeCell ref="H113:H113"/>
    <mergeCell ref="I113:I113"/>
    <mergeCell ref="J113:J113"/>
    <mergeCell ref="K113:K113"/>
    <mergeCell ref="L113:L113"/>
    <mergeCell ref="M113:M113"/>
    <mergeCell ref="N113:N113"/>
    <mergeCell ref="O113:O113"/>
    <mergeCell ref="P113:P113"/>
    <mergeCell ref="Q113:Q113"/>
    <mergeCell ref="R113:R113"/>
    <mergeCell ref="S113:S113"/>
    <mergeCell ref="T113:T113"/>
    <mergeCell ref="U113:U113"/>
    <mergeCell ref="V113:V113"/>
    <mergeCell ref="W113:W113"/>
    <mergeCell ref="X113:X113"/>
    <mergeCell ref="Y113:Y113"/>
    <mergeCell ref="Z113:Z113"/>
    <mergeCell ref="AA113:AA113"/>
    <mergeCell ref="AB113:AB113"/>
    <mergeCell ref="AC113:AC113"/>
    <mergeCell ref="AD113:AD113"/>
    <mergeCell ref="AE113:AE113"/>
    <mergeCell ref="AF113:AF113"/>
    <mergeCell ref="AG113:AG113"/>
    <mergeCell ref="AH113:AH113"/>
    <mergeCell ref="AI113:AI113"/>
    <mergeCell ref="AJ113:AJ113"/>
    <mergeCell ref="AK113:AK113"/>
    <mergeCell ref="AL113:AL113"/>
    <mergeCell ref="AM113:AM113"/>
    <mergeCell ref="AN113:AN113"/>
    <mergeCell ref="AO113:AO113"/>
    <mergeCell ref="A114:A114"/>
    <mergeCell ref="B114:B114"/>
    <mergeCell ref="C114:C114"/>
    <mergeCell ref="D114:D114"/>
    <mergeCell ref="E114:E114"/>
    <mergeCell ref="F114:F114"/>
    <mergeCell ref="G114:G114"/>
    <mergeCell ref="H114:H114"/>
    <mergeCell ref="I114:I114"/>
    <mergeCell ref="J114:J114"/>
    <mergeCell ref="K114:K114"/>
    <mergeCell ref="L114:L114"/>
    <mergeCell ref="M114:M114"/>
    <mergeCell ref="N114:N114"/>
    <mergeCell ref="O114:O114"/>
    <mergeCell ref="P114:P114"/>
    <mergeCell ref="Q114:Q114"/>
    <mergeCell ref="R114:R114"/>
    <mergeCell ref="S114:S114"/>
    <mergeCell ref="T114:T114"/>
    <mergeCell ref="U114:U114"/>
    <mergeCell ref="V114:V114"/>
    <mergeCell ref="W114:W114"/>
    <mergeCell ref="X114:X114"/>
    <mergeCell ref="Y114:Y114"/>
    <mergeCell ref="Z114:Z114"/>
    <mergeCell ref="AA114:AA114"/>
    <mergeCell ref="AB114:AB114"/>
    <mergeCell ref="AC114:AC114"/>
    <mergeCell ref="AD114:AD114"/>
    <mergeCell ref="AE114:AE114"/>
    <mergeCell ref="AF114:AF114"/>
    <mergeCell ref="AG114:AG114"/>
    <mergeCell ref="AH114:AH114"/>
    <mergeCell ref="AI114:AI114"/>
    <mergeCell ref="AJ114:AJ114"/>
    <mergeCell ref="AK114:AK114"/>
    <mergeCell ref="AL114:AL114"/>
    <mergeCell ref="AM114:AM114"/>
    <mergeCell ref="AN114:AN114"/>
    <mergeCell ref="AO114:AO114"/>
    <mergeCell ref="A115:A115"/>
    <mergeCell ref="B115:B115"/>
    <mergeCell ref="C115:C115"/>
    <mergeCell ref="D115:D115"/>
    <mergeCell ref="E115:E115"/>
    <mergeCell ref="F115:F115"/>
    <mergeCell ref="G115:G115"/>
    <mergeCell ref="H115:H115"/>
    <mergeCell ref="I115:I115"/>
    <mergeCell ref="J115:J115"/>
    <mergeCell ref="K115:K115"/>
    <mergeCell ref="L115:L115"/>
    <mergeCell ref="M115:M115"/>
    <mergeCell ref="N115:N115"/>
    <mergeCell ref="O115:O115"/>
    <mergeCell ref="P115:P115"/>
    <mergeCell ref="Q115:Q115"/>
    <mergeCell ref="R115:R115"/>
    <mergeCell ref="S115:S115"/>
    <mergeCell ref="T115:T115"/>
    <mergeCell ref="U115:U115"/>
    <mergeCell ref="V115:V115"/>
    <mergeCell ref="W115:W115"/>
    <mergeCell ref="X115:X115"/>
    <mergeCell ref="Y115:Y115"/>
    <mergeCell ref="Z115:Z115"/>
    <mergeCell ref="AA115:AA115"/>
    <mergeCell ref="AB115:AB115"/>
    <mergeCell ref="AC115:AC115"/>
    <mergeCell ref="AD115:AD115"/>
    <mergeCell ref="AE115:AE115"/>
    <mergeCell ref="AF115:AF115"/>
    <mergeCell ref="AG115:AG115"/>
    <mergeCell ref="AH115:AH115"/>
    <mergeCell ref="AI115:AI115"/>
    <mergeCell ref="AJ115:AJ115"/>
    <mergeCell ref="AK115:AK115"/>
    <mergeCell ref="AL115:AL115"/>
    <mergeCell ref="AM115:AM115"/>
    <mergeCell ref="AN115:AN115"/>
    <mergeCell ref="AO115:AO115"/>
    <mergeCell ref="A116:A116"/>
    <mergeCell ref="B116:B116"/>
    <mergeCell ref="C116:C116"/>
    <mergeCell ref="D116:D116"/>
    <mergeCell ref="E116:E116"/>
    <mergeCell ref="F116:F116"/>
    <mergeCell ref="G116:G116"/>
    <mergeCell ref="H116:H116"/>
    <mergeCell ref="I116:I116"/>
    <mergeCell ref="J116:J116"/>
    <mergeCell ref="K116:K116"/>
    <mergeCell ref="L116:L116"/>
    <mergeCell ref="M116:M116"/>
    <mergeCell ref="N116:N116"/>
    <mergeCell ref="O116:O116"/>
    <mergeCell ref="P116:P116"/>
    <mergeCell ref="Q116:Q116"/>
    <mergeCell ref="R116:R116"/>
    <mergeCell ref="S116:S116"/>
    <mergeCell ref="T116:T116"/>
    <mergeCell ref="U116:U116"/>
    <mergeCell ref="V116:V116"/>
    <mergeCell ref="W116:W116"/>
    <mergeCell ref="X116:X116"/>
    <mergeCell ref="Y116:Y116"/>
    <mergeCell ref="Z116:Z116"/>
    <mergeCell ref="AA116:AA116"/>
    <mergeCell ref="AB116:AB116"/>
    <mergeCell ref="AC116:AC116"/>
    <mergeCell ref="AD116:AD116"/>
    <mergeCell ref="AE116:AE116"/>
    <mergeCell ref="AF116:AF116"/>
    <mergeCell ref="AG116:AG116"/>
    <mergeCell ref="AH116:AH116"/>
    <mergeCell ref="AI116:AI116"/>
    <mergeCell ref="AJ116:AJ116"/>
    <mergeCell ref="AK116:AK116"/>
    <mergeCell ref="AL116:AL116"/>
    <mergeCell ref="AM116:AM116"/>
    <mergeCell ref="AN116:AN116"/>
    <mergeCell ref="AO116:AO116"/>
    <mergeCell ref="A117:A117"/>
    <mergeCell ref="B117:B117"/>
    <mergeCell ref="C117:C117"/>
    <mergeCell ref="D117:D117"/>
    <mergeCell ref="E117:E117"/>
    <mergeCell ref="F117:F117"/>
    <mergeCell ref="G117:G117"/>
    <mergeCell ref="H117:H117"/>
    <mergeCell ref="I117:I117"/>
    <mergeCell ref="J117:J117"/>
    <mergeCell ref="K117:K117"/>
    <mergeCell ref="L117:L117"/>
    <mergeCell ref="M117:M117"/>
    <mergeCell ref="N117:N117"/>
    <mergeCell ref="O117:O117"/>
    <mergeCell ref="P117:P117"/>
    <mergeCell ref="Q117:Q117"/>
    <mergeCell ref="R117:R117"/>
    <mergeCell ref="S117:S117"/>
    <mergeCell ref="T117:T117"/>
    <mergeCell ref="U117:U117"/>
    <mergeCell ref="V117:V117"/>
    <mergeCell ref="W117:W117"/>
    <mergeCell ref="X117:X117"/>
    <mergeCell ref="Y117:Y117"/>
    <mergeCell ref="Z117:Z117"/>
    <mergeCell ref="AA117:AA117"/>
    <mergeCell ref="AB117:AB117"/>
    <mergeCell ref="AC117:AC117"/>
    <mergeCell ref="AD117:AD117"/>
    <mergeCell ref="AE117:AE117"/>
    <mergeCell ref="AF117:AF117"/>
    <mergeCell ref="AG117:AG117"/>
    <mergeCell ref="AH117:AH117"/>
    <mergeCell ref="AI117:AI117"/>
    <mergeCell ref="AJ117:AJ117"/>
    <mergeCell ref="AK117:AK117"/>
    <mergeCell ref="AL117:AL117"/>
    <mergeCell ref="AM117:AM117"/>
    <mergeCell ref="AN117:AN117"/>
    <mergeCell ref="AO117:AO117"/>
    <mergeCell ref="A118:A118"/>
    <mergeCell ref="B118:B118"/>
    <mergeCell ref="C118:C118"/>
    <mergeCell ref="D118:D118"/>
    <mergeCell ref="E118:E118"/>
    <mergeCell ref="F118:F118"/>
    <mergeCell ref="G118:G118"/>
    <mergeCell ref="H118:H118"/>
    <mergeCell ref="I118:I118"/>
    <mergeCell ref="J118:J118"/>
    <mergeCell ref="K118:K118"/>
    <mergeCell ref="L118:L118"/>
    <mergeCell ref="M118:M118"/>
    <mergeCell ref="N118:N118"/>
    <mergeCell ref="O118:O118"/>
    <mergeCell ref="P118:P118"/>
    <mergeCell ref="Q118:Q118"/>
    <mergeCell ref="R118:R118"/>
    <mergeCell ref="S118:S118"/>
    <mergeCell ref="T118:T118"/>
    <mergeCell ref="U118:U118"/>
    <mergeCell ref="V118:V118"/>
    <mergeCell ref="W118:W118"/>
    <mergeCell ref="X118:X118"/>
    <mergeCell ref="Y118:Y118"/>
    <mergeCell ref="Z118:Z118"/>
    <mergeCell ref="AA118:AA118"/>
    <mergeCell ref="AB118:AB118"/>
    <mergeCell ref="AC118:AC118"/>
    <mergeCell ref="AD118:AD118"/>
    <mergeCell ref="AE118:AE118"/>
    <mergeCell ref="AF118:AF118"/>
    <mergeCell ref="AG118:AG118"/>
    <mergeCell ref="AH118:AH118"/>
    <mergeCell ref="AI118:AI118"/>
    <mergeCell ref="AJ118:AJ118"/>
    <mergeCell ref="AK118:AK118"/>
    <mergeCell ref="AL118:AL118"/>
    <mergeCell ref="AM118:AM118"/>
    <mergeCell ref="AN118:AN118"/>
    <mergeCell ref="AO118:AO118"/>
    <mergeCell ref="A119:A119"/>
    <mergeCell ref="B119:B119"/>
    <mergeCell ref="C119:C119"/>
    <mergeCell ref="D119:D119"/>
    <mergeCell ref="E119:E119"/>
    <mergeCell ref="F119:F119"/>
    <mergeCell ref="G119:G119"/>
    <mergeCell ref="H119:H119"/>
    <mergeCell ref="I119:I119"/>
    <mergeCell ref="J119:J119"/>
    <mergeCell ref="K119:K119"/>
    <mergeCell ref="L119:L119"/>
    <mergeCell ref="M119:M119"/>
    <mergeCell ref="N119:N119"/>
    <mergeCell ref="O119:O119"/>
    <mergeCell ref="P119:P119"/>
    <mergeCell ref="Q119:Q119"/>
    <mergeCell ref="R119:R119"/>
    <mergeCell ref="S119:S119"/>
    <mergeCell ref="T119:T119"/>
    <mergeCell ref="U119:U119"/>
    <mergeCell ref="V119:V119"/>
    <mergeCell ref="W119:W119"/>
    <mergeCell ref="X119:X119"/>
    <mergeCell ref="Y119:Y119"/>
    <mergeCell ref="Z119:Z119"/>
    <mergeCell ref="AA119:AA119"/>
    <mergeCell ref="AB119:AB119"/>
    <mergeCell ref="AC119:AC119"/>
    <mergeCell ref="AD119:AD119"/>
    <mergeCell ref="AE119:AE119"/>
    <mergeCell ref="AF119:AF119"/>
    <mergeCell ref="AG119:AG119"/>
    <mergeCell ref="AH119:AH119"/>
    <mergeCell ref="AI119:AI119"/>
    <mergeCell ref="AJ119:AJ119"/>
    <mergeCell ref="AK119:AK119"/>
    <mergeCell ref="AL119:AL119"/>
    <mergeCell ref="AM119:AM119"/>
    <mergeCell ref="AN119:AN119"/>
    <mergeCell ref="AO119:AO119"/>
    <mergeCell ref="A120:A120"/>
    <mergeCell ref="B120:B120"/>
    <mergeCell ref="C120:C120"/>
    <mergeCell ref="D120:D120"/>
    <mergeCell ref="E120:E120"/>
    <mergeCell ref="F120:F120"/>
    <mergeCell ref="G120:G120"/>
    <mergeCell ref="H120:H120"/>
    <mergeCell ref="I120:I120"/>
    <mergeCell ref="J120:J120"/>
    <mergeCell ref="K120:K120"/>
    <mergeCell ref="L120:L120"/>
    <mergeCell ref="M120:M120"/>
    <mergeCell ref="N120:N120"/>
    <mergeCell ref="O120:O120"/>
    <mergeCell ref="P120:P120"/>
    <mergeCell ref="Q120:Q120"/>
    <mergeCell ref="R120:R120"/>
    <mergeCell ref="S120:S120"/>
    <mergeCell ref="T120:T120"/>
    <mergeCell ref="U120:U120"/>
    <mergeCell ref="V120:V120"/>
    <mergeCell ref="W120:W120"/>
    <mergeCell ref="X120:X120"/>
    <mergeCell ref="Y120:Y120"/>
    <mergeCell ref="Z120:Z120"/>
    <mergeCell ref="AA120:AA120"/>
    <mergeCell ref="AB120:AB120"/>
    <mergeCell ref="AC120:AC120"/>
    <mergeCell ref="AD120:AD120"/>
    <mergeCell ref="AE120:AE120"/>
    <mergeCell ref="AF120:AF120"/>
    <mergeCell ref="AG120:AG120"/>
    <mergeCell ref="AH120:AH120"/>
    <mergeCell ref="AI120:AI120"/>
    <mergeCell ref="AJ120:AJ120"/>
    <mergeCell ref="AK120:AK120"/>
    <mergeCell ref="AL120:AL120"/>
    <mergeCell ref="AM120:AM120"/>
    <mergeCell ref="AN120:AN120"/>
    <mergeCell ref="AO120:AO120"/>
    <mergeCell ref="A121:A121"/>
    <mergeCell ref="B121:B121"/>
    <mergeCell ref="C121:C121"/>
    <mergeCell ref="D121:D121"/>
    <mergeCell ref="E121:E121"/>
    <mergeCell ref="F121:F121"/>
    <mergeCell ref="G121:G121"/>
    <mergeCell ref="H121:H121"/>
    <mergeCell ref="I121:I121"/>
    <mergeCell ref="J121:J121"/>
    <mergeCell ref="K121:K121"/>
    <mergeCell ref="L121:L121"/>
    <mergeCell ref="M121:M121"/>
    <mergeCell ref="N121:N121"/>
    <mergeCell ref="O121:O121"/>
    <mergeCell ref="P121:P121"/>
    <mergeCell ref="Q121:Q121"/>
    <mergeCell ref="R121:R121"/>
    <mergeCell ref="S121:S121"/>
    <mergeCell ref="T121:T121"/>
    <mergeCell ref="U121:U121"/>
    <mergeCell ref="V121:V121"/>
    <mergeCell ref="W121:W121"/>
    <mergeCell ref="X121:X121"/>
    <mergeCell ref="Y121:Y121"/>
    <mergeCell ref="Z121:Z121"/>
    <mergeCell ref="AA121:AA121"/>
    <mergeCell ref="AB121:AB121"/>
    <mergeCell ref="AC121:AC121"/>
    <mergeCell ref="AD121:AD121"/>
    <mergeCell ref="AE121:AE121"/>
    <mergeCell ref="AF121:AF121"/>
    <mergeCell ref="AG121:AG121"/>
    <mergeCell ref="AH121:AH121"/>
    <mergeCell ref="AI121:AI121"/>
    <mergeCell ref="AJ121:AJ121"/>
    <mergeCell ref="AK121:AK121"/>
    <mergeCell ref="AL121:AL121"/>
    <mergeCell ref="AM121:AM121"/>
    <mergeCell ref="AN121:AN121"/>
    <mergeCell ref="AO121:AO121"/>
    <mergeCell ref="A122:A122"/>
    <mergeCell ref="B122:B122"/>
    <mergeCell ref="C122:C122"/>
    <mergeCell ref="D122:D122"/>
    <mergeCell ref="E122:E122"/>
    <mergeCell ref="F122:F122"/>
    <mergeCell ref="G122:G122"/>
    <mergeCell ref="H122:H122"/>
    <mergeCell ref="I122:I122"/>
    <mergeCell ref="J122:J122"/>
    <mergeCell ref="K122:K122"/>
    <mergeCell ref="L122:L122"/>
    <mergeCell ref="M122:M122"/>
    <mergeCell ref="N122:N122"/>
    <mergeCell ref="O122:O122"/>
    <mergeCell ref="P122:P122"/>
    <mergeCell ref="Q122:Q122"/>
    <mergeCell ref="R122:R122"/>
    <mergeCell ref="S122:S122"/>
    <mergeCell ref="T122:T122"/>
    <mergeCell ref="U122:U122"/>
    <mergeCell ref="V122:V122"/>
    <mergeCell ref="W122:W122"/>
    <mergeCell ref="X122:X122"/>
    <mergeCell ref="Y122:Y122"/>
    <mergeCell ref="Z122:Z122"/>
    <mergeCell ref="AA122:AA122"/>
    <mergeCell ref="AB122:AB122"/>
    <mergeCell ref="AC122:AC122"/>
    <mergeCell ref="AD122:AD122"/>
    <mergeCell ref="AE122:AE122"/>
    <mergeCell ref="AF122:AF122"/>
    <mergeCell ref="AG122:AG122"/>
    <mergeCell ref="AH122:AH122"/>
    <mergeCell ref="AI122:AI122"/>
    <mergeCell ref="AJ122:AJ122"/>
    <mergeCell ref="AK122:AK122"/>
    <mergeCell ref="AL122:AL122"/>
    <mergeCell ref="AM122:AM122"/>
    <mergeCell ref="AN122:AN122"/>
    <mergeCell ref="AO122:AO122"/>
    <mergeCell ref="A123:A123"/>
    <mergeCell ref="B123:B123"/>
    <mergeCell ref="C123:C123"/>
    <mergeCell ref="D123:D123"/>
    <mergeCell ref="E123:E123"/>
    <mergeCell ref="F123:F123"/>
    <mergeCell ref="G123:G123"/>
    <mergeCell ref="H123:H123"/>
    <mergeCell ref="I123:I123"/>
    <mergeCell ref="J123:J123"/>
    <mergeCell ref="K123:K123"/>
    <mergeCell ref="L123:L123"/>
    <mergeCell ref="M123:M123"/>
    <mergeCell ref="N123:N123"/>
    <mergeCell ref="O123:O123"/>
    <mergeCell ref="P123:P123"/>
    <mergeCell ref="Q123:Q123"/>
    <mergeCell ref="R123:R123"/>
    <mergeCell ref="S123:S123"/>
    <mergeCell ref="T123:T123"/>
    <mergeCell ref="U123:U123"/>
    <mergeCell ref="V123:V123"/>
    <mergeCell ref="W123:W123"/>
    <mergeCell ref="X123:X123"/>
    <mergeCell ref="Y123:Y123"/>
    <mergeCell ref="Z123:Z123"/>
    <mergeCell ref="AA123:AA123"/>
    <mergeCell ref="AB123:AB123"/>
    <mergeCell ref="AC123:AC123"/>
    <mergeCell ref="AD123:AD123"/>
    <mergeCell ref="AE123:AE123"/>
    <mergeCell ref="AF123:AF123"/>
    <mergeCell ref="AG123:AG123"/>
    <mergeCell ref="AH123:AH123"/>
    <mergeCell ref="AI123:AI123"/>
    <mergeCell ref="AJ123:AJ123"/>
    <mergeCell ref="AK123:AK123"/>
    <mergeCell ref="AL123:AL123"/>
    <mergeCell ref="AM123:AM123"/>
    <mergeCell ref="AN123:AN123"/>
    <mergeCell ref="AO123:AO123"/>
    <mergeCell ref="A124:A124"/>
    <mergeCell ref="B124:B124"/>
    <mergeCell ref="C124:C124"/>
    <mergeCell ref="D124:D124"/>
    <mergeCell ref="E124:E124"/>
    <mergeCell ref="F124:F124"/>
    <mergeCell ref="G124:G124"/>
    <mergeCell ref="H124:H124"/>
    <mergeCell ref="I124:I124"/>
    <mergeCell ref="J124:J124"/>
    <mergeCell ref="K124:K124"/>
    <mergeCell ref="L124:L124"/>
    <mergeCell ref="M124:M124"/>
    <mergeCell ref="N124:N124"/>
    <mergeCell ref="O124:O124"/>
    <mergeCell ref="P124:P124"/>
    <mergeCell ref="Q124:Q124"/>
    <mergeCell ref="R124:R124"/>
    <mergeCell ref="S124:S124"/>
    <mergeCell ref="T124:T124"/>
    <mergeCell ref="U124:U124"/>
    <mergeCell ref="V124:V124"/>
    <mergeCell ref="W124:W124"/>
    <mergeCell ref="X124:X124"/>
    <mergeCell ref="Y124:Y124"/>
    <mergeCell ref="Z124:Z124"/>
    <mergeCell ref="AA124:AA124"/>
    <mergeCell ref="AB124:AB124"/>
    <mergeCell ref="AC124:AC124"/>
    <mergeCell ref="AD124:AD124"/>
    <mergeCell ref="AE124:AE124"/>
    <mergeCell ref="AF124:AF124"/>
    <mergeCell ref="AG124:AG124"/>
    <mergeCell ref="AH124:AH124"/>
    <mergeCell ref="AI124:AI124"/>
    <mergeCell ref="AJ124:AJ124"/>
    <mergeCell ref="AK124:AK124"/>
    <mergeCell ref="AL124:AL124"/>
    <mergeCell ref="AM124:AM124"/>
    <mergeCell ref="AN124:AN124"/>
    <mergeCell ref="AO124:AO124"/>
    <mergeCell ref="A125:A125"/>
    <mergeCell ref="B125:B125"/>
    <mergeCell ref="C125:C125"/>
    <mergeCell ref="D125:D125"/>
    <mergeCell ref="E125:E125"/>
    <mergeCell ref="F125:F125"/>
    <mergeCell ref="G125:G125"/>
    <mergeCell ref="H125:H125"/>
    <mergeCell ref="I125:I125"/>
    <mergeCell ref="J125:J125"/>
    <mergeCell ref="K125:K125"/>
    <mergeCell ref="L125:L125"/>
    <mergeCell ref="M125:M125"/>
    <mergeCell ref="N125:N125"/>
    <mergeCell ref="O125:O125"/>
    <mergeCell ref="P125:P125"/>
    <mergeCell ref="Q125:Q125"/>
    <mergeCell ref="R125:R125"/>
    <mergeCell ref="S125:S125"/>
    <mergeCell ref="T125:T125"/>
    <mergeCell ref="U125:U125"/>
    <mergeCell ref="V125:V125"/>
    <mergeCell ref="W125:W125"/>
    <mergeCell ref="X125:X125"/>
    <mergeCell ref="Y125:Y125"/>
    <mergeCell ref="Z125:Z125"/>
    <mergeCell ref="AA125:AA125"/>
    <mergeCell ref="AB125:AB125"/>
    <mergeCell ref="AC125:AC125"/>
    <mergeCell ref="AD125:AD125"/>
    <mergeCell ref="AE125:AE125"/>
    <mergeCell ref="AF125:AF125"/>
    <mergeCell ref="AG125:AG125"/>
    <mergeCell ref="AH125:AH125"/>
    <mergeCell ref="AI125:AI125"/>
    <mergeCell ref="AJ125:AJ125"/>
    <mergeCell ref="AK125:AK125"/>
    <mergeCell ref="AL125:AL125"/>
    <mergeCell ref="AM125:AM125"/>
    <mergeCell ref="AN125:AN125"/>
    <mergeCell ref="AO125:AO125"/>
    <mergeCell ref="A126:A126"/>
    <mergeCell ref="B126:B126"/>
    <mergeCell ref="C126:C126"/>
    <mergeCell ref="D126:D126"/>
    <mergeCell ref="E126:E126"/>
    <mergeCell ref="F126:F126"/>
    <mergeCell ref="G126:G126"/>
    <mergeCell ref="H126:H126"/>
    <mergeCell ref="I126:I126"/>
    <mergeCell ref="J126:J126"/>
    <mergeCell ref="K126:K126"/>
    <mergeCell ref="L126:L126"/>
    <mergeCell ref="M126:M126"/>
    <mergeCell ref="N126:N126"/>
    <mergeCell ref="O126:O126"/>
    <mergeCell ref="P126:P126"/>
    <mergeCell ref="Q126:Q126"/>
    <mergeCell ref="R126:R126"/>
    <mergeCell ref="S126:S126"/>
    <mergeCell ref="T126:T126"/>
    <mergeCell ref="U126:U126"/>
    <mergeCell ref="V126:V126"/>
    <mergeCell ref="W126:W126"/>
    <mergeCell ref="X126:X126"/>
    <mergeCell ref="Y126:Y126"/>
    <mergeCell ref="Z126:Z126"/>
    <mergeCell ref="AA126:AA126"/>
    <mergeCell ref="AB126:AB126"/>
    <mergeCell ref="AC126:AC126"/>
    <mergeCell ref="AD126:AD126"/>
    <mergeCell ref="AE126:AE126"/>
    <mergeCell ref="AF126:AF126"/>
    <mergeCell ref="AG126:AG126"/>
    <mergeCell ref="AH126:AH126"/>
    <mergeCell ref="AI126:AI126"/>
    <mergeCell ref="AJ126:AJ126"/>
    <mergeCell ref="AK126:AK126"/>
    <mergeCell ref="AL126:AL126"/>
    <mergeCell ref="AM126:AM126"/>
    <mergeCell ref="AN126:AN126"/>
    <mergeCell ref="AO126:AO126"/>
    <mergeCell ref="A127:A127"/>
    <mergeCell ref="B127:B127"/>
    <mergeCell ref="C127:C127"/>
    <mergeCell ref="D127:D127"/>
    <mergeCell ref="E127:E127"/>
    <mergeCell ref="F127:F127"/>
    <mergeCell ref="G127:G127"/>
    <mergeCell ref="H127:H127"/>
    <mergeCell ref="I127:I127"/>
    <mergeCell ref="J127:J127"/>
    <mergeCell ref="K127:K127"/>
    <mergeCell ref="L127:L127"/>
    <mergeCell ref="M127:M127"/>
    <mergeCell ref="N127:N127"/>
    <mergeCell ref="O127:O127"/>
    <mergeCell ref="P127:P127"/>
    <mergeCell ref="Q127:Q127"/>
    <mergeCell ref="R127:R127"/>
    <mergeCell ref="S127:S127"/>
    <mergeCell ref="T127:T127"/>
    <mergeCell ref="U127:U127"/>
    <mergeCell ref="V127:V127"/>
    <mergeCell ref="W127:W127"/>
    <mergeCell ref="X127:X127"/>
    <mergeCell ref="Y127:Y127"/>
    <mergeCell ref="Z127:Z127"/>
    <mergeCell ref="AA127:AA127"/>
    <mergeCell ref="AB127:AB127"/>
    <mergeCell ref="AC127:AC127"/>
    <mergeCell ref="AD127:AD127"/>
    <mergeCell ref="AE127:AE127"/>
    <mergeCell ref="AF127:AF127"/>
    <mergeCell ref="AG127:AG127"/>
    <mergeCell ref="AH127:AH127"/>
    <mergeCell ref="AI127:AI127"/>
    <mergeCell ref="AJ127:AJ127"/>
    <mergeCell ref="AK127:AK127"/>
    <mergeCell ref="AL127:AL127"/>
    <mergeCell ref="AM127:AM127"/>
    <mergeCell ref="AN127:AN127"/>
    <mergeCell ref="AO127:AO127"/>
    <mergeCell ref="A128:A128"/>
    <mergeCell ref="B128:B128"/>
    <mergeCell ref="C128:C128"/>
    <mergeCell ref="D128:D128"/>
    <mergeCell ref="E128:E128"/>
    <mergeCell ref="F128:F128"/>
    <mergeCell ref="G128:G128"/>
    <mergeCell ref="H128:H128"/>
    <mergeCell ref="I128:I128"/>
    <mergeCell ref="J128:J128"/>
    <mergeCell ref="K128:K128"/>
    <mergeCell ref="L128:L128"/>
    <mergeCell ref="M128:M128"/>
    <mergeCell ref="N128:N128"/>
    <mergeCell ref="O128:O128"/>
    <mergeCell ref="P128:P128"/>
    <mergeCell ref="Q128:Q128"/>
    <mergeCell ref="R128:R128"/>
    <mergeCell ref="S128:S128"/>
    <mergeCell ref="T128:T128"/>
    <mergeCell ref="U128:U128"/>
    <mergeCell ref="V128:V128"/>
    <mergeCell ref="W128:W128"/>
    <mergeCell ref="X128:X128"/>
    <mergeCell ref="Y128:Y128"/>
    <mergeCell ref="Z128:Z128"/>
    <mergeCell ref="AA128:AA128"/>
    <mergeCell ref="AB128:AB128"/>
    <mergeCell ref="AC128:AC128"/>
    <mergeCell ref="AD128:AD128"/>
    <mergeCell ref="AE128:AE128"/>
    <mergeCell ref="AF128:AF128"/>
    <mergeCell ref="AG128:AG128"/>
    <mergeCell ref="AH128:AH128"/>
    <mergeCell ref="AI128:AI128"/>
    <mergeCell ref="AJ128:AJ128"/>
    <mergeCell ref="AK128:AK128"/>
    <mergeCell ref="AL128:AL128"/>
    <mergeCell ref="AM128:AM128"/>
    <mergeCell ref="AN128:AN128"/>
    <mergeCell ref="AO128:AO128"/>
    <mergeCell ref="A129:A129"/>
    <mergeCell ref="B129:B129"/>
    <mergeCell ref="C129:C129"/>
    <mergeCell ref="D129:D129"/>
    <mergeCell ref="E129:E129"/>
    <mergeCell ref="F129:F129"/>
    <mergeCell ref="G129:G129"/>
    <mergeCell ref="H129:H129"/>
    <mergeCell ref="I129:I129"/>
    <mergeCell ref="J129:J129"/>
    <mergeCell ref="K129:K129"/>
    <mergeCell ref="L129:L129"/>
    <mergeCell ref="M129:M129"/>
    <mergeCell ref="N129:N129"/>
    <mergeCell ref="O129:O129"/>
    <mergeCell ref="P129:P129"/>
    <mergeCell ref="Q129:Q129"/>
    <mergeCell ref="R129:R129"/>
    <mergeCell ref="S129:S129"/>
    <mergeCell ref="T129:T129"/>
    <mergeCell ref="U129:U129"/>
    <mergeCell ref="V129:V129"/>
    <mergeCell ref="W129:W129"/>
    <mergeCell ref="X129:X129"/>
    <mergeCell ref="Y129:Y129"/>
    <mergeCell ref="Z129:Z129"/>
    <mergeCell ref="AA129:AA129"/>
    <mergeCell ref="AB129:AB129"/>
    <mergeCell ref="AC129:AC129"/>
    <mergeCell ref="AD129:AD129"/>
    <mergeCell ref="AE129:AE129"/>
    <mergeCell ref="AF129:AF129"/>
    <mergeCell ref="AG129:AG129"/>
    <mergeCell ref="AH129:AH129"/>
    <mergeCell ref="AI129:AI129"/>
    <mergeCell ref="AJ129:AJ129"/>
    <mergeCell ref="AK129:AK129"/>
    <mergeCell ref="AL129:AL129"/>
    <mergeCell ref="AM129:AM129"/>
    <mergeCell ref="AN129:AN129"/>
    <mergeCell ref="AO129:AO129"/>
    <mergeCell ref="A130:A130"/>
    <mergeCell ref="B130:B130"/>
    <mergeCell ref="C130:C130"/>
    <mergeCell ref="D130:D130"/>
    <mergeCell ref="E130:E130"/>
    <mergeCell ref="F130:F130"/>
    <mergeCell ref="G130:G130"/>
    <mergeCell ref="H130:H130"/>
    <mergeCell ref="I130:I130"/>
    <mergeCell ref="J130:J130"/>
    <mergeCell ref="K130:K130"/>
    <mergeCell ref="L130:L130"/>
    <mergeCell ref="M130:M130"/>
    <mergeCell ref="N130:N130"/>
    <mergeCell ref="O130:O130"/>
    <mergeCell ref="P130:P130"/>
    <mergeCell ref="Q130:Q130"/>
    <mergeCell ref="R130:R130"/>
    <mergeCell ref="S130:S130"/>
    <mergeCell ref="T130:T130"/>
    <mergeCell ref="U130:U130"/>
    <mergeCell ref="V130:V130"/>
    <mergeCell ref="W130:W130"/>
    <mergeCell ref="X130:X130"/>
    <mergeCell ref="Y130:Y130"/>
    <mergeCell ref="Z130:Z130"/>
    <mergeCell ref="AA130:AA130"/>
    <mergeCell ref="AB130:AB130"/>
    <mergeCell ref="AC130:AC130"/>
    <mergeCell ref="AD130:AD130"/>
    <mergeCell ref="AE130:AE130"/>
    <mergeCell ref="AF130:AF130"/>
    <mergeCell ref="AG130:AG130"/>
    <mergeCell ref="AH130:AH130"/>
    <mergeCell ref="AI130:AI130"/>
    <mergeCell ref="AJ130:AJ130"/>
    <mergeCell ref="AK130:AK130"/>
    <mergeCell ref="AL130:AL130"/>
    <mergeCell ref="AM130:AM130"/>
    <mergeCell ref="AN130:AN130"/>
    <mergeCell ref="AO130:AO130"/>
    <mergeCell ref="A131:A131"/>
    <mergeCell ref="B131:B131"/>
    <mergeCell ref="C131:C131"/>
    <mergeCell ref="D131:D131"/>
    <mergeCell ref="E131:E131"/>
    <mergeCell ref="F131:F131"/>
    <mergeCell ref="G131:G131"/>
    <mergeCell ref="H131:H131"/>
    <mergeCell ref="I131:I131"/>
    <mergeCell ref="J131:J131"/>
    <mergeCell ref="K131:K131"/>
    <mergeCell ref="L131:L131"/>
    <mergeCell ref="M131:M131"/>
    <mergeCell ref="N131:N131"/>
    <mergeCell ref="O131:O131"/>
    <mergeCell ref="P131:P131"/>
    <mergeCell ref="Q131:Q131"/>
    <mergeCell ref="R131:R131"/>
    <mergeCell ref="S131:S131"/>
    <mergeCell ref="T131:T131"/>
    <mergeCell ref="U131:U131"/>
    <mergeCell ref="V131:V131"/>
    <mergeCell ref="W131:W131"/>
    <mergeCell ref="X131:X131"/>
    <mergeCell ref="Y131:Y131"/>
    <mergeCell ref="Z131:Z131"/>
    <mergeCell ref="AA131:AA131"/>
    <mergeCell ref="AB131:AB131"/>
    <mergeCell ref="AC131:AC131"/>
    <mergeCell ref="AD131:AD131"/>
    <mergeCell ref="AE131:AE131"/>
    <mergeCell ref="AF131:AF131"/>
    <mergeCell ref="AG131:AG131"/>
    <mergeCell ref="AH131:AH131"/>
    <mergeCell ref="AI131:AI131"/>
    <mergeCell ref="AJ131:AJ131"/>
    <mergeCell ref="AK131:AK131"/>
    <mergeCell ref="AL131:AL131"/>
    <mergeCell ref="AM131:AM131"/>
    <mergeCell ref="AN131:AN131"/>
    <mergeCell ref="AO131:AO131"/>
    <mergeCell ref="A132:A132"/>
    <mergeCell ref="B132:B132"/>
    <mergeCell ref="C132:C132"/>
    <mergeCell ref="D132:D132"/>
    <mergeCell ref="E132:E132"/>
    <mergeCell ref="F132:F132"/>
    <mergeCell ref="G132:G132"/>
    <mergeCell ref="H132:H132"/>
    <mergeCell ref="I132:I132"/>
    <mergeCell ref="J132:J132"/>
    <mergeCell ref="K132:K132"/>
    <mergeCell ref="L132:L132"/>
    <mergeCell ref="M132:M132"/>
    <mergeCell ref="N132:N132"/>
    <mergeCell ref="O132:O132"/>
    <mergeCell ref="P132:P132"/>
    <mergeCell ref="Q132:Q132"/>
    <mergeCell ref="R132:R132"/>
    <mergeCell ref="S132:S132"/>
    <mergeCell ref="T132:T132"/>
    <mergeCell ref="U132:U132"/>
    <mergeCell ref="V132:V132"/>
    <mergeCell ref="W132:W132"/>
    <mergeCell ref="X132:X132"/>
    <mergeCell ref="Y132:Y132"/>
    <mergeCell ref="Z132:Z132"/>
    <mergeCell ref="AA132:AA132"/>
    <mergeCell ref="AB132:AB132"/>
    <mergeCell ref="AC132:AC132"/>
    <mergeCell ref="AD132:AD132"/>
    <mergeCell ref="AE132:AE132"/>
    <mergeCell ref="AF132:AF132"/>
    <mergeCell ref="AG132:AG132"/>
    <mergeCell ref="AH132:AH132"/>
    <mergeCell ref="AI132:AI132"/>
    <mergeCell ref="AJ132:AJ132"/>
    <mergeCell ref="AK132:AK132"/>
    <mergeCell ref="AL132:AL132"/>
    <mergeCell ref="AM132:AM132"/>
    <mergeCell ref="AN132:AN132"/>
    <mergeCell ref="AO132:AO132"/>
    <mergeCell ref="A133:A133"/>
    <mergeCell ref="B133:B133"/>
    <mergeCell ref="C133:C133"/>
    <mergeCell ref="D133:D133"/>
    <mergeCell ref="E133:E133"/>
    <mergeCell ref="F133:F133"/>
    <mergeCell ref="G133:G133"/>
    <mergeCell ref="H133:H133"/>
    <mergeCell ref="I133:I133"/>
    <mergeCell ref="J133:J133"/>
    <mergeCell ref="K133:K133"/>
    <mergeCell ref="L133:L133"/>
    <mergeCell ref="M133:M133"/>
    <mergeCell ref="N133:N133"/>
    <mergeCell ref="O133:O133"/>
    <mergeCell ref="P133:P133"/>
    <mergeCell ref="Q133:Q133"/>
    <mergeCell ref="R133:R133"/>
    <mergeCell ref="S133:S133"/>
    <mergeCell ref="T133:T133"/>
    <mergeCell ref="U133:U133"/>
    <mergeCell ref="V133:V133"/>
    <mergeCell ref="W133:W133"/>
    <mergeCell ref="X133:X133"/>
    <mergeCell ref="Y133:Y133"/>
    <mergeCell ref="Z133:Z133"/>
    <mergeCell ref="AA133:AA133"/>
    <mergeCell ref="AB133:AB133"/>
    <mergeCell ref="AC133:AC133"/>
    <mergeCell ref="AD133:AD133"/>
    <mergeCell ref="AE133:AE133"/>
    <mergeCell ref="AF133:AF133"/>
    <mergeCell ref="AG133:AG133"/>
    <mergeCell ref="AH133:AH133"/>
    <mergeCell ref="AI133:AI133"/>
    <mergeCell ref="AJ133:AJ133"/>
    <mergeCell ref="AK133:AK133"/>
    <mergeCell ref="AL133:AL133"/>
    <mergeCell ref="AM133:AM133"/>
    <mergeCell ref="AN133:AN133"/>
    <mergeCell ref="AO133:AO133"/>
    <mergeCell ref="A134:A134"/>
    <mergeCell ref="B134:B134"/>
    <mergeCell ref="C134:C134"/>
    <mergeCell ref="D134:D134"/>
    <mergeCell ref="E134:E134"/>
    <mergeCell ref="F134:F134"/>
    <mergeCell ref="G134:G134"/>
    <mergeCell ref="H134:H134"/>
    <mergeCell ref="I134:I134"/>
    <mergeCell ref="J134:J134"/>
    <mergeCell ref="K134:K134"/>
    <mergeCell ref="L134:L134"/>
    <mergeCell ref="M134:M134"/>
    <mergeCell ref="N134:N134"/>
    <mergeCell ref="O134:O134"/>
    <mergeCell ref="P134:P134"/>
    <mergeCell ref="Q134:Q134"/>
    <mergeCell ref="R134:R134"/>
    <mergeCell ref="S134:S134"/>
    <mergeCell ref="T134:T134"/>
    <mergeCell ref="U134:U134"/>
    <mergeCell ref="V134:V134"/>
    <mergeCell ref="W134:W134"/>
    <mergeCell ref="X134:X134"/>
    <mergeCell ref="Y134:Y134"/>
    <mergeCell ref="Z134:Z134"/>
    <mergeCell ref="AA134:AA134"/>
    <mergeCell ref="AB134:AB134"/>
    <mergeCell ref="AC134:AC134"/>
    <mergeCell ref="AD134:AD134"/>
    <mergeCell ref="AE134:AE134"/>
    <mergeCell ref="AF134:AF134"/>
    <mergeCell ref="AG134:AG134"/>
    <mergeCell ref="AH134:AH134"/>
    <mergeCell ref="AI134:AI134"/>
    <mergeCell ref="AJ134:AJ134"/>
    <mergeCell ref="AK134:AK134"/>
    <mergeCell ref="AL134:AL134"/>
    <mergeCell ref="AM134:AM134"/>
    <mergeCell ref="AN134:AN134"/>
    <mergeCell ref="AO134:AO134"/>
    <mergeCell ref="A135:A135"/>
    <mergeCell ref="B135:B135"/>
    <mergeCell ref="C135:C135"/>
    <mergeCell ref="D135:D135"/>
    <mergeCell ref="E135:E135"/>
    <mergeCell ref="F135:F135"/>
    <mergeCell ref="G135:G135"/>
    <mergeCell ref="H135:H135"/>
    <mergeCell ref="I135:I135"/>
    <mergeCell ref="J135:J135"/>
    <mergeCell ref="K135:K135"/>
    <mergeCell ref="L135:L135"/>
    <mergeCell ref="M135:M135"/>
    <mergeCell ref="N135:N135"/>
    <mergeCell ref="O135:O135"/>
    <mergeCell ref="P135:P135"/>
    <mergeCell ref="Q135:Q135"/>
    <mergeCell ref="R135:R135"/>
    <mergeCell ref="S135:S135"/>
    <mergeCell ref="T135:T135"/>
    <mergeCell ref="U135:U135"/>
    <mergeCell ref="V135:V135"/>
    <mergeCell ref="W135:W135"/>
    <mergeCell ref="X135:X135"/>
    <mergeCell ref="Y135:Y135"/>
    <mergeCell ref="Z135:Z135"/>
    <mergeCell ref="AA135:AA135"/>
    <mergeCell ref="AB135:AB135"/>
    <mergeCell ref="AC135:AC135"/>
    <mergeCell ref="AD135:AD135"/>
    <mergeCell ref="AE135:AE135"/>
    <mergeCell ref="AF135:AF135"/>
    <mergeCell ref="AG135:AG135"/>
    <mergeCell ref="AH135:AH135"/>
    <mergeCell ref="AI135:AI135"/>
    <mergeCell ref="AJ135:AJ135"/>
    <mergeCell ref="AK135:AK135"/>
    <mergeCell ref="AL135:AL135"/>
    <mergeCell ref="AM135:AM135"/>
    <mergeCell ref="AN135:AN135"/>
    <mergeCell ref="AO135:AO135"/>
    <mergeCell ref="A136:A136"/>
    <mergeCell ref="B136:B136"/>
    <mergeCell ref="C136:C136"/>
    <mergeCell ref="D136:D136"/>
    <mergeCell ref="E136:E136"/>
    <mergeCell ref="F136:F136"/>
    <mergeCell ref="G136:G136"/>
    <mergeCell ref="H136:H136"/>
    <mergeCell ref="I136:I136"/>
    <mergeCell ref="J136:J136"/>
    <mergeCell ref="K136:K136"/>
    <mergeCell ref="L136:L136"/>
    <mergeCell ref="M136:M136"/>
    <mergeCell ref="N136:N136"/>
    <mergeCell ref="O136:O136"/>
    <mergeCell ref="P136:P136"/>
    <mergeCell ref="Q136:Q136"/>
    <mergeCell ref="R136:R136"/>
    <mergeCell ref="S136:S136"/>
    <mergeCell ref="T136:T136"/>
    <mergeCell ref="U136:U136"/>
    <mergeCell ref="V136:V136"/>
    <mergeCell ref="W136:W136"/>
    <mergeCell ref="X136:X136"/>
    <mergeCell ref="Y136:Y136"/>
    <mergeCell ref="Z136:Z136"/>
    <mergeCell ref="AA136:AA136"/>
    <mergeCell ref="AB136:AB136"/>
    <mergeCell ref="AC136:AC136"/>
    <mergeCell ref="AD136:AD136"/>
    <mergeCell ref="AE136:AE136"/>
    <mergeCell ref="AF136:AF136"/>
    <mergeCell ref="AG136:AG136"/>
    <mergeCell ref="AH136:AH136"/>
    <mergeCell ref="AI136:AI136"/>
    <mergeCell ref="AJ136:AJ136"/>
    <mergeCell ref="AK136:AK136"/>
    <mergeCell ref="AL136:AL136"/>
    <mergeCell ref="AM136:AM136"/>
    <mergeCell ref="AN136:AN136"/>
    <mergeCell ref="AO136:AO136"/>
    <mergeCell ref="A137:A137"/>
    <mergeCell ref="B137:B137"/>
    <mergeCell ref="C137:C137"/>
    <mergeCell ref="D137:D137"/>
    <mergeCell ref="E137:E137"/>
    <mergeCell ref="F137:F137"/>
    <mergeCell ref="G137:G137"/>
    <mergeCell ref="H137:H137"/>
    <mergeCell ref="I137:I137"/>
    <mergeCell ref="J137:J137"/>
    <mergeCell ref="K137:K137"/>
    <mergeCell ref="L137:L137"/>
    <mergeCell ref="M137:M137"/>
    <mergeCell ref="N137:N137"/>
    <mergeCell ref="O137:O137"/>
    <mergeCell ref="P137:P137"/>
    <mergeCell ref="Q137:Q137"/>
    <mergeCell ref="R137:R137"/>
    <mergeCell ref="S137:S137"/>
    <mergeCell ref="T137:T137"/>
    <mergeCell ref="U137:U137"/>
    <mergeCell ref="V137:V137"/>
    <mergeCell ref="W137:W137"/>
    <mergeCell ref="X137:X137"/>
    <mergeCell ref="Y137:Y137"/>
    <mergeCell ref="Z137:Z137"/>
    <mergeCell ref="AA137:AA137"/>
    <mergeCell ref="AB137:AB137"/>
    <mergeCell ref="AC137:AC137"/>
    <mergeCell ref="AD137:AD137"/>
    <mergeCell ref="AE137:AE137"/>
    <mergeCell ref="AF137:AF137"/>
    <mergeCell ref="AG137:AG137"/>
    <mergeCell ref="AH137:AH137"/>
    <mergeCell ref="AI137:AI137"/>
    <mergeCell ref="AJ137:AJ137"/>
    <mergeCell ref="AK137:AK137"/>
    <mergeCell ref="AL137:AL137"/>
    <mergeCell ref="AM137:AM137"/>
    <mergeCell ref="AN137:AN137"/>
    <mergeCell ref="AO137:AO137"/>
    <mergeCell ref="A138:A138"/>
    <mergeCell ref="B138:B138"/>
    <mergeCell ref="C138:C138"/>
    <mergeCell ref="D138:D138"/>
    <mergeCell ref="E138:E138"/>
    <mergeCell ref="F138:F138"/>
    <mergeCell ref="G138:G138"/>
    <mergeCell ref="H138:H138"/>
    <mergeCell ref="I138:I138"/>
    <mergeCell ref="J138:J138"/>
    <mergeCell ref="K138:K138"/>
    <mergeCell ref="L138:L138"/>
    <mergeCell ref="M138:M138"/>
    <mergeCell ref="N138:N138"/>
    <mergeCell ref="O138:O138"/>
    <mergeCell ref="P138:P138"/>
    <mergeCell ref="Q138:Q138"/>
    <mergeCell ref="R138:R138"/>
    <mergeCell ref="S138:S138"/>
    <mergeCell ref="T138:T138"/>
    <mergeCell ref="U138:U138"/>
    <mergeCell ref="V138:V138"/>
    <mergeCell ref="W138:W138"/>
    <mergeCell ref="X138:X138"/>
    <mergeCell ref="Y138:Y138"/>
    <mergeCell ref="Z138:Z138"/>
    <mergeCell ref="AA138:AA138"/>
    <mergeCell ref="AB138:AB138"/>
    <mergeCell ref="AC138:AC138"/>
    <mergeCell ref="AD138:AD138"/>
    <mergeCell ref="AE138:AE138"/>
    <mergeCell ref="AF138:AF138"/>
    <mergeCell ref="AG138:AG138"/>
    <mergeCell ref="AH138:AH138"/>
    <mergeCell ref="AI138:AI138"/>
    <mergeCell ref="AJ138:AJ138"/>
    <mergeCell ref="AK138:AK138"/>
    <mergeCell ref="AL138:AL138"/>
    <mergeCell ref="AM138:AM138"/>
    <mergeCell ref="AN138:AN138"/>
    <mergeCell ref="AO138:AO138"/>
    <mergeCell ref="A139:A139"/>
    <mergeCell ref="B139:B139"/>
    <mergeCell ref="C139:C139"/>
    <mergeCell ref="D139:D139"/>
    <mergeCell ref="E139:E139"/>
    <mergeCell ref="F139:F139"/>
    <mergeCell ref="G139:G139"/>
    <mergeCell ref="H139:H139"/>
    <mergeCell ref="I139:I139"/>
    <mergeCell ref="J139:J139"/>
    <mergeCell ref="K139:K139"/>
    <mergeCell ref="L139:L139"/>
    <mergeCell ref="M139:M139"/>
    <mergeCell ref="N139:N139"/>
    <mergeCell ref="O139:O139"/>
    <mergeCell ref="P139:P139"/>
    <mergeCell ref="Q139:Q139"/>
    <mergeCell ref="R139:R139"/>
    <mergeCell ref="S139:S139"/>
    <mergeCell ref="T139:T139"/>
    <mergeCell ref="U139:U139"/>
    <mergeCell ref="V139:V139"/>
    <mergeCell ref="W139:W139"/>
    <mergeCell ref="X139:X139"/>
    <mergeCell ref="Y139:Y139"/>
    <mergeCell ref="Z139:Z139"/>
    <mergeCell ref="AA139:AA139"/>
    <mergeCell ref="AB139:AB139"/>
    <mergeCell ref="AC139:AC139"/>
    <mergeCell ref="AD139:AD139"/>
    <mergeCell ref="AE139:AE139"/>
    <mergeCell ref="AF139:AF139"/>
    <mergeCell ref="AG139:AG139"/>
    <mergeCell ref="AH139:AH139"/>
    <mergeCell ref="AI139:AI139"/>
    <mergeCell ref="AJ139:AJ139"/>
    <mergeCell ref="AK139:AK139"/>
    <mergeCell ref="AL139:AL139"/>
    <mergeCell ref="AM139:AM139"/>
    <mergeCell ref="AN139:AN139"/>
    <mergeCell ref="AO139:AO139"/>
    <mergeCell ref="A140:A140"/>
    <mergeCell ref="B140:B140"/>
    <mergeCell ref="C140:C140"/>
    <mergeCell ref="D140:D140"/>
    <mergeCell ref="E140:E140"/>
    <mergeCell ref="F140:F140"/>
    <mergeCell ref="G140:G140"/>
    <mergeCell ref="H140:H140"/>
    <mergeCell ref="I140:I140"/>
    <mergeCell ref="J140:J140"/>
    <mergeCell ref="K140:K140"/>
    <mergeCell ref="L140:L140"/>
    <mergeCell ref="M140:M140"/>
    <mergeCell ref="N140:N140"/>
    <mergeCell ref="O140:O140"/>
    <mergeCell ref="P140:P140"/>
    <mergeCell ref="Q140:Q140"/>
    <mergeCell ref="R140:R140"/>
    <mergeCell ref="S140:S140"/>
    <mergeCell ref="T140:T140"/>
    <mergeCell ref="U140:U140"/>
    <mergeCell ref="V140:V140"/>
    <mergeCell ref="W140:W140"/>
    <mergeCell ref="X140:X140"/>
    <mergeCell ref="Y140:Y140"/>
    <mergeCell ref="Z140:Z140"/>
    <mergeCell ref="AA140:AA140"/>
    <mergeCell ref="AB140:AB140"/>
    <mergeCell ref="AC140:AC140"/>
    <mergeCell ref="AD140:AD140"/>
    <mergeCell ref="AE140:AE140"/>
    <mergeCell ref="AF140:AF140"/>
    <mergeCell ref="AG140:AG140"/>
    <mergeCell ref="AH140:AH140"/>
    <mergeCell ref="AI140:AI140"/>
    <mergeCell ref="AJ140:AJ140"/>
    <mergeCell ref="AK140:AK140"/>
    <mergeCell ref="AL140:AL140"/>
    <mergeCell ref="AM140:AM140"/>
    <mergeCell ref="AN140:AN140"/>
    <mergeCell ref="AO140:AO140"/>
    <mergeCell ref="A141:A141"/>
    <mergeCell ref="B141:B141"/>
    <mergeCell ref="C141:C141"/>
    <mergeCell ref="D141:D141"/>
    <mergeCell ref="E141:E141"/>
    <mergeCell ref="F141:F141"/>
    <mergeCell ref="G141:G141"/>
    <mergeCell ref="H141:H141"/>
    <mergeCell ref="I141:I141"/>
    <mergeCell ref="J141:J141"/>
    <mergeCell ref="K141:K141"/>
    <mergeCell ref="L141:L141"/>
    <mergeCell ref="M141:M141"/>
    <mergeCell ref="N141:N141"/>
    <mergeCell ref="O141:O141"/>
    <mergeCell ref="P141:P141"/>
    <mergeCell ref="Q141:Q141"/>
    <mergeCell ref="R141:R141"/>
    <mergeCell ref="S141:S141"/>
    <mergeCell ref="T141:T141"/>
    <mergeCell ref="U141:U141"/>
    <mergeCell ref="V141:V141"/>
    <mergeCell ref="W141:W141"/>
    <mergeCell ref="X141:X141"/>
    <mergeCell ref="Y141:Y141"/>
    <mergeCell ref="Z141:Z141"/>
    <mergeCell ref="AA141:AA141"/>
    <mergeCell ref="AB141:AB141"/>
    <mergeCell ref="AC141:AC141"/>
    <mergeCell ref="AD141:AD141"/>
    <mergeCell ref="AE141:AE141"/>
    <mergeCell ref="AF141:AF141"/>
    <mergeCell ref="AG141:AG141"/>
    <mergeCell ref="AH141:AH141"/>
    <mergeCell ref="AI141:AI141"/>
    <mergeCell ref="AJ141:AJ141"/>
    <mergeCell ref="AK141:AK141"/>
    <mergeCell ref="AL141:AL141"/>
    <mergeCell ref="AM141:AM141"/>
    <mergeCell ref="AN141:AN141"/>
    <mergeCell ref="AO141:AO141"/>
    <mergeCell ref="A142:A142"/>
    <mergeCell ref="B142:B142"/>
    <mergeCell ref="C142:C142"/>
    <mergeCell ref="D142:D142"/>
    <mergeCell ref="E142:E142"/>
    <mergeCell ref="F142:F142"/>
    <mergeCell ref="G142:G142"/>
    <mergeCell ref="H142:H142"/>
    <mergeCell ref="I142:I142"/>
    <mergeCell ref="J142:J142"/>
    <mergeCell ref="K142:K142"/>
    <mergeCell ref="L142:L142"/>
    <mergeCell ref="M142:M142"/>
    <mergeCell ref="N142:N142"/>
    <mergeCell ref="O142:O142"/>
    <mergeCell ref="P142:P142"/>
    <mergeCell ref="Q142:Q142"/>
    <mergeCell ref="R142:R142"/>
    <mergeCell ref="S142:S142"/>
    <mergeCell ref="T142:T142"/>
    <mergeCell ref="U142:U142"/>
    <mergeCell ref="V142:V142"/>
    <mergeCell ref="W142:W142"/>
    <mergeCell ref="X142:X142"/>
    <mergeCell ref="Y142:Y142"/>
    <mergeCell ref="Z142:Z142"/>
    <mergeCell ref="AA142:AA142"/>
    <mergeCell ref="AB142:AB142"/>
    <mergeCell ref="AC142:AC142"/>
    <mergeCell ref="AD142:AD142"/>
    <mergeCell ref="AE142:AE142"/>
    <mergeCell ref="AF142:AF142"/>
    <mergeCell ref="AG142:AG142"/>
    <mergeCell ref="AH142:AH142"/>
    <mergeCell ref="AI142:AI142"/>
    <mergeCell ref="AJ142:AJ142"/>
    <mergeCell ref="AK142:AK142"/>
    <mergeCell ref="AL142:AL142"/>
    <mergeCell ref="AM142:AM142"/>
    <mergeCell ref="AN142:AN142"/>
    <mergeCell ref="AO142:AO142"/>
    <mergeCell ref="A143:A143"/>
    <mergeCell ref="B143:B143"/>
    <mergeCell ref="C143:C143"/>
    <mergeCell ref="D143:D143"/>
    <mergeCell ref="E143:E143"/>
    <mergeCell ref="F143:F143"/>
    <mergeCell ref="G143:G143"/>
    <mergeCell ref="H143:H143"/>
    <mergeCell ref="I143:I143"/>
    <mergeCell ref="J143:J143"/>
    <mergeCell ref="K143:K143"/>
    <mergeCell ref="L143:L143"/>
    <mergeCell ref="M143:M143"/>
    <mergeCell ref="N143:N143"/>
    <mergeCell ref="O143:O143"/>
    <mergeCell ref="P143:P143"/>
    <mergeCell ref="Q143:Q143"/>
    <mergeCell ref="R143:R143"/>
    <mergeCell ref="S143:S143"/>
    <mergeCell ref="T143:T143"/>
    <mergeCell ref="U143:U143"/>
    <mergeCell ref="V143:V143"/>
    <mergeCell ref="W143:W143"/>
    <mergeCell ref="X143:X143"/>
    <mergeCell ref="Y143:Y143"/>
    <mergeCell ref="Z143:Z143"/>
    <mergeCell ref="AA143:AA143"/>
    <mergeCell ref="AB143:AB143"/>
    <mergeCell ref="AC143:AC143"/>
    <mergeCell ref="AD143:AD143"/>
    <mergeCell ref="AE143:AE143"/>
    <mergeCell ref="AF143:AF143"/>
    <mergeCell ref="AG143:AG143"/>
    <mergeCell ref="AH143:AH143"/>
    <mergeCell ref="AI143:AI143"/>
    <mergeCell ref="AJ143:AJ143"/>
    <mergeCell ref="AK143:AK143"/>
    <mergeCell ref="AL143:AL143"/>
    <mergeCell ref="AM143:AM143"/>
    <mergeCell ref="AN143:AN143"/>
    <mergeCell ref="AO143:AO143"/>
    <mergeCell ref="A144:A144"/>
    <mergeCell ref="B144:B144"/>
    <mergeCell ref="C144:C144"/>
    <mergeCell ref="D144:D144"/>
    <mergeCell ref="E144:E144"/>
    <mergeCell ref="F144:F144"/>
    <mergeCell ref="G144:G144"/>
    <mergeCell ref="H144:H144"/>
    <mergeCell ref="I144:I144"/>
    <mergeCell ref="J144:J144"/>
    <mergeCell ref="K144:K144"/>
    <mergeCell ref="L144:L144"/>
    <mergeCell ref="M144:M144"/>
    <mergeCell ref="N144:N144"/>
    <mergeCell ref="O144:O144"/>
    <mergeCell ref="P144:P144"/>
    <mergeCell ref="Q144:Q144"/>
    <mergeCell ref="R144:R144"/>
    <mergeCell ref="S144:S144"/>
    <mergeCell ref="T144:T144"/>
    <mergeCell ref="U144:U144"/>
    <mergeCell ref="V144:V144"/>
    <mergeCell ref="W144:W144"/>
    <mergeCell ref="X144:X144"/>
    <mergeCell ref="Y144:Y144"/>
    <mergeCell ref="Z144:Z144"/>
    <mergeCell ref="AA144:AA144"/>
    <mergeCell ref="AB144:AB144"/>
    <mergeCell ref="AC144:AC144"/>
    <mergeCell ref="AD144:AD144"/>
    <mergeCell ref="AE144:AE144"/>
    <mergeCell ref="AF144:AF144"/>
    <mergeCell ref="AG144:AG144"/>
    <mergeCell ref="AH144:AH144"/>
    <mergeCell ref="AI144:AI144"/>
    <mergeCell ref="AJ144:AJ144"/>
    <mergeCell ref="AK144:AK144"/>
    <mergeCell ref="AL144:AL144"/>
    <mergeCell ref="AM144:AM144"/>
    <mergeCell ref="AN144:AN144"/>
    <mergeCell ref="AO144:AO144"/>
    <mergeCell ref="A145:A145"/>
    <mergeCell ref="B145:B145"/>
    <mergeCell ref="C145:C145"/>
    <mergeCell ref="D145:D145"/>
    <mergeCell ref="E145:E145"/>
    <mergeCell ref="F145:F145"/>
    <mergeCell ref="G145:G145"/>
    <mergeCell ref="H145:H145"/>
    <mergeCell ref="I145:I145"/>
    <mergeCell ref="J145:J145"/>
    <mergeCell ref="K145:K145"/>
    <mergeCell ref="L145:L145"/>
    <mergeCell ref="M145:M145"/>
    <mergeCell ref="N145:N145"/>
    <mergeCell ref="O145:O145"/>
    <mergeCell ref="P145:P145"/>
    <mergeCell ref="Q145:Q145"/>
    <mergeCell ref="R145:R145"/>
    <mergeCell ref="S145:S145"/>
    <mergeCell ref="T145:T145"/>
    <mergeCell ref="U145:U145"/>
    <mergeCell ref="V145:V145"/>
    <mergeCell ref="W145:W145"/>
    <mergeCell ref="X145:X145"/>
    <mergeCell ref="Y145:Y145"/>
    <mergeCell ref="Z145:Z145"/>
    <mergeCell ref="AA145:AA145"/>
    <mergeCell ref="AB145:AB145"/>
    <mergeCell ref="AC145:AC145"/>
    <mergeCell ref="AD145:AD145"/>
    <mergeCell ref="AE145:AE145"/>
    <mergeCell ref="AF145:AF145"/>
    <mergeCell ref="AG145:AG145"/>
    <mergeCell ref="AH145:AH145"/>
    <mergeCell ref="AI145:AI145"/>
    <mergeCell ref="AJ145:AJ145"/>
    <mergeCell ref="AK145:AK145"/>
    <mergeCell ref="AL145:AL145"/>
    <mergeCell ref="AM145:AM145"/>
    <mergeCell ref="AN145:AN145"/>
    <mergeCell ref="AO145:AO145"/>
    <mergeCell ref="A146:A146"/>
    <mergeCell ref="B146:B146"/>
    <mergeCell ref="C146:C146"/>
    <mergeCell ref="D146:D146"/>
    <mergeCell ref="E146:E146"/>
    <mergeCell ref="F146:F146"/>
    <mergeCell ref="G146:G146"/>
    <mergeCell ref="H146:H146"/>
    <mergeCell ref="I146:I146"/>
    <mergeCell ref="J146:J146"/>
    <mergeCell ref="K146:K146"/>
    <mergeCell ref="L146:L146"/>
    <mergeCell ref="M146:M146"/>
    <mergeCell ref="N146:N146"/>
    <mergeCell ref="O146:O146"/>
    <mergeCell ref="P146:P146"/>
    <mergeCell ref="Q146:Q146"/>
    <mergeCell ref="R146:R146"/>
    <mergeCell ref="S146:S146"/>
    <mergeCell ref="T146:T146"/>
    <mergeCell ref="U146:U146"/>
    <mergeCell ref="V146:V146"/>
    <mergeCell ref="W146:W146"/>
    <mergeCell ref="X146:X146"/>
    <mergeCell ref="Y146:Y146"/>
    <mergeCell ref="Z146:Z146"/>
    <mergeCell ref="AA146:AA146"/>
    <mergeCell ref="AB146:AB146"/>
    <mergeCell ref="AC146:AC146"/>
    <mergeCell ref="AD146:AD146"/>
    <mergeCell ref="AE146:AE146"/>
    <mergeCell ref="AF146:AF146"/>
    <mergeCell ref="AG146:AG146"/>
    <mergeCell ref="AH146:AH146"/>
    <mergeCell ref="AI146:AI146"/>
    <mergeCell ref="AJ146:AJ146"/>
    <mergeCell ref="AK146:AK146"/>
    <mergeCell ref="AL146:AL146"/>
    <mergeCell ref="AM146:AM146"/>
    <mergeCell ref="AN146:AN146"/>
    <mergeCell ref="AO146:AO146"/>
    <mergeCell ref="A147:A147"/>
    <mergeCell ref="B147:B147"/>
    <mergeCell ref="C147:C147"/>
    <mergeCell ref="D147:D147"/>
    <mergeCell ref="E147:E147"/>
    <mergeCell ref="F147:F147"/>
    <mergeCell ref="G147:G147"/>
    <mergeCell ref="H147:H147"/>
    <mergeCell ref="I147:I147"/>
    <mergeCell ref="J147:J147"/>
    <mergeCell ref="K147:K147"/>
    <mergeCell ref="L147:L147"/>
    <mergeCell ref="M147:M147"/>
    <mergeCell ref="N147:N147"/>
    <mergeCell ref="O147:O147"/>
    <mergeCell ref="P147:P147"/>
    <mergeCell ref="Q147:Q147"/>
    <mergeCell ref="R147:R147"/>
    <mergeCell ref="S147:S147"/>
    <mergeCell ref="T147:T147"/>
    <mergeCell ref="U147:U147"/>
    <mergeCell ref="V147:V147"/>
    <mergeCell ref="W147:W147"/>
    <mergeCell ref="X147:X147"/>
    <mergeCell ref="Y147:Y147"/>
    <mergeCell ref="Z147:Z147"/>
    <mergeCell ref="AA147:AA147"/>
    <mergeCell ref="AB147:AB147"/>
    <mergeCell ref="AC147:AC147"/>
    <mergeCell ref="AD147:AD147"/>
    <mergeCell ref="AE147:AE147"/>
    <mergeCell ref="AF147:AF147"/>
    <mergeCell ref="AG147:AG147"/>
    <mergeCell ref="AH147:AH147"/>
    <mergeCell ref="AI147:AI147"/>
    <mergeCell ref="AJ147:AJ147"/>
    <mergeCell ref="AK147:AK147"/>
    <mergeCell ref="AL147:AL147"/>
    <mergeCell ref="AM147:AM147"/>
    <mergeCell ref="AN147:AN147"/>
    <mergeCell ref="AO147:AO147"/>
    <mergeCell ref="A148:A148"/>
    <mergeCell ref="B148:B148"/>
    <mergeCell ref="C148:C148"/>
    <mergeCell ref="D148:D148"/>
    <mergeCell ref="E148:E148"/>
    <mergeCell ref="F148:F148"/>
    <mergeCell ref="G148:G148"/>
    <mergeCell ref="H148:H148"/>
    <mergeCell ref="I148:I148"/>
    <mergeCell ref="J148:J148"/>
    <mergeCell ref="K148:K148"/>
    <mergeCell ref="L148:L148"/>
    <mergeCell ref="M148:M148"/>
    <mergeCell ref="N148:N148"/>
    <mergeCell ref="O148:O148"/>
    <mergeCell ref="P148:P148"/>
    <mergeCell ref="Q148:Q148"/>
    <mergeCell ref="R148:R148"/>
    <mergeCell ref="S148:S148"/>
    <mergeCell ref="T148:T148"/>
    <mergeCell ref="U148:U148"/>
    <mergeCell ref="V148:V148"/>
    <mergeCell ref="W148:W148"/>
    <mergeCell ref="X148:X148"/>
    <mergeCell ref="Y148:Y148"/>
    <mergeCell ref="Z148:Z148"/>
    <mergeCell ref="AA148:AA148"/>
    <mergeCell ref="AB148:AB148"/>
    <mergeCell ref="AC148:AC148"/>
    <mergeCell ref="AD148:AD148"/>
    <mergeCell ref="AE148:AE148"/>
    <mergeCell ref="AF148:AF148"/>
    <mergeCell ref="AG148:AG148"/>
    <mergeCell ref="AH148:AH148"/>
    <mergeCell ref="AI148:AI148"/>
    <mergeCell ref="AJ148:AJ148"/>
    <mergeCell ref="AK148:AK148"/>
    <mergeCell ref="AL148:AL148"/>
    <mergeCell ref="AM148:AM148"/>
    <mergeCell ref="AN148:AN148"/>
    <mergeCell ref="AO148:AO148"/>
    <mergeCell ref="A149:A149"/>
    <mergeCell ref="B149:B149"/>
    <mergeCell ref="C149:C149"/>
    <mergeCell ref="D149:D149"/>
    <mergeCell ref="E149:E149"/>
    <mergeCell ref="F149:F149"/>
    <mergeCell ref="G149:G149"/>
    <mergeCell ref="H149:H149"/>
    <mergeCell ref="I149:I149"/>
    <mergeCell ref="J149:J149"/>
    <mergeCell ref="K149:K149"/>
    <mergeCell ref="L149:L149"/>
    <mergeCell ref="M149:M149"/>
    <mergeCell ref="N149:N149"/>
    <mergeCell ref="O149:O149"/>
    <mergeCell ref="P149:P149"/>
    <mergeCell ref="Q149:Q149"/>
    <mergeCell ref="R149:R149"/>
    <mergeCell ref="S149:S149"/>
    <mergeCell ref="T149:T149"/>
    <mergeCell ref="U149:U149"/>
    <mergeCell ref="V149:V149"/>
    <mergeCell ref="W149:W149"/>
    <mergeCell ref="X149:X149"/>
    <mergeCell ref="Y149:Y149"/>
    <mergeCell ref="Z149:Z149"/>
    <mergeCell ref="AA149:AA149"/>
    <mergeCell ref="AB149:AB149"/>
    <mergeCell ref="AC149:AC149"/>
    <mergeCell ref="AD149:AD149"/>
    <mergeCell ref="AE149:AE149"/>
    <mergeCell ref="AF149:AF149"/>
    <mergeCell ref="AG149:AG149"/>
    <mergeCell ref="AH149:AH149"/>
    <mergeCell ref="AI149:AI149"/>
    <mergeCell ref="AJ149:AJ149"/>
    <mergeCell ref="AK149:AK149"/>
    <mergeCell ref="AL149:AL149"/>
    <mergeCell ref="AM149:AM149"/>
    <mergeCell ref="AN149:AN149"/>
    <mergeCell ref="AO149:AO149"/>
    <mergeCell ref="A150:A150"/>
    <mergeCell ref="B150:B150"/>
    <mergeCell ref="C150:C150"/>
    <mergeCell ref="D150:D150"/>
    <mergeCell ref="E150:E150"/>
    <mergeCell ref="F150:F150"/>
    <mergeCell ref="G150:G150"/>
    <mergeCell ref="H150:H150"/>
    <mergeCell ref="I150:I150"/>
    <mergeCell ref="J150:J150"/>
    <mergeCell ref="K150:K150"/>
    <mergeCell ref="L150:L150"/>
    <mergeCell ref="M150:M150"/>
    <mergeCell ref="N150:N150"/>
    <mergeCell ref="O150:O150"/>
    <mergeCell ref="P150:P150"/>
    <mergeCell ref="Q150:Q150"/>
    <mergeCell ref="R150:R150"/>
    <mergeCell ref="S150:S150"/>
    <mergeCell ref="T150:T150"/>
    <mergeCell ref="U150:U150"/>
    <mergeCell ref="V150:V150"/>
    <mergeCell ref="W150:W150"/>
    <mergeCell ref="X150:X150"/>
    <mergeCell ref="Y150:Y150"/>
    <mergeCell ref="Z150:Z150"/>
    <mergeCell ref="AA150:AA150"/>
    <mergeCell ref="AB150:AB150"/>
    <mergeCell ref="AC150:AC150"/>
    <mergeCell ref="AD150:AD150"/>
    <mergeCell ref="AE150:AE150"/>
    <mergeCell ref="AF150:AF150"/>
    <mergeCell ref="AG150:AG150"/>
    <mergeCell ref="AH150:AH150"/>
    <mergeCell ref="AI150:AI150"/>
    <mergeCell ref="AJ150:AJ150"/>
    <mergeCell ref="AK150:AK150"/>
    <mergeCell ref="AL150:AL150"/>
    <mergeCell ref="AM150:AM150"/>
    <mergeCell ref="AN150:AN150"/>
    <mergeCell ref="AO150:AO150"/>
    <mergeCell ref="A151:A151"/>
    <mergeCell ref="B151:B151"/>
    <mergeCell ref="C151:C151"/>
    <mergeCell ref="D151:D151"/>
    <mergeCell ref="E151:E151"/>
    <mergeCell ref="F151:F151"/>
    <mergeCell ref="G151:G151"/>
    <mergeCell ref="H151:H151"/>
    <mergeCell ref="I151:I151"/>
    <mergeCell ref="J151:J151"/>
    <mergeCell ref="K151:K151"/>
    <mergeCell ref="L151:L151"/>
    <mergeCell ref="M151:M151"/>
    <mergeCell ref="N151:N151"/>
    <mergeCell ref="O151:O151"/>
    <mergeCell ref="P151:P151"/>
    <mergeCell ref="Q151:Q151"/>
    <mergeCell ref="R151:R151"/>
    <mergeCell ref="S151:S151"/>
    <mergeCell ref="T151:T151"/>
    <mergeCell ref="U151:U151"/>
    <mergeCell ref="V151:V151"/>
    <mergeCell ref="W151:W151"/>
    <mergeCell ref="X151:X151"/>
    <mergeCell ref="Y151:Y151"/>
    <mergeCell ref="Z151:Z151"/>
    <mergeCell ref="AA151:AA151"/>
    <mergeCell ref="AB151:AB151"/>
    <mergeCell ref="AC151:AC151"/>
    <mergeCell ref="AD151:AD151"/>
    <mergeCell ref="AE151:AE151"/>
    <mergeCell ref="AF151:AF151"/>
    <mergeCell ref="AG151:AG151"/>
    <mergeCell ref="AH151:AH151"/>
    <mergeCell ref="AI151:AI151"/>
    <mergeCell ref="AJ151:AJ151"/>
    <mergeCell ref="AK151:AK151"/>
    <mergeCell ref="AL151:AL151"/>
    <mergeCell ref="AM151:AM151"/>
    <mergeCell ref="AN151:AN151"/>
    <mergeCell ref="AO151:AO151"/>
    <mergeCell ref="A152:A152"/>
    <mergeCell ref="B152:B152"/>
    <mergeCell ref="C152:C152"/>
    <mergeCell ref="D152:D152"/>
    <mergeCell ref="E152:E152"/>
    <mergeCell ref="F152:F152"/>
    <mergeCell ref="G152:G152"/>
    <mergeCell ref="H152:H152"/>
    <mergeCell ref="I152:I152"/>
    <mergeCell ref="J152:J152"/>
    <mergeCell ref="K152:K152"/>
    <mergeCell ref="L152:L152"/>
    <mergeCell ref="M152:M152"/>
    <mergeCell ref="N152:N152"/>
    <mergeCell ref="O152:O152"/>
    <mergeCell ref="P152:P152"/>
    <mergeCell ref="Q152:Q152"/>
    <mergeCell ref="R152:R152"/>
    <mergeCell ref="S152:S152"/>
    <mergeCell ref="T152:T152"/>
    <mergeCell ref="U152:U152"/>
    <mergeCell ref="V152:V152"/>
    <mergeCell ref="W152:W152"/>
    <mergeCell ref="X152:X152"/>
    <mergeCell ref="Y152:Y152"/>
    <mergeCell ref="Z152:Z152"/>
    <mergeCell ref="AA152:AA152"/>
    <mergeCell ref="AB152:AB152"/>
    <mergeCell ref="AC152:AC152"/>
    <mergeCell ref="AD152:AD152"/>
    <mergeCell ref="AE152:AE152"/>
    <mergeCell ref="AF152:AF152"/>
    <mergeCell ref="AG152:AG152"/>
    <mergeCell ref="AH152:AH152"/>
    <mergeCell ref="AI152:AI152"/>
    <mergeCell ref="AJ152:AJ152"/>
    <mergeCell ref="AK152:AK152"/>
    <mergeCell ref="AL152:AL152"/>
    <mergeCell ref="AM152:AM152"/>
    <mergeCell ref="AN152:AN152"/>
    <mergeCell ref="AO152:AO152"/>
    <mergeCell ref="A153:A153"/>
    <mergeCell ref="B153:B153"/>
    <mergeCell ref="C153:C153"/>
    <mergeCell ref="D153:D153"/>
    <mergeCell ref="E153:E153"/>
    <mergeCell ref="F153:F153"/>
    <mergeCell ref="G153:G153"/>
    <mergeCell ref="H153:H153"/>
    <mergeCell ref="I153:I153"/>
    <mergeCell ref="J153:J153"/>
    <mergeCell ref="K153:K153"/>
    <mergeCell ref="L153:L153"/>
    <mergeCell ref="M153:M153"/>
    <mergeCell ref="N153:N153"/>
    <mergeCell ref="O153:O153"/>
    <mergeCell ref="P153:P153"/>
    <mergeCell ref="Q153:Q153"/>
    <mergeCell ref="R153:R153"/>
    <mergeCell ref="S153:S153"/>
    <mergeCell ref="T153:T153"/>
    <mergeCell ref="U153:U153"/>
    <mergeCell ref="V153:V153"/>
    <mergeCell ref="W153:W153"/>
    <mergeCell ref="X153:X153"/>
    <mergeCell ref="Y153:Y153"/>
    <mergeCell ref="Z153:Z153"/>
    <mergeCell ref="AA153:AA153"/>
    <mergeCell ref="AB153:AB153"/>
    <mergeCell ref="AC153:AC153"/>
    <mergeCell ref="AD153:AD153"/>
    <mergeCell ref="AE153:AE153"/>
    <mergeCell ref="AF153:AF153"/>
    <mergeCell ref="AG153:AG153"/>
    <mergeCell ref="AH153:AH153"/>
    <mergeCell ref="AI153:AI153"/>
    <mergeCell ref="AJ153:AJ153"/>
    <mergeCell ref="AK153:AK153"/>
    <mergeCell ref="AL153:AL153"/>
    <mergeCell ref="AM153:AM153"/>
    <mergeCell ref="AN153:AN153"/>
    <mergeCell ref="AO153:AO153"/>
    <mergeCell ref="A154:A154"/>
    <mergeCell ref="B154:B154"/>
    <mergeCell ref="C154:C154"/>
    <mergeCell ref="D154:D154"/>
    <mergeCell ref="E154:E154"/>
    <mergeCell ref="F154:F154"/>
    <mergeCell ref="G154:G154"/>
    <mergeCell ref="H154:H154"/>
    <mergeCell ref="I154:I154"/>
    <mergeCell ref="J154:J154"/>
    <mergeCell ref="K154:K154"/>
    <mergeCell ref="L154:L154"/>
    <mergeCell ref="M154:M154"/>
    <mergeCell ref="N154:N154"/>
    <mergeCell ref="O154:O154"/>
    <mergeCell ref="P154:P154"/>
    <mergeCell ref="Q154:Q154"/>
    <mergeCell ref="R154:R154"/>
    <mergeCell ref="S154:S154"/>
    <mergeCell ref="T154:T154"/>
    <mergeCell ref="U154:U154"/>
    <mergeCell ref="V154:V154"/>
    <mergeCell ref="W154:W154"/>
    <mergeCell ref="X154:X154"/>
    <mergeCell ref="Y154:Y154"/>
    <mergeCell ref="Z154:Z154"/>
    <mergeCell ref="AA154:AA154"/>
    <mergeCell ref="AB154:AB154"/>
    <mergeCell ref="AC154:AC154"/>
    <mergeCell ref="AD154:AD154"/>
    <mergeCell ref="AE154:AE154"/>
    <mergeCell ref="AF154:AF154"/>
    <mergeCell ref="AG154:AG154"/>
    <mergeCell ref="AH154:AH154"/>
    <mergeCell ref="AI154:AI154"/>
    <mergeCell ref="AJ154:AJ154"/>
    <mergeCell ref="AK154:AK154"/>
    <mergeCell ref="AL154:AL154"/>
    <mergeCell ref="AM154:AM154"/>
    <mergeCell ref="AN154:AN154"/>
    <mergeCell ref="AO154:AO154"/>
    <mergeCell ref="A155:A155"/>
    <mergeCell ref="B155:B155"/>
    <mergeCell ref="C155:C155"/>
    <mergeCell ref="D155:D155"/>
    <mergeCell ref="E155:E155"/>
    <mergeCell ref="F155:F155"/>
    <mergeCell ref="G155:G155"/>
    <mergeCell ref="H155:H155"/>
    <mergeCell ref="I155:I155"/>
    <mergeCell ref="J155:J155"/>
    <mergeCell ref="K155:K155"/>
    <mergeCell ref="L155:L155"/>
    <mergeCell ref="M155:M155"/>
    <mergeCell ref="N155:N155"/>
    <mergeCell ref="O155:O155"/>
    <mergeCell ref="P155:P155"/>
    <mergeCell ref="Q155:Q155"/>
    <mergeCell ref="R155:R155"/>
    <mergeCell ref="S155:S155"/>
    <mergeCell ref="T155:T155"/>
    <mergeCell ref="U155:U155"/>
    <mergeCell ref="V155:V155"/>
    <mergeCell ref="W155:W155"/>
    <mergeCell ref="X155:X155"/>
    <mergeCell ref="Y155:Y155"/>
    <mergeCell ref="Z155:Z155"/>
    <mergeCell ref="AA155:AA155"/>
    <mergeCell ref="AB155:AB155"/>
    <mergeCell ref="AC155:AC155"/>
    <mergeCell ref="AD155:AD155"/>
    <mergeCell ref="AE155:AE155"/>
    <mergeCell ref="AF155:AF155"/>
    <mergeCell ref="AG155:AG155"/>
    <mergeCell ref="AH155:AH155"/>
    <mergeCell ref="AI155:AI155"/>
    <mergeCell ref="AJ155:AJ155"/>
    <mergeCell ref="AK155:AK155"/>
    <mergeCell ref="AL155:AL155"/>
    <mergeCell ref="AM155:AM155"/>
    <mergeCell ref="AN155:AN155"/>
    <mergeCell ref="AO155:AO155"/>
    <mergeCell ref="A156:A156"/>
    <mergeCell ref="B156:B156"/>
    <mergeCell ref="C156:C156"/>
    <mergeCell ref="D156:D156"/>
    <mergeCell ref="E156:E156"/>
    <mergeCell ref="F156:F156"/>
    <mergeCell ref="G156:G156"/>
    <mergeCell ref="H156:H156"/>
    <mergeCell ref="I156:I156"/>
    <mergeCell ref="J156:J156"/>
    <mergeCell ref="K156:K156"/>
    <mergeCell ref="L156:L156"/>
    <mergeCell ref="M156:M156"/>
    <mergeCell ref="N156:N156"/>
    <mergeCell ref="O156:O156"/>
    <mergeCell ref="P156:P156"/>
    <mergeCell ref="Q156:Q156"/>
    <mergeCell ref="R156:R156"/>
    <mergeCell ref="S156:S156"/>
    <mergeCell ref="T156:T156"/>
    <mergeCell ref="U156:U156"/>
    <mergeCell ref="V156:V156"/>
    <mergeCell ref="W156:W156"/>
    <mergeCell ref="X156:X156"/>
    <mergeCell ref="Y156:Y156"/>
    <mergeCell ref="Z156:Z156"/>
    <mergeCell ref="AA156:AA156"/>
    <mergeCell ref="AB156:AB156"/>
    <mergeCell ref="AC156:AC156"/>
    <mergeCell ref="AD156:AD156"/>
    <mergeCell ref="AE156:AE156"/>
    <mergeCell ref="AF156:AF156"/>
    <mergeCell ref="AG156:AG156"/>
    <mergeCell ref="AH156:AH156"/>
    <mergeCell ref="AI156:AI156"/>
    <mergeCell ref="AJ156:AJ156"/>
    <mergeCell ref="AK156:AK156"/>
    <mergeCell ref="AL156:AL156"/>
    <mergeCell ref="AM156:AM156"/>
    <mergeCell ref="AN156:AN156"/>
    <mergeCell ref="AO156:AO156"/>
    <mergeCell ref="A157:A157"/>
    <mergeCell ref="B157:B157"/>
    <mergeCell ref="C157:C157"/>
    <mergeCell ref="D157:D157"/>
    <mergeCell ref="E157:E157"/>
    <mergeCell ref="F157:F157"/>
    <mergeCell ref="G157:G157"/>
    <mergeCell ref="H157:H157"/>
    <mergeCell ref="I157:I157"/>
    <mergeCell ref="J157:J157"/>
    <mergeCell ref="K157:K157"/>
    <mergeCell ref="L157:L157"/>
    <mergeCell ref="M157:M157"/>
    <mergeCell ref="N157:N157"/>
    <mergeCell ref="O157:O157"/>
    <mergeCell ref="P157:P157"/>
    <mergeCell ref="Q157:Q157"/>
    <mergeCell ref="R157:R157"/>
    <mergeCell ref="S157:S157"/>
    <mergeCell ref="T157:T157"/>
    <mergeCell ref="U157:U157"/>
    <mergeCell ref="V157:V157"/>
    <mergeCell ref="W157:W157"/>
    <mergeCell ref="X157:X157"/>
    <mergeCell ref="Y157:Y157"/>
    <mergeCell ref="Z157:Z157"/>
    <mergeCell ref="AA157:AA157"/>
    <mergeCell ref="AB157:AB157"/>
    <mergeCell ref="AC157:AC157"/>
    <mergeCell ref="AD157:AD157"/>
    <mergeCell ref="AE157:AE157"/>
    <mergeCell ref="AF157:AF157"/>
    <mergeCell ref="AG157:AG157"/>
    <mergeCell ref="AH157:AH157"/>
    <mergeCell ref="AI157:AI157"/>
    <mergeCell ref="AJ157:AJ157"/>
    <mergeCell ref="AK157:AK157"/>
    <mergeCell ref="AL157:AL157"/>
    <mergeCell ref="AM157:AM157"/>
    <mergeCell ref="AN157:AN157"/>
    <mergeCell ref="AO157:AO157"/>
    <mergeCell ref="A158:A158"/>
    <mergeCell ref="B158:B158"/>
    <mergeCell ref="C158:C158"/>
    <mergeCell ref="D158:D158"/>
    <mergeCell ref="E158:E158"/>
    <mergeCell ref="F158:F158"/>
    <mergeCell ref="G158:G158"/>
    <mergeCell ref="H158:H158"/>
    <mergeCell ref="I158:I158"/>
    <mergeCell ref="J158:J158"/>
    <mergeCell ref="K158:K158"/>
    <mergeCell ref="L158:L158"/>
    <mergeCell ref="M158:M158"/>
    <mergeCell ref="N158:N158"/>
    <mergeCell ref="O158:O158"/>
    <mergeCell ref="P158:P158"/>
    <mergeCell ref="Q158:Q158"/>
    <mergeCell ref="R158:R158"/>
    <mergeCell ref="S158:S158"/>
    <mergeCell ref="T158:T158"/>
    <mergeCell ref="U158:U158"/>
    <mergeCell ref="V158:V158"/>
    <mergeCell ref="W158:W158"/>
    <mergeCell ref="X158:X158"/>
    <mergeCell ref="Y158:Y158"/>
    <mergeCell ref="Z158:Z158"/>
    <mergeCell ref="AA158:AA158"/>
    <mergeCell ref="AB158:AB158"/>
    <mergeCell ref="AC158:AC158"/>
    <mergeCell ref="AD158:AD158"/>
    <mergeCell ref="AE158:AE158"/>
    <mergeCell ref="AF158:AF158"/>
    <mergeCell ref="AG158:AG158"/>
    <mergeCell ref="AH158:AH158"/>
    <mergeCell ref="AI158:AI158"/>
    <mergeCell ref="AJ158:AJ158"/>
    <mergeCell ref="AK158:AK158"/>
    <mergeCell ref="AL158:AL158"/>
    <mergeCell ref="AM158:AM158"/>
    <mergeCell ref="AN158:AN158"/>
    <mergeCell ref="AO158:AO158"/>
    <mergeCell ref="A159:A159"/>
    <mergeCell ref="B159:B159"/>
    <mergeCell ref="C159:C159"/>
    <mergeCell ref="D159:D159"/>
    <mergeCell ref="E159:E159"/>
    <mergeCell ref="F159:F159"/>
    <mergeCell ref="G159:G159"/>
    <mergeCell ref="H159:H159"/>
    <mergeCell ref="I159:I159"/>
    <mergeCell ref="J159:J159"/>
    <mergeCell ref="K159:K159"/>
    <mergeCell ref="L159:L159"/>
    <mergeCell ref="M159:M159"/>
    <mergeCell ref="N159:N159"/>
    <mergeCell ref="O159:O159"/>
    <mergeCell ref="P159:P159"/>
    <mergeCell ref="Q159:Q159"/>
    <mergeCell ref="R159:R159"/>
    <mergeCell ref="S159:S159"/>
    <mergeCell ref="T159:T159"/>
    <mergeCell ref="U159:U159"/>
    <mergeCell ref="V159:V159"/>
    <mergeCell ref="W159:W159"/>
    <mergeCell ref="X159:X159"/>
    <mergeCell ref="Y159:Y159"/>
    <mergeCell ref="Z159:Z159"/>
    <mergeCell ref="AA159:AA159"/>
    <mergeCell ref="AB159:AB159"/>
    <mergeCell ref="AC159:AC159"/>
    <mergeCell ref="AD159:AD159"/>
    <mergeCell ref="AE159:AE159"/>
    <mergeCell ref="AF159:AF159"/>
    <mergeCell ref="AG159:AG159"/>
    <mergeCell ref="AH159:AH159"/>
    <mergeCell ref="AI159:AI159"/>
    <mergeCell ref="AJ159:AJ159"/>
    <mergeCell ref="AK159:AK159"/>
    <mergeCell ref="AL159:AL159"/>
    <mergeCell ref="AM159:AM159"/>
    <mergeCell ref="AN159:AN159"/>
    <mergeCell ref="AO159:AO159"/>
    <mergeCell ref="A160:A160"/>
    <mergeCell ref="B160:B160"/>
    <mergeCell ref="C160:C160"/>
    <mergeCell ref="D160:D160"/>
    <mergeCell ref="E160:E160"/>
    <mergeCell ref="F160:F160"/>
    <mergeCell ref="G160:G160"/>
    <mergeCell ref="H160:H160"/>
    <mergeCell ref="I160:I160"/>
    <mergeCell ref="J160:J160"/>
    <mergeCell ref="K160:K160"/>
    <mergeCell ref="L160:L160"/>
    <mergeCell ref="M160:M160"/>
    <mergeCell ref="N160:N160"/>
    <mergeCell ref="O160:O160"/>
    <mergeCell ref="P160:P160"/>
    <mergeCell ref="Q160:Q160"/>
    <mergeCell ref="R160:R160"/>
    <mergeCell ref="S160:S160"/>
    <mergeCell ref="T160:T160"/>
    <mergeCell ref="U160:U160"/>
    <mergeCell ref="V160:V160"/>
    <mergeCell ref="W160:W160"/>
    <mergeCell ref="X160:X160"/>
    <mergeCell ref="Y160:Y160"/>
    <mergeCell ref="Z160:Z160"/>
    <mergeCell ref="AA160:AA160"/>
    <mergeCell ref="AB160:AB160"/>
    <mergeCell ref="AC160:AC160"/>
    <mergeCell ref="AD160:AD160"/>
    <mergeCell ref="AE160:AE160"/>
    <mergeCell ref="AF160:AF160"/>
    <mergeCell ref="AG160:AG160"/>
    <mergeCell ref="AH160:AH160"/>
    <mergeCell ref="AI160:AI160"/>
    <mergeCell ref="AJ160:AJ160"/>
    <mergeCell ref="AK160:AK160"/>
    <mergeCell ref="AL160:AL160"/>
    <mergeCell ref="AM160:AM160"/>
    <mergeCell ref="AN160:AN160"/>
    <mergeCell ref="AO160:AO160"/>
    <mergeCell ref="A161:A161"/>
    <mergeCell ref="B161:B161"/>
    <mergeCell ref="C161:C161"/>
    <mergeCell ref="D161:D161"/>
    <mergeCell ref="E161:E161"/>
    <mergeCell ref="F161:F161"/>
    <mergeCell ref="G161:G161"/>
    <mergeCell ref="H161:H161"/>
    <mergeCell ref="I161:I161"/>
    <mergeCell ref="J161:J161"/>
    <mergeCell ref="K161:K161"/>
    <mergeCell ref="L161:L161"/>
    <mergeCell ref="M161:M161"/>
    <mergeCell ref="N161:N161"/>
    <mergeCell ref="O161:O161"/>
    <mergeCell ref="P161:P161"/>
    <mergeCell ref="Q161:Q161"/>
    <mergeCell ref="R161:R161"/>
    <mergeCell ref="S161:S161"/>
    <mergeCell ref="T161:T161"/>
    <mergeCell ref="U161:U161"/>
    <mergeCell ref="V161:V161"/>
    <mergeCell ref="W161:W161"/>
    <mergeCell ref="X161:X161"/>
    <mergeCell ref="Y161:Y161"/>
    <mergeCell ref="Z161:Z161"/>
    <mergeCell ref="AA161:AA161"/>
    <mergeCell ref="AB161:AB161"/>
    <mergeCell ref="AC161:AC161"/>
    <mergeCell ref="AD161:AD161"/>
    <mergeCell ref="AE161:AE161"/>
    <mergeCell ref="AF161:AF161"/>
    <mergeCell ref="AG161:AG161"/>
    <mergeCell ref="AH161:AH161"/>
    <mergeCell ref="AI161:AI161"/>
    <mergeCell ref="AJ161:AJ161"/>
    <mergeCell ref="AK161:AK161"/>
    <mergeCell ref="AL161:AL161"/>
    <mergeCell ref="AM161:AM161"/>
    <mergeCell ref="AN161:AN161"/>
    <mergeCell ref="AO161:AO161"/>
    <mergeCell ref="A162:A162"/>
    <mergeCell ref="B162:B162"/>
    <mergeCell ref="C162:C162"/>
    <mergeCell ref="D162:D162"/>
    <mergeCell ref="E162:E162"/>
    <mergeCell ref="F162:F162"/>
    <mergeCell ref="G162:G162"/>
    <mergeCell ref="H162:H162"/>
    <mergeCell ref="I162:I162"/>
    <mergeCell ref="J162:J162"/>
    <mergeCell ref="K162:K162"/>
    <mergeCell ref="L162:L162"/>
    <mergeCell ref="M162:M162"/>
    <mergeCell ref="N162:N162"/>
    <mergeCell ref="O162:O162"/>
    <mergeCell ref="P162:P162"/>
    <mergeCell ref="Q162:Q162"/>
    <mergeCell ref="R162:R162"/>
    <mergeCell ref="S162:S162"/>
    <mergeCell ref="T162:T162"/>
    <mergeCell ref="U162:U162"/>
    <mergeCell ref="V162:V162"/>
    <mergeCell ref="W162:W162"/>
    <mergeCell ref="X162:X162"/>
    <mergeCell ref="Y162:Y162"/>
    <mergeCell ref="Z162:Z162"/>
    <mergeCell ref="AA162:AA162"/>
    <mergeCell ref="AB162:AB162"/>
    <mergeCell ref="AC162:AC162"/>
    <mergeCell ref="AD162:AD162"/>
    <mergeCell ref="AE162:AE162"/>
    <mergeCell ref="AF162:AF162"/>
    <mergeCell ref="AG162:AG162"/>
    <mergeCell ref="AH162:AH162"/>
    <mergeCell ref="AI162:AI162"/>
    <mergeCell ref="AJ162:AJ162"/>
    <mergeCell ref="AK162:AK162"/>
    <mergeCell ref="AL162:AL162"/>
    <mergeCell ref="AM162:AM162"/>
    <mergeCell ref="AN162:AN162"/>
    <mergeCell ref="AO162:AO162"/>
    <mergeCell ref="A163:A163"/>
    <mergeCell ref="B163:B163"/>
    <mergeCell ref="C163:C163"/>
    <mergeCell ref="D163:D163"/>
    <mergeCell ref="E163:E163"/>
    <mergeCell ref="F163:F163"/>
    <mergeCell ref="G163:G163"/>
    <mergeCell ref="H163:H163"/>
    <mergeCell ref="I163:I163"/>
    <mergeCell ref="J163:J163"/>
    <mergeCell ref="K163:K163"/>
    <mergeCell ref="L163:L163"/>
    <mergeCell ref="M163:M163"/>
    <mergeCell ref="N163:N163"/>
    <mergeCell ref="O163:O163"/>
    <mergeCell ref="P163:P163"/>
    <mergeCell ref="Q163:Q163"/>
    <mergeCell ref="R163:R163"/>
    <mergeCell ref="S163:S163"/>
    <mergeCell ref="T163:T163"/>
    <mergeCell ref="U163:U163"/>
    <mergeCell ref="V163:V163"/>
    <mergeCell ref="W163:W163"/>
    <mergeCell ref="X163:X163"/>
    <mergeCell ref="Y163:Y163"/>
    <mergeCell ref="Z163:Z163"/>
    <mergeCell ref="AA163:AA163"/>
    <mergeCell ref="AB163:AB163"/>
    <mergeCell ref="AC163:AC163"/>
    <mergeCell ref="AD163:AD163"/>
    <mergeCell ref="AE163:AE163"/>
    <mergeCell ref="AF163:AF163"/>
    <mergeCell ref="AG163:AG163"/>
    <mergeCell ref="AH163:AH163"/>
    <mergeCell ref="AI163:AI163"/>
    <mergeCell ref="AJ163:AJ163"/>
    <mergeCell ref="AK163:AK163"/>
    <mergeCell ref="AL163:AL163"/>
    <mergeCell ref="AM163:AM163"/>
    <mergeCell ref="AN163:AN163"/>
    <mergeCell ref="AO163:AO163"/>
    <mergeCell ref="A164:A164"/>
    <mergeCell ref="B164:B164"/>
    <mergeCell ref="C164:C164"/>
    <mergeCell ref="D164:D164"/>
    <mergeCell ref="E164:E164"/>
    <mergeCell ref="F164:F164"/>
    <mergeCell ref="G164:G164"/>
    <mergeCell ref="H164:H164"/>
    <mergeCell ref="I164:I164"/>
    <mergeCell ref="J164:J164"/>
    <mergeCell ref="K164:K164"/>
    <mergeCell ref="L164:L164"/>
    <mergeCell ref="M164:M164"/>
    <mergeCell ref="N164:N164"/>
    <mergeCell ref="O164:O164"/>
    <mergeCell ref="P164:P164"/>
    <mergeCell ref="Q164:Q164"/>
    <mergeCell ref="R164:R164"/>
    <mergeCell ref="S164:S164"/>
    <mergeCell ref="T164:T164"/>
    <mergeCell ref="U164:U164"/>
    <mergeCell ref="V164:V164"/>
    <mergeCell ref="W164:W164"/>
    <mergeCell ref="X164:X164"/>
    <mergeCell ref="Y164:Y164"/>
    <mergeCell ref="Z164:Z164"/>
    <mergeCell ref="AA164:AA164"/>
    <mergeCell ref="AB164:AB164"/>
    <mergeCell ref="AC164:AC164"/>
    <mergeCell ref="AD164:AD164"/>
    <mergeCell ref="AE164:AE164"/>
    <mergeCell ref="AF164:AF164"/>
    <mergeCell ref="AG164:AG164"/>
    <mergeCell ref="AH164:AH164"/>
    <mergeCell ref="AI164:AI164"/>
    <mergeCell ref="AJ164:AJ164"/>
    <mergeCell ref="AK164:AK164"/>
    <mergeCell ref="AL164:AL164"/>
    <mergeCell ref="AM164:AM164"/>
    <mergeCell ref="AN164:AN164"/>
    <mergeCell ref="AO164:AO164"/>
    <mergeCell ref="A165:A165"/>
    <mergeCell ref="B165:B165"/>
    <mergeCell ref="C165:C165"/>
    <mergeCell ref="D165:D165"/>
    <mergeCell ref="E165:E165"/>
    <mergeCell ref="F165:F165"/>
    <mergeCell ref="G165:G165"/>
    <mergeCell ref="H165:H165"/>
    <mergeCell ref="I165:I165"/>
    <mergeCell ref="J165:J165"/>
    <mergeCell ref="K165:K165"/>
    <mergeCell ref="L165:L165"/>
    <mergeCell ref="M165:M165"/>
    <mergeCell ref="N165:N165"/>
    <mergeCell ref="O165:O165"/>
    <mergeCell ref="P165:P165"/>
    <mergeCell ref="Q165:Q165"/>
    <mergeCell ref="R165:R165"/>
    <mergeCell ref="S165:S165"/>
    <mergeCell ref="T165:T165"/>
    <mergeCell ref="U165:U165"/>
    <mergeCell ref="V165:V165"/>
    <mergeCell ref="W165:W165"/>
    <mergeCell ref="X165:X165"/>
    <mergeCell ref="Y165:Y165"/>
    <mergeCell ref="Z165:Z165"/>
    <mergeCell ref="AA165:AA165"/>
    <mergeCell ref="AB165:AB165"/>
    <mergeCell ref="AC165:AC165"/>
    <mergeCell ref="AD165:AD165"/>
    <mergeCell ref="AE165:AE165"/>
    <mergeCell ref="AF165:AF165"/>
    <mergeCell ref="AG165:AG165"/>
    <mergeCell ref="AH165:AH165"/>
    <mergeCell ref="AI165:AI165"/>
    <mergeCell ref="AJ165:AJ165"/>
    <mergeCell ref="AK165:AK165"/>
    <mergeCell ref="AL165:AL165"/>
    <mergeCell ref="AM165:AM165"/>
    <mergeCell ref="AN165:AN165"/>
    <mergeCell ref="AO165:AO165"/>
    <mergeCell ref="A166:A166"/>
    <mergeCell ref="B166:B166"/>
    <mergeCell ref="C166:C166"/>
    <mergeCell ref="D166:D166"/>
    <mergeCell ref="E166:E166"/>
    <mergeCell ref="F166:F166"/>
    <mergeCell ref="G166:G166"/>
    <mergeCell ref="H166:H166"/>
    <mergeCell ref="I166:I166"/>
    <mergeCell ref="J166:J166"/>
    <mergeCell ref="K166:K166"/>
    <mergeCell ref="L166:L166"/>
    <mergeCell ref="M166:M166"/>
    <mergeCell ref="N166:N166"/>
    <mergeCell ref="O166:O166"/>
    <mergeCell ref="P166:P166"/>
    <mergeCell ref="Q166:Q166"/>
    <mergeCell ref="R166:R166"/>
    <mergeCell ref="S166:S166"/>
    <mergeCell ref="T166:T166"/>
    <mergeCell ref="U166:U166"/>
    <mergeCell ref="V166:V166"/>
    <mergeCell ref="W166:W166"/>
    <mergeCell ref="X166:X166"/>
    <mergeCell ref="Y166:Y166"/>
    <mergeCell ref="Z166:Z166"/>
    <mergeCell ref="AA166:AA166"/>
    <mergeCell ref="AB166:AB166"/>
    <mergeCell ref="AC166:AC166"/>
    <mergeCell ref="AD166:AD166"/>
    <mergeCell ref="AE166:AE166"/>
    <mergeCell ref="AF166:AF166"/>
    <mergeCell ref="AG166:AG166"/>
    <mergeCell ref="AH166:AH166"/>
    <mergeCell ref="AI166:AI166"/>
    <mergeCell ref="AJ166:AJ166"/>
    <mergeCell ref="AK166:AK166"/>
    <mergeCell ref="AL166:AL166"/>
    <mergeCell ref="AM166:AM166"/>
    <mergeCell ref="AN166:AN166"/>
    <mergeCell ref="AO166:AO166"/>
    <mergeCell ref="A167:A167"/>
    <mergeCell ref="B167:B167"/>
    <mergeCell ref="C167:C167"/>
    <mergeCell ref="D167:D167"/>
    <mergeCell ref="E167:E167"/>
    <mergeCell ref="F167:F167"/>
    <mergeCell ref="G167:G167"/>
    <mergeCell ref="H167:H167"/>
    <mergeCell ref="I167:I167"/>
    <mergeCell ref="J167:J167"/>
    <mergeCell ref="K167:K167"/>
    <mergeCell ref="L167:L167"/>
    <mergeCell ref="M167:M167"/>
    <mergeCell ref="N167:N167"/>
    <mergeCell ref="O167:O167"/>
    <mergeCell ref="P167:P167"/>
    <mergeCell ref="Q167:Q167"/>
    <mergeCell ref="R167:R167"/>
    <mergeCell ref="S167:S167"/>
    <mergeCell ref="T167:T167"/>
    <mergeCell ref="U167:U167"/>
    <mergeCell ref="V167:V167"/>
    <mergeCell ref="W167:W167"/>
    <mergeCell ref="X167:X167"/>
    <mergeCell ref="Y167:Y167"/>
    <mergeCell ref="Z167:Z167"/>
    <mergeCell ref="AA167:AA167"/>
    <mergeCell ref="AB167:AB167"/>
    <mergeCell ref="AC167:AC167"/>
    <mergeCell ref="AD167:AD167"/>
    <mergeCell ref="AE167:AE167"/>
    <mergeCell ref="AF167:AF167"/>
    <mergeCell ref="AG167:AG167"/>
    <mergeCell ref="AH167:AH167"/>
    <mergeCell ref="AI167:AI167"/>
    <mergeCell ref="AJ167:AJ167"/>
    <mergeCell ref="AK167:AK167"/>
    <mergeCell ref="AL167:AL167"/>
    <mergeCell ref="AM167:AM167"/>
    <mergeCell ref="AN167:AN167"/>
    <mergeCell ref="AO167:AO167"/>
    <mergeCell ref="A168:A168"/>
    <mergeCell ref="B168:B168"/>
    <mergeCell ref="C168:C168"/>
    <mergeCell ref="D168:D168"/>
    <mergeCell ref="E168:E168"/>
    <mergeCell ref="F168:F168"/>
    <mergeCell ref="G168:G168"/>
    <mergeCell ref="H168:H168"/>
    <mergeCell ref="I168:I168"/>
    <mergeCell ref="J168:J168"/>
    <mergeCell ref="K168:K168"/>
    <mergeCell ref="L168:L168"/>
    <mergeCell ref="M168:M168"/>
    <mergeCell ref="N168:N168"/>
    <mergeCell ref="O168:O168"/>
    <mergeCell ref="P168:P168"/>
    <mergeCell ref="Q168:Q168"/>
    <mergeCell ref="R168:R168"/>
    <mergeCell ref="S168:S168"/>
    <mergeCell ref="T168:T168"/>
    <mergeCell ref="U168:U168"/>
    <mergeCell ref="V168:V168"/>
    <mergeCell ref="W168:W168"/>
    <mergeCell ref="X168:X168"/>
    <mergeCell ref="Y168:Y168"/>
    <mergeCell ref="Z168:Z168"/>
    <mergeCell ref="AA168:AA168"/>
    <mergeCell ref="AB168:AB168"/>
    <mergeCell ref="AC168:AC168"/>
    <mergeCell ref="AD168:AD168"/>
    <mergeCell ref="AE168:AE168"/>
    <mergeCell ref="AF168:AF168"/>
    <mergeCell ref="AG168:AG168"/>
    <mergeCell ref="AH168:AH168"/>
    <mergeCell ref="AI168:AI168"/>
    <mergeCell ref="AJ168:AJ168"/>
    <mergeCell ref="AK168:AK168"/>
    <mergeCell ref="AL168:AL168"/>
    <mergeCell ref="AM168:AM168"/>
    <mergeCell ref="AN168:AN168"/>
    <mergeCell ref="AO168:AO168"/>
    <mergeCell ref="A169:A169"/>
    <mergeCell ref="B169:B169"/>
    <mergeCell ref="C169:C169"/>
    <mergeCell ref="D169:D169"/>
    <mergeCell ref="E169:E169"/>
    <mergeCell ref="F169:F169"/>
    <mergeCell ref="G169:G169"/>
    <mergeCell ref="H169:H169"/>
    <mergeCell ref="I169:I169"/>
    <mergeCell ref="J169:J169"/>
    <mergeCell ref="K169:K169"/>
    <mergeCell ref="L169:L169"/>
    <mergeCell ref="M169:M169"/>
    <mergeCell ref="N169:N169"/>
    <mergeCell ref="O169:O169"/>
    <mergeCell ref="P169:P169"/>
    <mergeCell ref="Q169:Q169"/>
    <mergeCell ref="R169:R169"/>
    <mergeCell ref="S169:S169"/>
    <mergeCell ref="T169:T169"/>
    <mergeCell ref="U169:U169"/>
    <mergeCell ref="V169:V169"/>
    <mergeCell ref="W169:W169"/>
    <mergeCell ref="X169:X169"/>
    <mergeCell ref="Y169:Y169"/>
    <mergeCell ref="Z169:Z169"/>
    <mergeCell ref="AA169:AA169"/>
    <mergeCell ref="AB169:AB169"/>
    <mergeCell ref="AC169:AC169"/>
    <mergeCell ref="AD169:AD169"/>
    <mergeCell ref="AE169:AE169"/>
    <mergeCell ref="AF169:AF169"/>
    <mergeCell ref="AG169:AG169"/>
    <mergeCell ref="AH169:AH169"/>
    <mergeCell ref="AI169:AI169"/>
    <mergeCell ref="AJ169:AJ169"/>
    <mergeCell ref="AK169:AK169"/>
    <mergeCell ref="AL169:AL169"/>
    <mergeCell ref="AM169:AM169"/>
    <mergeCell ref="AN169:AN169"/>
    <mergeCell ref="AO169:AO169"/>
    <mergeCell ref="A170:A170"/>
    <mergeCell ref="B170:B170"/>
    <mergeCell ref="C170:C170"/>
    <mergeCell ref="D170:D170"/>
    <mergeCell ref="E170:E170"/>
    <mergeCell ref="F170:F170"/>
    <mergeCell ref="G170:G170"/>
    <mergeCell ref="H170:H170"/>
    <mergeCell ref="I170:I170"/>
    <mergeCell ref="J170:J170"/>
    <mergeCell ref="K170:K170"/>
    <mergeCell ref="L170:L170"/>
    <mergeCell ref="M170:M170"/>
    <mergeCell ref="N170:N170"/>
    <mergeCell ref="O170:O170"/>
    <mergeCell ref="P170:P170"/>
    <mergeCell ref="Q170:Q170"/>
    <mergeCell ref="R170:R170"/>
    <mergeCell ref="S170:S170"/>
    <mergeCell ref="T170:T170"/>
    <mergeCell ref="U170:U170"/>
    <mergeCell ref="V170:V170"/>
    <mergeCell ref="W170:W170"/>
    <mergeCell ref="X170:X170"/>
    <mergeCell ref="Y170:Y170"/>
    <mergeCell ref="Z170:Z170"/>
    <mergeCell ref="AA170:AA170"/>
    <mergeCell ref="AB170:AB170"/>
    <mergeCell ref="AC170:AC170"/>
    <mergeCell ref="AD170:AD170"/>
    <mergeCell ref="AE170:AE170"/>
    <mergeCell ref="AF170:AF170"/>
    <mergeCell ref="AG170:AG170"/>
    <mergeCell ref="AH170:AH170"/>
    <mergeCell ref="AI170:AI170"/>
    <mergeCell ref="AJ170:AJ170"/>
    <mergeCell ref="AK170:AK170"/>
    <mergeCell ref="AL170:AL170"/>
    <mergeCell ref="AM170:AM170"/>
    <mergeCell ref="AN170:AN170"/>
    <mergeCell ref="AO170:AO170"/>
    <mergeCell ref="A171:A171"/>
    <mergeCell ref="B171:B171"/>
    <mergeCell ref="C171:C171"/>
    <mergeCell ref="D171:D171"/>
    <mergeCell ref="E171:E171"/>
    <mergeCell ref="F171:F171"/>
    <mergeCell ref="G171:G171"/>
    <mergeCell ref="H171:H171"/>
    <mergeCell ref="I171:I171"/>
    <mergeCell ref="J171:J171"/>
    <mergeCell ref="K171:K171"/>
    <mergeCell ref="L171:L171"/>
    <mergeCell ref="M171:M171"/>
    <mergeCell ref="N171:N171"/>
    <mergeCell ref="O171:O171"/>
    <mergeCell ref="P171:P171"/>
    <mergeCell ref="Q171:Q171"/>
    <mergeCell ref="R171:R171"/>
    <mergeCell ref="S171:S171"/>
    <mergeCell ref="T171:T171"/>
    <mergeCell ref="U171:U171"/>
    <mergeCell ref="V171:V171"/>
    <mergeCell ref="W171:W171"/>
    <mergeCell ref="X171:X171"/>
    <mergeCell ref="Y171:Y171"/>
    <mergeCell ref="Z171:Z171"/>
    <mergeCell ref="AA171:AA171"/>
    <mergeCell ref="AB171:AB171"/>
    <mergeCell ref="AC171:AC171"/>
    <mergeCell ref="AD171:AD171"/>
    <mergeCell ref="AE171:AE171"/>
    <mergeCell ref="AF171:AF171"/>
    <mergeCell ref="AG171:AG171"/>
    <mergeCell ref="AH171:AH171"/>
    <mergeCell ref="AI171:AI171"/>
    <mergeCell ref="AJ171:AJ171"/>
    <mergeCell ref="AK171:AK171"/>
    <mergeCell ref="AL171:AL171"/>
    <mergeCell ref="AM171:AM171"/>
    <mergeCell ref="AN171:AN171"/>
    <mergeCell ref="AO171:AO171"/>
    <mergeCell ref="A172:A172"/>
    <mergeCell ref="B172:B172"/>
    <mergeCell ref="C172:C172"/>
    <mergeCell ref="D172:D172"/>
    <mergeCell ref="E172:E172"/>
    <mergeCell ref="F172:F172"/>
    <mergeCell ref="G172:G172"/>
    <mergeCell ref="H172:H172"/>
    <mergeCell ref="I172:I172"/>
    <mergeCell ref="J172:J172"/>
    <mergeCell ref="K172:K172"/>
    <mergeCell ref="L172:L172"/>
    <mergeCell ref="M172:M172"/>
    <mergeCell ref="N172:N172"/>
    <mergeCell ref="O172:O172"/>
    <mergeCell ref="P172:P172"/>
    <mergeCell ref="Q172:Q172"/>
    <mergeCell ref="R172:R172"/>
    <mergeCell ref="S172:S172"/>
    <mergeCell ref="T172:T172"/>
    <mergeCell ref="U172:U172"/>
    <mergeCell ref="V172:V172"/>
    <mergeCell ref="W172:W172"/>
    <mergeCell ref="X172:X172"/>
    <mergeCell ref="Y172:Y172"/>
    <mergeCell ref="Z172:Z172"/>
    <mergeCell ref="AA172:AA172"/>
    <mergeCell ref="AB172:AB172"/>
    <mergeCell ref="AC172:AC172"/>
    <mergeCell ref="AD172:AD172"/>
    <mergeCell ref="AE172:AE172"/>
    <mergeCell ref="AF172:AF172"/>
    <mergeCell ref="AG172:AG172"/>
    <mergeCell ref="AH172:AH172"/>
    <mergeCell ref="AI172:AI172"/>
    <mergeCell ref="AJ172:AJ172"/>
    <mergeCell ref="AK172:AK172"/>
    <mergeCell ref="AL172:AL172"/>
    <mergeCell ref="AM172:AM172"/>
    <mergeCell ref="AN172:AN172"/>
    <mergeCell ref="AO172:AO172"/>
    <mergeCell ref="A173:A173"/>
    <mergeCell ref="B173:B173"/>
    <mergeCell ref="C173:C173"/>
    <mergeCell ref="D173:D173"/>
    <mergeCell ref="E173:E173"/>
    <mergeCell ref="F173:F173"/>
    <mergeCell ref="G173:G173"/>
    <mergeCell ref="H173:H173"/>
    <mergeCell ref="I173:I173"/>
    <mergeCell ref="J173:J173"/>
    <mergeCell ref="K173:K173"/>
    <mergeCell ref="L173:L173"/>
    <mergeCell ref="M173:M173"/>
    <mergeCell ref="N173:N173"/>
    <mergeCell ref="O173:O173"/>
    <mergeCell ref="P173:P173"/>
    <mergeCell ref="Q173:Q173"/>
    <mergeCell ref="R173:R173"/>
    <mergeCell ref="S173:S173"/>
    <mergeCell ref="T173:T173"/>
    <mergeCell ref="U173:U173"/>
    <mergeCell ref="V173:V173"/>
    <mergeCell ref="W173:W173"/>
    <mergeCell ref="X173:X173"/>
    <mergeCell ref="Y173:Y173"/>
    <mergeCell ref="Z173:Z173"/>
    <mergeCell ref="AA173:AA173"/>
    <mergeCell ref="AB173:AB173"/>
    <mergeCell ref="AC173:AC173"/>
    <mergeCell ref="AD173:AD173"/>
    <mergeCell ref="AE173:AE173"/>
    <mergeCell ref="AF173:AF173"/>
    <mergeCell ref="AG173:AG173"/>
    <mergeCell ref="AH173:AH173"/>
    <mergeCell ref="AI173:AI173"/>
    <mergeCell ref="AJ173:AJ173"/>
    <mergeCell ref="AK173:AK173"/>
    <mergeCell ref="AL173:AL173"/>
    <mergeCell ref="AM173:AM173"/>
    <mergeCell ref="AN173:AN173"/>
    <mergeCell ref="AO173:AO173"/>
    <mergeCell ref="A174:A174"/>
    <mergeCell ref="B174:B174"/>
    <mergeCell ref="C174:C174"/>
    <mergeCell ref="D174:D174"/>
    <mergeCell ref="E174:E174"/>
    <mergeCell ref="F174:F174"/>
    <mergeCell ref="G174:G174"/>
    <mergeCell ref="H174:H174"/>
    <mergeCell ref="I174:I174"/>
    <mergeCell ref="J174:J174"/>
    <mergeCell ref="K174:K174"/>
    <mergeCell ref="L174:L174"/>
    <mergeCell ref="M174:M174"/>
    <mergeCell ref="N174:N174"/>
    <mergeCell ref="O174:O174"/>
    <mergeCell ref="P174:P174"/>
    <mergeCell ref="Q174:Q174"/>
    <mergeCell ref="R174:R174"/>
    <mergeCell ref="S174:S174"/>
    <mergeCell ref="T174:T174"/>
    <mergeCell ref="U174:U174"/>
    <mergeCell ref="V174:V174"/>
    <mergeCell ref="W174:W174"/>
    <mergeCell ref="X174:X174"/>
    <mergeCell ref="Y174:Y174"/>
    <mergeCell ref="Z174:Z174"/>
    <mergeCell ref="AA174:AA174"/>
    <mergeCell ref="AB174:AB174"/>
    <mergeCell ref="AC174:AC174"/>
    <mergeCell ref="AD174:AD174"/>
    <mergeCell ref="AE174:AE174"/>
    <mergeCell ref="AF174:AF174"/>
    <mergeCell ref="AG174:AG174"/>
    <mergeCell ref="AH174:AH174"/>
    <mergeCell ref="AI174:AI174"/>
    <mergeCell ref="AJ174:AJ174"/>
    <mergeCell ref="AK174:AK174"/>
    <mergeCell ref="AL174:AL174"/>
    <mergeCell ref="AM174:AM174"/>
    <mergeCell ref="AN174:AN174"/>
    <mergeCell ref="AO174:AO174"/>
    <mergeCell ref="A175:A175"/>
    <mergeCell ref="B175:B175"/>
    <mergeCell ref="C175:C175"/>
    <mergeCell ref="D175:D175"/>
    <mergeCell ref="E175:E175"/>
    <mergeCell ref="F175:F175"/>
    <mergeCell ref="G175:G175"/>
    <mergeCell ref="H175:H175"/>
    <mergeCell ref="I175:I175"/>
    <mergeCell ref="J175:J175"/>
    <mergeCell ref="K175:K175"/>
    <mergeCell ref="L175:L175"/>
    <mergeCell ref="M175:M175"/>
    <mergeCell ref="N175:N175"/>
    <mergeCell ref="O175:O175"/>
    <mergeCell ref="P175:P175"/>
    <mergeCell ref="Q175:Q175"/>
    <mergeCell ref="R175:R175"/>
    <mergeCell ref="S175:S175"/>
    <mergeCell ref="T175:T175"/>
    <mergeCell ref="U175:U175"/>
    <mergeCell ref="V175:V175"/>
    <mergeCell ref="W175:W175"/>
    <mergeCell ref="X175:X175"/>
    <mergeCell ref="Y175:Y175"/>
    <mergeCell ref="Z175:Z175"/>
    <mergeCell ref="AA175:AA175"/>
    <mergeCell ref="AB175:AB175"/>
    <mergeCell ref="AC175:AC175"/>
    <mergeCell ref="AD175:AD175"/>
    <mergeCell ref="AE175:AE175"/>
    <mergeCell ref="AF175:AF175"/>
    <mergeCell ref="AG175:AG175"/>
    <mergeCell ref="AH175:AH175"/>
    <mergeCell ref="AI175:AI175"/>
    <mergeCell ref="AJ175:AJ175"/>
    <mergeCell ref="AK175:AK175"/>
    <mergeCell ref="AL175:AL175"/>
    <mergeCell ref="AM175:AM175"/>
    <mergeCell ref="AN175:AN175"/>
    <mergeCell ref="AO175:AO175"/>
    <mergeCell ref="A176:A176"/>
    <mergeCell ref="B176:B176"/>
    <mergeCell ref="C176:C176"/>
    <mergeCell ref="D176:D176"/>
    <mergeCell ref="E176:E176"/>
    <mergeCell ref="F176:F176"/>
    <mergeCell ref="G176:G176"/>
    <mergeCell ref="H176:H176"/>
    <mergeCell ref="I176:I176"/>
    <mergeCell ref="J176:J176"/>
    <mergeCell ref="K176:K176"/>
    <mergeCell ref="L176:L176"/>
    <mergeCell ref="M176:M176"/>
    <mergeCell ref="N176:N176"/>
    <mergeCell ref="O176:O176"/>
    <mergeCell ref="P176:P176"/>
    <mergeCell ref="Q176:Q176"/>
    <mergeCell ref="R176:R176"/>
    <mergeCell ref="S176:S176"/>
    <mergeCell ref="T176:T176"/>
    <mergeCell ref="U176:U176"/>
    <mergeCell ref="V176:V176"/>
    <mergeCell ref="W176:W176"/>
    <mergeCell ref="X176:X176"/>
    <mergeCell ref="Y176:Y176"/>
    <mergeCell ref="Z176:Z176"/>
    <mergeCell ref="AA176:AA176"/>
    <mergeCell ref="AB176:AB176"/>
    <mergeCell ref="AC176:AC176"/>
    <mergeCell ref="AD176:AD176"/>
    <mergeCell ref="AE176:AE176"/>
    <mergeCell ref="AF176:AF176"/>
    <mergeCell ref="AG176:AG176"/>
    <mergeCell ref="AH176:AH176"/>
    <mergeCell ref="AI176:AI176"/>
    <mergeCell ref="AJ176:AJ176"/>
    <mergeCell ref="AK176:AK176"/>
    <mergeCell ref="AL176:AL176"/>
    <mergeCell ref="AM176:AM176"/>
    <mergeCell ref="AN176:AN176"/>
    <mergeCell ref="AO176:AO176"/>
    <mergeCell ref="A177:A177"/>
    <mergeCell ref="B177:B177"/>
    <mergeCell ref="C177:C177"/>
    <mergeCell ref="D177:D177"/>
    <mergeCell ref="E177:E177"/>
    <mergeCell ref="F177:F177"/>
    <mergeCell ref="G177:G177"/>
    <mergeCell ref="H177:H177"/>
    <mergeCell ref="I177:I177"/>
    <mergeCell ref="J177:J177"/>
    <mergeCell ref="K177:K177"/>
    <mergeCell ref="L177:L177"/>
    <mergeCell ref="M177:M177"/>
    <mergeCell ref="N177:N177"/>
    <mergeCell ref="O177:O177"/>
    <mergeCell ref="P177:P177"/>
    <mergeCell ref="Q177:Q177"/>
    <mergeCell ref="R177:R177"/>
    <mergeCell ref="S177:S177"/>
    <mergeCell ref="T177:T177"/>
    <mergeCell ref="U177:U177"/>
    <mergeCell ref="V177:V177"/>
    <mergeCell ref="W177:W177"/>
    <mergeCell ref="X177:X177"/>
    <mergeCell ref="Y177:Y177"/>
    <mergeCell ref="Z177:Z177"/>
    <mergeCell ref="AA177:AA177"/>
    <mergeCell ref="AB177:AB177"/>
    <mergeCell ref="AC177:AC177"/>
    <mergeCell ref="AD177:AD177"/>
    <mergeCell ref="AE177:AE177"/>
    <mergeCell ref="AF177:AF177"/>
    <mergeCell ref="AG177:AG177"/>
    <mergeCell ref="AH177:AH177"/>
    <mergeCell ref="AI177:AI177"/>
    <mergeCell ref="AJ177:AJ177"/>
    <mergeCell ref="AK177:AK177"/>
    <mergeCell ref="AL177:AL177"/>
    <mergeCell ref="AM177:AM177"/>
    <mergeCell ref="AN177:AN177"/>
    <mergeCell ref="AO177:AO177"/>
    <mergeCell ref="A178:A178"/>
    <mergeCell ref="B178:B178"/>
    <mergeCell ref="C178:C178"/>
    <mergeCell ref="D178:D178"/>
    <mergeCell ref="E178:E178"/>
    <mergeCell ref="F178:F178"/>
    <mergeCell ref="G178:G178"/>
    <mergeCell ref="H178:H178"/>
    <mergeCell ref="I178:I178"/>
    <mergeCell ref="J178:J178"/>
    <mergeCell ref="K178:K178"/>
    <mergeCell ref="L178:L178"/>
    <mergeCell ref="M178:M178"/>
    <mergeCell ref="N178:N178"/>
    <mergeCell ref="O178:O178"/>
    <mergeCell ref="P178:P178"/>
    <mergeCell ref="Q178:Q178"/>
    <mergeCell ref="R178:R178"/>
    <mergeCell ref="S178:S178"/>
    <mergeCell ref="T178:T178"/>
    <mergeCell ref="U178:U178"/>
    <mergeCell ref="V178:V178"/>
    <mergeCell ref="W178:W178"/>
    <mergeCell ref="X178:X178"/>
    <mergeCell ref="Y178:Y178"/>
    <mergeCell ref="Z178:Z178"/>
    <mergeCell ref="AA178:AA178"/>
    <mergeCell ref="AB178:AB178"/>
    <mergeCell ref="AC178:AC178"/>
    <mergeCell ref="AD178:AD178"/>
    <mergeCell ref="AE178:AE178"/>
    <mergeCell ref="AF178:AF178"/>
    <mergeCell ref="AG178:AG178"/>
    <mergeCell ref="AH178:AH178"/>
    <mergeCell ref="AI178:AI178"/>
    <mergeCell ref="AJ178:AJ178"/>
    <mergeCell ref="AK178:AK178"/>
    <mergeCell ref="AL178:AL178"/>
    <mergeCell ref="AM178:AM178"/>
    <mergeCell ref="AN178:AN178"/>
    <mergeCell ref="AO178:AO178"/>
    <mergeCell ref="A179:A179"/>
    <mergeCell ref="B179:B179"/>
    <mergeCell ref="C179:C179"/>
    <mergeCell ref="D179:D179"/>
    <mergeCell ref="E179:E179"/>
    <mergeCell ref="F179:F179"/>
    <mergeCell ref="G179:G179"/>
    <mergeCell ref="H179:H179"/>
    <mergeCell ref="I179:I179"/>
    <mergeCell ref="J179:J179"/>
    <mergeCell ref="K179:K179"/>
    <mergeCell ref="L179:L179"/>
    <mergeCell ref="M179:M179"/>
    <mergeCell ref="N179:N179"/>
    <mergeCell ref="O179:O179"/>
    <mergeCell ref="P179:P179"/>
    <mergeCell ref="Q179:Q179"/>
    <mergeCell ref="R179:R179"/>
    <mergeCell ref="S179:S179"/>
    <mergeCell ref="T179:T179"/>
    <mergeCell ref="U179:U179"/>
    <mergeCell ref="V179:V179"/>
    <mergeCell ref="W179:W179"/>
    <mergeCell ref="X179:X179"/>
    <mergeCell ref="Y179:Y179"/>
    <mergeCell ref="Z179:Z179"/>
    <mergeCell ref="AA179:AA179"/>
    <mergeCell ref="AB179:AB179"/>
    <mergeCell ref="AC179:AC179"/>
    <mergeCell ref="AD179:AD179"/>
    <mergeCell ref="AE179:AE179"/>
    <mergeCell ref="AF179:AF179"/>
    <mergeCell ref="AG179:AG179"/>
    <mergeCell ref="AH179:AH179"/>
    <mergeCell ref="AI179:AI179"/>
    <mergeCell ref="AJ179:AJ179"/>
    <mergeCell ref="AK179:AK179"/>
    <mergeCell ref="AL179:AL179"/>
    <mergeCell ref="AM179:AM179"/>
    <mergeCell ref="AN179:AN179"/>
    <mergeCell ref="AO179:AO179"/>
    <mergeCell ref="A180:A180"/>
    <mergeCell ref="B180:B180"/>
    <mergeCell ref="C180:C180"/>
    <mergeCell ref="D180:D180"/>
    <mergeCell ref="E180:E180"/>
    <mergeCell ref="F180:F180"/>
    <mergeCell ref="G180:G180"/>
    <mergeCell ref="H180:H180"/>
    <mergeCell ref="I180:I180"/>
    <mergeCell ref="J180:J180"/>
    <mergeCell ref="K180:K180"/>
    <mergeCell ref="L180:L180"/>
    <mergeCell ref="M180:M180"/>
    <mergeCell ref="N180:N180"/>
    <mergeCell ref="O180:O180"/>
    <mergeCell ref="P180:P180"/>
    <mergeCell ref="Q180:Q180"/>
    <mergeCell ref="R180:R180"/>
    <mergeCell ref="S180:S180"/>
    <mergeCell ref="T180:T180"/>
    <mergeCell ref="U180:U180"/>
    <mergeCell ref="V180:V180"/>
    <mergeCell ref="W180:W180"/>
    <mergeCell ref="X180:X180"/>
    <mergeCell ref="Y180:Y180"/>
    <mergeCell ref="Z180:Z180"/>
    <mergeCell ref="AA180:AA180"/>
    <mergeCell ref="AB180:AB180"/>
    <mergeCell ref="AC180:AC180"/>
    <mergeCell ref="AD180:AD180"/>
    <mergeCell ref="AE180:AE180"/>
    <mergeCell ref="AF180:AF180"/>
    <mergeCell ref="AG180:AG180"/>
    <mergeCell ref="AH180:AH180"/>
    <mergeCell ref="AI180:AI180"/>
    <mergeCell ref="AJ180:AJ180"/>
    <mergeCell ref="AK180:AK180"/>
    <mergeCell ref="AL180:AL180"/>
    <mergeCell ref="AM180:AM180"/>
    <mergeCell ref="AN180:AN180"/>
    <mergeCell ref="AO180:AO180"/>
    <mergeCell ref="A181:A181"/>
    <mergeCell ref="B181:B181"/>
    <mergeCell ref="C181:C181"/>
    <mergeCell ref="D181:D181"/>
    <mergeCell ref="E181:E181"/>
    <mergeCell ref="F181:F181"/>
    <mergeCell ref="G181:G181"/>
    <mergeCell ref="H181:H181"/>
    <mergeCell ref="I181:I181"/>
    <mergeCell ref="J181:J181"/>
    <mergeCell ref="K181:K181"/>
    <mergeCell ref="L181:L181"/>
    <mergeCell ref="M181:M181"/>
    <mergeCell ref="N181:N181"/>
    <mergeCell ref="O181:O181"/>
    <mergeCell ref="P181:P181"/>
    <mergeCell ref="Q181:Q181"/>
    <mergeCell ref="R181:R181"/>
    <mergeCell ref="S181:S181"/>
    <mergeCell ref="T181:T181"/>
    <mergeCell ref="U181:U181"/>
    <mergeCell ref="V181:V181"/>
    <mergeCell ref="W181:W181"/>
    <mergeCell ref="X181:X181"/>
    <mergeCell ref="Y181:Y181"/>
    <mergeCell ref="Z181:Z181"/>
    <mergeCell ref="AA181:AA181"/>
    <mergeCell ref="AB181:AB181"/>
    <mergeCell ref="AC181:AC181"/>
    <mergeCell ref="AD181:AD181"/>
    <mergeCell ref="AE181:AE181"/>
    <mergeCell ref="AF181:AF181"/>
    <mergeCell ref="AG181:AG181"/>
    <mergeCell ref="AH181:AH181"/>
    <mergeCell ref="AI181:AI181"/>
    <mergeCell ref="AJ181:AJ181"/>
    <mergeCell ref="AK181:AK181"/>
    <mergeCell ref="AL181:AL181"/>
    <mergeCell ref="AM181:AM181"/>
    <mergeCell ref="AN181:AN181"/>
    <mergeCell ref="AO181:AO181"/>
    <mergeCell ref="A182:A182"/>
    <mergeCell ref="B182:B182"/>
    <mergeCell ref="C182:C182"/>
    <mergeCell ref="D182:D182"/>
    <mergeCell ref="E182:E182"/>
    <mergeCell ref="F182:F182"/>
    <mergeCell ref="G182:G182"/>
    <mergeCell ref="H182:H182"/>
    <mergeCell ref="I182:I182"/>
    <mergeCell ref="J182:J182"/>
    <mergeCell ref="K182:K182"/>
    <mergeCell ref="L182:L182"/>
    <mergeCell ref="M182:M182"/>
    <mergeCell ref="N182:N182"/>
    <mergeCell ref="O182:O182"/>
    <mergeCell ref="P182:P182"/>
    <mergeCell ref="Q182:Q182"/>
    <mergeCell ref="R182:R182"/>
    <mergeCell ref="S182:S182"/>
    <mergeCell ref="T182:T182"/>
    <mergeCell ref="U182:U182"/>
    <mergeCell ref="V182:V182"/>
    <mergeCell ref="W182:W182"/>
    <mergeCell ref="X182:X182"/>
    <mergeCell ref="Y182:Y182"/>
    <mergeCell ref="Z182:Z182"/>
    <mergeCell ref="AA182:AA182"/>
    <mergeCell ref="AB182:AB182"/>
    <mergeCell ref="AC182:AC182"/>
    <mergeCell ref="AD182:AD182"/>
    <mergeCell ref="AE182:AE182"/>
    <mergeCell ref="AF182:AF182"/>
    <mergeCell ref="AG182:AG182"/>
    <mergeCell ref="AH182:AH182"/>
    <mergeCell ref="AI182:AI182"/>
    <mergeCell ref="AJ182:AJ182"/>
    <mergeCell ref="AK182:AK182"/>
    <mergeCell ref="AL182:AL182"/>
    <mergeCell ref="AM182:AM182"/>
    <mergeCell ref="AN182:AN182"/>
    <mergeCell ref="AO182:AO182"/>
    <mergeCell ref="A183:A183"/>
    <mergeCell ref="B183:B183"/>
    <mergeCell ref="C183:C183"/>
    <mergeCell ref="D183:D183"/>
    <mergeCell ref="E183:E183"/>
    <mergeCell ref="F183:F183"/>
    <mergeCell ref="G183:G183"/>
    <mergeCell ref="H183:H183"/>
    <mergeCell ref="I183:I183"/>
    <mergeCell ref="J183:J183"/>
    <mergeCell ref="K183:K183"/>
    <mergeCell ref="L183:L183"/>
    <mergeCell ref="M183:M183"/>
    <mergeCell ref="N183:N183"/>
    <mergeCell ref="O183:O183"/>
    <mergeCell ref="P183:P183"/>
    <mergeCell ref="Q183:Q183"/>
    <mergeCell ref="R183:R183"/>
    <mergeCell ref="S183:S183"/>
    <mergeCell ref="T183:T183"/>
    <mergeCell ref="U183:U183"/>
    <mergeCell ref="V183:V183"/>
    <mergeCell ref="W183:W183"/>
    <mergeCell ref="X183:X183"/>
    <mergeCell ref="Y183:Y183"/>
    <mergeCell ref="Z183:Z183"/>
    <mergeCell ref="AA183:AA183"/>
    <mergeCell ref="AB183:AB183"/>
    <mergeCell ref="AC183:AC183"/>
    <mergeCell ref="AD183:AD183"/>
    <mergeCell ref="AE183:AE183"/>
    <mergeCell ref="AF183:AF183"/>
    <mergeCell ref="AG183:AG183"/>
    <mergeCell ref="AH183:AH183"/>
    <mergeCell ref="AI183:AI183"/>
    <mergeCell ref="AJ183:AJ183"/>
    <mergeCell ref="AK183:AK183"/>
    <mergeCell ref="AL183:AL183"/>
    <mergeCell ref="AM183:AM183"/>
    <mergeCell ref="AN183:AN183"/>
    <mergeCell ref="AO183:AO183"/>
    <mergeCell ref="A184:A184"/>
    <mergeCell ref="B184:B184"/>
    <mergeCell ref="C184:C184"/>
    <mergeCell ref="D184:D184"/>
    <mergeCell ref="E184:E184"/>
    <mergeCell ref="F184:F184"/>
    <mergeCell ref="G184:G184"/>
    <mergeCell ref="H184:H184"/>
    <mergeCell ref="I184:I184"/>
    <mergeCell ref="J184:J184"/>
    <mergeCell ref="K184:K184"/>
    <mergeCell ref="L184:L184"/>
    <mergeCell ref="M184:M184"/>
    <mergeCell ref="N184:N184"/>
    <mergeCell ref="O184:O184"/>
    <mergeCell ref="P184:P184"/>
    <mergeCell ref="Q184:Q184"/>
    <mergeCell ref="R184:R184"/>
    <mergeCell ref="S184:S184"/>
    <mergeCell ref="T184:T184"/>
    <mergeCell ref="U184:U184"/>
    <mergeCell ref="V184:V184"/>
    <mergeCell ref="W184:W184"/>
    <mergeCell ref="X184:X184"/>
    <mergeCell ref="Y184:Y184"/>
    <mergeCell ref="Z184:Z184"/>
    <mergeCell ref="AA184:AA184"/>
    <mergeCell ref="AB184:AB184"/>
    <mergeCell ref="AC184:AC184"/>
    <mergeCell ref="AD184:AD184"/>
    <mergeCell ref="AE184:AE184"/>
    <mergeCell ref="AF184:AF184"/>
    <mergeCell ref="AG184:AG184"/>
    <mergeCell ref="AH184:AH184"/>
    <mergeCell ref="AI184:AI184"/>
    <mergeCell ref="AJ184:AJ184"/>
    <mergeCell ref="AK184:AK184"/>
    <mergeCell ref="AL184:AL184"/>
    <mergeCell ref="AM184:AM184"/>
    <mergeCell ref="AN184:AN184"/>
    <mergeCell ref="AO184:AO184"/>
    <mergeCell ref="A185:A185"/>
    <mergeCell ref="B185:B185"/>
    <mergeCell ref="C185:C185"/>
    <mergeCell ref="D185:D185"/>
    <mergeCell ref="E185:E185"/>
    <mergeCell ref="F185:F185"/>
    <mergeCell ref="G185:G185"/>
    <mergeCell ref="H185:H185"/>
    <mergeCell ref="I185:I185"/>
    <mergeCell ref="J185:J185"/>
    <mergeCell ref="K185:K185"/>
    <mergeCell ref="L185:L185"/>
    <mergeCell ref="M185:M185"/>
    <mergeCell ref="N185:N185"/>
    <mergeCell ref="O185:O185"/>
    <mergeCell ref="P185:P185"/>
    <mergeCell ref="Q185:Q185"/>
    <mergeCell ref="R185:R185"/>
    <mergeCell ref="S185:S185"/>
    <mergeCell ref="T185:T185"/>
    <mergeCell ref="U185:U185"/>
    <mergeCell ref="V185:V185"/>
    <mergeCell ref="W185:W185"/>
    <mergeCell ref="X185:X185"/>
    <mergeCell ref="Y185:Y185"/>
    <mergeCell ref="Z185:Z185"/>
    <mergeCell ref="AA185:AA185"/>
    <mergeCell ref="AB185:AB185"/>
    <mergeCell ref="AC185:AC185"/>
    <mergeCell ref="AD185:AD185"/>
    <mergeCell ref="AE185:AE185"/>
    <mergeCell ref="AF185:AF185"/>
    <mergeCell ref="AG185:AG185"/>
    <mergeCell ref="AH185:AH185"/>
    <mergeCell ref="AI185:AI185"/>
    <mergeCell ref="AJ185:AJ185"/>
    <mergeCell ref="AK185:AK185"/>
    <mergeCell ref="AL185:AL185"/>
    <mergeCell ref="AM185:AM185"/>
    <mergeCell ref="AN185:AN185"/>
    <mergeCell ref="AO185:AO185"/>
    <mergeCell ref="A186:A186"/>
    <mergeCell ref="B186:B186"/>
    <mergeCell ref="C186:C186"/>
    <mergeCell ref="D186:D186"/>
    <mergeCell ref="E186:E186"/>
    <mergeCell ref="F186:F186"/>
    <mergeCell ref="G186:G186"/>
    <mergeCell ref="H186:H186"/>
    <mergeCell ref="I186:I186"/>
    <mergeCell ref="J186:J186"/>
    <mergeCell ref="K186:K186"/>
    <mergeCell ref="L186:L186"/>
    <mergeCell ref="M186:M186"/>
    <mergeCell ref="N186:N186"/>
    <mergeCell ref="O186:O186"/>
    <mergeCell ref="P186:P186"/>
    <mergeCell ref="Q186:Q186"/>
    <mergeCell ref="R186:R186"/>
    <mergeCell ref="S186:S186"/>
    <mergeCell ref="T186:T186"/>
    <mergeCell ref="U186:U186"/>
    <mergeCell ref="V186:V186"/>
    <mergeCell ref="W186:W186"/>
    <mergeCell ref="X186:X186"/>
    <mergeCell ref="Y186:Y186"/>
    <mergeCell ref="Z186:Z186"/>
    <mergeCell ref="AA186:AA186"/>
    <mergeCell ref="AB186:AB186"/>
    <mergeCell ref="AC186:AC186"/>
    <mergeCell ref="AD186:AD186"/>
    <mergeCell ref="AE186:AE186"/>
    <mergeCell ref="AF186:AF186"/>
    <mergeCell ref="AG186:AG186"/>
    <mergeCell ref="AH186:AH186"/>
    <mergeCell ref="AI186:AI186"/>
    <mergeCell ref="AJ186:AJ186"/>
    <mergeCell ref="AK186:AK186"/>
    <mergeCell ref="AL186:AL186"/>
    <mergeCell ref="AM186:AM186"/>
    <mergeCell ref="AN186:AN186"/>
    <mergeCell ref="AO186:AO186"/>
    <mergeCell ref="A187:A187"/>
    <mergeCell ref="B187:B187"/>
    <mergeCell ref="C187:C187"/>
    <mergeCell ref="D187:D187"/>
    <mergeCell ref="E187:E187"/>
    <mergeCell ref="F187:F187"/>
    <mergeCell ref="G187:G187"/>
    <mergeCell ref="H187:H187"/>
    <mergeCell ref="I187:I187"/>
    <mergeCell ref="J187:J187"/>
    <mergeCell ref="K187:K187"/>
    <mergeCell ref="L187:L187"/>
    <mergeCell ref="M187:M187"/>
    <mergeCell ref="N187:N187"/>
    <mergeCell ref="O187:O187"/>
    <mergeCell ref="P187:P187"/>
    <mergeCell ref="Q187:Q187"/>
    <mergeCell ref="R187:R187"/>
    <mergeCell ref="S187:S187"/>
    <mergeCell ref="T187:T187"/>
    <mergeCell ref="U187:U187"/>
    <mergeCell ref="V187:V187"/>
    <mergeCell ref="W187:W187"/>
    <mergeCell ref="X187:X187"/>
    <mergeCell ref="Y187:Y187"/>
    <mergeCell ref="Z187:Z187"/>
    <mergeCell ref="AA187:AA187"/>
    <mergeCell ref="AB187:AB187"/>
    <mergeCell ref="AC187:AC187"/>
    <mergeCell ref="AD187:AD187"/>
    <mergeCell ref="AE187:AE187"/>
    <mergeCell ref="AF187:AF187"/>
    <mergeCell ref="AG187:AG187"/>
    <mergeCell ref="AH187:AH187"/>
    <mergeCell ref="AI187:AI187"/>
    <mergeCell ref="AJ187:AJ187"/>
    <mergeCell ref="AK187:AK187"/>
    <mergeCell ref="AL187:AL187"/>
    <mergeCell ref="AM187:AM187"/>
    <mergeCell ref="AN187:AN187"/>
    <mergeCell ref="AO187:AO187"/>
    <mergeCell ref="A188:A188"/>
    <mergeCell ref="B188:B188"/>
    <mergeCell ref="C188:C188"/>
    <mergeCell ref="D188:D188"/>
    <mergeCell ref="E188:E188"/>
    <mergeCell ref="F188:F188"/>
    <mergeCell ref="G188:G188"/>
    <mergeCell ref="H188:H188"/>
    <mergeCell ref="I188:I188"/>
    <mergeCell ref="J188:J188"/>
    <mergeCell ref="K188:K188"/>
    <mergeCell ref="L188:L188"/>
    <mergeCell ref="M188:M188"/>
    <mergeCell ref="N188:N188"/>
    <mergeCell ref="O188:O188"/>
    <mergeCell ref="P188:P188"/>
    <mergeCell ref="Q188:Q188"/>
    <mergeCell ref="R188:R188"/>
    <mergeCell ref="S188:S188"/>
    <mergeCell ref="T188:T188"/>
    <mergeCell ref="U188:U188"/>
    <mergeCell ref="V188:V188"/>
    <mergeCell ref="W188:W188"/>
    <mergeCell ref="X188:X188"/>
    <mergeCell ref="Y188:Y188"/>
    <mergeCell ref="Z188:Z188"/>
    <mergeCell ref="AA188:AA188"/>
    <mergeCell ref="AB188:AB188"/>
    <mergeCell ref="AC188:AC188"/>
    <mergeCell ref="AD188:AD188"/>
    <mergeCell ref="AE188:AE188"/>
    <mergeCell ref="AF188:AF188"/>
    <mergeCell ref="AG188:AG188"/>
    <mergeCell ref="AH188:AH188"/>
    <mergeCell ref="AI188:AI188"/>
    <mergeCell ref="AJ188:AJ188"/>
    <mergeCell ref="AK188:AK188"/>
    <mergeCell ref="AL188:AL188"/>
    <mergeCell ref="AM188:AM188"/>
    <mergeCell ref="AN188:AN188"/>
    <mergeCell ref="AO188:AO188"/>
    <mergeCell ref="A189:A189"/>
    <mergeCell ref="B189:B189"/>
    <mergeCell ref="C189:C189"/>
    <mergeCell ref="D189:D189"/>
    <mergeCell ref="E189:E189"/>
    <mergeCell ref="F189:F189"/>
    <mergeCell ref="G189:G189"/>
    <mergeCell ref="H189:H189"/>
    <mergeCell ref="I189:I189"/>
    <mergeCell ref="J189:J189"/>
    <mergeCell ref="K189:K189"/>
    <mergeCell ref="L189:L189"/>
    <mergeCell ref="M189:M189"/>
    <mergeCell ref="N189:N189"/>
    <mergeCell ref="O189:O189"/>
    <mergeCell ref="P189:P189"/>
    <mergeCell ref="Q189:Q189"/>
    <mergeCell ref="R189:R189"/>
    <mergeCell ref="S189:S189"/>
    <mergeCell ref="T189:T189"/>
    <mergeCell ref="U189:U189"/>
    <mergeCell ref="V189:V189"/>
    <mergeCell ref="W189:W189"/>
    <mergeCell ref="X189:X189"/>
    <mergeCell ref="Y189:Y189"/>
    <mergeCell ref="Z189:Z189"/>
    <mergeCell ref="AA189:AA189"/>
    <mergeCell ref="AB189:AB189"/>
    <mergeCell ref="AC189:AC189"/>
    <mergeCell ref="AD189:AD189"/>
    <mergeCell ref="AE189:AE189"/>
    <mergeCell ref="AF189:AF189"/>
    <mergeCell ref="AG189:AG189"/>
    <mergeCell ref="AH189:AH189"/>
    <mergeCell ref="AI189:AI189"/>
    <mergeCell ref="AJ189:AJ189"/>
    <mergeCell ref="AK189:AK189"/>
    <mergeCell ref="AL189:AL189"/>
    <mergeCell ref="AM189:AM189"/>
    <mergeCell ref="AN189:AN189"/>
    <mergeCell ref="AO189:AO189"/>
    <mergeCell ref="A190:A190"/>
    <mergeCell ref="B190:B190"/>
    <mergeCell ref="C190:C190"/>
    <mergeCell ref="D190:D190"/>
    <mergeCell ref="E190:E190"/>
    <mergeCell ref="F190:F190"/>
    <mergeCell ref="G190:G190"/>
    <mergeCell ref="H190:H190"/>
    <mergeCell ref="I190:I190"/>
    <mergeCell ref="J190:J190"/>
    <mergeCell ref="K190:K190"/>
    <mergeCell ref="L190:L190"/>
    <mergeCell ref="M190:M190"/>
    <mergeCell ref="N190:N190"/>
    <mergeCell ref="O190:O190"/>
    <mergeCell ref="P190:P190"/>
    <mergeCell ref="Q190:Q190"/>
    <mergeCell ref="R190:R190"/>
    <mergeCell ref="S190:S190"/>
    <mergeCell ref="T190:T190"/>
    <mergeCell ref="U190:U190"/>
    <mergeCell ref="V190:V190"/>
    <mergeCell ref="W190:W190"/>
    <mergeCell ref="X190:X190"/>
    <mergeCell ref="Y190:Y190"/>
    <mergeCell ref="Z190:Z190"/>
    <mergeCell ref="AA190:AA190"/>
    <mergeCell ref="AB190:AB190"/>
    <mergeCell ref="AC190:AC190"/>
    <mergeCell ref="AD190:AD190"/>
    <mergeCell ref="AE190:AE190"/>
    <mergeCell ref="AF190:AF190"/>
    <mergeCell ref="AG190:AG190"/>
    <mergeCell ref="AH190:AH190"/>
    <mergeCell ref="AI190:AI190"/>
    <mergeCell ref="AJ190:AJ190"/>
    <mergeCell ref="AK190:AK190"/>
    <mergeCell ref="AL190:AL190"/>
    <mergeCell ref="AM190:AM190"/>
    <mergeCell ref="AN190:AN190"/>
    <mergeCell ref="AO190:AO190"/>
    <mergeCell ref="A191:A191"/>
    <mergeCell ref="B191:B191"/>
    <mergeCell ref="C191:C191"/>
    <mergeCell ref="D191:D191"/>
    <mergeCell ref="E191:E191"/>
    <mergeCell ref="F191:F191"/>
    <mergeCell ref="G191:G191"/>
    <mergeCell ref="H191:H191"/>
    <mergeCell ref="I191:I191"/>
    <mergeCell ref="J191:J191"/>
    <mergeCell ref="K191:K191"/>
    <mergeCell ref="L191:L191"/>
    <mergeCell ref="M191:M191"/>
    <mergeCell ref="N191:N191"/>
    <mergeCell ref="O191:O191"/>
    <mergeCell ref="P191:P191"/>
    <mergeCell ref="Q191:Q191"/>
    <mergeCell ref="R191:R191"/>
    <mergeCell ref="S191:S191"/>
    <mergeCell ref="T191:T191"/>
    <mergeCell ref="U191:U191"/>
    <mergeCell ref="V191:V191"/>
    <mergeCell ref="W191:W191"/>
    <mergeCell ref="X191:X191"/>
    <mergeCell ref="Y191:Y191"/>
    <mergeCell ref="Z191:Z191"/>
    <mergeCell ref="AA191:AA191"/>
    <mergeCell ref="AB191:AB191"/>
    <mergeCell ref="AC191:AC191"/>
    <mergeCell ref="AD191:AD191"/>
    <mergeCell ref="AE191:AE191"/>
    <mergeCell ref="AF191:AF191"/>
    <mergeCell ref="AG191:AG191"/>
    <mergeCell ref="AH191:AH191"/>
    <mergeCell ref="AI191:AI191"/>
    <mergeCell ref="AJ191:AJ191"/>
    <mergeCell ref="AK191:AK191"/>
    <mergeCell ref="AL191:AL191"/>
    <mergeCell ref="AM191:AM191"/>
    <mergeCell ref="AN191:AN191"/>
    <mergeCell ref="AO191:AO191"/>
    <mergeCell ref="A192:A192"/>
    <mergeCell ref="B192:B192"/>
    <mergeCell ref="C192:C192"/>
    <mergeCell ref="D192:D192"/>
    <mergeCell ref="E192:E192"/>
    <mergeCell ref="F192:F192"/>
    <mergeCell ref="G192:G192"/>
    <mergeCell ref="H192:H192"/>
    <mergeCell ref="I192:I192"/>
    <mergeCell ref="J192:J192"/>
    <mergeCell ref="K192:K192"/>
    <mergeCell ref="L192:L192"/>
    <mergeCell ref="M192:M192"/>
    <mergeCell ref="N192:N192"/>
    <mergeCell ref="O192:O192"/>
    <mergeCell ref="P192:P192"/>
    <mergeCell ref="Q192:Q192"/>
    <mergeCell ref="R192:R192"/>
    <mergeCell ref="S192:S192"/>
    <mergeCell ref="T192:T192"/>
    <mergeCell ref="U192:U192"/>
    <mergeCell ref="V192:V192"/>
    <mergeCell ref="W192:W192"/>
    <mergeCell ref="X192:X192"/>
    <mergeCell ref="Y192:Y192"/>
    <mergeCell ref="Z192:Z192"/>
    <mergeCell ref="AA192:AA192"/>
    <mergeCell ref="AB192:AB192"/>
    <mergeCell ref="AC192:AC192"/>
    <mergeCell ref="AD192:AD192"/>
    <mergeCell ref="AE192:AE192"/>
    <mergeCell ref="AF192:AF192"/>
    <mergeCell ref="AG192:AG192"/>
    <mergeCell ref="AH192:AH192"/>
    <mergeCell ref="AI192:AI192"/>
    <mergeCell ref="AJ192:AJ192"/>
    <mergeCell ref="AK192:AK192"/>
    <mergeCell ref="AL192:AL192"/>
    <mergeCell ref="AM192:AM192"/>
    <mergeCell ref="AN192:AN192"/>
    <mergeCell ref="AO192:AO192"/>
    <mergeCell ref="A193:A193"/>
    <mergeCell ref="B193:B193"/>
    <mergeCell ref="C193:C193"/>
    <mergeCell ref="D193:D193"/>
    <mergeCell ref="E193:E193"/>
    <mergeCell ref="F193:F193"/>
    <mergeCell ref="G193:G193"/>
    <mergeCell ref="H193:H193"/>
    <mergeCell ref="I193:I193"/>
    <mergeCell ref="J193:J193"/>
    <mergeCell ref="K193:K193"/>
    <mergeCell ref="L193:L193"/>
    <mergeCell ref="M193:M193"/>
    <mergeCell ref="N193:N193"/>
    <mergeCell ref="O193:O193"/>
    <mergeCell ref="P193:P193"/>
    <mergeCell ref="Q193:Q193"/>
    <mergeCell ref="R193:R193"/>
    <mergeCell ref="S193:S193"/>
    <mergeCell ref="T193:T193"/>
    <mergeCell ref="U193:U193"/>
    <mergeCell ref="V193:V193"/>
    <mergeCell ref="W193:W193"/>
    <mergeCell ref="X193:X193"/>
    <mergeCell ref="Y193:Y193"/>
    <mergeCell ref="Z193:Z193"/>
    <mergeCell ref="AA193:AA193"/>
    <mergeCell ref="AB193:AB193"/>
    <mergeCell ref="AC193:AC193"/>
    <mergeCell ref="AD193:AD193"/>
    <mergeCell ref="AE193:AE193"/>
    <mergeCell ref="AF193:AF193"/>
    <mergeCell ref="AG193:AG193"/>
    <mergeCell ref="AH193:AH193"/>
    <mergeCell ref="AI193:AI193"/>
    <mergeCell ref="AJ193:AJ193"/>
    <mergeCell ref="AK193:AK193"/>
    <mergeCell ref="AL193:AL193"/>
    <mergeCell ref="AM193:AM193"/>
    <mergeCell ref="AN193:AN193"/>
    <mergeCell ref="AO193:AO193"/>
    <mergeCell ref="A194:A194"/>
    <mergeCell ref="B194:B194"/>
    <mergeCell ref="C194:C194"/>
    <mergeCell ref="D194:D194"/>
    <mergeCell ref="E194:E194"/>
    <mergeCell ref="F194:F194"/>
    <mergeCell ref="G194:G194"/>
    <mergeCell ref="H194:H194"/>
    <mergeCell ref="I194:I194"/>
    <mergeCell ref="J194:J194"/>
    <mergeCell ref="K194:K194"/>
    <mergeCell ref="L194:L194"/>
    <mergeCell ref="M194:M194"/>
    <mergeCell ref="N194:N194"/>
    <mergeCell ref="O194:O194"/>
    <mergeCell ref="P194:P194"/>
    <mergeCell ref="Q194:Q194"/>
    <mergeCell ref="R194:R194"/>
    <mergeCell ref="S194:S194"/>
    <mergeCell ref="T194:T194"/>
    <mergeCell ref="U194:U194"/>
    <mergeCell ref="V194:V194"/>
    <mergeCell ref="W194:W194"/>
    <mergeCell ref="X194:X194"/>
    <mergeCell ref="Y194:Y194"/>
    <mergeCell ref="Z194:Z194"/>
    <mergeCell ref="AA194:AA194"/>
    <mergeCell ref="AB194:AB194"/>
    <mergeCell ref="AC194:AC194"/>
    <mergeCell ref="AD194:AD194"/>
    <mergeCell ref="AE194:AE194"/>
    <mergeCell ref="AF194:AF194"/>
    <mergeCell ref="AG194:AG194"/>
    <mergeCell ref="AH194:AH194"/>
    <mergeCell ref="AI194:AI194"/>
    <mergeCell ref="AJ194:AJ194"/>
    <mergeCell ref="AK194:AK194"/>
    <mergeCell ref="AL194:AL194"/>
    <mergeCell ref="AM194:AM194"/>
    <mergeCell ref="AN194:AN194"/>
    <mergeCell ref="AO194:AO194"/>
    <mergeCell ref="A195:A195"/>
    <mergeCell ref="B195:B195"/>
    <mergeCell ref="C195:C195"/>
    <mergeCell ref="D195:D195"/>
    <mergeCell ref="E195:E195"/>
    <mergeCell ref="F195:F195"/>
    <mergeCell ref="G195:G195"/>
    <mergeCell ref="H195:H195"/>
    <mergeCell ref="I195:I195"/>
    <mergeCell ref="J195:J195"/>
    <mergeCell ref="K195:K195"/>
    <mergeCell ref="L195:L195"/>
    <mergeCell ref="M195:M195"/>
    <mergeCell ref="N195:N195"/>
    <mergeCell ref="O195:O195"/>
    <mergeCell ref="P195:P195"/>
    <mergeCell ref="Q195:Q195"/>
    <mergeCell ref="R195:R195"/>
    <mergeCell ref="S195:S195"/>
    <mergeCell ref="T195:T195"/>
    <mergeCell ref="U195:U195"/>
    <mergeCell ref="V195:V195"/>
    <mergeCell ref="W195:W195"/>
    <mergeCell ref="X195:X195"/>
    <mergeCell ref="Y195:Y195"/>
    <mergeCell ref="Z195:Z195"/>
    <mergeCell ref="AA195:AA195"/>
    <mergeCell ref="AB195:AB195"/>
    <mergeCell ref="AC195:AC195"/>
    <mergeCell ref="AD195:AD195"/>
    <mergeCell ref="AE195:AE195"/>
    <mergeCell ref="AF195:AF195"/>
    <mergeCell ref="AG195:AG195"/>
    <mergeCell ref="AH195:AH195"/>
    <mergeCell ref="AI195:AI195"/>
    <mergeCell ref="AJ195:AJ195"/>
    <mergeCell ref="AK195:AK195"/>
    <mergeCell ref="AL195:AL195"/>
    <mergeCell ref="AM195:AM195"/>
    <mergeCell ref="AN195:AN195"/>
    <mergeCell ref="AO195:AO195"/>
    <mergeCell ref="A196:A196"/>
    <mergeCell ref="B196:B196"/>
    <mergeCell ref="C196:C196"/>
    <mergeCell ref="D196:D196"/>
    <mergeCell ref="E196:E196"/>
    <mergeCell ref="F196:F196"/>
    <mergeCell ref="G196:G196"/>
    <mergeCell ref="H196:H196"/>
    <mergeCell ref="I196:I196"/>
    <mergeCell ref="J196:J196"/>
    <mergeCell ref="K196:K196"/>
    <mergeCell ref="L196:L196"/>
    <mergeCell ref="M196:M196"/>
    <mergeCell ref="N196:N196"/>
    <mergeCell ref="O196:O196"/>
    <mergeCell ref="P196:P196"/>
    <mergeCell ref="Q196:Q196"/>
    <mergeCell ref="R196:R196"/>
    <mergeCell ref="S196:S196"/>
    <mergeCell ref="T196:T196"/>
    <mergeCell ref="U196:U196"/>
    <mergeCell ref="V196:V196"/>
    <mergeCell ref="W196:W196"/>
    <mergeCell ref="X196:X196"/>
    <mergeCell ref="Y196:Y196"/>
    <mergeCell ref="Z196:Z196"/>
    <mergeCell ref="AA196:AA196"/>
    <mergeCell ref="AB196:AB196"/>
    <mergeCell ref="AC196:AC196"/>
    <mergeCell ref="AD196:AD196"/>
    <mergeCell ref="AE196:AE196"/>
    <mergeCell ref="AF196:AF196"/>
    <mergeCell ref="AG196:AG196"/>
    <mergeCell ref="AH196:AH196"/>
    <mergeCell ref="AI196:AI196"/>
    <mergeCell ref="AJ196:AJ196"/>
    <mergeCell ref="AK196:AK196"/>
    <mergeCell ref="AL196:AL196"/>
    <mergeCell ref="AM196:AM196"/>
    <mergeCell ref="AN196:AN196"/>
    <mergeCell ref="AO196:AO196"/>
    <mergeCell ref="A197:A197"/>
    <mergeCell ref="B197:B197"/>
    <mergeCell ref="C197:C197"/>
    <mergeCell ref="D197:D197"/>
    <mergeCell ref="E197:E197"/>
    <mergeCell ref="F197:F197"/>
    <mergeCell ref="G197:G197"/>
    <mergeCell ref="H197:H197"/>
    <mergeCell ref="I197:I197"/>
    <mergeCell ref="J197:J197"/>
    <mergeCell ref="K197:K197"/>
    <mergeCell ref="L197:L197"/>
    <mergeCell ref="M197:M197"/>
    <mergeCell ref="N197:N197"/>
    <mergeCell ref="O197:O197"/>
    <mergeCell ref="P197:P197"/>
    <mergeCell ref="Q197:Q197"/>
    <mergeCell ref="R197:R197"/>
    <mergeCell ref="S197:S197"/>
    <mergeCell ref="T197:T197"/>
    <mergeCell ref="U197:U197"/>
    <mergeCell ref="V197:V197"/>
    <mergeCell ref="W197:W197"/>
    <mergeCell ref="X197:X197"/>
    <mergeCell ref="Y197:Y197"/>
    <mergeCell ref="Z197:Z197"/>
    <mergeCell ref="AA197:AA197"/>
    <mergeCell ref="AB197:AB197"/>
    <mergeCell ref="AC197:AC197"/>
    <mergeCell ref="AD197:AD197"/>
    <mergeCell ref="AE197:AE197"/>
    <mergeCell ref="AF197:AF197"/>
    <mergeCell ref="AG197:AG197"/>
    <mergeCell ref="AH197:AH197"/>
    <mergeCell ref="AI197:AI197"/>
    <mergeCell ref="AJ197:AJ197"/>
    <mergeCell ref="AK197:AK197"/>
    <mergeCell ref="AL197:AL197"/>
    <mergeCell ref="AM197:AM197"/>
    <mergeCell ref="AN197:AN197"/>
    <mergeCell ref="AO197:AO197"/>
    <mergeCell ref="A198:A198"/>
    <mergeCell ref="B198:B198"/>
    <mergeCell ref="C198:C198"/>
    <mergeCell ref="D198:D198"/>
    <mergeCell ref="E198:E198"/>
    <mergeCell ref="F198:F198"/>
    <mergeCell ref="G198:G198"/>
    <mergeCell ref="H198:H198"/>
    <mergeCell ref="I198:I198"/>
    <mergeCell ref="J198:J198"/>
    <mergeCell ref="K198:K198"/>
    <mergeCell ref="L198:L198"/>
    <mergeCell ref="M198:M198"/>
    <mergeCell ref="N198:N198"/>
    <mergeCell ref="O198:O198"/>
    <mergeCell ref="P198:P198"/>
    <mergeCell ref="Q198:Q198"/>
    <mergeCell ref="R198:R198"/>
    <mergeCell ref="S198:S198"/>
    <mergeCell ref="T198:T198"/>
    <mergeCell ref="U198:U198"/>
    <mergeCell ref="V198:V198"/>
    <mergeCell ref="W198:W198"/>
    <mergeCell ref="X198:X198"/>
    <mergeCell ref="Y198:Y198"/>
    <mergeCell ref="Z198:Z198"/>
    <mergeCell ref="AA198:AA198"/>
    <mergeCell ref="AB198:AB198"/>
    <mergeCell ref="AC198:AC198"/>
    <mergeCell ref="AD198:AD198"/>
    <mergeCell ref="AE198:AE198"/>
    <mergeCell ref="AF198:AF198"/>
    <mergeCell ref="AG198:AG198"/>
    <mergeCell ref="AH198:AH198"/>
    <mergeCell ref="AI198:AI198"/>
    <mergeCell ref="AJ198:AJ198"/>
    <mergeCell ref="AK198:AK198"/>
    <mergeCell ref="AL198:AL198"/>
    <mergeCell ref="AM198:AM198"/>
    <mergeCell ref="AN198:AN198"/>
    <mergeCell ref="AO198:AO198"/>
    <mergeCell ref="A199:A199"/>
    <mergeCell ref="B199:B199"/>
    <mergeCell ref="C199:C199"/>
    <mergeCell ref="D199:D199"/>
    <mergeCell ref="E199:E199"/>
    <mergeCell ref="F199:F199"/>
    <mergeCell ref="G199:G199"/>
    <mergeCell ref="H199:H199"/>
    <mergeCell ref="I199:I199"/>
    <mergeCell ref="J199:J199"/>
    <mergeCell ref="K199:K199"/>
    <mergeCell ref="L199:L199"/>
    <mergeCell ref="M199:M199"/>
    <mergeCell ref="N199:N199"/>
    <mergeCell ref="O199:O199"/>
    <mergeCell ref="P199:P199"/>
    <mergeCell ref="Q199:Q199"/>
    <mergeCell ref="R199:R199"/>
    <mergeCell ref="S199:S199"/>
    <mergeCell ref="T199:T199"/>
    <mergeCell ref="U199:U199"/>
    <mergeCell ref="V199:V199"/>
    <mergeCell ref="W199:W199"/>
    <mergeCell ref="X199:X199"/>
    <mergeCell ref="Y199:Y199"/>
    <mergeCell ref="Z199:Z199"/>
    <mergeCell ref="AA199:AA199"/>
    <mergeCell ref="AB199:AB199"/>
    <mergeCell ref="AC199:AC199"/>
    <mergeCell ref="AD199:AD199"/>
    <mergeCell ref="AE199:AE199"/>
    <mergeCell ref="AF199:AF199"/>
    <mergeCell ref="AG199:AG199"/>
    <mergeCell ref="AH199:AH199"/>
    <mergeCell ref="AI199:AI199"/>
    <mergeCell ref="AJ199:AJ199"/>
    <mergeCell ref="AK199:AK199"/>
    <mergeCell ref="AL199:AL199"/>
    <mergeCell ref="AM199:AM199"/>
    <mergeCell ref="AN199:AN199"/>
    <mergeCell ref="AO199:AO199"/>
    <mergeCell ref="A200:A200"/>
    <mergeCell ref="B200:B200"/>
    <mergeCell ref="C200:C200"/>
    <mergeCell ref="D200:D200"/>
    <mergeCell ref="E200:E200"/>
    <mergeCell ref="F200:F200"/>
    <mergeCell ref="G200:G200"/>
    <mergeCell ref="H200:H200"/>
    <mergeCell ref="I200:I200"/>
    <mergeCell ref="J200:J200"/>
    <mergeCell ref="K200:K200"/>
    <mergeCell ref="L200:L200"/>
    <mergeCell ref="M200:M200"/>
    <mergeCell ref="N200:N200"/>
    <mergeCell ref="O200:O200"/>
    <mergeCell ref="P200:P200"/>
    <mergeCell ref="Q200:Q200"/>
    <mergeCell ref="R200:R200"/>
    <mergeCell ref="S200:S200"/>
    <mergeCell ref="T200:T200"/>
    <mergeCell ref="U200:U200"/>
    <mergeCell ref="V200:V200"/>
    <mergeCell ref="W200:W200"/>
    <mergeCell ref="X200:X200"/>
    <mergeCell ref="Y200:Y200"/>
    <mergeCell ref="Z200:Z200"/>
    <mergeCell ref="AA200:AA200"/>
    <mergeCell ref="AB200:AB200"/>
    <mergeCell ref="AC200:AC200"/>
    <mergeCell ref="AD200:AD200"/>
    <mergeCell ref="AE200:AE200"/>
    <mergeCell ref="AF200:AF200"/>
    <mergeCell ref="AG200:AG200"/>
    <mergeCell ref="AH200:AH200"/>
    <mergeCell ref="AI200:AI200"/>
    <mergeCell ref="AJ200:AJ200"/>
    <mergeCell ref="AK200:AK200"/>
    <mergeCell ref="AL200:AL200"/>
    <mergeCell ref="AM200:AM200"/>
    <mergeCell ref="AN200:AN200"/>
    <mergeCell ref="AO200:AO200"/>
    <mergeCell ref="A201:A201"/>
    <mergeCell ref="B201:B201"/>
    <mergeCell ref="C201:C201"/>
    <mergeCell ref="D201:D201"/>
    <mergeCell ref="E201:E201"/>
    <mergeCell ref="F201:F201"/>
    <mergeCell ref="G201:G201"/>
    <mergeCell ref="H201:H201"/>
    <mergeCell ref="I201:I201"/>
    <mergeCell ref="J201:J201"/>
    <mergeCell ref="K201:K201"/>
    <mergeCell ref="L201:L201"/>
    <mergeCell ref="M201:M201"/>
    <mergeCell ref="N201:N201"/>
    <mergeCell ref="O201:O201"/>
    <mergeCell ref="P201:P201"/>
    <mergeCell ref="Q201:Q201"/>
    <mergeCell ref="R201:R201"/>
    <mergeCell ref="S201:S201"/>
    <mergeCell ref="T201:T201"/>
    <mergeCell ref="U201:U201"/>
    <mergeCell ref="V201:V201"/>
    <mergeCell ref="W201:W201"/>
    <mergeCell ref="X201:X201"/>
    <mergeCell ref="Y201:Y201"/>
    <mergeCell ref="Z201:Z201"/>
    <mergeCell ref="AA201:AA201"/>
    <mergeCell ref="AB201:AB201"/>
    <mergeCell ref="AC201:AC201"/>
    <mergeCell ref="AD201:AD201"/>
    <mergeCell ref="AE201:AE201"/>
    <mergeCell ref="AF201:AF201"/>
    <mergeCell ref="AG201:AG201"/>
    <mergeCell ref="AH201:AH201"/>
    <mergeCell ref="AI201:AI201"/>
    <mergeCell ref="AJ201:AJ201"/>
    <mergeCell ref="AK201:AK201"/>
    <mergeCell ref="AL201:AL201"/>
    <mergeCell ref="AM201:AM201"/>
    <mergeCell ref="AN201:AN201"/>
    <mergeCell ref="AO201:AO201"/>
    <mergeCell ref="A202:A202"/>
    <mergeCell ref="B202:B202"/>
    <mergeCell ref="C202:C202"/>
    <mergeCell ref="D202:D202"/>
    <mergeCell ref="E202:E202"/>
    <mergeCell ref="F202:F202"/>
    <mergeCell ref="G202:G202"/>
    <mergeCell ref="H202:H202"/>
    <mergeCell ref="I202:I202"/>
    <mergeCell ref="J202:J202"/>
    <mergeCell ref="K202:K202"/>
    <mergeCell ref="L202:L202"/>
    <mergeCell ref="M202:M202"/>
    <mergeCell ref="N202:N202"/>
    <mergeCell ref="O202:O202"/>
    <mergeCell ref="P202:P202"/>
    <mergeCell ref="Q202:Q202"/>
    <mergeCell ref="R202:R202"/>
    <mergeCell ref="S202:S202"/>
    <mergeCell ref="T202:T202"/>
    <mergeCell ref="U202:U202"/>
    <mergeCell ref="V202:V202"/>
    <mergeCell ref="W202:W202"/>
    <mergeCell ref="X202:X202"/>
    <mergeCell ref="Y202:Y202"/>
    <mergeCell ref="Z202:Z202"/>
    <mergeCell ref="AA202:AA202"/>
    <mergeCell ref="AB202:AB202"/>
    <mergeCell ref="AC202:AC202"/>
    <mergeCell ref="AD202:AD202"/>
    <mergeCell ref="AE202:AE202"/>
    <mergeCell ref="AF202:AF202"/>
    <mergeCell ref="AG202:AG202"/>
    <mergeCell ref="AH202:AH202"/>
    <mergeCell ref="AI202:AI202"/>
    <mergeCell ref="AJ202:AJ202"/>
    <mergeCell ref="AK202:AK202"/>
    <mergeCell ref="AL202:AL202"/>
    <mergeCell ref="AM202:AM202"/>
    <mergeCell ref="AN202:AN202"/>
    <mergeCell ref="AO202:AO202"/>
    <mergeCell ref="A203:A203"/>
    <mergeCell ref="B203:B203"/>
    <mergeCell ref="C203:C203"/>
    <mergeCell ref="D203:D203"/>
    <mergeCell ref="E203:E203"/>
    <mergeCell ref="F203:F203"/>
    <mergeCell ref="G203:G203"/>
    <mergeCell ref="H203:H203"/>
    <mergeCell ref="I203:I203"/>
    <mergeCell ref="J203:J203"/>
    <mergeCell ref="K203:K203"/>
    <mergeCell ref="L203:L203"/>
    <mergeCell ref="M203:M203"/>
    <mergeCell ref="N203:N203"/>
    <mergeCell ref="O203:O203"/>
    <mergeCell ref="P203:P203"/>
    <mergeCell ref="Q203:Q203"/>
    <mergeCell ref="R203:R203"/>
    <mergeCell ref="S203:S203"/>
    <mergeCell ref="T203:T203"/>
    <mergeCell ref="U203:U203"/>
    <mergeCell ref="V203:V203"/>
    <mergeCell ref="W203:W203"/>
    <mergeCell ref="X203:X203"/>
    <mergeCell ref="Y203:Y203"/>
    <mergeCell ref="Z203:Z203"/>
    <mergeCell ref="AA203:AA203"/>
    <mergeCell ref="AB203:AB203"/>
    <mergeCell ref="AC203:AC203"/>
    <mergeCell ref="AD203:AD203"/>
    <mergeCell ref="AE203:AE203"/>
    <mergeCell ref="AF203:AF203"/>
    <mergeCell ref="AG203:AG203"/>
    <mergeCell ref="AH203:AH203"/>
    <mergeCell ref="AI203:AI203"/>
    <mergeCell ref="AJ203:AJ203"/>
    <mergeCell ref="AK203:AK203"/>
    <mergeCell ref="AL203:AL203"/>
    <mergeCell ref="AM203:AM203"/>
    <mergeCell ref="AN203:AN203"/>
    <mergeCell ref="AO203:AO203"/>
    <mergeCell ref="A204:A204"/>
    <mergeCell ref="B204:B204"/>
    <mergeCell ref="C204:C204"/>
    <mergeCell ref="D204:D204"/>
    <mergeCell ref="E204:E204"/>
    <mergeCell ref="F204:F204"/>
    <mergeCell ref="G204:G204"/>
    <mergeCell ref="H204:H204"/>
    <mergeCell ref="I204:I204"/>
    <mergeCell ref="J204:J204"/>
    <mergeCell ref="K204:K204"/>
    <mergeCell ref="L204:L204"/>
    <mergeCell ref="M204:M204"/>
    <mergeCell ref="N204:N204"/>
    <mergeCell ref="O204:O204"/>
    <mergeCell ref="P204:P204"/>
    <mergeCell ref="Q204:Q204"/>
    <mergeCell ref="R204:R204"/>
    <mergeCell ref="S204:S204"/>
    <mergeCell ref="T204:T204"/>
    <mergeCell ref="U204:U204"/>
    <mergeCell ref="V204:V204"/>
    <mergeCell ref="W204:W204"/>
    <mergeCell ref="X204:X204"/>
    <mergeCell ref="Y204:Y204"/>
    <mergeCell ref="Z204:Z204"/>
    <mergeCell ref="AA204:AA204"/>
    <mergeCell ref="AB204:AB204"/>
    <mergeCell ref="AC204:AC204"/>
    <mergeCell ref="AD204:AD204"/>
    <mergeCell ref="AE204:AE204"/>
    <mergeCell ref="AF204:AF204"/>
    <mergeCell ref="AG204:AG204"/>
    <mergeCell ref="AH204:AH204"/>
    <mergeCell ref="AI204:AI204"/>
    <mergeCell ref="AJ204:AJ204"/>
    <mergeCell ref="AK204:AK204"/>
    <mergeCell ref="AL204:AL204"/>
    <mergeCell ref="AM204:AM204"/>
    <mergeCell ref="AN204:AN204"/>
    <mergeCell ref="AO204:AO204"/>
    <mergeCell ref="A205:A205"/>
    <mergeCell ref="B205:B205"/>
    <mergeCell ref="C205:C205"/>
    <mergeCell ref="D205:D205"/>
    <mergeCell ref="E205:E205"/>
    <mergeCell ref="F205:F205"/>
    <mergeCell ref="G205:G205"/>
    <mergeCell ref="H205:H205"/>
    <mergeCell ref="I205:I205"/>
    <mergeCell ref="J205:J205"/>
    <mergeCell ref="K205:K205"/>
    <mergeCell ref="L205:L205"/>
    <mergeCell ref="M205:M205"/>
    <mergeCell ref="N205:N205"/>
    <mergeCell ref="O205:O205"/>
    <mergeCell ref="P205:P205"/>
    <mergeCell ref="Q205:Q205"/>
    <mergeCell ref="R205:R205"/>
    <mergeCell ref="S205:S205"/>
    <mergeCell ref="T205:T205"/>
    <mergeCell ref="U205:U205"/>
    <mergeCell ref="V205:V205"/>
    <mergeCell ref="W205:W205"/>
    <mergeCell ref="X205:X205"/>
    <mergeCell ref="Y205:Y205"/>
    <mergeCell ref="Z205:Z205"/>
    <mergeCell ref="AA205:AA205"/>
    <mergeCell ref="AB205:AB205"/>
    <mergeCell ref="AC205:AC205"/>
    <mergeCell ref="AD205:AD205"/>
    <mergeCell ref="AE205:AE205"/>
    <mergeCell ref="AF205:AF205"/>
    <mergeCell ref="AG205:AG205"/>
    <mergeCell ref="AH205:AH205"/>
    <mergeCell ref="AI205:AI205"/>
    <mergeCell ref="AJ205:AJ205"/>
    <mergeCell ref="AK205:AK205"/>
    <mergeCell ref="AL205:AL205"/>
    <mergeCell ref="AM205:AM205"/>
    <mergeCell ref="AN205:AN205"/>
    <mergeCell ref="AO205:AO205"/>
    <mergeCell ref="A206:A206"/>
    <mergeCell ref="B206:B206"/>
    <mergeCell ref="C206:C206"/>
    <mergeCell ref="D206:D206"/>
    <mergeCell ref="E206:E206"/>
    <mergeCell ref="F206:F206"/>
    <mergeCell ref="G206:G206"/>
    <mergeCell ref="H206:H206"/>
    <mergeCell ref="I206:I206"/>
    <mergeCell ref="J206:J206"/>
    <mergeCell ref="K206:K206"/>
    <mergeCell ref="L206:L206"/>
    <mergeCell ref="M206:M206"/>
    <mergeCell ref="N206:N206"/>
    <mergeCell ref="O206:O206"/>
    <mergeCell ref="P206:P206"/>
    <mergeCell ref="Q206:Q206"/>
    <mergeCell ref="R206:R206"/>
    <mergeCell ref="S206:S206"/>
    <mergeCell ref="T206:T206"/>
    <mergeCell ref="U206:U206"/>
    <mergeCell ref="V206:V206"/>
    <mergeCell ref="W206:W206"/>
    <mergeCell ref="X206:X206"/>
    <mergeCell ref="Y206:Y206"/>
    <mergeCell ref="Z206:Z206"/>
    <mergeCell ref="AA206:AA206"/>
    <mergeCell ref="AB206:AB206"/>
    <mergeCell ref="AC206:AC206"/>
    <mergeCell ref="AD206:AD206"/>
    <mergeCell ref="AE206:AE206"/>
    <mergeCell ref="AF206:AF206"/>
    <mergeCell ref="AG206:AG206"/>
    <mergeCell ref="AH206:AH206"/>
    <mergeCell ref="AI206:AI206"/>
    <mergeCell ref="AJ206:AJ206"/>
    <mergeCell ref="AK206:AK206"/>
    <mergeCell ref="AL206:AL206"/>
    <mergeCell ref="AM206:AM206"/>
    <mergeCell ref="AN206:AN206"/>
    <mergeCell ref="AO206:AO206"/>
    <mergeCell ref="A207:A207"/>
    <mergeCell ref="B207:B207"/>
    <mergeCell ref="C207:C207"/>
    <mergeCell ref="D207:D207"/>
    <mergeCell ref="E207:E207"/>
    <mergeCell ref="F207:F207"/>
    <mergeCell ref="G207:G207"/>
    <mergeCell ref="H207:H207"/>
    <mergeCell ref="I207:I207"/>
    <mergeCell ref="J207:J207"/>
    <mergeCell ref="K207:K207"/>
    <mergeCell ref="L207:L207"/>
    <mergeCell ref="M207:M207"/>
    <mergeCell ref="N207:N207"/>
    <mergeCell ref="O207:O207"/>
    <mergeCell ref="P207:P207"/>
    <mergeCell ref="Q207:Q207"/>
    <mergeCell ref="R207:R207"/>
    <mergeCell ref="S207:S207"/>
    <mergeCell ref="T207:T207"/>
    <mergeCell ref="U207:U207"/>
    <mergeCell ref="V207:V207"/>
    <mergeCell ref="W207:W207"/>
    <mergeCell ref="X207:X207"/>
    <mergeCell ref="Y207:Y207"/>
    <mergeCell ref="Z207:Z207"/>
    <mergeCell ref="AA207:AA207"/>
    <mergeCell ref="AB207:AB207"/>
    <mergeCell ref="AC207:AC207"/>
    <mergeCell ref="AD207:AD207"/>
    <mergeCell ref="AE207:AE207"/>
    <mergeCell ref="AF207:AF207"/>
    <mergeCell ref="AG207:AG207"/>
    <mergeCell ref="AH207:AH207"/>
    <mergeCell ref="AI207:AI207"/>
    <mergeCell ref="AJ207:AJ207"/>
    <mergeCell ref="AK207:AK207"/>
    <mergeCell ref="AL207:AL207"/>
    <mergeCell ref="AM207:AM207"/>
    <mergeCell ref="AN207:AN207"/>
    <mergeCell ref="AO207:AO207"/>
    <mergeCell ref="A208:A208"/>
    <mergeCell ref="B208:B208"/>
    <mergeCell ref="C208:C208"/>
    <mergeCell ref="D208:D208"/>
    <mergeCell ref="E208:E208"/>
    <mergeCell ref="F208:F208"/>
    <mergeCell ref="G208:G208"/>
    <mergeCell ref="H208:H208"/>
    <mergeCell ref="I208:I208"/>
    <mergeCell ref="J208:J208"/>
    <mergeCell ref="K208:K208"/>
    <mergeCell ref="L208:L208"/>
    <mergeCell ref="M208:M208"/>
    <mergeCell ref="N208:N208"/>
    <mergeCell ref="O208:O208"/>
    <mergeCell ref="P208:P208"/>
    <mergeCell ref="Q208:Q208"/>
    <mergeCell ref="R208:R208"/>
    <mergeCell ref="S208:S208"/>
    <mergeCell ref="T208:T208"/>
    <mergeCell ref="U208:U208"/>
    <mergeCell ref="V208:V208"/>
    <mergeCell ref="W208:W208"/>
    <mergeCell ref="X208:X208"/>
    <mergeCell ref="Y208:Y208"/>
    <mergeCell ref="Z208:Z208"/>
    <mergeCell ref="AA208:AA208"/>
    <mergeCell ref="AB208:AB208"/>
    <mergeCell ref="AC208:AC208"/>
    <mergeCell ref="AD208:AD208"/>
    <mergeCell ref="AE208:AE208"/>
    <mergeCell ref="AF208:AF208"/>
    <mergeCell ref="AG208:AG208"/>
    <mergeCell ref="AH208:AH208"/>
    <mergeCell ref="AI208:AI208"/>
    <mergeCell ref="AJ208:AJ208"/>
    <mergeCell ref="AK208:AK208"/>
    <mergeCell ref="AL208:AL208"/>
    <mergeCell ref="AM208:AM208"/>
    <mergeCell ref="AN208:AN208"/>
    <mergeCell ref="AO208:AO208"/>
    <mergeCell ref="A209:A209"/>
    <mergeCell ref="B209:B209"/>
    <mergeCell ref="C209:C209"/>
    <mergeCell ref="D209:D209"/>
    <mergeCell ref="E209:E209"/>
    <mergeCell ref="F209:F209"/>
    <mergeCell ref="G209:G209"/>
    <mergeCell ref="H209:H209"/>
    <mergeCell ref="I209:I209"/>
    <mergeCell ref="J209:J209"/>
    <mergeCell ref="K209:K209"/>
    <mergeCell ref="L209:L209"/>
    <mergeCell ref="M209:M209"/>
    <mergeCell ref="N209:N209"/>
    <mergeCell ref="O209:O209"/>
    <mergeCell ref="P209:P209"/>
    <mergeCell ref="Q209:Q209"/>
    <mergeCell ref="R209:R209"/>
    <mergeCell ref="S209:S209"/>
    <mergeCell ref="T209:T209"/>
    <mergeCell ref="U209:U209"/>
    <mergeCell ref="V209:V209"/>
    <mergeCell ref="W209:W209"/>
    <mergeCell ref="X209:X209"/>
    <mergeCell ref="Y209:Y209"/>
    <mergeCell ref="Z209:Z209"/>
    <mergeCell ref="AA209:AA209"/>
    <mergeCell ref="AB209:AB209"/>
    <mergeCell ref="AC209:AC209"/>
    <mergeCell ref="AD209:AD209"/>
    <mergeCell ref="AE209:AE209"/>
    <mergeCell ref="AF209:AF209"/>
    <mergeCell ref="AG209:AG209"/>
    <mergeCell ref="AH209:AH209"/>
    <mergeCell ref="AI209:AI209"/>
    <mergeCell ref="AJ209:AJ209"/>
    <mergeCell ref="AK209:AK209"/>
    <mergeCell ref="AL209:AL209"/>
    <mergeCell ref="AM209:AM209"/>
    <mergeCell ref="AN209:AN209"/>
    <mergeCell ref="AO209:AO209"/>
    <mergeCell ref="A210:A210"/>
    <mergeCell ref="B210:B210"/>
    <mergeCell ref="C210:C210"/>
    <mergeCell ref="D210:D210"/>
    <mergeCell ref="E210:E210"/>
    <mergeCell ref="F210:F210"/>
    <mergeCell ref="G210:G210"/>
    <mergeCell ref="H210:H210"/>
    <mergeCell ref="I210:I210"/>
    <mergeCell ref="J210:J210"/>
    <mergeCell ref="K210:K210"/>
    <mergeCell ref="L210:L210"/>
    <mergeCell ref="M210:M210"/>
    <mergeCell ref="N210:N210"/>
    <mergeCell ref="O210:O210"/>
    <mergeCell ref="P210:P210"/>
    <mergeCell ref="Q210:Q210"/>
    <mergeCell ref="R210:R210"/>
    <mergeCell ref="S210:S210"/>
    <mergeCell ref="T210:T210"/>
    <mergeCell ref="U210:U210"/>
    <mergeCell ref="V210:V210"/>
    <mergeCell ref="W210:W210"/>
    <mergeCell ref="X210:X210"/>
    <mergeCell ref="Y210:Y210"/>
    <mergeCell ref="Z210:Z210"/>
    <mergeCell ref="AA210:AA210"/>
    <mergeCell ref="AB210:AB210"/>
    <mergeCell ref="AC210:AC210"/>
    <mergeCell ref="AD210:AD210"/>
    <mergeCell ref="AE210:AE210"/>
    <mergeCell ref="AF210:AF210"/>
    <mergeCell ref="AG210:AG210"/>
    <mergeCell ref="AH210:AH210"/>
    <mergeCell ref="AI210:AI210"/>
    <mergeCell ref="AJ210:AJ210"/>
    <mergeCell ref="AK210:AK210"/>
    <mergeCell ref="AL210:AL210"/>
    <mergeCell ref="AM210:AM210"/>
    <mergeCell ref="AN210:AN210"/>
    <mergeCell ref="AO210:AO210"/>
    <mergeCell ref="A211:A211"/>
    <mergeCell ref="B211:B211"/>
    <mergeCell ref="C211:C211"/>
    <mergeCell ref="D211:D211"/>
    <mergeCell ref="E211:E211"/>
    <mergeCell ref="F211:F211"/>
    <mergeCell ref="G211:G211"/>
    <mergeCell ref="H211:H211"/>
    <mergeCell ref="I211:I211"/>
    <mergeCell ref="J211:J211"/>
    <mergeCell ref="K211:K211"/>
    <mergeCell ref="L211:L211"/>
    <mergeCell ref="M211:M211"/>
    <mergeCell ref="N211:N211"/>
    <mergeCell ref="O211:O211"/>
    <mergeCell ref="P211:P211"/>
    <mergeCell ref="Q211:Q211"/>
    <mergeCell ref="R211:R211"/>
    <mergeCell ref="S211:S211"/>
    <mergeCell ref="T211:T211"/>
    <mergeCell ref="U211:U211"/>
    <mergeCell ref="V211:V211"/>
    <mergeCell ref="W211:W211"/>
    <mergeCell ref="X211:X211"/>
    <mergeCell ref="Y211:Y211"/>
    <mergeCell ref="Z211:Z211"/>
    <mergeCell ref="AA211:AA211"/>
    <mergeCell ref="AB211:AB211"/>
    <mergeCell ref="AC211:AC211"/>
    <mergeCell ref="AD211:AD211"/>
    <mergeCell ref="AE211:AE211"/>
    <mergeCell ref="AF211:AF211"/>
    <mergeCell ref="AG211:AG211"/>
    <mergeCell ref="AH211:AH211"/>
    <mergeCell ref="AI211:AI211"/>
    <mergeCell ref="AJ211:AJ211"/>
    <mergeCell ref="AK211:AK211"/>
    <mergeCell ref="AL211:AL211"/>
    <mergeCell ref="AM211:AM211"/>
    <mergeCell ref="AN211:AN211"/>
    <mergeCell ref="AO211:AO211"/>
    <mergeCell ref="A212:A212"/>
    <mergeCell ref="B212:B212"/>
    <mergeCell ref="C212:C212"/>
    <mergeCell ref="D212:D212"/>
    <mergeCell ref="E212:E212"/>
    <mergeCell ref="F212:F212"/>
    <mergeCell ref="G212:G212"/>
    <mergeCell ref="H212:H212"/>
    <mergeCell ref="I212:I212"/>
    <mergeCell ref="J212:J212"/>
    <mergeCell ref="K212:K212"/>
    <mergeCell ref="L212:L212"/>
    <mergeCell ref="M212:M212"/>
    <mergeCell ref="N212:N212"/>
    <mergeCell ref="O212:O212"/>
    <mergeCell ref="P212:P212"/>
    <mergeCell ref="Q212:Q212"/>
    <mergeCell ref="R212:R212"/>
    <mergeCell ref="S212:S212"/>
    <mergeCell ref="T212:T212"/>
    <mergeCell ref="U212:U212"/>
    <mergeCell ref="V212:V212"/>
    <mergeCell ref="W212:W212"/>
    <mergeCell ref="X212:X212"/>
    <mergeCell ref="Y212:Y212"/>
    <mergeCell ref="Z212:Z212"/>
    <mergeCell ref="AA212:AA212"/>
    <mergeCell ref="AB212:AB212"/>
    <mergeCell ref="AC212:AC212"/>
    <mergeCell ref="AD212:AD212"/>
    <mergeCell ref="AE212:AE212"/>
    <mergeCell ref="AF212:AF212"/>
    <mergeCell ref="AG212:AG212"/>
    <mergeCell ref="AH212:AH212"/>
    <mergeCell ref="AI212:AI212"/>
    <mergeCell ref="AJ212:AJ212"/>
    <mergeCell ref="AK212:AK212"/>
    <mergeCell ref="AL212:AL212"/>
    <mergeCell ref="AM212:AM212"/>
    <mergeCell ref="AN212:AN212"/>
    <mergeCell ref="AO212:AO212"/>
    <mergeCell ref="A213:A213"/>
    <mergeCell ref="B213:B213"/>
    <mergeCell ref="C213:C213"/>
    <mergeCell ref="D213:D213"/>
    <mergeCell ref="E213:E213"/>
    <mergeCell ref="F213:F213"/>
    <mergeCell ref="G213:G213"/>
    <mergeCell ref="H213:H213"/>
    <mergeCell ref="I213:I213"/>
    <mergeCell ref="J213:J213"/>
    <mergeCell ref="K213:K213"/>
    <mergeCell ref="L213:L213"/>
    <mergeCell ref="M213:M213"/>
    <mergeCell ref="N213:N213"/>
    <mergeCell ref="O213:O213"/>
    <mergeCell ref="P213:P213"/>
    <mergeCell ref="Q213:Q213"/>
    <mergeCell ref="R213:R213"/>
    <mergeCell ref="S213:S213"/>
    <mergeCell ref="T213:T213"/>
    <mergeCell ref="U213:U213"/>
    <mergeCell ref="V213:V213"/>
    <mergeCell ref="W213:W213"/>
    <mergeCell ref="X213:X213"/>
    <mergeCell ref="Y213:Y213"/>
    <mergeCell ref="Z213:Z213"/>
    <mergeCell ref="AA213:AA213"/>
    <mergeCell ref="AB213:AB213"/>
    <mergeCell ref="AC213:AC213"/>
    <mergeCell ref="AD213:AD213"/>
    <mergeCell ref="AE213:AE213"/>
    <mergeCell ref="AF213:AF213"/>
    <mergeCell ref="AG213:AG213"/>
    <mergeCell ref="AH213:AH213"/>
    <mergeCell ref="AI213:AI213"/>
    <mergeCell ref="AJ213:AJ213"/>
    <mergeCell ref="AK213:AK213"/>
    <mergeCell ref="AL213:AL213"/>
    <mergeCell ref="AM213:AM213"/>
    <mergeCell ref="AN213:AN213"/>
    <mergeCell ref="AO213:AO213"/>
    <mergeCell ref="A214:A214"/>
    <mergeCell ref="B214:B214"/>
    <mergeCell ref="C214:C214"/>
    <mergeCell ref="D214:D214"/>
    <mergeCell ref="E214:E214"/>
    <mergeCell ref="F214:F214"/>
    <mergeCell ref="G214:G214"/>
    <mergeCell ref="H214:H214"/>
    <mergeCell ref="I214:I214"/>
    <mergeCell ref="J214:J214"/>
    <mergeCell ref="K214:K214"/>
    <mergeCell ref="L214:L214"/>
    <mergeCell ref="M214:M214"/>
    <mergeCell ref="N214:N214"/>
    <mergeCell ref="O214:O214"/>
    <mergeCell ref="P214:P214"/>
    <mergeCell ref="Q214:Q214"/>
    <mergeCell ref="R214:R214"/>
    <mergeCell ref="S214:S214"/>
    <mergeCell ref="T214:T214"/>
    <mergeCell ref="U214:U214"/>
    <mergeCell ref="V214:V214"/>
    <mergeCell ref="W214:W214"/>
    <mergeCell ref="X214:X214"/>
    <mergeCell ref="Y214:Y214"/>
    <mergeCell ref="Z214:Z214"/>
    <mergeCell ref="AA214:AA214"/>
    <mergeCell ref="AB214:AB214"/>
    <mergeCell ref="AC214:AC214"/>
    <mergeCell ref="AD214:AD214"/>
    <mergeCell ref="AE214:AE214"/>
    <mergeCell ref="AF214:AF214"/>
    <mergeCell ref="AG214:AG214"/>
    <mergeCell ref="AH214:AH214"/>
    <mergeCell ref="AI214:AI214"/>
    <mergeCell ref="AJ214:AJ214"/>
    <mergeCell ref="AK214:AK214"/>
    <mergeCell ref="AL214:AL214"/>
    <mergeCell ref="AM214:AM214"/>
    <mergeCell ref="AN214:AN214"/>
    <mergeCell ref="AO214:AO214"/>
    <mergeCell ref="A215:A215"/>
    <mergeCell ref="B215:B215"/>
    <mergeCell ref="C215:C215"/>
    <mergeCell ref="D215:D215"/>
    <mergeCell ref="E215:E215"/>
    <mergeCell ref="F215:F215"/>
    <mergeCell ref="G215:G215"/>
    <mergeCell ref="H215:H215"/>
    <mergeCell ref="I215:I215"/>
    <mergeCell ref="J215:J215"/>
    <mergeCell ref="K215:K215"/>
    <mergeCell ref="L215:L215"/>
    <mergeCell ref="M215:M215"/>
    <mergeCell ref="N215:N215"/>
    <mergeCell ref="O215:O215"/>
    <mergeCell ref="P215:P215"/>
    <mergeCell ref="Q215:Q215"/>
    <mergeCell ref="R215:R215"/>
    <mergeCell ref="S215:S215"/>
    <mergeCell ref="T215:T215"/>
    <mergeCell ref="U215:U215"/>
    <mergeCell ref="V215:V215"/>
    <mergeCell ref="W215:W215"/>
    <mergeCell ref="X215:X215"/>
    <mergeCell ref="Y215:Y215"/>
    <mergeCell ref="Z215:Z215"/>
    <mergeCell ref="AA215:AA215"/>
    <mergeCell ref="AB215:AB215"/>
    <mergeCell ref="AC215:AC215"/>
    <mergeCell ref="AD215:AD215"/>
    <mergeCell ref="AE215:AE215"/>
    <mergeCell ref="AF215:AF215"/>
    <mergeCell ref="AG215:AG215"/>
    <mergeCell ref="AH215:AH215"/>
    <mergeCell ref="AI215:AI215"/>
    <mergeCell ref="AJ215:AJ215"/>
    <mergeCell ref="AK215:AK215"/>
    <mergeCell ref="AL215:AL215"/>
    <mergeCell ref="AM215:AM215"/>
    <mergeCell ref="AN215:AN215"/>
    <mergeCell ref="AO215:AO215"/>
    <mergeCell ref="A216:A216"/>
    <mergeCell ref="B216:B216"/>
    <mergeCell ref="C216:C216"/>
    <mergeCell ref="D216:D216"/>
    <mergeCell ref="E216:E216"/>
    <mergeCell ref="F216:F216"/>
    <mergeCell ref="G216:G216"/>
    <mergeCell ref="H216:H216"/>
    <mergeCell ref="I216:I216"/>
    <mergeCell ref="J216:J216"/>
    <mergeCell ref="K216:K216"/>
    <mergeCell ref="L216:L216"/>
    <mergeCell ref="M216:M216"/>
    <mergeCell ref="N216:N216"/>
    <mergeCell ref="O216:O216"/>
    <mergeCell ref="P216:P216"/>
    <mergeCell ref="Q216:Q216"/>
    <mergeCell ref="R216:R216"/>
    <mergeCell ref="S216:S216"/>
    <mergeCell ref="T216:T216"/>
    <mergeCell ref="U216:U216"/>
    <mergeCell ref="V216:V216"/>
    <mergeCell ref="W216:W216"/>
    <mergeCell ref="X216:X216"/>
    <mergeCell ref="Y216:Y216"/>
    <mergeCell ref="Z216:Z216"/>
    <mergeCell ref="AA216:AA216"/>
    <mergeCell ref="AB216:AB216"/>
    <mergeCell ref="AC216:AC216"/>
    <mergeCell ref="AD216:AD216"/>
    <mergeCell ref="AE216:AE216"/>
    <mergeCell ref="AF216:AF216"/>
    <mergeCell ref="AG216:AG216"/>
    <mergeCell ref="AH216:AH216"/>
    <mergeCell ref="AI216:AI216"/>
    <mergeCell ref="AJ216:AJ216"/>
    <mergeCell ref="AK216:AK216"/>
    <mergeCell ref="AL216:AL216"/>
    <mergeCell ref="AM216:AM216"/>
    <mergeCell ref="AN216:AN216"/>
    <mergeCell ref="AO216:AO216"/>
    <mergeCell ref="A217:A217"/>
    <mergeCell ref="B217:B217"/>
    <mergeCell ref="C217:C217"/>
    <mergeCell ref="D217:D217"/>
    <mergeCell ref="E217:E217"/>
    <mergeCell ref="F217:F217"/>
    <mergeCell ref="G217:G217"/>
    <mergeCell ref="H217:H217"/>
    <mergeCell ref="I217:I217"/>
    <mergeCell ref="J217:J217"/>
    <mergeCell ref="K217:K217"/>
    <mergeCell ref="L217:L217"/>
    <mergeCell ref="M217:M217"/>
    <mergeCell ref="N217:N217"/>
    <mergeCell ref="O217:O217"/>
    <mergeCell ref="P217:P217"/>
    <mergeCell ref="Q217:Q217"/>
    <mergeCell ref="R217:R217"/>
    <mergeCell ref="S217:S217"/>
    <mergeCell ref="T217:T217"/>
    <mergeCell ref="U217:U217"/>
    <mergeCell ref="V217:V217"/>
    <mergeCell ref="W217:W217"/>
    <mergeCell ref="X217:X217"/>
    <mergeCell ref="Y217:Y217"/>
    <mergeCell ref="Z217:Z217"/>
    <mergeCell ref="AA217:AA217"/>
    <mergeCell ref="AB217:AB217"/>
    <mergeCell ref="AC217:AC217"/>
    <mergeCell ref="AD217:AD217"/>
    <mergeCell ref="AE217:AE217"/>
    <mergeCell ref="AF217:AF217"/>
    <mergeCell ref="AG217:AG217"/>
    <mergeCell ref="AH217:AH217"/>
    <mergeCell ref="AI217:AI217"/>
    <mergeCell ref="AJ217:AJ217"/>
    <mergeCell ref="AK217:AK217"/>
    <mergeCell ref="AL217:AL217"/>
    <mergeCell ref="AM217:AM217"/>
    <mergeCell ref="AN217:AN217"/>
    <mergeCell ref="AO217:AO217"/>
    <mergeCell ref="A218:A218"/>
    <mergeCell ref="B218:B218"/>
    <mergeCell ref="C218:C218"/>
    <mergeCell ref="D218:D218"/>
    <mergeCell ref="E218:E218"/>
    <mergeCell ref="F218:F218"/>
    <mergeCell ref="G218:G218"/>
    <mergeCell ref="H218:H218"/>
    <mergeCell ref="I218:I218"/>
    <mergeCell ref="J218:J218"/>
    <mergeCell ref="K218:K218"/>
    <mergeCell ref="L218:L218"/>
    <mergeCell ref="M218:M218"/>
    <mergeCell ref="N218:N218"/>
    <mergeCell ref="O218:O218"/>
    <mergeCell ref="P218:P218"/>
    <mergeCell ref="Q218:Q218"/>
    <mergeCell ref="R218:R218"/>
    <mergeCell ref="S218:S218"/>
    <mergeCell ref="T218:T218"/>
    <mergeCell ref="U218:U218"/>
    <mergeCell ref="V218:V218"/>
    <mergeCell ref="W218:W218"/>
    <mergeCell ref="X218:X218"/>
    <mergeCell ref="Y218:Y218"/>
    <mergeCell ref="Z218:Z218"/>
    <mergeCell ref="AA218:AA218"/>
    <mergeCell ref="AB218:AB218"/>
    <mergeCell ref="AC218:AC218"/>
    <mergeCell ref="AD218:AD218"/>
    <mergeCell ref="AE218:AE218"/>
    <mergeCell ref="AF218:AF218"/>
    <mergeCell ref="AG218:AG218"/>
    <mergeCell ref="AH218:AH218"/>
    <mergeCell ref="AI218:AI218"/>
    <mergeCell ref="AJ218:AJ218"/>
    <mergeCell ref="AK218:AK218"/>
    <mergeCell ref="AL218:AL218"/>
    <mergeCell ref="AM218:AM218"/>
    <mergeCell ref="AN218:AN218"/>
    <mergeCell ref="AO218:AO218"/>
    <mergeCell ref="A219:A219"/>
    <mergeCell ref="B219:B219"/>
    <mergeCell ref="C219:C219"/>
    <mergeCell ref="D219:D219"/>
    <mergeCell ref="E219:E219"/>
    <mergeCell ref="F219:F219"/>
    <mergeCell ref="G219:G219"/>
    <mergeCell ref="H219:H219"/>
    <mergeCell ref="I219:I219"/>
    <mergeCell ref="J219:J219"/>
    <mergeCell ref="K219:K219"/>
    <mergeCell ref="L219:L219"/>
    <mergeCell ref="M219:M219"/>
    <mergeCell ref="N219:N219"/>
    <mergeCell ref="O219:O219"/>
    <mergeCell ref="P219:P219"/>
    <mergeCell ref="Q219:Q219"/>
    <mergeCell ref="R219:R219"/>
    <mergeCell ref="S219:S219"/>
    <mergeCell ref="T219:T219"/>
    <mergeCell ref="U219:U219"/>
    <mergeCell ref="V219:V219"/>
    <mergeCell ref="W219:W219"/>
    <mergeCell ref="X219:X219"/>
    <mergeCell ref="Y219:Y219"/>
    <mergeCell ref="Z219:Z219"/>
    <mergeCell ref="AA219:AA219"/>
    <mergeCell ref="AB219:AB219"/>
    <mergeCell ref="AC219:AC219"/>
    <mergeCell ref="AD219:AD219"/>
    <mergeCell ref="AE219:AE219"/>
    <mergeCell ref="AF219:AF219"/>
    <mergeCell ref="AG219:AG219"/>
    <mergeCell ref="AH219:AH219"/>
    <mergeCell ref="AI219:AI219"/>
    <mergeCell ref="AJ219:AJ219"/>
    <mergeCell ref="AK219:AK219"/>
    <mergeCell ref="AL219:AL219"/>
    <mergeCell ref="AM219:AM219"/>
    <mergeCell ref="AN219:AN219"/>
    <mergeCell ref="AO219:AO219"/>
    <mergeCell ref="A220:A220"/>
    <mergeCell ref="B220:B220"/>
    <mergeCell ref="C220:C220"/>
    <mergeCell ref="D220:D220"/>
    <mergeCell ref="E220:E220"/>
    <mergeCell ref="F220:F220"/>
    <mergeCell ref="G220:G220"/>
    <mergeCell ref="H220:H220"/>
    <mergeCell ref="I220:I220"/>
    <mergeCell ref="J220:J220"/>
    <mergeCell ref="K220:K220"/>
    <mergeCell ref="L220:L220"/>
    <mergeCell ref="M220:M220"/>
    <mergeCell ref="N220:N220"/>
    <mergeCell ref="O220:O220"/>
    <mergeCell ref="P220:P220"/>
    <mergeCell ref="Q220:Q220"/>
    <mergeCell ref="R220:R220"/>
    <mergeCell ref="S220:S220"/>
    <mergeCell ref="T220:T220"/>
    <mergeCell ref="U220:U220"/>
    <mergeCell ref="V220:V220"/>
    <mergeCell ref="W220:W220"/>
    <mergeCell ref="X220:X220"/>
    <mergeCell ref="Y220:Y220"/>
    <mergeCell ref="Z220:Z220"/>
    <mergeCell ref="AA220:AA220"/>
    <mergeCell ref="AB220:AB220"/>
    <mergeCell ref="AC220:AC220"/>
    <mergeCell ref="AD220:AD220"/>
    <mergeCell ref="AE220:AE220"/>
    <mergeCell ref="AF220:AF220"/>
    <mergeCell ref="AG220:AG220"/>
    <mergeCell ref="AH220:AH220"/>
    <mergeCell ref="AI220:AI220"/>
    <mergeCell ref="AJ220:AJ220"/>
    <mergeCell ref="AK220:AK220"/>
    <mergeCell ref="AL220:AL220"/>
    <mergeCell ref="AM220:AM220"/>
    <mergeCell ref="AN220:AN220"/>
    <mergeCell ref="AO220:AO220"/>
    <mergeCell ref="A221:A221"/>
    <mergeCell ref="B221:B221"/>
    <mergeCell ref="C221:C221"/>
    <mergeCell ref="D221:D221"/>
    <mergeCell ref="E221:E221"/>
    <mergeCell ref="F221:F221"/>
    <mergeCell ref="G221:G221"/>
    <mergeCell ref="H221:H221"/>
    <mergeCell ref="I221:I221"/>
    <mergeCell ref="J221:J221"/>
    <mergeCell ref="K221:K221"/>
    <mergeCell ref="L221:L221"/>
    <mergeCell ref="M221:M221"/>
    <mergeCell ref="N221:N221"/>
    <mergeCell ref="O221:O221"/>
    <mergeCell ref="P221:P221"/>
    <mergeCell ref="Q221:Q221"/>
    <mergeCell ref="R221:R221"/>
    <mergeCell ref="S221:S221"/>
    <mergeCell ref="T221:T221"/>
    <mergeCell ref="U221:U221"/>
    <mergeCell ref="V221:V221"/>
    <mergeCell ref="W221:W221"/>
    <mergeCell ref="X221:X221"/>
    <mergeCell ref="Y221:Y221"/>
    <mergeCell ref="Z221:Z221"/>
    <mergeCell ref="AA221:AA221"/>
    <mergeCell ref="AB221:AB221"/>
    <mergeCell ref="AC221:AC221"/>
    <mergeCell ref="AD221:AD221"/>
    <mergeCell ref="AE221:AE221"/>
    <mergeCell ref="AF221:AF221"/>
    <mergeCell ref="AG221:AG221"/>
    <mergeCell ref="AH221:AH221"/>
    <mergeCell ref="AI221:AI221"/>
    <mergeCell ref="AJ221:AJ221"/>
    <mergeCell ref="AK221:AK221"/>
    <mergeCell ref="AL221:AL221"/>
    <mergeCell ref="AM221:AM221"/>
    <mergeCell ref="AN221:AN221"/>
    <mergeCell ref="AO221:AO221"/>
    <mergeCell ref="A222:A222"/>
    <mergeCell ref="B222:B222"/>
    <mergeCell ref="C222:C222"/>
    <mergeCell ref="D222:D222"/>
    <mergeCell ref="E222:E222"/>
    <mergeCell ref="F222:F222"/>
    <mergeCell ref="G222:G222"/>
    <mergeCell ref="H222:H222"/>
    <mergeCell ref="I222:I222"/>
    <mergeCell ref="J222:J222"/>
    <mergeCell ref="K222:K222"/>
    <mergeCell ref="L222:L222"/>
    <mergeCell ref="M222:M222"/>
    <mergeCell ref="N222:N222"/>
    <mergeCell ref="O222:O222"/>
    <mergeCell ref="P222:P222"/>
    <mergeCell ref="Q222:Q222"/>
    <mergeCell ref="R222:R222"/>
    <mergeCell ref="S222:S222"/>
    <mergeCell ref="T222:T222"/>
    <mergeCell ref="U222:U222"/>
    <mergeCell ref="V222:V222"/>
    <mergeCell ref="W222:W222"/>
    <mergeCell ref="X222:X222"/>
    <mergeCell ref="Y222:Y222"/>
    <mergeCell ref="Z222:Z222"/>
    <mergeCell ref="AA222:AA222"/>
    <mergeCell ref="AB222:AB222"/>
    <mergeCell ref="AC222:AC222"/>
    <mergeCell ref="AD222:AD222"/>
    <mergeCell ref="AE222:AE222"/>
    <mergeCell ref="AF222:AF222"/>
    <mergeCell ref="AG222:AG222"/>
    <mergeCell ref="AH222:AH222"/>
    <mergeCell ref="AI222:AI222"/>
    <mergeCell ref="AJ222:AJ222"/>
    <mergeCell ref="AK222:AK222"/>
    <mergeCell ref="AL222:AL222"/>
    <mergeCell ref="AM222:AM222"/>
    <mergeCell ref="AN222:AN222"/>
    <mergeCell ref="AO222:AO222"/>
    <mergeCell ref="A223:A223"/>
    <mergeCell ref="B223:B223"/>
    <mergeCell ref="C223:C223"/>
    <mergeCell ref="D223:D223"/>
    <mergeCell ref="E223:E223"/>
    <mergeCell ref="F223:F223"/>
    <mergeCell ref="G223:G223"/>
    <mergeCell ref="H223:H223"/>
    <mergeCell ref="I223:I223"/>
    <mergeCell ref="J223:J223"/>
    <mergeCell ref="K223:K223"/>
    <mergeCell ref="L223:L223"/>
    <mergeCell ref="M223:M223"/>
    <mergeCell ref="N223:N223"/>
    <mergeCell ref="O223:O223"/>
    <mergeCell ref="P223:P223"/>
    <mergeCell ref="Q223:Q223"/>
    <mergeCell ref="R223:R223"/>
    <mergeCell ref="S223:S223"/>
    <mergeCell ref="T223:T223"/>
    <mergeCell ref="U223:U223"/>
    <mergeCell ref="V223:V223"/>
    <mergeCell ref="W223:W223"/>
    <mergeCell ref="X223:X223"/>
    <mergeCell ref="Y223:Y223"/>
    <mergeCell ref="Z223:Z223"/>
    <mergeCell ref="AA223:AA223"/>
    <mergeCell ref="AB223:AB223"/>
    <mergeCell ref="AC223:AC223"/>
    <mergeCell ref="AD223:AD223"/>
    <mergeCell ref="AE223:AE223"/>
    <mergeCell ref="AF223:AF223"/>
    <mergeCell ref="AG223:AG223"/>
    <mergeCell ref="AH223:AH223"/>
    <mergeCell ref="AI223:AI223"/>
    <mergeCell ref="AJ223:AJ223"/>
    <mergeCell ref="AK223:AK223"/>
    <mergeCell ref="AL223:AL223"/>
    <mergeCell ref="AM223:AM223"/>
    <mergeCell ref="AN223:AN223"/>
    <mergeCell ref="AO223:AO223"/>
    <mergeCell ref="A224:A224"/>
    <mergeCell ref="B224:B224"/>
    <mergeCell ref="C224:C224"/>
    <mergeCell ref="D224:D224"/>
    <mergeCell ref="E224:E224"/>
    <mergeCell ref="F224:F224"/>
    <mergeCell ref="G224:G224"/>
    <mergeCell ref="H224:H224"/>
    <mergeCell ref="I224:I224"/>
    <mergeCell ref="J224:J224"/>
    <mergeCell ref="K224:K224"/>
    <mergeCell ref="L224:L224"/>
    <mergeCell ref="M224:M224"/>
    <mergeCell ref="N224:N224"/>
    <mergeCell ref="O224:O224"/>
    <mergeCell ref="P224:P224"/>
    <mergeCell ref="Q224:Q224"/>
    <mergeCell ref="R224:R224"/>
    <mergeCell ref="S224:S224"/>
    <mergeCell ref="T224:T224"/>
    <mergeCell ref="U224:U224"/>
    <mergeCell ref="V224:V224"/>
    <mergeCell ref="W224:W224"/>
    <mergeCell ref="X224:X224"/>
    <mergeCell ref="Y224:Y224"/>
    <mergeCell ref="Z224:Z224"/>
    <mergeCell ref="AA224:AA224"/>
    <mergeCell ref="AB224:AB224"/>
    <mergeCell ref="AC224:AC224"/>
    <mergeCell ref="AD224:AD224"/>
    <mergeCell ref="AE224:AE224"/>
    <mergeCell ref="AF224:AF224"/>
    <mergeCell ref="AG224:AG224"/>
    <mergeCell ref="AH224:AH224"/>
    <mergeCell ref="AI224:AI224"/>
    <mergeCell ref="AJ224:AJ224"/>
    <mergeCell ref="AK224:AK224"/>
    <mergeCell ref="AL224:AL224"/>
    <mergeCell ref="AM224:AM224"/>
    <mergeCell ref="AN224:AN224"/>
    <mergeCell ref="AO224:AO224"/>
    <mergeCell ref="A225:A225"/>
    <mergeCell ref="B225:B225"/>
    <mergeCell ref="C225:C225"/>
    <mergeCell ref="D225:D225"/>
    <mergeCell ref="E225:E225"/>
    <mergeCell ref="F225:F225"/>
    <mergeCell ref="G225:G225"/>
    <mergeCell ref="H225:H225"/>
    <mergeCell ref="I225:I225"/>
    <mergeCell ref="J225:J225"/>
    <mergeCell ref="K225:K225"/>
    <mergeCell ref="L225:L225"/>
    <mergeCell ref="M225:M225"/>
    <mergeCell ref="N225:N225"/>
    <mergeCell ref="O225:O225"/>
    <mergeCell ref="P225:P225"/>
    <mergeCell ref="Q225:Q225"/>
    <mergeCell ref="R225:R225"/>
    <mergeCell ref="S225:S225"/>
    <mergeCell ref="T225:T225"/>
    <mergeCell ref="U225:U225"/>
    <mergeCell ref="V225:V225"/>
    <mergeCell ref="W225:W225"/>
    <mergeCell ref="X225:X225"/>
    <mergeCell ref="Y225:Y225"/>
    <mergeCell ref="Z225:Z225"/>
    <mergeCell ref="AA225:AA225"/>
    <mergeCell ref="AB225:AB225"/>
    <mergeCell ref="AC225:AC225"/>
    <mergeCell ref="AD225:AD225"/>
    <mergeCell ref="AE225:AE225"/>
    <mergeCell ref="AF225:AF225"/>
    <mergeCell ref="AG225:AG225"/>
    <mergeCell ref="AH225:AH225"/>
    <mergeCell ref="AI225:AI225"/>
    <mergeCell ref="AJ225:AJ225"/>
    <mergeCell ref="AK225:AK225"/>
    <mergeCell ref="AL225:AL225"/>
    <mergeCell ref="AM225:AM225"/>
    <mergeCell ref="AN225:AN225"/>
    <mergeCell ref="AO225:AO225"/>
    <mergeCell ref="A226:A226"/>
    <mergeCell ref="B226:B226"/>
    <mergeCell ref="C226:C226"/>
    <mergeCell ref="D226:D226"/>
    <mergeCell ref="E226:E226"/>
    <mergeCell ref="F226:F226"/>
    <mergeCell ref="G226:G226"/>
    <mergeCell ref="H226:H226"/>
    <mergeCell ref="I226:I226"/>
    <mergeCell ref="J226:J226"/>
    <mergeCell ref="K226:K226"/>
    <mergeCell ref="L226:L226"/>
    <mergeCell ref="M226:M226"/>
    <mergeCell ref="N226:N226"/>
    <mergeCell ref="O226:O226"/>
    <mergeCell ref="P226:P226"/>
    <mergeCell ref="Q226:Q226"/>
    <mergeCell ref="R226:R226"/>
    <mergeCell ref="S226:S226"/>
    <mergeCell ref="T226:T226"/>
    <mergeCell ref="U226:U226"/>
    <mergeCell ref="V226:V226"/>
    <mergeCell ref="W226:W226"/>
    <mergeCell ref="X226:X226"/>
    <mergeCell ref="Y226:Y226"/>
    <mergeCell ref="Z226:Z226"/>
    <mergeCell ref="AA226:AA226"/>
    <mergeCell ref="AB226:AB226"/>
    <mergeCell ref="AC226:AC226"/>
    <mergeCell ref="AD226:AD226"/>
    <mergeCell ref="AE226:AE226"/>
    <mergeCell ref="AF226:AF226"/>
    <mergeCell ref="AG226:AG226"/>
    <mergeCell ref="AH226:AH226"/>
    <mergeCell ref="AI226:AI226"/>
    <mergeCell ref="AJ226:AJ226"/>
    <mergeCell ref="AK226:AK226"/>
    <mergeCell ref="AL226:AL226"/>
    <mergeCell ref="AM226:AM226"/>
    <mergeCell ref="AN226:AN226"/>
    <mergeCell ref="AO226:AO226"/>
    <mergeCell ref="A227:A227"/>
    <mergeCell ref="B227:B227"/>
    <mergeCell ref="C227:C227"/>
    <mergeCell ref="D227:D227"/>
    <mergeCell ref="E227:E227"/>
    <mergeCell ref="F227:F227"/>
    <mergeCell ref="G227:G227"/>
    <mergeCell ref="H227:H227"/>
    <mergeCell ref="I227:I227"/>
    <mergeCell ref="J227:J227"/>
    <mergeCell ref="K227:K227"/>
    <mergeCell ref="L227:L227"/>
    <mergeCell ref="M227:M227"/>
    <mergeCell ref="N227:N227"/>
    <mergeCell ref="O227:O227"/>
    <mergeCell ref="P227:P227"/>
    <mergeCell ref="Q227:Q227"/>
    <mergeCell ref="R227:R227"/>
    <mergeCell ref="S227:S227"/>
    <mergeCell ref="T227:T227"/>
    <mergeCell ref="U227:U227"/>
    <mergeCell ref="V227:V227"/>
    <mergeCell ref="W227:W227"/>
    <mergeCell ref="X227:X227"/>
    <mergeCell ref="Y227:Y227"/>
    <mergeCell ref="Z227:Z227"/>
    <mergeCell ref="AA227:AA227"/>
    <mergeCell ref="AB227:AB227"/>
    <mergeCell ref="AC227:AC227"/>
    <mergeCell ref="AD227:AD227"/>
    <mergeCell ref="AE227:AE227"/>
    <mergeCell ref="AF227:AF227"/>
    <mergeCell ref="AG227:AG227"/>
    <mergeCell ref="AH227:AH227"/>
    <mergeCell ref="AI227:AI227"/>
    <mergeCell ref="AJ227:AJ227"/>
    <mergeCell ref="AK227:AK227"/>
    <mergeCell ref="AL227:AL227"/>
    <mergeCell ref="AM227:AM227"/>
    <mergeCell ref="AN227:AN227"/>
    <mergeCell ref="AO227:AO227"/>
    <mergeCell ref="A228:A228"/>
    <mergeCell ref="B228:B228"/>
    <mergeCell ref="C228:C228"/>
    <mergeCell ref="D228:D228"/>
    <mergeCell ref="E228:E228"/>
    <mergeCell ref="F228:F228"/>
    <mergeCell ref="G228:G228"/>
    <mergeCell ref="H228:H228"/>
    <mergeCell ref="I228:I228"/>
    <mergeCell ref="J228:J228"/>
    <mergeCell ref="K228:K228"/>
    <mergeCell ref="L228:L228"/>
    <mergeCell ref="M228:M228"/>
    <mergeCell ref="N228:N228"/>
    <mergeCell ref="O228:O228"/>
    <mergeCell ref="P228:P228"/>
    <mergeCell ref="Q228:Q228"/>
    <mergeCell ref="R228:R228"/>
    <mergeCell ref="S228:S228"/>
    <mergeCell ref="T228:T228"/>
    <mergeCell ref="U228:U228"/>
    <mergeCell ref="V228:V228"/>
    <mergeCell ref="W228:W228"/>
    <mergeCell ref="X228:X228"/>
    <mergeCell ref="Y228:Y228"/>
    <mergeCell ref="Z228:Z228"/>
    <mergeCell ref="AA228:AA228"/>
    <mergeCell ref="AB228:AB228"/>
    <mergeCell ref="AC228:AC228"/>
    <mergeCell ref="AD228:AD228"/>
    <mergeCell ref="AE228:AE228"/>
    <mergeCell ref="AF228:AF228"/>
    <mergeCell ref="AG228:AG228"/>
    <mergeCell ref="AH228:AH228"/>
    <mergeCell ref="AI228:AI228"/>
    <mergeCell ref="AJ228:AJ228"/>
    <mergeCell ref="AK228:AK228"/>
    <mergeCell ref="AL228:AL228"/>
    <mergeCell ref="AM228:AM228"/>
    <mergeCell ref="AN228:AN228"/>
    <mergeCell ref="AO228:AO228"/>
    <mergeCell ref="A229:A229"/>
    <mergeCell ref="B229:B229"/>
    <mergeCell ref="C229:C229"/>
    <mergeCell ref="D229:D229"/>
    <mergeCell ref="E229:E229"/>
    <mergeCell ref="F229:F229"/>
    <mergeCell ref="G229:G229"/>
    <mergeCell ref="H229:H229"/>
    <mergeCell ref="I229:I229"/>
    <mergeCell ref="J229:J229"/>
    <mergeCell ref="K229:K229"/>
    <mergeCell ref="L229:L229"/>
    <mergeCell ref="M229:M229"/>
    <mergeCell ref="N229:N229"/>
    <mergeCell ref="O229:O229"/>
    <mergeCell ref="P229:P229"/>
    <mergeCell ref="Q229:Q229"/>
    <mergeCell ref="R229:R229"/>
    <mergeCell ref="S229:S229"/>
    <mergeCell ref="T229:T229"/>
    <mergeCell ref="U229:U229"/>
    <mergeCell ref="V229:V229"/>
    <mergeCell ref="W229:W229"/>
    <mergeCell ref="X229:X229"/>
    <mergeCell ref="Y229:Y229"/>
    <mergeCell ref="Z229:Z229"/>
    <mergeCell ref="AA229:AA229"/>
    <mergeCell ref="AB229:AB229"/>
    <mergeCell ref="AC229:AC229"/>
    <mergeCell ref="AD229:AD229"/>
    <mergeCell ref="AE229:AE229"/>
    <mergeCell ref="AF229:AF229"/>
    <mergeCell ref="AG229:AG229"/>
    <mergeCell ref="AH229:AH229"/>
    <mergeCell ref="AI229:AI229"/>
    <mergeCell ref="AJ229:AJ229"/>
    <mergeCell ref="AK229:AK229"/>
    <mergeCell ref="AL229:AL229"/>
    <mergeCell ref="AM229:AM229"/>
    <mergeCell ref="AN229:AN229"/>
    <mergeCell ref="AO229:AO229"/>
    <mergeCell ref="A230:A230"/>
    <mergeCell ref="B230:B230"/>
    <mergeCell ref="C230:C230"/>
    <mergeCell ref="D230:D230"/>
    <mergeCell ref="E230:E230"/>
    <mergeCell ref="F230:F230"/>
    <mergeCell ref="G230:G230"/>
    <mergeCell ref="H230:H230"/>
    <mergeCell ref="I230:I230"/>
    <mergeCell ref="J230:J230"/>
    <mergeCell ref="K230:K230"/>
    <mergeCell ref="L230:L230"/>
    <mergeCell ref="M230:M230"/>
    <mergeCell ref="N230:N230"/>
    <mergeCell ref="O230:O230"/>
    <mergeCell ref="P230:P230"/>
    <mergeCell ref="Q230:Q230"/>
    <mergeCell ref="R230:R230"/>
    <mergeCell ref="S230:S230"/>
    <mergeCell ref="T230:T230"/>
    <mergeCell ref="U230:U230"/>
    <mergeCell ref="V230:V230"/>
    <mergeCell ref="W230:W230"/>
    <mergeCell ref="X230:X230"/>
    <mergeCell ref="Y230:Y230"/>
    <mergeCell ref="Z230:Z230"/>
    <mergeCell ref="AA230:AA230"/>
    <mergeCell ref="AB230:AB230"/>
    <mergeCell ref="AC230:AC230"/>
    <mergeCell ref="AD230:AD230"/>
    <mergeCell ref="AE230:AE230"/>
    <mergeCell ref="AF230:AF230"/>
    <mergeCell ref="AG230:AG230"/>
    <mergeCell ref="AH230:AH230"/>
    <mergeCell ref="AI230:AI230"/>
    <mergeCell ref="AJ230:AJ230"/>
    <mergeCell ref="AK230:AK230"/>
    <mergeCell ref="AL230:AL230"/>
    <mergeCell ref="AM230:AM230"/>
    <mergeCell ref="AN230:AN230"/>
    <mergeCell ref="AO230:AO230"/>
    <mergeCell ref="A231:A231"/>
    <mergeCell ref="B231:B231"/>
    <mergeCell ref="C231:C231"/>
    <mergeCell ref="D231:D231"/>
    <mergeCell ref="E231:E231"/>
    <mergeCell ref="F231:F231"/>
    <mergeCell ref="G231:G231"/>
    <mergeCell ref="H231:H231"/>
    <mergeCell ref="I231:I231"/>
    <mergeCell ref="J231:J231"/>
    <mergeCell ref="K231:K231"/>
    <mergeCell ref="L231:L231"/>
    <mergeCell ref="M231:M231"/>
    <mergeCell ref="N231:N231"/>
    <mergeCell ref="O231:O231"/>
    <mergeCell ref="P231:P231"/>
    <mergeCell ref="Q231:Q231"/>
    <mergeCell ref="R231:R231"/>
    <mergeCell ref="S231:S231"/>
    <mergeCell ref="T231:T231"/>
    <mergeCell ref="U231:U231"/>
    <mergeCell ref="V231:V231"/>
    <mergeCell ref="W231:W231"/>
    <mergeCell ref="X231:X231"/>
    <mergeCell ref="Y231:Y231"/>
    <mergeCell ref="Z231:Z231"/>
    <mergeCell ref="AA231:AA231"/>
    <mergeCell ref="AB231:AB231"/>
    <mergeCell ref="AC231:AC231"/>
    <mergeCell ref="AD231:AD231"/>
    <mergeCell ref="AE231:AE231"/>
    <mergeCell ref="AF231:AF231"/>
    <mergeCell ref="AG231:AG231"/>
    <mergeCell ref="AH231:AH231"/>
    <mergeCell ref="AI231:AI231"/>
    <mergeCell ref="AJ231:AJ231"/>
    <mergeCell ref="AK231:AK231"/>
    <mergeCell ref="AL231:AL231"/>
    <mergeCell ref="AM231:AM231"/>
    <mergeCell ref="AN231:AN231"/>
    <mergeCell ref="AO231:AO231"/>
    <mergeCell ref="A232:A232"/>
    <mergeCell ref="B232:B232"/>
    <mergeCell ref="C232:C232"/>
    <mergeCell ref="D232:D232"/>
    <mergeCell ref="E232:E232"/>
    <mergeCell ref="F232:F232"/>
    <mergeCell ref="G232:G232"/>
    <mergeCell ref="H232:H232"/>
    <mergeCell ref="I232:I232"/>
    <mergeCell ref="J232:J232"/>
    <mergeCell ref="K232:K232"/>
    <mergeCell ref="L232:L232"/>
    <mergeCell ref="M232:M232"/>
    <mergeCell ref="N232:N232"/>
    <mergeCell ref="O232:O232"/>
    <mergeCell ref="P232:P232"/>
    <mergeCell ref="Q232:Q232"/>
    <mergeCell ref="R232:R232"/>
    <mergeCell ref="S232:S232"/>
    <mergeCell ref="T232:T232"/>
    <mergeCell ref="U232:U232"/>
    <mergeCell ref="V232:V232"/>
    <mergeCell ref="W232:W232"/>
    <mergeCell ref="X232:X232"/>
    <mergeCell ref="Y232:Y232"/>
    <mergeCell ref="Z232:Z232"/>
    <mergeCell ref="AA232:AA232"/>
    <mergeCell ref="AB232:AB232"/>
    <mergeCell ref="AC232:AC232"/>
    <mergeCell ref="AD232:AD232"/>
    <mergeCell ref="AE232:AE232"/>
    <mergeCell ref="AF232:AF232"/>
    <mergeCell ref="AG232:AG232"/>
    <mergeCell ref="AH232:AH232"/>
    <mergeCell ref="AI232:AI232"/>
    <mergeCell ref="AJ232:AJ232"/>
    <mergeCell ref="AK232:AK232"/>
    <mergeCell ref="AL232:AL232"/>
    <mergeCell ref="AM232:AM232"/>
    <mergeCell ref="AN232:AN232"/>
    <mergeCell ref="AO232:AO232"/>
    <mergeCell ref="A233:A233"/>
    <mergeCell ref="B233:B233"/>
    <mergeCell ref="C233:C233"/>
    <mergeCell ref="D233:D233"/>
    <mergeCell ref="E233:E233"/>
    <mergeCell ref="F233:F233"/>
    <mergeCell ref="G233:G233"/>
    <mergeCell ref="H233:H233"/>
    <mergeCell ref="I233:I233"/>
    <mergeCell ref="J233:J233"/>
    <mergeCell ref="K233:K233"/>
    <mergeCell ref="L233:L233"/>
    <mergeCell ref="M233:M233"/>
    <mergeCell ref="N233:N233"/>
    <mergeCell ref="O233:O233"/>
    <mergeCell ref="P233:P233"/>
    <mergeCell ref="Q233:Q233"/>
    <mergeCell ref="R233:R233"/>
    <mergeCell ref="S233:S233"/>
    <mergeCell ref="T233:T233"/>
    <mergeCell ref="U233:U233"/>
    <mergeCell ref="V233:V233"/>
    <mergeCell ref="W233:W233"/>
    <mergeCell ref="X233:X233"/>
    <mergeCell ref="Y233:Y233"/>
    <mergeCell ref="Z233:Z233"/>
    <mergeCell ref="AA233:AA233"/>
    <mergeCell ref="AB233:AB233"/>
    <mergeCell ref="AC233:AC233"/>
    <mergeCell ref="AD233:AD233"/>
    <mergeCell ref="AE233:AE233"/>
    <mergeCell ref="AF233:AF233"/>
    <mergeCell ref="AG233:AG233"/>
    <mergeCell ref="AH233:AH233"/>
    <mergeCell ref="AI233:AI233"/>
    <mergeCell ref="AJ233:AJ233"/>
    <mergeCell ref="AK233:AK233"/>
    <mergeCell ref="AL233:AL233"/>
    <mergeCell ref="AM233:AM233"/>
    <mergeCell ref="AN233:AN233"/>
    <mergeCell ref="AO233:AO233"/>
    <mergeCell ref="A234:A234"/>
    <mergeCell ref="B234:B234"/>
    <mergeCell ref="C234:C234"/>
    <mergeCell ref="D234:D234"/>
    <mergeCell ref="E234:E234"/>
    <mergeCell ref="F234:F234"/>
    <mergeCell ref="G234:G234"/>
    <mergeCell ref="H234:H234"/>
    <mergeCell ref="I234:I234"/>
    <mergeCell ref="J234:J234"/>
    <mergeCell ref="K234:K234"/>
    <mergeCell ref="L234:L234"/>
    <mergeCell ref="M234:M234"/>
    <mergeCell ref="N234:N234"/>
    <mergeCell ref="O234:O234"/>
    <mergeCell ref="P234:P234"/>
    <mergeCell ref="Q234:Q234"/>
    <mergeCell ref="R234:R234"/>
    <mergeCell ref="S234:S234"/>
    <mergeCell ref="T234:T234"/>
    <mergeCell ref="U234:U234"/>
    <mergeCell ref="V234:V234"/>
    <mergeCell ref="W234:W234"/>
    <mergeCell ref="X234:X234"/>
    <mergeCell ref="Y234:Y234"/>
    <mergeCell ref="Z234:Z234"/>
    <mergeCell ref="AA234:AA234"/>
    <mergeCell ref="AB234:AB234"/>
    <mergeCell ref="AC234:AC234"/>
    <mergeCell ref="AD234:AD234"/>
    <mergeCell ref="AE234:AE234"/>
    <mergeCell ref="AF234:AF234"/>
    <mergeCell ref="AG234:AG234"/>
    <mergeCell ref="AH234:AH234"/>
    <mergeCell ref="AI234:AI234"/>
    <mergeCell ref="AJ234:AJ234"/>
    <mergeCell ref="AK234:AK234"/>
    <mergeCell ref="AL234:AL234"/>
    <mergeCell ref="AM234:AM234"/>
    <mergeCell ref="AN234:AN234"/>
    <mergeCell ref="AO234:AO234"/>
    <mergeCell ref="A235:A235"/>
    <mergeCell ref="B235:B235"/>
    <mergeCell ref="C235:C235"/>
    <mergeCell ref="D235:D235"/>
    <mergeCell ref="E235:E235"/>
    <mergeCell ref="F235:F235"/>
    <mergeCell ref="G235:G235"/>
    <mergeCell ref="H235:H235"/>
    <mergeCell ref="I235:I235"/>
    <mergeCell ref="J235:J235"/>
    <mergeCell ref="K235:K235"/>
    <mergeCell ref="L235:L235"/>
    <mergeCell ref="M235:M235"/>
    <mergeCell ref="N235:N235"/>
    <mergeCell ref="O235:O235"/>
    <mergeCell ref="P235:P235"/>
    <mergeCell ref="Q235:Q235"/>
    <mergeCell ref="R235:R235"/>
    <mergeCell ref="S235:S235"/>
    <mergeCell ref="T235:T235"/>
    <mergeCell ref="U235:U235"/>
    <mergeCell ref="V235:V235"/>
    <mergeCell ref="W235:W235"/>
    <mergeCell ref="X235:X235"/>
    <mergeCell ref="Y235:Y235"/>
    <mergeCell ref="Z235:Z235"/>
    <mergeCell ref="AA235:AA235"/>
    <mergeCell ref="AB235:AB235"/>
    <mergeCell ref="AC235:AC235"/>
    <mergeCell ref="AD235:AD235"/>
    <mergeCell ref="AE235:AE235"/>
    <mergeCell ref="AF235:AF235"/>
    <mergeCell ref="AG235:AG235"/>
    <mergeCell ref="AH235:AH235"/>
    <mergeCell ref="AI235:AI235"/>
    <mergeCell ref="AJ235:AJ235"/>
    <mergeCell ref="AK235:AK235"/>
    <mergeCell ref="AL235:AL235"/>
    <mergeCell ref="AM235:AM235"/>
    <mergeCell ref="AN235:AN235"/>
    <mergeCell ref="AO235:AO235"/>
    <mergeCell ref="A236:A236"/>
    <mergeCell ref="B236:B236"/>
    <mergeCell ref="C236:C236"/>
    <mergeCell ref="D236:D236"/>
    <mergeCell ref="E236:E236"/>
    <mergeCell ref="F236:F236"/>
    <mergeCell ref="G236:G236"/>
    <mergeCell ref="H236:H236"/>
    <mergeCell ref="I236:I236"/>
    <mergeCell ref="J236:J236"/>
    <mergeCell ref="K236:K236"/>
    <mergeCell ref="L236:L236"/>
    <mergeCell ref="M236:M236"/>
    <mergeCell ref="N236:N236"/>
    <mergeCell ref="O236:O236"/>
    <mergeCell ref="P236:P236"/>
    <mergeCell ref="Q236:Q236"/>
    <mergeCell ref="R236:R236"/>
    <mergeCell ref="S236:S236"/>
    <mergeCell ref="T236:T236"/>
    <mergeCell ref="U236:U236"/>
    <mergeCell ref="V236:V236"/>
    <mergeCell ref="W236:W236"/>
    <mergeCell ref="X236:X236"/>
    <mergeCell ref="Y236:Y236"/>
    <mergeCell ref="Z236:Z236"/>
    <mergeCell ref="AA236:AA236"/>
    <mergeCell ref="AB236:AB236"/>
    <mergeCell ref="AC236:AC236"/>
    <mergeCell ref="AD236:AD236"/>
    <mergeCell ref="AE236:AE236"/>
    <mergeCell ref="AF236:AF236"/>
    <mergeCell ref="AG236:AG236"/>
    <mergeCell ref="AH236:AH236"/>
    <mergeCell ref="AI236:AI236"/>
    <mergeCell ref="AJ236:AJ236"/>
    <mergeCell ref="AK236:AK236"/>
    <mergeCell ref="AL236:AL236"/>
    <mergeCell ref="AM236:AM236"/>
    <mergeCell ref="AN236:AN236"/>
    <mergeCell ref="AO236:AO236"/>
    <mergeCell ref="A237:A237"/>
    <mergeCell ref="B237:B237"/>
    <mergeCell ref="C237:C237"/>
    <mergeCell ref="D237:D237"/>
    <mergeCell ref="E237:E237"/>
    <mergeCell ref="F237:F237"/>
    <mergeCell ref="G237:G237"/>
    <mergeCell ref="H237:H237"/>
    <mergeCell ref="I237:I237"/>
    <mergeCell ref="J237:J237"/>
    <mergeCell ref="K237:K237"/>
    <mergeCell ref="L237:L237"/>
    <mergeCell ref="M237:M237"/>
    <mergeCell ref="N237:N237"/>
    <mergeCell ref="O237:O237"/>
    <mergeCell ref="P237:P237"/>
    <mergeCell ref="Q237:Q237"/>
    <mergeCell ref="R237:R237"/>
    <mergeCell ref="S237:S237"/>
    <mergeCell ref="T237:T237"/>
    <mergeCell ref="U237:U237"/>
    <mergeCell ref="V237:V237"/>
    <mergeCell ref="W237:W237"/>
    <mergeCell ref="X237:X237"/>
    <mergeCell ref="Y237:Y237"/>
    <mergeCell ref="Z237:Z237"/>
    <mergeCell ref="AA237:AA237"/>
    <mergeCell ref="AB237:AB237"/>
    <mergeCell ref="AC237:AC237"/>
    <mergeCell ref="AD237:AD237"/>
    <mergeCell ref="AE237:AE237"/>
    <mergeCell ref="AF237:AF237"/>
    <mergeCell ref="AG237:AG237"/>
    <mergeCell ref="AH237:AH237"/>
    <mergeCell ref="AI237:AI237"/>
    <mergeCell ref="AJ237:AJ237"/>
    <mergeCell ref="AK237:AK237"/>
    <mergeCell ref="AL237:AL237"/>
    <mergeCell ref="AM237:AM237"/>
    <mergeCell ref="AN237:AN237"/>
    <mergeCell ref="AO237:AO237"/>
    <mergeCell ref="A238:A238"/>
    <mergeCell ref="B238:B238"/>
    <mergeCell ref="C238:C238"/>
    <mergeCell ref="D238:D238"/>
    <mergeCell ref="E238:E238"/>
    <mergeCell ref="F238:F238"/>
    <mergeCell ref="G238:G238"/>
    <mergeCell ref="H238:H238"/>
    <mergeCell ref="I238:I238"/>
    <mergeCell ref="J238:J238"/>
    <mergeCell ref="K238:K238"/>
    <mergeCell ref="L238:L238"/>
    <mergeCell ref="M238:M238"/>
    <mergeCell ref="N238:N238"/>
    <mergeCell ref="O238:O238"/>
    <mergeCell ref="P238:P238"/>
    <mergeCell ref="Q238:Q238"/>
    <mergeCell ref="R238:R238"/>
    <mergeCell ref="S238:S238"/>
    <mergeCell ref="T238:T238"/>
    <mergeCell ref="U238:U238"/>
    <mergeCell ref="V238:V238"/>
    <mergeCell ref="W238:W238"/>
    <mergeCell ref="X238:X238"/>
    <mergeCell ref="Y238:Y238"/>
    <mergeCell ref="Z238:Z238"/>
    <mergeCell ref="AA238:AA238"/>
    <mergeCell ref="AB238:AB238"/>
    <mergeCell ref="AC238:AC238"/>
    <mergeCell ref="AD238:AD238"/>
    <mergeCell ref="AE238:AE238"/>
    <mergeCell ref="AF238:AF238"/>
    <mergeCell ref="AG238:AG238"/>
    <mergeCell ref="AH238:AH238"/>
    <mergeCell ref="AI238:AI238"/>
    <mergeCell ref="AJ238:AJ238"/>
    <mergeCell ref="AK238:AK238"/>
    <mergeCell ref="AL238:AL238"/>
    <mergeCell ref="AM238:AM238"/>
    <mergeCell ref="AN238:AN238"/>
    <mergeCell ref="AO238:AO238"/>
    <mergeCell ref="A239:A239"/>
    <mergeCell ref="B239:B239"/>
    <mergeCell ref="C239:C239"/>
    <mergeCell ref="D239:D239"/>
    <mergeCell ref="E239:E239"/>
    <mergeCell ref="F239:F239"/>
    <mergeCell ref="G239:G239"/>
    <mergeCell ref="H239:H239"/>
    <mergeCell ref="I239:I239"/>
    <mergeCell ref="J239:J239"/>
    <mergeCell ref="K239:K239"/>
    <mergeCell ref="L239:L239"/>
    <mergeCell ref="M239:M239"/>
    <mergeCell ref="N239:N239"/>
    <mergeCell ref="O239:O239"/>
    <mergeCell ref="P239:P239"/>
    <mergeCell ref="Q239:Q239"/>
    <mergeCell ref="R239:R239"/>
    <mergeCell ref="S239:S239"/>
    <mergeCell ref="T239:T239"/>
    <mergeCell ref="U239:U239"/>
    <mergeCell ref="V239:V239"/>
    <mergeCell ref="W239:W239"/>
    <mergeCell ref="X239:X239"/>
    <mergeCell ref="Y239:Y239"/>
    <mergeCell ref="Z239:Z239"/>
    <mergeCell ref="AA239:AA239"/>
    <mergeCell ref="AB239:AB239"/>
    <mergeCell ref="AC239:AC239"/>
    <mergeCell ref="AD239:AD239"/>
    <mergeCell ref="AE239:AE239"/>
    <mergeCell ref="AF239:AF239"/>
    <mergeCell ref="AG239:AG239"/>
    <mergeCell ref="AH239:AH239"/>
    <mergeCell ref="AI239:AI239"/>
    <mergeCell ref="AJ239:AJ239"/>
    <mergeCell ref="AK239:AK239"/>
    <mergeCell ref="AL239:AL239"/>
    <mergeCell ref="AM239:AM239"/>
    <mergeCell ref="AN239:AN239"/>
    <mergeCell ref="AO239:AO239"/>
    <mergeCell ref="A240:A240"/>
    <mergeCell ref="B240:B240"/>
    <mergeCell ref="C240:C240"/>
    <mergeCell ref="D240:D240"/>
    <mergeCell ref="E240:E240"/>
    <mergeCell ref="F240:F240"/>
    <mergeCell ref="G240:G240"/>
    <mergeCell ref="H240:H240"/>
    <mergeCell ref="I240:I240"/>
    <mergeCell ref="J240:J240"/>
    <mergeCell ref="K240:K240"/>
    <mergeCell ref="L240:L240"/>
    <mergeCell ref="M240:M240"/>
    <mergeCell ref="N240:N240"/>
    <mergeCell ref="O240:O240"/>
    <mergeCell ref="P240:P240"/>
    <mergeCell ref="Q240:Q240"/>
    <mergeCell ref="R240:R240"/>
    <mergeCell ref="S240:S240"/>
    <mergeCell ref="T240:T240"/>
    <mergeCell ref="U240:U240"/>
    <mergeCell ref="V240:V240"/>
    <mergeCell ref="W240:W240"/>
    <mergeCell ref="X240:X240"/>
    <mergeCell ref="Y240:Y240"/>
    <mergeCell ref="Z240:Z240"/>
    <mergeCell ref="AA240:AA240"/>
    <mergeCell ref="AB240:AB240"/>
    <mergeCell ref="AC240:AC240"/>
    <mergeCell ref="AD240:AD240"/>
    <mergeCell ref="AE240:AE240"/>
    <mergeCell ref="AF240:AF240"/>
    <mergeCell ref="AG240:AG240"/>
    <mergeCell ref="AH240:AH240"/>
    <mergeCell ref="AI240:AI240"/>
    <mergeCell ref="AJ240:AJ240"/>
    <mergeCell ref="AK240:AK240"/>
    <mergeCell ref="AL240:AL240"/>
    <mergeCell ref="AM240:AM240"/>
    <mergeCell ref="AN240:AN240"/>
    <mergeCell ref="AO240:AO240"/>
    <mergeCell ref="A241:A241"/>
    <mergeCell ref="B241:B241"/>
    <mergeCell ref="C241:C241"/>
    <mergeCell ref="D241:D241"/>
    <mergeCell ref="E241:E241"/>
    <mergeCell ref="F241:F241"/>
    <mergeCell ref="G241:G241"/>
    <mergeCell ref="H241:H241"/>
    <mergeCell ref="I241:I241"/>
    <mergeCell ref="J241:J241"/>
    <mergeCell ref="K241:K241"/>
    <mergeCell ref="L241:L241"/>
    <mergeCell ref="M241:M241"/>
    <mergeCell ref="N241:N241"/>
    <mergeCell ref="O241:O241"/>
    <mergeCell ref="P241:P241"/>
    <mergeCell ref="Q241:Q241"/>
    <mergeCell ref="R241:R241"/>
    <mergeCell ref="S241:S241"/>
    <mergeCell ref="T241:T241"/>
    <mergeCell ref="U241:U241"/>
    <mergeCell ref="V241:V241"/>
    <mergeCell ref="W241:W241"/>
    <mergeCell ref="X241:X241"/>
    <mergeCell ref="Y241:Y241"/>
    <mergeCell ref="Z241:Z241"/>
    <mergeCell ref="AA241:AA241"/>
    <mergeCell ref="AB241:AB241"/>
    <mergeCell ref="AC241:AC241"/>
    <mergeCell ref="AD241:AD241"/>
    <mergeCell ref="AE241:AE241"/>
    <mergeCell ref="AF241:AF241"/>
    <mergeCell ref="AG241:AG241"/>
    <mergeCell ref="AH241:AH241"/>
    <mergeCell ref="AI241:AI241"/>
    <mergeCell ref="AJ241:AJ241"/>
    <mergeCell ref="AK241:AK241"/>
    <mergeCell ref="AL241:AL241"/>
    <mergeCell ref="AM241:AM241"/>
    <mergeCell ref="AN241:AN241"/>
    <mergeCell ref="AO241:AO241"/>
    <mergeCell ref="A242:A242"/>
    <mergeCell ref="B242:B242"/>
    <mergeCell ref="C242:C242"/>
    <mergeCell ref="D242:D242"/>
    <mergeCell ref="E242:E242"/>
    <mergeCell ref="F242:F242"/>
    <mergeCell ref="G242:G242"/>
    <mergeCell ref="H242:H242"/>
    <mergeCell ref="I242:I242"/>
    <mergeCell ref="J242:J242"/>
    <mergeCell ref="K242:K242"/>
    <mergeCell ref="L242:L242"/>
    <mergeCell ref="M242:M242"/>
    <mergeCell ref="N242:N242"/>
    <mergeCell ref="O242:O242"/>
    <mergeCell ref="P242:P242"/>
    <mergeCell ref="Q242:Q242"/>
    <mergeCell ref="R242:R242"/>
    <mergeCell ref="S242:S242"/>
    <mergeCell ref="T242:T242"/>
    <mergeCell ref="U242:U242"/>
    <mergeCell ref="V242:V242"/>
    <mergeCell ref="W242:W242"/>
    <mergeCell ref="X242:X242"/>
    <mergeCell ref="Y242:Y242"/>
    <mergeCell ref="Z242:Z242"/>
    <mergeCell ref="AA242:AA242"/>
    <mergeCell ref="AB242:AB242"/>
    <mergeCell ref="AC242:AC242"/>
    <mergeCell ref="AD242:AD242"/>
    <mergeCell ref="AE242:AE242"/>
    <mergeCell ref="AF242:AF242"/>
    <mergeCell ref="AG242:AG242"/>
    <mergeCell ref="AH242:AH242"/>
    <mergeCell ref="AI242:AI242"/>
    <mergeCell ref="AJ242:AJ242"/>
    <mergeCell ref="AK242:AK242"/>
    <mergeCell ref="AL242:AL242"/>
    <mergeCell ref="AM242:AM242"/>
    <mergeCell ref="AN242:AN242"/>
    <mergeCell ref="AO242:AO242"/>
    <mergeCell ref="A243:A243"/>
    <mergeCell ref="B243:B243"/>
    <mergeCell ref="C243:C243"/>
    <mergeCell ref="D243:D243"/>
    <mergeCell ref="E243:E243"/>
    <mergeCell ref="F243:F243"/>
    <mergeCell ref="G243:G243"/>
    <mergeCell ref="H243:H243"/>
    <mergeCell ref="I243:I243"/>
    <mergeCell ref="J243:J243"/>
    <mergeCell ref="K243:K243"/>
    <mergeCell ref="L243:L243"/>
    <mergeCell ref="M243:M243"/>
    <mergeCell ref="N243:N243"/>
    <mergeCell ref="O243:O243"/>
    <mergeCell ref="P243:P243"/>
    <mergeCell ref="Q243:Q243"/>
    <mergeCell ref="R243:R243"/>
    <mergeCell ref="S243:S243"/>
    <mergeCell ref="T243:T243"/>
    <mergeCell ref="U243:U243"/>
    <mergeCell ref="V243:V243"/>
    <mergeCell ref="W243:W243"/>
    <mergeCell ref="X243:X243"/>
    <mergeCell ref="Y243:Y243"/>
    <mergeCell ref="Z243:Z243"/>
    <mergeCell ref="AA243:AA243"/>
    <mergeCell ref="AB243:AB243"/>
    <mergeCell ref="AC243:AC243"/>
    <mergeCell ref="AD243:AD243"/>
    <mergeCell ref="AE243:AE243"/>
    <mergeCell ref="AF243:AF243"/>
    <mergeCell ref="AG243:AG243"/>
    <mergeCell ref="AH243:AH243"/>
    <mergeCell ref="AI243:AI243"/>
    <mergeCell ref="AJ243:AJ243"/>
    <mergeCell ref="AK243:AK243"/>
    <mergeCell ref="AL243:AL243"/>
    <mergeCell ref="AM243:AM243"/>
    <mergeCell ref="AN243:AN243"/>
    <mergeCell ref="AO243:AO243"/>
    <mergeCell ref="A244:A244"/>
    <mergeCell ref="B244:B244"/>
    <mergeCell ref="C244:C244"/>
    <mergeCell ref="D244:D244"/>
    <mergeCell ref="E244:E244"/>
    <mergeCell ref="F244:F244"/>
    <mergeCell ref="G244:G244"/>
    <mergeCell ref="H244:H244"/>
    <mergeCell ref="I244:I244"/>
    <mergeCell ref="J244:J244"/>
    <mergeCell ref="K244:K244"/>
    <mergeCell ref="L244:L244"/>
    <mergeCell ref="M244:M244"/>
    <mergeCell ref="N244:N244"/>
    <mergeCell ref="O244:O244"/>
    <mergeCell ref="P244:P244"/>
    <mergeCell ref="Q244:Q244"/>
    <mergeCell ref="R244:R244"/>
    <mergeCell ref="S244:S244"/>
    <mergeCell ref="T244:T244"/>
    <mergeCell ref="U244:U244"/>
    <mergeCell ref="V244:V244"/>
    <mergeCell ref="W244:W244"/>
    <mergeCell ref="X244:X244"/>
    <mergeCell ref="Y244:Y244"/>
    <mergeCell ref="Z244:Z244"/>
    <mergeCell ref="AA244:AA244"/>
    <mergeCell ref="AB244:AB244"/>
    <mergeCell ref="AC244:AC244"/>
    <mergeCell ref="AD244:AD244"/>
    <mergeCell ref="AE244:AE244"/>
    <mergeCell ref="AF244:AF244"/>
    <mergeCell ref="AG244:AG244"/>
    <mergeCell ref="AH244:AH244"/>
    <mergeCell ref="AI244:AI244"/>
    <mergeCell ref="AJ244:AJ244"/>
    <mergeCell ref="AK244:AK244"/>
    <mergeCell ref="AL244:AL244"/>
    <mergeCell ref="AM244:AM244"/>
    <mergeCell ref="AN244:AN244"/>
    <mergeCell ref="AO244:AO244"/>
    <mergeCell ref="A245:A245"/>
    <mergeCell ref="B245:B245"/>
    <mergeCell ref="C245:C245"/>
    <mergeCell ref="D245:D245"/>
    <mergeCell ref="E245:E245"/>
    <mergeCell ref="F245:F245"/>
    <mergeCell ref="G245:G245"/>
    <mergeCell ref="H245:H245"/>
    <mergeCell ref="I245:I245"/>
    <mergeCell ref="J245:J245"/>
    <mergeCell ref="K245:K245"/>
    <mergeCell ref="L245:L245"/>
    <mergeCell ref="M245:M245"/>
    <mergeCell ref="N245:N245"/>
    <mergeCell ref="O245:O245"/>
    <mergeCell ref="P245:P245"/>
    <mergeCell ref="Q245:Q245"/>
    <mergeCell ref="R245:R245"/>
    <mergeCell ref="S245:S245"/>
    <mergeCell ref="T245:T245"/>
    <mergeCell ref="U245:U245"/>
    <mergeCell ref="V245:V245"/>
    <mergeCell ref="W245:W245"/>
    <mergeCell ref="X245:X245"/>
    <mergeCell ref="Y245:Y245"/>
    <mergeCell ref="Z245:Z245"/>
    <mergeCell ref="AA245:AA245"/>
    <mergeCell ref="AB245:AB245"/>
    <mergeCell ref="AC245:AC245"/>
    <mergeCell ref="AD245:AD245"/>
    <mergeCell ref="AE245:AE245"/>
    <mergeCell ref="AF245:AF245"/>
    <mergeCell ref="AG245:AG245"/>
    <mergeCell ref="AH245:AH245"/>
    <mergeCell ref="AI245:AI245"/>
    <mergeCell ref="AJ245:AJ245"/>
    <mergeCell ref="AK245:AK245"/>
    <mergeCell ref="AL245:AL245"/>
    <mergeCell ref="AM245:AM245"/>
    <mergeCell ref="AN245:AN245"/>
    <mergeCell ref="AO245:AO245"/>
    <mergeCell ref="A246:A246"/>
    <mergeCell ref="B246:B246"/>
    <mergeCell ref="C246:C246"/>
    <mergeCell ref="D246:D246"/>
    <mergeCell ref="E246:E246"/>
    <mergeCell ref="F246:F246"/>
    <mergeCell ref="G246:G246"/>
    <mergeCell ref="H246:H246"/>
    <mergeCell ref="I246:I246"/>
    <mergeCell ref="J246:J246"/>
    <mergeCell ref="K246:K246"/>
    <mergeCell ref="L246:L246"/>
    <mergeCell ref="M246:M246"/>
    <mergeCell ref="N246:N246"/>
    <mergeCell ref="O246:O246"/>
    <mergeCell ref="P246:P246"/>
    <mergeCell ref="Q246:Q246"/>
    <mergeCell ref="R246:R246"/>
    <mergeCell ref="S246:S246"/>
    <mergeCell ref="T246:T246"/>
    <mergeCell ref="U246:U246"/>
    <mergeCell ref="V246:V246"/>
    <mergeCell ref="W246:W246"/>
    <mergeCell ref="X246:X246"/>
    <mergeCell ref="Y246:Y246"/>
    <mergeCell ref="Z246:Z246"/>
    <mergeCell ref="AA246:AA246"/>
    <mergeCell ref="AB246:AB246"/>
    <mergeCell ref="AC246:AC246"/>
    <mergeCell ref="AD246:AD246"/>
    <mergeCell ref="AE246:AE246"/>
    <mergeCell ref="AF246:AF246"/>
    <mergeCell ref="AG246:AG246"/>
    <mergeCell ref="AH246:AH246"/>
    <mergeCell ref="AI246:AI246"/>
    <mergeCell ref="AJ246:AJ246"/>
    <mergeCell ref="AK246:AK246"/>
    <mergeCell ref="AL246:AL246"/>
    <mergeCell ref="AM246:AM246"/>
    <mergeCell ref="AN246:AN246"/>
    <mergeCell ref="AO246:AO246"/>
    <mergeCell ref="A247:A247"/>
    <mergeCell ref="B247:B247"/>
    <mergeCell ref="C247:C247"/>
    <mergeCell ref="D247:D247"/>
    <mergeCell ref="E247:E247"/>
    <mergeCell ref="F247:F247"/>
    <mergeCell ref="G247:G247"/>
    <mergeCell ref="H247:H247"/>
    <mergeCell ref="I247:I247"/>
    <mergeCell ref="J247:J247"/>
    <mergeCell ref="K247:K247"/>
    <mergeCell ref="L247:L247"/>
    <mergeCell ref="M247:M247"/>
    <mergeCell ref="N247:N247"/>
    <mergeCell ref="O247:O247"/>
    <mergeCell ref="P247:P247"/>
    <mergeCell ref="Q247:Q247"/>
    <mergeCell ref="R247:R247"/>
    <mergeCell ref="S247:S247"/>
    <mergeCell ref="T247:T247"/>
    <mergeCell ref="U247:U247"/>
    <mergeCell ref="V247:V247"/>
    <mergeCell ref="W247:W247"/>
    <mergeCell ref="X247:X247"/>
    <mergeCell ref="Y247:Y247"/>
    <mergeCell ref="Z247:Z247"/>
    <mergeCell ref="AA247:AA247"/>
    <mergeCell ref="AB247:AB247"/>
    <mergeCell ref="AC247:AC247"/>
    <mergeCell ref="AD247:AD247"/>
    <mergeCell ref="AE247:AE247"/>
    <mergeCell ref="AF247:AF247"/>
    <mergeCell ref="AG247:AG247"/>
    <mergeCell ref="AH247:AH247"/>
    <mergeCell ref="AI247:AI247"/>
    <mergeCell ref="AJ247:AJ247"/>
    <mergeCell ref="AK247:AK247"/>
    <mergeCell ref="AL247:AL247"/>
    <mergeCell ref="AM247:AM247"/>
    <mergeCell ref="AN247:AN247"/>
    <mergeCell ref="AO247:AO247"/>
    <mergeCell ref="A248:A248"/>
    <mergeCell ref="B248:B248"/>
    <mergeCell ref="C248:C248"/>
    <mergeCell ref="D248:D248"/>
    <mergeCell ref="E248:E248"/>
    <mergeCell ref="F248:F248"/>
    <mergeCell ref="G248:G248"/>
    <mergeCell ref="H248:H248"/>
    <mergeCell ref="I248:I248"/>
    <mergeCell ref="J248:J248"/>
    <mergeCell ref="K248:K248"/>
    <mergeCell ref="L248:L248"/>
    <mergeCell ref="M248:M248"/>
    <mergeCell ref="N248:N248"/>
    <mergeCell ref="O248:O248"/>
    <mergeCell ref="P248:P248"/>
    <mergeCell ref="Q248:Q248"/>
    <mergeCell ref="R248:R248"/>
    <mergeCell ref="S248:S248"/>
    <mergeCell ref="T248:T248"/>
    <mergeCell ref="U248:U248"/>
    <mergeCell ref="V248:V248"/>
    <mergeCell ref="W248:W248"/>
    <mergeCell ref="X248:X248"/>
    <mergeCell ref="Y248:Y248"/>
    <mergeCell ref="Z248:Z248"/>
    <mergeCell ref="AA248:AA248"/>
    <mergeCell ref="AB248:AB248"/>
    <mergeCell ref="AC248:AC248"/>
    <mergeCell ref="AD248:AD248"/>
    <mergeCell ref="AE248:AE248"/>
    <mergeCell ref="AF248:AF248"/>
    <mergeCell ref="AG248:AG248"/>
    <mergeCell ref="AH248:AH248"/>
    <mergeCell ref="AI248:AI248"/>
    <mergeCell ref="AJ248:AJ248"/>
    <mergeCell ref="AK248:AK248"/>
    <mergeCell ref="AL248:AL248"/>
    <mergeCell ref="AM248:AM248"/>
    <mergeCell ref="AN248:AN248"/>
    <mergeCell ref="AO248:AO248"/>
    <mergeCell ref="A249:A249"/>
    <mergeCell ref="B249:B249"/>
    <mergeCell ref="C249:C249"/>
    <mergeCell ref="D249:D249"/>
    <mergeCell ref="E249:E249"/>
    <mergeCell ref="F249:F249"/>
    <mergeCell ref="G249:G249"/>
    <mergeCell ref="H249:H249"/>
    <mergeCell ref="I249:I249"/>
    <mergeCell ref="J249:J249"/>
    <mergeCell ref="K249:K249"/>
    <mergeCell ref="L249:L249"/>
    <mergeCell ref="M249:M249"/>
    <mergeCell ref="N249:N249"/>
    <mergeCell ref="O249:O249"/>
    <mergeCell ref="P249:P249"/>
    <mergeCell ref="Q249:Q249"/>
    <mergeCell ref="R249:R249"/>
    <mergeCell ref="S249:S249"/>
    <mergeCell ref="T249:T249"/>
    <mergeCell ref="U249:U249"/>
    <mergeCell ref="V249:V249"/>
    <mergeCell ref="W249:W249"/>
    <mergeCell ref="X249:X249"/>
    <mergeCell ref="Y249:Y249"/>
    <mergeCell ref="Z249:Z249"/>
    <mergeCell ref="AA249:AA249"/>
    <mergeCell ref="AB249:AB249"/>
    <mergeCell ref="AC249:AC249"/>
    <mergeCell ref="AD249:AD249"/>
    <mergeCell ref="AE249:AE249"/>
    <mergeCell ref="AF249:AF249"/>
    <mergeCell ref="AG249:AG249"/>
    <mergeCell ref="AH249:AH249"/>
    <mergeCell ref="AI249:AI249"/>
    <mergeCell ref="AJ249:AJ249"/>
    <mergeCell ref="AK249:AK249"/>
    <mergeCell ref="AL249:AL249"/>
    <mergeCell ref="AM249:AM249"/>
    <mergeCell ref="AN249:AN249"/>
    <mergeCell ref="AO249:AO249"/>
    <mergeCell ref="A250:A250"/>
    <mergeCell ref="B250:B250"/>
    <mergeCell ref="C250:C250"/>
    <mergeCell ref="D250:D250"/>
    <mergeCell ref="E250:E250"/>
    <mergeCell ref="F250:F250"/>
    <mergeCell ref="G250:G250"/>
    <mergeCell ref="H250:H250"/>
    <mergeCell ref="I250:I250"/>
    <mergeCell ref="J250:J250"/>
    <mergeCell ref="K250:K250"/>
    <mergeCell ref="L250:L250"/>
    <mergeCell ref="M250:M250"/>
    <mergeCell ref="N250:N250"/>
    <mergeCell ref="O250:O250"/>
    <mergeCell ref="P250:P250"/>
    <mergeCell ref="Q250:Q250"/>
    <mergeCell ref="R250:R250"/>
    <mergeCell ref="S250:S250"/>
    <mergeCell ref="T250:T250"/>
    <mergeCell ref="U250:U250"/>
    <mergeCell ref="V250:V250"/>
    <mergeCell ref="W250:W250"/>
    <mergeCell ref="X250:X250"/>
    <mergeCell ref="Y250:Y250"/>
    <mergeCell ref="Z250:Z250"/>
    <mergeCell ref="AA250:AA250"/>
    <mergeCell ref="AB250:AB250"/>
    <mergeCell ref="AC250:AC250"/>
    <mergeCell ref="AD250:AD250"/>
    <mergeCell ref="AE250:AE250"/>
    <mergeCell ref="AF250:AF250"/>
    <mergeCell ref="AG250:AG250"/>
    <mergeCell ref="AH250:AH250"/>
    <mergeCell ref="AI250:AI250"/>
    <mergeCell ref="AJ250:AJ250"/>
    <mergeCell ref="AK250:AK250"/>
    <mergeCell ref="AL250:AL250"/>
    <mergeCell ref="AM250:AM250"/>
    <mergeCell ref="AN250:AN250"/>
    <mergeCell ref="AO250:AO250"/>
    <mergeCell ref="A251:A251"/>
    <mergeCell ref="B251:B251"/>
    <mergeCell ref="C251:C251"/>
    <mergeCell ref="D251:D251"/>
    <mergeCell ref="E251:E251"/>
    <mergeCell ref="F251:F251"/>
    <mergeCell ref="G251:G251"/>
    <mergeCell ref="H251:H251"/>
    <mergeCell ref="I251:I251"/>
    <mergeCell ref="J251:J251"/>
    <mergeCell ref="K251:K251"/>
    <mergeCell ref="L251:L251"/>
    <mergeCell ref="M251:M251"/>
    <mergeCell ref="N251:N251"/>
    <mergeCell ref="O251:O251"/>
    <mergeCell ref="P251:P251"/>
    <mergeCell ref="Q251:Q251"/>
    <mergeCell ref="R251:R251"/>
    <mergeCell ref="S251:S251"/>
    <mergeCell ref="T251:T251"/>
    <mergeCell ref="U251:U251"/>
    <mergeCell ref="V251:V251"/>
    <mergeCell ref="W251:W251"/>
    <mergeCell ref="X251:X251"/>
    <mergeCell ref="Y251:Y251"/>
    <mergeCell ref="Z251:Z251"/>
    <mergeCell ref="AA251:AA251"/>
    <mergeCell ref="AB251:AB251"/>
    <mergeCell ref="AC251:AC251"/>
    <mergeCell ref="AD251:AD251"/>
    <mergeCell ref="AE251:AE251"/>
    <mergeCell ref="AF251:AF251"/>
    <mergeCell ref="AG251:AG251"/>
    <mergeCell ref="AH251:AH251"/>
    <mergeCell ref="AI251:AI251"/>
    <mergeCell ref="AJ251:AJ251"/>
    <mergeCell ref="AK251:AK251"/>
    <mergeCell ref="AL251:AL251"/>
    <mergeCell ref="AM251:AM251"/>
    <mergeCell ref="AN251:AN251"/>
    <mergeCell ref="AO251:AO251"/>
    <mergeCell ref="A252:A252"/>
    <mergeCell ref="B252:B252"/>
    <mergeCell ref="C252:C252"/>
    <mergeCell ref="D252:D252"/>
    <mergeCell ref="E252:E252"/>
    <mergeCell ref="F252:F252"/>
    <mergeCell ref="G252:G252"/>
    <mergeCell ref="H252:H252"/>
    <mergeCell ref="I252:I252"/>
    <mergeCell ref="J252:J252"/>
    <mergeCell ref="K252:K252"/>
    <mergeCell ref="L252:L252"/>
    <mergeCell ref="M252:M252"/>
    <mergeCell ref="N252:N252"/>
    <mergeCell ref="O252:O252"/>
    <mergeCell ref="P252:P252"/>
    <mergeCell ref="Q252:Q252"/>
    <mergeCell ref="R252:R252"/>
    <mergeCell ref="S252:S252"/>
    <mergeCell ref="T252:T252"/>
    <mergeCell ref="U252:U252"/>
    <mergeCell ref="V252:V252"/>
    <mergeCell ref="W252:W252"/>
    <mergeCell ref="X252:X252"/>
    <mergeCell ref="Y252:Y252"/>
    <mergeCell ref="Z252:Z252"/>
    <mergeCell ref="AA252:AA252"/>
    <mergeCell ref="AB252:AB252"/>
    <mergeCell ref="AC252:AC252"/>
    <mergeCell ref="AD252:AD252"/>
    <mergeCell ref="AE252:AE252"/>
    <mergeCell ref="AF252:AF252"/>
    <mergeCell ref="AG252:AG252"/>
    <mergeCell ref="AH252:AH252"/>
    <mergeCell ref="AI252:AI252"/>
    <mergeCell ref="AJ252:AJ252"/>
    <mergeCell ref="AK252:AK252"/>
    <mergeCell ref="AL252:AL252"/>
    <mergeCell ref="AM252:AM252"/>
    <mergeCell ref="AN252:AN252"/>
    <mergeCell ref="AO252:AO252"/>
    <mergeCell ref="A253:A253"/>
    <mergeCell ref="B253:B253"/>
    <mergeCell ref="C253:C253"/>
    <mergeCell ref="D253:D253"/>
    <mergeCell ref="E253:E253"/>
    <mergeCell ref="F253:F253"/>
    <mergeCell ref="G253:G253"/>
    <mergeCell ref="H253:H253"/>
    <mergeCell ref="I253:I253"/>
    <mergeCell ref="J253:J253"/>
    <mergeCell ref="K253:K253"/>
    <mergeCell ref="L253:L253"/>
    <mergeCell ref="M253:M253"/>
    <mergeCell ref="N253:N253"/>
    <mergeCell ref="O253:O253"/>
    <mergeCell ref="P253:P253"/>
    <mergeCell ref="Q253:Q253"/>
    <mergeCell ref="R253:R253"/>
    <mergeCell ref="S253:S253"/>
    <mergeCell ref="T253:T253"/>
    <mergeCell ref="U253:U253"/>
    <mergeCell ref="V253:V253"/>
    <mergeCell ref="W253:W253"/>
    <mergeCell ref="X253:X253"/>
    <mergeCell ref="Y253:Y253"/>
    <mergeCell ref="Z253:Z253"/>
    <mergeCell ref="AA253:AA253"/>
    <mergeCell ref="AB253:AB253"/>
    <mergeCell ref="AC253:AC253"/>
    <mergeCell ref="AD253:AD253"/>
    <mergeCell ref="AE253:AE253"/>
    <mergeCell ref="AF253:AF253"/>
    <mergeCell ref="AG253:AG253"/>
    <mergeCell ref="AH253:AH253"/>
    <mergeCell ref="AI253:AI253"/>
    <mergeCell ref="AJ253:AJ253"/>
    <mergeCell ref="AK253:AK253"/>
    <mergeCell ref="AL253:AL253"/>
    <mergeCell ref="AM253:AM253"/>
    <mergeCell ref="AN253:AN253"/>
    <mergeCell ref="AO253:AO253"/>
    <mergeCell ref="A254:A254"/>
    <mergeCell ref="B254:B254"/>
    <mergeCell ref="C254:C254"/>
    <mergeCell ref="D254:D254"/>
    <mergeCell ref="E254:E254"/>
    <mergeCell ref="F254:F254"/>
    <mergeCell ref="G254:G254"/>
    <mergeCell ref="H254:H254"/>
    <mergeCell ref="I254:I254"/>
    <mergeCell ref="J254:J254"/>
    <mergeCell ref="K254:K254"/>
    <mergeCell ref="L254:L254"/>
    <mergeCell ref="M254:M254"/>
    <mergeCell ref="N254:N254"/>
    <mergeCell ref="O254:O254"/>
    <mergeCell ref="P254:P254"/>
    <mergeCell ref="Q254:Q254"/>
    <mergeCell ref="R254:R254"/>
    <mergeCell ref="S254:S254"/>
    <mergeCell ref="T254:T254"/>
    <mergeCell ref="U254:U254"/>
    <mergeCell ref="V254:V254"/>
    <mergeCell ref="W254:W254"/>
    <mergeCell ref="X254:X254"/>
    <mergeCell ref="Y254:Y254"/>
    <mergeCell ref="Z254:Z254"/>
    <mergeCell ref="AA254:AA254"/>
    <mergeCell ref="AB254:AB254"/>
    <mergeCell ref="AC254:AC254"/>
    <mergeCell ref="AD254:AD254"/>
    <mergeCell ref="AE254:AE254"/>
    <mergeCell ref="AF254:AF254"/>
    <mergeCell ref="AG254:AG254"/>
    <mergeCell ref="AH254:AH254"/>
    <mergeCell ref="AI254:AI254"/>
    <mergeCell ref="AJ254:AJ254"/>
    <mergeCell ref="AK254:AK254"/>
    <mergeCell ref="AL254:AL254"/>
    <mergeCell ref="AM254:AM254"/>
    <mergeCell ref="AN254:AN254"/>
    <mergeCell ref="AO254:AO254"/>
    <mergeCell ref="A255:A255"/>
    <mergeCell ref="B255:B255"/>
    <mergeCell ref="C255:C255"/>
    <mergeCell ref="D255:D255"/>
    <mergeCell ref="E255:E255"/>
    <mergeCell ref="F255:F255"/>
    <mergeCell ref="G255:G255"/>
    <mergeCell ref="H255:H255"/>
    <mergeCell ref="I255:I255"/>
    <mergeCell ref="J255:J255"/>
    <mergeCell ref="K255:K255"/>
    <mergeCell ref="L255:L255"/>
    <mergeCell ref="M255:M255"/>
    <mergeCell ref="N255:N255"/>
    <mergeCell ref="O255:O255"/>
    <mergeCell ref="P255:P255"/>
    <mergeCell ref="Q255:Q255"/>
    <mergeCell ref="R255:R255"/>
    <mergeCell ref="S255:S255"/>
    <mergeCell ref="T255:T255"/>
    <mergeCell ref="U255:U255"/>
    <mergeCell ref="V255:V255"/>
    <mergeCell ref="W255:W255"/>
    <mergeCell ref="X255:X255"/>
    <mergeCell ref="Y255:Y255"/>
    <mergeCell ref="Z255:Z255"/>
    <mergeCell ref="AA255:AA255"/>
    <mergeCell ref="AB255:AB255"/>
    <mergeCell ref="AC255:AC255"/>
    <mergeCell ref="AD255:AD255"/>
    <mergeCell ref="AE255:AE255"/>
    <mergeCell ref="AF255:AF255"/>
    <mergeCell ref="AG255:AG255"/>
    <mergeCell ref="AH255:AH255"/>
    <mergeCell ref="AI255:AI255"/>
    <mergeCell ref="AJ255:AJ255"/>
    <mergeCell ref="AK255:AK255"/>
    <mergeCell ref="AL255:AL255"/>
    <mergeCell ref="AM255:AM255"/>
    <mergeCell ref="AN255:AN255"/>
    <mergeCell ref="AO255:AO255"/>
    <mergeCell ref="A256:A256"/>
    <mergeCell ref="B256:B256"/>
    <mergeCell ref="C256:C256"/>
    <mergeCell ref="D256:D256"/>
    <mergeCell ref="E256:E256"/>
    <mergeCell ref="F256:F256"/>
    <mergeCell ref="G256:G256"/>
    <mergeCell ref="H256:H256"/>
    <mergeCell ref="I256:I256"/>
    <mergeCell ref="J256:J256"/>
    <mergeCell ref="K256:K256"/>
    <mergeCell ref="L256:L256"/>
    <mergeCell ref="M256:M256"/>
    <mergeCell ref="N256:N256"/>
    <mergeCell ref="O256:O256"/>
    <mergeCell ref="P256:P256"/>
    <mergeCell ref="Q256:Q256"/>
    <mergeCell ref="R256:R256"/>
    <mergeCell ref="S256:S256"/>
    <mergeCell ref="T256:T256"/>
    <mergeCell ref="U256:U256"/>
    <mergeCell ref="V256:V256"/>
    <mergeCell ref="W256:W256"/>
    <mergeCell ref="X256:X256"/>
    <mergeCell ref="Y256:Y256"/>
    <mergeCell ref="Z256:Z256"/>
    <mergeCell ref="AA256:AA256"/>
    <mergeCell ref="AB256:AB256"/>
    <mergeCell ref="AC256:AC256"/>
    <mergeCell ref="AD256:AD256"/>
    <mergeCell ref="AE256:AE256"/>
    <mergeCell ref="AF256:AF256"/>
    <mergeCell ref="AG256:AG256"/>
    <mergeCell ref="AH256:AH256"/>
    <mergeCell ref="AI256:AI256"/>
    <mergeCell ref="AJ256:AJ256"/>
    <mergeCell ref="AK256:AK256"/>
    <mergeCell ref="AL256:AL256"/>
    <mergeCell ref="AM256:AM256"/>
    <mergeCell ref="AN256:AN256"/>
    <mergeCell ref="AO256:AO256"/>
    <mergeCell ref="A257:A257"/>
    <mergeCell ref="B257:B257"/>
    <mergeCell ref="C257:C257"/>
    <mergeCell ref="D257:D257"/>
    <mergeCell ref="E257:E257"/>
    <mergeCell ref="F257:F257"/>
    <mergeCell ref="G257:G257"/>
    <mergeCell ref="H257:H257"/>
    <mergeCell ref="I257:I257"/>
    <mergeCell ref="J257:J257"/>
    <mergeCell ref="K257:K257"/>
    <mergeCell ref="L257:L257"/>
    <mergeCell ref="M257:M257"/>
    <mergeCell ref="N257:N257"/>
    <mergeCell ref="O257:O257"/>
    <mergeCell ref="P257:P257"/>
    <mergeCell ref="Q257:Q257"/>
    <mergeCell ref="R257:R257"/>
    <mergeCell ref="S257:S257"/>
    <mergeCell ref="T257:T257"/>
    <mergeCell ref="U257:U257"/>
    <mergeCell ref="V257:V257"/>
    <mergeCell ref="W257:W257"/>
    <mergeCell ref="X257:X257"/>
    <mergeCell ref="Y257:Y257"/>
    <mergeCell ref="Z257:Z257"/>
    <mergeCell ref="AA257:AA257"/>
    <mergeCell ref="AB257:AB257"/>
    <mergeCell ref="AC257:AC257"/>
    <mergeCell ref="AD257:AD257"/>
    <mergeCell ref="AE257:AE257"/>
    <mergeCell ref="AF257:AF257"/>
    <mergeCell ref="AG257:AG257"/>
    <mergeCell ref="AH257:AH257"/>
    <mergeCell ref="AI257:AI257"/>
    <mergeCell ref="AJ257:AJ257"/>
    <mergeCell ref="AK257:AK257"/>
    <mergeCell ref="AL257:AL257"/>
    <mergeCell ref="AM257:AM257"/>
    <mergeCell ref="AN257:AN257"/>
    <mergeCell ref="AO257:AO257"/>
    <mergeCell ref="A258:A258"/>
    <mergeCell ref="B258:B258"/>
    <mergeCell ref="C258:C258"/>
    <mergeCell ref="D258:D258"/>
    <mergeCell ref="E258:E258"/>
    <mergeCell ref="F258:F258"/>
    <mergeCell ref="G258:G258"/>
    <mergeCell ref="H258:H258"/>
    <mergeCell ref="I258:I258"/>
    <mergeCell ref="J258:J258"/>
    <mergeCell ref="K258:K258"/>
    <mergeCell ref="L258:L258"/>
    <mergeCell ref="M258:M258"/>
    <mergeCell ref="N258:N258"/>
    <mergeCell ref="O258:O258"/>
    <mergeCell ref="P258:P258"/>
    <mergeCell ref="Q258:Q258"/>
    <mergeCell ref="R258:R258"/>
    <mergeCell ref="S258:S258"/>
    <mergeCell ref="T258:T258"/>
    <mergeCell ref="U258:U258"/>
    <mergeCell ref="V258:V258"/>
    <mergeCell ref="W258:W258"/>
    <mergeCell ref="X258:X258"/>
    <mergeCell ref="Y258:Y258"/>
    <mergeCell ref="Z258:Z258"/>
    <mergeCell ref="AA258:AA258"/>
    <mergeCell ref="AB258:AB258"/>
    <mergeCell ref="AC258:AC258"/>
    <mergeCell ref="AD258:AD258"/>
    <mergeCell ref="AE258:AE258"/>
    <mergeCell ref="AF258:AF258"/>
    <mergeCell ref="AG258:AG258"/>
    <mergeCell ref="AH258:AH258"/>
    <mergeCell ref="AI258:AI258"/>
    <mergeCell ref="AJ258:AJ258"/>
    <mergeCell ref="AK258:AK258"/>
    <mergeCell ref="AL258:AL258"/>
    <mergeCell ref="AM258:AM258"/>
    <mergeCell ref="AN258:AN258"/>
    <mergeCell ref="AO258:AO258"/>
    <mergeCell ref="A259:A259"/>
    <mergeCell ref="B259:B259"/>
    <mergeCell ref="C259:C259"/>
    <mergeCell ref="D259:D259"/>
    <mergeCell ref="E259:E259"/>
    <mergeCell ref="F259:F259"/>
    <mergeCell ref="G259:G259"/>
    <mergeCell ref="H259:H259"/>
    <mergeCell ref="I259:I259"/>
    <mergeCell ref="J259:J259"/>
    <mergeCell ref="K259:K259"/>
    <mergeCell ref="L259:L259"/>
    <mergeCell ref="M259:M259"/>
    <mergeCell ref="N259:N259"/>
    <mergeCell ref="O259:O259"/>
    <mergeCell ref="P259:P259"/>
    <mergeCell ref="Q259:Q259"/>
    <mergeCell ref="R259:R259"/>
    <mergeCell ref="S259:S259"/>
    <mergeCell ref="T259:T259"/>
    <mergeCell ref="U259:U259"/>
    <mergeCell ref="V259:V259"/>
    <mergeCell ref="W259:W259"/>
    <mergeCell ref="X259:X259"/>
    <mergeCell ref="Y259:Y259"/>
    <mergeCell ref="Z259:Z259"/>
    <mergeCell ref="AA259:AA259"/>
    <mergeCell ref="AB259:AB259"/>
    <mergeCell ref="AC259:AC259"/>
    <mergeCell ref="AD259:AD259"/>
    <mergeCell ref="AE259:AE259"/>
    <mergeCell ref="AF259:AF259"/>
    <mergeCell ref="AG259:AG259"/>
    <mergeCell ref="AH259:AH259"/>
    <mergeCell ref="AI259:AI259"/>
    <mergeCell ref="AJ259:AJ259"/>
    <mergeCell ref="AK259:AK259"/>
    <mergeCell ref="AL259:AL259"/>
    <mergeCell ref="AM259:AM259"/>
    <mergeCell ref="AN259:AN259"/>
    <mergeCell ref="AO259:AO259"/>
    <mergeCell ref="A260:A260"/>
    <mergeCell ref="B260:B260"/>
    <mergeCell ref="C260:C260"/>
    <mergeCell ref="D260:D260"/>
    <mergeCell ref="E260:E260"/>
    <mergeCell ref="F260:F260"/>
    <mergeCell ref="G260:G260"/>
    <mergeCell ref="H260:H260"/>
    <mergeCell ref="I260:I260"/>
    <mergeCell ref="J260:J260"/>
    <mergeCell ref="K260:K260"/>
    <mergeCell ref="L260:L260"/>
    <mergeCell ref="M260:M260"/>
    <mergeCell ref="N260:N260"/>
    <mergeCell ref="O260:O260"/>
    <mergeCell ref="P260:P260"/>
    <mergeCell ref="Q260:Q260"/>
    <mergeCell ref="R260:R260"/>
    <mergeCell ref="S260:S260"/>
    <mergeCell ref="T260:T260"/>
    <mergeCell ref="U260:U260"/>
    <mergeCell ref="V260:V260"/>
    <mergeCell ref="W260:W260"/>
    <mergeCell ref="X260:X260"/>
    <mergeCell ref="Y260:Y260"/>
    <mergeCell ref="Z260:Z260"/>
    <mergeCell ref="AA260:AA260"/>
    <mergeCell ref="AB260:AB260"/>
    <mergeCell ref="AC260:AC260"/>
    <mergeCell ref="AD260:AD260"/>
    <mergeCell ref="AE260:AE260"/>
    <mergeCell ref="AF260:AF260"/>
    <mergeCell ref="AG260:AG260"/>
    <mergeCell ref="AH260:AH260"/>
    <mergeCell ref="AI260:AI260"/>
    <mergeCell ref="AJ260:AJ260"/>
    <mergeCell ref="AK260:AK260"/>
    <mergeCell ref="AL260:AL260"/>
    <mergeCell ref="AM260:AM260"/>
    <mergeCell ref="AN260:AN260"/>
    <mergeCell ref="AO260:AO260"/>
    <mergeCell ref="A261:A261"/>
    <mergeCell ref="B261:B261"/>
    <mergeCell ref="C261:C261"/>
    <mergeCell ref="D261:D261"/>
    <mergeCell ref="E261:E261"/>
    <mergeCell ref="F261:F261"/>
    <mergeCell ref="G261:G261"/>
    <mergeCell ref="H261:H261"/>
    <mergeCell ref="I261:I261"/>
    <mergeCell ref="J261:J261"/>
    <mergeCell ref="K261:K261"/>
    <mergeCell ref="L261:L261"/>
    <mergeCell ref="M261:M261"/>
    <mergeCell ref="N261:N261"/>
    <mergeCell ref="O261:O261"/>
    <mergeCell ref="P261:P261"/>
    <mergeCell ref="Q261:Q261"/>
    <mergeCell ref="R261:R261"/>
    <mergeCell ref="S261:S261"/>
    <mergeCell ref="T261:T261"/>
    <mergeCell ref="U261:U261"/>
    <mergeCell ref="V261:V261"/>
    <mergeCell ref="W261:W261"/>
    <mergeCell ref="X261:X261"/>
    <mergeCell ref="Y261:Y261"/>
    <mergeCell ref="Z261:Z261"/>
    <mergeCell ref="AA261:AA261"/>
    <mergeCell ref="AB261:AB261"/>
    <mergeCell ref="AC261:AC261"/>
    <mergeCell ref="AD261:AD261"/>
    <mergeCell ref="AE261:AE261"/>
    <mergeCell ref="AF261:AF261"/>
    <mergeCell ref="AG261:AG261"/>
    <mergeCell ref="AH261:AH261"/>
    <mergeCell ref="AI261:AI261"/>
    <mergeCell ref="AJ261:AJ261"/>
    <mergeCell ref="AK261:AK261"/>
    <mergeCell ref="AL261:AL261"/>
    <mergeCell ref="AM261:AM261"/>
    <mergeCell ref="AN261:AN261"/>
    <mergeCell ref="AO261:AO261"/>
    <mergeCell ref="A262:A262"/>
    <mergeCell ref="B262:B262"/>
    <mergeCell ref="C262:C262"/>
    <mergeCell ref="D262:D262"/>
    <mergeCell ref="E262:E262"/>
    <mergeCell ref="F262:F262"/>
    <mergeCell ref="G262:G262"/>
    <mergeCell ref="H262:H262"/>
    <mergeCell ref="I262:I262"/>
    <mergeCell ref="J262:J262"/>
    <mergeCell ref="K262:K262"/>
    <mergeCell ref="L262:L262"/>
    <mergeCell ref="M262:M262"/>
    <mergeCell ref="N262:N262"/>
    <mergeCell ref="O262:O262"/>
    <mergeCell ref="P262:P262"/>
    <mergeCell ref="Q262:Q262"/>
    <mergeCell ref="R262:R262"/>
    <mergeCell ref="S262:S262"/>
    <mergeCell ref="T262:T262"/>
    <mergeCell ref="U262:U262"/>
    <mergeCell ref="V262:V262"/>
    <mergeCell ref="W262:W262"/>
    <mergeCell ref="X262:X262"/>
    <mergeCell ref="Y262:Y262"/>
    <mergeCell ref="Z262:Z262"/>
    <mergeCell ref="AA262:AA262"/>
    <mergeCell ref="AB262:AB262"/>
    <mergeCell ref="AC262:AC262"/>
    <mergeCell ref="AD262:AD262"/>
    <mergeCell ref="AE262:AE262"/>
    <mergeCell ref="AF262:AF262"/>
    <mergeCell ref="AG262:AG262"/>
    <mergeCell ref="AH262:AH262"/>
    <mergeCell ref="AI262:AI262"/>
    <mergeCell ref="AJ262:AJ262"/>
    <mergeCell ref="AK262:AK262"/>
    <mergeCell ref="AL262:AL262"/>
    <mergeCell ref="AM262:AM262"/>
    <mergeCell ref="AN262:AN262"/>
    <mergeCell ref="AO262:AO262"/>
    <mergeCell ref="A263:A263"/>
    <mergeCell ref="B263:B263"/>
    <mergeCell ref="C263:C263"/>
    <mergeCell ref="D263:D263"/>
    <mergeCell ref="E263:E263"/>
    <mergeCell ref="F263:F263"/>
    <mergeCell ref="G263:G263"/>
    <mergeCell ref="H263:H263"/>
    <mergeCell ref="I263:I263"/>
    <mergeCell ref="J263:J263"/>
    <mergeCell ref="K263:K263"/>
    <mergeCell ref="L263:L263"/>
    <mergeCell ref="M263:M263"/>
    <mergeCell ref="N263:N263"/>
    <mergeCell ref="O263:O263"/>
    <mergeCell ref="P263:P263"/>
    <mergeCell ref="Q263:Q263"/>
    <mergeCell ref="R263:R263"/>
    <mergeCell ref="S263:S263"/>
    <mergeCell ref="T263:T263"/>
    <mergeCell ref="U263:U263"/>
    <mergeCell ref="V263:V263"/>
    <mergeCell ref="W263:W263"/>
    <mergeCell ref="X263:X263"/>
    <mergeCell ref="Y263:Y263"/>
    <mergeCell ref="Z263:Z263"/>
    <mergeCell ref="AA263:AA263"/>
    <mergeCell ref="AB263:AB263"/>
    <mergeCell ref="AC263:AC263"/>
    <mergeCell ref="AD263:AD263"/>
    <mergeCell ref="AE263:AE263"/>
    <mergeCell ref="AF263:AF263"/>
    <mergeCell ref="AG263:AG263"/>
    <mergeCell ref="AH263:AH263"/>
    <mergeCell ref="AI263:AI263"/>
    <mergeCell ref="AJ263:AJ263"/>
    <mergeCell ref="AK263:AK263"/>
    <mergeCell ref="AL263:AL263"/>
    <mergeCell ref="AM263:AM263"/>
    <mergeCell ref="AN263:AN263"/>
    <mergeCell ref="AO263:AO263"/>
    <mergeCell ref="A264:A264"/>
    <mergeCell ref="B264:B264"/>
    <mergeCell ref="C264:C264"/>
    <mergeCell ref="D264:D264"/>
    <mergeCell ref="E264:E264"/>
    <mergeCell ref="F264:F264"/>
    <mergeCell ref="G264:G264"/>
    <mergeCell ref="H264:H264"/>
    <mergeCell ref="I264:I264"/>
    <mergeCell ref="J264:J264"/>
    <mergeCell ref="K264:K264"/>
    <mergeCell ref="L264:L264"/>
    <mergeCell ref="M264:M264"/>
    <mergeCell ref="N264:N264"/>
    <mergeCell ref="O264:O264"/>
    <mergeCell ref="P264:P264"/>
    <mergeCell ref="Q264:Q264"/>
    <mergeCell ref="R264:R264"/>
    <mergeCell ref="S264:S264"/>
    <mergeCell ref="T264:T264"/>
    <mergeCell ref="U264:U264"/>
    <mergeCell ref="V264:V264"/>
    <mergeCell ref="W264:W264"/>
    <mergeCell ref="X264:X264"/>
    <mergeCell ref="Y264:Y264"/>
    <mergeCell ref="Z264:Z264"/>
    <mergeCell ref="AA264:AA264"/>
    <mergeCell ref="AB264:AB264"/>
    <mergeCell ref="AC264:AC264"/>
    <mergeCell ref="AD264:AD264"/>
    <mergeCell ref="AE264:AE264"/>
    <mergeCell ref="AF264:AF264"/>
    <mergeCell ref="AG264:AG264"/>
    <mergeCell ref="AH264:AH264"/>
    <mergeCell ref="AI264:AI264"/>
    <mergeCell ref="AJ264:AJ264"/>
    <mergeCell ref="AK264:AK264"/>
    <mergeCell ref="AL264:AL264"/>
    <mergeCell ref="AM264:AM264"/>
    <mergeCell ref="AN264:AN264"/>
    <mergeCell ref="AO264:AO264"/>
    <mergeCell ref="A265:A265"/>
    <mergeCell ref="B265:B265"/>
    <mergeCell ref="C265:C265"/>
    <mergeCell ref="D265:D265"/>
    <mergeCell ref="E265:E265"/>
    <mergeCell ref="F265:F265"/>
    <mergeCell ref="G265:G265"/>
    <mergeCell ref="H265:H265"/>
    <mergeCell ref="I265:I265"/>
    <mergeCell ref="J265:J265"/>
    <mergeCell ref="K265:K265"/>
    <mergeCell ref="L265:L265"/>
    <mergeCell ref="M265:M265"/>
    <mergeCell ref="N265:N265"/>
    <mergeCell ref="O265:O265"/>
    <mergeCell ref="P265:P265"/>
    <mergeCell ref="Q265:Q265"/>
    <mergeCell ref="R265:R265"/>
    <mergeCell ref="S265:S265"/>
    <mergeCell ref="T265:T265"/>
    <mergeCell ref="U265:U265"/>
    <mergeCell ref="V265:V265"/>
    <mergeCell ref="W265:W265"/>
    <mergeCell ref="X265:X265"/>
    <mergeCell ref="Y265:Y265"/>
    <mergeCell ref="Z265:Z265"/>
    <mergeCell ref="AA265:AA265"/>
    <mergeCell ref="AB265:AB265"/>
    <mergeCell ref="AC265:AC265"/>
    <mergeCell ref="AD265:AD265"/>
    <mergeCell ref="AE265:AE265"/>
    <mergeCell ref="AF265:AF265"/>
    <mergeCell ref="AG265:AG265"/>
    <mergeCell ref="AH265:AH265"/>
    <mergeCell ref="AI265:AI265"/>
    <mergeCell ref="AJ265:AJ265"/>
    <mergeCell ref="AK265:AK265"/>
    <mergeCell ref="AL265:AL265"/>
    <mergeCell ref="AM265:AM265"/>
    <mergeCell ref="AN265:AN265"/>
    <mergeCell ref="AO265:AO265"/>
    <mergeCell ref="A266:A266"/>
    <mergeCell ref="B266:B266"/>
    <mergeCell ref="C266:C266"/>
    <mergeCell ref="D266:D266"/>
    <mergeCell ref="E266:E266"/>
    <mergeCell ref="F266:F266"/>
    <mergeCell ref="G266:G266"/>
    <mergeCell ref="H266:H266"/>
    <mergeCell ref="I266:I266"/>
    <mergeCell ref="J266:J266"/>
    <mergeCell ref="K266:K266"/>
    <mergeCell ref="L266:L266"/>
    <mergeCell ref="M266:M266"/>
    <mergeCell ref="N266:N266"/>
    <mergeCell ref="O266:O266"/>
    <mergeCell ref="P266:P266"/>
    <mergeCell ref="Q266:Q266"/>
    <mergeCell ref="R266:R266"/>
    <mergeCell ref="S266:S266"/>
    <mergeCell ref="T266:T266"/>
    <mergeCell ref="U266:U266"/>
    <mergeCell ref="V266:V266"/>
    <mergeCell ref="W266:W266"/>
    <mergeCell ref="X266:X266"/>
    <mergeCell ref="Y266:Y266"/>
    <mergeCell ref="Z266:Z266"/>
    <mergeCell ref="AA266:AA266"/>
    <mergeCell ref="AB266:AB266"/>
    <mergeCell ref="AC266:AC266"/>
    <mergeCell ref="AD266:AD266"/>
    <mergeCell ref="AE266:AE266"/>
    <mergeCell ref="AF266:AF266"/>
    <mergeCell ref="AG266:AG266"/>
    <mergeCell ref="AH266:AH266"/>
    <mergeCell ref="AI266:AI266"/>
    <mergeCell ref="AJ266:AJ266"/>
    <mergeCell ref="AK266:AK266"/>
    <mergeCell ref="AL266:AL266"/>
    <mergeCell ref="AM266:AM266"/>
    <mergeCell ref="AN266:AN266"/>
    <mergeCell ref="AO266:AO266"/>
    <mergeCell ref="A267:A267"/>
    <mergeCell ref="B267:B267"/>
    <mergeCell ref="C267:C267"/>
    <mergeCell ref="D267:D267"/>
    <mergeCell ref="E267:E267"/>
    <mergeCell ref="F267:F267"/>
    <mergeCell ref="G267:G267"/>
    <mergeCell ref="H267:H267"/>
    <mergeCell ref="I267:I267"/>
    <mergeCell ref="J267:J267"/>
    <mergeCell ref="K267:K267"/>
    <mergeCell ref="L267:L267"/>
    <mergeCell ref="M267:M267"/>
    <mergeCell ref="N267:N267"/>
    <mergeCell ref="O267:O267"/>
    <mergeCell ref="P267:P267"/>
    <mergeCell ref="Q267:Q267"/>
    <mergeCell ref="R267:R267"/>
    <mergeCell ref="S267:S267"/>
    <mergeCell ref="T267:T267"/>
    <mergeCell ref="U267:U267"/>
    <mergeCell ref="V267:V267"/>
    <mergeCell ref="W267:W267"/>
    <mergeCell ref="X267:X267"/>
    <mergeCell ref="Y267:Y267"/>
    <mergeCell ref="Z267:Z267"/>
    <mergeCell ref="AA267:AA267"/>
    <mergeCell ref="AB267:AB267"/>
    <mergeCell ref="AC267:AC267"/>
    <mergeCell ref="AD267:AD267"/>
    <mergeCell ref="AE267:AE267"/>
    <mergeCell ref="AF267:AF267"/>
    <mergeCell ref="AG267:AG267"/>
    <mergeCell ref="AH267:AH267"/>
    <mergeCell ref="AI267:AI267"/>
    <mergeCell ref="AJ267:AJ267"/>
    <mergeCell ref="AK267:AK267"/>
    <mergeCell ref="AL267:AL267"/>
    <mergeCell ref="AM267:AM267"/>
    <mergeCell ref="AN267:AN267"/>
    <mergeCell ref="AO267:AO267"/>
    <mergeCell ref="A268:A268"/>
    <mergeCell ref="B268:B268"/>
    <mergeCell ref="C268:C268"/>
    <mergeCell ref="D268:D268"/>
    <mergeCell ref="E268:E268"/>
    <mergeCell ref="F268:F268"/>
    <mergeCell ref="G268:G268"/>
    <mergeCell ref="H268:H268"/>
    <mergeCell ref="I268:I268"/>
    <mergeCell ref="J268:J268"/>
    <mergeCell ref="K268:K268"/>
    <mergeCell ref="L268:L268"/>
    <mergeCell ref="M268:M268"/>
    <mergeCell ref="N268:N268"/>
    <mergeCell ref="O268:O268"/>
    <mergeCell ref="P268:P268"/>
    <mergeCell ref="Q268:Q268"/>
    <mergeCell ref="R268:R268"/>
    <mergeCell ref="S268:S268"/>
    <mergeCell ref="T268:T268"/>
    <mergeCell ref="U268:U268"/>
    <mergeCell ref="V268:V268"/>
    <mergeCell ref="W268:W268"/>
    <mergeCell ref="X268:X268"/>
    <mergeCell ref="Y268:Y268"/>
    <mergeCell ref="Z268:Z268"/>
    <mergeCell ref="AA268:AA268"/>
    <mergeCell ref="AB268:AB268"/>
    <mergeCell ref="AC268:AC268"/>
    <mergeCell ref="AD268:AD268"/>
    <mergeCell ref="AE268:AE268"/>
    <mergeCell ref="AF268:AF268"/>
    <mergeCell ref="AG268:AG268"/>
    <mergeCell ref="AH268:AH268"/>
    <mergeCell ref="AI268:AI268"/>
    <mergeCell ref="AJ268:AJ268"/>
    <mergeCell ref="AK268:AK268"/>
    <mergeCell ref="AL268:AL268"/>
    <mergeCell ref="AM268:AM268"/>
    <mergeCell ref="AN268:AN268"/>
    <mergeCell ref="AO268:AO268"/>
    <mergeCell ref="A269:A269"/>
    <mergeCell ref="B269:B269"/>
    <mergeCell ref="C269:C269"/>
    <mergeCell ref="D269:D269"/>
    <mergeCell ref="E269:E269"/>
    <mergeCell ref="F269:F269"/>
    <mergeCell ref="G269:G269"/>
    <mergeCell ref="H269:H269"/>
    <mergeCell ref="I269:I269"/>
    <mergeCell ref="J269:J269"/>
    <mergeCell ref="K269:K269"/>
    <mergeCell ref="L269:L269"/>
    <mergeCell ref="M269:M269"/>
    <mergeCell ref="N269:N269"/>
    <mergeCell ref="O269:O269"/>
    <mergeCell ref="P269:P269"/>
    <mergeCell ref="Q269:Q269"/>
    <mergeCell ref="R269:R269"/>
    <mergeCell ref="S269:S269"/>
    <mergeCell ref="T269:T269"/>
    <mergeCell ref="U269:U269"/>
    <mergeCell ref="V269:V269"/>
    <mergeCell ref="W269:W269"/>
    <mergeCell ref="X269:X269"/>
    <mergeCell ref="Y269:Y269"/>
    <mergeCell ref="Z269:Z269"/>
    <mergeCell ref="AA269:AA269"/>
    <mergeCell ref="AB269:AB269"/>
    <mergeCell ref="AC269:AC269"/>
    <mergeCell ref="AD269:AD269"/>
    <mergeCell ref="AE269:AE269"/>
    <mergeCell ref="AF269:AF269"/>
    <mergeCell ref="AG269:AG269"/>
    <mergeCell ref="AH269:AH269"/>
    <mergeCell ref="AI269:AI269"/>
    <mergeCell ref="AJ269:AJ269"/>
    <mergeCell ref="AK269:AK269"/>
    <mergeCell ref="AL269:AL269"/>
    <mergeCell ref="AM269:AM269"/>
    <mergeCell ref="AN269:AN269"/>
    <mergeCell ref="AO269:AO269"/>
    <mergeCell ref="A270:A270"/>
    <mergeCell ref="B270:B270"/>
    <mergeCell ref="C270:C270"/>
    <mergeCell ref="D270:D270"/>
    <mergeCell ref="E270:E270"/>
    <mergeCell ref="F270:F270"/>
    <mergeCell ref="G270:G270"/>
    <mergeCell ref="H270:H270"/>
    <mergeCell ref="I270:I270"/>
    <mergeCell ref="J270:J270"/>
    <mergeCell ref="K270:K270"/>
    <mergeCell ref="L270:L270"/>
    <mergeCell ref="M270:M270"/>
    <mergeCell ref="N270:N270"/>
    <mergeCell ref="O270:O270"/>
    <mergeCell ref="P270:P270"/>
    <mergeCell ref="Q270:Q270"/>
    <mergeCell ref="R270:R270"/>
    <mergeCell ref="S270:S270"/>
    <mergeCell ref="T270:T270"/>
    <mergeCell ref="U270:U270"/>
    <mergeCell ref="V270:V270"/>
    <mergeCell ref="W270:W270"/>
    <mergeCell ref="X270:X270"/>
    <mergeCell ref="Y270:Y270"/>
    <mergeCell ref="Z270:Z270"/>
    <mergeCell ref="AA270:AA270"/>
    <mergeCell ref="AB270:AB270"/>
    <mergeCell ref="AC270:AC270"/>
    <mergeCell ref="AD270:AD270"/>
    <mergeCell ref="AE270:AE270"/>
    <mergeCell ref="AF270:AF270"/>
    <mergeCell ref="AG270:AG270"/>
    <mergeCell ref="AH270:AH270"/>
    <mergeCell ref="AI270:AI270"/>
    <mergeCell ref="AJ270:AJ270"/>
    <mergeCell ref="AK270:AK270"/>
    <mergeCell ref="AL270:AL270"/>
    <mergeCell ref="AM270:AM270"/>
    <mergeCell ref="AN270:AN270"/>
    <mergeCell ref="AO270:AO270"/>
    <mergeCell ref="A271:A271"/>
    <mergeCell ref="B271:B271"/>
    <mergeCell ref="C271:C271"/>
    <mergeCell ref="D271:D271"/>
    <mergeCell ref="E271:E271"/>
    <mergeCell ref="F271:F271"/>
    <mergeCell ref="G271:G271"/>
    <mergeCell ref="H271:H271"/>
    <mergeCell ref="I271:I271"/>
    <mergeCell ref="J271:J271"/>
    <mergeCell ref="K271:K271"/>
    <mergeCell ref="L271:L271"/>
    <mergeCell ref="M271:M271"/>
    <mergeCell ref="N271:N271"/>
    <mergeCell ref="O271:O271"/>
    <mergeCell ref="P271:P271"/>
    <mergeCell ref="Q271:Q271"/>
    <mergeCell ref="R271:R271"/>
    <mergeCell ref="S271:S271"/>
    <mergeCell ref="T271:T271"/>
    <mergeCell ref="U271:U271"/>
    <mergeCell ref="V271:V271"/>
    <mergeCell ref="W271:W271"/>
    <mergeCell ref="X271:X271"/>
    <mergeCell ref="Y271:Y271"/>
    <mergeCell ref="Z271:Z271"/>
    <mergeCell ref="AA271:AA271"/>
    <mergeCell ref="AB271:AB271"/>
    <mergeCell ref="AC271:AC271"/>
    <mergeCell ref="AD271:AD271"/>
    <mergeCell ref="AE271:AE271"/>
    <mergeCell ref="AF271:AF271"/>
    <mergeCell ref="AG271:AG271"/>
    <mergeCell ref="AH271:AH271"/>
    <mergeCell ref="AI271:AI271"/>
    <mergeCell ref="AJ271:AJ271"/>
    <mergeCell ref="AK271:AK271"/>
    <mergeCell ref="AL271:AL271"/>
    <mergeCell ref="AM271:AM271"/>
    <mergeCell ref="AN271:AN271"/>
    <mergeCell ref="AO271:AO271"/>
    <mergeCell ref="A272:A272"/>
    <mergeCell ref="B272:B272"/>
    <mergeCell ref="C272:C272"/>
    <mergeCell ref="D272:D272"/>
    <mergeCell ref="E272:E272"/>
    <mergeCell ref="F272:F272"/>
    <mergeCell ref="G272:G272"/>
    <mergeCell ref="H272:H272"/>
    <mergeCell ref="I272:I272"/>
    <mergeCell ref="J272:J272"/>
    <mergeCell ref="K272:K272"/>
    <mergeCell ref="L272:L272"/>
    <mergeCell ref="M272:M272"/>
    <mergeCell ref="N272:N272"/>
    <mergeCell ref="O272:O272"/>
    <mergeCell ref="P272:P272"/>
    <mergeCell ref="Q272:Q272"/>
    <mergeCell ref="R272:R272"/>
    <mergeCell ref="S272:S272"/>
    <mergeCell ref="T272:T272"/>
    <mergeCell ref="U272:U272"/>
    <mergeCell ref="V272:V272"/>
    <mergeCell ref="W272:W272"/>
    <mergeCell ref="X272:X272"/>
    <mergeCell ref="Y272:Y272"/>
    <mergeCell ref="Z272:Z272"/>
    <mergeCell ref="AA272:AA272"/>
    <mergeCell ref="AB272:AB272"/>
    <mergeCell ref="AC272:AC272"/>
    <mergeCell ref="AD272:AD272"/>
    <mergeCell ref="AE272:AE272"/>
    <mergeCell ref="AF272:AF272"/>
    <mergeCell ref="AG272:AG272"/>
    <mergeCell ref="AH272:AH272"/>
    <mergeCell ref="AI272:AI272"/>
    <mergeCell ref="AJ272:AJ272"/>
    <mergeCell ref="AK272:AK272"/>
    <mergeCell ref="AL272:AL272"/>
    <mergeCell ref="AM272:AM272"/>
    <mergeCell ref="AN272:AN272"/>
    <mergeCell ref="AO272:AO272"/>
    <mergeCell ref="A273:A273"/>
    <mergeCell ref="B273:B273"/>
    <mergeCell ref="C273:C273"/>
    <mergeCell ref="D273:D273"/>
    <mergeCell ref="E273:E273"/>
    <mergeCell ref="F273:F273"/>
    <mergeCell ref="G273:G273"/>
    <mergeCell ref="H273:H273"/>
    <mergeCell ref="I273:I273"/>
    <mergeCell ref="J273:J273"/>
    <mergeCell ref="K273:K273"/>
    <mergeCell ref="L273:L273"/>
    <mergeCell ref="M273:M273"/>
    <mergeCell ref="N273:N273"/>
    <mergeCell ref="O273:O273"/>
    <mergeCell ref="P273:P273"/>
    <mergeCell ref="Q273:Q273"/>
    <mergeCell ref="R273:R273"/>
    <mergeCell ref="S273:S273"/>
    <mergeCell ref="T273:T273"/>
    <mergeCell ref="U273:U273"/>
    <mergeCell ref="V273:V273"/>
    <mergeCell ref="W273:W273"/>
    <mergeCell ref="X273:X273"/>
    <mergeCell ref="Y273:Y273"/>
    <mergeCell ref="Z273:Z273"/>
    <mergeCell ref="AA273:AA273"/>
    <mergeCell ref="AB273:AB273"/>
    <mergeCell ref="AC273:AC273"/>
    <mergeCell ref="AD273:AD273"/>
    <mergeCell ref="AE273:AE273"/>
    <mergeCell ref="AF273:AF273"/>
    <mergeCell ref="AG273:AG273"/>
    <mergeCell ref="AH273:AH273"/>
    <mergeCell ref="AI273:AI273"/>
    <mergeCell ref="AJ273:AJ273"/>
    <mergeCell ref="AK273:AK273"/>
    <mergeCell ref="AL273:AL273"/>
    <mergeCell ref="AM273:AM273"/>
    <mergeCell ref="AN273:AN273"/>
    <mergeCell ref="AO273:AO273"/>
    <mergeCell ref="A274:A274"/>
    <mergeCell ref="B274:B274"/>
    <mergeCell ref="C274:C274"/>
    <mergeCell ref="D274:D274"/>
    <mergeCell ref="E274:E274"/>
    <mergeCell ref="F274:F274"/>
    <mergeCell ref="G274:G274"/>
    <mergeCell ref="H274:H274"/>
    <mergeCell ref="I274:I274"/>
    <mergeCell ref="J274:J274"/>
    <mergeCell ref="K274:K274"/>
    <mergeCell ref="L274:L274"/>
    <mergeCell ref="M274:M274"/>
    <mergeCell ref="N274:N274"/>
    <mergeCell ref="O274:O274"/>
    <mergeCell ref="P274:P274"/>
    <mergeCell ref="Q274:Q274"/>
    <mergeCell ref="R274:R274"/>
    <mergeCell ref="S274:S274"/>
    <mergeCell ref="T274:T274"/>
    <mergeCell ref="U274:U274"/>
    <mergeCell ref="V274:V274"/>
    <mergeCell ref="W274:W274"/>
    <mergeCell ref="X274:X274"/>
    <mergeCell ref="Y274:Y274"/>
    <mergeCell ref="Z274:Z274"/>
    <mergeCell ref="AA274:AA274"/>
    <mergeCell ref="AB274:AB274"/>
    <mergeCell ref="AC274:AC274"/>
    <mergeCell ref="AD274:AD274"/>
    <mergeCell ref="AE274:AE274"/>
    <mergeCell ref="AF274:AF274"/>
    <mergeCell ref="AG274:AG274"/>
    <mergeCell ref="AH274:AH274"/>
    <mergeCell ref="AI274:AI274"/>
    <mergeCell ref="AJ274:AJ274"/>
    <mergeCell ref="AK274:AK274"/>
    <mergeCell ref="AL274:AL274"/>
    <mergeCell ref="AM274:AM274"/>
    <mergeCell ref="AN274:AN274"/>
    <mergeCell ref="AO274:AO274"/>
    <mergeCell ref="A275:A275"/>
    <mergeCell ref="B275:B275"/>
    <mergeCell ref="C275:C275"/>
    <mergeCell ref="D275:D275"/>
    <mergeCell ref="E275:E275"/>
    <mergeCell ref="F275:F275"/>
    <mergeCell ref="G275:G275"/>
    <mergeCell ref="H275:H275"/>
    <mergeCell ref="I275:I275"/>
    <mergeCell ref="J275:J275"/>
    <mergeCell ref="K275:K275"/>
    <mergeCell ref="L275:L275"/>
    <mergeCell ref="M275:M275"/>
    <mergeCell ref="N275:N275"/>
    <mergeCell ref="O275:O275"/>
    <mergeCell ref="P275:P275"/>
    <mergeCell ref="Q275:Q275"/>
    <mergeCell ref="R275:R275"/>
    <mergeCell ref="S275:S275"/>
    <mergeCell ref="T275:T275"/>
    <mergeCell ref="U275:U275"/>
    <mergeCell ref="V275:V275"/>
    <mergeCell ref="W275:W275"/>
    <mergeCell ref="X275:X275"/>
    <mergeCell ref="Y275:Y275"/>
    <mergeCell ref="Z275:Z275"/>
    <mergeCell ref="AA275:AA275"/>
    <mergeCell ref="AB275:AB275"/>
    <mergeCell ref="AC275:AC275"/>
    <mergeCell ref="AD275:AD275"/>
    <mergeCell ref="AE275:AE275"/>
    <mergeCell ref="AF275:AF275"/>
    <mergeCell ref="AG275:AG275"/>
    <mergeCell ref="AH275:AH275"/>
    <mergeCell ref="AI275:AI275"/>
    <mergeCell ref="AJ275:AJ275"/>
    <mergeCell ref="AK275:AK275"/>
    <mergeCell ref="AL275:AL275"/>
    <mergeCell ref="AM275:AM275"/>
    <mergeCell ref="AN275:AN275"/>
    <mergeCell ref="AO275:AO275"/>
    <mergeCell ref="A276:A276"/>
    <mergeCell ref="B276:B276"/>
    <mergeCell ref="C276:C276"/>
    <mergeCell ref="D276:D276"/>
    <mergeCell ref="E276:E276"/>
    <mergeCell ref="F276:F276"/>
    <mergeCell ref="G276:G276"/>
    <mergeCell ref="H276:H276"/>
    <mergeCell ref="I276:I276"/>
    <mergeCell ref="J276:J276"/>
    <mergeCell ref="K276:K276"/>
    <mergeCell ref="L276:L276"/>
    <mergeCell ref="M276:M276"/>
    <mergeCell ref="N276:N276"/>
    <mergeCell ref="O276:O276"/>
    <mergeCell ref="P276:P276"/>
    <mergeCell ref="Q276:Q276"/>
    <mergeCell ref="R276:R276"/>
    <mergeCell ref="S276:S276"/>
    <mergeCell ref="T276:T276"/>
    <mergeCell ref="U276:U276"/>
    <mergeCell ref="V276:V276"/>
    <mergeCell ref="W276:W276"/>
    <mergeCell ref="X276:X276"/>
    <mergeCell ref="Y276:Y276"/>
    <mergeCell ref="Z276:Z276"/>
    <mergeCell ref="AA276:AA276"/>
    <mergeCell ref="AB276:AB276"/>
    <mergeCell ref="AC276:AC276"/>
    <mergeCell ref="AD276:AD276"/>
    <mergeCell ref="AE276:AE276"/>
    <mergeCell ref="AF276:AF276"/>
    <mergeCell ref="AG276:AG276"/>
    <mergeCell ref="AH276:AH276"/>
    <mergeCell ref="AI276:AI276"/>
    <mergeCell ref="AJ276:AJ276"/>
    <mergeCell ref="AK276:AK276"/>
    <mergeCell ref="AL276:AL276"/>
    <mergeCell ref="AM276:AM276"/>
    <mergeCell ref="AN276:AN276"/>
    <mergeCell ref="AO276:AO276"/>
    <mergeCell ref="A277:A277"/>
    <mergeCell ref="B277:B277"/>
    <mergeCell ref="C277:C277"/>
    <mergeCell ref="D277:D277"/>
    <mergeCell ref="E277:E277"/>
    <mergeCell ref="F277:F277"/>
    <mergeCell ref="G277:G277"/>
    <mergeCell ref="H277:H277"/>
    <mergeCell ref="I277:I277"/>
    <mergeCell ref="J277:J277"/>
    <mergeCell ref="K277:K277"/>
    <mergeCell ref="L277:L277"/>
    <mergeCell ref="M277:M277"/>
    <mergeCell ref="N277:N277"/>
    <mergeCell ref="O277:O277"/>
    <mergeCell ref="P277:P277"/>
    <mergeCell ref="Q277:Q277"/>
    <mergeCell ref="R277:R277"/>
    <mergeCell ref="S277:S277"/>
    <mergeCell ref="T277:T277"/>
    <mergeCell ref="U277:U277"/>
    <mergeCell ref="V277:V277"/>
    <mergeCell ref="W277:W277"/>
    <mergeCell ref="X277:X277"/>
    <mergeCell ref="Y277:Y277"/>
    <mergeCell ref="Z277:Z277"/>
    <mergeCell ref="AA277:AA277"/>
    <mergeCell ref="AB277:AB277"/>
    <mergeCell ref="AC277:AC277"/>
    <mergeCell ref="AD277:AD277"/>
    <mergeCell ref="AE277:AE277"/>
    <mergeCell ref="AF277:AF277"/>
    <mergeCell ref="AG277:AG277"/>
    <mergeCell ref="AH277:AH277"/>
    <mergeCell ref="AI277:AI277"/>
    <mergeCell ref="AJ277:AJ277"/>
    <mergeCell ref="AK277:AK277"/>
    <mergeCell ref="AL277:AL277"/>
    <mergeCell ref="AM277:AM277"/>
    <mergeCell ref="AN277:AN277"/>
    <mergeCell ref="AO277:AO277"/>
    <mergeCell ref="A278:A278"/>
    <mergeCell ref="B278:B278"/>
    <mergeCell ref="C278:C278"/>
    <mergeCell ref="D278:D278"/>
    <mergeCell ref="E278:E278"/>
    <mergeCell ref="F278:F278"/>
    <mergeCell ref="G278:G278"/>
    <mergeCell ref="H278:H278"/>
    <mergeCell ref="I278:I278"/>
    <mergeCell ref="J278:J278"/>
    <mergeCell ref="K278:K278"/>
    <mergeCell ref="L278:L278"/>
    <mergeCell ref="M278:M278"/>
    <mergeCell ref="N278:N278"/>
    <mergeCell ref="O278:O278"/>
    <mergeCell ref="P278:P278"/>
    <mergeCell ref="Q278:Q278"/>
    <mergeCell ref="R278:R278"/>
    <mergeCell ref="S278:S278"/>
    <mergeCell ref="T278:T278"/>
    <mergeCell ref="U278:U278"/>
    <mergeCell ref="V278:V278"/>
    <mergeCell ref="W278:W278"/>
    <mergeCell ref="X278:X278"/>
    <mergeCell ref="Y278:Y278"/>
    <mergeCell ref="Z278:Z278"/>
    <mergeCell ref="AA278:AA278"/>
    <mergeCell ref="AB278:AB278"/>
    <mergeCell ref="AC278:AC278"/>
    <mergeCell ref="AD278:AD278"/>
    <mergeCell ref="AE278:AE278"/>
    <mergeCell ref="AF278:AF278"/>
    <mergeCell ref="AG278:AG278"/>
    <mergeCell ref="AH278:AH278"/>
    <mergeCell ref="AI278:AI278"/>
    <mergeCell ref="AJ278:AJ278"/>
    <mergeCell ref="AK278:AK278"/>
    <mergeCell ref="AL278:AL278"/>
    <mergeCell ref="AM278:AM278"/>
    <mergeCell ref="AN278:AN278"/>
    <mergeCell ref="AO278:AO278"/>
    <mergeCell ref="A279:A279"/>
    <mergeCell ref="B279:B279"/>
    <mergeCell ref="C279:C279"/>
    <mergeCell ref="D279:D279"/>
    <mergeCell ref="E279:E279"/>
    <mergeCell ref="F279:F279"/>
    <mergeCell ref="G279:G279"/>
    <mergeCell ref="H279:H279"/>
    <mergeCell ref="I279:I279"/>
    <mergeCell ref="J279:J279"/>
    <mergeCell ref="K279:K279"/>
    <mergeCell ref="L279:L279"/>
    <mergeCell ref="M279:M279"/>
    <mergeCell ref="N279:N279"/>
    <mergeCell ref="O279:O279"/>
    <mergeCell ref="P279:P279"/>
    <mergeCell ref="Q279:Q279"/>
    <mergeCell ref="R279:R279"/>
    <mergeCell ref="S279:S279"/>
    <mergeCell ref="T279:T279"/>
    <mergeCell ref="U279:U279"/>
    <mergeCell ref="V279:V279"/>
    <mergeCell ref="W279:W279"/>
    <mergeCell ref="X279:X279"/>
    <mergeCell ref="Y279:Y279"/>
    <mergeCell ref="Z279:Z279"/>
    <mergeCell ref="AA279:AA279"/>
    <mergeCell ref="AB279:AB279"/>
    <mergeCell ref="AC279:AC279"/>
    <mergeCell ref="AD279:AD279"/>
    <mergeCell ref="AE279:AE279"/>
    <mergeCell ref="AF279:AF279"/>
    <mergeCell ref="AG279:AG279"/>
    <mergeCell ref="AH279:AH279"/>
    <mergeCell ref="AI279:AI279"/>
    <mergeCell ref="AJ279:AJ279"/>
    <mergeCell ref="AK279:AK279"/>
    <mergeCell ref="AL279:AL279"/>
    <mergeCell ref="AM279:AM279"/>
    <mergeCell ref="AN279:AN279"/>
    <mergeCell ref="AO279:AO279"/>
    <mergeCell ref="A280:A280"/>
    <mergeCell ref="B280:B280"/>
    <mergeCell ref="C280:C280"/>
    <mergeCell ref="D280:D280"/>
    <mergeCell ref="E280:E280"/>
    <mergeCell ref="F280:F280"/>
    <mergeCell ref="G280:G280"/>
    <mergeCell ref="H280:H280"/>
    <mergeCell ref="I280:I280"/>
    <mergeCell ref="J280:J280"/>
    <mergeCell ref="K280:K280"/>
    <mergeCell ref="L280:L280"/>
    <mergeCell ref="M280:M280"/>
    <mergeCell ref="N280:N280"/>
    <mergeCell ref="O280:O280"/>
    <mergeCell ref="P280:P280"/>
    <mergeCell ref="Q280:Q280"/>
    <mergeCell ref="R280:R280"/>
    <mergeCell ref="S280:S280"/>
    <mergeCell ref="T280:T280"/>
    <mergeCell ref="U280:U280"/>
    <mergeCell ref="V280:V280"/>
    <mergeCell ref="W280:W280"/>
    <mergeCell ref="X280:X280"/>
    <mergeCell ref="Y280:Y280"/>
    <mergeCell ref="Z280:Z280"/>
    <mergeCell ref="AA280:AA280"/>
    <mergeCell ref="AB280:AB280"/>
    <mergeCell ref="AC280:AC280"/>
    <mergeCell ref="AD280:AD280"/>
    <mergeCell ref="AE280:AE280"/>
    <mergeCell ref="AF280:AF280"/>
    <mergeCell ref="AG280:AG280"/>
    <mergeCell ref="AH280:AH280"/>
    <mergeCell ref="AI280:AI280"/>
    <mergeCell ref="AJ280:AJ280"/>
    <mergeCell ref="AK280:AK280"/>
    <mergeCell ref="AL280:AL280"/>
    <mergeCell ref="AM280:AM280"/>
    <mergeCell ref="AN280:AN280"/>
    <mergeCell ref="AO280:AO280"/>
    <mergeCell ref="A281:A281"/>
    <mergeCell ref="B281:B281"/>
    <mergeCell ref="C281:C281"/>
    <mergeCell ref="D281:D281"/>
    <mergeCell ref="E281:E281"/>
    <mergeCell ref="F281:F281"/>
    <mergeCell ref="G281:G281"/>
    <mergeCell ref="H281:H281"/>
    <mergeCell ref="I281:I281"/>
    <mergeCell ref="J281:J281"/>
    <mergeCell ref="K281:K281"/>
    <mergeCell ref="L281:L281"/>
    <mergeCell ref="M281:M281"/>
    <mergeCell ref="N281:N281"/>
    <mergeCell ref="O281:O281"/>
    <mergeCell ref="P281:P281"/>
    <mergeCell ref="Q281:Q281"/>
    <mergeCell ref="R281:R281"/>
    <mergeCell ref="S281:S281"/>
    <mergeCell ref="T281:T281"/>
    <mergeCell ref="U281:U281"/>
    <mergeCell ref="V281:V281"/>
    <mergeCell ref="W281:W281"/>
    <mergeCell ref="X281:X281"/>
    <mergeCell ref="Y281:Y281"/>
    <mergeCell ref="Z281:Z281"/>
    <mergeCell ref="AA281:AA281"/>
    <mergeCell ref="AB281:AB281"/>
    <mergeCell ref="AC281:AC281"/>
    <mergeCell ref="AD281:AD281"/>
    <mergeCell ref="AE281:AE281"/>
    <mergeCell ref="AF281:AF281"/>
    <mergeCell ref="AG281:AG281"/>
    <mergeCell ref="AH281:AH281"/>
    <mergeCell ref="AI281:AI281"/>
    <mergeCell ref="AJ281:AJ281"/>
    <mergeCell ref="AK281:AK281"/>
    <mergeCell ref="AL281:AL281"/>
    <mergeCell ref="AM281:AM281"/>
    <mergeCell ref="AN281:AN281"/>
    <mergeCell ref="AO281:AO281"/>
    <mergeCell ref="A282:A282"/>
    <mergeCell ref="B282:B282"/>
    <mergeCell ref="C282:C282"/>
    <mergeCell ref="D282:D282"/>
    <mergeCell ref="E282:E282"/>
    <mergeCell ref="F282:F282"/>
    <mergeCell ref="G282:G282"/>
    <mergeCell ref="H282:H282"/>
    <mergeCell ref="I282:I282"/>
    <mergeCell ref="J282:J282"/>
    <mergeCell ref="K282:K282"/>
    <mergeCell ref="L282:L282"/>
    <mergeCell ref="M282:M282"/>
    <mergeCell ref="N282:N282"/>
    <mergeCell ref="O282:O282"/>
    <mergeCell ref="P282:P282"/>
    <mergeCell ref="Q282:Q282"/>
    <mergeCell ref="R282:R282"/>
    <mergeCell ref="S282:S282"/>
    <mergeCell ref="T282:T282"/>
    <mergeCell ref="U282:U282"/>
    <mergeCell ref="V282:V282"/>
    <mergeCell ref="W282:W282"/>
    <mergeCell ref="X282:X282"/>
    <mergeCell ref="Y282:Y282"/>
    <mergeCell ref="Z282:Z282"/>
    <mergeCell ref="AA282:AA282"/>
    <mergeCell ref="AB282:AB282"/>
    <mergeCell ref="AC282:AC282"/>
    <mergeCell ref="AD282:AD282"/>
    <mergeCell ref="AE282:AE282"/>
    <mergeCell ref="AF282:AF282"/>
    <mergeCell ref="AG282:AG282"/>
    <mergeCell ref="AH282:AH282"/>
    <mergeCell ref="AI282:AI282"/>
    <mergeCell ref="AJ282:AJ282"/>
    <mergeCell ref="AK282:AK282"/>
    <mergeCell ref="AL282:AL282"/>
    <mergeCell ref="AM282:AM282"/>
    <mergeCell ref="AN282:AN282"/>
    <mergeCell ref="AO282:AO282"/>
    <mergeCell ref="A283:A283"/>
    <mergeCell ref="B283:B283"/>
    <mergeCell ref="C283:C283"/>
    <mergeCell ref="D283:D283"/>
    <mergeCell ref="E283:E283"/>
    <mergeCell ref="F283:F283"/>
    <mergeCell ref="G283:G283"/>
    <mergeCell ref="H283:H283"/>
    <mergeCell ref="I283:I283"/>
    <mergeCell ref="J283:J283"/>
    <mergeCell ref="K283:K283"/>
    <mergeCell ref="L283:L283"/>
    <mergeCell ref="M283:M283"/>
    <mergeCell ref="N283:N283"/>
    <mergeCell ref="O283:O283"/>
    <mergeCell ref="P283:P283"/>
    <mergeCell ref="Q283:Q283"/>
    <mergeCell ref="R283:R283"/>
    <mergeCell ref="S283:S283"/>
    <mergeCell ref="T283:T283"/>
    <mergeCell ref="U283:U283"/>
    <mergeCell ref="V283:V283"/>
    <mergeCell ref="W283:W283"/>
    <mergeCell ref="X283:X283"/>
    <mergeCell ref="Y283:Y283"/>
    <mergeCell ref="Z283:Z283"/>
    <mergeCell ref="AA283:AA283"/>
    <mergeCell ref="AB283:AB283"/>
    <mergeCell ref="AC283:AC283"/>
    <mergeCell ref="AD283:AD283"/>
    <mergeCell ref="AE283:AE283"/>
    <mergeCell ref="AF283:AF283"/>
    <mergeCell ref="AG283:AG283"/>
    <mergeCell ref="AH283:AH283"/>
    <mergeCell ref="AI283:AI283"/>
    <mergeCell ref="AJ283:AJ283"/>
    <mergeCell ref="AK283:AK283"/>
    <mergeCell ref="AL283:AL283"/>
    <mergeCell ref="AM283:AM283"/>
    <mergeCell ref="AN283:AN283"/>
    <mergeCell ref="AO283:AO283"/>
    <mergeCell ref="A284:A284"/>
    <mergeCell ref="B284:B284"/>
    <mergeCell ref="C284:C284"/>
    <mergeCell ref="D284:D284"/>
    <mergeCell ref="E284:E284"/>
    <mergeCell ref="F284:F284"/>
    <mergeCell ref="G284:G284"/>
    <mergeCell ref="H284:H284"/>
    <mergeCell ref="I284:I284"/>
    <mergeCell ref="J284:J284"/>
    <mergeCell ref="K284:K284"/>
    <mergeCell ref="L284:L284"/>
    <mergeCell ref="M284:M284"/>
    <mergeCell ref="N284:N284"/>
    <mergeCell ref="O284:O284"/>
    <mergeCell ref="P284:P284"/>
    <mergeCell ref="Q284:Q284"/>
    <mergeCell ref="R284:R284"/>
    <mergeCell ref="S284:S284"/>
    <mergeCell ref="T284:T284"/>
    <mergeCell ref="U284:U284"/>
    <mergeCell ref="V284:V284"/>
    <mergeCell ref="W284:W284"/>
    <mergeCell ref="X284:X284"/>
    <mergeCell ref="Y284:Y284"/>
    <mergeCell ref="Z284:Z284"/>
    <mergeCell ref="AA284:AA284"/>
    <mergeCell ref="AB284:AB284"/>
    <mergeCell ref="AC284:AC284"/>
    <mergeCell ref="AD284:AD284"/>
    <mergeCell ref="AE284:AE284"/>
    <mergeCell ref="AF284:AF284"/>
    <mergeCell ref="AG284:AG284"/>
    <mergeCell ref="AH284:AH284"/>
    <mergeCell ref="AI284:AI284"/>
    <mergeCell ref="AJ284:AJ284"/>
    <mergeCell ref="AK284:AK284"/>
    <mergeCell ref="AL284:AL284"/>
    <mergeCell ref="AM284:AM284"/>
    <mergeCell ref="AN284:AN284"/>
    <mergeCell ref="AO284:AO284"/>
    <mergeCell ref="A285:A285"/>
    <mergeCell ref="B285:B285"/>
    <mergeCell ref="C285:C285"/>
    <mergeCell ref="D285:D285"/>
    <mergeCell ref="E285:E285"/>
    <mergeCell ref="F285:F285"/>
    <mergeCell ref="G285:G285"/>
    <mergeCell ref="H285:H285"/>
    <mergeCell ref="I285:I285"/>
    <mergeCell ref="J285:J285"/>
    <mergeCell ref="K285:K285"/>
    <mergeCell ref="L285:L285"/>
    <mergeCell ref="M285:M285"/>
    <mergeCell ref="N285:N285"/>
    <mergeCell ref="O285:O285"/>
    <mergeCell ref="P285:P285"/>
    <mergeCell ref="Q285:Q285"/>
    <mergeCell ref="R285:R285"/>
    <mergeCell ref="S285:S285"/>
    <mergeCell ref="T285:T285"/>
    <mergeCell ref="U285:U285"/>
    <mergeCell ref="V285:V285"/>
    <mergeCell ref="W285:W285"/>
    <mergeCell ref="X285:X285"/>
    <mergeCell ref="Y285:Y285"/>
    <mergeCell ref="Z285:Z285"/>
    <mergeCell ref="AA285:AA285"/>
    <mergeCell ref="AB285:AB285"/>
    <mergeCell ref="AC285:AC285"/>
    <mergeCell ref="AD285:AD285"/>
    <mergeCell ref="AE285:AE285"/>
    <mergeCell ref="AF285:AF285"/>
    <mergeCell ref="AG285:AG285"/>
    <mergeCell ref="AH285:AH285"/>
    <mergeCell ref="AI285:AI285"/>
    <mergeCell ref="AJ285:AJ285"/>
    <mergeCell ref="AK285:AK285"/>
    <mergeCell ref="AL285:AL285"/>
    <mergeCell ref="AM285:AM285"/>
    <mergeCell ref="AN285:AN285"/>
    <mergeCell ref="AO285:AO285"/>
    <mergeCell ref="A286:A286"/>
    <mergeCell ref="B286:B286"/>
    <mergeCell ref="C286:C286"/>
    <mergeCell ref="D286:D286"/>
    <mergeCell ref="E286:E286"/>
    <mergeCell ref="F286:F286"/>
    <mergeCell ref="G286:G286"/>
    <mergeCell ref="H286:H286"/>
    <mergeCell ref="I286:I286"/>
    <mergeCell ref="J286:J286"/>
    <mergeCell ref="K286:K286"/>
    <mergeCell ref="L286:L286"/>
    <mergeCell ref="M286:M286"/>
    <mergeCell ref="N286:N286"/>
    <mergeCell ref="O286:O286"/>
    <mergeCell ref="P286:P286"/>
    <mergeCell ref="Q286:Q286"/>
    <mergeCell ref="R286:R286"/>
    <mergeCell ref="S286:S286"/>
    <mergeCell ref="T286:T286"/>
    <mergeCell ref="U286:U286"/>
    <mergeCell ref="V286:V286"/>
    <mergeCell ref="W286:W286"/>
    <mergeCell ref="X286:X286"/>
    <mergeCell ref="Y286:Y286"/>
    <mergeCell ref="Z286:Z286"/>
    <mergeCell ref="AA286:AA286"/>
    <mergeCell ref="AB286:AB286"/>
    <mergeCell ref="AC286:AC286"/>
    <mergeCell ref="AD286:AD286"/>
    <mergeCell ref="AE286:AE286"/>
    <mergeCell ref="AF286:AF286"/>
    <mergeCell ref="AG286:AG286"/>
    <mergeCell ref="AH286:AH286"/>
    <mergeCell ref="AI286:AI286"/>
    <mergeCell ref="AJ286:AJ286"/>
    <mergeCell ref="AK286:AK286"/>
    <mergeCell ref="AL286:AL286"/>
    <mergeCell ref="AM286:AM286"/>
    <mergeCell ref="AN286:AN286"/>
    <mergeCell ref="AO286:AO286"/>
    <mergeCell ref="A287:A287"/>
    <mergeCell ref="B287:B287"/>
    <mergeCell ref="C287:C287"/>
    <mergeCell ref="D287:D287"/>
    <mergeCell ref="E287:E287"/>
    <mergeCell ref="F287:F287"/>
    <mergeCell ref="G287:G287"/>
    <mergeCell ref="H287:H287"/>
    <mergeCell ref="I287:I287"/>
    <mergeCell ref="J287:J287"/>
    <mergeCell ref="K287:K287"/>
    <mergeCell ref="L287:L287"/>
    <mergeCell ref="M287:M287"/>
    <mergeCell ref="N287:N287"/>
    <mergeCell ref="O287:O287"/>
    <mergeCell ref="P287:P287"/>
    <mergeCell ref="Q287:Q287"/>
    <mergeCell ref="R287:R287"/>
    <mergeCell ref="S287:S287"/>
    <mergeCell ref="T287:T287"/>
    <mergeCell ref="U287:U287"/>
    <mergeCell ref="V287:V287"/>
    <mergeCell ref="W287:W287"/>
    <mergeCell ref="X287:X287"/>
    <mergeCell ref="Y287:Y287"/>
    <mergeCell ref="Z287:Z287"/>
    <mergeCell ref="AA287:AA287"/>
    <mergeCell ref="AB287:AB287"/>
    <mergeCell ref="AC287:AC287"/>
    <mergeCell ref="AD287:AD287"/>
    <mergeCell ref="AE287:AE287"/>
    <mergeCell ref="AF287:AF287"/>
    <mergeCell ref="AG287:AG287"/>
    <mergeCell ref="AH287:AH287"/>
    <mergeCell ref="AI287:AI287"/>
    <mergeCell ref="AJ287:AJ287"/>
    <mergeCell ref="AK287:AK287"/>
    <mergeCell ref="AL287:AL287"/>
    <mergeCell ref="AM287:AM287"/>
    <mergeCell ref="AN287:AN287"/>
    <mergeCell ref="AO287:AO287"/>
    <mergeCell ref="A288:A288"/>
    <mergeCell ref="B288:B288"/>
    <mergeCell ref="C288:C288"/>
    <mergeCell ref="D288:D288"/>
    <mergeCell ref="E288:E288"/>
    <mergeCell ref="F288:F288"/>
    <mergeCell ref="G288:G288"/>
    <mergeCell ref="H288:H288"/>
    <mergeCell ref="I288:I288"/>
    <mergeCell ref="J288:J288"/>
    <mergeCell ref="K288:K288"/>
    <mergeCell ref="L288:L288"/>
    <mergeCell ref="M288:M288"/>
    <mergeCell ref="N288:N288"/>
    <mergeCell ref="O288:O288"/>
    <mergeCell ref="P288:P288"/>
    <mergeCell ref="Q288:Q288"/>
    <mergeCell ref="R288:R288"/>
    <mergeCell ref="S288:S288"/>
    <mergeCell ref="T288:T288"/>
    <mergeCell ref="U288:U288"/>
    <mergeCell ref="V288:V288"/>
    <mergeCell ref="W288:W288"/>
    <mergeCell ref="X288:X288"/>
    <mergeCell ref="Y288:Y288"/>
    <mergeCell ref="Z288:Z288"/>
    <mergeCell ref="AA288:AA288"/>
    <mergeCell ref="AB288:AB288"/>
    <mergeCell ref="AC288:AC288"/>
    <mergeCell ref="AD288:AD288"/>
    <mergeCell ref="AE288:AE288"/>
    <mergeCell ref="AF288:AF288"/>
    <mergeCell ref="AG288:AG288"/>
    <mergeCell ref="AH288:AH288"/>
    <mergeCell ref="AI288:AI288"/>
    <mergeCell ref="AJ288:AJ288"/>
    <mergeCell ref="AK288:AK288"/>
    <mergeCell ref="AL288:AL288"/>
    <mergeCell ref="AM288:AM288"/>
    <mergeCell ref="AN288:AN288"/>
    <mergeCell ref="AO288:AO288"/>
    <mergeCell ref="A289:A289"/>
    <mergeCell ref="B289:B289"/>
    <mergeCell ref="C289:C289"/>
    <mergeCell ref="D289:D289"/>
    <mergeCell ref="E289:E289"/>
    <mergeCell ref="F289:F289"/>
    <mergeCell ref="G289:G289"/>
    <mergeCell ref="H289:H289"/>
    <mergeCell ref="I289:I289"/>
    <mergeCell ref="J289:J289"/>
    <mergeCell ref="K289:K289"/>
    <mergeCell ref="L289:L289"/>
    <mergeCell ref="M289:M289"/>
    <mergeCell ref="N289:N289"/>
    <mergeCell ref="O289:O289"/>
    <mergeCell ref="P289:P289"/>
    <mergeCell ref="Q289:Q289"/>
    <mergeCell ref="R289:R289"/>
    <mergeCell ref="S289:S289"/>
    <mergeCell ref="T289:T289"/>
    <mergeCell ref="U289:U289"/>
    <mergeCell ref="V289:V289"/>
    <mergeCell ref="W289:W289"/>
    <mergeCell ref="X289:X289"/>
    <mergeCell ref="Y289:Y289"/>
    <mergeCell ref="Z289:Z289"/>
    <mergeCell ref="AA289:AA289"/>
    <mergeCell ref="AB289:AB289"/>
    <mergeCell ref="AC289:AC289"/>
    <mergeCell ref="AD289:AD289"/>
    <mergeCell ref="AE289:AE289"/>
    <mergeCell ref="AF289:AF289"/>
    <mergeCell ref="AG289:AG289"/>
    <mergeCell ref="AH289:AH289"/>
    <mergeCell ref="AI289:AI289"/>
    <mergeCell ref="AJ289:AJ289"/>
    <mergeCell ref="AK289:AK289"/>
    <mergeCell ref="AL289:AL289"/>
    <mergeCell ref="AM289:AM289"/>
    <mergeCell ref="AN289:AN289"/>
    <mergeCell ref="AO289:AO289"/>
    <mergeCell ref="A290:A290"/>
    <mergeCell ref="B290:B290"/>
    <mergeCell ref="C290:C290"/>
    <mergeCell ref="D290:D290"/>
    <mergeCell ref="E290:E290"/>
    <mergeCell ref="F290:F290"/>
    <mergeCell ref="G290:G290"/>
    <mergeCell ref="H290:H290"/>
    <mergeCell ref="I290:I290"/>
    <mergeCell ref="J290:J290"/>
    <mergeCell ref="K290:K290"/>
    <mergeCell ref="L290:L290"/>
    <mergeCell ref="M290:M290"/>
    <mergeCell ref="N290:N290"/>
    <mergeCell ref="O290:O290"/>
    <mergeCell ref="P290:P290"/>
    <mergeCell ref="Q290:Q290"/>
    <mergeCell ref="R290:R290"/>
    <mergeCell ref="S290:S290"/>
    <mergeCell ref="T290:T290"/>
    <mergeCell ref="U290:U290"/>
    <mergeCell ref="V290:V290"/>
    <mergeCell ref="W290:W290"/>
    <mergeCell ref="X290:X290"/>
    <mergeCell ref="Y290:Y290"/>
    <mergeCell ref="Z290:Z290"/>
    <mergeCell ref="AA290:AA290"/>
    <mergeCell ref="AB290:AB290"/>
    <mergeCell ref="AC290:AC290"/>
    <mergeCell ref="AD290:AD290"/>
    <mergeCell ref="AE290:AE290"/>
    <mergeCell ref="AF290:AF290"/>
    <mergeCell ref="AG290:AG290"/>
    <mergeCell ref="AH290:AH290"/>
    <mergeCell ref="AI290:AI290"/>
    <mergeCell ref="AJ290:AJ290"/>
    <mergeCell ref="AK290:AK290"/>
    <mergeCell ref="AL290:AL290"/>
    <mergeCell ref="AM290:AM290"/>
    <mergeCell ref="AN290:AN290"/>
    <mergeCell ref="AO290:AO290"/>
    <mergeCell ref="A291:A291"/>
    <mergeCell ref="B291:B291"/>
    <mergeCell ref="C291:C291"/>
    <mergeCell ref="D291:D291"/>
    <mergeCell ref="E291:E291"/>
    <mergeCell ref="F291:F291"/>
    <mergeCell ref="G291:G291"/>
    <mergeCell ref="H291:H291"/>
    <mergeCell ref="I291:I291"/>
    <mergeCell ref="J291:J291"/>
    <mergeCell ref="K291:K291"/>
    <mergeCell ref="L291:L291"/>
    <mergeCell ref="M291:M291"/>
    <mergeCell ref="N291:N291"/>
    <mergeCell ref="O291:O291"/>
    <mergeCell ref="P291:P291"/>
    <mergeCell ref="Q291:Q291"/>
    <mergeCell ref="R291:R291"/>
    <mergeCell ref="S291:S291"/>
    <mergeCell ref="T291:T291"/>
    <mergeCell ref="U291:U291"/>
    <mergeCell ref="V291:V291"/>
    <mergeCell ref="W291:W291"/>
    <mergeCell ref="X291:X291"/>
    <mergeCell ref="Y291:Y291"/>
    <mergeCell ref="Z291:Z291"/>
    <mergeCell ref="AA291:AA291"/>
    <mergeCell ref="AB291:AB291"/>
    <mergeCell ref="AC291:AC291"/>
    <mergeCell ref="AD291:AD291"/>
    <mergeCell ref="AE291:AE291"/>
    <mergeCell ref="AF291:AF291"/>
    <mergeCell ref="AG291:AG291"/>
    <mergeCell ref="AH291:AH291"/>
    <mergeCell ref="AI291:AI291"/>
    <mergeCell ref="AJ291:AJ291"/>
    <mergeCell ref="AK291:AK291"/>
    <mergeCell ref="AL291:AL291"/>
    <mergeCell ref="AM291:AM291"/>
    <mergeCell ref="AN291:AN291"/>
    <mergeCell ref="AO291:AO291"/>
    <mergeCell ref="A292:A292"/>
    <mergeCell ref="B292:B292"/>
    <mergeCell ref="C292:C292"/>
    <mergeCell ref="D292:D292"/>
    <mergeCell ref="E292:E292"/>
    <mergeCell ref="F292:F292"/>
    <mergeCell ref="G292:G292"/>
    <mergeCell ref="H292:H292"/>
    <mergeCell ref="I292:I292"/>
    <mergeCell ref="J292:J292"/>
    <mergeCell ref="K292:K292"/>
    <mergeCell ref="L292:L292"/>
    <mergeCell ref="M292:M292"/>
    <mergeCell ref="N292:N292"/>
    <mergeCell ref="O292:O292"/>
    <mergeCell ref="P292:P292"/>
    <mergeCell ref="Q292:Q292"/>
    <mergeCell ref="R292:R292"/>
    <mergeCell ref="S292:S292"/>
    <mergeCell ref="T292:T292"/>
    <mergeCell ref="U292:U292"/>
    <mergeCell ref="V292:V292"/>
    <mergeCell ref="W292:W292"/>
    <mergeCell ref="X292:X292"/>
    <mergeCell ref="Y292:Y292"/>
    <mergeCell ref="Z292:Z292"/>
    <mergeCell ref="AA292:AA292"/>
    <mergeCell ref="AB292:AB292"/>
    <mergeCell ref="AC292:AC292"/>
    <mergeCell ref="AD292:AD292"/>
    <mergeCell ref="AE292:AE292"/>
    <mergeCell ref="AF292:AF292"/>
    <mergeCell ref="AG292:AG292"/>
    <mergeCell ref="AH292:AH292"/>
    <mergeCell ref="AI292:AI292"/>
    <mergeCell ref="AJ292:AJ292"/>
    <mergeCell ref="AK292:AK292"/>
    <mergeCell ref="AL292:AL292"/>
    <mergeCell ref="AM292:AM292"/>
    <mergeCell ref="AN292:AN292"/>
    <mergeCell ref="AO292:AO292"/>
    <mergeCell ref="A293:A293"/>
    <mergeCell ref="B293:B293"/>
    <mergeCell ref="C293:C293"/>
    <mergeCell ref="D293:D293"/>
    <mergeCell ref="E293:E293"/>
    <mergeCell ref="F293:F293"/>
    <mergeCell ref="G293:G293"/>
    <mergeCell ref="H293:H293"/>
    <mergeCell ref="I293:I293"/>
    <mergeCell ref="J293:J293"/>
    <mergeCell ref="K293:K293"/>
    <mergeCell ref="L293:L293"/>
    <mergeCell ref="M293:M293"/>
    <mergeCell ref="N293:N293"/>
    <mergeCell ref="O293:O293"/>
    <mergeCell ref="P293:P293"/>
    <mergeCell ref="Q293:Q293"/>
    <mergeCell ref="R293:R293"/>
    <mergeCell ref="S293:S293"/>
    <mergeCell ref="T293:T293"/>
    <mergeCell ref="U293:U293"/>
    <mergeCell ref="V293:V293"/>
    <mergeCell ref="W293:W293"/>
    <mergeCell ref="X293:X293"/>
    <mergeCell ref="Y293:Y293"/>
    <mergeCell ref="Z293:Z293"/>
    <mergeCell ref="AA293:AA293"/>
    <mergeCell ref="AB293:AB293"/>
    <mergeCell ref="AC293:AC293"/>
    <mergeCell ref="AD293:AD293"/>
    <mergeCell ref="AE293:AE293"/>
    <mergeCell ref="AF293:AF293"/>
    <mergeCell ref="AG293:AG293"/>
    <mergeCell ref="AH293:AH293"/>
    <mergeCell ref="AI293:AI293"/>
    <mergeCell ref="AJ293:AJ293"/>
    <mergeCell ref="AK293:AK293"/>
    <mergeCell ref="AL293:AL293"/>
    <mergeCell ref="AM293:AM293"/>
    <mergeCell ref="AN293:AN293"/>
    <mergeCell ref="AO293:AO293"/>
    <mergeCell ref="A294:A294"/>
    <mergeCell ref="B294:B294"/>
    <mergeCell ref="C294:C294"/>
    <mergeCell ref="D294:D294"/>
    <mergeCell ref="E294:E294"/>
    <mergeCell ref="F294:F294"/>
    <mergeCell ref="G294:G294"/>
    <mergeCell ref="H294:H294"/>
    <mergeCell ref="I294:I294"/>
    <mergeCell ref="J294:J294"/>
    <mergeCell ref="K294:K294"/>
    <mergeCell ref="L294:L294"/>
    <mergeCell ref="M294:M294"/>
    <mergeCell ref="N294:N294"/>
    <mergeCell ref="O294:O294"/>
    <mergeCell ref="P294:P294"/>
    <mergeCell ref="Q294:Q294"/>
    <mergeCell ref="R294:R294"/>
    <mergeCell ref="S294:S294"/>
    <mergeCell ref="T294:T294"/>
    <mergeCell ref="U294:U294"/>
    <mergeCell ref="V294:V294"/>
    <mergeCell ref="W294:W294"/>
    <mergeCell ref="X294:X294"/>
    <mergeCell ref="Y294:Y294"/>
    <mergeCell ref="Z294:Z294"/>
    <mergeCell ref="AA294:AA294"/>
    <mergeCell ref="AB294:AB294"/>
    <mergeCell ref="AC294:AC294"/>
    <mergeCell ref="AD294:AD294"/>
    <mergeCell ref="AE294:AE294"/>
    <mergeCell ref="AF294:AF294"/>
    <mergeCell ref="AG294:AG294"/>
    <mergeCell ref="AH294:AH294"/>
    <mergeCell ref="AI294:AI294"/>
    <mergeCell ref="AJ294:AJ294"/>
    <mergeCell ref="AK294:AK294"/>
    <mergeCell ref="AL294:AL294"/>
    <mergeCell ref="AM294:AM294"/>
    <mergeCell ref="AN294:AN294"/>
    <mergeCell ref="AO294:AO294"/>
    <mergeCell ref="A295:A295"/>
    <mergeCell ref="B295:B295"/>
    <mergeCell ref="C295:C295"/>
    <mergeCell ref="D295:D295"/>
    <mergeCell ref="E295:E295"/>
    <mergeCell ref="F295:F295"/>
    <mergeCell ref="G295:G295"/>
    <mergeCell ref="H295:H295"/>
    <mergeCell ref="I295:I295"/>
    <mergeCell ref="J295:J295"/>
    <mergeCell ref="K295:K295"/>
    <mergeCell ref="L295:L295"/>
    <mergeCell ref="M295:M295"/>
    <mergeCell ref="N295:N295"/>
    <mergeCell ref="O295:O295"/>
    <mergeCell ref="P295:P295"/>
    <mergeCell ref="Q295:Q295"/>
    <mergeCell ref="R295:R295"/>
    <mergeCell ref="S295:S295"/>
    <mergeCell ref="T295:T295"/>
    <mergeCell ref="U295:U295"/>
    <mergeCell ref="V295:V295"/>
    <mergeCell ref="W295:W295"/>
    <mergeCell ref="X295:X295"/>
    <mergeCell ref="Y295:Y295"/>
    <mergeCell ref="Z295:Z295"/>
    <mergeCell ref="AA295:AA295"/>
    <mergeCell ref="AB295:AB295"/>
    <mergeCell ref="AC295:AC295"/>
    <mergeCell ref="AD295:AD295"/>
    <mergeCell ref="AE295:AE295"/>
    <mergeCell ref="AF295:AF295"/>
    <mergeCell ref="AG295:AG295"/>
    <mergeCell ref="AH295:AH295"/>
    <mergeCell ref="AI295:AI295"/>
    <mergeCell ref="AJ295:AJ295"/>
    <mergeCell ref="AK295:AK295"/>
    <mergeCell ref="AL295:AL295"/>
    <mergeCell ref="AM295:AM295"/>
    <mergeCell ref="AN295:AN295"/>
    <mergeCell ref="AO295:AO295"/>
    <mergeCell ref="A296:A296"/>
    <mergeCell ref="B296:B296"/>
    <mergeCell ref="C296:C296"/>
    <mergeCell ref="D296:D296"/>
    <mergeCell ref="E296:E296"/>
    <mergeCell ref="F296:F296"/>
    <mergeCell ref="G296:G296"/>
    <mergeCell ref="H296:H296"/>
    <mergeCell ref="I296:I296"/>
    <mergeCell ref="J296:J296"/>
    <mergeCell ref="K296:K296"/>
    <mergeCell ref="L296:L296"/>
    <mergeCell ref="M296:M296"/>
    <mergeCell ref="N296:N296"/>
    <mergeCell ref="O296:O296"/>
    <mergeCell ref="P296:P296"/>
    <mergeCell ref="Q296:Q296"/>
    <mergeCell ref="R296:R296"/>
    <mergeCell ref="S296:S296"/>
    <mergeCell ref="T296:T296"/>
    <mergeCell ref="U296:U296"/>
    <mergeCell ref="V296:V296"/>
    <mergeCell ref="W296:W296"/>
    <mergeCell ref="X296:X296"/>
    <mergeCell ref="Y296:Y296"/>
    <mergeCell ref="Z296:Z296"/>
    <mergeCell ref="AA296:AA296"/>
    <mergeCell ref="AB296:AB296"/>
    <mergeCell ref="AC296:AC296"/>
    <mergeCell ref="AD296:AD296"/>
    <mergeCell ref="AE296:AE296"/>
    <mergeCell ref="AF296:AF296"/>
    <mergeCell ref="AG296:AG296"/>
    <mergeCell ref="AH296:AH296"/>
    <mergeCell ref="AI296:AI296"/>
    <mergeCell ref="AJ296:AJ296"/>
    <mergeCell ref="AK296:AK296"/>
    <mergeCell ref="AL296:AL296"/>
    <mergeCell ref="AM296:AM296"/>
    <mergeCell ref="AN296:AN296"/>
    <mergeCell ref="AO296:AO296"/>
    <mergeCell ref="A297:A297"/>
    <mergeCell ref="B297:B297"/>
    <mergeCell ref="C297:C297"/>
    <mergeCell ref="D297:D297"/>
    <mergeCell ref="E297:E297"/>
    <mergeCell ref="F297:F297"/>
    <mergeCell ref="G297:G297"/>
    <mergeCell ref="H297:H297"/>
    <mergeCell ref="I297:I297"/>
    <mergeCell ref="J297:J297"/>
    <mergeCell ref="K297:K297"/>
    <mergeCell ref="L297:L297"/>
    <mergeCell ref="M297:M297"/>
    <mergeCell ref="N297:N297"/>
    <mergeCell ref="O297:O297"/>
    <mergeCell ref="P297:P297"/>
    <mergeCell ref="Q297:Q297"/>
    <mergeCell ref="R297:R297"/>
    <mergeCell ref="S297:S297"/>
    <mergeCell ref="T297:T297"/>
    <mergeCell ref="U297:U297"/>
    <mergeCell ref="V297:V297"/>
    <mergeCell ref="W297:W297"/>
    <mergeCell ref="X297:X297"/>
    <mergeCell ref="Y297:Y297"/>
    <mergeCell ref="Z297:Z297"/>
    <mergeCell ref="AA297:AA297"/>
    <mergeCell ref="AB297:AB297"/>
    <mergeCell ref="AC297:AC297"/>
    <mergeCell ref="AD297:AD297"/>
    <mergeCell ref="AE297:AE297"/>
    <mergeCell ref="AF297:AF297"/>
    <mergeCell ref="AG297:AG297"/>
    <mergeCell ref="AH297:AH297"/>
    <mergeCell ref="AI297:AI297"/>
    <mergeCell ref="AJ297:AJ297"/>
    <mergeCell ref="AK297:AK297"/>
    <mergeCell ref="AL297:AL297"/>
    <mergeCell ref="AM297:AM297"/>
    <mergeCell ref="AN297:AN297"/>
    <mergeCell ref="AO297:AO297"/>
    <mergeCell ref="A298:A298"/>
    <mergeCell ref="B298:B298"/>
    <mergeCell ref="C298:C298"/>
    <mergeCell ref="D298:D298"/>
    <mergeCell ref="E298:E298"/>
    <mergeCell ref="F298:F298"/>
    <mergeCell ref="G298:G298"/>
    <mergeCell ref="H298:H298"/>
    <mergeCell ref="I298:I298"/>
    <mergeCell ref="J298:J298"/>
    <mergeCell ref="K298:K298"/>
    <mergeCell ref="L298:L298"/>
    <mergeCell ref="M298:M298"/>
    <mergeCell ref="N298:N298"/>
    <mergeCell ref="O298:O298"/>
    <mergeCell ref="P298:P298"/>
    <mergeCell ref="Q298:Q298"/>
    <mergeCell ref="R298:R298"/>
    <mergeCell ref="S298:S298"/>
    <mergeCell ref="T298:T298"/>
    <mergeCell ref="U298:U298"/>
    <mergeCell ref="V298:V298"/>
    <mergeCell ref="W298:W298"/>
    <mergeCell ref="X298:X298"/>
    <mergeCell ref="Y298:Y298"/>
    <mergeCell ref="Z298:Z298"/>
    <mergeCell ref="AA298:AA298"/>
    <mergeCell ref="AB298:AB298"/>
    <mergeCell ref="AC298:AC298"/>
    <mergeCell ref="AD298:AD298"/>
    <mergeCell ref="AE298:AE298"/>
    <mergeCell ref="AF298:AF298"/>
    <mergeCell ref="AG298:AG298"/>
    <mergeCell ref="AH298:AH298"/>
    <mergeCell ref="AI298:AI298"/>
    <mergeCell ref="AJ298:AJ298"/>
    <mergeCell ref="AK298:AK298"/>
    <mergeCell ref="AL298:AL298"/>
    <mergeCell ref="AM298:AM298"/>
    <mergeCell ref="AN298:AN298"/>
    <mergeCell ref="AO298:AO298"/>
    <mergeCell ref="A299:A299"/>
    <mergeCell ref="B299:B299"/>
    <mergeCell ref="C299:C299"/>
    <mergeCell ref="D299:D299"/>
    <mergeCell ref="E299:E299"/>
    <mergeCell ref="F299:F299"/>
    <mergeCell ref="G299:G299"/>
    <mergeCell ref="H299:H299"/>
    <mergeCell ref="I299:I299"/>
    <mergeCell ref="J299:J299"/>
    <mergeCell ref="K299:K299"/>
    <mergeCell ref="L299:L299"/>
    <mergeCell ref="M299:M299"/>
    <mergeCell ref="N299:N299"/>
    <mergeCell ref="O299:O299"/>
    <mergeCell ref="P299:P299"/>
    <mergeCell ref="Q299:Q299"/>
    <mergeCell ref="R299:R299"/>
    <mergeCell ref="S299:S299"/>
    <mergeCell ref="T299:T299"/>
    <mergeCell ref="U299:U299"/>
    <mergeCell ref="V299:V299"/>
    <mergeCell ref="W299:W299"/>
    <mergeCell ref="X299:X299"/>
    <mergeCell ref="Y299:Y299"/>
    <mergeCell ref="Z299:Z299"/>
    <mergeCell ref="AA299:AA299"/>
    <mergeCell ref="AB299:AB299"/>
    <mergeCell ref="AC299:AC299"/>
    <mergeCell ref="AD299:AD299"/>
    <mergeCell ref="AE299:AE299"/>
    <mergeCell ref="AF299:AF299"/>
    <mergeCell ref="AG299:AG299"/>
    <mergeCell ref="AH299:AH299"/>
    <mergeCell ref="AI299:AI299"/>
    <mergeCell ref="AJ299:AJ299"/>
    <mergeCell ref="AK299:AK299"/>
    <mergeCell ref="AL299:AL299"/>
    <mergeCell ref="AM299:AM299"/>
    <mergeCell ref="AN299:AN299"/>
    <mergeCell ref="AO299:AO299"/>
    <mergeCell ref="A300:A300"/>
    <mergeCell ref="B300:B300"/>
    <mergeCell ref="C300:C300"/>
    <mergeCell ref="D300:D300"/>
    <mergeCell ref="E300:E300"/>
    <mergeCell ref="F300:F300"/>
    <mergeCell ref="G300:G300"/>
    <mergeCell ref="H300:H300"/>
    <mergeCell ref="I300:I300"/>
    <mergeCell ref="J300:J300"/>
    <mergeCell ref="K300:K300"/>
    <mergeCell ref="L300:L300"/>
    <mergeCell ref="M300:M300"/>
    <mergeCell ref="N300:N300"/>
    <mergeCell ref="O300:O300"/>
    <mergeCell ref="P300:P300"/>
    <mergeCell ref="Q300:Q300"/>
    <mergeCell ref="R300:R300"/>
    <mergeCell ref="S300:S300"/>
    <mergeCell ref="T300:T300"/>
    <mergeCell ref="U300:U300"/>
    <mergeCell ref="V300:V300"/>
    <mergeCell ref="W300:W300"/>
    <mergeCell ref="X300:X300"/>
    <mergeCell ref="Y300:Y300"/>
    <mergeCell ref="Z300:Z300"/>
    <mergeCell ref="AA300:AA300"/>
    <mergeCell ref="AB300:AB300"/>
    <mergeCell ref="AC300:AC300"/>
    <mergeCell ref="AD300:AD300"/>
    <mergeCell ref="AE300:AE300"/>
    <mergeCell ref="AF300:AF300"/>
    <mergeCell ref="AG300:AG300"/>
    <mergeCell ref="AH300:AH300"/>
    <mergeCell ref="AI300:AI300"/>
    <mergeCell ref="AJ300:AJ300"/>
    <mergeCell ref="AK300:AK300"/>
    <mergeCell ref="AL300:AL300"/>
    <mergeCell ref="AM300:AM300"/>
    <mergeCell ref="AN300:AN300"/>
    <mergeCell ref="AO300:AO300"/>
    <mergeCell ref="A301:A301"/>
    <mergeCell ref="B301:B301"/>
    <mergeCell ref="C301:C301"/>
    <mergeCell ref="D301:D301"/>
    <mergeCell ref="E301:E301"/>
    <mergeCell ref="F301:F301"/>
    <mergeCell ref="G301:G301"/>
    <mergeCell ref="H301:H301"/>
    <mergeCell ref="I301:I301"/>
    <mergeCell ref="J301:J301"/>
    <mergeCell ref="K301:K301"/>
    <mergeCell ref="L301:L301"/>
    <mergeCell ref="M301:M301"/>
    <mergeCell ref="N301:N301"/>
    <mergeCell ref="O301:O301"/>
    <mergeCell ref="P301:P301"/>
    <mergeCell ref="Q301:Q301"/>
    <mergeCell ref="R301:R301"/>
    <mergeCell ref="S301:S301"/>
    <mergeCell ref="T301:T301"/>
    <mergeCell ref="U301:U301"/>
    <mergeCell ref="V301:V301"/>
    <mergeCell ref="W301:W301"/>
    <mergeCell ref="X301:X301"/>
    <mergeCell ref="Y301:Y301"/>
    <mergeCell ref="Z301:Z301"/>
    <mergeCell ref="AA301:AA301"/>
    <mergeCell ref="AB301:AB301"/>
    <mergeCell ref="AC301:AC301"/>
    <mergeCell ref="AD301:AD301"/>
    <mergeCell ref="AE301:AE301"/>
    <mergeCell ref="AF301:AF301"/>
    <mergeCell ref="AG301:AG301"/>
    <mergeCell ref="AH301:AH301"/>
    <mergeCell ref="AI301:AI301"/>
    <mergeCell ref="AJ301:AJ301"/>
    <mergeCell ref="AK301:AK301"/>
    <mergeCell ref="AL301:AL301"/>
    <mergeCell ref="AM301:AM301"/>
    <mergeCell ref="AN301:AN301"/>
    <mergeCell ref="AO301:AO301"/>
    <mergeCell ref="A302:A302"/>
    <mergeCell ref="B302:B302"/>
    <mergeCell ref="C302:C302"/>
    <mergeCell ref="D302:D302"/>
    <mergeCell ref="E302:E302"/>
    <mergeCell ref="F302:F302"/>
    <mergeCell ref="G302:G302"/>
    <mergeCell ref="H302:H302"/>
    <mergeCell ref="I302:I302"/>
    <mergeCell ref="J302:J302"/>
    <mergeCell ref="K302:K302"/>
    <mergeCell ref="L302:L302"/>
    <mergeCell ref="M302:M302"/>
    <mergeCell ref="N302:N302"/>
    <mergeCell ref="O302:O302"/>
    <mergeCell ref="P302:P302"/>
    <mergeCell ref="Q302:Q302"/>
    <mergeCell ref="R302:R302"/>
    <mergeCell ref="S302:S302"/>
    <mergeCell ref="T302:T302"/>
    <mergeCell ref="U302:U302"/>
    <mergeCell ref="V302:V302"/>
    <mergeCell ref="W302:W302"/>
    <mergeCell ref="X302:X302"/>
    <mergeCell ref="Y302:Y302"/>
    <mergeCell ref="Z302:Z302"/>
    <mergeCell ref="AA302:AA302"/>
    <mergeCell ref="AB302:AB302"/>
    <mergeCell ref="AC302:AC302"/>
    <mergeCell ref="AD302:AD302"/>
    <mergeCell ref="AE302:AE302"/>
    <mergeCell ref="AF302:AF302"/>
    <mergeCell ref="AG302:AG302"/>
    <mergeCell ref="AH302:AH302"/>
    <mergeCell ref="AI302:AI302"/>
    <mergeCell ref="AJ302:AJ302"/>
    <mergeCell ref="AK302:AK302"/>
    <mergeCell ref="AL302:AL302"/>
    <mergeCell ref="AM302:AM302"/>
    <mergeCell ref="AN302:AN302"/>
    <mergeCell ref="AO302:AO302"/>
    <mergeCell ref="A303:A303"/>
    <mergeCell ref="B303:B303"/>
    <mergeCell ref="C303:C303"/>
    <mergeCell ref="D303:D303"/>
    <mergeCell ref="E303:E303"/>
    <mergeCell ref="F303:F303"/>
    <mergeCell ref="G303:G303"/>
    <mergeCell ref="H303:H303"/>
    <mergeCell ref="I303:I303"/>
    <mergeCell ref="J303:J303"/>
    <mergeCell ref="K303:K303"/>
    <mergeCell ref="L303:L303"/>
    <mergeCell ref="M303:M303"/>
    <mergeCell ref="N303:N303"/>
    <mergeCell ref="O303:O303"/>
    <mergeCell ref="P303:P303"/>
    <mergeCell ref="Q303:Q303"/>
    <mergeCell ref="R303:R303"/>
    <mergeCell ref="S303:S303"/>
    <mergeCell ref="T303:T303"/>
    <mergeCell ref="U303:U303"/>
    <mergeCell ref="V303:V303"/>
    <mergeCell ref="W303:W303"/>
    <mergeCell ref="X303:X303"/>
    <mergeCell ref="Y303:Y303"/>
    <mergeCell ref="Z303:Z303"/>
    <mergeCell ref="AA303:AA303"/>
    <mergeCell ref="AB303:AB303"/>
    <mergeCell ref="AC303:AC303"/>
    <mergeCell ref="AD303:AD303"/>
    <mergeCell ref="AE303:AE303"/>
    <mergeCell ref="AF303:AF303"/>
    <mergeCell ref="AG303:AG303"/>
    <mergeCell ref="AH303:AH303"/>
    <mergeCell ref="AI303:AI303"/>
    <mergeCell ref="AJ303:AJ303"/>
    <mergeCell ref="AK303:AK303"/>
    <mergeCell ref="AL303:AL303"/>
    <mergeCell ref="AM303:AM303"/>
    <mergeCell ref="AN303:AN303"/>
    <mergeCell ref="AO303:AO303"/>
    <mergeCell ref="A304:A304"/>
    <mergeCell ref="B304:B304"/>
    <mergeCell ref="C304:C304"/>
    <mergeCell ref="D304:D304"/>
    <mergeCell ref="E304:E304"/>
    <mergeCell ref="F304:F304"/>
    <mergeCell ref="G304:G304"/>
    <mergeCell ref="H304:H304"/>
    <mergeCell ref="I304:I304"/>
    <mergeCell ref="J304:J304"/>
    <mergeCell ref="K304:K304"/>
    <mergeCell ref="L304:L304"/>
    <mergeCell ref="M304:M304"/>
    <mergeCell ref="N304:N304"/>
    <mergeCell ref="O304:O304"/>
    <mergeCell ref="P304:P304"/>
    <mergeCell ref="Q304:Q304"/>
    <mergeCell ref="R304:R304"/>
    <mergeCell ref="S304:S304"/>
    <mergeCell ref="T304:T304"/>
    <mergeCell ref="U304:U304"/>
    <mergeCell ref="V304:V304"/>
    <mergeCell ref="W304:W304"/>
    <mergeCell ref="X304:X304"/>
    <mergeCell ref="Y304:Y304"/>
    <mergeCell ref="Z304:Z304"/>
    <mergeCell ref="AA304:AA304"/>
    <mergeCell ref="AB304:AB304"/>
    <mergeCell ref="AC304:AC304"/>
    <mergeCell ref="AD304:AD304"/>
    <mergeCell ref="AE304:AE304"/>
    <mergeCell ref="AF304:AF304"/>
    <mergeCell ref="AG304:AG304"/>
    <mergeCell ref="AH304:AH304"/>
    <mergeCell ref="AI304:AI304"/>
    <mergeCell ref="AJ304:AJ304"/>
    <mergeCell ref="AK304:AK304"/>
    <mergeCell ref="AL304:AL304"/>
    <mergeCell ref="AM304:AM304"/>
    <mergeCell ref="AN304:AN304"/>
    <mergeCell ref="AO304:AO304"/>
    <mergeCell ref="A305:A305"/>
    <mergeCell ref="B305:B305"/>
    <mergeCell ref="C305:C305"/>
    <mergeCell ref="D305:D305"/>
    <mergeCell ref="E305:E305"/>
    <mergeCell ref="F305:F305"/>
    <mergeCell ref="G305:G305"/>
    <mergeCell ref="H305:H305"/>
    <mergeCell ref="I305:I305"/>
    <mergeCell ref="J305:J305"/>
    <mergeCell ref="K305:K305"/>
    <mergeCell ref="L305:L305"/>
    <mergeCell ref="M305:M305"/>
    <mergeCell ref="N305:N305"/>
    <mergeCell ref="O305:O305"/>
    <mergeCell ref="P305:P305"/>
    <mergeCell ref="Q305:Q305"/>
    <mergeCell ref="R305:R305"/>
    <mergeCell ref="S305:S305"/>
    <mergeCell ref="T305:T305"/>
    <mergeCell ref="U305:U305"/>
    <mergeCell ref="V305:V305"/>
    <mergeCell ref="W305:W305"/>
    <mergeCell ref="X305:X305"/>
    <mergeCell ref="Y305:Y305"/>
    <mergeCell ref="Z305:Z305"/>
    <mergeCell ref="AA305:AA305"/>
    <mergeCell ref="AB305:AB305"/>
    <mergeCell ref="AC305:AC305"/>
    <mergeCell ref="AD305:AD305"/>
    <mergeCell ref="AE305:AE305"/>
    <mergeCell ref="AF305:AF305"/>
    <mergeCell ref="AG305:AG305"/>
    <mergeCell ref="AH305:AH305"/>
    <mergeCell ref="AI305:AI305"/>
    <mergeCell ref="AJ305:AJ305"/>
    <mergeCell ref="AK305:AK305"/>
    <mergeCell ref="AL305:AL305"/>
    <mergeCell ref="AM305:AM305"/>
    <mergeCell ref="AN305:AN305"/>
    <mergeCell ref="AO305:AO305"/>
    <mergeCell ref="A306:A306"/>
    <mergeCell ref="B306:B306"/>
    <mergeCell ref="C306:C306"/>
    <mergeCell ref="D306:D306"/>
    <mergeCell ref="E306:E306"/>
    <mergeCell ref="F306:F306"/>
    <mergeCell ref="G306:G306"/>
    <mergeCell ref="H306:H306"/>
    <mergeCell ref="I306:I306"/>
    <mergeCell ref="J306:J306"/>
    <mergeCell ref="K306:K306"/>
    <mergeCell ref="L306:L306"/>
    <mergeCell ref="M306:M306"/>
    <mergeCell ref="N306:N306"/>
    <mergeCell ref="O306:O306"/>
    <mergeCell ref="P306:P306"/>
    <mergeCell ref="Q306:Q306"/>
    <mergeCell ref="R306:R306"/>
    <mergeCell ref="S306:S306"/>
    <mergeCell ref="T306:T306"/>
    <mergeCell ref="U306:U306"/>
    <mergeCell ref="V306:V306"/>
    <mergeCell ref="W306:W306"/>
    <mergeCell ref="X306:X306"/>
    <mergeCell ref="Y306:Y306"/>
    <mergeCell ref="Z306:Z306"/>
    <mergeCell ref="AA306:AA306"/>
    <mergeCell ref="AB306:AB306"/>
    <mergeCell ref="AC306:AC306"/>
    <mergeCell ref="AD306:AD306"/>
    <mergeCell ref="AE306:AE306"/>
    <mergeCell ref="AF306:AF306"/>
    <mergeCell ref="AG306:AG306"/>
    <mergeCell ref="AH306:AH306"/>
    <mergeCell ref="AI306:AI306"/>
    <mergeCell ref="AJ306:AJ306"/>
    <mergeCell ref="AK306:AK306"/>
    <mergeCell ref="AL306:AL306"/>
    <mergeCell ref="AM306:AM306"/>
    <mergeCell ref="AN306:AN306"/>
    <mergeCell ref="AO306:AO306"/>
    <mergeCell ref="A307:A307"/>
    <mergeCell ref="B307:B307"/>
    <mergeCell ref="C307:C307"/>
    <mergeCell ref="D307:D307"/>
    <mergeCell ref="E307:E307"/>
    <mergeCell ref="F307:F307"/>
    <mergeCell ref="G307:G307"/>
    <mergeCell ref="H307:H307"/>
    <mergeCell ref="I307:I307"/>
    <mergeCell ref="J307:J307"/>
    <mergeCell ref="K307:K307"/>
    <mergeCell ref="L307:L307"/>
    <mergeCell ref="M307:M307"/>
    <mergeCell ref="N307:N307"/>
    <mergeCell ref="O307:O307"/>
    <mergeCell ref="P307:P307"/>
    <mergeCell ref="Q307:Q307"/>
    <mergeCell ref="R307:R307"/>
    <mergeCell ref="S307:S307"/>
    <mergeCell ref="T307:T307"/>
    <mergeCell ref="U307:U307"/>
    <mergeCell ref="V307:V307"/>
    <mergeCell ref="W307:W307"/>
    <mergeCell ref="X307:X307"/>
    <mergeCell ref="Y307:Y307"/>
    <mergeCell ref="Z307:Z307"/>
    <mergeCell ref="AA307:AA307"/>
    <mergeCell ref="AB307:AB307"/>
    <mergeCell ref="AC307:AC307"/>
    <mergeCell ref="AD307:AD307"/>
    <mergeCell ref="AE307:AE307"/>
    <mergeCell ref="AF307:AF307"/>
    <mergeCell ref="AG307:AG307"/>
    <mergeCell ref="AH307:AH307"/>
    <mergeCell ref="AI307:AI307"/>
    <mergeCell ref="AJ307:AJ307"/>
    <mergeCell ref="AK307:AK307"/>
    <mergeCell ref="AL307:AL307"/>
    <mergeCell ref="AM307:AM307"/>
    <mergeCell ref="AN307:AN307"/>
    <mergeCell ref="AO307:AO307"/>
    <mergeCell ref="A308:A308"/>
    <mergeCell ref="B308:B308"/>
    <mergeCell ref="C308:C308"/>
    <mergeCell ref="D308:D308"/>
    <mergeCell ref="E308:E308"/>
    <mergeCell ref="F308:F308"/>
    <mergeCell ref="G308:G308"/>
    <mergeCell ref="H308:H308"/>
    <mergeCell ref="I308:I308"/>
    <mergeCell ref="J308:J308"/>
    <mergeCell ref="K308:K308"/>
    <mergeCell ref="L308:L308"/>
    <mergeCell ref="M308:M308"/>
    <mergeCell ref="N308:N308"/>
    <mergeCell ref="O308:O308"/>
    <mergeCell ref="P308:P308"/>
    <mergeCell ref="Q308:Q308"/>
    <mergeCell ref="R308:R308"/>
    <mergeCell ref="S308:S308"/>
    <mergeCell ref="T308:T308"/>
    <mergeCell ref="U308:U308"/>
    <mergeCell ref="V308:V308"/>
    <mergeCell ref="W308:W308"/>
    <mergeCell ref="X308:X308"/>
    <mergeCell ref="Y308:Y308"/>
    <mergeCell ref="Z308:Z308"/>
    <mergeCell ref="AA308:AA308"/>
    <mergeCell ref="AB308:AB308"/>
    <mergeCell ref="AC308:AC308"/>
    <mergeCell ref="AD308:AD308"/>
    <mergeCell ref="AE308:AE308"/>
    <mergeCell ref="AF308:AF308"/>
    <mergeCell ref="AG308:AG308"/>
    <mergeCell ref="AH308:AH308"/>
    <mergeCell ref="AI308:AI308"/>
    <mergeCell ref="AJ308:AJ308"/>
    <mergeCell ref="AK308:AK308"/>
    <mergeCell ref="AL308:AL308"/>
    <mergeCell ref="AM308:AM308"/>
    <mergeCell ref="AN308:AN308"/>
    <mergeCell ref="AO308:AO308"/>
    <mergeCell ref="A309:A309"/>
    <mergeCell ref="B309:B309"/>
    <mergeCell ref="C309:C309"/>
    <mergeCell ref="D309:D309"/>
    <mergeCell ref="E309:E309"/>
    <mergeCell ref="F309:F309"/>
    <mergeCell ref="G309:G309"/>
    <mergeCell ref="H309:H309"/>
    <mergeCell ref="I309:I309"/>
    <mergeCell ref="J309:J309"/>
    <mergeCell ref="K309:K309"/>
    <mergeCell ref="L309:L309"/>
    <mergeCell ref="M309:M309"/>
    <mergeCell ref="N309:N309"/>
    <mergeCell ref="O309:O309"/>
    <mergeCell ref="P309:P309"/>
    <mergeCell ref="Q309:Q309"/>
    <mergeCell ref="R309:R309"/>
    <mergeCell ref="S309:S309"/>
    <mergeCell ref="T309:T309"/>
    <mergeCell ref="U309:U309"/>
    <mergeCell ref="V309:V309"/>
    <mergeCell ref="W309:W309"/>
    <mergeCell ref="X309:X309"/>
    <mergeCell ref="Y309:Y309"/>
    <mergeCell ref="Z309:Z309"/>
    <mergeCell ref="AA309:AA309"/>
    <mergeCell ref="AB309:AB309"/>
    <mergeCell ref="AC309:AC309"/>
    <mergeCell ref="AD309:AD309"/>
    <mergeCell ref="AE309:AE309"/>
    <mergeCell ref="AF309:AF309"/>
    <mergeCell ref="AG309:AG309"/>
    <mergeCell ref="AH309:AH309"/>
    <mergeCell ref="AI309:AI309"/>
    <mergeCell ref="AJ309:AJ309"/>
    <mergeCell ref="AK309:AK309"/>
    <mergeCell ref="AL309:AL309"/>
    <mergeCell ref="AM309:AM309"/>
    <mergeCell ref="AN309:AN309"/>
    <mergeCell ref="AO309:AO309"/>
    <mergeCell ref="A310:A310"/>
    <mergeCell ref="B310:B310"/>
    <mergeCell ref="C310:C310"/>
    <mergeCell ref="D310:D310"/>
    <mergeCell ref="E310:E310"/>
    <mergeCell ref="F310:F310"/>
    <mergeCell ref="G310:G310"/>
    <mergeCell ref="H310:H310"/>
    <mergeCell ref="I310:I310"/>
    <mergeCell ref="J310:J310"/>
    <mergeCell ref="K310:K310"/>
    <mergeCell ref="L310:L310"/>
    <mergeCell ref="M310:M310"/>
    <mergeCell ref="N310:N310"/>
    <mergeCell ref="O310:O310"/>
    <mergeCell ref="P310:P310"/>
    <mergeCell ref="Q310:Q310"/>
    <mergeCell ref="R310:R310"/>
    <mergeCell ref="S310:S310"/>
    <mergeCell ref="T310:T310"/>
    <mergeCell ref="U310:U310"/>
    <mergeCell ref="V310:V310"/>
    <mergeCell ref="W310:W310"/>
    <mergeCell ref="X310:X310"/>
    <mergeCell ref="Y310:Y310"/>
    <mergeCell ref="Z310:Z310"/>
    <mergeCell ref="AA310:AA310"/>
    <mergeCell ref="AB310:AB310"/>
    <mergeCell ref="AC310:AC310"/>
    <mergeCell ref="AD310:AD310"/>
    <mergeCell ref="AE310:AE310"/>
    <mergeCell ref="AF310:AF310"/>
    <mergeCell ref="AG310:AG310"/>
    <mergeCell ref="AH310:AH310"/>
    <mergeCell ref="AI310:AI310"/>
    <mergeCell ref="AJ310:AJ310"/>
    <mergeCell ref="AK310:AK310"/>
    <mergeCell ref="AL310:AL310"/>
    <mergeCell ref="AM310:AM310"/>
    <mergeCell ref="AN310:AN310"/>
    <mergeCell ref="AO310:AO310"/>
    <mergeCell ref="A311:A311"/>
    <mergeCell ref="B311:B311"/>
    <mergeCell ref="C311:C311"/>
    <mergeCell ref="D311:D311"/>
    <mergeCell ref="E311:E311"/>
    <mergeCell ref="F311:F311"/>
    <mergeCell ref="G311:G311"/>
    <mergeCell ref="H311:H311"/>
    <mergeCell ref="I311:I311"/>
    <mergeCell ref="J311:J311"/>
    <mergeCell ref="K311:K311"/>
    <mergeCell ref="L311:L311"/>
    <mergeCell ref="M311:M311"/>
    <mergeCell ref="N311:N311"/>
    <mergeCell ref="O311:O311"/>
    <mergeCell ref="P311:P311"/>
    <mergeCell ref="Q311:Q311"/>
    <mergeCell ref="R311:R311"/>
    <mergeCell ref="S311:S311"/>
    <mergeCell ref="T311:T311"/>
    <mergeCell ref="U311:U311"/>
    <mergeCell ref="V311:V311"/>
    <mergeCell ref="W311:W311"/>
    <mergeCell ref="X311:X311"/>
    <mergeCell ref="Y311:Y311"/>
    <mergeCell ref="Z311:Z311"/>
    <mergeCell ref="AA311:AA311"/>
    <mergeCell ref="AB311:AB311"/>
    <mergeCell ref="AC311:AC311"/>
    <mergeCell ref="AD311:AD311"/>
    <mergeCell ref="AE311:AE311"/>
    <mergeCell ref="AF311:AF311"/>
    <mergeCell ref="AG311:AG311"/>
    <mergeCell ref="AH311:AH311"/>
    <mergeCell ref="AI311:AI311"/>
    <mergeCell ref="AJ311:AJ311"/>
    <mergeCell ref="AK311:AK311"/>
    <mergeCell ref="AL311:AL311"/>
    <mergeCell ref="AM311:AM311"/>
    <mergeCell ref="AN311:AN311"/>
    <mergeCell ref="AO311:AO311"/>
    <mergeCell ref="A312:A312"/>
    <mergeCell ref="B312:B312"/>
    <mergeCell ref="C312:C312"/>
    <mergeCell ref="D312:D312"/>
    <mergeCell ref="E312:E312"/>
    <mergeCell ref="F312:F312"/>
    <mergeCell ref="G312:G312"/>
    <mergeCell ref="H312:H312"/>
    <mergeCell ref="I312:I312"/>
    <mergeCell ref="J312:J312"/>
    <mergeCell ref="K312:K312"/>
    <mergeCell ref="L312:L312"/>
    <mergeCell ref="M312:M312"/>
    <mergeCell ref="N312:N312"/>
    <mergeCell ref="O312:O312"/>
    <mergeCell ref="P312:P312"/>
    <mergeCell ref="Q312:Q312"/>
    <mergeCell ref="R312:R312"/>
    <mergeCell ref="S312:S312"/>
    <mergeCell ref="T312:T312"/>
    <mergeCell ref="U312:U312"/>
    <mergeCell ref="V312:V312"/>
    <mergeCell ref="W312:W312"/>
    <mergeCell ref="X312:X312"/>
    <mergeCell ref="Y312:Y312"/>
    <mergeCell ref="Z312:Z312"/>
    <mergeCell ref="AA312:AA312"/>
    <mergeCell ref="AB312:AB312"/>
    <mergeCell ref="AC312:AC312"/>
    <mergeCell ref="AD312:AD312"/>
    <mergeCell ref="AE312:AE312"/>
    <mergeCell ref="AF312:AF312"/>
    <mergeCell ref="AG312:AG312"/>
    <mergeCell ref="AH312:AH312"/>
    <mergeCell ref="AI312:AI312"/>
    <mergeCell ref="AJ312:AJ312"/>
    <mergeCell ref="AK312:AK312"/>
    <mergeCell ref="AL312:AL312"/>
    <mergeCell ref="AM312:AM312"/>
    <mergeCell ref="AN312:AN312"/>
    <mergeCell ref="AO312:AO312"/>
    <mergeCell ref="A313:A313"/>
    <mergeCell ref="B313:B313"/>
    <mergeCell ref="C313:C313"/>
    <mergeCell ref="D313:D313"/>
    <mergeCell ref="E313:E313"/>
    <mergeCell ref="F313:F313"/>
    <mergeCell ref="G313:G313"/>
    <mergeCell ref="H313:H313"/>
    <mergeCell ref="I313:I313"/>
    <mergeCell ref="J313:J313"/>
    <mergeCell ref="K313:K313"/>
    <mergeCell ref="L313:L313"/>
    <mergeCell ref="M313:M313"/>
    <mergeCell ref="N313:N313"/>
    <mergeCell ref="O313:O313"/>
    <mergeCell ref="P313:P313"/>
    <mergeCell ref="Q313:Q313"/>
    <mergeCell ref="R313:R313"/>
    <mergeCell ref="S313:S313"/>
    <mergeCell ref="T313:T313"/>
    <mergeCell ref="U313:U313"/>
    <mergeCell ref="V313:V313"/>
    <mergeCell ref="W313:W313"/>
    <mergeCell ref="X313:X313"/>
    <mergeCell ref="Y313:Y313"/>
    <mergeCell ref="Z313:Z313"/>
    <mergeCell ref="AA313:AA313"/>
    <mergeCell ref="AB313:AB313"/>
    <mergeCell ref="AC313:AC313"/>
    <mergeCell ref="AD313:AD313"/>
    <mergeCell ref="AE313:AE313"/>
    <mergeCell ref="AF313:AF313"/>
    <mergeCell ref="AG313:AG313"/>
    <mergeCell ref="AH313:AH313"/>
    <mergeCell ref="AI313:AI313"/>
    <mergeCell ref="AJ313:AJ313"/>
    <mergeCell ref="AK313:AK313"/>
    <mergeCell ref="AL313:AL313"/>
    <mergeCell ref="AM313:AM313"/>
    <mergeCell ref="AN313:AN313"/>
    <mergeCell ref="AO313:AO313"/>
    <mergeCell ref="A314:A314"/>
    <mergeCell ref="B314:B314"/>
    <mergeCell ref="C314:C314"/>
    <mergeCell ref="D314:D314"/>
    <mergeCell ref="E314:E314"/>
    <mergeCell ref="F314:F314"/>
    <mergeCell ref="G314:G314"/>
    <mergeCell ref="H314:H314"/>
    <mergeCell ref="I314:I314"/>
    <mergeCell ref="J314:J314"/>
    <mergeCell ref="K314:K314"/>
    <mergeCell ref="L314:L314"/>
    <mergeCell ref="M314:M314"/>
    <mergeCell ref="N314:N314"/>
    <mergeCell ref="O314:O314"/>
    <mergeCell ref="P314:P314"/>
    <mergeCell ref="Q314:Q314"/>
    <mergeCell ref="R314:R314"/>
    <mergeCell ref="S314:S314"/>
    <mergeCell ref="T314:T314"/>
    <mergeCell ref="U314:U314"/>
    <mergeCell ref="V314:V314"/>
    <mergeCell ref="W314:W314"/>
    <mergeCell ref="X314:X314"/>
    <mergeCell ref="Y314:Y314"/>
    <mergeCell ref="Z314:Z314"/>
    <mergeCell ref="AA314:AA314"/>
    <mergeCell ref="AB314:AB314"/>
    <mergeCell ref="AC314:AC314"/>
    <mergeCell ref="AD314:AD314"/>
    <mergeCell ref="AE314:AE314"/>
    <mergeCell ref="AF314:AF314"/>
    <mergeCell ref="AG314:AG314"/>
    <mergeCell ref="AH314:AH314"/>
    <mergeCell ref="AI314:AI314"/>
    <mergeCell ref="AJ314:AJ314"/>
    <mergeCell ref="AK314:AK314"/>
    <mergeCell ref="AL314:AL314"/>
    <mergeCell ref="AM314:AM314"/>
    <mergeCell ref="AN314:AN314"/>
    <mergeCell ref="AO314:AO314"/>
    <mergeCell ref="A315:A315"/>
    <mergeCell ref="B315:B315"/>
    <mergeCell ref="C315:C315"/>
    <mergeCell ref="D315:D315"/>
    <mergeCell ref="E315:E315"/>
    <mergeCell ref="F315:F315"/>
    <mergeCell ref="G315:G315"/>
    <mergeCell ref="H315:H315"/>
    <mergeCell ref="I315:I315"/>
    <mergeCell ref="J315:J315"/>
    <mergeCell ref="K315:K315"/>
    <mergeCell ref="L315:L315"/>
    <mergeCell ref="M315:M315"/>
    <mergeCell ref="N315:N315"/>
    <mergeCell ref="O315:O315"/>
    <mergeCell ref="P315:P315"/>
    <mergeCell ref="Q315:Q315"/>
    <mergeCell ref="R315:R315"/>
    <mergeCell ref="S315:S315"/>
    <mergeCell ref="T315:T315"/>
    <mergeCell ref="U315:U315"/>
    <mergeCell ref="V315:V315"/>
    <mergeCell ref="W315:W315"/>
    <mergeCell ref="X315:X315"/>
    <mergeCell ref="Y315:Y315"/>
    <mergeCell ref="Z315:Z315"/>
    <mergeCell ref="AA315:AA315"/>
    <mergeCell ref="AB315:AB315"/>
    <mergeCell ref="AC315:AC315"/>
    <mergeCell ref="AD315:AD315"/>
    <mergeCell ref="AE315:AE315"/>
    <mergeCell ref="AF315:AF315"/>
    <mergeCell ref="AG315:AG315"/>
    <mergeCell ref="AH315:AH315"/>
    <mergeCell ref="AI315:AI315"/>
    <mergeCell ref="AJ315:AJ315"/>
    <mergeCell ref="AK315:AK315"/>
    <mergeCell ref="AL315:AL315"/>
    <mergeCell ref="AM315:AM315"/>
    <mergeCell ref="AN315:AN315"/>
    <mergeCell ref="AO315:AO315"/>
    <mergeCell ref="A316:A316"/>
    <mergeCell ref="B316:B316"/>
    <mergeCell ref="C316:C316"/>
    <mergeCell ref="D316:D316"/>
    <mergeCell ref="E316:E316"/>
    <mergeCell ref="F316:F316"/>
    <mergeCell ref="G316:G316"/>
    <mergeCell ref="H316:H316"/>
    <mergeCell ref="I316:I316"/>
    <mergeCell ref="J316:J316"/>
    <mergeCell ref="K316:K316"/>
    <mergeCell ref="L316:L316"/>
    <mergeCell ref="M316:M316"/>
    <mergeCell ref="N316:N316"/>
    <mergeCell ref="O316:O316"/>
    <mergeCell ref="P316:P316"/>
    <mergeCell ref="Q316:Q316"/>
    <mergeCell ref="R316:R316"/>
    <mergeCell ref="S316:S316"/>
    <mergeCell ref="T316:T316"/>
    <mergeCell ref="U316:U316"/>
    <mergeCell ref="V316:V316"/>
    <mergeCell ref="W316:W316"/>
    <mergeCell ref="X316:X316"/>
    <mergeCell ref="Y316:Y316"/>
    <mergeCell ref="Z316:Z316"/>
    <mergeCell ref="AA316:AA316"/>
    <mergeCell ref="AB316:AB316"/>
    <mergeCell ref="AC316:AC316"/>
    <mergeCell ref="AD316:AD316"/>
    <mergeCell ref="AE316:AE316"/>
    <mergeCell ref="AF316:AF316"/>
    <mergeCell ref="AG316:AG316"/>
    <mergeCell ref="AH316:AH316"/>
    <mergeCell ref="AI316:AI316"/>
    <mergeCell ref="AJ316:AJ316"/>
    <mergeCell ref="AK316:AK316"/>
    <mergeCell ref="AL316:AL316"/>
    <mergeCell ref="AM316:AM316"/>
    <mergeCell ref="AN316:AN316"/>
    <mergeCell ref="AO316:AO316"/>
    <mergeCell ref="A317:A317"/>
    <mergeCell ref="B317:B317"/>
    <mergeCell ref="C317:C317"/>
    <mergeCell ref="D317:D317"/>
    <mergeCell ref="E317:E317"/>
    <mergeCell ref="F317:F317"/>
    <mergeCell ref="G317:G317"/>
    <mergeCell ref="H317:H317"/>
    <mergeCell ref="I317:I317"/>
    <mergeCell ref="J317:J317"/>
    <mergeCell ref="K317:K317"/>
    <mergeCell ref="L317:L317"/>
    <mergeCell ref="M317:M317"/>
    <mergeCell ref="N317:N317"/>
    <mergeCell ref="O317:O317"/>
    <mergeCell ref="P317:P317"/>
    <mergeCell ref="Q317:Q317"/>
    <mergeCell ref="R317:R317"/>
    <mergeCell ref="S317:S317"/>
    <mergeCell ref="T317:T317"/>
    <mergeCell ref="U317:U317"/>
    <mergeCell ref="V317:V317"/>
    <mergeCell ref="W317:W317"/>
    <mergeCell ref="X317:X317"/>
    <mergeCell ref="Y317:Y317"/>
    <mergeCell ref="Z317:Z317"/>
    <mergeCell ref="AA317:AA317"/>
    <mergeCell ref="AB317:AB317"/>
    <mergeCell ref="AC317:AC317"/>
    <mergeCell ref="AD317:AD317"/>
    <mergeCell ref="AE317:AE317"/>
    <mergeCell ref="AF317:AF317"/>
    <mergeCell ref="AG317:AG317"/>
    <mergeCell ref="AH317:AH317"/>
    <mergeCell ref="AI317:AI317"/>
    <mergeCell ref="AJ317:AJ317"/>
    <mergeCell ref="AK317:AK317"/>
    <mergeCell ref="AL317:AL317"/>
    <mergeCell ref="AM317:AM317"/>
    <mergeCell ref="AN317:AN317"/>
    <mergeCell ref="AO317:AO317"/>
    <mergeCell ref="A318:A318"/>
    <mergeCell ref="B318:B318"/>
    <mergeCell ref="C318:C318"/>
    <mergeCell ref="D318:D318"/>
    <mergeCell ref="E318:E318"/>
    <mergeCell ref="F318:F318"/>
    <mergeCell ref="G318:G318"/>
    <mergeCell ref="H318:H318"/>
    <mergeCell ref="I318:I318"/>
    <mergeCell ref="J318:J318"/>
    <mergeCell ref="K318:K318"/>
    <mergeCell ref="L318:L318"/>
    <mergeCell ref="M318:M318"/>
    <mergeCell ref="N318:N318"/>
    <mergeCell ref="O318:O318"/>
    <mergeCell ref="P318:P318"/>
    <mergeCell ref="Q318:Q318"/>
    <mergeCell ref="R318:R318"/>
    <mergeCell ref="S318:S318"/>
    <mergeCell ref="T318:T318"/>
    <mergeCell ref="U318:U318"/>
    <mergeCell ref="V318:V318"/>
    <mergeCell ref="W318:W318"/>
    <mergeCell ref="X318:X318"/>
    <mergeCell ref="Y318:Y318"/>
    <mergeCell ref="Z318:Z318"/>
    <mergeCell ref="AA318:AA318"/>
    <mergeCell ref="AB318:AB318"/>
    <mergeCell ref="AC318:AC318"/>
    <mergeCell ref="AD318:AD318"/>
    <mergeCell ref="AE318:AE318"/>
    <mergeCell ref="AF318:AF318"/>
    <mergeCell ref="AG318:AG318"/>
    <mergeCell ref="AH318:AH318"/>
    <mergeCell ref="AI318:AI318"/>
    <mergeCell ref="AJ318:AJ318"/>
    <mergeCell ref="AK318:AK318"/>
    <mergeCell ref="AL318:AL318"/>
    <mergeCell ref="AM318:AM318"/>
    <mergeCell ref="AN318:AN318"/>
    <mergeCell ref="AO318:AO318"/>
    <mergeCell ref="A319:A319"/>
    <mergeCell ref="B319:B319"/>
    <mergeCell ref="C319:C319"/>
    <mergeCell ref="D319:D319"/>
    <mergeCell ref="E319:E319"/>
    <mergeCell ref="F319:F319"/>
    <mergeCell ref="G319:G319"/>
    <mergeCell ref="H319:H319"/>
    <mergeCell ref="I319:I319"/>
    <mergeCell ref="J319:J319"/>
    <mergeCell ref="K319:K319"/>
    <mergeCell ref="L319:L319"/>
    <mergeCell ref="M319:M319"/>
    <mergeCell ref="N319:N319"/>
    <mergeCell ref="O319:O319"/>
    <mergeCell ref="P319:P319"/>
    <mergeCell ref="Q319:Q319"/>
    <mergeCell ref="R319:R319"/>
    <mergeCell ref="S319:S319"/>
    <mergeCell ref="T319:T319"/>
    <mergeCell ref="U319:U319"/>
    <mergeCell ref="V319:V319"/>
    <mergeCell ref="W319:W319"/>
    <mergeCell ref="X319:X319"/>
    <mergeCell ref="Y319:Y319"/>
    <mergeCell ref="Z319:Z319"/>
    <mergeCell ref="AA319:AA319"/>
    <mergeCell ref="AB319:AB319"/>
    <mergeCell ref="AC319:AC319"/>
    <mergeCell ref="AD319:AD319"/>
    <mergeCell ref="AE319:AE319"/>
    <mergeCell ref="AF319:AF319"/>
    <mergeCell ref="AG319:AG319"/>
    <mergeCell ref="AH319:AH319"/>
    <mergeCell ref="AI319:AI319"/>
    <mergeCell ref="AJ319:AJ319"/>
    <mergeCell ref="AK319:AK319"/>
    <mergeCell ref="AL319:AL319"/>
    <mergeCell ref="AM319:AM319"/>
    <mergeCell ref="AN319:AN319"/>
    <mergeCell ref="AO319:AO319"/>
    <mergeCell ref="A320:A320"/>
    <mergeCell ref="B320:B320"/>
    <mergeCell ref="C320:C320"/>
    <mergeCell ref="D320:D320"/>
    <mergeCell ref="E320:E320"/>
    <mergeCell ref="F320:F320"/>
    <mergeCell ref="G320:G320"/>
    <mergeCell ref="H320:H320"/>
    <mergeCell ref="I320:I320"/>
    <mergeCell ref="J320:J320"/>
    <mergeCell ref="K320:K320"/>
    <mergeCell ref="L320:L320"/>
    <mergeCell ref="M320:M320"/>
    <mergeCell ref="N320:N320"/>
    <mergeCell ref="O320:O320"/>
    <mergeCell ref="P320:P320"/>
    <mergeCell ref="Q320:Q320"/>
    <mergeCell ref="R320:R320"/>
    <mergeCell ref="S320:S320"/>
    <mergeCell ref="T320:T320"/>
    <mergeCell ref="U320:U320"/>
    <mergeCell ref="V320:V320"/>
    <mergeCell ref="W320:W320"/>
    <mergeCell ref="X320:X320"/>
    <mergeCell ref="Y320:Y320"/>
    <mergeCell ref="Z320:Z320"/>
    <mergeCell ref="AA320:AA320"/>
    <mergeCell ref="AB320:AB320"/>
    <mergeCell ref="AC320:AC320"/>
    <mergeCell ref="AD320:AD320"/>
    <mergeCell ref="AE320:AE320"/>
    <mergeCell ref="AF320:AF320"/>
    <mergeCell ref="AG320:AG320"/>
    <mergeCell ref="AH320:AH320"/>
    <mergeCell ref="AI320:AI320"/>
    <mergeCell ref="AJ320:AJ320"/>
    <mergeCell ref="AK320:AK320"/>
    <mergeCell ref="AL320:AL320"/>
    <mergeCell ref="AM320:AM320"/>
    <mergeCell ref="AN320:AN320"/>
    <mergeCell ref="AO320:AO320"/>
    <mergeCell ref="A321:A321"/>
    <mergeCell ref="B321:B321"/>
    <mergeCell ref="C321:C321"/>
    <mergeCell ref="D321:D321"/>
    <mergeCell ref="E321:E321"/>
    <mergeCell ref="F321:F321"/>
    <mergeCell ref="G321:G321"/>
    <mergeCell ref="H321:H321"/>
    <mergeCell ref="I321:I321"/>
    <mergeCell ref="J321:J321"/>
    <mergeCell ref="K321:K321"/>
    <mergeCell ref="L321:L321"/>
    <mergeCell ref="M321:M321"/>
    <mergeCell ref="N321:N321"/>
    <mergeCell ref="O321:O321"/>
    <mergeCell ref="P321:P321"/>
    <mergeCell ref="Q321:Q321"/>
    <mergeCell ref="R321:R321"/>
    <mergeCell ref="S321:S321"/>
    <mergeCell ref="T321:T321"/>
    <mergeCell ref="U321:U321"/>
    <mergeCell ref="V321:V321"/>
    <mergeCell ref="W321:W321"/>
    <mergeCell ref="X321:X321"/>
    <mergeCell ref="Y321:Y321"/>
    <mergeCell ref="Z321:Z321"/>
    <mergeCell ref="AA321:AA321"/>
    <mergeCell ref="AB321:AB321"/>
    <mergeCell ref="AC321:AC321"/>
    <mergeCell ref="AD321:AD321"/>
    <mergeCell ref="AE321:AE321"/>
    <mergeCell ref="AF321:AF321"/>
    <mergeCell ref="AG321:AG321"/>
    <mergeCell ref="AH321:AH321"/>
    <mergeCell ref="AI321:AI321"/>
    <mergeCell ref="AJ321:AJ321"/>
    <mergeCell ref="AK321:AK321"/>
    <mergeCell ref="AL321:AL321"/>
    <mergeCell ref="AM321:AM321"/>
    <mergeCell ref="AN321:AN321"/>
    <mergeCell ref="AO321:AO321"/>
    <mergeCell ref="A322:A322"/>
    <mergeCell ref="B322:B322"/>
    <mergeCell ref="C322:C322"/>
    <mergeCell ref="D322:D322"/>
    <mergeCell ref="E322:E322"/>
    <mergeCell ref="F322:F322"/>
    <mergeCell ref="G322:G322"/>
    <mergeCell ref="H322:H322"/>
    <mergeCell ref="I322:I322"/>
    <mergeCell ref="J322:J322"/>
    <mergeCell ref="K322:K322"/>
    <mergeCell ref="L322:L322"/>
    <mergeCell ref="M322:M322"/>
    <mergeCell ref="N322:N322"/>
    <mergeCell ref="O322:O322"/>
    <mergeCell ref="P322:P322"/>
    <mergeCell ref="Q322:Q322"/>
    <mergeCell ref="R322:R322"/>
    <mergeCell ref="S322:S322"/>
    <mergeCell ref="T322:T322"/>
    <mergeCell ref="U322:U322"/>
    <mergeCell ref="V322:V322"/>
    <mergeCell ref="W322:W322"/>
    <mergeCell ref="X322:X322"/>
    <mergeCell ref="Y322:Y322"/>
    <mergeCell ref="Z322:Z322"/>
    <mergeCell ref="AA322:AA322"/>
    <mergeCell ref="AB322:AB322"/>
    <mergeCell ref="AC322:AC322"/>
    <mergeCell ref="AD322:AD322"/>
    <mergeCell ref="AE322:AE322"/>
    <mergeCell ref="AF322:AF322"/>
    <mergeCell ref="AG322:AG322"/>
    <mergeCell ref="AH322:AH322"/>
    <mergeCell ref="AI322:AI322"/>
    <mergeCell ref="AJ322:AJ322"/>
    <mergeCell ref="AK322:AK322"/>
    <mergeCell ref="AL322:AL322"/>
    <mergeCell ref="AM322:AM322"/>
    <mergeCell ref="AN322:AN322"/>
    <mergeCell ref="AO322:AO322"/>
    <mergeCell ref="A323:A323"/>
    <mergeCell ref="B323:B323"/>
    <mergeCell ref="C323:C323"/>
    <mergeCell ref="D323:D323"/>
    <mergeCell ref="E323:E323"/>
    <mergeCell ref="F323:F323"/>
    <mergeCell ref="G323:G323"/>
    <mergeCell ref="H323:H323"/>
    <mergeCell ref="I323:I323"/>
    <mergeCell ref="J323:J323"/>
    <mergeCell ref="K323:K323"/>
    <mergeCell ref="L323:L323"/>
    <mergeCell ref="M323:M323"/>
    <mergeCell ref="N323:N323"/>
    <mergeCell ref="O323:O323"/>
    <mergeCell ref="P323:P323"/>
    <mergeCell ref="Q323:Q323"/>
    <mergeCell ref="R323:R323"/>
    <mergeCell ref="S323:S323"/>
    <mergeCell ref="T323:T323"/>
    <mergeCell ref="U323:U323"/>
    <mergeCell ref="V323:V323"/>
    <mergeCell ref="W323:W323"/>
    <mergeCell ref="X323:X323"/>
    <mergeCell ref="Y323:Y323"/>
    <mergeCell ref="Z323:Z323"/>
    <mergeCell ref="AA323:AA323"/>
    <mergeCell ref="AB323:AB323"/>
    <mergeCell ref="AC323:AC323"/>
    <mergeCell ref="AD323:AD323"/>
    <mergeCell ref="AE323:AE323"/>
    <mergeCell ref="AF323:AF323"/>
    <mergeCell ref="AG323:AG323"/>
    <mergeCell ref="AH323:AH323"/>
    <mergeCell ref="AI323:AI323"/>
    <mergeCell ref="AJ323:AJ323"/>
    <mergeCell ref="AK323:AK323"/>
    <mergeCell ref="AL323:AL323"/>
    <mergeCell ref="AM323:AM323"/>
    <mergeCell ref="AN323:AN323"/>
    <mergeCell ref="AO323:AO323"/>
    <mergeCell ref="A324:A324"/>
    <mergeCell ref="B324:B324"/>
    <mergeCell ref="C324:C324"/>
    <mergeCell ref="D324:D324"/>
    <mergeCell ref="E324:E324"/>
    <mergeCell ref="F324:F324"/>
    <mergeCell ref="G324:G324"/>
    <mergeCell ref="H324:H324"/>
    <mergeCell ref="I324:I324"/>
    <mergeCell ref="J324:J324"/>
    <mergeCell ref="K324:K324"/>
    <mergeCell ref="L324:L324"/>
    <mergeCell ref="M324:M324"/>
    <mergeCell ref="N324:N324"/>
    <mergeCell ref="O324:O324"/>
    <mergeCell ref="P324:P324"/>
    <mergeCell ref="Q324:Q324"/>
    <mergeCell ref="R324:R324"/>
    <mergeCell ref="S324:S324"/>
    <mergeCell ref="T324:T324"/>
    <mergeCell ref="U324:U324"/>
    <mergeCell ref="V324:V324"/>
    <mergeCell ref="W324:W324"/>
    <mergeCell ref="X324:X324"/>
    <mergeCell ref="Y324:Y324"/>
    <mergeCell ref="Z324:Z324"/>
    <mergeCell ref="AA324:AA324"/>
    <mergeCell ref="AB324:AB324"/>
    <mergeCell ref="AC324:AC324"/>
    <mergeCell ref="AD324:AD324"/>
    <mergeCell ref="AE324:AE324"/>
    <mergeCell ref="AF324:AF324"/>
    <mergeCell ref="AG324:AG324"/>
    <mergeCell ref="AH324:AH324"/>
    <mergeCell ref="AI324:AI324"/>
    <mergeCell ref="AJ324:AJ324"/>
    <mergeCell ref="AK324:AK324"/>
    <mergeCell ref="AL324:AL324"/>
    <mergeCell ref="AM324:AM324"/>
    <mergeCell ref="AN324:AN324"/>
    <mergeCell ref="AO324:AO324"/>
    <mergeCell ref="A325:A325"/>
    <mergeCell ref="B325:B325"/>
    <mergeCell ref="C325:C325"/>
    <mergeCell ref="D325:D325"/>
    <mergeCell ref="E325:E325"/>
    <mergeCell ref="F325:F325"/>
    <mergeCell ref="G325:G325"/>
    <mergeCell ref="H325:H325"/>
    <mergeCell ref="I325:I325"/>
    <mergeCell ref="J325:J325"/>
    <mergeCell ref="K325:K325"/>
    <mergeCell ref="L325:L325"/>
    <mergeCell ref="M325:M325"/>
    <mergeCell ref="N325:N325"/>
    <mergeCell ref="O325:O325"/>
    <mergeCell ref="P325:P325"/>
    <mergeCell ref="Q325:Q325"/>
    <mergeCell ref="R325:R325"/>
    <mergeCell ref="S325:S325"/>
    <mergeCell ref="T325:T325"/>
    <mergeCell ref="U325:U325"/>
    <mergeCell ref="V325:V325"/>
    <mergeCell ref="W325:W325"/>
    <mergeCell ref="X325:X325"/>
    <mergeCell ref="Y325:Y325"/>
    <mergeCell ref="Z325:Z325"/>
    <mergeCell ref="AA325:AA325"/>
    <mergeCell ref="AB325:AB325"/>
    <mergeCell ref="AC325:AC325"/>
    <mergeCell ref="AD325:AD325"/>
    <mergeCell ref="AE325:AE325"/>
    <mergeCell ref="AF325:AF325"/>
    <mergeCell ref="AG325:AG325"/>
    <mergeCell ref="AH325:AH325"/>
    <mergeCell ref="AI325:AI325"/>
    <mergeCell ref="AJ325:AJ325"/>
    <mergeCell ref="AK325:AK325"/>
    <mergeCell ref="AL325:AL325"/>
    <mergeCell ref="AM325:AM325"/>
    <mergeCell ref="AN325:AN325"/>
    <mergeCell ref="AO325:AO325"/>
    <mergeCell ref="A326:A326"/>
    <mergeCell ref="B326:B326"/>
    <mergeCell ref="C326:C326"/>
    <mergeCell ref="D326:D326"/>
    <mergeCell ref="E326:E326"/>
    <mergeCell ref="F326:F326"/>
    <mergeCell ref="G326:G326"/>
    <mergeCell ref="H326:H326"/>
    <mergeCell ref="I326:I326"/>
    <mergeCell ref="J326:J326"/>
    <mergeCell ref="K326:K326"/>
    <mergeCell ref="L326:L326"/>
    <mergeCell ref="M326:M326"/>
    <mergeCell ref="N326:N326"/>
    <mergeCell ref="O326:O326"/>
    <mergeCell ref="P326:P326"/>
    <mergeCell ref="Q326:Q326"/>
    <mergeCell ref="R326:R326"/>
    <mergeCell ref="S326:S326"/>
    <mergeCell ref="T326:T326"/>
    <mergeCell ref="U326:U326"/>
    <mergeCell ref="V326:V326"/>
    <mergeCell ref="W326:W326"/>
    <mergeCell ref="X326:X326"/>
    <mergeCell ref="Y326:Y326"/>
    <mergeCell ref="Z326:Z326"/>
    <mergeCell ref="AA326:AA326"/>
    <mergeCell ref="AB326:AB326"/>
    <mergeCell ref="AC326:AC326"/>
    <mergeCell ref="AD326:AD326"/>
    <mergeCell ref="AE326:AE326"/>
    <mergeCell ref="AF326:AF326"/>
    <mergeCell ref="AG326:AG326"/>
    <mergeCell ref="AH326:AH326"/>
    <mergeCell ref="AI326:AI326"/>
    <mergeCell ref="AJ326:AJ326"/>
    <mergeCell ref="AK326:AK326"/>
    <mergeCell ref="AL326:AL326"/>
    <mergeCell ref="AM326:AM326"/>
    <mergeCell ref="AN326:AN326"/>
    <mergeCell ref="AO326:AO326"/>
    <mergeCell ref="A327:A327"/>
    <mergeCell ref="B327:B327"/>
    <mergeCell ref="C327:C327"/>
    <mergeCell ref="D327:D327"/>
    <mergeCell ref="E327:E327"/>
    <mergeCell ref="F327:F327"/>
    <mergeCell ref="G327:G327"/>
    <mergeCell ref="H327:H327"/>
    <mergeCell ref="I327:I327"/>
    <mergeCell ref="J327:J327"/>
    <mergeCell ref="K327:K327"/>
    <mergeCell ref="L327:L327"/>
    <mergeCell ref="M327:M327"/>
    <mergeCell ref="N327:N327"/>
    <mergeCell ref="O327:O327"/>
    <mergeCell ref="P327:P327"/>
    <mergeCell ref="Q327:Q327"/>
    <mergeCell ref="R327:R327"/>
    <mergeCell ref="S327:S327"/>
    <mergeCell ref="T327:T327"/>
    <mergeCell ref="U327:U327"/>
    <mergeCell ref="V327:V327"/>
    <mergeCell ref="W327:W327"/>
    <mergeCell ref="X327:X327"/>
    <mergeCell ref="Y327:Y327"/>
    <mergeCell ref="Z327:Z327"/>
    <mergeCell ref="AA327:AA327"/>
    <mergeCell ref="AB327:AB327"/>
    <mergeCell ref="AC327:AC327"/>
    <mergeCell ref="AD327:AD327"/>
    <mergeCell ref="AE327:AE327"/>
    <mergeCell ref="AF327:AF327"/>
    <mergeCell ref="AG327:AG327"/>
    <mergeCell ref="AH327:AH327"/>
    <mergeCell ref="AI327:AI327"/>
    <mergeCell ref="AJ327:AJ327"/>
    <mergeCell ref="AK327:AK327"/>
    <mergeCell ref="AL327:AL327"/>
    <mergeCell ref="AM327:AM327"/>
    <mergeCell ref="AN327:AN327"/>
    <mergeCell ref="AO327:AO327"/>
    <mergeCell ref="A328:A328"/>
    <mergeCell ref="B328:B328"/>
    <mergeCell ref="C328:C328"/>
    <mergeCell ref="D328:D328"/>
    <mergeCell ref="E328:E328"/>
    <mergeCell ref="F328:F328"/>
    <mergeCell ref="G328:G328"/>
    <mergeCell ref="H328:H328"/>
    <mergeCell ref="I328:I328"/>
    <mergeCell ref="J328:J328"/>
    <mergeCell ref="K328:K328"/>
    <mergeCell ref="L328:L328"/>
    <mergeCell ref="M328:M328"/>
    <mergeCell ref="N328:N328"/>
    <mergeCell ref="O328:O328"/>
    <mergeCell ref="P328:P328"/>
    <mergeCell ref="Q328:Q328"/>
    <mergeCell ref="R328:R328"/>
    <mergeCell ref="S328:S328"/>
    <mergeCell ref="T328:T328"/>
    <mergeCell ref="U328:U328"/>
    <mergeCell ref="V328:V328"/>
    <mergeCell ref="W328:W328"/>
    <mergeCell ref="X328:X328"/>
    <mergeCell ref="Y328:Y328"/>
    <mergeCell ref="Z328:Z328"/>
    <mergeCell ref="AA328:AA328"/>
    <mergeCell ref="AB328:AB328"/>
    <mergeCell ref="AC328:AC328"/>
    <mergeCell ref="AD328:AD328"/>
    <mergeCell ref="AE328:AE328"/>
    <mergeCell ref="AF328:AF328"/>
    <mergeCell ref="AG328:AG328"/>
    <mergeCell ref="AH328:AH328"/>
    <mergeCell ref="AI328:AI328"/>
    <mergeCell ref="AJ328:AJ328"/>
    <mergeCell ref="AK328:AK328"/>
    <mergeCell ref="AL328:AL328"/>
    <mergeCell ref="AM328:AM328"/>
    <mergeCell ref="AN328:AN328"/>
    <mergeCell ref="AO328:AO328"/>
    <mergeCell ref="A329:A329"/>
    <mergeCell ref="B329:B329"/>
    <mergeCell ref="C329:C329"/>
    <mergeCell ref="D329:D329"/>
    <mergeCell ref="E329:E329"/>
    <mergeCell ref="F329:F329"/>
    <mergeCell ref="G329:G329"/>
    <mergeCell ref="H329:H329"/>
    <mergeCell ref="I329:I329"/>
    <mergeCell ref="J329:J329"/>
    <mergeCell ref="K329:K329"/>
    <mergeCell ref="L329:L329"/>
    <mergeCell ref="M329:M329"/>
    <mergeCell ref="N329:N329"/>
    <mergeCell ref="O329:O329"/>
    <mergeCell ref="P329:P329"/>
    <mergeCell ref="Q329:Q329"/>
    <mergeCell ref="R329:R329"/>
    <mergeCell ref="S329:S329"/>
    <mergeCell ref="T329:T329"/>
    <mergeCell ref="U329:U329"/>
    <mergeCell ref="V329:V329"/>
    <mergeCell ref="W329:W329"/>
    <mergeCell ref="X329:X329"/>
    <mergeCell ref="Y329:Y329"/>
    <mergeCell ref="Z329:Z329"/>
    <mergeCell ref="AA329:AA329"/>
    <mergeCell ref="AB329:AB329"/>
    <mergeCell ref="AC329:AC329"/>
    <mergeCell ref="AD329:AD329"/>
    <mergeCell ref="AE329:AE329"/>
    <mergeCell ref="AF329:AF329"/>
    <mergeCell ref="AG329:AG329"/>
    <mergeCell ref="AH329:AH329"/>
    <mergeCell ref="AI329:AI329"/>
    <mergeCell ref="AJ329:AJ329"/>
    <mergeCell ref="AK329:AK329"/>
    <mergeCell ref="AL329:AL329"/>
    <mergeCell ref="AM329:AM329"/>
    <mergeCell ref="AN329:AN329"/>
    <mergeCell ref="AO329:AO329"/>
    <mergeCell ref="A330:A330"/>
    <mergeCell ref="B330:B330"/>
    <mergeCell ref="C330:C330"/>
    <mergeCell ref="D330:D330"/>
    <mergeCell ref="E330:E330"/>
    <mergeCell ref="F330:F330"/>
    <mergeCell ref="G330:G330"/>
    <mergeCell ref="H330:H330"/>
    <mergeCell ref="I330:I330"/>
    <mergeCell ref="J330:J330"/>
    <mergeCell ref="K330:K330"/>
    <mergeCell ref="L330:L330"/>
    <mergeCell ref="M330:M330"/>
    <mergeCell ref="N330:N330"/>
    <mergeCell ref="O330:O330"/>
    <mergeCell ref="P330:P330"/>
    <mergeCell ref="Q330:Q330"/>
    <mergeCell ref="R330:R330"/>
    <mergeCell ref="S330:S330"/>
    <mergeCell ref="T330:T330"/>
    <mergeCell ref="U330:U330"/>
    <mergeCell ref="V330:V330"/>
    <mergeCell ref="W330:W330"/>
    <mergeCell ref="X330:X330"/>
    <mergeCell ref="Y330:Y330"/>
    <mergeCell ref="Z330:Z330"/>
    <mergeCell ref="AA330:AA330"/>
    <mergeCell ref="AB330:AB330"/>
    <mergeCell ref="AC330:AC330"/>
    <mergeCell ref="AD330:AD330"/>
    <mergeCell ref="AE330:AE330"/>
    <mergeCell ref="AF330:AF330"/>
    <mergeCell ref="AG330:AG330"/>
    <mergeCell ref="AH330:AH330"/>
    <mergeCell ref="AI330:AI330"/>
    <mergeCell ref="AJ330:AJ330"/>
    <mergeCell ref="AK330:AK330"/>
    <mergeCell ref="AL330:AL330"/>
    <mergeCell ref="AM330:AM330"/>
    <mergeCell ref="AN330:AN330"/>
    <mergeCell ref="AO330:AO330"/>
    <mergeCell ref="A331:A331"/>
    <mergeCell ref="B331:B331"/>
    <mergeCell ref="C331:C331"/>
    <mergeCell ref="D331:D331"/>
    <mergeCell ref="E331:E331"/>
    <mergeCell ref="F331:F331"/>
    <mergeCell ref="G331:G331"/>
    <mergeCell ref="H331:H331"/>
    <mergeCell ref="I331:I331"/>
    <mergeCell ref="J331:J331"/>
    <mergeCell ref="K331:K331"/>
    <mergeCell ref="L331:L331"/>
    <mergeCell ref="M331:M331"/>
    <mergeCell ref="N331:N331"/>
    <mergeCell ref="O331:O331"/>
    <mergeCell ref="P331:P331"/>
    <mergeCell ref="Q331:Q331"/>
    <mergeCell ref="R331:R331"/>
    <mergeCell ref="S331:S331"/>
    <mergeCell ref="T331:T331"/>
    <mergeCell ref="U331:U331"/>
    <mergeCell ref="V331:V331"/>
    <mergeCell ref="W331:W331"/>
    <mergeCell ref="X331:X331"/>
    <mergeCell ref="Y331:Y331"/>
    <mergeCell ref="Z331:Z331"/>
    <mergeCell ref="AA331:AA331"/>
    <mergeCell ref="AB331:AB331"/>
    <mergeCell ref="AC331:AC331"/>
    <mergeCell ref="AD331:AD331"/>
    <mergeCell ref="AE331:AE331"/>
    <mergeCell ref="AF331:AF331"/>
    <mergeCell ref="AG331:AG331"/>
    <mergeCell ref="AH331:AH331"/>
    <mergeCell ref="AI331:AI331"/>
    <mergeCell ref="AJ331:AJ331"/>
    <mergeCell ref="AK331:AK331"/>
    <mergeCell ref="AL331:AL331"/>
    <mergeCell ref="AM331:AM331"/>
    <mergeCell ref="AN331:AN331"/>
    <mergeCell ref="AO331:AO331"/>
    <mergeCell ref="A332:A332"/>
    <mergeCell ref="B332:B332"/>
    <mergeCell ref="C332:C332"/>
    <mergeCell ref="D332:D332"/>
    <mergeCell ref="E332:E332"/>
    <mergeCell ref="F332:F332"/>
    <mergeCell ref="G332:G332"/>
    <mergeCell ref="H332:H332"/>
    <mergeCell ref="I332:I332"/>
    <mergeCell ref="J332:J332"/>
    <mergeCell ref="K332:K332"/>
    <mergeCell ref="L332:L332"/>
    <mergeCell ref="M332:M332"/>
    <mergeCell ref="N332:N332"/>
    <mergeCell ref="O332:O332"/>
    <mergeCell ref="P332:P332"/>
    <mergeCell ref="Q332:Q332"/>
    <mergeCell ref="R332:R332"/>
    <mergeCell ref="S332:S332"/>
    <mergeCell ref="T332:T332"/>
    <mergeCell ref="U332:U332"/>
    <mergeCell ref="V332:V332"/>
    <mergeCell ref="W332:W332"/>
    <mergeCell ref="X332:X332"/>
    <mergeCell ref="Y332:Y332"/>
    <mergeCell ref="Z332:Z332"/>
    <mergeCell ref="AA332:AA332"/>
    <mergeCell ref="AB332:AB332"/>
    <mergeCell ref="AC332:AC332"/>
    <mergeCell ref="AD332:AD332"/>
    <mergeCell ref="AE332:AE332"/>
    <mergeCell ref="AF332:AF332"/>
    <mergeCell ref="AG332:AG332"/>
    <mergeCell ref="AH332:AH332"/>
    <mergeCell ref="AI332:AI332"/>
    <mergeCell ref="AJ332:AJ332"/>
    <mergeCell ref="AK332:AK332"/>
    <mergeCell ref="AL332:AL332"/>
    <mergeCell ref="AM332:AM332"/>
    <mergeCell ref="AN332:AN332"/>
    <mergeCell ref="AO332:AO332"/>
    <mergeCell ref="A333:A333"/>
    <mergeCell ref="B333:B333"/>
    <mergeCell ref="C333:C333"/>
    <mergeCell ref="D333:D333"/>
    <mergeCell ref="E333:E333"/>
    <mergeCell ref="F333:F333"/>
    <mergeCell ref="G333:G333"/>
    <mergeCell ref="H333:H333"/>
    <mergeCell ref="I333:I333"/>
    <mergeCell ref="J333:J333"/>
    <mergeCell ref="K333:K333"/>
    <mergeCell ref="L333:L333"/>
    <mergeCell ref="M333:M333"/>
    <mergeCell ref="N333:N333"/>
    <mergeCell ref="O333:O333"/>
    <mergeCell ref="P333:P333"/>
    <mergeCell ref="Q333:Q333"/>
    <mergeCell ref="R333:R333"/>
    <mergeCell ref="S333:S333"/>
    <mergeCell ref="T333:T333"/>
    <mergeCell ref="U333:U333"/>
    <mergeCell ref="V333:V333"/>
    <mergeCell ref="W333:W333"/>
    <mergeCell ref="X333:X333"/>
    <mergeCell ref="Y333:Y333"/>
    <mergeCell ref="Z333:Z333"/>
    <mergeCell ref="AA333:AA333"/>
    <mergeCell ref="AB333:AB333"/>
    <mergeCell ref="AC333:AC333"/>
    <mergeCell ref="AD333:AD333"/>
    <mergeCell ref="AE333:AE333"/>
    <mergeCell ref="AF333:AF333"/>
    <mergeCell ref="AG333:AG333"/>
    <mergeCell ref="AH333:AH333"/>
    <mergeCell ref="AI333:AI333"/>
    <mergeCell ref="AJ333:AJ333"/>
    <mergeCell ref="AK333:AK333"/>
    <mergeCell ref="AL333:AL333"/>
    <mergeCell ref="AM333:AM333"/>
    <mergeCell ref="AN333:AN333"/>
    <mergeCell ref="AO333:AO333"/>
    <mergeCell ref="A334:A334"/>
    <mergeCell ref="B334:B334"/>
    <mergeCell ref="C334:C334"/>
    <mergeCell ref="D334:D334"/>
    <mergeCell ref="E334:E334"/>
    <mergeCell ref="F334:F334"/>
    <mergeCell ref="G334:G334"/>
    <mergeCell ref="H334:H334"/>
    <mergeCell ref="I334:I334"/>
    <mergeCell ref="J334:J334"/>
    <mergeCell ref="K334:K334"/>
    <mergeCell ref="L334:L334"/>
    <mergeCell ref="M334:M334"/>
    <mergeCell ref="N334:N334"/>
    <mergeCell ref="O334:O334"/>
    <mergeCell ref="P334:P334"/>
    <mergeCell ref="Q334:Q334"/>
    <mergeCell ref="R334:R334"/>
    <mergeCell ref="S334:S334"/>
    <mergeCell ref="T334:T334"/>
    <mergeCell ref="U334:U334"/>
    <mergeCell ref="V334:V334"/>
    <mergeCell ref="W334:W334"/>
    <mergeCell ref="X334:X334"/>
    <mergeCell ref="Y334:Y334"/>
    <mergeCell ref="Z334:Z334"/>
    <mergeCell ref="AA334:AA334"/>
    <mergeCell ref="AB334:AB334"/>
    <mergeCell ref="AC334:AC334"/>
    <mergeCell ref="AD334:AD334"/>
    <mergeCell ref="AE334:AE334"/>
    <mergeCell ref="AF334:AF334"/>
    <mergeCell ref="AG334:AG334"/>
    <mergeCell ref="AH334:AH334"/>
    <mergeCell ref="AI334:AI334"/>
    <mergeCell ref="AJ334:AJ334"/>
    <mergeCell ref="AK334:AK334"/>
    <mergeCell ref="AL334:AL334"/>
    <mergeCell ref="AM334:AM334"/>
    <mergeCell ref="AN334:AN334"/>
    <mergeCell ref="AO334:AO334"/>
    <mergeCell ref="A335:A335"/>
    <mergeCell ref="B335:B335"/>
    <mergeCell ref="C335:C335"/>
    <mergeCell ref="D335:D335"/>
    <mergeCell ref="E335:E335"/>
    <mergeCell ref="F335:F335"/>
    <mergeCell ref="G335:G335"/>
    <mergeCell ref="H335:H335"/>
    <mergeCell ref="I335:I335"/>
    <mergeCell ref="J335:J335"/>
    <mergeCell ref="K335:K335"/>
    <mergeCell ref="L335:L335"/>
    <mergeCell ref="M335:M335"/>
    <mergeCell ref="N335:N335"/>
    <mergeCell ref="O335:O335"/>
    <mergeCell ref="P335:P335"/>
    <mergeCell ref="Q335:Q335"/>
    <mergeCell ref="R335:R335"/>
    <mergeCell ref="S335:S335"/>
    <mergeCell ref="T335:T335"/>
    <mergeCell ref="U335:U335"/>
    <mergeCell ref="V335:V335"/>
    <mergeCell ref="W335:W335"/>
    <mergeCell ref="X335:X335"/>
    <mergeCell ref="Y335:Y335"/>
    <mergeCell ref="Z335:Z335"/>
    <mergeCell ref="AA335:AA335"/>
    <mergeCell ref="AB335:AB335"/>
    <mergeCell ref="AC335:AC335"/>
    <mergeCell ref="AD335:AD335"/>
    <mergeCell ref="AE335:AE335"/>
    <mergeCell ref="AF335:AF335"/>
    <mergeCell ref="AG335:AG335"/>
    <mergeCell ref="AH335:AH335"/>
    <mergeCell ref="AI335:AI335"/>
    <mergeCell ref="AJ335:AJ335"/>
    <mergeCell ref="AK335:AK335"/>
    <mergeCell ref="AL335:AL335"/>
    <mergeCell ref="AM335:AM335"/>
    <mergeCell ref="AN335:AN335"/>
    <mergeCell ref="AO335:AO335"/>
    <mergeCell ref="A336:A336"/>
    <mergeCell ref="B336:B336"/>
    <mergeCell ref="C336:C336"/>
    <mergeCell ref="D336:D336"/>
    <mergeCell ref="E336:E336"/>
    <mergeCell ref="F336:F336"/>
    <mergeCell ref="G336:G336"/>
    <mergeCell ref="H336:H336"/>
    <mergeCell ref="I336:I336"/>
    <mergeCell ref="J336:J336"/>
    <mergeCell ref="K336:K336"/>
    <mergeCell ref="L336:L336"/>
    <mergeCell ref="M336:M336"/>
    <mergeCell ref="N336:N336"/>
    <mergeCell ref="O336:O336"/>
    <mergeCell ref="P336:P336"/>
    <mergeCell ref="Q336:Q336"/>
    <mergeCell ref="R336:R336"/>
    <mergeCell ref="S336:S336"/>
    <mergeCell ref="T336:T336"/>
    <mergeCell ref="U336:U336"/>
    <mergeCell ref="V336:V336"/>
    <mergeCell ref="W336:W336"/>
    <mergeCell ref="X336:X336"/>
    <mergeCell ref="Y336:Y336"/>
    <mergeCell ref="Z336:Z336"/>
    <mergeCell ref="AA336:AA336"/>
    <mergeCell ref="AB336:AB336"/>
    <mergeCell ref="AC336:AC336"/>
    <mergeCell ref="AD336:AD336"/>
    <mergeCell ref="AE336:AE336"/>
    <mergeCell ref="AF336:AF336"/>
    <mergeCell ref="AG336:AG336"/>
    <mergeCell ref="AH336:AH336"/>
    <mergeCell ref="AI336:AI336"/>
    <mergeCell ref="AJ336:AJ336"/>
    <mergeCell ref="AK336:AK336"/>
    <mergeCell ref="AL336:AL336"/>
    <mergeCell ref="AM336:AM336"/>
    <mergeCell ref="AN336:AN336"/>
    <mergeCell ref="AO336:AO336"/>
    <mergeCell ref="A337:A337"/>
    <mergeCell ref="B337:B337"/>
    <mergeCell ref="C337:C337"/>
    <mergeCell ref="D337:D337"/>
    <mergeCell ref="E337:E337"/>
    <mergeCell ref="F337:F337"/>
    <mergeCell ref="G337:G337"/>
    <mergeCell ref="H337:H337"/>
    <mergeCell ref="I337:I337"/>
    <mergeCell ref="J337:J337"/>
    <mergeCell ref="K337:K337"/>
    <mergeCell ref="L337:L337"/>
    <mergeCell ref="M337:M337"/>
    <mergeCell ref="N337:N337"/>
    <mergeCell ref="O337:O337"/>
    <mergeCell ref="P337:P337"/>
    <mergeCell ref="Q337:Q337"/>
    <mergeCell ref="R337:R337"/>
    <mergeCell ref="S337:S337"/>
    <mergeCell ref="T337:T337"/>
    <mergeCell ref="U337:U337"/>
    <mergeCell ref="V337:V337"/>
    <mergeCell ref="W337:W337"/>
    <mergeCell ref="X337:X337"/>
    <mergeCell ref="Y337:Y337"/>
    <mergeCell ref="Z337:Z337"/>
    <mergeCell ref="AA337:AA337"/>
    <mergeCell ref="AB337:AB337"/>
    <mergeCell ref="AC337:AC337"/>
    <mergeCell ref="AD337:AD337"/>
    <mergeCell ref="AE337:AE337"/>
    <mergeCell ref="AF337:AF337"/>
    <mergeCell ref="AG337:AG337"/>
    <mergeCell ref="AH337:AH337"/>
    <mergeCell ref="AI337:AI337"/>
    <mergeCell ref="AJ337:AJ337"/>
    <mergeCell ref="AK337:AK337"/>
    <mergeCell ref="AL337:AL337"/>
    <mergeCell ref="AM337:AM337"/>
    <mergeCell ref="AN337:AN337"/>
    <mergeCell ref="AO337:AO337"/>
    <mergeCell ref="A338:A338"/>
    <mergeCell ref="B338:B338"/>
    <mergeCell ref="C338:C338"/>
    <mergeCell ref="D338:D338"/>
    <mergeCell ref="E338:E338"/>
    <mergeCell ref="F338:F338"/>
    <mergeCell ref="G338:G338"/>
    <mergeCell ref="H338:H338"/>
    <mergeCell ref="I338:I338"/>
    <mergeCell ref="J338:J338"/>
    <mergeCell ref="K338:K338"/>
    <mergeCell ref="L338:L338"/>
    <mergeCell ref="M338:M338"/>
    <mergeCell ref="N338:N338"/>
    <mergeCell ref="O338:O338"/>
    <mergeCell ref="P338:P338"/>
    <mergeCell ref="Q338:Q338"/>
    <mergeCell ref="R338:R338"/>
    <mergeCell ref="S338:S338"/>
    <mergeCell ref="T338:T338"/>
    <mergeCell ref="U338:U338"/>
    <mergeCell ref="V338:V338"/>
    <mergeCell ref="W338:W338"/>
    <mergeCell ref="X338:X338"/>
    <mergeCell ref="Y338:Y338"/>
    <mergeCell ref="Z338:Z338"/>
    <mergeCell ref="AA338:AA338"/>
    <mergeCell ref="AB338:AB338"/>
    <mergeCell ref="AC338:AC338"/>
    <mergeCell ref="AD338:AD338"/>
    <mergeCell ref="AE338:AE338"/>
    <mergeCell ref="AF338:AF338"/>
    <mergeCell ref="AG338:AG338"/>
    <mergeCell ref="AH338:AH338"/>
    <mergeCell ref="AI338:AI338"/>
    <mergeCell ref="AJ338:AJ338"/>
    <mergeCell ref="AK338:AK338"/>
    <mergeCell ref="AL338:AL338"/>
    <mergeCell ref="AM338:AM338"/>
    <mergeCell ref="AN338:AN338"/>
    <mergeCell ref="AO338:AO338"/>
    <mergeCell ref="A339:A339"/>
    <mergeCell ref="B339:B339"/>
    <mergeCell ref="C339:C339"/>
    <mergeCell ref="D339:D339"/>
    <mergeCell ref="E339:E339"/>
    <mergeCell ref="F339:F339"/>
    <mergeCell ref="G339:G339"/>
    <mergeCell ref="H339:H339"/>
    <mergeCell ref="I339:I339"/>
    <mergeCell ref="J339:J339"/>
    <mergeCell ref="K339:K339"/>
    <mergeCell ref="L339:L339"/>
    <mergeCell ref="M339:M339"/>
    <mergeCell ref="N339:N339"/>
    <mergeCell ref="O339:O339"/>
    <mergeCell ref="P339:P339"/>
    <mergeCell ref="Q339:Q339"/>
    <mergeCell ref="R339:R339"/>
    <mergeCell ref="S339:S339"/>
    <mergeCell ref="T339:T339"/>
    <mergeCell ref="U339:U339"/>
    <mergeCell ref="V339:V339"/>
    <mergeCell ref="W339:W339"/>
    <mergeCell ref="X339:X339"/>
    <mergeCell ref="Y339:Y339"/>
    <mergeCell ref="Z339:Z339"/>
    <mergeCell ref="AA339:AA339"/>
    <mergeCell ref="AB339:AB339"/>
    <mergeCell ref="AC339:AC339"/>
    <mergeCell ref="AD339:AD339"/>
    <mergeCell ref="AE339:AE339"/>
    <mergeCell ref="AF339:AF339"/>
    <mergeCell ref="AG339:AG339"/>
    <mergeCell ref="AH339:AH339"/>
    <mergeCell ref="AI339:AI339"/>
    <mergeCell ref="AJ339:AJ339"/>
    <mergeCell ref="AK339:AK339"/>
    <mergeCell ref="AL339:AL339"/>
    <mergeCell ref="AM339:AM339"/>
    <mergeCell ref="AN339:AN339"/>
    <mergeCell ref="AO339:AO339"/>
    <mergeCell ref="A340:A340"/>
    <mergeCell ref="B340:B340"/>
    <mergeCell ref="C340:C340"/>
    <mergeCell ref="D340:D340"/>
    <mergeCell ref="E340:E340"/>
    <mergeCell ref="F340:F340"/>
    <mergeCell ref="G340:G340"/>
    <mergeCell ref="H340:H340"/>
    <mergeCell ref="I340:I340"/>
    <mergeCell ref="J340:J340"/>
    <mergeCell ref="K340:K340"/>
    <mergeCell ref="L340:L340"/>
    <mergeCell ref="M340:M340"/>
    <mergeCell ref="N340:N340"/>
    <mergeCell ref="O340:O340"/>
    <mergeCell ref="P340:P340"/>
    <mergeCell ref="Q340:Q340"/>
    <mergeCell ref="R340:R340"/>
    <mergeCell ref="S340:S340"/>
    <mergeCell ref="T340:T340"/>
    <mergeCell ref="U340:U340"/>
    <mergeCell ref="V340:V340"/>
    <mergeCell ref="W340:W340"/>
    <mergeCell ref="X340:X340"/>
    <mergeCell ref="Y340:Y340"/>
    <mergeCell ref="Z340:Z340"/>
    <mergeCell ref="AA340:AA340"/>
    <mergeCell ref="AB340:AB340"/>
    <mergeCell ref="AC340:AC340"/>
    <mergeCell ref="AD340:AD340"/>
    <mergeCell ref="AE340:AE340"/>
    <mergeCell ref="AF340:AF340"/>
    <mergeCell ref="AG340:AG340"/>
    <mergeCell ref="AH340:AH340"/>
    <mergeCell ref="AI340:AI340"/>
    <mergeCell ref="AJ340:AJ340"/>
    <mergeCell ref="AK340:AK340"/>
    <mergeCell ref="AL340:AL340"/>
    <mergeCell ref="AM340:AM340"/>
    <mergeCell ref="AN340:AN340"/>
    <mergeCell ref="AO340:AO340"/>
    <mergeCell ref="A341:A341"/>
    <mergeCell ref="B341:B341"/>
    <mergeCell ref="C341:C341"/>
    <mergeCell ref="D341:D341"/>
    <mergeCell ref="E341:E341"/>
    <mergeCell ref="F341:F341"/>
    <mergeCell ref="G341:G341"/>
    <mergeCell ref="H341:H341"/>
    <mergeCell ref="I341:I341"/>
    <mergeCell ref="J341:J341"/>
    <mergeCell ref="K341:K341"/>
    <mergeCell ref="L341:L341"/>
    <mergeCell ref="M341:M341"/>
    <mergeCell ref="N341:N341"/>
    <mergeCell ref="O341:O341"/>
    <mergeCell ref="P341:P341"/>
    <mergeCell ref="Q341:Q341"/>
    <mergeCell ref="R341:R341"/>
    <mergeCell ref="S341:S341"/>
    <mergeCell ref="T341:T341"/>
    <mergeCell ref="U341:U341"/>
    <mergeCell ref="V341:V341"/>
    <mergeCell ref="W341:W341"/>
    <mergeCell ref="X341:X341"/>
    <mergeCell ref="Y341:Y341"/>
    <mergeCell ref="Z341:Z341"/>
    <mergeCell ref="AA341:AA341"/>
    <mergeCell ref="AB341:AB341"/>
    <mergeCell ref="AC341:AC341"/>
    <mergeCell ref="AD341:AD341"/>
    <mergeCell ref="AE341:AE341"/>
    <mergeCell ref="AF341:AF341"/>
    <mergeCell ref="AG341:AG341"/>
    <mergeCell ref="AH341:AH341"/>
    <mergeCell ref="AI341:AI341"/>
    <mergeCell ref="AJ341:AJ341"/>
    <mergeCell ref="AK341:AK341"/>
    <mergeCell ref="AL341:AL341"/>
    <mergeCell ref="AM341:AM341"/>
    <mergeCell ref="AN341:AN341"/>
    <mergeCell ref="AO341:AO341"/>
    <mergeCell ref="A342:A342"/>
    <mergeCell ref="B342:B342"/>
    <mergeCell ref="C342:C342"/>
    <mergeCell ref="D342:D342"/>
    <mergeCell ref="E342:E342"/>
    <mergeCell ref="F342:F342"/>
    <mergeCell ref="G342:G342"/>
    <mergeCell ref="H342:H342"/>
    <mergeCell ref="I342:I342"/>
    <mergeCell ref="J342:J342"/>
    <mergeCell ref="K342:K342"/>
    <mergeCell ref="L342:L342"/>
    <mergeCell ref="M342:M342"/>
    <mergeCell ref="N342:N342"/>
    <mergeCell ref="O342:O342"/>
    <mergeCell ref="P342:P342"/>
    <mergeCell ref="Q342:Q342"/>
    <mergeCell ref="R342:R342"/>
    <mergeCell ref="S342:S342"/>
    <mergeCell ref="T342:T342"/>
    <mergeCell ref="U342:U342"/>
    <mergeCell ref="V342:V342"/>
    <mergeCell ref="W342:W342"/>
    <mergeCell ref="X342:X342"/>
    <mergeCell ref="Y342:Y342"/>
    <mergeCell ref="Z342:Z342"/>
    <mergeCell ref="AA342:AA342"/>
    <mergeCell ref="AB342:AB342"/>
    <mergeCell ref="AC342:AC342"/>
    <mergeCell ref="AD342:AD342"/>
    <mergeCell ref="AE342:AE342"/>
    <mergeCell ref="AF342:AF342"/>
    <mergeCell ref="AG342:AG342"/>
    <mergeCell ref="AH342:AH342"/>
    <mergeCell ref="AI342:AI342"/>
    <mergeCell ref="AJ342:AJ342"/>
    <mergeCell ref="AK342:AK342"/>
    <mergeCell ref="AL342:AL342"/>
    <mergeCell ref="AM342:AM342"/>
    <mergeCell ref="AN342:AN342"/>
    <mergeCell ref="AO342:AO342"/>
    <mergeCell ref="A343:A343"/>
    <mergeCell ref="B343:B343"/>
    <mergeCell ref="C343:C343"/>
    <mergeCell ref="D343:D343"/>
    <mergeCell ref="E343:E343"/>
    <mergeCell ref="F343:F343"/>
    <mergeCell ref="G343:G343"/>
    <mergeCell ref="H343:H343"/>
    <mergeCell ref="I343:I343"/>
    <mergeCell ref="J343:J343"/>
    <mergeCell ref="K343:K343"/>
    <mergeCell ref="L343:L343"/>
    <mergeCell ref="M343:M343"/>
    <mergeCell ref="N343:N343"/>
    <mergeCell ref="O343:O343"/>
    <mergeCell ref="P343:P343"/>
    <mergeCell ref="Q343:Q343"/>
    <mergeCell ref="R343:R343"/>
    <mergeCell ref="S343:S343"/>
    <mergeCell ref="T343:T343"/>
    <mergeCell ref="U343:U343"/>
    <mergeCell ref="V343:V343"/>
    <mergeCell ref="W343:W343"/>
    <mergeCell ref="X343:X343"/>
    <mergeCell ref="Y343:Y343"/>
    <mergeCell ref="Z343:Z343"/>
    <mergeCell ref="AA343:AA343"/>
    <mergeCell ref="AB343:AB343"/>
    <mergeCell ref="AC343:AC343"/>
    <mergeCell ref="AD343:AD343"/>
    <mergeCell ref="AE343:AE343"/>
    <mergeCell ref="AF343:AF343"/>
    <mergeCell ref="AG343:AG343"/>
    <mergeCell ref="AH343:AH343"/>
    <mergeCell ref="AI343:AI343"/>
    <mergeCell ref="AJ343:AJ343"/>
    <mergeCell ref="AK343:AK343"/>
    <mergeCell ref="AL343:AL343"/>
    <mergeCell ref="AM343:AM343"/>
    <mergeCell ref="AN343:AN343"/>
    <mergeCell ref="AO343:AO343"/>
    <mergeCell ref="A344:A344"/>
    <mergeCell ref="B344:B344"/>
    <mergeCell ref="C344:C344"/>
    <mergeCell ref="D344:D344"/>
    <mergeCell ref="E344:E344"/>
    <mergeCell ref="F344:F344"/>
    <mergeCell ref="G344:G344"/>
    <mergeCell ref="H344:H344"/>
    <mergeCell ref="I344:I344"/>
    <mergeCell ref="J344:J344"/>
    <mergeCell ref="K344:K344"/>
    <mergeCell ref="L344:L344"/>
    <mergeCell ref="M344:M344"/>
    <mergeCell ref="N344:N344"/>
    <mergeCell ref="O344:O344"/>
    <mergeCell ref="P344:P344"/>
    <mergeCell ref="Q344:Q344"/>
    <mergeCell ref="R344:R344"/>
    <mergeCell ref="S344:S344"/>
    <mergeCell ref="T344:T344"/>
    <mergeCell ref="U344:U344"/>
    <mergeCell ref="V344:V344"/>
    <mergeCell ref="W344:W344"/>
    <mergeCell ref="X344:X344"/>
    <mergeCell ref="Y344:Y344"/>
    <mergeCell ref="Z344:Z344"/>
    <mergeCell ref="AA344:AA344"/>
    <mergeCell ref="AB344:AB344"/>
    <mergeCell ref="AC344:AC344"/>
    <mergeCell ref="AD344:AD344"/>
    <mergeCell ref="AE344:AE344"/>
    <mergeCell ref="AF344:AF344"/>
    <mergeCell ref="AG344:AG344"/>
    <mergeCell ref="AH344:AH344"/>
    <mergeCell ref="AI344:AI344"/>
    <mergeCell ref="AJ344:AJ344"/>
    <mergeCell ref="AK344:AK344"/>
    <mergeCell ref="AL344:AL344"/>
    <mergeCell ref="AM344:AM344"/>
    <mergeCell ref="AN344:AN344"/>
    <mergeCell ref="AO344:AO344"/>
    <mergeCell ref="A345:A345"/>
    <mergeCell ref="B345:B345"/>
    <mergeCell ref="C345:C345"/>
    <mergeCell ref="D345:D345"/>
    <mergeCell ref="E345:E345"/>
    <mergeCell ref="F345:F345"/>
    <mergeCell ref="G345:G345"/>
    <mergeCell ref="H345:H345"/>
    <mergeCell ref="I345:I345"/>
    <mergeCell ref="J345:J345"/>
    <mergeCell ref="K345:K345"/>
    <mergeCell ref="L345:L345"/>
    <mergeCell ref="M345:M345"/>
    <mergeCell ref="N345:N345"/>
    <mergeCell ref="O345:O345"/>
    <mergeCell ref="P345:P345"/>
    <mergeCell ref="Q345:Q345"/>
    <mergeCell ref="R345:R345"/>
    <mergeCell ref="S345:S345"/>
    <mergeCell ref="T345:T345"/>
    <mergeCell ref="U345:U345"/>
    <mergeCell ref="V345:V345"/>
    <mergeCell ref="W345:W345"/>
    <mergeCell ref="X345:X345"/>
    <mergeCell ref="Y345:Y345"/>
    <mergeCell ref="Z345:Z345"/>
    <mergeCell ref="AA345:AA345"/>
    <mergeCell ref="AB345:AB345"/>
    <mergeCell ref="AC345:AC345"/>
    <mergeCell ref="AD345:AD345"/>
    <mergeCell ref="AE345:AE345"/>
    <mergeCell ref="AF345:AF345"/>
    <mergeCell ref="AG345:AG345"/>
    <mergeCell ref="AH345:AH345"/>
    <mergeCell ref="AI345:AI345"/>
    <mergeCell ref="AJ345:AJ345"/>
    <mergeCell ref="AK345:AK345"/>
    <mergeCell ref="AL345:AL345"/>
    <mergeCell ref="AM345:AM345"/>
    <mergeCell ref="AN345:AN345"/>
    <mergeCell ref="AO345:AO345"/>
    <mergeCell ref="A346:A346"/>
    <mergeCell ref="B346:B346"/>
    <mergeCell ref="C346:C346"/>
    <mergeCell ref="D346:D346"/>
    <mergeCell ref="E346:E346"/>
    <mergeCell ref="F346:F346"/>
    <mergeCell ref="G346:G346"/>
    <mergeCell ref="H346:H346"/>
    <mergeCell ref="I346:I346"/>
    <mergeCell ref="J346:J346"/>
    <mergeCell ref="K346:K346"/>
    <mergeCell ref="L346:L346"/>
    <mergeCell ref="M346:M346"/>
    <mergeCell ref="N346:N346"/>
    <mergeCell ref="O346:O346"/>
    <mergeCell ref="P346:P346"/>
    <mergeCell ref="Q346:Q346"/>
    <mergeCell ref="R346:R346"/>
    <mergeCell ref="S346:S346"/>
    <mergeCell ref="T346:T346"/>
    <mergeCell ref="U346:U346"/>
    <mergeCell ref="V346:V346"/>
    <mergeCell ref="W346:W346"/>
    <mergeCell ref="X346:X346"/>
    <mergeCell ref="Y346:Y346"/>
    <mergeCell ref="Z346:Z346"/>
    <mergeCell ref="AA346:AA346"/>
    <mergeCell ref="AB346:AB346"/>
    <mergeCell ref="AC346:AC346"/>
    <mergeCell ref="AD346:AD346"/>
    <mergeCell ref="AE346:AE346"/>
    <mergeCell ref="AF346:AF346"/>
    <mergeCell ref="AG346:AG346"/>
    <mergeCell ref="AH346:AH346"/>
    <mergeCell ref="AI346:AI346"/>
    <mergeCell ref="AJ346:AJ346"/>
    <mergeCell ref="AK346:AK346"/>
    <mergeCell ref="AL346:AL346"/>
    <mergeCell ref="AM346:AM346"/>
    <mergeCell ref="AN346:AN346"/>
    <mergeCell ref="AO346:AO346"/>
    <mergeCell ref="A347:A347"/>
    <mergeCell ref="B347:B347"/>
    <mergeCell ref="C347:C347"/>
    <mergeCell ref="D347:D347"/>
    <mergeCell ref="E347:E347"/>
    <mergeCell ref="F347:F347"/>
    <mergeCell ref="G347:G347"/>
    <mergeCell ref="H347:H347"/>
    <mergeCell ref="I347:I347"/>
    <mergeCell ref="J347:J347"/>
    <mergeCell ref="K347:K347"/>
    <mergeCell ref="L347:L347"/>
    <mergeCell ref="M347:M347"/>
    <mergeCell ref="N347:N347"/>
    <mergeCell ref="O347:O347"/>
    <mergeCell ref="P347:P347"/>
    <mergeCell ref="Q347:Q347"/>
    <mergeCell ref="R347:R347"/>
    <mergeCell ref="S347:S347"/>
    <mergeCell ref="T347:T347"/>
    <mergeCell ref="U347:U347"/>
    <mergeCell ref="V347:V347"/>
    <mergeCell ref="W347:W347"/>
    <mergeCell ref="X347:X347"/>
    <mergeCell ref="Y347:Y347"/>
    <mergeCell ref="Z347:Z347"/>
    <mergeCell ref="AA347:AA347"/>
    <mergeCell ref="AB347:AB347"/>
    <mergeCell ref="AC347:AC347"/>
    <mergeCell ref="AD347:AD347"/>
    <mergeCell ref="AE347:AE347"/>
    <mergeCell ref="AF347:AF347"/>
    <mergeCell ref="AG347:AG347"/>
    <mergeCell ref="AH347:AH347"/>
    <mergeCell ref="AI347:AI347"/>
    <mergeCell ref="AJ347:AJ347"/>
    <mergeCell ref="AK347:AK347"/>
    <mergeCell ref="AL347:AL347"/>
    <mergeCell ref="AM347:AM347"/>
    <mergeCell ref="AN347:AN347"/>
    <mergeCell ref="AO347:AO347"/>
    <mergeCell ref="A348:A348"/>
    <mergeCell ref="B348:B348"/>
    <mergeCell ref="C348:C348"/>
    <mergeCell ref="D348:D348"/>
    <mergeCell ref="E348:E348"/>
    <mergeCell ref="F348:F348"/>
    <mergeCell ref="G348:G348"/>
    <mergeCell ref="H348:H348"/>
    <mergeCell ref="I348:I348"/>
    <mergeCell ref="J348:J348"/>
    <mergeCell ref="K348:K348"/>
    <mergeCell ref="L348:L348"/>
    <mergeCell ref="M348:M348"/>
    <mergeCell ref="N348:N348"/>
    <mergeCell ref="O348:O348"/>
    <mergeCell ref="P348:P348"/>
    <mergeCell ref="Q348:Q348"/>
    <mergeCell ref="R348:R348"/>
    <mergeCell ref="S348:S348"/>
    <mergeCell ref="T348:T348"/>
    <mergeCell ref="U348:U348"/>
    <mergeCell ref="V348:V348"/>
    <mergeCell ref="W348:W348"/>
    <mergeCell ref="X348:X348"/>
    <mergeCell ref="Y348:Y348"/>
    <mergeCell ref="Z348:Z348"/>
    <mergeCell ref="AA348:AA348"/>
    <mergeCell ref="AB348:AB348"/>
    <mergeCell ref="AC348:AC348"/>
    <mergeCell ref="AD348:AD348"/>
    <mergeCell ref="AE348:AE348"/>
    <mergeCell ref="AF348:AF348"/>
    <mergeCell ref="AG348:AG348"/>
    <mergeCell ref="AH348:AH348"/>
    <mergeCell ref="AI348:AI348"/>
    <mergeCell ref="AJ348:AJ348"/>
    <mergeCell ref="AK348:AK348"/>
    <mergeCell ref="AL348:AL348"/>
    <mergeCell ref="AM348:AM348"/>
    <mergeCell ref="AN348:AN348"/>
    <mergeCell ref="AO348:AO348"/>
    <mergeCell ref="A349:A349"/>
    <mergeCell ref="B349:B349"/>
    <mergeCell ref="C349:C349"/>
    <mergeCell ref="D349:D349"/>
    <mergeCell ref="E349:E349"/>
    <mergeCell ref="F349:F349"/>
    <mergeCell ref="G349:G349"/>
    <mergeCell ref="H349:H349"/>
    <mergeCell ref="I349:I349"/>
    <mergeCell ref="J349:J349"/>
    <mergeCell ref="K349:K349"/>
    <mergeCell ref="L349:L349"/>
    <mergeCell ref="M349:M349"/>
    <mergeCell ref="N349:N349"/>
    <mergeCell ref="O349:O349"/>
    <mergeCell ref="P349:P349"/>
    <mergeCell ref="Q349:Q349"/>
    <mergeCell ref="R349:R349"/>
    <mergeCell ref="S349:S349"/>
    <mergeCell ref="T349:T349"/>
    <mergeCell ref="U349:U349"/>
    <mergeCell ref="V349:V349"/>
    <mergeCell ref="W349:W349"/>
    <mergeCell ref="X349:X349"/>
    <mergeCell ref="Y349:Y349"/>
    <mergeCell ref="Z349:Z349"/>
    <mergeCell ref="AA349:AA349"/>
    <mergeCell ref="AB349:AB349"/>
    <mergeCell ref="AC349:AC349"/>
    <mergeCell ref="AD349:AD349"/>
    <mergeCell ref="AE349:AE349"/>
    <mergeCell ref="AF349:AF349"/>
    <mergeCell ref="AG349:AG349"/>
    <mergeCell ref="AH349:AH349"/>
    <mergeCell ref="AI349:AI349"/>
    <mergeCell ref="AJ349:AJ349"/>
    <mergeCell ref="AK349:AK349"/>
    <mergeCell ref="AL349:AL349"/>
    <mergeCell ref="AM349:AM349"/>
    <mergeCell ref="AN349:AN349"/>
    <mergeCell ref="AO349:AO349"/>
    <mergeCell ref="A350:A350"/>
    <mergeCell ref="B350:B350"/>
    <mergeCell ref="C350:C350"/>
    <mergeCell ref="D350:D350"/>
    <mergeCell ref="E350:E350"/>
    <mergeCell ref="F350:F350"/>
    <mergeCell ref="G350:G350"/>
    <mergeCell ref="H350:H350"/>
    <mergeCell ref="I350:I350"/>
    <mergeCell ref="J350:J350"/>
    <mergeCell ref="K350:K350"/>
    <mergeCell ref="L350:L350"/>
    <mergeCell ref="M350:M350"/>
    <mergeCell ref="N350:N350"/>
    <mergeCell ref="O350:O350"/>
    <mergeCell ref="P350:P350"/>
    <mergeCell ref="Q350:Q350"/>
    <mergeCell ref="R350:R350"/>
    <mergeCell ref="S350:S350"/>
    <mergeCell ref="T350:T350"/>
    <mergeCell ref="U350:U350"/>
    <mergeCell ref="V350:V350"/>
    <mergeCell ref="W350:W350"/>
    <mergeCell ref="X350:X350"/>
    <mergeCell ref="Y350:Y350"/>
    <mergeCell ref="Z350:Z350"/>
    <mergeCell ref="AA350:AA350"/>
    <mergeCell ref="AB350:AB350"/>
    <mergeCell ref="AC350:AC350"/>
    <mergeCell ref="AD350:AD350"/>
    <mergeCell ref="AE350:AE350"/>
    <mergeCell ref="AF350:AF350"/>
    <mergeCell ref="AG350:AG350"/>
    <mergeCell ref="AH350:AH350"/>
    <mergeCell ref="AI350:AI350"/>
    <mergeCell ref="AJ350:AJ350"/>
    <mergeCell ref="AK350:AK350"/>
    <mergeCell ref="AL350:AL350"/>
    <mergeCell ref="AM350:AM350"/>
    <mergeCell ref="AN350:AN350"/>
    <mergeCell ref="AO350:AO350"/>
    <mergeCell ref="A351:A351"/>
    <mergeCell ref="B351:B351"/>
    <mergeCell ref="C351:C351"/>
    <mergeCell ref="D351:D351"/>
    <mergeCell ref="E351:E351"/>
    <mergeCell ref="F351:F351"/>
    <mergeCell ref="G351:G351"/>
    <mergeCell ref="H351:H351"/>
    <mergeCell ref="I351:I351"/>
    <mergeCell ref="J351:J351"/>
    <mergeCell ref="K351:K351"/>
    <mergeCell ref="L351:L351"/>
    <mergeCell ref="M351:M351"/>
    <mergeCell ref="N351:N351"/>
    <mergeCell ref="O351:O351"/>
    <mergeCell ref="P351:P351"/>
    <mergeCell ref="Q351:Q351"/>
    <mergeCell ref="R351:R351"/>
    <mergeCell ref="S351:S351"/>
    <mergeCell ref="T351:T351"/>
    <mergeCell ref="U351:U351"/>
    <mergeCell ref="V351:V351"/>
    <mergeCell ref="W351:W351"/>
    <mergeCell ref="X351:X351"/>
    <mergeCell ref="Y351:Y351"/>
    <mergeCell ref="Z351:Z351"/>
    <mergeCell ref="AA351:AA351"/>
    <mergeCell ref="AB351:AB351"/>
    <mergeCell ref="AC351:AC351"/>
    <mergeCell ref="AD351:AD351"/>
    <mergeCell ref="AE351:AE351"/>
    <mergeCell ref="AF351:AF351"/>
    <mergeCell ref="AG351:AG351"/>
    <mergeCell ref="AH351:AH351"/>
    <mergeCell ref="AI351:AI351"/>
    <mergeCell ref="AJ351:AJ351"/>
    <mergeCell ref="AK351:AK351"/>
    <mergeCell ref="AL351:AL351"/>
    <mergeCell ref="AM351:AM351"/>
    <mergeCell ref="AN351:AN351"/>
    <mergeCell ref="AO351:AO351"/>
    <mergeCell ref="A352:A352"/>
    <mergeCell ref="B352:B352"/>
    <mergeCell ref="C352:C352"/>
    <mergeCell ref="D352:D352"/>
    <mergeCell ref="E352:E352"/>
    <mergeCell ref="F352:F352"/>
    <mergeCell ref="G352:G352"/>
    <mergeCell ref="H352:H352"/>
    <mergeCell ref="I352:I352"/>
    <mergeCell ref="J352:J352"/>
    <mergeCell ref="K352:K352"/>
    <mergeCell ref="L352:L352"/>
    <mergeCell ref="M352:M352"/>
    <mergeCell ref="N352:N352"/>
    <mergeCell ref="O352:O352"/>
    <mergeCell ref="P352:P352"/>
    <mergeCell ref="Q352:Q352"/>
    <mergeCell ref="R352:R352"/>
    <mergeCell ref="S352:S352"/>
    <mergeCell ref="T352:T352"/>
    <mergeCell ref="U352:U352"/>
    <mergeCell ref="V352:V352"/>
    <mergeCell ref="W352:W352"/>
    <mergeCell ref="X352:X352"/>
    <mergeCell ref="Y352:Y352"/>
    <mergeCell ref="Z352:Z352"/>
    <mergeCell ref="AA352:AA352"/>
    <mergeCell ref="AB352:AB352"/>
    <mergeCell ref="AC352:AC352"/>
    <mergeCell ref="AD352:AD352"/>
    <mergeCell ref="AE352:AE352"/>
    <mergeCell ref="AF352:AF352"/>
    <mergeCell ref="AG352:AG352"/>
    <mergeCell ref="AH352:AH352"/>
    <mergeCell ref="AI352:AI352"/>
    <mergeCell ref="AJ352:AJ352"/>
    <mergeCell ref="AK352:AK352"/>
    <mergeCell ref="AL352:AL352"/>
    <mergeCell ref="AM352:AM352"/>
    <mergeCell ref="AN352:AN352"/>
    <mergeCell ref="AO352:AO352"/>
    <mergeCell ref="A353:A353"/>
    <mergeCell ref="B353:B353"/>
    <mergeCell ref="C353:C353"/>
    <mergeCell ref="D353:D353"/>
    <mergeCell ref="E353:E353"/>
    <mergeCell ref="F353:F353"/>
    <mergeCell ref="G353:G353"/>
    <mergeCell ref="H353:H353"/>
    <mergeCell ref="I353:I353"/>
    <mergeCell ref="J353:J353"/>
    <mergeCell ref="K353:K353"/>
    <mergeCell ref="L353:L353"/>
    <mergeCell ref="M353:M353"/>
    <mergeCell ref="N353:N353"/>
    <mergeCell ref="O353:O353"/>
    <mergeCell ref="P353:P353"/>
    <mergeCell ref="Q353:Q353"/>
    <mergeCell ref="R353:R353"/>
    <mergeCell ref="S353:S353"/>
    <mergeCell ref="T353:T353"/>
    <mergeCell ref="U353:U353"/>
    <mergeCell ref="V353:V353"/>
    <mergeCell ref="W353:W353"/>
    <mergeCell ref="X353:X353"/>
    <mergeCell ref="Y353:Y353"/>
    <mergeCell ref="Z353:Z353"/>
    <mergeCell ref="AA353:AA353"/>
    <mergeCell ref="AB353:AB353"/>
    <mergeCell ref="AC353:AC353"/>
    <mergeCell ref="AD353:AD353"/>
    <mergeCell ref="AE353:AE353"/>
    <mergeCell ref="AF353:AF353"/>
    <mergeCell ref="AG353:AG353"/>
    <mergeCell ref="AH353:AH353"/>
    <mergeCell ref="AI353:AI353"/>
    <mergeCell ref="AJ353:AJ353"/>
    <mergeCell ref="AK353:AK353"/>
    <mergeCell ref="AL353:AL353"/>
    <mergeCell ref="AM353:AM353"/>
    <mergeCell ref="AN353:AN353"/>
    <mergeCell ref="AO353:AO353"/>
    <mergeCell ref="A354:A354"/>
    <mergeCell ref="B354:B354"/>
    <mergeCell ref="C354:C354"/>
    <mergeCell ref="D354:D354"/>
    <mergeCell ref="E354:E354"/>
    <mergeCell ref="F354:F354"/>
    <mergeCell ref="G354:G354"/>
    <mergeCell ref="H354:H354"/>
    <mergeCell ref="I354:I354"/>
    <mergeCell ref="J354:J354"/>
    <mergeCell ref="K354:K354"/>
    <mergeCell ref="L354:L354"/>
    <mergeCell ref="M354:M354"/>
    <mergeCell ref="N354:N354"/>
    <mergeCell ref="O354:O354"/>
    <mergeCell ref="P354:P354"/>
    <mergeCell ref="Q354:Q354"/>
    <mergeCell ref="R354:R354"/>
    <mergeCell ref="S354:S354"/>
    <mergeCell ref="T354:T354"/>
    <mergeCell ref="U354:U354"/>
    <mergeCell ref="V354:V354"/>
    <mergeCell ref="W354:W354"/>
    <mergeCell ref="X354:X354"/>
    <mergeCell ref="Y354:Y354"/>
    <mergeCell ref="Z354:Z354"/>
    <mergeCell ref="AA354:AA354"/>
    <mergeCell ref="AB354:AB354"/>
    <mergeCell ref="AC354:AC354"/>
    <mergeCell ref="AD354:AD354"/>
    <mergeCell ref="AE354:AE354"/>
    <mergeCell ref="AF354:AF354"/>
    <mergeCell ref="AG354:AG354"/>
    <mergeCell ref="AH354:AH354"/>
    <mergeCell ref="AI354:AI354"/>
    <mergeCell ref="AJ354:AJ354"/>
    <mergeCell ref="AK354:AK354"/>
    <mergeCell ref="AL354:AL354"/>
    <mergeCell ref="AM354:AM354"/>
    <mergeCell ref="AN354:AN354"/>
    <mergeCell ref="AO354:AO354"/>
    <mergeCell ref="A355:A355"/>
    <mergeCell ref="B355:B355"/>
    <mergeCell ref="C355:C355"/>
    <mergeCell ref="D355:D355"/>
    <mergeCell ref="E355:E355"/>
    <mergeCell ref="F355:F355"/>
    <mergeCell ref="G355:G355"/>
    <mergeCell ref="H355:H355"/>
    <mergeCell ref="I355:I355"/>
    <mergeCell ref="J355:J355"/>
    <mergeCell ref="K355:K355"/>
    <mergeCell ref="L355:L355"/>
    <mergeCell ref="M355:M355"/>
    <mergeCell ref="N355:N355"/>
    <mergeCell ref="O355:O355"/>
    <mergeCell ref="P355:P355"/>
    <mergeCell ref="Q355:Q355"/>
    <mergeCell ref="R355:R355"/>
    <mergeCell ref="S355:S355"/>
    <mergeCell ref="T355:T355"/>
    <mergeCell ref="U355:U355"/>
    <mergeCell ref="V355:V355"/>
    <mergeCell ref="W355:W355"/>
    <mergeCell ref="X355:X355"/>
    <mergeCell ref="Y355:Y355"/>
    <mergeCell ref="Z355:Z355"/>
    <mergeCell ref="AA355:AA355"/>
    <mergeCell ref="AB355:AB355"/>
    <mergeCell ref="AC355:AC355"/>
    <mergeCell ref="AD355:AD355"/>
    <mergeCell ref="AE355:AE355"/>
    <mergeCell ref="AF355:AF355"/>
    <mergeCell ref="AG355:AG355"/>
    <mergeCell ref="AH355:AH355"/>
    <mergeCell ref="AI355:AI355"/>
    <mergeCell ref="AJ355:AJ355"/>
    <mergeCell ref="AK355:AK355"/>
    <mergeCell ref="AL355:AL355"/>
    <mergeCell ref="AM355:AM355"/>
    <mergeCell ref="AN355:AN355"/>
    <mergeCell ref="AO355:AO355"/>
    <mergeCell ref="A356:A356"/>
    <mergeCell ref="B356:B356"/>
    <mergeCell ref="C356:C356"/>
    <mergeCell ref="D356:D356"/>
    <mergeCell ref="E356:E356"/>
    <mergeCell ref="F356:F356"/>
    <mergeCell ref="G356:G356"/>
    <mergeCell ref="H356:H356"/>
    <mergeCell ref="I356:I356"/>
    <mergeCell ref="J356:J356"/>
    <mergeCell ref="K356:K356"/>
    <mergeCell ref="L356:L356"/>
    <mergeCell ref="M356:M356"/>
    <mergeCell ref="N356:N356"/>
    <mergeCell ref="O356:O356"/>
    <mergeCell ref="P356:P356"/>
    <mergeCell ref="Q356:Q356"/>
    <mergeCell ref="R356:R356"/>
    <mergeCell ref="S356:S356"/>
    <mergeCell ref="T356:T356"/>
    <mergeCell ref="U356:U356"/>
    <mergeCell ref="V356:V356"/>
    <mergeCell ref="W356:W356"/>
    <mergeCell ref="X356:X356"/>
    <mergeCell ref="Y356:Y356"/>
    <mergeCell ref="Z356:Z356"/>
    <mergeCell ref="AA356:AA356"/>
    <mergeCell ref="AB356:AB356"/>
    <mergeCell ref="AC356:AC356"/>
    <mergeCell ref="AD356:AD356"/>
    <mergeCell ref="AE356:AE356"/>
    <mergeCell ref="AF356:AF356"/>
    <mergeCell ref="AG356:AG356"/>
    <mergeCell ref="AH356:AH356"/>
    <mergeCell ref="AI356:AI356"/>
    <mergeCell ref="AJ356:AJ356"/>
    <mergeCell ref="AK356:AK356"/>
    <mergeCell ref="AL356:AL356"/>
    <mergeCell ref="AM356:AM356"/>
    <mergeCell ref="AN356:AN356"/>
    <mergeCell ref="AO356:AO356"/>
    <mergeCell ref="A357:A357"/>
    <mergeCell ref="B357:B357"/>
    <mergeCell ref="C357:C357"/>
    <mergeCell ref="D357:D357"/>
    <mergeCell ref="E357:E357"/>
    <mergeCell ref="F357:F357"/>
    <mergeCell ref="G357:G357"/>
    <mergeCell ref="H357:H357"/>
    <mergeCell ref="I357:I357"/>
    <mergeCell ref="J357:J357"/>
    <mergeCell ref="K357:K357"/>
    <mergeCell ref="L357:L357"/>
    <mergeCell ref="M357:M357"/>
    <mergeCell ref="N357:N357"/>
    <mergeCell ref="O357:O357"/>
    <mergeCell ref="P357:P357"/>
    <mergeCell ref="Q357:Q357"/>
    <mergeCell ref="R357:R357"/>
    <mergeCell ref="S357:S357"/>
    <mergeCell ref="T357:T357"/>
    <mergeCell ref="U357:U357"/>
    <mergeCell ref="V357:V357"/>
    <mergeCell ref="W357:W357"/>
    <mergeCell ref="X357:X357"/>
    <mergeCell ref="Y357:Y357"/>
    <mergeCell ref="Z357:Z357"/>
    <mergeCell ref="AA357:AA357"/>
    <mergeCell ref="AB357:AB357"/>
    <mergeCell ref="AC357:AC357"/>
    <mergeCell ref="AD357:AD357"/>
    <mergeCell ref="AE357:AE357"/>
    <mergeCell ref="AF357:AF357"/>
    <mergeCell ref="AG357:AG357"/>
    <mergeCell ref="AH357:AH357"/>
    <mergeCell ref="AI357:AI357"/>
    <mergeCell ref="AJ357:AJ357"/>
    <mergeCell ref="AK357:AK357"/>
    <mergeCell ref="AL357:AL357"/>
    <mergeCell ref="AM357:AM357"/>
    <mergeCell ref="AN357:AN357"/>
    <mergeCell ref="AO357:AO357"/>
    <mergeCell ref="A358:A358"/>
    <mergeCell ref="B358:B358"/>
    <mergeCell ref="C358:C358"/>
    <mergeCell ref="D358:D358"/>
    <mergeCell ref="E358:E358"/>
    <mergeCell ref="F358:F358"/>
    <mergeCell ref="G358:G358"/>
    <mergeCell ref="H358:H358"/>
    <mergeCell ref="I358:I358"/>
    <mergeCell ref="J358:J358"/>
    <mergeCell ref="K358:K358"/>
    <mergeCell ref="L358:L358"/>
    <mergeCell ref="M358:M358"/>
    <mergeCell ref="N358:N358"/>
    <mergeCell ref="O358:O358"/>
    <mergeCell ref="P358:P358"/>
    <mergeCell ref="Q358:Q358"/>
    <mergeCell ref="R358:R358"/>
    <mergeCell ref="S358:S358"/>
    <mergeCell ref="T358:T358"/>
    <mergeCell ref="U358:U358"/>
    <mergeCell ref="V358:V358"/>
    <mergeCell ref="W358:W358"/>
    <mergeCell ref="X358:X358"/>
    <mergeCell ref="Y358:Y358"/>
    <mergeCell ref="Z358:Z358"/>
    <mergeCell ref="AA358:AA358"/>
    <mergeCell ref="AB358:AB358"/>
    <mergeCell ref="AC358:AC358"/>
    <mergeCell ref="AD358:AD358"/>
    <mergeCell ref="AE358:AE358"/>
    <mergeCell ref="AF358:AF358"/>
    <mergeCell ref="AG358:AG358"/>
    <mergeCell ref="AH358:AH358"/>
    <mergeCell ref="AI358:AI358"/>
    <mergeCell ref="AJ358:AJ358"/>
    <mergeCell ref="AK358:AK358"/>
    <mergeCell ref="AL358:AL358"/>
    <mergeCell ref="AM358:AM358"/>
    <mergeCell ref="AN358:AN358"/>
    <mergeCell ref="AO358:AO358"/>
    <mergeCell ref="A359:A359"/>
    <mergeCell ref="B359:B359"/>
    <mergeCell ref="C359:C359"/>
    <mergeCell ref="D359:D359"/>
    <mergeCell ref="E359:E359"/>
    <mergeCell ref="F359:F359"/>
    <mergeCell ref="G359:G359"/>
    <mergeCell ref="H359:H359"/>
    <mergeCell ref="I359:I359"/>
    <mergeCell ref="J359:J359"/>
    <mergeCell ref="K359:K359"/>
    <mergeCell ref="L359:L359"/>
    <mergeCell ref="M359:M359"/>
    <mergeCell ref="N359:N359"/>
    <mergeCell ref="O359:O359"/>
    <mergeCell ref="P359:P359"/>
    <mergeCell ref="Q359:Q359"/>
    <mergeCell ref="R359:R359"/>
    <mergeCell ref="S359:S359"/>
    <mergeCell ref="T359:T359"/>
    <mergeCell ref="U359:U359"/>
    <mergeCell ref="V359:V359"/>
    <mergeCell ref="W359:W359"/>
    <mergeCell ref="X359:X359"/>
    <mergeCell ref="Y359:Y359"/>
    <mergeCell ref="Z359:Z359"/>
    <mergeCell ref="AA359:AA359"/>
    <mergeCell ref="AB359:AB359"/>
    <mergeCell ref="AC359:AC359"/>
    <mergeCell ref="AD359:AD359"/>
    <mergeCell ref="AE359:AE359"/>
    <mergeCell ref="AF359:AF359"/>
    <mergeCell ref="AG359:AG359"/>
    <mergeCell ref="AH359:AH359"/>
    <mergeCell ref="AI359:AI359"/>
    <mergeCell ref="AJ359:AJ359"/>
    <mergeCell ref="AK359:AK359"/>
    <mergeCell ref="AL359:AL359"/>
    <mergeCell ref="AM359:AM359"/>
    <mergeCell ref="AN359:AN359"/>
    <mergeCell ref="AO359:AO359"/>
    <mergeCell ref="AP5:AP5"/>
    <mergeCell ref="AP6:AP6"/>
    <mergeCell ref="AP7:AP7"/>
    <mergeCell ref="AP8:AP8"/>
    <mergeCell ref="AP9:AP9"/>
    <mergeCell ref="AP10:AP10"/>
    <mergeCell ref="AP11:AP11"/>
    <mergeCell ref="AP12:AP12"/>
    <mergeCell ref="AP13:AP13"/>
    <mergeCell ref="AP14:AP14"/>
    <mergeCell ref="AP15:AP15"/>
    <mergeCell ref="AP16:AP16"/>
    <mergeCell ref="AP17:AP17"/>
    <mergeCell ref="AP18:AP18"/>
    <mergeCell ref="AP19:AP19"/>
    <mergeCell ref="AP20:AP20"/>
    <mergeCell ref="AP21:AP21"/>
    <mergeCell ref="AP22:AP22"/>
    <mergeCell ref="AP23:AP23"/>
    <mergeCell ref="AP24:AP24"/>
    <mergeCell ref="AP25:AP25"/>
    <mergeCell ref="AP26:AP26"/>
    <mergeCell ref="AP27:AP27"/>
    <mergeCell ref="AP28:AP28"/>
    <mergeCell ref="AP29:AP29"/>
    <mergeCell ref="AP30:AP30"/>
    <mergeCell ref="AP31:AP31"/>
    <mergeCell ref="AP32:AP32"/>
    <mergeCell ref="AP33:AP33"/>
    <mergeCell ref="AP34:AP34"/>
    <mergeCell ref="AP35:AP35"/>
    <mergeCell ref="AP36:AP36"/>
    <mergeCell ref="AP37:AP37"/>
    <mergeCell ref="AP38:AP38"/>
    <mergeCell ref="AP39:AP39"/>
    <mergeCell ref="AP40:AP40"/>
    <mergeCell ref="AP41:AP41"/>
    <mergeCell ref="AP42:AP42"/>
    <mergeCell ref="AP43:AP43"/>
    <mergeCell ref="AP44:AP44"/>
    <mergeCell ref="AP45:AP45"/>
    <mergeCell ref="AP46:AP46"/>
    <mergeCell ref="AP47:AP47"/>
    <mergeCell ref="AP48:AP48"/>
    <mergeCell ref="AP49:AP49"/>
    <mergeCell ref="AP50:AP50"/>
    <mergeCell ref="AP51:AP51"/>
    <mergeCell ref="AP52:AP52"/>
    <mergeCell ref="AP53:AP53"/>
    <mergeCell ref="AP54:AP54"/>
    <mergeCell ref="AP55:AP55"/>
    <mergeCell ref="AP56:AP56"/>
    <mergeCell ref="AP57:AP57"/>
    <mergeCell ref="AP58:AP58"/>
    <mergeCell ref="AP59:AP59"/>
    <mergeCell ref="AP60:AP60"/>
    <mergeCell ref="AP61:AP61"/>
    <mergeCell ref="AP62:AP62"/>
    <mergeCell ref="AP63:AP63"/>
    <mergeCell ref="AP64:AP64"/>
    <mergeCell ref="AP65:AP65"/>
    <mergeCell ref="AP66:AP66"/>
    <mergeCell ref="AP67:AP67"/>
    <mergeCell ref="AP68:AP68"/>
    <mergeCell ref="AP69:AP69"/>
    <mergeCell ref="AP70:AP70"/>
    <mergeCell ref="AP71:AP71"/>
    <mergeCell ref="AP72:AP72"/>
    <mergeCell ref="AP73:AP73"/>
    <mergeCell ref="AP74:AP74"/>
    <mergeCell ref="AP75:AP75"/>
    <mergeCell ref="AP76:AP76"/>
    <mergeCell ref="AP77:AP77"/>
    <mergeCell ref="AP78:AP78"/>
    <mergeCell ref="AP79:AP79"/>
    <mergeCell ref="AP80:AP80"/>
    <mergeCell ref="AP81:AP81"/>
    <mergeCell ref="AP82:AP82"/>
    <mergeCell ref="AP83:AP83"/>
    <mergeCell ref="AP84:AP84"/>
    <mergeCell ref="AP85:AP85"/>
    <mergeCell ref="AP86:AP86"/>
    <mergeCell ref="AP87:AP87"/>
    <mergeCell ref="AP88:AP88"/>
    <mergeCell ref="AP89:AP89"/>
    <mergeCell ref="AP90:AP90"/>
    <mergeCell ref="AP91:AP91"/>
    <mergeCell ref="AP92:AP92"/>
    <mergeCell ref="AP93:AP93"/>
    <mergeCell ref="AP94:AP94"/>
    <mergeCell ref="AP95:AP95"/>
    <mergeCell ref="AP96:AP96"/>
    <mergeCell ref="AP97:AP97"/>
    <mergeCell ref="AP98:AP98"/>
    <mergeCell ref="AP99:AP99"/>
    <mergeCell ref="AP100:AP100"/>
    <mergeCell ref="AP101:AP101"/>
    <mergeCell ref="AP102:AP102"/>
    <mergeCell ref="AP103:AP103"/>
    <mergeCell ref="AP104:AP104"/>
    <mergeCell ref="AP105:AP105"/>
    <mergeCell ref="AP106:AP106"/>
    <mergeCell ref="AP107:AP107"/>
    <mergeCell ref="AP108:AP108"/>
    <mergeCell ref="AP109:AP109"/>
    <mergeCell ref="AP110:AP110"/>
    <mergeCell ref="AP111:AP111"/>
    <mergeCell ref="AP112:AP112"/>
    <mergeCell ref="AP113:AP113"/>
    <mergeCell ref="AP114:AP114"/>
    <mergeCell ref="AP115:AP115"/>
    <mergeCell ref="AP116:AP116"/>
    <mergeCell ref="AP117:AP117"/>
    <mergeCell ref="AP118:AP118"/>
    <mergeCell ref="AP119:AP119"/>
    <mergeCell ref="AP120:AP120"/>
    <mergeCell ref="AP121:AP121"/>
    <mergeCell ref="AP122:AP122"/>
    <mergeCell ref="AP123:AP123"/>
    <mergeCell ref="AP124:AP124"/>
    <mergeCell ref="AP125:AP125"/>
    <mergeCell ref="AP126:AP126"/>
    <mergeCell ref="AP127:AP127"/>
    <mergeCell ref="AP128:AP128"/>
    <mergeCell ref="AP129:AP129"/>
    <mergeCell ref="AP130:AP130"/>
    <mergeCell ref="AP131:AP131"/>
    <mergeCell ref="AP132:AP132"/>
    <mergeCell ref="AP133:AP133"/>
    <mergeCell ref="AP134:AP134"/>
    <mergeCell ref="AP135:AP135"/>
    <mergeCell ref="AP136:AP136"/>
    <mergeCell ref="AP137:AP137"/>
    <mergeCell ref="AP138:AP138"/>
    <mergeCell ref="AP139:AP139"/>
    <mergeCell ref="AP140:AP140"/>
    <mergeCell ref="AP141:AP141"/>
    <mergeCell ref="AP142:AP142"/>
    <mergeCell ref="AP143:AP143"/>
    <mergeCell ref="AP144:AP144"/>
    <mergeCell ref="AP145:AP145"/>
    <mergeCell ref="AP146:AP146"/>
    <mergeCell ref="AP147:AP147"/>
    <mergeCell ref="AP148:AP148"/>
    <mergeCell ref="AP149:AP149"/>
    <mergeCell ref="AP150:AP150"/>
    <mergeCell ref="AP151:AP151"/>
    <mergeCell ref="AP152:AP152"/>
    <mergeCell ref="AP153:AP153"/>
    <mergeCell ref="AP154:AP154"/>
    <mergeCell ref="AP155:AP155"/>
    <mergeCell ref="AP156:AP156"/>
    <mergeCell ref="AP157:AP157"/>
    <mergeCell ref="AP158:AP158"/>
    <mergeCell ref="AP159:AP159"/>
    <mergeCell ref="AP160:AP160"/>
    <mergeCell ref="AP161:AP161"/>
    <mergeCell ref="AP162:AP162"/>
    <mergeCell ref="AP163:AP163"/>
    <mergeCell ref="AP164:AP164"/>
    <mergeCell ref="AP165:AP165"/>
    <mergeCell ref="AP166:AP166"/>
    <mergeCell ref="AP167:AP167"/>
    <mergeCell ref="AP168:AP168"/>
    <mergeCell ref="AP169:AP169"/>
    <mergeCell ref="AP170:AP170"/>
    <mergeCell ref="AP171:AP171"/>
    <mergeCell ref="AP172:AP172"/>
    <mergeCell ref="AP173:AP173"/>
    <mergeCell ref="AP174:AP174"/>
    <mergeCell ref="AP175:AP175"/>
    <mergeCell ref="AP176:AP176"/>
    <mergeCell ref="AP177:AP177"/>
    <mergeCell ref="AP178:AP178"/>
    <mergeCell ref="AP179:AP179"/>
    <mergeCell ref="AP180:AP180"/>
    <mergeCell ref="AP181:AP181"/>
    <mergeCell ref="AP182:AP182"/>
    <mergeCell ref="AP183:AP183"/>
    <mergeCell ref="AP184:AP184"/>
    <mergeCell ref="AP185:AP185"/>
    <mergeCell ref="AP186:AP186"/>
    <mergeCell ref="AP187:AP187"/>
    <mergeCell ref="AP188:AP188"/>
    <mergeCell ref="AP189:AP189"/>
    <mergeCell ref="AP190:AP190"/>
    <mergeCell ref="AP191:AP191"/>
    <mergeCell ref="AP192:AP192"/>
    <mergeCell ref="AP193:AP193"/>
    <mergeCell ref="AP194:AP194"/>
    <mergeCell ref="AP195:AP195"/>
    <mergeCell ref="AP196:AP196"/>
    <mergeCell ref="AP197:AP197"/>
    <mergeCell ref="AP198:AP198"/>
    <mergeCell ref="AP199:AP199"/>
    <mergeCell ref="AP200:AP200"/>
    <mergeCell ref="AP201:AP201"/>
    <mergeCell ref="AP202:AP202"/>
    <mergeCell ref="AP203:AP203"/>
    <mergeCell ref="AP204:AP204"/>
    <mergeCell ref="AP205:AP205"/>
    <mergeCell ref="AP206:AP206"/>
    <mergeCell ref="AP207:AP207"/>
    <mergeCell ref="AP208:AP208"/>
    <mergeCell ref="AP209:AP209"/>
    <mergeCell ref="AP210:AP210"/>
    <mergeCell ref="AP211:AP211"/>
    <mergeCell ref="AP212:AP212"/>
    <mergeCell ref="AP213:AP213"/>
    <mergeCell ref="AP214:AP214"/>
    <mergeCell ref="AP215:AP215"/>
    <mergeCell ref="AP216:AP216"/>
    <mergeCell ref="AP217:AP217"/>
    <mergeCell ref="AP218:AP218"/>
    <mergeCell ref="AP219:AP219"/>
    <mergeCell ref="AP220:AP220"/>
    <mergeCell ref="AP221:AP221"/>
    <mergeCell ref="AP222:AP222"/>
    <mergeCell ref="AP223:AP223"/>
    <mergeCell ref="AP224:AP224"/>
    <mergeCell ref="AP225:AP225"/>
    <mergeCell ref="AP226:AP226"/>
    <mergeCell ref="AP227:AP227"/>
    <mergeCell ref="AP228:AP228"/>
    <mergeCell ref="AP229:AP229"/>
    <mergeCell ref="AP230:AP230"/>
    <mergeCell ref="AP231:AP231"/>
    <mergeCell ref="AP232:AP232"/>
    <mergeCell ref="AP233:AP233"/>
    <mergeCell ref="AP234:AP234"/>
    <mergeCell ref="AP235:AP235"/>
    <mergeCell ref="AP236:AP236"/>
    <mergeCell ref="AP237:AP237"/>
    <mergeCell ref="AP238:AP238"/>
    <mergeCell ref="AP239:AP239"/>
    <mergeCell ref="AP240:AP240"/>
    <mergeCell ref="AP241:AP241"/>
    <mergeCell ref="AP242:AP242"/>
    <mergeCell ref="AP243:AP243"/>
    <mergeCell ref="AP244:AP244"/>
    <mergeCell ref="AP245:AP245"/>
    <mergeCell ref="AP246:AP246"/>
    <mergeCell ref="AP247:AP247"/>
    <mergeCell ref="AP248:AP248"/>
    <mergeCell ref="AP249:AP249"/>
    <mergeCell ref="AP250:AP250"/>
    <mergeCell ref="AP251:AP251"/>
    <mergeCell ref="AP252:AP252"/>
    <mergeCell ref="AP253:AP253"/>
    <mergeCell ref="AP254:AP254"/>
    <mergeCell ref="AP255:AP255"/>
    <mergeCell ref="AP256:AP256"/>
    <mergeCell ref="AP257:AP257"/>
    <mergeCell ref="AP258:AP258"/>
    <mergeCell ref="AP259:AP259"/>
    <mergeCell ref="AP260:AP260"/>
    <mergeCell ref="AP261:AP261"/>
    <mergeCell ref="AP262:AP262"/>
    <mergeCell ref="AP263:AP263"/>
    <mergeCell ref="AP264:AP264"/>
    <mergeCell ref="AP265:AP265"/>
    <mergeCell ref="AP266:AP266"/>
    <mergeCell ref="AP267:AP267"/>
    <mergeCell ref="AP268:AP268"/>
    <mergeCell ref="AP269:AP269"/>
    <mergeCell ref="AP270:AP270"/>
    <mergeCell ref="AP271:AP271"/>
    <mergeCell ref="AP272:AP272"/>
    <mergeCell ref="AP273:AP273"/>
    <mergeCell ref="AP274:AP274"/>
    <mergeCell ref="AP275:AP275"/>
    <mergeCell ref="AP276:AP276"/>
    <mergeCell ref="AP277:AP277"/>
    <mergeCell ref="AP278:AP278"/>
    <mergeCell ref="AP279:AP279"/>
    <mergeCell ref="AP280:AP280"/>
    <mergeCell ref="AP281:AP281"/>
    <mergeCell ref="AP282:AP282"/>
    <mergeCell ref="AP283:AP283"/>
    <mergeCell ref="AP284:AP284"/>
    <mergeCell ref="AP285:AP285"/>
    <mergeCell ref="AP286:AP286"/>
    <mergeCell ref="AP287:AP287"/>
    <mergeCell ref="AP288:AP288"/>
    <mergeCell ref="AP289:AP289"/>
    <mergeCell ref="AP290:AP290"/>
    <mergeCell ref="AP291:AP291"/>
    <mergeCell ref="AP292:AP292"/>
    <mergeCell ref="AP293:AP293"/>
    <mergeCell ref="AP294:AP294"/>
    <mergeCell ref="AP295:AP295"/>
    <mergeCell ref="AP296:AP296"/>
    <mergeCell ref="AP297:AP297"/>
    <mergeCell ref="AP298:AP298"/>
    <mergeCell ref="AP299:AP299"/>
    <mergeCell ref="AP300:AP300"/>
    <mergeCell ref="AP301:AP301"/>
    <mergeCell ref="AP302:AP302"/>
    <mergeCell ref="AP303:AP303"/>
    <mergeCell ref="AP304:AP304"/>
    <mergeCell ref="AP305:AP305"/>
    <mergeCell ref="AP306:AP306"/>
    <mergeCell ref="AP307:AP307"/>
    <mergeCell ref="AP308:AP308"/>
    <mergeCell ref="AP309:AP309"/>
    <mergeCell ref="AP310:AP310"/>
    <mergeCell ref="AP311:AP311"/>
    <mergeCell ref="AP312:AP312"/>
    <mergeCell ref="AP313:AP313"/>
    <mergeCell ref="AP314:AP314"/>
    <mergeCell ref="AP315:AP315"/>
    <mergeCell ref="AP316:AP316"/>
    <mergeCell ref="AP317:AP317"/>
    <mergeCell ref="AP318:AP318"/>
    <mergeCell ref="AP319:AP319"/>
    <mergeCell ref="AP320:AP320"/>
    <mergeCell ref="AP321:AP321"/>
    <mergeCell ref="AP322:AP322"/>
    <mergeCell ref="AP323:AP323"/>
    <mergeCell ref="AP324:AP324"/>
    <mergeCell ref="AP325:AP325"/>
    <mergeCell ref="AP326:AP326"/>
    <mergeCell ref="AP327:AP327"/>
    <mergeCell ref="AP328:AP328"/>
    <mergeCell ref="AP329:AP329"/>
    <mergeCell ref="AP330:AP330"/>
    <mergeCell ref="AP331:AP331"/>
    <mergeCell ref="AP332:AP332"/>
    <mergeCell ref="AP333:AP333"/>
    <mergeCell ref="AP334:AP334"/>
    <mergeCell ref="AP335:AP335"/>
    <mergeCell ref="AP336:AP336"/>
    <mergeCell ref="AP337:AP337"/>
    <mergeCell ref="AP338:AP338"/>
    <mergeCell ref="AP339:AP339"/>
    <mergeCell ref="AP340:AP340"/>
    <mergeCell ref="AP341:AP341"/>
    <mergeCell ref="AP342:AP342"/>
    <mergeCell ref="AP343:AP343"/>
    <mergeCell ref="AP344:AP344"/>
    <mergeCell ref="AP345:AP345"/>
    <mergeCell ref="AP346:AP346"/>
    <mergeCell ref="AP347:AP347"/>
    <mergeCell ref="AP348:AP348"/>
    <mergeCell ref="AP349:AP349"/>
    <mergeCell ref="AP350:AP350"/>
    <mergeCell ref="AP351:AP351"/>
    <mergeCell ref="AP352:AP352"/>
    <mergeCell ref="AP353:AP353"/>
    <mergeCell ref="AP354:AP354"/>
    <mergeCell ref="AP355:AP355"/>
    <mergeCell ref="AP356:AP356"/>
    <mergeCell ref="AP357:AP357"/>
    <mergeCell ref="AP358:AP358"/>
    <mergeCell ref="AP359:AP359"/>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BW1121"/>
  <sheetViews>
    <sheetView tabSelected="0" workbookViewId="0" showGridLines="true" showRowColHeaders="1">
      <selection activeCell="BK47" sqref="BK47"/>
    </sheetView>
  </sheetViews>
  <sheetFormatPr defaultRowHeight="14.4" outlineLevelRow="0" outlineLevelCol="0"/>
  <cols>
    <col min="1" max="1" width="13.996582" bestFit="true" customWidth="true" style="0"/>
    <col min="16" max="16" width="25" customWidth="true" style="0"/>
    <col min="15" max="15" width="34.134521" bestFit="true" customWidth="true" style="0"/>
    <col min="17" max="17" width="34.134521" bestFit="true" customWidth="true" style="0"/>
    <col min="18" max="18" width="10" customWidth="true" style="0"/>
    <col min="19" max="19" width="10" customWidth="true" style="0"/>
    <col min="20" max="20" width="15" customWidth="true" style="0"/>
    <col min="21" max="21" width="10" customWidth="true" style="0"/>
    <col min="28" max="28" width="25" customWidth="true" style="0"/>
    <col min="27" max="27" width="34.134521" bestFit="true" customWidth="true" style="0"/>
    <col min="29" max="29" width="31.992188" bestFit="true" customWidth="true" style="0"/>
    <col min="30" max="30" width="10" customWidth="true" style="0"/>
    <col min="31" max="31" width="10" customWidth="true" style="0"/>
    <col min="32" max="32" width="15" customWidth="true" style="0"/>
    <col min="33" max="33" width="10" customWidth="true" style="0"/>
    <col min="40" max="40" width="25" customWidth="true" style="0"/>
    <col min="39" max="39" width="34.134521" bestFit="true" customWidth="true" style="0"/>
    <col min="41" max="41" width="30.992432" bestFit="true" customWidth="true" style="0"/>
    <col min="42" max="42" width="10" customWidth="true" style="0"/>
    <col min="43" max="43" width="10" customWidth="true" style="0"/>
    <col min="44" max="44" width="15" customWidth="true" style="0"/>
    <col min="45" max="45" width="10" customWidth="true" style="0"/>
    <col min="52" max="52" width="25" customWidth="true" style="0"/>
    <col min="51" max="51" width="34.134521" bestFit="true" customWidth="true" style="0"/>
    <col min="53" max="53" width="35.2771" bestFit="true" customWidth="true" style="0"/>
    <col min="54" max="54" width="10" customWidth="true" style="0"/>
    <col min="55" max="55" width="10" customWidth="true" style="0"/>
    <col min="56" max="56" width="15" customWidth="true" style="0"/>
    <col min="57" max="57" width="10" customWidth="true" style="0"/>
    <col min="64" max="64" width="25" customWidth="true" style="0"/>
    <col min="63" max="63" width="35.2771" bestFit="true" customWidth="true" style="0"/>
    <col min="65" max="65" width="34.134521" bestFit="true" customWidth="true" style="0"/>
    <col min="66" max="66" width="10" customWidth="true" style="0"/>
    <col min="67" max="67" width="10" customWidth="true" style="0"/>
    <col min="68" max="68" width="15" customWidth="true" style="0"/>
    <col min="69" max="69" width="10" customWidth="true" style="0"/>
  </cols>
  <sheetData>
    <row r="1" spans="1:75">
      <c r="A1" s="6" t="s">
        <v>0</v>
      </c>
      <c r="B1" s="6"/>
      <c r="C1" s="6"/>
      <c r="D1" s="6"/>
      <c r="E1" s="6"/>
      <c r="F1" s="6"/>
      <c r="G1" s="6"/>
      <c r="H1" s="6"/>
      <c r="I1" s="6"/>
      <c r="J1" s="6"/>
      <c r="K1" s="6"/>
    </row>
    <row r="2" spans="1:75">
      <c r="A2" s="7" t="s">
        <v>402</v>
      </c>
      <c r="B2" s="9" t="s">
        <v>548</v>
      </c>
      <c r="C2" s="9"/>
      <c r="D2" s="9" t="s">
        <v>549</v>
      </c>
      <c r="E2" s="9"/>
      <c r="F2" s="9" t="s">
        <v>550</v>
      </c>
      <c r="G2" s="9"/>
      <c r="H2" s="9" t="s">
        <v>551</v>
      </c>
      <c r="I2" s="9"/>
      <c r="J2" s="9" t="s">
        <v>578</v>
      </c>
      <c r="K2" s="9"/>
    </row>
    <row r="3" spans="1:75">
      <c r="A3" s="7"/>
      <c r="B3" s="8" t="s">
        <v>404</v>
      </c>
      <c r="C3" s="8" t="s">
        <v>5</v>
      </c>
      <c r="D3" s="8" t="s">
        <v>404</v>
      </c>
      <c r="E3" s="8" t="s">
        <v>5</v>
      </c>
      <c r="F3" s="8" t="s">
        <v>404</v>
      </c>
      <c r="G3" s="8" t="s">
        <v>5</v>
      </c>
      <c r="H3" s="8" t="s">
        <v>404</v>
      </c>
      <c r="I3" s="8" t="s">
        <v>5</v>
      </c>
      <c r="J3" s="8" t="s">
        <v>404</v>
      </c>
      <c r="K3" s="8" t="s">
        <v>5</v>
      </c>
      <c r="M3" s="11"/>
      <c r="N3" s="11"/>
      <c r="O3" s="11"/>
      <c r="P3" s="11"/>
      <c r="Q3" s="11"/>
      <c r="R3" s="11"/>
      <c r="S3" s="11"/>
      <c r="T3" s="11"/>
      <c r="U3" s="11"/>
      <c r="V3" s="11"/>
      <c r="W3" s="11"/>
      <c r="Y3" s="11"/>
      <c r="Z3" s="11"/>
      <c r="AA3" s="11"/>
      <c r="AB3" s="11"/>
      <c r="AC3" s="11"/>
      <c r="AD3" s="11"/>
      <c r="AE3" s="11"/>
      <c r="AF3" s="11"/>
      <c r="AG3" s="11"/>
      <c r="AH3" s="11"/>
      <c r="AI3" s="11"/>
      <c r="AK3" s="11"/>
      <c r="AL3" s="11"/>
      <c r="AM3" s="11"/>
      <c r="AN3" s="11"/>
      <c r="AO3" s="11"/>
      <c r="AP3" s="11"/>
      <c r="AQ3" s="11"/>
      <c r="AR3" s="11"/>
      <c r="AS3" s="11"/>
      <c r="AT3" s="11"/>
      <c r="AU3" s="11"/>
      <c r="AW3" s="11"/>
      <c r="AX3" s="11"/>
      <c r="AY3" s="11"/>
      <c r="AZ3" s="11"/>
      <c r="BA3" s="11"/>
      <c r="BB3" s="11"/>
      <c r="BC3" s="11"/>
      <c r="BD3" s="11"/>
      <c r="BE3" s="11"/>
      <c r="BF3" s="11"/>
      <c r="BG3" s="11"/>
      <c r="BI3" s="28"/>
      <c r="BJ3" s="28"/>
      <c r="BK3" s="28"/>
      <c r="BL3" s="28"/>
      <c r="BM3" s="28"/>
      <c r="BN3" s="28"/>
      <c r="BO3" s="28"/>
      <c r="BP3" s="28"/>
      <c r="BQ3" s="28"/>
      <c r="BR3" s="28"/>
      <c r="BS3" s="28"/>
    </row>
    <row r="4" spans="1:75">
      <c r="A4" t="s">
        <v>30</v>
      </c>
      <c r="B4" t="str">
        <f>SUM('Desempeño profesional'!B5:K5)</f>
        <v>0</v>
      </c>
      <c r="C4" t="str">
        <f>IF(B4&lt;=$S$19,"Deficiente",IF(B4&lt;=$S$20,"Regular",IF(B4&lt;=$S$21,"Eficiente",0)))</f>
        <v>0</v>
      </c>
      <c r="D4" t="str">
        <f>SUM('Desempeño profesional'!L5:AD5)</f>
        <v>0</v>
      </c>
      <c r="E4" t="str">
        <f>IF(D4&lt;=$AE$19,"Deficiente",IF(D4&lt;=$AE$20,"Regular",IF(D4&lt;=$AE$21,"Eficiente",0)))</f>
        <v>0</v>
      </c>
      <c r="F4" t="str">
        <f>SUM('Desempeño profesional'!AE5:AJ5)</f>
        <v>0</v>
      </c>
      <c r="G4" t="str">
        <f>IF(F4&lt;=$AQ$19,"Deficiente",IF(F4&lt;=$AQ$20,"Regular",IF(F4&lt;=$AQ$21,"Eficiente",0)))</f>
        <v>0</v>
      </c>
      <c r="H4" t="str">
        <f>SUM('Desempeño profesional'!AK5:AO5)</f>
        <v>0</v>
      </c>
      <c r="I4" t="str">
        <f>IF(H4&lt;=$BC$19,"Deficiente",IF(H4&lt;=$BC$20,"Regular",IF(H4&lt;=$BC$21,"Eficiente",0)))</f>
        <v>0</v>
      </c>
      <c r="J4" t="str">
        <f>SUM(B4:H4)</f>
        <v>0</v>
      </c>
      <c r="K4" t="str">
        <f>IF(J4&lt;=$BO$19,"Deficiente",IF(J4&lt;=$BO$20,"Regular",IF(J4&lt;=$BO$21,"Eficiente",0)))</f>
        <v>0</v>
      </c>
      <c r="M4" s="11"/>
      <c r="O4" s="10" t="s">
        <v>405</v>
      </c>
      <c r="P4" s="10" t="s">
        <v>578</v>
      </c>
      <c r="W4" s="11"/>
      <c r="Y4" s="11"/>
      <c r="AA4" s="10" t="s">
        <v>405</v>
      </c>
      <c r="AB4" s="10" t="s">
        <v>578</v>
      </c>
      <c r="AI4" s="11"/>
      <c r="AK4" s="11"/>
      <c r="AM4" s="10" t="s">
        <v>405</v>
      </c>
      <c r="AN4" s="10" t="s">
        <v>578</v>
      </c>
      <c r="AU4" s="11"/>
      <c r="AW4" s="11"/>
      <c r="AY4" s="10" t="s">
        <v>405</v>
      </c>
      <c r="AZ4" s="10" t="s">
        <v>578</v>
      </c>
      <c r="BG4" s="11"/>
      <c r="BI4" s="28"/>
      <c r="BK4" s="10" t="s">
        <v>405</v>
      </c>
      <c r="BL4" s="10" t="s">
        <v>578</v>
      </c>
      <c r="BS4" s="28"/>
    </row>
    <row r="5" spans="1:75">
      <c r="A5" t="s">
        <v>31</v>
      </c>
      <c r="B5" t="str">
        <f>SUM('Desempeño profesional'!B6:K6)</f>
        <v>0</v>
      </c>
      <c r="C5" t="str">
        <f>IF(B5&lt;=$S$19,"Deficiente",IF(B5&lt;=$S$20,"Regular",IF(B5&lt;=$S$21,"Eficiente",0)))</f>
        <v>0</v>
      </c>
      <c r="D5" t="str">
        <f>SUM('Desempeño profesional'!L6:AD6)</f>
        <v>0</v>
      </c>
      <c r="E5" t="str">
        <f>IF(D5&lt;=$AE$19,"Deficiente",IF(D5&lt;=$AE$20,"Regular",IF(D5&lt;=$AE$21,"Eficiente",0)))</f>
        <v>0</v>
      </c>
      <c r="F5" t="str">
        <f>SUM('Desempeño profesional'!AE6:AJ6)</f>
        <v>0</v>
      </c>
      <c r="G5" t="str">
        <f>IF(F5&lt;=$AQ$19,"Deficiente",IF(F5&lt;=$AQ$20,"Regular",IF(F5&lt;=$AQ$21,"Eficiente",0)))</f>
        <v>0</v>
      </c>
      <c r="H5" t="str">
        <f>SUM('Desempeño profesional'!AK6:AO6)</f>
        <v>0</v>
      </c>
      <c r="I5" t="str">
        <f>IF(H5&lt;=$BC$19,"Deficiente",IF(H5&lt;=$BC$20,"Regular",IF(H5&lt;=$BC$21,"Eficiente",0)))</f>
        <v>0</v>
      </c>
      <c r="J5" t="str">
        <f>SUM(B5:H5)</f>
        <v>0</v>
      </c>
      <c r="K5" t="str">
        <f>IF(J5&lt;=$BO$19,"Deficiente",IF(J5&lt;=$BO$20,"Regular",IF(J5&lt;=$BO$21,"Eficiente",0)))</f>
        <v>0</v>
      </c>
      <c r="M5" s="11"/>
      <c r="O5" s="10" t="s">
        <v>406</v>
      </c>
      <c r="P5" s="10" t="str">
        <f>B2</f>
        <v>0</v>
      </c>
      <c r="W5" s="11"/>
      <c r="Y5" s="11"/>
      <c r="AA5" s="10" t="s">
        <v>406</v>
      </c>
      <c r="AB5" s="10" t="str">
        <f>D2</f>
        <v>0</v>
      </c>
      <c r="AI5" s="11"/>
      <c r="AK5" s="11"/>
      <c r="AM5" s="10" t="s">
        <v>406</v>
      </c>
      <c r="AN5" s="10" t="str">
        <f>F2</f>
        <v>0</v>
      </c>
      <c r="AU5" s="11"/>
      <c r="AW5" s="11"/>
      <c r="AY5" s="10" t="s">
        <v>406</v>
      </c>
      <c r="AZ5" s="10" t="str">
        <f>H2</f>
        <v>0</v>
      </c>
      <c r="BG5" s="11"/>
      <c r="BI5" s="28"/>
      <c r="BS5" s="28"/>
    </row>
    <row r="6" spans="1:75">
      <c r="A6" t="s">
        <v>32</v>
      </c>
      <c r="B6" t="str">
        <f>SUM('Desempeño profesional'!B7:K7)</f>
        <v>0</v>
      </c>
      <c r="C6" t="str">
        <f>IF(B6&lt;=$S$19,"Deficiente",IF(B6&lt;=$S$20,"Regular",IF(B6&lt;=$S$21,"Eficiente",0)))</f>
        <v>0</v>
      </c>
      <c r="D6" t="str">
        <f>SUM('Desempeño profesional'!L7:AD7)</f>
        <v>0</v>
      </c>
      <c r="E6" t="str">
        <f>IF(D6&lt;=$AE$19,"Deficiente",IF(D6&lt;=$AE$20,"Regular",IF(D6&lt;=$AE$21,"Eficiente",0)))</f>
        <v>0</v>
      </c>
      <c r="F6" t="str">
        <f>SUM('Desempeño profesional'!AE7:AJ7)</f>
        <v>0</v>
      </c>
      <c r="G6" t="str">
        <f>IF(F6&lt;=$AQ$19,"Deficiente",IF(F6&lt;=$AQ$20,"Regular",IF(F6&lt;=$AQ$21,"Eficiente",0)))</f>
        <v>0</v>
      </c>
      <c r="H6" t="str">
        <f>SUM('Desempeño profesional'!AK7:AO7)</f>
        <v>0</v>
      </c>
      <c r="I6" t="str">
        <f>IF(H6&lt;=$BC$19,"Deficiente",IF(H6&lt;=$BC$20,"Regular",IF(H6&lt;=$BC$21,"Eficiente",0)))</f>
        <v>0</v>
      </c>
      <c r="J6" t="str">
        <f>SUM(B6:H6)</f>
        <v>0</v>
      </c>
      <c r="K6" t="str">
        <f>IF(J6&lt;=$BO$19,"Deficiente",IF(J6&lt;=$BO$20,"Regular",IF(J6&lt;=$BO$21,"Eficiente",0)))</f>
        <v>0</v>
      </c>
      <c r="M6" s="11"/>
      <c r="O6" s="10" t="s">
        <v>407</v>
      </c>
      <c r="P6" s="10">
        <v>3</v>
      </c>
      <c r="W6" s="11"/>
      <c r="Y6" s="11"/>
      <c r="AA6" s="10" t="s">
        <v>407</v>
      </c>
      <c r="AB6" s="10">
        <v>3</v>
      </c>
      <c r="AI6" s="11"/>
      <c r="AK6" s="11"/>
      <c r="AM6" s="10" t="s">
        <v>407</v>
      </c>
      <c r="AN6" s="10">
        <v>3</v>
      </c>
      <c r="AU6" s="11"/>
      <c r="AW6" s="11"/>
      <c r="AY6" s="10" t="s">
        <v>407</v>
      </c>
      <c r="AZ6" s="10">
        <v>3</v>
      </c>
      <c r="BG6" s="11"/>
      <c r="BI6" s="28"/>
      <c r="BK6" s="10" t="s">
        <v>407</v>
      </c>
      <c r="BL6" s="10">
        <v>3</v>
      </c>
      <c r="BS6" s="28"/>
    </row>
    <row r="7" spans="1:75">
      <c r="A7" t="s">
        <v>33</v>
      </c>
      <c r="B7" t="str">
        <f>SUM('Desempeño profesional'!B8:K8)</f>
        <v>0</v>
      </c>
      <c r="C7" t="str">
        <f>IF(B7&lt;=$S$19,"Deficiente",IF(B7&lt;=$S$20,"Regular",IF(B7&lt;=$S$21,"Eficiente",0)))</f>
        <v>0</v>
      </c>
      <c r="D7" t="str">
        <f>SUM('Desempeño profesional'!L8:AD8)</f>
        <v>0</v>
      </c>
      <c r="E7" t="str">
        <f>IF(D7&lt;=$AE$19,"Deficiente",IF(D7&lt;=$AE$20,"Regular",IF(D7&lt;=$AE$21,"Eficiente",0)))</f>
        <v>0</v>
      </c>
      <c r="F7" t="str">
        <f>SUM('Desempeño profesional'!AE8:AJ8)</f>
        <v>0</v>
      </c>
      <c r="G7" t="str">
        <f>IF(F7&lt;=$AQ$19,"Deficiente",IF(F7&lt;=$AQ$20,"Regular",IF(F7&lt;=$AQ$21,"Eficiente",0)))</f>
        <v>0</v>
      </c>
      <c r="H7" t="str">
        <f>SUM('Desempeño profesional'!AK8:AO8)</f>
        <v>0</v>
      </c>
      <c r="I7" t="str">
        <f>IF(H7&lt;=$BC$19,"Deficiente",IF(H7&lt;=$BC$20,"Regular",IF(H7&lt;=$BC$21,"Eficiente",0)))</f>
        <v>0</v>
      </c>
      <c r="J7" t="str">
        <f>SUM(B7:H7)</f>
        <v>0</v>
      </c>
      <c r="K7" t="str">
        <f>IF(J7&lt;=$BO$19,"Deficiente",IF(J7&lt;=$BO$20,"Regular",IF(J7&lt;=$BO$21,"Eficiente",0)))</f>
        <v>0</v>
      </c>
      <c r="M7" s="11"/>
      <c r="O7" s="10" t="s">
        <v>408</v>
      </c>
      <c r="P7" s="10">
        <v>10</v>
      </c>
      <c r="W7" s="11"/>
      <c r="Y7" s="11"/>
      <c r="AA7" s="10" t="s">
        <v>408</v>
      </c>
      <c r="AB7" s="10">
        <v>19</v>
      </c>
      <c r="AI7" s="11"/>
      <c r="AK7" s="11"/>
      <c r="AM7" s="10" t="s">
        <v>408</v>
      </c>
      <c r="AN7" s="10">
        <v>6</v>
      </c>
      <c r="AU7" s="11"/>
      <c r="AW7" s="11"/>
      <c r="AY7" s="10" t="s">
        <v>408</v>
      </c>
      <c r="AZ7" s="10">
        <v>5</v>
      </c>
      <c r="BG7" s="11"/>
      <c r="BI7" s="28"/>
      <c r="BK7" s="10" t="s">
        <v>408</v>
      </c>
      <c r="BL7" s="10">
        <v>40</v>
      </c>
      <c r="BS7" s="28"/>
    </row>
    <row r="8" spans="1:75">
      <c r="A8" t="s">
        <v>34</v>
      </c>
      <c r="B8" t="str">
        <f>SUM('Desempeño profesional'!B9:K9)</f>
        <v>0</v>
      </c>
      <c r="C8" t="str">
        <f>IF(B8&lt;=$S$19,"Deficiente",IF(B8&lt;=$S$20,"Regular",IF(B8&lt;=$S$21,"Eficiente",0)))</f>
        <v>0</v>
      </c>
      <c r="D8" t="str">
        <f>SUM('Desempeño profesional'!L9:AD9)</f>
        <v>0</v>
      </c>
      <c r="E8" t="str">
        <f>IF(D8&lt;=$AE$19,"Deficiente",IF(D8&lt;=$AE$20,"Regular",IF(D8&lt;=$AE$21,"Eficiente",0)))</f>
        <v>0</v>
      </c>
      <c r="F8" t="str">
        <f>SUM('Desempeño profesional'!AE9:AJ9)</f>
        <v>0</v>
      </c>
      <c r="G8" t="str">
        <f>IF(F8&lt;=$AQ$19,"Deficiente",IF(F8&lt;=$AQ$20,"Regular",IF(F8&lt;=$AQ$21,"Eficiente",0)))</f>
        <v>0</v>
      </c>
      <c r="H8" t="str">
        <f>SUM('Desempeño profesional'!AK9:AO9)</f>
        <v>0</v>
      </c>
      <c r="I8" t="str">
        <f>IF(H8&lt;=$BC$19,"Deficiente",IF(H8&lt;=$BC$20,"Regular",IF(H8&lt;=$BC$21,"Eficiente",0)))</f>
        <v>0</v>
      </c>
      <c r="J8" t="str">
        <f>SUM(B8:H8)</f>
        <v>0</v>
      </c>
      <c r="K8" t="str">
        <f>IF(J8&lt;=$BO$19,"Deficiente",IF(J8&lt;=$BO$20,"Regular",IF(J8&lt;=$BO$21,"Eficiente",0)))</f>
        <v>0</v>
      </c>
      <c r="M8" s="11"/>
      <c r="O8" s="10" t="s">
        <v>409</v>
      </c>
      <c r="P8" s="10">
        <v>1</v>
      </c>
      <c r="W8" s="11"/>
      <c r="Y8" s="11"/>
      <c r="AA8" s="10" t="s">
        <v>409</v>
      </c>
      <c r="AB8" s="10">
        <v>1</v>
      </c>
      <c r="AI8" s="11"/>
      <c r="AK8" s="11"/>
      <c r="AM8" s="10" t="s">
        <v>409</v>
      </c>
      <c r="AN8" s="10">
        <v>1</v>
      </c>
      <c r="AU8" s="11"/>
      <c r="AW8" s="11"/>
      <c r="AY8" s="10" t="s">
        <v>409</v>
      </c>
      <c r="AZ8" s="10">
        <v>1</v>
      </c>
      <c r="BG8" s="11"/>
      <c r="BI8" s="28"/>
      <c r="BK8" s="10" t="s">
        <v>409</v>
      </c>
      <c r="BL8" s="10">
        <v>1</v>
      </c>
      <c r="BS8" s="28"/>
    </row>
    <row r="9" spans="1:75">
      <c r="A9" t="s">
        <v>35</v>
      </c>
      <c r="B9" t="str">
        <f>SUM('Desempeño profesional'!B10:K10)</f>
        <v>0</v>
      </c>
      <c r="C9" t="str">
        <f>IF(B9&lt;=$S$19,"Deficiente",IF(B9&lt;=$S$20,"Regular",IF(B9&lt;=$S$21,"Eficiente",0)))</f>
        <v>0</v>
      </c>
      <c r="D9" t="str">
        <f>SUM('Desempeño profesional'!L10:AD10)</f>
        <v>0</v>
      </c>
      <c r="E9" t="str">
        <f>IF(D9&lt;=$AE$19,"Deficiente",IF(D9&lt;=$AE$20,"Regular",IF(D9&lt;=$AE$21,"Eficiente",0)))</f>
        <v>0</v>
      </c>
      <c r="F9" t="str">
        <f>SUM('Desempeño profesional'!AE10:AJ10)</f>
        <v>0</v>
      </c>
      <c r="G9" t="str">
        <f>IF(F9&lt;=$AQ$19,"Deficiente",IF(F9&lt;=$AQ$20,"Regular",IF(F9&lt;=$AQ$21,"Eficiente",0)))</f>
        <v>0</v>
      </c>
      <c r="H9" t="str">
        <f>SUM('Desempeño profesional'!AK10:AO10)</f>
        <v>0</v>
      </c>
      <c r="I9" t="str">
        <f>IF(H9&lt;=$BC$19,"Deficiente",IF(H9&lt;=$BC$20,"Regular",IF(H9&lt;=$BC$21,"Eficiente",0)))</f>
        <v>0</v>
      </c>
      <c r="J9" t="str">
        <f>SUM(B9:H9)</f>
        <v>0</v>
      </c>
      <c r="K9" t="str">
        <f>IF(J9&lt;=$BO$19,"Deficiente",IF(J9&lt;=$BO$20,"Regular",IF(J9&lt;=$BO$21,"Eficiente",0)))</f>
        <v>0</v>
      </c>
      <c r="M9" s="11"/>
      <c r="O9" s="10" t="s">
        <v>410</v>
      </c>
      <c r="P9" s="10">
        <v>5</v>
      </c>
      <c r="W9" s="11"/>
      <c r="Y9" s="11"/>
      <c r="AA9" s="10" t="s">
        <v>410</v>
      </c>
      <c r="AB9" s="10">
        <v>5</v>
      </c>
      <c r="AI9" s="11"/>
      <c r="AK9" s="11"/>
      <c r="AM9" s="10" t="s">
        <v>410</v>
      </c>
      <c r="AN9" s="10">
        <v>5</v>
      </c>
      <c r="AU9" s="11"/>
      <c r="AW9" s="11"/>
      <c r="AY9" s="10" t="s">
        <v>410</v>
      </c>
      <c r="AZ9" s="10">
        <v>5</v>
      </c>
      <c r="BG9" s="11"/>
      <c r="BI9" s="28"/>
      <c r="BK9" s="10" t="s">
        <v>410</v>
      </c>
      <c r="BL9" s="10">
        <v>5</v>
      </c>
      <c r="BS9" s="28"/>
    </row>
    <row r="10" spans="1:75">
      <c r="A10" t="s">
        <v>36</v>
      </c>
      <c r="B10" t="str">
        <f>SUM('Desempeño profesional'!B11:K11)</f>
        <v>0</v>
      </c>
      <c r="C10" t="str">
        <f>IF(B10&lt;=$S$19,"Deficiente",IF(B10&lt;=$S$20,"Regular",IF(B10&lt;=$S$21,"Eficiente",0)))</f>
        <v>0</v>
      </c>
      <c r="D10" t="str">
        <f>SUM('Desempeño profesional'!L11:AD11)</f>
        <v>0</v>
      </c>
      <c r="E10" t="str">
        <f>IF(D10&lt;=$AE$19,"Deficiente",IF(D10&lt;=$AE$20,"Regular",IF(D10&lt;=$AE$21,"Eficiente",0)))</f>
        <v>0</v>
      </c>
      <c r="F10" t="str">
        <f>SUM('Desempeño profesional'!AE11:AJ11)</f>
        <v>0</v>
      </c>
      <c r="G10" t="str">
        <f>IF(F10&lt;=$AQ$19,"Deficiente",IF(F10&lt;=$AQ$20,"Regular",IF(F10&lt;=$AQ$21,"Eficiente",0)))</f>
        <v>0</v>
      </c>
      <c r="H10" t="str">
        <f>SUM('Desempeño profesional'!AK11:AO11)</f>
        <v>0</v>
      </c>
      <c r="I10" t="str">
        <f>IF(H10&lt;=$BC$19,"Deficiente",IF(H10&lt;=$BC$20,"Regular",IF(H10&lt;=$BC$21,"Eficiente",0)))</f>
        <v>0</v>
      </c>
      <c r="J10" t="str">
        <f>SUM(B10:H10)</f>
        <v>0</v>
      </c>
      <c r="K10" t="str">
        <f>IF(J10&lt;=$BO$19,"Deficiente",IF(J10&lt;=$BO$20,"Regular",IF(J10&lt;=$BO$21,"Eficiente",0)))</f>
        <v>0</v>
      </c>
      <c r="M10" s="11"/>
      <c r="O10" s="10" t="s">
        <v>411</v>
      </c>
      <c r="P10" s="10" t="str">
        <f>P7*P9</f>
        <v>0</v>
      </c>
      <c r="W10" s="11"/>
      <c r="Y10" s="11"/>
      <c r="AA10" s="10" t="s">
        <v>411</v>
      </c>
      <c r="AB10" s="10" t="str">
        <f>AB7*AB9</f>
        <v>0</v>
      </c>
      <c r="AI10" s="11"/>
      <c r="AK10" s="11"/>
      <c r="AM10" s="10" t="s">
        <v>411</v>
      </c>
      <c r="AN10" s="10" t="str">
        <f>AN7*AN9</f>
        <v>0</v>
      </c>
      <c r="AU10" s="11"/>
      <c r="AW10" s="11"/>
      <c r="AY10" s="10" t="s">
        <v>411</v>
      </c>
      <c r="AZ10" s="10" t="str">
        <f>AZ7*AZ9</f>
        <v>0</v>
      </c>
      <c r="BG10" s="11"/>
      <c r="BI10" s="28"/>
      <c r="BK10" s="10" t="s">
        <v>411</v>
      </c>
      <c r="BL10" s="10" t="str">
        <f>BL7*BL9</f>
        <v>0</v>
      </c>
      <c r="BS10" s="28"/>
    </row>
    <row r="11" spans="1:75">
      <c r="A11" t="s">
        <v>37</v>
      </c>
      <c r="B11" t="str">
        <f>SUM('Desempeño profesional'!B12:K12)</f>
        <v>0</v>
      </c>
      <c r="C11" t="str">
        <f>IF(B11&lt;=$S$19,"Deficiente",IF(B11&lt;=$S$20,"Regular",IF(B11&lt;=$S$21,"Eficiente",0)))</f>
        <v>0</v>
      </c>
      <c r="D11" t="str">
        <f>SUM('Desempeño profesional'!L12:AD12)</f>
        <v>0</v>
      </c>
      <c r="E11" t="str">
        <f>IF(D11&lt;=$AE$19,"Deficiente",IF(D11&lt;=$AE$20,"Regular",IF(D11&lt;=$AE$21,"Eficiente",0)))</f>
        <v>0</v>
      </c>
      <c r="F11" t="str">
        <f>SUM('Desempeño profesional'!AE12:AJ12)</f>
        <v>0</v>
      </c>
      <c r="G11" t="str">
        <f>IF(F11&lt;=$AQ$19,"Deficiente",IF(F11&lt;=$AQ$20,"Regular",IF(F11&lt;=$AQ$21,"Eficiente",0)))</f>
        <v>0</v>
      </c>
      <c r="H11" t="str">
        <f>SUM('Desempeño profesional'!AK12:AO12)</f>
        <v>0</v>
      </c>
      <c r="I11" t="str">
        <f>IF(H11&lt;=$BC$19,"Deficiente",IF(H11&lt;=$BC$20,"Regular",IF(H11&lt;=$BC$21,"Eficiente",0)))</f>
        <v>0</v>
      </c>
      <c r="J11" t="str">
        <f>SUM(B11:H11)</f>
        <v>0</v>
      </c>
      <c r="K11" t="str">
        <f>IF(J11&lt;=$BO$19,"Deficiente",IF(J11&lt;=$BO$20,"Regular",IF(J11&lt;=$BO$21,"Eficiente",0)))</f>
        <v>0</v>
      </c>
      <c r="M11" s="11"/>
      <c r="O11" s="10" t="s">
        <v>412</v>
      </c>
      <c r="P11" s="10" t="str">
        <f>P8*P7</f>
        <v>0</v>
      </c>
      <c r="W11" s="11"/>
      <c r="Y11" s="11"/>
      <c r="AA11" s="10" t="s">
        <v>412</v>
      </c>
      <c r="AB11" s="10" t="str">
        <f>AB8*AB7</f>
        <v>0</v>
      </c>
      <c r="AI11" s="11"/>
      <c r="AK11" s="11"/>
      <c r="AM11" s="10" t="s">
        <v>412</v>
      </c>
      <c r="AN11" s="10" t="str">
        <f>AN8*AN7</f>
        <v>0</v>
      </c>
      <c r="AU11" s="11"/>
      <c r="AW11" s="11"/>
      <c r="AY11" s="10" t="s">
        <v>412</v>
      </c>
      <c r="AZ11" s="10" t="str">
        <f>AZ8*AZ7</f>
        <v>0</v>
      </c>
      <c r="BG11" s="11"/>
      <c r="BI11" s="28"/>
      <c r="BK11" s="10" t="s">
        <v>412</v>
      </c>
      <c r="BL11" s="10" t="str">
        <f>BL8*BL7</f>
        <v>0</v>
      </c>
      <c r="BS11" s="28"/>
    </row>
    <row r="12" spans="1:75">
      <c r="A12" t="s">
        <v>38</v>
      </c>
      <c r="B12" t="str">
        <f>SUM('Desempeño profesional'!B13:K13)</f>
        <v>0</v>
      </c>
      <c r="C12" t="str">
        <f>IF(B12&lt;=$S$19,"Deficiente",IF(B12&lt;=$S$20,"Regular",IF(B12&lt;=$S$21,"Eficiente",0)))</f>
        <v>0</v>
      </c>
      <c r="D12" t="str">
        <f>SUM('Desempeño profesional'!L13:AD13)</f>
        <v>0</v>
      </c>
      <c r="E12" t="str">
        <f>IF(D12&lt;=$AE$19,"Deficiente",IF(D12&lt;=$AE$20,"Regular",IF(D12&lt;=$AE$21,"Eficiente",0)))</f>
        <v>0</v>
      </c>
      <c r="F12" t="str">
        <f>SUM('Desempeño profesional'!AE13:AJ13)</f>
        <v>0</v>
      </c>
      <c r="G12" t="str">
        <f>IF(F12&lt;=$AQ$19,"Deficiente",IF(F12&lt;=$AQ$20,"Regular",IF(F12&lt;=$AQ$21,"Eficiente",0)))</f>
        <v>0</v>
      </c>
      <c r="H12" t="str">
        <f>SUM('Desempeño profesional'!AK13:AO13)</f>
        <v>0</v>
      </c>
      <c r="I12" t="str">
        <f>IF(H12&lt;=$BC$19,"Deficiente",IF(H12&lt;=$BC$20,"Regular",IF(H12&lt;=$BC$21,"Eficiente",0)))</f>
        <v>0</v>
      </c>
      <c r="J12" t="str">
        <f>SUM(B12:H12)</f>
        <v>0</v>
      </c>
      <c r="K12" t="str">
        <f>IF(J12&lt;=$BO$19,"Deficiente",IF(J12&lt;=$BO$20,"Regular",IF(J12&lt;=$BO$21,"Eficiente",0)))</f>
        <v>0</v>
      </c>
      <c r="M12" s="11"/>
      <c r="O12" s="10" t="s">
        <v>413</v>
      </c>
      <c r="P12" s="10" t="str">
        <f>P10-P11</f>
        <v>0</v>
      </c>
      <c r="W12" s="11"/>
      <c r="Y12" s="11"/>
      <c r="AA12" s="10" t="s">
        <v>413</v>
      </c>
      <c r="AB12" s="10" t="str">
        <f>AB10-AB11</f>
        <v>0</v>
      </c>
      <c r="AI12" s="11"/>
      <c r="AK12" s="11"/>
      <c r="AM12" s="10" t="s">
        <v>413</v>
      </c>
      <c r="AN12" s="10" t="str">
        <f>AN10-AN11</f>
        <v>0</v>
      </c>
      <c r="AU12" s="11"/>
      <c r="AW12" s="11"/>
      <c r="AY12" s="10" t="s">
        <v>413</v>
      </c>
      <c r="AZ12" s="10" t="str">
        <f>AZ10-AZ11</f>
        <v>0</v>
      </c>
      <c r="BG12" s="11"/>
      <c r="BI12" s="28"/>
      <c r="BK12" s="10" t="s">
        <v>413</v>
      </c>
      <c r="BL12" s="10" t="str">
        <f>BL10-BL11</f>
        <v>0</v>
      </c>
      <c r="BS12" s="28"/>
    </row>
    <row r="13" spans="1:75">
      <c r="A13" t="s">
        <v>39</v>
      </c>
      <c r="B13" t="str">
        <f>SUM('Desempeño profesional'!B14:K14)</f>
        <v>0</v>
      </c>
      <c r="C13" t="str">
        <f>IF(B13&lt;=$S$19,"Deficiente",IF(B13&lt;=$S$20,"Regular",IF(B13&lt;=$S$21,"Eficiente",0)))</f>
        <v>0</v>
      </c>
      <c r="D13" t="str">
        <f>SUM('Desempeño profesional'!L14:AD14)</f>
        <v>0</v>
      </c>
      <c r="E13" t="str">
        <f>IF(D13&lt;=$AE$19,"Deficiente",IF(D13&lt;=$AE$20,"Regular",IF(D13&lt;=$AE$21,"Eficiente",0)))</f>
        <v>0</v>
      </c>
      <c r="F13" t="str">
        <f>SUM('Desempeño profesional'!AE14:AJ14)</f>
        <v>0</v>
      </c>
      <c r="G13" t="str">
        <f>IF(F13&lt;=$AQ$19,"Deficiente",IF(F13&lt;=$AQ$20,"Regular",IF(F13&lt;=$AQ$21,"Eficiente",0)))</f>
        <v>0</v>
      </c>
      <c r="H13" t="str">
        <f>SUM('Desempeño profesional'!AK14:AO14)</f>
        <v>0</v>
      </c>
      <c r="I13" t="str">
        <f>IF(H13&lt;=$BC$19,"Deficiente",IF(H13&lt;=$BC$20,"Regular",IF(H13&lt;=$BC$21,"Eficiente",0)))</f>
        <v>0</v>
      </c>
      <c r="J13" t="str">
        <f>SUM(B13:H13)</f>
        <v>0</v>
      </c>
      <c r="K13" t="str">
        <f>IF(J13&lt;=$BO$19,"Deficiente",IF(J13&lt;=$BO$20,"Regular",IF(J13&lt;=$BO$21,"Eficiente",0)))</f>
        <v>0</v>
      </c>
      <c r="M13" s="11"/>
      <c r="O13" s="10" t="s">
        <v>414</v>
      </c>
      <c r="P13" s="10" t="str">
        <f>ROUND(P12/P6,0)</f>
        <v>0</v>
      </c>
      <c r="W13" s="11"/>
      <c r="Y13" s="11"/>
      <c r="AA13" s="10" t="s">
        <v>414</v>
      </c>
      <c r="AB13" s="10" t="str">
        <f>ROUND(AB12/AB6,0)</f>
        <v>0</v>
      </c>
      <c r="AI13" s="11"/>
      <c r="AK13" s="11"/>
      <c r="AM13" s="10" t="s">
        <v>414</v>
      </c>
      <c r="AN13" s="10" t="str">
        <f>ROUND(AN12/AN6,0)</f>
        <v>0</v>
      </c>
      <c r="AU13" s="11"/>
      <c r="AW13" s="11"/>
      <c r="AY13" s="10" t="s">
        <v>414</v>
      </c>
      <c r="AZ13" s="10" t="str">
        <f>ROUND(AZ12/AZ6,0)</f>
        <v>0</v>
      </c>
      <c r="BG13" s="11"/>
      <c r="BI13" s="28"/>
      <c r="BK13" s="10" t="s">
        <v>414</v>
      </c>
      <c r="BL13" s="10" t="str">
        <f>ROUND(BL12/BL6,0)</f>
        <v>0</v>
      </c>
      <c r="BS13" s="28"/>
    </row>
    <row r="14" spans="1:75">
      <c r="A14" t="s">
        <v>40</v>
      </c>
      <c r="B14" t="str">
        <f>SUM('Desempeño profesional'!B15:K15)</f>
        <v>0</v>
      </c>
      <c r="C14" t="str">
        <f>IF(B14&lt;=$S$19,"Deficiente",IF(B14&lt;=$S$20,"Regular",IF(B14&lt;=$S$21,"Eficiente",0)))</f>
        <v>0</v>
      </c>
      <c r="D14" t="str">
        <f>SUM('Desempeño profesional'!L15:AD15)</f>
        <v>0</v>
      </c>
      <c r="E14" t="str">
        <f>IF(D14&lt;=$AE$19,"Deficiente",IF(D14&lt;=$AE$20,"Regular",IF(D14&lt;=$AE$21,"Eficiente",0)))</f>
        <v>0</v>
      </c>
      <c r="F14" t="str">
        <f>SUM('Desempeño profesional'!AE15:AJ15)</f>
        <v>0</v>
      </c>
      <c r="G14" t="str">
        <f>IF(F14&lt;=$AQ$19,"Deficiente",IF(F14&lt;=$AQ$20,"Regular",IF(F14&lt;=$AQ$21,"Eficiente",0)))</f>
        <v>0</v>
      </c>
      <c r="H14" t="str">
        <f>SUM('Desempeño profesional'!AK15:AO15)</f>
        <v>0</v>
      </c>
      <c r="I14" t="str">
        <f>IF(H14&lt;=$BC$19,"Deficiente",IF(H14&lt;=$BC$20,"Regular",IF(H14&lt;=$BC$21,"Eficiente",0)))</f>
        <v>0</v>
      </c>
      <c r="J14" t="str">
        <f>SUM(B14:H14)</f>
        <v>0</v>
      </c>
      <c r="K14" t="str">
        <f>IF(J14&lt;=$BO$19,"Deficiente",IF(J14&lt;=$BO$20,"Regular",IF(J14&lt;=$BO$21,"Eficiente",0)))</f>
        <v>0</v>
      </c>
      <c r="M14" s="11"/>
      <c r="Q14" s="15"/>
      <c r="R14" s="15"/>
      <c r="S14" s="15"/>
      <c r="T14" s="15"/>
      <c r="U14" s="15"/>
      <c r="W14" s="11"/>
      <c r="Y14" s="11"/>
      <c r="AC14" s="15"/>
      <c r="AD14" s="15"/>
      <c r="AE14" s="15"/>
      <c r="AF14" s="15"/>
      <c r="AG14" s="15"/>
      <c r="AI14" s="11"/>
      <c r="AK14" s="11"/>
      <c r="AO14" s="15"/>
      <c r="AP14" s="15"/>
      <c r="AQ14" s="15"/>
      <c r="AR14" s="15"/>
      <c r="AS14" s="15"/>
      <c r="AU14" s="11"/>
      <c r="AW14" s="11"/>
      <c r="BA14" s="15"/>
      <c r="BB14" s="15"/>
      <c r="BC14" s="15"/>
      <c r="BD14" s="15"/>
      <c r="BE14" s="15"/>
      <c r="BG14" s="11"/>
      <c r="BI14" s="28"/>
      <c r="BM14" s="15"/>
      <c r="BN14" s="15"/>
      <c r="BO14" s="15"/>
      <c r="BP14" s="15"/>
      <c r="BQ14" s="15"/>
      <c r="BS14" s="28"/>
    </row>
    <row r="15" spans="1:75">
      <c r="A15" t="s">
        <v>41</v>
      </c>
      <c r="B15" t="str">
        <f>SUM('Desempeño profesional'!B16:K16)</f>
        <v>0</v>
      </c>
      <c r="C15" t="str">
        <f>IF(B15&lt;=$S$19,"Deficiente",IF(B15&lt;=$S$20,"Regular",IF(B15&lt;=$S$21,"Eficiente",0)))</f>
        <v>0</v>
      </c>
      <c r="D15" t="str">
        <f>SUM('Desempeño profesional'!L16:AD16)</f>
        <v>0</v>
      </c>
      <c r="E15" t="str">
        <f>IF(D15&lt;=$AE$19,"Deficiente",IF(D15&lt;=$AE$20,"Regular",IF(D15&lt;=$AE$21,"Eficiente",0)))</f>
        <v>0</v>
      </c>
      <c r="F15" t="str">
        <f>SUM('Desempeño profesional'!AE16:AJ16)</f>
        <v>0</v>
      </c>
      <c r="G15" t="str">
        <f>IF(F15&lt;=$AQ$19,"Deficiente",IF(F15&lt;=$AQ$20,"Regular",IF(F15&lt;=$AQ$21,"Eficiente",0)))</f>
        <v>0</v>
      </c>
      <c r="H15" t="str">
        <f>SUM('Desempeño profesional'!AK16:AO16)</f>
        <v>0</v>
      </c>
      <c r="I15" t="str">
        <f>IF(H15&lt;=$BC$19,"Deficiente",IF(H15&lt;=$BC$20,"Regular",IF(H15&lt;=$BC$21,"Eficiente",0)))</f>
        <v>0</v>
      </c>
      <c r="J15" t="str">
        <f>SUM(B15:H15)</f>
        <v>0</v>
      </c>
      <c r="K15" t="str">
        <f>IF(J15&lt;=$BO$19,"Deficiente",IF(J15&lt;=$BO$20,"Regular",IF(J15&lt;=$BO$21,"Eficiente",0)))</f>
        <v>0</v>
      </c>
      <c r="M15" s="11"/>
      <c r="Q15" s="24" t="s">
        <v>415</v>
      </c>
      <c r="R15" s="15"/>
      <c r="S15" s="15"/>
      <c r="T15" s="15"/>
      <c r="U15" s="15"/>
      <c r="W15" s="11"/>
      <c r="Y15" s="11"/>
      <c r="AC15" s="24" t="s">
        <v>416</v>
      </c>
      <c r="AD15" s="15"/>
      <c r="AE15" s="15"/>
      <c r="AF15" s="15"/>
      <c r="AG15" s="15"/>
      <c r="AI15" s="11"/>
      <c r="AK15" s="11"/>
      <c r="AO15" s="24" t="s">
        <v>417</v>
      </c>
      <c r="AP15" s="15"/>
      <c r="AQ15" s="15"/>
      <c r="AR15" s="15"/>
      <c r="AS15" s="15"/>
      <c r="AU15" s="11"/>
      <c r="AW15" s="11"/>
      <c r="BA15" s="24" t="s">
        <v>418</v>
      </c>
      <c r="BB15" s="15"/>
      <c r="BC15" s="15"/>
      <c r="BD15" s="15"/>
      <c r="BE15" s="15"/>
      <c r="BG15" s="11"/>
      <c r="BI15" s="28"/>
      <c r="BM15" s="24" t="s">
        <v>495</v>
      </c>
      <c r="BN15" s="15"/>
      <c r="BO15" s="15"/>
      <c r="BP15" s="15"/>
      <c r="BQ15" s="15"/>
      <c r="BS15" s="28"/>
    </row>
    <row r="16" spans="1:75">
      <c r="A16" t="s">
        <v>42</v>
      </c>
      <c r="B16" t="str">
        <f>SUM('Desempeño profesional'!B17:K17)</f>
        <v>0</v>
      </c>
      <c r="C16" t="str">
        <f>IF(B16&lt;=$S$19,"Deficiente",IF(B16&lt;=$S$20,"Regular",IF(B16&lt;=$S$21,"Eficiente",0)))</f>
        <v>0</v>
      </c>
      <c r="D16" t="str">
        <f>SUM('Desempeño profesional'!L17:AD17)</f>
        <v>0</v>
      </c>
      <c r="E16" t="str">
        <f>IF(D16&lt;=$AE$19,"Deficiente",IF(D16&lt;=$AE$20,"Regular",IF(D16&lt;=$AE$21,"Eficiente",0)))</f>
        <v>0</v>
      </c>
      <c r="F16" t="str">
        <f>SUM('Desempeño profesional'!AE17:AJ17)</f>
        <v>0</v>
      </c>
      <c r="G16" t="str">
        <f>IF(F16&lt;=$AQ$19,"Deficiente",IF(F16&lt;=$AQ$20,"Regular",IF(F16&lt;=$AQ$21,"Eficiente",0)))</f>
        <v>0</v>
      </c>
      <c r="H16" t="str">
        <f>SUM('Desempeño profesional'!AK17:AO17)</f>
        <v>0</v>
      </c>
      <c r="I16" t="str">
        <f>IF(H16&lt;=$BC$19,"Deficiente",IF(H16&lt;=$BC$20,"Regular",IF(H16&lt;=$BC$21,"Eficiente",0)))</f>
        <v>0</v>
      </c>
      <c r="J16" t="str">
        <f>SUM(B16:H16)</f>
        <v>0</v>
      </c>
      <c r="K16" t="str">
        <f>IF(J16&lt;=$BO$19,"Deficiente",IF(J16&lt;=$BO$20,"Regular",IF(J16&lt;=$BO$21,"Eficiente",0)))</f>
        <v>0</v>
      </c>
      <c r="M16" s="11"/>
      <c r="Q16" s="25" t="str">
        <f>P5</f>
        <v>0</v>
      </c>
      <c r="R16" s="20"/>
      <c r="S16" s="20"/>
      <c r="T16" s="20"/>
      <c r="U16" s="20"/>
      <c r="W16" s="11"/>
      <c r="Y16" s="11"/>
      <c r="AC16" s="25" t="str">
        <f>AB5</f>
        <v>0</v>
      </c>
      <c r="AD16" s="20"/>
      <c r="AE16" s="20"/>
      <c r="AF16" s="20"/>
      <c r="AG16" s="20"/>
      <c r="AI16" s="11"/>
      <c r="AK16" s="11"/>
      <c r="AO16" s="25" t="str">
        <f>AN5</f>
        <v>0</v>
      </c>
      <c r="AP16" s="20"/>
      <c r="AQ16" s="20"/>
      <c r="AR16" s="20"/>
      <c r="AS16" s="20"/>
      <c r="AU16" s="11"/>
      <c r="AW16" s="11"/>
      <c r="BA16" s="25" t="str">
        <f>AZ5</f>
        <v>0</v>
      </c>
      <c r="BB16" s="20"/>
      <c r="BC16" s="20"/>
      <c r="BD16" s="20"/>
      <c r="BE16" s="20"/>
      <c r="BG16" s="11"/>
      <c r="BI16" s="28"/>
      <c r="BM16" s="25" t="str">
        <f>BL4</f>
        <v>0</v>
      </c>
      <c r="BN16" s="20"/>
      <c r="BO16" s="20"/>
      <c r="BP16" s="20"/>
      <c r="BQ16" s="20"/>
      <c r="BS16" s="28"/>
    </row>
    <row r="17" spans="1:75">
      <c r="A17" t="s">
        <v>43</v>
      </c>
      <c r="B17" t="str">
        <f>SUM('Desempeño profesional'!B18:K18)</f>
        <v>0</v>
      </c>
      <c r="C17" t="str">
        <f>IF(B17&lt;=$S$19,"Deficiente",IF(B17&lt;=$S$20,"Regular",IF(B17&lt;=$S$21,"Eficiente",0)))</f>
        <v>0</v>
      </c>
      <c r="D17" t="str">
        <f>SUM('Desempeño profesional'!L18:AD18)</f>
        <v>0</v>
      </c>
      <c r="E17" t="str">
        <f>IF(D17&lt;=$AE$19,"Deficiente",IF(D17&lt;=$AE$20,"Regular",IF(D17&lt;=$AE$21,"Eficiente",0)))</f>
        <v>0</v>
      </c>
      <c r="F17" t="str">
        <f>SUM('Desempeño profesional'!AE18:AJ18)</f>
        <v>0</v>
      </c>
      <c r="G17" t="str">
        <f>IF(F17&lt;=$AQ$19,"Deficiente",IF(F17&lt;=$AQ$20,"Regular",IF(F17&lt;=$AQ$21,"Eficiente",0)))</f>
        <v>0</v>
      </c>
      <c r="H17" t="str">
        <f>SUM('Desempeño profesional'!AK18:AO18)</f>
        <v>0</v>
      </c>
      <c r="I17" t="str">
        <f>IF(H17&lt;=$BC$19,"Deficiente",IF(H17&lt;=$BC$20,"Regular",IF(H17&lt;=$BC$21,"Eficiente",0)))</f>
        <v>0</v>
      </c>
      <c r="J17" t="str">
        <f>SUM(B17:H17)</f>
        <v>0</v>
      </c>
      <c r="K17" t="str">
        <f>IF(J17&lt;=$BO$19,"Deficiente",IF(J17&lt;=$BO$20,"Regular",IF(J17&lt;=$BO$21,"Eficiente",0)))</f>
        <v>0</v>
      </c>
      <c r="M17" s="11"/>
      <c r="Q17" s="16" t="s">
        <v>419</v>
      </c>
      <c r="R17" s="18" t="s">
        <v>413</v>
      </c>
      <c r="S17" s="18"/>
      <c r="T17" s="18" t="s">
        <v>420</v>
      </c>
      <c r="U17" s="18" t="s">
        <v>421</v>
      </c>
      <c r="W17" s="11"/>
      <c r="Y17" s="11"/>
      <c r="AC17" s="16" t="s">
        <v>419</v>
      </c>
      <c r="AD17" s="18" t="s">
        <v>413</v>
      </c>
      <c r="AE17" s="18"/>
      <c r="AF17" s="18" t="s">
        <v>420</v>
      </c>
      <c r="AG17" s="18" t="s">
        <v>421</v>
      </c>
      <c r="AI17" s="11"/>
      <c r="AK17" s="11"/>
      <c r="AO17" s="16" t="s">
        <v>419</v>
      </c>
      <c r="AP17" s="18" t="s">
        <v>413</v>
      </c>
      <c r="AQ17" s="18"/>
      <c r="AR17" s="18" t="s">
        <v>420</v>
      </c>
      <c r="AS17" s="18" t="s">
        <v>421</v>
      </c>
      <c r="AU17" s="11"/>
      <c r="AW17" s="11"/>
      <c r="BA17" s="16" t="s">
        <v>419</v>
      </c>
      <c r="BB17" s="18" t="s">
        <v>413</v>
      </c>
      <c r="BC17" s="18"/>
      <c r="BD17" s="18" t="s">
        <v>420</v>
      </c>
      <c r="BE17" s="18" t="s">
        <v>421</v>
      </c>
      <c r="BG17" s="11"/>
      <c r="BI17" s="28"/>
      <c r="BM17" s="16" t="s">
        <v>419</v>
      </c>
      <c r="BN17" s="18" t="s">
        <v>413</v>
      </c>
      <c r="BO17" s="18"/>
      <c r="BP17" s="18" t="s">
        <v>420</v>
      </c>
      <c r="BQ17" s="18" t="s">
        <v>421</v>
      </c>
      <c r="BS17" s="28"/>
    </row>
    <row r="18" spans="1:75">
      <c r="A18" t="s">
        <v>44</v>
      </c>
      <c r="B18" t="str">
        <f>SUM('Desempeño profesional'!B19:K19)</f>
        <v>0</v>
      </c>
      <c r="C18" t="str">
        <f>IF(B18&lt;=$S$19,"Deficiente",IF(B18&lt;=$S$20,"Regular",IF(B18&lt;=$S$21,"Eficiente",0)))</f>
        <v>0</v>
      </c>
      <c r="D18" t="str">
        <f>SUM('Desempeño profesional'!L19:AD19)</f>
        <v>0</v>
      </c>
      <c r="E18" t="str">
        <f>IF(D18&lt;=$AE$19,"Deficiente",IF(D18&lt;=$AE$20,"Regular",IF(D18&lt;=$AE$21,"Eficiente",0)))</f>
        <v>0</v>
      </c>
      <c r="F18" t="str">
        <f>SUM('Desempeño profesional'!AE19:AJ19)</f>
        <v>0</v>
      </c>
      <c r="G18" t="str">
        <f>IF(F18&lt;=$AQ$19,"Deficiente",IF(F18&lt;=$AQ$20,"Regular",IF(F18&lt;=$AQ$21,"Eficiente",0)))</f>
        <v>0</v>
      </c>
      <c r="H18" t="str">
        <f>SUM('Desempeño profesional'!AK19:AO19)</f>
        <v>0</v>
      </c>
      <c r="I18" t="str">
        <f>IF(H18&lt;=$BC$19,"Deficiente",IF(H18&lt;=$BC$20,"Regular",IF(H18&lt;=$BC$21,"Eficiente",0)))</f>
        <v>0</v>
      </c>
      <c r="J18" t="str">
        <f>SUM(B18:H18)</f>
        <v>0</v>
      </c>
      <c r="K18" t="str">
        <f>IF(J18&lt;=$BO$19,"Deficiente",IF(J18&lt;=$BO$20,"Regular",IF(J18&lt;=$BO$21,"Eficiente",0)))</f>
        <v>0</v>
      </c>
      <c r="M18" s="11"/>
      <c r="Q18" s="17"/>
      <c r="R18" s="20" t="s">
        <v>422</v>
      </c>
      <c r="S18" s="20" t="s">
        <v>423</v>
      </c>
      <c r="T18" s="20"/>
      <c r="U18" s="20"/>
      <c r="W18" s="11"/>
      <c r="Y18" s="11"/>
      <c r="AC18" s="17"/>
      <c r="AD18" s="20" t="s">
        <v>422</v>
      </c>
      <c r="AE18" s="20" t="s">
        <v>423</v>
      </c>
      <c r="AF18" s="20"/>
      <c r="AG18" s="20"/>
      <c r="AI18" s="11"/>
      <c r="AK18" s="11"/>
      <c r="AO18" s="17"/>
      <c r="AP18" s="20" t="s">
        <v>422</v>
      </c>
      <c r="AQ18" s="20" t="s">
        <v>423</v>
      </c>
      <c r="AR18" s="20"/>
      <c r="AS18" s="20"/>
      <c r="AU18" s="11"/>
      <c r="AW18" s="11"/>
      <c r="BA18" s="17"/>
      <c r="BB18" s="20" t="s">
        <v>422</v>
      </c>
      <c r="BC18" s="20" t="s">
        <v>423</v>
      </c>
      <c r="BD18" s="20"/>
      <c r="BE18" s="20"/>
      <c r="BG18" s="11"/>
      <c r="BI18" s="28"/>
      <c r="BM18" s="17"/>
      <c r="BN18" s="20" t="s">
        <v>422</v>
      </c>
      <c r="BO18" s="20" t="s">
        <v>423</v>
      </c>
      <c r="BP18" s="20"/>
      <c r="BQ18" s="20"/>
      <c r="BS18" s="28"/>
    </row>
    <row r="19" spans="1:75">
      <c r="A19" t="s">
        <v>45</v>
      </c>
      <c r="B19" t="str">
        <f>SUM('Desempeño profesional'!B20:K20)</f>
        <v>0</v>
      </c>
      <c r="C19" t="str">
        <f>IF(B19&lt;=$S$19,"Deficiente",IF(B19&lt;=$S$20,"Regular",IF(B19&lt;=$S$21,"Eficiente",0)))</f>
        <v>0</v>
      </c>
      <c r="D19" t="str">
        <f>SUM('Desempeño profesional'!L20:AD20)</f>
        <v>0</v>
      </c>
      <c r="E19" t="str">
        <f>IF(D19&lt;=$AE$19,"Deficiente",IF(D19&lt;=$AE$20,"Regular",IF(D19&lt;=$AE$21,"Eficiente",0)))</f>
        <v>0</v>
      </c>
      <c r="F19" t="str">
        <f>SUM('Desempeño profesional'!AE20:AJ20)</f>
        <v>0</v>
      </c>
      <c r="G19" t="str">
        <f>IF(F19&lt;=$AQ$19,"Deficiente",IF(F19&lt;=$AQ$20,"Regular",IF(F19&lt;=$AQ$21,"Eficiente",0)))</f>
        <v>0</v>
      </c>
      <c r="H19" t="str">
        <f>SUM('Desempeño profesional'!AK20:AO20)</f>
        <v>0</v>
      </c>
      <c r="I19" t="str">
        <f>IF(H19&lt;=$BC$19,"Deficiente",IF(H19&lt;=$BC$20,"Regular",IF(H19&lt;=$BC$21,"Eficiente",0)))</f>
        <v>0</v>
      </c>
      <c r="J19" t="str">
        <f>SUM(B19:H19)</f>
        <v>0</v>
      </c>
      <c r="K19" t="str">
        <f>IF(J19&lt;=$BO$19,"Deficiente",IF(J19&lt;=$BO$20,"Regular",IF(J19&lt;=$BO$21,"Eficiente",0)))</f>
        <v>0</v>
      </c>
      <c r="M19" s="11"/>
      <c r="Q19" s="18" t="s">
        <v>579</v>
      </c>
      <c r="R19" s="18" t="str">
        <f>P11</f>
        <v>0</v>
      </c>
      <c r="S19" s="18" t="str">
        <f>R19+P13</f>
        <v>0</v>
      </c>
      <c r="T19" s="18" t="str">
        <f>COUNTIF($C$4:$C$358,$Q19)</f>
        <v>0</v>
      </c>
      <c r="U19" s="22" t="str">
        <f>T19/T22</f>
        <v>0</v>
      </c>
      <c r="W19" s="11"/>
      <c r="Y19" s="11"/>
      <c r="AC19" s="18" t="s">
        <v>579</v>
      </c>
      <c r="AD19" s="18" t="str">
        <f>AB11</f>
        <v>0</v>
      </c>
      <c r="AE19" s="18" t="str">
        <f>AD19+AB13</f>
        <v>0</v>
      </c>
      <c r="AF19" s="18" t="str">
        <f>COUNTIF($E$4:$E$358,$AC19)</f>
        <v>0</v>
      </c>
      <c r="AG19" s="22" t="str">
        <f>AF19/AF22</f>
        <v>0</v>
      </c>
      <c r="AI19" s="11"/>
      <c r="AK19" s="11"/>
      <c r="AO19" s="18" t="s">
        <v>579</v>
      </c>
      <c r="AP19" s="18" t="str">
        <f>AN11</f>
        <v>0</v>
      </c>
      <c r="AQ19" s="18" t="str">
        <f>AP19+AN13</f>
        <v>0</v>
      </c>
      <c r="AR19" s="18" t="str">
        <f>COUNTIF($G$4:$G$358,$AO19)</f>
        <v>0</v>
      </c>
      <c r="AS19" s="22" t="str">
        <f>AR19/AR22</f>
        <v>0</v>
      </c>
      <c r="AU19" s="11"/>
      <c r="AW19" s="11"/>
      <c r="BA19" s="18" t="s">
        <v>579</v>
      </c>
      <c r="BB19" s="18" t="str">
        <f>AZ11</f>
        <v>0</v>
      </c>
      <c r="BC19" s="18" t="str">
        <f>BB19+AZ13</f>
        <v>0</v>
      </c>
      <c r="BD19" s="18" t="str">
        <f>COUNTIF($I$4:$I$358,$BA19)</f>
        <v>0</v>
      </c>
      <c r="BE19" s="22" t="str">
        <f>BD19/BD22</f>
        <v>0</v>
      </c>
      <c r="BG19" s="11"/>
      <c r="BI19" s="28"/>
      <c r="BM19" s="18" t="s">
        <v>579</v>
      </c>
      <c r="BN19" s="18" t="str">
        <f>BL11</f>
        <v>0</v>
      </c>
      <c r="BO19" s="18" t="str">
        <f>BN19+BL13 - 1</f>
        <v>0</v>
      </c>
      <c r="BP19" s="18" t="str">
        <f>COUNTIF($K$4:$K$358,$BM19)</f>
        <v>0</v>
      </c>
      <c r="BQ19" s="22" t="str">
        <f>BP19/BP22</f>
        <v>0</v>
      </c>
      <c r="BS19" s="28"/>
    </row>
    <row r="20" spans="1:75">
      <c r="A20" t="s">
        <v>46</v>
      </c>
      <c r="B20" t="str">
        <f>SUM('Desempeño profesional'!B21:K21)</f>
        <v>0</v>
      </c>
      <c r="C20" t="str">
        <f>IF(B20&lt;=$S$19,"Deficiente",IF(B20&lt;=$S$20,"Regular",IF(B20&lt;=$S$21,"Eficiente",0)))</f>
        <v>0</v>
      </c>
      <c r="D20" t="str">
        <f>SUM('Desempeño profesional'!L21:AD21)</f>
        <v>0</v>
      </c>
      <c r="E20" t="str">
        <f>IF(D20&lt;=$AE$19,"Deficiente",IF(D20&lt;=$AE$20,"Regular",IF(D20&lt;=$AE$21,"Eficiente",0)))</f>
        <v>0</v>
      </c>
      <c r="F20" t="str">
        <f>SUM('Desempeño profesional'!AE21:AJ21)</f>
        <v>0</v>
      </c>
      <c r="G20" t="str">
        <f>IF(F20&lt;=$AQ$19,"Deficiente",IF(F20&lt;=$AQ$20,"Regular",IF(F20&lt;=$AQ$21,"Eficiente",0)))</f>
        <v>0</v>
      </c>
      <c r="H20" t="str">
        <f>SUM('Desempeño profesional'!AK21:AO21)</f>
        <v>0</v>
      </c>
      <c r="I20" t="str">
        <f>IF(H20&lt;=$BC$19,"Deficiente",IF(H20&lt;=$BC$20,"Regular",IF(H20&lt;=$BC$21,"Eficiente",0)))</f>
        <v>0</v>
      </c>
      <c r="J20" t="str">
        <f>SUM(B20:H20)</f>
        <v>0</v>
      </c>
      <c r="K20" t="str">
        <f>IF(J20&lt;=$BO$19,"Deficiente",IF(J20&lt;=$BO$20,"Regular",IF(J20&lt;=$BO$21,"Eficiente",0)))</f>
        <v>0</v>
      </c>
      <c r="M20" s="11"/>
      <c r="Q20" s="18" t="s">
        <v>425</v>
      </c>
      <c r="R20" s="18" t="str">
        <f>S19+ 1</f>
        <v>0</v>
      </c>
      <c r="S20" s="18" t="str">
        <f>R20+P13</f>
        <v>0</v>
      </c>
      <c r="T20" s="18" t="str">
        <f>COUNTIF($C$4:$C$358,$Q20)</f>
        <v>0</v>
      </c>
      <c r="U20" s="22" t="str">
        <f>T20/T22</f>
        <v>0</v>
      </c>
      <c r="W20" s="11"/>
      <c r="Y20" s="11"/>
      <c r="AC20" s="18" t="s">
        <v>425</v>
      </c>
      <c r="AD20" s="18" t="str">
        <f>AE19+ 1</f>
        <v>0</v>
      </c>
      <c r="AE20" s="18" t="str">
        <f>AD20+AB13</f>
        <v>0</v>
      </c>
      <c r="AF20" s="18" t="str">
        <f>COUNTIF($E$4:$E$358,$AC20)</f>
        <v>0</v>
      </c>
      <c r="AG20" s="22" t="str">
        <f>AF20/AF22</f>
        <v>0</v>
      </c>
      <c r="AI20" s="11"/>
      <c r="AK20" s="11"/>
      <c r="AO20" s="18" t="s">
        <v>425</v>
      </c>
      <c r="AP20" s="18" t="str">
        <f>AQ19+ 1</f>
        <v>0</v>
      </c>
      <c r="AQ20" s="18" t="str">
        <f>AP20+AN13</f>
        <v>0</v>
      </c>
      <c r="AR20" s="18" t="str">
        <f>COUNTIF($G$4:$G$358,$AO20)</f>
        <v>0</v>
      </c>
      <c r="AS20" s="22" t="str">
        <f>AR20/AR22</f>
        <v>0</v>
      </c>
      <c r="AU20" s="11"/>
      <c r="AW20" s="11"/>
      <c r="BA20" s="18" t="s">
        <v>425</v>
      </c>
      <c r="BB20" s="18" t="str">
        <f>BC19+ 1</f>
        <v>0</v>
      </c>
      <c r="BC20" s="18" t="str">
        <f>BB20+AZ13</f>
        <v>0</v>
      </c>
      <c r="BD20" s="18" t="str">
        <f>COUNTIF($I$4:$I$358,$BA20)</f>
        <v>0</v>
      </c>
      <c r="BE20" s="22" t="str">
        <f>BD20/BD22</f>
        <v>0</v>
      </c>
      <c r="BG20" s="11"/>
      <c r="BI20" s="28"/>
      <c r="BM20" s="18" t="s">
        <v>425</v>
      </c>
      <c r="BN20" s="18" t="str">
        <f>BO19+ 1</f>
        <v>0</v>
      </c>
      <c r="BO20" s="18" t="str">
        <f>BN20+BL13 - 1</f>
        <v>0</v>
      </c>
      <c r="BP20" s="18" t="str">
        <f>COUNTIF($K$4:$K$358,$BM20)</f>
        <v>0</v>
      </c>
      <c r="BQ20" s="22" t="str">
        <f>BP20/BP22</f>
        <v>0</v>
      </c>
      <c r="BS20" s="28"/>
    </row>
    <row r="21" spans="1:75">
      <c r="A21" t="s">
        <v>47</v>
      </c>
      <c r="B21" t="str">
        <f>SUM('Desempeño profesional'!B22:K22)</f>
        <v>0</v>
      </c>
      <c r="C21" t="str">
        <f>IF(B21&lt;=$S$19,"Deficiente",IF(B21&lt;=$S$20,"Regular",IF(B21&lt;=$S$21,"Eficiente",0)))</f>
        <v>0</v>
      </c>
      <c r="D21" t="str">
        <f>SUM('Desempeño profesional'!L22:AD22)</f>
        <v>0</v>
      </c>
      <c r="E21" t="str">
        <f>IF(D21&lt;=$AE$19,"Deficiente",IF(D21&lt;=$AE$20,"Regular",IF(D21&lt;=$AE$21,"Eficiente",0)))</f>
        <v>0</v>
      </c>
      <c r="F21" t="str">
        <f>SUM('Desempeño profesional'!AE22:AJ22)</f>
        <v>0</v>
      </c>
      <c r="G21" t="str">
        <f>IF(F21&lt;=$AQ$19,"Deficiente",IF(F21&lt;=$AQ$20,"Regular",IF(F21&lt;=$AQ$21,"Eficiente",0)))</f>
        <v>0</v>
      </c>
      <c r="H21" t="str">
        <f>SUM('Desempeño profesional'!AK22:AO22)</f>
        <v>0</v>
      </c>
      <c r="I21" t="str">
        <f>IF(H21&lt;=$BC$19,"Deficiente",IF(H21&lt;=$BC$20,"Regular",IF(H21&lt;=$BC$21,"Eficiente",0)))</f>
        <v>0</v>
      </c>
      <c r="J21" t="str">
        <f>SUM(B21:H21)</f>
        <v>0</v>
      </c>
      <c r="K21" t="str">
        <f>IF(J21&lt;=$BO$19,"Deficiente",IF(J21&lt;=$BO$20,"Regular",IF(J21&lt;=$BO$21,"Eficiente",0)))</f>
        <v>0</v>
      </c>
      <c r="M21" s="11"/>
      <c r="Q21" s="18" t="s">
        <v>580</v>
      </c>
      <c r="R21" s="18" t="str">
        <f>S20+ 1</f>
        <v>0</v>
      </c>
      <c r="S21" s="18" t="str">
        <f>P10</f>
        <v>0</v>
      </c>
      <c r="T21" s="18" t="str">
        <f>COUNTIF($C$4:$C$358,$Q21)</f>
        <v>0</v>
      </c>
      <c r="U21" s="22" t="str">
        <f>T21/T22</f>
        <v>0</v>
      </c>
      <c r="W21" s="11"/>
      <c r="Y21" s="11"/>
      <c r="AC21" s="18" t="s">
        <v>580</v>
      </c>
      <c r="AD21" s="18" t="str">
        <f>AE20+ 1</f>
        <v>0</v>
      </c>
      <c r="AE21" s="18" t="str">
        <f>AB10</f>
        <v>0</v>
      </c>
      <c r="AF21" s="18" t="str">
        <f>COUNTIF($E$4:$E$358,$AC21)</f>
        <v>0</v>
      </c>
      <c r="AG21" s="22" t="str">
        <f>AF21/AF22</f>
        <v>0</v>
      </c>
      <c r="AI21" s="11"/>
      <c r="AK21" s="11"/>
      <c r="AO21" s="18" t="s">
        <v>580</v>
      </c>
      <c r="AP21" s="18" t="str">
        <f>AQ20+ 1</f>
        <v>0</v>
      </c>
      <c r="AQ21" s="18" t="str">
        <f>AN10</f>
        <v>0</v>
      </c>
      <c r="AR21" s="18" t="str">
        <f>COUNTIF($G$4:$G$358,$AO21)</f>
        <v>0</v>
      </c>
      <c r="AS21" s="22" t="str">
        <f>AR21/AR22</f>
        <v>0</v>
      </c>
      <c r="AU21" s="11"/>
      <c r="AW21" s="11"/>
      <c r="BA21" s="18" t="s">
        <v>580</v>
      </c>
      <c r="BB21" s="18" t="str">
        <f>BC20+ 1</f>
        <v>0</v>
      </c>
      <c r="BC21" s="18" t="str">
        <f>AZ10</f>
        <v>0</v>
      </c>
      <c r="BD21" s="18" t="str">
        <f>COUNTIF($I$4:$I$358,$BA21)</f>
        <v>0</v>
      </c>
      <c r="BE21" s="22" t="str">
        <f>BD21/BD22</f>
        <v>0</v>
      </c>
      <c r="BG21" s="11"/>
      <c r="BI21" s="28"/>
      <c r="BM21" s="18" t="s">
        <v>580</v>
      </c>
      <c r="BN21" s="18" t="str">
        <f>BO20+ 1</f>
        <v>0</v>
      </c>
      <c r="BO21" s="18" t="str">
        <f>BL10</f>
        <v>0</v>
      </c>
      <c r="BP21" s="18" t="str">
        <f>COUNTIF($K$4:$K$358,$BM21)</f>
        <v>0</v>
      </c>
      <c r="BQ21" s="22" t="str">
        <f>BP21/BP22</f>
        <v>0</v>
      </c>
      <c r="BS21" s="28"/>
    </row>
    <row r="22" spans="1:75">
      <c r="A22" t="s">
        <v>48</v>
      </c>
      <c r="B22" t="str">
        <f>SUM('Desempeño profesional'!B23:K23)</f>
        <v>0</v>
      </c>
      <c r="C22" t="str">
        <f>IF(B22&lt;=$S$19,"Deficiente",IF(B22&lt;=$S$20,"Regular",IF(B22&lt;=$S$21,"Eficiente",0)))</f>
        <v>0</v>
      </c>
      <c r="D22" t="str">
        <f>SUM('Desempeño profesional'!L23:AD23)</f>
        <v>0</v>
      </c>
      <c r="E22" t="str">
        <f>IF(D22&lt;=$AE$19,"Deficiente",IF(D22&lt;=$AE$20,"Regular",IF(D22&lt;=$AE$21,"Eficiente",0)))</f>
        <v>0</v>
      </c>
      <c r="F22" t="str">
        <f>SUM('Desempeño profesional'!AE23:AJ23)</f>
        <v>0</v>
      </c>
      <c r="G22" t="str">
        <f>IF(F22&lt;=$AQ$19,"Deficiente",IF(F22&lt;=$AQ$20,"Regular",IF(F22&lt;=$AQ$21,"Eficiente",0)))</f>
        <v>0</v>
      </c>
      <c r="H22" t="str">
        <f>SUM('Desempeño profesional'!AK23:AO23)</f>
        <v>0</v>
      </c>
      <c r="I22" t="str">
        <f>IF(H22&lt;=$BC$19,"Deficiente",IF(H22&lt;=$BC$20,"Regular",IF(H22&lt;=$BC$21,"Eficiente",0)))</f>
        <v>0</v>
      </c>
      <c r="J22" t="str">
        <f>SUM(B22:H22)</f>
        <v>0</v>
      </c>
      <c r="K22" t="str">
        <f>IF(J22&lt;=$BO$19,"Deficiente",IF(J22&lt;=$BO$20,"Regular",IF(J22&lt;=$BO$21,"Eficiente",0)))</f>
        <v>0</v>
      </c>
      <c r="M22" s="11"/>
      <c r="Q22" s="19" t="s">
        <v>4</v>
      </c>
      <c r="R22" s="21"/>
      <c r="S22" s="19"/>
      <c r="T22" s="19" t="str">
        <f>SUM(T19:T21)</f>
        <v>0</v>
      </c>
      <c r="U22" s="23" t="str">
        <f>SUM(U19:U21)</f>
        <v>0</v>
      </c>
      <c r="W22" s="11"/>
      <c r="Y22" s="11"/>
      <c r="AC22" s="19" t="s">
        <v>4</v>
      </c>
      <c r="AD22" s="21"/>
      <c r="AE22" s="19"/>
      <c r="AF22" s="19" t="str">
        <f>SUM(AF19:AF21)</f>
        <v>0</v>
      </c>
      <c r="AG22" s="23" t="str">
        <f>SUM(AG19:AG21)</f>
        <v>0</v>
      </c>
      <c r="AI22" s="11"/>
      <c r="AK22" s="11"/>
      <c r="AO22" s="19" t="s">
        <v>4</v>
      </c>
      <c r="AP22" s="21"/>
      <c r="AQ22" s="19"/>
      <c r="AR22" s="19" t="str">
        <f>SUM(AR19:AR21)</f>
        <v>0</v>
      </c>
      <c r="AS22" s="23" t="str">
        <f>SUM(AS19:AS21)</f>
        <v>0</v>
      </c>
      <c r="AU22" s="11"/>
      <c r="AW22" s="11"/>
      <c r="BA22" s="19" t="s">
        <v>4</v>
      </c>
      <c r="BB22" s="21"/>
      <c r="BC22" s="19"/>
      <c r="BD22" s="19" t="str">
        <f>SUM(BD19:BD21)</f>
        <v>0</v>
      </c>
      <c r="BE22" s="23" t="str">
        <f>SUM(BE19:BE21)</f>
        <v>0</v>
      </c>
      <c r="BG22" s="11"/>
      <c r="BI22" s="28"/>
      <c r="BM22" s="19" t="s">
        <v>4</v>
      </c>
      <c r="BN22" s="21"/>
      <c r="BO22" s="19"/>
      <c r="BP22" s="19" t="str">
        <f>SUM(BP19:BP21)</f>
        <v>0</v>
      </c>
      <c r="BQ22" s="23" t="str">
        <f>SUM(BQ19:BQ21)</f>
        <v>0</v>
      </c>
      <c r="BS22" s="28"/>
    </row>
    <row r="23" spans="1:75">
      <c r="A23" t="s">
        <v>49</v>
      </c>
      <c r="B23" t="str">
        <f>SUM('Desempeño profesional'!B24:K24)</f>
        <v>0</v>
      </c>
      <c r="C23" t="str">
        <f>IF(B23&lt;=$S$19,"Deficiente",IF(B23&lt;=$S$20,"Regular",IF(B23&lt;=$S$21,"Eficiente",0)))</f>
        <v>0</v>
      </c>
      <c r="D23" t="str">
        <f>SUM('Desempeño profesional'!L24:AD24)</f>
        <v>0</v>
      </c>
      <c r="E23" t="str">
        <f>IF(D23&lt;=$AE$19,"Deficiente",IF(D23&lt;=$AE$20,"Regular",IF(D23&lt;=$AE$21,"Eficiente",0)))</f>
        <v>0</v>
      </c>
      <c r="F23" t="str">
        <f>SUM('Desempeño profesional'!AE24:AJ24)</f>
        <v>0</v>
      </c>
      <c r="G23" t="str">
        <f>IF(F23&lt;=$AQ$19,"Deficiente",IF(F23&lt;=$AQ$20,"Regular",IF(F23&lt;=$AQ$21,"Eficiente",0)))</f>
        <v>0</v>
      </c>
      <c r="H23" t="str">
        <f>SUM('Desempeño profesional'!AK24:AO24)</f>
        <v>0</v>
      </c>
      <c r="I23" t="str">
        <f>IF(H23&lt;=$BC$19,"Deficiente",IF(H23&lt;=$BC$20,"Regular",IF(H23&lt;=$BC$21,"Eficiente",0)))</f>
        <v>0</v>
      </c>
      <c r="J23" t="str">
        <f>SUM(B23:H23)</f>
        <v>0</v>
      </c>
      <c r="K23" t="str">
        <f>IF(J23&lt;=$BO$19,"Deficiente",IF(J23&lt;=$BO$20,"Regular",IF(J23&lt;=$BO$21,"Eficiente",0)))</f>
        <v>0</v>
      </c>
      <c r="M23" s="11"/>
      <c r="Q23" s="10" t="s">
        <v>427</v>
      </c>
      <c r="W23" s="11"/>
      <c r="Y23" s="11"/>
      <c r="AC23" s="10" t="s">
        <v>427</v>
      </c>
      <c r="AI23" s="11"/>
      <c r="AK23" s="11"/>
      <c r="AO23" s="10" t="s">
        <v>427</v>
      </c>
      <c r="AU23" s="11"/>
      <c r="AW23" s="11"/>
      <c r="BA23" s="10" t="s">
        <v>427</v>
      </c>
      <c r="BG23" s="11"/>
      <c r="BI23" s="28"/>
      <c r="BM23" s="10" t="s">
        <v>427</v>
      </c>
      <c r="BS23" s="28"/>
    </row>
    <row r="24" spans="1:75">
      <c r="A24" t="s">
        <v>50</v>
      </c>
      <c r="B24" t="str">
        <f>SUM('Desempeño profesional'!B25:K25)</f>
        <v>0</v>
      </c>
      <c r="C24" t="str">
        <f>IF(B24&lt;=$S$19,"Deficiente",IF(B24&lt;=$S$20,"Regular",IF(B24&lt;=$S$21,"Eficiente",0)))</f>
        <v>0</v>
      </c>
      <c r="D24" t="str">
        <f>SUM('Desempeño profesional'!L25:AD25)</f>
        <v>0</v>
      </c>
      <c r="E24" t="str">
        <f>IF(D24&lt;=$AE$19,"Deficiente",IF(D24&lt;=$AE$20,"Regular",IF(D24&lt;=$AE$21,"Eficiente",0)))</f>
        <v>0</v>
      </c>
      <c r="F24" t="str">
        <f>SUM('Desempeño profesional'!AE25:AJ25)</f>
        <v>0</v>
      </c>
      <c r="G24" t="str">
        <f>IF(F24&lt;=$AQ$19,"Deficiente",IF(F24&lt;=$AQ$20,"Regular",IF(F24&lt;=$AQ$21,"Eficiente",0)))</f>
        <v>0</v>
      </c>
      <c r="H24" t="str">
        <f>SUM('Desempeño profesional'!AK25:AO25)</f>
        <v>0</v>
      </c>
      <c r="I24" t="str">
        <f>IF(H24&lt;=$BC$19,"Deficiente",IF(H24&lt;=$BC$20,"Regular",IF(H24&lt;=$BC$21,"Eficiente",0)))</f>
        <v>0</v>
      </c>
      <c r="J24" t="str">
        <f>SUM(B24:H24)</f>
        <v>0</v>
      </c>
      <c r="K24" t="str">
        <f>IF(J24&lt;=$BO$19,"Deficiente",IF(J24&lt;=$BO$20,"Regular",IF(J24&lt;=$BO$21,"Eficiente",0)))</f>
        <v>0</v>
      </c>
      <c r="M24" s="11"/>
      <c r="Q24" s="10" t="s">
        <v>428</v>
      </c>
      <c r="W24" s="11"/>
      <c r="Y24" s="11"/>
      <c r="AC24" s="10" t="s">
        <v>428</v>
      </c>
      <c r="AI24" s="11"/>
      <c r="AK24" s="11"/>
      <c r="AO24" s="10" t="s">
        <v>428</v>
      </c>
      <c r="AU24" s="11"/>
      <c r="AW24" s="11"/>
      <c r="BA24" s="10" t="s">
        <v>428</v>
      </c>
      <c r="BG24" s="11"/>
      <c r="BI24" s="28"/>
      <c r="BM24" s="10" t="s">
        <v>428</v>
      </c>
      <c r="BS24" s="28"/>
    </row>
    <row r="25" spans="1:75">
      <c r="A25" t="s">
        <v>51</v>
      </c>
      <c r="B25" t="str">
        <f>SUM('Desempeño profesional'!B26:K26)</f>
        <v>0</v>
      </c>
      <c r="C25" t="str">
        <f>IF(B25&lt;=$S$19,"Deficiente",IF(B25&lt;=$S$20,"Regular",IF(B25&lt;=$S$21,"Eficiente",0)))</f>
        <v>0</v>
      </c>
      <c r="D25" t="str">
        <f>SUM('Desempeño profesional'!L26:AD26)</f>
        <v>0</v>
      </c>
      <c r="E25" t="str">
        <f>IF(D25&lt;=$AE$19,"Deficiente",IF(D25&lt;=$AE$20,"Regular",IF(D25&lt;=$AE$21,"Eficiente",0)))</f>
        <v>0</v>
      </c>
      <c r="F25" t="str">
        <f>SUM('Desempeño profesional'!AE26:AJ26)</f>
        <v>0</v>
      </c>
      <c r="G25" t="str">
        <f>IF(F25&lt;=$AQ$19,"Deficiente",IF(F25&lt;=$AQ$20,"Regular",IF(F25&lt;=$AQ$21,"Eficiente",0)))</f>
        <v>0</v>
      </c>
      <c r="H25" t="str">
        <f>SUM('Desempeño profesional'!AK26:AO26)</f>
        <v>0</v>
      </c>
      <c r="I25" t="str">
        <f>IF(H25&lt;=$BC$19,"Deficiente",IF(H25&lt;=$BC$20,"Regular",IF(H25&lt;=$BC$21,"Eficiente",0)))</f>
        <v>0</v>
      </c>
      <c r="J25" t="str">
        <f>SUM(B25:H25)</f>
        <v>0</v>
      </c>
      <c r="K25" t="str">
        <f>IF(J25&lt;=$BO$19,"Deficiente",IF(J25&lt;=$BO$20,"Regular",IF(J25&lt;=$BO$21,"Eficiente",0)))</f>
        <v>0</v>
      </c>
      <c r="M25" s="11"/>
      <c r="W25" s="11"/>
      <c r="Y25" s="11"/>
      <c r="AI25" s="11"/>
      <c r="AK25" s="11"/>
      <c r="AU25" s="11"/>
      <c r="AW25" s="11"/>
      <c r="BG25" s="11"/>
      <c r="BI25" s="28"/>
      <c r="BS25" s="28"/>
    </row>
    <row r="26" spans="1:75">
      <c r="A26" t="s">
        <v>52</v>
      </c>
      <c r="B26" t="str">
        <f>SUM('Desempeño profesional'!B27:K27)</f>
        <v>0</v>
      </c>
      <c r="C26" t="str">
        <f>IF(B26&lt;=$S$19,"Deficiente",IF(B26&lt;=$S$20,"Regular",IF(B26&lt;=$S$21,"Eficiente",0)))</f>
        <v>0</v>
      </c>
      <c r="D26" t="str">
        <f>SUM('Desempeño profesional'!L27:AD27)</f>
        <v>0</v>
      </c>
      <c r="E26" t="str">
        <f>IF(D26&lt;=$AE$19,"Deficiente",IF(D26&lt;=$AE$20,"Regular",IF(D26&lt;=$AE$21,"Eficiente",0)))</f>
        <v>0</v>
      </c>
      <c r="F26" t="str">
        <f>SUM('Desempeño profesional'!AE27:AJ27)</f>
        <v>0</v>
      </c>
      <c r="G26" t="str">
        <f>IF(F26&lt;=$AQ$19,"Deficiente",IF(F26&lt;=$AQ$20,"Regular",IF(F26&lt;=$AQ$21,"Eficiente",0)))</f>
        <v>0</v>
      </c>
      <c r="H26" t="str">
        <f>SUM('Desempeño profesional'!AK27:AO27)</f>
        <v>0</v>
      </c>
      <c r="I26" t="str">
        <f>IF(H26&lt;=$BC$19,"Deficiente",IF(H26&lt;=$BC$20,"Regular",IF(H26&lt;=$BC$21,"Eficiente",0)))</f>
        <v>0</v>
      </c>
      <c r="J26" t="str">
        <f>SUM(B26:H26)</f>
        <v>0</v>
      </c>
      <c r="K26" t="str">
        <f>IF(J26&lt;=$BO$19,"Deficiente",IF(J26&lt;=$BO$20,"Regular",IF(J26&lt;=$BO$21,"Eficiente",0)))</f>
        <v>0</v>
      </c>
      <c r="M26" s="11"/>
      <c r="W26" s="11"/>
      <c r="Y26" s="11"/>
      <c r="AI26" s="11"/>
      <c r="AK26" s="11"/>
      <c r="AU26" s="11"/>
      <c r="AW26" s="11"/>
      <c r="BG26" s="11"/>
      <c r="BI26" s="28"/>
      <c r="BS26" s="28"/>
    </row>
    <row r="27" spans="1:75">
      <c r="A27" t="s">
        <v>53</v>
      </c>
      <c r="B27" t="str">
        <f>SUM('Desempeño profesional'!B28:K28)</f>
        <v>0</v>
      </c>
      <c r="C27" t="str">
        <f>IF(B27&lt;=$S$19,"Deficiente",IF(B27&lt;=$S$20,"Regular",IF(B27&lt;=$S$21,"Eficiente",0)))</f>
        <v>0</v>
      </c>
      <c r="D27" t="str">
        <f>SUM('Desempeño profesional'!L28:AD28)</f>
        <v>0</v>
      </c>
      <c r="E27" t="str">
        <f>IF(D27&lt;=$AE$19,"Deficiente",IF(D27&lt;=$AE$20,"Regular",IF(D27&lt;=$AE$21,"Eficiente",0)))</f>
        <v>0</v>
      </c>
      <c r="F27" t="str">
        <f>SUM('Desempeño profesional'!AE28:AJ28)</f>
        <v>0</v>
      </c>
      <c r="G27" t="str">
        <f>IF(F27&lt;=$AQ$19,"Deficiente",IF(F27&lt;=$AQ$20,"Regular",IF(F27&lt;=$AQ$21,"Eficiente",0)))</f>
        <v>0</v>
      </c>
      <c r="H27" t="str">
        <f>SUM('Desempeño profesional'!AK28:AO28)</f>
        <v>0</v>
      </c>
      <c r="I27" t="str">
        <f>IF(H27&lt;=$BC$19,"Deficiente",IF(H27&lt;=$BC$20,"Regular",IF(H27&lt;=$BC$21,"Eficiente",0)))</f>
        <v>0</v>
      </c>
      <c r="J27" t="str">
        <f>SUM(B27:H27)</f>
        <v>0</v>
      </c>
      <c r="K27" t="str">
        <f>IF(J27&lt;=$BO$19,"Deficiente",IF(J27&lt;=$BO$20,"Regular",IF(J27&lt;=$BO$21,"Eficiente",0)))</f>
        <v>0</v>
      </c>
      <c r="M27" s="11"/>
      <c r="W27" s="11"/>
      <c r="Y27" s="11"/>
      <c r="AI27" s="11"/>
      <c r="AK27" s="11"/>
      <c r="AU27" s="11"/>
      <c r="AW27" s="11"/>
      <c r="BG27" s="11"/>
      <c r="BI27" s="28"/>
      <c r="BS27" s="28"/>
    </row>
    <row r="28" spans="1:75">
      <c r="A28" t="s">
        <v>54</v>
      </c>
      <c r="B28" t="str">
        <f>SUM('Desempeño profesional'!B29:K29)</f>
        <v>0</v>
      </c>
      <c r="C28" t="str">
        <f>IF(B28&lt;=$S$19,"Deficiente",IF(B28&lt;=$S$20,"Regular",IF(B28&lt;=$S$21,"Eficiente",0)))</f>
        <v>0</v>
      </c>
      <c r="D28" t="str">
        <f>SUM('Desempeño profesional'!L29:AD29)</f>
        <v>0</v>
      </c>
      <c r="E28" t="str">
        <f>IF(D28&lt;=$AE$19,"Deficiente",IF(D28&lt;=$AE$20,"Regular",IF(D28&lt;=$AE$21,"Eficiente",0)))</f>
        <v>0</v>
      </c>
      <c r="F28" t="str">
        <f>SUM('Desempeño profesional'!AE29:AJ29)</f>
        <v>0</v>
      </c>
      <c r="G28" t="str">
        <f>IF(F28&lt;=$AQ$19,"Deficiente",IF(F28&lt;=$AQ$20,"Regular",IF(F28&lt;=$AQ$21,"Eficiente",0)))</f>
        <v>0</v>
      </c>
      <c r="H28" t="str">
        <f>SUM('Desempeño profesional'!AK29:AO29)</f>
        <v>0</v>
      </c>
      <c r="I28" t="str">
        <f>IF(H28&lt;=$BC$19,"Deficiente",IF(H28&lt;=$BC$20,"Regular",IF(H28&lt;=$BC$21,"Eficiente",0)))</f>
        <v>0</v>
      </c>
      <c r="J28" t="str">
        <f>SUM(B28:H28)</f>
        <v>0</v>
      </c>
      <c r="K28" t="str">
        <f>IF(J28&lt;=$BO$19,"Deficiente",IF(J28&lt;=$BO$20,"Regular",IF(J28&lt;=$BO$21,"Eficiente",0)))</f>
        <v>0</v>
      </c>
      <c r="M28" s="11"/>
      <c r="W28" s="11"/>
      <c r="Y28" s="11"/>
      <c r="AI28" s="11"/>
      <c r="AK28" s="11"/>
      <c r="AU28" s="11"/>
      <c r="AW28" s="11"/>
      <c r="BG28" s="11"/>
      <c r="BI28" s="28"/>
      <c r="BS28" s="28"/>
    </row>
    <row r="29" spans="1:75">
      <c r="A29" t="s">
        <v>55</v>
      </c>
      <c r="B29" t="str">
        <f>SUM('Desempeño profesional'!B30:K30)</f>
        <v>0</v>
      </c>
      <c r="C29" t="str">
        <f>IF(B29&lt;=$S$19,"Deficiente",IF(B29&lt;=$S$20,"Regular",IF(B29&lt;=$S$21,"Eficiente",0)))</f>
        <v>0</v>
      </c>
      <c r="D29" t="str">
        <f>SUM('Desempeño profesional'!L30:AD30)</f>
        <v>0</v>
      </c>
      <c r="E29" t="str">
        <f>IF(D29&lt;=$AE$19,"Deficiente",IF(D29&lt;=$AE$20,"Regular",IF(D29&lt;=$AE$21,"Eficiente",0)))</f>
        <v>0</v>
      </c>
      <c r="F29" t="str">
        <f>SUM('Desempeño profesional'!AE30:AJ30)</f>
        <v>0</v>
      </c>
      <c r="G29" t="str">
        <f>IF(F29&lt;=$AQ$19,"Deficiente",IF(F29&lt;=$AQ$20,"Regular",IF(F29&lt;=$AQ$21,"Eficiente",0)))</f>
        <v>0</v>
      </c>
      <c r="H29" t="str">
        <f>SUM('Desempeño profesional'!AK30:AO30)</f>
        <v>0</v>
      </c>
      <c r="I29" t="str">
        <f>IF(H29&lt;=$BC$19,"Deficiente",IF(H29&lt;=$BC$20,"Regular",IF(H29&lt;=$BC$21,"Eficiente",0)))</f>
        <v>0</v>
      </c>
      <c r="J29" t="str">
        <f>SUM(B29:H29)</f>
        <v>0</v>
      </c>
      <c r="K29" t="str">
        <f>IF(J29&lt;=$BO$19,"Deficiente",IF(J29&lt;=$BO$20,"Regular",IF(J29&lt;=$BO$21,"Eficiente",0)))</f>
        <v>0</v>
      </c>
      <c r="M29" s="11"/>
      <c r="W29" s="11"/>
      <c r="Y29" s="11"/>
      <c r="AI29" s="11"/>
      <c r="AK29" s="11"/>
      <c r="AU29" s="11"/>
      <c r="AW29" s="11"/>
      <c r="BG29" s="11"/>
      <c r="BI29" s="28"/>
      <c r="BS29" s="28"/>
    </row>
    <row r="30" spans="1:75">
      <c r="A30" t="s">
        <v>56</v>
      </c>
      <c r="B30" t="str">
        <f>SUM('Desempeño profesional'!B31:K31)</f>
        <v>0</v>
      </c>
      <c r="C30" t="str">
        <f>IF(B30&lt;=$S$19,"Deficiente",IF(B30&lt;=$S$20,"Regular",IF(B30&lt;=$S$21,"Eficiente",0)))</f>
        <v>0</v>
      </c>
      <c r="D30" t="str">
        <f>SUM('Desempeño profesional'!L31:AD31)</f>
        <v>0</v>
      </c>
      <c r="E30" t="str">
        <f>IF(D30&lt;=$AE$19,"Deficiente",IF(D30&lt;=$AE$20,"Regular",IF(D30&lt;=$AE$21,"Eficiente",0)))</f>
        <v>0</v>
      </c>
      <c r="F30" t="str">
        <f>SUM('Desempeño profesional'!AE31:AJ31)</f>
        <v>0</v>
      </c>
      <c r="G30" t="str">
        <f>IF(F30&lt;=$AQ$19,"Deficiente",IF(F30&lt;=$AQ$20,"Regular",IF(F30&lt;=$AQ$21,"Eficiente",0)))</f>
        <v>0</v>
      </c>
      <c r="H30" t="str">
        <f>SUM('Desempeño profesional'!AK31:AO31)</f>
        <v>0</v>
      </c>
      <c r="I30" t="str">
        <f>IF(H30&lt;=$BC$19,"Deficiente",IF(H30&lt;=$BC$20,"Regular",IF(H30&lt;=$BC$21,"Eficiente",0)))</f>
        <v>0</v>
      </c>
      <c r="J30" t="str">
        <f>SUM(B30:H30)</f>
        <v>0</v>
      </c>
      <c r="K30" t="str">
        <f>IF(J30&lt;=$BO$19,"Deficiente",IF(J30&lt;=$BO$20,"Regular",IF(J30&lt;=$BO$21,"Eficiente",0)))</f>
        <v>0</v>
      </c>
      <c r="M30" s="11"/>
      <c r="W30" s="11"/>
      <c r="Y30" s="11"/>
      <c r="AI30" s="11"/>
      <c r="AK30" s="11"/>
      <c r="AU30" s="11"/>
      <c r="AW30" s="11"/>
      <c r="BG30" s="11"/>
      <c r="BI30" s="28"/>
      <c r="BS30" s="28"/>
    </row>
    <row r="31" spans="1:75">
      <c r="A31" t="s">
        <v>57</v>
      </c>
      <c r="B31" t="str">
        <f>SUM('Desempeño profesional'!B32:K32)</f>
        <v>0</v>
      </c>
      <c r="C31" t="str">
        <f>IF(B31&lt;=$S$19,"Deficiente",IF(B31&lt;=$S$20,"Regular",IF(B31&lt;=$S$21,"Eficiente",0)))</f>
        <v>0</v>
      </c>
      <c r="D31" t="str">
        <f>SUM('Desempeño profesional'!L32:AD32)</f>
        <v>0</v>
      </c>
      <c r="E31" t="str">
        <f>IF(D31&lt;=$AE$19,"Deficiente",IF(D31&lt;=$AE$20,"Regular",IF(D31&lt;=$AE$21,"Eficiente",0)))</f>
        <v>0</v>
      </c>
      <c r="F31" t="str">
        <f>SUM('Desempeño profesional'!AE32:AJ32)</f>
        <v>0</v>
      </c>
      <c r="G31" t="str">
        <f>IF(F31&lt;=$AQ$19,"Deficiente",IF(F31&lt;=$AQ$20,"Regular",IF(F31&lt;=$AQ$21,"Eficiente",0)))</f>
        <v>0</v>
      </c>
      <c r="H31" t="str">
        <f>SUM('Desempeño profesional'!AK32:AO32)</f>
        <v>0</v>
      </c>
      <c r="I31" t="str">
        <f>IF(H31&lt;=$BC$19,"Deficiente",IF(H31&lt;=$BC$20,"Regular",IF(H31&lt;=$BC$21,"Eficiente",0)))</f>
        <v>0</v>
      </c>
      <c r="J31" t="str">
        <f>SUM(B31:H31)</f>
        <v>0</v>
      </c>
      <c r="K31" t="str">
        <f>IF(J31&lt;=$BO$19,"Deficiente",IF(J31&lt;=$BO$20,"Regular",IF(J31&lt;=$BO$21,"Eficiente",0)))</f>
        <v>0</v>
      </c>
      <c r="M31" s="11"/>
      <c r="W31" s="11"/>
      <c r="Y31" s="11"/>
      <c r="AI31" s="11"/>
      <c r="AK31" s="11"/>
      <c r="AU31" s="11"/>
      <c r="AW31" s="11"/>
      <c r="BG31" s="11"/>
      <c r="BI31" s="28"/>
      <c r="BS31" s="28"/>
    </row>
    <row r="32" spans="1:75">
      <c r="A32" t="s">
        <v>58</v>
      </c>
      <c r="B32" t="str">
        <f>SUM('Desempeño profesional'!B33:K33)</f>
        <v>0</v>
      </c>
      <c r="C32" t="str">
        <f>IF(B32&lt;=$S$19,"Deficiente",IF(B32&lt;=$S$20,"Regular",IF(B32&lt;=$S$21,"Eficiente",0)))</f>
        <v>0</v>
      </c>
      <c r="D32" t="str">
        <f>SUM('Desempeño profesional'!L33:AD33)</f>
        <v>0</v>
      </c>
      <c r="E32" t="str">
        <f>IF(D32&lt;=$AE$19,"Deficiente",IF(D32&lt;=$AE$20,"Regular",IF(D32&lt;=$AE$21,"Eficiente",0)))</f>
        <v>0</v>
      </c>
      <c r="F32" t="str">
        <f>SUM('Desempeño profesional'!AE33:AJ33)</f>
        <v>0</v>
      </c>
      <c r="G32" t="str">
        <f>IF(F32&lt;=$AQ$19,"Deficiente",IF(F32&lt;=$AQ$20,"Regular",IF(F32&lt;=$AQ$21,"Eficiente",0)))</f>
        <v>0</v>
      </c>
      <c r="H32" t="str">
        <f>SUM('Desempeño profesional'!AK33:AO33)</f>
        <v>0</v>
      </c>
      <c r="I32" t="str">
        <f>IF(H32&lt;=$BC$19,"Deficiente",IF(H32&lt;=$BC$20,"Regular",IF(H32&lt;=$BC$21,"Eficiente",0)))</f>
        <v>0</v>
      </c>
      <c r="J32" t="str">
        <f>SUM(B32:H32)</f>
        <v>0</v>
      </c>
      <c r="K32" t="str">
        <f>IF(J32&lt;=$BO$19,"Deficiente",IF(J32&lt;=$BO$20,"Regular",IF(J32&lt;=$BO$21,"Eficiente",0)))</f>
        <v>0</v>
      </c>
      <c r="M32" s="11"/>
      <c r="W32" s="11"/>
      <c r="Y32" s="11"/>
      <c r="AI32" s="11"/>
      <c r="AK32" s="11"/>
      <c r="AU32" s="11"/>
      <c r="AW32" s="11"/>
      <c r="BG32" s="11"/>
      <c r="BI32" s="28"/>
      <c r="BS32" s="28"/>
    </row>
    <row r="33" spans="1:75">
      <c r="A33" t="s">
        <v>59</v>
      </c>
      <c r="B33" t="str">
        <f>SUM('Desempeño profesional'!B34:K34)</f>
        <v>0</v>
      </c>
      <c r="C33" t="str">
        <f>IF(B33&lt;=$S$19,"Deficiente",IF(B33&lt;=$S$20,"Regular",IF(B33&lt;=$S$21,"Eficiente",0)))</f>
        <v>0</v>
      </c>
      <c r="D33" t="str">
        <f>SUM('Desempeño profesional'!L34:AD34)</f>
        <v>0</v>
      </c>
      <c r="E33" t="str">
        <f>IF(D33&lt;=$AE$19,"Deficiente",IF(D33&lt;=$AE$20,"Regular",IF(D33&lt;=$AE$21,"Eficiente",0)))</f>
        <v>0</v>
      </c>
      <c r="F33" t="str">
        <f>SUM('Desempeño profesional'!AE34:AJ34)</f>
        <v>0</v>
      </c>
      <c r="G33" t="str">
        <f>IF(F33&lt;=$AQ$19,"Deficiente",IF(F33&lt;=$AQ$20,"Regular",IF(F33&lt;=$AQ$21,"Eficiente",0)))</f>
        <v>0</v>
      </c>
      <c r="H33" t="str">
        <f>SUM('Desempeño profesional'!AK34:AO34)</f>
        <v>0</v>
      </c>
      <c r="I33" t="str">
        <f>IF(H33&lt;=$BC$19,"Deficiente",IF(H33&lt;=$BC$20,"Regular",IF(H33&lt;=$BC$21,"Eficiente",0)))</f>
        <v>0</v>
      </c>
      <c r="J33" t="str">
        <f>SUM(B33:H33)</f>
        <v>0</v>
      </c>
      <c r="K33" t="str">
        <f>IF(J33&lt;=$BO$19,"Deficiente",IF(J33&lt;=$BO$20,"Regular",IF(J33&lt;=$BO$21,"Eficiente",0)))</f>
        <v>0</v>
      </c>
      <c r="M33" s="11"/>
      <c r="W33" s="11"/>
      <c r="Y33" s="11"/>
      <c r="AI33" s="11"/>
      <c r="AK33" s="11"/>
      <c r="AU33" s="11"/>
      <c r="AW33" s="11"/>
      <c r="BG33" s="11"/>
      <c r="BI33" s="28"/>
      <c r="BS33" s="28"/>
    </row>
    <row r="34" spans="1:75">
      <c r="A34" t="s">
        <v>60</v>
      </c>
      <c r="B34" t="str">
        <f>SUM('Desempeño profesional'!B35:K35)</f>
        <v>0</v>
      </c>
      <c r="C34" t="str">
        <f>IF(B34&lt;=$S$19,"Deficiente",IF(B34&lt;=$S$20,"Regular",IF(B34&lt;=$S$21,"Eficiente",0)))</f>
        <v>0</v>
      </c>
      <c r="D34" t="str">
        <f>SUM('Desempeño profesional'!L35:AD35)</f>
        <v>0</v>
      </c>
      <c r="E34" t="str">
        <f>IF(D34&lt;=$AE$19,"Deficiente",IF(D34&lt;=$AE$20,"Regular",IF(D34&lt;=$AE$21,"Eficiente",0)))</f>
        <v>0</v>
      </c>
      <c r="F34" t="str">
        <f>SUM('Desempeño profesional'!AE35:AJ35)</f>
        <v>0</v>
      </c>
      <c r="G34" t="str">
        <f>IF(F34&lt;=$AQ$19,"Deficiente",IF(F34&lt;=$AQ$20,"Regular",IF(F34&lt;=$AQ$21,"Eficiente",0)))</f>
        <v>0</v>
      </c>
      <c r="H34" t="str">
        <f>SUM('Desempeño profesional'!AK35:AO35)</f>
        <v>0</v>
      </c>
      <c r="I34" t="str">
        <f>IF(H34&lt;=$BC$19,"Deficiente",IF(H34&lt;=$BC$20,"Regular",IF(H34&lt;=$BC$21,"Eficiente",0)))</f>
        <v>0</v>
      </c>
      <c r="J34" t="str">
        <f>SUM(B34:H34)</f>
        <v>0</v>
      </c>
      <c r="K34" t="str">
        <f>IF(J34&lt;=$BO$19,"Deficiente",IF(J34&lt;=$BO$20,"Regular",IF(J34&lt;=$BO$21,"Eficiente",0)))</f>
        <v>0</v>
      </c>
      <c r="M34" s="11"/>
      <c r="W34" s="11"/>
      <c r="Y34" s="11"/>
      <c r="AI34" s="11"/>
      <c r="AK34" s="11"/>
      <c r="AU34" s="11"/>
      <c r="AW34" s="11"/>
      <c r="BG34" s="11"/>
      <c r="BI34" s="28"/>
      <c r="BS34" s="28"/>
    </row>
    <row r="35" spans="1:75">
      <c r="A35" t="s">
        <v>61</v>
      </c>
      <c r="B35" t="str">
        <f>SUM('Desempeño profesional'!B36:K36)</f>
        <v>0</v>
      </c>
      <c r="C35" t="str">
        <f>IF(B35&lt;=$S$19,"Deficiente",IF(B35&lt;=$S$20,"Regular",IF(B35&lt;=$S$21,"Eficiente",0)))</f>
        <v>0</v>
      </c>
      <c r="D35" t="str">
        <f>SUM('Desempeño profesional'!L36:AD36)</f>
        <v>0</v>
      </c>
      <c r="E35" t="str">
        <f>IF(D35&lt;=$AE$19,"Deficiente",IF(D35&lt;=$AE$20,"Regular",IF(D35&lt;=$AE$21,"Eficiente",0)))</f>
        <v>0</v>
      </c>
      <c r="F35" t="str">
        <f>SUM('Desempeño profesional'!AE36:AJ36)</f>
        <v>0</v>
      </c>
      <c r="G35" t="str">
        <f>IF(F35&lt;=$AQ$19,"Deficiente",IF(F35&lt;=$AQ$20,"Regular",IF(F35&lt;=$AQ$21,"Eficiente",0)))</f>
        <v>0</v>
      </c>
      <c r="H35" t="str">
        <f>SUM('Desempeño profesional'!AK36:AO36)</f>
        <v>0</v>
      </c>
      <c r="I35" t="str">
        <f>IF(H35&lt;=$BC$19,"Deficiente",IF(H35&lt;=$BC$20,"Regular",IF(H35&lt;=$BC$21,"Eficiente",0)))</f>
        <v>0</v>
      </c>
      <c r="J35" t="str">
        <f>SUM(B35:H35)</f>
        <v>0</v>
      </c>
      <c r="K35" t="str">
        <f>IF(J35&lt;=$BO$19,"Deficiente",IF(J35&lt;=$BO$20,"Regular",IF(J35&lt;=$BO$21,"Eficiente",0)))</f>
        <v>0</v>
      </c>
      <c r="M35" s="11"/>
      <c r="W35" s="11"/>
      <c r="Y35" s="11"/>
      <c r="AI35" s="11"/>
      <c r="AK35" s="11"/>
      <c r="AU35" s="11"/>
      <c r="AW35" s="11"/>
      <c r="BG35" s="11"/>
      <c r="BI35" s="28"/>
      <c r="BS35" s="28"/>
    </row>
    <row r="36" spans="1:75">
      <c r="A36" t="s">
        <v>62</v>
      </c>
      <c r="B36" t="str">
        <f>SUM('Desempeño profesional'!B37:K37)</f>
        <v>0</v>
      </c>
      <c r="C36" t="str">
        <f>IF(B36&lt;=$S$19,"Deficiente",IF(B36&lt;=$S$20,"Regular",IF(B36&lt;=$S$21,"Eficiente",0)))</f>
        <v>0</v>
      </c>
      <c r="D36" t="str">
        <f>SUM('Desempeño profesional'!L37:AD37)</f>
        <v>0</v>
      </c>
      <c r="E36" t="str">
        <f>IF(D36&lt;=$AE$19,"Deficiente",IF(D36&lt;=$AE$20,"Regular",IF(D36&lt;=$AE$21,"Eficiente",0)))</f>
        <v>0</v>
      </c>
      <c r="F36" t="str">
        <f>SUM('Desempeño profesional'!AE37:AJ37)</f>
        <v>0</v>
      </c>
      <c r="G36" t="str">
        <f>IF(F36&lt;=$AQ$19,"Deficiente",IF(F36&lt;=$AQ$20,"Regular",IF(F36&lt;=$AQ$21,"Eficiente",0)))</f>
        <v>0</v>
      </c>
      <c r="H36" t="str">
        <f>SUM('Desempeño profesional'!AK37:AO37)</f>
        <v>0</v>
      </c>
      <c r="I36" t="str">
        <f>IF(H36&lt;=$BC$19,"Deficiente",IF(H36&lt;=$BC$20,"Regular",IF(H36&lt;=$BC$21,"Eficiente",0)))</f>
        <v>0</v>
      </c>
      <c r="J36" t="str">
        <f>SUM(B36:H36)</f>
        <v>0</v>
      </c>
      <c r="K36" t="str">
        <f>IF(J36&lt;=$BO$19,"Deficiente",IF(J36&lt;=$BO$20,"Regular",IF(J36&lt;=$BO$21,"Eficiente",0)))</f>
        <v>0</v>
      </c>
      <c r="M36" s="11"/>
      <c r="W36" s="11"/>
      <c r="Y36" s="11"/>
      <c r="AI36" s="11"/>
      <c r="AK36" s="11"/>
      <c r="AU36" s="11"/>
      <c r="AW36" s="11"/>
      <c r="BG36" s="11"/>
      <c r="BI36" s="28"/>
      <c r="BS36" s="28"/>
    </row>
    <row r="37" spans="1:75">
      <c r="A37" t="s">
        <v>63</v>
      </c>
      <c r="B37" t="str">
        <f>SUM('Desempeño profesional'!B38:K38)</f>
        <v>0</v>
      </c>
      <c r="C37" t="str">
        <f>IF(B37&lt;=$S$19,"Deficiente",IF(B37&lt;=$S$20,"Regular",IF(B37&lt;=$S$21,"Eficiente",0)))</f>
        <v>0</v>
      </c>
      <c r="D37" t="str">
        <f>SUM('Desempeño profesional'!L38:AD38)</f>
        <v>0</v>
      </c>
      <c r="E37" t="str">
        <f>IF(D37&lt;=$AE$19,"Deficiente",IF(D37&lt;=$AE$20,"Regular",IF(D37&lt;=$AE$21,"Eficiente",0)))</f>
        <v>0</v>
      </c>
      <c r="F37" t="str">
        <f>SUM('Desempeño profesional'!AE38:AJ38)</f>
        <v>0</v>
      </c>
      <c r="G37" t="str">
        <f>IF(F37&lt;=$AQ$19,"Deficiente",IF(F37&lt;=$AQ$20,"Regular",IF(F37&lt;=$AQ$21,"Eficiente",0)))</f>
        <v>0</v>
      </c>
      <c r="H37" t="str">
        <f>SUM('Desempeño profesional'!AK38:AO38)</f>
        <v>0</v>
      </c>
      <c r="I37" t="str">
        <f>IF(H37&lt;=$BC$19,"Deficiente",IF(H37&lt;=$BC$20,"Regular",IF(H37&lt;=$BC$21,"Eficiente",0)))</f>
        <v>0</v>
      </c>
      <c r="J37" t="str">
        <f>SUM(B37:H37)</f>
        <v>0</v>
      </c>
      <c r="K37" t="str">
        <f>IF(J37&lt;=$BO$19,"Deficiente",IF(J37&lt;=$BO$20,"Regular",IF(J37&lt;=$BO$21,"Eficiente",0)))</f>
        <v>0</v>
      </c>
      <c r="M37" s="11"/>
      <c r="W37" s="11"/>
      <c r="Y37" s="11"/>
      <c r="AI37" s="11"/>
      <c r="AK37" s="11"/>
      <c r="AU37" s="11"/>
      <c r="AW37" s="11"/>
      <c r="BG37" s="11"/>
      <c r="BI37" s="28"/>
      <c r="BS37" s="28"/>
    </row>
    <row r="38" spans="1:75">
      <c r="A38" t="s">
        <v>64</v>
      </c>
      <c r="B38" t="str">
        <f>SUM('Desempeño profesional'!B39:K39)</f>
        <v>0</v>
      </c>
      <c r="C38" t="str">
        <f>IF(B38&lt;=$S$19,"Deficiente",IF(B38&lt;=$S$20,"Regular",IF(B38&lt;=$S$21,"Eficiente",0)))</f>
        <v>0</v>
      </c>
      <c r="D38" t="str">
        <f>SUM('Desempeño profesional'!L39:AD39)</f>
        <v>0</v>
      </c>
      <c r="E38" t="str">
        <f>IF(D38&lt;=$AE$19,"Deficiente",IF(D38&lt;=$AE$20,"Regular",IF(D38&lt;=$AE$21,"Eficiente",0)))</f>
        <v>0</v>
      </c>
      <c r="F38" t="str">
        <f>SUM('Desempeño profesional'!AE39:AJ39)</f>
        <v>0</v>
      </c>
      <c r="G38" t="str">
        <f>IF(F38&lt;=$AQ$19,"Deficiente",IF(F38&lt;=$AQ$20,"Regular",IF(F38&lt;=$AQ$21,"Eficiente",0)))</f>
        <v>0</v>
      </c>
      <c r="H38" t="str">
        <f>SUM('Desempeño profesional'!AK39:AO39)</f>
        <v>0</v>
      </c>
      <c r="I38" t="str">
        <f>IF(H38&lt;=$BC$19,"Deficiente",IF(H38&lt;=$BC$20,"Regular",IF(H38&lt;=$BC$21,"Eficiente",0)))</f>
        <v>0</v>
      </c>
      <c r="J38" t="str">
        <f>SUM(B38:H38)</f>
        <v>0</v>
      </c>
      <c r="K38" t="str">
        <f>IF(J38&lt;=$BO$19,"Deficiente",IF(J38&lt;=$BO$20,"Regular",IF(J38&lt;=$BO$21,"Eficiente",0)))</f>
        <v>0</v>
      </c>
      <c r="M38" s="11"/>
      <c r="W38" s="11"/>
      <c r="Y38" s="11"/>
      <c r="AI38" s="11"/>
      <c r="AK38" s="11"/>
      <c r="AU38" s="11"/>
      <c r="AW38" s="11"/>
      <c r="BG38" s="11"/>
      <c r="BI38" s="28"/>
      <c r="BS38" s="28"/>
    </row>
    <row r="39" spans="1:75">
      <c r="A39" t="s">
        <v>65</v>
      </c>
      <c r="B39" t="str">
        <f>SUM('Desempeño profesional'!B40:K40)</f>
        <v>0</v>
      </c>
      <c r="C39" t="str">
        <f>IF(B39&lt;=$S$19,"Deficiente",IF(B39&lt;=$S$20,"Regular",IF(B39&lt;=$S$21,"Eficiente",0)))</f>
        <v>0</v>
      </c>
      <c r="D39" t="str">
        <f>SUM('Desempeño profesional'!L40:AD40)</f>
        <v>0</v>
      </c>
      <c r="E39" t="str">
        <f>IF(D39&lt;=$AE$19,"Deficiente",IF(D39&lt;=$AE$20,"Regular",IF(D39&lt;=$AE$21,"Eficiente",0)))</f>
        <v>0</v>
      </c>
      <c r="F39" t="str">
        <f>SUM('Desempeño profesional'!AE40:AJ40)</f>
        <v>0</v>
      </c>
      <c r="G39" t="str">
        <f>IF(F39&lt;=$AQ$19,"Deficiente",IF(F39&lt;=$AQ$20,"Regular",IF(F39&lt;=$AQ$21,"Eficiente",0)))</f>
        <v>0</v>
      </c>
      <c r="H39" t="str">
        <f>SUM('Desempeño profesional'!AK40:AO40)</f>
        <v>0</v>
      </c>
      <c r="I39" t="str">
        <f>IF(H39&lt;=$BC$19,"Deficiente",IF(H39&lt;=$BC$20,"Regular",IF(H39&lt;=$BC$21,"Eficiente",0)))</f>
        <v>0</v>
      </c>
      <c r="J39" t="str">
        <f>SUM(B39:H39)</f>
        <v>0</v>
      </c>
      <c r="K39" t="str">
        <f>IF(J39&lt;=$BO$19,"Deficiente",IF(J39&lt;=$BO$20,"Regular",IF(J39&lt;=$BO$21,"Eficiente",0)))</f>
        <v>0</v>
      </c>
      <c r="M39" s="11"/>
      <c r="W39" s="11"/>
      <c r="Y39" s="11"/>
      <c r="AI39" s="11"/>
      <c r="AK39" s="11"/>
      <c r="AU39" s="11"/>
      <c r="AW39" s="11"/>
      <c r="BG39" s="11"/>
      <c r="BI39" s="28"/>
      <c r="BS39" s="28"/>
    </row>
    <row r="40" spans="1:75">
      <c r="A40" t="s">
        <v>66</v>
      </c>
      <c r="B40" t="str">
        <f>SUM('Desempeño profesional'!B41:K41)</f>
        <v>0</v>
      </c>
      <c r="C40" t="str">
        <f>IF(B40&lt;=$S$19,"Deficiente",IF(B40&lt;=$S$20,"Regular",IF(B40&lt;=$S$21,"Eficiente",0)))</f>
        <v>0</v>
      </c>
      <c r="D40" t="str">
        <f>SUM('Desempeño profesional'!L41:AD41)</f>
        <v>0</v>
      </c>
      <c r="E40" t="str">
        <f>IF(D40&lt;=$AE$19,"Deficiente",IF(D40&lt;=$AE$20,"Regular",IF(D40&lt;=$AE$21,"Eficiente",0)))</f>
        <v>0</v>
      </c>
      <c r="F40" t="str">
        <f>SUM('Desempeño profesional'!AE41:AJ41)</f>
        <v>0</v>
      </c>
      <c r="G40" t="str">
        <f>IF(F40&lt;=$AQ$19,"Deficiente",IF(F40&lt;=$AQ$20,"Regular",IF(F40&lt;=$AQ$21,"Eficiente",0)))</f>
        <v>0</v>
      </c>
      <c r="H40" t="str">
        <f>SUM('Desempeño profesional'!AK41:AO41)</f>
        <v>0</v>
      </c>
      <c r="I40" t="str">
        <f>IF(H40&lt;=$BC$19,"Deficiente",IF(H40&lt;=$BC$20,"Regular",IF(H40&lt;=$BC$21,"Eficiente",0)))</f>
        <v>0</v>
      </c>
      <c r="J40" t="str">
        <f>SUM(B40:H40)</f>
        <v>0</v>
      </c>
      <c r="K40" t="str">
        <f>IF(J40&lt;=$BO$19,"Deficiente",IF(J40&lt;=$BO$20,"Regular",IF(J40&lt;=$BO$21,"Eficiente",0)))</f>
        <v>0</v>
      </c>
      <c r="M40" s="11"/>
      <c r="W40" s="11"/>
      <c r="Y40" s="11"/>
      <c r="AI40" s="11"/>
      <c r="AK40" s="11"/>
      <c r="AU40" s="11"/>
      <c r="AW40" s="11"/>
      <c r="BG40" s="11"/>
      <c r="BI40" s="28"/>
      <c r="BS40" s="28"/>
    </row>
    <row r="41" spans="1:75">
      <c r="A41" t="s">
        <v>67</v>
      </c>
      <c r="B41" t="str">
        <f>SUM('Desempeño profesional'!B42:K42)</f>
        <v>0</v>
      </c>
      <c r="C41" t="str">
        <f>IF(B41&lt;=$S$19,"Deficiente",IF(B41&lt;=$S$20,"Regular",IF(B41&lt;=$S$21,"Eficiente",0)))</f>
        <v>0</v>
      </c>
      <c r="D41" t="str">
        <f>SUM('Desempeño profesional'!L42:AD42)</f>
        <v>0</v>
      </c>
      <c r="E41" t="str">
        <f>IF(D41&lt;=$AE$19,"Deficiente",IF(D41&lt;=$AE$20,"Regular",IF(D41&lt;=$AE$21,"Eficiente",0)))</f>
        <v>0</v>
      </c>
      <c r="F41" t="str">
        <f>SUM('Desempeño profesional'!AE42:AJ42)</f>
        <v>0</v>
      </c>
      <c r="G41" t="str">
        <f>IF(F41&lt;=$AQ$19,"Deficiente",IF(F41&lt;=$AQ$20,"Regular",IF(F41&lt;=$AQ$21,"Eficiente",0)))</f>
        <v>0</v>
      </c>
      <c r="H41" t="str">
        <f>SUM('Desempeño profesional'!AK42:AO42)</f>
        <v>0</v>
      </c>
      <c r="I41" t="str">
        <f>IF(H41&lt;=$BC$19,"Deficiente",IF(H41&lt;=$BC$20,"Regular",IF(H41&lt;=$BC$21,"Eficiente",0)))</f>
        <v>0</v>
      </c>
      <c r="J41" t="str">
        <f>SUM(B41:H41)</f>
        <v>0</v>
      </c>
      <c r="K41" t="str">
        <f>IF(J41&lt;=$BO$19,"Deficiente",IF(J41&lt;=$BO$20,"Regular",IF(J41&lt;=$BO$21,"Eficiente",0)))</f>
        <v>0</v>
      </c>
      <c r="M41" s="11"/>
      <c r="W41" s="11"/>
      <c r="Y41" s="11"/>
      <c r="AI41" s="11"/>
      <c r="AK41" s="11"/>
      <c r="AU41" s="11"/>
      <c r="AW41" s="11"/>
      <c r="BG41" s="11"/>
      <c r="BI41" s="28"/>
      <c r="BS41" s="28"/>
    </row>
    <row r="42" spans="1:75">
      <c r="A42" t="s">
        <v>68</v>
      </c>
      <c r="B42" t="str">
        <f>SUM('Desempeño profesional'!B43:K43)</f>
        <v>0</v>
      </c>
      <c r="C42" t="str">
        <f>IF(B42&lt;=$S$19,"Deficiente",IF(B42&lt;=$S$20,"Regular",IF(B42&lt;=$S$21,"Eficiente",0)))</f>
        <v>0</v>
      </c>
      <c r="D42" t="str">
        <f>SUM('Desempeño profesional'!L43:AD43)</f>
        <v>0</v>
      </c>
      <c r="E42" t="str">
        <f>IF(D42&lt;=$AE$19,"Deficiente",IF(D42&lt;=$AE$20,"Regular",IF(D42&lt;=$AE$21,"Eficiente",0)))</f>
        <v>0</v>
      </c>
      <c r="F42" t="str">
        <f>SUM('Desempeño profesional'!AE43:AJ43)</f>
        <v>0</v>
      </c>
      <c r="G42" t="str">
        <f>IF(F42&lt;=$AQ$19,"Deficiente",IF(F42&lt;=$AQ$20,"Regular",IF(F42&lt;=$AQ$21,"Eficiente",0)))</f>
        <v>0</v>
      </c>
      <c r="H42" t="str">
        <f>SUM('Desempeño profesional'!AK43:AO43)</f>
        <v>0</v>
      </c>
      <c r="I42" t="str">
        <f>IF(H42&lt;=$BC$19,"Deficiente",IF(H42&lt;=$BC$20,"Regular",IF(H42&lt;=$BC$21,"Eficiente",0)))</f>
        <v>0</v>
      </c>
      <c r="J42" t="str">
        <f>SUM(B42:H42)</f>
        <v>0</v>
      </c>
      <c r="K42" t="str">
        <f>IF(J42&lt;=$BO$19,"Deficiente",IF(J42&lt;=$BO$20,"Regular",IF(J42&lt;=$BO$21,"Eficiente",0)))</f>
        <v>0</v>
      </c>
      <c r="M42" s="11"/>
      <c r="W42" s="11"/>
      <c r="Y42" s="11"/>
      <c r="AI42" s="11"/>
      <c r="AK42" s="11"/>
      <c r="AU42" s="11"/>
      <c r="AW42" s="11"/>
      <c r="BG42" s="11"/>
      <c r="BI42" s="28"/>
      <c r="BS42" s="28"/>
    </row>
    <row r="43" spans="1:75">
      <c r="A43" t="s">
        <v>69</v>
      </c>
      <c r="B43" t="str">
        <f>SUM('Desempeño profesional'!B44:K44)</f>
        <v>0</v>
      </c>
      <c r="C43" t="str">
        <f>IF(B43&lt;=$S$19,"Deficiente",IF(B43&lt;=$S$20,"Regular",IF(B43&lt;=$S$21,"Eficiente",0)))</f>
        <v>0</v>
      </c>
      <c r="D43" t="str">
        <f>SUM('Desempeño profesional'!L44:AD44)</f>
        <v>0</v>
      </c>
      <c r="E43" t="str">
        <f>IF(D43&lt;=$AE$19,"Deficiente",IF(D43&lt;=$AE$20,"Regular",IF(D43&lt;=$AE$21,"Eficiente",0)))</f>
        <v>0</v>
      </c>
      <c r="F43" t="str">
        <f>SUM('Desempeño profesional'!AE44:AJ44)</f>
        <v>0</v>
      </c>
      <c r="G43" t="str">
        <f>IF(F43&lt;=$AQ$19,"Deficiente",IF(F43&lt;=$AQ$20,"Regular",IF(F43&lt;=$AQ$21,"Eficiente",0)))</f>
        <v>0</v>
      </c>
      <c r="H43" t="str">
        <f>SUM('Desempeño profesional'!AK44:AO44)</f>
        <v>0</v>
      </c>
      <c r="I43" t="str">
        <f>IF(H43&lt;=$BC$19,"Deficiente",IF(H43&lt;=$BC$20,"Regular",IF(H43&lt;=$BC$21,"Eficiente",0)))</f>
        <v>0</v>
      </c>
      <c r="J43" t="str">
        <f>SUM(B43:H43)</f>
        <v>0</v>
      </c>
      <c r="K43" t="str">
        <f>IF(J43&lt;=$BO$19,"Deficiente",IF(J43&lt;=$BO$20,"Regular",IF(J43&lt;=$BO$21,"Eficiente",0)))</f>
        <v>0</v>
      </c>
      <c r="M43" s="11"/>
      <c r="Q43" t="s">
        <v>429</v>
      </c>
      <c r="W43" s="11"/>
      <c r="Y43" s="11"/>
      <c r="AC43" t="s">
        <v>430</v>
      </c>
      <c r="AI43" s="11"/>
      <c r="AK43" s="11"/>
      <c r="AO43" t="s">
        <v>431</v>
      </c>
      <c r="AU43" s="11"/>
      <c r="AW43" s="11"/>
      <c r="BA43" t="s">
        <v>432</v>
      </c>
      <c r="BG43" s="11"/>
      <c r="BI43" s="28"/>
      <c r="BM43" t="s">
        <v>581</v>
      </c>
      <c r="BS43" s="28"/>
    </row>
    <row r="44" spans="1:75">
      <c r="A44" t="s">
        <v>70</v>
      </c>
      <c r="B44" t="str">
        <f>SUM('Desempeño profesional'!B45:K45)</f>
        <v>0</v>
      </c>
      <c r="C44" t="str">
        <f>IF(B44&lt;=$S$19,"Deficiente",IF(B44&lt;=$S$20,"Regular",IF(B44&lt;=$S$21,"Eficiente",0)))</f>
        <v>0</v>
      </c>
      <c r="D44" t="str">
        <f>SUM('Desempeño profesional'!L45:AD45)</f>
        <v>0</v>
      </c>
      <c r="E44" t="str">
        <f>IF(D44&lt;=$AE$19,"Deficiente",IF(D44&lt;=$AE$20,"Regular",IF(D44&lt;=$AE$21,"Eficiente",0)))</f>
        <v>0</v>
      </c>
      <c r="F44" t="str">
        <f>SUM('Desempeño profesional'!AE45:AJ45)</f>
        <v>0</v>
      </c>
      <c r="G44" t="str">
        <f>IF(F44&lt;=$AQ$19,"Deficiente",IF(F44&lt;=$AQ$20,"Regular",IF(F44&lt;=$AQ$21,"Eficiente",0)))</f>
        <v>0</v>
      </c>
      <c r="H44" t="str">
        <f>SUM('Desempeño profesional'!AK45:AO45)</f>
        <v>0</v>
      </c>
      <c r="I44" t="str">
        <f>IF(H44&lt;=$BC$19,"Deficiente",IF(H44&lt;=$BC$20,"Regular",IF(H44&lt;=$BC$21,"Eficiente",0)))</f>
        <v>0</v>
      </c>
      <c r="J44" t="str">
        <f>SUM(B44:H44)</f>
        <v>0</v>
      </c>
      <c r="K44" t="str">
        <f>IF(J44&lt;=$BO$19,"Deficiente",IF(J44&lt;=$BO$20,"Regular",IF(J44&lt;=$BO$21,"Eficiente",0)))</f>
        <v>0</v>
      </c>
      <c r="M44" s="11"/>
      <c r="Q44" s="10" t="s">
        <v>548</v>
      </c>
      <c r="W44" s="11"/>
      <c r="Y44" s="11"/>
      <c r="AC44" s="10" t="s">
        <v>549</v>
      </c>
      <c r="AI44" s="11"/>
      <c r="AK44" s="11"/>
      <c r="AO44" s="10" t="s">
        <v>550</v>
      </c>
      <c r="AU44" s="11"/>
      <c r="AW44" s="11"/>
      <c r="BA44" s="10" t="s">
        <v>551</v>
      </c>
      <c r="BG44" s="11"/>
      <c r="BI44" s="28"/>
      <c r="BM44" s="10" t="s">
        <v>548</v>
      </c>
      <c r="BS44" s="28"/>
    </row>
    <row r="45" spans="1:75">
      <c r="A45" t="s">
        <v>71</v>
      </c>
      <c r="B45" t="str">
        <f>SUM('Desempeño profesional'!B46:K46)</f>
        <v>0</v>
      </c>
      <c r="C45" t="str">
        <f>IF(B45&lt;=$S$19,"Deficiente",IF(B45&lt;=$S$20,"Regular",IF(B45&lt;=$S$21,"Eficiente",0)))</f>
        <v>0</v>
      </c>
      <c r="D45" t="str">
        <f>SUM('Desempeño profesional'!L46:AD46)</f>
        <v>0</v>
      </c>
      <c r="E45" t="str">
        <f>IF(D45&lt;=$AE$19,"Deficiente",IF(D45&lt;=$AE$20,"Regular",IF(D45&lt;=$AE$21,"Eficiente",0)))</f>
        <v>0</v>
      </c>
      <c r="F45" t="str">
        <f>SUM('Desempeño profesional'!AE46:AJ46)</f>
        <v>0</v>
      </c>
      <c r="G45" t="str">
        <f>IF(F45&lt;=$AQ$19,"Deficiente",IF(F45&lt;=$AQ$20,"Regular",IF(F45&lt;=$AQ$21,"Eficiente",0)))</f>
        <v>0</v>
      </c>
      <c r="H45" t="str">
        <f>SUM('Desempeño profesional'!AK46:AO46)</f>
        <v>0</v>
      </c>
      <c r="I45" t="str">
        <f>IF(H45&lt;=$BC$19,"Deficiente",IF(H45&lt;=$BC$20,"Regular",IF(H45&lt;=$BC$21,"Eficiente",0)))</f>
        <v>0</v>
      </c>
      <c r="J45" t="str">
        <f>SUM(B45:H45)</f>
        <v>0</v>
      </c>
      <c r="K45" t="str">
        <f>IF(J45&lt;=$BO$19,"Deficiente",IF(J45&lt;=$BO$20,"Regular",IF(J45&lt;=$BO$21,"Eficiente",0)))</f>
        <v>0</v>
      </c>
      <c r="M45" s="11"/>
      <c r="N45" s="11"/>
      <c r="O45" s="11"/>
      <c r="P45" s="11"/>
      <c r="Q45" s="11"/>
      <c r="R45" s="11"/>
      <c r="S45" s="11"/>
      <c r="T45" s="11"/>
      <c r="U45" s="11"/>
      <c r="V45" s="11"/>
      <c r="W45" s="11"/>
      <c r="Y45" s="11"/>
      <c r="Z45" s="11"/>
      <c r="AA45" s="11"/>
      <c r="AB45" s="11"/>
      <c r="AC45" s="11"/>
      <c r="AD45" s="11"/>
      <c r="AE45" s="11"/>
      <c r="AF45" s="11"/>
      <c r="AG45" s="11"/>
      <c r="AH45" s="11"/>
      <c r="AI45" s="11"/>
      <c r="AK45" s="11"/>
      <c r="AL45" s="11"/>
      <c r="AM45" s="11"/>
      <c r="AN45" s="11"/>
      <c r="AO45" s="11"/>
      <c r="AP45" s="11"/>
      <c r="AQ45" s="11"/>
      <c r="AR45" s="11"/>
      <c r="AS45" s="11"/>
      <c r="AT45" s="11"/>
      <c r="AU45" s="11"/>
      <c r="AW45" s="11"/>
      <c r="AX45" s="11"/>
      <c r="AY45" s="11"/>
      <c r="AZ45" s="11"/>
      <c r="BA45" s="11"/>
      <c r="BB45" s="11"/>
      <c r="BC45" s="11"/>
      <c r="BD45" s="11"/>
      <c r="BE45" s="11"/>
      <c r="BF45" s="11"/>
      <c r="BG45" s="11"/>
      <c r="BI45" s="28"/>
      <c r="BJ45" s="28"/>
      <c r="BK45" s="28"/>
      <c r="BL45" s="28"/>
      <c r="BM45" s="28"/>
      <c r="BN45" s="28"/>
      <c r="BO45" s="28"/>
      <c r="BP45" s="28"/>
      <c r="BQ45" s="28"/>
      <c r="BR45" s="28"/>
      <c r="BS45" s="28"/>
    </row>
    <row r="46" spans="1:75">
      <c r="A46" t="s">
        <v>72</v>
      </c>
      <c r="B46" t="str">
        <f>SUM('Desempeño profesional'!B47:K47)</f>
        <v>0</v>
      </c>
      <c r="C46" t="str">
        <f>IF(B46&lt;=$S$19,"Deficiente",IF(B46&lt;=$S$20,"Regular",IF(B46&lt;=$S$21,"Eficiente",0)))</f>
        <v>0</v>
      </c>
      <c r="D46" t="str">
        <f>SUM('Desempeño profesional'!L47:AD47)</f>
        <v>0</v>
      </c>
      <c r="E46" t="str">
        <f>IF(D46&lt;=$AE$19,"Deficiente",IF(D46&lt;=$AE$20,"Regular",IF(D46&lt;=$AE$21,"Eficiente",0)))</f>
        <v>0</v>
      </c>
      <c r="F46" t="str">
        <f>SUM('Desempeño profesional'!AE47:AJ47)</f>
        <v>0</v>
      </c>
      <c r="G46" t="str">
        <f>IF(F46&lt;=$AQ$19,"Deficiente",IF(F46&lt;=$AQ$20,"Regular",IF(F46&lt;=$AQ$21,"Eficiente",0)))</f>
        <v>0</v>
      </c>
      <c r="H46" t="str">
        <f>SUM('Desempeño profesional'!AK47:AO47)</f>
        <v>0</v>
      </c>
      <c r="I46" t="str">
        <f>IF(H46&lt;=$BC$19,"Deficiente",IF(H46&lt;=$BC$20,"Regular",IF(H46&lt;=$BC$21,"Eficiente",0)))</f>
        <v>0</v>
      </c>
      <c r="J46" t="str">
        <f>SUM(B46:H46)</f>
        <v>0</v>
      </c>
      <c r="K46" t="str">
        <f>IF(J46&lt;=$BO$19,"Deficiente",IF(J46&lt;=$BO$20,"Regular",IF(J46&lt;=$BO$21,"Eficiente",0)))</f>
        <v>0</v>
      </c>
    </row>
    <row r="47" spans="1:75">
      <c r="A47" t="s">
        <v>73</v>
      </c>
      <c r="B47" t="str">
        <f>SUM('Desempeño profesional'!B48:K48)</f>
        <v>0</v>
      </c>
      <c r="C47" t="str">
        <f>IF(B47&lt;=$S$19,"Deficiente",IF(B47&lt;=$S$20,"Regular",IF(B47&lt;=$S$21,"Eficiente",0)))</f>
        <v>0</v>
      </c>
      <c r="D47" t="str">
        <f>SUM('Desempeño profesional'!L48:AD48)</f>
        <v>0</v>
      </c>
      <c r="E47" t="str">
        <f>IF(D47&lt;=$AE$19,"Deficiente",IF(D47&lt;=$AE$20,"Regular",IF(D47&lt;=$AE$21,"Eficiente",0)))</f>
        <v>0</v>
      </c>
      <c r="F47" t="str">
        <f>SUM('Desempeño profesional'!AE48:AJ48)</f>
        <v>0</v>
      </c>
      <c r="G47" t="str">
        <f>IF(F47&lt;=$AQ$19,"Deficiente",IF(F47&lt;=$AQ$20,"Regular",IF(F47&lt;=$AQ$21,"Eficiente",0)))</f>
        <v>0</v>
      </c>
      <c r="H47" t="str">
        <f>SUM('Desempeño profesional'!AK48:AO48)</f>
        <v>0</v>
      </c>
      <c r="I47" t="str">
        <f>IF(H47&lt;=$BC$19,"Deficiente",IF(H47&lt;=$BC$20,"Regular",IF(H47&lt;=$BC$21,"Eficiente",0)))</f>
        <v>0</v>
      </c>
      <c r="J47" t="str">
        <f>SUM(B47:H47)</f>
        <v>0</v>
      </c>
      <c r="K47" t="str">
        <f>IF(J47&lt;=$BO$19,"Deficiente",IF(J47&lt;=$BO$20,"Regular",IF(J47&lt;=$BO$21,"Eficiente",0)))</f>
        <v>0</v>
      </c>
      <c r="O47" s="27" t="str">
        <f>CONCATENATE("en la ",Q15," y ",Q43," se puede observar que la variable ",N901," en base a su dimensión ",N902," tiene una calificación de ",O904," por el ",ROUND(N904*100,0),"% ","de los resultados, ","los cuales fueron extraídos  de las encuestas ejecutadas a los ",P902,", estos resultados son afectados debido a que, ",W1016," ",O1016,",","asi mismo ",W1017," ",O1017,", con motivo ",W1018," ",O1018,", en cambio ",W1019," ",O1019,", aunque ",W1020," ",O1020,", en cambio ",W1021," ",O1021,", sin embargo ",W1022," ",O1022,", de modo que ",W1023," ",O1023,", incluso ",W1024," ",O1024, ", ","y ",O1025," ",W1025,", ","por todo ello la dimensión ",N902," es ",O904,".")</f>
        <v>0</v>
      </c>
      <c r="AA47" s="27" t="str">
        <f>CONCATENATE("en la ",AC15," y ",AC43," se puede observar que la variable ",Z901," en base a su dimensión ",Z902," tiene una calificación de ",AA904," por el ",ROUND(Z904*100,0),"% ","de los resultados, ","los cuales fueron extraídos  de las encuestas ejecutadas a los ",AB902,", estos resultados son afectados debido a que, ",AI1016," ",AA1016,",","asi mismo ",AI1017," ",AA1017,", con motivo ",AI1018," ",AA1018,", por su parte ",AI1019," ",AA1019,", mismo ",AI1020," ",AA1020,", por su parte ",AI1021," ",AA1021,", incluso ",AI1022," ",AA1022,", también ",AI1023," ",AA1023,", mismo ",AI1024," ",AA1024,", así ",AI1025," ",AA1025,", además ",AI1026," ",AA1026,", en cambio ",AI1027," ",AA1027,", en cambio ",AI1028," ",AA1028,", además ",AI1029," ",AA1029,", también ",AI1030," ",AA1030,", no obstante ",AI1031," ",AA1031,", mismo ",AI1032," ",AA1032,", así ",AI1033," ",AA1033, ", ","y ",AA1034," ",AI1034,", ","por todo ello la dimensión ",Z902," es ",AA904,".")</f>
        <v>0</v>
      </c>
      <c r="AM47" s="27" t="str">
        <f>CONCATENATE("en la ",AO15," y ",AO43," se puede observar que la variable ",AL901," en base a su dimensión ",AL902," tiene una calificación de ",AM904," por el ",ROUND(AL904*100,0),"% ","de los resultados, ","los cuales fueron extraídos  de las encuestas ejecutadas a los ",AN902,", estos resultados son afectados debido a que, ",AU1016," ",AM1016,",","asi mismo ",AU1017," ",AM1017,", por su parte ",AU1018," ",AM1018,", por su parte ",AU1019," ",AM1019,", en cambio ",AU1020," ",AM1020, ", ","y ",AM1021," ",AU1021,", ","por todo ello la dimensión ",AL902," es ",AM904,".")</f>
        <v>0</v>
      </c>
      <c r="AY47" s="27" t="str">
        <f>CONCATENATE("en la ",BA15," y ",BA43," se puede observar que la variable ",AX901," en base a su dimensión ",AX902," tiene una calificación de ",AY904," por el ",ROUND(AX904*100,0),"% ","de los resultados, ","los cuales fueron extraídos  de las encuestas ejecutadas a los ",AZ902,", estos resultados son afectados debido a que, ",BG1016," ",AY1016,",","asi mismo ",BG1017," ",AY1017,", así ",BG1018," ",AY1018,", con motivo ",BG1019," ",AY1019, ", ","y ",AY1020," ",BG1020,", ","por todo ello la dimensión ",AX902," es ",AY904,".")</f>
        <v>0</v>
      </c>
      <c r="BK47" s="27" t="str">
        <f>CONCATENATE("En la ",BM15," y ",BM43," se puede evidenciar que la variable ",BJ901," es calificado como ",BK904," por el ",ROUND(BJ904*100,0),"% de los resultados, mismos que son originados porque; ",BW1016," ",BW1017," ",BW1018,BW1019,BW1020,BW1021,BW1022,BW1023,BW1024,BW1025,BW1026," se concluye que la variable ",BJ901,"tiene un valor de ",BK904,".")</f>
        <v>0</v>
      </c>
    </row>
    <row r="48" spans="1:75">
      <c r="A48" t="s">
        <v>74</v>
      </c>
      <c r="B48" t="str">
        <f>SUM('Desempeño profesional'!B49:K49)</f>
        <v>0</v>
      </c>
      <c r="C48" t="str">
        <f>IF(B48&lt;=$S$19,"Deficiente",IF(B48&lt;=$S$20,"Regular",IF(B48&lt;=$S$21,"Eficiente",0)))</f>
        <v>0</v>
      </c>
      <c r="D48" t="str">
        <f>SUM('Desempeño profesional'!L49:AD49)</f>
        <v>0</v>
      </c>
      <c r="E48" t="str">
        <f>IF(D48&lt;=$AE$19,"Deficiente",IF(D48&lt;=$AE$20,"Regular",IF(D48&lt;=$AE$21,"Eficiente",0)))</f>
        <v>0</v>
      </c>
      <c r="F48" t="str">
        <f>SUM('Desempeño profesional'!AE49:AJ49)</f>
        <v>0</v>
      </c>
      <c r="G48" t="str">
        <f>IF(F48&lt;=$AQ$19,"Deficiente",IF(F48&lt;=$AQ$20,"Regular",IF(F48&lt;=$AQ$21,"Eficiente",0)))</f>
        <v>0</v>
      </c>
      <c r="H48" t="str">
        <f>SUM('Desempeño profesional'!AK49:AO49)</f>
        <v>0</v>
      </c>
      <c r="I48" t="str">
        <f>IF(H48&lt;=$BC$19,"Deficiente",IF(H48&lt;=$BC$20,"Regular",IF(H48&lt;=$BC$21,"Eficiente",0)))</f>
        <v>0</v>
      </c>
      <c r="J48" t="str">
        <f>SUM(B48:H48)</f>
        <v>0</v>
      </c>
      <c r="K48" t="str">
        <f>IF(J48&lt;=$BO$19,"Deficiente",IF(J48&lt;=$BO$20,"Regular",IF(J48&lt;=$BO$21,"Eficiente",0)))</f>
        <v>0</v>
      </c>
    </row>
    <row r="49" spans="1:75">
      <c r="A49" t="s">
        <v>75</v>
      </c>
      <c r="B49" t="str">
        <f>SUM('Desempeño profesional'!B50:K50)</f>
        <v>0</v>
      </c>
      <c r="C49" t="str">
        <f>IF(B49&lt;=$S$19,"Deficiente",IF(B49&lt;=$S$20,"Regular",IF(B49&lt;=$S$21,"Eficiente",0)))</f>
        <v>0</v>
      </c>
      <c r="D49" t="str">
        <f>SUM('Desempeño profesional'!L50:AD50)</f>
        <v>0</v>
      </c>
      <c r="E49" t="str">
        <f>IF(D49&lt;=$AE$19,"Deficiente",IF(D49&lt;=$AE$20,"Regular",IF(D49&lt;=$AE$21,"Eficiente",0)))</f>
        <v>0</v>
      </c>
      <c r="F49" t="str">
        <f>SUM('Desempeño profesional'!AE50:AJ50)</f>
        <v>0</v>
      </c>
      <c r="G49" t="str">
        <f>IF(F49&lt;=$AQ$19,"Deficiente",IF(F49&lt;=$AQ$20,"Regular",IF(F49&lt;=$AQ$21,"Eficiente",0)))</f>
        <v>0</v>
      </c>
      <c r="H49" t="str">
        <f>SUM('Desempeño profesional'!AK50:AO50)</f>
        <v>0</v>
      </c>
      <c r="I49" t="str">
        <f>IF(H49&lt;=$BC$19,"Deficiente",IF(H49&lt;=$BC$20,"Regular",IF(H49&lt;=$BC$21,"Eficiente",0)))</f>
        <v>0</v>
      </c>
      <c r="J49" t="str">
        <f>SUM(B49:H49)</f>
        <v>0</v>
      </c>
      <c r="K49" t="str">
        <f>IF(J49&lt;=$BO$19,"Deficiente",IF(J49&lt;=$BO$20,"Regular",IF(J49&lt;=$BO$21,"Eficiente",0)))</f>
        <v>0</v>
      </c>
    </row>
    <row r="50" spans="1:75">
      <c r="A50" t="s">
        <v>76</v>
      </c>
      <c r="B50" t="str">
        <f>SUM('Desempeño profesional'!B51:K51)</f>
        <v>0</v>
      </c>
      <c r="C50" t="str">
        <f>IF(B50&lt;=$S$19,"Deficiente",IF(B50&lt;=$S$20,"Regular",IF(B50&lt;=$S$21,"Eficiente",0)))</f>
        <v>0</v>
      </c>
      <c r="D50" t="str">
        <f>SUM('Desempeño profesional'!L51:AD51)</f>
        <v>0</v>
      </c>
      <c r="E50" t="str">
        <f>IF(D50&lt;=$AE$19,"Deficiente",IF(D50&lt;=$AE$20,"Regular",IF(D50&lt;=$AE$21,"Eficiente",0)))</f>
        <v>0</v>
      </c>
      <c r="F50" t="str">
        <f>SUM('Desempeño profesional'!AE51:AJ51)</f>
        <v>0</v>
      </c>
      <c r="G50" t="str">
        <f>IF(F50&lt;=$AQ$19,"Deficiente",IF(F50&lt;=$AQ$20,"Regular",IF(F50&lt;=$AQ$21,"Eficiente",0)))</f>
        <v>0</v>
      </c>
      <c r="H50" t="str">
        <f>SUM('Desempeño profesional'!AK51:AO51)</f>
        <v>0</v>
      </c>
      <c r="I50" t="str">
        <f>IF(H50&lt;=$BC$19,"Deficiente",IF(H50&lt;=$BC$20,"Regular",IF(H50&lt;=$BC$21,"Eficiente",0)))</f>
        <v>0</v>
      </c>
      <c r="J50" t="str">
        <f>SUM(B50:H50)</f>
        <v>0</v>
      </c>
      <c r="K50" t="str">
        <f>IF(J50&lt;=$BO$19,"Deficiente",IF(J50&lt;=$BO$20,"Regular",IF(J50&lt;=$BO$21,"Eficiente",0)))</f>
        <v>0</v>
      </c>
    </row>
    <row r="51" spans="1:75">
      <c r="A51" t="s">
        <v>77</v>
      </c>
      <c r="B51" t="str">
        <f>SUM('Desempeño profesional'!B52:K52)</f>
        <v>0</v>
      </c>
      <c r="C51" t="str">
        <f>IF(B51&lt;=$S$19,"Deficiente",IF(B51&lt;=$S$20,"Regular",IF(B51&lt;=$S$21,"Eficiente",0)))</f>
        <v>0</v>
      </c>
      <c r="D51" t="str">
        <f>SUM('Desempeño profesional'!L52:AD52)</f>
        <v>0</v>
      </c>
      <c r="E51" t="str">
        <f>IF(D51&lt;=$AE$19,"Deficiente",IF(D51&lt;=$AE$20,"Regular",IF(D51&lt;=$AE$21,"Eficiente",0)))</f>
        <v>0</v>
      </c>
      <c r="F51" t="str">
        <f>SUM('Desempeño profesional'!AE52:AJ52)</f>
        <v>0</v>
      </c>
      <c r="G51" t="str">
        <f>IF(F51&lt;=$AQ$19,"Deficiente",IF(F51&lt;=$AQ$20,"Regular",IF(F51&lt;=$AQ$21,"Eficiente",0)))</f>
        <v>0</v>
      </c>
      <c r="H51" t="str">
        <f>SUM('Desempeño profesional'!AK52:AO52)</f>
        <v>0</v>
      </c>
      <c r="I51" t="str">
        <f>IF(H51&lt;=$BC$19,"Deficiente",IF(H51&lt;=$BC$20,"Regular",IF(H51&lt;=$BC$21,"Eficiente",0)))</f>
        <v>0</v>
      </c>
      <c r="J51" t="str">
        <f>SUM(B51:H51)</f>
        <v>0</v>
      </c>
      <c r="K51" t="str">
        <f>IF(J51&lt;=$BO$19,"Deficiente",IF(J51&lt;=$BO$20,"Regular",IF(J51&lt;=$BO$21,"Eficiente",0)))</f>
        <v>0</v>
      </c>
    </row>
    <row r="52" spans="1:75">
      <c r="A52" t="s">
        <v>78</v>
      </c>
      <c r="B52" t="str">
        <f>SUM('Desempeño profesional'!B53:K53)</f>
        <v>0</v>
      </c>
      <c r="C52" t="str">
        <f>IF(B52&lt;=$S$19,"Deficiente",IF(B52&lt;=$S$20,"Regular",IF(B52&lt;=$S$21,"Eficiente",0)))</f>
        <v>0</v>
      </c>
      <c r="D52" t="str">
        <f>SUM('Desempeño profesional'!L53:AD53)</f>
        <v>0</v>
      </c>
      <c r="E52" t="str">
        <f>IF(D52&lt;=$AE$19,"Deficiente",IF(D52&lt;=$AE$20,"Regular",IF(D52&lt;=$AE$21,"Eficiente",0)))</f>
        <v>0</v>
      </c>
      <c r="F52" t="str">
        <f>SUM('Desempeño profesional'!AE53:AJ53)</f>
        <v>0</v>
      </c>
      <c r="G52" t="str">
        <f>IF(F52&lt;=$AQ$19,"Deficiente",IF(F52&lt;=$AQ$20,"Regular",IF(F52&lt;=$AQ$21,"Eficiente",0)))</f>
        <v>0</v>
      </c>
      <c r="H52" t="str">
        <f>SUM('Desempeño profesional'!AK53:AO53)</f>
        <v>0</v>
      </c>
      <c r="I52" t="str">
        <f>IF(H52&lt;=$BC$19,"Deficiente",IF(H52&lt;=$BC$20,"Regular",IF(H52&lt;=$BC$21,"Eficiente",0)))</f>
        <v>0</v>
      </c>
      <c r="J52" t="str">
        <f>SUM(B52:H52)</f>
        <v>0</v>
      </c>
      <c r="K52" t="str">
        <f>IF(J52&lt;=$BO$19,"Deficiente",IF(J52&lt;=$BO$20,"Regular",IF(J52&lt;=$BO$21,"Eficiente",0)))</f>
        <v>0</v>
      </c>
    </row>
    <row r="53" spans="1:75">
      <c r="A53" t="s">
        <v>79</v>
      </c>
      <c r="B53" t="str">
        <f>SUM('Desempeño profesional'!B54:K54)</f>
        <v>0</v>
      </c>
      <c r="C53" t="str">
        <f>IF(B53&lt;=$S$19,"Deficiente",IF(B53&lt;=$S$20,"Regular",IF(B53&lt;=$S$21,"Eficiente",0)))</f>
        <v>0</v>
      </c>
      <c r="D53" t="str">
        <f>SUM('Desempeño profesional'!L54:AD54)</f>
        <v>0</v>
      </c>
      <c r="E53" t="str">
        <f>IF(D53&lt;=$AE$19,"Deficiente",IF(D53&lt;=$AE$20,"Regular",IF(D53&lt;=$AE$21,"Eficiente",0)))</f>
        <v>0</v>
      </c>
      <c r="F53" t="str">
        <f>SUM('Desempeño profesional'!AE54:AJ54)</f>
        <v>0</v>
      </c>
      <c r="G53" t="str">
        <f>IF(F53&lt;=$AQ$19,"Deficiente",IF(F53&lt;=$AQ$20,"Regular",IF(F53&lt;=$AQ$21,"Eficiente",0)))</f>
        <v>0</v>
      </c>
      <c r="H53" t="str">
        <f>SUM('Desempeño profesional'!AK54:AO54)</f>
        <v>0</v>
      </c>
      <c r="I53" t="str">
        <f>IF(H53&lt;=$BC$19,"Deficiente",IF(H53&lt;=$BC$20,"Regular",IF(H53&lt;=$BC$21,"Eficiente",0)))</f>
        <v>0</v>
      </c>
      <c r="J53" t="str">
        <f>SUM(B53:H53)</f>
        <v>0</v>
      </c>
      <c r="K53" t="str">
        <f>IF(J53&lt;=$BO$19,"Deficiente",IF(J53&lt;=$BO$20,"Regular",IF(J53&lt;=$BO$21,"Eficiente",0)))</f>
        <v>0</v>
      </c>
    </row>
    <row r="54" spans="1:75">
      <c r="A54" t="s">
        <v>80</v>
      </c>
      <c r="B54" t="str">
        <f>SUM('Desempeño profesional'!B55:K55)</f>
        <v>0</v>
      </c>
      <c r="C54" t="str">
        <f>IF(B54&lt;=$S$19,"Deficiente",IF(B54&lt;=$S$20,"Regular",IF(B54&lt;=$S$21,"Eficiente",0)))</f>
        <v>0</v>
      </c>
      <c r="D54" t="str">
        <f>SUM('Desempeño profesional'!L55:AD55)</f>
        <v>0</v>
      </c>
      <c r="E54" t="str">
        <f>IF(D54&lt;=$AE$19,"Deficiente",IF(D54&lt;=$AE$20,"Regular",IF(D54&lt;=$AE$21,"Eficiente",0)))</f>
        <v>0</v>
      </c>
      <c r="F54" t="str">
        <f>SUM('Desempeño profesional'!AE55:AJ55)</f>
        <v>0</v>
      </c>
      <c r="G54" t="str">
        <f>IF(F54&lt;=$AQ$19,"Deficiente",IF(F54&lt;=$AQ$20,"Regular",IF(F54&lt;=$AQ$21,"Eficiente",0)))</f>
        <v>0</v>
      </c>
      <c r="H54" t="str">
        <f>SUM('Desempeño profesional'!AK55:AO55)</f>
        <v>0</v>
      </c>
      <c r="I54" t="str">
        <f>IF(H54&lt;=$BC$19,"Deficiente",IF(H54&lt;=$BC$20,"Regular",IF(H54&lt;=$BC$21,"Eficiente",0)))</f>
        <v>0</v>
      </c>
      <c r="J54" t="str">
        <f>SUM(B54:H54)</f>
        <v>0</v>
      </c>
      <c r="K54" t="str">
        <f>IF(J54&lt;=$BO$19,"Deficiente",IF(J54&lt;=$BO$20,"Regular",IF(J54&lt;=$BO$21,"Eficiente",0)))</f>
        <v>0</v>
      </c>
    </row>
    <row r="55" spans="1:75">
      <c r="A55" t="s">
        <v>81</v>
      </c>
      <c r="B55" t="str">
        <f>SUM('Desempeño profesional'!B56:K56)</f>
        <v>0</v>
      </c>
      <c r="C55" t="str">
        <f>IF(B55&lt;=$S$19,"Deficiente",IF(B55&lt;=$S$20,"Regular",IF(B55&lt;=$S$21,"Eficiente",0)))</f>
        <v>0</v>
      </c>
      <c r="D55" t="str">
        <f>SUM('Desempeño profesional'!L56:AD56)</f>
        <v>0</v>
      </c>
      <c r="E55" t="str">
        <f>IF(D55&lt;=$AE$19,"Deficiente",IF(D55&lt;=$AE$20,"Regular",IF(D55&lt;=$AE$21,"Eficiente",0)))</f>
        <v>0</v>
      </c>
      <c r="F55" t="str">
        <f>SUM('Desempeño profesional'!AE56:AJ56)</f>
        <v>0</v>
      </c>
      <c r="G55" t="str">
        <f>IF(F55&lt;=$AQ$19,"Deficiente",IF(F55&lt;=$AQ$20,"Regular",IF(F55&lt;=$AQ$21,"Eficiente",0)))</f>
        <v>0</v>
      </c>
      <c r="H55" t="str">
        <f>SUM('Desempeño profesional'!AK56:AO56)</f>
        <v>0</v>
      </c>
      <c r="I55" t="str">
        <f>IF(H55&lt;=$BC$19,"Deficiente",IF(H55&lt;=$BC$20,"Regular",IF(H55&lt;=$BC$21,"Eficiente",0)))</f>
        <v>0</v>
      </c>
      <c r="J55" t="str">
        <f>SUM(B55:H55)</f>
        <v>0</v>
      </c>
      <c r="K55" t="str">
        <f>IF(J55&lt;=$BO$19,"Deficiente",IF(J55&lt;=$BO$20,"Regular",IF(J55&lt;=$BO$21,"Eficiente",0)))</f>
        <v>0</v>
      </c>
    </row>
    <row r="56" spans="1:75">
      <c r="A56" t="s">
        <v>82</v>
      </c>
      <c r="B56" t="str">
        <f>SUM('Desempeño profesional'!B57:K57)</f>
        <v>0</v>
      </c>
      <c r="C56" t="str">
        <f>IF(B56&lt;=$S$19,"Deficiente",IF(B56&lt;=$S$20,"Regular",IF(B56&lt;=$S$21,"Eficiente",0)))</f>
        <v>0</v>
      </c>
      <c r="D56" t="str">
        <f>SUM('Desempeño profesional'!L57:AD57)</f>
        <v>0</v>
      </c>
      <c r="E56" t="str">
        <f>IF(D56&lt;=$AE$19,"Deficiente",IF(D56&lt;=$AE$20,"Regular",IF(D56&lt;=$AE$21,"Eficiente",0)))</f>
        <v>0</v>
      </c>
      <c r="F56" t="str">
        <f>SUM('Desempeño profesional'!AE57:AJ57)</f>
        <v>0</v>
      </c>
      <c r="G56" t="str">
        <f>IF(F56&lt;=$AQ$19,"Deficiente",IF(F56&lt;=$AQ$20,"Regular",IF(F56&lt;=$AQ$21,"Eficiente",0)))</f>
        <v>0</v>
      </c>
      <c r="H56" t="str">
        <f>SUM('Desempeño profesional'!AK57:AO57)</f>
        <v>0</v>
      </c>
      <c r="I56" t="str">
        <f>IF(H56&lt;=$BC$19,"Deficiente",IF(H56&lt;=$BC$20,"Regular",IF(H56&lt;=$BC$21,"Eficiente",0)))</f>
        <v>0</v>
      </c>
      <c r="J56" t="str">
        <f>SUM(B56:H56)</f>
        <v>0</v>
      </c>
      <c r="K56" t="str">
        <f>IF(J56&lt;=$BO$19,"Deficiente",IF(J56&lt;=$BO$20,"Regular",IF(J56&lt;=$BO$21,"Eficiente",0)))</f>
        <v>0</v>
      </c>
    </row>
    <row r="57" spans="1:75">
      <c r="A57" t="s">
        <v>83</v>
      </c>
      <c r="B57" t="str">
        <f>SUM('Desempeño profesional'!B58:K58)</f>
        <v>0</v>
      </c>
      <c r="C57" t="str">
        <f>IF(B57&lt;=$S$19,"Deficiente",IF(B57&lt;=$S$20,"Regular",IF(B57&lt;=$S$21,"Eficiente",0)))</f>
        <v>0</v>
      </c>
      <c r="D57" t="str">
        <f>SUM('Desempeño profesional'!L58:AD58)</f>
        <v>0</v>
      </c>
      <c r="E57" t="str">
        <f>IF(D57&lt;=$AE$19,"Deficiente",IF(D57&lt;=$AE$20,"Regular",IF(D57&lt;=$AE$21,"Eficiente",0)))</f>
        <v>0</v>
      </c>
      <c r="F57" t="str">
        <f>SUM('Desempeño profesional'!AE58:AJ58)</f>
        <v>0</v>
      </c>
      <c r="G57" t="str">
        <f>IF(F57&lt;=$AQ$19,"Deficiente",IF(F57&lt;=$AQ$20,"Regular",IF(F57&lt;=$AQ$21,"Eficiente",0)))</f>
        <v>0</v>
      </c>
      <c r="H57" t="str">
        <f>SUM('Desempeño profesional'!AK58:AO58)</f>
        <v>0</v>
      </c>
      <c r="I57" t="str">
        <f>IF(H57&lt;=$BC$19,"Deficiente",IF(H57&lt;=$BC$20,"Regular",IF(H57&lt;=$BC$21,"Eficiente",0)))</f>
        <v>0</v>
      </c>
      <c r="J57" t="str">
        <f>SUM(B57:H57)</f>
        <v>0</v>
      </c>
      <c r="K57" t="str">
        <f>IF(J57&lt;=$BO$19,"Deficiente",IF(J57&lt;=$BO$20,"Regular",IF(J57&lt;=$BO$21,"Eficiente",0)))</f>
        <v>0</v>
      </c>
    </row>
    <row r="58" spans="1:75">
      <c r="A58" t="s">
        <v>84</v>
      </c>
      <c r="B58" t="str">
        <f>SUM('Desempeño profesional'!B59:K59)</f>
        <v>0</v>
      </c>
      <c r="C58" t="str">
        <f>IF(B58&lt;=$S$19,"Deficiente",IF(B58&lt;=$S$20,"Regular",IF(B58&lt;=$S$21,"Eficiente",0)))</f>
        <v>0</v>
      </c>
      <c r="D58" t="str">
        <f>SUM('Desempeño profesional'!L59:AD59)</f>
        <v>0</v>
      </c>
      <c r="E58" t="str">
        <f>IF(D58&lt;=$AE$19,"Deficiente",IF(D58&lt;=$AE$20,"Regular",IF(D58&lt;=$AE$21,"Eficiente",0)))</f>
        <v>0</v>
      </c>
      <c r="F58" t="str">
        <f>SUM('Desempeño profesional'!AE59:AJ59)</f>
        <v>0</v>
      </c>
      <c r="G58" t="str">
        <f>IF(F58&lt;=$AQ$19,"Deficiente",IF(F58&lt;=$AQ$20,"Regular",IF(F58&lt;=$AQ$21,"Eficiente",0)))</f>
        <v>0</v>
      </c>
      <c r="H58" t="str">
        <f>SUM('Desempeño profesional'!AK59:AO59)</f>
        <v>0</v>
      </c>
      <c r="I58" t="str">
        <f>IF(H58&lt;=$BC$19,"Deficiente",IF(H58&lt;=$BC$20,"Regular",IF(H58&lt;=$BC$21,"Eficiente",0)))</f>
        <v>0</v>
      </c>
      <c r="J58" t="str">
        <f>SUM(B58:H58)</f>
        <v>0</v>
      </c>
      <c r="K58" t="str">
        <f>IF(J58&lt;=$BO$19,"Deficiente",IF(J58&lt;=$BO$20,"Regular",IF(J58&lt;=$BO$21,"Eficiente",0)))</f>
        <v>0</v>
      </c>
    </row>
    <row r="59" spans="1:75">
      <c r="A59" t="s">
        <v>85</v>
      </c>
      <c r="B59" t="str">
        <f>SUM('Desempeño profesional'!B60:K60)</f>
        <v>0</v>
      </c>
      <c r="C59" t="str">
        <f>IF(B59&lt;=$S$19,"Deficiente",IF(B59&lt;=$S$20,"Regular",IF(B59&lt;=$S$21,"Eficiente",0)))</f>
        <v>0</v>
      </c>
      <c r="D59" t="str">
        <f>SUM('Desempeño profesional'!L60:AD60)</f>
        <v>0</v>
      </c>
      <c r="E59" t="str">
        <f>IF(D59&lt;=$AE$19,"Deficiente",IF(D59&lt;=$AE$20,"Regular",IF(D59&lt;=$AE$21,"Eficiente",0)))</f>
        <v>0</v>
      </c>
      <c r="F59" t="str">
        <f>SUM('Desempeño profesional'!AE60:AJ60)</f>
        <v>0</v>
      </c>
      <c r="G59" t="str">
        <f>IF(F59&lt;=$AQ$19,"Deficiente",IF(F59&lt;=$AQ$20,"Regular",IF(F59&lt;=$AQ$21,"Eficiente",0)))</f>
        <v>0</v>
      </c>
      <c r="H59" t="str">
        <f>SUM('Desempeño profesional'!AK60:AO60)</f>
        <v>0</v>
      </c>
      <c r="I59" t="str">
        <f>IF(H59&lt;=$BC$19,"Deficiente",IF(H59&lt;=$BC$20,"Regular",IF(H59&lt;=$BC$21,"Eficiente",0)))</f>
        <v>0</v>
      </c>
      <c r="J59" t="str">
        <f>SUM(B59:H59)</f>
        <v>0</v>
      </c>
      <c r="K59" t="str">
        <f>IF(J59&lt;=$BO$19,"Deficiente",IF(J59&lt;=$BO$20,"Regular",IF(J59&lt;=$BO$21,"Eficiente",0)))</f>
        <v>0</v>
      </c>
    </row>
    <row r="60" spans="1:75">
      <c r="A60" t="s">
        <v>86</v>
      </c>
      <c r="B60" t="str">
        <f>SUM('Desempeño profesional'!B61:K61)</f>
        <v>0</v>
      </c>
      <c r="C60" t="str">
        <f>IF(B60&lt;=$S$19,"Deficiente",IF(B60&lt;=$S$20,"Regular",IF(B60&lt;=$S$21,"Eficiente",0)))</f>
        <v>0</v>
      </c>
      <c r="D60" t="str">
        <f>SUM('Desempeño profesional'!L61:AD61)</f>
        <v>0</v>
      </c>
      <c r="E60" t="str">
        <f>IF(D60&lt;=$AE$19,"Deficiente",IF(D60&lt;=$AE$20,"Regular",IF(D60&lt;=$AE$21,"Eficiente",0)))</f>
        <v>0</v>
      </c>
      <c r="F60" t="str">
        <f>SUM('Desempeño profesional'!AE61:AJ61)</f>
        <v>0</v>
      </c>
      <c r="G60" t="str">
        <f>IF(F60&lt;=$AQ$19,"Deficiente",IF(F60&lt;=$AQ$20,"Regular",IF(F60&lt;=$AQ$21,"Eficiente",0)))</f>
        <v>0</v>
      </c>
      <c r="H60" t="str">
        <f>SUM('Desempeño profesional'!AK61:AO61)</f>
        <v>0</v>
      </c>
      <c r="I60" t="str">
        <f>IF(H60&lt;=$BC$19,"Deficiente",IF(H60&lt;=$BC$20,"Regular",IF(H60&lt;=$BC$21,"Eficiente",0)))</f>
        <v>0</v>
      </c>
      <c r="J60" t="str">
        <f>SUM(B60:H60)</f>
        <v>0</v>
      </c>
      <c r="K60" t="str">
        <f>IF(J60&lt;=$BO$19,"Deficiente",IF(J60&lt;=$BO$20,"Regular",IF(J60&lt;=$BO$21,"Eficiente",0)))</f>
        <v>0</v>
      </c>
    </row>
    <row r="61" spans="1:75">
      <c r="A61" t="s">
        <v>87</v>
      </c>
      <c r="B61" t="str">
        <f>SUM('Desempeño profesional'!B62:K62)</f>
        <v>0</v>
      </c>
      <c r="C61" t="str">
        <f>IF(B61&lt;=$S$19,"Deficiente",IF(B61&lt;=$S$20,"Regular",IF(B61&lt;=$S$21,"Eficiente",0)))</f>
        <v>0</v>
      </c>
      <c r="D61" t="str">
        <f>SUM('Desempeño profesional'!L62:AD62)</f>
        <v>0</v>
      </c>
      <c r="E61" t="str">
        <f>IF(D61&lt;=$AE$19,"Deficiente",IF(D61&lt;=$AE$20,"Regular",IF(D61&lt;=$AE$21,"Eficiente",0)))</f>
        <v>0</v>
      </c>
      <c r="F61" t="str">
        <f>SUM('Desempeño profesional'!AE62:AJ62)</f>
        <v>0</v>
      </c>
      <c r="G61" t="str">
        <f>IF(F61&lt;=$AQ$19,"Deficiente",IF(F61&lt;=$AQ$20,"Regular",IF(F61&lt;=$AQ$21,"Eficiente",0)))</f>
        <v>0</v>
      </c>
      <c r="H61" t="str">
        <f>SUM('Desempeño profesional'!AK62:AO62)</f>
        <v>0</v>
      </c>
      <c r="I61" t="str">
        <f>IF(H61&lt;=$BC$19,"Deficiente",IF(H61&lt;=$BC$20,"Regular",IF(H61&lt;=$BC$21,"Eficiente",0)))</f>
        <v>0</v>
      </c>
      <c r="J61" t="str">
        <f>SUM(B61:H61)</f>
        <v>0</v>
      </c>
      <c r="K61" t="str">
        <f>IF(J61&lt;=$BO$19,"Deficiente",IF(J61&lt;=$BO$20,"Regular",IF(J61&lt;=$BO$21,"Eficiente",0)))</f>
        <v>0</v>
      </c>
    </row>
    <row r="62" spans="1:75">
      <c r="A62" t="s">
        <v>88</v>
      </c>
      <c r="B62" t="str">
        <f>SUM('Desempeño profesional'!B63:K63)</f>
        <v>0</v>
      </c>
      <c r="C62" t="str">
        <f>IF(B62&lt;=$S$19,"Deficiente",IF(B62&lt;=$S$20,"Regular",IF(B62&lt;=$S$21,"Eficiente",0)))</f>
        <v>0</v>
      </c>
      <c r="D62" t="str">
        <f>SUM('Desempeño profesional'!L63:AD63)</f>
        <v>0</v>
      </c>
      <c r="E62" t="str">
        <f>IF(D62&lt;=$AE$19,"Deficiente",IF(D62&lt;=$AE$20,"Regular",IF(D62&lt;=$AE$21,"Eficiente",0)))</f>
        <v>0</v>
      </c>
      <c r="F62" t="str">
        <f>SUM('Desempeño profesional'!AE63:AJ63)</f>
        <v>0</v>
      </c>
      <c r="G62" t="str">
        <f>IF(F62&lt;=$AQ$19,"Deficiente",IF(F62&lt;=$AQ$20,"Regular",IF(F62&lt;=$AQ$21,"Eficiente",0)))</f>
        <v>0</v>
      </c>
      <c r="H62" t="str">
        <f>SUM('Desempeño profesional'!AK63:AO63)</f>
        <v>0</v>
      </c>
      <c r="I62" t="str">
        <f>IF(H62&lt;=$BC$19,"Deficiente",IF(H62&lt;=$BC$20,"Regular",IF(H62&lt;=$BC$21,"Eficiente",0)))</f>
        <v>0</v>
      </c>
      <c r="J62" t="str">
        <f>SUM(B62:H62)</f>
        <v>0</v>
      </c>
      <c r="K62" t="str">
        <f>IF(J62&lt;=$BO$19,"Deficiente",IF(J62&lt;=$BO$20,"Regular",IF(J62&lt;=$BO$21,"Eficiente",0)))</f>
        <v>0</v>
      </c>
    </row>
    <row r="63" spans="1:75">
      <c r="A63" t="s">
        <v>89</v>
      </c>
      <c r="B63" t="str">
        <f>SUM('Desempeño profesional'!B64:K64)</f>
        <v>0</v>
      </c>
      <c r="C63" t="str">
        <f>IF(B63&lt;=$S$19,"Deficiente",IF(B63&lt;=$S$20,"Regular",IF(B63&lt;=$S$21,"Eficiente",0)))</f>
        <v>0</v>
      </c>
      <c r="D63" t="str">
        <f>SUM('Desempeño profesional'!L64:AD64)</f>
        <v>0</v>
      </c>
      <c r="E63" t="str">
        <f>IF(D63&lt;=$AE$19,"Deficiente",IF(D63&lt;=$AE$20,"Regular",IF(D63&lt;=$AE$21,"Eficiente",0)))</f>
        <v>0</v>
      </c>
      <c r="F63" t="str">
        <f>SUM('Desempeño profesional'!AE64:AJ64)</f>
        <v>0</v>
      </c>
      <c r="G63" t="str">
        <f>IF(F63&lt;=$AQ$19,"Deficiente",IF(F63&lt;=$AQ$20,"Regular",IF(F63&lt;=$AQ$21,"Eficiente",0)))</f>
        <v>0</v>
      </c>
      <c r="H63" t="str">
        <f>SUM('Desempeño profesional'!AK64:AO64)</f>
        <v>0</v>
      </c>
      <c r="I63" t="str">
        <f>IF(H63&lt;=$BC$19,"Deficiente",IF(H63&lt;=$BC$20,"Regular",IF(H63&lt;=$BC$21,"Eficiente",0)))</f>
        <v>0</v>
      </c>
      <c r="J63" t="str">
        <f>SUM(B63:H63)</f>
        <v>0</v>
      </c>
      <c r="K63" t="str">
        <f>IF(J63&lt;=$BO$19,"Deficiente",IF(J63&lt;=$BO$20,"Regular",IF(J63&lt;=$BO$21,"Eficiente",0)))</f>
        <v>0</v>
      </c>
    </row>
    <row r="64" spans="1:75">
      <c r="A64" t="s">
        <v>90</v>
      </c>
      <c r="B64" t="str">
        <f>SUM('Desempeño profesional'!B65:K65)</f>
        <v>0</v>
      </c>
      <c r="C64" t="str">
        <f>IF(B64&lt;=$S$19,"Deficiente",IF(B64&lt;=$S$20,"Regular",IF(B64&lt;=$S$21,"Eficiente",0)))</f>
        <v>0</v>
      </c>
      <c r="D64" t="str">
        <f>SUM('Desempeño profesional'!L65:AD65)</f>
        <v>0</v>
      </c>
      <c r="E64" t="str">
        <f>IF(D64&lt;=$AE$19,"Deficiente",IF(D64&lt;=$AE$20,"Regular",IF(D64&lt;=$AE$21,"Eficiente",0)))</f>
        <v>0</v>
      </c>
      <c r="F64" t="str">
        <f>SUM('Desempeño profesional'!AE65:AJ65)</f>
        <v>0</v>
      </c>
      <c r="G64" t="str">
        <f>IF(F64&lt;=$AQ$19,"Deficiente",IF(F64&lt;=$AQ$20,"Regular",IF(F64&lt;=$AQ$21,"Eficiente",0)))</f>
        <v>0</v>
      </c>
      <c r="H64" t="str">
        <f>SUM('Desempeño profesional'!AK65:AO65)</f>
        <v>0</v>
      </c>
      <c r="I64" t="str">
        <f>IF(H64&lt;=$BC$19,"Deficiente",IF(H64&lt;=$BC$20,"Regular",IF(H64&lt;=$BC$21,"Eficiente",0)))</f>
        <v>0</v>
      </c>
      <c r="J64" t="str">
        <f>SUM(B64:H64)</f>
        <v>0</v>
      </c>
      <c r="K64" t="str">
        <f>IF(J64&lt;=$BO$19,"Deficiente",IF(J64&lt;=$BO$20,"Regular",IF(J64&lt;=$BO$21,"Eficiente",0)))</f>
        <v>0</v>
      </c>
    </row>
    <row r="65" spans="1:75">
      <c r="A65" t="s">
        <v>91</v>
      </c>
      <c r="B65" t="str">
        <f>SUM('Desempeño profesional'!B66:K66)</f>
        <v>0</v>
      </c>
      <c r="C65" t="str">
        <f>IF(B65&lt;=$S$19,"Deficiente",IF(B65&lt;=$S$20,"Regular",IF(B65&lt;=$S$21,"Eficiente",0)))</f>
        <v>0</v>
      </c>
      <c r="D65" t="str">
        <f>SUM('Desempeño profesional'!L66:AD66)</f>
        <v>0</v>
      </c>
      <c r="E65" t="str">
        <f>IF(D65&lt;=$AE$19,"Deficiente",IF(D65&lt;=$AE$20,"Regular",IF(D65&lt;=$AE$21,"Eficiente",0)))</f>
        <v>0</v>
      </c>
      <c r="F65" t="str">
        <f>SUM('Desempeño profesional'!AE66:AJ66)</f>
        <v>0</v>
      </c>
      <c r="G65" t="str">
        <f>IF(F65&lt;=$AQ$19,"Deficiente",IF(F65&lt;=$AQ$20,"Regular",IF(F65&lt;=$AQ$21,"Eficiente",0)))</f>
        <v>0</v>
      </c>
      <c r="H65" t="str">
        <f>SUM('Desempeño profesional'!AK66:AO66)</f>
        <v>0</v>
      </c>
      <c r="I65" t="str">
        <f>IF(H65&lt;=$BC$19,"Deficiente",IF(H65&lt;=$BC$20,"Regular",IF(H65&lt;=$BC$21,"Eficiente",0)))</f>
        <v>0</v>
      </c>
      <c r="J65" t="str">
        <f>SUM(B65:H65)</f>
        <v>0</v>
      </c>
      <c r="K65" t="str">
        <f>IF(J65&lt;=$BO$19,"Deficiente",IF(J65&lt;=$BO$20,"Regular",IF(J65&lt;=$BO$21,"Eficiente",0)))</f>
        <v>0</v>
      </c>
    </row>
    <row r="66" spans="1:75">
      <c r="A66" t="s">
        <v>92</v>
      </c>
      <c r="B66" t="str">
        <f>SUM('Desempeño profesional'!B67:K67)</f>
        <v>0</v>
      </c>
      <c r="C66" t="str">
        <f>IF(B66&lt;=$S$19,"Deficiente",IF(B66&lt;=$S$20,"Regular",IF(B66&lt;=$S$21,"Eficiente",0)))</f>
        <v>0</v>
      </c>
      <c r="D66" t="str">
        <f>SUM('Desempeño profesional'!L67:AD67)</f>
        <v>0</v>
      </c>
      <c r="E66" t="str">
        <f>IF(D66&lt;=$AE$19,"Deficiente",IF(D66&lt;=$AE$20,"Regular",IF(D66&lt;=$AE$21,"Eficiente",0)))</f>
        <v>0</v>
      </c>
      <c r="F66" t="str">
        <f>SUM('Desempeño profesional'!AE67:AJ67)</f>
        <v>0</v>
      </c>
      <c r="G66" t="str">
        <f>IF(F66&lt;=$AQ$19,"Deficiente",IF(F66&lt;=$AQ$20,"Regular",IF(F66&lt;=$AQ$21,"Eficiente",0)))</f>
        <v>0</v>
      </c>
      <c r="H66" t="str">
        <f>SUM('Desempeño profesional'!AK67:AO67)</f>
        <v>0</v>
      </c>
      <c r="I66" t="str">
        <f>IF(H66&lt;=$BC$19,"Deficiente",IF(H66&lt;=$BC$20,"Regular",IF(H66&lt;=$BC$21,"Eficiente",0)))</f>
        <v>0</v>
      </c>
      <c r="J66" t="str">
        <f>SUM(B66:H66)</f>
        <v>0</v>
      </c>
      <c r="K66" t="str">
        <f>IF(J66&lt;=$BO$19,"Deficiente",IF(J66&lt;=$BO$20,"Regular",IF(J66&lt;=$BO$21,"Eficiente",0)))</f>
        <v>0</v>
      </c>
    </row>
    <row r="67" spans="1:75">
      <c r="A67" t="s">
        <v>93</v>
      </c>
      <c r="B67" t="str">
        <f>SUM('Desempeño profesional'!B68:K68)</f>
        <v>0</v>
      </c>
      <c r="C67" t="str">
        <f>IF(B67&lt;=$S$19,"Deficiente",IF(B67&lt;=$S$20,"Regular",IF(B67&lt;=$S$21,"Eficiente",0)))</f>
        <v>0</v>
      </c>
      <c r="D67" t="str">
        <f>SUM('Desempeño profesional'!L68:AD68)</f>
        <v>0</v>
      </c>
      <c r="E67" t="str">
        <f>IF(D67&lt;=$AE$19,"Deficiente",IF(D67&lt;=$AE$20,"Regular",IF(D67&lt;=$AE$21,"Eficiente",0)))</f>
        <v>0</v>
      </c>
      <c r="F67" t="str">
        <f>SUM('Desempeño profesional'!AE68:AJ68)</f>
        <v>0</v>
      </c>
      <c r="G67" t="str">
        <f>IF(F67&lt;=$AQ$19,"Deficiente",IF(F67&lt;=$AQ$20,"Regular",IF(F67&lt;=$AQ$21,"Eficiente",0)))</f>
        <v>0</v>
      </c>
      <c r="H67" t="str">
        <f>SUM('Desempeño profesional'!AK68:AO68)</f>
        <v>0</v>
      </c>
      <c r="I67" t="str">
        <f>IF(H67&lt;=$BC$19,"Deficiente",IF(H67&lt;=$BC$20,"Regular",IF(H67&lt;=$BC$21,"Eficiente",0)))</f>
        <v>0</v>
      </c>
      <c r="J67" t="str">
        <f>SUM(B67:H67)</f>
        <v>0</v>
      </c>
      <c r="K67" t="str">
        <f>IF(J67&lt;=$BO$19,"Deficiente",IF(J67&lt;=$BO$20,"Regular",IF(J67&lt;=$BO$21,"Eficiente",0)))</f>
        <v>0</v>
      </c>
    </row>
    <row r="68" spans="1:75">
      <c r="A68" t="s">
        <v>94</v>
      </c>
      <c r="B68" t="str">
        <f>SUM('Desempeño profesional'!B69:K69)</f>
        <v>0</v>
      </c>
      <c r="C68" t="str">
        <f>IF(B68&lt;=$S$19,"Deficiente",IF(B68&lt;=$S$20,"Regular",IF(B68&lt;=$S$21,"Eficiente",0)))</f>
        <v>0</v>
      </c>
      <c r="D68" t="str">
        <f>SUM('Desempeño profesional'!L69:AD69)</f>
        <v>0</v>
      </c>
      <c r="E68" t="str">
        <f>IF(D68&lt;=$AE$19,"Deficiente",IF(D68&lt;=$AE$20,"Regular",IF(D68&lt;=$AE$21,"Eficiente",0)))</f>
        <v>0</v>
      </c>
      <c r="F68" t="str">
        <f>SUM('Desempeño profesional'!AE69:AJ69)</f>
        <v>0</v>
      </c>
      <c r="G68" t="str">
        <f>IF(F68&lt;=$AQ$19,"Deficiente",IF(F68&lt;=$AQ$20,"Regular",IF(F68&lt;=$AQ$21,"Eficiente",0)))</f>
        <v>0</v>
      </c>
      <c r="H68" t="str">
        <f>SUM('Desempeño profesional'!AK69:AO69)</f>
        <v>0</v>
      </c>
      <c r="I68" t="str">
        <f>IF(H68&lt;=$BC$19,"Deficiente",IF(H68&lt;=$BC$20,"Regular",IF(H68&lt;=$BC$21,"Eficiente",0)))</f>
        <v>0</v>
      </c>
      <c r="J68" t="str">
        <f>SUM(B68:H68)</f>
        <v>0</v>
      </c>
      <c r="K68" t="str">
        <f>IF(J68&lt;=$BO$19,"Deficiente",IF(J68&lt;=$BO$20,"Regular",IF(J68&lt;=$BO$21,"Eficiente",0)))</f>
        <v>0</v>
      </c>
    </row>
    <row r="69" spans="1:75">
      <c r="A69" t="s">
        <v>95</v>
      </c>
      <c r="B69" t="str">
        <f>SUM('Desempeño profesional'!B70:K70)</f>
        <v>0</v>
      </c>
      <c r="C69" t="str">
        <f>IF(B69&lt;=$S$19,"Deficiente",IF(B69&lt;=$S$20,"Regular",IF(B69&lt;=$S$21,"Eficiente",0)))</f>
        <v>0</v>
      </c>
      <c r="D69" t="str">
        <f>SUM('Desempeño profesional'!L70:AD70)</f>
        <v>0</v>
      </c>
      <c r="E69" t="str">
        <f>IF(D69&lt;=$AE$19,"Deficiente",IF(D69&lt;=$AE$20,"Regular",IF(D69&lt;=$AE$21,"Eficiente",0)))</f>
        <v>0</v>
      </c>
      <c r="F69" t="str">
        <f>SUM('Desempeño profesional'!AE70:AJ70)</f>
        <v>0</v>
      </c>
      <c r="G69" t="str">
        <f>IF(F69&lt;=$AQ$19,"Deficiente",IF(F69&lt;=$AQ$20,"Regular",IF(F69&lt;=$AQ$21,"Eficiente",0)))</f>
        <v>0</v>
      </c>
      <c r="H69" t="str">
        <f>SUM('Desempeño profesional'!AK70:AO70)</f>
        <v>0</v>
      </c>
      <c r="I69" t="str">
        <f>IF(H69&lt;=$BC$19,"Deficiente",IF(H69&lt;=$BC$20,"Regular",IF(H69&lt;=$BC$21,"Eficiente",0)))</f>
        <v>0</v>
      </c>
      <c r="J69" t="str">
        <f>SUM(B69:H69)</f>
        <v>0</v>
      </c>
      <c r="K69" t="str">
        <f>IF(J69&lt;=$BO$19,"Deficiente",IF(J69&lt;=$BO$20,"Regular",IF(J69&lt;=$BO$21,"Eficiente",0)))</f>
        <v>0</v>
      </c>
    </row>
    <row r="70" spans="1:75">
      <c r="A70" t="s">
        <v>96</v>
      </c>
      <c r="B70" t="str">
        <f>SUM('Desempeño profesional'!B71:K71)</f>
        <v>0</v>
      </c>
      <c r="C70" t="str">
        <f>IF(B70&lt;=$S$19,"Deficiente",IF(B70&lt;=$S$20,"Regular",IF(B70&lt;=$S$21,"Eficiente",0)))</f>
        <v>0</v>
      </c>
      <c r="D70" t="str">
        <f>SUM('Desempeño profesional'!L71:AD71)</f>
        <v>0</v>
      </c>
      <c r="E70" t="str">
        <f>IF(D70&lt;=$AE$19,"Deficiente",IF(D70&lt;=$AE$20,"Regular",IF(D70&lt;=$AE$21,"Eficiente",0)))</f>
        <v>0</v>
      </c>
      <c r="F70" t="str">
        <f>SUM('Desempeño profesional'!AE71:AJ71)</f>
        <v>0</v>
      </c>
      <c r="G70" t="str">
        <f>IF(F70&lt;=$AQ$19,"Deficiente",IF(F70&lt;=$AQ$20,"Regular",IF(F70&lt;=$AQ$21,"Eficiente",0)))</f>
        <v>0</v>
      </c>
      <c r="H70" t="str">
        <f>SUM('Desempeño profesional'!AK71:AO71)</f>
        <v>0</v>
      </c>
      <c r="I70" t="str">
        <f>IF(H70&lt;=$BC$19,"Deficiente",IF(H70&lt;=$BC$20,"Regular",IF(H70&lt;=$BC$21,"Eficiente",0)))</f>
        <v>0</v>
      </c>
      <c r="J70" t="str">
        <f>SUM(B70:H70)</f>
        <v>0</v>
      </c>
      <c r="K70" t="str">
        <f>IF(J70&lt;=$BO$19,"Deficiente",IF(J70&lt;=$BO$20,"Regular",IF(J70&lt;=$BO$21,"Eficiente",0)))</f>
        <v>0</v>
      </c>
    </row>
    <row r="71" spans="1:75">
      <c r="A71" t="s">
        <v>97</v>
      </c>
      <c r="B71" t="str">
        <f>SUM('Desempeño profesional'!B72:K72)</f>
        <v>0</v>
      </c>
      <c r="C71" t="str">
        <f>IF(B71&lt;=$S$19,"Deficiente",IF(B71&lt;=$S$20,"Regular",IF(B71&lt;=$S$21,"Eficiente",0)))</f>
        <v>0</v>
      </c>
      <c r="D71" t="str">
        <f>SUM('Desempeño profesional'!L72:AD72)</f>
        <v>0</v>
      </c>
      <c r="E71" t="str">
        <f>IF(D71&lt;=$AE$19,"Deficiente",IF(D71&lt;=$AE$20,"Regular",IF(D71&lt;=$AE$21,"Eficiente",0)))</f>
        <v>0</v>
      </c>
      <c r="F71" t="str">
        <f>SUM('Desempeño profesional'!AE72:AJ72)</f>
        <v>0</v>
      </c>
      <c r="G71" t="str">
        <f>IF(F71&lt;=$AQ$19,"Deficiente",IF(F71&lt;=$AQ$20,"Regular",IF(F71&lt;=$AQ$21,"Eficiente",0)))</f>
        <v>0</v>
      </c>
      <c r="H71" t="str">
        <f>SUM('Desempeño profesional'!AK72:AO72)</f>
        <v>0</v>
      </c>
      <c r="I71" t="str">
        <f>IF(H71&lt;=$BC$19,"Deficiente",IF(H71&lt;=$BC$20,"Regular",IF(H71&lt;=$BC$21,"Eficiente",0)))</f>
        <v>0</v>
      </c>
      <c r="J71" t="str">
        <f>SUM(B71:H71)</f>
        <v>0</v>
      </c>
      <c r="K71" t="str">
        <f>IF(J71&lt;=$BO$19,"Deficiente",IF(J71&lt;=$BO$20,"Regular",IF(J71&lt;=$BO$21,"Eficiente",0)))</f>
        <v>0</v>
      </c>
    </row>
    <row r="72" spans="1:75">
      <c r="A72" t="s">
        <v>98</v>
      </c>
      <c r="B72" t="str">
        <f>SUM('Desempeño profesional'!B73:K73)</f>
        <v>0</v>
      </c>
      <c r="C72" t="str">
        <f>IF(B72&lt;=$S$19,"Deficiente",IF(B72&lt;=$S$20,"Regular",IF(B72&lt;=$S$21,"Eficiente",0)))</f>
        <v>0</v>
      </c>
      <c r="D72" t="str">
        <f>SUM('Desempeño profesional'!L73:AD73)</f>
        <v>0</v>
      </c>
      <c r="E72" t="str">
        <f>IF(D72&lt;=$AE$19,"Deficiente",IF(D72&lt;=$AE$20,"Regular",IF(D72&lt;=$AE$21,"Eficiente",0)))</f>
        <v>0</v>
      </c>
      <c r="F72" t="str">
        <f>SUM('Desempeño profesional'!AE73:AJ73)</f>
        <v>0</v>
      </c>
      <c r="G72" t="str">
        <f>IF(F72&lt;=$AQ$19,"Deficiente",IF(F72&lt;=$AQ$20,"Regular",IF(F72&lt;=$AQ$21,"Eficiente",0)))</f>
        <v>0</v>
      </c>
      <c r="H72" t="str">
        <f>SUM('Desempeño profesional'!AK73:AO73)</f>
        <v>0</v>
      </c>
      <c r="I72" t="str">
        <f>IF(H72&lt;=$BC$19,"Deficiente",IF(H72&lt;=$BC$20,"Regular",IF(H72&lt;=$BC$21,"Eficiente",0)))</f>
        <v>0</v>
      </c>
      <c r="J72" t="str">
        <f>SUM(B72:H72)</f>
        <v>0</v>
      </c>
      <c r="K72" t="str">
        <f>IF(J72&lt;=$BO$19,"Deficiente",IF(J72&lt;=$BO$20,"Regular",IF(J72&lt;=$BO$21,"Eficiente",0)))</f>
        <v>0</v>
      </c>
    </row>
    <row r="73" spans="1:75">
      <c r="A73" t="s">
        <v>99</v>
      </c>
      <c r="B73" t="str">
        <f>SUM('Desempeño profesional'!B74:K74)</f>
        <v>0</v>
      </c>
      <c r="C73" t="str">
        <f>IF(B73&lt;=$S$19,"Deficiente",IF(B73&lt;=$S$20,"Regular",IF(B73&lt;=$S$21,"Eficiente",0)))</f>
        <v>0</v>
      </c>
      <c r="D73" t="str">
        <f>SUM('Desempeño profesional'!L74:AD74)</f>
        <v>0</v>
      </c>
      <c r="E73" t="str">
        <f>IF(D73&lt;=$AE$19,"Deficiente",IF(D73&lt;=$AE$20,"Regular",IF(D73&lt;=$AE$21,"Eficiente",0)))</f>
        <v>0</v>
      </c>
      <c r="F73" t="str">
        <f>SUM('Desempeño profesional'!AE74:AJ74)</f>
        <v>0</v>
      </c>
      <c r="G73" t="str">
        <f>IF(F73&lt;=$AQ$19,"Deficiente",IF(F73&lt;=$AQ$20,"Regular",IF(F73&lt;=$AQ$21,"Eficiente",0)))</f>
        <v>0</v>
      </c>
      <c r="H73" t="str">
        <f>SUM('Desempeño profesional'!AK74:AO74)</f>
        <v>0</v>
      </c>
      <c r="I73" t="str">
        <f>IF(H73&lt;=$BC$19,"Deficiente",IF(H73&lt;=$BC$20,"Regular",IF(H73&lt;=$BC$21,"Eficiente",0)))</f>
        <v>0</v>
      </c>
      <c r="J73" t="str">
        <f>SUM(B73:H73)</f>
        <v>0</v>
      </c>
      <c r="K73" t="str">
        <f>IF(J73&lt;=$BO$19,"Deficiente",IF(J73&lt;=$BO$20,"Regular",IF(J73&lt;=$BO$21,"Eficiente",0)))</f>
        <v>0</v>
      </c>
    </row>
    <row r="74" spans="1:75">
      <c r="A74" t="s">
        <v>100</v>
      </c>
      <c r="B74" t="str">
        <f>SUM('Desempeño profesional'!B75:K75)</f>
        <v>0</v>
      </c>
      <c r="C74" t="str">
        <f>IF(B74&lt;=$S$19,"Deficiente",IF(B74&lt;=$S$20,"Regular",IF(B74&lt;=$S$21,"Eficiente",0)))</f>
        <v>0</v>
      </c>
      <c r="D74" t="str">
        <f>SUM('Desempeño profesional'!L75:AD75)</f>
        <v>0</v>
      </c>
      <c r="E74" t="str">
        <f>IF(D74&lt;=$AE$19,"Deficiente",IF(D74&lt;=$AE$20,"Regular",IF(D74&lt;=$AE$21,"Eficiente",0)))</f>
        <v>0</v>
      </c>
      <c r="F74" t="str">
        <f>SUM('Desempeño profesional'!AE75:AJ75)</f>
        <v>0</v>
      </c>
      <c r="G74" t="str">
        <f>IF(F74&lt;=$AQ$19,"Deficiente",IF(F74&lt;=$AQ$20,"Regular",IF(F74&lt;=$AQ$21,"Eficiente",0)))</f>
        <v>0</v>
      </c>
      <c r="H74" t="str">
        <f>SUM('Desempeño profesional'!AK75:AO75)</f>
        <v>0</v>
      </c>
      <c r="I74" t="str">
        <f>IF(H74&lt;=$BC$19,"Deficiente",IF(H74&lt;=$BC$20,"Regular",IF(H74&lt;=$BC$21,"Eficiente",0)))</f>
        <v>0</v>
      </c>
      <c r="J74" t="str">
        <f>SUM(B74:H74)</f>
        <v>0</v>
      </c>
      <c r="K74" t="str">
        <f>IF(J74&lt;=$BO$19,"Deficiente",IF(J74&lt;=$BO$20,"Regular",IF(J74&lt;=$BO$21,"Eficiente",0)))</f>
        <v>0</v>
      </c>
    </row>
    <row r="75" spans="1:75">
      <c r="A75" t="s">
        <v>101</v>
      </c>
      <c r="B75" t="str">
        <f>SUM('Desempeño profesional'!B76:K76)</f>
        <v>0</v>
      </c>
      <c r="C75" t="str">
        <f>IF(B75&lt;=$S$19,"Deficiente",IF(B75&lt;=$S$20,"Regular",IF(B75&lt;=$S$21,"Eficiente",0)))</f>
        <v>0</v>
      </c>
      <c r="D75" t="str">
        <f>SUM('Desempeño profesional'!L76:AD76)</f>
        <v>0</v>
      </c>
      <c r="E75" t="str">
        <f>IF(D75&lt;=$AE$19,"Deficiente",IF(D75&lt;=$AE$20,"Regular",IF(D75&lt;=$AE$21,"Eficiente",0)))</f>
        <v>0</v>
      </c>
      <c r="F75" t="str">
        <f>SUM('Desempeño profesional'!AE76:AJ76)</f>
        <v>0</v>
      </c>
      <c r="G75" t="str">
        <f>IF(F75&lt;=$AQ$19,"Deficiente",IF(F75&lt;=$AQ$20,"Regular",IF(F75&lt;=$AQ$21,"Eficiente",0)))</f>
        <v>0</v>
      </c>
      <c r="H75" t="str">
        <f>SUM('Desempeño profesional'!AK76:AO76)</f>
        <v>0</v>
      </c>
      <c r="I75" t="str">
        <f>IF(H75&lt;=$BC$19,"Deficiente",IF(H75&lt;=$BC$20,"Regular",IF(H75&lt;=$BC$21,"Eficiente",0)))</f>
        <v>0</v>
      </c>
      <c r="J75" t="str">
        <f>SUM(B75:H75)</f>
        <v>0</v>
      </c>
      <c r="K75" t="str">
        <f>IF(J75&lt;=$BO$19,"Deficiente",IF(J75&lt;=$BO$20,"Regular",IF(J75&lt;=$BO$21,"Eficiente",0)))</f>
        <v>0</v>
      </c>
    </row>
    <row r="76" spans="1:75">
      <c r="A76" t="s">
        <v>102</v>
      </c>
      <c r="B76" t="str">
        <f>SUM('Desempeño profesional'!B77:K77)</f>
        <v>0</v>
      </c>
      <c r="C76" t="str">
        <f>IF(B76&lt;=$S$19,"Deficiente",IF(B76&lt;=$S$20,"Regular",IF(B76&lt;=$S$21,"Eficiente",0)))</f>
        <v>0</v>
      </c>
      <c r="D76" t="str">
        <f>SUM('Desempeño profesional'!L77:AD77)</f>
        <v>0</v>
      </c>
      <c r="E76" t="str">
        <f>IF(D76&lt;=$AE$19,"Deficiente",IF(D76&lt;=$AE$20,"Regular",IF(D76&lt;=$AE$21,"Eficiente",0)))</f>
        <v>0</v>
      </c>
      <c r="F76" t="str">
        <f>SUM('Desempeño profesional'!AE77:AJ77)</f>
        <v>0</v>
      </c>
      <c r="G76" t="str">
        <f>IF(F76&lt;=$AQ$19,"Deficiente",IF(F76&lt;=$AQ$20,"Regular",IF(F76&lt;=$AQ$21,"Eficiente",0)))</f>
        <v>0</v>
      </c>
      <c r="H76" t="str">
        <f>SUM('Desempeño profesional'!AK77:AO77)</f>
        <v>0</v>
      </c>
      <c r="I76" t="str">
        <f>IF(H76&lt;=$BC$19,"Deficiente",IF(H76&lt;=$BC$20,"Regular",IF(H76&lt;=$BC$21,"Eficiente",0)))</f>
        <v>0</v>
      </c>
      <c r="J76" t="str">
        <f>SUM(B76:H76)</f>
        <v>0</v>
      </c>
      <c r="K76" t="str">
        <f>IF(J76&lt;=$BO$19,"Deficiente",IF(J76&lt;=$BO$20,"Regular",IF(J76&lt;=$BO$21,"Eficiente",0)))</f>
        <v>0</v>
      </c>
    </row>
    <row r="77" spans="1:75">
      <c r="A77" t="s">
        <v>103</v>
      </c>
      <c r="B77" t="str">
        <f>SUM('Desempeño profesional'!B78:K78)</f>
        <v>0</v>
      </c>
      <c r="C77" t="str">
        <f>IF(B77&lt;=$S$19,"Deficiente",IF(B77&lt;=$S$20,"Regular",IF(B77&lt;=$S$21,"Eficiente",0)))</f>
        <v>0</v>
      </c>
      <c r="D77" t="str">
        <f>SUM('Desempeño profesional'!L78:AD78)</f>
        <v>0</v>
      </c>
      <c r="E77" t="str">
        <f>IF(D77&lt;=$AE$19,"Deficiente",IF(D77&lt;=$AE$20,"Regular",IF(D77&lt;=$AE$21,"Eficiente",0)))</f>
        <v>0</v>
      </c>
      <c r="F77" t="str">
        <f>SUM('Desempeño profesional'!AE78:AJ78)</f>
        <v>0</v>
      </c>
      <c r="G77" t="str">
        <f>IF(F77&lt;=$AQ$19,"Deficiente",IF(F77&lt;=$AQ$20,"Regular",IF(F77&lt;=$AQ$21,"Eficiente",0)))</f>
        <v>0</v>
      </c>
      <c r="H77" t="str">
        <f>SUM('Desempeño profesional'!AK78:AO78)</f>
        <v>0</v>
      </c>
      <c r="I77" t="str">
        <f>IF(H77&lt;=$BC$19,"Deficiente",IF(H77&lt;=$BC$20,"Regular",IF(H77&lt;=$BC$21,"Eficiente",0)))</f>
        <v>0</v>
      </c>
      <c r="J77" t="str">
        <f>SUM(B77:H77)</f>
        <v>0</v>
      </c>
      <c r="K77" t="str">
        <f>IF(J77&lt;=$BO$19,"Deficiente",IF(J77&lt;=$BO$20,"Regular",IF(J77&lt;=$BO$21,"Eficiente",0)))</f>
        <v>0</v>
      </c>
    </row>
    <row r="78" spans="1:75">
      <c r="A78" t="s">
        <v>104</v>
      </c>
      <c r="B78" t="str">
        <f>SUM('Desempeño profesional'!B79:K79)</f>
        <v>0</v>
      </c>
      <c r="C78" t="str">
        <f>IF(B78&lt;=$S$19,"Deficiente",IF(B78&lt;=$S$20,"Regular",IF(B78&lt;=$S$21,"Eficiente",0)))</f>
        <v>0</v>
      </c>
      <c r="D78" t="str">
        <f>SUM('Desempeño profesional'!L79:AD79)</f>
        <v>0</v>
      </c>
      <c r="E78" t="str">
        <f>IF(D78&lt;=$AE$19,"Deficiente",IF(D78&lt;=$AE$20,"Regular",IF(D78&lt;=$AE$21,"Eficiente",0)))</f>
        <v>0</v>
      </c>
      <c r="F78" t="str">
        <f>SUM('Desempeño profesional'!AE79:AJ79)</f>
        <v>0</v>
      </c>
      <c r="G78" t="str">
        <f>IF(F78&lt;=$AQ$19,"Deficiente",IF(F78&lt;=$AQ$20,"Regular",IF(F78&lt;=$AQ$21,"Eficiente",0)))</f>
        <v>0</v>
      </c>
      <c r="H78" t="str">
        <f>SUM('Desempeño profesional'!AK79:AO79)</f>
        <v>0</v>
      </c>
      <c r="I78" t="str">
        <f>IF(H78&lt;=$BC$19,"Deficiente",IF(H78&lt;=$BC$20,"Regular",IF(H78&lt;=$BC$21,"Eficiente",0)))</f>
        <v>0</v>
      </c>
      <c r="J78" t="str">
        <f>SUM(B78:H78)</f>
        <v>0</v>
      </c>
      <c r="K78" t="str">
        <f>IF(J78&lt;=$BO$19,"Deficiente",IF(J78&lt;=$BO$20,"Regular",IF(J78&lt;=$BO$21,"Eficiente",0)))</f>
        <v>0</v>
      </c>
    </row>
    <row r="79" spans="1:75">
      <c r="A79" t="s">
        <v>105</v>
      </c>
      <c r="B79" t="str">
        <f>SUM('Desempeño profesional'!B80:K80)</f>
        <v>0</v>
      </c>
      <c r="C79" t="str">
        <f>IF(B79&lt;=$S$19,"Deficiente",IF(B79&lt;=$S$20,"Regular",IF(B79&lt;=$S$21,"Eficiente",0)))</f>
        <v>0</v>
      </c>
      <c r="D79" t="str">
        <f>SUM('Desempeño profesional'!L80:AD80)</f>
        <v>0</v>
      </c>
      <c r="E79" t="str">
        <f>IF(D79&lt;=$AE$19,"Deficiente",IF(D79&lt;=$AE$20,"Regular",IF(D79&lt;=$AE$21,"Eficiente",0)))</f>
        <v>0</v>
      </c>
      <c r="F79" t="str">
        <f>SUM('Desempeño profesional'!AE80:AJ80)</f>
        <v>0</v>
      </c>
      <c r="G79" t="str">
        <f>IF(F79&lt;=$AQ$19,"Deficiente",IF(F79&lt;=$AQ$20,"Regular",IF(F79&lt;=$AQ$21,"Eficiente",0)))</f>
        <v>0</v>
      </c>
      <c r="H79" t="str">
        <f>SUM('Desempeño profesional'!AK80:AO80)</f>
        <v>0</v>
      </c>
      <c r="I79" t="str">
        <f>IF(H79&lt;=$BC$19,"Deficiente",IF(H79&lt;=$BC$20,"Regular",IF(H79&lt;=$BC$21,"Eficiente",0)))</f>
        <v>0</v>
      </c>
      <c r="J79" t="str">
        <f>SUM(B79:H79)</f>
        <v>0</v>
      </c>
      <c r="K79" t="str">
        <f>IF(J79&lt;=$BO$19,"Deficiente",IF(J79&lt;=$BO$20,"Regular",IF(J79&lt;=$BO$21,"Eficiente",0)))</f>
        <v>0</v>
      </c>
    </row>
    <row r="80" spans="1:75">
      <c r="A80" t="s">
        <v>106</v>
      </c>
      <c r="B80" t="str">
        <f>SUM('Desempeño profesional'!B81:K81)</f>
        <v>0</v>
      </c>
      <c r="C80" t="str">
        <f>IF(B80&lt;=$S$19,"Deficiente",IF(B80&lt;=$S$20,"Regular",IF(B80&lt;=$S$21,"Eficiente",0)))</f>
        <v>0</v>
      </c>
      <c r="D80" t="str">
        <f>SUM('Desempeño profesional'!L81:AD81)</f>
        <v>0</v>
      </c>
      <c r="E80" t="str">
        <f>IF(D80&lt;=$AE$19,"Deficiente",IF(D80&lt;=$AE$20,"Regular",IF(D80&lt;=$AE$21,"Eficiente",0)))</f>
        <v>0</v>
      </c>
      <c r="F80" t="str">
        <f>SUM('Desempeño profesional'!AE81:AJ81)</f>
        <v>0</v>
      </c>
      <c r="G80" t="str">
        <f>IF(F80&lt;=$AQ$19,"Deficiente",IF(F80&lt;=$AQ$20,"Regular",IF(F80&lt;=$AQ$21,"Eficiente",0)))</f>
        <v>0</v>
      </c>
      <c r="H80" t="str">
        <f>SUM('Desempeño profesional'!AK81:AO81)</f>
        <v>0</v>
      </c>
      <c r="I80" t="str">
        <f>IF(H80&lt;=$BC$19,"Deficiente",IF(H80&lt;=$BC$20,"Regular",IF(H80&lt;=$BC$21,"Eficiente",0)))</f>
        <v>0</v>
      </c>
      <c r="J80" t="str">
        <f>SUM(B80:H80)</f>
        <v>0</v>
      </c>
      <c r="K80" t="str">
        <f>IF(J80&lt;=$BO$19,"Deficiente",IF(J80&lt;=$BO$20,"Regular",IF(J80&lt;=$BO$21,"Eficiente",0)))</f>
        <v>0</v>
      </c>
    </row>
    <row r="81" spans="1:75">
      <c r="A81" t="s">
        <v>107</v>
      </c>
      <c r="B81" t="str">
        <f>SUM('Desempeño profesional'!B82:K82)</f>
        <v>0</v>
      </c>
      <c r="C81" t="str">
        <f>IF(B81&lt;=$S$19,"Deficiente",IF(B81&lt;=$S$20,"Regular",IF(B81&lt;=$S$21,"Eficiente",0)))</f>
        <v>0</v>
      </c>
      <c r="D81" t="str">
        <f>SUM('Desempeño profesional'!L82:AD82)</f>
        <v>0</v>
      </c>
      <c r="E81" t="str">
        <f>IF(D81&lt;=$AE$19,"Deficiente",IF(D81&lt;=$AE$20,"Regular",IF(D81&lt;=$AE$21,"Eficiente",0)))</f>
        <v>0</v>
      </c>
      <c r="F81" t="str">
        <f>SUM('Desempeño profesional'!AE82:AJ82)</f>
        <v>0</v>
      </c>
      <c r="G81" t="str">
        <f>IF(F81&lt;=$AQ$19,"Deficiente",IF(F81&lt;=$AQ$20,"Regular",IF(F81&lt;=$AQ$21,"Eficiente",0)))</f>
        <v>0</v>
      </c>
      <c r="H81" t="str">
        <f>SUM('Desempeño profesional'!AK82:AO82)</f>
        <v>0</v>
      </c>
      <c r="I81" t="str">
        <f>IF(H81&lt;=$BC$19,"Deficiente",IF(H81&lt;=$BC$20,"Regular",IF(H81&lt;=$BC$21,"Eficiente",0)))</f>
        <v>0</v>
      </c>
      <c r="J81" t="str">
        <f>SUM(B81:H81)</f>
        <v>0</v>
      </c>
      <c r="K81" t="str">
        <f>IF(J81&lt;=$BO$19,"Deficiente",IF(J81&lt;=$BO$20,"Regular",IF(J81&lt;=$BO$21,"Eficiente",0)))</f>
        <v>0</v>
      </c>
    </row>
    <row r="82" spans="1:75">
      <c r="A82" t="s">
        <v>108</v>
      </c>
      <c r="B82" t="str">
        <f>SUM('Desempeño profesional'!B83:K83)</f>
        <v>0</v>
      </c>
      <c r="C82" t="str">
        <f>IF(B82&lt;=$S$19,"Deficiente",IF(B82&lt;=$S$20,"Regular",IF(B82&lt;=$S$21,"Eficiente",0)))</f>
        <v>0</v>
      </c>
      <c r="D82" t="str">
        <f>SUM('Desempeño profesional'!L83:AD83)</f>
        <v>0</v>
      </c>
      <c r="E82" t="str">
        <f>IF(D82&lt;=$AE$19,"Deficiente",IF(D82&lt;=$AE$20,"Regular",IF(D82&lt;=$AE$21,"Eficiente",0)))</f>
        <v>0</v>
      </c>
      <c r="F82" t="str">
        <f>SUM('Desempeño profesional'!AE83:AJ83)</f>
        <v>0</v>
      </c>
      <c r="G82" t="str">
        <f>IF(F82&lt;=$AQ$19,"Deficiente",IF(F82&lt;=$AQ$20,"Regular",IF(F82&lt;=$AQ$21,"Eficiente",0)))</f>
        <v>0</v>
      </c>
      <c r="H82" t="str">
        <f>SUM('Desempeño profesional'!AK83:AO83)</f>
        <v>0</v>
      </c>
      <c r="I82" t="str">
        <f>IF(H82&lt;=$BC$19,"Deficiente",IF(H82&lt;=$BC$20,"Regular",IF(H82&lt;=$BC$21,"Eficiente",0)))</f>
        <v>0</v>
      </c>
      <c r="J82" t="str">
        <f>SUM(B82:H82)</f>
        <v>0</v>
      </c>
      <c r="K82" t="str">
        <f>IF(J82&lt;=$BO$19,"Deficiente",IF(J82&lt;=$BO$20,"Regular",IF(J82&lt;=$BO$21,"Eficiente",0)))</f>
        <v>0</v>
      </c>
    </row>
    <row r="83" spans="1:75">
      <c r="A83" t="s">
        <v>109</v>
      </c>
      <c r="B83" t="str">
        <f>SUM('Desempeño profesional'!B84:K84)</f>
        <v>0</v>
      </c>
      <c r="C83" t="str">
        <f>IF(B83&lt;=$S$19,"Deficiente",IF(B83&lt;=$S$20,"Regular",IF(B83&lt;=$S$21,"Eficiente",0)))</f>
        <v>0</v>
      </c>
      <c r="D83" t="str">
        <f>SUM('Desempeño profesional'!L84:AD84)</f>
        <v>0</v>
      </c>
      <c r="E83" t="str">
        <f>IF(D83&lt;=$AE$19,"Deficiente",IF(D83&lt;=$AE$20,"Regular",IF(D83&lt;=$AE$21,"Eficiente",0)))</f>
        <v>0</v>
      </c>
      <c r="F83" t="str">
        <f>SUM('Desempeño profesional'!AE84:AJ84)</f>
        <v>0</v>
      </c>
      <c r="G83" t="str">
        <f>IF(F83&lt;=$AQ$19,"Deficiente",IF(F83&lt;=$AQ$20,"Regular",IF(F83&lt;=$AQ$21,"Eficiente",0)))</f>
        <v>0</v>
      </c>
      <c r="H83" t="str">
        <f>SUM('Desempeño profesional'!AK84:AO84)</f>
        <v>0</v>
      </c>
      <c r="I83" t="str">
        <f>IF(H83&lt;=$BC$19,"Deficiente",IF(H83&lt;=$BC$20,"Regular",IF(H83&lt;=$BC$21,"Eficiente",0)))</f>
        <v>0</v>
      </c>
      <c r="J83" t="str">
        <f>SUM(B83:H83)</f>
        <v>0</v>
      </c>
      <c r="K83" t="str">
        <f>IF(J83&lt;=$BO$19,"Deficiente",IF(J83&lt;=$BO$20,"Regular",IF(J83&lt;=$BO$21,"Eficiente",0)))</f>
        <v>0</v>
      </c>
    </row>
    <row r="84" spans="1:75">
      <c r="A84" t="s">
        <v>110</v>
      </c>
      <c r="B84" t="str">
        <f>SUM('Desempeño profesional'!B85:K85)</f>
        <v>0</v>
      </c>
      <c r="C84" t="str">
        <f>IF(B84&lt;=$S$19,"Deficiente",IF(B84&lt;=$S$20,"Regular",IF(B84&lt;=$S$21,"Eficiente",0)))</f>
        <v>0</v>
      </c>
      <c r="D84" t="str">
        <f>SUM('Desempeño profesional'!L85:AD85)</f>
        <v>0</v>
      </c>
      <c r="E84" t="str">
        <f>IF(D84&lt;=$AE$19,"Deficiente",IF(D84&lt;=$AE$20,"Regular",IF(D84&lt;=$AE$21,"Eficiente",0)))</f>
        <v>0</v>
      </c>
      <c r="F84" t="str">
        <f>SUM('Desempeño profesional'!AE85:AJ85)</f>
        <v>0</v>
      </c>
      <c r="G84" t="str">
        <f>IF(F84&lt;=$AQ$19,"Deficiente",IF(F84&lt;=$AQ$20,"Regular",IF(F84&lt;=$AQ$21,"Eficiente",0)))</f>
        <v>0</v>
      </c>
      <c r="H84" t="str">
        <f>SUM('Desempeño profesional'!AK85:AO85)</f>
        <v>0</v>
      </c>
      <c r="I84" t="str">
        <f>IF(H84&lt;=$BC$19,"Deficiente",IF(H84&lt;=$BC$20,"Regular",IF(H84&lt;=$BC$21,"Eficiente",0)))</f>
        <v>0</v>
      </c>
      <c r="J84" t="str">
        <f>SUM(B84:H84)</f>
        <v>0</v>
      </c>
      <c r="K84" t="str">
        <f>IF(J84&lt;=$BO$19,"Deficiente",IF(J84&lt;=$BO$20,"Regular",IF(J84&lt;=$BO$21,"Eficiente",0)))</f>
        <v>0</v>
      </c>
    </row>
    <row r="85" spans="1:75">
      <c r="A85" t="s">
        <v>111</v>
      </c>
      <c r="B85" t="str">
        <f>SUM('Desempeño profesional'!B86:K86)</f>
        <v>0</v>
      </c>
      <c r="C85" t="str">
        <f>IF(B85&lt;=$S$19,"Deficiente",IF(B85&lt;=$S$20,"Regular",IF(B85&lt;=$S$21,"Eficiente",0)))</f>
        <v>0</v>
      </c>
      <c r="D85" t="str">
        <f>SUM('Desempeño profesional'!L86:AD86)</f>
        <v>0</v>
      </c>
      <c r="E85" t="str">
        <f>IF(D85&lt;=$AE$19,"Deficiente",IF(D85&lt;=$AE$20,"Regular",IF(D85&lt;=$AE$21,"Eficiente",0)))</f>
        <v>0</v>
      </c>
      <c r="F85" t="str">
        <f>SUM('Desempeño profesional'!AE86:AJ86)</f>
        <v>0</v>
      </c>
      <c r="G85" t="str">
        <f>IF(F85&lt;=$AQ$19,"Deficiente",IF(F85&lt;=$AQ$20,"Regular",IF(F85&lt;=$AQ$21,"Eficiente",0)))</f>
        <v>0</v>
      </c>
      <c r="H85" t="str">
        <f>SUM('Desempeño profesional'!AK86:AO86)</f>
        <v>0</v>
      </c>
      <c r="I85" t="str">
        <f>IF(H85&lt;=$BC$19,"Deficiente",IF(H85&lt;=$BC$20,"Regular",IF(H85&lt;=$BC$21,"Eficiente",0)))</f>
        <v>0</v>
      </c>
      <c r="J85" t="str">
        <f>SUM(B85:H85)</f>
        <v>0</v>
      </c>
      <c r="K85" t="str">
        <f>IF(J85&lt;=$BO$19,"Deficiente",IF(J85&lt;=$BO$20,"Regular",IF(J85&lt;=$BO$21,"Eficiente",0)))</f>
        <v>0</v>
      </c>
    </row>
    <row r="86" spans="1:75">
      <c r="A86" t="s">
        <v>112</v>
      </c>
      <c r="B86" t="str">
        <f>SUM('Desempeño profesional'!B87:K87)</f>
        <v>0</v>
      </c>
      <c r="C86" t="str">
        <f>IF(B86&lt;=$S$19,"Deficiente",IF(B86&lt;=$S$20,"Regular",IF(B86&lt;=$S$21,"Eficiente",0)))</f>
        <v>0</v>
      </c>
      <c r="D86" t="str">
        <f>SUM('Desempeño profesional'!L87:AD87)</f>
        <v>0</v>
      </c>
      <c r="E86" t="str">
        <f>IF(D86&lt;=$AE$19,"Deficiente",IF(D86&lt;=$AE$20,"Regular",IF(D86&lt;=$AE$21,"Eficiente",0)))</f>
        <v>0</v>
      </c>
      <c r="F86" t="str">
        <f>SUM('Desempeño profesional'!AE87:AJ87)</f>
        <v>0</v>
      </c>
      <c r="G86" t="str">
        <f>IF(F86&lt;=$AQ$19,"Deficiente",IF(F86&lt;=$AQ$20,"Regular",IF(F86&lt;=$AQ$21,"Eficiente",0)))</f>
        <v>0</v>
      </c>
      <c r="H86" t="str">
        <f>SUM('Desempeño profesional'!AK87:AO87)</f>
        <v>0</v>
      </c>
      <c r="I86" t="str">
        <f>IF(H86&lt;=$BC$19,"Deficiente",IF(H86&lt;=$BC$20,"Regular",IF(H86&lt;=$BC$21,"Eficiente",0)))</f>
        <v>0</v>
      </c>
      <c r="J86" t="str">
        <f>SUM(B86:H86)</f>
        <v>0</v>
      </c>
      <c r="K86" t="str">
        <f>IF(J86&lt;=$BO$19,"Deficiente",IF(J86&lt;=$BO$20,"Regular",IF(J86&lt;=$BO$21,"Eficiente",0)))</f>
        <v>0</v>
      </c>
    </row>
    <row r="87" spans="1:75">
      <c r="A87" t="s">
        <v>113</v>
      </c>
      <c r="B87" t="str">
        <f>SUM('Desempeño profesional'!B88:K88)</f>
        <v>0</v>
      </c>
      <c r="C87" t="str">
        <f>IF(B87&lt;=$S$19,"Deficiente",IF(B87&lt;=$S$20,"Regular",IF(B87&lt;=$S$21,"Eficiente",0)))</f>
        <v>0</v>
      </c>
      <c r="D87" t="str">
        <f>SUM('Desempeño profesional'!L88:AD88)</f>
        <v>0</v>
      </c>
      <c r="E87" t="str">
        <f>IF(D87&lt;=$AE$19,"Deficiente",IF(D87&lt;=$AE$20,"Regular",IF(D87&lt;=$AE$21,"Eficiente",0)))</f>
        <v>0</v>
      </c>
      <c r="F87" t="str">
        <f>SUM('Desempeño profesional'!AE88:AJ88)</f>
        <v>0</v>
      </c>
      <c r="G87" t="str">
        <f>IF(F87&lt;=$AQ$19,"Deficiente",IF(F87&lt;=$AQ$20,"Regular",IF(F87&lt;=$AQ$21,"Eficiente",0)))</f>
        <v>0</v>
      </c>
      <c r="H87" t="str">
        <f>SUM('Desempeño profesional'!AK88:AO88)</f>
        <v>0</v>
      </c>
      <c r="I87" t="str">
        <f>IF(H87&lt;=$BC$19,"Deficiente",IF(H87&lt;=$BC$20,"Regular",IF(H87&lt;=$BC$21,"Eficiente",0)))</f>
        <v>0</v>
      </c>
      <c r="J87" t="str">
        <f>SUM(B87:H87)</f>
        <v>0</v>
      </c>
      <c r="K87" t="str">
        <f>IF(J87&lt;=$BO$19,"Deficiente",IF(J87&lt;=$BO$20,"Regular",IF(J87&lt;=$BO$21,"Eficiente",0)))</f>
        <v>0</v>
      </c>
    </row>
    <row r="88" spans="1:75">
      <c r="A88" t="s">
        <v>114</v>
      </c>
      <c r="B88" t="str">
        <f>SUM('Desempeño profesional'!B89:K89)</f>
        <v>0</v>
      </c>
      <c r="C88" t="str">
        <f>IF(B88&lt;=$S$19,"Deficiente",IF(B88&lt;=$S$20,"Regular",IF(B88&lt;=$S$21,"Eficiente",0)))</f>
        <v>0</v>
      </c>
      <c r="D88" t="str">
        <f>SUM('Desempeño profesional'!L89:AD89)</f>
        <v>0</v>
      </c>
      <c r="E88" t="str">
        <f>IF(D88&lt;=$AE$19,"Deficiente",IF(D88&lt;=$AE$20,"Regular",IF(D88&lt;=$AE$21,"Eficiente",0)))</f>
        <v>0</v>
      </c>
      <c r="F88" t="str">
        <f>SUM('Desempeño profesional'!AE89:AJ89)</f>
        <v>0</v>
      </c>
      <c r="G88" t="str">
        <f>IF(F88&lt;=$AQ$19,"Deficiente",IF(F88&lt;=$AQ$20,"Regular",IF(F88&lt;=$AQ$21,"Eficiente",0)))</f>
        <v>0</v>
      </c>
      <c r="H88" t="str">
        <f>SUM('Desempeño profesional'!AK89:AO89)</f>
        <v>0</v>
      </c>
      <c r="I88" t="str">
        <f>IF(H88&lt;=$BC$19,"Deficiente",IF(H88&lt;=$BC$20,"Regular",IF(H88&lt;=$BC$21,"Eficiente",0)))</f>
        <v>0</v>
      </c>
      <c r="J88" t="str">
        <f>SUM(B88:H88)</f>
        <v>0</v>
      </c>
      <c r="K88" t="str">
        <f>IF(J88&lt;=$BO$19,"Deficiente",IF(J88&lt;=$BO$20,"Regular",IF(J88&lt;=$BO$21,"Eficiente",0)))</f>
        <v>0</v>
      </c>
    </row>
    <row r="89" spans="1:75">
      <c r="A89" t="s">
        <v>115</v>
      </c>
      <c r="B89" t="str">
        <f>SUM('Desempeño profesional'!B90:K90)</f>
        <v>0</v>
      </c>
      <c r="C89" t="str">
        <f>IF(B89&lt;=$S$19,"Deficiente",IF(B89&lt;=$S$20,"Regular",IF(B89&lt;=$S$21,"Eficiente",0)))</f>
        <v>0</v>
      </c>
      <c r="D89" t="str">
        <f>SUM('Desempeño profesional'!L90:AD90)</f>
        <v>0</v>
      </c>
      <c r="E89" t="str">
        <f>IF(D89&lt;=$AE$19,"Deficiente",IF(D89&lt;=$AE$20,"Regular",IF(D89&lt;=$AE$21,"Eficiente",0)))</f>
        <v>0</v>
      </c>
      <c r="F89" t="str">
        <f>SUM('Desempeño profesional'!AE90:AJ90)</f>
        <v>0</v>
      </c>
      <c r="G89" t="str">
        <f>IF(F89&lt;=$AQ$19,"Deficiente",IF(F89&lt;=$AQ$20,"Regular",IF(F89&lt;=$AQ$21,"Eficiente",0)))</f>
        <v>0</v>
      </c>
      <c r="H89" t="str">
        <f>SUM('Desempeño profesional'!AK90:AO90)</f>
        <v>0</v>
      </c>
      <c r="I89" t="str">
        <f>IF(H89&lt;=$BC$19,"Deficiente",IF(H89&lt;=$BC$20,"Regular",IF(H89&lt;=$BC$21,"Eficiente",0)))</f>
        <v>0</v>
      </c>
      <c r="J89" t="str">
        <f>SUM(B89:H89)</f>
        <v>0</v>
      </c>
      <c r="K89" t="str">
        <f>IF(J89&lt;=$BO$19,"Deficiente",IF(J89&lt;=$BO$20,"Regular",IF(J89&lt;=$BO$21,"Eficiente",0)))</f>
        <v>0</v>
      </c>
    </row>
    <row r="90" spans="1:75">
      <c r="A90" t="s">
        <v>116</v>
      </c>
      <c r="B90" t="str">
        <f>SUM('Desempeño profesional'!B91:K91)</f>
        <v>0</v>
      </c>
      <c r="C90" t="str">
        <f>IF(B90&lt;=$S$19,"Deficiente",IF(B90&lt;=$S$20,"Regular",IF(B90&lt;=$S$21,"Eficiente",0)))</f>
        <v>0</v>
      </c>
      <c r="D90" t="str">
        <f>SUM('Desempeño profesional'!L91:AD91)</f>
        <v>0</v>
      </c>
      <c r="E90" t="str">
        <f>IF(D90&lt;=$AE$19,"Deficiente",IF(D90&lt;=$AE$20,"Regular",IF(D90&lt;=$AE$21,"Eficiente",0)))</f>
        <v>0</v>
      </c>
      <c r="F90" t="str">
        <f>SUM('Desempeño profesional'!AE91:AJ91)</f>
        <v>0</v>
      </c>
      <c r="G90" t="str">
        <f>IF(F90&lt;=$AQ$19,"Deficiente",IF(F90&lt;=$AQ$20,"Regular",IF(F90&lt;=$AQ$21,"Eficiente",0)))</f>
        <v>0</v>
      </c>
      <c r="H90" t="str">
        <f>SUM('Desempeño profesional'!AK91:AO91)</f>
        <v>0</v>
      </c>
      <c r="I90" t="str">
        <f>IF(H90&lt;=$BC$19,"Deficiente",IF(H90&lt;=$BC$20,"Regular",IF(H90&lt;=$BC$21,"Eficiente",0)))</f>
        <v>0</v>
      </c>
      <c r="J90" t="str">
        <f>SUM(B90:H90)</f>
        <v>0</v>
      </c>
      <c r="K90" t="str">
        <f>IF(J90&lt;=$BO$19,"Deficiente",IF(J90&lt;=$BO$20,"Regular",IF(J90&lt;=$BO$21,"Eficiente",0)))</f>
        <v>0</v>
      </c>
    </row>
    <row r="91" spans="1:75">
      <c r="A91" t="s">
        <v>117</v>
      </c>
      <c r="B91" t="str">
        <f>SUM('Desempeño profesional'!B92:K92)</f>
        <v>0</v>
      </c>
      <c r="C91" t="str">
        <f>IF(B91&lt;=$S$19,"Deficiente",IF(B91&lt;=$S$20,"Regular",IF(B91&lt;=$S$21,"Eficiente",0)))</f>
        <v>0</v>
      </c>
      <c r="D91" t="str">
        <f>SUM('Desempeño profesional'!L92:AD92)</f>
        <v>0</v>
      </c>
      <c r="E91" t="str">
        <f>IF(D91&lt;=$AE$19,"Deficiente",IF(D91&lt;=$AE$20,"Regular",IF(D91&lt;=$AE$21,"Eficiente",0)))</f>
        <v>0</v>
      </c>
      <c r="F91" t="str">
        <f>SUM('Desempeño profesional'!AE92:AJ92)</f>
        <v>0</v>
      </c>
      <c r="G91" t="str">
        <f>IF(F91&lt;=$AQ$19,"Deficiente",IF(F91&lt;=$AQ$20,"Regular",IF(F91&lt;=$AQ$21,"Eficiente",0)))</f>
        <v>0</v>
      </c>
      <c r="H91" t="str">
        <f>SUM('Desempeño profesional'!AK92:AO92)</f>
        <v>0</v>
      </c>
      <c r="I91" t="str">
        <f>IF(H91&lt;=$BC$19,"Deficiente",IF(H91&lt;=$BC$20,"Regular",IF(H91&lt;=$BC$21,"Eficiente",0)))</f>
        <v>0</v>
      </c>
      <c r="J91" t="str">
        <f>SUM(B91:H91)</f>
        <v>0</v>
      </c>
      <c r="K91" t="str">
        <f>IF(J91&lt;=$BO$19,"Deficiente",IF(J91&lt;=$BO$20,"Regular",IF(J91&lt;=$BO$21,"Eficiente",0)))</f>
        <v>0</v>
      </c>
    </row>
    <row r="92" spans="1:75">
      <c r="A92" t="s">
        <v>118</v>
      </c>
      <c r="B92" t="str">
        <f>SUM('Desempeño profesional'!B93:K93)</f>
        <v>0</v>
      </c>
      <c r="C92" t="str">
        <f>IF(B92&lt;=$S$19,"Deficiente",IF(B92&lt;=$S$20,"Regular",IF(B92&lt;=$S$21,"Eficiente",0)))</f>
        <v>0</v>
      </c>
      <c r="D92" t="str">
        <f>SUM('Desempeño profesional'!L93:AD93)</f>
        <v>0</v>
      </c>
      <c r="E92" t="str">
        <f>IF(D92&lt;=$AE$19,"Deficiente",IF(D92&lt;=$AE$20,"Regular",IF(D92&lt;=$AE$21,"Eficiente",0)))</f>
        <v>0</v>
      </c>
      <c r="F92" t="str">
        <f>SUM('Desempeño profesional'!AE93:AJ93)</f>
        <v>0</v>
      </c>
      <c r="G92" t="str">
        <f>IF(F92&lt;=$AQ$19,"Deficiente",IF(F92&lt;=$AQ$20,"Regular",IF(F92&lt;=$AQ$21,"Eficiente",0)))</f>
        <v>0</v>
      </c>
      <c r="H92" t="str">
        <f>SUM('Desempeño profesional'!AK93:AO93)</f>
        <v>0</v>
      </c>
      <c r="I92" t="str">
        <f>IF(H92&lt;=$BC$19,"Deficiente",IF(H92&lt;=$BC$20,"Regular",IF(H92&lt;=$BC$21,"Eficiente",0)))</f>
        <v>0</v>
      </c>
      <c r="J92" t="str">
        <f>SUM(B92:H92)</f>
        <v>0</v>
      </c>
      <c r="K92" t="str">
        <f>IF(J92&lt;=$BO$19,"Deficiente",IF(J92&lt;=$BO$20,"Regular",IF(J92&lt;=$BO$21,"Eficiente",0)))</f>
        <v>0</v>
      </c>
    </row>
    <row r="93" spans="1:75">
      <c r="A93" t="s">
        <v>119</v>
      </c>
      <c r="B93" t="str">
        <f>SUM('Desempeño profesional'!B94:K94)</f>
        <v>0</v>
      </c>
      <c r="C93" t="str">
        <f>IF(B93&lt;=$S$19,"Deficiente",IF(B93&lt;=$S$20,"Regular",IF(B93&lt;=$S$21,"Eficiente",0)))</f>
        <v>0</v>
      </c>
      <c r="D93" t="str">
        <f>SUM('Desempeño profesional'!L94:AD94)</f>
        <v>0</v>
      </c>
      <c r="E93" t="str">
        <f>IF(D93&lt;=$AE$19,"Deficiente",IF(D93&lt;=$AE$20,"Regular",IF(D93&lt;=$AE$21,"Eficiente",0)))</f>
        <v>0</v>
      </c>
      <c r="F93" t="str">
        <f>SUM('Desempeño profesional'!AE94:AJ94)</f>
        <v>0</v>
      </c>
      <c r="G93" t="str">
        <f>IF(F93&lt;=$AQ$19,"Deficiente",IF(F93&lt;=$AQ$20,"Regular",IF(F93&lt;=$AQ$21,"Eficiente",0)))</f>
        <v>0</v>
      </c>
      <c r="H93" t="str">
        <f>SUM('Desempeño profesional'!AK94:AO94)</f>
        <v>0</v>
      </c>
      <c r="I93" t="str">
        <f>IF(H93&lt;=$BC$19,"Deficiente",IF(H93&lt;=$BC$20,"Regular",IF(H93&lt;=$BC$21,"Eficiente",0)))</f>
        <v>0</v>
      </c>
      <c r="J93" t="str">
        <f>SUM(B93:H93)</f>
        <v>0</v>
      </c>
      <c r="K93" t="str">
        <f>IF(J93&lt;=$BO$19,"Deficiente",IF(J93&lt;=$BO$20,"Regular",IF(J93&lt;=$BO$21,"Eficiente",0)))</f>
        <v>0</v>
      </c>
    </row>
    <row r="94" spans="1:75">
      <c r="A94" t="s">
        <v>120</v>
      </c>
      <c r="B94" t="str">
        <f>SUM('Desempeño profesional'!B95:K95)</f>
        <v>0</v>
      </c>
      <c r="C94" t="str">
        <f>IF(B94&lt;=$S$19,"Deficiente",IF(B94&lt;=$S$20,"Regular",IF(B94&lt;=$S$21,"Eficiente",0)))</f>
        <v>0</v>
      </c>
      <c r="D94" t="str">
        <f>SUM('Desempeño profesional'!L95:AD95)</f>
        <v>0</v>
      </c>
      <c r="E94" t="str">
        <f>IF(D94&lt;=$AE$19,"Deficiente",IF(D94&lt;=$AE$20,"Regular",IF(D94&lt;=$AE$21,"Eficiente",0)))</f>
        <v>0</v>
      </c>
      <c r="F94" t="str">
        <f>SUM('Desempeño profesional'!AE95:AJ95)</f>
        <v>0</v>
      </c>
      <c r="G94" t="str">
        <f>IF(F94&lt;=$AQ$19,"Deficiente",IF(F94&lt;=$AQ$20,"Regular",IF(F94&lt;=$AQ$21,"Eficiente",0)))</f>
        <v>0</v>
      </c>
      <c r="H94" t="str">
        <f>SUM('Desempeño profesional'!AK95:AO95)</f>
        <v>0</v>
      </c>
      <c r="I94" t="str">
        <f>IF(H94&lt;=$BC$19,"Deficiente",IF(H94&lt;=$BC$20,"Regular",IF(H94&lt;=$BC$21,"Eficiente",0)))</f>
        <v>0</v>
      </c>
      <c r="J94" t="str">
        <f>SUM(B94:H94)</f>
        <v>0</v>
      </c>
      <c r="K94" t="str">
        <f>IF(J94&lt;=$BO$19,"Deficiente",IF(J94&lt;=$BO$20,"Regular",IF(J94&lt;=$BO$21,"Eficiente",0)))</f>
        <v>0</v>
      </c>
    </row>
    <row r="95" spans="1:75">
      <c r="A95" t="s">
        <v>121</v>
      </c>
      <c r="B95" t="str">
        <f>SUM('Desempeño profesional'!B96:K96)</f>
        <v>0</v>
      </c>
      <c r="C95" t="str">
        <f>IF(B95&lt;=$S$19,"Deficiente",IF(B95&lt;=$S$20,"Regular",IF(B95&lt;=$S$21,"Eficiente",0)))</f>
        <v>0</v>
      </c>
      <c r="D95" t="str">
        <f>SUM('Desempeño profesional'!L96:AD96)</f>
        <v>0</v>
      </c>
      <c r="E95" t="str">
        <f>IF(D95&lt;=$AE$19,"Deficiente",IF(D95&lt;=$AE$20,"Regular",IF(D95&lt;=$AE$21,"Eficiente",0)))</f>
        <v>0</v>
      </c>
      <c r="F95" t="str">
        <f>SUM('Desempeño profesional'!AE96:AJ96)</f>
        <v>0</v>
      </c>
      <c r="G95" t="str">
        <f>IF(F95&lt;=$AQ$19,"Deficiente",IF(F95&lt;=$AQ$20,"Regular",IF(F95&lt;=$AQ$21,"Eficiente",0)))</f>
        <v>0</v>
      </c>
      <c r="H95" t="str">
        <f>SUM('Desempeño profesional'!AK96:AO96)</f>
        <v>0</v>
      </c>
      <c r="I95" t="str">
        <f>IF(H95&lt;=$BC$19,"Deficiente",IF(H95&lt;=$BC$20,"Regular",IF(H95&lt;=$BC$21,"Eficiente",0)))</f>
        <v>0</v>
      </c>
      <c r="J95" t="str">
        <f>SUM(B95:H95)</f>
        <v>0</v>
      </c>
      <c r="K95" t="str">
        <f>IF(J95&lt;=$BO$19,"Deficiente",IF(J95&lt;=$BO$20,"Regular",IF(J95&lt;=$BO$21,"Eficiente",0)))</f>
        <v>0</v>
      </c>
    </row>
    <row r="96" spans="1:75">
      <c r="A96" t="s">
        <v>122</v>
      </c>
      <c r="B96" t="str">
        <f>SUM('Desempeño profesional'!B97:K97)</f>
        <v>0</v>
      </c>
      <c r="C96" t="str">
        <f>IF(B96&lt;=$S$19,"Deficiente",IF(B96&lt;=$S$20,"Regular",IF(B96&lt;=$S$21,"Eficiente",0)))</f>
        <v>0</v>
      </c>
      <c r="D96" t="str">
        <f>SUM('Desempeño profesional'!L97:AD97)</f>
        <v>0</v>
      </c>
      <c r="E96" t="str">
        <f>IF(D96&lt;=$AE$19,"Deficiente",IF(D96&lt;=$AE$20,"Regular",IF(D96&lt;=$AE$21,"Eficiente",0)))</f>
        <v>0</v>
      </c>
      <c r="F96" t="str">
        <f>SUM('Desempeño profesional'!AE97:AJ97)</f>
        <v>0</v>
      </c>
      <c r="G96" t="str">
        <f>IF(F96&lt;=$AQ$19,"Deficiente",IF(F96&lt;=$AQ$20,"Regular",IF(F96&lt;=$AQ$21,"Eficiente",0)))</f>
        <v>0</v>
      </c>
      <c r="H96" t="str">
        <f>SUM('Desempeño profesional'!AK97:AO97)</f>
        <v>0</v>
      </c>
      <c r="I96" t="str">
        <f>IF(H96&lt;=$BC$19,"Deficiente",IF(H96&lt;=$BC$20,"Regular",IF(H96&lt;=$BC$21,"Eficiente",0)))</f>
        <v>0</v>
      </c>
      <c r="J96" t="str">
        <f>SUM(B96:H96)</f>
        <v>0</v>
      </c>
      <c r="K96" t="str">
        <f>IF(J96&lt;=$BO$19,"Deficiente",IF(J96&lt;=$BO$20,"Regular",IF(J96&lt;=$BO$21,"Eficiente",0)))</f>
        <v>0</v>
      </c>
    </row>
    <row r="97" spans="1:75">
      <c r="A97" t="s">
        <v>123</v>
      </c>
      <c r="B97" t="str">
        <f>SUM('Desempeño profesional'!B98:K98)</f>
        <v>0</v>
      </c>
      <c r="C97" t="str">
        <f>IF(B97&lt;=$S$19,"Deficiente",IF(B97&lt;=$S$20,"Regular",IF(B97&lt;=$S$21,"Eficiente",0)))</f>
        <v>0</v>
      </c>
      <c r="D97" t="str">
        <f>SUM('Desempeño profesional'!L98:AD98)</f>
        <v>0</v>
      </c>
      <c r="E97" t="str">
        <f>IF(D97&lt;=$AE$19,"Deficiente",IF(D97&lt;=$AE$20,"Regular",IF(D97&lt;=$AE$21,"Eficiente",0)))</f>
        <v>0</v>
      </c>
      <c r="F97" t="str">
        <f>SUM('Desempeño profesional'!AE98:AJ98)</f>
        <v>0</v>
      </c>
      <c r="G97" t="str">
        <f>IF(F97&lt;=$AQ$19,"Deficiente",IF(F97&lt;=$AQ$20,"Regular",IF(F97&lt;=$AQ$21,"Eficiente",0)))</f>
        <v>0</v>
      </c>
      <c r="H97" t="str">
        <f>SUM('Desempeño profesional'!AK98:AO98)</f>
        <v>0</v>
      </c>
      <c r="I97" t="str">
        <f>IF(H97&lt;=$BC$19,"Deficiente",IF(H97&lt;=$BC$20,"Regular",IF(H97&lt;=$BC$21,"Eficiente",0)))</f>
        <v>0</v>
      </c>
      <c r="J97" t="str">
        <f>SUM(B97:H97)</f>
        <v>0</v>
      </c>
      <c r="K97" t="str">
        <f>IF(J97&lt;=$BO$19,"Deficiente",IF(J97&lt;=$BO$20,"Regular",IF(J97&lt;=$BO$21,"Eficiente",0)))</f>
        <v>0</v>
      </c>
    </row>
    <row r="98" spans="1:75">
      <c r="A98" t="s">
        <v>124</v>
      </c>
      <c r="B98" t="str">
        <f>SUM('Desempeño profesional'!B99:K99)</f>
        <v>0</v>
      </c>
      <c r="C98" t="str">
        <f>IF(B98&lt;=$S$19,"Deficiente",IF(B98&lt;=$S$20,"Regular",IF(B98&lt;=$S$21,"Eficiente",0)))</f>
        <v>0</v>
      </c>
      <c r="D98" t="str">
        <f>SUM('Desempeño profesional'!L99:AD99)</f>
        <v>0</v>
      </c>
      <c r="E98" t="str">
        <f>IF(D98&lt;=$AE$19,"Deficiente",IF(D98&lt;=$AE$20,"Regular",IF(D98&lt;=$AE$21,"Eficiente",0)))</f>
        <v>0</v>
      </c>
      <c r="F98" t="str">
        <f>SUM('Desempeño profesional'!AE99:AJ99)</f>
        <v>0</v>
      </c>
      <c r="G98" t="str">
        <f>IF(F98&lt;=$AQ$19,"Deficiente",IF(F98&lt;=$AQ$20,"Regular",IF(F98&lt;=$AQ$21,"Eficiente",0)))</f>
        <v>0</v>
      </c>
      <c r="H98" t="str">
        <f>SUM('Desempeño profesional'!AK99:AO99)</f>
        <v>0</v>
      </c>
      <c r="I98" t="str">
        <f>IF(H98&lt;=$BC$19,"Deficiente",IF(H98&lt;=$BC$20,"Regular",IF(H98&lt;=$BC$21,"Eficiente",0)))</f>
        <v>0</v>
      </c>
      <c r="J98" t="str">
        <f>SUM(B98:H98)</f>
        <v>0</v>
      </c>
      <c r="K98" t="str">
        <f>IF(J98&lt;=$BO$19,"Deficiente",IF(J98&lt;=$BO$20,"Regular",IF(J98&lt;=$BO$21,"Eficiente",0)))</f>
        <v>0</v>
      </c>
    </row>
    <row r="99" spans="1:75">
      <c r="A99" t="s">
        <v>125</v>
      </c>
      <c r="B99" t="str">
        <f>SUM('Desempeño profesional'!B100:K100)</f>
        <v>0</v>
      </c>
      <c r="C99" t="str">
        <f>IF(B99&lt;=$S$19,"Deficiente",IF(B99&lt;=$S$20,"Regular",IF(B99&lt;=$S$21,"Eficiente",0)))</f>
        <v>0</v>
      </c>
      <c r="D99" t="str">
        <f>SUM('Desempeño profesional'!L100:AD100)</f>
        <v>0</v>
      </c>
      <c r="E99" t="str">
        <f>IF(D99&lt;=$AE$19,"Deficiente",IF(D99&lt;=$AE$20,"Regular",IF(D99&lt;=$AE$21,"Eficiente",0)))</f>
        <v>0</v>
      </c>
      <c r="F99" t="str">
        <f>SUM('Desempeño profesional'!AE100:AJ100)</f>
        <v>0</v>
      </c>
      <c r="G99" t="str">
        <f>IF(F99&lt;=$AQ$19,"Deficiente",IF(F99&lt;=$AQ$20,"Regular",IF(F99&lt;=$AQ$21,"Eficiente",0)))</f>
        <v>0</v>
      </c>
      <c r="H99" t="str">
        <f>SUM('Desempeño profesional'!AK100:AO100)</f>
        <v>0</v>
      </c>
      <c r="I99" t="str">
        <f>IF(H99&lt;=$BC$19,"Deficiente",IF(H99&lt;=$BC$20,"Regular",IF(H99&lt;=$BC$21,"Eficiente",0)))</f>
        <v>0</v>
      </c>
      <c r="J99" t="str">
        <f>SUM(B99:H99)</f>
        <v>0</v>
      </c>
      <c r="K99" t="str">
        <f>IF(J99&lt;=$BO$19,"Deficiente",IF(J99&lt;=$BO$20,"Regular",IF(J99&lt;=$BO$21,"Eficiente",0)))</f>
        <v>0</v>
      </c>
    </row>
    <row r="100" spans="1:75">
      <c r="A100" t="s">
        <v>126</v>
      </c>
      <c r="B100" t="str">
        <f>SUM('Desempeño profesional'!B101:K101)</f>
        <v>0</v>
      </c>
      <c r="C100" t="str">
        <f>IF(B100&lt;=$S$19,"Deficiente",IF(B100&lt;=$S$20,"Regular",IF(B100&lt;=$S$21,"Eficiente",0)))</f>
        <v>0</v>
      </c>
      <c r="D100" t="str">
        <f>SUM('Desempeño profesional'!L101:AD101)</f>
        <v>0</v>
      </c>
      <c r="E100" t="str">
        <f>IF(D100&lt;=$AE$19,"Deficiente",IF(D100&lt;=$AE$20,"Regular",IF(D100&lt;=$AE$21,"Eficiente",0)))</f>
        <v>0</v>
      </c>
      <c r="F100" t="str">
        <f>SUM('Desempeño profesional'!AE101:AJ101)</f>
        <v>0</v>
      </c>
      <c r="G100" t="str">
        <f>IF(F100&lt;=$AQ$19,"Deficiente",IF(F100&lt;=$AQ$20,"Regular",IF(F100&lt;=$AQ$21,"Eficiente",0)))</f>
        <v>0</v>
      </c>
      <c r="H100" t="str">
        <f>SUM('Desempeño profesional'!AK101:AO101)</f>
        <v>0</v>
      </c>
      <c r="I100" t="str">
        <f>IF(H100&lt;=$BC$19,"Deficiente",IF(H100&lt;=$BC$20,"Regular",IF(H100&lt;=$BC$21,"Eficiente",0)))</f>
        <v>0</v>
      </c>
      <c r="J100" t="str">
        <f>SUM(B100:H100)</f>
        <v>0</v>
      </c>
      <c r="K100" t="str">
        <f>IF(J100&lt;=$BO$19,"Deficiente",IF(J100&lt;=$BO$20,"Regular",IF(J100&lt;=$BO$21,"Eficiente",0)))</f>
        <v>0</v>
      </c>
    </row>
    <row r="101" spans="1:75">
      <c r="A101" t="s">
        <v>127</v>
      </c>
      <c r="B101" t="str">
        <f>SUM('Desempeño profesional'!B102:K102)</f>
        <v>0</v>
      </c>
      <c r="C101" t="str">
        <f>IF(B101&lt;=$S$19,"Deficiente",IF(B101&lt;=$S$20,"Regular",IF(B101&lt;=$S$21,"Eficiente",0)))</f>
        <v>0</v>
      </c>
      <c r="D101" t="str">
        <f>SUM('Desempeño profesional'!L102:AD102)</f>
        <v>0</v>
      </c>
      <c r="E101" t="str">
        <f>IF(D101&lt;=$AE$19,"Deficiente",IF(D101&lt;=$AE$20,"Regular",IF(D101&lt;=$AE$21,"Eficiente",0)))</f>
        <v>0</v>
      </c>
      <c r="F101" t="str">
        <f>SUM('Desempeño profesional'!AE102:AJ102)</f>
        <v>0</v>
      </c>
      <c r="G101" t="str">
        <f>IF(F101&lt;=$AQ$19,"Deficiente",IF(F101&lt;=$AQ$20,"Regular",IF(F101&lt;=$AQ$21,"Eficiente",0)))</f>
        <v>0</v>
      </c>
      <c r="H101" t="str">
        <f>SUM('Desempeño profesional'!AK102:AO102)</f>
        <v>0</v>
      </c>
      <c r="I101" t="str">
        <f>IF(H101&lt;=$BC$19,"Deficiente",IF(H101&lt;=$BC$20,"Regular",IF(H101&lt;=$BC$21,"Eficiente",0)))</f>
        <v>0</v>
      </c>
      <c r="J101" t="str">
        <f>SUM(B101:H101)</f>
        <v>0</v>
      </c>
      <c r="K101" t="str">
        <f>IF(J101&lt;=$BO$19,"Deficiente",IF(J101&lt;=$BO$20,"Regular",IF(J101&lt;=$BO$21,"Eficiente",0)))</f>
        <v>0</v>
      </c>
    </row>
    <row r="102" spans="1:75">
      <c r="A102" t="s">
        <v>128</v>
      </c>
      <c r="B102" t="str">
        <f>SUM('Desempeño profesional'!B103:K103)</f>
        <v>0</v>
      </c>
      <c r="C102" t="str">
        <f>IF(B102&lt;=$S$19,"Deficiente",IF(B102&lt;=$S$20,"Regular",IF(B102&lt;=$S$21,"Eficiente",0)))</f>
        <v>0</v>
      </c>
      <c r="D102" t="str">
        <f>SUM('Desempeño profesional'!L103:AD103)</f>
        <v>0</v>
      </c>
      <c r="E102" t="str">
        <f>IF(D102&lt;=$AE$19,"Deficiente",IF(D102&lt;=$AE$20,"Regular",IF(D102&lt;=$AE$21,"Eficiente",0)))</f>
        <v>0</v>
      </c>
      <c r="F102" t="str">
        <f>SUM('Desempeño profesional'!AE103:AJ103)</f>
        <v>0</v>
      </c>
      <c r="G102" t="str">
        <f>IF(F102&lt;=$AQ$19,"Deficiente",IF(F102&lt;=$AQ$20,"Regular",IF(F102&lt;=$AQ$21,"Eficiente",0)))</f>
        <v>0</v>
      </c>
      <c r="H102" t="str">
        <f>SUM('Desempeño profesional'!AK103:AO103)</f>
        <v>0</v>
      </c>
      <c r="I102" t="str">
        <f>IF(H102&lt;=$BC$19,"Deficiente",IF(H102&lt;=$BC$20,"Regular",IF(H102&lt;=$BC$21,"Eficiente",0)))</f>
        <v>0</v>
      </c>
      <c r="J102" t="str">
        <f>SUM(B102:H102)</f>
        <v>0</v>
      </c>
      <c r="K102" t="str">
        <f>IF(J102&lt;=$BO$19,"Deficiente",IF(J102&lt;=$BO$20,"Regular",IF(J102&lt;=$BO$21,"Eficiente",0)))</f>
        <v>0</v>
      </c>
    </row>
    <row r="103" spans="1:75">
      <c r="A103" t="s">
        <v>129</v>
      </c>
      <c r="B103" t="str">
        <f>SUM('Desempeño profesional'!B104:K104)</f>
        <v>0</v>
      </c>
      <c r="C103" t="str">
        <f>IF(B103&lt;=$S$19,"Deficiente",IF(B103&lt;=$S$20,"Regular",IF(B103&lt;=$S$21,"Eficiente",0)))</f>
        <v>0</v>
      </c>
      <c r="D103" t="str">
        <f>SUM('Desempeño profesional'!L104:AD104)</f>
        <v>0</v>
      </c>
      <c r="E103" t="str">
        <f>IF(D103&lt;=$AE$19,"Deficiente",IF(D103&lt;=$AE$20,"Regular",IF(D103&lt;=$AE$21,"Eficiente",0)))</f>
        <v>0</v>
      </c>
      <c r="F103" t="str">
        <f>SUM('Desempeño profesional'!AE104:AJ104)</f>
        <v>0</v>
      </c>
      <c r="G103" t="str">
        <f>IF(F103&lt;=$AQ$19,"Deficiente",IF(F103&lt;=$AQ$20,"Regular",IF(F103&lt;=$AQ$21,"Eficiente",0)))</f>
        <v>0</v>
      </c>
      <c r="H103" t="str">
        <f>SUM('Desempeño profesional'!AK104:AO104)</f>
        <v>0</v>
      </c>
      <c r="I103" t="str">
        <f>IF(H103&lt;=$BC$19,"Deficiente",IF(H103&lt;=$BC$20,"Regular",IF(H103&lt;=$BC$21,"Eficiente",0)))</f>
        <v>0</v>
      </c>
      <c r="J103" t="str">
        <f>SUM(B103:H103)</f>
        <v>0</v>
      </c>
      <c r="K103" t="str">
        <f>IF(J103&lt;=$BO$19,"Deficiente",IF(J103&lt;=$BO$20,"Regular",IF(J103&lt;=$BO$21,"Eficiente",0)))</f>
        <v>0</v>
      </c>
    </row>
    <row r="104" spans="1:75">
      <c r="A104" t="s">
        <v>130</v>
      </c>
      <c r="B104" t="str">
        <f>SUM('Desempeño profesional'!B105:K105)</f>
        <v>0</v>
      </c>
      <c r="C104" t="str">
        <f>IF(B104&lt;=$S$19,"Deficiente",IF(B104&lt;=$S$20,"Regular",IF(B104&lt;=$S$21,"Eficiente",0)))</f>
        <v>0</v>
      </c>
      <c r="D104" t="str">
        <f>SUM('Desempeño profesional'!L105:AD105)</f>
        <v>0</v>
      </c>
      <c r="E104" t="str">
        <f>IF(D104&lt;=$AE$19,"Deficiente",IF(D104&lt;=$AE$20,"Regular",IF(D104&lt;=$AE$21,"Eficiente",0)))</f>
        <v>0</v>
      </c>
      <c r="F104" t="str">
        <f>SUM('Desempeño profesional'!AE105:AJ105)</f>
        <v>0</v>
      </c>
      <c r="G104" t="str">
        <f>IF(F104&lt;=$AQ$19,"Deficiente",IF(F104&lt;=$AQ$20,"Regular",IF(F104&lt;=$AQ$21,"Eficiente",0)))</f>
        <v>0</v>
      </c>
      <c r="H104" t="str">
        <f>SUM('Desempeño profesional'!AK105:AO105)</f>
        <v>0</v>
      </c>
      <c r="I104" t="str">
        <f>IF(H104&lt;=$BC$19,"Deficiente",IF(H104&lt;=$BC$20,"Regular",IF(H104&lt;=$BC$21,"Eficiente",0)))</f>
        <v>0</v>
      </c>
      <c r="J104" t="str">
        <f>SUM(B104:H104)</f>
        <v>0</v>
      </c>
      <c r="K104" t="str">
        <f>IF(J104&lt;=$BO$19,"Deficiente",IF(J104&lt;=$BO$20,"Regular",IF(J104&lt;=$BO$21,"Eficiente",0)))</f>
        <v>0</v>
      </c>
    </row>
    <row r="105" spans="1:75">
      <c r="A105" t="s">
        <v>131</v>
      </c>
      <c r="B105" t="str">
        <f>SUM('Desempeño profesional'!B106:K106)</f>
        <v>0</v>
      </c>
      <c r="C105" t="str">
        <f>IF(B105&lt;=$S$19,"Deficiente",IF(B105&lt;=$S$20,"Regular",IF(B105&lt;=$S$21,"Eficiente",0)))</f>
        <v>0</v>
      </c>
      <c r="D105" t="str">
        <f>SUM('Desempeño profesional'!L106:AD106)</f>
        <v>0</v>
      </c>
      <c r="E105" t="str">
        <f>IF(D105&lt;=$AE$19,"Deficiente",IF(D105&lt;=$AE$20,"Regular",IF(D105&lt;=$AE$21,"Eficiente",0)))</f>
        <v>0</v>
      </c>
      <c r="F105" t="str">
        <f>SUM('Desempeño profesional'!AE106:AJ106)</f>
        <v>0</v>
      </c>
      <c r="G105" t="str">
        <f>IF(F105&lt;=$AQ$19,"Deficiente",IF(F105&lt;=$AQ$20,"Regular",IF(F105&lt;=$AQ$21,"Eficiente",0)))</f>
        <v>0</v>
      </c>
      <c r="H105" t="str">
        <f>SUM('Desempeño profesional'!AK106:AO106)</f>
        <v>0</v>
      </c>
      <c r="I105" t="str">
        <f>IF(H105&lt;=$BC$19,"Deficiente",IF(H105&lt;=$BC$20,"Regular",IF(H105&lt;=$BC$21,"Eficiente",0)))</f>
        <v>0</v>
      </c>
      <c r="J105" t="str">
        <f>SUM(B105:H105)</f>
        <v>0</v>
      </c>
      <c r="K105" t="str">
        <f>IF(J105&lt;=$BO$19,"Deficiente",IF(J105&lt;=$BO$20,"Regular",IF(J105&lt;=$BO$21,"Eficiente",0)))</f>
        <v>0</v>
      </c>
    </row>
    <row r="106" spans="1:75">
      <c r="A106" t="s">
        <v>132</v>
      </c>
      <c r="B106" t="str">
        <f>SUM('Desempeño profesional'!B107:K107)</f>
        <v>0</v>
      </c>
      <c r="C106" t="str">
        <f>IF(B106&lt;=$S$19,"Deficiente",IF(B106&lt;=$S$20,"Regular",IF(B106&lt;=$S$21,"Eficiente",0)))</f>
        <v>0</v>
      </c>
      <c r="D106" t="str">
        <f>SUM('Desempeño profesional'!L107:AD107)</f>
        <v>0</v>
      </c>
      <c r="E106" t="str">
        <f>IF(D106&lt;=$AE$19,"Deficiente",IF(D106&lt;=$AE$20,"Regular",IF(D106&lt;=$AE$21,"Eficiente",0)))</f>
        <v>0</v>
      </c>
      <c r="F106" t="str">
        <f>SUM('Desempeño profesional'!AE107:AJ107)</f>
        <v>0</v>
      </c>
      <c r="G106" t="str">
        <f>IF(F106&lt;=$AQ$19,"Deficiente",IF(F106&lt;=$AQ$20,"Regular",IF(F106&lt;=$AQ$21,"Eficiente",0)))</f>
        <v>0</v>
      </c>
      <c r="H106" t="str">
        <f>SUM('Desempeño profesional'!AK107:AO107)</f>
        <v>0</v>
      </c>
      <c r="I106" t="str">
        <f>IF(H106&lt;=$BC$19,"Deficiente",IF(H106&lt;=$BC$20,"Regular",IF(H106&lt;=$BC$21,"Eficiente",0)))</f>
        <v>0</v>
      </c>
      <c r="J106" t="str">
        <f>SUM(B106:H106)</f>
        <v>0</v>
      </c>
      <c r="K106" t="str">
        <f>IF(J106&lt;=$BO$19,"Deficiente",IF(J106&lt;=$BO$20,"Regular",IF(J106&lt;=$BO$21,"Eficiente",0)))</f>
        <v>0</v>
      </c>
    </row>
    <row r="107" spans="1:75">
      <c r="A107" t="s">
        <v>133</v>
      </c>
      <c r="B107" t="str">
        <f>SUM('Desempeño profesional'!B108:K108)</f>
        <v>0</v>
      </c>
      <c r="C107" t="str">
        <f>IF(B107&lt;=$S$19,"Deficiente",IF(B107&lt;=$S$20,"Regular",IF(B107&lt;=$S$21,"Eficiente",0)))</f>
        <v>0</v>
      </c>
      <c r="D107" t="str">
        <f>SUM('Desempeño profesional'!L108:AD108)</f>
        <v>0</v>
      </c>
      <c r="E107" t="str">
        <f>IF(D107&lt;=$AE$19,"Deficiente",IF(D107&lt;=$AE$20,"Regular",IF(D107&lt;=$AE$21,"Eficiente",0)))</f>
        <v>0</v>
      </c>
      <c r="F107" t="str">
        <f>SUM('Desempeño profesional'!AE108:AJ108)</f>
        <v>0</v>
      </c>
      <c r="G107" t="str">
        <f>IF(F107&lt;=$AQ$19,"Deficiente",IF(F107&lt;=$AQ$20,"Regular",IF(F107&lt;=$AQ$21,"Eficiente",0)))</f>
        <v>0</v>
      </c>
      <c r="H107" t="str">
        <f>SUM('Desempeño profesional'!AK108:AO108)</f>
        <v>0</v>
      </c>
      <c r="I107" t="str">
        <f>IF(H107&lt;=$BC$19,"Deficiente",IF(H107&lt;=$BC$20,"Regular",IF(H107&lt;=$BC$21,"Eficiente",0)))</f>
        <v>0</v>
      </c>
      <c r="J107" t="str">
        <f>SUM(B107:H107)</f>
        <v>0</v>
      </c>
      <c r="K107" t="str">
        <f>IF(J107&lt;=$BO$19,"Deficiente",IF(J107&lt;=$BO$20,"Regular",IF(J107&lt;=$BO$21,"Eficiente",0)))</f>
        <v>0</v>
      </c>
    </row>
    <row r="108" spans="1:75">
      <c r="A108" t="s">
        <v>134</v>
      </c>
      <c r="B108" t="str">
        <f>SUM('Desempeño profesional'!B109:K109)</f>
        <v>0</v>
      </c>
      <c r="C108" t="str">
        <f>IF(B108&lt;=$S$19,"Deficiente",IF(B108&lt;=$S$20,"Regular",IF(B108&lt;=$S$21,"Eficiente",0)))</f>
        <v>0</v>
      </c>
      <c r="D108" t="str">
        <f>SUM('Desempeño profesional'!L109:AD109)</f>
        <v>0</v>
      </c>
      <c r="E108" t="str">
        <f>IF(D108&lt;=$AE$19,"Deficiente",IF(D108&lt;=$AE$20,"Regular",IF(D108&lt;=$AE$21,"Eficiente",0)))</f>
        <v>0</v>
      </c>
      <c r="F108" t="str">
        <f>SUM('Desempeño profesional'!AE109:AJ109)</f>
        <v>0</v>
      </c>
      <c r="G108" t="str">
        <f>IF(F108&lt;=$AQ$19,"Deficiente",IF(F108&lt;=$AQ$20,"Regular",IF(F108&lt;=$AQ$21,"Eficiente",0)))</f>
        <v>0</v>
      </c>
      <c r="H108" t="str">
        <f>SUM('Desempeño profesional'!AK109:AO109)</f>
        <v>0</v>
      </c>
      <c r="I108" t="str">
        <f>IF(H108&lt;=$BC$19,"Deficiente",IF(H108&lt;=$BC$20,"Regular",IF(H108&lt;=$BC$21,"Eficiente",0)))</f>
        <v>0</v>
      </c>
      <c r="J108" t="str">
        <f>SUM(B108:H108)</f>
        <v>0</v>
      </c>
      <c r="K108" t="str">
        <f>IF(J108&lt;=$BO$19,"Deficiente",IF(J108&lt;=$BO$20,"Regular",IF(J108&lt;=$BO$21,"Eficiente",0)))</f>
        <v>0</v>
      </c>
    </row>
    <row r="109" spans="1:75">
      <c r="A109" t="s">
        <v>135</v>
      </c>
      <c r="B109" t="str">
        <f>SUM('Desempeño profesional'!B110:K110)</f>
        <v>0</v>
      </c>
      <c r="C109" t="str">
        <f>IF(B109&lt;=$S$19,"Deficiente",IF(B109&lt;=$S$20,"Regular",IF(B109&lt;=$S$21,"Eficiente",0)))</f>
        <v>0</v>
      </c>
      <c r="D109" t="str">
        <f>SUM('Desempeño profesional'!L110:AD110)</f>
        <v>0</v>
      </c>
      <c r="E109" t="str">
        <f>IF(D109&lt;=$AE$19,"Deficiente",IF(D109&lt;=$AE$20,"Regular",IF(D109&lt;=$AE$21,"Eficiente",0)))</f>
        <v>0</v>
      </c>
      <c r="F109" t="str">
        <f>SUM('Desempeño profesional'!AE110:AJ110)</f>
        <v>0</v>
      </c>
      <c r="G109" t="str">
        <f>IF(F109&lt;=$AQ$19,"Deficiente",IF(F109&lt;=$AQ$20,"Regular",IF(F109&lt;=$AQ$21,"Eficiente",0)))</f>
        <v>0</v>
      </c>
      <c r="H109" t="str">
        <f>SUM('Desempeño profesional'!AK110:AO110)</f>
        <v>0</v>
      </c>
      <c r="I109" t="str">
        <f>IF(H109&lt;=$BC$19,"Deficiente",IF(H109&lt;=$BC$20,"Regular",IF(H109&lt;=$BC$21,"Eficiente",0)))</f>
        <v>0</v>
      </c>
      <c r="J109" t="str">
        <f>SUM(B109:H109)</f>
        <v>0</v>
      </c>
      <c r="K109" t="str">
        <f>IF(J109&lt;=$BO$19,"Deficiente",IF(J109&lt;=$BO$20,"Regular",IF(J109&lt;=$BO$21,"Eficiente",0)))</f>
        <v>0</v>
      </c>
    </row>
    <row r="110" spans="1:75">
      <c r="A110" t="s">
        <v>136</v>
      </c>
      <c r="B110" t="str">
        <f>SUM('Desempeño profesional'!B111:K111)</f>
        <v>0</v>
      </c>
      <c r="C110" t="str">
        <f>IF(B110&lt;=$S$19,"Deficiente",IF(B110&lt;=$S$20,"Regular",IF(B110&lt;=$S$21,"Eficiente",0)))</f>
        <v>0</v>
      </c>
      <c r="D110" t="str">
        <f>SUM('Desempeño profesional'!L111:AD111)</f>
        <v>0</v>
      </c>
      <c r="E110" t="str">
        <f>IF(D110&lt;=$AE$19,"Deficiente",IF(D110&lt;=$AE$20,"Regular",IF(D110&lt;=$AE$21,"Eficiente",0)))</f>
        <v>0</v>
      </c>
      <c r="F110" t="str">
        <f>SUM('Desempeño profesional'!AE111:AJ111)</f>
        <v>0</v>
      </c>
      <c r="G110" t="str">
        <f>IF(F110&lt;=$AQ$19,"Deficiente",IF(F110&lt;=$AQ$20,"Regular",IF(F110&lt;=$AQ$21,"Eficiente",0)))</f>
        <v>0</v>
      </c>
      <c r="H110" t="str">
        <f>SUM('Desempeño profesional'!AK111:AO111)</f>
        <v>0</v>
      </c>
      <c r="I110" t="str">
        <f>IF(H110&lt;=$BC$19,"Deficiente",IF(H110&lt;=$BC$20,"Regular",IF(H110&lt;=$BC$21,"Eficiente",0)))</f>
        <v>0</v>
      </c>
      <c r="J110" t="str">
        <f>SUM(B110:H110)</f>
        <v>0</v>
      </c>
      <c r="K110" t="str">
        <f>IF(J110&lt;=$BO$19,"Deficiente",IF(J110&lt;=$BO$20,"Regular",IF(J110&lt;=$BO$21,"Eficiente",0)))</f>
        <v>0</v>
      </c>
    </row>
    <row r="111" spans="1:75">
      <c r="A111" t="s">
        <v>137</v>
      </c>
      <c r="B111" t="str">
        <f>SUM('Desempeño profesional'!B112:K112)</f>
        <v>0</v>
      </c>
      <c r="C111" t="str">
        <f>IF(B111&lt;=$S$19,"Deficiente",IF(B111&lt;=$S$20,"Regular",IF(B111&lt;=$S$21,"Eficiente",0)))</f>
        <v>0</v>
      </c>
      <c r="D111" t="str">
        <f>SUM('Desempeño profesional'!L112:AD112)</f>
        <v>0</v>
      </c>
      <c r="E111" t="str">
        <f>IF(D111&lt;=$AE$19,"Deficiente",IF(D111&lt;=$AE$20,"Regular",IF(D111&lt;=$AE$21,"Eficiente",0)))</f>
        <v>0</v>
      </c>
      <c r="F111" t="str">
        <f>SUM('Desempeño profesional'!AE112:AJ112)</f>
        <v>0</v>
      </c>
      <c r="G111" t="str">
        <f>IF(F111&lt;=$AQ$19,"Deficiente",IF(F111&lt;=$AQ$20,"Regular",IF(F111&lt;=$AQ$21,"Eficiente",0)))</f>
        <v>0</v>
      </c>
      <c r="H111" t="str">
        <f>SUM('Desempeño profesional'!AK112:AO112)</f>
        <v>0</v>
      </c>
      <c r="I111" t="str">
        <f>IF(H111&lt;=$BC$19,"Deficiente",IF(H111&lt;=$BC$20,"Regular",IF(H111&lt;=$BC$21,"Eficiente",0)))</f>
        <v>0</v>
      </c>
      <c r="J111" t="str">
        <f>SUM(B111:H111)</f>
        <v>0</v>
      </c>
      <c r="K111" t="str">
        <f>IF(J111&lt;=$BO$19,"Deficiente",IF(J111&lt;=$BO$20,"Regular",IF(J111&lt;=$BO$21,"Eficiente",0)))</f>
        <v>0</v>
      </c>
    </row>
    <row r="112" spans="1:75">
      <c r="A112" t="s">
        <v>138</v>
      </c>
      <c r="B112" t="str">
        <f>SUM('Desempeño profesional'!B113:K113)</f>
        <v>0</v>
      </c>
      <c r="C112" t="str">
        <f>IF(B112&lt;=$S$19,"Deficiente",IF(B112&lt;=$S$20,"Regular",IF(B112&lt;=$S$21,"Eficiente",0)))</f>
        <v>0</v>
      </c>
      <c r="D112" t="str">
        <f>SUM('Desempeño profesional'!L113:AD113)</f>
        <v>0</v>
      </c>
      <c r="E112" t="str">
        <f>IF(D112&lt;=$AE$19,"Deficiente",IF(D112&lt;=$AE$20,"Regular",IF(D112&lt;=$AE$21,"Eficiente",0)))</f>
        <v>0</v>
      </c>
      <c r="F112" t="str">
        <f>SUM('Desempeño profesional'!AE113:AJ113)</f>
        <v>0</v>
      </c>
      <c r="G112" t="str">
        <f>IF(F112&lt;=$AQ$19,"Deficiente",IF(F112&lt;=$AQ$20,"Regular",IF(F112&lt;=$AQ$21,"Eficiente",0)))</f>
        <v>0</v>
      </c>
      <c r="H112" t="str">
        <f>SUM('Desempeño profesional'!AK113:AO113)</f>
        <v>0</v>
      </c>
      <c r="I112" t="str">
        <f>IF(H112&lt;=$BC$19,"Deficiente",IF(H112&lt;=$BC$20,"Regular",IF(H112&lt;=$BC$21,"Eficiente",0)))</f>
        <v>0</v>
      </c>
      <c r="J112" t="str">
        <f>SUM(B112:H112)</f>
        <v>0</v>
      </c>
      <c r="K112" t="str">
        <f>IF(J112&lt;=$BO$19,"Deficiente",IF(J112&lt;=$BO$20,"Regular",IF(J112&lt;=$BO$21,"Eficiente",0)))</f>
        <v>0</v>
      </c>
    </row>
    <row r="113" spans="1:75">
      <c r="A113" t="s">
        <v>139</v>
      </c>
      <c r="B113" t="str">
        <f>SUM('Desempeño profesional'!B114:K114)</f>
        <v>0</v>
      </c>
      <c r="C113" t="str">
        <f>IF(B113&lt;=$S$19,"Deficiente",IF(B113&lt;=$S$20,"Regular",IF(B113&lt;=$S$21,"Eficiente",0)))</f>
        <v>0</v>
      </c>
      <c r="D113" t="str">
        <f>SUM('Desempeño profesional'!L114:AD114)</f>
        <v>0</v>
      </c>
      <c r="E113" t="str">
        <f>IF(D113&lt;=$AE$19,"Deficiente",IF(D113&lt;=$AE$20,"Regular",IF(D113&lt;=$AE$21,"Eficiente",0)))</f>
        <v>0</v>
      </c>
      <c r="F113" t="str">
        <f>SUM('Desempeño profesional'!AE114:AJ114)</f>
        <v>0</v>
      </c>
      <c r="G113" t="str">
        <f>IF(F113&lt;=$AQ$19,"Deficiente",IF(F113&lt;=$AQ$20,"Regular",IF(F113&lt;=$AQ$21,"Eficiente",0)))</f>
        <v>0</v>
      </c>
      <c r="H113" t="str">
        <f>SUM('Desempeño profesional'!AK114:AO114)</f>
        <v>0</v>
      </c>
      <c r="I113" t="str">
        <f>IF(H113&lt;=$BC$19,"Deficiente",IF(H113&lt;=$BC$20,"Regular",IF(H113&lt;=$BC$21,"Eficiente",0)))</f>
        <v>0</v>
      </c>
      <c r="J113" t="str">
        <f>SUM(B113:H113)</f>
        <v>0</v>
      </c>
      <c r="K113" t="str">
        <f>IF(J113&lt;=$BO$19,"Deficiente",IF(J113&lt;=$BO$20,"Regular",IF(J113&lt;=$BO$21,"Eficiente",0)))</f>
        <v>0</v>
      </c>
    </row>
    <row r="114" spans="1:75">
      <c r="A114" t="s">
        <v>140</v>
      </c>
      <c r="B114" t="str">
        <f>SUM('Desempeño profesional'!B115:K115)</f>
        <v>0</v>
      </c>
      <c r="C114" t="str">
        <f>IF(B114&lt;=$S$19,"Deficiente",IF(B114&lt;=$S$20,"Regular",IF(B114&lt;=$S$21,"Eficiente",0)))</f>
        <v>0</v>
      </c>
      <c r="D114" t="str">
        <f>SUM('Desempeño profesional'!L115:AD115)</f>
        <v>0</v>
      </c>
      <c r="E114" t="str">
        <f>IF(D114&lt;=$AE$19,"Deficiente",IF(D114&lt;=$AE$20,"Regular",IF(D114&lt;=$AE$21,"Eficiente",0)))</f>
        <v>0</v>
      </c>
      <c r="F114" t="str">
        <f>SUM('Desempeño profesional'!AE115:AJ115)</f>
        <v>0</v>
      </c>
      <c r="G114" t="str">
        <f>IF(F114&lt;=$AQ$19,"Deficiente",IF(F114&lt;=$AQ$20,"Regular",IF(F114&lt;=$AQ$21,"Eficiente",0)))</f>
        <v>0</v>
      </c>
      <c r="H114" t="str">
        <f>SUM('Desempeño profesional'!AK115:AO115)</f>
        <v>0</v>
      </c>
      <c r="I114" t="str">
        <f>IF(H114&lt;=$BC$19,"Deficiente",IF(H114&lt;=$BC$20,"Regular",IF(H114&lt;=$BC$21,"Eficiente",0)))</f>
        <v>0</v>
      </c>
      <c r="J114" t="str">
        <f>SUM(B114:H114)</f>
        <v>0</v>
      </c>
      <c r="K114" t="str">
        <f>IF(J114&lt;=$BO$19,"Deficiente",IF(J114&lt;=$BO$20,"Regular",IF(J114&lt;=$BO$21,"Eficiente",0)))</f>
        <v>0</v>
      </c>
    </row>
    <row r="115" spans="1:75">
      <c r="A115" t="s">
        <v>141</v>
      </c>
      <c r="B115" t="str">
        <f>SUM('Desempeño profesional'!B116:K116)</f>
        <v>0</v>
      </c>
      <c r="C115" t="str">
        <f>IF(B115&lt;=$S$19,"Deficiente",IF(B115&lt;=$S$20,"Regular",IF(B115&lt;=$S$21,"Eficiente",0)))</f>
        <v>0</v>
      </c>
      <c r="D115" t="str">
        <f>SUM('Desempeño profesional'!L116:AD116)</f>
        <v>0</v>
      </c>
      <c r="E115" t="str">
        <f>IF(D115&lt;=$AE$19,"Deficiente",IF(D115&lt;=$AE$20,"Regular",IF(D115&lt;=$AE$21,"Eficiente",0)))</f>
        <v>0</v>
      </c>
      <c r="F115" t="str">
        <f>SUM('Desempeño profesional'!AE116:AJ116)</f>
        <v>0</v>
      </c>
      <c r="G115" t="str">
        <f>IF(F115&lt;=$AQ$19,"Deficiente",IF(F115&lt;=$AQ$20,"Regular",IF(F115&lt;=$AQ$21,"Eficiente",0)))</f>
        <v>0</v>
      </c>
      <c r="H115" t="str">
        <f>SUM('Desempeño profesional'!AK116:AO116)</f>
        <v>0</v>
      </c>
      <c r="I115" t="str">
        <f>IF(H115&lt;=$BC$19,"Deficiente",IF(H115&lt;=$BC$20,"Regular",IF(H115&lt;=$BC$21,"Eficiente",0)))</f>
        <v>0</v>
      </c>
      <c r="J115" t="str">
        <f>SUM(B115:H115)</f>
        <v>0</v>
      </c>
      <c r="K115" t="str">
        <f>IF(J115&lt;=$BO$19,"Deficiente",IF(J115&lt;=$BO$20,"Regular",IF(J115&lt;=$BO$21,"Eficiente",0)))</f>
        <v>0</v>
      </c>
    </row>
    <row r="116" spans="1:75">
      <c r="A116" t="s">
        <v>142</v>
      </c>
      <c r="B116" t="str">
        <f>SUM('Desempeño profesional'!B117:K117)</f>
        <v>0</v>
      </c>
      <c r="C116" t="str">
        <f>IF(B116&lt;=$S$19,"Deficiente",IF(B116&lt;=$S$20,"Regular",IF(B116&lt;=$S$21,"Eficiente",0)))</f>
        <v>0</v>
      </c>
      <c r="D116" t="str">
        <f>SUM('Desempeño profesional'!L117:AD117)</f>
        <v>0</v>
      </c>
      <c r="E116" t="str">
        <f>IF(D116&lt;=$AE$19,"Deficiente",IF(D116&lt;=$AE$20,"Regular",IF(D116&lt;=$AE$21,"Eficiente",0)))</f>
        <v>0</v>
      </c>
      <c r="F116" t="str">
        <f>SUM('Desempeño profesional'!AE117:AJ117)</f>
        <v>0</v>
      </c>
      <c r="G116" t="str">
        <f>IF(F116&lt;=$AQ$19,"Deficiente",IF(F116&lt;=$AQ$20,"Regular",IF(F116&lt;=$AQ$21,"Eficiente",0)))</f>
        <v>0</v>
      </c>
      <c r="H116" t="str">
        <f>SUM('Desempeño profesional'!AK117:AO117)</f>
        <v>0</v>
      </c>
      <c r="I116" t="str">
        <f>IF(H116&lt;=$BC$19,"Deficiente",IF(H116&lt;=$BC$20,"Regular",IF(H116&lt;=$BC$21,"Eficiente",0)))</f>
        <v>0</v>
      </c>
      <c r="J116" t="str">
        <f>SUM(B116:H116)</f>
        <v>0</v>
      </c>
      <c r="K116" t="str">
        <f>IF(J116&lt;=$BO$19,"Deficiente",IF(J116&lt;=$BO$20,"Regular",IF(J116&lt;=$BO$21,"Eficiente",0)))</f>
        <v>0</v>
      </c>
    </row>
    <row r="117" spans="1:75">
      <c r="A117" t="s">
        <v>143</v>
      </c>
      <c r="B117" t="str">
        <f>SUM('Desempeño profesional'!B118:K118)</f>
        <v>0</v>
      </c>
      <c r="C117" t="str">
        <f>IF(B117&lt;=$S$19,"Deficiente",IF(B117&lt;=$S$20,"Regular",IF(B117&lt;=$S$21,"Eficiente",0)))</f>
        <v>0</v>
      </c>
      <c r="D117" t="str">
        <f>SUM('Desempeño profesional'!L118:AD118)</f>
        <v>0</v>
      </c>
      <c r="E117" t="str">
        <f>IF(D117&lt;=$AE$19,"Deficiente",IF(D117&lt;=$AE$20,"Regular",IF(D117&lt;=$AE$21,"Eficiente",0)))</f>
        <v>0</v>
      </c>
      <c r="F117" t="str">
        <f>SUM('Desempeño profesional'!AE118:AJ118)</f>
        <v>0</v>
      </c>
      <c r="G117" t="str">
        <f>IF(F117&lt;=$AQ$19,"Deficiente",IF(F117&lt;=$AQ$20,"Regular",IF(F117&lt;=$AQ$21,"Eficiente",0)))</f>
        <v>0</v>
      </c>
      <c r="H117" t="str">
        <f>SUM('Desempeño profesional'!AK118:AO118)</f>
        <v>0</v>
      </c>
      <c r="I117" t="str">
        <f>IF(H117&lt;=$BC$19,"Deficiente",IF(H117&lt;=$BC$20,"Regular",IF(H117&lt;=$BC$21,"Eficiente",0)))</f>
        <v>0</v>
      </c>
      <c r="J117" t="str">
        <f>SUM(B117:H117)</f>
        <v>0</v>
      </c>
      <c r="K117" t="str">
        <f>IF(J117&lt;=$BO$19,"Deficiente",IF(J117&lt;=$BO$20,"Regular",IF(J117&lt;=$BO$21,"Eficiente",0)))</f>
        <v>0</v>
      </c>
    </row>
    <row r="118" spans="1:75">
      <c r="A118" t="s">
        <v>144</v>
      </c>
      <c r="B118" t="str">
        <f>SUM('Desempeño profesional'!B119:K119)</f>
        <v>0</v>
      </c>
      <c r="C118" t="str">
        <f>IF(B118&lt;=$S$19,"Deficiente",IF(B118&lt;=$S$20,"Regular",IF(B118&lt;=$S$21,"Eficiente",0)))</f>
        <v>0</v>
      </c>
      <c r="D118" t="str">
        <f>SUM('Desempeño profesional'!L119:AD119)</f>
        <v>0</v>
      </c>
      <c r="E118" t="str">
        <f>IF(D118&lt;=$AE$19,"Deficiente",IF(D118&lt;=$AE$20,"Regular",IF(D118&lt;=$AE$21,"Eficiente",0)))</f>
        <v>0</v>
      </c>
      <c r="F118" t="str">
        <f>SUM('Desempeño profesional'!AE119:AJ119)</f>
        <v>0</v>
      </c>
      <c r="G118" t="str">
        <f>IF(F118&lt;=$AQ$19,"Deficiente",IF(F118&lt;=$AQ$20,"Regular",IF(F118&lt;=$AQ$21,"Eficiente",0)))</f>
        <v>0</v>
      </c>
      <c r="H118" t="str">
        <f>SUM('Desempeño profesional'!AK119:AO119)</f>
        <v>0</v>
      </c>
      <c r="I118" t="str">
        <f>IF(H118&lt;=$BC$19,"Deficiente",IF(H118&lt;=$BC$20,"Regular",IF(H118&lt;=$BC$21,"Eficiente",0)))</f>
        <v>0</v>
      </c>
      <c r="J118" t="str">
        <f>SUM(B118:H118)</f>
        <v>0</v>
      </c>
      <c r="K118" t="str">
        <f>IF(J118&lt;=$BO$19,"Deficiente",IF(J118&lt;=$BO$20,"Regular",IF(J118&lt;=$BO$21,"Eficiente",0)))</f>
        <v>0</v>
      </c>
    </row>
    <row r="119" spans="1:75">
      <c r="A119" t="s">
        <v>145</v>
      </c>
      <c r="B119" t="str">
        <f>SUM('Desempeño profesional'!B120:K120)</f>
        <v>0</v>
      </c>
      <c r="C119" t="str">
        <f>IF(B119&lt;=$S$19,"Deficiente",IF(B119&lt;=$S$20,"Regular",IF(B119&lt;=$S$21,"Eficiente",0)))</f>
        <v>0</v>
      </c>
      <c r="D119" t="str">
        <f>SUM('Desempeño profesional'!L120:AD120)</f>
        <v>0</v>
      </c>
      <c r="E119" t="str">
        <f>IF(D119&lt;=$AE$19,"Deficiente",IF(D119&lt;=$AE$20,"Regular",IF(D119&lt;=$AE$21,"Eficiente",0)))</f>
        <v>0</v>
      </c>
      <c r="F119" t="str">
        <f>SUM('Desempeño profesional'!AE120:AJ120)</f>
        <v>0</v>
      </c>
      <c r="G119" t="str">
        <f>IF(F119&lt;=$AQ$19,"Deficiente",IF(F119&lt;=$AQ$20,"Regular",IF(F119&lt;=$AQ$21,"Eficiente",0)))</f>
        <v>0</v>
      </c>
      <c r="H119" t="str">
        <f>SUM('Desempeño profesional'!AK120:AO120)</f>
        <v>0</v>
      </c>
      <c r="I119" t="str">
        <f>IF(H119&lt;=$BC$19,"Deficiente",IF(H119&lt;=$BC$20,"Regular",IF(H119&lt;=$BC$21,"Eficiente",0)))</f>
        <v>0</v>
      </c>
      <c r="J119" t="str">
        <f>SUM(B119:H119)</f>
        <v>0</v>
      </c>
      <c r="K119" t="str">
        <f>IF(J119&lt;=$BO$19,"Deficiente",IF(J119&lt;=$BO$20,"Regular",IF(J119&lt;=$BO$21,"Eficiente",0)))</f>
        <v>0</v>
      </c>
    </row>
    <row r="120" spans="1:75">
      <c r="A120" t="s">
        <v>146</v>
      </c>
      <c r="B120" t="str">
        <f>SUM('Desempeño profesional'!B121:K121)</f>
        <v>0</v>
      </c>
      <c r="C120" t="str">
        <f>IF(B120&lt;=$S$19,"Deficiente",IF(B120&lt;=$S$20,"Regular",IF(B120&lt;=$S$21,"Eficiente",0)))</f>
        <v>0</v>
      </c>
      <c r="D120" t="str">
        <f>SUM('Desempeño profesional'!L121:AD121)</f>
        <v>0</v>
      </c>
      <c r="E120" t="str">
        <f>IF(D120&lt;=$AE$19,"Deficiente",IF(D120&lt;=$AE$20,"Regular",IF(D120&lt;=$AE$21,"Eficiente",0)))</f>
        <v>0</v>
      </c>
      <c r="F120" t="str">
        <f>SUM('Desempeño profesional'!AE121:AJ121)</f>
        <v>0</v>
      </c>
      <c r="G120" t="str">
        <f>IF(F120&lt;=$AQ$19,"Deficiente",IF(F120&lt;=$AQ$20,"Regular",IF(F120&lt;=$AQ$21,"Eficiente",0)))</f>
        <v>0</v>
      </c>
      <c r="H120" t="str">
        <f>SUM('Desempeño profesional'!AK121:AO121)</f>
        <v>0</v>
      </c>
      <c r="I120" t="str">
        <f>IF(H120&lt;=$BC$19,"Deficiente",IF(H120&lt;=$BC$20,"Regular",IF(H120&lt;=$BC$21,"Eficiente",0)))</f>
        <v>0</v>
      </c>
      <c r="J120" t="str">
        <f>SUM(B120:H120)</f>
        <v>0</v>
      </c>
      <c r="K120" t="str">
        <f>IF(J120&lt;=$BO$19,"Deficiente",IF(J120&lt;=$BO$20,"Regular",IF(J120&lt;=$BO$21,"Eficiente",0)))</f>
        <v>0</v>
      </c>
    </row>
    <row r="121" spans="1:75">
      <c r="A121" t="s">
        <v>147</v>
      </c>
      <c r="B121" t="str">
        <f>SUM('Desempeño profesional'!B122:K122)</f>
        <v>0</v>
      </c>
      <c r="C121" t="str">
        <f>IF(B121&lt;=$S$19,"Deficiente",IF(B121&lt;=$S$20,"Regular",IF(B121&lt;=$S$21,"Eficiente",0)))</f>
        <v>0</v>
      </c>
      <c r="D121" t="str">
        <f>SUM('Desempeño profesional'!L122:AD122)</f>
        <v>0</v>
      </c>
      <c r="E121" t="str">
        <f>IF(D121&lt;=$AE$19,"Deficiente",IF(D121&lt;=$AE$20,"Regular",IF(D121&lt;=$AE$21,"Eficiente",0)))</f>
        <v>0</v>
      </c>
      <c r="F121" t="str">
        <f>SUM('Desempeño profesional'!AE122:AJ122)</f>
        <v>0</v>
      </c>
      <c r="G121" t="str">
        <f>IF(F121&lt;=$AQ$19,"Deficiente",IF(F121&lt;=$AQ$20,"Regular",IF(F121&lt;=$AQ$21,"Eficiente",0)))</f>
        <v>0</v>
      </c>
      <c r="H121" t="str">
        <f>SUM('Desempeño profesional'!AK122:AO122)</f>
        <v>0</v>
      </c>
      <c r="I121" t="str">
        <f>IF(H121&lt;=$BC$19,"Deficiente",IF(H121&lt;=$BC$20,"Regular",IF(H121&lt;=$BC$21,"Eficiente",0)))</f>
        <v>0</v>
      </c>
      <c r="J121" t="str">
        <f>SUM(B121:H121)</f>
        <v>0</v>
      </c>
      <c r="K121" t="str">
        <f>IF(J121&lt;=$BO$19,"Deficiente",IF(J121&lt;=$BO$20,"Regular",IF(J121&lt;=$BO$21,"Eficiente",0)))</f>
        <v>0</v>
      </c>
    </row>
    <row r="122" spans="1:75">
      <c r="A122" t="s">
        <v>148</v>
      </c>
      <c r="B122" t="str">
        <f>SUM('Desempeño profesional'!B123:K123)</f>
        <v>0</v>
      </c>
      <c r="C122" t="str">
        <f>IF(B122&lt;=$S$19,"Deficiente",IF(B122&lt;=$S$20,"Regular",IF(B122&lt;=$S$21,"Eficiente",0)))</f>
        <v>0</v>
      </c>
      <c r="D122" t="str">
        <f>SUM('Desempeño profesional'!L123:AD123)</f>
        <v>0</v>
      </c>
      <c r="E122" t="str">
        <f>IF(D122&lt;=$AE$19,"Deficiente",IF(D122&lt;=$AE$20,"Regular",IF(D122&lt;=$AE$21,"Eficiente",0)))</f>
        <v>0</v>
      </c>
      <c r="F122" t="str">
        <f>SUM('Desempeño profesional'!AE123:AJ123)</f>
        <v>0</v>
      </c>
      <c r="G122" t="str">
        <f>IF(F122&lt;=$AQ$19,"Deficiente",IF(F122&lt;=$AQ$20,"Regular",IF(F122&lt;=$AQ$21,"Eficiente",0)))</f>
        <v>0</v>
      </c>
      <c r="H122" t="str">
        <f>SUM('Desempeño profesional'!AK123:AO123)</f>
        <v>0</v>
      </c>
      <c r="I122" t="str">
        <f>IF(H122&lt;=$BC$19,"Deficiente",IF(H122&lt;=$BC$20,"Regular",IF(H122&lt;=$BC$21,"Eficiente",0)))</f>
        <v>0</v>
      </c>
      <c r="J122" t="str">
        <f>SUM(B122:H122)</f>
        <v>0</v>
      </c>
      <c r="K122" t="str">
        <f>IF(J122&lt;=$BO$19,"Deficiente",IF(J122&lt;=$BO$20,"Regular",IF(J122&lt;=$BO$21,"Eficiente",0)))</f>
        <v>0</v>
      </c>
    </row>
    <row r="123" spans="1:75">
      <c r="A123" t="s">
        <v>149</v>
      </c>
      <c r="B123" t="str">
        <f>SUM('Desempeño profesional'!B124:K124)</f>
        <v>0</v>
      </c>
      <c r="C123" t="str">
        <f>IF(B123&lt;=$S$19,"Deficiente",IF(B123&lt;=$S$20,"Regular",IF(B123&lt;=$S$21,"Eficiente",0)))</f>
        <v>0</v>
      </c>
      <c r="D123" t="str">
        <f>SUM('Desempeño profesional'!L124:AD124)</f>
        <v>0</v>
      </c>
      <c r="E123" t="str">
        <f>IF(D123&lt;=$AE$19,"Deficiente",IF(D123&lt;=$AE$20,"Regular",IF(D123&lt;=$AE$21,"Eficiente",0)))</f>
        <v>0</v>
      </c>
      <c r="F123" t="str">
        <f>SUM('Desempeño profesional'!AE124:AJ124)</f>
        <v>0</v>
      </c>
      <c r="G123" t="str">
        <f>IF(F123&lt;=$AQ$19,"Deficiente",IF(F123&lt;=$AQ$20,"Regular",IF(F123&lt;=$AQ$21,"Eficiente",0)))</f>
        <v>0</v>
      </c>
      <c r="H123" t="str">
        <f>SUM('Desempeño profesional'!AK124:AO124)</f>
        <v>0</v>
      </c>
      <c r="I123" t="str">
        <f>IF(H123&lt;=$BC$19,"Deficiente",IF(H123&lt;=$BC$20,"Regular",IF(H123&lt;=$BC$21,"Eficiente",0)))</f>
        <v>0</v>
      </c>
      <c r="J123" t="str">
        <f>SUM(B123:H123)</f>
        <v>0</v>
      </c>
      <c r="K123" t="str">
        <f>IF(J123&lt;=$BO$19,"Deficiente",IF(J123&lt;=$BO$20,"Regular",IF(J123&lt;=$BO$21,"Eficiente",0)))</f>
        <v>0</v>
      </c>
    </row>
    <row r="124" spans="1:75">
      <c r="A124" t="s">
        <v>150</v>
      </c>
      <c r="B124" t="str">
        <f>SUM('Desempeño profesional'!B125:K125)</f>
        <v>0</v>
      </c>
      <c r="C124" t="str">
        <f>IF(B124&lt;=$S$19,"Deficiente",IF(B124&lt;=$S$20,"Regular",IF(B124&lt;=$S$21,"Eficiente",0)))</f>
        <v>0</v>
      </c>
      <c r="D124" t="str">
        <f>SUM('Desempeño profesional'!L125:AD125)</f>
        <v>0</v>
      </c>
      <c r="E124" t="str">
        <f>IF(D124&lt;=$AE$19,"Deficiente",IF(D124&lt;=$AE$20,"Regular",IF(D124&lt;=$AE$21,"Eficiente",0)))</f>
        <v>0</v>
      </c>
      <c r="F124" t="str">
        <f>SUM('Desempeño profesional'!AE125:AJ125)</f>
        <v>0</v>
      </c>
      <c r="G124" t="str">
        <f>IF(F124&lt;=$AQ$19,"Deficiente",IF(F124&lt;=$AQ$20,"Regular",IF(F124&lt;=$AQ$21,"Eficiente",0)))</f>
        <v>0</v>
      </c>
      <c r="H124" t="str">
        <f>SUM('Desempeño profesional'!AK125:AO125)</f>
        <v>0</v>
      </c>
      <c r="I124" t="str">
        <f>IF(H124&lt;=$BC$19,"Deficiente",IF(H124&lt;=$BC$20,"Regular",IF(H124&lt;=$BC$21,"Eficiente",0)))</f>
        <v>0</v>
      </c>
      <c r="J124" t="str">
        <f>SUM(B124:H124)</f>
        <v>0</v>
      </c>
      <c r="K124" t="str">
        <f>IF(J124&lt;=$BO$19,"Deficiente",IF(J124&lt;=$BO$20,"Regular",IF(J124&lt;=$BO$21,"Eficiente",0)))</f>
        <v>0</v>
      </c>
    </row>
    <row r="125" spans="1:75">
      <c r="A125" t="s">
        <v>151</v>
      </c>
      <c r="B125" t="str">
        <f>SUM('Desempeño profesional'!B126:K126)</f>
        <v>0</v>
      </c>
      <c r="C125" t="str">
        <f>IF(B125&lt;=$S$19,"Deficiente",IF(B125&lt;=$S$20,"Regular",IF(B125&lt;=$S$21,"Eficiente",0)))</f>
        <v>0</v>
      </c>
      <c r="D125" t="str">
        <f>SUM('Desempeño profesional'!L126:AD126)</f>
        <v>0</v>
      </c>
      <c r="E125" t="str">
        <f>IF(D125&lt;=$AE$19,"Deficiente",IF(D125&lt;=$AE$20,"Regular",IF(D125&lt;=$AE$21,"Eficiente",0)))</f>
        <v>0</v>
      </c>
      <c r="F125" t="str">
        <f>SUM('Desempeño profesional'!AE126:AJ126)</f>
        <v>0</v>
      </c>
      <c r="G125" t="str">
        <f>IF(F125&lt;=$AQ$19,"Deficiente",IF(F125&lt;=$AQ$20,"Regular",IF(F125&lt;=$AQ$21,"Eficiente",0)))</f>
        <v>0</v>
      </c>
      <c r="H125" t="str">
        <f>SUM('Desempeño profesional'!AK126:AO126)</f>
        <v>0</v>
      </c>
      <c r="I125" t="str">
        <f>IF(H125&lt;=$BC$19,"Deficiente",IF(H125&lt;=$BC$20,"Regular",IF(H125&lt;=$BC$21,"Eficiente",0)))</f>
        <v>0</v>
      </c>
      <c r="J125" t="str">
        <f>SUM(B125:H125)</f>
        <v>0</v>
      </c>
      <c r="K125" t="str">
        <f>IF(J125&lt;=$BO$19,"Deficiente",IF(J125&lt;=$BO$20,"Regular",IF(J125&lt;=$BO$21,"Eficiente",0)))</f>
        <v>0</v>
      </c>
    </row>
    <row r="126" spans="1:75">
      <c r="A126" t="s">
        <v>152</v>
      </c>
      <c r="B126" t="str">
        <f>SUM('Desempeño profesional'!B127:K127)</f>
        <v>0</v>
      </c>
      <c r="C126" t="str">
        <f>IF(B126&lt;=$S$19,"Deficiente",IF(B126&lt;=$S$20,"Regular",IF(B126&lt;=$S$21,"Eficiente",0)))</f>
        <v>0</v>
      </c>
      <c r="D126" t="str">
        <f>SUM('Desempeño profesional'!L127:AD127)</f>
        <v>0</v>
      </c>
      <c r="E126" t="str">
        <f>IF(D126&lt;=$AE$19,"Deficiente",IF(D126&lt;=$AE$20,"Regular",IF(D126&lt;=$AE$21,"Eficiente",0)))</f>
        <v>0</v>
      </c>
      <c r="F126" t="str">
        <f>SUM('Desempeño profesional'!AE127:AJ127)</f>
        <v>0</v>
      </c>
      <c r="G126" t="str">
        <f>IF(F126&lt;=$AQ$19,"Deficiente",IF(F126&lt;=$AQ$20,"Regular",IF(F126&lt;=$AQ$21,"Eficiente",0)))</f>
        <v>0</v>
      </c>
      <c r="H126" t="str">
        <f>SUM('Desempeño profesional'!AK127:AO127)</f>
        <v>0</v>
      </c>
      <c r="I126" t="str">
        <f>IF(H126&lt;=$BC$19,"Deficiente",IF(H126&lt;=$BC$20,"Regular",IF(H126&lt;=$BC$21,"Eficiente",0)))</f>
        <v>0</v>
      </c>
      <c r="J126" t="str">
        <f>SUM(B126:H126)</f>
        <v>0</v>
      </c>
      <c r="K126" t="str">
        <f>IF(J126&lt;=$BO$19,"Deficiente",IF(J126&lt;=$BO$20,"Regular",IF(J126&lt;=$BO$21,"Eficiente",0)))</f>
        <v>0</v>
      </c>
    </row>
    <row r="127" spans="1:75">
      <c r="A127" t="s">
        <v>153</v>
      </c>
      <c r="B127" t="str">
        <f>SUM('Desempeño profesional'!B128:K128)</f>
        <v>0</v>
      </c>
      <c r="C127" t="str">
        <f>IF(B127&lt;=$S$19,"Deficiente",IF(B127&lt;=$S$20,"Regular",IF(B127&lt;=$S$21,"Eficiente",0)))</f>
        <v>0</v>
      </c>
      <c r="D127" t="str">
        <f>SUM('Desempeño profesional'!L128:AD128)</f>
        <v>0</v>
      </c>
      <c r="E127" t="str">
        <f>IF(D127&lt;=$AE$19,"Deficiente",IF(D127&lt;=$AE$20,"Regular",IF(D127&lt;=$AE$21,"Eficiente",0)))</f>
        <v>0</v>
      </c>
      <c r="F127" t="str">
        <f>SUM('Desempeño profesional'!AE128:AJ128)</f>
        <v>0</v>
      </c>
      <c r="G127" t="str">
        <f>IF(F127&lt;=$AQ$19,"Deficiente",IF(F127&lt;=$AQ$20,"Regular",IF(F127&lt;=$AQ$21,"Eficiente",0)))</f>
        <v>0</v>
      </c>
      <c r="H127" t="str">
        <f>SUM('Desempeño profesional'!AK128:AO128)</f>
        <v>0</v>
      </c>
      <c r="I127" t="str">
        <f>IF(H127&lt;=$BC$19,"Deficiente",IF(H127&lt;=$BC$20,"Regular",IF(H127&lt;=$BC$21,"Eficiente",0)))</f>
        <v>0</v>
      </c>
      <c r="J127" t="str">
        <f>SUM(B127:H127)</f>
        <v>0</v>
      </c>
      <c r="K127" t="str">
        <f>IF(J127&lt;=$BO$19,"Deficiente",IF(J127&lt;=$BO$20,"Regular",IF(J127&lt;=$BO$21,"Eficiente",0)))</f>
        <v>0</v>
      </c>
    </row>
    <row r="128" spans="1:75">
      <c r="A128" t="s">
        <v>154</v>
      </c>
      <c r="B128" t="str">
        <f>SUM('Desempeño profesional'!B129:K129)</f>
        <v>0</v>
      </c>
      <c r="C128" t="str">
        <f>IF(B128&lt;=$S$19,"Deficiente",IF(B128&lt;=$S$20,"Regular",IF(B128&lt;=$S$21,"Eficiente",0)))</f>
        <v>0</v>
      </c>
      <c r="D128" t="str">
        <f>SUM('Desempeño profesional'!L129:AD129)</f>
        <v>0</v>
      </c>
      <c r="E128" t="str">
        <f>IF(D128&lt;=$AE$19,"Deficiente",IF(D128&lt;=$AE$20,"Regular",IF(D128&lt;=$AE$21,"Eficiente",0)))</f>
        <v>0</v>
      </c>
      <c r="F128" t="str">
        <f>SUM('Desempeño profesional'!AE129:AJ129)</f>
        <v>0</v>
      </c>
      <c r="G128" t="str">
        <f>IF(F128&lt;=$AQ$19,"Deficiente",IF(F128&lt;=$AQ$20,"Regular",IF(F128&lt;=$AQ$21,"Eficiente",0)))</f>
        <v>0</v>
      </c>
      <c r="H128" t="str">
        <f>SUM('Desempeño profesional'!AK129:AO129)</f>
        <v>0</v>
      </c>
      <c r="I128" t="str">
        <f>IF(H128&lt;=$BC$19,"Deficiente",IF(H128&lt;=$BC$20,"Regular",IF(H128&lt;=$BC$21,"Eficiente",0)))</f>
        <v>0</v>
      </c>
      <c r="J128" t="str">
        <f>SUM(B128:H128)</f>
        <v>0</v>
      </c>
      <c r="K128" t="str">
        <f>IF(J128&lt;=$BO$19,"Deficiente",IF(J128&lt;=$BO$20,"Regular",IF(J128&lt;=$BO$21,"Eficiente",0)))</f>
        <v>0</v>
      </c>
    </row>
    <row r="129" spans="1:75">
      <c r="A129" t="s">
        <v>155</v>
      </c>
      <c r="B129" t="str">
        <f>SUM('Desempeño profesional'!B130:K130)</f>
        <v>0</v>
      </c>
      <c r="C129" t="str">
        <f>IF(B129&lt;=$S$19,"Deficiente",IF(B129&lt;=$S$20,"Regular",IF(B129&lt;=$S$21,"Eficiente",0)))</f>
        <v>0</v>
      </c>
      <c r="D129" t="str">
        <f>SUM('Desempeño profesional'!L130:AD130)</f>
        <v>0</v>
      </c>
      <c r="E129" t="str">
        <f>IF(D129&lt;=$AE$19,"Deficiente",IF(D129&lt;=$AE$20,"Regular",IF(D129&lt;=$AE$21,"Eficiente",0)))</f>
        <v>0</v>
      </c>
      <c r="F129" t="str">
        <f>SUM('Desempeño profesional'!AE130:AJ130)</f>
        <v>0</v>
      </c>
      <c r="G129" t="str">
        <f>IF(F129&lt;=$AQ$19,"Deficiente",IF(F129&lt;=$AQ$20,"Regular",IF(F129&lt;=$AQ$21,"Eficiente",0)))</f>
        <v>0</v>
      </c>
      <c r="H129" t="str">
        <f>SUM('Desempeño profesional'!AK130:AO130)</f>
        <v>0</v>
      </c>
      <c r="I129" t="str">
        <f>IF(H129&lt;=$BC$19,"Deficiente",IF(H129&lt;=$BC$20,"Regular",IF(H129&lt;=$BC$21,"Eficiente",0)))</f>
        <v>0</v>
      </c>
      <c r="J129" t="str">
        <f>SUM(B129:H129)</f>
        <v>0</v>
      </c>
      <c r="K129" t="str">
        <f>IF(J129&lt;=$BO$19,"Deficiente",IF(J129&lt;=$BO$20,"Regular",IF(J129&lt;=$BO$21,"Eficiente",0)))</f>
        <v>0</v>
      </c>
    </row>
    <row r="130" spans="1:75">
      <c r="A130" t="s">
        <v>156</v>
      </c>
      <c r="B130" t="str">
        <f>SUM('Desempeño profesional'!B131:K131)</f>
        <v>0</v>
      </c>
      <c r="C130" t="str">
        <f>IF(B130&lt;=$S$19,"Deficiente",IF(B130&lt;=$S$20,"Regular",IF(B130&lt;=$S$21,"Eficiente",0)))</f>
        <v>0</v>
      </c>
      <c r="D130" t="str">
        <f>SUM('Desempeño profesional'!L131:AD131)</f>
        <v>0</v>
      </c>
      <c r="E130" t="str">
        <f>IF(D130&lt;=$AE$19,"Deficiente",IF(D130&lt;=$AE$20,"Regular",IF(D130&lt;=$AE$21,"Eficiente",0)))</f>
        <v>0</v>
      </c>
      <c r="F130" t="str">
        <f>SUM('Desempeño profesional'!AE131:AJ131)</f>
        <v>0</v>
      </c>
      <c r="G130" t="str">
        <f>IF(F130&lt;=$AQ$19,"Deficiente",IF(F130&lt;=$AQ$20,"Regular",IF(F130&lt;=$AQ$21,"Eficiente",0)))</f>
        <v>0</v>
      </c>
      <c r="H130" t="str">
        <f>SUM('Desempeño profesional'!AK131:AO131)</f>
        <v>0</v>
      </c>
      <c r="I130" t="str">
        <f>IF(H130&lt;=$BC$19,"Deficiente",IF(H130&lt;=$BC$20,"Regular",IF(H130&lt;=$BC$21,"Eficiente",0)))</f>
        <v>0</v>
      </c>
      <c r="J130" t="str">
        <f>SUM(B130:H130)</f>
        <v>0</v>
      </c>
      <c r="K130" t="str">
        <f>IF(J130&lt;=$BO$19,"Deficiente",IF(J130&lt;=$BO$20,"Regular",IF(J130&lt;=$BO$21,"Eficiente",0)))</f>
        <v>0</v>
      </c>
    </row>
    <row r="131" spans="1:75">
      <c r="A131" t="s">
        <v>157</v>
      </c>
      <c r="B131" t="str">
        <f>SUM('Desempeño profesional'!B132:K132)</f>
        <v>0</v>
      </c>
      <c r="C131" t="str">
        <f>IF(B131&lt;=$S$19,"Deficiente",IF(B131&lt;=$S$20,"Regular",IF(B131&lt;=$S$21,"Eficiente",0)))</f>
        <v>0</v>
      </c>
      <c r="D131" t="str">
        <f>SUM('Desempeño profesional'!L132:AD132)</f>
        <v>0</v>
      </c>
      <c r="E131" t="str">
        <f>IF(D131&lt;=$AE$19,"Deficiente",IF(D131&lt;=$AE$20,"Regular",IF(D131&lt;=$AE$21,"Eficiente",0)))</f>
        <v>0</v>
      </c>
      <c r="F131" t="str">
        <f>SUM('Desempeño profesional'!AE132:AJ132)</f>
        <v>0</v>
      </c>
      <c r="G131" t="str">
        <f>IF(F131&lt;=$AQ$19,"Deficiente",IF(F131&lt;=$AQ$20,"Regular",IF(F131&lt;=$AQ$21,"Eficiente",0)))</f>
        <v>0</v>
      </c>
      <c r="H131" t="str">
        <f>SUM('Desempeño profesional'!AK132:AO132)</f>
        <v>0</v>
      </c>
      <c r="I131" t="str">
        <f>IF(H131&lt;=$BC$19,"Deficiente",IF(H131&lt;=$BC$20,"Regular",IF(H131&lt;=$BC$21,"Eficiente",0)))</f>
        <v>0</v>
      </c>
      <c r="J131" t="str">
        <f>SUM(B131:H131)</f>
        <v>0</v>
      </c>
      <c r="K131" t="str">
        <f>IF(J131&lt;=$BO$19,"Deficiente",IF(J131&lt;=$BO$20,"Regular",IF(J131&lt;=$BO$21,"Eficiente",0)))</f>
        <v>0</v>
      </c>
    </row>
    <row r="132" spans="1:75">
      <c r="A132" t="s">
        <v>158</v>
      </c>
      <c r="B132" t="str">
        <f>SUM('Desempeño profesional'!B133:K133)</f>
        <v>0</v>
      </c>
      <c r="C132" t="str">
        <f>IF(B132&lt;=$S$19,"Deficiente",IF(B132&lt;=$S$20,"Regular",IF(B132&lt;=$S$21,"Eficiente",0)))</f>
        <v>0</v>
      </c>
      <c r="D132" t="str">
        <f>SUM('Desempeño profesional'!L133:AD133)</f>
        <v>0</v>
      </c>
      <c r="E132" t="str">
        <f>IF(D132&lt;=$AE$19,"Deficiente",IF(D132&lt;=$AE$20,"Regular",IF(D132&lt;=$AE$21,"Eficiente",0)))</f>
        <v>0</v>
      </c>
      <c r="F132" t="str">
        <f>SUM('Desempeño profesional'!AE133:AJ133)</f>
        <v>0</v>
      </c>
      <c r="G132" t="str">
        <f>IF(F132&lt;=$AQ$19,"Deficiente",IF(F132&lt;=$AQ$20,"Regular",IF(F132&lt;=$AQ$21,"Eficiente",0)))</f>
        <v>0</v>
      </c>
      <c r="H132" t="str">
        <f>SUM('Desempeño profesional'!AK133:AO133)</f>
        <v>0</v>
      </c>
      <c r="I132" t="str">
        <f>IF(H132&lt;=$BC$19,"Deficiente",IF(H132&lt;=$BC$20,"Regular",IF(H132&lt;=$BC$21,"Eficiente",0)))</f>
        <v>0</v>
      </c>
      <c r="J132" t="str">
        <f>SUM(B132:H132)</f>
        <v>0</v>
      </c>
      <c r="K132" t="str">
        <f>IF(J132&lt;=$BO$19,"Deficiente",IF(J132&lt;=$BO$20,"Regular",IF(J132&lt;=$BO$21,"Eficiente",0)))</f>
        <v>0</v>
      </c>
    </row>
    <row r="133" spans="1:75">
      <c r="A133" t="s">
        <v>159</v>
      </c>
      <c r="B133" t="str">
        <f>SUM('Desempeño profesional'!B134:K134)</f>
        <v>0</v>
      </c>
      <c r="C133" t="str">
        <f>IF(B133&lt;=$S$19,"Deficiente",IF(B133&lt;=$S$20,"Regular",IF(B133&lt;=$S$21,"Eficiente",0)))</f>
        <v>0</v>
      </c>
      <c r="D133" t="str">
        <f>SUM('Desempeño profesional'!L134:AD134)</f>
        <v>0</v>
      </c>
      <c r="E133" t="str">
        <f>IF(D133&lt;=$AE$19,"Deficiente",IF(D133&lt;=$AE$20,"Regular",IF(D133&lt;=$AE$21,"Eficiente",0)))</f>
        <v>0</v>
      </c>
      <c r="F133" t="str">
        <f>SUM('Desempeño profesional'!AE134:AJ134)</f>
        <v>0</v>
      </c>
      <c r="G133" t="str">
        <f>IF(F133&lt;=$AQ$19,"Deficiente",IF(F133&lt;=$AQ$20,"Regular",IF(F133&lt;=$AQ$21,"Eficiente",0)))</f>
        <v>0</v>
      </c>
      <c r="H133" t="str">
        <f>SUM('Desempeño profesional'!AK134:AO134)</f>
        <v>0</v>
      </c>
      <c r="I133" t="str">
        <f>IF(H133&lt;=$BC$19,"Deficiente",IF(H133&lt;=$BC$20,"Regular",IF(H133&lt;=$BC$21,"Eficiente",0)))</f>
        <v>0</v>
      </c>
      <c r="J133" t="str">
        <f>SUM(B133:H133)</f>
        <v>0</v>
      </c>
      <c r="K133" t="str">
        <f>IF(J133&lt;=$BO$19,"Deficiente",IF(J133&lt;=$BO$20,"Regular",IF(J133&lt;=$BO$21,"Eficiente",0)))</f>
        <v>0</v>
      </c>
    </row>
    <row r="134" spans="1:75">
      <c r="A134" t="s">
        <v>160</v>
      </c>
      <c r="B134" t="str">
        <f>SUM('Desempeño profesional'!B135:K135)</f>
        <v>0</v>
      </c>
      <c r="C134" t="str">
        <f>IF(B134&lt;=$S$19,"Deficiente",IF(B134&lt;=$S$20,"Regular",IF(B134&lt;=$S$21,"Eficiente",0)))</f>
        <v>0</v>
      </c>
      <c r="D134" t="str">
        <f>SUM('Desempeño profesional'!L135:AD135)</f>
        <v>0</v>
      </c>
      <c r="E134" t="str">
        <f>IF(D134&lt;=$AE$19,"Deficiente",IF(D134&lt;=$AE$20,"Regular",IF(D134&lt;=$AE$21,"Eficiente",0)))</f>
        <v>0</v>
      </c>
      <c r="F134" t="str">
        <f>SUM('Desempeño profesional'!AE135:AJ135)</f>
        <v>0</v>
      </c>
      <c r="G134" t="str">
        <f>IF(F134&lt;=$AQ$19,"Deficiente",IF(F134&lt;=$AQ$20,"Regular",IF(F134&lt;=$AQ$21,"Eficiente",0)))</f>
        <v>0</v>
      </c>
      <c r="H134" t="str">
        <f>SUM('Desempeño profesional'!AK135:AO135)</f>
        <v>0</v>
      </c>
      <c r="I134" t="str">
        <f>IF(H134&lt;=$BC$19,"Deficiente",IF(H134&lt;=$BC$20,"Regular",IF(H134&lt;=$BC$21,"Eficiente",0)))</f>
        <v>0</v>
      </c>
      <c r="J134" t="str">
        <f>SUM(B134:H134)</f>
        <v>0</v>
      </c>
      <c r="K134" t="str">
        <f>IF(J134&lt;=$BO$19,"Deficiente",IF(J134&lt;=$BO$20,"Regular",IF(J134&lt;=$BO$21,"Eficiente",0)))</f>
        <v>0</v>
      </c>
    </row>
    <row r="135" spans="1:75">
      <c r="A135" t="s">
        <v>161</v>
      </c>
      <c r="B135" t="str">
        <f>SUM('Desempeño profesional'!B136:K136)</f>
        <v>0</v>
      </c>
      <c r="C135" t="str">
        <f>IF(B135&lt;=$S$19,"Deficiente",IF(B135&lt;=$S$20,"Regular",IF(B135&lt;=$S$21,"Eficiente",0)))</f>
        <v>0</v>
      </c>
      <c r="D135" t="str">
        <f>SUM('Desempeño profesional'!L136:AD136)</f>
        <v>0</v>
      </c>
      <c r="E135" t="str">
        <f>IF(D135&lt;=$AE$19,"Deficiente",IF(D135&lt;=$AE$20,"Regular",IF(D135&lt;=$AE$21,"Eficiente",0)))</f>
        <v>0</v>
      </c>
      <c r="F135" t="str">
        <f>SUM('Desempeño profesional'!AE136:AJ136)</f>
        <v>0</v>
      </c>
      <c r="G135" t="str">
        <f>IF(F135&lt;=$AQ$19,"Deficiente",IF(F135&lt;=$AQ$20,"Regular",IF(F135&lt;=$AQ$21,"Eficiente",0)))</f>
        <v>0</v>
      </c>
      <c r="H135" t="str">
        <f>SUM('Desempeño profesional'!AK136:AO136)</f>
        <v>0</v>
      </c>
      <c r="I135" t="str">
        <f>IF(H135&lt;=$BC$19,"Deficiente",IF(H135&lt;=$BC$20,"Regular",IF(H135&lt;=$BC$21,"Eficiente",0)))</f>
        <v>0</v>
      </c>
      <c r="J135" t="str">
        <f>SUM(B135:H135)</f>
        <v>0</v>
      </c>
      <c r="K135" t="str">
        <f>IF(J135&lt;=$BO$19,"Deficiente",IF(J135&lt;=$BO$20,"Regular",IF(J135&lt;=$BO$21,"Eficiente",0)))</f>
        <v>0</v>
      </c>
    </row>
    <row r="136" spans="1:75">
      <c r="A136" t="s">
        <v>162</v>
      </c>
      <c r="B136" t="str">
        <f>SUM('Desempeño profesional'!B137:K137)</f>
        <v>0</v>
      </c>
      <c r="C136" t="str">
        <f>IF(B136&lt;=$S$19,"Deficiente",IF(B136&lt;=$S$20,"Regular",IF(B136&lt;=$S$21,"Eficiente",0)))</f>
        <v>0</v>
      </c>
      <c r="D136" t="str">
        <f>SUM('Desempeño profesional'!L137:AD137)</f>
        <v>0</v>
      </c>
      <c r="E136" t="str">
        <f>IF(D136&lt;=$AE$19,"Deficiente",IF(D136&lt;=$AE$20,"Regular",IF(D136&lt;=$AE$21,"Eficiente",0)))</f>
        <v>0</v>
      </c>
      <c r="F136" t="str">
        <f>SUM('Desempeño profesional'!AE137:AJ137)</f>
        <v>0</v>
      </c>
      <c r="G136" t="str">
        <f>IF(F136&lt;=$AQ$19,"Deficiente",IF(F136&lt;=$AQ$20,"Regular",IF(F136&lt;=$AQ$21,"Eficiente",0)))</f>
        <v>0</v>
      </c>
      <c r="H136" t="str">
        <f>SUM('Desempeño profesional'!AK137:AO137)</f>
        <v>0</v>
      </c>
      <c r="I136" t="str">
        <f>IF(H136&lt;=$BC$19,"Deficiente",IF(H136&lt;=$BC$20,"Regular",IF(H136&lt;=$BC$21,"Eficiente",0)))</f>
        <v>0</v>
      </c>
      <c r="J136" t="str">
        <f>SUM(B136:H136)</f>
        <v>0</v>
      </c>
      <c r="K136" t="str">
        <f>IF(J136&lt;=$BO$19,"Deficiente",IF(J136&lt;=$BO$20,"Regular",IF(J136&lt;=$BO$21,"Eficiente",0)))</f>
        <v>0</v>
      </c>
    </row>
    <row r="137" spans="1:75">
      <c r="A137" t="s">
        <v>163</v>
      </c>
      <c r="B137" t="str">
        <f>SUM('Desempeño profesional'!B138:K138)</f>
        <v>0</v>
      </c>
      <c r="C137" t="str">
        <f>IF(B137&lt;=$S$19,"Deficiente",IF(B137&lt;=$S$20,"Regular",IF(B137&lt;=$S$21,"Eficiente",0)))</f>
        <v>0</v>
      </c>
      <c r="D137" t="str">
        <f>SUM('Desempeño profesional'!L138:AD138)</f>
        <v>0</v>
      </c>
      <c r="E137" t="str">
        <f>IF(D137&lt;=$AE$19,"Deficiente",IF(D137&lt;=$AE$20,"Regular",IF(D137&lt;=$AE$21,"Eficiente",0)))</f>
        <v>0</v>
      </c>
      <c r="F137" t="str">
        <f>SUM('Desempeño profesional'!AE138:AJ138)</f>
        <v>0</v>
      </c>
      <c r="G137" t="str">
        <f>IF(F137&lt;=$AQ$19,"Deficiente",IF(F137&lt;=$AQ$20,"Regular",IF(F137&lt;=$AQ$21,"Eficiente",0)))</f>
        <v>0</v>
      </c>
      <c r="H137" t="str">
        <f>SUM('Desempeño profesional'!AK138:AO138)</f>
        <v>0</v>
      </c>
      <c r="I137" t="str">
        <f>IF(H137&lt;=$BC$19,"Deficiente",IF(H137&lt;=$BC$20,"Regular",IF(H137&lt;=$BC$21,"Eficiente",0)))</f>
        <v>0</v>
      </c>
      <c r="J137" t="str">
        <f>SUM(B137:H137)</f>
        <v>0</v>
      </c>
      <c r="K137" t="str">
        <f>IF(J137&lt;=$BO$19,"Deficiente",IF(J137&lt;=$BO$20,"Regular",IF(J137&lt;=$BO$21,"Eficiente",0)))</f>
        <v>0</v>
      </c>
    </row>
    <row r="138" spans="1:75">
      <c r="A138" t="s">
        <v>164</v>
      </c>
      <c r="B138" t="str">
        <f>SUM('Desempeño profesional'!B139:K139)</f>
        <v>0</v>
      </c>
      <c r="C138" t="str">
        <f>IF(B138&lt;=$S$19,"Deficiente",IF(B138&lt;=$S$20,"Regular",IF(B138&lt;=$S$21,"Eficiente",0)))</f>
        <v>0</v>
      </c>
      <c r="D138" t="str">
        <f>SUM('Desempeño profesional'!L139:AD139)</f>
        <v>0</v>
      </c>
      <c r="E138" t="str">
        <f>IF(D138&lt;=$AE$19,"Deficiente",IF(D138&lt;=$AE$20,"Regular",IF(D138&lt;=$AE$21,"Eficiente",0)))</f>
        <v>0</v>
      </c>
      <c r="F138" t="str">
        <f>SUM('Desempeño profesional'!AE139:AJ139)</f>
        <v>0</v>
      </c>
      <c r="G138" t="str">
        <f>IF(F138&lt;=$AQ$19,"Deficiente",IF(F138&lt;=$AQ$20,"Regular",IF(F138&lt;=$AQ$21,"Eficiente",0)))</f>
        <v>0</v>
      </c>
      <c r="H138" t="str">
        <f>SUM('Desempeño profesional'!AK139:AO139)</f>
        <v>0</v>
      </c>
      <c r="I138" t="str">
        <f>IF(H138&lt;=$BC$19,"Deficiente",IF(H138&lt;=$BC$20,"Regular",IF(H138&lt;=$BC$21,"Eficiente",0)))</f>
        <v>0</v>
      </c>
      <c r="J138" t="str">
        <f>SUM(B138:H138)</f>
        <v>0</v>
      </c>
      <c r="K138" t="str">
        <f>IF(J138&lt;=$BO$19,"Deficiente",IF(J138&lt;=$BO$20,"Regular",IF(J138&lt;=$BO$21,"Eficiente",0)))</f>
        <v>0</v>
      </c>
    </row>
    <row r="139" spans="1:75">
      <c r="A139" t="s">
        <v>165</v>
      </c>
      <c r="B139" t="str">
        <f>SUM('Desempeño profesional'!B140:K140)</f>
        <v>0</v>
      </c>
      <c r="C139" t="str">
        <f>IF(B139&lt;=$S$19,"Deficiente",IF(B139&lt;=$S$20,"Regular",IF(B139&lt;=$S$21,"Eficiente",0)))</f>
        <v>0</v>
      </c>
      <c r="D139" t="str">
        <f>SUM('Desempeño profesional'!L140:AD140)</f>
        <v>0</v>
      </c>
      <c r="E139" t="str">
        <f>IF(D139&lt;=$AE$19,"Deficiente",IF(D139&lt;=$AE$20,"Regular",IF(D139&lt;=$AE$21,"Eficiente",0)))</f>
        <v>0</v>
      </c>
      <c r="F139" t="str">
        <f>SUM('Desempeño profesional'!AE140:AJ140)</f>
        <v>0</v>
      </c>
      <c r="G139" t="str">
        <f>IF(F139&lt;=$AQ$19,"Deficiente",IF(F139&lt;=$AQ$20,"Regular",IF(F139&lt;=$AQ$21,"Eficiente",0)))</f>
        <v>0</v>
      </c>
      <c r="H139" t="str">
        <f>SUM('Desempeño profesional'!AK140:AO140)</f>
        <v>0</v>
      </c>
      <c r="I139" t="str">
        <f>IF(H139&lt;=$BC$19,"Deficiente",IF(H139&lt;=$BC$20,"Regular",IF(H139&lt;=$BC$21,"Eficiente",0)))</f>
        <v>0</v>
      </c>
      <c r="J139" t="str">
        <f>SUM(B139:H139)</f>
        <v>0</v>
      </c>
      <c r="K139" t="str">
        <f>IF(J139&lt;=$BO$19,"Deficiente",IF(J139&lt;=$BO$20,"Regular",IF(J139&lt;=$BO$21,"Eficiente",0)))</f>
        <v>0</v>
      </c>
    </row>
    <row r="140" spans="1:75">
      <c r="A140" t="s">
        <v>166</v>
      </c>
      <c r="B140" t="str">
        <f>SUM('Desempeño profesional'!B141:K141)</f>
        <v>0</v>
      </c>
      <c r="C140" t="str">
        <f>IF(B140&lt;=$S$19,"Deficiente",IF(B140&lt;=$S$20,"Regular",IF(B140&lt;=$S$21,"Eficiente",0)))</f>
        <v>0</v>
      </c>
      <c r="D140" t="str">
        <f>SUM('Desempeño profesional'!L141:AD141)</f>
        <v>0</v>
      </c>
      <c r="E140" t="str">
        <f>IF(D140&lt;=$AE$19,"Deficiente",IF(D140&lt;=$AE$20,"Regular",IF(D140&lt;=$AE$21,"Eficiente",0)))</f>
        <v>0</v>
      </c>
      <c r="F140" t="str">
        <f>SUM('Desempeño profesional'!AE141:AJ141)</f>
        <v>0</v>
      </c>
      <c r="G140" t="str">
        <f>IF(F140&lt;=$AQ$19,"Deficiente",IF(F140&lt;=$AQ$20,"Regular",IF(F140&lt;=$AQ$21,"Eficiente",0)))</f>
        <v>0</v>
      </c>
      <c r="H140" t="str">
        <f>SUM('Desempeño profesional'!AK141:AO141)</f>
        <v>0</v>
      </c>
      <c r="I140" t="str">
        <f>IF(H140&lt;=$BC$19,"Deficiente",IF(H140&lt;=$BC$20,"Regular",IF(H140&lt;=$BC$21,"Eficiente",0)))</f>
        <v>0</v>
      </c>
      <c r="J140" t="str">
        <f>SUM(B140:H140)</f>
        <v>0</v>
      </c>
      <c r="K140" t="str">
        <f>IF(J140&lt;=$BO$19,"Deficiente",IF(J140&lt;=$BO$20,"Regular",IF(J140&lt;=$BO$21,"Eficiente",0)))</f>
        <v>0</v>
      </c>
    </row>
    <row r="141" spans="1:75">
      <c r="A141" t="s">
        <v>167</v>
      </c>
      <c r="B141" t="str">
        <f>SUM('Desempeño profesional'!B142:K142)</f>
        <v>0</v>
      </c>
      <c r="C141" t="str">
        <f>IF(B141&lt;=$S$19,"Deficiente",IF(B141&lt;=$S$20,"Regular",IF(B141&lt;=$S$21,"Eficiente",0)))</f>
        <v>0</v>
      </c>
      <c r="D141" t="str">
        <f>SUM('Desempeño profesional'!L142:AD142)</f>
        <v>0</v>
      </c>
      <c r="E141" t="str">
        <f>IF(D141&lt;=$AE$19,"Deficiente",IF(D141&lt;=$AE$20,"Regular",IF(D141&lt;=$AE$21,"Eficiente",0)))</f>
        <v>0</v>
      </c>
      <c r="F141" t="str">
        <f>SUM('Desempeño profesional'!AE142:AJ142)</f>
        <v>0</v>
      </c>
      <c r="G141" t="str">
        <f>IF(F141&lt;=$AQ$19,"Deficiente",IF(F141&lt;=$AQ$20,"Regular",IF(F141&lt;=$AQ$21,"Eficiente",0)))</f>
        <v>0</v>
      </c>
      <c r="H141" t="str">
        <f>SUM('Desempeño profesional'!AK142:AO142)</f>
        <v>0</v>
      </c>
      <c r="I141" t="str">
        <f>IF(H141&lt;=$BC$19,"Deficiente",IF(H141&lt;=$BC$20,"Regular",IF(H141&lt;=$BC$21,"Eficiente",0)))</f>
        <v>0</v>
      </c>
      <c r="J141" t="str">
        <f>SUM(B141:H141)</f>
        <v>0</v>
      </c>
      <c r="K141" t="str">
        <f>IF(J141&lt;=$BO$19,"Deficiente",IF(J141&lt;=$BO$20,"Regular",IF(J141&lt;=$BO$21,"Eficiente",0)))</f>
        <v>0</v>
      </c>
    </row>
    <row r="142" spans="1:75">
      <c r="A142" t="s">
        <v>168</v>
      </c>
      <c r="B142" t="str">
        <f>SUM('Desempeño profesional'!B143:K143)</f>
        <v>0</v>
      </c>
      <c r="C142" t="str">
        <f>IF(B142&lt;=$S$19,"Deficiente",IF(B142&lt;=$S$20,"Regular",IF(B142&lt;=$S$21,"Eficiente",0)))</f>
        <v>0</v>
      </c>
      <c r="D142" t="str">
        <f>SUM('Desempeño profesional'!L143:AD143)</f>
        <v>0</v>
      </c>
      <c r="E142" t="str">
        <f>IF(D142&lt;=$AE$19,"Deficiente",IF(D142&lt;=$AE$20,"Regular",IF(D142&lt;=$AE$21,"Eficiente",0)))</f>
        <v>0</v>
      </c>
      <c r="F142" t="str">
        <f>SUM('Desempeño profesional'!AE143:AJ143)</f>
        <v>0</v>
      </c>
      <c r="G142" t="str">
        <f>IF(F142&lt;=$AQ$19,"Deficiente",IF(F142&lt;=$AQ$20,"Regular",IF(F142&lt;=$AQ$21,"Eficiente",0)))</f>
        <v>0</v>
      </c>
      <c r="H142" t="str">
        <f>SUM('Desempeño profesional'!AK143:AO143)</f>
        <v>0</v>
      </c>
      <c r="I142" t="str">
        <f>IF(H142&lt;=$BC$19,"Deficiente",IF(H142&lt;=$BC$20,"Regular",IF(H142&lt;=$BC$21,"Eficiente",0)))</f>
        <v>0</v>
      </c>
      <c r="J142" t="str">
        <f>SUM(B142:H142)</f>
        <v>0</v>
      </c>
      <c r="K142" t="str">
        <f>IF(J142&lt;=$BO$19,"Deficiente",IF(J142&lt;=$BO$20,"Regular",IF(J142&lt;=$BO$21,"Eficiente",0)))</f>
        <v>0</v>
      </c>
    </row>
    <row r="143" spans="1:75">
      <c r="A143" t="s">
        <v>169</v>
      </c>
      <c r="B143" t="str">
        <f>SUM('Desempeño profesional'!B144:K144)</f>
        <v>0</v>
      </c>
      <c r="C143" t="str">
        <f>IF(B143&lt;=$S$19,"Deficiente",IF(B143&lt;=$S$20,"Regular",IF(B143&lt;=$S$21,"Eficiente",0)))</f>
        <v>0</v>
      </c>
      <c r="D143" t="str">
        <f>SUM('Desempeño profesional'!L144:AD144)</f>
        <v>0</v>
      </c>
      <c r="E143" t="str">
        <f>IF(D143&lt;=$AE$19,"Deficiente",IF(D143&lt;=$AE$20,"Regular",IF(D143&lt;=$AE$21,"Eficiente",0)))</f>
        <v>0</v>
      </c>
      <c r="F143" t="str">
        <f>SUM('Desempeño profesional'!AE144:AJ144)</f>
        <v>0</v>
      </c>
      <c r="G143" t="str">
        <f>IF(F143&lt;=$AQ$19,"Deficiente",IF(F143&lt;=$AQ$20,"Regular",IF(F143&lt;=$AQ$21,"Eficiente",0)))</f>
        <v>0</v>
      </c>
      <c r="H143" t="str">
        <f>SUM('Desempeño profesional'!AK144:AO144)</f>
        <v>0</v>
      </c>
      <c r="I143" t="str">
        <f>IF(H143&lt;=$BC$19,"Deficiente",IF(H143&lt;=$BC$20,"Regular",IF(H143&lt;=$BC$21,"Eficiente",0)))</f>
        <v>0</v>
      </c>
      <c r="J143" t="str">
        <f>SUM(B143:H143)</f>
        <v>0</v>
      </c>
      <c r="K143" t="str">
        <f>IF(J143&lt;=$BO$19,"Deficiente",IF(J143&lt;=$BO$20,"Regular",IF(J143&lt;=$BO$21,"Eficiente",0)))</f>
        <v>0</v>
      </c>
    </row>
    <row r="144" spans="1:75">
      <c r="A144" t="s">
        <v>170</v>
      </c>
      <c r="B144" t="str">
        <f>SUM('Desempeño profesional'!B145:K145)</f>
        <v>0</v>
      </c>
      <c r="C144" t="str">
        <f>IF(B144&lt;=$S$19,"Deficiente",IF(B144&lt;=$S$20,"Regular",IF(B144&lt;=$S$21,"Eficiente",0)))</f>
        <v>0</v>
      </c>
      <c r="D144" t="str">
        <f>SUM('Desempeño profesional'!L145:AD145)</f>
        <v>0</v>
      </c>
      <c r="E144" t="str">
        <f>IF(D144&lt;=$AE$19,"Deficiente",IF(D144&lt;=$AE$20,"Regular",IF(D144&lt;=$AE$21,"Eficiente",0)))</f>
        <v>0</v>
      </c>
      <c r="F144" t="str">
        <f>SUM('Desempeño profesional'!AE145:AJ145)</f>
        <v>0</v>
      </c>
      <c r="G144" t="str">
        <f>IF(F144&lt;=$AQ$19,"Deficiente",IF(F144&lt;=$AQ$20,"Regular",IF(F144&lt;=$AQ$21,"Eficiente",0)))</f>
        <v>0</v>
      </c>
      <c r="H144" t="str">
        <f>SUM('Desempeño profesional'!AK145:AO145)</f>
        <v>0</v>
      </c>
      <c r="I144" t="str">
        <f>IF(H144&lt;=$BC$19,"Deficiente",IF(H144&lt;=$BC$20,"Regular",IF(H144&lt;=$BC$21,"Eficiente",0)))</f>
        <v>0</v>
      </c>
      <c r="J144" t="str">
        <f>SUM(B144:H144)</f>
        <v>0</v>
      </c>
      <c r="K144" t="str">
        <f>IF(J144&lt;=$BO$19,"Deficiente",IF(J144&lt;=$BO$20,"Regular",IF(J144&lt;=$BO$21,"Eficiente",0)))</f>
        <v>0</v>
      </c>
    </row>
    <row r="145" spans="1:75">
      <c r="A145" t="s">
        <v>171</v>
      </c>
      <c r="B145" t="str">
        <f>SUM('Desempeño profesional'!B146:K146)</f>
        <v>0</v>
      </c>
      <c r="C145" t="str">
        <f>IF(B145&lt;=$S$19,"Deficiente",IF(B145&lt;=$S$20,"Regular",IF(B145&lt;=$S$21,"Eficiente",0)))</f>
        <v>0</v>
      </c>
      <c r="D145" t="str">
        <f>SUM('Desempeño profesional'!L146:AD146)</f>
        <v>0</v>
      </c>
      <c r="E145" t="str">
        <f>IF(D145&lt;=$AE$19,"Deficiente",IF(D145&lt;=$AE$20,"Regular",IF(D145&lt;=$AE$21,"Eficiente",0)))</f>
        <v>0</v>
      </c>
      <c r="F145" t="str">
        <f>SUM('Desempeño profesional'!AE146:AJ146)</f>
        <v>0</v>
      </c>
      <c r="G145" t="str">
        <f>IF(F145&lt;=$AQ$19,"Deficiente",IF(F145&lt;=$AQ$20,"Regular",IF(F145&lt;=$AQ$21,"Eficiente",0)))</f>
        <v>0</v>
      </c>
      <c r="H145" t="str">
        <f>SUM('Desempeño profesional'!AK146:AO146)</f>
        <v>0</v>
      </c>
      <c r="I145" t="str">
        <f>IF(H145&lt;=$BC$19,"Deficiente",IF(H145&lt;=$BC$20,"Regular",IF(H145&lt;=$BC$21,"Eficiente",0)))</f>
        <v>0</v>
      </c>
      <c r="J145" t="str">
        <f>SUM(B145:H145)</f>
        <v>0</v>
      </c>
      <c r="K145" t="str">
        <f>IF(J145&lt;=$BO$19,"Deficiente",IF(J145&lt;=$BO$20,"Regular",IF(J145&lt;=$BO$21,"Eficiente",0)))</f>
        <v>0</v>
      </c>
    </row>
    <row r="146" spans="1:75">
      <c r="A146" t="s">
        <v>172</v>
      </c>
      <c r="B146" t="str">
        <f>SUM('Desempeño profesional'!B147:K147)</f>
        <v>0</v>
      </c>
      <c r="C146" t="str">
        <f>IF(B146&lt;=$S$19,"Deficiente",IF(B146&lt;=$S$20,"Regular",IF(B146&lt;=$S$21,"Eficiente",0)))</f>
        <v>0</v>
      </c>
      <c r="D146" t="str">
        <f>SUM('Desempeño profesional'!L147:AD147)</f>
        <v>0</v>
      </c>
      <c r="E146" t="str">
        <f>IF(D146&lt;=$AE$19,"Deficiente",IF(D146&lt;=$AE$20,"Regular",IF(D146&lt;=$AE$21,"Eficiente",0)))</f>
        <v>0</v>
      </c>
      <c r="F146" t="str">
        <f>SUM('Desempeño profesional'!AE147:AJ147)</f>
        <v>0</v>
      </c>
      <c r="G146" t="str">
        <f>IF(F146&lt;=$AQ$19,"Deficiente",IF(F146&lt;=$AQ$20,"Regular",IF(F146&lt;=$AQ$21,"Eficiente",0)))</f>
        <v>0</v>
      </c>
      <c r="H146" t="str">
        <f>SUM('Desempeño profesional'!AK147:AO147)</f>
        <v>0</v>
      </c>
      <c r="I146" t="str">
        <f>IF(H146&lt;=$BC$19,"Deficiente",IF(H146&lt;=$BC$20,"Regular",IF(H146&lt;=$BC$21,"Eficiente",0)))</f>
        <v>0</v>
      </c>
      <c r="J146" t="str">
        <f>SUM(B146:H146)</f>
        <v>0</v>
      </c>
      <c r="K146" t="str">
        <f>IF(J146&lt;=$BO$19,"Deficiente",IF(J146&lt;=$BO$20,"Regular",IF(J146&lt;=$BO$21,"Eficiente",0)))</f>
        <v>0</v>
      </c>
    </row>
    <row r="147" spans="1:75">
      <c r="A147" t="s">
        <v>173</v>
      </c>
      <c r="B147" t="str">
        <f>SUM('Desempeño profesional'!B148:K148)</f>
        <v>0</v>
      </c>
      <c r="C147" t="str">
        <f>IF(B147&lt;=$S$19,"Deficiente",IF(B147&lt;=$S$20,"Regular",IF(B147&lt;=$S$21,"Eficiente",0)))</f>
        <v>0</v>
      </c>
      <c r="D147" t="str">
        <f>SUM('Desempeño profesional'!L148:AD148)</f>
        <v>0</v>
      </c>
      <c r="E147" t="str">
        <f>IF(D147&lt;=$AE$19,"Deficiente",IF(D147&lt;=$AE$20,"Regular",IF(D147&lt;=$AE$21,"Eficiente",0)))</f>
        <v>0</v>
      </c>
      <c r="F147" t="str">
        <f>SUM('Desempeño profesional'!AE148:AJ148)</f>
        <v>0</v>
      </c>
      <c r="G147" t="str">
        <f>IF(F147&lt;=$AQ$19,"Deficiente",IF(F147&lt;=$AQ$20,"Regular",IF(F147&lt;=$AQ$21,"Eficiente",0)))</f>
        <v>0</v>
      </c>
      <c r="H147" t="str">
        <f>SUM('Desempeño profesional'!AK148:AO148)</f>
        <v>0</v>
      </c>
      <c r="I147" t="str">
        <f>IF(H147&lt;=$BC$19,"Deficiente",IF(H147&lt;=$BC$20,"Regular",IF(H147&lt;=$BC$21,"Eficiente",0)))</f>
        <v>0</v>
      </c>
      <c r="J147" t="str">
        <f>SUM(B147:H147)</f>
        <v>0</v>
      </c>
      <c r="K147" t="str">
        <f>IF(J147&lt;=$BO$19,"Deficiente",IF(J147&lt;=$BO$20,"Regular",IF(J147&lt;=$BO$21,"Eficiente",0)))</f>
        <v>0</v>
      </c>
    </row>
    <row r="148" spans="1:75">
      <c r="A148" t="s">
        <v>174</v>
      </c>
      <c r="B148" t="str">
        <f>SUM('Desempeño profesional'!B149:K149)</f>
        <v>0</v>
      </c>
      <c r="C148" t="str">
        <f>IF(B148&lt;=$S$19,"Deficiente",IF(B148&lt;=$S$20,"Regular",IF(B148&lt;=$S$21,"Eficiente",0)))</f>
        <v>0</v>
      </c>
      <c r="D148" t="str">
        <f>SUM('Desempeño profesional'!L149:AD149)</f>
        <v>0</v>
      </c>
      <c r="E148" t="str">
        <f>IF(D148&lt;=$AE$19,"Deficiente",IF(D148&lt;=$AE$20,"Regular",IF(D148&lt;=$AE$21,"Eficiente",0)))</f>
        <v>0</v>
      </c>
      <c r="F148" t="str">
        <f>SUM('Desempeño profesional'!AE149:AJ149)</f>
        <v>0</v>
      </c>
      <c r="G148" t="str">
        <f>IF(F148&lt;=$AQ$19,"Deficiente",IF(F148&lt;=$AQ$20,"Regular",IF(F148&lt;=$AQ$21,"Eficiente",0)))</f>
        <v>0</v>
      </c>
      <c r="H148" t="str">
        <f>SUM('Desempeño profesional'!AK149:AO149)</f>
        <v>0</v>
      </c>
      <c r="I148" t="str">
        <f>IF(H148&lt;=$BC$19,"Deficiente",IF(H148&lt;=$BC$20,"Regular",IF(H148&lt;=$BC$21,"Eficiente",0)))</f>
        <v>0</v>
      </c>
      <c r="J148" t="str">
        <f>SUM(B148:H148)</f>
        <v>0</v>
      </c>
      <c r="K148" t="str">
        <f>IF(J148&lt;=$BO$19,"Deficiente",IF(J148&lt;=$BO$20,"Regular",IF(J148&lt;=$BO$21,"Eficiente",0)))</f>
        <v>0</v>
      </c>
    </row>
    <row r="149" spans="1:75">
      <c r="A149" t="s">
        <v>175</v>
      </c>
      <c r="B149" t="str">
        <f>SUM('Desempeño profesional'!B150:K150)</f>
        <v>0</v>
      </c>
      <c r="C149" t="str">
        <f>IF(B149&lt;=$S$19,"Deficiente",IF(B149&lt;=$S$20,"Regular",IF(B149&lt;=$S$21,"Eficiente",0)))</f>
        <v>0</v>
      </c>
      <c r="D149" t="str">
        <f>SUM('Desempeño profesional'!L150:AD150)</f>
        <v>0</v>
      </c>
      <c r="E149" t="str">
        <f>IF(D149&lt;=$AE$19,"Deficiente",IF(D149&lt;=$AE$20,"Regular",IF(D149&lt;=$AE$21,"Eficiente",0)))</f>
        <v>0</v>
      </c>
      <c r="F149" t="str">
        <f>SUM('Desempeño profesional'!AE150:AJ150)</f>
        <v>0</v>
      </c>
      <c r="G149" t="str">
        <f>IF(F149&lt;=$AQ$19,"Deficiente",IF(F149&lt;=$AQ$20,"Regular",IF(F149&lt;=$AQ$21,"Eficiente",0)))</f>
        <v>0</v>
      </c>
      <c r="H149" t="str">
        <f>SUM('Desempeño profesional'!AK150:AO150)</f>
        <v>0</v>
      </c>
      <c r="I149" t="str">
        <f>IF(H149&lt;=$BC$19,"Deficiente",IF(H149&lt;=$BC$20,"Regular",IF(H149&lt;=$BC$21,"Eficiente",0)))</f>
        <v>0</v>
      </c>
      <c r="J149" t="str">
        <f>SUM(B149:H149)</f>
        <v>0</v>
      </c>
      <c r="K149" t="str">
        <f>IF(J149&lt;=$BO$19,"Deficiente",IF(J149&lt;=$BO$20,"Regular",IF(J149&lt;=$BO$21,"Eficiente",0)))</f>
        <v>0</v>
      </c>
    </row>
    <row r="150" spans="1:75">
      <c r="A150" t="s">
        <v>176</v>
      </c>
      <c r="B150" t="str">
        <f>SUM('Desempeño profesional'!B151:K151)</f>
        <v>0</v>
      </c>
      <c r="C150" t="str">
        <f>IF(B150&lt;=$S$19,"Deficiente",IF(B150&lt;=$S$20,"Regular",IF(B150&lt;=$S$21,"Eficiente",0)))</f>
        <v>0</v>
      </c>
      <c r="D150" t="str">
        <f>SUM('Desempeño profesional'!L151:AD151)</f>
        <v>0</v>
      </c>
      <c r="E150" t="str">
        <f>IF(D150&lt;=$AE$19,"Deficiente",IF(D150&lt;=$AE$20,"Regular",IF(D150&lt;=$AE$21,"Eficiente",0)))</f>
        <v>0</v>
      </c>
      <c r="F150" t="str">
        <f>SUM('Desempeño profesional'!AE151:AJ151)</f>
        <v>0</v>
      </c>
      <c r="G150" t="str">
        <f>IF(F150&lt;=$AQ$19,"Deficiente",IF(F150&lt;=$AQ$20,"Regular",IF(F150&lt;=$AQ$21,"Eficiente",0)))</f>
        <v>0</v>
      </c>
      <c r="H150" t="str">
        <f>SUM('Desempeño profesional'!AK151:AO151)</f>
        <v>0</v>
      </c>
      <c r="I150" t="str">
        <f>IF(H150&lt;=$BC$19,"Deficiente",IF(H150&lt;=$BC$20,"Regular",IF(H150&lt;=$BC$21,"Eficiente",0)))</f>
        <v>0</v>
      </c>
      <c r="J150" t="str">
        <f>SUM(B150:H150)</f>
        <v>0</v>
      </c>
      <c r="K150" t="str">
        <f>IF(J150&lt;=$BO$19,"Deficiente",IF(J150&lt;=$BO$20,"Regular",IF(J150&lt;=$BO$21,"Eficiente",0)))</f>
        <v>0</v>
      </c>
    </row>
    <row r="151" spans="1:75">
      <c r="A151" t="s">
        <v>177</v>
      </c>
      <c r="B151" t="str">
        <f>SUM('Desempeño profesional'!B152:K152)</f>
        <v>0</v>
      </c>
      <c r="C151" t="str">
        <f>IF(B151&lt;=$S$19,"Deficiente",IF(B151&lt;=$S$20,"Regular",IF(B151&lt;=$S$21,"Eficiente",0)))</f>
        <v>0</v>
      </c>
      <c r="D151" t="str">
        <f>SUM('Desempeño profesional'!L152:AD152)</f>
        <v>0</v>
      </c>
      <c r="E151" t="str">
        <f>IF(D151&lt;=$AE$19,"Deficiente",IF(D151&lt;=$AE$20,"Regular",IF(D151&lt;=$AE$21,"Eficiente",0)))</f>
        <v>0</v>
      </c>
      <c r="F151" t="str">
        <f>SUM('Desempeño profesional'!AE152:AJ152)</f>
        <v>0</v>
      </c>
      <c r="G151" t="str">
        <f>IF(F151&lt;=$AQ$19,"Deficiente",IF(F151&lt;=$AQ$20,"Regular",IF(F151&lt;=$AQ$21,"Eficiente",0)))</f>
        <v>0</v>
      </c>
      <c r="H151" t="str">
        <f>SUM('Desempeño profesional'!AK152:AO152)</f>
        <v>0</v>
      </c>
      <c r="I151" t="str">
        <f>IF(H151&lt;=$BC$19,"Deficiente",IF(H151&lt;=$BC$20,"Regular",IF(H151&lt;=$BC$21,"Eficiente",0)))</f>
        <v>0</v>
      </c>
      <c r="J151" t="str">
        <f>SUM(B151:H151)</f>
        <v>0</v>
      </c>
      <c r="K151" t="str">
        <f>IF(J151&lt;=$BO$19,"Deficiente",IF(J151&lt;=$BO$20,"Regular",IF(J151&lt;=$BO$21,"Eficiente",0)))</f>
        <v>0</v>
      </c>
    </row>
    <row r="152" spans="1:75">
      <c r="A152" t="s">
        <v>178</v>
      </c>
      <c r="B152" t="str">
        <f>SUM('Desempeño profesional'!B153:K153)</f>
        <v>0</v>
      </c>
      <c r="C152" t="str">
        <f>IF(B152&lt;=$S$19,"Deficiente",IF(B152&lt;=$S$20,"Regular",IF(B152&lt;=$S$21,"Eficiente",0)))</f>
        <v>0</v>
      </c>
      <c r="D152" t="str">
        <f>SUM('Desempeño profesional'!L153:AD153)</f>
        <v>0</v>
      </c>
      <c r="E152" t="str">
        <f>IF(D152&lt;=$AE$19,"Deficiente",IF(D152&lt;=$AE$20,"Regular",IF(D152&lt;=$AE$21,"Eficiente",0)))</f>
        <v>0</v>
      </c>
      <c r="F152" t="str">
        <f>SUM('Desempeño profesional'!AE153:AJ153)</f>
        <v>0</v>
      </c>
      <c r="G152" t="str">
        <f>IF(F152&lt;=$AQ$19,"Deficiente",IF(F152&lt;=$AQ$20,"Regular",IF(F152&lt;=$AQ$21,"Eficiente",0)))</f>
        <v>0</v>
      </c>
      <c r="H152" t="str">
        <f>SUM('Desempeño profesional'!AK153:AO153)</f>
        <v>0</v>
      </c>
      <c r="I152" t="str">
        <f>IF(H152&lt;=$BC$19,"Deficiente",IF(H152&lt;=$BC$20,"Regular",IF(H152&lt;=$BC$21,"Eficiente",0)))</f>
        <v>0</v>
      </c>
      <c r="J152" t="str">
        <f>SUM(B152:H152)</f>
        <v>0</v>
      </c>
      <c r="K152" t="str">
        <f>IF(J152&lt;=$BO$19,"Deficiente",IF(J152&lt;=$BO$20,"Regular",IF(J152&lt;=$BO$21,"Eficiente",0)))</f>
        <v>0</v>
      </c>
    </row>
    <row r="153" spans="1:75">
      <c r="A153" t="s">
        <v>179</v>
      </c>
      <c r="B153" t="str">
        <f>SUM('Desempeño profesional'!B154:K154)</f>
        <v>0</v>
      </c>
      <c r="C153" t="str">
        <f>IF(B153&lt;=$S$19,"Deficiente",IF(B153&lt;=$S$20,"Regular",IF(B153&lt;=$S$21,"Eficiente",0)))</f>
        <v>0</v>
      </c>
      <c r="D153" t="str">
        <f>SUM('Desempeño profesional'!L154:AD154)</f>
        <v>0</v>
      </c>
      <c r="E153" t="str">
        <f>IF(D153&lt;=$AE$19,"Deficiente",IF(D153&lt;=$AE$20,"Regular",IF(D153&lt;=$AE$21,"Eficiente",0)))</f>
        <v>0</v>
      </c>
      <c r="F153" t="str">
        <f>SUM('Desempeño profesional'!AE154:AJ154)</f>
        <v>0</v>
      </c>
      <c r="G153" t="str">
        <f>IF(F153&lt;=$AQ$19,"Deficiente",IF(F153&lt;=$AQ$20,"Regular",IF(F153&lt;=$AQ$21,"Eficiente",0)))</f>
        <v>0</v>
      </c>
      <c r="H153" t="str">
        <f>SUM('Desempeño profesional'!AK154:AO154)</f>
        <v>0</v>
      </c>
      <c r="I153" t="str">
        <f>IF(H153&lt;=$BC$19,"Deficiente",IF(H153&lt;=$BC$20,"Regular",IF(H153&lt;=$BC$21,"Eficiente",0)))</f>
        <v>0</v>
      </c>
      <c r="J153" t="str">
        <f>SUM(B153:H153)</f>
        <v>0</v>
      </c>
      <c r="K153" t="str">
        <f>IF(J153&lt;=$BO$19,"Deficiente",IF(J153&lt;=$BO$20,"Regular",IF(J153&lt;=$BO$21,"Eficiente",0)))</f>
        <v>0</v>
      </c>
    </row>
    <row r="154" spans="1:75">
      <c r="A154" t="s">
        <v>180</v>
      </c>
      <c r="B154" t="str">
        <f>SUM('Desempeño profesional'!B155:K155)</f>
        <v>0</v>
      </c>
      <c r="C154" t="str">
        <f>IF(B154&lt;=$S$19,"Deficiente",IF(B154&lt;=$S$20,"Regular",IF(B154&lt;=$S$21,"Eficiente",0)))</f>
        <v>0</v>
      </c>
      <c r="D154" t="str">
        <f>SUM('Desempeño profesional'!L155:AD155)</f>
        <v>0</v>
      </c>
      <c r="E154" t="str">
        <f>IF(D154&lt;=$AE$19,"Deficiente",IF(D154&lt;=$AE$20,"Regular",IF(D154&lt;=$AE$21,"Eficiente",0)))</f>
        <v>0</v>
      </c>
      <c r="F154" t="str">
        <f>SUM('Desempeño profesional'!AE155:AJ155)</f>
        <v>0</v>
      </c>
      <c r="G154" t="str">
        <f>IF(F154&lt;=$AQ$19,"Deficiente",IF(F154&lt;=$AQ$20,"Regular",IF(F154&lt;=$AQ$21,"Eficiente",0)))</f>
        <v>0</v>
      </c>
      <c r="H154" t="str">
        <f>SUM('Desempeño profesional'!AK155:AO155)</f>
        <v>0</v>
      </c>
      <c r="I154" t="str">
        <f>IF(H154&lt;=$BC$19,"Deficiente",IF(H154&lt;=$BC$20,"Regular",IF(H154&lt;=$BC$21,"Eficiente",0)))</f>
        <v>0</v>
      </c>
      <c r="J154" t="str">
        <f>SUM(B154:H154)</f>
        <v>0</v>
      </c>
      <c r="K154" t="str">
        <f>IF(J154&lt;=$BO$19,"Deficiente",IF(J154&lt;=$BO$20,"Regular",IF(J154&lt;=$BO$21,"Eficiente",0)))</f>
        <v>0</v>
      </c>
    </row>
    <row r="155" spans="1:75">
      <c r="A155" t="s">
        <v>181</v>
      </c>
      <c r="B155" t="str">
        <f>SUM('Desempeño profesional'!B156:K156)</f>
        <v>0</v>
      </c>
      <c r="C155" t="str">
        <f>IF(B155&lt;=$S$19,"Deficiente",IF(B155&lt;=$S$20,"Regular",IF(B155&lt;=$S$21,"Eficiente",0)))</f>
        <v>0</v>
      </c>
      <c r="D155" t="str">
        <f>SUM('Desempeño profesional'!L156:AD156)</f>
        <v>0</v>
      </c>
      <c r="E155" t="str">
        <f>IF(D155&lt;=$AE$19,"Deficiente",IF(D155&lt;=$AE$20,"Regular",IF(D155&lt;=$AE$21,"Eficiente",0)))</f>
        <v>0</v>
      </c>
      <c r="F155" t="str">
        <f>SUM('Desempeño profesional'!AE156:AJ156)</f>
        <v>0</v>
      </c>
      <c r="G155" t="str">
        <f>IF(F155&lt;=$AQ$19,"Deficiente",IF(F155&lt;=$AQ$20,"Regular",IF(F155&lt;=$AQ$21,"Eficiente",0)))</f>
        <v>0</v>
      </c>
      <c r="H155" t="str">
        <f>SUM('Desempeño profesional'!AK156:AO156)</f>
        <v>0</v>
      </c>
      <c r="I155" t="str">
        <f>IF(H155&lt;=$BC$19,"Deficiente",IF(H155&lt;=$BC$20,"Regular",IF(H155&lt;=$BC$21,"Eficiente",0)))</f>
        <v>0</v>
      </c>
      <c r="J155" t="str">
        <f>SUM(B155:H155)</f>
        <v>0</v>
      </c>
      <c r="K155" t="str">
        <f>IF(J155&lt;=$BO$19,"Deficiente",IF(J155&lt;=$BO$20,"Regular",IF(J155&lt;=$BO$21,"Eficiente",0)))</f>
        <v>0</v>
      </c>
    </row>
    <row r="156" spans="1:75">
      <c r="A156" t="s">
        <v>182</v>
      </c>
      <c r="B156" t="str">
        <f>SUM('Desempeño profesional'!B157:K157)</f>
        <v>0</v>
      </c>
      <c r="C156" t="str">
        <f>IF(B156&lt;=$S$19,"Deficiente",IF(B156&lt;=$S$20,"Regular",IF(B156&lt;=$S$21,"Eficiente",0)))</f>
        <v>0</v>
      </c>
      <c r="D156" t="str">
        <f>SUM('Desempeño profesional'!L157:AD157)</f>
        <v>0</v>
      </c>
      <c r="E156" t="str">
        <f>IF(D156&lt;=$AE$19,"Deficiente",IF(D156&lt;=$AE$20,"Regular",IF(D156&lt;=$AE$21,"Eficiente",0)))</f>
        <v>0</v>
      </c>
      <c r="F156" t="str">
        <f>SUM('Desempeño profesional'!AE157:AJ157)</f>
        <v>0</v>
      </c>
      <c r="G156" t="str">
        <f>IF(F156&lt;=$AQ$19,"Deficiente",IF(F156&lt;=$AQ$20,"Regular",IF(F156&lt;=$AQ$21,"Eficiente",0)))</f>
        <v>0</v>
      </c>
      <c r="H156" t="str">
        <f>SUM('Desempeño profesional'!AK157:AO157)</f>
        <v>0</v>
      </c>
      <c r="I156" t="str">
        <f>IF(H156&lt;=$BC$19,"Deficiente",IF(H156&lt;=$BC$20,"Regular",IF(H156&lt;=$BC$21,"Eficiente",0)))</f>
        <v>0</v>
      </c>
      <c r="J156" t="str">
        <f>SUM(B156:H156)</f>
        <v>0</v>
      </c>
      <c r="K156" t="str">
        <f>IF(J156&lt;=$BO$19,"Deficiente",IF(J156&lt;=$BO$20,"Regular",IF(J156&lt;=$BO$21,"Eficiente",0)))</f>
        <v>0</v>
      </c>
    </row>
    <row r="157" spans="1:75">
      <c r="A157" t="s">
        <v>183</v>
      </c>
      <c r="B157" t="str">
        <f>SUM('Desempeño profesional'!B158:K158)</f>
        <v>0</v>
      </c>
      <c r="C157" t="str">
        <f>IF(B157&lt;=$S$19,"Deficiente",IF(B157&lt;=$S$20,"Regular",IF(B157&lt;=$S$21,"Eficiente",0)))</f>
        <v>0</v>
      </c>
      <c r="D157" t="str">
        <f>SUM('Desempeño profesional'!L158:AD158)</f>
        <v>0</v>
      </c>
      <c r="E157" t="str">
        <f>IF(D157&lt;=$AE$19,"Deficiente",IF(D157&lt;=$AE$20,"Regular",IF(D157&lt;=$AE$21,"Eficiente",0)))</f>
        <v>0</v>
      </c>
      <c r="F157" t="str">
        <f>SUM('Desempeño profesional'!AE158:AJ158)</f>
        <v>0</v>
      </c>
      <c r="G157" t="str">
        <f>IF(F157&lt;=$AQ$19,"Deficiente",IF(F157&lt;=$AQ$20,"Regular",IF(F157&lt;=$AQ$21,"Eficiente",0)))</f>
        <v>0</v>
      </c>
      <c r="H157" t="str">
        <f>SUM('Desempeño profesional'!AK158:AO158)</f>
        <v>0</v>
      </c>
      <c r="I157" t="str">
        <f>IF(H157&lt;=$BC$19,"Deficiente",IF(H157&lt;=$BC$20,"Regular",IF(H157&lt;=$BC$21,"Eficiente",0)))</f>
        <v>0</v>
      </c>
      <c r="J157" t="str">
        <f>SUM(B157:H157)</f>
        <v>0</v>
      </c>
      <c r="K157" t="str">
        <f>IF(J157&lt;=$BO$19,"Deficiente",IF(J157&lt;=$BO$20,"Regular",IF(J157&lt;=$BO$21,"Eficiente",0)))</f>
        <v>0</v>
      </c>
    </row>
    <row r="158" spans="1:75">
      <c r="A158" t="s">
        <v>184</v>
      </c>
      <c r="B158" t="str">
        <f>SUM('Desempeño profesional'!B159:K159)</f>
        <v>0</v>
      </c>
      <c r="C158" t="str">
        <f>IF(B158&lt;=$S$19,"Deficiente",IF(B158&lt;=$S$20,"Regular",IF(B158&lt;=$S$21,"Eficiente",0)))</f>
        <v>0</v>
      </c>
      <c r="D158" t="str">
        <f>SUM('Desempeño profesional'!L159:AD159)</f>
        <v>0</v>
      </c>
      <c r="E158" t="str">
        <f>IF(D158&lt;=$AE$19,"Deficiente",IF(D158&lt;=$AE$20,"Regular",IF(D158&lt;=$AE$21,"Eficiente",0)))</f>
        <v>0</v>
      </c>
      <c r="F158" t="str">
        <f>SUM('Desempeño profesional'!AE159:AJ159)</f>
        <v>0</v>
      </c>
      <c r="G158" t="str">
        <f>IF(F158&lt;=$AQ$19,"Deficiente",IF(F158&lt;=$AQ$20,"Regular",IF(F158&lt;=$AQ$21,"Eficiente",0)))</f>
        <v>0</v>
      </c>
      <c r="H158" t="str">
        <f>SUM('Desempeño profesional'!AK159:AO159)</f>
        <v>0</v>
      </c>
      <c r="I158" t="str">
        <f>IF(H158&lt;=$BC$19,"Deficiente",IF(H158&lt;=$BC$20,"Regular",IF(H158&lt;=$BC$21,"Eficiente",0)))</f>
        <v>0</v>
      </c>
      <c r="J158" t="str">
        <f>SUM(B158:H158)</f>
        <v>0</v>
      </c>
      <c r="K158" t="str">
        <f>IF(J158&lt;=$BO$19,"Deficiente",IF(J158&lt;=$BO$20,"Regular",IF(J158&lt;=$BO$21,"Eficiente",0)))</f>
        <v>0</v>
      </c>
    </row>
    <row r="159" spans="1:75">
      <c r="A159" t="s">
        <v>185</v>
      </c>
      <c r="B159" t="str">
        <f>SUM('Desempeño profesional'!B160:K160)</f>
        <v>0</v>
      </c>
      <c r="C159" t="str">
        <f>IF(B159&lt;=$S$19,"Deficiente",IF(B159&lt;=$S$20,"Regular",IF(B159&lt;=$S$21,"Eficiente",0)))</f>
        <v>0</v>
      </c>
      <c r="D159" t="str">
        <f>SUM('Desempeño profesional'!L160:AD160)</f>
        <v>0</v>
      </c>
      <c r="E159" t="str">
        <f>IF(D159&lt;=$AE$19,"Deficiente",IF(D159&lt;=$AE$20,"Regular",IF(D159&lt;=$AE$21,"Eficiente",0)))</f>
        <v>0</v>
      </c>
      <c r="F159" t="str">
        <f>SUM('Desempeño profesional'!AE160:AJ160)</f>
        <v>0</v>
      </c>
      <c r="G159" t="str">
        <f>IF(F159&lt;=$AQ$19,"Deficiente",IF(F159&lt;=$AQ$20,"Regular",IF(F159&lt;=$AQ$21,"Eficiente",0)))</f>
        <v>0</v>
      </c>
      <c r="H159" t="str">
        <f>SUM('Desempeño profesional'!AK160:AO160)</f>
        <v>0</v>
      </c>
      <c r="I159" t="str">
        <f>IF(H159&lt;=$BC$19,"Deficiente",IF(H159&lt;=$BC$20,"Regular",IF(H159&lt;=$BC$21,"Eficiente",0)))</f>
        <v>0</v>
      </c>
      <c r="J159" t="str">
        <f>SUM(B159:H159)</f>
        <v>0</v>
      </c>
      <c r="K159" t="str">
        <f>IF(J159&lt;=$BO$19,"Deficiente",IF(J159&lt;=$BO$20,"Regular",IF(J159&lt;=$BO$21,"Eficiente",0)))</f>
        <v>0</v>
      </c>
    </row>
    <row r="160" spans="1:75">
      <c r="A160" t="s">
        <v>186</v>
      </c>
      <c r="B160" t="str">
        <f>SUM('Desempeño profesional'!B161:K161)</f>
        <v>0</v>
      </c>
      <c r="C160" t="str">
        <f>IF(B160&lt;=$S$19,"Deficiente",IF(B160&lt;=$S$20,"Regular",IF(B160&lt;=$S$21,"Eficiente",0)))</f>
        <v>0</v>
      </c>
      <c r="D160" t="str">
        <f>SUM('Desempeño profesional'!L161:AD161)</f>
        <v>0</v>
      </c>
      <c r="E160" t="str">
        <f>IF(D160&lt;=$AE$19,"Deficiente",IF(D160&lt;=$AE$20,"Regular",IF(D160&lt;=$AE$21,"Eficiente",0)))</f>
        <v>0</v>
      </c>
      <c r="F160" t="str">
        <f>SUM('Desempeño profesional'!AE161:AJ161)</f>
        <v>0</v>
      </c>
      <c r="G160" t="str">
        <f>IF(F160&lt;=$AQ$19,"Deficiente",IF(F160&lt;=$AQ$20,"Regular",IF(F160&lt;=$AQ$21,"Eficiente",0)))</f>
        <v>0</v>
      </c>
      <c r="H160" t="str">
        <f>SUM('Desempeño profesional'!AK161:AO161)</f>
        <v>0</v>
      </c>
      <c r="I160" t="str">
        <f>IF(H160&lt;=$BC$19,"Deficiente",IF(H160&lt;=$BC$20,"Regular",IF(H160&lt;=$BC$21,"Eficiente",0)))</f>
        <v>0</v>
      </c>
      <c r="J160" t="str">
        <f>SUM(B160:H160)</f>
        <v>0</v>
      </c>
      <c r="K160" t="str">
        <f>IF(J160&lt;=$BO$19,"Deficiente",IF(J160&lt;=$BO$20,"Regular",IF(J160&lt;=$BO$21,"Eficiente",0)))</f>
        <v>0</v>
      </c>
    </row>
    <row r="161" spans="1:75">
      <c r="A161" t="s">
        <v>187</v>
      </c>
      <c r="B161" t="str">
        <f>SUM('Desempeño profesional'!B162:K162)</f>
        <v>0</v>
      </c>
      <c r="C161" t="str">
        <f>IF(B161&lt;=$S$19,"Deficiente",IF(B161&lt;=$S$20,"Regular",IF(B161&lt;=$S$21,"Eficiente",0)))</f>
        <v>0</v>
      </c>
      <c r="D161" t="str">
        <f>SUM('Desempeño profesional'!L162:AD162)</f>
        <v>0</v>
      </c>
      <c r="E161" t="str">
        <f>IF(D161&lt;=$AE$19,"Deficiente",IF(D161&lt;=$AE$20,"Regular",IF(D161&lt;=$AE$21,"Eficiente",0)))</f>
        <v>0</v>
      </c>
      <c r="F161" t="str">
        <f>SUM('Desempeño profesional'!AE162:AJ162)</f>
        <v>0</v>
      </c>
      <c r="G161" t="str">
        <f>IF(F161&lt;=$AQ$19,"Deficiente",IF(F161&lt;=$AQ$20,"Regular",IF(F161&lt;=$AQ$21,"Eficiente",0)))</f>
        <v>0</v>
      </c>
      <c r="H161" t="str">
        <f>SUM('Desempeño profesional'!AK162:AO162)</f>
        <v>0</v>
      </c>
      <c r="I161" t="str">
        <f>IF(H161&lt;=$BC$19,"Deficiente",IF(H161&lt;=$BC$20,"Regular",IF(H161&lt;=$BC$21,"Eficiente",0)))</f>
        <v>0</v>
      </c>
      <c r="J161" t="str">
        <f>SUM(B161:H161)</f>
        <v>0</v>
      </c>
      <c r="K161" t="str">
        <f>IF(J161&lt;=$BO$19,"Deficiente",IF(J161&lt;=$BO$20,"Regular",IF(J161&lt;=$BO$21,"Eficiente",0)))</f>
        <v>0</v>
      </c>
    </row>
    <row r="162" spans="1:75">
      <c r="A162" t="s">
        <v>188</v>
      </c>
      <c r="B162" t="str">
        <f>SUM('Desempeño profesional'!B163:K163)</f>
        <v>0</v>
      </c>
      <c r="C162" t="str">
        <f>IF(B162&lt;=$S$19,"Deficiente",IF(B162&lt;=$S$20,"Regular",IF(B162&lt;=$S$21,"Eficiente",0)))</f>
        <v>0</v>
      </c>
      <c r="D162" t="str">
        <f>SUM('Desempeño profesional'!L163:AD163)</f>
        <v>0</v>
      </c>
      <c r="E162" t="str">
        <f>IF(D162&lt;=$AE$19,"Deficiente",IF(D162&lt;=$AE$20,"Regular",IF(D162&lt;=$AE$21,"Eficiente",0)))</f>
        <v>0</v>
      </c>
      <c r="F162" t="str">
        <f>SUM('Desempeño profesional'!AE163:AJ163)</f>
        <v>0</v>
      </c>
      <c r="G162" t="str">
        <f>IF(F162&lt;=$AQ$19,"Deficiente",IF(F162&lt;=$AQ$20,"Regular",IF(F162&lt;=$AQ$21,"Eficiente",0)))</f>
        <v>0</v>
      </c>
      <c r="H162" t="str">
        <f>SUM('Desempeño profesional'!AK163:AO163)</f>
        <v>0</v>
      </c>
      <c r="I162" t="str">
        <f>IF(H162&lt;=$BC$19,"Deficiente",IF(H162&lt;=$BC$20,"Regular",IF(H162&lt;=$BC$21,"Eficiente",0)))</f>
        <v>0</v>
      </c>
      <c r="J162" t="str">
        <f>SUM(B162:H162)</f>
        <v>0</v>
      </c>
      <c r="K162" t="str">
        <f>IF(J162&lt;=$BO$19,"Deficiente",IF(J162&lt;=$BO$20,"Regular",IF(J162&lt;=$BO$21,"Eficiente",0)))</f>
        <v>0</v>
      </c>
    </row>
    <row r="163" spans="1:75">
      <c r="A163" t="s">
        <v>189</v>
      </c>
      <c r="B163" t="str">
        <f>SUM('Desempeño profesional'!B164:K164)</f>
        <v>0</v>
      </c>
      <c r="C163" t="str">
        <f>IF(B163&lt;=$S$19,"Deficiente",IF(B163&lt;=$S$20,"Regular",IF(B163&lt;=$S$21,"Eficiente",0)))</f>
        <v>0</v>
      </c>
      <c r="D163" t="str">
        <f>SUM('Desempeño profesional'!L164:AD164)</f>
        <v>0</v>
      </c>
      <c r="E163" t="str">
        <f>IF(D163&lt;=$AE$19,"Deficiente",IF(D163&lt;=$AE$20,"Regular",IF(D163&lt;=$AE$21,"Eficiente",0)))</f>
        <v>0</v>
      </c>
      <c r="F163" t="str">
        <f>SUM('Desempeño profesional'!AE164:AJ164)</f>
        <v>0</v>
      </c>
      <c r="G163" t="str">
        <f>IF(F163&lt;=$AQ$19,"Deficiente",IF(F163&lt;=$AQ$20,"Regular",IF(F163&lt;=$AQ$21,"Eficiente",0)))</f>
        <v>0</v>
      </c>
      <c r="H163" t="str">
        <f>SUM('Desempeño profesional'!AK164:AO164)</f>
        <v>0</v>
      </c>
      <c r="I163" t="str">
        <f>IF(H163&lt;=$BC$19,"Deficiente",IF(H163&lt;=$BC$20,"Regular",IF(H163&lt;=$BC$21,"Eficiente",0)))</f>
        <v>0</v>
      </c>
      <c r="J163" t="str">
        <f>SUM(B163:H163)</f>
        <v>0</v>
      </c>
      <c r="K163" t="str">
        <f>IF(J163&lt;=$BO$19,"Deficiente",IF(J163&lt;=$BO$20,"Regular",IF(J163&lt;=$BO$21,"Eficiente",0)))</f>
        <v>0</v>
      </c>
    </row>
    <row r="164" spans="1:75">
      <c r="A164" t="s">
        <v>190</v>
      </c>
      <c r="B164" t="str">
        <f>SUM('Desempeño profesional'!B165:K165)</f>
        <v>0</v>
      </c>
      <c r="C164" t="str">
        <f>IF(B164&lt;=$S$19,"Deficiente",IF(B164&lt;=$S$20,"Regular",IF(B164&lt;=$S$21,"Eficiente",0)))</f>
        <v>0</v>
      </c>
      <c r="D164" t="str">
        <f>SUM('Desempeño profesional'!L165:AD165)</f>
        <v>0</v>
      </c>
      <c r="E164" t="str">
        <f>IF(D164&lt;=$AE$19,"Deficiente",IF(D164&lt;=$AE$20,"Regular",IF(D164&lt;=$AE$21,"Eficiente",0)))</f>
        <v>0</v>
      </c>
      <c r="F164" t="str">
        <f>SUM('Desempeño profesional'!AE165:AJ165)</f>
        <v>0</v>
      </c>
      <c r="G164" t="str">
        <f>IF(F164&lt;=$AQ$19,"Deficiente",IF(F164&lt;=$AQ$20,"Regular",IF(F164&lt;=$AQ$21,"Eficiente",0)))</f>
        <v>0</v>
      </c>
      <c r="H164" t="str">
        <f>SUM('Desempeño profesional'!AK165:AO165)</f>
        <v>0</v>
      </c>
      <c r="I164" t="str">
        <f>IF(H164&lt;=$BC$19,"Deficiente",IF(H164&lt;=$BC$20,"Regular",IF(H164&lt;=$BC$21,"Eficiente",0)))</f>
        <v>0</v>
      </c>
      <c r="J164" t="str">
        <f>SUM(B164:H164)</f>
        <v>0</v>
      </c>
      <c r="K164" t="str">
        <f>IF(J164&lt;=$BO$19,"Deficiente",IF(J164&lt;=$BO$20,"Regular",IF(J164&lt;=$BO$21,"Eficiente",0)))</f>
        <v>0</v>
      </c>
    </row>
    <row r="165" spans="1:75">
      <c r="A165" t="s">
        <v>191</v>
      </c>
      <c r="B165" t="str">
        <f>SUM('Desempeño profesional'!B166:K166)</f>
        <v>0</v>
      </c>
      <c r="C165" t="str">
        <f>IF(B165&lt;=$S$19,"Deficiente",IF(B165&lt;=$S$20,"Regular",IF(B165&lt;=$S$21,"Eficiente",0)))</f>
        <v>0</v>
      </c>
      <c r="D165" t="str">
        <f>SUM('Desempeño profesional'!L166:AD166)</f>
        <v>0</v>
      </c>
      <c r="E165" t="str">
        <f>IF(D165&lt;=$AE$19,"Deficiente",IF(D165&lt;=$AE$20,"Regular",IF(D165&lt;=$AE$21,"Eficiente",0)))</f>
        <v>0</v>
      </c>
      <c r="F165" t="str">
        <f>SUM('Desempeño profesional'!AE166:AJ166)</f>
        <v>0</v>
      </c>
      <c r="G165" t="str">
        <f>IF(F165&lt;=$AQ$19,"Deficiente",IF(F165&lt;=$AQ$20,"Regular",IF(F165&lt;=$AQ$21,"Eficiente",0)))</f>
        <v>0</v>
      </c>
      <c r="H165" t="str">
        <f>SUM('Desempeño profesional'!AK166:AO166)</f>
        <v>0</v>
      </c>
      <c r="I165" t="str">
        <f>IF(H165&lt;=$BC$19,"Deficiente",IF(H165&lt;=$BC$20,"Regular",IF(H165&lt;=$BC$21,"Eficiente",0)))</f>
        <v>0</v>
      </c>
      <c r="J165" t="str">
        <f>SUM(B165:H165)</f>
        <v>0</v>
      </c>
      <c r="K165" t="str">
        <f>IF(J165&lt;=$BO$19,"Deficiente",IF(J165&lt;=$BO$20,"Regular",IF(J165&lt;=$BO$21,"Eficiente",0)))</f>
        <v>0</v>
      </c>
    </row>
    <row r="166" spans="1:75">
      <c r="A166" t="s">
        <v>192</v>
      </c>
      <c r="B166" t="str">
        <f>SUM('Desempeño profesional'!B167:K167)</f>
        <v>0</v>
      </c>
      <c r="C166" t="str">
        <f>IF(B166&lt;=$S$19,"Deficiente",IF(B166&lt;=$S$20,"Regular",IF(B166&lt;=$S$21,"Eficiente",0)))</f>
        <v>0</v>
      </c>
      <c r="D166" t="str">
        <f>SUM('Desempeño profesional'!L167:AD167)</f>
        <v>0</v>
      </c>
      <c r="E166" t="str">
        <f>IF(D166&lt;=$AE$19,"Deficiente",IF(D166&lt;=$AE$20,"Regular",IF(D166&lt;=$AE$21,"Eficiente",0)))</f>
        <v>0</v>
      </c>
      <c r="F166" t="str">
        <f>SUM('Desempeño profesional'!AE167:AJ167)</f>
        <v>0</v>
      </c>
      <c r="G166" t="str">
        <f>IF(F166&lt;=$AQ$19,"Deficiente",IF(F166&lt;=$AQ$20,"Regular",IF(F166&lt;=$AQ$21,"Eficiente",0)))</f>
        <v>0</v>
      </c>
      <c r="H166" t="str">
        <f>SUM('Desempeño profesional'!AK167:AO167)</f>
        <v>0</v>
      </c>
      <c r="I166" t="str">
        <f>IF(H166&lt;=$BC$19,"Deficiente",IF(H166&lt;=$BC$20,"Regular",IF(H166&lt;=$BC$21,"Eficiente",0)))</f>
        <v>0</v>
      </c>
      <c r="J166" t="str">
        <f>SUM(B166:H166)</f>
        <v>0</v>
      </c>
      <c r="K166" t="str">
        <f>IF(J166&lt;=$BO$19,"Deficiente",IF(J166&lt;=$BO$20,"Regular",IF(J166&lt;=$BO$21,"Eficiente",0)))</f>
        <v>0</v>
      </c>
    </row>
    <row r="167" spans="1:75">
      <c r="A167" t="s">
        <v>193</v>
      </c>
      <c r="B167" t="str">
        <f>SUM('Desempeño profesional'!B168:K168)</f>
        <v>0</v>
      </c>
      <c r="C167" t="str">
        <f>IF(B167&lt;=$S$19,"Deficiente",IF(B167&lt;=$S$20,"Regular",IF(B167&lt;=$S$21,"Eficiente",0)))</f>
        <v>0</v>
      </c>
      <c r="D167" t="str">
        <f>SUM('Desempeño profesional'!L168:AD168)</f>
        <v>0</v>
      </c>
      <c r="E167" t="str">
        <f>IF(D167&lt;=$AE$19,"Deficiente",IF(D167&lt;=$AE$20,"Regular",IF(D167&lt;=$AE$21,"Eficiente",0)))</f>
        <v>0</v>
      </c>
      <c r="F167" t="str">
        <f>SUM('Desempeño profesional'!AE168:AJ168)</f>
        <v>0</v>
      </c>
      <c r="G167" t="str">
        <f>IF(F167&lt;=$AQ$19,"Deficiente",IF(F167&lt;=$AQ$20,"Regular",IF(F167&lt;=$AQ$21,"Eficiente",0)))</f>
        <v>0</v>
      </c>
      <c r="H167" t="str">
        <f>SUM('Desempeño profesional'!AK168:AO168)</f>
        <v>0</v>
      </c>
      <c r="I167" t="str">
        <f>IF(H167&lt;=$BC$19,"Deficiente",IF(H167&lt;=$BC$20,"Regular",IF(H167&lt;=$BC$21,"Eficiente",0)))</f>
        <v>0</v>
      </c>
      <c r="J167" t="str">
        <f>SUM(B167:H167)</f>
        <v>0</v>
      </c>
      <c r="K167" t="str">
        <f>IF(J167&lt;=$BO$19,"Deficiente",IF(J167&lt;=$BO$20,"Regular",IF(J167&lt;=$BO$21,"Eficiente",0)))</f>
        <v>0</v>
      </c>
    </row>
    <row r="168" spans="1:75">
      <c r="A168" t="s">
        <v>194</v>
      </c>
      <c r="B168" t="str">
        <f>SUM('Desempeño profesional'!B169:K169)</f>
        <v>0</v>
      </c>
      <c r="C168" t="str">
        <f>IF(B168&lt;=$S$19,"Deficiente",IF(B168&lt;=$S$20,"Regular",IF(B168&lt;=$S$21,"Eficiente",0)))</f>
        <v>0</v>
      </c>
      <c r="D168" t="str">
        <f>SUM('Desempeño profesional'!L169:AD169)</f>
        <v>0</v>
      </c>
      <c r="E168" t="str">
        <f>IF(D168&lt;=$AE$19,"Deficiente",IF(D168&lt;=$AE$20,"Regular",IF(D168&lt;=$AE$21,"Eficiente",0)))</f>
        <v>0</v>
      </c>
      <c r="F168" t="str">
        <f>SUM('Desempeño profesional'!AE169:AJ169)</f>
        <v>0</v>
      </c>
      <c r="G168" t="str">
        <f>IF(F168&lt;=$AQ$19,"Deficiente",IF(F168&lt;=$AQ$20,"Regular",IF(F168&lt;=$AQ$21,"Eficiente",0)))</f>
        <v>0</v>
      </c>
      <c r="H168" t="str">
        <f>SUM('Desempeño profesional'!AK169:AO169)</f>
        <v>0</v>
      </c>
      <c r="I168" t="str">
        <f>IF(H168&lt;=$BC$19,"Deficiente",IF(H168&lt;=$BC$20,"Regular",IF(H168&lt;=$BC$21,"Eficiente",0)))</f>
        <v>0</v>
      </c>
      <c r="J168" t="str">
        <f>SUM(B168:H168)</f>
        <v>0</v>
      </c>
      <c r="K168" t="str">
        <f>IF(J168&lt;=$BO$19,"Deficiente",IF(J168&lt;=$BO$20,"Regular",IF(J168&lt;=$BO$21,"Eficiente",0)))</f>
        <v>0</v>
      </c>
    </row>
    <row r="169" spans="1:75">
      <c r="A169" t="s">
        <v>195</v>
      </c>
      <c r="B169" t="str">
        <f>SUM('Desempeño profesional'!B170:K170)</f>
        <v>0</v>
      </c>
      <c r="C169" t="str">
        <f>IF(B169&lt;=$S$19,"Deficiente",IF(B169&lt;=$S$20,"Regular",IF(B169&lt;=$S$21,"Eficiente",0)))</f>
        <v>0</v>
      </c>
      <c r="D169" t="str">
        <f>SUM('Desempeño profesional'!L170:AD170)</f>
        <v>0</v>
      </c>
      <c r="E169" t="str">
        <f>IF(D169&lt;=$AE$19,"Deficiente",IF(D169&lt;=$AE$20,"Regular",IF(D169&lt;=$AE$21,"Eficiente",0)))</f>
        <v>0</v>
      </c>
      <c r="F169" t="str">
        <f>SUM('Desempeño profesional'!AE170:AJ170)</f>
        <v>0</v>
      </c>
      <c r="G169" t="str">
        <f>IF(F169&lt;=$AQ$19,"Deficiente",IF(F169&lt;=$AQ$20,"Regular",IF(F169&lt;=$AQ$21,"Eficiente",0)))</f>
        <v>0</v>
      </c>
      <c r="H169" t="str">
        <f>SUM('Desempeño profesional'!AK170:AO170)</f>
        <v>0</v>
      </c>
      <c r="I169" t="str">
        <f>IF(H169&lt;=$BC$19,"Deficiente",IF(H169&lt;=$BC$20,"Regular",IF(H169&lt;=$BC$21,"Eficiente",0)))</f>
        <v>0</v>
      </c>
      <c r="J169" t="str">
        <f>SUM(B169:H169)</f>
        <v>0</v>
      </c>
      <c r="K169" t="str">
        <f>IF(J169&lt;=$BO$19,"Deficiente",IF(J169&lt;=$BO$20,"Regular",IF(J169&lt;=$BO$21,"Eficiente",0)))</f>
        <v>0</v>
      </c>
    </row>
    <row r="170" spans="1:75">
      <c r="A170" t="s">
        <v>196</v>
      </c>
      <c r="B170" t="str">
        <f>SUM('Desempeño profesional'!B171:K171)</f>
        <v>0</v>
      </c>
      <c r="C170" t="str">
        <f>IF(B170&lt;=$S$19,"Deficiente",IF(B170&lt;=$S$20,"Regular",IF(B170&lt;=$S$21,"Eficiente",0)))</f>
        <v>0</v>
      </c>
      <c r="D170" t="str">
        <f>SUM('Desempeño profesional'!L171:AD171)</f>
        <v>0</v>
      </c>
      <c r="E170" t="str">
        <f>IF(D170&lt;=$AE$19,"Deficiente",IF(D170&lt;=$AE$20,"Regular",IF(D170&lt;=$AE$21,"Eficiente",0)))</f>
        <v>0</v>
      </c>
      <c r="F170" t="str">
        <f>SUM('Desempeño profesional'!AE171:AJ171)</f>
        <v>0</v>
      </c>
      <c r="G170" t="str">
        <f>IF(F170&lt;=$AQ$19,"Deficiente",IF(F170&lt;=$AQ$20,"Regular",IF(F170&lt;=$AQ$21,"Eficiente",0)))</f>
        <v>0</v>
      </c>
      <c r="H170" t="str">
        <f>SUM('Desempeño profesional'!AK171:AO171)</f>
        <v>0</v>
      </c>
      <c r="I170" t="str">
        <f>IF(H170&lt;=$BC$19,"Deficiente",IF(H170&lt;=$BC$20,"Regular",IF(H170&lt;=$BC$21,"Eficiente",0)))</f>
        <v>0</v>
      </c>
      <c r="J170" t="str">
        <f>SUM(B170:H170)</f>
        <v>0</v>
      </c>
      <c r="K170" t="str">
        <f>IF(J170&lt;=$BO$19,"Deficiente",IF(J170&lt;=$BO$20,"Regular",IF(J170&lt;=$BO$21,"Eficiente",0)))</f>
        <v>0</v>
      </c>
    </row>
    <row r="171" spans="1:75">
      <c r="A171" t="s">
        <v>197</v>
      </c>
      <c r="B171" t="str">
        <f>SUM('Desempeño profesional'!B172:K172)</f>
        <v>0</v>
      </c>
      <c r="C171" t="str">
        <f>IF(B171&lt;=$S$19,"Deficiente",IF(B171&lt;=$S$20,"Regular",IF(B171&lt;=$S$21,"Eficiente",0)))</f>
        <v>0</v>
      </c>
      <c r="D171" t="str">
        <f>SUM('Desempeño profesional'!L172:AD172)</f>
        <v>0</v>
      </c>
      <c r="E171" t="str">
        <f>IF(D171&lt;=$AE$19,"Deficiente",IF(D171&lt;=$AE$20,"Regular",IF(D171&lt;=$AE$21,"Eficiente",0)))</f>
        <v>0</v>
      </c>
      <c r="F171" t="str">
        <f>SUM('Desempeño profesional'!AE172:AJ172)</f>
        <v>0</v>
      </c>
      <c r="G171" t="str">
        <f>IF(F171&lt;=$AQ$19,"Deficiente",IF(F171&lt;=$AQ$20,"Regular",IF(F171&lt;=$AQ$21,"Eficiente",0)))</f>
        <v>0</v>
      </c>
      <c r="H171" t="str">
        <f>SUM('Desempeño profesional'!AK172:AO172)</f>
        <v>0</v>
      </c>
      <c r="I171" t="str">
        <f>IF(H171&lt;=$BC$19,"Deficiente",IF(H171&lt;=$BC$20,"Regular",IF(H171&lt;=$BC$21,"Eficiente",0)))</f>
        <v>0</v>
      </c>
      <c r="J171" t="str">
        <f>SUM(B171:H171)</f>
        <v>0</v>
      </c>
      <c r="K171" t="str">
        <f>IF(J171&lt;=$BO$19,"Deficiente",IF(J171&lt;=$BO$20,"Regular",IF(J171&lt;=$BO$21,"Eficiente",0)))</f>
        <v>0</v>
      </c>
    </row>
    <row r="172" spans="1:75">
      <c r="A172" t="s">
        <v>198</v>
      </c>
      <c r="B172" t="str">
        <f>SUM('Desempeño profesional'!B173:K173)</f>
        <v>0</v>
      </c>
      <c r="C172" t="str">
        <f>IF(B172&lt;=$S$19,"Deficiente",IF(B172&lt;=$S$20,"Regular",IF(B172&lt;=$S$21,"Eficiente",0)))</f>
        <v>0</v>
      </c>
      <c r="D172" t="str">
        <f>SUM('Desempeño profesional'!L173:AD173)</f>
        <v>0</v>
      </c>
      <c r="E172" t="str">
        <f>IF(D172&lt;=$AE$19,"Deficiente",IF(D172&lt;=$AE$20,"Regular",IF(D172&lt;=$AE$21,"Eficiente",0)))</f>
        <v>0</v>
      </c>
      <c r="F172" t="str">
        <f>SUM('Desempeño profesional'!AE173:AJ173)</f>
        <v>0</v>
      </c>
      <c r="G172" t="str">
        <f>IF(F172&lt;=$AQ$19,"Deficiente",IF(F172&lt;=$AQ$20,"Regular",IF(F172&lt;=$AQ$21,"Eficiente",0)))</f>
        <v>0</v>
      </c>
      <c r="H172" t="str">
        <f>SUM('Desempeño profesional'!AK173:AO173)</f>
        <v>0</v>
      </c>
      <c r="I172" t="str">
        <f>IF(H172&lt;=$BC$19,"Deficiente",IF(H172&lt;=$BC$20,"Regular",IF(H172&lt;=$BC$21,"Eficiente",0)))</f>
        <v>0</v>
      </c>
      <c r="J172" t="str">
        <f>SUM(B172:H172)</f>
        <v>0</v>
      </c>
      <c r="K172" t="str">
        <f>IF(J172&lt;=$BO$19,"Deficiente",IF(J172&lt;=$BO$20,"Regular",IF(J172&lt;=$BO$21,"Eficiente",0)))</f>
        <v>0</v>
      </c>
    </row>
    <row r="173" spans="1:75">
      <c r="A173" t="s">
        <v>199</v>
      </c>
      <c r="B173" t="str">
        <f>SUM('Desempeño profesional'!B174:K174)</f>
        <v>0</v>
      </c>
      <c r="C173" t="str">
        <f>IF(B173&lt;=$S$19,"Deficiente",IF(B173&lt;=$S$20,"Regular",IF(B173&lt;=$S$21,"Eficiente",0)))</f>
        <v>0</v>
      </c>
      <c r="D173" t="str">
        <f>SUM('Desempeño profesional'!L174:AD174)</f>
        <v>0</v>
      </c>
      <c r="E173" t="str">
        <f>IF(D173&lt;=$AE$19,"Deficiente",IF(D173&lt;=$AE$20,"Regular",IF(D173&lt;=$AE$21,"Eficiente",0)))</f>
        <v>0</v>
      </c>
      <c r="F173" t="str">
        <f>SUM('Desempeño profesional'!AE174:AJ174)</f>
        <v>0</v>
      </c>
      <c r="G173" t="str">
        <f>IF(F173&lt;=$AQ$19,"Deficiente",IF(F173&lt;=$AQ$20,"Regular",IF(F173&lt;=$AQ$21,"Eficiente",0)))</f>
        <v>0</v>
      </c>
      <c r="H173" t="str">
        <f>SUM('Desempeño profesional'!AK174:AO174)</f>
        <v>0</v>
      </c>
      <c r="I173" t="str">
        <f>IF(H173&lt;=$BC$19,"Deficiente",IF(H173&lt;=$BC$20,"Regular",IF(H173&lt;=$BC$21,"Eficiente",0)))</f>
        <v>0</v>
      </c>
      <c r="J173" t="str">
        <f>SUM(B173:H173)</f>
        <v>0</v>
      </c>
      <c r="K173" t="str">
        <f>IF(J173&lt;=$BO$19,"Deficiente",IF(J173&lt;=$BO$20,"Regular",IF(J173&lt;=$BO$21,"Eficiente",0)))</f>
        <v>0</v>
      </c>
    </row>
    <row r="174" spans="1:75">
      <c r="A174" t="s">
        <v>200</v>
      </c>
      <c r="B174" t="str">
        <f>SUM('Desempeño profesional'!B175:K175)</f>
        <v>0</v>
      </c>
      <c r="C174" t="str">
        <f>IF(B174&lt;=$S$19,"Deficiente",IF(B174&lt;=$S$20,"Regular",IF(B174&lt;=$S$21,"Eficiente",0)))</f>
        <v>0</v>
      </c>
      <c r="D174" t="str">
        <f>SUM('Desempeño profesional'!L175:AD175)</f>
        <v>0</v>
      </c>
      <c r="E174" t="str">
        <f>IF(D174&lt;=$AE$19,"Deficiente",IF(D174&lt;=$AE$20,"Regular",IF(D174&lt;=$AE$21,"Eficiente",0)))</f>
        <v>0</v>
      </c>
      <c r="F174" t="str">
        <f>SUM('Desempeño profesional'!AE175:AJ175)</f>
        <v>0</v>
      </c>
      <c r="G174" t="str">
        <f>IF(F174&lt;=$AQ$19,"Deficiente",IF(F174&lt;=$AQ$20,"Regular",IF(F174&lt;=$AQ$21,"Eficiente",0)))</f>
        <v>0</v>
      </c>
      <c r="H174" t="str">
        <f>SUM('Desempeño profesional'!AK175:AO175)</f>
        <v>0</v>
      </c>
      <c r="I174" t="str">
        <f>IF(H174&lt;=$BC$19,"Deficiente",IF(H174&lt;=$BC$20,"Regular",IF(H174&lt;=$BC$21,"Eficiente",0)))</f>
        <v>0</v>
      </c>
      <c r="J174" t="str">
        <f>SUM(B174:H174)</f>
        <v>0</v>
      </c>
      <c r="K174" t="str">
        <f>IF(J174&lt;=$BO$19,"Deficiente",IF(J174&lt;=$BO$20,"Regular",IF(J174&lt;=$BO$21,"Eficiente",0)))</f>
        <v>0</v>
      </c>
    </row>
    <row r="175" spans="1:75">
      <c r="A175" t="s">
        <v>201</v>
      </c>
      <c r="B175" t="str">
        <f>SUM('Desempeño profesional'!B176:K176)</f>
        <v>0</v>
      </c>
      <c r="C175" t="str">
        <f>IF(B175&lt;=$S$19,"Deficiente",IF(B175&lt;=$S$20,"Regular",IF(B175&lt;=$S$21,"Eficiente",0)))</f>
        <v>0</v>
      </c>
      <c r="D175" t="str">
        <f>SUM('Desempeño profesional'!L176:AD176)</f>
        <v>0</v>
      </c>
      <c r="E175" t="str">
        <f>IF(D175&lt;=$AE$19,"Deficiente",IF(D175&lt;=$AE$20,"Regular",IF(D175&lt;=$AE$21,"Eficiente",0)))</f>
        <v>0</v>
      </c>
      <c r="F175" t="str">
        <f>SUM('Desempeño profesional'!AE176:AJ176)</f>
        <v>0</v>
      </c>
      <c r="G175" t="str">
        <f>IF(F175&lt;=$AQ$19,"Deficiente",IF(F175&lt;=$AQ$20,"Regular",IF(F175&lt;=$AQ$21,"Eficiente",0)))</f>
        <v>0</v>
      </c>
      <c r="H175" t="str">
        <f>SUM('Desempeño profesional'!AK176:AO176)</f>
        <v>0</v>
      </c>
      <c r="I175" t="str">
        <f>IF(H175&lt;=$BC$19,"Deficiente",IF(H175&lt;=$BC$20,"Regular",IF(H175&lt;=$BC$21,"Eficiente",0)))</f>
        <v>0</v>
      </c>
      <c r="J175" t="str">
        <f>SUM(B175:H175)</f>
        <v>0</v>
      </c>
      <c r="K175" t="str">
        <f>IF(J175&lt;=$BO$19,"Deficiente",IF(J175&lt;=$BO$20,"Regular",IF(J175&lt;=$BO$21,"Eficiente",0)))</f>
        <v>0</v>
      </c>
    </row>
    <row r="176" spans="1:75">
      <c r="A176" t="s">
        <v>202</v>
      </c>
      <c r="B176" t="str">
        <f>SUM('Desempeño profesional'!B177:K177)</f>
        <v>0</v>
      </c>
      <c r="C176" t="str">
        <f>IF(B176&lt;=$S$19,"Deficiente",IF(B176&lt;=$S$20,"Regular",IF(B176&lt;=$S$21,"Eficiente",0)))</f>
        <v>0</v>
      </c>
      <c r="D176" t="str">
        <f>SUM('Desempeño profesional'!L177:AD177)</f>
        <v>0</v>
      </c>
      <c r="E176" t="str">
        <f>IF(D176&lt;=$AE$19,"Deficiente",IF(D176&lt;=$AE$20,"Regular",IF(D176&lt;=$AE$21,"Eficiente",0)))</f>
        <v>0</v>
      </c>
      <c r="F176" t="str">
        <f>SUM('Desempeño profesional'!AE177:AJ177)</f>
        <v>0</v>
      </c>
      <c r="G176" t="str">
        <f>IF(F176&lt;=$AQ$19,"Deficiente",IF(F176&lt;=$AQ$20,"Regular",IF(F176&lt;=$AQ$21,"Eficiente",0)))</f>
        <v>0</v>
      </c>
      <c r="H176" t="str">
        <f>SUM('Desempeño profesional'!AK177:AO177)</f>
        <v>0</v>
      </c>
      <c r="I176" t="str">
        <f>IF(H176&lt;=$BC$19,"Deficiente",IF(H176&lt;=$BC$20,"Regular",IF(H176&lt;=$BC$21,"Eficiente",0)))</f>
        <v>0</v>
      </c>
      <c r="J176" t="str">
        <f>SUM(B176:H176)</f>
        <v>0</v>
      </c>
      <c r="K176" t="str">
        <f>IF(J176&lt;=$BO$19,"Deficiente",IF(J176&lt;=$BO$20,"Regular",IF(J176&lt;=$BO$21,"Eficiente",0)))</f>
        <v>0</v>
      </c>
    </row>
    <row r="177" spans="1:75">
      <c r="A177" t="s">
        <v>203</v>
      </c>
      <c r="B177" t="str">
        <f>SUM('Desempeño profesional'!B178:K178)</f>
        <v>0</v>
      </c>
      <c r="C177" t="str">
        <f>IF(B177&lt;=$S$19,"Deficiente",IF(B177&lt;=$S$20,"Regular",IF(B177&lt;=$S$21,"Eficiente",0)))</f>
        <v>0</v>
      </c>
      <c r="D177" t="str">
        <f>SUM('Desempeño profesional'!L178:AD178)</f>
        <v>0</v>
      </c>
      <c r="E177" t="str">
        <f>IF(D177&lt;=$AE$19,"Deficiente",IF(D177&lt;=$AE$20,"Regular",IF(D177&lt;=$AE$21,"Eficiente",0)))</f>
        <v>0</v>
      </c>
      <c r="F177" t="str">
        <f>SUM('Desempeño profesional'!AE178:AJ178)</f>
        <v>0</v>
      </c>
      <c r="G177" t="str">
        <f>IF(F177&lt;=$AQ$19,"Deficiente",IF(F177&lt;=$AQ$20,"Regular",IF(F177&lt;=$AQ$21,"Eficiente",0)))</f>
        <v>0</v>
      </c>
      <c r="H177" t="str">
        <f>SUM('Desempeño profesional'!AK178:AO178)</f>
        <v>0</v>
      </c>
      <c r="I177" t="str">
        <f>IF(H177&lt;=$BC$19,"Deficiente",IF(H177&lt;=$BC$20,"Regular",IF(H177&lt;=$BC$21,"Eficiente",0)))</f>
        <v>0</v>
      </c>
      <c r="J177" t="str">
        <f>SUM(B177:H177)</f>
        <v>0</v>
      </c>
      <c r="K177" t="str">
        <f>IF(J177&lt;=$BO$19,"Deficiente",IF(J177&lt;=$BO$20,"Regular",IF(J177&lt;=$BO$21,"Eficiente",0)))</f>
        <v>0</v>
      </c>
    </row>
    <row r="178" spans="1:75">
      <c r="A178" t="s">
        <v>204</v>
      </c>
      <c r="B178" t="str">
        <f>SUM('Desempeño profesional'!B179:K179)</f>
        <v>0</v>
      </c>
      <c r="C178" t="str">
        <f>IF(B178&lt;=$S$19,"Deficiente",IF(B178&lt;=$S$20,"Regular",IF(B178&lt;=$S$21,"Eficiente",0)))</f>
        <v>0</v>
      </c>
      <c r="D178" t="str">
        <f>SUM('Desempeño profesional'!L179:AD179)</f>
        <v>0</v>
      </c>
      <c r="E178" t="str">
        <f>IF(D178&lt;=$AE$19,"Deficiente",IF(D178&lt;=$AE$20,"Regular",IF(D178&lt;=$AE$21,"Eficiente",0)))</f>
        <v>0</v>
      </c>
      <c r="F178" t="str">
        <f>SUM('Desempeño profesional'!AE179:AJ179)</f>
        <v>0</v>
      </c>
      <c r="G178" t="str">
        <f>IF(F178&lt;=$AQ$19,"Deficiente",IF(F178&lt;=$AQ$20,"Regular",IF(F178&lt;=$AQ$21,"Eficiente",0)))</f>
        <v>0</v>
      </c>
      <c r="H178" t="str">
        <f>SUM('Desempeño profesional'!AK179:AO179)</f>
        <v>0</v>
      </c>
      <c r="I178" t="str">
        <f>IF(H178&lt;=$BC$19,"Deficiente",IF(H178&lt;=$BC$20,"Regular",IF(H178&lt;=$BC$21,"Eficiente",0)))</f>
        <v>0</v>
      </c>
      <c r="J178" t="str">
        <f>SUM(B178:H178)</f>
        <v>0</v>
      </c>
      <c r="K178" t="str">
        <f>IF(J178&lt;=$BO$19,"Deficiente",IF(J178&lt;=$BO$20,"Regular",IF(J178&lt;=$BO$21,"Eficiente",0)))</f>
        <v>0</v>
      </c>
    </row>
    <row r="179" spans="1:75">
      <c r="A179" t="s">
        <v>205</v>
      </c>
      <c r="B179" t="str">
        <f>SUM('Desempeño profesional'!B180:K180)</f>
        <v>0</v>
      </c>
      <c r="C179" t="str">
        <f>IF(B179&lt;=$S$19,"Deficiente",IF(B179&lt;=$S$20,"Regular",IF(B179&lt;=$S$21,"Eficiente",0)))</f>
        <v>0</v>
      </c>
      <c r="D179" t="str">
        <f>SUM('Desempeño profesional'!L180:AD180)</f>
        <v>0</v>
      </c>
      <c r="E179" t="str">
        <f>IF(D179&lt;=$AE$19,"Deficiente",IF(D179&lt;=$AE$20,"Regular",IF(D179&lt;=$AE$21,"Eficiente",0)))</f>
        <v>0</v>
      </c>
      <c r="F179" t="str">
        <f>SUM('Desempeño profesional'!AE180:AJ180)</f>
        <v>0</v>
      </c>
      <c r="G179" t="str">
        <f>IF(F179&lt;=$AQ$19,"Deficiente",IF(F179&lt;=$AQ$20,"Regular",IF(F179&lt;=$AQ$21,"Eficiente",0)))</f>
        <v>0</v>
      </c>
      <c r="H179" t="str">
        <f>SUM('Desempeño profesional'!AK180:AO180)</f>
        <v>0</v>
      </c>
      <c r="I179" t="str">
        <f>IF(H179&lt;=$BC$19,"Deficiente",IF(H179&lt;=$BC$20,"Regular",IF(H179&lt;=$BC$21,"Eficiente",0)))</f>
        <v>0</v>
      </c>
      <c r="J179" t="str">
        <f>SUM(B179:H179)</f>
        <v>0</v>
      </c>
      <c r="K179" t="str">
        <f>IF(J179&lt;=$BO$19,"Deficiente",IF(J179&lt;=$BO$20,"Regular",IF(J179&lt;=$BO$21,"Eficiente",0)))</f>
        <v>0</v>
      </c>
    </row>
    <row r="180" spans="1:75">
      <c r="A180" t="s">
        <v>206</v>
      </c>
      <c r="B180" t="str">
        <f>SUM('Desempeño profesional'!B181:K181)</f>
        <v>0</v>
      </c>
      <c r="C180" t="str">
        <f>IF(B180&lt;=$S$19,"Deficiente",IF(B180&lt;=$S$20,"Regular",IF(B180&lt;=$S$21,"Eficiente",0)))</f>
        <v>0</v>
      </c>
      <c r="D180" t="str">
        <f>SUM('Desempeño profesional'!L181:AD181)</f>
        <v>0</v>
      </c>
      <c r="E180" t="str">
        <f>IF(D180&lt;=$AE$19,"Deficiente",IF(D180&lt;=$AE$20,"Regular",IF(D180&lt;=$AE$21,"Eficiente",0)))</f>
        <v>0</v>
      </c>
      <c r="F180" t="str">
        <f>SUM('Desempeño profesional'!AE181:AJ181)</f>
        <v>0</v>
      </c>
      <c r="G180" t="str">
        <f>IF(F180&lt;=$AQ$19,"Deficiente",IF(F180&lt;=$AQ$20,"Regular",IF(F180&lt;=$AQ$21,"Eficiente",0)))</f>
        <v>0</v>
      </c>
      <c r="H180" t="str">
        <f>SUM('Desempeño profesional'!AK181:AO181)</f>
        <v>0</v>
      </c>
      <c r="I180" t="str">
        <f>IF(H180&lt;=$BC$19,"Deficiente",IF(H180&lt;=$BC$20,"Regular",IF(H180&lt;=$BC$21,"Eficiente",0)))</f>
        <v>0</v>
      </c>
      <c r="J180" t="str">
        <f>SUM(B180:H180)</f>
        <v>0</v>
      </c>
      <c r="K180" t="str">
        <f>IF(J180&lt;=$BO$19,"Deficiente",IF(J180&lt;=$BO$20,"Regular",IF(J180&lt;=$BO$21,"Eficiente",0)))</f>
        <v>0</v>
      </c>
    </row>
    <row r="181" spans="1:75">
      <c r="A181" t="s">
        <v>207</v>
      </c>
      <c r="B181" t="str">
        <f>SUM('Desempeño profesional'!B182:K182)</f>
        <v>0</v>
      </c>
      <c r="C181" t="str">
        <f>IF(B181&lt;=$S$19,"Deficiente",IF(B181&lt;=$S$20,"Regular",IF(B181&lt;=$S$21,"Eficiente",0)))</f>
        <v>0</v>
      </c>
      <c r="D181" t="str">
        <f>SUM('Desempeño profesional'!L182:AD182)</f>
        <v>0</v>
      </c>
      <c r="E181" t="str">
        <f>IF(D181&lt;=$AE$19,"Deficiente",IF(D181&lt;=$AE$20,"Regular",IF(D181&lt;=$AE$21,"Eficiente",0)))</f>
        <v>0</v>
      </c>
      <c r="F181" t="str">
        <f>SUM('Desempeño profesional'!AE182:AJ182)</f>
        <v>0</v>
      </c>
      <c r="G181" t="str">
        <f>IF(F181&lt;=$AQ$19,"Deficiente",IF(F181&lt;=$AQ$20,"Regular",IF(F181&lt;=$AQ$21,"Eficiente",0)))</f>
        <v>0</v>
      </c>
      <c r="H181" t="str">
        <f>SUM('Desempeño profesional'!AK182:AO182)</f>
        <v>0</v>
      </c>
      <c r="I181" t="str">
        <f>IF(H181&lt;=$BC$19,"Deficiente",IF(H181&lt;=$BC$20,"Regular",IF(H181&lt;=$BC$21,"Eficiente",0)))</f>
        <v>0</v>
      </c>
      <c r="J181" t="str">
        <f>SUM(B181:H181)</f>
        <v>0</v>
      </c>
      <c r="K181" t="str">
        <f>IF(J181&lt;=$BO$19,"Deficiente",IF(J181&lt;=$BO$20,"Regular",IF(J181&lt;=$BO$21,"Eficiente",0)))</f>
        <v>0</v>
      </c>
    </row>
    <row r="182" spans="1:75">
      <c r="A182" t="s">
        <v>208</v>
      </c>
      <c r="B182" t="str">
        <f>SUM('Desempeño profesional'!B183:K183)</f>
        <v>0</v>
      </c>
      <c r="C182" t="str">
        <f>IF(B182&lt;=$S$19,"Deficiente",IF(B182&lt;=$S$20,"Regular",IF(B182&lt;=$S$21,"Eficiente",0)))</f>
        <v>0</v>
      </c>
      <c r="D182" t="str">
        <f>SUM('Desempeño profesional'!L183:AD183)</f>
        <v>0</v>
      </c>
      <c r="E182" t="str">
        <f>IF(D182&lt;=$AE$19,"Deficiente",IF(D182&lt;=$AE$20,"Regular",IF(D182&lt;=$AE$21,"Eficiente",0)))</f>
        <v>0</v>
      </c>
      <c r="F182" t="str">
        <f>SUM('Desempeño profesional'!AE183:AJ183)</f>
        <v>0</v>
      </c>
      <c r="G182" t="str">
        <f>IF(F182&lt;=$AQ$19,"Deficiente",IF(F182&lt;=$AQ$20,"Regular",IF(F182&lt;=$AQ$21,"Eficiente",0)))</f>
        <v>0</v>
      </c>
      <c r="H182" t="str">
        <f>SUM('Desempeño profesional'!AK183:AO183)</f>
        <v>0</v>
      </c>
      <c r="I182" t="str">
        <f>IF(H182&lt;=$BC$19,"Deficiente",IF(H182&lt;=$BC$20,"Regular",IF(H182&lt;=$BC$21,"Eficiente",0)))</f>
        <v>0</v>
      </c>
      <c r="J182" t="str">
        <f>SUM(B182:H182)</f>
        <v>0</v>
      </c>
      <c r="K182" t="str">
        <f>IF(J182&lt;=$BO$19,"Deficiente",IF(J182&lt;=$BO$20,"Regular",IF(J182&lt;=$BO$21,"Eficiente",0)))</f>
        <v>0</v>
      </c>
    </row>
    <row r="183" spans="1:75">
      <c r="A183" t="s">
        <v>209</v>
      </c>
      <c r="B183" t="str">
        <f>SUM('Desempeño profesional'!B184:K184)</f>
        <v>0</v>
      </c>
      <c r="C183" t="str">
        <f>IF(B183&lt;=$S$19,"Deficiente",IF(B183&lt;=$S$20,"Regular",IF(B183&lt;=$S$21,"Eficiente",0)))</f>
        <v>0</v>
      </c>
      <c r="D183" t="str">
        <f>SUM('Desempeño profesional'!L184:AD184)</f>
        <v>0</v>
      </c>
      <c r="E183" t="str">
        <f>IF(D183&lt;=$AE$19,"Deficiente",IF(D183&lt;=$AE$20,"Regular",IF(D183&lt;=$AE$21,"Eficiente",0)))</f>
        <v>0</v>
      </c>
      <c r="F183" t="str">
        <f>SUM('Desempeño profesional'!AE184:AJ184)</f>
        <v>0</v>
      </c>
      <c r="G183" t="str">
        <f>IF(F183&lt;=$AQ$19,"Deficiente",IF(F183&lt;=$AQ$20,"Regular",IF(F183&lt;=$AQ$21,"Eficiente",0)))</f>
        <v>0</v>
      </c>
      <c r="H183" t="str">
        <f>SUM('Desempeño profesional'!AK184:AO184)</f>
        <v>0</v>
      </c>
      <c r="I183" t="str">
        <f>IF(H183&lt;=$BC$19,"Deficiente",IF(H183&lt;=$BC$20,"Regular",IF(H183&lt;=$BC$21,"Eficiente",0)))</f>
        <v>0</v>
      </c>
      <c r="J183" t="str">
        <f>SUM(B183:H183)</f>
        <v>0</v>
      </c>
      <c r="K183" t="str">
        <f>IF(J183&lt;=$BO$19,"Deficiente",IF(J183&lt;=$BO$20,"Regular",IF(J183&lt;=$BO$21,"Eficiente",0)))</f>
        <v>0</v>
      </c>
    </row>
    <row r="184" spans="1:75">
      <c r="A184" t="s">
        <v>210</v>
      </c>
      <c r="B184" t="str">
        <f>SUM('Desempeño profesional'!B185:K185)</f>
        <v>0</v>
      </c>
      <c r="C184" t="str">
        <f>IF(B184&lt;=$S$19,"Deficiente",IF(B184&lt;=$S$20,"Regular",IF(B184&lt;=$S$21,"Eficiente",0)))</f>
        <v>0</v>
      </c>
      <c r="D184" t="str">
        <f>SUM('Desempeño profesional'!L185:AD185)</f>
        <v>0</v>
      </c>
      <c r="E184" t="str">
        <f>IF(D184&lt;=$AE$19,"Deficiente",IF(D184&lt;=$AE$20,"Regular",IF(D184&lt;=$AE$21,"Eficiente",0)))</f>
        <v>0</v>
      </c>
      <c r="F184" t="str">
        <f>SUM('Desempeño profesional'!AE185:AJ185)</f>
        <v>0</v>
      </c>
      <c r="G184" t="str">
        <f>IF(F184&lt;=$AQ$19,"Deficiente",IF(F184&lt;=$AQ$20,"Regular",IF(F184&lt;=$AQ$21,"Eficiente",0)))</f>
        <v>0</v>
      </c>
      <c r="H184" t="str">
        <f>SUM('Desempeño profesional'!AK185:AO185)</f>
        <v>0</v>
      </c>
      <c r="I184" t="str">
        <f>IF(H184&lt;=$BC$19,"Deficiente",IF(H184&lt;=$BC$20,"Regular",IF(H184&lt;=$BC$21,"Eficiente",0)))</f>
        <v>0</v>
      </c>
      <c r="J184" t="str">
        <f>SUM(B184:H184)</f>
        <v>0</v>
      </c>
      <c r="K184" t="str">
        <f>IF(J184&lt;=$BO$19,"Deficiente",IF(J184&lt;=$BO$20,"Regular",IF(J184&lt;=$BO$21,"Eficiente",0)))</f>
        <v>0</v>
      </c>
    </row>
    <row r="185" spans="1:75">
      <c r="A185" t="s">
        <v>211</v>
      </c>
      <c r="B185" t="str">
        <f>SUM('Desempeño profesional'!B186:K186)</f>
        <v>0</v>
      </c>
      <c r="C185" t="str">
        <f>IF(B185&lt;=$S$19,"Deficiente",IF(B185&lt;=$S$20,"Regular",IF(B185&lt;=$S$21,"Eficiente",0)))</f>
        <v>0</v>
      </c>
      <c r="D185" t="str">
        <f>SUM('Desempeño profesional'!L186:AD186)</f>
        <v>0</v>
      </c>
      <c r="E185" t="str">
        <f>IF(D185&lt;=$AE$19,"Deficiente",IF(D185&lt;=$AE$20,"Regular",IF(D185&lt;=$AE$21,"Eficiente",0)))</f>
        <v>0</v>
      </c>
      <c r="F185" t="str">
        <f>SUM('Desempeño profesional'!AE186:AJ186)</f>
        <v>0</v>
      </c>
      <c r="G185" t="str">
        <f>IF(F185&lt;=$AQ$19,"Deficiente",IF(F185&lt;=$AQ$20,"Regular",IF(F185&lt;=$AQ$21,"Eficiente",0)))</f>
        <v>0</v>
      </c>
      <c r="H185" t="str">
        <f>SUM('Desempeño profesional'!AK186:AO186)</f>
        <v>0</v>
      </c>
      <c r="I185" t="str">
        <f>IF(H185&lt;=$BC$19,"Deficiente",IF(H185&lt;=$BC$20,"Regular",IF(H185&lt;=$BC$21,"Eficiente",0)))</f>
        <v>0</v>
      </c>
      <c r="J185" t="str">
        <f>SUM(B185:H185)</f>
        <v>0</v>
      </c>
      <c r="K185" t="str">
        <f>IF(J185&lt;=$BO$19,"Deficiente",IF(J185&lt;=$BO$20,"Regular",IF(J185&lt;=$BO$21,"Eficiente",0)))</f>
        <v>0</v>
      </c>
    </row>
    <row r="186" spans="1:75">
      <c r="A186" t="s">
        <v>212</v>
      </c>
      <c r="B186" t="str">
        <f>SUM('Desempeño profesional'!B187:K187)</f>
        <v>0</v>
      </c>
      <c r="C186" t="str">
        <f>IF(B186&lt;=$S$19,"Deficiente",IF(B186&lt;=$S$20,"Regular",IF(B186&lt;=$S$21,"Eficiente",0)))</f>
        <v>0</v>
      </c>
      <c r="D186" t="str">
        <f>SUM('Desempeño profesional'!L187:AD187)</f>
        <v>0</v>
      </c>
      <c r="E186" t="str">
        <f>IF(D186&lt;=$AE$19,"Deficiente",IF(D186&lt;=$AE$20,"Regular",IF(D186&lt;=$AE$21,"Eficiente",0)))</f>
        <v>0</v>
      </c>
      <c r="F186" t="str">
        <f>SUM('Desempeño profesional'!AE187:AJ187)</f>
        <v>0</v>
      </c>
      <c r="G186" t="str">
        <f>IF(F186&lt;=$AQ$19,"Deficiente",IF(F186&lt;=$AQ$20,"Regular",IF(F186&lt;=$AQ$21,"Eficiente",0)))</f>
        <v>0</v>
      </c>
      <c r="H186" t="str">
        <f>SUM('Desempeño profesional'!AK187:AO187)</f>
        <v>0</v>
      </c>
      <c r="I186" t="str">
        <f>IF(H186&lt;=$BC$19,"Deficiente",IF(H186&lt;=$BC$20,"Regular",IF(H186&lt;=$BC$21,"Eficiente",0)))</f>
        <v>0</v>
      </c>
      <c r="J186" t="str">
        <f>SUM(B186:H186)</f>
        <v>0</v>
      </c>
      <c r="K186" t="str">
        <f>IF(J186&lt;=$BO$19,"Deficiente",IF(J186&lt;=$BO$20,"Regular",IF(J186&lt;=$BO$21,"Eficiente",0)))</f>
        <v>0</v>
      </c>
    </row>
    <row r="187" spans="1:75">
      <c r="A187" t="s">
        <v>213</v>
      </c>
      <c r="B187" t="str">
        <f>SUM('Desempeño profesional'!B188:K188)</f>
        <v>0</v>
      </c>
      <c r="C187" t="str">
        <f>IF(B187&lt;=$S$19,"Deficiente",IF(B187&lt;=$S$20,"Regular",IF(B187&lt;=$S$21,"Eficiente",0)))</f>
        <v>0</v>
      </c>
      <c r="D187" t="str">
        <f>SUM('Desempeño profesional'!L188:AD188)</f>
        <v>0</v>
      </c>
      <c r="E187" t="str">
        <f>IF(D187&lt;=$AE$19,"Deficiente",IF(D187&lt;=$AE$20,"Regular",IF(D187&lt;=$AE$21,"Eficiente",0)))</f>
        <v>0</v>
      </c>
      <c r="F187" t="str">
        <f>SUM('Desempeño profesional'!AE188:AJ188)</f>
        <v>0</v>
      </c>
      <c r="G187" t="str">
        <f>IF(F187&lt;=$AQ$19,"Deficiente",IF(F187&lt;=$AQ$20,"Regular",IF(F187&lt;=$AQ$21,"Eficiente",0)))</f>
        <v>0</v>
      </c>
      <c r="H187" t="str">
        <f>SUM('Desempeño profesional'!AK188:AO188)</f>
        <v>0</v>
      </c>
      <c r="I187" t="str">
        <f>IF(H187&lt;=$BC$19,"Deficiente",IF(H187&lt;=$BC$20,"Regular",IF(H187&lt;=$BC$21,"Eficiente",0)))</f>
        <v>0</v>
      </c>
      <c r="J187" t="str">
        <f>SUM(B187:H187)</f>
        <v>0</v>
      </c>
      <c r="K187" t="str">
        <f>IF(J187&lt;=$BO$19,"Deficiente",IF(J187&lt;=$BO$20,"Regular",IF(J187&lt;=$BO$21,"Eficiente",0)))</f>
        <v>0</v>
      </c>
    </row>
    <row r="188" spans="1:75">
      <c r="A188" t="s">
        <v>214</v>
      </c>
      <c r="B188" t="str">
        <f>SUM('Desempeño profesional'!B189:K189)</f>
        <v>0</v>
      </c>
      <c r="C188" t="str">
        <f>IF(B188&lt;=$S$19,"Deficiente",IF(B188&lt;=$S$20,"Regular",IF(B188&lt;=$S$21,"Eficiente",0)))</f>
        <v>0</v>
      </c>
      <c r="D188" t="str">
        <f>SUM('Desempeño profesional'!L189:AD189)</f>
        <v>0</v>
      </c>
      <c r="E188" t="str">
        <f>IF(D188&lt;=$AE$19,"Deficiente",IF(D188&lt;=$AE$20,"Regular",IF(D188&lt;=$AE$21,"Eficiente",0)))</f>
        <v>0</v>
      </c>
      <c r="F188" t="str">
        <f>SUM('Desempeño profesional'!AE189:AJ189)</f>
        <v>0</v>
      </c>
      <c r="G188" t="str">
        <f>IF(F188&lt;=$AQ$19,"Deficiente",IF(F188&lt;=$AQ$20,"Regular",IF(F188&lt;=$AQ$21,"Eficiente",0)))</f>
        <v>0</v>
      </c>
      <c r="H188" t="str">
        <f>SUM('Desempeño profesional'!AK189:AO189)</f>
        <v>0</v>
      </c>
      <c r="I188" t="str">
        <f>IF(H188&lt;=$BC$19,"Deficiente",IF(H188&lt;=$BC$20,"Regular",IF(H188&lt;=$BC$21,"Eficiente",0)))</f>
        <v>0</v>
      </c>
      <c r="J188" t="str">
        <f>SUM(B188:H188)</f>
        <v>0</v>
      </c>
      <c r="K188" t="str">
        <f>IF(J188&lt;=$BO$19,"Deficiente",IF(J188&lt;=$BO$20,"Regular",IF(J188&lt;=$BO$21,"Eficiente",0)))</f>
        <v>0</v>
      </c>
    </row>
    <row r="189" spans="1:75">
      <c r="A189" t="s">
        <v>215</v>
      </c>
      <c r="B189" t="str">
        <f>SUM('Desempeño profesional'!B190:K190)</f>
        <v>0</v>
      </c>
      <c r="C189" t="str">
        <f>IF(B189&lt;=$S$19,"Deficiente",IF(B189&lt;=$S$20,"Regular",IF(B189&lt;=$S$21,"Eficiente",0)))</f>
        <v>0</v>
      </c>
      <c r="D189" t="str">
        <f>SUM('Desempeño profesional'!L190:AD190)</f>
        <v>0</v>
      </c>
      <c r="E189" t="str">
        <f>IF(D189&lt;=$AE$19,"Deficiente",IF(D189&lt;=$AE$20,"Regular",IF(D189&lt;=$AE$21,"Eficiente",0)))</f>
        <v>0</v>
      </c>
      <c r="F189" t="str">
        <f>SUM('Desempeño profesional'!AE190:AJ190)</f>
        <v>0</v>
      </c>
      <c r="G189" t="str">
        <f>IF(F189&lt;=$AQ$19,"Deficiente",IF(F189&lt;=$AQ$20,"Regular",IF(F189&lt;=$AQ$21,"Eficiente",0)))</f>
        <v>0</v>
      </c>
      <c r="H189" t="str">
        <f>SUM('Desempeño profesional'!AK190:AO190)</f>
        <v>0</v>
      </c>
      <c r="I189" t="str">
        <f>IF(H189&lt;=$BC$19,"Deficiente",IF(H189&lt;=$BC$20,"Regular",IF(H189&lt;=$BC$21,"Eficiente",0)))</f>
        <v>0</v>
      </c>
      <c r="J189" t="str">
        <f>SUM(B189:H189)</f>
        <v>0</v>
      </c>
      <c r="K189" t="str">
        <f>IF(J189&lt;=$BO$19,"Deficiente",IF(J189&lt;=$BO$20,"Regular",IF(J189&lt;=$BO$21,"Eficiente",0)))</f>
        <v>0</v>
      </c>
    </row>
    <row r="190" spans="1:75">
      <c r="A190" t="s">
        <v>216</v>
      </c>
      <c r="B190" t="str">
        <f>SUM('Desempeño profesional'!B191:K191)</f>
        <v>0</v>
      </c>
      <c r="C190" t="str">
        <f>IF(B190&lt;=$S$19,"Deficiente",IF(B190&lt;=$S$20,"Regular",IF(B190&lt;=$S$21,"Eficiente",0)))</f>
        <v>0</v>
      </c>
      <c r="D190" t="str">
        <f>SUM('Desempeño profesional'!L191:AD191)</f>
        <v>0</v>
      </c>
      <c r="E190" t="str">
        <f>IF(D190&lt;=$AE$19,"Deficiente",IF(D190&lt;=$AE$20,"Regular",IF(D190&lt;=$AE$21,"Eficiente",0)))</f>
        <v>0</v>
      </c>
      <c r="F190" t="str">
        <f>SUM('Desempeño profesional'!AE191:AJ191)</f>
        <v>0</v>
      </c>
      <c r="G190" t="str">
        <f>IF(F190&lt;=$AQ$19,"Deficiente",IF(F190&lt;=$AQ$20,"Regular",IF(F190&lt;=$AQ$21,"Eficiente",0)))</f>
        <v>0</v>
      </c>
      <c r="H190" t="str">
        <f>SUM('Desempeño profesional'!AK191:AO191)</f>
        <v>0</v>
      </c>
      <c r="I190" t="str">
        <f>IF(H190&lt;=$BC$19,"Deficiente",IF(H190&lt;=$BC$20,"Regular",IF(H190&lt;=$BC$21,"Eficiente",0)))</f>
        <v>0</v>
      </c>
      <c r="J190" t="str">
        <f>SUM(B190:H190)</f>
        <v>0</v>
      </c>
      <c r="K190" t="str">
        <f>IF(J190&lt;=$BO$19,"Deficiente",IF(J190&lt;=$BO$20,"Regular",IF(J190&lt;=$BO$21,"Eficiente",0)))</f>
        <v>0</v>
      </c>
    </row>
    <row r="191" spans="1:75">
      <c r="A191" t="s">
        <v>217</v>
      </c>
      <c r="B191" t="str">
        <f>SUM('Desempeño profesional'!B192:K192)</f>
        <v>0</v>
      </c>
      <c r="C191" t="str">
        <f>IF(B191&lt;=$S$19,"Deficiente",IF(B191&lt;=$S$20,"Regular",IF(B191&lt;=$S$21,"Eficiente",0)))</f>
        <v>0</v>
      </c>
      <c r="D191" t="str">
        <f>SUM('Desempeño profesional'!L192:AD192)</f>
        <v>0</v>
      </c>
      <c r="E191" t="str">
        <f>IF(D191&lt;=$AE$19,"Deficiente",IF(D191&lt;=$AE$20,"Regular",IF(D191&lt;=$AE$21,"Eficiente",0)))</f>
        <v>0</v>
      </c>
      <c r="F191" t="str">
        <f>SUM('Desempeño profesional'!AE192:AJ192)</f>
        <v>0</v>
      </c>
      <c r="G191" t="str">
        <f>IF(F191&lt;=$AQ$19,"Deficiente",IF(F191&lt;=$AQ$20,"Regular",IF(F191&lt;=$AQ$21,"Eficiente",0)))</f>
        <v>0</v>
      </c>
      <c r="H191" t="str">
        <f>SUM('Desempeño profesional'!AK192:AO192)</f>
        <v>0</v>
      </c>
      <c r="I191" t="str">
        <f>IF(H191&lt;=$BC$19,"Deficiente",IF(H191&lt;=$BC$20,"Regular",IF(H191&lt;=$BC$21,"Eficiente",0)))</f>
        <v>0</v>
      </c>
      <c r="J191" t="str">
        <f>SUM(B191:H191)</f>
        <v>0</v>
      </c>
      <c r="K191" t="str">
        <f>IF(J191&lt;=$BO$19,"Deficiente",IF(J191&lt;=$BO$20,"Regular",IF(J191&lt;=$BO$21,"Eficiente",0)))</f>
        <v>0</v>
      </c>
    </row>
    <row r="192" spans="1:75">
      <c r="A192" t="s">
        <v>218</v>
      </c>
      <c r="B192" t="str">
        <f>SUM('Desempeño profesional'!B193:K193)</f>
        <v>0</v>
      </c>
      <c r="C192" t="str">
        <f>IF(B192&lt;=$S$19,"Deficiente",IF(B192&lt;=$S$20,"Regular",IF(B192&lt;=$S$21,"Eficiente",0)))</f>
        <v>0</v>
      </c>
      <c r="D192" t="str">
        <f>SUM('Desempeño profesional'!L193:AD193)</f>
        <v>0</v>
      </c>
      <c r="E192" t="str">
        <f>IF(D192&lt;=$AE$19,"Deficiente",IF(D192&lt;=$AE$20,"Regular",IF(D192&lt;=$AE$21,"Eficiente",0)))</f>
        <v>0</v>
      </c>
      <c r="F192" t="str">
        <f>SUM('Desempeño profesional'!AE193:AJ193)</f>
        <v>0</v>
      </c>
      <c r="G192" t="str">
        <f>IF(F192&lt;=$AQ$19,"Deficiente",IF(F192&lt;=$AQ$20,"Regular",IF(F192&lt;=$AQ$21,"Eficiente",0)))</f>
        <v>0</v>
      </c>
      <c r="H192" t="str">
        <f>SUM('Desempeño profesional'!AK193:AO193)</f>
        <v>0</v>
      </c>
      <c r="I192" t="str">
        <f>IF(H192&lt;=$BC$19,"Deficiente",IF(H192&lt;=$BC$20,"Regular",IF(H192&lt;=$BC$21,"Eficiente",0)))</f>
        <v>0</v>
      </c>
      <c r="J192" t="str">
        <f>SUM(B192:H192)</f>
        <v>0</v>
      </c>
      <c r="K192" t="str">
        <f>IF(J192&lt;=$BO$19,"Deficiente",IF(J192&lt;=$BO$20,"Regular",IF(J192&lt;=$BO$21,"Eficiente",0)))</f>
        <v>0</v>
      </c>
    </row>
    <row r="193" spans="1:75">
      <c r="A193" t="s">
        <v>219</v>
      </c>
      <c r="B193" t="str">
        <f>SUM('Desempeño profesional'!B194:K194)</f>
        <v>0</v>
      </c>
      <c r="C193" t="str">
        <f>IF(B193&lt;=$S$19,"Deficiente",IF(B193&lt;=$S$20,"Regular",IF(B193&lt;=$S$21,"Eficiente",0)))</f>
        <v>0</v>
      </c>
      <c r="D193" t="str">
        <f>SUM('Desempeño profesional'!L194:AD194)</f>
        <v>0</v>
      </c>
      <c r="E193" t="str">
        <f>IF(D193&lt;=$AE$19,"Deficiente",IF(D193&lt;=$AE$20,"Regular",IF(D193&lt;=$AE$21,"Eficiente",0)))</f>
        <v>0</v>
      </c>
      <c r="F193" t="str">
        <f>SUM('Desempeño profesional'!AE194:AJ194)</f>
        <v>0</v>
      </c>
      <c r="G193" t="str">
        <f>IF(F193&lt;=$AQ$19,"Deficiente",IF(F193&lt;=$AQ$20,"Regular",IF(F193&lt;=$AQ$21,"Eficiente",0)))</f>
        <v>0</v>
      </c>
      <c r="H193" t="str">
        <f>SUM('Desempeño profesional'!AK194:AO194)</f>
        <v>0</v>
      </c>
      <c r="I193" t="str">
        <f>IF(H193&lt;=$BC$19,"Deficiente",IF(H193&lt;=$BC$20,"Regular",IF(H193&lt;=$BC$21,"Eficiente",0)))</f>
        <v>0</v>
      </c>
      <c r="J193" t="str">
        <f>SUM(B193:H193)</f>
        <v>0</v>
      </c>
      <c r="K193" t="str">
        <f>IF(J193&lt;=$BO$19,"Deficiente",IF(J193&lt;=$BO$20,"Regular",IF(J193&lt;=$BO$21,"Eficiente",0)))</f>
        <v>0</v>
      </c>
    </row>
    <row r="194" spans="1:75">
      <c r="A194" t="s">
        <v>220</v>
      </c>
      <c r="B194" t="str">
        <f>SUM('Desempeño profesional'!B195:K195)</f>
        <v>0</v>
      </c>
      <c r="C194" t="str">
        <f>IF(B194&lt;=$S$19,"Deficiente",IF(B194&lt;=$S$20,"Regular",IF(B194&lt;=$S$21,"Eficiente",0)))</f>
        <v>0</v>
      </c>
      <c r="D194" t="str">
        <f>SUM('Desempeño profesional'!L195:AD195)</f>
        <v>0</v>
      </c>
      <c r="E194" t="str">
        <f>IF(D194&lt;=$AE$19,"Deficiente",IF(D194&lt;=$AE$20,"Regular",IF(D194&lt;=$AE$21,"Eficiente",0)))</f>
        <v>0</v>
      </c>
      <c r="F194" t="str">
        <f>SUM('Desempeño profesional'!AE195:AJ195)</f>
        <v>0</v>
      </c>
      <c r="G194" t="str">
        <f>IF(F194&lt;=$AQ$19,"Deficiente",IF(F194&lt;=$AQ$20,"Regular",IF(F194&lt;=$AQ$21,"Eficiente",0)))</f>
        <v>0</v>
      </c>
      <c r="H194" t="str">
        <f>SUM('Desempeño profesional'!AK195:AO195)</f>
        <v>0</v>
      </c>
      <c r="I194" t="str">
        <f>IF(H194&lt;=$BC$19,"Deficiente",IF(H194&lt;=$BC$20,"Regular",IF(H194&lt;=$BC$21,"Eficiente",0)))</f>
        <v>0</v>
      </c>
      <c r="J194" t="str">
        <f>SUM(B194:H194)</f>
        <v>0</v>
      </c>
      <c r="K194" t="str">
        <f>IF(J194&lt;=$BO$19,"Deficiente",IF(J194&lt;=$BO$20,"Regular",IF(J194&lt;=$BO$21,"Eficiente",0)))</f>
        <v>0</v>
      </c>
    </row>
    <row r="195" spans="1:75">
      <c r="A195" t="s">
        <v>221</v>
      </c>
      <c r="B195" t="str">
        <f>SUM('Desempeño profesional'!B196:K196)</f>
        <v>0</v>
      </c>
      <c r="C195" t="str">
        <f>IF(B195&lt;=$S$19,"Deficiente",IF(B195&lt;=$S$20,"Regular",IF(B195&lt;=$S$21,"Eficiente",0)))</f>
        <v>0</v>
      </c>
      <c r="D195" t="str">
        <f>SUM('Desempeño profesional'!L196:AD196)</f>
        <v>0</v>
      </c>
      <c r="E195" t="str">
        <f>IF(D195&lt;=$AE$19,"Deficiente",IF(D195&lt;=$AE$20,"Regular",IF(D195&lt;=$AE$21,"Eficiente",0)))</f>
        <v>0</v>
      </c>
      <c r="F195" t="str">
        <f>SUM('Desempeño profesional'!AE196:AJ196)</f>
        <v>0</v>
      </c>
      <c r="G195" t="str">
        <f>IF(F195&lt;=$AQ$19,"Deficiente",IF(F195&lt;=$AQ$20,"Regular",IF(F195&lt;=$AQ$21,"Eficiente",0)))</f>
        <v>0</v>
      </c>
      <c r="H195" t="str">
        <f>SUM('Desempeño profesional'!AK196:AO196)</f>
        <v>0</v>
      </c>
      <c r="I195" t="str">
        <f>IF(H195&lt;=$BC$19,"Deficiente",IF(H195&lt;=$BC$20,"Regular",IF(H195&lt;=$BC$21,"Eficiente",0)))</f>
        <v>0</v>
      </c>
      <c r="J195" t="str">
        <f>SUM(B195:H195)</f>
        <v>0</v>
      </c>
      <c r="K195" t="str">
        <f>IF(J195&lt;=$BO$19,"Deficiente",IF(J195&lt;=$BO$20,"Regular",IF(J195&lt;=$BO$21,"Eficiente",0)))</f>
        <v>0</v>
      </c>
    </row>
    <row r="196" spans="1:75">
      <c r="A196" t="s">
        <v>222</v>
      </c>
      <c r="B196" t="str">
        <f>SUM('Desempeño profesional'!B197:K197)</f>
        <v>0</v>
      </c>
      <c r="C196" t="str">
        <f>IF(B196&lt;=$S$19,"Deficiente",IF(B196&lt;=$S$20,"Regular",IF(B196&lt;=$S$21,"Eficiente",0)))</f>
        <v>0</v>
      </c>
      <c r="D196" t="str">
        <f>SUM('Desempeño profesional'!L197:AD197)</f>
        <v>0</v>
      </c>
      <c r="E196" t="str">
        <f>IF(D196&lt;=$AE$19,"Deficiente",IF(D196&lt;=$AE$20,"Regular",IF(D196&lt;=$AE$21,"Eficiente",0)))</f>
        <v>0</v>
      </c>
      <c r="F196" t="str">
        <f>SUM('Desempeño profesional'!AE197:AJ197)</f>
        <v>0</v>
      </c>
      <c r="G196" t="str">
        <f>IF(F196&lt;=$AQ$19,"Deficiente",IF(F196&lt;=$AQ$20,"Regular",IF(F196&lt;=$AQ$21,"Eficiente",0)))</f>
        <v>0</v>
      </c>
      <c r="H196" t="str">
        <f>SUM('Desempeño profesional'!AK197:AO197)</f>
        <v>0</v>
      </c>
      <c r="I196" t="str">
        <f>IF(H196&lt;=$BC$19,"Deficiente",IF(H196&lt;=$BC$20,"Regular",IF(H196&lt;=$BC$21,"Eficiente",0)))</f>
        <v>0</v>
      </c>
      <c r="J196" t="str">
        <f>SUM(B196:H196)</f>
        <v>0</v>
      </c>
      <c r="K196" t="str">
        <f>IF(J196&lt;=$BO$19,"Deficiente",IF(J196&lt;=$BO$20,"Regular",IF(J196&lt;=$BO$21,"Eficiente",0)))</f>
        <v>0</v>
      </c>
    </row>
    <row r="197" spans="1:75">
      <c r="A197" t="s">
        <v>223</v>
      </c>
      <c r="B197" t="str">
        <f>SUM('Desempeño profesional'!B198:K198)</f>
        <v>0</v>
      </c>
      <c r="C197" t="str">
        <f>IF(B197&lt;=$S$19,"Deficiente",IF(B197&lt;=$S$20,"Regular",IF(B197&lt;=$S$21,"Eficiente",0)))</f>
        <v>0</v>
      </c>
      <c r="D197" t="str">
        <f>SUM('Desempeño profesional'!L198:AD198)</f>
        <v>0</v>
      </c>
      <c r="E197" t="str">
        <f>IF(D197&lt;=$AE$19,"Deficiente",IF(D197&lt;=$AE$20,"Regular",IF(D197&lt;=$AE$21,"Eficiente",0)))</f>
        <v>0</v>
      </c>
      <c r="F197" t="str">
        <f>SUM('Desempeño profesional'!AE198:AJ198)</f>
        <v>0</v>
      </c>
      <c r="G197" t="str">
        <f>IF(F197&lt;=$AQ$19,"Deficiente",IF(F197&lt;=$AQ$20,"Regular",IF(F197&lt;=$AQ$21,"Eficiente",0)))</f>
        <v>0</v>
      </c>
      <c r="H197" t="str">
        <f>SUM('Desempeño profesional'!AK198:AO198)</f>
        <v>0</v>
      </c>
      <c r="I197" t="str">
        <f>IF(H197&lt;=$BC$19,"Deficiente",IF(H197&lt;=$BC$20,"Regular",IF(H197&lt;=$BC$21,"Eficiente",0)))</f>
        <v>0</v>
      </c>
      <c r="J197" t="str">
        <f>SUM(B197:H197)</f>
        <v>0</v>
      </c>
      <c r="K197" t="str">
        <f>IF(J197&lt;=$BO$19,"Deficiente",IF(J197&lt;=$BO$20,"Regular",IF(J197&lt;=$BO$21,"Eficiente",0)))</f>
        <v>0</v>
      </c>
    </row>
    <row r="198" spans="1:75">
      <c r="A198" t="s">
        <v>224</v>
      </c>
      <c r="B198" t="str">
        <f>SUM('Desempeño profesional'!B199:K199)</f>
        <v>0</v>
      </c>
      <c r="C198" t="str">
        <f>IF(B198&lt;=$S$19,"Deficiente",IF(B198&lt;=$S$20,"Regular",IF(B198&lt;=$S$21,"Eficiente",0)))</f>
        <v>0</v>
      </c>
      <c r="D198" t="str">
        <f>SUM('Desempeño profesional'!L199:AD199)</f>
        <v>0</v>
      </c>
      <c r="E198" t="str">
        <f>IF(D198&lt;=$AE$19,"Deficiente",IF(D198&lt;=$AE$20,"Regular",IF(D198&lt;=$AE$21,"Eficiente",0)))</f>
        <v>0</v>
      </c>
      <c r="F198" t="str">
        <f>SUM('Desempeño profesional'!AE199:AJ199)</f>
        <v>0</v>
      </c>
      <c r="G198" t="str">
        <f>IF(F198&lt;=$AQ$19,"Deficiente",IF(F198&lt;=$AQ$20,"Regular",IF(F198&lt;=$AQ$21,"Eficiente",0)))</f>
        <v>0</v>
      </c>
      <c r="H198" t="str">
        <f>SUM('Desempeño profesional'!AK199:AO199)</f>
        <v>0</v>
      </c>
      <c r="I198" t="str">
        <f>IF(H198&lt;=$BC$19,"Deficiente",IF(H198&lt;=$BC$20,"Regular",IF(H198&lt;=$BC$21,"Eficiente",0)))</f>
        <v>0</v>
      </c>
      <c r="J198" t="str">
        <f>SUM(B198:H198)</f>
        <v>0</v>
      </c>
      <c r="K198" t="str">
        <f>IF(J198&lt;=$BO$19,"Deficiente",IF(J198&lt;=$BO$20,"Regular",IF(J198&lt;=$BO$21,"Eficiente",0)))</f>
        <v>0</v>
      </c>
    </row>
    <row r="199" spans="1:75">
      <c r="A199" t="s">
        <v>225</v>
      </c>
      <c r="B199" t="str">
        <f>SUM('Desempeño profesional'!B200:K200)</f>
        <v>0</v>
      </c>
      <c r="C199" t="str">
        <f>IF(B199&lt;=$S$19,"Deficiente",IF(B199&lt;=$S$20,"Regular",IF(B199&lt;=$S$21,"Eficiente",0)))</f>
        <v>0</v>
      </c>
      <c r="D199" t="str">
        <f>SUM('Desempeño profesional'!L200:AD200)</f>
        <v>0</v>
      </c>
      <c r="E199" t="str">
        <f>IF(D199&lt;=$AE$19,"Deficiente",IF(D199&lt;=$AE$20,"Regular",IF(D199&lt;=$AE$21,"Eficiente",0)))</f>
        <v>0</v>
      </c>
      <c r="F199" t="str">
        <f>SUM('Desempeño profesional'!AE200:AJ200)</f>
        <v>0</v>
      </c>
      <c r="G199" t="str">
        <f>IF(F199&lt;=$AQ$19,"Deficiente",IF(F199&lt;=$AQ$20,"Regular",IF(F199&lt;=$AQ$21,"Eficiente",0)))</f>
        <v>0</v>
      </c>
      <c r="H199" t="str">
        <f>SUM('Desempeño profesional'!AK200:AO200)</f>
        <v>0</v>
      </c>
      <c r="I199" t="str">
        <f>IF(H199&lt;=$BC$19,"Deficiente",IF(H199&lt;=$BC$20,"Regular",IF(H199&lt;=$BC$21,"Eficiente",0)))</f>
        <v>0</v>
      </c>
      <c r="J199" t="str">
        <f>SUM(B199:H199)</f>
        <v>0</v>
      </c>
      <c r="K199" t="str">
        <f>IF(J199&lt;=$BO$19,"Deficiente",IF(J199&lt;=$BO$20,"Regular",IF(J199&lt;=$BO$21,"Eficiente",0)))</f>
        <v>0</v>
      </c>
    </row>
    <row r="200" spans="1:75">
      <c r="A200" t="s">
        <v>226</v>
      </c>
      <c r="B200" t="str">
        <f>SUM('Desempeño profesional'!B201:K201)</f>
        <v>0</v>
      </c>
      <c r="C200" t="str">
        <f>IF(B200&lt;=$S$19,"Deficiente",IF(B200&lt;=$S$20,"Regular",IF(B200&lt;=$S$21,"Eficiente",0)))</f>
        <v>0</v>
      </c>
      <c r="D200" t="str">
        <f>SUM('Desempeño profesional'!L201:AD201)</f>
        <v>0</v>
      </c>
      <c r="E200" t="str">
        <f>IF(D200&lt;=$AE$19,"Deficiente",IF(D200&lt;=$AE$20,"Regular",IF(D200&lt;=$AE$21,"Eficiente",0)))</f>
        <v>0</v>
      </c>
      <c r="F200" t="str">
        <f>SUM('Desempeño profesional'!AE201:AJ201)</f>
        <v>0</v>
      </c>
      <c r="G200" t="str">
        <f>IF(F200&lt;=$AQ$19,"Deficiente",IF(F200&lt;=$AQ$20,"Regular",IF(F200&lt;=$AQ$21,"Eficiente",0)))</f>
        <v>0</v>
      </c>
      <c r="H200" t="str">
        <f>SUM('Desempeño profesional'!AK201:AO201)</f>
        <v>0</v>
      </c>
      <c r="I200" t="str">
        <f>IF(H200&lt;=$BC$19,"Deficiente",IF(H200&lt;=$BC$20,"Regular",IF(H200&lt;=$BC$21,"Eficiente",0)))</f>
        <v>0</v>
      </c>
      <c r="J200" t="str">
        <f>SUM(B200:H200)</f>
        <v>0</v>
      </c>
      <c r="K200" t="str">
        <f>IF(J200&lt;=$BO$19,"Deficiente",IF(J200&lt;=$BO$20,"Regular",IF(J200&lt;=$BO$21,"Eficiente",0)))</f>
        <v>0</v>
      </c>
    </row>
    <row r="201" spans="1:75">
      <c r="A201" t="s">
        <v>227</v>
      </c>
      <c r="B201" t="str">
        <f>SUM('Desempeño profesional'!B202:K202)</f>
        <v>0</v>
      </c>
      <c r="C201" t="str">
        <f>IF(B201&lt;=$S$19,"Deficiente",IF(B201&lt;=$S$20,"Regular",IF(B201&lt;=$S$21,"Eficiente",0)))</f>
        <v>0</v>
      </c>
      <c r="D201" t="str">
        <f>SUM('Desempeño profesional'!L202:AD202)</f>
        <v>0</v>
      </c>
      <c r="E201" t="str">
        <f>IF(D201&lt;=$AE$19,"Deficiente",IF(D201&lt;=$AE$20,"Regular",IF(D201&lt;=$AE$21,"Eficiente",0)))</f>
        <v>0</v>
      </c>
      <c r="F201" t="str">
        <f>SUM('Desempeño profesional'!AE202:AJ202)</f>
        <v>0</v>
      </c>
      <c r="G201" t="str">
        <f>IF(F201&lt;=$AQ$19,"Deficiente",IF(F201&lt;=$AQ$20,"Regular",IF(F201&lt;=$AQ$21,"Eficiente",0)))</f>
        <v>0</v>
      </c>
      <c r="H201" t="str">
        <f>SUM('Desempeño profesional'!AK202:AO202)</f>
        <v>0</v>
      </c>
      <c r="I201" t="str">
        <f>IF(H201&lt;=$BC$19,"Deficiente",IF(H201&lt;=$BC$20,"Regular",IF(H201&lt;=$BC$21,"Eficiente",0)))</f>
        <v>0</v>
      </c>
      <c r="J201" t="str">
        <f>SUM(B201:H201)</f>
        <v>0</v>
      </c>
      <c r="K201" t="str">
        <f>IF(J201&lt;=$BO$19,"Deficiente",IF(J201&lt;=$BO$20,"Regular",IF(J201&lt;=$BO$21,"Eficiente",0)))</f>
        <v>0</v>
      </c>
    </row>
    <row r="202" spans="1:75">
      <c r="A202" t="s">
        <v>228</v>
      </c>
      <c r="B202" t="str">
        <f>SUM('Desempeño profesional'!B203:K203)</f>
        <v>0</v>
      </c>
      <c r="C202" t="str">
        <f>IF(B202&lt;=$S$19,"Deficiente",IF(B202&lt;=$S$20,"Regular",IF(B202&lt;=$S$21,"Eficiente",0)))</f>
        <v>0</v>
      </c>
      <c r="D202" t="str">
        <f>SUM('Desempeño profesional'!L203:AD203)</f>
        <v>0</v>
      </c>
      <c r="E202" t="str">
        <f>IF(D202&lt;=$AE$19,"Deficiente",IF(D202&lt;=$AE$20,"Regular",IF(D202&lt;=$AE$21,"Eficiente",0)))</f>
        <v>0</v>
      </c>
      <c r="F202" t="str">
        <f>SUM('Desempeño profesional'!AE203:AJ203)</f>
        <v>0</v>
      </c>
      <c r="G202" t="str">
        <f>IF(F202&lt;=$AQ$19,"Deficiente",IF(F202&lt;=$AQ$20,"Regular",IF(F202&lt;=$AQ$21,"Eficiente",0)))</f>
        <v>0</v>
      </c>
      <c r="H202" t="str">
        <f>SUM('Desempeño profesional'!AK203:AO203)</f>
        <v>0</v>
      </c>
      <c r="I202" t="str">
        <f>IF(H202&lt;=$BC$19,"Deficiente",IF(H202&lt;=$BC$20,"Regular",IF(H202&lt;=$BC$21,"Eficiente",0)))</f>
        <v>0</v>
      </c>
      <c r="J202" t="str">
        <f>SUM(B202:H202)</f>
        <v>0</v>
      </c>
      <c r="K202" t="str">
        <f>IF(J202&lt;=$BO$19,"Deficiente",IF(J202&lt;=$BO$20,"Regular",IF(J202&lt;=$BO$21,"Eficiente",0)))</f>
        <v>0</v>
      </c>
    </row>
    <row r="203" spans="1:75">
      <c r="A203" t="s">
        <v>229</v>
      </c>
      <c r="B203" t="str">
        <f>SUM('Desempeño profesional'!B204:K204)</f>
        <v>0</v>
      </c>
      <c r="C203" t="str">
        <f>IF(B203&lt;=$S$19,"Deficiente",IF(B203&lt;=$S$20,"Regular",IF(B203&lt;=$S$21,"Eficiente",0)))</f>
        <v>0</v>
      </c>
      <c r="D203" t="str">
        <f>SUM('Desempeño profesional'!L204:AD204)</f>
        <v>0</v>
      </c>
      <c r="E203" t="str">
        <f>IF(D203&lt;=$AE$19,"Deficiente",IF(D203&lt;=$AE$20,"Regular",IF(D203&lt;=$AE$21,"Eficiente",0)))</f>
        <v>0</v>
      </c>
      <c r="F203" t="str">
        <f>SUM('Desempeño profesional'!AE204:AJ204)</f>
        <v>0</v>
      </c>
      <c r="G203" t="str">
        <f>IF(F203&lt;=$AQ$19,"Deficiente",IF(F203&lt;=$AQ$20,"Regular",IF(F203&lt;=$AQ$21,"Eficiente",0)))</f>
        <v>0</v>
      </c>
      <c r="H203" t="str">
        <f>SUM('Desempeño profesional'!AK204:AO204)</f>
        <v>0</v>
      </c>
      <c r="I203" t="str">
        <f>IF(H203&lt;=$BC$19,"Deficiente",IF(H203&lt;=$BC$20,"Regular",IF(H203&lt;=$BC$21,"Eficiente",0)))</f>
        <v>0</v>
      </c>
      <c r="J203" t="str">
        <f>SUM(B203:H203)</f>
        <v>0</v>
      </c>
      <c r="K203" t="str">
        <f>IF(J203&lt;=$BO$19,"Deficiente",IF(J203&lt;=$BO$20,"Regular",IF(J203&lt;=$BO$21,"Eficiente",0)))</f>
        <v>0</v>
      </c>
    </row>
    <row r="204" spans="1:75">
      <c r="A204" t="s">
        <v>230</v>
      </c>
      <c r="B204" t="str">
        <f>SUM('Desempeño profesional'!B205:K205)</f>
        <v>0</v>
      </c>
      <c r="C204" t="str">
        <f>IF(B204&lt;=$S$19,"Deficiente",IF(B204&lt;=$S$20,"Regular",IF(B204&lt;=$S$21,"Eficiente",0)))</f>
        <v>0</v>
      </c>
      <c r="D204" t="str">
        <f>SUM('Desempeño profesional'!L205:AD205)</f>
        <v>0</v>
      </c>
      <c r="E204" t="str">
        <f>IF(D204&lt;=$AE$19,"Deficiente",IF(D204&lt;=$AE$20,"Regular",IF(D204&lt;=$AE$21,"Eficiente",0)))</f>
        <v>0</v>
      </c>
      <c r="F204" t="str">
        <f>SUM('Desempeño profesional'!AE205:AJ205)</f>
        <v>0</v>
      </c>
      <c r="G204" t="str">
        <f>IF(F204&lt;=$AQ$19,"Deficiente",IF(F204&lt;=$AQ$20,"Regular",IF(F204&lt;=$AQ$21,"Eficiente",0)))</f>
        <v>0</v>
      </c>
      <c r="H204" t="str">
        <f>SUM('Desempeño profesional'!AK205:AO205)</f>
        <v>0</v>
      </c>
      <c r="I204" t="str">
        <f>IF(H204&lt;=$BC$19,"Deficiente",IF(H204&lt;=$BC$20,"Regular",IF(H204&lt;=$BC$21,"Eficiente",0)))</f>
        <v>0</v>
      </c>
      <c r="J204" t="str">
        <f>SUM(B204:H204)</f>
        <v>0</v>
      </c>
      <c r="K204" t="str">
        <f>IF(J204&lt;=$BO$19,"Deficiente",IF(J204&lt;=$BO$20,"Regular",IF(J204&lt;=$BO$21,"Eficiente",0)))</f>
        <v>0</v>
      </c>
    </row>
    <row r="205" spans="1:75">
      <c r="A205" t="s">
        <v>231</v>
      </c>
      <c r="B205" t="str">
        <f>SUM('Desempeño profesional'!B206:K206)</f>
        <v>0</v>
      </c>
      <c r="C205" t="str">
        <f>IF(B205&lt;=$S$19,"Deficiente",IF(B205&lt;=$S$20,"Regular",IF(B205&lt;=$S$21,"Eficiente",0)))</f>
        <v>0</v>
      </c>
      <c r="D205" t="str">
        <f>SUM('Desempeño profesional'!L206:AD206)</f>
        <v>0</v>
      </c>
      <c r="E205" t="str">
        <f>IF(D205&lt;=$AE$19,"Deficiente",IF(D205&lt;=$AE$20,"Regular",IF(D205&lt;=$AE$21,"Eficiente",0)))</f>
        <v>0</v>
      </c>
      <c r="F205" t="str">
        <f>SUM('Desempeño profesional'!AE206:AJ206)</f>
        <v>0</v>
      </c>
      <c r="G205" t="str">
        <f>IF(F205&lt;=$AQ$19,"Deficiente",IF(F205&lt;=$AQ$20,"Regular",IF(F205&lt;=$AQ$21,"Eficiente",0)))</f>
        <v>0</v>
      </c>
      <c r="H205" t="str">
        <f>SUM('Desempeño profesional'!AK206:AO206)</f>
        <v>0</v>
      </c>
      <c r="I205" t="str">
        <f>IF(H205&lt;=$BC$19,"Deficiente",IF(H205&lt;=$BC$20,"Regular",IF(H205&lt;=$BC$21,"Eficiente",0)))</f>
        <v>0</v>
      </c>
      <c r="J205" t="str">
        <f>SUM(B205:H205)</f>
        <v>0</v>
      </c>
      <c r="K205" t="str">
        <f>IF(J205&lt;=$BO$19,"Deficiente",IF(J205&lt;=$BO$20,"Regular",IF(J205&lt;=$BO$21,"Eficiente",0)))</f>
        <v>0</v>
      </c>
    </row>
    <row r="206" spans="1:75">
      <c r="A206" t="s">
        <v>232</v>
      </c>
      <c r="B206" t="str">
        <f>SUM('Desempeño profesional'!B207:K207)</f>
        <v>0</v>
      </c>
      <c r="C206" t="str">
        <f>IF(B206&lt;=$S$19,"Deficiente",IF(B206&lt;=$S$20,"Regular",IF(B206&lt;=$S$21,"Eficiente",0)))</f>
        <v>0</v>
      </c>
      <c r="D206" t="str">
        <f>SUM('Desempeño profesional'!L207:AD207)</f>
        <v>0</v>
      </c>
      <c r="E206" t="str">
        <f>IF(D206&lt;=$AE$19,"Deficiente",IF(D206&lt;=$AE$20,"Regular",IF(D206&lt;=$AE$21,"Eficiente",0)))</f>
        <v>0</v>
      </c>
      <c r="F206" t="str">
        <f>SUM('Desempeño profesional'!AE207:AJ207)</f>
        <v>0</v>
      </c>
      <c r="G206" t="str">
        <f>IF(F206&lt;=$AQ$19,"Deficiente",IF(F206&lt;=$AQ$20,"Regular",IF(F206&lt;=$AQ$21,"Eficiente",0)))</f>
        <v>0</v>
      </c>
      <c r="H206" t="str">
        <f>SUM('Desempeño profesional'!AK207:AO207)</f>
        <v>0</v>
      </c>
      <c r="I206" t="str">
        <f>IF(H206&lt;=$BC$19,"Deficiente",IF(H206&lt;=$BC$20,"Regular",IF(H206&lt;=$BC$21,"Eficiente",0)))</f>
        <v>0</v>
      </c>
      <c r="J206" t="str">
        <f>SUM(B206:H206)</f>
        <v>0</v>
      </c>
      <c r="K206" t="str">
        <f>IF(J206&lt;=$BO$19,"Deficiente",IF(J206&lt;=$BO$20,"Regular",IF(J206&lt;=$BO$21,"Eficiente",0)))</f>
        <v>0</v>
      </c>
    </row>
    <row r="207" spans="1:75">
      <c r="A207" t="s">
        <v>233</v>
      </c>
      <c r="B207" t="str">
        <f>SUM('Desempeño profesional'!B208:K208)</f>
        <v>0</v>
      </c>
      <c r="C207" t="str">
        <f>IF(B207&lt;=$S$19,"Deficiente",IF(B207&lt;=$S$20,"Regular",IF(B207&lt;=$S$21,"Eficiente",0)))</f>
        <v>0</v>
      </c>
      <c r="D207" t="str">
        <f>SUM('Desempeño profesional'!L208:AD208)</f>
        <v>0</v>
      </c>
      <c r="E207" t="str">
        <f>IF(D207&lt;=$AE$19,"Deficiente",IF(D207&lt;=$AE$20,"Regular",IF(D207&lt;=$AE$21,"Eficiente",0)))</f>
        <v>0</v>
      </c>
      <c r="F207" t="str">
        <f>SUM('Desempeño profesional'!AE208:AJ208)</f>
        <v>0</v>
      </c>
      <c r="G207" t="str">
        <f>IF(F207&lt;=$AQ$19,"Deficiente",IF(F207&lt;=$AQ$20,"Regular",IF(F207&lt;=$AQ$21,"Eficiente",0)))</f>
        <v>0</v>
      </c>
      <c r="H207" t="str">
        <f>SUM('Desempeño profesional'!AK208:AO208)</f>
        <v>0</v>
      </c>
      <c r="I207" t="str">
        <f>IF(H207&lt;=$BC$19,"Deficiente",IF(H207&lt;=$BC$20,"Regular",IF(H207&lt;=$BC$21,"Eficiente",0)))</f>
        <v>0</v>
      </c>
      <c r="J207" t="str">
        <f>SUM(B207:H207)</f>
        <v>0</v>
      </c>
      <c r="K207" t="str">
        <f>IF(J207&lt;=$BO$19,"Deficiente",IF(J207&lt;=$BO$20,"Regular",IF(J207&lt;=$BO$21,"Eficiente",0)))</f>
        <v>0</v>
      </c>
    </row>
    <row r="208" spans="1:75">
      <c r="A208" t="s">
        <v>234</v>
      </c>
      <c r="B208" t="str">
        <f>SUM('Desempeño profesional'!B209:K209)</f>
        <v>0</v>
      </c>
      <c r="C208" t="str">
        <f>IF(B208&lt;=$S$19,"Deficiente",IF(B208&lt;=$S$20,"Regular",IF(B208&lt;=$S$21,"Eficiente",0)))</f>
        <v>0</v>
      </c>
      <c r="D208" t="str">
        <f>SUM('Desempeño profesional'!L209:AD209)</f>
        <v>0</v>
      </c>
      <c r="E208" t="str">
        <f>IF(D208&lt;=$AE$19,"Deficiente",IF(D208&lt;=$AE$20,"Regular",IF(D208&lt;=$AE$21,"Eficiente",0)))</f>
        <v>0</v>
      </c>
      <c r="F208" t="str">
        <f>SUM('Desempeño profesional'!AE209:AJ209)</f>
        <v>0</v>
      </c>
      <c r="G208" t="str">
        <f>IF(F208&lt;=$AQ$19,"Deficiente",IF(F208&lt;=$AQ$20,"Regular",IF(F208&lt;=$AQ$21,"Eficiente",0)))</f>
        <v>0</v>
      </c>
      <c r="H208" t="str">
        <f>SUM('Desempeño profesional'!AK209:AO209)</f>
        <v>0</v>
      </c>
      <c r="I208" t="str">
        <f>IF(H208&lt;=$BC$19,"Deficiente",IF(H208&lt;=$BC$20,"Regular",IF(H208&lt;=$BC$21,"Eficiente",0)))</f>
        <v>0</v>
      </c>
      <c r="J208" t="str">
        <f>SUM(B208:H208)</f>
        <v>0</v>
      </c>
      <c r="K208" t="str">
        <f>IF(J208&lt;=$BO$19,"Deficiente",IF(J208&lt;=$BO$20,"Regular",IF(J208&lt;=$BO$21,"Eficiente",0)))</f>
        <v>0</v>
      </c>
    </row>
    <row r="209" spans="1:75">
      <c r="A209" t="s">
        <v>235</v>
      </c>
      <c r="B209" t="str">
        <f>SUM('Desempeño profesional'!B210:K210)</f>
        <v>0</v>
      </c>
      <c r="C209" t="str">
        <f>IF(B209&lt;=$S$19,"Deficiente",IF(B209&lt;=$S$20,"Regular",IF(B209&lt;=$S$21,"Eficiente",0)))</f>
        <v>0</v>
      </c>
      <c r="D209" t="str">
        <f>SUM('Desempeño profesional'!L210:AD210)</f>
        <v>0</v>
      </c>
      <c r="E209" t="str">
        <f>IF(D209&lt;=$AE$19,"Deficiente",IF(D209&lt;=$AE$20,"Regular",IF(D209&lt;=$AE$21,"Eficiente",0)))</f>
        <v>0</v>
      </c>
      <c r="F209" t="str">
        <f>SUM('Desempeño profesional'!AE210:AJ210)</f>
        <v>0</v>
      </c>
      <c r="G209" t="str">
        <f>IF(F209&lt;=$AQ$19,"Deficiente",IF(F209&lt;=$AQ$20,"Regular",IF(F209&lt;=$AQ$21,"Eficiente",0)))</f>
        <v>0</v>
      </c>
      <c r="H209" t="str">
        <f>SUM('Desempeño profesional'!AK210:AO210)</f>
        <v>0</v>
      </c>
      <c r="I209" t="str">
        <f>IF(H209&lt;=$BC$19,"Deficiente",IF(H209&lt;=$BC$20,"Regular",IF(H209&lt;=$BC$21,"Eficiente",0)))</f>
        <v>0</v>
      </c>
      <c r="J209" t="str">
        <f>SUM(B209:H209)</f>
        <v>0</v>
      </c>
      <c r="K209" t="str">
        <f>IF(J209&lt;=$BO$19,"Deficiente",IF(J209&lt;=$BO$20,"Regular",IF(J209&lt;=$BO$21,"Eficiente",0)))</f>
        <v>0</v>
      </c>
    </row>
    <row r="210" spans="1:75">
      <c r="A210" t="s">
        <v>236</v>
      </c>
      <c r="B210" t="str">
        <f>SUM('Desempeño profesional'!B211:K211)</f>
        <v>0</v>
      </c>
      <c r="C210" t="str">
        <f>IF(B210&lt;=$S$19,"Deficiente",IF(B210&lt;=$S$20,"Regular",IF(B210&lt;=$S$21,"Eficiente",0)))</f>
        <v>0</v>
      </c>
      <c r="D210" t="str">
        <f>SUM('Desempeño profesional'!L211:AD211)</f>
        <v>0</v>
      </c>
      <c r="E210" t="str">
        <f>IF(D210&lt;=$AE$19,"Deficiente",IF(D210&lt;=$AE$20,"Regular",IF(D210&lt;=$AE$21,"Eficiente",0)))</f>
        <v>0</v>
      </c>
      <c r="F210" t="str">
        <f>SUM('Desempeño profesional'!AE211:AJ211)</f>
        <v>0</v>
      </c>
      <c r="G210" t="str">
        <f>IF(F210&lt;=$AQ$19,"Deficiente",IF(F210&lt;=$AQ$20,"Regular",IF(F210&lt;=$AQ$21,"Eficiente",0)))</f>
        <v>0</v>
      </c>
      <c r="H210" t="str">
        <f>SUM('Desempeño profesional'!AK211:AO211)</f>
        <v>0</v>
      </c>
      <c r="I210" t="str">
        <f>IF(H210&lt;=$BC$19,"Deficiente",IF(H210&lt;=$BC$20,"Regular",IF(H210&lt;=$BC$21,"Eficiente",0)))</f>
        <v>0</v>
      </c>
      <c r="J210" t="str">
        <f>SUM(B210:H210)</f>
        <v>0</v>
      </c>
      <c r="K210" t="str">
        <f>IF(J210&lt;=$BO$19,"Deficiente",IF(J210&lt;=$BO$20,"Regular",IF(J210&lt;=$BO$21,"Eficiente",0)))</f>
        <v>0</v>
      </c>
    </row>
    <row r="211" spans="1:75">
      <c r="A211" t="s">
        <v>237</v>
      </c>
      <c r="B211" t="str">
        <f>SUM('Desempeño profesional'!B212:K212)</f>
        <v>0</v>
      </c>
      <c r="C211" t="str">
        <f>IF(B211&lt;=$S$19,"Deficiente",IF(B211&lt;=$S$20,"Regular",IF(B211&lt;=$S$21,"Eficiente",0)))</f>
        <v>0</v>
      </c>
      <c r="D211" t="str">
        <f>SUM('Desempeño profesional'!L212:AD212)</f>
        <v>0</v>
      </c>
      <c r="E211" t="str">
        <f>IF(D211&lt;=$AE$19,"Deficiente",IF(D211&lt;=$AE$20,"Regular",IF(D211&lt;=$AE$21,"Eficiente",0)))</f>
        <v>0</v>
      </c>
      <c r="F211" t="str">
        <f>SUM('Desempeño profesional'!AE212:AJ212)</f>
        <v>0</v>
      </c>
      <c r="G211" t="str">
        <f>IF(F211&lt;=$AQ$19,"Deficiente",IF(F211&lt;=$AQ$20,"Regular",IF(F211&lt;=$AQ$21,"Eficiente",0)))</f>
        <v>0</v>
      </c>
      <c r="H211" t="str">
        <f>SUM('Desempeño profesional'!AK212:AO212)</f>
        <v>0</v>
      </c>
      <c r="I211" t="str">
        <f>IF(H211&lt;=$BC$19,"Deficiente",IF(H211&lt;=$BC$20,"Regular",IF(H211&lt;=$BC$21,"Eficiente",0)))</f>
        <v>0</v>
      </c>
      <c r="J211" t="str">
        <f>SUM(B211:H211)</f>
        <v>0</v>
      </c>
      <c r="K211" t="str">
        <f>IF(J211&lt;=$BO$19,"Deficiente",IF(J211&lt;=$BO$20,"Regular",IF(J211&lt;=$BO$21,"Eficiente",0)))</f>
        <v>0</v>
      </c>
    </row>
    <row r="212" spans="1:75">
      <c r="A212" t="s">
        <v>238</v>
      </c>
      <c r="B212" t="str">
        <f>SUM('Desempeño profesional'!B213:K213)</f>
        <v>0</v>
      </c>
      <c r="C212" t="str">
        <f>IF(B212&lt;=$S$19,"Deficiente",IF(B212&lt;=$S$20,"Regular",IF(B212&lt;=$S$21,"Eficiente",0)))</f>
        <v>0</v>
      </c>
      <c r="D212" t="str">
        <f>SUM('Desempeño profesional'!L213:AD213)</f>
        <v>0</v>
      </c>
      <c r="E212" t="str">
        <f>IF(D212&lt;=$AE$19,"Deficiente",IF(D212&lt;=$AE$20,"Regular",IF(D212&lt;=$AE$21,"Eficiente",0)))</f>
        <v>0</v>
      </c>
      <c r="F212" t="str">
        <f>SUM('Desempeño profesional'!AE213:AJ213)</f>
        <v>0</v>
      </c>
      <c r="G212" t="str">
        <f>IF(F212&lt;=$AQ$19,"Deficiente",IF(F212&lt;=$AQ$20,"Regular",IF(F212&lt;=$AQ$21,"Eficiente",0)))</f>
        <v>0</v>
      </c>
      <c r="H212" t="str">
        <f>SUM('Desempeño profesional'!AK213:AO213)</f>
        <v>0</v>
      </c>
      <c r="I212" t="str">
        <f>IF(H212&lt;=$BC$19,"Deficiente",IF(H212&lt;=$BC$20,"Regular",IF(H212&lt;=$BC$21,"Eficiente",0)))</f>
        <v>0</v>
      </c>
      <c r="J212" t="str">
        <f>SUM(B212:H212)</f>
        <v>0</v>
      </c>
      <c r="K212" t="str">
        <f>IF(J212&lt;=$BO$19,"Deficiente",IF(J212&lt;=$BO$20,"Regular",IF(J212&lt;=$BO$21,"Eficiente",0)))</f>
        <v>0</v>
      </c>
    </row>
    <row r="213" spans="1:75">
      <c r="A213" t="s">
        <v>239</v>
      </c>
      <c r="B213" t="str">
        <f>SUM('Desempeño profesional'!B214:K214)</f>
        <v>0</v>
      </c>
      <c r="C213" t="str">
        <f>IF(B213&lt;=$S$19,"Deficiente",IF(B213&lt;=$S$20,"Regular",IF(B213&lt;=$S$21,"Eficiente",0)))</f>
        <v>0</v>
      </c>
      <c r="D213" t="str">
        <f>SUM('Desempeño profesional'!L214:AD214)</f>
        <v>0</v>
      </c>
      <c r="E213" t="str">
        <f>IF(D213&lt;=$AE$19,"Deficiente",IF(D213&lt;=$AE$20,"Regular",IF(D213&lt;=$AE$21,"Eficiente",0)))</f>
        <v>0</v>
      </c>
      <c r="F213" t="str">
        <f>SUM('Desempeño profesional'!AE214:AJ214)</f>
        <v>0</v>
      </c>
      <c r="G213" t="str">
        <f>IF(F213&lt;=$AQ$19,"Deficiente",IF(F213&lt;=$AQ$20,"Regular",IF(F213&lt;=$AQ$21,"Eficiente",0)))</f>
        <v>0</v>
      </c>
      <c r="H213" t="str">
        <f>SUM('Desempeño profesional'!AK214:AO214)</f>
        <v>0</v>
      </c>
      <c r="I213" t="str">
        <f>IF(H213&lt;=$BC$19,"Deficiente",IF(H213&lt;=$BC$20,"Regular",IF(H213&lt;=$BC$21,"Eficiente",0)))</f>
        <v>0</v>
      </c>
      <c r="J213" t="str">
        <f>SUM(B213:H213)</f>
        <v>0</v>
      </c>
      <c r="K213" t="str">
        <f>IF(J213&lt;=$BO$19,"Deficiente",IF(J213&lt;=$BO$20,"Regular",IF(J213&lt;=$BO$21,"Eficiente",0)))</f>
        <v>0</v>
      </c>
    </row>
    <row r="214" spans="1:75">
      <c r="A214" t="s">
        <v>240</v>
      </c>
      <c r="B214" t="str">
        <f>SUM('Desempeño profesional'!B215:K215)</f>
        <v>0</v>
      </c>
      <c r="C214" t="str">
        <f>IF(B214&lt;=$S$19,"Deficiente",IF(B214&lt;=$S$20,"Regular",IF(B214&lt;=$S$21,"Eficiente",0)))</f>
        <v>0</v>
      </c>
      <c r="D214" t="str">
        <f>SUM('Desempeño profesional'!L215:AD215)</f>
        <v>0</v>
      </c>
      <c r="E214" t="str">
        <f>IF(D214&lt;=$AE$19,"Deficiente",IF(D214&lt;=$AE$20,"Regular",IF(D214&lt;=$AE$21,"Eficiente",0)))</f>
        <v>0</v>
      </c>
      <c r="F214" t="str">
        <f>SUM('Desempeño profesional'!AE215:AJ215)</f>
        <v>0</v>
      </c>
      <c r="G214" t="str">
        <f>IF(F214&lt;=$AQ$19,"Deficiente",IF(F214&lt;=$AQ$20,"Regular",IF(F214&lt;=$AQ$21,"Eficiente",0)))</f>
        <v>0</v>
      </c>
      <c r="H214" t="str">
        <f>SUM('Desempeño profesional'!AK215:AO215)</f>
        <v>0</v>
      </c>
      <c r="I214" t="str">
        <f>IF(H214&lt;=$BC$19,"Deficiente",IF(H214&lt;=$BC$20,"Regular",IF(H214&lt;=$BC$21,"Eficiente",0)))</f>
        <v>0</v>
      </c>
      <c r="J214" t="str">
        <f>SUM(B214:H214)</f>
        <v>0</v>
      </c>
      <c r="K214" t="str">
        <f>IF(J214&lt;=$BO$19,"Deficiente",IF(J214&lt;=$BO$20,"Regular",IF(J214&lt;=$BO$21,"Eficiente",0)))</f>
        <v>0</v>
      </c>
    </row>
    <row r="215" spans="1:75">
      <c r="A215" t="s">
        <v>241</v>
      </c>
      <c r="B215" t="str">
        <f>SUM('Desempeño profesional'!B216:K216)</f>
        <v>0</v>
      </c>
      <c r="C215" t="str">
        <f>IF(B215&lt;=$S$19,"Deficiente",IF(B215&lt;=$S$20,"Regular",IF(B215&lt;=$S$21,"Eficiente",0)))</f>
        <v>0</v>
      </c>
      <c r="D215" t="str">
        <f>SUM('Desempeño profesional'!L216:AD216)</f>
        <v>0</v>
      </c>
      <c r="E215" t="str">
        <f>IF(D215&lt;=$AE$19,"Deficiente",IF(D215&lt;=$AE$20,"Regular",IF(D215&lt;=$AE$21,"Eficiente",0)))</f>
        <v>0</v>
      </c>
      <c r="F215" t="str">
        <f>SUM('Desempeño profesional'!AE216:AJ216)</f>
        <v>0</v>
      </c>
      <c r="G215" t="str">
        <f>IF(F215&lt;=$AQ$19,"Deficiente",IF(F215&lt;=$AQ$20,"Regular",IF(F215&lt;=$AQ$21,"Eficiente",0)))</f>
        <v>0</v>
      </c>
      <c r="H215" t="str">
        <f>SUM('Desempeño profesional'!AK216:AO216)</f>
        <v>0</v>
      </c>
      <c r="I215" t="str">
        <f>IF(H215&lt;=$BC$19,"Deficiente",IF(H215&lt;=$BC$20,"Regular",IF(H215&lt;=$BC$21,"Eficiente",0)))</f>
        <v>0</v>
      </c>
      <c r="J215" t="str">
        <f>SUM(B215:H215)</f>
        <v>0</v>
      </c>
      <c r="K215" t="str">
        <f>IF(J215&lt;=$BO$19,"Deficiente",IF(J215&lt;=$BO$20,"Regular",IF(J215&lt;=$BO$21,"Eficiente",0)))</f>
        <v>0</v>
      </c>
    </row>
    <row r="216" spans="1:75">
      <c r="A216" t="s">
        <v>242</v>
      </c>
      <c r="B216" t="str">
        <f>SUM('Desempeño profesional'!B217:K217)</f>
        <v>0</v>
      </c>
      <c r="C216" t="str">
        <f>IF(B216&lt;=$S$19,"Deficiente",IF(B216&lt;=$S$20,"Regular",IF(B216&lt;=$S$21,"Eficiente",0)))</f>
        <v>0</v>
      </c>
      <c r="D216" t="str">
        <f>SUM('Desempeño profesional'!L217:AD217)</f>
        <v>0</v>
      </c>
      <c r="E216" t="str">
        <f>IF(D216&lt;=$AE$19,"Deficiente",IF(D216&lt;=$AE$20,"Regular",IF(D216&lt;=$AE$21,"Eficiente",0)))</f>
        <v>0</v>
      </c>
      <c r="F216" t="str">
        <f>SUM('Desempeño profesional'!AE217:AJ217)</f>
        <v>0</v>
      </c>
      <c r="G216" t="str">
        <f>IF(F216&lt;=$AQ$19,"Deficiente",IF(F216&lt;=$AQ$20,"Regular",IF(F216&lt;=$AQ$21,"Eficiente",0)))</f>
        <v>0</v>
      </c>
      <c r="H216" t="str">
        <f>SUM('Desempeño profesional'!AK217:AO217)</f>
        <v>0</v>
      </c>
      <c r="I216" t="str">
        <f>IF(H216&lt;=$BC$19,"Deficiente",IF(H216&lt;=$BC$20,"Regular",IF(H216&lt;=$BC$21,"Eficiente",0)))</f>
        <v>0</v>
      </c>
      <c r="J216" t="str">
        <f>SUM(B216:H216)</f>
        <v>0</v>
      </c>
      <c r="K216" t="str">
        <f>IF(J216&lt;=$BO$19,"Deficiente",IF(J216&lt;=$BO$20,"Regular",IF(J216&lt;=$BO$21,"Eficiente",0)))</f>
        <v>0</v>
      </c>
    </row>
    <row r="217" spans="1:75">
      <c r="A217" t="s">
        <v>243</v>
      </c>
      <c r="B217" t="str">
        <f>SUM('Desempeño profesional'!B218:K218)</f>
        <v>0</v>
      </c>
      <c r="C217" t="str">
        <f>IF(B217&lt;=$S$19,"Deficiente",IF(B217&lt;=$S$20,"Regular",IF(B217&lt;=$S$21,"Eficiente",0)))</f>
        <v>0</v>
      </c>
      <c r="D217" t="str">
        <f>SUM('Desempeño profesional'!L218:AD218)</f>
        <v>0</v>
      </c>
      <c r="E217" t="str">
        <f>IF(D217&lt;=$AE$19,"Deficiente",IF(D217&lt;=$AE$20,"Regular",IF(D217&lt;=$AE$21,"Eficiente",0)))</f>
        <v>0</v>
      </c>
      <c r="F217" t="str">
        <f>SUM('Desempeño profesional'!AE218:AJ218)</f>
        <v>0</v>
      </c>
      <c r="G217" t="str">
        <f>IF(F217&lt;=$AQ$19,"Deficiente",IF(F217&lt;=$AQ$20,"Regular",IF(F217&lt;=$AQ$21,"Eficiente",0)))</f>
        <v>0</v>
      </c>
      <c r="H217" t="str">
        <f>SUM('Desempeño profesional'!AK218:AO218)</f>
        <v>0</v>
      </c>
      <c r="I217" t="str">
        <f>IF(H217&lt;=$BC$19,"Deficiente",IF(H217&lt;=$BC$20,"Regular",IF(H217&lt;=$BC$21,"Eficiente",0)))</f>
        <v>0</v>
      </c>
      <c r="J217" t="str">
        <f>SUM(B217:H217)</f>
        <v>0</v>
      </c>
      <c r="K217" t="str">
        <f>IF(J217&lt;=$BO$19,"Deficiente",IF(J217&lt;=$BO$20,"Regular",IF(J217&lt;=$BO$21,"Eficiente",0)))</f>
        <v>0</v>
      </c>
    </row>
    <row r="218" spans="1:75">
      <c r="A218" t="s">
        <v>244</v>
      </c>
      <c r="B218" t="str">
        <f>SUM('Desempeño profesional'!B219:K219)</f>
        <v>0</v>
      </c>
      <c r="C218" t="str">
        <f>IF(B218&lt;=$S$19,"Deficiente",IF(B218&lt;=$S$20,"Regular",IF(B218&lt;=$S$21,"Eficiente",0)))</f>
        <v>0</v>
      </c>
      <c r="D218" t="str">
        <f>SUM('Desempeño profesional'!L219:AD219)</f>
        <v>0</v>
      </c>
      <c r="E218" t="str">
        <f>IF(D218&lt;=$AE$19,"Deficiente",IF(D218&lt;=$AE$20,"Regular",IF(D218&lt;=$AE$21,"Eficiente",0)))</f>
        <v>0</v>
      </c>
      <c r="F218" t="str">
        <f>SUM('Desempeño profesional'!AE219:AJ219)</f>
        <v>0</v>
      </c>
      <c r="G218" t="str">
        <f>IF(F218&lt;=$AQ$19,"Deficiente",IF(F218&lt;=$AQ$20,"Regular",IF(F218&lt;=$AQ$21,"Eficiente",0)))</f>
        <v>0</v>
      </c>
      <c r="H218" t="str">
        <f>SUM('Desempeño profesional'!AK219:AO219)</f>
        <v>0</v>
      </c>
      <c r="I218" t="str">
        <f>IF(H218&lt;=$BC$19,"Deficiente",IF(H218&lt;=$BC$20,"Regular",IF(H218&lt;=$BC$21,"Eficiente",0)))</f>
        <v>0</v>
      </c>
      <c r="J218" t="str">
        <f>SUM(B218:H218)</f>
        <v>0</v>
      </c>
      <c r="K218" t="str">
        <f>IF(J218&lt;=$BO$19,"Deficiente",IF(J218&lt;=$BO$20,"Regular",IF(J218&lt;=$BO$21,"Eficiente",0)))</f>
        <v>0</v>
      </c>
    </row>
    <row r="219" spans="1:75">
      <c r="A219" t="s">
        <v>245</v>
      </c>
      <c r="B219" t="str">
        <f>SUM('Desempeño profesional'!B220:K220)</f>
        <v>0</v>
      </c>
      <c r="C219" t="str">
        <f>IF(B219&lt;=$S$19,"Deficiente",IF(B219&lt;=$S$20,"Regular",IF(B219&lt;=$S$21,"Eficiente",0)))</f>
        <v>0</v>
      </c>
      <c r="D219" t="str">
        <f>SUM('Desempeño profesional'!L220:AD220)</f>
        <v>0</v>
      </c>
      <c r="E219" t="str">
        <f>IF(D219&lt;=$AE$19,"Deficiente",IF(D219&lt;=$AE$20,"Regular",IF(D219&lt;=$AE$21,"Eficiente",0)))</f>
        <v>0</v>
      </c>
      <c r="F219" t="str">
        <f>SUM('Desempeño profesional'!AE220:AJ220)</f>
        <v>0</v>
      </c>
      <c r="G219" t="str">
        <f>IF(F219&lt;=$AQ$19,"Deficiente",IF(F219&lt;=$AQ$20,"Regular",IF(F219&lt;=$AQ$21,"Eficiente",0)))</f>
        <v>0</v>
      </c>
      <c r="H219" t="str">
        <f>SUM('Desempeño profesional'!AK220:AO220)</f>
        <v>0</v>
      </c>
      <c r="I219" t="str">
        <f>IF(H219&lt;=$BC$19,"Deficiente",IF(H219&lt;=$BC$20,"Regular",IF(H219&lt;=$BC$21,"Eficiente",0)))</f>
        <v>0</v>
      </c>
      <c r="J219" t="str">
        <f>SUM(B219:H219)</f>
        <v>0</v>
      </c>
      <c r="K219" t="str">
        <f>IF(J219&lt;=$BO$19,"Deficiente",IF(J219&lt;=$BO$20,"Regular",IF(J219&lt;=$BO$21,"Eficiente",0)))</f>
        <v>0</v>
      </c>
    </row>
    <row r="220" spans="1:75">
      <c r="A220" t="s">
        <v>246</v>
      </c>
      <c r="B220" t="str">
        <f>SUM('Desempeño profesional'!B221:K221)</f>
        <v>0</v>
      </c>
      <c r="C220" t="str">
        <f>IF(B220&lt;=$S$19,"Deficiente",IF(B220&lt;=$S$20,"Regular",IF(B220&lt;=$S$21,"Eficiente",0)))</f>
        <v>0</v>
      </c>
      <c r="D220" t="str">
        <f>SUM('Desempeño profesional'!L221:AD221)</f>
        <v>0</v>
      </c>
      <c r="E220" t="str">
        <f>IF(D220&lt;=$AE$19,"Deficiente",IF(D220&lt;=$AE$20,"Regular",IF(D220&lt;=$AE$21,"Eficiente",0)))</f>
        <v>0</v>
      </c>
      <c r="F220" t="str">
        <f>SUM('Desempeño profesional'!AE221:AJ221)</f>
        <v>0</v>
      </c>
      <c r="G220" t="str">
        <f>IF(F220&lt;=$AQ$19,"Deficiente",IF(F220&lt;=$AQ$20,"Regular",IF(F220&lt;=$AQ$21,"Eficiente",0)))</f>
        <v>0</v>
      </c>
      <c r="H220" t="str">
        <f>SUM('Desempeño profesional'!AK221:AO221)</f>
        <v>0</v>
      </c>
      <c r="I220" t="str">
        <f>IF(H220&lt;=$BC$19,"Deficiente",IF(H220&lt;=$BC$20,"Regular",IF(H220&lt;=$BC$21,"Eficiente",0)))</f>
        <v>0</v>
      </c>
      <c r="J220" t="str">
        <f>SUM(B220:H220)</f>
        <v>0</v>
      </c>
      <c r="K220" t="str">
        <f>IF(J220&lt;=$BO$19,"Deficiente",IF(J220&lt;=$BO$20,"Regular",IF(J220&lt;=$BO$21,"Eficiente",0)))</f>
        <v>0</v>
      </c>
    </row>
    <row r="221" spans="1:75">
      <c r="A221" t="s">
        <v>247</v>
      </c>
      <c r="B221" t="str">
        <f>SUM('Desempeño profesional'!B222:K222)</f>
        <v>0</v>
      </c>
      <c r="C221" t="str">
        <f>IF(B221&lt;=$S$19,"Deficiente",IF(B221&lt;=$S$20,"Regular",IF(B221&lt;=$S$21,"Eficiente",0)))</f>
        <v>0</v>
      </c>
      <c r="D221" t="str">
        <f>SUM('Desempeño profesional'!L222:AD222)</f>
        <v>0</v>
      </c>
      <c r="E221" t="str">
        <f>IF(D221&lt;=$AE$19,"Deficiente",IF(D221&lt;=$AE$20,"Regular",IF(D221&lt;=$AE$21,"Eficiente",0)))</f>
        <v>0</v>
      </c>
      <c r="F221" t="str">
        <f>SUM('Desempeño profesional'!AE222:AJ222)</f>
        <v>0</v>
      </c>
      <c r="G221" t="str">
        <f>IF(F221&lt;=$AQ$19,"Deficiente",IF(F221&lt;=$AQ$20,"Regular",IF(F221&lt;=$AQ$21,"Eficiente",0)))</f>
        <v>0</v>
      </c>
      <c r="H221" t="str">
        <f>SUM('Desempeño profesional'!AK222:AO222)</f>
        <v>0</v>
      </c>
      <c r="I221" t="str">
        <f>IF(H221&lt;=$BC$19,"Deficiente",IF(H221&lt;=$BC$20,"Regular",IF(H221&lt;=$BC$21,"Eficiente",0)))</f>
        <v>0</v>
      </c>
      <c r="J221" t="str">
        <f>SUM(B221:H221)</f>
        <v>0</v>
      </c>
      <c r="K221" t="str">
        <f>IF(J221&lt;=$BO$19,"Deficiente",IF(J221&lt;=$BO$20,"Regular",IF(J221&lt;=$BO$21,"Eficiente",0)))</f>
        <v>0</v>
      </c>
    </row>
    <row r="222" spans="1:75">
      <c r="A222" t="s">
        <v>248</v>
      </c>
      <c r="B222" t="str">
        <f>SUM('Desempeño profesional'!B223:K223)</f>
        <v>0</v>
      </c>
      <c r="C222" t="str">
        <f>IF(B222&lt;=$S$19,"Deficiente",IF(B222&lt;=$S$20,"Regular",IF(B222&lt;=$S$21,"Eficiente",0)))</f>
        <v>0</v>
      </c>
      <c r="D222" t="str">
        <f>SUM('Desempeño profesional'!L223:AD223)</f>
        <v>0</v>
      </c>
      <c r="E222" t="str">
        <f>IF(D222&lt;=$AE$19,"Deficiente",IF(D222&lt;=$AE$20,"Regular",IF(D222&lt;=$AE$21,"Eficiente",0)))</f>
        <v>0</v>
      </c>
      <c r="F222" t="str">
        <f>SUM('Desempeño profesional'!AE223:AJ223)</f>
        <v>0</v>
      </c>
      <c r="G222" t="str">
        <f>IF(F222&lt;=$AQ$19,"Deficiente",IF(F222&lt;=$AQ$20,"Regular",IF(F222&lt;=$AQ$21,"Eficiente",0)))</f>
        <v>0</v>
      </c>
      <c r="H222" t="str">
        <f>SUM('Desempeño profesional'!AK223:AO223)</f>
        <v>0</v>
      </c>
      <c r="I222" t="str">
        <f>IF(H222&lt;=$BC$19,"Deficiente",IF(H222&lt;=$BC$20,"Regular",IF(H222&lt;=$BC$21,"Eficiente",0)))</f>
        <v>0</v>
      </c>
      <c r="J222" t="str">
        <f>SUM(B222:H222)</f>
        <v>0</v>
      </c>
      <c r="K222" t="str">
        <f>IF(J222&lt;=$BO$19,"Deficiente",IF(J222&lt;=$BO$20,"Regular",IF(J222&lt;=$BO$21,"Eficiente",0)))</f>
        <v>0</v>
      </c>
    </row>
    <row r="223" spans="1:75">
      <c r="A223" t="s">
        <v>249</v>
      </c>
      <c r="B223" t="str">
        <f>SUM('Desempeño profesional'!B224:K224)</f>
        <v>0</v>
      </c>
      <c r="C223" t="str">
        <f>IF(B223&lt;=$S$19,"Deficiente",IF(B223&lt;=$S$20,"Regular",IF(B223&lt;=$S$21,"Eficiente",0)))</f>
        <v>0</v>
      </c>
      <c r="D223" t="str">
        <f>SUM('Desempeño profesional'!L224:AD224)</f>
        <v>0</v>
      </c>
      <c r="E223" t="str">
        <f>IF(D223&lt;=$AE$19,"Deficiente",IF(D223&lt;=$AE$20,"Regular",IF(D223&lt;=$AE$21,"Eficiente",0)))</f>
        <v>0</v>
      </c>
      <c r="F223" t="str">
        <f>SUM('Desempeño profesional'!AE224:AJ224)</f>
        <v>0</v>
      </c>
      <c r="G223" t="str">
        <f>IF(F223&lt;=$AQ$19,"Deficiente",IF(F223&lt;=$AQ$20,"Regular",IF(F223&lt;=$AQ$21,"Eficiente",0)))</f>
        <v>0</v>
      </c>
      <c r="H223" t="str">
        <f>SUM('Desempeño profesional'!AK224:AO224)</f>
        <v>0</v>
      </c>
      <c r="I223" t="str">
        <f>IF(H223&lt;=$BC$19,"Deficiente",IF(H223&lt;=$BC$20,"Regular",IF(H223&lt;=$BC$21,"Eficiente",0)))</f>
        <v>0</v>
      </c>
      <c r="J223" t="str">
        <f>SUM(B223:H223)</f>
        <v>0</v>
      </c>
      <c r="K223" t="str">
        <f>IF(J223&lt;=$BO$19,"Deficiente",IF(J223&lt;=$BO$20,"Regular",IF(J223&lt;=$BO$21,"Eficiente",0)))</f>
        <v>0</v>
      </c>
    </row>
    <row r="224" spans="1:75">
      <c r="A224" t="s">
        <v>250</v>
      </c>
      <c r="B224" t="str">
        <f>SUM('Desempeño profesional'!B225:K225)</f>
        <v>0</v>
      </c>
      <c r="C224" t="str">
        <f>IF(B224&lt;=$S$19,"Deficiente",IF(B224&lt;=$S$20,"Regular",IF(B224&lt;=$S$21,"Eficiente",0)))</f>
        <v>0</v>
      </c>
      <c r="D224" t="str">
        <f>SUM('Desempeño profesional'!L225:AD225)</f>
        <v>0</v>
      </c>
      <c r="E224" t="str">
        <f>IF(D224&lt;=$AE$19,"Deficiente",IF(D224&lt;=$AE$20,"Regular",IF(D224&lt;=$AE$21,"Eficiente",0)))</f>
        <v>0</v>
      </c>
      <c r="F224" t="str">
        <f>SUM('Desempeño profesional'!AE225:AJ225)</f>
        <v>0</v>
      </c>
      <c r="G224" t="str">
        <f>IF(F224&lt;=$AQ$19,"Deficiente",IF(F224&lt;=$AQ$20,"Regular",IF(F224&lt;=$AQ$21,"Eficiente",0)))</f>
        <v>0</v>
      </c>
      <c r="H224" t="str">
        <f>SUM('Desempeño profesional'!AK225:AO225)</f>
        <v>0</v>
      </c>
      <c r="I224" t="str">
        <f>IF(H224&lt;=$BC$19,"Deficiente",IF(H224&lt;=$BC$20,"Regular",IF(H224&lt;=$BC$21,"Eficiente",0)))</f>
        <v>0</v>
      </c>
      <c r="J224" t="str">
        <f>SUM(B224:H224)</f>
        <v>0</v>
      </c>
      <c r="K224" t="str">
        <f>IF(J224&lt;=$BO$19,"Deficiente",IF(J224&lt;=$BO$20,"Regular",IF(J224&lt;=$BO$21,"Eficiente",0)))</f>
        <v>0</v>
      </c>
    </row>
    <row r="225" spans="1:75">
      <c r="A225" t="s">
        <v>251</v>
      </c>
      <c r="B225" t="str">
        <f>SUM('Desempeño profesional'!B226:K226)</f>
        <v>0</v>
      </c>
      <c r="C225" t="str">
        <f>IF(B225&lt;=$S$19,"Deficiente",IF(B225&lt;=$S$20,"Regular",IF(B225&lt;=$S$21,"Eficiente",0)))</f>
        <v>0</v>
      </c>
      <c r="D225" t="str">
        <f>SUM('Desempeño profesional'!L226:AD226)</f>
        <v>0</v>
      </c>
      <c r="E225" t="str">
        <f>IF(D225&lt;=$AE$19,"Deficiente",IF(D225&lt;=$AE$20,"Regular",IF(D225&lt;=$AE$21,"Eficiente",0)))</f>
        <v>0</v>
      </c>
      <c r="F225" t="str">
        <f>SUM('Desempeño profesional'!AE226:AJ226)</f>
        <v>0</v>
      </c>
      <c r="G225" t="str">
        <f>IF(F225&lt;=$AQ$19,"Deficiente",IF(F225&lt;=$AQ$20,"Regular",IF(F225&lt;=$AQ$21,"Eficiente",0)))</f>
        <v>0</v>
      </c>
      <c r="H225" t="str">
        <f>SUM('Desempeño profesional'!AK226:AO226)</f>
        <v>0</v>
      </c>
      <c r="I225" t="str">
        <f>IF(H225&lt;=$BC$19,"Deficiente",IF(H225&lt;=$BC$20,"Regular",IF(H225&lt;=$BC$21,"Eficiente",0)))</f>
        <v>0</v>
      </c>
      <c r="J225" t="str">
        <f>SUM(B225:H225)</f>
        <v>0</v>
      </c>
      <c r="K225" t="str">
        <f>IF(J225&lt;=$BO$19,"Deficiente",IF(J225&lt;=$BO$20,"Regular",IF(J225&lt;=$BO$21,"Eficiente",0)))</f>
        <v>0</v>
      </c>
    </row>
    <row r="226" spans="1:75">
      <c r="A226" t="s">
        <v>252</v>
      </c>
      <c r="B226" t="str">
        <f>SUM('Desempeño profesional'!B227:K227)</f>
        <v>0</v>
      </c>
      <c r="C226" t="str">
        <f>IF(B226&lt;=$S$19,"Deficiente",IF(B226&lt;=$S$20,"Regular",IF(B226&lt;=$S$21,"Eficiente",0)))</f>
        <v>0</v>
      </c>
      <c r="D226" t="str">
        <f>SUM('Desempeño profesional'!L227:AD227)</f>
        <v>0</v>
      </c>
      <c r="E226" t="str">
        <f>IF(D226&lt;=$AE$19,"Deficiente",IF(D226&lt;=$AE$20,"Regular",IF(D226&lt;=$AE$21,"Eficiente",0)))</f>
        <v>0</v>
      </c>
      <c r="F226" t="str">
        <f>SUM('Desempeño profesional'!AE227:AJ227)</f>
        <v>0</v>
      </c>
      <c r="G226" t="str">
        <f>IF(F226&lt;=$AQ$19,"Deficiente",IF(F226&lt;=$AQ$20,"Regular",IF(F226&lt;=$AQ$21,"Eficiente",0)))</f>
        <v>0</v>
      </c>
      <c r="H226" t="str">
        <f>SUM('Desempeño profesional'!AK227:AO227)</f>
        <v>0</v>
      </c>
      <c r="I226" t="str">
        <f>IF(H226&lt;=$BC$19,"Deficiente",IF(H226&lt;=$BC$20,"Regular",IF(H226&lt;=$BC$21,"Eficiente",0)))</f>
        <v>0</v>
      </c>
      <c r="J226" t="str">
        <f>SUM(B226:H226)</f>
        <v>0</v>
      </c>
      <c r="K226" t="str">
        <f>IF(J226&lt;=$BO$19,"Deficiente",IF(J226&lt;=$BO$20,"Regular",IF(J226&lt;=$BO$21,"Eficiente",0)))</f>
        <v>0</v>
      </c>
    </row>
    <row r="227" spans="1:75">
      <c r="A227" t="s">
        <v>253</v>
      </c>
      <c r="B227" t="str">
        <f>SUM('Desempeño profesional'!B228:K228)</f>
        <v>0</v>
      </c>
      <c r="C227" t="str">
        <f>IF(B227&lt;=$S$19,"Deficiente",IF(B227&lt;=$S$20,"Regular",IF(B227&lt;=$S$21,"Eficiente",0)))</f>
        <v>0</v>
      </c>
      <c r="D227" t="str">
        <f>SUM('Desempeño profesional'!L228:AD228)</f>
        <v>0</v>
      </c>
      <c r="E227" t="str">
        <f>IF(D227&lt;=$AE$19,"Deficiente",IF(D227&lt;=$AE$20,"Regular",IF(D227&lt;=$AE$21,"Eficiente",0)))</f>
        <v>0</v>
      </c>
      <c r="F227" t="str">
        <f>SUM('Desempeño profesional'!AE228:AJ228)</f>
        <v>0</v>
      </c>
      <c r="G227" t="str">
        <f>IF(F227&lt;=$AQ$19,"Deficiente",IF(F227&lt;=$AQ$20,"Regular",IF(F227&lt;=$AQ$21,"Eficiente",0)))</f>
        <v>0</v>
      </c>
      <c r="H227" t="str">
        <f>SUM('Desempeño profesional'!AK228:AO228)</f>
        <v>0</v>
      </c>
      <c r="I227" t="str">
        <f>IF(H227&lt;=$BC$19,"Deficiente",IF(H227&lt;=$BC$20,"Regular",IF(H227&lt;=$BC$21,"Eficiente",0)))</f>
        <v>0</v>
      </c>
      <c r="J227" t="str">
        <f>SUM(B227:H227)</f>
        <v>0</v>
      </c>
      <c r="K227" t="str">
        <f>IF(J227&lt;=$BO$19,"Deficiente",IF(J227&lt;=$BO$20,"Regular",IF(J227&lt;=$BO$21,"Eficiente",0)))</f>
        <v>0</v>
      </c>
    </row>
    <row r="228" spans="1:75">
      <c r="A228" t="s">
        <v>254</v>
      </c>
      <c r="B228" t="str">
        <f>SUM('Desempeño profesional'!B229:K229)</f>
        <v>0</v>
      </c>
      <c r="C228" t="str">
        <f>IF(B228&lt;=$S$19,"Deficiente",IF(B228&lt;=$S$20,"Regular",IF(B228&lt;=$S$21,"Eficiente",0)))</f>
        <v>0</v>
      </c>
      <c r="D228" t="str">
        <f>SUM('Desempeño profesional'!L229:AD229)</f>
        <v>0</v>
      </c>
      <c r="E228" t="str">
        <f>IF(D228&lt;=$AE$19,"Deficiente",IF(D228&lt;=$AE$20,"Regular",IF(D228&lt;=$AE$21,"Eficiente",0)))</f>
        <v>0</v>
      </c>
      <c r="F228" t="str">
        <f>SUM('Desempeño profesional'!AE229:AJ229)</f>
        <v>0</v>
      </c>
      <c r="G228" t="str">
        <f>IF(F228&lt;=$AQ$19,"Deficiente",IF(F228&lt;=$AQ$20,"Regular",IF(F228&lt;=$AQ$21,"Eficiente",0)))</f>
        <v>0</v>
      </c>
      <c r="H228" t="str">
        <f>SUM('Desempeño profesional'!AK229:AO229)</f>
        <v>0</v>
      </c>
      <c r="I228" t="str">
        <f>IF(H228&lt;=$BC$19,"Deficiente",IF(H228&lt;=$BC$20,"Regular",IF(H228&lt;=$BC$21,"Eficiente",0)))</f>
        <v>0</v>
      </c>
      <c r="J228" t="str">
        <f>SUM(B228:H228)</f>
        <v>0</v>
      </c>
      <c r="K228" t="str">
        <f>IF(J228&lt;=$BO$19,"Deficiente",IF(J228&lt;=$BO$20,"Regular",IF(J228&lt;=$BO$21,"Eficiente",0)))</f>
        <v>0</v>
      </c>
    </row>
    <row r="229" spans="1:75">
      <c r="A229" t="s">
        <v>255</v>
      </c>
      <c r="B229" t="str">
        <f>SUM('Desempeño profesional'!B230:K230)</f>
        <v>0</v>
      </c>
      <c r="C229" t="str">
        <f>IF(B229&lt;=$S$19,"Deficiente",IF(B229&lt;=$S$20,"Regular",IF(B229&lt;=$S$21,"Eficiente",0)))</f>
        <v>0</v>
      </c>
      <c r="D229" t="str">
        <f>SUM('Desempeño profesional'!L230:AD230)</f>
        <v>0</v>
      </c>
      <c r="E229" t="str">
        <f>IF(D229&lt;=$AE$19,"Deficiente",IF(D229&lt;=$AE$20,"Regular",IF(D229&lt;=$AE$21,"Eficiente",0)))</f>
        <v>0</v>
      </c>
      <c r="F229" t="str">
        <f>SUM('Desempeño profesional'!AE230:AJ230)</f>
        <v>0</v>
      </c>
      <c r="G229" t="str">
        <f>IF(F229&lt;=$AQ$19,"Deficiente",IF(F229&lt;=$AQ$20,"Regular",IF(F229&lt;=$AQ$21,"Eficiente",0)))</f>
        <v>0</v>
      </c>
      <c r="H229" t="str">
        <f>SUM('Desempeño profesional'!AK230:AO230)</f>
        <v>0</v>
      </c>
      <c r="I229" t="str">
        <f>IF(H229&lt;=$BC$19,"Deficiente",IF(H229&lt;=$BC$20,"Regular",IF(H229&lt;=$BC$21,"Eficiente",0)))</f>
        <v>0</v>
      </c>
      <c r="J229" t="str">
        <f>SUM(B229:H229)</f>
        <v>0</v>
      </c>
      <c r="K229" t="str">
        <f>IF(J229&lt;=$BO$19,"Deficiente",IF(J229&lt;=$BO$20,"Regular",IF(J229&lt;=$BO$21,"Eficiente",0)))</f>
        <v>0</v>
      </c>
    </row>
    <row r="230" spans="1:75">
      <c r="A230" t="s">
        <v>256</v>
      </c>
      <c r="B230" t="str">
        <f>SUM('Desempeño profesional'!B231:K231)</f>
        <v>0</v>
      </c>
      <c r="C230" t="str">
        <f>IF(B230&lt;=$S$19,"Deficiente",IF(B230&lt;=$S$20,"Regular",IF(B230&lt;=$S$21,"Eficiente",0)))</f>
        <v>0</v>
      </c>
      <c r="D230" t="str">
        <f>SUM('Desempeño profesional'!L231:AD231)</f>
        <v>0</v>
      </c>
      <c r="E230" t="str">
        <f>IF(D230&lt;=$AE$19,"Deficiente",IF(D230&lt;=$AE$20,"Regular",IF(D230&lt;=$AE$21,"Eficiente",0)))</f>
        <v>0</v>
      </c>
      <c r="F230" t="str">
        <f>SUM('Desempeño profesional'!AE231:AJ231)</f>
        <v>0</v>
      </c>
      <c r="G230" t="str">
        <f>IF(F230&lt;=$AQ$19,"Deficiente",IF(F230&lt;=$AQ$20,"Regular",IF(F230&lt;=$AQ$21,"Eficiente",0)))</f>
        <v>0</v>
      </c>
      <c r="H230" t="str">
        <f>SUM('Desempeño profesional'!AK231:AO231)</f>
        <v>0</v>
      </c>
      <c r="I230" t="str">
        <f>IF(H230&lt;=$BC$19,"Deficiente",IF(H230&lt;=$BC$20,"Regular",IF(H230&lt;=$BC$21,"Eficiente",0)))</f>
        <v>0</v>
      </c>
      <c r="J230" t="str">
        <f>SUM(B230:H230)</f>
        <v>0</v>
      </c>
      <c r="K230" t="str">
        <f>IF(J230&lt;=$BO$19,"Deficiente",IF(J230&lt;=$BO$20,"Regular",IF(J230&lt;=$BO$21,"Eficiente",0)))</f>
        <v>0</v>
      </c>
    </row>
    <row r="231" spans="1:75">
      <c r="A231" t="s">
        <v>257</v>
      </c>
      <c r="B231" t="str">
        <f>SUM('Desempeño profesional'!B232:K232)</f>
        <v>0</v>
      </c>
      <c r="C231" t="str">
        <f>IF(B231&lt;=$S$19,"Deficiente",IF(B231&lt;=$S$20,"Regular",IF(B231&lt;=$S$21,"Eficiente",0)))</f>
        <v>0</v>
      </c>
      <c r="D231" t="str">
        <f>SUM('Desempeño profesional'!L232:AD232)</f>
        <v>0</v>
      </c>
      <c r="E231" t="str">
        <f>IF(D231&lt;=$AE$19,"Deficiente",IF(D231&lt;=$AE$20,"Regular",IF(D231&lt;=$AE$21,"Eficiente",0)))</f>
        <v>0</v>
      </c>
      <c r="F231" t="str">
        <f>SUM('Desempeño profesional'!AE232:AJ232)</f>
        <v>0</v>
      </c>
      <c r="G231" t="str">
        <f>IF(F231&lt;=$AQ$19,"Deficiente",IF(F231&lt;=$AQ$20,"Regular",IF(F231&lt;=$AQ$21,"Eficiente",0)))</f>
        <v>0</v>
      </c>
      <c r="H231" t="str">
        <f>SUM('Desempeño profesional'!AK232:AO232)</f>
        <v>0</v>
      </c>
      <c r="I231" t="str">
        <f>IF(H231&lt;=$BC$19,"Deficiente",IF(H231&lt;=$BC$20,"Regular",IF(H231&lt;=$BC$21,"Eficiente",0)))</f>
        <v>0</v>
      </c>
      <c r="J231" t="str">
        <f>SUM(B231:H231)</f>
        <v>0</v>
      </c>
      <c r="K231" t="str">
        <f>IF(J231&lt;=$BO$19,"Deficiente",IF(J231&lt;=$BO$20,"Regular",IF(J231&lt;=$BO$21,"Eficiente",0)))</f>
        <v>0</v>
      </c>
    </row>
    <row r="232" spans="1:75">
      <c r="A232" t="s">
        <v>258</v>
      </c>
      <c r="B232" t="str">
        <f>SUM('Desempeño profesional'!B233:K233)</f>
        <v>0</v>
      </c>
      <c r="C232" t="str">
        <f>IF(B232&lt;=$S$19,"Deficiente",IF(B232&lt;=$S$20,"Regular",IF(B232&lt;=$S$21,"Eficiente",0)))</f>
        <v>0</v>
      </c>
      <c r="D232" t="str">
        <f>SUM('Desempeño profesional'!L233:AD233)</f>
        <v>0</v>
      </c>
      <c r="E232" t="str">
        <f>IF(D232&lt;=$AE$19,"Deficiente",IF(D232&lt;=$AE$20,"Regular",IF(D232&lt;=$AE$21,"Eficiente",0)))</f>
        <v>0</v>
      </c>
      <c r="F232" t="str">
        <f>SUM('Desempeño profesional'!AE233:AJ233)</f>
        <v>0</v>
      </c>
      <c r="G232" t="str">
        <f>IF(F232&lt;=$AQ$19,"Deficiente",IF(F232&lt;=$AQ$20,"Regular",IF(F232&lt;=$AQ$21,"Eficiente",0)))</f>
        <v>0</v>
      </c>
      <c r="H232" t="str">
        <f>SUM('Desempeño profesional'!AK233:AO233)</f>
        <v>0</v>
      </c>
      <c r="I232" t="str">
        <f>IF(H232&lt;=$BC$19,"Deficiente",IF(H232&lt;=$BC$20,"Regular",IF(H232&lt;=$BC$21,"Eficiente",0)))</f>
        <v>0</v>
      </c>
      <c r="J232" t="str">
        <f>SUM(B232:H232)</f>
        <v>0</v>
      </c>
      <c r="K232" t="str">
        <f>IF(J232&lt;=$BO$19,"Deficiente",IF(J232&lt;=$BO$20,"Regular",IF(J232&lt;=$BO$21,"Eficiente",0)))</f>
        <v>0</v>
      </c>
    </row>
    <row r="233" spans="1:75">
      <c r="A233" t="s">
        <v>259</v>
      </c>
      <c r="B233" t="str">
        <f>SUM('Desempeño profesional'!B234:K234)</f>
        <v>0</v>
      </c>
      <c r="C233" t="str">
        <f>IF(B233&lt;=$S$19,"Deficiente",IF(B233&lt;=$S$20,"Regular",IF(B233&lt;=$S$21,"Eficiente",0)))</f>
        <v>0</v>
      </c>
      <c r="D233" t="str">
        <f>SUM('Desempeño profesional'!L234:AD234)</f>
        <v>0</v>
      </c>
      <c r="E233" t="str">
        <f>IF(D233&lt;=$AE$19,"Deficiente",IF(D233&lt;=$AE$20,"Regular",IF(D233&lt;=$AE$21,"Eficiente",0)))</f>
        <v>0</v>
      </c>
      <c r="F233" t="str">
        <f>SUM('Desempeño profesional'!AE234:AJ234)</f>
        <v>0</v>
      </c>
      <c r="G233" t="str">
        <f>IF(F233&lt;=$AQ$19,"Deficiente",IF(F233&lt;=$AQ$20,"Regular",IF(F233&lt;=$AQ$21,"Eficiente",0)))</f>
        <v>0</v>
      </c>
      <c r="H233" t="str">
        <f>SUM('Desempeño profesional'!AK234:AO234)</f>
        <v>0</v>
      </c>
      <c r="I233" t="str">
        <f>IF(H233&lt;=$BC$19,"Deficiente",IF(H233&lt;=$BC$20,"Regular",IF(H233&lt;=$BC$21,"Eficiente",0)))</f>
        <v>0</v>
      </c>
      <c r="J233" t="str">
        <f>SUM(B233:H233)</f>
        <v>0</v>
      </c>
      <c r="K233" t="str">
        <f>IF(J233&lt;=$BO$19,"Deficiente",IF(J233&lt;=$BO$20,"Regular",IF(J233&lt;=$BO$21,"Eficiente",0)))</f>
        <v>0</v>
      </c>
    </row>
    <row r="234" spans="1:75">
      <c r="A234" t="s">
        <v>260</v>
      </c>
      <c r="B234" t="str">
        <f>SUM('Desempeño profesional'!B235:K235)</f>
        <v>0</v>
      </c>
      <c r="C234" t="str">
        <f>IF(B234&lt;=$S$19,"Deficiente",IF(B234&lt;=$S$20,"Regular",IF(B234&lt;=$S$21,"Eficiente",0)))</f>
        <v>0</v>
      </c>
      <c r="D234" t="str">
        <f>SUM('Desempeño profesional'!L235:AD235)</f>
        <v>0</v>
      </c>
      <c r="E234" t="str">
        <f>IF(D234&lt;=$AE$19,"Deficiente",IF(D234&lt;=$AE$20,"Regular",IF(D234&lt;=$AE$21,"Eficiente",0)))</f>
        <v>0</v>
      </c>
      <c r="F234" t="str">
        <f>SUM('Desempeño profesional'!AE235:AJ235)</f>
        <v>0</v>
      </c>
      <c r="G234" t="str">
        <f>IF(F234&lt;=$AQ$19,"Deficiente",IF(F234&lt;=$AQ$20,"Regular",IF(F234&lt;=$AQ$21,"Eficiente",0)))</f>
        <v>0</v>
      </c>
      <c r="H234" t="str">
        <f>SUM('Desempeño profesional'!AK235:AO235)</f>
        <v>0</v>
      </c>
      <c r="I234" t="str">
        <f>IF(H234&lt;=$BC$19,"Deficiente",IF(H234&lt;=$BC$20,"Regular",IF(H234&lt;=$BC$21,"Eficiente",0)))</f>
        <v>0</v>
      </c>
      <c r="J234" t="str">
        <f>SUM(B234:H234)</f>
        <v>0</v>
      </c>
      <c r="K234" t="str">
        <f>IF(J234&lt;=$BO$19,"Deficiente",IF(J234&lt;=$BO$20,"Regular",IF(J234&lt;=$BO$21,"Eficiente",0)))</f>
        <v>0</v>
      </c>
    </row>
    <row r="235" spans="1:75">
      <c r="A235" t="s">
        <v>261</v>
      </c>
      <c r="B235" t="str">
        <f>SUM('Desempeño profesional'!B236:K236)</f>
        <v>0</v>
      </c>
      <c r="C235" t="str">
        <f>IF(B235&lt;=$S$19,"Deficiente",IF(B235&lt;=$S$20,"Regular",IF(B235&lt;=$S$21,"Eficiente",0)))</f>
        <v>0</v>
      </c>
      <c r="D235" t="str">
        <f>SUM('Desempeño profesional'!L236:AD236)</f>
        <v>0</v>
      </c>
      <c r="E235" t="str">
        <f>IF(D235&lt;=$AE$19,"Deficiente",IF(D235&lt;=$AE$20,"Regular",IF(D235&lt;=$AE$21,"Eficiente",0)))</f>
        <v>0</v>
      </c>
      <c r="F235" t="str">
        <f>SUM('Desempeño profesional'!AE236:AJ236)</f>
        <v>0</v>
      </c>
      <c r="G235" t="str">
        <f>IF(F235&lt;=$AQ$19,"Deficiente",IF(F235&lt;=$AQ$20,"Regular",IF(F235&lt;=$AQ$21,"Eficiente",0)))</f>
        <v>0</v>
      </c>
      <c r="H235" t="str">
        <f>SUM('Desempeño profesional'!AK236:AO236)</f>
        <v>0</v>
      </c>
      <c r="I235" t="str">
        <f>IF(H235&lt;=$BC$19,"Deficiente",IF(H235&lt;=$BC$20,"Regular",IF(H235&lt;=$BC$21,"Eficiente",0)))</f>
        <v>0</v>
      </c>
      <c r="J235" t="str">
        <f>SUM(B235:H235)</f>
        <v>0</v>
      </c>
      <c r="K235" t="str">
        <f>IF(J235&lt;=$BO$19,"Deficiente",IF(J235&lt;=$BO$20,"Regular",IF(J235&lt;=$BO$21,"Eficiente",0)))</f>
        <v>0</v>
      </c>
    </row>
    <row r="236" spans="1:75">
      <c r="A236" t="s">
        <v>262</v>
      </c>
      <c r="B236" t="str">
        <f>SUM('Desempeño profesional'!B237:K237)</f>
        <v>0</v>
      </c>
      <c r="C236" t="str">
        <f>IF(B236&lt;=$S$19,"Deficiente",IF(B236&lt;=$S$20,"Regular",IF(B236&lt;=$S$21,"Eficiente",0)))</f>
        <v>0</v>
      </c>
      <c r="D236" t="str">
        <f>SUM('Desempeño profesional'!L237:AD237)</f>
        <v>0</v>
      </c>
      <c r="E236" t="str">
        <f>IF(D236&lt;=$AE$19,"Deficiente",IF(D236&lt;=$AE$20,"Regular",IF(D236&lt;=$AE$21,"Eficiente",0)))</f>
        <v>0</v>
      </c>
      <c r="F236" t="str">
        <f>SUM('Desempeño profesional'!AE237:AJ237)</f>
        <v>0</v>
      </c>
      <c r="G236" t="str">
        <f>IF(F236&lt;=$AQ$19,"Deficiente",IF(F236&lt;=$AQ$20,"Regular",IF(F236&lt;=$AQ$21,"Eficiente",0)))</f>
        <v>0</v>
      </c>
      <c r="H236" t="str">
        <f>SUM('Desempeño profesional'!AK237:AO237)</f>
        <v>0</v>
      </c>
      <c r="I236" t="str">
        <f>IF(H236&lt;=$BC$19,"Deficiente",IF(H236&lt;=$BC$20,"Regular",IF(H236&lt;=$BC$21,"Eficiente",0)))</f>
        <v>0</v>
      </c>
      <c r="J236" t="str">
        <f>SUM(B236:H236)</f>
        <v>0</v>
      </c>
      <c r="K236" t="str">
        <f>IF(J236&lt;=$BO$19,"Deficiente",IF(J236&lt;=$BO$20,"Regular",IF(J236&lt;=$BO$21,"Eficiente",0)))</f>
        <v>0</v>
      </c>
    </row>
    <row r="237" spans="1:75">
      <c r="A237" t="s">
        <v>263</v>
      </c>
      <c r="B237" t="str">
        <f>SUM('Desempeño profesional'!B238:K238)</f>
        <v>0</v>
      </c>
      <c r="C237" t="str">
        <f>IF(B237&lt;=$S$19,"Deficiente",IF(B237&lt;=$S$20,"Regular",IF(B237&lt;=$S$21,"Eficiente",0)))</f>
        <v>0</v>
      </c>
      <c r="D237" t="str">
        <f>SUM('Desempeño profesional'!L238:AD238)</f>
        <v>0</v>
      </c>
      <c r="E237" t="str">
        <f>IF(D237&lt;=$AE$19,"Deficiente",IF(D237&lt;=$AE$20,"Regular",IF(D237&lt;=$AE$21,"Eficiente",0)))</f>
        <v>0</v>
      </c>
      <c r="F237" t="str">
        <f>SUM('Desempeño profesional'!AE238:AJ238)</f>
        <v>0</v>
      </c>
      <c r="G237" t="str">
        <f>IF(F237&lt;=$AQ$19,"Deficiente",IF(F237&lt;=$AQ$20,"Regular",IF(F237&lt;=$AQ$21,"Eficiente",0)))</f>
        <v>0</v>
      </c>
      <c r="H237" t="str">
        <f>SUM('Desempeño profesional'!AK238:AO238)</f>
        <v>0</v>
      </c>
      <c r="I237" t="str">
        <f>IF(H237&lt;=$BC$19,"Deficiente",IF(H237&lt;=$BC$20,"Regular",IF(H237&lt;=$BC$21,"Eficiente",0)))</f>
        <v>0</v>
      </c>
      <c r="J237" t="str">
        <f>SUM(B237:H237)</f>
        <v>0</v>
      </c>
      <c r="K237" t="str">
        <f>IF(J237&lt;=$BO$19,"Deficiente",IF(J237&lt;=$BO$20,"Regular",IF(J237&lt;=$BO$21,"Eficiente",0)))</f>
        <v>0</v>
      </c>
    </row>
    <row r="238" spans="1:75">
      <c r="A238" t="s">
        <v>264</v>
      </c>
      <c r="B238" t="str">
        <f>SUM('Desempeño profesional'!B239:K239)</f>
        <v>0</v>
      </c>
      <c r="C238" t="str">
        <f>IF(B238&lt;=$S$19,"Deficiente",IF(B238&lt;=$S$20,"Regular",IF(B238&lt;=$S$21,"Eficiente",0)))</f>
        <v>0</v>
      </c>
      <c r="D238" t="str">
        <f>SUM('Desempeño profesional'!L239:AD239)</f>
        <v>0</v>
      </c>
      <c r="E238" t="str">
        <f>IF(D238&lt;=$AE$19,"Deficiente",IF(D238&lt;=$AE$20,"Regular",IF(D238&lt;=$AE$21,"Eficiente",0)))</f>
        <v>0</v>
      </c>
      <c r="F238" t="str">
        <f>SUM('Desempeño profesional'!AE239:AJ239)</f>
        <v>0</v>
      </c>
      <c r="G238" t="str">
        <f>IF(F238&lt;=$AQ$19,"Deficiente",IF(F238&lt;=$AQ$20,"Regular",IF(F238&lt;=$AQ$21,"Eficiente",0)))</f>
        <v>0</v>
      </c>
      <c r="H238" t="str">
        <f>SUM('Desempeño profesional'!AK239:AO239)</f>
        <v>0</v>
      </c>
      <c r="I238" t="str">
        <f>IF(H238&lt;=$BC$19,"Deficiente",IF(H238&lt;=$BC$20,"Regular",IF(H238&lt;=$BC$21,"Eficiente",0)))</f>
        <v>0</v>
      </c>
      <c r="J238" t="str">
        <f>SUM(B238:H238)</f>
        <v>0</v>
      </c>
      <c r="K238" t="str">
        <f>IF(J238&lt;=$BO$19,"Deficiente",IF(J238&lt;=$BO$20,"Regular",IF(J238&lt;=$BO$21,"Eficiente",0)))</f>
        <v>0</v>
      </c>
    </row>
    <row r="239" spans="1:75">
      <c r="A239" t="s">
        <v>265</v>
      </c>
      <c r="B239" t="str">
        <f>SUM('Desempeño profesional'!B240:K240)</f>
        <v>0</v>
      </c>
      <c r="C239" t="str">
        <f>IF(B239&lt;=$S$19,"Deficiente",IF(B239&lt;=$S$20,"Regular",IF(B239&lt;=$S$21,"Eficiente",0)))</f>
        <v>0</v>
      </c>
      <c r="D239" t="str">
        <f>SUM('Desempeño profesional'!L240:AD240)</f>
        <v>0</v>
      </c>
      <c r="E239" t="str">
        <f>IF(D239&lt;=$AE$19,"Deficiente",IF(D239&lt;=$AE$20,"Regular",IF(D239&lt;=$AE$21,"Eficiente",0)))</f>
        <v>0</v>
      </c>
      <c r="F239" t="str">
        <f>SUM('Desempeño profesional'!AE240:AJ240)</f>
        <v>0</v>
      </c>
      <c r="G239" t="str">
        <f>IF(F239&lt;=$AQ$19,"Deficiente",IF(F239&lt;=$AQ$20,"Regular",IF(F239&lt;=$AQ$21,"Eficiente",0)))</f>
        <v>0</v>
      </c>
      <c r="H239" t="str">
        <f>SUM('Desempeño profesional'!AK240:AO240)</f>
        <v>0</v>
      </c>
      <c r="I239" t="str">
        <f>IF(H239&lt;=$BC$19,"Deficiente",IF(H239&lt;=$BC$20,"Regular",IF(H239&lt;=$BC$21,"Eficiente",0)))</f>
        <v>0</v>
      </c>
      <c r="J239" t="str">
        <f>SUM(B239:H239)</f>
        <v>0</v>
      </c>
      <c r="K239" t="str">
        <f>IF(J239&lt;=$BO$19,"Deficiente",IF(J239&lt;=$BO$20,"Regular",IF(J239&lt;=$BO$21,"Eficiente",0)))</f>
        <v>0</v>
      </c>
    </row>
    <row r="240" spans="1:75">
      <c r="A240" t="s">
        <v>266</v>
      </c>
      <c r="B240" t="str">
        <f>SUM('Desempeño profesional'!B241:K241)</f>
        <v>0</v>
      </c>
      <c r="C240" t="str">
        <f>IF(B240&lt;=$S$19,"Deficiente",IF(B240&lt;=$S$20,"Regular",IF(B240&lt;=$S$21,"Eficiente",0)))</f>
        <v>0</v>
      </c>
      <c r="D240" t="str">
        <f>SUM('Desempeño profesional'!L241:AD241)</f>
        <v>0</v>
      </c>
      <c r="E240" t="str">
        <f>IF(D240&lt;=$AE$19,"Deficiente",IF(D240&lt;=$AE$20,"Regular",IF(D240&lt;=$AE$21,"Eficiente",0)))</f>
        <v>0</v>
      </c>
      <c r="F240" t="str">
        <f>SUM('Desempeño profesional'!AE241:AJ241)</f>
        <v>0</v>
      </c>
      <c r="G240" t="str">
        <f>IF(F240&lt;=$AQ$19,"Deficiente",IF(F240&lt;=$AQ$20,"Regular",IF(F240&lt;=$AQ$21,"Eficiente",0)))</f>
        <v>0</v>
      </c>
      <c r="H240" t="str">
        <f>SUM('Desempeño profesional'!AK241:AO241)</f>
        <v>0</v>
      </c>
      <c r="I240" t="str">
        <f>IF(H240&lt;=$BC$19,"Deficiente",IF(H240&lt;=$BC$20,"Regular",IF(H240&lt;=$BC$21,"Eficiente",0)))</f>
        <v>0</v>
      </c>
      <c r="J240" t="str">
        <f>SUM(B240:H240)</f>
        <v>0</v>
      </c>
      <c r="K240" t="str">
        <f>IF(J240&lt;=$BO$19,"Deficiente",IF(J240&lt;=$BO$20,"Regular",IF(J240&lt;=$BO$21,"Eficiente",0)))</f>
        <v>0</v>
      </c>
    </row>
    <row r="241" spans="1:75">
      <c r="A241" t="s">
        <v>267</v>
      </c>
      <c r="B241" t="str">
        <f>SUM('Desempeño profesional'!B242:K242)</f>
        <v>0</v>
      </c>
      <c r="C241" t="str">
        <f>IF(B241&lt;=$S$19,"Deficiente",IF(B241&lt;=$S$20,"Regular",IF(B241&lt;=$S$21,"Eficiente",0)))</f>
        <v>0</v>
      </c>
      <c r="D241" t="str">
        <f>SUM('Desempeño profesional'!L242:AD242)</f>
        <v>0</v>
      </c>
      <c r="E241" t="str">
        <f>IF(D241&lt;=$AE$19,"Deficiente",IF(D241&lt;=$AE$20,"Regular",IF(D241&lt;=$AE$21,"Eficiente",0)))</f>
        <v>0</v>
      </c>
      <c r="F241" t="str">
        <f>SUM('Desempeño profesional'!AE242:AJ242)</f>
        <v>0</v>
      </c>
      <c r="G241" t="str">
        <f>IF(F241&lt;=$AQ$19,"Deficiente",IF(F241&lt;=$AQ$20,"Regular",IF(F241&lt;=$AQ$21,"Eficiente",0)))</f>
        <v>0</v>
      </c>
      <c r="H241" t="str">
        <f>SUM('Desempeño profesional'!AK242:AO242)</f>
        <v>0</v>
      </c>
      <c r="I241" t="str">
        <f>IF(H241&lt;=$BC$19,"Deficiente",IF(H241&lt;=$BC$20,"Regular",IF(H241&lt;=$BC$21,"Eficiente",0)))</f>
        <v>0</v>
      </c>
      <c r="J241" t="str">
        <f>SUM(B241:H241)</f>
        <v>0</v>
      </c>
      <c r="K241" t="str">
        <f>IF(J241&lt;=$BO$19,"Deficiente",IF(J241&lt;=$BO$20,"Regular",IF(J241&lt;=$BO$21,"Eficiente",0)))</f>
        <v>0</v>
      </c>
    </row>
    <row r="242" spans="1:75">
      <c r="A242" t="s">
        <v>268</v>
      </c>
      <c r="B242" t="str">
        <f>SUM('Desempeño profesional'!B243:K243)</f>
        <v>0</v>
      </c>
      <c r="C242" t="str">
        <f>IF(B242&lt;=$S$19,"Deficiente",IF(B242&lt;=$S$20,"Regular",IF(B242&lt;=$S$21,"Eficiente",0)))</f>
        <v>0</v>
      </c>
      <c r="D242" t="str">
        <f>SUM('Desempeño profesional'!L243:AD243)</f>
        <v>0</v>
      </c>
      <c r="E242" t="str">
        <f>IF(D242&lt;=$AE$19,"Deficiente",IF(D242&lt;=$AE$20,"Regular",IF(D242&lt;=$AE$21,"Eficiente",0)))</f>
        <v>0</v>
      </c>
      <c r="F242" t="str">
        <f>SUM('Desempeño profesional'!AE243:AJ243)</f>
        <v>0</v>
      </c>
      <c r="G242" t="str">
        <f>IF(F242&lt;=$AQ$19,"Deficiente",IF(F242&lt;=$AQ$20,"Regular",IF(F242&lt;=$AQ$21,"Eficiente",0)))</f>
        <v>0</v>
      </c>
      <c r="H242" t="str">
        <f>SUM('Desempeño profesional'!AK243:AO243)</f>
        <v>0</v>
      </c>
      <c r="I242" t="str">
        <f>IF(H242&lt;=$BC$19,"Deficiente",IF(H242&lt;=$BC$20,"Regular",IF(H242&lt;=$BC$21,"Eficiente",0)))</f>
        <v>0</v>
      </c>
      <c r="J242" t="str">
        <f>SUM(B242:H242)</f>
        <v>0</v>
      </c>
      <c r="K242" t="str">
        <f>IF(J242&lt;=$BO$19,"Deficiente",IF(J242&lt;=$BO$20,"Regular",IF(J242&lt;=$BO$21,"Eficiente",0)))</f>
        <v>0</v>
      </c>
    </row>
    <row r="243" spans="1:75">
      <c r="A243" t="s">
        <v>269</v>
      </c>
      <c r="B243" t="str">
        <f>SUM('Desempeño profesional'!B244:K244)</f>
        <v>0</v>
      </c>
      <c r="C243" t="str">
        <f>IF(B243&lt;=$S$19,"Deficiente",IF(B243&lt;=$S$20,"Regular",IF(B243&lt;=$S$21,"Eficiente",0)))</f>
        <v>0</v>
      </c>
      <c r="D243" t="str">
        <f>SUM('Desempeño profesional'!L244:AD244)</f>
        <v>0</v>
      </c>
      <c r="E243" t="str">
        <f>IF(D243&lt;=$AE$19,"Deficiente",IF(D243&lt;=$AE$20,"Regular",IF(D243&lt;=$AE$21,"Eficiente",0)))</f>
        <v>0</v>
      </c>
      <c r="F243" t="str">
        <f>SUM('Desempeño profesional'!AE244:AJ244)</f>
        <v>0</v>
      </c>
      <c r="G243" t="str">
        <f>IF(F243&lt;=$AQ$19,"Deficiente",IF(F243&lt;=$AQ$20,"Regular",IF(F243&lt;=$AQ$21,"Eficiente",0)))</f>
        <v>0</v>
      </c>
      <c r="H243" t="str">
        <f>SUM('Desempeño profesional'!AK244:AO244)</f>
        <v>0</v>
      </c>
      <c r="I243" t="str">
        <f>IF(H243&lt;=$BC$19,"Deficiente",IF(H243&lt;=$BC$20,"Regular",IF(H243&lt;=$BC$21,"Eficiente",0)))</f>
        <v>0</v>
      </c>
      <c r="J243" t="str">
        <f>SUM(B243:H243)</f>
        <v>0</v>
      </c>
      <c r="K243" t="str">
        <f>IF(J243&lt;=$BO$19,"Deficiente",IF(J243&lt;=$BO$20,"Regular",IF(J243&lt;=$BO$21,"Eficiente",0)))</f>
        <v>0</v>
      </c>
    </row>
    <row r="244" spans="1:75">
      <c r="A244" t="s">
        <v>270</v>
      </c>
      <c r="B244" t="str">
        <f>SUM('Desempeño profesional'!B245:K245)</f>
        <v>0</v>
      </c>
      <c r="C244" t="str">
        <f>IF(B244&lt;=$S$19,"Deficiente",IF(B244&lt;=$S$20,"Regular",IF(B244&lt;=$S$21,"Eficiente",0)))</f>
        <v>0</v>
      </c>
      <c r="D244" t="str">
        <f>SUM('Desempeño profesional'!L245:AD245)</f>
        <v>0</v>
      </c>
      <c r="E244" t="str">
        <f>IF(D244&lt;=$AE$19,"Deficiente",IF(D244&lt;=$AE$20,"Regular",IF(D244&lt;=$AE$21,"Eficiente",0)))</f>
        <v>0</v>
      </c>
      <c r="F244" t="str">
        <f>SUM('Desempeño profesional'!AE245:AJ245)</f>
        <v>0</v>
      </c>
      <c r="G244" t="str">
        <f>IF(F244&lt;=$AQ$19,"Deficiente",IF(F244&lt;=$AQ$20,"Regular",IF(F244&lt;=$AQ$21,"Eficiente",0)))</f>
        <v>0</v>
      </c>
      <c r="H244" t="str">
        <f>SUM('Desempeño profesional'!AK245:AO245)</f>
        <v>0</v>
      </c>
      <c r="I244" t="str">
        <f>IF(H244&lt;=$BC$19,"Deficiente",IF(H244&lt;=$BC$20,"Regular",IF(H244&lt;=$BC$21,"Eficiente",0)))</f>
        <v>0</v>
      </c>
      <c r="J244" t="str">
        <f>SUM(B244:H244)</f>
        <v>0</v>
      </c>
      <c r="K244" t="str">
        <f>IF(J244&lt;=$BO$19,"Deficiente",IF(J244&lt;=$BO$20,"Regular",IF(J244&lt;=$BO$21,"Eficiente",0)))</f>
        <v>0</v>
      </c>
    </row>
    <row r="245" spans="1:75">
      <c r="A245" t="s">
        <v>271</v>
      </c>
      <c r="B245" t="str">
        <f>SUM('Desempeño profesional'!B246:K246)</f>
        <v>0</v>
      </c>
      <c r="C245" t="str">
        <f>IF(B245&lt;=$S$19,"Deficiente",IF(B245&lt;=$S$20,"Regular",IF(B245&lt;=$S$21,"Eficiente",0)))</f>
        <v>0</v>
      </c>
      <c r="D245" t="str">
        <f>SUM('Desempeño profesional'!L246:AD246)</f>
        <v>0</v>
      </c>
      <c r="E245" t="str">
        <f>IF(D245&lt;=$AE$19,"Deficiente",IF(D245&lt;=$AE$20,"Regular",IF(D245&lt;=$AE$21,"Eficiente",0)))</f>
        <v>0</v>
      </c>
      <c r="F245" t="str">
        <f>SUM('Desempeño profesional'!AE246:AJ246)</f>
        <v>0</v>
      </c>
      <c r="G245" t="str">
        <f>IF(F245&lt;=$AQ$19,"Deficiente",IF(F245&lt;=$AQ$20,"Regular",IF(F245&lt;=$AQ$21,"Eficiente",0)))</f>
        <v>0</v>
      </c>
      <c r="H245" t="str">
        <f>SUM('Desempeño profesional'!AK246:AO246)</f>
        <v>0</v>
      </c>
      <c r="I245" t="str">
        <f>IF(H245&lt;=$BC$19,"Deficiente",IF(H245&lt;=$BC$20,"Regular",IF(H245&lt;=$BC$21,"Eficiente",0)))</f>
        <v>0</v>
      </c>
      <c r="J245" t="str">
        <f>SUM(B245:H245)</f>
        <v>0</v>
      </c>
      <c r="K245" t="str">
        <f>IF(J245&lt;=$BO$19,"Deficiente",IF(J245&lt;=$BO$20,"Regular",IF(J245&lt;=$BO$21,"Eficiente",0)))</f>
        <v>0</v>
      </c>
    </row>
    <row r="246" spans="1:75">
      <c r="A246" t="s">
        <v>272</v>
      </c>
      <c r="B246" t="str">
        <f>SUM('Desempeño profesional'!B247:K247)</f>
        <v>0</v>
      </c>
      <c r="C246" t="str">
        <f>IF(B246&lt;=$S$19,"Deficiente",IF(B246&lt;=$S$20,"Regular",IF(B246&lt;=$S$21,"Eficiente",0)))</f>
        <v>0</v>
      </c>
      <c r="D246" t="str">
        <f>SUM('Desempeño profesional'!L247:AD247)</f>
        <v>0</v>
      </c>
      <c r="E246" t="str">
        <f>IF(D246&lt;=$AE$19,"Deficiente",IF(D246&lt;=$AE$20,"Regular",IF(D246&lt;=$AE$21,"Eficiente",0)))</f>
        <v>0</v>
      </c>
      <c r="F246" t="str">
        <f>SUM('Desempeño profesional'!AE247:AJ247)</f>
        <v>0</v>
      </c>
      <c r="G246" t="str">
        <f>IF(F246&lt;=$AQ$19,"Deficiente",IF(F246&lt;=$AQ$20,"Regular",IF(F246&lt;=$AQ$21,"Eficiente",0)))</f>
        <v>0</v>
      </c>
      <c r="H246" t="str">
        <f>SUM('Desempeño profesional'!AK247:AO247)</f>
        <v>0</v>
      </c>
      <c r="I246" t="str">
        <f>IF(H246&lt;=$BC$19,"Deficiente",IF(H246&lt;=$BC$20,"Regular",IF(H246&lt;=$BC$21,"Eficiente",0)))</f>
        <v>0</v>
      </c>
      <c r="J246" t="str">
        <f>SUM(B246:H246)</f>
        <v>0</v>
      </c>
      <c r="K246" t="str">
        <f>IF(J246&lt;=$BO$19,"Deficiente",IF(J246&lt;=$BO$20,"Regular",IF(J246&lt;=$BO$21,"Eficiente",0)))</f>
        <v>0</v>
      </c>
    </row>
    <row r="247" spans="1:75">
      <c r="A247" t="s">
        <v>273</v>
      </c>
      <c r="B247" t="str">
        <f>SUM('Desempeño profesional'!B248:K248)</f>
        <v>0</v>
      </c>
      <c r="C247" t="str">
        <f>IF(B247&lt;=$S$19,"Deficiente",IF(B247&lt;=$S$20,"Regular",IF(B247&lt;=$S$21,"Eficiente",0)))</f>
        <v>0</v>
      </c>
      <c r="D247" t="str">
        <f>SUM('Desempeño profesional'!L248:AD248)</f>
        <v>0</v>
      </c>
      <c r="E247" t="str">
        <f>IF(D247&lt;=$AE$19,"Deficiente",IF(D247&lt;=$AE$20,"Regular",IF(D247&lt;=$AE$21,"Eficiente",0)))</f>
        <v>0</v>
      </c>
      <c r="F247" t="str">
        <f>SUM('Desempeño profesional'!AE248:AJ248)</f>
        <v>0</v>
      </c>
      <c r="G247" t="str">
        <f>IF(F247&lt;=$AQ$19,"Deficiente",IF(F247&lt;=$AQ$20,"Regular",IF(F247&lt;=$AQ$21,"Eficiente",0)))</f>
        <v>0</v>
      </c>
      <c r="H247" t="str">
        <f>SUM('Desempeño profesional'!AK248:AO248)</f>
        <v>0</v>
      </c>
      <c r="I247" t="str">
        <f>IF(H247&lt;=$BC$19,"Deficiente",IF(H247&lt;=$BC$20,"Regular",IF(H247&lt;=$BC$21,"Eficiente",0)))</f>
        <v>0</v>
      </c>
      <c r="J247" t="str">
        <f>SUM(B247:H247)</f>
        <v>0</v>
      </c>
      <c r="K247" t="str">
        <f>IF(J247&lt;=$BO$19,"Deficiente",IF(J247&lt;=$BO$20,"Regular",IF(J247&lt;=$BO$21,"Eficiente",0)))</f>
        <v>0</v>
      </c>
    </row>
    <row r="248" spans="1:75">
      <c r="A248" t="s">
        <v>274</v>
      </c>
      <c r="B248" t="str">
        <f>SUM('Desempeño profesional'!B249:K249)</f>
        <v>0</v>
      </c>
      <c r="C248" t="str">
        <f>IF(B248&lt;=$S$19,"Deficiente",IF(B248&lt;=$S$20,"Regular",IF(B248&lt;=$S$21,"Eficiente",0)))</f>
        <v>0</v>
      </c>
      <c r="D248" t="str">
        <f>SUM('Desempeño profesional'!L249:AD249)</f>
        <v>0</v>
      </c>
      <c r="E248" t="str">
        <f>IF(D248&lt;=$AE$19,"Deficiente",IF(D248&lt;=$AE$20,"Regular",IF(D248&lt;=$AE$21,"Eficiente",0)))</f>
        <v>0</v>
      </c>
      <c r="F248" t="str">
        <f>SUM('Desempeño profesional'!AE249:AJ249)</f>
        <v>0</v>
      </c>
      <c r="G248" t="str">
        <f>IF(F248&lt;=$AQ$19,"Deficiente",IF(F248&lt;=$AQ$20,"Regular",IF(F248&lt;=$AQ$21,"Eficiente",0)))</f>
        <v>0</v>
      </c>
      <c r="H248" t="str">
        <f>SUM('Desempeño profesional'!AK249:AO249)</f>
        <v>0</v>
      </c>
      <c r="I248" t="str">
        <f>IF(H248&lt;=$BC$19,"Deficiente",IF(H248&lt;=$BC$20,"Regular",IF(H248&lt;=$BC$21,"Eficiente",0)))</f>
        <v>0</v>
      </c>
      <c r="J248" t="str">
        <f>SUM(B248:H248)</f>
        <v>0</v>
      </c>
      <c r="K248" t="str">
        <f>IF(J248&lt;=$BO$19,"Deficiente",IF(J248&lt;=$BO$20,"Regular",IF(J248&lt;=$BO$21,"Eficiente",0)))</f>
        <v>0</v>
      </c>
    </row>
    <row r="249" spans="1:75">
      <c r="A249" t="s">
        <v>275</v>
      </c>
      <c r="B249" t="str">
        <f>SUM('Desempeño profesional'!B250:K250)</f>
        <v>0</v>
      </c>
      <c r="C249" t="str">
        <f>IF(B249&lt;=$S$19,"Deficiente",IF(B249&lt;=$S$20,"Regular",IF(B249&lt;=$S$21,"Eficiente",0)))</f>
        <v>0</v>
      </c>
      <c r="D249" t="str">
        <f>SUM('Desempeño profesional'!L250:AD250)</f>
        <v>0</v>
      </c>
      <c r="E249" t="str">
        <f>IF(D249&lt;=$AE$19,"Deficiente",IF(D249&lt;=$AE$20,"Regular",IF(D249&lt;=$AE$21,"Eficiente",0)))</f>
        <v>0</v>
      </c>
      <c r="F249" t="str">
        <f>SUM('Desempeño profesional'!AE250:AJ250)</f>
        <v>0</v>
      </c>
      <c r="G249" t="str">
        <f>IF(F249&lt;=$AQ$19,"Deficiente",IF(F249&lt;=$AQ$20,"Regular",IF(F249&lt;=$AQ$21,"Eficiente",0)))</f>
        <v>0</v>
      </c>
      <c r="H249" t="str">
        <f>SUM('Desempeño profesional'!AK250:AO250)</f>
        <v>0</v>
      </c>
      <c r="I249" t="str">
        <f>IF(H249&lt;=$BC$19,"Deficiente",IF(H249&lt;=$BC$20,"Regular",IF(H249&lt;=$BC$21,"Eficiente",0)))</f>
        <v>0</v>
      </c>
      <c r="J249" t="str">
        <f>SUM(B249:H249)</f>
        <v>0</v>
      </c>
      <c r="K249" t="str">
        <f>IF(J249&lt;=$BO$19,"Deficiente",IF(J249&lt;=$BO$20,"Regular",IF(J249&lt;=$BO$21,"Eficiente",0)))</f>
        <v>0</v>
      </c>
    </row>
    <row r="250" spans="1:75">
      <c r="A250" t="s">
        <v>276</v>
      </c>
      <c r="B250" t="str">
        <f>SUM('Desempeño profesional'!B251:K251)</f>
        <v>0</v>
      </c>
      <c r="C250" t="str">
        <f>IF(B250&lt;=$S$19,"Deficiente",IF(B250&lt;=$S$20,"Regular",IF(B250&lt;=$S$21,"Eficiente",0)))</f>
        <v>0</v>
      </c>
      <c r="D250" t="str">
        <f>SUM('Desempeño profesional'!L251:AD251)</f>
        <v>0</v>
      </c>
      <c r="E250" t="str">
        <f>IF(D250&lt;=$AE$19,"Deficiente",IF(D250&lt;=$AE$20,"Regular",IF(D250&lt;=$AE$21,"Eficiente",0)))</f>
        <v>0</v>
      </c>
      <c r="F250" t="str">
        <f>SUM('Desempeño profesional'!AE251:AJ251)</f>
        <v>0</v>
      </c>
      <c r="G250" t="str">
        <f>IF(F250&lt;=$AQ$19,"Deficiente",IF(F250&lt;=$AQ$20,"Regular",IF(F250&lt;=$AQ$21,"Eficiente",0)))</f>
        <v>0</v>
      </c>
      <c r="H250" t="str">
        <f>SUM('Desempeño profesional'!AK251:AO251)</f>
        <v>0</v>
      </c>
      <c r="I250" t="str">
        <f>IF(H250&lt;=$BC$19,"Deficiente",IF(H250&lt;=$BC$20,"Regular",IF(H250&lt;=$BC$21,"Eficiente",0)))</f>
        <v>0</v>
      </c>
      <c r="J250" t="str">
        <f>SUM(B250:H250)</f>
        <v>0</v>
      </c>
      <c r="K250" t="str">
        <f>IF(J250&lt;=$BO$19,"Deficiente",IF(J250&lt;=$BO$20,"Regular",IF(J250&lt;=$BO$21,"Eficiente",0)))</f>
        <v>0</v>
      </c>
    </row>
    <row r="251" spans="1:75">
      <c r="A251" t="s">
        <v>277</v>
      </c>
      <c r="B251" t="str">
        <f>SUM('Desempeño profesional'!B252:K252)</f>
        <v>0</v>
      </c>
      <c r="C251" t="str">
        <f>IF(B251&lt;=$S$19,"Deficiente",IF(B251&lt;=$S$20,"Regular",IF(B251&lt;=$S$21,"Eficiente",0)))</f>
        <v>0</v>
      </c>
      <c r="D251" t="str">
        <f>SUM('Desempeño profesional'!L252:AD252)</f>
        <v>0</v>
      </c>
      <c r="E251" t="str">
        <f>IF(D251&lt;=$AE$19,"Deficiente",IF(D251&lt;=$AE$20,"Regular",IF(D251&lt;=$AE$21,"Eficiente",0)))</f>
        <v>0</v>
      </c>
      <c r="F251" t="str">
        <f>SUM('Desempeño profesional'!AE252:AJ252)</f>
        <v>0</v>
      </c>
      <c r="G251" t="str">
        <f>IF(F251&lt;=$AQ$19,"Deficiente",IF(F251&lt;=$AQ$20,"Regular",IF(F251&lt;=$AQ$21,"Eficiente",0)))</f>
        <v>0</v>
      </c>
      <c r="H251" t="str">
        <f>SUM('Desempeño profesional'!AK252:AO252)</f>
        <v>0</v>
      </c>
      <c r="I251" t="str">
        <f>IF(H251&lt;=$BC$19,"Deficiente",IF(H251&lt;=$BC$20,"Regular",IF(H251&lt;=$BC$21,"Eficiente",0)))</f>
        <v>0</v>
      </c>
      <c r="J251" t="str">
        <f>SUM(B251:H251)</f>
        <v>0</v>
      </c>
      <c r="K251" t="str">
        <f>IF(J251&lt;=$BO$19,"Deficiente",IF(J251&lt;=$BO$20,"Regular",IF(J251&lt;=$BO$21,"Eficiente",0)))</f>
        <v>0</v>
      </c>
    </row>
    <row r="252" spans="1:75">
      <c r="A252" t="s">
        <v>278</v>
      </c>
      <c r="B252" t="str">
        <f>SUM('Desempeño profesional'!B253:K253)</f>
        <v>0</v>
      </c>
      <c r="C252" t="str">
        <f>IF(B252&lt;=$S$19,"Deficiente",IF(B252&lt;=$S$20,"Regular",IF(B252&lt;=$S$21,"Eficiente",0)))</f>
        <v>0</v>
      </c>
      <c r="D252" t="str">
        <f>SUM('Desempeño profesional'!L253:AD253)</f>
        <v>0</v>
      </c>
      <c r="E252" t="str">
        <f>IF(D252&lt;=$AE$19,"Deficiente",IF(D252&lt;=$AE$20,"Regular",IF(D252&lt;=$AE$21,"Eficiente",0)))</f>
        <v>0</v>
      </c>
      <c r="F252" t="str">
        <f>SUM('Desempeño profesional'!AE253:AJ253)</f>
        <v>0</v>
      </c>
      <c r="G252" t="str">
        <f>IF(F252&lt;=$AQ$19,"Deficiente",IF(F252&lt;=$AQ$20,"Regular",IF(F252&lt;=$AQ$21,"Eficiente",0)))</f>
        <v>0</v>
      </c>
      <c r="H252" t="str">
        <f>SUM('Desempeño profesional'!AK253:AO253)</f>
        <v>0</v>
      </c>
      <c r="I252" t="str">
        <f>IF(H252&lt;=$BC$19,"Deficiente",IF(H252&lt;=$BC$20,"Regular",IF(H252&lt;=$BC$21,"Eficiente",0)))</f>
        <v>0</v>
      </c>
      <c r="J252" t="str">
        <f>SUM(B252:H252)</f>
        <v>0</v>
      </c>
      <c r="K252" t="str">
        <f>IF(J252&lt;=$BO$19,"Deficiente",IF(J252&lt;=$BO$20,"Regular",IF(J252&lt;=$BO$21,"Eficiente",0)))</f>
        <v>0</v>
      </c>
    </row>
    <row r="253" spans="1:75">
      <c r="A253" t="s">
        <v>279</v>
      </c>
      <c r="B253" t="str">
        <f>SUM('Desempeño profesional'!B254:K254)</f>
        <v>0</v>
      </c>
      <c r="C253" t="str">
        <f>IF(B253&lt;=$S$19,"Deficiente",IF(B253&lt;=$S$20,"Regular",IF(B253&lt;=$S$21,"Eficiente",0)))</f>
        <v>0</v>
      </c>
      <c r="D253" t="str">
        <f>SUM('Desempeño profesional'!L254:AD254)</f>
        <v>0</v>
      </c>
      <c r="E253" t="str">
        <f>IF(D253&lt;=$AE$19,"Deficiente",IF(D253&lt;=$AE$20,"Regular",IF(D253&lt;=$AE$21,"Eficiente",0)))</f>
        <v>0</v>
      </c>
      <c r="F253" t="str">
        <f>SUM('Desempeño profesional'!AE254:AJ254)</f>
        <v>0</v>
      </c>
      <c r="G253" t="str">
        <f>IF(F253&lt;=$AQ$19,"Deficiente",IF(F253&lt;=$AQ$20,"Regular",IF(F253&lt;=$AQ$21,"Eficiente",0)))</f>
        <v>0</v>
      </c>
      <c r="H253" t="str">
        <f>SUM('Desempeño profesional'!AK254:AO254)</f>
        <v>0</v>
      </c>
      <c r="I253" t="str">
        <f>IF(H253&lt;=$BC$19,"Deficiente",IF(H253&lt;=$BC$20,"Regular",IF(H253&lt;=$BC$21,"Eficiente",0)))</f>
        <v>0</v>
      </c>
      <c r="J253" t="str">
        <f>SUM(B253:H253)</f>
        <v>0</v>
      </c>
      <c r="K253" t="str">
        <f>IF(J253&lt;=$BO$19,"Deficiente",IF(J253&lt;=$BO$20,"Regular",IF(J253&lt;=$BO$21,"Eficiente",0)))</f>
        <v>0</v>
      </c>
    </row>
    <row r="254" spans="1:75">
      <c r="A254" t="s">
        <v>280</v>
      </c>
      <c r="B254" t="str">
        <f>SUM('Desempeño profesional'!B255:K255)</f>
        <v>0</v>
      </c>
      <c r="C254" t="str">
        <f>IF(B254&lt;=$S$19,"Deficiente",IF(B254&lt;=$S$20,"Regular",IF(B254&lt;=$S$21,"Eficiente",0)))</f>
        <v>0</v>
      </c>
      <c r="D254" t="str">
        <f>SUM('Desempeño profesional'!L255:AD255)</f>
        <v>0</v>
      </c>
      <c r="E254" t="str">
        <f>IF(D254&lt;=$AE$19,"Deficiente",IF(D254&lt;=$AE$20,"Regular",IF(D254&lt;=$AE$21,"Eficiente",0)))</f>
        <v>0</v>
      </c>
      <c r="F254" t="str">
        <f>SUM('Desempeño profesional'!AE255:AJ255)</f>
        <v>0</v>
      </c>
      <c r="G254" t="str">
        <f>IF(F254&lt;=$AQ$19,"Deficiente",IF(F254&lt;=$AQ$20,"Regular",IF(F254&lt;=$AQ$21,"Eficiente",0)))</f>
        <v>0</v>
      </c>
      <c r="H254" t="str">
        <f>SUM('Desempeño profesional'!AK255:AO255)</f>
        <v>0</v>
      </c>
      <c r="I254" t="str">
        <f>IF(H254&lt;=$BC$19,"Deficiente",IF(H254&lt;=$BC$20,"Regular",IF(H254&lt;=$BC$21,"Eficiente",0)))</f>
        <v>0</v>
      </c>
      <c r="J254" t="str">
        <f>SUM(B254:H254)</f>
        <v>0</v>
      </c>
      <c r="K254" t="str">
        <f>IF(J254&lt;=$BO$19,"Deficiente",IF(J254&lt;=$BO$20,"Regular",IF(J254&lt;=$BO$21,"Eficiente",0)))</f>
        <v>0</v>
      </c>
    </row>
    <row r="255" spans="1:75">
      <c r="A255" t="s">
        <v>281</v>
      </c>
      <c r="B255" t="str">
        <f>SUM('Desempeño profesional'!B256:K256)</f>
        <v>0</v>
      </c>
      <c r="C255" t="str">
        <f>IF(B255&lt;=$S$19,"Deficiente",IF(B255&lt;=$S$20,"Regular",IF(B255&lt;=$S$21,"Eficiente",0)))</f>
        <v>0</v>
      </c>
      <c r="D255" t="str">
        <f>SUM('Desempeño profesional'!L256:AD256)</f>
        <v>0</v>
      </c>
      <c r="E255" t="str">
        <f>IF(D255&lt;=$AE$19,"Deficiente",IF(D255&lt;=$AE$20,"Regular",IF(D255&lt;=$AE$21,"Eficiente",0)))</f>
        <v>0</v>
      </c>
      <c r="F255" t="str">
        <f>SUM('Desempeño profesional'!AE256:AJ256)</f>
        <v>0</v>
      </c>
      <c r="G255" t="str">
        <f>IF(F255&lt;=$AQ$19,"Deficiente",IF(F255&lt;=$AQ$20,"Regular",IF(F255&lt;=$AQ$21,"Eficiente",0)))</f>
        <v>0</v>
      </c>
      <c r="H255" t="str">
        <f>SUM('Desempeño profesional'!AK256:AO256)</f>
        <v>0</v>
      </c>
      <c r="I255" t="str">
        <f>IF(H255&lt;=$BC$19,"Deficiente",IF(H255&lt;=$BC$20,"Regular",IF(H255&lt;=$BC$21,"Eficiente",0)))</f>
        <v>0</v>
      </c>
      <c r="J255" t="str">
        <f>SUM(B255:H255)</f>
        <v>0</v>
      </c>
      <c r="K255" t="str">
        <f>IF(J255&lt;=$BO$19,"Deficiente",IF(J255&lt;=$BO$20,"Regular",IF(J255&lt;=$BO$21,"Eficiente",0)))</f>
        <v>0</v>
      </c>
    </row>
    <row r="256" spans="1:75">
      <c r="A256" t="s">
        <v>282</v>
      </c>
      <c r="B256" t="str">
        <f>SUM('Desempeño profesional'!B257:K257)</f>
        <v>0</v>
      </c>
      <c r="C256" t="str">
        <f>IF(B256&lt;=$S$19,"Deficiente",IF(B256&lt;=$S$20,"Regular",IF(B256&lt;=$S$21,"Eficiente",0)))</f>
        <v>0</v>
      </c>
      <c r="D256" t="str">
        <f>SUM('Desempeño profesional'!L257:AD257)</f>
        <v>0</v>
      </c>
      <c r="E256" t="str">
        <f>IF(D256&lt;=$AE$19,"Deficiente",IF(D256&lt;=$AE$20,"Regular",IF(D256&lt;=$AE$21,"Eficiente",0)))</f>
        <v>0</v>
      </c>
      <c r="F256" t="str">
        <f>SUM('Desempeño profesional'!AE257:AJ257)</f>
        <v>0</v>
      </c>
      <c r="G256" t="str">
        <f>IF(F256&lt;=$AQ$19,"Deficiente",IF(F256&lt;=$AQ$20,"Regular",IF(F256&lt;=$AQ$21,"Eficiente",0)))</f>
        <v>0</v>
      </c>
      <c r="H256" t="str">
        <f>SUM('Desempeño profesional'!AK257:AO257)</f>
        <v>0</v>
      </c>
      <c r="I256" t="str">
        <f>IF(H256&lt;=$BC$19,"Deficiente",IF(H256&lt;=$BC$20,"Regular",IF(H256&lt;=$BC$21,"Eficiente",0)))</f>
        <v>0</v>
      </c>
      <c r="J256" t="str">
        <f>SUM(B256:H256)</f>
        <v>0</v>
      </c>
      <c r="K256" t="str">
        <f>IF(J256&lt;=$BO$19,"Deficiente",IF(J256&lt;=$BO$20,"Regular",IF(J256&lt;=$BO$21,"Eficiente",0)))</f>
        <v>0</v>
      </c>
    </row>
    <row r="257" spans="1:75">
      <c r="A257" t="s">
        <v>283</v>
      </c>
      <c r="B257" t="str">
        <f>SUM('Desempeño profesional'!B258:K258)</f>
        <v>0</v>
      </c>
      <c r="C257" t="str">
        <f>IF(B257&lt;=$S$19,"Deficiente",IF(B257&lt;=$S$20,"Regular",IF(B257&lt;=$S$21,"Eficiente",0)))</f>
        <v>0</v>
      </c>
      <c r="D257" t="str">
        <f>SUM('Desempeño profesional'!L258:AD258)</f>
        <v>0</v>
      </c>
      <c r="E257" t="str">
        <f>IF(D257&lt;=$AE$19,"Deficiente",IF(D257&lt;=$AE$20,"Regular",IF(D257&lt;=$AE$21,"Eficiente",0)))</f>
        <v>0</v>
      </c>
      <c r="F257" t="str">
        <f>SUM('Desempeño profesional'!AE258:AJ258)</f>
        <v>0</v>
      </c>
      <c r="G257" t="str">
        <f>IF(F257&lt;=$AQ$19,"Deficiente",IF(F257&lt;=$AQ$20,"Regular",IF(F257&lt;=$AQ$21,"Eficiente",0)))</f>
        <v>0</v>
      </c>
      <c r="H257" t="str">
        <f>SUM('Desempeño profesional'!AK258:AO258)</f>
        <v>0</v>
      </c>
      <c r="I257" t="str">
        <f>IF(H257&lt;=$BC$19,"Deficiente",IF(H257&lt;=$BC$20,"Regular",IF(H257&lt;=$BC$21,"Eficiente",0)))</f>
        <v>0</v>
      </c>
      <c r="J257" t="str">
        <f>SUM(B257:H257)</f>
        <v>0</v>
      </c>
      <c r="K257" t="str">
        <f>IF(J257&lt;=$BO$19,"Deficiente",IF(J257&lt;=$BO$20,"Regular",IF(J257&lt;=$BO$21,"Eficiente",0)))</f>
        <v>0</v>
      </c>
    </row>
    <row r="258" spans="1:75">
      <c r="A258" t="s">
        <v>284</v>
      </c>
      <c r="B258" t="str">
        <f>SUM('Desempeño profesional'!B259:K259)</f>
        <v>0</v>
      </c>
      <c r="C258" t="str">
        <f>IF(B258&lt;=$S$19,"Deficiente",IF(B258&lt;=$S$20,"Regular",IF(B258&lt;=$S$21,"Eficiente",0)))</f>
        <v>0</v>
      </c>
      <c r="D258" t="str">
        <f>SUM('Desempeño profesional'!L259:AD259)</f>
        <v>0</v>
      </c>
      <c r="E258" t="str">
        <f>IF(D258&lt;=$AE$19,"Deficiente",IF(D258&lt;=$AE$20,"Regular",IF(D258&lt;=$AE$21,"Eficiente",0)))</f>
        <v>0</v>
      </c>
      <c r="F258" t="str">
        <f>SUM('Desempeño profesional'!AE259:AJ259)</f>
        <v>0</v>
      </c>
      <c r="G258" t="str">
        <f>IF(F258&lt;=$AQ$19,"Deficiente",IF(F258&lt;=$AQ$20,"Regular",IF(F258&lt;=$AQ$21,"Eficiente",0)))</f>
        <v>0</v>
      </c>
      <c r="H258" t="str">
        <f>SUM('Desempeño profesional'!AK259:AO259)</f>
        <v>0</v>
      </c>
      <c r="I258" t="str">
        <f>IF(H258&lt;=$BC$19,"Deficiente",IF(H258&lt;=$BC$20,"Regular",IF(H258&lt;=$BC$21,"Eficiente",0)))</f>
        <v>0</v>
      </c>
      <c r="J258" t="str">
        <f>SUM(B258:H258)</f>
        <v>0</v>
      </c>
      <c r="K258" t="str">
        <f>IF(J258&lt;=$BO$19,"Deficiente",IF(J258&lt;=$BO$20,"Regular",IF(J258&lt;=$BO$21,"Eficiente",0)))</f>
        <v>0</v>
      </c>
    </row>
    <row r="259" spans="1:75">
      <c r="A259" t="s">
        <v>285</v>
      </c>
      <c r="B259" t="str">
        <f>SUM('Desempeño profesional'!B260:K260)</f>
        <v>0</v>
      </c>
      <c r="C259" t="str">
        <f>IF(B259&lt;=$S$19,"Deficiente",IF(B259&lt;=$S$20,"Regular",IF(B259&lt;=$S$21,"Eficiente",0)))</f>
        <v>0</v>
      </c>
      <c r="D259" t="str">
        <f>SUM('Desempeño profesional'!L260:AD260)</f>
        <v>0</v>
      </c>
      <c r="E259" t="str">
        <f>IF(D259&lt;=$AE$19,"Deficiente",IF(D259&lt;=$AE$20,"Regular",IF(D259&lt;=$AE$21,"Eficiente",0)))</f>
        <v>0</v>
      </c>
      <c r="F259" t="str">
        <f>SUM('Desempeño profesional'!AE260:AJ260)</f>
        <v>0</v>
      </c>
      <c r="G259" t="str">
        <f>IF(F259&lt;=$AQ$19,"Deficiente",IF(F259&lt;=$AQ$20,"Regular",IF(F259&lt;=$AQ$21,"Eficiente",0)))</f>
        <v>0</v>
      </c>
      <c r="H259" t="str">
        <f>SUM('Desempeño profesional'!AK260:AO260)</f>
        <v>0</v>
      </c>
      <c r="I259" t="str">
        <f>IF(H259&lt;=$BC$19,"Deficiente",IF(H259&lt;=$BC$20,"Regular",IF(H259&lt;=$BC$21,"Eficiente",0)))</f>
        <v>0</v>
      </c>
      <c r="J259" t="str">
        <f>SUM(B259:H259)</f>
        <v>0</v>
      </c>
      <c r="K259" t="str">
        <f>IF(J259&lt;=$BO$19,"Deficiente",IF(J259&lt;=$BO$20,"Regular",IF(J259&lt;=$BO$21,"Eficiente",0)))</f>
        <v>0</v>
      </c>
    </row>
    <row r="260" spans="1:75">
      <c r="A260" t="s">
        <v>286</v>
      </c>
      <c r="B260" t="str">
        <f>SUM('Desempeño profesional'!B261:K261)</f>
        <v>0</v>
      </c>
      <c r="C260" t="str">
        <f>IF(B260&lt;=$S$19,"Deficiente",IF(B260&lt;=$S$20,"Regular",IF(B260&lt;=$S$21,"Eficiente",0)))</f>
        <v>0</v>
      </c>
      <c r="D260" t="str">
        <f>SUM('Desempeño profesional'!L261:AD261)</f>
        <v>0</v>
      </c>
      <c r="E260" t="str">
        <f>IF(D260&lt;=$AE$19,"Deficiente",IF(D260&lt;=$AE$20,"Regular",IF(D260&lt;=$AE$21,"Eficiente",0)))</f>
        <v>0</v>
      </c>
      <c r="F260" t="str">
        <f>SUM('Desempeño profesional'!AE261:AJ261)</f>
        <v>0</v>
      </c>
      <c r="G260" t="str">
        <f>IF(F260&lt;=$AQ$19,"Deficiente",IF(F260&lt;=$AQ$20,"Regular",IF(F260&lt;=$AQ$21,"Eficiente",0)))</f>
        <v>0</v>
      </c>
      <c r="H260" t="str">
        <f>SUM('Desempeño profesional'!AK261:AO261)</f>
        <v>0</v>
      </c>
      <c r="I260" t="str">
        <f>IF(H260&lt;=$BC$19,"Deficiente",IF(H260&lt;=$BC$20,"Regular",IF(H260&lt;=$BC$21,"Eficiente",0)))</f>
        <v>0</v>
      </c>
      <c r="J260" t="str">
        <f>SUM(B260:H260)</f>
        <v>0</v>
      </c>
      <c r="K260" t="str">
        <f>IF(J260&lt;=$BO$19,"Deficiente",IF(J260&lt;=$BO$20,"Regular",IF(J260&lt;=$BO$21,"Eficiente",0)))</f>
        <v>0</v>
      </c>
    </row>
    <row r="261" spans="1:75">
      <c r="A261" t="s">
        <v>287</v>
      </c>
      <c r="B261" t="str">
        <f>SUM('Desempeño profesional'!B262:K262)</f>
        <v>0</v>
      </c>
      <c r="C261" t="str">
        <f>IF(B261&lt;=$S$19,"Deficiente",IF(B261&lt;=$S$20,"Regular",IF(B261&lt;=$S$21,"Eficiente",0)))</f>
        <v>0</v>
      </c>
      <c r="D261" t="str">
        <f>SUM('Desempeño profesional'!L262:AD262)</f>
        <v>0</v>
      </c>
      <c r="E261" t="str">
        <f>IF(D261&lt;=$AE$19,"Deficiente",IF(D261&lt;=$AE$20,"Regular",IF(D261&lt;=$AE$21,"Eficiente",0)))</f>
        <v>0</v>
      </c>
      <c r="F261" t="str">
        <f>SUM('Desempeño profesional'!AE262:AJ262)</f>
        <v>0</v>
      </c>
      <c r="G261" t="str">
        <f>IF(F261&lt;=$AQ$19,"Deficiente",IF(F261&lt;=$AQ$20,"Regular",IF(F261&lt;=$AQ$21,"Eficiente",0)))</f>
        <v>0</v>
      </c>
      <c r="H261" t="str">
        <f>SUM('Desempeño profesional'!AK262:AO262)</f>
        <v>0</v>
      </c>
      <c r="I261" t="str">
        <f>IF(H261&lt;=$BC$19,"Deficiente",IF(H261&lt;=$BC$20,"Regular",IF(H261&lt;=$BC$21,"Eficiente",0)))</f>
        <v>0</v>
      </c>
      <c r="J261" t="str">
        <f>SUM(B261:H261)</f>
        <v>0</v>
      </c>
      <c r="K261" t="str">
        <f>IF(J261&lt;=$BO$19,"Deficiente",IF(J261&lt;=$BO$20,"Regular",IF(J261&lt;=$BO$21,"Eficiente",0)))</f>
        <v>0</v>
      </c>
    </row>
    <row r="262" spans="1:75">
      <c r="A262" t="s">
        <v>288</v>
      </c>
      <c r="B262" t="str">
        <f>SUM('Desempeño profesional'!B263:K263)</f>
        <v>0</v>
      </c>
      <c r="C262" t="str">
        <f>IF(B262&lt;=$S$19,"Deficiente",IF(B262&lt;=$S$20,"Regular",IF(B262&lt;=$S$21,"Eficiente",0)))</f>
        <v>0</v>
      </c>
      <c r="D262" t="str">
        <f>SUM('Desempeño profesional'!L263:AD263)</f>
        <v>0</v>
      </c>
      <c r="E262" t="str">
        <f>IF(D262&lt;=$AE$19,"Deficiente",IF(D262&lt;=$AE$20,"Regular",IF(D262&lt;=$AE$21,"Eficiente",0)))</f>
        <v>0</v>
      </c>
      <c r="F262" t="str">
        <f>SUM('Desempeño profesional'!AE263:AJ263)</f>
        <v>0</v>
      </c>
      <c r="G262" t="str">
        <f>IF(F262&lt;=$AQ$19,"Deficiente",IF(F262&lt;=$AQ$20,"Regular",IF(F262&lt;=$AQ$21,"Eficiente",0)))</f>
        <v>0</v>
      </c>
      <c r="H262" t="str">
        <f>SUM('Desempeño profesional'!AK263:AO263)</f>
        <v>0</v>
      </c>
      <c r="I262" t="str">
        <f>IF(H262&lt;=$BC$19,"Deficiente",IF(H262&lt;=$BC$20,"Regular",IF(H262&lt;=$BC$21,"Eficiente",0)))</f>
        <v>0</v>
      </c>
      <c r="J262" t="str">
        <f>SUM(B262:H262)</f>
        <v>0</v>
      </c>
      <c r="K262" t="str">
        <f>IF(J262&lt;=$BO$19,"Deficiente",IF(J262&lt;=$BO$20,"Regular",IF(J262&lt;=$BO$21,"Eficiente",0)))</f>
        <v>0</v>
      </c>
    </row>
    <row r="263" spans="1:75">
      <c r="A263" t="s">
        <v>289</v>
      </c>
      <c r="B263" t="str">
        <f>SUM('Desempeño profesional'!B264:K264)</f>
        <v>0</v>
      </c>
      <c r="C263" t="str">
        <f>IF(B263&lt;=$S$19,"Deficiente",IF(B263&lt;=$S$20,"Regular",IF(B263&lt;=$S$21,"Eficiente",0)))</f>
        <v>0</v>
      </c>
      <c r="D263" t="str">
        <f>SUM('Desempeño profesional'!L264:AD264)</f>
        <v>0</v>
      </c>
      <c r="E263" t="str">
        <f>IF(D263&lt;=$AE$19,"Deficiente",IF(D263&lt;=$AE$20,"Regular",IF(D263&lt;=$AE$21,"Eficiente",0)))</f>
        <v>0</v>
      </c>
      <c r="F263" t="str">
        <f>SUM('Desempeño profesional'!AE264:AJ264)</f>
        <v>0</v>
      </c>
      <c r="G263" t="str">
        <f>IF(F263&lt;=$AQ$19,"Deficiente",IF(F263&lt;=$AQ$20,"Regular",IF(F263&lt;=$AQ$21,"Eficiente",0)))</f>
        <v>0</v>
      </c>
      <c r="H263" t="str">
        <f>SUM('Desempeño profesional'!AK264:AO264)</f>
        <v>0</v>
      </c>
      <c r="I263" t="str">
        <f>IF(H263&lt;=$BC$19,"Deficiente",IF(H263&lt;=$BC$20,"Regular",IF(H263&lt;=$BC$21,"Eficiente",0)))</f>
        <v>0</v>
      </c>
      <c r="J263" t="str">
        <f>SUM(B263:H263)</f>
        <v>0</v>
      </c>
      <c r="K263" t="str">
        <f>IF(J263&lt;=$BO$19,"Deficiente",IF(J263&lt;=$BO$20,"Regular",IF(J263&lt;=$BO$21,"Eficiente",0)))</f>
        <v>0</v>
      </c>
    </row>
    <row r="264" spans="1:75">
      <c r="A264" t="s">
        <v>290</v>
      </c>
      <c r="B264" t="str">
        <f>SUM('Desempeño profesional'!B265:K265)</f>
        <v>0</v>
      </c>
      <c r="C264" t="str">
        <f>IF(B264&lt;=$S$19,"Deficiente",IF(B264&lt;=$S$20,"Regular",IF(B264&lt;=$S$21,"Eficiente",0)))</f>
        <v>0</v>
      </c>
      <c r="D264" t="str">
        <f>SUM('Desempeño profesional'!L265:AD265)</f>
        <v>0</v>
      </c>
      <c r="E264" t="str">
        <f>IF(D264&lt;=$AE$19,"Deficiente",IF(D264&lt;=$AE$20,"Regular",IF(D264&lt;=$AE$21,"Eficiente",0)))</f>
        <v>0</v>
      </c>
      <c r="F264" t="str">
        <f>SUM('Desempeño profesional'!AE265:AJ265)</f>
        <v>0</v>
      </c>
      <c r="G264" t="str">
        <f>IF(F264&lt;=$AQ$19,"Deficiente",IF(F264&lt;=$AQ$20,"Regular",IF(F264&lt;=$AQ$21,"Eficiente",0)))</f>
        <v>0</v>
      </c>
      <c r="H264" t="str">
        <f>SUM('Desempeño profesional'!AK265:AO265)</f>
        <v>0</v>
      </c>
      <c r="I264" t="str">
        <f>IF(H264&lt;=$BC$19,"Deficiente",IF(H264&lt;=$BC$20,"Regular",IF(H264&lt;=$BC$21,"Eficiente",0)))</f>
        <v>0</v>
      </c>
      <c r="J264" t="str">
        <f>SUM(B264:H264)</f>
        <v>0</v>
      </c>
      <c r="K264" t="str">
        <f>IF(J264&lt;=$BO$19,"Deficiente",IF(J264&lt;=$BO$20,"Regular",IF(J264&lt;=$BO$21,"Eficiente",0)))</f>
        <v>0</v>
      </c>
    </row>
    <row r="265" spans="1:75">
      <c r="A265" t="s">
        <v>291</v>
      </c>
      <c r="B265" t="str">
        <f>SUM('Desempeño profesional'!B266:K266)</f>
        <v>0</v>
      </c>
      <c r="C265" t="str">
        <f>IF(B265&lt;=$S$19,"Deficiente",IF(B265&lt;=$S$20,"Regular",IF(B265&lt;=$S$21,"Eficiente",0)))</f>
        <v>0</v>
      </c>
      <c r="D265" t="str">
        <f>SUM('Desempeño profesional'!L266:AD266)</f>
        <v>0</v>
      </c>
      <c r="E265" t="str">
        <f>IF(D265&lt;=$AE$19,"Deficiente",IF(D265&lt;=$AE$20,"Regular",IF(D265&lt;=$AE$21,"Eficiente",0)))</f>
        <v>0</v>
      </c>
      <c r="F265" t="str">
        <f>SUM('Desempeño profesional'!AE266:AJ266)</f>
        <v>0</v>
      </c>
      <c r="G265" t="str">
        <f>IF(F265&lt;=$AQ$19,"Deficiente",IF(F265&lt;=$AQ$20,"Regular",IF(F265&lt;=$AQ$21,"Eficiente",0)))</f>
        <v>0</v>
      </c>
      <c r="H265" t="str">
        <f>SUM('Desempeño profesional'!AK266:AO266)</f>
        <v>0</v>
      </c>
      <c r="I265" t="str">
        <f>IF(H265&lt;=$BC$19,"Deficiente",IF(H265&lt;=$BC$20,"Regular",IF(H265&lt;=$BC$21,"Eficiente",0)))</f>
        <v>0</v>
      </c>
      <c r="J265" t="str">
        <f>SUM(B265:H265)</f>
        <v>0</v>
      </c>
      <c r="K265" t="str">
        <f>IF(J265&lt;=$BO$19,"Deficiente",IF(J265&lt;=$BO$20,"Regular",IF(J265&lt;=$BO$21,"Eficiente",0)))</f>
        <v>0</v>
      </c>
    </row>
    <row r="266" spans="1:75">
      <c r="A266" t="s">
        <v>292</v>
      </c>
      <c r="B266" t="str">
        <f>SUM('Desempeño profesional'!B267:K267)</f>
        <v>0</v>
      </c>
      <c r="C266" t="str">
        <f>IF(B266&lt;=$S$19,"Deficiente",IF(B266&lt;=$S$20,"Regular",IF(B266&lt;=$S$21,"Eficiente",0)))</f>
        <v>0</v>
      </c>
      <c r="D266" t="str">
        <f>SUM('Desempeño profesional'!L267:AD267)</f>
        <v>0</v>
      </c>
      <c r="E266" t="str">
        <f>IF(D266&lt;=$AE$19,"Deficiente",IF(D266&lt;=$AE$20,"Regular",IF(D266&lt;=$AE$21,"Eficiente",0)))</f>
        <v>0</v>
      </c>
      <c r="F266" t="str">
        <f>SUM('Desempeño profesional'!AE267:AJ267)</f>
        <v>0</v>
      </c>
      <c r="G266" t="str">
        <f>IF(F266&lt;=$AQ$19,"Deficiente",IF(F266&lt;=$AQ$20,"Regular",IF(F266&lt;=$AQ$21,"Eficiente",0)))</f>
        <v>0</v>
      </c>
      <c r="H266" t="str">
        <f>SUM('Desempeño profesional'!AK267:AO267)</f>
        <v>0</v>
      </c>
      <c r="I266" t="str">
        <f>IF(H266&lt;=$BC$19,"Deficiente",IF(H266&lt;=$BC$20,"Regular",IF(H266&lt;=$BC$21,"Eficiente",0)))</f>
        <v>0</v>
      </c>
      <c r="J266" t="str">
        <f>SUM(B266:H266)</f>
        <v>0</v>
      </c>
      <c r="K266" t="str">
        <f>IF(J266&lt;=$BO$19,"Deficiente",IF(J266&lt;=$BO$20,"Regular",IF(J266&lt;=$BO$21,"Eficiente",0)))</f>
        <v>0</v>
      </c>
    </row>
    <row r="267" spans="1:75">
      <c r="A267" t="s">
        <v>293</v>
      </c>
      <c r="B267" t="str">
        <f>SUM('Desempeño profesional'!B268:K268)</f>
        <v>0</v>
      </c>
      <c r="C267" t="str">
        <f>IF(B267&lt;=$S$19,"Deficiente",IF(B267&lt;=$S$20,"Regular",IF(B267&lt;=$S$21,"Eficiente",0)))</f>
        <v>0</v>
      </c>
      <c r="D267" t="str">
        <f>SUM('Desempeño profesional'!L268:AD268)</f>
        <v>0</v>
      </c>
      <c r="E267" t="str">
        <f>IF(D267&lt;=$AE$19,"Deficiente",IF(D267&lt;=$AE$20,"Regular",IF(D267&lt;=$AE$21,"Eficiente",0)))</f>
        <v>0</v>
      </c>
      <c r="F267" t="str">
        <f>SUM('Desempeño profesional'!AE268:AJ268)</f>
        <v>0</v>
      </c>
      <c r="G267" t="str">
        <f>IF(F267&lt;=$AQ$19,"Deficiente",IF(F267&lt;=$AQ$20,"Regular",IF(F267&lt;=$AQ$21,"Eficiente",0)))</f>
        <v>0</v>
      </c>
      <c r="H267" t="str">
        <f>SUM('Desempeño profesional'!AK268:AO268)</f>
        <v>0</v>
      </c>
      <c r="I267" t="str">
        <f>IF(H267&lt;=$BC$19,"Deficiente",IF(H267&lt;=$BC$20,"Regular",IF(H267&lt;=$BC$21,"Eficiente",0)))</f>
        <v>0</v>
      </c>
      <c r="J267" t="str">
        <f>SUM(B267:H267)</f>
        <v>0</v>
      </c>
      <c r="K267" t="str">
        <f>IF(J267&lt;=$BO$19,"Deficiente",IF(J267&lt;=$BO$20,"Regular",IF(J267&lt;=$BO$21,"Eficiente",0)))</f>
        <v>0</v>
      </c>
    </row>
    <row r="268" spans="1:75">
      <c r="A268" t="s">
        <v>294</v>
      </c>
      <c r="B268" t="str">
        <f>SUM('Desempeño profesional'!B269:K269)</f>
        <v>0</v>
      </c>
      <c r="C268" t="str">
        <f>IF(B268&lt;=$S$19,"Deficiente",IF(B268&lt;=$S$20,"Regular",IF(B268&lt;=$S$21,"Eficiente",0)))</f>
        <v>0</v>
      </c>
      <c r="D268" t="str">
        <f>SUM('Desempeño profesional'!L269:AD269)</f>
        <v>0</v>
      </c>
      <c r="E268" t="str">
        <f>IF(D268&lt;=$AE$19,"Deficiente",IF(D268&lt;=$AE$20,"Regular",IF(D268&lt;=$AE$21,"Eficiente",0)))</f>
        <v>0</v>
      </c>
      <c r="F268" t="str">
        <f>SUM('Desempeño profesional'!AE269:AJ269)</f>
        <v>0</v>
      </c>
      <c r="G268" t="str">
        <f>IF(F268&lt;=$AQ$19,"Deficiente",IF(F268&lt;=$AQ$20,"Regular",IF(F268&lt;=$AQ$21,"Eficiente",0)))</f>
        <v>0</v>
      </c>
      <c r="H268" t="str">
        <f>SUM('Desempeño profesional'!AK269:AO269)</f>
        <v>0</v>
      </c>
      <c r="I268" t="str">
        <f>IF(H268&lt;=$BC$19,"Deficiente",IF(H268&lt;=$BC$20,"Regular",IF(H268&lt;=$BC$21,"Eficiente",0)))</f>
        <v>0</v>
      </c>
      <c r="J268" t="str">
        <f>SUM(B268:H268)</f>
        <v>0</v>
      </c>
      <c r="K268" t="str">
        <f>IF(J268&lt;=$BO$19,"Deficiente",IF(J268&lt;=$BO$20,"Regular",IF(J268&lt;=$BO$21,"Eficiente",0)))</f>
        <v>0</v>
      </c>
    </row>
    <row r="269" spans="1:75">
      <c r="A269" t="s">
        <v>295</v>
      </c>
      <c r="B269" t="str">
        <f>SUM('Desempeño profesional'!B270:K270)</f>
        <v>0</v>
      </c>
      <c r="C269" t="str">
        <f>IF(B269&lt;=$S$19,"Deficiente",IF(B269&lt;=$S$20,"Regular",IF(B269&lt;=$S$21,"Eficiente",0)))</f>
        <v>0</v>
      </c>
      <c r="D269" t="str">
        <f>SUM('Desempeño profesional'!L270:AD270)</f>
        <v>0</v>
      </c>
      <c r="E269" t="str">
        <f>IF(D269&lt;=$AE$19,"Deficiente",IF(D269&lt;=$AE$20,"Regular",IF(D269&lt;=$AE$21,"Eficiente",0)))</f>
        <v>0</v>
      </c>
      <c r="F269" t="str">
        <f>SUM('Desempeño profesional'!AE270:AJ270)</f>
        <v>0</v>
      </c>
      <c r="G269" t="str">
        <f>IF(F269&lt;=$AQ$19,"Deficiente",IF(F269&lt;=$AQ$20,"Regular",IF(F269&lt;=$AQ$21,"Eficiente",0)))</f>
        <v>0</v>
      </c>
      <c r="H269" t="str">
        <f>SUM('Desempeño profesional'!AK270:AO270)</f>
        <v>0</v>
      </c>
      <c r="I269" t="str">
        <f>IF(H269&lt;=$BC$19,"Deficiente",IF(H269&lt;=$BC$20,"Regular",IF(H269&lt;=$BC$21,"Eficiente",0)))</f>
        <v>0</v>
      </c>
      <c r="J269" t="str">
        <f>SUM(B269:H269)</f>
        <v>0</v>
      </c>
      <c r="K269" t="str">
        <f>IF(J269&lt;=$BO$19,"Deficiente",IF(J269&lt;=$BO$20,"Regular",IF(J269&lt;=$BO$21,"Eficiente",0)))</f>
        <v>0</v>
      </c>
    </row>
    <row r="270" spans="1:75">
      <c r="A270" t="s">
        <v>296</v>
      </c>
      <c r="B270" t="str">
        <f>SUM('Desempeño profesional'!B271:K271)</f>
        <v>0</v>
      </c>
      <c r="C270" t="str">
        <f>IF(B270&lt;=$S$19,"Deficiente",IF(B270&lt;=$S$20,"Regular",IF(B270&lt;=$S$21,"Eficiente",0)))</f>
        <v>0</v>
      </c>
      <c r="D270" t="str">
        <f>SUM('Desempeño profesional'!L271:AD271)</f>
        <v>0</v>
      </c>
      <c r="E270" t="str">
        <f>IF(D270&lt;=$AE$19,"Deficiente",IF(D270&lt;=$AE$20,"Regular",IF(D270&lt;=$AE$21,"Eficiente",0)))</f>
        <v>0</v>
      </c>
      <c r="F270" t="str">
        <f>SUM('Desempeño profesional'!AE271:AJ271)</f>
        <v>0</v>
      </c>
      <c r="G270" t="str">
        <f>IF(F270&lt;=$AQ$19,"Deficiente",IF(F270&lt;=$AQ$20,"Regular",IF(F270&lt;=$AQ$21,"Eficiente",0)))</f>
        <v>0</v>
      </c>
      <c r="H270" t="str">
        <f>SUM('Desempeño profesional'!AK271:AO271)</f>
        <v>0</v>
      </c>
      <c r="I270" t="str">
        <f>IF(H270&lt;=$BC$19,"Deficiente",IF(H270&lt;=$BC$20,"Regular",IF(H270&lt;=$BC$21,"Eficiente",0)))</f>
        <v>0</v>
      </c>
      <c r="J270" t="str">
        <f>SUM(B270:H270)</f>
        <v>0</v>
      </c>
      <c r="K270" t="str">
        <f>IF(J270&lt;=$BO$19,"Deficiente",IF(J270&lt;=$BO$20,"Regular",IF(J270&lt;=$BO$21,"Eficiente",0)))</f>
        <v>0</v>
      </c>
    </row>
    <row r="271" spans="1:75">
      <c r="A271" t="s">
        <v>297</v>
      </c>
      <c r="B271" t="str">
        <f>SUM('Desempeño profesional'!B272:K272)</f>
        <v>0</v>
      </c>
      <c r="C271" t="str">
        <f>IF(B271&lt;=$S$19,"Deficiente",IF(B271&lt;=$S$20,"Regular",IF(B271&lt;=$S$21,"Eficiente",0)))</f>
        <v>0</v>
      </c>
      <c r="D271" t="str">
        <f>SUM('Desempeño profesional'!L272:AD272)</f>
        <v>0</v>
      </c>
      <c r="E271" t="str">
        <f>IF(D271&lt;=$AE$19,"Deficiente",IF(D271&lt;=$AE$20,"Regular",IF(D271&lt;=$AE$21,"Eficiente",0)))</f>
        <v>0</v>
      </c>
      <c r="F271" t="str">
        <f>SUM('Desempeño profesional'!AE272:AJ272)</f>
        <v>0</v>
      </c>
      <c r="G271" t="str">
        <f>IF(F271&lt;=$AQ$19,"Deficiente",IF(F271&lt;=$AQ$20,"Regular",IF(F271&lt;=$AQ$21,"Eficiente",0)))</f>
        <v>0</v>
      </c>
      <c r="H271" t="str">
        <f>SUM('Desempeño profesional'!AK272:AO272)</f>
        <v>0</v>
      </c>
      <c r="I271" t="str">
        <f>IF(H271&lt;=$BC$19,"Deficiente",IF(H271&lt;=$BC$20,"Regular",IF(H271&lt;=$BC$21,"Eficiente",0)))</f>
        <v>0</v>
      </c>
      <c r="J271" t="str">
        <f>SUM(B271:H271)</f>
        <v>0</v>
      </c>
      <c r="K271" t="str">
        <f>IF(J271&lt;=$BO$19,"Deficiente",IF(J271&lt;=$BO$20,"Regular",IF(J271&lt;=$BO$21,"Eficiente",0)))</f>
        <v>0</v>
      </c>
    </row>
    <row r="272" spans="1:75">
      <c r="A272" t="s">
        <v>298</v>
      </c>
      <c r="B272" t="str">
        <f>SUM('Desempeño profesional'!B273:K273)</f>
        <v>0</v>
      </c>
      <c r="C272" t="str">
        <f>IF(B272&lt;=$S$19,"Deficiente",IF(B272&lt;=$S$20,"Regular",IF(B272&lt;=$S$21,"Eficiente",0)))</f>
        <v>0</v>
      </c>
      <c r="D272" t="str">
        <f>SUM('Desempeño profesional'!L273:AD273)</f>
        <v>0</v>
      </c>
      <c r="E272" t="str">
        <f>IF(D272&lt;=$AE$19,"Deficiente",IF(D272&lt;=$AE$20,"Regular",IF(D272&lt;=$AE$21,"Eficiente",0)))</f>
        <v>0</v>
      </c>
      <c r="F272" t="str">
        <f>SUM('Desempeño profesional'!AE273:AJ273)</f>
        <v>0</v>
      </c>
      <c r="G272" t="str">
        <f>IF(F272&lt;=$AQ$19,"Deficiente",IF(F272&lt;=$AQ$20,"Regular",IF(F272&lt;=$AQ$21,"Eficiente",0)))</f>
        <v>0</v>
      </c>
      <c r="H272" t="str">
        <f>SUM('Desempeño profesional'!AK273:AO273)</f>
        <v>0</v>
      </c>
      <c r="I272" t="str">
        <f>IF(H272&lt;=$BC$19,"Deficiente",IF(H272&lt;=$BC$20,"Regular",IF(H272&lt;=$BC$21,"Eficiente",0)))</f>
        <v>0</v>
      </c>
      <c r="J272" t="str">
        <f>SUM(B272:H272)</f>
        <v>0</v>
      </c>
      <c r="K272" t="str">
        <f>IF(J272&lt;=$BO$19,"Deficiente",IF(J272&lt;=$BO$20,"Regular",IF(J272&lt;=$BO$21,"Eficiente",0)))</f>
        <v>0</v>
      </c>
    </row>
    <row r="273" spans="1:75">
      <c r="A273" t="s">
        <v>299</v>
      </c>
      <c r="B273" t="str">
        <f>SUM('Desempeño profesional'!B274:K274)</f>
        <v>0</v>
      </c>
      <c r="C273" t="str">
        <f>IF(B273&lt;=$S$19,"Deficiente",IF(B273&lt;=$S$20,"Regular",IF(B273&lt;=$S$21,"Eficiente",0)))</f>
        <v>0</v>
      </c>
      <c r="D273" t="str">
        <f>SUM('Desempeño profesional'!L274:AD274)</f>
        <v>0</v>
      </c>
      <c r="E273" t="str">
        <f>IF(D273&lt;=$AE$19,"Deficiente",IF(D273&lt;=$AE$20,"Regular",IF(D273&lt;=$AE$21,"Eficiente",0)))</f>
        <v>0</v>
      </c>
      <c r="F273" t="str">
        <f>SUM('Desempeño profesional'!AE274:AJ274)</f>
        <v>0</v>
      </c>
      <c r="G273" t="str">
        <f>IF(F273&lt;=$AQ$19,"Deficiente",IF(F273&lt;=$AQ$20,"Regular",IF(F273&lt;=$AQ$21,"Eficiente",0)))</f>
        <v>0</v>
      </c>
      <c r="H273" t="str">
        <f>SUM('Desempeño profesional'!AK274:AO274)</f>
        <v>0</v>
      </c>
      <c r="I273" t="str">
        <f>IF(H273&lt;=$BC$19,"Deficiente",IF(H273&lt;=$BC$20,"Regular",IF(H273&lt;=$BC$21,"Eficiente",0)))</f>
        <v>0</v>
      </c>
      <c r="J273" t="str">
        <f>SUM(B273:H273)</f>
        <v>0</v>
      </c>
      <c r="K273" t="str">
        <f>IF(J273&lt;=$BO$19,"Deficiente",IF(J273&lt;=$BO$20,"Regular",IF(J273&lt;=$BO$21,"Eficiente",0)))</f>
        <v>0</v>
      </c>
    </row>
    <row r="274" spans="1:75">
      <c r="A274" t="s">
        <v>300</v>
      </c>
      <c r="B274" t="str">
        <f>SUM('Desempeño profesional'!B275:K275)</f>
        <v>0</v>
      </c>
      <c r="C274" t="str">
        <f>IF(B274&lt;=$S$19,"Deficiente",IF(B274&lt;=$S$20,"Regular",IF(B274&lt;=$S$21,"Eficiente",0)))</f>
        <v>0</v>
      </c>
      <c r="D274" t="str">
        <f>SUM('Desempeño profesional'!L275:AD275)</f>
        <v>0</v>
      </c>
      <c r="E274" t="str">
        <f>IF(D274&lt;=$AE$19,"Deficiente",IF(D274&lt;=$AE$20,"Regular",IF(D274&lt;=$AE$21,"Eficiente",0)))</f>
        <v>0</v>
      </c>
      <c r="F274" t="str">
        <f>SUM('Desempeño profesional'!AE275:AJ275)</f>
        <v>0</v>
      </c>
      <c r="G274" t="str">
        <f>IF(F274&lt;=$AQ$19,"Deficiente",IF(F274&lt;=$AQ$20,"Regular",IF(F274&lt;=$AQ$21,"Eficiente",0)))</f>
        <v>0</v>
      </c>
      <c r="H274" t="str">
        <f>SUM('Desempeño profesional'!AK275:AO275)</f>
        <v>0</v>
      </c>
      <c r="I274" t="str">
        <f>IF(H274&lt;=$BC$19,"Deficiente",IF(H274&lt;=$BC$20,"Regular",IF(H274&lt;=$BC$21,"Eficiente",0)))</f>
        <v>0</v>
      </c>
      <c r="J274" t="str">
        <f>SUM(B274:H274)</f>
        <v>0</v>
      </c>
      <c r="K274" t="str">
        <f>IF(J274&lt;=$BO$19,"Deficiente",IF(J274&lt;=$BO$20,"Regular",IF(J274&lt;=$BO$21,"Eficiente",0)))</f>
        <v>0</v>
      </c>
    </row>
    <row r="275" spans="1:75">
      <c r="A275" t="s">
        <v>301</v>
      </c>
      <c r="B275" t="str">
        <f>SUM('Desempeño profesional'!B276:K276)</f>
        <v>0</v>
      </c>
      <c r="C275" t="str">
        <f>IF(B275&lt;=$S$19,"Deficiente",IF(B275&lt;=$S$20,"Regular",IF(B275&lt;=$S$21,"Eficiente",0)))</f>
        <v>0</v>
      </c>
      <c r="D275" t="str">
        <f>SUM('Desempeño profesional'!L276:AD276)</f>
        <v>0</v>
      </c>
      <c r="E275" t="str">
        <f>IF(D275&lt;=$AE$19,"Deficiente",IF(D275&lt;=$AE$20,"Regular",IF(D275&lt;=$AE$21,"Eficiente",0)))</f>
        <v>0</v>
      </c>
      <c r="F275" t="str">
        <f>SUM('Desempeño profesional'!AE276:AJ276)</f>
        <v>0</v>
      </c>
      <c r="G275" t="str">
        <f>IF(F275&lt;=$AQ$19,"Deficiente",IF(F275&lt;=$AQ$20,"Regular",IF(F275&lt;=$AQ$21,"Eficiente",0)))</f>
        <v>0</v>
      </c>
      <c r="H275" t="str">
        <f>SUM('Desempeño profesional'!AK276:AO276)</f>
        <v>0</v>
      </c>
      <c r="I275" t="str">
        <f>IF(H275&lt;=$BC$19,"Deficiente",IF(H275&lt;=$BC$20,"Regular",IF(H275&lt;=$BC$21,"Eficiente",0)))</f>
        <v>0</v>
      </c>
      <c r="J275" t="str">
        <f>SUM(B275:H275)</f>
        <v>0</v>
      </c>
      <c r="K275" t="str">
        <f>IF(J275&lt;=$BO$19,"Deficiente",IF(J275&lt;=$BO$20,"Regular",IF(J275&lt;=$BO$21,"Eficiente",0)))</f>
        <v>0</v>
      </c>
    </row>
    <row r="276" spans="1:75">
      <c r="A276" t="s">
        <v>302</v>
      </c>
      <c r="B276" t="str">
        <f>SUM('Desempeño profesional'!B277:K277)</f>
        <v>0</v>
      </c>
      <c r="C276" t="str">
        <f>IF(B276&lt;=$S$19,"Deficiente",IF(B276&lt;=$S$20,"Regular",IF(B276&lt;=$S$21,"Eficiente",0)))</f>
        <v>0</v>
      </c>
      <c r="D276" t="str">
        <f>SUM('Desempeño profesional'!L277:AD277)</f>
        <v>0</v>
      </c>
      <c r="E276" t="str">
        <f>IF(D276&lt;=$AE$19,"Deficiente",IF(D276&lt;=$AE$20,"Regular",IF(D276&lt;=$AE$21,"Eficiente",0)))</f>
        <v>0</v>
      </c>
      <c r="F276" t="str">
        <f>SUM('Desempeño profesional'!AE277:AJ277)</f>
        <v>0</v>
      </c>
      <c r="G276" t="str">
        <f>IF(F276&lt;=$AQ$19,"Deficiente",IF(F276&lt;=$AQ$20,"Regular",IF(F276&lt;=$AQ$21,"Eficiente",0)))</f>
        <v>0</v>
      </c>
      <c r="H276" t="str">
        <f>SUM('Desempeño profesional'!AK277:AO277)</f>
        <v>0</v>
      </c>
      <c r="I276" t="str">
        <f>IF(H276&lt;=$BC$19,"Deficiente",IF(H276&lt;=$BC$20,"Regular",IF(H276&lt;=$BC$21,"Eficiente",0)))</f>
        <v>0</v>
      </c>
      <c r="J276" t="str">
        <f>SUM(B276:H276)</f>
        <v>0</v>
      </c>
      <c r="K276" t="str">
        <f>IF(J276&lt;=$BO$19,"Deficiente",IF(J276&lt;=$BO$20,"Regular",IF(J276&lt;=$BO$21,"Eficiente",0)))</f>
        <v>0</v>
      </c>
    </row>
    <row r="277" spans="1:75">
      <c r="A277" t="s">
        <v>303</v>
      </c>
      <c r="B277" t="str">
        <f>SUM('Desempeño profesional'!B278:K278)</f>
        <v>0</v>
      </c>
      <c r="C277" t="str">
        <f>IF(B277&lt;=$S$19,"Deficiente",IF(B277&lt;=$S$20,"Regular",IF(B277&lt;=$S$21,"Eficiente",0)))</f>
        <v>0</v>
      </c>
      <c r="D277" t="str">
        <f>SUM('Desempeño profesional'!L278:AD278)</f>
        <v>0</v>
      </c>
      <c r="E277" t="str">
        <f>IF(D277&lt;=$AE$19,"Deficiente",IF(D277&lt;=$AE$20,"Regular",IF(D277&lt;=$AE$21,"Eficiente",0)))</f>
        <v>0</v>
      </c>
      <c r="F277" t="str">
        <f>SUM('Desempeño profesional'!AE278:AJ278)</f>
        <v>0</v>
      </c>
      <c r="G277" t="str">
        <f>IF(F277&lt;=$AQ$19,"Deficiente",IF(F277&lt;=$AQ$20,"Regular",IF(F277&lt;=$AQ$21,"Eficiente",0)))</f>
        <v>0</v>
      </c>
      <c r="H277" t="str">
        <f>SUM('Desempeño profesional'!AK278:AO278)</f>
        <v>0</v>
      </c>
      <c r="I277" t="str">
        <f>IF(H277&lt;=$BC$19,"Deficiente",IF(H277&lt;=$BC$20,"Regular",IF(H277&lt;=$BC$21,"Eficiente",0)))</f>
        <v>0</v>
      </c>
      <c r="J277" t="str">
        <f>SUM(B277:H277)</f>
        <v>0</v>
      </c>
      <c r="K277" t="str">
        <f>IF(J277&lt;=$BO$19,"Deficiente",IF(J277&lt;=$BO$20,"Regular",IF(J277&lt;=$BO$21,"Eficiente",0)))</f>
        <v>0</v>
      </c>
    </row>
    <row r="278" spans="1:75">
      <c r="A278" t="s">
        <v>304</v>
      </c>
      <c r="B278" t="str">
        <f>SUM('Desempeño profesional'!B279:K279)</f>
        <v>0</v>
      </c>
      <c r="C278" t="str">
        <f>IF(B278&lt;=$S$19,"Deficiente",IF(B278&lt;=$S$20,"Regular",IF(B278&lt;=$S$21,"Eficiente",0)))</f>
        <v>0</v>
      </c>
      <c r="D278" t="str">
        <f>SUM('Desempeño profesional'!L279:AD279)</f>
        <v>0</v>
      </c>
      <c r="E278" t="str">
        <f>IF(D278&lt;=$AE$19,"Deficiente",IF(D278&lt;=$AE$20,"Regular",IF(D278&lt;=$AE$21,"Eficiente",0)))</f>
        <v>0</v>
      </c>
      <c r="F278" t="str">
        <f>SUM('Desempeño profesional'!AE279:AJ279)</f>
        <v>0</v>
      </c>
      <c r="G278" t="str">
        <f>IF(F278&lt;=$AQ$19,"Deficiente",IF(F278&lt;=$AQ$20,"Regular",IF(F278&lt;=$AQ$21,"Eficiente",0)))</f>
        <v>0</v>
      </c>
      <c r="H278" t="str">
        <f>SUM('Desempeño profesional'!AK279:AO279)</f>
        <v>0</v>
      </c>
      <c r="I278" t="str">
        <f>IF(H278&lt;=$BC$19,"Deficiente",IF(H278&lt;=$BC$20,"Regular",IF(H278&lt;=$BC$21,"Eficiente",0)))</f>
        <v>0</v>
      </c>
      <c r="J278" t="str">
        <f>SUM(B278:H278)</f>
        <v>0</v>
      </c>
      <c r="K278" t="str">
        <f>IF(J278&lt;=$BO$19,"Deficiente",IF(J278&lt;=$BO$20,"Regular",IF(J278&lt;=$BO$21,"Eficiente",0)))</f>
        <v>0</v>
      </c>
    </row>
    <row r="279" spans="1:75">
      <c r="A279" t="s">
        <v>305</v>
      </c>
      <c r="B279" t="str">
        <f>SUM('Desempeño profesional'!B280:K280)</f>
        <v>0</v>
      </c>
      <c r="C279" t="str">
        <f>IF(B279&lt;=$S$19,"Deficiente",IF(B279&lt;=$S$20,"Regular",IF(B279&lt;=$S$21,"Eficiente",0)))</f>
        <v>0</v>
      </c>
      <c r="D279" t="str">
        <f>SUM('Desempeño profesional'!L280:AD280)</f>
        <v>0</v>
      </c>
      <c r="E279" t="str">
        <f>IF(D279&lt;=$AE$19,"Deficiente",IF(D279&lt;=$AE$20,"Regular",IF(D279&lt;=$AE$21,"Eficiente",0)))</f>
        <v>0</v>
      </c>
      <c r="F279" t="str">
        <f>SUM('Desempeño profesional'!AE280:AJ280)</f>
        <v>0</v>
      </c>
      <c r="G279" t="str">
        <f>IF(F279&lt;=$AQ$19,"Deficiente",IF(F279&lt;=$AQ$20,"Regular",IF(F279&lt;=$AQ$21,"Eficiente",0)))</f>
        <v>0</v>
      </c>
      <c r="H279" t="str">
        <f>SUM('Desempeño profesional'!AK280:AO280)</f>
        <v>0</v>
      </c>
      <c r="I279" t="str">
        <f>IF(H279&lt;=$BC$19,"Deficiente",IF(H279&lt;=$BC$20,"Regular",IF(H279&lt;=$BC$21,"Eficiente",0)))</f>
        <v>0</v>
      </c>
      <c r="J279" t="str">
        <f>SUM(B279:H279)</f>
        <v>0</v>
      </c>
      <c r="K279" t="str">
        <f>IF(J279&lt;=$BO$19,"Deficiente",IF(J279&lt;=$BO$20,"Regular",IF(J279&lt;=$BO$21,"Eficiente",0)))</f>
        <v>0</v>
      </c>
    </row>
    <row r="280" spans="1:75">
      <c r="A280" t="s">
        <v>306</v>
      </c>
      <c r="B280" t="str">
        <f>SUM('Desempeño profesional'!B281:K281)</f>
        <v>0</v>
      </c>
      <c r="C280" t="str">
        <f>IF(B280&lt;=$S$19,"Deficiente",IF(B280&lt;=$S$20,"Regular",IF(B280&lt;=$S$21,"Eficiente",0)))</f>
        <v>0</v>
      </c>
      <c r="D280" t="str">
        <f>SUM('Desempeño profesional'!L281:AD281)</f>
        <v>0</v>
      </c>
      <c r="E280" t="str">
        <f>IF(D280&lt;=$AE$19,"Deficiente",IF(D280&lt;=$AE$20,"Regular",IF(D280&lt;=$AE$21,"Eficiente",0)))</f>
        <v>0</v>
      </c>
      <c r="F280" t="str">
        <f>SUM('Desempeño profesional'!AE281:AJ281)</f>
        <v>0</v>
      </c>
      <c r="G280" t="str">
        <f>IF(F280&lt;=$AQ$19,"Deficiente",IF(F280&lt;=$AQ$20,"Regular",IF(F280&lt;=$AQ$21,"Eficiente",0)))</f>
        <v>0</v>
      </c>
      <c r="H280" t="str">
        <f>SUM('Desempeño profesional'!AK281:AO281)</f>
        <v>0</v>
      </c>
      <c r="I280" t="str">
        <f>IF(H280&lt;=$BC$19,"Deficiente",IF(H280&lt;=$BC$20,"Regular",IF(H280&lt;=$BC$21,"Eficiente",0)))</f>
        <v>0</v>
      </c>
      <c r="J280" t="str">
        <f>SUM(B280:H280)</f>
        <v>0</v>
      </c>
      <c r="K280" t="str">
        <f>IF(J280&lt;=$BO$19,"Deficiente",IF(J280&lt;=$BO$20,"Regular",IF(J280&lt;=$BO$21,"Eficiente",0)))</f>
        <v>0</v>
      </c>
    </row>
    <row r="281" spans="1:75">
      <c r="A281" t="s">
        <v>307</v>
      </c>
      <c r="B281" t="str">
        <f>SUM('Desempeño profesional'!B282:K282)</f>
        <v>0</v>
      </c>
      <c r="C281" t="str">
        <f>IF(B281&lt;=$S$19,"Deficiente",IF(B281&lt;=$S$20,"Regular",IF(B281&lt;=$S$21,"Eficiente",0)))</f>
        <v>0</v>
      </c>
      <c r="D281" t="str">
        <f>SUM('Desempeño profesional'!L282:AD282)</f>
        <v>0</v>
      </c>
      <c r="E281" t="str">
        <f>IF(D281&lt;=$AE$19,"Deficiente",IF(D281&lt;=$AE$20,"Regular",IF(D281&lt;=$AE$21,"Eficiente",0)))</f>
        <v>0</v>
      </c>
      <c r="F281" t="str">
        <f>SUM('Desempeño profesional'!AE282:AJ282)</f>
        <v>0</v>
      </c>
      <c r="G281" t="str">
        <f>IF(F281&lt;=$AQ$19,"Deficiente",IF(F281&lt;=$AQ$20,"Regular",IF(F281&lt;=$AQ$21,"Eficiente",0)))</f>
        <v>0</v>
      </c>
      <c r="H281" t="str">
        <f>SUM('Desempeño profesional'!AK282:AO282)</f>
        <v>0</v>
      </c>
      <c r="I281" t="str">
        <f>IF(H281&lt;=$BC$19,"Deficiente",IF(H281&lt;=$BC$20,"Regular",IF(H281&lt;=$BC$21,"Eficiente",0)))</f>
        <v>0</v>
      </c>
      <c r="J281" t="str">
        <f>SUM(B281:H281)</f>
        <v>0</v>
      </c>
      <c r="K281" t="str">
        <f>IF(J281&lt;=$BO$19,"Deficiente",IF(J281&lt;=$BO$20,"Regular",IF(J281&lt;=$BO$21,"Eficiente",0)))</f>
        <v>0</v>
      </c>
    </row>
    <row r="282" spans="1:75">
      <c r="A282" t="s">
        <v>308</v>
      </c>
      <c r="B282" t="str">
        <f>SUM('Desempeño profesional'!B283:K283)</f>
        <v>0</v>
      </c>
      <c r="C282" t="str">
        <f>IF(B282&lt;=$S$19,"Deficiente",IF(B282&lt;=$S$20,"Regular",IF(B282&lt;=$S$21,"Eficiente",0)))</f>
        <v>0</v>
      </c>
      <c r="D282" t="str">
        <f>SUM('Desempeño profesional'!L283:AD283)</f>
        <v>0</v>
      </c>
      <c r="E282" t="str">
        <f>IF(D282&lt;=$AE$19,"Deficiente",IF(D282&lt;=$AE$20,"Regular",IF(D282&lt;=$AE$21,"Eficiente",0)))</f>
        <v>0</v>
      </c>
      <c r="F282" t="str">
        <f>SUM('Desempeño profesional'!AE283:AJ283)</f>
        <v>0</v>
      </c>
      <c r="G282" t="str">
        <f>IF(F282&lt;=$AQ$19,"Deficiente",IF(F282&lt;=$AQ$20,"Regular",IF(F282&lt;=$AQ$21,"Eficiente",0)))</f>
        <v>0</v>
      </c>
      <c r="H282" t="str">
        <f>SUM('Desempeño profesional'!AK283:AO283)</f>
        <v>0</v>
      </c>
      <c r="I282" t="str">
        <f>IF(H282&lt;=$BC$19,"Deficiente",IF(H282&lt;=$BC$20,"Regular",IF(H282&lt;=$BC$21,"Eficiente",0)))</f>
        <v>0</v>
      </c>
      <c r="J282" t="str">
        <f>SUM(B282:H282)</f>
        <v>0</v>
      </c>
      <c r="K282" t="str">
        <f>IF(J282&lt;=$BO$19,"Deficiente",IF(J282&lt;=$BO$20,"Regular",IF(J282&lt;=$BO$21,"Eficiente",0)))</f>
        <v>0</v>
      </c>
    </row>
    <row r="283" spans="1:75">
      <c r="A283" t="s">
        <v>309</v>
      </c>
      <c r="B283" t="str">
        <f>SUM('Desempeño profesional'!B284:K284)</f>
        <v>0</v>
      </c>
      <c r="C283" t="str">
        <f>IF(B283&lt;=$S$19,"Deficiente",IF(B283&lt;=$S$20,"Regular",IF(B283&lt;=$S$21,"Eficiente",0)))</f>
        <v>0</v>
      </c>
      <c r="D283" t="str">
        <f>SUM('Desempeño profesional'!L284:AD284)</f>
        <v>0</v>
      </c>
      <c r="E283" t="str">
        <f>IF(D283&lt;=$AE$19,"Deficiente",IF(D283&lt;=$AE$20,"Regular",IF(D283&lt;=$AE$21,"Eficiente",0)))</f>
        <v>0</v>
      </c>
      <c r="F283" t="str">
        <f>SUM('Desempeño profesional'!AE284:AJ284)</f>
        <v>0</v>
      </c>
      <c r="G283" t="str">
        <f>IF(F283&lt;=$AQ$19,"Deficiente",IF(F283&lt;=$AQ$20,"Regular",IF(F283&lt;=$AQ$21,"Eficiente",0)))</f>
        <v>0</v>
      </c>
      <c r="H283" t="str">
        <f>SUM('Desempeño profesional'!AK284:AO284)</f>
        <v>0</v>
      </c>
      <c r="I283" t="str">
        <f>IF(H283&lt;=$BC$19,"Deficiente",IF(H283&lt;=$BC$20,"Regular",IF(H283&lt;=$BC$21,"Eficiente",0)))</f>
        <v>0</v>
      </c>
      <c r="J283" t="str">
        <f>SUM(B283:H283)</f>
        <v>0</v>
      </c>
      <c r="K283" t="str">
        <f>IF(J283&lt;=$BO$19,"Deficiente",IF(J283&lt;=$BO$20,"Regular",IF(J283&lt;=$BO$21,"Eficiente",0)))</f>
        <v>0</v>
      </c>
    </row>
    <row r="284" spans="1:75">
      <c r="A284" t="s">
        <v>310</v>
      </c>
      <c r="B284" t="str">
        <f>SUM('Desempeño profesional'!B285:K285)</f>
        <v>0</v>
      </c>
      <c r="C284" t="str">
        <f>IF(B284&lt;=$S$19,"Deficiente",IF(B284&lt;=$S$20,"Regular",IF(B284&lt;=$S$21,"Eficiente",0)))</f>
        <v>0</v>
      </c>
      <c r="D284" t="str">
        <f>SUM('Desempeño profesional'!L285:AD285)</f>
        <v>0</v>
      </c>
      <c r="E284" t="str">
        <f>IF(D284&lt;=$AE$19,"Deficiente",IF(D284&lt;=$AE$20,"Regular",IF(D284&lt;=$AE$21,"Eficiente",0)))</f>
        <v>0</v>
      </c>
      <c r="F284" t="str">
        <f>SUM('Desempeño profesional'!AE285:AJ285)</f>
        <v>0</v>
      </c>
      <c r="G284" t="str">
        <f>IF(F284&lt;=$AQ$19,"Deficiente",IF(F284&lt;=$AQ$20,"Regular",IF(F284&lt;=$AQ$21,"Eficiente",0)))</f>
        <v>0</v>
      </c>
      <c r="H284" t="str">
        <f>SUM('Desempeño profesional'!AK285:AO285)</f>
        <v>0</v>
      </c>
      <c r="I284" t="str">
        <f>IF(H284&lt;=$BC$19,"Deficiente",IF(H284&lt;=$BC$20,"Regular",IF(H284&lt;=$BC$21,"Eficiente",0)))</f>
        <v>0</v>
      </c>
      <c r="J284" t="str">
        <f>SUM(B284:H284)</f>
        <v>0</v>
      </c>
      <c r="K284" t="str">
        <f>IF(J284&lt;=$BO$19,"Deficiente",IF(J284&lt;=$BO$20,"Regular",IF(J284&lt;=$BO$21,"Eficiente",0)))</f>
        <v>0</v>
      </c>
    </row>
    <row r="285" spans="1:75">
      <c r="A285" t="s">
        <v>311</v>
      </c>
      <c r="B285" t="str">
        <f>SUM('Desempeño profesional'!B286:K286)</f>
        <v>0</v>
      </c>
      <c r="C285" t="str">
        <f>IF(B285&lt;=$S$19,"Deficiente",IF(B285&lt;=$S$20,"Regular",IF(B285&lt;=$S$21,"Eficiente",0)))</f>
        <v>0</v>
      </c>
      <c r="D285" t="str">
        <f>SUM('Desempeño profesional'!L286:AD286)</f>
        <v>0</v>
      </c>
      <c r="E285" t="str">
        <f>IF(D285&lt;=$AE$19,"Deficiente",IF(D285&lt;=$AE$20,"Regular",IF(D285&lt;=$AE$21,"Eficiente",0)))</f>
        <v>0</v>
      </c>
      <c r="F285" t="str">
        <f>SUM('Desempeño profesional'!AE286:AJ286)</f>
        <v>0</v>
      </c>
      <c r="G285" t="str">
        <f>IF(F285&lt;=$AQ$19,"Deficiente",IF(F285&lt;=$AQ$20,"Regular",IF(F285&lt;=$AQ$21,"Eficiente",0)))</f>
        <v>0</v>
      </c>
      <c r="H285" t="str">
        <f>SUM('Desempeño profesional'!AK286:AO286)</f>
        <v>0</v>
      </c>
      <c r="I285" t="str">
        <f>IF(H285&lt;=$BC$19,"Deficiente",IF(H285&lt;=$BC$20,"Regular",IF(H285&lt;=$BC$21,"Eficiente",0)))</f>
        <v>0</v>
      </c>
      <c r="J285" t="str">
        <f>SUM(B285:H285)</f>
        <v>0</v>
      </c>
      <c r="K285" t="str">
        <f>IF(J285&lt;=$BO$19,"Deficiente",IF(J285&lt;=$BO$20,"Regular",IF(J285&lt;=$BO$21,"Eficiente",0)))</f>
        <v>0</v>
      </c>
    </row>
    <row r="286" spans="1:75">
      <c r="A286" t="s">
        <v>312</v>
      </c>
      <c r="B286" t="str">
        <f>SUM('Desempeño profesional'!B287:K287)</f>
        <v>0</v>
      </c>
      <c r="C286" t="str">
        <f>IF(B286&lt;=$S$19,"Deficiente",IF(B286&lt;=$S$20,"Regular",IF(B286&lt;=$S$21,"Eficiente",0)))</f>
        <v>0</v>
      </c>
      <c r="D286" t="str">
        <f>SUM('Desempeño profesional'!L287:AD287)</f>
        <v>0</v>
      </c>
      <c r="E286" t="str">
        <f>IF(D286&lt;=$AE$19,"Deficiente",IF(D286&lt;=$AE$20,"Regular",IF(D286&lt;=$AE$21,"Eficiente",0)))</f>
        <v>0</v>
      </c>
      <c r="F286" t="str">
        <f>SUM('Desempeño profesional'!AE287:AJ287)</f>
        <v>0</v>
      </c>
      <c r="G286" t="str">
        <f>IF(F286&lt;=$AQ$19,"Deficiente",IF(F286&lt;=$AQ$20,"Regular",IF(F286&lt;=$AQ$21,"Eficiente",0)))</f>
        <v>0</v>
      </c>
      <c r="H286" t="str">
        <f>SUM('Desempeño profesional'!AK287:AO287)</f>
        <v>0</v>
      </c>
      <c r="I286" t="str">
        <f>IF(H286&lt;=$BC$19,"Deficiente",IF(H286&lt;=$BC$20,"Regular",IF(H286&lt;=$BC$21,"Eficiente",0)))</f>
        <v>0</v>
      </c>
      <c r="J286" t="str">
        <f>SUM(B286:H286)</f>
        <v>0</v>
      </c>
      <c r="K286" t="str">
        <f>IF(J286&lt;=$BO$19,"Deficiente",IF(J286&lt;=$BO$20,"Regular",IF(J286&lt;=$BO$21,"Eficiente",0)))</f>
        <v>0</v>
      </c>
    </row>
    <row r="287" spans="1:75">
      <c r="A287" t="s">
        <v>313</v>
      </c>
      <c r="B287" t="str">
        <f>SUM('Desempeño profesional'!B288:K288)</f>
        <v>0</v>
      </c>
      <c r="C287" t="str">
        <f>IF(B287&lt;=$S$19,"Deficiente",IF(B287&lt;=$S$20,"Regular",IF(B287&lt;=$S$21,"Eficiente",0)))</f>
        <v>0</v>
      </c>
      <c r="D287" t="str">
        <f>SUM('Desempeño profesional'!L288:AD288)</f>
        <v>0</v>
      </c>
      <c r="E287" t="str">
        <f>IF(D287&lt;=$AE$19,"Deficiente",IF(D287&lt;=$AE$20,"Regular",IF(D287&lt;=$AE$21,"Eficiente",0)))</f>
        <v>0</v>
      </c>
      <c r="F287" t="str">
        <f>SUM('Desempeño profesional'!AE288:AJ288)</f>
        <v>0</v>
      </c>
      <c r="G287" t="str">
        <f>IF(F287&lt;=$AQ$19,"Deficiente",IF(F287&lt;=$AQ$20,"Regular",IF(F287&lt;=$AQ$21,"Eficiente",0)))</f>
        <v>0</v>
      </c>
      <c r="H287" t="str">
        <f>SUM('Desempeño profesional'!AK288:AO288)</f>
        <v>0</v>
      </c>
      <c r="I287" t="str">
        <f>IF(H287&lt;=$BC$19,"Deficiente",IF(H287&lt;=$BC$20,"Regular",IF(H287&lt;=$BC$21,"Eficiente",0)))</f>
        <v>0</v>
      </c>
      <c r="J287" t="str">
        <f>SUM(B287:H287)</f>
        <v>0</v>
      </c>
      <c r="K287" t="str">
        <f>IF(J287&lt;=$BO$19,"Deficiente",IF(J287&lt;=$BO$20,"Regular",IF(J287&lt;=$BO$21,"Eficiente",0)))</f>
        <v>0</v>
      </c>
    </row>
    <row r="288" spans="1:75">
      <c r="A288" t="s">
        <v>314</v>
      </c>
      <c r="B288" t="str">
        <f>SUM('Desempeño profesional'!B289:K289)</f>
        <v>0</v>
      </c>
      <c r="C288" t="str">
        <f>IF(B288&lt;=$S$19,"Deficiente",IF(B288&lt;=$S$20,"Regular",IF(B288&lt;=$S$21,"Eficiente",0)))</f>
        <v>0</v>
      </c>
      <c r="D288" t="str">
        <f>SUM('Desempeño profesional'!L289:AD289)</f>
        <v>0</v>
      </c>
      <c r="E288" t="str">
        <f>IF(D288&lt;=$AE$19,"Deficiente",IF(D288&lt;=$AE$20,"Regular",IF(D288&lt;=$AE$21,"Eficiente",0)))</f>
        <v>0</v>
      </c>
      <c r="F288" t="str">
        <f>SUM('Desempeño profesional'!AE289:AJ289)</f>
        <v>0</v>
      </c>
      <c r="G288" t="str">
        <f>IF(F288&lt;=$AQ$19,"Deficiente",IF(F288&lt;=$AQ$20,"Regular",IF(F288&lt;=$AQ$21,"Eficiente",0)))</f>
        <v>0</v>
      </c>
      <c r="H288" t="str">
        <f>SUM('Desempeño profesional'!AK289:AO289)</f>
        <v>0</v>
      </c>
      <c r="I288" t="str">
        <f>IF(H288&lt;=$BC$19,"Deficiente",IF(H288&lt;=$BC$20,"Regular",IF(H288&lt;=$BC$21,"Eficiente",0)))</f>
        <v>0</v>
      </c>
      <c r="J288" t="str">
        <f>SUM(B288:H288)</f>
        <v>0</v>
      </c>
      <c r="K288" t="str">
        <f>IF(J288&lt;=$BO$19,"Deficiente",IF(J288&lt;=$BO$20,"Regular",IF(J288&lt;=$BO$21,"Eficiente",0)))</f>
        <v>0</v>
      </c>
    </row>
    <row r="289" spans="1:75">
      <c r="A289" t="s">
        <v>315</v>
      </c>
      <c r="B289" t="str">
        <f>SUM('Desempeño profesional'!B290:K290)</f>
        <v>0</v>
      </c>
      <c r="C289" t="str">
        <f>IF(B289&lt;=$S$19,"Deficiente",IF(B289&lt;=$S$20,"Regular",IF(B289&lt;=$S$21,"Eficiente",0)))</f>
        <v>0</v>
      </c>
      <c r="D289" t="str">
        <f>SUM('Desempeño profesional'!L290:AD290)</f>
        <v>0</v>
      </c>
      <c r="E289" t="str">
        <f>IF(D289&lt;=$AE$19,"Deficiente",IF(D289&lt;=$AE$20,"Regular",IF(D289&lt;=$AE$21,"Eficiente",0)))</f>
        <v>0</v>
      </c>
      <c r="F289" t="str">
        <f>SUM('Desempeño profesional'!AE290:AJ290)</f>
        <v>0</v>
      </c>
      <c r="G289" t="str">
        <f>IF(F289&lt;=$AQ$19,"Deficiente",IF(F289&lt;=$AQ$20,"Regular",IF(F289&lt;=$AQ$21,"Eficiente",0)))</f>
        <v>0</v>
      </c>
      <c r="H289" t="str">
        <f>SUM('Desempeño profesional'!AK290:AO290)</f>
        <v>0</v>
      </c>
      <c r="I289" t="str">
        <f>IF(H289&lt;=$BC$19,"Deficiente",IF(H289&lt;=$BC$20,"Regular",IF(H289&lt;=$BC$21,"Eficiente",0)))</f>
        <v>0</v>
      </c>
      <c r="J289" t="str">
        <f>SUM(B289:H289)</f>
        <v>0</v>
      </c>
      <c r="K289" t="str">
        <f>IF(J289&lt;=$BO$19,"Deficiente",IF(J289&lt;=$BO$20,"Regular",IF(J289&lt;=$BO$21,"Eficiente",0)))</f>
        <v>0</v>
      </c>
    </row>
    <row r="290" spans="1:75">
      <c r="A290" t="s">
        <v>316</v>
      </c>
      <c r="B290" t="str">
        <f>SUM('Desempeño profesional'!B291:K291)</f>
        <v>0</v>
      </c>
      <c r="C290" t="str">
        <f>IF(B290&lt;=$S$19,"Deficiente",IF(B290&lt;=$S$20,"Regular",IF(B290&lt;=$S$21,"Eficiente",0)))</f>
        <v>0</v>
      </c>
      <c r="D290" t="str">
        <f>SUM('Desempeño profesional'!L291:AD291)</f>
        <v>0</v>
      </c>
      <c r="E290" t="str">
        <f>IF(D290&lt;=$AE$19,"Deficiente",IF(D290&lt;=$AE$20,"Regular",IF(D290&lt;=$AE$21,"Eficiente",0)))</f>
        <v>0</v>
      </c>
      <c r="F290" t="str">
        <f>SUM('Desempeño profesional'!AE291:AJ291)</f>
        <v>0</v>
      </c>
      <c r="G290" t="str">
        <f>IF(F290&lt;=$AQ$19,"Deficiente",IF(F290&lt;=$AQ$20,"Regular",IF(F290&lt;=$AQ$21,"Eficiente",0)))</f>
        <v>0</v>
      </c>
      <c r="H290" t="str">
        <f>SUM('Desempeño profesional'!AK291:AO291)</f>
        <v>0</v>
      </c>
      <c r="I290" t="str">
        <f>IF(H290&lt;=$BC$19,"Deficiente",IF(H290&lt;=$BC$20,"Regular",IF(H290&lt;=$BC$21,"Eficiente",0)))</f>
        <v>0</v>
      </c>
      <c r="J290" t="str">
        <f>SUM(B290:H290)</f>
        <v>0</v>
      </c>
      <c r="K290" t="str">
        <f>IF(J290&lt;=$BO$19,"Deficiente",IF(J290&lt;=$BO$20,"Regular",IF(J290&lt;=$BO$21,"Eficiente",0)))</f>
        <v>0</v>
      </c>
    </row>
    <row r="291" spans="1:75">
      <c r="A291" t="s">
        <v>317</v>
      </c>
      <c r="B291" t="str">
        <f>SUM('Desempeño profesional'!B292:K292)</f>
        <v>0</v>
      </c>
      <c r="C291" t="str">
        <f>IF(B291&lt;=$S$19,"Deficiente",IF(B291&lt;=$S$20,"Regular",IF(B291&lt;=$S$21,"Eficiente",0)))</f>
        <v>0</v>
      </c>
      <c r="D291" t="str">
        <f>SUM('Desempeño profesional'!L292:AD292)</f>
        <v>0</v>
      </c>
      <c r="E291" t="str">
        <f>IF(D291&lt;=$AE$19,"Deficiente",IF(D291&lt;=$AE$20,"Regular",IF(D291&lt;=$AE$21,"Eficiente",0)))</f>
        <v>0</v>
      </c>
      <c r="F291" t="str">
        <f>SUM('Desempeño profesional'!AE292:AJ292)</f>
        <v>0</v>
      </c>
      <c r="G291" t="str">
        <f>IF(F291&lt;=$AQ$19,"Deficiente",IF(F291&lt;=$AQ$20,"Regular",IF(F291&lt;=$AQ$21,"Eficiente",0)))</f>
        <v>0</v>
      </c>
      <c r="H291" t="str">
        <f>SUM('Desempeño profesional'!AK292:AO292)</f>
        <v>0</v>
      </c>
      <c r="I291" t="str">
        <f>IF(H291&lt;=$BC$19,"Deficiente",IF(H291&lt;=$BC$20,"Regular",IF(H291&lt;=$BC$21,"Eficiente",0)))</f>
        <v>0</v>
      </c>
      <c r="J291" t="str">
        <f>SUM(B291:H291)</f>
        <v>0</v>
      </c>
      <c r="K291" t="str">
        <f>IF(J291&lt;=$BO$19,"Deficiente",IF(J291&lt;=$BO$20,"Regular",IF(J291&lt;=$BO$21,"Eficiente",0)))</f>
        <v>0</v>
      </c>
    </row>
    <row r="292" spans="1:75">
      <c r="A292" t="s">
        <v>318</v>
      </c>
      <c r="B292" t="str">
        <f>SUM('Desempeño profesional'!B293:K293)</f>
        <v>0</v>
      </c>
      <c r="C292" t="str">
        <f>IF(B292&lt;=$S$19,"Deficiente",IF(B292&lt;=$S$20,"Regular",IF(B292&lt;=$S$21,"Eficiente",0)))</f>
        <v>0</v>
      </c>
      <c r="D292" t="str">
        <f>SUM('Desempeño profesional'!L293:AD293)</f>
        <v>0</v>
      </c>
      <c r="E292" t="str">
        <f>IF(D292&lt;=$AE$19,"Deficiente",IF(D292&lt;=$AE$20,"Regular",IF(D292&lt;=$AE$21,"Eficiente",0)))</f>
        <v>0</v>
      </c>
      <c r="F292" t="str">
        <f>SUM('Desempeño profesional'!AE293:AJ293)</f>
        <v>0</v>
      </c>
      <c r="G292" t="str">
        <f>IF(F292&lt;=$AQ$19,"Deficiente",IF(F292&lt;=$AQ$20,"Regular",IF(F292&lt;=$AQ$21,"Eficiente",0)))</f>
        <v>0</v>
      </c>
      <c r="H292" t="str">
        <f>SUM('Desempeño profesional'!AK293:AO293)</f>
        <v>0</v>
      </c>
      <c r="I292" t="str">
        <f>IF(H292&lt;=$BC$19,"Deficiente",IF(H292&lt;=$BC$20,"Regular",IF(H292&lt;=$BC$21,"Eficiente",0)))</f>
        <v>0</v>
      </c>
      <c r="J292" t="str">
        <f>SUM(B292:H292)</f>
        <v>0</v>
      </c>
      <c r="K292" t="str">
        <f>IF(J292&lt;=$BO$19,"Deficiente",IF(J292&lt;=$BO$20,"Regular",IF(J292&lt;=$BO$21,"Eficiente",0)))</f>
        <v>0</v>
      </c>
    </row>
    <row r="293" spans="1:75">
      <c r="A293" t="s">
        <v>319</v>
      </c>
      <c r="B293" t="str">
        <f>SUM('Desempeño profesional'!B294:K294)</f>
        <v>0</v>
      </c>
      <c r="C293" t="str">
        <f>IF(B293&lt;=$S$19,"Deficiente",IF(B293&lt;=$S$20,"Regular",IF(B293&lt;=$S$21,"Eficiente",0)))</f>
        <v>0</v>
      </c>
      <c r="D293" t="str">
        <f>SUM('Desempeño profesional'!L294:AD294)</f>
        <v>0</v>
      </c>
      <c r="E293" t="str">
        <f>IF(D293&lt;=$AE$19,"Deficiente",IF(D293&lt;=$AE$20,"Regular",IF(D293&lt;=$AE$21,"Eficiente",0)))</f>
        <v>0</v>
      </c>
      <c r="F293" t="str">
        <f>SUM('Desempeño profesional'!AE294:AJ294)</f>
        <v>0</v>
      </c>
      <c r="G293" t="str">
        <f>IF(F293&lt;=$AQ$19,"Deficiente",IF(F293&lt;=$AQ$20,"Regular",IF(F293&lt;=$AQ$21,"Eficiente",0)))</f>
        <v>0</v>
      </c>
      <c r="H293" t="str">
        <f>SUM('Desempeño profesional'!AK294:AO294)</f>
        <v>0</v>
      </c>
      <c r="I293" t="str">
        <f>IF(H293&lt;=$BC$19,"Deficiente",IF(H293&lt;=$BC$20,"Regular",IF(H293&lt;=$BC$21,"Eficiente",0)))</f>
        <v>0</v>
      </c>
      <c r="J293" t="str">
        <f>SUM(B293:H293)</f>
        <v>0</v>
      </c>
      <c r="K293" t="str">
        <f>IF(J293&lt;=$BO$19,"Deficiente",IF(J293&lt;=$BO$20,"Regular",IF(J293&lt;=$BO$21,"Eficiente",0)))</f>
        <v>0</v>
      </c>
    </row>
    <row r="294" spans="1:75">
      <c r="A294" t="s">
        <v>320</v>
      </c>
      <c r="B294" t="str">
        <f>SUM('Desempeño profesional'!B295:K295)</f>
        <v>0</v>
      </c>
      <c r="C294" t="str">
        <f>IF(B294&lt;=$S$19,"Deficiente",IF(B294&lt;=$S$20,"Regular",IF(B294&lt;=$S$21,"Eficiente",0)))</f>
        <v>0</v>
      </c>
      <c r="D294" t="str">
        <f>SUM('Desempeño profesional'!L295:AD295)</f>
        <v>0</v>
      </c>
      <c r="E294" t="str">
        <f>IF(D294&lt;=$AE$19,"Deficiente",IF(D294&lt;=$AE$20,"Regular",IF(D294&lt;=$AE$21,"Eficiente",0)))</f>
        <v>0</v>
      </c>
      <c r="F294" t="str">
        <f>SUM('Desempeño profesional'!AE295:AJ295)</f>
        <v>0</v>
      </c>
      <c r="G294" t="str">
        <f>IF(F294&lt;=$AQ$19,"Deficiente",IF(F294&lt;=$AQ$20,"Regular",IF(F294&lt;=$AQ$21,"Eficiente",0)))</f>
        <v>0</v>
      </c>
      <c r="H294" t="str">
        <f>SUM('Desempeño profesional'!AK295:AO295)</f>
        <v>0</v>
      </c>
      <c r="I294" t="str">
        <f>IF(H294&lt;=$BC$19,"Deficiente",IF(H294&lt;=$BC$20,"Regular",IF(H294&lt;=$BC$21,"Eficiente",0)))</f>
        <v>0</v>
      </c>
      <c r="J294" t="str">
        <f>SUM(B294:H294)</f>
        <v>0</v>
      </c>
      <c r="K294" t="str">
        <f>IF(J294&lt;=$BO$19,"Deficiente",IF(J294&lt;=$BO$20,"Regular",IF(J294&lt;=$BO$21,"Eficiente",0)))</f>
        <v>0</v>
      </c>
    </row>
    <row r="295" spans="1:75">
      <c r="A295" t="s">
        <v>321</v>
      </c>
      <c r="B295" t="str">
        <f>SUM('Desempeño profesional'!B296:K296)</f>
        <v>0</v>
      </c>
      <c r="C295" t="str">
        <f>IF(B295&lt;=$S$19,"Deficiente",IF(B295&lt;=$S$20,"Regular",IF(B295&lt;=$S$21,"Eficiente",0)))</f>
        <v>0</v>
      </c>
      <c r="D295" t="str">
        <f>SUM('Desempeño profesional'!L296:AD296)</f>
        <v>0</v>
      </c>
      <c r="E295" t="str">
        <f>IF(D295&lt;=$AE$19,"Deficiente",IF(D295&lt;=$AE$20,"Regular",IF(D295&lt;=$AE$21,"Eficiente",0)))</f>
        <v>0</v>
      </c>
      <c r="F295" t="str">
        <f>SUM('Desempeño profesional'!AE296:AJ296)</f>
        <v>0</v>
      </c>
      <c r="G295" t="str">
        <f>IF(F295&lt;=$AQ$19,"Deficiente",IF(F295&lt;=$AQ$20,"Regular",IF(F295&lt;=$AQ$21,"Eficiente",0)))</f>
        <v>0</v>
      </c>
      <c r="H295" t="str">
        <f>SUM('Desempeño profesional'!AK296:AO296)</f>
        <v>0</v>
      </c>
      <c r="I295" t="str">
        <f>IF(H295&lt;=$BC$19,"Deficiente",IF(H295&lt;=$BC$20,"Regular",IF(H295&lt;=$BC$21,"Eficiente",0)))</f>
        <v>0</v>
      </c>
      <c r="J295" t="str">
        <f>SUM(B295:H295)</f>
        <v>0</v>
      </c>
      <c r="K295" t="str">
        <f>IF(J295&lt;=$BO$19,"Deficiente",IF(J295&lt;=$BO$20,"Regular",IF(J295&lt;=$BO$21,"Eficiente",0)))</f>
        <v>0</v>
      </c>
    </row>
    <row r="296" spans="1:75">
      <c r="A296" t="s">
        <v>322</v>
      </c>
      <c r="B296" t="str">
        <f>SUM('Desempeño profesional'!B297:K297)</f>
        <v>0</v>
      </c>
      <c r="C296" t="str">
        <f>IF(B296&lt;=$S$19,"Deficiente",IF(B296&lt;=$S$20,"Regular",IF(B296&lt;=$S$21,"Eficiente",0)))</f>
        <v>0</v>
      </c>
      <c r="D296" t="str">
        <f>SUM('Desempeño profesional'!L297:AD297)</f>
        <v>0</v>
      </c>
      <c r="E296" t="str">
        <f>IF(D296&lt;=$AE$19,"Deficiente",IF(D296&lt;=$AE$20,"Regular",IF(D296&lt;=$AE$21,"Eficiente",0)))</f>
        <v>0</v>
      </c>
      <c r="F296" t="str">
        <f>SUM('Desempeño profesional'!AE297:AJ297)</f>
        <v>0</v>
      </c>
      <c r="G296" t="str">
        <f>IF(F296&lt;=$AQ$19,"Deficiente",IF(F296&lt;=$AQ$20,"Regular",IF(F296&lt;=$AQ$21,"Eficiente",0)))</f>
        <v>0</v>
      </c>
      <c r="H296" t="str">
        <f>SUM('Desempeño profesional'!AK297:AO297)</f>
        <v>0</v>
      </c>
      <c r="I296" t="str">
        <f>IF(H296&lt;=$BC$19,"Deficiente",IF(H296&lt;=$BC$20,"Regular",IF(H296&lt;=$BC$21,"Eficiente",0)))</f>
        <v>0</v>
      </c>
      <c r="J296" t="str">
        <f>SUM(B296:H296)</f>
        <v>0</v>
      </c>
      <c r="K296" t="str">
        <f>IF(J296&lt;=$BO$19,"Deficiente",IF(J296&lt;=$BO$20,"Regular",IF(J296&lt;=$BO$21,"Eficiente",0)))</f>
        <v>0</v>
      </c>
    </row>
    <row r="297" spans="1:75">
      <c r="A297" t="s">
        <v>323</v>
      </c>
      <c r="B297" t="str">
        <f>SUM('Desempeño profesional'!B298:K298)</f>
        <v>0</v>
      </c>
      <c r="C297" t="str">
        <f>IF(B297&lt;=$S$19,"Deficiente",IF(B297&lt;=$S$20,"Regular",IF(B297&lt;=$S$21,"Eficiente",0)))</f>
        <v>0</v>
      </c>
      <c r="D297" t="str">
        <f>SUM('Desempeño profesional'!L298:AD298)</f>
        <v>0</v>
      </c>
      <c r="E297" t="str">
        <f>IF(D297&lt;=$AE$19,"Deficiente",IF(D297&lt;=$AE$20,"Regular",IF(D297&lt;=$AE$21,"Eficiente",0)))</f>
        <v>0</v>
      </c>
      <c r="F297" t="str">
        <f>SUM('Desempeño profesional'!AE298:AJ298)</f>
        <v>0</v>
      </c>
      <c r="G297" t="str">
        <f>IF(F297&lt;=$AQ$19,"Deficiente",IF(F297&lt;=$AQ$20,"Regular",IF(F297&lt;=$AQ$21,"Eficiente",0)))</f>
        <v>0</v>
      </c>
      <c r="H297" t="str">
        <f>SUM('Desempeño profesional'!AK298:AO298)</f>
        <v>0</v>
      </c>
      <c r="I297" t="str">
        <f>IF(H297&lt;=$BC$19,"Deficiente",IF(H297&lt;=$BC$20,"Regular",IF(H297&lt;=$BC$21,"Eficiente",0)))</f>
        <v>0</v>
      </c>
      <c r="J297" t="str">
        <f>SUM(B297:H297)</f>
        <v>0</v>
      </c>
      <c r="K297" t="str">
        <f>IF(J297&lt;=$BO$19,"Deficiente",IF(J297&lt;=$BO$20,"Regular",IF(J297&lt;=$BO$21,"Eficiente",0)))</f>
        <v>0</v>
      </c>
    </row>
    <row r="298" spans="1:75">
      <c r="A298" t="s">
        <v>324</v>
      </c>
      <c r="B298" t="str">
        <f>SUM('Desempeño profesional'!B299:K299)</f>
        <v>0</v>
      </c>
      <c r="C298" t="str">
        <f>IF(B298&lt;=$S$19,"Deficiente",IF(B298&lt;=$S$20,"Regular",IF(B298&lt;=$S$21,"Eficiente",0)))</f>
        <v>0</v>
      </c>
      <c r="D298" t="str">
        <f>SUM('Desempeño profesional'!L299:AD299)</f>
        <v>0</v>
      </c>
      <c r="E298" t="str">
        <f>IF(D298&lt;=$AE$19,"Deficiente",IF(D298&lt;=$AE$20,"Regular",IF(D298&lt;=$AE$21,"Eficiente",0)))</f>
        <v>0</v>
      </c>
      <c r="F298" t="str">
        <f>SUM('Desempeño profesional'!AE299:AJ299)</f>
        <v>0</v>
      </c>
      <c r="G298" t="str">
        <f>IF(F298&lt;=$AQ$19,"Deficiente",IF(F298&lt;=$AQ$20,"Regular",IF(F298&lt;=$AQ$21,"Eficiente",0)))</f>
        <v>0</v>
      </c>
      <c r="H298" t="str">
        <f>SUM('Desempeño profesional'!AK299:AO299)</f>
        <v>0</v>
      </c>
      <c r="I298" t="str">
        <f>IF(H298&lt;=$BC$19,"Deficiente",IF(H298&lt;=$BC$20,"Regular",IF(H298&lt;=$BC$21,"Eficiente",0)))</f>
        <v>0</v>
      </c>
      <c r="J298" t="str">
        <f>SUM(B298:H298)</f>
        <v>0</v>
      </c>
      <c r="K298" t="str">
        <f>IF(J298&lt;=$BO$19,"Deficiente",IF(J298&lt;=$BO$20,"Regular",IF(J298&lt;=$BO$21,"Eficiente",0)))</f>
        <v>0</v>
      </c>
    </row>
    <row r="299" spans="1:75">
      <c r="A299" t="s">
        <v>325</v>
      </c>
      <c r="B299" t="str">
        <f>SUM('Desempeño profesional'!B300:K300)</f>
        <v>0</v>
      </c>
      <c r="C299" t="str">
        <f>IF(B299&lt;=$S$19,"Deficiente",IF(B299&lt;=$S$20,"Regular",IF(B299&lt;=$S$21,"Eficiente",0)))</f>
        <v>0</v>
      </c>
      <c r="D299" t="str">
        <f>SUM('Desempeño profesional'!L300:AD300)</f>
        <v>0</v>
      </c>
      <c r="E299" t="str">
        <f>IF(D299&lt;=$AE$19,"Deficiente",IF(D299&lt;=$AE$20,"Regular",IF(D299&lt;=$AE$21,"Eficiente",0)))</f>
        <v>0</v>
      </c>
      <c r="F299" t="str">
        <f>SUM('Desempeño profesional'!AE300:AJ300)</f>
        <v>0</v>
      </c>
      <c r="G299" t="str">
        <f>IF(F299&lt;=$AQ$19,"Deficiente",IF(F299&lt;=$AQ$20,"Regular",IF(F299&lt;=$AQ$21,"Eficiente",0)))</f>
        <v>0</v>
      </c>
      <c r="H299" t="str">
        <f>SUM('Desempeño profesional'!AK300:AO300)</f>
        <v>0</v>
      </c>
      <c r="I299" t="str">
        <f>IF(H299&lt;=$BC$19,"Deficiente",IF(H299&lt;=$BC$20,"Regular",IF(H299&lt;=$BC$21,"Eficiente",0)))</f>
        <v>0</v>
      </c>
      <c r="J299" t="str">
        <f>SUM(B299:H299)</f>
        <v>0</v>
      </c>
      <c r="K299" t="str">
        <f>IF(J299&lt;=$BO$19,"Deficiente",IF(J299&lt;=$BO$20,"Regular",IF(J299&lt;=$BO$21,"Eficiente",0)))</f>
        <v>0</v>
      </c>
    </row>
    <row r="300" spans="1:75">
      <c r="A300" t="s">
        <v>326</v>
      </c>
      <c r="B300" t="str">
        <f>SUM('Desempeño profesional'!B301:K301)</f>
        <v>0</v>
      </c>
      <c r="C300" t="str">
        <f>IF(B300&lt;=$S$19,"Deficiente",IF(B300&lt;=$S$20,"Regular",IF(B300&lt;=$S$21,"Eficiente",0)))</f>
        <v>0</v>
      </c>
      <c r="D300" t="str">
        <f>SUM('Desempeño profesional'!L301:AD301)</f>
        <v>0</v>
      </c>
      <c r="E300" t="str">
        <f>IF(D300&lt;=$AE$19,"Deficiente",IF(D300&lt;=$AE$20,"Regular",IF(D300&lt;=$AE$21,"Eficiente",0)))</f>
        <v>0</v>
      </c>
      <c r="F300" t="str">
        <f>SUM('Desempeño profesional'!AE301:AJ301)</f>
        <v>0</v>
      </c>
      <c r="G300" t="str">
        <f>IF(F300&lt;=$AQ$19,"Deficiente",IF(F300&lt;=$AQ$20,"Regular",IF(F300&lt;=$AQ$21,"Eficiente",0)))</f>
        <v>0</v>
      </c>
      <c r="H300" t="str">
        <f>SUM('Desempeño profesional'!AK301:AO301)</f>
        <v>0</v>
      </c>
      <c r="I300" t="str">
        <f>IF(H300&lt;=$BC$19,"Deficiente",IF(H300&lt;=$BC$20,"Regular",IF(H300&lt;=$BC$21,"Eficiente",0)))</f>
        <v>0</v>
      </c>
      <c r="J300" t="str">
        <f>SUM(B300:H300)</f>
        <v>0</v>
      </c>
      <c r="K300" t="str">
        <f>IF(J300&lt;=$BO$19,"Deficiente",IF(J300&lt;=$BO$20,"Regular",IF(J300&lt;=$BO$21,"Eficiente",0)))</f>
        <v>0</v>
      </c>
    </row>
    <row r="301" spans="1:75">
      <c r="A301" t="s">
        <v>327</v>
      </c>
      <c r="B301" t="str">
        <f>SUM('Desempeño profesional'!B302:K302)</f>
        <v>0</v>
      </c>
      <c r="C301" t="str">
        <f>IF(B301&lt;=$S$19,"Deficiente",IF(B301&lt;=$S$20,"Regular",IF(B301&lt;=$S$21,"Eficiente",0)))</f>
        <v>0</v>
      </c>
      <c r="D301" t="str">
        <f>SUM('Desempeño profesional'!L302:AD302)</f>
        <v>0</v>
      </c>
      <c r="E301" t="str">
        <f>IF(D301&lt;=$AE$19,"Deficiente",IF(D301&lt;=$AE$20,"Regular",IF(D301&lt;=$AE$21,"Eficiente",0)))</f>
        <v>0</v>
      </c>
      <c r="F301" t="str">
        <f>SUM('Desempeño profesional'!AE302:AJ302)</f>
        <v>0</v>
      </c>
      <c r="G301" t="str">
        <f>IF(F301&lt;=$AQ$19,"Deficiente",IF(F301&lt;=$AQ$20,"Regular",IF(F301&lt;=$AQ$21,"Eficiente",0)))</f>
        <v>0</v>
      </c>
      <c r="H301" t="str">
        <f>SUM('Desempeño profesional'!AK302:AO302)</f>
        <v>0</v>
      </c>
      <c r="I301" t="str">
        <f>IF(H301&lt;=$BC$19,"Deficiente",IF(H301&lt;=$BC$20,"Regular",IF(H301&lt;=$BC$21,"Eficiente",0)))</f>
        <v>0</v>
      </c>
      <c r="J301" t="str">
        <f>SUM(B301:H301)</f>
        <v>0</v>
      </c>
      <c r="K301" t="str">
        <f>IF(J301&lt;=$BO$19,"Deficiente",IF(J301&lt;=$BO$20,"Regular",IF(J301&lt;=$BO$21,"Eficiente",0)))</f>
        <v>0</v>
      </c>
    </row>
    <row r="302" spans="1:75">
      <c r="A302" t="s">
        <v>328</v>
      </c>
      <c r="B302" t="str">
        <f>SUM('Desempeño profesional'!B303:K303)</f>
        <v>0</v>
      </c>
      <c r="C302" t="str">
        <f>IF(B302&lt;=$S$19,"Deficiente",IF(B302&lt;=$S$20,"Regular",IF(B302&lt;=$S$21,"Eficiente",0)))</f>
        <v>0</v>
      </c>
      <c r="D302" t="str">
        <f>SUM('Desempeño profesional'!L303:AD303)</f>
        <v>0</v>
      </c>
      <c r="E302" t="str">
        <f>IF(D302&lt;=$AE$19,"Deficiente",IF(D302&lt;=$AE$20,"Regular",IF(D302&lt;=$AE$21,"Eficiente",0)))</f>
        <v>0</v>
      </c>
      <c r="F302" t="str">
        <f>SUM('Desempeño profesional'!AE303:AJ303)</f>
        <v>0</v>
      </c>
      <c r="G302" t="str">
        <f>IF(F302&lt;=$AQ$19,"Deficiente",IF(F302&lt;=$AQ$20,"Regular",IF(F302&lt;=$AQ$21,"Eficiente",0)))</f>
        <v>0</v>
      </c>
      <c r="H302" t="str">
        <f>SUM('Desempeño profesional'!AK303:AO303)</f>
        <v>0</v>
      </c>
      <c r="I302" t="str">
        <f>IF(H302&lt;=$BC$19,"Deficiente",IF(H302&lt;=$BC$20,"Regular",IF(H302&lt;=$BC$21,"Eficiente",0)))</f>
        <v>0</v>
      </c>
      <c r="J302" t="str">
        <f>SUM(B302:H302)</f>
        <v>0</v>
      </c>
      <c r="K302" t="str">
        <f>IF(J302&lt;=$BO$19,"Deficiente",IF(J302&lt;=$BO$20,"Regular",IF(J302&lt;=$BO$21,"Eficiente",0)))</f>
        <v>0</v>
      </c>
    </row>
    <row r="303" spans="1:75">
      <c r="A303" t="s">
        <v>329</v>
      </c>
      <c r="B303" t="str">
        <f>SUM('Desempeño profesional'!B304:K304)</f>
        <v>0</v>
      </c>
      <c r="C303" t="str">
        <f>IF(B303&lt;=$S$19,"Deficiente",IF(B303&lt;=$S$20,"Regular",IF(B303&lt;=$S$21,"Eficiente",0)))</f>
        <v>0</v>
      </c>
      <c r="D303" t="str">
        <f>SUM('Desempeño profesional'!L304:AD304)</f>
        <v>0</v>
      </c>
      <c r="E303" t="str">
        <f>IF(D303&lt;=$AE$19,"Deficiente",IF(D303&lt;=$AE$20,"Regular",IF(D303&lt;=$AE$21,"Eficiente",0)))</f>
        <v>0</v>
      </c>
      <c r="F303" t="str">
        <f>SUM('Desempeño profesional'!AE304:AJ304)</f>
        <v>0</v>
      </c>
      <c r="G303" t="str">
        <f>IF(F303&lt;=$AQ$19,"Deficiente",IF(F303&lt;=$AQ$20,"Regular",IF(F303&lt;=$AQ$21,"Eficiente",0)))</f>
        <v>0</v>
      </c>
      <c r="H303" t="str">
        <f>SUM('Desempeño profesional'!AK304:AO304)</f>
        <v>0</v>
      </c>
      <c r="I303" t="str">
        <f>IF(H303&lt;=$BC$19,"Deficiente",IF(H303&lt;=$BC$20,"Regular",IF(H303&lt;=$BC$21,"Eficiente",0)))</f>
        <v>0</v>
      </c>
      <c r="J303" t="str">
        <f>SUM(B303:H303)</f>
        <v>0</v>
      </c>
      <c r="K303" t="str">
        <f>IF(J303&lt;=$BO$19,"Deficiente",IF(J303&lt;=$BO$20,"Regular",IF(J303&lt;=$BO$21,"Eficiente",0)))</f>
        <v>0</v>
      </c>
    </row>
    <row r="304" spans="1:75">
      <c r="A304" t="s">
        <v>330</v>
      </c>
      <c r="B304" t="str">
        <f>SUM('Desempeño profesional'!B305:K305)</f>
        <v>0</v>
      </c>
      <c r="C304" t="str">
        <f>IF(B304&lt;=$S$19,"Deficiente",IF(B304&lt;=$S$20,"Regular",IF(B304&lt;=$S$21,"Eficiente",0)))</f>
        <v>0</v>
      </c>
      <c r="D304" t="str">
        <f>SUM('Desempeño profesional'!L305:AD305)</f>
        <v>0</v>
      </c>
      <c r="E304" t="str">
        <f>IF(D304&lt;=$AE$19,"Deficiente",IF(D304&lt;=$AE$20,"Regular",IF(D304&lt;=$AE$21,"Eficiente",0)))</f>
        <v>0</v>
      </c>
      <c r="F304" t="str">
        <f>SUM('Desempeño profesional'!AE305:AJ305)</f>
        <v>0</v>
      </c>
      <c r="G304" t="str">
        <f>IF(F304&lt;=$AQ$19,"Deficiente",IF(F304&lt;=$AQ$20,"Regular",IF(F304&lt;=$AQ$21,"Eficiente",0)))</f>
        <v>0</v>
      </c>
      <c r="H304" t="str">
        <f>SUM('Desempeño profesional'!AK305:AO305)</f>
        <v>0</v>
      </c>
      <c r="I304" t="str">
        <f>IF(H304&lt;=$BC$19,"Deficiente",IF(H304&lt;=$BC$20,"Regular",IF(H304&lt;=$BC$21,"Eficiente",0)))</f>
        <v>0</v>
      </c>
      <c r="J304" t="str">
        <f>SUM(B304:H304)</f>
        <v>0</v>
      </c>
      <c r="K304" t="str">
        <f>IF(J304&lt;=$BO$19,"Deficiente",IF(J304&lt;=$BO$20,"Regular",IF(J304&lt;=$BO$21,"Eficiente",0)))</f>
        <v>0</v>
      </c>
    </row>
    <row r="305" spans="1:75">
      <c r="A305" t="s">
        <v>331</v>
      </c>
      <c r="B305" t="str">
        <f>SUM('Desempeño profesional'!B306:K306)</f>
        <v>0</v>
      </c>
      <c r="C305" t="str">
        <f>IF(B305&lt;=$S$19,"Deficiente",IF(B305&lt;=$S$20,"Regular",IF(B305&lt;=$S$21,"Eficiente",0)))</f>
        <v>0</v>
      </c>
      <c r="D305" t="str">
        <f>SUM('Desempeño profesional'!L306:AD306)</f>
        <v>0</v>
      </c>
      <c r="E305" t="str">
        <f>IF(D305&lt;=$AE$19,"Deficiente",IF(D305&lt;=$AE$20,"Regular",IF(D305&lt;=$AE$21,"Eficiente",0)))</f>
        <v>0</v>
      </c>
      <c r="F305" t="str">
        <f>SUM('Desempeño profesional'!AE306:AJ306)</f>
        <v>0</v>
      </c>
      <c r="G305" t="str">
        <f>IF(F305&lt;=$AQ$19,"Deficiente",IF(F305&lt;=$AQ$20,"Regular",IF(F305&lt;=$AQ$21,"Eficiente",0)))</f>
        <v>0</v>
      </c>
      <c r="H305" t="str">
        <f>SUM('Desempeño profesional'!AK306:AO306)</f>
        <v>0</v>
      </c>
      <c r="I305" t="str">
        <f>IF(H305&lt;=$BC$19,"Deficiente",IF(H305&lt;=$BC$20,"Regular",IF(H305&lt;=$BC$21,"Eficiente",0)))</f>
        <v>0</v>
      </c>
      <c r="J305" t="str">
        <f>SUM(B305:H305)</f>
        <v>0</v>
      </c>
      <c r="K305" t="str">
        <f>IF(J305&lt;=$BO$19,"Deficiente",IF(J305&lt;=$BO$20,"Regular",IF(J305&lt;=$BO$21,"Eficiente",0)))</f>
        <v>0</v>
      </c>
    </row>
    <row r="306" spans="1:75">
      <c r="A306" t="s">
        <v>332</v>
      </c>
      <c r="B306" t="str">
        <f>SUM('Desempeño profesional'!B307:K307)</f>
        <v>0</v>
      </c>
      <c r="C306" t="str">
        <f>IF(B306&lt;=$S$19,"Deficiente",IF(B306&lt;=$S$20,"Regular",IF(B306&lt;=$S$21,"Eficiente",0)))</f>
        <v>0</v>
      </c>
      <c r="D306" t="str">
        <f>SUM('Desempeño profesional'!L307:AD307)</f>
        <v>0</v>
      </c>
      <c r="E306" t="str">
        <f>IF(D306&lt;=$AE$19,"Deficiente",IF(D306&lt;=$AE$20,"Regular",IF(D306&lt;=$AE$21,"Eficiente",0)))</f>
        <v>0</v>
      </c>
      <c r="F306" t="str">
        <f>SUM('Desempeño profesional'!AE307:AJ307)</f>
        <v>0</v>
      </c>
      <c r="G306" t="str">
        <f>IF(F306&lt;=$AQ$19,"Deficiente",IF(F306&lt;=$AQ$20,"Regular",IF(F306&lt;=$AQ$21,"Eficiente",0)))</f>
        <v>0</v>
      </c>
      <c r="H306" t="str">
        <f>SUM('Desempeño profesional'!AK307:AO307)</f>
        <v>0</v>
      </c>
      <c r="I306" t="str">
        <f>IF(H306&lt;=$BC$19,"Deficiente",IF(H306&lt;=$BC$20,"Regular",IF(H306&lt;=$BC$21,"Eficiente",0)))</f>
        <v>0</v>
      </c>
      <c r="J306" t="str">
        <f>SUM(B306:H306)</f>
        <v>0</v>
      </c>
      <c r="K306" t="str">
        <f>IF(J306&lt;=$BO$19,"Deficiente",IF(J306&lt;=$BO$20,"Regular",IF(J306&lt;=$BO$21,"Eficiente",0)))</f>
        <v>0</v>
      </c>
    </row>
    <row r="307" spans="1:75">
      <c r="A307" t="s">
        <v>333</v>
      </c>
      <c r="B307" t="str">
        <f>SUM('Desempeño profesional'!B308:K308)</f>
        <v>0</v>
      </c>
      <c r="C307" t="str">
        <f>IF(B307&lt;=$S$19,"Deficiente",IF(B307&lt;=$S$20,"Regular",IF(B307&lt;=$S$21,"Eficiente",0)))</f>
        <v>0</v>
      </c>
      <c r="D307" t="str">
        <f>SUM('Desempeño profesional'!L308:AD308)</f>
        <v>0</v>
      </c>
      <c r="E307" t="str">
        <f>IF(D307&lt;=$AE$19,"Deficiente",IF(D307&lt;=$AE$20,"Regular",IF(D307&lt;=$AE$21,"Eficiente",0)))</f>
        <v>0</v>
      </c>
      <c r="F307" t="str">
        <f>SUM('Desempeño profesional'!AE308:AJ308)</f>
        <v>0</v>
      </c>
      <c r="G307" t="str">
        <f>IF(F307&lt;=$AQ$19,"Deficiente",IF(F307&lt;=$AQ$20,"Regular",IF(F307&lt;=$AQ$21,"Eficiente",0)))</f>
        <v>0</v>
      </c>
      <c r="H307" t="str">
        <f>SUM('Desempeño profesional'!AK308:AO308)</f>
        <v>0</v>
      </c>
      <c r="I307" t="str">
        <f>IF(H307&lt;=$BC$19,"Deficiente",IF(H307&lt;=$BC$20,"Regular",IF(H307&lt;=$BC$21,"Eficiente",0)))</f>
        <v>0</v>
      </c>
      <c r="J307" t="str">
        <f>SUM(B307:H307)</f>
        <v>0</v>
      </c>
      <c r="K307" t="str">
        <f>IF(J307&lt;=$BO$19,"Deficiente",IF(J307&lt;=$BO$20,"Regular",IF(J307&lt;=$BO$21,"Eficiente",0)))</f>
        <v>0</v>
      </c>
    </row>
    <row r="308" spans="1:75">
      <c r="A308" t="s">
        <v>334</v>
      </c>
      <c r="B308" t="str">
        <f>SUM('Desempeño profesional'!B309:K309)</f>
        <v>0</v>
      </c>
      <c r="C308" t="str">
        <f>IF(B308&lt;=$S$19,"Deficiente",IF(B308&lt;=$S$20,"Regular",IF(B308&lt;=$S$21,"Eficiente",0)))</f>
        <v>0</v>
      </c>
      <c r="D308" t="str">
        <f>SUM('Desempeño profesional'!L309:AD309)</f>
        <v>0</v>
      </c>
      <c r="E308" t="str">
        <f>IF(D308&lt;=$AE$19,"Deficiente",IF(D308&lt;=$AE$20,"Regular",IF(D308&lt;=$AE$21,"Eficiente",0)))</f>
        <v>0</v>
      </c>
      <c r="F308" t="str">
        <f>SUM('Desempeño profesional'!AE309:AJ309)</f>
        <v>0</v>
      </c>
      <c r="G308" t="str">
        <f>IF(F308&lt;=$AQ$19,"Deficiente",IF(F308&lt;=$AQ$20,"Regular",IF(F308&lt;=$AQ$21,"Eficiente",0)))</f>
        <v>0</v>
      </c>
      <c r="H308" t="str">
        <f>SUM('Desempeño profesional'!AK309:AO309)</f>
        <v>0</v>
      </c>
      <c r="I308" t="str">
        <f>IF(H308&lt;=$BC$19,"Deficiente",IF(H308&lt;=$BC$20,"Regular",IF(H308&lt;=$BC$21,"Eficiente",0)))</f>
        <v>0</v>
      </c>
      <c r="J308" t="str">
        <f>SUM(B308:H308)</f>
        <v>0</v>
      </c>
      <c r="K308" t="str">
        <f>IF(J308&lt;=$BO$19,"Deficiente",IF(J308&lt;=$BO$20,"Regular",IF(J308&lt;=$BO$21,"Eficiente",0)))</f>
        <v>0</v>
      </c>
    </row>
    <row r="309" spans="1:75">
      <c r="A309" t="s">
        <v>335</v>
      </c>
      <c r="B309" t="str">
        <f>SUM('Desempeño profesional'!B310:K310)</f>
        <v>0</v>
      </c>
      <c r="C309" t="str">
        <f>IF(B309&lt;=$S$19,"Deficiente",IF(B309&lt;=$S$20,"Regular",IF(B309&lt;=$S$21,"Eficiente",0)))</f>
        <v>0</v>
      </c>
      <c r="D309" t="str">
        <f>SUM('Desempeño profesional'!L310:AD310)</f>
        <v>0</v>
      </c>
      <c r="E309" t="str">
        <f>IF(D309&lt;=$AE$19,"Deficiente",IF(D309&lt;=$AE$20,"Regular",IF(D309&lt;=$AE$21,"Eficiente",0)))</f>
        <v>0</v>
      </c>
      <c r="F309" t="str">
        <f>SUM('Desempeño profesional'!AE310:AJ310)</f>
        <v>0</v>
      </c>
      <c r="G309" t="str">
        <f>IF(F309&lt;=$AQ$19,"Deficiente",IF(F309&lt;=$AQ$20,"Regular",IF(F309&lt;=$AQ$21,"Eficiente",0)))</f>
        <v>0</v>
      </c>
      <c r="H309" t="str">
        <f>SUM('Desempeño profesional'!AK310:AO310)</f>
        <v>0</v>
      </c>
      <c r="I309" t="str">
        <f>IF(H309&lt;=$BC$19,"Deficiente",IF(H309&lt;=$BC$20,"Regular",IF(H309&lt;=$BC$21,"Eficiente",0)))</f>
        <v>0</v>
      </c>
      <c r="J309" t="str">
        <f>SUM(B309:H309)</f>
        <v>0</v>
      </c>
      <c r="K309" t="str">
        <f>IF(J309&lt;=$BO$19,"Deficiente",IF(J309&lt;=$BO$20,"Regular",IF(J309&lt;=$BO$21,"Eficiente",0)))</f>
        <v>0</v>
      </c>
    </row>
    <row r="310" spans="1:75">
      <c r="A310" t="s">
        <v>336</v>
      </c>
      <c r="B310" t="str">
        <f>SUM('Desempeño profesional'!B311:K311)</f>
        <v>0</v>
      </c>
      <c r="C310" t="str">
        <f>IF(B310&lt;=$S$19,"Deficiente",IF(B310&lt;=$S$20,"Regular",IF(B310&lt;=$S$21,"Eficiente",0)))</f>
        <v>0</v>
      </c>
      <c r="D310" t="str">
        <f>SUM('Desempeño profesional'!L311:AD311)</f>
        <v>0</v>
      </c>
      <c r="E310" t="str">
        <f>IF(D310&lt;=$AE$19,"Deficiente",IF(D310&lt;=$AE$20,"Regular",IF(D310&lt;=$AE$21,"Eficiente",0)))</f>
        <v>0</v>
      </c>
      <c r="F310" t="str">
        <f>SUM('Desempeño profesional'!AE311:AJ311)</f>
        <v>0</v>
      </c>
      <c r="G310" t="str">
        <f>IF(F310&lt;=$AQ$19,"Deficiente",IF(F310&lt;=$AQ$20,"Regular",IF(F310&lt;=$AQ$21,"Eficiente",0)))</f>
        <v>0</v>
      </c>
      <c r="H310" t="str">
        <f>SUM('Desempeño profesional'!AK311:AO311)</f>
        <v>0</v>
      </c>
      <c r="I310" t="str">
        <f>IF(H310&lt;=$BC$19,"Deficiente",IF(H310&lt;=$BC$20,"Regular",IF(H310&lt;=$BC$21,"Eficiente",0)))</f>
        <v>0</v>
      </c>
      <c r="J310" t="str">
        <f>SUM(B310:H310)</f>
        <v>0</v>
      </c>
      <c r="K310" t="str">
        <f>IF(J310&lt;=$BO$19,"Deficiente",IF(J310&lt;=$BO$20,"Regular",IF(J310&lt;=$BO$21,"Eficiente",0)))</f>
        <v>0</v>
      </c>
    </row>
    <row r="311" spans="1:75">
      <c r="A311" t="s">
        <v>337</v>
      </c>
      <c r="B311" t="str">
        <f>SUM('Desempeño profesional'!B312:K312)</f>
        <v>0</v>
      </c>
      <c r="C311" t="str">
        <f>IF(B311&lt;=$S$19,"Deficiente",IF(B311&lt;=$S$20,"Regular",IF(B311&lt;=$S$21,"Eficiente",0)))</f>
        <v>0</v>
      </c>
      <c r="D311" t="str">
        <f>SUM('Desempeño profesional'!L312:AD312)</f>
        <v>0</v>
      </c>
      <c r="E311" t="str">
        <f>IF(D311&lt;=$AE$19,"Deficiente",IF(D311&lt;=$AE$20,"Regular",IF(D311&lt;=$AE$21,"Eficiente",0)))</f>
        <v>0</v>
      </c>
      <c r="F311" t="str">
        <f>SUM('Desempeño profesional'!AE312:AJ312)</f>
        <v>0</v>
      </c>
      <c r="G311" t="str">
        <f>IF(F311&lt;=$AQ$19,"Deficiente",IF(F311&lt;=$AQ$20,"Regular",IF(F311&lt;=$AQ$21,"Eficiente",0)))</f>
        <v>0</v>
      </c>
      <c r="H311" t="str">
        <f>SUM('Desempeño profesional'!AK312:AO312)</f>
        <v>0</v>
      </c>
      <c r="I311" t="str">
        <f>IF(H311&lt;=$BC$19,"Deficiente",IF(H311&lt;=$BC$20,"Regular",IF(H311&lt;=$BC$21,"Eficiente",0)))</f>
        <v>0</v>
      </c>
      <c r="J311" t="str">
        <f>SUM(B311:H311)</f>
        <v>0</v>
      </c>
      <c r="K311" t="str">
        <f>IF(J311&lt;=$BO$19,"Deficiente",IF(J311&lt;=$BO$20,"Regular",IF(J311&lt;=$BO$21,"Eficiente",0)))</f>
        <v>0</v>
      </c>
    </row>
    <row r="312" spans="1:75">
      <c r="A312" t="s">
        <v>338</v>
      </c>
      <c r="B312" t="str">
        <f>SUM('Desempeño profesional'!B313:K313)</f>
        <v>0</v>
      </c>
      <c r="C312" t="str">
        <f>IF(B312&lt;=$S$19,"Deficiente",IF(B312&lt;=$S$20,"Regular",IF(B312&lt;=$S$21,"Eficiente",0)))</f>
        <v>0</v>
      </c>
      <c r="D312" t="str">
        <f>SUM('Desempeño profesional'!L313:AD313)</f>
        <v>0</v>
      </c>
      <c r="E312" t="str">
        <f>IF(D312&lt;=$AE$19,"Deficiente",IF(D312&lt;=$AE$20,"Regular",IF(D312&lt;=$AE$21,"Eficiente",0)))</f>
        <v>0</v>
      </c>
      <c r="F312" t="str">
        <f>SUM('Desempeño profesional'!AE313:AJ313)</f>
        <v>0</v>
      </c>
      <c r="G312" t="str">
        <f>IF(F312&lt;=$AQ$19,"Deficiente",IF(F312&lt;=$AQ$20,"Regular",IF(F312&lt;=$AQ$21,"Eficiente",0)))</f>
        <v>0</v>
      </c>
      <c r="H312" t="str">
        <f>SUM('Desempeño profesional'!AK313:AO313)</f>
        <v>0</v>
      </c>
      <c r="I312" t="str">
        <f>IF(H312&lt;=$BC$19,"Deficiente",IF(H312&lt;=$BC$20,"Regular",IF(H312&lt;=$BC$21,"Eficiente",0)))</f>
        <v>0</v>
      </c>
      <c r="J312" t="str">
        <f>SUM(B312:H312)</f>
        <v>0</v>
      </c>
      <c r="K312" t="str">
        <f>IF(J312&lt;=$BO$19,"Deficiente",IF(J312&lt;=$BO$20,"Regular",IF(J312&lt;=$BO$21,"Eficiente",0)))</f>
        <v>0</v>
      </c>
    </row>
    <row r="313" spans="1:75">
      <c r="A313" t="s">
        <v>339</v>
      </c>
      <c r="B313" t="str">
        <f>SUM('Desempeño profesional'!B314:K314)</f>
        <v>0</v>
      </c>
      <c r="C313" t="str">
        <f>IF(B313&lt;=$S$19,"Deficiente",IF(B313&lt;=$S$20,"Regular",IF(B313&lt;=$S$21,"Eficiente",0)))</f>
        <v>0</v>
      </c>
      <c r="D313" t="str">
        <f>SUM('Desempeño profesional'!L314:AD314)</f>
        <v>0</v>
      </c>
      <c r="E313" t="str">
        <f>IF(D313&lt;=$AE$19,"Deficiente",IF(D313&lt;=$AE$20,"Regular",IF(D313&lt;=$AE$21,"Eficiente",0)))</f>
        <v>0</v>
      </c>
      <c r="F313" t="str">
        <f>SUM('Desempeño profesional'!AE314:AJ314)</f>
        <v>0</v>
      </c>
      <c r="G313" t="str">
        <f>IF(F313&lt;=$AQ$19,"Deficiente",IF(F313&lt;=$AQ$20,"Regular",IF(F313&lt;=$AQ$21,"Eficiente",0)))</f>
        <v>0</v>
      </c>
      <c r="H313" t="str">
        <f>SUM('Desempeño profesional'!AK314:AO314)</f>
        <v>0</v>
      </c>
      <c r="I313" t="str">
        <f>IF(H313&lt;=$BC$19,"Deficiente",IF(H313&lt;=$BC$20,"Regular",IF(H313&lt;=$BC$21,"Eficiente",0)))</f>
        <v>0</v>
      </c>
      <c r="J313" t="str">
        <f>SUM(B313:H313)</f>
        <v>0</v>
      </c>
      <c r="K313" t="str">
        <f>IF(J313&lt;=$BO$19,"Deficiente",IF(J313&lt;=$BO$20,"Regular",IF(J313&lt;=$BO$21,"Eficiente",0)))</f>
        <v>0</v>
      </c>
    </row>
    <row r="314" spans="1:75">
      <c r="A314" t="s">
        <v>340</v>
      </c>
      <c r="B314" t="str">
        <f>SUM('Desempeño profesional'!B315:K315)</f>
        <v>0</v>
      </c>
      <c r="C314" t="str">
        <f>IF(B314&lt;=$S$19,"Deficiente",IF(B314&lt;=$S$20,"Regular",IF(B314&lt;=$S$21,"Eficiente",0)))</f>
        <v>0</v>
      </c>
      <c r="D314" t="str">
        <f>SUM('Desempeño profesional'!L315:AD315)</f>
        <v>0</v>
      </c>
      <c r="E314" t="str">
        <f>IF(D314&lt;=$AE$19,"Deficiente",IF(D314&lt;=$AE$20,"Regular",IF(D314&lt;=$AE$21,"Eficiente",0)))</f>
        <v>0</v>
      </c>
      <c r="F314" t="str">
        <f>SUM('Desempeño profesional'!AE315:AJ315)</f>
        <v>0</v>
      </c>
      <c r="G314" t="str">
        <f>IF(F314&lt;=$AQ$19,"Deficiente",IF(F314&lt;=$AQ$20,"Regular",IF(F314&lt;=$AQ$21,"Eficiente",0)))</f>
        <v>0</v>
      </c>
      <c r="H314" t="str">
        <f>SUM('Desempeño profesional'!AK315:AO315)</f>
        <v>0</v>
      </c>
      <c r="I314" t="str">
        <f>IF(H314&lt;=$BC$19,"Deficiente",IF(H314&lt;=$BC$20,"Regular",IF(H314&lt;=$BC$21,"Eficiente",0)))</f>
        <v>0</v>
      </c>
      <c r="J314" t="str">
        <f>SUM(B314:H314)</f>
        <v>0</v>
      </c>
      <c r="K314" t="str">
        <f>IF(J314&lt;=$BO$19,"Deficiente",IF(J314&lt;=$BO$20,"Regular",IF(J314&lt;=$BO$21,"Eficiente",0)))</f>
        <v>0</v>
      </c>
    </row>
    <row r="315" spans="1:75">
      <c r="A315" t="s">
        <v>341</v>
      </c>
      <c r="B315" t="str">
        <f>SUM('Desempeño profesional'!B316:K316)</f>
        <v>0</v>
      </c>
      <c r="C315" t="str">
        <f>IF(B315&lt;=$S$19,"Deficiente",IF(B315&lt;=$S$20,"Regular",IF(B315&lt;=$S$21,"Eficiente",0)))</f>
        <v>0</v>
      </c>
      <c r="D315" t="str">
        <f>SUM('Desempeño profesional'!L316:AD316)</f>
        <v>0</v>
      </c>
      <c r="E315" t="str">
        <f>IF(D315&lt;=$AE$19,"Deficiente",IF(D315&lt;=$AE$20,"Regular",IF(D315&lt;=$AE$21,"Eficiente",0)))</f>
        <v>0</v>
      </c>
      <c r="F315" t="str">
        <f>SUM('Desempeño profesional'!AE316:AJ316)</f>
        <v>0</v>
      </c>
      <c r="G315" t="str">
        <f>IF(F315&lt;=$AQ$19,"Deficiente",IF(F315&lt;=$AQ$20,"Regular",IF(F315&lt;=$AQ$21,"Eficiente",0)))</f>
        <v>0</v>
      </c>
      <c r="H315" t="str">
        <f>SUM('Desempeño profesional'!AK316:AO316)</f>
        <v>0</v>
      </c>
      <c r="I315" t="str">
        <f>IF(H315&lt;=$BC$19,"Deficiente",IF(H315&lt;=$BC$20,"Regular",IF(H315&lt;=$BC$21,"Eficiente",0)))</f>
        <v>0</v>
      </c>
      <c r="J315" t="str">
        <f>SUM(B315:H315)</f>
        <v>0</v>
      </c>
      <c r="K315" t="str">
        <f>IF(J315&lt;=$BO$19,"Deficiente",IF(J315&lt;=$BO$20,"Regular",IF(J315&lt;=$BO$21,"Eficiente",0)))</f>
        <v>0</v>
      </c>
    </row>
    <row r="316" spans="1:75">
      <c r="A316" t="s">
        <v>342</v>
      </c>
      <c r="B316" t="str">
        <f>SUM('Desempeño profesional'!B317:K317)</f>
        <v>0</v>
      </c>
      <c r="C316" t="str">
        <f>IF(B316&lt;=$S$19,"Deficiente",IF(B316&lt;=$S$20,"Regular",IF(B316&lt;=$S$21,"Eficiente",0)))</f>
        <v>0</v>
      </c>
      <c r="D316" t="str">
        <f>SUM('Desempeño profesional'!L317:AD317)</f>
        <v>0</v>
      </c>
      <c r="E316" t="str">
        <f>IF(D316&lt;=$AE$19,"Deficiente",IF(D316&lt;=$AE$20,"Regular",IF(D316&lt;=$AE$21,"Eficiente",0)))</f>
        <v>0</v>
      </c>
      <c r="F316" t="str">
        <f>SUM('Desempeño profesional'!AE317:AJ317)</f>
        <v>0</v>
      </c>
      <c r="G316" t="str">
        <f>IF(F316&lt;=$AQ$19,"Deficiente",IF(F316&lt;=$AQ$20,"Regular",IF(F316&lt;=$AQ$21,"Eficiente",0)))</f>
        <v>0</v>
      </c>
      <c r="H316" t="str">
        <f>SUM('Desempeño profesional'!AK317:AO317)</f>
        <v>0</v>
      </c>
      <c r="I316" t="str">
        <f>IF(H316&lt;=$BC$19,"Deficiente",IF(H316&lt;=$BC$20,"Regular",IF(H316&lt;=$BC$21,"Eficiente",0)))</f>
        <v>0</v>
      </c>
      <c r="J316" t="str">
        <f>SUM(B316:H316)</f>
        <v>0</v>
      </c>
      <c r="K316" t="str">
        <f>IF(J316&lt;=$BO$19,"Deficiente",IF(J316&lt;=$BO$20,"Regular",IF(J316&lt;=$BO$21,"Eficiente",0)))</f>
        <v>0</v>
      </c>
    </row>
    <row r="317" spans="1:75">
      <c r="A317" t="s">
        <v>343</v>
      </c>
      <c r="B317" t="str">
        <f>SUM('Desempeño profesional'!B318:K318)</f>
        <v>0</v>
      </c>
      <c r="C317" t="str">
        <f>IF(B317&lt;=$S$19,"Deficiente",IF(B317&lt;=$S$20,"Regular",IF(B317&lt;=$S$21,"Eficiente",0)))</f>
        <v>0</v>
      </c>
      <c r="D317" t="str">
        <f>SUM('Desempeño profesional'!L318:AD318)</f>
        <v>0</v>
      </c>
      <c r="E317" t="str">
        <f>IF(D317&lt;=$AE$19,"Deficiente",IF(D317&lt;=$AE$20,"Regular",IF(D317&lt;=$AE$21,"Eficiente",0)))</f>
        <v>0</v>
      </c>
      <c r="F317" t="str">
        <f>SUM('Desempeño profesional'!AE318:AJ318)</f>
        <v>0</v>
      </c>
      <c r="G317" t="str">
        <f>IF(F317&lt;=$AQ$19,"Deficiente",IF(F317&lt;=$AQ$20,"Regular",IF(F317&lt;=$AQ$21,"Eficiente",0)))</f>
        <v>0</v>
      </c>
      <c r="H317" t="str">
        <f>SUM('Desempeño profesional'!AK318:AO318)</f>
        <v>0</v>
      </c>
      <c r="I317" t="str">
        <f>IF(H317&lt;=$BC$19,"Deficiente",IF(H317&lt;=$BC$20,"Regular",IF(H317&lt;=$BC$21,"Eficiente",0)))</f>
        <v>0</v>
      </c>
      <c r="J317" t="str">
        <f>SUM(B317:H317)</f>
        <v>0</v>
      </c>
      <c r="K317" t="str">
        <f>IF(J317&lt;=$BO$19,"Deficiente",IF(J317&lt;=$BO$20,"Regular",IF(J317&lt;=$BO$21,"Eficiente",0)))</f>
        <v>0</v>
      </c>
    </row>
    <row r="318" spans="1:75">
      <c r="A318" t="s">
        <v>344</v>
      </c>
      <c r="B318" t="str">
        <f>SUM('Desempeño profesional'!B319:K319)</f>
        <v>0</v>
      </c>
      <c r="C318" t="str">
        <f>IF(B318&lt;=$S$19,"Deficiente",IF(B318&lt;=$S$20,"Regular",IF(B318&lt;=$S$21,"Eficiente",0)))</f>
        <v>0</v>
      </c>
      <c r="D318" t="str">
        <f>SUM('Desempeño profesional'!L319:AD319)</f>
        <v>0</v>
      </c>
      <c r="E318" t="str">
        <f>IF(D318&lt;=$AE$19,"Deficiente",IF(D318&lt;=$AE$20,"Regular",IF(D318&lt;=$AE$21,"Eficiente",0)))</f>
        <v>0</v>
      </c>
      <c r="F318" t="str">
        <f>SUM('Desempeño profesional'!AE319:AJ319)</f>
        <v>0</v>
      </c>
      <c r="G318" t="str">
        <f>IF(F318&lt;=$AQ$19,"Deficiente",IF(F318&lt;=$AQ$20,"Regular",IF(F318&lt;=$AQ$21,"Eficiente",0)))</f>
        <v>0</v>
      </c>
      <c r="H318" t="str">
        <f>SUM('Desempeño profesional'!AK319:AO319)</f>
        <v>0</v>
      </c>
      <c r="I318" t="str">
        <f>IF(H318&lt;=$BC$19,"Deficiente",IF(H318&lt;=$BC$20,"Regular",IF(H318&lt;=$BC$21,"Eficiente",0)))</f>
        <v>0</v>
      </c>
      <c r="J318" t="str">
        <f>SUM(B318:H318)</f>
        <v>0</v>
      </c>
      <c r="K318" t="str">
        <f>IF(J318&lt;=$BO$19,"Deficiente",IF(J318&lt;=$BO$20,"Regular",IF(J318&lt;=$BO$21,"Eficiente",0)))</f>
        <v>0</v>
      </c>
    </row>
    <row r="319" spans="1:75">
      <c r="A319" t="s">
        <v>345</v>
      </c>
      <c r="B319" t="str">
        <f>SUM('Desempeño profesional'!B320:K320)</f>
        <v>0</v>
      </c>
      <c r="C319" t="str">
        <f>IF(B319&lt;=$S$19,"Deficiente",IF(B319&lt;=$S$20,"Regular",IF(B319&lt;=$S$21,"Eficiente",0)))</f>
        <v>0</v>
      </c>
      <c r="D319" t="str">
        <f>SUM('Desempeño profesional'!L320:AD320)</f>
        <v>0</v>
      </c>
      <c r="E319" t="str">
        <f>IF(D319&lt;=$AE$19,"Deficiente",IF(D319&lt;=$AE$20,"Regular",IF(D319&lt;=$AE$21,"Eficiente",0)))</f>
        <v>0</v>
      </c>
      <c r="F319" t="str">
        <f>SUM('Desempeño profesional'!AE320:AJ320)</f>
        <v>0</v>
      </c>
      <c r="G319" t="str">
        <f>IF(F319&lt;=$AQ$19,"Deficiente",IF(F319&lt;=$AQ$20,"Regular",IF(F319&lt;=$AQ$21,"Eficiente",0)))</f>
        <v>0</v>
      </c>
      <c r="H319" t="str">
        <f>SUM('Desempeño profesional'!AK320:AO320)</f>
        <v>0</v>
      </c>
      <c r="I319" t="str">
        <f>IF(H319&lt;=$BC$19,"Deficiente",IF(H319&lt;=$BC$20,"Regular",IF(H319&lt;=$BC$21,"Eficiente",0)))</f>
        <v>0</v>
      </c>
      <c r="J319" t="str">
        <f>SUM(B319:H319)</f>
        <v>0</v>
      </c>
      <c r="K319" t="str">
        <f>IF(J319&lt;=$BO$19,"Deficiente",IF(J319&lt;=$BO$20,"Regular",IF(J319&lt;=$BO$21,"Eficiente",0)))</f>
        <v>0</v>
      </c>
    </row>
    <row r="320" spans="1:75">
      <c r="A320" t="s">
        <v>346</v>
      </c>
      <c r="B320" t="str">
        <f>SUM('Desempeño profesional'!B321:K321)</f>
        <v>0</v>
      </c>
      <c r="C320" t="str">
        <f>IF(B320&lt;=$S$19,"Deficiente",IF(B320&lt;=$S$20,"Regular",IF(B320&lt;=$S$21,"Eficiente",0)))</f>
        <v>0</v>
      </c>
      <c r="D320" t="str">
        <f>SUM('Desempeño profesional'!L321:AD321)</f>
        <v>0</v>
      </c>
      <c r="E320" t="str">
        <f>IF(D320&lt;=$AE$19,"Deficiente",IF(D320&lt;=$AE$20,"Regular",IF(D320&lt;=$AE$21,"Eficiente",0)))</f>
        <v>0</v>
      </c>
      <c r="F320" t="str">
        <f>SUM('Desempeño profesional'!AE321:AJ321)</f>
        <v>0</v>
      </c>
      <c r="G320" t="str">
        <f>IF(F320&lt;=$AQ$19,"Deficiente",IF(F320&lt;=$AQ$20,"Regular",IF(F320&lt;=$AQ$21,"Eficiente",0)))</f>
        <v>0</v>
      </c>
      <c r="H320" t="str">
        <f>SUM('Desempeño profesional'!AK321:AO321)</f>
        <v>0</v>
      </c>
      <c r="I320" t="str">
        <f>IF(H320&lt;=$BC$19,"Deficiente",IF(H320&lt;=$BC$20,"Regular",IF(H320&lt;=$BC$21,"Eficiente",0)))</f>
        <v>0</v>
      </c>
      <c r="J320" t="str">
        <f>SUM(B320:H320)</f>
        <v>0</v>
      </c>
      <c r="K320" t="str">
        <f>IF(J320&lt;=$BO$19,"Deficiente",IF(J320&lt;=$BO$20,"Regular",IF(J320&lt;=$BO$21,"Eficiente",0)))</f>
        <v>0</v>
      </c>
    </row>
    <row r="321" spans="1:75">
      <c r="A321" t="s">
        <v>347</v>
      </c>
      <c r="B321" t="str">
        <f>SUM('Desempeño profesional'!B322:K322)</f>
        <v>0</v>
      </c>
      <c r="C321" t="str">
        <f>IF(B321&lt;=$S$19,"Deficiente",IF(B321&lt;=$S$20,"Regular",IF(B321&lt;=$S$21,"Eficiente",0)))</f>
        <v>0</v>
      </c>
      <c r="D321" t="str">
        <f>SUM('Desempeño profesional'!L322:AD322)</f>
        <v>0</v>
      </c>
      <c r="E321" t="str">
        <f>IF(D321&lt;=$AE$19,"Deficiente",IF(D321&lt;=$AE$20,"Regular",IF(D321&lt;=$AE$21,"Eficiente",0)))</f>
        <v>0</v>
      </c>
      <c r="F321" t="str">
        <f>SUM('Desempeño profesional'!AE322:AJ322)</f>
        <v>0</v>
      </c>
      <c r="G321" t="str">
        <f>IF(F321&lt;=$AQ$19,"Deficiente",IF(F321&lt;=$AQ$20,"Regular",IF(F321&lt;=$AQ$21,"Eficiente",0)))</f>
        <v>0</v>
      </c>
      <c r="H321" t="str">
        <f>SUM('Desempeño profesional'!AK322:AO322)</f>
        <v>0</v>
      </c>
      <c r="I321" t="str">
        <f>IF(H321&lt;=$BC$19,"Deficiente",IF(H321&lt;=$BC$20,"Regular",IF(H321&lt;=$BC$21,"Eficiente",0)))</f>
        <v>0</v>
      </c>
      <c r="J321" t="str">
        <f>SUM(B321:H321)</f>
        <v>0</v>
      </c>
      <c r="K321" t="str">
        <f>IF(J321&lt;=$BO$19,"Deficiente",IF(J321&lt;=$BO$20,"Regular",IF(J321&lt;=$BO$21,"Eficiente",0)))</f>
        <v>0</v>
      </c>
    </row>
    <row r="322" spans="1:75">
      <c r="A322" t="s">
        <v>348</v>
      </c>
      <c r="B322" t="str">
        <f>SUM('Desempeño profesional'!B323:K323)</f>
        <v>0</v>
      </c>
      <c r="C322" t="str">
        <f>IF(B322&lt;=$S$19,"Deficiente",IF(B322&lt;=$S$20,"Regular",IF(B322&lt;=$S$21,"Eficiente",0)))</f>
        <v>0</v>
      </c>
      <c r="D322" t="str">
        <f>SUM('Desempeño profesional'!L323:AD323)</f>
        <v>0</v>
      </c>
      <c r="E322" t="str">
        <f>IF(D322&lt;=$AE$19,"Deficiente",IF(D322&lt;=$AE$20,"Regular",IF(D322&lt;=$AE$21,"Eficiente",0)))</f>
        <v>0</v>
      </c>
      <c r="F322" t="str">
        <f>SUM('Desempeño profesional'!AE323:AJ323)</f>
        <v>0</v>
      </c>
      <c r="G322" t="str">
        <f>IF(F322&lt;=$AQ$19,"Deficiente",IF(F322&lt;=$AQ$20,"Regular",IF(F322&lt;=$AQ$21,"Eficiente",0)))</f>
        <v>0</v>
      </c>
      <c r="H322" t="str">
        <f>SUM('Desempeño profesional'!AK323:AO323)</f>
        <v>0</v>
      </c>
      <c r="I322" t="str">
        <f>IF(H322&lt;=$BC$19,"Deficiente",IF(H322&lt;=$BC$20,"Regular",IF(H322&lt;=$BC$21,"Eficiente",0)))</f>
        <v>0</v>
      </c>
      <c r="J322" t="str">
        <f>SUM(B322:H322)</f>
        <v>0</v>
      </c>
      <c r="K322" t="str">
        <f>IF(J322&lt;=$BO$19,"Deficiente",IF(J322&lt;=$BO$20,"Regular",IF(J322&lt;=$BO$21,"Eficiente",0)))</f>
        <v>0</v>
      </c>
    </row>
    <row r="323" spans="1:75">
      <c r="A323" t="s">
        <v>349</v>
      </c>
      <c r="B323" t="str">
        <f>SUM('Desempeño profesional'!B324:K324)</f>
        <v>0</v>
      </c>
      <c r="C323" t="str">
        <f>IF(B323&lt;=$S$19,"Deficiente",IF(B323&lt;=$S$20,"Regular",IF(B323&lt;=$S$21,"Eficiente",0)))</f>
        <v>0</v>
      </c>
      <c r="D323" t="str">
        <f>SUM('Desempeño profesional'!L324:AD324)</f>
        <v>0</v>
      </c>
      <c r="E323" t="str">
        <f>IF(D323&lt;=$AE$19,"Deficiente",IF(D323&lt;=$AE$20,"Regular",IF(D323&lt;=$AE$21,"Eficiente",0)))</f>
        <v>0</v>
      </c>
      <c r="F323" t="str">
        <f>SUM('Desempeño profesional'!AE324:AJ324)</f>
        <v>0</v>
      </c>
      <c r="G323" t="str">
        <f>IF(F323&lt;=$AQ$19,"Deficiente",IF(F323&lt;=$AQ$20,"Regular",IF(F323&lt;=$AQ$21,"Eficiente",0)))</f>
        <v>0</v>
      </c>
      <c r="H323" t="str">
        <f>SUM('Desempeño profesional'!AK324:AO324)</f>
        <v>0</v>
      </c>
      <c r="I323" t="str">
        <f>IF(H323&lt;=$BC$19,"Deficiente",IF(H323&lt;=$BC$20,"Regular",IF(H323&lt;=$BC$21,"Eficiente",0)))</f>
        <v>0</v>
      </c>
      <c r="J323" t="str">
        <f>SUM(B323:H323)</f>
        <v>0</v>
      </c>
      <c r="K323" t="str">
        <f>IF(J323&lt;=$BO$19,"Deficiente",IF(J323&lt;=$BO$20,"Regular",IF(J323&lt;=$BO$21,"Eficiente",0)))</f>
        <v>0</v>
      </c>
    </row>
    <row r="324" spans="1:75">
      <c r="A324" t="s">
        <v>350</v>
      </c>
      <c r="B324" t="str">
        <f>SUM('Desempeño profesional'!B325:K325)</f>
        <v>0</v>
      </c>
      <c r="C324" t="str">
        <f>IF(B324&lt;=$S$19,"Deficiente",IF(B324&lt;=$S$20,"Regular",IF(B324&lt;=$S$21,"Eficiente",0)))</f>
        <v>0</v>
      </c>
      <c r="D324" t="str">
        <f>SUM('Desempeño profesional'!L325:AD325)</f>
        <v>0</v>
      </c>
      <c r="E324" t="str">
        <f>IF(D324&lt;=$AE$19,"Deficiente",IF(D324&lt;=$AE$20,"Regular",IF(D324&lt;=$AE$21,"Eficiente",0)))</f>
        <v>0</v>
      </c>
      <c r="F324" t="str">
        <f>SUM('Desempeño profesional'!AE325:AJ325)</f>
        <v>0</v>
      </c>
      <c r="G324" t="str">
        <f>IF(F324&lt;=$AQ$19,"Deficiente",IF(F324&lt;=$AQ$20,"Regular",IF(F324&lt;=$AQ$21,"Eficiente",0)))</f>
        <v>0</v>
      </c>
      <c r="H324" t="str">
        <f>SUM('Desempeño profesional'!AK325:AO325)</f>
        <v>0</v>
      </c>
      <c r="I324" t="str">
        <f>IF(H324&lt;=$BC$19,"Deficiente",IF(H324&lt;=$BC$20,"Regular",IF(H324&lt;=$BC$21,"Eficiente",0)))</f>
        <v>0</v>
      </c>
      <c r="J324" t="str">
        <f>SUM(B324:H324)</f>
        <v>0</v>
      </c>
      <c r="K324" t="str">
        <f>IF(J324&lt;=$BO$19,"Deficiente",IF(J324&lt;=$BO$20,"Regular",IF(J324&lt;=$BO$21,"Eficiente",0)))</f>
        <v>0</v>
      </c>
    </row>
    <row r="325" spans="1:75">
      <c r="A325" t="s">
        <v>351</v>
      </c>
      <c r="B325" t="str">
        <f>SUM('Desempeño profesional'!B326:K326)</f>
        <v>0</v>
      </c>
      <c r="C325" t="str">
        <f>IF(B325&lt;=$S$19,"Deficiente",IF(B325&lt;=$S$20,"Regular",IF(B325&lt;=$S$21,"Eficiente",0)))</f>
        <v>0</v>
      </c>
      <c r="D325" t="str">
        <f>SUM('Desempeño profesional'!L326:AD326)</f>
        <v>0</v>
      </c>
      <c r="E325" t="str">
        <f>IF(D325&lt;=$AE$19,"Deficiente",IF(D325&lt;=$AE$20,"Regular",IF(D325&lt;=$AE$21,"Eficiente",0)))</f>
        <v>0</v>
      </c>
      <c r="F325" t="str">
        <f>SUM('Desempeño profesional'!AE326:AJ326)</f>
        <v>0</v>
      </c>
      <c r="G325" t="str">
        <f>IF(F325&lt;=$AQ$19,"Deficiente",IF(F325&lt;=$AQ$20,"Regular",IF(F325&lt;=$AQ$21,"Eficiente",0)))</f>
        <v>0</v>
      </c>
      <c r="H325" t="str">
        <f>SUM('Desempeño profesional'!AK326:AO326)</f>
        <v>0</v>
      </c>
      <c r="I325" t="str">
        <f>IF(H325&lt;=$BC$19,"Deficiente",IF(H325&lt;=$BC$20,"Regular",IF(H325&lt;=$BC$21,"Eficiente",0)))</f>
        <v>0</v>
      </c>
      <c r="J325" t="str">
        <f>SUM(B325:H325)</f>
        <v>0</v>
      </c>
      <c r="K325" t="str">
        <f>IF(J325&lt;=$BO$19,"Deficiente",IF(J325&lt;=$BO$20,"Regular",IF(J325&lt;=$BO$21,"Eficiente",0)))</f>
        <v>0</v>
      </c>
    </row>
    <row r="326" spans="1:75">
      <c r="A326" t="s">
        <v>352</v>
      </c>
      <c r="B326" t="str">
        <f>SUM('Desempeño profesional'!B327:K327)</f>
        <v>0</v>
      </c>
      <c r="C326" t="str">
        <f>IF(B326&lt;=$S$19,"Deficiente",IF(B326&lt;=$S$20,"Regular",IF(B326&lt;=$S$21,"Eficiente",0)))</f>
        <v>0</v>
      </c>
      <c r="D326" t="str">
        <f>SUM('Desempeño profesional'!L327:AD327)</f>
        <v>0</v>
      </c>
      <c r="E326" t="str">
        <f>IF(D326&lt;=$AE$19,"Deficiente",IF(D326&lt;=$AE$20,"Regular",IF(D326&lt;=$AE$21,"Eficiente",0)))</f>
        <v>0</v>
      </c>
      <c r="F326" t="str">
        <f>SUM('Desempeño profesional'!AE327:AJ327)</f>
        <v>0</v>
      </c>
      <c r="G326" t="str">
        <f>IF(F326&lt;=$AQ$19,"Deficiente",IF(F326&lt;=$AQ$20,"Regular",IF(F326&lt;=$AQ$21,"Eficiente",0)))</f>
        <v>0</v>
      </c>
      <c r="H326" t="str">
        <f>SUM('Desempeño profesional'!AK327:AO327)</f>
        <v>0</v>
      </c>
      <c r="I326" t="str">
        <f>IF(H326&lt;=$BC$19,"Deficiente",IF(H326&lt;=$BC$20,"Regular",IF(H326&lt;=$BC$21,"Eficiente",0)))</f>
        <v>0</v>
      </c>
      <c r="J326" t="str">
        <f>SUM(B326:H326)</f>
        <v>0</v>
      </c>
      <c r="K326" t="str">
        <f>IF(J326&lt;=$BO$19,"Deficiente",IF(J326&lt;=$BO$20,"Regular",IF(J326&lt;=$BO$21,"Eficiente",0)))</f>
        <v>0</v>
      </c>
    </row>
    <row r="327" spans="1:75">
      <c r="A327" t="s">
        <v>353</v>
      </c>
      <c r="B327" t="str">
        <f>SUM('Desempeño profesional'!B328:K328)</f>
        <v>0</v>
      </c>
      <c r="C327" t="str">
        <f>IF(B327&lt;=$S$19,"Deficiente",IF(B327&lt;=$S$20,"Regular",IF(B327&lt;=$S$21,"Eficiente",0)))</f>
        <v>0</v>
      </c>
      <c r="D327" t="str">
        <f>SUM('Desempeño profesional'!L328:AD328)</f>
        <v>0</v>
      </c>
      <c r="E327" t="str">
        <f>IF(D327&lt;=$AE$19,"Deficiente",IF(D327&lt;=$AE$20,"Regular",IF(D327&lt;=$AE$21,"Eficiente",0)))</f>
        <v>0</v>
      </c>
      <c r="F327" t="str">
        <f>SUM('Desempeño profesional'!AE328:AJ328)</f>
        <v>0</v>
      </c>
      <c r="G327" t="str">
        <f>IF(F327&lt;=$AQ$19,"Deficiente",IF(F327&lt;=$AQ$20,"Regular",IF(F327&lt;=$AQ$21,"Eficiente",0)))</f>
        <v>0</v>
      </c>
      <c r="H327" t="str">
        <f>SUM('Desempeño profesional'!AK328:AO328)</f>
        <v>0</v>
      </c>
      <c r="I327" t="str">
        <f>IF(H327&lt;=$BC$19,"Deficiente",IF(H327&lt;=$BC$20,"Regular",IF(H327&lt;=$BC$21,"Eficiente",0)))</f>
        <v>0</v>
      </c>
      <c r="J327" t="str">
        <f>SUM(B327:H327)</f>
        <v>0</v>
      </c>
      <c r="K327" t="str">
        <f>IF(J327&lt;=$BO$19,"Deficiente",IF(J327&lt;=$BO$20,"Regular",IF(J327&lt;=$BO$21,"Eficiente",0)))</f>
        <v>0</v>
      </c>
    </row>
    <row r="328" spans="1:75">
      <c r="A328" t="s">
        <v>354</v>
      </c>
      <c r="B328" t="str">
        <f>SUM('Desempeño profesional'!B329:K329)</f>
        <v>0</v>
      </c>
      <c r="C328" t="str">
        <f>IF(B328&lt;=$S$19,"Deficiente",IF(B328&lt;=$S$20,"Regular",IF(B328&lt;=$S$21,"Eficiente",0)))</f>
        <v>0</v>
      </c>
      <c r="D328" t="str">
        <f>SUM('Desempeño profesional'!L329:AD329)</f>
        <v>0</v>
      </c>
      <c r="E328" t="str">
        <f>IF(D328&lt;=$AE$19,"Deficiente",IF(D328&lt;=$AE$20,"Regular",IF(D328&lt;=$AE$21,"Eficiente",0)))</f>
        <v>0</v>
      </c>
      <c r="F328" t="str">
        <f>SUM('Desempeño profesional'!AE329:AJ329)</f>
        <v>0</v>
      </c>
      <c r="G328" t="str">
        <f>IF(F328&lt;=$AQ$19,"Deficiente",IF(F328&lt;=$AQ$20,"Regular",IF(F328&lt;=$AQ$21,"Eficiente",0)))</f>
        <v>0</v>
      </c>
      <c r="H328" t="str">
        <f>SUM('Desempeño profesional'!AK329:AO329)</f>
        <v>0</v>
      </c>
      <c r="I328" t="str">
        <f>IF(H328&lt;=$BC$19,"Deficiente",IF(H328&lt;=$BC$20,"Regular",IF(H328&lt;=$BC$21,"Eficiente",0)))</f>
        <v>0</v>
      </c>
      <c r="J328" t="str">
        <f>SUM(B328:H328)</f>
        <v>0</v>
      </c>
      <c r="K328" t="str">
        <f>IF(J328&lt;=$BO$19,"Deficiente",IF(J328&lt;=$BO$20,"Regular",IF(J328&lt;=$BO$21,"Eficiente",0)))</f>
        <v>0</v>
      </c>
    </row>
    <row r="329" spans="1:75">
      <c r="A329" t="s">
        <v>355</v>
      </c>
      <c r="B329" t="str">
        <f>SUM('Desempeño profesional'!B330:K330)</f>
        <v>0</v>
      </c>
      <c r="C329" t="str">
        <f>IF(B329&lt;=$S$19,"Deficiente",IF(B329&lt;=$S$20,"Regular",IF(B329&lt;=$S$21,"Eficiente",0)))</f>
        <v>0</v>
      </c>
      <c r="D329" t="str">
        <f>SUM('Desempeño profesional'!L330:AD330)</f>
        <v>0</v>
      </c>
      <c r="E329" t="str">
        <f>IF(D329&lt;=$AE$19,"Deficiente",IF(D329&lt;=$AE$20,"Regular",IF(D329&lt;=$AE$21,"Eficiente",0)))</f>
        <v>0</v>
      </c>
      <c r="F329" t="str">
        <f>SUM('Desempeño profesional'!AE330:AJ330)</f>
        <v>0</v>
      </c>
      <c r="G329" t="str">
        <f>IF(F329&lt;=$AQ$19,"Deficiente",IF(F329&lt;=$AQ$20,"Regular",IF(F329&lt;=$AQ$21,"Eficiente",0)))</f>
        <v>0</v>
      </c>
      <c r="H329" t="str">
        <f>SUM('Desempeño profesional'!AK330:AO330)</f>
        <v>0</v>
      </c>
      <c r="I329" t="str">
        <f>IF(H329&lt;=$BC$19,"Deficiente",IF(H329&lt;=$BC$20,"Regular",IF(H329&lt;=$BC$21,"Eficiente",0)))</f>
        <v>0</v>
      </c>
      <c r="J329" t="str">
        <f>SUM(B329:H329)</f>
        <v>0</v>
      </c>
      <c r="K329" t="str">
        <f>IF(J329&lt;=$BO$19,"Deficiente",IF(J329&lt;=$BO$20,"Regular",IF(J329&lt;=$BO$21,"Eficiente",0)))</f>
        <v>0</v>
      </c>
    </row>
    <row r="330" spans="1:75">
      <c r="A330" t="s">
        <v>356</v>
      </c>
      <c r="B330" t="str">
        <f>SUM('Desempeño profesional'!B331:K331)</f>
        <v>0</v>
      </c>
      <c r="C330" t="str">
        <f>IF(B330&lt;=$S$19,"Deficiente",IF(B330&lt;=$S$20,"Regular",IF(B330&lt;=$S$21,"Eficiente",0)))</f>
        <v>0</v>
      </c>
      <c r="D330" t="str">
        <f>SUM('Desempeño profesional'!L331:AD331)</f>
        <v>0</v>
      </c>
      <c r="E330" t="str">
        <f>IF(D330&lt;=$AE$19,"Deficiente",IF(D330&lt;=$AE$20,"Regular",IF(D330&lt;=$AE$21,"Eficiente",0)))</f>
        <v>0</v>
      </c>
      <c r="F330" t="str">
        <f>SUM('Desempeño profesional'!AE331:AJ331)</f>
        <v>0</v>
      </c>
      <c r="G330" t="str">
        <f>IF(F330&lt;=$AQ$19,"Deficiente",IF(F330&lt;=$AQ$20,"Regular",IF(F330&lt;=$AQ$21,"Eficiente",0)))</f>
        <v>0</v>
      </c>
      <c r="H330" t="str">
        <f>SUM('Desempeño profesional'!AK331:AO331)</f>
        <v>0</v>
      </c>
      <c r="I330" t="str">
        <f>IF(H330&lt;=$BC$19,"Deficiente",IF(H330&lt;=$BC$20,"Regular",IF(H330&lt;=$BC$21,"Eficiente",0)))</f>
        <v>0</v>
      </c>
      <c r="J330" t="str">
        <f>SUM(B330:H330)</f>
        <v>0</v>
      </c>
      <c r="K330" t="str">
        <f>IF(J330&lt;=$BO$19,"Deficiente",IF(J330&lt;=$BO$20,"Regular",IF(J330&lt;=$BO$21,"Eficiente",0)))</f>
        <v>0</v>
      </c>
    </row>
    <row r="331" spans="1:75">
      <c r="A331" t="s">
        <v>357</v>
      </c>
      <c r="B331" t="str">
        <f>SUM('Desempeño profesional'!B332:K332)</f>
        <v>0</v>
      </c>
      <c r="C331" t="str">
        <f>IF(B331&lt;=$S$19,"Deficiente",IF(B331&lt;=$S$20,"Regular",IF(B331&lt;=$S$21,"Eficiente",0)))</f>
        <v>0</v>
      </c>
      <c r="D331" t="str">
        <f>SUM('Desempeño profesional'!L332:AD332)</f>
        <v>0</v>
      </c>
      <c r="E331" t="str">
        <f>IF(D331&lt;=$AE$19,"Deficiente",IF(D331&lt;=$AE$20,"Regular",IF(D331&lt;=$AE$21,"Eficiente",0)))</f>
        <v>0</v>
      </c>
      <c r="F331" t="str">
        <f>SUM('Desempeño profesional'!AE332:AJ332)</f>
        <v>0</v>
      </c>
      <c r="G331" t="str">
        <f>IF(F331&lt;=$AQ$19,"Deficiente",IF(F331&lt;=$AQ$20,"Regular",IF(F331&lt;=$AQ$21,"Eficiente",0)))</f>
        <v>0</v>
      </c>
      <c r="H331" t="str">
        <f>SUM('Desempeño profesional'!AK332:AO332)</f>
        <v>0</v>
      </c>
      <c r="I331" t="str">
        <f>IF(H331&lt;=$BC$19,"Deficiente",IF(H331&lt;=$BC$20,"Regular",IF(H331&lt;=$BC$21,"Eficiente",0)))</f>
        <v>0</v>
      </c>
      <c r="J331" t="str">
        <f>SUM(B331:H331)</f>
        <v>0</v>
      </c>
      <c r="K331" t="str">
        <f>IF(J331&lt;=$BO$19,"Deficiente",IF(J331&lt;=$BO$20,"Regular",IF(J331&lt;=$BO$21,"Eficiente",0)))</f>
        <v>0</v>
      </c>
    </row>
    <row r="332" spans="1:75">
      <c r="A332" t="s">
        <v>358</v>
      </c>
      <c r="B332" t="str">
        <f>SUM('Desempeño profesional'!B333:K333)</f>
        <v>0</v>
      </c>
      <c r="C332" t="str">
        <f>IF(B332&lt;=$S$19,"Deficiente",IF(B332&lt;=$S$20,"Regular",IF(B332&lt;=$S$21,"Eficiente",0)))</f>
        <v>0</v>
      </c>
      <c r="D332" t="str">
        <f>SUM('Desempeño profesional'!L333:AD333)</f>
        <v>0</v>
      </c>
      <c r="E332" t="str">
        <f>IF(D332&lt;=$AE$19,"Deficiente",IF(D332&lt;=$AE$20,"Regular",IF(D332&lt;=$AE$21,"Eficiente",0)))</f>
        <v>0</v>
      </c>
      <c r="F332" t="str">
        <f>SUM('Desempeño profesional'!AE333:AJ333)</f>
        <v>0</v>
      </c>
      <c r="G332" t="str">
        <f>IF(F332&lt;=$AQ$19,"Deficiente",IF(F332&lt;=$AQ$20,"Regular",IF(F332&lt;=$AQ$21,"Eficiente",0)))</f>
        <v>0</v>
      </c>
      <c r="H332" t="str">
        <f>SUM('Desempeño profesional'!AK333:AO333)</f>
        <v>0</v>
      </c>
      <c r="I332" t="str">
        <f>IF(H332&lt;=$BC$19,"Deficiente",IF(H332&lt;=$BC$20,"Regular",IF(H332&lt;=$BC$21,"Eficiente",0)))</f>
        <v>0</v>
      </c>
      <c r="J332" t="str">
        <f>SUM(B332:H332)</f>
        <v>0</v>
      </c>
      <c r="K332" t="str">
        <f>IF(J332&lt;=$BO$19,"Deficiente",IF(J332&lt;=$BO$20,"Regular",IF(J332&lt;=$BO$21,"Eficiente",0)))</f>
        <v>0</v>
      </c>
    </row>
    <row r="333" spans="1:75">
      <c r="A333" t="s">
        <v>359</v>
      </c>
      <c r="B333" t="str">
        <f>SUM('Desempeño profesional'!B334:K334)</f>
        <v>0</v>
      </c>
      <c r="C333" t="str">
        <f>IF(B333&lt;=$S$19,"Deficiente",IF(B333&lt;=$S$20,"Regular",IF(B333&lt;=$S$21,"Eficiente",0)))</f>
        <v>0</v>
      </c>
      <c r="D333" t="str">
        <f>SUM('Desempeño profesional'!L334:AD334)</f>
        <v>0</v>
      </c>
      <c r="E333" t="str">
        <f>IF(D333&lt;=$AE$19,"Deficiente",IF(D333&lt;=$AE$20,"Regular",IF(D333&lt;=$AE$21,"Eficiente",0)))</f>
        <v>0</v>
      </c>
      <c r="F333" t="str">
        <f>SUM('Desempeño profesional'!AE334:AJ334)</f>
        <v>0</v>
      </c>
      <c r="G333" t="str">
        <f>IF(F333&lt;=$AQ$19,"Deficiente",IF(F333&lt;=$AQ$20,"Regular",IF(F333&lt;=$AQ$21,"Eficiente",0)))</f>
        <v>0</v>
      </c>
      <c r="H333" t="str">
        <f>SUM('Desempeño profesional'!AK334:AO334)</f>
        <v>0</v>
      </c>
      <c r="I333" t="str">
        <f>IF(H333&lt;=$BC$19,"Deficiente",IF(H333&lt;=$BC$20,"Regular",IF(H333&lt;=$BC$21,"Eficiente",0)))</f>
        <v>0</v>
      </c>
      <c r="J333" t="str">
        <f>SUM(B333:H333)</f>
        <v>0</v>
      </c>
      <c r="K333" t="str">
        <f>IF(J333&lt;=$BO$19,"Deficiente",IF(J333&lt;=$BO$20,"Regular",IF(J333&lt;=$BO$21,"Eficiente",0)))</f>
        <v>0</v>
      </c>
    </row>
    <row r="334" spans="1:75">
      <c r="A334" t="s">
        <v>360</v>
      </c>
      <c r="B334" t="str">
        <f>SUM('Desempeño profesional'!B335:K335)</f>
        <v>0</v>
      </c>
      <c r="C334" t="str">
        <f>IF(B334&lt;=$S$19,"Deficiente",IF(B334&lt;=$S$20,"Regular",IF(B334&lt;=$S$21,"Eficiente",0)))</f>
        <v>0</v>
      </c>
      <c r="D334" t="str">
        <f>SUM('Desempeño profesional'!L335:AD335)</f>
        <v>0</v>
      </c>
      <c r="E334" t="str">
        <f>IF(D334&lt;=$AE$19,"Deficiente",IF(D334&lt;=$AE$20,"Regular",IF(D334&lt;=$AE$21,"Eficiente",0)))</f>
        <v>0</v>
      </c>
      <c r="F334" t="str">
        <f>SUM('Desempeño profesional'!AE335:AJ335)</f>
        <v>0</v>
      </c>
      <c r="G334" t="str">
        <f>IF(F334&lt;=$AQ$19,"Deficiente",IF(F334&lt;=$AQ$20,"Regular",IF(F334&lt;=$AQ$21,"Eficiente",0)))</f>
        <v>0</v>
      </c>
      <c r="H334" t="str">
        <f>SUM('Desempeño profesional'!AK335:AO335)</f>
        <v>0</v>
      </c>
      <c r="I334" t="str">
        <f>IF(H334&lt;=$BC$19,"Deficiente",IF(H334&lt;=$BC$20,"Regular",IF(H334&lt;=$BC$21,"Eficiente",0)))</f>
        <v>0</v>
      </c>
      <c r="J334" t="str">
        <f>SUM(B334:H334)</f>
        <v>0</v>
      </c>
      <c r="K334" t="str">
        <f>IF(J334&lt;=$BO$19,"Deficiente",IF(J334&lt;=$BO$20,"Regular",IF(J334&lt;=$BO$21,"Eficiente",0)))</f>
        <v>0</v>
      </c>
    </row>
    <row r="335" spans="1:75">
      <c r="A335" t="s">
        <v>361</v>
      </c>
      <c r="B335" t="str">
        <f>SUM('Desempeño profesional'!B336:K336)</f>
        <v>0</v>
      </c>
      <c r="C335" t="str">
        <f>IF(B335&lt;=$S$19,"Deficiente",IF(B335&lt;=$S$20,"Regular",IF(B335&lt;=$S$21,"Eficiente",0)))</f>
        <v>0</v>
      </c>
      <c r="D335" t="str">
        <f>SUM('Desempeño profesional'!L336:AD336)</f>
        <v>0</v>
      </c>
      <c r="E335" t="str">
        <f>IF(D335&lt;=$AE$19,"Deficiente",IF(D335&lt;=$AE$20,"Regular",IF(D335&lt;=$AE$21,"Eficiente",0)))</f>
        <v>0</v>
      </c>
      <c r="F335" t="str">
        <f>SUM('Desempeño profesional'!AE336:AJ336)</f>
        <v>0</v>
      </c>
      <c r="G335" t="str">
        <f>IF(F335&lt;=$AQ$19,"Deficiente",IF(F335&lt;=$AQ$20,"Regular",IF(F335&lt;=$AQ$21,"Eficiente",0)))</f>
        <v>0</v>
      </c>
      <c r="H335" t="str">
        <f>SUM('Desempeño profesional'!AK336:AO336)</f>
        <v>0</v>
      </c>
      <c r="I335" t="str">
        <f>IF(H335&lt;=$BC$19,"Deficiente",IF(H335&lt;=$BC$20,"Regular",IF(H335&lt;=$BC$21,"Eficiente",0)))</f>
        <v>0</v>
      </c>
      <c r="J335" t="str">
        <f>SUM(B335:H335)</f>
        <v>0</v>
      </c>
      <c r="K335" t="str">
        <f>IF(J335&lt;=$BO$19,"Deficiente",IF(J335&lt;=$BO$20,"Regular",IF(J335&lt;=$BO$21,"Eficiente",0)))</f>
        <v>0</v>
      </c>
    </row>
    <row r="336" spans="1:75">
      <c r="A336" t="s">
        <v>362</v>
      </c>
      <c r="B336" t="str">
        <f>SUM('Desempeño profesional'!B337:K337)</f>
        <v>0</v>
      </c>
      <c r="C336" t="str">
        <f>IF(B336&lt;=$S$19,"Deficiente",IF(B336&lt;=$S$20,"Regular",IF(B336&lt;=$S$21,"Eficiente",0)))</f>
        <v>0</v>
      </c>
      <c r="D336" t="str">
        <f>SUM('Desempeño profesional'!L337:AD337)</f>
        <v>0</v>
      </c>
      <c r="E336" t="str">
        <f>IF(D336&lt;=$AE$19,"Deficiente",IF(D336&lt;=$AE$20,"Regular",IF(D336&lt;=$AE$21,"Eficiente",0)))</f>
        <v>0</v>
      </c>
      <c r="F336" t="str">
        <f>SUM('Desempeño profesional'!AE337:AJ337)</f>
        <v>0</v>
      </c>
      <c r="G336" t="str">
        <f>IF(F336&lt;=$AQ$19,"Deficiente",IF(F336&lt;=$AQ$20,"Regular",IF(F336&lt;=$AQ$21,"Eficiente",0)))</f>
        <v>0</v>
      </c>
      <c r="H336" t="str">
        <f>SUM('Desempeño profesional'!AK337:AO337)</f>
        <v>0</v>
      </c>
      <c r="I336" t="str">
        <f>IF(H336&lt;=$BC$19,"Deficiente",IF(H336&lt;=$BC$20,"Regular",IF(H336&lt;=$BC$21,"Eficiente",0)))</f>
        <v>0</v>
      </c>
      <c r="J336" t="str">
        <f>SUM(B336:H336)</f>
        <v>0</v>
      </c>
      <c r="K336" t="str">
        <f>IF(J336&lt;=$BO$19,"Deficiente",IF(J336&lt;=$BO$20,"Regular",IF(J336&lt;=$BO$21,"Eficiente",0)))</f>
        <v>0</v>
      </c>
    </row>
    <row r="337" spans="1:75">
      <c r="A337" t="s">
        <v>363</v>
      </c>
      <c r="B337" t="str">
        <f>SUM('Desempeño profesional'!B338:K338)</f>
        <v>0</v>
      </c>
      <c r="C337" t="str">
        <f>IF(B337&lt;=$S$19,"Deficiente",IF(B337&lt;=$S$20,"Regular",IF(B337&lt;=$S$21,"Eficiente",0)))</f>
        <v>0</v>
      </c>
      <c r="D337" t="str">
        <f>SUM('Desempeño profesional'!L338:AD338)</f>
        <v>0</v>
      </c>
      <c r="E337" t="str">
        <f>IF(D337&lt;=$AE$19,"Deficiente",IF(D337&lt;=$AE$20,"Regular",IF(D337&lt;=$AE$21,"Eficiente",0)))</f>
        <v>0</v>
      </c>
      <c r="F337" t="str">
        <f>SUM('Desempeño profesional'!AE338:AJ338)</f>
        <v>0</v>
      </c>
      <c r="G337" t="str">
        <f>IF(F337&lt;=$AQ$19,"Deficiente",IF(F337&lt;=$AQ$20,"Regular",IF(F337&lt;=$AQ$21,"Eficiente",0)))</f>
        <v>0</v>
      </c>
      <c r="H337" t="str">
        <f>SUM('Desempeño profesional'!AK338:AO338)</f>
        <v>0</v>
      </c>
      <c r="I337" t="str">
        <f>IF(H337&lt;=$BC$19,"Deficiente",IF(H337&lt;=$BC$20,"Regular",IF(H337&lt;=$BC$21,"Eficiente",0)))</f>
        <v>0</v>
      </c>
      <c r="J337" t="str">
        <f>SUM(B337:H337)</f>
        <v>0</v>
      </c>
      <c r="K337" t="str">
        <f>IF(J337&lt;=$BO$19,"Deficiente",IF(J337&lt;=$BO$20,"Regular",IF(J337&lt;=$BO$21,"Eficiente",0)))</f>
        <v>0</v>
      </c>
    </row>
    <row r="338" spans="1:75">
      <c r="A338" t="s">
        <v>364</v>
      </c>
      <c r="B338" t="str">
        <f>SUM('Desempeño profesional'!B339:K339)</f>
        <v>0</v>
      </c>
      <c r="C338" t="str">
        <f>IF(B338&lt;=$S$19,"Deficiente",IF(B338&lt;=$S$20,"Regular",IF(B338&lt;=$S$21,"Eficiente",0)))</f>
        <v>0</v>
      </c>
      <c r="D338" t="str">
        <f>SUM('Desempeño profesional'!L339:AD339)</f>
        <v>0</v>
      </c>
      <c r="E338" t="str">
        <f>IF(D338&lt;=$AE$19,"Deficiente",IF(D338&lt;=$AE$20,"Regular",IF(D338&lt;=$AE$21,"Eficiente",0)))</f>
        <v>0</v>
      </c>
      <c r="F338" t="str">
        <f>SUM('Desempeño profesional'!AE339:AJ339)</f>
        <v>0</v>
      </c>
      <c r="G338" t="str">
        <f>IF(F338&lt;=$AQ$19,"Deficiente",IF(F338&lt;=$AQ$20,"Regular",IF(F338&lt;=$AQ$21,"Eficiente",0)))</f>
        <v>0</v>
      </c>
      <c r="H338" t="str">
        <f>SUM('Desempeño profesional'!AK339:AO339)</f>
        <v>0</v>
      </c>
      <c r="I338" t="str">
        <f>IF(H338&lt;=$BC$19,"Deficiente",IF(H338&lt;=$BC$20,"Regular",IF(H338&lt;=$BC$21,"Eficiente",0)))</f>
        <v>0</v>
      </c>
      <c r="J338" t="str">
        <f>SUM(B338:H338)</f>
        <v>0</v>
      </c>
      <c r="K338" t="str">
        <f>IF(J338&lt;=$BO$19,"Deficiente",IF(J338&lt;=$BO$20,"Regular",IF(J338&lt;=$BO$21,"Eficiente",0)))</f>
        <v>0</v>
      </c>
    </row>
    <row r="339" spans="1:75">
      <c r="A339" t="s">
        <v>365</v>
      </c>
      <c r="B339" t="str">
        <f>SUM('Desempeño profesional'!B340:K340)</f>
        <v>0</v>
      </c>
      <c r="C339" t="str">
        <f>IF(B339&lt;=$S$19,"Deficiente",IF(B339&lt;=$S$20,"Regular",IF(B339&lt;=$S$21,"Eficiente",0)))</f>
        <v>0</v>
      </c>
      <c r="D339" t="str">
        <f>SUM('Desempeño profesional'!L340:AD340)</f>
        <v>0</v>
      </c>
      <c r="E339" t="str">
        <f>IF(D339&lt;=$AE$19,"Deficiente",IF(D339&lt;=$AE$20,"Regular",IF(D339&lt;=$AE$21,"Eficiente",0)))</f>
        <v>0</v>
      </c>
      <c r="F339" t="str">
        <f>SUM('Desempeño profesional'!AE340:AJ340)</f>
        <v>0</v>
      </c>
      <c r="G339" t="str">
        <f>IF(F339&lt;=$AQ$19,"Deficiente",IF(F339&lt;=$AQ$20,"Regular",IF(F339&lt;=$AQ$21,"Eficiente",0)))</f>
        <v>0</v>
      </c>
      <c r="H339" t="str">
        <f>SUM('Desempeño profesional'!AK340:AO340)</f>
        <v>0</v>
      </c>
      <c r="I339" t="str">
        <f>IF(H339&lt;=$BC$19,"Deficiente",IF(H339&lt;=$BC$20,"Regular",IF(H339&lt;=$BC$21,"Eficiente",0)))</f>
        <v>0</v>
      </c>
      <c r="J339" t="str">
        <f>SUM(B339:H339)</f>
        <v>0</v>
      </c>
      <c r="K339" t="str">
        <f>IF(J339&lt;=$BO$19,"Deficiente",IF(J339&lt;=$BO$20,"Regular",IF(J339&lt;=$BO$21,"Eficiente",0)))</f>
        <v>0</v>
      </c>
    </row>
    <row r="340" spans="1:75">
      <c r="A340" t="s">
        <v>366</v>
      </c>
      <c r="B340" t="str">
        <f>SUM('Desempeño profesional'!B341:K341)</f>
        <v>0</v>
      </c>
      <c r="C340" t="str">
        <f>IF(B340&lt;=$S$19,"Deficiente",IF(B340&lt;=$S$20,"Regular",IF(B340&lt;=$S$21,"Eficiente",0)))</f>
        <v>0</v>
      </c>
      <c r="D340" t="str">
        <f>SUM('Desempeño profesional'!L341:AD341)</f>
        <v>0</v>
      </c>
      <c r="E340" t="str">
        <f>IF(D340&lt;=$AE$19,"Deficiente",IF(D340&lt;=$AE$20,"Regular",IF(D340&lt;=$AE$21,"Eficiente",0)))</f>
        <v>0</v>
      </c>
      <c r="F340" t="str">
        <f>SUM('Desempeño profesional'!AE341:AJ341)</f>
        <v>0</v>
      </c>
      <c r="G340" t="str">
        <f>IF(F340&lt;=$AQ$19,"Deficiente",IF(F340&lt;=$AQ$20,"Regular",IF(F340&lt;=$AQ$21,"Eficiente",0)))</f>
        <v>0</v>
      </c>
      <c r="H340" t="str">
        <f>SUM('Desempeño profesional'!AK341:AO341)</f>
        <v>0</v>
      </c>
      <c r="I340" t="str">
        <f>IF(H340&lt;=$BC$19,"Deficiente",IF(H340&lt;=$BC$20,"Regular",IF(H340&lt;=$BC$21,"Eficiente",0)))</f>
        <v>0</v>
      </c>
      <c r="J340" t="str">
        <f>SUM(B340:H340)</f>
        <v>0</v>
      </c>
      <c r="K340" t="str">
        <f>IF(J340&lt;=$BO$19,"Deficiente",IF(J340&lt;=$BO$20,"Regular",IF(J340&lt;=$BO$21,"Eficiente",0)))</f>
        <v>0</v>
      </c>
    </row>
    <row r="341" spans="1:75">
      <c r="A341" t="s">
        <v>367</v>
      </c>
      <c r="B341" t="str">
        <f>SUM('Desempeño profesional'!B342:K342)</f>
        <v>0</v>
      </c>
      <c r="C341" t="str">
        <f>IF(B341&lt;=$S$19,"Deficiente",IF(B341&lt;=$S$20,"Regular",IF(B341&lt;=$S$21,"Eficiente",0)))</f>
        <v>0</v>
      </c>
      <c r="D341" t="str">
        <f>SUM('Desempeño profesional'!L342:AD342)</f>
        <v>0</v>
      </c>
      <c r="E341" t="str">
        <f>IF(D341&lt;=$AE$19,"Deficiente",IF(D341&lt;=$AE$20,"Regular",IF(D341&lt;=$AE$21,"Eficiente",0)))</f>
        <v>0</v>
      </c>
      <c r="F341" t="str">
        <f>SUM('Desempeño profesional'!AE342:AJ342)</f>
        <v>0</v>
      </c>
      <c r="G341" t="str">
        <f>IF(F341&lt;=$AQ$19,"Deficiente",IF(F341&lt;=$AQ$20,"Regular",IF(F341&lt;=$AQ$21,"Eficiente",0)))</f>
        <v>0</v>
      </c>
      <c r="H341" t="str">
        <f>SUM('Desempeño profesional'!AK342:AO342)</f>
        <v>0</v>
      </c>
      <c r="I341" t="str">
        <f>IF(H341&lt;=$BC$19,"Deficiente",IF(H341&lt;=$BC$20,"Regular",IF(H341&lt;=$BC$21,"Eficiente",0)))</f>
        <v>0</v>
      </c>
      <c r="J341" t="str">
        <f>SUM(B341:H341)</f>
        <v>0</v>
      </c>
      <c r="K341" t="str">
        <f>IF(J341&lt;=$BO$19,"Deficiente",IF(J341&lt;=$BO$20,"Regular",IF(J341&lt;=$BO$21,"Eficiente",0)))</f>
        <v>0</v>
      </c>
    </row>
    <row r="342" spans="1:75">
      <c r="A342" t="s">
        <v>368</v>
      </c>
      <c r="B342" t="str">
        <f>SUM('Desempeño profesional'!B343:K343)</f>
        <v>0</v>
      </c>
      <c r="C342" t="str">
        <f>IF(B342&lt;=$S$19,"Deficiente",IF(B342&lt;=$S$20,"Regular",IF(B342&lt;=$S$21,"Eficiente",0)))</f>
        <v>0</v>
      </c>
      <c r="D342" t="str">
        <f>SUM('Desempeño profesional'!L343:AD343)</f>
        <v>0</v>
      </c>
      <c r="E342" t="str">
        <f>IF(D342&lt;=$AE$19,"Deficiente",IF(D342&lt;=$AE$20,"Regular",IF(D342&lt;=$AE$21,"Eficiente",0)))</f>
        <v>0</v>
      </c>
      <c r="F342" t="str">
        <f>SUM('Desempeño profesional'!AE343:AJ343)</f>
        <v>0</v>
      </c>
      <c r="G342" t="str">
        <f>IF(F342&lt;=$AQ$19,"Deficiente",IF(F342&lt;=$AQ$20,"Regular",IF(F342&lt;=$AQ$21,"Eficiente",0)))</f>
        <v>0</v>
      </c>
      <c r="H342" t="str">
        <f>SUM('Desempeño profesional'!AK343:AO343)</f>
        <v>0</v>
      </c>
      <c r="I342" t="str">
        <f>IF(H342&lt;=$BC$19,"Deficiente",IF(H342&lt;=$BC$20,"Regular",IF(H342&lt;=$BC$21,"Eficiente",0)))</f>
        <v>0</v>
      </c>
      <c r="J342" t="str">
        <f>SUM(B342:H342)</f>
        <v>0</v>
      </c>
      <c r="K342" t="str">
        <f>IF(J342&lt;=$BO$19,"Deficiente",IF(J342&lt;=$BO$20,"Regular",IF(J342&lt;=$BO$21,"Eficiente",0)))</f>
        <v>0</v>
      </c>
    </row>
    <row r="343" spans="1:75">
      <c r="A343" t="s">
        <v>369</v>
      </c>
      <c r="B343" t="str">
        <f>SUM('Desempeño profesional'!B344:K344)</f>
        <v>0</v>
      </c>
      <c r="C343" t="str">
        <f>IF(B343&lt;=$S$19,"Deficiente",IF(B343&lt;=$S$20,"Regular",IF(B343&lt;=$S$21,"Eficiente",0)))</f>
        <v>0</v>
      </c>
      <c r="D343" t="str">
        <f>SUM('Desempeño profesional'!L344:AD344)</f>
        <v>0</v>
      </c>
      <c r="E343" t="str">
        <f>IF(D343&lt;=$AE$19,"Deficiente",IF(D343&lt;=$AE$20,"Regular",IF(D343&lt;=$AE$21,"Eficiente",0)))</f>
        <v>0</v>
      </c>
      <c r="F343" t="str">
        <f>SUM('Desempeño profesional'!AE344:AJ344)</f>
        <v>0</v>
      </c>
      <c r="G343" t="str">
        <f>IF(F343&lt;=$AQ$19,"Deficiente",IF(F343&lt;=$AQ$20,"Regular",IF(F343&lt;=$AQ$21,"Eficiente",0)))</f>
        <v>0</v>
      </c>
      <c r="H343" t="str">
        <f>SUM('Desempeño profesional'!AK344:AO344)</f>
        <v>0</v>
      </c>
      <c r="I343" t="str">
        <f>IF(H343&lt;=$BC$19,"Deficiente",IF(H343&lt;=$BC$20,"Regular",IF(H343&lt;=$BC$21,"Eficiente",0)))</f>
        <v>0</v>
      </c>
      <c r="J343" t="str">
        <f>SUM(B343:H343)</f>
        <v>0</v>
      </c>
      <c r="K343" t="str">
        <f>IF(J343&lt;=$BO$19,"Deficiente",IF(J343&lt;=$BO$20,"Regular",IF(J343&lt;=$BO$21,"Eficiente",0)))</f>
        <v>0</v>
      </c>
    </row>
    <row r="344" spans="1:75">
      <c r="A344" t="s">
        <v>370</v>
      </c>
      <c r="B344" t="str">
        <f>SUM('Desempeño profesional'!B345:K345)</f>
        <v>0</v>
      </c>
      <c r="C344" t="str">
        <f>IF(B344&lt;=$S$19,"Deficiente",IF(B344&lt;=$S$20,"Regular",IF(B344&lt;=$S$21,"Eficiente",0)))</f>
        <v>0</v>
      </c>
      <c r="D344" t="str">
        <f>SUM('Desempeño profesional'!L345:AD345)</f>
        <v>0</v>
      </c>
      <c r="E344" t="str">
        <f>IF(D344&lt;=$AE$19,"Deficiente",IF(D344&lt;=$AE$20,"Regular",IF(D344&lt;=$AE$21,"Eficiente",0)))</f>
        <v>0</v>
      </c>
      <c r="F344" t="str">
        <f>SUM('Desempeño profesional'!AE345:AJ345)</f>
        <v>0</v>
      </c>
      <c r="G344" t="str">
        <f>IF(F344&lt;=$AQ$19,"Deficiente",IF(F344&lt;=$AQ$20,"Regular",IF(F344&lt;=$AQ$21,"Eficiente",0)))</f>
        <v>0</v>
      </c>
      <c r="H344" t="str">
        <f>SUM('Desempeño profesional'!AK345:AO345)</f>
        <v>0</v>
      </c>
      <c r="I344" t="str">
        <f>IF(H344&lt;=$BC$19,"Deficiente",IF(H344&lt;=$BC$20,"Regular",IF(H344&lt;=$BC$21,"Eficiente",0)))</f>
        <v>0</v>
      </c>
      <c r="J344" t="str">
        <f>SUM(B344:H344)</f>
        <v>0</v>
      </c>
      <c r="K344" t="str">
        <f>IF(J344&lt;=$BO$19,"Deficiente",IF(J344&lt;=$BO$20,"Regular",IF(J344&lt;=$BO$21,"Eficiente",0)))</f>
        <v>0</v>
      </c>
    </row>
    <row r="345" spans="1:75">
      <c r="A345" t="s">
        <v>371</v>
      </c>
      <c r="B345" t="str">
        <f>SUM('Desempeño profesional'!B346:K346)</f>
        <v>0</v>
      </c>
      <c r="C345" t="str">
        <f>IF(B345&lt;=$S$19,"Deficiente",IF(B345&lt;=$S$20,"Regular",IF(B345&lt;=$S$21,"Eficiente",0)))</f>
        <v>0</v>
      </c>
      <c r="D345" t="str">
        <f>SUM('Desempeño profesional'!L346:AD346)</f>
        <v>0</v>
      </c>
      <c r="E345" t="str">
        <f>IF(D345&lt;=$AE$19,"Deficiente",IF(D345&lt;=$AE$20,"Regular",IF(D345&lt;=$AE$21,"Eficiente",0)))</f>
        <v>0</v>
      </c>
      <c r="F345" t="str">
        <f>SUM('Desempeño profesional'!AE346:AJ346)</f>
        <v>0</v>
      </c>
      <c r="G345" t="str">
        <f>IF(F345&lt;=$AQ$19,"Deficiente",IF(F345&lt;=$AQ$20,"Regular",IF(F345&lt;=$AQ$21,"Eficiente",0)))</f>
        <v>0</v>
      </c>
      <c r="H345" t="str">
        <f>SUM('Desempeño profesional'!AK346:AO346)</f>
        <v>0</v>
      </c>
      <c r="I345" t="str">
        <f>IF(H345&lt;=$BC$19,"Deficiente",IF(H345&lt;=$BC$20,"Regular",IF(H345&lt;=$BC$21,"Eficiente",0)))</f>
        <v>0</v>
      </c>
      <c r="J345" t="str">
        <f>SUM(B345:H345)</f>
        <v>0</v>
      </c>
      <c r="K345" t="str">
        <f>IF(J345&lt;=$BO$19,"Deficiente",IF(J345&lt;=$BO$20,"Regular",IF(J345&lt;=$BO$21,"Eficiente",0)))</f>
        <v>0</v>
      </c>
    </row>
    <row r="346" spans="1:75">
      <c r="A346" t="s">
        <v>372</v>
      </c>
      <c r="B346" t="str">
        <f>SUM('Desempeño profesional'!B347:K347)</f>
        <v>0</v>
      </c>
      <c r="C346" t="str">
        <f>IF(B346&lt;=$S$19,"Deficiente",IF(B346&lt;=$S$20,"Regular",IF(B346&lt;=$S$21,"Eficiente",0)))</f>
        <v>0</v>
      </c>
      <c r="D346" t="str">
        <f>SUM('Desempeño profesional'!L347:AD347)</f>
        <v>0</v>
      </c>
      <c r="E346" t="str">
        <f>IF(D346&lt;=$AE$19,"Deficiente",IF(D346&lt;=$AE$20,"Regular",IF(D346&lt;=$AE$21,"Eficiente",0)))</f>
        <v>0</v>
      </c>
      <c r="F346" t="str">
        <f>SUM('Desempeño profesional'!AE347:AJ347)</f>
        <v>0</v>
      </c>
      <c r="G346" t="str">
        <f>IF(F346&lt;=$AQ$19,"Deficiente",IF(F346&lt;=$AQ$20,"Regular",IF(F346&lt;=$AQ$21,"Eficiente",0)))</f>
        <v>0</v>
      </c>
      <c r="H346" t="str">
        <f>SUM('Desempeño profesional'!AK347:AO347)</f>
        <v>0</v>
      </c>
      <c r="I346" t="str">
        <f>IF(H346&lt;=$BC$19,"Deficiente",IF(H346&lt;=$BC$20,"Regular",IF(H346&lt;=$BC$21,"Eficiente",0)))</f>
        <v>0</v>
      </c>
      <c r="J346" t="str">
        <f>SUM(B346:H346)</f>
        <v>0</v>
      </c>
      <c r="K346" t="str">
        <f>IF(J346&lt;=$BO$19,"Deficiente",IF(J346&lt;=$BO$20,"Regular",IF(J346&lt;=$BO$21,"Eficiente",0)))</f>
        <v>0</v>
      </c>
    </row>
    <row r="347" spans="1:75">
      <c r="A347" t="s">
        <v>373</v>
      </c>
      <c r="B347" t="str">
        <f>SUM('Desempeño profesional'!B348:K348)</f>
        <v>0</v>
      </c>
      <c r="C347" t="str">
        <f>IF(B347&lt;=$S$19,"Deficiente",IF(B347&lt;=$S$20,"Regular",IF(B347&lt;=$S$21,"Eficiente",0)))</f>
        <v>0</v>
      </c>
      <c r="D347" t="str">
        <f>SUM('Desempeño profesional'!L348:AD348)</f>
        <v>0</v>
      </c>
      <c r="E347" t="str">
        <f>IF(D347&lt;=$AE$19,"Deficiente",IF(D347&lt;=$AE$20,"Regular",IF(D347&lt;=$AE$21,"Eficiente",0)))</f>
        <v>0</v>
      </c>
      <c r="F347" t="str">
        <f>SUM('Desempeño profesional'!AE348:AJ348)</f>
        <v>0</v>
      </c>
      <c r="G347" t="str">
        <f>IF(F347&lt;=$AQ$19,"Deficiente",IF(F347&lt;=$AQ$20,"Regular",IF(F347&lt;=$AQ$21,"Eficiente",0)))</f>
        <v>0</v>
      </c>
      <c r="H347" t="str">
        <f>SUM('Desempeño profesional'!AK348:AO348)</f>
        <v>0</v>
      </c>
      <c r="I347" t="str">
        <f>IF(H347&lt;=$BC$19,"Deficiente",IF(H347&lt;=$BC$20,"Regular",IF(H347&lt;=$BC$21,"Eficiente",0)))</f>
        <v>0</v>
      </c>
      <c r="J347" t="str">
        <f>SUM(B347:H347)</f>
        <v>0</v>
      </c>
      <c r="K347" t="str">
        <f>IF(J347&lt;=$BO$19,"Deficiente",IF(J347&lt;=$BO$20,"Regular",IF(J347&lt;=$BO$21,"Eficiente",0)))</f>
        <v>0</v>
      </c>
    </row>
    <row r="348" spans="1:75">
      <c r="A348" t="s">
        <v>374</v>
      </c>
      <c r="B348" t="str">
        <f>SUM('Desempeño profesional'!B349:K349)</f>
        <v>0</v>
      </c>
      <c r="C348" t="str">
        <f>IF(B348&lt;=$S$19,"Deficiente",IF(B348&lt;=$S$20,"Regular",IF(B348&lt;=$S$21,"Eficiente",0)))</f>
        <v>0</v>
      </c>
      <c r="D348" t="str">
        <f>SUM('Desempeño profesional'!L349:AD349)</f>
        <v>0</v>
      </c>
      <c r="E348" t="str">
        <f>IF(D348&lt;=$AE$19,"Deficiente",IF(D348&lt;=$AE$20,"Regular",IF(D348&lt;=$AE$21,"Eficiente",0)))</f>
        <v>0</v>
      </c>
      <c r="F348" t="str">
        <f>SUM('Desempeño profesional'!AE349:AJ349)</f>
        <v>0</v>
      </c>
      <c r="G348" t="str">
        <f>IF(F348&lt;=$AQ$19,"Deficiente",IF(F348&lt;=$AQ$20,"Regular",IF(F348&lt;=$AQ$21,"Eficiente",0)))</f>
        <v>0</v>
      </c>
      <c r="H348" t="str">
        <f>SUM('Desempeño profesional'!AK349:AO349)</f>
        <v>0</v>
      </c>
      <c r="I348" t="str">
        <f>IF(H348&lt;=$BC$19,"Deficiente",IF(H348&lt;=$BC$20,"Regular",IF(H348&lt;=$BC$21,"Eficiente",0)))</f>
        <v>0</v>
      </c>
      <c r="J348" t="str">
        <f>SUM(B348:H348)</f>
        <v>0</v>
      </c>
      <c r="K348" t="str">
        <f>IF(J348&lt;=$BO$19,"Deficiente",IF(J348&lt;=$BO$20,"Regular",IF(J348&lt;=$BO$21,"Eficiente",0)))</f>
        <v>0</v>
      </c>
    </row>
    <row r="349" spans="1:75">
      <c r="A349" t="s">
        <v>375</v>
      </c>
      <c r="B349" t="str">
        <f>SUM('Desempeño profesional'!B350:K350)</f>
        <v>0</v>
      </c>
      <c r="C349" t="str">
        <f>IF(B349&lt;=$S$19,"Deficiente",IF(B349&lt;=$S$20,"Regular",IF(B349&lt;=$S$21,"Eficiente",0)))</f>
        <v>0</v>
      </c>
      <c r="D349" t="str">
        <f>SUM('Desempeño profesional'!L350:AD350)</f>
        <v>0</v>
      </c>
      <c r="E349" t="str">
        <f>IF(D349&lt;=$AE$19,"Deficiente",IF(D349&lt;=$AE$20,"Regular",IF(D349&lt;=$AE$21,"Eficiente",0)))</f>
        <v>0</v>
      </c>
      <c r="F349" t="str">
        <f>SUM('Desempeño profesional'!AE350:AJ350)</f>
        <v>0</v>
      </c>
      <c r="G349" t="str">
        <f>IF(F349&lt;=$AQ$19,"Deficiente",IF(F349&lt;=$AQ$20,"Regular",IF(F349&lt;=$AQ$21,"Eficiente",0)))</f>
        <v>0</v>
      </c>
      <c r="H349" t="str">
        <f>SUM('Desempeño profesional'!AK350:AO350)</f>
        <v>0</v>
      </c>
      <c r="I349" t="str">
        <f>IF(H349&lt;=$BC$19,"Deficiente",IF(H349&lt;=$BC$20,"Regular",IF(H349&lt;=$BC$21,"Eficiente",0)))</f>
        <v>0</v>
      </c>
      <c r="J349" t="str">
        <f>SUM(B349:H349)</f>
        <v>0</v>
      </c>
      <c r="K349" t="str">
        <f>IF(J349&lt;=$BO$19,"Deficiente",IF(J349&lt;=$BO$20,"Regular",IF(J349&lt;=$BO$21,"Eficiente",0)))</f>
        <v>0</v>
      </c>
    </row>
    <row r="350" spans="1:75">
      <c r="A350" t="s">
        <v>376</v>
      </c>
      <c r="B350" t="str">
        <f>SUM('Desempeño profesional'!B351:K351)</f>
        <v>0</v>
      </c>
      <c r="C350" t="str">
        <f>IF(B350&lt;=$S$19,"Deficiente",IF(B350&lt;=$S$20,"Regular",IF(B350&lt;=$S$21,"Eficiente",0)))</f>
        <v>0</v>
      </c>
      <c r="D350" t="str">
        <f>SUM('Desempeño profesional'!L351:AD351)</f>
        <v>0</v>
      </c>
      <c r="E350" t="str">
        <f>IF(D350&lt;=$AE$19,"Deficiente",IF(D350&lt;=$AE$20,"Regular",IF(D350&lt;=$AE$21,"Eficiente",0)))</f>
        <v>0</v>
      </c>
      <c r="F350" t="str">
        <f>SUM('Desempeño profesional'!AE351:AJ351)</f>
        <v>0</v>
      </c>
      <c r="G350" t="str">
        <f>IF(F350&lt;=$AQ$19,"Deficiente",IF(F350&lt;=$AQ$20,"Regular",IF(F350&lt;=$AQ$21,"Eficiente",0)))</f>
        <v>0</v>
      </c>
      <c r="H350" t="str">
        <f>SUM('Desempeño profesional'!AK351:AO351)</f>
        <v>0</v>
      </c>
      <c r="I350" t="str">
        <f>IF(H350&lt;=$BC$19,"Deficiente",IF(H350&lt;=$BC$20,"Regular",IF(H350&lt;=$BC$21,"Eficiente",0)))</f>
        <v>0</v>
      </c>
      <c r="J350" t="str">
        <f>SUM(B350:H350)</f>
        <v>0</v>
      </c>
      <c r="K350" t="str">
        <f>IF(J350&lt;=$BO$19,"Deficiente",IF(J350&lt;=$BO$20,"Regular",IF(J350&lt;=$BO$21,"Eficiente",0)))</f>
        <v>0</v>
      </c>
    </row>
    <row r="351" spans="1:75">
      <c r="A351" t="s">
        <v>377</v>
      </c>
      <c r="B351" t="str">
        <f>SUM('Desempeño profesional'!B352:K352)</f>
        <v>0</v>
      </c>
      <c r="C351" t="str">
        <f>IF(B351&lt;=$S$19,"Deficiente",IF(B351&lt;=$S$20,"Regular",IF(B351&lt;=$S$21,"Eficiente",0)))</f>
        <v>0</v>
      </c>
      <c r="D351" t="str">
        <f>SUM('Desempeño profesional'!L352:AD352)</f>
        <v>0</v>
      </c>
      <c r="E351" t="str">
        <f>IF(D351&lt;=$AE$19,"Deficiente",IF(D351&lt;=$AE$20,"Regular",IF(D351&lt;=$AE$21,"Eficiente",0)))</f>
        <v>0</v>
      </c>
      <c r="F351" t="str">
        <f>SUM('Desempeño profesional'!AE352:AJ352)</f>
        <v>0</v>
      </c>
      <c r="G351" t="str">
        <f>IF(F351&lt;=$AQ$19,"Deficiente",IF(F351&lt;=$AQ$20,"Regular",IF(F351&lt;=$AQ$21,"Eficiente",0)))</f>
        <v>0</v>
      </c>
      <c r="H351" t="str">
        <f>SUM('Desempeño profesional'!AK352:AO352)</f>
        <v>0</v>
      </c>
      <c r="I351" t="str">
        <f>IF(H351&lt;=$BC$19,"Deficiente",IF(H351&lt;=$BC$20,"Regular",IF(H351&lt;=$BC$21,"Eficiente",0)))</f>
        <v>0</v>
      </c>
      <c r="J351" t="str">
        <f>SUM(B351:H351)</f>
        <v>0</v>
      </c>
      <c r="K351" t="str">
        <f>IF(J351&lt;=$BO$19,"Deficiente",IF(J351&lt;=$BO$20,"Regular",IF(J351&lt;=$BO$21,"Eficiente",0)))</f>
        <v>0</v>
      </c>
    </row>
    <row r="352" spans="1:75">
      <c r="A352" t="s">
        <v>378</v>
      </c>
      <c r="B352" t="str">
        <f>SUM('Desempeño profesional'!B353:K353)</f>
        <v>0</v>
      </c>
      <c r="C352" t="str">
        <f>IF(B352&lt;=$S$19,"Deficiente",IF(B352&lt;=$S$20,"Regular",IF(B352&lt;=$S$21,"Eficiente",0)))</f>
        <v>0</v>
      </c>
      <c r="D352" t="str">
        <f>SUM('Desempeño profesional'!L353:AD353)</f>
        <v>0</v>
      </c>
      <c r="E352" t="str">
        <f>IF(D352&lt;=$AE$19,"Deficiente",IF(D352&lt;=$AE$20,"Regular",IF(D352&lt;=$AE$21,"Eficiente",0)))</f>
        <v>0</v>
      </c>
      <c r="F352" t="str">
        <f>SUM('Desempeño profesional'!AE353:AJ353)</f>
        <v>0</v>
      </c>
      <c r="G352" t="str">
        <f>IF(F352&lt;=$AQ$19,"Deficiente",IF(F352&lt;=$AQ$20,"Regular",IF(F352&lt;=$AQ$21,"Eficiente",0)))</f>
        <v>0</v>
      </c>
      <c r="H352" t="str">
        <f>SUM('Desempeño profesional'!AK353:AO353)</f>
        <v>0</v>
      </c>
      <c r="I352" t="str">
        <f>IF(H352&lt;=$BC$19,"Deficiente",IF(H352&lt;=$BC$20,"Regular",IF(H352&lt;=$BC$21,"Eficiente",0)))</f>
        <v>0</v>
      </c>
      <c r="J352" t="str">
        <f>SUM(B352:H352)</f>
        <v>0</v>
      </c>
      <c r="K352" t="str">
        <f>IF(J352&lt;=$BO$19,"Deficiente",IF(J352&lt;=$BO$20,"Regular",IF(J352&lt;=$BO$21,"Eficiente",0)))</f>
        <v>0</v>
      </c>
    </row>
    <row r="353" spans="1:75">
      <c r="A353" t="s">
        <v>379</v>
      </c>
      <c r="B353" t="str">
        <f>SUM('Desempeño profesional'!B354:K354)</f>
        <v>0</v>
      </c>
      <c r="C353" t="str">
        <f>IF(B353&lt;=$S$19,"Deficiente",IF(B353&lt;=$S$20,"Regular",IF(B353&lt;=$S$21,"Eficiente",0)))</f>
        <v>0</v>
      </c>
      <c r="D353" t="str">
        <f>SUM('Desempeño profesional'!L354:AD354)</f>
        <v>0</v>
      </c>
      <c r="E353" t="str">
        <f>IF(D353&lt;=$AE$19,"Deficiente",IF(D353&lt;=$AE$20,"Regular",IF(D353&lt;=$AE$21,"Eficiente",0)))</f>
        <v>0</v>
      </c>
      <c r="F353" t="str">
        <f>SUM('Desempeño profesional'!AE354:AJ354)</f>
        <v>0</v>
      </c>
      <c r="G353" t="str">
        <f>IF(F353&lt;=$AQ$19,"Deficiente",IF(F353&lt;=$AQ$20,"Regular",IF(F353&lt;=$AQ$21,"Eficiente",0)))</f>
        <v>0</v>
      </c>
      <c r="H353" t="str">
        <f>SUM('Desempeño profesional'!AK354:AO354)</f>
        <v>0</v>
      </c>
      <c r="I353" t="str">
        <f>IF(H353&lt;=$BC$19,"Deficiente",IF(H353&lt;=$BC$20,"Regular",IF(H353&lt;=$BC$21,"Eficiente",0)))</f>
        <v>0</v>
      </c>
      <c r="J353" t="str">
        <f>SUM(B353:H353)</f>
        <v>0</v>
      </c>
      <c r="K353" t="str">
        <f>IF(J353&lt;=$BO$19,"Deficiente",IF(J353&lt;=$BO$20,"Regular",IF(J353&lt;=$BO$21,"Eficiente",0)))</f>
        <v>0</v>
      </c>
    </row>
    <row r="354" spans="1:75">
      <c r="A354" t="s">
        <v>380</v>
      </c>
      <c r="B354" t="str">
        <f>SUM('Desempeño profesional'!B355:K355)</f>
        <v>0</v>
      </c>
      <c r="C354" t="str">
        <f>IF(B354&lt;=$S$19,"Deficiente",IF(B354&lt;=$S$20,"Regular",IF(B354&lt;=$S$21,"Eficiente",0)))</f>
        <v>0</v>
      </c>
      <c r="D354" t="str">
        <f>SUM('Desempeño profesional'!L355:AD355)</f>
        <v>0</v>
      </c>
      <c r="E354" t="str">
        <f>IF(D354&lt;=$AE$19,"Deficiente",IF(D354&lt;=$AE$20,"Regular",IF(D354&lt;=$AE$21,"Eficiente",0)))</f>
        <v>0</v>
      </c>
      <c r="F354" t="str">
        <f>SUM('Desempeño profesional'!AE355:AJ355)</f>
        <v>0</v>
      </c>
      <c r="G354" t="str">
        <f>IF(F354&lt;=$AQ$19,"Deficiente",IF(F354&lt;=$AQ$20,"Regular",IF(F354&lt;=$AQ$21,"Eficiente",0)))</f>
        <v>0</v>
      </c>
      <c r="H354" t="str">
        <f>SUM('Desempeño profesional'!AK355:AO355)</f>
        <v>0</v>
      </c>
      <c r="I354" t="str">
        <f>IF(H354&lt;=$BC$19,"Deficiente",IF(H354&lt;=$BC$20,"Regular",IF(H354&lt;=$BC$21,"Eficiente",0)))</f>
        <v>0</v>
      </c>
      <c r="J354" t="str">
        <f>SUM(B354:H354)</f>
        <v>0</v>
      </c>
      <c r="K354" t="str">
        <f>IF(J354&lt;=$BO$19,"Deficiente",IF(J354&lt;=$BO$20,"Regular",IF(J354&lt;=$BO$21,"Eficiente",0)))</f>
        <v>0</v>
      </c>
    </row>
    <row r="355" spans="1:75">
      <c r="A355" t="s">
        <v>381</v>
      </c>
      <c r="B355" t="str">
        <f>SUM('Desempeño profesional'!B356:K356)</f>
        <v>0</v>
      </c>
      <c r="C355" t="str">
        <f>IF(B355&lt;=$S$19,"Deficiente",IF(B355&lt;=$S$20,"Regular",IF(B355&lt;=$S$21,"Eficiente",0)))</f>
        <v>0</v>
      </c>
      <c r="D355" t="str">
        <f>SUM('Desempeño profesional'!L356:AD356)</f>
        <v>0</v>
      </c>
      <c r="E355" t="str">
        <f>IF(D355&lt;=$AE$19,"Deficiente",IF(D355&lt;=$AE$20,"Regular",IF(D355&lt;=$AE$21,"Eficiente",0)))</f>
        <v>0</v>
      </c>
      <c r="F355" t="str">
        <f>SUM('Desempeño profesional'!AE356:AJ356)</f>
        <v>0</v>
      </c>
      <c r="G355" t="str">
        <f>IF(F355&lt;=$AQ$19,"Deficiente",IF(F355&lt;=$AQ$20,"Regular",IF(F355&lt;=$AQ$21,"Eficiente",0)))</f>
        <v>0</v>
      </c>
      <c r="H355" t="str">
        <f>SUM('Desempeño profesional'!AK356:AO356)</f>
        <v>0</v>
      </c>
      <c r="I355" t="str">
        <f>IF(H355&lt;=$BC$19,"Deficiente",IF(H355&lt;=$BC$20,"Regular",IF(H355&lt;=$BC$21,"Eficiente",0)))</f>
        <v>0</v>
      </c>
      <c r="J355" t="str">
        <f>SUM(B355:H355)</f>
        <v>0</v>
      </c>
      <c r="K355" t="str">
        <f>IF(J355&lt;=$BO$19,"Deficiente",IF(J355&lt;=$BO$20,"Regular",IF(J355&lt;=$BO$21,"Eficiente",0)))</f>
        <v>0</v>
      </c>
    </row>
    <row r="356" spans="1:75">
      <c r="A356" t="s">
        <v>382</v>
      </c>
      <c r="B356" t="str">
        <f>SUM('Desempeño profesional'!B357:K357)</f>
        <v>0</v>
      </c>
      <c r="C356" t="str">
        <f>IF(B356&lt;=$S$19,"Deficiente",IF(B356&lt;=$S$20,"Regular",IF(B356&lt;=$S$21,"Eficiente",0)))</f>
        <v>0</v>
      </c>
      <c r="D356" t="str">
        <f>SUM('Desempeño profesional'!L357:AD357)</f>
        <v>0</v>
      </c>
      <c r="E356" t="str">
        <f>IF(D356&lt;=$AE$19,"Deficiente",IF(D356&lt;=$AE$20,"Regular",IF(D356&lt;=$AE$21,"Eficiente",0)))</f>
        <v>0</v>
      </c>
      <c r="F356" t="str">
        <f>SUM('Desempeño profesional'!AE357:AJ357)</f>
        <v>0</v>
      </c>
      <c r="G356" t="str">
        <f>IF(F356&lt;=$AQ$19,"Deficiente",IF(F356&lt;=$AQ$20,"Regular",IF(F356&lt;=$AQ$21,"Eficiente",0)))</f>
        <v>0</v>
      </c>
      <c r="H356" t="str">
        <f>SUM('Desempeño profesional'!AK357:AO357)</f>
        <v>0</v>
      </c>
      <c r="I356" t="str">
        <f>IF(H356&lt;=$BC$19,"Deficiente",IF(H356&lt;=$BC$20,"Regular",IF(H356&lt;=$BC$21,"Eficiente",0)))</f>
        <v>0</v>
      </c>
      <c r="J356" t="str">
        <f>SUM(B356:H356)</f>
        <v>0</v>
      </c>
      <c r="K356" t="str">
        <f>IF(J356&lt;=$BO$19,"Deficiente",IF(J356&lt;=$BO$20,"Regular",IF(J356&lt;=$BO$21,"Eficiente",0)))</f>
        <v>0</v>
      </c>
    </row>
    <row r="357" spans="1:75">
      <c r="A357" t="s">
        <v>383</v>
      </c>
      <c r="B357" t="str">
        <f>SUM('Desempeño profesional'!B358:K358)</f>
        <v>0</v>
      </c>
      <c r="C357" t="str">
        <f>IF(B357&lt;=$S$19,"Deficiente",IF(B357&lt;=$S$20,"Regular",IF(B357&lt;=$S$21,"Eficiente",0)))</f>
        <v>0</v>
      </c>
      <c r="D357" t="str">
        <f>SUM('Desempeño profesional'!L358:AD358)</f>
        <v>0</v>
      </c>
      <c r="E357" t="str">
        <f>IF(D357&lt;=$AE$19,"Deficiente",IF(D357&lt;=$AE$20,"Regular",IF(D357&lt;=$AE$21,"Eficiente",0)))</f>
        <v>0</v>
      </c>
      <c r="F357" t="str">
        <f>SUM('Desempeño profesional'!AE358:AJ358)</f>
        <v>0</v>
      </c>
      <c r="G357" t="str">
        <f>IF(F357&lt;=$AQ$19,"Deficiente",IF(F357&lt;=$AQ$20,"Regular",IF(F357&lt;=$AQ$21,"Eficiente",0)))</f>
        <v>0</v>
      </c>
      <c r="H357" t="str">
        <f>SUM('Desempeño profesional'!AK358:AO358)</f>
        <v>0</v>
      </c>
      <c r="I357" t="str">
        <f>IF(H357&lt;=$BC$19,"Deficiente",IF(H357&lt;=$BC$20,"Regular",IF(H357&lt;=$BC$21,"Eficiente",0)))</f>
        <v>0</v>
      </c>
      <c r="J357" t="str">
        <f>SUM(B357:H357)</f>
        <v>0</v>
      </c>
      <c r="K357" t="str">
        <f>IF(J357&lt;=$BO$19,"Deficiente",IF(J357&lt;=$BO$20,"Regular",IF(J357&lt;=$BO$21,"Eficiente",0)))</f>
        <v>0</v>
      </c>
    </row>
    <row r="358" spans="1:75">
      <c r="A358" t="s">
        <v>384</v>
      </c>
      <c r="B358" t="str">
        <f>SUM('Desempeño profesional'!B359:K359)</f>
        <v>0</v>
      </c>
      <c r="C358" t="str">
        <f>IF(B358&lt;=$S$19,"Deficiente",IF(B358&lt;=$S$20,"Regular",IF(B358&lt;=$S$21,"Eficiente",0)))</f>
        <v>0</v>
      </c>
      <c r="D358" t="str">
        <f>SUM('Desempeño profesional'!L359:AD359)</f>
        <v>0</v>
      </c>
      <c r="E358" t="str">
        <f>IF(D358&lt;=$AE$19,"Deficiente",IF(D358&lt;=$AE$20,"Regular",IF(D358&lt;=$AE$21,"Eficiente",0)))</f>
        <v>0</v>
      </c>
      <c r="F358" t="str">
        <f>SUM('Desempeño profesional'!AE359:AJ359)</f>
        <v>0</v>
      </c>
      <c r="G358" t="str">
        <f>IF(F358&lt;=$AQ$19,"Deficiente",IF(F358&lt;=$AQ$20,"Regular",IF(F358&lt;=$AQ$21,"Eficiente",0)))</f>
        <v>0</v>
      </c>
      <c r="H358" t="str">
        <f>SUM('Desempeño profesional'!AK359:AO359)</f>
        <v>0</v>
      </c>
      <c r="I358" t="str">
        <f>IF(H358&lt;=$BC$19,"Deficiente",IF(H358&lt;=$BC$20,"Regular",IF(H358&lt;=$BC$21,"Eficiente",0)))</f>
        <v>0</v>
      </c>
      <c r="J358" t="str">
        <f>SUM(B358:H358)</f>
        <v>0</v>
      </c>
      <c r="K358" t="str">
        <f>IF(J358&lt;=$BO$19,"Deficiente",IF(J358&lt;=$BO$20,"Regular",IF(J358&lt;=$BO$21,"Eficiente",0)))</f>
        <v>0</v>
      </c>
    </row>
    <row r="901" spans="1:75">
      <c r="M901" s="10" t="s">
        <v>405</v>
      </c>
      <c r="N901" s="10" t="str">
        <f>(P4)</f>
        <v>0</v>
      </c>
      <c r="P901" s="10" t="s">
        <v>433</v>
      </c>
      <c r="Y901" s="10" t="s">
        <v>405</v>
      </c>
      <c r="Z901" s="10" t="str">
        <f>(AB4)</f>
        <v>0</v>
      </c>
      <c r="AB901" s="10" t="s">
        <v>433</v>
      </c>
      <c r="AK901" s="10" t="s">
        <v>405</v>
      </c>
      <c r="AL901" s="10" t="str">
        <f>(AN4)</f>
        <v>0</v>
      </c>
      <c r="AN901" s="10" t="s">
        <v>433</v>
      </c>
      <c r="AW901" s="10" t="s">
        <v>405</v>
      </c>
      <c r="AX901" s="10" t="str">
        <f>(AZ4)</f>
        <v>0</v>
      </c>
      <c r="AZ901" s="10" t="s">
        <v>433</v>
      </c>
      <c r="BI901" s="10" t="s">
        <v>405</v>
      </c>
      <c r="BJ901" s="10" t="str">
        <f>(BL4)</f>
        <v>0</v>
      </c>
      <c r="BL901" s="10" t="s">
        <v>433</v>
      </c>
    </row>
    <row r="902" spans="1:75">
      <c r="M902" s="10" t="s">
        <v>434</v>
      </c>
      <c r="N902" s="10" t="str">
        <f>(P5)</f>
        <v>0</v>
      </c>
      <c r="P902" s="10" t="s">
        <v>435</v>
      </c>
      <c r="Y902" s="10" t="s">
        <v>434</v>
      </c>
      <c r="Z902" s="10" t="str">
        <f>(AB5)</f>
        <v>0</v>
      </c>
      <c r="AB902" s="10" t="s">
        <v>435</v>
      </c>
      <c r="AK902" s="10" t="s">
        <v>434</v>
      </c>
      <c r="AL902" s="10" t="str">
        <f>(AN5)</f>
        <v>0</v>
      </c>
      <c r="AN902" s="10" t="s">
        <v>435</v>
      </c>
      <c r="AW902" s="10" t="s">
        <v>434</v>
      </c>
      <c r="AX902" s="10" t="str">
        <f>(AZ5)</f>
        <v>0</v>
      </c>
      <c r="AZ902" s="10" t="s">
        <v>435</v>
      </c>
      <c r="BI902" s="10" t="s">
        <v>434</v>
      </c>
      <c r="BJ902" s="10" t="str">
        <f>(BL5)</f>
        <v>0</v>
      </c>
      <c r="BL902" s="10" t="s">
        <v>435</v>
      </c>
    </row>
    <row r="904" spans="1:75">
      <c r="M904" s="10" t="s">
        <v>436</v>
      </c>
      <c r="N904" s="14" t="str">
        <f>MAX(U19:U21)</f>
        <v>0</v>
      </c>
      <c r="O904" s="10" t="str">
        <f>IF(N904=U19,Q19,IF(N904=U20,Q20,IF(N904=U21,Q21,"algo esta mal")))</f>
        <v>0</v>
      </c>
      <c r="Y904" s="10" t="s">
        <v>436</v>
      </c>
      <c r="Z904" s="14" t="str">
        <f>MAX(AG19:AG21)</f>
        <v>0</v>
      </c>
      <c r="AA904" s="10" t="str">
        <f>IF(Z904=AG19,AC19,IF(Z904=AG20,AC20,IF(Z904=AG21,AC21,"algo esta mal")))</f>
        <v>0</v>
      </c>
      <c r="AK904" s="10" t="s">
        <v>436</v>
      </c>
      <c r="AL904" s="14" t="str">
        <f>MAX(AS19:AS21)</f>
        <v>0</v>
      </c>
      <c r="AM904" s="10" t="str">
        <f>IF(AL904=AS19,AO19,IF(AL904=AS20,AO20,IF(AL904=AS21,AO21,"algo esta mal")))</f>
        <v>0</v>
      </c>
      <c r="AW904" s="10" t="s">
        <v>436</v>
      </c>
      <c r="AX904" s="14" t="str">
        <f>MAX(BE19:BE21)</f>
        <v>0</v>
      </c>
      <c r="AY904" s="10" t="str">
        <f>IF(AX904=BE19,BA19,IF(AX904=BE20,BA20,IF(AX904=BE21,BA21,"algo esta mal")))</f>
        <v>0</v>
      </c>
      <c r="BI904" s="10" t="s">
        <v>436</v>
      </c>
      <c r="BJ904" s="14" t="str">
        <f>MAX(BQ19:BQ21)</f>
        <v>0</v>
      </c>
      <c r="BK904" s="10" t="str">
        <f>IF(BJ904=BQ19,BM19,IF(BJ904=BQ20,BM20,IF(BJ904=BQ21,BM21,"algo esta mal")))</f>
        <v>0</v>
      </c>
    </row>
    <row r="905" spans="1:75">
      <c r="O905" s="10" t="s">
        <v>437</v>
      </c>
      <c r="P905" s="10" t="s">
        <v>438</v>
      </c>
      <c r="Q905" s="10" t="s">
        <v>568</v>
      </c>
      <c r="R905" s="10" t="s">
        <v>569</v>
      </c>
      <c r="S905" s="10" t="s">
        <v>570</v>
      </c>
      <c r="T905" s="10" t="s">
        <v>571</v>
      </c>
      <c r="U905" s="10" t="s">
        <v>572</v>
      </c>
      <c r="AA905" s="10" t="s">
        <v>437</v>
      </c>
      <c r="AB905" s="10" t="s">
        <v>438</v>
      </c>
      <c r="AC905" s="10" t="s">
        <v>568</v>
      </c>
      <c r="AD905" s="10" t="s">
        <v>569</v>
      </c>
      <c r="AE905" s="10" t="s">
        <v>570</v>
      </c>
      <c r="AF905" s="10" t="s">
        <v>571</v>
      </c>
      <c r="AG905" s="10" t="s">
        <v>572</v>
      </c>
      <c r="AM905" s="10" t="s">
        <v>437</v>
      </c>
      <c r="AN905" s="10" t="s">
        <v>438</v>
      </c>
      <c r="AO905" s="10" t="s">
        <v>568</v>
      </c>
      <c r="AP905" s="10" t="s">
        <v>569</v>
      </c>
      <c r="AQ905" s="10" t="s">
        <v>570</v>
      </c>
      <c r="AR905" s="10" t="s">
        <v>571</v>
      </c>
      <c r="AS905" s="10" t="s">
        <v>572</v>
      </c>
      <c r="AY905" s="10" t="s">
        <v>437</v>
      </c>
      <c r="AZ905" s="10" t="s">
        <v>438</v>
      </c>
      <c r="BA905" s="10" t="s">
        <v>568</v>
      </c>
      <c r="BB905" s="10" t="s">
        <v>569</v>
      </c>
      <c r="BC905" s="10" t="s">
        <v>570</v>
      </c>
      <c r="BD905" s="10" t="s">
        <v>571</v>
      </c>
      <c r="BE905" s="10" t="s">
        <v>572</v>
      </c>
    </row>
    <row r="906" spans="1:75">
      <c r="O906" s="10"/>
      <c r="P906" s="14"/>
      <c r="Q906" t="str">
        <f>('Desempeño profesional'!B372)</f>
        <v>0</v>
      </c>
      <c r="R906" t="str">
        <f>('Desempeño profesional'!B373)</f>
        <v>0</v>
      </c>
      <c r="S906" t="str">
        <f>('Desempeño profesional'!B374)</f>
        <v>0</v>
      </c>
      <c r="T906" t="str">
        <f>('Desempeño profesional'!B375)</f>
        <v>0</v>
      </c>
      <c r="U906" t="str">
        <f>('Desempeño profesional'!B376)</f>
        <v>0</v>
      </c>
      <c r="AA906" s="10"/>
      <c r="AB906" s="14"/>
      <c r="AC906" t="str">
        <f>('Desempeño profesional'!L372)</f>
        <v>0</v>
      </c>
      <c r="AD906" t="str">
        <f>('Desempeño profesional'!L373)</f>
        <v>0</v>
      </c>
      <c r="AE906" t="str">
        <f>('Desempeño profesional'!L374)</f>
        <v>0</v>
      </c>
      <c r="AF906" t="str">
        <f>('Desempeño profesional'!L375)</f>
        <v>0</v>
      </c>
      <c r="AG906" t="str">
        <f>('Desempeño profesional'!L376)</f>
        <v>0</v>
      </c>
      <c r="AM906" s="10"/>
      <c r="AN906" s="14"/>
      <c r="AO906" t="str">
        <f>('Desempeño profesional'!AE372)</f>
        <v>0</v>
      </c>
      <c r="AP906" t="str">
        <f>('Desempeño profesional'!AE373)</f>
        <v>0</v>
      </c>
      <c r="AQ906" t="str">
        <f>('Desempeño profesional'!AE374)</f>
        <v>0</v>
      </c>
      <c r="AR906" t="str">
        <f>('Desempeño profesional'!AE375)</f>
        <v>0</v>
      </c>
      <c r="AS906" t="str">
        <f>('Desempeño profesional'!AE376)</f>
        <v>0</v>
      </c>
      <c r="AY906" s="10"/>
      <c r="AZ906" s="14"/>
      <c r="BA906" t="str">
        <f>('Desempeño profesional'!AK372)</f>
        <v>0</v>
      </c>
      <c r="BB906" t="str">
        <f>('Desempeño profesional'!AK373)</f>
        <v>0</v>
      </c>
      <c r="BC906" t="str">
        <f>('Desempeño profesional'!AK374)</f>
        <v>0</v>
      </c>
      <c r="BD906" t="str">
        <f>('Desempeño profesional'!AK375)</f>
        <v>0</v>
      </c>
      <c r="BE906" t="str">
        <f>('Desempeño profesional'!AK376)</f>
        <v>0</v>
      </c>
    </row>
    <row r="907" spans="1:75">
      <c r="O907" s="10"/>
      <c r="P907" s="14"/>
      <c r="Q907" t="str">
        <f>('Desempeño profesional'!C372)</f>
        <v>0</v>
      </c>
      <c r="R907" t="str">
        <f>('Desempeño profesional'!C373)</f>
        <v>0</v>
      </c>
      <c r="S907" t="str">
        <f>('Desempeño profesional'!C374)</f>
        <v>0</v>
      </c>
      <c r="T907" t="str">
        <f>('Desempeño profesional'!C375)</f>
        <v>0</v>
      </c>
      <c r="U907" t="str">
        <f>('Desempeño profesional'!C376)</f>
        <v>0</v>
      </c>
      <c r="AA907" s="10"/>
      <c r="AB907" s="14"/>
      <c r="AC907" t="str">
        <f>('Desempeño profesional'!M372)</f>
        <v>0</v>
      </c>
      <c r="AD907" t="str">
        <f>('Desempeño profesional'!M373)</f>
        <v>0</v>
      </c>
      <c r="AE907" t="str">
        <f>('Desempeño profesional'!M374)</f>
        <v>0</v>
      </c>
      <c r="AF907" t="str">
        <f>('Desempeño profesional'!M375)</f>
        <v>0</v>
      </c>
      <c r="AG907" t="str">
        <f>('Desempeño profesional'!M376)</f>
        <v>0</v>
      </c>
      <c r="AM907" s="10"/>
      <c r="AN907" s="14"/>
      <c r="AO907" t="str">
        <f>('Desempeño profesional'!AF372)</f>
        <v>0</v>
      </c>
      <c r="AP907" t="str">
        <f>('Desempeño profesional'!AF373)</f>
        <v>0</v>
      </c>
      <c r="AQ907" t="str">
        <f>('Desempeño profesional'!AF374)</f>
        <v>0</v>
      </c>
      <c r="AR907" t="str">
        <f>('Desempeño profesional'!AF375)</f>
        <v>0</v>
      </c>
      <c r="AS907" t="str">
        <f>('Desempeño profesional'!AF376)</f>
        <v>0</v>
      </c>
      <c r="AY907" s="10"/>
      <c r="AZ907" s="14"/>
      <c r="BA907" t="str">
        <f>('Desempeño profesional'!AL372)</f>
        <v>0</v>
      </c>
      <c r="BB907" t="str">
        <f>('Desempeño profesional'!AL373)</f>
        <v>0</v>
      </c>
      <c r="BC907" t="str">
        <f>('Desempeño profesional'!AL374)</f>
        <v>0</v>
      </c>
      <c r="BD907" t="str">
        <f>('Desempeño profesional'!AL375)</f>
        <v>0</v>
      </c>
      <c r="BE907" t="str">
        <f>('Desempeño profesional'!AL376)</f>
        <v>0</v>
      </c>
    </row>
    <row r="908" spans="1:75">
      <c r="O908" s="10"/>
      <c r="P908" s="14"/>
      <c r="Q908" t="str">
        <f>('Desempeño profesional'!D372)</f>
        <v>0</v>
      </c>
      <c r="R908" t="str">
        <f>('Desempeño profesional'!D373)</f>
        <v>0</v>
      </c>
      <c r="S908" t="str">
        <f>('Desempeño profesional'!D374)</f>
        <v>0</v>
      </c>
      <c r="T908" t="str">
        <f>('Desempeño profesional'!D375)</f>
        <v>0</v>
      </c>
      <c r="U908" t="str">
        <f>('Desempeño profesional'!D376)</f>
        <v>0</v>
      </c>
      <c r="AA908" s="10"/>
      <c r="AB908" s="14"/>
      <c r="AC908" t="str">
        <f>('Desempeño profesional'!N372)</f>
        <v>0</v>
      </c>
      <c r="AD908" t="str">
        <f>('Desempeño profesional'!N373)</f>
        <v>0</v>
      </c>
      <c r="AE908" t="str">
        <f>('Desempeño profesional'!N374)</f>
        <v>0</v>
      </c>
      <c r="AF908" t="str">
        <f>('Desempeño profesional'!N375)</f>
        <v>0</v>
      </c>
      <c r="AG908" t="str">
        <f>('Desempeño profesional'!N376)</f>
        <v>0</v>
      </c>
      <c r="AM908" s="10"/>
      <c r="AN908" s="14"/>
      <c r="AO908" t="str">
        <f>('Desempeño profesional'!AG372)</f>
        <v>0</v>
      </c>
      <c r="AP908" t="str">
        <f>('Desempeño profesional'!AG373)</f>
        <v>0</v>
      </c>
      <c r="AQ908" t="str">
        <f>('Desempeño profesional'!AG374)</f>
        <v>0</v>
      </c>
      <c r="AR908" t="str">
        <f>('Desempeño profesional'!AG375)</f>
        <v>0</v>
      </c>
      <c r="AS908" t="str">
        <f>('Desempeño profesional'!AG376)</f>
        <v>0</v>
      </c>
      <c r="AY908" s="10"/>
      <c r="AZ908" s="14"/>
      <c r="BA908" t="str">
        <f>('Desempeño profesional'!AM372)</f>
        <v>0</v>
      </c>
      <c r="BB908" t="str">
        <f>('Desempeño profesional'!AM373)</f>
        <v>0</v>
      </c>
      <c r="BC908" t="str">
        <f>('Desempeño profesional'!AM374)</f>
        <v>0</v>
      </c>
      <c r="BD908" t="str">
        <f>('Desempeño profesional'!AM375)</f>
        <v>0</v>
      </c>
      <c r="BE908" t="str">
        <f>('Desempeño profesional'!AM376)</f>
        <v>0</v>
      </c>
    </row>
    <row r="909" spans="1:75">
      <c r="O909" s="10"/>
      <c r="P909" s="14"/>
      <c r="Q909" t="str">
        <f>('Desempeño profesional'!E372)</f>
        <v>0</v>
      </c>
      <c r="R909" t="str">
        <f>('Desempeño profesional'!E373)</f>
        <v>0</v>
      </c>
      <c r="S909" t="str">
        <f>('Desempeño profesional'!E374)</f>
        <v>0</v>
      </c>
      <c r="T909" t="str">
        <f>('Desempeño profesional'!E375)</f>
        <v>0</v>
      </c>
      <c r="U909" t="str">
        <f>('Desempeño profesional'!E376)</f>
        <v>0</v>
      </c>
      <c r="AA909" s="10"/>
      <c r="AB909" s="14"/>
      <c r="AC909" t="str">
        <f>('Desempeño profesional'!O372)</f>
        <v>0</v>
      </c>
      <c r="AD909" t="str">
        <f>('Desempeño profesional'!O373)</f>
        <v>0</v>
      </c>
      <c r="AE909" t="str">
        <f>('Desempeño profesional'!O374)</f>
        <v>0</v>
      </c>
      <c r="AF909" t="str">
        <f>('Desempeño profesional'!O375)</f>
        <v>0</v>
      </c>
      <c r="AG909" t="str">
        <f>('Desempeño profesional'!O376)</f>
        <v>0</v>
      </c>
      <c r="AM909" s="10"/>
      <c r="AN909" s="14"/>
      <c r="AO909" t="str">
        <f>('Desempeño profesional'!AH372)</f>
        <v>0</v>
      </c>
      <c r="AP909" t="str">
        <f>('Desempeño profesional'!AH373)</f>
        <v>0</v>
      </c>
      <c r="AQ909" t="str">
        <f>('Desempeño profesional'!AH374)</f>
        <v>0</v>
      </c>
      <c r="AR909" t="str">
        <f>('Desempeño profesional'!AH375)</f>
        <v>0</v>
      </c>
      <c r="AS909" t="str">
        <f>('Desempeño profesional'!AH376)</f>
        <v>0</v>
      </c>
      <c r="AY909" s="10"/>
      <c r="AZ909" s="14"/>
      <c r="BA909" t="str">
        <f>('Desempeño profesional'!AN372)</f>
        <v>0</v>
      </c>
      <c r="BB909" t="str">
        <f>('Desempeño profesional'!AN373)</f>
        <v>0</v>
      </c>
      <c r="BC909" t="str">
        <f>('Desempeño profesional'!AN374)</f>
        <v>0</v>
      </c>
      <c r="BD909" t="str">
        <f>('Desempeño profesional'!AN375)</f>
        <v>0</v>
      </c>
      <c r="BE909" t="str">
        <f>('Desempeño profesional'!AN376)</f>
        <v>0</v>
      </c>
    </row>
    <row r="910" spans="1:75">
      <c r="O910" s="10"/>
      <c r="P910" s="14"/>
      <c r="Q910" t="str">
        <f>('Desempeño profesional'!F372)</f>
        <v>0</v>
      </c>
      <c r="R910" t="str">
        <f>('Desempeño profesional'!F373)</f>
        <v>0</v>
      </c>
      <c r="S910" t="str">
        <f>('Desempeño profesional'!F374)</f>
        <v>0</v>
      </c>
      <c r="T910" t="str">
        <f>('Desempeño profesional'!F375)</f>
        <v>0</v>
      </c>
      <c r="U910" t="str">
        <f>('Desempeño profesional'!F376)</f>
        <v>0</v>
      </c>
      <c r="AA910" s="10"/>
      <c r="AB910" s="14"/>
      <c r="AC910" t="str">
        <f>('Desempeño profesional'!P372)</f>
        <v>0</v>
      </c>
      <c r="AD910" t="str">
        <f>('Desempeño profesional'!P373)</f>
        <v>0</v>
      </c>
      <c r="AE910" t="str">
        <f>('Desempeño profesional'!P374)</f>
        <v>0</v>
      </c>
      <c r="AF910" t="str">
        <f>('Desempeño profesional'!P375)</f>
        <v>0</v>
      </c>
      <c r="AG910" t="str">
        <f>('Desempeño profesional'!P376)</f>
        <v>0</v>
      </c>
      <c r="AM910" s="10"/>
      <c r="AN910" s="14"/>
      <c r="AO910" t="str">
        <f>('Desempeño profesional'!AI372)</f>
        <v>0</v>
      </c>
      <c r="AP910" t="str">
        <f>('Desempeño profesional'!AI373)</f>
        <v>0</v>
      </c>
      <c r="AQ910" t="str">
        <f>('Desempeño profesional'!AI374)</f>
        <v>0</v>
      </c>
      <c r="AR910" t="str">
        <f>('Desempeño profesional'!AI375)</f>
        <v>0</v>
      </c>
      <c r="AS910" t="str">
        <f>('Desempeño profesional'!AI376)</f>
        <v>0</v>
      </c>
      <c r="AY910" s="10"/>
      <c r="AZ910" s="14"/>
      <c r="BA910" t="str">
        <f>('Desempeño profesional'!AO372)</f>
        <v>0</v>
      </c>
      <c r="BB910" t="str">
        <f>('Desempeño profesional'!AO373)</f>
        <v>0</v>
      </c>
      <c r="BC910" t="str">
        <f>('Desempeño profesional'!AO374)</f>
        <v>0</v>
      </c>
      <c r="BD910" t="str">
        <f>('Desempeño profesional'!AO375)</f>
        <v>0</v>
      </c>
      <c r="BE910" t="str">
        <f>('Desempeño profesional'!AO376)</f>
        <v>0</v>
      </c>
    </row>
    <row r="911" spans="1:75">
      <c r="O911" s="10"/>
      <c r="P911" s="14"/>
      <c r="Q911" t="str">
        <f>('Desempeño profesional'!G372)</f>
        <v>0</v>
      </c>
      <c r="R911" t="str">
        <f>('Desempeño profesional'!G373)</f>
        <v>0</v>
      </c>
      <c r="S911" t="str">
        <f>('Desempeño profesional'!G374)</f>
        <v>0</v>
      </c>
      <c r="T911" t="str">
        <f>('Desempeño profesional'!G375)</f>
        <v>0</v>
      </c>
      <c r="U911" t="str">
        <f>('Desempeño profesional'!G376)</f>
        <v>0</v>
      </c>
      <c r="AA911" s="10"/>
      <c r="AB911" s="14"/>
      <c r="AC911" t="str">
        <f>('Desempeño profesional'!Q372)</f>
        <v>0</v>
      </c>
      <c r="AD911" t="str">
        <f>('Desempeño profesional'!Q373)</f>
        <v>0</v>
      </c>
      <c r="AE911" t="str">
        <f>('Desempeño profesional'!Q374)</f>
        <v>0</v>
      </c>
      <c r="AF911" t="str">
        <f>('Desempeño profesional'!Q375)</f>
        <v>0</v>
      </c>
      <c r="AG911" t="str">
        <f>('Desempeño profesional'!Q376)</f>
        <v>0</v>
      </c>
      <c r="AM911" s="10"/>
      <c r="AN911" s="14"/>
      <c r="AO911" t="str">
        <f>('Desempeño profesional'!AJ372)</f>
        <v>0</v>
      </c>
      <c r="AP911" t="str">
        <f>('Desempeño profesional'!AJ373)</f>
        <v>0</v>
      </c>
      <c r="AQ911" t="str">
        <f>('Desempeño profesional'!AJ374)</f>
        <v>0</v>
      </c>
      <c r="AR911" t="str">
        <f>('Desempeño profesional'!AJ375)</f>
        <v>0</v>
      </c>
      <c r="AS911" t="str">
        <f>('Desempeño profesional'!AJ376)</f>
        <v>0</v>
      </c>
    </row>
    <row r="912" spans="1:75">
      <c r="O912" s="10"/>
      <c r="P912" s="14"/>
      <c r="Q912" t="str">
        <f>('Desempeño profesional'!H372)</f>
        <v>0</v>
      </c>
      <c r="R912" t="str">
        <f>('Desempeño profesional'!H373)</f>
        <v>0</v>
      </c>
      <c r="S912" t="str">
        <f>('Desempeño profesional'!H374)</f>
        <v>0</v>
      </c>
      <c r="T912" t="str">
        <f>('Desempeño profesional'!H375)</f>
        <v>0</v>
      </c>
      <c r="U912" t="str">
        <f>('Desempeño profesional'!H376)</f>
        <v>0</v>
      </c>
      <c r="AA912" s="10"/>
      <c r="AB912" s="14"/>
      <c r="AC912" t="str">
        <f>('Desempeño profesional'!R372)</f>
        <v>0</v>
      </c>
      <c r="AD912" t="str">
        <f>('Desempeño profesional'!R373)</f>
        <v>0</v>
      </c>
      <c r="AE912" t="str">
        <f>('Desempeño profesional'!R374)</f>
        <v>0</v>
      </c>
      <c r="AF912" t="str">
        <f>('Desempeño profesional'!R375)</f>
        <v>0</v>
      </c>
      <c r="AG912" t="str">
        <f>('Desempeño profesional'!R376)</f>
        <v>0</v>
      </c>
    </row>
    <row r="913" spans="1:75">
      <c r="O913" s="10"/>
      <c r="P913" s="14"/>
      <c r="Q913" t="str">
        <f>('Desempeño profesional'!I372)</f>
        <v>0</v>
      </c>
      <c r="R913" t="str">
        <f>('Desempeño profesional'!I373)</f>
        <v>0</v>
      </c>
      <c r="S913" t="str">
        <f>('Desempeño profesional'!I374)</f>
        <v>0</v>
      </c>
      <c r="T913" t="str">
        <f>('Desempeño profesional'!I375)</f>
        <v>0</v>
      </c>
      <c r="U913" t="str">
        <f>('Desempeño profesional'!I376)</f>
        <v>0</v>
      </c>
      <c r="AA913" s="10"/>
      <c r="AB913" s="14"/>
      <c r="AC913" t="str">
        <f>('Desempeño profesional'!S372)</f>
        <v>0</v>
      </c>
      <c r="AD913" t="str">
        <f>('Desempeño profesional'!S373)</f>
        <v>0</v>
      </c>
      <c r="AE913" t="str">
        <f>('Desempeño profesional'!S374)</f>
        <v>0</v>
      </c>
      <c r="AF913" t="str">
        <f>('Desempeño profesional'!S375)</f>
        <v>0</v>
      </c>
      <c r="AG913" t="str">
        <f>('Desempeño profesional'!S376)</f>
        <v>0</v>
      </c>
    </row>
    <row r="914" spans="1:75">
      <c r="O914" s="10"/>
      <c r="P914" s="14"/>
      <c r="Q914" t="str">
        <f>('Desempeño profesional'!J372)</f>
        <v>0</v>
      </c>
      <c r="R914" t="str">
        <f>('Desempeño profesional'!J373)</f>
        <v>0</v>
      </c>
      <c r="S914" t="str">
        <f>('Desempeño profesional'!J374)</f>
        <v>0</v>
      </c>
      <c r="T914" t="str">
        <f>('Desempeño profesional'!J375)</f>
        <v>0</v>
      </c>
      <c r="U914" t="str">
        <f>('Desempeño profesional'!J376)</f>
        <v>0</v>
      </c>
      <c r="AA914" s="10"/>
      <c r="AB914" s="14"/>
      <c r="AC914" t="str">
        <f>('Desempeño profesional'!T372)</f>
        <v>0</v>
      </c>
      <c r="AD914" t="str">
        <f>('Desempeño profesional'!T373)</f>
        <v>0</v>
      </c>
      <c r="AE914" t="str">
        <f>('Desempeño profesional'!T374)</f>
        <v>0</v>
      </c>
      <c r="AF914" t="str">
        <f>('Desempeño profesional'!T375)</f>
        <v>0</v>
      </c>
      <c r="AG914" t="str">
        <f>('Desempeño profesional'!T376)</f>
        <v>0</v>
      </c>
    </row>
    <row r="915" spans="1:75">
      <c r="O915" s="10"/>
      <c r="P915" s="14"/>
      <c r="Q915" t="str">
        <f>('Desempeño profesional'!K372)</f>
        <v>0</v>
      </c>
      <c r="R915" t="str">
        <f>('Desempeño profesional'!K373)</f>
        <v>0</v>
      </c>
      <c r="S915" t="str">
        <f>('Desempeño profesional'!K374)</f>
        <v>0</v>
      </c>
      <c r="T915" t="str">
        <f>('Desempeño profesional'!K375)</f>
        <v>0</v>
      </c>
      <c r="U915" t="str">
        <f>('Desempeño profesional'!K376)</f>
        <v>0</v>
      </c>
      <c r="AA915" s="10"/>
      <c r="AB915" s="14"/>
      <c r="AC915" t="str">
        <f>('Desempeño profesional'!U372)</f>
        <v>0</v>
      </c>
      <c r="AD915" t="str">
        <f>('Desempeño profesional'!U373)</f>
        <v>0</v>
      </c>
      <c r="AE915" t="str">
        <f>('Desempeño profesional'!U374)</f>
        <v>0</v>
      </c>
      <c r="AF915" t="str">
        <f>('Desempeño profesional'!U375)</f>
        <v>0</v>
      </c>
      <c r="AG915" t="str">
        <f>('Desempeño profesional'!U376)</f>
        <v>0</v>
      </c>
    </row>
    <row r="916" spans="1:75">
      <c r="AA916" s="10"/>
      <c r="AB916" s="14"/>
      <c r="AC916" t="str">
        <f>('Desempeño profesional'!V372)</f>
        <v>0</v>
      </c>
      <c r="AD916" t="str">
        <f>('Desempeño profesional'!V373)</f>
        <v>0</v>
      </c>
      <c r="AE916" t="str">
        <f>('Desempeño profesional'!V374)</f>
        <v>0</v>
      </c>
      <c r="AF916" t="str">
        <f>('Desempeño profesional'!V375)</f>
        <v>0</v>
      </c>
      <c r="AG916" t="str">
        <f>('Desempeño profesional'!V376)</f>
        <v>0</v>
      </c>
    </row>
    <row r="917" spans="1:75">
      <c r="AA917" s="10"/>
      <c r="AB917" s="14"/>
      <c r="AC917" t="str">
        <f>('Desempeño profesional'!W372)</f>
        <v>0</v>
      </c>
      <c r="AD917" t="str">
        <f>('Desempeño profesional'!W373)</f>
        <v>0</v>
      </c>
      <c r="AE917" t="str">
        <f>('Desempeño profesional'!W374)</f>
        <v>0</v>
      </c>
      <c r="AF917" t="str">
        <f>('Desempeño profesional'!W375)</f>
        <v>0</v>
      </c>
      <c r="AG917" t="str">
        <f>('Desempeño profesional'!W376)</f>
        <v>0</v>
      </c>
    </row>
    <row r="918" spans="1:75">
      <c r="AA918" s="10"/>
      <c r="AB918" s="14"/>
      <c r="AC918" t="str">
        <f>('Desempeño profesional'!X372)</f>
        <v>0</v>
      </c>
      <c r="AD918" t="str">
        <f>('Desempeño profesional'!X373)</f>
        <v>0</v>
      </c>
      <c r="AE918" t="str">
        <f>('Desempeño profesional'!X374)</f>
        <v>0</v>
      </c>
      <c r="AF918" t="str">
        <f>('Desempeño profesional'!X375)</f>
        <v>0</v>
      </c>
      <c r="AG918" t="str">
        <f>('Desempeño profesional'!X376)</f>
        <v>0</v>
      </c>
    </row>
    <row r="919" spans="1:75">
      <c r="AA919" s="10"/>
      <c r="AB919" s="14"/>
      <c r="AC919" t="str">
        <f>('Desempeño profesional'!Y372)</f>
        <v>0</v>
      </c>
      <c r="AD919" t="str">
        <f>('Desempeño profesional'!Y373)</f>
        <v>0</v>
      </c>
      <c r="AE919" t="str">
        <f>('Desempeño profesional'!Y374)</f>
        <v>0</v>
      </c>
      <c r="AF919" t="str">
        <f>('Desempeño profesional'!Y375)</f>
        <v>0</v>
      </c>
      <c r="AG919" t="str">
        <f>('Desempeño profesional'!Y376)</f>
        <v>0</v>
      </c>
    </row>
    <row r="920" spans="1:75">
      <c r="AA920" s="10"/>
      <c r="AB920" s="14"/>
      <c r="AC920" t="str">
        <f>('Desempeño profesional'!Z372)</f>
        <v>0</v>
      </c>
      <c r="AD920" t="str">
        <f>('Desempeño profesional'!Z373)</f>
        <v>0</v>
      </c>
      <c r="AE920" t="str">
        <f>('Desempeño profesional'!Z374)</f>
        <v>0</v>
      </c>
      <c r="AF920" t="str">
        <f>('Desempeño profesional'!Z375)</f>
        <v>0</v>
      </c>
      <c r="AG920" t="str">
        <f>('Desempeño profesional'!Z376)</f>
        <v>0</v>
      </c>
    </row>
    <row r="921" spans="1:75">
      <c r="AA921" s="10"/>
      <c r="AB921" s="14"/>
      <c r="AC921" t="str">
        <f>('Desempeño profesional'!AA372)</f>
        <v>0</v>
      </c>
      <c r="AD921" t="str">
        <f>('Desempeño profesional'!AA373)</f>
        <v>0</v>
      </c>
      <c r="AE921" t="str">
        <f>('Desempeño profesional'!AA374)</f>
        <v>0</v>
      </c>
      <c r="AF921" t="str">
        <f>('Desempeño profesional'!AA375)</f>
        <v>0</v>
      </c>
      <c r="AG921" t="str">
        <f>('Desempeño profesional'!AA376)</f>
        <v>0</v>
      </c>
    </row>
    <row r="922" spans="1:75">
      <c r="AA922" s="10"/>
      <c r="AB922" s="14"/>
      <c r="AC922" t="str">
        <f>('Desempeño profesional'!AB372)</f>
        <v>0</v>
      </c>
      <c r="AD922" t="str">
        <f>('Desempeño profesional'!AB373)</f>
        <v>0</v>
      </c>
      <c r="AE922" t="str">
        <f>('Desempeño profesional'!AB374)</f>
        <v>0</v>
      </c>
      <c r="AF922" t="str">
        <f>('Desempeño profesional'!AB375)</f>
        <v>0</v>
      </c>
      <c r="AG922" t="str">
        <f>('Desempeño profesional'!AB376)</f>
        <v>0</v>
      </c>
    </row>
    <row r="923" spans="1:75">
      <c r="AA923" s="10"/>
      <c r="AB923" s="14"/>
      <c r="AC923" t="str">
        <f>('Desempeño profesional'!AC372)</f>
        <v>0</v>
      </c>
      <c r="AD923" t="str">
        <f>('Desempeño profesional'!AC373)</f>
        <v>0</v>
      </c>
      <c r="AE923" t="str">
        <f>('Desempeño profesional'!AC374)</f>
        <v>0</v>
      </c>
      <c r="AF923" t="str">
        <f>('Desempeño profesional'!AC375)</f>
        <v>0</v>
      </c>
      <c r="AG923" t="str">
        <f>('Desempeño profesional'!AC376)</f>
        <v>0</v>
      </c>
    </row>
    <row r="924" spans="1:75">
      <c r="AA924" s="10"/>
      <c r="AB924" s="14"/>
      <c r="AC924" t="str">
        <f>('Desempeño profesional'!AD372)</f>
        <v>0</v>
      </c>
      <c r="AD924" t="str">
        <f>('Desempeño profesional'!AD373)</f>
        <v>0</v>
      </c>
      <c r="AE924" t="str">
        <f>('Desempeño profesional'!AD374)</f>
        <v>0</v>
      </c>
      <c r="AF924" t="str">
        <f>('Desempeño profesional'!AD375)</f>
        <v>0</v>
      </c>
      <c r="AG924" t="str">
        <f>('Desempeño profesional'!AD376)</f>
        <v>0</v>
      </c>
    </row>
    <row r="1015" spans="1:75">
      <c r="O1015" s="10" t="s">
        <v>438</v>
      </c>
      <c r="P1015" s="10" t="str">
        <f>CONCATENATE(Q905," y ",R905)</f>
        <v>0</v>
      </c>
      <c r="Q1015" s="10" t="str">
        <f>(S905)</f>
        <v>0</v>
      </c>
      <c r="R1015" s="10" t="str">
        <f>CONCATENATE(T905," y ",U905)</f>
        <v>0</v>
      </c>
      <c r="S1015" s="10" t="s">
        <v>440</v>
      </c>
      <c r="T1015" s="10" t="s">
        <v>441</v>
      </c>
      <c r="U1015" s="10" t="s">
        <v>442</v>
      </c>
      <c r="V1015" s="10" t="s">
        <v>443</v>
      </c>
      <c r="W1015" s="10" t="s">
        <v>444</v>
      </c>
      <c r="AA1015" s="10" t="s">
        <v>438</v>
      </c>
      <c r="AB1015" s="10" t="str">
        <f>CONCATENATE(AC905," y ",AD905)</f>
        <v>0</v>
      </c>
      <c r="AC1015" s="10" t="str">
        <f>(AE905)</f>
        <v>0</v>
      </c>
      <c r="AD1015" s="10" t="str">
        <f>CONCATENATE(AF905," y ",AG905)</f>
        <v>0</v>
      </c>
      <c r="AE1015" s="10" t="s">
        <v>440</v>
      </c>
      <c r="AF1015" s="10" t="s">
        <v>441</v>
      </c>
      <c r="AG1015" s="10" t="s">
        <v>442</v>
      </c>
      <c r="AH1015" s="10" t="s">
        <v>443</v>
      </c>
      <c r="AI1015" s="10" t="s">
        <v>444</v>
      </c>
      <c r="AM1015" s="10" t="s">
        <v>438</v>
      </c>
      <c r="AN1015" s="10" t="str">
        <f>CONCATENATE(AO905," y ",AP905)</f>
        <v>0</v>
      </c>
      <c r="AO1015" s="10" t="str">
        <f>(AQ905)</f>
        <v>0</v>
      </c>
      <c r="AP1015" s="10" t="str">
        <f>CONCATENATE(AR905," y ",AS905)</f>
        <v>0</v>
      </c>
      <c r="AQ1015" s="10" t="s">
        <v>440</v>
      </c>
      <c r="AR1015" s="10" t="s">
        <v>441</v>
      </c>
      <c r="AS1015" s="10" t="s">
        <v>442</v>
      </c>
      <c r="AT1015" s="10" t="s">
        <v>443</v>
      </c>
      <c r="AU1015" s="10" t="s">
        <v>444</v>
      </c>
      <c r="AY1015" s="10" t="s">
        <v>438</v>
      </c>
      <c r="AZ1015" s="10" t="str">
        <f>CONCATENATE(BA905," y ",BB905)</f>
        <v>0</v>
      </c>
      <c r="BA1015" s="10" t="str">
        <f>(BC905)</f>
        <v>0</v>
      </c>
      <c r="BB1015" s="10" t="str">
        <f>CONCATENATE(BD905," y ",BE905)</f>
        <v>0</v>
      </c>
      <c r="BC1015" s="10" t="s">
        <v>440</v>
      </c>
      <c r="BD1015" s="10" t="s">
        <v>441</v>
      </c>
      <c r="BE1015" s="10" t="s">
        <v>442</v>
      </c>
      <c r="BF1015" s="10" t="s">
        <v>443</v>
      </c>
      <c r="BG1015" s="10" t="s">
        <v>444</v>
      </c>
      <c r="BK1015" s="10" t="s">
        <v>445</v>
      </c>
      <c r="BL1015" s="10" t="s">
        <v>579</v>
      </c>
      <c r="BM1015" s="10" t="s">
        <v>425</v>
      </c>
      <c r="BN1015" s="10" t="s">
        <v>580</v>
      </c>
      <c r="BO1015" s="10" t="s">
        <v>440</v>
      </c>
      <c r="BP1015" s="10" t="s">
        <v>446</v>
      </c>
      <c r="BQ1015" s="10" t="s">
        <v>447</v>
      </c>
      <c r="BR1015" s="10" t="s">
        <v>448</v>
      </c>
      <c r="BS1015" s="10" t="s">
        <v>449</v>
      </c>
      <c r="BT1015" s="10" t="s">
        <v>450</v>
      </c>
      <c r="BU1015" s="10" t="s">
        <v>451</v>
      </c>
      <c r="BV1015" s="10" t="s">
        <v>452</v>
      </c>
      <c r="BW1015" s="10" t="s">
        <v>444</v>
      </c>
    </row>
    <row r="1016" spans="1:75">
      <c r="O1016" s="10" t="str">
        <f>(P906)</f>
        <v>0</v>
      </c>
      <c r="P1016" s="14" t="str">
        <f>SUM(Q906:R906)</f>
        <v>0</v>
      </c>
      <c r="Q1016" s="14" t="str">
        <f>(S906)</f>
        <v>0</v>
      </c>
      <c r="R1016" s="14" t="str">
        <f>SUM(T906:U906)</f>
        <v>0</v>
      </c>
      <c r="S1016" s="14" t="str">
        <f>MAX(P1016:R1016)</f>
        <v>0</v>
      </c>
      <c r="T1016" s="10" t="str">
        <f>IF(S1016=P1016,$P$1015,IF(S1016=Q1016,$Q$1015,IF(S1016=R1016,$R$1015,"ALGO ESTA MAL")))</f>
        <v>0</v>
      </c>
      <c r="U1016" s="10" t="str">
        <f>RANDBETWEEN(1,10)</f>
        <v>0</v>
      </c>
      <c r="V1016" s="10" t="str">
        <f>IF(U1016=$V$1100,$W$1100,IF(U1016=$V$1101,$W$1101,IF(U1016=$V$1102,$W$1102,IF(U1016=$V$1103,$W$1103,IF(U1016=$V$1104,$W$1104,IF(U1016=$V$1105,$W$1105,IF(U1016=$V$1106,$W$1106,IF(U1016=$V$1107,$W$1107,IF(U1016=$V$1108,$W$1108,IF(U1016=$V$1109,$W$1109,"algo esta mal"))))))))))</f>
        <v>0</v>
      </c>
      <c r="W1016" s="10" t="str">
        <f>CONCATENATE("el ",ROUND(S1016*100,0),"% ",V1016," como ",T1016)</f>
        <v>0</v>
      </c>
      <c r="AA1016" s="10" t="str">
        <f>(AB906)</f>
        <v>0</v>
      </c>
      <c r="AB1016" s="14" t="str">
        <f>SUM(AC906:AD906)</f>
        <v>0</v>
      </c>
      <c r="AC1016" s="14" t="str">
        <f>(AE906)</f>
        <v>0</v>
      </c>
      <c r="AD1016" s="14" t="str">
        <f>SUM(AF906:AG906)</f>
        <v>0</v>
      </c>
      <c r="AE1016" s="14" t="str">
        <f>MAX(AB1016:AD1016)</f>
        <v>0</v>
      </c>
      <c r="AF1016" s="10" t="str">
        <f>IF(AE1016=AB1016,$AB$1015,IF(AE1016=AC1016,$AC$1015,IF(AE1016=AD1016,$AD$1015,"ALGO ESTA MAL")))</f>
        <v>0</v>
      </c>
      <c r="AG1016" s="10" t="str">
        <f>RANDBETWEEN(1,10)</f>
        <v>0</v>
      </c>
      <c r="AH1016" s="10" t="str">
        <f>IF(AG1016=$AH$1100,$AI$1100,IF(AG1016=$AH$1101,$AI$1101,IF(AG1016=$AH$1102,$AI$1102,IF(AG1016=$AH$1103,$AI$1103,IF(AG1016=$AH$1104,$AI$1104,IF(AG1016=$AH$1105,$AI$1105,IF(AG1016=$AH$1106,$AI$1106,IF(AG1016=$AH$1107,$AI$1107,IF(AG1016=$AH$1108,$AI$1108,IF(AG1016=$AH$1109,$AI$1109,"algo esta mal"))))))))))</f>
        <v>0</v>
      </c>
      <c r="AI1016" s="10" t="str">
        <f>CONCATENATE("el ",ROUND(AE1016*100,0),"% ",AH1016," como ",AF1016)</f>
        <v>0</v>
      </c>
      <c r="AM1016" s="10" t="str">
        <f>(AN906)</f>
        <v>0</v>
      </c>
      <c r="AN1016" s="14" t="str">
        <f>SUM(AO906:AP906)</f>
        <v>0</v>
      </c>
      <c r="AO1016" s="14" t="str">
        <f>(AQ906)</f>
        <v>0</v>
      </c>
      <c r="AP1016" s="14" t="str">
        <f>SUM(AR906:AS906)</f>
        <v>0</v>
      </c>
      <c r="AQ1016" s="14" t="str">
        <f>MAX(AN1016:AP1016)</f>
        <v>0</v>
      </c>
      <c r="AR1016" s="10" t="str">
        <f>IF(AQ1016=AN1016,$AN$1015,IF(AQ1016=AO1016,$AO$1015,IF(AQ1016=AP1016,$AP$1015,"ALGO ESTA MAL")))</f>
        <v>0</v>
      </c>
      <c r="AS1016" s="10" t="str">
        <f>RANDBETWEEN(1,10)</f>
        <v>0</v>
      </c>
      <c r="AT1016" s="10" t="str">
        <f>IF(AS1016=$AT$1100,$AU$1100,IF(AS1016=$AT$1101,$AU$1101,IF(AS1016=$AT$1102,$AU$1102,IF(AS1016=$AT$1103,$AU$1103,IF(AS1016=$AT$1104,$AU$1104,IF(AS1016=$AT$1105,$AU$1105,IF(AS1016=$AT$1106,$AU$1106,IF(AS1016=$AT$1107,$AU$1107,IF(AS1016=$AT$1108,$AU$1108,IF(AS1016=$AT$1109,$AU$1109,"algo esta mal"))))))))))</f>
        <v>0</v>
      </c>
      <c r="AU1016" s="10" t="str">
        <f>CONCATENATE("el ",ROUND(AQ1016*100,0),"% ",AT1016," como ",AR1016)</f>
        <v>0</v>
      </c>
      <c r="AY1016" s="10" t="str">
        <f>(AZ906)</f>
        <v>0</v>
      </c>
      <c r="AZ1016" s="14" t="str">
        <f>SUM(BA906:BB906)</f>
        <v>0</v>
      </c>
      <c r="BA1016" s="14" t="str">
        <f>(BC906)</f>
        <v>0</v>
      </c>
      <c r="BB1016" s="14" t="str">
        <f>SUM(BD906:BE906)</f>
        <v>0</v>
      </c>
      <c r="BC1016" s="14" t="str">
        <f>MAX(AZ1016:BB1016)</f>
        <v>0</v>
      </c>
      <c r="BD1016" s="10" t="str">
        <f>IF(BC1016=AZ1016,$AZ$1015,IF(BC1016=BA1016,$BA$1015,IF(BC1016=BB1016,$BB$1015,"ALGO ESTA MAL")))</f>
        <v>0</v>
      </c>
      <c r="BE1016" s="10" t="str">
        <f>RANDBETWEEN(1,10)</f>
        <v>0</v>
      </c>
      <c r="BF1016" s="10" t="str">
        <f>IF(BE1016=$BF$1100,$BG$1100,IF(BE1016=$BF$1101,$BG$1101,IF(BE1016=$BF$1102,$BG$1102,IF(BE1016=$BF$1103,$BG$1103,IF(BE1016=$BF$1104,$BG$1104,IF(BE1016=$BF$1105,$BG$1105,IF(BE1016=$BF$1106,$BG$1106,IF(BE1016=$BF$1107,$BG$1107,IF(BE1016=$BF$1108,$BG$1108,IF(BE1016=$BF$1109,$BG$1109,"algo esta mal"))))))))))</f>
        <v>0</v>
      </c>
      <c r="BG1016" s="10" t="str">
        <f>CONCATENATE("el ",ROUND(BC1016*100,0),"% ",BF1016," como ",BD1016)</f>
        <v>0</v>
      </c>
      <c r="BK1016" s="14" t="str">
        <f>(Q16)</f>
        <v>0</v>
      </c>
      <c r="BL1016" s="14" t="str">
        <f>(U19)</f>
        <v>0</v>
      </c>
      <c r="BM1016" s="5" t="str">
        <f>(U20)</f>
        <v>0</v>
      </c>
      <c r="BN1016" s="14" t="str">
        <f>(U21)</f>
        <v>0</v>
      </c>
      <c r="BO1016" s="14" t="str">
        <f>MAX(BL1016:BN1016)</f>
        <v>0</v>
      </c>
      <c r="BP1016" s="10" t="str">
        <f>IF(BO1016=BL1016,$BL$1015,IF(BO1016=BM1016,$BM$1015,IF(BO1016=BN1016,$BN$1015,"algo esta mal")))</f>
        <v>0</v>
      </c>
      <c r="BQ1016" s="10" t="str">
        <f> RANDBETWEEN(1,10)</f>
        <v>0</v>
      </c>
      <c r="BR1016" s="10" t="str">
        <f>IF(BQ1016=$BR$1100,$BS$1100,IF(BQ1016=$BR$1101,$BS$1101,IF(BQ1016=$BR$1102,$BS$1102,IF(BQ1016=$BR$1103,$BS$1103,IF(BQ1016=$BR$1104,$BS$1104,IF(BQ1016=$BR$1105,$BS$1105,IF(BQ1016=$BR$1106,$BS$1106,IF(BQ1016=$BR$1107,$BS$1107,IF(BQ1016=$BR$1108,$BS$1108,IF(BQ1016=$BR$1109,$BS$1109,"algo esta mal"))))))))))</f>
        <v>0</v>
      </c>
      <c r="BS1016" s="10" t="str">
        <f> RANDBETWEEN(1,7)</f>
        <v>0</v>
      </c>
      <c r="BT1016" s="10" t="str">
        <f>IF(BS1016=$BR$1110,$BS$1110,IF(BS1016=$BR$1111,$BS$1111,IF(BS1016=$BR$1112,$BS$1112,IF(BS1016=$BR$1113,$BS$1113,IF(BS1016=$BR$1114,$BS$1114,IF(BS1016=$BR$1115,$BS$1115,IF(BS1016=$BR$1116,$BS$1116,IF(BS1016=$BR$1047,$BS$1047,IF(BS1016=$BR$1048,$BS$1048,IF(BS1016=$BR$1049,$BS$1049,"algo esta mal"))))))))))</f>
        <v>0</v>
      </c>
      <c r="BU1016" s="10" t="str">
        <f> RANDBETWEEN(1,2)</f>
        <v>0</v>
      </c>
      <c r="BV1016" s="10" t="str">
        <f>IF(BU1016=$BR$1120,$BS$1120,IF(BU1016=$BR$1121,$BS$1121,"algo esta mal"))</f>
        <v>0</v>
      </c>
      <c r="BW1016" s="10" t="str">
        <f>CONCATENATE("el ",ROUND(BO1016*100,0),"% de los ",BV1016," ",BR1016," a la dimensión ",BK1016," como ",BP1016,", ",BT1016)</f>
        <v>0</v>
      </c>
    </row>
    <row r="1017" spans="1:75">
      <c r="O1017" s="10" t="str">
        <f>(P907)</f>
        <v>0</v>
      </c>
      <c r="P1017" s="14" t="str">
        <f>SUM(Q907:R907)</f>
        <v>0</v>
      </c>
      <c r="Q1017" s="14" t="str">
        <f>(S907)</f>
        <v>0</v>
      </c>
      <c r="R1017" s="14" t="str">
        <f>SUM(T907:U907)</f>
        <v>0</v>
      </c>
      <c r="S1017" s="14" t="str">
        <f>MAX(P1017:R1017)</f>
        <v>0</v>
      </c>
      <c r="T1017" s="10" t="str">
        <f>IF(S1017=P1017,$P$1015,IF(S1017=Q1017,$Q$1015,IF(S1017=R1017,$R$1015,"ALGO ESTA MAL")))</f>
        <v>0</v>
      </c>
      <c r="U1017" s="10" t="str">
        <f>RANDBETWEEN(1,10)</f>
        <v>0</v>
      </c>
      <c r="V1017" s="10" t="str">
        <f>IF(U1017=$V$1100,$W$1100,IF(U1017=$V$1101,$W$1101,IF(U1017=$V$1102,$W$1102,IF(U1017=$V$1103,$W$1103,IF(U1017=$V$1104,$W$1104,IF(U1017=$V$1105,$W$1105,IF(U1017=$V$1106,$W$1106,IF(U1017=$V$1107,$W$1107,IF(U1017=$V$1108,$W$1108,IF(U1017=$V$1109,$W$1109,"algo esta mal"))))))))))</f>
        <v>0</v>
      </c>
      <c r="W1017" s="10" t="str">
        <f>CONCATENATE("el ",ROUND(S1017*100,0),"% de los ",P902," ",V1017," como ",T1017)</f>
        <v>0</v>
      </c>
      <c r="AA1017" s="10" t="str">
        <f>(AB907)</f>
        <v>0</v>
      </c>
      <c r="AB1017" s="14" t="str">
        <f>SUM(AC907:AD907)</f>
        <v>0</v>
      </c>
      <c r="AC1017" s="14" t="str">
        <f>(AE907)</f>
        <v>0</v>
      </c>
      <c r="AD1017" s="14" t="str">
        <f>SUM(AF907:AG907)</f>
        <v>0</v>
      </c>
      <c r="AE1017" s="14" t="str">
        <f>MAX(AB1017:AD1017)</f>
        <v>0</v>
      </c>
      <c r="AF1017" s="10" t="str">
        <f>IF(AE1017=AB1017,$AB$1015,IF(AE1017=AC1017,$AC$1015,IF(AE1017=AD1017,$AD$1015,"ALGO ESTA MAL")))</f>
        <v>0</v>
      </c>
      <c r="AG1017" s="10" t="str">
        <f>RANDBETWEEN(1,10)</f>
        <v>0</v>
      </c>
      <c r="AH1017" s="10" t="str">
        <f>IF(AG1017=$AH$1100,$AI$1100,IF(AG1017=$AH$1101,$AI$1101,IF(AG1017=$AH$1102,$AI$1102,IF(AG1017=$AH$1103,$AI$1103,IF(AG1017=$AH$1104,$AI$1104,IF(AG1017=$AH$1105,$AI$1105,IF(AG1017=$AH$1106,$AI$1106,IF(AG1017=$AH$1107,$AI$1107,IF(AG1017=$AH$1108,$AI$1108,IF(AG1017=$AH$1109,$AI$1109,"algo esta mal"))))))))))</f>
        <v>0</v>
      </c>
      <c r="AI1017" s="10" t="str">
        <f>CONCATENATE("el ",ROUND(AE1017*100,0),"% de los ",AB902," ",AH1017," como ",AF1017)</f>
        <v>0</v>
      </c>
      <c r="AM1017" s="10" t="str">
        <f>(AN907)</f>
        <v>0</v>
      </c>
      <c r="AN1017" s="14" t="str">
        <f>SUM(AO907:AP907)</f>
        <v>0</v>
      </c>
      <c r="AO1017" s="14" t="str">
        <f>(AQ907)</f>
        <v>0</v>
      </c>
      <c r="AP1017" s="14" t="str">
        <f>SUM(AR907:AS907)</f>
        <v>0</v>
      </c>
      <c r="AQ1017" s="14" t="str">
        <f>MAX(AN1017:AP1017)</f>
        <v>0</v>
      </c>
      <c r="AR1017" s="10" t="str">
        <f>IF(AQ1017=AN1017,$AN$1015,IF(AQ1017=AO1017,$AO$1015,IF(AQ1017=AP1017,$AP$1015,"ALGO ESTA MAL")))</f>
        <v>0</v>
      </c>
      <c r="AS1017" s="10" t="str">
        <f>RANDBETWEEN(1,10)</f>
        <v>0</v>
      </c>
      <c r="AT1017" s="10" t="str">
        <f>IF(AS1017=$AT$1100,$AU$1100,IF(AS1017=$AT$1101,$AU$1101,IF(AS1017=$AT$1102,$AU$1102,IF(AS1017=$AT$1103,$AU$1103,IF(AS1017=$AT$1104,$AU$1104,IF(AS1017=$AT$1105,$AU$1105,IF(AS1017=$AT$1106,$AU$1106,IF(AS1017=$AT$1107,$AU$1107,IF(AS1017=$AT$1108,$AU$1108,IF(AS1017=$AT$1109,$AU$1109,"algo esta mal"))))))))))</f>
        <v>0</v>
      </c>
      <c r="AU1017" s="10" t="str">
        <f>CONCATENATE("el ",ROUND(AQ1017*100,0),"% de los ",AN902," ",AT1017," como ",AR1017)</f>
        <v>0</v>
      </c>
      <c r="AY1017" s="10" t="str">
        <f>(AZ907)</f>
        <v>0</v>
      </c>
      <c r="AZ1017" s="14" t="str">
        <f>SUM(BA907:BB907)</f>
        <v>0</v>
      </c>
      <c r="BA1017" s="14" t="str">
        <f>(BC907)</f>
        <v>0</v>
      </c>
      <c r="BB1017" s="14" t="str">
        <f>SUM(BD907:BE907)</f>
        <v>0</v>
      </c>
      <c r="BC1017" s="14" t="str">
        <f>MAX(AZ1017:BB1017)</f>
        <v>0</v>
      </c>
      <c r="BD1017" s="10" t="str">
        <f>IF(BC1017=AZ1017,$AZ$1015,IF(BC1017=BA1017,$BA$1015,IF(BC1017=BB1017,$BB$1015,"ALGO ESTA MAL")))</f>
        <v>0</v>
      </c>
      <c r="BE1017" s="10" t="str">
        <f>RANDBETWEEN(1,10)</f>
        <v>0</v>
      </c>
      <c r="BF1017" s="10" t="str">
        <f>IF(BE1017=$BF$1100,$BG$1100,IF(BE1017=$BF$1101,$BG$1101,IF(BE1017=$BF$1102,$BG$1102,IF(BE1017=$BF$1103,$BG$1103,IF(BE1017=$BF$1104,$BG$1104,IF(BE1017=$BF$1105,$BG$1105,IF(BE1017=$BF$1106,$BG$1106,IF(BE1017=$BF$1107,$BG$1107,IF(BE1017=$BF$1108,$BG$1108,IF(BE1017=$BF$1109,$BG$1109,"algo esta mal"))))))))))</f>
        <v>0</v>
      </c>
      <c r="BG1017" s="10" t="str">
        <f>CONCATENATE("el ",ROUND(BC1017*100,0),"% de los ",AZ902," ",BF1017," como ",BD1017)</f>
        <v>0</v>
      </c>
      <c r="BK1017" s="14" t="str">
        <f>(AC16)</f>
        <v>0</v>
      </c>
      <c r="BL1017" s="14" t="str">
        <f>(AG19)</f>
        <v>0</v>
      </c>
      <c r="BM1017" s="5" t="str">
        <f>(AG20)</f>
        <v>0</v>
      </c>
      <c r="BN1017" s="14" t="str">
        <f>(AG21)</f>
        <v>0</v>
      </c>
      <c r="BO1017" s="14" t="str">
        <f>MAX(BL1017:BN1017)</f>
        <v>0</v>
      </c>
      <c r="BP1017" s="10" t="str">
        <f>IF(BO1017=BL1017,$BL$1015,IF(BO1017=BM1017,$BM$1015,IF(BO1017=BN1017,$BN$1015,"algo esta mal")))</f>
        <v>0</v>
      </c>
      <c r="BQ1017" s="10" t="str">
        <f> RANDBETWEEN(1,10)</f>
        <v>0</v>
      </c>
      <c r="BR1017" s="10" t="str">
        <f>IF(BQ1017=$BR$1100,$BS$1100,IF(BQ1017=$BR$1101,$BS$1101,IF(BQ1017=$BR$1102,$BS$1102,IF(BQ1017=$BR$1103,$BS$1103,IF(BQ1017=$BR$1104,$BS$1104,IF(BQ1017=$BR$1105,$BS$1105,IF(BQ1017=$BR$1106,$BS$1106,IF(BQ1017=$BR$1107,$BS$1107,IF(BQ1017=$BR$1108,$BS$1108,IF(BQ1017=$BR$1109,$BS$1109,"algo esta mal"))))))))))</f>
        <v>0</v>
      </c>
      <c r="BS1017" s="10" t="str">
        <f> RANDBETWEEN(1,7)</f>
        <v>0</v>
      </c>
      <c r="BT1017" s="10" t="str">
        <f>IF(BS1017=$BR$1110,$BS$1110,IF(BS1017=$BR$1111,$BS$1111,IF(BS1017=$BR$1112,$BS$1112,IF(BS1017=$BR$1113,$BS$1113,IF(BS1017=$BR$1114,$BS$1114,IF(BS1017=$BR$1115,$BS$1115,IF(BS1017=$BR$1116,$BS$1116,IF(BS1017=$BR$1047,$BS$1047,IF(BS1017=$BR$1048,$BS$1048,IF(BS1017=$BR$1049,$BS$1049,"algo esta mal"))))))))))</f>
        <v>0</v>
      </c>
      <c r="BU1017" s="10" t="str">
        <f> RANDBETWEEN(1,2)</f>
        <v>0</v>
      </c>
      <c r="BV1017" s="10" t="str">
        <f>IF(BU1017=$BR$1120,$BS$1120,IF(BU1017=$BR$1121,$BS$1121,"algo esta mal"))</f>
        <v>0</v>
      </c>
      <c r="BW1017" s="10" t="str">
        <f>CONCATENATE("el ",ROUND(BO1017*100,0),"% de los ",BV1017," ",BR1017," a la dimensión ",BK1017," como ",BP1017,", ",BT1017)</f>
        <v>0</v>
      </c>
    </row>
    <row r="1018" spans="1:75">
      <c r="O1018" s="10" t="str">
        <f>(P908)</f>
        <v>0</v>
      </c>
      <c r="P1018" s="14" t="str">
        <f>SUM(Q908:R908)</f>
        <v>0</v>
      </c>
      <c r="Q1018" s="14" t="str">
        <f>(S908)</f>
        <v>0</v>
      </c>
      <c r="R1018" s="14" t="str">
        <f>SUM(T908:U908)</f>
        <v>0</v>
      </c>
      <c r="S1018" s="14" t="str">
        <f>MAX(P1018:R1018)</f>
        <v>0</v>
      </c>
      <c r="T1018" s="10" t="str">
        <f>IF(S1018=P1018,$P$1015,IF(S1018=Q1018,$Q$1015,IF(S1018=R1018,$R$1015,"ALGO ESTA MAL")))</f>
        <v>0</v>
      </c>
      <c r="U1018" s="10" t="str">
        <f>RANDBETWEEN(1,10)</f>
        <v>0</v>
      </c>
      <c r="V1018" s="10" t="str">
        <f>IF(U1018=$V$1100,$W$1100,IF(U1018=$V$1101,$W$1101,IF(U1018=$V$1102,$W$1102,IF(U1018=$V$1103,$W$1103,IF(U1018=$V$1104,$W$1104,IF(U1018=$V$1105,$W$1105,IF(U1018=$V$1106,$W$1106,IF(U1018=$V$1107,$W$1107,IF(U1018=$V$1108,$W$1108,IF(U1018=$V$1109,$W$1109,"algo esta mal"))))))))))</f>
        <v>0</v>
      </c>
      <c r="W1018" s="10" t="str">
        <f>CONCATENATE("el ",ROUND(S1018*100,0),"% ",V1018," como ",T1018)</f>
        <v>0</v>
      </c>
      <c r="AA1018" s="10" t="str">
        <f>(AB908)</f>
        <v>0</v>
      </c>
      <c r="AB1018" s="14" t="str">
        <f>SUM(AC908:AD908)</f>
        <v>0</v>
      </c>
      <c r="AC1018" s="14" t="str">
        <f>(AE908)</f>
        <v>0</v>
      </c>
      <c r="AD1018" s="14" t="str">
        <f>SUM(AF908:AG908)</f>
        <v>0</v>
      </c>
      <c r="AE1018" s="14" t="str">
        <f>MAX(AB1018:AD1018)</f>
        <v>0</v>
      </c>
      <c r="AF1018" s="10" t="str">
        <f>IF(AE1018=AB1018,$AB$1015,IF(AE1018=AC1018,$AC$1015,IF(AE1018=AD1018,$AD$1015,"ALGO ESTA MAL")))</f>
        <v>0</v>
      </c>
      <c r="AG1018" s="10" t="str">
        <f>RANDBETWEEN(1,10)</f>
        <v>0</v>
      </c>
      <c r="AH1018" s="10" t="str">
        <f>IF(AG1018=$AH$1100,$AI$1100,IF(AG1018=$AH$1101,$AI$1101,IF(AG1018=$AH$1102,$AI$1102,IF(AG1018=$AH$1103,$AI$1103,IF(AG1018=$AH$1104,$AI$1104,IF(AG1018=$AH$1105,$AI$1105,IF(AG1018=$AH$1106,$AI$1106,IF(AG1018=$AH$1107,$AI$1107,IF(AG1018=$AH$1108,$AI$1108,IF(AG1018=$AH$1109,$AI$1109,"algo esta mal"))))))))))</f>
        <v>0</v>
      </c>
      <c r="AI1018" s="10" t="str">
        <f>CONCATENATE("el ",ROUND(AE1018*100,0),"% ",AH1018," como ",AF1018)</f>
        <v>0</v>
      </c>
      <c r="AM1018" s="10" t="str">
        <f>(AN908)</f>
        <v>0</v>
      </c>
      <c r="AN1018" s="14" t="str">
        <f>SUM(AO908:AP908)</f>
        <v>0</v>
      </c>
      <c r="AO1018" s="14" t="str">
        <f>(AQ908)</f>
        <v>0</v>
      </c>
      <c r="AP1018" s="14" t="str">
        <f>SUM(AR908:AS908)</f>
        <v>0</v>
      </c>
      <c r="AQ1018" s="14" t="str">
        <f>MAX(AN1018:AP1018)</f>
        <v>0</v>
      </c>
      <c r="AR1018" s="10" t="str">
        <f>IF(AQ1018=AN1018,$AN$1015,IF(AQ1018=AO1018,$AO$1015,IF(AQ1018=AP1018,$AP$1015,"ALGO ESTA MAL")))</f>
        <v>0</v>
      </c>
      <c r="AS1018" s="10" t="str">
        <f>RANDBETWEEN(1,10)</f>
        <v>0</v>
      </c>
      <c r="AT1018" s="10" t="str">
        <f>IF(AS1018=$AT$1100,$AU$1100,IF(AS1018=$AT$1101,$AU$1101,IF(AS1018=$AT$1102,$AU$1102,IF(AS1018=$AT$1103,$AU$1103,IF(AS1018=$AT$1104,$AU$1104,IF(AS1018=$AT$1105,$AU$1105,IF(AS1018=$AT$1106,$AU$1106,IF(AS1018=$AT$1107,$AU$1107,IF(AS1018=$AT$1108,$AU$1108,IF(AS1018=$AT$1109,$AU$1109,"algo esta mal"))))))))))</f>
        <v>0</v>
      </c>
      <c r="AU1018" s="10" t="str">
        <f>CONCATENATE("el ",ROUND(AQ1018*100,0),"% ",AT1018," como ",AR1018)</f>
        <v>0</v>
      </c>
      <c r="AY1018" s="10" t="str">
        <f>(AZ908)</f>
        <v>0</v>
      </c>
      <c r="AZ1018" s="14" t="str">
        <f>SUM(BA908:BB908)</f>
        <v>0</v>
      </c>
      <c r="BA1018" s="14" t="str">
        <f>(BC908)</f>
        <v>0</v>
      </c>
      <c r="BB1018" s="14" t="str">
        <f>SUM(BD908:BE908)</f>
        <v>0</v>
      </c>
      <c r="BC1018" s="14" t="str">
        <f>MAX(AZ1018:BB1018)</f>
        <v>0</v>
      </c>
      <c r="BD1018" s="10" t="str">
        <f>IF(BC1018=AZ1018,$AZ$1015,IF(BC1018=BA1018,$BA$1015,IF(BC1018=BB1018,$BB$1015,"ALGO ESTA MAL")))</f>
        <v>0</v>
      </c>
      <c r="BE1018" s="10" t="str">
        <f>RANDBETWEEN(1,10)</f>
        <v>0</v>
      </c>
      <c r="BF1018" s="10" t="str">
        <f>IF(BE1018=$BF$1100,$BG$1100,IF(BE1018=$BF$1101,$BG$1101,IF(BE1018=$BF$1102,$BG$1102,IF(BE1018=$BF$1103,$BG$1103,IF(BE1018=$BF$1104,$BG$1104,IF(BE1018=$BF$1105,$BG$1105,IF(BE1018=$BF$1106,$BG$1106,IF(BE1018=$BF$1107,$BG$1107,IF(BE1018=$BF$1108,$BG$1108,IF(BE1018=$BF$1109,$BG$1109,"algo esta mal"))))))))))</f>
        <v>0</v>
      </c>
      <c r="BG1018" s="10" t="str">
        <f>CONCATENATE("el ",ROUND(BC1018*100,0),"% ",BF1018," como ",BD1018)</f>
        <v>0</v>
      </c>
      <c r="BK1018" s="14" t="str">
        <f>(AO16)</f>
        <v>0</v>
      </c>
      <c r="BL1018" s="14" t="str">
        <f>(AS19)</f>
        <v>0</v>
      </c>
      <c r="BM1018" s="5" t="str">
        <f>(AS20)</f>
        <v>0</v>
      </c>
      <c r="BN1018" s="14" t="str">
        <f>(AS21)</f>
        <v>0</v>
      </c>
      <c r="BO1018" s="14" t="str">
        <f>MAX(BL1018:BN1018)</f>
        <v>0</v>
      </c>
      <c r="BP1018" s="10" t="str">
        <f>IF(BO1018=BL1018,$BL$1015,IF(BO1018=BM1018,$BM$1015,IF(BO1018=BN1018,$BN$1015,"algo esta mal")))</f>
        <v>0</v>
      </c>
      <c r="BQ1018" s="10" t="str">
        <f> RANDBETWEEN(1,10)</f>
        <v>0</v>
      </c>
      <c r="BR1018" s="10" t="str">
        <f>IF(BQ1018=$BR$1100,$BS$1100,IF(BQ1018=$BR$1101,$BS$1101,IF(BQ1018=$BR$1102,$BS$1102,IF(BQ1018=$BR$1103,$BS$1103,IF(BQ1018=$BR$1104,$BS$1104,IF(BQ1018=$BR$1105,$BS$1105,IF(BQ1018=$BR$1106,$BS$1106,IF(BQ1018=$BR$1107,$BS$1107,IF(BQ1018=$BR$1108,$BS$1108,IF(BQ1018=$BR$1109,$BS$1109,"algo esta mal"))))))))))</f>
        <v>0</v>
      </c>
      <c r="BS1018" s="10" t="str">
        <f> RANDBETWEEN(1,7)</f>
        <v>0</v>
      </c>
      <c r="BT1018" s="10" t="str">
        <f>IF(BS1018=$BR$1110,$BS$1110,IF(BS1018=$BR$1111,$BS$1111,IF(BS1018=$BR$1112,$BS$1112,IF(BS1018=$BR$1113,$BS$1113,IF(BS1018=$BR$1114,$BS$1114,IF(BS1018=$BR$1115,$BS$1115,IF(BS1018=$BR$1116,$BS$1116,IF(BS1018=$BR$1047,$BS$1047,IF(BS1018=$BR$1048,$BS$1048,IF(BS1018=$BR$1049,$BS$1049,"algo esta mal"))))))))))</f>
        <v>0</v>
      </c>
      <c r="BU1018" s="10" t="str">
        <f> RANDBETWEEN(1,2)</f>
        <v>0</v>
      </c>
      <c r="BV1018" s="10" t="str">
        <f>IF(BU1018=$BR$1120,$BS$1120,IF(BU1018=$BR$1121,$BS$1121,"algo esta mal"))</f>
        <v>0</v>
      </c>
      <c r="BW1018" s="10" t="str">
        <f>CONCATENATE("el ",ROUND(BO1018*100,0),"% de los ",BV1018," ",BR1018," a la dimensión ",BK1018," como ",BP1018,", ",BT1018)</f>
        <v>0</v>
      </c>
    </row>
    <row r="1019" spans="1:75">
      <c r="O1019" s="10" t="str">
        <f>(P909)</f>
        <v>0</v>
      </c>
      <c r="P1019" s="14" t="str">
        <f>SUM(Q909:R909)</f>
        <v>0</v>
      </c>
      <c r="Q1019" s="14" t="str">
        <f>(S909)</f>
        <v>0</v>
      </c>
      <c r="R1019" s="14" t="str">
        <f>SUM(T909:U909)</f>
        <v>0</v>
      </c>
      <c r="S1019" s="14" t="str">
        <f>MAX(P1019:R1019)</f>
        <v>0</v>
      </c>
      <c r="T1019" s="10" t="str">
        <f>IF(S1019=P1019,$P$1015,IF(S1019=Q1019,$Q$1015,IF(S1019=R1019,$R$1015,"ALGO ESTA MAL")))</f>
        <v>0</v>
      </c>
      <c r="U1019" s="10" t="str">
        <f>RANDBETWEEN(1,10)</f>
        <v>0</v>
      </c>
      <c r="V1019" s="10" t="str">
        <f>IF(U1019=$V$1100,$W$1100,IF(U1019=$V$1101,$W$1101,IF(U1019=$V$1102,$W$1102,IF(U1019=$V$1103,$W$1103,IF(U1019=$V$1104,$W$1104,IF(U1019=$V$1105,$W$1105,IF(U1019=$V$1106,$W$1106,IF(U1019=$V$1107,$W$1107,IF(U1019=$V$1108,$W$1108,IF(U1019=$V$1109,$W$1109,"algo esta mal"))))))))))</f>
        <v>0</v>
      </c>
      <c r="W1019" s="10" t="str">
        <f>CONCATENATE("el ",ROUND(S1019*100,0),"% de los ",P902," ",V1019," como ",T1019)</f>
        <v>0</v>
      </c>
      <c r="AA1019" s="10" t="str">
        <f>(AB909)</f>
        <v>0</v>
      </c>
      <c r="AB1019" s="14" t="str">
        <f>SUM(AC909:AD909)</f>
        <v>0</v>
      </c>
      <c r="AC1019" s="14" t="str">
        <f>(AE909)</f>
        <v>0</v>
      </c>
      <c r="AD1019" s="14" t="str">
        <f>SUM(AF909:AG909)</f>
        <v>0</v>
      </c>
      <c r="AE1019" s="14" t="str">
        <f>MAX(AB1019:AD1019)</f>
        <v>0</v>
      </c>
      <c r="AF1019" s="10" t="str">
        <f>IF(AE1019=AB1019,$AB$1015,IF(AE1019=AC1019,$AC$1015,IF(AE1019=AD1019,$AD$1015,"ALGO ESTA MAL")))</f>
        <v>0</v>
      </c>
      <c r="AG1019" s="10" t="str">
        <f>RANDBETWEEN(1,10)</f>
        <v>0</v>
      </c>
      <c r="AH1019" s="10" t="str">
        <f>IF(AG1019=$AH$1100,$AI$1100,IF(AG1019=$AH$1101,$AI$1101,IF(AG1019=$AH$1102,$AI$1102,IF(AG1019=$AH$1103,$AI$1103,IF(AG1019=$AH$1104,$AI$1104,IF(AG1019=$AH$1105,$AI$1105,IF(AG1019=$AH$1106,$AI$1106,IF(AG1019=$AH$1107,$AI$1107,IF(AG1019=$AH$1108,$AI$1108,IF(AG1019=$AH$1109,$AI$1109,"algo esta mal"))))))))))</f>
        <v>0</v>
      </c>
      <c r="AI1019" s="10" t="str">
        <f>CONCATENATE("el ",ROUND(AE1019*100,0),"% de los ",AB902," ",AH1019," como ",AF1019)</f>
        <v>0</v>
      </c>
      <c r="AM1019" s="10" t="str">
        <f>(AN909)</f>
        <v>0</v>
      </c>
      <c r="AN1019" s="14" t="str">
        <f>SUM(AO909:AP909)</f>
        <v>0</v>
      </c>
      <c r="AO1019" s="14" t="str">
        <f>(AQ909)</f>
        <v>0</v>
      </c>
      <c r="AP1019" s="14" t="str">
        <f>SUM(AR909:AS909)</f>
        <v>0</v>
      </c>
      <c r="AQ1019" s="14" t="str">
        <f>MAX(AN1019:AP1019)</f>
        <v>0</v>
      </c>
      <c r="AR1019" s="10" t="str">
        <f>IF(AQ1019=AN1019,$AN$1015,IF(AQ1019=AO1019,$AO$1015,IF(AQ1019=AP1019,$AP$1015,"ALGO ESTA MAL")))</f>
        <v>0</v>
      </c>
      <c r="AS1019" s="10" t="str">
        <f>RANDBETWEEN(1,10)</f>
        <v>0</v>
      </c>
      <c r="AT1019" s="10" t="str">
        <f>IF(AS1019=$AT$1100,$AU$1100,IF(AS1019=$AT$1101,$AU$1101,IF(AS1019=$AT$1102,$AU$1102,IF(AS1019=$AT$1103,$AU$1103,IF(AS1019=$AT$1104,$AU$1104,IF(AS1019=$AT$1105,$AU$1105,IF(AS1019=$AT$1106,$AU$1106,IF(AS1019=$AT$1107,$AU$1107,IF(AS1019=$AT$1108,$AU$1108,IF(AS1019=$AT$1109,$AU$1109,"algo esta mal"))))))))))</f>
        <v>0</v>
      </c>
      <c r="AU1019" s="10" t="str">
        <f>CONCATENATE("el ",ROUND(AQ1019*100,0),"% de los ",AN902," ",AT1019," como ",AR1019)</f>
        <v>0</v>
      </c>
      <c r="AY1019" s="10" t="str">
        <f>(AZ909)</f>
        <v>0</v>
      </c>
      <c r="AZ1019" s="14" t="str">
        <f>SUM(BA909:BB909)</f>
        <v>0</v>
      </c>
      <c r="BA1019" s="14" t="str">
        <f>(BC909)</f>
        <v>0</v>
      </c>
      <c r="BB1019" s="14" t="str">
        <f>SUM(BD909:BE909)</f>
        <v>0</v>
      </c>
      <c r="BC1019" s="14" t="str">
        <f>MAX(AZ1019:BB1019)</f>
        <v>0</v>
      </c>
      <c r="BD1019" s="10" t="str">
        <f>IF(BC1019=AZ1019,$AZ$1015,IF(BC1019=BA1019,$BA$1015,IF(BC1019=BB1019,$BB$1015,"ALGO ESTA MAL")))</f>
        <v>0</v>
      </c>
      <c r="BE1019" s="10" t="str">
        <f>RANDBETWEEN(1,10)</f>
        <v>0</v>
      </c>
      <c r="BF1019" s="10" t="str">
        <f>IF(BE1019=$BF$1100,$BG$1100,IF(BE1019=$BF$1101,$BG$1101,IF(BE1019=$BF$1102,$BG$1102,IF(BE1019=$BF$1103,$BG$1103,IF(BE1019=$BF$1104,$BG$1104,IF(BE1019=$BF$1105,$BG$1105,IF(BE1019=$BF$1106,$BG$1106,IF(BE1019=$BF$1107,$BG$1107,IF(BE1019=$BF$1108,$BG$1108,IF(BE1019=$BF$1109,$BG$1109,"algo esta mal"))))))))))</f>
        <v>0</v>
      </c>
      <c r="BG1019" s="10" t="str">
        <f>CONCATENATE("el ",ROUND(BC1019*100,0),"% de los ",AZ902," ",BF1019," como ",BD1019)</f>
        <v>0</v>
      </c>
      <c r="BK1019" s="14" t="str">
        <f>(BA16)</f>
        <v>0</v>
      </c>
      <c r="BL1019" s="14" t="str">
        <f>(BE19)</f>
        <v>0</v>
      </c>
      <c r="BM1019" s="5" t="str">
        <f>(BE20)</f>
        <v>0</v>
      </c>
      <c r="BN1019" s="14" t="str">
        <f>(BE21)</f>
        <v>0</v>
      </c>
      <c r="BO1019" s="14" t="str">
        <f>MAX(BL1019:BN1019)</f>
        <v>0</v>
      </c>
      <c r="BP1019" s="10" t="str">
        <f>IF(BO1019=BL1019,$BL$1015,IF(BO1019=BM1019,$BM$1015,IF(BO1019=BN1019,$BN$1015,"algo esta mal")))</f>
        <v>0</v>
      </c>
      <c r="BQ1019" s="10" t="str">
        <f> RANDBETWEEN(1,10)</f>
        <v>0</v>
      </c>
      <c r="BR1019" s="10" t="str">
        <f>IF(BQ1019=$BR$1100,$BS$1100,IF(BQ1019=$BR$1101,$BS$1101,IF(BQ1019=$BR$1102,$BS$1102,IF(BQ1019=$BR$1103,$BS$1103,IF(BQ1019=$BR$1104,$BS$1104,IF(BQ1019=$BR$1105,$BS$1105,IF(BQ1019=$BR$1106,$BS$1106,IF(BQ1019=$BR$1107,$BS$1107,IF(BQ1019=$BR$1108,$BS$1108,IF(BQ1019=$BR$1109,$BS$1109,"algo esta mal"))))))))))</f>
        <v>0</v>
      </c>
      <c r="BS1019" s="10" t="str">
        <f> RANDBETWEEN(1,7)</f>
        <v>0</v>
      </c>
      <c r="BT1019" s="10" t="str">
        <f>IF(BS1019=$BR$1110,$BS$1110,IF(BS1019=$BR$1111,$BS$1111,IF(BS1019=$BR$1112,$BS$1112,IF(BS1019=$BR$1113,$BS$1113,IF(BS1019=$BR$1114,$BS$1114,IF(BS1019=$BR$1115,$BS$1115,IF(BS1019=$BR$1116,$BS$1116,IF(BS1019=$BR$1047,$BS$1047,IF(BS1019=$BR$1048,$BS$1048,IF(BS1019=$BR$1049,$BS$1049,"algo esta mal"))))))))))</f>
        <v>0</v>
      </c>
      <c r="BU1019" s="10" t="str">
        <f> RANDBETWEEN(1,2)</f>
        <v>0</v>
      </c>
      <c r="BV1019" s="10" t="str">
        <f>IF(BU1019=$BR$1120,$BS$1120,IF(BU1019=$BR$1121,$BS$1121,"algo esta mal"))</f>
        <v>0</v>
      </c>
      <c r="BW1019" s="10" t="str">
        <f>CONCATENATE("el ",ROUND(BO1019*100,0),"% de los ",BV1019," ",BR1019," a la dimensión ",BK1019," como ",BP1019,", ",BT1019)</f>
        <v>0</v>
      </c>
    </row>
    <row r="1020" spans="1:75">
      <c r="O1020" s="10" t="str">
        <f>(P910)</f>
        <v>0</v>
      </c>
      <c r="P1020" s="14" t="str">
        <f>SUM(Q910:R910)</f>
        <v>0</v>
      </c>
      <c r="Q1020" s="14" t="str">
        <f>(S910)</f>
        <v>0</v>
      </c>
      <c r="R1020" s="14" t="str">
        <f>SUM(T910:U910)</f>
        <v>0</v>
      </c>
      <c r="S1020" s="14" t="str">
        <f>MAX(P1020:R1020)</f>
        <v>0</v>
      </c>
      <c r="T1020" s="10" t="str">
        <f>IF(S1020=P1020,$P$1015,IF(S1020=Q1020,$Q$1015,IF(S1020=R1020,$R$1015,"ALGO ESTA MAL")))</f>
        <v>0</v>
      </c>
      <c r="U1020" s="10" t="str">
        <f>RANDBETWEEN(1,10)</f>
        <v>0</v>
      </c>
      <c r="V1020" s="10" t="str">
        <f>IF(U1020=$V$1100,$W$1100,IF(U1020=$V$1101,$W$1101,IF(U1020=$V$1102,$W$1102,IF(U1020=$V$1103,$W$1103,IF(U1020=$V$1104,$W$1104,IF(U1020=$V$1105,$W$1105,IF(U1020=$V$1106,$W$1106,IF(U1020=$V$1107,$W$1107,IF(U1020=$V$1108,$W$1108,IF(U1020=$V$1109,$W$1109,"algo esta mal"))))))))))</f>
        <v>0</v>
      </c>
      <c r="W1020" s="10" t="str">
        <f>CONCATENATE("el ",ROUND(S1020*100,0),"% ",V1020," como ",T1020)</f>
        <v>0</v>
      </c>
      <c r="AA1020" s="10" t="str">
        <f>(AB910)</f>
        <v>0</v>
      </c>
      <c r="AB1020" s="14" t="str">
        <f>SUM(AC910:AD910)</f>
        <v>0</v>
      </c>
      <c r="AC1020" s="14" t="str">
        <f>(AE910)</f>
        <v>0</v>
      </c>
      <c r="AD1020" s="14" t="str">
        <f>SUM(AF910:AG910)</f>
        <v>0</v>
      </c>
      <c r="AE1020" s="14" t="str">
        <f>MAX(AB1020:AD1020)</f>
        <v>0</v>
      </c>
      <c r="AF1020" s="10" t="str">
        <f>IF(AE1020=AB1020,$AB$1015,IF(AE1020=AC1020,$AC$1015,IF(AE1020=AD1020,$AD$1015,"ALGO ESTA MAL")))</f>
        <v>0</v>
      </c>
      <c r="AG1020" s="10" t="str">
        <f>RANDBETWEEN(1,10)</f>
        <v>0</v>
      </c>
      <c r="AH1020" s="10" t="str">
        <f>IF(AG1020=$AH$1100,$AI$1100,IF(AG1020=$AH$1101,$AI$1101,IF(AG1020=$AH$1102,$AI$1102,IF(AG1020=$AH$1103,$AI$1103,IF(AG1020=$AH$1104,$AI$1104,IF(AG1020=$AH$1105,$AI$1105,IF(AG1020=$AH$1106,$AI$1106,IF(AG1020=$AH$1107,$AI$1107,IF(AG1020=$AH$1108,$AI$1108,IF(AG1020=$AH$1109,$AI$1109,"algo esta mal"))))))))))</f>
        <v>0</v>
      </c>
      <c r="AI1020" s="10" t="str">
        <f>CONCATENATE("el ",ROUND(AE1020*100,0),"% ",AH1020," como ",AF1020)</f>
        <v>0</v>
      </c>
      <c r="AM1020" s="10" t="str">
        <f>(AN910)</f>
        <v>0</v>
      </c>
      <c r="AN1020" s="14" t="str">
        <f>SUM(AO910:AP910)</f>
        <v>0</v>
      </c>
      <c r="AO1020" s="14" t="str">
        <f>(AQ910)</f>
        <v>0</v>
      </c>
      <c r="AP1020" s="14" t="str">
        <f>SUM(AR910:AS910)</f>
        <v>0</v>
      </c>
      <c r="AQ1020" s="14" t="str">
        <f>MAX(AN1020:AP1020)</f>
        <v>0</v>
      </c>
      <c r="AR1020" s="10" t="str">
        <f>IF(AQ1020=AN1020,$AN$1015,IF(AQ1020=AO1020,$AO$1015,IF(AQ1020=AP1020,$AP$1015,"ALGO ESTA MAL")))</f>
        <v>0</v>
      </c>
      <c r="AS1020" s="10" t="str">
        <f>RANDBETWEEN(1,10)</f>
        <v>0</v>
      </c>
      <c r="AT1020" s="10" t="str">
        <f>IF(AS1020=$AT$1100,$AU$1100,IF(AS1020=$AT$1101,$AU$1101,IF(AS1020=$AT$1102,$AU$1102,IF(AS1020=$AT$1103,$AU$1103,IF(AS1020=$AT$1104,$AU$1104,IF(AS1020=$AT$1105,$AU$1105,IF(AS1020=$AT$1106,$AU$1106,IF(AS1020=$AT$1107,$AU$1107,IF(AS1020=$AT$1108,$AU$1108,IF(AS1020=$AT$1109,$AU$1109,"algo esta mal"))))))))))</f>
        <v>0</v>
      </c>
      <c r="AU1020" s="10" t="str">
        <f>CONCATENATE("el ",ROUND(AQ1020*100,0),"% ",AT1020," como ",AR1020)</f>
        <v>0</v>
      </c>
      <c r="AY1020" s="10" t="str">
        <f>(AZ910)</f>
        <v>0</v>
      </c>
      <c r="AZ1020" s="14" t="str">
        <f>SUM(BA910:BB910)</f>
        <v>0</v>
      </c>
      <c r="BA1020" s="14" t="str">
        <f>(BC910)</f>
        <v>0</v>
      </c>
      <c r="BB1020" s="14" t="str">
        <f>SUM(BD910:BE910)</f>
        <v>0</v>
      </c>
      <c r="BC1020" s="14" t="str">
        <f>MAX(AZ1020:BB1020)</f>
        <v>0</v>
      </c>
      <c r="BD1020" s="10" t="str">
        <f>IF(BC1020=AZ1020,$AZ$1015,IF(BC1020=BA1020,$BA$1015,IF(BC1020=BB1020,$BB$1015,"ALGO ESTA MAL")))</f>
        <v>0</v>
      </c>
      <c r="BE1020" s="10" t="str">
        <f>RANDBETWEEN(1,10)</f>
        <v>0</v>
      </c>
      <c r="BF1020" s="10" t="str">
        <f>IF(BE1020=$BF$1100,$BG$1100,IF(BE1020=$BF$1101,$BG$1101,IF(BE1020=$BF$1102,$BG$1102,IF(BE1020=$BF$1103,$BG$1103,IF(BE1020=$BF$1104,$BG$1104,IF(BE1020=$BF$1105,$BG$1105,IF(BE1020=$BF$1106,$BG$1106,IF(BE1020=$BF$1107,$BG$1107,IF(BE1020=$BF$1108,$BG$1108,IF(BE1020=$BF$1109,$BG$1109,"algo esta mal"))))))))))</f>
        <v>0</v>
      </c>
      <c r="BG1020" s="10" t="str">
        <f>CONCATENATE("el ",ROUND(BC1020*100,0),"% ",BF1020," como ",BD1020)</f>
        <v>0</v>
      </c>
    </row>
    <row r="1021" spans="1:75">
      <c r="O1021" s="10" t="str">
        <f>(P911)</f>
        <v>0</v>
      </c>
      <c r="P1021" s="14" t="str">
        <f>SUM(Q911:R911)</f>
        <v>0</v>
      </c>
      <c r="Q1021" s="14" t="str">
        <f>(S911)</f>
        <v>0</v>
      </c>
      <c r="R1021" s="14" t="str">
        <f>SUM(T911:U911)</f>
        <v>0</v>
      </c>
      <c r="S1021" s="14" t="str">
        <f>MAX(P1021:R1021)</f>
        <v>0</v>
      </c>
      <c r="T1021" s="10" t="str">
        <f>IF(S1021=P1021,$P$1015,IF(S1021=Q1021,$Q$1015,IF(S1021=R1021,$R$1015,"ALGO ESTA MAL")))</f>
        <v>0</v>
      </c>
      <c r="U1021" s="10" t="str">
        <f>RANDBETWEEN(1,10)</f>
        <v>0</v>
      </c>
      <c r="V1021" s="10" t="str">
        <f>IF(U1021=$V$1100,$W$1100,IF(U1021=$V$1101,$W$1101,IF(U1021=$V$1102,$W$1102,IF(U1021=$V$1103,$W$1103,IF(U1021=$V$1104,$W$1104,IF(U1021=$V$1105,$W$1105,IF(U1021=$V$1106,$W$1106,IF(U1021=$V$1107,$W$1107,IF(U1021=$V$1108,$W$1108,IF(U1021=$V$1109,$W$1109,"algo esta mal"))))))))))</f>
        <v>0</v>
      </c>
      <c r="W1021" s="10" t="str">
        <f>CONCATENATE("el ",ROUND(S1021*100,0),"% ",V1021," como ",T1021)</f>
        <v>0</v>
      </c>
      <c r="AA1021" s="10" t="str">
        <f>(AB911)</f>
        <v>0</v>
      </c>
      <c r="AB1021" s="14" t="str">
        <f>SUM(AC911:AD911)</f>
        <v>0</v>
      </c>
      <c r="AC1021" s="14" t="str">
        <f>(AE911)</f>
        <v>0</v>
      </c>
      <c r="AD1021" s="14" t="str">
        <f>SUM(AF911:AG911)</f>
        <v>0</v>
      </c>
      <c r="AE1021" s="14" t="str">
        <f>MAX(AB1021:AD1021)</f>
        <v>0</v>
      </c>
      <c r="AF1021" s="10" t="str">
        <f>IF(AE1021=AB1021,$AB$1015,IF(AE1021=AC1021,$AC$1015,IF(AE1021=AD1021,$AD$1015,"ALGO ESTA MAL")))</f>
        <v>0</v>
      </c>
      <c r="AG1021" s="10" t="str">
        <f>RANDBETWEEN(1,10)</f>
        <v>0</v>
      </c>
      <c r="AH1021" s="10" t="str">
        <f>IF(AG1021=$AH$1100,$AI$1100,IF(AG1021=$AH$1101,$AI$1101,IF(AG1021=$AH$1102,$AI$1102,IF(AG1021=$AH$1103,$AI$1103,IF(AG1021=$AH$1104,$AI$1104,IF(AG1021=$AH$1105,$AI$1105,IF(AG1021=$AH$1106,$AI$1106,IF(AG1021=$AH$1107,$AI$1107,IF(AG1021=$AH$1108,$AI$1108,IF(AG1021=$AH$1109,$AI$1109,"algo esta mal"))))))))))</f>
        <v>0</v>
      </c>
      <c r="AI1021" s="10" t="str">
        <f>CONCATENATE("el ",ROUND(AE1021*100,0),"% ",AH1021," como ",AF1021)</f>
        <v>0</v>
      </c>
      <c r="AM1021" s="10" t="str">
        <f>(AN911)</f>
        <v>0</v>
      </c>
      <c r="AN1021" s="14" t="str">
        <f>SUM(AO911:AP911)</f>
        <v>0</v>
      </c>
      <c r="AO1021" s="14" t="str">
        <f>(AQ911)</f>
        <v>0</v>
      </c>
      <c r="AP1021" s="14" t="str">
        <f>SUM(AR911:AS911)</f>
        <v>0</v>
      </c>
      <c r="AQ1021" s="14" t="str">
        <f>MAX(AN1021:AP1021)</f>
        <v>0</v>
      </c>
      <c r="AR1021" s="10" t="str">
        <f>IF(AQ1021=AN1021,$AN$1015,IF(AQ1021=AO1021,$AO$1015,IF(AQ1021=AP1021,$AP$1015,"ALGO ESTA MAL")))</f>
        <v>0</v>
      </c>
      <c r="AS1021" s="10" t="str">
        <f>RANDBETWEEN(1,10)</f>
        <v>0</v>
      </c>
      <c r="AT1021" s="10" t="str">
        <f>IF(AS1021=$AT$1100,$AU$1100,IF(AS1021=$AT$1101,$AU$1101,IF(AS1021=$AT$1102,$AU$1102,IF(AS1021=$AT$1103,$AU$1103,IF(AS1021=$AT$1104,$AU$1104,IF(AS1021=$AT$1105,$AU$1105,IF(AS1021=$AT$1106,$AU$1106,IF(AS1021=$AT$1107,$AU$1107,IF(AS1021=$AT$1108,$AU$1108,IF(AS1021=$AT$1109,$AU$1109,"algo esta mal"))))))))))</f>
        <v>0</v>
      </c>
      <c r="AU1021" s="10" t="str">
        <f>CONCATENATE("el ",ROUND(AQ1021*100,0),"% ",AT1021," como ",AR1021)</f>
        <v>0</v>
      </c>
    </row>
    <row r="1022" spans="1:75">
      <c r="O1022" s="10" t="str">
        <f>(P912)</f>
        <v>0</v>
      </c>
      <c r="P1022" s="14" t="str">
        <f>SUM(Q912:R912)</f>
        <v>0</v>
      </c>
      <c r="Q1022" s="14" t="str">
        <f>(S912)</f>
        <v>0</v>
      </c>
      <c r="R1022" s="14" t="str">
        <f>SUM(T912:U912)</f>
        <v>0</v>
      </c>
      <c r="S1022" s="14" t="str">
        <f>MAX(P1022:R1022)</f>
        <v>0</v>
      </c>
      <c r="T1022" s="10" t="str">
        <f>IF(S1022=P1022,$P$1015,IF(S1022=Q1022,$Q$1015,IF(S1022=R1022,$R$1015,"ALGO ESTA MAL")))</f>
        <v>0</v>
      </c>
      <c r="U1022" s="10" t="str">
        <f>RANDBETWEEN(1,10)</f>
        <v>0</v>
      </c>
      <c r="V1022" s="10" t="str">
        <f>IF(U1022=$V$1100,$W$1100,IF(U1022=$V$1101,$W$1101,IF(U1022=$V$1102,$W$1102,IF(U1022=$V$1103,$W$1103,IF(U1022=$V$1104,$W$1104,IF(U1022=$V$1105,$W$1105,IF(U1022=$V$1106,$W$1106,IF(U1022=$V$1107,$W$1107,IF(U1022=$V$1108,$W$1108,IF(U1022=$V$1109,$W$1109,"algo esta mal"))))))))))</f>
        <v>0</v>
      </c>
      <c r="W1022" s="10" t="str">
        <f>CONCATENATE("el ",ROUND(S1022*100,0),"% de los ",P902," ",V1022," como ",T1022)</f>
        <v>0</v>
      </c>
      <c r="AA1022" s="10" t="str">
        <f>(AB912)</f>
        <v>0</v>
      </c>
      <c r="AB1022" s="14" t="str">
        <f>SUM(AC912:AD912)</f>
        <v>0</v>
      </c>
      <c r="AC1022" s="14" t="str">
        <f>(AE912)</f>
        <v>0</v>
      </c>
      <c r="AD1022" s="14" t="str">
        <f>SUM(AF912:AG912)</f>
        <v>0</v>
      </c>
      <c r="AE1022" s="14" t="str">
        <f>MAX(AB1022:AD1022)</f>
        <v>0</v>
      </c>
      <c r="AF1022" s="10" t="str">
        <f>IF(AE1022=AB1022,$AB$1015,IF(AE1022=AC1022,$AC$1015,IF(AE1022=AD1022,$AD$1015,"ALGO ESTA MAL")))</f>
        <v>0</v>
      </c>
      <c r="AG1022" s="10" t="str">
        <f>RANDBETWEEN(1,10)</f>
        <v>0</v>
      </c>
      <c r="AH1022" s="10" t="str">
        <f>IF(AG1022=$AH$1100,$AI$1100,IF(AG1022=$AH$1101,$AI$1101,IF(AG1022=$AH$1102,$AI$1102,IF(AG1022=$AH$1103,$AI$1103,IF(AG1022=$AH$1104,$AI$1104,IF(AG1022=$AH$1105,$AI$1105,IF(AG1022=$AH$1106,$AI$1106,IF(AG1022=$AH$1107,$AI$1107,IF(AG1022=$AH$1108,$AI$1108,IF(AG1022=$AH$1109,$AI$1109,"algo esta mal"))))))))))</f>
        <v>0</v>
      </c>
      <c r="AI1022" s="10" t="str">
        <f>CONCATENATE("el ",ROUND(AE1022*100,0),"% de los ",AB902," ",AH1022," como ",AF1022)</f>
        <v>0</v>
      </c>
    </row>
    <row r="1023" spans="1:75">
      <c r="O1023" s="10" t="str">
        <f>(P913)</f>
        <v>0</v>
      </c>
      <c r="P1023" s="14" t="str">
        <f>SUM(Q913:R913)</f>
        <v>0</v>
      </c>
      <c r="Q1023" s="14" t="str">
        <f>(S913)</f>
        <v>0</v>
      </c>
      <c r="R1023" s="14" t="str">
        <f>SUM(T913:U913)</f>
        <v>0</v>
      </c>
      <c r="S1023" s="14" t="str">
        <f>MAX(P1023:R1023)</f>
        <v>0</v>
      </c>
      <c r="T1023" s="10" t="str">
        <f>IF(S1023=P1023,$P$1015,IF(S1023=Q1023,$Q$1015,IF(S1023=R1023,$R$1015,"ALGO ESTA MAL")))</f>
        <v>0</v>
      </c>
      <c r="U1023" s="10" t="str">
        <f>RANDBETWEEN(1,10)</f>
        <v>0</v>
      </c>
      <c r="V1023" s="10" t="str">
        <f>IF(U1023=$V$1100,$W$1100,IF(U1023=$V$1101,$W$1101,IF(U1023=$V$1102,$W$1102,IF(U1023=$V$1103,$W$1103,IF(U1023=$V$1104,$W$1104,IF(U1023=$V$1105,$W$1105,IF(U1023=$V$1106,$W$1106,IF(U1023=$V$1107,$W$1107,IF(U1023=$V$1108,$W$1108,IF(U1023=$V$1109,$W$1109,"algo esta mal"))))))))))</f>
        <v>0</v>
      </c>
      <c r="W1023" s="10" t="str">
        <f>CONCATENATE("el ",ROUND(S1023*100,0),"% ",V1023," como ",T1023)</f>
        <v>0</v>
      </c>
      <c r="AA1023" s="10" t="str">
        <f>(AB913)</f>
        <v>0</v>
      </c>
      <c r="AB1023" s="14" t="str">
        <f>SUM(AC913:AD913)</f>
        <v>0</v>
      </c>
      <c r="AC1023" s="14" t="str">
        <f>(AE913)</f>
        <v>0</v>
      </c>
      <c r="AD1023" s="14" t="str">
        <f>SUM(AF913:AG913)</f>
        <v>0</v>
      </c>
      <c r="AE1023" s="14" t="str">
        <f>MAX(AB1023:AD1023)</f>
        <v>0</v>
      </c>
      <c r="AF1023" s="10" t="str">
        <f>IF(AE1023=AB1023,$AB$1015,IF(AE1023=AC1023,$AC$1015,IF(AE1023=AD1023,$AD$1015,"ALGO ESTA MAL")))</f>
        <v>0</v>
      </c>
      <c r="AG1023" s="10" t="str">
        <f>RANDBETWEEN(1,10)</f>
        <v>0</v>
      </c>
      <c r="AH1023" s="10" t="str">
        <f>IF(AG1023=$AH$1100,$AI$1100,IF(AG1023=$AH$1101,$AI$1101,IF(AG1023=$AH$1102,$AI$1102,IF(AG1023=$AH$1103,$AI$1103,IF(AG1023=$AH$1104,$AI$1104,IF(AG1023=$AH$1105,$AI$1105,IF(AG1023=$AH$1106,$AI$1106,IF(AG1023=$AH$1107,$AI$1107,IF(AG1023=$AH$1108,$AI$1108,IF(AG1023=$AH$1109,$AI$1109,"algo esta mal"))))))))))</f>
        <v>0</v>
      </c>
      <c r="AI1023" s="10" t="str">
        <f>CONCATENATE("el ",ROUND(AE1023*100,0),"% ",AH1023," como ",AF1023)</f>
        <v>0</v>
      </c>
    </row>
    <row r="1024" spans="1:75">
      <c r="O1024" s="10" t="str">
        <f>(P914)</f>
        <v>0</v>
      </c>
      <c r="P1024" s="14" t="str">
        <f>SUM(Q914:R914)</f>
        <v>0</v>
      </c>
      <c r="Q1024" s="14" t="str">
        <f>(S914)</f>
        <v>0</v>
      </c>
      <c r="R1024" s="14" t="str">
        <f>SUM(T914:U914)</f>
        <v>0</v>
      </c>
      <c r="S1024" s="14" t="str">
        <f>MAX(P1024:R1024)</f>
        <v>0</v>
      </c>
      <c r="T1024" s="10" t="str">
        <f>IF(S1024=P1024,$P$1015,IF(S1024=Q1024,$Q$1015,IF(S1024=R1024,$R$1015,"ALGO ESTA MAL")))</f>
        <v>0</v>
      </c>
      <c r="U1024" s="10" t="str">
        <f>RANDBETWEEN(1,10)</f>
        <v>0</v>
      </c>
      <c r="V1024" s="10" t="str">
        <f>IF(U1024=$V$1100,$W$1100,IF(U1024=$V$1101,$W$1101,IF(U1024=$V$1102,$W$1102,IF(U1024=$V$1103,$W$1103,IF(U1024=$V$1104,$W$1104,IF(U1024=$V$1105,$W$1105,IF(U1024=$V$1106,$W$1106,IF(U1024=$V$1107,$W$1107,IF(U1024=$V$1108,$W$1108,IF(U1024=$V$1109,$W$1109,"algo esta mal"))))))))))</f>
        <v>0</v>
      </c>
      <c r="W1024" s="10" t="str">
        <f>CONCATENATE("el ",ROUND(S1024*100,0),"% ",V1024," como ",T1024)</f>
        <v>0</v>
      </c>
      <c r="AA1024" s="10" t="str">
        <f>(AB914)</f>
        <v>0</v>
      </c>
      <c r="AB1024" s="14" t="str">
        <f>SUM(AC914:AD914)</f>
        <v>0</v>
      </c>
      <c r="AC1024" s="14" t="str">
        <f>(AE914)</f>
        <v>0</v>
      </c>
      <c r="AD1024" s="14" t="str">
        <f>SUM(AF914:AG914)</f>
        <v>0</v>
      </c>
      <c r="AE1024" s="14" t="str">
        <f>MAX(AB1024:AD1024)</f>
        <v>0</v>
      </c>
      <c r="AF1024" s="10" t="str">
        <f>IF(AE1024=AB1024,$AB$1015,IF(AE1024=AC1024,$AC$1015,IF(AE1024=AD1024,$AD$1015,"ALGO ESTA MAL")))</f>
        <v>0</v>
      </c>
      <c r="AG1024" s="10" t="str">
        <f>RANDBETWEEN(1,10)</f>
        <v>0</v>
      </c>
      <c r="AH1024" s="10" t="str">
        <f>IF(AG1024=$AH$1100,$AI$1100,IF(AG1024=$AH$1101,$AI$1101,IF(AG1024=$AH$1102,$AI$1102,IF(AG1024=$AH$1103,$AI$1103,IF(AG1024=$AH$1104,$AI$1104,IF(AG1024=$AH$1105,$AI$1105,IF(AG1024=$AH$1106,$AI$1106,IF(AG1024=$AH$1107,$AI$1107,IF(AG1024=$AH$1108,$AI$1108,IF(AG1024=$AH$1109,$AI$1109,"algo esta mal"))))))))))</f>
        <v>0</v>
      </c>
      <c r="AI1024" s="10" t="str">
        <f>CONCATENATE("el ",ROUND(AE1024*100,0),"% ",AH1024," como ",AF1024)</f>
        <v>0</v>
      </c>
    </row>
    <row r="1025" spans="1:75">
      <c r="O1025" s="10" t="str">
        <f>(P915)</f>
        <v>0</v>
      </c>
      <c r="P1025" s="14" t="str">
        <f>SUM(Q915:R915)</f>
        <v>0</v>
      </c>
      <c r="Q1025" s="14" t="str">
        <f>(S915)</f>
        <v>0</v>
      </c>
      <c r="R1025" s="14" t="str">
        <f>SUM(T915:U915)</f>
        <v>0</v>
      </c>
      <c r="S1025" s="14" t="str">
        <f>MAX(P1025:R1025)</f>
        <v>0</v>
      </c>
      <c r="T1025" s="10" t="str">
        <f>IF(S1025=P1025,$P$1015,IF(S1025=Q1025,$Q$1015,IF(S1025=R1025,$R$1015,"ALGO ESTA MAL")))</f>
        <v>0</v>
      </c>
      <c r="U1025" s="10" t="str">
        <f>RANDBETWEEN(1,10)</f>
        <v>0</v>
      </c>
      <c r="V1025" s="10" t="str">
        <f>IF(U1025=$V$1100,$W$1100,IF(U1025=$V$1101,$W$1101,IF(U1025=$V$1102,$W$1102,IF(U1025=$V$1103,$W$1103,IF(U1025=$V$1104,$W$1104,IF(U1025=$V$1105,$W$1105,IF(U1025=$V$1106,$W$1106,IF(U1025=$V$1107,$W$1107,IF(U1025=$V$1108,$W$1108,IF(U1025=$V$1109,$W$1109,"algo esta mal"))))))))))</f>
        <v>0</v>
      </c>
      <c r="W1025" s="10" t="str">
        <f>CONCATENATE("el ",ROUND(S1025*100,0),"% de los ",P902," ",V1025," como ",T1025)</f>
        <v>0</v>
      </c>
      <c r="AA1025" s="10" t="str">
        <f>(AB915)</f>
        <v>0</v>
      </c>
      <c r="AB1025" s="14" t="str">
        <f>SUM(AC915:AD915)</f>
        <v>0</v>
      </c>
      <c r="AC1025" s="14" t="str">
        <f>(AE915)</f>
        <v>0</v>
      </c>
      <c r="AD1025" s="14" t="str">
        <f>SUM(AF915:AG915)</f>
        <v>0</v>
      </c>
      <c r="AE1025" s="14" t="str">
        <f>MAX(AB1025:AD1025)</f>
        <v>0</v>
      </c>
      <c r="AF1025" s="10" t="str">
        <f>IF(AE1025=AB1025,$AB$1015,IF(AE1025=AC1025,$AC$1015,IF(AE1025=AD1025,$AD$1015,"ALGO ESTA MAL")))</f>
        <v>0</v>
      </c>
      <c r="AG1025" s="10" t="str">
        <f>RANDBETWEEN(1,10)</f>
        <v>0</v>
      </c>
      <c r="AH1025" s="10" t="str">
        <f>IF(AG1025=$AH$1100,$AI$1100,IF(AG1025=$AH$1101,$AI$1101,IF(AG1025=$AH$1102,$AI$1102,IF(AG1025=$AH$1103,$AI$1103,IF(AG1025=$AH$1104,$AI$1104,IF(AG1025=$AH$1105,$AI$1105,IF(AG1025=$AH$1106,$AI$1106,IF(AG1025=$AH$1107,$AI$1107,IF(AG1025=$AH$1108,$AI$1108,IF(AG1025=$AH$1109,$AI$1109,"algo esta mal"))))))))))</f>
        <v>0</v>
      </c>
      <c r="AI1025" s="10" t="str">
        <f>CONCATENATE("el ",ROUND(AE1025*100,0),"% de los ",AB902," ",AH1025," como ",AF1025)</f>
        <v>0</v>
      </c>
    </row>
    <row r="1026" spans="1:75">
      <c r="AA1026" s="10" t="str">
        <f>(AB916)</f>
        <v>0</v>
      </c>
      <c r="AB1026" s="14" t="str">
        <f>SUM(AC916:AD916)</f>
        <v>0</v>
      </c>
      <c r="AC1026" s="14" t="str">
        <f>(AE916)</f>
        <v>0</v>
      </c>
      <c r="AD1026" s="14" t="str">
        <f>SUM(AF916:AG916)</f>
        <v>0</v>
      </c>
      <c r="AE1026" s="14" t="str">
        <f>MAX(AB1026:AD1026)</f>
        <v>0</v>
      </c>
      <c r="AF1026" s="10" t="str">
        <f>IF(AE1026=AB1026,$AB$1015,IF(AE1026=AC1026,$AC$1015,IF(AE1026=AD1026,$AD$1015,"ALGO ESTA MAL")))</f>
        <v>0</v>
      </c>
      <c r="AG1026" s="10" t="str">
        <f>RANDBETWEEN(1,10)</f>
        <v>0</v>
      </c>
      <c r="AH1026" s="10" t="str">
        <f>IF(AG1026=$AH$1100,$AI$1100,IF(AG1026=$AH$1101,$AI$1101,IF(AG1026=$AH$1102,$AI$1102,IF(AG1026=$AH$1103,$AI$1103,IF(AG1026=$AH$1104,$AI$1104,IF(AG1026=$AH$1105,$AI$1105,IF(AG1026=$AH$1106,$AI$1106,IF(AG1026=$AH$1107,$AI$1107,IF(AG1026=$AH$1108,$AI$1108,IF(AG1026=$AH$1109,$AI$1109,"algo esta mal"))))))))))</f>
        <v>0</v>
      </c>
      <c r="AI1026" s="10" t="str">
        <f>CONCATENATE("el ",ROUND(AE1026*100,0),"% ",AH1026," como ",AF1026)</f>
        <v>0</v>
      </c>
    </row>
    <row r="1027" spans="1:75">
      <c r="AA1027" s="10" t="str">
        <f>(AB917)</f>
        <v>0</v>
      </c>
      <c r="AB1027" s="14" t="str">
        <f>SUM(AC917:AD917)</f>
        <v>0</v>
      </c>
      <c r="AC1027" s="14" t="str">
        <f>(AE917)</f>
        <v>0</v>
      </c>
      <c r="AD1027" s="14" t="str">
        <f>SUM(AF917:AG917)</f>
        <v>0</v>
      </c>
      <c r="AE1027" s="14" t="str">
        <f>MAX(AB1027:AD1027)</f>
        <v>0</v>
      </c>
      <c r="AF1027" s="10" t="str">
        <f>IF(AE1027=AB1027,$AB$1015,IF(AE1027=AC1027,$AC$1015,IF(AE1027=AD1027,$AD$1015,"ALGO ESTA MAL")))</f>
        <v>0</v>
      </c>
      <c r="AG1027" s="10" t="str">
        <f>RANDBETWEEN(1,10)</f>
        <v>0</v>
      </c>
      <c r="AH1027" s="10" t="str">
        <f>IF(AG1027=$AH$1100,$AI$1100,IF(AG1027=$AH$1101,$AI$1101,IF(AG1027=$AH$1102,$AI$1102,IF(AG1027=$AH$1103,$AI$1103,IF(AG1027=$AH$1104,$AI$1104,IF(AG1027=$AH$1105,$AI$1105,IF(AG1027=$AH$1106,$AI$1106,IF(AG1027=$AH$1107,$AI$1107,IF(AG1027=$AH$1108,$AI$1108,IF(AG1027=$AH$1109,$AI$1109,"algo esta mal"))))))))))</f>
        <v>0</v>
      </c>
      <c r="AI1027" s="10" t="str">
        <f>CONCATENATE("el ",ROUND(AE1027*100,0),"% ",AH1027," como ",AF1027)</f>
        <v>0</v>
      </c>
    </row>
    <row r="1028" spans="1:75">
      <c r="AA1028" s="10" t="str">
        <f>(AB918)</f>
        <v>0</v>
      </c>
      <c r="AB1028" s="14" t="str">
        <f>SUM(AC918:AD918)</f>
        <v>0</v>
      </c>
      <c r="AC1028" s="14" t="str">
        <f>(AE918)</f>
        <v>0</v>
      </c>
      <c r="AD1028" s="14" t="str">
        <f>SUM(AF918:AG918)</f>
        <v>0</v>
      </c>
      <c r="AE1028" s="14" t="str">
        <f>MAX(AB1028:AD1028)</f>
        <v>0</v>
      </c>
      <c r="AF1028" s="10" t="str">
        <f>IF(AE1028=AB1028,$AB$1015,IF(AE1028=AC1028,$AC$1015,IF(AE1028=AD1028,$AD$1015,"ALGO ESTA MAL")))</f>
        <v>0</v>
      </c>
      <c r="AG1028" s="10" t="str">
        <f>RANDBETWEEN(1,10)</f>
        <v>0</v>
      </c>
      <c r="AH1028" s="10" t="str">
        <f>IF(AG1028=$AH$1100,$AI$1100,IF(AG1028=$AH$1101,$AI$1101,IF(AG1028=$AH$1102,$AI$1102,IF(AG1028=$AH$1103,$AI$1103,IF(AG1028=$AH$1104,$AI$1104,IF(AG1028=$AH$1105,$AI$1105,IF(AG1028=$AH$1106,$AI$1106,IF(AG1028=$AH$1107,$AI$1107,IF(AG1028=$AH$1108,$AI$1108,IF(AG1028=$AH$1109,$AI$1109,"algo esta mal"))))))))))</f>
        <v>0</v>
      </c>
      <c r="AI1028" s="10" t="str">
        <f>CONCATENATE("el ",ROUND(AE1028*100,0),"% de los ",AB902," ",AH1028," como ",AF1028)</f>
        <v>0</v>
      </c>
    </row>
    <row r="1029" spans="1:75">
      <c r="AA1029" s="10" t="str">
        <f>(AB919)</f>
        <v>0</v>
      </c>
      <c r="AB1029" s="14" t="str">
        <f>SUM(AC919:AD919)</f>
        <v>0</v>
      </c>
      <c r="AC1029" s="14" t="str">
        <f>(AE919)</f>
        <v>0</v>
      </c>
      <c r="AD1029" s="14" t="str">
        <f>SUM(AF919:AG919)</f>
        <v>0</v>
      </c>
      <c r="AE1029" s="14" t="str">
        <f>MAX(AB1029:AD1029)</f>
        <v>0</v>
      </c>
      <c r="AF1029" s="10" t="str">
        <f>IF(AE1029=AB1029,$AB$1015,IF(AE1029=AC1029,$AC$1015,IF(AE1029=AD1029,$AD$1015,"ALGO ESTA MAL")))</f>
        <v>0</v>
      </c>
      <c r="AG1029" s="10" t="str">
        <f>RANDBETWEEN(1,10)</f>
        <v>0</v>
      </c>
      <c r="AH1029" s="10" t="str">
        <f>IF(AG1029=$AH$1100,$AI$1100,IF(AG1029=$AH$1101,$AI$1101,IF(AG1029=$AH$1102,$AI$1102,IF(AG1029=$AH$1103,$AI$1103,IF(AG1029=$AH$1104,$AI$1104,IF(AG1029=$AH$1105,$AI$1105,IF(AG1029=$AH$1106,$AI$1106,IF(AG1029=$AH$1107,$AI$1107,IF(AG1029=$AH$1108,$AI$1108,IF(AG1029=$AH$1109,$AI$1109,"algo esta mal"))))))))))</f>
        <v>0</v>
      </c>
      <c r="AI1029" s="10" t="str">
        <f>CONCATENATE("el ",ROUND(AE1029*100,0),"% ",AH1029," como ",AF1029)</f>
        <v>0</v>
      </c>
    </row>
    <row r="1030" spans="1:75">
      <c r="AA1030" s="10" t="str">
        <f>(AB920)</f>
        <v>0</v>
      </c>
      <c r="AB1030" s="14" t="str">
        <f>SUM(AC920:AD920)</f>
        <v>0</v>
      </c>
      <c r="AC1030" s="14" t="str">
        <f>(AE920)</f>
        <v>0</v>
      </c>
      <c r="AD1030" s="14" t="str">
        <f>SUM(AF920:AG920)</f>
        <v>0</v>
      </c>
      <c r="AE1030" s="14" t="str">
        <f>MAX(AB1030:AD1030)</f>
        <v>0</v>
      </c>
      <c r="AF1030" s="10" t="str">
        <f>IF(AE1030=AB1030,$AB$1015,IF(AE1030=AC1030,$AC$1015,IF(AE1030=AD1030,$AD$1015,"ALGO ESTA MAL")))</f>
        <v>0</v>
      </c>
      <c r="AG1030" s="10" t="str">
        <f>RANDBETWEEN(1,10)</f>
        <v>0</v>
      </c>
      <c r="AH1030" s="10" t="str">
        <f>IF(AG1030=$AH$1100,$AI$1100,IF(AG1030=$AH$1101,$AI$1101,IF(AG1030=$AH$1102,$AI$1102,IF(AG1030=$AH$1103,$AI$1103,IF(AG1030=$AH$1104,$AI$1104,IF(AG1030=$AH$1105,$AI$1105,IF(AG1030=$AH$1106,$AI$1106,IF(AG1030=$AH$1107,$AI$1107,IF(AG1030=$AH$1108,$AI$1108,IF(AG1030=$AH$1109,$AI$1109,"algo esta mal"))))))))))</f>
        <v>0</v>
      </c>
      <c r="AI1030" s="10" t="str">
        <f>CONCATENATE("el ",ROUND(AE1030*100,0),"% ",AH1030," como ",AF1030)</f>
        <v>0</v>
      </c>
    </row>
    <row r="1031" spans="1:75">
      <c r="AA1031" s="10" t="str">
        <f>(AB921)</f>
        <v>0</v>
      </c>
      <c r="AB1031" s="14" t="str">
        <f>SUM(AC921:AD921)</f>
        <v>0</v>
      </c>
      <c r="AC1031" s="14" t="str">
        <f>(AE921)</f>
        <v>0</v>
      </c>
      <c r="AD1031" s="14" t="str">
        <f>SUM(AF921:AG921)</f>
        <v>0</v>
      </c>
      <c r="AE1031" s="14" t="str">
        <f>MAX(AB1031:AD1031)</f>
        <v>0</v>
      </c>
      <c r="AF1031" s="10" t="str">
        <f>IF(AE1031=AB1031,$AB$1015,IF(AE1031=AC1031,$AC$1015,IF(AE1031=AD1031,$AD$1015,"ALGO ESTA MAL")))</f>
        <v>0</v>
      </c>
      <c r="AG1031" s="10" t="str">
        <f>RANDBETWEEN(1,10)</f>
        <v>0</v>
      </c>
      <c r="AH1031" s="10" t="str">
        <f>IF(AG1031=$AH$1100,$AI$1100,IF(AG1031=$AH$1101,$AI$1101,IF(AG1031=$AH$1102,$AI$1102,IF(AG1031=$AH$1103,$AI$1103,IF(AG1031=$AH$1104,$AI$1104,IF(AG1031=$AH$1105,$AI$1105,IF(AG1031=$AH$1106,$AI$1106,IF(AG1031=$AH$1107,$AI$1107,IF(AG1031=$AH$1108,$AI$1108,IF(AG1031=$AH$1109,$AI$1109,"algo esta mal"))))))))))</f>
        <v>0</v>
      </c>
      <c r="AI1031" s="10" t="str">
        <f>CONCATENATE("el ",ROUND(AE1031*100,0),"% de los ",AB902," ",AH1031," como ",AF1031)</f>
        <v>0</v>
      </c>
    </row>
    <row r="1032" spans="1:75">
      <c r="AA1032" s="10" t="str">
        <f>(AB922)</f>
        <v>0</v>
      </c>
      <c r="AB1032" s="14" t="str">
        <f>SUM(AC922:AD922)</f>
        <v>0</v>
      </c>
      <c r="AC1032" s="14" t="str">
        <f>(AE922)</f>
        <v>0</v>
      </c>
      <c r="AD1032" s="14" t="str">
        <f>SUM(AF922:AG922)</f>
        <v>0</v>
      </c>
      <c r="AE1032" s="14" t="str">
        <f>MAX(AB1032:AD1032)</f>
        <v>0</v>
      </c>
      <c r="AF1032" s="10" t="str">
        <f>IF(AE1032=AB1032,$AB$1015,IF(AE1032=AC1032,$AC$1015,IF(AE1032=AD1032,$AD$1015,"ALGO ESTA MAL")))</f>
        <v>0</v>
      </c>
      <c r="AG1032" s="10" t="str">
        <f>RANDBETWEEN(1,10)</f>
        <v>0</v>
      </c>
      <c r="AH1032" s="10" t="str">
        <f>IF(AG1032=$AH$1100,$AI$1100,IF(AG1032=$AH$1101,$AI$1101,IF(AG1032=$AH$1102,$AI$1102,IF(AG1032=$AH$1103,$AI$1103,IF(AG1032=$AH$1104,$AI$1104,IF(AG1032=$AH$1105,$AI$1105,IF(AG1032=$AH$1106,$AI$1106,IF(AG1032=$AH$1107,$AI$1107,IF(AG1032=$AH$1108,$AI$1108,IF(AG1032=$AH$1109,$AI$1109,"algo esta mal"))))))))))</f>
        <v>0</v>
      </c>
      <c r="AI1032" s="10" t="str">
        <f>CONCATENATE("el ",ROUND(AE1032*100,0),"% ",AH1032," como ",AF1032)</f>
        <v>0</v>
      </c>
    </row>
    <row r="1033" spans="1:75">
      <c r="AA1033" s="10" t="str">
        <f>(AB923)</f>
        <v>0</v>
      </c>
      <c r="AB1033" s="14" t="str">
        <f>SUM(AC923:AD923)</f>
        <v>0</v>
      </c>
      <c r="AC1033" s="14" t="str">
        <f>(AE923)</f>
        <v>0</v>
      </c>
      <c r="AD1033" s="14" t="str">
        <f>SUM(AF923:AG923)</f>
        <v>0</v>
      </c>
      <c r="AE1033" s="14" t="str">
        <f>MAX(AB1033:AD1033)</f>
        <v>0</v>
      </c>
      <c r="AF1033" s="10" t="str">
        <f>IF(AE1033=AB1033,$AB$1015,IF(AE1033=AC1033,$AC$1015,IF(AE1033=AD1033,$AD$1015,"ALGO ESTA MAL")))</f>
        <v>0</v>
      </c>
      <c r="AG1033" s="10" t="str">
        <f>RANDBETWEEN(1,10)</f>
        <v>0</v>
      </c>
      <c r="AH1033" s="10" t="str">
        <f>IF(AG1033=$AH$1100,$AI$1100,IF(AG1033=$AH$1101,$AI$1101,IF(AG1033=$AH$1102,$AI$1102,IF(AG1033=$AH$1103,$AI$1103,IF(AG1033=$AH$1104,$AI$1104,IF(AG1033=$AH$1105,$AI$1105,IF(AG1033=$AH$1106,$AI$1106,IF(AG1033=$AH$1107,$AI$1107,IF(AG1033=$AH$1108,$AI$1108,IF(AG1033=$AH$1109,$AI$1109,"algo esta mal"))))))))))</f>
        <v>0</v>
      </c>
      <c r="AI1033" s="10" t="str">
        <f>CONCATENATE("el ",ROUND(AE1033*100,0),"% ",AH1033," como ",AF1033)</f>
        <v>0</v>
      </c>
    </row>
    <row r="1034" spans="1:75">
      <c r="AA1034" s="10" t="str">
        <f>(AB924)</f>
        <v>0</v>
      </c>
      <c r="AB1034" s="14" t="str">
        <f>SUM(AC924:AD924)</f>
        <v>0</v>
      </c>
      <c r="AC1034" s="14" t="str">
        <f>(AE924)</f>
        <v>0</v>
      </c>
      <c r="AD1034" s="14" t="str">
        <f>SUM(AF924:AG924)</f>
        <v>0</v>
      </c>
      <c r="AE1034" s="14" t="str">
        <f>MAX(AB1034:AD1034)</f>
        <v>0</v>
      </c>
      <c r="AF1034" s="10" t="str">
        <f>IF(AE1034=AB1034,$AB$1015,IF(AE1034=AC1034,$AC$1015,IF(AE1034=AD1034,$AD$1015,"ALGO ESTA MAL")))</f>
        <v>0</v>
      </c>
      <c r="AG1034" s="10" t="str">
        <f>RANDBETWEEN(1,10)</f>
        <v>0</v>
      </c>
      <c r="AH1034" s="10" t="str">
        <f>IF(AG1034=$AH$1100,$AI$1100,IF(AG1034=$AH$1101,$AI$1101,IF(AG1034=$AH$1102,$AI$1102,IF(AG1034=$AH$1103,$AI$1103,IF(AG1034=$AH$1104,$AI$1104,IF(AG1034=$AH$1105,$AI$1105,IF(AG1034=$AH$1106,$AI$1106,IF(AG1034=$AH$1107,$AI$1107,IF(AG1034=$AH$1108,$AI$1108,IF(AG1034=$AH$1109,$AI$1109,"algo esta mal"))))))))))</f>
        <v>0</v>
      </c>
      <c r="AI1034" s="10" t="str">
        <f>CONCATENATE("el ",ROUND(AE1034*100,0),"% de los ",AB902," ",AH1034," como ",AF1034)</f>
        <v>0</v>
      </c>
    </row>
    <row r="1100" spans="1:75">
      <c r="V1100" s="10">
        <v>1</v>
      </c>
      <c r="W1100" s="10" t="s">
        <v>453</v>
      </c>
      <c r="AH1100" s="10">
        <v>1</v>
      </c>
      <c r="AI1100" s="10" t="s">
        <v>453</v>
      </c>
      <c r="AT1100" s="10">
        <v>1</v>
      </c>
      <c r="AU1100" s="10" t="s">
        <v>453</v>
      </c>
      <c r="BF1100" s="10">
        <v>1</v>
      </c>
      <c r="BG1100" s="10" t="s">
        <v>453</v>
      </c>
      <c r="BR1100" s="10">
        <v>1</v>
      </c>
      <c r="BS1100" s="10" t="s">
        <v>453</v>
      </c>
    </row>
    <row r="1101" spans="1:75">
      <c r="V1101" s="10">
        <v>2</v>
      </c>
      <c r="W1101" s="10" t="s">
        <v>454</v>
      </c>
      <c r="AH1101" s="10">
        <v>2</v>
      </c>
      <c r="AI1101" s="10" t="s">
        <v>454</v>
      </c>
      <c r="AT1101" s="10">
        <v>2</v>
      </c>
      <c r="AU1101" s="10" t="s">
        <v>454</v>
      </c>
      <c r="BF1101" s="10">
        <v>2</v>
      </c>
      <c r="BG1101" s="10" t="s">
        <v>454</v>
      </c>
      <c r="BR1101" s="10">
        <v>2</v>
      </c>
      <c r="BS1101" s="10" t="s">
        <v>454</v>
      </c>
    </row>
    <row r="1102" spans="1:75">
      <c r="V1102" s="10">
        <v>3</v>
      </c>
      <c r="W1102" s="10" t="s">
        <v>455</v>
      </c>
      <c r="AH1102" s="10">
        <v>3</v>
      </c>
      <c r="AI1102" s="10" t="s">
        <v>455</v>
      </c>
      <c r="AT1102" s="10">
        <v>3</v>
      </c>
      <c r="AU1102" s="10" t="s">
        <v>455</v>
      </c>
      <c r="BF1102" s="10">
        <v>3</v>
      </c>
      <c r="BG1102" s="10" t="s">
        <v>455</v>
      </c>
      <c r="BR1102" s="10">
        <v>3</v>
      </c>
      <c r="BS1102" s="10" t="s">
        <v>455</v>
      </c>
    </row>
    <row r="1103" spans="1:75">
      <c r="V1103" s="10">
        <v>4</v>
      </c>
      <c r="W1103" s="10" t="s">
        <v>456</v>
      </c>
      <c r="AH1103" s="10">
        <v>4</v>
      </c>
      <c r="AI1103" s="10" t="s">
        <v>456</v>
      </c>
      <c r="AT1103" s="10">
        <v>4</v>
      </c>
      <c r="AU1103" s="10" t="s">
        <v>456</v>
      </c>
      <c r="BF1103" s="10">
        <v>4</v>
      </c>
      <c r="BG1103" s="10" t="s">
        <v>456</v>
      </c>
      <c r="BR1103" s="10">
        <v>4</v>
      </c>
      <c r="BS1103" s="10" t="s">
        <v>456</v>
      </c>
    </row>
    <row r="1104" spans="1:75">
      <c r="V1104" s="10">
        <v>5</v>
      </c>
      <c r="W1104" s="10" t="s">
        <v>457</v>
      </c>
      <c r="AH1104" s="10">
        <v>5</v>
      </c>
      <c r="AI1104" s="10" t="s">
        <v>457</v>
      </c>
      <c r="AT1104" s="10">
        <v>5</v>
      </c>
      <c r="AU1104" s="10" t="s">
        <v>457</v>
      </c>
      <c r="BF1104" s="10">
        <v>5</v>
      </c>
      <c r="BG1104" s="10" t="s">
        <v>457</v>
      </c>
      <c r="BR1104" s="10">
        <v>5</v>
      </c>
      <c r="BS1104" s="10" t="s">
        <v>457</v>
      </c>
    </row>
    <row r="1105" spans="1:75">
      <c r="V1105" s="10">
        <v>6</v>
      </c>
      <c r="W1105" s="10" t="s">
        <v>458</v>
      </c>
      <c r="AH1105" s="10">
        <v>6</v>
      </c>
      <c r="AI1105" s="10" t="s">
        <v>458</v>
      </c>
      <c r="AT1105" s="10">
        <v>6</v>
      </c>
      <c r="AU1105" s="10" t="s">
        <v>458</v>
      </c>
      <c r="BF1105" s="10">
        <v>6</v>
      </c>
      <c r="BG1105" s="10" t="s">
        <v>458</v>
      </c>
      <c r="BR1105" s="10">
        <v>6</v>
      </c>
      <c r="BS1105" s="10" t="s">
        <v>458</v>
      </c>
    </row>
    <row r="1106" spans="1:75">
      <c r="V1106" s="10">
        <v>7</v>
      </c>
      <c r="W1106" s="10" t="s">
        <v>459</v>
      </c>
      <c r="AH1106" s="10">
        <v>7</v>
      </c>
      <c r="AI1106" s="10" t="s">
        <v>459</v>
      </c>
      <c r="AT1106" s="10">
        <v>7</v>
      </c>
      <c r="AU1106" s="10" t="s">
        <v>459</v>
      </c>
      <c r="BF1106" s="10">
        <v>7</v>
      </c>
      <c r="BG1106" s="10" t="s">
        <v>459</v>
      </c>
      <c r="BR1106" s="10">
        <v>7</v>
      </c>
      <c r="BS1106" s="10" t="s">
        <v>459</v>
      </c>
    </row>
    <row r="1107" spans="1:75">
      <c r="V1107" s="10">
        <v>8</v>
      </c>
      <c r="W1107" s="10" t="s">
        <v>460</v>
      </c>
      <c r="AH1107" s="10">
        <v>8</v>
      </c>
      <c r="AI1107" s="10" t="s">
        <v>460</v>
      </c>
      <c r="AT1107" s="10">
        <v>8</v>
      </c>
      <c r="AU1107" s="10" t="s">
        <v>460</v>
      </c>
      <c r="BF1107" s="10">
        <v>8</v>
      </c>
      <c r="BG1107" s="10" t="s">
        <v>460</v>
      </c>
      <c r="BR1107" s="10">
        <v>8</v>
      </c>
      <c r="BS1107" s="10" t="s">
        <v>460</v>
      </c>
    </row>
    <row r="1108" spans="1:75">
      <c r="V1108" s="10">
        <v>9</v>
      </c>
      <c r="W1108" s="10" t="s">
        <v>461</v>
      </c>
      <c r="AH1108" s="10">
        <v>9</v>
      </c>
      <c r="AI1108" s="10" t="s">
        <v>461</v>
      </c>
      <c r="AT1108" s="10">
        <v>9</v>
      </c>
      <c r="AU1108" s="10" t="s">
        <v>461</v>
      </c>
      <c r="BF1108" s="10">
        <v>9</v>
      </c>
      <c r="BG1108" s="10" t="s">
        <v>461</v>
      </c>
      <c r="BR1108" s="10">
        <v>9</v>
      </c>
      <c r="BS1108" s="10" t="s">
        <v>461</v>
      </c>
    </row>
    <row r="1109" spans="1:75">
      <c r="V1109" s="10">
        <v>10</v>
      </c>
      <c r="W1109" s="10" t="s">
        <v>462</v>
      </c>
      <c r="AH1109" s="10">
        <v>10</v>
      </c>
      <c r="AI1109" s="10" t="s">
        <v>462</v>
      </c>
      <c r="AT1109" s="10">
        <v>10</v>
      </c>
      <c r="AU1109" s="10" t="s">
        <v>462</v>
      </c>
      <c r="BF1109" s="10">
        <v>10</v>
      </c>
      <c r="BG1109" s="10" t="s">
        <v>462</v>
      </c>
      <c r="BR1109" s="10">
        <v>10</v>
      </c>
      <c r="BS1109" s="10" t="s">
        <v>462</v>
      </c>
    </row>
    <row r="1110" spans="1:75">
      <c r="BR1110" s="10">
        <v>1</v>
      </c>
      <c r="BS1110" s="10" t="s">
        <v>463</v>
      </c>
    </row>
    <row r="1111" spans="1:75">
      <c r="BR1111" s="10">
        <v>2</v>
      </c>
      <c r="BS1111" s="10" t="s">
        <v>464</v>
      </c>
    </row>
    <row r="1112" spans="1:75">
      <c r="BR1112" s="10">
        <v>3</v>
      </c>
      <c r="BS1112" s="10" t="s">
        <v>465</v>
      </c>
    </row>
    <row r="1113" spans="1:75">
      <c r="BR1113" s="10">
        <v>4</v>
      </c>
      <c r="BS1113" s="10" t="s">
        <v>466</v>
      </c>
    </row>
    <row r="1114" spans="1:75">
      <c r="BR1114" s="10">
        <v>5</v>
      </c>
      <c r="BS1114" s="10" t="s">
        <v>467</v>
      </c>
    </row>
    <row r="1115" spans="1:75">
      <c r="BR1115" s="10">
        <v>6</v>
      </c>
      <c r="BS1115" s="10" t="s">
        <v>468</v>
      </c>
    </row>
    <row r="1116" spans="1:75">
      <c r="BR1116" s="10">
        <v>7</v>
      </c>
      <c r="BS1116" s="10" t="s">
        <v>469</v>
      </c>
    </row>
    <row r="1120" spans="1:75">
      <c r="BR1120" s="10">
        <v>1</v>
      </c>
      <c r="BS1120" s="10" t="str">
        <f>(BL902)</f>
        <v>0</v>
      </c>
    </row>
    <row r="1121" spans="1:75">
      <c r="BR1121" s="10">
        <v>2</v>
      </c>
      <c r="BS1121" s="10" t="s">
        <v>470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K1"/>
    <mergeCell ref="A2:A3"/>
    <mergeCell ref="B2:C2"/>
    <mergeCell ref="B3:B3"/>
    <mergeCell ref="C3:C3"/>
    <mergeCell ref="D2:E2"/>
    <mergeCell ref="D3:D3"/>
    <mergeCell ref="E3:E3"/>
    <mergeCell ref="F2:G2"/>
    <mergeCell ref="F3:F3"/>
    <mergeCell ref="G3:G3"/>
    <mergeCell ref="H2:I2"/>
    <mergeCell ref="H3:H3"/>
    <mergeCell ref="I3:I3"/>
    <mergeCell ref="J2:K2"/>
    <mergeCell ref="J3:J3"/>
    <mergeCell ref="K3:K3"/>
    <mergeCell ref="Q17:Q18"/>
    <mergeCell ref="R17:S17"/>
    <mergeCell ref="T17:T18"/>
    <mergeCell ref="U17:U18"/>
    <mergeCell ref="O47:T53"/>
    <mergeCell ref="AC17:AC18"/>
    <mergeCell ref="AD17:AE17"/>
    <mergeCell ref="AF17:AF18"/>
    <mergeCell ref="AG17:AG18"/>
    <mergeCell ref="AA47:AF53"/>
    <mergeCell ref="AO17:AO18"/>
    <mergeCell ref="AP17:AQ17"/>
    <mergeCell ref="AR17:AR18"/>
    <mergeCell ref="AS17:AS18"/>
    <mergeCell ref="AM47:AR53"/>
    <mergeCell ref="BA17:BA18"/>
    <mergeCell ref="BB17:BC17"/>
    <mergeCell ref="BD17:BD18"/>
    <mergeCell ref="BE17:BE18"/>
    <mergeCell ref="AY47:BD53"/>
    <mergeCell ref="BM17:BM18"/>
    <mergeCell ref="BN17:BO17"/>
    <mergeCell ref="BP17:BP18"/>
    <mergeCell ref="BQ17:BQ18"/>
    <mergeCell ref="BK47:BP5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MU1062"/>
  <sheetViews>
    <sheetView tabSelected="0" workbookViewId="0" showGridLines="true" showRowColHeaders="1">
      <selection activeCell="MQ35" sqref="MQ35"/>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 min="40" max="40" width="26" customWidth="true" style="0"/>
    <col min="41" max="41" width="26" customWidth="true" style="0"/>
    <col min="42" max="42" width="26" customWidth="true" style="0"/>
    <col min="49" max="49" width="26" customWidth="true" style="0"/>
    <col min="50" max="50" width="26" customWidth="true" style="0"/>
    <col min="51" max="51" width="26" customWidth="true" style="0"/>
    <col min="58" max="58" width="26" customWidth="true" style="0"/>
    <col min="59" max="59" width="26" customWidth="true" style="0"/>
    <col min="60" max="60" width="26" customWidth="true" style="0"/>
    <col min="67" max="67" width="26" customWidth="true" style="0"/>
    <col min="68" max="68" width="26" customWidth="true" style="0"/>
    <col min="69" max="69" width="26" customWidth="true" style="0"/>
    <col min="76" max="76" width="26" customWidth="true" style="0"/>
    <col min="77" max="77" width="26" customWidth="true" style="0"/>
    <col min="78" max="78" width="26" customWidth="true" style="0"/>
    <col min="85" max="85" width="26" customWidth="true" style="0"/>
    <col min="86" max="86" width="26" customWidth="true" style="0"/>
    <col min="87" max="87" width="26" customWidth="true" style="0"/>
    <col min="94" max="94" width="26" customWidth="true" style="0"/>
    <col min="95" max="95" width="26" customWidth="true" style="0"/>
    <col min="96" max="96" width="26" customWidth="true" style="0"/>
    <col min="103" max="103" width="26" customWidth="true" style="0"/>
    <col min="104" max="104" width="26" customWidth="true" style="0"/>
    <col min="105" max="105" width="26" customWidth="true" style="0"/>
    <col min="112" max="112" width="26" customWidth="true" style="0"/>
    <col min="113" max="113" width="26" customWidth="true" style="0"/>
    <col min="114" max="114" width="26" customWidth="true" style="0"/>
    <col min="121" max="121" width="26" customWidth="true" style="0"/>
    <col min="122" max="122" width="26" customWidth="true" style="0"/>
    <col min="123" max="123" width="26" customWidth="true" style="0"/>
    <col min="130" max="130" width="26" customWidth="true" style="0"/>
    <col min="131" max="131" width="26" customWidth="true" style="0"/>
    <col min="132" max="132" width="26" customWidth="true" style="0"/>
    <col min="139" max="139" width="26" customWidth="true" style="0"/>
    <col min="140" max="140" width="26" customWidth="true" style="0"/>
    <col min="141" max="141" width="26" customWidth="true" style="0"/>
    <col min="148" max="148" width="26" customWidth="true" style="0"/>
    <col min="149" max="149" width="26" customWidth="true" style="0"/>
    <col min="150" max="150" width="26" customWidth="true" style="0"/>
    <col min="157" max="157" width="26" customWidth="true" style="0"/>
    <col min="158" max="158" width="26" customWidth="true" style="0"/>
    <col min="159" max="159" width="26" customWidth="true" style="0"/>
    <col min="166" max="166" width="26" customWidth="true" style="0"/>
    <col min="167" max="167" width="26" customWidth="true" style="0"/>
    <col min="168" max="168" width="26" customWidth="true" style="0"/>
    <col min="175" max="175" width="26" customWidth="true" style="0"/>
    <col min="176" max="176" width="26" customWidth="true" style="0"/>
    <col min="177" max="177" width="26" customWidth="true" style="0"/>
    <col min="184" max="184" width="26" customWidth="true" style="0"/>
    <col min="185" max="185" width="26" customWidth="true" style="0"/>
    <col min="186" max="186" width="26" customWidth="true" style="0"/>
    <col min="193" max="193" width="26" customWidth="true" style="0"/>
    <col min="194" max="194" width="26" customWidth="true" style="0"/>
    <col min="195" max="195" width="26" customWidth="true" style="0"/>
    <col min="202" max="202" width="26" customWidth="true" style="0"/>
    <col min="203" max="203" width="26" customWidth="true" style="0"/>
    <col min="204" max="204" width="26" customWidth="true" style="0"/>
    <col min="211" max="211" width="26" customWidth="true" style="0"/>
    <col min="212" max="212" width="26" customWidth="true" style="0"/>
    <col min="213" max="213" width="26" customWidth="true" style="0"/>
    <col min="220" max="220" width="26" customWidth="true" style="0"/>
    <col min="221" max="221" width="26" customWidth="true" style="0"/>
    <col min="222" max="222" width="26" customWidth="true" style="0"/>
    <col min="229" max="229" width="26" customWidth="true" style="0"/>
    <col min="230" max="230" width="26" customWidth="true" style="0"/>
    <col min="231" max="231" width="26" customWidth="true" style="0"/>
    <col min="238" max="238" width="26" customWidth="true" style="0"/>
    <col min="239" max="239" width="26" customWidth="true" style="0"/>
    <col min="240" max="240" width="26" customWidth="true" style="0"/>
    <col min="247" max="247" width="26" customWidth="true" style="0"/>
    <col min="248" max="248" width="26" customWidth="true" style="0"/>
    <col min="249" max="249" width="26" customWidth="true" style="0"/>
    <col min="256" max="256" width="26" customWidth="true" style="0"/>
    <col min="257" max="257" width="26" customWidth="true" style="0"/>
    <col min="258" max="258" width="26" customWidth="true" style="0"/>
    <col min="265" max="265" width="26" customWidth="true" style="0"/>
    <col min="266" max="266" width="26" customWidth="true" style="0"/>
    <col min="267" max="267" width="26" customWidth="true" style="0"/>
    <col min="274" max="274" width="26" customWidth="true" style="0"/>
    <col min="275" max="275" width="26" customWidth="true" style="0"/>
    <col min="276" max="276" width="26" customWidth="true" style="0"/>
    <col min="283" max="283" width="26" customWidth="true" style="0"/>
    <col min="284" max="284" width="26" customWidth="true" style="0"/>
    <col min="285" max="285" width="26" customWidth="true" style="0"/>
    <col min="292" max="292" width="26" customWidth="true" style="0"/>
    <col min="293" max="293" width="26" customWidth="true" style="0"/>
    <col min="294" max="294" width="26" customWidth="true" style="0"/>
    <col min="301" max="301" width="26" customWidth="true" style="0"/>
    <col min="302" max="302" width="26" customWidth="true" style="0"/>
    <col min="303" max="303" width="26" customWidth="true" style="0"/>
    <col min="310" max="310" width="26" customWidth="true" style="0"/>
    <col min="311" max="311" width="26" customWidth="true" style="0"/>
    <col min="312" max="312" width="26" customWidth="true" style="0"/>
    <col min="319" max="319" width="26" customWidth="true" style="0"/>
    <col min="320" max="320" width="26" customWidth="true" style="0"/>
    <col min="321" max="321" width="26" customWidth="true" style="0"/>
    <col min="328" max="328" width="26" customWidth="true" style="0"/>
    <col min="329" max="329" width="26" customWidth="true" style="0"/>
    <col min="330" max="330" width="26" customWidth="true" style="0"/>
    <col min="337" max="337" width="26" customWidth="true" style="0"/>
    <col min="338" max="338" width="26" customWidth="true" style="0"/>
    <col min="339" max="339" width="26" customWidth="true" style="0"/>
    <col min="346" max="346" width="26" customWidth="true" style="0"/>
    <col min="347" max="347" width="26" customWidth="true" style="0"/>
    <col min="348" max="348" width="26" customWidth="true" style="0"/>
    <col min="355" max="355" width="26" customWidth="true" style="0"/>
    <col min="356" max="356" width="26" customWidth="true" style="0"/>
    <col min="357" max="357" width="26" customWidth="true" style="0"/>
  </cols>
  <sheetData>
    <row r="3" spans="1:359">
      <c r="B3" s="11"/>
      <c r="C3" s="11"/>
      <c r="D3" s="11"/>
      <c r="E3" s="11"/>
      <c r="F3" s="11"/>
      <c r="G3" s="11"/>
      <c r="H3" s="11"/>
      <c r="K3" s="11"/>
      <c r="L3" s="11"/>
      <c r="M3" s="11"/>
      <c r="N3" s="11"/>
      <c r="O3" s="11"/>
      <c r="P3" s="11"/>
      <c r="Q3" s="11"/>
      <c r="T3" s="11"/>
      <c r="U3" s="11"/>
      <c r="V3" s="11"/>
      <c r="W3" s="11"/>
      <c r="X3" s="11"/>
      <c r="Y3" s="11"/>
      <c r="Z3" s="11"/>
      <c r="AC3" s="11"/>
      <c r="AD3" s="11"/>
      <c r="AE3" s="11"/>
      <c r="AF3" s="11"/>
      <c r="AG3" s="11"/>
      <c r="AH3" s="11"/>
      <c r="AI3" s="11"/>
      <c r="AL3" s="11"/>
      <c r="AM3" s="11"/>
      <c r="AN3" s="11"/>
      <c r="AO3" s="11"/>
      <c r="AP3" s="11"/>
      <c r="AQ3" s="11"/>
      <c r="AR3" s="11"/>
      <c r="AU3" s="11"/>
      <c r="AV3" s="11"/>
      <c r="AW3" s="11"/>
      <c r="AX3" s="11"/>
      <c r="AY3" s="11"/>
      <c r="AZ3" s="11"/>
      <c r="BA3" s="11"/>
      <c r="BD3" s="11"/>
      <c r="BE3" s="11"/>
      <c r="BF3" s="11"/>
      <c r="BG3" s="11"/>
      <c r="BH3" s="11"/>
      <c r="BI3" s="11"/>
      <c r="BJ3" s="11"/>
      <c r="BM3" s="11"/>
      <c r="BN3" s="11"/>
      <c r="BO3" s="11"/>
      <c r="BP3" s="11"/>
      <c r="BQ3" s="11"/>
      <c r="BR3" s="11"/>
      <c r="BS3" s="11"/>
      <c r="BV3" s="11"/>
      <c r="BW3" s="11"/>
      <c r="BX3" s="11"/>
      <c r="BY3" s="11"/>
      <c r="BZ3" s="11"/>
      <c r="CA3" s="11"/>
      <c r="CB3" s="11"/>
      <c r="CE3" s="11"/>
      <c r="CF3" s="11"/>
      <c r="CG3" s="11"/>
      <c r="CH3" s="11"/>
      <c r="CI3" s="11"/>
      <c r="CJ3" s="11"/>
      <c r="CK3" s="11"/>
      <c r="CN3" s="11"/>
      <c r="CO3" s="11"/>
      <c r="CP3" s="11"/>
      <c r="CQ3" s="11"/>
      <c r="CR3" s="11"/>
      <c r="CS3" s="11"/>
      <c r="CT3" s="11"/>
      <c r="CW3" s="11"/>
      <c r="CX3" s="11"/>
      <c r="CY3" s="11"/>
      <c r="CZ3" s="11"/>
      <c r="DA3" s="11"/>
      <c r="DB3" s="11"/>
      <c r="DC3" s="11"/>
      <c r="DF3" s="11"/>
      <c r="DG3" s="11"/>
      <c r="DH3" s="11"/>
      <c r="DI3" s="11"/>
      <c r="DJ3" s="11"/>
      <c r="DK3" s="11"/>
      <c r="DL3" s="11"/>
      <c r="DO3" s="11"/>
      <c r="DP3" s="11"/>
      <c r="DQ3" s="11"/>
      <c r="DR3" s="11"/>
      <c r="DS3" s="11"/>
      <c r="DT3" s="11"/>
      <c r="DU3" s="11"/>
      <c r="DX3" s="11"/>
      <c r="DY3" s="11"/>
      <c r="DZ3" s="11"/>
      <c r="EA3" s="11"/>
      <c r="EB3" s="11"/>
      <c r="EC3" s="11"/>
      <c r="ED3" s="11"/>
      <c r="EG3" s="11"/>
      <c r="EH3" s="11"/>
      <c r="EI3" s="11"/>
      <c r="EJ3" s="11"/>
      <c r="EK3" s="11"/>
      <c r="EL3" s="11"/>
      <c r="EM3" s="11"/>
      <c r="EP3" s="11"/>
      <c r="EQ3" s="11"/>
      <c r="ER3" s="11"/>
      <c r="ES3" s="11"/>
      <c r="ET3" s="11"/>
      <c r="EU3" s="11"/>
      <c r="EV3" s="11"/>
      <c r="EY3" s="11"/>
      <c r="EZ3" s="11"/>
      <c r="FA3" s="11"/>
      <c r="FB3" s="11"/>
      <c r="FC3" s="11"/>
      <c r="FD3" s="11"/>
      <c r="FE3" s="11"/>
      <c r="FH3" s="11"/>
      <c r="FI3" s="11"/>
      <c r="FJ3" s="11"/>
      <c r="FK3" s="11"/>
      <c r="FL3" s="11"/>
      <c r="FM3" s="11"/>
      <c r="FN3" s="11"/>
      <c r="FQ3" s="11"/>
      <c r="FR3" s="11"/>
      <c r="FS3" s="11"/>
      <c r="FT3" s="11"/>
      <c r="FU3" s="11"/>
      <c r="FV3" s="11"/>
      <c r="FW3" s="11"/>
      <c r="FZ3" s="11"/>
      <c r="GA3" s="11"/>
      <c r="GB3" s="11"/>
      <c r="GC3" s="11"/>
      <c r="GD3" s="11"/>
      <c r="GE3" s="11"/>
      <c r="GF3" s="11"/>
      <c r="GI3" s="11"/>
      <c r="GJ3" s="11"/>
      <c r="GK3" s="11"/>
      <c r="GL3" s="11"/>
      <c r="GM3" s="11"/>
      <c r="GN3" s="11"/>
      <c r="GO3" s="11"/>
      <c r="GR3" s="11"/>
      <c r="GS3" s="11"/>
      <c r="GT3" s="11"/>
      <c r="GU3" s="11"/>
      <c r="GV3" s="11"/>
      <c r="GW3" s="11"/>
      <c r="GX3" s="11"/>
      <c r="HA3" s="11"/>
      <c r="HB3" s="11"/>
      <c r="HC3" s="11"/>
      <c r="HD3" s="11"/>
      <c r="HE3" s="11"/>
      <c r="HF3" s="11"/>
      <c r="HG3" s="11"/>
      <c r="HJ3" s="11"/>
      <c r="HK3" s="11"/>
      <c r="HL3" s="11"/>
      <c r="HM3" s="11"/>
      <c r="HN3" s="11"/>
      <c r="HO3" s="11"/>
      <c r="HP3" s="11"/>
      <c r="HS3" s="11"/>
      <c r="HT3" s="11"/>
      <c r="HU3" s="11"/>
      <c r="HV3" s="11"/>
      <c r="HW3" s="11"/>
      <c r="HX3" s="11"/>
      <c r="HY3" s="11"/>
      <c r="IB3" s="11"/>
      <c r="IC3" s="11"/>
      <c r="ID3" s="11"/>
      <c r="IE3" s="11"/>
      <c r="IF3" s="11"/>
      <c r="IG3" s="11"/>
      <c r="IH3" s="11"/>
      <c r="IK3" s="11"/>
      <c r="IL3" s="11"/>
      <c r="IM3" s="11"/>
      <c r="IN3" s="11"/>
      <c r="IO3" s="11"/>
      <c r="IP3" s="11"/>
      <c r="IQ3" s="11"/>
      <c r="IT3" s="11"/>
      <c r="IU3" s="11"/>
      <c r="IV3" s="11"/>
      <c r="IW3" s="11"/>
      <c r="IX3" s="11"/>
      <c r="IY3" s="11"/>
      <c r="IZ3" s="11"/>
      <c r="JC3" s="11"/>
      <c r="JD3" s="11"/>
      <c r="JE3" s="11"/>
      <c r="JF3" s="11"/>
      <c r="JG3" s="11"/>
      <c r="JH3" s="11"/>
      <c r="JI3" s="11"/>
      <c r="JL3" s="11"/>
      <c r="JM3" s="11"/>
      <c r="JN3" s="11"/>
      <c r="JO3" s="11"/>
      <c r="JP3" s="11"/>
      <c r="JQ3" s="11"/>
      <c r="JR3" s="11"/>
      <c r="JU3" s="11"/>
      <c r="JV3" s="11"/>
      <c r="JW3" s="11"/>
      <c r="JX3" s="11"/>
      <c r="JY3" s="11"/>
      <c r="JZ3" s="11"/>
      <c r="KA3" s="11"/>
      <c r="KD3" s="11"/>
      <c r="KE3" s="11"/>
      <c r="KF3" s="11"/>
      <c r="KG3" s="11"/>
      <c r="KH3" s="11"/>
      <c r="KI3" s="11"/>
      <c r="KJ3" s="11"/>
      <c r="KM3" s="11"/>
      <c r="KN3" s="11"/>
      <c r="KO3" s="11"/>
      <c r="KP3" s="11"/>
      <c r="KQ3" s="11"/>
      <c r="KR3" s="11"/>
      <c r="KS3" s="11"/>
      <c r="KV3" s="11"/>
      <c r="KW3" s="11"/>
      <c r="KX3" s="11"/>
      <c r="KY3" s="11"/>
      <c r="KZ3" s="11"/>
      <c r="LA3" s="11"/>
      <c r="LB3" s="11"/>
      <c r="LE3" s="11"/>
      <c r="LF3" s="11"/>
      <c r="LG3" s="11"/>
      <c r="LH3" s="11"/>
      <c r="LI3" s="11"/>
      <c r="LJ3" s="11"/>
      <c r="LK3" s="11"/>
      <c r="LN3" s="11"/>
      <c r="LO3" s="11"/>
      <c r="LP3" s="11"/>
      <c r="LQ3" s="11"/>
      <c r="LR3" s="11"/>
      <c r="LS3" s="11"/>
      <c r="LT3" s="11"/>
      <c r="LW3" s="11"/>
      <c r="LX3" s="11"/>
      <c r="LY3" s="11"/>
      <c r="LZ3" s="11"/>
      <c r="MA3" s="11"/>
      <c r="MB3" s="11"/>
      <c r="MC3" s="11"/>
      <c r="MF3" s="11"/>
      <c r="MG3" s="11"/>
      <c r="MH3" s="11"/>
      <c r="MI3" s="11"/>
      <c r="MJ3" s="11"/>
      <c r="MK3" s="11"/>
      <c r="ML3" s="11"/>
      <c r="MO3" s="11"/>
      <c r="MP3" s="11"/>
      <c r="MQ3" s="11"/>
      <c r="MR3" s="11"/>
      <c r="MS3" s="11"/>
      <c r="MT3" s="11"/>
      <c r="MU3" s="11"/>
    </row>
    <row r="4" spans="1:359">
      <c r="B4" s="11"/>
      <c r="D4" s="30" t="s">
        <v>471</v>
      </c>
      <c r="E4" s="29"/>
      <c r="F4" s="29"/>
      <c r="H4" s="11"/>
      <c r="K4" s="11"/>
      <c r="M4" s="30" t="s">
        <v>472</v>
      </c>
      <c r="N4" s="29"/>
      <c r="O4" s="29"/>
      <c r="Q4" s="11"/>
      <c r="T4" s="11"/>
      <c r="V4" s="30" t="s">
        <v>473</v>
      </c>
      <c r="W4" s="29"/>
      <c r="X4" s="29"/>
      <c r="Z4" s="11"/>
      <c r="AC4" s="11"/>
      <c r="AE4" s="30" t="s">
        <v>474</v>
      </c>
      <c r="AF4" s="29"/>
      <c r="AG4" s="29"/>
      <c r="AI4" s="11"/>
      <c r="AL4" s="11"/>
      <c r="AN4" s="30" t="s">
        <v>475</v>
      </c>
      <c r="AO4" s="29"/>
      <c r="AP4" s="29"/>
      <c r="AR4" s="11"/>
      <c r="AU4" s="11"/>
      <c r="AW4" s="30" t="s">
        <v>476</v>
      </c>
      <c r="AX4" s="29"/>
      <c r="AY4" s="29"/>
      <c r="BA4" s="11"/>
      <c r="BD4" s="11"/>
      <c r="BF4" s="30" t="s">
        <v>477</v>
      </c>
      <c r="BG4" s="29"/>
      <c r="BH4" s="29"/>
      <c r="BJ4" s="11"/>
      <c r="BM4" s="11"/>
      <c r="BO4" s="30" t="s">
        <v>478</v>
      </c>
      <c r="BP4" s="29"/>
      <c r="BQ4" s="29"/>
      <c r="BS4" s="11"/>
      <c r="BV4" s="11"/>
      <c r="BX4" s="30" t="s">
        <v>479</v>
      </c>
      <c r="BY4" s="29"/>
      <c r="BZ4" s="29"/>
      <c r="CB4" s="11"/>
      <c r="CE4" s="11"/>
      <c r="CG4" s="30" t="s">
        <v>480</v>
      </c>
      <c r="CH4" s="29"/>
      <c r="CI4" s="29"/>
      <c r="CK4" s="11"/>
      <c r="CN4" s="11"/>
      <c r="CP4" s="30" t="s">
        <v>481</v>
      </c>
      <c r="CQ4" s="29"/>
      <c r="CR4" s="29"/>
      <c r="CT4" s="11"/>
      <c r="CW4" s="11"/>
      <c r="CY4" s="30" t="s">
        <v>482</v>
      </c>
      <c r="CZ4" s="29"/>
      <c r="DA4" s="29"/>
      <c r="DC4" s="11"/>
      <c r="DF4" s="11"/>
      <c r="DH4" s="30" t="s">
        <v>483</v>
      </c>
      <c r="DI4" s="29"/>
      <c r="DJ4" s="29"/>
      <c r="DL4" s="11"/>
      <c r="DO4" s="11"/>
      <c r="DQ4" s="30" t="s">
        <v>484</v>
      </c>
      <c r="DR4" s="29"/>
      <c r="DS4" s="29"/>
      <c r="DU4" s="11"/>
      <c r="DX4" s="11"/>
      <c r="DZ4" s="30" t="s">
        <v>485</v>
      </c>
      <c r="EA4" s="29"/>
      <c r="EB4" s="29"/>
      <c r="ED4" s="11"/>
      <c r="EG4" s="11"/>
      <c r="EI4" s="30" t="s">
        <v>486</v>
      </c>
      <c r="EJ4" s="29"/>
      <c r="EK4" s="29"/>
      <c r="EM4" s="11"/>
      <c r="EP4" s="11"/>
      <c r="ER4" s="30" t="s">
        <v>487</v>
      </c>
      <c r="ES4" s="29"/>
      <c r="ET4" s="29"/>
      <c r="EV4" s="11"/>
      <c r="EY4" s="11"/>
      <c r="FA4" s="30" t="s">
        <v>488</v>
      </c>
      <c r="FB4" s="29"/>
      <c r="FC4" s="29"/>
      <c r="FE4" s="11"/>
      <c r="FH4" s="11"/>
      <c r="FJ4" s="30" t="s">
        <v>489</v>
      </c>
      <c r="FK4" s="29"/>
      <c r="FL4" s="29"/>
      <c r="FN4" s="11"/>
      <c r="FQ4" s="11"/>
      <c r="FS4" s="30" t="s">
        <v>490</v>
      </c>
      <c r="FT4" s="29"/>
      <c r="FU4" s="29"/>
      <c r="FW4" s="11"/>
      <c r="FZ4" s="11"/>
      <c r="GB4" s="30" t="s">
        <v>491</v>
      </c>
      <c r="GC4" s="29"/>
      <c r="GD4" s="29"/>
      <c r="GF4" s="11"/>
      <c r="GI4" s="11"/>
      <c r="GK4" s="30" t="s">
        <v>492</v>
      </c>
      <c r="GL4" s="29"/>
      <c r="GM4" s="29"/>
      <c r="GO4" s="11"/>
      <c r="GR4" s="11"/>
      <c r="GT4" s="30" t="s">
        <v>493</v>
      </c>
      <c r="GU4" s="29"/>
      <c r="GV4" s="29"/>
      <c r="GX4" s="11"/>
      <c r="HA4" s="11"/>
      <c r="HC4" s="30" t="s">
        <v>494</v>
      </c>
      <c r="HD4" s="29"/>
      <c r="HE4" s="29"/>
      <c r="HG4" s="11"/>
      <c r="HJ4" s="11"/>
      <c r="HL4" s="30" t="s">
        <v>582</v>
      </c>
      <c r="HM4" s="29"/>
      <c r="HN4" s="29"/>
      <c r="HP4" s="11"/>
      <c r="HS4" s="11"/>
      <c r="HU4" s="30" t="s">
        <v>583</v>
      </c>
      <c r="HV4" s="29"/>
      <c r="HW4" s="29"/>
      <c r="HY4" s="11"/>
      <c r="IB4" s="11"/>
      <c r="ID4" s="30" t="s">
        <v>584</v>
      </c>
      <c r="IE4" s="29"/>
      <c r="IF4" s="29"/>
      <c r="IH4" s="11"/>
      <c r="IK4" s="11"/>
      <c r="IM4" s="30" t="s">
        <v>585</v>
      </c>
      <c r="IN4" s="29"/>
      <c r="IO4" s="29"/>
      <c r="IQ4" s="11"/>
      <c r="IT4" s="11"/>
      <c r="IV4" s="30" t="s">
        <v>586</v>
      </c>
      <c r="IW4" s="29"/>
      <c r="IX4" s="29"/>
      <c r="IZ4" s="11"/>
      <c r="JC4" s="11"/>
      <c r="JE4" s="30" t="s">
        <v>587</v>
      </c>
      <c r="JF4" s="29"/>
      <c r="JG4" s="29"/>
      <c r="JI4" s="11"/>
      <c r="JL4" s="11"/>
      <c r="JN4" s="30" t="s">
        <v>588</v>
      </c>
      <c r="JO4" s="29"/>
      <c r="JP4" s="29"/>
      <c r="JR4" s="11"/>
      <c r="JU4" s="11"/>
      <c r="JW4" s="30" t="s">
        <v>589</v>
      </c>
      <c r="JX4" s="29"/>
      <c r="JY4" s="29"/>
      <c r="KA4" s="11"/>
      <c r="KD4" s="11"/>
      <c r="KF4" s="30" t="s">
        <v>590</v>
      </c>
      <c r="KG4" s="29"/>
      <c r="KH4" s="29"/>
      <c r="KJ4" s="11"/>
      <c r="KM4" s="11"/>
      <c r="KO4" s="30" t="s">
        <v>591</v>
      </c>
      <c r="KP4" s="29"/>
      <c r="KQ4" s="29"/>
      <c r="KS4" s="11"/>
      <c r="KV4" s="11"/>
      <c r="KX4" s="30" t="s">
        <v>592</v>
      </c>
      <c r="KY4" s="29"/>
      <c r="KZ4" s="29"/>
      <c r="LB4" s="11"/>
      <c r="LE4" s="11"/>
      <c r="LG4" s="30" t="s">
        <v>593</v>
      </c>
      <c r="LH4" s="29"/>
      <c r="LI4" s="29"/>
      <c r="LK4" s="11"/>
      <c r="LN4" s="11"/>
      <c r="LP4" s="30" t="s">
        <v>594</v>
      </c>
      <c r="LQ4" s="29"/>
      <c r="LR4" s="29"/>
      <c r="LT4" s="11"/>
      <c r="LW4" s="11"/>
      <c r="LY4" s="30" t="s">
        <v>595</v>
      </c>
      <c r="LZ4" s="29"/>
      <c r="MA4" s="29"/>
      <c r="MC4" s="11"/>
      <c r="MF4" s="11"/>
      <c r="MH4" s="30" t="s">
        <v>596</v>
      </c>
      <c r="MI4" s="29"/>
      <c r="MJ4" s="29"/>
      <c r="ML4" s="11"/>
      <c r="MO4" s="11"/>
      <c r="MQ4" s="30" t="s">
        <v>597</v>
      </c>
      <c r="MR4" s="29"/>
      <c r="MS4" s="29"/>
      <c r="MU4" s="11"/>
    </row>
    <row r="5" spans="1:359">
      <c r="B5" s="11"/>
      <c r="D5" s="10" t="s">
        <v>415</v>
      </c>
      <c r="H5" s="11"/>
      <c r="K5" s="11"/>
      <c r="M5" s="10" t="s">
        <v>416</v>
      </c>
      <c r="Q5" s="11"/>
      <c r="T5" s="11"/>
      <c r="V5" s="10" t="s">
        <v>417</v>
      </c>
      <c r="Z5" s="11"/>
      <c r="AC5" s="11"/>
      <c r="AE5" s="10" t="s">
        <v>418</v>
      </c>
      <c r="AI5" s="11"/>
      <c r="AL5" s="11"/>
      <c r="AN5" s="10" t="s">
        <v>495</v>
      </c>
      <c r="AR5" s="11"/>
      <c r="AU5" s="11"/>
      <c r="AW5" s="10" t="s">
        <v>496</v>
      </c>
      <c r="BA5" s="11"/>
      <c r="BD5" s="11"/>
      <c r="BF5" s="10" t="s">
        <v>497</v>
      </c>
      <c r="BJ5" s="11"/>
      <c r="BM5" s="11"/>
      <c r="BO5" s="10" t="s">
        <v>498</v>
      </c>
      <c r="BS5" s="11"/>
      <c r="BV5" s="11"/>
      <c r="BX5" s="10" t="s">
        <v>499</v>
      </c>
      <c r="CB5" s="11"/>
      <c r="CE5" s="11"/>
      <c r="CG5" s="10" t="s">
        <v>500</v>
      </c>
      <c r="CK5" s="11"/>
      <c r="CN5" s="11"/>
      <c r="CP5" s="10" t="s">
        <v>501</v>
      </c>
      <c r="CT5" s="11"/>
      <c r="CW5" s="11"/>
      <c r="CY5" s="10" t="s">
        <v>502</v>
      </c>
      <c r="DC5" s="11"/>
      <c r="DF5" s="11"/>
      <c r="DH5" s="10" t="s">
        <v>503</v>
      </c>
      <c r="DL5" s="11"/>
      <c r="DO5" s="11"/>
      <c r="DQ5" s="10" t="s">
        <v>504</v>
      </c>
      <c r="DU5" s="11"/>
      <c r="DX5" s="11"/>
      <c r="DZ5" s="10" t="s">
        <v>505</v>
      </c>
      <c r="ED5" s="11"/>
      <c r="EG5" s="11"/>
      <c r="EI5" s="10" t="s">
        <v>506</v>
      </c>
      <c r="EM5" s="11"/>
      <c r="EP5" s="11"/>
      <c r="ER5" s="10" t="s">
        <v>507</v>
      </c>
      <c r="EV5" s="11"/>
      <c r="EY5" s="11"/>
      <c r="FA5" s="10" t="s">
        <v>508</v>
      </c>
      <c r="FE5" s="11"/>
      <c r="FH5" s="11"/>
      <c r="FJ5" s="10" t="s">
        <v>509</v>
      </c>
      <c r="FN5" s="11"/>
      <c r="FQ5" s="11"/>
      <c r="FS5" s="10" t="s">
        <v>510</v>
      </c>
      <c r="FW5" s="11"/>
      <c r="FZ5" s="11"/>
      <c r="GB5" s="10" t="s">
        <v>511</v>
      </c>
      <c r="GF5" s="11"/>
      <c r="GI5" s="11"/>
      <c r="GK5" s="10" t="s">
        <v>512</v>
      </c>
      <c r="GO5" s="11"/>
      <c r="GR5" s="11"/>
      <c r="GT5" s="10" t="s">
        <v>513</v>
      </c>
      <c r="GX5" s="11"/>
      <c r="HA5" s="11"/>
      <c r="HC5" s="10" t="s">
        <v>514</v>
      </c>
      <c r="HG5" s="11"/>
      <c r="HJ5" s="11"/>
      <c r="HL5" s="10" t="s">
        <v>598</v>
      </c>
      <c r="HP5" s="11"/>
      <c r="HS5" s="11"/>
      <c r="HU5" s="10" t="s">
        <v>599</v>
      </c>
      <c r="HY5" s="11"/>
      <c r="IB5" s="11"/>
      <c r="ID5" s="10" t="s">
        <v>600</v>
      </c>
      <c r="IH5" s="11"/>
      <c r="IK5" s="11"/>
      <c r="IM5" s="10" t="s">
        <v>601</v>
      </c>
      <c r="IQ5" s="11"/>
      <c r="IT5" s="11"/>
      <c r="IV5" s="10" t="s">
        <v>602</v>
      </c>
      <c r="IZ5" s="11"/>
      <c r="JC5" s="11"/>
      <c r="JE5" s="10" t="s">
        <v>603</v>
      </c>
      <c r="JI5" s="11"/>
      <c r="JL5" s="11"/>
      <c r="JN5" s="10" t="s">
        <v>604</v>
      </c>
      <c r="JR5" s="11"/>
      <c r="JU5" s="11"/>
      <c r="JW5" s="10" t="s">
        <v>605</v>
      </c>
      <c r="KA5" s="11"/>
      <c r="KD5" s="11"/>
      <c r="KF5" s="10" t="s">
        <v>606</v>
      </c>
      <c r="KJ5" s="11"/>
      <c r="KM5" s="11"/>
      <c r="KO5" s="10" t="s">
        <v>607</v>
      </c>
      <c r="KS5" s="11"/>
      <c r="KV5" s="11"/>
      <c r="KX5" s="10" t="s">
        <v>608</v>
      </c>
      <c r="LB5" s="11"/>
      <c r="LE5" s="11"/>
      <c r="LG5" s="10" t="s">
        <v>609</v>
      </c>
      <c r="LK5" s="11"/>
      <c r="LN5" s="11"/>
      <c r="LP5" s="10" t="s">
        <v>610</v>
      </c>
      <c r="LT5" s="11"/>
      <c r="LW5" s="11"/>
      <c r="LY5" s="10" t="s">
        <v>611</v>
      </c>
      <c r="MC5" s="11"/>
      <c r="MF5" s="11"/>
      <c r="MH5" s="10" t="s">
        <v>612</v>
      </c>
      <c r="ML5" s="11"/>
      <c r="MO5" s="11"/>
      <c r="MQ5" s="10" t="s">
        <v>613</v>
      </c>
      <c r="MU5" s="11"/>
    </row>
    <row r="6" spans="1:359">
      <c r="B6" s="11"/>
      <c r="D6" s="10"/>
      <c r="H6" s="11"/>
      <c r="K6" s="11"/>
      <c r="M6" s="10"/>
      <c r="Q6" s="11"/>
      <c r="T6" s="11"/>
      <c r="V6" s="10"/>
      <c r="Z6" s="11"/>
      <c r="AC6" s="11"/>
      <c r="AE6" s="10"/>
      <c r="AI6" s="11"/>
      <c r="AL6" s="11"/>
      <c r="AN6" s="10"/>
      <c r="AR6" s="11"/>
      <c r="AU6" s="11"/>
      <c r="AW6" s="10"/>
      <c r="BA6" s="11"/>
      <c r="BD6" s="11"/>
      <c r="BF6" s="10"/>
      <c r="BJ6" s="11"/>
      <c r="BM6" s="11"/>
      <c r="BO6" s="10"/>
      <c r="BS6" s="11"/>
      <c r="BV6" s="11"/>
      <c r="BX6" s="10"/>
      <c r="CB6" s="11"/>
      <c r="CE6" s="11"/>
      <c r="CG6" s="10"/>
      <c r="CK6" s="11"/>
      <c r="CN6" s="11"/>
      <c r="CP6" s="10"/>
      <c r="CT6" s="11"/>
      <c r="CW6" s="11"/>
      <c r="CY6" s="10"/>
      <c r="DC6" s="11"/>
      <c r="DF6" s="11"/>
      <c r="DH6" s="10"/>
      <c r="DL6" s="11"/>
      <c r="DO6" s="11"/>
      <c r="DQ6" s="10"/>
      <c r="DU6" s="11"/>
      <c r="DX6" s="11"/>
      <c r="DZ6" s="10"/>
      <c r="ED6" s="11"/>
      <c r="EG6" s="11"/>
      <c r="EI6" s="10"/>
      <c r="EM6" s="11"/>
      <c r="EP6" s="11"/>
      <c r="ER6" s="10"/>
      <c r="EV6" s="11"/>
      <c r="EY6" s="11"/>
      <c r="FA6" s="10"/>
      <c r="FE6" s="11"/>
      <c r="FH6" s="11"/>
      <c r="FJ6" s="10"/>
      <c r="FN6" s="11"/>
      <c r="FQ6" s="11"/>
      <c r="FS6" s="10"/>
      <c r="FW6" s="11"/>
      <c r="FZ6" s="11"/>
      <c r="GB6" s="10"/>
      <c r="GF6" s="11"/>
      <c r="GI6" s="11"/>
      <c r="GK6" s="10"/>
      <c r="GO6" s="11"/>
      <c r="GR6" s="11"/>
      <c r="GT6" s="10"/>
      <c r="GX6" s="11"/>
      <c r="HA6" s="11"/>
      <c r="HC6" s="10"/>
      <c r="HG6" s="11"/>
      <c r="HJ6" s="11"/>
      <c r="HL6" s="10"/>
      <c r="HP6" s="11"/>
      <c r="HS6" s="11"/>
      <c r="HU6" s="10"/>
      <c r="HY6" s="11"/>
      <c r="IB6" s="11"/>
      <c r="ID6" s="10"/>
      <c r="IH6" s="11"/>
      <c r="IK6" s="11"/>
      <c r="IM6" s="10"/>
      <c r="IQ6" s="11"/>
      <c r="IT6" s="11"/>
      <c r="IV6" s="10"/>
      <c r="IZ6" s="11"/>
      <c r="JC6" s="11"/>
      <c r="JE6" s="10"/>
      <c r="JI6" s="11"/>
      <c r="JL6" s="11"/>
      <c r="JN6" s="10"/>
      <c r="JR6" s="11"/>
      <c r="JU6" s="11"/>
      <c r="JW6" s="10"/>
      <c r="KA6" s="11"/>
      <c r="KD6" s="11"/>
      <c r="KF6" s="10"/>
      <c r="KJ6" s="11"/>
      <c r="KM6" s="11"/>
      <c r="KO6" s="10"/>
      <c r="KS6" s="11"/>
      <c r="KV6" s="11"/>
      <c r="KX6" s="10"/>
      <c r="LB6" s="11"/>
      <c r="LE6" s="11"/>
      <c r="LG6" s="10"/>
      <c r="LK6" s="11"/>
      <c r="LN6" s="11"/>
      <c r="LP6" s="10"/>
      <c r="LT6" s="11"/>
      <c r="LW6" s="11"/>
      <c r="LY6" s="10"/>
      <c r="MC6" s="11"/>
      <c r="MF6" s="11"/>
      <c r="MH6" s="10"/>
      <c r="ML6" s="11"/>
      <c r="MO6" s="11"/>
      <c r="MQ6" s="10"/>
      <c r="MU6" s="11"/>
    </row>
    <row r="7" spans="1:359">
      <c r="B7" s="11"/>
      <c r="D7" s="13"/>
      <c r="E7" s="19" t="s">
        <v>420</v>
      </c>
      <c r="F7" s="19" t="s">
        <v>421</v>
      </c>
      <c r="H7" s="11"/>
      <c r="K7" s="11"/>
      <c r="M7" s="13"/>
      <c r="N7" s="19" t="s">
        <v>420</v>
      </c>
      <c r="O7" s="19" t="s">
        <v>421</v>
      </c>
      <c r="Q7" s="11"/>
      <c r="T7" s="11"/>
      <c r="V7" s="13"/>
      <c r="W7" s="19" t="s">
        <v>420</v>
      </c>
      <c r="X7" s="19" t="s">
        <v>421</v>
      </c>
      <c r="Z7" s="11"/>
      <c r="AC7" s="11"/>
      <c r="AE7" s="13"/>
      <c r="AF7" s="19" t="s">
        <v>420</v>
      </c>
      <c r="AG7" s="19" t="s">
        <v>421</v>
      </c>
      <c r="AI7" s="11"/>
      <c r="AL7" s="11"/>
      <c r="AN7" s="13"/>
      <c r="AO7" s="19" t="s">
        <v>420</v>
      </c>
      <c r="AP7" s="19" t="s">
        <v>421</v>
      </c>
      <c r="AR7" s="11"/>
      <c r="AU7" s="11"/>
      <c r="AW7" s="13"/>
      <c r="AX7" s="19" t="s">
        <v>420</v>
      </c>
      <c r="AY7" s="19" t="s">
        <v>421</v>
      </c>
      <c r="BA7" s="11"/>
      <c r="BD7" s="11"/>
      <c r="BF7" s="13"/>
      <c r="BG7" s="19" t="s">
        <v>420</v>
      </c>
      <c r="BH7" s="19" t="s">
        <v>421</v>
      </c>
      <c r="BJ7" s="11"/>
      <c r="BM7" s="11"/>
      <c r="BO7" s="13"/>
      <c r="BP7" s="19" t="s">
        <v>420</v>
      </c>
      <c r="BQ7" s="19" t="s">
        <v>421</v>
      </c>
      <c r="BS7" s="11"/>
      <c r="BV7" s="11"/>
      <c r="BX7" s="13"/>
      <c r="BY7" s="19" t="s">
        <v>420</v>
      </c>
      <c r="BZ7" s="19" t="s">
        <v>421</v>
      </c>
      <c r="CB7" s="11"/>
      <c r="CE7" s="11"/>
      <c r="CG7" s="13"/>
      <c r="CH7" s="19" t="s">
        <v>420</v>
      </c>
      <c r="CI7" s="19" t="s">
        <v>421</v>
      </c>
      <c r="CK7" s="11"/>
      <c r="CN7" s="11"/>
      <c r="CP7" s="13"/>
      <c r="CQ7" s="19" t="s">
        <v>420</v>
      </c>
      <c r="CR7" s="19" t="s">
        <v>421</v>
      </c>
      <c r="CT7" s="11"/>
      <c r="CW7" s="11"/>
      <c r="CY7" s="13"/>
      <c r="CZ7" s="19" t="s">
        <v>420</v>
      </c>
      <c r="DA7" s="19" t="s">
        <v>421</v>
      </c>
      <c r="DC7" s="11"/>
      <c r="DF7" s="11"/>
      <c r="DH7" s="13"/>
      <c r="DI7" s="19" t="s">
        <v>420</v>
      </c>
      <c r="DJ7" s="19" t="s">
        <v>421</v>
      </c>
      <c r="DL7" s="11"/>
      <c r="DO7" s="11"/>
      <c r="DQ7" s="13"/>
      <c r="DR7" s="19" t="s">
        <v>420</v>
      </c>
      <c r="DS7" s="19" t="s">
        <v>421</v>
      </c>
      <c r="DU7" s="11"/>
      <c r="DX7" s="11"/>
      <c r="DZ7" s="13"/>
      <c r="EA7" s="19" t="s">
        <v>420</v>
      </c>
      <c r="EB7" s="19" t="s">
        <v>421</v>
      </c>
      <c r="ED7" s="11"/>
      <c r="EG7" s="11"/>
      <c r="EI7" s="13"/>
      <c r="EJ7" s="19" t="s">
        <v>420</v>
      </c>
      <c r="EK7" s="19" t="s">
        <v>421</v>
      </c>
      <c r="EM7" s="11"/>
      <c r="EP7" s="11"/>
      <c r="ER7" s="13"/>
      <c r="ES7" s="19" t="s">
        <v>420</v>
      </c>
      <c r="ET7" s="19" t="s">
        <v>421</v>
      </c>
      <c r="EV7" s="11"/>
      <c r="EY7" s="11"/>
      <c r="FA7" s="13"/>
      <c r="FB7" s="19" t="s">
        <v>420</v>
      </c>
      <c r="FC7" s="19" t="s">
        <v>421</v>
      </c>
      <c r="FE7" s="11"/>
      <c r="FH7" s="11"/>
      <c r="FJ7" s="13"/>
      <c r="FK7" s="19" t="s">
        <v>420</v>
      </c>
      <c r="FL7" s="19" t="s">
        <v>421</v>
      </c>
      <c r="FN7" s="11"/>
      <c r="FQ7" s="11"/>
      <c r="FS7" s="13"/>
      <c r="FT7" s="19" t="s">
        <v>420</v>
      </c>
      <c r="FU7" s="19" t="s">
        <v>421</v>
      </c>
      <c r="FW7" s="11"/>
      <c r="FZ7" s="11"/>
      <c r="GB7" s="13"/>
      <c r="GC7" s="19" t="s">
        <v>420</v>
      </c>
      <c r="GD7" s="19" t="s">
        <v>421</v>
      </c>
      <c r="GF7" s="11"/>
      <c r="GI7" s="11"/>
      <c r="GK7" s="13"/>
      <c r="GL7" s="19" t="s">
        <v>420</v>
      </c>
      <c r="GM7" s="19" t="s">
        <v>421</v>
      </c>
      <c r="GO7" s="11"/>
      <c r="GR7" s="11"/>
      <c r="GT7" s="13"/>
      <c r="GU7" s="19" t="s">
        <v>420</v>
      </c>
      <c r="GV7" s="19" t="s">
        <v>421</v>
      </c>
      <c r="GX7" s="11"/>
      <c r="HA7" s="11"/>
      <c r="HC7" s="13"/>
      <c r="HD7" s="19" t="s">
        <v>420</v>
      </c>
      <c r="HE7" s="19" t="s">
        <v>421</v>
      </c>
      <c r="HG7" s="11"/>
      <c r="HJ7" s="11"/>
      <c r="HL7" s="13"/>
      <c r="HM7" s="19" t="s">
        <v>420</v>
      </c>
      <c r="HN7" s="19" t="s">
        <v>421</v>
      </c>
      <c r="HP7" s="11"/>
      <c r="HS7" s="11"/>
      <c r="HU7" s="13"/>
      <c r="HV7" s="19" t="s">
        <v>420</v>
      </c>
      <c r="HW7" s="19" t="s">
        <v>421</v>
      </c>
      <c r="HY7" s="11"/>
      <c r="IB7" s="11"/>
      <c r="ID7" s="13"/>
      <c r="IE7" s="19" t="s">
        <v>420</v>
      </c>
      <c r="IF7" s="19" t="s">
        <v>421</v>
      </c>
      <c r="IH7" s="11"/>
      <c r="IK7" s="11"/>
      <c r="IM7" s="13"/>
      <c r="IN7" s="19" t="s">
        <v>420</v>
      </c>
      <c r="IO7" s="19" t="s">
        <v>421</v>
      </c>
      <c r="IQ7" s="11"/>
      <c r="IT7" s="11"/>
      <c r="IV7" s="13"/>
      <c r="IW7" s="19" t="s">
        <v>420</v>
      </c>
      <c r="IX7" s="19" t="s">
        <v>421</v>
      </c>
      <c r="IZ7" s="11"/>
      <c r="JC7" s="11"/>
      <c r="JE7" s="13"/>
      <c r="JF7" s="19" t="s">
        <v>420</v>
      </c>
      <c r="JG7" s="19" t="s">
        <v>421</v>
      </c>
      <c r="JI7" s="11"/>
      <c r="JL7" s="11"/>
      <c r="JN7" s="13"/>
      <c r="JO7" s="19" t="s">
        <v>420</v>
      </c>
      <c r="JP7" s="19" t="s">
        <v>421</v>
      </c>
      <c r="JR7" s="11"/>
      <c r="JU7" s="11"/>
      <c r="JW7" s="13"/>
      <c r="JX7" s="19" t="s">
        <v>420</v>
      </c>
      <c r="JY7" s="19" t="s">
        <v>421</v>
      </c>
      <c r="KA7" s="11"/>
      <c r="KD7" s="11"/>
      <c r="KF7" s="13"/>
      <c r="KG7" s="19" t="s">
        <v>420</v>
      </c>
      <c r="KH7" s="19" t="s">
        <v>421</v>
      </c>
      <c r="KJ7" s="11"/>
      <c r="KM7" s="11"/>
      <c r="KO7" s="13"/>
      <c r="KP7" s="19" t="s">
        <v>420</v>
      </c>
      <c r="KQ7" s="19" t="s">
        <v>421</v>
      </c>
      <c r="KS7" s="11"/>
      <c r="KV7" s="11"/>
      <c r="KX7" s="13"/>
      <c r="KY7" s="19" t="s">
        <v>420</v>
      </c>
      <c r="KZ7" s="19" t="s">
        <v>421</v>
      </c>
      <c r="LB7" s="11"/>
      <c r="LE7" s="11"/>
      <c r="LG7" s="13"/>
      <c r="LH7" s="19" t="s">
        <v>420</v>
      </c>
      <c r="LI7" s="19" t="s">
        <v>421</v>
      </c>
      <c r="LK7" s="11"/>
      <c r="LN7" s="11"/>
      <c r="LP7" s="13"/>
      <c r="LQ7" s="19" t="s">
        <v>420</v>
      </c>
      <c r="LR7" s="19" t="s">
        <v>421</v>
      </c>
      <c r="LT7" s="11"/>
      <c r="LW7" s="11"/>
      <c r="LY7" s="13"/>
      <c r="LZ7" s="19" t="s">
        <v>420</v>
      </c>
      <c r="MA7" s="19" t="s">
        <v>421</v>
      </c>
      <c r="MC7" s="11"/>
      <c r="MF7" s="11"/>
      <c r="MH7" s="13"/>
      <c r="MI7" s="19" t="s">
        <v>420</v>
      </c>
      <c r="MJ7" s="19" t="s">
        <v>421</v>
      </c>
      <c r="ML7" s="11"/>
      <c r="MO7" s="11"/>
      <c r="MQ7" s="13"/>
      <c r="MR7" s="19" t="s">
        <v>420</v>
      </c>
      <c r="MS7" s="19" t="s">
        <v>421</v>
      </c>
      <c r="MU7" s="11"/>
    </row>
    <row r="8" spans="1:359">
      <c r="B8" s="11"/>
      <c r="D8" s="26" t="str">
        <f>('Desempeño profesional'!A366)</f>
        <v>0</v>
      </c>
      <c r="E8" s="18" t="str">
        <f>('Desempeño profesional'!B366)</f>
        <v>0</v>
      </c>
      <c r="F8" s="22" t="str">
        <f>('Desempeño profesional'!B372)</f>
        <v>0</v>
      </c>
      <c r="H8" s="11"/>
      <c r="K8" s="11"/>
      <c r="M8" s="26" t="str">
        <f>('Desempeño profesional'!A366)</f>
        <v>0</v>
      </c>
      <c r="N8" s="18" t="str">
        <f>('Desempeño profesional'!C366)</f>
        <v>0</v>
      </c>
      <c r="O8" s="22" t="str">
        <f>('Desempeño profesional'!C372)</f>
        <v>0</v>
      </c>
      <c r="Q8" s="11"/>
      <c r="T8" s="11"/>
      <c r="V8" s="26" t="str">
        <f>('Desempeño profesional'!A366)</f>
        <v>0</v>
      </c>
      <c r="W8" s="18" t="str">
        <f>('Desempeño profesional'!D366)</f>
        <v>0</v>
      </c>
      <c r="X8" s="22" t="str">
        <f>('Desempeño profesional'!D372)</f>
        <v>0</v>
      </c>
      <c r="Z8" s="11"/>
      <c r="AC8" s="11"/>
      <c r="AE8" s="26" t="str">
        <f>('Desempeño profesional'!A366)</f>
        <v>0</v>
      </c>
      <c r="AF8" s="18" t="str">
        <f>('Desempeño profesional'!E366)</f>
        <v>0</v>
      </c>
      <c r="AG8" s="22" t="str">
        <f>('Desempeño profesional'!E372)</f>
        <v>0</v>
      </c>
      <c r="AI8" s="11"/>
      <c r="AL8" s="11"/>
      <c r="AN8" s="26" t="str">
        <f>('Desempeño profesional'!A366)</f>
        <v>0</v>
      </c>
      <c r="AO8" s="18" t="str">
        <f>('Desempeño profesional'!F366)</f>
        <v>0</v>
      </c>
      <c r="AP8" s="22" t="str">
        <f>('Desempeño profesional'!F372)</f>
        <v>0</v>
      </c>
      <c r="AR8" s="11"/>
      <c r="AU8" s="11"/>
      <c r="AW8" s="26" t="str">
        <f>('Desempeño profesional'!A366)</f>
        <v>0</v>
      </c>
      <c r="AX8" s="18" t="str">
        <f>('Desempeño profesional'!G366)</f>
        <v>0</v>
      </c>
      <c r="AY8" s="22" t="str">
        <f>('Desempeño profesional'!G372)</f>
        <v>0</v>
      </c>
      <c r="BA8" s="11"/>
      <c r="BD8" s="11"/>
      <c r="BF8" s="26" t="str">
        <f>('Desempeño profesional'!A366)</f>
        <v>0</v>
      </c>
      <c r="BG8" s="18" t="str">
        <f>('Desempeño profesional'!H366)</f>
        <v>0</v>
      </c>
      <c r="BH8" s="22" t="str">
        <f>('Desempeño profesional'!H372)</f>
        <v>0</v>
      </c>
      <c r="BJ8" s="11"/>
      <c r="BM8" s="11"/>
      <c r="BO8" s="26" t="str">
        <f>('Desempeño profesional'!A366)</f>
        <v>0</v>
      </c>
      <c r="BP8" s="18" t="str">
        <f>('Desempeño profesional'!I366)</f>
        <v>0</v>
      </c>
      <c r="BQ8" s="22" t="str">
        <f>('Desempeño profesional'!I372)</f>
        <v>0</v>
      </c>
      <c r="BS8" s="11"/>
      <c r="BV8" s="11"/>
      <c r="BX8" s="26" t="str">
        <f>('Desempeño profesional'!A366)</f>
        <v>0</v>
      </c>
      <c r="BY8" s="18" t="str">
        <f>('Desempeño profesional'!J366)</f>
        <v>0</v>
      </c>
      <c r="BZ8" s="22" t="str">
        <f>('Desempeño profesional'!J372)</f>
        <v>0</v>
      </c>
      <c r="CB8" s="11"/>
      <c r="CE8" s="11"/>
      <c r="CG8" s="26" t="str">
        <f>('Desempeño profesional'!A366)</f>
        <v>0</v>
      </c>
      <c r="CH8" s="18" t="str">
        <f>('Desempeño profesional'!K366)</f>
        <v>0</v>
      </c>
      <c r="CI8" s="22" t="str">
        <f>('Desempeño profesional'!K372)</f>
        <v>0</v>
      </c>
      <c r="CK8" s="11"/>
      <c r="CN8" s="11"/>
      <c r="CP8" s="26" t="str">
        <f>('Desempeño profesional'!A366)</f>
        <v>0</v>
      </c>
      <c r="CQ8" s="18" t="str">
        <f>('Desempeño profesional'!L366)</f>
        <v>0</v>
      </c>
      <c r="CR8" s="22" t="str">
        <f>('Desempeño profesional'!L372)</f>
        <v>0</v>
      </c>
      <c r="CT8" s="11"/>
      <c r="CW8" s="11"/>
      <c r="CY8" s="26" t="str">
        <f>('Desempeño profesional'!A366)</f>
        <v>0</v>
      </c>
      <c r="CZ8" s="18" t="str">
        <f>('Desempeño profesional'!M366)</f>
        <v>0</v>
      </c>
      <c r="DA8" s="22" t="str">
        <f>('Desempeño profesional'!M372)</f>
        <v>0</v>
      </c>
      <c r="DC8" s="11"/>
      <c r="DF8" s="11"/>
      <c r="DH8" s="26" t="str">
        <f>('Desempeño profesional'!A366)</f>
        <v>0</v>
      </c>
      <c r="DI8" s="18" t="str">
        <f>('Desempeño profesional'!N366)</f>
        <v>0</v>
      </c>
      <c r="DJ8" s="22" t="str">
        <f>('Desempeño profesional'!N372)</f>
        <v>0</v>
      </c>
      <c r="DL8" s="11"/>
      <c r="DO8" s="11"/>
      <c r="DQ8" s="26" t="str">
        <f>('Desempeño profesional'!A366)</f>
        <v>0</v>
      </c>
      <c r="DR8" s="18" t="str">
        <f>('Desempeño profesional'!O366)</f>
        <v>0</v>
      </c>
      <c r="DS8" s="22" t="str">
        <f>('Desempeño profesional'!O372)</f>
        <v>0</v>
      </c>
      <c r="DU8" s="11"/>
      <c r="DX8" s="11"/>
      <c r="DZ8" s="26" t="str">
        <f>('Desempeño profesional'!A366)</f>
        <v>0</v>
      </c>
      <c r="EA8" s="18" t="str">
        <f>('Desempeño profesional'!P366)</f>
        <v>0</v>
      </c>
      <c r="EB8" s="22" t="str">
        <f>('Desempeño profesional'!P372)</f>
        <v>0</v>
      </c>
      <c r="ED8" s="11"/>
      <c r="EG8" s="11"/>
      <c r="EI8" s="26" t="str">
        <f>('Desempeño profesional'!A366)</f>
        <v>0</v>
      </c>
      <c r="EJ8" s="18" t="str">
        <f>('Desempeño profesional'!Q366)</f>
        <v>0</v>
      </c>
      <c r="EK8" s="22" t="str">
        <f>('Desempeño profesional'!Q372)</f>
        <v>0</v>
      </c>
      <c r="EM8" s="11"/>
      <c r="EP8" s="11"/>
      <c r="ER8" s="26" t="str">
        <f>('Desempeño profesional'!A366)</f>
        <v>0</v>
      </c>
      <c r="ES8" s="18" t="str">
        <f>('Desempeño profesional'!R366)</f>
        <v>0</v>
      </c>
      <c r="ET8" s="22" t="str">
        <f>('Desempeño profesional'!R372)</f>
        <v>0</v>
      </c>
      <c r="EV8" s="11"/>
      <c r="EY8" s="11"/>
      <c r="FA8" s="26" t="str">
        <f>('Desempeño profesional'!A366)</f>
        <v>0</v>
      </c>
      <c r="FB8" s="18" t="str">
        <f>('Desempeño profesional'!S366)</f>
        <v>0</v>
      </c>
      <c r="FC8" s="22" t="str">
        <f>('Desempeño profesional'!S372)</f>
        <v>0</v>
      </c>
      <c r="FE8" s="11"/>
      <c r="FH8" s="11"/>
      <c r="FJ8" s="26" t="str">
        <f>('Desempeño profesional'!A366)</f>
        <v>0</v>
      </c>
      <c r="FK8" s="18" t="str">
        <f>('Desempeño profesional'!T366)</f>
        <v>0</v>
      </c>
      <c r="FL8" s="22" t="str">
        <f>('Desempeño profesional'!T372)</f>
        <v>0</v>
      </c>
      <c r="FN8" s="11"/>
      <c r="FQ8" s="11"/>
      <c r="FS8" s="26" t="str">
        <f>('Desempeño profesional'!A366)</f>
        <v>0</v>
      </c>
      <c r="FT8" s="18" t="str">
        <f>('Desempeño profesional'!U366)</f>
        <v>0</v>
      </c>
      <c r="FU8" s="22" t="str">
        <f>('Desempeño profesional'!U372)</f>
        <v>0</v>
      </c>
      <c r="FW8" s="11"/>
      <c r="FZ8" s="11"/>
      <c r="GB8" s="26" t="str">
        <f>('Desempeño profesional'!A366)</f>
        <v>0</v>
      </c>
      <c r="GC8" s="18" t="str">
        <f>('Desempeño profesional'!V366)</f>
        <v>0</v>
      </c>
      <c r="GD8" s="22" t="str">
        <f>('Desempeño profesional'!V372)</f>
        <v>0</v>
      </c>
      <c r="GF8" s="11"/>
      <c r="GI8" s="11"/>
      <c r="GK8" s="26" t="str">
        <f>('Desempeño profesional'!A366)</f>
        <v>0</v>
      </c>
      <c r="GL8" s="18" t="str">
        <f>('Desempeño profesional'!W366)</f>
        <v>0</v>
      </c>
      <c r="GM8" s="22" t="str">
        <f>('Desempeño profesional'!W372)</f>
        <v>0</v>
      </c>
      <c r="GO8" s="11"/>
      <c r="GR8" s="11"/>
      <c r="GT8" s="26" t="str">
        <f>('Desempeño profesional'!A366)</f>
        <v>0</v>
      </c>
      <c r="GU8" s="18" t="str">
        <f>('Desempeño profesional'!X366)</f>
        <v>0</v>
      </c>
      <c r="GV8" s="22" t="str">
        <f>('Desempeño profesional'!X372)</f>
        <v>0</v>
      </c>
      <c r="GX8" s="11"/>
      <c r="HA8" s="11"/>
      <c r="HC8" s="26" t="str">
        <f>('Desempeño profesional'!A366)</f>
        <v>0</v>
      </c>
      <c r="HD8" s="18" t="str">
        <f>('Desempeño profesional'!Y366)</f>
        <v>0</v>
      </c>
      <c r="HE8" s="22" t="str">
        <f>('Desempeño profesional'!Y372)</f>
        <v>0</v>
      </c>
      <c r="HG8" s="11"/>
      <c r="HJ8" s="11"/>
      <c r="HL8" s="26" t="str">
        <f>('Desempeño profesional'!A366)</f>
        <v>0</v>
      </c>
      <c r="HM8" s="18" t="str">
        <f>('Desempeño profesional'!Z366)</f>
        <v>0</v>
      </c>
      <c r="HN8" s="22" t="str">
        <f>('Desempeño profesional'!Z372)</f>
        <v>0</v>
      </c>
      <c r="HP8" s="11"/>
      <c r="HS8" s="11"/>
      <c r="HU8" s="26" t="str">
        <f>('Desempeño profesional'!A366)</f>
        <v>0</v>
      </c>
      <c r="HV8" s="18" t="str">
        <f>('Desempeño profesional'!AA366)</f>
        <v>0</v>
      </c>
      <c r="HW8" s="22" t="str">
        <f>('Desempeño profesional'!AA372)</f>
        <v>0</v>
      </c>
      <c r="HY8" s="11"/>
      <c r="IB8" s="11"/>
      <c r="ID8" s="26" t="str">
        <f>('Desempeño profesional'!A366)</f>
        <v>0</v>
      </c>
      <c r="IE8" s="18" t="str">
        <f>('Desempeño profesional'!AB366)</f>
        <v>0</v>
      </c>
      <c r="IF8" s="22" t="str">
        <f>('Desempeño profesional'!AB372)</f>
        <v>0</v>
      </c>
      <c r="IH8" s="11"/>
      <c r="IK8" s="11"/>
      <c r="IM8" s="26" t="str">
        <f>('Desempeño profesional'!A366)</f>
        <v>0</v>
      </c>
      <c r="IN8" s="18" t="str">
        <f>('Desempeño profesional'!AC366)</f>
        <v>0</v>
      </c>
      <c r="IO8" s="22" t="str">
        <f>('Desempeño profesional'!AC372)</f>
        <v>0</v>
      </c>
      <c r="IQ8" s="11"/>
      <c r="IT8" s="11"/>
      <c r="IV8" s="26" t="str">
        <f>('Desempeño profesional'!A366)</f>
        <v>0</v>
      </c>
      <c r="IW8" s="18" t="str">
        <f>('Desempeño profesional'!AD366)</f>
        <v>0</v>
      </c>
      <c r="IX8" s="22" t="str">
        <f>('Desempeño profesional'!AD372)</f>
        <v>0</v>
      </c>
      <c r="IZ8" s="11"/>
      <c r="JC8" s="11"/>
      <c r="JE8" s="26" t="str">
        <f>('Desempeño profesional'!A366)</f>
        <v>0</v>
      </c>
      <c r="JF8" s="18" t="str">
        <f>('Desempeño profesional'!AE366)</f>
        <v>0</v>
      </c>
      <c r="JG8" s="22" t="str">
        <f>('Desempeño profesional'!AE372)</f>
        <v>0</v>
      </c>
      <c r="JI8" s="11"/>
      <c r="JL8" s="11"/>
      <c r="JN8" s="26" t="str">
        <f>('Desempeño profesional'!A366)</f>
        <v>0</v>
      </c>
      <c r="JO8" s="18" t="str">
        <f>('Desempeño profesional'!AF366)</f>
        <v>0</v>
      </c>
      <c r="JP8" s="22" t="str">
        <f>('Desempeño profesional'!AF372)</f>
        <v>0</v>
      </c>
      <c r="JR8" s="11"/>
      <c r="JU8" s="11"/>
      <c r="JW8" s="26" t="str">
        <f>('Desempeño profesional'!A366)</f>
        <v>0</v>
      </c>
      <c r="JX8" s="18" t="str">
        <f>('Desempeño profesional'!AG366)</f>
        <v>0</v>
      </c>
      <c r="JY8" s="22" t="str">
        <f>('Desempeño profesional'!AG372)</f>
        <v>0</v>
      </c>
      <c r="KA8" s="11"/>
      <c r="KD8" s="11"/>
      <c r="KF8" s="26" t="str">
        <f>('Desempeño profesional'!A366)</f>
        <v>0</v>
      </c>
      <c r="KG8" s="18" t="str">
        <f>('Desempeño profesional'!AH366)</f>
        <v>0</v>
      </c>
      <c r="KH8" s="22" t="str">
        <f>('Desempeño profesional'!AH372)</f>
        <v>0</v>
      </c>
      <c r="KJ8" s="11"/>
      <c r="KM8" s="11"/>
      <c r="KO8" s="26" t="str">
        <f>('Desempeño profesional'!A366)</f>
        <v>0</v>
      </c>
      <c r="KP8" s="18" t="str">
        <f>('Desempeño profesional'!AI366)</f>
        <v>0</v>
      </c>
      <c r="KQ8" s="22" t="str">
        <f>('Desempeño profesional'!AI372)</f>
        <v>0</v>
      </c>
      <c r="KS8" s="11"/>
      <c r="KV8" s="11"/>
      <c r="KX8" s="26" t="str">
        <f>('Desempeño profesional'!A366)</f>
        <v>0</v>
      </c>
      <c r="KY8" s="18" t="str">
        <f>('Desempeño profesional'!AJ366)</f>
        <v>0</v>
      </c>
      <c r="KZ8" s="22" t="str">
        <f>('Desempeño profesional'!AJ372)</f>
        <v>0</v>
      </c>
      <c r="LB8" s="11"/>
      <c r="LE8" s="11"/>
      <c r="LG8" s="26" t="str">
        <f>('Desempeño profesional'!A366)</f>
        <v>0</v>
      </c>
      <c r="LH8" s="18" t="str">
        <f>('Desempeño profesional'!AK366)</f>
        <v>0</v>
      </c>
      <c r="LI8" s="22" t="str">
        <f>('Desempeño profesional'!AK372)</f>
        <v>0</v>
      </c>
      <c r="LK8" s="11"/>
      <c r="LN8" s="11"/>
      <c r="LP8" s="26" t="str">
        <f>('Desempeño profesional'!A366)</f>
        <v>0</v>
      </c>
      <c r="LQ8" s="18" t="str">
        <f>('Desempeño profesional'!AL366)</f>
        <v>0</v>
      </c>
      <c r="LR8" s="22" t="str">
        <f>('Desempeño profesional'!AL372)</f>
        <v>0</v>
      </c>
      <c r="LT8" s="11"/>
      <c r="LW8" s="11"/>
      <c r="LY8" s="26" t="str">
        <f>('Desempeño profesional'!A366)</f>
        <v>0</v>
      </c>
      <c r="LZ8" s="18" t="str">
        <f>('Desempeño profesional'!AM366)</f>
        <v>0</v>
      </c>
      <c r="MA8" s="22" t="str">
        <f>('Desempeño profesional'!AM372)</f>
        <v>0</v>
      </c>
      <c r="MC8" s="11"/>
      <c r="MF8" s="11"/>
      <c r="MH8" s="26" t="str">
        <f>('Desempeño profesional'!A366)</f>
        <v>0</v>
      </c>
      <c r="MI8" s="18" t="str">
        <f>('Desempeño profesional'!AN366)</f>
        <v>0</v>
      </c>
      <c r="MJ8" s="22" t="str">
        <f>('Desempeño profesional'!AN372)</f>
        <v>0</v>
      </c>
      <c r="ML8" s="11"/>
      <c r="MO8" s="11"/>
      <c r="MQ8" s="26" t="str">
        <f>('Desempeño profesional'!A366)</f>
        <v>0</v>
      </c>
      <c r="MR8" s="18" t="str">
        <f>('Desempeño profesional'!AO366)</f>
        <v>0</v>
      </c>
      <c r="MS8" s="22" t="str">
        <f>('Desempeño profesional'!AO372)</f>
        <v>0</v>
      </c>
      <c r="MU8" s="11"/>
    </row>
    <row r="9" spans="1:359">
      <c r="B9" s="11"/>
      <c r="D9" s="26" t="str">
        <f>('Desempeño profesional'!A367)</f>
        <v>0</v>
      </c>
      <c r="E9" s="18" t="str">
        <f>('Desempeño profesional'!B367)</f>
        <v>0</v>
      </c>
      <c r="F9" s="22" t="str">
        <f>('Desempeño profesional'!B373)</f>
        <v>0</v>
      </c>
      <c r="H9" s="11"/>
      <c r="K9" s="11"/>
      <c r="M9" s="26" t="str">
        <f>('Desempeño profesional'!A367)</f>
        <v>0</v>
      </c>
      <c r="N9" s="18" t="str">
        <f>('Desempeño profesional'!C367)</f>
        <v>0</v>
      </c>
      <c r="O9" s="22" t="str">
        <f>('Desempeño profesional'!C373)</f>
        <v>0</v>
      </c>
      <c r="Q9" s="11"/>
      <c r="T9" s="11"/>
      <c r="V9" s="26" t="str">
        <f>('Desempeño profesional'!A367)</f>
        <v>0</v>
      </c>
      <c r="W9" s="18" t="str">
        <f>('Desempeño profesional'!D367)</f>
        <v>0</v>
      </c>
      <c r="X9" s="22" t="str">
        <f>('Desempeño profesional'!D373)</f>
        <v>0</v>
      </c>
      <c r="Z9" s="11"/>
      <c r="AC9" s="11"/>
      <c r="AE9" s="26" t="str">
        <f>('Desempeño profesional'!A367)</f>
        <v>0</v>
      </c>
      <c r="AF9" s="18" t="str">
        <f>('Desempeño profesional'!E367)</f>
        <v>0</v>
      </c>
      <c r="AG9" s="22" t="str">
        <f>('Desempeño profesional'!E373)</f>
        <v>0</v>
      </c>
      <c r="AI9" s="11"/>
      <c r="AL9" s="11"/>
      <c r="AN9" s="26" t="str">
        <f>('Desempeño profesional'!A367)</f>
        <v>0</v>
      </c>
      <c r="AO9" s="18" t="str">
        <f>('Desempeño profesional'!F367)</f>
        <v>0</v>
      </c>
      <c r="AP9" s="22" t="str">
        <f>('Desempeño profesional'!F373)</f>
        <v>0</v>
      </c>
      <c r="AR9" s="11"/>
      <c r="AU9" s="11"/>
      <c r="AW9" s="26" t="str">
        <f>('Desempeño profesional'!A367)</f>
        <v>0</v>
      </c>
      <c r="AX9" s="18" t="str">
        <f>('Desempeño profesional'!G367)</f>
        <v>0</v>
      </c>
      <c r="AY9" s="22" t="str">
        <f>('Desempeño profesional'!G373)</f>
        <v>0</v>
      </c>
      <c r="BA9" s="11"/>
      <c r="BD9" s="11"/>
      <c r="BF9" s="26" t="str">
        <f>('Desempeño profesional'!A367)</f>
        <v>0</v>
      </c>
      <c r="BG9" s="18" t="str">
        <f>('Desempeño profesional'!H367)</f>
        <v>0</v>
      </c>
      <c r="BH9" s="22" t="str">
        <f>('Desempeño profesional'!H373)</f>
        <v>0</v>
      </c>
      <c r="BJ9" s="11"/>
      <c r="BM9" s="11"/>
      <c r="BO9" s="26" t="str">
        <f>('Desempeño profesional'!A367)</f>
        <v>0</v>
      </c>
      <c r="BP9" s="18" t="str">
        <f>('Desempeño profesional'!I367)</f>
        <v>0</v>
      </c>
      <c r="BQ9" s="22" t="str">
        <f>('Desempeño profesional'!I373)</f>
        <v>0</v>
      </c>
      <c r="BS9" s="11"/>
      <c r="BV9" s="11"/>
      <c r="BX9" s="26" t="str">
        <f>('Desempeño profesional'!A367)</f>
        <v>0</v>
      </c>
      <c r="BY9" s="18" t="str">
        <f>('Desempeño profesional'!J367)</f>
        <v>0</v>
      </c>
      <c r="BZ9" s="22" t="str">
        <f>('Desempeño profesional'!J373)</f>
        <v>0</v>
      </c>
      <c r="CB9" s="11"/>
      <c r="CE9" s="11"/>
      <c r="CG9" s="26" t="str">
        <f>('Desempeño profesional'!A367)</f>
        <v>0</v>
      </c>
      <c r="CH9" s="18" t="str">
        <f>('Desempeño profesional'!K367)</f>
        <v>0</v>
      </c>
      <c r="CI9" s="22" t="str">
        <f>('Desempeño profesional'!K373)</f>
        <v>0</v>
      </c>
      <c r="CK9" s="11"/>
      <c r="CN9" s="11"/>
      <c r="CP9" s="26" t="str">
        <f>('Desempeño profesional'!A367)</f>
        <v>0</v>
      </c>
      <c r="CQ9" s="18" t="str">
        <f>('Desempeño profesional'!L367)</f>
        <v>0</v>
      </c>
      <c r="CR9" s="22" t="str">
        <f>('Desempeño profesional'!L373)</f>
        <v>0</v>
      </c>
      <c r="CT9" s="11"/>
      <c r="CW9" s="11"/>
      <c r="CY9" s="26" t="str">
        <f>('Desempeño profesional'!A367)</f>
        <v>0</v>
      </c>
      <c r="CZ9" s="18" t="str">
        <f>('Desempeño profesional'!M367)</f>
        <v>0</v>
      </c>
      <c r="DA9" s="22" t="str">
        <f>('Desempeño profesional'!M373)</f>
        <v>0</v>
      </c>
      <c r="DC9" s="11"/>
      <c r="DF9" s="11"/>
      <c r="DH9" s="26" t="str">
        <f>('Desempeño profesional'!A367)</f>
        <v>0</v>
      </c>
      <c r="DI9" s="18" t="str">
        <f>('Desempeño profesional'!N367)</f>
        <v>0</v>
      </c>
      <c r="DJ9" s="22" t="str">
        <f>('Desempeño profesional'!N373)</f>
        <v>0</v>
      </c>
      <c r="DL9" s="11"/>
      <c r="DO9" s="11"/>
      <c r="DQ9" s="26" t="str">
        <f>('Desempeño profesional'!A367)</f>
        <v>0</v>
      </c>
      <c r="DR9" s="18" t="str">
        <f>('Desempeño profesional'!O367)</f>
        <v>0</v>
      </c>
      <c r="DS9" s="22" t="str">
        <f>('Desempeño profesional'!O373)</f>
        <v>0</v>
      </c>
      <c r="DU9" s="11"/>
      <c r="DX9" s="11"/>
      <c r="DZ9" s="26" t="str">
        <f>('Desempeño profesional'!A367)</f>
        <v>0</v>
      </c>
      <c r="EA9" s="18" t="str">
        <f>('Desempeño profesional'!P367)</f>
        <v>0</v>
      </c>
      <c r="EB9" s="22" t="str">
        <f>('Desempeño profesional'!P373)</f>
        <v>0</v>
      </c>
      <c r="ED9" s="11"/>
      <c r="EG9" s="11"/>
      <c r="EI9" s="26" t="str">
        <f>('Desempeño profesional'!A367)</f>
        <v>0</v>
      </c>
      <c r="EJ9" s="18" t="str">
        <f>('Desempeño profesional'!Q367)</f>
        <v>0</v>
      </c>
      <c r="EK9" s="22" t="str">
        <f>('Desempeño profesional'!Q373)</f>
        <v>0</v>
      </c>
      <c r="EM9" s="11"/>
      <c r="EP9" s="11"/>
      <c r="ER9" s="26" t="str">
        <f>('Desempeño profesional'!A367)</f>
        <v>0</v>
      </c>
      <c r="ES9" s="18" t="str">
        <f>('Desempeño profesional'!R367)</f>
        <v>0</v>
      </c>
      <c r="ET9" s="22" t="str">
        <f>('Desempeño profesional'!R373)</f>
        <v>0</v>
      </c>
      <c r="EV9" s="11"/>
      <c r="EY9" s="11"/>
      <c r="FA9" s="26" t="str">
        <f>('Desempeño profesional'!A367)</f>
        <v>0</v>
      </c>
      <c r="FB9" s="18" t="str">
        <f>('Desempeño profesional'!S367)</f>
        <v>0</v>
      </c>
      <c r="FC9" s="22" t="str">
        <f>('Desempeño profesional'!S373)</f>
        <v>0</v>
      </c>
      <c r="FE9" s="11"/>
      <c r="FH9" s="11"/>
      <c r="FJ9" s="26" t="str">
        <f>('Desempeño profesional'!A367)</f>
        <v>0</v>
      </c>
      <c r="FK9" s="18" t="str">
        <f>('Desempeño profesional'!T367)</f>
        <v>0</v>
      </c>
      <c r="FL9" s="22" t="str">
        <f>('Desempeño profesional'!T373)</f>
        <v>0</v>
      </c>
      <c r="FN9" s="11"/>
      <c r="FQ9" s="11"/>
      <c r="FS9" s="26" t="str">
        <f>('Desempeño profesional'!A367)</f>
        <v>0</v>
      </c>
      <c r="FT9" s="18" t="str">
        <f>('Desempeño profesional'!U367)</f>
        <v>0</v>
      </c>
      <c r="FU9" s="22" t="str">
        <f>('Desempeño profesional'!U373)</f>
        <v>0</v>
      </c>
      <c r="FW9" s="11"/>
      <c r="FZ9" s="11"/>
      <c r="GB9" s="26" t="str">
        <f>('Desempeño profesional'!A367)</f>
        <v>0</v>
      </c>
      <c r="GC9" s="18" t="str">
        <f>('Desempeño profesional'!V367)</f>
        <v>0</v>
      </c>
      <c r="GD9" s="22" t="str">
        <f>('Desempeño profesional'!V373)</f>
        <v>0</v>
      </c>
      <c r="GF9" s="11"/>
      <c r="GI9" s="11"/>
      <c r="GK9" s="26" t="str">
        <f>('Desempeño profesional'!A367)</f>
        <v>0</v>
      </c>
      <c r="GL9" s="18" t="str">
        <f>('Desempeño profesional'!W367)</f>
        <v>0</v>
      </c>
      <c r="GM9" s="22" t="str">
        <f>('Desempeño profesional'!W373)</f>
        <v>0</v>
      </c>
      <c r="GO9" s="11"/>
      <c r="GR9" s="11"/>
      <c r="GT9" s="26" t="str">
        <f>('Desempeño profesional'!A367)</f>
        <v>0</v>
      </c>
      <c r="GU9" s="18" t="str">
        <f>('Desempeño profesional'!X367)</f>
        <v>0</v>
      </c>
      <c r="GV9" s="22" t="str">
        <f>('Desempeño profesional'!X373)</f>
        <v>0</v>
      </c>
      <c r="GX9" s="11"/>
      <c r="HA9" s="11"/>
      <c r="HC9" s="26" t="str">
        <f>('Desempeño profesional'!A367)</f>
        <v>0</v>
      </c>
      <c r="HD9" s="18" t="str">
        <f>('Desempeño profesional'!Y367)</f>
        <v>0</v>
      </c>
      <c r="HE9" s="22" t="str">
        <f>('Desempeño profesional'!Y373)</f>
        <v>0</v>
      </c>
      <c r="HG9" s="11"/>
      <c r="HJ9" s="11"/>
      <c r="HL9" s="26" t="str">
        <f>('Desempeño profesional'!A367)</f>
        <v>0</v>
      </c>
      <c r="HM9" s="18" t="str">
        <f>('Desempeño profesional'!Z367)</f>
        <v>0</v>
      </c>
      <c r="HN9" s="22" t="str">
        <f>('Desempeño profesional'!Z373)</f>
        <v>0</v>
      </c>
      <c r="HP9" s="11"/>
      <c r="HS9" s="11"/>
      <c r="HU9" s="26" t="str">
        <f>('Desempeño profesional'!A367)</f>
        <v>0</v>
      </c>
      <c r="HV9" s="18" t="str">
        <f>('Desempeño profesional'!AA367)</f>
        <v>0</v>
      </c>
      <c r="HW9" s="22" t="str">
        <f>('Desempeño profesional'!AA373)</f>
        <v>0</v>
      </c>
      <c r="HY9" s="11"/>
      <c r="IB9" s="11"/>
      <c r="ID9" s="26" t="str">
        <f>('Desempeño profesional'!A367)</f>
        <v>0</v>
      </c>
      <c r="IE9" s="18" t="str">
        <f>('Desempeño profesional'!AB367)</f>
        <v>0</v>
      </c>
      <c r="IF9" s="22" t="str">
        <f>('Desempeño profesional'!AB373)</f>
        <v>0</v>
      </c>
      <c r="IH9" s="11"/>
      <c r="IK9" s="11"/>
      <c r="IM9" s="26" t="str">
        <f>('Desempeño profesional'!A367)</f>
        <v>0</v>
      </c>
      <c r="IN9" s="18" t="str">
        <f>('Desempeño profesional'!AC367)</f>
        <v>0</v>
      </c>
      <c r="IO9" s="22" t="str">
        <f>('Desempeño profesional'!AC373)</f>
        <v>0</v>
      </c>
      <c r="IQ9" s="11"/>
      <c r="IT9" s="11"/>
      <c r="IV9" s="26" t="str">
        <f>('Desempeño profesional'!A367)</f>
        <v>0</v>
      </c>
      <c r="IW9" s="18" t="str">
        <f>('Desempeño profesional'!AD367)</f>
        <v>0</v>
      </c>
      <c r="IX9" s="22" t="str">
        <f>('Desempeño profesional'!AD373)</f>
        <v>0</v>
      </c>
      <c r="IZ9" s="11"/>
      <c r="JC9" s="11"/>
      <c r="JE9" s="26" t="str">
        <f>('Desempeño profesional'!A367)</f>
        <v>0</v>
      </c>
      <c r="JF9" s="18" t="str">
        <f>('Desempeño profesional'!AE367)</f>
        <v>0</v>
      </c>
      <c r="JG9" s="22" t="str">
        <f>('Desempeño profesional'!AE373)</f>
        <v>0</v>
      </c>
      <c r="JI9" s="11"/>
      <c r="JL9" s="11"/>
      <c r="JN9" s="26" t="str">
        <f>('Desempeño profesional'!A367)</f>
        <v>0</v>
      </c>
      <c r="JO9" s="18" t="str">
        <f>('Desempeño profesional'!AF367)</f>
        <v>0</v>
      </c>
      <c r="JP9" s="22" t="str">
        <f>('Desempeño profesional'!AF373)</f>
        <v>0</v>
      </c>
      <c r="JR9" s="11"/>
      <c r="JU9" s="11"/>
      <c r="JW9" s="26" t="str">
        <f>('Desempeño profesional'!A367)</f>
        <v>0</v>
      </c>
      <c r="JX9" s="18" t="str">
        <f>('Desempeño profesional'!AG367)</f>
        <v>0</v>
      </c>
      <c r="JY9" s="22" t="str">
        <f>('Desempeño profesional'!AG373)</f>
        <v>0</v>
      </c>
      <c r="KA9" s="11"/>
      <c r="KD9" s="11"/>
      <c r="KF9" s="26" t="str">
        <f>('Desempeño profesional'!A367)</f>
        <v>0</v>
      </c>
      <c r="KG9" s="18" t="str">
        <f>('Desempeño profesional'!AH367)</f>
        <v>0</v>
      </c>
      <c r="KH9" s="22" t="str">
        <f>('Desempeño profesional'!AH373)</f>
        <v>0</v>
      </c>
      <c r="KJ9" s="11"/>
      <c r="KM9" s="11"/>
      <c r="KO9" s="26" t="str">
        <f>('Desempeño profesional'!A367)</f>
        <v>0</v>
      </c>
      <c r="KP9" s="18" t="str">
        <f>('Desempeño profesional'!AI367)</f>
        <v>0</v>
      </c>
      <c r="KQ9" s="22" t="str">
        <f>('Desempeño profesional'!AI373)</f>
        <v>0</v>
      </c>
      <c r="KS9" s="11"/>
      <c r="KV9" s="11"/>
      <c r="KX9" s="26" t="str">
        <f>('Desempeño profesional'!A367)</f>
        <v>0</v>
      </c>
      <c r="KY9" s="18" t="str">
        <f>('Desempeño profesional'!AJ367)</f>
        <v>0</v>
      </c>
      <c r="KZ9" s="22" t="str">
        <f>('Desempeño profesional'!AJ373)</f>
        <v>0</v>
      </c>
      <c r="LB9" s="11"/>
      <c r="LE9" s="11"/>
      <c r="LG9" s="26" t="str">
        <f>('Desempeño profesional'!A367)</f>
        <v>0</v>
      </c>
      <c r="LH9" s="18" t="str">
        <f>('Desempeño profesional'!AK367)</f>
        <v>0</v>
      </c>
      <c r="LI9" s="22" t="str">
        <f>('Desempeño profesional'!AK373)</f>
        <v>0</v>
      </c>
      <c r="LK9" s="11"/>
      <c r="LN9" s="11"/>
      <c r="LP9" s="26" t="str">
        <f>('Desempeño profesional'!A367)</f>
        <v>0</v>
      </c>
      <c r="LQ9" s="18" t="str">
        <f>('Desempeño profesional'!AL367)</f>
        <v>0</v>
      </c>
      <c r="LR9" s="22" t="str">
        <f>('Desempeño profesional'!AL373)</f>
        <v>0</v>
      </c>
      <c r="LT9" s="11"/>
      <c r="LW9" s="11"/>
      <c r="LY9" s="26" t="str">
        <f>('Desempeño profesional'!A367)</f>
        <v>0</v>
      </c>
      <c r="LZ9" s="18" t="str">
        <f>('Desempeño profesional'!AM367)</f>
        <v>0</v>
      </c>
      <c r="MA9" s="22" t="str">
        <f>('Desempeño profesional'!AM373)</f>
        <v>0</v>
      </c>
      <c r="MC9" s="11"/>
      <c r="MF9" s="11"/>
      <c r="MH9" s="26" t="str">
        <f>('Desempeño profesional'!A367)</f>
        <v>0</v>
      </c>
      <c r="MI9" s="18" t="str">
        <f>('Desempeño profesional'!AN367)</f>
        <v>0</v>
      </c>
      <c r="MJ9" s="22" t="str">
        <f>('Desempeño profesional'!AN373)</f>
        <v>0</v>
      </c>
      <c r="ML9" s="11"/>
      <c r="MO9" s="11"/>
      <c r="MQ9" s="26" t="str">
        <f>('Desempeño profesional'!A367)</f>
        <v>0</v>
      </c>
      <c r="MR9" s="18" t="str">
        <f>('Desempeño profesional'!AO367)</f>
        <v>0</v>
      </c>
      <c r="MS9" s="22" t="str">
        <f>('Desempeño profesional'!AO373)</f>
        <v>0</v>
      </c>
      <c r="MU9" s="11"/>
    </row>
    <row r="10" spans="1:359">
      <c r="B10" s="11"/>
      <c r="D10" s="26" t="str">
        <f>('Desempeño profesional'!A368)</f>
        <v>0</v>
      </c>
      <c r="E10" s="18" t="str">
        <f>('Desempeño profesional'!B368)</f>
        <v>0</v>
      </c>
      <c r="F10" s="22" t="str">
        <f>('Desempeño profesional'!B374)</f>
        <v>0</v>
      </c>
      <c r="H10" s="11"/>
      <c r="K10" s="11"/>
      <c r="M10" s="26" t="str">
        <f>('Desempeño profesional'!A368)</f>
        <v>0</v>
      </c>
      <c r="N10" s="18" t="str">
        <f>('Desempeño profesional'!C368)</f>
        <v>0</v>
      </c>
      <c r="O10" s="22" t="str">
        <f>('Desempeño profesional'!C374)</f>
        <v>0</v>
      </c>
      <c r="Q10" s="11"/>
      <c r="T10" s="11"/>
      <c r="V10" s="26" t="str">
        <f>('Desempeño profesional'!A368)</f>
        <v>0</v>
      </c>
      <c r="W10" s="18" t="str">
        <f>('Desempeño profesional'!D368)</f>
        <v>0</v>
      </c>
      <c r="X10" s="22" t="str">
        <f>('Desempeño profesional'!D374)</f>
        <v>0</v>
      </c>
      <c r="Z10" s="11"/>
      <c r="AC10" s="11"/>
      <c r="AE10" s="26" t="str">
        <f>('Desempeño profesional'!A368)</f>
        <v>0</v>
      </c>
      <c r="AF10" s="18" t="str">
        <f>('Desempeño profesional'!E368)</f>
        <v>0</v>
      </c>
      <c r="AG10" s="22" t="str">
        <f>('Desempeño profesional'!E374)</f>
        <v>0</v>
      </c>
      <c r="AI10" s="11"/>
      <c r="AL10" s="11"/>
      <c r="AN10" s="26" t="str">
        <f>('Desempeño profesional'!A368)</f>
        <v>0</v>
      </c>
      <c r="AO10" s="18" t="str">
        <f>('Desempeño profesional'!F368)</f>
        <v>0</v>
      </c>
      <c r="AP10" s="22" t="str">
        <f>('Desempeño profesional'!F374)</f>
        <v>0</v>
      </c>
      <c r="AR10" s="11"/>
      <c r="AU10" s="11"/>
      <c r="AW10" s="26" t="str">
        <f>('Desempeño profesional'!A368)</f>
        <v>0</v>
      </c>
      <c r="AX10" s="18" t="str">
        <f>('Desempeño profesional'!G368)</f>
        <v>0</v>
      </c>
      <c r="AY10" s="22" t="str">
        <f>('Desempeño profesional'!G374)</f>
        <v>0</v>
      </c>
      <c r="BA10" s="11"/>
      <c r="BD10" s="11"/>
      <c r="BF10" s="26" t="str">
        <f>('Desempeño profesional'!A368)</f>
        <v>0</v>
      </c>
      <c r="BG10" s="18" t="str">
        <f>('Desempeño profesional'!H368)</f>
        <v>0</v>
      </c>
      <c r="BH10" s="22" t="str">
        <f>('Desempeño profesional'!H374)</f>
        <v>0</v>
      </c>
      <c r="BJ10" s="11"/>
      <c r="BM10" s="11"/>
      <c r="BO10" s="26" t="str">
        <f>('Desempeño profesional'!A368)</f>
        <v>0</v>
      </c>
      <c r="BP10" s="18" t="str">
        <f>('Desempeño profesional'!I368)</f>
        <v>0</v>
      </c>
      <c r="BQ10" s="22" t="str">
        <f>('Desempeño profesional'!I374)</f>
        <v>0</v>
      </c>
      <c r="BS10" s="11"/>
      <c r="BV10" s="11"/>
      <c r="BX10" s="26" t="str">
        <f>('Desempeño profesional'!A368)</f>
        <v>0</v>
      </c>
      <c r="BY10" s="18" t="str">
        <f>('Desempeño profesional'!J368)</f>
        <v>0</v>
      </c>
      <c r="BZ10" s="22" t="str">
        <f>('Desempeño profesional'!J374)</f>
        <v>0</v>
      </c>
      <c r="CB10" s="11"/>
      <c r="CE10" s="11"/>
      <c r="CG10" s="26" t="str">
        <f>('Desempeño profesional'!A368)</f>
        <v>0</v>
      </c>
      <c r="CH10" s="18" t="str">
        <f>('Desempeño profesional'!K368)</f>
        <v>0</v>
      </c>
      <c r="CI10" s="22" t="str">
        <f>('Desempeño profesional'!K374)</f>
        <v>0</v>
      </c>
      <c r="CK10" s="11"/>
      <c r="CN10" s="11"/>
      <c r="CP10" s="26" t="str">
        <f>('Desempeño profesional'!A368)</f>
        <v>0</v>
      </c>
      <c r="CQ10" s="18" t="str">
        <f>('Desempeño profesional'!L368)</f>
        <v>0</v>
      </c>
      <c r="CR10" s="22" t="str">
        <f>('Desempeño profesional'!L374)</f>
        <v>0</v>
      </c>
      <c r="CT10" s="11"/>
      <c r="CW10" s="11"/>
      <c r="CY10" s="26" t="str">
        <f>('Desempeño profesional'!A368)</f>
        <v>0</v>
      </c>
      <c r="CZ10" s="18" t="str">
        <f>('Desempeño profesional'!M368)</f>
        <v>0</v>
      </c>
      <c r="DA10" s="22" t="str">
        <f>('Desempeño profesional'!M374)</f>
        <v>0</v>
      </c>
      <c r="DC10" s="11"/>
      <c r="DF10" s="11"/>
      <c r="DH10" s="26" t="str">
        <f>('Desempeño profesional'!A368)</f>
        <v>0</v>
      </c>
      <c r="DI10" s="18" t="str">
        <f>('Desempeño profesional'!N368)</f>
        <v>0</v>
      </c>
      <c r="DJ10" s="22" t="str">
        <f>('Desempeño profesional'!N374)</f>
        <v>0</v>
      </c>
      <c r="DL10" s="11"/>
      <c r="DO10" s="11"/>
      <c r="DQ10" s="26" t="str">
        <f>('Desempeño profesional'!A368)</f>
        <v>0</v>
      </c>
      <c r="DR10" s="18" t="str">
        <f>('Desempeño profesional'!O368)</f>
        <v>0</v>
      </c>
      <c r="DS10" s="22" t="str">
        <f>('Desempeño profesional'!O374)</f>
        <v>0</v>
      </c>
      <c r="DU10" s="11"/>
      <c r="DX10" s="11"/>
      <c r="DZ10" s="26" t="str">
        <f>('Desempeño profesional'!A368)</f>
        <v>0</v>
      </c>
      <c r="EA10" s="18" t="str">
        <f>('Desempeño profesional'!P368)</f>
        <v>0</v>
      </c>
      <c r="EB10" s="22" t="str">
        <f>('Desempeño profesional'!P374)</f>
        <v>0</v>
      </c>
      <c r="ED10" s="11"/>
      <c r="EG10" s="11"/>
      <c r="EI10" s="26" t="str">
        <f>('Desempeño profesional'!A368)</f>
        <v>0</v>
      </c>
      <c r="EJ10" s="18" t="str">
        <f>('Desempeño profesional'!Q368)</f>
        <v>0</v>
      </c>
      <c r="EK10" s="22" t="str">
        <f>('Desempeño profesional'!Q374)</f>
        <v>0</v>
      </c>
      <c r="EM10" s="11"/>
      <c r="EP10" s="11"/>
      <c r="ER10" s="26" t="str">
        <f>('Desempeño profesional'!A368)</f>
        <v>0</v>
      </c>
      <c r="ES10" s="18" t="str">
        <f>('Desempeño profesional'!R368)</f>
        <v>0</v>
      </c>
      <c r="ET10" s="22" t="str">
        <f>('Desempeño profesional'!R374)</f>
        <v>0</v>
      </c>
      <c r="EV10" s="11"/>
      <c r="EY10" s="11"/>
      <c r="FA10" s="26" t="str">
        <f>('Desempeño profesional'!A368)</f>
        <v>0</v>
      </c>
      <c r="FB10" s="18" t="str">
        <f>('Desempeño profesional'!S368)</f>
        <v>0</v>
      </c>
      <c r="FC10" s="22" t="str">
        <f>('Desempeño profesional'!S374)</f>
        <v>0</v>
      </c>
      <c r="FE10" s="11"/>
      <c r="FH10" s="11"/>
      <c r="FJ10" s="26" t="str">
        <f>('Desempeño profesional'!A368)</f>
        <v>0</v>
      </c>
      <c r="FK10" s="18" t="str">
        <f>('Desempeño profesional'!T368)</f>
        <v>0</v>
      </c>
      <c r="FL10" s="22" t="str">
        <f>('Desempeño profesional'!T374)</f>
        <v>0</v>
      </c>
      <c r="FN10" s="11"/>
      <c r="FQ10" s="11"/>
      <c r="FS10" s="26" t="str">
        <f>('Desempeño profesional'!A368)</f>
        <v>0</v>
      </c>
      <c r="FT10" s="18" t="str">
        <f>('Desempeño profesional'!U368)</f>
        <v>0</v>
      </c>
      <c r="FU10" s="22" t="str">
        <f>('Desempeño profesional'!U374)</f>
        <v>0</v>
      </c>
      <c r="FW10" s="11"/>
      <c r="FZ10" s="11"/>
      <c r="GB10" s="26" t="str">
        <f>('Desempeño profesional'!A368)</f>
        <v>0</v>
      </c>
      <c r="GC10" s="18" t="str">
        <f>('Desempeño profesional'!V368)</f>
        <v>0</v>
      </c>
      <c r="GD10" s="22" t="str">
        <f>('Desempeño profesional'!V374)</f>
        <v>0</v>
      </c>
      <c r="GF10" s="11"/>
      <c r="GI10" s="11"/>
      <c r="GK10" s="26" t="str">
        <f>('Desempeño profesional'!A368)</f>
        <v>0</v>
      </c>
      <c r="GL10" s="18" t="str">
        <f>('Desempeño profesional'!W368)</f>
        <v>0</v>
      </c>
      <c r="GM10" s="22" t="str">
        <f>('Desempeño profesional'!W374)</f>
        <v>0</v>
      </c>
      <c r="GO10" s="11"/>
      <c r="GR10" s="11"/>
      <c r="GT10" s="26" t="str">
        <f>('Desempeño profesional'!A368)</f>
        <v>0</v>
      </c>
      <c r="GU10" s="18" t="str">
        <f>('Desempeño profesional'!X368)</f>
        <v>0</v>
      </c>
      <c r="GV10" s="22" t="str">
        <f>('Desempeño profesional'!X374)</f>
        <v>0</v>
      </c>
      <c r="GX10" s="11"/>
      <c r="HA10" s="11"/>
      <c r="HC10" s="26" t="str">
        <f>('Desempeño profesional'!A368)</f>
        <v>0</v>
      </c>
      <c r="HD10" s="18" t="str">
        <f>('Desempeño profesional'!Y368)</f>
        <v>0</v>
      </c>
      <c r="HE10" s="22" t="str">
        <f>('Desempeño profesional'!Y374)</f>
        <v>0</v>
      </c>
      <c r="HG10" s="11"/>
      <c r="HJ10" s="11"/>
      <c r="HL10" s="26" t="str">
        <f>('Desempeño profesional'!A368)</f>
        <v>0</v>
      </c>
      <c r="HM10" s="18" t="str">
        <f>('Desempeño profesional'!Z368)</f>
        <v>0</v>
      </c>
      <c r="HN10" s="22" t="str">
        <f>('Desempeño profesional'!Z374)</f>
        <v>0</v>
      </c>
      <c r="HP10" s="11"/>
      <c r="HS10" s="11"/>
      <c r="HU10" s="26" t="str">
        <f>('Desempeño profesional'!A368)</f>
        <v>0</v>
      </c>
      <c r="HV10" s="18" t="str">
        <f>('Desempeño profesional'!AA368)</f>
        <v>0</v>
      </c>
      <c r="HW10" s="22" t="str">
        <f>('Desempeño profesional'!AA374)</f>
        <v>0</v>
      </c>
      <c r="HY10" s="11"/>
      <c r="IB10" s="11"/>
      <c r="ID10" s="26" t="str">
        <f>('Desempeño profesional'!A368)</f>
        <v>0</v>
      </c>
      <c r="IE10" s="18" t="str">
        <f>('Desempeño profesional'!AB368)</f>
        <v>0</v>
      </c>
      <c r="IF10" s="22" t="str">
        <f>('Desempeño profesional'!AB374)</f>
        <v>0</v>
      </c>
      <c r="IH10" s="11"/>
      <c r="IK10" s="11"/>
      <c r="IM10" s="26" t="str">
        <f>('Desempeño profesional'!A368)</f>
        <v>0</v>
      </c>
      <c r="IN10" s="18" t="str">
        <f>('Desempeño profesional'!AC368)</f>
        <v>0</v>
      </c>
      <c r="IO10" s="22" t="str">
        <f>('Desempeño profesional'!AC374)</f>
        <v>0</v>
      </c>
      <c r="IQ10" s="11"/>
      <c r="IT10" s="11"/>
      <c r="IV10" s="26" t="str">
        <f>('Desempeño profesional'!A368)</f>
        <v>0</v>
      </c>
      <c r="IW10" s="18" t="str">
        <f>('Desempeño profesional'!AD368)</f>
        <v>0</v>
      </c>
      <c r="IX10" s="22" t="str">
        <f>('Desempeño profesional'!AD374)</f>
        <v>0</v>
      </c>
      <c r="IZ10" s="11"/>
      <c r="JC10" s="11"/>
      <c r="JE10" s="26" t="str">
        <f>('Desempeño profesional'!A368)</f>
        <v>0</v>
      </c>
      <c r="JF10" s="18" t="str">
        <f>('Desempeño profesional'!AE368)</f>
        <v>0</v>
      </c>
      <c r="JG10" s="22" t="str">
        <f>('Desempeño profesional'!AE374)</f>
        <v>0</v>
      </c>
      <c r="JI10" s="11"/>
      <c r="JL10" s="11"/>
      <c r="JN10" s="26" t="str">
        <f>('Desempeño profesional'!A368)</f>
        <v>0</v>
      </c>
      <c r="JO10" s="18" t="str">
        <f>('Desempeño profesional'!AF368)</f>
        <v>0</v>
      </c>
      <c r="JP10" s="22" t="str">
        <f>('Desempeño profesional'!AF374)</f>
        <v>0</v>
      </c>
      <c r="JR10" s="11"/>
      <c r="JU10" s="11"/>
      <c r="JW10" s="26" t="str">
        <f>('Desempeño profesional'!A368)</f>
        <v>0</v>
      </c>
      <c r="JX10" s="18" t="str">
        <f>('Desempeño profesional'!AG368)</f>
        <v>0</v>
      </c>
      <c r="JY10" s="22" t="str">
        <f>('Desempeño profesional'!AG374)</f>
        <v>0</v>
      </c>
      <c r="KA10" s="11"/>
      <c r="KD10" s="11"/>
      <c r="KF10" s="26" t="str">
        <f>('Desempeño profesional'!A368)</f>
        <v>0</v>
      </c>
      <c r="KG10" s="18" t="str">
        <f>('Desempeño profesional'!AH368)</f>
        <v>0</v>
      </c>
      <c r="KH10" s="22" t="str">
        <f>('Desempeño profesional'!AH374)</f>
        <v>0</v>
      </c>
      <c r="KJ10" s="11"/>
      <c r="KM10" s="11"/>
      <c r="KO10" s="26" t="str">
        <f>('Desempeño profesional'!A368)</f>
        <v>0</v>
      </c>
      <c r="KP10" s="18" t="str">
        <f>('Desempeño profesional'!AI368)</f>
        <v>0</v>
      </c>
      <c r="KQ10" s="22" t="str">
        <f>('Desempeño profesional'!AI374)</f>
        <v>0</v>
      </c>
      <c r="KS10" s="11"/>
      <c r="KV10" s="11"/>
      <c r="KX10" s="26" t="str">
        <f>('Desempeño profesional'!A368)</f>
        <v>0</v>
      </c>
      <c r="KY10" s="18" t="str">
        <f>('Desempeño profesional'!AJ368)</f>
        <v>0</v>
      </c>
      <c r="KZ10" s="22" t="str">
        <f>('Desempeño profesional'!AJ374)</f>
        <v>0</v>
      </c>
      <c r="LB10" s="11"/>
      <c r="LE10" s="11"/>
      <c r="LG10" s="26" t="str">
        <f>('Desempeño profesional'!A368)</f>
        <v>0</v>
      </c>
      <c r="LH10" s="18" t="str">
        <f>('Desempeño profesional'!AK368)</f>
        <v>0</v>
      </c>
      <c r="LI10" s="22" t="str">
        <f>('Desempeño profesional'!AK374)</f>
        <v>0</v>
      </c>
      <c r="LK10" s="11"/>
      <c r="LN10" s="11"/>
      <c r="LP10" s="26" t="str">
        <f>('Desempeño profesional'!A368)</f>
        <v>0</v>
      </c>
      <c r="LQ10" s="18" t="str">
        <f>('Desempeño profesional'!AL368)</f>
        <v>0</v>
      </c>
      <c r="LR10" s="22" t="str">
        <f>('Desempeño profesional'!AL374)</f>
        <v>0</v>
      </c>
      <c r="LT10" s="11"/>
      <c r="LW10" s="11"/>
      <c r="LY10" s="26" t="str">
        <f>('Desempeño profesional'!A368)</f>
        <v>0</v>
      </c>
      <c r="LZ10" s="18" t="str">
        <f>('Desempeño profesional'!AM368)</f>
        <v>0</v>
      </c>
      <c r="MA10" s="22" t="str">
        <f>('Desempeño profesional'!AM374)</f>
        <v>0</v>
      </c>
      <c r="MC10" s="11"/>
      <c r="MF10" s="11"/>
      <c r="MH10" s="26" t="str">
        <f>('Desempeño profesional'!A368)</f>
        <v>0</v>
      </c>
      <c r="MI10" s="18" t="str">
        <f>('Desempeño profesional'!AN368)</f>
        <v>0</v>
      </c>
      <c r="MJ10" s="22" t="str">
        <f>('Desempeño profesional'!AN374)</f>
        <v>0</v>
      </c>
      <c r="ML10" s="11"/>
      <c r="MO10" s="11"/>
      <c r="MQ10" s="26" t="str">
        <f>('Desempeño profesional'!A368)</f>
        <v>0</v>
      </c>
      <c r="MR10" s="18" t="str">
        <f>('Desempeño profesional'!AO368)</f>
        <v>0</v>
      </c>
      <c r="MS10" s="22" t="str">
        <f>('Desempeño profesional'!AO374)</f>
        <v>0</v>
      </c>
      <c r="MU10" s="11"/>
    </row>
    <row r="11" spans="1:359">
      <c r="B11" s="11"/>
      <c r="D11" s="26" t="str">
        <f>('Desempeño profesional'!A369)</f>
        <v>0</v>
      </c>
      <c r="E11" s="18" t="str">
        <f>('Desempeño profesional'!B369)</f>
        <v>0</v>
      </c>
      <c r="F11" s="22" t="str">
        <f>('Desempeño profesional'!B375)</f>
        <v>0</v>
      </c>
      <c r="H11" s="11"/>
      <c r="K11" s="11"/>
      <c r="M11" s="26" t="str">
        <f>('Desempeño profesional'!A369)</f>
        <v>0</v>
      </c>
      <c r="N11" s="18" t="str">
        <f>('Desempeño profesional'!C369)</f>
        <v>0</v>
      </c>
      <c r="O11" s="22" t="str">
        <f>('Desempeño profesional'!C375)</f>
        <v>0</v>
      </c>
      <c r="Q11" s="11"/>
      <c r="T11" s="11"/>
      <c r="V11" s="26" t="str">
        <f>('Desempeño profesional'!A369)</f>
        <v>0</v>
      </c>
      <c r="W11" s="18" t="str">
        <f>('Desempeño profesional'!D369)</f>
        <v>0</v>
      </c>
      <c r="X11" s="22" t="str">
        <f>('Desempeño profesional'!D375)</f>
        <v>0</v>
      </c>
      <c r="Z11" s="11"/>
      <c r="AC11" s="11"/>
      <c r="AE11" s="26" t="str">
        <f>('Desempeño profesional'!A369)</f>
        <v>0</v>
      </c>
      <c r="AF11" s="18" t="str">
        <f>('Desempeño profesional'!E369)</f>
        <v>0</v>
      </c>
      <c r="AG11" s="22" t="str">
        <f>('Desempeño profesional'!E375)</f>
        <v>0</v>
      </c>
      <c r="AI11" s="11"/>
      <c r="AL11" s="11"/>
      <c r="AN11" s="26" t="str">
        <f>('Desempeño profesional'!A369)</f>
        <v>0</v>
      </c>
      <c r="AO11" s="18" t="str">
        <f>('Desempeño profesional'!F369)</f>
        <v>0</v>
      </c>
      <c r="AP11" s="22" t="str">
        <f>('Desempeño profesional'!F375)</f>
        <v>0</v>
      </c>
      <c r="AR11" s="11"/>
      <c r="AU11" s="11"/>
      <c r="AW11" s="26" t="str">
        <f>('Desempeño profesional'!A369)</f>
        <v>0</v>
      </c>
      <c r="AX11" s="18" t="str">
        <f>('Desempeño profesional'!G369)</f>
        <v>0</v>
      </c>
      <c r="AY11" s="22" t="str">
        <f>('Desempeño profesional'!G375)</f>
        <v>0</v>
      </c>
      <c r="BA11" s="11"/>
      <c r="BD11" s="11"/>
      <c r="BF11" s="26" t="str">
        <f>('Desempeño profesional'!A369)</f>
        <v>0</v>
      </c>
      <c r="BG11" s="18" t="str">
        <f>('Desempeño profesional'!H369)</f>
        <v>0</v>
      </c>
      <c r="BH11" s="22" t="str">
        <f>('Desempeño profesional'!H375)</f>
        <v>0</v>
      </c>
      <c r="BJ11" s="11"/>
      <c r="BM11" s="11"/>
      <c r="BO11" s="26" t="str">
        <f>('Desempeño profesional'!A369)</f>
        <v>0</v>
      </c>
      <c r="BP11" s="18" t="str">
        <f>('Desempeño profesional'!I369)</f>
        <v>0</v>
      </c>
      <c r="BQ11" s="22" t="str">
        <f>('Desempeño profesional'!I375)</f>
        <v>0</v>
      </c>
      <c r="BS11" s="11"/>
      <c r="BV11" s="11"/>
      <c r="BX11" s="26" t="str">
        <f>('Desempeño profesional'!A369)</f>
        <v>0</v>
      </c>
      <c r="BY11" s="18" t="str">
        <f>('Desempeño profesional'!J369)</f>
        <v>0</v>
      </c>
      <c r="BZ11" s="22" t="str">
        <f>('Desempeño profesional'!J375)</f>
        <v>0</v>
      </c>
      <c r="CB11" s="11"/>
      <c r="CE11" s="11"/>
      <c r="CG11" s="26" t="str">
        <f>('Desempeño profesional'!A369)</f>
        <v>0</v>
      </c>
      <c r="CH11" s="18" t="str">
        <f>('Desempeño profesional'!K369)</f>
        <v>0</v>
      </c>
      <c r="CI11" s="22" t="str">
        <f>('Desempeño profesional'!K375)</f>
        <v>0</v>
      </c>
      <c r="CK11" s="11"/>
      <c r="CN11" s="11"/>
      <c r="CP11" s="26" t="str">
        <f>('Desempeño profesional'!A369)</f>
        <v>0</v>
      </c>
      <c r="CQ11" s="18" t="str">
        <f>('Desempeño profesional'!L369)</f>
        <v>0</v>
      </c>
      <c r="CR11" s="22" t="str">
        <f>('Desempeño profesional'!L375)</f>
        <v>0</v>
      </c>
      <c r="CT11" s="11"/>
      <c r="CW11" s="11"/>
      <c r="CY11" s="26" t="str">
        <f>('Desempeño profesional'!A369)</f>
        <v>0</v>
      </c>
      <c r="CZ11" s="18" t="str">
        <f>('Desempeño profesional'!M369)</f>
        <v>0</v>
      </c>
      <c r="DA11" s="22" t="str">
        <f>('Desempeño profesional'!M375)</f>
        <v>0</v>
      </c>
      <c r="DC11" s="11"/>
      <c r="DF11" s="11"/>
      <c r="DH11" s="26" t="str">
        <f>('Desempeño profesional'!A369)</f>
        <v>0</v>
      </c>
      <c r="DI11" s="18" t="str">
        <f>('Desempeño profesional'!N369)</f>
        <v>0</v>
      </c>
      <c r="DJ11" s="22" t="str">
        <f>('Desempeño profesional'!N375)</f>
        <v>0</v>
      </c>
      <c r="DL11" s="11"/>
      <c r="DO11" s="11"/>
      <c r="DQ11" s="26" t="str">
        <f>('Desempeño profesional'!A369)</f>
        <v>0</v>
      </c>
      <c r="DR11" s="18" t="str">
        <f>('Desempeño profesional'!O369)</f>
        <v>0</v>
      </c>
      <c r="DS11" s="22" t="str">
        <f>('Desempeño profesional'!O375)</f>
        <v>0</v>
      </c>
      <c r="DU11" s="11"/>
      <c r="DX11" s="11"/>
      <c r="DZ11" s="26" t="str">
        <f>('Desempeño profesional'!A369)</f>
        <v>0</v>
      </c>
      <c r="EA11" s="18" t="str">
        <f>('Desempeño profesional'!P369)</f>
        <v>0</v>
      </c>
      <c r="EB11" s="22" t="str">
        <f>('Desempeño profesional'!P375)</f>
        <v>0</v>
      </c>
      <c r="ED11" s="11"/>
      <c r="EG11" s="11"/>
      <c r="EI11" s="26" t="str">
        <f>('Desempeño profesional'!A369)</f>
        <v>0</v>
      </c>
      <c r="EJ11" s="18" t="str">
        <f>('Desempeño profesional'!Q369)</f>
        <v>0</v>
      </c>
      <c r="EK11" s="22" t="str">
        <f>('Desempeño profesional'!Q375)</f>
        <v>0</v>
      </c>
      <c r="EM11" s="11"/>
      <c r="EP11" s="11"/>
      <c r="ER11" s="26" t="str">
        <f>('Desempeño profesional'!A369)</f>
        <v>0</v>
      </c>
      <c r="ES11" s="18" t="str">
        <f>('Desempeño profesional'!R369)</f>
        <v>0</v>
      </c>
      <c r="ET11" s="22" t="str">
        <f>('Desempeño profesional'!R375)</f>
        <v>0</v>
      </c>
      <c r="EV11" s="11"/>
      <c r="EY11" s="11"/>
      <c r="FA11" s="26" t="str">
        <f>('Desempeño profesional'!A369)</f>
        <v>0</v>
      </c>
      <c r="FB11" s="18" t="str">
        <f>('Desempeño profesional'!S369)</f>
        <v>0</v>
      </c>
      <c r="FC11" s="22" t="str">
        <f>('Desempeño profesional'!S375)</f>
        <v>0</v>
      </c>
      <c r="FE11" s="11"/>
      <c r="FH11" s="11"/>
      <c r="FJ11" s="26" t="str">
        <f>('Desempeño profesional'!A369)</f>
        <v>0</v>
      </c>
      <c r="FK11" s="18" t="str">
        <f>('Desempeño profesional'!T369)</f>
        <v>0</v>
      </c>
      <c r="FL11" s="22" t="str">
        <f>('Desempeño profesional'!T375)</f>
        <v>0</v>
      </c>
      <c r="FN11" s="11"/>
      <c r="FQ11" s="11"/>
      <c r="FS11" s="26" t="str">
        <f>('Desempeño profesional'!A369)</f>
        <v>0</v>
      </c>
      <c r="FT11" s="18" t="str">
        <f>('Desempeño profesional'!U369)</f>
        <v>0</v>
      </c>
      <c r="FU11" s="22" t="str">
        <f>('Desempeño profesional'!U375)</f>
        <v>0</v>
      </c>
      <c r="FW11" s="11"/>
      <c r="FZ11" s="11"/>
      <c r="GB11" s="26" t="str">
        <f>('Desempeño profesional'!A369)</f>
        <v>0</v>
      </c>
      <c r="GC11" s="18" t="str">
        <f>('Desempeño profesional'!V369)</f>
        <v>0</v>
      </c>
      <c r="GD11" s="22" t="str">
        <f>('Desempeño profesional'!V375)</f>
        <v>0</v>
      </c>
      <c r="GF11" s="11"/>
      <c r="GI11" s="11"/>
      <c r="GK11" s="26" t="str">
        <f>('Desempeño profesional'!A369)</f>
        <v>0</v>
      </c>
      <c r="GL11" s="18" t="str">
        <f>('Desempeño profesional'!W369)</f>
        <v>0</v>
      </c>
      <c r="GM11" s="22" t="str">
        <f>('Desempeño profesional'!W375)</f>
        <v>0</v>
      </c>
      <c r="GO11" s="11"/>
      <c r="GR11" s="11"/>
      <c r="GT11" s="26" t="str">
        <f>('Desempeño profesional'!A369)</f>
        <v>0</v>
      </c>
      <c r="GU11" s="18" t="str">
        <f>('Desempeño profesional'!X369)</f>
        <v>0</v>
      </c>
      <c r="GV11" s="22" t="str">
        <f>('Desempeño profesional'!X375)</f>
        <v>0</v>
      </c>
      <c r="GX11" s="11"/>
      <c r="HA11" s="11"/>
      <c r="HC11" s="26" t="str">
        <f>('Desempeño profesional'!A369)</f>
        <v>0</v>
      </c>
      <c r="HD11" s="18" t="str">
        <f>('Desempeño profesional'!Y369)</f>
        <v>0</v>
      </c>
      <c r="HE11" s="22" t="str">
        <f>('Desempeño profesional'!Y375)</f>
        <v>0</v>
      </c>
      <c r="HG11" s="11"/>
      <c r="HJ11" s="11"/>
      <c r="HL11" s="26" t="str">
        <f>('Desempeño profesional'!A369)</f>
        <v>0</v>
      </c>
      <c r="HM11" s="18" t="str">
        <f>('Desempeño profesional'!Z369)</f>
        <v>0</v>
      </c>
      <c r="HN11" s="22" t="str">
        <f>('Desempeño profesional'!Z375)</f>
        <v>0</v>
      </c>
      <c r="HP11" s="11"/>
      <c r="HS11" s="11"/>
      <c r="HU11" s="26" t="str">
        <f>('Desempeño profesional'!A369)</f>
        <v>0</v>
      </c>
      <c r="HV11" s="18" t="str">
        <f>('Desempeño profesional'!AA369)</f>
        <v>0</v>
      </c>
      <c r="HW11" s="22" t="str">
        <f>('Desempeño profesional'!AA375)</f>
        <v>0</v>
      </c>
      <c r="HY11" s="11"/>
      <c r="IB11" s="11"/>
      <c r="ID11" s="26" t="str">
        <f>('Desempeño profesional'!A369)</f>
        <v>0</v>
      </c>
      <c r="IE11" s="18" t="str">
        <f>('Desempeño profesional'!AB369)</f>
        <v>0</v>
      </c>
      <c r="IF11" s="22" t="str">
        <f>('Desempeño profesional'!AB375)</f>
        <v>0</v>
      </c>
      <c r="IH11" s="11"/>
      <c r="IK11" s="11"/>
      <c r="IM11" s="26" t="str">
        <f>('Desempeño profesional'!A369)</f>
        <v>0</v>
      </c>
      <c r="IN11" s="18" t="str">
        <f>('Desempeño profesional'!AC369)</f>
        <v>0</v>
      </c>
      <c r="IO11" s="22" t="str">
        <f>('Desempeño profesional'!AC375)</f>
        <v>0</v>
      </c>
      <c r="IQ11" s="11"/>
      <c r="IT11" s="11"/>
      <c r="IV11" s="26" t="str">
        <f>('Desempeño profesional'!A369)</f>
        <v>0</v>
      </c>
      <c r="IW11" s="18" t="str">
        <f>('Desempeño profesional'!AD369)</f>
        <v>0</v>
      </c>
      <c r="IX11" s="22" t="str">
        <f>('Desempeño profesional'!AD375)</f>
        <v>0</v>
      </c>
      <c r="IZ11" s="11"/>
      <c r="JC11" s="11"/>
      <c r="JE11" s="26" t="str">
        <f>('Desempeño profesional'!A369)</f>
        <v>0</v>
      </c>
      <c r="JF11" s="18" t="str">
        <f>('Desempeño profesional'!AE369)</f>
        <v>0</v>
      </c>
      <c r="JG11" s="22" t="str">
        <f>('Desempeño profesional'!AE375)</f>
        <v>0</v>
      </c>
      <c r="JI11" s="11"/>
      <c r="JL11" s="11"/>
      <c r="JN11" s="26" t="str">
        <f>('Desempeño profesional'!A369)</f>
        <v>0</v>
      </c>
      <c r="JO11" s="18" t="str">
        <f>('Desempeño profesional'!AF369)</f>
        <v>0</v>
      </c>
      <c r="JP11" s="22" t="str">
        <f>('Desempeño profesional'!AF375)</f>
        <v>0</v>
      </c>
      <c r="JR11" s="11"/>
      <c r="JU11" s="11"/>
      <c r="JW11" s="26" t="str">
        <f>('Desempeño profesional'!A369)</f>
        <v>0</v>
      </c>
      <c r="JX11" s="18" t="str">
        <f>('Desempeño profesional'!AG369)</f>
        <v>0</v>
      </c>
      <c r="JY11" s="22" t="str">
        <f>('Desempeño profesional'!AG375)</f>
        <v>0</v>
      </c>
      <c r="KA11" s="11"/>
      <c r="KD11" s="11"/>
      <c r="KF11" s="26" t="str">
        <f>('Desempeño profesional'!A369)</f>
        <v>0</v>
      </c>
      <c r="KG11" s="18" t="str">
        <f>('Desempeño profesional'!AH369)</f>
        <v>0</v>
      </c>
      <c r="KH11" s="22" t="str">
        <f>('Desempeño profesional'!AH375)</f>
        <v>0</v>
      </c>
      <c r="KJ11" s="11"/>
      <c r="KM11" s="11"/>
      <c r="KO11" s="26" t="str">
        <f>('Desempeño profesional'!A369)</f>
        <v>0</v>
      </c>
      <c r="KP11" s="18" t="str">
        <f>('Desempeño profesional'!AI369)</f>
        <v>0</v>
      </c>
      <c r="KQ11" s="22" t="str">
        <f>('Desempeño profesional'!AI375)</f>
        <v>0</v>
      </c>
      <c r="KS11" s="11"/>
      <c r="KV11" s="11"/>
      <c r="KX11" s="26" t="str">
        <f>('Desempeño profesional'!A369)</f>
        <v>0</v>
      </c>
      <c r="KY11" s="18" t="str">
        <f>('Desempeño profesional'!AJ369)</f>
        <v>0</v>
      </c>
      <c r="KZ11" s="22" t="str">
        <f>('Desempeño profesional'!AJ375)</f>
        <v>0</v>
      </c>
      <c r="LB11" s="11"/>
      <c r="LE11" s="11"/>
      <c r="LG11" s="26" t="str">
        <f>('Desempeño profesional'!A369)</f>
        <v>0</v>
      </c>
      <c r="LH11" s="18" t="str">
        <f>('Desempeño profesional'!AK369)</f>
        <v>0</v>
      </c>
      <c r="LI11" s="22" t="str">
        <f>('Desempeño profesional'!AK375)</f>
        <v>0</v>
      </c>
      <c r="LK11" s="11"/>
      <c r="LN11" s="11"/>
      <c r="LP11" s="26" t="str">
        <f>('Desempeño profesional'!A369)</f>
        <v>0</v>
      </c>
      <c r="LQ11" s="18" t="str">
        <f>('Desempeño profesional'!AL369)</f>
        <v>0</v>
      </c>
      <c r="LR11" s="22" t="str">
        <f>('Desempeño profesional'!AL375)</f>
        <v>0</v>
      </c>
      <c r="LT11" s="11"/>
      <c r="LW11" s="11"/>
      <c r="LY11" s="26" t="str">
        <f>('Desempeño profesional'!A369)</f>
        <v>0</v>
      </c>
      <c r="LZ11" s="18" t="str">
        <f>('Desempeño profesional'!AM369)</f>
        <v>0</v>
      </c>
      <c r="MA11" s="22" t="str">
        <f>('Desempeño profesional'!AM375)</f>
        <v>0</v>
      </c>
      <c r="MC11" s="11"/>
      <c r="MF11" s="11"/>
      <c r="MH11" s="26" t="str">
        <f>('Desempeño profesional'!A369)</f>
        <v>0</v>
      </c>
      <c r="MI11" s="18" t="str">
        <f>('Desempeño profesional'!AN369)</f>
        <v>0</v>
      </c>
      <c r="MJ11" s="22" t="str">
        <f>('Desempeño profesional'!AN375)</f>
        <v>0</v>
      </c>
      <c r="ML11" s="11"/>
      <c r="MO11" s="11"/>
      <c r="MQ11" s="26" t="str">
        <f>('Desempeño profesional'!A369)</f>
        <v>0</v>
      </c>
      <c r="MR11" s="18" t="str">
        <f>('Desempeño profesional'!AO369)</f>
        <v>0</v>
      </c>
      <c r="MS11" s="22" t="str">
        <f>('Desempeño profesional'!AO375)</f>
        <v>0</v>
      </c>
      <c r="MU11" s="11"/>
    </row>
    <row r="12" spans="1:359">
      <c r="B12" s="11"/>
      <c r="D12" s="26" t="str">
        <f>('Desempeño profesional'!A370)</f>
        <v>0</v>
      </c>
      <c r="E12" s="18" t="str">
        <f>('Desempeño profesional'!B370)</f>
        <v>0</v>
      </c>
      <c r="F12" s="22" t="str">
        <f>('Desempeño profesional'!B376)</f>
        <v>0</v>
      </c>
      <c r="H12" s="11"/>
      <c r="K12" s="11"/>
      <c r="M12" s="26" t="str">
        <f>('Desempeño profesional'!A370)</f>
        <v>0</v>
      </c>
      <c r="N12" s="18" t="str">
        <f>('Desempeño profesional'!C370)</f>
        <v>0</v>
      </c>
      <c r="O12" s="22" t="str">
        <f>('Desempeño profesional'!C376)</f>
        <v>0</v>
      </c>
      <c r="Q12" s="11"/>
      <c r="T12" s="11"/>
      <c r="V12" s="26" t="str">
        <f>('Desempeño profesional'!A370)</f>
        <v>0</v>
      </c>
      <c r="W12" s="18" t="str">
        <f>('Desempeño profesional'!D370)</f>
        <v>0</v>
      </c>
      <c r="X12" s="22" t="str">
        <f>('Desempeño profesional'!D376)</f>
        <v>0</v>
      </c>
      <c r="Z12" s="11"/>
      <c r="AC12" s="11"/>
      <c r="AE12" s="26" t="str">
        <f>('Desempeño profesional'!A370)</f>
        <v>0</v>
      </c>
      <c r="AF12" s="18" t="str">
        <f>('Desempeño profesional'!E370)</f>
        <v>0</v>
      </c>
      <c r="AG12" s="22" t="str">
        <f>('Desempeño profesional'!E376)</f>
        <v>0</v>
      </c>
      <c r="AI12" s="11"/>
      <c r="AL12" s="11"/>
      <c r="AN12" s="26" t="str">
        <f>('Desempeño profesional'!A370)</f>
        <v>0</v>
      </c>
      <c r="AO12" s="18" t="str">
        <f>('Desempeño profesional'!F370)</f>
        <v>0</v>
      </c>
      <c r="AP12" s="22" t="str">
        <f>('Desempeño profesional'!F376)</f>
        <v>0</v>
      </c>
      <c r="AR12" s="11"/>
      <c r="AU12" s="11"/>
      <c r="AW12" s="26" t="str">
        <f>('Desempeño profesional'!A370)</f>
        <v>0</v>
      </c>
      <c r="AX12" s="18" t="str">
        <f>('Desempeño profesional'!G370)</f>
        <v>0</v>
      </c>
      <c r="AY12" s="22" t="str">
        <f>('Desempeño profesional'!G376)</f>
        <v>0</v>
      </c>
      <c r="BA12" s="11"/>
      <c r="BD12" s="11"/>
      <c r="BF12" s="26" t="str">
        <f>('Desempeño profesional'!A370)</f>
        <v>0</v>
      </c>
      <c r="BG12" s="18" t="str">
        <f>('Desempeño profesional'!H370)</f>
        <v>0</v>
      </c>
      <c r="BH12" s="22" t="str">
        <f>('Desempeño profesional'!H376)</f>
        <v>0</v>
      </c>
      <c r="BJ12" s="11"/>
      <c r="BM12" s="11"/>
      <c r="BO12" s="26" t="str">
        <f>('Desempeño profesional'!A370)</f>
        <v>0</v>
      </c>
      <c r="BP12" s="18" t="str">
        <f>('Desempeño profesional'!I370)</f>
        <v>0</v>
      </c>
      <c r="BQ12" s="22" t="str">
        <f>('Desempeño profesional'!I376)</f>
        <v>0</v>
      </c>
      <c r="BS12" s="11"/>
      <c r="BV12" s="11"/>
      <c r="BX12" s="26" t="str">
        <f>('Desempeño profesional'!A370)</f>
        <v>0</v>
      </c>
      <c r="BY12" s="18" t="str">
        <f>('Desempeño profesional'!J370)</f>
        <v>0</v>
      </c>
      <c r="BZ12" s="22" t="str">
        <f>('Desempeño profesional'!J376)</f>
        <v>0</v>
      </c>
      <c r="CB12" s="11"/>
      <c r="CE12" s="11"/>
      <c r="CG12" s="26" t="str">
        <f>('Desempeño profesional'!A370)</f>
        <v>0</v>
      </c>
      <c r="CH12" s="18" t="str">
        <f>('Desempeño profesional'!K370)</f>
        <v>0</v>
      </c>
      <c r="CI12" s="22" t="str">
        <f>('Desempeño profesional'!K376)</f>
        <v>0</v>
      </c>
      <c r="CK12" s="11"/>
      <c r="CN12" s="11"/>
      <c r="CP12" s="26" t="str">
        <f>('Desempeño profesional'!A370)</f>
        <v>0</v>
      </c>
      <c r="CQ12" s="18" t="str">
        <f>('Desempeño profesional'!L370)</f>
        <v>0</v>
      </c>
      <c r="CR12" s="22" t="str">
        <f>('Desempeño profesional'!L376)</f>
        <v>0</v>
      </c>
      <c r="CT12" s="11"/>
      <c r="CW12" s="11"/>
      <c r="CY12" s="26" t="str">
        <f>('Desempeño profesional'!A370)</f>
        <v>0</v>
      </c>
      <c r="CZ12" s="18" t="str">
        <f>('Desempeño profesional'!M370)</f>
        <v>0</v>
      </c>
      <c r="DA12" s="22" t="str">
        <f>('Desempeño profesional'!M376)</f>
        <v>0</v>
      </c>
      <c r="DC12" s="11"/>
      <c r="DF12" s="11"/>
      <c r="DH12" s="26" t="str">
        <f>('Desempeño profesional'!A370)</f>
        <v>0</v>
      </c>
      <c r="DI12" s="18" t="str">
        <f>('Desempeño profesional'!N370)</f>
        <v>0</v>
      </c>
      <c r="DJ12" s="22" t="str">
        <f>('Desempeño profesional'!N376)</f>
        <v>0</v>
      </c>
      <c r="DL12" s="11"/>
      <c r="DO12" s="11"/>
      <c r="DQ12" s="26" t="str">
        <f>('Desempeño profesional'!A370)</f>
        <v>0</v>
      </c>
      <c r="DR12" s="18" t="str">
        <f>('Desempeño profesional'!O370)</f>
        <v>0</v>
      </c>
      <c r="DS12" s="22" t="str">
        <f>('Desempeño profesional'!O376)</f>
        <v>0</v>
      </c>
      <c r="DU12" s="11"/>
      <c r="DX12" s="11"/>
      <c r="DZ12" s="26" t="str">
        <f>('Desempeño profesional'!A370)</f>
        <v>0</v>
      </c>
      <c r="EA12" s="18" t="str">
        <f>('Desempeño profesional'!P370)</f>
        <v>0</v>
      </c>
      <c r="EB12" s="22" t="str">
        <f>('Desempeño profesional'!P376)</f>
        <v>0</v>
      </c>
      <c r="ED12" s="11"/>
      <c r="EG12" s="11"/>
      <c r="EI12" s="26" t="str">
        <f>('Desempeño profesional'!A370)</f>
        <v>0</v>
      </c>
      <c r="EJ12" s="18" t="str">
        <f>('Desempeño profesional'!Q370)</f>
        <v>0</v>
      </c>
      <c r="EK12" s="22" t="str">
        <f>('Desempeño profesional'!Q376)</f>
        <v>0</v>
      </c>
      <c r="EM12" s="11"/>
      <c r="EP12" s="11"/>
      <c r="ER12" s="26" t="str">
        <f>('Desempeño profesional'!A370)</f>
        <v>0</v>
      </c>
      <c r="ES12" s="18" t="str">
        <f>('Desempeño profesional'!R370)</f>
        <v>0</v>
      </c>
      <c r="ET12" s="22" t="str">
        <f>('Desempeño profesional'!R376)</f>
        <v>0</v>
      </c>
      <c r="EV12" s="11"/>
      <c r="EY12" s="11"/>
      <c r="FA12" s="26" t="str">
        <f>('Desempeño profesional'!A370)</f>
        <v>0</v>
      </c>
      <c r="FB12" s="18" t="str">
        <f>('Desempeño profesional'!S370)</f>
        <v>0</v>
      </c>
      <c r="FC12" s="22" t="str">
        <f>('Desempeño profesional'!S376)</f>
        <v>0</v>
      </c>
      <c r="FE12" s="11"/>
      <c r="FH12" s="11"/>
      <c r="FJ12" s="26" t="str">
        <f>('Desempeño profesional'!A370)</f>
        <v>0</v>
      </c>
      <c r="FK12" s="18" t="str">
        <f>('Desempeño profesional'!T370)</f>
        <v>0</v>
      </c>
      <c r="FL12" s="22" t="str">
        <f>('Desempeño profesional'!T376)</f>
        <v>0</v>
      </c>
      <c r="FN12" s="11"/>
      <c r="FQ12" s="11"/>
      <c r="FS12" s="26" t="str">
        <f>('Desempeño profesional'!A370)</f>
        <v>0</v>
      </c>
      <c r="FT12" s="18" t="str">
        <f>('Desempeño profesional'!U370)</f>
        <v>0</v>
      </c>
      <c r="FU12" s="22" t="str">
        <f>('Desempeño profesional'!U376)</f>
        <v>0</v>
      </c>
      <c r="FW12" s="11"/>
      <c r="FZ12" s="11"/>
      <c r="GB12" s="26" t="str">
        <f>('Desempeño profesional'!A370)</f>
        <v>0</v>
      </c>
      <c r="GC12" s="18" t="str">
        <f>('Desempeño profesional'!V370)</f>
        <v>0</v>
      </c>
      <c r="GD12" s="22" t="str">
        <f>('Desempeño profesional'!V376)</f>
        <v>0</v>
      </c>
      <c r="GF12" s="11"/>
      <c r="GI12" s="11"/>
      <c r="GK12" s="26" t="str">
        <f>('Desempeño profesional'!A370)</f>
        <v>0</v>
      </c>
      <c r="GL12" s="18" t="str">
        <f>('Desempeño profesional'!W370)</f>
        <v>0</v>
      </c>
      <c r="GM12" s="22" t="str">
        <f>('Desempeño profesional'!W376)</f>
        <v>0</v>
      </c>
      <c r="GO12" s="11"/>
      <c r="GR12" s="11"/>
      <c r="GT12" s="26" t="str">
        <f>('Desempeño profesional'!A370)</f>
        <v>0</v>
      </c>
      <c r="GU12" s="18" t="str">
        <f>('Desempeño profesional'!X370)</f>
        <v>0</v>
      </c>
      <c r="GV12" s="22" t="str">
        <f>('Desempeño profesional'!X376)</f>
        <v>0</v>
      </c>
      <c r="GX12" s="11"/>
      <c r="HA12" s="11"/>
      <c r="HC12" s="26" t="str">
        <f>('Desempeño profesional'!A370)</f>
        <v>0</v>
      </c>
      <c r="HD12" s="18" t="str">
        <f>('Desempeño profesional'!Y370)</f>
        <v>0</v>
      </c>
      <c r="HE12" s="22" t="str">
        <f>('Desempeño profesional'!Y376)</f>
        <v>0</v>
      </c>
      <c r="HG12" s="11"/>
      <c r="HJ12" s="11"/>
      <c r="HL12" s="26" t="str">
        <f>('Desempeño profesional'!A370)</f>
        <v>0</v>
      </c>
      <c r="HM12" s="18" t="str">
        <f>('Desempeño profesional'!Z370)</f>
        <v>0</v>
      </c>
      <c r="HN12" s="22" t="str">
        <f>('Desempeño profesional'!Z376)</f>
        <v>0</v>
      </c>
      <c r="HP12" s="11"/>
      <c r="HS12" s="11"/>
      <c r="HU12" s="26" t="str">
        <f>('Desempeño profesional'!A370)</f>
        <v>0</v>
      </c>
      <c r="HV12" s="18" t="str">
        <f>('Desempeño profesional'!AA370)</f>
        <v>0</v>
      </c>
      <c r="HW12" s="22" t="str">
        <f>('Desempeño profesional'!AA376)</f>
        <v>0</v>
      </c>
      <c r="HY12" s="11"/>
      <c r="IB12" s="11"/>
      <c r="ID12" s="26" t="str">
        <f>('Desempeño profesional'!A370)</f>
        <v>0</v>
      </c>
      <c r="IE12" s="18" t="str">
        <f>('Desempeño profesional'!AB370)</f>
        <v>0</v>
      </c>
      <c r="IF12" s="22" t="str">
        <f>('Desempeño profesional'!AB376)</f>
        <v>0</v>
      </c>
      <c r="IH12" s="11"/>
      <c r="IK12" s="11"/>
      <c r="IM12" s="26" t="str">
        <f>('Desempeño profesional'!A370)</f>
        <v>0</v>
      </c>
      <c r="IN12" s="18" t="str">
        <f>('Desempeño profesional'!AC370)</f>
        <v>0</v>
      </c>
      <c r="IO12" s="22" t="str">
        <f>('Desempeño profesional'!AC376)</f>
        <v>0</v>
      </c>
      <c r="IQ12" s="11"/>
      <c r="IT12" s="11"/>
      <c r="IV12" s="26" t="str">
        <f>('Desempeño profesional'!A370)</f>
        <v>0</v>
      </c>
      <c r="IW12" s="18" t="str">
        <f>('Desempeño profesional'!AD370)</f>
        <v>0</v>
      </c>
      <c r="IX12" s="22" t="str">
        <f>('Desempeño profesional'!AD376)</f>
        <v>0</v>
      </c>
      <c r="IZ12" s="11"/>
      <c r="JC12" s="11"/>
      <c r="JE12" s="26" t="str">
        <f>('Desempeño profesional'!A370)</f>
        <v>0</v>
      </c>
      <c r="JF12" s="18" t="str">
        <f>('Desempeño profesional'!AE370)</f>
        <v>0</v>
      </c>
      <c r="JG12" s="22" t="str">
        <f>('Desempeño profesional'!AE376)</f>
        <v>0</v>
      </c>
      <c r="JI12" s="11"/>
      <c r="JL12" s="11"/>
      <c r="JN12" s="26" t="str">
        <f>('Desempeño profesional'!A370)</f>
        <v>0</v>
      </c>
      <c r="JO12" s="18" t="str">
        <f>('Desempeño profesional'!AF370)</f>
        <v>0</v>
      </c>
      <c r="JP12" s="22" t="str">
        <f>('Desempeño profesional'!AF376)</f>
        <v>0</v>
      </c>
      <c r="JR12" s="11"/>
      <c r="JU12" s="11"/>
      <c r="JW12" s="26" t="str">
        <f>('Desempeño profesional'!A370)</f>
        <v>0</v>
      </c>
      <c r="JX12" s="18" t="str">
        <f>('Desempeño profesional'!AG370)</f>
        <v>0</v>
      </c>
      <c r="JY12" s="22" t="str">
        <f>('Desempeño profesional'!AG376)</f>
        <v>0</v>
      </c>
      <c r="KA12" s="11"/>
      <c r="KD12" s="11"/>
      <c r="KF12" s="26" t="str">
        <f>('Desempeño profesional'!A370)</f>
        <v>0</v>
      </c>
      <c r="KG12" s="18" t="str">
        <f>('Desempeño profesional'!AH370)</f>
        <v>0</v>
      </c>
      <c r="KH12" s="22" t="str">
        <f>('Desempeño profesional'!AH376)</f>
        <v>0</v>
      </c>
      <c r="KJ12" s="11"/>
      <c r="KM12" s="11"/>
      <c r="KO12" s="26" t="str">
        <f>('Desempeño profesional'!A370)</f>
        <v>0</v>
      </c>
      <c r="KP12" s="18" t="str">
        <f>('Desempeño profesional'!AI370)</f>
        <v>0</v>
      </c>
      <c r="KQ12" s="22" t="str">
        <f>('Desempeño profesional'!AI376)</f>
        <v>0</v>
      </c>
      <c r="KS12" s="11"/>
      <c r="KV12" s="11"/>
      <c r="KX12" s="26" t="str">
        <f>('Desempeño profesional'!A370)</f>
        <v>0</v>
      </c>
      <c r="KY12" s="18" t="str">
        <f>('Desempeño profesional'!AJ370)</f>
        <v>0</v>
      </c>
      <c r="KZ12" s="22" t="str">
        <f>('Desempeño profesional'!AJ376)</f>
        <v>0</v>
      </c>
      <c r="LB12" s="11"/>
      <c r="LE12" s="11"/>
      <c r="LG12" s="26" t="str">
        <f>('Desempeño profesional'!A370)</f>
        <v>0</v>
      </c>
      <c r="LH12" s="18" t="str">
        <f>('Desempeño profesional'!AK370)</f>
        <v>0</v>
      </c>
      <c r="LI12" s="22" t="str">
        <f>('Desempeño profesional'!AK376)</f>
        <v>0</v>
      </c>
      <c r="LK12" s="11"/>
      <c r="LN12" s="11"/>
      <c r="LP12" s="26" t="str">
        <f>('Desempeño profesional'!A370)</f>
        <v>0</v>
      </c>
      <c r="LQ12" s="18" t="str">
        <f>('Desempeño profesional'!AL370)</f>
        <v>0</v>
      </c>
      <c r="LR12" s="22" t="str">
        <f>('Desempeño profesional'!AL376)</f>
        <v>0</v>
      </c>
      <c r="LT12" s="11"/>
      <c r="LW12" s="11"/>
      <c r="LY12" s="26" t="str">
        <f>('Desempeño profesional'!A370)</f>
        <v>0</v>
      </c>
      <c r="LZ12" s="18" t="str">
        <f>('Desempeño profesional'!AM370)</f>
        <v>0</v>
      </c>
      <c r="MA12" s="22" t="str">
        <f>('Desempeño profesional'!AM376)</f>
        <v>0</v>
      </c>
      <c r="MC12" s="11"/>
      <c r="MF12" s="11"/>
      <c r="MH12" s="26" t="str">
        <f>('Desempeño profesional'!A370)</f>
        <v>0</v>
      </c>
      <c r="MI12" s="18" t="str">
        <f>('Desempeño profesional'!AN370)</f>
        <v>0</v>
      </c>
      <c r="MJ12" s="22" t="str">
        <f>('Desempeño profesional'!AN376)</f>
        <v>0</v>
      </c>
      <c r="ML12" s="11"/>
      <c r="MO12" s="11"/>
      <c r="MQ12" s="26" t="str">
        <f>('Desempeño profesional'!A370)</f>
        <v>0</v>
      </c>
      <c r="MR12" s="18" t="str">
        <f>('Desempeño profesional'!AO370)</f>
        <v>0</v>
      </c>
      <c r="MS12" s="22" t="str">
        <f>('Desempeño profesional'!AO376)</f>
        <v>0</v>
      </c>
      <c r="MU12" s="11"/>
    </row>
    <row r="13" spans="1:359">
      <c r="B13" s="11"/>
      <c r="D13" s="32" t="str">
        <f>('Desempeño profesional'!A371)</f>
        <v>0</v>
      </c>
      <c r="E13" s="19" t="str">
        <f>('Desempeño profesional'!B371)</f>
        <v>0</v>
      </c>
      <c r="F13" s="23" t="str">
        <f>('Desempeño profesional'!B377)</f>
        <v>0</v>
      </c>
      <c r="H13" s="11"/>
      <c r="K13" s="11"/>
      <c r="M13" s="32" t="str">
        <f>('Desempeño profesional'!A371)</f>
        <v>0</v>
      </c>
      <c r="N13" s="19" t="str">
        <f>('Desempeño profesional'!C371)</f>
        <v>0</v>
      </c>
      <c r="O13" s="23" t="str">
        <f>('Desempeño profesional'!C377)</f>
        <v>0</v>
      </c>
      <c r="Q13" s="11"/>
      <c r="T13" s="11"/>
      <c r="V13" s="32" t="str">
        <f>('Desempeño profesional'!A371)</f>
        <v>0</v>
      </c>
      <c r="W13" s="19" t="str">
        <f>('Desempeño profesional'!D371)</f>
        <v>0</v>
      </c>
      <c r="X13" s="23" t="str">
        <f>('Desempeño profesional'!D377)</f>
        <v>0</v>
      </c>
      <c r="Z13" s="11"/>
      <c r="AC13" s="11"/>
      <c r="AE13" s="32" t="str">
        <f>('Desempeño profesional'!A371)</f>
        <v>0</v>
      </c>
      <c r="AF13" s="19" t="str">
        <f>('Desempeño profesional'!E371)</f>
        <v>0</v>
      </c>
      <c r="AG13" s="23" t="str">
        <f>('Desempeño profesional'!E377)</f>
        <v>0</v>
      </c>
      <c r="AI13" s="11"/>
      <c r="AL13" s="11"/>
      <c r="AN13" s="32" t="str">
        <f>('Desempeño profesional'!A371)</f>
        <v>0</v>
      </c>
      <c r="AO13" s="19" t="str">
        <f>('Desempeño profesional'!F371)</f>
        <v>0</v>
      </c>
      <c r="AP13" s="23" t="str">
        <f>('Desempeño profesional'!F377)</f>
        <v>0</v>
      </c>
      <c r="AR13" s="11"/>
      <c r="AU13" s="11"/>
      <c r="AW13" s="32" t="str">
        <f>('Desempeño profesional'!A371)</f>
        <v>0</v>
      </c>
      <c r="AX13" s="19" t="str">
        <f>('Desempeño profesional'!G371)</f>
        <v>0</v>
      </c>
      <c r="AY13" s="23" t="str">
        <f>('Desempeño profesional'!G377)</f>
        <v>0</v>
      </c>
      <c r="BA13" s="11"/>
      <c r="BD13" s="11"/>
      <c r="BF13" s="32" t="str">
        <f>('Desempeño profesional'!A371)</f>
        <v>0</v>
      </c>
      <c r="BG13" s="19" t="str">
        <f>('Desempeño profesional'!H371)</f>
        <v>0</v>
      </c>
      <c r="BH13" s="23" t="str">
        <f>('Desempeño profesional'!H377)</f>
        <v>0</v>
      </c>
      <c r="BJ13" s="11"/>
      <c r="BM13" s="11"/>
      <c r="BO13" s="32" t="str">
        <f>('Desempeño profesional'!A371)</f>
        <v>0</v>
      </c>
      <c r="BP13" s="19" t="str">
        <f>('Desempeño profesional'!I371)</f>
        <v>0</v>
      </c>
      <c r="BQ13" s="23" t="str">
        <f>('Desempeño profesional'!I377)</f>
        <v>0</v>
      </c>
      <c r="BS13" s="11"/>
      <c r="BV13" s="11"/>
      <c r="BX13" s="32" t="str">
        <f>('Desempeño profesional'!A371)</f>
        <v>0</v>
      </c>
      <c r="BY13" s="19" t="str">
        <f>('Desempeño profesional'!J371)</f>
        <v>0</v>
      </c>
      <c r="BZ13" s="23" t="str">
        <f>('Desempeño profesional'!J377)</f>
        <v>0</v>
      </c>
      <c r="CB13" s="11"/>
      <c r="CE13" s="11"/>
      <c r="CG13" s="32" t="str">
        <f>('Desempeño profesional'!A371)</f>
        <v>0</v>
      </c>
      <c r="CH13" s="19" t="str">
        <f>('Desempeño profesional'!K371)</f>
        <v>0</v>
      </c>
      <c r="CI13" s="23" t="str">
        <f>('Desempeño profesional'!K377)</f>
        <v>0</v>
      </c>
      <c r="CK13" s="11"/>
      <c r="CN13" s="11"/>
      <c r="CP13" s="32" t="str">
        <f>('Desempeño profesional'!A371)</f>
        <v>0</v>
      </c>
      <c r="CQ13" s="19" t="str">
        <f>('Desempeño profesional'!L371)</f>
        <v>0</v>
      </c>
      <c r="CR13" s="23" t="str">
        <f>('Desempeño profesional'!L377)</f>
        <v>0</v>
      </c>
      <c r="CT13" s="11"/>
      <c r="CW13" s="11"/>
      <c r="CY13" s="32" t="str">
        <f>('Desempeño profesional'!A371)</f>
        <v>0</v>
      </c>
      <c r="CZ13" s="19" t="str">
        <f>('Desempeño profesional'!M371)</f>
        <v>0</v>
      </c>
      <c r="DA13" s="23" t="str">
        <f>('Desempeño profesional'!M377)</f>
        <v>0</v>
      </c>
      <c r="DC13" s="11"/>
      <c r="DF13" s="11"/>
      <c r="DH13" s="32" t="str">
        <f>('Desempeño profesional'!A371)</f>
        <v>0</v>
      </c>
      <c r="DI13" s="19" t="str">
        <f>('Desempeño profesional'!N371)</f>
        <v>0</v>
      </c>
      <c r="DJ13" s="23" t="str">
        <f>('Desempeño profesional'!N377)</f>
        <v>0</v>
      </c>
      <c r="DL13" s="11"/>
      <c r="DO13" s="11"/>
      <c r="DQ13" s="32" t="str">
        <f>('Desempeño profesional'!A371)</f>
        <v>0</v>
      </c>
      <c r="DR13" s="19" t="str">
        <f>('Desempeño profesional'!O371)</f>
        <v>0</v>
      </c>
      <c r="DS13" s="23" t="str">
        <f>('Desempeño profesional'!O377)</f>
        <v>0</v>
      </c>
      <c r="DU13" s="11"/>
      <c r="DX13" s="11"/>
      <c r="DZ13" s="32" t="str">
        <f>('Desempeño profesional'!A371)</f>
        <v>0</v>
      </c>
      <c r="EA13" s="19" t="str">
        <f>('Desempeño profesional'!P371)</f>
        <v>0</v>
      </c>
      <c r="EB13" s="23" t="str">
        <f>('Desempeño profesional'!P377)</f>
        <v>0</v>
      </c>
      <c r="ED13" s="11"/>
      <c r="EG13" s="11"/>
      <c r="EI13" s="32" t="str">
        <f>('Desempeño profesional'!A371)</f>
        <v>0</v>
      </c>
      <c r="EJ13" s="19" t="str">
        <f>('Desempeño profesional'!Q371)</f>
        <v>0</v>
      </c>
      <c r="EK13" s="23" t="str">
        <f>('Desempeño profesional'!Q377)</f>
        <v>0</v>
      </c>
      <c r="EM13" s="11"/>
      <c r="EP13" s="11"/>
      <c r="ER13" s="32" t="str">
        <f>('Desempeño profesional'!A371)</f>
        <v>0</v>
      </c>
      <c r="ES13" s="19" t="str">
        <f>('Desempeño profesional'!R371)</f>
        <v>0</v>
      </c>
      <c r="ET13" s="23" t="str">
        <f>('Desempeño profesional'!R377)</f>
        <v>0</v>
      </c>
      <c r="EV13" s="11"/>
      <c r="EY13" s="11"/>
      <c r="FA13" s="32" t="str">
        <f>('Desempeño profesional'!A371)</f>
        <v>0</v>
      </c>
      <c r="FB13" s="19" t="str">
        <f>('Desempeño profesional'!S371)</f>
        <v>0</v>
      </c>
      <c r="FC13" s="23" t="str">
        <f>('Desempeño profesional'!S377)</f>
        <v>0</v>
      </c>
      <c r="FE13" s="11"/>
      <c r="FH13" s="11"/>
      <c r="FJ13" s="32" t="str">
        <f>('Desempeño profesional'!A371)</f>
        <v>0</v>
      </c>
      <c r="FK13" s="19" t="str">
        <f>('Desempeño profesional'!T371)</f>
        <v>0</v>
      </c>
      <c r="FL13" s="23" t="str">
        <f>('Desempeño profesional'!T377)</f>
        <v>0</v>
      </c>
      <c r="FN13" s="11"/>
      <c r="FQ13" s="11"/>
      <c r="FS13" s="32" t="str">
        <f>('Desempeño profesional'!A371)</f>
        <v>0</v>
      </c>
      <c r="FT13" s="19" t="str">
        <f>('Desempeño profesional'!U371)</f>
        <v>0</v>
      </c>
      <c r="FU13" s="23" t="str">
        <f>('Desempeño profesional'!U377)</f>
        <v>0</v>
      </c>
      <c r="FW13" s="11"/>
      <c r="FZ13" s="11"/>
      <c r="GB13" s="32" t="str">
        <f>('Desempeño profesional'!A371)</f>
        <v>0</v>
      </c>
      <c r="GC13" s="19" t="str">
        <f>('Desempeño profesional'!V371)</f>
        <v>0</v>
      </c>
      <c r="GD13" s="23" t="str">
        <f>('Desempeño profesional'!V377)</f>
        <v>0</v>
      </c>
      <c r="GF13" s="11"/>
      <c r="GI13" s="11"/>
      <c r="GK13" s="32" t="str">
        <f>('Desempeño profesional'!A371)</f>
        <v>0</v>
      </c>
      <c r="GL13" s="19" t="str">
        <f>('Desempeño profesional'!W371)</f>
        <v>0</v>
      </c>
      <c r="GM13" s="23" t="str">
        <f>('Desempeño profesional'!W377)</f>
        <v>0</v>
      </c>
      <c r="GO13" s="11"/>
      <c r="GR13" s="11"/>
      <c r="GT13" s="32" t="str">
        <f>('Desempeño profesional'!A371)</f>
        <v>0</v>
      </c>
      <c r="GU13" s="19" t="str">
        <f>('Desempeño profesional'!X371)</f>
        <v>0</v>
      </c>
      <c r="GV13" s="23" t="str">
        <f>('Desempeño profesional'!X377)</f>
        <v>0</v>
      </c>
      <c r="GX13" s="11"/>
      <c r="HA13" s="11"/>
      <c r="HC13" s="32" t="str">
        <f>('Desempeño profesional'!A371)</f>
        <v>0</v>
      </c>
      <c r="HD13" s="19" t="str">
        <f>('Desempeño profesional'!Y371)</f>
        <v>0</v>
      </c>
      <c r="HE13" s="23" t="str">
        <f>('Desempeño profesional'!Y377)</f>
        <v>0</v>
      </c>
      <c r="HG13" s="11"/>
      <c r="HJ13" s="11"/>
      <c r="HL13" s="32" t="str">
        <f>('Desempeño profesional'!A371)</f>
        <v>0</v>
      </c>
      <c r="HM13" s="19" t="str">
        <f>('Desempeño profesional'!Z371)</f>
        <v>0</v>
      </c>
      <c r="HN13" s="23" t="str">
        <f>('Desempeño profesional'!Z377)</f>
        <v>0</v>
      </c>
      <c r="HP13" s="11"/>
      <c r="HS13" s="11"/>
      <c r="HU13" s="32" t="str">
        <f>('Desempeño profesional'!A371)</f>
        <v>0</v>
      </c>
      <c r="HV13" s="19" t="str">
        <f>('Desempeño profesional'!AA371)</f>
        <v>0</v>
      </c>
      <c r="HW13" s="23" t="str">
        <f>('Desempeño profesional'!AA377)</f>
        <v>0</v>
      </c>
      <c r="HY13" s="11"/>
      <c r="IB13" s="11"/>
      <c r="ID13" s="32" t="str">
        <f>('Desempeño profesional'!A371)</f>
        <v>0</v>
      </c>
      <c r="IE13" s="19" t="str">
        <f>('Desempeño profesional'!AB371)</f>
        <v>0</v>
      </c>
      <c r="IF13" s="23" t="str">
        <f>('Desempeño profesional'!AB377)</f>
        <v>0</v>
      </c>
      <c r="IH13" s="11"/>
      <c r="IK13" s="11"/>
      <c r="IM13" s="32" t="str">
        <f>('Desempeño profesional'!A371)</f>
        <v>0</v>
      </c>
      <c r="IN13" s="19" t="str">
        <f>('Desempeño profesional'!AC371)</f>
        <v>0</v>
      </c>
      <c r="IO13" s="23" t="str">
        <f>('Desempeño profesional'!AC377)</f>
        <v>0</v>
      </c>
      <c r="IQ13" s="11"/>
      <c r="IT13" s="11"/>
      <c r="IV13" s="32" t="str">
        <f>('Desempeño profesional'!A371)</f>
        <v>0</v>
      </c>
      <c r="IW13" s="19" t="str">
        <f>('Desempeño profesional'!AD371)</f>
        <v>0</v>
      </c>
      <c r="IX13" s="23" t="str">
        <f>('Desempeño profesional'!AD377)</f>
        <v>0</v>
      </c>
      <c r="IZ13" s="11"/>
      <c r="JC13" s="11"/>
      <c r="JE13" s="32" t="str">
        <f>('Desempeño profesional'!A371)</f>
        <v>0</v>
      </c>
      <c r="JF13" s="19" t="str">
        <f>('Desempeño profesional'!AE371)</f>
        <v>0</v>
      </c>
      <c r="JG13" s="23" t="str">
        <f>('Desempeño profesional'!AE377)</f>
        <v>0</v>
      </c>
      <c r="JI13" s="11"/>
      <c r="JL13" s="11"/>
      <c r="JN13" s="32" t="str">
        <f>('Desempeño profesional'!A371)</f>
        <v>0</v>
      </c>
      <c r="JO13" s="19" t="str">
        <f>('Desempeño profesional'!AF371)</f>
        <v>0</v>
      </c>
      <c r="JP13" s="23" t="str">
        <f>('Desempeño profesional'!AF377)</f>
        <v>0</v>
      </c>
      <c r="JR13" s="11"/>
      <c r="JU13" s="11"/>
      <c r="JW13" s="32" t="str">
        <f>('Desempeño profesional'!A371)</f>
        <v>0</v>
      </c>
      <c r="JX13" s="19" t="str">
        <f>('Desempeño profesional'!AG371)</f>
        <v>0</v>
      </c>
      <c r="JY13" s="23" t="str">
        <f>('Desempeño profesional'!AG377)</f>
        <v>0</v>
      </c>
      <c r="KA13" s="11"/>
      <c r="KD13" s="11"/>
      <c r="KF13" s="32" t="str">
        <f>('Desempeño profesional'!A371)</f>
        <v>0</v>
      </c>
      <c r="KG13" s="19" t="str">
        <f>('Desempeño profesional'!AH371)</f>
        <v>0</v>
      </c>
      <c r="KH13" s="23" t="str">
        <f>('Desempeño profesional'!AH377)</f>
        <v>0</v>
      </c>
      <c r="KJ13" s="11"/>
      <c r="KM13" s="11"/>
      <c r="KO13" s="32" t="str">
        <f>('Desempeño profesional'!A371)</f>
        <v>0</v>
      </c>
      <c r="KP13" s="19" t="str">
        <f>('Desempeño profesional'!AI371)</f>
        <v>0</v>
      </c>
      <c r="KQ13" s="23" t="str">
        <f>('Desempeño profesional'!AI377)</f>
        <v>0</v>
      </c>
      <c r="KS13" s="11"/>
      <c r="KV13" s="11"/>
      <c r="KX13" s="32" t="str">
        <f>('Desempeño profesional'!A371)</f>
        <v>0</v>
      </c>
      <c r="KY13" s="19" t="str">
        <f>('Desempeño profesional'!AJ371)</f>
        <v>0</v>
      </c>
      <c r="KZ13" s="23" t="str">
        <f>('Desempeño profesional'!AJ377)</f>
        <v>0</v>
      </c>
      <c r="LB13" s="11"/>
      <c r="LE13" s="11"/>
      <c r="LG13" s="32" t="str">
        <f>('Desempeño profesional'!A371)</f>
        <v>0</v>
      </c>
      <c r="LH13" s="19" t="str">
        <f>('Desempeño profesional'!AK371)</f>
        <v>0</v>
      </c>
      <c r="LI13" s="23" t="str">
        <f>('Desempeño profesional'!AK377)</f>
        <v>0</v>
      </c>
      <c r="LK13" s="11"/>
      <c r="LN13" s="11"/>
      <c r="LP13" s="32" t="str">
        <f>('Desempeño profesional'!A371)</f>
        <v>0</v>
      </c>
      <c r="LQ13" s="19" t="str">
        <f>('Desempeño profesional'!AL371)</f>
        <v>0</v>
      </c>
      <c r="LR13" s="23" t="str">
        <f>('Desempeño profesional'!AL377)</f>
        <v>0</v>
      </c>
      <c r="LT13" s="11"/>
      <c r="LW13" s="11"/>
      <c r="LY13" s="32" t="str">
        <f>('Desempeño profesional'!A371)</f>
        <v>0</v>
      </c>
      <c r="LZ13" s="19" t="str">
        <f>('Desempeño profesional'!AM371)</f>
        <v>0</v>
      </c>
      <c r="MA13" s="23" t="str">
        <f>('Desempeño profesional'!AM377)</f>
        <v>0</v>
      </c>
      <c r="MC13" s="11"/>
      <c r="MF13" s="11"/>
      <c r="MH13" s="32" t="str">
        <f>('Desempeño profesional'!A371)</f>
        <v>0</v>
      </c>
      <c r="MI13" s="19" t="str">
        <f>('Desempeño profesional'!AN371)</f>
        <v>0</v>
      </c>
      <c r="MJ13" s="23" t="str">
        <f>('Desempeño profesional'!AN377)</f>
        <v>0</v>
      </c>
      <c r="ML13" s="11"/>
      <c r="MO13" s="11"/>
      <c r="MQ13" s="32" t="str">
        <f>('Desempeño profesional'!A371)</f>
        <v>0</v>
      </c>
      <c r="MR13" s="19" t="str">
        <f>('Desempeño profesional'!AO371)</f>
        <v>0</v>
      </c>
      <c r="MS13" s="23" t="str">
        <f>('Desempeño profesional'!AO377)</f>
        <v>0</v>
      </c>
      <c r="MU13" s="11"/>
    </row>
    <row r="14" spans="1:359">
      <c r="B14" s="11"/>
      <c r="D14" s="10" t="s">
        <v>428</v>
      </c>
      <c r="H14" s="11"/>
      <c r="K14" s="11"/>
      <c r="M14" s="10" t="s">
        <v>428</v>
      </c>
      <c r="Q14" s="11"/>
      <c r="T14" s="11"/>
      <c r="V14" s="10" t="s">
        <v>428</v>
      </c>
      <c r="Z14" s="11"/>
      <c r="AC14" s="11"/>
      <c r="AE14" s="10" t="s">
        <v>428</v>
      </c>
      <c r="AI14" s="11"/>
      <c r="AL14" s="11"/>
      <c r="AN14" s="10" t="s">
        <v>428</v>
      </c>
      <c r="AR14" s="11"/>
      <c r="AU14" s="11"/>
      <c r="AW14" s="10" t="s">
        <v>428</v>
      </c>
      <c r="BA14" s="11"/>
      <c r="BD14" s="11"/>
      <c r="BF14" s="10" t="s">
        <v>428</v>
      </c>
      <c r="BJ14" s="11"/>
      <c r="BM14" s="11"/>
      <c r="BO14" s="10" t="s">
        <v>428</v>
      </c>
      <c r="BS14" s="11"/>
      <c r="BV14" s="11"/>
      <c r="BX14" s="10" t="s">
        <v>428</v>
      </c>
      <c r="CB14" s="11"/>
      <c r="CE14" s="11"/>
      <c r="CG14" s="10" t="s">
        <v>428</v>
      </c>
      <c r="CK14" s="11"/>
      <c r="CN14" s="11"/>
      <c r="CP14" s="10" t="s">
        <v>428</v>
      </c>
      <c r="CT14" s="11"/>
      <c r="CW14" s="11"/>
      <c r="CY14" s="10" t="s">
        <v>428</v>
      </c>
      <c r="DC14" s="11"/>
      <c r="DF14" s="11"/>
      <c r="DH14" s="10" t="s">
        <v>428</v>
      </c>
      <c r="DL14" s="11"/>
      <c r="DO14" s="11"/>
      <c r="DQ14" s="10" t="s">
        <v>428</v>
      </c>
      <c r="DU14" s="11"/>
      <c r="DX14" s="11"/>
      <c r="DZ14" s="10" t="s">
        <v>428</v>
      </c>
      <c r="ED14" s="11"/>
      <c r="EG14" s="11"/>
      <c r="EI14" s="10" t="s">
        <v>428</v>
      </c>
      <c r="EM14" s="11"/>
      <c r="EP14" s="11"/>
      <c r="ER14" s="10" t="s">
        <v>428</v>
      </c>
      <c r="EV14" s="11"/>
      <c r="EY14" s="11"/>
      <c r="FA14" s="10" t="s">
        <v>428</v>
      </c>
      <c r="FE14" s="11"/>
      <c r="FH14" s="11"/>
      <c r="FJ14" s="10" t="s">
        <v>428</v>
      </c>
      <c r="FN14" s="11"/>
      <c r="FQ14" s="11"/>
      <c r="FS14" s="10" t="s">
        <v>428</v>
      </c>
      <c r="FW14" s="11"/>
      <c r="FZ14" s="11"/>
      <c r="GB14" s="10" t="s">
        <v>428</v>
      </c>
      <c r="GF14" s="11"/>
      <c r="GI14" s="11"/>
      <c r="GK14" s="10" t="s">
        <v>428</v>
      </c>
      <c r="GO14" s="11"/>
      <c r="GR14" s="11"/>
      <c r="GT14" s="10" t="s">
        <v>428</v>
      </c>
      <c r="GX14" s="11"/>
      <c r="HA14" s="11"/>
      <c r="HC14" s="10" t="s">
        <v>428</v>
      </c>
      <c r="HG14" s="11"/>
      <c r="HJ14" s="11"/>
      <c r="HL14" s="10" t="s">
        <v>428</v>
      </c>
      <c r="HP14" s="11"/>
      <c r="HS14" s="11"/>
      <c r="HU14" s="10" t="s">
        <v>428</v>
      </c>
      <c r="HY14" s="11"/>
      <c r="IB14" s="11"/>
      <c r="ID14" s="10" t="s">
        <v>428</v>
      </c>
      <c r="IH14" s="11"/>
      <c r="IK14" s="11"/>
      <c r="IM14" s="10" t="s">
        <v>428</v>
      </c>
      <c r="IQ14" s="11"/>
      <c r="IT14" s="11"/>
      <c r="IV14" s="10" t="s">
        <v>428</v>
      </c>
      <c r="IZ14" s="11"/>
      <c r="JC14" s="11"/>
      <c r="JE14" s="10" t="s">
        <v>428</v>
      </c>
      <c r="JI14" s="11"/>
      <c r="JL14" s="11"/>
      <c r="JN14" s="10" t="s">
        <v>428</v>
      </c>
      <c r="JR14" s="11"/>
      <c r="JU14" s="11"/>
      <c r="JW14" s="10" t="s">
        <v>428</v>
      </c>
      <c r="KA14" s="11"/>
      <c r="KD14" s="11"/>
      <c r="KF14" s="10" t="s">
        <v>428</v>
      </c>
      <c r="KJ14" s="11"/>
      <c r="KM14" s="11"/>
      <c r="KO14" s="10" t="s">
        <v>428</v>
      </c>
      <c r="KS14" s="11"/>
      <c r="KV14" s="11"/>
      <c r="KX14" s="10" t="s">
        <v>428</v>
      </c>
      <c r="LB14" s="11"/>
      <c r="LE14" s="11"/>
      <c r="LG14" s="10" t="s">
        <v>428</v>
      </c>
      <c r="LK14" s="11"/>
      <c r="LN14" s="11"/>
      <c r="LP14" s="10" t="s">
        <v>428</v>
      </c>
      <c r="LT14" s="11"/>
      <c r="LW14" s="11"/>
      <c r="LY14" s="10" t="s">
        <v>428</v>
      </c>
      <c r="MC14" s="11"/>
      <c r="MF14" s="11"/>
      <c r="MH14" s="10" t="s">
        <v>428</v>
      </c>
      <c r="ML14" s="11"/>
      <c r="MO14" s="11"/>
      <c r="MQ14" s="10" t="s">
        <v>428</v>
      </c>
      <c r="MU14" s="11"/>
    </row>
    <row r="15" spans="1:359">
      <c r="B15" s="11"/>
      <c r="D15" s="10" t="s">
        <v>427</v>
      </c>
      <c r="H15" s="11"/>
      <c r="K15" s="11"/>
      <c r="M15" s="10" t="s">
        <v>427</v>
      </c>
      <c r="Q15" s="11"/>
      <c r="T15" s="11"/>
      <c r="V15" s="10" t="s">
        <v>427</v>
      </c>
      <c r="Z15" s="11"/>
      <c r="AC15" s="11"/>
      <c r="AE15" s="10" t="s">
        <v>427</v>
      </c>
      <c r="AI15" s="11"/>
      <c r="AL15" s="11"/>
      <c r="AN15" s="10" t="s">
        <v>427</v>
      </c>
      <c r="AR15" s="11"/>
      <c r="AU15" s="11"/>
      <c r="AW15" s="10" t="s">
        <v>427</v>
      </c>
      <c r="BA15" s="11"/>
      <c r="BD15" s="11"/>
      <c r="BF15" s="10" t="s">
        <v>427</v>
      </c>
      <c r="BJ15" s="11"/>
      <c r="BM15" s="11"/>
      <c r="BO15" s="10" t="s">
        <v>427</v>
      </c>
      <c r="BS15" s="11"/>
      <c r="BV15" s="11"/>
      <c r="BX15" s="10" t="s">
        <v>427</v>
      </c>
      <c r="CB15" s="11"/>
      <c r="CE15" s="11"/>
      <c r="CG15" s="10" t="s">
        <v>427</v>
      </c>
      <c r="CK15" s="11"/>
      <c r="CN15" s="11"/>
      <c r="CP15" s="10" t="s">
        <v>427</v>
      </c>
      <c r="CT15" s="11"/>
      <c r="CW15" s="11"/>
      <c r="CY15" s="10" t="s">
        <v>427</v>
      </c>
      <c r="DC15" s="11"/>
      <c r="DF15" s="11"/>
      <c r="DH15" s="10" t="s">
        <v>427</v>
      </c>
      <c r="DL15" s="11"/>
      <c r="DO15" s="11"/>
      <c r="DQ15" s="10" t="s">
        <v>427</v>
      </c>
      <c r="DU15" s="11"/>
      <c r="DX15" s="11"/>
      <c r="DZ15" s="10" t="s">
        <v>427</v>
      </c>
      <c r="ED15" s="11"/>
      <c r="EG15" s="11"/>
      <c r="EI15" s="10" t="s">
        <v>427</v>
      </c>
      <c r="EM15" s="11"/>
      <c r="EP15" s="11"/>
      <c r="ER15" s="10" t="s">
        <v>427</v>
      </c>
      <c r="EV15" s="11"/>
      <c r="EY15" s="11"/>
      <c r="FA15" s="10" t="s">
        <v>427</v>
      </c>
      <c r="FE15" s="11"/>
      <c r="FH15" s="11"/>
      <c r="FJ15" s="10" t="s">
        <v>427</v>
      </c>
      <c r="FN15" s="11"/>
      <c r="FQ15" s="11"/>
      <c r="FS15" s="10" t="s">
        <v>427</v>
      </c>
      <c r="FW15" s="11"/>
      <c r="FZ15" s="11"/>
      <c r="GB15" s="10" t="s">
        <v>427</v>
      </c>
      <c r="GF15" s="11"/>
      <c r="GI15" s="11"/>
      <c r="GK15" s="10" t="s">
        <v>427</v>
      </c>
      <c r="GO15" s="11"/>
      <c r="GR15" s="11"/>
      <c r="GT15" s="10" t="s">
        <v>427</v>
      </c>
      <c r="GX15" s="11"/>
      <c r="HA15" s="11"/>
      <c r="HC15" s="10" t="s">
        <v>427</v>
      </c>
      <c r="HG15" s="11"/>
      <c r="HJ15" s="11"/>
      <c r="HL15" s="10" t="s">
        <v>427</v>
      </c>
      <c r="HP15" s="11"/>
      <c r="HS15" s="11"/>
      <c r="HU15" s="10" t="s">
        <v>427</v>
      </c>
      <c r="HY15" s="11"/>
      <c r="IB15" s="11"/>
      <c r="ID15" s="10" t="s">
        <v>427</v>
      </c>
      <c r="IH15" s="11"/>
      <c r="IK15" s="11"/>
      <c r="IM15" s="10" t="s">
        <v>427</v>
      </c>
      <c r="IQ15" s="11"/>
      <c r="IT15" s="11"/>
      <c r="IV15" s="10" t="s">
        <v>427</v>
      </c>
      <c r="IZ15" s="11"/>
      <c r="JC15" s="11"/>
      <c r="JE15" s="10" t="s">
        <v>427</v>
      </c>
      <c r="JI15" s="11"/>
      <c r="JL15" s="11"/>
      <c r="JN15" s="10" t="s">
        <v>427</v>
      </c>
      <c r="JR15" s="11"/>
      <c r="JU15" s="11"/>
      <c r="JW15" s="10" t="s">
        <v>427</v>
      </c>
      <c r="KA15" s="11"/>
      <c r="KD15" s="11"/>
      <c r="KF15" s="10" t="s">
        <v>427</v>
      </c>
      <c r="KJ15" s="11"/>
      <c r="KM15" s="11"/>
      <c r="KO15" s="10" t="s">
        <v>427</v>
      </c>
      <c r="KS15" s="11"/>
      <c r="KV15" s="11"/>
      <c r="KX15" s="10" t="s">
        <v>427</v>
      </c>
      <c r="LB15" s="11"/>
      <c r="LE15" s="11"/>
      <c r="LG15" s="10" t="s">
        <v>427</v>
      </c>
      <c r="LK15" s="11"/>
      <c r="LN15" s="11"/>
      <c r="LP15" s="10" t="s">
        <v>427</v>
      </c>
      <c r="LT15" s="11"/>
      <c r="LW15" s="11"/>
      <c r="LY15" s="10" t="s">
        <v>427</v>
      </c>
      <c r="MC15" s="11"/>
      <c r="MF15" s="11"/>
      <c r="MH15" s="10" t="s">
        <v>427</v>
      </c>
      <c r="ML15" s="11"/>
      <c r="MO15" s="11"/>
      <c r="MQ15" s="10" t="s">
        <v>427</v>
      </c>
      <c r="MU15" s="11"/>
    </row>
    <row r="16" spans="1:359">
      <c r="B16" s="11"/>
      <c r="H16" s="11"/>
      <c r="K16" s="11"/>
      <c r="Q16" s="11"/>
      <c r="T16" s="11"/>
      <c r="Z16" s="11"/>
      <c r="AC16" s="11"/>
      <c r="AI16" s="11"/>
      <c r="AL16" s="11"/>
      <c r="AR16" s="11"/>
      <c r="AU16" s="11"/>
      <c r="BA16" s="11"/>
      <c r="BD16" s="11"/>
      <c r="BJ16" s="11"/>
      <c r="BM16" s="11"/>
      <c r="BS16" s="11"/>
      <c r="BV16" s="11"/>
      <c r="CB16" s="11"/>
      <c r="CE16" s="11"/>
      <c r="CK16" s="11"/>
      <c r="CN16" s="11"/>
      <c r="CT16" s="11"/>
      <c r="CW16" s="11"/>
      <c r="DC16" s="11"/>
      <c r="DF16" s="11"/>
      <c r="DL16" s="11"/>
      <c r="DO16" s="11"/>
      <c r="DU16" s="11"/>
      <c r="DX16" s="11"/>
      <c r="ED16" s="11"/>
      <c r="EG16" s="11"/>
      <c r="EM16" s="11"/>
      <c r="EP16" s="11"/>
      <c r="EV16" s="11"/>
      <c r="EY16" s="11"/>
      <c r="FE16" s="11"/>
      <c r="FH16" s="11"/>
      <c r="FN16" s="11"/>
      <c r="FQ16" s="11"/>
      <c r="FW16" s="11"/>
      <c r="FZ16" s="11"/>
      <c r="GF16" s="11"/>
      <c r="GI16" s="11"/>
      <c r="GO16" s="11"/>
      <c r="GR16" s="11"/>
      <c r="GX16" s="11"/>
      <c r="HA16" s="11"/>
      <c r="HG16" s="11"/>
      <c r="HJ16" s="11"/>
      <c r="HP16" s="11"/>
      <c r="HS16" s="11"/>
      <c r="HY16" s="11"/>
      <c r="IB16" s="11"/>
      <c r="IH16" s="11"/>
      <c r="IK16" s="11"/>
      <c r="IQ16" s="11"/>
      <c r="IT16" s="11"/>
      <c r="IZ16" s="11"/>
      <c r="JC16" s="11"/>
      <c r="JI16" s="11"/>
      <c r="JL16" s="11"/>
      <c r="JR16" s="11"/>
      <c r="JU16" s="11"/>
      <c r="KA16" s="11"/>
      <c r="KD16" s="11"/>
      <c r="KJ16" s="11"/>
      <c r="KM16" s="11"/>
      <c r="KS16" s="11"/>
      <c r="KV16" s="11"/>
      <c r="LB16" s="11"/>
      <c r="LE16" s="11"/>
      <c r="LK16" s="11"/>
      <c r="LN16" s="11"/>
      <c r="LT16" s="11"/>
      <c r="LW16" s="11"/>
      <c r="MC16" s="11"/>
      <c r="MF16" s="11"/>
      <c r="ML16" s="11"/>
      <c r="MO16" s="11"/>
      <c r="MU16" s="11"/>
    </row>
    <row r="17" spans="1:359">
      <c r="B17" s="11"/>
      <c r="H17" s="11"/>
      <c r="K17" s="11"/>
      <c r="Q17" s="11"/>
      <c r="T17" s="11"/>
      <c r="Z17" s="11"/>
      <c r="AC17" s="11"/>
      <c r="AI17" s="11"/>
      <c r="AL17" s="11"/>
      <c r="AR17" s="11"/>
      <c r="AU17" s="11"/>
      <c r="BA17" s="11"/>
      <c r="BD17" s="11"/>
      <c r="BJ17" s="11"/>
      <c r="BM17" s="11"/>
      <c r="BS17" s="11"/>
      <c r="BV17" s="11"/>
      <c r="CB17" s="11"/>
      <c r="CE17" s="11"/>
      <c r="CK17" s="11"/>
      <c r="CN17" s="11"/>
      <c r="CT17" s="11"/>
      <c r="CW17" s="11"/>
      <c r="DC17" s="11"/>
      <c r="DF17" s="11"/>
      <c r="DL17" s="11"/>
      <c r="DO17" s="11"/>
      <c r="DU17" s="11"/>
      <c r="DX17" s="11"/>
      <c r="ED17" s="11"/>
      <c r="EG17" s="11"/>
      <c r="EM17" s="11"/>
      <c r="EP17" s="11"/>
      <c r="EV17" s="11"/>
      <c r="EY17" s="11"/>
      <c r="FE17" s="11"/>
      <c r="FH17" s="11"/>
      <c r="FN17" s="11"/>
      <c r="FQ17" s="11"/>
      <c r="FW17" s="11"/>
      <c r="FZ17" s="11"/>
      <c r="GF17" s="11"/>
      <c r="GI17" s="11"/>
      <c r="GO17" s="11"/>
      <c r="GR17" s="11"/>
      <c r="GX17" s="11"/>
      <c r="HA17" s="11"/>
      <c r="HG17" s="11"/>
      <c r="HJ17" s="11"/>
      <c r="HP17" s="11"/>
      <c r="HS17" s="11"/>
      <c r="HY17" s="11"/>
      <c r="IB17" s="11"/>
      <c r="IH17" s="11"/>
      <c r="IK17" s="11"/>
      <c r="IQ17" s="11"/>
      <c r="IT17" s="11"/>
      <c r="IZ17" s="11"/>
      <c r="JC17" s="11"/>
      <c r="JI17" s="11"/>
      <c r="JL17" s="11"/>
      <c r="JR17" s="11"/>
      <c r="JU17" s="11"/>
      <c r="KA17" s="11"/>
      <c r="KD17" s="11"/>
      <c r="KJ17" s="11"/>
      <c r="KM17" s="11"/>
      <c r="KS17" s="11"/>
      <c r="KV17" s="11"/>
      <c r="LB17" s="11"/>
      <c r="LE17" s="11"/>
      <c r="LK17" s="11"/>
      <c r="LN17" s="11"/>
      <c r="LT17" s="11"/>
      <c r="LW17" s="11"/>
      <c r="MC17" s="11"/>
      <c r="MF17" s="11"/>
      <c r="ML17" s="11"/>
      <c r="MO17" s="11"/>
      <c r="MU17" s="11"/>
    </row>
    <row r="18" spans="1:359">
      <c r="B18" s="11"/>
      <c r="H18" s="11"/>
      <c r="K18" s="11"/>
      <c r="Q18" s="11"/>
      <c r="T18" s="11"/>
      <c r="Z18" s="11"/>
      <c r="AC18" s="11"/>
      <c r="AI18" s="11"/>
      <c r="AL18" s="11"/>
      <c r="AR18" s="11"/>
      <c r="AU18" s="11"/>
      <c r="BA18" s="11"/>
      <c r="BD18" s="11"/>
      <c r="BJ18" s="11"/>
      <c r="BM18" s="11"/>
      <c r="BS18" s="11"/>
      <c r="BV18" s="11"/>
      <c r="CB18" s="11"/>
      <c r="CE18" s="11"/>
      <c r="CK18" s="11"/>
      <c r="CN18" s="11"/>
      <c r="CT18" s="11"/>
      <c r="CW18" s="11"/>
      <c r="DC18" s="11"/>
      <c r="DF18" s="11"/>
      <c r="DL18" s="11"/>
      <c r="DO18" s="11"/>
      <c r="DU18" s="11"/>
      <c r="DX18" s="11"/>
      <c r="ED18" s="11"/>
      <c r="EG18" s="11"/>
      <c r="EM18" s="11"/>
      <c r="EP18" s="11"/>
      <c r="EV18" s="11"/>
      <c r="EY18" s="11"/>
      <c r="FE18" s="11"/>
      <c r="FH18" s="11"/>
      <c r="FN18" s="11"/>
      <c r="FQ18" s="11"/>
      <c r="FW18" s="11"/>
      <c r="FZ18" s="11"/>
      <c r="GF18" s="11"/>
      <c r="GI18" s="11"/>
      <c r="GO18" s="11"/>
      <c r="GR18" s="11"/>
      <c r="GX18" s="11"/>
      <c r="HA18" s="11"/>
      <c r="HG18" s="11"/>
      <c r="HJ18" s="11"/>
      <c r="HP18" s="11"/>
      <c r="HS18" s="11"/>
      <c r="HY18" s="11"/>
      <c r="IB18" s="11"/>
      <c r="IH18" s="11"/>
      <c r="IK18" s="11"/>
      <c r="IQ18" s="11"/>
      <c r="IT18" s="11"/>
      <c r="IZ18" s="11"/>
      <c r="JC18" s="11"/>
      <c r="JI18" s="11"/>
      <c r="JL18" s="11"/>
      <c r="JR18" s="11"/>
      <c r="JU18" s="11"/>
      <c r="KA18" s="11"/>
      <c r="KD18" s="11"/>
      <c r="KJ18" s="11"/>
      <c r="KM18" s="11"/>
      <c r="KS18" s="11"/>
      <c r="KV18" s="11"/>
      <c r="LB18" s="11"/>
      <c r="LE18" s="11"/>
      <c r="LK18" s="11"/>
      <c r="LN18" s="11"/>
      <c r="LT18" s="11"/>
      <c r="LW18" s="11"/>
      <c r="MC18" s="11"/>
      <c r="MF18" s="11"/>
      <c r="ML18" s="11"/>
      <c r="MO18" s="11"/>
      <c r="MU18" s="11"/>
    </row>
    <row r="19" spans="1:359">
      <c r="B19" s="11"/>
      <c r="H19" s="11"/>
      <c r="K19" s="11"/>
      <c r="Q19" s="11"/>
      <c r="T19" s="11"/>
      <c r="Z19" s="11"/>
      <c r="AC19" s="11"/>
      <c r="AI19" s="11"/>
      <c r="AL19" s="11"/>
      <c r="AR19" s="11"/>
      <c r="AU19" s="11"/>
      <c r="BA19" s="11"/>
      <c r="BD19" s="11"/>
      <c r="BJ19" s="11"/>
      <c r="BM19" s="11"/>
      <c r="BS19" s="11"/>
      <c r="BV19" s="11"/>
      <c r="CB19" s="11"/>
      <c r="CE19" s="11"/>
      <c r="CK19" s="11"/>
      <c r="CN19" s="11"/>
      <c r="CT19" s="11"/>
      <c r="CW19" s="11"/>
      <c r="DC19" s="11"/>
      <c r="DF19" s="11"/>
      <c r="DL19" s="11"/>
      <c r="DO19" s="11"/>
      <c r="DU19" s="11"/>
      <c r="DX19" s="11"/>
      <c r="ED19" s="11"/>
      <c r="EG19" s="11"/>
      <c r="EM19" s="11"/>
      <c r="EP19" s="11"/>
      <c r="EV19" s="11"/>
      <c r="EY19" s="11"/>
      <c r="FE19" s="11"/>
      <c r="FH19" s="11"/>
      <c r="FN19" s="11"/>
      <c r="FQ19" s="11"/>
      <c r="FW19" s="11"/>
      <c r="FZ19" s="11"/>
      <c r="GF19" s="11"/>
      <c r="GI19" s="11"/>
      <c r="GO19" s="11"/>
      <c r="GR19" s="11"/>
      <c r="GX19" s="11"/>
      <c r="HA19" s="11"/>
      <c r="HG19" s="11"/>
      <c r="HJ19" s="11"/>
      <c r="HP19" s="11"/>
      <c r="HS19" s="11"/>
      <c r="HY19" s="11"/>
      <c r="IB19" s="11"/>
      <c r="IH19" s="11"/>
      <c r="IK19" s="11"/>
      <c r="IQ19" s="11"/>
      <c r="IT19" s="11"/>
      <c r="IZ19" s="11"/>
      <c r="JC19" s="11"/>
      <c r="JI19" s="11"/>
      <c r="JL19" s="11"/>
      <c r="JR19" s="11"/>
      <c r="JU19" s="11"/>
      <c r="KA19" s="11"/>
      <c r="KD19" s="11"/>
      <c r="KJ19" s="11"/>
      <c r="KM19" s="11"/>
      <c r="KS19" s="11"/>
      <c r="KV19" s="11"/>
      <c r="LB19" s="11"/>
      <c r="LE19" s="11"/>
      <c r="LK19" s="11"/>
      <c r="LN19" s="11"/>
      <c r="LT19" s="11"/>
      <c r="LW19" s="11"/>
      <c r="MC19" s="11"/>
      <c r="MF19" s="11"/>
      <c r="ML19" s="11"/>
      <c r="MO19" s="11"/>
      <c r="MU19" s="11"/>
    </row>
    <row r="20" spans="1:359">
      <c r="B20" s="11"/>
      <c r="H20" s="11"/>
      <c r="K20" s="11"/>
      <c r="Q20" s="11"/>
      <c r="T20" s="11"/>
      <c r="Z20" s="11"/>
      <c r="AC20" s="11"/>
      <c r="AI20" s="11"/>
      <c r="AL20" s="11"/>
      <c r="AR20" s="11"/>
      <c r="AU20" s="11"/>
      <c r="BA20" s="11"/>
      <c r="BD20" s="11"/>
      <c r="BJ20" s="11"/>
      <c r="BM20" s="11"/>
      <c r="BS20" s="11"/>
      <c r="BV20" s="11"/>
      <c r="CB20" s="11"/>
      <c r="CE20" s="11"/>
      <c r="CK20" s="11"/>
      <c r="CN20" s="11"/>
      <c r="CT20" s="11"/>
      <c r="CW20" s="11"/>
      <c r="DC20" s="11"/>
      <c r="DF20" s="11"/>
      <c r="DL20" s="11"/>
      <c r="DO20" s="11"/>
      <c r="DU20" s="11"/>
      <c r="DX20" s="11"/>
      <c r="ED20" s="11"/>
      <c r="EG20" s="11"/>
      <c r="EM20" s="11"/>
      <c r="EP20" s="11"/>
      <c r="EV20" s="11"/>
      <c r="EY20" s="11"/>
      <c r="FE20" s="11"/>
      <c r="FH20" s="11"/>
      <c r="FN20" s="11"/>
      <c r="FQ20" s="11"/>
      <c r="FW20" s="11"/>
      <c r="FZ20" s="11"/>
      <c r="GF20" s="11"/>
      <c r="GI20" s="11"/>
      <c r="GO20" s="11"/>
      <c r="GR20" s="11"/>
      <c r="GX20" s="11"/>
      <c r="HA20" s="11"/>
      <c r="HG20" s="11"/>
      <c r="HJ20" s="11"/>
      <c r="HP20" s="11"/>
      <c r="HS20" s="11"/>
      <c r="HY20" s="11"/>
      <c r="IB20" s="11"/>
      <c r="IH20" s="11"/>
      <c r="IK20" s="11"/>
      <c r="IQ20" s="11"/>
      <c r="IT20" s="11"/>
      <c r="IZ20" s="11"/>
      <c r="JC20" s="11"/>
      <c r="JI20" s="11"/>
      <c r="JL20" s="11"/>
      <c r="JR20" s="11"/>
      <c r="JU20" s="11"/>
      <c r="KA20" s="11"/>
      <c r="KD20" s="11"/>
      <c r="KJ20" s="11"/>
      <c r="KM20" s="11"/>
      <c r="KS20" s="11"/>
      <c r="KV20" s="11"/>
      <c r="LB20" s="11"/>
      <c r="LE20" s="11"/>
      <c r="LK20" s="11"/>
      <c r="LN20" s="11"/>
      <c r="LT20" s="11"/>
      <c r="LW20" s="11"/>
      <c r="MC20" s="11"/>
      <c r="MF20" s="11"/>
      <c r="ML20" s="11"/>
      <c r="MO20" s="11"/>
      <c r="MU20" s="11"/>
    </row>
    <row r="21" spans="1:359">
      <c r="B21" s="11"/>
      <c r="H21" s="11"/>
      <c r="K21" s="11"/>
      <c r="Q21" s="11"/>
      <c r="T21" s="11"/>
      <c r="Z21" s="11"/>
      <c r="AC21" s="11"/>
      <c r="AI21" s="11"/>
      <c r="AL21" s="11"/>
      <c r="AR21" s="11"/>
      <c r="AU21" s="11"/>
      <c r="BA21" s="11"/>
      <c r="BD21" s="11"/>
      <c r="BJ21" s="11"/>
      <c r="BM21" s="11"/>
      <c r="BS21" s="11"/>
      <c r="BV21" s="11"/>
      <c r="CB21" s="11"/>
      <c r="CE21" s="11"/>
      <c r="CK21" s="11"/>
      <c r="CN21" s="11"/>
      <c r="CT21" s="11"/>
      <c r="CW21" s="11"/>
      <c r="DC21" s="11"/>
      <c r="DF21" s="11"/>
      <c r="DL21" s="11"/>
      <c r="DO21" s="11"/>
      <c r="DU21" s="11"/>
      <c r="DX21" s="11"/>
      <c r="ED21" s="11"/>
      <c r="EG21" s="11"/>
      <c r="EM21" s="11"/>
      <c r="EP21" s="11"/>
      <c r="EV21" s="11"/>
      <c r="EY21" s="11"/>
      <c r="FE21" s="11"/>
      <c r="FH21" s="11"/>
      <c r="FN21" s="11"/>
      <c r="FQ21" s="11"/>
      <c r="FW21" s="11"/>
      <c r="FZ21" s="11"/>
      <c r="GF21" s="11"/>
      <c r="GI21" s="11"/>
      <c r="GO21" s="11"/>
      <c r="GR21" s="11"/>
      <c r="GX21" s="11"/>
      <c r="HA21" s="11"/>
      <c r="HG21" s="11"/>
      <c r="HJ21" s="11"/>
      <c r="HP21" s="11"/>
      <c r="HS21" s="11"/>
      <c r="HY21" s="11"/>
      <c r="IB21" s="11"/>
      <c r="IH21" s="11"/>
      <c r="IK21" s="11"/>
      <c r="IQ21" s="11"/>
      <c r="IT21" s="11"/>
      <c r="IZ21" s="11"/>
      <c r="JC21" s="11"/>
      <c r="JI21" s="11"/>
      <c r="JL21" s="11"/>
      <c r="JR21" s="11"/>
      <c r="JU21" s="11"/>
      <c r="KA21" s="11"/>
      <c r="KD21" s="11"/>
      <c r="KJ21" s="11"/>
      <c r="KM21" s="11"/>
      <c r="KS21" s="11"/>
      <c r="KV21" s="11"/>
      <c r="LB21" s="11"/>
      <c r="LE21" s="11"/>
      <c r="LK21" s="11"/>
      <c r="LN21" s="11"/>
      <c r="LT21" s="11"/>
      <c r="LW21" s="11"/>
      <c r="MC21" s="11"/>
      <c r="MF21" s="11"/>
      <c r="ML21" s="11"/>
      <c r="MO21" s="11"/>
      <c r="MU21" s="11"/>
    </row>
    <row r="22" spans="1:359">
      <c r="B22" s="11"/>
      <c r="H22" s="11"/>
      <c r="K22" s="11"/>
      <c r="Q22" s="11"/>
      <c r="T22" s="11"/>
      <c r="Z22" s="11"/>
      <c r="AC22" s="11"/>
      <c r="AI22" s="11"/>
      <c r="AL22" s="11"/>
      <c r="AR22" s="11"/>
      <c r="AU22" s="11"/>
      <c r="BA22" s="11"/>
      <c r="BD22" s="11"/>
      <c r="BJ22" s="11"/>
      <c r="BM22" s="11"/>
      <c r="BS22" s="11"/>
      <c r="BV22" s="11"/>
      <c r="CB22" s="11"/>
      <c r="CE22" s="11"/>
      <c r="CK22" s="11"/>
      <c r="CN22" s="11"/>
      <c r="CT22" s="11"/>
      <c r="CW22" s="11"/>
      <c r="DC22" s="11"/>
      <c r="DF22" s="11"/>
      <c r="DL22" s="11"/>
      <c r="DO22" s="11"/>
      <c r="DU22" s="11"/>
      <c r="DX22" s="11"/>
      <c r="ED22" s="11"/>
      <c r="EG22" s="11"/>
      <c r="EM22" s="11"/>
      <c r="EP22" s="11"/>
      <c r="EV22" s="11"/>
      <c r="EY22" s="11"/>
      <c r="FE22" s="11"/>
      <c r="FH22" s="11"/>
      <c r="FN22" s="11"/>
      <c r="FQ22" s="11"/>
      <c r="FW22" s="11"/>
      <c r="FZ22" s="11"/>
      <c r="GF22" s="11"/>
      <c r="GI22" s="11"/>
      <c r="GO22" s="11"/>
      <c r="GR22" s="11"/>
      <c r="GX22" s="11"/>
      <c r="HA22" s="11"/>
      <c r="HG22" s="11"/>
      <c r="HJ22" s="11"/>
      <c r="HP22" s="11"/>
      <c r="HS22" s="11"/>
      <c r="HY22" s="11"/>
      <c r="IB22" s="11"/>
      <c r="IH22" s="11"/>
      <c r="IK22" s="11"/>
      <c r="IQ22" s="11"/>
      <c r="IT22" s="11"/>
      <c r="IZ22" s="11"/>
      <c r="JC22" s="11"/>
      <c r="JI22" s="11"/>
      <c r="JL22" s="11"/>
      <c r="JR22" s="11"/>
      <c r="JU22" s="11"/>
      <c r="KA22" s="11"/>
      <c r="KD22" s="11"/>
      <c r="KJ22" s="11"/>
      <c r="KM22" s="11"/>
      <c r="KS22" s="11"/>
      <c r="KV22" s="11"/>
      <c r="LB22" s="11"/>
      <c r="LE22" s="11"/>
      <c r="LK22" s="11"/>
      <c r="LN22" s="11"/>
      <c r="LT22" s="11"/>
      <c r="LW22" s="11"/>
      <c r="MC22" s="11"/>
      <c r="MF22" s="11"/>
      <c r="ML22" s="11"/>
      <c r="MO22" s="11"/>
      <c r="MU22" s="11"/>
    </row>
    <row r="23" spans="1:359">
      <c r="B23" s="11"/>
      <c r="H23" s="11"/>
      <c r="K23" s="11"/>
      <c r="Q23" s="11"/>
      <c r="T23" s="11"/>
      <c r="Z23" s="11"/>
      <c r="AC23" s="11"/>
      <c r="AI23" s="11"/>
      <c r="AL23" s="11"/>
      <c r="AR23" s="11"/>
      <c r="AU23" s="11"/>
      <c r="BA23" s="11"/>
      <c r="BD23" s="11"/>
      <c r="BJ23" s="11"/>
      <c r="BM23" s="11"/>
      <c r="BS23" s="11"/>
      <c r="BV23" s="11"/>
      <c r="CB23" s="11"/>
      <c r="CE23" s="11"/>
      <c r="CK23" s="11"/>
      <c r="CN23" s="11"/>
      <c r="CT23" s="11"/>
      <c r="CW23" s="11"/>
      <c r="DC23" s="11"/>
      <c r="DF23" s="11"/>
      <c r="DL23" s="11"/>
      <c r="DO23" s="11"/>
      <c r="DU23" s="11"/>
      <c r="DX23" s="11"/>
      <c r="ED23" s="11"/>
      <c r="EG23" s="11"/>
      <c r="EM23" s="11"/>
      <c r="EP23" s="11"/>
      <c r="EV23" s="11"/>
      <c r="EY23" s="11"/>
      <c r="FE23" s="11"/>
      <c r="FH23" s="11"/>
      <c r="FN23" s="11"/>
      <c r="FQ23" s="11"/>
      <c r="FW23" s="11"/>
      <c r="FZ23" s="11"/>
      <c r="GF23" s="11"/>
      <c r="GI23" s="11"/>
      <c r="GO23" s="11"/>
      <c r="GR23" s="11"/>
      <c r="GX23" s="11"/>
      <c r="HA23" s="11"/>
      <c r="HG23" s="11"/>
      <c r="HJ23" s="11"/>
      <c r="HP23" s="11"/>
      <c r="HS23" s="11"/>
      <c r="HY23" s="11"/>
      <c r="IB23" s="11"/>
      <c r="IH23" s="11"/>
      <c r="IK23" s="11"/>
      <c r="IQ23" s="11"/>
      <c r="IT23" s="11"/>
      <c r="IZ23" s="11"/>
      <c r="JC23" s="11"/>
      <c r="JI23" s="11"/>
      <c r="JL23" s="11"/>
      <c r="JR23" s="11"/>
      <c r="JU23" s="11"/>
      <c r="KA23" s="11"/>
      <c r="KD23" s="11"/>
      <c r="KJ23" s="11"/>
      <c r="KM23" s="11"/>
      <c r="KS23" s="11"/>
      <c r="KV23" s="11"/>
      <c r="LB23" s="11"/>
      <c r="LE23" s="11"/>
      <c r="LK23" s="11"/>
      <c r="LN23" s="11"/>
      <c r="LT23" s="11"/>
      <c r="LW23" s="11"/>
      <c r="MC23" s="11"/>
      <c r="MF23" s="11"/>
      <c r="ML23" s="11"/>
      <c r="MO23" s="11"/>
      <c r="MU23" s="11"/>
    </row>
    <row r="24" spans="1:359">
      <c r="B24" s="11"/>
      <c r="H24" s="11"/>
      <c r="K24" s="11"/>
      <c r="Q24" s="11"/>
      <c r="T24" s="11"/>
      <c r="Z24" s="11"/>
      <c r="AC24" s="11"/>
      <c r="AI24" s="11"/>
      <c r="AL24" s="11"/>
      <c r="AR24" s="11"/>
      <c r="AU24" s="11"/>
      <c r="BA24" s="11"/>
      <c r="BD24" s="11"/>
      <c r="BJ24" s="11"/>
      <c r="BM24" s="11"/>
      <c r="BS24" s="11"/>
      <c r="BV24" s="11"/>
      <c r="CB24" s="11"/>
      <c r="CE24" s="11"/>
      <c r="CK24" s="11"/>
      <c r="CN24" s="11"/>
      <c r="CT24" s="11"/>
      <c r="CW24" s="11"/>
      <c r="DC24" s="11"/>
      <c r="DF24" s="11"/>
      <c r="DL24" s="11"/>
      <c r="DO24" s="11"/>
      <c r="DU24" s="11"/>
      <c r="DX24" s="11"/>
      <c r="ED24" s="11"/>
      <c r="EG24" s="11"/>
      <c r="EM24" s="11"/>
      <c r="EP24" s="11"/>
      <c r="EV24" s="11"/>
      <c r="EY24" s="11"/>
      <c r="FE24" s="11"/>
      <c r="FH24" s="11"/>
      <c r="FN24" s="11"/>
      <c r="FQ24" s="11"/>
      <c r="FW24" s="11"/>
      <c r="FZ24" s="11"/>
      <c r="GF24" s="11"/>
      <c r="GI24" s="11"/>
      <c r="GO24" s="11"/>
      <c r="GR24" s="11"/>
      <c r="GX24" s="11"/>
      <c r="HA24" s="11"/>
      <c r="HG24" s="11"/>
      <c r="HJ24" s="11"/>
      <c r="HP24" s="11"/>
      <c r="HS24" s="11"/>
      <c r="HY24" s="11"/>
      <c r="IB24" s="11"/>
      <c r="IH24" s="11"/>
      <c r="IK24" s="11"/>
      <c r="IQ24" s="11"/>
      <c r="IT24" s="11"/>
      <c r="IZ24" s="11"/>
      <c r="JC24" s="11"/>
      <c r="JI24" s="11"/>
      <c r="JL24" s="11"/>
      <c r="JR24" s="11"/>
      <c r="JU24" s="11"/>
      <c r="KA24" s="11"/>
      <c r="KD24" s="11"/>
      <c r="KJ24" s="11"/>
      <c r="KM24" s="11"/>
      <c r="KS24" s="11"/>
      <c r="KV24" s="11"/>
      <c r="LB24" s="11"/>
      <c r="LE24" s="11"/>
      <c r="LK24" s="11"/>
      <c r="LN24" s="11"/>
      <c r="LT24" s="11"/>
      <c r="LW24" s="11"/>
      <c r="MC24" s="11"/>
      <c r="MF24" s="11"/>
      <c r="ML24" s="11"/>
      <c r="MO24" s="11"/>
      <c r="MU24" s="11"/>
    </row>
    <row r="25" spans="1:359">
      <c r="B25" s="11"/>
      <c r="H25" s="11"/>
      <c r="K25" s="11"/>
      <c r="Q25" s="11"/>
      <c r="T25" s="11"/>
      <c r="Z25" s="11"/>
      <c r="AC25" s="11"/>
      <c r="AI25" s="11"/>
      <c r="AL25" s="11"/>
      <c r="AR25" s="11"/>
      <c r="AU25" s="11"/>
      <c r="BA25" s="11"/>
      <c r="BD25" s="11"/>
      <c r="BJ25" s="11"/>
      <c r="BM25" s="11"/>
      <c r="BS25" s="11"/>
      <c r="BV25" s="11"/>
      <c r="CB25" s="11"/>
      <c r="CE25" s="11"/>
      <c r="CK25" s="11"/>
      <c r="CN25" s="11"/>
      <c r="CT25" s="11"/>
      <c r="CW25" s="11"/>
      <c r="DC25" s="11"/>
      <c r="DF25" s="11"/>
      <c r="DL25" s="11"/>
      <c r="DO25" s="11"/>
      <c r="DU25" s="11"/>
      <c r="DX25" s="11"/>
      <c r="ED25" s="11"/>
      <c r="EG25" s="11"/>
      <c r="EM25" s="11"/>
      <c r="EP25" s="11"/>
      <c r="EV25" s="11"/>
      <c r="EY25" s="11"/>
      <c r="FE25" s="11"/>
      <c r="FH25" s="11"/>
      <c r="FN25" s="11"/>
      <c r="FQ25" s="11"/>
      <c r="FW25" s="11"/>
      <c r="FZ25" s="11"/>
      <c r="GF25" s="11"/>
      <c r="GI25" s="11"/>
      <c r="GO25" s="11"/>
      <c r="GR25" s="11"/>
      <c r="GX25" s="11"/>
      <c r="HA25" s="11"/>
      <c r="HG25" s="11"/>
      <c r="HJ25" s="11"/>
      <c r="HP25" s="11"/>
      <c r="HS25" s="11"/>
      <c r="HY25" s="11"/>
      <c r="IB25" s="11"/>
      <c r="IH25" s="11"/>
      <c r="IK25" s="11"/>
      <c r="IQ25" s="11"/>
      <c r="IT25" s="11"/>
      <c r="IZ25" s="11"/>
      <c r="JC25" s="11"/>
      <c r="JI25" s="11"/>
      <c r="JL25" s="11"/>
      <c r="JR25" s="11"/>
      <c r="JU25" s="11"/>
      <c r="KA25" s="11"/>
      <c r="KD25" s="11"/>
      <c r="KJ25" s="11"/>
      <c r="KM25" s="11"/>
      <c r="KS25" s="11"/>
      <c r="KV25" s="11"/>
      <c r="LB25" s="11"/>
      <c r="LE25" s="11"/>
      <c r="LK25" s="11"/>
      <c r="LN25" s="11"/>
      <c r="LT25" s="11"/>
      <c r="LW25" s="11"/>
      <c r="MC25" s="11"/>
      <c r="MF25" s="11"/>
      <c r="ML25" s="11"/>
      <c r="MO25" s="11"/>
      <c r="MU25" s="11"/>
    </row>
    <row r="26" spans="1:359">
      <c r="B26" s="11"/>
      <c r="H26" s="11"/>
      <c r="K26" s="11"/>
      <c r="Q26" s="11"/>
      <c r="T26" s="11"/>
      <c r="Z26" s="11"/>
      <c r="AC26" s="11"/>
      <c r="AI26" s="11"/>
      <c r="AL26" s="11"/>
      <c r="AR26" s="11"/>
      <c r="AU26" s="11"/>
      <c r="BA26" s="11"/>
      <c r="BD26" s="11"/>
      <c r="BJ26" s="11"/>
      <c r="BM26" s="11"/>
      <c r="BS26" s="11"/>
      <c r="BV26" s="11"/>
      <c r="CB26" s="11"/>
      <c r="CE26" s="11"/>
      <c r="CK26" s="11"/>
      <c r="CN26" s="11"/>
      <c r="CT26" s="11"/>
      <c r="CW26" s="11"/>
      <c r="DC26" s="11"/>
      <c r="DF26" s="11"/>
      <c r="DL26" s="11"/>
      <c r="DO26" s="11"/>
      <c r="DU26" s="11"/>
      <c r="DX26" s="11"/>
      <c r="ED26" s="11"/>
      <c r="EG26" s="11"/>
      <c r="EM26" s="11"/>
      <c r="EP26" s="11"/>
      <c r="EV26" s="11"/>
      <c r="EY26" s="11"/>
      <c r="FE26" s="11"/>
      <c r="FH26" s="11"/>
      <c r="FN26" s="11"/>
      <c r="FQ26" s="11"/>
      <c r="FW26" s="11"/>
      <c r="FZ26" s="11"/>
      <c r="GF26" s="11"/>
      <c r="GI26" s="11"/>
      <c r="GO26" s="11"/>
      <c r="GR26" s="11"/>
      <c r="GX26" s="11"/>
      <c r="HA26" s="11"/>
      <c r="HG26" s="11"/>
      <c r="HJ26" s="11"/>
      <c r="HP26" s="11"/>
      <c r="HS26" s="11"/>
      <c r="HY26" s="11"/>
      <c r="IB26" s="11"/>
      <c r="IH26" s="11"/>
      <c r="IK26" s="11"/>
      <c r="IQ26" s="11"/>
      <c r="IT26" s="11"/>
      <c r="IZ26" s="11"/>
      <c r="JC26" s="11"/>
      <c r="JI26" s="11"/>
      <c r="JL26" s="11"/>
      <c r="JR26" s="11"/>
      <c r="JU26" s="11"/>
      <c r="KA26" s="11"/>
      <c r="KD26" s="11"/>
      <c r="KJ26" s="11"/>
      <c r="KM26" s="11"/>
      <c r="KS26" s="11"/>
      <c r="KV26" s="11"/>
      <c r="LB26" s="11"/>
      <c r="LE26" s="11"/>
      <c r="LK26" s="11"/>
      <c r="LN26" s="11"/>
      <c r="LT26" s="11"/>
      <c r="LW26" s="11"/>
      <c r="MC26" s="11"/>
      <c r="MF26" s="11"/>
      <c r="ML26" s="11"/>
      <c r="MO26" s="11"/>
      <c r="MU26" s="11"/>
    </row>
    <row r="27" spans="1:359">
      <c r="B27" s="11"/>
      <c r="H27" s="11"/>
      <c r="K27" s="11"/>
      <c r="Q27" s="11"/>
      <c r="T27" s="11"/>
      <c r="Z27" s="11"/>
      <c r="AC27" s="11"/>
      <c r="AI27" s="11"/>
      <c r="AL27" s="11"/>
      <c r="AR27" s="11"/>
      <c r="AU27" s="11"/>
      <c r="BA27" s="11"/>
      <c r="BD27" s="11"/>
      <c r="BJ27" s="11"/>
      <c r="BM27" s="11"/>
      <c r="BS27" s="11"/>
      <c r="BV27" s="11"/>
      <c r="CB27" s="11"/>
      <c r="CE27" s="11"/>
      <c r="CK27" s="11"/>
      <c r="CN27" s="11"/>
      <c r="CT27" s="11"/>
      <c r="CW27" s="11"/>
      <c r="DC27" s="11"/>
      <c r="DF27" s="11"/>
      <c r="DL27" s="11"/>
      <c r="DO27" s="11"/>
      <c r="DU27" s="11"/>
      <c r="DX27" s="11"/>
      <c r="ED27" s="11"/>
      <c r="EG27" s="11"/>
      <c r="EM27" s="11"/>
      <c r="EP27" s="11"/>
      <c r="EV27" s="11"/>
      <c r="EY27" s="11"/>
      <c r="FE27" s="11"/>
      <c r="FH27" s="11"/>
      <c r="FN27" s="11"/>
      <c r="FQ27" s="11"/>
      <c r="FW27" s="11"/>
      <c r="FZ27" s="11"/>
      <c r="GF27" s="11"/>
      <c r="GI27" s="11"/>
      <c r="GO27" s="11"/>
      <c r="GR27" s="11"/>
      <c r="GX27" s="11"/>
      <c r="HA27" s="11"/>
      <c r="HG27" s="11"/>
      <c r="HJ27" s="11"/>
      <c r="HP27" s="11"/>
      <c r="HS27" s="11"/>
      <c r="HY27" s="11"/>
      <c r="IB27" s="11"/>
      <c r="IH27" s="11"/>
      <c r="IK27" s="11"/>
      <c r="IQ27" s="11"/>
      <c r="IT27" s="11"/>
      <c r="IZ27" s="11"/>
      <c r="JC27" s="11"/>
      <c r="JI27" s="11"/>
      <c r="JL27" s="11"/>
      <c r="JR27" s="11"/>
      <c r="JU27" s="11"/>
      <c r="KA27" s="11"/>
      <c r="KD27" s="11"/>
      <c r="KJ27" s="11"/>
      <c r="KM27" s="11"/>
      <c r="KS27" s="11"/>
      <c r="KV27" s="11"/>
      <c r="LB27" s="11"/>
      <c r="LE27" s="11"/>
      <c r="LK27" s="11"/>
      <c r="LN27" s="11"/>
      <c r="LT27" s="11"/>
      <c r="LW27" s="11"/>
      <c r="MC27" s="11"/>
      <c r="MF27" s="11"/>
      <c r="ML27" s="11"/>
      <c r="MO27" s="11"/>
      <c r="MU27" s="11"/>
    </row>
    <row r="28" spans="1:359">
      <c r="B28" s="11"/>
      <c r="H28" s="11"/>
      <c r="K28" s="11"/>
      <c r="Q28" s="11"/>
      <c r="T28" s="11"/>
      <c r="Z28" s="11"/>
      <c r="AC28" s="11"/>
      <c r="AI28" s="11"/>
      <c r="AL28" s="11"/>
      <c r="AR28" s="11"/>
      <c r="AU28" s="11"/>
      <c r="BA28" s="11"/>
      <c r="BD28" s="11"/>
      <c r="BJ28" s="11"/>
      <c r="BM28" s="11"/>
      <c r="BS28" s="11"/>
      <c r="BV28" s="11"/>
      <c r="CB28" s="11"/>
      <c r="CE28" s="11"/>
      <c r="CK28" s="11"/>
      <c r="CN28" s="11"/>
      <c r="CT28" s="11"/>
      <c r="CW28" s="11"/>
      <c r="DC28" s="11"/>
      <c r="DF28" s="11"/>
      <c r="DL28" s="11"/>
      <c r="DO28" s="11"/>
      <c r="DU28" s="11"/>
      <c r="DX28" s="11"/>
      <c r="ED28" s="11"/>
      <c r="EG28" s="11"/>
      <c r="EM28" s="11"/>
      <c r="EP28" s="11"/>
      <c r="EV28" s="11"/>
      <c r="EY28" s="11"/>
      <c r="FE28" s="11"/>
      <c r="FH28" s="11"/>
      <c r="FN28" s="11"/>
      <c r="FQ28" s="11"/>
      <c r="FW28" s="11"/>
      <c r="FZ28" s="11"/>
      <c r="GF28" s="11"/>
      <c r="GI28" s="11"/>
      <c r="GO28" s="11"/>
      <c r="GR28" s="11"/>
      <c r="GX28" s="11"/>
      <c r="HA28" s="11"/>
      <c r="HG28" s="11"/>
      <c r="HJ28" s="11"/>
      <c r="HP28" s="11"/>
      <c r="HS28" s="11"/>
      <c r="HY28" s="11"/>
      <c r="IB28" s="11"/>
      <c r="IH28" s="11"/>
      <c r="IK28" s="11"/>
      <c r="IQ28" s="11"/>
      <c r="IT28" s="11"/>
      <c r="IZ28" s="11"/>
      <c r="JC28" s="11"/>
      <c r="JI28" s="11"/>
      <c r="JL28" s="11"/>
      <c r="JR28" s="11"/>
      <c r="JU28" s="11"/>
      <c r="KA28" s="11"/>
      <c r="KD28" s="11"/>
      <c r="KJ28" s="11"/>
      <c r="KM28" s="11"/>
      <c r="KS28" s="11"/>
      <c r="KV28" s="11"/>
      <c r="LB28" s="11"/>
      <c r="LE28" s="11"/>
      <c r="LK28" s="11"/>
      <c r="LN28" s="11"/>
      <c r="LT28" s="11"/>
      <c r="LW28" s="11"/>
      <c r="MC28" s="11"/>
      <c r="MF28" s="11"/>
      <c r="ML28" s="11"/>
      <c r="MO28" s="11"/>
      <c r="MU28" s="11"/>
    </row>
    <row r="29" spans="1:359">
      <c r="B29" s="11"/>
      <c r="H29" s="11"/>
      <c r="K29" s="11"/>
      <c r="Q29" s="11"/>
      <c r="T29" s="11"/>
      <c r="Z29" s="11"/>
      <c r="AC29" s="11"/>
      <c r="AI29" s="11"/>
      <c r="AL29" s="11"/>
      <c r="AR29" s="11"/>
      <c r="AU29" s="11"/>
      <c r="BA29" s="11"/>
      <c r="BD29" s="11"/>
      <c r="BJ29" s="11"/>
      <c r="BM29" s="11"/>
      <c r="BS29" s="11"/>
      <c r="BV29" s="11"/>
      <c r="CB29" s="11"/>
      <c r="CE29" s="11"/>
      <c r="CK29" s="11"/>
      <c r="CN29" s="11"/>
      <c r="CT29" s="11"/>
      <c r="CW29" s="11"/>
      <c r="DC29" s="11"/>
      <c r="DF29" s="11"/>
      <c r="DL29" s="11"/>
      <c r="DO29" s="11"/>
      <c r="DU29" s="11"/>
      <c r="DX29" s="11"/>
      <c r="ED29" s="11"/>
      <c r="EG29" s="11"/>
      <c r="EM29" s="11"/>
      <c r="EP29" s="11"/>
      <c r="EV29" s="11"/>
      <c r="EY29" s="11"/>
      <c r="FE29" s="11"/>
      <c r="FH29" s="11"/>
      <c r="FN29" s="11"/>
      <c r="FQ29" s="11"/>
      <c r="FW29" s="11"/>
      <c r="FZ29" s="11"/>
      <c r="GF29" s="11"/>
      <c r="GI29" s="11"/>
      <c r="GO29" s="11"/>
      <c r="GR29" s="11"/>
      <c r="GX29" s="11"/>
      <c r="HA29" s="11"/>
      <c r="HG29" s="11"/>
      <c r="HJ29" s="11"/>
      <c r="HP29" s="11"/>
      <c r="HS29" s="11"/>
      <c r="HY29" s="11"/>
      <c r="IB29" s="11"/>
      <c r="IH29" s="11"/>
      <c r="IK29" s="11"/>
      <c r="IQ29" s="11"/>
      <c r="IT29" s="11"/>
      <c r="IZ29" s="11"/>
      <c r="JC29" s="11"/>
      <c r="JI29" s="11"/>
      <c r="JL29" s="11"/>
      <c r="JR29" s="11"/>
      <c r="JU29" s="11"/>
      <c r="KA29" s="11"/>
      <c r="KD29" s="11"/>
      <c r="KJ29" s="11"/>
      <c r="KM29" s="11"/>
      <c r="KS29" s="11"/>
      <c r="KV29" s="11"/>
      <c r="LB29" s="11"/>
      <c r="LE29" s="11"/>
      <c r="LK29" s="11"/>
      <c r="LN29" s="11"/>
      <c r="LT29" s="11"/>
      <c r="LW29" s="11"/>
      <c r="MC29" s="11"/>
      <c r="MF29" s="11"/>
      <c r="ML29" s="11"/>
      <c r="MO29" s="11"/>
      <c r="MU29" s="11"/>
    </row>
    <row r="30" spans="1:359">
      <c r="B30" s="11"/>
      <c r="H30" s="11"/>
      <c r="K30" s="11"/>
      <c r="Q30" s="11"/>
      <c r="T30" s="11"/>
      <c r="Z30" s="11"/>
      <c r="AC30" s="11"/>
      <c r="AI30" s="11"/>
      <c r="AL30" s="11"/>
      <c r="AR30" s="11"/>
      <c r="AU30" s="11"/>
      <c r="BA30" s="11"/>
      <c r="BD30" s="11"/>
      <c r="BJ30" s="11"/>
      <c r="BM30" s="11"/>
      <c r="BS30" s="11"/>
      <c r="BV30" s="11"/>
      <c r="CB30" s="11"/>
      <c r="CE30" s="11"/>
      <c r="CK30" s="11"/>
      <c r="CN30" s="11"/>
      <c r="CT30" s="11"/>
      <c r="CW30" s="11"/>
      <c r="DC30" s="11"/>
      <c r="DF30" s="11"/>
      <c r="DL30" s="11"/>
      <c r="DO30" s="11"/>
      <c r="DU30" s="11"/>
      <c r="DX30" s="11"/>
      <c r="ED30" s="11"/>
      <c r="EG30" s="11"/>
      <c r="EM30" s="11"/>
      <c r="EP30" s="11"/>
      <c r="EV30" s="11"/>
      <c r="EY30" s="11"/>
      <c r="FE30" s="11"/>
      <c r="FH30" s="11"/>
      <c r="FN30" s="11"/>
      <c r="FQ30" s="11"/>
      <c r="FW30" s="11"/>
      <c r="FZ30" s="11"/>
      <c r="GF30" s="11"/>
      <c r="GI30" s="11"/>
      <c r="GO30" s="11"/>
      <c r="GR30" s="11"/>
      <c r="GX30" s="11"/>
      <c r="HA30" s="11"/>
      <c r="HG30" s="11"/>
      <c r="HJ30" s="11"/>
      <c r="HP30" s="11"/>
      <c r="HS30" s="11"/>
      <c r="HY30" s="11"/>
      <c r="IB30" s="11"/>
      <c r="IH30" s="11"/>
      <c r="IK30" s="11"/>
      <c r="IQ30" s="11"/>
      <c r="IT30" s="11"/>
      <c r="IZ30" s="11"/>
      <c r="JC30" s="11"/>
      <c r="JI30" s="11"/>
      <c r="JL30" s="11"/>
      <c r="JR30" s="11"/>
      <c r="JU30" s="11"/>
      <c r="KA30" s="11"/>
      <c r="KD30" s="11"/>
      <c r="KJ30" s="11"/>
      <c r="KM30" s="11"/>
      <c r="KS30" s="11"/>
      <c r="KV30" s="11"/>
      <c r="LB30" s="11"/>
      <c r="LE30" s="11"/>
      <c r="LK30" s="11"/>
      <c r="LN30" s="11"/>
      <c r="LT30" s="11"/>
      <c r="LW30" s="11"/>
      <c r="MC30" s="11"/>
      <c r="MF30" s="11"/>
      <c r="ML30" s="11"/>
      <c r="MO30" s="11"/>
      <c r="MU30" s="11"/>
    </row>
    <row r="31" spans="1:359">
      <c r="B31" s="11"/>
      <c r="H31" s="11"/>
      <c r="K31" s="11"/>
      <c r="Q31" s="11"/>
      <c r="T31" s="11"/>
      <c r="Z31" s="11"/>
      <c r="AC31" s="11"/>
      <c r="AI31" s="11"/>
      <c r="AL31" s="11"/>
      <c r="AR31" s="11"/>
      <c r="AU31" s="11"/>
      <c r="BA31" s="11"/>
      <c r="BD31" s="11"/>
      <c r="BJ31" s="11"/>
      <c r="BM31" s="11"/>
      <c r="BS31" s="11"/>
      <c r="BV31" s="11"/>
      <c r="CB31" s="11"/>
      <c r="CE31" s="11"/>
      <c r="CK31" s="11"/>
      <c r="CN31" s="11"/>
      <c r="CT31" s="11"/>
      <c r="CW31" s="11"/>
      <c r="DC31" s="11"/>
      <c r="DF31" s="11"/>
      <c r="DL31" s="11"/>
      <c r="DO31" s="11"/>
      <c r="DU31" s="11"/>
      <c r="DX31" s="11"/>
      <c r="ED31" s="11"/>
      <c r="EG31" s="11"/>
      <c r="EM31" s="11"/>
      <c r="EP31" s="11"/>
      <c r="EV31" s="11"/>
      <c r="EY31" s="11"/>
      <c r="FE31" s="11"/>
      <c r="FH31" s="11"/>
      <c r="FN31" s="11"/>
      <c r="FQ31" s="11"/>
      <c r="FW31" s="11"/>
      <c r="FZ31" s="11"/>
      <c r="GF31" s="11"/>
      <c r="GI31" s="11"/>
      <c r="GO31" s="11"/>
      <c r="GR31" s="11"/>
      <c r="GX31" s="11"/>
      <c r="HA31" s="11"/>
      <c r="HG31" s="11"/>
      <c r="HJ31" s="11"/>
      <c r="HP31" s="11"/>
      <c r="HS31" s="11"/>
      <c r="HY31" s="11"/>
      <c r="IB31" s="11"/>
      <c r="IH31" s="11"/>
      <c r="IK31" s="11"/>
      <c r="IQ31" s="11"/>
      <c r="IT31" s="11"/>
      <c r="IZ31" s="11"/>
      <c r="JC31" s="11"/>
      <c r="JI31" s="11"/>
      <c r="JL31" s="11"/>
      <c r="JR31" s="11"/>
      <c r="JU31" s="11"/>
      <c r="KA31" s="11"/>
      <c r="KD31" s="11"/>
      <c r="KJ31" s="11"/>
      <c r="KM31" s="11"/>
      <c r="KS31" s="11"/>
      <c r="KV31" s="11"/>
      <c r="LB31" s="11"/>
      <c r="LE31" s="11"/>
      <c r="LK31" s="11"/>
      <c r="LN31" s="11"/>
      <c r="LT31" s="11"/>
      <c r="LW31" s="11"/>
      <c r="MC31" s="11"/>
      <c r="MF31" s="11"/>
      <c r="ML31" s="11"/>
      <c r="MO31" s="11"/>
      <c r="MU31" s="11"/>
    </row>
    <row r="32" spans="1:359">
      <c r="B32" s="11"/>
      <c r="H32" s="11"/>
      <c r="K32" s="11"/>
      <c r="Q32" s="11"/>
      <c r="T32" s="11"/>
      <c r="Z32" s="11"/>
      <c r="AC32" s="11"/>
      <c r="AI32" s="11"/>
      <c r="AL32" s="11"/>
      <c r="AR32" s="11"/>
      <c r="AU32" s="11"/>
      <c r="BA32" s="11"/>
      <c r="BD32" s="11"/>
      <c r="BJ32" s="11"/>
      <c r="BM32" s="11"/>
      <c r="BS32" s="11"/>
      <c r="BV32" s="11"/>
      <c r="CB32" s="11"/>
      <c r="CE32" s="11"/>
      <c r="CK32" s="11"/>
      <c r="CN32" s="11"/>
      <c r="CT32" s="11"/>
      <c r="CW32" s="11"/>
      <c r="DC32" s="11"/>
      <c r="DF32" s="11"/>
      <c r="DL32" s="11"/>
      <c r="DO32" s="11"/>
      <c r="DU32" s="11"/>
      <c r="DX32" s="11"/>
      <c r="ED32" s="11"/>
      <c r="EG32" s="11"/>
      <c r="EM32" s="11"/>
      <c r="EP32" s="11"/>
      <c r="EV32" s="11"/>
      <c r="EY32" s="11"/>
      <c r="FE32" s="11"/>
      <c r="FH32" s="11"/>
      <c r="FN32" s="11"/>
      <c r="FQ32" s="11"/>
      <c r="FW32" s="11"/>
      <c r="FZ32" s="11"/>
      <c r="GF32" s="11"/>
      <c r="GI32" s="11"/>
      <c r="GO32" s="11"/>
      <c r="GR32" s="11"/>
      <c r="GX32" s="11"/>
      <c r="HA32" s="11"/>
      <c r="HG32" s="11"/>
      <c r="HJ32" s="11"/>
      <c r="HP32" s="11"/>
      <c r="HS32" s="11"/>
      <c r="HY32" s="11"/>
      <c r="IB32" s="11"/>
      <c r="IH32" s="11"/>
      <c r="IK32" s="11"/>
      <c r="IQ32" s="11"/>
      <c r="IT32" s="11"/>
      <c r="IZ32" s="11"/>
      <c r="JC32" s="11"/>
      <c r="JI32" s="11"/>
      <c r="JL32" s="11"/>
      <c r="JR32" s="11"/>
      <c r="JU32" s="11"/>
      <c r="KA32" s="11"/>
      <c r="KD32" s="11"/>
      <c r="KJ32" s="11"/>
      <c r="KM32" s="11"/>
      <c r="KS32" s="11"/>
      <c r="KV32" s="11"/>
      <c r="LB32" s="11"/>
      <c r="LE32" s="11"/>
      <c r="LK32" s="11"/>
      <c r="LN32" s="11"/>
      <c r="LT32" s="11"/>
      <c r="LW32" s="11"/>
      <c r="MC32" s="11"/>
      <c r="MF32" s="11"/>
      <c r="ML32" s="11"/>
      <c r="MO32" s="11"/>
      <c r="MU32" s="11"/>
    </row>
    <row r="33" spans="1:359">
      <c r="B33" s="11"/>
      <c r="D33" s="10" t="s">
        <v>515</v>
      </c>
      <c r="H33" s="11"/>
      <c r="K33" s="11"/>
      <c r="M33" s="10" t="s">
        <v>516</v>
      </c>
      <c r="Q33" s="11"/>
      <c r="T33" s="11"/>
      <c r="V33" s="10" t="s">
        <v>517</v>
      </c>
      <c r="Z33" s="11"/>
      <c r="AC33" s="11"/>
      <c r="AE33" s="10" t="s">
        <v>518</v>
      </c>
      <c r="AI33" s="11"/>
      <c r="AL33" s="11"/>
      <c r="AN33" s="10" t="s">
        <v>519</v>
      </c>
      <c r="AR33" s="11"/>
      <c r="AU33" s="11"/>
      <c r="AW33" s="10" t="s">
        <v>520</v>
      </c>
      <c r="BA33" s="11"/>
      <c r="BD33" s="11"/>
      <c r="BF33" s="10" t="s">
        <v>521</v>
      </c>
      <c r="BJ33" s="11"/>
      <c r="BM33" s="11"/>
      <c r="BO33" s="10" t="s">
        <v>522</v>
      </c>
      <c r="BS33" s="11"/>
      <c r="BV33" s="11"/>
      <c r="BX33" s="10" t="s">
        <v>523</v>
      </c>
      <c r="CB33" s="11"/>
      <c r="CE33" s="11"/>
      <c r="CG33" s="10" t="s">
        <v>524</v>
      </c>
      <c r="CK33" s="11"/>
      <c r="CN33" s="11"/>
      <c r="CP33" s="10" t="s">
        <v>525</v>
      </c>
      <c r="CT33" s="11"/>
      <c r="CW33" s="11"/>
      <c r="CY33" s="10" t="s">
        <v>526</v>
      </c>
      <c r="DC33" s="11"/>
      <c r="DF33" s="11"/>
      <c r="DH33" s="10" t="s">
        <v>527</v>
      </c>
      <c r="DL33" s="11"/>
      <c r="DO33" s="11"/>
      <c r="DQ33" s="10" t="s">
        <v>528</v>
      </c>
      <c r="DU33" s="11"/>
      <c r="DX33" s="11"/>
      <c r="DZ33" s="10" t="s">
        <v>529</v>
      </c>
      <c r="ED33" s="11"/>
      <c r="EG33" s="11"/>
      <c r="EI33" s="10" t="s">
        <v>530</v>
      </c>
      <c r="EM33" s="11"/>
      <c r="EP33" s="11"/>
      <c r="ER33" s="10" t="s">
        <v>531</v>
      </c>
      <c r="EV33" s="11"/>
      <c r="EY33" s="11"/>
      <c r="FA33" s="10" t="s">
        <v>532</v>
      </c>
      <c r="FE33" s="11"/>
      <c r="FH33" s="11"/>
      <c r="FJ33" s="10" t="s">
        <v>533</v>
      </c>
      <c r="FN33" s="11"/>
      <c r="FQ33" s="11"/>
      <c r="FS33" s="10" t="s">
        <v>534</v>
      </c>
      <c r="FW33" s="11"/>
      <c r="FZ33" s="11"/>
      <c r="GB33" s="10" t="s">
        <v>535</v>
      </c>
      <c r="GF33" s="11"/>
      <c r="GI33" s="11"/>
      <c r="GK33" s="10" t="s">
        <v>536</v>
      </c>
      <c r="GO33" s="11"/>
      <c r="GR33" s="11"/>
      <c r="GT33" s="10" t="s">
        <v>537</v>
      </c>
      <c r="GX33" s="11"/>
      <c r="HA33" s="11"/>
      <c r="HC33" s="10" t="s">
        <v>538</v>
      </c>
      <c r="HG33" s="11"/>
      <c r="HJ33" s="11"/>
      <c r="HL33" s="10" t="s">
        <v>614</v>
      </c>
      <c r="HP33" s="11"/>
      <c r="HS33" s="11"/>
      <c r="HU33" s="10" t="s">
        <v>615</v>
      </c>
      <c r="HY33" s="11"/>
      <c r="IB33" s="11"/>
      <c r="ID33" s="10" t="s">
        <v>616</v>
      </c>
      <c r="IH33" s="11"/>
      <c r="IK33" s="11"/>
      <c r="IM33" s="10" t="s">
        <v>617</v>
      </c>
      <c r="IQ33" s="11"/>
      <c r="IT33" s="11"/>
      <c r="IV33" s="10" t="s">
        <v>618</v>
      </c>
      <c r="IZ33" s="11"/>
      <c r="JC33" s="11"/>
      <c r="JE33" s="10" t="s">
        <v>619</v>
      </c>
      <c r="JI33" s="11"/>
      <c r="JL33" s="11"/>
      <c r="JN33" s="10" t="s">
        <v>620</v>
      </c>
      <c r="JR33" s="11"/>
      <c r="JU33" s="11"/>
      <c r="JW33" s="10" t="s">
        <v>621</v>
      </c>
      <c r="KA33" s="11"/>
      <c r="KD33" s="11"/>
      <c r="KF33" s="10" t="s">
        <v>622</v>
      </c>
      <c r="KJ33" s="11"/>
      <c r="KM33" s="11"/>
      <c r="KO33" s="10" t="s">
        <v>623</v>
      </c>
      <c r="KS33" s="11"/>
      <c r="KV33" s="11"/>
      <c r="KX33" s="10" t="s">
        <v>624</v>
      </c>
      <c r="LB33" s="11"/>
      <c r="LE33" s="11"/>
      <c r="LG33" s="10" t="s">
        <v>625</v>
      </c>
      <c r="LK33" s="11"/>
      <c r="LN33" s="11"/>
      <c r="LP33" s="10" t="s">
        <v>626</v>
      </c>
      <c r="LT33" s="11"/>
      <c r="LW33" s="11"/>
      <c r="LY33" s="10" t="s">
        <v>627</v>
      </c>
      <c r="MC33" s="11"/>
      <c r="MF33" s="11"/>
      <c r="MH33" s="10" t="s">
        <v>628</v>
      </c>
      <c r="ML33" s="11"/>
      <c r="MO33" s="11"/>
      <c r="MQ33" s="10" t="s">
        <v>629</v>
      </c>
      <c r="MU33" s="11"/>
    </row>
    <row r="34" spans="1:359">
      <c r="B34" s="11"/>
      <c r="D34" s="10"/>
      <c r="H34" s="11"/>
      <c r="K34" s="11"/>
      <c r="M34" s="10"/>
      <c r="Q34" s="11"/>
      <c r="T34" s="11"/>
      <c r="V34" s="10"/>
      <c r="Z34" s="11"/>
      <c r="AC34" s="11"/>
      <c r="AE34" s="10"/>
      <c r="AI34" s="11"/>
      <c r="AL34" s="11"/>
      <c r="AN34" s="10"/>
      <c r="AR34" s="11"/>
      <c r="AU34" s="11"/>
      <c r="AW34" s="10"/>
      <c r="BA34" s="11"/>
      <c r="BD34" s="11"/>
      <c r="BF34" s="10"/>
      <c r="BJ34" s="11"/>
      <c r="BM34" s="11"/>
      <c r="BO34" s="10"/>
      <c r="BS34" s="11"/>
      <c r="BV34" s="11"/>
      <c r="BX34" s="10"/>
      <c r="CB34" s="11"/>
      <c r="CE34" s="11"/>
      <c r="CG34" s="10"/>
      <c r="CK34" s="11"/>
      <c r="CN34" s="11"/>
      <c r="CP34" s="10"/>
      <c r="CT34" s="11"/>
      <c r="CW34" s="11"/>
      <c r="CY34" s="10"/>
      <c r="DC34" s="11"/>
      <c r="DF34" s="11"/>
      <c r="DH34" s="10"/>
      <c r="DL34" s="11"/>
      <c r="DO34" s="11"/>
      <c r="DQ34" s="10"/>
      <c r="DU34" s="11"/>
      <c r="DX34" s="11"/>
      <c r="DZ34" s="10"/>
      <c r="ED34" s="11"/>
      <c r="EG34" s="11"/>
      <c r="EI34" s="10"/>
      <c r="EM34" s="11"/>
      <c r="EP34" s="11"/>
      <c r="ER34" s="10"/>
      <c r="EV34" s="11"/>
      <c r="EY34" s="11"/>
      <c r="FA34" s="10"/>
      <c r="FE34" s="11"/>
      <c r="FH34" s="11"/>
      <c r="FJ34" s="10"/>
      <c r="FN34" s="11"/>
      <c r="FQ34" s="11"/>
      <c r="FS34" s="10"/>
      <c r="FW34" s="11"/>
      <c r="FZ34" s="11"/>
      <c r="GB34" s="10"/>
      <c r="GF34" s="11"/>
      <c r="GI34" s="11"/>
      <c r="GK34" s="10"/>
      <c r="GO34" s="11"/>
      <c r="GR34" s="11"/>
      <c r="GT34" s="10"/>
      <c r="GX34" s="11"/>
      <c r="HA34" s="11"/>
      <c r="HC34" s="10"/>
      <c r="HG34" s="11"/>
      <c r="HJ34" s="11"/>
      <c r="HL34" s="10"/>
      <c r="HP34" s="11"/>
      <c r="HS34" s="11"/>
      <c r="HU34" s="10"/>
      <c r="HY34" s="11"/>
      <c r="IB34" s="11"/>
      <c r="ID34" s="10"/>
      <c r="IH34" s="11"/>
      <c r="IK34" s="11"/>
      <c r="IM34" s="10"/>
      <c r="IQ34" s="11"/>
      <c r="IT34" s="11"/>
      <c r="IV34" s="10"/>
      <c r="IZ34" s="11"/>
      <c r="JC34" s="11"/>
      <c r="JE34" s="10"/>
      <c r="JI34" s="11"/>
      <c r="JL34" s="11"/>
      <c r="JN34" s="10"/>
      <c r="JR34" s="11"/>
      <c r="JU34" s="11"/>
      <c r="JW34" s="10"/>
      <c r="KA34" s="11"/>
      <c r="KD34" s="11"/>
      <c r="KF34" s="10"/>
      <c r="KJ34" s="11"/>
      <c r="KM34" s="11"/>
      <c r="KO34" s="10"/>
      <c r="KS34" s="11"/>
      <c r="KV34" s="11"/>
      <c r="KX34" s="10"/>
      <c r="LB34" s="11"/>
      <c r="LE34" s="11"/>
      <c r="LG34" s="10"/>
      <c r="LK34" s="11"/>
      <c r="LN34" s="11"/>
      <c r="LP34" s="10"/>
      <c r="LT34" s="11"/>
      <c r="LW34" s="11"/>
      <c r="LY34" s="10"/>
      <c r="MC34" s="11"/>
      <c r="MF34" s="11"/>
      <c r="MH34" s="10"/>
      <c r="ML34" s="11"/>
      <c r="MO34" s="11"/>
      <c r="MQ34" s="10"/>
      <c r="MU34" s="11"/>
    </row>
    <row r="35" spans="1:359">
      <c r="B35" s="11"/>
      <c r="D35" s="27"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0</v>
      </c>
      <c r="H35" s="11"/>
      <c r="K35" s="11"/>
      <c r="M35" s="27"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0</v>
      </c>
      <c r="Q35" s="11"/>
      <c r="T35" s="11"/>
      <c r="V35" s="27"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0</v>
      </c>
      <c r="Z35" s="11"/>
      <c r="AC35" s="11"/>
      <c r="AE35" s="27"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0</v>
      </c>
      <c r="AI35" s="11"/>
      <c r="AL35" s="11"/>
      <c r="AN35" s="27"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0</v>
      </c>
      <c r="AR35" s="11"/>
      <c r="AU35" s="11"/>
      <c r="AW35" s="27"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0</v>
      </c>
      <c r="BA35" s="11"/>
      <c r="BD35" s="11"/>
      <c r="BF35" s="27"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0</v>
      </c>
      <c r="BJ35" s="11"/>
      <c r="BM35" s="11"/>
      <c r="BO35" s="27"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0</v>
      </c>
      <c r="BS35" s="11"/>
      <c r="BV35" s="11"/>
      <c r="BX35" s="27"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0</v>
      </c>
      <c r="CB35" s="11"/>
      <c r="CE35" s="11"/>
      <c r="CG35" s="27" t="str">
        <f>CONCATENATE("En ","la ",CG5," y ",CG33," se observa los resultados  del  ",CG4," el cual aborda ",CH1062,",en donde se demuestra que el ",ROUND(CI8*100,0),"%"," de los ",CG1045," tienen una percepción de ",CJ1046,", el ",ROUND(CI9*100,0),"%"," ",CJ1047,", un ",ROUND(CI10*100,0),"%"," ",CJ1048,",",IF(CH1049&gt;0,CONCATENATE(" ademas el ",ROUND(CI11*100,0),"%"," ",CJ1049,)," "),IF(CH1049&gt;0,CONCATENATE(" y ",ROUND(CI12*100,0),"%",", ",CJ1050,)," "),"en tal sentido la mayoría de los ",CG1045," es decir el ",ROUND(CH1053*100,0),"%"," tienen una percepción con una inclinación a un valor ",CG1056,","," para ",CH1062,".")</f>
        <v>0</v>
      </c>
      <c r="CK35" s="11"/>
      <c r="CN35" s="11"/>
      <c r="CP35" s="27" t="str">
        <f>CONCATENATE("En ","la ",CP5," y ",CP33," se observa los resultados  del  ",CP4," el cual aborda ",CQ1062,",en donde se demuestra que el ",ROUND(CR8*100,0),"%"," de los ",CP1045," tienen una percepción de ",CS1046,", el ",ROUND(CR9*100,0),"%"," ",CS1047,", un ",ROUND(CR10*100,0),"%"," ",CS1048,",",IF(CQ1049&gt;0,CONCATENATE(" ademas el ",ROUND(CR11*100,0),"%"," ",CS1049,)," "),IF(CQ1049&gt;0,CONCATENATE(" y ",ROUND(CR12*100,0),"%",", ",CS1050,)," "),"en tal sentido la mayoría de los ",CP1045," es decir el ",ROUND(CQ1053*100,0),"%"," tienen una percepción con una inclinación a un valor ",CP1056,","," para ",CQ1062,".")</f>
        <v>0</v>
      </c>
      <c r="CT35" s="11"/>
      <c r="CW35" s="11"/>
      <c r="CY35" s="27" t="str">
        <f>CONCATENATE("En ","la ",CY5," y ",CY33," se observa los resultados  del  ",CY4," el cual aborda ",CZ1062,",en donde se demuestra que el ",ROUND(DA8*100,0),"%"," de los ",CY1045," tienen una percepción de ",DB1046,", el ",ROUND(DA9*100,0),"%"," ",DB1047,", un ",ROUND(DA10*100,0),"%"," ",DB1048,",",IF(CZ1049&gt;0,CONCATENATE(" ademas el ",ROUND(DA11*100,0),"%"," ",DB1049,)," "),IF(CZ1049&gt;0,CONCATENATE(" y ",ROUND(DA12*100,0),"%",", ",DB1050,)," "),"en tal sentido la mayoría de los ",CY1045," es decir el ",ROUND(CZ1053*100,0),"%"," tienen una percepción con una inclinación a un valor ",CY1056,","," para ",CZ1062,".")</f>
        <v>0</v>
      </c>
      <c r="DC35" s="11"/>
      <c r="DF35" s="11"/>
      <c r="DH35" s="27" t="str">
        <f>CONCATENATE("En ","la ",DH5," y ",DH33," se observa los resultados  del  ",DH4," el cual aborda ",DI1062,",en donde se demuestra que el ",ROUND(DJ8*100,0),"%"," de los ",DH1045," tienen una percepción de ",DK1046,", el ",ROUND(DJ9*100,0),"%"," ",DK1047,", un ",ROUND(DJ10*100,0),"%"," ",DK1048,",",IF(DI1049&gt;0,CONCATENATE(" ademas el ",ROUND(DJ11*100,0),"%"," ",DK1049,)," "),IF(DI1049&gt;0,CONCATENATE(" y ",ROUND(DJ12*100,0),"%",", ",DK1050,)," "),"en tal sentido la mayoría de los ",DH1045," es decir el ",ROUND(DI1053*100,0),"%"," tienen una percepción con una inclinación a un valor ",DH1056,","," para ",DI1062,".")</f>
        <v>0</v>
      </c>
      <c r="DL35" s="11"/>
      <c r="DO35" s="11"/>
      <c r="DQ35" s="27" t="str">
        <f>CONCATENATE("En ","la ",DQ5," y ",DQ33," se observa los resultados  del  ",DQ4," el cual aborda ",DR1062,",en donde se demuestra que el ",ROUND(DS8*100,0),"%"," de los ",DQ1045," tienen una percepción de ",DT1046,", el ",ROUND(DS9*100,0),"%"," ",DT1047,", un ",ROUND(DS10*100,0),"%"," ",DT1048,",",IF(DR1049&gt;0,CONCATENATE(" ademas el ",ROUND(DS11*100,0),"%"," ",DT1049,)," "),IF(DR1049&gt;0,CONCATENATE(" y ",ROUND(DS12*100,0),"%",", ",DT1050,)," "),"en tal sentido la mayoría de los ",DQ1045," es decir el ",ROUND(DR1053*100,0),"%"," tienen una percepción con una inclinación a un valor ",DQ1056,","," para ",DR1062,".")</f>
        <v>0</v>
      </c>
      <c r="DU35" s="11"/>
      <c r="DX35" s="11"/>
      <c r="DZ35" s="27" t="str">
        <f>CONCATENATE("En ","la ",DZ5," y ",DZ33," se observa los resultados  del  ",DZ4," el cual aborda ",EA1062,",en donde se demuestra que el ",ROUND(EB8*100,0),"%"," de los ",DZ1045," tienen una percepción de ",EC1046,", el ",ROUND(EB9*100,0),"%"," ",EC1047,", un ",ROUND(EB10*100,0),"%"," ",EC1048,",",IF(EA1049&gt;0,CONCATENATE(" ademas el ",ROUND(EB11*100,0),"%"," ",EC1049,)," "),IF(EA1049&gt;0,CONCATENATE(" y ",ROUND(EB12*100,0),"%",", ",EC1050,)," "),"en tal sentido la mayoría de los ",DZ1045," es decir el ",ROUND(EA1053*100,0),"%"," tienen una percepción con una inclinación a un valor ",DZ1056,","," para ",EA1062,".")</f>
        <v>0</v>
      </c>
      <c r="ED35" s="11"/>
      <c r="EG35" s="11"/>
      <c r="EI35" s="27" t="str">
        <f>CONCATENATE("En ","la ",EI5," y ",EI33," se observa los resultados  del  ",EI4," el cual aborda ",EJ1062,",en donde se demuestra que el ",ROUND(EK8*100,0),"%"," de los ",EI1045," tienen una percepción de ",EL1046,", el ",ROUND(EK9*100,0),"%"," ",EL1047,", un ",ROUND(EK10*100,0),"%"," ",EL1048,",",IF(EJ1049&gt;0,CONCATENATE(" ademas el ",ROUND(EK11*100,0),"%"," ",EL1049,)," "),IF(EJ1049&gt;0,CONCATENATE(" y ",ROUND(EK12*100,0),"%",", ",EL1050,)," "),"en tal sentido la mayoría de los ",EI1045," es decir el ",ROUND(EJ1053*100,0),"%"," tienen una percepción con una inclinación a un valor ",EI1056,","," para ",EJ1062,".")</f>
        <v>0</v>
      </c>
      <c r="EM35" s="11"/>
      <c r="EP35" s="11"/>
      <c r="ER35" s="27" t="str">
        <f>CONCATENATE("En ","la ",ER5," y ",ER33," se observa los resultados  del  ",ER4," el cual aborda ",ES1062,",en donde se demuestra que el ",ROUND(ET8*100,0),"%"," de los ",ER1045," tienen una percepción de ",EU1046,", el ",ROUND(ET9*100,0),"%"," ",EU1047,", un ",ROUND(ET10*100,0),"%"," ",EU1048,",",IF(ES1049&gt;0,CONCATENATE(" ademas el ",ROUND(ET11*100,0),"%"," ",EU1049,)," "),IF(ES1049&gt;0,CONCATENATE(" y ",ROUND(ET12*100,0),"%",", ",EU1050,)," "),"en tal sentido la mayoría de los ",ER1045," es decir el ",ROUND(ES1053*100,0),"%"," tienen una percepción con una inclinación a un valor ",ER1056,","," para ",ES1062,".")</f>
        <v>0</v>
      </c>
      <c r="EV35" s="11"/>
      <c r="EY35" s="11"/>
      <c r="FA35" s="27" t="str">
        <f>CONCATENATE("En ","la ",FA5," y ",FA33," se observa los resultados  del  ",FA4," el cual aborda ",FB1062,",en donde se demuestra que el ",ROUND(FC8*100,0),"%"," de los ",FA1045," tienen una percepción de ",FD1046,", el ",ROUND(FC9*100,0),"%"," ",FD1047,", un ",ROUND(FC10*100,0),"%"," ",FD1048,",",IF(FB1049&gt;0,CONCATENATE(" ademas el ",ROUND(FC11*100,0),"%"," ",FD1049,)," "),IF(FB1049&gt;0,CONCATENATE(" y ",ROUND(FC12*100,0),"%",", ",FD1050,)," "),"en tal sentido la mayoría de los ",FA1045," es decir el ",ROUND(FB1053*100,0),"%"," tienen una percepción con una inclinación a un valor ",FA1056,","," para ",FB1062,".")</f>
        <v>0</v>
      </c>
      <c r="FE35" s="11"/>
      <c r="FH35" s="11"/>
      <c r="FJ35" s="27" t="str">
        <f>CONCATENATE("En ","la ",FJ5," y ",FJ33," se observa los resultados  del  ",FJ4," el cual aborda ",FK1062,",en donde se demuestra que el ",ROUND(FL8*100,0),"%"," de los ",FJ1045," tienen una percepción de ",FM1046,", el ",ROUND(FL9*100,0),"%"," ",FM1047,", un ",ROUND(FL10*100,0),"%"," ",FM1048,",",IF(FK1049&gt;0,CONCATENATE(" ademas el ",ROUND(FL11*100,0),"%"," ",FM1049,)," "),IF(FK1049&gt;0,CONCATENATE(" y ",ROUND(FL12*100,0),"%",", ",FM1050,)," "),"en tal sentido la mayoría de los ",FJ1045," es decir el ",ROUND(FK1053*100,0),"%"," tienen una percepción con una inclinación a un valor ",FJ1056,","," para ",FK1062,".")</f>
        <v>0</v>
      </c>
      <c r="FN35" s="11"/>
      <c r="FQ35" s="11"/>
      <c r="FS35" s="27" t="str">
        <f>CONCATENATE("En ","la ",FS5," y ",FS33," se observa los resultados  del  ",FS4," el cual aborda ",FT1062,",en donde se demuestra que el ",ROUND(FU8*100,0),"%"," de los ",FS1045," tienen una percepción de ",FV1046,", el ",ROUND(FU9*100,0),"%"," ",FV1047,", un ",ROUND(FU10*100,0),"%"," ",FV1048,",",IF(FT1049&gt;0,CONCATENATE(" ademas el ",ROUND(FU11*100,0),"%"," ",FV1049,)," "),IF(FT1049&gt;0,CONCATENATE(" y ",ROUND(FU12*100,0),"%",", ",FV1050,)," "),"en tal sentido la mayoría de los ",FS1045," es decir el ",ROUND(FT1053*100,0),"%"," tienen una percepción con una inclinación a un valor ",FS1056,","," para ",FT1062,".")</f>
        <v>0</v>
      </c>
      <c r="FW35" s="11"/>
      <c r="FZ35" s="11"/>
      <c r="GB35" s="27" t="str">
        <f>CONCATENATE("En ","la ",GB5," y ",GB33," se observa los resultados  del  ",GB4," el cual aborda ",GC1062,",en donde se demuestra que el ",ROUND(GD8*100,0),"%"," de los ",GB1045," tienen una percepción de ",GE1046,", el ",ROUND(GD9*100,0),"%"," ",GE1047,", un ",ROUND(GD10*100,0),"%"," ",GE1048,",",IF(GC1049&gt;0,CONCATENATE(" ademas el ",ROUND(GD11*100,0),"%"," ",GE1049,)," "),IF(GC1049&gt;0,CONCATENATE(" y ",ROUND(GD12*100,0),"%",", ",GE1050,)," "),"en tal sentido la mayoría de los ",GB1045," es decir el ",ROUND(GC1053*100,0),"%"," tienen una percepción con una inclinación a un valor ",GB1056,","," para ",GC1062,".")</f>
        <v>0</v>
      </c>
      <c r="GF35" s="11"/>
      <c r="GI35" s="11"/>
      <c r="GK35" s="27" t="str">
        <f>CONCATENATE("En ","la ",GK5," y ",GK33," se observa los resultados  del  ",GK4," el cual aborda ",GL1062,",en donde se demuestra que el ",ROUND(GM8*100,0),"%"," de los ",GK1045," tienen una percepción de ",GN1046,", el ",ROUND(GM9*100,0),"%"," ",GN1047,", un ",ROUND(GM10*100,0),"%"," ",GN1048,",",IF(GL1049&gt;0,CONCATENATE(" ademas el ",ROUND(GM11*100,0),"%"," ",GN1049,)," "),IF(GL1049&gt;0,CONCATENATE(" y ",ROUND(GM12*100,0),"%",", ",GN1050,)," "),"en tal sentido la mayoría de los ",GK1045," es decir el ",ROUND(GL1053*100,0),"%"," tienen una percepción con una inclinación a un valor ",GK1056,","," para ",GL1062,".")</f>
        <v>0</v>
      </c>
      <c r="GO35" s="11"/>
      <c r="GR35" s="11"/>
      <c r="GT35" s="27" t="str">
        <f>CONCATENATE("En ","la ",GT5," y ",GT33," se observa los resultados  del  ",GT4," el cual aborda ",GU1062,",en donde se demuestra que el ",ROUND(GV8*100,0),"%"," de los ",GT1045," tienen una percepción de ",GW1046,", el ",ROUND(GV9*100,0),"%"," ",GW1047,", un ",ROUND(GV10*100,0),"%"," ",GW1048,",",IF(GU1049&gt;0,CONCATENATE(" ademas el ",ROUND(GV11*100,0),"%"," ",GW1049,)," "),IF(GU1049&gt;0,CONCATENATE(" y ",ROUND(GV12*100,0),"%",", ",GW1050,)," "),"en tal sentido la mayoría de los ",GT1045," es decir el ",ROUND(GU1053*100,0),"%"," tienen una percepción con una inclinación a un valor ",GT1056,","," para ",GU1062,".")</f>
        <v>0</v>
      </c>
      <c r="GX35" s="11"/>
      <c r="HA35" s="11"/>
      <c r="HC35" s="27" t="str">
        <f>CONCATENATE("En ","la ",HC5," y ",HC33," se observa los resultados  del  ",HC4," el cual aborda ",HD1062,",en donde se demuestra que el ",ROUND(HE8*100,0),"%"," de los ",HC1045," tienen una percepción de ",HF1046,", el ",ROUND(HE9*100,0),"%"," ",HF1047,", un ",ROUND(HE10*100,0),"%"," ",HF1048,",",IF(HD1049&gt;0,CONCATENATE(" ademas el ",ROUND(HE11*100,0),"%"," ",HF1049,)," "),IF(HD1049&gt;0,CONCATENATE(" y ",ROUND(HE12*100,0),"%",", ",HF1050,)," "),"en tal sentido la mayoría de los ",HC1045," es decir el ",ROUND(HD1053*100,0),"%"," tienen una percepción con una inclinación a un valor ",HC1056,","," para ",HD1062,".")</f>
        <v>0</v>
      </c>
      <c r="HG35" s="11"/>
      <c r="HJ35" s="11"/>
      <c r="HL35" s="27" t="str">
        <f>CONCATENATE("En ","la ",HL5," y ",HL33," se observa los resultados  del  ",HL4," el cual aborda ",HM1062,",en donde se demuestra que el ",ROUND(HN8*100,0),"%"," de los ",HL1045," tienen una percepción de ",HO1046,", el ",ROUND(HN9*100,0),"%"," ",HO1047,", un ",ROUND(HN10*100,0),"%"," ",HO1048,",",IF(HM1049&gt;0,CONCATENATE(" ademas el ",ROUND(HN11*100,0),"%"," ",HO1049,)," "),IF(HM1049&gt;0,CONCATENATE(" y ",ROUND(HN12*100,0),"%",", ",HO1050,)," "),"en tal sentido la mayoría de los ",HL1045," es decir el ",ROUND(HM1053*100,0),"%"," tienen una percepción con una inclinación a un valor ",HL1056,","," para ",HM1062,".")</f>
        <v>0</v>
      </c>
      <c r="HP35" s="11"/>
      <c r="HS35" s="11"/>
      <c r="HU35" s="27" t="str">
        <f>CONCATENATE("En ","la ",HU5," y ",HU33," se observa los resultados  del  ",HU4," el cual aborda ",HV1062,",en donde se demuestra que el ",ROUND(HW8*100,0),"%"," de los ",HU1045," tienen una percepción de ",HX1046,", el ",ROUND(HW9*100,0),"%"," ",HX1047,", un ",ROUND(HW10*100,0),"%"," ",HX1048,",",IF(HV1049&gt;0,CONCATENATE(" ademas el ",ROUND(HW11*100,0),"%"," ",HX1049,)," "),IF(HV1049&gt;0,CONCATENATE(" y ",ROUND(HW12*100,0),"%",", ",HX1050,)," "),"en tal sentido la mayoría de los ",HU1045," es decir el ",ROUND(HV1053*100,0),"%"," tienen una percepción con una inclinación a un valor ",HU1056,","," para ",HV1062,".")</f>
        <v>0</v>
      </c>
      <c r="HY35" s="11"/>
      <c r="IB35" s="11"/>
      <c r="ID35" s="27" t="str">
        <f>CONCATENATE("En ","la ",ID5," y ",ID33," se observa los resultados  del  ",ID4," el cual aborda ",IE1062,",en donde se demuestra que el ",ROUND(IF8*100,0),"%"," de los ",ID1045," tienen una percepción de ",IG1046,", el ",ROUND(IF9*100,0),"%"," ",IG1047,", un ",ROUND(IF10*100,0),"%"," ",IG1048,",",IF(IE1049&gt;0,CONCATENATE(" ademas el ",ROUND(IF11*100,0),"%"," ",IG1049,)," "),IF(IE1049&gt;0,CONCATENATE(" y ",ROUND(IF12*100,0),"%",", ",IG1050,)," "),"en tal sentido la mayoría de los ",ID1045," es decir el ",ROUND(IE1053*100,0),"%"," tienen una percepción con una inclinación a un valor ",ID1056,","," para ",IE1062,".")</f>
        <v>0</v>
      </c>
      <c r="IH35" s="11"/>
      <c r="IK35" s="11"/>
      <c r="IM35" s="27" t="str">
        <f>CONCATENATE("En ","la ",IM5," y ",IM33," se observa los resultados  del  ",IM4," el cual aborda ",IN1062,",en donde se demuestra que el ",ROUND(IO8*100,0),"%"," de los ",IM1045," tienen una percepción de ",IP1046,", el ",ROUND(IO9*100,0),"%"," ",IP1047,", un ",ROUND(IO10*100,0),"%"," ",IP1048,",",IF(IN1049&gt;0,CONCATENATE(" ademas el ",ROUND(IO11*100,0),"%"," ",IP1049,)," "),IF(IN1049&gt;0,CONCATENATE(" y ",ROUND(IO12*100,0),"%",", ",IP1050,)," "),"en tal sentido la mayoría de los ",IM1045," es decir el ",ROUND(IN1053*100,0),"%"," tienen una percepción con una inclinación a un valor ",IM1056,","," para ",IN1062,".")</f>
        <v>0</v>
      </c>
      <c r="IQ35" s="11"/>
      <c r="IT35" s="11"/>
      <c r="IV35" s="27" t="str">
        <f>CONCATENATE("En ","la ",IV5," y ",IV33," se observa los resultados  del  ",IV4," el cual aborda ",IW1062,",en donde se demuestra que el ",ROUND(IX8*100,0),"%"," de los ",IV1045," tienen una percepción de ",IY1046,", el ",ROUND(IX9*100,0),"%"," ",IY1047,", un ",ROUND(IX10*100,0),"%"," ",IY1048,",",IF(IW1049&gt;0,CONCATENATE(" ademas el ",ROUND(IX11*100,0),"%"," ",IY1049,)," "),IF(IW1049&gt;0,CONCATENATE(" y ",ROUND(IX12*100,0),"%",", ",IY1050,)," "),"en tal sentido la mayoría de los ",IV1045," es decir el ",ROUND(IW1053*100,0),"%"," tienen una percepción con una inclinación a un valor ",IV1056,","," para ",IW1062,".")</f>
        <v>0</v>
      </c>
      <c r="IZ35" s="11"/>
      <c r="JC35" s="11"/>
      <c r="JE35" s="27" t="str">
        <f>CONCATENATE("En ","la ",JE5," y ",JE33," se observa los resultados  del  ",JE4," el cual aborda ",JF1062,",en donde se demuestra que el ",ROUND(JG8*100,0),"%"," de los ",JE1045," tienen una percepción de ",JH1046,", el ",ROUND(JG9*100,0),"%"," ",JH1047,", un ",ROUND(JG10*100,0),"%"," ",JH1048,",",IF(JF1049&gt;0,CONCATENATE(" ademas el ",ROUND(JG11*100,0),"%"," ",JH1049,)," "),IF(JF1049&gt;0,CONCATENATE(" y ",ROUND(JG12*100,0),"%",", ",JH1050,)," "),"en tal sentido la mayoría de los ",JE1045," es decir el ",ROUND(JF1053*100,0),"%"," tienen una percepción con una inclinación a un valor ",JE1056,","," para ",JF1062,".")</f>
        <v>0</v>
      </c>
      <c r="JI35" s="11"/>
      <c r="JL35" s="11"/>
      <c r="JN35" s="27" t="str">
        <f>CONCATENATE("En ","la ",JN5," y ",JN33," se observa los resultados  del  ",JN4," el cual aborda ",JO1062,",en donde se demuestra que el ",ROUND(JP8*100,0),"%"," de los ",JN1045," tienen una percepción de ",JQ1046,", el ",ROUND(JP9*100,0),"%"," ",JQ1047,", un ",ROUND(JP10*100,0),"%"," ",JQ1048,",",IF(JO1049&gt;0,CONCATENATE(" ademas el ",ROUND(JP11*100,0),"%"," ",JQ1049,)," "),IF(JO1049&gt;0,CONCATENATE(" y ",ROUND(JP12*100,0),"%",", ",JQ1050,)," "),"en tal sentido la mayoría de los ",JN1045," es decir el ",ROUND(JO1053*100,0),"%"," tienen una percepción con una inclinación a un valor ",JN1056,","," para ",JO1062,".")</f>
        <v>0</v>
      </c>
      <c r="JR35" s="11"/>
      <c r="JU35" s="11"/>
      <c r="JW35" s="27" t="str">
        <f>CONCATENATE("En ","la ",JW5," y ",JW33," se observa los resultados  del  ",JW4," el cual aborda ",JX1062,",en donde se demuestra que el ",ROUND(JY8*100,0),"%"," de los ",JW1045," tienen una percepción de ",JZ1046,", el ",ROUND(JY9*100,0),"%"," ",JZ1047,", un ",ROUND(JY10*100,0),"%"," ",JZ1048,",",IF(JX1049&gt;0,CONCATENATE(" ademas el ",ROUND(JY11*100,0),"%"," ",JZ1049,)," "),IF(JX1049&gt;0,CONCATENATE(" y ",ROUND(JY12*100,0),"%",", ",JZ1050,)," "),"en tal sentido la mayoría de los ",JW1045," es decir el ",ROUND(JX1053*100,0),"%"," tienen una percepción con una inclinación a un valor ",JW1056,","," para ",JX1062,".")</f>
        <v>0</v>
      </c>
      <c r="KA35" s="11"/>
      <c r="KD35" s="11"/>
      <c r="KF35" s="27" t="str">
        <f>CONCATENATE("En ","la ",KF5," y ",KF33," se observa los resultados  del  ",KF4," el cual aborda ",KG1062,",en donde se demuestra que el ",ROUND(KH8*100,0),"%"," de los ",KF1045," tienen una percepción de ",KI1046,", el ",ROUND(KH9*100,0),"%"," ",KI1047,", un ",ROUND(KH10*100,0),"%"," ",KI1048,",",IF(KG1049&gt;0,CONCATENATE(" ademas el ",ROUND(KH11*100,0),"%"," ",KI1049,)," "),IF(KG1049&gt;0,CONCATENATE(" y ",ROUND(KH12*100,0),"%",", ",KI1050,)," "),"en tal sentido la mayoría de los ",KF1045," es decir el ",ROUND(KG1053*100,0),"%"," tienen una percepción con una inclinación a un valor ",KF1056,","," para ",KG1062,".")</f>
        <v>0</v>
      </c>
      <c r="KJ35" s="11"/>
      <c r="KM35" s="11"/>
      <c r="KO35" s="27" t="str">
        <f>CONCATENATE("En ","la ",KO5," y ",KO33," se observa los resultados  del  ",KO4," el cual aborda ",KP1062,",en donde se demuestra que el ",ROUND(KQ8*100,0),"%"," de los ",KO1045," tienen una percepción de ",KR1046,", el ",ROUND(KQ9*100,0),"%"," ",KR1047,", un ",ROUND(KQ10*100,0),"%"," ",KR1048,",",IF(KP1049&gt;0,CONCATENATE(" ademas el ",ROUND(KQ11*100,0),"%"," ",KR1049,)," "),IF(KP1049&gt;0,CONCATENATE(" y ",ROUND(KQ12*100,0),"%",", ",KR1050,)," "),"en tal sentido la mayoría de los ",KO1045," es decir el ",ROUND(KP1053*100,0),"%"," tienen una percepción con una inclinación a un valor ",KO1056,","," para ",KP1062,".")</f>
        <v>0</v>
      </c>
      <c r="KS35" s="11"/>
      <c r="KV35" s="11"/>
      <c r="KX35" s="27" t="str">
        <f>CONCATENATE("En ","la ",KX5," y ",KX33," se observa los resultados  del  ",KX4," el cual aborda ",KY1062,",en donde se demuestra que el ",ROUND(KZ8*100,0),"%"," de los ",KX1045," tienen una percepción de ",LA1046,", el ",ROUND(KZ9*100,0),"%"," ",LA1047,", un ",ROUND(KZ10*100,0),"%"," ",LA1048,",",IF(KY1049&gt;0,CONCATENATE(" ademas el ",ROUND(KZ11*100,0),"%"," ",LA1049,)," "),IF(KY1049&gt;0,CONCATENATE(" y ",ROUND(KZ12*100,0),"%",", ",LA1050,)," "),"en tal sentido la mayoría de los ",KX1045," es decir el ",ROUND(KY1053*100,0),"%"," tienen una percepción con una inclinación a un valor ",KX1056,","," para ",KY1062,".")</f>
        <v>0</v>
      </c>
      <c r="LB35" s="11"/>
      <c r="LE35" s="11"/>
      <c r="LG35" s="27" t="str">
        <f>CONCATENATE("En ","la ",LG5," y ",LG33," se observa los resultados  del  ",LG4," el cual aborda ",LH1062,",en donde se demuestra que el ",ROUND(LI8*100,0),"%"," de los ",LG1045," tienen una percepción de ",LJ1046,", el ",ROUND(LI9*100,0),"%"," ",LJ1047,", un ",ROUND(LI10*100,0),"%"," ",LJ1048,",",IF(LH1049&gt;0,CONCATENATE(" ademas el ",ROUND(LI11*100,0),"%"," ",LJ1049,)," "),IF(LH1049&gt;0,CONCATENATE(" y ",ROUND(LI12*100,0),"%",", ",LJ1050,)," "),"en tal sentido la mayoría de los ",LG1045," es decir el ",ROUND(LH1053*100,0),"%"," tienen una percepción con una inclinación a un valor ",LG1056,","," para ",LH1062,".")</f>
        <v>0</v>
      </c>
      <c r="LK35" s="11"/>
      <c r="LN35" s="11"/>
      <c r="LP35" s="27" t="str">
        <f>CONCATENATE("En ","la ",LP5," y ",LP33," se observa los resultados  del  ",LP4," el cual aborda ",LQ1062,",en donde se demuestra que el ",ROUND(LR8*100,0),"%"," de los ",LP1045," tienen una percepción de ",LS1046,", el ",ROUND(LR9*100,0),"%"," ",LS1047,", un ",ROUND(LR10*100,0),"%"," ",LS1048,",",IF(LQ1049&gt;0,CONCATENATE(" ademas el ",ROUND(LR11*100,0),"%"," ",LS1049,)," "),IF(LQ1049&gt;0,CONCATENATE(" y ",ROUND(LR12*100,0),"%",", ",LS1050,)," "),"en tal sentido la mayoría de los ",LP1045," es decir el ",ROUND(LQ1053*100,0),"%"," tienen una percepción con una inclinación a un valor ",LP1056,","," para ",LQ1062,".")</f>
        <v>0</v>
      </c>
      <c r="LT35" s="11"/>
      <c r="LW35" s="11"/>
      <c r="LY35" s="27" t="str">
        <f>CONCATENATE("En ","la ",LY5," y ",LY33," se observa los resultados  del  ",LY4," el cual aborda ",LZ1062,",en donde se demuestra que el ",ROUND(MA8*100,0),"%"," de los ",LY1045," tienen una percepción de ",MB1046,", el ",ROUND(MA9*100,0),"%"," ",MB1047,", un ",ROUND(MA10*100,0),"%"," ",MB1048,",",IF(LZ1049&gt;0,CONCATENATE(" ademas el ",ROUND(MA11*100,0),"%"," ",MB1049,)," "),IF(LZ1049&gt;0,CONCATENATE(" y ",ROUND(MA12*100,0),"%",", ",MB1050,)," "),"en tal sentido la mayoría de los ",LY1045," es decir el ",ROUND(LZ1053*100,0),"%"," tienen una percepción con una inclinación a un valor ",LY1056,","," para ",LZ1062,".")</f>
        <v>0</v>
      </c>
      <c r="MC35" s="11"/>
      <c r="MF35" s="11"/>
      <c r="MH35" s="27" t="str">
        <f>CONCATENATE("En ","la ",MH5," y ",MH33," se observa los resultados  del  ",MH4," el cual aborda ",MI1062,",en donde se demuestra que el ",ROUND(MJ8*100,0),"%"," de los ",MH1045," tienen una percepción de ",MK1046,", el ",ROUND(MJ9*100,0),"%"," ",MK1047,", un ",ROUND(MJ10*100,0),"%"," ",MK1048,",",IF(MI1049&gt;0,CONCATENATE(" ademas el ",ROUND(MJ11*100,0),"%"," ",MK1049,)," "),IF(MI1049&gt;0,CONCATENATE(" y ",ROUND(MJ12*100,0),"%",", ",MK1050,)," "),"en tal sentido la mayoría de los ",MH1045," es decir el ",ROUND(MI1053*100,0),"%"," tienen una percepción con una inclinación a un valor ",MH1056,","," para ",MI1062,".")</f>
        <v>0</v>
      </c>
      <c r="ML35" s="11"/>
      <c r="MO35" s="11"/>
      <c r="MQ35" s="27" t="str">
        <f>CONCATENATE("En ","la ",MQ5," y ",MQ33," se observa los resultados  del  ",MQ4," el cual aborda ",MR1062,",en donde se demuestra que el ",ROUND(MS8*100,0),"%"," de los ",MQ1045," tienen una percepción de ",MT1046,", el ",ROUND(MS9*100,0),"%"," ",MT1047,", un ",ROUND(MS10*100,0),"%"," ",MT1048,",",IF(MR1049&gt;0,CONCATENATE(" ademas el ",ROUND(MS11*100,0),"%"," ",MT1049,)," "),IF(MR1049&gt;0,CONCATENATE(" y ",ROUND(MS12*100,0),"%",", ",MT1050,)," "),"en tal sentido la mayoría de los ",MQ1045," es decir el ",ROUND(MR1053*100,0),"%"," tienen una percepción con una inclinación a un valor ",MQ1056,","," para ",MR1062,".")</f>
        <v>0</v>
      </c>
      <c r="MU35" s="11"/>
    </row>
    <row r="36" spans="1:359">
      <c r="B36" s="11"/>
      <c r="H36" s="11"/>
      <c r="K36" s="11"/>
      <c r="Q36" s="11"/>
      <c r="T36" s="11"/>
      <c r="Z36" s="11"/>
      <c r="AC36" s="11"/>
      <c r="AI36" s="11"/>
      <c r="AL36" s="11"/>
      <c r="AR36" s="11"/>
      <c r="AU36" s="11"/>
      <c r="BA36" s="11"/>
      <c r="BD36" s="11"/>
      <c r="BJ36" s="11"/>
      <c r="BM36" s="11"/>
      <c r="BS36" s="11"/>
      <c r="BV36" s="11"/>
      <c r="CB36" s="11"/>
      <c r="CE36" s="11"/>
      <c r="CK36" s="11"/>
      <c r="CN36" s="11"/>
      <c r="CT36" s="11"/>
      <c r="CW36" s="11"/>
      <c r="DC36" s="11"/>
      <c r="DF36" s="11"/>
      <c r="DL36" s="11"/>
      <c r="DO36" s="11"/>
      <c r="DU36" s="11"/>
      <c r="DX36" s="11"/>
      <c r="ED36" s="11"/>
      <c r="EG36" s="11"/>
      <c r="EM36" s="11"/>
      <c r="EP36" s="11"/>
      <c r="EV36" s="11"/>
      <c r="EY36" s="11"/>
      <c r="FE36" s="11"/>
      <c r="FH36" s="11"/>
      <c r="FN36" s="11"/>
      <c r="FQ36" s="11"/>
      <c r="FW36" s="11"/>
      <c r="FZ36" s="11"/>
      <c r="GF36" s="11"/>
      <c r="GI36" s="11"/>
      <c r="GO36" s="11"/>
      <c r="GR36" s="11"/>
      <c r="GX36" s="11"/>
      <c r="HA36" s="11"/>
      <c r="HG36" s="11"/>
      <c r="HJ36" s="11"/>
      <c r="HP36" s="11"/>
      <c r="HS36" s="11"/>
      <c r="HY36" s="11"/>
      <c r="IB36" s="11"/>
      <c r="IH36" s="11"/>
      <c r="IK36" s="11"/>
      <c r="IQ36" s="11"/>
      <c r="IT36" s="11"/>
      <c r="IZ36" s="11"/>
      <c r="JC36" s="11"/>
      <c r="JI36" s="11"/>
      <c r="JL36" s="11"/>
      <c r="JR36" s="11"/>
      <c r="JU36" s="11"/>
      <c r="KA36" s="11"/>
      <c r="KD36" s="11"/>
      <c r="KJ36" s="11"/>
      <c r="KM36" s="11"/>
      <c r="KS36" s="11"/>
      <c r="KV36" s="11"/>
      <c r="LB36" s="11"/>
      <c r="LE36" s="11"/>
      <c r="LK36" s="11"/>
      <c r="LN36" s="11"/>
      <c r="LT36" s="11"/>
      <c r="LW36" s="11"/>
      <c r="MC36" s="11"/>
      <c r="MF36" s="11"/>
      <c r="ML36" s="11"/>
      <c r="MO36" s="11"/>
      <c r="MU36" s="11"/>
    </row>
    <row r="37" spans="1:359">
      <c r="B37" s="11"/>
      <c r="H37" s="11"/>
      <c r="K37" s="11"/>
      <c r="Q37" s="11"/>
      <c r="T37" s="11"/>
      <c r="Z37" s="11"/>
      <c r="AC37" s="11"/>
      <c r="AI37" s="11"/>
      <c r="AL37" s="11"/>
      <c r="AR37" s="11"/>
      <c r="AU37" s="11"/>
      <c r="BA37" s="11"/>
      <c r="BD37" s="11"/>
      <c r="BJ37" s="11"/>
      <c r="BM37" s="11"/>
      <c r="BS37" s="11"/>
      <c r="BV37" s="11"/>
      <c r="CB37" s="11"/>
      <c r="CE37" s="11"/>
      <c r="CK37" s="11"/>
      <c r="CN37" s="11"/>
      <c r="CT37" s="11"/>
      <c r="CW37" s="11"/>
      <c r="DC37" s="11"/>
      <c r="DF37" s="11"/>
      <c r="DL37" s="11"/>
      <c r="DO37" s="11"/>
      <c r="DU37" s="11"/>
      <c r="DX37" s="11"/>
      <c r="ED37" s="11"/>
      <c r="EG37" s="11"/>
      <c r="EM37" s="11"/>
      <c r="EP37" s="11"/>
      <c r="EV37" s="11"/>
      <c r="EY37" s="11"/>
      <c r="FE37" s="11"/>
      <c r="FH37" s="11"/>
      <c r="FN37" s="11"/>
      <c r="FQ37" s="11"/>
      <c r="FW37" s="11"/>
      <c r="FZ37" s="11"/>
      <c r="GF37" s="11"/>
      <c r="GI37" s="11"/>
      <c r="GO37" s="11"/>
      <c r="GR37" s="11"/>
      <c r="GX37" s="11"/>
      <c r="HA37" s="11"/>
      <c r="HG37" s="11"/>
      <c r="HJ37" s="11"/>
      <c r="HP37" s="11"/>
      <c r="HS37" s="11"/>
      <c r="HY37" s="11"/>
      <c r="IB37" s="11"/>
      <c r="IH37" s="11"/>
      <c r="IK37" s="11"/>
      <c r="IQ37" s="11"/>
      <c r="IT37" s="11"/>
      <c r="IZ37" s="11"/>
      <c r="JC37" s="11"/>
      <c r="JI37" s="11"/>
      <c r="JL37" s="11"/>
      <c r="JR37" s="11"/>
      <c r="JU37" s="11"/>
      <c r="KA37" s="11"/>
      <c r="KD37" s="11"/>
      <c r="KJ37" s="11"/>
      <c r="KM37" s="11"/>
      <c r="KS37" s="11"/>
      <c r="KV37" s="11"/>
      <c r="LB37" s="11"/>
      <c r="LE37" s="11"/>
      <c r="LK37" s="11"/>
      <c r="LN37" s="11"/>
      <c r="LT37" s="11"/>
      <c r="LW37" s="11"/>
      <c r="MC37" s="11"/>
      <c r="MF37" s="11"/>
      <c r="ML37" s="11"/>
      <c r="MO37" s="11"/>
      <c r="MU37" s="11"/>
    </row>
    <row r="38" spans="1:359">
      <c r="B38" s="11"/>
      <c r="H38" s="11"/>
      <c r="K38" s="11"/>
      <c r="Q38" s="11"/>
      <c r="T38" s="11"/>
      <c r="Z38" s="11"/>
      <c r="AC38" s="11"/>
      <c r="AI38" s="11"/>
      <c r="AL38" s="11"/>
      <c r="AR38" s="11"/>
      <c r="AU38" s="11"/>
      <c r="BA38" s="11"/>
      <c r="BD38" s="11"/>
      <c r="BJ38" s="11"/>
      <c r="BM38" s="11"/>
      <c r="BS38" s="11"/>
      <c r="BV38" s="11"/>
      <c r="CB38" s="11"/>
      <c r="CE38" s="11"/>
      <c r="CK38" s="11"/>
      <c r="CN38" s="11"/>
      <c r="CT38" s="11"/>
      <c r="CW38" s="11"/>
      <c r="DC38" s="11"/>
      <c r="DF38" s="11"/>
      <c r="DL38" s="11"/>
      <c r="DO38" s="11"/>
      <c r="DU38" s="11"/>
      <c r="DX38" s="11"/>
      <c r="ED38" s="11"/>
      <c r="EG38" s="11"/>
      <c r="EM38" s="11"/>
      <c r="EP38" s="11"/>
      <c r="EV38" s="11"/>
      <c r="EY38" s="11"/>
      <c r="FE38" s="11"/>
      <c r="FH38" s="11"/>
      <c r="FN38" s="11"/>
      <c r="FQ38" s="11"/>
      <c r="FW38" s="11"/>
      <c r="FZ38" s="11"/>
      <c r="GF38" s="11"/>
      <c r="GI38" s="11"/>
      <c r="GO38" s="11"/>
      <c r="GR38" s="11"/>
      <c r="GX38" s="11"/>
      <c r="HA38" s="11"/>
      <c r="HG38" s="11"/>
      <c r="HJ38" s="11"/>
      <c r="HP38" s="11"/>
      <c r="HS38" s="11"/>
      <c r="HY38" s="11"/>
      <c r="IB38" s="11"/>
      <c r="IH38" s="11"/>
      <c r="IK38" s="11"/>
      <c r="IQ38" s="11"/>
      <c r="IT38" s="11"/>
      <c r="IZ38" s="11"/>
      <c r="JC38" s="11"/>
      <c r="JI38" s="11"/>
      <c r="JL38" s="11"/>
      <c r="JR38" s="11"/>
      <c r="JU38" s="11"/>
      <c r="KA38" s="11"/>
      <c r="KD38" s="11"/>
      <c r="KJ38" s="11"/>
      <c r="KM38" s="11"/>
      <c r="KS38" s="11"/>
      <c r="KV38" s="11"/>
      <c r="LB38" s="11"/>
      <c r="LE38" s="11"/>
      <c r="LK38" s="11"/>
      <c r="LN38" s="11"/>
      <c r="LT38" s="11"/>
      <c r="LW38" s="11"/>
      <c r="MC38" s="11"/>
      <c r="MF38" s="11"/>
      <c r="ML38" s="11"/>
      <c r="MO38" s="11"/>
      <c r="MU38" s="11"/>
    </row>
    <row r="39" spans="1:359">
      <c r="B39" s="11"/>
      <c r="H39" s="11"/>
      <c r="K39" s="11"/>
      <c r="Q39" s="11"/>
      <c r="T39" s="11"/>
      <c r="Z39" s="11"/>
      <c r="AC39" s="11"/>
      <c r="AI39" s="11"/>
      <c r="AL39" s="11"/>
      <c r="AR39" s="11"/>
      <c r="AU39" s="11"/>
      <c r="BA39" s="11"/>
      <c r="BD39" s="11"/>
      <c r="BJ39" s="11"/>
      <c r="BM39" s="11"/>
      <c r="BS39" s="11"/>
      <c r="BV39" s="11"/>
      <c r="CB39" s="11"/>
      <c r="CE39" s="11"/>
      <c r="CK39" s="11"/>
      <c r="CN39" s="11"/>
      <c r="CT39" s="11"/>
      <c r="CW39" s="11"/>
      <c r="DC39" s="11"/>
      <c r="DF39" s="11"/>
      <c r="DL39" s="11"/>
      <c r="DO39" s="11"/>
      <c r="DU39" s="11"/>
      <c r="DX39" s="11"/>
      <c r="ED39" s="11"/>
      <c r="EG39" s="11"/>
      <c r="EM39" s="11"/>
      <c r="EP39" s="11"/>
      <c r="EV39" s="11"/>
      <c r="EY39" s="11"/>
      <c r="FE39" s="11"/>
      <c r="FH39" s="11"/>
      <c r="FN39" s="11"/>
      <c r="FQ39" s="11"/>
      <c r="FW39" s="11"/>
      <c r="FZ39" s="11"/>
      <c r="GF39" s="11"/>
      <c r="GI39" s="11"/>
      <c r="GO39" s="11"/>
      <c r="GR39" s="11"/>
      <c r="GX39" s="11"/>
      <c r="HA39" s="11"/>
      <c r="HG39" s="11"/>
      <c r="HJ39" s="11"/>
      <c r="HP39" s="11"/>
      <c r="HS39" s="11"/>
      <c r="HY39" s="11"/>
      <c r="IB39" s="11"/>
      <c r="IH39" s="11"/>
      <c r="IK39" s="11"/>
      <c r="IQ39" s="11"/>
      <c r="IT39" s="11"/>
      <c r="IZ39" s="11"/>
      <c r="JC39" s="11"/>
      <c r="JI39" s="11"/>
      <c r="JL39" s="11"/>
      <c r="JR39" s="11"/>
      <c r="JU39" s="11"/>
      <c r="KA39" s="11"/>
      <c r="KD39" s="11"/>
      <c r="KJ39" s="11"/>
      <c r="KM39" s="11"/>
      <c r="KS39" s="11"/>
      <c r="KV39" s="11"/>
      <c r="LB39" s="11"/>
      <c r="LE39" s="11"/>
      <c r="LK39" s="11"/>
      <c r="LN39" s="11"/>
      <c r="LT39" s="11"/>
      <c r="LW39" s="11"/>
      <c r="MC39" s="11"/>
      <c r="MF39" s="11"/>
      <c r="ML39" s="11"/>
      <c r="MO39" s="11"/>
      <c r="MU39" s="11"/>
    </row>
    <row r="1045" spans="1:359">
      <c r="D1045" s="33" t="s">
        <v>435</v>
      </c>
      <c r="E1045" s="33"/>
      <c r="M1045" s="33" t="s">
        <v>435</v>
      </c>
      <c r="N1045" s="33"/>
      <c r="V1045" s="33" t="s">
        <v>435</v>
      </c>
      <c r="W1045" s="33"/>
      <c r="AE1045" s="33" t="s">
        <v>435</v>
      </c>
      <c r="AF1045" s="33"/>
      <c r="AN1045" s="33" t="s">
        <v>435</v>
      </c>
      <c r="AO1045" s="33"/>
      <c r="AW1045" s="33" t="s">
        <v>435</v>
      </c>
      <c r="AX1045" s="33"/>
      <c r="BF1045" s="33" t="s">
        <v>435</v>
      </c>
      <c r="BG1045" s="33"/>
      <c r="BO1045" s="33" t="s">
        <v>435</v>
      </c>
      <c r="BP1045" s="33"/>
      <c r="BX1045" s="33" t="s">
        <v>435</v>
      </c>
      <c r="BY1045" s="33"/>
      <c r="CG1045" s="33" t="s">
        <v>435</v>
      </c>
      <c r="CH1045" s="33"/>
      <c r="CP1045" s="33" t="s">
        <v>435</v>
      </c>
      <c r="CQ1045" s="33"/>
      <c r="CY1045" s="33" t="s">
        <v>435</v>
      </c>
      <c r="CZ1045" s="33"/>
      <c r="DH1045" s="33" t="s">
        <v>435</v>
      </c>
      <c r="DI1045" s="33"/>
      <c r="DQ1045" s="33" t="s">
        <v>435</v>
      </c>
      <c r="DR1045" s="33"/>
      <c r="DZ1045" s="33" t="s">
        <v>435</v>
      </c>
      <c r="EA1045" s="33"/>
      <c r="EI1045" s="33" t="s">
        <v>435</v>
      </c>
      <c r="EJ1045" s="33"/>
      <c r="ER1045" s="33" t="s">
        <v>435</v>
      </c>
      <c r="ES1045" s="33"/>
      <c r="FA1045" s="33" t="s">
        <v>435</v>
      </c>
      <c r="FB1045" s="33"/>
      <c r="FJ1045" s="33" t="s">
        <v>435</v>
      </c>
      <c r="FK1045" s="33"/>
      <c r="FS1045" s="33" t="s">
        <v>435</v>
      </c>
      <c r="FT1045" s="33"/>
      <c r="GB1045" s="33" t="s">
        <v>435</v>
      </c>
      <c r="GC1045" s="33"/>
      <c r="GK1045" s="33" t="s">
        <v>435</v>
      </c>
      <c r="GL1045" s="33"/>
      <c r="GT1045" s="33" t="s">
        <v>435</v>
      </c>
      <c r="GU1045" s="33"/>
      <c r="HC1045" s="33" t="s">
        <v>435</v>
      </c>
      <c r="HD1045" s="33"/>
      <c r="HL1045" s="33" t="s">
        <v>435</v>
      </c>
      <c r="HM1045" s="33"/>
      <c r="HU1045" s="33" t="s">
        <v>435</v>
      </c>
      <c r="HV1045" s="33"/>
      <c r="ID1045" s="33" t="s">
        <v>435</v>
      </c>
      <c r="IE1045" s="33"/>
      <c r="IM1045" s="33" t="s">
        <v>435</v>
      </c>
      <c r="IN1045" s="33"/>
      <c r="IV1045" s="33" t="s">
        <v>435</v>
      </c>
      <c r="IW1045" s="33"/>
      <c r="JE1045" s="33" t="s">
        <v>435</v>
      </c>
      <c r="JF1045" s="33"/>
      <c r="JN1045" s="33" t="s">
        <v>435</v>
      </c>
      <c r="JO1045" s="33"/>
      <c r="JW1045" s="33" t="s">
        <v>435</v>
      </c>
      <c r="JX1045" s="33"/>
      <c r="KF1045" s="33" t="s">
        <v>435</v>
      </c>
      <c r="KG1045" s="33"/>
      <c r="KO1045" s="33" t="s">
        <v>435</v>
      </c>
      <c r="KP1045" s="33"/>
      <c r="KX1045" s="33" t="s">
        <v>435</v>
      </c>
      <c r="KY1045" s="33"/>
      <c r="LG1045" s="33" t="s">
        <v>435</v>
      </c>
      <c r="LH1045" s="33"/>
      <c r="LP1045" s="33" t="s">
        <v>435</v>
      </c>
      <c r="LQ1045" s="33"/>
      <c r="LY1045" s="33" t="s">
        <v>435</v>
      </c>
      <c r="LZ1045" s="33"/>
      <c r="MH1045" s="33" t="s">
        <v>435</v>
      </c>
      <c r="MI1045" s="33"/>
      <c r="MQ1045" s="33" t="s">
        <v>435</v>
      </c>
      <c r="MR1045" s="33"/>
    </row>
    <row r="1046" spans="1:359">
      <c r="C1046" s="33">
        <v>1</v>
      </c>
      <c r="D1046" s="33" t="str">
        <f>IF(E1046=F8,D8,IF(E1046=F9,D9,IF(E1046=F10,D10,IF(E1046=F11,D11,IF(E1046=F12,D12,"ALGO ESTA MAL")))))</f>
        <v>0</v>
      </c>
      <c r="E1046" s="34" t="str">
        <f>LARGE($F$8:$F$12,C1046)</f>
        <v>0</v>
      </c>
      <c r="F1046" s="34" t="str">
        <f>IF(E1046&gt;0.1%,E1046,"Algo Esta Mal")</f>
        <v>0</v>
      </c>
      <c r="G1046" s="33" t="str">
        <f>IF(F1046=E1046,D1046," ")</f>
        <v>0</v>
      </c>
      <c r="L1046" s="33">
        <v>1</v>
      </c>
      <c r="M1046" s="33" t="str">
        <f>IF(N1046=O8,M8,IF(N1046=O9,M9,IF(N1046=O10,M10,IF(N1046=O11,M11,IF(N1046=O12,M12,"ALGO ESTA MAL")))))</f>
        <v>0</v>
      </c>
      <c r="N1046" s="34" t="str">
        <f>LARGE($O$8:$O$12,L1046)</f>
        <v>0</v>
      </c>
      <c r="O1046" s="34" t="str">
        <f>IF(N1046&gt;0.1%,N1046,"Algo Esta Mal")</f>
        <v>0</v>
      </c>
      <c r="P1046" s="33" t="str">
        <f>IF(O1046=N1046,M1046," ")</f>
        <v>0</v>
      </c>
      <c r="U1046" s="33">
        <v>1</v>
      </c>
      <c r="V1046" s="33" t="str">
        <f>IF(W1046=X8,V8,IF(W1046=X9,V9,IF(W1046=X10,V10,IF(W1046=X11,V11,IF(W1046=X12,V12,"ALGO ESTA MAL")))))</f>
        <v>0</v>
      </c>
      <c r="W1046" s="34" t="str">
        <f>LARGE($X$8:$X$12,U1046)</f>
        <v>0</v>
      </c>
      <c r="X1046" s="34" t="str">
        <f>IF(W1046&gt;0.1%,W1046,"Algo Esta Mal")</f>
        <v>0</v>
      </c>
      <c r="Y1046" s="33" t="str">
        <f>IF(X1046=W1046,V1046," ")</f>
        <v>0</v>
      </c>
      <c r="AD1046" s="33">
        <v>1</v>
      </c>
      <c r="AE1046" s="33" t="str">
        <f>IF(AF1046=AG8,AE8,IF(AF1046=AG9,AE9,IF(AF1046=AG10,AE10,IF(AF1046=AG11,AE11,IF(AF1046=AG12,AE12,"ALGO ESTA MAL")))))</f>
        <v>0</v>
      </c>
      <c r="AF1046" s="34" t="str">
        <f>LARGE($AG$8:$AG$12,AD1046)</f>
        <v>0</v>
      </c>
      <c r="AG1046" s="34" t="str">
        <f>IF(AF1046&gt;0.1%,AF1046,"Algo Esta Mal")</f>
        <v>0</v>
      </c>
      <c r="AH1046" s="33" t="str">
        <f>IF(AG1046=AF1046,AE1046," ")</f>
        <v>0</v>
      </c>
      <c r="AM1046" s="33">
        <v>1</v>
      </c>
      <c r="AN1046" s="33" t="str">
        <f>IF(AO1046=AP8,AN8,IF(AO1046=AP9,AN9,IF(AO1046=AP10,AN10,IF(AO1046=AP11,AN11,IF(AO1046=AP12,AN12,"ALGO ESTA MAL")))))</f>
        <v>0</v>
      </c>
      <c r="AO1046" s="34" t="str">
        <f>LARGE($AP$8:$AP$12,AM1046)</f>
        <v>0</v>
      </c>
      <c r="AP1046" s="34" t="str">
        <f>IF(AO1046&gt;0.1%,AO1046,"Algo Esta Mal")</f>
        <v>0</v>
      </c>
      <c r="AQ1046" s="33" t="str">
        <f>IF(AP1046=AO1046,AN1046," ")</f>
        <v>0</v>
      </c>
      <c r="AV1046" s="33">
        <v>1</v>
      </c>
      <c r="AW1046" s="33" t="str">
        <f>IF(AX1046=AY8,AW8,IF(AX1046=AY9,AW9,IF(AX1046=AY10,AW10,IF(AX1046=AY11,AW11,IF(AX1046=AY12,AW12,"ALGO ESTA MAL")))))</f>
        <v>0</v>
      </c>
      <c r="AX1046" s="34" t="str">
        <f>LARGE($AY$8:$AY$12,AV1046)</f>
        <v>0</v>
      </c>
      <c r="AY1046" s="34" t="str">
        <f>IF(AX1046&gt;0.1%,AX1046,"Algo Esta Mal")</f>
        <v>0</v>
      </c>
      <c r="AZ1046" s="33" t="str">
        <f>IF(AY1046=AX1046,AW1046," ")</f>
        <v>0</v>
      </c>
      <c r="BE1046" s="33">
        <v>1</v>
      </c>
      <c r="BF1046" s="33" t="str">
        <f>IF(BG1046=BH8,BF8,IF(BG1046=BH9,BF9,IF(BG1046=BH10,BF10,IF(BG1046=BH11,BF11,IF(BG1046=BH12,BF12,"ALGO ESTA MAL")))))</f>
        <v>0</v>
      </c>
      <c r="BG1046" s="34" t="str">
        <f>LARGE($BH$8:$BH$12,BE1046)</f>
        <v>0</v>
      </c>
      <c r="BH1046" s="34" t="str">
        <f>IF(BG1046&gt;0.1%,BG1046,"Algo Esta Mal")</f>
        <v>0</v>
      </c>
      <c r="BI1046" s="33" t="str">
        <f>IF(BH1046=BG1046,BF1046," ")</f>
        <v>0</v>
      </c>
      <c r="BN1046" s="33">
        <v>1</v>
      </c>
      <c r="BO1046" s="33" t="str">
        <f>IF(BP1046=BQ8,BO8,IF(BP1046=BQ9,BO9,IF(BP1046=BQ10,BO10,IF(BP1046=BQ11,BO11,IF(BP1046=BQ12,BO12,"ALGO ESTA MAL")))))</f>
        <v>0</v>
      </c>
      <c r="BP1046" s="34" t="str">
        <f>LARGE($BQ$8:$BQ$12,BN1046)</f>
        <v>0</v>
      </c>
      <c r="BQ1046" s="34" t="str">
        <f>IF(BP1046&gt;0.1%,BP1046,"Algo Esta Mal")</f>
        <v>0</v>
      </c>
      <c r="BR1046" s="33" t="str">
        <f>IF(BQ1046=BP1046,BO1046," ")</f>
        <v>0</v>
      </c>
      <c r="BW1046" s="33">
        <v>1</v>
      </c>
      <c r="BX1046" s="33" t="str">
        <f>IF(BY1046=BZ8,BX8,IF(BY1046=BZ9,BX9,IF(BY1046=BZ10,BX10,IF(BY1046=BZ11,BX11,IF(BY1046=BZ12,BX12,"ALGO ESTA MAL")))))</f>
        <v>0</v>
      </c>
      <c r="BY1046" s="34" t="str">
        <f>LARGE($BZ$8:$BZ$12,BW1046)</f>
        <v>0</v>
      </c>
      <c r="BZ1046" s="34" t="str">
        <f>IF(BY1046&gt;0.1%,BY1046,"Algo Esta Mal")</f>
        <v>0</v>
      </c>
      <c r="CA1046" s="33" t="str">
        <f>IF(BZ1046=BY1046,BX1046," ")</f>
        <v>0</v>
      </c>
      <c r="CF1046" s="33">
        <v>1</v>
      </c>
      <c r="CG1046" s="33" t="str">
        <f>IF(CH1046=CI8,CG8,IF(CH1046=CI9,CG9,IF(CH1046=CI10,CG10,IF(CH1046=CI11,CG11,IF(CH1046=CI12,CG12,"ALGO ESTA MAL")))))</f>
        <v>0</v>
      </c>
      <c r="CH1046" s="34" t="str">
        <f>LARGE($CI$8:$CI$12,CF1046)</f>
        <v>0</v>
      </c>
      <c r="CI1046" s="34" t="str">
        <f>IF(CH1046&gt;0.1%,CH1046,"Algo Esta Mal")</f>
        <v>0</v>
      </c>
      <c r="CJ1046" s="33" t="str">
        <f>IF(CI1046=CH1046,CG1046," ")</f>
        <v>0</v>
      </c>
      <c r="CO1046" s="33">
        <v>1</v>
      </c>
      <c r="CP1046" s="33" t="str">
        <f>IF(CQ1046=CR8,CP8,IF(CQ1046=CR9,CP9,IF(CQ1046=CR10,CP10,IF(CQ1046=CR11,CP11,IF(CQ1046=CR12,CP12,"ALGO ESTA MAL")))))</f>
        <v>0</v>
      </c>
      <c r="CQ1046" s="34" t="str">
        <f>LARGE($CR$8:$CR$12,CO1046)</f>
        <v>0</v>
      </c>
      <c r="CR1046" s="34" t="str">
        <f>IF(CQ1046&gt;0.1%,CQ1046,"Algo Esta Mal")</f>
        <v>0</v>
      </c>
      <c r="CS1046" s="33" t="str">
        <f>IF(CR1046=CQ1046,CP1046," ")</f>
        <v>0</v>
      </c>
      <c r="CX1046" s="33">
        <v>1</v>
      </c>
      <c r="CY1046" s="33" t="str">
        <f>IF(CZ1046=DA8,CY8,IF(CZ1046=DA9,CY9,IF(CZ1046=DA10,CY10,IF(CZ1046=DA11,CY11,IF(CZ1046=DA12,CY12,"ALGO ESTA MAL")))))</f>
        <v>0</v>
      </c>
      <c r="CZ1046" s="34" t="str">
        <f>LARGE($DA$8:$DA$12,CX1046)</f>
        <v>0</v>
      </c>
      <c r="DA1046" s="34" t="str">
        <f>IF(CZ1046&gt;0.1%,CZ1046,"Algo Esta Mal")</f>
        <v>0</v>
      </c>
      <c r="DB1046" s="33" t="str">
        <f>IF(DA1046=CZ1046,CY1046," ")</f>
        <v>0</v>
      </c>
      <c r="DG1046" s="33">
        <v>1</v>
      </c>
      <c r="DH1046" s="33" t="str">
        <f>IF(DI1046=DJ8,DH8,IF(DI1046=DJ9,DH9,IF(DI1046=DJ10,DH10,IF(DI1046=DJ11,DH11,IF(DI1046=DJ12,DH12,"ALGO ESTA MAL")))))</f>
        <v>0</v>
      </c>
      <c r="DI1046" s="34" t="str">
        <f>LARGE($DJ$8:$DJ$12,DG1046)</f>
        <v>0</v>
      </c>
      <c r="DJ1046" s="34" t="str">
        <f>IF(DI1046&gt;0.1%,DI1046,"Algo Esta Mal")</f>
        <v>0</v>
      </c>
      <c r="DK1046" s="33" t="str">
        <f>IF(DJ1046=DI1046,DH1046," ")</f>
        <v>0</v>
      </c>
      <c r="DP1046" s="33">
        <v>1</v>
      </c>
      <c r="DQ1046" s="33" t="str">
        <f>IF(DR1046=DS8,DQ8,IF(DR1046=DS9,DQ9,IF(DR1046=DS10,DQ10,IF(DR1046=DS11,DQ11,IF(DR1046=DS12,DQ12,"ALGO ESTA MAL")))))</f>
        <v>0</v>
      </c>
      <c r="DR1046" s="34" t="str">
        <f>LARGE($DS$8:$DS$12,DP1046)</f>
        <v>0</v>
      </c>
      <c r="DS1046" s="34" t="str">
        <f>IF(DR1046&gt;0.1%,DR1046,"Algo Esta Mal")</f>
        <v>0</v>
      </c>
      <c r="DT1046" s="33" t="str">
        <f>IF(DS1046=DR1046,DQ1046," ")</f>
        <v>0</v>
      </c>
      <c r="DY1046" s="33">
        <v>1</v>
      </c>
      <c r="DZ1046" s="33" t="str">
        <f>IF(EA1046=EB8,DZ8,IF(EA1046=EB9,DZ9,IF(EA1046=EB10,DZ10,IF(EA1046=EB11,DZ11,IF(EA1046=EB12,DZ12,"ALGO ESTA MAL")))))</f>
        <v>0</v>
      </c>
      <c r="EA1046" s="34" t="str">
        <f>LARGE($EB$8:$EB$12,DY1046)</f>
        <v>0</v>
      </c>
      <c r="EB1046" s="34" t="str">
        <f>IF(EA1046&gt;0.1%,EA1046,"Algo Esta Mal")</f>
        <v>0</v>
      </c>
      <c r="EC1046" s="33" t="str">
        <f>IF(EB1046=EA1046,DZ1046," ")</f>
        <v>0</v>
      </c>
      <c r="EH1046" s="33">
        <v>1</v>
      </c>
      <c r="EI1046" s="33" t="str">
        <f>IF(EJ1046=EK8,EI8,IF(EJ1046=EK9,EI9,IF(EJ1046=EK10,EI10,IF(EJ1046=EK11,EI11,IF(EJ1046=EK12,EI12,"ALGO ESTA MAL")))))</f>
        <v>0</v>
      </c>
      <c r="EJ1046" s="34" t="str">
        <f>LARGE($EK$8:$EK$12,EH1046)</f>
        <v>0</v>
      </c>
      <c r="EK1046" s="34" t="str">
        <f>IF(EJ1046&gt;0.1%,EJ1046,"Algo Esta Mal")</f>
        <v>0</v>
      </c>
      <c r="EL1046" s="33" t="str">
        <f>IF(EK1046=EJ1046,EI1046," ")</f>
        <v>0</v>
      </c>
      <c r="EQ1046" s="33">
        <v>1</v>
      </c>
      <c r="ER1046" s="33" t="str">
        <f>IF(ES1046=ET8,ER8,IF(ES1046=ET9,ER9,IF(ES1046=ET10,ER10,IF(ES1046=ET11,ER11,IF(ES1046=ET12,ER12,"ALGO ESTA MAL")))))</f>
        <v>0</v>
      </c>
      <c r="ES1046" s="34" t="str">
        <f>LARGE($ET$8:$ET$12,EQ1046)</f>
        <v>0</v>
      </c>
      <c r="ET1046" s="34" t="str">
        <f>IF(ES1046&gt;0.1%,ES1046,"Algo Esta Mal")</f>
        <v>0</v>
      </c>
      <c r="EU1046" s="33" t="str">
        <f>IF(ET1046=ES1046,ER1046," ")</f>
        <v>0</v>
      </c>
      <c r="EZ1046" s="33">
        <v>1</v>
      </c>
      <c r="FA1046" s="33" t="str">
        <f>IF(FB1046=FC8,FA8,IF(FB1046=FC9,FA9,IF(FB1046=FC10,FA10,IF(FB1046=FC11,FA11,IF(FB1046=FC12,FA12,"ALGO ESTA MAL")))))</f>
        <v>0</v>
      </c>
      <c r="FB1046" s="34" t="str">
        <f>LARGE($FC$8:$FC$12,EZ1046)</f>
        <v>0</v>
      </c>
      <c r="FC1046" s="34" t="str">
        <f>IF(FB1046&gt;0.1%,FB1046,"Algo Esta Mal")</f>
        <v>0</v>
      </c>
      <c r="FD1046" s="33" t="str">
        <f>IF(FC1046=FB1046,FA1046," ")</f>
        <v>0</v>
      </c>
      <c r="FI1046" s="33">
        <v>1</v>
      </c>
      <c r="FJ1046" s="33" t="str">
        <f>IF(FK1046=FL8,FJ8,IF(FK1046=FL9,FJ9,IF(FK1046=FL10,FJ10,IF(FK1046=FL11,FJ11,IF(FK1046=FL12,FJ12,"ALGO ESTA MAL")))))</f>
        <v>0</v>
      </c>
      <c r="FK1046" s="34" t="str">
        <f>LARGE($FL$8:$FL$12,FI1046)</f>
        <v>0</v>
      </c>
      <c r="FL1046" s="34" t="str">
        <f>IF(FK1046&gt;0.1%,FK1046,"Algo Esta Mal")</f>
        <v>0</v>
      </c>
      <c r="FM1046" s="33" t="str">
        <f>IF(FL1046=FK1046,FJ1046," ")</f>
        <v>0</v>
      </c>
      <c r="FR1046" s="33">
        <v>1</v>
      </c>
      <c r="FS1046" s="33" t="str">
        <f>IF(FT1046=FU8,FS8,IF(FT1046=FU9,FS9,IF(FT1046=FU10,FS10,IF(FT1046=FU11,FS11,IF(FT1046=FU12,FS12,"ALGO ESTA MAL")))))</f>
        <v>0</v>
      </c>
      <c r="FT1046" s="34" t="str">
        <f>LARGE($FU$8:$FU$12,FR1046)</f>
        <v>0</v>
      </c>
      <c r="FU1046" s="34" t="str">
        <f>IF(FT1046&gt;0.1%,FT1046,"Algo Esta Mal")</f>
        <v>0</v>
      </c>
      <c r="FV1046" s="33" t="str">
        <f>IF(FU1046=FT1046,FS1046," ")</f>
        <v>0</v>
      </c>
      <c r="GA1046" s="33">
        <v>1</v>
      </c>
      <c r="GB1046" s="33" t="str">
        <f>IF(GC1046=GD8,GB8,IF(GC1046=GD9,GB9,IF(GC1046=GD10,GB10,IF(GC1046=GD11,GB11,IF(GC1046=GD12,GB12,"ALGO ESTA MAL")))))</f>
        <v>0</v>
      </c>
      <c r="GC1046" s="34" t="str">
        <f>LARGE($GD$8:$GD$12,GA1046)</f>
        <v>0</v>
      </c>
      <c r="GD1046" s="34" t="str">
        <f>IF(GC1046&gt;0.1%,GC1046,"Algo Esta Mal")</f>
        <v>0</v>
      </c>
      <c r="GE1046" s="33" t="str">
        <f>IF(GD1046=GC1046,GB1046," ")</f>
        <v>0</v>
      </c>
      <c r="GJ1046" s="33">
        <v>1</v>
      </c>
      <c r="GK1046" s="33" t="str">
        <f>IF(GL1046=GM8,GK8,IF(GL1046=GM9,GK9,IF(GL1046=GM10,GK10,IF(GL1046=GM11,GK11,IF(GL1046=GM12,GK12,"ALGO ESTA MAL")))))</f>
        <v>0</v>
      </c>
      <c r="GL1046" s="34" t="str">
        <f>LARGE($GM$8:$GM$12,GJ1046)</f>
        <v>0</v>
      </c>
      <c r="GM1046" s="34" t="str">
        <f>IF(GL1046&gt;0.1%,GL1046,"Algo Esta Mal")</f>
        <v>0</v>
      </c>
      <c r="GN1046" s="33" t="str">
        <f>IF(GM1046=GL1046,GK1046," ")</f>
        <v>0</v>
      </c>
      <c r="GS1046" s="33">
        <v>1</v>
      </c>
      <c r="GT1046" s="33" t="str">
        <f>IF(GU1046=GV8,GT8,IF(GU1046=GV9,GT9,IF(GU1046=GV10,GT10,IF(GU1046=GV11,GT11,IF(GU1046=GV12,GT12,"ALGO ESTA MAL")))))</f>
        <v>0</v>
      </c>
      <c r="GU1046" s="34" t="str">
        <f>LARGE($GV$8:$GV$12,GS1046)</f>
        <v>0</v>
      </c>
      <c r="GV1046" s="34" t="str">
        <f>IF(GU1046&gt;0.1%,GU1046,"Algo Esta Mal")</f>
        <v>0</v>
      </c>
      <c r="GW1046" s="33" t="str">
        <f>IF(GV1046=GU1046,GT1046," ")</f>
        <v>0</v>
      </c>
      <c r="HB1046" s="33">
        <v>1</v>
      </c>
      <c r="HC1046" s="33" t="str">
        <f>IF(HD1046=HE8,HC8,IF(HD1046=HE9,HC9,IF(HD1046=HE10,HC10,IF(HD1046=HE11,HC11,IF(HD1046=HE12,HC12,"ALGO ESTA MAL")))))</f>
        <v>0</v>
      </c>
      <c r="HD1046" s="34" t="str">
        <f>LARGE($HE$8:$HE$12,HB1046)</f>
        <v>0</v>
      </c>
      <c r="HE1046" s="34" t="str">
        <f>IF(HD1046&gt;0.1%,HD1046,"Algo Esta Mal")</f>
        <v>0</v>
      </c>
      <c r="HF1046" s="33" t="str">
        <f>IF(HE1046=HD1046,HC1046," ")</f>
        <v>0</v>
      </c>
      <c r="HK1046" s="33">
        <v>1</v>
      </c>
      <c r="HL1046" s="33" t="str">
        <f>IF(HM1046=HN8,HL8,IF(HM1046=HN9,HL9,IF(HM1046=HN10,HL10,IF(HM1046=HN11,HL11,IF(HM1046=HN12,HL12,"ALGO ESTA MAL")))))</f>
        <v>0</v>
      </c>
      <c r="HM1046" s="34" t="str">
        <f>LARGE($HN$8:$HN$12,HK1046)</f>
        <v>0</v>
      </c>
      <c r="HN1046" s="34" t="str">
        <f>IF(HM1046&gt;0.1%,HM1046,"Algo Esta Mal")</f>
        <v>0</v>
      </c>
      <c r="HO1046" s="33" t="str">
        <f>IF(HN1046=HM1046,HL1046," ")</f>
        <v>0</v>
      </c>
      <c r="HT1046" s="33">
        <v>1</v>
      </c>
      <c r="HU1046" s="33" t="str">
        <f>IF(HV1046=HW8,HU8,IF(HV1046=HW9,HU9,IF(HV1046=HW10,HU10,IF(HV1046=HW11,HU11,IF(HV1046=HW12,HU12,"ALGO ESTA MAL")))))</f>
        <v>0</v>
      </c>
      <c r="HV1046" s="34" t="str">
        <f>LARGE($HW$8:$HW$12,HT1046)</f>
        <v>0</v>
      </c>
      <c r="HW1046" s="34" t="str">
        <f>IF(HV1046&gt;0.1%,HV1046,"Algo Esta Mal")</f>
        <v>0</v>
      </c>
      <c r="HX1046" s="33" t="str">
        <f>IF(HW1046=HV1046,HU1046," ")</f>
        <v>0</v>
      </c>
      <c r="IC1046" s="33">
        <v>1</v>
      </c>
      <c r="ID1046" s="33" t="str">
        <f>IF(IE1046=IF8,ID8,IF(IE1046=IF9,ID9,IF(IE1046=IF10,ID10,IF(IE1046=IF11,ID11,IF(IE1046=IF12,ID12,"ALGO ESTA MAL")))))</f>
        <v>0</v>
      </c>
      <c r="IE1046" s="34" t="str">
        <f>LARGE($IF$8:$IF$12,IC1046)</f>
        <v>0</v>
      </c>
      <c r="IF1046" s="34" t="str">
        <f>IF(IE1046&gt;0.1%,IE1046,"Algo Esta Mal")</f>
        <v>0</v>
      </c>
      <c r="IG1046" s="33" t="str">
        <f>IF(IF1046=IE1046,ID1046," ")</f>
        <v>0</v>
      </c>
      <c r="IL1046" s="33">
        <v>1</v>
      </c>
      <c r="IM1046" s="33" t="str">
        <f>IF(IN1046=IO8,IM8,IF(IN1046=IO9,IM9,IF(IN1046=IO10,IM10,IF(IN1046=IO11,IM11,IF(IN1046=IO12,IM12,"ALGO ESTA MAL")))))</f>
        <v>0</v>
      </c>
      <c r="IN1046" s="34" t="str">
        <f>LARGE($IO$8:$IO$12,IL1046)</f>
        <v>0</v>
      </c>
      <c r="IO1046" s="34" t="str">
        <f>IF(IN1046&gt;0.1%,IN1046,"Algo Esta Mal")</f>
        <v>0</v>
      </c>
      <c r="IP1046" s="33" t="str">
        <f>IF(IO1046=IN1046,IM1046," ")</f>
        <v>0</v>
      </c>
      <c r="IU1046" s="33">
        <v>1</v>
      </c>
      <c r="IV1046" s="33" t="str">
        <f>IF(IW1046=IX8,IV8,IF(IW1046=IX9,IV9,IF(IW1046=IX10,IV10,IF(IW1046=IX11,IV11,IF(IW1046=IX12,IV12,"ALGO ESTA MAL")))))</f>
        <v>0</v>
      </c>
      <c r="IW1046" s="34" t="str">
        <f>LARGE($IX$8:$IX$12,IU1046)</f>
        <v>0</v>
      </c>
      <c r="IX1046" s="34" t="str">
        <f>IF(IW1046&gt;0.1%,IW1046,"Algo Esta Mal")</f>
        <v>0</v>
      </c>
      <c r="IY1046" s="33" t="str">
        <f>IF(IX1046=IW1046,IV1046," ")</f>
        <v>0</v>
      </c>
      <c r="JD1046" s="33">
        <v>1</v>
      </c>
      <c r="JE1046" s="33" t="str">
        <f>IF(JF1046=JG8,JE8,IF(JF1046=JG9,JE9,IF(JF1046=JG10,JE10,IF(JF1046=JG11,JE11,IF(JF1046=JG12,JE12,"ALGO ESTA MAL")))))</f>
        <v>0</v>
      </c>
      <c r="JF1046" s="34" t="str">
        <f>LARGE($JG$8:$JG$12,JD1046)</f>
        <v>0</v>
      </c>
      <c r="JG1046" s="34" t="str">
        <f>IF(JF1046&gt;0.1%,JF1046,"Algo Esta Mal")</f>
        <v>0</v>
      </c>
      <c r="JH1046" s="33" t="str">
        <f>IF(JG1046=JF1046,JE1046," ")</f>
        <v>0</v>
      </c>
      <c r="JM1046" s="33">
        <v>1</v>
      </c>
      <c r="JN1046" s="33" t="str">
        <f>IF(JO1046=JP8,JN8,IF(JO1046=JP9,JN9,IF(JO1046=JP10,JN10,IF(JO1046=JP11,JN11,IF(JO1046=JP12,JN12,"ALGO ESTA MAL")))))</f>
        <v>0</v>
      </c>
      <c r="JO1046" s="34" t="str">
        <f>LARGE($JP$8:$JP$12,JM1046)</f>
        <v>0</v>
      </c>
      <c r="JP1046" s="34" t="str">
        <f>IF(JO1046&gt;0.1%,JO1046,"Algo Esta Mal")</f>
        <v>0</v>
      </c>
      <c r="JQ1046" s="33" t="str">
        <f>IF(JP1046=JO1046,JN1046," ")</f>
        <v>0</v>
      </c>
      <c r="JV1046" s="33">
        <v>1</v>
      </c>
      <c r="JW1046" s="33" t="str">
        <f>IF(JX1046=JY8,JW8,IF(JX1046=JY9,JW9,IF(JX1046=JY10,JW10,IF(JX1046=JY11,JW11,IF(JX1046=JY12,JW12,"ALGO ESTA MAL")))))</f>
        <v>0</v>
      </c>
      <c r="JX1046" s="34" t="str">
        <f>LARGE($JY$8:$JY$12,JV1046)</f>
        <v>0</v>
      </c>
      <c r="JY1046" s="34" t="str">
        <f>IF(JX1046&gt;0.1%,JX1046,"Algo Esta Mal")</f>
        <v>0</v>
      </c>
      <c r="JZ1046" s="33" t="str">
        <f>IF(JY1046=JX1046,JW1046," ")</f>
        <v>0</v>
      </c>
      <c r="KE1046" s="33">
        <v>1</v>
      </c>
      <c r="KF1046" s="33" t="str">
        <f>IF(KG1046=KH8,KF8,IF(KG1046=KH9,KF9,IF(KG1046=KH10,KF10,IF(KG1046=KH11,KF11,IF(KG1046=KH12,KF12,"ALGO ESTA MAL")))))</f>
        <v>0</v>
      </c>
      <c r="KG1046" s="34" t="str">
        <f>LARGE($KH$8:$KH$12,KE1046)</f>
        <v>0</v>
      </c>
      <c r="KH1046" s="34" t="str">
        <f>IF(KG1046&gt;0.1%,KG1046,"Algo Esta Mal")</f>
        <v>0</v>
      </c>
      <c r="KI1046" s="33" t="str">
        <f>IF(KH1046=KG1046,KF1046," ")</f>
        <v>0</v>
      </c>
      <c r="KN1046" s="33">
        <v>1</v>
      </c>
      <c r="KO1046" s="33" t="str">
        <f>IF(KP1046=KQ8,KO8,IF(KP1046=KQ9,KO9,IF(KP1046=KQ10,KO10,IF(KP1046=KQ11,KO11,IF(KP1046=KQ12,KO12,"ALGO ESTA MAL")))))</f>
        <v>0</v>
      </c>
      <c r="KP1046" s="34" t="str">
        <f>LARGE($KQ$8:$KQ$12,KN1046)</f>
        <v>0</v>
      </c>
      <c r="KQ1046" s="34" t="str">
        <f>IF(KP1046&gt;0.1%,KP1046,"Algo Esta Mal")</f>
        <v>0</v>
      </c>
      <c r="KR1046" s="33" t="str">
        <f>IF(KQ1046=KP1046,KO1046," ")</f>
        <v>0</v>
      </c>
      <c r="KW1046" s="33">
        <v>1</v>
      </c>
      <c r="KX1046" s="33" t="str">
        <f>IF(KY1046=KZ8,KX8,IF(KY1046=KZ9,KX9,IF(KY1046=KZ10,KX10,IF(KY1046=KZ11,KX11,IF(KY1046=KZ12,KX12,"ALGO ESTA MAL")))))</f>
        <v>0</v>
      </c>
      <c r="KY1046" s="34" t="str">
        <f>LARGE($KZ$8:$KZ$12,KW1046)</f>
        <v>0</v>
      </c>
      <c r="KZ1046" s="34" t="str">
        <f>IF(KY1046&gt;0.1%,KY1046,"Algo Esta Mal")</f>
        <v>0</v>
      </c>
      <c r="LA1046" s="33" t="str">
        <f>IF(KZ1046=KY1046,KX1046," ")</f>
        <v>0</v>
      </c>
      <c r="LF1046" s="33">
        <v>1</v>
      </c>
      <c r="LG1046" s="33" t="str">
        <f>IF(LH1046=LI8,LG8,IF(LH1046=LI9,LG9,IF(LH1046=LI10,LG10,IF(LH1046=LI11,LG11,IF(LH1046=LI12,LG12,"ALGO ESTA MAL")))))</f>
        <v>0</v>
      </c>
      <c r="LH1046" s="34" t="str">
        <f>LARGE($LI$8:$LI$12,LF1046)</f>
        <v>0</v>
      </c>
      <c r="LI1046" s="34" t="str">
        <f>IF(LH1046&gt;0.1%,LH1046,"Algo Esta Mal")</f>
        <v>0</v>
      </c>
      <c r="LJ1046" s="33" t="str">
        <f>IF(LI1046=LH1046,LG1046," ")</f>
        <v>0</v>
      </c>
      <c r="LO1046" s="33">
        <v>1</v>
      </c>
      <c r="LP1046" s="33" t="str">
        <f>IF(LQ1046=LR8,LP8,IF(LQ1046=LR9,LP9,IF(LQ1046=LR10,LP10,IF(LQ1046=LR11,LP11,IF(LQ1046=LR12,LP12,"ALGO ESTA MAL")))))</f>
        <v>0</v>
      </c>
      <c r="LQ1046" s="34" t="str">
        <f>LARGE($LR$8:$LR$12,LO1046)</f>
        <v>0</v>
      </c>
      <c r="LR1046" s="34" t="str">
        <f>IF(LQ1046&gt;0.1%,LQ1046,"Algo Esta Mal")</f>
        <v>0</v>
      </c>
      <c r="LS1046" s="33" t="str">
        <f>IF(LR1046=LQ1046,LP1046," ")</f>
        <v>0</v>
      </c>
      <c r="LX1046" s="33">
        <v>1</v>
      </c>
      <c r="LY1046" s="33" t="str">
        <f>IF(LZ1046=MA8,LY8,IF(LZ1046=MA9,LY9,IF(LZ1046=MA10,LY10,IF(LZ1046=MA11,LY11,IF(LZ1046=MA12,LY12,"ALGO ESTA MAL")))))</f>
        <v>0</v>
      </c>
      <c r="LZ1046" s="34" t="str">
        <f>LARGE($MA$8:$MA$12,LX1046)</f>
        <v>0</v>
      </c>
      <c r="MA1046" s="34" t="str">
        <f>IF(LZ1046&gt;0.1%,LZ1046,"Algo Esta Mal")</f>
        <v>0</v>
      </c>
      <c r="MB1046" s="33" t="str">
        <f>IF(MA1046=LZ1046,LY1046," ")</f>
        <v>0</v>
      </c>
      <c r="MG1046" s="33">
        <v>1</v>
      </c>
      <c r="MH1046" s="33" t="str">
        <f>IF(MI1046=MJ8,MH8,IF(MI1046=MJ9,MH9,IF(MI1046=MJ10,MH10,IF(MI1046=MJ11,MH11,IF(MI1046=MJ12,MH12,"ALGO ESTA MAL")))))</f>
        <v>0</v>
      </c>
      <c r="MI1046" s="34" t="str">
        <f>LARGE($MJ$8:$MJ$12,MG1046)</f>
        <v>0</v>
      </c>
      <c r="MJ1046" s="34" t="str">
        <f>IF(MI1046&gt;0.1%,MI1046,"Algo Esta Mal")</f>
        <v>0</v>
      </c>
      <c r="MK1046" s="33" t="str">
        <f>IF(MJ1046=MI1046,MH1046," ")</f>
        <v>0</v>
      </c>
      <c r="MP1046" s="33">
        <v>1</v>
      </c>
      <c r="MQ1046" s="33" t="str">
        <f>IF(MR1046=MS8,MQ8,IF(MR1046=MS9,MQ9,IF(MR1046=MS10,MQ10,IF(MR1046=MS11,MQ11,IF(MR1046=MS12,MQ12,"ALGO ESTA MAL")))))</f>
        <v>0</v>
      </c>
      <c r="MR1046" s="34" t="str">
        <f>LARGE($MS$8:$MS$12,MP1046)</f>
        <v>0</v>
      </c>
      <c r="MS1046" s="34" t="str">
        <f>IF(MR1046&gt;0.1%,MR1046,"Algo Esta Mal")</f>
        <v>0</v>
      </c>
      <c r="MT1046" s="33" t="str">
        <f>IF(MS1046=MR1046,MQ1046," ")</f>
        <v>0</v>
      </c>
    </row>
    <row r="1047" spans="1:359">
      <c r="C1047" s="33">
        <v>2</v>
      </c>
      <c r="D1047" s="33" t="str">
        <f>IF(E1047=F8,D8,IF(E1047=F9,D9,IF(E1047=F10,D10,IF(E1047=F11,D11,IF(E1047=F12,D12,"ALGO ESTA MAL")))))</f>
        <v>0</v>
      </c>
      <c r="E1047" s="34" t="str">
        <f>LARGE($F$8:$F$12,C1047)</f>
        <v>0</v>
      </c>
      <c r="F1047" s="34" t="str">
        <f>IF(E1047&gt;0.1%,E1047,"Algo Esta Mal")</f>
        <v>0</v>
      </c>
      <c r="G1047" s="33" t="str">
        <f>IF(F1047=E1047,D1047," ")</f>
        <v>0</v>
      </c>
      <c r="L1047" s="33">
        <v>2</v>
      </c>
      <c r="M1047" s="33" t="str">
        <f>IF(N1047=O8,M8,IF(N1047=O9,M9,IF(N1047=O10,M10,IF(N1047=O11,M11,IF(N1047=O12,M12,"ALGO ESTA MAL")))))</f>
        <v>0</v>
      </c>
      <c r="N1047" s="34" t="str">
        <f>LARGE($O$8:$O$12,L1047)</f>
        <v>0</v>
      </c>
      <c r="O1047" s="34" t="str">
        <f>IF(N1047&gt;0.1%,N1047,"Algo Esta Mal")</f>
        <v>0</v>
      </c>
      <c r="P1047" s="33" t="str">
        <f>IF(O1047=N1047,M1047," ")</f>
        <v>0</v>
      </c>
      <c r="U1047" s="33">
        <v>2</v>
      </c>
      <c r="V1047" s="33" t="str">
        <f>IF(W1047=X8,V8,IF(W1047=X9,V9,IF(W1047=X10,V10,IF(W1047=X11,V11,IF(W1047=X12,V12,"ALGO ESTA MAL")))))</f>
        <v>0</v>
      </c>
      <c r="W1047" s="34" t="str">
        <f>LARGE($X$8:$X$12,U1047)</f>
        <v>0</v>
      </c>
      <c r="X1047" s="34" t="str">
        <f>IF(W1047&gt;0.1%,W1047,"Algo Esta Mal")</f>
        <v>0</v>
      </c>
      <c r="Y1047" s="33" t="str">
        <f>IF(X1047=W1047,V1047," ")</f>
        <v>0</v>
      </c>
      <c r="AD1047" s="33">
        <v>2</v>
      </c>
      <c r="AE1047" s="33" t="str">
        <f>IF(AF1047=AG8,AE8,IF(AF1047=AG9,AE9,IF(AF1047=AG10,AE10,IF(AF1047=AG11,AE11,IF(AF1047=AG12,AE12,"ALGO ESTA MAL")))))</f>
        <v>0</v>
      </c>
      <c r="AF1047" s="34" t="str">
        <f>LARGE($AG$8:$AG$12,AD1047)</f>
        <v>0</v>
      </c>
      <c r="AG1047" s="34" t="str">
        <f>IF(AF1047&gt;0.1%,AF1047,"Algo Esta Mal")</f>
        <v>0</v>
      </c>
      <c r="AH1047" s="33" t="str">
        <f>IF(AG1047=AF1047,AE1047," ")</f>
        <v>0</v>
      </c>
      <c r="AM1047" s="33">
        <v>2</v>
      </c>
      <c r="AN1047" s="33" t="str">
        <f>IF(AO1047=AP8,AN8,IF(AO1047=AP9,AN9,IF(AO1047=AP10,AN10,IF(AO1047=AP11,AN11,IF(AO1047=AP12,AN12,"ALGO ESTA MAL")))))</f>
        <v>0</v>
      </c>
      <c r="AO1047" s="34" t="str">
        <f>LARGE($AP$8:$AP$12,AM1047)</f>
        <v>0</v>
      </c>
      <c r="AP1047" s="34" t="str">
        <f>IF(AO1047&gt;0.1%,AO1047,"Algo Esta Mal")</f>
        <v>0</v>
      </c>
      <c r="AQ1047" s="33" t="str">
        <f>IF(AP1047=AO1047,AN1047," ")</f>
        <v>0</v>
      </c>
      <c r="AV1047" s="33">
        <v>2</v>
      </c>
      <c r="AW1047" s="33" t="str">
        <f>IF(AX1047=AY8,AW8,IF(AX1047=AY9,AW9,IF(AX1047=AY10,AW10,IF(AX1047=AY11,AW11,IF(AX1047=AY12,AW12,"ALGO ESTA MAL")))))</f>
        <v>0</v>
      </c>
      <c r="AX1047" s="34" t="str">
        <f>LARGE($AY$8:$AY$12,AV1047)</f>
        <v>0</v>
      </c>
      <c r="AY1047" s="34" t="str">
        <f>IF(AX1047&gt;0.1%,AX1047,"Algo Esta Mal")</f>
        <v>0</v>
      </c>
      <c r="AZ1047" s="33" t="str">
        <f>IF(AY1047=AX1047,AW1047," ")</f>
        <v>0</v>
      </c>
      <c r="BE1047" s="33">
        <v>2</v>
      </c>
      <c r="BF1047" s="33" t="str">
        <f>IF(BG1047=BH8,BF8,IF(BG1047=BH9,BF9,IF(BG1047=BH10,BF10,IF(BG1047=BH11,BF11,IF(BG1047=BH12,BF12,"ALGO ESTA MAL")))))</f>
        <v>0</v>
      </c>
      <c r="BG1047" s="34" t="str">
        <f>LARGE($BH$8:$BH$12,BE1047)</f>
        <v>0</v>
      </c>
      <c r="BH1047" s="34" t="str">
        <f>IF(BG1047&gt;0.1%,BG1047,"Algo Esta Mal")</f>
        <v>0</v>
      </c>
      <c r="BI1047" s="33" t="str">
        <f>IF(BH1047=BG1047,BF1047," ")</f>
        <v>0</v>
      </c>
      <c r="BN1047" s="33">
        <v>2</v>
      </c>
      <c r="BO1047" s="33" t="str">
        <f>IF(BP1047=BQ8,BO8,IF(BP1047=BQ9,BO9,IF(BP1047=BQ10,BO10,IF(BP1047=BQ11,BO11,IF(BP1047=BQ12,BO12,"ALGO ESTA MAL")))))</f>
        <v>0</v>
      </c>
      <c r="BP1047" s="34" t="str">
        <f>LARGE($BQ$8:$BQ$12,BN1047)</f>
        <v>0</v>
      </c>
      <c r="BQ1047" s="34" t="str">
        <f>IF(BP1047&gt;0.1%,BP1047,"Algo Esta Mal")</f>
        <v>0</v>
      </c>
      <c r="BR1047" s="33" t="str">
        <f>IF(BQ1047=BP1047,BO1047," ")</f>
        <v>0</v>
      </c>
      <c r="BW1047" s="33">
        <v>2</v>
      </c>
      <c r="BX1047" s="33" t="str">
        <f>IF(BY1047=BZ8,BX8,IF(BY1047=BZ9,BX9,IF(BY1047=BZ10,BX10,IF(BY1047=BZ11,BX11,IF(BY1047=BZ12,BX12,"ALGO ESTA MAL")))))</f>
        <v>0</v>
      </c>
      <c r="BY1047" s="34" t="str">
        <f>LARGE($BZ$8:$BZ$12,BW1047)</f>
        <v>0</v>
      </c>
      <c r="BZ1047" s="34" t="str">
        <f>IF(BY1047&gt;0.1%,BY1047,"Algo Esta Mal")</f>
        <v>0</v>
      </c>
      <c r="CA1047" s="33" t="str">
        <f>IF(BZ1047=BY1047,BX1047," ")</f>
        <v>0</v>
      </c>
      <c r="CF1047" s="33">
        <v>2</v>
      </c>
      <c r="CG1047" s="33" t="str">
        <f>IF(CH1047=CI8,CG8,IF(CH1047=CI9,CG9,IF(CH1047=CI10,CG10,IF(CH1047=CI11,CG11,IF(CH1047=CI12,CG12,"ALGO ESTA MAL")))))</f>
        <v>0</v>
      </c>
      <c r="CH1047" s="34" t="str">
        <f>LARGE($CI$8:$CI$12,CF1047)</f>
        <v>0</v>
      </c>
      <c r="CI1047" s="34" t="str">
        <f>IF(CH1047&gt;0.1%,CH1047,"Algo Esta Mal")</f>
        <v>0</v>
      </c>
      <c r="CJ1047" s="33" t="str">
        <f>IF(CI1047=CH1047,CG1047," ")</f>
        <v>0</v>
      </c>
      <c r="CO1047" s="33">
        <v>2</v>
      </c>
      <c r="CP1047" s="33" t="str">
        <f>IF(CQ1047=CR8,CP8,IF(CQ1047=CR9,CP9,IF(CQ1047=CR10,CP10,IF(CQ1047=CR11,CP11,IF(CQ1047=CR12,CP12,"ALGO ESTA MAL")))))</f>
        <v>0</v>
      </c>
      <c r="CQ1047" s="34" t="str">
        <f>LARGE($CR$8:$CR$12,CO1047)</f>
        <v>0</v>
      </c>
      <c r="CR1047" s="34" t="str">
        <f>IF(CQ1047&gt;0.1%,CQ1047,"Algo Esta Mal")</f>
        <v>0</v>
      </c>
      <c r="CS1047" s="33" t="str">
        <f>IF(CR1047=CQ1047,CP1047," ")</f>
        <v>0</v>
      </c>
      <c r="CX1047" s="33">
        <v>2</v>
      </c>
      <c r="CY1047" s="33" t="str">
        <f>IF(CZ1047=DA8,CY8,IF(CZ1047=DA9,CY9,IF(CZ1047=DA10,CY10,IF(CZ1047=DA11,CY11,IF(CZ1047=DA12,CY12,"ALGO ESTA MAL")))))</f>
        <v>0</v>
      </c>
      <c r="CZ1047" s="34" t="str">
        <f>LARGE($DA$8:$DA$12,CX1047)</f>
        <v>0</v>
      </c>
      <c r="DA1047" s="34" t="str">
        <f>IF(CZ1047&gt;0.1%,CZ1047,"Algo Esta Mal")</f>
        <v>0</v>
      </c>
      <c r="DB1047" s="33" t="str">
        <f>IF(DA1047=CZ1047,CY1047," ")</f>
        <v>0</v>
      </c>
      <c r="DG1047" s="33">
        <v>2</v>
      </c>
      <c r="DH1047" s="33" t="str">
        <f>IF(DI1047=DJ8,DH8,IF(DI1047=DJ9,DH9,IF(DI1047=DJ10,DH10,IF(DI1047=DJ11,DH11,IF(DI1047=DJ12,DH12,"ALGO ESTA MAL")))))</f>
        <v>0</v>
      </c>
      <c r="DI1047" s="34" t="str">
        <f>LARGE($DJ$8:$DJ$12,DG1047)</f>
        <v>0</v>
      </c>
      <c r="DJ1047" s="34" t="str">
        <f>IF(DI1047&gt;0.1%,DI1047,"Algo Esta Mal")</f>
        <v>0</v>
      </c>
      <c r="DK1047" s="33" t="str">
        <f>IF(DJ1047=DI1047,DH1047," ")</f>
        <v>0</v>
      </c>
      <c r="DP1047" s="33">
        <v>2</v>
      </c>
      <c r="DQ1047" s="33" t="str">
        <f>IF(DR1047=DS8,DQ8,IF(DR1047=DS9,DQ9,IF(DR1047=DS10,DQ10,IF(DR1047=DS11,DQ11,IF(DR1047=DS12,DQ12,"ALGO ESTA MAL")))))</f>
        <v>0</v>
      </c>
      <c r="DR1047" s="34" t="str">
        <f>LARGE($DS$8:$DS$12,DP1047)</f>
        <v>0</v>
      </c>
      <c r="DS1047" s="34" t="str">
        <f>IF(DR1047&gt;0.1%,DR1047,"Algo Esta Mal")</f>
        <v>0</v>
      </c>
      <c r="DT1047" s="33" t="str">
        <f>IF(DS1047=DR1047,DQ1047," ")</f>
        <v>0</v>
      </c>
      <c r="DY1047" s="33">
        <v>2</v>
      </c>
      <c r="DZ1047" s="33" t="str">
        <f>IF(EA1047=EB8,DZ8,IF(EA1047=EB9,DZ9,IF(EA1047=EB10,DZ10,IF(EA1047=EB11,DZ11,IF(EA1047=EB12,DZ12,"ALGO ESTA MAL")))))</f>
        <v>0</v>
      </c>
      <c r="EA1047" s="34" t="str">
        <f>LARGE($EB$8:$EB$12,DY1047)</f>
        <v>0</v>
      </c>
      <c r="EB1047" s="34" t="str">
        <f>IF(EA1047&gt;0.1%,EA1047,"Algo Esta Mal")</f>
        <v>0</v>
      </c>
      <c r="EC1047" s="33" t="str">
        <f>IF(EB1047=EA1047,DZ1047," ")</f>
        <v>0</v>
      </c>
      <c r="EH1047" s="33">
        <v>2</v>
      </c>
      <c r="EI1047" s="33" t="str">
        <f>IF(EJ1047=EK8,EI8,IF(EJ1047=EK9,EI9,IF(EJ1047=EK10,EI10,IF(EJ1047=EK11,EI11,IF(EJ1047=EK12,EI12,"ALGO ESTA MAL")))))</f>
        <v>0</v>
      </c>
      <c r="EJ1047" s="34" t="str">
        <f>LARGE($EK$8:$EK$12,EH1047)</f>
        <v>0</v>
      </c>
      <c r="EK1047" s="34" t="str">
        <f>IF(EJ1047&gt;0.1%,EJ1047,"Algo Esta Mal")</f>
        <v>0</v>
      </c>
      <c r="EL1047" s="33" t="str">
        <f>IF(EK1047=EJ1047,EI1047," ")</f>
        <v>0</v>
      </c>
      <c r="EQ1047" s="33">
        <v>2</v>
      </c>
      <c r="ER1047" s="33" t="str">
        <f>IF(ES1047=ET8,ER8,IF(ES1047=ET9,ER9,IF(ES1047=ET10,ER10,IF(ES1047=ET11,ER11,IF(ES1047=ET12,ER12,"ALGO ESTA MAL")))))</f>
        <v>0</v>
      </c>
      <c r="ES1047" s="34" t="str">
        <f>LARGE($ET$8:$ET$12,EQ1047)</f>
        <v>0</v>
      </c>
      <c r="ET1047" s="34" t="str">
        <f>IF(ES1047&gt;0.1%,ES1047,"Algo Esta Mal")</f>
        <v>0</v>
      </c>
      <c r="EU1047" s="33" t="str">
        <f>IF(ET1047=ES1047,ER1047," ")</f>
        <v>0</v>
      </c>
      <c r="EZ1047" s="33">
        <v>2</v>
      </c>
      <c r="FA1047" s="33" t="str">
        <f>IF(FB1047=FC8,FA8,IF(FB1047=FC9,FA9,IF(FB1047=FC10,FA10,IF(FB1047=FC11,FA11,IF(FB1047=FC12,FA12,"ALGO ESTA MAL")))))</f>
        <v>0</v>
      </c>
      <c r="FB1047" s="34" t="str">
        <f>LARGE($FC$8:$FC$12,EZ1047)</f>
        <v>0</v>
      </c>
      <c r="FC1047" s="34" t="str">
        <f>IF(FB1047&gt;0.1%,FB1047,"Algo Esta Mal")</f>
        <v>0</v>
      </c>
      <c r="FD1047" s="33" t="str">
        <f>IF(FC1047=FB1047,FA1047," ")</f>
        <v>0</v>
      </c>
      <c r="FI1047" s="33">
        <v>2</v>
      </c>
      <c r="FJ1047" s="33" t="str">
        <f>IF(FK1047=FL8,FJ8,IF(FK1047=FL9,FJ9,IF(FK1047=FL10,FJ10,IF(FK1047=FL11,FJ11,IF(FK1047=FL12,FJ12,"ALGO ESTA MAL")))))</f>
        <v>0</v>
      </c>
      <c r="FK1047" s="34" t="str">
        <f>LARGE($FL$8:$FL$12,FI1047)</f>
        <v>0</v>
      </c>
      <c r="FL1047" s="34" t="str">
        <f>IF(FK1047&gt;0.1%,FK1047,"Algo Esta Mal")</f>
        <v>0</v>
      </c>
      <c r="FM1047" s="33" t="str">
        <f>IF(FL1047=FK1047,FJ1047," ")</f>
        <v>0</v>
      </c>
      <c r="FR1047" s="33">
        <v>2</v>
      </c>
      <c r="FS1047" s="33" t="str">
        <f>IF(FT1047=FU8,FS8,IF(FT1047=FU9,FS9,IF(FT1047=FU10,FS10,IF(FT1047=FU11,FS11,IF(FT1047=FU12,FS12,"ALGO ESTA MAL")))))</f>
        <v>0</v>
      </c>
      <c r="FT1047" s="34" t="str">
        <f>LARGE($FU$8:$FU$12,FR1047)</f>
        <v>0</v>
      </c>
      <c r="FU1047" s="34" t="str">
        <f>IF(FT1047&gt;0.1%,FT1047,"Algo Esta Mal")</f>
        <v>0</v>
      </c>
      <c r="FV1047" s="33" t="str">
        <f>IF(FU1047=FT1047,FS1047," ")</f>
        <v>0</v>
      </c>
      <c r="GA1047" s="33">
        <v>2</v>
      </c>
      <c r="GB1047" s="33" t="str">
        <f>IF(GC1047=GD8,GB8,IF(GC1047=GD9,GB9,IF(GC1047=GD10,GB10,IF(GC1047=GD11,GB11,IF(GC1047=GD12,GB12,"ALGO ESTA MAL")))))</f>
        <v>0</v>
      </c>
      <c r="GC1047" s="34" t="str">
        <f>LARGE($GD$8:$GD$12,GA1047)</f>
        <v>0</v>
      </c>
      <c r="GD1047" s="34" t="str">
        <f>IF(GC1047&gt;0.1%,GC1047,"Algo Esta Mal")</f>
        <v>0</v>
      </c>
      <c r="GE1047" s="33" t="str">
        <f>IF(GD1047=GC1047,GB1047," ")</f>
        <v>0</v>
      </c>
      <c r="GJ1047" s="33">
        <v>2</v>
      </c>
      <c r="GK1047" s="33" t="str">
        <f>IF(GL1047=GM8,GK8,IF(GL1047=GM9,GK9,IF(GL1047=GM10,GK10,IF(GL1047=GM11,GK11,IF(GL1047=GM12,GK12,"ALGO ESTA MAL")))))</f>
        <v>0</v>
      </c>
      <c r="GL1047" s="34" t="str">
        <f>LARGE($GM$8:$GM$12,GJ1047)</f>
        <v>0</v>
      </c>
      <c r="GM1047" s="34" t="str">
        <f>IF(GL1047&gt;0.1%,GL1047,"Algo Esta Mal")</f>
        <v>0</v>
      </c>
      <c r="GN1047" s="33" t="str">
        <f>IF(GM1047=GL1047,GK1047," ")</f>
        <v>0</v>
      </c>
      <c r="GS1047" s="33">
        <v>2</v>
      </c>
      <c r="GT1047" s="33" t="str">
        <f>IF(GU1047=GV8,GT8,IF(GU1047=GV9,GT9,IF(GU1047=GV10,GT10,IF(GU1047=GV11,GT11,IF(GU1047=GV12,GT12,"ALGO ESTA MAL")))))</f>
        <v>0</v>
      </c>
      <c r="GU1047" s="34" t="str">
        <f>LARGE($GV$8:$GV$12,GS1047)</f>
        <v>0</v>
      </c>
      <c r="GV1047" s="34" t="str">
        <f>IF(GU1047&gt;0.1%,GU1047,"Algo Esta Mal")</f>
        <v>0</v>
      </c>
      <c r="GW1047" s="33" t="str">
        <f>IF(GV1047=GU1047,GT1047," ")</f>
        <v>0</v>
      </c>
      <c r="HB1047" s="33">
        <v>2</v>
      </c>
      <c r="HC1047" s="33" t="str">
        <f>IF(HD1047=HE8,HC8,IF(HD1047=HE9,HC9,IF(HD1047=HE10,HC10,IF(HD1047=HE11,HC11,IF(HD1047=HE12,HC12,"ALGO ESTA MAL")))))</f>
        <v>0</v>
      </c>
      <c r="HD1047" s="34" t="str">
        <f>LARGE($HE$8:$HE$12,HB1047)</f>
        <v>0</v>
      </c>
      <c r="HE1047" s="34" t="str">
        <f>IF(HD1047&gt;0.1%,HD1047,"Algo Esta Mal")</f>
        <v>0</v>
      </c>
      <c r="HF1047" s="33" t="str">
        <f>IF(HE1047=HD1047,HC1047," ")</f>
        <v>0</v>
      </c>
      <c r="HK1047" s="33">
        <v>2</v>
      </c>
      <c r="HL1047" s="33" t="str">
        <f>IF(HM1047=HN8,HL8,IF(HM1047=HN9,HL9,IF(HM1047=HN10,HL10,IF(HM1047=HN11,HL11,IF(HM1047=HN12,HL12,"ALGO ESTA MAL")))))</f>
        <v>0</v>
      </c>
      <c r="HM1047" s="34" t="str">
        <f>LARGE($HN$8:$HN$12,HK1047)</f>
        <v>0</v>
      </c>
      <c r="HN1047" s="34" t="str">
        <f>IF(HM1047&gt;0.1%,HM1047,"Algo Esta Mal")</f>
        <v>0</v>
      </c>
      <c r="HO1047" s="33" t="str">
        <f>IF(HN1047=HM1047,HL1047," ")</f>
        <v>0</v>
      </c>
      <c r="HT1047" s="33">
        <v>2</v>
      </c>
      <c r="HU1047" s="33" t="str">
        <f>IF(HV1047=HW8,HU8,IF(HV1047=HW9,HU9,IF(HV1047=HW10,HU10,IF(HV1047=HW11,HU11,IF(HV1047=HW12,HU12,"ALGO ESTA MAL")))))</f>
        <v>0</v>
      </c>
      <c r="HV1047" s="34" t="str">
        <f>LARGE($HW$8:$HW$12,HT1047)</f>
        <v>0</v>
      </c>
      <c r="HW1047" s="34" t="str">
        <f>IF(HV1047&gt;0.1%,HV1047,"Algo Esta Mal")</f>
        <v>0</v>
      </c>
      <c r="HX1047" s="33" t="str">
        <f>IF(HW1047=HV1047,HU1047," ")</f>
        <v>0</v>
      </c>
      <c r="IC1047" s="33">
        <v>2</v>
      </c>
      <c r="ID1047" s="33" t="str">
        <f>IF(IE1047=IF8,ID8,IF(IE1047=IF9,ID9,IF(IE1047=IF10,ID10,IF(IE1047=IF11,ID11,IF(IE1047=IF12,ID12,"ALGO ESTA MAL")))))</f>
        <v>0</v>
      </c>
      <c r="IE1047" s="34" t="str">
        <f>LARGE($IF$8:$IF$12,IC1047)</f>
        <v>0</v>
      </c>
      <c r="IF1047" s="34" t="str">
        <f>IF(IE1047&gt;0.1%,IE1047,"Algo Esta Mal")</f>
        <v>0</v>
      </c>
      <c r="IG1047" s="33" t="str">
        <f>IF(IF1047=IE1047,ID1047," ")</f>
        <v>0</v>
      </c>
      <c r="IL1047" s="33">
        <v>2</v>
      </c>
      <c r="IM1047" s="33" t="str">
        <f>IF(IN1047=IO8,IM8,IF(IN1047=IO9,IM9,IF(IN1047=IO10,IM10,IF(IN1047=IO11,IM11,IF(IN1047=IO12,IM12,"ALGO ESTA MAL")))))</f>
        <v>0</v>
      </c>
      <c r="IN1047" s="34" t="str">
        <f>LARGE($IO$8:$IO$12,IL1047)</f>
        <v>0</v>
      </c>
      <c r="IO1047" s="34" t="str">
        <f>IF(IN1047&gt;0.1%,IN1047,"Algo Esta Mal")</f>
        <v>0</v>
      </c>
      <c r="IP1047" s="33" t="str">
        <f>IF(IO1047=IN1047,IM1047," ")</f>
        <v>0</v>
      </c>
      <c r="IU1047" s="33">
        <v>2</v>
      </c>
      <c r="IV1047" s="33" t="str">
        <f>IF(IW1047=IX8,IV8,IF(IW1047=IX9,IV9,IF(IW1047=IX10,IV10,IF(IW1047=IX11,IV11,IF(IW1047=IX12,IV12,"ALGO ESTA MAL")))))</f>
        <v>0</v>
      </c>
      <c r="IW1047" s="34" t="str">
        <f>LARGE($IX$8:$IX$12,IU1047)</f>
        <v>0</v>
      </c>
      <c r="IX1047" s="34" t="str">
        <f>IF(IW1047&gt;0.1%,IW1047,"Algo Esta Mal")</f>
        <v>0</v>
      </c>
      <c r="IY1047" s="33" t="str">
        <f>IF(IX1047=IW1047,IV1047," ")</f>
        <v>0</v>
      </c>
      <c r="JD1047" s="33">
        <v>2</v>
      </c>
      <c r="JE1047" s="33" t="str">
        <f>IF(JF1047=JG8,JE8,IF(JF1047=JG9,JE9,IF(JF1047=JG10,JE10,IF(JF1047=JG11,JE11,IF(JF1047=JG12,JE12,"ALGO ESTA MAL")))))</f>
        <v>0</v>
      </c>
      <c r="JF1047" s="34" t="str">
        <f>LARGE($JG$8:$JG$12,JD1047)</f>
        <v>0</v>
      </c>
      <c r="JG1047" s="34" t="str">
        <f>IF(JF1047&gt;0.1%,JF1047,"Algo Esta Mal")</f>
        <v>0</v>
      </c>
      <c r="JH1047" s="33" t="str">
        <f>IF(JG1047=JF1047,JE1047," ")</f>
        <v>0</v>
      </c>
      <c r="JM1047" s="33">
        <v>2</v>
      </c>
      <c r="JN1047" s="33" t="str">
        <f>IF(JO1047=JP8,JN8,IF(JO1047=JP9,JN9,IF(JO1047=JP10,JN10,IF(JO1047=JP11,JN11,IF(JO1047=JP12,JN12,"ALGO ESTA MAL")))))</f>
        <v>0</v>
      </c>
      <c r="JO1047" s="34" t="str">
        <f>LARGE($JP$8:$JP$12,JM1047)</f>
        <v>0</v>
      </c>
      <c r="JP1047" s="34" t="str">
        <f>IF(JO1047&gt;0.1%,JO1047,"Algo Esta Mal")</f>
        <v>0</v>
      </c>
      <c r="JQ1047" s="33" t="str">
        <f>IF(JP1047=JO1047,JN1047," ")</f>
        <v>0</v>
      </c>
      <c r="JV1047" s="33">
        <v>2</v>
      </c>
      <c r="JW1047" s="33" t="str">
        <f>IF(JX1047=JY8,JW8,IF(JX1047=JY9,JW9,IF(JX1047=JY10,JW10,IF(JX1047=JY11,JW11,IF(JX1047=JY12,JW12,"ALGO ESTA MAL")))))</f>
        <v>0</v>
      </c>
      <c r="JX1047" s="34" t="str">
        <f>LARGE($JY$8:$JY$12,JV1047)</f>
        <v>0</v>
      </c>
      <c r="JY1047" s="34" t="str">
        <f>IF(JX1047&gt;0.1%,JX1047,"Algo Esta Mal")</f>
        <v>0</v>
      </c>
      <c r="JZ1047" s="33" t="str">
        <f>IF(JY1047=JX1047,JW1047," ")</f>
        <v>0</v>
      </c>
      <c r="KE1047" s="33">
        <v>2</v>
      </c>
      <c r="KF1047" s="33" t="str">
        <f>IF(KG1047=KH8,KF8,IF(KG1047=KH9,KF9,IF(KG1047=KH10,KF10,IF(KG1047=KH11,KF11,IF(KG1047=KH12,KF12,"ALGO ESTA MAL")))))</f>
        <v>0</v>
      </c>
      <c r="KG1047" s="34" t="str">
        <f>LARGE($KH$8:$KH$12,KE1047)</f>
        <v>0</v>
      </c>
      <c r="KH1047" s="34" t="str">
        <f>IF(KG1047&gt;0.1%,KG1047,"Algo Esta Mal")</f>
        <v>0</v>
      </c>
      <c r="KI1047" s="33" t="str">
        <f>IF(KH1047=KG1047,KF1047," ")</f>
        <v>0</v>
      </c>
      <c r="KN1047" s="33">
        <v>2</v>
      </c>
      <c r="KO1047" s="33" t="str">
        <f>IF(KP1047=KQ8,KO8,IF(KP1047=KQ9,KO9,IF(KP1047=KQ10,KO10,IF(KP1047=KQ11,KO11,IF(KP1047=KQ12,KO12,"ALGO ESTA MAL")))))</f>
        <v>0</v>
      </c>
      <c r="KP1047" s="34" t="str">
        <f>LARGE($KQ$8:$KQ$12,KN1047)</f>
        <v>0</v>
      </c>
      <c r="KQ1047" s="34" t="str">
        <f>IF(KP1047&gt;0.1%,KP1047,"Algo Esta Mal")</f>
        <v>0</v>
      </c>
      <c r="KR1047" s="33" t="str">
        <f>IF(KQ1047=KP1047,KO1047," ")</f>
        <v>0</v>
      </c>
      <c r="KW1047" s="33">
        <v>2</v>
      </c>
      <c r="KX1047" s="33" t="str">
        <f>IF(KY1047=KZ8,KX8,IF(KY1047=KZ9,KX9,IF(KY1047=KZ10,KX10,IF(KY1047=KZ11,KX11,IF(KY1047=KZ12,KX12,"ALGO ESTA MAL")))))</f>
        <v>0</v>
      </c>
      <c r="KY1047" s="34" t="str">
        <f>LARGE($KZ$8:$KZ$12,KW1047)</f>
        <v>0</v>
      </c>
      <c r="KZ1047" s="34" t="str">
        <f>IF(KY1047&gt;0.1%,KY1047,"Algo Esta Mal")</f>
        <v>0</v>
      </c>
      <c r="LA1047" s="33" t="str">
        <f>IF(KZ1047=KY1047,KX1047," ")</f>
        <v>0</v>
      </c>
      <c r="LF1047" s="33">
        <v>2</v>
      </c>
      <c r="LG1047" s="33" t="str">
        <f>IF(LH1047=LI8,LG8,IF(LH1047=LI9,LG9,IF(LH1047=LI10,LG10,IF(LH1047=LI11,LG11,IF(LH1047=LI12,LG12,"ALGO ESTA MAL")))))</f>
        <v>0</v>
      </c>
      <c r="LH1047" s="34" t="str">
        <f>LARGE($LI$8:$LI$12,LF1047)</f>
        <v>0</v>
      </c>
      <c r="LI1047" s="34" t="str">
        <f>IF(LH1047&gt;0.1%,LH1047,"Algo Esta Mal")</f>
        <v>0</v>
      </c>
      <c r="LJ1047" s="33" t="str">
        <f>IF(LI1047=LH1047,LG1047," ")</f>
        <v>0</v>
      </c>
      <c r="LO1047" s="33">
        <v>2</v>
      </c>
      <c r="LP1047" s="33" t="str">
        <f>IF(LQ1047=LR8,LP8,IF(LQ1047=LR9,LP9,IF(LQ1047=LR10,LP10,IF(LQ1047=LR11,LP11,IF(LQ1047=LR12,LP12,"ALGO ESTA MAL")))))</f>
        <v>0</v>
      </c>
      <c r="LQ1047" s="34" t="str">
        <f>LARGE($LR$8:$LR$12,LO1047)</f>
        <v>0</v>
      </c>
      <c r="LR1047" s="34" t="str">
        <f>IF(LQ1047&gt;0.1%,LQ1047,"Algo Esta Mal")</f>
        <v>0</v>
      </c>
      <c r="LS1047" s="33" t="str">
        <f>IF(LR1047=LQ1047,LP1047," ")</f>
        <v>0</v>
      </c>
      <c r="LX1047" s="33">
        <v>2</v>
      </c>
      <c r="LY1047" s="33" t="str">
        <f>IF(LZ1047=MA8,LY8,IF(LZ1047=MA9,LY9,IF(LZ1047=MA10,LY10,IF(LZ1047=MA11,LY11,IF(LZ1047=MA12,LY12,"ALGO ESTA MAL")))))</f>
        <v>0</v>
      </c>
      <c r="LZ1047" s="34" t="str">
        <f>LARGE($MA$8:$MA$12,LX1047)</f>
        <v>0</v>
      </c>
      <c r="MA1047" s="34" t="str">
        <f>IF(LZ1047&gt;0.1%,LZ1047,"Algo Esta Mal")</f>
        <v>0</v>
      </c>
      <c r="MB1047" s="33" t="str">
        <f>IF(MA1047=LZ1047,LY1047," ")</f>
        <v>0</v>
      </c>
      <c r="MG1047" s="33">
        <v>2</v>
      </c>
      <c r="MH1047" s="33" t="str">
        <f>IF(MI1047=MJ8,MH8,IF(MI1047=MJ9,MH9,IF(MI1047=MJ10,MH10,IF(MI1047=MJ11,MH11,IF(MI1047=MJ12,MH12,"ALGO ESTA MAL")))))</f>
        <v>0</v>
      </c>
      <c r="MI1047" s="34" t="str">
        <f>LARGE($MJ$8:$MJ$12,MG1047)</f>
        <v>0</v>
      </c>
      <c r="MJ1047" s="34" t="str">
        <f>IF(MI1047&gt;0.1%,MI1047,"Algo Esta Mal")</f>
        <v>0</v>
      </c>
      <c r="MK1047" s="33" t="str">
        <f>IF(MJ1047=MI1047,MH1047," ")</f>
        <v>0</v>
      </c>
      <c r="MP1047" s="33">
        <v>2</v>
      </c>
      <c r="MQ1047" s="33" t="str">
        <f>IF(MR1047=MS8,MQ8,IF(MR1047=MS9,MQ9,IF(MR1047=MS10,MQ10,IF(MR1047=MS11,MQ11,IF(MR1047=MS12,MQ12,"ALGO ESTA MAL")))))</f>
        <v>0</v>
      </c>
      <c r="MR1047" s="34" t="str">
        <f>LARGE($MS$8:$MS$12,MP1047)</f>
        <v>0</v>
      </c>
      <c r="MS1047" s="34" t="str">
        <f>IF(MR1047&gt;0.1%,MR1047,"Algo Esta Mal")</f>
        <v>0</v>
      </c>
      <c r="MT1047" s="33" t="str">
        <f>IF(MS1047=MR1047,MQ1047," ")</f>
        <v>0</v>
      </c>
    </row>
    <row r="1048" spans="1:359">
      <c r="C1048" s="33">
        <v>3</v>
      </c>
      <c r="D1048" s="33" t="str">
        <f>IF(E1048=F8,D8,IF(E1048=F9,D9,IF(E1048=F10,D10,IF(E1048=F11,D11,IF(E1048=F12,D12,"ALGO ESTA MAL")))))</f>
        <v>0</v>
      </c>
      <c r="E1048" s="34" t="str">
        <f>LARGE($F$8:$F$12,C1048)</f>
        <v>0</v>
      </c>
      <c r="F1048" s="34" t="str">
        <f>IF(E1048&gt;0.1%,E1048,"Algo Esta Mal")</f>
        <v>0</v>
      </c>
      <c r="G1048" s="33" t="str">
        <f>IF(F1048=E1048,D1048," ")</f>
        <v>0</v>
      </c>
      <c r="L1048" s="33">
        <v>3</v>
      </c>
      <c r="M1048" s="33" t="str">
        <f>IF(N1048=O8,M8,IF(N1048=O9,M9,IF(N1048=O10,M10,IF(N1048=O11,M11,IF(N1048=O12,M12,"ALGO ESTA MAL")))))</f>
        <v>0</v>
      </c>
      <c r="N1048" s="34" t="str">
        <f>LARGE($O$8:$O$12,L1048)</f>
        <v>0</v>
      </c>
      <c r="O1048" s="34" t="str">
        <f>IF(N1048&gt;0.1%,N1048,"Algo Esta Mal")</f>
        <v>0</v>
      </c>
      <c r="P1048" s="33" t="str">
        <f>IF(O1048=N1048,M1048," ")</f>
        <v>0</v>
      </c>
      <c r="U1048" s="33">
        <v>3</v>
      </c>
      <c r="V1048" s="33" t="str">
        <f>IF(W1048=X8,V8,IF(W1048=X9,V9,IF(W1048=X10,V10,IF(W1048=X11,V11,IF(W1048=X12,V12,"ALGO ESTA MAL")))))</f>
        <v>0</v>
      </c>
      <c r="W1048" s="34" t="str">
        <f>LARGE($X$8:$X$12,U1048)</f>
        <v>0</v>
      </c>
      <c r="X1048" s="34" t="str">
        <f>IF(W1048&gt;0.1%,W1048,"Algo Esta Mal")</f>
        <v>0</v>
      </c>
      <c r="Y1048" s="33" t="str">
        <f>IF(X1048=W1048,V1048," ")</f>
        <v>0</v>
      </c>
      <c r="AD1048" s="33">
        <v>3</v>
      </c>
      <c r="AE1048" s="33" t="str">
        <f>IF(AF1048=AG8,AE8,IF(AF1048=AG9,AE9,IF(AF1048=AG10,AE10,IF(AF1048=AG11,AE11,IF(AF1048=AG12,AE12,"ALGO ESTA MAL")))))</f>
        <v>0</v>
      </c>
      <c r="AF1048" s="34" t="str">
        <f>LARGE($AG$8:$AG$12,AD1048)</f>
        <v>0</v>
      </c>
      <c r="AG1048" s="34" t="str">
        <f>IF(AF1048&gt;0.1%,AF1048,"Algo Esta Mal")</f>
        <v>0</v>
      </c>
      <c r="AH1048" s="33" t="str">
        <f>IF(AG1048=AF1048,AE1048," ")</f>
        <v>0</v>
      </c>
      <c r="AM1048" s="33">
        <v>3</v>
      </c>
      <c r="AN1048" s="33" t="str">
        <f>IF(AO1048=AP8,AN8,IF(AO1048=AP9,AN9,IF(AO1048=AP10,AN10,IF(AO1048=AP11,AN11,IF(AO1048=AP12,AN12,"ALGO ESTA MAL")))))</f>
        <v>0</v>
      </c>
      <c r="AO1048" s="34" t="str">
        <f>LARGE($AP$8:$AP$12,AM1048)</f>
        <v>0</v>
      </c>
      <c r="AP1048" s="34" t="str">
        <f>IF(AO1048&gt;0.1%,AO1048,"Algo Esta Mal")</f>
        <v>0</v>
      </c>
      <c r="AQ1048" s="33" t="str">
        <f>IF(AP1048=AO1048,AN1048," ")</f>
        <v>0</v>
      </c>
      <c r="AV1048" s="33">
        <v>3</v>
      </c>
      <c r="AW1048" s="33" t="str">
        <f>IF(AX1048=AY8,AW8,IF(AX1048=AY9,AW9,IF(AX1048=AY10,AW10,IF(AX1048=AY11,AW11,IF(AX1048=AY12,AW12,"ALGO ESTA MAL")))))</f>
        <v>0</v>
      </c>
      <c r="AX1048" s="34" t="str">
        <f>LARGE($AY$8:$AY$12,AV1048)</f>
        <v>0</v>
      </c>
      <c r="AY1048" s="34" t="str">
        <f>IF(AX1048&gt;0.1%,AX1048,"Algo Esta Mal")</f>
        <v>0</v>
      </c>
      <c r="AZ1048" s="33" t="str">
        <f>IF(AY1048=AX1048,AW1048," ")</f>
        <v>0</v>
      </c>
      <c r="BE1048" s="33">
        <v>3</v>
      </c>
      <c r="BF1048" s="33" t="str">
        <f>IF(BG1048=BH8,BF8,IF(BG1048=BH9,BF9,IF(BG1048=BH10,BF10,IF(BG1048=BH11,BF11,IF(BG1048=BH12,BF12,"ALGO ESTA MAL")))))</f>
        <v>0</v>
      </c>
      <c r="BG1048" s="34" t="str">
        <f>LARGE($BH$8:$BH$12,BE1048)</f>
        <v>0</v>
      </c>
      <c r="BH1048" s="34" t="str">
        <f>IF(BG1048&gt;0.1%,BG1048,"Algo Esta Mal")</f>
        <v>0</v>
      </c>
      <c r="BI1048" s="33" t="str">
        <f>IF(BH1048=BG1048,BF1048," ")</f>
        <v>0</v>
      </c>
      <c r="BN1048" s="33">
        <v>3</v>
      </c>
      <c r="BO1048" s="33" t="str">
        <f>IF(BP1048=BQ8,BO8,IF(BP1048=BQ9,BO9,IF(BP1048=BQ10,BO10,IF(BP1048=BQ11,BO11,IF(BP1048=BQ12,BO12,"ALGO ESTA MAL")))))</f>
        <v>0</v>
      </c>
      <c r="BP1048" s="34" t="str">
        <f>LARGE($BQ$8:$BQ$12,BN1048)</f>
        <v>0</v>
      </c>
      <c r="BQ1048" s="34" t="str">
        <f>IF(BP1048&gt;0.1%,BP1048,"Algo Esta Mal")</f>
        <v>0</v>
      </c>
      <c r="BR1048" s="33" t="str">
        <f>IF(BQ1048=BP1048,BO1048," ")</f>
        <v>0</v>
      </c>
      <c r="BW1048" s="33">
        <v>3</v>
      </c>
      <c r="BX1048" s="33" t="str">
        <f>IF(BY1048=BZ8,BX8,IF(BY1048=BZ9,BX9,IF(BY1048=BZ10,BX10,IF(BY1048=BZ11,BX11,IF(BY1048=BZ12,BX12,"ALGO ESTA MAL")))))</f>
        <v>0</v>
      </c>
      <c r="BY1048" s="34" t="str">
        <f>LARGE($BZ$8:$BZ$12,BW1048)</f>
        <v>0</v>
      </c>
      <c r="BZ1048" s="34" t="str">
        <f>IF(BY1048&gt;0.1%,BY1048,"Algo Esta Mal")</f>
        <v>0</v>
      </c>
      <c r="CA1048" s="33" t="str">
        <f>IF(BZ1048=BY1048,BX1048," ")</f>
        <v>0</v>
      </c>
      <c r="CF1048" s="33">
        <v>3</v>
      </c>
      <c r="CG1048" s="33" t="str">
        <f>IF(CH1048=CI8,CG8,IF(CH1048=CI9,CG9,IF(CH1048=CI10,CG10,IF(CH1048=CI11,CG11,IF(CH1048=CI12,CG12,"ALGO ESTA MAL")))))</f>
        <v>0</v>
      </c>
      <c r="CH1048" s="34" t="str">
        <f>LARGE($CI$8:$CI$12,CF1048)</f>
        <v>0</v>
      </c>
      <c r="CI1048" s="34" t="str">
        <f>IF(CH1048&gt;0.1%,CH1048,"Algo Esta Mal")</f>
        <v>0</v>
      </c>
      <c r="CJ1048" s="33" t="str">
        <f>IF(CI1048=CH1048,CG1048," ")</f>
        <v>0</v>
      </c>
      <c r="CO1048" s="33">
        <v>3</v>
      </c>
      <c r="CP1048" s="33" t="str">
        <f>IF(CQ1048=CR8,CP8,IF(CQ1048=CR9,CP9,IF(CQ1048=CR10,CP10,IF(CQ1048=CR11,CP11,IF(CQ1048=CR12,CP12,"ALGO ESTA MAL")))))</f>
        <v>0</v>
      </c>
      <c r="CQ1048" s="34" t="str">
        <f>LARGE($CR$8:$CR$12,CO1048)</f>
        <v>0</v>
      </c>
      <c r="CR1048" s="34" t="str">
        <f>IF(CQ1048&gt;0.1%,CQ1048,"Algo Esta Mal")</f>
        <v>0</v>
      </c>
      <c r="CS1048" s="33" t="str">
        <f>IF(CR1048=CQ1048,CP1048," ")</f>
        <v>0</v>
      </c>
      <c r="CX1048" s="33">
        <v>3</v>
      </c>
      <c r="CY1048" s="33" t="str">
        <f>IF(CZ1048=DA8,CY8,IF(CZ1048=DA9,CY9,IF(CZ1048=DA10,CY10,IF(CZ1048=DA11,CY11,IF(CZ1048=DA12,CY12,"ALGO ESTA MAL")))))</f>
        <v>0</v>
      </c>
      <c r="CZ1048" s="34" t="str">
        <f>LARGE($DA$8:$DA$12,CX1048)</f>
        <v>0</v>
      </c>
      <c r="DA1048" s="34" t="str">
        <f>IF(CZ1048&gt;0.1%,CZ1048,"Algo Esta Mal")</f>
        <v>0</v>
      </c>
      <c r="DB1048" s="33" t="str">
        <f>IF(DA1048=CZ1048,CY1048," ")</f>
        <v>0</v>
      </c>
      <c r="DG1048" s="33">
        <v>3</v>
      </c>
      <c r="DH1048" s="33" t="str">
        <f>IF(DI1048=DJ8,DH8,IF(DI1048=DJ9,DH9,IF(DI1048=DJ10,DH10,IF(DI1048=DJ11,DH11,IF(DI1048=DJ12,DH12,"ALGO ESTA MAL")))))</f>
        <v>0</v>
      </c>
      <c r="DI1048" s="34" t="str">
        <f>LARGE($DJ$8:$DJ$12,DG1048)</f>
        <v>0</v>
      </c>
      <c r="DJ1048" s="34" t="str">
        <f>IF(DI1048&gt;0.1%,DI1048,"Algo Esta Mal")</f>
        <v>0</v>
      </c>
      <c r="DK1048" s="33" t="str">
        <f>IF(DJ1048=DI1048,DH1048," ")</f>
        <v>0</v>
      </c>
      <c r="DP1048" s="33">
        <v>3</v>
      </c>
      <c r="DQ1048" s="33" t="str">
        <f>IF(DR1048=DS8,DQ8,IF(DR1048=DS9,DQ9,IF(DR1048=DS10,DQ10,IF(DR1048=DS11,DQ11,IF(DR1048=DS12,DQ12,"ALGO ESTA MAL")))))</f>
        <v>0</v>
      </c>
      <c r="DR1048" s="34" t="str">
        <f>LARGE($DS$8:$DS$12,DP1048)</f>
        <v>0</v>
      </c>
      <c r="DS1048" s="34" t="str">
        <f>IF(DR1048&gt;0.1%,DR1048,"Algo Esta Mal")</f>
        <v>0</v>
      </c>
      <c r="DT1048" s="33" t="str">
        <f>IF(DS1048=DR1048,DQ1048," ")</f>
        <v>0</v>
      </c>
      <c r="DY1048" s="33">
        <v>3</v>
      </c>
      <c r="DZ1048" s="33" t="str">
        <f>IF(EA1048=EB8,DZ8,IF(EA1048=EB9,DZ9,IF(EA1048=EB10,DZ10,IF(EA1048=EB11,DZ11,IF(EA1048=EB12,DZ12,"ALGO ESTA MAL")))))</f>
        <v>0</v>
      </c>
      <c r="EA1048" s="34" t="str">
        <f>LARGE($EB$8:$EB$12,DY1048)</f>
        <v>0</v>
      </c>
      <c r="EB1048" s="34" t="str">
        <f>IF(EA1048&gt;0.1%,EA1048,"Algo Esta Mal")</f>
        <v>0</v>
      </c>
      <c r="EC1048" s="33" t="str">
        <f>IF(EB1048=EA1048,DZ1048," ")</f>
        <v>0</v>
      </c>
      <c r="EH1048" s="33">
        <v>3</v>
      </c>
      <c r="EI1048" s="33" t="str">
        <f>IF(EJ1048=EK8,EI8,IF(EJ1048=EK9,EI9,IF(EJ1048=EK10,EI10,IF(EJ1048=EK11,EI11,IF(EJ1048=EK12,EI12,"ALGO ESTA MAL")))))</f>
        <v>0</v>
      </c>
      <c r="EJ1048" s="34" t="str">
        <f>LARGE($EK$8:$EK$12,EH1048)</f>
        <v>0</v>
      </c>
      <c r="EK1048" s="34" t="str">
        <f>IF(EJ1048&gt;0.1%,EJ1048,"Algo Esta Mal")</f>
        <v>0</v>
      </c>
      <c r="EL1048" s="33" t="str">
        <f>IF(EK1048=EJ1048,EI1048," ")</f>
        <v>0</v>
      </c>
      <c r="EQ1048" s="33">
        <v>3</v>
      </c>
      <c r="ER1048" s="33" t="str">
        <f>IF(ES1048=ET8,ER8,IF(ES1048=ET9,ER9,IF(ES1048=ET10,ER10,IF(ES1048=ET11,ER11,IF(ES1048=ET12,ER12,"ALGO ESTA MAL")))))</f>
        <v>0</v>
      </c>
      <c r="ES1048" s="34" t="str">
        <f>LARGE($ET$8:$ET$12,EQ1048)</f>
        <v>0</v>
      </c>
      <c r="ET1048" s="34" t="str">
        <f>IF(ES1048&gt;0.1%,ES1048,"Algo Esta Mal")</f>
        <v>0</v>
      </c>
      <c r="EU1048" s="33" t="str">
        <f>IF(ET1048=ES1048,ER1048," ")</f>
        <v>0</v>
      </c>
      <c r="EZ1048" s="33">
        <v>3</v>
      </c>
      <c r="FA1048" s="33" t="str">
        <f>IF(FB1048=FC8,FA8,IF(FB1048=FC9,FA9,IF(FB1048=FC10,FA10,IF(FB1048=FC11,FA11,IF(FB1048=FC12,FA12,"ALGO ESTA MAL")))))</f>
        <v>0</v>
      </c>
      <c r="FB1048" s="34" t="str">
        <f>LARGE($FC$8:$FC$12,EZ1048)</f>
        <v>0</v>
      </c>
      <c r="FC1048" s="34" t="str">
        <f>IF(FB1048&gt;0.1%,FB1048,"Algo Esta Mal")</f>
        <v>0</v>
      </c>
      <c r="FD1048" s="33" t="str">
        <f>IF(FC1048=FB1048,FA1048," ")</f>
        <v>0</v>
      </c>
      <c r="FI1048" s="33">
        <v>3</v>
      </c>
      <c r="FJ1048" s="33" t="str">
        <f>IF(FK1048=FL8,FJ8,IF(FK1048=FL9,FJ9,IF(FK1048=FL10,FJ10,IF(FK1048=FL11,FJ11,IF(FK1048=FL12,FJ12,"ALGO ESTA MAL")))))</f>
        <v>0</v>
      </c>
      <c r="FK1048" s="34" t="str">
        <f>LARGE($FL$8:$FL$12,FI1048)</f>
        <v>0</v>
      </c>
      <c r="FL1048" s="34" t="str">
        <f>IF(FK1048&gt;0.1%,FK1048,"Algo Esta Mal")</f>
        <v>0</v>
      </c>
      <c r="FM1048" s="33" t="str">
        <f>IF(FL1048=FK1048,FJ1048," ")</f>
        <v>0</v>
      </c>
      <c r="FR1048" s="33">
        <v>3</v>
      </c>
      <c r="FS1048" s="33" t="str">
        <f>IF(FT1048=FU8,FS8,IF(FT1048=FU9,FS9,IF(FT1048=FU10,FS10,IF(FT1048=FU11,FS11,IF(FT1048=FU12,FS12,"ALGO ESTA MAL")))))</f>
        <v>0</v>
      </c>
      <c r="FT1048" s="34" t="str">
        <f>LARGE($FU$8:$FU$12,FR1048)</f>
        <v>0</v>
      </c>
      <c r="FU1048" s="34" t="str">
        <f>IF(FT1048&gt;0.1%,FT1048,"Algo Esta Mal")</f>
        <v>0</v>
      </c>
      <c r="FV1048" s="33" t="str">
        <f>IF(FU1048=FT1048,FS1048," ")</f>
        <v>0</v>
      </c>
      <c r="GA1048" s="33">
        <v>3</v>
      </c>
      <c r="GB1048" s="33" t="str">
        <f>IF(GC1048=GD8,GB8,IF(GC1048=GD9,GB9,IF(GC1048=GD10,GB10,IF(GC1048=GD11,GB11,IF(GC1048=GD12,GB12,"ALGO ESTA MAL")))))</f>
        <v>0</v>
      </c>
      <c r="GC1048" s="34" t="str">
        <f>LARGE($GD$8:$GD$12,GA1048)</f>
        <v>0</v>
      </c>
      <c r="GD1048" s="34" t="str">
        <f>IF(GC1048&gt;0.1%,GC1048,"Algo Esta Mal")</f>
        <v>0</v>
      </c>
      <c r="GE1048" s="33" t="str">
        <f>IF(GD1048=GC1048,GB1048," ")</f>
        <v>0</v>
      </c>
      <c r="GJ1048" s="33">
        <v>3</v>
      </c>
      <c r="GK1048" s="33" t="str">
        <f>IF(GL1048=GM8,GK8,IF(GL1048=GM9,GK9,IF(GL1048=GM10,GK10,IF(GL1048=GM11,GK11,IF(GL1048=GM12,GK12,"ALGO ESTA MAL")))))</f>
        <v>0</v>
      </c>
      <c r="GL1048" s="34" t="str">
        <f>LARGE($GM$8:$GM$12,GJ1048)</f>
        <v>0</v>
      </c>
      <c r="GM1048" s="34" t="str">
        <f>IF(GL1048&gt;0.1%,GL1048,"Algo Esta Mal")</f>
        <v>0</v>
      </c>
      <c r="GN1048" s="33" t="str">
        <f>IF(GM1048=GL1048,GK1048," ")</f>
        <v>0</v>
      </c>
      <c r="GS1048" s="33">
        <v>3</v>
      </c>
      <c r="GT1048" s="33" t="str">
        <f>IF(GU1048=GV8,GT8,IF(GU1048=GV9,GT9,IF(GU1048=GV10,GT10,IF(GU1048=GV11,GT11,IF(GU1048=GV12,GT12,"ALGO ESTA MAL")))))</f>
        <v>0</v>
      </c>
      <c r="GU1048" s="34" t="str">
        <f>LARGE($GV$8:$GV$12,GS1048)</f>
        <v>0</v>
      </c>
      <c r="GV1048" s="34" t="str">
        <f>IF(GU1048&gt;0.1%,GU1048,"Algo Esta Mal")</f>
        <v>0</v>
      </c>
      <c r="GW1048" s="33" t="str">
        <f>IF(GV1048=GU1048,GT1048," ")</f>
        <v>0</v>
      </c>
      <c r="HB1048" s="33">
        <v>3</v>
      </c>
      <c r="HC1048" s="33" t="str">
        <f>IF(HD1048=HE8,HC8,IF(HD1048=HE9,HC9,IF(HD1048=HE10,HC10,IF(HD1048=HE11,HC11,IF(HD1048=HE12,HC12,"ALGO ESTA MAL")))))</f>
        <v>0</v>
      </c>
      <c r="HD1048" s="34" t="str">
        <f>LARGE($HE$8:$HE$12,HB1048)</f>
        <v>0</v>
      </c>
      <c r="HE1048" s="34" t="str">
        <f>IF(HD1048&gt;0.1%,HD1048,"Algo Esta Mal")</f>
        <v>0</v>
      </c>
      <c r="HF1048" s="33" t="str">
        <f>IF(HE1048=HD1048,HC1048," ")</f>
        <v>0</v>
      </c>
      <c r="HK1048" s="33">
        <v>3</v>
      </c>
      <c r="HL1048" s="33" t="str">
        <f>IF(HM1048=HN8,HL8,IF(HM1048=HN9,HL9,IF(HM1048=HN10,HL10,IF(HM1048=HN11,HL11,IF(HM1048=HN12,HL12,"ALGO ESTA MAL")))))</f>
        <v>0</v>
      </c>
      <c r="HM1048" s="34" t="str">
        <f>LARGE($HN$8:$HN$12,HK1048)</f>
        <v>0</v>
      </c>
      <c r="HN1048" s="34" t="str">
        <f>IF(HM1048&gt;0.1%,HM1048,"Algo Esta Mal")</f>
        <v>0</v>
      </c>
      <c r="HO1048" s="33" t="str">
        <f>IF(HN1048=HM1048,HL1048," ")</f>
        <v>0</v>
      </c>
      <c r="HT1048" s="33">
        <v>3</v>
      </c>
      <c r="HU1048" s="33" t="str">
        <f>IF(HV1048=HW8,HU8,IF(HV1048=HW9,HU9,IF(HV1048=HW10,HU10,IF(HV1048=HW11,HU11,IF(HV1048=HW12,HU12,"ALGO ESTA MAL")))))</f>
        <v>0</v>
      </c>
      <c r="HV1048" s="34" t="str">
        <f>LARGE($HW$8:$HW$12,HT1048)</f>
        <v>0</v>
      </c>
      <c r="HW1048" s="34" t="str">
        <f>IF(HV1048&gt;0.1%,HV1048,"Algo Esta Mal")</f>
        <v>0</v>
      </c>
      <c r="HX1048" s="33" t="str">
        <f>IF(HW1048=HV1048,HU1048," ")</f>
        <v>0</v>
      </c>
      <c r="IC1048" s="33">
        <v>3</v>
      </c>
      <c r="ID1048" s="33" t="str">
        <f>IF(IE1048=IF8,ID8,IF(IE1048=IF9,ID9,IF(IE1048=IF10,ID10,IF(IE1048=IF11,ID11,IF(IE1048=IF12,ID12,"ALGO ESTA MAL")))))</f>
        <v>0</v>
      </c>
      <c r="IE1048" s="34" t="str">
        <f>LARGE($IF$8:$IF$12,IC1048)</f>
        <v>0</v>
      </c>
      <c r="IF1048" s="34" t="str">
        <f>IF(IE1048&gt;0.1%,IE1048,"Algo Esta Mal")</f>
        <v>0</v>
      </c>
      <c r="IG1048" s="33" t="str">
        <f>IF(IF1048=IE1048,ID1048," ")</f>
        <v>0</v>
      </c>
      <c r="IL1048" s="33">
        <v>3</v>
      </c>
      <c r="IM1048" s="33" t="str">
        <f>IF(IN1048=IO8,IM8,IF(IN1048=IO9,IM9,IF(IN1048=IO10,IM10,IF(IN1048=IO11,IM11,IF(IN1048=IO12,IM12,"ALGO ESTA MAL")))))</f>
        <v>0</v>
      </c>
      <c r="IN1048" s="34" t="str">
        <f>LARGE($IO$8:$IO$12,IL1048)</f>
        <v>0</v>
      </c>
      <c r="IO1048" s="34" t="str">
        <f>IF(IN1048&gt;0.1%,IN1048,"Algo Esta Mal")</f>
        <v>0</v>
      </c>
      <c r="IP1048" s="33" t="str">
        <f>IF(IO1048=IN1048,IM1048," ")</f>
        <v>0</v>
      </c>
      <c r="IU1048" s="33">
        <v>3</v>
      </c>
      <c r="IV1048" s="33" t="str">
        <f>IF(IW1048=IX8,IV8,IF(IW1048=IX9,IV9,IF(IW1048=IX10,IV10,IF(IW1048=IX11,IV11,IF(IW1048=IX12,IV12,"ALGO ESTA MAL")))))</f>
        <v>0</v>
      </c>
      <c r="IW1048" s="34" t="str">
        <f>LARGE($IX$8:$IX$12,IU1048)</f>
        <v>0</v>
      </c>
      <c r="IX1048" s="34" t="str">
        <f>IF(IW1048&gt;0.1%,IW1048,"Algo Esta Mal")</f>
        <v>0</v>
      </c>
      <c r="IY1048" s="33" t="str">
        <f>IF(IX1048=IW1048,IV1048," ")</f>
        <v>0</v>
      </c>
      <c r="JD1048" s="33">
        <v>3</v>
      </c>
      <c r="JE1048" s="33" t="str">
        <f>IF(JF1048=JG8,JE8,IF(JF1048=JG9,JE9,IF(JF1048=JG10,JE10,IF(JF1048=JG11,JE11,IF(JF1048=JG12,JE12,"ALGO ESTA MAL")))))</f>
        <v>0</v>
      </c>
      <c r="JF1048" s="34" t="str">
        <f>LARGE($JG$8:$JG$12,JD1048)</f>
        <v>0</v>
      </c>
      <c r="JG1048" s="34" t="str">
        <f>IF(JF1048&gt;0.1%,JF1048,"Algo Esta Mal")</f>
        <v>0</v>
      </c>
      <c r="JH1048" s="33" t="str">
        <f>IF(JG1048=JF1048,JE1048," ")</f>
        <v>0</v>
      </c>
      <c r="JM1048" s="33">
        <v>3</v>
      </c>
      <c r="JN1048" s="33" t="str">
        <f>IF(JO1048=JP8,JN8,IF(JO1048=JP9,JN9,IF(JO1048=JP10,JN10,IF(JO1048=JP11,JN11,IF(JO1048=JP12,JN12,"ALGO ESTA MAL")))))</f>
        <v>0</v>
      </c>
      <c r="JO1048" s="34" t="str">
        <f>LARGE($JP$8:$JP$12,JM1048)</f>
        <v>0</v>
      </c>
      <c r="JP1048" s="34" t="str">
        <f>IF(JO1048&gt;0.1%,JO1048,"Algo Esta Mal")</f>
        <v>0</v>
      </c>
      <c r="JQ1048" s="33" t="str">
        <f>IF(JP1048=JO1048,JN1048," ")</f>
        <v>0</v>
      </c>
      <c r="JV1048" s="33">
        <v>3</v>
      </c>
      <c r="JW1048" s="33" t="str">
        <f>IF(JX1048=JY8,JW8,IF(JX1048=JY9,JW9,IF(JX1048=JY10,JW10,IF(JX1048=JY11,JW11,IF(JX1048=JY12,JW12,"ALGO ESTA MAL")))))</f>
        <v>0</v>
      </c>
      <c r="JX1048" s="34" t="str">
        <f>LARGE($JY$8:$JY$12,JV1048)</f>
        <v>0</v>
      </c>
      <c r="JY1048" s="34" t="str">
        <f>IF(JX1048&gt;0.1%,JX1048,"Algo Esta Mal")</f>
        <v>0</v>
      </c>
      <c r="JZ1048" s="33" t="str">
        <f>IF(JY1048=JX1048,JW1048," ")</f>
        <v>0</v>
      </c>
      <c r="KE1048" s="33">
        <v>3</v>
      </c>
      <c r="KF1048" s="33" t="str">
        <f>IF(KG1048=KH8,KF8,IF(KG1048=KH9,KF9,IF(KG1048=KH10,KF10,IF(KG1048=KH11,KF11,IF(KG1048=KH12,KF12,"ALGO ESTA MAL")))))</f>
        <v>0</v>
      </c>
      <c r="KG1048" s="34" t="str">
        <f>LARGE($KH$8:$KH$12,KE1048)</f>
        <v>0</v>
      </c>
      <c r="KH1048" s="34" t="str">
        <f>IF(KG1048&gt;0.1%,KG1048,"Algo Esta Mal")</f>
        <v>0</v>
      </c>
      <c r="KI1048" s="33" t="str">
        <f>IF(KH1048=KG1048,KF1048," ")</f>
        <v>0</v>
      </c>
      <c r="KN1048" s="33">
        <v>3</v>
      </c>
      <c r="KO1048" s="33" t="str">
        <f>IF(KP1048=KQ8,KO8,IF(KP1048=KQ9,KO9,IF(KP1048=KQ10,KO10,IF(KP1048=KQ11,KO11,IF(KP1048=KQ12,KO12,"ALGO ESTA MAL")))))</f>
        <v>0</v>
      </c>
      <c r="KP1048" s="34" t="str">
        <f>LARGE($KQ$8:$KQ$12,KN1048)</f>
        <v>0</v>
      </c>
      <c r="KQ1048" s="34" t="str">
        <f>IF(KP1048&gt;0.1%,KP1048,"Algo Esta Mal")</f>
        <v>0</v>
      </c>
      <c r="KR1048" s="33" t="str">
        <f>IF(KQ1048=KP1048,KO1048," ")</f>
        <v>0</v>
      </c>
      <c r="KW1048" s="33">
        <v>3</v>
      </c>
      <c r="KX1048" s="33" t="str">
        <f>IF(KY1048=KZ8,KX8,IF(KY1048=KZ9,KX9,IF(KY1048=KZ10,KX10,IF(KY1048=KZ11,KX11,IF(KY1048=KZ12,KX12,"ALGO ESTA MAL")))))</f>
        <v>0</v>
      </c>
      <c r="KY1048" s="34" t="str">
        <f>LARGE($KZ$8:$KZ$12,KW1048)</f>
        <v>0</v>
      </c>
      <c r="KZ1048" s="34" t="str">
        <f>IF(KY1048&gt;0.1%,KY1048,"Algo Esta Mal")</f>
        <v>0</v>
      </c>
      <c r="LA1048" s="33" t="str">
        <f>IF(KZ1048=KY1048,KX1048," ")</f>
        <v>0</v>
      </c>
      <c r="LF1048" s="33">
        <v>3</v>
      </c>
      <c r="LG1048" s="33" t="str">
        <f>IF(LH1048=LI8,LG8,IF(LH1048=LI9,LG9,IF(LH1048=LI10,LG10,IF(LH1048=LI11,LG11,IF(LH1048=LI12,LG12,"ALGO ESTA MAL")))))</f>
        <v>0</v>
      </c>
      <c r="LH1048" s="34" t="str">
        <f>LARGE($LI$8:$LI$12,LF1048)</f>
        <v>0</v>
      </c>
      <c r="LI1048" s="34" t="str">
        <f>IF(LH1048&gt;0.1%,LH1048,"Algo Esta Mal")</f>
        <v>0</v>
      </c>
      <c r="LJ1048" s="33" t="str">
        <f>IF(LI1048=LH1048,LG1048," ")</f>
        <v>0</v>
      </c>
      <c r="LO1048" s="33">
        <v>3</v>
      </c>
      <c r="LP1048" s="33" t="str">
        <f>IF(LQ1048=LR8,LP8,IF(LQ1048=LR9,LP9,IF(LQ1048=LR10,LP10,IF(LQ1048=LR11,LP11,IF(LQ1048=LR12,LP12,"ALGO ESTA MAL")))))</f>
        <v>0</v>
      </c>
      <c r="LQ1048" s="34" t="str">
        <f>LARGE($LR$8:$LR$12,LO1048)</f>
        <v>0</v>
      </c>
      <c r="LR1048" s="34" t="str">
        <f>IF(LQ1048&gt;0.1%,LQ1048,"Algo Esta Mal")</f>
        <v>0</v>
      </c>
      <c r="LS1048" s="33" t="str">
        <f>IF(LR1048=LQ1048,LP1048," ")</f>
        <v>0</v>
      </c>
      <c r="LX1048" s="33">
        <v>3</v>
      </c>
      <c r="LY1048" s="33" t="str">
        <f>IF(LZ1048=MA8,LY8,IF(LZ1048=MA9,LY9,IF(LZ1048=MA10,LY10,IF(LZ1048=MA11,LY11,IF(LZ1048=MA12,LY12,"ALGO ESTA MAL")))))</f>
        <v>0</v>
      </c>
      <c r="LZ1048" s="34" t="str">
        <f>LARGE($MA$8:$MA$12,LX1048)</f>
        <v>0</v>
      </c>
      <c r="MA1048" s="34" t="str">
        <f>IF(LZ1048&gt;0.1%,LZ1048,"Algo Esta Mal")</f>
        <v>0</v>
      </c>
      <c r="MB1048" s="33" t="str">
        <f>IF(MA1048=LZ1048,LY1048," ")</f>
        <v>0</v>
      </c>
      <c r="MG1048" s="33">
        <v>3</v>
      </c>
      <c r="MH1048" s="33" t="str">
        <f>IF(MI1048=MJ8,MH8,IF(MI1048=MJ9,MH9,IF(MI1048=MJ10,MH10,IF(MI1048=MJ11,MH11,IF(MI1048=MJ12,MH12,"ALGO ESTA MAL")))))</f>
        <v>0</v>
      </c>
      <c r="MI1048" s="34" t="str">
        <f>LARGE($MJ$8:$MJ$12,MG1048)</f>
        <v>0</v>
      </c>
      <c r="MJ1048" s="34" t="str">
        <f>IF(MI1048&gt;0.1%,MI1048,"Algo Esta Mal")</f>
        <v>0</v>
      </c>
      <c r="MK1048" s="33" t="str">
        <f>IF(MJ1048=MI1048,MH1048," ")</f>
        <v>0</v>
      </c>
      <c r="MP1048" s="33">
        <v>3</v>
      </c>
      <c r="MQ1048" s="33" t="str">
        <f>IF(MR1048=MS8,MQ8,IF(MR1048=MS9,MQ9,IF(MR1048=MS10,MQ10,IF(MR1048=MS11,MQ11,IF(MR1048=MS12,MQ12,"ALGO ESTA MAL")))))</f>
        <v>0</v>
      </c>
      <c r="MR1048" s="34" t="str">
        <f>LARGE($MS$8:$MS$12,MP1048)</f>
        <v>0</v>
      </c>
      <c r="MS1048" s="34" t="str">
        <f>IF(MR1048&gt;0.1%,MR1048,"Algo Esta Mal")</f>
        <v>0</v>
      </c>
      <c r="MT1048" s="33" t="str">
        <f>IF(MS1048=MR1048,MQ1048," ")</f>
        <v>0</v>
      </c>
    </row>
    <row r="1049" spans="1:359">
      <c r="C1049" s="33">
        <v>4</v>
      </c>
      <c r="D1049" s="33" t="str">
        <f>IF(E1049=F8,D8,IF(E1049=F9,D9,IF(E1049=F10,D10,IF(E1049=F11,D11,IF(E1049=F12,D12,"ALGO ESTA MAL")))))</f>
        <v>0</v>
      </c>
      <c r="E1049" s="34" t="str">
        <f>LARGE($F$8:$F$12,C1049)</f>
        <v>0</v>
      </c>
      <c r="F1049" s="34" t="str">
        <f>IF(E1049&gt;0.1%,E1049,"Algo Esta Mal")</f>
        <v>0</v>
      </c>
      <c r="G1049" s="33" t="str">
        <f>IF(F1049=E1049,D1049," ")</f>
        <v>0</v>
      </c>
      <c r="L1049" s="33">
        <v>4</v>
      </c>
      <c r="M1049" s="33" t="str">
        <f>IF(N1049=O8,M8,IF(N1049=O9,M9,IF(N1049=O10,M10,IF(N1049=O11,M11,IF(N1049=O12,M12,"ALGO ESTA MAL")))))</f>
        <v>0</v>
      </c>
      <c r="N1049" s="34" t="str">
        <f>LARGE($O$8:$O$12,L1049)</f>
        <v>0</v>
      </c>
      <c r="O1049" s="34" t="str">
        <f>IF(N1049&gt;0.1%,N1049,"Algo Esta Mal")</f>
        <v>0</v>
      </c>
      <c r="P1049" s="33" t="str">
        <f>IF(O1049=N1049,M1049," ")</f>
        <v>0</v>
      </c>
      <c r="U1049" s="33">
        <v>4</v>
      </c>
      <c r="V1049" s="33" t="str">
        <f>IF(W1049=X8,V8,IF(W1049=X9,V9,IF(W1049=X10,V10,IF(W1049=X11,V11,IF(W1049=X12,V12,"ALGO ESTA MAL")))))</f>
        <v>0</v>
      </c>
      <c r="W1049" s="34" t="str">
        <f>LARGE($X$8:$X$12,U1049)</f>
        <v>0</v>
      </c>
      <c r="X1049" s="34" t="str">
        <f>IF(W1049&gt;0.1%,W1049,"Algo Esta Mal")</f>
        <v>0</v>
      </c>
      <c r="Y1049" s="33" t="str">
        <f>IF(X1049=W1049,V1049," ")</f>
        <v>0</v>
      </c>
      <c r="AD1049" s="33">
        <v>4</v>
      </c>
      <c r="AE1049" s="33" t="str">
        <f>IF(AF1049=AG8,AE8,IF(AF1049=AG9,AE9,IF(AF1049=AG10,AE10,IF(AF1049=AG11,AE11,IF(AF1049=AG12,AE12,"ALGO ESTA MAL")))))</f>
        <v>0</v>
      </c>
      <c r="AF1049" s="34" t="str">
        <f>LARGE($AG$8:$AG$12,AD1049)</f>
        <v>0</v>
      </c>
      <c r="AG1049" s="34" t="str">
        <f>IF(AF1049&gt;0.1%,AF1049,"Algo Esta Mal")</f>
        <v>0</v>
      </c>
      <c r="AH1049" s="33" t="str">
        <f>IF(AG1049=AF1049,AE1049," ")</f>
        <v>0</v>
      </c>
      <c r="AM1049" s="33">
        <v>4</v>
      </c>
      <c r="AN1049" s="33" t="str">
        <f>IF(AO1049=AP8,AN8,IF(AO1049=AP9,AN9,IF(AO1049=AP10,AN10,IF(AO1049=AP11,AN11,IF(AO1049=AP12,AN12,"ALGO ESTA MAL")))))</f>
        <v>0</v>
      </c>
      <c r="AO1049" s="34" t="str">
        <f>LARGE($AP$8:$AP$12,AM1049)</f>
        <v>0</v>
      </c>
      <c r="AP1049" s="34" t="str">
        <f>IF(AO1049&gt;0.1%,AO1049,"Algo Esta Mal")</f>
        <v>0</v>
      </c>
      <c r="AQ1049" s="33" t="str">
        <f>IF(AP1049=AO1049,AN1049," ")</f>
        <v>0</v>
      </c>
      <c r="AV1049" s="33">
        <v>4</v>
      </c>
      <c r="AW1049" s="33" t="str">
        <f>IF(AX1049=AY8,AW8,IF(AX1049=AY9,AW9,IF(AX1049=AY10,AW10,IF(AX1049=AY11,AW11,IF(AX1049=AY12,AW12,"ALGO ESTA MAL")))))</f>
        <v>0</v>
      </c>
      <c r="AX1049" s="34" t="str">
        <f>LARGE($AY$8:$AY$12,AV1049)</f>
        <v>0</v>
      </c>
      <c r="AY1049" s="34" t="str">
        <f>IF(AX1049&gt;0.1%,AX1049,"Algo Esta Mal")</f>
        <v>0</v>
      </c>
      <c r="AZ1049" s="33" t="str">
        <f>IF(AY1049=AX1049,AW1049," ")</f>
        <v>0</v>
      </c>
      <c r="BE1049" s="33">
        <v>4</v>
      </c>
      <c r="BF1049" s="33" t="str">
        <f>IF(BG1049=BH8,BF8,IF(BG1049=BH9,BF9,IF(BG1049=BH10,BF10,IF(BG1049=BH11,BF11,IF(BG1049=BH12,BF12,"ALGO ESTA MAL")))))</f>
        <v>0</v>
      </c>
      <c r="BG1049" s="34" t="str">
        <f>LARGE($BH$8:$BH$12,BE1049)</f>
        <v>0</v>
      </c>
      <c r="BH1049" s="34" t="str">
        <f>IF(BG1049&gt;0.1%,BG1049,"Algo Esta Mal")</f>
        <v>0</v>
      </c>
      <c r="BI1049" s="33" t="str">
        <f>IF(BH1049=BG1049,BF1049," ")</f>
        <v>0</v>
      </c>
      <c r="BN1049" s="33">
        <v>4</v>
      </c>
      <c r="BO1049" s="33" t="str">
        <f>IF(BP1049=BQ8,BO8,IF(BP1049=BQ9,BO9,IF(BP1049=BQ10,BO10,IF(BP1049=BQ11,BO11,IF(BP1049=BQ12,BO12,"ALGO ESTA MAL")))))</f>
        <v>0</v>
      </c>
      <c r="BP1049" s="34" t="str">
        <f>LARGE($BQ$8:$BQ$12,BN1049)</f>
        <v>0</v>
      </c>
      <c r="BQ1049" s="34" t="str">
        <f>IF(BP1049&gt;0.1%,BP1049,"Algo Esta Mal")</f>
        <v>0</v>
      </c>
      <c r="BR1049" s="33" t="str">
        <f>IF(BQ1049=BP1049,BO1049," ")</f>
        <v>0</v>
      </c>
      <c r="BW1049" s="33">
        <v>4</v>
      </c>
      <c r="BX1049" s="33" t="str">
        <f>IF(BY1049=BZ8,BX8,IF(BY1049=BZ9,BX9,IF(BY1049=BZ10,BX10,IF(BY1049=BZ11,BX11,IF(BY1049=BZ12,BX12,"ALGO ESTA MAL")))))</f>
        <v>0</v>
      </c>
      <c r="BY1049" s="34" t="str">
        <f>LARGE($BZ$8:$BZ$12,BW1049)</f>
        <v>0</v>
      </c>
      <c r="BZ1049" s="34" t="str">
        <f>IF(BY1049&gt;0.1%,BY1049,"Algo Esta Mal")</f>
        <v>0</v>
      </c>
      <c r="CA1049" s="33" t="str">
        <f>IF(BZ1049=BY1049,BX1049," ")</f>
        <v>0</v>
      </c>
      <c r="CF1049" s="33">
        <v>4</v>
      </c>
      <c r="CG1049" s="33" t="str">
        <f>IF(CH1049=CI8,CG8,IF(CH1049=CI9,CG9,IF(CH1049=CI10,CG10,IF(CH1049=CI11,CG11,IF(CH1049=CI12,CG12,"ALGO ESTA MAL")))))</f>
        <v>0</v>
      </c>
      <c r="CH1049" s="34" t="str">
        <f>LARGE($CI$8:$CI$12,CF1049)</f>
        <v>0</v>
      </c>
      <c r="CI1049" s="34" t="str">
        <f>IF(CH1049&gt;0.1%,CH1049,"Algo Esta Mal")</f>
        <v>0</v>
      </c>
      <c r="CJ1049" s="33" t="str">
        <f>IF(CI1049=CH1049,CG1049," ")</f>
        <v>0</v>
      </c>
      <c r="CO1049" s="33">
        <v>4</v>
      </c>
      <c r="CP1049" s="33" t="str">
        <f>IF(CQ1049=CR8,CP8,IF(CQ1049=CR9,CP9,IF(CQ1049=CR10,CP10,IF(CQ1049=CR11,CP11,IF(CQ1049=CR12,CP12,"ALGO ESTA MAL")))))</f>
        <v>0</v>
      </c>
      <c r="CQ1049" s="34" t="str">
        <f>LARGE($CR$8:$CR$12,CO1049)</f>
        <v>0</v>
      </c>
      <c r="CR1049" s="34" t="str">
        <f>IF(CQ1049&gt;0.1%,CQ1049,"Algo Esta Mal")</f>
        <v>0</v>
      </c>
      <c r="CS1049" s="33" t="str">
        <f>IF(CR1049=CQ1049,CP1049," ")</f>
        <v>0</v>
      </c>
      <c r="CX1049" s="33">
        <v>4</v>
      </c>
      <c r="CY1049" s="33" t="str">
        <f>IF(CZ1049=DA8,CY8,IF(CZ1049=DA9,CY9,IF(CZ1049=DA10,CY10,IF(CZ1049=DA11,CY11,IF(CZ1049=DA12,CY12,"ALGO ESTA MAL")))))</f>
        <v>0</v>
      </c>
      <c r="CZ1049" s="34" t="str">
        <f>LARGE($DA$8:$DA$12,CX1049)</f>
        <v>0</v>
      </c>
      <c r="DA1049" s="34" t="str">
        <f>IF(CZ1049&gt;0.1%,CZ1049,"Algo Esta Mal")</f>
        <v>0</v>
      </c>
      <c r="DB1049" s="33" t="str">
        <f>IF(DA1049=CZ1049,CY1049," ")</f>
        <v>0</v>
      </c>
      <c r="DG1049" s="33">
        <v>4</v>
      </c>
      <c r="DH1049" s="33" t="str">
        <f>IF(DI1049=DJ8,DH8,IF(DI1049=DJ9,DH9,IF(DI1049=DJ10,DH10,IF(DI1049=DJ11,DH11,IF(DI1049=DJ12,DH12,"ALGO ESTA MAL")))))</f>
        <v>0</v>
      </c>
      <c r="DI1049" s="34" t="str">
        <f>LARGE($DJ$8:$DJ$12,DG1049)</f>
        <v>0</v>
      </c>
      <c r="DJ1049" s="34" t="str">
        <f>IF(DI1049&gt;0.1%,DI1049,"Algo Esta Mal")</f>
        <v>0</v>
      </c>
      <c r="DK1049" s="33" t="str">
        <f>IF(DJ1049=DI1049,DH1049," ")</f>
        <v>0</v>
      </c>
      <c r="DP1049" s="33">
        <v>4</v>
      </c>
      <c r="DQ1049" s="33" t="str">
        <f>IF(DR1049=DS8,DQ8,IF(DR1049=DS9,DQ9,IF(DR1049=DS10,DQ10,IF(DR1049=DS11,DQ11,IF(DR1049=DS12,DQ12,"ALGO ESTA MAL")))))</f>
        <v>0</v>
      </c>
      <c r="DR1049" s="34" t="str">
        <f>LARGE($DS$8:$DS$12,DP1049)</f>
        <v>0</v>
      </c>
      <c r="DS1049" s="34" t="str">
        <f>IF(DR1049&gt;0.1%,DR1049,"Algo Esta Mal")</f>
        <v>0</v>
      </c>
      <c r="DT1049" s="33" t="str">
        <f>IF(DS1049=DR1049,DQ1049," ")</f>
        <v>0</v>
      </c>
      <c r="DY1049" s="33">
        <v>4</v>
      </c>
      <c r="DZ1049" s="33" t="str">
        <f>IF(EA1049=EB8,DZ8,IF(EA1049=EB9,DZ9,IF(EA1049=EB10,DZ10,IF(EA1049=EB11,DZ11,IF(EA1049=EB12,DZ12,"ALGO ESTA MAL")))))</f>
        <v>0</v>
      </c>
      <c r="EA1049" s="34" t="str">
        <f>LARGE($EB$8:$EB$12,DY1049)</f>
        <v>0</v>
      </c>
      <c r="EB1049" s="34" t="str">
        <f>IF(EA1049&gt;0.1%,EA1049,"Algo Esta Mal")</f>
        <v>0</v>
      </c>
      <c r="EC1049" s="33" t="str">
        <f>IF(EB1049=EA1049,DZ1049," ")</f>
        <v>0</v>
      </c>
      <c r="EH1049" s="33">
        <v>4</v>
      </c>
      <c r="EI1049" s="33" t="str">
        <f>IF(EJ1049=EK8,EI8,IF(EJ1049=EK9,EI9,IF(EJ1049=EK10,EI10,IF(EJ1049=EK11,EI11,IF(EJ1049=EK12,EI12,"ALGO ESTA MAL")))))</f>
        <v>0</v>
      </c>
      <c r="EJ1049" s="34" t="str">
        <f>LARGE($EK$8:$EK$12,EH1049)</f>
        <v>0</v>
      </c>
      <c r="EK1049" s="34" t="str">
        <f>IF(EJ1049&gt;0.1%,EJ1049,"Algo Esta Mal")</f>
        <v>0</v>
      </c>
      <c r="EL1049" s="33" t="str">
        <f>IF(EK1049=EJ1049,EI1049," ")</f>
        <v>0</v>
      </c>
      <c r="EQ1049" s="33">
        <v>4</v>
      </c>
      <c r="ER1049" s="33" t="str">
        <f>IF(ES1049=ET8,ER8,IF(ES1049=ET9,ER9,IF(ES1049=ET10,ER10,IF(ES1049=ET11,ER11,IF(ES1049=ET12,ER12,"ALGO ESTA MAL")))))</f>
        <v>0</v>
      </c>
      <c r="ES1049" s="34" t="str">
        <f>LARGE($ET$8:$ET$12,EQ1049)</f>
        <v>0</v>
      </c>
      <c r="ET1049" s="34" t="str">
        <f>IF(ES1049&gt;0.1%,ES1049,"Algo Esta Mal")</f>
        <v>0</v>
      </c>
      <c r="EU1049" s="33" t="str">
        <f>IF(ET1049=ES1049,ER1049," ")</f>
        <v>0</v>
      </c>
      <c r="EZ1049" s="33">
        <v>4</v>
      </c>
      <c r="FA1049" s="33" t="str">
        <f>IF(FB1049=FC8,FA8,IF(FB1049=FC9,FA9,IF(FB1049=FC10,FA10,IF(FB1049=FC11,FA11,IF(FB1049=FC12,FA12,"ALGO ESTA MAL")))))</f>
        <v>0</v>
      </c>
      <c r="FB1049" s="34" t="str">
        <f>LARGE($FC$8:$FC$12,EZ1049)</f>
        <v>0</v>
      </c>
      <c r="FC1049" s="34" t="str">
        <f>IF(FB1049&gt;0.1%,FB1049,"Algo Esta Mal")</f>
        <v>0</v>
      </c>
      <c r="FD1049" s="33" t="str">
        <f>IF(FC1049=FB1049,FA1049," ")</f>
        <v>0</v>
      </c>
      <c r="FI1049" s="33">
        <v>4</v>
      </c>
      <c r="FJ1049" s="33" t="str">
        <f>IF(FK1049=FL8,FJ8,IF(FK1049=FL9,FJ9,IF(FK1049=FL10,FJ10,IF(FK1049=FL11,FJ11,IF(FK1049=FL12,FJ12,"ALGO ESTA MAL")))))</f>
        <v>0</v>
      </c>
      <c r="FK1049" s="34" t="str">
        <f>LARGE($FL$8:$FL$12,FI1049)</f>
        <v>0</v>
      </c>
      <c r="FL1049" s="34" t="str">
        <f>IF(FK1049&gt;0.1%,FK1049,"Algo Esta Mal")</f>
        <v>0</v>
      </c>
      <c r="FM1049" s="33" t="str">
        <f>IF(FL1049=FK1049,FJ1049," ")</f>
        <v>0</v>
      </c>
      <c r="FR1049" s="33">
        <v>4</v>
      </c>
      <c r="FS1049" s="33" t="str">
        <f>IF(FT1049=FU8,FS8,IF(FT1049=FU9,FS9,IF(FT1049=FU10,FS10,IF(FT1049=FU11,FS11,IF(FT1049=FU12,FS12,"ALGO ESTA MAL")))))</f>
        <v>0</v>
      </c>
      <c r="FT1049" s="34" t="str">
        <f>LARGE($FU$8:$FU$12,FR1049)</f>
        <v>0</v>
      </c>
      <c r="FU1049" s="34" t="str">
        <f>IF(FT1049&gt;0.1%,FT1049,"Algo Esta Mal")</f>
        <v>0</v>
      </c>
      <c r="FV1049" s="33" t="str">
        <f>IF(FU1049=FT1049,FS1049," ")</f>
        <v>0</v>
      </c>
      <c r="GA1049" s="33">
        <v>4</v>
      </c>
      <c r="GB1049" s="33" t="str">
        <f>IF(GC1049=GD8,GB8,IF(GC1049=GD9,GB9,IF(GC1049=GD10,GB10,IF(GC1049=GD11,GB11,IF(GC1049=GD12,GB12,"ALGO ESTA MAL")))))</f>
        <v>0</v>
      </c>
      <c r="GC1049" s="34" t="str">
        <f>LARGE($GD$8:$GD$12,GA1049)</f>
        <v>0</v>
      </c>
      <c r="GD1049" s="34" t="str">
        <f>IF(GC1049&gt;0.1%,GC1049,"Algo Esta Mal")</f>
        <v>0</v>
      </c>
      <c r="GE1049" s="33" t="str">
        <f>IF(GD1049=GC1049,GB1049," ")</f>
        <v>0</v>
      </c>
      <c r="GJ1049" s="33">
        <v>4</v>
      </c>
      <c r="GK1049" s="33" t="str">
        <f>IF(GL1049=GM8,GK8,IF(GL1049=GM9,GK9,IF(GL1049=GM10,GK10,IF(GL1049=GM11,GK11,IF(GL1049=GM12,GK12,"ALGO ESTA MAL")))))</f>
        <v>0</v>
      </c>
      <c r="GL1049" s="34" t="str">
        <f>LARGE($GM$8:$GM$12,GJ1049)</f>
        <v>0</v>
      </c>
      <c r="GM1049" s="34" t="str">
        <f>IF(GL1049&gt;0.1%,GL1049,"Algo Esta Mal")</f>
        <v>0</v>
      </c>
      <c r="GN1049" s="33" t="str">
        <f>IF(GM1049=GL1049,GK1049," ")</f>
        <v>0</v>
      </c>
      <c r="GS1049" s="33">
        <v>4</v>
      </c>
      <c r="GT1049" s="33" t="str">
        <f>IF(GU1049=GV8,GT8,IF(GU1049=GV9,GT9,IF(GU1049=GV10,GT10,IF(GU1049=GV11,GT11,IF(GU1049=GV12,GT12,"ALGO ESTA MAL")))))</f>
        <v>0</v>
      </c>
      <c r="GU1049" s="34" t="str">
        <f>LARGE($GV$8:$GV$12,GS1049)</f>
        <v>0</v>
      </c>
      <c r="GV1049" s="34" t="str">
        <f>IF(GU1049&gt;0.1%,GU1049,"Algo Esta Mal")</f>
        <v>0</v>
      </c>
      <c r="GW1049" s="33" t="str">
        <f>IF(GV1049=GU1049,GT1049," ")</f>
        <v>0</v>
      </c>
      <c r="HB1049" s="33">
        <v>4</v>
      </c>
      <c r="HC1049" s="33" t="str">
        <f>IF(HD1049=HE8,HC8,IF(HD1049=HE9,HC9,IF(HD1049=HE10,HC10,IF(HD1049=HE11,HC11,IF(HD1049=HE12,HC12,"ALGO ESTA MAL")))))</f>
        <v>0</v>
      </c>
      <c r="HD1049" s="34" t="str">
        <f>LARGE($HE$8:$HE$12,HB1049)</f>
        <v>0</v>
      </c>
      <c r="HE1049" s="34" t="str">
        <f>IF(HD1049&gt;0.1%,HD1049,"Algo Esta Mal")</f>
        <v>0</v>
      </c>
      <c r="HF1049" s="33" t="str">
        <f>IF(HE1049=HD1049,HC1049," ")</f>
        <v>0</v>
      </c>
      <c r="HK1049" s="33">
        <v>4</v>
      </c>
      <c r="HL1049" s="33" t="str">
        <f>IF(HM1049=HN8,HL8,IF(HM1049=HN9,HL9,IF(HM1049=HN10,HL10,IF(HM1049=HN11,HL11,IF(HM1049=HN12,HL12,"ALGO ESTA MAL")))))</f>
        <v>0</v>
      </c>
      <c r="HM1049" s="34" t="str">
        <f>LARGE($HN$8:$HN$12,HK1049)</f>
        <v>0</v>
      </c>
      <c r="HN1049" s="34" t="str">
        <f>IF(HM1049&gt;0.1%,HM1049,"Algo Esta Mal")</f>
        <v>0</v>
      </c>
      <c r="HO1049" s="33" t="str">
        <f>IF(HN1049=HM1049,HL1049," ")</f>
        <v>0</v>
      </c>
      <c r="HT1049" s="33">
        <v>4</v>
      </c>
      <c r="HU1049" s="33" t="str">
        <f>IF(HV1049=HW8,HU8,IF(HV1049=HW9,HU9,IF(HV1049=HW10,HU10,IF(HV1049=HW11,HU11,IF(HV1049=HW12,HU12,"ALGO ESTA MAL")))))</f>
        <v>0</v>
      </c>
      <c r="HV1049" s="34" t="str">
        <f>LARGE($HW$8:$HW$12,HT1049)</f>
        <v>0</v>
      </c>
      <c r="HW1049" s="34" t="str">
        <f>IF(HV1049&gt;0.1%,HV1049,"Algo Esta Mal")</f>
        <v>0</v>
      </c>
      <c r="HX1049" s="33" t="str">
        <f>IF(HW1049=HV1049,HU1049," ")</f>
        <v>0</v>
      </c>
      <c r="IC1049" s="33">
        <v>4</v>
      </c>
      <c r="ID1049" s="33" t="str">
        <f>IF(IE1049=IF8,ID8,IF(IE1049=IF9,ID9,IF(IE1049=IF10,ID10,IF(IE1049=IF11,ID11,IF(IE1049=IF12,ID12,"ALGO ESTA MAL")))))</f>
        <v>0</v>
      </c>
      <c r="IE1049" s="34" t="str">
        <f>LARGE($IF$8:$IF$12,IC1049)</f>
        <v>0</v>
      </c>
      <c r="IF1049" s="34" t="str">
        <f>IF(IE1049&gt;0.1%,IE1049,"Algo Esta Mal")</f>
        <v>0</v>
      </c>
      <c r="IG1049" s="33" t="str">
        <f>IF(IF1049=IE1049,ID1049," ")</f>
        <v>0</v>
      </c>
      <c r="IL1049" s="33">
        <v>4</v>
      </c>
      <c r="IM1049" s="33" t="str">
        <f>IF(IN1049=IO8,IM8,IF(IN1049=IO9,IM9,IF(IN1049=IO10,IM10,IF(IN1049=IO11,IM11,IF(IN1049=IO12,IM12,"ALGO ESTA MAL")))))</f>
        <v>0</v>
      </c>
      <c r="IN1049" s="34" t="str">
        <f>LARGE($IO$8:$IO$12,IL1049)</f>
        <v>0</v>
      </c>
      <c r="IO1049" s="34" t="str">
        <f>IF(IN1049&gt;0.1%,IN1049,"Algo Esta Mal")</f>
        <v>0</v>
      </c>
      <c r="IP1049" s="33" t="str">
        <f>IF(IO1049=IN1049,IM1049," ")</f>
        <v>0</v>
      </c>
      <c r="IU1049" s="33">
        <v>4</v>
      </c>
      <c r="IV1049" s="33" t="str">
        <f>IF(IW1049=IX8,IV8,IF(IW1049=IX9,IV9,IF(IW1049=IX10,IV10,IF(IW1049=IX11,IV11,IF(IW1049=IX12,IV12,"ALGO ESTA MAL")))))</f>
        <v>0</v>
      </c>
      <c r="IW1049" s="34" t="str">
        <f>LARGE($IX$8:$IX$12,IU1049)</f>
        <v>0</v>
      </c>
      <c r="IX1049" s="34" t="str">
        <f>IF(IW1049&gt;0.1%,IW1049,"Algo Esta Mal")</f>
        <v>0</v>
      </c>
      <c r="IY1049" s="33" t="str">
        <f>IF(IX1049=IW1049,IV1049," ")</f>
        <v>0</v>
      </c>
      <c r="JD1049" s="33">
        <v>4</v>
      </c>
      <c r="JE1049" s="33" t="str">
        <f>IF(JF1049=JG8,JE8,IF(JF1049=JG9,JE9,IF(JF1049=JG10,JE10,IF(JF1049=JG11,JE11,IF(JF1049=JG12,JE12,"ALGO ESTA MAL")))))</f>
        <v>0</v>
      </c>
      <c r="JF1049" s="34" t="str">
        <f>LARGE($JG$8:$JG$12,JD1049)</f>
        <v>0</v>
      </c>
      <c r="JG1049" s="34" t="str">
        <f>IF(JF1049&gt;0.1%,JF1049,"Algo Esta Mal")</f>
        <v>0</v>
      </c>
      <c r="JH1049" s="33" t="str">
        <f>IF(JG1049=JF1049,JE1049," ")</f>
        <v>0</v>
      </c>
      <c r="JM1049" s="33">
        <v>4</v>
      </c>
      <c r="JN1049" s="33" t="str">
        <f>IF(JO1049=JP8,JN8,IF(JO1049=JP9,JN9,IF(JO1049=JP10,JN10,IF(JO1049=JP11,JN11,IF(JO1049=JP12,JN12,"ALGO ESTA MAL")))))</f>
        <v>0</v>
      </c>
      <c r="JO1049" s="34" t="str">
        <f>LARGE($JP$8:$JP$12,JM1049)</f>
        <v>0</v>
      </c>
      <c r="JP1049" s="34" t="str">
        <f>IF(JO1049&gt;0.1%,JO1049,"Algo Esta Mal")</f>
        <v>0</v>
      </c>
      <c r="JQ1049" s="33" t="str">
        <f>IF(JP1049=JO1049,JN1049," ")</f>
        <v>0</v>
      </c>
      <c r="JV1049" s="33">
        <v>4</v>
      </c>
      <c r="JW1049" s="33" t="str">
        <f>IF(JX1049=JY8,JW8,IF(JX1049=JY9,JW9,IF(JX1049=JY10,JW10,IF(JX1049=JY11,JW11,IF(JX1049=JY12,JW12,"ALGO ESTA MAL")))))</f>
        <v>0</v>
      </c>
      <c r="JX1049" s="34" t="str">
        <f>LARGE($JY$8:$JY$12,JV1049)</f>
        <v>0</v>
      </c>
      <c r="JY1049" s="34" t="str">
        <f>IF(JX1049&gt;0.1%,JX1049,"Algo Esta Mal")</f>
        <v>0</v>
      </c>
      <c r="JZ1049" s="33" t="str">
        <f>IF(JY1049=JX1049,JW1049," ")</f>
        <v>0</v>
      </c>
      <c r="KE1049" s="33">
        <v>4</v>
      </c>
      <c r="KF1049" s="33" t="str">
        <f>IF(KG1049=KH8,KF8,IF(KG1049=KH9,KF9,IF(KG1049=KH10,KF10,IF(KG1049=KH11,KF11,IF(KG1049=KH12,KF12,"ALGO ESTA MAL")))))</f>
        <v>0</v>
      </c>
      <c r="KG1049" s="34" t="str">
        <f>LARGE($KH$8:$KH$12,KE1049)</f>
        <v>0</v>
      </c>
      <c r="KH1049" s="34" t="str">
        <f>IF(KG1049&gt;0.1%,KG1049,"Algo Esta Mal")</f>
        <v>0</v>
      </c>
      <c r="KI1049" s="33" t="str">
        <f>IF(KH1049=KG1049,KF1049," ")</f>
        <v>0</v>
      </c>
      <c r="KN1049" s="33">
        <v>4</v>
      </c>
      <c r="KO1049" s="33" t="str">
        <f>IF(KP1049=KQ8,KO8,IF(KP1049=KQ9,KO9,IF(KP1049=KQ10,KO10,IF(KP1049=KQ11,KO11,IF(KP1049=KQ12,KO12,"ALGO ESTA MAL")))))</f>
        <v>0</v>
      </c>
      <c r="KP1049" s="34" t="str">
        <f>LARGE($KQ$8:$KQ$12,KN1049)</f>
        <v>0</v>
      </c>
      <c r="KQ1049" s="34" t="str">
        <f>IF(KP1049&gt;0.1%,KP1049,"Algo Esta Mal")</f>
        <v>0</v>
      </c>
      <c r="KR1049" s="33" t="str">
        <f>IF(KQ1049=KP1049,KO1049," ")</f>
        <v>0</v>
      </c>
      <c r="KW1049" s="33">
        <v>4</v>
      </c>
      <c r="KX1049" s="33" t="str">
        <f>IF(KY1049=KZ8,KX8,IF(KY1049=KZ9,KX9,IF(KY1049=KZ10,KX10,IF(KY1049=KZ11,KX11,IF(KY1049=KZ12,KX12,"ALGO ESTA MAL")))))</f>
        <v>0</v>
      </c>
      <c r="KY1049" s="34" t="str">
        <f>LARGE($KZ$8:$KZ$12,KW1049)</f>
        <v>0</v>
      </c>
      <c r="KZ1049" s="34" t="str">
        <f>IF(KY1049&gt;0.1%,KY1049,"Algo Esta Mal")</f>
        <v>0</v>
      </c>
      <c r="LA1049" s="33" t="str">
        <f>IF(KZ1049=KY1049,KX1049," ")</f>
        <v>0</v>
      </c>
      <c r="LF1049" s="33">
        <v>4</v>
      </c>
      <c r="LG1049" s="33" t="str">
        <f>IF(LH1049=LI8,LG8,IF(LH1049=LI9,LG9,IF(LH1049=LI10,LG10,IF(LH1049=LI11,LG11,IF(LH1049=LI12,LG12,"ALGO ESTA MAL")))))</f>
        <v>0</v>
      </c>
      <c r="LH1049" s="34" t="str">
        <f>LARGE($LI$8:$LI$12,LF1049)</f>
        <v>0</v>
      </c>
      <c r="LI1049" s="34" t="str">
        <f>IF(LH1049&gt;0.1%,LH1049,"Algo Esta Mal")</f>
        <v>0</v>
      </c>
      <c r="LJ1049" s="33" t="str">
        <f>IF(LI1049=LH1049,LG1049," ")</f>
        <v>0</v>
      </c>
      <c r="LO1049" s="33">
        <v>4</v>
      </c>
      <c r="LP1049" s="33" t="str">
        <f>IF(LQ1049=LR8,LP8,IF(LQ1049=LR9,LP9,IF(LQ1049=LR10,LP10,IF(LQ1049=LR11,LP11,IF(LQ1049=LR12,LP12,"ALGO ESTA MAL")))))</f>
        <v>0</v>
      </c>
      <c r="LQ1049" s="34" t="str">
        <f>LARGE($LR$8:$LR$12,LO1049)</f>
        <v>0</v>
      </c>
      <c r="LR1049" s="34" t="str">
        <f>IF(LQ1049&gt;0.1%,LQ1049,"Algo Esta Mal")</f>
        <v>0</v>
      </c>
      <c r="LS1049" s="33" t="str">
        <f>IF(LR1049=LQ1049,LP1049," ")</f>
        <v>0</v>
      </c>
      <c r="LX1049" s="33">
        <v>4</v>
      </c>
      <c r="LY1049" s="33" t="str">
        <f>IF(LZ1049=MA8,LY8,IF(LZ1049=MA9,LY9,IF(LZ1049=MA10,LY10,IF(LZ1049=MA11,LY11,IF(LZ1049=MA12,LY12,"ALGO ESTA MAL")))))</f>
        <v>0</v>
      </c>
      <c r="LZ1049" s="34" t="str">
        <f>LARGE($MA$8:$MA$12,LX1049)</f>
        <v>0</v>
      </c>
      <c r="MA1049" s="34" t="str">
        <f>IF(LZ1049&gt;0.1%,LZ1049,"Algo Esta Mal")</f>
        <v>0</v>
      </c>
      <c r="MB1049" s="33" t="str">
        <f>IF(MA1049=LZ1049,LY1049," ")</f>
        <v>0</v>
      </c>
      <c r="MG1049" s="33">
        <v>4</v>
      </c>
      <c r="MH1049" s="33" t="str">
        <f>IF(MI1049=MJ8,MH8,IF(MI1049=MJ9,MH9,IF(MI1049=MJ10,MH10,IF(MI1049=MJ11,MH11,IF(MI1049=MJ12,MH12,"ALGO ESTA MAL")))))</f>
        <v>0</v>
      </c>
      <c r="MI1049" s="34" t="str">
        <f>LARGE($MJ$8:$MJ$12,MG1049)</f>
        <v>0</v>
      </c>
      <c r="MJ1049" s="34" t="str">
        <f>IF(MI1049&gt;0.1%,MI1049,"Algo Esta Mal")</f>
        <v>0</v>
      </c>
      <c r="MK1049" s="33" t="str">
        <f>IF(MJ1049=MI1049,MH1049," ")</f>
        <v>0</v>
      </c>
      <c r="MP1049" s="33">
        <v>4</v>
      </c>
      <c r="MQ1049" s="33" t="str">
        <f>IF(MR1049=MS8,MQ8,IF(MR1049=MS9,MQ9,IF(MR1049=MS10,MQ10,IF(MR1049=MS11,MQ11,IF(MR1049=MS12,MQ12,"ALGO ESTA MAL")))))</f>
        <v>0</v>
      </c>
      <c r="MR1049" s="34" t="str">
        <f>LARGE($MS$8:$MS$12,MP1049)</f>
        <v>0</v>
      </c>
      <c r="MS1049" s="34" t="str">
        <f>IF(MR1049&gt;0.1%,MR1049,"Algo Esta Mal")</f>
        <v>0</v>
      </c>
      <c r="MT1049" s="33" t="str">
        <f>IF(MS1049=MR1049,MQ1049," ")</f>
        <v>0</v>
      </c>
    </row>
    <row r="1050" spans="1:359">
      <c r="C1050" s="33">
        <v>5</v>
      </c>
      <c r="D1050" s="33" t="str">
        <f>IF(E1050=F8,D8,IF(E1050=F9,D9,IF(E1050=F10,D10,IF(E1050=F11,D11,IF(E1050=F12,D12,"ALGO ESTA MAL")))))</f>
        <v>0</v>
      </c>
      <c r="E1050" s="34" t="str">
        <f>LARGE($F$8:$F$12,C1050)</f>
        <v>0</v>
      </c>
      <c r="F1050" s="34" t="str">
        <f>IF(E1050&gt;0.1%,E1050,"Algo Esta Mal")</f>
        <v>0</v>
      </c>
      <c r="G1050" s="33" t="str">
        <f>IF(F1050=E1050,D1050," ")</f>
        <v>0</v>
      </c>
      <c r="L1050" s="33">
        <v>5</v>
      </c>
      <c r="M1050" s="33" t="str">
        <f>IF(N1050=O8,M8,IF(N1050=O9,M9,IF(N1050=O10,M10,IF(N1050=O11,M11,IF(N1050=O12,M12,"ALGO ESTA MAL")))))</f>
        <v>0</v>
      </c>
      <c r="N1050" s="34" t="str">
        <f>LARGE($O$8:$O$12,L1050)</f>
        <v>0</v>
      </c>
      <c r="O1050" s="34" t="str">
        <f>IF(N1050&gt;0.1%,N1050,"Algo Esta Mal")</f>
        <v>0</v>
      </c>
      <c r="P1050" s="33" t="str">
        <f>IF(O1050=N1050,M1050," ")</f>
        <v>0</v>
      </c>
      <c r="U1050" s="33">
        <v>5</v>
      </c>
      <c r="V1050" s="33" t="str">
        <f>IF(W1050=X8,V8,IF(W1050=X9,V9,IF(W1050=X10,V10,IF(W1050=X11,V11,IF(W1050=X12,V12,"ALGO ESTA MAL")))))</f>
        <v>0</v>
      </c>
      <c r="W1050" s="34" t="str">
        <f>LARGE($X$8:$X$12,U1050)</f>
        <v>0</v>
      </c>
      <c r="X1050" s="34" t="str">
        <f>IF(W1050&gt;0.1%,W1050,"Algo Esta Mal")</f>
        <v>0</v>
      </c>
      <c r="Y1050" s="33" t="str">
        <f>IF(X1050=W1050,V1050," ")</f>
        <v>0</v>
      </c>
      <c r="AD1050" s="33">
        <v>5</v>
      </c>
      <c r="AE1050" s="33" t="str">
        <f>IF(AF1050=AG8,AE8,IF(AF1050=AG9,AE9,IF(AF1050=AG10,AE10,IF(AF1050=AG11,AE11,IF(AF1050=AG12,AE12,"ALGO ESTA MAL")))))</f>
        <v>0</v>
      </c>
      <c r="AF1050" s="34" t="str">
        <f>LARGE($AG$8:$AG$12,AD1050)</f>
        <v>0</v>
      </c>
      <c r="AG1050" s="34" t="str">
        <f>IF(AF1050&gt;0.1%,AF1050,"Algo Esta Mal")</f>
        <v>0</v>
      </c>
      <c r="AH1050" s="33" t="str">
        <f>IF(AG1050=AF1050,AE1050," ")</f>
        <v>0</v>
      </c>
      <c r="AM1050" s="33">
        <v>5</v>
      </c>
      <c r="AN1050" s="33" t="str">
        <f>IF(AO1050=AP8,AN8,IF(AO1050=AP9,AN9,IF(AO1050=AP10,AN10,IF(AO1050=AP11,AN11,IF(AO1050=AP12,AN12,"ALGO ESTA MAL")))))</f>
        <v>0</v>
      </c>
      <c r="AO1050" s="34" t="str">
        <f>LARGE($AP$8:$AP$12,AM1050)</f>
        <v>0</v>
      </c>
      <c r="AP1050" s="34" t="str">
        <f>IF(AO1050&gt;0.1%,AO1050,"Algo Esta Mal")</f>
        <v>0</v>
      </c>
      <c r="AQ1050" s="33" t="str">
        <f>IF(AP1050=AO1050,AN1050," ")</f>
        <v>0</v>
      </c>
      <c r="AV1050" s="33">
        <v>5</v>
      </c>
      <c r="AW1050" s="33" t="str">
        <f>IF(AX1050=AY8,AW8,IF(AX1050=AY9,AW9,IF(AX1050=AY10,AW10,IF(AX1050=AY11,AW11,IF(AX1050=AY12,AW12,"ALGO ESTA MAL")))))</f>
        <v>0</v>
      </c>
      <c r="AX1050" s="34" t="str">
        <f>LARGE($AY$8:$AY$12,AV1050)</f>
        <v>0</v>
      </c>
      <c r="AY1050" s="34" t="str">
        <f>IF(AX1050&gt;0.1%,AX1050,"Algo Esta Mal")</f>
        <v>0</v>
      </c>
      <c r="AZ1050" s="33" t="str">
        <f>IF(AY1050=AX1050,AW1050," ")</f>
        <v>0</v>
      </c>
      <c r="BE1050" s="33">
        <v>5</v>
      </c>
      <c r="BF1050" s="33" t="str">
        <f>IF(BG1050=BH8,BF8,IF(BG1050=BH9,BF9,IF(BG1050=BH10,BF10,IF(BG1050=BH11,BF11,IF(BG1050=BH12,BF12,"ALGO ESTA MAL")))))</f>
        <v>0</v>
      </c>
      <c r="BG1050" s="34" t="str">
        <f>LARGE($BH$8:$BH$12,BE1050)</f>
        <v>0</v>
      </c>
      <c r="BH1050" s="34" t="str">
        <f>IF(BG1050&gt;0.1%,BG1050,"Algo Esta Mal")</f>
        <v>0</v>
      </c>
      <c r="BI1050" s="33" t="str">
        <f>IF(BH1050=BG1050,BF1050," ")</f>
        <v>0</v>
      </c>
      <c r="BN1050" s="33">
        <v>5</v>
      </c>
      <c r="BO1050" s="33" t="str">
        <f>IF(BP1050=BQ8,BO8,IF(BP1050=BQ9,BO9,IF(BP1050=BQ10,BO10,IF(BP1050=BQ11,BO11,IF(BP1050=BQ12,BO12,"ALGO ESTA MAL")))))</f>
        <v>0</v>
      </c>
      <c r="BP1050" s="34" t="str">
        <f>LARGE($BQ$8:$BQ$12,BN1050)</f>
        <v>0</v>
      </c>
      <c r="BQ1050" s="34" t="str">
        <f>IF(BP1050&gt;0.1%,BP1050,"Algo Esta Mal")</f>
        <v>0</v>
      </c>
      <c r="BR1050" s="33" t="str">
        <f>IF(BQ1050=BP1050,BO1050," ")</f>
        <v>0</v>
      </c>
      <c r="BW1050" s="33">
        <v>5</v>
      </c>
      <c r="BX1050" s="33" t="str">
        <f>IF(BY1050=BZ8,BX8,IF(BY1050=BZ9,BX9,IF(BY1050=BZ10,BX10,IF(BY1050=BZ11,BX11,IF(BY1050=BZ12,BX12,"ALGO ESTA MAL")))))</f>
        <v>0</v>
      </c>
      <c r="BY1050" s="34" t="str">
        <f>LARGE($BZ$8:$BZ$12,BW1050)</f>
        <v>0</v>
      </c>
      <c r="BZ1050" s="34" t="str">
        <f>IF(BY1050&gt;0.1%,BY1050,"Algo Esta Mal")</f>
        <v>0</v>
      </c>
      <c r="CA1050" s="33" t="str">
        <f>IF(BZ1050=BY1050,BX1050," ")</f>
        <v>0</v>
      </c>
      <c r="CF1050" s="33">
        <v>5</v>
      </c>
      <c r="CG1050" s="33" t="str">
        <f>IF(CH1050=CI8,CG8,IF(CH1050=CI9,CG9,IF(CH1050=CI10,CG10,IF(CH1050=CI11,CG11,IF(CH1050=CI12,CG12,"ALGO ESTA MAL")))))</f>
        <v>0</v>
      </c>
      <c r="CH1050" s="34" t="str">
        <f>LARGE($CI$8:$CI$12,CF1050)</f>
        <v>0</v>
      </c>
      <c r="CI1050" s="34" t="str">
        <f>IF(CH1050&gt;0.1%,CH1050,"Algo Esta Mal")</f>
        <v>0</v>
      </c>
      <c r="CJ1050" s="33" t="str">
        <f>IF(CI1050=CH1050,CG1050," ")</f>
        <v>0</v>
      </c>
      <c r="CO1050" s="33">
        <v>5</v>
      </c>
      <c r="CP1050" s="33" t="str">
        <f>IF(CQ1050=CR8,CP8,IF(CQ1050=CR9,CP9,IF(CQ1050=CR10,CP10,IF(CQ1050=CR11,CP11,IF(CQ1050=CR12,CP12,"ALGO ESTA MAL")))))</f>
        <v>0</v>
      </c>
      <c r="CQ1050" s="34" t="str">
        <f>LARGE($CR$8:$CR$12,CO1050)</f>
        <v>0</v>
      </c>
      <c r="CR1050" s="34" t="str">
        <f>IF(CQ1050&gt;0.1%,CQ1050,"Algo Esta Mal")</f>
        <v>0</v>
      </c>
      <c r="CS1050" s="33" t="str">
        <f>IF(CR1050=CQ1050,CP1050," ")</f>
        <v>0</v>
      </c>
      <c r="CX1050" s="33">
        <v>5</v>
      </c>
      <c r="CY1050" s="33" t="str">
        <f>IF(CZ1050=DA8,CY8,IF(CZ1050=DA9,CY9,IF(CZ1050=DA10,CY10,IF(CZ1050=DA11,CY11,IF(CZ1050=DA12,CY12,"ALGO ESTA MAL")))))</f>
        <v>0</v>
      </c>
      <c r="CZ1050" s="34" t="str">
        <f>LARGE($DA$8:$DA$12,CX1050)</f>
        <v>0</v>
      </c>
      <c r="DA1050" s="34" t="str">
        <f>IF(CZ1050&gt;0.1%,CZ1050,"Algo Esta Mal")</f>
        <v>0</v>
      </c>
      <c r="DB1050" s="33" t="str">
        <f>IF(DA1050=CZ1050,CY1050," ")</f>
        <v>0</v>
      </c>
      <c r="DG1050" s="33">
        <v>5</v>
      </c>
      <c r="DH1050" s="33" t="str">
        <f>IF(DI1050=DJ8,DH8,IF(DI1050=DJ9,DH9,IF(DI1050=DJ10,DH10,IF(DI1050=DJ11,DH11,IF(DI1050=DJ12,DH12,"ALGO ESTA MAL")))))</f>
        <v>0</v>
      </c>
      <c r="DI1050" s="34" t="str">
        <f>LARGE($DJ$8:$DJ$12,DG1050)</f>
        <v>0</v>
      </c>
      <c r="DJ1050" s="34" t="str">
        <f>IF(DI1050&gt;0.1%,DI1050,"Algo Esta Mal")</f>
        <v>0</v>
      </c>
      <c r="DK1050" s="33" t="str">
        <f>IF(DJ1050=DI1050,DH1050," ")</f>
        <v>0</v>
      </c>
      <c r="DP1050" s="33">
        <v>5</v>
      </c>
      <c r="DQ1050" s="33" t="str">
        <f>IF(DR1050=DS8,DQ8,IF(DR1050=DS9,DQ9,IF(DR1050=DS10,DQ10,IF(DR1050=DS11,DQ11,IF(DR1050=DS12,DQ12,"ALGO ESTA MAL")))))</f>
        <v>0</v>
      </c>
      <c r="DR1050" s="34" t="str">
        <f>LARGE($DS$8:$DS$12,DP1050)</f>
        <v>0</v>
      </c>
      <c r="DS1050" s="34" t="str">
        <f>IF(DR1050&gt;0.1%,DR1050,"Algo Esta Mal")</f>
        <v>0</v>
      </c>
      <c r="DT1050" s="33" t="str">
        <f>IF(DS1050=DR1050,DQ1050," ")</f>
        <v>0</v>
      </c>
      <c r="DY1050" s="33">
        <v>5</v>
      </c>
      <c r="DZ1050" s="33" t="str">
        <f>IF(EA1050=EB8,DZ8,IF(EA1050=EB9,DZ9,IF(EA1050=EB10,DZ10,IF(EA1050=EB11,DZ11,IF(EA1050=EB12,DZ12,"ALGO ESTA MAL")))))</f>
        <v>0</v>
      </c>
      <c r="EA1050" s="34" t="str">
        <f>LARGE($EB$8:$EB$12,DY1050)</f>
        <v>0</v>
      </c>
      <c r="EB1050" s="34" t="str">
        <f>IF(EA1050&gt;0.1%,EA1050,"Algo Esta Mal")</f>
        <v>0</v>
      </c>
      <c r="EC1050" s="33" t="str">
        <f>IF(EB1050=EA1050,DZ1050," ")</f>
        <v>0</v>
      </c>
      <c r="EH1050" s="33">
        <v>5</v>
      </c>
      <c r="EI1050" s="33" t="str">
        <f>IF(EJ1050=EK8,EI8,IF(EJ1050=EK9,EI9,IF(EJ1050=EK10,EI10,IF(EJ1050=EK11,EI11,IF(EJ1050=EK12,EI12,"ALGO ESTA MAL")))))</f>
        <v>0</v>
      </c>
      <c r="EJ1050" s="34" t="str">
        <f>LARGE($EK$8:$EK$12,EH1050)</f>
        <v>0</v>
      </c>
      <c r="EK1050" s="34" t="str">
        <f>IF(EJ1050&gt;0.1%,EJ1050,"Algo Esta Mal")</f>
        <v>0</v>
      </c>
      <c r="EL1050" s="33" t="str">
        <f>IF(EK1050=EJ1050,EI1050," ")</f>
        <v>0</v>
      </c>
      <c r="EQ1050" s="33">
        <v>5</v>
      </c>
      <c r="ER1050" s="33" t="str">
        <f>IF(ES1050=ET8,ER8,IF(ES1050=ET9,ER9,IF(ES1050=ET10,ER10,IF(ES1050=ET11,ER11,IF(ES1050=ET12,ER12,"ALGO ESTA MAL")))))</f>
        <v>0</v>
      </c>
      <c r="ES1050" s="34" t="str">
        <f>LARGE($ET$8:$ET$12,EQ1050)</f>
        <v>0</v>
      </c>
      <c r="ET1050" s="34" t="str">
        <f>IF(ES1050&gt;0.1%,ES1050,"Algo Esta Mal")</f>
        <v>0</v>
      </c>
      <c r="EU1050" s="33" t="str">
        <f>IF(ET1050=ES1050,ER1050," ")</f>
        <v>0</v>
      </c>
      <c r="EZ1050" s="33">
        <v>5</v>
      </c>
      <c r="FA1050" s="33" t="str">
        <f>IF(FB1050=FC8,FA8,IF(FB1050=FC9,FA9,IF(FB1050=FC10,FA10,IF(FB1050=FC11,FA11,IF(FB1050=FC12,FA12,"ALGO ESTA MAL")))))</f>
        <v>0</v>
      </c>
      <c r="FB1050" s="34" t="str">
        <f>LARGE($FC$8:$FC$12,EZ1050)</f>
        <v>0</v>
      </c>
      <c r="FC1050" s="34" t="str">
        <f>IF(FB1050&gt;0.1%,FB1050,"Algo Esta Mal")</f>
        <v>0</v>
      </c>
      <c r="FD1050" s="33" t="str">
        <f>IF(FC1050=FB1050,FA1050," ")</f>
        <v>0</v>
      </c>
      <c r="FI1050" s="33">
        <v>5</v>
      </c>
      <c r="FJ1050" s="33" t="str">
        <f>IF(FK1050=FL8,FJ8,IF(FK1050=FL9,FJ9,IF(FK1050=FL10,FJ10,IF(FK1050=FL11,FJ11,IF(FK1050=FL12,FJ12,"ALGO ESTA MAL")))))</f>
        <v>0</v>
      </c>
      <c r="FK1050" s="34" t="str">
        <f>LARGE($FL$8:$FL$12,FI1050)</f>
        <v>0</v>
      </c>
      <c r="FL1050" s="34" t="str">
        <f>IF(FK1050&gt;0.1%,FK1050,"Algo Esta Mal")</f>
        <v>0</v>
      </c>
      <c r="FM1050" s="33" t="str">
        <f>IF(FL1050=FK1050,FJ1050," ")</f>
        <v>0</v>
      </c>
      <c r="FR1050" s="33">
        <v>5</v>
      </c>
      <c r="FS1050" s="33" t="str">
        <f>IF(FT1050=FU8,FS8,IF(FT1050=FU9,FS9,IF(FT1050=FU10,FS10,IF(FT1050=FU11,FS11,IF(FT1050=FU12,FS12,"ALGO ESTA MAL")))))</f>
        <v>0</v>
      </c>
      <c r="FT1050" s="34" t="str">
        <f>LARGE($FU$8:$FU$12,FR1050)</f>
        <v>0</v>
      </c>
      <c r="FU1050" s="34" t="str">
        <f>IF(FT1050&gt;0.1%,FT1050,"Algo Esta Mal")</f>
        <v>0</v>
      </c>
      <c r="FV1050" s="33" t="str">
        <f>IF(FU1050=FT1050,FS1050," ")</f>
        <v>0</v>
      </c>
      <c r="GA1050" s="33">
        <v>5</v>
      </c>
      <c r="GB1050" s="33" t="str">
        <f>IF(GC1050=GD8,GB8,IF(GC1050=GD9,GB9,IF(GC1050=GD10,GB10,IF(GC1050=GD11,GB11,IF(GC1050=GD12,GB12,"ALGO ESTA MAL")))))</f>
        <v>0</v>
      </c>
      <c r="GC1050" s="34" t="str">
        <f>LARGE($GD$8:$GD$12,GA1050)</f>
        <v>0</v>
      </c>
      <c r="GD1050" s="34" t="str">
        <f>IF(GC1050&gt;0.1%,GC1050,"Algo Esta Mal")</f>
        <v>0</v>
      </c>
      <c r="GE1050" s="33" t="str">
        <f>IF(GD1050=GC1050,GB1050," ")</f>
        <v>0</v>
      </c>
      <c r="GJ1050" s="33">
        <v>5</v>
      </c>
      <c r="GK1050" s="33" t="str">
        <f>IF(GL1050=GM8,GK8,IF(GL1050=GM9,GK9,IF(GL1050=GM10,GK10,IF(GL1050=GM11,GK11,IF(GL1050=GM12,GK12,"ALGO ESTA MAL")))))</f>
        <v>0</v>
      </c>
      <c r="GL1050" s="34" t="str">
        <f>LARGE($GM$8:$GM$12,GJ1050)</f>
        <v>0</v>
      </c>
      <c r="GM1050" s="34" t="str">
        <f>IF(GL1050&gt;0.1%,GL1050,"Algo Esta Mal")</f>
        <v>0</v>
      </c>
      <c r="GN1050" s="33" t="str">
        <f>IF(GM1050=GL1050,GK1050," ")</f>
        <v>0</v>
      </c>
      <c r="GS1050" s="33">
        <v>5</v>
      </c>
      <c r="GT1050" s="33" t="str">
        <f>IF(GU1050=GV8,GT8,IF(GU1050=GV9,GT9,IF(GU1050=GV10,GT10,IF(GU1050=GV11,GT11,IF(GU1050=GV12,GT12,"ALGO ESTA MAL")))))</f>
        <v>0</v>
      </c>
      <c r="GU1050" s="34" t="str">
        <f>LARGE($GV$8:$GV$12,GS1050)</f>
        <v>0</v>
      </c>
      <c r="GV1050" s="34" t="str">
        <f>IF(GU1050&gt;0.1%,GU1050,"Algo Esta Mal")</f>
        <v>0</v>
      </c>
      <c r="GW1050" s="33" t="str">
        <f>IF(GV1050=GU1050,GT1050," ")</f>
        <v>0</v>
      </c>
      <c r="HB1050" s="33">
        <v>5</v>
      </c>
      <c r="HC1050" s="33" t="str">
        <f>IF(HD1050=HE8,HC8,IF(HD1050=HE9,HC9,IF(HD1050=HE10,HC10,IF(HD1050=HE11,HC11,IF(HD1050=HE12,HC12,"ALGO ESTA MAL")))))</f>
        <v>0</v>
      </c>
      <c r="HD1050" s="34" t="str">
        <f>LARGE($HE$8:$HE$12,HB1050)</f>
        <v>0</v>
      </c>
      <c r="HE1050" s="34" t="str">
        <f>IF(HD1050&gt;0.1%,HD1050,"Algo Esta Mal")</f>
        <v>0</v>
      </c>
      <c r="HF1050" s="33" t="str">
        <f>IF(HE1050=HD1050,HC1050," ")</f>
        <v>0</v>
      </c>
      <c r="HK1050" s="33">
        <v>5</v>
      </c>
      <c r="HL1050" s="33" t="str">
        <f>IF(HM1050=HN8,HL8,IF(HM1050=HN9,HL9,IF(HM1050=HN10,HL10,IF(HM1050=HN11,HL11,IF(HM1050=HN12,HL12,"ALGO ESTA MAL")))))</f>
        <v>0</v>
      </c>
      <c r="HM1050" s="34" t="str">
        <f>LARGE($HN$8:$HN$12,HK1050)</f>
        <v>0</v>
      </c>
      <c r="HN1050" s="34" t="str">
        <f>IF(HM1050&gt;0.1%,HM1050,"Algo Esta Mal")</f>
        <v>0</v>
      </c>
      <c r="HO1050" s="33" t="str">
        <f>IF(HN1050=HM1050,HL1050," ")</f>
        <v>0</v>
      </c>
      <c r="HT1050" s="33">
        <v>5</v>
      </c>
      <c r="HU1050" s="33" t="str">
        <f>IF(HV1050=HW8,HU8,IF(HV1050=HW9,HU9,IF(HV1050=HW10,HU10,IF(HV1050=HW11,HU11,IF(HV1050=HW12,HU12,"ALGO ESTA MAL")))))</f>
        <v>0</v>
      </c>
      <c r="HV1050" s="34" t="str">
        <f>LARGE($HW$8:$HW$12,HT1050)</f>
        <v>0</v>
      </c>
      <c r="HW1050" s="34" t="str">
        <f>IF(HV1050&gt;0.1%,HV1050,"Algo Esta Mal")</f>
        <v>0</v>
      </c>
      <c r="HX1050" s="33" t="str">
        <f>IF(HW1050=HV1050,HU1050," ")</f>
        <v>0</v>
      </c>
      <c r="IC1050" s="33">
        <v>5</v>
      </c>
      <c r="ID1050" s="33" t="str">
        <f>IF(IE1050=IF8,ID8,IF(IE1050=IF9,ID9,IF(IE1050=IF10,ID10,IF(IE1050=IF11,ID11,IF(IE1050=IF12,ID12,"ALGO ESTA MAL")))))</f>
        <v>0</v>
      </c>
      <c r="IE1050" s="34" t="str">
        <f>LARGE($IF$8:$IF$12,IC1050)</f>
        <v>0</v>
      </c>
      <c r="IF1050" s="34" t="str">
        <f>IF(IE1050&gt;0.1%,IE1050,"Algo Esta Mal")</f>
        <v>0</v>
      </c>
      <c r="IG1050" s="33" t="str">
        <f>IF(IF1050=IE1050,ID1050," ")</f>
        <v>0</v>
      </c>
      <c r="IL1050" s="33">
        <v>5</v>
      </c>
      <c r="IM1050" s="33" t="str">
        <f>IF(IN1050=IO8,IM8,IF(IN1050=IO9,IM9,IF(IN1050=IO10,IM10,IF(IN1050=IO11,IM11,IF(IN1050=IO12,IM12,"ALGO ESTA MAL")))))</f>
        <v>0</v>
      </c>
      <c r="IN1050" s="34" t="str">
        <f>LARGE($IO$8:$IO$12,IL1050)</f>
        <v>0</v>
      </c>
      <c r="IO1050" s="34" t="str">
        <f>IF(IN1050&gt;0.1%,IN1050,"Algo Esta Mal")</f>
        <v>0</v>
      </c>
      <c r="IP1050" s="33" t="str">
        <f>IF(IO1050=IN1050,IM1050," ")</f>
        <v>0</v>
      </c>
      <c r="IU1050" s="33">
        <v>5</v>
      </c>
      <c r="IV1050" s="33" t="str">
        <f>IF(IW1050=IX8,IV8,IF(IW1050=IX9,IV9,IF(IW1050=IX10,IV10,IF(IW1050=IX11,IV11,IF(IW1050=IX12,IV12,"ALGO ESTA MAL")))))</f>
        <v>0</v>
      </c>
      <c r="IW1050" s="34" t="str">
        <f>LARGE($IX$8:$IX$12,IU1050)</f>
        <v>0</v>
      </c>
      <c r="IX1050" s="34" t="str">
        <f>IF(IW1050&gt;0.1%,IW1050,"Algo Esta Mal")</f>
        <v>0</v>
      </c>
      <c r="IY1050" s="33" t="str">
        <f>IF(IX1050=IW1050,IV1050," ")</f>
        <v>0</v>
      </c>
      <c r="JD1050" s="33">
        <v>5</v>
      </c>
      <c r="JE1050" s="33" t="str">
        <f>IF(JF1050=JG8,JE8,IF(JF1050=JG9,JE9,IF(JF1050=JG10,JE10,IF(JF1050=JG11,JE11,IF(JF1050=JG12,JE12,"ALGO ESTA MAL")))))</f>
        <v>0</v>
      </c>
      <c r="JF1050" s="34" t="str">
        <f>LARGE($JG$8:$JG$12,JD1050)</f>
        <v>0</v>
      </c>
      <c r="JG1050" s="34" t="str">
        <f>IF(JF1050&gt;0.1%,JF1050,"Algo Esta Mal")</f>
        <v>0</v>
      </c>
      <c r="JH1050" s="33" t="str">
        <f>IF(JG1050=JF1050,JE1050," ")</f>
        <v>0</v>
      </c>
      <c r="JM1050" s="33">
        <v>5</v>
      </c>
      <c r="JN1050" s="33" t="str">
        <f>IF(JO1050=JP8,JN8,IF(JO1050=JP9,JN9,IF(JO1050=JP10,JN10,IF(JO1050=JP11,JN11,IF(JO1050=JP12,JN12,"ALGO ESTA MAL")))))</f>
        <v>0</v>
      </c>
      <c r="JO1050" s="34" t="str">
        <f>LARGE($JP$8:$JP$12,JM1050)</f>
        <v>0</v>
      </c>
      <c r="JP1050" s="34" t="str">
        <f>IF(JO1050&gt;0.1%,JO1050,"Algo Esta Mal")</f>
        <v>0</v>
      </c>
      <c r="JQ1050" s="33" t="str">
        <f>IF(JP1050=JO1050,JN1050," ")</f>
        <v>0</v>
      </c>
      <c r="JV1050" s="33">
        <v>5</v>
      </c>
      <c r="JW1050" s="33" t="str">
        <f>IF(JX1050=JY8,JW8,IF(JX1050=JY9,JW9,IF(JX1050=JY10,JW10,IF(JX1050=JY11,JW11,IF(JX1050=JY12,JW12,"ALGO ESTA MAL")))))</f>
        <v>0</v>
      </c>
      <c r="JX1050" s="34" t="str">
        <f>LARGE($JY$8:$JY$12,JV1050)</f>
        <v>0</v>
      </c>
      <c r="JY1050" s="34" t="str">
        <f>IF(JX1050&gt;0.1%,JX1050,"Algo Esta Mal")</f>
        <v>0</v>
      </c>
      <c r="JZ1050" s="33" t="str">
        <f>IF(JY1050=JX1050,JW1050," ")</f>
        <v>0</v>
      </c>
      <c r="KE1050" s="33">
        <v>5</v>
      </c>
      <c r="KF1050" s="33" t="str">
        <f>IF(KG1050=KH8,KF8,IF(KG1050=KH9,KF9,IF(KG1050=KH10,KF10,IF(KG1050=KH11,KF11,IF(KG1050=KH12,KF12,"ALGO ESTA MAL")))))</f>
        <v>0</v>
      </c>
      <c r="KG1050" s="34" t="str">
        <f>LARGE($KH$8:$KH$12,KE1050)</f>
        <v>0</v>
      </c>
      <c r="KH1050" s="34" t="str">
        <f>IF(KG1050&gt;0.1%,KG1050,"Algo Esta Mal")</f>
        <v>0</v>
      </c>
      <c r="KI1050" s="33" t="str">
        <f>IF(KH1050=KG1050,KF1050," ")</f>
        <v>0</v>
      </c>
      <c r="KN1050" s="33">
        <v>5</v>
      </c>
      <c r="KO1050" s="33" t="str">
        <f>IF(KP1050=KQ8,KO8,IF(KP1050=KQ9,KO9,IF(KP1050=KQ10,KO10,IF(KP1050=KQ11,KO11,IF(KP1050=KQ12,KO12,"ALGO ESTA MAL")))))</f>
        <v>0</v>
      </c>
      <c r="KP1050" s="34" t="str">
        <f>LARGE($KQ$8:$KQ$12,KN1050)</f>
        <v>0</v>
      </c>
      <c r="KQ1050" s="34" t="str">
        <f>IF(KP1050&gt;0.1%,KP1050,"Algo Esta Mal")</f>
        <v>0</v>
      </c>
      <c r="KR1050" s="33" t="str">
        <f>IF(KQ1050=KP1050,KO1050," ")</f>
        <v>0</v>
      </c>
      <c r="KW1050" s="33">
        <v>5</v>
      </c>
      <c r="KX1050" s="33" t="str">
        <f>IF(KY1050=KZ8,KX8,IF(KY1050=KZ9,KX9,IF(KY1050=KZ10,KX10,IF(KY1050=KZ11,KX11,IF(KY1050=KZ12,KX12,"ALGO ESTA MAL")))))</f>
        <v>0</v>
      </c>
      <c r="KY1050" s="34" t="str">
        <f>LARGE($KZ$8:$KZ$12,KW1050)</f>
        <v>0</v>
      </c>
      <c r="KZ1050" s="34" t="str">
        <f>IF(KY1050&gt;0.1%,KY1050,"Algo Esta Mal")</f>
        <v>0</v>
      </c>
      <c r="LA1050" s="33" t="str">
        <f>IF(KZ1050=KY1050,KX1050," ")</f>
        <v>0</v>
      </c>
      <c r="LF1050" s="33">
        <v>5</v>
      </c>
      <c r="LG1050" s="33" t="str">
        <f>IF(LH1050=LI8,LG8,IF(LH1050=LI9,LG9,IF(LH1050=LI10,LG10,IF(LH1050=LI11,LG11,IF(LH1050=LI12,LG12,"ALGO ESTA MAL")))))</f>
        <v>0</v>
      </c>
      <c r="LH1050" s="34" t="str">
        <f>LARGE($LI$8:$LI$12,LF1050)</f>
        <v>0</v>
      </c>
      <c r="LI1050" s="34" t="str">
        <f>IF(LH1050&gt;0.1%,LH1050,"Algo Esta Mal")</f>
        <v>0</v>
      </c>
      <c r="LJ1050" s="33" t="str">
        <f>IF(LI1050=LH1050,LG1050," ")</f>
        <v>0</v>
      </c>
      <c r="LO1050" s="33">
        <v>5</v>
      </c>
      <c r="LP1050" s="33" t="str">
        <f>IF(LQ1050=LR8,LP8,IF(LQ1050=LR9,LP9,IF(LQ1050=LR10,LP10,IF(LQ1050=LR11,LP11,IF(LQ1050=LR12,LP12,"ALGO ESTA MAL")))))</f>
        <v>0</v>
      </c>
      <c r="LQ1050" s="34" t="str">
        <f>LARGE($LR$8:$LR$12,LO1050)</f>
        <v>0</v>
      </c>
      <c r="LR1050" s="34" t="str">
        <f>IF(LQ1050&gt;0.1%,LQ1050,"Algo Esta Mal")</f>
        <v>0</v>
      </c>
      <c r="LS1050" s="33" t="str">
        <f>IF(LR1050=LQ1050,LP1050," ")</f>
        <v>0</v>
      </c>
      <c r="LX1050" s="33">
        <v>5</v>
      </c>
      <c r="LY1050" s="33" t="str">
        <f>IF(LZ1050=MA8,LY8,IF(LZ1050=MA9,LY9,IF(LZ1050=MA10,LY10,IF(LZ1050=MA11,LY11,IF(LZ1050=MA12,LY12,"ALGO ESTA MAL")))))</f>
        <v>0</v>
      </c>
      <c r="LZ1050" s="34" t="str">
        <f>LARGE($MA$8:$MA$12,LX1050)</f>
        <v>0</v>
      </c>
      <c r="MA1050" s="34" t="str">
        <f>IF(LZ1050&gt;0.1%,LZ1050,"Algo Esta Mal")</f>
        <v>0</v>
      </c>
      <c r="MB1050" s="33" t="str">
        <f>IF(MA1050=LZ1050,LY1050," ")</f>
        <v>0</v>
      </c>
      <c r="MG1050" s="33">
        <v>5</v>
      </c>
      <c r="MH1050" s="33" t="str">
        <f>IF(MI1050=MJ8,MH8,IF(MI1050=MJ9,MH9,IF(MI1050=MJ10,MH10,IF(MI1050=MJ11,MH11,IF(MI1050=MJ12,MH12,"ALGO ESTA MAL")))))</f>
        <v>0</v>
      </c>
      <c r="MI1050" s="34" t="str">
        <f>LARGE($MJ$8:$MJ$12,MG1050)</f>
        <v>0</v>
      </c>
      <c r="MJ1050" s="34" t="str">
        <f>IF(MI1050&gt;0.1%,MI1050,"Algo Esta Mal")</f>
        <v>0</v>
      </c>
      <c r="MK1050" s="33" t="str">
        <f>IF(MJ1050=MI1050,MH1050," ")</f>
        <v>0</v>
      </c>
      <c r="MP1050" s="33">
        <v>5</v>
      </c>
      <c r="MQ1050" s="33" t="str">
        <f>IF(MR1050=MS8,MQ8,IF(MR1050=MS9,MQ9,IF(MR1050=MS10,MQ10,IF(MR1050=MS11,MQ11,IF(MR1050=MS12,MQ12,"ALGO ESTA MAL")))))</f>
        <v>0</v>
      </c>
      <c r="MR1050" s="34" t="str">
        <f>LARGE($MS$8:$MS$12,MP1050)</f>
        <v>0</v>
      </c>
      <c r="MS1050" s="34" t="str">
        <f>IF(MR1050&gt;0.1%,MR1050,"Algo Esta Mal")</f>
        <v>0</v>
      </c>
      <c r="MT1050" s="33" t="str">
        <f>IF(MS1050=MR1050,MQ1050," ")</f>
        <v>0</v>
      </c>
    </row>
    <row r="1052" spans="1:359">
      <c r="D1052" s="33" t="s">
        <v>539</v>
      </c>
      <c r="M1052" s="33" t="s">
        <v>539</v>
      </c>
      <c r="V1052" s="33" t="s">
        <v>539</v>
      </c>
      <c r="AE1052" s="33" t="s">
        <v>539</v>
      </c>
      <c r="AN1052" s="33" t="s">
        <v>539</v>
      </c>
      <c r="AW1052" s="33" t="s">
        <v>539</v>
      </c>
      <c r="BF1052" s="33" t="s">
        <v>539</v>
      </c>
      <c r="BO1052" s="33" t="s">
        <v>539</v>
      </c>
      <c r="BX1052" s="33" t="s">
        <v>539</v>
      </c>
      <c r="CG1052" s="33" t="s">
        <v>539</v>
      </c>
      <c r="CP1052" s="33" t="s">
        <v>539</v>
      </c>
      <c r="CY1052" s="33" t="s">
        <v>539</v>
      </c>
      <c r="DH1052" s="33" t="s">
        <v>539</v>
      </c>
      <c r="DQ1052" s="33" t="s">
        <v>539</v>
      </c>
      <c r="DZ1052" s="33" t="s">
        <v>539</v>
      </c>
      <c r="EI1052" s="33" t="s">
        <v>539</v>
      </c>
      <c r="ER1052" s="33" t="s">
        <v>539</v>
      </c>
      <c r="FA1052" s="33" t="s">
        <v>539</v>
      </c>
      <c r="FJ1052" s="33" t="s">
        <v>539</v>
      </c>
      <c r="FS1052" s="33" t="s">
        <v>539</v>
      </c>
      <c r="GB1052" s="33" t="s">
        <v>539</v>
      </c>
      <c r="GK1052" s="33" t="s">
        <v>539</v>
      </c>
      <c r="GT1052" s="33" t="s">
        <v>539</v>
      </c>
      <c r="HC1052" s="33" t="s">
        <v>539</v>
      </c>
      <c r="HL1052" s="33" t="s">
        <v>539</v>
      </c>
      <c r="HU1052" s="33" t="s">
        <v>539</v>
      </c>
      <c r="ID1052" s="33" t="s">
        <v>539</v>
      </c>
      <c r="IM1052" s="33" t="s">
        <v>539</v>
      </c>
      <c r="IV1052" s="33" t="s">
        <v>539</v>
      </c>
      <c r="JE1052" s="33" t="s">
        <v>539</v>
      </c>
      <c r="JN1052" s="33" t="s">
        <v>539</v>
      </c>
      <c r="JW1052" s="33" t="s">
        <v>539</v>
      </c>
      <c r="KF1052" s="33" t="s">
        <v>539</v>
      </c>
      <c r="KO1052" s="33" t="s">
        <v>539</v>
      </c>
      <c r="KX1052" s="33" t="s">
        <v>539</v>
      </c>
      <c r="LG1052" s="33" t="s">
        <v>539</v>
      </c>
      <c r="LP1052" s="33" t="s">
        <v>539</v>
      </c>
      <c r="LY1052" s="33" t="s">
        <v>539</v>
      </c>
      <c r="MH1052" s="33" t="s">
        <v>539</v>
      </c>
      <c r="MQ1052" s="33" t="s">
        <v>539</v>
      </c>
    </row>
    <row r="1053" spans="1:359">
      <c r="D1053" s="34" t="str">
        <f>SUM(F8:F10)</f>
        <v>0</v>
      </c>
      <c r="E1053" s="34" t="str">
        <f>MAX(D1053:D1054)</f>
        <v>0</v>
      </c>
      <c r="M1053" s="34" t="str">
        <f>SUM(O8:O10)</f>
        <v>0</v>
      </c>
      <c r="N1053" s="34" t="str">
        <f>MAX(M1053:M1054)</f>
        <v>0</v>
      </c>
      <c r="V1053" s="34" t="str">
        <f>SUM(X8:X10)</f>
        <v>0</v>
      </c>
      <c r="W1053" s="34" t="str">
        <f>MAX(V1053:V1054)</f>
        <v>0</v>
      </c>
      <c r="AE1053" s="34" t="str">
        <f>SUM(AG8:AG10)</f>
        <v>0</v>
      </c>
      <c r="AF1053" s="34" t="str">
        <f>MAX(AE1053:AE1054)</f>
        <v>0</v>
      </c>
      <c r="AN1053" s="34" t="str">
        <f>SUM(AP8:AP10)</f>
        <v>0</v>
      </c>
      <c r="AO1053" s="34" t="str">
        <f>MAX(AN1053:AN1054)</f>
        <v>0</v>
      </c>
      <c r="AW1053" s="34" t="str">
        <f>SUM(AY8:AY10)</f>
        <v>0</v>
      </c>
      <c r="AX1053" s="34" t="str">
        <f>MAX(AW1053:AW1054)</f>
        <v>0</v>
      </c>
      <c r="BF1053" s="34" t="str">
        <f>SUM(BH8:BH10)</f>
        <v>0</v>
      </c>
      <c r="BG1053" s="34" t="str">
        <f>MAX(BF1053:BF1054)</f>
        <v>0</v>
      </c>
      <c r="BO1053" s="34" t="str">
        <f>SUM(BQ8:BQ10)</f>
        <v>0</v>
      </c>
      <c r="BP1053" s="34" t="str">
        <f>MAX(BO1053:BO1054)</f>
        <v>0</v>
      </c>
      <c r="BX1053" s="34" t="str">
        <f>SUM(BZ8:BZ10)</f>
        <v>0</v>
      </c>
      <c r="BY1053" s="34" t="str">
        <f>MAX(BX1053:BX1054)</f>
        <v>0</v>
      </c>
      <c r="CG1053" s="34" t="str">
        <f>SUM(CI8:CI10)</f>
        <v>0</v>
      </c>
      <c r="CH1053" s="34" t="str">
        <f>MAX(CG1053:CG1054)</f>
        <v>0</v>
      </c>
      <c r="CP1053" s="34" t="str">
        <f>SUM(CR8:CR10)</f>
        <v>0</v>
      </c>
      <c r="CQ1053" s="34" t="str">
        <f>MAX(CP1053:CP1054)</f>
        <v>0</v>
      </c>
      <c r="CY1053" s="34" t="str">
        <f>SUM(DA8:DA10)</f>
        <v>0</v>
      </c>
      <c r="CZ1053" s="34" t="str">
        <f>MAX(CY1053:CY1054)</f>
        <v>0</v>
      </c>
      <c r="DH1053" s="34" t="str">
        <f>SUM(DJ8:DJ10)</f>
        <v>0</v>
      </c>
      <c r="DI1053" s="34" t="str">
        <f>MAX(DH1053:DH1054)</f>
        <v>0</v>
      </c>
      <c r="DQ1053" s="34" t="str">
        <f>SUM(DS8:DS10)</f>
        <v>0</v>
      </c>
      <c r="DR1053" s="34" t="str">
        <f>MAX(DQ1053:DQ1054)</f>
        <v>0</v>
      </c>
      <c r="DZ1053" s="34" t="str">
        <f>SUM(EB8:EB10)</f>
        <v>0</v>
      </c>
      <c r="EA1053" s="34" t="str">
        <f>MAX(DZ1053:DZ1054)</f>
        <v>0</v>
      </c>
      <c r="EI1053" s="34" t="str">
        <f>SUM(EK8:EK10)</f>
        <v>0</v>
      </c>
      <c r="EJ1053" s="34" t="str">
        <f>MAX(EI1053:EI1054)</f>
        <v>0</v>
      </c>
      <c r="ER1053" s="34" t="str">
        <f>SUM(ET8:ET10)</f>
        <v>0</v>
      </c>
      <c r="ES1053" s="34" t="str">
        <f>MAX(ER1053:ER1054)</f>
        <v>0</v>
      </c>
      <c r="FA1053" s="34" t="str">
        <f>SUM(FC8:FC10)</f>
        <v>0</v>
      </c>
      <c r="FB1053" s="34" t="str">
        <f>MAX(FA1053:FA1054)</f>
        <v>0</v>
      </c>
      <c r="FJ1053" s="34" t="str">
        <f>SUM(FL8:FL10)</f>
        <v>0</v>
      </c>
      <c r="FK1053" s="34" t="str">
        <f>MAX(FJ1053:FJ1054)</f>
        <v>0</v>
      </c>
      <c r="FS1053" s="34" t="str">
        <f>SUM(FU8:FU10)</f>
        <v>0</v>
      </c>
      <c r="FT1053" s="34" t="str">
        <f>MAX(FS1053:FS1054)</f>
        <v>0</v>
      </c>
      <c r="GB1053" s="34" t="str">
        <f>SUM(GD8:GD10)</f>
        <v>0</v>
      </c>
      <c r="GC1053" s="34" t="str">
        <f>MAX(GB1053:GB1054)</f>
        <v>0</v>
      </c>
      <c r="GK1053" s="34" t="str">
        <f>SUM(GM8:GM10)</f>
        <v>0</v>
      </c>
      <c r="GL1053" s="34" t="str">
        <f>MAX(GK1053:GK1054)</f>
        <v>0</v>
      </c>
      <c r="GT1053" s="34" t="str">
        <f>SUM(GV8:GV10)</f>
        <v>0</v>
      </c>
      <c r="GU1053" s="34" t="str">
        <f>MAX(GT1053:GT1054)</f>
        <v>0</v>
      </c>
      <c r="HC1053" s="34" t="str">
        <f>SUM(HE8:HE10)</f>
        <v>0</v>
      </c>
      <c r="HD1053" s="34" t="str">
        <f>MAX(HC1053:HC1054)</f>
        <v>0</v>
      </c>
      <c r="HL1053" s="34" t="str">
        <f>SUM(HN8:HN10)</f>
        <v>0</v>
      </c>
      <c r="HM1053" s="34" t="str">
        <f>MAX(HL1053:HL1054)</f>
        <v>0</v>
      </c>
      <c r="HU1053" s="34" t="str">
        <f>SUM(HW8:HW10)</f>
        <v>0</v>
      </c>
      <c r="HV1053" s="34" t="str">
        <f>MAX(HU1053:HU1054)</f>
        <v>0</v>
      </c>
      <c r="ID1053" s="34" t="str">
        <f>SUM(IF8:IF10)</f>
        <v>0</v>
      </c>
      <c r="IE1053" s="34" t="str">
        <f>MAX(ID1053:ID1054)</f>
        <v>0</v>
      </c>
      <c r="IM1053" s="34" t="str">
        <f>SUM(IO8:IO10)</f>
        <v>0</v>
      </c>
      <c r="IN1053" s="34" t="str">
        <f>MAX(IM1053:IM1054)</f>
        <v>0</v>
      </c>
      <c r="IV1053" s="34" t="str">
        <f>SUM(IX8:IX10)</f>
        <v>0</v>
      </c>
      <c r="IW1053" s="34" t="str">
        <f>MAX(IV1053:IV1054)</f>
        <v>0</v>
      </c>
      <c r="JE1053" s="34" t="str">
        <f>SUM(JG8:JG10)</f>
        <v>0</v>
      </c>
      <c r="JF1053" s="34" t="str">
        <f>MAX(JE1053:JE1054)</f>
        <v>0</v>
      </c>
      <c r="JN1053" s="34" t="str">
        <f>SUM(JP8:JP10)</f>
        <v>0</v>
      </c>
      <c r="JO1053" s="34" t="str">
        <f>MAX(JN1053:JN1054)</f>
        <v>0</v>
      </c>
      <c r="JW1053" s="34" t="str">
        <f>SUM(JY8:JY10)</f>
        <v>0</v>
      </c>
      <c r="JX1053" s="34" t="str">
        <f>MAX(JW1053:JW1054)</f>
        <v>0</v>
      </c>
      <c r="KF1053" s="34" t="str">
        <f>SUM(KH8:KH10)</f>
        <v>0</v>
      </c>
      <c r="KG1053" s="34" t="str">
        <f>MAX(KF1053:KF1054)</f>
        <v>0</v>
      </c>
      <c r="KO1053" s="34" t="str">
        <f>SUM(KQ8:KQ10)</f>
        <v>0</v>
      </c>
      <c r="KP1053" s="34" t="str">
        <f>MAX(KO1053:KO1054)</f>
        <v>0</v>
      </c>
      <c r="KX1053" s="34" t="str">
        <f>SUM(KZ8:KZ10)</f>
        <v>0</v>
      </c>
      <c r="KY1053" s="34" t="str">
        <f>MAX(KX1053:KX1054)</f>
        <v>0</v>
      </c>
      <c r="LG1053" s="34" t="str">
        <f>SUM(LI8:LI10)</f>
        <v>0</v>
      </c>
      <c r="LH1053" s="34" t="str">
        <f>MAX(LG1053:LG1054)</f>
        <v>0</v>
      </c>
      <c r="LP1053" s="34" t="str">
        <f>SUM(LR8:LR10)</f>
        <v>0</v>
      </c>
      <c r="LQ1053" s="34" t="str">
        <f>MAX(LP1053:LP1054)</f>
        <v>0</v>
      </c>
      <c r="LY1053" s="34" t="str">
        <f>SUM(MA8:MA10)</f>
        <v>0</v>
      </c>
      <c r="LZ1053" s="34" t="str">
        <f>MAX(LY1053:LY1054)</f>
        <v>0</v>
      </c>
      <c r="MH1053" s="34" t="str">
        <f>SUM(MJ8:MJ10)</f>
        <v>0</v>
      </c>
      <c r="MI1053" s="34" t="str">
        <f>MAX(MH1053:MH1054)</f>
        <v>0</v>
      </c>
      <c r="MQ1053" s="34" t="str">
        <f>SUM(MS8:MS10)</f>
        <v>0</v>
      </c>
      <c r="MR1053" s="34" t="str">
        <f>MAX(MQ1053:MQ1054)</f>
        <v>0</v>
      </c>
    </row>
    <row r="1054" spans="1:359">
      <c r="D1054" s="34" t="str">
        <f>SUM(F10:F12)</f>
        <v>0</v>
      </c>
      <c r="M1054" s="34" t="str">
        <f>SUM(O10:O12)</f>
        <v>0</v>
      </c>
      <c r="V1054" s="34" t="str">
        <f>SUM(X10:X12)</f>
        <v>0</v>
      </c>
      <c r="AE1054" s="34" t="str">
        <f>SUM(AG10:AG12)</f>
        <v>0</v>
      </c>
      <c r="AN1054" s="34" t="str">
        <f>SUM(AP10:AP12)</f>
        <v>0</v>
      </c>
      <c r="AW1054" s="34" t="str">
        <f>SUM(AY10:AY12)</f>
        <v>0</v>
      </c>
      <c r="BF1054" s="34" t="str">
        <f>SUM(BH10:BH12)</f>
        <v>0</v>
      </c>
      <c r="BO1054" s="34" t="str">
        <f>SUM(BQ10:BQ12)</f>
        <v>0</v>
      </c>
      <c r="BX1054" s="34" t="str">
        <f>SUM(BZ10:BZ12)</f>
        <v>0</v>
      </c>
      <c r="CG1054" s="34" t="str">
        <f>SUM(CI10:CI12)</f>
        <v>0</v>
      </c>
      <c r="CP1054" s="34" t="str">
        <f>SUM(CR10:CR12)</f>
        <v>0</v>
      </c>
      <c r="CY1054" s="34" t="str">
        <f>SUM(DA10:DA12)</f>
        <v>0</v>
      </c>
      <c r="DH1054" s="34" t="str">
        <f>SUM(DJ10:DJ12)</f>
        <v>0</v>
      </c>
      <c r="DQ1054" s="34" t="str">
        <f>SUM(DS10:DS12)</f>
        <v>0</v>
      </c>
      <c r="DZ1054" s="34" t="str">
        <f>SUM(EB10:EB12)</f>
        <v>0</v>
      </c>
      <c r="EI1054" s="34" t="str">
        <f>SUM(EK10:EK12)</f>
        <v>0</v>
      </c>
      <c r="ER1054" s="34" t="str">
        <f>SUM(ET10:ET12)</f>
        <v>0</v>
      </c>
      <c r="FA1054" s="34" t="str">
        <f>SUM(FC10:FC12)</f>
        <v>0</v>
      </c>
      <c r="FJ1054" s="34" t="str">
        <f>SUM(FL10:FL12)</f>
        <v>0</v>
      </c>
      <c r="FS1054" s="34" t="str">
        <f>SUM(FU10:FU12)</f>
        <v>0</v>
      </c>
      <c r="GB1054" s="34" t="str">
        <f>SUM(GD10:GD12)</f>
        <v>0</v>
      </c>
      <c r="GK1054" s="34" t="str">
        <f>SUM(GM10:GM12)</f>
        <v>0</v>
      </c>
      <c r="GT1054" s="34" t="str">
        <f>SUM(GV10:GV12)</f>
        <v>0</v>
      </c>
      <c r="HC1054" s="34" t="str">
        <f>SUM(HE10:HE12)</f>
        <v>0</v>
      </c>
      <c r="HL1054" s="34" t="str">
        <f>SUM(HN10:HN12)</f>
        <v>0</v>
      </c>
      <c r="HU1054" s="34" t="str">
        <f>SUM(HW10:HW12)</f>
        <v>0</v>
      </c>
      <c r="ID1054" s="34" t="str">
        <f>SUM(IF10:IF12)</f>
        <v>0</v>
      </c>
      <c r="IM1054" s="34" t="str">
        <f>SUM(IO10:IO12)</f>
        <v>0</v>
      </c>
      <c r="IV1054" s="34" t="str">
        <f>SUM(IX10:IX12)</f>
        <v>0</v>
      </c>
      <c r="JE1054" s="34" t="str">
        <f>SUM(JG10:JG12)</f>
        <v>0</v>
      </c>
      <c r="JN1054" s="34" t="str">
        <f>SUM(JP10:JP12)</f>
        <v>0</v>
      </c>
      <c r="JW1054" s="34" t="str">
        <f>SUM(JY10:JY12)</f>
        <v>0</v>
      </c>
      <c r="KF1054" s="34" t="str">
        <f>SUM(KH10:KH12)</f>
        <v>0</v>
      </c>
      <c r="KO1054" s="34" t="str">
        <f>SUM(KQ10:KQ12)</f>
        <v>0</v>
      </c>
      <c r="KX1054" s="34" t="str">
        <f>SUM(KZ10:KZ12)</f>
        <v>0</v>
      </c>
      <c r="LG1054" s="34" t="str">
        <f>SUM(LI10:LI12)</f>
        <v>0</v>
      </c>
      <c r="LP1054" s="34" t="str">
        <f>SUM(LR10:LR12)</f>
        <v>0</v>
      </c>
      <c r="LY1054" s="34" t="str">
        <f>SUM(MA10:MA12)</f>
        <v>0</v>
      </c>
      <c r="MH1054" s="34" t="str">
        <f>SUM(MJ10:MJ12)</f>
        <v>0</v>
      </c>
      <c r="MQ1054" s="34" t="str">
        <f>SUM(MS10:MS12)</f>
        <v>0</v>
      </c>
    </row>
    <row r="1056" spans="1:359">
      <c r="D1056" s="33" t="s">
        <v>579</v>
      </c>
      <c r="E1056" s="34" t="str">
        <f>SUM(F8:F9)</f>
        <v>0</v>
      </c>
      <c r="M1056" s="33" t="s">
        <v>579</v>
      </c>
      <c r="N1056" s="34" t="str">
        <f>SUM(O8:O9)</f>
        <v>0</v>
      </c>
      <c r="V1056" s="33" t="s">
        <v>579</v>
      </c>
      <c r="W1056" s="34" t="str">
        <f>SUM(X8:X9)</f>
        <v>0</v>
      </c>
      <c r="AE1056" s="33" t="s">
        <v>579</v>
      </c>
      <c r="AF1056" s="34" t="str">
        <f>SUM(AG8:AG9)</f>
        <v>0</v>
      </c>
      <c r="AN1056" s="33" t="s">
        <v>579</v>
      </c>
      <c r="AO1056" s="34" t="str">
        <f>SUM(AP8:AP9)</f>
        <v>0</v>
      </c>
      <c r="AW1056" s="33" t="s">
        <v>579</v>
      </c>
      <c r="AX1056" s="34" t="str">
        <f>SUM(AY8:AY9)</f>
        <v>0</v>
      </c>
      <c r="BF1056" s="33" t="s">
        <v>579</v>
      </c>
      <c r="BG1056" s="34" t="str">
        <f>SUM(BH8:BH9)</f>
        <v>0</v>
      </c>
      <c r="BO1056" s="33" t="s">
        <v>579</v>
      </c>
      <c r="BP1056" s="34" t="str">
        <f>SUM(BQ8:BQ9)</f>
        <v>0</v>
      </c>
      <c r="BX1056" s="33" t="s">
        <v>579</v>
      </c>
      <c r="BY1056" s="34" t="str">
        <f>SUM(BZ8:BZ9)</f>
        <v>0</v>
      </c>
      <c r="CG1056" s="33" t="s">
        <v>579</v>
      </c>
      <c r="CH1056" s="34" t="str">
        <f>SUM(CI8:CI9)</f>
        <v>0</v>
      </c>
      <c r="CP1056" s="33" t="s">
        <v>579</v>
      </c>
      <c r="CQ1056" s="34" t="str">
        <f>SUM(CR8:CR9)</f>
        <v>0</v>
      </c>
      <c r="CY1056" s="33" t="s">
        <v>579</v>
      </c>
      <c r="CZ1056" s="34" t="str">
        <f>SUM(DA8:DA9)</f>
        <v>0</v>
      </c>
      <c r="DH1056" s="33" t="s">
        <v>579</v>
      </c>
      <c r="DI1056" s="34" t="str">
        <f>SUM(DJ8:DJ9)</f>
        <v>0</v>
      </c>
      <c r="DQ1056" s="33" t="s">
        <v>579</v>
      </c>
      <c r="DR1056" s="34" t="str">
        <f>SUM(DS8:DS9)</f>
        <v>0</v>
      </c>
      <c r="DZ1056" s="33" t="s">
        <v>579</v>
      </c>
      <c r="EA1056" s="34" t="str">
        <f>SUM(EB8:EB9)</f>
        <v>0</v>
      </c>
      <c r="EI1056" s="33" t="s">
        <v>579</v>
      </c>
      <c r="EJ1056" s="34" t="str">
        <f>SUM(EK8:EK9)</f>
        <v>0</v>
      </c>
      <c r="ER1056" s="33" t="s">
        <v>579</v>
      </c>
      <c r="ES1056" s="34" t="str">
        <f>SUM(ET8:ET9)</f>
        <v>0</v>
      </c>
      <c r="FA1056" s="33" t="s">
        <v>579</v>
      </c>
      <c r="FB1056" s="34" t="str">
        <f>SUM(FC8:FC9)</f>
        <v>0</v>
      </c>
      <c r="FJ1056" s="33" t="s">
        <v>579</v>
      </c>
      <c r="FK1056" s="34" t="str">
        <f>SUM(FL8:FL9)</f>
        <v>0</v>
      </c>
      <c r="FS1056" s="33" t="s">
        <v>579</v>
      </c>
      <c r="FT1056" s="34" t="str">
        <f>SUM(FU8:FU9)</f>
        <v>0</v>
      </c>
      <c r="GB1056" s="33" t="s">
        <v>579</v>
      </c>
      <c r="GC1056" s="34" t="str">
        <f>SUM(GD8:GD9)</f>
        <v>0</v>
      </c>
      <c r="GK1056" s="33" t="s">
        <v>579</v>
      </c>
      <c r="GL1056" s="34" t="str">
        <f>SUM(GM8:GM9)</f>
        <v>0</v>
      </c>
      <c r="GT1056" s="33" t="s">
        <v>579</v>
      </c>
      <c r="GU1056" s="34" t="str">
        <f>SUM(GV8:GV9)</f>
        <v>0</v>
      </c>
      <c r="HC1056" s="33" t="s">
        <v>579</v>
      </c>
      <c r="HD1056" s="34" t="str">
        <f>SUM(HE8:HE9)</f>
        <v>0</v>
      </c>
      <c r="HL1056" s="33" t="s">
        <v>579</v>
      </c>
      <c r="HM1056" s="34" t="str">
        <f>SUM(HN8:HN9)</f>
        <v>0</v>
      </c>
      <c r="HU1056" s="33" t="s">
        <v>579</v>
      </c>
      <c r="HV1056" s="34" t="str">
        <f>SUM(HW8:HW9)</f>
        <v>0</v>
      </c>
      <c r="ID1056" s="33" t="s">
        <v>579</v>
      </c>
      <c r="IE1056" s="34" t="str">
        <f>SUM(IF8:IF9)</f>
        <v>0</v>
      </c>
      <c r="IM1056" s="33" t="s">
        <v>579</v>
      </c>
      <c r="IN1056" s="34" t="str">
        <f>SUM(IO8:IO9)</f>
        <v>0</v>
      </c>
      <c r="IV1056" s="33" t="s">
        <v>579</v>
      </c>
      <c r="IW1056" s="34" t="str">
        <f>SUM(IX8:IX9)</f>
        <v>0</v>
      </c>
      <c r="JE1056" s="33" t="s">
        <v>579</v>
      </c>
      <c r="JF1056" s="34" t="str">
        <f>SUM(JG8:JG9)</f>
        <v>0</v>
      </c>
      <c r="JN1056" s="33" t="s">
        <v>579</v>
      </c>
      <c r="JO1056" s="34" t="str">
        <f>SUM(JP8:JP9)</f>
        <v>0</v>
      </c>
      <c r="JW1056" s="33" t="s">
        <v>579</v>
      </c>
      <c r="JX1056" s="34" t="str">
        <f>SUM(JY8:JY9)</f>
        <v>0</v>
      </c>
      <c r="KF1056" s="33" t="s">
        <v>579</v>
      </c>
      <c r="KG1056" s="34" t="str">
        <f>SUM(KH8:KH9)</f>
        <v>0</v>
      </c>
      <c r="KO1056" s="33" t="s">
        <v>579</v>
      </c>
      <c r="KP1056" s="34" t="str">
        <f>SUM(KQ8:KQ9)</f>
        <v>0</v>
      </c>
      <c r="KX1056" s="33" t="s">
        <v>579</v>
      </c>
      <c r="KY1056" s="34" t="str">
        <f>SUM(KZ8:KZ9)</f>
        <v>0</v>
      </c>
      <c r="LG1056" s="33" t="s">
        <v>579</v>
      </c>
      <c r="LH1056" s="34" t="str">
        <f>SUM(LI8:LI9)</f>
        <v>0</v>
      </c>
      <c r="LP1056" s="33" t="s">
        <v>579</v>
      </c>
      <c r="LQ1056" s="34" t="str">
        <f>SUM(LR8:LR9)</f>
        <v>0</v>
      </c>
      <c r="LY1056" s="33" t="s">
        <v>579</v>
      </c>
      <c r="LZ1056" s="34" t="str">
        <f>SUM(MA8:MA9)</f>
        <v>0</v>
      </c>
      <c r="MH1056" s="33" t="s">
        <v>579</v>
      </c>
      <c r="MI1056" s="34" t="str">
        <f>SUM(MJ8:MJ9)</f>
        <v>0</v>
      </c>
      <c r="MQ1056" s="33" t="s">
        <v>579</v>
      </c>
      <c r="MR1056" s="34" t="str">
        <f>SUM(MS8:MS9)</f>
        <v>0</v>
      </c>
    </row>
    <row r="1057" spans="1:359">
      <c r="D1057" s="33" t="s">
        <v>425</v>
      </c>
      <c r="E1057" s="34" t="str">
        <f>SUM(F10)</f>
        <v>0</v>
      </c>
      <c r="M1057" s="33" t="s">
        <v>425</v>
      </c>
      <c r="N1057" s="34" t="str">
        <f>SUM(O10)</f>
        <v>0</v>
      </c>
      <c r="V1057" s="33" t="s">
        <v>425</v>
      </c>
      <c r="W1057" s="34" t="str">
        <f>SUM(X10)</f>
        <v>0</v>
      </c>
      <c r="AE1057" s="33" t="s">
        <v>425</v>
      </c>
      <c r="AF1057" s="34" t="str">
        <f>SUM(AG10)</f>
        <v>0</v>
      </c>
      <c r="AN1057" s="33" t="s">
        <v>425</v>
      </c>
      <c r="AO1057" s="34" t="str">
        <f>SUM(AP10)</f>
        <v>0</v>
      </c>
      <c r="AW1057" s="33" t="s">
        <v>425</v>
      </c>
      <c r="AX1057" s="34" t="str">
        <f>SUM(AY10)</f>
        <v>0</v>
      </c>
      <c r="BF1057" s="33" t="s">
        <v>425</v>
      </c>
      <c r="BG1057" s="34" t="str">
        <f>SUM(BH10)</f>
        <v>0</v>
      </c>
      <c r="BO1057" s="33" t="s">
        <v>425</v>
      </c>
      <c r="BP1057" s="34" t="str">
        <f>SUM(BQ10)</f>
        <v>0</v>
      </c>
      <c r="BX1057" s="33" t="s">
        <v>425</v>
      </c>
      <c r="BY1057" s="34" t="str">
        <f>SUM(BZ10)</f>
        <v>0</v>
      </c>
      <c r="CG1057" s="33" t="s">
        <v>425</v>
      </c>
      <c r="CH1057" s="34" t="str">
        <f>SUM(CI10)</f>
        <v>0</v>
      </c>
      <c r="CP1057" s="33" t="s">
        <v>425</v>
      </c>
      <c r="CQ1057" s="34" t="str">
        <f>SUM(CR10)</f>
        <v>0</v>
      </c>
      <c r="CY1057" s="33" t="s">
        <v>425</v>
      </c>
      <c r="CZ1057" s="34" t="str">
        <f>SUM(DA10)</f>
        <v>0</v>
      </c>
      <c r="DH1057" s="33" t="s">
        <v>425</v>
      </c>
      <c r="DI1057" s="34" t="str">
        <f>SUM(DJ10)</f>
        <v>0</v>
      </c>
      <c r="DQ1057" s="33" t="s">
        <v>425</v>
      </c>
      <c r="DR1057" s="34" t="str">
        <f>SUM(DS10)</f>
        <v>0</v>
      </c>
      <c r="DZ1057" s="33" t="s">
        <v>425</v>
      </c>
      <c r="EA1057" s="34" t="str">
        <f>SUM(EB10)</f>
        <v>0</v>
      </c>
      <c r="EI1057" s="33" t="s">
        <v>425</v>
      </c>
      <c r="EJ1057" s="34" t="str">
        <f>SUM(EK10)</f>
        <v>0</v>
      </c>
      <c r="ER1057" s="33" t="s">
        <v>425</v>
      </c>
      <c r="ES1057" s="34" t="str">
        <f>SUM(ET10)</f>
        <v>0</v>
      </c>
      <c r="FA1057" s="33" t="s">
        <v>425</v>
      </c>
      <c r="FB1057" s="34" t="str">
        <f>SUM(FC10)</f>
        <v>0</v>
      </c>
      <c r="FJ1057" s="33" t="s">
        <v>425</v>
      </c>
      <c r="FK1057" s="34" t="str">
        <f>SUM(FL10)</f>
        <v>0</v>
      </c>
      <c r="FS1057" s="33" t="s">
        <v>425</v>
      </c>
      <c r="FT1057" s="34" t="str">
        <f>SUM(FU10)</f>
        <v>0</v>
      </c>
      <c r="GB1057" s="33" t="s">
        <v>425</v>
      </c>
      <c r="GC1057" s="34" t="str">
        <f>SUM(GD10)</f>
        <v>0</v>
      </c>
      <c r="GK1057" s="33" t="s">
        <v>425</v>
      </c>
      <c r="GL1057" s="34" t="str">
        <f>SUM(GM10)</f>
        <v>0</v>
      </c>
      <c r="GT1057" s="33" t="s">
        <v>425</v>
      </c>
      <c r="GU1057" s="34" t="str">
        <f>SUM(GV10)</f>
        <v>0</v>
      </c>
      <c r="HC1057" s="33" t="s">
        <v>425</v>
      </c>
      <c r="HD1057" s="34" t="str">
        <f>SUM(HE10)</f>
        <v>0</v>
      </c>
      <c r="HL1057" s="33" t="s">
        <v>425</v>
      </c>
      <c r="HM1057" s="34" t="str">
        <f>SUM(HN10)</f>
        <v>0</v>
      </c>
      <c r="HU1057" s="33" t="s">
        <v>425</v>
      </c>
      <c r="HV1057" s="34" t="str">
        <f>SUM(HW10)</f>
        <v>0</v>
      </c>
      <c r="ID1057" s="33" t="s">
        <v>425</v>
      </c>
      <c r="IE1057" s="34" t="str">
        <f>SUM(IF10)</f>
        <v>0</v>
      </c>
      <c r="IM1057" s="33" t="s">
        <v>425</v>
      </c>
      <c r="IN1057" s="34" t="str">
        <f>SUM(IO10)</f>
        <v>0</v>
      </c>
      <c r="IV1057" s="33" t="s">
        <v>425</v>
      </c>
      <c r="IW1057" s="34" t="str">
        <f>SUM(IX10)</f>
        <v>0</v>
      </c>
      <c r="JE1057" s="33" t="s">
        <v>425</v>
      </c>
      <c r="JF1057" s="34" t="str">
        <f>SUM(JG10)</f>
        <v>0</v>
      </c>
      <c r="JN1057" s="33" t="s">
        <v>425</v>
      </c>
      <c r="JO1057" s="34" t="str">
        <f>SUM(JP10)</f>
        <v>0</v>
      </c>
      <c r="JW1057" s="33" t="s">
        <v>425</v>
      </c>
      <c r="JX1057" s="34" t="str">
        <f>SUM(JY10)</f>
        <v>0</v>
      </c>
      <c r="KF1057" s="33" t="s">
        <v>425</v>
      </c>
      <c r="KG1057" s="34" t="str">
        <f>SUM(KH10)</f>
        <v>0</v>
      </c>
      <c r="KO1057" s="33" t="s">
        <v>425</v>
      </c>
      <c r="KP1057" s="34" t="str">
        <f>SUM(KQ10)</f>
        <v>0</v>
      </c>
      <c r="KX1057" s="33" t="s">
        <v>425</v>
      </c>
      <c r="KY1057" s="34" t="str">
        <f>SUM(KZ10)</f>
        <v>0</v>
      </c>
      <c r="LG1057" s="33" t="s">
        <v>425</v>
      </c>
      <c r="LH1057" s="34" t="str">
        <f>SUM(LI10)</f>
        <v>0</v>
      </c>
      <c r="LP1057" s="33" t="s">
        <v>425</v>
      </c>
      <c r="LQ1057" s="34" t="str">
        <f>SUM(LR10)</f>
        <v>0</v>
      </c>
      <c r="LY1057" s="33" t="s">
        <v>425</v>
      </c>
      <c r="LZ1057" s="34" t="str">
        <f>SUM(MA10)</f>
        <v>0</v>
      </c>
      <c r="MH1057" s="33" t="s">
        <v>425</v>
      </c>
      <c r="MI1057" s="34" t="str">
        <f>SUM(MJ10)</f>
        <v>0</v>
      </c>
      <c r="MQ1057" s="33" t="s">
        <v>425</v>
      </c>
      <c r="MR1057" s="34" t="str">
        <f>SUM(MS10)</f>
        <v>0</v>
      </c>
    </row>
    <row r="1058" spans="1:359">
      <c r="D1058" s="33" t="s">
        <v>580</v>
      </c>
      <c r="E1058" s="34" t="str">
        <f>SUM(F11:F12)</f>
        <v>0</v>
      </c>
      <c r="M1058" s="33" t="s">
        <v>580</v>
      </c>
      <c r="N1058" s="34" t="str">
        <f>SUM(O11:O12)</f>
        <v>0</v>
      </c>
      <c r="V1058" s="33" t="s">
        <v>580</v>
      </c>
      <c r="W1058" s="34" t="str">
        <f>SUM(X11:X12)</f>
        <v>0</v>
      </c>
      <c r="AE1058" s="33" t="s">
        <v>580</v>
      </c>
      <c r="AF1058" s="34" t="str">
        <f>SUM(AG11:AG12)</f>
        <v>0</v>
      </c>
      <c r="AN1058" s="33" t="s">
        <v>580</v>
      </c>
      <c r="AO1058" s="34" t="str">
        <f>SUM(AP11:AP12)</f>
        <v>0</v>
      </c>
      <c r="AW1058" s="33" t="s">
        <v>580</v>
      </c>
      <c r="AX1058" s="34" t="str">
        <f>SUM(AY11:AY12)</f>
        <v>0</v>
      </c>
      <c r="BF1058" s="33" t="s">
        <v>580</v>
      </c>
      <c r="BG1058" s="34" t="str">
        <f>SUM(BH11:BH12)</f>
        <v>0</v>
      </c>
      <c r="BO1058" s="33" t="s">
        <v>580</v>
      </c>
      <c r="BP1058" s="34" t="str">
        <f>SUM(BQ11:BQ12)</f>
        <v>0</v>
      </c>
      <c r="BX1058" s="33" t="s">
        <v>580</v>
      </c>
      <c r="BY1058" s="34" t="str">
        <f>SUM(BZ11:BZ12)</f>
        <v>0</v>
      </c>
      <c r="CG1058" s="33" t="s">
        <v>580</v>
      </c>
      <c r="CH1058" s="34" t="str">
        <f>SUM(CI11:CI12)</f>
        <v>0</v>
      </c>
      <c r="CP1058" s="33" t="s">
        <v>580</v>
      </c>
      <c r="CQ1058" s="34" t="str">
        <f>SUM(CR11:CR12)</f>
        <v>0</v>
      </c>
      <c r="CY1058" s="33" t="s">
        <v>580</v>
      </c>
      <c r="CZ1058" s="34" t="str">
        <f>SUM(DA11:DA12)</f>
        <v>0</v>
      </c>
      <c r="DH1058" s="33" t="s">
        <v>580</v>
      </c>
      <c r="DI1058" s="34" t="str">
        <f>SUM(DJ11:DJ12)</f>
        <v>0</v>
      </c>
      <c r="DQ1058" s="33" t="s">
        <v>580</v>
      </c>
      <c r="DR1058" s="34" t="str">
        <f>SUM(DS11:DS12)</f>
        <v>0</v>
      </c>
      <c r="DZ1058" s="33" t="s">
        <v>580</v>
      </c>
      <c r="EA1058" s="34" t="str">
        <f>SUM(EB11:EB12)</f>
        <v>0</v>
      </c>
      <c r="EI1058" s="33" t="s">
        <v>580</v>
      </c>
      <c r="EJ1058" s="34" t="str">
        <f>SUM(EK11:EK12)</f>
        <v>0</v>
      </c>
      <c r="ER1058" s="33" t="s">
        <v>580</v>
      </c>
      <c r="ES1058" s="34" t="str">
        <f>SUM(ET11:ET12)</f>
        <v>0</v>
      </c>
      <c r="FA1058" s="33" t="s">
        <v>580</v>
      </c>
      <c r="FB1058" s="34" t="str">
        <f>SUM(FC11:FC12)</f>
        <v>0</v>
      </c>
      <c r="FJ1058" s="33" t="s">
        <v>580</v>
      </c>
      <c r="FK1058" s="34" t="str">
        <f>SUM(FL11:FL12)</f>
        <v>0</v>
      </c>
      <c r="FS1058" s="33" t="s">
        <v>580</v>
      </c>
      <c r="FT1058" s="34" t="str">
        <f>SUM(FU11:FU12)</f>
        <v>0</v>
      </c>
      <c r="GB1058" s="33" t="s">
        <v>580</v>
      </c>
      <c r="GC1058" s="34" t="str">
        <f>SUM(GD11:GD12)</f>
        <v>0</v>
      </c>
      <c r="GK1058" s="33" t="s">
        <v>580</v>
      </c>
      <c r="GL1058" s="34" t="str">
        <f>SUM(GM11:GM12)</f>
        <v>0</v>
      </c>
      <c r="GT1058" s="33" t="s">
        <v>580</v>
      </c>
      <c r="GU1058" s="34" t="str">
        <f>SUM(GV11:GV12)</f>
        <v>0</v>
      </c>
      <c r="HC1058" s="33" t="s">
        <v>580</v>
      </c>
      <c r="HD1058" s="34" t="str">
        <f>SUM(HE11:HE12)</f>
        <v>0</v>
      </c>
      <c r="HL1058" s="33" t="s">
        <v>580</v>
      </c>
      <c r="HM1058" s="34" t="str">
        <f>SUM(HN11:HN12)</f>
        <v>0</v>
      </c>
      <c r="HU1058" s="33" t="s">
        <v>580</v>
      </c>
      <c r="HV1058" s="34" t="str">
        <f>SUM(HW11:HW12)</f>
        <v>0</v>
      </c>
      <c r="ID1058" s="33" t="s">
        <v>580</v>
      </c>
      <c r="IE1058" s="34" t="str">
        <f>SUM(IF11:IF12)</f>
        <v>0</v>
      </c>
      <c r="IM1058" s="33" t="s">
        <v>580</v>
      </c>
      <c r="IN1058" s="34" t="str">
        <f>SUM(IO11:IO12)</f>
        <v>0</v>
      </c>
      <c r="IV1058" s="33" t="s">
        <v>580</v>
      </c>
      <c r="IW1058" s="34" t="str">
        <f>SUM(IX11:IX12)</f>
        <v>0</v>
      </c>
      <c r="JE1058" s="33" t="s">
        <v>580</v>
      </c>
      <c r="JF1058" s="34" t="str">
        <f>SUM(JG11:JG12)</f>
        <v>0</v>
      </c>
      <c r="JN1058" s="33" t="s">
        <v>580</v>
      </c>
      <c r="JO1058" s="34" t="str">
        <f>SUM(JP11:JP12)</f>
        <v>0</v>
      </c>
      <c r="JW1058" s="33" t="s">
        <v>580</v>
      </c>
      <c r="JX1058" s="34" t="str">
        <f>SUM(JY11:JY12)</f>
        <v>0</v>
      </c>
      <c r="KF1058" s="33" t="s">
        <v>580</v>
      </c>
      <c r="KG1058" s="34" t="str">
        <f>SUM(KH11:KH12)</f>
        <v>0</v>
      </c>
      <c r="KO1058" s="33" t="s">
        <v>580</v>
      </c>
      <c r="KP1058" s="34" t="str">
        <f>SUM(KQ11:KQ12)</f>
        <v>0</v>
      </c>
      <c r="KX1058" s="33" t="s">
        <v>580</v>
      </c>
      <c r="KY1058" s="34" t="str">
        <f>SUM(KZ11:KZ12)</f>
        <v>0</v>
      </c>
      <c r="LG1058" s="33" t="s">
        <v>580</v>
      </c>
      <c r="LH1058" s="34" t="str">
        <f>SUM(LI11:LI12)</f>
        <v>0</v>
      </c>
      <c r="LP1058" s="33" t="s">
        <v>580</v>
      </c>
      <c r="LQ1058" s="34" t="str">
        <f>SUM(LR11:LR12)</f>
        <v>0</v>
      </c>
      <c r="LY1058" s="33" t="s">
        <v>580</v>
      </c>
      <c r="LZ1058" s="34" t="str">
        <f>SUM(MA11:MA12)</f>
        <v>0</v>
      </c>
      <c r="MH1058" s="33" t="s">
        <v>580</v>
      </c>
      <c r="MI1058" s="34" t="str">
        <f>SUM(MJ11:MJ12)</f>
        <v>0</v>
      </c>
      <c r="MQ1058" s="33" t="s">
        <v>580</v>
      </c>
      <c r="MR1058" s="34" t="str">
        <f>SUM(MS11:MS12)</f>
        <v>0</v>
      </c>
    </row>
    <row r="1060" spans="1:359">
      <c r="E1060" s="33" t="str">
        <f>IF(E1056&gt;=51%,D1056,IF(E1057&gt;=51%,D1057,IF(E1058&gt;=51%,D1058,IF(SUM(E1056:E1057)&gt;SUM(E1057:E1058),D1056,IF(SUM(E1056:E1057)&lt;SUM(E1057:E1058),D1058,"Algo esta Mal")))))</f>
        <v>0</v>
      </c>
      <c r="N1060" s="33" t="str">
        <f>IF(N1056&gt;=51%,M1056,IF(N1057&gt;=51%,M1057,IF(N1058&gt;=51%,M1058,IF(SUM(N1056:N1057)&gt;SUM(N1057:N1058),M1056,IF(SUM(N1056:N1057)&lt;SUM(N1057:N1058),M1058,"Algo esta Mal")))))</f>
        <v>0</v>
      </c>
      <c r="W1060" s="33" t="str">
        <f>IF(W1056&gt;=51%,V1056,IF(W1057&gt;=51%,V1057,IF(W1058&gt;=51%,V1058,IF(SUM(W1056:W1057)&gt;SUM(W1057:W1058),V1056,IF(SUM(W1056:W1057)&lt;SUM(W1057:W1058),V1058,"Algo esta Mal")))))</f>
        <v>0</v>
      </c>
      <c r="AF1060" s="33" t="str">
        <f>IF(AF1056&gt;=51%,AE1056,IF(AF1057&gt;=51%,AE1057,IF(AF1058&gt;=51%,AE1058,IF(SUM(AF1056:AF1057)&gt;SUM(AF1057:AF1058),AE1056,IF(SUM(AF1056:AF1057)&lt;SUM(AF1057:AF1058),AE1058,"Algo esta Mal")))))</f>
        <v>0</v>
      </c>
      <c r="AO1060" s="33" t="str">
        <f>IF(AO1056&gt;=51%,AN1056,IF(AO1057&gt;=51%,AN1057,IF(AO1058&gt;=51%,AN1058,IF(SUM(AO1056:AO1057)&gt;SUM(AO1057:AO1058),AN1056,IF(SUM(AO1056:AO1057)&lt;SUM(AO1057:AO1058),AN1058,"Algo esta Mal")))))</f>
        <v>0</v>
      </c>
      <c r="AX1060" s="33" t="str">
        <f>IF(AX1056&gt;=51%,AW1056,IF(AX1057&gt;=51%,AW1057,IF(AX1058&gt;=51%,AW1058,IF(SUM(AX1056:AX1057)&gt;SUM(AX1057:AX1058),AW1056,IF(SUM(AX1056:AX1057)&lt;SUM(AX1057:AX1058),AW1058,"Algo esta Mal")))))</f>
        <v>0</v>
      </c>
      <c r="BG1060" s="33" t="str">
        <f>IF(BG1056&gt;=51%,BF1056,IF(BG1057&gt;=51%,BF1057,IF(BG1058&gt;=51%,BF1058,IF(SUM(BG1056:BG1057)&gt;SUM(BG1057:BG1058),BF1056,IF(SUM(BG1056:BG1057)&lt;SUM(BG1057:BG1058),BF1058,"Algo esta Mal")))))</f>
        <v>0</v>
      </c>
      <c r="BP1060" s="33" t="str">
        <f>IF(BP1056&gt;=51%,BO1056,IF(BP1057&gt;=51%,BO1057,IF(BP1058&gt;=51%,BO1058,IF(SUM(BP1056:BP1057)&gt;SUM(BP1057:BP1058),BO1056,IF(SUM(BP1056:BP1057)&lt;SUM(BP1057:BP1058),BO1058,"Algo esta Mal")))))</f>
        <v>0</v>
      </c>
      <c r="BY1060" s="33" t="str">
        <f>IF(BY1056&gt;=51%,BX1056,IF(BY1057&gt;=51%,BX1057,IF(BY1058&gt;=51%,BX1058,IF(SUM(BY1056:BY1057)&gt;SUM(BY1057:BY1058),BX1056,IF(SUM(BY1056:BY1057)&lt;SUM(BY1057:BY1058),BX1058,"Algo esta Mal")))))</f>
        <v>0</v>
      </c>
      <c r="CH1060" s="33" t="str">
        <f>IF(CH1056&gt;=51%,CG1056,IF(CH1057&gt;=51%,CG1057,IF(CH1058&gt;=51%,CG1058,IF(SUM(CH1056:CH1057)&gt;SUM(CH1057:CH1058),CG1056,IF(SUM(CH1056:CH1057)&lt;SUM(CH1057:CH1058),CG1058,"Algo esta Mal")))))</f>
        <v>0</v>
      </c>
      <c r="CQ1060" s="33" t="str">
        <f>IF(CQ1056&gt;=51%,CP1056,IF(CQ1057&gt;=51%,CP1057,IF(CQ1058&gt;=51%,CP1058,IF(SUM(CQ1056:CQ1057)&gt;SUM(CQ1057:CQ1058),CP1056,IF(SUM(CQ1056:CQ1057)&lt;SUM(CQ1057:CQ1058),CP1058,"Algo esta Mal")))))</f>
        <v>0</v>
      </c>
      <c r="CZ1060" s="33" t="str">
        <f>IF(CZ1056&gt;=51%,CY1056,IF(CZ1057&gt;=51%,CY1057,IF(CZ1058&gt;=51%,CY1058,IF(SUM(CZ1056:CZ1057)&gt;SUM(CZ1057:CZ1058),CY1056,IF(SUM(CZ1056:CZ1057)&lt;SUM(CZ1057:CZ1058),CY1058,"Algo esta Mal")))))</f>
        <v>0</v>
      </c>
      <c r="DI1060" s="33" t="str">
        <f>IF(DI1056&gt;=51%,DH1056,IF(DI1057&gt;=51%,DH1057,IF(DI1058&gt;=51%,DH1058,IF(SUM(DI1056:DI1057)&gt;SUM(DI1057:DI1058),DH1056,IF(SUM(DI1056:DI1057)&lt;SUM(DI1057:DI1058),DH1058,"Algo esta Mal")))))</f>
        <v>0</v>
      </c>
      <c r="DR1060" s="33" t="str">
        <f>IF(DR1056&gt;=51%,DQ1056,IF(DR1057&gt;=51%,DQ1057,IF(DR1058&gt;=51%,DQ1058,IF(SUM(DR1056:DR1057)&gt;SUM(DR1057:DR1058),DQ1056,IF(SUM(DR1056:DR1057)&lt;SUM(DR1057:DR1058),DQ1058,"Algo esta Mal")))))</f>
        <v>0</v>
      </c>
      <c r="EA1060" s="33" t="str">
        <f>IF(EA1056&gt;=51%,DZ1056,IF(EA1057&gt;=51%,DZ1057,IF(EA1058&gt;=51%,DZ1058,IF(SUM(EA1056:EA1057)&gt;SUM(EA1057:EA1058),DZ1056,IF(SUM(EA1056:EA1057)&lt;SUM(EA1057:EA1058),DZ1058,"Algo esta Mal")))))</f>
        <v>0</v>
      </c>
      <c r="EJ1060" s="33" t="str">
        <f>IF(EJ1056&gt;=51%,EI1056,IF(EJ1057&gt;=51%,EI1057,IF(EJ1058&gt;=51%,EI1058,IF(SUM(EJ1056:EJ1057)&gt;SUM(EJ1057:EJ1058),EI1056,IF(SUM(EJ1056:EJ1057)&lt;SUM(EJ1057:EJ1058),EI1058,"Algo esta Mal")))))</f>
        <v>0</v>
      </c>
      <c r="ES1060" s="33" t="str">
        <f>IF(ES1056&gt;=51%,ER1056,IF(ES1057&gt;=51%,ER1057,IF(ES1058&gt;=51%,ER1058,IF(SUM(ES1056:ES1057)&gt;SUM(ES1057:ES1058),ER1056,IF(SUM(ES1056:ES1057)&lt;SUM(ES1057:ES1058),ER1058,"Algo esta Mal")))))</f>
        <v>0</v>
      </c>
      <c r="FB1060" s="33" t="str">
        <f>IF(FB1056&gt;=51%,FA1056,IF(FB1057&gt;=51%,FA1057,IF(FB1058&gt;=51%,FA1058,IF(SUM(FB1056:FB1057)&gt;SUM(FB1057:FB1058),FA1056,IF(SUM(FB1056:FB1057)&lt;SUM(FB1057:FB1058),FA1058,"Algo esta Mal")))))</f>
        <v>0</v>
      </c>
      <c r="FK1060" s="33" t="str">
        <f>IF(FK1056&gt;=51%,FJ1056,IF(FK1057&gt;=51%,FJ1057,IF(FK1058&gt;=51%,FJ1058,IF(SUM(FK1056:FK1057)&gt;SUM(FK1057:FK1058),FJ1056,IF(SUM(FK1056:FK1057)&lt;SUM(FK1057:FK1058),FJ1058,"Algo esta Mal")))))</f>
        <v>0</v>
      </c>
      <c r="FT1060" s="33" t="str">
        <f>IF(FT1056&gt;=51%,FS1056,IF(FT1057&gt;=51%,FS1057,IF(FT1058&gt;=51%,FS1058,IF(SUM(FT1056:FT1057)&gt;SUM(FT1057:FT1058),FS1056,IF(SUM(FT1056:FT1057)&lt;SUM(FT1057:FT1058),FS1058,"Algo esta Mal")))))</f>
        <v>0</v>
      </c>
      <c r="GC1060" s="33" t="str">
        <f>IF(GC1056&gt;=51%,GB1056,IF(GC1057&gt;=51%,GB1057,IF(GC1058&gt;=51%,GB1058,IF(SUM(GC1056:GC1057)&gt;SUM(GC1057:GC1058),GB1056,IF(SUM(GC1056:GC1057)&lt;SUM(GC1057:GC1058),GB1058,"Algo esta Mal")))))</f>
        <v>0</v>
      </c>
      <c r="GL1060" s="33" t="str">
        <f>IF(GL1056&gt;=51%,GK1056,IF(GL1057&gt;=51%,GK1057,IF(GL1058&gt;=51%,GK1058,IF(SUM(GL1056:GL1057)&gt;SUM(GL1057:GL1058),GK1056,IF(SUM(GL1056:GL1057)&lt;SUM(GL1057:GL1058),GK1058,"Algo esta Mal")))))</f>
        <v>0</v>
      </c>
      <c r="GU1060" s="33" t="str">
        <f>IF(GU1056&gt;=51%,GT1056,IF(GU1057&gt;=51%,GT1057,IF(GU1058&gt;=51%,GT1058,IF(SUM(GU1056:GU1057)&gt;SUM(GU1057:GU1058),GT1056,IF(SUM(GU1056:GU1057)&lt;SUM(GU1057:GU1058),GT1058,"Algo esta Mal")))))</f>
        <v>0</v>
      </c>
      <c r="HD1060" s="33" t="str">
        <f>IF(HD1056&gt;=51%,HC1056,IF(HD1057&gt;=51%,HC1057,IF(HD1058&gt;=51%,HC1058,IF(SUM(HD1056:HD1057)&gt;SUM(HD1057:HD1058),HC1056,IF(SUM(HD1056:HD1057)&lt;SUM(HD1057:HD1058),HC1058,"Algo esta Mal")))))</f>
        <v>0</v>
      </c>
      <c r="HM1060" s="33" t="str">
        <f>IF(HM1056&gt;=51%,HL1056,IF(HM1057&gt;=51%,HL1057,IF(HM1058&gt;=51%,HL1058,IF(SUM(HM1056:HM1057)&gt;SUM(HM1057:HM1058),HL1056,IF(SUM(HM1056:HM1057)&lt;SUM(HM1057:HM1058),HL1058,"Algo esta Mal")))))</f>
        <v>0</v>
      </c>
      <c r="HV1060" s="33" t="str">
        <f>IF(HV1056&gt;=51%,HU1056,IF(HV1057&gt;=51%,HU1057,IF(HV1058&gt;=51%,HU1058,IF(SUM(HV1056:HV1057)&gt;SUM(HV1057:HV1058),HU1056,IF(SUM(HV1056:HV1057)&lt;SUM(HV1057:HV1058),HU1058,"Algo esta Mal")))))</f>
        <v>0</v>
      </c>
      <c r="IE1060" s="33" t="str">
        <f>IF(IE1056&gt;=51%,ID1056,IF(IE1057&gt;=51%,ID1057,IF(IE1058&gt;=51%,ID1058,IF(SUM(IE1056:IE1057)&gt;SUM(IE1057:IE1058),ID1056,IF(SUM(IE1056:IE1057)&lt;SUM(IE1057:IE1058),ID1058,"Algo esta Mal")))))</f>
        <v>0</v>
      </c>
      <c r="IN1060" s="33" t="str">
        <f>IF(IN1056&gt;=51%,IM1056,IF(IN1057&gt;=51%,IM1057,IF(IN1058&gt;=51%,IM1058,IF(SUM(IN1056:IN1057)&gt;SUM(IN1057:IN1058),IM1056,IF(SUM(IN1056:IN1057)&lt;SUM(IN1057:IN1058),IM1058,"Algo esta Mal")))))</f>
        <v>0</v>
      </c>
      <c r="IW1060" s="33" t="str">
        <f>IF(IW1056&gt;=51%,IV1056,IF(IW1057&gt;=51%,IV1057,IF(IW1058&gt;=51%,IV1058,IF(SUM(IW1056:IW1057)&gt;SUM(IW1057:IW1058),IV1056,IF(SUM(IW1056:IW1057)&lt;SUM(IW1057:IW1058),IV1058,"Algo esta Mal")))))</f>
        <v>0</v>
      </c>
      <c r="JF1060" s="33" t="str">
        <f>IF(JF1056&gt;=51%,JE1056,IF(JF1057&gt;=51%,JE1057,IF(JF1058&gt;=51%,JE1058,IF(SUM(JF1056:JF1057)&gt;SUM(JF1057:JF1058),JE1056,IF(SUM(JF1056:JF1057)&lt;SUM(JF1057:JF1058),JE1058,"Algo esta Mal")))))</f>
        <v>0</v>
      </c>
      <c r="JO1060" s="33" t="str">
        <f>IF(JO1056&gt;=51%,JN1056,IF(JO1057&gt;=51%,JN1057,IF(JO1058&gt;=51%,JN1058,IF(SUM(JO1056:JO1057)&gt;SUM(JO1057:JO1058),JN1056,IF(SUM(JO1056:JO1057)&lt;SUM(JO1057:JO1058),JN1058,"Algo esta Mal")))))</f>
        <v>0</v>
      </c>
      <c r="JX1060" s="33" t="str">
        <f>IF(JX1056&gt;=51%,JW1056,IF(JX1057&gt;=51%,JW1057,IF(JX1058&gt;=51%,JW1058,IF(SUM(JX1056:JX1057)&gt;SUM(JX1057:JX1058),JW1056,IF(SUM(JX1056:JX1057)&lt;SUM(JX1057:JX1058),JW1058,"Algo esta Mal")))))</f>
        <v>0</v>
      </c>
      <c r="KG1060" s="33" t="str">
        <f>IF(KG1056&gt;=51%,KF1056,IF(KG1057&gt;=51%,KF1057,IF(KG1058&gt;=51%,KF1058,IF(SUM(KG1056:KG1057)&gt;SUM(KG1057:KG1058),KF1056,IF(SUM(KG1056:KG1057)&lt;SUM(KG1057:KG1058),KF1058,"Algo esta Mal")))))</f>
        <v>0</v>
      </c>
      <c r="KP1060" s="33" t="str">
        <f>IF(KP1056&gt;=51%,KO1056,IF(KP1057&gt;=51%,KO1057,IF(KP1058&gt;=51%,KO1058,IF(SUM(KP1056:KP1057)&gt;SUM(KP1057:KP1058),KO1056,IF(SUM(KP1056:KP1057)&lt;SUM(KP1057:KP1058),KO1058,"Algo esta Mal")))))</f>
        <v>0</v>
      </c>
      <c r="KY1060" s="33" t="str">
        <f>IF(KY1056&gt;=51%,KX1056,IF(KY1057&gt;=51%,KX1057,IF(KY1058&gt;=51%,KX1058,IF(SUM(KY1056:KY1057)&gt;SUM(KY1057:KY1058),KX1056,IF(SUM(KY1056:KY1057)&lt;SUM(KY1057:KY1058),KX1058,"Algo esta Mal")))))</f>
        <v>0</v>
      </c>
      <c r="LH1060" s="33" t="str">
        <f>IF(LH1056&gt;=51%,LG1056,IF(LH1057&gt;=51%,LG1057,IF(LH1058&gt;=51%,LG1058,IF(SUM(LH1056:LH1057)&gt;SUM(LH1057:LH1058),LG1056,IF(SUM(LH1056:LH1057)&lt;SUM(LH1057:LH1058),LG1058,"Algo esta Mal")))))</f>
        <v>0</v>
      </c>
      <c r="LQ1060" s="33" t="str">
        <f>IF(LQ1056&gt;=51%,LP1056,IF(LQ1057&gt;=51%,LP1057,IF(LQ1058&gt;=51%,LP1058,IF(SUM(LQ1056:LQ1057)&gt;SUM(LQ1057:LQ1058),LP1056,IF(SUM(LQ1056:LQ1057)&lt;SUM(LQ1057:LQ1058),LP1058,"Algo esta Mal")))))</f>
        <v>0</v>
      </c>
      <c r="LZ1060" s="33" t="str">
        <f>IF(LZ1056&gt;=51%,LY1056,IF(LZ1057&gt;=51%,LY1057,IF(LZ1058&gt;=51%,LY1058,IF(SUM(LZ1056:LZ1057)&gt;SUM(LZ1057:LZ1058),LY1056,IF(SUM(LZ1056:LZ1057)&lt;SUM(LZ1057:LZ1058),LY1058,"Algo esta Mal")))))</f>
        <v>0</v>
      </c>
      <c r="MI1060" s="33" t="str">
        <f>IF(MI1056&gt;=51%,MH1056,IF(MI1057&gt;=51%,MH1057,IF(MI1058&gt;=51%,MH1058,IF(SUM(MI1056:MI1057)&gt;SUM(MI1057:MI1058),MH1056,IF(SUM(MI1056:MI1057)&lt;SUM(MI1057:MI1058),MH1058,"Algo esta Mal")))))</f>
        <v>0</v>
      </c>
      <c r="MR1060" s="33" t="str">
        <f>IF(MR1056&gt;=51%,MQ1056,IF(MR1057&gt;=51%,MQ1057,IF(MR1058&gt;=51%,MQ1058,IF(SUM(MR1056:MR1057)&gt;SUM(MR1057:MR1058),MQ1056,IF(SUM(MR1056:MR1057)&lt;SUM(MR1057:MR1058),MQ1058,"Algo esta Mal")))))</f>
        <v>0</v>
      </c>
    </row>
    <row r="1062" spans="1:359">
      <c r="E1062" s="33"/>
      <c r="N1062" s="33"/>
      <c r="W1062" s="33"/>
      <c r="AF1062" s="33"/>
      <c r="AO1062" s="33"/>
      <c r="AX1062" s="33"/>
      <c r="BG1062" s="33"/>
      <c r="BP1062" s="33"/>
      <c r="BY1062" s="33"/>
      <c r="CH1062" s="33"/>
      <c r="CQ1062" s="33"/>
      <c r="CZ1062" s="33"/>
      <c r="DI1062" s="33"/>
      <c r="DR1062" s="33"/>
      <c r="EA1062" s="33"/>
      <c r="EJ1062" s="33"/>
      <c r="ES1062" s="33"/>
      <c r="FB1062" s="33"/>
      <c r="FK1062" s="33"/>
      <c r="FT1062" s="33"/>
      <c r="GC1062" s="33"/>
      <c r="GL1062" s="33"/>
      <c r="GU1062" s="33"/>
      <c r="HD1062" s="33"/>
      <c r="HM1062" s="33"/>
      <c r="HV1062" s="33"/>
      <c r="IE1062" s="33"/>
      <c r="IN1062" s="33"/>
      <c r="IW1062" s="33"/>
      <c r="JF1062" s="33"/>
      <c r="JO1062" s="33"/>
      <c r="JX1062" s="33"/>
      <c r="KG1062" s="33"/>
      <c r="KP1062" s="33"/>
      <c r="KY1062" s="33"/>
      <c r="LH1062" s="33"/>
      <c r="LQ1062" s="33"/>
      <c r="LZ1062" s="33"/>
      <c r="MI1062" s="33"/>
      <c r="MR1062" s="3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5:F43"/>
    <mergeCell ref="M4:O4"/>
    <mergeCell ref="M35:O43"/>
    <mergeCell ref="V4:X4"/>
    <mergeCell ref="V35:X43"/>
    <mergeCell ref="AE4:AG4"/>
    <mergeCell ref="AE35:AG43"/>
    <mergeCell ref="AN4:AP4"/>
    <mergeCell ref="AN35:AP43"/>
    <mergeCell ref="AW4:AY4"/>
    <mergeCell ref="AW35:AY43"/>
    <mergeCell ref="BF4:BH4"/>
    <mergeCell ref="BF35:BH43"/>
    <mergeCell ref="BO4:BQ4"/>
    <mergeCell ref="BO35:BQ43"/>
    <mergeCell ref="BX4:BZ4"/>
    <mergeCell ref="BX35:BZ43"/>
    <mergeCell ref="CG4:CI4"/>
    <mergeCell ref="CG35:CI43"/>
    <mergeCell ref="CP4:CR4"/>
    <mergeCell ref="CP35:CR43"/>
    <mergeCell ref="CY4:DA4"/>
    <mergeCell ref="CY35:DA43"/>
    <mergeCell ref="DH4:DJ4"/>
    <mergeCell ref="DH35:DJ43"/>
    <mergeCell ref="DQ4:DS4"/>
    <mergeCell ref="DQ35:DS43"/>
    <mergeCell ref="DZ4:EB4"/>
    <mergeCell ref="DZ35:EB43"/>
    <mergeCell ref="EI4:EK4"/>
    <mergeCell ref="EI35:EK43"/>
    <mergeCell ref="ER4:ET4"/>
    <mergeCell ref="ER35:ET43"/>
    <mergeCell ref="FA4:FC4"/>
    <mergeCell ref="FA35:FC43"/>
    <mergeCell ref="FJ4:FL4"/>
    <mergeCell ref="FJ35:FL43"/>
    <mergeCell ref="FS4:FU4"/>
    <mergeCell ref="FS35:FU43"/>
    <mergeCell ref="GB4:GD4"/>
    <mergeCell ref="GB35:GD43"/>
    <mergeCell ref="GK4:GM4"/>
    <mergeCell ref="GK35:GM43"/>
    <mergeCell ref="GT4:GV4"/>
    <mergeCell ref="GT35:GV43"/>
    <mergeCell ref="HC4:HE4"/>
    <mergeCell ref="HC35:HE43"/>
    <mergeCell ref="HL4:HN4"/>
    <mergeCell ref="HL35:HN43"/>
    <mergeCell ref="HU4:HW4"/>
    <mergeCell ref="HU35:HW43"/>
    <mergeCell ref="ID4:IF4"/>
    <mergeCell ref="ID35:IF43"/>
    <mergeCell ref="IM4:IO4"/>
    <mergeCell ref="IM35:IO43"/>
    <mergeCell ref="IV4:IX4"/>
    <mergeCell ref="IV35:IX43"/>
    <mergeCell ref="JE4:JG4"/>
    <mergeCell ref="JE35:JG43"/>
    <mergeCell ref="JN4:JP4"/>
    <mergeCell ref="JN35:JP43"/>
    <mergeCell ref="JW4:JY4"/>
    <mergeCell ref="JW35:JY43"/>
    <mergeCell ref="KF4:KH4"/>
    <mergeCell ref="KF35:KH43"/>
    <mergeCell ref="KO4:KQ4"/>
    <mergeCell ref="KO35:KQ43"/>
    <mergeCell ref="KX4:KZ4"/>
    <mergeCell ref="KX35:KZ43"/>
    <mergeCell ref="LG4:LI4"/>
    <mergeCell ref="LG35:LI43"/>
    <mergeCell ref="LP4:LR4"/>
    <mergeCell ref="LP35:LR43"/>
    <mergeCell ref="LY4:MA4"/>
    <mergeCell ref="LY35:MA43"/>
    <mergeCell ref="MH4:MJ4"/>
    <mergeCell ref="MH35:MJ43"/>
    <mergeCell ref="MQ4:MS4"/>
    <mergeCell ref="MQ35:MS4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BP1076"/>
  <sheetViews>
    <sheetView tabSelected="0" workbookViewId="0" showGridLines="true" showRowColHeaders="1">
      <selection activeCell="AN36" sqref="AN36"/>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 min="40" max="40" width="26" customWidth="true" style="0"/>
    <col min="41" max="41" width="26" customWidth="true" style="0"/>
    <col min="42" max="42" width="26" customWidth="true" style="0"/>
  </cols>
  <sheetData>
    <row r="3" spans="1:68">
      <c r="B3" s="11"/>
      <c r="C3" s="11"/>
      <c r="D3" s="11"/>
      <c r="E3" s="11"/>
      <c r="F3" s="11"/>
      <c r="G3" s="11"/>
      <c r="H3" s="11"/>
      <c r="K3" s="11"/>
      <c r="L3" s="11"/>
      <c r="M3" s="11"/>
      <c r="N3" s="11"/>
      <c r="O3" s="11"/>
      <c r="P3" s="11"/>
      <c r="Q3" s="11"/>
      <c r="T3" s="11"/>
      <c r="U3" s="11"/>
      <c r="V3" s="11"/>
      <c r="W3" s="11"/>
      <c r="X3" s="11"/>
      <c r="Y3" s="11"/>
      <c r="Z3" s="11"/>
      <c r="AC3" s="11"/>
      <c r="AD3" s="11"/>
      <c r="AE3" s="11"/>
      <c r="AF3" s="11"/>
      <c r="AG3" s="11"/>
      <c r="AH3" s="11"/>
      <c r="AI3" s="11"/>
      <c r="AL3" s="28"/>
      <c r="AM3" s="28"/>
      <c r="AN3" s="28"/>
      <c r="AO3" s="28"/>
      <c r="AP3" s="28"/>
      <c r="AQ3" s="28"/>
      <c r="AR3" s="28"/>
    </row>
    <row r="4" spans="1:68">
      <c r="B4" s="11"/>
      <c r="D4" s="30" t="s">
        <v>540</v>
      </c>
      <c r="E4" s="29"/>
      <c r="F4" s="29"/>
      <c r="H4" s="11"/>
      <c r="K4" s="11"/>
      <c r="M4" s="30" t="s">
        <v>541</v>
      </c>
      <c r="N4" s="29"/>
      <c r="O4" s="29"/>
      <c r="Q4" s="11"/>
      <c r="T4" s="11"/>
      <c r="V4" s="30" t="s">
        <v>542</v>
      </c>
      <c r="W4" s="29"/>
      <c r="X4" s="29"/>
      <c r="Z4" s="11"/>
      <c r="AC4" s="11"/>
      <c r="AE4" s="30" t="s">
        <v>630</v>
      </c>
      <c r="AF4" s="29"/>
      <c r="AG4" s="29"/>
      <c r="AI4" s="11"/>
      <c r="AL4" s="28"/>
      <c r="AN4" s="30" t="s">
        <v>543</v>
      </c>
      <c r="AO4" s="29"/>
      <c r="AP4" s="29"/>
      <c r="AR4" s="28"/>
    </row>
    <row r="5" spans="1:68">
      <c r="B5" s="11"/>
      <c r="D5" s="10" t="s">
        <v>415</v>
      </c>
      <c r="H5" s="11"/>
      <c r="K5" s="11"/>
      <c r="M5" s="10" t="s">
        <v>416</v>
      </c>
      <c r="Q5" s="11"/>
      <c r="T5" s="11"/>
      <c r="V5" s="10" t="s">
        <v>417</v>
      </c>
      <c r="Z5" s="11"/>
      <c r="AC5" s="11"/>
      <c r="AE5" s="10" t="s">
        <v>418</v>
      </c>
      <c r="AI5" s="11"/>
      <c r="AL5" s="28"/>
      <c r="AN5" s="10" t="s">
        <v>495</v>
      </c>
      <c r="AR5" s="28"/>
    </row>
    <row r="6" spans="1:68">
      <c r="B6" s="11"/>
      <c r="D6" s="10" t="s">
        <v>548</v>
      </c>
      <c r="H6" s="11"/>
      <c r="K6" s="11"/>
      <c r="M6" s="10" t="s">
        <v>549</v>
      </c>
      <c r="Q6" s="11"/>
      <c r="T6" s="11"/>
      <c r="V6" s="10" t="s">
        <v>550</v>
      </c>
      <c r="Z6" s="11"/>
      <c r="AC6" s="11"/>
      <c r="AE6" s="10" t="s">
        <v>551</v>
      </c>
      <c r="AI6" s="11"/>
      <c r="AL6" s="28"/>
      <c r="AN6" s="10" t="s">
        <v>578</v>
      </c>
      <c r="AR6" s="28"/>
    </row>
    <row r="7" spans="1:68">
      <c r="B7" s="11"/>
      <c r="D7" s="13"/>
      <c r="E7" s="19" t="s">
        <v>420</v>
      </c>
      <c r="F7" s="19" t="s">
        <v>421</v>
      </c>
      <c r="H7" s="11"/>
      <c r="K7" s="11"/>
      <c r="M7" s="13"/>
      <c r="N7" s="19" t="s">
        <v>420</v>
      </c>
      <c r="O7" s="19" t="s">
        <v>421</v>
      </c>
      <c r="Q7" s="11"/>
      <c r="T7" s="11"/>
      <c r="V7" s="13"/>
      <c r="W7" s="19" t="s">
        <v>420</v>
      </c>
      <c r="X7" s="19" t="s">
        <v>421</v>
      </c>
      <c r="Z7" s="11"/>
      <c r="AC7" s="11"/>
      <c r="AE7" s="13"/>
      <c r="AF7" s="19" t="s">
        <v>420</v>
      </c>
      <c r="AG7" s="19" t="s">
        <v>421</v>
      </c>
      <c r="AI7" s="11"/>
      <c r="AL7" s="28"/>
      <c r="AN7" s="13"/>
      <c r="AO7" s="19" t="s">
        <v>420</v>
      </c>
      <c r="AP7" s="19" t="s">
        <v>421</v>
      </c>
      <c r="AR7" s="28"/>
    </row>
    <row r="8" spans="1:68">
      <c r="B8" s="11"/>
      <c r="D8" s="26" t="str">
        <f>('Desempeño profesional'!A366)</f>
        <v>0</v>
      </c>
      <c r="E8" s="18" t="str">
        <f>COUNTIF('Desempeño profesional'!B5:K359,1)</f>
        <v>0</v>
      </c>
      <c r="F8" s="22" t="str">
        <f>(E8/E13)</f>
        <v>0</v>
      </c>
      <c r="H8" s="11"/>
      <c r="K8" s="11"/>
      <c r="M8" s="26" t="str">
        <f>('Desempeño profesional'!A366)</f>
        <v>0</v>
      </c>
      <c r="N8" s="18" t="str">
        <f>COUNTIF('Desempeño profesional'!L5:AD359,1)</f>
        <v>0</v>
      </c>
      <c r="O8" s="22" t="str">
        <f>(N8/N13)</f>
        <v>0</v>
      </c>
      <c r="Q8" s="11"/>
      <c r="T8" s="11"/>
      <c r="V8" s="26" t="str">
        <f>('Desempeño profesional'!A366)</f>
        <v>0</v>
      </c>
      <c r="W8" s="18" t="str">
        <f>COUNTIF('Desempeño profesional'!AE5:AJ359,1)</f>
        <v>0</v>
      </c>
      <c r="X8" s="22" t="str">
        <f>(W8/W13)</f>
        <v>0</v>
      </c>
      <c r="Z8" s="11"/>
      <c r="AC8" s="11"/>
      <c r="AE8" s="26" t="str">
        <f>('Desempeño profesional'!A366)</f>
        <v>0</v>
      </c>
      <c r="AF8" s="18" t="str">
        <f>COUNTIF('Desempeño profesional'!AK5:AO359,1)</f>
        <v>0</v>
      </c>
      <c r="AG8" s="22" t="str">
        <f>(AF8/AF13)</f>
        <v>0</v>
      </c>
      <c r="AI8" s="11"/>
      <c r="AL8" s="28"/>
      <c r="AN8" s="26" t="str">
        <f>('Desempeño profesional'!A366)</f>
        <v>0</v>
      </c>
      <c r="AO8" s="18" t="str">
        <f>COUNTIF('Desempeño profesional'!B5:AO359,1)</f>
        <v>0</v>
      </c>
      <c r="AP8" s="22" t="str">
        <f>(AO8/AO13)</f>
        <v>0</v>
      </c>
      <c r="AR8" s="28"/>
    </row>
    <row r="9" spans="1:68">
      <c r="B9" s="11"/>
      <c r="D9" s="26" t="str">
        <f>('Desempeño profesional'!A367)</f>
        <v>0</v>
      </c>
      <c r="E9" s="18" t="str">
        <f>COUNTIF('Desempeño profesional'!B5:K359,2)</f>
        <v>0</v>
      </c>
      <c r="F9" s="22" t="str">
        <f>(E9/E13)</f>
        <v>0</v>
      </c>
      <c r="H9" s="11"/>
      <c r="K9" s="11"/>
      <c r="M9" s="26" t="str">
        <f>('Desempeño profesional'!A367)</f>
        <v>0</v>
      </c>
      <c r="N9" s="18" t="str">
        <f>COUNTIF('Desempeño profesional'!L5:AD359,2)</f>
        <v>0</v>
      </c>
      <c r="O9" s="22" t="str">
        <f>(N9/N13)</f>
        <v>0</v>
      </c>
      <c r="Q9" s="11"/>
      <c r="T9" s="11"/>
      <c r="V9" s="26" t="str">
        <f>('Desempeño profesional'!A367)</f>
        <v>0</v>
      </c>
      <c r="W9" s="18" t="str">
        <f>COUNTIF('Desempeño profesional'!AE5:AJ359,2)</f>
        <v>0</v>
      </c>
      <c r="X9" s="22" t="str">
        <f>(W9/W13)</f>
        <v>0</v>
      </c>
      <c r="Z9" s="11"/>
      <c r="AC9" s="11"/>
      <c r="AE9" s="26" t="str">
        <f>('Desempeño profesional'!A367)</f>
        <v>0</v>
      </c>
      <c r="AF9" s="18" t="str">
        <f>COUNTIF('Desempeño profesional'!AK5:AO359,2)</f>
        <v>0</v>
      </c>
      <c r="AG9" s="22" t="str">
        <f>(AF9/AF13)</f>
        <v>0</v>
      </c>
      <c r="AI9" s="11"/>
      <c r="AL9" s="28"/>
      <c r="AN9" s="26" t="str">
        <f>('Desempeño profesional'!A367)</f>
        <v>0</v>
      </c>
      <c r="AO9" s="18" t="str">
        <f>COUNTIF('Desempeño profesional'!B5:AO359,2)</f>
        <v>0</v>
      </c>
      <c r="AP9" s="22" t="str">
        <f>(AO9/AO13)</f>
        <v>0</v>
      </c>
      <c r="AR9" s="28"/>
    </row>
    <row r="10" spans="1:68">
      <c r="B10" s="11"/>
      <c r="D10" s="26" t="str">
        <f>('Desempeño profesional'!A368)</f>
        <v>0</v>
      </c>
      <c r="E10" s="18" t="str">
        <f>COUNTIF('Desempeño profesional'!B5:K359,3)</f>
        <v>0</v>
      </c>
      <c r="F10" s="22" t="str">
        <f>(E10/E13)</f>
        <v>0</v>
      </c>
      <c r="H10" s="11"/>
      <c r="K10" s="11"/>
      <c r="M10" s="26" t="str">
        <f>('Desempeño profesional'!A368)</f>
        <v>0</v>
      </c>
      <c r="N10" s="18" t="str">
        <f>COUNTIF('Desempeño profesional'!L5:AD359,3)</f>
        <v>0</v>
      </c>
      <c r="O10" s="22" t="str">
        <f>(N10/N13)</f>
        <v>0</v>
      </c>
      <c r="Q10" s="11"/>
      <c r="T10" s="11"/>
      <c r="V10" s="26" t="str">
        <f>('Desempeño profesional'!A368)</f>
        <v>0</v>
      </c>
      <c r="W10" s="18" t="str">
        <f>COUNTIF('Desempeño profesional'!AE5:AJ359,3)</f>
        <v>0</v>
      </c>
      <c r="X10" s="22" t="str">
        <f>(W10/W13)</f>
        <v>0</v>
      </c>
      <c r="Z10" s="11"/>
      <c r="AC10" s="11"/>
      <c r="AE10" s="26" t="str">
        <f>('Desempeño profesional'!A368)</f>
        <v>0</v>
      </c>
      <c r="AF10" s="18" t="str">
        <f>COUNTIF('Desempeño profesional'!AK5:AO359,3)</f>
        <v>0</v>
      </c>
      <c r="AG10" s="22" t="str">
        <f>(AF10/AF13)</f>
        <v>0</v>
      </c>
      <c r="AI10" s="11"/>
      <c r="AL10" s="28"/>
      <c r="AN10" s="26" t="str">
        <f>('Desempeño profesional'!A368)</f>
        <v>0</v>
      </c>
      <c r="AO10" s="18" t="str">
        <f>COUNTIF('Desempeño profesional'!B5:AO359,3)</f>
        <v>0</v>
      </c>
      <c r="AP10" s="22" t="str">
        <f>(AO10/AO13)</f>
        <v>0</v>
      </c>
      <c r="AR10" s="28"/>
    </row>
    <row r="11" spans="1:68">
      <c r="B11" s="11"/>
      <c r="D11" s="26" t="str">
        <f>('Desempeño profesional'!A369)</f>
        <v>0</v>
      </c>
      <c r="E11" s="18" t="str">
        <f>COUNTIF('Desempeño profesional'!B5:K359,4)</f>
        <v>0</v>
      </c>
      <c r="F11" s="22" t="str">
        <f>(E11/E13)</f>
        <v>0</v>
      </c>
      <c r="H11" s="11"/>
      <c r="K11" s="11"/>
      <c r="M11" s="26" t="str">
        <f>('Desempeño profesional'!A369)</f>
        <v>0</v>
      </c>
      <c r="N11" s="18" t="str">
        <f>COUNTIF('Desempeño profesional'!L5:AD359,4)</f>
        <v>0</v>
      </c>
      <c r="O11" s="22" t="str">
        <f>(N11/N13)</f>
        <v>0</v>
      </c>
      <c r="Q11" s="11"/>
      <c r="T11" s="11"/>
      <c r="V11" s="26" t="str">
        <f>('Desempeño profesional'!A369)</f>
        <v>0</v>
      </c>
      <c r="W11" s="18" t="str">
        <f>COUNTIF('Desempeño profesional'!AE5:AJ359,4)</f>
        <v>0</v>
      </c>
      <c r="X11" s="22" t="str">
        <f>(W11/W13)</f>
        <v>0</v>
      </c>
      <c r="Z11" s="11"/>
      <c r="AC11" s="11"/>
      <c r="AE11" s="26" t="str">
        <f>('Desempeño profesional'!A369)</f>
        <v>0</v>
      </c>
      <c r="AF11" s="18" t="str">
        <f>COUNTIF('Desempeño profesional'!AK5:AO359,4)</f>
        <v>0</v>
      </c>
      <c r="AG11" s="22" t="str">
        <f>(AF11/AF13)</f>
        <v>0</v>
      </c>
      <c r="AI11" s="11"/>
      <c r="AL11" s="28"/>
      <c r="AN11" s="26" t="str">
        <f>('Desempeño profesional'!A369)</f>
        <v>0</v>
      </c>
      <c r="AO11" s="18" t="str">
        <f>COUNTIF('Desempeño profesional'!B5:AO359,4)</f>
        <v>0</v>
      </c>
      <c r="AP11" s="22" t="str">
        <f>(AO11/AO13)</f>
        <v>0</v>
      </c>
      <c r="AR11" s="28"/>
    </row>
    <row r="12" spans="1:68">
      <c r="B12" s="11"/>
      <c r="D12" s="26" t="str">
        <f>('Desempeño profesional'!A370)</f>
        <v>0</v>
      </c>
      <c r="E12" s="18" t="str">
        <f>COUNTIF('Desempeño profesional'!B5:K359,5)</f>
        <v>0</v>
      </c>
      <c r="F12" s="22" t="str">
        <f>(E12/E13)</f>
        <v>0</v>
      </c>
      <c r="H12" s="11"/>
      <c r="K12" s="11"/>
      <c r="M12" s="26" t="str">
        <f>('Desempeño profesional'!A370)</f>
        <v>0</v>
      </c>
      <c r="N12" s="18" t="str">
        <f>COUNTIF('Desempeño profesional'!L5:AD359,5)</f>
        <v>0</v>
      </c>
      <c r="O12" s="22" t="str">
        <f>(N12/N13)</f>
        <v>0</v>
      </c>
      <c r="Q12" s="11"/>
      <c r="T12" s="11"/>
      <c r="V12" s="26" t="str">
        <f>('Desempeño profesional'!A370)</f>
        <v>0</v>
      </c>
      <c r="W12" s="18" t="str">
        <f>COUNTIF('Desempeño profesional'!AE5:AJ359,5)</f>
        <v>0</v>
      </c>
      <c r="X12" s="22" t="str">
        <f>(W12/W13)</f>
        <v>0</v>
      </c>
      <c r="Z12" s="11"/>
      <c r="AC12" s="11"/>
      <c r="AE12" s="26" t="str">
        <f>('Desempeño profesional'!A370)</f>
        <v>0</v>
      </c>
      <c r="AF12" s="18" t="str">
        <f>COUNTIF('Desempeño profesional'!AK5:AO359,5)</f>
        <v>0</v>
      </c>
      <c r="AG12" s="22" t="str">
        <f>(AF12/AF13)</f>
        <v>0</v>
      </c>
      <c r="AI12" s="11"/>
      <c r="AL12" s="28"/>
      <c r="AN12" s="26" t="str">
        <f>('Desempeño profesional'!A370)</f>
        <v>0</v>
      </c>
      <c r="AO12" s="18" t="str">
        <f>COUNTIF('Desempeño profesional'!B5:AO359,5)</f>
        <v>0</v>
      </c>
      <c r="AP12" s="22" t="str">
        <f>(AO12/AO13)</f>
        <v>0</v>
      </c>
      <c r="AR12" s="28"/>
    </row>
    <row r="13" spans="1:68">
      <c r="B13" s="11"/>
      <c r="D13" s="32" t="str">
        <f>('Desempeño profesional'!A371)</f>
        <v>0</v>
      </c>
      <c r="E13" s="19" t="str">
        <f>SUM(E8:E12)</f>
        <v>0</v>
      </c>
      <c r="F13" s="23" t="str">
        <f>SUM(F8:F12)</f>
        <v>0</v>
      </c>
      <c r="H13" s="11"/>
      <c r="K13" s="11"/>
      <c r="M13" s="32" t="str">
        <f>('Desempeño profesional'!A371)</f>
        <v>0</v>
      </c>
      <c r="N13" s="19" t="str">
        <f>SUM(N8:N12)</f>
        <v>0</v>
      </c>
      <c r="O13" s="23" t="str">
        <f>SUM(O8:O12)</f>
        <v>0</v>
      </c>
      <c r="Q13" s="11"/>
      <c r="T13" s="11"/>
      <c r="V13" s="32" t="str">
        <f>('Desempeño profesional'!A371)</f>
        <v>0</v>
      </c>
      <c r="W13" s="19" t="str">
        <f>SUM(W8:W12)</f>
        <v>0</v>
      </c>
      <c r="X13" s="23" t="str">
        <f>SUM(X8:X12)</f>
        <v>0</v>
      </c>
      <c r="Z13" s="11"/>
      <c r="AC13" s="11"/>
      <c r="AE13" s="32" t="str">
        <f>('Desempeño profesional'!A371)</f>
        <v>0</v>
      </c>
      <c r="AF13" s="19" t="str">
        <f>SUM(AF8:AF12)</f>
        <v>0</v>
      </c>
      <c r="AG13" s="23" t="str">
        <f>SUM(AG8:AG12)</f>
        <v>0</v>
      </c>
      <c r="AI13" s="11"/>
      <c r="AL13" s="28"/>
      <c r="AN13" s="32" t="str">
        <f>('Desempeño profesional'!A371)</f>
        <v>0</v>
      </c>
      <c r="AO13" s="19" t="str">
        <f>SUM(AO8:AO12)</f>
        <v>0</v>
      </c>
      <c r="AP13" s="23" t="str">
        <f>SUM(AP8:AP12)</f>
        <v>0</v>
      </c>
      <c r="AR13" s="28"/>
    </row>
    <row r="14" spans="1:68">
      <c r="B14" s="11"/>
      <c r="D14" s="10" t="s">
        <v>428</v>
      </c>
      <c r="H14" s="11"/>
      <c r="K14" s="11"/>
      <c r="M14" s="10" t="s">
        <v>428</v>
      </c>
      <c r="Q14" s="11"/>
      <c r="T14" s="11"/>
      <c r="V14" s="10" t="s">
        <v>428</v>
      </c>
      <c r="Z14" s="11"/>
      <c r="AC14" s="11"/>
      <c r="AE14" s="10" t="s">
        <v>428</v>
      </c>
      <c r="AI14" s="11"/>
      <c r="AL14" s="28"/>
      <c r="AN14" s="10" t="s">
        <v>428</v>
      </c>
      <c r="AR14" s="28"/>
    </row>
    <row r="15" spans="1:68">
      <c r="B15" s="11"/>
      <c r="D15" s="10" t="s">
        <v>427</v>
      </c>
      <c r="H15" s="11"/>
      <c r="K15" s="11"/>
      <c r="M15" s="10" t="s">
        <v>427</v>
      </c>
      <c r="Q15" s="11"/>
      <c r="T15" s="11"/>
      <c r="V15" s="10" t="s">
        <v>427</v>
      </c>
      <c r="Z15" s="11"/>
      <c r="AC15" s="11"/>
      <c r="AE15" s="10" t="s">
        <v>427</v>
      </c>
      <c r="AI15" s="11"/>
      <c r="AL15" s="28"/>
      <c r="AN15" s="10" t="s">
        <v>427</v>
      </c>
      <c r="AR15" s="28"/>
    </row>
    <row r="16" spans="1:68">
      <c r="B16" s="11"/>
      <c r="H16" s="11"/>
      <c r="K16" s="11"/>
      <c r="Q16" s="11"/>
      <c r="T16" s="11"/>
      <c r="Z16" s="11"/>
      <c r="AC16" s="11"/>
      <c r="AI16" s="11"/>
      <c r="AL16" s="28"/>
      <c r="AR16" s="28"/>
    </row>
    <row r="17" spans="1:68">
      <c r="B17" s="11"/>
      <c r="H17" s="11"/>
      <c r="K17" s="11"/>
      <c r="Q17" s="11"/>
      <c r="T17" s="11"/>
      <c r="Z17" s="11"/>
      <c r="AC17" s="11"/>
      <c r="AI17" s="11"/>
      <c r="AL17" s="28"/>
      <c r="AR17" s="28"/>
    </row>
    <row r="18" spans="1:68">
      <c r="B18" s="11"/>
      <c r="H18" s="11"/>
      <c r="K18" s="11"/>
      <c r="Q18" s="11"/>
      <c r="T18" s="11"/>
      <c r="Z18" s="11"/>
      <c r="AC18" s="11"/>
      <c r="AI18" s="11"/>
      <c r="AL18" s="28"/>
      <c r="AR18" s="28"/>
    </row>
    <row r="19" spans="1:68">
      <c r="B19" s="11"/>
      <c r="H19" s="11"/>
      <c r="K19" s="11"/>
      <c r="Q19" s="11"/>
      <c r="T19" s="11"/>
      <c r="Z19" s="11"/>
      <c r="AC19" s="11"/>
      <c r="AI19" s="11"/>
      <c r="AL19" s="28"/>
      <c r="AR19" s="28"/>
    </row>
    <row r="20" spans="1:68">
      <c r="B20" s="11"/>
      <c r="H20" s="11"/>
      <c r="K20" s="11"/>
      <c r="Q20" s="11"/>
      <c r="T20" s="11"/>
      <c r="Z20" s="11"/>
      <c r="AC20" s="11"/>
      <c r="AI20" s="11"/>
      <c r="AL20" s="28"/>
      <c r="AR20" s="28"/>
    </row>
    <row r="21" spans="1:68">
      <c r="B21" s="11"/>
      <c r="H21" s="11"/>
      <c r="K21" s="11"/>
      <c r="Q21" s="11"/>
      <c r="T21" s="11"/>
      <c r="Z21" s="11"/>
      <c r="AC21" s="11"/>
      <c r="AI21" s="11"/>
      <c r="AL21" s="28"/>
      <c r="AR21" s="28"/>
    </row>
    <row r="22" spans="1:68">
      <c r="B22" s="11"/>
      <c r="H22" s="11"/>
      <c r="K22" s="11"/>
      <c r="Q22" s="11"/>
      <c r="T22" s="11"/>
      <c r="Z22" s="11"/>
      <c r="AC22" s="11"/>
      <c r="AI22" s="11"/>
      <c r="AL22" s="28"/>
      <c r="AR22" s="28"/>
    </row>
    <row r="23" spans="1:68">
      <c r="B23" s="11"/>
      <c r="H23" s="11"/>
      <c r="K23" s="11"/>
      <c r="Q23" s="11"/>
      <c r="T23" s="11"/>
      <c r="Z23" s="11"/>
      <c r="AC23" s="11"/>
      <c r="AI23" s="11"/>
      <c r="AL23" s="28"/>
      <c r="AR23" s="28"/>
    </row>
    <row r="24" spans="1:68">
      <c r="B24" s="11"/>
      <c r="H24" s="11"/>
      <c r="K24" s="11"/>
      <c r="Q24" s="11"/>
      <c r="T24" s="11"/>
      <c r="Z24" s="11"/>
      <c r="AC24" s="11"/>
      <c r="AI24" s="11"/>
      <c r="AL24" s="28"/>
      <c r="AR24" s="28"/>
    </row>
    <row r="25" spans="1:68">
      <c r="B25" s="11"/>
      <c r="H25" s="11"/>
      <c r="K25" s="11"/>
      <c r="Q25" s="11"/>
      <c r="T25" s="11"/>
      <c r="Z25" s="11"/>
      <c r="AC25" s="11"/>
      <c r="AI25" s="11"/>
      <c r="AL25" s="28"/>
      <c r="AR25" s="28"/>
    </row>
    <row r="26" spans="1:68">
      <c r="B26" s="11"/>
      <c r="H26" s="11"/>
      <c r="K26" s="11"/>
      <c r="Q26" s="11"/>
      <c r="T26" s="11"/>
      <c r="Z26" s="11"/>
      <c r="AC26" s="11"/>
      <c r="AI26" s="11"/>
      <c r="AL26" s="28"/>
      <c r="AR26" s="28"/>
    </row>
    <row r="27" spans="1:68">
      <c r="B27" s="11"/>
      <c r="H27" s="11"/>
      <c r="K27" s="11"/>
      <c r="Q27" s="11"/>
      <c r="T27" s="11"/>
      <c r="Z27" s="11"/>
      <c r="AC27" s="11"/>
      <c r="AI27" s="11"/>
      <c r="AL27" s="28"/>
      <c r="AR27" s="28"/>
    </row>
    <row r="28" spans="1:68">
      <c r="B28" s="11"/>
      <c r="H28" s="11"/>
      <c r="K28" s="11"/>
      <c r="Q28" s="11"/>
      <c r="T28" s="11"/>
      <c r="Z28" s="11"/>
      <c r="AC28" s="11"/>
      <c r="AI28" s="11"/>
      <c r="AL28" s="28"/>
      <c r="AR28" s="28"/>
    </row>
    <row r="29" spans="1:68">
      <c r="B29" s="11"/>
      <c r="H29" s="11"/>
      <c r="K29" s="11"/>
      <c r="Q29" s="11"/>
      <c r="T29" s="11"/>
      <c r="Z29" s="11"/>
      <c r="AC29" s="11"/>
      <c r="AI29" s="11"/>
      <c r="AL29" s="28"/>
      <c r="AR29" s="28"/>
    </row>
    <row r="30" spans="1:68">
      <c r="B30" s="11"/>
      <c r="H30" s="11"/>
      <c r="K30" s="11"/>
      <c r="Q30" s="11"/>
      <c r="T30" s="11"/>
      <c r="Z30" s="11"/>
      <c r="AC30" s="11"/>
      <c r="AI30" s="11"/>
      <c r="AL30" s="28"/>
      <c r="AR30" s="28"/>
    </row>
    <row r="31" spans="1:68">
      <c r="B31" s="11"/>
      <c r="H31" s="11"/>
      <c r="K31" s="11"/>
      <c r="Q31" s="11"/>
      <c r="T31" s="11"/>
      <c r="Z31" s="11"/>
      <c r="AC31" s="11"/>
      <c r="AI31" s="11"/>
      <c r="AL31" s="28"/>
      <c r="AR31" s="28"/>
    </row>
    <row r="32" spans="1:68">
      <c r="B32" s="11"/>
      <c r="H32" s="11"/>
      <c r="K32" s="11"/>
      <c r="Q32" s="11"/>
      <c r="T32" s="11"/>
      <c r="Z32" s="11"/>
      <c r="AC32" s="11"/>
      <c r="AI32" s="11"/>
      <c r="AL32" s="28"/>
      <c r="AR32" s="28"/>
    </row>
    <row r="33" spans="1:68">
      <c r="B33" s="11"/>
      <c r="D33" s="10" t="s">
        <v>429</v>
      </c>
      <c r="H33" s="11"/>
      <c r="K33" s="11"/>
      <c r="M33" s="10" t="s">
        <v>430</v>
      </c>
      <c r="Q33" s="11"/>
      <c r="T33" s="11"/>
      <c r="V33" s="10" t="s">
        <v>431</v>
      </c>
      <c r="Z33" s="11"/>
      <c r="AC33" s="11"/>
      <c r="AE33" s="10" t="s">
        <v>432</v>
      </c>
      <c r="AI33" s="11"/>
      <c r="AL33" s="28"/>
      <c r="AN33" s="10" t="s">
        <v>581</v>
      </c>
      <c r="AR33" s="28"/>
    </row>
    <row r="34" spans="1:68">
      <c r="B34" s="11"/>
      <c r="D34" s="10" t="s">
        <v>548</v>
      </c>
      <c r="H34" s="11"/>
      <c r="K34" s="11"/>
      <c r="M34" s="10" t="s">
        <v>549</v>
      </c>
      <c r="Q34" s="11"/>
      <c r="T34" s="11"/>
      <c r="V34" s="10" t="s">
        <v>550</v>
      </c>
      <c r="Z34" s="11"/>
      <c r="AC34" s="11"/>
      <c r="AE34" s="10" t="s">
        <v>551</v>
      </c>
      <c r="AI34" s="11"/>
      <c r="AL34" s="28"/>
      <c r="AN34" s="10" t="s">
        <v>578</v>
      </c>
      <c r="AR34" s="28"/>
    </row>
    <row r="35" spans="1:68">
      <c r="B35" s="11"/>
      <c r="H35" s="11"/>
      <c r="K35" s="11"/>
      <c r="Q35" s="11"/>
      <c r="T35" s="11"/>
      <c r="Z35" s="11"/>
      <c r="AC35" s="11"/>
      <c r="AI35" s="11"/>
      <c r="AL35" s="28"/>
      <c r="AR35" s="28"/>
    </row>
    <row r="36" spans="1:68">
      <c r="B36" s="11"/>
      <c r="D36" s="27" t="str">
        <f>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en cambio ",D1013," ",E1013,", también ",D1014," ",E1014,", así ",D1015," ",E1015,", mismo ",D1016," ",E1016,", con motivo ",D1017," ",E1017,", también ",D1018," ",E1018,", aunque ",D1019," ",E1019, ", ","asi mismo ",D1020," ",E1020,","," por todas estas razones, es que la variable ",E1001," basado en su dimensión ",E1002," y calificado por los ",E1003," es considerado como ",E1008,".")</f>
        <v>0</v>
      </c>
      <c r="E36" s="35"/>
      <c r="F36" s="35"/>
      <c r="G36" s="35"/>
      <c r="H36" s="36"/>
      <c r="I36" s="35"/>
      <c r="J36" s="35"/>
      <c r="K36" s="11"/>
      <c r="L36" s="35"/>
      <c r="M36" s="27" t="str">
        <f>CONCATENATE("En la ",M5," y ",M33," se puede observar que la variable ",N1001," en base a su dimensión ",N1002," es calificado como ",N1008," ya que el ",ROUND(M1006*100,0),"% de los resultados lo califican como ",M1005,", el ",ROUND(N1006*100,0),"% ",N1005," y el ",ROUND(O1006*100,0),"% lo califico como ",O1005," estos resultados son originados debido a que, ",M1011," ",N1011,",","asi mismo ",M1012," ",N1012,", en cambio ",M1013," ",N1013,", de nuevo ",M1014," ",N1014,", incluso ",M1015," ",N1015,", por su parte ",M1016," ",N1016,", de nuevo ",M1017," ",N1017,", no obstante ",M1018," ",N1018,", así ",M1019," ",N1019,", también ",M1020," ",N1020,", con motivo ",M1021," ",N1021,", incluso ",M1022," ",N1022,", así ",M1023," ",N1023,", mismo ",M1024," ",N1024,", así ",M1025," ",N1025,", no obstante ",M1026," ",N1026,", con motivo ",M1027," ",N1027,", aunque ",M1028," ",N1028, ", ","asi mismo ",M1029," ",N1029,","," por todas estas razones, es que la variable ",N1001," basado en su dimensión ",N1002," y calificado por los ",N1003," es considerado como ",N1008,".")</f>
        <v>0</v>
      </c>
      <c r="N36" s="35"/>
      <c r="O36" s="35"/>
      <c r="P36" s="35"/>
      <c r="Q36" s="36"/>
      <c r="R36" s="35"/>
      <c r="S36" s="35"/>
      <c r="T36" s="11"/>
      <c r="U36" s="35"/>
      <c r="V36" s="27" t="str">
        <f>CONCATENATE("En la ",V5," y ",V33," se puede observar que la variable ",W1001," en base a su dimensión ",W1002," es calificado como ",W1008," ya que el ",ROUND(V1006*100,0),"% de los resultados lo califican como ",V1005,", el ",ROUND(W1006*100,0),"% ",W1005," y el ",ROUND(X1006*100,0),"% lo califico como ",X1005," estos resultados son originados debido a que, ",V1011," ",W1011,",","asi mismo ",V1012," ",W1012,", también ",V1013," ",W1013,", con motivo ",V1014," ",W1014,", también ",V1015," ",W1015, ", ","asi mismo ",V1016," ",W1016,","," por todas estas razones, es que la variable ",W1001," basado en su dimensión ",W1002," y calificado por los ",W1003," es considerado como ",W1008,".")</f>
        <v>0</v>
      </c>
      <c r="W36" s="35"/>
      <c r="X36" s="35"/>
      <c r="Y36" s="35"/>
      <c r="Z36" s="36"/>
      <c r="AA36" s="35"/>
      <c r="AB36" s="35"/>
      <c r="AC36" s="11"/>
      <c r="AD36" s="35"/>
      <c r="AE36" s="27" t="str">
        <f>CONCATENATE("En la ",AE5," y ",AE33," se puede observar que la variable ",AF1001," en base a su dimensión ",AF1002," es calificado como ",AF1008," ya que el ",ROUND(AE1006*100,0),"% de los resultados lo califican como ",AE1005,", el ",ROUND(AF1006*100,0),"% ",AF1005," y el ",ROUND(AG1006*100,0),"% lo califico como ",AG1005," estos resultados son originados debido a que, ",AE1011," ",AF1011,",","asi mismo ",AE1012," ",AF1012,", en cambio ",AE1013," ",AF1013,", con motivo ",AE1014," ",AF1014, ", ","asi mismo ",AE1015," ",AF1015,","," por todas estas razones, es que la variable ",AF1001," basado en su dimensión ",AF1002," y calificado por los ",AF1003," es considerado como ",AF1008,".")</f>
        <v>0</v>
      </c>
      <c r="AF36" s="35"/>
      <c r="AG36" s="35"/>
      <c r="AH36" s="35"/>
      <c r="AI36" s="36"/>
      <c r="AJ36" s="35"/>
      <c r="AK36" s="35"/>
      <c r="AL36" s="28"/>
      <c r="AM36" s="35"/>
      <c r="AN36" s="27" t="str">
        <f>CONCATENATE("En la ",AN5," y ",AN33," se puede observar que la variable ",AO1001," tiene una calificación de ",AO1008,","," ello debido a que el ",ROUND(AO1006*100,0),"% de los resultados estan en las categorias de ",AN1005," mientras que el ",ROUND(AO1006*100,0),"% ",AO1005," y el ",ROUND(AP1006*100,0),"% ",AP1005," en tal sentido se puede observar que la mayoria de los resultados es decir el ",ROUND(AQ1007*100,0),"% tiene una calificación inclinada para un valor ",AO1008," estos resultados se originaron debido a que ",AY1016," ",AY1017," ",AY1018," ",AY1019,", finalmente dentro de las dimensiones evaluadas la que cuenta con mayor deficiencia es la dimensión ",AM1076,)</f>
        <v>0</v>
      </c>
      <c r="AO36" s="35"/>
      <c r="AP36" s="35"/>
      <c r="AQ36" s="35"/>
      <c r="AR36" s="37"/>
      <c r="AS36" s="35"/>
      <c r="AT36" s="35"/>
      <c r="AU36" s="35"/>
      <c r="AV36" s="35"/>
      <c r="AW36" s="35"/>
      <c r="AX36" s="35"/>
      <c r="AY36" s="35"/>
      <c r="AZ36" s="35"/>
      <c r="BA36" s="35"/>
      <c r="BB36" s="35"/>
      <c r="BC36" s="35"/>
      <c r="BD36" s="35"/>
      <c r="BE36" s="35"/>
      <c r="BF36" s="35"/>
      <c r="BG36" s="35"/>
      <c r="BH36" s="35"/>
      <c r="BI36" s="35"/>
      <c r="BJ36" s="35"/>
      <c r="BK36" s="35"/>
    </row>
    <row r="37" spans="1:68">
      <c r="B37" s="11"/>
      <c r="H37" s="11"/>
      <c r="K37" s="11"/>
      <c r="Q37" s="11"/>
      <c r="T37" s="11"/>
      <c r="Z37" s="11"/>
      <c r="AC37" s="11"/>
      <c r="AI37" s="11"/>
      <c r="AL37" s="28"/>
      <c r="AR37" s="28"/>
    </row>
    <row r="38" spans="1:68">
      <c r="B38" s="11"/>
      <c r="H38" s="11"/>
      <c r="K38" s="11"/>
      <c r="Q38" s="11"/>
      <c r="T38" s="11"/>
      <c r="Z38" s="11"/>
      <c r="AC38" s="11"/>
      <c r="AI38" s="11"/>
      <c r="AL38" s="28"/>
      <c r="AR38" s="28"/>
    </row>
    <row r="39" spans="1:68">
      <c r="B39" s="11"/>
      <c r="H39" s="11"/>
      <c r="K39" s="11"/>
      <c r="Q39" s="11"/>
      <c r="T39" s="11"/>
      <c r="Z39" s="11"/>
      <c r="AC39" s="11"/>
      <c r="AI39" s="11"/>
      <c r="AL39" s="28"/>
      <c r="AR39" s="28"/>
    </row>
    <row r="1001" spans="1:68">
      <c r="D1001" s="10" t="s">
        <v>405</v>
      </c>
      <c r="E1001" s="10" t="str">
        <f>(AN6)</f>
        <v>0</v>
      </c>
      <c r="M1001" s="10" t="s">
        <v>405</v>
      </c>
      <c r="N1001" s="10" t="str">
        <f>(AN6)</f>
        <v>0</v>
      </c>
      <c r="V1001" s="10" t="s">
        <v>405</v>
      </c>
      <c r="W1001" s="10" t="str">
        <f>(AN6)</f>
        <v>0</v>
      </c>
      <c r="AE1001" s="10" t="s">
        <v>405</v>
      </c>
      <c r="AF1001" s="10" t="str">
        <f>(AN6)</f>
        <v>0</v>
      </c>
      <c r="AN1001" s="10" t="s">
        <v>405</v>
      </c>
      <c r="AO1001" s="10" t="str">
        <f>(AN6)</f>
        <v>0</v>
      </c>
    </row>
    <row r="1002" spans="1:68">
      <c r="D1002" s="10" t="s">
        <v>434</v>
      </c>
      <c r="E1002" s="10" t="str">
        <f>(D6)</f>
        <v>0</v>
      </c>
      <c r="M1002" s="10" t="s">
        <v>434</v>
      </c>
      <c r="N1002" s="10" t="str">
        <f>(M6)</f>
        <v>0</v>
      </c>
      <c r="V1002" s="10" t="s">
        <v>434</v>
      </c>
      <c r="W1002" s="10" t="str">
        <f>(V6)</f>
        <v>0</v>
      </c>
      <c r="AE1002" s="10" t="s">
        <v>434</v>
      </c>
      <c r="AF1002" s="10" t="str">
        <f>(AE6)</f>
        <v>0</v>
      </c>
      <c r="AN1002" s="10" t="s">
        <v>434</v>
      </c>
      <c r="AO1002" s="10" t="str">
        <f>(AN6)</f>
        <v>0</v>
      </c>
    </row>
    <row r="1003" spans="1:68">
      <c r="D1003" s="10" t="s">
        <v>544</v>
      </c>
      <c r="E1003" s="10" t="s">
        <v>435</v>
      </c>
      <c r="M1003" s="10" t="s">
        <v>544</v>
      </c>
      <c r="N1003" s="10" t="s">
        <v>435</v>
      </c>
      <c r="V1003" s="10" t="s">
        <v>544</v>
      </c>
      <c r="W1003" s="10" t="s">
        <v>435</v>
      </c>
      <c r="AE1003" s="10" t="s">
        <v>544</v>
      </c>
      <c r="AF1003" s="10" t="s">
        <v>435</v>
      </c>
      <c r="AN1003" s="10" t="s">
        <v>544</v>
      </c>
      <c r="AO1003" s="10" t="s">
        <v>435</v>
      </c>
    </row>
    <row r="1004" spans="1:68">
      <c r="C1004" s="10" t="s">
        <v>441</v>
      </c>
      <c r="D1004" s="10" t="s">
        <v>579</v>
      </c>
      <c r="E1004" s="10" t="s">
        <v>425</v>
      </c>
      <c r="F1004" s="10" t="s">
        <v>580</v>
      </c>
      <c r="L1004" s="10" t="s">
        <v>441</v>
      </c>
      <c r="M1004" s="10" t="s">
        <v>579</v>
      </c>
      <c r="N1004" s="10" t="s">
        <v>425</v>
      </c>
      <c r="O1004" s="10" t="s">
        <v>580</v>
      </c>
      <c r="U1004" s="10" t="s">
        <v>441</v>
      </c>
      <c r="V1004" s="10" t="s">
        <v>579</v>
      </c>
      <c r="W1004" s="10" t="s">
        <v>425</v>
      </c>
      <c r="X1004" s="10" t="s">
        <v>580</v>
      </c>
      <c r="AD1004" s="10" t="s">
        <v>441</v>
      </c>
      <c r="AE1004" s="10" t="s">
        <v>579</v>
      </c>
      <c r="AF1004" s="10" t="s">
        <v>425</v>
      </c>
      <c r="AG1004" s="10" t="s">
        <v>580</v>
      </c>
      <c r="AM1004" s="10" t="s">
        <v>441</v>
      </c>
      <c r="AN1004" s="10" t="s">
        <v>579</v>
      </c>
      <c r="AO1004" s="10" t="s">
        <v>425</v>
      </c>
      <c r="AP1004" s="10" t="s">
        <v>580</v>
      </c>
    </row>
    <row r="1005" spans="1:68">
      <c r="C1005" s="10" t="s">
        <v>419</v>
      </c>
      <c r="D1005" s="10" t="str">
        <f>CONCATENATE(D8," y ",D9)</f>
        <v>0</v>
      </c>
      <c r="E1005" s="10" t="str">
        <f>D10</f>
        <v>0</v>
      </c>
      <c r="F1005" s="10" t="str">
        <f>CONCATENATE(D11," y ",D12)</f>
        <v>0</v>
      </c>
      <c r="L1005" s="10" t="s">
        <v>419</v>
      </c>
      <c r="M1005" s="10" t="str">
        <f>CONCATENATE(M8," y ",M9)</f>
        <v>0</v>
      </c>
      <c r="N1005" s="10" t="str">
        <f>M10</f>
        <v>0</v>
      </c>
      <c r="O1005" s="10" t="str">
        <f>CONCATENATE(M11," y ",M12)</f>
        <v>0</v>
      </c>
      <c r="U1005" s="10" t="s">
        <v>419</v>
      </c>
      <c r="V1005" s="10" t="str">
        <f>CONCATENATE(V8," y ",V9)</f>
        <v>0</v>
      </c>
      <c r="W1005" s="10" t="str">
        <f>V10</f>
        <v>0</v>
      </c>
      <c r="X1005" s="10" t="str">
        <f>CONCATENATE(V11," y ",V12)</f>
        <v>0</v>
      </c>
      <c r="AD1005" s="10" t="s">
        <v>419</v>
      </c>
      <c r="AE1005" s="10" t="str">
        <f>CONCATENATE(AE8," y ",AE9)</f>
        <v>0</v>
      </c>
      <c r="AF1005" s="10" t="str">
        <f>AE10</f>
        <v>0</v>
      </c>
      <c r="AG1005" s="10" t="str">
        <f>CONCATENATE(AE11," y ",AE12)</f>
        <v>0</v>
      </c>
      <c r="AM1005" s="10" t="s">
        <v>419</v>
      </c>
      <c r="AN1005" s="10" t="str">
        <f>CONCATENATE(AN8," y ",AN9)</f>
        <v>0</v>
      </c>
      <c r="AO1005" s="10" t="str">
        <f>AN10</f>
        <v>0</v>
      </c>
      <c r="AP1005" s="10" t="str">
        <f>CONCATENATE(AN11," y ",AN12)</f>
        <v>0</v>
      </c>
    </row>
    <row r="1006" spans="1:68">
      <c r="D1006" s="14" t="str">
        <f>SUM(F8:F9)</f>
        <v>0</v>
      </c>
      <c r="E1006" s="14" t="str">
        <f>F10</f>
        <v>0</v>
      </c>
      <c r="F1006" s="14" t="str">
        <f>SUM(F11:F12)</f>
        <v>0</v>
      </c>
      <c r="M1006" s="14" t="str">
        <f>SUM(O8:O9)</f>
        <v>0</v>
      </c>
      <c r="N1006" s="14" t="str">
        <f>O10</f>
        <v>0</v>
      </c>
      <c r="O1006" s="14" t="str">
        <f>SUM(O11:O12)</f>
        <v>0</v>
      </c>
      <c r="V1006" s="14" t="str">
        <f>SUM(X8:X9)</f>
        <v>0</v>
      </c>
      <c r="W1006" s="14" t="str">
        <f>X10</f>
        <v>0</v>
      </c>
      <c r="X1006" s="14" t="str">
        <f>SUM(X11:X12)</f>
        <v>0</v>
      </c>
      <c r="AE1006" s="14" t="str">
        <f>SUM(AG8:AG9)</f>
        <v>0</v>
      </c>
      <c r="AF1006" s="14" t="str">
        <f>AG10</f>
        <v>0</v>
      </c>
      <c r="AG1006" s="14" t="str">
        <f>SUM(AG11:AG12)</f>
        <v>0</v>
      </c>
      <c r="AN1006" s="14" t="str">
        <f>SUM(AP8:AP9)</f>
        <v>0</v>
      </c>
      <c r="AO1006" s="14" t="str">
        <f>AP10</f>
        <v>0</v>
      </c>
      <c r="AP1006" s="14" t="str">
        <f>SUM(AP11:AP12)</f>
        <v>0</v>
      </c>
    </row>
    <row r="1007" spans="1:68">
      <c r="C1007" s="10" t="s">
        <v>545</v>
      </c>
      <c r="D1007" s="14" t="str">
        <f>SUM(D1006:E1006)</f>
        <v>0</v>
      </c>
      <c r="E1007" s="14" t="str">
        <f>SUM(E1006:F1006)</f>
        <v>0</v>
      </c>
      <c r="F1007" s="14" t="str">
        <f>(D1007-E1007)</f>
        <v>0</v>
      </c>
      <c r="L1007" s="10" t="s">
        <v>545</v>
      </c>
      <c r="M1007" s="14" t="str">
        <f>SUM(M1006:N1006)</f>
        <v>0</v>
      </c>
      <c r="N1007" s="14" t="str">
        <f>SUM(N1006:O1006)</f>
        <v>0</v>
      </c>
      <c r="O1007" s="14" t="str">
        <f>(M1007-N1007)</f>
        <v>0</v>
      </c>
      <c r="U1007" s="10" t="s">
        <v>545</v>
      </c>
      <c r="V1007" s="14" t="str">
        <f>SUM(V1006:W1006)</f>
        <v>0</v>
      </c>
      <c r="W1007" s="14" t="str">
        <f>SUM(W1006:X1006)</f>
        <v>0</v>
      </c>
      <c r="X1007" s="14" t="str">
        <f>(V1007-W1007)</f>
        <v>0</v>
      </c>
      <c r="AD1007" s="10" t="s">
        <v>545</v>
      </c>
      <c r="AE1007" s="14" t="str">
        <f>SUM(AE1006:AF1006)</f>
        <v>0</v>
      </c>
      <c r="AF1007" s="14" t="str">
        <f>SUM(AF1006:AG1006)</f>
        <v>0</v>
      </c>
      <c r="AG1007" s="14" t="str">
        <f>(AE1007-AF1007)</f>
        <v>0</v>
      </c>
      <c r="AM1007" s="10" t="s">
        <v>545</v>
      </c>
      <c r="AN1007" s="14" t="str">
        <f>SUM(AN1006:AO1006)</f>
        <v>0</v>
      </c>
      <c r="AO1007" s="14" t="str">
        <f>SUM(AO1006:AP1006)</f>
        <v>0</v>
      </c>
      <c r="AP1007" s="14" t="str">
        <f>(AN1007-AO1007)</f>
        <v>0</v>
      </c>
      <c r="AQ1007" s="14" t="str">
        <f>MAX(AN1007:AO1007)</f>
        <v>0</v>
      </c>
    </row>
    <row r="1008" spans="1:68">
      <c r="D1008" s="10" t="s">
        <v>546</v>
      </c>
      <c r="E1008" t="str">
        <f>IF(AND(F1007&gt;=-5%,F1007&lt;=5%),E1004,IF(F1007&gt;=6%,D1004,IF(F1007&lt;=-5%,F1004,E1004)))</f>
        <v>0</v>
      </c>
      <c r="M1008" s="10" t="s">
        <v>546</v>
      </c>
      <c r="N1008" t="str">
        <f>IF(AND(O1007&gt;=-5%,O1007&lt;=5%),N1004,IF(O1007&gt;=6%,M1004,IF(O1007&lt;=-5%,O1004,N1004)))</f>
        <v>0</v>
      </c>
      <c r="V1008" s="10" t="s">
        <v>546</v>
      </c>
      <c r="W1008" t="str">
        <f>IF(AND(X1007&gt;=-5%,X1007&lt;=5%),W1004,IF(X1007&gt;=6%,V1004,IF(X1007&lt;=-5%,X1004,W1004)))</f>
        <v>0</v>
      </c>
      <c r="AE1008" s="10" t="s">
        <v>546</v>
      </c>
      <c r="AF1008" t="str">
        <f>IF(AND(AG1007&gt;=-5%,AG1007&lt;=5%),AF1004,IF(AG1007&gt;=6%,AE1004,IF(AG1007&lt;=-5%,AG1004,AF1004)))</f>
        <v>0</v>
      </c>
      <c r="AN1008" s="10" t="s">
        <v>546</v>
      </c>
      <c r="AO1008" t="str">
        <f>IF(AND(AP1007&gt;=-5%,AP1007&lt;=5%),AO1004,IF(AP1007&gt;=6%,AN1004,IF(AP1007&lt;=-5%,AP1004,AO1004)))</f>
        <v>0</v>
      </c>
    </row>
    <row r="1011" spans="1:68">
      <c r="D1011" s="10" t="str">
        <f>'Por Valoracion (3) Dimension 2'!W1016</f>
        <v>0</v>
      </c>
      <c r="E1011" s="10" t="str">
        <f>'Por Valoracion (3) Dimension 2'!O1016</f>
        <v>0</v>
      </c>
      <c r="M1011" s="10" t="str">
        <f>'Por Valoracion (3) Dimension 2'!AI1016</f>
        <v>0</v>
      </c>
      <c r="N1011" s="10" t="str">
        <f>'Por Valoracion (3) Dimension 2'!AA1016</f>
        <v>0</v>
      </c>
      <c r="V1011" s="10" t="str">
        <f>'Por Valoracion (3) Dimension 2'!AU1016</f>
        <v>0</v>
      </c>
      <c r="W1011" s="10" t="str">
        <f>'Por Valoracion (3) Dimension 2'!AM1016</f>
        <v>0</v>
      </c>
      <c r="AE1011" s="10" t="str">
        <f>'Por Valoracion (3) Dimension 2'!BG1016</f>
        <v>0</v>
      </c>
      <c r="AF1011" s="10" t="str">
        <f>'Por Valoracion (3) Dimension 2'!AY1016</f>
        <v>0</v>
      </c>
    </row>
    <row r="1012" spans="1:68">
      <c r="D1012" s="10" t="str">
        <f>'Por Valoracion (3) Dimension 2'!W1017</f>
        <v>0</v>
      </c>
      <c r="E1012" s="10" t="str">
        <f>'Por Valoracion (3) Dimension 2'!O1017</f>
        <v>0</v>
      </c>
      <c r="M1012" s="10" t="str">
        <f>'Por Valoracion (3) Dimension 2'!AI1017</f>
        <v>0</v>
      </c>
      <c r="N1012" s="10" t="str">
        <f>'Por Valoracion (3) Dimension 2'!AA1017</f>
        <v>0</v>
      </c>
      <c r="V1012" s="10" t="str">
        <f>'Por Valoracion (3) Dimension 2'!AU1017</f>
        <v>0</v>
      </c>
      <c r="W1012" s="10" t="str">
        <f>'Por Valoracion (3) Dimension 2'!AM1017</f>
        <v>0</v>
      </c>
      <c r="AE1012" s="10" t="str">
        <f>'Por Valoracion (3) Dimension 2'!BG1017</f>
        <v>0</v>
      </c>
      <c r="AF1012" s="10" t="str">
        <f>'Por Valoracion (3) Dimension 2'!AY1017</f>
        <v>0</v>
      </c>
    </row>
    <row r="1013" spans="1:68">
      <c r="D1013" s="10" t="str">
        <f>'Por Valoracion (3) Dimension 2'!W1018</f>
        <v>0</v>
      </c>
      <c r="E1013" s="10" t="str">
        <f>'Por Valoracion (3) Dimension 2'!O1018</f>
        <v>0</v>
      </c>
      <c r="M1013" s="10" t="str">
        <f>'Por Valoracion (3) Dimension 2'!AI1018</f>
        <v>0</v>
      </c>
      <c r="N1013" s="10" t="str">
        <f>'Por Valoracion (3) Dimension 2'!AA1018</f>
        <v>0</v>
      </c>
      <c r="V1013" s="10" t="str">
        <f>'Por Valoracion (3) Dimension 2'!AU1018</f>
        <v>0</v>
      </c>
      <c r="W1013" s="10" t="str">
        <f>'Por Valoracion (3) Dimension 2'!AM1018</f>
        <v>0</v>
      </c>
      <c r="AE1013" s="10" t="str">
        <f>'Por Valoracion (3) Dimension 2'!BG1018</f>
        <v>0</v>
      </c>
      <c r="AF1013" s="10" t="str">
        <f>'Por Valoracion (3) Dimension 2'!AY1018</f>
        <v>0</v>
      </c>
    </row>
    <row r="1014" spans="1:68">
      <c r="D1014" s="10" t="str">
        <f>'Por Valoracion (3) Dimension 2'!W1019</f>
        <v>0</v>
      </c>
      <c r="E1014" s="10" t="str">
        <f>'Por Valoracion (3) Dimension 2'!O1019</f>
        <v>0</v>
      </c>
      <c r="M1014" s="10" t="str">
        <f>'Por Valoracion (3) Dimension 2'!AI1019</f>
        <v>0</v>
      </c>
      <c r="N1014" s="10" t="str">
        <f>'Por Valoracion (3) Dimension 2'!AA1019</f>
        <v>0</v>
      </c>
      <c r="V1014" s="10" t="str">
        <f>'Por Valoracion (3) Dimension 2'!AU1019</f>
        <v>0</v>
      </c>
      <c r="W1014" s="10" t="str">
        <f>'Por Valoracion (3) Dimension 2'!AM1019</f>
        <v>0</v>
      </c>
      <c r="AE1014" s="10" t="str">
        <f>'Por Valoracion (3) Dimension 2'!BG1019</f>
        <v>0</v>
      </c>
      <c r="AF1014" s="10" t="str">
        <f>'Por Valoracion (3) Dimension 2'!AY1019</f>
        <v>0</v>
      </c>
    </row>
    <row r="1015" spans="1:68">
      <c r="D1015" s="10" t="str">
        <f>'Por Valoracion (3) Dimension 2'!W1020</f>
        <v>0</v>
      </c>
      <c r="E1015" s="10" t="str">
        <f>'Por Valoracion (3) Dimension 2'!O1020</f>
        <v>0</v>
      </c>
      <c r="M1015" s="10" t="str">
        <f>'Por Valoracion (3) Dimension 2'!AI1020</f>
        <v>0</v>
      </c>
      <c r="N1015" s="10" t="str">
        <f>'Por Valoracion (3) Dimension 2'!AA1020</f>
        <v>0</v>
      </c>
      <c r="V1015" s="10" t="str">
        <f>'Por Valoracion (3) Dimension 2'!AU1020</f>
        <v>0</v>
      </c>
      <c r="W1015" s="10" t="str">
        <f>'Por Valoracion (3) Dimension 2'!AM1020</f>
        <v>0</v>
      </c>
      <c r="AE1015" s="10" t="str">
        <f>'Por Valoracion (3) Dimension 2'!BG1020</f>
        <v>0</v>
      </c>
      <c r="AF1015" s="10" t="str">
        <f>'Por Valoracion (3) Dimension 2'!AY1020</f>
        <v>0</v>
      </c>
      <c r="AM1015" s="10" t="s">
        <v>445</v>
      </c>
      <c r="AN1015" s="10" t="str">
        <f>AN1005</f>
        <v>0</v>
      </c>
      <c r="AO1015" s="10" t="str">
        <f>AO1005</f>
        <v>0</v>
      </c>
      <c r="AP1015" s="10" t="str">
        <f>AP1005</f>
        <v>0</v>
      </c>
      <c r="AQ1015" s="10" t="s">
        <v>547</v>
      </c>
      <c r="AR1015" s="10" t="s">
        <v>446</v>
      </c>
      <c r="AS1015" s="10" t="s">
        <v>447</v>
      </c>
      <c r="AT1015" s="10" t="s">
        <v>448</v>
      </c>
      <c r="AU1015" s="10" t="s">
        <v>449</v>
      </c>
      <c r="AV1015" s="10" t="s">
        <v>450</v>
      </c>
      <c r="AW1015" s="10" t="s">
        <v>451</v>
      </c>
      <c r="AX1015" s="10" t="s">
        <v>452</v>
      </c>
      <c r="AY1015" s="10" t="s">
        <v>444</v>
      </c>
      <c r="AZ1015" s="10"/>
      <c r="BA1015" s="10"/>
      <c r="BB1015" s="10"/>
      <c r="BC1015" s="10"/>
      <c r="BD1015" s="10"/>
      <c r="BE1015" s="10"/>
      <c r="BF1015" s="10"/>
      <c r="BG1015" s="10"/>
      <c r="BH1015" s="10"/>
      <c r="BI1015" s="10"/>
      <c r="BJ1015" s="10"/>
      <c r="BK1015" s="10"/>
      <c r="BL1015" s="10"/>
      <c r="BM1015" s="10"/>
      <c r="BN1015" s="10"/>
      <c r="BO1015" s="10"/>
      <c r="BP1015" s="10"/>
    </row>
    <row r="1016" spans="1:68">
      <c r="D1016" s="10" t="str">
        <f>'Por Valoracion (3) Dimension 2'!W1021</f>
        <v>0</v>
      </c>
      <c r="E1016" s="10" t="str">
        <f>'Por Valoracion (3) Dimension 2'!O1021</f>
        <v>0</v>
      </c>
      <c r="M1016" s="10" t="str">
        <f>'Por Valoracion (3) Dimension 2'!AI1021</f>
        <v>0</v>
      </c>
      <c r="N1016" s="10" t="str">
        <f>'Por Valoracion (3) Dimension 2'!AA1021</f>
        <v>0</v>
      </c>
      <c r="V1016" s="10" t="str">
        <f>'Por Valoracion (3) Dimension 2'!AU1021</f>
        <v>0</v>
      </c>
      <c r="W1016" s="10" t="str">
        <f>'Por Valoracion (3) Dimension 2'!AM1021</f>
        <v>0</v>
      </c>
      <c r="AM1016" s="10" t="str">
        <f>(D6)</f>
        <v>0</v>
      </c>
      <c r="AN1016" s="14" t="str">
        <f>(D1006)</f>
        <v>0</v>
      </c>
      <c r="AO1016" s="14" t="str">
        <f>(E1006)</f>
        <v>0</v>
      </c>
      <c r="AP1016" s="14" t="str">
        <f>(F1006)</f>
        <v>0</v>
      </c>
      <c r="AQ1016" s="14" t="str">
        <f>MAX(AN1016:AP1016)</f>
        <v>0</v>
      </c>
      <c r="AR1016" s="10" t="str">
        <f>IF(AQ1016=AN1016,$AN$1015,IF(AQ1016=AO1016,$AO$1015,IF(AQ1016=AP1016,$AP$1015,"algo esta mal")))</f>
        <v>0</v>
      </c>
      <c r="AS1016" s="10" t="str">
        <f> RANDBETWEEN(1,10)</f>
        <v>0</v>
      </c>
      <c r="AT1016" s="10" t="str">
        <f>IF(AS1016='Por Valoracion (3) Dimension 2'!$BR$1100,'Por Valoracion (3) Dimension 2'!$BS$1100,IF(AS1016='Por Valoracion (3) Dimension 2'!$BR$1101,'Por Valoracion (3) Dimension 2'!$BS$1101,IF(AS1016='Por Valoracion (3) Dimension 2'!$BR$1102,'Por Valoracion (3) Dimension 2'!$BS$1102,IF(AS1016='Por Valoracion (3) Dimension 2'!$BR$1103,'Por Valoracion (3) Dimension 2'!$BS$1103,IF(AS1016='Por Valoracion (3) Dimension 2'!$BR$1104,'Por Valoracion (3) Dimension 2'!$BS$1104,IF(AS1016='Por Valoracion (3) Dimension 2'!$BR$1105,'Por Valoracion (3) Dimension 2'!$BS$1105,IF(AS1016='Por Valoracion (3) Dimension 2'!$BR$1106,'Por Valoracion (3) Dimension 2'!$BS$1106,IF(AS1016='Por Valoracion (3) Dimension 2'!$BR$1107,'Por Valoracion (3) Dimension 2'!$BS$1107,IF(AS1016='Por Valoracion (3) Dimension 2'!$BR$1108,'Por Valoracion (3) Dimension 2'!$BS$1108,IF(AS1016='Por Valoracion (3) Dimension 2'!$BR$1109,'Por Valoracion (3) Dimension 2'!$BS$1109, A4000))))))))))</f>
        <v>0</v>
      </c>
      <c r="AU1016" s="10" t="str">
        <f> RANDBETWEEN(1,7)</f>
        <v>0</v>
      </c>
      <c r="AV1016" s="10" t="str">
        <f>IF(AU1016='Por Valoracion (3) Dimension 2'!$BR$1110,'Por Valoracion (3) Dimension 2'!$BS$1110,IF(AU1016='Por Valoracion (3) Dimension 2'!$BR$1111,'Por Valoracion (3) Dimension 2'!$BS$1111,IF(AU1016='Por Valoracion (3) Dimension 2'!$BR$1112,'Por Valoracion (3) Dimension 2'!$BS$1112,IF(AU1016='Por Valoracion (3) Dimension 2'!$BR$1113,'Por Valoracion (3) Dimension 2'!$BS$1113,IF(AU1016='Por Valoracion (3) Dimension 2'!$BR$1114,'Por Valoracion (3) Dimension 2'!$BS$1114,IF(AU1016='Por Valoracion (3) Dimension 2'!$BR$1115,'Por Valoracion (3) Dimension 2'!$BS$1115,IF(AU1016='Por Valoracion (3) Dimension 2'!$BR$1116,'Por Valoracion (3) Dimension 2'!$BS$1116,IF(AU1016='Por Valoracion (3) Dimension 2'!$BR$1117,'Por Valoracion (3) Dimension 2'!$BS$1117,IF(AU1016='Por Valoracion (3) Dimension 2'!$BR$1118,'Por Valoracion (3) Dimension 2'!$BS$1118,IF(AU1016='Por Valoracion (3) Dimension 2'!$BR$1119,'Por Valoracion (3) Dimension 2'!$BS$1119, A4000))))))))))</f>
        <v>0</v>
      </c>
      <c r="AW1016" s="10" t="str">
        <f> RANDBETWEEN(1,2)</f>
        <v>0</v>
      </c>
      <c r="AX1016" s="10" t="str">
        <f>IF(AW1016='Por Valoracion (3) Dimension 2'!$BR$1120,'Por Valoracion (3) Dimension 2'!$BS$1120,IF(AW1016='Por Valoracion (3) Dimension 2'!$BR$1121,'Por Valoracion (3) Dimension 2'!$BS$1121,A4000))</f>
        <v>0</v>
      </c>
      <c r="AY1016" s="10" t="str">
        <f>CONCATENATE("el ",ROUND(AQ1016*100,0),"% de los ",AX1016," ",AT1016," a la dimensión ",AM1016," como ",AR1016,", ",AV1016)</f>
        <v>0</v>
      </c>
    </row>
    <row r="1017" spans="1:68">
      <c r="D1017" s="10" t="str">
        <f>'Por Valoracion (3) Dimension 2'!W1022</f>
        <v>0</v>
      </c>
      <c r="E1017" s="10" t="str">
        <f>'Por Valoracion (3) Dimension 2'!O1022</f>
        <v>0</v>
      </c>
      <c r="M1017" s="10" t="str">
        <f>'Por Valoracion (3) Dimension 2'!AI1022</f>
        <v>0</v>
      </c>
      <c r="N1017" s="10" t="str">
        <f>'Por Valoracion (3) Dimension 2'!AA1022</f>
        <v>0</v>
      </c>
      <c r="AM1017" s="10" t="str">
        <f>(M6)</f>
        <v>0</v>
      </c>
      <c r="AN1017" s="14" t="str">
        <f>(M1006)</f>
        <v>0</v>
      </c>
      <c r="AO1017" s="14" t="str">
        <f>(N1006)</f>
        <v>0</v>
      </c>
      <c r="AP1017" s="14" t="str">
        <f>(O1006)</f>
        <v>0</v>
      </c>
      <c r="AQ1017" s="14" t="str">
        <f>MAX(AN1017:AP1017)</f>
        <v>0</v>
      </c>
      <c r="AR1017" s="10" t="str">
        <f>IF(AQ1017=AN1017,$AN$1015,IF(AQ1017=AO1017,$AO$1015,IF(AQ1017=AP1017,$AP$1015,"algo esta mal")))</f>
        <v>0</v>
      </c>
      <c r="AS1017" s="10" t="str">
        <f> RANDBETWEEN(1,10)</f>
        <v>0</v>
      </c>
      <c r="AT1017" s="10" t="str">
        <f>IF(AS1017='Por Valoracion (3) Dimension 2'!$BR$1100,'Por Valoracion (3) Dimension 2'!$BS$1100,IF(AS1017='Por Valoracion (3) Dimension 2'!$BR$1101,'Por Valoracion (3) Dimension 2'!$BS$1101,IF(AS1017='Por Valoracion (3) Dimension 2'!$BR$1102,'Por Valoracion (3) Dimension 2'!$BS$1102,IF(AS1017='Por Valoracion (3) Dimension 2'!$BR$1103,'Por Valoracion (3) Dimension 2'!$BS$1103,IF(AS1017='Por Valoracion (3) Dimension 2'!$BR$1104,'Por Valoracion (3) Dimension 2'!$BS$1104,IF(AS1017='Por Valoracion (3) Dimension 2'!$BR$1105,'Por Valoracion (3) Dimension 2'!$BS$1105,IF(AS1017='Por Valoracion (3) Dimension 2'!$BR$1106,'Por Valoracion (3) Dimension 2'!$BS$1106,IF(AS1017='Por Valoracion (3) Dimension 2'!$BR$1107,'Por Valoracion (3) Dimension 2'!$BS$1107,IF(AS1017='Por Valoracion (3) Dimension 2'!$BR$1108,'Por Valoracion (3) Dimension 2'!$BS$1108,IF(AS1017='Por Valoracion (3) Dimension 2'!$BR$1109,'Por Valoracion (3) Dimension 2'!$BS$1109, A4000))))))))))</f>
        <v>0</v>
      </c>
      <c r="AU1017" s="10" t="str">
        <f> RANDBETWEEN(1,7)</f>
        <v>0</v>
      </c>
      <c r="AV1017" s="10" t="str">
        <f>IF(AU1017='Por Valoracion (3) Dimension 2'!$BR$1110,'Por Valoracion (3) Dimension 2'!$BS$1110,IF(AU1017='Por Valoracion (3) Dimension 2'!$BR$1111,'Por Valoracion (3) Dimension 2'!$BS$1111,IF(AU1017='Por Valoracion (3) Dimension 2'!$BR$1112,'Por Valoracion (3) Dimension 2'!$BS$1112,IF(AU1017='Por Valoracion (3) Dimension 2'!$BR$1113,'Por Valoracion (3) Dimension 2'!$BS$1113,IF(AU1017='Por Valoracion (3) Dimension 2'!$BR$1114,'Por Valoracion (3) Dimension 2'!$BS$1114,IF(AU1017='Por Valoracion (3) Dimension 2'!$BR$1115,'Por Valoracion (3) Dimension 2'!$BS$1115,IF(AU1017='Por Valoracion (3) Dimension 2'!$BR$1116,'Por Valoracion (3) Dimension 2'!$BS$1116,IF(AU1017='Por Valoracion (3) Dimension 2'!$BR$1117,'Por Valoracion (3) Dimension 2'!$BS$1117,IF(AU1017='Por Valoracion (3) Dimension 2'!$BR$1118,'Por Valoracion (3) Dimension 2'!$BS$1118,IF(AU1017='Por Valoracion (3) Dimension 2'!$BR$1119,'Por Valoracion (3) Dimension 2'!$BS$1119, A4000))))))))))</f>
        <v>0</v>
      </c>
      <c r="AW1017" s="10" t="str">
        <f> RANDBETWEEN(1,2)</f>
        <v>0</v>
      </c>
      <c r="AX1017" s="10" t="str">
        <f>IF(AW1017='Por Valoracion (3) Dimension 2'!$BR$1120,'Por Valoracion (3) Dimension 2'!$BS$1120,IF(AW1017='Por Valoracion (3) Dimension 2'!$BR$1121,'Por Valoracion (3) Dimension 2'!$BS$1121,A4000))</f>
        <v>0</v>
      </c>
      <c r="AY1017" s="10" t="str">
        <f>CONCATENATE("el ",ROUND(AQ1017*100,0),"% de los ",AX1017," ",AT1017," a la dimensión ",AM1017," como ",AR1017,", ",AV1017)</f>
        <v>0</v>
      </c>
    </row>
    <row r="1018" spans="1:68">
      <c r="D1018" s="10" t="str">
        <f>'Por Valoracion (3) Dimension 2'!W1023</f>
        <v>0</v>
      </c>
      <c r="E1018" s="10" t="str">
        <f>'Por Valoracion (3) Dimension 2'!O1023</f>
        <v>0</v>
      </c>
      <c r="M1018" s="10" t="str">
        <f>'Por Valoracion (3) Dimension 2'!AI1023</f>
        <v>0</v>
      </c>
      <c r="N1018" s="10" t="str">
        <f>'Por Valoracion (3) Dimension 2'!AA1023</f>
        <v>0</v>
      </c>
      <c r="AM1018" s="10" t="str">
        <f>(V6)</f>
        <v>0</v>
      </c>
      <c r="AN1018" s="14" t="str">
        <f>(V1006)</f>
        <v>0</v>
      </c>
      <c r="AO1018" s="14" t="str">
        <f>(W1006)</f>
        <v>0</v>
      </c>
      <c r="AP1018" s="14" t="str">
        <f>(X1006)</f>
        <v>0</v>
      </c>
      <c r="AQ1018" s="14" t="str">
        <f>MAX(AN1018:AP1018)</f>
        <v>0</v>
      </c>
      <c r="AR1018" s="10" t="str">
        <f>IF(AQ1018=AN1018,$AN$1015,IF(AQ1018=AO1018,$AO$1015,IF(AQ1018=AP1018,$AP$1015,"algo esta mal")))</f>
        <v>0</v>
      </c>
      <c r="AS1018" s="10" t="str">
        <f> RANDBETWEEN(1,10)</f>
        <v>0</v>
      </c>
      <c r="AT1018" s="10" t="str">
        <f>IF(AS1018='Por Valoracion (3) Dimension 2'!$BR$1100,'Por Valoracion (3) Dimension 2'!$BS$1100,IF(AS1018='Por Valoracion (3) Dimension 2'!$BR$1101,'Por Valoracion (3) Dimension 2'!$BS$1101,IF(AS1018='Por Valoracion (3) Dimension 2'!$BR$1102,'Por Valoracion (3) Dimension 2'!$BS$1102,IF(AS1018='Por Valoracion (3) Dimension 2'!$BR$1103,'Por Valoracion (3) Dimension 2'!$BS$1103,IF(AS1018='Por Valoracion (3) Dimension 2'!$BR$1104,'Por Valoracion (3) Dimension 2'!$BS$1104,IF(AS1018='Por Valoracion (3) Dimension 2'!$BR$1105,'Por Valoracion (3) Dimension 2'!$BS$1105,IF(AS1018='Por Valoracion (3) Dimension 2'!$BR$1106,'Por Valoracion (3) Dimension 2'!$BS$1106,IF(AS1018='Por Valoracion (3) Dimension 2'!$BR$1107,'Por Valoracion (3) Dimension 2'!$BS$1107,IF(AS1018='Por Valoracion (3) Dimension 2'!$BR$1108,'Por Valoracion (3) Dimension 2'!$BS$1108,IF(AS1018='Por Valoracion (3) Dimension 2'!$BR$1109,'Por Valoracion (3) Dimension 2'!$BS$1109, A4000))))))))))</f>
        <v>0</v>
      </c>
      <c r="AU1018" s="10" t="str">
        <f> RANDBETWEEN(1,7)</f>
        <v>0</v>
      </c>
      <c r="AV1018" s="10" t="str">
        <f>IF(AU1018='Por Valoracion (3) Dimension 2'!$BR$1110,'Por Valoracion (3) Dimension 2'!$BS$1110,IF(AU1018='Por Valoracion (3) Dimension 2'!$BR$1111,'Por Valoracion (3) Dimension 2'!$BS$1111,IF(AU1018='Por Valoracion (3) Dimension 2'!$BR$1112,'Por Valoracion (3) Dimension 2'!$BS$1112,IF(AU1018='Por Valoracion (3) Dimension 2'!$BR$1113,'Por Valoracion (3) Dimension 2'!$BS$1113,IF(AU1018='Por Valoracion (3) Dimension 2'!$BR$1114,'Por Valoracion (3) Dimension 2'!$BS$1114,IF(AU1018='Por Valoracion (3) Dimension 2'!$BR$1115,'Por Valoracion (3) Dimension 2'!$BS$1115,IF(AU1018='Por Valoracion (3) Dimension 2'!$BR$1116,'Por Valoracion (3) Dimension 2'!$BS$1116,IF(AU1018='Por Valoracion (3) Dimension 2'!$BR$1117,'Por Valoracion (3) Dimension 2'!$BS$1117,IF(AU1018='Por Valoracion (3) Dimension 2'!$BR$1118,'Por Valoracion (3) Dimension 2'!$BS$1118,IF(AU1018='Por Valoracion (3) Dimension 2'!$BR$1119,'Por Valoracion (3) Dimension 2'!$BS$1119, A4000))))))))))</f>
        <v>0</v>
      </c>
      <c r="AW1018" s="10" t="str">
        <f> RANDBETWEEN(1,2)</f>
        <v>0</v>
      </c>
      <c r="AX1018" s="10" t="str">
        <f>IF(AW1018='Por Valoracion (3) Dimension 2'!$BR$1120,'Por Valoracion (3) Dimension 2'!$BS$1120,IF(AW1018='Por Valoracion (3) Dimension 2'!$BR$1121,'Por Valoracion (3) Dimension 2'!$BS$1121,A4000))</f>
        <v>0</v>
      </c>
      <c r="AY1018" s="10" t="str">
        <f>CONCATENATE("el ",ROUND(AQ1018*100,0),"% de los ",AX1018," ",AT1018," a la dimensión ",AM1018," como ",AR1018,", ",AV1018)</f>
        <v>0</v>
      </c>
    </row>
    <row r="1019" spans="1:68">
      <c r="D1019" s="10" t="str">
        <f>'Por Valoracion (3) Dimension 2'!W1024</f>
        <v>0</v>
      </c>
      <c r="E1019" s="10" t="str">
        <f>'Por Valoracion (3) Dimension 2'!O1024</f>
        <v>0</v>
      </c>
      <c r="M1019" s="10" t="str">
        <f>'Por Valoracion (3) Dimension 2'!AI1024</f>
        <v>0</v>
      </c>
      <c r="N1019" s="10" t="str">
        <f>'Por Valoracion (3) Dimension 2'!AA1024</f>
        <v>0</v>
      </c>
      <c r="AM1019" s="10" t="str">
        <f>(AE6)</f>
        <v>0</v>
      </c>
      <c r="AN1019" s="14" t="str">
        <f>(AE1006)</f>
        <v>0</v>
      </c>
      <c r="AO1019" s="14" t="str">
        <f>(AF1006)</f>
        <v>0</v>
      </c>
      <c r="AP1019" s="14" t="str">
        <f>(AG1006)</f>
        <v>0</v>
      </c>
      <c r="AQ1019" s="14" t="str">
        <f>MAX(AN1019:AP1019)</f>
        <v>0</v>
      </c>
      <c r="AR1019" s="10" t="str">
        <f>IF(AQ1019=AN1019,$AN$1015,IF(AQ1019=AO1019,$AO$1015,IF(AQ1019=AP1019,$AP$1015,"algo esta mal")))</f>
        <v>0</v>
      </c>
      <c r="AS1019" s="10" t="str">
        <f> RANDBETWEEN(1,10)</f>
        <v>0</v>
      </c>
      <c r="AT1019" s="10" t="str">
        <f>IF(AS1019='Por Valoracion (3) Dimension 2'!$BR$1100,'Por Valoracion (3) Dimension 2'!$BS$1100,IF(AS1019='Por Valoracion (3) Dimension 2'!$BR$1101,'Por Valoracion (3) Dimension 2'!$BS$1101,IF(AS1019='Por Valoracion (3) Dimension 2'!$BR$1102,'Por Valoracion (3) Dimension 2'!$BS$1102,IF(AS1019='Por Valoracion (3) Dimension 2'!$BR$1103,'Por Valoracion (3) Dimension 2'!$BS$1103,IF(AS1019='Por Valoracion (3) Dimension 2'!$BR$1104,'Por Valoracion (3) Dimension 2'!$BS$1104,IF(AS1019='Por Valoracion (3) Dimension 2'!$BR$1105,'Por Valoracion (3) Dimension 2'!$BS$1105,IF(AS1019='Por Valoracion (3) Dimension 2'!$BR$1106,'Por Valoracion (3) Dimension 2'!$BS$1106,IF(AS1019='Por Valoracion (3) Dimension 2'!$BR$1107,'Por Valoracion (3) Dimension 2'!$BS$1107,IF(AS1019='Por Valoracion (3) Dimension 2'!$BR$1108,'Por Valoracion (3) Dimension 2'!$BS$1108,IF(AS1019='Por Valoracion (3) Dimension 2'!$BR$1109,'Por Valoracion (3) Dimension 2'!$BS$1109, A4000))))))))))</f>
        <v>0</v>
      </c>
      <c r="AU1019" s="10" t="str">
        <f> RANDBETWEEN(1,7)</f>
        <v>0</v>
      </c>
      <c r="AV1019" s="10" t="str">
        <f>IF(AU1019='Por Valoracion (3) Dimension 2'!$BR$1110,'Por Valoracion (3) Dimension 2'!$BS$1110,IF(AU1019='Por Valoracion (3) Dimension 2'!$BR$1111,'Por Valoracion (3) Dimension 2'!$BS$1111,IF(AU1019='Por Valoracion (3) Dimension 2'!$BR$1112,'Por Valoracion (3) Dimension 2'!$BS$1112,IF(AU1019='Por Valoracion (3) Dimension 2'!$BR$1113,'Por Valoracion (3) Dimension 2'!$BS$1113,IF(AU1019='Por Valoracion (3) Dimension 2'!$BR$1114,'Por Valoracion (3) Dimension 2'!$BS$1114,IF(AU1019='Por Valoracion (3) Dimension 2'!$BR$1115,'Por Valoracion (3) Dimension 2'!$BS$1115,IF(AU1019='Por Valoracion (3) Dimension 2'!$BR$1116,'Por Valoracion (3) Dimension 2'!$BS$1116,IF(AU1019='Por Valoracion (3) Dimension 2'!$BR$1117,'Por Valoracion (3) Dimension 2'!$BS$1117,IF(AU1019='Por Valoracion (3) Dimension 2'!$BR$1118,'Por Valoracion (3) Dimension 2'!$BS$1118,IF(AU1019='Por Valoracion (3) Dimension 2'!$BR$1119,'Por Valoracion (3) Dimension 2'!$BS$1119, A4000))))))))))</f>
        <v>0</v>
      </c>
      <c r="AW1019" s="10" t="str">
        <f> RANDBETWEEN(1,2)</f>
        <v>0</v>
      </c>
      <c r="AX1019" s="10" t="str">
        <f>IF(AW1019='Por Valoracion (3) Dimension 2'!$BR$1120,'Por Valoracion (3) Dimension 2'!$BS$1120,IF(AW1019='Por Valoracion (3) Dimension 2'!$BR$1121,'Por Valoracion (3) Dimension 2'!$BS$1121,A4000))</f>
        <v>0</v>
      </c>
      <c r="AY1019" s="10" t="str">
        <f>CONCATENATE("el ",ROUND(AQ1019*100,0),"% de los ",AX1019," ",AT1019," a la dimensión ",AM1019," como ",AR1019)</f>
        <v>0</v>
      </c>
    </row>
    <row r="1020" spans="1:68">
      <c r="D1020" s="10" t="str">
        <f>'Por Valoracion (3) Dimension 2'!W1025</f>
        <v>0</v>
      </c>
      <c r="E1020" s="10" t="str">
        <f>'Por Valoracion (3) Dimension 2'!O1025</f>
        <v>0</v>
      </c>
      <c r="M1020" s="10" t="str">
        <f>'Por Valoracion (3) Dimension 2'!AI1025</f>
        <v>0</v>
      </c>
      <c r="N1020" s="10" t="str">
        <f>'Por Valoracion (3) Dimension 2'!AA1025</f>
        <v>0</v>
      </c>
    </row>
    <row r="1021" spans="1:68">
      <c r="M1021" s="10" t="str">
        <f>'Por Valoracion (3) Dimension 2'!AI1026</f>
        <v>0</v>
      </c>
      <c r="N1021" s="10" t="str">
        <f>'Por Valoracion (3) Dimension 2'!AA1026</f>
        <v>0</v>
      </c>
    </row>
    <row r="1022" spans="1:68">
      <c r="M1022" s="10" t="str">
        <f>'Por Valoracion (3) Dimension 2'!AI1027</f>
        <v>0</v>
      </c>
      <c r="N1022" s="10" t="str">
        <f>'Por Valoracion (3) Dimension 2'!AA1027</f>
        <v>0</v>
      </c>
    </row>
    <row r="1023" spans="1:68">
      <c r="M1023" s="10" t="str">
        <f>'Por Valoracion (3) Dimension 2'!AI1028</f>
        <v>0</v>
      </c>
      <c r="N1023" s="10" t="str">
        <f>'Por Valoracion (3) Dimension 2'!AA1028</f>
        <v>0</v>
      </c>
    </row>
    <row r="1024" spans="1:68">
      <c r="M1024" s="10" t="str">
        <f>'Por Valoracion (3) Dimension 2'!AI1029</f>
        <v>0</v>
      </c>
      <c r="N1024" s="10" t="str">
        <f>'Por Valoracion (3) Dimension 2'!AA1029</f>
        <v>0</v>
      </c>
    </row>
    <row r="1025" spans="1:68">
      <c r="M1025" s="10" t="str">
        <f>'Por Valoracion (3) Dimension 2'!AI1030</f>
        <v>0</v>
      </c>
      <c r="N1025" s="10" t="str">
        <f>'Por Valoracion (3) Dimension 2'!AA1030</f>
        <v>0</v>
      </c>
    </row>
    <row r="1026" spans="1:68">
      <c r="M1026" s="10" t="str">
        <f>'Por Valoracion (3) Dimension 2'!AI1031</f>
        <v>0</v>
      </c>
      <c r="N1026" s="10" t="str">
        <f>'Por Valoracion (3) Dimension 2'!AA1031</f>
        <v>0</v>
      </c>
    </row>
    <row r="1027" spans="1:68">
      <c r="M1027" s="10" t="str">
        <f>'Por Valoracion (3) Dimension 2'!AI1032</f>
        <v>0</v>
      </c>
      <c r="N1027" s="10" t="str">
        <f>'Por Valoracion (3) Dimension 2'!AA1032</f>
        <v>0</v>
      </c>
    </row>
    <row r="1028" spans="1:68">
      <c r="M1028" s="10" t="str">
        <f>'Por Valoracion (3) Dimension 2'!AI1033</f>
        <v>0</v>
      </c>
      <c r="N1028" s="10" t="str">
        <f>'Por Valoracion (3) Dimension 2'!AA1033</f>
        <v>0</v>
      </c>
    </row>
    <row r="1029" spans="1:68">
      <c r="M1029" s="10" t="str">
        <f>'Por Valoracion (3) Dimension 2'!AI1034</f>
        <v>0</v>
      </c>
      <c r="N1029" s="10" t="str">
        <f>'Por Valoracion (3) Dimension 2'!AA1034</f>
        <v>0</v>
      </c>
    </row>
    <row r="1076" spans="1:68">
      <c r="AM1076" s="10" t="str">
        <f>IF(AN1076=AN1016,AM1016,IF(AN1076=AN1017,AM1017,IF(AN1076=AN1018,AM1018,IF(AN1076=AN1019,AM1019))))</f>
        <v>0</v>
      </c>
      <c r="AN1076" s="14" t="str">
        <f>MAX(AN1016:AN1019)</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6:F47"/>
    <mergeCell ref="M4:O4"/>
    <mergeCell ref="M36:O47"/>
    <mergeCell ref="V4:X4"/>
    <mergeCell ref="V36:X47"/>
    <mergeCell ref="AE4:AG4"/>
    <mergeCell ref="AE36:AG47"/>
    <mergeCell ref="AN4:AP4"/>
    <mergeCell ref="AN36:AP4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KS369"/>
  <sheetViews>
    <sheetView tabSelected="0" workbookViewId="0" showGridLines="true" showRowColHeaders="1">
      <selection activeCell="KQ12" sqref="KQ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 min="28" max="28" width="20" customWidth="true" style="0"/>
    <col min="29" max="29" width="12" customWidth="true" style="0"/>
    <col min="30" max="30" width="12" customWidth="true" style="0"/>
    <col min="32" max="32" width="20" customWidth="true" style="0"/>
    <col min="33" max="33" width="10" customWidth="true" style="0"/>
    <col min="34" max="34" width="10" customWidth="true" style="0"/>
    <col min="35" max="35" width="10" customWidth="true" style="0"/>
    <col min="36" max="36" width="10" customWidth="true" style="0"/>
    <col min="37" max="37" width="10" customWidth="true" style="0"/>
    <col min="38" max="38" width="10" customWidth="true" style="0"/>
    <col min="40" max="40" width="23" customWidth="true" style="0"/>
    <col min="41" max="41" width="15" customWidth="true" style="0"/>
    <col min="42" max="42" width="20" customWidth="true" style="0"/>
    <col min="43" max="43" width="20" customWidth="true" style="0"/>
    <col min="45" max="45" width="22" customWidth="true" style="0"/>
    <col min="46" max="46" width="22" customWidth="true" style="0"/>
    <col min="47" max="47" width="15" customWidth="true" style="0"/>
    <col min="48" max="48" width="20" customWidth="true" style="0"/>
    <col min="53" max="53" width="20" customWidth="true" style="0"/>
    <col min="54" max="54" width="12" customWidth="true" style="0"/>
    <col min="55" max="55" width="12" customWidth="true" style="0"/>
    <col min="57" max="57" width="20" customWidth="true" style="0"/>
    <col min="58" max="58" width="10" customWidth="true" style="0"/>
    <col min="59" max="59" width="10" customWidth="true" style="0"/>
    <col min="60" max="60" width="10" customWidth="true" style="0"/>
    <col min="61" max="61" width="10" customWidth="true" style="0"/>
    <col min="62" max="62" width="10" customWidth="true" style="0"/>
    <col min="63" max="63" width="10" customWidth="true" style="0"/>
    <col min="65" max="65" width="23" customWidth="true" style="0"/>
    <col min="66" max="66" width="15" customWidth="true" style="0"/>
    <col min="67" max="67" width="20" customWidth="true" style="0"/>
    <col min="68" max="68" width="20" customWidth="true" style="0"/>
    <col min="70" max="70" width="22" customWidth="true" style="0"/>
    <col min="71" max="71" width="22" customWidth="true" style="0"/>
    <col min="72" max="72" width="15" customWidth="true" style="0"/>
    <col min="73" max="73" width="20" customWidth="true" style="0"/>
    <col min="78" max="78" width="20" customWidth="true" style="0"/>
    <col min="79" max="79" width="12" customWidth="true" style="0"/>
    <col min="80" max="80" width="12" customWidth="true" style="0"/>
    <col min="82" max="82" width="20" customWidth="true" style="0"/>
    <col min="83" max="83" width="10" customWidth="true" style="0"/>
    <col min="84" max="84" width="10" customWidth="true" style="0"/>
    <col min="85" max="85" width="10" customWidth="true" style="0"/>
    <col min="86" max="86" width="10" customWidth="true" style="0"/>
    <col min="87" max="87" width="10" customWidth="true" style="0"/>
    <col min="88" max="88" width="10" customWidth="true" style="0"/>
    <col min="90" max="90" width="23" customWidth="true" style="0"/>
    <col min="91" max="91" width="15" customWidth="true" style="0"/>
    <col min="92" max="92" width="20" customWidth="true" style="0"/>
    <col min="93" max="93" width="20" customWidth="true" style="0"/>
    <col min="95" max="95" width="22" customWidth="true" style="0"/>
    <col min="96" max="96" width="22" customWidth="true" style="0"/>
    <col min="97" max="97" width="15" customWidth="true" style="0"/>
    <col min="98" max="98" width="20" customWidth="true" style="0"/>
    <col min="105" max="105" width="20" customWidth="true" style="0"/>
    <col min="106" max="106" width="12" customWidth="true" style="0"/>
    <col min="107" max="107" width="12" customWidth="true" style="0"/>
    <col min="109" max="109" width="20" customWidth="true" style="0"/>
    <col min="110" max="110" width="10" customWidth="true" style="0"/>
    <col min="111" max="111" width="10" customWidth="true" style="0"/>
    <col min="112" max="112" width="10" customWidth="true" style="0"/>
    <col min="113" max="113" width="10" customWidth="true" style="0"/>
    <col min="114" max="114" width="10" customWidth="true" style="0"/>
    <col min="115" max="115" width="10" customWidth="true" style="0"/>
    <col min="117" max="117" width="23" customWidth="true" style="0"/>
    <col min="118" max="118" width="15" customWidth="true" style="0"/>
    <col min="119" max="119" width="20" customWidth="true" style="0"/>
    <col min="120" max="120" width="20" customWidth="true" style="0"/>
    <col min="122" max="122" width="22" customWidth="true" style="0"/>
    <col min="123" max="123" width="22" customWidth="true" style="0"/>
    <col min="124" max="124" width="15" customWidth="true" style="0"/>
    <col min="125" max="125" width="20" customWidth="true" style="0"/>
    <col min="130" max="130" width="20" customWidth="true" style="0"/>
    <col min="131" max="131" width="12" customWidth="true" style="0"/>
    <col min="132" max="132" width="12" customWidth="true" style="0"/>
    <col min="134" max="134" width="20" customWidth="true" style="0"/>
    <col min="135" max="135" width="10" customWidth="true" style="0"/>
    <col min="136" max="136" width="10" customWidth="true" style="0"/>
    <col min="137" max="137" width="10" customWidth="true" style="0"/>
    <col min="138" max="138" width="10" customWidth="true" style="0"/>
    <col min="139" max="139" width="10" customWidth="true" style="0"/>
    <col min="140" max="140" width="10" customWidth="true" style="0"/>
    <col min="142" max="142" width="23" customWidth="true" style="0"/>
    <col min="143" max="143" width="15" customWidth="true" style="0"/>
    <col min="144" max="144" width="20" customWidth="true" style="0"/>
    <col min="145" max="145" width="20" customWidth="true" style="0"/>
    <col min="147" max="147" width="22" customWidth="true" style="0"/>
    <col min="148" max="148" width="22" customWidth="true" style="0"/>
    <col min="149" max="149" width="15" customWidth="true" style="0"/>
    <col min="150" max="150" width="20" customWidth="true" style="0"/>
    <col min="155" max="155" width="20" customWidth="true" style="0"/>
    <col min="156" max="156" width="12" customWidth="true" style="0"/>
    <col min="157" max="157" width="12" customWidth="true" style="0"/>
    <col min="159" max="159" width="20" customWidth="true" style="0"/>
    <col min="160" max="160" width="10" customWidth="true" style="0"/>
    <col min="161" max="161" width="10" customWidth="true" style="0"/>
    <col min="162" max="162" width="10" customWidth="true" style="0"/>
    <col min="163" max="163" width="10" customWidth="true" style="0"/>
    <col min="164" max="164" width="10" customWidth="true" style="0"/>
    <col min="165" max="165" width="10" customWidth="true" style="0"/>
    <col min="167" max="167" width="23" customWidth="true" style="0"/>
    <col min="168" max="168" width="15" customWidth="true" style="0"/>
    <col min="169" max="169" width="20" customWidth="true" style="0"/>
    <col min="170" max="170" width="20" customWidth="true" style="0"/>
    <col min="172" max="172" width="22" customWidth="true" style="0"/>
    <col min="173" max="173" width="22" customWidth="true" style="0"/>
    <col min="174" max="174" width="15" customWidth="true" style="0"/>
    <col min="175" max="175" width="20" customWidth="true" style="0"/>
    <col min="180" max="180" width="20" customWidth="true" style="0"/>
    <col min="181" max="181" width="12" customWidth="true" style="0"/>
    <col min="182" max="182" width="12" customWidth="true" style="0"/>
    <col min="184" max="184" width="20" customWidth="true" style="0"/>
    <col min="185" max="185" width="10" customWidth="true" style="0"/>
    <col min="186" max="186" width="10" customWidth="true" style="0"/>
    <col min="187" max="187" width="10" customWidth="true" style="0"/>
    <col min="188" max="188" width="10" customWidth="true" style="0"/>
    <col min="189" max="189" width="10" customWidth="true" style="0"/>
    <col min="190" max="190" width="10" customWidth="true" style="0"/>
    <col min="192" max="192" width="23" customWidth="true" style="0"/>
    <col min="193" max="193" width="15" customWidth="true" style="0"/>
    <col min="194" max="194" width="20" customWidth="true" style="0"/>
    <col min="195" max="195" width="20" customWidth="true" style="0"/>
    <col min="197" max="197" width="22" customWidth="true" style="0"/>
    <col min="198" max="198" width="22" customWidth="true" style="0"/>
    <col min="199" max="199" width="15" customWidth="true" style="0"/>
    <col min="200" max="200" width="20" customWidth="true" style="0"/>
    <col min="207" max="207" width="20" customWidth="true" style="0"/>
    <col min="208" max="208" width="12" customWidth="true" style="0"/>
    <col min="209" max="209" width="12" customWidth="true" style="0"/>
    <col min="211" max="211" width="20" customWidth="true" style="0"/>
    <col min="212" max="212" width="10" customWidth="true" style="0"/>
    <col min="213" max="213" width="10" customWidth="true" style="0"/>
    <col min="214" max="214" width="10" customWidth="true" style="0"/>
    <col min="215" max="215" width="10" customWidth="true" style="0"/>
    <col min="216" max="216" width="10" customWidth="true" style="0"/>
    <col min="217" max="217" width="10" customWidth="true" style="0"/>
    <col min="219" max="219" width="23" customWidth="true" style="0"/>
    <col min="220" max="220" width="15" customWidth="true" style="0"/>
    <col min="221" max="221" width="20" customWidth="true" style="0"/>
    <col min="222" max="222" width="20" customWidth="true" style="0"/>
    <col min="224" max="224" width="22" customWidth="true" style="0"/>
    <col min="225" max="225" width="22" customWidth="true" style="0"/>
    <col min="226" max="226" width="15" customWidth="true" style="0"/>
    <col min="227" max="227" width="20" customWidth="true" style="0"/>
    <col min="232" max="232" width="20" customWidth="true" style="0"/>
    <col min="233" max="233" width="12" customWidth="true" style="0"/>
    <col min="234" max="234" width="12" customWidth="true" style="0"/>
    <col min="236" max="236" width="20" customWidth="true" style="0"/>
    <col min="237" max="237" width="10" customWidth="true" style="0"/>
    <col min="238" max="238" width="10" customWidth="true" style="0"/>
    <col min="239" max="239" width="10" customWidth="true" style="0"/>
    <col min="240" max="240" width="10" customWidth="true" style="0"/>
    <col min="241" max="241" width="10" customWidth="true" style="0"/>
    <col min="242" max="242" width="10" customWidth="true" style="0"/>
    <col min="244" max="244" width="23" customWidth="true" style="0"/>
    <col min="245" max="245" width="15" customWidth="true" style="0"/>
    <col min="246" max="246" width="20" customWidth="true" style="0"/>
    <col min="247" max="247" width="20" customWidth="true" style="0"/>
    <col min="249" max="249" width="22" customWidth="true" style="0"/>
    <col min="250" max="250" width="22" customWidth="true" style="0"/>
    <col min="251" max="251" width="15" customWidth="true" style="0"/>
    <col min="252" max="252" width="20" customWidth="true" style="0"/>
    <col min="257" max="257" width="20" customWidth="true" style="0"/>
    <col min="258" max="258" width="12" customWidth="true" style="0"/>
    <col min="259" max="259" width="12" customWidth="true" style="0"/>
    <col min="261" max="261" width="20" customWidth="true" style="0"/>
    <col min="262" max="262" width="10" customWidth="true" style="0"/>
    <col min="263" max="263" width="10" customWidth="true" style="0"/>
    <col min="264" max="264" width="10" customWidth="true" style="0"/>
    <col min="265" max="265" width="10" customWidth="true" style="0"/>
    <col min="266" max="266" width="10" customWidth="true" style="0"/>
    <col min="267" max="267" width="10" customWidth="true" style="0"/>
    <col min="269" max="269" width="23" customWidth="true" style="0"/>
    <col min="270" max="270" width="15" customWidth="true" style="0"/>
    <col min="271" max="271" width="20" customWidth="true" style="0"/>
    <col min="272" max="272" width="20" customWidth="true" style="0"/>
    <col min="274" max="274" width="22" customWidth="true" style="0"/>
    <col min="275" max="275" width="22" customWidth="true" style="0"/>
    <col min="276" max="276" width="15" customWidth="true" style="0"/>
    <col min="277" max="277" width="20" customWidth="true" style="0"/>
    <col min="282" max="282" width="20" customWidth="true" style="0"/>
    <col min="283" max="283" width="12" customWidth="true" style="0"/>
    <col min="284" max="284" width="12" customWidth="true" style="0"/>
    <col min="286" max="286" width="20" customWidth="true" style="0"/>
    <col min="287" max="287" width="10" customWidth="true" style="0"/>
    <col min="288" max="288" width="10" customWidth="true" style="0"/>
    <col min="289" max="289" width="10" customWidth="true" style="0"/>
    <col min="290" max="290" width="10" customWidth="true" style="0"/>
    <col min="291" max="291" width="10" customWidth="true" style="0"/>
    <col min="292" max="292" width="10" customWidth="true" style="0"/>
    <col min="294" max="294" width="23" customWidth="true" style="0"/>
    <col min="295" max="295" width="15" customWidth="true" style="0"/>
    <col min="296" max="296" width="20" customWidth="true" style="0"/>
    <col min="297" max="297" width="20" customWidth="true" style="0"/>
    <col min="299" max="299" width="22" customWidth="true" style="0"/>
    <col min="300" max="300" width="22" customWidth="true" style="0"/>
    <col min="301" max="301" width="15" customWidth="true" style="0"/>
    <col min="302" max="302" width="20" customWidth="true" style="0"/>
  </cols>
  <sheetData>
    <row r="1" spans="1:30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W1" s="47"/>
      <c r="GX1" s="47"/>
      <c r="GY1" s="47"/>
      <c r="GZ1" s="47"/>
      <c r="HA1" s="47"/>
      <c r="HB1" s="47"/>
      <c r="HC1" s="47"/>
      <c r="HD1" s="47"/>
      <c r="HE1" s="47"/>
      <c r="HF1" s="47"/>
      <c r="HG1" s="47"/>
      <c r="HH1" s="47"/>
      <c r="HI1" s="47"/>
      <c r="HJ1" s="47"/>
      <c r="HK1" s="47"/>
      <c r="HL1" s="47"/>
      <c r="HM1" s="47"/>
      <c r="HN1" s="47"/>
      <c r="HO1" s="47"/>
      <c r="HP1" s="47"/>
      <c r="HQ1" s="47"/>
      <c r="HR1" s="47"/>
      <c r="HS1" s="47"/>
      <c r="HT1" s="47"/>
      <c r="HU1" s="47"/>
      <c r="HV1" s="47"/>
      <c r="HW1" s="47"/>
      <c r="HX1" s="47"/>
      <c r="HY1" s="47"/>
      <c r="HZ1" s="47"/>
      <c r="IA1" s="47"/>
      <c r="IB1" s="47"/>
      <c r="IC1" s="47"/>
      <c r="ID1" s="47"/>
      <c r="IE1" s="47"/>
      <c r="IF1" s="47"/>
      <c r="IG1" s="47"/>
      <c r="IH1" s="47"/>
      <c r="II1" s="47"/>
      <c r="IJ1" s="47"/>
      <c r="IK1" s="47"/>
      <c r="IL1" s="47"/>
      <c r="IM1" s="47"/>
      <c r="IN1" s="47"/>
      <c r="IO1" s="47"/>
      <c r="IP1" s="47"/>
      <c r="IQ1" s="47"/>
      <c r="IR1" s="47"/>
      <c r="IS1" s="47"/>
      <c r="IT1" s="47"/>
      <c r="IU1" s="47"/>
      <c r="IV1" s="47"/>
      <c r="IW1" s="47"/>
      <c r="IX1" s="47"/>
      <c r="IY1" s="47"/>
      <c r="IZ1" s="47"/>
      <c r="JA1" s="47"/>
      <c r="JB1" s="47"/>
      <c r="JC1" s="47"/>
      <c r="JD1" s="47"/>
      <c r="JE1" s="47"/>
      <c r="JF1" s="47"/>
      <c r="JG1" s="47"/>
      <c r="JH1" s="47"/>
      <c r="JI1" s="47"/>
      <c r="JJ1" s="47"/>
      <c r="JK1" s="47"/>
      <c r="JL1" s="47"/>
      <c r="JM1" s="47"/>
      <c r="JN1" s="47"/>
      <c r="JO1" s="47"/>
      <c r="JP1" s="47"/>
      <c r="JQ1" s="47"/>
      <c r="JR1" s="47"/>
      <c r="JS1" s="47"/>
      <c r="JT1" s="47"/>
      <c r="JU1" s="47"/>
      <c r="JV1" s="47"/>
      <c r="JW1" s="47"/>
      <c r="JX1" s="47"/>
      <c r="JY1" s="47"/>
      <c r="JZ1" s="47"/>
      <c r="KA1" s="47"/>
      <c r="KB1" s="47"/>
      <c r="KC1" s="47"/>
      <c r="KD1" s="47"/>
      <c r="KE1" s="47"/>
      <c r="KF1" s="47"/>
      <c r="KG1" s="47"/>
      <c r="KH1" s="47"/>
      <c r="KI1" s="47"/>
      <c r="KJ1" s="47"/>
      <c r="KK1" s="47"/>
      <c r="KL1" s="47"/>
      <c r="KM1" s="47"/>
      <c r="KN1" s="47"/>
      <c r="KO1" s="47"/>
      <c r="KP1" s="47"/>
      <c r="KQ1" s="47"/>
      <c r="KR1" s="47"/>
      <c r="KS1" s="47"/>
    </row>
    <row r="2" spans="1:305">
      <c r="A2" s="38"/>
      <c r="D2" s="40" t="s">
        <v>631</v>
      </c>
      <c r="E2" s="40" t="s">
        <v>632</v>
      </c>
      <c r="Z2" s="38"/>
      <c r="AC2" s="40" t="s">
        <v>631</v>
      </c>
      <c r="AD2" s="40" t="s">
        <v>633</v>
      </c>
      <c r="AY2" s="38"/>
      <c r="BB2" s="40" t="s">
        <v>631</v>
      </c>
      <c r="BC2" s="40" t="s">
        <v>634</v>
      </c>
      <c r="BX2" s="38"/>
      <c r="CA2" s="40" t="s">
        <v>631</v>
      </c>
      <c r="CB2" s="40" t="s">
        <v>635</v>
      </c>
      <c r="CW2" s="38"/>
      <c r="CY2" s="46"/>
      <c r="DB2" s="40" t="s">
        <v>636</v>
      </c>
      <c r="DC2" s="40" t="s">
        <v>632</v>
      </c>
      <c r="DX2" s="46"/>
      <c r="EA2" s="40" t="s">
        <v>636</v>
      </c>
      <c r="EB2" s="40" t="s">
        <v>633</v>
      </c>
      <c r="EW2" s="46"/>
      <c r="EZ2" s="40" t="s">
        <v>636</v>
      </c>
      <c r="FA2" s="40" t="s">
        <v>634</v>
      </c>
      <c r="FV2" s="46"/>
      <c r="FY2" s="40" t="s">
        <v>636</v>
      </c>
      <c r="FZ2" s="40" t="s">
        <v>635</v>
      </c>
      <c r="GU2" s="46"/>
      <c r="GW2" s="47"/>
      <c r="GZ2" s="40" t="s">
        <v>637</v>
      </c>
      <c r="HA2" s="40" t="s">
        <v>632</v>
      </c>
      <c r="HV2" s="47"/>
      <c r="HY2" s="40" t="s">
        <v>637</v>
      </c>
      <c r="HZ2" s="40" t="s">
        <v>633</v>
      </c>
      <c r="IU2" s="47"/>
      <c r="IX2" s="40" t="s">
        <v>637</v>
      </c>
      <c r="IY2" s="40" t="s">
        <v>634</v>
      </c>
      <c r="JT2" s="47"/>
      <c r="JW2" s="40" t="s">
        <v>637</v>
      </c>
      <c r="JX2" s="40" t="s">
        <v>635</v>
      </c>
      <c r="KS2" s="47"/>
    </row>
    <row r="3" spans="1:305">
      <c r="A3" s="38"/>
      <c r="D3" s="40" t="str">
        <f>'Por Valoracion (3) Dimension'!B2</f>
        <v>0</v>
      </c>
      <c r="E3" s="40" t="str">
        <f>'Por Valoracion (3) Dimension 2'!B2</f>
        <v>0</v>
      </c>
      <c r="Z3" s="38"/>
      <c r="AC3" s="40" t="str">
        <f>'Por Valoracion (3) Dimension'!B2</f>
        <v>0</v>
      </c>
      <c r="AD3" s="40" t="str">
        <f>'Por Valoracion (3) Dimension 2'!D2</f>
        <v>0</v>
      </c>
      <c r="AY3" s="38"/>
      <c r="BB3" s="40" t="str">
        <f>'Por Valoracion (3) Dimension'!B2</f>
        <v>0</v>
      </c>
      <c r="BC3" s="40" t="str">
        <f>'Por Valoracion (3) Dimension 2'!F2</f>
        <v>0</v>
      </c>
      <c r="BX3" s="38"/>
      <c r="CA3" s="40" t="str">
        <f>'Por Valoracion (3) Dimension'!B2</f>
        <v>0</v>
      </c>
      <c r="CB3" s="40" t="str">
        <f>'Por Valoracion (3) Dimension 2'!H2</f>
        <v>0</v>
      </c>
      <c r="CW3" s="38"/>
      <c r="CY3" s="46"/>
      <c r="DB3" s="40" t="str">
        <f>'Por Valoracion (3) Dimension'!D2</f>
        <v>0</v>
      </c>
      <c r="DC3" s="40" t="str">
        <f>'Por Valoracion (3) Dimension 2'!B2</f>
        <v>0</v>
      </c>
      <c r="DX3" s="46"/>
      <c r="EA3" s="40" t="str">
        <f>'Por Valoracion (3) Dimension'!D2</f>
        <v>0</v>
      </c>
      <c r="EB3" s="40" t="str">
        <f>'Por Valoracion (3) Dimension 2'!D2</f>
        <v>0</v>
      </c>
      <c r="EW3" s="46"/>
      <c r="EZ3" s="40" t="str">
        <f>'Por Valoracion (3) Dimension'!D2</f>
        <v>0</v>
      </c>
      <c r="FA3" s="40" t="str">
        <f>'Por Valoracion (3) Dimension 2'!F2</f>
        <v>0</v>
      </c>
      <c r="FV3" s="46"/>
      <c r="FY3" s="40" t="str">
        <f>'Por Valoracion (3) Dimension'!D2</f>
        <v>0</v>
      </c>
      <c r="FZ3" s="40" t="str">
        <f>'Por Valoracion (3) Dimension 2'!H2</f>
        <v>0</v>
      </c>
      <c r="GU3" s="46"/>
      <c r="GW3" s="47"/>
      <c r="GZ3" s="40" t="str">
        <f>'Por Valoracion (3) Dimension'!F2</f>
        <v>0</v>
      </c>
      <c r="HA3" s="40" t="str">
        <f>'Por Valoracion (3) Dimension 2'!B2</f>
        <v>0</v>
      </c>
      <c r="HV3" s="47"/>
      <c r="HY3" s="40" t="str">
        <f>'Por Valoracion (3) Dimension'!F2</f>
        <v>0</v>
      </c>
      <c r="HZ3" s="40" t="str">
        <f>'Por Valoracion (3) Dimension 2'!D2</f>
        <v>0</v>
      </c>
      <c r="IU3" s="47"/>
      <c r="IX3" s="40" t="str">
        <f>'Por Valoracion (3) Dimension'!F2</f>
        <v>0</v>
      </c>
      <c r="IY3" s="40" t="str">
        <f>'Por Valoracion (3) Dimension 2'!F2</f>
        <v>0</v>
      </c>
      <c r="JT3" s="47"/>
      <c r="JW3" s="40" t="str">
        <f>'Por Valoracion (3) Dimension'!F2</f>
        <v>0</v>
      </c>
      <c r="JX3" s="40" t="str">
        <f>'Por Valoracion (3) Dimension 2'!H2</f>
        <v>0</v>
      </c>
      <c r="KS3" s="47"/>
    </row>
    <row r="4" spans="1:305">
      <c r="A4" s="38"/>
      <c r="C4" t="str">
        <f>('Inteligencia emocional'!A5)</f>
        <v>0</v>
      </c>
      <c r="D4" s="39" t="str">
        <f>'Por Valoracion (3) Dimension'!B4</f>
        <v>0</v>
      </c>
      <c r="E4" s="39" t="str">
        <f>'Por Valoracion (3) Dimension 2'!B4</f>
        <v>0</v>
      </c>
      <c r="G4" s="10" t="s">
        <v>415</v>
      </c>
      <c r="Z4" s="38"/>
      <c r="AB4" t="str">
        <f>('Inteligencia emocional'!A5)</f>
        <v>0</v>
      </c>
      <c r="AC4" s="39" t="str">
        <f>'Por Valoracion (3) Dimension'!B4</f>
        <v>0</v>
      </c>
      <c r="AD4" s="39" t="str">
        <f>'Por Valoracion (3) Dimension 2'!D4</f>
        <v>0</v>
      </c>
      <c r="AF4" s="10" t="s">
        <v>416</v>
      </c>
      <c r="AY4" s="38"/>
      <c r="BA4" t="str">
        <f>('Inteligencia emocional'!A5)</f>
        <v>0</v>
      </c>
      <c r="BB4" s="39" t="str">
        <f>'Por Valoracion (3) Dimension'!B4</f>
        <v>0</v>
      </c>
      <c r="BC4" s="39" t="str">
        <f>'Por Valoracion (3) Dimension 2'!F4</f>
        <v>0</v>
      </c>
      <c r="BE4" s="10" t="s">
        <v>417</v>
      </c>
      <c r="BX4" s="38"/>
      <c r="BZ4" t="str">
        <f>('Inteligencia emocional'!A5)</f>
        <v>0</v>
      </c>
      <c r="CA4" s="39" t="str">
        <f>'Por Valoracion (3) Dimension'!B4</f>
        <v>0</v>
      </c>
      <c r="CB4" s="39" t="str">
        <f>'Por Valoracion (3) Dimension 2'!H4</f>
        <v>0</v>
      </c>
      <c r="CD4" s="10" t="s">
        <v>418</v>
      </c>
      <c r="CW4" s="38"/>
      <c r="CY4" s="46"/>
      <c r="DA4" t="str">
        <f>('Inteligencia emocional'!A5)</f>
        <v>0</v>
      </c>
      <c r="DB4" s="39" t="str">
        <f>'Por Valoracion (3) Dimension'!D4</f>
        <v>0</v>
      </c>
      <c r="DC4" s="39" t="str">
        <f>'Por Valoracion (3) Dimension 2'!B4</f>
        <v>0</v>
      </c>
      <c r="DE4" s="10" t="s">
        <v>495</v>
      </c>
      <c r="DX4" s="46"/>
      <c r="DZ4" t="str">
        <f>('Inteligencia emocional'!A5)</f>
        <v>0</v>
      </c>
      <c r="EA4" s="39" t="str">
        <f>'Por Valoracion (3) Dimension'!D4</f>
        <v>0</v>
      </c>
      <c r="EB4" s="39" t="str">
        <f>'Por Valoracion (3) Dimension 2'!D4</f>
        <v>0</v>
      </c>
      <c r="ED4" s="10" t="s">
        <v>496</v>
      </c>
      <c r="EW4" s="46"/>
      <c r="EY4" t="str">
        <f>('Inteligencia emocional'!A5)</f>
        <v>0</v>
      </c>
      <c r="EZ4" s="39" t="str">
        <f>'Por Valoracion (3) Dimension'!D4</f>
        <v>0</v>
      </c>
      <c r="FA4" s="39" t="str">
        <f>'Por Valoracion (3) Dimension 2'!F4</f>
        <v>0</v>
      </c>
      <c r="FC4" s="10" t="s">
        <v>497</v>
      </c>
      <c r="FV4" s="46"/>
      <c r="FX4" t="str">
        <f>('Inteligencia emocional'!A5)</f>
        <v>0</v>
      </c>
      <c r="FY4" s="39" t="str">
        <f>'Por Valoracion (3) Dimension'!D4</f>
        <v>0</v>
      </c>
      <c r="FZ4" s="39" t="str">
        <f>'Por Valoracion (3) Dimension 2'!H4</f>
        <v>0</v>
      </c>
      <c r="GB4" s="10" t="s">
        <v>498</v>
      </c>
      <c r="GU4" s="46"/>
      <c r="GW4" s="47"/>
      <c r="GY4" t="str">
        <f>('Inteligencia emocional'!A5)</f>
        <v>0</v>
      </c>
      <c r="GZ4" s="39" t="str">
        <f>'Por Valoracion (3) Dimension'!F4</f>
        <v>0</v>
      </c>
      <c r="HA4" s="39" t="str">
        <f>'Por Valoracion (3) Dimension 2'!B4</f>
        <v>0</v>
      </c>
      <c r="HC4" s="10" t="s">
        <v>499</v>
      </c>
      <c r="HV4" s="47"/>
      <c r="HX4" t="str">
        <f>('Inteligencia emocional'!A5)</f>
        <v>0</v>
      </c>
      <c r="HY4" s="39" t="str">
        <f>'Por Valoracion (3) Dimension'!F4</f>
        <v>0</v>
      </c>
      <c r="HZ4" s="39" t="str">
        <f>'Por Valoracion (3) Dimension 2'!D4</f>
        <v>0</v>
      </c>
      <c r="IB4" s="10" t="s">
        <v>500</v>
      </c>
      <c r="IU4" s="47"/>
      <c r="IW4" t="str">
        <f>('Inteligencia emocional'!A5)</f>
        <v>0</v>
      </c>
      <c r="IX4" s="39" t="str">
        <f>'Por Valoracion (3) Dimension'!F4</f>
        <v>0</v>
      </c>
      <c r="IY4" s="39" t="str">
        <f>'Por Valoracion (3) Dimension 2'!F4</f>
        <v>0</v>
      </c>
      <c r="JA4" s="10" t="s">
        <v>501</v>
      </c>
      <c r="JT4" s="47"/>
      <c r="JV4" t="str">
        <f>('Inteligencia emocional'!A5)</f>
        <v>0</v>
      </c>
      <c r="JW4" s="39" t="str">
        <f>'Por Valoracion (3) Dimension'!F4</f>
        <v>0</v>
      </c>
      <c r="JX4" s="39" t="str">
        <f>'Por Valoracion (3) Dimension 2'!H4</f>
        <v>0</v>
      </c>
      <c r="JZ4" s="10" t="s">
        <v>502</v>
      </c>
      <c r="KS4" s="47"/>
    </row>
    <row r="5" spans="1:305">
      <c r="A5" s="38"/>
      <c r="C5" t="str">
        <f>('Inteligencia emocional'!A6)</f>
        <v>0</v>
      </c>
      <c r="D5" s="39" t="str">
        <f>'Por Valoracion (3) Dimension'!B5</f>
        <v>0</v>
      </c>
      <c r="E5" s="39" t="str">
        <f>'Por Valoracion (3) Dimension 2'!B5</f>
        <v>0</v>
      </c>
      <c r="G5" s="42" t="s">
        <v>638</v>
      </c>
      <c r="H5" s="12"/>
      <c r="I5" s="12"/>
      <c r="J5" s="12"/>
      <c r="K5" s="12"/>
      <c r="L5" s="12"/>
      <c r="M5" s="12"/>
      <c r="Z5" s="38"/>
      <c r="AB5" t="str">
        <f>('Inteligencia emocional'!A6)</f>
        <v>0</v>
      </c>
      <c r="AC5" s="39" t="str">
        <f>'Por Valoracion (3) Dimension'!B5</f>
        <v>0</v>
      </c>
      <c r="AD5" s="39" t="str">
        <f>'Por Valoracion (3) Dimension 2'!D5</f>
        <v>0</v>
      </c>
      <c r="AF5" s="42" t="s">
        <v>638</v>
      </c>
      <c r="AG5" s="12"/>
      <c r="AH5" s="12"/>
      <c r="AI5" s="12"/>
      <c r="AJ5" s="12"/>
      <c r="AK5" s="12"/>
      <c r="AL5" s="12"/>
      <c r="AY5" s="38"/>
      <c r="BA5" t="str">
        <f>('Inteligencia emocional'!A6)</f>
        <v>0</v>
      </c>
      <c r="BB5" s="39" t="str">
        <f>'Por Valoracion (3) Dimension'!B5</f>
        <v>0</v>
      </c>
      <c r="BC5" s="39" t="str">
        <f>'Por Valoracion (3) Dimension 2'!F5</f>
        <v>0</v>
      </c>
      <c r="BE5" s="42" t="s">
        <v>638</v>
      </c>
      <c r="BF5" s="12"/>
      <c r="BG5" s="12"/>
      <c r="BH5" s="12"/>
      <c r="BI5" s="12"/>
      <c r="BJ5" s="12"/>
      <c r="BK5" s="12"/>
      <c r="BX5" s="38"/>
      <c r="BZ5" t="str">
        <f>('Inteligencia emocional'!A6)</f>
        <v>0</v>
      </c>
      <c r="CA5" s="39" t="str">
        <f>'Por Valoracion (3) Dimension'!B5</f>
        <v>0</v>
      </c>
      <c r="CB5" s="39" t="str">
        <f>'Por Valoracion (3) Dimension 2'!H5</f>
        <v>0</v>
      </c>
      <c r="CD5" s="42" t="s">
        <v>638</v>
      </c>
      <c r="CE5" s="12"/>
      <c r="CF5" s="12"/>
      <c r="CG5" s="12"/>
      <c r="CH5" s="12"/>
      <c r="CI5" s="12"/>
      <c r="CJ5" s="12"/>
      <c r="CW5" s="38"/>
      <c r="CY5" s="46"/>
      <c r="DA5" t="str">
        <f>('Inteligencia emocional'!A6)</f>
        <v>0</v>
      </c>
      <c r="DB5" s="39" t="str">
        <f>'Por Valoracion (3) Dimension'!D5</f>
        <v>0</v>
      </c>
      <c r="DC5" s="39" t="str">
        <f>'Por Valoracion (3) Dimension 2'!B5</f>
        <v>0</v>
      </c>
      <c r="DE5" s="42" t="s">
        <v>638</v>
      </c>
      <c r="DF5" s="12"/>
      <c r="DG5" s="12"/>
      <c r="DH5" s="12"/>
      <c r="DI5" s="12"/>
      <c r="DJ5" s="12"/>
      <c r="DK5" s="12"/>
      <c r="DX5" s="46"/>
      <c r="DZ5" t="str">
        <f>('Inteligencia emocional'!A6)</f>
        <v>0</v>
      </c>
      <c r="EA5" s="39" t="str">
        <f>'Por Valoracion (3) Dimension'!D5</f>
        <v>0</v>
      </c>
      <c r="EB5" s="39" t="str">
        <f>'Por Valoracion (3) Dimension 2'!D5</f>
        <v>0</v>
      </c>
      <c r="ED5" s="42" t="s">
        <v>638</v>
      </c>
      <c r="EE5" s="12"/>
      <c r="EF5" s="12"/>
      <c r="EG5" s="12"/>
      <c r="EH5" s="12"/>
      <c r="EI5" s="12"/>
      <c r="EJ5" s="12"/>
      <c r="EW5" s="46"/>
      <c r="EY5" t="str">
        <f>('Inteligencia emocional'!A6)</f>
        <v>0</v>
      </c>
      <c r="EZ5" s="39" t="str">
        <f>'Por Valoracion (3) Dimension'!D5</f>
        <v>0</v>
      </c>
      <c r="FA5" s="39" t="str">
        <f>'Por Valoracion (3) Dimension 2'!F5</f>
        <v>0</v>
      </c>
      <c r="FC5" s="42" t="s">
        <v>638</v>
      </c>
      <c r="FD5" s="12"/>
      <c r="FE5" s="12"/>
      <c r="FF5" s="12"/>
      <c r="FG5" s="12"/>
      <c r="FH5" s="12"/>
      <c r="FI5" s="12"/>
      <c r="FV5" s="46"/>
      <c r="FX5" t="str">
        <f>('Inteligencia emocional'!A6)</f>
        <v>0</v>
      </c>
      <c r="FY5" s="39" t="str">
        <f>'Por Valoracion (3) Dimension'!D5</f>
        <v>0</v>
      </c>
      <c r="FZ5" s="39" t="str">
        <f>'Por Valoracion (3) Dimension 2'!H5</f>
        <v>0</v>
      </c>
      <c r="GB5" s="42" t="s">
        <v>638</v>
      </c>
      <c r="GC5" s="12"/>
      <c r="GD5" s="12"/>
      <c r="GE5" s="12"/>
      <c r="GF5" s="12"/>
      <c r="GG5" s="12"/>
      <c r="GH5" s="12"/>
      <c r="GU5" s="46"/>
      <c r="GW5" s="47"/>
      <c r="GY5" t="str">
        <f>('Inteligencia emocional'!A6)</f>
        <v>0</v>
      </c>
      <c r="GZ5" s="39" t="str">
        <f>'Por Valoracion (3) Dimension'!F5</f>
        <v>0</v>
      </c>
      <c r="HA5" s="39" t="str">
        <f>'Por Valoracion (3) Dimension 2'!B5</f>
        <v>0</v>
      </c>
      <c r="HC5" s="42" t="s">
        <v>638</v>
      </c>
      <c r="HD5" s="12"/>
      <c r="HE5" s="12"/>
      <c r="HF5" s="12"/>
      <c r="HG5" s="12"/>
      <c r="HH5" s="12"/>
      <c r="HI5" s="12"/>
      <c r="HV5" s="47"/>
      <c r="HX5" t="str">
        <f>('Inteligencia emocional'!A6)</f>
        <v>0</v>
      </c>
      <c r="HY5" s="39" t="str">
        <f>'Por Valoracion (3) Dimension'!F5</f>
        <v>0</v>
      </c>
      <c r="HZ5" s="39" t="str">
        <f>'Por Valoracion (3) Dimension 2'!D5</f>
        <v>0</v>
      </c>
      <c r="IB5" s="42" t="s">
        <v>638</v>
      </c>
      <c r="IC5" s="12"/>
      <c r="ID5" s="12"/>
      <c r="IE5" s="12"/>
      <c r="IF5" s="12"/>
      <c r="IG5" s="12"/>
      <c r="IH5" s="12"/>
      <c r="IU5" s="47"/>
      <c r="IW5" t="str">
        <f>('Inteligencia emocional'!A6)</f>
        <v>0</v>
      </c>
      <c r="IX5" s="39" t="str">
        <f>'Por Valoracion (3) Dimension'!F5</f>
        <v>0</v>
      </c>
      <c r="IY5" s="39" t="str">
        <f>'Por Valoracion (3) Dimension 2'!F5</f>
        <v>0</v>
      </c>
      <c r="JA5" s="42" t="s">
        <v>638</v>
      </c>
      <c r="JB5" s="12"/>
      <c r="JC5" s="12"/>
      <c r="JD5" s="12"/>
      <c r="JE5" s="12"/>
      <c r="JF5" s="12"/>
      <c r="JG5" s="12"/>
      <c r="JT5" s="47"/>
      <c r="JV5" t="str">
        <f>('Inteligencia emocional'!A6)</f>
        <v>0</v>
      </c>
      <c r="JW5" s="39" t="str">
        <f>'Por Valoracion (3) Dimension'!F5</f>
        <v>0</v>
      </c>
      <c r="JX5" s="39" t="str">
        <f>'Por Valoracion (3) Dimension 2'!H5</f>
        <v>0</v>
      </c>
      <c r="JZ5" s="42" t="s">
        <v>638</v>
      </c>
      <c r="KA5" s="12"/>
      <c r="KB5" s="12"/>
      <c r="KC5" s="12"/>
      <c r="KD5" s="12"/>
      <c r="KE5" s="12"/>
      <c r="KF5" s="12"/>
      <c r="KS5" s="47"/>
    </row>
    <row r="6" spans="1:305">
      <c r="A6" s="38"/>
      <c r="C6" t="str">
        <f>('Inteligencia emocional'!A7)</f>
        <v>0</v>
      </c>
      <c r="D6" s="39" t="str">
        <f>'Por Valoracion (3) Dimension'!B6</f>
        <v>0</v>
      </c>
      <c r="E6" s="39" t="str">
        <f>'Por Valoracion (3) Dimension 2'!B6</f>
        <v>0</v>
      </c>
      <c r="G6"/>
      <c r="H6" s="41" t="s">
        <v>639</v>
      </c>
      <c r="K6" s="41" t="s">
        <v>640</v>
      </c>
      <c r="Z6" s="38"/>
      <c r="AB6" t="str">
        <f>('Inteligencia emocional'!A7)</f>
        <v>0</v>
      </c>
      <c r="AC6" s="39" t="str">
        <f>'Por Valoracion (3) Dimension'!B6</f>
        <v>0</v>
      </c>
      <c r="AD6" s="39" t="str">
        <f>'Por Valoracion (3) Dimension 2'!D6</f>
        <v>0</v>
      </c>
      <c r="AF6"/>
      <c r="AG6" s="41" t="s">
        <v>639</v>
      </c>
      <c r="AJ6" s="41" t="s">
        <v>640</v>
      </c>
      <c r="AY6" s="38"/>
      <c r="BA6" t="str">
        <f>('Inteligencia emocional'!A7)</f>
        <v>0</v>
      </c>
      <c r="BB6" s="39" t="str">
        <f>'Por Valoracion (3) Dimension'!B6</f>
        <v>0</v>
      </c>
      <c r="BC6" s="39" t="str">
        <f>'Por Valoracion (3) Dimension 2'!F6</f>
        <v>0</v>
      </c>
      <c r="BE6"/>
      <c r="BF6" s="41" t="s">
        <v>639</v>
      </c>
      <c r="BI6" s="41" t="s">
        <v>640</v>
      </c>
      <c r="BX6" s="38"/>
      <c r="BZ6" t="str">
        <f>('Inteligencia emocional'!A7)</f>
        <v>0</v>
      </c>
      <c r="CA6" s="39" t="str">
        <f>'Por Valoracion (3) Dimension'!B6</f>
        <v>0</v>
      </c>
      <c r="CB6" s="39" t="str">
        <f>'Por Valoracion (3) Dimension 2'!H6</f>
        <v>0</v>
      </c>
      <c r="CD6"/>
      <c r="CE6" s="41" t="s">
        <v>639</v>
      </c>
      <c r="CH6" s="41" t="s">
        <v>640</v>
      </c>
      <c r="CW6" s="38"/>
      <c r="CY6" s="46"/>
      <c r="DA6" t="str">
        <f>('Inteligencia emocional'!A7)</f>
        <v>0</v>
      </c>
      <c r="DB6" s="39" t="str">
        <f>'Por Valoracion (3) Dimension'!D6</f>
        <v>0</v>
      </c>
      <c r="DC6" s="39" t="str">
        <f>'Por Valoracion (3) Dimension 2'!B6</f>
        <v>0</v>
      </c>
      <c r="DE6"/>
      <c r="DF6" s="41" t="s">
        <v>639</v>
      </c>
      <c r="DI6" s="41" t="s">
        <v>640</v>
      </c>
      <c r="DX6" s="46"/>
      <c r="DZ6" t="str">
        <f>('Inteligencia emocional'!A7)</f>
        <v>0</v>
      </c>
      <c r="EA6" s="39" t="str">
        <f>'Por Valoracion (3) Dimension'!D6</f>
        <v>0</v>
      </c>
      <c r="EB6" s="39" t="str">
        <f>'Por Valoracion (3) Dimension 2'!D6</f>
        <v>0</v>
      </c>
      <c r="ED6"/>
      <c r="EE6" s="41" t="s">
        <v>639</v>
      </c>
      <c r="EH6" s="41" t="s">
        <v>640</v>
      </c>
      <c r="EW6" s="46"/>
      <c r="EY6" t="str">
        <f>('Inteligencia emocional'!A7)</f>
        <v>0</v>
      </c>
      <c r="EZ6" s="39" t="str">
        <f>'Por Valoracion (3) Dimension'!D6</f>
        <v>0</v>
      </c>
      <c r="FA6" s="39" t="str">
        <f>'Por Valoracion (3) Dimension 2'!F6</f>
        <v>0</v>
      </c>
      <c r="FC6"/>
      <c r="FD6" s="41" t="s">
        <v>639</v>
      </c>
      <c r="FG6" s="41" t="s">
        <v>640</v>
      </c>
      <c r="FV6" s="46"/>
      <c r="FX6" t="str">
        <f>('Inteligencia emocional'!A7)</f>
        <v>0</v>
      </c>
      <c r="FY6" s="39" t="str">
        <f>'Por Valoracion (3) Dimension'!D6</f>
        <v>0</v>
      </c>
      <c r="FZ6" s="39" t="str">
        <f>'Por Valoracion (3) Dimension 2'!H6</f>
        <v>0</v>
      </c>
      <c r="GB6"/>
      <c r="GC6" s="41" t="s">
        <v>639</v>
      </c>
      <c r="GF6" s="41" t="s">
        <v>640</v>
      </c>
      <c r="GU6" s="46"/>
      <c r="GW6" s="47"/>
      <c r="GY6" t="str">
        <f>('Inteligencia emocional'!A7)</f>
        <v>0</v>
      </c>
      <c r="GZ6" s="39" t="str">
        <f>'Por Valoracion (3) Dimension'!F6</f>
        <v>0</v>
      </c>
      <c r="HA6" s="39" t="str">
        <f>'Por Valoracion (3) Dimension 2'!B6</f>
        <v>0</v>
      </c>
      <c r="HC6"/>
      <c r="HD6" s="41" t="s">
        <v>639</v>
      </c>
      <c r="HG6" s="41" t="s">
        <v>640</v>
      </c>
      <c r="HV6" s="47"/>
      <c r="HX6" t="str">
        <f>('Inteligencia emocional'!A7)</f>
        <v>0</v>
      </c>
      <c r="HY6" s="39" t="str">
        <f>'Por Valoracion (3) Dimension'!F6</f>
        <v>0</v>
      </c>
      <c r="HZ6" s="39" t="str">
        <f>'Por Valoracion (3) Dimension 2'!D6</f>
        <v>0</v>
      </c>
      <c r="IB6"/>
      <c r="IC6" s="41" t="s">
        <v>639</v>
      </c>
      <c r="IF6" s="41" t="s">
        <v>640</v>
      </c>
      <c r="IU6" s="47"/>
      <c r="IW6" t="str">
        <f>('Inteligencia emocional'!A7)</f>
        <v>0</v>
      </c>
      <c r="IX6" s="39" t="str">
        <f>'Por Valoracion (3) Dimension'!F6</f>
        <v>0</v>
      </c>
      <c r="IY6" s="39" t="str">
        <f>'Por Valoracion (3) Dimension 2'!F6</f>
        <v>0</v>
      </c>
      <c r="JA6"/>
      <c r="JB6" s="41" t="s">
        <v>639</v>
      </c>
      <c r="JE6" s="41" t="s">
        <v>640</v>
      </c>
      <c r="JT6" s="47"/>
      <c r="JV6" t="str">
        <f>('Inteligencia emocional'!A7)</f>
        <v>0</v>
      </c>
      <c r="JW6" s="39" t="str">
        <f>'Por Valoracion (3) Dimension'!F6</f>
        <v>0</v>
      </c>
      <c r="JX6" s="39" t="str">
        <f>'Por Valoracion (3) Dimension 2'!H6</f>
        <v>0</v>
      </c>
      <c r="JZ6"/>
      <c r="KA6" s="41" t="s">
        <v>639</v>
      </c>
      <c r="KD6" s="41" t="s">
        <v>640</v>
      </c>
      <c r="KS6" s="47"/>
    </row>
    <row r="7" spans="1:305">
      <c r="A7" s="38"/>
      <c r="C7" t="str">
        <f>('Inteligencia emocional'!A8)</f>
        <v>0</v>
      </c>
      <c r="D7" s="39" t="str">
        <f>'Por Valoracion (3) Dimension'!B7</f>
        <v>0</v>
      </c>
      <c r="E7" s="39" t="str">
        <f>'Por Valoracion (3) Dimension 2'!B7</f>
        <v>0</v>
      </c>
      <c r="G7" s="12"/>
      <c r="H7" s="43" t="s">
        <v>641</v>
      </c>
      <c r="I7" s="43" t="s">
        <v>642</v>
      </c>
      <c r="J7" s="43" t="s">
        <v>643</v>
      </c>
      <c r="K7" s="43" t="s">
        <v>641</v>
      </c>
      <c r="L7" s="45" t="s">
        <v>642</v>
      </c>
      <c r="M7" s="43" t="s">
        <v>643</v>
      </c>
      <c r="Z7" s="38"/>
      <c r="AB7" t="str">
        <f>('Inteligencia emocional'!A8)</f>
        <v>0</v>
      </c>
      <c r="AC7" s="39" t="str">
        <f>'Por Valoracion (3) Dimension'!B7</f>
        <v>0</v>
      </c>
      <c r="AD7" s="39" t="str">
        <f>'Por Valoracion (3) Dimension 2'!D7</f>
        <v>0</v>
      </c>
      <c r="AF7" s="12"/>
      <c r="AG7" s="43" t="s">
        <v>641</v>
      </c>
      <c r="AH7" s="43" t="s">
        <v>642</v>
      </c>
      <c r="AI7" s="43" t="s">
        <v>643</v>
      </c>
      <c r="AJ7" s="43" t="s">
        <v>641</v>
      </c>
      <c r="AK7" s="45" t="s">
        <v>642</v>
      </c>
      <c r="AL7" s="43" t="s">
        <v>643</v>
      </c>
      <c r="AY7" s="38"/>
      <c r="BA7" t="str">
        <f>('Inteligencia emocional'!A8)</f>
        <v>0</v>
      </c>
      <c r="BB7" s="39" t="str">
        <f>'Por Valoracion (3) Dimension'!B7</f>
        <v>0</v>
      </c>
      <c r="BC7" s="39" t="str">
        <f>'Por Valoracion (3) Dimension 2'!F7</f>
        <v>0</v>
      </c>
      <c r="BE7" s="12"/>
      <c r="BF7" s="43" t="s">
        <v>641</v>
      </c>
      <c r="BG7" s="43" t="s">
        <v>642</v>
      </c>
      <c r="BH7" s="43" t="s">
        <v>643</v>
      </c>
      <c r="BI7" s="43" t="s">
        <v>641</v>
      </c>
      <c r="BJ7" s="45" t="s">
        <v>642</v>
      </c>
      <c r="BK7" s="43" t="s">
        <v>643</v>
      </c>
      <c r="BX7" s="38"/>
      <c r="BZ7" t="str">
        <f>('Inteligencia emocional'!A8)</f>
        <v>0</v>
      </c>
      <c r="CA7" s="39" t="str">
        <f>'Por Valoracion (3) Dimension'!B7</f>
        <v>0</v>
      </c>
      <c r="CB7" s="39" t="str">
        <f>'Por Valoracion (3) Dimension 2'!H7</f>
        <v>0</v>
      </c>
      <c r="CD7" s="12"/>
      <c r="CE7" s="43" t="s">
        <v>641</v>
      </c>
      <c r="CF7" s="43" t="s">
        <v>642</v>
      </c>
      <c r="CG7" s="43" t="s">
        <v>643</v>
      </c>
      <c r="CH7" s="43" t="s">
        <v>641</v>
      </c>
      <c r="CI7" s="45" t="s">
        <v>642</v>
      </c>
      <c r="CJ7" s="43" t="s">
        <v>643</v>
      </c>
      <c r="CW7" s="38"/>
      <c r="CY7" s="46"/>
      <c r="DA7" t="str">
        <f>('Inteligencia emocional'!A8)</f>
        <v>0</v>
      </c>
      <c r="DB7" s="39" t="str">
        <f>'Por Valoracion (3) Dimension'!D7</f>
        <v>0</v>
      </c>
      <c r="DC7" s="39" t="str">
        <f>'Por Valoracion (3) Dimension 2'!B7</f>
        <v>0</v>
      </c>
      <c r="DE7" s="12"/>
      <c r="DF7" s="43" t="s">
        <v>641</v>
      </c>
      <c r="DG7" s="43" t="s">
        <v>642</v>
      </c>
      <c r="DH7" s="43" t="s">
        <v>643</v>
      </c>
      <c r="DI7" s="43" t="s">
        <v>641</v>
      </c>
      <c r="DJ7" s="45" t="s">
        <v>642</v>
      </c>
      <c r="DK7" s="43" t="s">
        <v>643</v>
      </c>
      <c r="DX7" s="46"/>
      <c r="DZ7" t="str">
        <f>('Inteligencia emocional'!A8)</f>
        <v>0</v>
      </c>
      <c r="EA7" s="39" t="str">
        <f>'Por Valoracion (3) Dimension'!D7</f>
        <v>0</v>
      </c>
      <c r="EB7" s="39" t="str">
        <f>'Por Valoracion (3) Dimension 2'!D7</f>
        <v>0</v>
      </c>
      <c r="ED7" s="12"/>
      <c r="EE7" s="43" t="s">
        <v>641</v>
      </c>
      <c r="EF7" s="43" t="s">
        <v>642</v>
      </c>
      <c r="EG7" s="43" t="s">
        <v>643</v>
      </c>
      <c r="EH7" s="43" t="s">
        <v>641</v>
      </c>
      <c r="EI7" s="45" t="s">
        <v>642</v>
      </c>
      <c r="EJ7" s="43" t="s">
        <v>643</v>
      </c>
      <c r="EW7" s="46"/>
      <c r="EY7" t="str">
        <f>('Inteligencia emocional'!A8)</f>
        <v>0</v>
      </c>
      <c r="EZ7" s="39" t="str">
        <f>'Por Valoracion (3) Dimension'!D7</f>
        <v>0</v>
      </c>
      <c r="FA7" s="39" t="str">
        <f>'Por Valoracion (3) Dimension 2'!F7</f>
        <v>0</v>
      </c>
      <c r="FC7" s="12"/>
      <c r="FD7" s="43" t="s">
        <v>641</v>
      </c>
      <c r="FE7" s="43" t="s">
        <v>642</v>
      </c>
      <c r="FF7" s="43" t="s">
        <v>643</v>
      </c>
      <c r="FG7" s="43" t="s">
        <v>641</v>
      </c>
      <c r="FH7" s="45" t="s">
        <v>642</v>
      </c>
      <c r="FI7" s="43" t="s">
        <v>643</v>
      </c>
      <c r="FV7" s="46"/>
      <c r="FX7" t="str">
        <f>('Inteligencia emocional'!A8)</f>
        <v>0</v>
      </c>
      <c r="FY7" s="39" t="str">
        <f>'Por Valoracion (3) Dimension'!D7</f>
        <v>0</v>
      </c>
      <c r="FZ7" s="39" t="str">
        <f>'Por Valoracion (3) Dimension 2'!H7</f>
        <v>0</v>
      </c>
      <c r="GB7" s="12"/>
      <c r="GC7" s="43" t="s">
        <v>641</v>
      </c>
      <c r="GD7" s="43" t="s">
        <v>642</v>
      </c>
      <c r="GE7" s="43" t="s">
        <v>643</v>
      </c>
      <c r="GF7" s="43" t="s">
        <v>641</v>
      </c>
      <c r="GG7" s="45" t="s">
        <v>642</v>
      </c>
      <c r="GH7" s="43" t="s">
        <v>643</v>
      </c>
      <c r="GU7" s="46"/>
      <c r="GW7" s="47"/>
      <c r="GY7" t="str">
        <f>('Inteligencia emocional'!A8)</f>
        <v>0</v>
      </c>
      <c r="GZ7" s="39" t="str">
        <f>'Por Valoracion (3) Dimension'!F7</f>
        <v>0</v>
      </c>
      <c r="HA7" s="39" t="str">
        <f>'Por Valoracion (3) Dimension 2'!B7</f>
        <v>0</v>
      </c>
      <c r="HC7" s="12"/>
      <c r="HD7" s="43" t="s">
        <v>641</v>
      </c>
      <c r="HE7" s="43" t="s">
        <v>642</v>
      </c>
      <c r="HF7" s="43" t="s">
        <v>643</v>
      </c>
      <c r="HG7" s="43" t="s">
        <v>641</v>
      </c>
      <c r="HH7" s="45" t="s">
        <v>642</v>
      </c>
      <c r="HI7" s="43" t="s">
        <v>643</v>
      </c>
      <c r="HV7" s="47"/>
      <c r="HX7" t="str">
        <f>('Inteligencia emocional'!A8)</f>
        <v>0</v>
      </c>
      <c r="HY7" s="39" t="str">
        <f>'Por Valoracion (3) Dimension'!F7</f>
        <v>0</v>
      </c>
      <c r="HZ7" s="39" t="str">
        <f>'Por Valoracion (3) Dimension 2'!D7</f>
        <v>0</v>
      </c>
      <c r="IB7" s="12"/>
      <c r="IC7" s="43" t="s">
        <v>641</v>
      </c>
      <c r="ID7" s="43" t="s">
        <v>642</v>
      </c>
      <c r="IE7" s="43" t="s">
        <v>643</v>
      </c>
      <c r="IF7" s="43" t="s">
        <v>641</v>
      </c>
      <c r="IG7" s="45" t="s">
        <v>642</v>
      </c>
      <c r="IH7" s="43" t="s">
        <v>643</v>
      </c>
      <c r="IU7" s="47"/>
      <c r="IW7" t="str">
        <f>('Inteligencia emocional'!A8)</f>
        <v>0</v>
      </c>
      <c r="IX7" s="39" t="str">
        <f>'Por Valoracion (3) Dimension'!F7</f>
        <v>0</v>
      </c>
      <c r="IY7" s="39" t="str">
        <f>'Por Valoracion (3) Dimension 2'!F7</f>
        <v>0</v>
      </c>
      <c r="JA7" s="12"/>
      <c r="JB7" s="43" t="s">
        <v>641</v>
      </c>
      <c r="JC7" s="43" t="s">
        <v>642</v>
      </c>
      <c r="JD7" s="43" t="s">
        <v>643</v>
      </c>
      <c r="JE7" s="43" t="s">
        <v>641</v>
      </c>
      <c r="JF7" s="45" t="s">
        <v>642</v>
      </c>
      <c r="JG7" s="43" t="s">
        <v>643</v>
      </c>
      <c r="JT7" s="47"/>
      <c r="JV7" t="str">
        <f>('Inteligencia emocional'!A8)</f>
        <v>0</v>
      </c>
      <c r="JW7" s="39" t="str">
        <f>'Por Valoracion (3) Dimension'!F7</f>
        <v>0</v>
      </c>
      <c r="JX7" s="39" t="str">
        <f>'Por Valoracion (3) Dimension 2'!H7</f>
        <v>0</v>
      </c>
      <c r="JZ7" s="12"/>
      <c r="KA7" s="43" t="s">
        <v>641</v>
      </c>
      <c r="KB7" s="43" t="s">
        <v>642</v>
      </c>
      <c r="KC7" s="43" t="s">
        <v>643</v>
      </c>
      <c r="KD7" s="43" t="s">
        <v>641</v>
      </c>
      <c r="KE7" s="45" t="s">
        <v>642</v>
      </c>
      <c r="KF7" s="43" t="s">
        <v>643</v>
      </c>
      <c r="KS7" s="47"/>
    </row>
    <row r="8" spans="1:305">
      <c r="A8" s="38"/>
      <c r="C8" t="str">
        <f>('Inteligencia emocional'!A9)</f>
        <v>0</v>
      </c>
      <c r="D8" s="39" t="str">
        <f>'Por Valoracion (3) Dimension'!B8</f>
        <v>0</v>
      </c>
      <c r="E8" s="39" t="str">
        <f>'Por Valoracion (3) Dimension 2'!B8</f>
        <v>0</v>
      </c>
      <c r="G8" s="41" t="str">
        <f>D3</f>
        <v>0</v>
      </c>
      <c r="H8" s="44"/>
      <c r="I8" s="44"/>
      <c r="J8" s="44"/>
      <c r="K8" s="44"/>
      <c r="L8" s="44"/>
      <c r="M8" s="44"/>
      <c r="Z8" s="38"/>
      <c r="AB8" t="str">
        <f>('Inteligencia emocional'!A9)</f>
        <v>0</v>
      </c>
      <c r="AC8" s="39" t="str">
        <f>'Por Valoracion (3) Dimension'!B8</f>
        <v>0</v>
      </c>
      <c r="AD8" s="39" t="str">
        <f>'Por Valoracion (3) Dimension 2'!D8</f>
        <v>0</v>
      </c>
      <c r="AF8" s="41" t="str">
        <f>AC3</f>
        <v>0</v>
      </c>
      <c r="AG8" s="44" t="str">
        <f>H8</f>
        <v>0</v>
      </c>
      <c r="AH8" s="44" t="str">
        <f>I8</f>
        <v>0</v>
      </c>
      <c r="AI8" s="44" t="str">
        <f>J8</f>
        <v>0</v>
      </c>
      <c r="AJ8" s="44" t="str">
        <f>K8</f>
        <v>0</v>
      </c>
      <c r="AK8" s="44" t="str">
        <f>L8</f>
        <v>0</v>
      </c>
      <c r="AL8" s="44" t="str">
        <f>M8</f>
        <v>0</v>
      </c>
      <c r="AY8" s="38"/>
      <c r="BA8" t="str">
        <f>('Inteligencia emocional'!A9)</f>
        <v>0</v>
      </c>
      <c r="BB8" s="39" t="str">
        <f>'Por Valoracion (3) Dimension'!B8</f>
        <v>0</v>
      </c>
      <c r="BC8" s="39" t="str">
        <f>'Por Valoracion (3) Dimension 2'!F8</f>
        <v>0</v>
      </c>
      <c r="BE8" s="41" t="str">
        <f>BB3</f>
        <v>0</v>
      </c>
      <c r="BF8" s="44" t="str">
        <f>H8</f>
        <v>0</v>
      </c>
      <c r="BG8" s="44" t="str">
        <f>I8</f>
        <v>0</v>
      </c>
      <c r="BH8" s="44" t="str">
        <f>J8</f>
        <v>0</v>
      </c>
      <c r="BI8" s="44" t="str">
        <f>K8</f>
        <v>0</v>
      </c>
      <c r="BJ8" s="44" t="str">
        <f>L8</f>
        <v>0</v>
      </c>
      <c r="BK8" s="44" t="str">
        <f>M8</f>
        <v>0</v>
      </c>
      <c r="BX8" s="38"/>
      <c r="BZ8" t="str">
        <f>('Inteligencia emocional'!A9)</f>
        <v>0</v>
      </c>
      <c r="CA8" s="39" t="str">
        <f>'Por Valoracion (3) Dimension'!B8</f>
        <v>0</v>
      </c>
      <c r="CB8" s="39" t="str">
        <f>'Por Valoracion (3) Dimension 2'!H8</f>
        <v>0</v>
      </c>
      <c r="CD8" s="41" t="str">
        <f>CA3</f>
        <v>0</v>
      </c>
      <c r="CE8" s="44" t="str">
        <f>H8</f>
        <v>0</v>
      </c>
      <c r="CF8" s="44" t="str">
        <f>I8</f>
        <v>0</v>
      </c>
      <c r="CG8" s="44" t="str">
        <f>J8</f>
        <v>0</v>
      </c>
      <c r="CH8" s="44" t="str">
        <f>K8</f>
        <v>0</v>
      </c>
      <c r="CI8" s="44" t="str">
        <f>L8</f>
        <v>0</v>
      </c>
      <c r="CJ8" s="44" t="str">
        <f>M8</f>
        <v>0</v>
      </c>
      <c r="CW8" s="38"/>
      <c r="CY8" s="46"/>
      <c r="DA8" t="str">
        <f>('Inteligencia emocional'!A9)</f>
        <v>0</v>
      </c>
      <c r="DB8" s="39" t="str">
        <f>'Por Valoracion (3) Dimension'!D8</f>
        <v>0</v>
      </c>
      <c r="DC8" s="39" t="str">
        <f>'Por Valoracion (3) Dimension 2'!B8</f>
        <v>0</v>
      </c>
      <c r="DE8" s="41" t="str">
        <f>DB3</f>
        <v>0</v>
      </c>
      <c r="DF8" s="44"/>
      <c r="DG8" s="44"/>
      <c r="DH8" s="44"/>
      <c r="DI8" s="44"/>
      <c r="DJ8" s="44"/>
      <c r="DK8" s="44"/>
      <c r="DX8" s="46"/>
      <c r="DZ8" t="str">
        <f>('Inteligencia emocional'!A9)</f>
        <v>0</v>
      </c>
      <c r="EA8" s="39" t="str">
        <f>'Por Valoracion (3) Dimension'!D8</f>
        <v>0</v>
      </c>
      <c r="EB8" s="39" t="str">
        <f>'Por Valoracion (3) Dimension 2'!D8</f>
        <v>0</v>
      </c>
      <c r="ED8" s="41" t="str">
        <f>EA3</f>
        <v>0</v>
      </c>
      <c r="EE8" s="44" t="str">
        <f>H8</f>
        <v>0</v>
      </c>
      <c r="EF8" s="44" t="str">
        <f>I8</f>
        <v>0</v>
      </c>
      <c r="EG8" s="44" t="str">
        <f>J8</f>
        <v>0</v>
      </c>
      <c r="EH8" s="44" t="str">
        <f>K8</f>
        <v>0</v>
      </c>
      <c r="EI8" s="44" t="str">
        <f>L8</f>
        <v>0</v>
      </c>
      <c r="EJ8" s="44" t="str">
        <f>M8</f>
        <v>0</v>
      </c>
      <c r="EW8" s="46"/>
      <c r="EY8" t="str">
        <f>('Inteligencia emocional'!A9)</f>
        <v>0</v>
      </c>
      <c r="EZ8" s="39" t="str">
        <f>'Por Valoracion (3) Dimension'!D8</f>
        <v>0</v>
      </c>
      <c r="FA8" s="39" t="str">
        <f>'Por Valoracion (3) Dimension 2'!F8</f>
        <v>0</v>
      </c>
      <c r="FC8" s="41" t="str">
        <f>EZ3</f>
        <v>0</v>
      </c>
      <c r="FD8" s="44" t="str">
        <f>AG8</f>
        <v>0</v>
      </c>
      <c r="FE8" s="44" t="str">
        <f>AH8</f>
        <v>0</v>
      </c>
      <c r="FF8" s="44" t="str">
        <f>AI8</f>
        <v>0</v>
      </c>
      <c r="FG8" s="44" t="str">
        <f>AJ8</f>
        <v>0</v>
      </c>
      <c r="FH8" s="44" t="str">
        <f>AK8</f>
        <v>0</v>
      </c>
      <c r="FI8" s="44" t="str">
        <f>AL8</f>
        <v>0</v>
      </c>
      <c r="FV8" s="46"/>
      <c r="FX8" t="str">
        <f>('Inteligencia emocional'!A9)</f>
        <v>0</v>
      </c>
      <c r="FY8" s="39" t="str">
        <f>'Por Valoracion (3) Dimension'!D8</f>
        <v>0</v>
      </c>
      <c r="FZ8" s="39" t="str">
        <f>'Por Valoracion (3) Dimension 2'!H8</f>
        <v>0</v>
      </c>
      <c r="GB8" s="41" t="str">
        <f>FY3</f>
        <v>0</v>
      </c>
      <c r="GC8" s="44" t="str">
        <f>BF8</f>
        <v>0</v>
      </c>
      <c r="GD8" s="44" t="str">
        <f>BG8</f>
        <v>0</v>
      </c>
      <c r="GE8" s="44" t="str">
        <f>BH8</f>
        <v>0</v>
      </c>
      <c r="GF8" s="44" t="str">
        <f>BI8</f>
        <v>0</v>
      </c>
      <c r="GG8" s="44" t="str">
        <f>BJ8</f>
        <v>0</v>
      </c>
      <c r="GH8" s="44" t="str">
        <f>BK8</f>
        <v>0</v>
      </c>
      <c r="GU8" s="46"/>
      <c r="GW8" s="47"/>
      <c r="GY8" t="str">
        <f>('Inteligencia emocional'!A9)</f>
        <v>0</v>
      </c>
      <c r="GZ8" s="39" t="str">
        <f>'Por Valoracion (3) Dimension'!F8</f>
        <v>0</v>
      </c>
      <c r="HA8" s="39" t="str">
        <f>'Por Valoracion (3) Dimension 2'!B8</f>
        <v>0</v>
      </c>
      <c r="HC8" s="41" t="str">
        <f>GZ3</f>
        <v>0</v>
      </c>
      <c r="HD8" s="44"/>
      <c r="HE8" s="44"/>
      <c r="HF8" s="44"/>
      <c r="HG8" s="44"/>
      <c r="HH8" s="44"/>
      <c r="HI8" s="44"/>
      <c r="HV8" s="47"/>
      <c r="HX8" t="str">
        <f>('Inteligencia emocional'!A9)</f>
        <v>0</v>
      </c>
      <c r="HY8" s="39" t="str">
        <f>'Por Valoracion (3) Dimension'!F8</f>
        <v>0</v>
      </c>
      <c r="HZ8" s="39" t="str">
        <f>'Por Valoracion (3) Dimension 2'!D8</f>
        <v>0</v>
      </c>
      <c r="IB8" s="41" t="str">
        <f>HY3</f>
        <v>0</v>
      </c>
      <c r="IC8" s="44" t="str">
        <f>H8</f>
        <v>0</v>
      </c>
      <c r="ID8" s="44" t="str">
        <f>I8</f>
        <v>0</v>
      </c>
      <c r="IE8" s="44" t="str">
        <f>J8</f>
        <v>0</v>
      </c>
      <c r="IF8" s="44" t="str">
        <f>K8</f>
        <v>0</v>
      </c>
      <c r="IG8" s="44" t="str">
        <f>L8</f>
        <v>0</v>
      </c>
      <c r="IH8" s="44" t="str">
        <f>M8</f>
        <v>0</v>
      </c>
      <c r="IU8" s="47"/>
      <c r="IW8" t="str">
        <f>('Inteligencia emocional'!A9)</f>
        <v>0</v>
      </c>
      <c r="IX8" s="39" t="str">
        <f>'Por Valoracion (3) Dimension'!F8</f>
        <v>0</v>
      </c>
      <c r="IY8" s="39" t="str">
        <f>'Por Valoracion (3) Dimension 2'!F8</f>
        <v>0</v>
      </c>
      <c r="JA8" s="41" t="str">
        <f>IX3</f>
        <v>0</v>
      </c>
      <c r="JB8" s="44" t="str">
        <f>AG8</f>
        <v>0</v>
      </c>
      <c r="JC8" s="44" t="str">
        <f>AH8</f>
        <v>0</v>
      </c>
      <c r="JD8" s="44" t="str">
        <f>AI8</f>
        <v>0</v>
      </c>
      <c r="JE8" s="44" t="str">
        <f>AJ8</f>
        <v>0</v>
      </c>
      <c r="JF8" s="44" t="str">
        <f>AK8</f>
        <v>0</v>
      </c>
      <c r="JG8" s="44" t="str">
        <f>AL8</f>
        <v>0</v>
      </c>
      <c r="JT8" s="47"/>
      <c r="JV8" t="str">
        <f>('Inteligencia emocional'!A9)</f>
        <v>0</v>
      </c>
      <c r="JW8" s="39" t="str">
        <f>'Por Valoracion (3) Dimension'!F8</f>
        <v>0</v>
      </c>
      <c r="JX8" s="39" t="str">
        <f>'Por Valoracion (3) Dimension 2'!H8</f>
        <v>0</v>
      </c>
      <c r="JZ8" s="41" t="str">
        <f>JW3</f>
        <v>0</v>
      </c>
      <c r="KA8" s="44" t="str">
        <f>BF8</f>
        <v>0</v>
      </c>
      <c r="KB8" s="44" t="str">
        <f>BG8</f>
        <v>0</v>
      </c>
      <c r="KC8" s="44" t="str">
        <f>BH8</f>
        <v>0</v>
      </c>
      <c r="KD8" s="44" t="str">
        <f>BI8</f>
        <v>0</v>
      </c>
      <c r="KE8" s="44" t="str">
        <f>BJ8</f>
        <v>0</v>
      </c>
      <c r="KF8" s="44" t="str">
        <f>BK8</f>
        <v>0</v>
      </c>
      <c r="KS8" s="47"/>
    </row>
    <row r="9" spans="1:305">
      <c r="A9" s="38"/>
      <c r="C9" t="str">
        <f>('Inteligencia emocional'!A10)</f>
        <v>0</v>
      </c>
      <c r="D9" s="39" t="str">
        <f>'Por Valoracion (3) Dimension'!B9</f>
        <v>0</v>
      </c>
      <c r="E9" s="39" t="str">
        <f>'Por Valoracion (3) Dimension 2'!B9</f>
        <v>0</v>
      </c>
      <c r="G9" s="42" t="str">
        <f>E3</f>
        <v>0</v>
      </c>
      <c r="H9" s="12"/>
      <c r="I9" s="12"/>
      <c r="J9" s="12"/>
      <c r="K9" s="12"/>
      <c r="L9" s="12"/>
      <c r="M9" s="12"/>
      <c r="Z9" s="38"/>
      <c r="AB9" t="str">
        <f>('Inteligencia emocional'!A10)</f>
        <v>0</v>
      </c>
      <c r="AC9" s="39" t="str">
        <f>'Por Valoracion (3) Dimension'!B9</f>
        <v>0</v>
      </c>
      <c r="AD9" s="39" t="str">
        <f>'Por Valoracion (3) Dimension 2'!D9</f>
        <v>0</v>
      </c>
      <c r="AF9" s="42" t="str">
        <f>AD3</f>
        <v>0</v>
      </c>
      <c r="AG9" s="12"/>
      <c r="AH9" s="12"/>
      <c r="AI9" s="12"/>
      <c r="AJ9" s="12"/>
      <c r="AK9" s="12"/>
      <c r="AL9" s="12"/>
      <c r="AY9" s="38"/>
      <c r="BA9" t="str">
        <f>('Inteligencia emocional'!A10)</f>
        <v>0</v>
      </c>
      <c r="BB9" s="39" t="str">
        <f>'Por Valoracion (3) Dimension'!B9</f>
        <v>0</v>
      </c>
      <c r="BC9" s="39" t="str">
        <f>'Por Valoracion (3) Dimension 2'!F9</f>
        <v>0</v>
      </c>
      <c r="BE9" s="42" t="str">
        <f>BC3</f>
        <v>0</v>
      </c>
      <c r="BF9" s="12"/>
      <c r="BG9" s="12"/>
      <c r="BH9" s="12"/>
      <c r="BI9" s="12"/>
      <c r="BJ9" s="12"/>
      <c r="BK9" s="12"/>
      <c r="BX9" s="38"/>
      <c r="BZ9" t="str">
        <f>('Inteligencia emocional'!A10)</f>
        <v>0</v>
      </c>
      <c r="CA9" s="39" t="str">
        <f>'Por Valoracion (3) Dimension'!B9</f>
        <v>0</v>
      </c>
      <c r="CB9" s="39" t="str">
        <f>'Por Valoracion (3) Dimension 2'!H9</f>
        <v>0</v>
      </c>
      <c r="CD9" s="42" t="str">
        <f>CB3</f>
        <v>0</v>
      </c>
      <c r="CE9" s="12"/>
      <c r="CF9" s="12"/>
      <c r="CG9" s="12"/>
      <c r="CH9" s="12"/>
      <c r="CI9" s="12"/>
      <c r="CJ9" s="12"/>
      <c r="CW9" s="38"/>
      <c r="CY9" s="46"/>
      <c r="DA9" t="str">
        <f>('Inteligencia emocional'!A10)</f>
        <v>0</v>
      </c>
      <c r="DB9" s="39" t="str">
        <f>'Por Valoracion (3) Dimension'!D9</f>
        <v>0</v>
      </c>
      <c r="DC9" s="39" t="str">
        <f>'Por Valoracion (3) Dimension 2'!B9</f>
        <v>0</v>
      </c>
      <c r="DE9" s="42" t="str">
        <f>DC3</f>
        <v>0</v>
      </c>
      <c r="DF9" s="43" t="str">
        <f>H9</f>
        <v>0</v>
      </c>
      <c r="DG9" s="45" t="str">
        <f>I9</f>
        <v>0</v>
      </c>
      <c r="DH9" s="43" t="str">
        <f>J9</f>
        <v>0</v>
      </c>
      <c r="DI9" s="43" t="str">
        <f>K9</f>
        <v>0</v>
      </c>
      <c r="DJ9" s="43" t="str">
        <f>L9</f>
        <v>0</v>
      </c>
      <c r="DK9" s="45" t="str">
        <f>M9</f>
        <v>0</v>
      </c>
      <c r="DX9" s="46"/>
      <c r="DZ9" t="str">
        <f>('Inteligencia emocional'!A10)</f>
        <v>0</v>
      </c>
      <c r="EA9" s="39" t="str">
        <f>'Por Valoracion (3) Dimension'!D9</f>
        <v>0</v>
      </c>
      <c r="EB9" s="39" t="str">
        <f>'Por Valoracion (3) Dimension 2'!D9</f>
        <v>0</v>
      </c>
      <c r="ED9" s="42" t="str">
        <f>EB3</f>
        <v>0</v>
      </c>
      <c r="EE9" s="43" t="str">
        <f>AG9</f>
        <v>0</v>
      </c>
      <c r="EF9" s="45" t="str">
        <f>AH9</f>
        <v>0</v>
      </c>
      <c r="EG9" s="43" t="str">
        <f>AI9</f>
        <v>0</v>
      </c>
      <c r="EH9" s="43" t="str">
        <f>AJ9</f>
        <v>0</v>
      </c>
      <c r="EI9" s="43" t="str">
        <f>AK9</f>
        <v>0</v>
      </c>
      <c r="EJ9" s="45" t="str">
        <f>AL9</f>
        <v>0</v>
      </c>
      <c r="EW9" s="46"/>
      <c r="EY9" t="str">
        <f>('Inteligencia emocional'!A10)</f>
        <v>0</v>
      </c>
      <c r="EZ9" s="39" t="str">
        <f>'Por Valoracion (3) Dimension'!D9</f>
        <v>0</v>
      </c>
      <c r="FA9" s="39" t="str">
        <f>'Por Valoracion (3) Dimension 2'!F9</f>
        <v>0</v>
      </c>
      <c r="FC9" s="42" t="str">
        <f>FA3</f>
        <v>0</v>
      </c>
      <c r="FD9" s="43" t="str">
        <f>BF9</f>
        <v>0</v>
      </c>
      <c r="FE9" s="45" t="str">
        <f>BG9</f>
        <v>0</v>
      </c>
      <c r="FF9" s="43" t="str">
        <f>BH9</f>
        <v>0</v>
      </c>
      <c r="FG9" s="43" t="str">
        <f>BI9</f>
        <v>0</v>
      </c>
      <c r="FH9" s="43" t="str">
        <f>BJ9</f>
        <v>0</v>
      </c>
      <c r="FI9" s="45" t="str">
        <f>BK9</f>
        <v>0</v>
      </c>
      <c r="FV9" s="46"/>
      <c r="FX9" t="str">
        <f>('Inteligencia emocional'!A10)</f>
        <v>0</v>
      </c>
      <c r="FY9" s="39" t="str">
        <f>'Por Valoracion (3) Dimension'!D9</f>
        <v>0</v>
      </c>
      <c r="FZ9" s="39" t="str">
        <f>'Por Valoracion (3) Dimension 2'!H9</f>
        <v>0</v>
      </c>
      <c r="GB9" s="42" t="str">
        <f>FZ3</f>
        <v>0</v>
      </c>
      <c r="GC9" s="43" t="str">
        <f>CE9</f>
        <v>0</v>
      </c>
      <c r="GD9" s="45" t="str">
        <f>CF9</f>
        <v>0</v>
      </c>
      <c r="GE9" s="43" t="str">
        <f>CG9</f>
        <v>0</v>
      </c>
      <c r="GF9" s="43" t="str">
        <f>CH9</f>
        <v>0</v>
      </c>
      <c r="GG9" s="43" t="str">
        <f>CI9</f>
        <v>0</v>
      </c>
      <c r="GH9" s="45" t="str">
        <f>CJ9</f>
        <v>0</v>
      </c>
      <c r="GU9" s="46"/>
      <c r="GW9" s="47"/>
      <c r="GY9" t="str">
        <f>('Inteligencia emocional'!A10)</f>
        <v>0</v>
      </c>
      <c r="GZ9" s="39" t="str">
        <f>'Por Valoracion (3) Dimension'!F9</f>
        <v>0</v>
      </c>
      <c r="HA9" s="39" t="str">
        <f>'Por Valoracion (3) Dimension 2'!B9</f>
        <v>0</v>
      </c>
      <c r="HC9" s="42" t="str">
        <f>HA3</f>
        <v>0</v>
      </c>
      <c r="HD9" s="43" t="str">
        <f>H9</f>
        <v>0</v>
      </c>
      <c r="HE9" s="45" t="str">
        <f>I9</f>
        <v>0</v>
      </c>
      <c r="HF9" s="43" t="str">
        <f>J9</f>
        <v>0</v>
      </c>
      <c r="HG9" s="43" t="str">
        <f>K9</f>
        <v>0</v>
      </c>
      <c r="HH9" s="43" t="str">
        <f>L9</f>
        <v>0</v>
      </c>
      <c r="HI9" s="45" t="str">
        <f>M9</f>
        <v>0</v>
      </c>
      <c r="HV9" s="47"/>
      <c r="HX9" t="str">
        <f>('Inteligencia emocional'!A10)</f>
        <v>0</v>
      </c>
      <c r="HY9" s="39" t="str">
        <f>'Por Valoracion (3) Dimension'!F9</f>
        <v>0</v>
      </c>
      <c r="HZ9" s="39" t="str">
        <f>'Por Valoracion (3) Dimension 2'!D9</f>
        <v>0</v>
      </c>
      <c r="IB9" s="42" t="str">
        <f>HZ3</f>
        <v>0</v>
      </c>
      <c r="IC9" s="43" t="str">
        <f>AG9</f>
        <v>0</v>
      </c>
      <c r="ID9" s="45" t="str">
        <f>AH9</f>
        <v>0</v>
      </c>
      <c r="IE9" s="43" t="str">
        <f>AI9</f>
        <v>0</v>
      </c>
      <c r="IF9" s="43" t="str">
        <f>AJ9</f>
        <v>0</v>
      </c>
      <c r="IG9" s="43" t="str">
        <f>AK9</f>
        <v>0</v>
      </c>
      <c r="IH9" s="45" t="str">
        <f>AL9</f>
        <v>0</v>
      </c>
      <c r="IU9" s="47"/>
      <c r="IW9" t="str">
        <f>('Inteligencia emocional'!A10)</f>
        <v>0</v>
      </c>
      <c r="IX9" s="39" t="str">
        <f>'Por Valoracion (3) Dimension'!F9</f>
        <v>0</v>
      </c>
      <c r="IY9" s="39" t="str">
        <f>'Por Valoracion (3) Dimension 2'!F9</f>
        <v>0</v>
      </c>
      <c r="JA9" s="42" t="str">
        <f>IY3</f>
        <v>0</v>
      </c>
      <c r="JB9" s="43" t="str">
        <f>BF9</f>
        <v>0</v>
      </c>
      <c r="JC9" s="45" t="str">
        <f>BG9</f>
        <v>0</v>
      </c>
      <c r="JD9" s="43" t="str">
        <f>BH9</f>
        <v>0</v>
      </c>
      <c r="JE9" s="43" t="str">
        <f>BI9</f>
        <v>0</v>
      </c>
      <c r="JF9" s="43" t="str">
        <f>BJ9</f>
        <v>0</v>
      </c>
      <c r="JG9" s="45" t="str">
        <f>BK9</f>
        <v>0</v>
      </c>
      <c r="JT9" s="47"/>
      <c r="JV9" t="str">
        <f>('Inteligencia emocional'!A10)</f>
        <v>0</v>
      </c>
      <c r="JW9" s="39" t="str">
        <f>'Por Valoracion (3) Dimension'!F9</f>
        <v>0</v>
      </c>
      <c r="JX9" s="39" t="str">
        <f>'Por Valoracion (3) Dimension 2'!H9</f>
        <v>0</v>
      </c>
      <c r="JZ9" s="42" t="str">
        <f>JX3</f>
        <v>0</v>
      </c>
      <c r="KA9" s="43" t="str">
        <f>CE9</f>
        <v>0</v>
      </c>
      <c r="KB9" s="45" t="str">
        <f>CF9</f>
        <v>0</v>
      </c>
      <c r="KC9" s="43" t="str">
        <f>CG9</f>
        <v>0</v>
      </c>
      <c r="KD9" s="43" t="str">
        <f>CH9</f>
        <v>0</v>
      </c>
      <c r="KE9" s="43" t="str">
        <f>CI9</f>
        <v>0</v>
      </c>
      <c r="KF9" s="45" t="str">
        <f>CJ9</f>
        <v>0</v>
      </c>
      <c r="KS9" s="47"/>
    </row>
    <row r="10" spans="1:305">
      <c r="A10" s="38"/>
      <c r="C10" t="str">
        <f>('Inteligencia emocional'!A11)</f>
        <v>0</v>
      </c>
      <c r="D10" s="39" t="str">
        <f>'Por Valoracion (3) Dimension'!B10</f>
        <v>0</v>
      </c>
      <c r="E10" s="39" t="str">
        <f>'Por Valoracion (3) Dimension 2'!B10</f>
        <v>0</v>
      </c>
      <c r="G10" s="41" t="s">
        <v>644</v>
      </c>
      <c r="O10" s="10" t="s">
        <v>415</v>
      </c>
      <c r="T10" s="10" t="s">
        <v>415</v>
      </c>
      <c r="Z10" s="38"/>
      <c r="AB10" t="str">
        <f>('Inteligencia emocional'!A11)</f>
        <v>0</v>
      </c>
      <c r="AC10" s="39" t="str">
        <f>'Por Valoracion (3) Dimension'!B10</f>
        <v>0</v>
      </c>
      <c r="AD10" s="39" t="str">
        <f>'Por Valoracion (3) Dimension 2'!D10</f>
        <v>0</v>
      </c>
      <c r="AF10" s="41" t="s">
        <v>644</v>
      </c>
      <c r="AN10" s="10" t="s">
        <v>416</v>
      </c>
      <c r="AS10" s="10" t="s">
        <v>416</v>
      </c>
      <c r="AY10" s="38"/>
      <c r="BA10" t="str">
        <f>('Inteligencia emocional'!A11)</f>
        <v>0</v>
      </c>
      <c r="BB10" s="39" t="str">
        <f>'Por Valoracion (3) Dimension'!B10</f>
        <v>0</v>
      </c>
      <c r="BC10" s="39" t="str">
        <f>'Por Valoracion (3) Dimension 2'!F10</f>
        <v>0</v>
      </c>
      <c r="BE10" s="41" t="s">
        <v>644</v>
      </c>
      <c r="BM10" s="10" t="s">
        <v>417</v>
      </c>
      <c r="BR10" s="10" t="s">
        <v>417</v>
      </c>
      <c r="BX10" s="38"/>
      <c r="BZ10" t="str">
        <f>('Inteligencia emocional'!A11)</f>
        <v>0</v>
      </c>
      <c r="CA10" s="39" t="str">
        <f>'Por Valoracion (3) Dimension'!B10</f>
        <v>0</v>
      </c>
      <c r="CB10" s="39" t="str">
        <f>'Por Valoracion (3) Dimension 2'!H10</f>
        <v>0</v>
      </c>
      <c r="CD10" s="41" t="s">
        <v>644</v>
      </c>
      <c r="CL10" s="10" t="s">
        <v>418</v>
      </c>
      <c r="CQ10" s="10" t="s">
        <v>418</v>
      </c>
      <c r="CW10" s="38"/>
      <c r="CY10" s="46"/>
      <c r="DA10" t="str">
        <f>('Inteligencia emocional'!A11)</f>
        <v>0</v>
      </c>
      <c r="DB10" s="39" t="str">
        <f>'Por Valoracion (3) Dimension'!D10</f>
        <v>0</v>
      </c>
      <c r="DC10" s="39" t="str">
        <f>'Por Valoracion (3) Dimension 2'!B10</f>
        <v>0</v>
      </c>
      <c r="DE10" s="41" t="s">
        <v>644</v>
      </c>
      <c r="DM10" s="10" t="s">
        <v>495</v>
      </c>
      <c r="DR10" s="10" t="s">
        <v>495</v>
      </c>
      <c r="DX10" s="46"/>
      <c r="DZ10" t="str">
        <f>('Inteligencia emocional'!A11)</f>
        <v>0</v>
      </c>
      <c r="EA10" s="39" t="str">
        <f>'Por Valoracion (3) Dimension'!D10</f>
        <v>0</v>
      </c>
      <c r="EB10" s="39" t="str">
        <f>'Por Valoracion (3) Dimension 2'!D10</f>
        <v>0</v>
      </c>
      <c r="ED10" s="41" t="s">
        <v>644</v>
      </c>
      <c r="EL10" s="10" t="s">
        <v>496</v>
      </c>
      <c r="EQ10" s="10" t="s">
        <v>496</v>
      </c>
      <c r="EW10" s="46"/>
      <c r="EY10" t="str">
        <f>('Inteligencia emocional'!A11)</f>
        <v>0</v>
      </c>
      <c r="EZ10" s="39" t="str">
        <f>'Por Valoracion (3) Dimension'!D10</f>
        <v>0</v>
      </c>
      <c r="FA10" s="39" t="str">
        <f>'Por Valoracion (3) Dimension 2'!F10</f>
        <v>0</v>
      </c>
      <c r="FC10" s="41" t="s">
        <v>644</v>
      </c>
      <c r="FK10" s="10" t="s">
        <v>497</v>
      </c>
      <c r="FP10" s="10" t="s">
        <v>497</v>
      </c>
      <c r="FV10" s="46"/>
      <c r="FX10" t="str">
        <f>('Inteligencia emocional'!A11)</f>
        <v>0</v>
      </c>
      <c r="FY10" s="39" t="str">
        <f>'Por Valoracion (3) Dimension'!D10</f>
        <v>0</v>
      </c>
      <c r="FZ10" s="39" t="str">
        <f>'Por Valoracion (3) Dimension 2'!H10</f>
        <v>0</v>
      </c>
      <c r="GB10" s="41" t="s">
        <v>644</v>
      </c>
      <c r="GJ10" s="10" t="s">
        <v>498</v>
      </c>
      <c r="GO10" s="10" t="s">
        <v>498</v>
      </c>
      <c r="GU10" s="46"/>
      <c r="GW10" s="47"/>
      <c r="GY10" t="str">
        <f>('Inteligencia emocional'!A11)</f>
        <v>0</v>
      </c>
      <c r="GZ10" s="39" t="str">
        <f>'Por Valoracion (3) Dimension'!F10</f>
        <v>0</v>
      </c>
      <c r="HA10" s="39" t="str">
        <f>'Por Valoracion (3) Dimension 2'!B10</f>
        <v>0</v>
      </c>
      <c r="HC10" s="41" t="s">
        <v>644</v>
      </c>
      <c r="HK10" s="10" t="s">
        <v>499</v>
      </c>
      <c r="HP10" s="10" t="s">
        <v>499</v>
      </c>
      <c r="HV10" s="47"/>
      <c r="HX10" t="str">
        <f>('Inteligencia emocional'!A11)</f>
        <v>0</v>
      </c>
      <c r="HY10" s="39" t="str">
        <f>'Por Valoracion (3) Dimension'!F10</f>
        <v>0</v>
      </c>
      <c r="HZ10" s="39" t="str">
        <f>'Por Valoracion (3) Dimension 2'!D10</f>
        <v>0</v>
      </c>
      <c r="IB10" s="41" t="s">
        <v>644</v>
      </c>
      <c r="IJ10" s="10" t="s">
        <v>500</v>
      </c>
      <c r="IO10" s="10" t="s">
        <v>500</v>
      </c>
      <c r="IU10" s="47"/>
      <c r="IW10" t="str">
        <f>('Inteligencia emocional'!A11)</f>
        <v>0</v>
      </c>
      <c r="IX10" s="39" t="str">
        <f>'Por Valoracion (3) Dimension'!F10</f>
        <v>0</v>
      </c>
      <c r="IY10" s="39" t="str">
        <f>'Por Valoracion (3) Dimension 2'!F10</f>
        <v>0</v>
      </c>
      <c r="JA10" s="41" t="s">
        <v>644</v>
      </c>
      <c r="JI10" s="10" t="s">
        <v>501</v>
      </c>
      <c r="JN10" s="10" t="s">
        <v>501</v>
      </c>
      <c r="JT10" s="47"/>
      <c r="JV10" t="str">
        <f>('Inteligencia emocional'!A11)</f>
        <v>0</v>
      </c>
      <c r="JW10" s="39" t="str">
        <f>'Por Valoracion (3) Dimension'!F10</f>
        <v>0</v>
      </c>
      <c r="JX10" s="39" t="str">
        <f>'Por Valoracion (3) Dimension 2'!H10</f>
        <v>0</v>
      </c>
      <c r="JZ10" s="41" t="s">
        <v>644</v>
      </c>
      <c r="KH10" s="10" t="s">
        <v>502</v>
      </c>
      <c r="KM10" s="10" t="s">
        <v>502</v>
      </c>
      <c r="KS10" s="47"/>
    </row>
    <row r="11" spans="1:305">
      <c r="A11" s="38"/>
      <c r="C11" t="str">
        <f>('Inteligencia emocional'!A12)</f>
        <v>0</v>
      </c>
      <c r="D11" s="39" t="str">
        <f>'Por Valoracion (3) Dimension'!B11</f>
        <v>0</v>
      </c>
      <c r="E11" s="39" t="str">
        <f>'Por Valoracion (3) Dimension 2'!B11</f>
        <v>0</v>
      </c>
      <c r="O11" s="42" t="s">
        <v>645</v>
      </c>
      <c r="P11" s="12"/>
      <c r="Q11" s="12"/>
      <c r="R11" s="12"/>
      <c r="T11" s="42" t="s">
        <v>645</v>
      </c>
      <c r="U11" s="12"/>
      <c r="V11" s="12"/>
      <c r="W11" s="12"/>
      <c r="X11" s="12"/>
      <c r="Z11" s="38"/>
      <c r="AB11" t="str">
        <f>('Inteligencia emocional'!A12)</f>
        <v>0</v>
      </c>
      <c r="AC11" s="39" t="str">
        <f>'Por Valoracion (3) Dimension'!B11</f>
        <v>0</v>
      </c>
      <c r="AD11" s="39" t="str">
        <f>'Por Valoracion (3) Dimension 2'!D11</f>
        <v>0</v>
      </c>
      <c r="AN11" s="42" t="s">
        <v>645</v>
      </c>
      <c r="AO11" s="12"/>
      <c r="AP11" s="12"/>
      <c r="AQ11" s="12"/>
      <c r="AS11" s="42" t="s">
        <v>645</v>
      </c>
      <c r="AT11" s="12"/>
      <c r="AU11" s="12"/>
      <c r="AV11" s="12"/>
      <c r="AW11" s="12"/>
      <c r="AY11" s="38"/>
      <c r="BA11" t="str">
        <f>('Inteligencia emocional'!A12)</f>
        <v>0</v>
      </c>
      <c r="BB11" s="39" t="str">
        <f>'Por Valoracion (3) Dimension'!B11</f>
        <v>0</v>
      </c>
      <c r="BC11" s="39" t="str">
        <f>'Por Valoracion (3) Dimension 2'!F11</f>
        <v>0</v>
      </c>
      <c r="BM11" s="42" t="s">
        <v>645</v>
      </c>
      <c r="BN11" s="12"/>
      <c r="BO11" s="12"/>
      <c r="BP11" s="12"/>
      <c r="BR11" s="42" t="s">
        <v>645</v>
      </c>
      <c r="BS11" s="12"/>
      <c r="BT11" s="12"/>
      <c r="BU11" s="12"/>
      <c r="BV11" s="12"/>
      <c r="BX11" s="38"/>
      <c r="BZ11" t="str">
        <f>('Inteligencia emocional'!A12)</f>
        <v>0</v>
      </c>
      <c r="CA11" s="39" t="str">
        <f>'Por Valoracion (3) Dimension'!B11</f>
        <v>0</v>
      </c>
      <c r="CB11" s="39" t="str">
        <f>'Por Valoracion (3) Dimension 2'!H11</f>
        <v>0</v>
      </c>
      <c r="CL11" s="42" t="s">
        <v>645</v>
      </c>
      <c r="CM11" s="12"/>
      <c r="CN11" s="12"/>
      <c r="CO11" s="12"/>
      <c r="CQ11" s="42" t="s">
        <v>645</v>
      </c>
      <c r="CR11" s="12"/>
      <c r="CS11" s="12"/>
      <c r="CT11" s="12"/>
      <c r="CU11" s="12"/>
      <c r="CW11" s="38"/>
      <c r="CY11" s="46"/>
      <c r="DA11" t="str">
        <f>('Inteligencia emocional'!A12)</f>
        <v>0</v>
      </c>
      <c r="DB11" s="39" t="str">
        <f>'Por Valoracion (3) Dimension'!D11</f>
        <v>0</v>
      </c>
      <c r="DC11" s="39" t="str">
        <f>'Por Valoracion (3) Dimension 2'!B11</f>
        <v>0</v>
      </c>
      <c r="DM11" s="42" t="s">
        <v>645</v>
      </c>
      <c r="DN11" s="12"/>
      <c r="DO11" s="12"/>
      <c r="DP11" s="12"/>
      <c r="DR11" s="42" t="s">
        <v>645</v>
      </c>
      <c r="DS11" s="12"/>
      <c r="DT11" s="12"/>
      <c r="DU11" s="12"/>
      <c r="DV11" s="12"/>
      <c r="DX11" s="46"/>
      <c r="DZ11" t="str">
        <f>('Inteligencia emocional'!A12)</f>
        <v>0</v>
      </c>
      <c r="EA11" s="39" t="str">
        <f>'Por Valoracion (3) Dimension'!D11</f>
        <v>0</v>
      </c>
      <c r="EB11" s="39" t="str">
        <f>'Por Valoracion (3) Dimension 2'!D11</f>
        <v>0</v>
      </c>
      <c r="EL11" s="42" t="s">
        <v>645</v>
      </c>
      <c r="EM11" s="12"/>
      <c r="EN11" s="12"/>
      <c r="EO11" s="12"/>
      <c r="EQ11" s="42" t="s">
        <v>645</v>
      </c>
      <c r="ER11" s="12"/>
      <c r="ES11" s="12"/>
      <c r="ET11" s="12"/>
      <c r="EU11" s="12"/>
      <c r="EW11" s="46"/>
      <c r="EY11" t="str">
        <f>('Inteligencia emocional'!A12)</f>
        <v>0</v>
      </c>
      <c r="EZ11" s="39" t="str">
        <f>'Por Valoracion (3) Dimension'!D11</f>
        <v>0</v>
      </c>
      <c r="FA11" s="39" t="str">
        <f>'Por Valoracion (3) Dimension 2'!F11</f>
        <v>0</v>
      </c>
      <c r="FK11" s="42" t="s">
        <v>645</v>
      </c>
      <c r="FL11" s="12"/>
      <c r="FM11" s="12"/>
      <c r="FN11" s="12"/>
      <c r="FP11" s="42" t="s">
        <v>645</v>
      </c>
      <c r="FQ11" s="12"/>
      <c r="FR11" s="12"/>
      <c r="FS11" s="12"/>
      <c r="FT11" s="12"/>
      <c r="FV11" s="46"/>
      <c r="FX11" t="str">
        <f>('Inteligencia emocional'!A12)</f>
        <v>0</v>
      </c>
      <c r="FY11" s="39" t="str">
        <f>'Por Valoracion (3) Dimension'!D11</f>
        <v>0</v>
      </c>
      <c r="FZ11" s="39" t="str">
        <f>'Por Valoracion (3) Dimension 2'!H11</f>
        <v>0</v>
      </c>
      <c r="GJ11" s="42" t="s">
        <v>645</v>
      </c>
      <c r="GK11" s="12"/>
      <c r="GL11" s="12"/>
      <c r="GM11" s="12"/>
      <c r="GO11" s="42" t="s">
        <v>645</v>
      </c>
      <c r="GP11" s="12"/>
      <c r="GQ11" s="12"/>
      <c r="GR11" s="12"/>
      <c r="GS11" s="12"/>
      <c r="GU11" s="46"/>
      <c r="GW11" s="47"/>
      <c r="GY11" t="str">
        <f>('Inteligencia emocional'!A12)</f>
        <v>0</v>
      </c>
      <c r="GZ11" s="39" t="str">
        <f>'Por Valoracion (3) Dimension'!F11</f>
        <v>0</v>
      </c>
      <c r="HA11" s="39" t="str">
        <f>'Por Valoracion (3) Dimension 2'!B11</f>
        <v>0</v>
      </c>
      <c r="HK11" s="42" t="s">
        <v>645</v>
      </c>
      <c r="HL11" s="12"/>
      <c r="HM11" s="12"/>
      <c r="HN11" s="12"/>
      <c r="HP11" s="42" t="s">
        <v>645</v>
      </c>
      <c r="HQ11" s="12"/>
      <c r="HR11" s="12"/>
      <c r="HS11" s="12"/>
      <c r="HT11" s="12"/>
      <c r="HV11" s="47"/>
      <c r="HX11" t="str">
        <f>('Inteligencia emocional'!A12)</f>
        <v>0</v>
      </c>
      <c r="HY11" s="39" t="str">
        <f>'Por Valoracion (3) Dimension'!F11</f>
        <v>0</v>
      </c>
      <c r="HZ11" s="39" t="str">
        <f>'Por Valoracion (3) Dimension 2'!D11</f>
        <v>0</v>
      </c>
      <c r="IJ11" s="42" t="s">
        <v>645</v>
      </c>
      <c r="IK11" s="12"/>
      <c r="IL11" s="12"/>
      <c r="IM11" s="12"/>
      <c r="IO11" s="42" t="s">
        <v>645</v>
      </c>
      <c r="IP11" s="12"/>
      <c r="IQ11" s="12"/>
      <c r="IR11" s="12"/>
      <c r="IS11" s="12"/>
      <c r="IU11" s="47"/>
      <c r="IW11" t="str">
        <f>('Inteligencia emocional'!A12)</f>
        <v>0</v>
      </c>
      <c r="IX11" s="39" t="str">
        <f>'Por Valoracion (3) Dimension'!F11</f>
        <v>0</v>
      </c>
      <c r="IY11" s="39" t="str">
        <f>'Por Valoracion (3) Dimension 2'!F11</f>
        <v>0</v>
      </c>
      <c r="JI11" s="42" t="s">
        <v>645</v>
      </c>
      <c r="JJ11" s="12"/>
      <c r="JK11" s="12"/>
      <c r="JL11" s="12"/>
      <c r="JN11" s="42" t="s">
        <v>645</v>
      </c>
      <c r="JO11" s="12"/>
      <c r="JP11" s="12"/>
      <c r="JQ11" s="12"/>
      <c r="JR11" s="12"/>
      <c r="JT11" s="47"/>
      <c r="JV11" t="str">
        <f>('Inteligencia emocional'!A12)</f>
        <v>0</v>
      </c>
      <c r="JW11" s="39" t="str">
        <f>'Por Valoracion (3) Dimension'!F11</f>
        <v>0</v>
      </c>
      <c r="JX11" s="39" t="str">
        <f>'Por Valoracion (3) Dimension 2'!H11</f>
        <v>0</v>
      </c>
      <c r="KH11" s="42" t="s">
        <v>645</v>
      </c>
      <c r="KI11" s="12"/>
      <c r="KJ11" s="12"/>
      <c r="KK11" s="12"/>
      <c r="KM11" s="42" t="s">
        <v>645</v>
      </c>
      <c r="KN11" s="12"/>
      <c r="KO11" s="12"/>
      <c r="KP11" s="12"/>
      <c r="KQ11" s="12"/>
      <c r="KS11" s="47"/>
    </row>
    <row r="12" spans="1:305">
      <c r="A12" s="38"/>
      <c r="C12" t="str">
        <f>('Inteligencia emocional'!A13)</f>
        <v>0</v>
      </c>
      <c r="D12" s="39" t="str">
        <f>'Por Valoracion (3) Dimension'!B12</f>
        <v>0</v>
      </c>
      <c r="E12" s="39" t="str">
        <f>'Por Valoracion (3) Dimension 2'!B12</f>
        <v>0</v>
      </c>
      <c r="G12" s="27" t="str">
        <f>CONCATENATE("en la ",G4," y basándose en la prueba de ",F364," se puede observar que, ","con una probabilidad de error de ",D365,"% para la ",D363," ",D364," y ",E365,"% para la ",E363," ",E364,", ",G364,H364, " por tal motivo se procederá a utilizar ",I364,".")</f>
        <v>0</v>
      </c>
      <c r="O12" s="12"/>
      <c r="P12" s="12"/>
      <c r="Q12" s="42" t="str">
        <f>D3</f>
        <v>0</v>
      </c>
      <c r="R12" s="42" t="str">
        <f>E3</f>
        <v>0</v>
      </c>
      <c r="T12" s="12"/>
      <c r="U12" s="12"/>
      <c r="V12" s="12"/>
      <c r="W12" s="42" t="str">
        <f>D3</f>
        <v>0</v>
      </c>
      <c r="X12" s="42" t="str">
        <f>E3</f>
        <v>0</v>
      </c>
      <c r="Z12" s="38"/>
      <c r="AB12" t="str">
        <f>('Inteligencia emocional'!A13)</f>
        <v>0</v>
      </c>
      <c r="AC12" s="39" t="str">
        <f>'Por Valoracion (3) Dimension'!B12</f>
        <v>0</v>
      </c>
      <c r="AD12" s="39" t="str">
        <f>'Por Valoracion (3) Dimension 2'!D12</f>
        <v>0</v>
      </c>
      <c r="AF12" s="27" t="str">
        <f>CONCATENATE("en la ",AF4," y basándose en la prueba de ",AE364," se puede observar que, ","con una probabilidad de error de ",AC365,"% para la ",AC363," ",AC364," y ",AD365,"% para la ",AD363," ",AD364,", ",AF364,AG364, " por tal motivo se procederá a utilizar ",AH364,".")</f>
        <v>0</v>
      </c>
      <c r="AN12" s="12"/>
      <c r="AO12" s="12"/>
      <c r="AP12" s="42" t="str">
        <f>AC3</f>
        <v>0</v>
      </c>
      <c r="AQ12" s="42" t="str">
        <f>AD3</f>
        <v>0</v>
      </c>
      <c r="AS12" s="12"/>
      <c r="AT12" s="12"/>
      <c r="AU12" s="12"/>
      <c r="AV12" s="42" t="str">
        <f>AC3</f>
        <v>0</v>
      </c>
      <c r="AW12" s="42" t="str">
        <f>AD3</f>
        <v>0</v>
      </c>
      <c r="AY12" s="38"/>
      <c r="BA12" t="str">
        <f>('Inteligencia emocional'!A13)</f>
        <v>0</v>
      </c>
      <c r="BB12" s="39" t="str">
        <f>'Por Valoracion (3) Dimension'!B12</f>
        <v>0</v>
      </c>
      <c r="BC12" s="39" t="str">
        <f>'Por Valoracion (3) Dimension 2'!F12</f>
        <v>0</v>
      </c>
      <c r="BE12" s="27" t="str">
        <f>CONCATENATE("en la ",BE4," y basándose en la prueba de ",BD364," se puede observar que, ","con una probabilidad de error de ",BB365,"% para la ",BB363," ",BB364," y ",BC365,"% para la ",BC363," ",BC364,", ",BE364,BF364, " por tal motivo se procederá a utilizar ",BG364,".")</f>
        <v>0</v>
      </c>
      <c r="BM12" s="12"/>
      <c r="BN12" s="12"/>
      <c r="BO12" s="42" t="str">
        <f>BB3</f>
        <v>0</v>
      </c>
      <c r="BP12" s="42" t="str">
        <f>BC3</f>
        <v>0</v>
      </c>
      <c r="BR12" s="12"/>
      <c r="BS12" s="12"/>
      <c r="BT12" s="12"/>
      <c r="BU12" s="42" t="str">
        <f>BB3</f>
        <v>0</v>
      </c>
      <c r="BV12" s="42" t="str">
        <f>BC3</f>
        <v>0</v>
      </c>
      <c r="BX12" s="38"/>
      <c r="BZ12" t="str">
        <f>('Inteligencia emocional'!A13)</f>
        <v>0</v>
      </c>
      <c r="CA12" s="39" t="str">
        <f>'Por Valoracion (3) Dimension'!B12</f>
        <v>0</v>
      </c>
      <c r="CB12" s="39" t="str">
        <f>'Por Valoracion (3) Dimension 2'!H12</f>
        <v>0</v>
      </c>
      <c r="CD12" s="27" t="str">
        <f>CONCATENATE("en la ",CD4," y basándose en la prueba de ",CC364," se puede observar que, ","con una probabilidad de error de ",CA365,"% para la ",CA363," ",CA364," y ",CB365,"% para la ",CB363," ",CB364,", ",CD364,CE364, " por tal motivo se procederá a utilizar ",CF364,".")</f>
        <v>0</v>
      </c>
      <c r="CL12" s="12"/>
      <c r="CM12" s="12"/>
      <c r="CN12" s="42" t="str">
        <f>CA3</f>
        <v>0</v>
      </c>
      <c r="CO12" s="42" t="str">
        <f>CB3</f>
        <v>0</v>
      </c>
      <c r="CQ12" s="12"/>
      <c r="CR12" s="12"/>
      <c r="CS12" s="12"/>
      <c r="CT12" s="42" t="str">
        <f>CA3</f>
        <v>0</v>
      </c>
      <c r="CU12" s="42" t="str">
        <f>CB3</f>
        <v>0</v>
      </c>
      <c r="CW12" s="38"/>
      <c r="CY12" s="46"/>
      <c r="DA12" t="str">
        <f>('Inteligencia emocional'!A13)</f>
        <v>0</v>
      </c>
      <c r="DB12" s="39" t="str">
        <f>'Por Valoracion (3) Dimension'!D12</f>
        <v>0</v>
      </c>
      <c r="DC12" s="39" t="str">
        <f>'Por Valoracion (3) Dimension 2'!B12</f>
        <v>0</v>
      </c>
      <c r="DE12" s="27" t="str">
        <f>CONCATENATE("en la ",DE4," y basándose en la prueba de ",DD364," se puede observar que, ","con una probabilidad de error de ",DB365,"% para la ",DB363," ",DB364," y ",DC365,"% para la ",DC363," ",DC364,", ",DE364,DF364, " por tal motivo se procederá a utilizar ",DG364,".")</f>
        <v>0</v>
      </c>
      <c r="DM12" s="12"/>
      <c r="DN12" s="12"/>
      <c r="DO12" s="42" t="str">
        <f>DB3</f>
        <v>0</v>
      </c>
      <c r="DP12" s="42" t="str">
        <f>DC3</f>
        <v>0</v>
      </c>
      <c r="DR12" s="12"/>
      <c r="DS12" s="12"/>
      <c r="DT12" s="12"/>
      <c r="DU12" s="42" t="str">
        <f>DB3</f>
        <v>0</v>
      </c>
      <c r="DV12" s="42" t="str">
        <f>DC3</f>
        <v>0</v>
      </c>
      <c r="DX12" s="46"/>
      <c r="DZ12" t="str">
        <f>('Inteligencia emocional'!A13)</f>
        <v>0</v>
      </c>
      <c r="EA12" s="39" t="str">
        <f>'Por Valoracion (3) Dimension'!D12</f>
        <v>0</v>
      </c>
      <c r="EB12" s="39" t="str">
        <f>'Por Valoracion (3) Dimension 2'!D12</f>
        <v>0</v>
      </c>
      <c r="ED12" s="27" t="str">
        <f>CONCATENATE("en la ",ED4," y basándose en la prueba de ",EC364," se puede observar que, ","con una probabilidad de error de ",EA365,"% para la ",EA363," ",EA364," y ",EB365,"% para la ",EB363," ",EB364,", ",ED364,EE364, " por tal motivo se procederá a utilizar ",EF364,".")</f>
        <v>0</v>
      </c>
      <c r="EL12" s="12"/>
      <c r="EM12" s="12"/>
      <c r="EN12" s="42" t="str">
        <f>EA3</f>
        <v>0</v>
      </c>
      <c r="EO12" s="42" t="str">
        <f>EB3</f>
        <v>0</v>
      </c>
      <c r="EQ12" s="12"/>
      <c r="ER12" s="12"/>
      <c r="ES12" s="12"/>
      <c r="ET12" s="42" t="str">
        <f>EA3</f>
        <v>0</v>
      </c>
      <c r="EU12" s="42" t="str">
        <f>EB3</f>
        <v>0</v>
      </c>
      <c r="EW12" s="46"/>
      <c r="EY12" t="str">
        <f>('Inteligencia emocional'!A13)</f>
        <v>0</v>
      </c>
      <c r="EZ12" s="39" t="str">
        <f>'Por Valoracion (3) Dimension'!D12</f>
        <v>0</v>
      </c>
      <c r="FA12" s="39" t="str">
        <f>'Por Valoracion (3) Dimension 2'!F12</f>
        <v>0</v>
      </c>
      <c r="FC12" s="27" t="str">
        <f>CONCATENATE("en la ",FC4," y basándose en la prueba de ",FB364," se puede observar que, ","con una probabilidad de error de ",EZ365,"% para la ",EZ363," ",EZ364," y ",FA365,"% para la ",FA363," ",FA364,", ",FC364,FD364, " por tal motivo se procederá a utilizar ",FE364,".")</f>
        <v>0</v>
      </c>
      <c r="FK12" s="12"/>
      <c r="FL12" s="12"/>
      <c r="FM12" s="42" t="str">
        <f>EZ3</f>
        <v>0</v>
      </c>
      <c r="FN12" s="42" t="str">
        <f>FA3</f>
        <v>0</v>
      </c>
      <c r="FP12" s="12"/>
      <c r="FQ12" s="12"/>
      <c r="FR12" s="12"/>
      <c r="FS12" s="42" t="str">
        <f>EZ3</f>
        <v>0</v>
      </c>
      <c r="FT12" s="42" t="str">
        <f>FA3</f>
        <v>0</v>
      </c>
      <c r="FV12" s="46"/>
      <c r="FX12" t="str">
        <f>('Inteligencia emocional'!A13)</f>
        <v>0</v>
      </c>
      <c r="FY12" s="39" t="str">
        <f>'Por Valoracion (3) Dimension'!D12</f>
        <v>0</v>
      </c>
      <c r="FZ12" s="39" t="str">
        <f>'Por Valoracion (3) Dimension 2'!H12</f>
        <v>0</v>
      </c>
      <c r="GB12" s="27" t="str">
        <f>CONCATENATE("en la ",GB4," y basándose en la prueba de ",GA364," se puede observar que, ","con una probabilidad de error de ",FY365,"% para la ",FY363," ",FY364," y ",FZ365,"% para la ",FZ363," ",FZ364,", ",GB364,GC364, " por tal motivo se procederá a utilizar ",GD364,".")</f>
        <v>0</v>
      </c>
      <c r="GJ12" s="12"/>
      <c r="GK12" s="12"/>
      <c r="GL12" s="42" t="str">
        <f>FY3</f>
        <v>0</v>
      </c>
      <c r="GM12" s="42" t="str">
        <f>FZ3</f>
        <v>0</v>
      </c>
      <c r="GO12" s="12"/>
      <c r="GP12" s="12"/>
      <c r="GQ12" s="12"/>
      <c r="GR12" s="42" t="str">
        <f>FY3</f>
        <v>0</v>
      </c>
      <c r="GS12" s="42" t="str">
        <f>FZ3</f>
        <v>0</v>
      </c>
      <c r="GU12" s="46"/>
      <c r="GW12" s="47"/>
      <c r="GY12" t="str">
        <f>('Inteligencia emocional'!A13)</f>
        <v>0</v>
      </c>
      <c r="GZ12" s="39" t="str">
        <f>'Por Valoracion (3) Dimension'!F12</f>
        <v>0</v>
      </c>
      <c r="HA12" s="39" t="str">
        <f>'Por Valoracion (3) Dimension 2'!B12</f>
        <v>0</v>
      </c>
      <c r="HC12" s="27" t="str">
        <f>CONCATENATE("en la ",HC4," y basándose en la prueba de ",HB364," se puede observar que, ","con una probabilidad de error de ",GZ365,"% para la ",GZ363," ",GZ364," y ",HA365,"% para la ",HA363," ",HA364,", ",HC364,HD364, " por tal motivo se procederá a utilizar ",HE364,".")</f>
        <v>0</v>
      </c>
      <c r="HK12" s="12"/>
      <c r="HL12" s="12"/>
      <c r="HM12" s="42" t="str">
        <f>GZ3</f>
        <v>0</v>
      </c>
      <c r="HN12" s="42" t="str">
        <f>HA3</f>
        <v>0</v>
      </c>
      <c r="HP12" s="12"/>
      <c r="HQ12" s="12"/>
      <c r="HR12" s="12"/>
      <c r="HS12" s="42" t="str">
        <f>GZ3</f>
        <v>0</v>
      </c>
      <c r="HT12" s="42" t="str">
        <f>HA3</f>
        <v>0</v>
      </c>
      <c r="HV12" s="47"/>
      <c r="HX12" t="str">
        <f>('Inteligencia emocional'!A13)</f>
        <v>0</v>
      </c>
      <c r="HY12" s="39" t="str">
        <f>'Por Valoracion (3) Dimension'!F12</f>
        <v>0</v>
      </c>
      <c r="HZ12" s="39" t="str">
        <f>'Por Valoracion (3) Dimension 2'!D12</f>
        <v>0</v>
      </c>
      <c r="IB12" s="27" t="str">
        <f>CONCATENATE("en la ",IB4," y basándose en la prueba de ",IA364," se puede observar que, ","con una probabilidad de error de ",HY365,"% para la ",HY363," ",HY364," y ",HZ365,"% para la ",HZ363," ",HZ364,", ",IB364,IC364, " por tal motivo se procederá a utilizar ",ID364,".")</f>
        <v>0</v>
      </c>
      <c r="IJ12" s="12"/>
      <c r="IK12" s="12"/>
      <c r="IL12" s="42" t="str">
        <f>HY3</f>
        <v>0</v>
      </c>
      <c r="IM12" s="42" t="str">
        <f>HZ3</f>
        <v>0</v>
      </c>
      <c r="IO12" s="12"/>
      <c r="IP12" s="12"/>
      <c r="IQ12" s="12"/>
      <c r="IR12" s="42" t="str">
        <f>HY3</f>
        <v>0</v>
      </c>
      <c r="IS12" s="42" t="str">
        <f>HZ3</f>
        <v>0</v>
      </c>
      <c r="IU12" s="47"/>
      <c r="IW12" t="str">
        <f>('Inteligencia emocional'!A13)</f>
        <v>0</v>
      </c>
      <c r="IX12" s="39" t="str">
        <f>'Por Valoracion (3) Dimension'!F12</f>
        <v>0</v>
      </c>
      <c r="IY12" s="39" t="str">
        <f>'Por Valoracion (3) Dimension 2'!F12</f>
        <v>0</v>
      </c>
      <c r="JA12" s="27" t="str">
        <f>CONCATENATE("en la ",JA4," y basándose en la prueba de ",IZ364," se puede observar que, ","con una probabilidad de error de ",IX365,"% para la ",IX363," ",IX364," y ",IY365,"% para la ",IY363," ",IY364,", ",JA364,JB364, " por tal motivo se procederá a utilizar ",JC364,".")</f>
        <v>0</v>
      </c>
      <c r="JI12" s="12"/>
      <c r="JJ12" s="12"/>
      <c r="JK12" s="42" t="str">
        <f>IX3</f>
        <v>0</v>
      </c>
      <c r="JL12" s="42" t="str">
        <f>IY3</f>
        <v>0</v>
      </c>
      <c r="JN12" s="12"/>
      <c r="JO12" s="12"/>
      <c r="JP12" s="12"/>
      <c r="JQ12" s="42" t="str">
        <f>IX3</f>
        <v>0</v>
      </c>
      <c r="JR12" s="42" t="str">
        <f>IY3</f>
        <v>0</v>
      </c>
      <c r="JT12" s="47"/>
      <c r="JV12" t="str">
        <f>('Inteligencia emocional'!A13)</f>
        <v>0</v>
      </c>
      <c r="JW12" s="39" t="str">
        <f>'Por Valoracion (3) Dimension'!F12</f>
        <v>0</v>
      </c>
      <c r="JX12" s="39" t="str">
        <f>'Por Valoracion (3) Dimension 2'!H12</f>
        <v>0</v>
      </c>
      <c r="JZ12" s="27" t="str">
        <f>CONCATENATE("en la ",JZ4," y basándose en la prueba de ",JY364," se puede observar que, ","con una probabilidad de error de ",JW365,"% para la ",JW363," ",JW364," y ",JX365,"% para la ",JX363," ",JX364,", ",JZ364,KA364, " por tal motivo se procederá a utilizar ",KB364,".")</f>
        <v>0</v>
      </c>
      <c r="KH12" s="12"/>
      <c r="KI12" s="12"/>
      <c r="KJ12" s="42" t="str">
        <f>JW3</f>
        <v>0</v>
      </c>
      <c r="KK12" s="42" t="str">
        <f>JX3</f>
        <v>0</v>
      </c>
      <c r="KM12" s="12"/>
      <c r="KN12" s="12"/>
      <c r="KO12" s="12"/>
      <c r="KP12" s="42" t="str">
        <f>JW3</f>
        <v>0</v>
      </c>
      <c r="KQ12" s="42" t="str">
        <f>JX3</f>
        <v>0</v>
      </c>
      <c r="KS12" s="47"/>
    </row>
    <row r="13" spans="1:305">
      <c r="A13" s="38"/>
      <c r="C13" t="str">
        <f>('Inteligencia emocional'!A14)</f>
        <v>0</v>
      </c>
      <c r="D13" s="39" t="str">
        <f>'Por Valoracion (3) Dimension'!B13</f>
        <v>0</v>
      </c>
      <c r="E13" s="39" t="str">
        <f>'Por Valoracion (3) Dimension 2'!B13</f>
        <v>0</v>
      </c>
      <c r="O13" s="41" t="str">
        <f>D3</f>
        <v>0</v>
      </c>
      <c r="P13" s="44" t="s">
        <v>646</v>
      </c>
      <c r="T13" s="44" t="s">
        <v>647</v>
      </c>
      <c r="U13" s="41" t="str">
        <f>D3</f>
        <v>0</v>
      </c>
      <c r="V13" s="44" t="s">
        <v>648</v>
      </c>
      <c r="Z13" s="38"/>
      <c r="AB13" t="str">
        <f>('Inteligencia emocional'!A14)</f>
        <v>0</v>
      </c>
      <c r="AC13" s="39" t="str">
        <f>'Por Valoracion (3) Dimension'!B13</f>
        <v>0</v>
      </c>
      <c r="AD13" s="39" t="str">
        <f>'Por Valoracion (3) Dimension 2'!D13</f>
        <v>0</v>
      </c>
      <c r="AN13" s="41" t="str">
        <f>AC3</f>
        <v>0</v>
      </c>
      <c r="AO13" s="44" t="s">
        <v>646</v>
      </c>
      <c r="AS13" s="44" t="s">
        <v>647</v>
      </c>
      <c r="AT13" s="41" t="str">
        <f>AC3</f>
        <v>0</v>
      </c>
      <c r="AU13" s="44" t="s">
        <v>648</v>
      </c>
      <c r="AY13" s="38"/>
      <c r="BA13" t="str">
        <f>('Inteligencia emocional'!A14)</f>
        <v>0</v>
      </c>
      <c r="BB13" s="39" t="str">
        <f>'Por Valoracion (3) Dimension'!B13</f>
        <v>0</v>
      </c>
      <c r="BC13" s="39" t="str">
        <f>'Por Valoracion (3) Dimension 2'!F13</f>
        <v>0</v>
      </c>
      <c r="BM13" s="41" t="str">
        <f>BB3</f>
        <v>0</v>
      </c>
      <c r="BN13" s="44" t="s">
        <v>646</v>
      </c>
      <c r="BR13" s="44" t="s">
        <v>647</v>
      </c>
      <c r="BS13" s="41" t="str">
        <f>BB3</f>
        <v>0</v>
      </c>
      <c r="BT13" s="44" t="s">
        <v>648</v>
      </c>
      <c r="BX13" s="38"/>
      <c r="BZ13" t="str">
        <f>('Inteligencia emocional'!A14)</f>
        <v>0</v>
      </c>
      <c r="CA13" s="39" t="str">
        <f>'Por Valoracion (3) Dimension'!B13</f>
        <v>0</v>
      </c>
      <c r="CB13" s="39" t="str">
        <f>'Por Valoracion (3) Dimension 2'!H13</f>
        <v>0</v>
      </c>
      <c r="CL13" s="41" t="str">
        <f>CA3</f>
        <v>0</v>
      </c>
      <c r="CM13" s="44" t="s">
        <v>646</v>
      </c>
      <c r="CQ13" s="44" t="s">
        <v>647</v>
      </c>
      <c r="CR13" s="41" t="str">
        <f>CA3</f>
        <v>0</v>
      </c>
      <c r="CS13" s="44" t="s">
        <v>648</v>
      </c>
      <c r="CW13" s="38"/>
      <c r="CY13" s="46"/>
      <c r="DA13" t="str">
        <f>('Inteligencia emocional'!A14)</f>
        <v>0</v>
      </c>
      <c r="DB13" s="39" t="str">
        <f>'Por Valoracion (3) Dimension'!D13</f>
        <v>0</v>
      </c>
      <c r="DC13" s="39" t="str">
        <f>'Por Valoracion (3) Dimension 2'!B13</f>
        <v>0</v>
      </c>
      <c r="DM13" s="41" t="str">
        <f>DB3</f>
        <v>0</v>
      </c>
      <c r="DN13" s="44" t="s">
        <v>646</v>
      </c>
      <c r="DR13" s="44" t="s">
        <v>647</v>
      </c>
      <c r="DS13" s="41" t="str">
        <f>DB3</f>
        <v>0</v>
      </c>
      <c r="DT13" s="44" t="s">
        <v>648</v>
      </c>
      <c r="DX13" s="46"/>
      <c r="DZ13" t="str">
        <f>('Inteligencia emocional'!A14)</f>
        <v>0</v>
      </c>
      <c r="EA13" s="39" t="str">
        <f>'Por Valoracion (3) Dimension'!D13</f>
        <v>0</v>
      </c>
      <c r="EB13" s="39" t="str">
        <f>'Por Valoracion (3) Dimension 2'!D13</f>
        <v>0</v>
      </c>
      <c r="EL13" s="41" t="str">
        <f>EA3</f>
        <v>0</v>
      </c>
      <c r="EM13" s="44" t="s">
        <v>646</v>
      </c>
      <c r="EQ13" s="44" t="s">
        <v>647</v>
      </c>
      <c r="ER13" s="41" t="str">
        <f>EA3</f>
        <v>0</v>
      </c>
      <c r="ES13" s="44" t="s">
        <v>648</v>
      </c>
      <c r="EW13" s="46"/>
      <c r="EY13" t="str">
        <f>('Inteligencia emocional'!A14)</f>
        <v>0</v>
      </c>
      <c r="EZ13" s="39" t="str">
        <f>'Por Valoracion (3) Dimension'!D13</f>
        <v>0</v>
      </c>
      <c r="FA13" s="39" t="str">
        <f>'Por Valoracion (3) Dimension 2'!F13</f>
        <v>0</v>
      </c>
      <c r="FK13" s="41" t="str">
        <f>EZ3</f>
        <v>0</v>
      </c>
      <c r="FL13" s="44" t="s">
        <v>646</v>
      </c>
      <c r="FP13" s="44" t="s">
        <v>647</v>
      </c>
      <c r="FQ13" s="41" t="str">
        <f>EZ3</f>
        <v>0</v>
      </c>
      <c r="FR13" s="44" t="s">
        <v>648</v>
      </c>
      <c r="FV13" s="46"/>
      <c r="FX13" t="str">
        <f>('Inteligencia emocional'!A14)</f>
        <v>0</v>
      </c>
      <c r="FY13" s="39" t="str">
        <f>'Por Valoracion (3) Dimension'!D13</f>
        <v>0</v>
      </c>
      <c r="FZ13" s="39" t="str">
        <f>'Por Valoracion (3) Dimension 2'!H13</f>
        <v>0</v>
      </c>
      <c r="GJ13" s="41" t="str">
        <f>FY3</f>
        <v>0</v>
      </c>
      <c r="GK13" s="44" t="s">
        <v>646</v>
      </c>
      <c r="GO13" s="44" t="s">
        <v>647</v>
      </c>
      <c r="GP13" s="41" t="str">
        <f>FY3</f>
        <v>0</v>
      </c>
      <c r="GQ13" s="44" t="s">
        <v>648</v>
      </c>
      <c r="GU13" s="46"/>
      <c r="GW13" s="47"/>
      <c r="GY13" t="str">
        <f>('Inteligencia emocional'!A14)</f>
        <v>0</v>
      </c>
      <c r="GZ13" s="39" t="str">
        <f>'Por Valoracion (3) Dimension'!F13</f>
        <v>0</v>
      </c>
      <c r="HA13" s="39" t="str">
        <f>'Por Valoracion (3) Dimension 2'!B13</f>
        <v>0</v>
      </c>
      <c r="HK13" s="41" t="str">
        <f>GZ3</f>
        <v>0</v>
      </c>
      <c r="HL13" s="44" t="s">
        <v>646</v>
      </c>
      <c r="HP13" s="44" t="s">
        <v>647</v>
      </c>
      <c r="HQ13" s="41" t="str">
        <f>GZ3</f>
        <v>0</v>
      </c>
      <c r="HR13" s="44" t="s">
        <v>648</v>
      </c>
      <c r="HV13" s="47"/>
      <c r="HX13" t="str">
        <f>('Inteligencia emocional'!A14)</f>
        <v>0</v>
      </c>
      <c r="HY13" s="39" t="str">
        <f>'Por Valoracion (3) Dimension'!F13</f>
        <v>0</v>
      </c>
      <c r="HZ13" s="39" t="str">
        <f>'Por Valoracion (3) Dimension 2'!D13</f>
        <v>0</v>
      </c>
      <c r="IJ13" s="41" t="str">
        <f>HY3</f>
        <v>0</v>
      </c>
      <c r="IK13" s="44" t="s">
        <v>646</v>
      </c>
      <c r="IO13" s="44" t="s">
        <v>647</v>
      </c>
      <c r="IP13" s="41" t="str">
        <f>HY3</f>
        <v>0</v>
      </c>
      <c r="IQ13" s="44" t="s">
        <v>648</v>
      </c>
      <c r="IU13" s="47"/>
      <c r="IW13" t="str">
        <f>('Inteligencia emocional'!A14)</f>
        <v>0</v>
      </c>
      <c r="IX13" s="39" t="str">
        <f>'Por Valoracion (3) Dimension'!F13</f>
        <v>0</v>
      </c>
      <c r="IY13" s="39" t="str">
        <f>'Por Valoracion (3) Dimension 2'!F13</f>
        <v>0</v>
      </c>
      <c r="JI13" s="41" t="str">
        <f>IX3</f>
        <v>0</v>
      </c>
      <c r="JJ13" s="44" t="s">
        <v>646</v>
      </c>
      <c r="JN13" s="44" t="s">
        <v>647</v>
      </c>
      <c r="JO13" s="41" t="str">
        <f>IX3</f>
        <v>0</v>
      </c>
      <c r="JP13" s="44" t="s">
        <v>648</v>
      </c>
      <c r="JT13" s="47"/>
      <c r="JV13" t="str">
        <f>('Inteligencia emocional'!A14)</f>
        <v>0</v>
      </c>
      <c r="JW13" s="39" t="str">
        <f>'Por Valoracion (3) Dimension'!F13</f>
        <v>0</v>
      </c>
      <c r="JX13" s="39" t="str">
        <f>'Por Valoracion (3) Dimension 2'!H13</f>
        <v>0</v>
      </c>
      <c r="KH13" s="41" t="str">
        <f>JW3</f>
        <v>0</v>
      </c>
      <c r="KI13" s="44" t="s">
        <v>646</v>
      </c>
      <c r="KM13" s="44" t="s">
        <v>647</v>
      </c>
      <c r="KN13" s="41" t="str">
        <f>JW3</f>
        <v>0</v>
      </c>
      <c r="KO13" s="44" t="s">
        <v>648</v>
      </c>
      <c r="KS13" s="47"/>
    </row>
    <row r="14" spans="1:305">
      <c r="A14" s="38"/>
      <c r="C14" t="str">
        <f>('Inteligencia emocional'!A15)</f>
        <v>0</v>
      </c>
      <c r="D14" s="39" t="str">
        <f>'Por Valoracion (3) Dimension'!B14</f>
        <v>0</v>
      </c>
      <c r="E14" s="39" t="str">
        <f>'Por Valoracion (3) Dimension 2'!B14</f>
        <v>0</v>
      </c>
      <c r="P14" s="44" t="s">
        <v>649</v>
      </c>
      <c r="V14" s="44" t="s">
        <v>649</v>
      </c>
      <c r="Z14" s="38"/>
      <c r="AB14" t="str">
        <f>('Inteligencia emocional'!A15)</f>
        <v>0</v>
      </c>
      <c r="AC14" s="39" t="str">
        <f>'Por Valoracion (3) Dimension'!B14</f>
        <v>0</v>
      </c>
      <c r="AD14" s="39" t="str">
        <f>'Por Valoracion (3) Dimension 2'!D14</f>
        <v>0</v>
      </c>
      <c r="AO14" s="44" t="s">
        <v>649</v>
      </c>
      <c r="AU14" s="44" t="s">
        <v>649</v>
      </c>
      <c r="AY14" s="38"/>
      <c r="BA14" t="str">
        <f>('Inteligencia emocional'!A15)</f>
        <v>0</v>
      </c>
      <c r="BB14" s="39" t="str">
        <f>'Por Valoracion (3) Dimension'!B14</f>
        <v>0</v>
      </c>
      <c r="BC14" s="39" t="str">
        <f>'Por Valoracion (3) Dimension 2'!F14</f>
        <v>0</v>
      </c>
      <c r="BN14" s="44" t="s">
        <v>649</v>
      </c>
      <c r="BT14" s="44" t="s">
        <v>649</v>
      </c>
      <c r="BX14" s="38"/>
      <c r="BZ14" t="str">
        <f>('Inteligencia emocional'!A15)</f>
        <v>0</v>
      </c>
      <c r="CA14" s="39" t="str">
        <f>'Por Valoracion (3) Dimension'!B14</f>
        <v>0</v>
      </c>
      <c r="CB14" s="39" t="str">
        <f>'Por Valoracion (3) Dimension 2'!H14</f>
        <v>0</v>
      </c>
      <c r="CM14" s="44" t="s">
        <v>649</v>
      </c>
      <c r="CS14" s="44" t="s">
        <v>649</v>
      </c>
      <c r="CW14" s="38"/>
      <c r="CY14" s="46"/>
      <c r="DA14" t="str">
        <f>('Inteligencia emocional'!A15)</f>
        <v>0</v>
      </c>
      <c r="DB14" s="39" t="str">
        <f>'Por Valoracion (3) Dimension'!D14</f>
        <v>0</v>
      </c>
      <c r="DC14" s="39" t="str">
        <f>'Por Valoracion (3) Dimension 2'!B14</f>
        <v>0</v>
      </c>
      <c r="DN14" s="44" t="s">
        <v>649</v>
      </c>
      <c r="DT14" s="44" t="s">
        <v>649</v>
      </c>
      <c r="DX14" s="46"/>
      <c r="DZ14" t="str">
        <f>('Inteligencia emocional'!A15)</f>
        <v>0</v>
      </c>
      <c r="EA14" s="39" t="str">
        <f>'Por Valoracion (3) Dimension'!D14</f>
        <v>0</v>
      </c>
      <c r="EB14" s="39" t="str">
        <f>'Por Valoracion (3) Dimension 2'!D14</f>
        <v>0</v>
      </c>
      <c r="EM14" s="44" t="s">
        <v>649</v>
      </c>
      <c r="ES14" s="44" t="s">
        <v>649</v>
      </c>
      <c r="EW14" s="46"/>
      <c r="EY14" t="str">
        <f>('Inteligencia emocional'!A15)</f>
        <v>0</v>
      </c>
      <c r="EZ14" s="39" t="str">
        <f>'Por Valoracion (3) Dimension'!D14</f>
        <v>0</v>
      </c>
      <c r="FA14" s="39" t="str">
        <f>'Por Valoracion (3) Dimension 2'!F14</f>
        <v>0</v>
      </c>
      <c r="FL14" s="44" t="s">
        <v>649</v>
      </c>
      <c r="FR14" s="44" t="s">
        <v>649</v>
      </c>
      <c r="FV14" s="46"/>
      <c r="FX14" t="str">
        <f>('Inteligencia emocional'!A15)</f>
        <v>0</v>
      </c>
      <c r="FY14" s="39" t="str">
        <f>'Por Valoracion (3) Dimension'!D14</f>
        <v>0</v>
      </c>
      <c r="FZ14" s="39" t="str">
        <f>'Por Valoracion (3) Dimension 2'!H14</f>
        <v>0</v>
      </c>
      <c r="GK14" s="44" t="s">
        <v>649</v>
      </c>
      <c r="GQ14" s="44" t="s">
        <v>649</v>
      </c>
      <c r="GU14" s="46"/>
      <c r="GW14" s="47"/>
      <c r="GY14" t="str">
        <f>('Inteligencia emocional'!A15)</f>
        <v>0</v>
      </c>
      <c r="GZ14" s="39" t="str">
        <f>'Por Valoracion (3) Dimension'!F14</f>
        <v>0</v>
      </c>
      <c r="HA14" s="39" t="str">
        <f>'Por Valoracion (3) Dimension 2'!B14</f>
        <v>0</v>
      </c>
      <c r="HL14" s="44" t="s">
        <v>649</v>
      </c>
      <c r="HR14" s="44" t="s">
        <v>649</v>
      </c>
      <c r="HV14" s="47"/>
      <c r="HX14" t="str">
        <f>('Inteligencia emocional'!A15)</f>
        <v>0</v>
      </c>
      <c r="HY14" s="39" t="str">
        <f>'Por Valoracion (3) Dimension'!F14</f>
        <v>0</v>
      </c>
      <c r="HZ14" s="39" t="str">
        <f>'Por Valoracion (3) Dimension 2'!D14</f>
        <v>0</v>
      </c>
      <c r="IK14" s="44" t="s">
        <v>649</v>
      </c>
      <c r="IQ14" s="44" t="s">
        <v>649</v>
      </c>
      <c r="IU14" s="47"/>
      <c r="IW14" t="str">
        <f>('Inteligencia emocional'!A15)</f>
        <v>0</v>
      </c>
      <c r="IX14" s="39" t="str">
        <f>'Por Valoracion (3) Dimension'!F14</f>
        <v>0</v>
      </c>
      <c r="IY14" s="39" t="str">
        <f>'Por Valoracion (3) Dimension 2'!F14</f>
        <v>0</v>
      </c>
      <c r="JJ14" s="44" t="s">
        <v>649</v>
      </c>
      <c r="JP14" s="44" t="s">
        <v>649</v>
      </c>
      <c r="JT14" s="47"/>
      <c r="JV14" t="str">
        <f>('Inteligencia emocional'!A15)</f>
        <v>0</v>
      </c>
      <c r="JW14" s="39" t="str">
        <f>'Por Valoracion (3) Dimension'!F14</f>
        <v>0</v>
      </c>
      <c r="JX14" s="39" t="str">
        <f>'Por Valoracion (3) Dimension 2'!H14</f>
        <v>0</v>
      </c>
      <c r="KI14" s="44" t="s">
        <v>649</v>
      </c>
      <c r="KO14" s="44" t="s">
        <v>649</v>
      </c>
      <c r="KS14" s="47"/>
    </row>
    <row r="15" spans="1:305">
      <c r="A15" s="38"/>
      <c r="C15" t="str">
        <f>('Inteligencia emocional'!A16)</f>
        <v>0</v>
      </c>
      <c r="D15" s="39" t="str">
        <f>'Por Valoracion (3) Dimension'!B15</f>
        <v>0</v>
      </c>
      <c r="E15" s="39" t="str">
        <f>'Por Valoracion (3) Dimension 2'!B15</f>
        <v>0</v>
      </c>
      <c r="P15" s="44" t="s">
        <v>650</v>
      </c>
      <c r="V15" s="44" t="s">
        <v>650</v>
      </c>
      <c r="Z15" s="38"/>
      <c r="AB15" t="str">
        <f>('Inteligencia emocional'!A16)</f>
        <v>0</v>
      </c>
      <c r="AC15" s="39" t="str">
        <f>'Por Valoracion (3) Dimension'!B15</f>
        <v>0</v>
      </c>
      <c r="AD15" s="39" t="str">
        <f>'Por Valoracion (3) Dimension 2'!D15</f>
        <v>0</v>
      </c>
      <c r="AO15" s="44" t="s">
        <v>650</v>
      </c>
      <c r="AU15" s="44" t="s">
        <v>650</v>
      </c>
      <c r="AY15" s="38"/>
      <c r="BA15" t="str">
        <f>('Inteligencia emocional'!A16)</f>
        <v>0</v>
      </c>
      <c r="BB15" s="39" t="str">
        <f>'Por Valoracion (3) Dimension'!B15</f>
        <v>0</v>
      </c>
      <c r="BC15" s="39" t="str">
        <f>'Por Valoracion (3) Dimension 2'!F15</f>
        <v>0</v>
      </c>
      <c r="BN15" s="44" t="s">
        <v>650</v>
      </c>
      <c r="BT15" s="44" t="s">
        <v>650</v>
      </c>
      <c r="BX15" s="38"/>
      <c r="BZ15" t="str">
        <f>('Inteligencia emocional'!A16)</f>
        <v>0</v>
      </c>
      <c r="CA15" s="39" t="str">
        <f>'Por Valoracion (3) Dimension'!B15</f>
        <v>0</v>
      </c>
      <c r="CB15" s="39" t="str">
        <f>'Por Valoracion (3) Dimension 2'!H15</f>
        <v>0</v>
      </c>
      <c r="CM15" s="44" t="s">
        <v>650</v>
      </c>
      <c r="CS15" s="44" t="s">
        <v>650</v>
      </c>
      <c r="CW15" s="38"/>
      <c r="CY15" s="46"/>
      <c r="DA15" t="str">
        <f>('Inteligencia emocional'!A16)</f>
        <v>0</v>
      </c>
      <c r="DB15" s="39" t="str">
        <f>'Por Valoracion (3) Dimension'!D15</f>
        <v>0</v>
      </c>
      <c r="DC15" s="39" t="str">
        <f>'Por Valoracion (3) Dimension 2'!B15</f>
        <v>0</v>
      </c>
      <c r="DN15" s="44" t="s">
        <v>650</v>
      </c>
      <c r="DT15" s="44" t="s">
        <v>650</v>
      </c>
      <c r="DX15" s="46"/>
      <c r="DZ15" t="str">
        <f>('Inteligencia emocional'!A16)</f>
        <v>0</v>
      </c>
      <c r="EA15" s="39" t="str">
        <f>'Por Valoracion (3) Dimension'!D15</f>
        <v>0</v>
      </c>
      <c r="EB15" s="39" t="str">
        <f>'Por Valoracion (3) Dimension 2'!D15</f>
        <v>0</v>
      </c>
      <c r="EM15" s="44" t="s">
        <v>650</v>
      </c>
      <c r="ES15" s="44" t="s">
        <v>650</v>
      </c>
      <c r="EW15" s="46"/>
      <c r="EY15" t="str">
        <f>('Inteligencia emocional'!A16)</f>
        <v>0</v>
      </c>
      <c r="EZ15" s="39" t="str">
        <f>'Por Valoracion (3) Dimension'!D15</f>
        <v>0</v>
      </c>
      <c r="FA15" s="39" t="str">
        <f>'Por Valoracion (3) Dimension 2'!F15</f>
        <v>0</v>
      </c>
      <c r="FL15" s="44" t="s">
        <v>650</v>
      </c>
      <c r="FR15" s="44" t="s">
        <v>650</v>
      </c>
      <c r="FV15" s="46"/>
      <c r="FX15" t="str">
        <f>('Inteligencia emocional'!A16)</f>
        <v>0</v>
      </c>
      <c r="FY15" s="39" t="str">
        <f>'Por Valoracion (3) Dimension'!D15</f>
        <v>0</v>
      </c>
      <c r="FZ15" s="39" t="str">
        <f>'Por Valoracion (3) Dimension 2'!H15</f>
        <v>0</v>
      </c>
      <c r="GK15" s="44" t="s">
        <v>650</v>
      </c>
      <c r="GQ15" s="44" t="s">
        <v>650</v>
      </c>
      <c r="GU15" s="46"/>
      <c r="GW15" s="47"/>
      <c r="GY15" t="str">
        <f>('Inteligencia emocional'!A16)</f>
        <v>0</v>
      </c>
      <c r="GZ15" s="39" t="str">
        <f>'Por Valoracion (3) Dimension'!F15</f>
        <v>0</v>
      </c>
      <c r="HA15" s="39" t="str">
        <f>'Por Valoracion (3) Dimension 2'!B15</f>
        <v>0</v>
      </c>
      <c r="HL15" s="44" t="s">
        <v>650</v>
      </c>
      <c r="HR15" s="44" t="s">
        <v>650</v>
      </c>
      <c r="HV15" s="47"/>
      <c r="HX15" t="str">
        <f>('Inteligencia emocional'!A16)</f>
        <v>0</v>
      </c>
      <c r="HY15" s="39" t="str">
        <f>'Por Valoracion (3) Dimension'!F15</f>
        <v>0</v>
      </c>
      <c r="HZ15" s="39" t="str">
        <f>'Por Valoracion (3) Dimension 2'!D15</f>
        <v>0</v>
      </c>
      <c r="IK15" s="44" t="s">
        <v>650</v>
      </c>
      <c r="IQ15" s="44" t="s">
        <v>650</v>
      </c>
      <c r="IU15" s="47"/>
      <c r="IW15" t="str">
        <f>('Inteligencia emocional'!A16)</f>
        <v>0</v>
      </c>
      <c r="IX15" s="39" t="str">
        <f>'Por Valoracion (3) Dimension'!F15</f>
        <v>0</v>
      </c>
      <c r="IY15" s="39" t="str">
        <f>'Por Valoracion (3) Dimension 2'!F15</f>
        <v>0</v>
      </c>
      <c r="JJ15" s="44" t="s">
        <v>650</v>
      </c>
      <c r="JP15" s="44" t="s">
        <v>650</v>
      </c>
      <c r="JT15" s="47"/>
      <c r="JV15" t="str">
        <f>('Inteligencia emocional'!A16)</f>
        <v>0</v>
      </c>
      <c r="JW15" s="39" t="str">
        <f>'Por Valoracion (3) Dimension'!F15</f>
        <v>0</v>
      </c>
      <c r="JX15" s="39" t="str">
        <f>'Por Valoracion (3) Dimension 2'!H15</f>
        <v>0</v>
      </c>
      <c r="KI15" s="44" t="s">
        <v>650</v>
      </c>
      <c r="KO15" s="44" t="s">
        <v>650</v>
      </c>
      <c r="KS15" s="47"/>
    </row>
    <row r="16" spans="1:305">
      <c r="A16" s="38"/>
      <c r="C16" t="str">
        <f>('Inteligencia emocional'!A17)</f>
        <v>0</v>
      </c>
      <c r="D16" s="39" t="str">
        <f>'Por Valoracion (3) Dimension'!B16</f>
        <v>0</v>
      </c>
      <c r="E16" s="39" t="str">
        <f>'Por Valoracion (3) Dimension 2'!B16</f>
        <v>0</v>
      </c>
      <c r="O16" s="41" t="str">
        <f>E3</f>
        <v>0</v>
      </c>
      <c r="P16" s="44" t="s">
        <v>646</v>
      </c>
      <c r="U16" s="41" t="str">
        <f>E3</f>
        <v>0</v>
      </c>
      <c r="V16" s="44" t="s">
        <v>648</v>
      </c>
      <c r="Z16" s="38"/>
      <c r="AB16" t="str">
        <f>('Inteligencia emocional'!A17)</f>
        <v>0</v>
      </c>
      <c r="AC16" s="39" t="str">
        <f>'Por Valoracion (3) Dimension'!B16</f>
        <v>0</v>
      </c>
      <c r="AD16" s="39" t="str">
        <f>'Por Valoracion (3) Dimension 2'!D16</f>
        <v>0</v>
      </c>
      <c r="AN16" s="41" t="str">
        <f>AD3</f>
        <v>0</v>
      </c>
      <c r="AO16" s="44" t="s">
        <v>646</v>
      </c>
      <c r="AT16" s="41" t="str">
        <f>AD3</f>
        <v>0</v>
      </c>
      <c r="AU16" s="44" t="s">
        <v>648</v>
      </c>
      <c r="AY16" s="38"/>
      <c r="BA16" t="str">
        <f>('Inteligencia emocional'!A17)</f>
        <v>0</v>
      </c>
      <c r="BB16" s="39" t="str">
        <f>'Por Valoracion (3) Dimension'!B16</f>
        <v>0</v>
      </c>
      <c r="BC16" s="39" t="str">
        <f>'Por Valoracion (3) Dimension 2'!F16</f>
        <v>0</v>
      </c>
      <c r="BM16" s="41" t="str">
        <f>BC3</f>
        <v>0</v>
      </c>
      <c r="BN16" s="44" t="s">
        <v>646</v>
      </c>
      <c r="BS16" s="41" t="str">
        <f>BC3</f>
        <v>0</v>
      </c>
      <c r="BT16" s="44" t="s">
        <v>648</v>
      </c>
      <c r="BX16" s="38"/>
      <c r="BZ16" t="str">
        <f>('Inteligencia emocional'!A17)</f>
        <v>0</v>
      </c>
      <c r="CA16" s="39" t="str">
        <f>'Por Valoracion (3) Dimension'!B16</f>
        <v>0</v>
      </c>
      <c r="CB16" s="39" t="str">
        <f>'Por Valoracion (3) Dimension 2'!H16</f>
        <v>0</v>
      </c>
      <c r="CL16" s="41" t="str">
        <f>CB3</f>
        <v>0</v>
      </c>
      <c r="CM16" s="44" t="s">
        <v>646</v>
      </c>
      <c r="CR16" s="41" t="str">
        <f>CB3</f>
        <v>0</v>
      </c>
      <c r="CS16" s="44" t="s">
        <v>648</v>
      </c>
      <c r="CW16" s="38"/>
      <c r="CY16" s="46"/>
      <c r="DA16" t="str">
        <f>('Inteligencia emocional'!A17)</f>
        <v>0</v>
      </c>
      <c r="DB16" s="39" t="str">
        <f>'Por Valoracion (3) Dimension'!D16</f>
        <v>0</v>
      </c>
      <c r="DC16" s="39" t="str">
        <f>'Por Valoracion (3) Dimension 2'!B16</f>
        <v>0</v>
      </c>
      <c r="DM16" s="41" t="str">
        <f>DC3</f>
        <v>0</v>
      </c>
      <c r="DN16" s="44" t="s">
        <v>646</v>
      </c>
      <c r="DS16" s="41" t="str">
        <f>DC3</f>
        <v>0</v>
      </c>
      <c r="DT16" s="44" t="s">
        <v>648</v>
      </c>
      <c r="DX16" s="46"/>
      <c r="DZ16" t="str">
        <f>('Inteligencia emocional'!A17)</f>
        <v>0</v>
      </c>
      <c r="EA16" s="39" t="str">
        <f>'Por Valoracion (3) Dimension'!D16</f>
        <v>0</v>
      </c>
      <c r="EB16" s="39" t="str">
        <f>'Por Valoracion (3) Dimension 2'!D16</f>
        <v>0</v>
      </c>
      <c r="EL16" s="41" t="str">
        <f>EB3</f>
        <v>0</v>
      </c>
      <c r="EM16" s="44" t="s">
        <v>646</v>
      </c>
      <c r="ER16" s="41" t="str">
        <f>EB3</f>
        <v>0</v>
      </c>
      <c r="ES16" s="44" t="s">
        <v>648</v>
      </c>
      <c r="EW16" s="46"/>
      <c r="EY16" t="str">
        <f>('Inteligencia emocional'!A17)</f>
        <v>0</v>
      </c>
      <c r="EZ16" s="39" t="str">
        <f>'Por Valoracion (3) Dimension'!D16</f>
        <v>0</v>
      </c>
      <c r="FA16" s="39" t="str">
        <f>'Por Valoracion (3) Dimension 2'!F16</f>
        <v>0</v>
      </c>
      <c r="FK16" s="41" t="str">
        <f>FA3</f>
        <v>0</v>
      </c>
      <c r="FL16" s="44" t="s">
        <v>646</v>
      </c>
      <c r="FQ16" s="41" t="str">
        <f>FA3</f>
        <v>0</v>
      </c>
      <c r="FR16" s="44" t="s">
        <v>648</v>
      </c>
      <c r="FV16" s="46"/>
      <c r="FX16" t="str">
        <f>('Inteligencia emocional'!A17)</f>
        <v>0</v>
      </c>
      <c r="FY16" s="39" t="str">
        <f>'Por Valoracion (3) Dimension'!D16</f>
        <v>0</v>
      </c>
      <c r="FZ16" s="39" t="str">
        <f>'Por Valoracion (3) Dimension 2'!H16</f>
        <v>0</v>
      </c>
      <c r="GJ16" s="41" t="str">
        <f>FZ3</f>
        <v>0</v>
      </c>
      <c r="GK16" s="44" t="s">
        <v>646</v>
      </c>
      <c r="GP16" s="41" t="str">
        <f>FZ3</f>
        <v>0</v>
      </c>
      <c r="GQ16" s="44" t="s">
        <v>648</v>
      </c>
      <c r="GU16" s="46"/>
      <c r="GW16" s="47"/>
      <c r="GY16" t="str">
        <f>('Inteligencia emocional'!A17)</f>
        <v>0</v>
      </c>
      <c r="GZ16" s="39" t="str">
        <f>'Por Valoracion (3) Dimension'!F16</f>
        <v>0</v>
      </c>
      <c r="HA16" s="39" t="str">
        <f>'Por Valoracion (3) Dimension 2'!B16</f>
        <v>0</v>
      </c>
      <c r="HK16" s="41" t="str">
        <f>HA3</f>
        <v>0</v>
      </c>
      <c r="HL16" s="44" t="s">
        <v>646</v>
      </c>
      <c r="HQ16" s="41" t="str">
        <f>HA3</f>
        <v>0</v>
      </c>
      <c r="HR16" s="44" t="s">
        <v>648</v>
      </c>
      <c r="HV16" s="47"/>
      <c r="HX16" t="str">
        <f>('Inteligencia emocional'!A17)</f>
        <v>0</v>
      </c>
      <c r="HY16" s="39" t="str">
        <f>'Por Valoracion (3) Dimension'!F16</f>
        <v>0</v>
      </c>
      <c r="HZ16" s="39" t="str">
        <f>'Por Valoracion (3) Dimension 2'!D16</f>
        <v>0</v>
      </c>
      <c r="IJ16" s="41" t="str">
        <f>HZ3</f>
        <v>0</v>
      </c>
      <c r="IK16" s="44" t="s">
        <v>646</v>
      </c>
      <c r="IP16" s="41" t="str">
        <f>HZ3</f>
        <v>0</v>
      </c>
      <c r="IQ16" s="44" t="s">
        <v>648</v>
      </c>
      <c r="IU16" s="47"/>
      <c r="IW16" t="str">
        <f>('Inteligencia emocional'!A17)</f>
        <v>0</v>
      </c>
      <c r="IX16" s="39" t="str">
        <f>'Por Valoracion (3) Dimension'!F16</f>
        <v>0</v>
      </c>
      <c r="IY16" s="39" t="str">
        <f>'Por Valoracion (3) Dimension 2'!F16</f>
        <v>0</v>
      </c>
      <c r="JI16" s="41" t="str">
        <f>IY3</f>
        <v>0</v>
      </c>
      <c r="JJ16" s="44" t="s">
        <v>646</v>
      </c>
      <c r="JO16" s="41" t="str">
        <f>IY3</f>
        <v>0</v>
      </c>
      <c r="JP16" s="44" t="s">
        <v>648</v>
      </c>
      <c r="JT16" s="47"/>
      <c r="JV16" t="str">
        <f>('Inteligencia emocional'!A17)</f>
        <v>0</v>
      </c>
      <c r="JW16" s="39" t="str">
        <f>'Por Valoracion (3) Dimension'!F16</f>
        <v>0</v>
      </c>
      <c r="JX16" s="39" t="str">
        <f>'Por Valoracion (3) Dimension 2'!H16</f>
        <v>0</v>
      </c>
      <c r="KH16" s="41" t="str">
        <f>JX3</f>
        <v>0</v>
      </c>
      <c r="KI16" s="44" t="s">
        <v>646</v>
      </c>
      <c r="KN16" s="41" t="str">
        <f>JX3</f>
        <v>0</v>
      </c>
      <c r="KO16" s="44" t="s">
        <v>648</v>
      </c>
      <c r="KS16" s="47"/>
    </row>
    <row r="17" spans="1:305">
      <c r="A17" s="38"/>
      <c r="C17" t="str">
        <f>('Inteligencia emocional'!A18)</f>
        <v>0</v>
      </c>
      <c r="D17" s="39" t="str">
        <f>'Por Valoracion (3) Dimension'!B17</f>
        <v>0</v>
      </c>
      <c r="E17" s="39" t="str">
        <f>'Por Valoracion (3) Dimension 2'!B17</f>
        <v>0</v>
      </c>
      <c r="P17" s="44" t="s">
        <v>649</v>
      </c>
      <c r="V17" s="44" t="s">
        <v>649</v>
      </c>
      <c r="Z17" s="38"/>
      <c r="AB17" t="str">
        <f>('Inteligencia emocional'!A18)</f>
        <v>0</v>
      </c>
      <c r="AC17" s="39" t="str">
        <f>'Por Valoracion (3) Dimension'!B17</f>
        <v>0</v>
      </c>
      <c r="AD17" s="39" t="str">
        <f>'Por Valoracion (3) Dimension 2'!D17</f>
        <v>0</v>
      </c>
      <c r="AO17" s="44" t="s">
        <v>649</v>
      </c>
      <c r="AU17" s="44" t="s">
        <v>649</v>
      </c>
      <c r="AY17" s="38"/>
      <c r="BA17" t="str">
        <f>('Inteligencia emocional'!A18)</f>
        <v>0</v>
      </c>
      <c r="BB17" s="39" t="str">
        <f>'Por Valoracion (3) Dimension'!B17</f>
        <v>0</v>
      </c>
      <c r="BC17" s="39" t="str">
        <f>'Por Valoracion (3) Dimension 2'!F17</f>
        <v>0</v>
      </c>
      <c r="BN17" s="44" t="s">
        <v>649</v>
      </c>
      <c r="BT17" s="44" t="s">
        <v>649</v>
      </c>
      <c r="BX17" s="38"/>
      <c r="BZ17" t="str">
        <f>('Inteligencia emocional'!A18)</f>
        <v>0</v>
      </c>
      <c r="CA17" s="39" t="str">
        <f>'Por Valoracion (3) Dimension'!B17</f>
        <v>0</v>
      </c>
      <c r="CB17" s="39" t="str">
        <f>'Por Valoracion (3) Dimension 2'!H17</f>
        <v>0</v>
      </c>
      <c r="CM17" s="44" t="s">
        <v>649</v>
      </c>
      <c r="CS17" s="44" t="s">
        <v>649</v>
      </c>
      <c r="CW17" s="38"/>
      <c r="CY17" s="46"/>
      <c r="DA17" t="str">
        <f>('Inteligencia emocional'!A18)</f>
        <v>0</v>
      </c>
      <c r="DB17" s="39" t="str">
        <f>'Por Valoracion (3) Dimension'!D17</f>
        <v>0</v>
      </c>
      <c r="DC17" s="39" t="str">
        <f>'Por Valoracion (3) Dimension 2'!B17</f>
        <v>0</v>
      </c>
      <c r="DN17" s="44" t="s">
        <v>649</v>
      </c>
      <c r="DT17" s="44" t="s">
        <v>649</v>
      </c>
      <c r="DX17" s="46"/>
      <c r="DZ17" t="str">
        <f>('Inteligencia emocional'!A18)</f>
        <v>0</v>
      </c>
      <c r="EA17" s="39" t="str">
        <f>'Por Valoracion (3) Dimension'!D17</f>
        <v>0</v>
      </c>
      <c r="EB17" s="39" t="str">
        <f>'Por Valoracion (3) Dimension 2'!D17</f>
        <v>0</v>
      </c>
      <c r="EM17" s="44" t="s">
        <v>649</v>
      </c>
      <c r="ES17" s="44" t="s">
        <v>649</v>
      </c>
      <c r="EW17" s="46"/>
      <c r="EY17" t="str">
        <f>('Inteligencia emocional'!A18)</f>
        <v>0</v>
      </c>
      <c r="EZ17" s="39" t="str">
        <f>'Por Valoracion (3) Dimension'!D17</f>
        <v>0</v>
      </c>
      <c r="FA17" s="39" t="str">
        <f>'Por Valoracion (3) Dimension 2'!F17</f>
        <v>0</v>
      </c>
      <c r="FL17" s="44" t="s">
        <v>649</v>
      </c>
      <c r="FR17" s="44" t="s">
        <v>649</v>
      </c>
      <c r="FV17" s="46"/>
      <c r="FX17" t="str">
        <f>('Inteligencia emocional'!A18)</f>
        <v>0</v>
      </c>
      <c r="FY17" s="39" t="str">
        <f>'Por Valoracion (3) Dimension'!D17</f>
        <v>0</v>
      </c>
      <c r="FZ17" s="39" t="str">
        <f>'Por Valoracion (3) Dimension 2'!H17</f>
        <v>0</v>
      </c>
      <c r="GK17" s="44" t="s">
        <v>649</v>
      </c>
      <c r="GQ17" s="44" t="s">
        <v>649</v>
      </c>
      <c r="GU17" s="46"/>
      <c r="GW17" s="47"/>
      <c r="GY17" t="str">
        <f>('Inteligencia emocional'!A18)</f>
        <v>0</v>
      </c>
      <c r="GZ17" s="39" t="str">
        <f>'Por Valoracion (3) Dimension'!F17</f>
        <v>0</v>
      </c>
      <c r="HA17" s="39" t="str">
        <f>'Por Valoracion (3) Dimension 2'!B17</f>
        <v>0</v>
      </c>
      <c r="HL17" s="44" t="s">
        <v>649</v>
      </c>
      <c r="HR17" s="44" t="s">
        <v>649</v>
      </c>
      <c r="HV17" s="47"/>
      <c r="HX17" t="str">
        <f>('Inteligencia emocional'!A18)</f>
        <v>0</v>
      </c>
      <c r="HY17" s="39" t="str">
        <f>'Por Valoracion (3) Dimension'!F17</f>
        <v>0</v>
      </c>
      <c r="HZ17" s="39" t="str">
        <f>'Por Valoracion (3) Dimension 2'!D17</f>
        <v>0</v>
      </c>
      <c r="IK17" s="44" t="s">
        <v>649</v>
      </c>
      <c r="IQ17" s="44" t="s">
        <v>649</v>
      </c>
      <c r="IU17" s="47"/>
      <c r="IW17" t="str">
        <f>('Inteligencia emocional'!A18)</f>
        <v>0</v>
      </c>
      <c r="IX17" s="39" t="str">
        <f>'Por Valoracion (3) Dimension'!F17</f>
        <v>0</v>
      </c>
      <c r="IY17" s="39" t="str">
        <f>'Por Valoracion (3) Dimension 2'!F17</f>
        <v>0</v>
      </c>
      <c r="JJ17" s="44" t="s">
        <v>649</v>
      </c>
      <c r="JP17" s="44" t="s">
        <v>649</v>
      </c>
      <c r="JT17" s="47"/>
      <c r="JV17" t="str">
        <f>('Inteligencia emocional'!A18)</f>
        <v>0</v>
      </c>
      <c r="JW17" s="39" t="str">
        <f>'Por Valoracion (3) Dimension'!F17</f>
        <v>0</v>
      </c>
      <c r="JX17" s="39" t="str">
        <f>'Por Valoracion (3) Dimension 2'!H17</f>
        <v>0</v>
      </c>
      <c r="KI17" s="44" t="s">
        <v>649</v>
      </c>
      <c r="KO17" s="44" t="s">
        <v>649</v>
      </c>
      <c r="KS17" s="47"/>
    </row>
    <row r="18" spans="1:305">
      <c r="A18" s="38"/>
      <c r="C18" t="str">
        <f>('Inteligencia emocional'!A19)</f>
        <v>0</v>
      </c>
      <c r="D18" s="39" t="str">
        <f>'Por Valoracion (3) Dimension'!B18</f>
        <v>0</v>
      </c>
      <c r="E18" s="39" t="str">
        <f>'Por Valoracion (3) Dimension 2'!B18</f>
        <v>0</v>
      </c>
      <c r="O18" s="12"/>
      <c r="P18" s="43" t="s">
        <v>650</v>
      </c>
      <c r="Q18" s="12"/>
      <c r="R18" s="12"/>
      <c r="T18" s="12"/>
      <c r="U18" s="12"/>
      <c r="V18" s="43" t="s">
        <v>650</v>
      </c>
      <c r="W18" s="12"/>
      <c r="X18" s="12"/>
      <c r="Z18" s="38"/>
      <c r="AB18" t="str">
        <f>('Inteligencia emocional'!A19)</f>
        <v>0</v>
      </c>
      <c r="AC18" s="39" t="str">
        <f>'Por Valoracion (3) Dimension'!B18</f>
        <v>0</v>
      </c>
      <c r="AD18" s="39" t="str">
        <f>'Por Valoracion (3) Dimension 2'!D18</f>
        <v>0</v>
      </c>
      <c r="AN18" s="12"/>
      <c r="AO18" s="43" t="s">
        <v>650</v>
      </c>
      <c r="AP18" s="12"/>
      <c r="AQ18" s="12"/>
      <c r="AS18" s="12"/>
      <c r="AT18" s="12"/>
      <c r="AU18" s="43" t="s">
        <v>650</v>
      </c>
      <c r="AV18" s="12"/>
      <c r="AW18" s="12"/>
      <c r="AY18" s="38"/>
      <c r="BA18" t="str">
        <f>('Inteligencia emocional'!A19)</f>
        <v>0</v>
      </c>
      <c r="BB18" s="39" t="str">
        <f>'Por Valoracion (3) Dimension'!B18</f>
        <v>0</v>
      </c>
      <c r="BC18" s="39" t="str">
        <f>'Por Valoracion (3) Dimension 2'!F18</f>
        <v>0</v>
      </c>
      <c r="BM18" s="12"/>
      <c r="BN18" s="43" t="s">
        <v>650</v>
      </c>
      <c r="BO18" s="12"/>
      <c r="BP18" s="12"/>
      <c r="BR18" s="12"/>
      <c r="BS18" s="12"/>
      <c r="BT18" s="43" t="s">
        <v>650</v>
      </c>
      <c r="BU18" s="12"/>
      <c r="BV18" s="12"/>
      <c r="BX18" s="38"/>
      <c r="BZ18" t="str">
        <f>('Inteligencia emocional'!A19)</f>
        <v>0</v>
      </c>
      <c r="CA18" s="39" t="str">
        <f>'Por Valoracion (3) Dimension'!B18</f>
        <v>0</v>
      </c>
      <c r="CB18" s="39" t="str">
        <f>'Por Valoracion (3) Dimension 2'!H18</f>
        <v>0</v>
      </c>
      <c r="CL18" s="12"/>
      <c r="CM18" s="43" t="s">
        <v>650</v>
      </c>
      <c r="CN18" s="12"/>
      <c r="CO18" s="12"/>
      <c r="CQ18" s="12"/>
      <c r="CR18" s="12"/>
      <c r="CS18" s="43" t="s">
        <v>650</v>
      </c>
      <c r="CT18" s="12"/>
      <c r="CU18" s="12"/>
      <c r="CW18" s="38"/>
      <c r="CY18" s="46"/>
      <c r="DA18" t="str">
        <f>('Inteligencia emocional'!A19)</f>
        <v>0</v>
      </c>
      <c r="DB18" s="39" t="str">
        <f>'Por Valoracion (3) Dimension'!D18</f>
        <v>0</v>
      </c>
      <c r="DC18" s="39" t="str">
        <f>'Por Valoracion (3) Dimension 2'!B18</f>
        <v>0</v>
      </c>
      <c r="DM18" s="12"/>
      <c r="DN18" s="43" t="s">
        <v>650</v>
      </c>
      <c r="DO18" s="12"/>
      <c r="DP18" s="12"/>
      <c r="DR18" s="12"/>
      <c r="DS18" s="12"/>
      <c r="DT18" s="43" t="s">
        <v>650</v>
      </c>
      <c r="DU18" s="12"/>
      <c r="DV18" s="12"/>
      <c r="DX18" s="46"/>
      <c r="DZ18" t="str">
        <f>('Inteligencia emocional'!A19)</f>
        <v>0</v>
      </c>
      <c r="EA18" s="39" t="str">
        <f>'Por Valoracion (3) Dimension'!D18</f>
        <v>0</v>
      </c>
      <c r="EB18" s="39" t="str">
        <f>'Por Valoracion (3) Dimension 2'!D18</f>
        <v>0</v>
      </c>
      <c r="EL18" s="12"/>
      <c r="EM18" s="43" t="s">
        <v>650</v>
      </c>
      <c r="EN18" s="12"/>
      <c r="EO18" s="12"/>
      <c r="EQ18" s="12"/>
      <c r="ER18" s="12"/>
      <c r="ES18" s="43" t="s">
        <v>650</v>
      </c>
      <c r="ET18" s="12"/>
      <c r="EU18" s="12"/>
      <c r="EW18" s="46"/>
      <c r="EY18" t="str">
        <f>('Inteligencia emocional'!A19)</f>
        <v>0</v>
      </c>
      <c r="EZ18" s="39" t="str">
        <f>'Por Valoracion (3) Dimension'!D18</f>
        <v>0</v>
      </c>
      <c r="FA18" s="39" t="str">
        <f>'Por Valoracion (3) Dimension 2'!F18</f>
        <v>0</v>
      </c>
      <c r="FK18" s="12"/>
      <c r="FL18" s="43" t="s">
        <v>650</v>
      </c>
      <c r="FM18" s="12"/>
      <c r="FN18" s="12"/>
      <c r="FP18" s="12"/>
      <c r="FQ18" s="12"/>
      <c r="FR18" s="43" t="s">
        <v>650</v>
      </c>
      <c r="FS18" s="12"/>
      <c r="FT18" s="12"/>
      <c r="FV18" s="46"/>
      <c r="FX18" t="str">
        <f>('Inteligencia emocional'!A19)</f>
        <v>0</v>
      </c>
      <c r="FY18" s="39" t="str">
        <f>'Por Valoracion (3) Dimension'!D18</f>
        <v>0</v>
      </c>
      <c r="FZ18" s="39" t="str">
        <f>'Por Valoracion (3) Dimension 2'!H18</f>
        <v>0</v>
      </c>
      <c r="GJ18" s="12"/>
      <c r="GK18" s="43" t="s">
        <v>650</v>
      </c>
      <c r="GL18" s="12"/>
      <c r="GM18" s="12"/>
      <c r="GO18" s="12"/>
      <c r="GP18" s="12"/>
      <c r="GQ18" s="43" t="s">
        <v>650</v>
      </c>
      <c r="GR18" s="12"/>
      <c r="GS18" s="12"/>
      <c r="GU18" s="46"/>
      <c r="GW18" s="47"/>
      <c r="GY18" t="str">
        <f>('Inteligencia emocional'!A19)</f>
        <v>0</v>
      </c>
      <c r="GZ18" s="39" t="str">
        <f>'Por Valoracion (3) Dimension'!F18</f>
        <v>0</v>
      </c>
      <c r="HA18" s="39" t="str">
        <f>'Por Valoracion (3) Dimension 2'!B18</f>
        <v>0</v>
      </c>
      <c r="HK18" s="12"/>
      <c r="HL18" s="43" t="s">
        <v>650</v>
      </c>
      <c r="HM18" s="12"/>
      <c r="HN18" s="12"/>
      <c r="HP18" s="12"/>
      <c r="HQ18" s="12"/>
      <c r="HR18" s="43" t="s">
        <v>650</v>
      </c>
      <c r="HS18" s="12"/>
      <c r="HT18" s="12"/>
      <c r="HV18" s="47"/>
      <c r="HX18" t="str">
        <f>('Inteligencia emocional'!A19)</f>
        <v>0</v>
      </c>
      <c r="HY18" s="39" t="str">
        <f>'Por Valoracion (3) Dimension'!F18</f>
        <v>0</v>
      </c>
      <c r="HZ18" s="39" t="str">
        <f>'Por Valoracion (3) Dimension 2'!D18</f>
        <v>0</v>
      </c>
      <c r="IJ18" s="12"/>
      <c r="IK18" s="43" t="s">
        <v>650</v>
      </c>
      <c r="IL18" s="12"/>
      <c r="IM18" s="12"/>
      <c r="IO18" s="12"/>
      <c r="IP18" s="12"/>
      <c r="IQ18" s="43" t="s">
        <v>650</v>
      </c>
      <c r="IR18" s="12"/>
      <c r="IS18" s="12"/>
      <c r="IU18" s="47"/>
      <c r="IW18" t="str">
        <f>('Inteligencia emocional'!A19)</f>
        <v>0</v>
      </c>
      <c r="IX18" s="39" t="str">
        <f>'Por Valoracion (3) Dimension'!F18</f>
        <v>0</v>
      </c>
      <c r="IY18" s="39" t="str">
        <f>'Por Valoracion (3) Dimension 2'!F18</f>
        <v>0</v>
      </c>
      <c r="JI18" s="12"/>
      <c r="JJ18" s="43" t="s">
        <v>650</v>
      </c>
      <c r="JK18" s="12"/>
      <c r="JL18" s="12"/>
      <c r="JN18" s="12"/>
      <c r="JO18" s="12"/>
      <c r="JP18" s="43" t="s">
        <v>650</v>
      </c>
      <c r="JQ18" s="12"/>
      <c r="JR18" s="12"/>
      <c r="JT18" s="47"/>
      <c r="JV18" t="str">
        <f>('Inteligencia emocional'!A19)</f>
        <v>0</v>
      </c>
      <c r="JW18" s="39" t="str">
        <f>'Por Valoracion (3) Dimension'!F18</f>
        <v>0</v>
      </c>
      <c r="JX18" s="39" t="str">
        <f>'Por Valoracion (3) Dimension 2'!H18</f>
        <v>0</v>
      </c>
      <c r="KH18" s="12"/>
      <c r="KI18" s="43" t="s">
        <v>650</v>
      </c>
      <c r="KJ18" s="12"/>
      <c r="KK18" s="12"/>
      <c r="KM18" s="12"/>
      <c r="KN18" s="12"/>
      <c r="KO18" s="43" t="s">
        <v>650</v>
      </c>
      <c r="KP18" s="12"/>
      <c r="KQ18" s="12"/>
      <c r="KS18" s="47"/>
    </row>
    <row r="19" spans="1:305">
      <c r="A19" s="38"/>
      <c r="C19" t="str">
        <f>('Inteligencia emocional'!A20)</f>
        <v>0</v>
      </c>
      <c r="D19" s="39" t="str">
        <f>'Por Valoracion (3) Dimension'!B19</f>
        <v>0</v>
      </c>
      <c r="E19" s="39" t="str">
        <f>'Por Valoracion (3) Dimension 2'!B19</f>
        <v>0</v>
      </c>
      <c r="O19" s="41" t="s">
        <v>651</v>
      </c>
      <c r="T19" s="41" t="s">
        <v>651</v>
      </c>
      <c r="Z19" s="38"/>
      <c r="AB19" t="str">
        <f>('Inteligencia emocional'!A20)</f>
        <v>0</v>
      </c>
      <c r="AC19" s="39" t="str">
        <f>'Por Valoracion (3) Dimension'!B19</f>
        <v>0</v>
      </c>
      <c r="AD19" s="39" t="str">
        <f>'Por Valoracion (3) Dimension 2'!D19</f>
        <v>0</v>
      </c>
      <c r="AN19" s="41" t="s">
        <v>651</v>
      </c>
      <c r="AS19" s="41" t="s">
        <v>651</v>
      </c>
      <c r="AY19" s="38"/>
      <c r="BA19" t="str">
        <f>('Inteligencia emocional'!A20)</f>
        <v>0</v>
      </c>
      <c r="BB19" s="39" t="str">
        <f>'Por Valoracion (3) Dimension'!B19</f>
        <v>0</v>
      </c>
      <c r="BC19" s="39" t="str">
        <f>'Por Valoracion (3) Dimension 2'!F19</f>
        <v>0</v>
      </c>
      <c r="BM19" s="41" t="s">
        <v>651</v>
      </c>
      <c r="BR19" s="41" t="s">
        <v>651</v>
      </c>
      <c r="BX19" s="38"/>
      <c r="BZ19" t="str">
        <f>('Inteligencia emocional'!A20)</f>
        <v>0</v>
      </c>
      <c r="CA19" s="39" t="str">
        <f>'Por Valoracion (3) Dimension'!B19</f>
        <v>0</v>
      </c>
      <c r="CB19" s="39" t="str">
        <f>'Por Valoracion (3) Dimension 2'!H19</f>
        <v>0</v>
      </c>
      <c r="CL19" s="41" t="s">
        <v>651</v>
      </c>
      <c r="CQ19" s="41" t="s">
        <v>651</v>
      </c>
      <c r="CW19" s="38"/>
      <c r="CY19" s="46"/>
      <c r="DA19" t="str">
        <f>('Inteligencia emocional'!A20)</f>
        <v>0</v>
      </c>
      <c r="DB19" s="39" t="str">
        <f>'Por Valoracion (3) Dimension'!D19</f>
        <v>0</v>
      </c>
      <c r="DC19" s="39" t="str">
        <f>'Por Valoracion (3) Dimension 2'!B19</f>
        <v>0</v>
      </c>
      <c r="DM19" s="41" t="s">
        <v>651</v>
      </c>
      <c r="DR19" s="41" t="s">
        <v>651</v>
      </c>
      <c r="DX19" s="46"/>
      <c r="DZ19" t="str">
        <f>('Inteligencia emocional'!A20)</f>
        <v>0</v>
      </c>
      <c r="EA19" s="39" t="str">
        <f>'Por Valoracion (3) Dimension'!D19</f>
        <v>0</v>
      </c>
      <c r="EB19" s="39" t="str">
        <f>'Por Valoracion (3) Dimension 2'!D19</f>
        <v>0</v>
      </c>
      <c r="EL19" s="41" t="s">
        <v>651</v>
      </c>
      <c r="EQ19" s="41" t="s">
        <v>651</v>
      </c>
      <c r="EW19" s="46"/>
      <c r="EY19" t="str">
        <f>('Inteligencia emocional'!A20)</f>
        <v>0</v>
      </c>
      <c r="EZ19" s="39" t="str">
        <f>'Por Valoracion (3) Dimension'!D19</f>
        <v>0</v>
      </c>
      <c r="FA19" s="39" t="str">
        <f>'Por Valoracion (3) Dimension 2'!F19</f>
        <v>0</v>
      </c>
      <c r="FK19" s="41" t="s">
        <v>651</v>
      </c>
      <c r="FP19" s="41" t="s">
        <v>651</v>
      </c>
      <c r="FV19" s="46"/>
      <c r="FX19" t="str">
        <f>('Inteligencia emocional'!A20)</f>
        <v>0</v>
      </c>
      <c r="FY19" s="39" t="str">
        <f>'Por Valoracion (3) Dimension'!D19</f>
        <v>0</v>
      </c>
      <c r="FZ19" s="39" t="str">
        <f>'Por Valoracion (3) Dimension 2'!H19</f>
        <v>0</v>
      </c>
      <c r="GJ19" s="41" t="s">
        <v>651</v>
      </c>
      <c r="GO19" s="41" t="s">
        <v>651</v>
      </c>
      <c r="GU19" s="46"/>
      <c r="GW19" s="47"/>
      <c r="GY19" t="str">
        <f>('Inteligencia emocional'!A20)</f>
        <v>0</v>
      </c>
      <c r="GZ19" s="39" t="str">
        <f>'Por Valoracion (3) Dimension'!F19</f>
        <v>0</v>
      </c>
      <c r="HA19" s="39" t="str">
        <f>'Por Valoracion (3) Dimension 2'!B19</f>
        <v>0</v>
      </c>
      <c r="HK19" s="41" t="s">
        <v>651</v>
      </c>
      <c r="HP19" s="41" t="s">
        <v>651</v>
      </c>
      <c r="HV19" s="47"/>
      <c r="HX19" t="str">
        <f>('Inteligencia emocional'!A20)</f>
        <v>0</v>
      </c>
      <c r="HY19" s="39" t="str">
        <f>'Por Valoracion (3) Dimension'!F19</f>
        <v>0</v>
      </c>
      <c r="HZ19" s="39" t="str">
        <f>'Por Valoracion (3) Dimension 2'!D19</f>
        <v>0</v>
      </c>
      <c r="IJ19" s="41" t="s">
        <v>651</v>
      </c>
      <c r="IO19" s="41" t="s">
        <v>651</v>
      </c>
      <c r="IU19" s="47"/>
      <c r="IW19" t="str">
        <f>('Inteligencia emocional'!A20)</f>
        <v>0</v>
      </c>
      <c r="IX19" s="39" t="str">
        <f>'Por Valoracion (3) Dimension'!F19</f>
        <v>0</v>
      </c>
      <c r="IY19" s="39" t="str">
        <f>'Por Valoracion (3) Dimension 2'!F19</f>
        <v>0</v>
      </c>
      <c r="JI19" s="41" t="s">
        <v>651</v>
      </c>
      <c r="JN19" s="41" t="s">
        <v>651</v>
      </c>
      <c r="JT19" s="47"/>
      <c r="JV19" t="str">
        <f>('Inteligencia emocional'!A20)</f>
        <v>0</v>
      </c>
      <c r="JW19" s="39" t="str">
        <f>'Por Valoracion (3) Dimension'!F19</f>
        <v>0</v>
      </c>
      <c r="JX19" s="39" t="str">
        <f>'Por Valoracion (3) Dimension 2'!H19</f>
        <v>0</v>
      </c>
      <c r="KH19" s="41" t="s">
        <v>651</v>
      </c>
      <c r="KM19" s="41" t="s">
        <v>651</v>
      </c>
      <c r="KS19" s="47"/>
    </row>
    <row r="20" spans="1:305">
      <c r="A20" s="38"/>
      <c r="C20" t="str">
        <f>('Inteligencia emocional'!A21)</f>
        <v>0</v>
      </c>
      <c r="D20" s="39" t="str">
        <f>'Por Valoracion (3) Dimension'!B20</f>
        <v>0</v>
      </c>
      <c r="E20" s="39" t="str">
        <f>'Por Valoracion (3) Dimension 2'!B20</f>
        <v>0</v>
      </c>
      <c r="Z20" s="38"/>
      <c r="AB20" t="str">
        <f>('Inteligencia emocional'!A21)</f>
        <v>0</v>
      </c>
      <c r="AC20" s="39" t="str">
        <f>'Por Valoracion (3) Dimension'!B20</f>
        <v>0</v>
      </c>
      <c r="AD20" s="39" t="str">
        <f>'Por Valoracion (3) Dimension 2'!D20</f>
        <v>0</v>
      </c>
      <c r="AY20" s="38"/>
      <c r="BA20" t="str">
        <f>('Inteligencia emocional'!A21)</f>
        <v>0</v>
      </c>
      <c r="BB20" s="39" t="str">
        <f>'Por Valoracion (3) Dimension'!B20</f>
        <v>0</v>
      </c>
      <c r="BC20" s="39" t="str">
        <f>'Por Valoracion (3) Dimension 2'!F20</f>
        <v>0</v>
      </c>
      <c r="BX20" s="38"/>
      <c r="BZ20" t="str">
        <f>('Inteligencia emocional'!A21)</f>
        <v>0</v>
      </c>
      <c r="CA20" s="39" t="str">
        <f>'Por Valoracion (3) Dimension'!B20</f>
        <v>0</v>
      </c>
      <c r="CB20" s="39" t="str">
        <f>'Por Valoracion (3) Dimension 2'!H20</f>
        <v>0</v>
      </c>
      <c r="CW20" s="38"/>
      <c r="CY20" s="46"/>
      <c r="DA20" t="str">
        <f>('Inteligencia emocional'!A21)</f>
        <v>0</v>
      </c>
      <c r="DB20" s="39" t="str">
        <f>'Por Valoracion (3) Dimension'!D20</f>
        <v>0</v>
      </c>
      <c r="DC20" s="39" t="str">
        <f>'Por Valoracion (3) Dimension 2'!B20</f>
        <v>0</v>
      </c>
      <c r="DX20" s="46"/>
      <c r="DZ20" t="str">
        <f>('Inteligencia emocional'!A21)</f>
        <v>0</v>
      </c>
      <c r="EA20" s="39" t="str">
        <f>'Por Valoracion (3) Dimension'!D20</f>
        <v>0</v>
      </c>
      <c r="EB20" s="39" t="str">
        <f>'Por Valoracion (3) Dimension 2'!D20</f>
        <v>0</v>
      </c>
      <c r="EW20" s="46"/>
      <c r="EY20" t="str">
        <f>('Inteligencia emocional'!A21)</f>
        <v>0</v>
      </c>
      <c r="EZ20" s="39" t="str">
        <f>'Por Valoracion (3) Dimension'!D20</f>
        <v>0</v>
      </c>
      <c r="FA20" s="39" t="str">
        <f>'Por Valoracion (3) Dimension 2'!F20</f>
        <v>0</v>
      </c>
      <c r="FV20" s="46"/>
      <c r="FX20" t="str">
        <f>('Inteligencia emocional'!A21)</f>
        <v>0</v>
      </c>
      <c r="FY20" s="39" t="str">
        <f>'Por Valoracion (3) Dimension'!D20</f>
        <v>0</v>
      </c>
      <c r="FZ20" s="39" t="str">
        <f>'Por Valoracion (3) Dimension 2'!H20</f>
        <v>0</v>
      </c>
      <c r="GU20" s="46"/>
      <c r="GW20" s="47"/>
      <c r="GY20" t="str">
        <f>('Inteligencia emocional'!A21)</f>
        <v>0</v>
      </c>
      <c r="GZ20" s="39" t="str">
        <f>'Por Valoracion (3) Dimension'!F20</f>
        <v>0</v>
      </c>
      <c r="HA20" s="39" t="str">
        <f>'Por Valoracion (3) Dimension 2'!B20</f>
        <v>0</v>
      </c>
      <c r="HV20" s="47"/>
      <c r="HX20" t="str">
        <f>('Inteligencia emocional'!A21)</f>
        <v>0</v>
      </c>
      <c r="HY20" s="39" t="str">
        <f>'Por Valoracion (3) Dimension'!F20</f>
        <v>0</v>
      </c>
      <c r="HZ20" s="39" t="str">
        <f>'Por Valoracion (3) Dimension 2'!D20</f>
        <v>0</v>
      </c>
      <c r="IU20" s="47"/>
      <c r="IW20" t="str">
        <f>('Inteligencia emocional'!A21)</f>
        <v>0</v>
      </c>
      <c r="IX20" s="39" t="str">
        <f>'Por Valoracion (3) Dimension'!F20</f>
        <v>0</v>
      </c>
      <c r="IY20" s="39" t="str">
        <f>'Por Valoracion (3) Dimension 2'!F20</f>
        <v>0</v>
      </c>
      <c r="JT20" s="47"/>
      <c r="JV20" t="str">
        <f>('Inteligencia emocional'!A21)</f>
        <v>0</v>
      </c>
      <c r="JW20" s="39" t="str">
        <f>'Por Valoracion (3) Dimension'!F20</f>
        <v>0</v>
      </c>
      <c r="JX20" s="39" t="str">
        <f>'Por Valoracion (3) Dimension 2'!H20</f>
        <v>0</v>
      </c>
      <c r="KS20" s="47"/>
    </row>
    <row r="21" spans="1:305">
      <c r="A21" s="38"/>
      <c r="C21" t="str">
        <f>('Inteligencia emocional'!A22)</f>
        <v>0</v>
      </c>
      <c r="D21" s="39" t="str">
        <f>'Por Valoracion (3) Dimension'!B21</f>
        <v>0</v>
      </c>
      <c r="E21" s="39" t="str">
        <f>'Por Valoracion (3) Dimension 2'!B21</f>
        <v>0</v>
      </c>
      <c r="Z21" s="38"/>
      <c r="AB21" t="str">
        <f>('Inteligencia emocional'!A22)</f>
        <v>0</v>
      </c>
      <c r="AC21" s="39" t="str">
        <f>'Por Valoracion (3) Dimension'!B21</f>
        <v>0</v>
      </c>
      <c r="AD21" s="39" t="str">
        <f>'Por Valoracion (3) Dimension 2'!D21</f>
        <v>0</v>
      </c>
      <c r="AY21" s="38"/>
      <c r="BA21" t="str">
        <f>('Inteligencia emocional'!A22)</f>
        <v>0</v>
      </c>
      <c r="BB21" s="39" t="str">
        <f>'Por Valoracion (3) Dimension'!B21</f>
        <v>0</v>
      </c>
      <c r="BC21" s="39" t="str">
        <f>'Por Valoracion (3) Dimension 2'!F21</f>
        <v>0</v>
      </c>
      <c r="BX21" s="38"/>
      <c r="BZ21" t="str">
        <f>('Inteligencia emocional'!A22)</f>
        <v>0</v>
      </c>
      <c r="CA21" s="39" t="str">
        <f>'Por Valoracion (3) Dimension'!B21</f>
        <v>0</v>
      </c>
      <c r="CB21" s="39" t="str">
        <f>'Por Valoracion (3) Dimension 2'!H21</f>
        <v>0</v>
      </c>
      <c r="CW21" s="38"/>
      <c r="CY21" s="46"/>
      <c r="DA21" t="str">
        <f>('Inteligencia emocional'!A22)</f>
        <v>0</v>
      </c>
      <c r="DB21" s="39" t="str">
        <f>'Por Valoracion (3) Dimension'!D21</f>
        <v>0</v>
      </c>
      <c r="DC21" s="39" t="str">
        <f>'Por Valoracion (3) Dimension 2'!B21</f>
        <v>0</v>
      </c>
      <c r="DX21" s="46"/>
      <c r="DZ21" t="str">
        <f>('Inteligencia emocional'!A22)</f>
        <v>0</v>
      </c>
      <c r="EA21" s="39" t="str">
        <f>'Por Valoracion (3) Dimension'!D21</f>
        <v>0</v>
      </c>
      <c r="EB21" s="39" t="str">
        <f>'Por Valoracion (3) Dimension 2'!D21</f>
        <v>0</v>
      </c>
      <c r="EW21" s="46"/>
      <c r="EY21" t="str">
        <f>('Inteligencia emocional'!A22)</f>
        <v>0</v>
      </c>
      <c r="EZ21" s="39" t="str">
        <f>'Por Valoracion (3) Dimension'!D21</f>
        <v>0</v>
      </c>
      <c r="FA21" s="39" t="str">
        <f>'Por Valoracion (3) Dimension 2'!F21</f>
        <v>0</v>
      </c>
      <c r="FV21" s="46"/>
      <c r="FX21" t="str">
        <f>('Inteligencia emocional'!A22)</f>
        <v>0</v>
      </c>
      <c r="FY21" s="39" t="str">
        <f>'Por Valoracion (3) Dimension'!D21</f>
        <v>0</v>
      </c>
      <c r="FZ21" s="39" t="str">
        <f>'Por Valoracion (3) Dimension 2'!H21</f>
        <v>0</v>
      </c>
      <c r="GU21" s="46"/>
      <c r="GW21" s="47"/>
      <c r="GY21" t="str">
        <f>('Inteligencia emocional'!A22)</f>
        <v>0</v>
      </c>
      <c r="GZ21" s="39" t="str">
        <f>'Por Valoracion (3) Dimension'!F21</f>
        <v>0</v>
      </c>
      <c r="HA21" s="39" t="str">
        <f>'Por Valoracion (3) Dimension 2'!B21</f>
        <v>0</v>
      </c>
      <c r="HV21" s="47"/>
      <c r="HX21" t="str">
        <f>('Inteligencia emocional'!A22)</f>
        <v>0</v>
      </c>
      <c r="HY21" s="39" t="str">
        <f>'Por Valoracion (3) Dimension'!F21</f>
        <v>0</v>
      </c>
      <c r="HZ21" s="39" t="str">
        <f>'Por Valoracion (3) Dimension 2'!D21</f>
        <v>0</v>
      </c>
      <c r="IU21" s="47"/>
      <c r="IW21" t="str">
        <f>('Inteligencia emocional'!A22)</f>
        <v>0</v>
      </c>
      <c r="IX21" s="39" t="str">
        <f>'Por Valoracion (3) Dimension'!F21</f>
        <v>0</v>
      </c>
      <c r="IY21" s="39" t="str">
        <f>'Por Valoracion (3) Dimension 2'!F21</f>
        <v>0</v>
      </c>
      <c r="JT21" s="47"/>
      <c r="JV21" t="str">
        <f>('Inteligencia emocional'!A22)</f>
        <v>0</v>
      </c>
      <c r="JW21" s="39" t="str">
        <f>'Por Valoracion (3) Dimension'!F21</f>
        <v>0</v>
      </c>
      <c r="JX21" s="39" t="str">
        <f>'Por Valoracion (3) Dimension 2'!H21</f>
        <v>0</v>
      </c>
      <c r="KS21" s="47"/>
    </row>
    <row r="22" spans="1:305">
      <c r="A22" s="38"/>
      <c r="C22" t="str">
        <f>('Inteligencia emocional'!A23)</f>
        <v>0</v>
      </c>
      <c r="D22" s="39" t="str">
        <f>'Por Valoracion (3) Dimension'!B22</f>
        <v>0</v>
      </c>
      <c r="E22" s="39" t="str">
        <f>'Por Valoracion (3) Dimension 2'!B22</f>
        <v>0</v>
      </c>
      <c r="Z22" s="38"/>
      <c r="AB22" t="str">
        <f>('Inteligencia emocional'!A23)</f>
        <v>0</v>
      </c>
      <c r="AC22" s="39" t="str">
        <f>'Por Valoracion (3) Dimension'!B22</f>
        <v>0</v>
      </c>
      <c r="AD22" s="39" t="str">
        <f>'Por Valoracion (3) Dimension 2'!D22</f>
        <v>0</v>
      </c>
      <c r="AY22" s="38"/>
      <c r="BA22" t="str">
        <f>('Inteligencia emocional'!A23)</f>
        <v>0</v>
      </c>
      <c r="BB22" s="39" t="str">
        <f>'Por Valoracion (3) Dimension'!B22</f>
        <v>0</v>
      </c>
      <c r="BC22" s="39" t="str">
        <f>'Por Valoracion (3) Dimension 2'!F22</f>
        <v>0</v>
      </c>
      <c r="BX22" s="38"/>
      <c r="BZ22" t="str">
        <f>('Inteligencia emocional'!A23)</f>
        <v>0</v>
      </c>
      <c r="CA22" s="39" t="str">
        <f>'Por Valoracion (3) Dimension'!B22</f>
        <v>0</v>
      </c>
      <c r="CB22" s="39" t="str">
        <f>'Por Valoracion (3) Dimension 2'!H22</f>
        <v>0</v>
      </c>
      <c r="CW22" s="38"/>
      <c r="CY22" s="46"/>
      <c r="DA22" t="str">
        <f>('Inteligencia emocional'!A23)</f>
        <v>0</v>
      </c>
      <c r="DB22" s="39" t="str">
        <f>'Por Valoracion (3) Dimension'!D22</f>
        <v>0</v>
      </c>
      <c r="DC22" s="39" t="str">
        <f>'Por Valoracion (3) Dimension 2'!B22</f>
        <v>0</v>
      </c>
      <c r="DX22" s="46"/>
      <c r="DZ22" t="str">
        <f>('Inteligencia emocional'!A23)</f>
        <v>0</v>
      </c>
      <c r="EA22" s="39" t="str">
        <f>'Por Valoracion (3) Dimension'!D22</f>
        <v>0</v>
      </c>
      <c r="EB22" s="39" t="str">
        <f>'Por Valoracion (3) Dimension 2'!D22</f>
        <v>0</v>
      </c>
      <c r="EW22" s="46"/>
      <c r="EY22" t="str">
        <f>('Inteligencia emocional'!A23)</f>
        <v>0</v>
      </c>
      <c r="EZ22" s="39" t="str">
        <f>'Por Valoracion (3) Dimension'!D22</f>
        <v>0</v>
      </c>
      <c r="FA22" s="39" t="str">
        <f>'Por Valoracion (3) Dimension 2'!F22</f>
        <v>0</v>
      </c>
      <c r="FV22" s="46"/>
      <c r="FX22" t="str">
        <f>('Inteligencia emocional'!A23)</f>
        <v>0</v>
      </c>
      <c r="FY22" s="39" t="str">
        <f>'Por Valoracion (3) Dimension'!D22</f>
        <v>0</v>
      </c>
      <c r="FZ22" s="39" t="str">
        <f>'Por Valoracion (3) Dimension 2'!H22</f>
        <v>0</v>
      </c>
      <c r="GU22" s="46"/>
      <c r="GW22" s="47"/>
      <c r="GY22" t="str">
        <f>('Inteligencia emocional'!A23)</f>
        <v>0</v>
      </c>
      <c r="GZ22" s="39" t="str">
        <f>'Por Valoracion (3) Dimension'!F22</f>
        <v>0</v>
      </c>
      <c r="HA22" s="39" t="str">
        <f>'Por Valoracion (3) Dimension 2'!B22</f>
        <v>0</v>
      </c>
      <c r="HV22" s="47"/>
      <c r="HX22" t="str">
        <f>('Inteligencia emocional'!A23)</f>
        <v>0</v>
      </c>
      <c r="HY22" s="39" t="str">
        <f>'Por Valoracion (3) Dimension'!F22</f>
        <v>0</v>
      </c>
      <c r="HZ22" s="39" t="str">
        <f>'Por Valoracion (3) Dimension 2'!D22</f>
        <v>0</v>
      </c>
      <c r="IU22" s="47"/>
      <c r="IW22" t="str">
        <f>('Inteligencia emocional'!A23)</f>
        <v>0</v>
      </c>
      <c r="IX22" s="39" t="str">
        <f>'Por Valoracion (3) Dimension'!F22</f>
        <v>0</v>
      </c>
      <c r="IY22" s="39" t="str">
        <f>'Por Valoracion (3) Dimension 2'!F22</f>
        <v>0</v>
      </c>
      <c r="JT22" s="47"/>
      <c r="JV22" t="str">
        <f>('Inteligencia emocional'!A23)</f>
        <v>0</v>
      </c>
      <c r="JW22" s="39" t="str">
        <f>'Por Valoracion (3) Dimension'!F22</f>
        <v>0</v>
      </c>
      <c r="JX22" s="39" t="str">
        <f>'Por Valoracion (3) Dimension 2'!H22</f>
        <v>0</v>
      </c>
      <c r="KS22" s="47"/>
    </row>
    <row r="23" spans="1:305">
      <c r="A23" s="38"/>
      <c r="C23" t="str">
        <f>('Inteligencia emocional'!A24)</f>
        <v>0</v>
      </c>
      <c r="D23" s="39" t="str">
        <f>'Por Valoracion (3) Dimension'!B23</f>
        <v>0</v>
      </c>
      <c r="E23" s="39" t="str">
        <f>'Por Valoracion (3) Dimension 2'!B23</f>
        <v>0</v>
      </c>
      <c r="Z23" s="38"/>
      <c r="AB23" t="str">
        <f>('Inteligencia emocional'!A24)</f>
        <v>0</v>
      </c>
      <c r="AC23" s="39" t="str">
        <f>'Por Valoracion (3) Dimension'!B23</f>
        <v>0</v>
      </c>
      <c r="AD23" s="39" t="str">
        <f>'Por Valoracion (3) Dimension 2'!D23</f>
        <v>0</v>
      </c>
      <c r="AY23" s="38"/>
      <c r="BA23" t="str">
        <f>('Inteligencia emocional'!A24)</f>
        <v>0</v>
      </c>
      <c r="BB23" s="39" t="str">
        <f>'Por Valoracion (3) Dimension'!B23</f>
        <v>0</v>
      </c>
      <c r="BC23" s="39" t="str">
        <f>'Por Valoracion (3) Dimension 2'!F23</f>
        <v>0</v>
      </c>
      <c r="BX23" s="38"/>
      <c r="BZ23" t="str">
        <f>('Inteligencia emocional'!A24)</f>
        <v>0</v>
      </c>
      <c r="CA23" s="39" t="str">
        <f>'Por Valoracion (3) Dimension'!B23</f>
        <v>0</v>
      </c>
      <c r="CB23" s="39" t="str">
        <f>'Por Valoracion (3) Dimension 2'!H23</f>
        <v>0</v>
      </c>
      <c r="CW23" s="38"/>
      <c r="CY23" s="46"/>
      <c r="DA23" t="str">
        <f>('Inteligencia emocional'!A24)</f>
        <v>0</v>
      </c>
      <c r="DB23" s="39" t="str">
        <f>'Por Valoracion (3) Dimension'!D23</f>
        <v>0</v>
      </c>
      <c r="DC23" s="39" t="str">
        <f>'Por Valoracion (3) Dimension 2'!B23</f>
        <v>0</v>
      </c>
      <c r="DX23" s="46"/>
      <c r="DZ23" t="str">
        <f>('Inteligencia emocional'!A24)</f>
        <v>0</v>
      </c>
      <c r="EA23" s="39" t="str">
        <f>'Por Valoracion (3) Dimension'!D23</f>
        <v>0</v>
      </c>
      <c r="EB23" s="39" t="str">
        <f>'Por Valoracion (3) Dimension 2'!D23</f>
        <v>0</v>
      </c>
      <c r="EW23" s="46"/>
      <c r="EY23" t="str">
        <f>('Inteligencia emocional'!A24)</f>
        <v>0</v>
      </c>
      <c r="EZ23" s="39" t="str">
        <f>'Por Valoracion (3) Dimension'!D23</f>
        <v>0</v>
      </c>
      <c r="FA23" s="39" t="str">
        <f>'Por Valoracion (3) Dimension 2'!F23</f>
        <v>0</v>
      </c>
      <c r="FV23" s="46"/>
      <c r="FX23" t="str">
        <f>('Inteligencia emocional'!A24)</f>
        <v>0</v>
      </c>
      <c r="FY23" s="39" t="str">
        <f>'Por Valoracion (3) Dimension'!D23</f>
        <v>0</v>
      </c>
      <c r="FZ23" s="39" t="str">
        <f>'Por Valoracion (3) Dimension 2'!H23</f>
        <v>0</v>
      </c>
      <c r="GU23" s="46"/>
      <c r="GW23" s="47"/>
      <c r="GY23" t="str">
        <f>('Inteligencia emocional'!A24)</f>
        <v>0</v>
      </c>
      <c r="GZ23" s="39" t="str">
        <f>'Por Valoracion (3) Dimension'!F23</f>
        <v>0</v>
      </c>
      <c r="HA23" s="39" t="str">
        <f>'Por Valoracion (3) Dimension 2'!B23</f>
        <v>0</v>
      </c>
      <c r="HV23" s="47"/>
      <c r="HX23" t="str">
        <f>('Inteligencia emocional'!A24)</f>
        <v>0</v>
      </c>
      <c r="HY23" s="39" t="str">
        <f>'Por Valoracion (3) Dimension'!F23</f>
        <v>0</v>
      </c>
      <c r="HZ23" s="39" t="str">
        <f>'Por Valoracion (3) Dimension 2'!D23</f>
        <v>0</v>
      </c>
      <c r="IU23" s="47"/>
      <c r="IW23" t="str">
        <f>('Inteligencia emocional'!A24)</f>
        <v>0</v>
      </c>
      <c r="IX23" s="39" t="str">
        <f>'Por Valoracion (3) Dimension'!F23</f>
        <v>0</v>
      </c>
      <c r="IY23" s="39" t="str">
        <f>'Por Valoracion (3) Dimension 2'!F23</f>
        <v>0</v>
      </c>
      <c r="JT23" s="47"/>
      <c r="JV23" t="str">
        <f>('Inteligencia emocional'!A24)</f>
        <v>0</v>
      </c>
      <c r="JW23" s="39" t="str">
        <f>'Por Valoracion (3) Dimension'!F23</f>
        <v>0</v>
      </c>
      <c r="JX23" s="39" t="str">
        <f>'Por Valoracion (3) Dimension 2'!H23</f>
        <v>0</v>
      </c>
      <c r="KS23" s="47"/>
    </row>
    <row r="24" spans="1:305">
      <c r="A24" s="38"/>
      <c r="C24" t="str">
        <f>('Inteligencia emocional'!A25)</f>
        <v>0</v>
      </c>
      <c r="D24" s="39" t="str">
        <f>'Por Valoracion (3) Dimension'!B24</f>
        <v>0</v>
      </c>
      <c r="E24" s="39" t="str">
        <f>'Por Valoracion (3) Dimension 2'!B24</f>
        <v>0</v>
      </c>
      <c r="Z24" s="38"/>
      <c r="AB24" t="str">
        <f>('Inteligencia emocional'!A25)</f>
        <v>0</v>
      </c>
      <c r="AC24" s="39" t="str">
        <f>'Por Valoracion (3) Dimension'!B24</f>
        <v>0</v>
      </c>
      <c r="AD24" s="39" t="str">
        <f>'Por Valoracion (3) Dimension 2'!D24</f>
        <v>0</v>
      </c>
      <c r="AY24" s="38"/>
      <c r="BA24" t="str">
        <f>('Inteligencia emocional'!A25)</f>
        <v>0</v>
      </c>
      <c r="BB24" s="39" t="str">
        <f>'Por Valoracion (3) Dimension'!B24</f>
        <v>0</v>
      </c>
      <c r="BC24" s="39" t="str">
        <f>'Por Valoracion (3) Dimension 2'!F24</f>
        <v>0</v>
      </c>
      <c r="BX24" s="38"/>
      <c r="BZ24" t="str">
        <f>('Inteligencia emocional'!A25)</f>
        <v>0</v>
      </c>
      <c r="CA24" s="39" t="str">
        <f>'Por Valoracion (3) Dimension'!B24</f>
        <v>0</v>
      </c>
      <c r="CB24" s="39" t="str">
        <f>'Por Valoracion (3) Dimension 2'!H24</f>
        <v>0</v>
      </c>
      <c r="CW24" s="38"/>
      <c r="CY24" s="46"/>
      <c r="DA24" t="str">
        <f>('Inteligencia emocional'!A25)</f>
        <v>0</v>
      </c>
      <c r="DB24" s="39" t="str">
        <f>'Por Valoracion (3) Dimension'!D24</f>
        <v>0</v>
      </c>
      <c r="DC24" s="39" t="str">
        <f>'Por Valoracion (3) Dimension 2'!B24</f>
        <v>0</v>
      </c>
      <c r="DX24" s="46"/>
      <c r="DZ24" t="str">
        <f>('Inteligencia emocional'!A25)</f>
        <v>0</v>
      </c>
      <c r="EA24" s="39" t="str">
        <f>'Por Valoracion (3) Dimension'!D24</f>
        <v>0</v>
      </c>
      <c r="EB24" s="39" t="str">
        <f>'Por Valoracion (3) Dimension 2'!D24</f>
        <v>0</v>
      </c>
      <c r="EW24" s="46"/>
      <c r="EY24" t="str">
        <f>('Inteligencia emocional'!A25)</f>
        <v>0</v>
      </c>
      <c r="EZ24" s="39" t="str">
        <f>'Por Valoracion (3) Dimension'!D24</f>
        <v>0</v>
      </c>
      <c r="FA24" s="39" t="str">
        <f>'Por Valoracion (3) Dimension 2'!F24</f>
        <v>0</v>
      </c>
      <c r="FV24" s="46"/>
      <c r="FX24" t="str">
        <f>('Inteligencia emocional'!A25)</f>
        <v>0</v>
      </c>
      <c r="FY24" s="39" t="str">
        <f>'Por Valoracion (3) Dimension'!D24</f>
        <v>0</v>
      </c>
      <c r="FZ24" s="39" t="str">
        <f>'Por Valoracion (3) Dimension 2'!H24</f>
        <v>0</v>
      </c>
      <c r="GU24" s="46"/>
      <c r="GW24" s="47"/>
      <c r="GY24" t="str">
        <f>('Inteligencia emocional'!A25)</f>
        <v>0</v>
      </c>
      <c r="GZ24" s="39" t="str">
        <f>'Por Valoracion (3) Dimension'!F24</f>
        <v>0</v>
      </c>
      <c r="HA24" s="39" t="str">
        <f>'Por Valoracion (3) Dimension 2'!B24</f>
        <v>0</v>
      </c>
      <c r="HV24" s="47"/>
      <c r="HX24" t="str">
        <f>('Inteligencia emocional'!A25)</f>
        <v>0</v>
      </c>
      <c r="HY24" s="39" t="str">
        <f>'Por Valoracion (3) Dimension'!F24</f>
        <v>0</v>
      </c>
      <c r="HZ24" s="39" t="str">
        <f>'Por Valoracion (3) Dimension 2'!D24</f>
        <v>0</v>
      </c>
      <c r="IU24" s="47"/>
      <c r="IW24" t="str">
        <f>('Inteligencia emocional'!A25)</f>
        <v>0</v>
      </c>
      <c r="IX24" s="39" t="str">
        <f>'Por Valoracion (3) Dimension'!F24</f>
        <v>0</v>
      </c>
      <c r="IY24" s="39" t="str">
        <f>'Por Valoracion (3) Dimension 2'!F24</f>
        <v>0</v>
      </c>
      <c r="JT24" s="47"/>
      <c r="JV24" t="str">
        <f>('Inteligencia emocional'!A25)</f>
        <v>0</v>
      </c>
      <c r="JW24" s="39" t="str">
        <f>'Por Valoracion (3) Dimension'!F24</f>
        <v>0</v>
      </c>
      <c r="JX24" s="39" t="str">
        <f>'Por Valoracion (3) Dimension 2'!H24</f>
        <v>0</v>
      </c>
      <c r="KS24" s="47"/>
    </row>
    <row r="25" spans="1:305">
      <c r="A25" s="38"/>
      <c r="C25" t="str">
        <f>('Inteligencia emocional'!A26)</f>
        <v>0</v>
      </c>
      <c r="D25" s="39" t="str">
        <f>'Por Valoracion (3) Dimension'!B25</f>
        <v>0</v>
      </c>
      <c r="E25" s="39" t="str">
        <f>'Por Valoracion (3) Dimension 2'!B25</f>
        <v>0</v>
      </c>
      <c r="Z25" s="38"/>
      <c r="AB25" t="str">
        <f>('Inteligencia emocional'!A26)</f>
        <v>0</v>
      </c>
      <c r="AC25" s="39" t="str">
        <f>'Por Valoracion (3) Dimension'!B25</f>
        <v>0</v>
      </c>
      <c r="AD25" s="39" t="str">
        <f>'Por Valoracion (3) Dimension 2'!D25</f>
        <v>0</v>
      </c>
      <c r="AY25" s="38"/>
      <c r="BA25" t="str">
        <f>('Inteligencia emocional'!A26)</f>
        <v>0</v>
      </c>
      <c r="BB25" s="39" t="str">
        <f>'Por Valoracion (3) Dimension'!B25</f>
        <v>0</v>
      </c>
      <c r="BC25" s="39" t="str">
        <f>'Por Valoracion (3) Dimension 2'!F25</f>
        <v>0</v>
      </c>
      <c r="BX25" s="38"/>
      <c r="BZ25" t="str">
        <f>('Inteligencia emocional'!A26)</f>
        <v>0</v>
      </c>
      <c r="CA25" s="39" t="str">
        <f>'Por Valoracion (3) Dimension'!B25</f>
        <v>0</v>
      </c>
      <c r="CB25" s="39" t="str">
        <f>'Por Valoracion (3) Dimension 2'!H25</f>
        <v>0</v>
      </c>
      <c r="CW25" s="38"/>
      <c r="CY25" s="46"/>
      <c r="DA25" t="str">
        <f>('Inteligencia emocional'!A26)</f>
        <v>0</v>
      </c>
      <c r="DB25" s="39" t="str">
        <f>'Por Valoracion (3) Dimension'!D25</f>
        <v>0</v>
      </c>
      <c r="DC25" s="39" t="str">
        <f>'Por Valoracion (3) Dimension 2'!B25</f>
        <v>0</v>
      </c>
      <c r="DX25" s="46"/>
      <c r="DZ25" t="str">
        <f>('Inteligencia emocional'!A26)</f>
        <v>0</v>
      </c>
      <c r="EA25" s="39" t="str">
        <f>'Por Valoracion (3) Dimension'!D25</f>
        <v>0</v>
      </c>
      <c r="EB25" s="39" t="str">
        <f>'Por Valoracion (3) Dimension 2'!D25</f>
        <v>0</v>
      </c>
      <c r="EW25" s="46"/>
      <c r="EY25" t="str">
        <f>('Inteligencia emocional'!A26)</f>
        <v>0</v>
      </c>
      <c r="EZ25" s="39" t="str">
        <f>'Por Valoracion (3) Dimension'!D25</f>
        <v>0</v>
      </c>
      <c r="FA25" s="39" t="str">
        <f>'Por Valoracion (3) Dimension 2'!F25</f>
        <v>0</v>
      </c>
      <c r="FV25" s="46"/>
      <c r="FX25" t="str">
        <f>('Inteligencia emocional'!A26)</f>
        <v>0</v>
      </c>
      <c r="FY25" s="39" t="str">
        <f>'Por Valoracion (3) Dimension'!D25</f>
        <v>0</v>
      </c>
      <c r="FZ25" s="39" t="str">
        <f>'Por Valoracion (3) Dimension 2'!H25</f>
        <v>0</v>
      </c>
      <c r="GU25" s="46"/>
      <c r="GW25" s="47"/>
      <c r="GY25" t="str">
        <f>('Inteligencia emocional'!A26)</f>
        <v>0</v>
      </c>
      <c r="GZ25" s="39" t="str">
        <f>'Por Valoracion (3) Dimension'!F25</f>
        <v>0</v>
      </c>
      <c r="HA25" s="39" t="str">
        <f>'Por Valoracion (3) Dimension 2'!B25</f>
        <v>0</v>
      </c>
      <c r="HV25" s="47"/>
      <c r="HX25" t="str">
        <f>('Inteligencia emocional'!A26)</f>
        <v>0</v>
      </c>
      <c r="HY25" s="39" t="str">
        <f>'Por Valoracion (3) Dimension'!F25</f>
        <v>0</v>
      </c>
      <c r="HZ25" s="39" t="str">
        <f>'Por Valoracion (3) Dimension 2'!D25</f>
        <v>0</v>
      </c>
      <c r="IU25" s="47"/>
      <c r="IW25" t="str">
        <f>('Inteligencia emocional'!A26)</f>
        <v>0</v>
      </c>
      <c r="IX25" s="39" t="str">
        <f>'Por Valoracion (3) Dimension'!F25</f>
        <v>0</v>
      </c>
      <c r="IY25" s="39" t="str">
        <f>'Por Valoracion (3) Dimension 2'!F25</f>
        <v>0</v>
      </c>
      <c r="JT25" s="47"/>
      <c r="JV25" t="str">
        <f>('Inteligencia emocional'!A26)</f>
        <v>0</v>
      </c>
      <c r="JW25" s="39" t="str">
        <f>'Por Valoracion (3) Dimension'!F25</f>
        <v>0</v>
      </c>
      <c r="JX25" s="39" t="str">
        <f>'Por Valoracion (3) Dimension 2'!H25</f>
        <v>0</v>
      </c>
      <c r="KS25" s="47"/>
    </row>
    <row r="26" spans="1:305">
      <c r="A26" s="38"/>
      <c r="C26" t="str">
        <f>('Inteligencia emocional'!A27)</f>
        <v>0</v>
      </c>
      <c r="D26" s="39" t="str">
        <f>'Por Valoracion (3) Dimension'!B26</f>
        <v>0</v>
      </c>
      <c r="E26" s="39" t="str">
        <f>'Por Valoracion (3) Dimension 2'!B26</f>
        <v>0</v>
      </c>
      <c r="Z26" s="38"/>
      <c r="AB26" t="str">
        <f>('Inteligencia emocional'!A27)</f>
        <v>0</v>
      </c>
      <c r="AC26" s="39" t="str">
        <f>'Por Valoracion (3) Dimension'!B26</f>
        <v>0</v>
      </c>
      <c r="AD26" s="39" t="str">
        <f>'Por Valoracion (3) Dimension 2'!D26</f>
        <v>0</v>
      </c>
      <c r="AY26" s="38"/>
      <c r="BA26" t="str">
        <f>('Inteligencia emocional'!A27)</f>
        <v>0</v>
      </c>
      <c r="BB26" s="39" t="str">
        <f>'Por Valoracion (3) Dimension'!B26</f>
        <v>0</v>
      </c>
      <c r="BC26" s="39" t="str">
        <f>'Por Valoracion (3) Dimension 2'!F26</f>
        <v>0</v>
      </c>
      <c r="BX26" s="38"/>
      <c r="BZ26" t="str">
        <f>('Inteligencia emocional'!A27)</f>
        <v>0</v>
      </c>
      <c r="CA26" s="39" t="str">
        <f>'Por Valoracion (3) Dimension'!B26</f>
        <v>0</v>
      </c>
      <c r="CB26" s="39" t="str">
        <f>'Por Valoracion (3) Dimension 2'!H26</f>
        <v>0</v>
      </c>
      <c r="CW26" s="38"/>
      <c r="CY26" s="46"/>
      <c r="DA26" t="str">
        <f>('Inteligencia emocional'!A27)</f>
        <v>0</v>
      </c>
      <c r="DB26" s="39" t="str">
        <f>'Por Valoracion (3) Dimension'!D26</f>
        <v>0</v>
      </c>
      <c r="DC26" s="39" t="str">
        <f>'Por Valoracion (3) Dimension 2'!B26</f>
        <v>0</v>
      </c>
      <c r="DX26" s="46"/>
      <c r="DZ26" t="str">
        <f>('Inteligencia emocional'!A27)</f>
        <v>0</v>
      </c>
      <c r="EA26" s="39" t="str">
        <f>'Por Valoracion (3) Dimension'!D26</f>
        <v>0</v>
      </c>
      <c r="EB26" s="39" t="str">
        <f>'Por Valoracion (3) Dimension 2'!D26</f>
        <v>0</v>
      </c>
      <c r="EW26" s="46"/>
      <c r="EY26" t="str">
        <f>('Inteligencia emocional'!A27)</f>
        <v>0</v>
      </c>
      <c r="EZ26" s="39" t="str">
        <f>'Por Valoracion (3) Dimension'!D26</f>
        <v>0</v>
      </c>
      <c r="FA26" s="39" t="str">
        <f>'Por Valoracion (3) Dimension 2'!F26</f>
        <v>0</v>
      </c>
      <c r="FV26" s="46"/>
      <c r="FX26" t="str">
        <f>('Inteligencia emocional'!A27)</f>
        <v>0</v>
      </c>
      <c r="FY26" s="39" t="str">
        <f>'Por Valoracion (3) Dimension'!D26</f>
        <v>0</v>
      </c>
      <c r="FZ26" s="39" t="str">
        <f>'Por Valoracion (3) Dimension 2'!H26</f>
        <v>0</v>
      </c>
      <c r="GU26" s="46"/>
      <c r="GW26" s="47"/>
      <c r="GY26" t="str">
        <f>('Inteligencia emocional'!A27)</f>
        <v>0</v>
      </c>
      <c r="GZ26" s="39" t="str">
        <f>'Por Valoracion (3) Dimension'!F26</f>
        <v>0</v>
      </c>
      <c r="HA26" s="39" t="str">
        <f>'Por Valoracion (3) Dimension 2'!B26</f>
        <v>0</v>
      </c>
      <c r="HV26" s="47"/>
      <c r="HX26" t="str">
        <f>('Inteligencia emocional'!A27)</f>
        <v>0</v>
      </c>
      <c r="HY26" s="39" t="str">
        <f>'Por Valoracion (3) Dimension'!F26</f>
        <v>0</v>
      </c>
      <c r="HZ26" s="39" t="str">
        <f>'Por Valoracion (3) Dimension 2'!D26</f>
        <v>0</v>
      </c>
      <c r="IU26" s="47"/>
      <c r="IW26" t="str">
        <f>('Inteligencia emocional'!A27)</f>
        <v>0</v>
      </c>
      <c r="IX26" s="39" t="str">
        <f>'Por Valoracion (3) Dimension'!F26</f>
        <v>0</v>
      </c>
      <c r="IY26" s="39" t="str">
        <f>'Por Valoracion (3) Dimension 2'!F26</f>
        <v>0</v>
      </c>
      <c r="JT26" s="47"/>
      <c r="JV26" t="str">
        <f>('Inteligencia emocional'!A27)</f>
        <v>0</v>
      </c>
      <c r="JW26" s="39" t="str">
        <f>'Por Valoracion (3) Dimension'!F26</f>
        <v>0</v>
      </c>
      <c r="JX26" s="39" t="str">
        <f>'Por Valoracion (3) Dimension 2'!H26</f>
        <v>0</v>
      </c>
      <c r="KS26" s="47"/>
    </row>
    <row r="27" spans="1:305">
      <c r="A27" s="38"/>
      <c r="C27" t="str">
        <f>('Inteligencia emocional'!A28)</f>
        <v>0</v>
      </c>
      <c r="D27" s="39" t="str">
        <f>'Por Valoracion (3) Dimension'!B27</f>
        <v>0</v>
      </c>
      <c r="E27" s="39" t="str">
        <f>'Por Valoracion (3) Dimension 2'!B27</f>
        <v>0</v>
      </c>
      <c r="Z27" s="38"/>
      <c r="AB27" t="str">
        <f>('Inteligencia emocional'!A28)</f>
        <v>0</v>
      </c>
      <c r="AC27" s="39" t="str">
        <f>'Por Valoracion (3) Dimension'!B27</f>
        <v>0</v>
      </c>
      <c r="AD27" s="39" t="str">
        <f>'Por Valoracion (3) Dimension 2'!D27</f>
        <v>0</v>
      </c>
      <c r="AY27" s="38"/>
      <c r="BA27" t="str">
        <f>('Inteligencia emocional'!A28)</f>
        <v>0</v>
      </c>
      <c r="BB27" s="39" t="str">
        <f>'Por Valoracion (3) Dimension'!B27</f>
        <v>0</v>
      </c>
      <c r="BC27" s="39" t="str">
        <f>'Por Valoracion (3) Dimension 2'!F27</f>
        <v>0</v>
      </c>
      <c r="BX27" s="38"/>
      <c r="BZ27" t="str">
        <f>('Inteligencia emocional'!A28)</f>
        <v>0</v>
      </c>
      <c r="CA27" s="39" t="str">
        <f>'Por Valoracion (3) Dimension'!B27</f>
        <v>0</v>
      </c>
      <c r="CB27" s="39" t="str">
        <f>'Por Valoracion (3) Dimension 2'!H27</f>
        <v>0</v>
      </c>
      <c r="CW27" s="38"/>
      <c r="CY27" s="46"/>
      <c r="DA27" t="str">
        <f>('Inteligencia emocional'!A28)</f>
        <v>0</v>
      </c>
      <c r="DB27" s="39" t="str">
        <f>'Por Valoracion (3) Dimension'!D27</f>
        <v>0</v>
      </c>
      <c r="DC27" s="39" t="str">
        <f>'Por Valoracion (3) Dimension 2'!B27</f>
        <v>0</v>
      </c>
      <c r="DX27" s="46"/>
      <c r="DZ27" t="str">
        <f>('Inteligencia emocional'!A28)</f>
        <v>0</v>
      </c>
      <c r="EA27" s="39" t="str">
        <f>'Por Valoracion (3) Dimension'!D27</f>
        <v>0</v>
      </c>
      <c r="EB27" s="39" t="str">
        <f>'Por Valoracion (3) Dimension 2'!D27</f>
        <v>0</v>
      </c>
      <c r="EW27" s="46"/>
      <c r="EY27" t="str">
        <f>('Inteligencia emocional'!A28)</f>
        <v>0</v>
      </c>
      <c r="EZ27" s="39" t="str">
        <f>'Por Valoracion (3) Dimension'!D27</f>
        <v>0</v>
      </c>
      <c r="FA27" s="39" t="str">
        <f>'Por Valoracion (3) Dimension 2'!F27</f>
        <v>0</v>
      </c>
      <c r="FV27" s="46"/>
      <c r="FX27" t="str">
        <f>('Inteligencia emocional'!A28)</f>
        <v>0</v>
      </c>
      <c r="FY27" s="39" t="str">
        <f>'Por Valoracion (3) Dimension'!D27</f>
        <v>0</v>
      </c>
      <c r="FZ27" s="39" t="str">
        <f>'Por Valoracion (3) Dimension 2'!H27</f>
        <v>0</v>
      </c>
      <c r="GU27" s="46"/>
      <c r="GW27" s="47"/>
      <c r="GY27" t="str">
        <f>('Inteligencia emocional'!A28)</f>
        <v>0</v>
      </c>
      <c r="GZ27" s="39" t="str">
        <f>'Por Valoracion (3) Dimension'!F27</f>
        <v>0</v>
      </c>
      <c r="HA27" s="39" t="str">
        <f>'Por Valoracion (3) Dimension 2'!B27</f>
        <v>0</v>
      </c>
      <c r="HV27" s="47"/>
      <c r="HX27" t="str">
        <f>('Inteligencia emocional'!A28)</f>
        <v>0</v>
      </c>
      <c r="HY27" s="39" t="str">
        <f>'Por Valoracion (3) Dimension'!F27</f>
        <v>0</v>
      </c>
      <c r="HZ27" s="39" t="str">
        <f>'Por Valoracion (3) Dimension 2'!D27</f>
        <v>0</v>
      </c>
      <c r="IU27" s="47"/>
      <c r="IW27" t="str">
        <f>('Inteligencia emocional'!A28)</f>
        <v>0</v>
      </c>
      <c r="IX27" s="39" t="str">
        <f>'Por Valoracion (3) Dimension'!F27</f>
        <v>0</v>
      </c>
      <c r="IY27" s="39" t="str">
        <f>'Por Valoracion (3) Dimension 2'!F27</f>
        <v>0</v>
      </c>
      <c r="JT27" s="47"/>
      <c r="JV27" t="str">
        <f>('Inteligencia emocional'!A28)</f>
        <v>0</v>
      </c>
      <c r="JW27" s="39" t="str">
        <f>'Por Valoracion (3) Dimension'!F27</f>
        <v>0</v>
      </c>
      <c r="JX27" s="39" t="str">
        <f>'Por Valoracion (3) Dimension 2'!H27</f>
        <v>0</v>
      </c>
      <c r="KS27" s="47"/>
    </row>
    <row r="28" spans="1:305">
      <c r="A28" s="38"/>
      <c r="C28" t="str">
        <f>('Inteligencia emocional'!A29)</f>
        <v>0</v>
      </c>
      <c r="D28" s="39" t="str">
        <f>'Por Valoracion (3) Dimension'!B28</f>
        <v>0</v>
      </c>
      <c r="E28" s="39" t="str">
        <f>'Por Valoracion (3) Dimension 2'!B28</f>
        <v>0</v>
      </c>
      <c r="Z28" s="38"/>
      <c r="AB28" t="str">
        <f>('Inteligencia emocional'!A29)</f>
        <v>0</v>
      </c>
      <c r="AC28" s="39" t="str">
        <f>'Por Valoracion (3) Dimension'!B28</f>
        <v>0</v>
      </c>
      <c r="AD28" s="39" t="str">
        <f>'Por Valoracion (3) Dimension 2'!D28</f>
        <v>0</v>
      </c>
      <c r="AY28" s="38"/>
      <c r="BA28" t="str">
        <f>('Inteligencia emocional'!A29)</f>
        <v>0</v>
      </c>
      <c r="BB28" s="39" t="str">
        <f>'Por Valoracion (3) Dimension'!B28</f>
        <v>0</v>
      </c>
      <c r="BC28" s="39" t="str">
        <f>'Por Valoracion (3) Dimension 2'!F28</f>
        <v>0</v>
      </c>
      <c r="BX28" s="38"/>
      <c r="BZ28" t="str">
        <f>('Inteligencia emocional'!A29)</f>
        <v>0</v>
      </c>
      <c r="CA28" s="39" t="str">
        <f>'Por Valoracion (3) Dimension'!B28</f>
        <v>0</v>
      </c>
      <c r="CB28" s="39" t="str">
        <f>'Por Valoracion (3) Dimension 2'!H28</f>
        <v>0</v>
      </c>
      <c r="CW28" s="38"/>
      <c r="CY28" s="46"/>
      <c r="DA28" t="str">
        <f>('Inteligencia emocional'!A29)</f>
        <v>0</v>
      </c>
      <c r="DB28" s="39" t="str">
        <f>'Por Valoracion (3) Dimension'!D28</f>
        <v>0</v>
      </c>
      <c r="DC28" s="39" t="str">
        <f>'Por Valoracion (3) Dimension 2'!B28</f>
        <v>0</v>
      </c>
      <c r="DX28" s="46"/>
      <c r="DZ28" t="str">
        <f>('Inteligencia emocional'!A29)</f>
        <v>0</v>
      </c>
      <c r="EA28" s="39" t="str">
        <f>'Por Valoracion (3) Dimension'!D28</f>
        <v>0</v>
      </c>
      <c r="EB28" s="39" t="str">
        <f>'Por Valoracion (3) Dimension 2'!D28</f>
        <v>0</v>
      </c>
      <c r="EW28" s="46"/>
      <c r="EY28" t="str">
        <f>('Inteligencia emocional'!A29)</f>
        <v>0</v>
      </c>
      <c r="EZ28" s="39" t="str">
        <f>'Por Valoracion (3) Dimension'!D28</f>
        <v>0</v>
      </c>
      <c r="FA28" s="39" t="str">
        <f>'Por Valoracion (3) Dimension 2'!F28</f>
        <v>0</v>
      </c>
      <c r="FV28" s="46"/>
      <c r="FX28" t="str">
        <f>('Inteligencia emocional'!A29)</f>
        <v>0</v>
      </c>
      <c r="FY28" s="39" t="str">
        <f>'Por Valoracion (3) Dimension'!D28</f>
        <v>0</v>
      </c>
      <c r="FZ28" s="39" t="str">
        <f>'Por Valoracion (3) Dimension 2'!H28</f>
        <v>0</v>
      </c>
      <c r="GU28" s="46"/>
      <c r="GW28" s="47"/>
      <c r="GY28" t="str">
        <f>('Inteligencia emocional'!A29)</f>
        <v>0</v>
      </c>
      <c r="GZ28" s="39" t="str">
        <f>'Por Valoracion (3) Dimension'!F28</f>
        <v>0</v>
      </c>
      <c r="HA28" s="39" t="str">
        <f>'Por Valoracion (3) Dimension 2'!B28</f>
        <v>0</v>
      </c>
      <c r="HV28" s="47"/>
      <c r="HX28" t="str">
        <f>('Inteligencia emocional'!A29)</f>
        <v>0</v>
      </c>
      <c r="HY28" s="39" t="str">
        <f>'Por Valoracion (3) Dimension'!F28</f>
        <v>0</v>
      </c>
      <c r="HZ28" s="39" t="str">
        <f>'Por Valoracion (3) Dimension 2'!D28</f>
        <v>0</v>
      </c>
      <c r="IU28" s="47"/>
      <c r="IW28" t="str">
        <f>('Inteligencia emocional'!A29)</f>
        <v>0</v>
      </c>
      <c r="IX28" s="39" t="str">
        <f>'Por Valoracion (3) Dimension'!F28</f>
        <v>0</v>
      </c>
      <c r="IY28" s="39" t="str">
        <f>'Por Valoracion (3) Dimension 2'!F28</f>
        <v>0</v>
      </c>
      <c r="JT28" s="47"/>
      <c r="JV28" t="str">
        <f>('Inteligencia emocional'!A29)</f>
        <v>0</v>
      </c>
      <c r="JW28" s="39" t="str">
        <f>'Por Valoracion (3) Dimension'!F28</f>
        <v>0</v>
      </c>
      <c r="JX28" s="39" t="str">
        <f>'Por Valoracion (3) Dimension 2'!H28</f>
        <v>0</v>
      </c>
      <c r="KS28" s="47"/>
    </row>
    <row r="29" spans="1:305">
      <c r="A29" s="38"/>
      <c r="C29" t="str">
        <f>('Inteligencia emocional'!A30)</f>
        <v>0</v>
      </c>
      <c r="D29" s="39" t="str">
        <f>'Por Valoracion (3) Dimension'!B29</f>
        <v>0</v>
      </c>
      <c r="E29" s="39" t="str">
        <f>'Por Valoracion (3) Dimension 2'!B29</f>
        <v>0</v>
      </c>
      <c r="Z29" s="38"/>
      <c r="AB29" t="str">
        <f>('Inteligencia emocional'!A30)</f>
        <v>0</v>
      </c>
      <c r="AC29" s="39" t="str">
        <f>'Por Valoracion (3) Dimension'!B29</f>
        <v>0</v>
      </c>
      <c r="AD29" s="39" t="str">
        <f>'Por Valoracion (3) Dimension 2'!D29</f>
        <v>0</v>
      </c>
      <c r="AY29" s="38"/>
      <c r="BA29" t="str">
        <f>('Inteligencia emocional'!A30)</f>
        <v>0</v>
      </c>
      <c r="BB29" s="39" t="str">
        <f>'Por Valoracion (3) Dimension'!B29</f>
        <v>0</v>
      </c>
      <c r="BC29" s="39" t="str">
        <f>'Por Valoracion (3) Dimension 2'!F29</f>
        <v>0</v>
      </c>
      <c r="BX29" s="38"/>
      <c r="BZ29" t="str">
        <f>('Inteligencia emocional'!A30)</f>
        <v>0</v>
      </c>
      <c r="CA29" s="39" t="str">
        <f>'Por Valoracion (3) Dimension'!B29</f>
        <v>0</v>
      </c>
      <c r="CB29" s="39" t="str">
        <f>'Por Valoracion (3) Dimension 2'!H29</f>
        <v>0</v>
      </c>
      <c r="CW29" s="38"/>
      <c r="CY29" s="46"/>
      <c r="DA29" t="str">
        <f>('Inteligencia emocional'!A30)</f>
        <v>0</v>
      </c>
      <c r="DB29" s="39" t="str">
        <f>'Por Valoracion (3) Dimension'!D29</f>
        <v>0</v>
      </c>
      <c r="DC29" s="39" t="str">
        <f>'Por Valoracion (3) Dimension 2'!B29</f>
        <v>0</v>
      </c>
      <c r="DX29" s="46"/>
      <c r="DZ29" t="str">
        <f>('Inteligencia emocional'!A30)</f>
        <v>0</v>
      </c>
      <c r="EA29" s="39" t="str">
        <f>'Por Valoracion (3) Dimension'!D29</f>
        <v>0</v>
      </c>
      <c r="EB29" s="39" t="str">
        <f>'Por Valoracion (3) Dimension 2'!D29</f>
        <v>0</v>
      </c>
      <c r="EW29" s="46"/>
      <c r="EY29" t="str">
        <f>('Inteligencia emocional'!A30)</f>
        <v>0</v>
      </c>
      <c r="EZ29" s="39" t="str">
        <f>'Por Valoracion (3) Dimension'!D29</f>
        <v>0</v>
      </c>
      <c r="FA29" s="39" t="str">
        <f>'Por Valoracion (3) Dimension 2'!F29</f>
        <v>0</v>
      </c>
      <c r="FV29" s="46"/>
      <c r="FX29" t="str">
        <f>('Inteligencia emocional'!A30)</f>
        <v>0</v>
      </c>
      <c r="FY29" s="39" t="str">
        <f>'Por Valoracion (3) Dimension'!D29</f>
        <v>0</v>
      </c>
      <c r="FZ29" s="39" t="str">
        <f>'Por Valoracion (3) Dimension 2'!H29</f>
        <v>0</v>
      </c>
      <c r="GU29" s="46"/>
      <c r="GW29" s="47"/>
      <c r="GY29" t="str">
        <f>('Inteligencia emocional'!A30)</f>
        <v>0</v>
      </c>
      <c r="GZ29" s="39" t="str">
        <f>'Por Valoracion (3) Dimension'!F29</f>
        <v>0</v>
      </c>
      <c r="HA29" s="39" t="str">
        <f>'Por Valoracion (3) Dimension 2'!B29</f>
        <v>0</v>
      </c>
      <c r="HV29" s="47"/>
      <c r="HX29" t="str">
        <f>('Inteligencia emocional'!A30)</f>
        <v>0</v>
      </c>
      <c r="HY29" s="39" t="str">
        <f>'Por Valoracion (3) Dimension'!F29</f>
        <v>0</v>
      </c>
      <c r="HZ29" s="39" t="str">
        <f>'Por Valoracion (3) Dimension 2'!D29</f>
        <v>0</v>
      </c>
      <c r="IU29" s="47"/>
      <c r="IW29" t="str">
        <f>('Inteligencia emocional'!A30)</f>
        <v>0</v>
      </c>
      <c r="IX29" s="39" t="str">
        <f>'Por Valoracion (3) Dimension'!F29</f>
        <v>0</v>
      </c>
      <c r="IY29" s="39" t="str">
        <f>'Por Valoracion (3) Dimension 2'!F29</f>
        <v>0</v>
      </c>
      <c r="JT29" s="47"/>
      <c r="JV29" t="str">
        <f>('Inteligencia emocional'!A30)</f>
        <v>0</v>
      </c>
      <c r="JW29" s="39" t="str">
        <f>'Por Valoracion (3) Dimension'!F29</f>
        <v>0</v>
      </c>
      <c r="JX29" s="39" t="str">
        <f>'Por Valoracion (3) Dimension 2'!H29</f>
        <v>0</v>
      </c>
      <c r="KS29" s="47"/>
    </row>
    <row r="30" spans="1:305">
      <c r="A30" s="38"/>
      <c r="C30" t="str">
        <f>('Inteligencia emocional'!A31)</f>
        <v>0</v>
      </c>
      <c r="D30" s="39" t="str">
        <f>'Por Valoracion (3) Dimension'!B30</f>
        <v>0</v>
      </c>
      <c r="E30" s="39" t="str">
        <f>'Por Valoracion (3) Dimension 2'!B30</f>
        <v>0</v>
      </c>
      <c r="Z30" s="38"/>
      <c r="AB30" t="str">
        <f>('Inteligencia emocional'!A31)</f>
        <v>0</v>
      </c>
      <c r="AC30" s="39" t="str">
        <f>'Por Valoracion (3) Dimension'!B30</f>
        <v>0</v>
      </c>
      <c r="AD30" s="39" t="str">
        <f>'Por Valoracion (3) Dimension 2'!D30</f>
        <v>0</v>
      </c>
      <c r="AY30" s="38"/>
      <c r="BA30" t="str">
        <f>('Inteligencia emocional'!A31)</f>
        <v>0</v>
      </c>
      <c r="BB30" s="39" t="str">
        <f>'Por Valoracion (3) Dimension'!B30</f>
        <v>0</v>
      </c>
      <c r="BC30" s="39" t="str">
        <f>'Por Valoracion (3) Dimension 2'!F30</f>
        <v>0</v>
      </c>
      <c r="BX30" s="38"/>
      <c r="BZ30" t="str">
        <f>('Inteligencia emocional'!A31)</f>
        <v>0</v>
      </c>
      <c r="CA30" s="39" t="str">
        <f>'Por Valoracion (3) Dimension'!B30</f>
        <v>0</v>
      </c>
      <c r="CB30" s="39" t="str">
        <f>'Por Valoracion (3) Dimension 2'!H30</f>
        <v>0</v>
      </c>
      <c r="CW30" s="38"/>
      <c r="CY30" s="46"/>
      <c r="DA30" t="str">
        <f>('Inteligencia emocional'!A31)</f>
        <v>0</v>
      </c>
      <c r="DB30" s="39" t="str">
        <f>'Por Valoracion (3) Dimension'!D30</f>
        <v>0</v>
      </c>
      <c r="DC30" s="39" t="str">
        <f>'Por Valoracion (3) Dimension 2'!B30</f>
        <v>0</v>
      </c>
      <c r="DX30" s="46"/>
      <c r="DZ30" t="str">
        <f>('Inteligencia emocional'!A31)</f>
        <v>0</v>
      </c>
      <c r="EA30" s="39" t="str">
        <f>'Por Valoracion (3) Dimension'!D30</f>
        <v>0</v>
      </c>
      <c r="EB30" s="39" t="str">
        <f>'Por Valoracion (3) Dimension 2'!D30</f>
        <v>0</v>
      </c>
      <c r="EW30" s="46"/>
      <c r="EY30" t="str">
        <f>('Inteligencia emocional'!A31)</f>
        <v>0</v>
      </c>
      <c r="EZ30" s="39" t="str">
        <f>'Por Valoracion (3) Dimension'!D30</f>
        <v>0</v>
      </c>
      <c r="FA30" s="39" t="str">
        <f>'Por Valoracion (3) Dimension 2'!F30</f>
        <v>0</v>
      </c>
      <c r="FV30" s="46"/>
      <c r="FX30" t="str">
        <f>('Inteligencia emocional'!A31)</f>
        <v>0</v>
      </c>
      <c r="FY30" s="39" t="str">
        <f>'Por Valoracion (3) Dimension'!D30</f>
        <v>0</v>
      </c>
      <c r="FZ30" s="39" t="str">
        <f>'Por Valoracion (3) Dimension 2'!H30</f>
        <v>0</v>
      </c>
      <c r="GU30" s="46"/>
      <c r="GW30" s="47"/>
      <c r="GY30" t="str">
        <f>('Inteligencia emocional'!A31)</f>
        <v>0</v>
      </c>
      <c r="GZ30" s="39" t="str">
        <f>'Por Valoracion (3) Dimension'!F30</f>
        <v>0</v>
      </c>
      <c r="HA30" s="39" t="str">
        <f>'Por Valoracion (3) Dimension 2'!B30</f>
        <v>0</v>
      </c>
      <c r="HV30" s="47"/>
      <c r="HX30" t="str">
        <f>('Inteligencia emocional'!A31)</f>
        <v>0</v>
      </c>
      <c r="HY30" s="39" t="str">
        <f>'Por Valoracion (3) Dimension'!F30</f>
        <v>0</v>
      </c>
      <c r="HZ30" s="39" t="str">
        <f>'Por Valoracion (3) Dimension 2'!D30</f>
        <v>0</v>
      </c>
      <c r="IU30" s="47"/>
      <c r="IW30" t="str">
        <f>('Inteligencia emocional'!A31)</f>
        <v>0</v>
      </c>
      <c r="IX30" s="39" t="str">
        <f>'Por Valoracion (3) Dimension'!F30</f>
        <v>0</v>
      </c>
      <c r="IY30" s="39" t="str">
        <f>'Por Valoracion (3) Dimension 2'!F30</f>
        <v>0</v>
      </c>
      <c r="JT30" s="47"/>
      <c r="JV30" t="str">
        <f>('Inteligencia emocional'!A31)</f>
        <v>0</v>
      </c>
      <c r="JW30" s="39" t="str">
        <f>'Por Valoracion (3) Dimension'!F30</f>
        <v>0</v>
      </c>
      <c r="JX30" s="39" t="str">
        <f>'Por Valoracion (3) Dimension 2'!H30</f>
        <v>0</v>
      </c>
      <c r="KS30" s="47"/>
    </row>
    <row r="31" spans="1:305">
      <c r="A31" s="38"/>
      <c r="C31" t="str">
        <f>('Inteligencia emocional'!A32)</f>
        <v>0</v>
      </c>
      <c r="D31" s="39" t="str">
        <f>'Por Valoracion (3) Dimension'!B31</f>
        <v>0</v>
      </c>
      <c r="E31" s="39" t="str">
        <f>'Por Valoracion (3) Dimension 2'!B31</f>
        <v>0</v>
      </c>
      <c r="Z31" s="38"/>
      <c r="AB31" t="str">
        <f>('Inteligencia emocional'!A32)</f>
        <v>0</v>
      </c>
      <c r="AC31" s="39" t="str">
        <f>'Por Valoracion (3) Dimension'!B31</f>
        <v>0</v>
      </c>
      <c r="AD31" s="39" t="str">
        <f>'Por Valoracion (3) Dimension 2'!D31</f>
        <v>0</v>
      </c>
      <c r="AY31" s="38"/>
      <c r="BA31" t="str">
        <f>('Inteligencia emocional'!A32)</f>
        <v>0</v>
      </c>
      <c r="BB31" s="39" t="str">
        <f>'Por Valoracion (3) Dimension'!B31</f>
        <v>0</v>
      </c>
      <c r="BC31" s="39" t="str">
        <f>'Por Valoracion (3) Dimension 2'!F31</f>
        <v>0</v>
      </c>
      <c r="BX31" s="38"/>
      <c r="BZ31" t="str">
        <f>('Inteligencia emocional'!A32)</f>
        <v>0</v>
      </c>
      <c r="CA31" s="39" t="str">
        <f>'Por Valoracion (3) Dimension'!B31</f>
        <v>0</v>
      </c>
      <c r="CB31" s="39" t="str">
        <f>'Por Valoracion (3) Dimension 2'!H31</f>
        <v>0</v>
      </c>
      <c r="CW31" s="38"/>
      <c r="CY31" s="46"/>
      <c r="DA31" t="str">
        <f>('Inteligencia emocional'!A32)</f>
        <v>0</v>
      </c>
      <c r="DB31" s="39" t="str">
        <f>'Por Valoracion (3) Dimension'!D31</f>
        <v>0</v>
      </c>
      <c r="DC31" s="39" t="str">
        <f>'Por Valoracion (3) Dimension 2'!B31</f>
        <v>0</v>
      </c>
      <c r="DX31" s="46"/>
      <c r="DZ31" t="str">
        <f>('Inteligencia emocional'!A32)</f>
        <v>0</v>
      </c>
      <c r="EA31" s="39" t="str">
        <f>'Por Valoracion (3) Dimension'!D31</f>
        <v>0</v>
      </c>
      <c r="EB31" s="39" t="str">
        <f>'Por Valoracion (3) Dimension 2'!D31</f>
        <v>0</v>
      </c>
      <c r="EW31" s="46"/>
      <c r="EY31" t="str">
        <f>('Inteligencia emocional'!A32)</f>
        <v>0</v>
      </c>
      <c r="EZ31" s="39" t="str">
        <f>'Por Valoracion (3) Dimension'!D31</f>
        <v>0</v>
      </c>
      <c r="FA31" s="39" t="str">
        <f>'Por Valoracion (3) Dimension 2'!F31</f>
        <v>0</v>
      </c>
      <c r="FV31" s="46"/>
      <c r="FX31" t="str">
        <f>('Inteligencia emocional'!A32)</f>
        <v>0</v>
      </c>
      <c r="FY31" s="39" t="str">
        <f>'Por Valoracion (3) Dimension'!D31</f>
        <v>0</v>
      </c>
      <c r="FZ31" s="39" t="str">
        <f>'Por Valoracion (3) Dimension 2'!H31</f>
        <v>0</v>
      </c>
      <c r="GU31" s="46"/>
      <c r="GW31" s="47"/>
      <c r="GY31" t="str">
        <f>('Inteligencia emocional'!A32)</f>
        <v>0</v>
      </c>
      <c r="GZ31" s="39" t="str">
        <f>'Por Valoracion (3) Dimension'!F31</f>
        <v>0</v>
      </c>
      <c r="HA31" s="39" t="str">
        <f>'Por Valoracion (3) Dimension 2'!B31</f>
        <v>0</v>
      </c>
      <c r="HV31" s="47"/>
      <c r="HX31" t="str">
        <f>('Inteligencia emocional'!A32)</f>
        <v>0</v>
      </c>
      <c r="HY31" s="39" t="str">
        <f>'Por Valoracion (3) Dimension'!F31</f>
        <v>0</v>
      </c>
      <c r="HZ31" s="39" t="str">
        <f>'Por Valoracion (3) Dimension 2'!D31</f>
        <v>0</v>
      </c>
      <c r="IU31" s="47"/>
      <c r="IW31" t="str">
        <f>('Inteligencia emocional'!A32)</f>
        <v>0</v>
      </c>
      <c r="IX31" s="39" t="str">
        <f>'Por Valoracion (3) Dimension'!F31</f>
        <v>0</v>
      </c>
      <c r="IY31" s="39" t="str">
        <f>'Por Valoracion (3) Dimension 2'!F31</f>
        <v>0</v>
      </c>
      <c r="JT31" s="47"/>
      <c r="JV31" t="str">
        <f>('Inteligencia emocional'!A32)</f>
        <v>0</v>
      </c>
      <c r="JW31" s="39" t="str">
        <f>'Por Valoracion (3) Dimension'!F31</f>
        <v>0</v>
      </c>
      <c r="JX31" s="39" t="str">
        <f>'Por Valoracion (3) Dimension 2'!H31</f>
        <v>0</v>
      </c>
      <c r="KS31" s="47"/>
    </row>
    <row r="32" spans="1:305">
      <c r="A32" s="38"/>
      <c r="C32" t="str">
        <f>('Inteligencia emocional'!A33)</f>
        <v>0</v>
      </c>
      <c r="D32" s="39" t="str">
        <f>'Por Valoracion (3) Dimension'!B32</f>
        <v>0</v>
      </c>
      <c r="E32" s="39" t="str">
        <f>'Por Valoracion (3) Dimension 2'!B32</f>
        <v>0</v>
      </c>
      <c r="Z32" s="38"/>
      <c r="AB32" t="str">
        <f>('Inteligencia emocional'!A33)</f>
        <v>0</v>
      </c>
      <c r="AC32" s="39" t="str">
        <f>'Por Valoracion (3) Dimension'!B32</f>
        <v>0</v>
      </c>
      <c r="AD32" s="39" t="str">
        <f>'Por Valoracion (3) Dimension 2'!D32</f>
        <v>0</v>
      </c>
      <c r="AY32" s="38"/>
      <c r="BA32" t="str">
        <f>('Inteligencia emocional'!A33)</f>
        <v>0</v>
      </c>
      <c r="BB32" s="39" t="str">
        <f>'Por Valoracion (3) Dimension'!B32</f>
        <v>0</v>
      </c>
      <c r="BC32" s="39" t="str">
        <f>'Por Valoracion (3) Dimension 2'!F32</f>
        <v>0</v>
      </c>
      <c r="BX32" s="38"/>
      <c r="BZ32" t="str">
        <f>('Inteligencia emocional'!A33)</f>
        <v>0</v>
      </c>
      <c r="CA32" s="39" t="str">
        <f>'Por Valoracion (3) Dimension'!B32</f>
        <v>0</v>
      </c>
      <c r="CB32" s="39" t="str">
        <f>'Por Valoracion (3) Dimension 2'!H32</f>
        <v>0</v>
      </c>
      <c r="CW32" s="38"/>
      <c r="CY32" s="46"/>
      <c r="DA32" t="str">
        <f>('Inteligencia emocional'!A33)</f>
        <v>0</v>
      </c>
      <c r="DB32" s="39" t="str">
        <f>'Por Valoracion (3) Dimension'!D32</f>
        <v>0</v>
      </c>
      <c r="DC32" s="39" t="str">
        <f>'Por Valoracion (3) Dimension 2'!B32</f>
        <v>0</v>
      </c>
      <c r="DX32" s="46"/>
      <c r="DZ32" t="str">
        <f>('Inteligencia emocional'!A33)</f>
        <v>0</v>
      </c>
      <c r="EA32" s="39" t="str">
        <f>'Por Valoracion (3) Dimension'!D32</f>
        <v>0</v>
      </c>
      <c r="EB32" s="39" t="str">
        <f>'Por Valoracion (3) Dimension 2'!D32</f>
        <v>0</v>
      </c>
      <c r="EW32" s="46"/>
      <c r="EY32" t="str">
        <f>('Inteligencia emocional'!A33)</f>
        <v>0</v>
      </c>
      <c r="EZ32" s="39" t="str">
        <f>'Por Valoracion (3) Dimension'!D32</f>
        <v>0</v>
      </c>
      <c r="FA32" s="39" t="str">
        <f>'Por Valoracion (3) Dimension 2'!F32</f>
        <v>0</v>
      </c>
      <c r="FV32" s="46"/>
      <c r="FX32" t="str">
        <f>('Inteligencia emocional'!A33)</f>
        <v>0</v>
      </c>
      <c r="FY32" s="39" t="str">
        <f>'Por Valoracion (3) Dimension'!D32</f>
        <v>0</v>
      </c>
      <c r="FZ32" s="39" t="str">
        <f>'Por Valoracion (3) Dimension 2'!H32</f>
        <v>0</v>
      </c>
      <c r="GU32" s="46"/>
      <c r="GW32" s="47"/>
      <c r="GY32" t="str">
        <f>('Inteligencia emocional'!A33)</f>
        <v>0</v>
      </c>
      <c r="GZ32" s="39" t="str">
        <f>'Por Valoracion (3) Dimension'!F32</f>
        <v>0</v>
      </c>
      <c r="HA32" s="39" t="str">
        <f>'Por Valoracion (3) Dimension 2'!B32</f>
        <v>0</v>
      </c>
      <c r="HV32" s="47"/>
      <c r="HX32" t="str">
        <f>('Inteligencia emocional'!A33)</f>
        <v>0</v>
      </c>
      <c r="HY32" s="39" t="str">
        <f>'Por Valoracion (3) Dimension'!F32</f>
        <v>0</v>
      </c>
      <c r="HZ32" s="39" t="str">
        <f>'Por Valoracion (3) Dimension 2'!D32</f>
        <v>0</v>
      </c>
      <c r="IU32" s="47"/>
      <c r="IW32" t="str">
        <f>('Inteligencia emocional'!A33)</f>
        <v>0</v>
      </c>
      <c r="IX32" s="39" t="str">
        <f>'Por Valoracion (3) Dimension'!F32</f>
        <v>0</v>
      </c>
      <c r="IY32" s="39" t="str">
        <f>'Por Valoracion (3) Dimension 2'!F32</f>
        <v>0</v>
      </c>
      <c r="JT32" s="47"/>
      <c r="JV32" t="str">
        <f>('Inteligencia emocional'!A33)</f>
        <v>0</v>
      </c>
      <c r="JW32" s="39" t="str">
        <f>'Por Valoracion (3) Dimension'!F32</f>
        <v>0</v>
      </c>
      <c r="JX32" s="39" t="str">
        <f>'Por Valoracion (3) Dimension 2'!H32</f>
        <v>0</v>
      </c>
      <c r="KS32" s="47"/>
    </row>
    <row r="33" spans="1:305">
      <c r="A33" s="38"/>
      <c r="C33" t="str">
        <f>('Inteligencia emocional'!A34)</f>
        <v>0</v>
      </c>
      <c r="D33" s="39" t="str">
        <f>'Por Valoracion (3) Dimension'!B33</f>
        <v>0</v>
      </c>
      <c r="E33" s="39" t="str">
        <f>'Por Valoracion (3) Dimension 2'!B33</f>
        <v>0</v>
      </c>
      <c r="Z33" s="38"/>
      <c r="AB33" t="str">
        <f>('Inteligencia emocional'!A34)</f>
        <v>0</v>
      </c>
      <c r="AC33" s="39" t="str">
        <f>'Por Valoracion (3) Dimension'!B33</f>
        <v>0</v>
      </c>
      <c r="AD33" s="39" t="str">
        <f>'Por Valoracion (3) Dimension 2'!D33</f>
        <v>0</v>
      </c>
      <c r="AY33" s="38"/>
      <c r="BA33" t="str">
        <f>('Inteligencia emocional'!A34)</f>
        <v>0</v>
      </c>
      <c r="BB33" s="39" t="str">
        <f>'Por Valoracion (3) Dimension'!B33</f>
        <v>0</v>
      </c>
      <c r="BC33" s="39" t="str">
        <f>'Por Valoracion (3) Dimension 2'!F33</f>
        <v>0</v>
      </c>
      <c r="BX33" s="38"/>
      <c r="BZ33" t="str">
        <f>('Inteligencia emocional'!A34)</f>
        <v>0</v>
      </c>
      <c r="CA33" s="39" t="str">
        <f>'Por Valoracion (3) Dimension'!B33</f>
        <v>0</v>
      </c>
      <c r="CB33" s="39" t="str">
        <f>'Por Valoracion (3) Dimension 2'!H33</f>
        <v>0</v>
      </c>
      <c r="CW33" s="38"/>
      <c r="CY33" s="46"/>
      <c r="DA33" t="str">
        <f>('Inteligencia emocional'!A34)</f>
        <v>0</v>
      </c>
      <c r="DB33" s="39" t="str">
        <f>'Por Valoracion (3) Dimension'!D33</f>
        <v>0</v>
      </c>
      <c r="DC33" s="39" t="str">
        <f>'Por Valoracion (3) Dimension 2'!B33</f>
        <v>0</v>
      </c>
      <c r="DX33" s="46"/>
      <c r="DZ33" t="str">
        <f>('Inteligencia emocional'!A34)</f>
        <v>0</v>
      </c>
      <c r="EA33" s="39" t="str">
        <f>'Por Valoracion (3) Dimension'!D33</f>
        <v>0</v>
      </c>
      <c r="EB33" s="39" t="str">
        <f>'Por Valoracion (3) Dimension 2'!D33</f>
        <v>0</v>
      </c>
      <c r="EW33" s="46"/>
      <c r="EY33" t="str">
        <f>('Inteligencia emocional'!A34)</f>
        <v>0</v>
      </c>
      <c r="EZ33" s="39" t="str">
        <f>'Por Valoracion (3) Dimension'!D33</f>
        <v>0</v>
      </c>
      <c r="FA33" s="39" t="str">
        <f>'Por Valoracion (3) Dimension 2'!F33</f>
        <v>0</v>
      </c>
      <c r="FV33" s="46"/>
      <c r="FX33" t="str">
        <f>('Inteligencia emocional'!A34)</f>
        <v>0</v>
      </c>
      <c r="FY33" s="39" t="str">
        <f>'Por Valoracion (3) Dimension'!D33</f>
        <v>0</v>
      </c>
      <c r="FZ33" s="39" t="str">
        <f>'Por Valoracion (3) Dimension 2'!H33</f>
        <v>0</v>
      </c>
      <c r="GU33" s="46"/>
      <c r="GW33" s="47"/>
      <c r="GY33" t="str">
        <f>('Inteligencia emocional'!A34)</f>
        <v>0</v>
      </c>
      <c r="GZ33" s="39" t="str">
        <f>'Por Valoracion (3) Dimension'!F33</f>
        <v>0</v>
      </c>
      <c r="HA33" s="39" t="str">
        <f>'Por Valoracion (3) Dimension 2'!B33</f>
        <v>0</v>
      </c>
      <c r="HV33" s="47"/>
      <c r="HX33" t="str">
        <f>('Inteligencia emocional'!A34)</f>
        <v>0</v>
      </c>
      <c r="HY33" s="39" t="str">
        <f>'Por Valoracion (3) Dimension'!F33</f>
        <v>0</v>
      </c>
      <c r="HZ33" s="39" t="str">
        <f>'Por Valoracion (3) Dimension 2'!D33</f>
        <v>0</v>
      </c>
      <c r="IU33" s="47"/>
      <c r="IW33" t="str">
        <f>('Inteligencia emocional'!A34)</f>
        <v>0</v>
      </c>
      <c r="IX33" s="39" t="str">
        <f>'Por Valoracion (3) Dimension'!F33</f>
        <v>0</v>
      </c>
      <c r="IY33" s="39" t="str">
        <f>'Por Valoracion (3) Dimension 2'!F33</f>
        <v>0</v>
      </c>
      <c r="JT33" s="47"/>
      <c r="JV33" t="str">
        <f>('Inteligencia emocional'!A34)</f>
        <v>0</v>
      </c>
      <c r="JW33" s="39" t="str">
        <f>'Por Valoracion (3) Dimension'!F33</f>
        <v>0</v>
      </c>
      <c r="JX33" s="39" t="str">
        <f>'Por Valoracion (3) Dimension 2'!H33</f>
        <v>0</v>
      </c>
      <c r="KS33" s="47"/>
    </row>
    <row r="34" spans="1:305">
      <c r="A34" s="38"/>
      <c r="C34" t="str">
        <f>('Inteligencia emocional'!A35)</f>
        <v>0</v>
      </c>
      <c r="D34" s="39" t="str">
        <f>'Por Valoracion (3) Dimension'!B34</f>
        <v>0</v>
      </c>
      <c r="E34" s="39" t="str">
        <f>'Por Valoracion (3) Dimension 2'!B34</f>
        <v>0</v>
      </c>
      <c r="Z34" s="38"/>
      <c r="AB34" t="str">
        <f>('Inteligencia emocional'!A35)</f>
        <v>0</v>
      </c>
      <c r="AC34" s="39" t="str">
        <f>'Por Valoracion (3) Dimension'!B34</f>
        <v>0</v>
      </c>
      <c r="AD34" s="39" t="str">
        <f>'Por Valoracion (3) Dimension 2'!D34</f>
        <v>0</v>
      </c>
      <c r="AY34" s="38"/>
      <c r="BA34" t="str">
        <f>('Inteligencia emocional'!A35)</f>
        <v>0</v>
      </c>
      <c r="BB34" s="39" t="str">
        <f>'Por Valoracion (3) Dimension'!B34</f>
        <v>0</v>
      </c>
      <c r="BC34" s="39" t="str">
        <f>'Por Valoracion (3) Dimension 2'!F34</f>
        <v>0</v>
      </c>
      <c r="BX34" s="38"/>
      <c r="BZ34" t="str">
        <f>('Inteligencia emocional'!A35)</f>
        <v>0</v>
      </c>
      <c r="CA34" s="39" t="str">
        <f>'Por Valoracion (3) Dimension'!B34</f>
        <v>0</v>
      </c>
      <c r="CB34" s="39" t="str">
        <f>'Por Valoracion (3) Dimension 2'!H34</f>
        <v>0</v>
      </c>
      <c r="CW34" s="38"/>
      <c r="CY34" s="46"/>
      <c r="DA34" t="str">
        <f>('Inteligencia emocional'!A35)</f>
        <v>0</v>
      </c>
      <c r="DB34" s="39" t="str">
        <f>'Por Valoracion (3) Dimension'!D34</f>
        <v>0</v>
      </c>
      <c r="DC34" s="39" t="str">
        <f>'Por Valoracion (3) Dimension 2'!B34</f>
        <v>0</v>
      </c>
      <c r="DX34" s="46"/>
      <c r="DZ34" t="str">
        <f>('Inteligencia emocional'!A35)</f>
        <v>0</v>
      </c>
      <c r="EA34" s="39" t="str">
        <f>'Por Valoracion (3) Dimension'!D34</f>
        <v>0</v>
      </c>
      <c r="EB34" s="39" t="str">
        <f>'Por Valoracion (3) Dimension 2'!D34</f>
        <v>0</v>
      </c>
      <c r="EW34" s="46"/>
      <c r="EY34" t="str">
        <f>('Inteligencia emocional'!A35)</f>
        <v>0</v>
      </c>
      <c r="EZ34" s="39" t="str">
        <f>'Por Valoracion (3) Dimension'!D34</f>
        <v>0</v>
      </c>
      <c r="FA34" s="39" t="str">
        <f>'Por Valoracion (3) Dimension 2'!F34</f>
        <v>0</v>
      </c>
      <c r="FV34" s="46"/>
      <c r="FX34" t="str">
        <f>('Inteligencia emocional'!A35)</f>
        <v>0</v>
      </c>
      <c r="FY34" s="39" t="str">
        <f>'Por Valoracion (3) Dimension'!D34</f>
        <v>0</v>
      </c>
      <c r="FZ34" s="39" t="str">
        <f>'Por Valoracion (3) Dimension 2'!H34</f>
        <v>0</v>
      </c>
      <c r="GU34" s="46"/>
      <c r="GW34" s="47"/>
      <c r="GY34" t="str">
        <f>('Inteligencia emocional'!A35)</f>
        <v>0</v>
      </c>
      <c r="GZ34" s="39" t="str">
        <f>'Por Valoracion (3) Dimension'!F34</f>
        <v>0</v>
      </c>
      <c r="HA34" s="39" t="str">
        <f>'Por Valoracion (3) Dimension 2'!B34</f>
        <v>0</v>
      </c>
      <c r="HV34" s="47"/>
      <c r="HX34" t="str">
        <f>('Inteligencia emocional'!A35)</f>
        <v>0</v>
      </c>
      <c r="HY34" s="39" t="str">
        <f>'Por Valoracion (3) Dimension'!F34</f>
        <v>0</v>
      </c>
      <c r="HZ34" s="39" t="str">
        <f>'Por Valoracion (3) Dimension 2'!D34</f>
        <v>0</v>
      </c>
      <c r="IU34" s="47"/>
      <c r="IW34" t="str">
        <f>('Inteligencia emocional'!A35)</f>
        <v>0</v>
      </c>
      <c r="IX34" s="39" t="str">
        <f>'Por Valoracion (3) Dimension'!F34</f>
        <v>0</v>
      </c>
      <c r="IY34" s="39" t="str">
        <f>'Por Valoracion (3) Dimension 2'!F34</f>
        <v>0</v>
      </c>
      <c r="JT34" s="47"/>
      <c r="JV34" t="str">
        <f>('Inteligencia emocional'!A35)</f>
        <v>0</v>
      </c>
      <c r="JW34" s="39" t="str">
        <f>'Por Valoracion (3) Dimension'!F34</f>
        <v>0</v>
      </c>
      <c r="JX34" s="39" t="str">
        <f>'Por Valoracion (3) Dimension 2'!H34</f>
        <v>0</v>
      </c>
      <c r="KS34" s="47"/>
    </row>
    <row r="35" spans="1:305">
      <c r="A35" s="38"/>
      <c r="C35" t="str">
        <f>('Inteligencia emocional'!A36)</f>
        <v>0</v>
      </c>
      <c r="D35" s="39" t="str">
        <f>'Por Valoracion (3) Dimension'!B35</f>
        <v>0</v>
      </c>
      <c r="E35" s="39" t="str">
        <f>'Por Valoracion (3) Dimension 2'!B35</f>
        <v>0</v>
      </c>
      <c r="Z35" s="38"/>
      <c r="AB35" t="str">
        <f>('Inteligencia emocional'!A36)</f>
        <v>0</v>
      </c>
      <c r="AC35" s="39" t="str">
        <f>'Por Valoracion (3) Dimension'!B35</f>
        <v>0</v>
      </c>
      <c r="AD35" s="39" t="str">
        <f>'Por Valoracion (3) Dimension 2'!D35</f>
        <v>0</v>
      </c>
      <c r="AY35" s="38"/>
      <c r="BA35" t="str">
        <f>('Inteligencia emocional'!A36)</f>
        <v>0</v>
      </c>
      <c r="BB35" s="39" t="str">
        <f>'Por Valoracion (3) Dimension'!B35</f>
        <v>0</v>
      </c>
      <c r="BC35" s="39" t="str">
        <f>'Por Valoracion (3) Dimension 2'!F35</f>
        <v>0</v>
      </c>
      <c r="BX35" s="38"/>
      <c r="BZ35" t="str">
        <f>('Inteligencia emocional'!A36)</f>
        <v>0</v>
      </c>
      <c r="CA35" s="39" t="str">
        <f>'Por Valoracion (3) Dimension'!B35</f>
        <v>0</v>
      </c>
      <c r="CB35" s="39" t="str">
        <f>'Por Valoracion (3) Dimension 2'!H35</f>
        <v>0</v>
      </c>
      <c r="CW35" s="38"/>
      <c r="CY35" s="46"/>
      <c r="DA35" t="str">
        <f>('Inteligencia emocional'!A36)</f>
        <v>0</v>
      </c>
      <c r="DB35" s="39" t="str">
        <f>'Por Valoracion (3) Dimension'!D35</f>
        <v>0</v>
      </c>
      <c r="DC35" s="39" t="str">
        <f>'Por Valoracion (3) Dimension 2'!B35</f>
        <v>0</v>
      </c>
      <c r="DX35" s="46"/>
      <c r="DZ35" t="str">
        <f>('Inteligencia emocional'!A36)</f>
        <v>0</v>
      </c>
      <c r="EA35" s="39" t="str">
        <f>'Por Valoracion (3) Dimension'!D35</f>
        <v>0</v>
      </c>
      <c r="EB35" s="39" t="str">
        <f>'Por Valoracion (3) Dimension 2'!D35</f>
        <v>0</v>
      </c>
      <c r="EW35" s="46"/>
      <c r="EY35" t="str">
        <f>('Inteligencia emocional'!A36)</f>
        <v>0</v>
      </c>
      <c r="EZ35" s="39" t="str">
        <f>'Por Valoracion (3) Dimension'!D35</f>
        <v>0</v>
      </c>
      <c r="FA35" s="39" t="str">
        <f>'Por Valoracion (3) Dimension 2'!F35</f>
        <v>0</v>
      </c>
      <c r="FV35" s="46"/>
      <c r="FX35" t="str">
        <f>('Inteligencia emocional'!A36)</f>
        <v>0</v>
      </c>
      <c r="FY35" s="39" t="str">
        <f>'Por Valoracion (3) Dimension'!D35</f>
        <v>0</v>
      </c>
      <c r="FZ35" s="39" t="str">
        <f>'Por Valoracion (3) Dimension 2'!H35</f>
        <v>0</v>
      </c>
      <c r="GU35" s="46"/>
      <c r="GW35" s="47"/>
      <c r="GY35" t="str">
        <f>('Inteligencia emocional'!A36)</f>
        <v>0</v>
      </c>
      <c r="GZ35" s="39" t="str">
        <f>'Por Valoracion (3) Dimension'!F35</f>
        <v>0</v>
      </c>
      <c r="HA35" s="39" t="str">
        <f>'Por Valoracion (3) Dimension 2'!B35</f>
        <v>0</v>
      </c>
      <c r="HV35" s="47"/>
      <c r="HX35" t="str">
        <f>('Inteligencia emocional'!A36)</f>
        <v>0</v>
      </c>
      <c r="HY35" s="39" t="str">
        <f>'Por Valoracion (3) Dimension'!F35</f>
        <v>0</v>
      </c>
      <c r="HZ35" s="39" t="str">
        <f>'Por Valoracion (3) Dimension 2'!D35</f>
        <v>0</v>
      </c>
      <c r="IU35" s="47"/>
      <c r="IW35" t="str">
        <f>('Inteligencia emocional'!A36)</f>
        <v>0</v>
      </c>
      <c r="IX35" s="39" t="str">
        <f>'Por Valoracion (3) Dimension'!F35</f>
        <v>0</v>
      </c>
      <c r="IY35" s="39" t="str">
        <f>'Por Valoracion (3) Dimension 2'!F35</f>
        <v>0</v>
      </c>
      <c r="JT35" s="47"/>
      <c r="JV35" t="str">
        <f>('Inteligencia emocional'!A36)</f>
        <v>0</v>
      </c>
      <c r="JW35" s="39" t="str">
        <f>'Por Valoracion (3) Dimension'!F35</f>
        <v>0</v>
      </c>
      <c r="JX35" s="39" t="str">
        <f>'Por Valoracion (3) Dimension 2'!H35</f>
        <v>0</v>
      </c>
      <c r="KS35" s="47"/>
    </row>
    <row r="36" spans="1:305">
      <c r="A36" s="38"/>
      <c r="C36" t="str">
        <f>('Inteligencia emocional'!A37)</f>
        <v>0</v>
      </c>
      <c r="D36" s="39" t="str">
        <f>'Por Valoracion (3) Dimension'!B36</f>
        <v>0</v>
      </c>
      <c r="E36" s="39" t="str">
        <f>'Por Valoracion (3) Dimension 2'!B36</f>
        <v>0</v>
      </c>
      <c r="Z36" s="38"/>
      <c r="AB36" t="str">
        <f>('Inteligencia emocional'!A37)</f>
        <v>0</v>
      </c>
      <c r="AC36" s="39" t="str">
        <f>'Por Valoracion (3) Dimension'!B36</f>
        <v>0</v>
      </c>
      <c r="AD36" s="39" t="str">
        <f>'Por Valoracion (3) Dimension 2'!D36</f>
        <v>0</v>
      </c>
      <c r="AY36" s="38"/>
      <c r="BA36" t="str">
        <f>('Inteligencia emocional'!A37)</f>
        <v>0</v>
      </c>
      <c r="BB36" s="39" t="str">
        <f>'Por Valoracion (3) Dimension'!B36</f>
        <v>0</v>
      </c>
      <c r="BC36" s="39" t="str">
        <f>'Por Valoracion (3) Dimension 2'!F36</f>
        <v>0</v>
      </c>
      <c r="BX36" s="38"/>
      <c r="BZ36" t="str">
        <f>('Inteligencia emocional'!A37)</f>
        <v>0</v>
      </c>
      <c r="CA36" s="39" t="str">
        <f>'Por Valoracion (3) Dimension'!B36</f>
        <v>0</v>
      </c>
      <c r="CB36" s="39" t="str">
        <f>'Por Valoracion (3) Dimension 2'!H36</f>
        <v>0</v>
      </c>
      <c r="CW36" s="38"/>
      <c r="CY36" s="46"/>
      <c r="DA36" t="str">
        <f>('Inteligencia emocional'!A37)</f>
        <v>0</v>
      </c>
      <c r="DB36" s="39" t="str">
        <f>'Por Valoracion (3) Dimension'!D36</f>
        <v>0</v>
      </c>
      <c r="DC36" s="39" t="str">
        <f>'Por Valoracion (3) Dimension 2'!B36</f>
        <v>0</v>
      </c>
      <c r="DX36" s="46"/>
      <c r="DZ36" t="str">
        <f>('Inteligencia emocional'!A37)</f>
        <v>0</v>
      </c>
      <c r="EA36" s="39" t="str">
        <f>'Por Valoracion (3) Dimension'!D36</f>
        <v>0</v>
      </c>
      <c r="EB36" s="39" t="str">
        <f>'Por Valoracion (3) Dimension 2'!D36</f>
        <v>0</v>
      </c>
      <c r="EW36" s="46"/>
      <c r="EY36" t="str">
        <f>('Inteligencia emocional'!A37)</f>
        <v>0</v>
      </c>
      <c r="EZ36" s="39" t="str">
        <f>'Por Valoracion (3) Dimension'!D36</f>
        <v>0</v>
      </c>
      <c r="FA36" s="39" t="str">
        <f>'Por Valoracion (3) Dimension 2'!F36</f>
        <v>0</v>
      </c>
      <c r="FV36" s="46"/>
      <c r="FX36" t="str">
        <f>('Inteligencia emocional'!A37)</f>
        <v>0</v>
      </c>
      <c r="FY36" s="39" t="str">
        <f>'Por Valoracion (3) Dimension'!D36</f>
        <v>0</v>
      </c>
      <c r="FZ36" s="39" t="str">
        <f>'Por Valoracion (3) Dimension 2'!H36</f>
        <v>0</v>
      </c>
      <c r="GU36" s="46"/>
      <c r="GW36" s="47"/>
      <c r="GY36" t="str">
        <f>('Inteligencia emocional'!A37)</f>
        <v>0</v>
      </c>
      <c r="GZ36" s="39" t="str">
        <f>'Por Valoracion (3) Dimension'!F36</f>
        <v>0</v>
      </c>
      <c r="HA36" s="39" t="str">
        <f>'Por Valoracion (3) Dimension 2'!B36</f>
        <v>0</v>
      </c>
      <c r="HV36" s="47"/>
      <c r="HX36" t="str">
        <f>('Inteligencia emocional'!A37)</f>
        <v>0</v>
      </c>
      <c r="HY36" s="39" t="str">
        <f>'Por Valoracion (3) Dimension'!F36</f>
        <v>0</v>
      </c>
      <c r="HZ36" s="39" t="str">
        <f>'Por Valoracion (3) Dimension 2'!D36</f>
        <v>0</v>
      </c>
      <c r="IU36" s="47"/>
      <c r="IW36" t="str">
        <f>('Inteligencia emocional'!A37)</f>
        <v>0</v>
      </c>
      <c r="IX36" s="39" t="str">
        <f>'Por Valoracion (3) Dimension'!F36</f>
        <v>0</v>
      </c>
      <c r="IY36" s="39" t="str">
        <f>'Por Valoracion (3) Dimension 2'!F36</f>
        <v>0</v>
      </c>
      <c r="JT36" s="47"/>
      <c r="JV36" t="str">
        <f>('Inteligencia emocional'!A37)</f>
        <v>0</v>
      </c>
      <c r="JW36" s="39" t="str">
        <f>'Por Valoracion (3) Dimension'!F36</f>
        <v>0</v>
      </c>
      <c r="JX36" s="39" t="str">
        <f>'Por Valoracion (3) Dimension 2'!H36</f>
        <v>0</v>
      </c>
      <c r="KS36" s="47"/>
    </row>
    <row r="37" spans="1:305">
      <c r="A37" s="38"/>
      <c r="C37" t="str">
        <f>('Inteligencia emocional'!A38)</f>
        <v>0</v>
      </c>
      <c r="D37" s="39" t="str">
        <f>'Por Valoracion (3) Dimension'!B37</f>
        <v>0</v>
      </c>
      <c r="E37" s="39" t="str">
        <f>'Por Valoracion (3) Dimension 2'!B37</f>
        <v>0</v>
      </c>
      <c r="Z37" s="38"/>
      <c r="AB37" t="str">
        <f>('Inteligencia emocional'!A38)</f>
        <v>0</v>
      </c>
      <c r="AC37" s="39" t="str">
        <f>'Por Valoracion (3) Dimension'!B37</f>
        <v>0</v>
      </c>
      <c r="AD37" s="39" t="str">
        <f>'Por Valoracion (3) Dimension 2'!D37</f>
        <v>0</v>
      </c>
      <c r="AY37" s="38"/>
      <c r="BA37" t="str">
        <f>('Inteligencia emocional'!A38)</f>
        <v>0</v>
      </c>
      <c r="BB37" s="39" t="str">
        <f>'Por Valoracion (3) Dimension'!B37</f>
        <v>0</v>
      </c>
      <c r="BC37" s="39" t="str">
        <f>'Por Valoracion (3) Dimension 2'!F37</f>
        <v>0</v>
      </c>
      <c r="BX37" s="38"/>
      <c r="BZ37" t="str">
        <f>('Inteligencia emocional'!A38)</f>
        <v>0</v>
      </c>
      <c r="CA37" s="39" t="str">
        <f>'Por Valoracion (3) Dimension'!B37</f>
        <v>0</v>
      </c>
      <c r="CB37" s="39" t="str">
        <f>'Por Valoracion (3) Dimension 2'!H37</f>
        <v>0</v>
      </c>
      <c r="CW37" s="38"/>
      <c r="CY37" s="46"/>
      <c r="DA37" t="str">
        <f>('Inteligencia emocional'!A38)</f>
        <v>0</v>
      </c>
      <c r="DB37" s="39" t="str">
        <f>'Por Valoracion (3) Dimension'!D37</f>
        <v>0</v>
      </c>
      <c r="DC37" s="39" t="str">
        <f>'Por Valoracion (3) Dimension 2'!B37</f>
        <v>0</v>
      </c>
      <c r="DX37" s="46"/>
      <c r="DZ37" t="str">
        <f>('Inteligencia emocional'!A38)</f>
        <v>0</v>
      </c>
      <c r="EA37" s="39" t="str">
        <f>'Por Valoracion (3) Dimension'!D37</f>
        <v>0</v>
      </c>
      <c r="EB37" s="39" t="str">
        <f>'Por Valoracion (3) Dimension 2'!D37</f>
        <v>0</v>
      </c>
      <c r="EW37" s="46"/>
      <c r="EY37" t="str">
        <f>('Inteligencia emocional'!A38)</f>
        <v>0</v>
      </c>
      <c r="EZ37" s="39" t="str">
        <f>'Por Valoracion (3) Dimension'!D37</f>
        <v>0</v>
      </c>
      <c r="FA37" s="39" t="str">
        <f>'Por Valoracion (3) Dimension 2'!F37</f>
        <v>0</v>
      </c>
      <c r="FV37" s="46"/>
      <c r="FX37" t="str">
        <f>('Inteligencia emocional'!A38)</f>
        <v>0</v>
      </c>
      <c r="FY37" s="39" t="str">
        <f>'Por Valoracion (3) Dimension'!D37</f>
        <v>0</v>
      </c>
      <c r="FZ37" s="39" t="str">
        <f>'Por Valoracion (3) Dimension 2'!H37</f>
        <v>0</v>
      </c>
      <c r="GU37" s="46"/>
      <c r="GW37" s="47"/>
      <c r="GY37" t="str">
        <f>('Inteligencia emocional'!A38)</f>
        <v>0</v>
      </c>
      <c r="GZ37" s="39" t="str">
        <f>'Por Valoracion (3) Dimension'!F37</f>
        <v>0</v>
      </c>
      <c r="HA37" s="39" t="str">
        <f>'Por Valoracion (3) Dimension 2'!B37</f>
        <v>0</v>
      </c>
      <c r="HV37" s="47"/>
      <c r="HX37" t="str">
        <f>('Inteligencia emocional'!A38)</f>
        <v>0</v>
      </c>
      <c r="HY37" s="39" t="str">
        <f>'Por Valoracion (3) Dimension'!F37</f>
        <v>0</v>
      </c>
      <c r="HZ37" s="39" t="str">
        <f>'Por Valoracion (3) Dimension 2'!D37</f>
        <v>0</v>
      </c>
      <c r="IU37" s="47"/>
      <c r="IW37" t="str">
        <f>('Inteligencia emocional'!A38)</f>
        <v>0</v>
      </c>
      <c r="IX37" s="39" t="str">
        <f>'Por Valoracion (3) Dimension'!F37</f>
        <v>0</v>
      </c>
      <c r="IY37" s="39" t="str">
        <f>'Por Valoracion (3) Dimension 2'!F37</f>
        <v>0</v>
      </c>
      <c r="JT37" s="47"/>
      <c r="JV37" t="str">
        <f>('Inteligencia emocional'!A38)</f>
        <v>0</v>
      </c>
      <c r="JW37" s="39" t="str">
        <f>'Por Valoracion (3) Dimension'!F37</f>
        <v>0</v>
      </c>
      <c r="JX37" s="39" t="str">
        <f>'Por Valoracion (3) Dimension 2'!H37</f>
        <v>0</v>
      </c>
      <c r="KS37" s="47"/>
    </row>
    <row r="38" spans="1:305">
      <c r="A38" s="38"/>
      <c r="C38" t="str">
        <f>('Inteligencia emocional'!A39)</f>
        <v>0</v>
      </c>
      <c r="D38" s="39" t="str">
        <f>'Por Valoracion (3) Dimension'!B38</f>
        <v>0</v>
      </c>
      <c r="E38" s="39" t="str">
        <f>'Por Valoracion (3) Dimension 2'!B38</f>
        <v>0</v>
      </c>
      <c r="Z38" s="38"/>
      <c r="AB38" t="str">
        <f>('Inteligencia emocional'!A39)</f>
        <v>0</v>
      </c>
      <c r="AC38" s="39" t="str">
        <f>'Por Valoracion (3) Dimension'!B38</f>
        <v>0</v>
      </c>
      <c r="AD38" s="39" t="str">
        <f>'Por Valoracion (3) Dimension 2'!D38</f>
        <v>0</v>
      </c>
      <c r="AY38" s="38"/>
      <c r="BA38" t="str">
        <f>('Inteligencia emocional'!A39)</f>
        <v>0</v>
      </c>
      <c r="BB38" s="39" t="str">
        <f>'Por Valoracion (3) Dimension'!B38</f>
        <v>0</v>
      </c>
      <c r="BC38" s="39" t="str">
        <f>'Por Valoracion (3) Dimension 2'!F38</f>
        <v>0</v>
      </c>
      <c r="BX38" s="38"/>
      <c r="BZ38" t="str">
        <f>('Inteligencia emocional'!A39)</f>
        <v>0</v>
      </c>
      <c r="CA38" s="39" t="str">
        <f>'Por Valoracion (3) Dimension'!B38</f>
        <v>0</v>
      </c>
      <c r="CB38" s="39" t="str">
        <f>'Por Valoracion (3) Dimension 2'!H38</f>
        <v>0</v>
      </c>
      <c r="CW38" s="38"/>
      <c r="CY38" s="46"/>
      <c r="DA38" t="str">
        <f>('Inteligencia emocional'!A39)</f>
        <v>0</v>
      </c>
      <c r="DB38" s="39" t="str">
        <f>'Por Valoracion (3) Dimension'!D38</f>
        <v>0</v>
      </c>
      <c r="DC38" s="39" t="str">
        <f>'Por Valoracion (3) Dimension 2'!B38</f>
        <v>0</v>
      </c>
      <c r="DX38" s="46"/>
      <c r="DZ38" t="str">
        <f>('Inteligencia emocional'!A39)</f>
        <v>0</v>
      </c>
      <c r="EA38" s="39" t="str">
        <f>'Por Valoracion (3) Dimension'!D38</f>
        <v>0</v>
      </c>
      <c r="EB38" s="39" t="str">
        <f>'Por Valoracion (3) Dimension 2'!D38</f>
        <v>0</v>
      </c>
      <c r="EW38" s="46"/>
      <c r="EY38" t="str">
        <f>('Inteligencia emocional'!A39)</f>
        <v>0</v>
      </c>
      <c r="EZ38" s="39" t="str">
        <f>'Por Valoracion (3) Dimension'!D38</f>
        <v>0</v>
      </c>
      <c r="FA38" s="39" t="str">
        <f>'Por Valoracion (3) Dimension 2'!F38</f>
        <v>0</v>
      </c>
      <c r="FV38" s="46"/>
      <c r="FX38" t="str">
        <f>('Inteligencia emocional'!A39)</f>
        <v>0</v>
      </c>
      <c r="FY38" s="39" t="str">
        <f>'Por Valoracion (3) Dimension'!D38</f>
        <v>0</v>
      </c>
      <c r="FZ38" s="39" t="str">
        <f>'Por Valoracion (3) Dimension 2'!H38</f>
        <v>0</v>
      </c>
      <c r="GU38" s="46"/>
      <c r="GW38" s="47"/>
      <c r="GY38" t="str">
        <f>('Inteligencia emocional'!A39)</f>
        <v>0</v>
      </c>
      <c r="GZ38" s="39" t="str">
        <f>'Por Valoracion (3) Dimension'!F38</f>
        <v>0</v>
      </c>
      <c r="HA38" s="39" t="str">
        <f>'Por Valoracion (3) Dimension 2'!B38</f>
        <v>0</v>
      </c>
      <c r="HV38" s="47"/>
      <c r="HX38" t="str">
        <f>('Inteligencia emocional'!A39)</f>
        <v>0</v>
      </c>
      <c r="HY38" s="39" t="str">
        <f>'Por Valoracion (3) Dimension'!F38</f>
        <v>0</v>
      </c>
      <c r="HZ38" s="39" t="str">
        <f>'Por Valoracion (3) Dimension 2'!D38</f>
        <v>0</v>
      </c>
      <c r="IU38" s="47"/>
      <c r="IW38" t="str">
        <f>('Inteligencia emocional'!A39)</f>
        <v>0</v>
      </c>
      <c r="IX38" s="39" t="str">
        <f>'Por Valoracion (3) Dimension'!F38</f>
        <v>0</v>
      </c>
      <c r="IY38" s="39" t="str">
        <f>'Por Valoracion (3) Dimension 2'!F38</f>
        <v>0</v>
      </c>
      <c r="JT38" s="47"/>
      <c r="JV38" t="str">
        <f>('Inteligencia emocional'!A39)</f>
        <v>0</v>
      </c>
      <c r="JW38" s="39" t="str">
        <f>'Por Valoracion (3) Dimension'!F38</f>
        <v>0</v>
      </c>
      <c r="JX38" s="39" t="str">
        <f>'Por Valoracion (3) Dimension 2'!H38</f>
        <v>0</v>
      </c>
      <c r="KS38" s="47"/>
    </row>
    <row r="39" spans="1:305">
      <c r="A39" s="38"/>
      <c r="C39" t="str">
        <f>('Inteligencia emocional'!A40)</f>
        <v>0</v>
      </c>
      <c r="D39" s="39" t="str">
        <f>'Por Valoracion (3) Dimension'!B39</f>
        <v>0</v>
      </c>
      <c r="E39" s="39" t="str">
        <f>'Por Valoracion (3) Dimension 2'!B39</f>
        <v>0</v>
      </c>
      <c r="Z39" s="38"/>
      <c r="AB39" t="str">
        <f>('Inteligencia emocional'!A40)</f>
        <v>0</v>
      </c>
      <c r="AC39" s="39" t="str">
        <f>'Por Valoracion (3) Dimension'!B39</f>
        <v>0</v>
      </c>
      <c r="AD39" s="39" t="str">
        <f>'Por Valoracion (3) Dimension 2'!D39</f>
        <v>0</v>
      </c>
      <c r="AY39" s="38"/>
      <c r="BA39" t="str">
        <f>('Inteligencia emocional'!A40)</f>
        <v>0</v>
      </c>
      <c r="BB39" s="39" t="str">
        <f>'Por Valoracion (3) Dimension'!B39</f>
        <v>0</v>
      </c>
      <c r="BC39" s="39" t="str">
        <f>'Por Valoracion (3) Dimension 2'!F39</f>
        <v>0</v>
      </c>
      <c r="BX39" s="38"/>
      <c r="BZ39" t="str">
        <f>('Inteligencia emocional'!A40)</f>
        <v>0</v>
      </c>
      <c r="CA39" s="39" t="str">
        <f>'Por Valoracion (3) Dimension'!B39</f>
        <v>0</v>
      </c>
      <c r="CB39" s="39" t="str">
        <f>'Por Valoracion (3) Dimension 2'!H39</f>
        <v>0</v>
      </c>
      <c r="CW39" s="38"/>
      <c r="CY39" s="46"/>
      <c r="DA39" t="str">
        <f>('Inteligencia emocional'!A40)</f>
        <v>0</v>
      </c>
      <c r="DB39" s="39" t="str">
        <f>'Por Valoracion (3) Dimension'!D39</f>
        <v>0</v>
      </c>
      <c r="DC39" s="39" t="str">
        <f>'Por Valoracion (3) Dimension 2'!B39</f>
        <v>0</v>
      </c>
      <c r="DX39" s="46"/>
      <c r="DZ39" t="str">
        <f>('Inteligencia emocional'!A40)</f>
        <v>0</v>
      </c>
      <c r="EA39" s="39" t="str">
        <f>'Por Valoracion (3) Dimension'!D39</f>
        <v>0</v>
      </c>
      <c r="EB39" s="39" t="str">
        <f>'Por Valoracion (3) Dimension 2'!D39</f>
        <v>0</v>
      </c>
      <c r="EW39" s="46"/>
      <c r="EY39" t="str">
        <f>('Inteligencia emocional'!A40)</f>
        <v>0</v>
      </c>
      <c r="EZ39" s="39" t="str">
        <f>'Por Valoracion (3) Dimension'!D39</f>
        <v>0</v>
      </c>
      <c r="FA39" s="39" t="str">
        <f>'Por Valoracion (3) Dimension 2'!F39</f>
        <v>0</v>
      </c>
      <c r="FV39" s="46"/>
      <c r="FX39" t="str">
        <f>('Inteligencia emocional'!A40)</f>
        <v>0</v>
      </c>
      <c r="FY39" s="39" t="str">
        <f>'Por Valoracion (3) Dimension'!D39</f>
        <v>0</v>
      </c>
      <c r="FZ39" s="39" t="str">
        <f>'Por Valoracion (3) Dimension 2'!H39</f>
        <v>0</v>
      </c>
      <c r="GU39" s="46"/>
      <c r="GW39" s="47"/>
      <c r="GY39" t="str">
        <f>('Inteligencia emocional'!A40)</f>
        <v>0</v>
      </c>
      <c r="GZ39" s="39" t="str">
        <f>'Por Valoracion (3) Dimension'!F39</f>
        <v>0</v>
      </c>
      <c r="HA39" s="39" t="str">
        <f>'Por Valoracion (3) Dimension 2'!B39</f>
        <v>0</v>
      </c>
      <c r="HV39" s="47"/>
      <c r="HX39" t="str">
        <f>('Inteligencia emocional'!A40)</f>
        <v>0</v>
      </c>
      <c r="HY39" s="39" t="str">
        <f>'Por Valoracion (3) Dimension'!F39</f>
        <v>0</v>
      </c>
      <c r="HZ39" s="39" t="str">
        <f>'Por Valoracion (3) Dimension 2'!D39</f>
        <v>0</v>
      </c>
      <c r="IU39" s="47"/>
      <c r="IW39" t="str">
        <f>('Inteligencia emocional'!A40)</f>
        <v>0</v>
      </c>
      <c r="IX39" s="39" t="str">
        <f>'Por Valoracion (3) Dimension'!F39</f>
        <v>0</v>
      </c>
      <c r="IY39" s="39" t="str">
        <f>'Por Valoracion (3) Dimension 2'!F39</f>
        <v>0</v>
      </c>
      <c r="JT39" s="47"/>
      <c r="JV39" t="str">
        <f>('Inteligencia emocional'!A40)</f>
        <v>0</v>
      </c>
      <c r="JW39" s="39" t="str">
        <f>'Por Valoracion (3) Dimension'!F39</f>
        <v>0</v>
      </c>
      <c r="JX39" s="39" t="str">
        <f>'Por Valoracion (3) Dimension 2'!H39</f>
        <v>0</v>
      </c>
      <c r="KS39" s="47"/>
    </row>
    <row r="40" spans="1:305">
      <c r="A40" s="38"/>
      <c r="C40" t="str">
        <f>('Inteligencia emocional'!A41)</f>
        <v>0</v>
      </c>
      <c r="D40" s="39" t="str">
        <f>'Por Valoracion (3) Dimension'!B40</f>
        <v>0</v>
      </c>
      <c r="E40" s="39" t="str">
        <f>'Por Valoracion (3) Dimension 2'!B40</f>
        <v>0</v>
      </c>
      <c r="Z40" s="38"/>
      <c r="AB40" t="str">
        <f>('Inteligencia emocional'!A41)</f>
        <v>0</v>
      </c>
      <c r="AC40" s="39" t="str">
        <f>'Por Valoracion (3) Dimension'!B40</f>
        <v>0</v>
      </c>
      <c r="AD40" s="39" t="str">
        <f>'Por Valoracion (3) Dimension 2'!D40</f>
        <v>0</v>
      </c>
      <c r="AY40" s="38"/>
      <c r="BA40" t="str">
        <f>('Inteligencia emocional'!A41)</f>
        <v>0</v>
      </c>
      <c r="BB40" s="39" t="str">
        <f>'Por Valoracion (3) Dimension'!B40</f>
        <v>0</v>
      </c>
      <c r="BC40" s="39" t="str">
        <f>'Por Valoracion (3) Dimension 2'!F40</f>
        <v>0</v>
      </c>
      <c r="BX40" s="38"/>
      <c r="BZ40" t="str">
        <f>('Inteligencia emocional'!A41)</f>
        <v>0</v>
      </c>
      <c r="CA40" s="39" t="str">
        <f>'Por Valoracion (3) Dimension'!B40</f>
        <v>0</v>
      </c>
      <c r="CB40" s="39" t="str">
        <f>'Por Valoracion (3) Dimension 2'!H40</f>
        <v>0</v>
      </c>
      <c r="CW40" s="38"/>
      <c r="CY40" s="46"/>
      <c r="DA40" t="str">
        <f>('Inteligencia emocional'!A41)</f>
        <v>0</v>
      </c>
      <c r="DB40" s="39" t="str">
        <f>'Por Valoracion (3) Dimension'!D40</f>
        <v>0</v>
      </c>
      <c r="DC40" s="39" t="str">
        <f>'Por Valoracion (3) Dimension 2'!B40</f>
        <v>0</v>
      </c>
      <c r="DX40" s="46"/>
      <c r="DZ40" t="str">
        <f>('Inteligencia emocional'!A41)</f>
        <v>0</v>
      </c>
      <c r="EA40" s="39" t="str">
        <f>'Por Valoracion (3) Dimension'!D40</f>
        <v>0</v>
      </c>
      <c r="EB40" s="39" t="str">
        <f>'Por Valoracion (3) Dimension 2'!D40</f>
        <v>0</v>
      </c>
      <c r="EW40" s="46"/>
      <c r="EY40" t="str">
        <f>('Inteligencia emocional'!A41)</f>
        <v>0</v>
      </c>
      <c r="EZ40" s="39" t="str">
        <f>'Por Valoracion (3) Dimension'!D40</f>
        <v>0</v>
      </c>
      <c r="FA40" s="39" t="str">
        <f>'Por Valoracion (3) Dimension 2'!F40</f>
        <v>0</v>
      </c>
      <c r="FV40" s="46"/>
      <c r="FX40" t="str">
        <f>('Inteligencia emocional'!A41)</f>
        <v>0</v>
      </c>
      <c r="FY40" s="39" t="str">
        <f>'Por Valoracion (3) Dimension'!D40</f>
        <v>0</v>
      </c>
      <c r="FZ40" s="39" t="str">
        <f>'Por Valoracion (3) Dimension 2'!H40</f>
        <v>0</v>
      </c>
      <c r="GU40" s="46"/>
      <c r="GW40" s="47"/>
      <c r="GY40" t="str">
        <f>('Inteligencia emocional'!A41)</f>
        <v>0</v>
      </c>
      <c r="GZ40" s="39" t="str">
        <f>'Por Valoracion (3) Dimension'!F40</f>
        <v>0</v>
      </c>
      <c r="HA40" s="39" t="str">
        <f>'Por Valoracion (3) Dimension 2'!B40</f>
        <v>0</v>
      </c>
      <c r="HV40" s="47"/>
      <c r="HX40" t="str">
        <f>('Inteligencia emocional'!A41)</f>
        <v>0</v>
      </c>
      <c r="HY40" s="39" t="str">
        <f>'Por Valoracion (3) Dimension'!F40</f>
        <v>0</v>
      </c>
      <c r="HZ40" s="39" t="str">
        <f>'Por Valoracion (3) Dimension 2'!D40</f>
        <v>0</v>
      </c>
      <c r="IU40" s="47"/>
      <c r="IW40" t="str">
        <f>('Inteligencia emocional'!A41)</f>
        <v>0</v>
      </c>
      <c r="IX40" s="39" t="str">
        <f>'Por Valoracion (3) Dimension'!F40</f>
        <v>0</v>
      </c>
      <c r="IY40" s="39" t="str">
        <f>'Por Valoracion (3) Dimension 2'!F40</f>
        <v>0</v>
      </c>
      <c r="JT40" s="47"/>
      <c r="JV40" t="str">
        <f>('Inteligencia emocional'!A41)</f>
        <v>0</v>
      </c>
      <c r="JW40" s="39" t="str">
        <f>'Por Valoracion (3) Dimension'!F40</f>
        <v>0</v>
      </c>
      <c r="JX40" s="39" t="str">
        <f>'Por Valoracion (3) Dimension 2'!H40</f>
        <v>0</v>
      </c>
      <c r="KS40" s="47"/>
    </row>
    <row r="41" spans="1:305">
      <c r="A41" s="38"/>
      <c r="C41" t="str">
        <f>('Inteligencia emocional'!A42)</f>
        <v>0</v>
      </c>
      <c r="D41" s="39" t="str">
        <f>'Por Valoracion (3) Dimension'!B41</f>
        <v>0</v>
      </c>
      <c r="E41" s="39" t="str">
        <f>'Por Valoracion (3) Dimension 2'!B41</f>
        <v>0</v>
      </c>
      <c r="Z41" s="38"/>
      <c r="AB41" t="str">
        <f>('Inteligencia emocional'!A42)</f>
        <v>0</v>
      </c>
      <c r="AC41" s="39" t="str">
        <f>'Por Valoracion (3) Dimension'!B41</f>
        <v>0</v>
      </c>
      <c r="AD41" s="39" t="str">
        <f>'Por Valoracion (3) Dimension 2'!D41</f>
        <v>0</v>
      </c>
      <c r="AY41" s="38"/>
      <c r="BA41" t="str">
        <f>('Inteligencia emocional'!A42)</f>
        <v>0</v>
      </c>
      <c r="BB41" s="39" t="str">
        <f>'Por Valoracion (3) Dimension'!B41</f>
        <v>0</v>
      </c>
      <c r="BC41" s="39" t="str">
        <f>'Por Valoracion (3) Dimension 2'!F41</f>
        <v>0</v>
      </c>
      <c r="BX41" s="38"/>
      <c r="BZ41" t="str">
        <f>('Inteligencia emocional'!A42)</f>
        <v>0</v>
      </c>
      <c r="CA41" s="39" t="str">
        <f>'Por Valoracion (3) Dimension'!B41</f>
        <v>0</v>
      </c>
      <c r="CB41" s="39" t="str">
        <f>'Por Valoracion (3) Dimension 2'!H41</f>
        <v>0</v>
      </c>
      <c r="CW41" s="38"/>
      <c r="CY41" s="46"/>
      <c r="DA41" t="str">
        <f>('Inteligencia emocional'!A42)</f>
        <v>0</v>
      </c>
      <c r="DB41" s="39" t="str">
        <f>'Por Valoracion (3) Dimension'!D41</f>
        <v>0</v>
      </c>
      <c r="DC41" s="39" t="str">
        <f>'Por Valoracion (3) Dimension 2'!B41</f>
        <v>0</v>
      </c>
      <c r="DX41" s="46"/>
      <c r="DZ41" t="str">
        <f>('Inteligencia emocional'!A42)</f>
        <v>0</v>
      </c>
      <c r="EA41" s="39" t="str">
        <f>'Por Valoracion (3) Dimension'!D41</f>
        <v>0</v>
      </c>
      <c r="EB41" s="39" t="str">
        <f>'Por Valoracion (3) Dimension 2'!D41</f>
        <v>0</v>
      </c>
      <c r="EW41" s="46"/>
      <c r="EY41" t="str">
        <f>('Inteligencia emocional'!A42)</f>
        <v>0</v>
      </c>
      <c r="EZ41" s="39" t="str">
        <f>'Por Valoracion (3) Dimension'!D41</f>
        <v>0</v>
      </c>
      <c r="FA41" s="39" t="str">
        <f>'Por Valoracion (3) Dimension 2'!F41</f>
        <v>0</v>
      </c>
      <c r="FV41" s="46"/>
      <c r="FX41" t="str">
        <f>('Inteligencia emocional'!A42)</f>
        <v>0</v>
      </c>
      <c r="FY41" s="39" t="str">
        <f>'Por Valoracion (3) Dimension'!D41</f>
        <v>0</v>
      </c>
      <c r="FZ41" s="39" t="str">
        <f>'Por Valoracion (3) Dimension 2'!H41</f>
        <v>0</v>
      </c>
      <c r="GU41" s="46"/>
      <c r="GW41" s="47"/>
      <c r="GY41" t="str">
        <f>('Inteligencia emocional'!A42)</f>
        <v>0</v>
      </c>
      <c r="GZ41" s="39" t="str">
        <f>'Por Valoracion (3) Dimension'!F41</f>
        <v>0</v>
      </c>
      <c r="HA41" s="39" t="str">
        <f>'Por Valoracion (3) Dimension 2'!B41</f>
        <v>0</v>
      </c>
      <c r="HV41" s="47"/>
      <c r="HX41" t="str">
        <f>('Inteligencia emocional'!A42)</f>
        <v>0</v>
      </c>
      <c r="HY41" s="39" t="str">
        <f>'Por Valoracion (3) Dimension'!F41</f>
        <v>0</v>
      </c>
      <c r="HZ41" s="39" t="str">
        <f>'Por Valoracion (3) Dimension 2'!D41</f>
        <v>0</v>
      </c>
      <c r="IU41" s="47"/>
      <c r="IW41" t="str">
        <f>('Inteligencia emocional'!A42)</f>
        <v>0</v>
      </c>
      <c r="IX41" s="39" t="str">
        <f>'Por Valoracion (3) Dimension'!F41</f>
        <v>0</v>
      </c>
      <c r="IY41" s="39" t="str">
        <f>'Por Valoracion (3) Dimension 2'!F41</f>
        <v>0</v>
      </c>
      <c r="JT41" s="47"/>
      <c r="JV41" t="str">
        <f>('Inteligencia emocional'!A42)</f>
        <v>0</v>
      </c>
      <c r="JW41" s="39" t="str">
        <f>'Por Valoracion (3) Dimension'!F41</f>
        <v>0</v>
      </c>
      <c r="JX41" s="39" t="str">
        <f>'Por Valoracion (3) Dimension 2'!H41</f>
        <v>0</v>
      </c>
      <c r="KS41" s="47"/>
    </row>
    <row r="42" spans="1:305">
      <c r="A42" s="38"/>
      <c r="C42" t="str">
        <f>('Inteligencia emocional'!A43)</f>
        <v>0</v>
      </c>
      <c r="D42" s="39" t="str">
        <f>'Por Valoracion (3) Dimension'!B42</f>
        <v>0</v>
      </c>
      <c r="E42" s="39" t="str">
        <f>'Por Valoracion (3) Dimension 2'!B42</f>
        <v>0</v>
      </c>
      <c r="Z42" s="38"/>
      <c r="AB42" t="str">
        <f>('Inteligencia emocional'!A43)</f>
        <v>0</v>
      </c>
      <c r="AC42" s="39" t="str">
        <f>'Por Valoracion (3) Dimension'!B42</f>
        <v>0</v>
      </c>
      <c r="AD42" s="39" t="str">
        <f>'Por Valoracion (3) Dimension 2'!D42</f>
        <v>0</v>
      </c>
      <c r="AY42" s="38"/>
      <c r="BA42" t="str">
        <f>('Inteligencia emocional'!A43)</f>
        <v>0</v>
      </c>
      <c r="BB42" s="39" t="str">
        <f>'Por Valoracion (3) Dimension'!B42</f>
        <v>0</v>
      </c>
      <c r="BC42" s="39" t="str">
        <f>'Por Valoracion (3) Dimension 2'!F42</f>
        <v>0</v>
      </c>
      <c r="BX42" s="38"/>
      <c r="BZ42" t="str">
        <f>('Inteligencia emocional'!A43)</f>
        <v>0</v>
      </c>
      <c r="CA42" s="39" t="str">
        <f>'Por Valoracion (3) Dimension'!B42</f>
        <v>0</v>
      </c>
      <c r="CB42" s="39" t="str">
        <f>'Por Valoracion (3) Dimension 2'!H42</f>
        <v>0</v>
      </c>
      <c r="CW42" s="38"/>
      <c r="CY42" s="46"/>
      <c r="DA42" t="str">
        <f>('Inteligencia emocional'!A43)</f>
        <v>0</v>
      </c>
      <c r="DB42" s="39" t="str">
        <f>'Por Valoracion (3) Dimension'!D42</f>
        <v>0</v>
      </c>
      <c r="DC42" s="39" t="str">
        <f>'Por Valoracion (3) Dimension 2'!B42</f>
        <v>0</v>
      </c>
      <c r="DX42" s="46"/>
      <c r="DZ42" t="str">
        <f>('Inteligencia emocional'!A43)</f>
        <v>0</v>
      </c>
      <c r="EA42" s="39" t="str">
        <f>'Por Valoracion (3) Dimension'!D42</f>
        <v>0</v>
      </c>
      <c r="EB42" s="39" t="str">
        <f>'Por Valoracion (3) Dimension 2'!D42</f>
        <v>0</v>
      </c>
      <c r="EW42" s="46"/>
      <c r="EY42" t="str">
        <f>('Inteligencia emocional'!A43)</f>
        <v>0</v>
      </c>
      <c r="EZ42" s="39" t="str">
        <f>'Por Valoracion (3) Dimension'!D42</f>
        <v>0</v>
      </c>
      <c r="FA42" s="39" t="str">
        <f>'Por Valoracion (3) Dimension 2'!F42</f>
        <v>0</v>
      </c>
      <c r="FV42" s="46"/>
      <c r="FX42" t="str">
        <f>('Inteligencia emocional'!A43)</f>
        <v>0</v>
      </c>
      <c r="FY42" s="39" t="str">
        <f>'Por Valoracion (3) Dimension'!D42</f>
        <v>0</v>
      </c>
      <c r="FZ42" s="39" t="str">
        <f>'Por Valoracion (3) Dimension 2'!H42</f>
        <v>0</v>
      </c>
      <c r="GU42" s="46"/>
      <c r="GW42" s="47"/>
      <c r="GY42" t="str">
        <f>('Inteligencia emocional'!A43)</f>
        <v>0</v>
      </c>
      <c r="GZ42" s="39" t="str">
        <f>'Por Valoracion (3) Dimension'!F42</f>
        <v>0</v>
      </c>
      <c r="HA42" s="39" t="str">
        <f>'Por Valoracion (3) Dimension 2'!B42</f>
        <v>0</v>
      </c>
      <c r="HV42" s="47"/>
      <c r="HX42" t="str">
        <f>('Inteligencia emocional'!A43)</f>
        <v>0</v>
      </c>
      <c r="HY42" s="39" t="str">
        <f>'Por Valoracion (3) Dimension'!F42</f>
        <v>0</v>
      </c>
      <c r="HZ42" s="39" t="str">
        <f>'Por Valoracion (3) Dimension 2'!D42</f>
        <v>0</v>
      </c>
      <c r="IU42" s="47"/>
      <c r="IW42" t="str">
        <f>('Inteligencia emocional'!A43)</f>
        <v>0</v>
      </c>
      <c r="IX42" s="39" t="str">
        <f>'Por Valoracion (3) Dimension'!F42</f>
        <v>0</v>
      </c>
      <c r="IY42" s="39" t="str">
        <f>'Por Valoracion (3) Dimension 2'!F42</f>
        <v>0</v>
      </c>
      <c r="JT42" s="47"/>
      <c r="JV42" t="str">
        <f>('Inteligencia emocional'!A43)</f>
        <v>0</v>
      </c>
      <c r="JW42" s="39" t="str">
        <f>'Por Valoracion (3) Dimension'!F42</f>
        <v>0</v>
      </c>
      <c r="JX42" s="39" t="str">
        <f>'Por Valoracion (3) Dimension 2'!H42</f>
        <v>0</v>
      </c>
      <c r="KS42" s="47"/>
    </row>
    <row r="43" spans="1:305">
      <c r="A43" s="38"/>
      <c r="C43" t="str">
        <f>('Inteligencia emocional'!A44)</f>
        <v>0</v>
      </c>
      <c r="D43" s="39" t="str">
        <f>'Por Valoracion (3) Dimension'!B43</f>
        <v>0</v>
      </c>
      <c r="E43" s="39" t="str">
        <f>'Por Valoracion (3) Dimension 2'!B43</f>
        <v>0</v>
      </c>
      <c r="Z43" s="38"/>
      <c r="AB43" t="str">
        <f>('Inteligencia emocional'!A44)</f>
        <v>0</v>
      </c>
      <c r="AC43" s="39" t="str">
        <f>'Por Valoracion (3) Dimension'!B43</f>
        <v>0</v>
      </c>
      <c r="AD43" s="39" t="str">
        <f>'Por Valoracion (3) Dimension 2'!D43</f>
        <v>0</v>
      </c>
      <c r="AY43" s="38"/>
      <c r="BA43" t="str">
        <f>('Inteligencia emocional'!A44)</f>
        <v>0</v>
      </c>
      <c r="BB43" s="39" t="str">
        <f>'Por Valoracion (3) Dimension'!B43</f>
        <v>0</v>
      </c>
      <c r="BC43" s="39" t="str">
        <f>'Por Valoracion (3) Dimension 2'!F43</f>
        <v>0</v>
      </c>
      <c r="BX43" s="38"/>
      <c r="BZ43" t="str">
        <f>('Inteligencia emocional'!A44)</f>
        <v>0</v>
      </c>
      <c r="CA43" s="39" t="str">
        <f>'Por Valoracion (3) Dimension'!B43</f>
        <v>0</v>
      </c>
      <c r="CB43" s="39" t="str">
        <f>'Por Valoracion (3) Dimension 2'!H43</f>
        <v>0</v>
      </c>
      <c r="CW43" s="38"/>
      <c r="CY43" s="46"/>
      <c r="DA43" t="str">
        <f>('Inteligencia emocional'!A44)</f>
        <v>0</v>
      </c>
      <c r="DB43" s="39" t="str">
        <f>'Por Valoracion (3) Dimension'!D43</f>
        <v>0</v>
      </c>
      <c r="DC43" s="39" t="str">
        <f>'Por Valoracion (3) Dimension 2'!B43</f>
        <v>0</v>
      </c>
      <c r="DX43" s="46"/>
      <c r="DZ43" t="str">
        <f>('Inteligencia emocional'!A44)</f>
        <v>0</v>
      </c>
      <c r="EA43" s="39" t="str">
        <f>'Por Valoracion (3) Dimension'!D43</f>
        <v>0</v>
      </c>
      <c r="EB43" s="39" t="str">
        <f>'Por Valoracion (3) Dimension 2'!D43</f>
        <v>0</v>
      </c>
      <c r="EW43" s="46"/>
      <c r="EY43" t="str">
        <f>('Inteligencia emocional'!A44)</f>
        <v>0</v>
      </c>
      <c r="EZ43" s="39" t="str">
        <f>'Por Valoracion (3) Dimension'!D43</f>
        <v>0</v>
      </c>
      <c r="FA43" s="39" t="str">
        <f>'Por Valoracion (3) Dimension 2'!F43</f>
        <v>0</v>
      </c>
      <c r="FV43" s="46"/>
      <c r="FX43" t="str">
        <f>('Inteligencia emocional'!A44)</f>
        <v>0</v>
      </c>
      <c r="FY43" s="39" t="str">
        <f>'Por Valoracion (3) Dimension'!D43</f>
        <v>0</v>
      </c>
      <c r="FZ43" s="39" t="str">
        <f>'Por Valoracion (3) Dimension 2'!H43</f>
        <v>0</v>
      </c>
      <c r="GU43" s="46"/>
      <c r="GW43" s="47"/>
      <c r="GY43" t="str">
        <f>('Inteligencia emocional'!A44)</f>
        <v>0</v>
      </c>
      <c r="GZ43" s="39" t="str">
        <f>'Por Valoracion (3) Dimension'!F43</f>
        <v>0</v>
      </c>
      <c r="HA43" s="39" t="str">
        <f>'Por Valoracion (3) Dimension 2'!B43</f>
        <v>0</v>
      </c>
      <c r="HV43" s="47"/>
      <c r="HX43" t="str">
        <f>('Inteligencia emocional'!A44)</f>
        <v>0</v>
      </c>
      <c r="HY43" s="39" t="str">
        <f>'Por Valoracion (3) Dimension'!F43</f>
        <v>0</v>
      </c>
      <c r="HZ43" s="39" t="str">
        <f>'Por Valoracion (3) Dimension 2'!D43</f>
        <v>0</v>
      </c>
      <c r="IU43" s="47"/>
      <c r="IW43" t="str">
        <f>('Inteligencia emocional'!A44)</f>
        <v>0</v>
      </c>
      <c r="IX43" s="39" t="str">
        <f>'Por Valoracion (3) Dimension'!F43</f>
        <v>0</v>
      </c>
      <c r="IY43" s="39" t="str">
        <f>'Por Valoracion (3) Dimension 2'!F43</f>
        <v>0</v>
      </c>
      <c r="JT43" s="47"/>
      <c r="JV43" t="str">
        <f>('Inteligencia emocional'!A44)</f>
        <v>0</v>
      </c>
      <c r="JW43" s="39" t="str">
        <f>'Por Valoracion (3) Dimension'!F43</f>
        <v>0</v>
      </c>
      <c r="JX43" s="39" t="str">
        <f>'Por Valoracion (3) Dimension 2'!H43</f>
        <v>0</v>
      </c>
      <c r="KS43" s="47"/>
    </row>
    <row r="44" spans="1:305">
      <c r="A44" s="38"/>
      <c r="C44" t="str">
        <f>('Inteligencia emocional'!A45)</f>
        <v>0</v>
      </c>
      <c r="D44" s="39" t="str">
        <f>'Por Valoracion (3) Dimension'!B44</f>
        <v>0</v>
      </c>
      <c r="E44" s="39" t="str">
        <f>'Por Valoracion (3) Dimension 2'!B44</f>
        <v>0</v>
      </c>
      <c r="Z44" s="38"/>
      <c r="AB44" t="str">
        <f>('Inteligencia emocional'!A45)</f>
        <v>0</v>
      </c>
      <c r="AC44" s="39" t="str">
        <f>'Por Valoracion (3) Dimension'!B44</f>
        <v>0</v>
      </c>
      <c r="AD44" s="39" t="str">
        <f>'Por Valoracion (3) Dimension 2'!D44</f>
        <v>0</v>
      </c>
      <c r="AY44" s="38"/>
      <c r="BA44" t="str">
        <f>('Inteligencia emocional'!A45)</f>
        <v>0</v>
      </c>
      <c r="BB44" s="39" t="str">
        <f>'Por Valoracion (3) Dimension'!B44</f>
        <v>0</v>
      </c>
      <c r="BC44" s="39" t="str">
        <f>'Por Valoracion (3) Dimension 2'!F44</f>
        <v>0</v>
      </c>
      <c r="BX44" s="38"/>
      <c r="BZ44" t="str">
        <f>('Inteligencia emocional'!A45)</f>
        <v>0</v>
      </c>
      <c r="CA44" s="39" t="str">
        <f>'Por Valoracion (3) Dimension'!B44</f>
        <v>0</v>
      </c>
      <c r="CB44" s="39" t="str">
        <f>'Por Valoracion (3) Dimension 2'!H44</f>
        <v>0</v>
      </c>
      <c r="CW44" s="38"/>
      <c r="CY44" s="46"/>
      <c r="DA44" t="str">
        <f>('Inteligencia emocional'!A45)</f>
        <v>0</v>
      </c>
      <c r="DB44" s="39" t="str">
        <f>'Por Valoracion (3) Dimension'!D44</f>
        <v>0</v>
      </c>
      <c r="DC44" s="39" t="str">
        <f>'Por Valoracion (3) Dimension 2'!B44</f>
        <v>0</v>
      </c>
      <c r="DX44" s="46"/>
      <c r="DZ44" t="str">
        <f>('Inteligencia emocional'!A45)</f>
        <v>0</v>
      </c>
      <c r="EA44" s="39" t="str">
        <f>'Por Valoracion (3) Dimension'!D44</f>
        <v>0</v>
      </c>
      <c r="EB44" s="39" t="str">
        <f>'Por Valoracion (3) Dimension 2'!D44</f>
        <v>0</v>
      </c>
      <c r="EW44" s="46"/>
      <c r="EY44" t="str">
        <f>('Inteligencia emocional'!A45)</f>
        <v>0</v>
      </c>
      <c r="EZ44" s="39" t="str">
        <f>'Por Valoracion (3) Dimension'!D44</f>
        <v>0</v>
      </c>
      <c r="FA44" s="39" t="str">
        <f>'Por Valoracion (3) Dimension 2'!F44</f>
        <v>0</v>
      </c>
      <c r="FV44" s="46"/>
      <c r="FX44" t="str">
        <f>('Inteligencia emocional'!A45)</f>
        <v>0</v>
      </c>
      <c r="FY44" s="39" t="str">
        <f>'Por Valoracion (3) Dimension'!D44</f>
        <v>0</v>
      </c>
      <c r="FZ44" s="39" t="str">
        <f>'Por Valoracion (3) Dimension 2'!H44</f>
        <v>0</v>
      </c>
      <c r="GU44" s="46"/>
      <c r="GW44" s="47"/>
      <c r="GY44" t="str">
        <f>('Inteligencia emocional'!A45)</f>
        <v>0</v>
      </c>
      <c r="GZ44" s="39" t="str">
        <f>'Por Valoracion (3) Dimension'!F44</f>
        <v>0</v>
      </c>
      <c r="HA44" s="39" t="str">
        <f>'Por Valoracion (3) Dimension 2'!B44</f>
        <v>0</v>
      </c>
      <c r="HV44" s="47"/>
      <c r="HX44" t="str">
        <f>('Inteligencia emocional'!A45)</f>
        <v>0</v>
      </c>
      <c r="HY44" s="39" t="str">
        <f>'Por Valoracion (3) Dimension'!F44</f>
        <v>0</v>
      </c>
      <c r="HZ44" s="39" t="str">
        <f>'Por Valoracion (3) Dimension 2'!D44</f>
        <v>0</v>
      </c>
      <c r="IU44" s="47"/>
      <c r="IW44" t="str">
        <f>('Inteligencia emocional'!A45)</f>
        <v>0</v>
      </c>
      <c r="IX44" s="39" t="str">
        <f>'Por Valoracion (3) Dimension'!F44</f>
        <v>0</v>
      </c>
      <c r="IY44" s="39" t="str">
        <f>'Por Valoracion (3) Dimension 2'!F44</f>
        <v>0</v>
      </c>
      <c r="JT44" s="47"/>
      <c r="JV44" t="str">
        <f>('Inteligencia emocional'!A45)</f>
        <v>0</v>
      </c>
      <c r="JW44" s="39" t="str">
        <f>'Por Valoracion (3) Dimension'!F44</f>
        <v>0</v>
      </c>
      <c r="JX44" s="39" t="str">
        <f>'Por Valoracion (3) Dimension 2'!H44</f>
        <v>0</v>
      </c>
      <c r="KS44" s="47"/>
    </row>
    <row r="45" spans="1:305">
      <c r="A45" s="38"/>
      <c r="C45" t="str">
        <f>('Inteligencia emocional'!A46)</f>
        <v>0</v>
      </c>
      <c r="D45" s="39" t="str">
        <f>'Por Valoracion (3) Dimension'!B45</f>
        <v>0</v>
      </c>
      <c r="E45" s="39" t="str">
        <f>'Por Valoracion (3) Dimension 2'!B45</f>
        <v>0</v>
      </c>
      <c r="Z45" s="38"/>
      <c r="AB45" t="str">
        <f>('Inteligencia emocional'!A46)</f>
        <v>0</v>
      </c>
      <c r="AC45" s="39" t="str">
        <f>'Por Valoracion (3) Dimension'!B45</f>
        <v>0</v>
      </c>
      <c r="AD45" s="39" t="str">
        <f>'Por Valoracion (3) Dimension 2'!D45</f>
        <v>0</v>
      </c>
      <c r="AY45" s="38"/>
      <c r="BA45" t="str">
        <f>('Inteligencia emocional'!A46)</f>
        <v>0</v>
      </c>
      <c r="BB45" s="39" t="str">
        <f>'Por Valoracion (3) Dimension'!B45</f>
        <v>0</v>
      </c>
      <c r="BC45" s="39" t="str">
        <f>'Por Valoracion (3) Dimension 2'!F45</f>
        <v>0</v>
      </c>
      <c r="BX45" s="38"/>
      <c r="BZ45" t="str">
        <f>('Inteligencia emocional'!A46)</f>
        <v>0</v>
      </c>
      <c r="CA45" s="39" t="str">
        <f>'Por Valoracion (3) Dimension'!B45</f>
        <v>0</v>
      </c>
      <c r="CB45" s="39" t="str">
        <f>'Por Valoracion (3) Dimension 2'!H45</f>
        <v>0</v>
      </c>
      <c r="CW45" s="38"/>
      <c r="CY45" s="46"/>
      <c r="DA45" t="str">
        <f>('Inteligencia emocional'!A46)</f>
        <v>0</v>
      </c>
      <c r="DB45" s="39" t="str">
        <f>'Por Valoracion (3) Dimension'!D45</f>
        <v>0</v>
      </c>
      <c r="DC45" s="39" t="str">
        <f>'Por Valoracion (3) Dimension 2'!B45</f>
        <v>0</v>
      </c>
      <c r="DX45" s="46"/>
      <c r="DZ45" t="str">
        <f>('Inteligencia emocional'!A46)</f>
        <v>0</v>
      </c>
      <c r="EA45" s="39" t="str">
        <f>'Por Valoracion (3) Dimension'!D45</f>
        <v>0</v>
      </c>
      <c r="EB45" s="39" t="str">
        <f>'Por Valoracion (3) Dimension 2'!D45</f>
        <v>0</v>
      </c>
      <c r="EW45" s="46"/>
      <c r="EY45" t="str">
        <f>('Inteligencia emocional'!A46)</f>
        <v>0</v>
      </c>
      <c r="EZ45" s="39" t="str">
        <f>'Por Valoracion (3) Dimension'!D45</f>
        <v>0</v>
      </c>
      <c r="FA45" s="39" t="str">
        <f>'Por Valoracion (3) Dimension 2'!F45</f>
        <v>0</v>
      </c>
      <c r="FV45" s="46"/>
      <c r="FX45" t="str">
        <f>('Inteligencia emocional'!A46)</f>
        <v>0</v>
      </c>
      <c r="FY45" s="39" t="str">
        <f>'Por Valoracion (3) Dimension'!D45</f>
        <v>0</v>
      </c>
      <c r="FZ45" s="39" t="str">
        <f>'Por Valoracion (3) Dimension 2'!H45</f>
        <v>0</v>
      </c>
      <c r="GU45" s="46"/>
      <c r="GW45" s="47"/>
      <c r="GY45" t="str">
        <f>('Inteligencia emocional'!A46)</f>
        <v>0</v>
      </c>
      <c r="GZ45" s="39" t="str">
        <f>'Por Valoracion (3) Dimension'!F45</f>
        <v>0</v>
      </c>
      <c r="HA45" s="39" t="str">
        <f>'Por Valoracion (3) Dimension 2'!B45</f>
        <v>0</v>
      </c>
      <c r="HV45" s="47"/>
      <c r="HX45" t="str">
        <f>('Inteligencia emocional'!A46)</f>
        <v>0</v>
      </c>
      <c r="HY45" s="39" t="str">
        <f>'Por Valoracion (3) Dimension'!F45</f>
        <v>0</v>
      </c>
      <c r="HZ45" s="39" t="str">
        <f>'Por Valoracion (3) Dimension 2'!D45</f>
        <v>0</v>
      </c>
      <c r="IU45" s="47"/>
      <c r="IW45" t="str">
        <f>('Inteligencia emocional'!A46)</f>
        <v>0</v>
      </c>
      <c r="IX45" s="39" t="str">
        <f>'Por Valoracion (3) Dimension'!F45</f>
        <v>0</v>
      </c>
      <c r="IY45" s="39" t="str">
        <f>'Por Valoracion (3) Dimension 2'!F45</f>
        <v>0</v>
      </c>
      <c r="JT45" s="47"/>
      <c r="JV45" t="str">
        <f>('Inteligencia emocional'!A46)</f>
        <v>0</v>
      </c>
      <c r="JW45" s="39" t="str">
        <f>'Por Valoracion (3) Dimension'!F45</f>
        <v>0</v>
      </c>
      <c r="JX45" s="39" t="str">
        <f>'Por Valoracion (3) Dimension 2'!H45</f>
        <v>0</v>
      </c>
      <c r="KS45" s="47"/>
    </row>
    <row r="46" spans="1:305">
      <c r="A46" s="38"/>
      <c r="C46" t="str">
        <f>('Inteligencia emocional'!A47)</f>
        <v>0</v>
      </c>
      <c r="D46" s="39" t="str">
        <f>'Por Valoracion (3) Dimension'!B46</f>
        <v>0</v>
      </c>
      <c r="E46" s="39" t="str">
        <f>'Por Valoracion (3) Dimension 2'!B46</f>
        <v>0</v>
      </c>
      <c r="Z46" s="38"/>
      <c r="AB46" t="str">
        <f>('Inteligencia emocional'!A47)</f>
        <v>0</v>
      </c>
      <c r="AC46" s="39" t="str">
        <f>'Por Valoracion (3) Dimension'!B46</f>
        <v>0</v>
      </c>
      <c r="AD46" s="39" t="str">
        <f>'Por Valoracion (3) Dimension 2'!D46</f>
        <v>0</v>
      </c>
      <c r="AY46" s="38"/>
      <c r="BA46" t="str">
        <f>('Inteligencia emocional'!A47)</f>
        <v>0</v>
      </c>
      <c r="BB46" s="39" t="str">
        <f>'Por Valoracion (3) Dimension'!B46</f>
        <v>0</v>
      </c>
      <c r="BC46" s="39" t="str">
        <f>'Por Valoracion (3) Dimension 2'!F46</f>
        <v>0</v>
      </c>
      <c r="BX46" s="38"/>
      <c r="BZ46" t="str">
        <f>('Inteligencia emocional'!A47)</f>
        <v>0</v>
      </c>
      <c r="CA46" s="39" t="str">
        <f>'Por Valoracion (3) Dimension'!B46</f>
        <v>0</v>
      </c>
      <c r="CB46" s="39" t="str">
        <f>'Por Valoracion (3) Dimension 2'!H46</f>
        <v>0</v>
      </c>
      <c r="CW46" s="38"/>
      <c r="CY46" s="46"/>
      <c r="DA46" t="str">
        <f>('Inteligencia emocional'!A47)</f>
        <v>0</v>
      </c>
      <c r="DB46" s="39" t="str">
        <f>'Por Valoracion (3) Dimension'!D46</f>
        <v>0</v>
      </c>
      <c r="DC46" s="39" t="str">
        <f>'Por Valoracion (3) Dimension 2'!B46</f>
        <v>0</v>
      </c>
      <c r="DX46" s="46"/>
      <c r="DZ46" t="str">
        <f>('Inteligencia emocional'!A47)</f>
        <v>0</v>
      </c>
      <c r="EA46" s="39" t="str">
        <f>'Por Valoracion (3) Dimension'!D46</f>
        <v>0</v>
      </c>
      <c r="EB46" s="39" t="str">
        <f>'Por Valoracion (3) Dimension 2'!D46</f>
        <v>0</v>
      </c>
      <c r="EW46" s="46"/>
      <c r="EY46" t="str">
        <f>('Inteligencia emocional'!A47)</f>
        <v>0</v>
      </c>
      <c r="EZ46" s="39" t="str">
        <f>'Por Valoracion (3) Dimension'!D46</f>
        <v>0</v>
      </c>
      <c r="FA46" s="39" t="str">
        <f>'Por Valoracion (3) Dimension 2'!F46</f>
        <v>0</v>
      </c>
      <c r="FV46" s="46"/>
      <c r="FX46" t="str">
        <f>('Inteligencia emocional'!A47)</f>
        <v>0</v>
      </c>
      <c r="FY46" s="39" t="str">
        <f>'Por Valoracion (3) Dimension'!D46</f>
        <v>0</v>
      </c>
      <c r="FZ46" s="39" t="str">
        <f>'Por Valoracion (3) Dimension 2'!H46</f>
        <v>0</v>
      </c>
      <c r="GU46" s="46"/>
      <c r="GW46" s="47"/>
      <c r="GY46" t="str">
        <f>('Inteligencia emocional'!A47)</f>
        <v>0</v>
      </c>
      <c r="GZ46" s="39" t="str">
        <f>'Por Valoracion (3) Dimension'!F46</f>
        <v>0</v>
      </c>
      <c r="HA46" s="39" t="str">
        <f>'Por Valoracion (3) Dimension 2'!B46</f>
        <v>0</v>
      </c>
      <c r="HV46" s="47"/>
      <c r="HX46" t="str">
        <f>('Inteligencia emocional'!A47)</f>
        <v>0</v>
      </c>
      <c r="HY46" s="39" t="str">
        <f>'Por Valoracion (3) Dimension'!F46</f>
        <v>0</v>
      </c>
      <c r="HZ46" s="39" t="str">
        <f>'Por Valoracion (3) Dimension 2'!D46</f>
        <v>0</v>
      </c>
      <c r="IU46" s="47"/>
      <c r="IW46" t="str">
        <f>('Inteligencia emocional'!A47)</f>
        <v>0</v>
      </c>
      <c r="IX46" s="39" t="str">
        <f>'Por Valoracion (3) Dimension'!F46</f>
        <v>0</v>
      </c>
      <c r="IY46" s="39" t="str">
        <f>'Por Valoracion (3) Dimension 2'!F46</f>
        <v>0</v>
      </c>
      <c r="JT46" s="47"/>
      <c r="JV46" t="str">
        <f>('Inteligencia emocional'!A47)</f>
        <v>0</v>
      </c>
      <c r="JW46" s="39" t="str">
        <f>'Por Valoracion (3) Dimension'!F46</f>
        <v>0</v>
      </c>
      <c r="JX46" s="39" t="str">
        <f>'Por Valoracion (3) Dimension 2'!H46</f>
        <v>0</v>
      </c>
      <c r="KS46" s="47"/>
    </row>
    <row r="47" spans="1:305">
      <c r="A47" s="38"/>
      <c r="C47" t="str">
        <f>('Inteligencia emocional'!A48)</f>
        <v>0</v>
      </c>
      <c r="D47" s="39" t="str">
        <f>'Por Valoracion (3) Dimension'!B47</f>
        <v>0</v>
      </c>
      <c r="E47" s="39" t="str">
        <f>'Por Valoracion (3) Dimension 2'!B47</f>
        <v>0</v>
      </c>
      <c r="Z47" s="38"/>
      <c r="AB47" t="str">
        <f>('Inteligencia emocional'!A48)</f>
        <v>0</v>
      </c>
      <c r="AC47" s="39" t="str">
        <f>'Por Valoracion (3) Dimension'!B47</f>
        <v>0</v>
      </c>
      <c r="AD47" s="39" t="str">
        <f>'Por Valoracion (3) Dimension 2'!D47</f>
        <v>0</v>
      </c>
      <c r="AY47" s="38"/>
      <c r="BA47" t="str">
        <f>('Inteligencia emocional'!A48)</f>
        <v>0</v>
      </c>
      <c r="BB47" s="39" t="str">
        <f>'Por Valoracion (3) Dimension'!B47</f>
        <v>0</v>
      </c>
      <c r="BC47" s="39" t="str">
        <f>'Por Valoracion (3) Dimension 2'!F47</f>
        <v>0</v>
      </c>
      <c r="BX47" s="38"/>
      <c r="BZ47" t="str">
        <f>('Inteligencia emocional'!A48)</f>
        <v>0</v>
      </c>
      <c r="CA47" s="39" t="str">
        <f>'Por Valoracion (3) Dimension'!B47</f>
        <v>0</v>
      </c>
      <c r="CB47" s="39" t="str">
        <f>'Por Valoracion (3) Dimension 2'!H47</f>
        <v>0</v>
      </c>
      <c r="CW47" s="38"/>
      <c r="CY47" s="46"/>
      <c r="DA47" t="str">
        <f>('Inteligencia emocional'!A48)</f>
        <v>0</v>
      </c>
      <c r="DB47" s="39" t="str">
        <f>'Por Valoracion (3) Dimension'!D47</f>
        <v>0</v>
      </c>
      <c r="DC47" s="39" t="str">
        <f>'Por Valoracion (3) Dimension 2'!B47</f>
        <v>0</v>
      </c>
      <c r="DX47" s="46"/>
      <c r="DZ47" t="str">
        <f>('Inteligencia emocional'!A48)</f>
        <v>0</v>
      </c>
      <c r="EA47" s="39" t="str">
        <f>'Por Valoracion (3) Dimension'!D47</f>
        <v>0</v>
      </c>
      <c r="EB47" s="39" t="str">
        <f>'Por Valoracion (3) Dimension 2'!D47</f>
        <v>0</v>
      </c>
      <c r="EW47" s="46"/>
      <c r="EY47" t="str">
        <f>('Inteligencia emocional'!A48)</f>
        <v>0</v>
      </c>
      <c r="EZ47" s="39" t="str">
        <f>'Por Valoracion (3) Dimension'!D47</f>
        <v>0</v>
      </c>
      <c r="FA47" s="39" t="str">
        <f>'Por Valoracion (3) Dimension 2'!F47</f>
        <v>0</v>
      </c>
      <c r="FV47" s="46"/>
      <c r="FX47" t="str">
        <f>('Inteligencia emocional'!A48)</f>
        <v>0</v>
      </c>
      <c r="FY47" s="39" t="str">
        <f>'Por Valoracion (3) Dimension'!D47</f>
        <v>0</v>
      </c>
      <c r="FZ47" s="39" t="str">
        <f>'Por Valoracion (3) Dimension 2'!H47</f>
        <v>0</v>
      </c>
      <c r="GU47" s="46"/>
      <c r="GW47" s="47"/>
      <c r="GY47" t="str">
        <f>('Inteligencia emocional'!A48)</f>
        <v>0</v>
      </c>
      <c r="GZ47" s="39" t="str">
        <f>'Por Valoracion (3) Dimension'!F47</f>
        <v>0</v>
      </c>
      <c r="HA47" s="39" t="str">
        <f>'Por Valoracion (3) Dimension 2'!B47</f>
        <v>0</v>
      </c>
      <c r="HV47" s="47"/>
      <c r="HX47" t="str">
        <f>('Inteligencia emocional'!A48)</f>
        <v>0</v>
      </c>
      <c r="HY47" s="39" t="str">
        <f>'Por Valoracion (3) Dimension'!F47</f>
        <v>0</v>
      </c>
      <c r="HZ47" s="39" t="str">
        <f>'Por Valoracion (3) Dimension 2'!D47</f>
        <v>0</v>
      </c>
      <c r="IU47" s="47"/>
      <c r="IW47" t="str">
        <f>('Inteligencia emocional'!A48)</f>
        <v>0</v>
      </c>
      <c r="IX47" s="39" t="str">
        <f>'Por Valoracion (3) Dimension'!F47</f>
        <v>0</v>
      </c>
      <c r="IY47" s="39" t="str">
        <f>'Por Valoracion (3) Dimension 2'!F47</f>
        <v>0</v>
      </c>
      <c r="JT47" s="47"/>
      <c r="JV47" t="str">
        <f>('Inteligencia emocional'!A48)</f>
        <v>0</v>
      </c>
      <c r="JW47" s="39" t="str">
        <f>'Por Valoracion (3) Dimension'!F47</f>
        <v>0</v>
      </c>
      <c r="JX47" s="39" t="str">
        <f>'Por Valoracion (3) Dimension 2'!H47</f>
        <v>0</v>
      </c>
      <c r="KS47" s="47"/>
    </row>
    <row r="48" spans="1:305">
      <c r="A48" s="38"/>
      <c r="C48" t="str">
        <f>('Inteligencia emocional'!A49)</f>
        <v>0</v>
      </c>
      <c r="D48" s="39" t="str">
        <f>'Por Valoracion (3) Dimension'!B48</f>
        <v>0</v>
      </c>
      <c r="E48" s="39" t="str">
        <f>'Por Valoracion (3) Dimension 2'!B48</f>
        <v>0</v>
      </c>
      <c r="Z48" s="38"/>
      <c r="AB48" t="str">
        <f>('Inteligencia emocional'!A49)</f>
        <v>0</v>
      </c>
      <c r="AC48" s="39" t="str">
        <f>'Por Valoracion (3) Dimension'!B48</f>
        <v>0</v>
      </c>
      <c r="AD48" s="39" t="str">
        <f>'Por Valoracion (3) Dimension 2'!D48</f>
        <v>0</v>
      </c>
      <c r="AY48" s="38"/>
      <c r="BA48" t="str">
        <f>('Inteligencia emocional'!A49)</f>
        <v>0</v>
      </c>
      <c r="BB48" s="39" t="str">
        <f>'Por Valoracion (3) Dimension'!B48</f>
        <v>0</v>
      </c>
      <c r="BC48" s="39" t="str">
        <f>'Por Valoracion (3) Dimension 2'!F48</f>
        <v>0</v>
      </c>
      <c r="BX48" s="38"/>
      <c r="BZ48" t="str">
        <f>('Inteligencia emocional'!A49)</f>
        <v>0</v>
      </c>
      <c r="CA48" s="39" t="str">
        <f>'Por Valoracion (3) Dimension'!B48</f>
        <v>0</v>
      </c>
      <c r="CB48" s="39" t="str">
        <f>'Por Valoracion (3) Dimension 2'!H48</f>
        <v>0</v>
      </c>
      <c r="CW48" s="38"/>
      <c r="CY48" s="46"/>
      <c r="DA48" t="str">
        <f>('Inteligencia emocional'!A49)</f>
        <v>0</v>
      </c>
      <c r="DB48" s="39" t="str">
        <f>'Por Valoracion (3) Dimension'!D48</f>
        <v>0</v>
      </c>
      <c r="DC48" s="39" t="str">
        <f>'Por Valoracion (3) Dimension 2'!B48</f>
        <v>0</v>
      </c>
      <c r="DX48" s="46"/>
      <c r="DZ48" t="str">
        <f>('Inteligencia emocional'!A49)</f>
        <v>0</v>
      </c>
      <c r="EA48" s="39" t="str">
        <f>'Por Valoracion (3) Dimension'!D48</f>
        <v>0</v>
      </c>
      <c r="EB48" s="39" t="str">
        <f>'Por Valoracion (3) Dimension 2'!D48</f>
        <v>0</v>
      </c>
      <c r="EW48" s="46"/>
      <c r="EY48" t="str">
        <f>('Inteligencia emocional'!A49)</f>
        <v>0</v>
      </c>
      <c r="EZ48" s="39" t="str">
        <f>'Por Valoracion (3) Dimension'!D48</f>
        <v>0</v>
      </c>
      <c r="FA48" s="39" t="str">
        <f>'Por Valoracion (3) Dimension 2'!F48</f>
        <v>0</v>
      </c>
      <c r="FV48" s="46"/>
      <c r="FX48" t="str">
        <f>('Inteligencia emocional'!A49)</f>
        <v>0</v>
      </c>
      <c r="FY48" s="39" t="str">
        <f>'Por Valoracion (3) Dimension'!D48</f>
        <v>0</v>
      </c>
      <c r="FZ48" s="39" t="str">
        <f>'Por Valoracion (3) Dimension 2'!H48</f>
        <v>0</v>
      </c>
      <c r="GU48" s="46"/>
      <c r="GW48" s="47"/>
      <c r="GY48" t="str">
        <f>('Inteligencia emocional'!A49)</f>
        <v>0</v>
      </c>
      <c r="GZ48" s="39" t="str">
        <f>'Por Valoracion (3) Dimension'!F48</f>
        <v>0</v>
      </c>
      <c r="HA48" s="39" t="str">
        <f>'Por Valoracion (3) Dimension 2'!B48</f>
        <v>0</v>
      </c>
      <c r="HV48" s="47"/>
      <c r="HX48" t="str">
        <f>('Inteligencia emocional'!A49)</f>
        <v>0</v>
      </c>
      <c r="HY48" s="39" t="str">
        <f>'Por Valoracion (3) Dimension'!F48</f>
        <v>0</v>
      </c>
      <c r="HZ48" s="39" t="str">
        <f>'Por Valoracion (3) Dimension 2'!D48</f>
        <v>0</v>
      </c>
      <c r="IU48" s="47"/>
      <c r="IW48" t="str">
        <f>('Inteligencia emocional'!A49)</f>
        <v>0</v>
      </c>
      <c r="IX48" s="39" t="str">
        <f>'Por Valoracion (3) Dimension'!F48</f>
        <v>0</v>
      </c>
      <c r="IY48" s="39" t="str">
        <f>'Por Valoracion (3) Dimension 2'!F48</f>
        <v>0</v>
      </c>
      <c r="JT48" s="47"/>
      <c r="JV48" t="str">
        <f>('Inteligencia emocional'!A49)</f>
        <v>0</v>
      </c>
      <c r="JW48" s="39" t="str">
        <f>'Por Valoracion (3) Dimension'!F48</f>
        <v>0</v>
      </c>
      <c r="JX48" s="39" t="str">
        <f>'Por Valoracion (3) Dimension 2'!H48</f>
        <v>0</v>
      </c>
      <c r="KS48" s="47"/>
    </row>
    <row r="49" spans="1:305">
      <c r="A49" s="38"/>
      <c r="C49" t="str">
        <f>('Inteligencia emocional'!A50)</f>
        <v>0</v>
      </c>
      <c r="D49" s="39" t="str">
        <f>'Por Valoracion (3) Dimension'!B49</f>
        <v>0</v>
      </c>
      <c r="E49" s="39" t="str">
        <f>'Por Valoracion (3) Dimension 2'!B49</f>
        <v>0</v>
      </c>
      <c r="Z49" s="38"/>
      <c r="AB49" t="str">
        <f>('Inteligencia emocional'!A50)</f>
        <v>0</v>
      </c>
      <c r="AC49" s="39" t="str">
        <f>'Por Valoracion (3) Dimension'!B49</f>
        <v>0</v>
      </c>
      <c r="AD49" s="39" t="str">
        <f>'Por Valoracion (3) Dimension 2'!D49</f>
        <v>0</v>
      </c>
      <c r="AY49" s="38"/>
      <c r="BA49" t="str">
        <f>('Inteligencia emocional'!A50)</f>
        <v>0</v>
      </c>
      <c r="BB49" s="39" t="str">
        <f>'Por Valoracion (3) Dimension'!B49</f>
        <v>0</v>
      </c>
      <c r="BC49" s="39" t="str">
        <f>'Por Valoracion (3) Dimension 2'!F49</f>
        <v>0</v>
      </c>
      <c r="BX49" s="38"/>
      <c r="BZ49" t="str">
        <f>('Inteligencia emocional'!A50)</f>
        <v>0</v>
      </c>
      <c r="CA49" s="39" t="str">
        <f>'Por Valoracion (3) Dimension'!B49</f>
        <v>0</v>
      </c>
      <c r="CB49" s="39" t="str">
        <f>'Por Valoracion (3) Dimension 2'!H49</f>
        <v>0</v>
      </c>
      <c r="CW49" s="38"/>
      <c r="CY49" s="46"/>
      <c r="DA49" t="str">
        <f>('Inteligencia emocional'!A50)</f>
        <v>0</v>
      </c>
      <c r="DB49" s="39" t="str">
        <f>'Por Valoracion (3) Dimension'!D49</f>
        <v>0</v>
      </c>
      <c r="DC49" s="39" t="str">
        <f>'Por Valoracion (3) Dimension 2'!B49</f>
        <v>0</v>
      </c>
      <c r="DX49" s="46"/>
      <c r="DZ49" t="str">
        <f>('Inteligencia emocional'!A50)</f>
        <v>0</v>
      </c>
      <c r="EA49" s="39" t="str">
        <f>'Por Valoracion (3) Dimension'!D49</f>
        <v>0</v>
      </c>
      <c r="EB49" s="39" t="str">
        <f>'Por Valoracion (3) Dimension 2'!D49</f>
        <v>0</v>
      </c>
      <c r="EW49" s="46"/>
      <c r="EY49" t="str">
        <f>('Inteligencia emocional'!A50)</f>
        <v>0</v>
      </c>
      <c r="EZ49" s="39" t="str">
        <f>'Por Valoracion (3) Dimension'!D49</f>
        <v>0</v>
      </c>
      <c r="FA49" s="39" t="str">
        <f>'Por Valoracion (3) Dimension 2'!F49</f>
        <v>0</v>
      </c>
      <c r="FV49" s="46"/>
      <c r="FX49" t="str">
        <f>('Inteligencia emocional'!A50)</f>
        <v>0</v>
      </c>
      <c r="FY49" s="39" t="str">
        <f>'Por Valoracion (3) Dimension'!D49</f>
        <v>0</v>
      </c>
      <c r="FZ49" s="39" t="str">
        <f>'Por Valoracion (3) Dimension 2'!H49</f>
        <v>0</v>
      </c>
      <c r="GU49" s="46"/>
      <c r="GW49" s="47"/>
      <c r="GY49" t="str">
        <f>('Inteligencia emocional'!A50)</f>
        <v>0</v>
      </c>
      <c r="GZ49" s="39" t="str">
        <f>'Por Valoracion (3) Dimension'!F49</f>
        <v>0</v>
      </c>
      <c r="HA49" s="39" t="str">
        <f>'Por Valoracion (3) Dimension 2'!B49</f>
        <v>0</v>
      </c>
      <c r="HV49" s="47"/>
      <c r="HX49" t="str">
        <f>('Inteligencia emocional'!A50)</f>
        <v>0</v>
      </c>
      <c r="HY49" s="39" t="str">
        <f>'Por Valoracion (3) Dimension'!F49</f>
        <v>0</v>
      </c>
      <c r="HZ49" s="39" t="str">
        <f>'Por Valoracion (3) Dimension 2'!D49</f>
        <v>0</v>
      </c>
      <c r="IU49" s="47"/>
      <c r="IW49" t="str">
        <f>('Inteligencia emocional'!A50)</f>
        <v>0</v>
      </c>
      <c r="IX49" s="39" t="str">
        <f>'Por Valoracion (3) Dimension'!F49</f>
        <v>0</v>
      </c>
      <c r="IY49" s="39" t="str">
        <f>'Por Valoracion (3) Dimension 2'!F49</f>
        <v>0</v>
      </c>
      <c r="JT49" s="47"/>
      <c r="JV49" t="str">
        <f>('Inteligencia emocional'!A50)</f>
        <v>0</v>
      </c>
      <c r="JW49" s="39" t="str">
        <f>'Por Valoracion (3) Dimension'!F49</f>
        <v>0</v>
      </c>
      <c r="JX49" s="39" t="str">
        <f>'Por Valoracion (3) Dimension 2'!H49</f>
        <v>0</v>
      </c>
      <c r="KS49" s="47"/>
    </row>
    <row r="50" spans="1:305">
      <c r="A50" s="38"/>
      <c r="C50" t="str">
        <f>('Inteligencia emocional'!A51)</f>
        <v>0</v>
      </c>
      <c r="D50" s="39" t="str">
        <f>'Por Valoracion (3) Dimension'!B50</f>
        <v>0</v>
      </c>
      <c r="E50" s="39" t="str">
        <f>'Por Valoracion (3) Dimension 2'!B50</f>
        <v>0</v>
      </c>
      <c r="Z50" s="38"/>
      <c r="AB50" t="str">
        <f>('Inteligencia emocional'!A51)</f>
        <v>0</v>
      </c>
      <c r="AC50" s="39" t="str">
        <f>'Por Valoracion (3) Dimension'!B50</f>
        <v>0</v>
      </c>
      <c r="AD50" s="39" t="str">
        <f>'Por Valoracion (3) Dimension 2'!D50</f>
        <v>0</v>
      </c>
      <c r="AY50" s="38"/>
      <c r="BA50" t="str">
        <f>('Inteligencia emocional'!A51)</f>
        <v>0</v>
      </c>
      <c r="BB50" s="39" t="str">
        <f>'Por Valoracion (3) Dimension'!B50</f>
        <v>0</v>
      </c>
      <c r="BC50" s="39" t="str">
        <f>'Por Valoracion (3) Dimension 2'!F50</f>
        <v>0</v>
      </c>
      <c r="BX50" s="38"/>
      <c r="BZ50" t="str">
        <f>('Inteligencia emocional'!A51)</f>
        <v>0</v>
      </c>
      <c r="CA50" s="39" t="str">
        <f>'Por Valoracion (3) Dimension'!B50</f>
        <v>0</v>
      </c>
      <c r="CB50" s="39" t="str">
        <f>'Por Valoracion (3) Dimension 2'!H50</f>
        <v>0</v>
      </c>
      <c r="CW50" s="38"/>
      <c r="CY50" s="46"/>
      <c r="DA50" t="str">
        <f>('Inteligencia emocional'!A51)</f>
        <v>0</v>
      </c>
      <c r="DB50" s="39" t="str">
        <f>'Por Valoracion (3) Dimension'!D50</f>
        <v>0</v>
      </c>
      <c r="DC50" s="39" t="str">
        <f>'Por Valoracion (3) Dimension 2'!B50</f>
        <v>0</v>
      </c>
      <c r="DX50" s="46"/>
      <c r="DZ50" t="str">
        <f>('Inteligencia emocional'!A51)</f>
        <v>0</v>
      </c>
      <c r="EA50" s="39" t="str">
        <f>'Por Valoracion (3) Dimension'!D50</f>
        <v>0</v>
      </c>
      <c r="EB50" s="39" t="str">
        <f>'Por Valoracion (3) Dimension 2'!D50</f>
        <v>0</v>
      </c>
      <c r="EW50" s="46"/>
      <c r="EY50" t="str">
        <f>('Inteligencia emocional'!A51)</f>
        <v>0</v>
      </c>
      <c r="EZ50" s="39" t="str">
        <f>'Por Valoracion (3) Dimension'!D50</f>
        <v>0</v>
      </c>
      <c r="FA50" s="39" t="str">
        <f>'Por Valoracion (3) Dimension 2'!F50</f>
        <v>0</v>
      </c>
      <c r="FV50" s="46"/>
      <c r="FX50" t="str">
        <f>('Inteligencia emocional'!A51)</f>
        <v>0</v>
      </c>
      <c r="FY50" s="39" t="str">
        <f>'Por Valoracion (3) Dimension'!D50</f>
        <v>0</v>
      </c>
      <c r="FZ50" s="39" t="str">
        <f>'Por Valoracion (3) Dimension 2'!H50</f>
        <v>0</v>
      </c>
      <c r="GU50" s="46"/>
      <c r="GW50" s="47"/>
      <c r="GY50" t="str">
        <f>('Inteligencia emocional'!A51)</f>
        <v>0</v>
      </c>
      <c r="GZ50" s="39" t="str">
        <f>'Por Valoracion (3) Dimension'!F50</f>
        <v>0</v>
      </c>
      <c r="HA50" s="39" t="str">
        <f>'Por Valoracion (3) Dimension 2'!B50</f>
        <v>0</v>
      </c>
      <c r="HV50" s="47"/>
      <c r="HX50" t="str">
        <f>('Inteligencia emocional'!A51)</f>
        <v>0</v>
      </c>
      <c r="HY50" s="39" t="str">
        <f>'Por Valoracion (3) Dimension'!F50</f>
        <v>0</v>
      </c>
      <c r="HZ50" s="39" t="str">
        <f>'Por Valoracion (3) Dimension 2'!D50</f>
        <v>0</v>
      </c>
      <c r="IU50" s="47"/>
      <c r="IW50" t="str">
        <f>('Inteligencia emocional'!A51)</f>
        <v>0</v>
      </c>
      <c r="IX50" s="39" t="str">
        <f>'Por Valoracion (3) Dimension'!F50</f>
        <v>0</v>
      </c>
      <c r="IY50" s="39" t="str">
        <f>'Por Valoracion (3) Dimension 2'!F50</f>
        <v>0</v>
      </c>
      <c r="JT50" s="47"/>
      <c r="JV50" t="str">
        <f>('Inteligencia emocional'!A51)</f>
        <v>0</v>
      </c>
      <c r="JW50" s="39" t="str">
        <f>'Por Valoracion (3) Dimension'!F50</f>
        <v>0</v>
      </c>
      <c r="JX50" s="39" t="str">
        <f>'Por Valoracion (3) Dimension 2'!H50</f>
        <v>0</v>
      </c>
      <c r="KS50" s="47"/>
    </row>
    <row r="51" spans="1:305">
      <c r="A51" s="38"/>
      <c r="C51" t="str">
        <f>('Inteligencia emocional'!A52)</f>
        <v>0</v>
      </c>
      <c r="D51" s="39" t="str">
        <f>'Por Valoracion (3) Dimension'!B51</f>
        <v>0</v>
      </c>
      <c r="E51" s="39" t="str">
        <f>'Por Valoracion (3) Dimension 2'!B51</f>
        <v>0</v>
      </c>
      <c r="Z51" s="38"/>
      <c r="AB51" t="str">
        <f>('Inteligencia emocional'!A52)</f>
        <v>0</v>
      </c>
      <c r="AC51" s="39" t="str">
        <f>'Por Valoracion (3) Dimension'!B51</f>
        <v>0</v>
      </c>
      <c r="AD51" s="39" t="str">
        <f>'Por Valoracion (3) Dimension 2'!D51</f>
        <v>0</v>
      </c>
      <c r="AY51" s="38"/>
      <c r="BA51" t="str">
        <f>('Inteligencia emocional'!A52)</f>
        <v>0</v>
      </c>
      <c r="BB51" s="39" t="str">
        <f>'Por Valoracion (3) Dimension'!B51</f>
        <v>0</v>
      </c>
      <c r="BC51" s="39" t="str">
        <f>'Por Valoracion (3) Dimension 2'!F51</f>
        <v>0</v>
      </c>
      <c r="BX51" s="38"/>
      <c r="BZ51" t="str">
        <f>('Inteligencia emocional'!A52)</f>
        <v>0</v>
      </c>
      <c r="CA51" s="39" t="str">
        <f>'Por Valoracion (3) Dimension'!B51</f>
        <v>0</v>
      </c>
      <c r="CB51" s="39" t="str">
        <f>'Por Valoracion (3) Dimension 2'!H51</f>
        <v>0</v>
      </c>
      <c r="CW51" s="38"/>
      <c r="CY51" s="46"/>
      <c r="DA51" t="str">
        <f>('Inteligencia emocional'!A52)</f>
        <v>0</v>
      </c>
      <c r="DB51" s="39" t="str">
        <f>'Por Valoracion (3) Dimension'!D51</f>
        <v>0</v>
      </c>
      <c r="DC51" s="39" t="str">
        <f>'Por Valoracion (3) Dimension 2'!B51</f>
        <v>0</v>
      </c>
      <c r="DX51" s="46"/>
      <c r="DZ51" t="str">
        <f>('Inteligencia emocional'!A52)</f>
        <v>0</v>
      </c>
      <c r="EA51" s="39" t="str">
        <f>'Por Valoracion (3) Dimension'!D51</f>
        <v>0</v>
      </c>
      <c r="EB51" s="39" t="str">
        <f>'Por Valoracion (3) Dimension 2'!D51</f>
        <v>0</v>
      </c>
      <c r="EW51" s="46"/>
      <c r="EY51" t="str">
        <f>('Inteligencia emocional'!A52)</f>
        <v>0</v>
      </c>
      <c r="EZ51" s="39" t="str">
        <f>'Por Valoracion (3) Dimension'!D51</f>
        <v>0</v>
      </c>
      <c r="FA51" s="39" t="str">
        <f>'Por Valoracion (3) Dimension 2'!F51</f>
        <v>0</v>
      </c>
      <c r="FV51" s="46"/>
      <c r="FX51" t="str">
        <f>('Inteligencia emocional'!A52)</f>
        <v>0</v>
      </c>
      <c r="FY51" s="39" t="str">
        <f>'Por Valoracion (3) Dimension'!D51</f>
        <v>0</v>
      </c>
      <c r="FZ51" s="39" t="str">
        <f>'Por Valoracion (3) Dimension 2'!H51</f>
        <v>0</v>
      </c>
      <c r="GU51" s="46"/>
      <c r="GW51" s="47"/>
      <c r="GY51" t="str">
        <f>('Inteligencia emocional'!A52)</f>
        <v>0</v>
      </c>
      <c r="GZ51" s="39" t="str">
        <f>'Por Valoracion (3) Dimension'!F51</f>
        <v>0</v>
      </c>
      <c r="HA51" s="39" t="str">
        <f>'Por Valoracion (3) Dimension 2'!B51</f>
        <v>0</v>
      </c>
      <c r="HV51" s="47"/>
      <c r="HX51" t="str">
        <f>('Inteligencia emocional'!A52)</f>
        <v>0</v>
      </c>
      <c r="HY51" s="39" t="str">
        <f>'Por Valoracion (3) Dimension'!F51</f>
        <v>0</v>
      </c>
      <c r="HZ51" s="39" t="str">
        <f>'Por Valoracion (3) Dimension 2'!D51</f>
        <v>0</v>
      </c>
      <c r="IU51" s="47"/>
      <c r="IW51" t="str">
        <f>('Inteligencia emocional'!A52)</f>
        <v>0</v>
      </c>
      <c r="IX51" s="39" t="str">
        <f>'Por Valoracion (3) Dimension'!F51</f>
        <v>0</v>
      </c>
      <c r="IY51" s="39" t="str">
        <f>'Por Valoracion (3) Dimension 2'!F51</f>
        <v>0</v>
      </c>
      <c r="JT51" s="47"/>
      <c r="JV51" t="str">
        <f>('Inteligencia emocional'!A52)</f>
        <v>0</v>
      </c>
      <c r="JW51" s="39" t="str">
        <f>'Por Valoracion (3) Dimension'!F51</f>
        <v>0</v>
      </c>
      <c r="JX51" s="39" t="str">
        <f>'Por Valoracion (3) Dimension 2'!H51</f>
        <v>0</v>
      </c>
      <c r="KS51" s="47"/>
    </row>
    <row r="52" spans="1:305">
      <c r="A52" s="38"/>
      <c r="C52" t="str">
        <f>('Inteligencia emocional'!A53)</f>
        <v>0</v>
      </c>
      <c r="D52" s="39" t="str">
        <f>'Por Valoracion (3) Dimension'!B52</f>
        <v>0</v>
      </c>
      <c r="E52" s="39" t="str">
        <f>'Por Valoracion (3) Dimension 2'!B52</f>
        <v>0</v>
      </c>
      <c r="Z52" s="38"/>
      <c r="AB52" t="str">
        <f>('Inteligencia emocional'!A53)</f>
        <v>0</v>
      </c>
      <c r="AC52" s="39" t="str">
        <f>'Por Valoracion (3) Dimension'!B52</f>
        <v>0</v>
      </c>
      <c r="AD52" s="39" t="str">
        <f>'Por Valoracion (3) Dimension 2'!D52</f>
        <v>0</v>
      </c>
      <c r="AY52" s="38"/>
      <c r="BA52" t="str">
        <f>('Inteligencia emocional'!A53)</f>
        <v>0</v>
      </c>
      <c r="BB52" s="39" t="str">
        <f>'Por Valoracion (3) Dimension'!B52</f>
        <v>0</v>
      </c>
      <c r="BC52" s="39" t="str">
        <f>'Por Valoracion (3) Dimension 2'!F52</f>
        <v>0</v>
      </c>
      <c r="BX52" s="38"/>
      <c r="BZ52" t="str">
        <f>('Inteligencia emocional'!A53)</f>
        <v>0</v>
      </c>
      <c r="CA52" s="39" t="str">
        <f>'Por Valoracion (3) Dimension'!B52</f>
        <v>0</v>
      </c>
      <c r="CB52" s="39" t="str">
        <f>'Por Valoracion (3) Dimension 2'!H52</f>
        <v>0</v>
      </c>
      <c r="CW52" s="38"/>
      <c r="CY52" s="46"/>
      <c r="DA52" t="str">
        <f>('Inteligencia emocional'!A53)</f>
        <v>0</v>
      </c>
      <c r="DB52" s="39" t="str">
        <f>'Por Valoracion (3) Dimension'!D52</f>
        <v>0</v>
      </c>
      <c r="DC52" s="39" t="str">
        <f>'Por Valoracion (3) Dimension 2'!B52</f>
        <v>0</v>
      </c>
      <c r="DX52" s="46"/>
      <c r="DZ52" t="str">
        <f>('Inteligencia emocional'!A53)</f>
        <v>0</v>
      </c>
      <c r="EA52" s="39" t="str">
        <f>'Por Valoracion (3) Dimension'!D52</f>
        <v>0</v>
      </c>
      <c r="EB52" s="39" t="str">
        <f>'Por Valoracion (3) Dimension 2'!D52</f>
        <v>0</v>
      </c>
      <c r="EW52" s="46"/>
      <c r="EY52" t="str">
        <f>('Inteligencia emocional'!A53)</f>
        <v>0</v>
      </c>
      <c r="EZ52" s="39" t="str">
        <f>'Por Valoracion (3) Dimension'!D52</f>
        <v>0</v>
      </c>
      <c r="FA52" s="39" t="str">
        <f>'Por Valoracion (3) Dimension 2'!F52</f>
        <v>0</v>
      </c>
      <c r="FV52" s="46"/>
      <c r="FX52" t="str">
        <f>('Inteligencia emocional'!A53)</f>
        <v>0</v>
      </c>
      <c r="FY52" s="39" t="str">
        <f>'Por Valoracion (3) Dimension'!D52</f>
        <v>0</v>
      </c>
      <c r="FZ52" s="39" t="str">
        <f>'Por Valoracion (3) Dimension 2'!H52</f>
        <v>0</v>
      </c>
      <c r="GU52" s="46"/>
      <c r="GW52" s="47"/>
      <c r="GY52" t="str">
        <f>('Inteligencia emocional'!A53)</f>
        <v>0</v>
      </c>
      <c r="GZ52" s="39" t="str">
        <f>'Por Valoracion (3) Dimension'!F52</f>
        <v>0</v>
      </c>
      <c r="HA52" s="39" t="str">
        <f>'Por Valoracion (3) Dimension 2'!B52</f>
        <v>0</v>
      </c>
      <c r="HV52" s="47"/>
      <c r="HX52" t="str">
        <f>('Inteligencia emocional'!A53)</f>
        <v>0</v>
      </c>
      <c r="HY52" s="39" t="str">
        <f>'Por Valoracion (3) Dimension'!F52</f>
        <v>0</v>
      </c>
      <c r="HZ52" s="39" t="str">
        <f>'Por Valoracion (3) Dimension 2'!D52</f>
        <v>0</v>
      </c>
      <c r="IU52" s="47"/>
      <c r="IW52" t="str">
        <f>('Inteligencia emocional'!A53)</f>
        <v>0</v>
      </c>
      <c r="IX52" s="39" t="str">
        <f>'Por Valoracion (3) Dimension'!F52</f>
        <v>0</v>
      </c>
      <c r="IY52" s="39" t="str">
        <f>'Por Valoracion (3) Dimension 2'!F52</f>
        <v>0</v>
      </c>
      <c r="JT52" s="47"/>
      <c r="JV52" t="str">
        <f>('Inteligencia emocional'!A53)</f>
        <v>0</v>
      </c>
      <c r="JW52" s="39" t="str">
        <f>'Por Valoracion (3) Dimension'!F52</f>
        <v>0</v>
      </c>
      <c r="JX52" s="39" t="str">
        <f>'Por Valoracion (3) Dimension 2'!H52</f>
        <v>0</v>
      </c>
      <c r="KS52" s="47"/>
    </row>
    <row r="53" spans="1:305">
      <c r="A53" s="38"/>
      <c r="C53" t="str">
        <f>('Inteligencia emocional'!A54)</f>
        <v>0</v>
      </c>
      <c r="D53" s="39" t="str">
        <f>'Por Valoracion (3) Dimension'!B53</f>
        <v>0</v>
      </c>
      <c r="E53" s="39" t="str">
        <f>'Por Valoracion (3) Dimension 2'!B53</f>
        <v>0</v>
      </c>
      <c r="Z53" s="38"/>
      <c r="AB53" t="str">
        <f>('Inteligencia emocional'!A54)</f>
        <v>0</v>
      </c>
      <c r="AC53" s="39" t="str">
        <f>'Por Valoracion (3) Dimension'!B53</f>
        <v>0</v>
      </c>
      <c r="AD53" s="39" t="str">
        <f>'Por Valoracion (3) Dimension 2'!D53</f>
        <v>0</v>
      </c>
      <c r="AY53" s="38"/>
      <c r="BA53" t="str">
        <f>('Inteligencia emocional'!A54)</f>
        <v>0</v>
      </c>
      <c r="BB53" s="39" t="str">
        <f>'Por Valoracion (3) Dimension'!B53</f>
        <v>0</v>
      </c>
      <c r="BC53" s="39" t="str">
        <f>'Por Valoracion (3) Dimension 2'!F53</f>
        <v>0</v>
      </c>
      <c r="BX53" s="38"/>
      <c r="BZ53" t="str">
        <f>('Inteligencia emocional'!A54)</f>
        <v>0</v>
      </c>
      <c r="CA53" s="39" t="str">
        <f>'Por Valoracion (3) Dimension'!B53</f>
        <v>0</v>
      </c>
      <c r="CB53" s="39" t="str">
        <f>'Por Valoracion (3) Dimension 2'!H53</f>
        <v>0</v>
      </c>
      <c r="CW53" s="38"/>
      <c r="CY53" s="46"/>
      <c r="DA53" t="str">
        <f>('Inteligencia emocional'!A54)</f>
        <v>0</v>
      </c>
      <c r="DB53" s="39" t="str">
        <f>'Por Valoracion (3) Dimension'!D53</f>
        <v>0</v>
      </c>
      <c r="DC53" s="39" t="str">
        <f>'Por Valoracion (3) Dimension 2'!B53</f>
        <v>0</v>
      </c>
      <c r="DX53" s="46"/>
      <c r="DZ53" t="str">
        <f>('Inteligencia emocional'!A54)</f>
        <v>0</v>
      </c>
      <c r="EA53" s="39" t="str">
        <f>'Por Valoracion (3) Dimension'!D53</f>
        <v>0</v>
      </c>
      <c r="EB53" s="39" t="str">
        <f>'Por Valoracion (3) Dimension 2'!D53</f>
        <v>0</v>
      </c>
      <c r="EW53" s="46"/>
      <c r="EY53" t="str">
        <f>('Inteligencia emocional'!A54)</f>
        <v>0</v>
      </c>
      <c r="EZ53" s="39" t="str">
        <f>'Por Valoracion (3) Dimension'!D53</f>
        <v>0</v>
      </c>
      <c r="FA53" s="39" t="str">
        <f>'Por Valoracion (3) Dimension 2'!F53</f>
        <v>0</v>
      </c>
      <c r="FV53" s="46"/>
      <c r="FX53" t="str">
        <f>('Inteligencia emocional'!A54)</f>
        <v>0</v>
      </c>
      <c r="FY53" s="39" t="str">
        <f>'Por Valoracion (3) Dimension'!D53</f>
        <v>0</v>
      </c>
      <c r="FZ53" s="39" t="str">
        <f>'Por Valoracion (3) Dimension 2'!H53</f>
        <v>0</v>
      </c>
      <c r="GU53" s="46"/>
      <c r="GW53" s="47"/>
      <c r="GY53" t="str">
        <f>('Inteligencia emocional'!A54)</f>
        <v>0</v>
      </c>
      <c r="GZ53" s="39" t="str">
        <f>'Por Valoracion (3) Dimension'!F53</f>
        <v>0</v>
      </c>
      <c r="HA53" s="39" t="str">
        <f>'Por Valoracion (3) Dimension 2'!B53</f>
        <v>0</v>
      </c>
      <c r="HV53" s="47"/>
      <c r="HX53" t="str">
        <f>('Inteligencia emocional'!A54)</f>
        <v>0</v>
      </c>
      <c r="HY53" s="39" t="str">
        <f>'Por Valoracion (3) Dimension'!F53</f>
        <v>0</v>
      </c>
      <c r="HZ53" s="39" t="str">
        <f>'Por Valoracion (3) Dimension 2'!D53</f>
        <v>0</v>
      </c>
      <c r="IU53" s="47"/>
      <c r="IW53" t="str">
        <f>('Inteligencia emocional'!A54)</f>
        <v>0</v>
      </c>
      <c r="IX53" s="39" t="str">
        <f>'Por Valoracion (3) Dimension'!F53</f>
        <v>0</v>
      </c>
      <c r="IY53" s="39" t="str">
        <f>'Por Valoracion (3) Dimension 2'!F53</f>
        <v>0</v>
      </c>
      <c r="JT53" s="47"/>
      <c r="JV53" t="str">
        <f>('Inteligencia emocional'!A54)</f>
        <v>0</v>
      </c>
      <c r="JW53" s="39" t="str">
        <f>'Por Valoracion (3) Dimension'!F53</f>
        <v>0</v>
      </c>
      <c r="JX53" s="39" t="str">
        <f>'Por Valoracion (3) Dimension 2'!H53</f>
        <v>0</v>
      </c>
      <c r="KS53" s="47"/>
    </row>
    <row r="54" spans="1:305">
      <c r="A54" s="38"/>
      <c r="C54" t="str">
        <f>('Inteligencia emocional'!A55)</f>
        <v>0</v>
      </c>
      <c r="D54" s="39" t="str">
        <f>'Por Valoracion (3) Dimension'!B54</f>
        <v>0</v>
      </c>
      <c r="E54" s="39" t="str">
        <f>'Por Valoracion (3) Dimension 2'!B54</f>
        <v>0</v>
      </c>
      <c r="Z54" s="38"/>
      <c r="AB54" t="str">
        <f>('Inteligencia emocional'!A55)</f>
        <v>0</v>
      </c>
      <c r="AC54" s="39" t="str">
        <f>'Por Valoracion (3) Dimension'!B54</f>
        <v>0</v>
      </c>
      <c r="AD54" s="39" t="str">
        <f>'Por Valoracion (3) Dimension 2'!D54</f>
        <v>0</v>
      </c>
      <c r="AY54" s="38"/>
      <c r="BA54" t="str">
        <f>('Inteligencia emocional'!A55)</f>
        <v>0</v>
      </c>
      <c r="BB54" s="39" t="str">
        <f>'Por Valoracion (3) Dimension'!B54</f>
        <v>0</v>
      </c>
      <c r="BC54" s="39" t="str">
        <f>'Por Valoracion (3) Dimension 2'!F54</f>
        <v>0</v>
      </c>
      <c r="BX54" s="38"/>
      <c r="BZ54" t="str">
        <f>('Inteligencia emocional'!A55)</f>
        <v>0</v>
      </c>
      <c r="CA54" s="39" t="str">
        <f>'Por Valoracion (3) Dimension'!B54</f>
        <v>0</v>
      </c>
      <c r="CB54" s="39" t="str">
        <f>'Por Valoracion (3) Dimension 2'!H54</f>
        <v>0</v>
      </c>
      <c r="CW54" s="38"/>
      <c r="CY54" s="46"/>
      <c r="DA54" t="str">
        <f>('Inteligencia emocional'!A55)</f>
        <v>0</v>
      </c>
      <c r="DB54" s="39" t="str">
        <f>'Por Valoracion (3) Dimension'!D54</f>
        <v>0</v>
      </c>
      <c r="DC54" s="39" t="str">
        <f>'Por Valoracion (3) Dimension 2'!B54</f>
        <v>0</v>
      </c>
      <c r="DX54" s="46"/>
      <c r="DZ54" t="str">
        <f>('Inteligencia emocional'!A55)</f>
        <v>0</v>
      </c>
      <c r="EA54" s="39" t="str">
        <f>'Por Valoracion (3) Dimension'!D54</f>
        <v>0</v>
      </c>
      <c r="EB54" s="39" t="str">
        <f>'Por Valoracion (3) Dimension 2'!D54</f>
        <v>0</v>
      </c>
      <c r="EW54" s="46"/>
      <c r="EY54" t="str">
        <f>('Inteligencia emocional'!A55)</f>
        <v>0</v>
      </c>
      <c r="EZ54" s="39" t="str">
        <f>'Por Valoracion (3) Dimension'!D54</f>
        <v>0</v>
      </c>
      <c r="FA54" s="39" t="str">
        <f>'Por Valoracion (3) Dimension 2'!F54</f>
        <v>0</v>
      </c>
      <c r="FV54" s="46"/>
      <c r="FX54" t="str">
        <f>('Inteligencia emocional'!A55)</f>
        <v>0</v>
      </c>
      <c r="FY54" s="39" t="str">
        <f>'Por Valoracion (3) Dimension'!D54</f>
        <v>0</v>
      </c>
      <c r="FZ54" s="39" t="str">
        <f>'Por Valoracion (3) Dimension 2'!H54</f>
        <v>0</v>
      </c>
      <c r="GU54" s="46"/>
      <c r="GW54" s="47"/>
      <c r="GY54" t="str">
        <f>('Inteligencia emocional'!A55)</f>
        <v>0</v>
      </c>
      <c r="GZ54" s="39" t="str">
        <f>'Por Valoracion (3) Dimension'!F54</f>
        <v>0</v>
      </c>
      <c r="HA54" s="39" t="str">
        <f>'Por Valoracion (3) Dimension 2'!B54</f>
        <v>0</v>
      </c>
      <c r="HV54" s="47"/>
      <c r="HX54" t="str">
        <f>('Inteligencia emocional'!A55)</f>
        <v>0</v>
      </c>
      <c r="HY54" s="39" t="str">
        <f>'Por Valoracion (3) Dimension'!F54</f>
        <v>0</v>
      </c>
      <c r="HZ54" s="39" t="str">
        <f>'Por Valoracion (3) Dimension 2'!D54</f>
        <v>0</v>
      </c>
      <c r="IU54" s="47"/>
      <c r="IW54" t="str">
        <f>('Inteligencia emocional'!A55)</f>
        <v>0</v>
      </c>
      <c r="IX54" s="39" t="str">
        <f>'Por Valoracion (3) Dimension'!F54</f>
        <v>0</v>
      </c>
      <c r="IY54" s="39" t="str">
        <f>'Por Valoracion (3) Dimension 2'!F54</f>
        <v>0</v>
      </c>
      <c r="JT54" s="47"/>
      <c r="JV54" t="str">
        <f>('Inteligencia emocional'!A55)</f>
        <v>0</v>
      </c>
      <c r="JW54" s="39" t="str">
        <f>'Por Valoracion (3) Dimension'!F54</f>
        <v>0</v>
      </c>
      <c r="JX54" s="39" t="str">
        <f>'Por Valoracion (3) Dimension 2'!H54</f>
        <v>0</v>
      </c>
      <c r="KS54" s="47"/>
    </row>
    <row r="55" spans="1:305">
      <c r="A55" s="38"/>
      <c r="C55" t="str">
        <f>('Inteligencia emocional'!A56)</f>
        <v>0</v>
      </c>
      <c r="D55" s="39" t="str">
        <f>'Por Valoracion (3) Dimension'!B55</f>
        <v>0</v>
      </c>
      <c r="E55" s="39" t="str">
        <f>'Por Valoracion (3) Dimension 2'!B55</f>
        <v>0</v>
      </c>
      <c r="Z55" s="38"/>
      <c r="AB55" t="str">
        <f>('Inteligencia emocional'!A56)</f>
        <v>0</v>
      </c>
      <c r="AC55" s="39" t="str">
        <f>'Por Valoracion (3) Dimension'!B55</f>
        <v>0</v>
      </c>
      <c r="AD55" s="39" t="str">
        <f>'Por Valoracion (3) Dimension 2'!D55</f>
        <v>0</v>
      </c>
      <c r="AY55" s="38"/>
      <c r="BA55" t="str">
        <f>('Inteligencia emocional'!A56)</f>
        <v>0</v>
      </c>
      <c r="BB55" s="39" t="str">
        <f>'Por Valoracion (3) Dimension'!B55</f>
        <v>0</v>
      </c>
      <c r="BC55" s="39" t="str">
        <f>'Por Valoracion (3) Dimension 2'!F55</f>
        <v>0</v>
      </c>
      <c r="BX55" s="38"/>
      <c r="BZ55" t="str">
        <f>('Inteligencia emocional'!A56)</f>
        <v>0</v>
      </c>
      <c r="CA55" s="39" t="str">
        <f>'Por Valoracion (3) Dimension'!B55</f>
        <v>0</v>
      </c>
      <c r="CB55" s="39" t="str">
        <f>'Por Valoracion (3) Dimension 2'!H55</f>
        <v>0</v>
      </c>
      <c r="CW55" s="38"/>
      <c r="CY55" s="46"/>
      <c r="DA55" t="str">
        <f>('Inteligencia emocional'!A56)</f>
        <v>0</v>
      </c>
      <c r="DB55" s="39" t="str">
        <f>'Por Valoracion (3) Dimension'!D55</f>
        <v>0</v>
      </c>
      <c r="DC55" s="39" t="str">
        <f>'Por Valoracion (3) Dimension 2'!B55</f>
        <v>0</v>
      </c>
      <c r="DX55" s="46"/>
      <c r="DZ55" t="str">
        <f>('Inteligencia emocional'!A56)</f>
        <v>0</v>
      </c>
      <c r="EA55" s="39" t="str">
        <f>'Por Valoracion (3) Dimension'!D55</f>
        <v>0</v>
      </c>
      <c r="EB55" s="39" t="str">
        <f>'Por Valoracion (3) Dimension 2'!D55</f>
        <v>0</v>
      </c>
      <c r="EW55" s="46"/>
      <c r="EY55" t="str">
        <f>('Inteligencia emocional'!A56)</f>
        <v>0</v>
      </c>
      <c r="EZ55" s="39" t="str">
        <f>'Por Valoracion (3) Dimension'!D55</f>
        <v>0</v>
      </c>
      <c r="FA55" s="39" t="str">
        <f>'Por Valoracion (3) Dimension 2'!F55</f>
        <v>0</v>
      </c>
      <c r="FV55" s="46"/>
      <c r="FX55" t="str">
        <f>('Inteligencia emocional'!A56)</f>
        <v>0</v>
      </c>
      <c r="FY55" s="39" t="str">
        <f>'Por Valoracion (3) Dimension'!D55</f>
        <v>0</v>
      </c>
      <c r="FZ55" s="39" t="str">
        <f>'Por Valoracion (3) Dimension 2'!H55</f>
        <v>0</v>
      </c>
      <c r="GU55" s="46"/>
      <c r="GW55" s="47"/>
      <c r="GY55" t="str">
        <f>('Inteligencia emocional'!A56)</f>
        <v>0</v>
      </c>
      <c r="GZ55" s="39" t="str">
        <f>'Por Valoracion (3) Dimension'!F55</f>
        <v>0</v>
      </c>
      <c r="HA55" s="39" t="str">
        <f>'Por Valoracion (3) Dimension 2'!B55</f>
        <v>0</v>
      </c>
      <c r="HV55" s="47"/>
      <c r="HX55" t="str">
        <f>('Inteligencia emocional'!A56)</f>
        <v>0</v>
      </c>
      <c r="HY55" s="39" t="str">
        <f>'Por Valoracion (3) Dimension'!F55</f>
        <v>0</v>
      </c>
      <c r="HZ55" s="39" t="str">
        <f>'Por Valoracion (3) Dimension 2'!D55</f>
        <v>0</v>
      </c>
      <c r="IU55" s="47"/>
      <c r="IW55" t="str">
        <f>('Inteligencia emocional'!A56)</f>
        <v>0</v>
      </c>
      <c r="IX55" s="39" t="str">
        <f>'Por Valoracion (3) Dimension'!F55</f>
        <v>0</v>
      </c>
      <c r="IY55" s="39" t="str">
        <f>'Por Valoracion (3) Dimension 2'!F55</f>
        <v>0</v>
      </c>
      <c r="JT55" s="47"/>
      <c r="JV55" t="str">
        <f>('Inteligencia emocional'!A56)</f>
        <v>0</v>
      </c>
      <c r="JW55" s="39" t="str">
        <f>'Por Valoracion (3) Dimension'!F55</f>
        <v>0</v>
      </c>
      <c r="JX55" s="39" t="str">
        <f>'Por Valoracion (3) Dimension 2'!H55</f>
        <v>0</v>
      </c>
      <c r="KS55" s="47"/>
    </row>
    <row r="56" spans="1:305">
      <c r="A56" s="38"/>
      <c r="C56" t="str">
        <f>('Inteligencia emocional'!A57)</f>
        <v>0</v>
      </c>
      <c r="D56" s="39" t="str">
        <f>'Por Valoracion (3) Dimension'!B56</f>
        <v>0</v>
      </c>
      <c r="E56" s="39" t="str">
        <f>'Por Valoracion (3) Dimension 2'!B56</f>
        <v>0</v>
      </c>
      <c r="Z56" s="38"/>
      <c r="AB56" t="str">
        <f>('Inteligencia emocional'!A57)</f>
        <v>0</v>
      </c>
      <c r="AC56" s="39" t="str">
        <f>'Por Valoracion (3) Dimension'!B56</f>
        <v>0</v>
      </c>
      <c r="AD56" s="39" t="str">
        <f>'Por Valoracion (3) Dimension 2'!D56</f>
        <v>0</v>
      </c>
      <c r="AY56" s="38"/>
      <c r="BA56" t="str">
        <f>('Inteligencia emocional'!A57)</f>
        <v>0</v>
      </c>
      <c r="BB56" s="39" t="str">
        <f>'Por Valoracion (3) Dimension'!B56</f>
        <v>0</v>
      </c>
      <c r="BC56" s="39" t="str">
        <f>'Por Valoracion (3) Dimension 2'!F56</f>
        <v>0</v>
      </c>
      <c r="BX56" s="38"/>
      <c r="BZ56" t="str">
        <f>('Inteligencia emocional'!A57)</f>
        <v>0</v>
      </c>
      <c r="CA56" s="39" t="str">
        <f>'Por Valoracion (3) Dimension'!B56</f>
        <v>0</v>
      </c>
      <c r="CB56" s="39" t="str">
        <f>'Por Valoracion (3) Dimension 2'!H56</f>
        <v>0</v>
      </c>
      <c r="CW56" s="38"/>
      <c r="CY56" s="46"/>
      <c r="DA56" t="str">
        <f>('Inteligencia emocional'!A57)</f>
        <v>0</v>
      </c>
      <c r="DB56" s="39" t="str">
        <f>'Por Valoracion (3) Dimension'!D56</f>
        <v>0</v>
      </c>
      <c r="DC56" s="39" t="str">
        <f>'Por Valoracion (3) Dimension 2'!B56</f>
        <v>0</v>
      </c>
      <c r="DX56" s="46"/>
      <c r="DZ56" t="str">
        <f>('Inteligencia emocional'!A57)</f>
        <v>0</v>
      </c>
      <c r="EA56" s="39" t="str">
        <f>'Por Valoracion (3) Dimension'!D56</f>
        <v>0</v>
      </c>
      <c r="EB56" s="39" t="str">
        <f>'Por Valoracion (3) Dimension 2'!D56</f>
        <v>0</v>
      </c>
      <c r="EW56" s="46"/>
      <c r="EY56" t="str">
        <f>('Inteligencia emocional'!A57)</f>
        <v>0</v>
      </c>
      <c r="EZ56" s="39" t="str">
        <f>'Por Valoracion (3) Dimension'!D56</f>
        <v>0</v>
      </c>
      <c r="FA56" s="39" t="str">
        <f>'Por Valoracion (3) Dimension 2'!F56</f>
        <v>0</v>
      </c>
      <c r="FV56" s="46"/>
      <c r="FX56" t="str">
        <f>('Inteligencia emocional'!A57)</f>
        <v>0</v>
      </c>
      <c r="FY56" s="39" t="str">
        <f>'Por Valoracion (3) Dimension'!D56</f>
        <v>0</v>
      </c>
      <c r="FZ56" s="39" t="str">
        <f>'Por Valoracion (3) Dimension 2'!H56</f>
        <v>0</v>
      </c>
      <c r="GU56" s="46"/>
      <c r="GW56" s="47"/>
      <c r="GY56" t="str">
        <f>('Inteligencia emocional'!A57)</f>
        <v>0</v>
      </c>
      <c r="GZ56" s="39" t="str">
        <f>'Por Valoracion (3) Dimension'!F56</f>
        <v>0</v>
      </c>
      <c r="HA56" s="39" t="str">
        <f>'Por Valoracion (3) Dimension 2'!B56</f>
        <v>0</v>
      </c>
      <c r="HV56" s="47"/>
      <c r="HX56" t="str">
        <f>('Inteligencia emocional'!A57)</f>
        <v>0</v>
      </c>
      <c r="HY56" s="39" t="str">
        <f>'Por Valoracion (3) Dimension'!F56</f>
        <v>0</v>
      </c>
      <c r="HZ56" s="39" t="str">
        <f>'Por Valoracion (3) Dimension 2'!D56</f>
        <v>0</v>
      </c>
      <c r="IU56" s="47"/>
      <c r="IW56" t="str">
        <f>('Inteligencia emocional'!A57)</f>
        <v>0</v>
      </c>
      <c r="IX56" s="39" t="str">
        <f>'Por Valoracion (3) Dimension'!F56</f>
        <v>0</v>
      </c>
      <c r="IY56" s="39" t="str">
        <f>'Por Valoracion (3) Dimension 2'!F56</f>
        <v>0</v>
      </c>
      <c r="JT56" s="47"/>
      <c r="JV56" t="str">
        <f>('Inteligencia emocional'!A57)</f>
        <v>0</v>
      </c>
      <c r="JW56" s="39" t="str">
        <f>'Por Valoracion (3) Dimension'!F56</f>
        <v>0</v>
      </c>
      <c r="JX56" s="39" t="str">
        <f>'Por Valoracion (3) Dimension 2'!H56</f>
        <v>0</v>
      </c>
      <c r="KS56" s="47"/>
    </row>
    <row r="57" spans="1:305">
      <c r="A57" s="38"/>
      <c r="C57" t="str">
        <f>('Inteligencia emocional'!A58)</f>
        <v>0</v>
      </c>
      <c r="D57" s="39" t="str">
        <f>'Por Valoracion (3) Dimension'!B57</f>
        <v>0</v>
      </c>
      <c r="E57" s="39" t="str">
        <f>'Por Valoracion (3) Dimension 2'!B57</f>
        <v>0</v>
      </c>
      <c r="Z57" s="38"/>
      <c r="AB57" t="str">
        <f>('Inteligencia emocional'!A58)</f>
        <v>0</v>
      </c>
      <c r="AC57" s="39" t="str">
        <f>'Por Valoracion (3) Dimension'!B57</f>
        <v>0</v>
      </c>
      <c r="AD57" s="39" t="str">
        <f>'Por Valoracion (3) Dimension 2'!D57</f>
        <v>0</v>
      </c>
      <c r="AY57" s="38"/>
      <c r="BA57" t="str">
        <f>('Inteligencia emocional'!A58)</f>
        <v>0</v>
      </c>
      <c r="BB57" s="39" t="str">
        <f>'Por Valoracion (3) Dimension'!B57</f>
        <v>0</v>
      </c>
      <c r="BC57" s="39" t="str">
        <f>'Por Valoracion (3) Dimension 2'!F57</f>
        <v>0</v>
      </c>
      <c r="BX57" s="38"/>
      <c r="BZ57" t="str">
        <f>('Inteligencia emocional'!A58)</f>
        <v>0</v>
      </c>
      <c r="CA57" s="39" t="str">
        <f>'Por Valoracion (3) Dimension'!B57</f>
        <v>0</v>
      </c>
      <c r="CB57" s="39" t="str">
        <f>'Por Valoracion (3) Dimension 2'!H57</f>
        <v>0</v>
      </c>
      <c r="CW57" s="38"/>
      <c r="CY57" s="46"/>
      <c r="DA57" t="str">
        <f>('Inteligencia emocional'!A58)</f>
        <v>0</v>
      </c>
      <c r="DB57" s="39" t="str">
        <f>'Por Valoracion (3) Dimension'!D57</f>
        <v>0</v>
      </c>
      <c r="DC57" s="39" t="str">
        <f>'Por Valoracion (3) Dimension 2'!B57</f>
        <v>0</v>
      </c>
      <c r="DX57" s="46"/>
      <c r="DZ57" t="str">
        <f>('Inteligencia emocional'!A58)</f>
        <v>0</v>
      </c>
      <c r="EA57" s="39" t="str">
        <f>'Por Valoracion (3) Dimension'!D57</f>
        <v>0</v>
      </c>
      <c r="EB57" s="39" t="str">
        <f>'Por Valoracion (3) Dimension 2'!D57</f>
        <v>0</v>
      </c>
      <c r="EW57" s="46"/>
      <c r="EY57" t="str">
        <f>('Inteligencia emocional'!A58)</f>
        <v>0</v>
      </c>
      <c r="EZ57" s="39" t="str">
        <f>'Por Valoracion (3) Dimension'!D57</f>
        <v>0</v>
      </c>
      <c r="FA57" s="39" t="str">
        <f>'Por Valoracion (3) Dimension 2'!F57</f>
        <v>0</v>
      </c>
      <c r="FV57" s="46"/>
      <c r="FX57" t="str">
        <f>('Inteligencia emocional'!A58)</f>
        <v>0</v>
      </c>
      <c r="FY57" s="39" t="str">
        <f>'Por Valoracion (3) Dimension'!D57</f>
        <v>0</v>
      </c>
      <c r="FZ57" s="39" t="str">
        <f>'Por Valoracion (3) Dimension 2'!H57</f>
        <v>0</v>
      </c>
      <c r="GU57" s="46"/>
      <c r="GW57" s="47"/>
      <c r="GY57" t="str">
        <f>('Inteligencia emocional'!A58)</f>
        <v>0</v>
      </c>
      <c r="GZ57" s="39" t="str">
        <f>'Por Valoracion (3) Dimension'!F57</f>
        <v>0</v>
      </c>
      <c r="HA57" s="39" t="str">
        <f>'Por Valoracion (3) Dimension 2'!B57</f>
        <v>0</v>
      </c>
      <c r="HV57" s="47"/>
      <c r="HX57" t="str">
        <f>('Inteligencia emocional'!A58)</f>
        <v>0</v>
      </c>
      <c r="HY57" s="39" t="str">
        <f>'Por Valoracion (3) Dimension'!F57</f>
        <v>0</v>
      </c>
      <c r="HZ57" s="39" t="str">
        <f>'Por Valoracion (3) Dimension 2'!D57</f>
        <v>0</v>
      </c>
      <c r="IU57" s="47"/>
      <c r="IW57" t="str">
        <f>('Inteligencia emocional'!A58)</f>
        <v>0</v>
      </c>
      <c r="IX57" s="39" t="str">
        <f>'Por Valoracion (3) Dimension'!F57</f>
        <v>0</v>
      </c>
      <c r="IY57" s="39" t="str">
        <f>'Por Valoracion (3) Dimension 2'!F57</f>
        <v>0</v>
      </c>
      <c r="JT57" s="47"/>
      <c r="JV57" t="str">
        <f>('Inteligencia emocional'!A58)</f>
        <v>0</v>
      </c>
      <c r="JW57" s="39" t="str">
        <f>'Por Valoracion (3) Dimension'!F57</f>
        <v>0</v>
      </c>
      <c r="JX57" s="39" t="str">
        <f>'Por Valoracion (3) Dimension 2'!H57</f>
        <v>0</v>
      </c>
      <c r="KS57" s="47"/>
    </row>
    <row r="58" spans="1:305">
      <c r="A58" s="38"/>
      <c r="C58" t="str">
        <f>('Inteligencia emocional'!A59)</f>
        <v>0</v>
      </c>
      <c r="D58" s="39" t="str">
        <f>'Por Valoracion (3) Dimension'!B58</f>
        <v>0</v>
      </c>
      <c r="E58" s="39" t="str">
        <f>'Por Valoracion (3) Dimension 2'!B58</f>
        <v>0</v>
      </c>
      <c r="Z58" s="38"/>
      <c r="AB58" t="str">
        <f>('Inteligencia emocional'!A59)</f>
        <v>0</v>
      </c>
      <c r="AC58" s="39" t="str">
        <f>'Por Valoracion (3) Dimension'!B58</f>
        <v>0</v>
      </c>
      <c r="AD58" s="39" t="str">
        <f>'Por Valoracion (3) Dimension 2'!D58</f>
        <v>0</v>
      </c>
      <c r="AY58" s="38"/>
      <c r="BA58" t="str">
        <f>('Inteligencia emocional'!A59)</f>
        <v>0</v>
      </c>
      <c r="BB58" s="39" t="str">
        <f>'Por Valoracion (3) Dimension'!B58</f>
        <v>0</v>
      </c>
      <c r="BC58" s="39" t="str">
        <f>'Por Valoracion (3) Dimension 2'!F58</f>
        <v>0</v>
      </c>
      <c r="BX58" s="38"/>
      <c r="BZ58" t="str">
        <f>('Inteligencia emocional'!A59)</f>
        <v>0</v>
      </c>
      <c r="CA58" s="39" t="str">
        <f>'Por Valoracion (3) Dimension'!B58</f>
        <v>0</v>
      </c>
      <c r="CB58" s="39" t="str">
        <f>'Por Valoracion (3) Dimension 2'!H58</f>
        <v>0</v>
      </c>
      <c r="CW58" s="38"/>
      <c r="CY58" s="46"/>
      <c r="DA58" t="str">
        <f>('Inteligencia emocional'!A59)</f>
        <v>0</v>
      </c>
      <c r="DB58" s="39" t="str">
        <f>'Por Valoracion (3) Dimension'!D58</f>
        <v>0</v>
      </c>
      <c r="DC58" s="39" t="str">
        <f>'Por Valoracion (3) Dimension 2'!B58</f>
        <v>0</v>
      </c>
      <c r="DX58" s="46"/>
      <c r="DZ58" t="str">
        <f>('Inteligencia emocional'!A59)</f>
        <v>0</v>
      </c>
      <c r="EA58" s="39" t="str">
        <f>'Por Valoracion (3) Dimension'!D58</f>
        <v>0</v>
      </c>
      <c r="EB58" s="39" t="str">
        <f>'Por Valoracion (3) Dimension 2'!D58</f>
        <v>0</v>
      </c>
      <c r="EW58" s="46"/>
      <c r="EY58" t="str">
        <f>('Inteligencia emocional'!A59)</f>
        <v>0</v>
      </c>
      <c r="EZ58" s="39" t="str">
        <f>'Por Valoracion (3) Dimension'!D58</f>
        <v>0</v>
      </c>
      <c r="FA58" s="39" t="str">
        <f>'Por Valoracion (3) Dimension 2'!F58</f>
        <v>0</v>
      </c>
      <c r="FV58" s="46"/>
      <c r="FX58" t="str">
        <f>('Inteligencia emocional'!A59)</f>
        <v>0</v>
      </c>
      <c r="FY58" s="39" t="str">
        <f>'Por Valoracion (3) Dimension'!D58</f>
        <v>0</v>
      </c>
      <c r="FZ58" s="39" t="str">
        <f>'Por Valoracion (3) Dimension 2'!H58</f>
        <v>0</v>
      </c>
      <c r="GU58" s="46"/>
      <c r="GW58" s="47"/>
      <c r="GY58" t="str">
        <f>('Inteligencia emocional'!A59)</f>
        <v>0</v>
      </c>
      <c r="GZ58" s="39" t="str">
        <f>'Por Valoracion (3) Dimension'!F58</f>
        <v>0</v>
      </c>
      <c r="HA58" s="39" t="str">
        <f>'Por Valoracion (3) Dimension 2'!B58</f>
        <v>0</v>
      </c>
      <c r="HV58" s="47"/>
      <c r="HX58" t="str">
        <f>('Inteligencia emocional'!A59)</f>
        <v>0</v>
      </c>
      <c r="HY58" s="39" t="str">
        <f>'Por Valoracion (3) Dimension'!F58</f>
        <v>0</v>
      </c>
      <c r="HZ58" s="39" t="str">
        <f>'Por Valoracion (3) Dimension 2'!D58</f>
        <v>0</v>
      </c>
      <c r="IU58" s="47"/>
      <c r="IW58" t="str">
        <f>('Inteligencia emocional'!A59)</f>
        <v>0</v>
      </c>
      <c r="IX58" s="39" t="str">
        <f>'Por Valoracion (3) Dimension'!F58</f>
        <v>0</v>
      </c>
      <c r="IY58" s="39" t="str">
        <f>'Por Valoracion (3) Dimension 2'!F58</f>
        <v>0</v>
      </c>
      <c r="JT58" s="47"/>
      <c r="JV58" t="str">
        <f>('Inteligencia emocional'!A59)</f>
        <v>0</v>
      </c>
      <c r="JW58" s="39" t="str">
        <f>'Por Valoracion (3) Dimension'!F58</f>
        <v>0</v>
      </c>
      <c r="JX58" s="39" t="str">
        <f>'Por Valoracion (3) Dimension 2'!H58</f>
        <v>0</v>
      </c>
      <c r="KS58" s="47"/>
    </row>
    <row r="59" spans="1:305">
      <c r="A59" s="38"/>
      <c r="C59" t="str">
        <f>('Inteligencia emocional'!A60)</f>
        <v>0</v>
      </c>
      <c r="D59" s="39" t="str">
        <f>'Por Valoracion (3) Dimension'!B59</f>
        <v>0</v>
      </c>
      <c r="E59" s="39" t="str">
        <f>'Por Valoracion (3) Dimension 2'!B59</f>
        <v>0</v>
      </c>
      <c r="Z59" s="38"/>
      <c r="AB59" t="str">
        <f>('Inteligencia emocional'!A60)</f>
        <v>0</v>
      </c>
      <c r="AC59" s="39" t="str">
        <f>'Por Valoracion (3) Dimension'!B59</f>
        <v>0</v>
      </c>
      <c r="AD59" s="39" t="str">
        <f>'Por Valoracion (3) Dimension 2'!D59</f>
        <v>0</v>
      </c>
      <c r="AY59" s="38"/>
      <c r="BA59" t="str">
        <f>('Inteligencia emocional'!A60)</f>
        <v>0</v>
      </c>
      <c r="BB59" s="39" t="str">
        <f>'Por Valoracion (3) Dimension'!B59</f>
        <v>0</v>
      </c>
      <c r="BC59" s="39" t="str">
        <f>'Por Valoracion (3) Dimension 2'!F59</f>
        <v>0</v>
      </c>
      <c r="BX59" s="38"/>
      <c r="BZ59" t="str">
        <f>('Inteligencia emocional'!A60)</f>
        <v>0</v>
      </c>
      <c r="CA59" s="39" t="str">
        <f>'Por Valoracion (3) Dimension'!B59</f>
        <v>0</v>
      </c>
      <c r="CB59" s="39" t="str">
        <f>'Por Valoracion (3) Dimension 2'!H59</f>
        <v>0</v>
      </c>
      <c r="CW59" s="38"/>
      <c r="CY59" s="46"/>
      <c r="DA59" t="str">
        <f>('Inteligencia emocional'!A60)</f>
        <v>0</v>
      </c>
      <c r="DB59" s="39" t="str">
        <f>'Por Valoracion (3) Dimension'!D59</f>
        <v>0</v>
      </c>
      <c r="DC59" s="39" t="str">
        <f>'Por Valoracion (3) Dimension 2'!B59</f>
        <v>0</v>
      </c>
      <c r="DX59" s="46"/>
      <c r="DZ59" t="str">
        <f>('Inteligencia emocional'!A60)</f>
        <v>0</v>
      </c>
      <c r="EA59" s="39" t="str">
        <f>'Por Valoracion (3) Dimension'!D59</f>
        <v>0</v>
      </c>
      <c r="EB59" s="39" t="str">
        <f>'Por Valoracion (3) Dimension 2'!D59</f>
        <v>0</v>
      </c>
      <c r="EW59" s="46"/>
      <c r="EY59" t="str">
        <f>('Inteligencia emocional'!A60)</f>
        <v>0</v>
      </c>
      <c r="EZ59" s="39" t="str">
        <f>'Por Valoracion (3) Dimension'!D59</f>
        <v>0</v>
      </c>
      <c r="FA59" s="39" t="str">
        <f>'Por Valoracion (3) Dimension 2'!F59</f>
        <v>0</v>
      </c>
      <c r="FV59" s="46"/>
      <c r="FX59" t="str">
        <f>('Inteligencia emocional'!A60)</f>
        <v>0</v>
      </c>
      <c r="FY59" s="39" t="str">
        <f>'Por Valoracion (3) Dimension'!D59</f>
        <v>0</v>
      </c>
      <c r="FZ59" s="39" t="str">
        <f>'Por Valoracion (3) Dimension 2'!H59</f>
        <v>0</v>
      </c>
      <c r="GU59" s="46"/>
      <c r="GW59" s="47"/>
      <c r="GY59" t="str">
        <f>('Inteligencia emocional'!A60)</f>
        <v>0</v>
      </c>
      <c r="GZ59" s="39" t="str">
        <f>'Por Valoracion (3) Dimension'!F59</f>
        <v>0</v>
      </c>
      <c r="HA59" s="39" t="str">
        <f>'Por Valoracion (3) Dimension 2'!B59</f>
        <v>0</v>
      </c>
      <c r="HV59" s="47"/>
      <c r="HX59" t="str">
        <f>('Inteligencia emocional'!A60)</f>
        <v>0</v>
      </c>
      <c r="HY59" s="39" t="str">
        <f>'Por Valoracion (3) Dimension'!F59</f>
        <v>0</v>
      </c>
      <c r="HZ59" s="39" t="str">
        <f>'Por Valoracion (3) Dimension 2'!D59</f>
        <v>0</v>
      </c>
      <c r="IU59" s="47"/>
      <c r="IW59" t="str">
        <f>('Inteligencia emocional'!A60)</f>
        <v>0</v>
      </c>
      <c r="IX59" s="39" t="str">
        <f>'Por Valoracion (3) Dimension'!F59</f>
        <v>0</v>
      </c>
      <c r="IY59" s="39" t="str">
        <f>'Por Valoracion (3) Dimension 2'!F59</f>
        <v>0</v>
      </c>
      <c r="JT59" s="47"/>
      <c r="JV59" t="str">
        <f>('Inteligencia emocional'!A60)</f>
        <v>0</v>
      </c>
      <c r="JW59" s="39" t="str">
        <f>'Por Valoracion (3) Dimension'!F59</f>
        <v>0</v>
      </c>
      <c r="JX59" s="39" t="str">
        <f>'Por Valoracion (3) Dimension 2'!H59</f>
        <v>0</v>
      </c>
      <c r="KS59" s="47"/>
    </row>
    <row r="60" spans="1:305">
      <c r="A60" s="38"/>
      <c r="C60" t="str">
        <f>('Inteligencia emocional'!A61)</f>
        <v>0</v>
      </c>
      <c r="D60" s="39" t="str">
        <f>'Por Valoracion (3) Dimension'!B60</f>
        <v>0</v>
      </c>
      <c r="E60" s="39" t="str">
        <f>'Por Valoracion (3) Dimension 2'!B60</f>
        <v>0</v>
      </c>
      <c r="Z60" s="38"/>
      <c r="AB60" t="str">
        <f>('Inteligencia emocional'!A61)</f>
        <v>0</v>
      </c>
      <c r="AC60" s="39" t="str">
        <f>'Por Valoracion (3) Dimension'!B60</f>
        <v>0</v>
      </c>
      <c r="AD60" s="39" t="str">
        <f>'Por Valoracion (3) Dimension 2'!D60</f>
        <v>0</v>
      </c>
      <c r="AY60" s="38"/>
      <c r="BA60" t="str">
        <f>('Inteligencia emocional'!A61)</f>
        <v>0</v>
      </c>
      <c r="BB60" s="39" t="str">
        <f>'Por Valoracion (3) Dimension'!B60</f>
        <v>0</v>
      </c>
      <c r="BC60" s="39" t="str">
        <f>'Por Valoracion (3) Dimension 2'!F60</f>
        <v>0</v>
      </c>
      <c r="BX60" s="38"/>
      <c r="BZ60" t="str">
        <f>('Inteligencia emocional'!A61)</f>
        <v>0</v>
      </c>
      <c r="CA60" s="39" t="str">
        <f>'Por Valoracion (3) Dimension'!B60</f>
        <v>0</v>
      </c>
      <c r="CB60" s="39" t="str">
        <f>'Por Valoracion (3) Dimension 2'!H60</f>
        <v>0</v>
      </c>
      <c r="CW60" s="38"/>
      <c r="CY60" s="46"/>
      <c r="DA60" t="str">
        <f>('Inteligencia emocional'!A61)</f>
        <v>0</v>
      </c>
      <c r="DB60" s="39" t="str">
        <f>'Por Valoracion (3) Dimension'!D60</f>
        <v>0</v>
      </c>
      <c r="DC60" s="39" t="str">
        <f>'Por Valoracion (3) Dimension 2'!B60</f>
        <v>0</v>
      </c>
      <c r="DX60" s="46"/>
      <c r="DZ60" t="str">
        <f>('Inteligencia emocional'!A61)</f>
        <v>0</v>
      </c>
      <c r="EA60" s="39" t="str">
        <f>'Por Valoracion (3) Dimension'!D60</f>
        <v>0</v>
      </c>
      <c r="EB60" s="39" t="str">
        <f>'Por Valoracion (3) Dimension 2'!D60</f>
        <v>0</v>
      </c>
      <c r="EW60" s="46"/>
      <c r="EY60" t="str">
        <f>('Inteligencia emocional'!A61)</f>
        <v>0</v>
      </c>
      <c r="EZ60" s="39" t="str">
        <f>'Por Valoracion (3) Dimension'!D60</f>
        <v>0</v>
      </c>
      <c r="FA60" s="39" t="str">
        <f>'Por Valoracion (3) Dimension 2'!F60</f>
        <v>0</v>
      </c>
      <c r="FV60" s="46"/>
      <c r="FX60" t="str">
        <f>('Inteligencia emocional'!A61)</f>
        <v>0</v>
      </c>
      <c r="FY60" s="39" t="str">
        <f>'Por Valoracion (3) Dimension'!D60</f>
        <v>0</v>
      </c>
      <c r="FZ60" s="39" t="str">
        <f>'Por Valoracion (3) Dimension 2'!H60</f>
        <v>0</v>
      </c>
      <c r="GU60" s="46"/>
      <c r="GW60" s="47"/>
      <c r="GY60" t="str">
        <f>('Inteligencia emocional'!A61)</f>
        <v>0</v>
      </c>
      <c r="GZ60" s="39" t="str">
        <f>'Por Valoracion (3) Dimension'!F60</f>
        <v>0</v>
      </c>
      <c r="HA60" s="39" t="str">
        <f>'Por Valoracion (3) Dimension 2'!B60</f>
        <v>0</v>
      </c>
      <c r="HV60" s="47"/>
      <c r="HX60" t="str">
        <f>('Inteligencia emocional'!A61)</f>
        <v>0</v>
      </c>
      <c r="HY60" s="39" t="str">
        <f>'Por Valoracion (3) Dimension'!F60</f>
        <v>0</v>
      </c>
      <c r="HZ60" s="39" t="str">
        <f>'Por Valoracion (3) Dimension 2'!D60</f>
        <v>0</v>
      </c>
      <c r="IU60" s="47"/>
      <c r="IW60" t="str">
        <f>('Inteligencia emocional'!A61)</f>
        <v>0</v>
      </c>
      <c r="IX60" s="39" t="str">
        <f>'Por Valoracion (3) Dimension'!F60</f>
        <v>0</v>
      </c>
      <c r="IY60" s="39" t="str">
        <f>'Por Valoracion (3) Dimension 2'!F60</f>
        <v>0</v>
      </c>
      <c r="JT60" s="47"/>
      <c r="JV60" t="str">
        <f>('Inteligencia emocional'!A61)</f>
        <v>0</v>
      </c>
      <c r="JW60" s="39" t="str">
        <f>'Por Valoracion (3) Dimension'!F60</f>
        <v>0</v>
      </c>
      <c r="JX60" s="39" t="str">
        <f>'Por Valoracion (3) Dimension 2'!H60</f>
        <v>0</v>
      </c>
      <c r="KS60" s="47"/>
    </row>
    <row r="61" spans="1:305">
      <c r="A61" s="38"/>
      <c r="C61" t="str">
        <f>('Inteligencia emocional'!A62)</f>
        <v>0</v>
      </c>
      <c r="D61" s="39" t="str">
        <f>'Por Valoracion (3) Dimension'!B61</f>
        <v>0</v>
      </c>
      <c r="E61" s="39" t="str">
        <f>'Por Valoracion (3) Dimension 2'!B61</f>
        <v>0</v>
      </c>
      <c r="Z61" s="38"/>
      <c r="AB61" t="str">
        <f>('Inteligencia emocional'!A62)</f>
        <v>0</v>
      </c>
      <c r="AC61" s="39" t="str">
        <f>'Por Valoracion (3) Dimension'!B61</f>
        <v>0</v>
      </c>
      <c r="AD61" s="39" t="str">
        <f>'Por Valoracion (3) Dimension 2'!D61</f>
        <v>0</v>
      </c>
      <c r="AY61" s="38"/>
      <c r="BA61" t="str">
        <f>('Inteligencia emocional'!A62)</f>
        <v>0</v>
      </c>
      <c r="BB61" s="39" t="str">
        <f>'Por Valoracion (3) Dimension'!B61</f>
        <v>0</v>
      </c>
      <c r="BC61" s="39" t="str">
        <f>'Por Valoracion (3) Dimension 2'!F61</f>
        <v>0</v>
      </c>
      <c r="BX61" s="38"/>
      <c r="BZ61" t="str">
        <f>('Inteligencia emocional'!A62)</f>
        <v>0</v>
      </c>
      <c r="CA61" s="39" t="str">
        <f>'Por Valoracion (3) Dimension'!B61</f>
        <v>0</v>
      </c>
      <c r="CB61" s="39" t="str">
        <f>'Por Valoracion (3) Dimension 2'!H61</f>
        <v>0</v>
      </c>
      <c r="CW61" s="38"/>
      <c r="CY61" s="46"/>
      <c r="DA61" t="str">
        <f>('Inteligencia emocional'!A62)</f>
        <v>0</v>
      </c>
      <c r="DB61" s="39" t="str">
        <f>'Por Valoracion (3) Dimension'!D61</f>
        <v>0</v>
      </c>
      <c r="DC61" s="39" t="str">
        <f>'Por Valoracion (3) Dimension 2'!B61</f>
        <v>0</v>
      </c>
      <c r="DX61" s="46"/>
      <c r="DZ61" t="str">
        <f>('Inteligencia emocional'!A62)</f>
        <v>0</v>
      </c>
      <c r="EA61" s="39" t="str">
        <f>'Por Valoracion (3) Dimension'!D61</f>
        <v>0</v>
      </c>
      <c r="EB61" s="39" t="str">
        <f>'Por Valoracion (3) Dimension 2'!D61</f>
        <v>0</v>
      </c>
      <c r="EW61" s="46"/>
      <c r="EY61" t="str">
        <f>('Inteligencia emocional'!A62)</f>
        <v>0</v>
      </c>
      <c r="EZ61" s="39" t="str">
        <f>'Por Valoracion (3) Dimension'!D61</f>
        <v>0</v>
      </c>
      <c r="FA61" s="39" t="str">
        <f>'Por Valoracion (3) Dimension 2'!F61</f>
        <v>0</v>
      </c>
      <c r="FV61" s="46"/>
      <c r="FX61" t="str">
        <f>('Inteligencia emocional'!A62)</f>
        <v>0</v>
      </c>
      <c r="FY61" s="39" t="str">
        <f>'Por Valoracion (3) Dimension'!D61</f>
        <v>0</v>
      </c>
      <c r="FZ61" s="39" t="str">
        <f>'Por Valoracion (3) Dimension 2'!H61</f>
        <v>0</v>
      </c>
      <c r="GU61" s="46"/>
      <c r="GW61" s="47"/>
      <c r="GY61" t="str">
        <f>('Inteligencia emocional'!A62)</f>
        <v>0</v>
      </c>
      <c r="GZ61" s="39" t="str">
        <f>'Por Valoracion (3) Dimension'!F61</f>
        <v>0</v>
      </c>
      <c r="HA61" s="39" t="str">
        <f>'Por Valoracion (3) Dimension 2'!B61</f>
        <v>0</v>
      </c>
      <c r="HV61" s="47"/>
      <c r="HX61" t="str">
        <f>('Inteligencia emocional'!A62)</f>
        <v>0</v>
      </c>
      <c r="HY61" s="39" t="str">
        <f>'Por Valoracion (3) Dimension'!F61</f>
        <v>0</v>
      </c>
      <c r="HZ61" s="39" t="str">
        <f>'Por Valoracion (3) Dimension 2'!D61</f>
        <v>0</v>
      </c>
      <c r="IU61" s="47"/>
      <c r="IW61" t="str">
        <f>('Inteligencia emocional'!A62)</f>
        <v>0</v>
      </c>
      <c r="IX61" s="39" t="str">
        <f>'Por Valoracion (3) Dimension'!F61</f>
        <v>0</v>
      </c>
      <c r="IY61" s="39" t="str">
        <f>'Por Valoracion (3) Dimension 2'!F61</f>
        <v>0</v>
      </c>
      <c r="JT61" s="47"/>
      <c r="JV61" t="str">
        <f>('Inteligencia emocional'!A62)</f>
        <v>0</v>
      </c>
      <c r="JW61" s="39" t="str">
        <f>'Por Valoracion (3) Dimension'!F61</f>
        <v>0</v>
      </c>
      <c r="JX61" s="39" t="str">
        <f>'Por Valoracion (3) Dimension 2'!H61</f>
        <v>0</v>
      </c>
      <c r="KS61" s="47"/>
    </row>
    <row r="62" spans="1:305">
      <c r="A62" s="38"/>
      <c r="C62" t="str">
        <f>('Inteligencia emocional'!A63)</f>
        <v>0</v>
      </c>
      <c r="D62" s="39" t="str">
        <f>'Por Valoracion (3) Dimension'!B62</f>
        <v>0</v>
      </c>
      <c r="E62" s="39" t="str">
        <f>'Por Valoracion (3) Dimension 2'!B62</f>
        <v>0</v>
      </c>
      <c r="Z62" s="38"/>
      <c r="AB62" t="str">
        <f>('Inteligencia emocional'!A63)</f>
        <v>0</v>
      </c>
      <c r="AC62" s="39" t="str">
        <f>'Por Valoracion (3) Dimension'!B62</f>
        <v>0</v>
      </c>
      <c r="AD62" s="39" t="str">
        <f>'Por Valoracion (3) Dimension 2'!D62</f>
        <v>0</v>
      </c>
      <c r="AY62" s="38"/>
      <c r="BA62" t="str">
        <f>('Inteligencia emocional'!A63)</f>
        <v>0</v>
      </c>
      <c r="BB62" s="39" t="str">
        <f>'Por Valoracion (3) Dimension'!B62</f>
        <v>0</v>
      </c>
      <c r="BC62" s="39" t="str">
        <f>'Por Valoracion (3) Dimension 2'!F62</f>
        <v>0</v>
      </c>
      <c r="BX62" s="38"/>
      <c r="BZ62" t="str">
        <f>('Inteligencia emocional'!A63)</f>
        <v>0</v>
      </c>
      <c r="CA62" s="39" t="str">
        <f>'Por Valoracion (3) Dimension'!B62</f>
        <v>0</v>
      </c>
      <c r="CB62" s="39" t="str">
        <f>'Por Valoracion (3) Dimension 2'!H62</f>
        <v>0</v>
      </c>
      <c r="CW62" s="38"/>
      <c r="CY62" s="46"/>
      <c r="DA62" t="str">
        <f>('Inteligencia emocional'!A63)</f>
        <v>0</v>
      </c>
      <c r="DB62" s="39" t="str">
        <f>'Por Valoracion (3) Dimension'!D62</f>
        <v>0</v>
      </c>
      <c r="DC62" s="39" t="str">
        <f>'Por Valoracion (3) Dimension 2'!B62</f>
        <v>0</v>
      </c>
      <c r="DX62" s="46"/>
      <c r="DZ62" t="str">
        <f>('Inteligencia emocional'!A63)</f>
        <v>0</v>
      </c>
      <c r="EA62" s="39" t="str">
        <f>'Por Valoracion (3) Dimension'!D62</f>
        <v>0</v>
      </c>
      <c r="EB62" s="39" t="str">
        <f>'Por Valoracion (3) Dimension 2'!D62</f>
        <v>0</v>
      </c>
      <c r="EW62" s="46"/>
      <c r="EY62" t="str">
        <f>('Inteligencia emocional'!A63)</f>
        <v>0</v>
      </c>
      <c r="EZ62" s="39" t="str">
        <f>'Por Valoracion (3) Dimension'!D62</f>
        <v>0</v>
      </c>
      <c r="FA62" s="39" t="str">
        <f>'Por Valoracion (3) Dimension 2'!F62</f>
        <v>0</v>
      </c>
      <c r="FV62" s="46"/>
      <c r="FX62" t="str">
        <f>('Inteligencia emocional'!A63)</f>
        <v>0</v>
      </c>
      <c r="FY62" s="39" t="str">
        <f>'Por Valoracion (3) Dimension'!D62</f>
        <v>0</v>
      </c>
      <c r="FZ62" s="39" t="str">
        <f>'Por Valoracion (3) Dimension 2'!H62</f>
        <v>0</v>
      </c>
      <c r="GU62" s="46"/>
      <c r="GW62" s="47"/>
      <c r="GY62" t="str">
        <f>('Inteligencia emocional'!A63)</f>
        <v>0</v>
      </c>
      <c r="GZ62" s="39" t="str">
        <f>'Por Valoracion (3) Dimension'!F62</f>
        <v>0</v>
      </c>
      <c r="HA62" s="39" t="str">
        <f>'Por Valoracion (3) Dimension 2'!B62</f>
        <v>0</v>
      </c>
      <c r="HV62" s="47"/>
      <c r="HX62" t="str">
        <f>('Inteligencia emocional'!A63)</f>
        <v>0</v>
      </c>
      <c r="HY62" s="39" t="str">
        <f>'Por Valoracion (3) Dimension'!F62</f>
        <v>0</v>
      </c>
      <c r="HZ62" s="39" t="str">
        <f>'Por Valoracion (3) Dimension 2'!D62</f>
        <v>0</v>
      </c>
      <c r="IU62" s="47"/>
      <c r="IW62" t="str">
        <f>('Inteligencia emocional'!A63)</f>
        <v>0</v>
      </c>
      <c r="IX62" s="39" t="str">
        <f>'Por Valoracion (3) Dimension'!F62</f>
        <v>0</v>
      </c>
      <c r="IY62" s="39" t="str">
        <f>'Por Valoracion (3) Dimension 2'!F62</f>
        <v>0</v>
      </c>
      <c r="JT62" s="47"/>
      <c r="JV62" t="str">
        <f>('Inteligencia emocional'!A63)</f>
        <v>0</v>
      </c>
      <c r="JW62" s="39" t="str">
        <f>'Por Valoracion (3) Dimension'!F62</f>
        <v>0</v>
      </c>
      <c r="JX62" s="39" t="str">
        <f>'Por Valoracion (3) Dimension 2'!H62</f>
        <v>0</v>
      </c>
      <c r="KS62" s="47"/>
    </row>
    <row r="63" spans="1:305">
      <c r="A63" s="38"/>
      <c r="C63" t="str">
        <f>('Inteligencia emocional'!A64)</f>
        <v>0</v>
      </c>
      <c r="D63" s="39" t="str">
        <f>'Por Valoracion (3) Dimension'!B63</f>
        <v>0</v>
      </c>
      <c r="E63" s="39" t="str">
        <f>'Por Valoracion (3) Dimension 2'!B63</f>
        <v>0</v>
      </c>
      <c r="Z63" s="38"/>
      <c r="AB63" t="str">
        <f>('Inteligencia emocional'!A64)</f>
        <v>0</v>
      </c>
      <c r="AC63" s="39" t="str">
        <f>'Por Valoracion (3) Dimension'!B63</f>
        <v>0</v>
      </c>
      <c r="AD63" s="39" t="str">
        <f>'Por Valoracion (3) Dimension 2'!D63</f>
        <v>0</v>
      </c>
      <c r="AY63" s="38"/>
      <c r="BA63" t="str">
        <f>('Inteligencia emocional'!A64)</f>
        <v>0</v>
      </c>
      <c r="BB63" s="39" t="str">
        <f>'Por Valoracion (3) Dimension'!B63</f>
        <v>0</v>
      </c>
      <c r="BC63" s="39" t="str">
        <f>'Por Valoracion (3) Dimension 2'!F63</f>
        <v>0</v>
      </c>
      <c r="BX63" s="38"/>
      <c r="BZ63" t="str">
        <f>('Inteligencia emocional'!A64)</f>
        <v>0</v>
      </c>
      <c r="CA63" s="39" t="str">
        <f>'Por Valoracion (3) Dimension'!B63</f>
        <v>0</v>
      </c>
      <c r="CB63" s="39" t="str">
        <f>'Por Valoracion (3) Dimension 2'!H63</f>
        <v>0</v>
      </c>
      <c r="CW63" s="38"/>
      <c r="CY63" s="46"/>
      <c r="DA63" t="str">
        <f>('Inteligencia emocional'!A64)</f>
        <v>0</v>
      </c>
      <c r="DB63" s="39" t="str">
        <f>'Por Valoracion (3) Dimension'!D63</f>
        <v>0</v>
      </c>
      <c r="DC63" s="39" t="str">
        <f>'Por Valoracion (3) Dimension 2'!B63</f>
        <v>0</v>
      </c>
      <c r="DX63" s="46"/>
      <c r="DZ63" t="str">
        <f>('Inteligencia emocional'!A64)</f>
        <v>0</v>
      </c>
      <c r="EA63" s="39" t="str">
        <f>'Por Valoracion (3) Dimension'!D63</f>
        <v>0</v>
      </c>
      <c r="EB63" s="39" t="str">
        <f>'Por Valoracion (3) Dimension 2'!D63</f>
        <v>0</v>
      </c>
      <c r="EW63" s="46"/>
      <c r="EY63" t="str">
        <f>('Inteligencia emocional'!A64)</f>
        <v>0</v>
      </c>
      <c r="EZ63" s="39" t="str">
        <f>'Por Valoracion (3) Dimension'!D63</f>
        <v>0</v>
      </c>
      <c r="FA63" s="39" t="str">
        <f>'Por Valoracion (3) Dimension 2'!F63</f>
        <v>0</v>
      </c>
      <c r="FV63" s="46"/>
      <c r="FX63" t="str">
        <f>('Inteligencia emocional'!A64)</f>
        <v>0</v>
      </c>
      <c r="FY63" s="39" t="str">
        <f>'Por Valoracion (3) Dimension'!D63</f>
        <v>0</v>
      </c>
      <c r="FZ63" s="39" t="str">
        <f>'Por Valoracion (3) Dimension 2'!H63</f>
        <v>0</v>
      </c>
      <c r="GU63" s="46"/>
      <c r="GW63" s="47"/>
      <c r="GY63" t="str">
        <f>('Inteligencia emocional'!A64)</f>
        <v>0</v>
      </c>
      <c r="GZ63" s="39" t="str">
        <f>'Por Valoracion (3) Dimension'!F63</f>
        <v>0</v>
      </c>
      <c r="HA63" s="39" t="str">
        <f>'Por Valoracion (3) Dimension 2'!B63</f>
        <v>0</v>
      </c>
      <c r="HV63" s="47"/>
      <c r="HX63" t="str">
        <f>('Inteligencia emocional'!A64)</f>
        <v>0</v>
      </c>
      <c r="HY63" s="39" t="str">
        <f>'Por Valoracion (3) Dimension'!F63</f>
        <v>0</v>
      </c>
      <c r="HZ63" s="39" t="str">
        <f>'Por Valoracion (3) Dimension 2'!D63</f>
        <v>0</v>
      </c>
      <c r="IU63" s="47"/>
      <c r="IW63" t="str">
        <f>('Inteligencia emocional'!A64)</f>
        <v>0</v>
      </c>
      <c r="IX63" s="39" t="str">
        <f>'Por Valoracion (3) Dimension'!F63</f>
        <v>0</v>
      </c>
      <c r="IY63" s="39" t="str">
        <f>'Por Valoracion (3) Dimension 2'!F63</f>
        <v>0</v>
      </c>
      <c r="JT63" s="47"/>
      <c r="JV63" t="str">
        <f>('Inteligencia emocional'!A64)</f>
        <v>0</v>
      </c>
      <c r="JW63" s="39" t="str">
        <f>'Por Valoracion (3) Dimension'!F63</f>
        <v>0</v>
      </c>
      <c r="JX63" s="39" t="str">
        <f>'Por Valoracion (3) Dimension 2'!H63</f>
        <v>0</v>
      </c>
      <c r="KS63" s="47"/>
    </row>
    <row r="64" spans="1:305">
      <c r="A64" s="38"/>
      <c r="C64" t="str">
        <f>('Inteligencia emocional'!A65)</f>
        <v>0</v>
      </c>
      <c r="D64" s="39" t="str">
        <f>'Por Valoracion (3) Dimension'!B64</f>
        <v>0</v>
      </c>
      <c r="E64" s="39" t="str">
        <f>'Por Valoracion (3) Dimension 2'!B64</f>
        <v>0</v>
      </c>
      <c r="Z64" s="38"/>
      <c r="AB64" t="str">
        <f>('Inteligencia emocional'!A65)</f>
        <v>0</v>
      </c>
      <c r="AC64" s="39" t="str">
        <f>'Por Valoracion (3) Dimension'!B64</f>
        <v>0</v>
      </c>
      <c r="AD64" s="39" t="str">
        <f>'Por Valoracion (3) Dimension 2'!D64</f>
        <v>0</v>
      </c>
      <c r="AY64" s="38"/>
      <c r="BA64" t="str">
        <f>('Inteligencia emocional'!A65)</f>
        <v>0</v>
      </c>
      <c r="BB64" s="39" t="str">
        <f>'Por Valoracion (3) Dimension'!B64</f>
        <v>0</v>
      </c>
      <c r="BC64" s="39" t="str">
        <f>'Por Valoracion (3) Dimension 2'!F64</f>
        <v>0</v>
      </c>
      <c r="BX64" s="38"/>
      <c r="BZ64" t="str">
        <f>('Inteligencia emocional'!A65)</f>
        <v>0</v>
      </c>
      <c r="CA64" s="39" t="str">
        <f>'Por Valoracion (3) Dimension'!B64</f>
        <v>0</v>
      </c>
      <c r="CB64" s="39" t="str">
        <f>'Por Valoracion (3) Dimension 2'!H64</f>
        <v>0</v>
      </c>
      <c r="CW64" s="38"/>
      <c r="CY64" s="46"/>
      <c r="DA64" t="str">
        <f>('Inteligencia emocional'!A65)</f>
        <v>0</v>
      </c>
      <c r="DB64" s="39" t="str">
        <f>'Por Valoracion (3) Dimension'!D64</f>
        <v>0</v>
      </c>
      <c r="DC64" s="39" t="str">
        <f>'Por Valoracion (3) Dimension 2'!B64</f>
        <v>0</v>
      </c>
      <c r="DX64" s="46"/>
      <c r="DZ64" t="str">
        <f>('Inteligencia emocional'!A65)</f>
        <v>0</v>
      </c>
      <c r="EA64" s="39" t="str">
        <f>'Por Valoracion (3) Dimension'!D64</f>
        <v>0</v>
      </c>
      <c r="EB64" s="39" t="str">
        <f>'Por Valoracion (3) Dimension 2'!D64</f>
        <v>0</v>
      </c>
      <c r="EW64" s="46"/>
      <c r="EY64" t="str">
        <f>('Inteligencia emocional'!A65)</f>
        <v>0</v>
      </c>
      <c r="EZ64" s="39" t="str">
        <f>'Por Valoracion (3) Dimension'!D64</f>
        <v>0</v>
      </c>
      <c r="FA64" s="39" t="str">
        <f>'Por Valoracion (3) Dimension 2'!F64</f>
        <v>0</v>
      </c>
      <c r="FV64" s="46"/>
      <c r="FX64" t="str">
        <f>('Inteligencia emocional'!A65)</f>
        <v>0</v>
      </c>
      <c r="FY64" s="39" t="str">
        <f>'Por Valoracion (3) Dimension'!D64</f>
        <v>0</v>
      </c>
      <c r="FZ64" s="39" t="str">
        <f>'Por Valoracion (3) Dimension 2'!H64</f>
        <v>0</v>
      </c>
      <c r="GU64" s="46"/>
      <c r="GW64" s="47"/>
      <c r="GY64" t="str">
        <f>('Inteligencia emocional'!A65)</f>
        <v>0</v>
      </c>
      <c r="GZ64" s="39" t="str">
        <f>'Por Valoracion (3) Dimension'!F64</f>
        <v>0</v>
      </c>
      <c r="HA64" s="39" t="str">
        <f>'Por Valoracion (3) Dimension 2'!B64</f>
        <v>0</v>
      </c>
      <c r="HV64" s="47"/>
      <c r="HX64" t="str">
        <f>('Inteligencia emocional'!A65)</f>
        <v>0</v>
      </c>
      <c r="HY64" s="39" t="str">
        <f>'Por Valoracion (3) Dimension'!F64</f>
        <v>0</v>
      </c>
      <c r="HZ64" s="39" t="str">
        <f>'Por Valoracion (3) Dimension 2'!D64</f>
        <v>0</v>
      </c>
      <c r="IU64" s="47"/>
      <c r="IW64" t="str">
        <f>('Inteligencia emocional'!A65)</f>
        <v>0</v>
      </c>
      <c r="IX64" s="39" t="str">
        <f>'Por Valoracion (3) Dimension'!F64</f>
        <v>0</v>
      </c>
      <c r="IY64" s="39" t="str">
        <f>'Por Valoracion (3) Dimension 2'!F64</f>
        <v>0</v>
      </c>
      <c r="JT64" s="47"/>
      <c r="JV64" t="str">
        <f>('Inteligencia emocional'!A65)</f>
        <v>0</v>
      </c>
      <c r="JW64" s="39" t="str">
        <f>'Por Valoracion (3) Dimension'!F64</f>
        <v>0</v>
      </c>
      <c r="JX64" s="39" t="str">
        <f>'Por Valoracion (3) Dimension 2'!H64</f>
        <v>0</v>
      </c>
      <c r="KS64" s="47"/>
    </row>
    <row r="65" spans="1:305">
      <c r="A65" s="38"/>
      <c r="C65" t="str">
        <f>('Inteligencia emocional'!A66)</f>
        <v>0</v>
      </c>
      <c r="D65" s="39" t="str">
        <f>'Por Valoracion (3) Dimension'!B65</f>
        <v>0</v>
      </c>
      <c r="E65" s="39" t="str">
        <f>'Por Valoracion (3) Dimension 2'!B65</f>
        <v>0</v>
      </c>
      <c r="Z65" s="38"/>
      <c r="AB65" t="str">
        <f>('Inteligencia emocional'!A66)</f>
        <v>0</v>
      </c>
      <c r="AC65" s="39" t="str">
        <f>'Por Valoracion (3) Dimension'!B65</f>
        <v>0</v>
      </c>
      <c r="AD65" s="39" t="str">
        <f>'Por Valoracion (3) Dimension 2'!D65</f>
        <v>0</v>
      </c>
      <c r="AY65" s="38"/>
      <c r="BA65" t="str">
        <f>('Inteligencia emocional'!A66)</f>
        <v>0</v>
      </c>
      <c r="BB65" s="39" t="str">
        <f>'Por Valoracion (3) Dimension'!B65</f>
        <v>0</v>
      </c>
      <c r="BC65" s="39" t="str">
        <f>'Por Valoracion (3) Dimension 2'!F65</f>
        <v>0</v>
      </c>
      <c r="BX65" s="38"/>
      <c r="BZ65" t="str">
        <f>('Inteligencia emocional'!A66)</f>
        <v>0</v>
      </c>
      <c r="CA65" s="39" t="str">
        <f>'Por Valoracion (3) Dimension'!B65</f>
        <v>0</v>
      </c>
      <c r="CB65" s="39" t="str">
        <f>'Por Valoracion (3) Dimension 2'!H65</f>
        <v>0</v>
      </c>
      <c r="CW65" s="38"/>
      <c r="CY65" s="46"/>
      <c r="DA65" t="str">
        <f>('Inteligencia emocional'!A66)</f>
        <v>0</v>
      </c>
      <c r="DB65" s="39" t="str">
        <f>'Por Valoracion (3) Dimension'!D65</f>
        <v>0</v>
      </c>
      <c r="DC65" s="39" t="str">
        <f>'Por Valoracion (3) Dimension 2'!B65</f>
        <v>0</v>
      </c>
      <c r="DX65" s="46"/>
      <c r="DZ65" t="str">
        <f>('Inteligencia emocional'!A66)</f>
        <v>0</v>
      </c>
      <c r="EA65" s="39" t="str">
        <f>'Por Valoracion (3) Dimension'!D65</f>
        <v>0</v>
      </c>
      <c r="EB65" s="39" t="str">
        <f>'Por Valoracion (3) Dimension 2'!D65</f>
        <v>0</v>
      </c>
      <c r="EW65" s="46"/>
      <c r="EY65" t="str">
        <f>('Inteligencia emocional'!A66)</f>
        <v>0</v>
      </c>
      <c r="EZ65" s="39" t="str">
        <f>'Por Valoracion (3) Dimension'!D65</f>
        <v>0</v>
      </c>
      <c r="FA65" s="39" t="str">
        <f>'Por Valoracion (3) Dimension 2'!F65</f>
        <v>0</v>
      </c>
      <c r="FV65" s="46"/>
      <c r="FX65" t="str">
        <f>('Inteligencia emocional'!A66)</f>
        <v>0</v>
      </c>
      <c r="FY65" s="39" t="str">
        <f>'Por Valoracion (3) Dimension'!D65</f>
        <v>0</v>
      </c>
      <c r="FZ65" s="39" t="str">
        <f>'Por Valoracion (3) Dimension 2'!H65</f>
        <v>0</v>
      </c>
      <c r="GU65" s="46"/>
      <c r="GW65" s="47"/>
      <c r="GY65" t="str">
        <f>('Inteligencia emocional'!A66)</f>
        <v>0</v>
      </c>
      <c r="GZ65" s="39" t="str">
        <f>'Por Valoracion (3) Dimension'!F65</f>
        <v>0</v>
      </c>
      <c r="HA65" s="39" t="str">
        <f>'Por Valoracion (3) Dimension 2'!B65</f>
        <v>0</v>
      </c>
      <c r="HV65" s="47"/>
      <c r="HX65" t="str">
        <f>('Inteligencia emocional'!A66)</f>
        <v>0</v>
      </c>
      <c r="HY65" s="39" t="str">
        <f>'Por Valoracion (3) Dimension'!F65</f>
        <v>0</v>
      </c>
      <c r="HZ65" s="39" t="str">
        <f>'Por Valoracion (3) Dimension 2'!D65</f>
        <v>0</v>
      </c>
      <c r="IU65" s="47"/>
      <c r="IW65" t="str">
        <f>('Inteligencia emocional'!A66)</f>
        <v>0</v>
      </c>
      <c r="IX65" s="39" t="str">
        <f>'Por Valoracion (3) Dimension'!F65</f>
        <v>0</v>
      </c>
      <c r="IY65" s="39" t="str">
        <f>'Por Valoracion (3) Dimension 2'!F65</f>
        <v>0</v>
      </c>
      <c r="JT65" s="47"/>
      <c r="JV65" t="str">
        <f>('Inteligencia emocional'!A66)</f>
        <v>0</v>
      </c>
      <c r="JW65" s="39" t="str">
        <f>'Por Valoracion (3) Dimension'!F65</f>
        <v>0</v>
      </c>
      <c r="JX65" s="39" t="str">
        <f>'Por Valoracion (3) Dimension 2'!H65</f>
        <v>0</v>
      </c>
      <c r="KS65" s="47"/>
    </row>
    <row r="66" spans="1:305">
      <c r="A66" s="38"/>
      <c r="C66" t="str">
        <f>('Inteligencia emocional'!A67)</f>
        <v>0</v>
      </c>
      <c r="D66" s="39" t="str">
        <f>'Por Valoracion (3) Dimension'!B66</f>
        <v>0</v>
      </c>
      <c r="E66" s="39" t="str">
        <f>'Por Valoracion (3) Dimension 2'!B66</f>
        <v>0</v>
      </c>
      <c r="Z66" s="38"/>
      <c r="AB66" t="str">
        <f>('Inteligencia emocional'!A67)</f>
        <v>0</v>
      </c>
      <c r="AC66" s="39" t="str">
        <f>'Por Valoracion (3) Dimension'!B66</f>
        <v>0</v>
      </c>
      <c r="AD66" s="39" t="str">
        <f>'Por Valoracion (3) Dimension 2'!D66</f>
        <v>0</v>
      </c>
      <c r="AY66" s="38"/>
      <c r="BA66" t="str">
        <f>('Inteligencia emocional'!A67)</f>
        <v>0</v>
      </c>
      <c r="BB66" s="39" t="str">
        <f>'Por Valoracion (3) Dimension'!B66</f>
        <v>0</v>
      </c>
      <c r="BC66" s="39" t="str">
        <f>'Por Valoracion (3) Dimension 2'!F66</f>
        <v>0</v>
      </c>
      <c r="BX66" s="38"/>
      <c r="BZ66" t="str">
        <f>('Inteligencia emocional'!A67)</f>
        <v>0</v>
      </c>
      <c r="CA66" s="39" t="str">
        <f>'Por Valoracion (3) Dimension'!B66</f>
        <v>0</v>
      </c>
      <c r="CB66" s="39" t="str">
        <f>'Por Valoracion (3) Dimension 2'!H66</f>
        <v>0</v>
      </c>
      <c r="CW66" s="38"/>
      <c r="CY66" s="46"/>
      <c r="DA66" t="str">
        <f>('Inteligencia emocional'!A67)</f>
        <v>0</v>
      </c>
      <c r="DB66" s="39" t="str">
        <f>'Por Valoracion (3) Dimension'!D66</f>
        <v>0</v>
      </c>
      <c r="DC66" s="39" t="str">
        <f>'Por Valoracion (3) Dimension 2'!B66</f>
        <v>0</v>
      </c>
      <c r="DX66" s="46"/>
      <c r="DZ66" t="str">
        <f>('Inteligencia emocional'!A67)</f>
        <v>0</v>
      </c>
      <c r="EA66" s="39" t="str">
        <f>'Por Valoracion (3) Dimension'!D66</f>
        <v>0</v>
      </c>
      <c r="EB66" s="39" t="str">
        <f>'Por Valoracion (3) Dimension 2'!D66</f>
        <v>0</v>
      </c>
      <c r="EW66" s="46"/>
      <c r="EY66" t="str">
        <f>('Inteligencia emocional'!A67)</f>
        <v>0</v>
      </c>
      <c r="EZ66" s="39" t="str">
        <f>'Por Valoracion (3) Dimension'!D66</f>
        <v>0</v>
      </c>
      <c r="FA66" s="39" t="str">
        <f>'Por Valoracion (3) Dimension 2'!F66</f>
        <v>0</v>
      </c>
      <c r="FV66" s="46"/>
      <c r="FX66" t="str">
        <f>('Inteligencia emocional'!A67)</f>
        <v>0</v>
      </c>
      <c r="FY66" s="39" t="str">
        <f>'Por Valoracion (3) Dimension'!D66</f>
        <v>0</v>
      </c>
      <c r="FZ66" s="39" t="str">
        <f>'Por Valoracion (3) Dimension 2'!H66</f>
        <v>0</v>
      </c>
      <c r="GU66" s="46"/>
      <c r="GW66" s="47"/>
      <c r="GY66" t="str">
        <f>('Inteligencia emocional'!A67)</f>
        <v>0</v>
      </c>
      <c r="GZ66" s="39" t="str">
        <f>'Por Valoracion (3) Dimension'!F66</f>
        <v>0</v>
      </c>
      <c r="HA66" s="39" t="str">
        <f>'Por Valoracion (3) Dimension 2'!B66</f>
        <v>0</v>
      </c>
      <c r="HV66" s="47"/>
      <c r="HX66" t="str">
        <f>('Inteligencia emocional'!A67)</f>
        <v>0</v>
      </c>
      <c r="HY66" s="39" t="str">
        <f>'Por Valoracion (3) Dimension'!F66</f>
        <v>0</v>
      </c>
      <c r="HZ66" s="39" t="str">
        <f>'Por Valoracion (3) Dimension 2'!D66</f>
        <v>0</v>
      </c>
      <c r="IU66" s="47"/>
      <c r="IW66" t="str">
        <f>('Inteligencia emocional'!A67)</f>
        <v>0</v>
      </c>
      <c r="IX66" s="39" t="str">
        <f>'Por Valoracion (3) Dimension'!F66</f>
        <v>0</v>
      </c>
      <c r="IY66" s="39" t="str">
        <f>'Por Valoracion (3) Dimension 2'!F66</f>
        <v>0</v>
      </c>
      <c r="JT66" s="47"/>
      <c r="JV66" t="str">
        <f>('Inteligencia emocional'!A67)</f>
        <v>0</v>
      </c>
      <c r="JW66" s="39" t="str">
        <f>'Por Valoracion (3) Dimension'!F66</f>
        <v>0</v>
      </c>
      <c r="JX66" s="39" t="str">
        <f>'Por Valoracion (3) Dimension 2'!H66</f>
        <v>0</v>
      </c>
      <c r="KS66" s="47"/>
    </row>
    <row r="67" spans="1:305">
      <c r="A67" s="38"/>
      <c r="C67" t="str">
        <f>('Inteligencia emocional'!A68)</f>
        <v>0</v>
      </c>
      <c r="D67" s="39" t="str">
        <f>'Por Valoracion (3) Dimension'!B67</f>
        <v>0</v>
      </c>
      <c r="E67" s="39" t="str">
        <f>'Por Valoracion (3) Dimension 2'!B67</f>
        <v>0</v>
      </c>
      <c r="Z67" s="38"/>
      <c r="AB67" t="str">
        <f>('Inteligencia emocional'!A68)</f>
        <v>0</v>
      </c>
      <c r="AC67" s="39" t="str">
        <f>'Por Valoracion (3) Dimension'!B67</f>
        <v>0</v>
      </c>
      <c r="AD67" s="39" t="str">
        <f>'Por Valoracion (3) Dimension 2'!D67</f>
        <v>0</v>
      </c>
      <c r="AY67" s="38"/>
      <c r="BA67" t="str">
        <f>('Inteligencia emocional'!A68)</f>
        <v>0</v>
      </c>
      <c r="BB67" s="39" t="str">
        <f>'Por Valoracion (3) Dimension'!B67</f>
        <v>0</v>
      </c>
      <c r="BC67" s="39" t="str">
        <f>'Por Valoracion (3) Dimension 2'!F67</f>
        <v>0</v>
      </c>
      <c r="BX67" s="38"/>
      <c r="BZ67" t="str">
        <f>('Inteligencia emocional'!A68)</f>
        <v>0</v>
      </c>
      <c r="CA67" s="39" t="str">
        <f>'Por Valoracion (3) Dimension'!B67</f>
        <v>0</v>
      </c>
      <c r="CB67" s="39" t="str">
        <f>'Por Valoracion (3) Dimension 2'!H67</f>
        <v>0</v>
      </c>
      <c r="CW67" s="38"/>
      <c r="CY67" s="46"/>
      <c r="DA67" t="str">
        <f>('Inteligencia emocional'!A68)</f>
        <v>0</v>
      </c>
      <c r="DB67" s="39" t="str">
        <f>'Por Valoracion (3) Dimension'!D67</f>
        <v>0</v>
      </c>
      <c r="DC67" s="39" t="str">
        <f>'Por Valoracion (3) Dimension 2'!B67</f>
        <v>0</v>
      </c>
      <c r="DX67" s="46"/>
      <c r="DZ67" t="str">
        <f>('Inteligencia emocional'!A68)</f>
        <v>0</v>
      </c>
      <c r="EA67" s="39" t="str">
        <f>'Por Valoracion (3) Dimension'!D67</f>
        <v>0</v>
      </c>
      <c r="EB67" s="39" t="str">
        <f>'Por Valoracion (3) Dimension 2'!D67</f>
        <v>0</v>
      </c>
      <c r="EW67" s="46"/>
      <c r="EY67" t="str">
        <f>('Inteligencia emocional'!A68)</f>
        <v>0</v>
      </c>
      <c r="EZ67" s="39" t="str">
        <f>'Por Valoracion (3) Dimension'!D67</f>
        <v>0</v>
      </c>
      <c r="FA67" s="39" t="str">
        <f>'Por Valoracion (3) Dimension 2'!F67</f>
        <v>0</v>
      </c>
      <c r="FV67" s="46"/>
      <c r="FX67" t="str">
        <f>('Inteligencia emocional'!A68)</f>
        <v>0</v>
      </c>
      <c r="FY67" s="39" t="str">
        <f>'Por Valoracion (3) Dimension'!D67</f>
        <v>0</v>
      </c>
      <c r="FZ67" s="39" t="str">
        <f>'Por Valoracion (3) Dimension 2'!H67</f>
        <v>0</v>
      </c>
      <c r="GU67" s="46"/>
      <c r="GW67" s="47"/>
      <c r="GY67" t="str">
        <f>('Inteligencia emocional'!A68)</f>
        <v>0</v>
      </c>
      <c r="GZ67" s="39" t="str">
        <f>'Por Valoracion (3) Dimension'!F67</f>
        <v>0</v>
      </c>
      <c r="HA67" s="39" t="str">
        <f>'Por Valoracion (3) Dimension 2'!B67</f>
        <v>0</v>
      </c>
      <c r="HV67" s="47"/>
      <c r="HX67" t="str">
        <f>('Inteligencia emocional'!A68)</f>
        <v>0</v>
      </c>
      <c r="HY67" s="39" t="str">
        <f>'Por Valoracion (3) Dimension'!F67</f>
        <v>0</v>
      </c>
      <c r="HZ67" s="39" t="str">
        <f>'Por Valoracion (3) Dimension 2'!D67</f>
        <v>0</v>
      </c>
      <c r="IU67" s="47"/>
      <c r="IW67" t="str">
        <f>('Inteligencia emocional'!A68)</f>
        <v>0</v>
      </c>
      <c r="IX67" s="39" t="str">
        <f>'Por Valoracion (3) Dimension'!F67</f>
        <v>0</v>
      </c>
      <c r="IY67" s="39" t="str">
        <f>'Por Valoracion (3) Dimension 2'!F67</f>
        <v>0</v>
      </c>
      <c r="JT67" s="47"/>
      <c r="JV67" t="str">
        <f>('Inteligencia emocional'!A68)</f>
        <v>0</v>
      </c>
      <c r="JW67" s="39" t="str">
        <f>'Por Valoracion (3) Dimension'!F67</f>
        <v>0</v>
      </c>
      <c r="JX67" s="39" t="str">
        <f>'Por Valoracion (3) Dimension 2'!H67</f>
        <v>0</v>
      </c>
      <c r="KS67" s="47"/>
    </row>
    <row r="68" spans="1:305">
      <c r="A68" s="38"/>
      <c r="C68" t="str">
        <f>('Inteligencia emocional'!A69)</f>
        <v>0</v>
      </c>
      <c r="D68" s="39" t="str">
        <f>'Por Valoracion (3) Dimension'!B68</f>
        <v>0</v>
      </c>
      <c r="E68" s="39" t="str">
        <f>'Por Valoracion (3) Dimension 2'!B68</f>
        <v>0</v>
      </c>
      <c r="Z68" s="38"/>
      <c r="AB68" t="str">
        <f>('Inteligencia emocional'!A69)</f>
        <v>0</v>
      </c>
      <c r="AC68" s="39" t="str">
        <f>'Por Valoracion (3) Dimension'!B68</f>
        <v>0</v>
      </c>
      <c r="AD68" s="39" t="str">
        <f>'Por Valoracion (3) Dimension 2'!D68</f>
        <v>0</v>
      </c>
      <c r="AY68" s="38"/>
      <c r="BA68" t="str">
        <f>('Inteligencia emocional'!A69)</f>
        <v>0</v>
      </c>
      <c r="BB68" s="39" t="str">
        <f>'Por Valoracion (3) Dimension'!B68</f>
        <v>0</v>
      </c>
      <c r="BC68" s="39" t="str">
        <f>'Por Valoracion (3) Dimension 2'!F68</f>
        <v>0</v>
      </c>
      <c r="BX68" s="38"/>
      <c r="BZ68" t="str">
        <f>('Inteligencia emocional'!A69)</f>
        <v>0</v>
      </c>
      <c r="CA68" s="39" t="str">
        <f>'Por Valoracion (3) Dimension'!B68</f>
        <v>0</v>
      </c>
      <c r="CB68" s="39" t="str">
        <f>'Por Valoracion (3) Dimension 2'!H68</f>
        <v>0</v>
      </c>
      <c r="CW68" s="38"/>
      <c r="CY68" s="46"/>
      <c r="DA68" t="str">
        <f>('Inteligencia emocional'!A69)</f>
        <v>0</v>
      </c>
      <c r="DB68" s="39" t="str">
        <f>'Por Valoracion (3) Dimension'!D68</f>
        <v>0</v>
      </c>
      <c r="DC68" s="39" t="str">
        <f>'Por Valoracion (3) Dimension 2'!B68</f>
        <v>0</v>
      </c>
      <c r="DX68" s="46"/>
      <c r="DZ68" t="str">
        <f>('Inteligencia emocional'!A69)</f>
        <v>0</v>
      </c>
      <c r="EA68" s="39" t="str">
        <f>'Por Valoracion (3) Dimension'!D68</f>
        <v>0</v>
      </c>
      <c r="EB68" s="39" t="str">
        <f>'Por Valoracion (3) Dimension 2'!D68</f>
        <v>0</v>
      </c>
      <c r="EW68" s="46"/>
      <c r="EY68" t="str">
        <f>('Inteligencia emocional'!A69)</f>
        <v>0</v>
      </c>
      <c r="EZ68" s="39" t="str">
        <f>'Por Valoracion (3) Dimension'!D68</f>
        <v>0</v>
      </c>
      <c r="FA68" s="39" t="str">
        <f>'Por Valoracion (3) Dimension 2'!F68</f>
        <v>0</v>
      </c>
      <c r="FV68" s="46"/>
      <c r="FX68" t="str">
        <f>('Inteligencia emocional'!A69)</f>
        <v>0</v>
      </c>
      <c r="FY68" s="39" t="str">
        <f>'Por Valoracion (3) Dimension'!D68</f>
        <v>0</v>
      </c>
      <c r="FZ68" s="39" t="str">
        <f>'Por Valoracion (3) Dimension 2'!H68</f>
        <v>0</v>
      </c>
      <c r="GU68" s="46"/>
      <c r="GW68" s="47"/>
      <c r="GY68" t="str">
        <f>('Inteligencia emocional'!A69)</f>
        <v>0</v>
      </c>
      <c r="GZ68" s="39" t="str">
        <f>'Por Valoracion (3) Dimension'!F68</f>
        <v>0</v>
      </c>
      <c r="HA68" s="39" t="str">
        <f>'Por Valoracion (3) Dimension 2'!B68</f>
        <v>0</v>
      </c>
      <c r="HV68" s="47"/>
      <c r="HX68" t="str">
        <f>('Inteligencia emocional'!A69)</f>
        <v>0</v>
      </c>
      <c r="HY68" s="39" t="str">
        <f>'Por Valoracion (3) Dimension'!F68</f>
        <v>0</v>
      </c>
      <c r="HZ68" s="39" t="str">
        <f>'Por Valoracion (3) Dimension 2'!D68</f>
        <v>0</v>
      </c>
      <c r="IU68" s="47"/>
      <c r="IW68" t="str">
        <f>('Inteligencia emocional'!A69)</f>
        <v>0</v>
      </c>
      <c r="IX68" s="39" t="str">
        <f>'Por Valoracion (3) Dimension'!F68</f>
        <v>0</v>
      </c>
      <c r="IY68" s="39" t="str">
        <f>'Por Valoracion (3) Dimension 2'!F68</f>
        <v>0</v>
      </c>
      <c r="JT68" s="47"/>
      <c r="JV68" t="str">
        <f>('Inteligencia emocional'!A69)</f>
        <v>0</v>
      </c>
      <c r="JW68" s="39" t="str">
        <f>'Por Valoracion (3) Dimension'!F68</f>
        <v>0</v>
      </c>
      <c r="JX68" s="39" t="str">
        <f>'Por Valoracion (3) Dimension 2'!H68</f>
        <v>0</v>
      </c>
      <c r="KS68" s="47"/>
    </row>
    <row r="69" spans="1:305">
      <c r="A69" s="38"/>
      <c r="C69" t="str">
        <f>('Inteligencia emocional'!A70)</f>
        <v>0</v>
      </c>
      <c r="D69" s="39" t="str">
        <f>'Por Valoracion (3) Dimension'!B69</f>
        <v>0</v>
      </c>
      <c r="E69" s="39" t="str">
        <f>'Por Valoracion (3) Dimension 2'!B69</f>
        <v>0</v>
      </c>
      <c r="Z69" s="38"/>
      <c r="AB69" t="str">
        <f>('Inteligencia emocional'!A70)</f>
        <v>0</v>
      </c>
      <c r="AC69" s="39" t="str">
        <f>'Por Valoracion (3) Dimension'!B69</f>
        <v>0</v>
      </c>
      <c r="AD69" s="39" t="str">
        <f>'Por Valoracion (3) Dimension 2'!D69</f>
        <v>0</v>
      </c>
      <c r="AY69" s="38"/>
      <c r="BA69" t="str">
        <f>('Inteligencia emocional'!A70)</f>
        <v>0</v>
      </c>
      <c r="BB69" s="39" t="str">
        <f>'Por Valoracion (3) Dimension'!B69</f>
        <v>0</v>
      </c>
      <c r="BC69" s="39" t="str">
        <f>'Por Valoracion (3) Dimension 2'!F69</f>
        <v>0</v>
      </c>
      <c r="BX69" s="38"/>
      <c r="BZ69" t="str">
        <f>('Inteligencia emocional'!A70)</f>
        <v>0</v>
      </c>
      <c r="CA69" s="39" t="str">
        <f>'Por Valoracion (3) Dimension'!B69</f>
        <v>0</v>
      </c>
      <c r="CB69" s="39" t="str">
        <f>'Por Valoracion (3) Dimension 2'!H69</f>
        <v>0</v>
      </c>
      <c r="CW69" s="38"/>
      <c r="CY69" s="46"/>
      <c r="DA69" t="str">
        <f>('Inteligencia emocional'!A70)</f>
        <v>0</v>
      </c>
      <c r="DB69" s="39" t="str">
        <f>'Por Valoracion (3) Dimension'!D69</f>
        <v>0</v>
      </c>
      <c r="DC69" s="39" t="str">
        <f>'Por Valoracion (3) Dimension 2'!B69</f>
        <v>0</v>
      </c>
      <c r="DX69" s="46"/>
      <c r="DZ69" t="str">
        <f>('Inteligencia emocional'!A70)</f>
        <v>0</v>
      </c>
      <c r="EA69" s="39" t="str">
        <f>'Por Valoracion (3) Dimension'!D69</f>
        <v>0</v>
      </c>
      <c r="EB69" s="39" t="str">
        <f>'Por Valoracion (3) Dimension 2'!D69</f>
        <v>0</v>
      </c>
      <c r="EW69" s="46"/>
      <c r="EY69" t="str">
        <f>('Inteligencia emocional'!A70)</f>
        <v>0</v>
      </c>
      <c r="EZ69" s="39" t="str">
        <f>'Por Valoracion (3) Dimension'!D69</f>
        <v>0</v>
      </c>
      <c r="FA69" s="39" t="str">
        <f>'Por Valoracion (3) Dimension 2'!F69</f>
        <v>0</v>
      </c>
      <c r="FV69" s="46"/>
      <c r="FX69" t="str">
        <f>('Inteligencia emocional'!A70)</f>
        <v>0</v>
      </c>
      <c r="FY69" s="39" t="str">
        <f>'Por Valoracion (3) Dimension'!D69</f>
        <v>0</v>
      </c>
      <c r="FZ69" s="39" t="str">
        <f>'Por Valoracion (3) Dimension 2'!H69</f>
        <v>0</v>
      </c>
      <c r="GU69" s="46"/>
      <c r="GW69" s="47"/>
      <c r="GY69" t="str">
        <f>('Inteligencia emocional'!A70)</f>
        <v>0</v>
      </c>
      <c r="GZ69" s="39" t="str">
        <f>'Por Valoracion (3) Dimension'!F69</f>
        <v>0</v>
      </c>
      <c r="HA69" s="39" t="str">
        <f>'Por Valoracion (3) Dimension 2'!B69</f>
        <v>0</v>
      </c>
      <c r="HV69" s="47"/>
      <c r="HX69" t="str">
        <f>('Inteligencia emocional'!A70)</f>
        <v>0</v>
      </c>
      <c r="HY69" s="39" t="str">
        <f>'Por Valoracion (3) Dimension'!F69</f>
        <v>0</v>
      </c>
      <c r="HZ69" s="39" t="str">
        <f>'Por Valoracion (3) Dimension 2'!D69</f>
        <v>0</v>
      </c>
      <c r="IU69" s="47"/>
      <c r="IW69" t="str">
        <f>('Inteligencia emocional'!A70)</f>
        <v>0</v>
      </c>
      <c r="IX69" s="39" t="str">
        <f>'Por Valoracion (3) Dimension'!F69</f>
        <v>0</v>
      </c>
      <c r="IY69" s="39" t="str">
        <f>'Por Valoracion (3) Dimension 2'!F69</f>
        <v>0</v>
      </c>
      <c r="JT69" s="47"/>
      <c r="JV69" t="str">
        <f>('Inteligencia emocional'!A70)</f>
        <v>0</v>
      </c>
      <c r="JW69" s="39" t="str">
        <f>'Por Valoracion (3) Dimension'!F69</f>
        <v>0</v>
      </c>
      <c r="JX69" s="39" t="str">
        <f>'Por Valoracion (3) Dimension 2'!H69</f>
        <v>0</v>
      </c>
      <c r="KS69" s="47"/>
    </row>
    <row r="70" spans="1:305">
      <c r="A70" s="38"/>
      <c r="C70" t="str">
        <f>('Inteligencia emocional'!A71)</f>
        <v>0</v>
      </c>
      <c r="D70" s="39" t="str">
        <f>'Por Valoracion (3) Dimension'!B70</f>
        <v>0</v>
      </c>
      <c r="E70" s="39" t="str">
        <f>'Por Valoracion (3) Dimension 2'!B70</f>
        <v>0</v>
      </c>
      <c r="Z70" s="38"/>
      <c r="AB70" t="str">
        <f>('Inteligencia emocional'!A71)</f>
        <v>0</v>
      </c>
      <c r="AC70" s="39" t="str">
        <f>'Por Valoracion (3) Dimension'!B70</f>
        <v>0</v>
      </c>
      <c r="AD70" s="39" t="str">
        <f>'Por Valoracion (3) Dimension 2'!D70</f>
        <v>0</v>
      </c>
      <c r="AY70" s="38"/>
      <c r="BA70" t="str">
        <f>('Inteligencia emocional'!A71)</f>
        <v>0</v>
      </c>
      <c r="BB70" s="39" t="str">
        <f>'Por Valoracion (3) Dimension'!B70</f>
        <v>0</v>
      </c>
      <c r="BC70" s="39" t="str">
        <f>'Por Valoracion (3) Dimension 2'!F70</f>
        <v>0</v>
      </c>
      <c r="BX70" s="38"/>
      <c r="BZ70" t="str">
        <f>('Inteligencia emocional'!A71)</f>
        <v>0</v>
      </c>
      <c r="CA70" s="39" t="str">
        <f>'Por Valoracion (3) Dimension'!B70</f>
        <v>0</v>
      </c>
      <c r="CB70" s="39" t="str">
        <f>'Por Valoracion (3) Dimension 2'!H70</f>
        <v>0</v>
      </c>
      <c r="CW70" s="38"/>
      <c r="CY70" s="46"/>
      <c r="DA70" t="str">
        <f>('Inteligencia emocional'!A71)</f>
        <v>0</v>
      </c>
      <c r="DB70" s="39" t="str">
        <f>'Por Valoracion (3) Dimension'!D70</f>
        <v>0</v>
      </c>
      <c r="DC70" s="39" t="str">
        <f>'Por Valoracion (3) Dimension 2'!B70</f>
        <v>0</v>
      </c>
      <c r="DX70" s="46"/>
      <c r="DZ70" t="str">
        <f>('Inteligencia emocional'!A71)</f>
        <v>0</v>
      </c>
      <c r="EA70" s="39" t="str">
        <f>'Por Valoracion (3) Dimension'!D70</f>
        <v>0</v>
      </c>
      <c r="EB70" s="39" t="str">
        <f>'Por Valoracion (3) Dimension 2'!D70</f>
        <v>0</v>
      </c>
      <c r="EW70" s="46"/>
      <c r="EY70" t="str">
        <f>('Inteligencia emocional'!A71)</f>
        <v>0</v>
      </c>
      <c r="EZ70" s="39" t="str">
        <f>'Por Valoracion (3) Dimension'!D70</f>
        <v>0</v>
      </c>
      <c r="FA70" s="39" t="str">
        <f>'Por Valoracion (3) Dimension 2'!F70</f>
        <v>0</v>
      </c>
      <c r="FV70" s="46"/>
      <c r="FX70" t="str">
        <f>('Inteligencia emocional'!A71)</f>
        <v>0</v>
      </c>
      <c r="FY70" s="39" t="str">
        <f>'Por Valoracion (3) Dimension'!D70</f>
        <v>0</v>
      </c>
      <c r="FZ70" s="39" t="str">
        <f>'Por Valoracion (3) Dimension 2'!H70</f>
        <v>0</v>
      </c>
      <c r="GU70" s="46"/>
      <c r="GW70" s="47"/>
      <c r="GY70" t="str">
        <f>('Inteligencia emocional'!A71)</f>
        <v>0</v>
      </c>
      <c r="GZ70" s="39" t="str">
        <f>'Por Valoracion (3) Dimension'!F70</f>
        <v>0</v>
      </c>
      <c r="HA70" s="39" t="str">
        <f>'Por Valoracion (3) Dimension 2'!B70</f>
        <v>0</v>
      </c>
      <c r="HV70" s="47"/>
      <c r="HX70" t="str">
        <f>('Inteligencia emocional'!A71)</f>
        <v>0</v>
      </c>
      <c r="HY70" s="39" t="str">
        <f>'Por Valoracion (3) Dimension'!F70</f>
        <v>0</v>
      </c>
      <c r="HZ70" s="39" t="str">
        <f>'Por Valoracion (3) Dimension 2'!D70</f>
        <v>0</v>
      </c>
      <c r="IU70" s="47"/>
      <c r="IW70" t="str">
        <f>('Inteligencia emocional'!A71)</f>
        <v>0</v>
      </c>
      <c r="IX70" s="39" t="str">
        <f>'Por Valoracion (3) Dimension'!F70</f>
        <v>0</v>
      </c>
      <c r="IY70" s="39" t="str">
        <f>'Por Valoracion (3) Dimension 2'!F70</f>
        <v>0</v>
      </c>
      <c r="JT70" s="47"/>
      <c r="JV70" t="str">
        <f>('Inteligencia emocional'!A71)</f>
        <v>0</v>
      </c>
      <c r="JW70" s="39" t="str">
        <f>'Por Valoracion (3) Dimension'!F70</f>
        <v>0</v>
      </c>
      <c r="JX70" s="39" t="str">
        <f>'Por Valoracion (3) Dimension 2'!H70</f>
        <v>0</v>
      </c>
      <c r="KS70" s="47"/>
    </row>
    <row r="71" spans="1:305">
      <c r="A71" s="38"/>
      <c r="C71" t="str">
        <f>('Inteligencia emocional'!A72)</f>
        <v>0</v>
      </c>
      <c r="D71" s="39" t="str">
        <f>'Por Valoracion (3) Dimension'!B71</f>
        <v>0</v>
      </c>
      <c r="E71" s="39" t="str">
        <f>'Por Valoracion (3) Dimension 2'!B71</f>
        <v>0</v>
      </c>
      <c r="Z71" s="38"/>
      <c r="AB71" t="str">
        <f>('Inteligencia emocional'!A72)</f>
        <v>0</v>
      </c>
      <c r="AC71" s="39" t="str">
        <f>'Por Valoracion (3) Dimension'!B71</f>
        <v>0</v>
      </c>
      <c r="AD71" s="39" t="str">
        <f>'Por Valoracion (3) Dimension 2'!D71</f>
        <v>0</v>
      </c>
      <c r="AY71" s="38"/>
      <c r="BA71" t="str">
        <f>('Inteligencia emocional'!A72)</f>
        <v>0</v>
      </c>
      <c r="BB71" s="39" t="str">
        <f>'Por Valoracion (3) Dimension'!B71</f>
        <v>0</v>
      </c>
      <c r="BC71" s="39" t="str">
        <f>'Por Valoracion (3) Dimension 2'!F71</f>
        <v>0</v>
      </c>
      <c r="BX71" s="38"/>
      <c r="BZ71" t="str">
        <f>('Inteligencia emocional'!A72)</f>
        <v>0</v>
      </c>
      <c r="CA71" s="39" t="str">
        <f>'Por Valoracion (3) Dimension'!B71</f>
        <v>0</v>
      </c>
      <c r="CB71" s="39" t="str">
        <f>'Por Valoracion (3) Dimension 2'!H71</f>
        <v>0</v>
      </c>
      <c r="CW71" s="38"/>
      <c r="CY71" s="46"/>
      <c r="DA71" t="str">
        <f>('Inteligencia emocional'!A72)</f>
        <v>0</v>
      </c>
      <c r="DB71" s="39" t="str">
        <f>'Por Valoracion (3) Dimension'!D71</f>
        <v>0</v>
      </c>
      <c r="DC71" s="39" t="str">
        <f>'Por Valoracion (3) Dimension 2'!B71</f>
        <v>0</v>
      </c>
      <c r="DX71" s="46"/>
      <c r="DZ71" t="str">
        <f>('Inteligencia emocional'!A72)</f>
        <v>0</v>
      </c>
      <c r="EA71" s="39" t="str">
        <f>'Por Valoracion (3) Dimension'!D71</f>
        <v>0</v>
      </c>
      <c r="EB71" s="39" t="str">
        <f>'Por Valoracion (3) Dimension 2'!D71</f>
        <v>0</v>
      </c>
      <c r="EW71" s="46"/>
      <c r="EY71" t="str">
        <f>('Inteligencia emocional'!A72)</f>
        <v>0</v>
      </c>
      <c r="EZ71" s="39" t="str">
        <f>'Por Valoracion (3) Dimension'!D71</f>
        <v>0</v>
      </c>
      <c r="FA71" s="39" t="str">
        <f>'Por Valoracion (3) Dimension 2'!F71</f>
        <v>0</v>
      </c>
      <c r="FV71" s="46"/>
      <c r="FX71" t="str">
        <f>('Inteligencia emocional'!A72)</f>
        <v>0</v>
      </c>
      <c r="FY71" s="39" t="str">
        <f>'Por Valoracion (3) Dimension'!D71</f>
        <v>0</v>
      </c>
      <c r="FZ71" s="39" t="str">
        <f>'Por Valoracion (3) Dimension 2'!H71</f>
        <v>0</v>
      </c>
      <c r="GU71" s="46"/>
      <c r="GW71" s="47"/>
      <c r="GY71" t="str">
        <f>('Inteligencia emocional'!A72)</f>
        <v>0</v>
      </c>
      <c r="GZ71" s="39" t="str">
        <f>'Por Valoracion (3) Dimension'!F71</f>
        <v>0</v>
      </c>
      <c r="HA71" s="39" t="str">
        <f>'Por Valoracion (3) Dimension 2'!B71</f>
        <v>0</v>
      </c>
      <c r="HV71" s="47"/>
      <c r="HX71" t="str">
        <f>('Inteligencia emocional'!A72)</f>
        <v>0</v>
      </c>
      <c r="HY71" s="39" t="str">
        <f>'Por Valoracion (3) Dimension'!F71</f>
        <v>0</v>
      </c>
      <c r="HZ71" s="39" t="str">
        <f>'Por Valoracion (3) Dimension 2'!D71</f>
        <v>0</v>
      </c>
      <c r="IU71" s="47"/>
      <c r="IW71" t="str">
        <f>('Inteligencia emocional'!A72)</f>
        <v>0</v>
      </c>
      <c r="IX71" s="39" t="str">
        <f>'Por Valoracion (3) Dimension'!F71</f>
        <v>0</v>
      </c>
      <c r="IY71" s="39" t="str">
        <f>'Por Valoracion (3) Dimension 2'!F71</f>
        <v>0</v>
      </c>
      <c r="JT71" s="47"/>
      <c r="JV71" t="str">
        <f>('Inteligencia emocional'!A72)</f>
        <v>0</v>
      </c>
      <c r="JW71" s="39" t="str">
        <f>'Por Valoracion (3) Dimension'!F71</f>
        <v>0</v>
      </c>
      <c r="JX71" s="39" t="str">
        <f>'Por Valoracion (3) Dimension 2'!H71</f>
        <v>0</v>
      </c>
      <c r="KS71" s="47"/>
    </row>
    <row r="72" spans="1:305">
      <c r="A72" s="38"/>
      <c r="C72" t="str">
        <f>('Inteligencia emocional'!A73)</f>
        <v>0</v>
      </c>
      <c r="D72" s="39" t="str">
        <f>'Por Valoracion (3) Dimension'!B72</f>
        <v>0</v>
      </c>
      <c r="E72" s="39" t="str">
        <f>'Por Valoracion (3) Dimension 2'!B72</f>
        <v>0</v>
      </c>
      <c r="Z72" s="38"/>
      <c r="AB72" t="str">
        <f>('Inteligencia emocional'!A73)</f>
        <v>0</v>
      </c>
      <c r="AC72" s="39" t="str">
        <f>'Por Valoracion (3) Dimension'!B72</f>
        <v>0</v>
      </c>
      <c r="AD72" s="39" t="str">
        <f>'Por Valoracion (3) Dimension 2'!D72</f>
        <v>0</v>
      </c>
      <c r="AY72" s="38"/>
      <c r="BA72" t="str">
        <f>('Inteligencia emocional'!A73)</f>
        <v>0</v>
      </c>
      <c r="BB72" s="39" t="str">
        <f>'Por Valoracion (3) Dimension'!B72</f>
        <v>0</v>
      </c>
      <c r="BC72" s="39" t="str">
        <f>'Por Valoracion (3) Dimension 2'!F72</f>
        <v>0</v>
      </c>
      <c r="BX72" s="38"/>
      <c r="BZ72" t="str">
        <f>('Inteligencia emocional'!A73)</f>
        <v>0</v>
      </c>
      <c r="CA72" s="39" t="str">
        <f>'Por Valoracion (3) Dimension'!B72</f>
        <v>0</v>
      </c>
      <c r="CB72" s="39" t="str">
        <f>'Por Valoracion (3) Dimension 2'!H72</f>
        <v>0</v>
      </c>
      <c r="CW72" s="38"/>
      <c r="CY72" s="46"/>
      <c r="DA72" t="str">
        <f>('Inteligencia emocional'!A73)</f>
        <v>0</v>
      </c>
      <c r="DB72" s="39" t="str">
        <f>'Por Valoracion (3) Dimension'!D72</f>
        <v>0</v>
      </c>
      <c r="DC72" s="39" t="str">
        <f>'Por Valoracion (3) Dimension 2'!B72</f>
        <v>0</v>
      </c>
      <c r="DX72" s="46"/>
      <c r="DZ72" t="str">
        <f>('Inteligencia emocional'!A73)</f>
        <v>0</v>
      </c>
      <c r="EA72" s="39" t="str">
        <f>'Por Valoracion (3) Dimension'!D72</f>
        <v>0</v>
      </c>
      <c r="EB72" s="39" t="str">
        <f>'Por Valoracion (3) Dimension 2'!D72</f>
        <v>0</v>
      </c>
      <c r="EW72" s="46"/>
      <c r="EY72" t="str">
        <f>('Inteligencia emocional'!A73)</f>
        <v>0</v>
      </c>
      <c r="EZ72" s="39" t="str">
        <f>'Por Valoracion (3) Dimension'!D72</f>
        <v>0</v>
      </c>
      <c r="FA72" s="39" t="str">
        <f>'Por Valoracion (3) Dimension 2'!F72</f>
        <v>0</v>
      </c>
      <c r="FV72" s="46"/>
      <c r="FX72" t="str">
        <f>('Inteligencia emocional'!A73)</f>
        <v>0</v>
      </c>
      <c r="FY72" s="39" t="str">
        <f>'Por Valoracion (3) Dimension'!D72</f>
        <v>0</v>
      </c>
      <c r="FZ72" s="39" t="str">
        <f>'Por Valoracion (3) Dimension 2'!H72</f>
        <v>0</v>
      </c>
      <c r="GU72" s="46"/>
      <c r="GW72" s="47"/>
      <c r="GY72" t="str">
        <f>('Inteligencia emocional'!A73)</f>
        <v>0</v>
      </c>
      <c r="GZ72" s="39" t="str">
        <f>'Por Valoracion (3) Dimension'!F72</f>
        <v>0</v>
      </c>
      <c r="HA72" s="39" t="str">
        <f>'Por Valoracion (3) Dimension 2'!B72</f>
        <v>0</v>
      </c>
      <c r="HV72" s="47"/>
      <c r="HX72" t="str">
        <f>('Inteligencia emocional'!A73)</f>
        <v>0</v>
      </c>
      <c r="HY72" s="39" t="str">
        <f>'Por Valoracion (3) Dimension'!F72</f>
        <v>0</v>
      </c>
      <c r="HZ72" s="39" t="str">
        <f>'Por Valoracion (3) Dimension 2'!D72</f>
        <v>0</v>
      </c>
      <c r="IU72" s="47"/>
      <c r="IW72" t="str">
        <f>('Inteligencia emocional'!A73)</f>
        <v>0</v>
      </c>
      <c r="IX72" s="39" t="str">
        <f>'Por Valoracion (3) Dimension'!F72</f>
        <v>0</v>
      </c>
      <c r="IY72" s="39" t="str">
        <f>'Por Valoracion (3) Dimension 2'!F72</f>
        <v>0</v>
      </c>
      <c r="JT72" s="47"/>
      <c r="JV72" t="str">
        <f>('Inteligencia emocional'!A73)</f>
        <v>0</v>
      </c>
      <c r="JW72" s="39" t="str">
        <f>'Por Valoracion (3) Dimension'!F72</f>
        <v>0</v>
      </c>
      <c r="JX72" s="39" t="str">
        <f>'Por Valoracion (3) Dimension 2'!H72</f>
        <v>0</v>
      </c>
      <c r="KS72" s="47"/>
    </row>
    <row r="73" spans="1:305">
      <c r="A73" s="38"/>
      <c r="C73" t="str">
        <f>('Inteligencia emocional'!A74)</f>
        <v>0</v>
      </c>
      <c r="D73" s="39" t="str">
        <f>'Por Valoracion (3) Dimension'!B73</f>
        <v>0</v>
      </c>
      <c r="E73" s="39" t="str">
        <f>'Por Valoracion (3) Dimension 2'!B73</f>
        <v>0</v>
      </c>
      <c r="Z73" s="38"/>
      <c r="AB73" t="str">
        <f>('Inteligencia emocional'!A74)</f>
        <v>0</v>
      </c>
      <c r="AC73" s="39" t="str">
        <f>'Por Valoracion (3) Dimension'!B73</f>
        <v>0</v>
      </c>
      <c r="AD73" s="39" t="str">
        <f>'Por Valoracion (3) Dimension 2'!D73</f>
        <v>0</v>
      </c>
      <c r="AY73" s="38"/>
      <c r="BA73" t="str">
        <f>('Inteligencia emocional'!A74)</f>
        <v>0</v>
      </c>
      <c r="BB73" s="39" t="str">
        <f>'Por Valoracion (3) Dimension'!B73</f>
        <v>0</v>
      </c>
      <c r="BC73" s="39" t="str">
        <f>'Por Valoracion (3) Dimension 2'!F73</f>
        <v>0</v>
      </c>
      <c r="BX73" s="38"/>
      <c r="BZ73" t="str">
        <f>('Inteligencia emocional'!A74)</f>
        <v>0</v>
      </c>
      <c r="CA73" s="39" t="str">
        <f>'Por Valoracion (3) Dimension'!B73</f>
        <v>0</v>
      </c>
      <c r="CB73" s="39" t="str">
        <f>'Por Valoracion (3) Dimension 2'!H73</f>
        <v>0</v>
      </c>
      <c r="CW73" s="38"/>
      <c r="CY73" s="46"/>
      <c r="DA73" t="str">
        <f>('Inteligencia emocional'!A74)</f>
        <v>0</v>
      </c>
      <c r="DB73" s="39" t="str">
        <f>'Por Valoracion (3) Dimension'!D73</f>
        <v>0</v>
      </c>
      <c r="DC73" s="39" t="str">
        <f>'Por Valoracion (3) Dimension 2'!B73</f>
        <v>0</v>
      </c>
      <c r="DX73" s="46"/>
      <c r="DZ73" t="str">
        <f>('Inteligencia emocional'!A74)</f>
        <v>0</v>
      </c>
      <c r="EA73" s="39" t="str">
        <f>'Por Valoracion (3) Dimension'!D73</f>
        <v>0</v>
      </c>
      <c r="EB73" s="39" t="str">
        <f>'Por Valoracion (3) Dimension 2'!D73</f>
        <v>0</v>
      </c>
      <c r="EW73" s="46"/>
      <c r="EY73" t="str">
        <f>('Inteligencia emocional'!A74)</f>
        <v>0</v>
      </c>
      <c r="EZ73" s="39" t="str">
        <f>'Por Valoracion (3) Dimension'!D73</f>
        <v>0</v>
      </c>
      <c r="FA73" s="39" t="str">
        <f>'Por Valoracion (3) Dimension 2'!F73</f>
        <v>0</v>
      </c>
      <c r="FV73" s="46"/>
      <c r="FX73" t="str">
        <f>('Inteligencia emocional'!A74)</f>
        <v>0</v>
      </c>
      <c r="FY73" s="39" t="str">
        <f>'Por Valoracion (3) Dimension'!D73</f>
        <v>0</v>
      </c>
      <c r="FZ73" s="39" t="str">
        <f>'Por Valoracion (3) Dimension 2'!H73</f>
        <v>0</v>
      </c>
      <c r="GU73" s="46"/>
      <c r="GW73" s="47"/>
      <c r="GY73" t="str">
        <f>('Inteligencia emocional'!A74)</f>
        <v>0</v>
      </c>
      <c r="GZ73" s="39" t="str">
        <f>'Por Valoracion (3) Dimension'!F73</f>
        <v>0</v>
      </c>
      <c r="HA73" s="39" t="str">
        <f>'Por Valoracion (3) Dimension 2'!B73</f>
        <v>0</v>
      </c>
      <c r="HV73" s="47"/>
      <c r="HX73" t="str">
        <f>('Inteligencia emocional'!A74)</f>
        <v>0</v>
      </c>
      <c r="HY73" s="39" t="str">
        <f>'Por Valoracion (3) Dimension'!F73</f>
        <v>0</v>
      </c>
      <c r="HZ73" s="39" t="str">
        <f>'Por Valoracion (3) Dimension 2'!D73</f>
        <v>0</v>
      </c>
      <c r="IU73" s="47"/>
      <c r="IW73" t="str">
        <f>('Inteligencia emocional'!A74)</f>
        <v>0</v>
      </c>
      <c r="IX73" s="39" t="str">
        <f>'Por Valoracion (3) Dimension'!F73</f>
        <v>0</v>
      </c>
      <c r="IY73" s="39" t="str">
        <f>'Por Valoracion (3) Dimension 2'!F73</f>
        <v>0</v>
      </c>
      <c r="JT73" s="47"/>
      <c r="JV73" t="str">
        <f>('Inteligencia emocional'!A74)</f>
        <v>0</v>
      </c>
      <c r="JW73" s="39" t="str">
        <f>'Por Valoracion (3) Dimension'!F73</f>
        <v>0</v>
      </c>
      <c r="JX73" s="39" t="str">
        <f>'Por Valoracion (3) Dimension 2'!H73</f>
        <v>0</v>
      </c>
      <c r="KS73" s="47"/>
    </row>
    <row r="74" spans="1:305">
      <c r="A74" s="38"/>
      <c r="C74" t="str">
        <f>('Inteligencia emocional'!A75)</f>
        <v>0</v>
      </c>
      <c r="D74" s="39" t="str">
        <f>'Por Valoracion (3) Dimension'!B74</f>
        <v>0</v>
      </c>
      <c r="E74" s="39" t="str">
        <f>'Por Valoracion (3) Dimension 2'!B74</f>
        <v>0</v>
      </c>
      <c r="Z74" s="38"/>
      <c r="AB74" t="str">
        <f>('Inteligencia emocional'!A75)</f>
        <v>0</v>
      </c>
      <c r="AC74" s="39" t="str">
        <f>'Por Valoracion (3) Dimension'!B74</f>
        <v>0</v>
      </c>
      <c r="AD74" s="39" t="str">
        <f>'Por Valoracion (3) Dimension 2'!D74</f>
        <v>0</v>
      </c>
      <c r="AY74" s="38"/>
      <c r="BA74" t="str">
        <f>('Inteligencia emocional'!A75)</f>
        <v>0</v>
      </c>
      <c r="BB74" s="39" t="str">
        <f>'Por Valoracion (3) Dimension'!B74</f>
        <v>0</v>
      </c>
      <c r="BC74" s="39" t="str">
        <f>'Por Valoracion (3) Dimension 2'!F74</f>
        <v>0</v>
      </c>
      <c r="BX74" s="38"/>
      <c r="BZ74" t="str">
        <f>('Inteligencia emocional'!A75)</f>
        <v>0</v>
      </c>
      <c r="CA74" s="39" t="str">
        <f>'Por Valoracion (3) Dimension'!B74</f>
        <v>0</v>
      </c>
      <c r="CB74" s="39" t="str">
        <f>'Por Valoracion (3) Dimension 2'!H74</f>
        <v>0</v>
      </c>
      <c r="CW74" s="38"/>
      <c r="CY74" s="46"/>
      <c r="DA74" t="str">
        <f>('Inteligencia emocional'!A75)</f>
        <v>0</v>
      </c>
      <c r="DB74" s="39" t="str">
        <f>'Por Valoracion (3) Dimension'!D74</f>
        <v>0</v>
      </c>
      <c r="DC74" s="39" t="str">
        <f>'Por Valoracion (3) Dimension 2'!B74</f>
        <v>0</v>
      </c>
      <c r="DX74" s="46"/>
      <c r="DZ74" t="str">
        <f>('Inteligencia emocional'!A75)</f>
        <v>0</v>
      </c>
      <c r="EA74" s="39" t="str">
        <f>'Por Valoracion (3) Dimension'!D74</f>
        <v>0</v>
      </c>
      <c r="EB74" s="39" t="str">
        <f>'Por Valoracion (3) Dimension 2'!D74</f>
        <v>0</v>
      </c>
      <c r="EW74" s="46"/>
      <c r="EY74" t="str">
        <f>('Inteligencia emocional'!A75)</f>
        <v>0</v>
      </c>
      <c r="EZ74" s="39" t="str">
        <f>'Por Valoracion (3) Dimension'!D74</f>
        <v>0</v>
      </c>
      <c r="FA74" s="39" t="str">
        <f>'Por Valoracion (3) Dimension 2'!F74</f>
        <v>0</v>
      </c>
      <c r="FV74" s="46"/>
      <c r="FX74" t="str">
        <f>('Inteligencia emocional'!A75)</f>
        <v>0</v>
      </c>
      <c r="FY74" s="39" t="str">
        <f>'Por Valoracion (3) Dimension'!D74</f>
        <v>0</v>
      </c>
      <c r="FZ74" s="39" t="str">
        <f>'Por Valoracion (3) Dimension 2'!H74</f>
        <v>0</v>
      </c>
      <c r="GU74" s="46"/>
      <c r="GW74" s="47"/>
      <c r="GY74" t="str">
        <f>('Inteligencia emocional'!A75)</f>
        <v>0</v>
      </c>
      <c r="GZ74" s="39" t="str">
        <f>'Por Valoracion (3) Dimension'!F74</f>
        <v>0</v>
      </c>
      <c r="HA74" s="39" t="str">
        <f>'Por Valoracion (3) Dimension 2'!B74</f>
        <v>0</v>
      </c>
      <c r="HV74" s="47"/>
      <c r="HX74" t="str">
        <f>('Inteligencia emocional'!A75)</f>
        <v>0</v>
      </c>
      <c r="HY74" s="39" t="str">
        <f>'Por Valoracion (3) Dimension'!F74</f>
        <v>0</v>
      </c>
      <c r="HZ74" s="39" t="str">
        <f>'Por Valoracion (3) Dimension 2'!D74</f>
        <v>0</v>
      </c>
      <c r="IU74" s="47"/>
      <c r="IW74" t="str">
        <f>('Inteligencia emocional'!A75)</f>
        <v>0</v>
      </c>
      <c r="IX74" s="39" t="str">
        <f>'Por Valoracion (3) Dimension'!F74</f>
        <v>0</v>
      </c>
      <c r="IY74" s="39" t="str">
        <f>'Por Valoracion (3) Dimension 2'!F74</f>
        <v>0</v>
      </c>
      <c r="JT74" s="47"/>
      <c r="JV74" t="str">
        <f>('Inteligencia emocional'!A75)</f>
        <v>0</v>
      </c>
      <c r="JW74" s="39" t="str">
        <f>'Por Valoracion (3) Dimension'!F74</f>
        <v>0</v>
      </c>
      <c r="JX74" s="39" t="str">
        <f>'Por Valoracion (3) Dimension 2'!H74</f>
        <v>0</v>
      </c>
      <c r="KS74" s="47"/>
    </row>
    <row r="75" spans="1:305">
      <c r="A75" s="38"/>
      <c r="C75" t="str">
        <f>('Inteligencia emocional'!A76)</f>
        <v>0</v>
      </c>
      <c r="D75" s="39" t="str">
        <f>'Por Valoracion (3) Dimension'!B75</f>
        <v>0</v>
      </c>
      <c r="E75" s="39" t="str">
        <f>'Por Valoracion (3) Dimension 2'!B75</f>
        <v>0</v>
      </c>
      <c r="Z75" s="38"/>
      <c r="AB75" t="str">
        <f>('Inteligencia emocional'!A76)</f>
        <v>0</v>
      </c>
      <c r="AC75" s="39" t="str">
        <f>'Por Valoracion (3) Dimension'!B75</f>
        <v>0</v>
      </c>
      <c r="AD75" s="39" t="str">
        <f>'Por Valoracion (3) Dimension 2'!D75</f>
        <v>0</v>
      </c>
      <c r="AY75" s="38"/>
      <c r="BA75" t="str">
        <f>('Inteligencia emocional'!A76)</f>
        <v>0</v>
      </c>
      <c r="BB75" s="39" t="str">
        <f>'Por Valoracion (3) Dimension'!B75</f>
        <v>0</v>
      </c>
      <c r="BC75" s="39" t="str">
        <f>'Por Valoracion (3) Dimension 2'!F75</f>
        <v>0</v>
      </c>
      <c r="BX75" s="38"/>
      <c r="BZ75" t="str">
        <f>('Inteligencia emocional'!A76)</f>
        <v>0</v>
      </c>
      <c r="CA75" s="39" t="str">
        <f>'Por Valoracion (3) Dimension'!B75</f>
        <v>0</v>
      </c>
      <c r="CB75" s="39" t="str">
        <f>'Por Valoracion (3) Dimension 2'!H75</f>
        <v>0</v>
      </c>
      <c r="CW75" s="38"/>
      <c r="CY75" s="46"/>
      <c r="DA75" t="str">
        <f>('Inteligencia emocional'!A76)</f>
        <v>0</v>
      </c>
      <c r="DB75" s="39" t="str">
        <f>'Por Valoracion (3) Dimension'!D75</f>
        <v>0</v>
      </c>
      <c r="DC75" s="39" t="str">
        <f>'Por Valoracion (3) Dimension 2'!B75</f>
        <v>0</v>
      </c>
      <c r="DX75" s="46"/>
      <c r="DZ75" t="str">
        <f>('Inteligencia emocional'!A76)</f>
        <v>0</v>
      </c>
      <c r="EA75" s="39" t="str">
        <f>'Por Valoracion (3) Dimension'!D75</f>
        <v>0</v>
      </c>
      <c r="EB75" s="39" t="str">
        <f>'Por Valoracion (3) Dimension 2'!D75</f>
        <v>0</v>
      </c>
      <c r="EW75" s="46"/>
      <c r="EY75" t="str">
        <f>('Inteligencia emocional'!A76)</f>
        <v>0</v>
      </c>
      <c r="EZ75" s="39" t="str">
        <f>'Por Valoracion (3) Dimension'!D75</f>
        <v>0</v>
      </c>
      <c r="FA75" s="39" t="str">
        <f>'Por Valoracion (3) Dimension 2'!F75</f>
        <v>0</v>
      </c>
      <c r="FV75" s="46"/>
      <c r="FX75" t="str">
        <f>('Inteligencia emocional'!A76)</f>
        <v>0</v>
      </c>
      <c r="FY75" s="39" t="str">
        <f>'Por Valoracion (3) Dimension'!D75</f>
        <v>0</v>
      </c>
      <c r="FZ75" s="39" t="str">
        <f>'Por Valoracion (3) Dimension 2'!H75</f>
        <v>0</v>
      </c>
      <c r="GU75" s="46"/>
      <c r="GW75" s="47"/>
      <c r="GY75" t="str">
        <f>('Inteligencia emocional'!A76)</f>
        <v>0</v>
      </c>
      <c r="GZ75" s="39" t="str">
        <f>'Por Valoracion (3) Dimension'!F75</f>
        <v>0</v>
      </c>
      <c r="HA75" s="39" t="str">
        <f>'Por Valoracion (3) Dimension 2'!B75</f>
        <v>0</v>
      </c>
      <c r="HV75" s="47"/>
      <c r="HX75" t="str">
        <f>('Inteligencia emocional'!A76)</f>
        <v>0</v>
      </c>
      <c r="HY75" s="39" t="str">
        <f>'Por Valoracion (3) Dimension'!F75</f>
        <v>0</v>
      </c>
      <c r="HZ75" s="39" t="str">
        <f>'Por Valoracion (3) Dimension 2'!D75</f>
        <v>0</v>
      </c>
      <c r="IU75" s="47"/>
      <c r="IW75" t="str">
        <f>('Inteligencia emocional'!A76)</f>
        <v>0</v>
      </c>
      <c r="IX75" s="39" t="str">
        <f>'Por Valoracion (3) Dimension'!F75</f>
        <v>0</v>
      </c>
      <c r="IY75" s="39" t="str">
        <f>'Por Valoracion (3) Dimension 2'!F75</f>
        <v>0</v>
      </c>
      <c r="JT75" s="47"/>
      <c r="JV75" t="str">
        <f>('Inteligencia emocional'!A76)</f>
        <v>0</v>
      </c>
      <c r="JW75" s="39" t="str">
        <f>'Por Valoracion (3) Dimension'!F75</f>
        <v>0</v>
      </c>
      <c r="JX75" s="39" t="str">
        <f>'Por Valoracion (3) Dimension 2'!H75</f>
        <v>0</v>
      </c>
      <c r="KS75" s="47"/>
    </row>
    <row r="76" spans="1:305">
      <c r="A76" s="38"/>
      <c r="C76" t="str">
        <f>('Inteligencia emocional'!A77)</f>
        <v>0</v>
      </c>
      <c r="D76" s="39" t="str">
        <f>'Por Valoracion (3) Dimension'!B76</f>
        <v>0</v>
      </c>
      <c r="E76" s="39" t="str">
        <f>'Por Valoracion (3) Dimension 2'!B76</f>
        <v>0</v>
      </c>
      <c r="Z76" s="38"/>
      <c r="AB76" t="str">
        <f>('Inteligencia emocional'!A77)</f>
        <v>0</v>
      </c>
      <c r="AC76" s="39" t="str">
        <f>'Por Valoracion (3) Dimension'!B76</f>
        <v>0</v>
      </c>
      <c r="AD76" s="39" t="str">
        <f>'Por Valoracion (3) Dimension 2'!D76</f>
        <v>0</v>
      </c>
      <c r="AY76" s="38"/>
      <c r="BA76" t="str">
        <f>('Inteligencia emocional'!A77)</f>
        <v>0</v>
      </c>
      <c r="BB76" s="39" t="str">
        <f>'Por Valoracion (3) Dimension'!B76</f>
        <v>0</v>
      </c>
      <c r="BC76" s="39" t="str">
        <f>'Por Valoracion (3) Dimension 2'!F76</f>
        <v>0</v>
      </c>
      <c r="BX76" s="38"/>
      <c r="BZ76" t="str">
        <f>('Inteligencia emocional'!A77)</f>
        <v>0</v>
      </c>
      <c r="CA76" s="39" t="str">
        <f>'Por Valoracion (3) Dimension'!B76</f>
        <v>0</v>
      </c>
      <c r="CB76" s="39" t="str">
        <f>'Por Valoracion (3) Dimension 2'!H76</f>
        <v>0</v>
      </c>
      <c r="CW76" s="38"/>
      <c r="CY76" s="46"/>
      <c r="DA76" t="str">
        <f>('Inteligencia emocional'!A77)</f>
        <v>0</v>
      </c>
      <c r="DB76" s="39" t="str">
        <f>'Por Valoracion (3) Dimension'!D76</f>
        <v>0</v>
      </c>
      <c r="DC76" s="39" t="str">
        <f>'Por Valoracion (3) Dimension 2'!B76</f>
        <v>0</v>
      </c>
      <c r="DX76" s="46"/>
      <c r="DZ76" t="str">
        <f>('Inteligencia emocional'!A77)</f>
        <v>0</v>
      </c>
      <c r="EA76" s="39" t="str">
        <f>'Por Valoracion (3) Dimension'!D76</f>
        <v>0</v>
      </c>
      <c r="EB76" s="39" t="str">
        <f>'Por Valoracion (3) Dimension 2'!D76</f>
        <v>0</v>
      </c>
      <c r="EW76" s="46"/>
      <c r="EY76" t="str">
        <f>('Inteligencia emocional'!A77)</f>
        <v>0</v>
      </c>
      <c r="EZ76" s="39" t="str">
        <f>'Por Valoracion (3) Dimension'!D76</f>
        <v>0</v>
      </c>
      <c r="FA76" s="39" t="str">
        <f>'Por Valoracion (3) Dimension 2'!F76</f>
        <v>0</v>
      </c>
      <c r="FV76" s="46"/>
      <c r="FX76" t="str">
        <f>('Inteligencia emocional'!A77)</f>
        <v>0</v>
      </c>
      <c r="FY76" s="39" t="str">
        <f>'Por Valoracion (3) Dimension'!D76</f>
        <v>0</v>
      </c>
      <c r="FZ76" s="39" t="str">
        <f>'Por Valoracion (3) Dimension 2'!H76</f>
        <v>0</v>
      </c>
      <c r="GU76" s="46"/>
      <c r="GW76" s="47"/>
      <c r="GY76" t="str">
        <f>('Inteligencia emocional'!A77)</f>
        <v>0</v>
      </c>
      <c r="GZ76" s="39" t="str">
        <f>'Por Valoracion (3) Dimension'!F76</f>
        <v>0</v>
      </c>
      <c r="HA76" s="39" t="str">
        <f>'Por Valoracion (3) Dimension 2'!B76</f>
        <v>0</v>
      </c>
      <c r="HV76" s="47"/>
      <c r="HX76" t="str">
        <f>('Inteligencia emocional'!A77)</f>
        <v>0</v>
      </c>
      <c r="HY76" s="39" t="str">
        <f>'Por Valoracion (3) Dimension'!F76</f>
        <v>0</v>
      </c>
      <c r="HZ76" s="39" t="str">
        <f>'Por Valoracion (3) Dimension 2'!D76</f>
        <v>0</v>
      </c>
      <c r="IU76" s="47"/>
      <c r="IW76" t="str">
        <f>('Inteligencia emocional'!A77)</f>
        <v>0</v>
      </c>
      <c r="IX76" s="39" t="str">
        <f>'Por Valoracion (3) Dimension'!F76</f>
        <v>0</v>
      </c>
      <c r="IY76" s="39" t="str">
        <f>'Por Valoracion (3) Dimension 2'!F76</f>
        <v>0</v>
      </c>
      <c r="JT76" s="47"/>
      <c r="JV76" t="str">
        <f>('Inteligencia emocional'!A77)</f>
        <v>0</v>
      </c>
      <c r="JW76" s="39" t="str">
        <f>'Por Valoracion (3) Dimension'!F76</f>
        <v>0</v>
      </c>
      <c r="JX76" s="39" t="str">
        <f>'Por Valoracion (3) Dimension 2'!H76</f>
        <v>0</v>
      </c>
      <c r="KS76" s="47"/>
    </row>
    <row r="77" spans="1:305">
      <c r="A77" s="38"/>
      <c r="C77" t="str">
        <f>('Inteligencia emocional'!A78)</f>
        <v>0</v>
      </c>
      <c r="D77" s="39" t="str">
        <f>'Por Valoracion (3) Dimension'!B77</f>
        <v>0</v>
      </c>
      <c r="E77" s="39" t="str">
        <f>'Por Valoracion (3) Dimension 2'!B77</f>
        <v>0</v>
      </c>
      <c r="Z77" s="38"/>
      <c r="AB77" t="str">
        <f>('Inteligencia emocional'!A78)</f>
        <v>0</v>
      </c>
      <c r="AC77" s="39" t="str">
        <f>'Por Valoracion (3) Dimension'!B77</f>
        <v>0</v>
      </c>
      <c r="AD77" s="39" t="str">
        <f>'Por Valoracion (3) Dimension 2'!D77</f>
        <v>0</v>
      </c>
      <c r="AY77" s="38"/>
      <c r="BA77" t="str">
        <f>('Inteligencia emocional'!A78)</f>
        <v>0</v>
      </c>
      <c r="BB77" s="39" t="str">
        <f>'Por Valoracion (3) Dimension'!B77</f>
        <v>0</v>
      </c>
      <c r="BC77" s="39" t="str">
        <f>'Por Valoracion (3) Dimension 2'!F77</f>
        <v>0</v>
      </c>
      <c r="BX77" s="38"/>
      <c r="BZ77" t="str">
        <f>('Inteligencia emocional'!A78)</f>
        <v>0</v>
      </c>
      <c r="CA77" s="39" t="str">
        <f>'Por Valoracion (3) Dimension'!B77</f>
        <v>0</v>
      </c>
      <c r="CB77" s="39" t="str">
        <f>'Por Valoracion (3) Dimension 2'!H77</f>
        <v>0</v>
      </c>
      <c r="CW77" s="38"/>
      <c r="CY77" s="46"/>
      <c r="DA77" t="str">
        <f>('Inteligencia emocional'!A78)</f>
        <v>0</v>
      </c>
      <c r="DB77" s="39" t="str">
        <f>'Por Valoracion (3) Dimension'!D77</f>
        <v>0</v>
      </c>
      <c r="DC77" s="39" t="str">
        <f>'Por Valoracion (3) Dimension 2'!B77</f>
        <v>0</v>
      </c>
      <c r="DX77" s="46"/>
      <c r="DZ77" t="str">
        <f>('Inteligencia emocional'!A78)</f>
        <v>0</v>
      </c>
      <c r="EA77" s="39" t="str">
        <f>'Por Valoracion (3) Dimension'!D77</f>
        <v>0</v>
      </c>
      <c r="EB77" s="39" t="str">
        <f>'Por Valoracion (3) Dimension 2'!D77</f>
        <v>0</v>
      </c>
      <c r="EW77" s="46"/>
      <c r="EY77" t="str">
        <f>('Inteligencia emocional'!A78)</f>
        <v>0</v>
      </c>
      <c r="EZ77" s="39" t="str">
        <f>'Por Valoracion (3) Dimension'!D77</f>
        <v>0</v>
      </c>
      <c r="FA77" s="39" t="str">
        <f>'Por Valoracion (3) Dimension 2'!F77</f>
        <v>0</v>
      </c>
      <c r="FV77" s="46"/>
      <c r="FX77" t="str">
        <f>('Inteligencia emocional'!A78)</f>
        <v>0</v>
      </c>
      <c r="FY77" s="39" t="str">
        <f>'Por Valoracion (3) Dimension'!D77</f>
        <v>0</v>
      </c>
      <c r="FZ77" s="39" t="str">
        <f>'Por Valoracion (3) Dimension 2'!H77</f>
        <v>0</v>
      </c>
      <c r="GU77" s="46"/>
      <c r="GW77" s="47"/>
      <c r="GY77" t="str">
        <f>('Inteligencia emocional'!A78)</f>
        <v>0</v>
      </c>
      <c r="GZ77" s="39" t="str">
        <f>'Por Valoracion (3) Dimension'!F77</f>
        <v>0</v>
      </c>
      <c r="HA77" s="39" t="str">
        <f>'Por Valoracion (3) Dimension 2'!B77</f>
        <v>0</v>
      </c>
      <c r="HV77" s="47"/>
      <c r="HX77" t="str">
        <f>('Inteligencia emocional'!A78)</f>
        <v>0</v>
      </c>
      <c r="HY77" s="39" t="str">
        <f>'Por Valoracion (3) Dimension'!F77</f>
        <v>0</v>
      </c>
      <c r="HZ77" s="39" t="str">
        <f>'Por Valoracion (3) Dimension 2'!D77</f>
        <v>0</v>
      </c>
      <c r="IU77" s="47"/>
      <c r="IW77" t="str">
        <f>('Inteligencia emocional'!A78)</f>
        <v>0</v>
      </c>
      <c r="IX77" s="39" t="str">
        <f>'Por Valoracion (3) Dimension'!F77</f>
        <v>0</v>
      </c>
      <c r="IY77" s="39" t="str">
        <f>'Por Valoracion (3) Dimension 2'!F77</f>
        <v>0</v>
      </c>
      <c r="JT77" s="47"/>
      <c r="JV77" t="str">
        <f>('Inteligencia emocional'!A78)</f>
        <v>0</v>
      </c>
      <c r="JW77" s="39" t="str">
        <f>'Por Valoracion (3) Dimension'!F77</f>
        <v>0</v>
      </c>
      <c r="JX77" s="39" t="str">
        <f>'Por Valoracion (3) Dimension 2'!H77</f>
        <v>0</v>
      </c>
      <c r="KS77" s="47"/>
    </row>
    <row r="78" spans="1:305">
      <c r="A78" s="38"/>
      <c r="C78" t="str">
        <f>('Inteligencia emocional'!A79)</f>
        <v>0</v>
      </c>
      <c r="D78" s="39" t="str">
        <f>'Por Valoracion (3) Dimension'!B78</f>
        <v>0</v>
      </c>
      <c r="E78" s="39" t="str">
        <f>'Por Valoracion (3) Dimension 2'!B78</f>
        <v>0</v>
      </c>
      <c r="Z78" s="38"/>
      <c r="AB78" t="str">
        <f>('Inteligencia emocional'!A79)</f>
        <v>0</v>
      </c>
      <c r="AC78" s="39" t="str">
        <f>'Por Valoracion (3) Dimension'!B78</f>
        <v>0</v>
      </c>
      <c r="AD78" s="39" t="str">
        <f>'Por Valoracion (3) Dimension 2'!D78</f>
        <v>0</v>
      </c>
      <c r="AY78" s="38"/>
      <c r="BA78" t="str">
        <f>('Inteligencia emocional'!A79)</f>
        <v>0</v>
      </c>
      <c r="BB78" s="39" t="str">
        <f>'Por Valoracion (3) Dimension'!B78</f>
        <v>0</v>
      </c>
      <c r="BC78" s="39" t="str">
        <f>'Por Valoracion (3) Dimension 2'!F78</f>
        <v>0</v>
      </c>
      <c r="BX78" s="38"/>
      <c r="BZ78" t="str">
        <f>('Inteligencia emocional'!A79)</f>
        <v>0</v>
      </c>
      <c r="CA78" s="39" t="str">
        <f>'Por Valoracion (3) Dimension'!B78</f>
        <v>0</v>
      </c>
      <c r="CB78" s="39" t="str">
        <f>'Por Valoracion (3) Dimension 2'!H78</f>
        <v>0</v>
      </c>
      <c r="CW78" s="38"/>
      <c r="CY78" s="46"/>
      <c r="DA78" t="str">
        <f>('Inteligencia emocional'!A79)</f>
        <v>0</v>
      </c>
      <c r="DB78" s="39" t="str">
        <f>'Por Valoracion (3) Dimension'!D78</f>
        <v>0</v>
      </c>
      <c r="DC78" s="39" t="str">
        <f>'Por Valoracion (3) Dimension 2'!B78</f>
        <v>0</v>
      </c>
      <c r="DX78" s="46"/>
      <c r="DZ78" t="str">
        <f>('Inteligencia emocional'!A79)</f>
        <v>0</v>
      </c>
      <c r="EA78" s="39" t="str">
        <f>'Por Valoracion (3) Dimension'!D78</f>
        <v>0</v>
      </c>
      <c r="EB78" s="39" t="str">
        <f>'Por Valoracion (3) Dimension 2'!D78</f>
        <v>0</v>
      </c>
      <c r="EW78" s="46"/>
      <c r="EY78" t="str">
        <f>('Inteligencia emocional'!A79)</f>
        <v>0</v>
      </c>
      <c r="EZ78" s="39" t="str">
        <f>'Por Valoracion (3) Dimension'!D78</f>
        <v>0</v>
      </c>
      <c r="FA78" s="39" t="str">
        <f>'Por Valoracion (3) Dimension 2'!F78</f>
        <v>0</v>
      </c>
      <c r="FV78" s="46"/>
      <c r="FX78" t="str">
        <f>('Inteligencia emocional'!A79)</f>
        <v>0</v>
      </c>
      <c r="FY78" s="39" t="str">
        <f>'Por Valoracion (3) Dimension'!D78</f>
        <v>0</v>
      </c>
      <c r="FZ78" s="39" t="str">
        <f>'Por Valoracion (3) Dimension 2'!H78</f>
        <v>0</v>
      </c>
      <c r="GU78" s="46"/>
      <c r="GW78" s="47"/>
      <c r="GY78" t="str">
        <f>('Inteligencia emocional'!A79)</f>
        <v>0</v>
      </c>
      <c r="GZ78" s="39" t="str">
        <f>'Por Valoracion (3) Dimension'!F78</f>
        <v>0</v>
      </c>
      <c r="HA78" s="39" t="str">
        <f>'Por Valoracion (3) Dimension 2'!B78</f>
        <v>0</v>
      </c>
      <c r="HV78" s="47"/>
      <c r="HX78" t="str">
        <f>('Inteligencia emocional'!A79)</f>
        <v>0</v>
      </c>
      <c r="HY78" s="39" t="str">
        <f>'Por Valoracion (3) Dimension'!F78</f>
        <v>0</v>
      </c>
      <c r="HZ78" s="39" t="str">
        <f>'Por Valoracion (3) Dimension 2'!D78</f>
        <v>0</v>
      </c>
      <c r="IU78" s="47"/>
      <c r="IW78" t="str">
        <f>('Inteligencia emocional'!A79)</f>
        <v>0</v>
      </c>
      <c r="IX78" s="39" t="str">
        <f>'Por Valoracion (3) Dimension'!F78</f>
        <v>0</v>
      </c>
      <c r="IY78" s="39" t="str">
        <f>'Por Valoracion (3) Dimension 2'!F78</f>
        <v>0</v>
      </c>
      <c r="JT78" s="47"/>
      <c r="JV78" t="str">
        <f>('Inteligencia emocional'!A79)</f>
        <v>0</v>
      </c>
      <c r="JW78" s="39" t="str">
        <f>'Por Valoracion (3) Dimension'!F78</f>
        <v>0</v>
      </c>
      <c r="JX78" s="39" t="str">
        <f>'Por Valoracion (3) Dimension 2'!H78</f>
        <v>0</v>
      </c>
      <c r="KS78" s="47"/>
    </row>
    <row r="79" spans="1:305">
      <c r="A79" s="38"/>
      <c r="C79" t="str">
        <f>('Inteligencia emocional'!A80)</f>
        <v>0</v>
      </c>
      <c r="D79" s="39" t="str">
        <f>'Por Valoracion (3) Dimension'!B79</f>
        <v>0</v>
      </c>
      <c r="E79" s="39" t="str">
        <f>'Por Valoracion (3) Dimension 2'!B79</f>
        <v>0</v>
      </c>
      <c r="Z79" s="38"/>
      <c r="AB79" t="str">
        <f>('Inteligencia emocional'!A80)</f>
        <v>0</v>
      </c>
      <c r="AC79" s="39" t="str">
        <f>'Por Valoracion (3) Dimension'!B79</f>
        <v>0</v>
      </c>
      <c r="AD79" s="39" t="str">
        <f>'Por Valoracion (3) Dimension 2'!D79</f>
        <v>0</v>
      </c>
      <c r="AY79" s="38"/>
      <c r="BA79" t="str">
        <f>('Inteligencia emocional'!A80)</f>
        <v>0</v>
      </c>
      <c r="BB79" s="39" t="str">
        <f>'Por Valoracion (3) Dimension'!B79</f>
        <v>0</v>
      </c>
      <c r="BC79" s="39" t="str">
        <f>'Por Valoracion (3) Dimension 2'!F79</f>
        <v>0</v>
      </c>
      <c r="BX79" s="38"/>
      <c r="BZ79" t="str">
        <f>('Inteligencia emocional'!A80)</f>
        <v>0</v>
      </c>
      <c r="CA79" s="39" t="str">
        <f>'Por Valoracion (3) Dimension'!B79</f>
        <v>0</v>
      </c>
      <c r="CB79" s="39" t="str">
        <f>'Por Valoracion (3) Dimension 2'!H79</f>
        <v>0</v>
      </c>
      <c r="CW79" s="38"/>
      <c r="CY79" s="46"/>
      <c r="DA79" t="str">
        <f>('Inteligencia emocional'!A80)</f>
        <v>0</v>
      </c>
      <c r="DB79" s="39" t="str">
        <f>'Por Valoracion (3) Dimension'!D79</f>
        <v>0</v>
      </c>
      <c r="DC79" s="39" t="str">
        <f>'Por Valoracion (3) Dimension 2'!B79</f>
        <v>0</v>
      </c>
      <c r="DX79" s="46"/>
      <c r="DZ79" t="str">
        <f>('Inteligencia emocional'!A80)</f>
        <v>0</v>
      </c>
      <c r="EA79" s="39" t="str">
        <f>'Por Valoracion (3) Dimension'!D79</f>
        <v>0</v>
      </c>
      <c r="EB79" s="39" t="str">
        <f>'Por Valoracion (3) Dimension 2'!D79</f>
        <v>0</v>
      </c>
      <c r="EW79" s="46"/>
      <c r="EY79" t="str">
        <f>('Inteligencia emocional'!A80)</f>
        <v>0</v>
      </c>
      <c r="EZ79" s="39" t="str">
        <f>'Por Valoracion (3) Dimension'!D79</f>
        <v>0</v>
      </c>
      <c r="FA79" s="39" t="str">
        <f>'Por Valoracion (3) Dimension 2'!F79</f>
        <v>0</v>
      </c>
      <c r="FV79" s="46"/>
      <c r="FX79" t="str">
        <f>('Inteligencia emocional'!A80)</f>
        <v>0</v>
      </c>
      <c r="FY79" s="39" t="str">
        <f>'Por Valoracion (3) Dimension'!D79</f>
        <v>0</v>
      </c>
      <c r="FZ79" s="39" t="str">
        <f>'Por Valoracion (3) Dimension 2'!H79</f>
        <v>0</v>
      </c>
      <c r="GU79" s="46"/>
      <c r="GW79" s="47"/>
      <c r="GY79" t="str">
        <f>('Inteligencia emocional'!A80)</f>
        <v>0</v>
      </c>
      <c r="GZ79" s="39" t="str">
        <f>'Por Valoracion (3) Dimension'!F79</f>
        <v>0</v>
      </c>
      <c r="HA79" s="39" t="str">
        <f>'Por Valoracion (3) Dimension 2'!B79</f>
        <v>0</v>
      </c>
      <c r="HV79" s="47"/>
      <c r="HX79" t="str">
        <f>('Inteligencia emocional'!A80)</f>
        <v>0</v>
      </c>
      <c r="HY79" s="39" t="str">
        <f>'Por Valoracion (3) Dimension'!F79</f>
        <v>0</v>
      </c>
      <c r="HZ79" s="39" t="str">
        <f>'Por Valoracion (3) Dimension 2'!D79</f>
        <v>0</v>
      </c>
      <c r="IU79" s="47"/>
      <c r="IW79" t="str">
        <f>('Inteligencia emocional'!A80)</f>
        <v>0</v>
      </c>
      <c r="IX79" s="39" t="str">
        <f>'Por Valoracion (3) Dimension'!F79</f>
        <v>0</v>
      </c>
      <c r="IY79" s="39" t="str">
        <f>'Por Valoracion (3) Dimension 2'!F79</f>
        <v>0</v>
      </c>
      <c r="JT79" s="47"/>
      <c r="JV79" t="str">
        <f>('Inteligencia emocional'!A80)</f>
        <v>0</v>
      </c>
      <c r="JW79" s="39" t="str">
        <f>'Por Valoracion (3) Dimension'!F79</f>
        <v>0</v>
      </c>
      <c r="JX79" s="39" t="str">
        <f>'Por Valoracion (3) Dimension 2'!H79</f>
        <v>0</v>
      </c>
      <c r="KS79" s="47"/>
    </row>
    <row r="80" spans="1:305">
      <c r="A80" s="38"/>
      <c r="C80" t="str">
        <f>('Inteligencia emocional'!A81)</f>
        <v>0</v>
      </c>
      <c r="D80" s="39" t="str">
        <f>'Por Valoracion (3) Dimension'!B80</f>
        <v>0</v>
      </c>
      <c r="E80" s="39" t="str">
        <f>'Por Valoracion (3) Dimension 2'!B80</f>
        <v>0</v>
      </c>
      <c r="Z80" s="38"/>
      <c r="AB80" t="str">
        <f>('Inteligencia emocional'!A81)</f>
        <v>0</v>
      </c>
      <c r="AC80" s="39" t="str">
        <f>'Por Valoracion (3) Dimension'!B80</f>
        <v>0</v>
      </c>
      <c r="AD80" s="39" t="str">
        <f>'Por Valoracion (3) Dimension 2'!D80</f>
        <v>0</v>
      </c>
      <c r="AY80" s="38"/>
      <c r="BA80" t="str">
        <f>('Inteligencia emocional'!A81)</f>
        <v>0</v>
      </c>
      <c r="BB80" s="39" t="str">
        <f>'Por Valoracion (3) Dimension'!B80</f>
        <v>0</v>
      </c>
      <c r="BC80" s="39" t="str">
        <f>'Por Valoracion (3) Dimension 2'!F80</f>
        <v>0</v>
      </c>
      <c r="BX80" s="38"/>
      <c r="BZ80" t="str">
        <f>('Inteligencia emocional'!A81)</f>
        <v>0</v>
      </c>
      <c r="CA80" s="39" t="str">
        <f>'Por Valoracion (3) Dimension'!B80</f>
        <v>0</v>
      </c>
      <c r="CB80" s="39" t="str">
        <f>'Por Valoracion (3) Dimension 2'!H80</f>
        <v>0</v>
      </c>
      <c r="CW80" s="38"/>
      <c r="CY80" s="46"/>
      <c r="DA80" t="str">
        <f>('Inteligencia emocional'!A81)</f>
        <v>0</v>
      </c>
      <c r="DB80" s="39" t="str">
        <f>'Por Valoracion (3) Dimension'!D80</f>
        <v>0</v>
      </c>
      <c r="DC80" s="39" t="str">
        <f>'Por Valoracion (3) Dimension 2'!B80</f>
        <v>0</v>
      </c>
      <c r="DX80" s="46"/>
      <c r="DZ80" t="str">
        <f>('Inteligencia emocional'!A81)</f>
        <v>0</v>
      </c>
      <c r="EA80" s="39" t="str">
        <f>'Por Valoracion (3) Dimension'!D80</f>
        <v>0</v>
      </c>
      <c r="EB80" s="39" t="str">
        <f>'Por Valoracion (3) Dimension 2'!D80</f>
        <v>0</v>
      </c>
      <c r="EW80" s="46"/>
      <c r="EY80" t="str">
        <f>('Inteligencia emocional'!A81)</f>
        <v>0</v>
      </c>
      <c r="EZ80" s="39" t="str">
        <f>'Por Valoracion (3) Dimension'!D80</f>
        <v>0</v>
      </c>
      <c r="FA80" s="39" t="str">
        <f>'Por Valoracion (3) Dimension 2'!F80</f>
        <v>0</v>
      </c>
      <c r="FV80" s="46"/>
      <c r="FX80" t="str">
        <f>('Inteligencia emocional'!A81)</f>
        <v>0</v>
      </c>
      <c r="FY80" s="39" t="str">
        <f>'Por Valoracion (3) Dimension'!D80</f>
        <v>0</v>
      </c>
      <c r="FZ80" s="39" t="str">
        <f>'Por Valoracion (3) Dimension 2'!H80</f>
        <v>0</v>
      </c>
      <c r="GU80" s="46"/>
      <c r="GW80" s="47"/>
      <c r="GY80" t="str">
        <f>('Inteligencia emocional'!A81)</f>
        <v>0</v>
      </c>
      <c r="GZ80" s="39" t="str">
        <f>'Por Valoracion (3) Dimension'!F80</f>
        <v>0</v>
      </c>
      <c r="HA80" s="39" t="str">
        <f>'Por Valoracion (3) Dimension 2'!B80</f>
        <v>0</v>
      </c>
      <c r="HV80" s="47"/>
      <c r="HX80" t="str">
        <f>('Inteligencia emocional'!A81)</f>
        <v>0</v>
      </c>
      <c r="HY80" s="39" t="str">
        <f>'Por Valoracion (3) Dimension'!F80</f>
        <v>0</v>
      </c>
      <c r="HZ80" s="39" t="str">
        <f>'Por Valoracion (3) Dimension 2'!D80</f>
        <v>0</v>
      </c>
      <c r="IU80" s="47"/>
      <c r="IW80" t="str">
        <f>('Inteligencia emocional'!A81)</f>
        <v>0</v>
      </c>
      <c r="IX80" s="39" t="str">
        <f>'Por Valoracion (3) Dimension'!F80</f>
        <v>0</v>
      </c>
      <c r="IY80" s="39" t="str">
        <f>'Por Valoracion (3) Dimension 2'!F80</f>
        <v>0</v>
      </c>
      <c r="JT80" s="47"/>
      <c r="JV80" t="str">
        <f>('Inteligencia emocional'!A81)</f>
        <v>0</v>
      </c>
      <c r="JW80" s="39" t="str">
        <f>'Por Valoracion (3) Dimension'!F80</f>
        <v>0</v>
      </c>
      <c r="JX80" s="39" t="str">
        <f>'Por Valoracion (3) Dimension 2'!H80</f>
        <v>0</v>
      </c>
      <c r="KS80" s="47"/>
    </row>
    <row r="81" spans="1:305">
      <c r="A81" s="38"/>
      <c r="C81" t="str">
        <f>('Inteligencia emocional'!A82)</f>
        <v>0</v>
      </c>
      <c r="D81" s="39" t="str">
        <f>'Por Valoracion (3) Dimension'!B81</f>
        <v>0</v>
      </c>
      <c r="E81" s="39" t="str">
        <f>'Por Valoracion (3) Dimension 2'!B81</f>
        <v>0</v>
      </c>
      <c r="Z81" s="38"/>
      <c r="AB81" t="str">
        <f>('Inteligencia emocional'!A82)</f>
        <v>0</v>
      </c>
      <c r="AC81" s="39" t="str">
        <f>'Por Valoracion (3) Dimension'!B81</f>
        <v>0</v>
      </c>
      <c r="AD81" s="39" t="str">
        <f>'Por Valoracion (3) Dimension 2'!D81</f>
        <v>0</v>
      </c>
      <c r="AY81" s="38"/>
      <c r="BA81" t="str">
        <f>('Inteligencia emocional'!A82)</f>
        <v>0</v>
      </c>
      <c r="BB81" s="39" t="str">
        <f>'Por Valoracion (3) Dimension'!B81</f>
        <v>0</v>
      </c>
      <c r="BC81" s="39" t="str">
        <f>'Por Valoracion (3) Dimension 2'!F81</f>
        <v>0</v>
      </c>
      <c r="BX81" s="38"/>
      <c r="BZ81" t="str">
        <f>('Inteligencia emocional'!A82)</f>
        <v>0</v>
      </c>
      <c r="CA81" s="39" t="str">
        <f>'Por Valoracion (3) Dimension'!B81</f>
        <v>0</v>
      </c>
      <c r="CB81" s="39" t="str">
        <f>'Por Valoracion (3) Dimension 2'!H81</f>
        <v>0</v>
      </c>
      <c r="CW81" s="38"/>
      <c r="CY81" s="46"/>
      <c r="DA81" t="str">
        <f>('Inteligencia emocional'!A82)</f>
        <v>0</v>
      </c>
      <c r="DB81" s="39" t="str">
        <f>'Por Valoracion (3) Dimension'!D81</f>
        <v>0</v>
      </c>
      <c r="DC81" s="39" t="str">
        <f>'Por Valoracion (3) Dimension 2'!B81</f>
        <v>0</v>
      </c>
      <c r="DX81" s="46"/>
      <c r="DZ81" t="str">
        <f>('Inteligencia emocional'!A82)</f>
        <v>0</v>
      </c>
      <c r="EA81" s="39" t="str">
        <f>'Por Valoracion (3) Dimension'!D81</f>
        <v>0</v>
      </c>
      <c r="EB81" s="39" t="str">
        <f>'Por Valoracion (3) Dimension 2'!D81</f>
        <v>0</v>
      </c>
      <c r="EW81" s="46"/>
      <c r="EY81" t="str">
        <f>('Inteligencia emocional'!A82)</f>
        <v>0</v>
      </c>
      <c r="EZ81" s="39" t="str">
        <f>'Por Valoracion (3) Dimension'!D81</f>
        <v>0</v>
      </c>
      <c r="FA81" s="39" t="str">
        <f>'Por Valoracion (3) Dimension 2'!F81</f>
        <v>0</v>
      </c>
      <c r="FV81" s="46"/>
      <c r="FX81" t="str">
        <f>('Inteligencia emocional'!A82)</f>
        <v>0</v>
      </c>
      <c r="FY81" s="39" t="str">
        <f>'Por Valoracion (3) Dimension'!D81</f>
        <v>0</v>
      </c>
      <c r="FZ81" s="39" t="str">
        <f>'Por Valoracion (3) Dimension 2'!H81</f>
        <v>0</v>
      </c>
      <c r="GU81" s="46"/>
      <c r="GW81" s="47"/>
      <c r="GY81" t="str">
        <f>('Inteligencia emocional'!A82)</f>
        <v>0</v>
      </c>
      <c r="GZ81" s="39" t="str">
        <f>'Por Valoracion (3) Dimension'!F81</f>
        <v>0</v>
      </c>
      <c r="HA81" s="39" t="str">
        <f>'Por Valoracion (3) Dimension 2'!B81</f>
        <v>0</v>
      </c>
      <c r="HV81" s="47"/>
      <c r="HX81" t="str">
        <f>('Inteligencia emocional'!A82)</f>
        <v>0</v>
      </c>
      <c r="HY81" s="39" t="str">
        <f>'Por Valoracion (3) Dimension'!F81</f>
        <v>0</v>
      </c>
      <c r="HZ81" s="39" t="str">
        <f>'Por Valoracion (3) Dimension 2'!D81</f>
        <v>0</v>
      </c>
      <c r="IU81" s="47"/>
      <c r="IW81" t="str">
        <f>('Inteligencia emocional'!A82)</f>
        <v>0</v>
      </c>
      <c r="IX81" s="39" t="str">
        <f>'Por Valoracion (3) Dimension'!F81</f>
        <v>0</v>
      </c>
      <c r="IY81" s="39" t="str">
        <f>'Por Valoracion (3) Dimension 2'!F81</f>
        <v>0</v>
      </c>
      <c r="JT81" s="47"/>
      <c r="JV81" t="str">
        <f>('Inteligencia emocional'!A82)</f>
        <v>0</v>
      </c>
      <c r="JW81" s="39" t="str">
        <f>'Por Valoracion (3) Dimension'!F81</f>
        <v>0</v>
      </c>
      <c r="JX81" s="39" t="str">
        <f>'Por Valoracion (3) Dimension 2'!H81</f>
        <v>0</v>
      </c>
      <c r="KS81" s="47"/>
    </row>
    <row r="82" spans="1:305">
      <c r="A82" s="38"/>
      <c r="C82" t="str">
        <f>('Inteligencia emocional'!A83)</f>
        <v>0</v>
      </c>
      <c r="D82" s="39" t="str">
        <f>'Por Valoracion (3) Dimension'!B82</f>
        <v>0</v>
      </c>
      <c r="E82" s="39" t="str">
        <f>'Por Valoracion (3) Dimension 2'!B82</f>
        <v>0</v>
      </c>
      <c r="Z82" s="38"/>
      <c r="AB82" t="str">
        <f>('Inteligencia emocional'!A83)</f>
        <v>0</v>
      </c>
      <c r="AC82" s="39" t="str">
        <f>'Por Valoracion (3) Dimension'!B82</f>
        <v>0</v>
      </c>
      <c r="AD82" s="39" t="str">
        <f>'Por Valoracion (3) Dimension 2'!D82</f>
        <v>0</v>
      </c>
      <c r="AY82" s="38"/>
      <c r="BA82" t="str">
        <f>('Inteligencia emocional'!A83)</f>
        <v>0</v>
      </c>
      <c r="BB82" s="39" t="str">
        <f>'Por Valoracion (3) Dimension'!B82</f>
        <v>0</v>
      </c>
      <c r="BC82" s="39" t="str">
        <f>'Por Valoracion (3) Dimension 2'!F82</f>
        <v>0</v>
      </c>
      <c r="BX82" s="38"/>
      <c r="BZ82" t="str">
        <f>('Inteligencia emocional'!A83)</f>
        <v>0</v>
      </c>
      <c r="CA82" s="39" t="str">
        <f>'Por Valoracion (3) Dimension'!B82</f>
        <v>0</v>
      </c>
      <c r="CB82" s="39" t="str">
        <f>'Por Valoracion (3) Dimension 2'!H82</f>
        <v>0</v>
      </c>
      <c r="CW82" s="38"/>
      <c r="CY82" s="46"/>
      <c r="DA82" t="str">
        <f>('Inteligencia emocional'!A83)</f>
        <v>0</v>
      </c>
      <c r="DB82" s="39" t="str">
        <f>'Por Valoracion (3) Dimension'!D82</f>
        <v>0</v>
      </c>
      <c r="DC82" s="39" t="str">
        <f>'Por Valoracion (3) Dimension 2'!B82</f>
        <v>0</v>
      </c>
      <c r="DX82" s="46"/>
      <c r="DZ82" t="str">
        <f>('Inteligencia emocional'!A83)</f>
        <v>0</v>
      </c>
      <c r="EA82" s="39" t="str">
        <f>'Por Valoracion (3) Dimension'!D82</f>
        <v>0</v>
      </c>
      <c r="EB82" s="39" t="str">
        <f>'Por Valoracion (3) Dimension 2'!D82</f>
        <v>0</v>
      </c>
      <c r="EW82" s="46"/>
      <c r="EY82" t="str">
        <f>('Inteligencia emocional'!A83)</f>
        <v>0</v>
      </c>
      <c r="EZ82" s="39" t="str">
        <f>'Por Valoracion (3) Dimension'!D82</f>
        <v>0</v>
      </c>
      <c r="FA82" s="39" t="str">
        <f>'Por Valoracion (3) Dimension 2'!F82</f>
        <v>0</v>
      </c>
      <c r="FV82" s="46"/>
      <c r="FX82" t="str">
        <f>('Inteligencia emocional'!A83)</f>
        <v>0</v>
      </c>
      <c r="FY82" s="39" t="str">
        <f>'Por Valoracion (3) Dimension'!D82</f>
        <v>0</v>
      </c>
      <c r="FZ82" s="39" t="str">
        <f>'Por Valoracion (3) Dimension 2'!H82</f>
        <v>0</v>
      </c>
      <c r="GU82" s="46"/>
      <c r="GW82" s="47"/>
      <c r="GY82" t="str">
        <f>('Inteligencia emocional'!A83)</f>
        <v>0</v>
      </c>
      <c r="GZ82" s="39" t="str">
        <f>'Por Valoracion (3) Dimension'!F82</f>
        <v>0</v>
      </c>
      <c r="HA82" s="39" t="str">
        <f>'Por Valoracion (3) Dimension 2'!B82</f>
        <v>0</v>
      </c>
      <c r="HV82" s="47"/>
      <c r="HX82" t="str">
        <f>('Inteligencia emocional'!A83)</f>
        <v>0</v>
      </c>
      <c r="HY82" s="39" t="str">
        <f>'Por Valoracion (3) Dimension'!F82</f>
        <v>0</v>
      </c>
      <c r="HZ82" s="39" t="str">
        <f>'Por Valoracion (3) Dimension 2'!D82</f>
        <v>0</v>
      </c>
      <c r="IU82" s="47"/>
      <c r="IW82" t="str">
        <f>('Inteligencia emocional'!A83)</f>
        <v>0</v>
      </c>
      <c r="IX82" s="39" t="str">
        <f>'Por Valoracion (3) Dimension'!F82</f>
        <v>0</v>
      </c>
      <c r="IY82" s="39" t="str">
        <f>'Por Valoracion (3) Dimension 2'!F82</f>
        <v>0</v>
      </c>
      <c r="JT82" s="47"/>
      <c r="JV82" t="str">
        <f>('Inteligencia emocional'!A83)</f>
        <v>0</v>
      </c>
      <c r="JW82" s="39" t="str">
        <f>'Por Valoracion (3) Dimension'!F82</f>
        <v>0</v>
      </c>
      <c r="JX82" s="39" t="str">
        <f>'Por Valoracion (3) Dimension 2'!H82</f>
        <v>0</v>
      </c>
      <c r="KS82" s="47"/>
    </row>
    <row r="83" spans="1:305">
      <c r="A83" s="38"/>
      <c r="C83" t="str">
        <f>('Inteligencia emocional'!A84)</f>
        <v>0</v>
      </c>
      <c r="D83" s="39" t="str">
        <f>'Por Valoracion (3) Dimension'!B83</f>
        <v>0</v>
      </c>
      <c r="E83" s="39" t="str">
        <f>'Por Valoracion (3) Dimension 2'!B83</f>
        <v>0</v>
      </c>
      <c r="Z83" s="38"/>
      <c r="AB83" t="str">
        <f>('Inteligencia emocional'!A84)</f>
        <v>0</v>
      </c>
      <c r="AC83" s="39" t="str">
        <f>'Por Valoracion (3) Dimension'!B83</f>
        <v>0</v>
      </c>
      <c r="AD83" s="39" t="str">
        <f>'Por Valoracion (3) Dimension 2'!D83</f>
        <v>0</v>
      </c>
      <c r="AY83" s="38"/>
      <c r="BA83" t="str">
        <f>('Inteligencia emocional'!A84)</f>
        <v>0</v>
      </c>
      <c r="BB83" s="39" t="str">
        <f>'Por Valoracion (3) Dimension'!B83</f>
        <v>0</v>
      </c>
      <c r="BC83" s="39" t="str">
        <f>'Por Valoracion (3) Dimension 2'!F83</f>
        <v>0</v>
      </c>
      <c r="BX83" s="38"/>
      <c r="BZ83" t="str">
        <f>('Inteligencia emocional'!A84)</f>
        <v>0</v>
      </c>
      <c r="CA83" s="39" t="str">
        <f>'Por Valoracion (3) Dimension'!B83</f>
        <v>0</v>
      </c>
      <c r="CB83" s="39" t="str">
        <f>'Por Valoracion (3) Dimension 2'!H83</f>
        <v>0</v>
      </c>
      <c r="CW83" s="38"/>
      <c r="CY83" s="46"/>
      <c r="DA83" t="str">
        <f>('Inteligencia emocional'!A84)</f>
        <v>0</v>
      </c>
      <c r="DB83" s="39" t="str">
        <f>'Por Valoracion (3) Dimension'!D83</f>
        <v>0</v>
      </c>
      <c r="DC83" s="39" t="str">
        <f>'Por Valoracion (3) Dimension 2'!B83</f>
        <v>0</v>
      </c>
      <c r="DX83" s="46"/>
      <c r="DZ83" t="str">
        <f>('Inteligencia emocional'!A84)</f>
        <v>0</v>
      </c>
      <c r="EA83" s="39" t="str">
        <f>'Por Valoracion (3) Dimension'!D83</f>
        <v>0</v>
      </c>
      <c r="EB83" s="39" t="str">
        <f>'Por Valoracion (3) Dimension 2'!D83</f>
        <v>0</v>
      </c>
      <c r="EW83" s="46"/>
      <c r="EY83" t="str">
        <f>('Inteligencia emocional'!A84)</f>
        <v>0</v>
      </c>
      <c r="EZ83" s="39" t="str">
        <f>'Por Valoracion (3) Dimension'!D83</f>
        <v>0</v>
      </c>
      <c r="FA83" s="39" t="str">
        <f>'Por Valoracion (3) Dimension 2'!F83</f>
        <v>0</v>
      </c>
      <c r="FV83" s="46"/>
      <c r="FX83" t="str">
        <f>('Inteligencia emocional'!A84)</f>
        <v>0</v>
      </c>
      <c r="FY83" s="39" t="str">
        <f>'Por Valoracion (3) Dimension'!D83</f>
        <v>0</v>
      </c>
      <c r="FZ83" s="39" t="str">
        <f>'Por Valoracion (3) Dimension 2'!H83</f>
        <v>0</v>
      </c>
      <c r="GU83" s="46"/>
      <c r="GW83" s="47"/>
      <c r="GY83" t="str">
        <f>('Inteligencia emocional'!A84)</f>
        <v>0</v>
      </c>
      <c r="GZ83" s="39" t="str">
        <f>'Por Valoracion (3) Dimension'!F83</f>
        <v>0</v>
      </c>
      <c r="HA83" s="39" t="str">
        <f>'Por Valoracion (3) Dimension 2'!B83</f>
        <v>0</v>
      </c>
      <c r="HV83" s="47"/>
      <c r="HX83" t="str">
        <f>('Inteligencia emocional'!A84)</f>
        <v>0</v>
      </c>
      <c r="HY83" s="39" t="str">
        <f>'Por Valoracion (3) Dimension'!F83</f>
        <v>0</v>
      </c>
      <c r="HZ83" s="39" t="str">
        <f>'Por Valoracion (3) Dimension 2'!D83</f>
        <v>0</v>
      </c>
      <c r="IU83" s="47"/>
      <c r="IW83" t="str">
        <f>('Inteligencia emocional'!A84)</f>
        <v>0</v>
      </c>
      <c r="IX83" s="39" t="str">
        <f>'Por Valoracion (3) Dimension'!F83</f>
        <v>0</v>
      </c>
      <c r="IY83" s="39" t="str">
        <f>'Por Valoracion (3) Dimension 2'!F83</f>
        <v>0</v>
      </c>
      <c r="JT83" s="47"/>
      <c r="JV83" t="str">
        <f>('Inteligencia emocional'!A84)</f>
        <v>0</v>
      </c>
      <c r="JW83" s="39" t="str">
        <f>'Por Valoracion (3) Dimension'!F83</f>
        <v>0</v>
      </c>
      <c r="JX83" s="39" t="str">
        <f>'Por Valoracion (3) Dimension 2'!H83</f>
        <v>0</v>
      </c>
      <c r="KS83" s="47"/>
    </row>
    <row r="84" spans="1:305">
      <c r="A84" s="38"/>
      <c r="C84" t="str">
        <f>('Inteligencia emocional'!A85)</f>
        <v>0</v>
      </c>
      <c r="D84" s="39" t="str">
        <f>'Por Valoracion (3) Dimension'!B84</f>
        <v>0</v>
      </c>
      <c r="E84" s="39" t="str">
        <f>'Por Valoracion (3) Dimension 2'!B84</f>
        <v>0</v>
      </c>
      <c r="Z84" s="38"/>
      <c r="AB84" t="str">
        <f>('Inteligencia emocional'!A85)</f>
        <v>0</v>
      </c>
      <c r="AC84" s="39" t="str">
        <f>'Por Valoracion (3) Dimension'!B84</f>
        <v>0</v>
      </c>
      <c r="AD84" s="39" t="str">
        <f>'Por Valoracion (3) Dimension 2'!D84</f>
        <v>0</v>
      </c>
      <c r="AY84" s="38"/>
      <c r="BA84" t="str">
        <f>('Inteligencia emocional'!A85)</f>
        <v>0</v>
      </c>
      <c r="BB84" s="39" t="str">
        <f>'Por Valoracion (3) Dimension'!B84</f>
        <v>0</v>
      </c>
      <c r="BC84" s="39" t="str">
        <f>'Por Valoracion (3) Dimension 2'!F84</f>
        <v>0</v>
      </c>
      <c r="BX84" s="38"/>
      <c r="BZ84" t="str">
        <f>('Inteligencia emocional'!A85)</f>
        <v>0</v>
      </c>
      <c r="CA84" s="39" t="str">
        <f>'Por Valoracion (3) Dimension'!B84</f>
        <v>0</v>
      </c>
      <c r="CB84" s="39" t="str">
        <f>'Por Valoracion (3) Dimension 2'!H84</f>
        <v>0</v>
      </c>
      <c r="CW84" s="38"/>
      <c r="CY84" s="46"/>
      <c r="DA84" t="str">
        <f>('Inteligencia emocional'!A85)</f>
        <v>0</v>
      </c>
      <c r="DB84" s="39" t="str">
        <f>'Por Valoracion (3) Dimension'!D84</f>
        <v>0</v>
      </c>
      <c r="DC84" s="39" t="str">
        <f>'Por Valoracion (3) Dimension 2'!B84</f>
        <v>0</v>
      </c>
      <c r="DX84" s="46"/>
      <c r="DZ84" t="str">
        <f>('Inteligencia emocional'!A85)</f>
        <v>0</v>
      </c>
      <c r="EA84" s="39" t="str">
        <f>'Por Valoracion (3) Dimension'!D84</f>
        <v>0</v>
      </c>
      <c r="EB84" s="39" t="str">
        <f>'Por Valoracion (3) Dimension 2'!D84</f>
        <v>0</v>
      </c>
      <c r="EW84" s="46"/>
      <c r="EY84" t="str">
        <f>('Inteligencia emocional'!A85)</f>
        <v>0</v>
      </c>
      <c r="EZ84" s="39" t="str">
        <f>'Por Valoracion (3) Dimension'!D84</f>
        <v>0</v>
      </c>
      <c r="FA84" s="39" t="str">
        <f>'Por Valoracion (3) Dimension 2'!F84</f>
        <v>0</v>
      </c>
      <c r="FV84" s="46"/>
      <c r="FX84" t="str">
        <f>('Inteligencia emocional'!A85)</f>
        <v>0</v>
      </c>
      <c r="FY84" s="39" t="str">
        <f>'Por Valoracion (3) Dimension'!D84</f>
        <v>0</v>
      </c>
      <c r="FZ84" s="39" t="str">
        <f>'Por Valoracion (3) Dimension 2'!H84</f>
        <v>0</v>
      </c>
      <c r="GU84" s="46"/>
      <c r="GW84" s="47"/>
      <c r="GY84" t="str">
        <f>('Inteligencia emocional'!A85)</f>
        <v>0</v>
      </c>
      <c r="GZ84" s="39" t="str">
        <f>'Por Valoracion (3) Dimension'!F84</f>
        <v>0</v>
      </c>
      <c r="HA84" s="39" t="str">
        <f>'Por Valoracion (3) Dimension 2'!B84</f>
        <v>0</v>
      </c>
      <c r="HV84" s="47"/>
      <c r="HX84" t="str">
        <f>('Inteligencia emocional'!A85)</f>
        <v>0</v>
      </c>
      <c r="HY84" s="39" t="str">
        <f>'Por Valoracion (3) Dimension'!F84</f>
        <v>0</v>
      </c>
      <c r="HZ84" s="39" t="str">
        <f>'Por Valoracion (3) Dimension 2'!D84</f>
        <v>0</v>
      </c>
      <c r="IU84" s="47"/>
      <c r="IW84" t="str">
        <f>('Inteligencia emocional'!A85)</f>
        <v>0</v>
      </c>
      <c r="IX84" s="39" t="str">
        <f>'Por Valoracion (3) Dimension'!F84</f>
        <v>0</v>
      </c>
      <c r="IY84" s="39" t="str">
        <f>'Por Valoracion (3) Dimension 2'!F84</f>
        <v>0</v>
      </c>
      <c r="JT84" s="47"/>
      <c r="JV84" t="str">
        <f>('Inteligencia emocional'!A85)</f>
        <v>0</v>
      </c>
      <c r="JW84" s="39" t="str">
        <f>'Por Valoracion (3) Dimension'!F84</f>
        <v>0</v>
      </c>
      <c r="JX84" s="39" t="str">
        <f>'Por Valoracion (3) Dimension 2'!H84</f>
        <v>0</v>
      </c>
      <c r="KS84" s="47"/>
    </row>
    <row r="85" spans="1:305">
      <c r="A85" s="38"/>
      <c r="C85" t="str">
        <f>('Inteligencia emocional'!A86)</f>
        <v>0</v>
      </c>
      <c r="D85" s="39" t="str">
        <f>'Por Valoracion (3) Dimension'!B85</f>
        <v>0</v>
      </c>
      <c r="E85" s="39" t="str">
        <f>'Por Valoracion (3) Dimension 2'!B85</f>
        <v>0</v>
      </c>
      <c r="Z85" s="38"/>
      <c r="AB85" t="str">
        <f>('Inteligencia emocional'!A86)</f>
        <v>0</v>
      </c>
      <c r="AC85" s="39" t="str">
        <f>'Por Valoracion (3) Dimension'!B85</f>
        <v>0</v>
      </c>
      <c r="AD85" s="39" t="str">
        <f>'Por Valoracion (3) Dimension 2'!D85</f>
        <v>0</v>
      </c>
      <c r="AY85" s="38"/>
      <c r="BA85" t="str">
        <f>('Inteligencia emocional'!A86)</f>
        <v>0</v>
      </c>
      <c r="BB85" s="39" t="str">
        <f>'Por Valoracion (3) Dimension'!B85</f>
        <v>0</v>
      </c>
      <c r="BC85" s="39" t="str">
        <f>'Por Valoracion (3) Dimension 2'!F85</f>
        <v>0</v>
      </c>
      <c r="BX85" s="38"/>
      <c r="BZ85" t="str">
        <f>('Inteligencia emocional'!A86)</f>
        <v>0</v>
      </c>
      <c r="CA85" s="39" t="str">
        <f>'Por Valoracion (3) Dimension'!B85</f>
        <v>0</v>
      </c>
      <c r="CB85" s="39" t="str">
        <f>'Por Valoracion (3) Dimension 2'!H85</f>
        <v>0</v>
      </c>
      <c r="CW85" s="38"/>
      <c r="CY85" s="46"/>
      <c r="DA85" t="str">
        <f>('Inteligencia emocional'!A86)</f>
        <v>0</v>
      </c>
      <c r="DB85" s="39" t="str">
        <f>'Por Valoracion (3) Dimension'!D85</f>
        <v>0</v>
      </c>
      <c r="DC85" s="39" t="str">
        <f>'Por Valoracion (3) Dimension 2'!B85</f>
        <v>0</v>
      </c>
      <c r="DX85" s="46"/>
      <c r="DZ85" t="str">
        <f>('Inteligencia emocional'!A86)</f>
        <v>0</v>
      </c>
      <c r="EA85" s="39" t="str">
        <f>'Por Valoracion (3) Dimension'!D85</f>
        <v>0</v>
      </c>
      <c r="EB85" s="39" t="str">
        <f>'Por Valoracion (3) Dimension 2'!D85</f>
        <v>0</v>
      </c>
      <c r="EW85" s="46"/>
      <c r="EY85" t="str">
        <f>('Inteligencia emocional'!A86)</f>
        <v>0</v>
      </c>
      <c r="EZ85" s="39" t="str">
        <f>'Por Valoracion (3) Dimension'!D85</f>
        <v>0</v>
      </c>
      <c r="FA85" s="39" t="str">
        <f>'Por Valoracion (3) Dimension 2'!F85</f>
        <v>0</v>
      </c>
      <c r="FV85" s="46"/>
      <c r="FX85" t="str">
        <f>('Inteligencia emocional'!A86)</f>
        <v>0</v>
      </c>
      <c r="FY85" s="39" t="str">
        <f>'Por Valoracion (3) Dimension'!D85</f>
        <v>0</v>
      </c>
      <c r="FZ85" s="39" t="str">
        <f>'Por Valoracion (3) Dimension 2'!H85</f>
        <v>0</v>
      </c>
      <c r="GU85" s="46"/>
      <c r="GW85" s="47"/>
      <c r="GY85" t="str">
        <f>('Inteligencia emocional'!A86)</f>
        <v>0</v>
      </c>
      <c r="GZ85" s="39" t="str">
        <f>'Por Valoracion (3) Dimension'!F85</f>
        <v>0</v>
      </c>
      <c r="HA85" s="39" t="str">
        <f>'Por Valoracion (3) Dimension 2'!B85</f>
        <v>0</v>
      </c>
      <c r="HV85" s="47"/>
      <c r="HX85" t="str">
        <f>('Inteligencia emocional'!A86)</f>
        <v>0</v>
      </c>
      <c r="HY85" s="39" t="str">
        <f>'Por Valoracion (3) Dimension'!F85</f>
        <v>0</v>
      </c>
      <c r="HZ85" s="39" t="str">
        <f>'Por Valoracion (3) Dimension 2'!D85</f>
        <v>0</v>
      </c>
      <c r="IU85" s="47"/>
      <c r="IW85" t="str">
        <f>('Inteligencia emocional'!A86)</f>
        <v>0</v>
      </c>
      <c r="IX85" s="39" t="str">
        <f>'Por Valoracion (3) Dimension'!F85</f>
        <v>0</v>
      </c>
      <c r="IY85" s="39" t="str">
        <f>'Por Valoracion (3) Dimension 2'!F85</f>
        <v>0</v>
      </c>
      <c r="JT85" s="47"/>
      <c r="JV85" t="str">
        <f>('Inteligencia emocional'!A86)</f>
        <v>0</v>
      </c>
      <c r="JW85" s="39" t="str">
        <f>'Por Valoracion (3) Dimension'!F85</f>
        <v>0</v>
      </c>
      <c r="JX85" s="39" t="str">
        <f>'Por Valoracion (3) Dimension 2'!H85</f>
        <v>0</v>
      </c>
      <c r="KS85" s="47"/>
    </row>
    <row r="86" spans="1:305">
      <c r="A86" s="38"/>
      <c r="C86" t="str">
        <f>('Inteligencia emocional'!A87)</f>
        <v>0</v>
      </c>
      <c r="D86" s="39" t="str">
        <f>'Por Valoracion (3) Dimension'!B86</f>
        <v>0</v>
      </c>
      <c r="E86" s="39" t="str">
        <f>'Por Valoracion (3) Dimension 2'!B86</f>
        <v>0</v>
      </c>
      <c r="Z86" s="38"/>
      <c r="AB86" t="str">
        <f>('Inteligencia emocional'!A87)</f>
        <v>0</v>
      </c>
      <c r="AC86" s="39" t="str">
        <f>'Por Valoracion (3) Dimension'!B86</f>
        <v>0</v>
      </c>
      <c r="AD86" s="39" t="str">
        <f>'Por Valoracion (3) Dimension 2'!D86</f>
        <v>0</v>
      </c>
      <c r="AY86" s="38"/>
      <c r="BA86" t="str">
        <f>('Inteligencia emocional'!A87)</f>
        <v>0</v>
      </c>
      <c r="BB86" s="39" t="str">
        <f>'Por Valoracion (3) Dimension'!B86</f>
        <v>0</v>
      </c>
      <c r="BC86" s="39" t="str">
        <f>'Por Valoracion (3) Dimension 2'!F86</f>
        <v>0</v>
      </c>
      <c r="BX86" s="38"/>
      <c r="BZ86" t="str">
        <f>('Inteligencia emocional'!A87)</f>
        <v>0</v>
      </c>
      <c r="CA86" s="39" t="str">
        <f>'Por Valoracion (3) Dimension'!B86</f>
        <v>0</v>
      </c>
      <c r="CB86" s="39" t="str">
        <f>'Por Valoracion (3) Dimension 2'!H86</f>
        <v>0</v>
      </c>
      <c r="CW86" s="38"/>
      <c r="CY86" s="46"/>
      <c r="DA86" t="str">
        <f>('Inteligencia emocional'!A87)</f>
        <v>0</v>
      </c>
      <c r="DB86" s="39" t="str">
        <f>'Por Valoracion (3) Dimension'!D86</f>
        <v>0</v>
      </c>
      <c r="DC86" s="39" t="str">
        <f>'Por Valoracion (3) Dimension 2'!B86</f>
        <v>0</v>
      </c>
      <c r="DX86" s="46"/>
      <c r="DZ86" t="str">
        <f>('Inteligencia emocional'!A87)</f>
        <v>0</v>
      </c>
      <c r="EA86" s="39" t="str">
        <f>'Por Valoracion (3) Dimension'!D86</f>
        <v>0</v>
      </c>
      <c r="EB86" s="39" t="str">
        <f>'Por Valoracion (3) Dimension 2'!D86</f>
        <v>0</v>
      </c>
      <c r="EW86" s="46"/>
      <c r="EY86" t="str">
        <f>('Inteligencia emocional'!A87)</f>
        <v>0</v>
      </c>
      <c r="EZ86" s="39" t="str">
        <f>'Por Valoracion (3) Dimension'!D86</f>
        <v>0</v>
      </c>
      <c r="FA86" s="39" t="str">
        <f>'Por Valoracion (3) Dimension 2'!F86</f>
        <v>0</v>
      </c>
      <c r="FV86" s="46"/>
      <c r="FX86" t="str">
        <f>('Inteligencia emocional'!A87)</f>
        <v>0</v>
      </c>
      <c r="FY86" s="39" t="str">
        <f>'Por Valoracion (3) Dimension'!D86</f>
        <v>0</v>
      </c>
      <c r="FZ86" s="39" t="str">
        <f>'Por Valoracion (3) Dimension 2'!H86</f>
        <v>0</v>
      </c>
      <c r="GU86" s="46"/>
      <c r="GW86" s="47"/>
      <c r="GY86" t="str">
        <f>('Inteligencia emocional'!A87)</f>
        <v>0</v>
      </c>
      <c r="GZ86" s="39" t="str">
        <f>'Por Valoracion (3) Dimension'!F86</f>
        <v>0</v>
      </c>
      <c r="HA86" s="39" t="str">
        <f>'Por Valoracion (3) Dimension 2'!B86</f>
        <v>0</v>
      </c>
      <c r="HV86" s="47"/>
      <c r="HX86" t="str">
        <f>('Inteligencia emocional'!A87)</f>
        <v>0</v>
      </c>
      <c r="HY86" s="39" t="str">
        <f>'Por Valoracion (3) Dimension'!F86</f>
        <v>0</v>
      </c>
      <c r="HZ86" s="39" t="str">
        <f>'Por Valoracion (3) Dimension 2'!D86</f>
        <v>0</v>
      </c>
      <c r="IU86" s="47"/>
      <c r="IW86" t="str">
        <f>('Inteligencia emocional'!A87)</f>
        <v>0</v>
      </c>
      <c r="IX86" s="39" t="str">
        <f>'Por Valoracion (3) Dimension'!F86</f>
        <v>0</v>
      </c>
      <c r="IY86" s="39" t="str">
        <f>'Por Valoracion (3) Dimension 2'!F86</f>
        <v>0</v>
      </c>
      <c r="JT86" s="47"/>
      <c r="JV86" t="str">
        <f>('Inteligencia emocional'!A87)</f>
        <v>0</v>
      </c>
      <c r="JW86" s="39" t="str">
        <f>'Por Valoracion (3) Dimension'!F86</f>
        <v>0</v>
      </c>
      <c r="JX86" s="39" t="str">
        <f>'Por Valoracion (3) Dimension 2'!H86</f>
        <v>0</v>
      </c>
      <c r="KS86" s="47"/>
    </row>
    <row r="87" spans="1:305">
      <c r="A87" s="38"/>
      <c r="C87" t="str">
        <f>('Inteligencia emocional'!A88)</f>
        <v>0</v>
      </c>
      <c r="D87" s="39" t="str">
        <f>'Por Valoracion (3) Dimension'!B87</f>
        <v>0</v>
      </c>
      <c r="E87" s="39" t="str">
        <f>'Por Valoracion (3) Dimension 2'!B87</f>
        <v>0</v>
      </c>
      <c r="Z87" s="38"/>
      <c r="AB87" t="str">
        <f>('Inteligencia emocional'!A88)</f>
        <v>0</v>
      </c>
      <c r="AC87" s="39" t="str">
        <f>'Por Valoracion (3) Dimension'!B87</f>
        <v>0</v>
      </c>
      <c r="AD87" s="39" t="str">
        <f>'Por Valoracion (3) Dimension 2'!D87</f>
        <v>0</v>
      </c>
      <c r="AY87" s="38"/>
      <c r="BA87" t="str">
        <f>('Inteligencia emocional'!A88)</f>
        <v>0</v>
      </c>
      <c r="BB87" s="39" t="str">
        <f>'Por Valoracion (3) Dimension'!B87</f>
        <v>0</v>
      </c>
      <c r="BC87" s="39" t="str">
        <f>'Por Valoracion (3) Dimension 2'!F87</f>
        <v>0</v>
      </c>
      <c r="BX87" s="38"/>
      <c r="BZ87" t="str">
        <f>('Inteligencia emocional'!A88)</f>
        <v>0</v>
      </c>
      <c r="CA87" s="39" t="str">
        <f>'Por Valoracion (3) Dimension'!B87</f>
        <v>0</v>
      </c>
      <c r="CB87" s="39" t="str">
        <f>'Por Valoracion (3) Dimension 2'!H87</f>
        <v>0</v>
      </c>
      <c r="CW87" s="38"/>
      <c r="CY87" s="46"/>
      <c r="DA87" t="str">
        <f>('Inteligencia emocional'!A88)</f>
        <v>0</v>
      </c>
      <c r="DB87" s="39" t="str">
        <f>'Por Valoracion (3) Dimension'!D87</f>
        <v>0</v>
      </c>
      <c r="DC87" s="39" t="str">
        <f>'Por Valoracion (3) Dimension 2'!B87</f>
        <v>0</v>
      </c>
      <c r="DX87" s="46"/>
      <c r="DZ87" t="str">
        <f>('Inteligencia emocional'!A88)</f>
        <v>0</v>
      </c>
      <c r="EA87" s="39" t="str">
        <f>'Por Valoracion (3) Dimension'!D87</f>
        <v>0</v>
      </c>
      <c r="EB87" s="39" t="str">
        <f>'Por Valoracion (3) Dimension 2'!D87</f>
        <v>0</v>
      </c>
      <c r="EW87" s="46"/>
      <c r="EY87" t="str">
        <f>('Inteligencia emocional'!A88)</f>
        <v>0</v>
      </c>
      <c r="EZ87" s="39" t="str">
        <f>'Por Valoracion (3) Dimension'!D87</f>
        <v>0</v>
      </c>
      <c r="FA87" s="39" t="str">
        <f>'Por Valoracion (3) Dimension 2'!F87</f>
        <v>0</v>
      </c>
      <c r="FV87" s="46"/>
      <c r="FX87" t="str">
        <f>('Inteligencia emocional'!A88)</f>
        <v>0</v>
      </c>
      <c r="FY87" s="39" t="str">
        <f>'Por Valoracion (3) Dimension'!D87</f>
        <v>0</v>
      </c>
      <c r="FZ87" s="39" t="str">
        <f>'Por Valoracion (3) Dimension 2'!H87</f>
        <v>0</v>
      </c>
      <c r="GU87" s="46"/>
      <c r="GW87" s="47"/>
      <c r="GY87" t="str">
        <f>('Inteligencia emocional'!A88)</f>
        <v>0</v>
      </c>
      <c r="GZ87" s="39" t="str">
        <f>'Por Valoracion (3) Dimension'!F87</f>
        <v>0</v>
      </c>
      <c r="HA87" s="39" t="str">
        <f>'Por Valoracion (3) Dimension 2'!B87</f>
        <v>0</v>
      </c>
      <c r="HV87" s="47"/>
      <c r="HX87" t="str">
        <f>('Inteligencia emocional'!A88)</f>
        <v>0</v>
      </c>
      <c r="HY87" s="39" t="str">
        <f>'Por Valoracion (3) Dimension'!F87</f>
        <v>0</v>
      </c>
      <c r="HZ87" s="39" t="str">
        <f>'Por Valoracion (3) Dimension 2'!D87</f>
        <v>0</v>
      </c>
      <c r="IU87" s="47"/>
      <c r="IW87" t="str">
        <f>('Inteligencia emocional'!A88)</f>
        <v>0</v>
      </c>
      <c r="IX87" s="39" t="str">
        <f>'Por Valoracion (3) Dimension'!F87</f>
        <v>0</v>
      </c>
      <c r="IY87" s="39" t="str">
        <f>'Por Valoracion (3) Dimension 2'!F87</f>
        <v>0</v>
      </c>
      <c r="JT87" s="47"/>
      <c r="JV87" t="str">
        <f>('Inteligencia emocional'!A88)</f>
        <v>0</v>
      </c>
      <c r="JW87" s="39" t="str">
        <f>'Por Valoracion (3) Dimension'!F87</f>
        <v>0</v>
      </c>
      <c r="JX87" s="39" t="str">
        <f>'Por Valoracion (3) Dimension 2'!H87</f>
        <v>0</v>
      </c>
      <c r="KS87" s="47"/>
    </row>
    <row r="88" spans="1:305">
      <c r="A88" s="38"/>
      <c r="C88" t="str">
        <f>('Inteligencia emocional'!A89)</f>
        <v>0</v>
      </c>
      <c r="D88" s="39" t="str">
        <f>'Por Valoracion (3) Dimension'!B88</f>
        <v>0</v>
      </c>
      <c r="E88" s="39" t="str">
        <f>'Por Valoracion (3) Dimension 2'!B88</f>
        <v>0</v>
      </c>
      <c r="Z88" s="38"/>
      <c r="AB88" t="str">
        <f>('Inteligencia emocional'!A89)</f>
        <v>0</v>
      </c>
      <c r="AC88" s="39" t="str">
        <f>'Por Valoracion (3) Dimension'!B88</f>
        <v>0</v>
      </c>
      <c r="AD88" s="39" t="str">
        <f>'Por Valoracion (3) Dimension 2'!D88</f>
        <v>0</v>
      </c>
      <c r="AY88" s="38"/>
      <c r="BA88" t="str">
        <f>('Inteligencia emocional'!A89)</f>
        <v>0</v>
      </c>
      <c r="BB88" s="39" t="str">
        <f>'Por Valoracion (3) Dimension'!B88</f>
        <v>0</v>
      </c>
      <c r="BC88" s="39" t="str">
        <f>'Por Valoracion (3) Dimension 2'!F88</f>
        <v>0</v>
      </c>
      <c r="BX88" s="38"/>
      <c r="BZ88" t="str">
        <f>('Inteligencia emocional'!A89)</f>
        <v>0</v>
      </c>
      <c r="CA88" s="39" t="str">
        <f>'Por Valoracion (3) Dimension'!B88</f>
        <v>0</v>
      </c>
      <c r="CB88" s="39" t="str">
        <f>'Por Valoracion (3) Dimension 2'!H88</f>
        <v>0</v>
      </c>
      <c r="CW88" s="38"/>
      <c r="CY88" s="46"/>
      <c r="DA88" t="str">
        <f>('Inteligencia emocional'!A89)</f>
        <v>0</v>
      </c>
      <c r="DB88" s="39" t="str">
        <f>'Por Valoracion (3) Dimension'!D88</f>
        <v>0</v>
      </c>
      <c r="DC88" s="39" t="str">
        <f>'Por Valoracion (3) Dimension 2'!B88</f>
        <v>0</v>
      </c>
      <c r="DX88" s="46"/>
      <c r="DZ88" t="str">
        <f>('Inteligencia emocional'!A89)</f>
        <v>0</v>
      </c>
      <c r="EA88" s="39" t="str">
        <f>'Por Valoracion (3) Dimension'!D88</f>
        <v>0</v>
      </c>
      <c r="EB88" s="39" t="str">
        <f>'Por Valoracion (3) Dimension 2'!D88</f>
        <v>0</v>
      </c>
      <c r="EW88" s="46"/>
      <c r="EY88" t="str">
        <f>('Inteligencia emocional'!A89)</f>
        <v>0</v>
      </c>
      <c r="EZ88" s="39" t="str">
        <f>'Por Valoracion (3) Dimension'!D88</f>
        <v>0</v>
      </c>
      <c r="FA88" s="39" t="str">
        <f>'Por Valoracion (3) Dimension 2'!F88</f>
        <v>0</v>
      </c>
      <c r="FV88" s="46"/>
      <c r="FX88" t="str">
        <f>('Inteligencia emocional'!A89)</f>
        <v>0</v>
      </c>
      <c r="FY88" s="39" t="str">
        <f>'Por Valoracion (3) Dimension'!D88</f>
        <v>0</v>
      </c>
      <c r="FZ88" s="39" t="str">
        <f>'Por Valoracion (3) Dimension 2'!H88</f>
        <v>0</v>
      </c>
      <c r="GU88" s="46"/>
      <c r="GW88" s="47"/>
      <c r="GY88" t="str">
        <f>('Inteligencia emocional'!A89)</f>
        <v>0</v>
      </c>
      <c r="GZ88" s="39" t="str">
        <f>'Por Valoracion (3) Dimension'!F88</f>
        <v>0</v>
      </c>
      <c r="HA88" s="39" t="str">
        <f>'Por Valoracion (3) Dimension 2'!B88</f>
        <v>0</v>
      </c>
      <c r="HV88" s="47"/>
      <c r="HX88" t="str">
        <f>('Inteligencia emocional'!A89)</f>
        <v>0</v>
      </c>
      <c r="HY88" s="39" t="str">
        <f>'Por Valoracion (3) Dimension'!F88</f>
        <v>0</v>
      </c>
      <c r="HZ88" s="39" t="str">
        <f>'Por Valoracion (3) Dimension 2'!D88</f>
        <v>0</v>
      </c>
      <c r="IU88" s="47"/>
      <c r="IW88" t="str">
        <f>('Inteligencia emocional'!A89)</f>
        <v>0</v>
      </c>
      <c r="IX88" s="39" t="str">
        <f>'Por Valoracion (3) Dimension'!F88</f>
        <v>0</v>
      </c>
      <c r="IY88" s="39" t="str">
        <f>'Por Valoracion (3) Dimension 2'!F88</f>
        <v>0</v>
      </c>
      <c r="JT88" s="47"/>
      <c r="JV88" t="str">
        <f>('Inteligencia emocional'!A89)</f>
        <v>0</v>
      </c>
      <c r="JW88" s="39" t="str">
        <f>'Por Valoracion (3) Dimension'!F88</f>
        <v>0</v>
      </c>
      <c r="JX88" s="39" t="str">
        <f>'Por Valoracion (3) Dimension 2'!H88</f>
        <v>0</v>
      </c>
      <c r="KS88" s="47"/>
    </row>
    <row r="89" spans="1:305">
      <c r="A89" s="38"/>
      <c r="C89" t="str">
        <f>('Inteligencia emocional'!A90)</f>
        <v>0</v>
      </c>
      <c r="D89" s="39" t="str">
        <f>'Por Valoracion (3) Dimension'!B89</f>
        <v>0</v>
      </c>
      <c r="E89" s="39" t="str">
        <f>'Por Valoracion (3) Dimension 2'!B89</f>
        <v>0</v>
      </c>
      <c r="Z89" s="38"/>
      <c r="AB89" t="str">
        <f>('Inteligencia emocional'!A90)</f>
        <v>0</v>
      </c>
      <c r="AC89" s="39" t="str">
        <f>'Por Valoracion (3) Dimension'!B89</f>
        <v>0</v>
      </c>
      <c r="AD89" s="39" t="str">
        <f>'Por Valoracion (3) Dimension 2'!D89</f>
        <v>0</v>
      </c>
      <c r="AY89" s="38"/>
      <c r="BA89" t="str">
        <f>('Inteligencia emocional'!A90)</f>
        <v>0</v>
      </c>
      <c r="BB89" s="39" t="str">
        <f>'Por Valoracion (3) Dimension'!B89</f>
        <v>0</v>
      </c>
      <c r="BC89" s="39" t="str">
        <f>'Por Valoracion (3) Dimension 2'!F89</f>
        <v>0</v>
      </c>
      <c r="BX89" s="38"/>
      <c r="BZ89" t="str">
        <f>('Inteligencia emocional'!A90)</f>
        <v>0</v>
      </c>
      <c r="CA89" s="39" t="str">
        <f>'Por Valoracion (3) Dimension'!B89</f>
        <v>0</v>
      </c>
      <c r="CB89" s="39" t="str">
        <f>'Por Valoracion (3) Dimension 2'!H89</f>
        <v>0</v>
      </c>
      <c r="CW89" s="38"/>
      <c r="CY89" s="46"/>
      <c r="DA89" t="str">
        <f>('Inteligencia emocional'!A90)</f>
        <v>0</v>
      </c>
      <c r="DB89" s="39" t="str">
        <f>'Por Valoracion (3) Dimension'!D89</f>
        <v>0</v>
      </c>
      <c r="DC89" s="39" t="str">
        <f>'Por Valoracion (3) Dimension 2'!B89</f>
        <v>0</v>
      </c>
      <c r="DX89" s="46"/>
      <c r="DZ89" t="str">
        <f>('Inteligencia emocional'!A90)</f>
        <v>0</v>
      </c>
      <c r="EA89" s="39" t="str">
        <f>'Por Valoracion (3) Dimension'!D89</f>
        <v>0</v>
      </c>
      <c r="EB89" s="39" t="str">
        <f>'Por Valoracion (3) Dimension 2'!D89</f>
        <v>0</v>
      </c>
      <c r="EW89" s="46"/>
      <c r="EY89" t="str">
        <f>('Inteligencia emocional'!A90)</f>
        <v>0</v>
      </c>
      <c r="EZ89" s="39" t="str">
        <f>'Por Valoracion (3) Dimension'!D89</f>
        <v>0</v>
      </c>
      <c r="FA89" s="39" t="str">
        <f>'Por Valoracion (3) Dimension 2'!F89</f>
        <v>0</v>
      </c>
      <c r="FV89" s="46"/>
      <c r="FX89" t="str">
        <f>('Inteligencia emocional'!A90)</f>
        <v>0</v>
      </c>
      <c r="FY89" s="39" t="str">
        <f>'Por Valoracion (3) Dimension'!D89</f>
        <v>0</v>
      </c>
      <c r="FZ89" s="39" t="str">
        <f>'Por Valoracion (3) Dimension 2'!H89</f>
        <v>0</v>
      </c>
      <c r="GU89" s="46"/>
      <c r="GW89" s="47"/>
      <c r="GY89" t="str">
        <f>('Inteligencia emocional'!A90)</f>
        <v>0</v>
      </c>
      <c r="GZ89" s="39" t="str">
        <f>'Por Valoracion (3) Dimension'!F89</f>
        <v>0</v>
      </c>
      <c r="HA89" s="39" t="str">
        <f>'Por Valoracion (3) Dimension 2'!B89</f>
        <v>0</v>
      </c>
      <c r="HV89" s="47"/>
      <c r="HX89" t="str">
        <f>('Inteligencia emocional'!A90)</f>
        <v>0</v>
      </c>
      <c r="HY89" s="39" t="str">
        <f>'Por Valoracion (3) Dimension'!F89</f>
        <v>0</v>
      </c>
      <c r="HZ89" s="39" t="str">
        <f>'Por Valoracion (3) Dimension 2'!D89</f>
        <v>0</v>
      </c>
      <c r="IU89" s="47"/>
      <c r="IW89" t="str">
        <f>('Inteligencia emocional'!A90)</f>
        <v>0</v>
      </c>
      <c r="IX89" s="39" t="str">
        <f>'Por Valoracion (3) Dimension'!F89</f>
        <v>0</v>
      </c>
      <c r="IY89" s="39" t="str">
        <f>'Por Valoracion (3) Dimension 2'!F89</f>
        <v>0</v>
      </c>
      <c r="JT89" s="47"/>
      <c r="JV89" t="str">
        <f>('Inteligencia emocional'!A90)</f>
        <v>0</v>
      </c>
      <c r="JW89" s="39" t="str">
        <f>'Por Valoracion (3) Dimension'!F89</f>
        <v>0</v>
      </c>
      <c r="JX89" s="39" t="str">
        <f>'Por Valoracion (3) Dimension 2'!H89</f>
        <v>0</v>
      </c>
      <c r="KS89" s="47"/>
    </row>
    <row r="90" spans="1:305">
      <c r="A90" s="38"/>
      <c r="C90" t="str">
        <f>('Inteligencia emocional'!A91)</f>
        <v>0</v>
      </c>
      <c r="D90" s="39" t="str">
        <f>'Por Valoracion (3) Dimension'!B90</f>
        <v>0</v>
      </c>
      <c r="E90" s="39" t="str">
        <f>'Por Valoracion (3) Dimension 2'!B90</f>
        <v>0</v>
      </c>
      <c r="Z90" s="38"/>
      <c r="AB90" t="str">
        <f>('Inteligencia emocional'!A91)</f>
        <v>0</v>
      </c>
      <c r="AC90" s="39" t="str">
        <f>'Por Valoracion (3) Dimension'!B90</f>
        <v>0</v>
      </c>
      <c r="AD90" s="39" t="str">
        <f>'Por Valoracion (3) Dimension 2'!D90</f>
        <v>0</v>
      </c>
      <c r="AY90" s="38"/>
      <c r="BA90" t="str">
        <f>('Inteligencia emocional'!A91)</f>
        <v>0</v>
      </c>
      <c r="BB90" s="39" t="str">
        <f>'Por Valoracion (3) Dimension'!B90</f>
        <v>0</v>
      </c>
      <c r="BC90" s="39" t="str">
        <f>'Por Valoracion (3) Dimension 2'!F90</f>
        <v>0</v>
      </c>
      <c r="BX90" s="38"/>
      <c r="BZ90" t="str">
        <f>('Inteligencia emocional'!A91)</f>
        <v>0</v>
      </c>
      <c r="CA90" s="39" t="str">
        <f>'Por Valoracion (3) Dimension'!B90</f>
        <v>0</v>
      </c>
      <c r="CB90" s="39" t="str">
        <f>'Por Valoracion (3) Dimension 2'!H90</f>
        <v>0</v>
      </c>
      <c r="CW90" s="38"/>
      <c r="CY90" s="46"/>
      <c r="DA90" t="str">
        <f>('Inteligencia emocional'!A91)</f>
        <v>0</v>
      </c>
      <c r="DB90" s="39" t="str">
        <f>'Por Valoracion (3) Dimension'!D90</f>
        <v>0</v>
      </c>
      <c r="DC90" s="39" t="str">
        <f>'Por Valoracion (3) Dimension 2'!B90</f>
        <v>0</v>
      </c>
      <c r="DX90" s="46"/>
      <c r="DZ90" t="str">
        <f>('Inteligencia emocional'!A91)</f>
        <v>0</v>
      </c>
      <c r="EA90" s="39" t="str">
        <f>'Por Valoracion (3) Dimension'!D90</f>
        <v>0</v>
      </c>
      <c r="EB90" s="39" t="str">
        <f>'Por Valoracion (3) Dimension 2'!D90</f>
        <v>0</v>
      </c>
      <c r="EW90" s="46"/>
      <c r="EY90" t="str">
        <f>('Inteligencia emocional'!A91)</f>
        <v>0</v>
      </c>
      <c r="EZ90" s="39" t="str">
        <f>'Por Valoracion (3) Dimension'!D90</f>
        <v>0</v>
      </c>
      <c r="FA90" s="39" t="str">
        <f>'Por Valoracion (3) Dimension 2'!F90</f>
        <v>0</v>
      </c>
      <c r="FV90" s="46"/>
      <c r="FX90" t="str">
        <f>('Inteligencia emocional'!A91)</f>
        <v>0</v>
      </c>
      <c r="FY90" s="39" t="str">
        <f>'Por Valoracion (3) Dimension'!D90</f>
        <v>0</v>
      </c>
      <c r="FZ90" s="39" t="str">
        <f>'Por Valoracion (3) Dimension 2'!H90</f>
        <v>0</v>
      </c>
      <c r="GU90" s="46"/>
      <c r="GW90" s="47"/>
      <c r="GY90" t="str">
        <f>('Inteligencia emocional'!A91)</f>
        <v>0</v>
      </c>
      <c r="GZ90" s="39" t="str">
        <f>'Por Valoracion (3) Dimension'!F90</f>
        <v>0</v>
      </c>
      <c r="HA90" s="39" t="str">
        <f>'Por Valoracion (3) Dimension 2'!B90</f>
        <v>0</v>
      </c>
      <c r="HV90" s="47"/>
      <c r="HX90" t="str">
        <f>('Inteligencia emocional'!A91)</f>
        <v>0</v>
      </c>
      <c r="HY90" s="39" t="str">
        <f>'Por Valoracion (3) Dimension'!F90</f>
        <v>0</v>
      </c>
      <c r="HZ90" s="39" t="str">
        <f>'Por Valoracion (3) Dimension 2'!D90</f>
        <v>0</v>
      </c>
      <c r="IU90" s="47"/>
      <c r="IW90" t="str">
        <f>('Inteligencia emocional'!A91)</f>
        <v>0</v>
      </c>
      <c r="IX90" s="39" t="str">
        <f>'Por Valoracion (3) Dimension'!F90</f>
        <v>0</v>
      </c>
      <c r="IY90" s="39" t="str">
        <f>'Por Valoracion (3) Dimension 2'!F90</f>
        <v>0</v>
      </c>
      <c r="JT90" s="47"/>
      <c r="JV90" t="str">
        <f>('Inteligencia emocional'!A91)</f>
        <v>0</v>
      </c>
      <c r="JW90" s="39" t="str">
        <f>'Por Valoracion (3) Dimension'!F90</f>
        <v>0</v>
      </c>
      <c r="JX90" s="39" t="str">
        <f>'Por Valoracion (3) Dimension 2'!H90</f>
        <v>0</v>
      </c>
      <c r="KS90" s="47"/>
    </row>
    <row r="91" spans="1:305">
      <c r="A91" s="38"/>
      <c r="C91" t="str">
        <f>('Inteligencia emocional'!A92)</f>
        <v>0</v>
      </c>
      <c r="D91" s="39" t="str">
        <f>'Por Valoracion (3) Dimension'!B91</f>
        <v>0</v>
      </c>
      <c r="E91" s="39" t="str">
        <f>'Por Valoracion (3) Dimension 2'!B91</f>
        <v>0</v>
      </c>
      <c r="Z91" s="38"/>
      <c r="AB91" t="str">
        <f>('Inteligencia emocional'!A92)</f>
        <v>0</v>
      </c>
      <c r="AC91" s="39" t="str">
        <f>'Por Valoracion (3) Dimension'!B91</f>
        <v>0</v>
      </c>
      <c r="AD91" s="39" t="str">
        <f>'Por Valoracion (3) Dimension 2'!D91</f>
        <v>0</v>
      </c>
      <c r="AY91" s="38"/>
      <c r="BA91" t="str">
        <f>('Inteligencia emocional'!A92)</f>
        <v>0</v>
      </c>
      <c r="BB91" s="39" t="str">
        <f>'Por Valoracion (3) Dimension'!B91</f>
        <v>0</v>
      </c>
      <c r="BC91" s="39" t="str">
        <f>'Por Valoracion (3) Dimension 2'!F91</f>
        <v>0</v>
      </c>
      <c r="BX91" s="38"/>
      <c r="BZ91" t="str">
        <f>('Inteligencia emocional'!A92)</f>
        <v>0</v>
      </c>
      <c r="CA91" s="39" t="str">
        <f>'Por Valoracion (3) Dimension'!B91</f>
        <v>0</v>
      </c>
      <c r="CB91" s="39" t="str">
        <f>'Por Valoracion (3) Dimension 2'!H91</f>
        <v>0</v>
      </c>
      <c r="CW91" s="38"/>
      <c r="CY91" s="46"/>
      <c r="DA91" t="str">
        <f>('Inteligencia emocional'!A92)</f>
        <v>0</v>
      </c>
      <c r="DB91" s="39" t="str">
        <f>'Por Valoracion (3) Dimension'!D91</f>
        <v>0</v>
      </c>
      <c r="DC91" s="39" t="str">
        <f>'Por Valoracion (3) Dimension 2'!B91</f>
        <v>0</v>
      </c>
      <c r="DX91" s="46"/>
      <c r="DZ91" t="str">
        <f>('Inteligencia emocional'!A92)</f>
        <v>0</v>
      </c>
      <c r="EA91" s="39" t="str">
        <f>'Por Valoracion (3) Dimension'!D91</f>
        <v>0</v>
      </c>
      <c r="EB91" s="39" t="str">
        <f>'Por Valoracion (3) Dimension 2'!D91</f>
        <v>0</v>
      </c>
      <c r="EW91" s="46"/>
      <c r="EY91" t="str">
        <f>('Inteligencia emocional'!A92)</f>
        <v>0</v>
      </c>
      <c r="EZ91" s="39" t="str">
        <f>'Por Valoracion (3) Dimension'!D91</f>
        <v>0</v>
      </c>
      <c r="FA91" s="39" t="str">
        <f>'Por Valoracion (3) Dimension 2'!F91</f>
        <v>0</v>
      </c>
      <c r="FV91" s="46"/>
      <c r="FX91" t="str">
        <f>('Inteligencia emocional'!A92)</f>
        <v>0</v>
      </c>
      <c r="FY91" s="39" t="str">
        <f>'Por Valoracion (3) Dimension'!D91</f>
        <v>0</v>
      </c>
      <c r="FZ91" s="39" t="str">
        <f>'Por Valoracion (3) Dimension 2'!H91</f>
        <v>0</v>
      </c>
      <c r="GU91" s="46"/>
      <c r="GW91" s="47"/>
      <c r="GY91" t="str">
        <f>('Inteligencia emocional'!A92)</f>
        <v>0</v>
      </c>
      <c r="GZ91" s="39" t="str">
        <f>'Por Valoracion (3) Dimension'!F91</f>
        <v>0</v>
      </c>
      <c r="HA91" s="39" t="str">
        <f>'Por Valoracion (3) Dimension 2'!B91</f>
        <v>0</v>
      </c>
      <c r="HV91" s="47"/>
      <c r="HX91" t="str">
        <f>('Inteligencia emocional'!A92)</f>
        <v>0</v>
      </c>
      <c r="HY91" s="39" t="str">
        <f>'Por Valoracion (3) Dimension'!F91</f>
        <v>0</v>
      </c>
      <c r="HZ91" s="39" t="str">
        <f>'Por Valoracion (3) Dimension 2'!D91</f>
        <v>0</v>
      </c>
      <c r="IU91" s="47"/>
      <c r="IW91" t="str">
        <f>('Inteligencia emocional'!A92)</f>
        <v>0</v>
      </c>
      <c r="IX91" s="39" t="str">
        <f>'Por Valoracion (3) Dimension'!F91</f>
        <v>0</v>
      </c>
      <c r="IY91" s="39" t="str">
        <f>'Por Valoracion (3) Dimension 2'!F91</f>
        <v>0</v>
      </c>
      <c r="JT91" s="47"/>
      <c r="JV91" t="str">
        <f>('Inteligencia emocional'!A92)</f>
        <v>0</v>
      </c>
      <c r="JW91" s="39" t="str">
        <f>'Por Valoracion (3) Dimension'!F91</f>
        <v>0</v>
      </c>
      <c r="JX91" s="39" t="str">
        <f>'Por Valoracion (3) Dimension 2'!H91</f>
        <v>0</v>
      </c>
      <c r="KS91" s="47"/>
    </row>
    <row r="92" spans="1:305">
      <c r="A92" s="38"/>
      <c r="C92" t="str">
        <f>('Inteligencia emocional'!A93)</f>
        <v>0</v>
      </c>
      <c r="D92" s="39" t="str">
        <f>'Por Valoracion (3) Dimension'!B92</f>
        <v>0</v>
      </c>
      <c r="E92" s="39" t="str">
        <f>'Por Valoracion (3) Dimension 2'!B92</f>
        <v>0</v>
      </c>
      <c r="Z92" s="38"/>
      <c r="AB92" t="str">
        <f>('Inteligencia emocional'!A93)</f>
        <v>0</v>
      </c>
      <c r="AC92" s="39" t="str">
        <f>'Por Valoracion (3) Dimension'!B92</f>
        <v>0</v>
      </c>
      <c r="AD92" s="39" t="str">
        <f>'Por Valoracion (3) Dimension 2'!D92</f>
        <v>0</v>
      </c>
      <c r="AY92" s="38"/>
      <c r="BA92" t="str">
        <f>('Inteligencia emocional'!A93)</f>
        <v>0</v>
      </c>
      <c r="BB92" s="39" t="str">
        <f>'Por Valoracion (3) Dimension'!B92</f>
        <v>0</v>
      </c>
      <c r="BC92" s="39" t="str">
        <f>'Por Valoracion (3) Dimension 2'!F92</f>
        <v>0</v>
      </c>
      <c r="BX92" s="38"/>
      <c r="BZ92" t="str">
        <f>('Inteligencia emocional'!A93)</f>
        <v>0</v>
      </c>
      <c r="CA92" s="39" t="str">
        <f>'Por Valoracion (3) Dimension'!B92</f>
        <v>0</v>
      </c>
      <c r="CB92" s="39" t="str">
        <f>'Por Valoracion (3) Dimension 2'!H92</f>
        <v>0</v>
      </c>
      <c r="CW92" s="38"/>
      <c r="CY92" s="46"/>
      <c r="DA92" t="str">
        <f>('Inteligencia emocional'!A93)</f>
        <v>0</v>
      </c>
      <c r="DB92" s="39" t="str">
        <f>'Por Valoracion (3) Dimension'!D92</f>
        <v>0</v>
      </c>
      <c r="DC92" s="39" t="str">
        <f>'Por Valoracion (3) Dimension 2'!B92</f>
        <v>0</v>
      </c>
      <c r="DX92" s="46"/>
      <c r="DZ92" t="str">
        <f>('Inteligencia emocional'!A93)</f>
        <v>0</v>
      </c>
      <c r="EA92" s="39" t="str">
        <f>'Por Valoracion (3) Dimension'!D92</f>
        <v>0</v>
      </c>
      <c r="EB92" s="39" t="str">
        <f>'Por Valoracion (3) Dimension 2'!D92</f>
        <v>0</v>
      </c>
      <c r="EW92" s="46"/>
      <c r="EY92" t="str">
        <f>('Inteligencia emocional'!A93)</f>
        <v>0</v>
      </c>
      <c r="EZ92" s="39" t="str">
        <f>'Por Valoracion (3) Dimension'!D92</f>
        <v>0</v>
      </c>
      <c r="FA92" s="39" t="str">
        <f>'Por Valoracion (3) Dimension 2'!F92</f>
        <v>0</v>
      </c>
      <c r="FV92" s="46"/>
      <c r="FX92" t="str">
        <f>('Inteligencia emocional'!A93)</f>
        <v>0</v>
      </c>
      <c r="FY92" s="39" t="str">
        <f>'Por Valoracion (3) Dimension'!D92</f>
        <v>0</v>
      </c>
      <c r="FZ92" s="39" t="str">
        <f>'Por Valoracion (3) Dimension 2'!H92</f>
        <v>0</v>
      </c>
      <c r="GU92" s="46"/>
      <c r="GW92" s="47"/>
      <c r="GY92" t="str">
        <f>('Inteligencia emocional'!A93)</f>
        <v>0</v>
      </c>
      <c r="GZ92" s="39" t="str">
        <f>'Por Valoracion (3) Dimension'!F92</f>
        <v>0</v>
      </c>
      <c r="HA92" s="39" t="str">
        <f>'Por Valoracion (3) Dimension 2'!B92</f>
        <v>0</v>
      </c>
      <c r="HV92" s="47"/>
      <c r="HX92" t="str">
        <f>('Inteligencia emocional'!A93)</f>
        <v>0</v>
      </c>
      <c r="HY92" s="39" t="str">
        <f>'Por Valoracion (3) Dimension'!F92</f>
        <v>0</v>
      </c>
      <c r="HZ92" s="39" t="str">
        <f>'Por Valoracion (3) Dimension 2'!D92</f>
        <v>0</v>
      </c>
      <c r="IU92" s="47"/>
      <c r="IW92" t="str">
        <f>('Inteligencia emocional'!A93)</f>
        <v>0</v>
      </c>
      <c r="IX92" s="39" t="str">
        <f>'Por Valoracion (3) Dimension'!F92</f>
        <v>0</v>
      </c>
      <c r="IY92" s="39" t="str">
        <f>'Por Valoracion (3) Dimension 2'!F92</f>
        <v>0</v>
      </c>
      <c r="JT92" s="47"/>
      <c r="JV92" t="str">
        <f>('Inteligencia emocional'!A93)</f>
        <v>0</v>
      </c>
      <c r="JW92" s="39" t="str">
        <f>'Por Valoracion (3) Dimension'!F92</f>
        <v>0</v>
      </c>
      <c r="JX92" s="39" t="str">
        <f>'Por Valoracion (3) Dimension 2'!H92</f>
        <v>0</v>
      </c>
      <c r="KS92" s="47"/>
    </row>
    <row r="93" spans="1:305">
      <c r="A93" s="38"/>
      <c r="C93" t="str">
        <f>('Inteligencia emocional'!A94)</f>
        <v>0</v>
      </c>
      <c r="D93" s="39" t="str">
        <f>'Por Valoracion (3) Dimension'!B93</f>
        <v>0</v>
      </c>
      <c r="E93" s="39" t="str">
        <f>'Por Valoracion (3) Dimension 2'!B93</f>
        <v>0</v>
      </c>
      <c r="Z93" s="38"/>
      <c r="AB93" t="str">
        <f>('Inteligencia emocional'!A94)</f>
        <v>0</v>
      </c>
      <c r="AC93" s="39" t="str">
        <f>'Por Valoracion (3) Dimension'!B93</f>
        <v>0</v>
      </c>
      <c r="AD93" s="39" t="str">
        <f>'Por Valoracion (3) Dimension 2'!D93</f>
        <v>0</v>
      </c>
      <c r="AY93" s="38"/>
      <c r="BA93" t="str">
        <f>('Inteligencia emocional'!A94)</f>
        <v>0</v>
      </c>
      <c r="BB93" s="39" t="str">
        <f>'Por Valoracion (3) Dimension'!B93</f>
        <v>0</v>
      </c>
      <c r="BC93" s="39" t="str">
        <f>'Por Valoracion (3) Dimension 2'!F93</f>
        <v>0</v>
      </c>
      <c r="BX93" s="38"/>
      <c r="BZ93" t="str">
        <f>('Inteligencia emocional'!A94)</f>
        <v>0</v>
      </c>
      <c r="CA93" s="39" t="str">
        <f>'Por Valoracion (3) Dimension'!B93</f>
        <v>0</v>
      </c>
      <c r="CB93" s="39" t="str">
        <f>'Por Valoracion (3) Dimension 2'!H93</f>
        <v>0</v>
      </c>
      <c r="CW93" s="38"/>
      <c r="CY93" s="46"/>
      <c r="DA93" t="str">
        <f>('Inteligencia emocional'!A94)</f>
        <v>0</v>
      </c>
      <c r="DB93" s="39" t="str">
        <f>'Por Valoracion (3) Dimension'!D93</f>
        <v>0</v>
      </c>
      <c r="DC93" s="39" t="str">
        <f>'Por Valoracion (3) Dimension 2'!B93</f>
        <v>0</v>
      </c>
      <c r="DX93" s="46"/>
      <c r="DZ93" t="str">
        <f>('Inteligencia emocional'!A94)</f>
        <v>0</v>
      </c>
      <c r="EA93" s="39" t="str">
        <f>'Por Valoracion (3) Dimension'!D93</f>
        <v>0</v>
      </c>
      <c r="EB93" s="39" t="str">
        <f>'Por Valoracion (3) Dimension 2'!D93</f>
        <v>0</v>
      </c>
      <c r="EW93" s="46"/>
      <c r="EY93" t="str">
        <f>('Inteligencia emocional'!A94)</f>
        <v>0</v>
      </c>
      <c r="EZ93" s="39" t="str">
        <f>'Por Valoracion (3) Dimension'!D93</f>
        <v>0</v>
      </c>
      <c r="FA93" s="39" t="str">
        <f>'Por Valoracion (3) Dimension 2'!F93</f>
        <v>0</v>
      </c>
      <c r="FV93" s="46"/>
      <c r="FX93" t="str">
        <f>('Inteligencia emocional'!A94)</f>
        <v>0</v>
      </c>
      <c r="FY93" s="39" t="str">
        <f>'Por Valoracion (3) Dimension'!D93</f>
        <v>0</v>
      </c>
      <c r="FZ93" s="39" t="str">
        <f>'Por Valoracion (3) Dimension 2'!H93</f>
        <v>0</v>
      </c>
      <c r="GU93" s="46"/>
      <c r="GW93" s="47"/>
      <c r="GY93" t="str">
        <f>('Inteligencia emocional'!A94)</f>
        <v>0</v>
      </c>
      <c r="GZ93" s="39" t="str">
        <f>'Por Valoracion (3) Dimension'!F93</f>
        <v>0</v>
      </c>
      <c r="HA93" s="39" t="str">
        <f>'Por Valoracion (3) Dimension 2'!B93</f>
        <v>0</v>
      </c>
      <c r="HV93" s="47"/>
      <c r="HX93" t="str">
        <f>('Inteligencia emocional'!A94)</f>
        <v>0</v>
      </c>
      <c r="HY93" s="39" t="str">
        <f>'Por Valoracion (3) Dimension'!F93</f>
        <v>0</v>
      </c>
      <c r="HZ93" s="39" t="str">
        <f>'Por Valoracion (3) Dimension 2'!D93</f>
        <v>0</v>
      </c>
      <c r="IU93" s="47"/>
      <c r="IW93" t="str">
        <f>('Inteligencia emocional'!A94)</f>
        <v>0</v>
      </c>
      <c r="IX93" s="39" t="str">
        <f>'Por Valoracion (3) Dimension'!F93</f>
        <v>0</v>
      </c>
      <c r="IY93" s="39" t="str">
        <f>'Por Valoracion (3) Dimension 2'!F93</f>
        <v>0</v>
      </c>
      <c r="JT93" s="47"/>
      <c r="JV93" t="str">
        <f>('Inteligencia emocional'!A94)</f>
        <v>0</v>
      </c>
      <c r="JW93" s="39" t="str">
        <f>'Por Valoracion (3) Dimension'!F93</f>
        <v>0</v>
      </c>
      <c r="JX93" s="39" t="str">
        <f>'Por Valoracion (3) Dimension 2'!H93</f>
        <v>0</v>
      </c>
      <c r="KS93" s="47"/>
    </row>
    <row r="94" spans="1:305">
      <c r="A94" s="38"/>
      <c r="C94" t="str">
        <f>('Inteligencia emocional'!A95)</f>
        <v>0</v>
      </c>
      <c r="D94" s="39" t="str">
        <f>'Por Valoracion (3) Dimension'!B94</f>
        <v>0</v>
      </c>
      <c r="E94" s="39" t="str">
        <f>'Por Valoracion (3) Dimension 2'!B94</f>
        <v>0</v>
      </c>
      <c r="Z94" s="38"/>
      <c r="AB94" t="str">
        <f>('Inteligencia emocional'!A95)</f>
        <v>0</v>
      </c>
      <c r="AC94" s="39" t="str">
        <f>'Por Valoracion (3) Dimension'!B94</f>
        <v>0</v>
      </c>
      <c r="AD94" s="39" t="str">
        <f>'Por Valoracion (3) Dimension 2'!D94</f>
        <v>0</v>
      </c>
      <c r="AY94" s="38"/>
      <c r="BA94" t="str">
        <f>('Inteligencia emocional'!A95)</f>
        <v>0</v>
      </c>
      <c r="BB94" s="39" t="str">
        <f>'Por Valoracion (3) Dimension'!B94</f>
        <v>0</v>
      </c>
      <c r="BC94" s="39" t="str">
        <f>'Por Valoracion (3) Dimension 2'!F94</f>
        <v>0</v>
      </c>
      <c r="BX94" s="38"/>
      <c r="BZ94" t="str">
        <f>('Inteligencia emocional'!A95)</f>
        <v>0</v>
      </c>
      <c r="CA94" s="39" t="str">
        <f>'Por Valoracion (3) Dimension'!B94</f>
        <v>0</v>
      </c>
      <c r="CB94" s="39" t="str">
        <f>'Por Valoracion (3) Dimension 2'!H94</f>
        <v>0</v>
      </c>
      <c r="CW94" s="38"/>
      <c r="CY94" s="46"/>
      <c r="DA94" t="str">
        <f>('Inteligencia emocional'!A95)</f>
        <v>0</v>
      </c>
      <c r="DB94" s="39" t="str">
        <f>'Por Valoracion (3) Dimension'!D94</f>
        <v>0</v>
      </c>
      <c r="DC94" s="39" t="str">
        <f>'Por Valoracion (3) Dimension 2'!B94</f>
        <v>0</v>
      </c>
      <c r="DX94" s="46"/>
      <c r="DZ94" t="str">
        <f>('Inteligencia emocional'!A95)</f>
        <v>0</v>
      </c>
      <c r="EA94" s="39" t="str">
        <f>'Por Valoracion (3) Dimension'!D94</f>
        <v>0</v>
      </c>
      <c r="EB94" s="39" t="str">
        <f>'Por Valoracion (3) Dimension 2'!D94</f>
        <v>0</v>
      </c>
      <c r="EW94" s="46"/>
      <c r="EY94" t="str">
        <f>('Inteligencia emocional'!A95)</f>
        <v>0</v>
      </c>
      <c r="EZ94" s="39" t="str">
        <f>'Por Valoracion (3) Dimension'!D94</f>
        <v>0</v>
      </c>
      <c r="FA94" s="39" t="str">
        <f>'Por Valoracion (3) Dimension 2'!F94</f>
        <v>0</v>
      </c>
      <c r="FV94" s="46"/>
      <c r="FX94" t="str">
        <f>('Inteligencia emocional'!A95)</f>
        <v>0</v>
      </c>
      <c r="FY94" s="39" t="str">
        <f>'Por Valoracion (3) Dimension'!D94</f>
        <v>0</v>
      </c>
      <c r="FZ94" s="39" t="str">
        <f>'Por Valoracion (3) Dimension 2'!H94</f>
        <v>0</v>
      </c>
      <c r="GU94" s="46"/>
      <c r="GW94" s="47"/>
      <c r="GY94" t="str">
        <f>('Inteligencia emocional'!A95)</f>
        <v>0</v>
      </c>
      <c r="GZ94" s="39" t="str">
        <f>'Por Valoracion (3) Dimension'!F94</f>
        <v>0</v>
      </c>
      <c r="HA94" s="39" t="str">
        <f>'Por Valoracion (3) Dimension 2'!B94</f>
        <v>0</v>
      </c>
      <c r="HV94" s="47"/>
      <c r="HX94" t="str">
        <f>('Inteligencia emocional'!A95)</f>
        <v>0</v>
      </c>
      <c r="HY94" s="39" t="str">
        <f>'Por Valoracion (3) Dimension'!F94</f>
        <v>0</v>
      </c>
      <c r="HZ94" s="39" t="str">
        <f>'Por Valoracion (3) Dimension 2'!D94</f>
        <v>0</v>
      </c>
      <c r="IU94" s="47"/>
      <c r="IW94" t="str">
        <f>('Inteligencia emocional'!A95)</f>
        <v>0</v>
      </c>
      <c r="IX94" s="39" t="str">
        <f>'Por Valoracion (3) Dimension'!F94</f>
        <v>0</v>
      </c>
      <c r="IY94" s="39" t="str">
        <f>'Por Valoracion (3) Dimension 2'!F94</f>
        <v>0</v>
      </c>
      <c r="JT94" s="47"/>
      <c r="JV94" t="str">
        <f>('Inteligencia emocional'!A95)</f>
        <v>0</v>
      </c>
      <c r="JW94" s="39" t="str">
        <f>'Por Valoracion (3) Dimension'!F94</f>
        <v>0</v>
      </c>
      <c r="JX94" s="39" t="str">
        <f>'Por Valoracion (3) Dimension 2'!H94</f>
        <v>0</v>
      </c>
      <c r="KS94" s="47"/>
    </row>
    <row r="95" spans="1:305">
      <c r="A95" s="38"/>
      <c r="C95" t="str">
        <f>('Inteligencia emocional'!A96)</f>
        <v>0</v>
      </c>
      <c r="D95" s="39" t="str">
        <f>'Por Valoracion (3) Dimension'!B95</f>
        <v>0</v>
      </c>
      <c r="E95" s="39" t="str">
        <f>'Por Valoracion (3) Dimension 2'!B95</f>
        <v>0</v>
      </c>
      <c r="Z95" s="38"/>
      <c r="AB95" t="str">
        <f>('Inteligencia emocional'!A96)</f>
        <v>0</v>
      </c>
      <c r="AC95" s="39" t="str">
        <f>'Por Valoracion (3) Dimension'!B95</f>
        <v>0</v>
      </c>
      <c r="AD95" s="39" t="str">
        <f>'Por Valoracion (3) Dimension 2'!D95</f>
        <v>0</v>
      </c>
      <c r="AY95" s="38"/>
      <c r="BA95" t="str">
        <f>('Inteligencia emocional'!A96)</f>
        <v>0</v>
      </c>
      <c r="BB95" s="39" t="str">
        <f>'Por Valoracion (3) Dimension'!B95</f>
        <v>0</v>
      </c>
      <c r="BC95" s="39" t="str">
        <f>'Por Valoracion (3) Dimension 2'!F95</f>
        <v>0</v>
      </c>
      <c r="BX95" s="38"/>
      <c r="BZ95" t="str">
        <f>('Inteligencia emocional'!A96)</f>
        <v>0</v>
      </c>
      <c r="CA95" s="39" t="str">
        <f>'Por Valoracion (3) Dimension'!B95</f>
        <v>0</v>
      </c>
      <c r="CB95" s="39" t="str">
        <f>'Por Valoracion (3) Dimension 2'!H95</f>
        <v>0</v>
      </c>
      <c r="CW95" s="38"/>
      <c r="CY95" s="46"/>
      <c r="DA95" t="str">
        <f>('Inteligencia emocional'!A96)</f>
        <v>0</v>
      </c>
      <c r="DB95" s="39" t="str">
        <f>'Por Valoracion (3) Dimension'!D95</f>
        <v>0</v>
      </c>
      <c r="DC95" s="39" t="str">
        <f>'Por Valoracion (3) Dimension 2'!B95</f>
        <v>0</v>
      </c>
      <c r="DX95" s="46"/>
      <c r="DZ95" t="str">
        <f>('Inteligencia emocional'!A96)</f>
        <v>0</v>
      </c>
      <c r="EA95" s="39" t="str">
        <f>'Por Valoracion (3) Dimension'!D95</f>
        <v>0</v>
      </c>
      <c r="EB95" s="39" t="str">
        <f>'Por Valoracion (3) Dimension 2'!D95</f>
        <v>0</v>
      </c>
      <c r="EW95" s="46"/>
      <c r="EY95" t="str">
        <f>('Inteligencia emocional'!A96)</f>
        <v>0</v>
      </c>
      <c r="EZ95" s="39" t="str">
        <f>'Por Valoracion (3) Dimension'!D95</f>
        <v>0</v>
      </c>
      <c r="FA95" s="39" t="str">
        <f>'Por Valoracion (3) Dimension 2'!F95</f>
        <v>0</v>
      </c>
      <c r="FV95" s="46"/>
      <c r="FX95" t="str">
        <f>('Inteligencia emocional'!A96)</f>
        <v>0</v>
      </c>
      <c r="FY95" s="39" t="str">
        <f>'Por Valoracion (3) Dimension'!D95</f>
        <v>0</v>
      </c>
      <c r="FZ95" s="39" t="str">
        <f>'Por Valoracion (3) Dimension 2'!H95</f>
        <v>0</v>
      </c>
      <c r="GU95" s="46"/>
      <c r="GW95" s="47"/>
      <c r="GY95" t="str">
        <f>('Inteligencia emocional'!A96)</f>
        <v>0</v>
      </c>
      <c r="GZ95" s="39" t="str">
        <f>'Por Valoracion (3) Dimension'!F95</f>
        <v>0</v>
      </c>
      <c r="HA95" s="39" t="str">
        <f>'Por Valoracion (3) Dimension 2'!B95</f>
        <v>0</v>
      </c>
      <c r="HV95" s="47"/>
      <c r="HX95" t="str">
        <f>('Inteligencia emocional'!A96)</f>
        <v>0</v>
      </c>
      <c r="HY95" s="39" t="str">
        <f>'Por Valoracion (3) Dimension'!F95</f>
        <v>0</v>
      </c>
      <c r="HZ95" s="39" t="str">
        <f>'Por Valoracion (3) Dimension 2'!D95</f>
        <v>0</v>
      </c>
      <c r="IU95" s="47"/>
      <c r="IW95" t="str">
        <f>('Inteligencia emocional'!A96)</f>
        <v>0</v>
      </c>
      <c r="IX95" s="39" t="str">
        <f>'Por Valoracion (3) Dimension'!F95</f>
        <v>0</v>
      </c>
      <c r="IY95" s="39" t="str">
        <f>'Por Valoracion (3) Dimension 2'!F95</f>
        <v>0</v>
      </c>
      <c r="JT95" s="47"/>
      <c r="JV95" t="str">
        <f>('Inteligencia emocional'!A96)</f>
        <v>0</v>
      </c>
      <c r="JW95" s="39" t="str">
        <f>'Por Valoracion (3) Dimension'!F95</f>
        <v>0</v>
      </c>
      <c r="JX95" s="39" t="str">
        <f>'Por Valoracion (3) Dimension 2'!H95</f>
        <v>0</v>
      </c>
      <c r="KS95" s="47"/>
    </row>
    <row r="96" spans="1:305">
      <c r="A96" s="38"/>
      <c r="C96" t="str">
        <f>('Inteligencia emocional'!A97)</f>
        <v>0</v>
      </c>
      <c r="D96" s="39" t="str">
        <f>'Por Valoracion (3) Dimension'!B96</f>
        <v>0</v>
      </c>
      <c r="E96" s="39" t="str">
        <f>'Por Valoracion (3) Dimension 2'!B96</f>
        <v>0</v>
      </c>
      <c r="Z96" s="38"/>
      <c r="AB96" t="str">
        <f>('Inteligencia emocional'!A97)</f>
        <v>0</v>
      </c>
      <c r="AC96" s="39" t="str">
        <f>'Por Valoracion (3) Dimension'!B96</f>
        <v>0</v>
      </c>
      <c r="AD96" s="39" t="str">
        <f>'Por Valoracion (3) Dimension 2'!D96</f>
        <v>0</v>
      </c>
      <c r="AY96" s="38"/>
      <c r="BA96" t="str">
        <f>('Inteligencia emocional'!A97)</f>
        <v>0</v>
      </c>
      <c r="BB96" s="39" t="str">
        <f>'Por Valoracion (3) Dimension'!B96</f>
        <v>0</v>
      </c>
      <c r="BC96" s="39" t="str">
        <f>'Por Valoracion (3) Dimension 2'!F96</f>
        <v>0</v>
      </c>
      <c r="BX96" s="38"/>
      <c r="BZ96" t="str">
        <f>('Inteligencia emocional'!A97)</f>
        <v>0</v>
      </c>
      <c r="CA96" s="39" t="str">
        <f>'Por Valoracion (3) Dimension'!B96</f>
        <v>0</v>
      </c>
      <c r="CB96" s="39" t="str">
        <f>'Por Valoracion (3) Dimension 2'!H96</f>
        <v>0</v>
      </c>
      <c r="CW96" s="38"/>
      <c r="CY96" s="46"/>
      <c r="DA96" t="str">
        <f>('Inteligencia emocional'!A97)</f>
        <v>0</v>
      </c>
      <c r="DB96" s="39" t="str">
        <f>'Por Valoracion (3) Dimension'!D96</f>
        <v>0</v>
      </c>
      <c r="DC96" s="39" t="str">
        <f>'Por Valoracion (3) Dimension 2'!B96</f>
        <v>0</v>
      </c>
      <c r="DX96" s="46"/>
      <c r="DZ96" t="str">
        <f>('Inteligencia emocional'!A97)</f>
        <v>0</v>
      </c>
      <c r="EA96" s="39" t="str">
        <f>'Por Valoracion (3) Dimension'!D96</f>
        <v>0</v>
      </c>
      <c r="EB96" s="39" t="str">
        <f>'Por Valoracion (3) Dimension 2'!D96</f>
        <v>0</v>
      </c>
      <c r="EW96" s="46"/>
      <c r="EY96" t="str">
        <f>('Inteligencia emocional'!A97)</f>
        <v>0</v>
      </c>
      <c r="EZ96" s="39" t="str">
        <f>'Por Valoracion (3) Dimension'!D96</f>
        <v>0</v>
      </c>
      <c r="FA96" s="39" t="str">
        <f>'Por Valoracion (3) Dimension 2'!F96</f>
        <v>0</v>
      </c>
      <c r="FV96" s="46"/>
      <c r="FX96" t="str">
        <f>('Inteligencia emocional'!A97)</f>
        <v>0</v>
      </c>
      <c r="FY96" s="39" t="str">
        <f>'Por Valoracion (3) Dimension'!D96</f>
        <v>0</v>
      </c>
      <c r="FZ96" s="39" t="str">
        <f>'Por Valoracion (3) Dimension 2'!H96</f>
        <v>0</v>
      </c>
      <c r="GU96" s="46"/>
      <c r="GW96" s="47"/>
      <c r="GY96" t="str">
        <f>('Inteligencia emocional'!A97)</f>
        <v>0</v>
      </c>
      <c r="GZ96" s="39" t="str">
        <f>'Por Valoracion (3) Dimension'!F96</f>
        <v>0</v>
      </c>
      <c r="HA96" s="39" t="str">
        <f>'Por Valoracion (3) Dimension 2'!B96</f>
        <v>0</v>
      </c>
      <c r="HV96" s="47"/>
      <c r="HX96" t="str">
        <f>('Inteligencia emocional'!A97)</f>
        <v>0</v>
      </c>
      <c r="HY96" s="39" t="str">
        <f>'Por Valoracion (3) Dimension'!F96</f>
        <v>0</v>
      </c>
      <c r="HZ96" s="39" t="str">
        <f>'Por Valoracion (3) Dimension 2'!D96</f>
        <v>0</v>
      </c>
      <c r="IU96" s="47"/>
      <c r="IW96" t="str">
        <f>('Inteligencia emocional'!A97)</f>
        <v>0</v>
      </c>
      <c r="IX96" s="39" t="str">
        <f>'Por Valoracion (3) Dimension'!F96</f>
        <v>0</v>
      </c>
      <c r="IY96" s="39" t="str">
        <f>'Por Valoracion (3) Dimension 2'!F96</f>
        <v>0</v>
      </c>
      <c r="JT96" s="47"/>
      <c r="JV96" t="str">
        <f>('Inteligencia emocional'!A97)</f>
        <v>0</v>
      </c>
      <c r="JW96" s="39" t="str">
        <f>'Por Valoracion (3) Dimension'!F96</f>
        <v>0</v>
      </c>
      <c r="JX96" s="39" t="str">
        <f>'Por Valoracion (3) Dimension 2'!H96</f>
        <v>0</v>
      </c>
      <c r="KS96" s="47"/>
    </row>
    <row r="97" spans="1:305">
      <c r="A97" s="38"/>
      <c r="C97" t="str">
        <f>('Inteligencia emocional'!A98)</f>
        <v>0</v>
      </c>
      <c r="D97" s="39" t="str">
        <f>'Por Valoracion (3) Dimension'!B97</f>
        <v>0</v>
      </c>
      <c r="E97" s="39" t="str">
        <f>'Por Valoracion (3) Dimension 2'!B97</f>
        <v>0</v>
      </c>
      <c r="Z97" s="38"/>
      <c r="AB97" t="str">
        <f>('Inteligencia emocional'!A98)</f>
        <v>0</v>
      </c>
      <c r="AC97" s="39" t="str">
        <f>'Por Valoracion (3) Dimension'!B97</f>
        <v>0</v>
      </c>
      <c r="AD97" s="39" t="str">
        <f>'Por Valoracion (3) Dimension 2'!D97</f>
        <v>0</v>
      </c>
      <c r="AY97" s="38"/>
      <c r="BA97" t="str">
        <f>('Inteligencia emocional'!A98)</f>
        <v>0</v>
      </c>
      <c r="BB97" s="39" t="str">
        <f>'Por Valoracion (3) Dimension'!B97</f>
        <v>0</v>
      </c>
      <c r="BC97" s="39" t="str">
        <f>'Por Valoracion (3) Dimension 2'!F97</f>
        <v>0</v>
      </c>
      <c r="BX97" s="38"/>
      <c r="BZ97" t="str">
        <f>('Inteligencia emocional'!A98)</f>
        <v>0</v>
      </c>
      <c r="CA97" s="39" t="str">
        <f>'Por Valoracion (3) Dimension'!B97</f>
        <v>0</v>
      </c>
      <c r="CB97" s="39" t="str">
        <f>'Por Valoracion (3) Dimension 2'!H97</f>
        <v>0</v>
      </c>
      <c r="CW97" s="38"/>
      <c r="CY97" s="46"/>
      <c r="DA97" t="str">
        <f>('Inteligencia emocional'!A98)</f>
        <v>0</v>
      </c>
      <c r="DB97" s="39" t="str">
        <f>'Por Valoracion (3) Dimension'!D97</f>
        <v>0</v>
      </c>
      <c r="DC97" s="39" t="str">
        <f>'Por Valoracion (3) Dimension 2'!B97</f>
        <v>0</v>
      </c>
      <c r="DX97" s="46"/>
      <c r="DZ97" t="str">
        <f>('Inteligencia emocional'!A98)</f>
        <v>0</v>
      </c>
      <c r="EA97" s="39" t="str">
        <f>'Por Valoracion (3) Dimension'!D97</f>
        <v>0</v>
      </c>
      <c r="EB97" s="39" t="str">
        <f>'Por Valoracion (3) Dimension 2'!D97</f>
        <v>0</v>
      </c>
      <c r="EW97" s="46"/>
      <c r="EY97" t="str">
        <f>('Inteligencia emocional'!A98)</f>
        <v>0</v>
      </c>
      <c r="EZ97" s="39" t="str">
        <f>'Por Valoracion (3) Dimension'!D97</f>
        <v>0</v>
      </c>
      <c r="FA97" s="39" t="str">
        <f>'Por Valoracion (3) Dimension 2'!F97</f>
        <v>0</v>
      </c>
      <c r="FV97" s="46"/>
      <c r="FX97" t="str">
        <f>('Inteligencia emocional'!A98)</f>
        <v>0</v>
      </c>
      <c r="FY97" s="39" t="str">
        <f>'Por Valoracion (3) Dimension'!D97</f>
        <v>0</v>
      </c>
      <c r="FZ97" s="39" t="str">
        <f>'Por Valoracion (3) Dimension 2'!H97</f>
        <v>0</v>
      </c>
      <c r="GU97" s="46"/>
      <c r="GW97" s="47"/>
      <c r="GY97" t="str">
        <f>('Inteligencia emocional'!A98)</f>
        <v>0</v>
      </c>
      <c r="GZ97" s="39" t="str">
        <f>'Por Valoracion (3) Dimension'!F97</f>
        <v>0</v>
      </c>
      <c r="HA97" s="39" t="str">
        <f>'Por Valoracion (3) Dimension 2'!B97</f>
        <v>0</v>
      </c>
      <c r="HV97" s="47"/>
      <c r="HX97" t="str">
        <f>('Inteligencia emocional'!A98)</f>
        <v>0</v>
      </c>
      <c r="HY97" s="39" t="str">
        <f>'Por Valoracion (3) Dimension'!F97</f>
        <v>0</v>
      </c>
      <c r="HZ97" s="39" t="str">
        <f>'Por Valoracion (3) Dimension 2'!D97</f>
        <v>0</v>
      </c>
      <c r="IU97" s="47"/>
      <c r="IW97" t="str">
        <f>('Inteligencia emocional'!A98)</f>
        <v>0</v>
      </c>
      <c r="IX97" s="39" t="str">
        <f>'Por Valoracion (3) Dimension'!F97</f>
        <v>0</v>
      </c>
      <c r="IY97" s="39" t="str">
        <f>'Por Valoracion (3) Dimension 2'!F97</f>
        <v>0</v>
      </c>
      <c r="JT97" s="47"/>
      <c r="JV97" t="str">
        <f>('Inteligencia emocional'!A98)</f>
        <v>0</v>
      </c>
      <c r="JW97" s="39" t="str">
        <f>'Por Valoracion (3) Dimension'!F97</f>
        <v>0</v>
      </c>
      <c r="JX97" s="39" t="str">
        <f>'Por Valoracion (3) Dimension 2'!H97</f>
        <v>0</v>
      </c>
      <c r="KS97" s="47"/>
    </row>
    <row r="98" spans="1:305">
      <c r="A98" s="38"/>
      <c r="C98" t="str">
        <f>('Inteligencia emocional'!A99)</f>
        <v>0</v>
      </c>
      <c r="D98" s="39" t="str">
        <f>'Por Valoracion (3) Dimension'!B98</f>
        <v>0</v>
      </c>
      <c r="E98" s="39" t="str">
        <f>'Por Valoracion (3) Dimension 2'!B98</f>
        <v>0</v>
      </c>
      <c r="Z98" s="38"/>
      <c r="AB98" t="str">
        <f>('Inteligencia emocional'!A99)</f>
        <v>0</v>
      </c>
      <c r="AC98" s="39" t="str">
        <f>'Por Valoracion (3) Dimension'!B98</f>
        <v>0</v>
      </c>
      <c r="AD98" s="39" t="str">
        <f>'Por Valoracion (3) Dimension 2'!D98</f>
        <v>0</v>
      </c>
      <c r="AY98" s="38"/>
      <c r="BA98" t="str">
        <f>('Inteligencia emocional'!A99)</f>
        <v>0</v>
      </c>
      <c r="BB98" s="39" t="str">
        <f>'Por Valoracion (3) Dimension'!B98</f>
        <v>0</v>
      </c>
      <c r="BC98" s="39" t="str">
        <f>'Por Valoracion (3) Dimension 2'!F98</f>
        <v>0</v>
      </c>
      <c r="BX98" s="38"/>
      <c r="BZ98" t="str">
        <f>('Inteligencia emocional'!A99)</f>
        <v>0</v>
      </c>
      <c r="CA98" s="39" t="str">
        <f>'Por Valoracion (3) Dimension'!B98</f>
        <v>0</v>
      </c>
      <c r="CB98" s="39" t="str">
        <f>'Por Valoracion (3) Dimension 2'!H98</f>
        <v>0</v>
      </c>
      <c r="CW98" s="38"/>
      <c r="CY98" s="46"/>
      <c r="DA98" t="str">
        <f>('Inteligencia emocional'!A99)</f>
        <v>0</v>
      </c>
      <c r="DB98" s="39" t="str">
        <f>'Por Valoracion (3) Dimension'!D98</f>
        <v>0</v>
      </c>
      <c r="DC98" s="39" t="str">
        <f>'Por Valoracion (3) Dimension 2'!B98</f>
        <v>0</v>
      </c>
      <c r="DX98" s="46"/>
      <c r="DZ98" t="str">
        <f>('Inteligencia emocional'!A99)</f>
        <v>0</v>
      </c>
      <c r="EA98" s="39" t="str">
        <f>'Por Valoracion (3) Dimension'!D98</f>
        <v>0</v>
      </c>
      <c r="EB98" s="39" t="str">
        <f>'Por Valoracion (3) Dimension 2'!D98</f>
        <v>0</v>
      </c>
      <c r="EW98" s="46"/>
      <c r="EY98" t="str">
        <f>('Inteligencia emocional'!A99)</f>
        <v>0</v>
      </c>
      <c r="EZ98" s="39" t="str">
        <f>'Por Valoracion (3) Dimension'!D98</f>
        <v>0</v>
      </c>
      <c r="FA98" s="39" t="str">
        <f>'Por Valoracion (3) Dimension 2'!F98</f>
        <v>0</v>
      </c>
      <c r="FV98" s="46"/>
      <c r="FX98" t="str">
        <f>('Inteligencia emocional'!A99)</f>
        <v>0</v>
      </c>
      <c r="FY98" s="39" t="str">
        <f>'Por Valoracion (3) Dimension'!D98</f>
        <v>0</v>
      </c>
      <c r="FZ98" s="39" t="str">
        <f>'Por Valoracion (3) Dimension 2'!H98</f>
        <v>0</v>
      </c>
      <c r="GU98" s="46"/>
      <c r="GW98" s="47"/>
      <c r="GY98" t="str">
        <f>('Inteligencia emocional'!A99)</f>
        <v>0</v>
      </c>
      <c r="GZ98" s="39" t="str">
        <f>'Por Valoracion (3) Dimension'!F98</f>
        <v>0</v>
      </c>
      <c r="HA98" s="39" t="str">
        <f>'Por Valoracion (3) Dimension 2'!B98</f>
        <v>0</v>
      </c>
      <c r="HV98" s="47"/>
      <c r="HX98" t="str">
        <f>('Inteligencia emocional'!A99)</f>
        <v>0</v>
      </c>
      <c r="HY98" s="39" t="str">
        <f>'Por Valoracion (3) Dimension'!F98</f>
        <v>0</v>
      </c>
      <c r="HZ98" s="39" t="str">
        <f>'Por Valoracion (3) Dimension 2'!D98</f>
        <v>0</v>
      </c>
      <c r="IU98" s="47"/>
      <c r="IW98" t="str">
        <f>('Inteligencia emocional'!A99)</f>
        <v>0</v>
      </c>
      <c r="IX98" s="39" t="str">
        <f>'Por Valoracion (3) Dimension'!F98</f>
        <v>0</v>
      </c>
      <c r="IY98" s="39" t="str">
        <f>'Por Valoracion (3) Dimension 2'!F98</f>
        <v>0</v>
      </c>
      <c r="JT98" s="47"/>
      <c r="JV98" t="str">
        <f>('Inteligencia emocional'!A99)</f>
        <v>0</v>
      </c>
      <c r="JW98" s="39" t="str">
        <f>'Por Valoracion (3) Dimension'!F98</f>
        <v>0</v>
      </c>
      <c r="JX98" s="39" t="str">
        <f>'Por Valoracion (3) Dimension 2'!H98</f>
        <v>0</v>
      </c>
      <c r="KS98" s="47"/>
    </row>
    <row r="99" spans="1:305">
      <c r="A99" s="38"/>
      <c r="C99" t="str">
        <f>('Inteligencia emocional'!A100)</f>
        <v>0</v>
      </c>
      <c r="D99" s="39" t="str">
        <f>'Por Valoracion (3) Dimension'!B99</f>
        <v>0</v>
      </c>
      <c r="E99" s="39" t="str">
        <f>'Por Valoracion (3) Dimension 2'!B99</f>
        <v>0</v>
      </c>
      <c r="Z99" s="38"/>
      <c r="AB99" t="str">
        <f>('Inteligencia emocional'!A100)</f>
        <v>0</v>
      </c>
      <c r="AC99" s="39" t="str">
        <f>'Por Valoracion (3) Dimension'!B99</f>
        <v>0</v>
      </c>
      <c r="AD99" s="39" t="str">
        <f>'Por Valoracion (3) Dimension 2'!D99</f>
        <v>0</v>
      </c>
      <c r="AY99" s="38"/>
      <c r="BA99" t="str">
        <f>('Inteligencia emocional'!A100)</f>
        <v>0</v>
      </c>
      <c r="BB99" s="39" t="str">
        <f>'Por Valoracion (3) Dimension'!B99</f>
        <v>0</v>
      </c>
      <c r="BC99" s="39" t="str">
        <f>'Por Valoracion (3) Dimension 2'!F99</f>
        <v>0</v>
      </c>
      <c r="BX99" s="38"/>
      <c r="BZ99" t="str">
        <f>('Inteligencia emocional'!A100)</f>
        <v>0</v>
      </c>
      <c r="CA99" s="39" t="str">
        <f>'Por Valoracion (3) Dimension'!B99</f>
        <v>0</v>
      </c>
      <c r="CB99" s="39" t="str">
        <f>'Por Valoracion (3) Dimension 2'!H99</f>
        <v>0</v>
      </c>
      <c r="CW99" s="38"/>
      <c r="CY99" s="46"/>
      <c r="DA99" t="str">
        <f>('Inteligencia emocional'!A100)</f>
        <v>0</v>
      </c>
      <c r="DB99" s="39" t="str">
        <f>'Por Valoracion (3) Dimension'!D99</f>
        <v>0</v>
      </c>
      <c r="DC99" s="39" t="str">
        <f>'Por Valoracion (3) Dimension 2'!B99</f>
        <v>0</v>
      </c>
      <c r="DX99" s="46"/>
      <c r="DZ99" t="str">
        <f>('Inteligencia emocional'!A100)</f>
        <v>0</v>
      </c>
      <c r="EA99" s="39" t="str">
        <f>'Por Valoracion (3) Dimension'!D99</f>
        <v>0</v>
      </c>
      <c r="EB99" s="39" t="str">
        <f>'Por Valoracion (3) Dimension 2'!D99</f>
        <v>0</v>
      </c>
      <c r="EW99" s="46"/>
      <c r="EY99" t="str">
        <f>('Inteligencia emocional'!A100)</f>
        <v>0</v>
      </c>
      <c r="EZ99" s="39" t="str">
        <f>'Por Valoracion (3) Dimension'!D99</f>
        <v>0</v>
      </c>
      <c r="FA99" s="39" t="str">
        <f>'Por Valoracion (3) Dimension 2'!F99</f>
        <v>0</v>
      </c>
      <c r="FV99" s="46"/>
      <c r="FX99" t="str">
        <f>('Inteligencia emocional'!A100)</f>
        <v>0</v>
      </c>
      <c r="FY99" s="39" t="str">
        <f>'Por Valoracion (3) Dimension'!D99</f>
        <v>0</v>
      </c>
      <c r="FZ99" s="39" t="str">
        <f>'Por Valoracion (3) Dimension 2'!H99</f>
        <v>0</v>
      </c>
      <c r="GU99" s="46"/>
      <c r="GW99" s="47"/>
      <c r="GY99" t="str">
        <f>('Inteligencia emocional'!A100)</f>
        <v>0</v>
      </c>
      <c r="GZ99" s="39" t="str">
        <f>'Por Valoracion (3) Dimension'!F99</f>
        <v>0</v>
      </c>
      <c r="HA99" s="39" t="str">
        <f>'Por Valoracion (3) Dimension 2'!B99</f>
        <v>0</v>
      </c>
      <c r="HV99" s="47"/>
      <c r="HX99" t="str">
        <f>('Inteligencia emocional'!A100)</f>
        <v>0</v>
      </c>
      <c r="HY99" s="39" t="str">
        <f>'Por Valoracion (3) Dimension'!F99</f>
        <v>0</v>
      </c>
      <c r="HZ99" s="39" t="str">
        <f>'Por Valoracion (3) Dimension 2'!D99</f>
        <v>0</v>
      </c>
      <c r="IU99" s="47"/>
      <c r="IW99" t="str">
        <f>('Inteligencia emocional'!A100)</f>
        <v>0</v>
      </c>
      <c r="IX99" s="39" t="str">
        <f>'Por Valoracion (3) Dimension'!F99</f>
        <v>0</v>
      </c>
      <c r="IY99" s="39" t="str">
        <f>'Por Valoracion (3) Dimension 2'!F99</f>
        <v>0</v>
      </c>
      <c r="JT99" s="47"/>
      <c r="JV99" t="str">
        <f>('Inteligencia emocional'!A100)</f>
        <v>0</v>
      </c>
      <c r="JW99" s="39" t="str">
        <f>'Por Valoracion (3) Dimension'!F99</f>
        <v>0</v>
      </c>
      <c r="JX99" s="39" t="str">
        <f>'Por Valoracion (3) Dimension 2'!H99</f>
        <v>0</v>
      </c>
      <c r="KS99" s="47"/>
    </row>
    <row r="100" spans="1:305">
      <c r="A100" s="38"/>
      <c r="C100" t="str">
        <f>('Inteligencia emocional'!A101)</f>
        <v>0</v>
      </c>
      <c r="D100" s="39" t="str">
        <f>'Por Valoracion (3) Dimension'!B100</f>
        <v>0</v>
      </c>
      <c r="E100" s="39" t="str">
        <f>'Por Valoracion (3) Dimension 2'!B100</f>
        <v>0</v>
      </c>
      <c r="Z100" s="38"/>
      <c r="AB100" t="str">
        <f>('Inteligencia emocional'!A101)</f>
        <v>0</v>
      </c>
      <c r="AC100" s="39" t="str">
        <f>'Por Valoracion (3) Dimension'!B100</f>
        <v>0</v>
      </c>
      <c r="AD100" s="39" t="str">
        <f>'Por Valoracion (3) Dimension 2'!D100</f>
        <v>0</v>
      </c>
      <c r="AY100" s="38"/>
      <c r="BA100" t="str">
        <f>('Inteligencia emocional'!A101)</f>
        <v>0</v>
      </c>
      <c r="BB100" s="39" t="str">
        <f>'Por Valoracion (3) Dimension'!B100</f>
        <v>0</v>
      </c>
      <c r="BC100" s="39" t="str">
        <f>'Por Valoracion (3) Dimension 2'!F100</f>
        <v>0</v>
      </c>
      <c r="BX100" s="38"/>
      <c r="BZ100" t="str">
        <f>('Inteligencia emocional'!A101)</f>
        <v>0</v>
      </c>
      <c r="CA100" s="39" t="str">
        <f>'Por Valoracion (3) Dimension'!B100</f>
        <v>0</v>
      </c>
      <c r="CB100" s="39" t="str">
        <f>'Por Valoracion (3) Dimension 2'!H100</f>
        <v>0</v>
      </c>
      <c r="CW100" s="38"/>
      <c r="CY100" s="46"/>
      <c r="DA100" t="str">
        <f>('Inteligencia emocional'!A101)</f>
        <v>0</v>
      </c>
      <c r="DB100" s="39" t="str">
        <f>'Por Valoracion (3) Dimension'!D100</f>
        <v>0</v>
      </c>
      <c r="DC100" s="39" t="str">
        <f>'Por Valoracion (3) Dimension 2'!B100</f>
        <v>0</v>
      </c>
      <c r="DX100" s="46"/>
      <c r="DZ100" t="str">
        <f>('Inteligencia emocional'!A101)</f>
        <v>0</v>
      </c>
      <c r="EA100" s="39" t="str">
        <f>'Por Valoracion (3) Dimension'!D100</f>
        <v>0</v>
      </c>
      <c r="EB100" s="39" t="str">
        <f>'Por Valoracion (3) Dimension 2'!D100</f>
        <v>0</v>
      </c>
      <c r="EW100" s="46"/>
      <c r="EY100" t="str">
        <f>('Inteligencia emocional'!A101)</f>
        <v>0</v>
      </c>
      <c r="EZ100" s="39" t="str">
        <f>'Por Valoracion (3) Dimension'!D100</f>
        <v>0</v>
      </c>
      <c r="FA100" s="39" t="str">
        <f>'Por Valoracion (3) Dimension 2'!F100</f>
        <v>0</v>
      </c>
      <c r="FV100" s="46"/>
      <c r="FX100" t="str">
        <f>('Inteligencia emocional'!A101)</f>
        <v>0</v>
      </c>
      <c r="FY100" s="39" t="str">
        <f>'Por Valoracion (3) Dimension'!D100</f>
        <v>0</v>
      </c>
      <c r="FZ100" s="39" t="str">
        <f>'Por Valoracion (3) Dimension 2'!H100</f>
        <v>0</v>
      </c>
      <c r="GU100" s="46"/>
      <c r="GW100" s="47"/>
      <c r="GY100" t="str">
        <f>('Inteligencia emocional'!A101)</f>
        <v>0</v>
      </c>
      <c r="GZ100" s="39" t="str">
        <f>'Por Valoracion (3) Dimension'!F100</f>
        <v>0</v>
      </c>
      <c r="HA100" s="39" t="str">
        <f>'Por Valoracion (3) Dimension 2'!B100</f>
        <v>0</v>
      </c>
      <c r="HV100" s="47"/>
      <c r="HX100" t="str">
        <f>('Inteligencia emocional'!A101)</f>
        <v>0</v>
      </c>
      <c r="HY100" s="39" t="str">
        <f>'Por Valoracion (3) Dimension'!F100</f>
        <v>0</v>
      </c>
      <c r="HZ100" s="39" t="str">
        <f>'Por Valoracion (3) Dimension 2'!D100</f>
        <v>0</v>
      </c>
      <c r="IU100" s="47"/>
      <c r="IW100" t="str">
        <f>('Inteligencia emocional'!A101)</f>
        <v>0</v>
      </c>
      <c r="IX100" s="39" t="str">
        <f>'Por Valoracion (3) Dimension'!F100</f>
        <v>0</v>
      </c>
      <c r="IY100" s="39" t="str">
        <f>'Por Valoracion (3) Dimension 2'!F100</f>
        <v>0</v>
      </c>
      <c r="JT100" s="47"/>
      <c r="JV100" t="str">
        <f>('Inteligencia emocional'!A101)</f>
        <v>0</v>
      </c>
      <c r="JW100" s="39" t="str">
        <f>'Por Valoracion (3) Dimension'!F100</f>
        <v>0</v>
      </c>
      <c r="JX100" s="39" t="str">
        <f>'Por Valoracion (3) Dimension 2'!H100</f>
        <v>0</v>
      </c>
      <c r="KS100" s="47"/>
    </row>
    <row r="101" spans="1:305">
      <c r="A101" s="38"/>
      <c r="C101" t="str">
        <f>('Inteligencia emocional'!A102)</f>
        <v>0</v>
      </c>
      <c r="D101" s="39" t="str">
        <f>'Por Valoracion (3) Dimension'!B101</f>
        <v>0</v>
      </c>
      <c r="E101" s="39" t="str">
        <f>'Por Valoracion (3) Dimension 2'!B101</f>
        <v>0</v>
      </c>
      <c r="Z101" s="38"/>
      <c r="AB101" t="str">
        <f>('Inteligencia emocional'!A102)</f>
        <v>0</v>
      </c>
      <c r="AC101" s="39" t="str">
        <f>'Por Valoracion (3) Dimension'!B101</f>
        <v>0</v>
      </c>
      <c r="AD101" s="39" t="str">
        <f>'Por Valoracion (3) Dimension 2'!D101</f>
        <v>0</v>
      </c>
      <c r="AY101" s="38"/>
      <c r="BA101" t="str">
        <f>('Inteligencia emocional'!A102)</f>
        <v>0</v>
      </c>
      <c r="BB101" s="39" t="str">
        <f>'Por Valoracion (3) Dimension'!B101</f>
        <v>0</v>
      </c>
      <c r="BC101" s="39" t="str">
        <f>'Por Valoracion (3) Dimension 2'!F101</f>
        <v>0</v>
      </c>
      <c r="BX101" s="38"/>
      <c r="BZ101" t="str">
        <f>('Inteligencia emocional'!A102)</f>
        <v>0</v>
      </c>
      <c r="CA101" s="39" t="str">
        <f>'Por Valoracion (3) Dimension'!B101</f>
        <v>0</v>
      </c>
      <c r="CB101" s="39" t="str">
        <f>'Por Valoracion (3) Dimension 2'!H101</f>
        <v>0</v>
      </c>
      <c r="CW101" s="38"/>
      <c r="CY101" s="46"/>
      <c r="DA101" t="str">
        <f>('Inteligencia emocional'!A102)</f>
        <v>0</v>
      </c>
      <c r="DB101" s="39" t="str">
        <f>'Por Valoracion (3) Dimension'!D101</f>
        <v>0</v>
      </c>
      <c r="DC101" s="39" t="str">
        <f>'Por Valoracion (3) Dimension 2'!B101</f>
        <v>0</v>
      </c>
      <c r="DX101" s="46"/>
      <c r="DZ101" t="str">
        <f>('Inteligencia emocional'!A102)</f>
        <v>0</v>
      </c>
      <c r="EA101" s="39" t="str">
        <f>'Por Valoracion (3) Dimension'!D101</f>
        <v>0</v>
      </c>
      <c r="EB101" s="39" t="str">
        <f>'Por Valoracion (3) Dimension 2'!D101</f>
        <v>0</v>
      </c>
      <c r="EW101" s="46"/>
      <c r="EY101" t="str">
        <f>('Inteligencia emocional'!A102)</f>
        <v>0</v>
      </c>
      <c r="EZ101" s="39" t="str">
        <f>'Por Valoracion (3) Dimension'!D101</f>
        <v>0</v>
      </c>
      <c r="FA101" s="39" t="str">
        <f>'Por Valoracion (3) Dimension 2'!F101</f>
        <v>0</v>
      </c>
      <c r="FV101" s="46"/>
      <c r="FX101" t="str">
        <f>('Inteligencia emocional'!A102)</f>
        <v>0</v>
      </c>
      <c r="FY101" s="39" t="str">
        <f>'Por Valoracion (3) Dimension'!D101</f>
        <v>0</v>
      </c>
      <c r="FZ101" s="39" t="str">
        <f>'Por Valoracion (3) Dimension 2'!H101</f>
        <v>0</v>
      </c>
      <c r="GU101" s="46"/>
      <c r="GW101" s="47"/>
      <c r="GY101" t="str">
        <f>('Inteligencia emocional'!A102)</f>
        <v>0</v>
      </c>
      <c r="GZ101" s="39" t="str">
        <f>'Por Valoracion (3) Dimension'!F101</f>
        <v>0</v>
      </c>
      <c r="HA101" s="39" t="str">
        <f>'Por Valoracion (3) Dimension 2'!B101</f>
        <v>0</v>
      </c>
      <c r="HV101" s="47"/>
      <c r="HX101" t="str">
        <f>('Inteligencia emocional'!A102)</f>
        <v>0</v>
      </c>
      <c r="HY101" s="39" t="str">
        <f>'Por Valoracion (3) Dimension'!F101</f>
        <v>0</v>
      </c>
      <c r="HZ101" s="39" t="str">
        <f>'Por Valoracion (3) Dimension 2'!D101</f>
        <v>0</v>
      </c>
      <c r="IU101" s="47"/>
      <c r="IW101" t="str">
        <f>('Inteligencia emocional'!A102)</f>
        <v>0</v>
      </c>
      <c r="IX101" s="39" t="str">
        <f>'Por Valoracion (3) Dimension'!F101</f>
        <v>0</v>
      </c>
      <c r="IY101" s="39" t="str">
        <f>'Por Valoracion (3) Dimension 2'!F101</f>
        <v>0</v>
      </c>
      <c r="JT101" s="47"/>
      <c r="JV101" t="str">
        <f>('Inteligencia emocional'!A102)</f>
        <v>0</v>
      </c>
      <c r="JW101" s="39" t="str">
        <f>'Por Valoracion (3) Dimension'!F101</f>
        <v>0</v>
      </c>
      <c r="JX101" s="39" t="str">
        <f>'Por Valoracion (3) Dimension 2'!H101</f>
        <v>0</v>
      </c>
      <c r="KS101" s="47"/>
    </row>
    <row r="102" spans="1:305">
      <c r="A102" s="38"/>
      <c r="C102" t="str">
        <f>('Inteligencia emocional'!A103)</f>
        <v>0</v>
      </c>
      <c r="D102" s="39" t="str">
        <f>'Por Valoracion (3) Dimension'!B102</f>
        <v>0</v>
      </c>
      <c r="E102" s="39" t="str">
        <f>'Por Valoracion (3) Dimension 2'!B102</f>
        <v>0</v>
      </c>
      <c r="Z102" s="38"/>
      <c r="AB102" t="str">
        <f>('Inteligencia emocional'!A103)</f>
        <v>0</v>
      </c>
      <c r="AC102" s="39" t="str">
        <f>'Por Valoracion (3) Dimension'!B102</f>
        <v>0</v>
      </c>
      <c r="AD102" s="39" t="str">
        <f>'Por Valoracion (3) Dimension 2'!D102</f>
        <v>0</v>
      </c>
      <c r="AY102" s="38"/>
      <c r="BA102" t="str">
        <f>('Inteligencia emocional'!A103)</f>
        <v>0</v>
      </c>
      <c r="BB102" s="39" t="str">
        <f>'Por Valoracion (3) Dimension'!B102</f>
        <v>0</v>
      </c>
      <c r="BC102" s="39" t="str">
        <f>'Por Valoracion (3) Dimension 2'!F102</f>
        <v>0</v>
      </c>
      <c r="BX102" s="38"/>
      <c r="BZ102" t="str">
        <f>('Inteligencia emocional'!A103)</f>
        <v>0</v>
      </c>
      <c r="CA102" s="39" t="str">
        <f>'Por Valoracion (3) Dimension'!B102</f>
        <v>0</v>
      </c>
      <c r="CB102" s="39" t="str">
        <f>'Por Valoracion (3) Dimension 2'!H102</f>
        <v>0</v>
      </c>
      <c r="CW102" s="38"/>
      <c r="CY102" s="46"/>
      <c r="DA102" t="str">
        <f>('Inteligencia emocional'!A103)</f>
        <v>0</v>
      </c>
      <c r="DB102" s="39" t="str">
        <f>'Por Valoracion (3) Dimension'!D102</f>
        <v>0</v>
      </c>
      <c r="DC102" s="39" t="str">
        <f>'Por Valoracion (3) Dimension 2'!B102</f>
        <v>0</v>
      </c>
      <c r="DX102" s="46"/>
      <c r="DZ102" t="str">
        <f>('Inteligencia emocional'!A103)</f>
        <v>0</v>
      </c>
      <c r="EA102" s="39" t="str">
        <f>'Por Valoracion (3) Dimension'!D102</f>
        <v>0</v>
      </c>
      <c r="EB102" s="39" t="str">
        <f>'Por Valoracion (3) Dimension 2'!D102</f>
        <v>0</v>
      </c>
      <c r="EW102" s="46"/>
      <c r="EY102" t="str">
        <f>('Inteligencia emocional'!A103)</f>
        <v>0</v>
      </c>
      <c r="EZ102" s="39" t="str">
        <f>'Por Valoracion (3) Dimension'!D102</f>
        <v>0</v>
      </c>
      <c r="FA102" s="39" t="str">
        <f>'Por Valoracion (3) Dimension 2'!F102</f>
        <v>0</v>
      </c>
      <c r="FV102" s="46"/>
      <c r="FX102" t="str">
        <f>('Inteligencia emocional'!A103)</f>
        <v>0</v>
      </c>
      <c r="FY102" s="39" t="str">
        <f>'Por Valoracion (3) Dimension'!D102</f>
        <v>0</v>
      </c>
      <c r="FZ102" s="39" t="str">
        <f>'Por Valoracion (3) Dimension 2'!H102</f>
        <v>0</v>
      </c>
      <c r="GU102" s="46"/>
      <c r="GW102" s="47"/>
      <c r="GY102" t="str">
        <f>('Inteligencia emocional'!A103)</f>
        <v>0</v>
      </c>
      <c r="GZ102" s="39" t="str">
        <f>'Por Valoracion (3) Dimension'!F102</f>
        <v>0</v>
      </c>
      <c r="HA102" s="39" t="str">
        <f>'Por Valoracion (3) Dimension 2'!B102</f>
        <v>0</v>
      </c>
      <c r="HV102" s="47"/>
      <c r="HX102" t="str">
        <f>('Inteligencia emocional'!A103)</f>
        <v>0</v>
      </c>
      <c r="HY102" s="39" t="str">
        <f>'Por Valoracion (3) Dimension'!F102</f>
        <v>0</v>
      </c>
      <c r="HZ102" s="39" t="str">
        <f>'Por Valoracion (3) Dimension 2'!D102</f>
        <v>0</v>
      </c>
      <c r="IU102" s="47"/>
      <c r="IW102" t="str">
        <f>('Inteligencia emocional'!A103)</f>
        <v>0</v>
      </c>
      <c r="IX102" s="39" t="str">
        <f>'Por Valoracion (3) Dimension'!F102</f>
        <v>0</v>
      </c>
      <c r="IY102" s="39" t="str">
        <f>'Por Valoracion (3) Dimension 2'!F102</f>
        <v>0</v>
      </c>
      <c r="JT102" s="47"/>
      <c r="JV102" t="str">
        <f>('Inteligencia emocional'!A103)</f>
        <v>0</v>
      </c>
      <c r="JW102" s="39" t="str">
        <f>'Por Valoracion (3) Dimension'!F102</f>
        <v>0</v>
      </c>
      <c r="JX102" s="39" t="str">
        <f>'Por Valoracion (3) Dimension 2'!H102</f>
        <v>0</v>
      </c>
      <c r="KS102" s="47"/>
    </row>
    <row r="103" spans="1:305">
      <c r="A103" s="38"/>
      <c r="C103" t="str">
        <f>('Inteligencia emocional'!A104)</f>
        <v>0</v>
      </c>
      <c r="D103" s="39" t="str">
        <f>'Por Valoracion (3) Dimension'!B103</f>
        <v>0</v>
      </c>
      <c r="E103" s="39" t="str">
        <f>'Por Valoracion (3) Dimension 2'!B103</f>
        <v>0</v>
      </c>
      <c r="Z103" s="38"/>
      <c r="AB103" t="str">
        <f>('Inteligencia emocional'!A104)</f>
        <v>0</v>
      </c>
      <c r="AC103" s="39" t="str">
        <f>'Por Valoracion (3) Dimension'!B103</f>
        <v>0</v>
      </c>
      <c r="AD103" s="39" t="str">
        <f>'Por Valoracion (3) Dimension 2'!D103</f>
        <v>0</v>
      </c>
      <c r="AY103" s="38"/>
      <c r="BA103" t="str">
        <f>('Inteligencia emocional'!A104)</f>
        <v>0</v>
      </c>
      <c r="BB103" s="39" t="str">
        <f>'Por Valoracion (3) Dimension'!B103</f>
        <v>0</v>
      </c>
      <c r="BC103" s="39" t="str">
        <f>'Por Valoracion (3) Dimension 2'!F103</f>
        <v>0</v>
      </c>
      <c r="BX103" s="38"/>
      <c r="BZ103" t="str">
        <f>('Inteligencia emocional'!A104)</f>
        <v>0</v>
      </c>
      <c r="CA103" s="39" t="str">
        <f>'Por Valoracion (3) Dimension'!B103</f>
        <v>0</v>
      </c>
      <c r="CB103" s="39" t="str">
        <f>'Por Valoracion (3) Dimension 2'!H103</f>
        <v>0</v>
      </c>
      <c r="CW103" s="38"/>
      <c r="CY103" s="46"/>
      <c r="DA103" t="str">
        <f>('Inteligencia emocional'!A104)</f>
        <v>0</v>
      </c>
      <c r="DB103" s="39" t="str">
        <f>'Por Valoracion (3) Dimension'!D103</f>
        <v>0</v>
      </c>
      <c r="DC103" s="39" t="str">
        <f>'Por Valoracion (3) Dimension 2'!B103</f>
        <v>0</v>
      </c>
      <c r="DX103" s="46"/>
      <c r="DZ103" t="str">
        <f>('Inteligencia emocional'!A104)</f>
        <v>0</v>
      </c>
      <c r="EA103" s="39" t="str">
        <f>'Por Valoracion (3) Dimension'!D103</f>
        <v>0</v>
      </c>
      <c r="EB103" s="39" t="str">
        <f>'Por Valoracion (3) Dimension 2'!D103</f>
        <v>0</v>
      </c>
      <c r="EW103" s="46"/>
      <c r="EY103" t="str">
        <f>('Inteligencia emocional'!A104)</f>
        <v>0</v>
      </c>
      <c r="EZ103" s="39" t="str">
        <f>'Por Valoracion (3) Dimension'!D103</f>
        <v>0</v>
      </c>
      <c r="FA103" s="39" t="str">
        <f>'Por Valoracion (3) Dimension 2'!F103</f>
        <v>0</v>
      </c>
      <c r="FV103" s="46"/>
      <c r="FX103" t="str">
        <f>('Inteligencia emocional'!A104)</f>
        <v>0</v>
      </c>
      <c r="FY103" s="39" t="str">
        <f>'Por Valoracion (3) Dimension'!D103</f>
        <v>0</v>
      </c>
      <c r="FZ103" s="39" t="str">
        <f>'Por Valoracion (3) Dimension 2'!H103</f>
        <v>0</v>
      </c>
      <c r="GU103" s="46"/>
      <c r="GW103" s="47"/>
      <c r="GY103" t="str">
        <f>('Inteligencia emocional'!A104)</f>
        <v>0</v>
      </c>
      <c r="GZ103" s="39" t="str">
        <f>'Por Valoracion (3) Dimension'!F103</f>
        <v>0</v>
      </c>
      <c r="HA103" s="39" t="str">
        <f>'Por Valoracion (3) Dimension 2'!B103</f>
        <v>0</v>
      </c>
      <c r="HV103" s="47"/>
      <c r="HX103" t="str">
        <f>('Inteligencia emocional'!A104)</f>
        <v>0</v>
      </c>
      <c r="HY103" s="39" t="str">
        <f>'Por Valoracion (3) Dimension'!F103</f>
        <v>0</v>
      </c>
      <c r="HZ103" s="39" t="str">
        <f>'Por Valoracion (3) Dimension 2'!D103</f>
        <v>0</v>
      </c>
      <c r="IU103" s="47"/>
      <c r="IW103" t="str">
        <f>('Inteligencia emocional'!A104)</f>
        <v>0</v>
      </c>
      <c r="IX103" s="39" t="str">
        <f>'Por Valoracion (3) Dimension'!F103</f>
        <v>0</v>
      </c>
      <c r="IY103" s="39" t="str">
        <f>'Por Valoracion (3) Dimension 2'!F103</f>
        <v>0</v>
      </c>
      <c r="JT103" s="47"/>
      <c r="JV103" t="str">
        <f>('Inteligencia emocional'!A104)</f>
        <v>0</v>
      </c>
      <c r="JW103" s="39" t="str">
        <f>'Por Valoracion (3) Dimension'!F103</f>
        <v>0</v>
      </c>
      <c r="JX103" s="39" t="str">
        <f>'Por Valoracion (3) Dimension 2'!H103</f>
        <v>0</v>
      </c>
      <c r="KS103" s="47"/>
    </row>
    <row r="104" spans="1:305">
      <c r="A104" s="38"/>
      <c r="C104" t="str">
        <f>('Inteligencia emocional'!A105)</f>
        <v>0</v>
      </c>
      <c r="D104" s="39" t="str">
        <f>'Por Valoracion (3) Dimension'!B104</f>
        <v>0</v>
      </c>
      <c r="E104" s="39" t="str">
        <f>'Por Valoracion (3) Dimension 2'!B104</f>
        <v>0</v>
      </c>
      <c r="Z104" s="38"/>
      <c r="AB104" t="str">
        <f>('Inteligencia emocional'!A105)</f>
        <v>0</v>
      </c>
      <c r="AC104" s="39" t="str">
        <f>'Por Valoracion (3) Dimension'!B104</f>
        <v>0</v>
      </c>
      <c r="AD104" s="39" t="str">
        <f>'Por Valoracion (3) Dimension 2'!D104</f>
        <v>0</v>
      </c>
      <c r="AY104" s="38"/>
      <c r="BA104" t="str">
        <f>('Inteligencia emocional'!A105)</f>
        <v>0</v>
      </c>
      <c r="BB104" s="39" t="str">
        <f>'Por Valoracion (3) Dimension'!B104</f>
        <v>0</v>
      </c>
      <c r="BC104" s="39" t="str">
        <f>'Por Valoracion (3) Dimension 2'!F104</f>
        <v>0</v>
      </c>
      <c r="BX104" s="38"/>
      <c r="BZ104" t="str">
        <f>('Inteligencia emocional'!A105)</f>
        <v>0</v>
      </c>
      <c r="CA104" s="39" t="str">
        <f>'Por Valoracion (3) Dimension'!B104</f>
        <v>0</v>
      </c>
      <c r="CB104" s="39" t="str">
        <f>'Por Valoracion (3) Dimension 2'!H104</f>
        <v>0</v>
      </c>
      <c r="CW104" s="38"/>
      <c r="CY104" s="46"/>
      <c r="DA104" t="str">
        <f>('Inteligencia emocional'!A105)</f>
        <v>0</v>
      </c>
      <c r="DB104" s="39" t="str">
        <f>'Por Valoracion (3) Dimension'!D104</f>
        <v>0</v>
      </c>
      <c r="DC104" s="39" t="str">
        <f>'Por Valoracion (3) Dimension 2'!B104</f>
        <v>0</v>
      </c>
      <c r="DX104" s="46"/>
      <c r="DZ104" t="str">
        <f>('Inteligencia emocional'!A105)</f>
        <v>0</v>
      </c>
      <c r="EA104" s="39" t="str">
        <f>'Por Valoracion (3) Dimension'!D104</f>
        <v>0</v>
      </c>
      <c r="EB104" s="39" t="str">
        <f>'Por Valoracion (3) Dimension 2'!D104</f>
        <v>0</v>
      </c>
      <c r="EW104" s="46"/>
      <c r="EY104" t="str">
        <f>('Inteligencia emocional'!A105)</f>
        <v>0</v>
      </c>
      <c r="EZ104" s="39" t="str">
        <f>'Por Valoracion (3) Dimension'!D104</f>
        <v>0</v>
      </c>
      <c r="FA104" s="39" t="str">
        <f>'Por Valoracion (3) Dimension 2'!F104</f>
        <v>0</v>
      </c>
      <c r="FV104" s="46"/>
      <c r="FX104" t="str">
        <f>('Inteligencia emocional'!A105)</f>
        <v>0</v>
      </c>
      <c r="FY104" s="39" t="str">
        <f>'Por Valoracion (3) Dimension'!D104</f>
        <v>0</v>
      </c>
      <c r="FZ104" s="39" t="str">
        <f>'Por Valoracion (3) Dimension 2'!H104</f>
        <v>0</v>
      </c>
      <c r="GU104" s="46"/>
      <c r="GW104" s="47"/>
      <c r="GY104" t="str">
        <f>('Inteligencia emocional'!A105)</f>
        <v>0</v>
      </c>
      <c r="GZ104" s="39" t="str">
        <f>'Por Valoracion (3) Dimension'!F104</f>
        <v>0</v>
      </c>
      <c r="HA104" s="39" t="str">
        <f>'Por Valoracion (3) Dimension 2'!B104</f>
        <v>0</v>
      </c>
      <c r="HV104" s="47"/>
      <c r="HX104" t="str">
        <f>('Inteligencia emocional'!A105)</f>
        <v>0</v>
      </c>
      <c r="HY104" s="39" t="str">
        <f>'Por Valoracion (3) Dimension'!F104</f>
        <v>0</v>
      </c>
      <c r="HZ104" s="39" t="str">
        <f>'Por Valoracion (3) Dimension 2'!D104</f>
        <v>0</v>
      </c>
      <c r="IU104" s="47"/>
      <c r="IW104" t="str">
        <f>('Inteligencia emocional'!A105)</f>
        <v>0</v>
      </c>
      <c r="IX104" s="39" t="str">
        <f>'Por Valoracion (3) Dimension'!F104</f>
        <v>0</v>
      </c>
      <c r="IY104" s="39" t="str">
        <f>'Por Valoracion (3) Dimension 2'!F104</f>
        <v>0</v>
      </c>
      <c r="JT104" s="47"/>
      <c r="JV104" t="str">
        <f>('Inteligencia emocional'!A105)</f>
        <v>0</v>
      </c>
      <c r="JW104" s="39" t="str">
        <f>'Por Valoracion (3) Dimension'!F104</f>
        <v>0</v>
      </c>
      <c r="JX104" s="39" t="str">
        <f>'Por Valoracion (3) Dimension 2'!H104</f>
        <v>0</v>
      </c>
      <c r="KS104" s="47"/>
    </row>
    <row r="105" spans="1:305">
      <c r="A105" s="38"/>
      <c r="C105" t="str">
        <f>('Inteligencia emocional'!A106)</f>
        <v>0</v>
      </c>
      <c r="D105" s="39" t="str">
        <f>'Por Valoracion (3) Dimension'!B105</f>
        <v>0</v>
      </c>
      <c r="E105" s="39" t="str">
        <f>'Por Valoracion (3) Dimension 2'!B105</f>
        <v>0</v>
      </c>
      <c r="Z105" s="38"/>
      <c r="AB105" t="str">
        <f>('Inteligencia emocional'!A106)</f>
        <v>0</v>
      </c>
      <c r="AC105" s="39" t="str">
        <f>'Por Valoracion (3) Dimension'!B105</f>
        <v>0</v>
      </c>
      <c r="AD105" s="39" t="str">
        <f>'Por Valoracion (3) Dimension 2'!D105</f>
        <v>0</v>
      </c>
      <c r="AY105" s="38"/>
      <c r="BA105" t="str">
        <f>('Inteligencia emocional'!A106)</f>
        <v>0</v>
      </c>
      <c r="BB105" s="39" t="str">
        <f>'Por Valoracion (3) Dimension'!B105</f>
        <v>0</v>
      </c>
      <c r="BC105" s="39" t="str">
        <f>'Por Valoracion (3) Dimension 2'!F105</f>
        <v>0</v>
      </c>
      <c r="BX105" s="38"/>
      <c r="BZ105" t="str">
        <f>('Inteligencia emocional'!A106)</f>
        <v>0</v>
      </c>
      <c r="CA105" s="39" t="str">
        <f>'Por Valoracion (3) Dimension'!B105</f>
        <v>0</v>
      </c>
      <c r="CB105" s="39" t="str">
        <f>'Por Valoracion (3) Dimension 2'!H105</f>
        <v>0</v>
      </c>
      <c r="CW105" s="38"/>
      <c r="CY105" s="46"/>
      <c r="DA105" t="str">
        <f>('Inteligencia emocional'!A106)</f>
        <v>0</v>
      </c>
      <c r="DB105" s="39" t="str">
        <f>'Por Valoracion (3) Dimension'!D105</f>
        <v>0</v>
      </c>
      <c r="DC105" s="39" t="str">
        <f>'Por Valoracion (3) Dimension 2'!B105</f>
        <v>0</v>
      </c>
      <c r="DX105" s="46"/>
      <c r="DZ105" t="str">
        <f>('Inteligencia emocional'!A106)</f>
        <v>0</v>
      </c>
      <c r="EA105" s="39" t="str">
        <f>'Por Valoracion (3) Dimension'!D105</f>
        <v>0</v>
      </c>
      <c r="EB105" s="39" t="str">
        <f>'Por Valoracion (3) Dimension 2'!D105</f>
        <v>0</v>
      </c>
      <c r="EW105" s="46"/>
      <c r="EY105" t="str">
        <f>('Inteligencia emocional'!A106)</f>
        <v>0</v>
      </c>
      <c r="EZ105" s="39" t="str">
        <f>'Por Valoracion (3) Dimension'!D105</f>
        <v>0</v>
      </c>
      <c r="FA105" s="39" t="str">
        <f>'Por Valoracion (3) Dimension 2'!F105</f>
        <v>0</v>
      </c>
      <c r="FV105" s="46"/>
      <c r="FX105" t="str">
        <f>('Inteligencia emocional'!A106)</f>
        <v>0</v>
      </c>
      <c r="FY105" s="39" t="str">
        <f>'Por Valoracion (3) Dimension'!D105</f>
        <v>0</v>
      </c>
      <c r="FZ105" s="39" t="str">
        <f>'Por Valoracion (3) Dimension 2'!H105</f>
        <v>0</v>
      </c>
      <c r="GU105" s="46"/>
      <c r="GW105" s="47"/>
      <c r="GY105" t="str">
        <f>('Inteligencia emocional'!A106)</f>
        <v>0</v>
      </c>
      <c r="GZ105" s="39" t="str">
        <f>'Por Valoracion (3) Dimension'!F105</f>
        <v>0</v>
      </c>
      <c r="HA105" s="39" t="str">
        <f>'Por Valoracion (3) Dimension 2'!B105</f>
        <v>0</v>
      </c>
      <c r="HV105" s="47"/>
      <c r="HX105" t="str">
        <f>('Inteligencia emocional'!A106)</f>
        <v>0</v>
      </c>
      <c r="HY105" s="39" t="str">
        <f>'Por Valoracion (3) Dimension'!F105</f>
        <v>0</v>
      </c>
      <c r="HZ105" s="39" t="str">
        <f>'Por Valoracion (3) Dimension 2'!D105</f>
        <v>0</v>
      </c>
      <c r="IU105" s="47"/>
      <c r="IW105" t="str">
        <f>('Inteligencia emocional'!A106)</f>
        <v>0</v>
      </c>
      <c r="IX105" s="39" t="str">
        <f>'Por Valoracion (3) Dimension'!F105</f>
        <v>0</v>
      </c>
      <c r="IY105" s="39" t="str">
        <f>'Por Valoracion (3) Dimension 2'!F105</f>
        <v>0</v>
      </c>
      <c r="JT105" s="47"/>
      <c r="JV105" t="str">
        <f>('Inteligencia emocional'!A106)</f>
        <v>0</v>
      </c>
      <c r="JW105" s="39" t="str">
        <f>'Por Valoracion (3) Dimension'!F105</f>
        <v>0</v>
      </c>
      <c r="JX105" s="39" t="str">
        <f>'Por Valoracion (3) Dimension 2'!H105</f>
        <v>0</v>
      </c>
      <c r="KS105" s="47"/>
    </row>
    <row r="106" spans="1:305">
      <c r="A106" s="38"/>
      <c r="C106" t="str">
        <f>('Inteligencia emocional'!A107)</f>
        <v>0</v>
      </c>
      <c r="D106" s="39" t="str">
        <f>'Por Valoracion (3) Dimension'!B106</f>
        <v>0</v>
      </c>
      <c r="E106" s="39" t="str">
        <f>'Por Valoracion (3) Dimension 2'!B106</f>
        <v>0</v>
      </c>
      <c r="Z106" s="38"/>
      <c r="AB106" t="str">
        <f>('Inteligencia emocional'!A107)</f>
        <v>0</v>
      </c>
      <c r="AC106" s="39" t="str">
        <f>'Por Valoracion (3) Dimension'!B106</f>
        <v>0</v>
      </c>
      <c r="AD106" s="39" t="str">
        <f>'Por Valoracion (3) Dimension 2'!D106</f>
        <v>0</v>
      </c>
      <c r="AY106" s="38"/>
      <c r="BA106" t="str">
        <f>('Inteligencia emocional'!A107)</f>
        <v>0</v>
      </c>
      <c r="BB106" s="39" t="str">
        <f>'Por Valoracion (3) Dimension'!B106</f>
        <v>0</v>
      </c>
      <c r="BC106" s="39" t="str">
        <f>'Por Valoracion (3) Dimension 2'!F106</f>
        <v>0</v>
      </c>
      <c r="BX106" s="38"/>
      <c r="BZ106" t="str">
        <f>('Inteligencia emocional'!A107)</f>
        <v>0</v>
      </c>
      <c r="CA106" s="39" t="str">
        <f>'Por Valoracion (3) Dimension'!B106</f>
        <v>0</v>
      </c>
      <c r="CB106" s="39" t="str">
        <f>'Por Valoracion (3) Dimension 2'!H106</f>
        <v>0</v>
      </c>
      <c r="CW106" s="38"/>
      <c r="CY106" s="46"/>
      <c r="DA106" t="str">
        <f>('Inteligencia emocional'!A107)</f>
        <v>0</v>
      </c>
      <c r="DB106" s="39" t="str">
        <f>'Por Valoracion (3) Dimension'!D106</f>
        <v>0</v>
      </c>
      <c r="DC106" s="39" t="str">
        <f>'Por Valoracion (3) Dimension 2'!B106</f>
        <v>0</v>
      </c>
      <c r="DX106" s="46"/>
      <c r="DZ106" t="str">
        <f>('Inteligencia emocional'!A107)</f>
        <v>0</v>
      </c>
      <c r="EA106" s="39" t="str">
        <f>'Por Valoracion (3) Dimension'!D106</f>
        <v>0</v>
      </c>
      <c r="EB106" s="39" t="str">
        <f>'Por Valoracion (3) Dimension 2'!D106</f>
        <v>0</v>
      </c>
      <c r="EW106" s="46"/>
      <c r="EY106" t="str">
        <f>('Inteligencia emocional'!A107)</f>
        <v>0</v>
      </c>
      <c r="EZ106" s="39" t="str">
        <f>'Por Valoracion (3) Dimension'!D106</f>
        <v>0</v>
      </c>
      <c r="FA106" s="39" t="str">
        <f>'Por Valoracion (3) Dimension 2'!F106</f>
        <v>0</v>
      </c>
      <c r="FV106" s="46"/>
      <c r="FX106" t="str">
        <f>('Inteligencia emocional'!A107)</f>
        <v>0</v>
      </c>
      <c r="FY106" s="39" t="str">
        <f>'Por Valoracion (3) Dimension'!D106</f>
        <v>0</v>
      </c>
      <c r="FZ106" s="39" t="str">
        <f>'Por Valoracion (3) Dimension 2'!H106</f>
        <v>0</v>
      </c>
      <c r="GU106" s="46"/>
      <c r="GW106" s="47"/>
      <c r="GY106" t="str">
        <f>('Inteligencia emocional'!A107)</f>
        <v>0</v>
      </c>
      <c r="GZ106" s="39" t="str">
        <f>'Por Valoracion (3) Dimension'!F106</f>
        <v>0</v>
      </c>
      <c r="HA106" s="39" t="str">
        <f>'Por Valoracion (3) Dimension 2'!B106</f>
        <v>0</v>
      </c>
      <c r="HV106" s="47"/>
      <c r="HX106" t="str">
        <f>('Inteligencia emocional'!A107)</f>
        <v>0</v>
      </c>
      <c r="HY106" s="39" t="str">
        <f>'Por Valoracion (3) Dimension'!F106</f>
        <v>0</v>
      </c>
      <c r="HZ106" s="39" t="str">
        <f>'Por Valoracion (3) Dimension 2'!D106</f>
        <v>0</v>
      </c>
      <c r="IU106" s="47"/>
      <c r="IW106" t="str">
        <f>('Inteligencia emocional'!A107)</f>
        <v>0</v>
      </c>
      <c r="IX106" s="39" t="str">
        <f>'Por Valoracion (3) Dimension'!F106</f>
        <v>0</v>
      </c>
      <c r="IY106" s="39" t="str">
        <f>'Por Valoracion (3) Dimension 2'!F106</f>
        <v>0</v>
      </c>
      <c r="JT106" s="47"/>
      <c r="JV106" t="str">
        <f>('Inteligencia emocional'!A107)</f>
        <v>0</v>
      </c>
      <c r="JW106" s="39" t="str">
        <f>'Por Valoracion (3) Dimension'!F106</f>
        <v>0</v>
      </c>
      <c r="JX106" s="39" t="str">
        <f>'Por Valoracion (3) Dimension 2'!H106</f>
        <v>0</v>
      </c>
      <c r="KS106" s="47"/>
    </row>
    <row r="107" spans="1:305">
      <c r="A107" s="38"/>
      <c r="C107" t="str">
        <f>('Inteligencia emocional'!A108)</f>
        <v>0</v>
      </c>
      <c r="D107" s="39" t="str">
        <f>'Por Valoracion (3) Dimension'!B107</f>
        <v>0</v>
      </c>
      <c r="E107" s="39" t="str">
        <f>'Por Valoracion (3) Dimension 2'!B107</f>
        <v>0</v>
      </c>
      <c r="Z107" s="38"/>
      <c r="AB107" t="str">
        <f>('Inteligencia emocional'!A108)</f>
        <v>0</v>
      </c>
      <c r="AC107" s="39" t="str">
        <f>'Por Valoracion (3) Dimension'!B107</f>
        <v>0</v>
      </c>
      <c r="AD107" s="39" t="str">
        <f>'Por Valoracion (3) Dimension 2'!D107</f>
        <v>0</v>
      </c>
      <c r="AY107" s="38"/>
      <c r="BA107" t="str">
        <f>('Inteligencia emocional'!A108)</f>
        <v>0</v>
      </c>
      <c r="BB107" s="39" t="str">
        <f>'Por Valoracion (3) Dimension'!B107</f>
        <v>0</v>
      </c>
      <c r="BC107" s="39" t="str">
        <f>'Por Valoracion (3) Dimension 2'!F107</f>
        <v>0</v>
      </c>
      <c r="BX107" s="38"/>
      <c r="BZ107" t="str">
        <f>('Inteligencia emocional'!A108)</f>
        <v>0</v>
      </c>
      <c r="CA107" s="39" t="str">
        <f>'Por Valoracion (3) Dimension'!B107</f>
        <v>0</v>
      </c>
      <c r="CB107" s="39" t="str">
        <f>'Por Valoracion (3) Dimension 2'!H107</f>
        <v>0</v>
      </c>
      <c r="CW107" s="38"/>
      <c r="CY107" s="46"/>
      <c r="DA107" t="str">
        <f>('Inteligencia emocional'!A108)</f>
        <v>0</v>
      </c>
      <c r="DB107" s="39" t="str">
        <f>'Por Valoracion (3) Dimension'!D107</f>
        <v>0</v>
      </c>
      <c r="DC107" s="39" t="str">
        <f>'Por Valoracion (3) Dimension 2'!B107</f>
        <v>0</v>
      </c>
      <c r="DX107" s="46"/>
      <c r="DZ107" t="str">
        <f>('Inteligencia emocional'!A108)</f>
        <v>0</v>
      </c>
      <c r="EA107" s="39" t="str">
        <f>'Por Valoracion (3) Dimension'!D107</f>
        <v>0</v>
      </c>
      <c r="EB107" s="39" t="str">
        <f>'Por Valoracion (3) Dimension 2'!D107</f>
        <v>0</v>
      </c>
      <c r="EW107" s="46"/>
      <c r="EY107" t="str">
        <f>('Inteligencia emocional'!A108)</f>
        <v>0</v>
      </c>
      <c r="EZ107" s="39" t="str">
        <f>'Por Valoracion (3) Dimension'!D107</f>
        <v>0</v>
      </c>
      <c r="FA107" s="39" t="str">
        <f>'Por Valoracion (3) Dimension 2'!F107</f>
        <v>0</v>
      </c>
      <c r="FV107" s="46"/>
      <c r="FX107" t="str">
        <f>('Inteligencia emocional'!A108)</f>
        <v>0</v>
      </c>
      <c r="FY107" s="39" t="str">
        <f>'Por Valoracion (3) Dimension'!D107</f>
        <v>0</v>
      </c>
      <c r="FZ107" s="39" t="str">
        <f>'Por Valoracion (3) Dimension 2'!H107</f>
        <v>0</v>
      </c>
      <c r="GU107" s="46"/>
      <c r="GW107" s="47"/>
      <c r="GY107" t="str">
        <f>('Inteligencia emocional'!A108)</f>
        <v>0</v>
      </c>
      <c r="GZ107" s="39" t="str">
        <f>'Por Valoracion (3) Dimension'!F107</f>
        <v>0</v>
      </c>
      <c r="HA107" s="39" t="str">
        <f>'Por Valoracion (3) Dimension 2'!B107</f>
        <v>0</v>
      </c>
      <c r="HV107" s="47"/>
      <c r="HX107" t="str">
        <f>('Inteligencia emocional'!A108)</f>
        <v>0</v>
      </c>
      <c r="HY107" s="39" t="str">
        <f>'Por Valoracion (3) Dimension'!F107</f>
        <v>0</v>
      </c>
      <c r="HZ107" s="39" t="str">
        <f>'Por Valoracion (3) Dimension 2'!D107</f>
        <v>0</v>
      </c>
      <c r="IU107" s="47"/>
      <c r="IW107" t="str">
        <f>('Inteligencia emocional'!A108)</f>
        <v>0</v>
      </c>
      <c r="IX107" s="39" t="str">
        <f>'Por Valoracion (3) Dimension'!F107</f>
        <v>0</v>
      </c>
      <c r="IY107" s="39" t="str">
        <f>'Por Valoracion (3) Dimension 2'!F107</f>
        <v>0</v>
      </c>
      <c r="JT107" s="47"/>
      <c r="JV107" t="str">
        <f>('Inteligencia emocional'!A108)</f>
        <v>0</v>
      </c>
      <c r="JW107" s="39" t="str">
        <f>'Por Valoracion (3) Dimension'!F107</f>
        <v>0</v>
      </c>
      <c r="JX107" s="39" t="str">
        <f>'Por Valoracion (3) Dimension 2'!H107</f>
        <v>0</v>
      </c>
      <c r="KS107" s="47"/>
    </row>
    <row r="108" spans="1:305">
      <c r="A108" s="38"/>
      <c r="C108" t="str">
        <f>('Inteligencia emocional'!A109)</f>
        <v>0</v>
      </c>
      <c r="D108" s="39" t="str">
        <f>'Por Valoracion (3) Dimension'!B108</f>
        <v>0</v>
      </c>
      <c r="E108" s="39" t="str">
        <f>'Por Valoracion (3) Dimension 2'!B108</f>
        <v>0</v>
      </c>
      <c r="Z108" s="38"/>
      <c r="AB108" t="str">
        <f>('Inteligencia emocional'!A109)</f>
        <v>0</v>
      </c>
      <c r="AC108" s="39" t="str">
        <f>'Por Valoracion (3) Dimension'!B108</f>
        <v>0</v>
      </c>
      <c r="AD108" s="39" t="str">
        <f>'Por Valoracion (3) Dimension 2'!D108</f>
        <v>0</v>
      </c>
      <c r="AY108" s="38"/>
      <c r="BA108" t="str">
        <f>('Inteligencia emocional'!A109)</f>
        <v>0</v>
      </c>
      <c r="BB108" s="39" t="str">
        <f>'Por Valoracion (3) Dimension'!B108</f>
        <v>0</v>
      </c>
      <c r="BC108" s="39" t="str">
        <f>'Por Valoracion (3) Dimension 2'!F108</f>
        <v>0</v>
      </c>
      <c r="BX108" s="38"/>
      <c r="BZ108" t="str">
        <f>('Inteligencia emocional'!A109)</f>
        <v>0</v>
      </c>
      <c r="CA108" s="39" t="str">
        <f>'Por Valoracion (3) Dimension'!B108</f>
        <v>0</v>
      </c>
      <c r="CB108" s="39" t="str">
        <f>'Por Valoracion (3) Dimension 2'!H108</f>
        <v>0</v>
      </c>
      <c r="CW108" s="38"/>
      <c r="CY108" s="46"/>
      <c r="DA108" t="str">
        <f>('Inteligencia emocional'!A109)</f>
        <v>0</v>
      </c>
      <c r="DB108" s="39" t="str">
        <f>'Por Valoracion (3) Dimension'!D108</f>
        <v>0</v>
      </c>
      <c r="DC108" s="39" t="str">
        <f>'Por Valoracion (3) Dimension 2'!B108</f>
        <v>0</v>
      </c>
      <c r="DX108" s="46"/>
      <c r="DZ108" t="str">
        <f>('Inteligencia emocional'!A109)</f>
        <v>0</v>
      </c>
      <c r="EA108" s="39" t="str">
        <f>'Por Valoracion (3) Dimension'!D108</f>
        <v>0</v>
      </c>
      <c r="EB108" s="39" t="str">
        <f>'Por Valoracion (3) Dimension 2'!D108</f>
        <v>0</v>
      </c>
      <c r="EW108" s="46"/>
      <c r="EY108" t="str">
        <f>('Inteligencia emocional'!A109)</f>
        <v>0</v>
      </c>
      <c r="EZ108" s="39" t="str">
        <f>'Por Valoracion (3) Dimension'!D108</f>
        <v>0</v>
      </c>
      <c r="FA108" s="39" t="str">
        <f>'Por Valoracion (3) Dimension 2'!F108</f>
        <v>0</v>
      </c>
      <c r="FV108" s="46"/>
      <c r="FX108" t="str">
        <f>('Inteligencia emocional'!A109)</f>
        <v>0</v>
      </c>
      <c r="FY108" s="39" t="str">
        <f>'Por Valoracion (3) Dimension'!D108</f>
        <v>0</v>
      </c>
      <c r="FZ108" s="39" t="str">
        <f>'Por Valoracion (3) Dimension 2'!H108</f>
        <v>0</v>
      </c>
      <c r="GU108" s="46"/>
      <c r="GW108" s="47"/>
      <c r="GY108" t="str">
        <f>('Inteligencia emocional'!A109)</f>
        <v>0</v>
      </c>
      <c r="GZ108" s="39" t="str">
        <f>'Por Valoracion (3) Dimension'!F108</f>
        <v>0</v>
      </c>
      <c r="HA108" s="39" t="str">
        <f>'Por Valoracion (3) Dimension 2'!B108</f>
        <v>0</v>
      </c>
      <c r="HV108" s="47"/>
      <c r="HX108" t="str">
        <f>('Inteligencia emocional'!A109)</f>
        <v>0</v>
      </c>
      <c r="HY108" s="39" t="str">
        <f>'Por Valoracion (3) Dimension'!F108</f>
        <v>0</v>
      </c>
      <c r="HZ108" s="39" t="str">
        <f>'Por Valoracion (3) Dimension 2'!D108</f>
        <v>0</v>
      </c>
      <c r="IU108" s="47"/>
      <c r="IW108" t="str">
        <f>('Inteligencia emocional'!A109)</f>
        <v>0</v>
      </c>
      <c r="IX108" s="39" t="str">
        <f>'Por Valoracion (3) Dimension'!F108</f>
        <v>0</v>
      </c>
      <c r="IY108" s="39" t="str">
        <f>'Por Valoracion (3) Dimension 2'!F108</f>
        <v>0</v>
      </c>
      <c r="JT108" s="47"/>
      <c r="JV108" t="str">
        <f>('Inteligencia emocional'!A109)</f>
        <v>0</v>
      </c>
      <c r="JW108" s="39" t="str">
        <f>'Por Valoracion (3) Dimension'!F108</f>
        <v>0</v>
      </c>
      <c r="JX108" s="39" t="str">
        <f>'Por Valoracion (3) Dimension 2'!H108</f>
        <v>0</v>
      </c>
      <c r="KS108" s="47"/>
    </row>
    <row r="109" spans="1:305">
      <c r="A109" s="38"/>
      <c r="C109" t="str">
        <f>('Inteligencia emocional'!A110)</f>
        <v>0</v>
      </c>
      <c r="D109" s="39" t="str">
        <f>'Por Valoracion (3) Dimension'!B109</f>
        <v>0</v>
      </c>
      <c r="E109" s="39" t="str">
        <f>'Por Valoracion (3) Dimension 2'!B109</f>
        <v>0</v>
      </c>
      <c r="Z109" s="38"/>
      <c r="AB109" t="str">
        <f>('Inteligencia emocional'!A110)</f>
        <v>0</v>
      </c>
      <c r="AC109" s="39" t="str">
        <f>'Por Valoracion (3) Dimension'!B109</f>
        <v>0</v>
      </c>
      <c r="AD109" s="39" t="str">
        <f>'Por Valoracion (3) Dimension 2'!D109</f>
        <v>0</v>
      </c>
      <c r="AY109" s="38"/>
      <c r="BA109" t="str">
        <f>('Inteligencia emocional'!A110)</f>
        <v>0</v>
      </c>
      <c r="BB109" s="39" t="str">
        <f>'Por Valoracion (3) Dimension'!B109</f>
        <v>0</v>
      </c>
      <c r="BC109" s="39" t="str">
        <f>'Por Valoracion (3) Dimension 2'!F109</f>
        <v>0</v>
      </c>
      <c r="BX109" s="38"/>
      <c r="BZ109" t="str">
        <f>('Inteligencia emocional'!A110)</f>
        <v>0</v>
      </c>
      <c r="CA109" s="39" t="str">
        <f>'Por Valoracion (3) Dimension'!B109</f>
        <v>0</v>
      </c>
      <c r="CB109" s="39" t="str">
        <f>'Por Valoracion (3) Dimension 2'!H109</f>
        <v>0</v>
      </c>
      <c r="CW109" s="38"/>
      <c r="CY109" s="46"/>
      <c r="DA109" t="str">
        <f>('Inteligencia emocional'!A110)</f>
        <v>0</v>
      </c>
      <c r="DB109" s="39" t="str">
        <f>'Por Valoracion (3) Dimension'!D109</f>
        <v>0</v>
      </c>
      <c r="DC109" s="39" t="str">
        <f>'Por Valoracion (3) Dimension 2'!B109</f>
        <v>0</v>
      </c>
      <c r="DX109" s="46"/>
      <c r="DZ109" t="str">
        <f>('Inteligencia emocional'!A110)</f>
        <v>0</v>
      </c>
      <c r="EA109" s="39" t="str">
        <f>'Por Valoracion (3) Dimension'!D109</f>
        <v>0</v>
      </c>
      <c r="EB109" s="39" t="str">
        <f>'Por Valoracion (3) Dimension 2'!D109</f>
        <v>0</v>
      </c>
      <c r="EW109" s="46"/>
      <c r="EY109" t="str">
        <f>('Inteligencia emocional'!A110)</f>
        <v>0</v>
      </c>
      <c r="EZ109" s="39" t="str">
        <f>'Por Valoracion (3) Dimension'!D109</f>
        <v>0</v>
      </c>
      <c r="FA109" s="39" t="str">
        <f>'Por Valoracion (3) Dimension 2'!F109</f>
        <v>0</v>
      </c>
      <c r="FV109" s="46"/>
      <c r="FX109" t="str">
        <f>('Inteligencia emocional'!A110)</f>
        <v>0</v>
      </c>
      <c r="FY109" s="39" t="str">
        <f>'Por Valoracion (3) Dimension'!D109</f>
        <v>0</v>
      </c>
      <c r="FZ109" s="39" t="str">
        <f>'Por Valoracion (3) Dimension 2'!H109</f>
        <v>0</v>
      </c>
      <c r="GU109" s="46"/>
      <c r="GW109" s="47"/>
      <c r="GY109" t="str">
        <f>('Inteligencia emocional'!A110)</f>
        <v>0</v>
      </c>
      <c r="GZ109" s="39" t="str">
        <f>'Por Valoracion (3) Dimension'!F109</f>
        <v>0</v>
      </c>
      <c r="HA109" s="39" t="str">
        <f>'Por Valoracion (3) Dimension 2'!B109</f>
        <v>0</v>
      </c>
      <c r="HV109" s="47"/>
      <c r="HX109" t="str">
        <f>('Inteligencia emocional'!A110)</f>
        <v>0</v>
      </c>
      <c r="HY109" s="39" t="str">
        <f>'Por Valoracion (3) Dimension'!F109</f>
        <v>0</v>
      </c>
      <c r="HZ109" s="39" t="str">
        <f>'Por Valoracion (3) Dimension 2'!D109</f>
        <v>0</v>
      </c>
      <c r="IU109" s="47"/>
      <c r="IW109" t="str">
        <f>('Inteligencia emocional'!A110)</f>
        <v>0</v>
      </c>
      <c r="IX109" s="39" t="str">
        <f>'Por Valoracion (3) Dimension'!F109</f>
        <v>0</v>
      </c>
      <c r="IY109" s="39" t="str">
        <f>'Por Valoracion (3) Dimension 2'!F109</f>
        <v>0</v>
      </c>
      <c r="JT109" s="47"/>
      <c r="JV109" t="str">
        <f>('Inteligencia emocional'!A110)</f>
        <v>0</v>
      </c>
      <c r="JW109" s="39" t="str">
        <f>'Por Valoracion (3) Dimension'!F109</f>
        <v>0</v>
      </c>
      <c r="JX109" s="39" t="str">
        <f>'Por Valoracion (3) Dimension 2'!H109</f>
        <v>0</v>
      </c>
      <c r="KS109" s="47"/>
    </row>
    <row r="110" spans="1:305">
      <c r="A110" s="38"/>
      <c r="C110" t="str">
        <f>('Inteligencia emocional'!A111)</f>
        <v>0</v>
      </c>
      <c r="D110" s="39" t="str">
        <f>'Por Valoracion (3) Dimension'!B110</f>
        <v>0</v>
      </c>
      <c r="E110" s="39" t="str">
        <f>'Por Valoracion (3) Dimension 2'!B110</f>
        <v>0</v>
      </c>
      <c r="Z110" s="38"/>
      <c r="AB110" t="str">
        <f>('Inteligencia emocional'!A111)</f>
        <v>0</v>
      </c>
      <c r="AC110" s="39" t="str">
        <f>'Por Valoracion (3) Dimension'!B110</f>
        <v>0</v>
      </c>
      <c r="AD110" s="39" t="str">
        <f>'Por Valoracion (3) Dimension 2'!D110</f>
        <v>0</v>
      </c>
      <c r="AY110" s="38"/>
      <c r="BA110" t="str">
        <f>('Inteligencia emocional'!A111)</f>
        <v>0</v>
      </c>
      <c r="BB110" s="39" t="str">
        <f>'Por Valoracion (3) Dimension'!B110</f>
        <v>0</v>
      </c>
      <c r="BC110" s="39" t="str">
        <f>'Por Valoracion (3) Dimension 2'!F110</f>
        <v>0</v>
      </c>
      <c r="BX110" s="38"/>
      <c r="BZ110" t="str">
        <f>('Inteligencia emocional'!A111)</f>
        <v>0</v>
      </c>
      <c r="CA110" s="39" t="str">
        <f>'Por Valoracion (3) Dimension'!B110</f>
        <v>0</v>
      </c>
      <c r="CB110" s="39" t="str">
        <f>'Por Valoracion (3) Dimension 2'!H110</f>
        <v>0</v>
      </c>
      <c r="CW110" s="38"/>
      <c r="CY110" s="46"/>
      <c r="DA110" t="str">
        <f>('Inteligencia emocional'!A111)</f>
        <v>0</v>
      </c>
      <c r="DB110" s="39" t="str">
        <f>'Por Valoracion (3) Dimension'!D110</f>
        <v>0</v>
      </c>
      <c r="DC110" s="39" t="str">
        <f>'Por Valoracion (3) Dimension 2'!B110</f>
        <v>0</v>
      </c>
      <c r="DX110" s="46"/>
      <c r="DZ110" t="str">
        <f>('Inteligencia emocional'!A111)</f>
        <v>0</v>
      </c>
      <c r="EA110" s="39" t="str">
        <f>'Por Valoracion (3) Dimension'!D110</f>
        <v>0</v>
      </c>
      <c r="EB110" s="39" t="str">
        <f>'Por Valoracion (3) Dimension 2'!D110</f>
        <v>0</v>
      </c>
      <c r="EW110" s="46"/>
      <c r="EY110" t="str">
        <f>('Inteligencia emocional'!A111)</f>
        <v>0</v>
      </c>
      <c r="EZ110" s="39" t="str">
        <f>'Por Valoracion (3) Dimension'!D110</f>
        <v>0</v>
      </c>
      <c r="FA110" s="39" t="str">
        <f>'Por Valoracion (3) Dimension 2'!F110</f>
        <v>0</v>
      </c>
      <c r="FV110" s="46"/>
      <c r="FX110" t="str">
        <f>('Inteligencia emocional'!A111)</f>
        <v>0</v>
      </c>
      <c r="FY110" s="39" t="str">
        <f>'Por Valoracion (3) Dimension'!D110</f>
        <v>0</v>
      </c>
      <c r="FZ110" s="39" t="str">
        <f>'Por Valoracion (3) Dimension 2'!H110</f>
        <v>0</v>
      </c>
      <c r="GU110" s="46"/>
      <c r="GW110" s="47"/>
      <c r="GY110" t="str">
        <f>('Inteligencia emocional'!A111)</f>
        <v>0</v>
      </c>
      <c r="GZ110" s="39" t="str">
        <f>'Por Valoracion (3) Dimension'!F110</f>
        <v>0</v>
      </c>
      <c r="HA110" s="39" t="str">
        <f>'Por Valoracion (3) Dimension 2'!B110</f>
        <v>0</v>
      </c>
      <c r="HV110" s="47"/>
      <c r="HX110" t="str">
        <f>('Inteligencia emocional'!A111)</f>
        <v>0</v>
      </c>
      <c r="HY110" s="39" t="str">
        <f>'Por Valoracion (3) Dimension'!F110</f>
        <v>0</v>
      </c>
      <c r="HZ110" s="39" t="str">
        <f>'Por Valoracion (3) Dimension 2'!D110</f>
        <v>0</v>
      </c>
      <c r="IU110" s="47"/>
      <c r="IW110" t="str">
        <f>('Inteligencia emocional'!A111)</f>
        <v>0</v>
      </c>
      <c r="IX110" s="39" t="str">
        <f>'Por Valoracion (3) Dimension'!F110</f>
        <v>0</v>
      </c>
      <c r="IY110" s="39" t="str">
        <f>'Por Valoracion (3) Dimension 2'!F110</f>
        <v>0</v>
      </c>
      <c r="JT110" s="47"/>
      <c r="JV110" t="str">
        <f>('Inteligencia emocional'!A111)</f>
        <v>0</v>
      </c>
      <c r="JW110" s="39" t="str">
        <f>'Por Valoracion (3) Dimension'!F110</f>
        <v>0</v>
      </c>
      <c r="JX110" s="39" t="str">
        <f>'Por Valoracion (3) Dimension 2'!H110</f>
        <v>0</v>
      </c>
      <c r="KS110" s="47"/>
    </row>
    <row r="111" spans="1:305">
      <c r="A111" s="38"/>
      <c r="C111" t="str">
        <f>('Inteligencia emocional'!A112)</f>
        <v>0</v>
      </c>
      <c r="D111" s="39" t="str">
        <f>'Por Valoracion (3) Dimension'!B111</f>
        <v>0</v>
      </c>
      <c r="E111" s="39" t="str">
        <f>'Por Valoracion (3) Dimension 2'!B111</f>
        <v>0</v>
      </c>
      <c r="Z111" s="38"/>
      <c r="AB111" t="str">
        <f>('Inteligencia emocional'!A112)</f>
        <v>0</v>
      </c>
      <c r="AC111" s="39" t="str">
        <f>'Por Valoracion (3) Dimension'!B111</f>
        <v>0</v>
      </c>
      <c r="AD111" s="39" t="str">
        <f>'Por Valoracion (3) Dimension 2'!D111</f>
        <v>0</v>
      </c>
      <c r="AY111" s="38"/>
      <c r="BA111" t="str">
        <f>('Inteligencia emocional'!A112)</f>
        <v>0</v>
      </c>
      <c r="BB111" s="39" t="str">
        <f>'Por Valoracion (3) Dimension'!B111</f>
        <v>0</v>
      </c>
      <c r="BC111" s="39" t="str">
        <f>'Por Valoracion (3) Dimension 2'!F111</f>
        <v>0</v>
      </c>
      <c r="BX111" s="38"/>
      <c r="BZ111" t="str">
        <f>('Inteligencia emocional'!A112)</f>
        <v>0</v>
      </c>
      <c r="CA111" s="39" t="str">
        <f>'Por Valoracion (3) Dimension'!B111</f>
        <v>0</v>
      </c>
      <c r="CB111" s="39" t="str">
        <f>'Por Valoracion (3) Dimension 2'!H111</f>
        <v>0</v>
      </c>
      <c r="CW111" s="38"/>
      <c r="CY111" s="46"/>
      <c r="DA111" t="str">
        <f>('Inteligencia emocional'!A112)</f>
        <v>0</v>
      </c>
      <c r="DB111" s="39" t="str">
        <f>'Por Valoracion (3) Dimension'!D111</f>
        <v>0</v>
      </c>
      <c r="DC111" s="39" t="str">
        <f>'Por Valoracion (3) Dimension 2'!B111</f>
        <v>0</v>
      </c>
      <c r="DX111" s="46"/>
      <c r="DZ111" t="str">
        <f>('Inteligencia emocional'!A112)</f>
        <v>0</v>
      </c>
      <c r="EA111" s="39" t="str">
        <f>'Por Valoracion (3) Dimension'!D111</f>
        <v>0</v>
      </c>
      <c r="EB111" s="39" t="str">
        <f>'Por Valoracion (3) Dimension 2'!D111</f>
        <v>0</v>
      </c>
      <c r="EW111" s="46"/>
      <c r="EY111" t="str">
        <f>('Inteligencia emocional'!A112)</f>
        <v>0</v>
      </c>
      <c r="EZ111" s="39" t="str">
        <f>'Por Valoracion (3) Dimension'!D111</f>
        <v>0</v>
      </c>
      <c r="FA111" s="39" t="str">
        <f>'Por Valoracion (3) Dimension 2'!F111</f>
        <v>0</v>
      </c>
      <c r="FV111" s="46"/>
      <c r="FX111" t="str">
        <f>('Inteligencia emocional'!A112)</f>
        <v>0</v>
      </c>
      <c r="FY111" s="39" t="str">
        <f>'Por Valoracion (3) Dimension'!D111</f>
        <v>0</v>
      </c>
      <c r="FZ111" s="39" t="str">
        <f>'Por Valoracion (3) Dimension 2'!H111</f>
        <v>0</v>
      </c>
      <c r="GU111" s="46"/>
      <c r="GW111" s="47"/>
      <c r="GY111" t="str">
        <f>('Inteligencia emocional'!A112)</f>
        <v>0</v>
      </c>
      <c r="GZ111" s="39" t="str">
        <f>'Por Valoracion (3) Dimension'!F111</f>
        <v>0</v>
      </c>
      <c r="HA111" s="39" t="str">
        <f>'Por Valoracion (3) Dimension 2'!B111</f>
        <v>0</v>
      </c>
      <c r="HV111" s="47"/>
      <c r="HX111" t="str">
        <f>('Inteligencia emocional'!A112)</f>
        <v>0</v>
      </c>
      <c r="HY111" s="39" t="str">
        <f>'Por Valoracion (3) Dimension'!F111</f>
        <v>0</v>
      </c>
      <c r="HZ111" s="39" t="str">
        <f>'Por Valoracion (3) Dimension 2'!D111</f>
        <v>0</v>
      </c>
      <c r="IU111" s="47"/>
      <c r="IW111" t="str">
        <f>('Inteligencia emocional'!A112)</f>
        <v>0</v>
      </c>
      <c r="IX111" s="39" t="str">
        <f>'Por Valoracion (3) Dimension'!F111</f>
        <v>0</v>
      </c>
      <c r="IY111" s="39" t="str">
        <f>'Por Valoracion (3) Dimension 2'!F111</f>
        <v>0</v>
      </c>
      <c r="JT111" s="47"/>
      <c r="JV111" t="str">
        <f>('Inteligencia emocional'!A112)</f>
        <v>0</v>
      </c>
      <c r="JW111" s="39" t="str">
        <f>'Por Valoracion (3) Dimension'!F111</f>
        <v>0</v>
      </c>
      <c r="JX111" s="39" t="str">
        <f>'Por Valoracion (3) Dimension 2'!H111</f>
        <v>0</v>
      </c>
      <c r="KS111" s="47"/>
    </row>
    <row r="112" spans="1:305">
      <c r="A112" s="38"/>
      <c r="C112" t="str">
        <f>('Inteligencia emocional'!A113)</f>
        <v>0</v>
      </c>
      <c r="D112" s="39" t="str">
        <f>'Por Valoracion (3) Dimension'!B112</f>
        <v>0</v>
      </c>
      <c r="E112" s="39" t="str">
        <f>'Por Valoracion (3) Dimension 2'!B112</f>
        <v>0</v>
      </c>
      <c r="Z112" s="38"/>
      <c r="AB112" t="str">
        <f>('Inteligencia emocional'!A113)</f>
        <v>0</v>
      </c>
      <c r="AC112" s="39" t="str">
        <f>'Por Valoracion (3) Dimension'!B112</f>
        <v>0</v>
      </c>
      <c r="AD112" s="39" t="str">
        <f>'Por Valoracion (3) Dimension 2'!D112</f>
        <v>0</v>
      </c>
      <c r="AY112" s="38"/>
      <c r="BA112" t="str">
        <f>('Inteligencia emocional'!A113)</f>
        <v>0</v>
      </c>
      <c r="BB112" s="39" t="str">
        <f>'Por Valoracion (3) Dimension'!B112</f>
        <v>0</v>
      </c>
      <c r="BC112" s="39" t="str">
        <f>'Por Valoracion (3) Dimension 2'!F112</f>
        <v>0</v>
      </c>
      <c r="BX112" s="38"/>
      <c r="BZ112" t="str">
        <f>('Inteligencia emocional'!A113)</f>
        <v>0</v>
      </c>
      <c r="CA112" s="39" t="str">
        <f>'Por Valoracion (3) Dimension'!B112</f>
        <v>0</v>
      </c>
      <c r="CB112" s="39" t="str">
        <f>'Por Valoracion (3) Dimension 2'!H112</f>
        <v>0</v>
      </c>
      <c r="CW112" s="38"/>
      <c r="CY112" s="46"/>
      <c r="DA112" t="str">
        <f>('Inteligencia emocional'!A113)</f>
        <v>0</v>
      </c>
      <c r="DB112" s="39" t="str">
        <f>'Por Valoracion (3) Dimension'!D112</f>
        <v>0</v>
      </c>
      <c r="DC112" s="39" t="str">
        <f>'Por Valoracion (3) Dimension 2'!B112</f>
        <v>0</v>
      </c>
      <c r="DX112" s="46"/>
      <c r="DZ112" t="str">
        <f>('Inteligencia emocional'!A113)</f>
        <v>0</v>
      </c>
      <c r="EA112" s="39" t="str">
        <f>'Por Valoracion (3) Dimension'!D112</f>
        <v>0</v>
      </c>
      <c r="EB112" s="39" t="str">
        <f>'Por Valoracion (3) Dimension 2'!D112</f>
        <v>0</v>
      </c>
      <c r="EW112" s="46"/>
      <c r="EY112" t="str">
        <f>('Inteligencia emocional'!A113)</f>
        <v>0</v>
      </c>
      <c r="EZ112" s="39" t="str">
        <f>'Por Valoracion (3) Dimension'!D112</f>
        <v>0</v>
      </c>
      <c r="FA112" s="39" t="str">
        <f>'Por Valoracion (3) Dimension 2'!F112</f>
        <v>0</v>
      </c>
      <c r="FV112" s="46"/>
      <c r="FX112" t="str">
        <f>('Inteligencia emocional'!A113)</f>
        <v>0</v>
      </c>
      <c r="FY112" s="39" t="str">
        <f>'Por Valoracion (3) Dimension'!D112</f>
        <v>0</v>
      </c>
      <c r="FZ112" s="39" t="str">
        <f>'Por Valoracion (3) Dimension 2'!H112</f>
        <v>0</v>
      </c>
      <c r="GU112" s="46"/>
      <c r="GW112" s="47"/>
      <c r="GY112" t="str">
        <f>('Inteligencia emocional'!A113)</f>
        <v>0</v>
      </c>
      <c r="GZ112" s="39" t="str">
        <f>'Por Valoracion (3) Dimension'!F112</f>
        <v>0</v>
      </c>
      <c r="HA112" s="39" t="str">
        <f>'Por Valoracion (3) Dimension 2'!B112</f>
        <v>0</v>
      </c>
      <c r="HV112" s="47"/>
      <c r="HX112" t="str">
        <f>('Inteligencia emocional'!A113)</f>
        <v>0</v>
      </c>
      <c r="HY112" s="39" t="str">
        <f>'Por Valoracion (3) Dimension'!F112</f>
        <v>0</v>
      </c>
      <c r="HZ112" s="39" t="str">
        <f>'Por Valoracion (3) Dimension 2'!D112</f>
        <v>0</v>
      </c>
      <c r="IU112" s="47"/>
      <c r="IW112" t="str">
        <f>('Inteligencia emocional'!A113)</f>
        <v>0</v>
      </c>
      <c r="IX112" s="39" t="str">
        <f>'Por Valoracion (3) Dimension'!F112</f>
        <v>0</v>
      </c>
      <c r="IY112" s="39" t="str">
        <f>'Por Valoracion (3) Dimension 2'!F112</f>
        <v>0</v>
      </c>
      <c r="JT112" s="47"/>
      <c r="JV112" t="str">
        <f>('Inteligencia emocional'!A113)</f>
        <v>0</v>
      </c>
      <c r="JW112" s="39" t="str">
        <f>'Por Valoracion (3) Dimension'!F112</f>
        <v>0</v>
      </c>
      <c r="JX112" s="39" t="str">
        <f>'Por Valoracion (3) Dimension 2'!H112</f>
        <v>0</v>
      </c>
      <c r="KS112" s="47"/>
    </row>
    <row r="113" spans="1:305">
      <c r="A113" s="38"/>
      <c r="C113" t="str">
        <f>('Inteligencia emocional'!A114)</f>
        <v>0</v>
      </c>
      <c r="D113" s="39" t="str">
        <f>'Por Valoracion (3) Dimension'!B113</f>
        <v>0</v>
      </c>
      <c r="E113" s="39" t="str">
        <f>'Por Valoracion (3) Dimension 2'!B113</f>
        <v>0</v>
      </c>
      <c r="Z113" s="38"/>
      <c r="AB113" t="str">
        <f>('Inteligencia emocional'!A114)</f>
        <v>0</v>
      </c>
      <c r="AC113" s="39" t="str">
        <f>'Por Valoracion (3) Dimension'!B113</f>
        <v>0</v>
      </c>
      <c r="AD113" s="39" t="str">
        <f>'Por Valoracion (3) Dimension 2'!D113</f>
        <v>0</v>
      </c>
      <c r="AY113" s="38"/>
      <c r="BA113" t="str">
        <f>('Inteligencia emocional'!A114)</f>
        <v>0</v>
      </c>
      <c r="BB113" s="39" t="str">
        <f>'Por Valoracion (3) Dimension'!B113</f>
        <v>0</v>
      </c>
      <c r="BC113" s="39" t="str">
        <f>'Por Valoracion (3) Dimension 2'!F113</f>
        <v>0</v>
      </c>
      <c r="BX113" s="38"/>
      <c r="BZ113" t="str">
        <f>('Inteligencia emocional'!A114)</f>
        <v>0</v>
      </c>
      <c r="CA113" s="39" t="str">
        <f>'Por Valoracion (3) Dimension'!B113</f>
        <v>0</v>
      </c>
      <c r="CB113" s="39" t="str">
        <f>'Por Valoracion (3) Dimension 2'!H113</f>
        <v>0</v>
      </c>
      <c r="CW113" s="38"/>
      <c r="CY113" s="46"/>
      <c r="DA113" t="str">
        <f>('Inteligencia emocional'!A114)</f>
        <v>0</v>
      </c>
      <c r="DB113" s="39" t="str">
        <f>'Por Valoracion (3) Dimension'!D113</f>
        <v>0</v>
      </c>
      <c r="DC113" s="39" t="str">
        <f>'Por Valoracion (3) Dimension 2'!B113</f>
        <v>0</v>
      </c>
      <c r="DX113" s="46"/>
      <c r="DZ113" t="str">
        <f>('Inteligencia emocional'!A114)</f>
        <v>0</v>
      </c>
      <c r="EA113" s="39" t="str">
        <f>'Por Valoracion (3) Dimension'!D113</f>
        <v>0</v>
      </c>
      <c r="EB113" s="39" t="str">
        <f>'Por Valoracion (3) Dimension 2'!D113</f>
        <v>0</v>
      </c>
      <c r="EW113" s="46"/>
      <c r="EY113" t="str">
        <f>('Inteligencia emocional'!A114)</f>
        <v>0</v>
      </c>
      <c r="EZ113" s="39" t="str">
        <f>'Por Valoracion (3) Dimension'!D113</f>
        <v>0</v>
      </c>
      <c r="FA113" s="39" t="str">
        <f>'Por Valoracion (3) Dimension 2'!F113</f>
        <v>0</v>
      </c>
      <c r="FV113" s="46"/>
      <c r="FX113" t="str">
        <f>('Inteligencia emocional'!A114)</f>
        <v>0</v>
      </c>
      <c r="FY113" s="39" t="str">
        <f>'Por Valoracion (3) Dimension'!D113</f>
        <v>0</v>
      </c>
      <c r="FZ113" s="39" t="str">
        <f>'Por Valoracion (3) Dimension 2'!H113</f>
        <v>0</v>
      </c>
      <c r="GU113" s="46"/>
      <c r="GW113" s="47"/>
      <c r="GY113" t="str">
        <f>('Inteligencia emocional'!A114)</f>
        <v>0</v>
      </c>
      <c r="GZ113" s="39" t="str">
        <f>'Por Valoracion (3) Dimension'!F113</f>
        <v>0</v>
      </c>
      <c r="HA113" s="39" t="str">
        <f>'Por Valoracion (3) Dimension 2'!B113</f>
        <v>0</v>
      </c>
      <c r="HV113" s="47"/>
      <c r="HX113" t="str">
        <f>('Inteligencia emocional'!A114)</f>
        <v>0</v>
      </c>
      <c r="HY113" s="39" t="str">
        <f>'Por Valoracion (3) Dimension'!F113</f>
        <v>0</v>
      </c>
      <c r="HZ113" s="39" t="str">
        <f>'Por Valoracion (3) Dimension 2'!D113</f>
        <v>0</v>
      </c>
      <c r="IU113" s="47"/>
      <c r="IW113" t="str">
        <f>('Inteligencia emocional'!A114)</f>
        <v>0</v>
      </c>
      <c r="IX113" s="39" t="str">
        <f>'Por Valoracion (3) Dimension'!F113</f>
        <v>0</v>
      </c>
      <c r="IY113" s="39" t="str">
        <f>'Por Valoracion (3) Dimension 2'!F113</f>
        <v>0</v>
      </c>
      <c r="JT113" s="47"/>
      <c r="JV113" t="str">
        <f>('Inteligencia emocional'!A114)</f>
        <v>0</v>
      </c>
      <c r="JW113" s="39" t="str">
        <f>'Por Valoracion (3) Dimension'!F113</f>
        <v>0</v>
      </c>
      <c r="JX113" s="39" t="str">
        <f>'Por Valoracion (3) Dimension 2'!H113</f>
        <v>0</v>
      </c>
      <c r="KS113" s="47"/>
    </row>
    <row r="114" spans="1:305">
      <c r="A114" s="38"/>
      <c r="C114" t="str">
        <f>('Inteligencia emocional'!A115)</f>
        <v>0</v>
      </c>
      <c r="D114" s="39" t="str">
        <f>'Por Valoracion (3) Dimension'!B114</f>
        <v>0</v>
      </c>
      <c r="E114" s="39" t="str">
        <f>'Por Valoracion (3) Dimension 2'!B114</f>
        <v>0</v>
      </c>
      <c r="Z114" s="38"/>
      <c r="AB114" t="str">
        <f>('Inteligencia emocional'!A115)</f>
        <v>0</v>
      </c>
      <c r="AC114" s="39" t="str">
        <f>'Por Valoracion (3) Dimension'!B114</f>
        <v>0</v>
      </c>
      <c r="AD114" s="39" t="str">
        <f>'Por Valoracion (3) Dimension 2'!D114</f>
        <v>0</v>
      </c>
      <c r="AY114" s="38"/>
      <c r="BA114" t="str">
        <f>('Inteligencia emocional'!A115)</f>
        <v>0</v>
      </c>
      <c r="BB114" s="39" t="str">
        <f>'Por Valoracion (3) Dimension'!B114</f>
        <v>0</v>
      </c>
      <c r="BC114" s="39" t="str">
        <f>'Por Valoracion (3) Dimension 2'!F114</f>
        <v>0</v>
      </c>
      <c r="BX114" s="38"/>
      <c r="BZ114" t="str">
        <f>('Inteligencia emocional'!A115)</f>
        <v>0</v>
      </c>
      <c r="CA114" s="39" t="str">
        <f>'Por Valoracion (3) Dimension'!B114</f>
        <v>0</v>
      </c>
      <c r="CB114" s="39" t="str">
        <f>'Por Valoracion (3) Dimension 2'!H114</f>
        <v>0</v>
      </c>
      <c r="CW114" s="38"/>
      <c r="CY114" s="46"/>
      <c r="DA114" t="str">
        <f>('Inteligencia emocional'!A115)</f>
        <v>0</v>
      </c>
      <c r="DB114" s="39" t="str">
        <f>'Por Valoracion (3) Dimension'!D114</f>
        <v>0</v>
      </c>
      <c r="DC114" s="39" t="str">
        <f>'Por Valoracion (3) Dimension 2'!B114</f>
        <v>0</v>
      </c>
      <c r="DX114" s="46"/>
      <c r="DZ114" t="str">
        <f>('Inteligencia emocional'!A115)</f>
        <v>0</v>
      </c>
      <c r="EA114" s="39" t="str">
        <f>'Por Valoracion (3) Dimension'!D114</f>
        <v>0</v>
      </c>
      <c r="EB114" s="39" t="str">
        <f>'Por Valoracion (3) Dimension 2'!D114</f>
        <v>0</v>
      </c>
      <c r="EW114" s="46"/>
      <c r="EY114" t="str">
        <f>('Inteligencia emocional'!A115)</f>
        <v>0</v>
      </c>
      <c r="EZ114" s="39" t="str">
        <f>'Por Valoracion (3) Dimension'!D114</f>
        <v>0</v>
      </c>
      <c r="FA114" s="39" t="str">
        <f>'Por Valoracion (3) Dimension 2'!F114</f>
        <v>0</v>
      </c>
      <c r="FV114" s="46"/>
      <c r="FX114" t="str">
        <f>('Inteligencia emocional'!A115)</f>
        <v>0</v>
      </c>
      <c r="FY114" s="39" t="str">
        <f>'Por Valoracion (3) Dimension'!D114</f>
        <v>0</v>
      </c>
      <c r="FZ114" s="39" t="str">
        <f>'Por Valoracion (3) Dimension 2'!H114</f>
        <v>0</v>
      </c>
      <c r="GU114" s="46"/>
      <c r="GW114" s="47"/>
      <c r="GY114" t="str">
        <f>('Inteligencia emocional'!A115)</f>
        <v>0</v>
      </c>
      <c r="GZ114" s="39" t="str">
        <f>'Por Valoracion (3) Dimension'!F114</f>
        <v>0</v>
      </c>
      <c r="HA114" s="39" t="str">
        <f>'Por Valoracion (3) Dimension 2'!B114</f>
        <v>0</v>
      </c>
      <c r="HV114" s="47"/>
      <c r="HX114" t="str">
        <f>('Inteligencia emocional'!A115)</f>
        <v>0</v>
      </c>
      <c r="HY114" s="39" t="str">
        <f>'Por Valoracion (3) Dimension'!F114</f>
        <v>0</v>
      </c>
      <c r="HZ114" s="39" t="str">
        <f>'Por Valoracion (3) Dimension 2'!D114</f>
        <v>0</v>
      </c>
      <c r="IU114" s="47"/>
      <c r="IW114" t="str">
        <f>('Inteligencia emocional'!A115)</f>
        <v>0</v>
      </c>
      <c r="IX114" s="39" t="str">
        <f>'Por Valoracion (3) Dimension'!F114</f>
        <v>0</v>
      </c>
      <c r="IY114" s="39" t="str">
        <f>'Por Valoracion (3) Dimension 2'!F114</f>
        <v>0</v>
      </c>
      <c r="JT114" s="47"/>
      <c r="JV114" t="str">
        <f>('Inteligencia emocional'!A115)</f>
        <v>0</v>
      </c>
      <c r="JW114" s="39" t="str">
        <f>'Por Valoracion (3) Dimension'!F114</f>
        <v>0</v>
      </c>
      <c r="JX114" s="39" t="str">
        <f>'Por Valoracion (3) Dimension 2'!H114</f>
        <v>0</v>
      </c>
      <c r="KS114" s="47"/>
    </row>
    <row r="115" spans="1:305">
      <c r="A115" s="38"/>
      <c r="C115" t="str">
        <f>('Inteligencia emocional'!A116)</f>
        <v>0</v>
      </c>
      <c r="D115" s="39" t="str">
        <f>'Por Valoracion (3) Dimension'!B115</f>
        <v>0</v>
      </c>
      <c r="E115" s="39" t="str">
        <f>'Por Valoracion (3) Dimension 2'!B115</f>
        <v>0</v>
      </c>
      <c r="Z115" s="38"/>
      <c r="AB115" t="str">
        <f>('Inteligencia emocional'!A116)</f>
        <v>0</v>
      </c>
      <c r="AC115" s="39" t="str">
        <f>'Por Valoracion (3) Dimension'!B115</f>
        <v>0</v>
      </c>
      <c r="AD115" s="39" t="str">
        <f>'Por Valoracion (3) Dimension 2'!D115</f>
        <v>0</v>
      </c>
      <c r="AY115" s="38"/>
      <c r="BA115" t="str">
        <f>('Inteligencia emocional'!A116)</f>
        <v>0</v>
      </c>
      <c r="BB115" s="39" t="str">
        <f>'Por Valoracion (3) Dimension'!B115</f>
        <v>0</v>
      </c>
      <c r="BC115" s="39" t="str">
        <f>'Por Valoracion (3) Dimension 2'!F115</f>
        <v>0</v>
      </c>
      <c r="BX115" s="38"/>
      <c r="BZ115" t="str">
        <f>('Inteligencia emocional'!A116)</f>
        <v>0</v>
      </c>
      <c r="CA115" s="39" t="str">
        <f>'Por Valoracion (3) Dimension'!B115</f>
        <v>0</v>
      </c>
      <c r="CB115" s="39" t="str">
        <f>'Por Valoracion (3) Dimension 2'!H115</f>
        <v>0</v>
      </c>
      <c r="CW115" s="38"/>
      <c r="CY115" s="46"/>
      <c r="DA115" t="str">
        <f>('Inteligencia emocional'!A116)</f>
        <v>0</v>
      </c>
      <c r="DB115" s="39" t="str">
        <f>'Por Valoracion (3) Dimension'!D115</f>
        <v>0</v>
      </c>
      <c r="DC115" s="39" t="str">
        <f>'Por Valoracion (3) Dimension 2'!B115</f>
        <v>0</v>
      </c>
      <c r="DX115" s="46"/>
      <c r="DZ115" t="str">
        <f>('Inteligencia emocional'!A116)</f>
        <v>0</v>
      </c>
      <c r="EA115" s="39" t="str">
        <f>'Por Valoracion (3) Dimension'!D115</f>
        <v>0</v>
      </c>
      <c r="EB115" s="39" t="str">
        <f>'Por Valoracion (3) Dimension 2'!D115</f>
        <v>0</v>
      </c>
      <c r="EW115" s="46"/>
      <c r="EY115" t="str">
        <f>('Inteligencia emocional'!A116)</f>
        <v>0</v>
      </c>
      <c r="EZ115" s="39" t="str">
        <f>'Por Valoracion (3) Dimension'!D115</f>
        <v>0</v>
      </c>
      <c r="FA115" s="39" t="str">
        <f>'Por Valoracion (3) Dimension 2'!F115</f>
        <v>0</v>
      </c>
      <c r="FV115" s="46"/>
      <c r="FX115" t="str">
        <f>('Inteligencia emocional'!A116)</f>
        <v>0</v>
      </c>
      <c r="FY115" s="39" t="str">
        <f>'Por Valoracion (3) Dimension'!D115</f>
        <v>0</v>
      </c>
      <c r="FZ115" s="39" t="str">
        <f>'Por Valoracion (3) Dimension 2'!H115</f>
        <v>0</v>
      </c>
      <c r="GU115" s="46"/>
      <c r="GW115" s="47"/>
      <c r="GY115" t="str">
        <f>('Inteligencia emocional'!A116)</f>
        <v>0</v>
      </c>
      <c r="GZ115" s="39" t="str">
        <f>'Por Valoracion (3) Dimension'!F115</f>
        <v>0</v>
      </c>
      <c r="HA115" s="39" t="str">
        <f>'Por Valoracion (3) Dimension 2'!B115</f>
        <v>0</v>
      </c>
      <c r="HV115" s="47"/>
      <c r="HX115" t="str">
        <f>('Inteligencia emocional'!A116)</f>
        <v>0</v>
      </c>
      <c r="HY115" s="39" t="str">
        <f>'Por Valoracion (3) Dimension'!F115</f>
        <v>0</v>
      </c>
      <c r="HZ115" s="39" t="str">
        <f>'Por Valoracion (3) Dimension 2'!D115</f>
        <v>0</v>
      </c>
      <c r="IU115" s="47"/>
      <c r="IW115" t="str">
        <f>('Inteligencia emocional'!A116)</f>
        <v>0</v>
      </c>
      <c r="IX115" s="39" t="str">
        <f>'Por Valoracion (3) Dimension'!F115</f>
        <v>0</v>
      </c>
      <c r="IY115" s="39" t="str">
        <f>'Por Valoracion (3) Dimension 2'!F115</f>
        <v>0</v>
      </c>
      <c r="JT115" s="47"/>
      <c r="JV115" t="str">
        <f>('Inteligencia emocional'!A116)</f>
        <v>0</v>
      </c>
      <c r="JW115" s="39" t="str">
        <f>'Por Valoracion (3) Dimension'!F115</f>
        <v>0</v>
      </c>
      <c r="JX115" s="39" t="str">
        <f>'Por Valoracion (3) Dimension 2'!H115</f>
        <v>0</v>
      </c>
      <c r="KS115" s="47"/>
    </row>
    <row r="116" spans="1:305">
      <c r="A116" s="38"/>
      <c r="C116" t="str">
        <f>('Inteligencia emocional'!A117)</f>
        <v>0</v>
      </c>
      <c r="D116" s="39" t="str">
        <f>'Por Valoracion (3) Dimension'!B116</f>
        <v>0</v>
      </c>
      <c r="E116" s="39" t="str">
        <f>'Por Valoracion (3) Dimension 2'!B116</f>
        <v>0</v>
      </c>
      <c r="Z116" s="38"/>
      <c r="AB116" t="str">
        <f>('Inteligencia emocional'!A117)</f>
        <v>0</v>
      </c>
      <c r="AC116" s="39" t="str">
        <f>'Por Valoracion (3) Dimension'!B116</f>
        <v>0</v>
      </c>
      <c r="AD116" s="39" t="str">
        <f>'Por Valoracion (3) Dimension 2'!D116</f>
        <v>0</v>
      </c>
      <c r="AY116" s="38"/>
      <c r="BA116" t="str">
        <f>('Inteligencia emocional'!A117)</f>
        <v>0</v>
      </c>
      <c r="BB116" s="39" t="str">
        <f>'Por Valoracion (3) Dimension'!B116</f>
        <v>0</v>
      </c>
      <c r="BC116" s="39" t="str">
        <f>'Por Valoracion (3) Dimension 2'!F116</f>
        <v>0</v>
      </c>
      <c r="BX116" s="38"/>
      <c r="BZ116" t="str">
        <f>('Inteligencia emocional'!A117)</f>
        <v>0</v>
      </c>
      <c r="CA116" s="39" t="str">
        <f>'Por Valoracion (3) Dimension'!B116</f>
        <v>0</v>
      </c>
      <c r="CB116" s="39" t="str">
        <f>'Por Valoracion (3) Dimension 2'!H116</f>
        <v>0</v>
      </c>
      <c r="CW116" s="38"/>
      <c r="CY116" s="46"/>
      <c r="DA116" t="str">
        <f>('Inteligencia emocional'!A117)</f>
        <v>0</v>
      </c>
      <c r="DB116" s="39" t="str">
        <f>'Por Valoracion (3) Dimension'!D116</f>
        <v>0</v>
      </c>
      <c r="DC116" s="39" t="str">
        <f>'Por Valoracion (3) Dimension 2'!B116</f>
        <v>0</v>
      </c>
      <c r="DX116" s="46"/>
      <c r="DZ116" t="str">
        <f>('Inteligencia emocional'!A117)</f>
        <v>0</v>
      </c>
      <c r="EA116" s="39" t="str">
        <f>'Por Valoracion (3) Dimension'!D116</f>
        <v>0</v>
      </c>
      <c r="EB116" s="39" t="str">
        <f>'Por Valoracion (3) Dimension 2'!D116</f>
        <v>0</v>
      </c>
      <c r="EW116" s="46"/>
      <c r="EY116" t="str">
        <f>('Inteligencia emocional'!A117)</f>
        <v>0</v>
      </c>
      <c r="EZ116" s="39" t="str">
        <f>'Por Valoracion (3) Dimension'!D116</f>
        <v>0</v>
      </c>
      <c r="FA116" s="39" t="str">
        <f>'Por Valoracion (3) Dimension 2'!F116</f>
        <v>0</v>
      </c>
      <c r="FV116" s="46"/>
      <c r="FX116" t="str">
        <f>('Inteligencia emocional'!A117)</f>
        <v>0</v>
      </c>
      <c r="FY116" s="39" t="str">
        <f>'Por Valoracion (3) Dimension'!D116</f>
        <v>0</v>
      </c>
      <c r="FZ116" s="39" t="str">
        <f>'Por Valoracion (3) Dimension 2'!H116</f>
        <v>0</v>
      </c>
      <c r="GU116" s="46"/>
      <c r="GW116" s="47"/>
      <c r="GY116" t="str">
        <f>('Inteligencia emocional'!A117)</f>
        <v>0</v>
      </c>
      <c r="GZ116" s="39" t="str">
        <f>'Por Valoracion (3) Dimension'!F116</f>
        <v>0</v>
      </c>
      <c r="HA116" s="39" t="str">
        <f>'Por Valoracion (3) Dimension 2'!B116</f>
        <v>0</v>
      </c>
      <c r="HV116" s="47"/>
      <c r="HX116" t="str">
        <f>('Inteligencia emocional'!A117)</f>
        <v>0</v>
      </c>
      <c r="HY116" s="39" t="str">
        <f>'Por Valoracion (3) Dimension'!F116</f>
        <v>0</v>
      </c>
      <c r="HZ116" s="39" t="str">
        <f>'Por Valoracion (3) Dimension 2'!D116</f>
        <v>0</v>
      </c>
      <c r="IU116" s="47"/>
      <c r="IW116" t="str">
        <f>('Inteligencia emocional'!A117)</f>
        <v>0</v>
      </c>
      <c r="IX116" s="39" t="str">
        <f>'Por Valoracion (3) Dimension'!F116</f>
        <v>0</v>
      </c>
      <c r="IY116" s="39" t="str">
        <f>'Por Valoracion (3) Dimension 2'!F116</f>
        <v>0</v>
      </c>
      <c r="JT116" s="47"/>
      <c r="JV116" t="str">
        <f>('Inteligencia emocional'!A117)</f>
        <v>0</v>
      </c>
      <c r="JW116" s="39" t="str">
        <f>'Por Valoracion (3) Dimension'!F116</f>
        <v>0</v>
      </c>
      <c r="JX116" s="39" t="str">
        <f>'Por Valoracion (3) Dimension 2'!H116</f>
        <v>0</v>
      </c>
      <c r="KS116" s="47"/>
    </row>
    <row r="117" spans="1:305">
      <c r="A117" s="38"/>
      <c r="C117" t="str">
        <f>('Inteligencia emocional'!A118)</f>
        <v>0</v>
      </c>
      <c r="D117" s="39" t="str">
        <f>'Por Valoracion (3) Dimension'!B117</f>
        <v>0</v>
      </c>
      <c r="E117" s="39" t="str">
        <f>'Por Valoracion (3) Dimension 2'!B117</f>
        <v>0</v>
      </c>
      <c r="Z117" s="38"/>
      <c r="AB117" t="str">
        <f>('Inteligencia emocional'!A118)</f>
        <v>0</v>
      </c>
      <c r="AC117" s="39" t="str">
        <f>'Por Valoracion (3) Dimension'!B117</f>
        <v>0</v>
      </c>
      <c r="AD117" s="39" t="str">
        <f>'Por Valoracion (3) Dimension 2'!D117</f>
        <v>0</v>
      </c>
      <c r="AY117" s="38"/>
      <c r="BA117" t="str">
        <f>('Inteligencia emocional'!A118)</f>
        <v>0</v>
      </c>
      <c r="BB117" s="39" t="str">
        <f>'Por Valoracion (3) Dimension'!B117</f>
        <v>0</v>
      </c>
      <c r="BC117" s="39" t="str">
        <f>'Por Valoracion (3) Dimension 2'!F117</f>
        <v>0</v>
      </c>
      <c r="BX117" s="38"/>
      <c r="BZ117" t="str">
        <f>('Inteligencia emocional'!A118)</f>
        <v>0</v>
      </c>
      <c r="CA117" s="39" t="str">
        <f>'Por Valoracion (3) Dimension'!B117</f>
        <v>0</v>
      </c>
      <c r="CB117" s="39" t="str">
        <f>'Por Valoracion (3) Dimension 2'!H117</f>
        <v>0</v>
      </c>
      <c r="CW117" s="38"/>
      <c r="CY117" s="46"/>
      <c r="DA117" t="str">
        <f>('Inteligencia emocional'!A118)</f>
        <v>0</v>
      </c>
      <c r="DB117" s="39" t="str">
        <f>'Por Valoracion (3) Dimension'!D117</f>
        <v>0</v>
      </c>
      <c r="DC117" s="39" t="str">
        <f>'Por Valoracion (3) Dimension 2'!B117</f>
        <v>0</v>
      </c>
      <c r="DX117" s="46"/>
      <c r="DZ117" t="str">
        <f>('Inteligencia emocional'!A118)</f>
        <v>0</v>
      </c>
      <c r="EA117" s="39" t="str">
        <f>'Por Valoracion (3) Dimension'!D117</f>
        <v>0</v>
      </c>
      <c r="EB117" s="39" t="str">
        <f>'Por Valoracion (3) Dimension 2'!D117</f>
        <v>0</v>
      </c>
      <c r="EW117" s="46"/>
      <c r="EY117" t="str">
        <f>('Inteligencia emocional'!A118)</f>
        <v>0</v>
      </c>
      <c r="EZ117" s="39" t="str">
        <f>'Por Valoracion (3) Dimension'!D117</f>
        <v>0</v>
      </c>
      <c r="FA117" s="39" t="str">
        <f>'Por Valoracion (3) Dimension 2'!F117</f>
        <v>0</v>
      </c>
      <c r="FV117" s="46"/>
      <c r="FX117" t="str">
        <f>('Inteligencia emocional'!A118)</f>
        <v>0</v>
      </c>
      <c r="FY117" s="39" t="str">
        <f>'Por Valoracion (3) Dimension'!D117</f>
        <v>0</v>
      </c>
      <c r="FZ117" s="39" t="str">
        <f>'Por Valoracion (3) Dimension 2'!H117</f>
        <v>0</v>
      </c>
      <c r="GU117" s="46"/>
      <c r="GW117" s="47"/>
      <c r="GY117" t="str">
        <f>('Inteligencia emocional'!A118)</f>
        <v>0</v>
      </c>
      <c r="GZ117" s="39" t="str">
        <f>'Por Valoracion (3) Dimension'!F117</f>
        <v>0</v>
      </c>
      <c r="HA117" s="39" t="str">
        <f>'Por Valoracion (3) Dimension 2'!B117</f>
        <v>0</v>
      </c>
      <c r="HV117" s="47"/>
      <c r="HX117" t="str">
        <f>('Inteligencia emocional'!A118)</f>
        <v>0</v>
      </c>
      <c r="HY117" s="39" t="str">
        <f>'Por Valoracion (3) Dimension'!F117</f>
        <v>0</v>
      </c>
      <c r="HZ117" s="39" t="str">
        <f>'Por Valoracion (3) Dimension 2'!D117</f>
        <v>0</v>
      </c>
      <c r="IU117" s="47"/>
      <c r="IW117" t="str">
        <f>('Inteligencia emocional'!A118)</f>
        <v>0</v>
      </c>
      <c r="IX117" s="39" t="str">
        <f>'Por Valoracion (3) Dimension'!F117</f>
        <v>0</v>
      </c>
      <c r="IY117" s="39" t="str">
        <f>'Por Valoracion (3) Dimension 2'!F117</f>
        <v>0</v>
      </c>
      <c r="JT117" s="47"/>
      <c r="JV117" t="str">
        <f>('Inteligencia emocional'!A118)</f>
        <v>0</v>
      </c>
      <c r="JW117" s="39" t="str">
        <f>'Por Valoracion (3) Dimension'!F117</f>
        <v>0</v>
      </c>
      <c r="JX117" s="39" t="str">
        <f>'Por Valoracion (3) Dimension 2'!H117</f>
        <v>0</v>
      </c>
      <c r="KS117" s="47"/>
    </row>
    <row r="118" spans="1:305">
      <c r="A118" s="38"/>
      <c r="C118" t="str">
        <f>('Inteligencia emocional'!A119)</f>
        <v>0</v>
      </c>
      <c r="D118" s="39" t="str">
        <f>'Por Valoracion (3) Dimension'!B118</f>
        <v>0</v>
      </c>
      <c r="E118" s="39" t="str">
        <f>'Por Valoracion (3) Dimension 2'!B118</f>
        <v>0</v>
      </c>
      <c r="Z118" s="38"/>
      <c r="AB118" t="str">
        <f>('Inteligencia emocional'!A119)</f>
        <v>0</v>
      </c>
      <c r="AC118" s="39" t="str">
        <f>'Por Valoracion (3) Dimension'!B118</f>
        <v>0</v>
      </c>
      <c r="AD118" s="39" t="str">
        <f>'Por Valoracion (3) Dimension 2'!D118</f>
        <v>0</v>
      </c>
      <c r="AY118" s="38"/>
      <c r="BA118" t="str">
        <f>('Inteligencia emocional'!A119)</f>
        <v>0</v>
      </c>
      <c r="BB118" s="39" t="str">
        <f>'Por Valoracion (3) Dimension'!B118</f>
        <v>0</v>
      </c>
      <c r="BC118" s="39" t="str">
        <f>'Por Valoracion (3) Dimension 2'!F118</f>
        <v>0</v>
      </c>
      <c r="BX118" s="38"/>
      <c r="BZ118" t="str">
        <f>('Inteligencia emocional'!A119)</f>
        <v>0</v>
      </c>
      <c r="CA118" s="39" t="str">
        <f>'Por Valoracion (3) Dimension'!B118</f>
        <v>0</v>
      </c>
      <c r="CB118" s="39" t="str">
        <f>'Por Valoracion (3) Dimension 2'!H118</f>
        <v>0</v>
      </c>
      <c r="CW118" s="38"/>
      <c r="CY118" s="46"/>
      <c r="DA118" t="str">
        <f>('Inteligencia emocional'!A119)</f>
        <v>0</v>
      </c>
      <c r="DB118" s="39" t="str">
        <f>'Por Valoracion (3) Dimension'!D118</f>
        <v>0</v>
      </c>
      <c r="DC118" s="39" t="str">
        <f>'Por Valoracion (3) Dimension 2'!B118</f>
        <v>0</v>
      </c>
      <c r="DX118" s="46"/>
      <c r="DZ118" t="str">
        <f>('Inteligencia emocional'!A119)</f>
        <v>0</v>
      </c>
      <c r="EA118" s="39" t="str">
        <f>'Por Valoracion (3) Dimension'!D118</f>
        <v>0</v>
      </c>
      <c r="EB118" s="39" t="str">
        <f>'Por Valoracion (3) Dimension 2'!D118</f>
        <v>0</v>
      </c>
      <c r="EW118" s="46"/>
      <c r="EY118" t="str">
        <f>('Inteligencia emocional'!A119)</f>
        <v>0</v>
      </c>
      <c r="EZ118" s="39" t="str">
        <f>'Por Valoracion (3) Dimension'!D118</f>
        <v>0</v>
      </c>
      <c r="FA118" s="39" t="str">
        <f>'Por Valoracion (3) Dimension 2'!F118</f>
        <v>0</v>
      </c>
      <c r="FV118" s="46"/>
      <c r="FX118" t="str">
        <f>('Inteligencia emocional'!A119)</f>
        <v>0</v>
      </c>
      <c r="FY118" s="39" t="str">
        <f>'Por Valoracion (3) Dimension'!D118</f>
        <v>0</v>
      </c>
      <c r="FZ118" s="39" t="str">
        <f>'Por Valoracion (3) Dimension 2'!H118</f>
        <v>0</v>
      </c>
      <c r="GU118" s="46"/>
      <c r="GW118" s="47"/>
      <c r="GY118" t="str">
        <f>('Inteligencia emocional'!A119)</f>
        <v>0</v>
      </c>
      <c r="GZ118" s="39" t="str">
        <f>'Por Valoracion (3) Dimension'!F118</f>
        <v>0</v>
      </c>
      <c r="HA118" s="39" t="str">
        <f>'Por Valoracion (3) Dimension 2'!B118</f>
        <v>0</v>
      </c>
      <c r="HV118" s="47"/>
      <c r="HX118" t="str">
        <f>('Inteligencia emocional'!A119)</f>
        <v>0</v>
      </c>
      <c r="HY118" s="39" t="str">
        <f>'Por Valoracion (3) Dimension'!F118</f>
        <v>0</v>
      </c>
      <c r="HZ118" s="39" t="str">
        <f>'Por Valoracion (3) Dimension 2'!D118</f>
        <v>0</v>
      </c>
      <c r="IU118" s="47"/>
      <c r="IW118" t="str">
        <f>('Inteligencia emocional'!A119)</f>
        <v>0</v>
      </c>
      <c r="IX118" s="39" t="str">
        <f>'Por Valoracion (3) Dimension'!F118</f>
        <v>0</v>
      </c>
      <c r="IY118" s="39" t="str">
        <f>'Por Valoracion (3) Dimension 2'!F118</f>
        <v>0</v>
      </c>
      <c r="JT118" s="47"/>
      <c r="JV118" t="str">
        <f>('Inteligencia emocional'!A119)</f>
        <v>0</v>
      </c>
      <c r="JW118" s="39" t="str">
        <f>'Por Valoracion (3) Dimension'!F118</f>
        <v>0</v>
      </c>
      <c r="JX118" s="39" t="str">
        <f>'Por Valoracion (3) Dimension 2'!H118</f>
        <v>0</v>
      </c>
      <c r="KS118" s="47"/>
    </row>
    <row r="119" spans="1:305">
      <c r="A119" s="38"/>
      <c r="C119" t="str">
        <f>('Inteligencia emocional'!A120)</f>
        <v>0</v>
      </c>
      <c r="D119" s="39" t="str">
        <f>'Por Valoracion (3) Dimension'!B119</f>
        <v>0</v>
      </c>
      <c r="E119" s="39" t="str">
        <f>'Por Valoracion (3) Dimension 2'!B119</f>
        <v>0</v>
      </c>
      <c r="Z119" s="38"/>
      <c r="AB119" t="str">
        <f>('Inteligencia emocional'!A120)</f>
        <v>0</v>
      </c>
      <c r="AC119" s="39" t="str">
        <f>'Por Valoracion (3) Dimension'!B119</f>
        <v>0</v>
      </c>
      <c r="AD119" s="39" t="str">
        <f>'Por Valoracion (3) Dimension 2'!D119</f>
        <v>0</v>
      </c>
      <c r="AY119" s="38"/>
      <c r="BA119" t="str">
        <f>('Inteligencia emocional'!A120)</f>
        <v>0</v>
      </c>
      <c r="BB119" s="39" t="str">
        <f>'Por Valoracion (3) Dimension'!B119</f>
        <v>0</v>
      </c>
      <c r="BC119" s="39" t="str">
        <f>'Por Valoracion (3) Dimension 2'!F119</f>
        <v>0</v>
      </c>
      <c r="BX119" s="38"/>
      <c r="BZ119" t="str">
        <f>('Inteligencia emocional'!A120)</f>
        <v>0</v>
      </c>
      <c r="CA119" s="39" t="str">
        <f>'Por Valoracion (3) Dimension'!B119</f>
        <v>0</v>
      </c>
      <c r="CB119" s="39" t="str">
        <f>'Por Valoracion (3) Dimension 2'!H119</f>
        <v>0</v>
      </c>
      <c r="CW119" s="38"/>
      <c r="CY119" s="46"/>
      <c r="DA119" t="str">
        <f>('Inteligencia emocional'!A120)</f>
        <v>0</v>
      </c>
      <c r="DB119" s="39" t="str">
        <f>'Por Valoracion (3) Dimension'!D119</f>
        <v>0</v>
      </c>
      <c r="DC119" s="39" t="str">
        <f>'Por Valoracion (3) Dimension 2'!B119</f>
        <v>0</v>
      </c>
      <c r="DX119" s="46"/>
      <c r="DZ119" t="str">
        <f>('Inteligencia emocional'!A120)</f>
        <v>0</v>
      </c>
      <c r="EA119" s="39" t="str">
        <f>'Por Valoracion (3) Dimension'!D119</f>
        <v>0</v>
      </c>
      <c r="EB119" s="39" t="str">
        <f>'Por Valoracion (3) Dimension 2'!D119</f>
        <v>0</v>
      </c>
      <c r="EW119" s="46"/>
      <c r="EY119" t="str">
        <f>('Inteligencia emocional'!A120)</f>
        <v>0</v>
      </c>
      <c r="EZ119" s="39" t="str">
        <f>'Por Valoracion (3) Dimension'!D119</f>
        <v>0</v>
      </c>
      <c r="FA119" s="39" t="str">
        <f>'Por Valoracion (3) Dimension 2'!F119</f>
        <v>0</v>
      </c>
      <c r="FV119" s="46"/>
      <c r="FX119" t="str">
        <f>('Inteligencia emocional'!A120)</f>
        <v>0</v>
      </c>
      <c r="FY119" s="39" t="str">
        <f>'Por Valoracion (3) Dimension'!D119</f>
        <v>0</v>
      </c>
      <c r="FZ119" s="39" t="str">
        <f>'Por Valoracion (3) Dimension 2'!H119</f>
        <v>0</v>
      </c>
      <c r="GU119" s="46"/>
      <c r="GW119" s="47"/>
      <c r="GY119" t="str">
        <f>('Inteligencia emocional'!A120)</f>
        <v>0</v>
      </c>
      <c r="GZ119" s="39" t="str">
        <f>'Por Valoracion (3) Dimension'!F119</f>
        <v>0</v>
      </c>
      <c r="HA119" s="39" t="str">
        <f>'Por Valoracion (3) Dimension 2'!B119</f>
        <v>0</v>
      </c>
      <c r="HV119" s="47"/>
      <c r="HX119" t="str">
        <f>('Inteligencia emocional'!A120)</f>
        <v>0</v>
      </c>
      <c r="HY119" s="39" t="str">
        <f>'Por Valoracion (3) Dimension'!F119</f>
        <v>0</v>
      </c>
      <c r="HZ119" s="39" t="str">
        <f>'Por Valoracion (3) Dimension 2'!D119</f>
        <v>0</v>
      </c>
      <c r="IU119" s="47"/>
      <c r="IW119" t="str">
        <f>('Inteligencia emocional'!A120)</f>
        <v>0</v>
      </c>
      <c r="IX119" s="39" t="str">
        <f>'Por Valoracion (3) Dimension'!F119</f>
        <v>0</v>
      </c>
      <c r="IY119" s="39" t="str">
        <f>'Por Valoracion (3) Dimension 2'!F119</f>
        <v>0</v>
      </c>
      <c r="JT119" s="47"/>
      <c r="JV119" t="str">
        <f>('Inteligencia emocional'!A120)</f>
        <v>0</v>
      </c>
      <c r="JW119" s="39" t="str">
        <f>'Por Valoracion (3) Dimension'!F119</f>
        <v>0</v>
      </c>
      <c r="JX119" s="39" t="str">
        <f>'Por Valoracion (3) Dimension 2'!H119</f>
        <v>0</v>
      </c>
      <c r="KS119" s="47"/>
    </row>
    <row r="120" spans="1:305">
      <c r="A120" s="38"/>
      <c r="C120" t="str">
        <f>('Inteligencia emocional'!A121)</f>
        <v>0</v>
      </c>
      <c r="D120" s="39" t="str">
        <f>'Por Valoracion (3) Dimension'!B120</f>
        <v>0</v>
      </c>
      <c r="E120" s="39" t="str">
        <f>'Por Valoracion (3) Dimension 2'!B120</f>
        <v>0</v>
      </c>
      <c r="Z120" s="38"/>
      <c r="AB120" t="str">
        <f>('Inteligencia emocional'!A121)</f>
        <v>0</v>
      </c>
      <c r="AC120" s="39" t="str">
        <f>'Por Valoracion (3) Dimension'!B120</f>
        <v>0</v>
      </c>
      <c r="AD120" s="39" t="str">
        <f>'Por Valoracion (3) Dimension 2'!D120</f>
        <v>0</v>
      </c>
      <c r="AY120" s="38"/>
      <c r="BA120" t="str">
        <f>('Inteligencia emocional'!A121)</f>
        <v>0</v>
      </c>
      <c r="BB120" s="39" t="str">
        <f>'Por Valoracion (3) Dimension'!B120</f>
        <v>0</v>
      </c>
      <c r="BC120" s="39" t="str">
        <f>'Por Valoracion (3) Dimension 2'!F120</f>
        <v>0</v>
      </c>
      <c r="BX120" s="38"/>
      <c r="BZ120" t="str">
        <f>('Inteligencia emocional'!A121)</f>
        <v>0</v>
      </c>
      <c r="CA120" s="39" t="str">
        <f>'Por Valoracion (3) Dimension'!B120</f>
        <v>0</v>
      </c>
      <c r="CB120" s="39" t="str">
        <f>'Por Valoracion (3) Dimension 2'!H120</f>
        <v>0</v>
      </c>
      <c r="CW120" s="38"/>
      <c r="CY120" s="46"/>
      <c r="DA120" t="str">
        <f>('Inteligencia emocional'!A121)</f>
        <v>0</v>
      </c>
      <c r="DB120" s="39" t="str">
        <f>'Por Valoracion (3) Dimension'!D120</f>
        <v>0</v>
      </c>
      <c r="DC120" s="39" t="str">
        <f>'Por Valoracion (3) Dimension 2'!B120</f>
        <v>0</v>
      </c>
      <c r="DX120" s="46"/>
      <c r="DZ120" t="str">
        <f>('Inteligencia emocional'!A121)</f>
        <v>0</v>
      </c>
      <c r="EA120" s="39" t="str">
        <f>'Por Valoracion (3) Dimension'!D120</f>
        <v>0</v>
      </c>
      <c r="EB120" s="39" t="str">
        <f>'Por Valoracion (3) Dimension 2'!D120</f>
        <v>0</v>
      </c>
      <c r="EW120" s="46"/>
      <c r="EY120" t="str">
        <f>('Inteligencia emocional'!A121)</f>
        <v>0</v>
      </c>
      <c r="EZ120" s="39" t="str">
        <f>'Por Valoracion (3) Dimension'!D120</f>
        <v>0</v>
      </c>
      <c r="FA120" s="39" t="str">
        <f>'Por Valoracion (3) Dimension 2'!F120</f>
        <v>0</v>
      </c>
      <c r="FV120" s="46"/>
      <c r="FX120" t="str">
        <f>('Inteligencia emocional'!A121)</f>
        <v>0</v>
      </c>
      <c r="FY120" s="39" t="str">
        <f>'Por Valoracion (3) Dimension'!D120</f>
        <v>0</v>
      </c>
      <c r="FZ120" s="39" t="str">
        <f>'Por Valoracion (3) Dimension 2'!H120</f>
        <v>0</v>
      </c>
      <c r="GU120" s="46"/>
      <c r="GW120" s="47"/>
      <c r="GY120" t="str">
        <f>('Inteligencia emocional'!A121)</f>
        <v>0</v>
      </c>
      <c r="GZ120" s="39" t="str">
        <f>'Por Valoracion (3) Dimension'!F120</f>
        <v>0</v>
      </c>
      <c r="HA120" s="39" t="str">
        <f>'Por Valoracion (3) Dimension 2'!B120</f>
        <v>0</v>
      </c>
      <c r="HV120" s="47"/>
      <c r="HX120" t="str">
        <f>('Inteligencia emocional'!A121)</f>
        <v>0</v>
      </c>
      <c r="HY120" s="39" t="str">
        <f>'Por Valoracion (3) Dimension'!F120</f>
        <v>0</v>
      </c>
      <c r="HZ120" s="39" t="str">
        <f>'Por Valoracion (3) Dimension 2'!D120</f>
        <v>0</v>
      </c>
      <c r="IU120" s="47"/>
      <c r="IW120" t="str">
        <f>('Inteligencia emocional'!A121)</f>
        <v>0</v>
      </c>
      <c r="IX120" s="39" t="str">
        <f>'Por Valoracion (3) Dimension'!F120</f>
        <v>0</v>
      </c>
      <c r="IY120" s="39" t="str">
        <f>'Por Valoracion (3) Dimension 2'!F120</f>
        <v>0</v>
      </c>
      <c r="JT120" s="47"/>
      <c r="JV120" t="str">
        <f>('Inteligencia emocional'!A121)</f>
        <v>0</v>
      </c>
      <c r="JW120" s="39" t="str">
        <f>'Por Valoracion (3) Dimension'!F120</f>
        <v>0</v>
      </c>
      <c r="JX120" s="39" t="str">
        <f>'Por Valoracion (3) Dimension 2'!H120</f>
        <v>0</v>
      </c>
      <c r="KS120" s="47"/>
    </row>
    <row r="121" spans="1:305">
      <c r="A121" s="38"/>
      <c r="C121" t="str">
        <f>('Inteligencia emocional'!A122)</f>
        <v>0</v>
      </c>
      <c r="D121" s="39" t="str">
        <f>'Por Valoracion (3) Dimension'!B121</f>
        <v>0</v>
      </c>
      <c r="E121" s="39" t="str">
        <f>'Por Valoracion (3) Dimension 2'!B121</f>
        <v>0</v>
      </c>
      <c r="Z121" s="38"/>
      <c r="AB121" t="str">
        <f>('Inteligencia emocional'!A122)</f>
        <v>0</v>
      </c>
      <c r="AC121" s="39" t="str">
        <f>'Por Valoracion (3) Dimension'!B121</f>
        <v>0</v>
      </c>
      <c r="AD121" s="39" t="str">
        <f>'Por Valoracion (3) Dimension 2'!D121</f>
        <v>0</v>
      </c>
      <c r="AY121" s="38"/>
      <c r="BA121" t="str">
        <f>('Inteligencia emocional'!A122)</f>
        <v>0</v>
      </c>
      <c r="BB121" s="39" t="str">
        <f>'Por Valoracion (3) Dimension'!B121</f>
        <v>0</v>
      </c>
      <c r="BC121" s="39" t="str">
        <f>'Por Valoracion (3) Dimension 2'!F121</f>
        <v>0</v>
      </c>
      <c r="BX121" s="38"/>
      <c r="BZ121" t="str">
        <f>('Inteligencia emocional'!A122)</f>
        <v>0</v>
      </c>
      <c r="CA121" s="39" t="str">
        <f>'Por Valoracion (3) Dimension'!B121</f>
        <v>0</v>
      </c>
      <c r="CB121" s="39" t="str">
        <f>'Por Valoracion (3) Dimension 2'!H121</f>
        <v>0</v>
      </c>
      <c r="CW121" s="38"/>
      <c r="CY121" s="46"/>
      <c r="DA121" t="str">
        <f>('Inteligencia emocional'!A122)</f>
        <v>0</v>
      </c>
      <c r="DB121" s="39" t="str">
        <f>'Por Valoracion (3) Dimension'!D121</f>
        <v>0</v>
      </c>
      <c r="DC121" s="39" t="str">
        <f>'Por Valoracion (3) Dimension 2'!B121</f>
        <v>0</v>
      </c>
      <c r="DX121" s="46"/>
      <c r="DZ121" t="str">
        <f>('Inteligencia emocional'!A122)</f>
        <v>0</v>
      </c>
      <c r="EA121" s="39" t="str">
        <f>'Por Valoracion (3) Dimension'!D121</f>
        <v>0</v>
      </c>
      <c r="EB121" s="39" t="str">
        <f>'Por Valoracion (3) Dimension 2'!D121</f>
        <v>0</v>
      </c>
      <c r="EW121" s="46"/>
      <c r="EY121" t="str">
        <f>('Inteligencia emocional'!A122)</f>
        <v>0</v>
      </c>
      <c r="EZ121" s="39" t="str">
        <f>'Por Valoracion (3) Dimension'!D121</f>
        <v>0</v>
      </c>
      <c r="FA121" s="39" t="str">
        <f>'Por Valoracion (3) Dimension 2'!F121</f>
        <v>0</v>
      </c>
      <c r="FV121" s="46"/>
      <c r="FX121" t="str">
        <f>('Inteligencia emocional'!A122)</f>
        <v>0</v>
      </c>
      <c r="FY121" s="39" t="str">
        <f>'Por Valoracion (3) Dimension'!D121</f>
        <v>0</v>
      </c>
      <c r="FZ121" s="39" t="str">
        <f>'Por Valoracion (3) Dimension 2'!H121</f>
        <v>0</v>
      </c>
      <c r="GU121" s="46"/>
      <c r="GW121" s="47"/>
      <c r="GY121" t="str">
        <f>('Inteligencia emocional'!A122)</f>
        <v>0</v>
      </c>
      <c r="GZ121" s="39" t="str">
        <f>'Por Valoracion (3) Dimension'!F121</f>
        <v>0</v>
      </c>
      <c r="HA121" s="39" t="str">
        <f>'Por Valoracion (3) Dimension 2'!B121</f>
        <v>0</v>
      </c>
      <c r="HV121" s="47"/>
      <c r="HX121" t="str">
        <f>('Inteligencia emocional'!A122)</f>
        <v>0</v>
      </c>
      <c r="HY121" s="39" t="str">
        <f>'Por Valoracion (3) Dimension'!F121</f>
        <v>0</v>
      </c>
      <c r="HZ121" s="39" t="str">
        <f>'Por Valoracion (3) Dimension 2'!D121</f>
        <v>0</v>
      </c>
      <c r="IU121" s="47"/>
      <c r="IW121" t="str">
        <f>('Inteligencia emocional'!A122)</f>
        <v>0</v>
      </c>
      <c r="IX121" s="39" t="str">
        <f>'Por Valoracion (3) Dimension'!F121</f>
        <v>0</v>
      </c>
      <c r="IY121" s="39" t="str">
        <f>'Por Valoracion (3) Dimension 2'!F121</f>
        <v>0</v>
      </c>
      <c r="JT121" s="47"/>
      <c r="JV121" t="str">
        <f>('Inteligencia emocional'!A122)</f>
        <v>0</v>
      </c>
      <c r="JW121" s="39" t="str">
        <f>'Por Valoracion (3) Dimension'!F121</f>
        <v>0</v>
      </c>
      <c r="JX121" s="39" t="str">
        <f>'Por Valoracion (3) Dimension 2'!H121</f>
        <v>0</v>
      </c>
      <c r="KS121" s="47"/>
    </row>
    <row r="122" spans="1:305">
      <c r="A122" s="38"/>
      <c r="C122" t="str">
        <f>('Inteligencia emocional'!A123)</f>
        <v>0</v>
      </c>
      <c r="D122" s="39" t="str">
        <f>'Por Valoracion (3) Dimension'!B122</f>
        <v>0</v>
      </c>
      <c r="E122" s="39" t="str">
        <f>'Por Valoracion (3) Dimension 2'!B122</f>
        <v>0</v>
      </c>
      <c r="Z122" s="38"/>
      <c r="AB122" t="str">
        <f>('Inteligencia emocional'!A123)</f>
        <v>0</v>
      </c>
      <c r="AC122" s="39" t="str">
        <f>'Por Valoracion (3) Dimension'!B122</f>
        <v>0</v>
      </c>
      <c r="AD122" s="39" t="str">
        <f>'Por Valoracion (3) Dimension 2'!D122</f>
        <v>0</v>
      </c>
      <c r="AY122" s="38"/>
      <c r="BA122" t="str">
        <f>('Inteligencia emocional'!A123)</f>
        <v>0</v>
      </c>
      <c r="BB122" s="39" t="str">
        <f>'Por Valoracion (3) Dimension'!B122</f>
        <v>0</v>
      </c>
      <c r="BC122" s="39" t="str">
        <f>'Por Valoracion (3) Dimension 2'!F122</f>
        <v>0</v>
      </c>
      <c r="BX122" s="38"/>
      <c r="BZ122" t="str">
        <f>('Inteligencia emocional'!A123)</f>
        <v>0</v>
      </c>
      <c r="CA122" s="39" t="str">
        <f>'Por Valoracion (3) Dimension'!B122</f>
        <v>0</v>
      </c>
      <c r="CB122" s="39" t="str">
        <f>'Por Valoracion (3) Dimension 2'!H122</f>
        <v>0</v>
      </c>
      <c r="CW122" s="38"/>
      <c r="CY122" s="46"/>
      <c r="DA122" t="str">
        <f>('Inteligencia emocional'!A123)</f>
        <v>0</v>
      </c>
      <c r="DB122" s="39" t="str">
        <f>'Por Valoracion (3) Dimension'!D122</f>
        <v>0</v>
      </c>
      <c r="DC122" s="39" t="str">
        <f>'Por Valoracion (3) Dimension 2'!B122</f>
        <v>0</v>
      </c>
      <c r="DX122" s="46"/>
      <c r="DZ122" t="str">
        <f>('Inteligencia emocional'!A123)</f>
        <v>0</v>
      </c>
      <c r="EA122" s="39" t="str">
        <f>'Por Valoracion (3) Dimension'!D122</f>
        <v>0</v>
      </c>
      <c r="EB122" s="39" t="str">
        <f>'Por Valoracion (3) Dimension 2'!D122</f>
        <v>0</v>
      </c>
      <c r="EW122" s="46"/>
      <c r="EY122" t="str">
        <f>('Inteligencia emocional'!A123)</f>
        <v>0</v>
      </c>
      <c r="EZ122" s="39" t="str">
        <f>'Por Valoracion (3) Dimension'!D122</f>
        <v>0</v>
      </c>
      <c r="FA122" s="39" t="str">
        <f>'Por Valoracion (3) Dimension 2'!F122</f>
        <v>0</v>
      </c>
      <c r="FV122" s="46"/>
      <c r="FX122" t="str">
        <f>('Inteligencia emocional'!A123)</f>
        <v>0</v>
      </c>
      <c r="FY122" s="39" t="str">
        <f>'Por Valoracion (3) Dimension'!D122</f>
        <v>0</v>
      </c>
      <c r="FZ122" s="39" t="str">
        <f>'Por Valoracion (3) Dimension 2'!H122</f>
        <v>0</v>
      </c>
      <c r="GU122" s="46"/>
      <c r="GW122" s="47"/>
      <c r="GY122" t="str">
        <f>('Inteligencia emocional'!A123)</f>
        <v>0</v>
      </c>
      <c r="GZ122" s="39" t="str">
        <f>'Por Valoracion (3) Dimension'!F122</f>
        <v>0</v>
      </c>
      <c r="HA122" s="39" t="str">
        <f>'Por Valoracion (3) Dimension 2'!B122</f>
        <v>0</v>
      </c>
      <c r="HV122" s="47"/>
      <c r="HX122" t="str">
        <f>('Inteligencia emocional'!A123)</f>
        <v>0</v>
      </c>
      <c r="HY122" s="39" t="str">
        <f>'Por Valoracion (3) Dimension'!F122</f>
        <v>0</v>
      </c>
      <c r="HZ122" s="39" t="str">
        <f>'Por Valoracion (3) Dimension 2'!D122</f>
        <v>0</v>
      </c>
      <c r="IU122" s="47"/>
      <c r="IW122" t="str">
        <f>('Inteligencia emocional'!A123)</f>
        <v>0</v>
      </c>
      <c r="IX122" s="39" t="str">
        <f>'Por Valoracion (3) Dimension'!F122</f>
        <v>0</v>
      </c>
      <c r="IY122" s="39" t="str">
        <f>'Por Valoracion (3) Dimension 2'!F122</f>
        <v>0</v>
      </c>
      <c r="JT122" s="47"/>
      <c r="JV122" t="str">
        <f>('Inteligencia emocional'!A123)</f>
        <v>0</v>
      </c>
      <c r="JW122" s="39" t="str">
        <f>'Por Valoracion (3) Dimension'!F122</f>
        <v>0</v>
      </c>
      <c r="JX122" s="39" t="str">
        <f>'Por Valoracion (3) Dimension 2'!H122</f>
        <v>0</v>
      </c>
      <c r="KS122" s="47"/>
    </row>
    <row r="123" spans="1:305">
      <c r="A123" s="38"/>
      <c r="C123" t="str">
        <f>('Inteligencia emocional'!A124)</f>
        <v>0</v>
      </c>
      <c r="D123" s="39" t="str">
        <f>'Por Valoracion (3) Dimension'!B123</f>
        <v>0</v>
      </c>
      <c r="E123" s="39" t="str">
        <f>'Por Valoracion (3) Dimension 2'!B123</f>
        <v>0</v>
      </c>
      <c r="Z123" s="38"/>
      <c r="AB123" t="str">
        <f>('Inteligencia emocional'!A124)</f>
        <v>0</v>
      </c>
      <c r="AC123" s="39" t="str">
        <f>'Por Valoracion (3) Dimension'!B123</f>
        <v>0</v>
      </c>
      <c r="AD123" s="39" t="str">
        <f>'Por Valoracion (3) Dimension 2'!D123</f>
        <v>0</v>
      </c>
      <c r="AY123" s="38"/>
      <c r="BA123" t="str">
        <f>('Inteligencia emocional'!A124)</f>
        <v>0</v>
      </c>
      <c r="BB123" s="39" t="str">
        <f>'Por Valoracion (3) Dimension'!B123</f>
        <v>0</v>
      </c>
      <c r="BC123" s="39" t="str">
        <f>'Por Valoracion (3) Dimension 2'!F123</f>
        <v>0</v>
      </c>
      <c r="BX123" s="38"/>
      <c r="BZ123" t="str">
        <f>('Inteligencia emocional'!A124)</f>
        <v>0</v>
      </c>
      <c r="CA123" s="39" t="str">
        <f>'Por Valoracion (3) Dimension'!B123</f>
        <v>0</v>
      </c>
      <c r="CB123" s="39" t="str">
        <f>'Por Valoracion (3) Dimension 2'!H123</f>
        <v>0</v>
      </c>
      <c r="CW123" s="38"/>
      <c r="CY123" s="46"/>
      <c r="DA123" t="str">
        <f>('Inteligencia emocional'!A124)</f>
        <v>0</v>
      </c>
      <c r="DB123" s="39" t="str">
        <f>'Por Valoracion (3) Dimension'!D123</f>
        <v>0</v>
      </c>
      <c r="DC123" s="39" t="str">
        <f>'Por Valoracion (3) Dimension 2'!B123</f>
        <v>0</v>
      </c>
      <c r="DX123" s="46"/>
      <c r="DZ123" t="str">
        <f>('Inteligencia emocional'!A124)</f>
        <v>0</v>
      </c>
      <c r="EA123" s="39" t="str">
        <f>'Por Valoracion (3) Dimension'!D123</f>
        <v>0</v>
      </c>
      <c r="EB123" s="39" t="str">
        <f>'Por Valoracion (3) Dimension 2'!D123</f>
        <v>0</v>
      </c>
      <c r="EW123" s="46"/>
      <c r="EY123" t="str">
        <f>('Inteligencia emocional'!A124)</f>
        <v>0</v>
      </c>
      <c r="EZ123" s="39" t="str">
        <f>'Por Valoracion (3) Dimension'!D123</f>
        <v>0</v>
      </c>
      <c r="FA123" s="39" t="str">
        <f>'Por Valoracion (3) Dimension 2'!F123</f>
        <v>0</v>
      </c>
      <c r="FV123" s="46"/>
      <c r="FX123" t="str">
        <f>('Inteligencia emocional'!A124)</f>
        <v>0</v>
      </c>
      <c r="FY123" s="39" t="str">
        <f>'Por Valoracion (3) Dimension'!D123</f>
        <v>0</v>
      </c>
      <c r="FZ123" s="39" t="str">
        <f>'Por Valoracion (3) Dimension 2'!H123</f>
        <v>0</v>
      </c>
      <c r="GU123" s="46"/>
      <c r="GW123" s="47"/>
      <c r="GY123" t="str">
        <f>('Inteligencia emocional'!A124)</f>
        <v>0</v>
      </c>
      <c r="GZ123" s="39" t="str">
        <f>'Por Valoracion (3) Dimension'!F123</f>
        <v>0</v>
      </c>
      <c r="HA123" s="39" t="str">
        <f>'Por Valoracion (3) Dimension 2'!B123</f>
        <v>0</v>
      </c>
      <c r="HV123" s="47"/>
      <c r="HX123" t="str">
        <f>('Inteligencia emocional'!A124)</f>
        <v>0</v>
      </c>
      <c r="HY123" s="39" t="str">
        <f>'Por Valoracion (3) Dimension'!F123</f>
        <v>0</v>
      </c>
      <c r="HZ123" s="39" t="str">
        <f>'Por Valoracion (3) Dimension 2'!D123</f>
        <v>0</v>
      </c>
      <c r="IU123" s="47"/>
      <c r="IW123" t="str">
        <f>('Inteligencia emocional'!A124)</f>
        <v>0</v>
      </c>
      <c r="IX123" s="39" t="str">
        <f>'Por Valoracion (3) Dimension'!F123</f>
        <v>0</v>
      </c>
      <c r="IY123" s="39" t="str">
        <f>'Por Valoracion (3) Dimension 2'!F123</f>
        <v>0</v>
      </c>
      <c r="JT123" s="47"/>
      <c r="JV123" t="str">
        <f>('Inteligencia emocional'!A124)</f>
        <v>0</v>
      </c>
      <c r="JW123" s="39" t="str">
        <f>'Por Valoracion (3) Dimension'!F123</f>
        <v>0</v>
      </c>
      <c r="JX123" s="39" t="str">
        <f>'Por Valoracion (3) Dimension 2'!H123</f>
        <v>0</v>
      </c>
      <c r="KS123" s="47"/>
    </row>
    <row r="124" spans="1:305">
      <c r="A124" s="38"/>
      <c r="C124" t="str">
        <f>('Inteligencia emocional'!A125)</f>
        <v>0</v>
      </c>
      <c r="D124" s="39" t="str">
        <f>'Por Valoracion (3) Dimension'!B124</f>
        <v>0</v>
      </c>
      <c r="E124" s="39" t="str">
        <f>'Por Valoracion (3) Dimension 2'!B124</f>
        <v>0</v>
      </c>
      <c r="Z124" s="38"/>
      <c r="AB124" t="str">
        <f>('Inteligencia emocional'!A125)</f>
        <v>0</v>
      </c>
      <c r="AC124" s="39" t="str">
        <f>'Por Valoracion (3) Dimension'!B124</f>
        <v>0</v>
      </c>
      <c r="AD124" s="39" t="str">
        <f>'Por Valoracion (3) Dimension 2'!D124</f>
        <v>0</v>
      </c>
      <c r="AY124" s="38"/>
      <c r="BA124" t="str">
        <f>('Inteligencia emocional'!A125)</f>
        <v>0</v>
      </c>
      <c r="BB124" s="39" t="str">
        <f>'Por Valoracion (3) Dimension'!B124</f>
        <v>0</v>
      </c>
      <c r="BC124" s="39" t="str">
        <f>'Por Valoracion (3) Dimension 2'!F124</f>
        <v>0</v>
      </c>
      <c r="BX124" s="38"/>
      <c r="BZ124" t="str">
        <f>('Inteligencia emocional'!A125)</f>
        <v>0</v>
      </c>
      <c r="CA124" s="39" t="str">
        <f>'Por Valoracion (3) Dimension'!B124</f>
        <v>0</v>
      </c>
      <c r="CB124" s="39" t="str">
        <f>'Por Valoracion (3) Dimension 2'!H124</f>
        <v>0</v>
      </c>
      <c r="CW124" s="38"/>
      <c r="CY124" s="46"/>
      <c r="DA124" t="str">
        <f>('Inteligencia emocional'!A125)</f>
        <v>0</v>
      </c>
      <c r="DB124" s="39" t="str">
        <f>'Por Valoracion (3) Dimension'!D124</f>
        <v>0</v>
      </c>
      <c r="DC124" s="39" t="str">
        <f>'Por Valoracion (3) Dimension 2'!B124</f>
        <v>0</v>
      </c>
      <c r="DX124" s="46"/>
      <c r="DZ124" t="str">
        <f>('Inteligencia emocional'!A125)</f>
        <v>0</v>
      </c>
      <c r="EA124" s="39" t="str">
        <f>'Por Valoracion (3) Dimension'!D124</f>
        <v>0</v>
      </c>
      <c r="EB124" s="39" t="str">
        <f>'Por Valoracion (3) Dimension 2'!D124</f>
        <v>0</v>
      </c>
      <c r="EW124" s="46"/>
      <c r="EY124" t="str">
        <f>('Inteligencia emocional'!A125)</f>
        <v>0</v>
      </c>
      <c r="EZ124" s="39" t="str">
        <f>'Por Valoracion (3) Dimension'!D124</f>
        <v>0</v>
      </c>
      <c r="FA124" s="39" t="str">
        <f>'Por Valoracion (3) Dimension 2'!F124</f>
        <v>0</v>
      </c>
      <c r="FV124" s="46"/>
      <c r="FX124" t="str">
        <f>('Inteligencia emocional'!A125)</f>
        <v>0</v>
      </c>
      <c r="FY124" s="39" t="str">
        <f>'Por Valoracion (3) Dimension'!D124</f>
        <v>0</v>
      </c>
      <c r="FZ124" s="39" t="str">
        <f>'Por Valoracion (3) Dimension 2'!H124</f>
        <v>0</v>
      </c>
      <c r="GU124" s="46"/>
      <c r="GW124" s="47"/>
      <c r="GY124" t="str">
        <f>('Inteligencia emocional'!A125)</f>
        <v>0</v>
      </c>
      <c r="GZ124" s="39" t="str">
        <f>'Por Valoracion (3) Dimension'!F124</f>
        <v>0</v>
      </c>
      <c r="HA124" s="39" t="str">
        <f>'Por Valoracion (3) Dimension 2'!B124</f>
        <v>0</v>
      </c>
      <c r="HV124" s="47"/>
      <c r="HX124" t="str">
        <f>('Inteligencia emocional'!A125)</f>
        <v>0</v>
      </c>
      <c r="HY124" s="39" t="str">
        <f>'Por Valoracion (3) Dimension'!F124</f>
        <v>0</v>
      </c>
      <c r="HZ124" s="39" t="str">
        <f>'Por Valoracion (3) Dimension 2'!D124</f>
        <v>0</v>
      </c>
      <c r="IU124" s="47"/>
      <c r="IW124" t="str">
        <f>('Inteligencia emocional'!A125)</f>
        <v>0</v>
      </c>
      <c r="IX124" s="39" t="str">
        <f>'Por Valoracion (3) Dimension'!F124</f>
        <v>0</v>
      </c>
      <c r="IY124" s="39" t="str">
        <f>'Por Valoracion (3) Dimension 2'!F124</f>
        <v>0</v>
      </c>
      <c r="JT124" s="47"/>
      <c r="JV124" t="str">
        <f>('Inteligencia emocional'!A125)</f>
        <v>0</v>
      </c>
      <c r="JW124" s="39" t="str">
        <f>'Por Valoracion (3) Dimension'!F124</f>
        <v>0</v>
      </c>
      <c r="JX124" s="39" t="str">
        <f>'Por Valoracion (3) Dimension 2'!H124</f>
        <v>0</v>
      </c>
      <c r="KS124" s="47"/>
    </row>
    <row r="125" spans="1:305">
      <c r="A125" s="38"/>
      <c r="C125" t="str">
        <f>('Inteligencia emocional'!A126)</f>
        <v>0</v>
      </c>
      <c r="D125" s="39" t="str">
        <f>'Por Valoracion (3) Dimension'!B125</f>
        <v>0</v>
      </c>
      <c r="E125" s="39" t="str">
        <f>'Por Valoracion (3) Dimension 2'!B125</f>
        <v>0</v>
      </c>
      <c r="Z125" s="38"/>
      <c r="AB125" t="str">
        <f>('Inteligencia emocional'!A126)</f>
        <v>0</v>
      </c>
      <c r="AC125" s="39" t="str">
        <f>'Por Valoracion (3) Dimension'!B125</f>
        <v>0</v>
      </c>
      <c r="AD125" s="39" t="str">
        <f>'Por Valoracion (3) Dimension 2'!D125</f>
        <v>0</v>
      </c>
      <c r="AY125" s="38"/>
      <c r="BA125" t="str">
        <f>('Inteligencia emocional'!A126)</f>
        <v>0</v>
      </c>
      <c r="BB125" s="39" t="str">
        <f>'Por Valoracion (3) Dimension'!B125</f>
        <v>0</v>
      </c>
      <c r="BC125" s="39" t="str">
        <f>'Por Valoracion (3) Dimension 2'!F125</f>
        <v>0</v>
      </c>
      <c r="BX125" s="38"/>
      <c r="BZ125" t="str">
        <f>('Inteligencia emocional'!A126)</f>
        <v>0</v>
      </c>
      <c r="CA125" s="39" t="str">
        <f>'Por Valoracion (3) Dimension'!B125</f>
        <v>0</v>
      </c>
      <c r="CB125" s="39" t="str">
        <f>'Por Valoracion (3) Dimension 2'!H125</f>
        <v>0</v>
      </c>
      <c r="CW125" s="38"/>
      <c r="CY125" s="46"/>
      <c r="DA125" t="str">
        <f>('Inteligencia emocional'!A126)</f>
        <v>0</v>
      </c>
      <c r="DB125" s="39" t="str">
        <f>'Por Valoracion (3) Dimension'!D125</f>
        <v>0</v>
      </c>
      <c r="DC125" s="39" t="str">
        <f>'Por Valoracion (3) Dimension 2'!B125</f>
        <v>0</v>
      </c>
      <c r="DX125" s="46"/>
      <c r="DZ125" t="str">
        <f>('Inteligencia emocional'!A126)</f>
        <v>0</v>
      </c>
      <c r="EA125" s="39" t="str">
        <f>'Por Valoracion (3) Dimension'!D125</f>
        <v>0</v>
      </c>
      <c r="EB125" s="39" t="str">
        <f>'Por Valoracion (3) Dimension 2'!D125</f>
        <v>0</v>
      </c>
      <c r="EW125" s="46"/>
      <c r="EY125" t="str">
        <f>('Inteligencia emocional'!A126)</f>
        <v>0</v>
      </c>
      <c r="EZ125" s="39" t="str">
        <f>'Por Valoracion (3) Dimension'!D125</f>
        <v>0</v>
      </c>
      <c r="FA125" s="39" t="str">
        <f>'Por Valoracion (3) Dimension 2'!F125</f>
        <v>0</v>
      </c>
      <c r="FV125" s="46"/>
      <c r="FX125" t="str">
        <f>('Inteligencia emocional'!A126)</f>
        <v>0</v>
      </c>
      <c r="FY125" s="39" t="str">
        <f>'Por Valoracion (3) Dimension'!D125</f>
        <v>0</v>
      </c>
      <c r="FZ125" s="39" t="str">
        <f>'Por Valoracion (3) Dimension 2'!H125</f>
        <v>0</v>
      </c>
      <c r="GU125" s="46"/>
      <c r="GW125" s="47"/>
      <c r="GY125" t="str">
        <f>('Inteligencia emocional'!A126)</f>
        <v>0</v>
      </c>
      <c r="GZ125" s="39" t="str">
        <f>'Por Valoracion (3) Dimension'!F125</f>
        <v>0</v>
      </c>
      <c r="HA125" s="39" t="str">
        <f>'Por Valoracion (3) Dimension 2'!B125</f>
        <v>0</v>
      </c>
      <c r="HV125" s="47"/>
      <c r="HX125" t="str">
        <f>('Inteligencia emocional'!A126)</f>
        <v>0</v>
      </c>
      <c r="HY125" s="39" t="str">
        <f>'Por Valoracion (3) Dimension'!F125</f>
        <v>0</v>
      </c>
      <c r="HZ125" s="39" t="str">
        <f>'Por Valoracion (3) Dimension 2'!D125</f>
        <v>0</v>
      </c>
      <c r="IU125" s="47"/>
      <c r="IW125" t="str">
        <f>('Inteligencia emocional'!A126)</f>
        <v>0</v>
      </c>
      <c r="IX125" s="39" t="str">
        <f>'Por Valoracion (3) Dimension'!F125</f>
        <v>0</v>
      </c>
      <c r="IY125" s="39" t="str">
        <f>'Por Valoracion (3) Dimension 2'!F125</f>
        <v>0</v>
      </c>
      <c r="JT125" s="47"/>
      <c r="JV125" t="str">
        <f>('Inteligencia emocional'!A126)</f>
        <v>0</v>
      </c>
      <c r="JW125" s="39" t="str">
        <f>'Por Valoracion (3) Dimension'!F125</f>
        <v>0</v>
      </c>
      <c r="JX125" s="39" t="str">
        <f>'Por Valoracion (3) Dimension 2'!H125</f>
        <v>0</v>
      </c>
      <c r="KS125" s="47"/>
    </row>
    <row r="126" spans="1:305">
      <c r="A126" s="38"/>
      <c r="C126" t="str">
        <f>('Inteligencia emocional'!A127)</f>
        <v>0</v>
      </c>
      <c r="D126" s="39" t="str">
        <f>'Por Valoracion (3) Dimension'!B126</f>
        <v>0</v>
      </c>
      <c r="E126" s="39" t="str">
        <f>'Por Valoracion (3) Dimension 2'!B126</f>
        <v>0</v>
      </c>
      <c r="Z126" s="38"/>
      <c r="AB126" t="str">
        <f>('Inteligencia emocional'!A127)</f>
        <v>0</v>
      </c>
      <c r="AC126" s="39" t="str">
        <f>'Por Valoracion (3) Dimension'!B126</f>
        <v>0</v>
      </c>
      <c r="AD126" s="39" t="str">
        <f>'Por Valoracion (3) Dimension 2'!D126</f>
        <v>0</v>
      </c>
      <c r="AY126" s="38"/>
      <c r="BA126" t="str">
        <f>('Inteligencia emocional'!A127)</f>
        <v>0</v>
      </c>
      <c r="BB126" s="39" t="str">
        <f>'Por Valoracion (3) Dimension'!B126</f>
        <v>0</v>
      </c>
      <c r="BC126" s="39" t="str">
        <f>'Por Valoracion (3) Dimension 2'!F126</f>
        <v>0</v>
      </c>
      <c r="BX126" s="38"/>
      <c r="BZ126" t="str">
        <f>('Inteligencia emocional'!A127)</f>
        <v>0</v>
      </c>
      <c r="CA126" s="39" t="str">
        <f>'Por Valoracion (3) Dimension'!B126</f>
        <v>0</v>
      </c>
      <c r="CB126" s="39" t="str">
        <f>'Por Valoracion (3) Dimension 2'!H126</f>
        <v>0</v>
      </c>
      <c r="CW126" s="38"/>
      <c r="CY126" s="46"/>
      <c r="DA126" t="str">
        <f>('Inteligencia emocional'!A127)</f>
        <v>0</v>
      </c>
      <c r="DB126" s="39" t="str">
        <f>'Por Valoracion (3) Dimension'!D126</f>
        <v>0</v>
      </c>
      <c r="DC126" s="39" t="str">
        <f>'Por Valoracion (3) Dimension 2'!B126</f>
        <v>0</v>
      </c>
      <c r="DX126" s="46"/>
      <c r="DZ126" t="str">
        <f>('Inteligencia emocional'!A127)</f>
        <v>0</v>
      </c>
      <c r="EA126" s="39" t="str">
        <f>'Por Valoracion (3) Dimension'!D126</f>
        <v>0</v>
      </c>
      <c r="EB126" s="39" t="str">
        <f>'Por Valoracion (3) Dimension 2'!D126</f>
        <v>0</v>
      </c>
      <c r="EW126" s="46"/>
      <c r="EY126" t="str">
        <f>('Inteligencia emocional'!A127)</f>
        <v>0</v>
      </c>
      <c r="EZ126" s="39" t="str">
        <f>'Por Valoracion (3) Dimension'!D126</f>
        <v>0</v>
      </c>
      <c r="FA126" s="39" t="str">
        <f>'Por Valoracion (3) Dimension 2'!F126</f>
        <v>0</v>
      </c>
      <c r="FV126" s="46"/>
      <c r="FX126" t="str">
        <f>('Inteligencia emocional'!A127)</f>
        <v>0</v>
      </c>
      <c r="FY126" s="39" t="str">
        <f>'Por Valoracion (3) Dimension'!D126</f>
        <v>0</v>
      </c>
      <c r="FZ126" s="39" t="str">
        <f>'Por Valoracion (3) Dimension 2'!H126</f>
        <v>0</v>
      </c>
      <c r="GU126" s="46"/>
      <c r="GW126" s="47"/>
      <c r="GY126" t="str">
        <f>('Inteligencia emocional'!A127)</f>
        <v>0</v>
      </c>
      <c r="GZ126" s="39" t="str">
        <f>'Por Valoracion (3) Dimension'!F126</f>
        <v>0</v>
      </c>
      <c r="HA126" s="39" t="str">
        <f>'Por Valoracion (3) Dimension 2'!B126</f>
        <v>0</v>
      </c>
      <c r="HV126" s="47"/>
      <c r="HX126" t="str">
        <f>('Inteligencia emocional'!A127)</f>
        <v>0</v>
      </c>
      <c r="HY126" s="39" t="str">
        <f>'Por Valoracion (3) Dimension'!F126</f>
        <v>0</v>
      </c>
      <c r="HZ126" s="39" t="str">
        <f>'Por Valoracion (3) Dimension 2'!D126</f>
        <v>0</v>
      </c>
      <c r="IU126" s="47"/>
      <c r="IW126" t="str">
        <f>('Inteligencia emocional'!A127)</f>
        <v>0</v>
      </c>
      <c r="IX126" s="39" t="str">
        <f>'Por Valoracion (3) Dimension'!F126</f>
        <v>0</v>
      </c>
      <c r="IY126" s="39" t="str">
        <f>'Por Valoracion (3) Dimension 2'!F126</f>
        <v>0</v>
      </c>
      <c r="JT126" s="47"/>
      <c r="JV126" t="str">
        <f>('Inteligencia emocional'!A127)</f>
        <v>0</v>
      </c>
      <c r="JW126" s="39" t="str">
        <f>'Por Valoracion (3) Dimension'!F126</f>
        <v>0</v>
      </c>
      <c r="JX126" s="39" t="str">
        <f>'Por Valoracion (3) Dimension 2'!H126</f>
        <v>0</v>
      </c>
      <c r="KS126" s="47"/>
    </row>
    <row r="127" spans="1:305">
      <c r="A127" s="38"/>
      <c r="C127" t="str">
        <f>('Inteligencia emocional'!A128)</f>
        <v>0</v>
      </c>
      <c r="D127" s="39" t="str">
        <f>'Por Valoracion (3) Dimension'!B127</f>
        <v>0</v>
      </c>
      <c r="E127" s="39" t="str">
        <f>'Por Valoracion (3) Dimension 2'!B127</f>
        <v>0</v>
      </c>
      <c r="Z127" s="38"/>
      <c r="AB127" t="str">
        <f>('Inteligencia emocional'!A128)</f>
        <v>0</v>
      </c>
      <c r="AC127" s="39" t="str">
        <f>'Por Valoracion (3) Dimension'!B127</f>
        <v>0</v>
      </c>
      <c r="AD127" s="39" t="str">
        <f>'Por Valoracion (3) Dimension 2'!D127</f>
        <v>0</v>
      </c>
      <c r="AY127" s="38"/>
      <c r="BA127" t="str">
        <f>('Inteligencia emocional'!A128)</f>
        <v>0</v>
      </c>
      <c r="BB127" s="39" t="str">
        <f>'Por Valoracion (3) Dimension'!B127</f>
        <v>0</v>
      </c>
      <c r="BC127" s="39" t="str">
        <f>'Por Valoracion (3) Dimension 2'!F127</f>
        <v>0</v>
      </c>
      <c r="BX127" s="38"/>
      <c r="BZ127" t="str">
        <f>('Inteligencia emocional'!A128)</f>
        <v>0</v>
      </c>
      <c r="CA127" s="39" t="str">
        <f>'Por Valoracion (3) Dimension'!B127</f>
        <v>0</v>
      </c>
      <c r="CB127" s="39" t="str">
        <f>'Por Valoracion (3) Dimension 2'!H127</f>
        <v>0</v>
      </c>
      <c r="CW127" s="38"/>
      <c r="CY127" s="46"/>
      <c r="DA127" t="str">
        <f>('Inteligencia emocional'!A128)</f>
        <v>0</v>
      </c>
      <c r="DB127" s="39" t="str">
        <f>'Por Valoracion (3) Dimension'!D127</f>
        <v>0</v>
      </c>
      <c r="DC127" s="39" t="str">
        <f>'Por Valoracion (3) Dimension 2'!B127</f>
        <v>0</v>
      </c>
      <c r="DX127" s="46"/>
      <c r="DZ127" t="str">
        <f>('Inteligencia emocional'!A128)</f>
        <v>0</v>
      </c>
      <c r="EA127" s="39" t="str">
        <f>'Por Valoracion (3) Dimension'!D127</f>
        <v>0</v>
      </c>
      <c r="EB127" s="39" t="str">
        <f>'Por Valoracion (3) Dimension 2'!D127</f>
        <v>0</v>
      </c>
      <c r="EW127" s="46"/>
      <c r="EY127" t="str">
        <f>('Inteligencia emocional'!A128)</f>
        <v>0</v>
      </c>
      <c r="EZ127" s="39" t="str">
        <f>'Por Valoracion (3) Dimension'!D127</f>
        <v>0</v>
      </c>
      <c r="FA127" s="39" t="str">
        <f>'Por Valoracion (3) Dimension 2'!F127</f>
        <v>0</v>
      </c>
      <c r="FV127" s="46"/>
      <c r="FX127" t="str">
        <f>('Inteligencia emocional'!A128)</f>
        <v>0</v>
      </c>
      <c r="FY127" s="39" t="str">
        <f>'Por Valoracion (3) Dimension'!D127</f>
        <v>0</v>
      </c>
      <c r="FZ127" s="39" t="str">
        <f>'Por Valoracion (3) Dimension 2'!H127</f>
        <v>0</v>
      </c>
      <c r="GU127" s="46"/>
      <c r="GW127" s="47"/>
      <c r="GY127" t="str">
        <f>('Inteligencia emocional'!A128)</f>
        <v>0</v>
      </c>
      <c r="GZ127" s="39" t="str">
        <f>'Por Valoracion (3) Dimension'!F127</f>
        <v>0</v>
      </c>
      <c r="HA127" s="39" t="str">
        <f>'Por Valoracion (3) Dimension 2'!B127</f>
        <v>0</v>
      </c>
      <c r="HV127" s="47"/>
      <c r="HX127" t="str">
        <f>('Inteligencia emocional'!A128)</f>
        <v>0</v>
      </c>
      <c r="HY127" s="39" t="str">
        <f>'Por Valoracion (3) Dimension'!F127</f>
        <v>0</v>
      </c>
      <c r="HZ127" s="39" t="str">
        <f>'Por Valoracion (3) Dimension 2'!D127</f>
        <v>0</v>
      </c>
      <c r="IU127" s="47"/>
      <c r="IW127" t="str">
        <f>('Inteligencia emocional'!A128)</f>
        <v>0</v>
      </c>
      <c r="IX127" s="39" t="str">
        <f>'Por Valoracion (3) Dimension'!F127</f>
        <v>0</v>
      </c>
      <c r="IY127" s="39" t="str">
        <f>'Por Valoracion (3) Dimension 2'!F127</f>
        <v>0</v>
      </c>
      <c r="JT127" s="47"/>
      <c r="JV127" t="str">
        <f>('Inteligencia emocional'!A128)</f>
        <v>0</v>
      </c>
      <c r="JW127" s="39" t="str">
        <f>'Por Valoracion (3) Dimension'!F127</f>
        <v>0</v>
      </c>
      <c r="JX127" s="39" t="str">
        <f>'Por Valoracion (3) Dimension 2'!H127</f>
        <v>0</v>
      </c>
      <c r="KS127" s="47"/>
    </row>
    <row r="128" spans="1:305">
      <c r="A128" s="38"/>
      <c r="C128" t="str">
        <f>('Inteligencia emocional'!A129)</f>
        <v>0</v>
      </c>
      <c r="D128" s="39" t="str">
        <f>'Por Valoracion (3) Dimension'!B128</f>
        <v>0</v>
      </c>
      <c r="E128" s="39" t="str">
        <f>'Por Valoracion (3) Dimension 2'!B128</f>
        <v>0</v>
      </c>
      <c r="Z128" s="38"/>
      <c r="AB128" t="str">
        <f>('Inteligencia emocional'!A129)</f>
        <v>0</v>
      </c>
      <c r="AC128" s="39" t="str">
        <f>'Por Valoracion (3) Dimension'!B128</f>
        <v>0</v>
      </c>
      <c r="AD128" s="39" t="str">
        <f>'Por Valoracion (3) Dimension 2'!D128</f>
        <v>0</v>
      </c>
      <c r="AY128" s="38"/>
      <c r="BA128" t="str">
        <f>('Inteligencia emocional'!A129)</f>
        <v>0</v>
      </c>
      <c r="BB128" s="39" t="str">
        <f>'Por Valoracion (3) Dimension'!B128</f>
        <v>0</v>
      </c>
      <c r="BC128" s="39" t="str">
        <f>'Por Valoracion (3) Dimension 2'!F128</f>
        <v>0</v>
      </c>
      <c r="BX128" s="38"/>
      <c r="BZ128" t="str">
        <f>('Inteligencia emocional'!A129)</f>
        <v>0</v>
      </c>
      <c r="CA128" s="39" t="str">
        <f>'Por Valoracion (3) Dimension'!B128</f>
        <v>0</v>
      </c>
      <c r="CB128" s="39" t="str">
        <f>'Por Valoracion (3) Dimension 2'!H128</f>
        <v>0</v>
      </c>
      <c r="CW128" s="38"/>
      <c r="CY128" s="46"/>
      <c r="DA128" t="str">
        <f>('Inteligencia emocional'!A129)</f>
        <v>0</v>
      </c>
      <c r="DB128" s="39" t="str">
        <f>'Por Valoracion (3) Dimension'!D128</f>
        <v>0</v>
      </c>
      <c r="DC128" s="39" t="str">
        <f>'Por Valoracion (3) Dimension 2'!B128</f>
        <v>0</v>
      </c>
      <c r="DX128" s="46"/>
      <c r="DZ128" t="str">
        <f>('Inteligencia emocional'!A129)</f>
        <v>0</v>
      </c>
      <c r="EA128" s="39" t="str">
        <f>'Por Valoracion (3) Dimension'!D128</f>
        <v>0</v>
      </c>
      <c r="EB128" s="39" t="str">
        <f>'Por Valoracion (3) Dimension 2'!D128</f>
        <v>0</v>
      </c>
      <c r="EW128" s="46"/>
      <c r="EY128" t="str">
        <f>('Inteligencia emocional'!A129)</f>
        <v>0</v>
      </c>
      <c r="EZ128" s="39" t="str">
        <f>'Por Valoracion (3) Dimension'!D128</f>
        <v>0</v>
      </c>
      <c r="FA128" s="39" t="str">
        <f>'Por Valoracion (3) Dimension 2'!F128</f>
        <v>0</v>
      </c>
      <c r="FV128" s="46"/>
      <c r="FX128" t="str">
        <f>('Inteligencia emocional'!A129)</f>
        <v>0</v>
      </c>
      <c r="FY128" s="39" t="str">
        <f>'Por Valoracion (3) Dimension'!D128</f>
        <v>0</v>
      </c>
      <c r="FZ128" s="39" t="str">
        <f>'Por Valoracion (3) Dimension 2'!H128</f>
        <v>0</v>
      </c>
      <c r="GU128" s="46"/>
      <c r="GW128" s="47"/>
      <c r="GY128" t="str">
        <f>('Inteligencia emocional'!A129)</f>
        <v>0</v>
      </c>
      <c r="GZ128" s="39" t="str">
        <f>'Por Valoracion (3) Dimension'!F128</f>
        <v>0</v>
      </c>
      <c r="HA128" s="39" t="str">
        <f>'Por Valoracion (3) Dimension 2'!B128</f>
        <v>0</v>
      </c>
      <c r="HV128" s="47"/>
      <c r="HX128" t="str">
        <f>('Inteligencia emocional'!A129)</f>
        <v>0</v>
      </c>
      <c r="HY128" s="39" t="str">
        <f>'Por Valoracion (3) Dimension'!F128</f>
        <v>0</v>
      </c>
      <c r="HZ128" s="39" t="str">
        <f>'Por Valoracion (3) Dimension 2'!D128</f>
        <v>0</v>
      </c>
      <c r="IU128" s="47"/>
      <c r="IW128" t="str">
        <f>('Inteligencia emocional'!A129)</f>
        <v>0</v>
      </c>
      <c r="IX128" s="39" t="str">
        <f>'Por Valoracion (3) Dimension'!F128</f>
        <v>0</v>
      </c>
      <c r="IY128" s="39" t="str">
        <f>'Por Valoracion (3) Dimension 2'!F128</f>
        <v>0</v>
      </c>
      <c r="JT128" s="47"/>
      <c r="JV128" t="str">
        <f>('Inteligencia emocional'!A129)</f>
        <v>0</v>
      </c>
      <c r="JW128" s="39" t="str">
        <f>'Por Valoracion (3) Dimension'!F128</f>
        <v>0</v>
      </c>
      <c r="JX128" s="39" t="str">
        <f>'Por Valoracion (3) Dimension 2'!H128</f>
        <v>0</v>
      </c>
      <c r="KS128" s="47"/>
    </row>
    <row r="129" spans="1:305">
      <c r="A129" s="38"/>
      <c r="C129" t="str">
        <f>('Inteligencia emocional'!A130)</f>
        <v>0</v>
      </c>
      <c r="D129" s="39" t="str">
        <f>'Por Valoracion (3) Dimension'!B129</f>
        <v>0</v>
      </c>
      <c r="E129" s="39" t="str">
        <f>'Por Valoracion (3) Dimension 2'!B129</f>
        <v>0</v>
      </c>
      <c r="Z129" s="38"/>
      <c r="AB129" t="str">
        <f>('Inteligencia emocional'!A130)</f>
        <v>0</v>
      </c>
      <c r="AC129" s="39" t="str">
        <f>'Por Valoracion (3) Dimension'!B129</f>
        <v>0</v>
      </c>
      <c r="AD129" s="39" t="str">
        <f>'Por Valoracion (3) Dimension 2'!D129</f>
        <v>0</v>
      </c>
      <c r="AY129" s="38"/>
      <c r="BA129" t="str">
        <f>('Inteligencia emocional'!A130)</f>
        <v>0</v>
      </c>
      <c r="BB129" s="39" t="str">
        <f>'Por Valoracion (3) Dimension'!B129</f>
        <v>0</v>
      </c>
      <c r="BC129" s="39" t="str">
        <f>'Por Valoracion (3) Dimension 2'!F129</f>
        <v>0</v>
      </c>
      <c r="BX129" s="38"/>
      <c r="BZ129" t="str">
        <f>('Inteligencia emocional'!A130)</f>
        <v>0</v>
      </c>
      <c r="CA129" s="39" t="str">
        <f>'Por Valoracion (3) Dimension'!B129</f>
        <v>0</v>
      </c>
      <c r="CB129" s="39" t="str">
        <f>'Por Valoracion (3) Dimension 2'!H129</f>
        <v>0</v>
      </c>
      <c r="CW129" s="38"/>
      <c r="CY129" s="46"/>
      <c r="DA129" t="str">
        <f>('Inteligencia emocional'!A130)</f>
        <v>0</v>
      </c>
      <c r="DB129" s="39" t="str">
        <f>'Por Valoracion (3) Dimension'!D129</f>
        <v>0</v>
      </c>
      <c r="DC129" s="39" t="str">
        <f>'Por Valoracion (3) Dimension 2'!B129</f>
        <v>0</v>
      </c>
      <c r="DX129" s="46"/>
      <c r="DZ129" t="str">
        <f>('Inteligencia emocional'!A130)</f>
        <v>0</v>
      </c>
      <c r="EA129" s="39" t="str">
        <f>'Por Valoracion (3) Dimension'!D129</f>
        <v>0</v>
      </c>
      <c r="EB129" s="39" t="str">
        <f>'Por Valoracion (3) Dimension 2'!D129</f>
        <v>0</v>
      </c>
      <c r="EW129" s="46"/>
      <c r="EY129" t="str">
        <f>('Inteligencia emocional'!A130)</f>
        <v>0</v>
      </c>
      <c r="EZ129" s="39" t="str">
        <f>'Por Valoracion (3) Dimension'!D129</f>
        <v>0</v>
      </c>
      <c r="FA129" s="39" t="str">
        <f>'Por Valoracion (3) Dimension 2'!F129</f>
        <v>0</v>
      </c>
      <c r="FV129" s="46"/>
      <c r="FX129" t="str">
        <f>('Inteligencia emocional'!A130)</f>
        <v>0</v>
      </c>
      <c r="FY129" s="39" t="str">
        <f>'Por Valoracion (3) Dimension'!D129</f>
        <v>0</v>
      </c>
      <c r="FZ129" s="39" t="str">
        <f>'Por Valoracion (3) Dimension 2'!H129</f>
        <v>0</v>
      </c>
      <c r="GU129" s="46"/>
      <c r="GW129" s="47"/>
      <c r="GY129" t="str">
        <f>('Inteligencia emocional'!A130)</f>
        <v>0</v>
      </c>
      <c r="GZ129" s="39" t="str">
        <f>'Por Valoracion (3) Dimension'!F129</f>
        <v>0</v>
      </c>
      <c r="HA129" s="39" t="str">
        <f>'Por Valoracion (3) Dimension 2'!B129</f>
        <v>0</v>
      </c>
      <c r="HV129" s="47"/>
      <c r="HX129" t="str">
        <f>('Inteligencia emocional'!A130)</f>
        <v>0</v>
      </c>
      <c r="HY129" s="39" t="str">
        <f>'Por Valoracion (3) Dimension'!F129</f>
        <v>0</v>
      </c>
      <c r="HZ129" s="39" t="str">
        <f>'Por Valoracion (3) Dimension 2'!D129</f>
        <v>0</v>
      </c>
      <c r="IU129" s="47"/>
      <c r="IW129" t="str">
        <f>('Inteligencia emocional'!A130)</f>
        <v>0</v>
      </c>
      <c r="IX129" s="39" t="str">
        <f>'Por Valoracion (3) Dimension'!F129</f>
        <v>0</v>
      </c>
      <c r="IY129" s="39" t="str">
        <f>'Por Valoracion (3) Dimension 2'!F129</f>
        <v>0</v>
      </c>
      <c r="JT129" s="47"/>
      <c r="JV129" t="str">
        <f>('Inteligencia emocional'!A130)</f>
        <v>0</v>
      </c>
      <c r="JW129" s="39" t="str">
        <f>'Por Valoracion (3) Dimension'!F129</f>
        <v>0</v>
      </c>
      <c r="JX129" s="39" t="str">
        <f>'Por Valoracion (3) Dimension 2'!H129</f>
        <v>0</v>
      </c>
      <c r="KS129" s="47"/>
    </row>
    <row r="130" spans="1:305">
      <c r="A130" s="38"/>
      <c r="C130" t="str">
        <f>('Inteligencia emocional'!A131)</f>
        <v>0</v>
      </c>
      <c r="D130" s="39" t="str">
        <f>'Por Valoracion (3) Dimension'!B130</f>
        <v>0</v>
      </c>
      <c r="E130" s="39" t="str">
        <f>'Por Valoracion (3) Dimension 2'!B130</f>
        <v>0</v>
      </c>
      <c r="Z130" s="38"/>
      <c r="AB130" t="str">
        <f>('Inteligencia emocional'!A131)</f>
        <v>0</v>
      </c>
      <c r="AC130" s="39" t="str">
        <f>'Por Valoracion (3) Dimension'!B130</f>
        <v>0</v>
      </c>
      <c r="AD130" s="39" t="str">
        <f>'Por Valoracion (3) Dimension 2'!D130</f>
        <v>0</v>
      </c>
      <c r="AY130" s="38"/>
      <c r="BA130" t="str">
        <f>('Inteligencia emocional'!A131)</f>
        <v>0</v>
      </c>
      <c r="BB130" s="39" t="str">
        <f>'Por Valoracion (3) Dimension'!B130</f>
        <v>0</v>
      </c>
      <c r="BC130" s="39" t="str">
        <f>'Por Valoracion (3) Dimension 2'!F130</f>
        <v>0</v>
      </c>
      <c r="BX130" s="38"/>
      <c r="BZ130" t="str">
        <f>('Inteligencia emocional'!A131)</f>
        <v>0</v>
      </c>
      <c r="CA130" s="39" t="str">
        <f>'Por Valoracion (3) Dimension'!B130</f>
        <v>0</v>
      </c>
      <c r="CB130" s="39" t="str">
        <f>'Por Valoracion (3) Dimension 2'!H130</f>
        <v>0</v>
      </c>
      <c r="CW130" s="38"/>
      <c r="CY130" s="46"/>
      <c r="DA130" t="str">
        <f>('Inteligencia emocional'!A131)</f>
        <v>0</v>
      </c>
      <c r="DB130" s="39" t="str">
        <f>'Por Valoracion (3) Dimension'!D130</f>
        <v>0</v>
      </c>
      <c r="DC130" s="39" t="str">
        <f>'Por Valoracion (3) Dimension 2'!B130</f>
        <v>0</v>
      </c>
      <c r="DX130" s="46"/>
      <c r="DZ130" t="str">
        <f>('Inteligencia emocional'!A131)</f>
        <v>0</v>
      </c>
      <c r="EA130" s="39" t="str">
        <f>'Por Valoracion (3) Dimension'!D130</f>
        <v>0</v>
      </c>
      <c r="EB130" s="39" t="str">
        <f>'Por Valoracion (3) Dimension 2'!D130</f>
        <v>0</v>
      </c>
      <c r="EW130" s="46"/>
      <c r="EY130" t="str">
        <f>('Inteligencia emocional'!A131)</f>
        <v>0</v>
      </c>
      <c r="EZ130" s="39" t="str">
        <f>'Por Valoracion (3) Dimension'!D130</f>
        <v>0</v>
      </c>
      <c r="FA130" s="39" t="str">
        <f>'Por Valoracion (3) Dimension 2'!F130</f>
        <v>0</v>
      </c>
      <c r="FV130" s="46"/>
      <c r="FX130" t="str">
        <f>('Inteligencia emocional'!A131)</f>
        <v>0</v>
      </c>
      <c r="FY130" s="39" t="str">
        <f>'Por Valoracion (3) Dimension'!D130</f>
        <v>0</v>
      </c>
      <c r="FZ130" s="39" t="str">
        <f>'Por Valoracion (3) Dimension 2'!H130</f>
        <v>0</v>
      </c>
      <c r="GU130" s="46"/>
      <c r="GW130" s="47"/>
      <c r="GY130" t="str">
        <f>('Inteligencia emocional'!A131)</f>
        <v>0</v>
      </c>
      <c r="GZ130" s="39" t="str">
        <f>'Por Valoracion (3) Dimension'!F130</f>
        <v>0</v>
      </c>
      <c r="HA130" s="39" t="str">
        <f>'Por Valoracion (3) Dimension 2'!B130</f>
        <v>0</v>
      </c>
      <c r="HV130" s="47"/>
      <c r="HX130" t="str">
        <f>('Inteligencia emocional'!A131)</f>
        <v>0</v>
      </c>
      <c r="HY130" s="39" t="str">
        <f>'Por Valoracion (3) Dimension'!F130</f>
        <v>0</v>
      </c>
      <c r="HZ130" s="39" t="str">
        <f>'Por Valoracion (3) Dimension 2'!D130</f>
        <v>0</v>
      </c>
      <c r="IU130" s="47"/>
      <c r="IW130" t="str">
        <f>('Inteligencia emocional'!A131)</f>
        <v>0</v>
      </c>
      <c r="IX130" s="39" t="str">
        <f>'Por Valoracion (3) Dimension'!F130</f>
        <v>0</v>
      </c>
      <c r="IY130" s="39" t="str">
        <f>'Por Valoracion (3) Dimension 2'!F130</f>
        <v>0</v>
      </c>
      <c r="JT130" s="47"/>
      <c r="JV130" t="str">
        <f>('Inteligencia emocional'!A131)</f>
        <v>0</v>
      </c>
      <c r="JW130" s="39" t="str">
        <f>'Por Valoracion (3) Dimension'!F130</f>
        <v>0</v>
      </c>
      <c r="JX130" s="39" t="str">
        <f>'Por Valoracion (3) Dimension 2'!H130</f>
        <v>0</v>
      </c>
      <c r="KS130" s="47"/>
    </row>
    <row r="131" spans="1:305">
      <c r="A131" s="38"/>
      <c r="C131" t="str">
        <f>('Inteligencia emocional'!A132)</f>
        <v>0</v>
      </c>
      <c r="D131" s="39" t="str">
        <f>'Por Valoracion (3) Dimension'!B131</f>
        <v>0</v>
      </c>
      <c r="E131" s="39" t="str">
        <f>'Por Valoracion (3) Dimension 2'!B131</f>
        <v>0</v>
      </c>
      <c r="Z131" s="38"/>
      <c r="AB131" t="str">
        <f>('Inteligencia emocional'!A132)</f>
        <v>0</v>
      </c>
      <c r="AC131" s="39" t="str">
        <f>'Por Valoracion (3) Dimension'!B131</f>
        <v>0</v>
      </c>
      <c r="AD131" s="39" t="str">
        <f>'Por Valoracion (3) Dimension 2'!D131</f>
        <v>0</v>
      </c>
      <c r="AY131" s="38"/>
      <c r="BA131" t="str">
        <f>('Inteligencia emocional'!A132)</f>
        <v>0</v>
      </c>
      <c r="BB131" s="39" t="str">
        <f>'Por Valoracion (3) Dimension'!B131</f>
        <v>0</v>
      </c>
      <c r="BC131" s="39" t="str">
        <f>'Por Valoracion (3) Dimension 2'!F131</f>
        <v>0</v>
      </c>
      <c r="BX131" s="38"/>
      <c r="BZ131" t="str">
        <f>('Inteligencia emocional'!A132)</f>
        <v>0</v>
      </c>
      <c r="CA131" s="39" t="str">
        <f>'Por Valoracion (3) Dimension'!B131</f>
        <v>0</v>
      </c>
      <c r="CB131" s="39" t="str">
        <f>'Por Valoracion (3) Dimension 2'!H131</f>
        <v>0</v>
      </c>
      <c r="CW131" s="38"/>
      <c r="CY131" s="46"/>
      <c r="DA131" t="str">
        <f>('Inteligencia emocional'!A132)</f>
        <v>0</v>
      </c>
      <c r="DB131" s="39" t="str">
        <f>'Por Valoracion (3) Dimension'!D131</f>
        <v>0</v>
      </c>
      <c r="DC131" s="39" t="str">
        <f>'Por Valoracion (3) Dimension 2'!B131</f>
        <v>0</v>
      </c>
      <c r="DX131" s="46"/>
      <c r="DZ131" t="str">
        <f>('Inteligencia emocional'!A132)</f>
        <v>0</v>
      </c>
      <c r="EA131" s="39" t="str">
        <f>'Por Valoracion (3) Dimension'!D131</f>
        <v>0</v>
      </c>
      <c r="EB131" s="39" t="str">
        <f>'Por Valoracion (3) Dimension 2'!D131</f>
        <v>0</v>
      </c>
      <c r="EW131" s="46"/>
      <c r="EY131" t="str">
        <f>('Inteligencia emocional'!A132)</f>
        <v>0</v>
      </c>
      <c r="EZ131" s="39" t="str">
        <f>'Por Valoracion (3) Dimension'!D131</f>
        <v>0</v>
      </c>
      <c r="FA131" s="39" t="str">
        <f>'Por Valoracion (3) Dimension 2'!F131</f>
        <v>0</v>
      </c>
      <c r="FV131" s="46"/>
      <c r="FX131" t="str">
        <f>('Inteligencia emocional'!A132)</f>
        <v>0</v>
      </c>
      <c r="FY131" s="39" t="str">
        <f>'Por Valoracion (3) Dimension'!D131</f>
        <v>0</v>
      </c>
      <c r="FZ131" s="39" t="str">
        <f>'Por Valoracion (3) Dimension 2'!H131</f>
        <v>0</v>
      </c>
      <c r="GU131" s="46"/>
      <c r="GW131" s="47"/>
      <c r="GY131" t="str">
        <f>('Inteligencia emocional'!A132)</f>
        <v>0</v>
      </c>
      <c r="GZ131" s="39" t="str">
        <f>'Por Valoracion (3) Dimension'!F131</f>
        <v>0</v>
      </c>
      <c r="HA131" s="39" t="str">
        <f>'Por Valoracion (3) Dimension 2'!B131</f>
        <v>0</v>
      </c>
      <c r="HV131" s="47"/>
      <c r="HX131" t="str">
        <f>('Inteligencia emocional'!A132)</f>
        <v>0</v>
      </c>
      <c r="HY131" s="39" t="str">
        <f>'Por Valoracion (3) Dimension'!F131</f>
        <v>0</v>
      </c>
      <c r="HZ131" s="39" t="str">
        <f>'Por Valoracion (3) Dimension 2'!D131</f>
        <v>0</v>
      </c>
      <c r="IU131" s="47"/>
      <c r="IW131" t="str">
        <f>('Inteligencia emocional'!A132)</f>
        <v>0</v>
      </c>
      <c r="IX131" s="39" t="str">
        <f>'Por Valoracion (3) Dimension'!F131</f>
        <v>0</v>
      </c>
      <c r="IY131" s="39" t="str">
        <f>'Por Valoracion (3) Dimension 2'!F131</f>
        <v>0</v>
      </c>
      <c r="JT131" s="47"/>
      <c r="JV131" t="str">
        <f>('Inteligencia emocional'!A132)</f>
        <v>0</v>
      </c>
      <c r="JW131" s="39" t="str">
        <f>'Por Valoracion (3) Dimension'!F131</f>
        <v>0</v>
      </c>
      <c r="JX131" s="39" t="str">
        <f>'Por Valoracion (3) Dimension 2'!H131</f>
        <v>0</v>
      </c>
      <c r="KS131" s="47"/>
    </row>
    <row r="132" spans="1:305">
      <c r="A132" s="38"/>
      <c r="C132" t="str">
        <f>('Inteligencia emocional'!A133)</f>
        <v>0</v>
      </c>
      <c r="D132" s="39" t="str">
        <f>'Por Valoracion (3) Dimension'!B132</f>
        <v>0</v>
      </c>
      <c r="E132" s="39" t="str">
        <f>'Por Valoracion (3) Dimension 2'!B132</f>
        <v>0</v>
      </c>
      <c r="Z132" s="38"/>
      <c r="AB132" t="str">
        <f>('Inteligencia emocional'!A133)</f>
        <v>0</v>
      </c>
      <c r="AC132" s="39" t="str">
        <f>'Por Valoracion (3) Dimension'!B132</f>
        <v>0</v>
      </c>
      <c r="AD132" s="39" t="str">
        <f>'Por Valoracion (3) Dimension 2'!D132</f>
        <v>0</v>
      </c>
      <c r="AY132" s="38"/>
      <c r="BA132" t="str">
        <f>('Inteligencia emocional'!A133)</f>
        <v>0</v>
      </c>
      <c r="BB132" s="39" t="str">
        <f>'Por Valoracion (3) Dimension'!B132</f>
        <v>0</v>
      </c>
      <c r="BC132" s="39" t="str">
        <f>'Por Valoracion (3) Dimension 2'!F132</f>
        <v>0</v>
      </c>
      <c r="BX132" s="38"/>
      <c r="BZ132" t="str">
        <f>('Inteligencia emocional'!A133)</f>
        <v>0</v>
      </c>
      <c r="CA132" s="39" t="str">
        <f>'Por Valoracion (3) Dimension'!B132</f>
        <v>0</v>
      </c>
      <c r="CB132" s="39" t="str">
        <f>'Por Valoracion (3) Dimension 2'!H132</f>
        <v>0</v>
      </c>
      <c r="CW132" s="38"/>
      <c r="CY132" s="46"/>
      <c r="DA132" t="str">
        <f>('Inteligencia emocional'!A133)</f>
        <v>0</v>
      </c>
      <c r="DB132" s="39" t="str">
        <f>'Por Valoracion (3) Dimension'!D132</f>
        <v>0</v>
      </c>
      <c r="DC132" s="39" t="str">
        <f>'Por Valoracion (3) Dimension 2'!B132</f>
        <v>0</v>
      </c>
      <c r="DX132" s="46"/>
      <c r="DZ132" t="str">
        <f>('Inteligencia emocional'!A133)</f>
        <v>0</v>
      </c>
      <c r="EA132" s="39" t="str">
        <f>'Por Valoracion (3) Dimension'!D132</f>
        <v>0</v>
      </c>
      <c r="EB132" s="39" t="str">
        <f>'Por Valoracion (3) Dimension 2'!D132</f>
        <v>0</v>
      </c>
      <c r="EW132" s="46"/>
      <c r="EY132" t="str">
        <f>('Inteligencia emocional'!A133)</f>
        <v>0</v>
      </c>
      <c r="EZ132" s="39" t="str">
        <f>'Por Valoracion (3) Dimension'!D132</f>
        <v>0</v>
      </c>
      <c r="FA132" s="39" t="str">
        <f>'Por Valoracion (3) Dimension 2'!F132</f>
        <v>0</v>
      </c>
      <c r="FV132" s="46"/>
      <c r="FX132" t="str">
        <f>('Inteligencia emocional'!A133)</f>
        <v>0</v>
      </c>
      <c r="FY132" s="39" t="str">
        <f>'Por Valoracion (3) Dimension'!D132</f>
        <v>0</v>
      </c>
      <c r="FZ132" s="39" t="str">
        <f>'Por Valoracion (3) Dimension 2'!H132</f>
        <v>0</v>
      </c>
      <c r="GU132" s="46"/>
      <c r="GW132" s="47"/>
      <c r="GY132" t="str">
        <f>('Inteligencia emocional'!A133)</f>
        <v>0</v>
      </c>
      <c r="GZ132" s="39" t="str">
        <f>'Por Valoracion (3) Dimension'!F132</f>
        <v>0</v>
      </c>
      <c r="HA132" s="39" t="str">
        <f>'Por Valoracion (3) Dimension 2'!B132</f>
        <v>0</v>
      </c>
      <c r="HV132" s="47"/>
      <c r="HX132" t="str">
        <f>('Inteligencia emocional'!A133)</f>
        <v>0</v>
      </c>
      <c r="HY132" s="39" t="str">
        <f>'Por Valoracion (3) Dimension'!F132</f>
        <v>0</v>
      </c>
      <c r="HZ132" s="39" t="str">
        <f>'Por Valoracion (3) Dimension 2'!D132</f>
        <v>0</v>
      </c>
      <c r="IU132" s="47"/>
      <c r="IW132" t="str">
        <f>('Inteligencia emocional'!A133)</f>
        <v>0</v>
      </c>
      <c r="IX132" s="39" t="str">
        <f>'Por Valoracion (3) Dimension'!F132</f>
        <v>0</v>
      </c>
      <c r="IY132" s="39" t="str">
        <f>'Por Valoracion (3) Dimension 2'!F132</f>
        <v>0</v>
      </c>
      <c r="JT132" s="47"/>
      <c r="JV132" t="str">
        <f>('Inteligencia emocional'!A133)</f>
        <v>0</v>
      </c>
      <c r="JW132" s="39" t="str">
        <f>'Por Valoracion (3) Dimension'!F132</f>
        <v>0</v>
      </c>
      <c r="JX132" s="39" t="str">
        <f>'Por Valoracion (3) Dimension 2'!H132</f>
        <v>0</v>
      </c>
      <c r="KS132" s="47"/>
    </row>
    <row r="133" spans="1:305">
      <c r="A133" s="38"/>
      <c r="C133" t="str">
        <f>('Inteligencia emocional'!A134)</f>
        <v>0</v>
      </c>
      <c r="D133" s="39" t="str">
        <f>'Por Valoracion (3) Dimension'!B133</f>
        <v>0</v>
      </c>
      <c r="E133" s="39" t="str">
        <f>'Por Valoracion (3) Dimension 2'!B133</f>
        <v>0</v>
      </c>
      <c r="Z133" s="38"/>
      <c r="AB133" t="str">
        <f>('Inteligencia emocional'!A134)</f>
        <v>0</v>
      </c>
      <c r="AC133" s="39" t="str">
        <f>'Por Valoracion (3) Dimension'!B133</f>
        <v>0</v>
      </c>
      <c r="AD133" s="39" t="str">
        <f>'Por Valoracion (3) Dimension 2'!D133</f>
        <v>0</v>
      </c>
      <c r="AY133" s="38"/>
      <c r="BA133" t="str">
        <f>('Inteligencia emocional'!A134)</f>
        <v>0</v>
      </c>
      <c r="BB133" s="39" t="str">
        <f>'Por Valoracion (3) Dimension'!B133</f>
        <v>0</v>
      </c>
      <c r="BC133" s="39" t="str">
        <f>'Por Valoracion (3) Dimension 2'!F133</f>
        <v>0</v>
      </c>
      <c r="BX133" s="38"/>
      <c r="BZ133" t="str">
        <f>('Inteligencia emocional'!A134)</f>
        <v>0</v>
      </c>
      <c r="CA133" s="39" t="str">
        <f>'Por Valoracion (3) Dimension'!B133</f>
        <v>0</v>
      </c>
      <c r="CB133" s="39" t="str">
        <f>'Por Valoracion (3) Dimension 2'!H133</f>
        <v>0</v>
      </c>
      <c r="CW133" s="38"/>
      <c r="CY133" s="46"/>
      <c r="DA133" t="str">
        <f>('Inteligencia emocional'!A134)</f>
        <v>0</v>
      </c>
      <c r="DB133" s="39" t="str">
        <f>'Por Valoracion (3) Dimension'!D133</f>
        <v>0</v>
      </c>
      <c r="DC133" s="39" t="str">
        <f>'Por Valoracion (3) Dimension 2'!B133</f>
        <v>0</v>
      </c>
      <c r="DX133" s="46"/>
      <c r="DZ133" t="str">
        <f>('Inteligencia emocional'!A134)</f>
        <v>0</v>
      </c>
      <c r="EA133" s="39" t="str">
        <f>'Por Valoracion (3) Dimension'!D133</f>
        <v>0</v>
      </c>
      <c r="EB133" s="39" t="str">
        <f>'Por Valoracion (3) Dimension 2'!D133</f>
        <v>0</v>
      </c>
      <c r="EW133" s="46"/>
      <c r="EY133" t="str">
        <f>('Inteligencia emocional'!A134)</f>
        <v>0</v>
      </c>
      <c r="EZ133" s="39" t="str">
        <f>'Por Valoracion (3) Dimension'!D133</f>
        <v>0</v>
      </c>
      <c r="FA133" s="39" t="str">
        <f>'Por Valoracion (3) Dimension 2'!F133</f>
        <v>0</v>
      </c>
      <c r="FV133" s="46"/>
      <c r="FX133" t="str">
        <f>('Inteligencia emocional'!A134)</f>
        <v>0</v>
      </c>
      <c r="FY133" s="39" t="str">
        <f>'Por Valoracion (3) Dimension'!D133</f>
        <v>0</v>
      </c>
      <c r="FZ133" s="39" t="str">
        <f>'Por Valoracion (3) Dimension 2'!H133</f>
        <v>0</v>
      </c>
      <c r="GU133" s="46"/>
      <c r="GW133" s="47"/>
      <c r="GY133" t="str">
        <f>('Inteligencia emocional'!A134)</f>
        <v>0</v>
      </c>
      <c r="GZ133" s="39" t="str">
        <f>'Por Valoracion (3) Dimension'!F133</f>
        <v>0</v>
      </c>
      <c r="HA133" s="39" t="str">
        <f>'Por Valoracion (3) Dimension 2'!B133</f>
        <v>0</v>
      </c>
      <c r="HV133" s="47"/>
      <c r="HX133" t="str">
        <f>('Inteligencia emocional'!A134)</f>
        <v>0</v>
      </c>
      <c r="HY133" s="39" t="str">
        <f>'Por Valoracion (3) Dimension'!F133</f>
        <v>0</v>
      </c>
      <c r="HZ133" s="39" t="str">
        <f>'Por Valoracion (3) Dimension 2'!D133</f>
        <v>0</v>
      </c>
      <c r="IU133" s="47"/>
      <c r="IW133" t="str">
        <f>('Inteligencia emocional'!A134)</f>
        <v>0</v>
      </c>
      <c r="IX133" s="39" t="str">
        <f>'Por Valoracion (3) Dimension'!F133</f>
        <v>0</v>
      </c>
      <c r="IY133" s="39" t="str">
        <f>'Por Valoracion (3) Dimension 2'!F133</f>
        <v>0</v>
      </c>
      <c r="JT133" s="47"/>
      <c r="JV133" t="str">
        <f>('Inteligencia emocional'!A134)</f>
        <v>0</v>
      </c>
      <c r="JW133" s="39" t="str">
        <f>'Por Valoracion (3) Dimension'!F133</f>
        <v>0</v>
      </c>
      <c r="JX133" s="39" t="str">
        <f>'Por Valoracion (3) Dimension 2'!H133</f>
        <v>0</v>
      </c>
      <c r="KS133" s="47"/>
    </row>
    <row r="134" spans="1:305">
      <c r="A134" s="38"/>
      <c r="C134" t="str">
        <f>('Inteligencia emocional'!A135)</f>
        <v>0</v>
      </c>
      <c r="D134" s="39" t="str">
        <f>'Por Valoracion (3) Dimension'!B134</f>
        <v>0</v>
      </c>
      <c r="E134" s="39" t="str">
        <f>'Por Valoracion (3) Dimension 2'!B134</f>
        <v>0</v>
      </c>
      <c r="Z134" s="38"/>
      <c r="AB134" t="str">
        <f>('Inteligencia emocional'!A135)</f>
        <v>0</v>
      </c>
      <c r="AC134" s="39" t="str">
        <f>'Por Valoracion (3) Dimension'!B134</f>
        <v>0</v>
      </c>
      <c r="AD134" s="39" t="str">
        <f>'Por Valoracion (3) Dimension 2'!D134</f>
        <v>0</v>
      </c>
      <c r="AY134" s="38"/>
      <c r="BA134" t="str">
        <f>('Inteligencia emocional'!A135)</f>
        <v>0</v>
      </c>
      <c r="BB134" s="39" t="str">
        <f>'Por Valoracion (3) Dimension'!B134</f>
        <v>0</v>
      </c>
      <c r="BC134" s="39" t="str">
        <f>'Por Valoracion (3) Dimension 2'!F134</f>
        <v>0</v>
      </c>
      <c r="BX134" s="38"/>
      <c r="BZ134" t="str">
        <f>('Inteligencia emocional'!A135)</f>
        <v>0</v>
      </c>
      <c r="CA134" s="39" t="str">
        <f>'Por Valoracion (3) Dimension'!B134</f>
        <v>0</v>
      </c>
      <c r="CB134" s="39" t="str">
        <f>'Por Valoracion (3) Dimension 2'!H134</f>
        <v>0</v>
      </c>
      <c r="CW134" s="38"/>
      <c r="CY134" s="46"/>
      <c r="DA134" t="str">
        <f>('Inteligencia emocional'!A135)</f>
        <v>0</v>
      </c>
      <c r="DB134" s="39" t="str">
        <f>'Por Valoracion (3) Dimension'!D134</f>
        <v>0</v>
      </c>
      <c r="DC134" s="39" t="str">
        <f>'Por Valoracion (3) Dimension 2'!B134</f>
        <v>0</v>
      </c>
      <c r="DX134" s="46"/>
      <c r="DZ134" t="str">
        <f>('Inteligencia emocional'!A135)</f>
        <v>0</v>
      </c>
      <c r="EA134" s="39" t="str">
        <f>'Por Valoracion (3) Dimension'!D134</f>
        <v>0</v>
      </c>
      <c r="EB134" s="39" t="str">
        <f>'Por Valoracion (3) Dimension 2'!D134</f>
        <v>0</v>
      </c>
      <c r="EW134" s="46"/>
      <c r="EY134" t="str">
        <f>('Inteligencia emocional'!A135)</f>
        <v>0</v>
      </c>
      <c r="EZ134" s="39" t="str">
        <f>'Por Valoracion (3) Dimension'!D134</f>
        <v>0</v>
      </c>
      <c r="FA134" s="39" t="str">
        <f>'Por Valoracion (3) Dimension 2'!F134</f>
        <v>0</v>
      </c>
      <c r="FV134" s="46"/>
      <c r="FX134" t="str">
        <f>('Inteligencia emocional'!A135)</f>
        <v>0</v>
      </c>
      <c r="FY134" s="39" t="str">
        <f>'Por Valoracion (3) Dimension'!D134</f>
        <v>0</v>
      </c>
      <c r="FZ134" s="39" t="str">
        <f>'Por Valoracion (3) Dimension 2'!H134</f>
        <v>0</v>
      </c>
      <c r="GU134" s="46"/>
      <c r="GW134" s="47"/>
      <c r="GY134" t="str">
        <f>('Inteligencia emocional'!A135)</f>
        <v>0</v>
      </c>
      <c r="GZ134" s="39" t="str">
        <f>'Por Valoracion (3) Dimension'!F134</f>
        <v>0</v>
      </c>
      <c r="HA134" s="39" t="str">
        <f>'Por Valoracion (3) Dimension 2'!B134</f>
        <v>0</v>
      </c>
      <c r="HV134" s="47"/>
      <c r="HX134" t="str">
        <f>('Inteligencia emocional'!A135)</f>
        <v>0</v>
      </c>
      <c r="HY134" s="39" t="str">
        <f>'Por Valoracion (3) Dimension'!F134</f>
        <v>0</v>
      </c>
      <c r="HZ134" s="39" t="str">
        <f>'Por Valoracion (3) Dimension 2'!D134</f>
        <v>0</v>
      </c>
      <c r="IU134" s="47"/>
      <c r="IW134" t="str">
        <f>('Inteligencia emocional'!A135)</f>
        <v>0</v>
      </c>
      <c r="IX134" s="39" t="str">
        <f>'Por Valoracion (3) Dimension'!F134</f>
        <v>0</v>
      </c>
      <c r="IY134" s="39" t="str">
        <f>'Por Valoracion (3) Dimension 2'!F134</f>
        <v>0</v>
      </c>
      <c r="JT134" s="47"/>
      <c r="JV134" t="str">
        <f>('Inteligencia emocional'!A135)</f>
        <v>0</v>
      </c>
      <c r="JW134" s="39" t="str">
        <f>'Por Valoracion (3) Dimension'!F134</f>
        <v>0</v>
      </c>
      <c r="JX134" s="39" t="str">
        <f>'Por Valoracion (3) Dimension 2'!H134</f>
        <v>0</v>
      </c>
      <c r="KS134" s="47"/>
    </row>
    <row r="135" spans="1:305">
      <c r="A135" s="38"/>
      <c r="C135" t="str">
        <f>('Inteligencia emocional'!A136)</f>
        <v>0</v>
      </c>
      <c r="D135" s="39" t="str">
        <f>'Por Valoracion (3) Dimension'!B135</f>
        <v>0</v>
      </c>
      <c r="E135" s="39" t="str">
        <f>'Por Valoracion (3) Dimension 2'!B135</f>
        <v>0</v>
      </c>
      <c r="Z135" s="38"/>
      <c r="AB135" t="str">
        <f>('Inteligencia emocional'!A136)</f>
        <v>0</v>
      </c>
      <c r="AC135" s="39" t="str">
        <f>'Por Valoracion (3) Dimension'!B135</f>
        <v>0</v>
      </c>
      <c r="AD135" s="39" t="str">
        <f>'Por Valoracion (3) Dimension 2'!D135</f>
        <v>0</v>
      </c>
      <c r="AY135" s="38"/>
      <c r="BA135" t="str">
        <f>('Inteligencia emocional'!A136)</f>
        <v>0</v>
      </c>
      <c r="BB135" s="39" t="str">
        <f>'Por Valoracion (3) Dimension'!B135</f>
        <v>0</v>
      </c>
      <c r="BC135" s="39" t="str">
        <f>'Por Valoracion (3) Dimension 2'!F135</f>
        <v>0</v>
      </c>
      <c r="BX135" s="38"/>
      <c r="BZ135" t="str">
        <f>('Inteligencia emocional'!A136)</f>
        <v>0</v>
      </c>
      <c r="CA135" s="39" t="str">
        <f>'Por Valoracion (3) Dimension'!B135</f>
        <v>0</v>
      </c>
      <c r="CB135" s="39" t="str">
        <f>'Por Valoracion (3) Dimension 2'!H135</f>
        <v>0</v>
      </c>
      <c r="CW135" s="38"/>
      <c r="CY135" s="46"/>
      <c r="DA135" t="str">
        <f>('Inteligencia emocional'!A136)</f>
        <v>0</v>
      </c>
      <c r="DB135" s="39" t="str">
        <f>'Por Valoracion (3) Dimension'!D135</f>
        <v>0</v>
      </c>
      <c r="DC135" s="39" t="str">
        <f>'Por Valoracion (3) Dimension 2'!B135</f>
        <v>0</v>
      </c>
      <c r="DX135" s="46"/>
      <c r="DZ135" t="str">
        <f>('Inteligencia emocional'!A136)</f>
        <v>0</v>
      </c>
      <c r="EA135" s="39" t="str">
        <f>'Por Valoracion (3) Dimension'!D135</f>
        <v>0</v>
      </c>
      <c r="EB135" s="39" t="str">
        <f>'Por Valoracion (3) Dimension 2'!D135</f>
        <v>0</v>
      </c>
      <c r="EW135" s="46"/>
      <c r="EY135" t="str">
        <f>('Inteligencia emocional'!A136)</f>
        <v>0</v>
      </c>
      <c r="EZ135" s="39" t="str">
        <f>'Por Valoracion (3) Dimension'!D135</f>
        <v>0</v>
      </c>
      <c r="FA135" s="39" t="str">
        <f>'Por Valoracion (3) Dimension 2'!F135</f>
        <v>0</v>
      </c>
      <c r="FV135" s="46"/>
      <c r="FX135" t="str">
        <f>('Inteligencia emocional'!A136)</f>
        <v>0</v>
      </c>
      <c r="FY135" s="39" t="str">
        <f>'Por Valoracion (3) Dimension'!D135</f>
        <v>0</v>
      </c>
      <c r="FZ135" s="39" t="str">
        <f>'Por Valoracion (3) Dimension 2'!H135</f>
        <v>0</v>
      </c>
      <c r="GU135" s="46"/>
      <c r="GW135" s="47"/>
      <c r="GY135" t="str">
        <f>('Inteligencia emocional'!A136)</f>
        <v>0</v>
      </c>
      <c r="GZ135" s="39" t="str">
        <f>'Por Valoracion (3) Dimension'!F135</f>
        <v>0</v>
      </c>
      <c r="HA135" s="39" t="str">
        <f>'Por Valoracion (3) Dimension 2'!B135</f>
        <v>0</v>
      </c>
      <c r="HV135" s="47"/>
      <c r="HX135" t="str">
        <f>('Inteligencia emocional'!A136)</f>
        <v>0</v>
      </c>
      <c r="HY135" s="39" t="str">
        <f>'Por Valoracion (3) Dimension'!F135</f>
        <v>0</v>
      </c>
      <c r="HZ135" s="39" t="str">
        <f>'Por Valoracion (3) Dimension 2'!D135</f>
        <v>0</v>
      </c>
      <c r="IU135" s="47"/>
      <c r="IW135" t="str">
        <f>('Inteligencia emocional'!A136)</f>
        <v>0</v>
      </c>
      <c r="IX135" s="39" t="str">
        <f>'Por Valoracion (3) Dimension'!F135</f>
        <v>0</v>
      </c>
      <c r="IY135" s="39" t="str">
        <f>'Por Valoracion (3) Dimension 2'!F135</f>
        <v>0</v>
      </c>
      <c r="JT135" s="47"/>
      <c r="JV135" t="str">
        <f>('Inteligencia emocional'!A136)</f>
        <v>0</v>
      </c>
      <c r="JW135" s="39" t="str">
        <f>'Por Valoracion (3) Dimension'!F135</f>
        <v>0</v>
      </c>
      <c r="JX135" s="39" t="str">
        <f>'Por Valoracion (3) Dimension 2'!H135</f>
        <v>0</v>
      </c>
      <c r="KS135" s="47"/>
    </row>
    <row r="136" spans="1:305">
      <c r="A136" s="38"/>
      <c r="C136" t="str">
        <f>('Inteligencia emocional'!A137)</f>
        <v>0</v>
      </c>
      <c r="D136" s="39" t="str">
        <f>'Por Valoracion (3) Dimension'!B136</f>
        <v>0</v>
      </c>
      <c r="E136" s="39" t="str">
        <f>'Por Valoracion (3) Dimension 2'!B136</f>
        <v>0</v>
      </c>
      <c r="Z136" s="38"/>
      <c r="AB136" t="str">
        <f>('Inteligencia emocional'!A137)</f>
        <v>0</v>
      </c>
      <c r="AC136" s="39" t="str">
        <f>'Por Valoracion (3) Dimension'!B136</f>
        <v>0</v>
      </c>
      <c r="AD136" s="39" t="str">
        <f>'Por Valoracion (3) Dimension 2'!D136</f>
        <v>0</v>
      </c>
      <c r="AY136" s="38"/>
      <c r="BA136" t="str">
        <f>('Inteligencia emocional'!A137)</f>
        <v>0</v>
      </c>
      <c r="BB136" s="39" t="str">
        <f>'Por Valoracion (3) Dimension'!B136</f>
        <v>0</v>
      </c>
      <c r="BC136" s="39" t="str">
        <f>'Por Valoracion (3) Dimension 2'!F136</f>
        <v>0</v>
      </c>
      <c r="BX136" s="38"/>
      <c r="BZ136" t="str">
        <f>('Inteligencia emocional'!A137)</f>
        <v>0</v>
      </c>
      <c r="CA136" s="39" t="str">
        <f>'Por Valoracion (3) Dimension'!B136</f>
        <v>0</v>
      </c>
      <c r="CB136" s="39" t="str">
        <f>'Por Valoracion (3) Dimension 2'!H136</f>
        <v>0</v>
      </c>
      <c r="CW136" s="38"/>
      <c r="CY136" s="46"/>
      <c r="DA136" t="str">
        <f>('Inteligencia emocional'!A137)</f>
        <v>0</v>
      </c>
      <c r="DB136" s="39" t="str">
        <f>'Por Valoracion (3) Dimension'!D136</f>
        <v>0</v>
      </c>
      <c r="DC136" s="39" t="str">
        <f>'Por Valoracion (3) Dimension 2'!B136</f>
        <v>0</v>
      </c>
      <c r="DX136" s="46"/>
      <c r="DZ136" t="str">
        <f>('Inteligencia emocional'!A137)</f>
        <v>0</v>
      </c>
      <c r="EA136" s="39" t="str">
        <f>'Por Valoracion (3) Dimension'!D136</f>
        <v>0</v>
      </c>
      <c r="EB136" s="39" t="str">
        <f>'Por Valoracion (3) Dimension 2'!D136</f>
        <v>0</v>
      </c>
      <c r="EW136" s="46"/>
      <c r="EY136" t="str">
        <f>('Inteligencia emocional'!A137)</f>
        <v>0</v>
      </c>
      <c r="EZ136" s="39" t="str">
        <f>'Por Valoracion (3) Dimension'!D136</f>
        <v>0</v>
      </c>
      <c r="FA136" s="39" t="str">
        <f>'Por Valoracion (3) Dimension 2'!F136</f>
        <v>0</v>
      </c>
      <c r="FV136" s="46"/>
      <c r="FX136" t="str">
        <f>('Inteligencia emocional'!A137)</f>
        <v>0</v>
      </c>
      <c r="FY136" s="39" t="str">
        <f>'Por Valoracion (3) Dimension'!D136</f>
        <v>0</v>
      </c>
      <c r="FZ136" s="39" t="str">
        <f>'Por Valoracion (3) Dimension 2'!H136</f>
        <v>0</v>
      </c>
      <c r="GU136" s="46"/>
      <c r="GW136" s="47"/>
      <c r="GY136" t="str">
        <f>('Inteligencia emocional'!A137)</f>
        <v>0</v>
      </c>
      <c r="GZ136" s="39" t="str">
        <f>'Por Valoracion (3) Dimension'!F136</f>
        <v>0</v>
      </c>
      <c r="HA136" s="39" t="str">
        <f>'Por Valoracion (3) Dimension 2'!B136</f>
        <v>0</v>
      </c>
      <c r="HV136" s="47"/>
      <c r="HX136" t="str">
        <f>('Inteligencia emocional'!A137)</f>
        <v>0</v>
      </c>
      <c r="HY136" s="39" t="str">
        <f>'Por Valoracion (3) Dimension'!F136</f>
        <v>0</v>
      </c>
      <c r="HZ136" s="39" t="str">
        <f>'Por Valoracion (3) Dimension 2'!D136</f>
        <v>0</v>
      </c>
      <c r="IU136" s="47"/>
      <c r="IW136" t="str">
        <f>('Inteligencia emocional'!A137)</f>
        <v>0</v>
      </c>
      <c r="IX136" s="39" t="str">
        <f>'Por Valoracion (3) Dimension'!F136</f>
        <v>0</v>
      </c>
      <c r="IY136" s="39" t="str">
        <f>'Por Valoracion (3) Dimension 2'!F136</f>
        <v>0</v>
      </c>
      <c r="JT136" s="47"/>
      <c r="JV136" t="str">
        <f>('Inteligencia emocional'!A137)</f>
        <v>0</v>
      </c>
      <c r="JW136" s="39" t="str">
        <f>'Por Valoracion (3) Dimension'!F136</f>
        <v>0</v>
      </c>
      <c r="JX136" s="39" t="str">
        <f>'Por Valoracion (3) Dimension 2'!H136</f>
        <v>0</v>
      </c>
      <c r="KS136" s="47"/>
    </row>
    <row r="137" spans="1:305">
      <c r="A137" s="38"/>
      <c r="C137" t="str">
        <f>('Inteligencia emocional'!A138)</f>
        <v>0</v>
      </c>
      <c r="D137" s="39" t="str">
        <f>'Por Valoracion (3) Dimension'!B137</f>
        <v>0</v>
      </c>
      <c r="E137" s="39" t="str">
        <f>'Por Valoracion (3) Dimension 2'!B137</f>
        <v>0</v>
      </c>
      <c r="Z137" s="38"/>
      <c r="AB137" t="str">
        <f>('Inteligencia emocional'!A138)</f>
        <v>0</v>
      </c>
      <c r="AC137" s="39" t="str">
        <f>'Por Valoracion (3) Dimension'!B137</f>
        <v>0</v>
      </c>
      <c r="AD137" s="39" t="str">
        <f>'Por Valoracion (3) Dimension 2'!D137</f>
        <v>0</v>
      </c>
      <c r="AY137" s="38"/>
      <c r="BA137" t="str">
        <f>('Inteligencia emocional'!A138)</f>
        <v>0</v>
      </c>
      <c r="BB137" s="39" t="str">
        <f>'Por Valoracion (3) Dimension'!B137</f>
        <v>0</v>
      </c>
      <c r="BC137" s="39" t="str">
        <f>'Por Valoracion (3) Dimension 2'!F137</f>
        <v>0</v>
      </c>
      <c r="BX137" s="38"/>
      <c r="BZ137" t="str">
        <f>('Inteligencia emocional'!A138)</f>
        <v>0</v>
      </c>
      <c r="CA137" s="39" t="str">
        <f>'Por Valoracion (3) Dimension'!B137</f>
        <v>0</v>
      </c>
      <c r="CB137" s="39" t="str">
        <f>'Por Valoracion (3) Dimension 2'!H137</f>
        <v>0</v>
      </c>
      <c r="CW137" s="38"/>
      <c r="CY137" s="46"/>
      <c r="DA137" t="str">
        <f>('Inteligencia emocional'!A138)</f>
        <v>0</v>
      </c>
      <c r="DB137" s="39" t="str">
        <f>'Por Valoracion (3) Dimension'!D137</f>
        <v>0</v>
      </c>
      <c r="DC137" s="39" t="str">
        <f>'Por Valoracion (3) Dimension 2'!B137</f>
        <v>0</v>
      </c>
      <c r="DX137" s="46"/>
      <c r="DZ137" t="str">
        <f>('Inteligencia emocional'!A138)</f>
        <v>0</v>
      </c>
      <c r="EA137" s="39" t="str">
        <f>'Por Valoracion (3) Dimension'!D137</f>
        <v>0</v>
      </c>
      <c r="EB137" s="39" t="str">
        <f>'Por Valoracion (3) Dimension 2'!D137</f>
        <v>0</v>
      </c>
      <c r="EW137" s="46"/>
      <c r="EY137" t="str">
        <f>('Inteligencia emocional'!A138)</f>
        <v>0</v>
      </c>
      <c r="EZ137" s="39" t="str">
        <f>'Por Valoracion (3) Dimension'!D137</f>
        <v>0</v>
      </c>
      <c r="FA137" s="39" t="str">
        <f>'Por Valoracion (3) Dimension 2'!F137</f>
        <v>0</v>
      </c>
      <c r="FV137" s="46"/>
      <c r="FX137" t="str">
        <f>('Inteligencia emocional'!A138)</f>
        <v>0</v>
      </c>
      <c r="FY137" s="39" t="str">
        <f>'Por Valoracion (3) Dimension'!D137</f>
        <v>0</v>
      </c>
      <c r="FZ137" s="39" t="str">
        <f>'Por Valoracion (3) Dimension 2'!H137</f>
        <v>0</v>
      </c>
      <c r="GU137" s="46"/>
      <c r="GW137" s="47"/>
      <c r="GY137" t="str">
        <f>('Inteligencia emocional'!A138)</f>
        <v>0</v>
      </c>
      <c r="GZ137" s="39" t="str">
        <f>'Por Valoracion (3) Dimension'!F137</f>
        <v>0</v>
      </c>
      <c r="HA137" s="39" t="str">
        <f>'Por Valoracion (3) Dimension 2'!B137</f>
        <v>0</v>
      </c>
      <c r="HV137" s="47"/>
      <c r="HX137" t="str">
        <f>('Inteligencia emocional'!A138)</f>
        <v>0</v>
      </c>
      <c r="HY137" s="39" t="str">
        <f>'Por Valoracion (3) Dimension'!F137</f>
        <v>0</v>
      </c>
      <c r="HZ137" s="39" t="str">
        <f>'Por Valoracion (3) Dimension 2'!D137</f>
        <v>0</v>
      </c>
      <c r="IU137" s="47"/>
      <c r="IW137" t="str">
        <f>('Inteligencia emocional'!A138)</f>
        <v>0</v>
      </c>
      <c r="IX137" s="39" t="str">
        <f>'Por Valoracion (3) Dimension'!F137</f>
        <v>0</v>
      </c>
      <c r="IY137" s="39" t="str">
        <f>'Por Valoracion (3) Dimension 2'!F137</f>
        <v>0</v>
      </c>
      <c r="JT137" s="47"/>
      <c r="JV137" t="str">
        <f>('Inteligencia emocional'!A138)</f>
        <v>0</v>
      </c>
      <c r="JW137" s="39" t="str">
        <f>'Por Valoracion (3) Dimension'!F137</f>
        <v>0</v>
      </c>
      <c r="JX137" s="39" t="str">
        <f>'Por Valoracion (3) Dimension 2'!H137</f>
        <v>0</v>
      </c>
      <c r="KS137" s="47"/>
    </row>
    <row r="138" spans="1:305">
      <c r="A138" s="38"/>
      <c r="C138" t="str">
        <f>('Inteligencia emocional'!A139)</f>
        <v>0</v>
      </c>
      <c r="D138" s="39" t="str">
        <f>'Por Valoracion (3) Dimension'!B138</f>
        <v>0</v>
      </c>
      <c r="E138" s="39" t="str">
        <f>'Por Valoracion (3) Dimension 2'!B138</f>
        <v>0</v>
      </c>
      <c r="Z138" s="38"/>
      <c r="AB138" t="str">
        <f>('Inteligencia emocional'!A139)</f>
        <v>0</v>
      </c>
      <c r="AC138" s="39" t="str">
        <f>'Por Valoracion (3) Dimension'!B138</f>
        <v>0</v>
      </c>
      <c r="AD138" s="39" t="str">
        <f>'Por Valoracion (3) Dimension 2'!D138</f>
        <v>0</v>
      </c>
      <c r="AY138" s="38"/>
      <c r="BA138" t="str">
        <f>('Inteligencia emocional'!A139)</f>
        <v>0</v>
      </c>
      <c r="BB138" s="39" t="str">
        <f>'Por Valoracion (3) Dimension'!B138</f>
        <v>0</v>
      </c>
      <c r="BC138" s="39" t="str">
        <f>'Por Valoracion (3) Dimension 2'!F138</f>
        <v>0</v>
      </c>
      <c r="BX138" s="38"/>
      <c r="BZ138" t="str">
        <f>('Inteligencia emocional'!A139)</f>
        <v>0</v>
      </c>
      <c r="CA138" s="39" t="str">
        <f>'Por Valoracion (3) Dimension'!B138</f>
        <v>0</v>
      </c>
      <c r="CB138" s="39" t="str">
        <f>'Por Valoracion (3) Dimension 2'!H138</f>
        <v>0</v>
      </c>
      <c r="CW138" s="38"/>
      <c r="CY138" s="46"/>
      <c r="DA138" t="str">
        <f>('Inteligencia emocional'!A139)</f>
        <v>0</v>
      </c>
      <c r="DB138" s="39" t="str">
        <f>'Por Valoracion (3) Dimension'!D138</f>
        <v>0</v>
      </c>
      <c r="DC138" s="39" t="str">
        <f>'Por Valoracion (3) Dimension 2'!B138</f>
        <v>0</v>
      </c>
      <c r="DX138" s="46"/>
      <c r="DZ138" t="str">
        <f>('Inteligencia emocional'!A139)</f>
        <v>0</v>
      </c>
      <c r="EA138" s="39" t="str">
        <f>'Por Valoracion (3) Dimension'!D138</f>
        <v>0</v>
      </c>
      <c r="EB138" s="39" t="str">
        <f>'Por Valoracion (3) Dimension 2'!D138</f>
        <v>0</v>
      </c>
      <c r="EW138" s="46"/>
      <c r="EY138" t="str">
        <f>('Inteligencia emocional'!A139)</f>
        <v>0</v>
      </c>
      <c r="EZ138" s="39" t="str">
        <f>'Por Valoracion (3) Dimension'!D138</f>
        <v>0</v>
      </c>
      <c r="FA138" s="39" t="str">
        <f>'Por Valoracion (3) Dimension 2'!F138</f>
        <v>0</v>
      </c>
      <c r="FV138" s="46"/>
      <c r="FX138" t="str">
        <f>('Inteligencia emocional'!A139)</f>
        <v>0</v>
      </c>
      <c r="FY138" s="39" t="str">
        <f>'Por Valoracion (3) Dimension'!D138</f>
        <v>0</v>
      </c>
      <c r="FZ138" s="39" t="str">
        <f>'Por Valoracion (3) Dimension 2'!H138</f>
        <v>0</v>
      </c>
      <c r="GU138" s="46"/>
      <c r="GW138" s="47"/>
      <c r="GY138" t="str">
        <f>('Inteligencia emocional'!A139)</f>
        <v>0</v>
      </c>
      <c r="GZ138" s="39" t="str">
        <f>'Por Valoracion (3) Dimension'!F138</f>
        <v>0</v>
      </c>
      <c r="HA138" s="39" t="str">
        <f>'Por Valoracion (3) Dimension 2'!B138</f>
        <v>0</v>
      </c>
      <c r="HV138" s="47"/>
      <c r="HX138" t="str">
        <f>('Inteligencia emocional'!A139)</f>
        <v>0</v>
      </c>
      <c r="HY138" s="39" t="str">
        <f>'Por Valoracion (3) Dimension'!F138</f>
        <v>0</v>
      </c>
      <c r="HZ138" s="39" t="str">
        <f>'Por Valoracion (3) Dimension 2'!D138</f>
        <v>0</v>
      </c>
      <c r="IU138" s="47"/>
      <c r="IW138" t="str">
        <f>('Inteligencia emocional'!A139)</f>
        <v>0</v>
      </c>
      <c r="IX138" s="39" t="str">
        <f>'Por Valoracion (3) Dimension'!F138</f>
        <v>0</v>
      </c>
      <c r="IY138" s="39" t="str">
        <f>'Por Valoracion (3) Dimension 2'!F138</f>
        <v>0</v>
      </c>
      <c r="JT138" s="47"/>
      <c r="JV138" t="str">
        <f>('Inteligencia emocional'!A139)</f>
        <v>0</v>
      </c>
      <c r="JW138" s="39" t="str">
        <f>'Por Valoracion (3) Dimension'!F138</f>
        <v>0</v>
      </c>
      <c r="JX138" s="39" t="str">
        <f>'Por Valoracion (3) Dimension 2'!H138</f>
        <v>0</v>
      </c>
      <c r="KS138" s="47"/>
    </row>
    <row r="139" spans="1:305">
      <c r="A139" s="38"/>
      <c r="C139" t="str">
        <f>('Inteligencia emocional'!A140)</f>
        <v>0</v>
      </c>
      <c r="D139" s="39" t="str">
        <f>'Por Valoracion (3) Dimension'!B139</f>
        <v>0</v>
      </c>
      <c r="E139" s="39" t="str">
        <f>'Por Valoracion (3) Dimension 2'!B139</f>
        <v>0</v>
      </c>
      <c r="Z139" s="38"/>
      <c r="AB139" t="str">
        <f>('Inteligencia emocional'!A140)</f>
        <v>0</v>
      </c>
      <c r="AC139" s="39" t="str">
        <f>'Por Valoracion (3) Dimension'!B139</f>
        <v>0</v>
      </c>
      <c r="AD139" s="39" t="str">
        <f>'Por Valoracion (3) Dimension 2'!D139</f>
        <v>0</v>
      </c>
      <c r="AY139" s="38"/>
      <c r="BA139" t="str">
        <f>('Inteligencia emocional'!A140)</f>
        <v>0</v>
      </c>
      <c r="BB139" s="39" t="str">
        <f>'Por Valoracion (3) Dimension'!B139</f>
        <v>0</v>
      </c>
      <c r="BC139" s="39" t="str">
        <f>'Por Valoracion (3) Dimension 2'!F139</f>
        <v>0</v>
      </c>
      <c r="BX139" s="38"/>
      <c r="BZ139" t="str">
        <f>('Inteligencia emocional'!A140)</f>
        <v>0</v>
      </c>
      <c r="CA139" s="39" t="str">
        <f>'Por Valoracion (3) Dimension'!B139</f>
        <v>0</v>
      </c>
      <c r="CB139" s="39" t="str">
        <f>'Por Valoracion (3) Dimension 2'!H139</f>
        <v>0</v>
      </c>
      <c r="CW139" s="38"/>
      <c r="CY139" s="46"/>
      <c r="DA139" t="str">
        <f>('Inteligencia emocional'!A140)</f>
        <v>0</v>
      </c>
      <c r="DB139" s="39" t="str">
        <f>'Por Valoracion (3) Dimension'!D139</f>
        <v>0</v>
      </c>
      <c r="DC139" s="39" t="str">
        <f>'Por Valoracion (3) Dimension 2'!B139</f>
        <v>0</v>
      </c>
      <c r="DX139" s="46"/>
      <c r="DZ139" t="str">
        <f>('Inteligencia emocional'!A140)</f>
        <v>0</v>
      </c>
      <c r="EA139" s="39" t="str">
        <f>'Por Valoracion (3) Dimension'!D139</f>
        <v>0</v>
      </c>
      <c r="EB139" s="39" t="str">
        <f>'Por Valoracion (3) Dimension 2'!D139</f>
        <v>0</v>
      </c>
      <c r="EW139" s="46"/>
      <c r="EY139" t="str">
        <f>('Inteligencia emocional'!A140)</f>
        <v>0</v>
      </c>
      <c r="EZ139" s="39" t="str">
        <f>'Por Valoracion (3) Dimension'!D139</f>
        <v>0</v>
      </c>
      <c r="FA139" s="39" t="str">
        <f>'Por Valoracion (3) Dimension 2'!F139</f>
        <v>0</v>
      </c>
      <c r="FV139" s="46"/>
      <c r="FX139" t="str">
        <f>('Inteligencia emocional'!A140)</f>
        <v>0</v>
      </c>
      <c r="FY139" s="39" t="str">
        <f>'Por Valoracion (3) Dimension'!D139</f>
        <v>0</v>
      </c>
      <c r="FZ139" s="39" t="str">
        <f>'Por Valoracion (3) Dimension 2'!H139</f>
        <v>0</v>
      </c>
      <c r="GU139" s="46"/>
      <c r="GW139" s="47"/>
      <c r="GY139" t="str">
        <f>('Inteligencia emocional'!A140)</f>
        <v>0</v>
      </c>
      <c r="GZ139" s="39" t="str">
        <f>'Por Valoracion (3) Dimension'!F139</f>
        <v>0</v>
      </c>
      <c r="HA139" s="39" t="str">
        <f>'Por Valoracion (3) Dimension 2'!B139</f>
        <v>0</v>
      </c>
      <c r="HV139" s="47"/>
      <c r="HX139" t="str">
        <f>('Inteligencia emocional'!A140)</f>
        <v>0</v>
      </c>
      <c r="HY139" s="39" t="str">
        <f>'Por Valoracion (3) Dimension'!F139</f>
        <v>0</v>
      </c>
      <c r="HZ139" s="39" t="str">
        <f>'Por Valoracion (3) Dimension 2'!D139</f>
        <v>0</v>
      </c>
      <c r="IU139" s="47"/>
      <c r="IW139" t="str">
        <f>('Inteligencia emocional'!A140)</f>
        <v>0</v>
      </c>
      <c r="IX139" s="39" t="str">
        <f>'Por Valoracion (3) Dimension'!F139</f>
        <v>0</v>
      </c>
      <c r="IY139" s="39" t="str">
        <f>'Por Valoracion (3) Dimension 2'!F139</f>
        <v>0</v>
      </c>
      <c r="JT139" s="47"/>
      <c r="JV139" t="str">
        <f>('Inteligencia emocional'!A140)</f>
        <v>0</v>
      </c>
      <c r="JW139" s="39" t="str">
        <f>'Por Valoracion (3) Dimension'!F139</f>
        <v>0</v>
      </c>
      <c r="JX139" s="39" t="str">
        <f>'Por Valoracion (3) Dimension 2'!H139</f>
        <v>0</v>
      </c>
      <c r="KS139" s="47"/>
    </row>
    <row r="140" spans="1:305">
      <c r="A140" s="38"/>
      <c r="C140" t="str">
        <f>('Inteligencia emocional'!A141)</f>
        <v>0</v>
      </c>
      <c r="D140" s="39" t="str">
        <f>'Por Valoracion (3) Dimension'!B140</f>
        <v>0</v>
      </c>
      <c r="E140" s="39" t="str">
        <f>'Por Valoracion (3) Dimension 2'!B140</f>
        <v>0</v>
      </c>
      <c r="Z140" s="38"/>
      <c r="AB140" t="str">
        <f>('Inteligencia emocional'!A141)</f>
        <v>0</v>
      </c>
      <c r="AC140" s="39" t="str">
        <f>'Por Valoracion (3) Dimension'!B140</f>
        <v>0</v>
      </c>
      <c r="AD140" s="39" t="str">
        <f>'Por Valoracion (3) Dimension 2'!D140</f>
        <v>0</v>
      </c>
      <c r="AY140" s="38"/>
      <c r="BA140" t="str">
        <f>('Inteligencia emocional'!A141)</f>
        <v>0</v>
      </c>
      <c r="BB140" s="39" t="str">
        <f>'Por Valoracion (3) Dimension'!B140</f>
        <v>0</v>
      </c>
      <c r="BC140" s="39" t="str">
        <f>'Por Valoracion (3) Dimension 2'!F140</f>
        <v>0</v>
      </c>
      <c r="BX140" s="38"/>
      <c r="BZ140" t="str">
        <f>('Inteligencia emocional'!A141)</f>
        <v>0</v>
      </c>
      <c r="CA140" s="39" t="str">
        <f>'Por Valoracion (3) Dimension'!B140</f>
        <v>0</v>
      </c>
      <c r="CB140" s="39" t="str">
        <f>'Por Valoracion (3) Dimension 2'!H140</f>
        <v>0</v>
      </c>
      <c r="CW140" s="38"/>
      <c r="CY140" s="46"/>
      <c r="DA140" t="str">
        <f>('Inteligencia emocional'!A141)</f>
        <v>0</v>
      </c>
      <c r="DB140" s="39" t="str">
        <f>'Por Valoracion (3) Dimension'!D140</f>
        <v>0</v>
      </c>
      <c r="DC140" s="39" t="str">
        <f>'Por Valoracion (3) Dimension 2'!B140</f>
        <v>0</v>
      </c>
      <c r="DX140" s="46"/>
      <c r="DZ140" t="str">
        <f>('Inteligencia emocional'!A141)</f>
        <v>0</v>
      </c>
      <c r="EA140" s="39" t="str">
        <f>'Por Valoracion (3) Dimension'!D140</f>
        <v>0</v>
      </c>
      <c r="EB140" s="39" t="str">
        <f>'Por Valoracion (3) Dimension 2'!D140</f>
        <v>0</v>
      </c>
      <c r="EW140" s="46"/>
      <c r="EY140" t="str">
        <f>('Inteligencia emocional'!A141)</f>
        <v>0</v>
      </c>
      <c r="EZ140" s="39" t="str">
        <f>'Por Valoracion (3) Dimension'!D140</f>
        <v>0</v>
      </c>
      <c r="FA140" s="39" t="str">
        <f>'Por Valoracion (3) Dimension 2'!F140</f>
        <v>0</v>
      </c>
      <c r="FV140" s="46"/>
      <c r="FX140" t="str">
        <f>('Inteligencia emocional'!A141)</f>
        <v>0</v>
      </c>
      <c r="FY140" s="39" t="str">
        <f>'Por Valoracion (3) Dimension'!D140</f>
        <v>0</v>
      </c>
      <c r="FZ140" s="39" t="str">
        <f>'Por Valoracion (3) Dimension 2'!H140</f>
        <v>0</v>
      </c>
      <c r="GU140" s="46"/>
      <c r="GW140" s="47"/>
      <c r="GY140" t="str">
        <f>('Inteligencia emocional'!A141)</f>
        <v>0</v>
      </c>
      <c r="GZ140" s="39" t="str">
        <f>'Por Valoracion (3) Dimension'!F140</f>
        <v>0</v>
      </c>
      <c r="HA140" s="39" t="str">
        <f>'Por Valoracion (3) Dimension 2'!B140</f>
        <v>0</v>
      </c>
      <c r="HV140" s="47"/>
      <c r="HX140" t="str">
        <f>('Inteligencia emocional'!A141)</f>
        <v>0</v>
      </c>
      <c r="HY140" s="39" t="str">
        <f>'Por Valoracion (3) Dimension'!F140</f>
        <v>0</v>
      </c>
      <c r="HZ140" s="39" t="str">
        <f>'Por Valoracion (3) Dimension 2'!D140</f>
        <v>0</v>
      </c>
      <c r="IU140" s="47"/>
      <c r="IW140" t="str">
        <f>('Inteligencia emocional'!A141)</f>
        <v>0</v>
      </c>
      <c r="IX140" s="39" t="str">
        <f>'Por Valoracion (3) Dimension'!F140</f>
        <v>0</v>
      </c>
      <c r="IY140" s="39" t="str">
        <f>'Por Valoracion (3) Dimension 2'!F140</f>
        <v>0</v>
      </c>
      <c r="JT140" s="47"/>
      <c r="JV140" t="str">
        <f>('Inteligencia emocional'!A141)</f>
        <v>0</v>
      </c>
      <c r="JW140" s="39" t="str">
        <f>'Por Valoracion (3) Dimension'!F140</f>
        <v>0</v>
      </c>
      <c r="JX140" s="39" t="str">
        <f>'Por Valoracion (3) Dimension 2'!H140</f>
        <v>0</v>
      </c>
      <c r="KS140" s="47"/>
    </row>
    <row r="141" spans="1:305">
      <c r="A141" s="38"/>
      <c r="C141" t="str">
        <f>('Inteligencia emocional'!A142)</f>
        <v>0</v>
      </c>
      <c r="D141" s="39" t="str">
        <f>'Por Valoracion (3) Dimension'!B141</f>
        <v>0</v>
      </c>
      <c r="E141" s="39" t="str">
        <f>'Por Valoracion (3) Dimension 2'!B141</f>
        <v>0</v>
      </c>
      <c r="Z141" s="38"/>
      <c r="AB141" t="str">
        <f>('Inteligencia emocional'!A142)</f>
        <v>0</v>
      </c>
      <c r="AC141" s="39" t="str">
        <f>'Por Valoracion (3) Dimension'!B141</f>
        <v>0</v>
      </c>
      <c r="AD141" s="39" t="str">
        <f>'Por Valoracion (3) Dimension 2'!D141</f>
        <v>0</v>
      </c>
      <c r="AY141" s="38"/>
      <c r="BA141" t="str">
        <f>('Inteligencia emocional'!A142)</f>
        <v>0</v>
      </c>
      <c r="BB141" s="39" t="str">
        <f>'Por Valoracion (3) Dimension'!B141</f>
        <v>0</v>
      </c>
      <c r="BC141" s="39" t="str">
        <f>'Por Valoracion (3) Dimension 2'!F141</f>
        <v>0</v>
      </c>
      <c r="BX141" s="38"/>
      <c r="BZ141" t="str">
        <f>('Inteligencia emocional'!A142)</f>
        <v>0</v>
      </c>
      <c r="CA141" s="39" t="str">
        <f>'Por Valoracion (3) Dimension'!B141</f>
        <v>0</v>
      </c>
      <c r="CB141" s="39" t="str">
        <f>'Por Valoracion (3) Dimension 2'!H141</f>
        <v>0</v>
      </c>
      <c r="CW141" s="38"/>
      <c r="CY141" s="46"/>
      <c r="DA141" t="str">
        <f>('Inteligencia emocional'!A142)</f>
        <v>0</v>
      </c>
      <c r="DB141" s="39" t="str">
        <f>'Por Valoracion (3) Dimension'!D141</f>
        <v>0</v>
      </c>
      <c r="DC141" s="39" t="str">
        <f>'Por Valoracion (3) Dimension 2'!B141</f>
        <v>0</v>
      </c>
      <c r="DX141" s="46"/>
      <c r="DZ141" t="str">
        <f>('Inteligencia emocional'!A142)</f>
        <v>0</v>
      </c>
      <c r="EA141" s="39" t="str">
        <f>'Por Valoracion (3) Dimension'!D141</f>
        <v>0</v>
      </c>
      <c r="EB141" s="39" t="str">
        <f>'Por Valoracion (3) Dimension 2'!D141</f>
        <v>0</v>
      </c>
      <c r="EW141" s="46"/>
      <c r="EY141" t="str">
        <f>('Inteligencia emocional'!A142)</f>
        <v>0</v>
      </c>
      <c r="EZ141" s="39" t="str">
        <f>'Por Valoracion (3) Dimension'!D141</f>
        <v>0</v>
      </c>
      <c r="FA141" s="39" t="str">
        <f>'Por Valoracion (3) Dimension 2'!F141</f>
        <v>0</v>
      </c>
      <c r="FV141" s="46"/>
      <c r="FX141" t="str">
        <f>('Inteligencia emocional'!A142)</f>
        <v>0</v>
      </c>
      <c r="FY141" s="39" t="str">
        <f>'Por Valoracion (3) Dimension'!D141</f>
        <v>0</v>
      </c>
      <c r="FZ141" s="39" t="str">
        <f>'Por Valoracion (3) Dimension 2'!H141</f>
        <v>0</v>
      </c>
      <c r="GU141" s="46"/>
      <c r="GW141" s="47"/>
      <c r="GY141" t="str">
        <f>('Inteligencia emocional'!A142)</f>
        <v>0</v>
      </c>
      <c r="GZ141" s="39" t="str">
        <f>'Por Valoracion (3) Dimension'!F141</f>
        <v>0</v>
      </c>
      <c r="HA141" s="39" t="str">
        <f>'Por Valoracion (3) Dimension 2'!B141</f>
        <v>0</v>
      </c>
      <c r="HV141" s="47"/>
      <c r="HX141" t="str">
        <f>('Inteligencia emocional'!A142)</f>
        <v>0</v>
      </c>
      <c r="HY141" s="39" t="str">
        <f>'Por Valoracion (3) Dimension'!F141</f>
        <v>0</v>
      </c>
      <c r="HZ141" s="39" t="str">
        <f>'Por Valoracion (3) Dimension 2'!D141</f>
        <v>0</v>
      </c>
      <c r="IU141" s="47"/>
      <c r="IW141" t="str">
        <f>('Inteligencia emocional'!A142)</f>
        <v>0</v>
      </c>
      <c r="IX141" s="39" t="str">
        <f>'Por Valoracion (3) Dimension'!F141</f>
        <v>0</v>
      </c>
      <c r="IY141" s="39" t="str">
        <f>'Por Valoracion (3) Dimension 2'!F141</f>
        <v>0</v>
      </c>
      <c r="JT141" s="47"/>
      <c r="JV141" t="str">
        <f>('Inteligencia emocional'!A142)</f>
        <v>0</v>
      </c>
      <c r="JW141" s="39" t="str">
        <f>'Por Valoracion (3) Dimension'!F141</f>
        <v>0</v>
      </c>
      <c r="JX141" s="39" t="str">
        <f>'Por Valoracion (3) Dimension 2'!H141</f>
        <v>0</v>
      </c>
      <c r="KS141" s="47"/>
    </row>
    <row r="142" spans="1:305">
      <c r="A142" s="38"/>
      <c r="C142" t="str">
        <f>('Inteligencia emocional'!A143)</f>
        <v>0</v>
      </c>
      <c r="D142" s="39" t="str">
        <f>'Por Valoracion (3) Dimension'!B142</f>
        <v>0</v>
      </c>
      <c r="E142" s="39" t="str">
        <f>'Por Valoracion (3) Dimension 2'!B142</f>
        <v>0</v>
      </c>
      <c r="Z142" s="38"/>
      <c r="AB142" t="str">
        <f>('Inteligencia emocional'!A143)</f>
        <v>0</v>
      </c>
      <c r="AC142" s="39" t="str">
        <f>'Por Valoracion (3) Dimension'!B142</f>
        <v>0</v>
      </c>
      <c r="AD142" s="39" t="str">
        <f>'Por Valoracion (3) Dimension 2'!D142</f>
        <v>0</v>
      </c>
      <c r="AY142" s="38"/>
      <c r="BA142" t="str">
        <f>('Inteligencia emocional'!A143)</f>
        <v>0</v>
      </c>
      <c r="BB142" s="39" t="str">
        <f>'Por Valoracion (3) Dimension'!B142</f>
        <v>0</v>
      </c>
      <c r="BC142" s="39" t="str">
        <f>'Por Valoracion (3) Dimension 2'!F142</f>
        <v>0</v>
      </c>
      <c r="BX142" s="38"/>
      <c r="BZ142" t="str">
        <f>('Inteligencia emocional'!A143)</f>
        <v>0</v>
      </c>
      <c r="CA142" s="39" t="str">
        <f>'Por Valoracion (3) Dimension'!B142</f>
        <v>0</v>
      </c>
      <c r="CB142" s="39" t="str">
        <f>'Por Valoracion (3) Dimension 2'!H142</f>
        <v>0</v>
      </c>
      <c r="CW142" s="38"/>
      <c r="CY142" s="46"/>
      <c r="DA142" t="str">
        <f>('Inteligencia emocional'!A143)</f>
        <v>0</v>
      </c>
      <c r="DB142" s="39" t="str">
        <f>'Por Valoracion (3) Dimension'!D142</f>
        <v>0</v>
      </c>
      <c r="DC142" s="39" t="str">
        <f>'Por Valoracion (3) Dimension 2'!B142</f>
        <v>0</v>
      </c>
      <c r="DX142" s="46"/>
      <c r="DZ142" t="str">
        <f>('Inteligencia emocional'!A143)</f>
        <v>0</v>
      </c>
      <c r="EA142" s="39" t="str">
        <f>'Por Valoracion (3) Dimension'!D142</f>
        <v>0</v>
      </c>
      <c r="EB142" s="39" t="str">
        <f>'Por Valoracion (3) Dimension 2'!D142</f>
        <v>0</v>
      </c>
      <c r="EW142" s="46"/>
      <c r="EY142" t="str">
        <f>('Inteligencia emocional'!A143)</f>
        <v>0</v>
      </c>
      <c r="EZ142" s="39" t="str">
        <f>'Por Valoracion (3) Dimension'!D142</f>
        <v>0</v>
      </c>
      <c r="FA142" s="39" t="str">
        <f>'Por Valoracion (3) Dimension 2'!F142</f>
        <v>0</v>
      </c>
      <c r="FV142" s="46"/>
      <c r="FX142" t="str">
        <f>('Inteligencia emocional'!A143)</f>
        <v>0</v>
      </c>
      <c r="FY142" s="39" t="str">
        <f>'Por Valoracion (3) Dimension'!D142</f>
        <v>0</v>
      </c>
      <c r="FZ142" s="39" t="str">
        <f>'Por Valoracion (3) Dimension 2'!H142</f>
        <v>0</v>
      </c>
      <c r="GU142" s="46"/>
      <c r="GW142" s="47"/>
      <c r="GY142" t="str">
        <f>('Inteligencia emocional'!A143)</f>
        <v>0</v>
      </c>
      <c r="GZ142" s="39" t="str">
        <f>'Por Valoracion (3) Dimension'!F142</f>
        <v>0</v>
      </c>
      <c r="HA142" s="39" t="str">
        <f>'Por Valoracion (3) Dimension 2'!B142</f>
        <v>0</v>
      </c>
      <c r="HV142" s="47"/>
      <c r="HX142" t="str">
        <f>('Inteligencia emocional'!A143)</f>
        <v>0</v>
      </c>
      <c r="HY142" s="39" t="str">
        <f>'Por Valoracion (3) Dimension'!F142</f>
        <v>0</v>
      </c>
      <c r="HZ142" s="39" t="str">
        <f>'Por Valoracion (3) Dimension 2'!D142</f>
        <v>0</v>
      </c>
      <c r="IU142" s="47"/>
      <c r="IW142" t="str">
        <f>('Inteligencia emocional'!A143)</f>
        <v>0</v>
      </c>
      <c r="IX142" s="39" t="str">
        <f>'Por Valoracion (3) Dimension'!F142</f>
        <v>0</v>
      </c>
      <c r="IY142" s="39" t="str">
        <f>'Por Valoracion (3) Dimension 2'!F142</f>
        <v>0</v>
      </c>
      <c r="JT142" s="47"/>
      <c r="JV142" t="str">
        <f>('Inteligencia emocional'!A143)</f>
        <v>0</v>
      </c>
      <c r="JW142" s="39" t="str">
        <f>'Por Valoracion (3) Dimension'!F142</f>
        <v>0</v>
      </c>
      <c r="JX142" s="39" t="str">
        <f>'Por Valoracion (3) Dimension 2'!H142</f>
        <v>0</v>
      </c>
      <c r="KS142" s="47"/>
    </row>
    <row r="143" spans="1:305">
      <c r="A143" s="38"/>
      <c r="C143" t="str">
        <f>('Inteligencia emocional'!A144)</f>
        <v>0</v>
      </c>
      <c r="D143" s="39" t="str">
        <f>'Por Valoracion (3) Dimension'!B143</f>
        <v>0</v>
      </c>
      <c r="E143" s="39" t="str">
        <f>'Por Valoracion (3) Dimension 2'!B143</f>
        <v>0</v>
      </c>
      <c r="Z143" s="38"/>
      <c r="AB143" t="str">
        <f>('Inteligencia emocional'!A144)</f>
        <v>0</v>
      </c>
      <c r="AC143" s="39" t="str">
        <f>'Por Valoracion (3) Dimension'!B143</f>
        <v>0</v>
      </c>
      <c r="AD143" s="39" t="str">
        <f>'Por Valoracion (3) Dimension 2'!D143</f>
        <v>0</v>
      </c>
      <c r="AY143" s="38"/>
      <c r="BA143" t="str">
        <f>('Inteligencia emocional'!A144)</f>
        <v>0</v>
      </c>
      <c r="BB143" s="39" t="str">
        <f>'Por Valoracion (3) Dimension'!B143</f>
        <v>0</v>
      </c>
      <c r="BC143" s="39" t="str">
        <f>'Por Valoracion (3) Dimension 2'!F143</f>
        <v>0</v>
      </c>
      <c r="BX143" s="38"/>
      <c r="BZ143" t="str">
        <f>('Inteligencia emocional'!A144)</f>
        <v>0</v>
      </c>
      <c r="CA143" s="39" t="str">
        <f>'Por Valoracion (3) Dimension'!B143</f>
        <v>0</v>
      </c>
      <c r="CB143" s="39" t="str">
        <f>'Por Valoracion (3) Dimension 2'!H143</f>
        <v>0</v>
      </c>
      <c r="CW143" s="38"/>
      <c r="CY143" s="46"/>
      <c r="DA143" t="str">
        <f>('Inteligencia emocional'!A144)</f>
        <v>0</v>
      </c>
      <c r="DB143" s="39" t="str">
        <f>'Por Valoracion (3) Dimension'!D143</f>
        <v>0</v>
      </c>
      <c r="DC143" s="39" t="str">
        <f>'Por Valoracion (3) Dimension 2'!B143</f>
        <v>0</v>
      </c>
      <c r="DX143" s="46"/>
      <c r="DZ143" t="str">
        <f>('Inteligencia emocional'!A144)</f>
        <v>0</v>
      </c>
      <c r="EA143" s="39" t="str">
        <f>'Por Valoracion (3) Dimension'!D143</f>
        <v>0</v>
      </c>
      <c r="EB143" s="39" t="str">
        <f>'Por Valoracion (3) Dimension 2'!D143</f>
        <v>0</v>
      </c>
      <c r="EW143" s="46"/>
      <c r="EY143" t="str">
        <f>('Inteligencia emocional'!A144)</f>
        <v>0</v>
      </c>
      <c r="EZ143" s="39" t="str">
        <f>'Por Valoracion (3) Dimension'!D143</f>
        <v>0</v>
      </c>
      <c r="FA143" s="39" t="str">
        <f>'Por Valoracion (3) Dimension 2'!F143</f>
        <v>0</v>
      </c>
      <c r="FV143" s="46"/>
      <c r="FX143" t="str">
        <f>('Inteligencia emocional'!A144)</f>
        <v>0</v>
      </c>
      <c r="FY143" s="39" t="str">
        <f>'Por Valoracion (3) Dimension'!D143</f>
        <v>0</v>
      </c>
      <c r="FZ143" s="39" t="str">
        <f>'Por Valoracion (3) Dimension 2'!H143</f>
        <v>0</v>
      </c>
      <c r="GU143" s="46"/>
      <c r="GW143" s="47"/>
      <c r="GY143" t="str">
        <f>('Inteligencia emocional'!A144)</f>
        <v>0</v>
      </c>
      <c r="GZ143" s="39" t="str">
        <f>'Por Valoracion (3) Dimension'!F143</f>
        <v>0</v>
      </c>
      <c r="HA143" s="39" t="str">
        <f>'Por Valoracion (3) Dimension 2'!B143</f>
        <v>0</v>
      </c>
      <c r="HV143" s="47"/>
      <c r="HX143" t="str">
        <f>('Inteligencia emocional'!A144)</f>
        <v>0</v>
      </c>
      <c r="HY143" s="39" t="str">
        <f>'Por Valoracion (3) Dimension'!F143</f>
        <v>0</v>
      </c>
      <c r="HZ143" s="39" t="str">
        <f>'Por Valoracion (3) Dimension 2'!D143</f>
        <v>0</v>
      </c>
      <c r="IU143" s="47"/>
      <c r="IW143" t="str">
        <f>('Inteligencia emocional'!A144)</f>
        <v>0</v>
      </c>
      <c r="IX143" s="39" t="str">
        <f>'Por Valoracion (3) Dimension'!F143</f>
        <v>0</v>
      </c>
      <c r="IY143" s="39" t="str">
        <f>'Por Valoracion (3) Dimension 2'!F143</f>
        <v>0</v>
      </c>
      <c r="JT143" s="47"/>
      <c r="JV143" t="str">
        <f>('Inteligencia emocional'!A144)</f>
        <v>0</v>
      </c>
      <c r="JW143" s="39" t="str">
        <f>'Por Valoracion (3) Dimension'!F143</f>
        <v>0</v>
      </c>
      <c r="JX143" s="39" t="str">
        <f>'Por Valoracion (3) Dimension 2'!H143</f>
        <v>0</v>
      </c>
      <c r="KS143" s="47"/>
    </row>
    <row r="144" spans="1:305">
      <c r="A144" s="38"/>
      <c r="C144" t="str">
        <f>('Inteligencia emocional'!A145)</f>
        <v>0</v>
      </c>
      <c r="D144" s="39" t="str">
        <f>'Por Valoracion (3) Dimension'!B144</f>
        <v>0</v>
      </c>
      <c r="E144" s="39" t="str">
        <f>'Por Valoracion (3) Dimension 2'!B144</f>
        <v>0</v>
      </c>
      <c r="Z144" s="38"/>
      <c r="AB144" t="str">
        <f>('Inteligencia emocional'!A145)</f>
        <v>0</v>
      </c>
      <c r="AC144" s="39" t="str">
        <f>'Por Valoracion (3) Dimension'!B144</f>
        <v>0</v>
      </c>
      <c r="AD144" s="39" t="str">
        <f>'Por Valoracion (3) Dimension 2'!D144</f>
        <v>0</v>
      </c>
      <c r="AY144" s="38"/>
      <c r="BA144" t="str">
        <f>('Inteligencia emocional'!A145)</f>
        <v>0</v>
      </c>
      <c r="BB144" s="39" t="str">
        <f>'Por Valoracion (3) Dimension'!B144</f>
        <v>0</v>
      </c>
      <c r="BC144" s="39" t="str">
        <f>'Por Valoracion (3) Dimension 2'!F144</f>
        <v>0</v>
      </c>
      <c r="BX144" s="38"/>
      <c r="BZ144" t="str">
        <f>('Inteligencia emocional'!A145)</f>
        <v>0</v>
      </c>
      <c r="CA144" s="39" t="str">
        <f>'Por Valoracion (3) Dimension'!B144</f>
        <v>0</v>
      </c>
      <c r="CB144" s="39" t="str">
        <f>'Por Valoracion (3) Dimension 2'!H144</f>
        <v>0</v>
      </c>
      <c r="CW144" s="38"/>
      <c r="CY144" s="46"/>
      <c r="DA144" t="str">
        <f>('Inteligencia emocional'!A145)</f>
        <v>0</v>
      </c>
      <c r="DB144" s="39" t="str">
        <f>'Por Valoracion (3) Dimension'!D144</f>
        <v>0</v>
      </c>
      <c r="DC144" s="39" t="str">
        <f>'Por Valoracion (3) Dimension 2'!B144</f>
        <v>0</v>
      </c>
      <c r="DX144" s="46"/>
      <c r="DZ144" t="str">
        <f>('Inteligencia emocional'!A145)</f>
        <v>0</v>
      </c>
      <c r="EA144" s="39" t="str">
        <f>'Por Valoracion (3) Dimension'!D144</f>
        <v>0</v>
      </c>
      <c r="EB144" s="39" t="str">
        <f>'Por Valoracion (3) Dimension 2'!D144</f>
        <v>0</v>
      </c>
      <c r="EW144" s="46"/>
      <c r="EY144" t="str">
        <f>('Inteligencia emocional'!A145)</f>
        <v>0</v>
      </c>
      <c r="EZ144" s="39" t="str">
        <f>'Por Valoracion (3) Dimension'!D144</f>
        <v>0</v>
      </c>
      <c r="FA144" s="39" t="str">
        <f>'Por Valoracion (3) Dimension 2'!F144</f>
        <v>0</v>
      </c>
      <c r="FV144" s="46"/>
      <c r="FX144" t="str">
        <f>('Inteligencia emocional'!A145)</f>
        <v>0</v>
      </c>
      <c r="FY144" s="39" t="str">
        <f>'Por Valoracion (3) Dimension'!D144</f>
        <v>0</v>
      </c>
      <c r="FZ144" s="39" t="str">
        <f>'Por Valoracion (3) Dimension 2'!H144</f>
        <v>0</v>
      </c>
      <c r="GU144" s="46"/>
      <c r="GW144" s="47"/>
      <c r="GY144" t="str">
        <f>('Inteligencia emocional'!A145)</f>
        <v>0</v>
      </c>
      <c r="GZ144" s="39" t="str">
        <f>'Por Valoracion (3) Dimension'!F144</f>
        <v>0</v>
      </c>
      <c r="HA144" s="39" t="str">
        <f>'Por Valoracion (3) Dimension 2'!B144</f>
        <v>0</v>
      </c>
      <c r="HV144" s="47"/>
      <c r="HX144" t="str">
        <f>('Inteligencia emocional'!A145)</f>
        <v>0</v>
      </c>
      <c r="HY144" s="39" t="str">
        <f>'Por Valoracion (3) Dimension'!F144</f>
        <v>0</v>
      </c>
      <c r="HZ144" s="39" t="str">
        <f>'Por Valoracion (3) Dimension 2'!D144</f>
        <v>0</v>
      </c>
      <c r="IU144" s="47"/>
      <c r="IW144" t="str">
        <f>('Inteligencia emocional'!A145)</f>
        <v>0</v>
      </c>
      <c r="IX144" s="39" t="str">
        <f>'Por Valoracion (3) Dimension'!F144</f>
        <v>0</v>
      </c>
      <c r="IY144" s="39" t="str">
        <f>'Por Valoracion (3) Dimension 2'!F144</f>
        <v>0</v>
      </c>
      <c r="JT144" s="47"/>
      <c r="JV144" t="str">
        <f>('Inteligencia emocional'!A145)</f>
        <v>0</v>
      </c>
      <c r="JW144" s="39" t="str">
        <f>'Por Valoracion (3) Dimension'!F144</f>
        <v>0</v>
      </c>
      <c r="JX144" s="39" t="str">
        <f>'Por Valoracion (3) Dimension 2'!H144</f>
        <v>0</v>
      </c>
      <c r="KS144" s="47"/>
    </row>
    <row r="145" spans="1:305">
      <c r="A145" s="38"/>
      <c r="C145" t="str">
        <f>('Inteligencia emocional'!A146)</f>
        <v>0</v>
      </c>
      <c r="D145" s="39" t="str">
        <f>'Por Valoracion (3) Dimension'!B145</f>
        <v>0</v>
      </c>
      <c r="E145" s="39" t="str">
        <f>'Por Valoracion (3) Dimension 2'!B145</f>
        <v>0</v>
      </c>
      <c r="Z145" s="38"/>
      <c r="AB145" t="str">
        <f>('Inteligencia emocional'!A146)</f>
        <v>0</v>
      </c>
      <c r="AC145" s="39" t="str">
        <f>'Por Valoracion (3) Dimension'!B145</f>
        <v>0</v>
      </c>
      <c r="AD145" s="39" t="str">
        <f>'Por Valoracion (3) Dimension 2'!D145</f>
        <v>0</v>
      </c>
      <c r="AY145" s="38"/>
      <c r="BA145" t="str">
        <f>('Inteligencia emocional'!A146)</f>
        <v>0</v>
      </c>
      <c r="BB145" s="39" t="str">
        <f>'Por Valoracion (3) Dimension'!B145</f>
        <v>0</v>
      </c>
      <c r="BC145" s="39" t="str">
        <f>'Por Valoracion (3) Dimension 2'!F145</f>
        <v>0</v>
      </c>
      <c r="BX145" s="38"/>
      <c r="BZ145" t="str">
        <f>('Inteligencia emocional'!A146)</f>
        <v>0</v>
      </c>
      <c r="CA145" s="39" t="str">
        <f>'Por Valoracion (3) Dimension'!B145</f>
        <v>0</v>
      </c>
      <c r="CB145" s="39" t="str">
        <f>'Por Valoracion (3) Dimension 2'!H145</f>
        <v>0</v>
      </c>
      <c r="CW145" s="38"/>
      <c r="CY145" s="46"/>
      <c r="DA145" t="str">
        <f>('Inteligencia emocional'!A146)</f>
        <v>0</v>
      </c>
      <c r="DB145" s="39" t="str">
        <f>'Por Valoracion (3) Dimension'!D145</f>
        <v>0</v>
      </c>
      <c r="DC145" s="39" t="str">
        <f>'Por Valoracion (3) Dimension 2'!B145</f>
        <v>0</v>
      </c>
      <c r="DX145" s="46"/>
      <c r="DZ145" t="str">
        <f>('Inteligencia emocional'!A146)</f>
        <v>0</v>
      </c>
      <c r="EA145" s="39" t="str">
        <f>'Por Valoracion (3) Dimension'!D145</f>
        <v>0</v>
      </c>
      <c r="EB145" s="39" t="str">
        <f>'Por Valoracion (3) Dimension 2'!D145</f>
        <v>0</v>
      </c>
      <c r="EW145" s="46"/>
      <c r="EY145" t="str">
        <f>('Inteligencia emocional'!A146)</f>
        <v>0</v>
      </c>
      <c r="EZ145" s="39" t="str">
        <f>'Por Valoracion (3) Dimension'!D145</f>
        <v>0</v>
      </c>
      <c r="FA145" s="39" t="str">
        <f>'Por Valoracion (3) Dimension 2'!F145</f>
        <v>0</v>
      </c>
      <c r="FV145" s="46"/>
      <c r="FX145" t="str">
        <f>('Inteligencia emocional'!A146)</f>
        <v>0</v>
      </c>
      <c r="FY145" s="39" t="str">
        <f>'Por Valoracion (3) Dimension'!D145</f>
        <v>0</v>
      </c>
      <c r="FZ145" s="39" t="str">
        <f>'Por Valoracion (3) Dimension 2'!H145</f>
        <v>0</v>
      </c>
      <c r="GU145" s="46"/>
      <c r="GW145" s="47"/>
      <c r="GY145" t="str">
        <f>('Inteligencia emocional'!A146)</f>
        <v>0</v>
      </c>
      <c r="GZ145" s="39" t="str">
        <f>'Por Valoracion (3) Dimension'!F145</f>
        <v>0</v>
      </c>
      <c r="HA145" s="39" t="str">
        <f>'Por Valoracion (3) Dimension 2'!B145</f>
        <v>0</v>
      </c>
      <c r="HV145" s="47"/>
      <c r="HX145" t="str">
        <f>('Inteligencia emocional'!A146)</f>
        <v>0</v>
      </c>
      <c r="HY145" s="39" t="str">
        <f>'Por Valoracion (3) Dimension'!F145</f>
        <v>0</v>
      </c>
      <c r="HZ145" s="39" t="str">
        <f>'Por Valoracion (3) Dimension 2'!D145</f>
        <v>0</v>
      </c>
      <c r="IU145" s="47"/>
      <c r="IW145" t="str">
        <f>('Inteligencia emocional'!A146)</f>
        <v>0</v>
      </c>
      <c r="IX145" s="39" t="str">
        <f>'Por Valoracion (3) Dimension'!F145</f>
        <v>0</v>
      </c>
      <c r="IY145" s="39" t="str">
        <f>'Por Valoracion (3) Dimension 2'!F145</f>
        <v>0</v>
      </c>
      <c r="JT145" s="47"/>
      <c r="JV145" t="str">
        <f>('Inteligencia emocional'!A146)</f>
        <v>0</v>
      </c>
      <c r="JW145" s="39" t="str">
        <f>'Por Valoracion (3) Dimension'!F145</f>
        <v>0</v>
      </c>
      <c r="JX145" s="39" t="str">
        <f>'Por Valoracion (3) Dimension 2'!H145</f>
        <v>0</v>
      </c>
      <c r="KS145" s="47"/>
    </row>
    <row r="146" spans="1:305">
      <c r="A146" s="38"/>
      <c r="C146" t="str">
        <f>('Inteligencia emocional'!A147)</f>
        <v>0</v>
      </c>
      <c r="D146" s="39" t="str">
        <f>'Por Valoracion (3) Dimension'!B146</f>
        <v>0</v>
      </c>
      <c r="E146" s="39" t="str">
        <f>'Por Valoracion (3) Dimension 2'!B146</f>
        <v>0</v>
      </c>
      <c r="Z146" s="38"/>
      <c r="AB146" t="str">
        <f>('Inteligencia emocional'!A147)</f>
        <v>0</v>
      </c>
      <c r="AC146" s="39" t="str">
        <f>'Por Valoracion (3) Dimension'!B146</f>
        <v>0</v>
      </c>
      <c r="AD146" s="39" t="str">
        <f>'Por Valoracion (3) Dimension 2'!D146</f>
        <v>0</v>
      </c>
      <c r="AY146" s="38"/>
      <c r="BA146" t="str">
        <f>('Inteligencia emocional'!A147)</f>
        <v>0</v>
      </c>
      <c r="BB146" s="39" t="str">
        <f>'Por Valoracion (3) Dimension'!B146</f>
        <v>0</v>
      </c>
      <c r="BC146" s="39" t="str">
        <f>'Por Valoracion (3) Dimension 2'!F146</f>
        <v>0</v>
      </c>
      <c r="BX146" s="38"/>
      <c r="BZ146" t="str">
        <f>('Inteligencia emocional'!A147)</f>
        <v>0</v>
      </c>
      <c r="CA146" s="39" t="str">
        <f>'Por Valoracion (3) Dimension'!B146</f>
        <v>0</v>
      </c>
      <c r="CB146" s="39" t="str">
        <f>'Por Valoracion (3) Dimension 2'!H146</f>
        <v>0</v>
      </c>
      <c r="CW146" s="38"/>
      <c r="CY146" s="46"/>
      <c r="DA146" t="str">
        <f>('Inteligencia emocional'!A147)</f>
        <v>0</v>
      </c>
      <c r="DB146" s="39" t="str">
        <f>'Por Valoracion (3) Dimension'!D146</f>
        <v>0</v>
      </c>
      <c r="DC146" s="39" t="str">
        <f>'Por Valoracion (3) Dimension 2'!B146</f>
        <v>0</v>
      </c>
      <c r="DX146" s="46"/>
      <c r="DZ146" t="str">
        <f>('Inteligencia emocional'!A147)</f>
        <v>0</v>
      </c>
      <c r="EA146" s="39" t="str">
        <f>'Por Valoracion (3) Dimension'!D146</f>
        <v>0</v>
      </c>
      <c r="EB146" s="39" t="str">
        <f>'Por Valoracion (3) Dimension 2'!D146</f>
        <v>0</v>
      </c>
      <c r="EW146" s="46"/>
      <c r="EY146" t="str">
        <f>('Inteligencia emocional'!A147)</f>
        <v>0</v>
      </c>
      <c r="EZ146" s="39" t="str">
        <f>'Por Valoracion (3) Dimension'!D146</f>
        <v>0</v>
      </c>
      <c r="FA146" s="39" t="str">
        <f>'Por Valoracion (3) Dimension 2'!F146</f>
        <v>0</v>
      </c>
      <c r="FV146" s="46"/>
      <c r="FX146" t="str">
        <f>('Inteligencia emocional'!A147)</f>
        <v>0</v>
      </c>
      <c r="FY146" s="39" t="str">
        <f>'Por Valoracion (3) Dimension'!D146</f>
        <v>0</v>
      </c>
      <c r="FZ146" s="39" t="str">
        <f>'Por Valoracion (3) Dimension 2'!H146</f>
        <v>0</v>
      </c>
      <c r="GU146" s="46"/>
      <c r="GW146" s="47"/>
      <c r="GY146" t="str">
        <f>('Inteligencia emocional'!A147)</f>
        <v>0</v>
      </c>
      <c r="GZ146" s="39" t="str">
        <f>'Por Valoracion (3) Dimension'!F146</f>
        <v>0</v>
      </c>
      <c r="HA146" s="39" t="str">
        <f>'Por Valoracion (3) Dimension 2'!B146</f>
        <v>0</v>
      </c>
      <c r="HV146" s="47"/>
      <c r="HX146" t="str">
        <f>('Inteligencia emocional'!A147)</f>
        <v>0</v>
      </c>
      <c r="HY146" s="39" t="str">
        <f>'Por Valoracion (3) Dimension'!F146</f>
        <v>0</v>
      </c>
      <c r="HZ146" s="39" t="str">
        <f>'Por Valoracion (3) Dimension 2'!D146</f>
        <v>0</v>
      </c>
      <c r="IU146" s="47"/>
      <c r="IW146" t="str">
        <f>('Inteligencia emocional'!A147)</f>
        <v>0</v>
      </c>
      <c r="IX146" s="39" t="str">
        <f>'Por Valoracion (3) Dimension'!F146</f>
        <v>0</v>
      </c>
      <c r="IY146" s="39" t="str">
        <f>'Por Valoracion (3) Dimension 2'!F146</f>
        <v>0</v>
      </c>
      <c r="JT146" s="47"/>
      <c r="JV146" t="str">
        <f>('Inteligencia emocional'!A147)</f>
        <v>0</v>
      </c>
      <c r="JW146" s="39" t="str">
        <f>'Por Valoracion (3) Dimension'!F146</f>
        <v>0</v>
      </c>
      <c r="JX146" s="39" t="str">
        <f>'Por Valoracion (3) Dimension 2'!H146</f>
        <v>0</v>
      </c>
      <c r="KS146" s="47"/>
    </row>
    <row r="147" spans="1:305">
      <c r="A147" s="38"/>
      <c r="C147" t="str">
        <f>('Inteligencia emocional'!A148)</f>
        <v>0</v>
      </c>
      <c r="D147" s="39" t="str">
        <f>'Por Valoracion (3) Dimension'!B147</f>
        <v>0</v>
      </c>
      <c r="E147" s="39" t="str">
        <f>'Por Valoracion (3) Dimension 2'!B147</f>
        <v>0</v>
      </c>
      <c r="Z147" s="38"/>
      <c r="AB147" t="str">
        <f>('Inteligencia emocional'!A148)</f>
        <v>0</v>
      </c>
      <c r="AC147" s="39" t="str">
        <f>'Por Valoracion (3) Dimension'!B147</f>
        <v>0</v>
      </c>
      <c r="AD147" s="39" t="str">
        <f>'Por Valoracion (3) Dimension 2'!D147</f>
        <v>0</v>
      </c>
      <c r="AY147" s="38"/>
      <c r="BA147" t="str">
        <f>('Inteligencia emocional'!A148)</f>
        <v>0</v>
      </c>
      <c r="BB147" s="39" t="str">
        <f>'Por Valoracion (3) Dimension'!B147</f>
        <v>0</v>
      </c>
      <c r="BC147" s="39" t="str">
        <f>'Por Valoracion (3) Dimension 2'!F147</f>
        <v>0</v>
      </c>
      <c r="BX147" s="38"/>
      <c r="BZ147" t="str">
        <f>('Inteligencia emocional'!A148)</f>
        <v>0</v>
      </c>
      <c r="CA147" s="39" t="str">
        <f>'Por Valoracion (3) Dimension'!B147</f>
        <v>0</v>
      </c>
      <c r="CB147" s="39" t="str">
        <f>'Por Valoracion (3) Dimension 2'!H147</f>
        <v>0</v>
      </c>
      <c r="CW147" s="38"/>
      <c r="CY147" s="46"/>
      <c r="DA147" t="str">
        <f>('Inteligencia emocional'!A148)</f>
        <v>0</v>
      </c>
      <c r="DB147" s="39" t="str">
        <f>'Por Valoracion (3) Dimension'!D147</f>
        <v>0</v>
      </c>
      <c r="DC147" s="39" t="str">
        <f>'Por Valoracion (3) Dimension 2'!B147</f>
        <v>0</v>
      </c>
      <c r="DX147" s="46"/>
      <c r="DZ147" t="str">
        <f>('Inteligencia emocional'!A148)</f>
        <v>0</v>
      </c>
      <c r="EA147" s="39" t="str">
        <f>'Por Valoracion (3) Dimension'!D147</f>
        <v>0</v>
      </c>
      <c r="EB147" s="39" t="str">
        <f>'Por Valoracion (3) Dimension 2'!D147</f>
        <v>0</v>
      </c>
      <c r="EW147" s="46"/>
      <c r="EY147" t="str">
        <f>('Inteligencia emocional'!A148)</f>
        <v>0</v>
      </c>
      <c r="EZ147" s="39" t="str">
        <f>'Por Valoracion (3) Dimension'!D147</f>
        <v>0</v>
      </c>
      <c r="FA147" s="39" t="str">
        <f>'Por Valoracion (3) Dimension 2'!F147</f>
        <v>0</v>
      </c>
      <c r="FV147" s="46"/>
      <c r="FX147" t="str">
        <f>('Inteligencia emocional'!A148)</f>
        <v>0</v>
      </c>
      <c r="FY147" s="39" t="str">
        <f>'Por Valoracion (3) Dimension'!D147</f>
        <v>0</v>
      </c>
      <c r="FZ147" s="39" t="str">
        <f>'Por Valoracion (3) Dimension 2'!H147</f>
        <v>0</v>
      </c>
      <c r="GU147" s="46"/>
      <c r="GW147" s="47"/>
      <c r="GY147" t="str">
        <f>('Inteligencia emocional'!A148)</f>
        <v>0</v>
      </c>
      <c r="GZ147" s="39" t="str">
        <f>'Por Valoracion (3) Dimension'!F147</f>
        <v>0</v>
      </c>
      <c r="HA147" s="39" t="str">
        <f>'Por Valoracion (3) Dimension 2'!B147</f>
        <v>0</v>
      </c>
      <c r="HV147" s="47"/>
      <c r="HX147" t="str">
        <f>('Inteligencia emocional'!A148)</f>
        <v>0</v>
      </c>
      <c r="HY147" s="39" t="str">
        <f>'Por Valoracion (3) Dimension'!F147</f>
        <v>0</v>
      </c>
      <c r="HZ147" s="39" t="str">
        <f>'Por Valoracion (3) Dimension 2'!D147</f>
        <v>0</v>
      </c>
      <c r="IU147" s="47"/>
      <c r="IW147" t="str">
        <f>('Inteligencia emocional'!A148)</f>
        <v>0</v>
      </c>
      <c r="IX147" s="39" t="str">
        <f>'Por Valoracion (3) Dimension'!F147</f>
        <v>0</v>
      </c>
      <c r="IY147" s="39" t="str">
        <f>'Por Valoracion (3) Dimension 2'!F147</f>
        <v>0</v>
      </c>
      <c r="JT147" s="47"/>
      <c r="JV147" t="str">
        <f>('Inteligencia emocional'!A148)</f>
        <v>0</v>
      </c>
      <c r="JW147" s="39" t="str">
        <f>'Por Valoracion (3) Dimension'!F147</f>
        <v>0</v>
      </c>
      <c r="JX147" s="39" t="str">
        <f>'Por Valoracion (3) Dimension 2'!H147</f>
        <v>0</v>
      </c>
      <c r="KS147" s="47"/>
    </row>
    <row r="148" spans="1:305">
      <c r="A148" s="38"/>
      <c r="C148" t="str">
        <f>('Inteligencia emocional'!A149)</f>
        <v>0</v>
      </c>
      <c r="D148" s="39" t="str">
        <f>'Por Valoracion (3) Dimension'!B148</f>
        <v>0</v>
      </c>
      <c r="E148" s="39" t="str">
        <f>'Por Valoracion (3) Dimension 2'!B148</f>
        <v>0</v>
      </c>
      <c r="Z148" s="38"/>
      <c r="AB148" t="str">
        <f>('Inteligencia emocional'!A149)</f>
        <v>0</v>
      </c>
      <c r="AC148" s="39" t="str">
        <f>'Por Valoracion (3) Dimension'!B148</f>
        <v>0</v>
      </c>
      <c r="AD148" s="39" t="str">
        <f>'Por Valoracion (3) Dimension 2'!D148</f>
        <v>0</v>
      </c>
      <c r="AY148" s="38"/>
      <c r="BA148" t="str">
        <f>('Inteligencia emocional'!A149)</f>
        <v>0</v>
      </c>
      <c r="BB148" s="39" t="str">
        <f>'Por Valoracion (3) Dimension'!B148</f>
        <v>0</v>
      </c>
      <c r="BC148" s="39" t="str">
        <f>'Por Valoracion (3) Dimension 2'!F148</f>
        <v>0</v>
      </c>
      <c r="BX148" s="38"/>
      <c r="BZ148" t="str">
        <f>('Inteligencia emocional'!A149)</f>
        <v>0</v>
      </c>
      <c r="CA148" s="39" t="str">
        <f>'Por Valoracion (3) Dimension'!B148</f>
        <v>0</v>
      </c>
      <c r="CB148" s="39" t="str">
        <f>'Por Valoracion (3) Dimension 2'!H148</f>
        <v>0</v>
      </c>
      <c r="CW148" s="38"/>
      <c r="CY148" s="46"/>
      <c r="DA148" t="str">
        <f>('Inteligencia emocional'!A149)</f>
        <v>0</v>
      </c>
      <c r="DB148" s="39" t="str">
        <f>'Por Valoracion (3) Dimension'!D148</f>
        <v>0</v>
      </c>
      <c r="DC148" s="39" t="str">
        <f>'Por Valoracion (3) Dimension 2'!B148</f>
        <v>0</v>
      </c>
      <c r="DX148" s="46"/>
      <c r="DZ148" t="str">
        <f>('Inteligencia emocional'!A149)</f>
        <v>0</v>
      </c>
      <c r="EA148" s="39" t="str">
        <f>'Por Valoracion (3) Dimension'!D148</f>
        <v>0</v>
      </c>
      <c r="EB148" s="39" t="str">
        <f>'Por Valoracion (3) Dimension 2'!D148</f>
        <v>0</v>
      </c>
      <c r="EW148" s="46"/>
      <c r="EY148" t="str">
        <f>('Inteligencia emocional'!A149)</f>
        <v>0</v>
      </c>
      <c r="EZ148" s="39" t="str">
        <f>'Por Valoracion (3) Dimension'!D148</f>
        <v>0</v>
      </c>
      <c r="FA148" s="39" t="str">
        <f>'Por Valoracion (3) Dimension 2'!F148</f>
        <v>0</v>
      </c>
      <c r="FV148" s="46"/>
      <c r="FX148" t="str">
        <f>('Inteligencia emocional'!A149)</f>
        <v>0</v>
      </c>
      <c r="FY148" s="39" t="str">
        <f>'Por Valoracion (3) Dimension'!D148</f>
        <v>0</v>
      </c>
      <c r="FZ148" s="39" t="str">
        <f>'Por Valoracion (3) Dimension 2'!H148</f>
        <v>0</v>
      </c>
      <c r="GU148" s="46"/>
      <c r="GW148" s="47"/>
      <c r="GY148" t="str">
        <f>('Inteligencia emocional'!A149)</f>
        <v>0</v>
      </c>
      <c r="GZ148" s="39" t="str">
        <f>'Por Valoracion (3) Dimension'!F148</f>
        <v>0</v>
      </c>
      <c r="HA148" s="39" t="str">
        <f>'Por Valoracion (3) Dimension 2'!B148</f>
        <v>0</v>
      </c>
      <c r="HV148" s="47"/>
      <c r="HX148" t="str">
        <f>('Inteligencia emocional'!A149)</f>
        <v>0</v>
      </c>
      <c r="HY148" s="39" t="str">
        <f>'Por Valoracion (3) Dimension'!F148</f>
        <v>0</v>
      </c>
      <c r="HZ148" s="39" t="str">
        <f>'Por Valoracion (3) Dimension 2'!D148</f>
        <v>0</v>
      </c>
      <c r="IU148" s="47"/>
      <c r="IW148" t="str">
        <f>('Inteligencia emocional'!A149)</f>
        <v>0</v>
      </c>
      <c r="IX148" s="39" t="str">
        <f>'Por Valoracion (3) Dimension'!F148</f>
        <v>0</v>
      </c>
      <c r="IY148" s="39" t="str">
        <f>'Por Valoracion (3) Dimension 2'!F148</f>
        <v>0</v>
      </c>
      <c r="JT148" s="47"/>
      <c r="JV148" t="str">
        <f>('Inteligencia emocional'!A149)</f>
        <v>0</v>
      </c>
      <c r="JW148" s="39" t="str">
        <f>'Por Valoracion (3) Dimension'!F148</f>
        <v>0</v>
      </c>
      <c r="JX148" s="39" t="str">
        <f>'Por Valoracion (3) Dimension 2'!H148</f>
        <v>0</v>
      </c>
      <c r="KS148" s="47"/>
    </row>
    <row r="149" spans="1:305">
      <c r="A149" s="38"/>
      <c r="C149" t="str">
        <f>('Inteligencia emocional'!A150)</f>
        <v>0</v>
      </c>
      <c r="D149" s="39" t="str">
        <f>'Por Valoracion (3) Dimension'!B149</f>
        <v>0</v>
      </c>
      <c r="E149" s="39" t="str">
        <f>'Por Valoracion (3) Dimension 2'!B149</f>
        <v>0</v>
      </c>
      <c r="Z149" s="38"/>
      <c r="AB149" t="str">
        <f>('Inteligencia emocional'!A150)</f>
        <v>0</v>
      </c>
      <c r="AC149" s="39" t="str">
        <f>'Por Valoracion (3) Dimension'!B149</f>
        <v>0</v>
      </c>
      <c r="AD149" s="39" t="str">
        <f>'Por Valoracion (3) Dimension 2'!D149</f>
        <v>0</v>
      </c>
      <c r="AY149" s="38"/>
      <c r="BA149" t="str">
        <f>('Inteligencia emocional'!A150)</f>
        <v>0</v>
      </c>
      <c r="BB149" s="39" t="str">
        <f>'Por Valoracion (3) Dimension'!B149</f>
        <v>0</v>
      </c>
      <c r="BC149" s="39" t="str">
        <f>'Por Valoracion (3) Dimension 2'!F149</f>
        <v>0</v>
      </c>
      <c r="BX149" s="38"/>
      <c r="BZ149" t="str">
        <f>('Inteligencia emocional'!A150)</f>
        <v>0</v>
      </c>
      <c r="CA149" s="39" t="str">
        <f>'Por Valoracion (3) Dimension'!B149</f>
        <v>0</v>
      </c>
      <c r="CB149" s="39" t="str">
        <f>'Por Valoracion (3) Dimension 2'!H149</f>
        <v>0</v>
      </c>
      <c r="CW149" s="38"/>
      <c r="CY149" s="46"/>
      <c r="DA149" t="str">
        <f>('Inteligencia emocional'!A150)</f>
        <v>0</v>
      </c>
      <c r="DB149" s="39" t="str">
        <f>'Por Valoracion (3) Dimension'!D149</f>
        <v>0</v>
      </c>
      <c r="DC149" s="39" t="str">
        <f>'Por Valoracion (3) Dimension 2'!B149</f>
        <v>0</v>
      </c>
      <c r="DX149" s="46"/>
      <c r="DZ149" t="str">
        <f>('Inteligencia emocional'!A150)</f>
        <v>0</v>
      </c>
      <c r="EA149" s="39" t="str">
        <f>'Por Valoracion (3) Dimension'!D149</f>
        <v>0</v>
      </c>
      <c r="EB149" s="39" t="str">
        <f>'Por Valoracion (3) Dimension 2'!D149</f>
        <v>0</v>
      </c>
      <c r="EW149" s="46"/>
      <c r="EY149" t="str">
        <f>('Inteligencia emocional'!A150)</f>
        <v>0</v>
      </c>
      <c r="EZ149" s="39" t="str">
        <f>'Por Valoracion (3) Dimension'!D149</f>
        <v>0</v>
      </c>
      <c r="FA149" s="39" t="str">
        <f>'Por Valoracion (3) Dimension 2'!F149</f>
        <v>0</v>
      </c>
      <c r="FV149" s="46"/>
      <c r="FX149" t="str">
        <f>('Inteligencia emocional'!A150)</f>
        <v>0</v>
      </c>
      <c r="FY149" s="39" t="str">
        <f>'Por Valoracion (3) Dimension'!D149</f>
        <v>0</v>
      </c>
      <c r="FZ149" s="39" t="str">
        <f>'Por Valoracion (3) Dimension 2'!H149</f>
        <v>0</v>
      </c>
      <c r="GU149" s="46"/>
      <c r="GW149" s="47"/>
      <c r="GY149" t="str">
        <f>('Inteligencia emocional'!A150)</f>
        <v>0</v>
      </c>
      <c r="GZ149" s="39" t="str">
        <f>'Por Valoracion (3) Dimension'!F149</f>
        <v>0</v>
      </c>
      <c r="HA149" s="39" t="str">
        <f>'Por Valoracion (3) Dimension 2'!B149</f>
        <v>0</v>
      </c>
      <c r="HV149" s="47"/>
      <c r="HX149" t="str">
        <f>('Inteligencia emocional'!A150)</f>
        <v>0</v>
      </c>
      <c r="HY149" s="39" t="str">
        <f>'Por Valoracion (3) Dimension'!F149</f>
        <v>0</v>
      </c>
      <c r="HZ149" s="39" t="str">
        <f>'Por Valoracion (3) Dimension 2'!D149</f>
        <v>0</v>
      </c>
      <c r="IU149" s="47"/>
      <c r="IW149" t="str">
        <f>('Inteligencia emocional'!A150)</f>
        <v>0</v>
      </c>
      <c r="IX149" s="39" t="str">
        <f>'Por Valoracion (3) Dimension'!F149</f>
        <v>0</v>
      </c>
      <c r="IY149" s="39" t="str">
        <f>'Por Valoracion (3) Dimension 2'!F149</f>
        <v>0</v>
      </c>
      <c r="JT149" s="47"/>
      <c r="JV149" t="str">
        <f>('Inteligencia emocional'!A150)</f>
        <v>0</v>
      </c>
      <c r="JW149" s="39" t="str">
        <f>'Por Valoracion (3) Dimension'!F149</f>
        <v>0</v>
      </c>
      <c r="JX149" s="39" t="str">
        <f>'Por Valoracion (3) Dimension 2'!H149</f>
        <v>0</v>
      </c>
      <c r="KS149" s="47"/>
    </row>
    <row r="150" spans="1:305">
      <c r="A150" s="38"/>
      <c r="C150" t="str">
        <f>('Inteligencia emocional'!A151)</f>
        <v>0</v>
      </c>
      <c r="D150" s="39" t="str">
        <f>'Por Valoracion (3) Dimension'!B150</f>
        <v>0</v>
      </c>
      <c r="E150" s="39" t="str">
        <f>'Por Valoracion (3) Dimension 2'!B150</f>
        <v>0</v>
      </c>
      <c r="Z150" s="38"/>
      <c r="AB150" t="str">
        <f>('Inteligencia emocional'!A151)</f>
        <v>0</v>
      </c>
      <c r="AC150" s="39" t="str">
        <f>'Por Valoracion (3) Dimension'!B150</f>
        <v>0</v>
      </c>
      <c r="AD150" s="39" t="str">
        <f>'Por Valoracion (3) Dimension 2'!D150</f>
        <v>0</v>
      </c>
      <c r="AY150" s="38"/>
      <c r="BA150" t="str">
        <f>('Inteligencia emocional'!A151)</f>
        <v>0</v>
      </c>
      <c r="BB150" s="39" t="str">
        <f>'Por Valoracion (3) Dimension'!B150</f>
        <v>0</v>
      </c>
      <c r="BC150" s="39" t="str">
        <f>'Por Valoracion (3) Dimension 2'!F150</f>
        <v>0</v>
      </c>
      <c r="BX150" s="38"/>
      <c r="BZ150" t="str">
        <f>('Inteligencia emocional'!A151)</f>
        <v>0</v>
      </c>
      <c r="CA150" s="39" t="str">
        <f>'Por Valoracion (3) Dimension'!B150</f>
        <v>0</v>
      </c>
      <c r="CB150" s="39" t="str">
        <f>'Por Valoracion (3) Dimension 2'!H150</f>
        <v>0</v>
      </c>
      <c r="CW150" s="38"/>
      <c r="CY150" s="46"/>
      <c r="DA150" t="str">
        <f>('Inteligencia emocional'!A151)</f>
        <v>0</v>
      </c>
      <c r="DB150" s="39" t="str">
        <f>'Por Valoracion (3) Dimension'!D150</f>
        <v>0</v>
      </c>
      <c r="DC150" s="39" t="str">
        <f>'Por Valoracion (3) Dimension 2'!B150</f>
        <v>0</v>
      </c>
      <c r="DX150" s="46"/>
      <c r="DZ150" t="str">
        <f>('Inteligencia emocional'!A151)</f>
        <v>0</v>
      </c>
      <c r="EA150" s="39" t="str">
        <f>'Por Valoracion (3) Dimension'!D150</f>
        <v>0</v>
      </c>
      <c r="EB150" s="39" t="str">
        <f>'Por Valoracion (3) Dimension 2'!D150</f>
        <v>0</v>
      </c>
      <c r="EW150" s="46"/>
      <c r="EY150" t="str">
        <f>('Inteligencia emocional'!A151)</f>
        <v>0</v>
      </c>
      <c r="EZ150" s="39" t="str">
        <f>'Por Valoracion (3) Dimension'!D150</f>
        <v>0</v>
      </c>
      <c r="FA150" s="39" t="str">
        <f>'Por Valoracion (3) Dimension 2'!F150</f>
        <v>0</v>
      </c>
      <c r="FV150" s="46"/>
      <c r="FX150" t="str">
        <f>('Inteligencia emocional'!A151)</f>
        <v>0</v>
      </c>
      <c r="FY150" s="39" t="str">
        <f>'Por Valoracion (3) Dimension'!D150</f>
        <v>0</v>
      </c>
      <c r="FZ150" s="39" t="str">
        <f>'Por Valoracion (3) Dimension 2'!H150</f>
        <v>0</v>
      </c>
      <c r="GU150" s="46"/>
      <c r="GW150" s="47"/>
      <c r="GY150" t="str">
        <f>('Inteligencia emocional'!A151)</f>
        <v>0</v>
      </c>
      <c r="GZ150" s="39" t="str">
        <f>'Por Valoracion (3) Dimension'!F150</f>
        <v>0</v>
      </c>
      <c r="HA150" s="39" t="str">
        <f>'Por Valoracion (3) Dimension 2'!B150</f>
        <v>0</v>
      </c>
      <c r="HV150" s="47"/>
      <c r="HX150" t="str">
        <f>('Inteligencia emocional'!A151)</f>
        <v>0</v>
      </c>
      <c r="HY150" s="39" t="str">
        <f>'Por Valoracion (3) Dimension'!F150</f>
        <v>0</v>
      </c>
      <c r="HZ150" s="39" t="str">
        <f>'Por Valoracion (3) Dimension 2'!D150</f>
        <v>0</v>
      </c>
      <c r="IU150" s="47"/>
      <c r="IW150" t="str">
        <f>('Inteligencia emocional'!A151)</f>
        <v>0</v>
      </c>
      <c r="IX150" s="39" t="str">
        <f>'Por Valoracion (3) Dimension'!F150</f>
        <v>0</v>
      </c>
      <c r="IY150" s="39" t="str">
        <f>'Por Valoracion (3) Dimension 2'!F150</f>
        <v>0</v>
      </c>
      <c r="JT150" s="47"/>
      <c r="JV150" t="str">
        <f>('Inteligencia emocional'!A151)</f>
        <v>0</v>
      </c>
      <c r="JW150" s="39" t="str">
        <f>'Por Valoracion (3) Dimension'!F150</f>
        <v>0</v>
      </c>
      <c r="JX150" s="39" t="str">
        <f>'Por Valoracion (3) Dimension 2'!H150</f>
        <v>0</v>
      </c>
      <c r="KS150" s="47"/>
    </row>
    <row r="151" spans="1:305">
      <c r="A151" s="38"/>
      <c r="C151" t="str">
        <f>('Inteligencia emocional'!A152)</f>
        <v>0</v>
      </c>
      <c r="D151" s="39" t="str">
        <f>'Por Valoracion (3) Dimension'!B151</f>
        <v>0</v>
      </c>
      <c r="E151" s="39" t="str">
        <f>'Por Valoracion (3) Dimension 2'!B151</f>
        <v>0</v>
      </c>
      <c r="Z151" s="38"/>
      <c r="AB151" t="str">
        <f>('Inteligencia emocional'!A152)</f>
        <v>0</v>
      </c>
      <c r="AC151" s="39" t="str">
        <f>'Por Valoracion (3) Dimension'!B151</f>
        <v>0</v>
      </c>
      <c r="AD151" s="39" t="str">
        <f>'Por Valoracion (3) Dimension 2'!D151</f>
        <v>0</v>
      </c>
      <c r="AY151" s="38"/>
      <c r="BA151" t="str">
        <f>('Inteligencia emocional'!A152)</f>
        <v>0</v>
      </c>
      <c r="BB151" s="39" t="str">
        <f>'Por Valoracion (3) Dimension'!B151</f>
        <v>0</v>
      </c>
      <c r="BC151" s="39" t="str">
        <f>'Por Valoracion (3) Dimension 2'!F151</f>
        <v>0</v>
      </c>
      <c r="BX151" s="38"/>
      <c r="BZ151" t="str">
        <f>('Inteligencia emocional'!A152)</f>
        <v>0</v>
      </c>
      <c r="CA151" s="39" t="str">
        <f>'Por Valoracion (3) Dimension'!B151</f>
        <v>0</v>
      </c>
      <c r="CB151" s="39" t="str">
        <f>'Por Valoracion (3) Dimension 2'!H151</f>
        <v>0</v>
      </c>
      <c r="CW151" s="38"/>
      <c r="CY151" s="46"/>
      <c r="DA151" t="str">
        <f>('Inteligencia emocional'!A152)</f>
        <v>0</v>
      </c>
      <c r="DB151" s="39" t="str">
        <f>'Por Valoracion (3) Dimension'!D151</f>
        <v>0</v>
      </c>
      <c r="DC151" s="39" t="str">
        <f>'Por Valoracion (3) Dimension 2'!B151</f>
        <v>0</v>
      </c>
      <c r="DX151" s="46"/>
      <c r="DZ151" t="str">
        <f>('Inteligencia emocional'!A152)</f>
        <v>0</v>
      </c>
      <c r="EA151" s="39" t="str">
        <f>'Por Valoracion (3) Dimension'!D151</f>
        <v>0</v>
      </c>
      <c r="EB151" s="39" t="str">
        <f>'Por Valoracion (3) Dimension 2'!D151</f>
        <v>0</v>
      </c>
      <c r="EW151" s="46"/>
      <c r="EY151" t="str">
        <f>('Inteligencia emocional'!A152)</f>
        <v>0</v>
      </c>
      <c r="EZ151" s="39" t="str">
        <f>'Por Valoracion (3) Dimension'!D151</f>
        <v>0</v>
      </c>
      <c r="FA151" s="39" t="str">
        <f>'Por Valoracion (3) Dimension 2'!F151</f>
        <v>0</v>
      </c>
      <c r="FV151" s="46"/>
      <c r="FX151" t="str">
        <f>('Inteligencia emocional'!A152)</f>
        <v>0</v>
      </c>
      <c r="FY151" s="39" t="str">
        <f>'Por Valoracion (3) Dimension'!D151</f>
        <v>0</v>
      </c>
      <c r="FZ151" s="39" t="str">
        <f>'Por Valoracion (3) Dimension 2'!H151</f>
        <v>0</v>
      </c>
      <c r="GU151" s="46"/>
      <c r="GW151" s="47"/>
      <c r="GY151" t="str">
        <f>('Inteligencia emocional'!A152)</f>
        <v>0</v>
      </c>
      <c r="GZ151" s="39" t="str">
        <f>'Por Valoracion (3) Dimension'!F151</f>
        <v>0</v>
      </c>
      <c r="HA151" s="39" t="str">
        <f>'Por Valoracion (3) Dimension 2'!B151</f>
        <v>0</v>
      </c>
      <c r="HV151" s="47"/>
      <c r="HX151" t="str">
        <f>('Inteligencia emocional'!A152)</f>
        <v>0</v>
      </c>
      <c r="HY151" s="39" t="str">
        <f>'Por Valoracion (3) Dimension'!F151</f>
        <v>0</v>
      </c>
      <c r="HZ151" s="39" t="str">
        <f>'Por Valoracion (3) Dimension 2'!D151</f>
        <v>0</v>
      </c>
      <c r="IU151" s="47"/>
      <c r="IW151" t="str">
        <f>('Inteligencia emocional'!A152)</f>
        <v>0</v>
      </c>
      <c r="IX151" s="39" t="str">
        <f>'Por Valoracion (3) Dimension'!F151</f>
        <v>0</v>
      </c>
      <c r="IY151" s="39" t="str">
        <f>'Por Valoracion (3) Dimension 2'!F151</f>
        <v>0</v>
      </c>
      <c r="JT151" s="47"/>
      <c r="JV151" t="str">
        <f>('Inteligencia emocional'!A152)</f>
        <v>0</v>
      </c>
      <c r="JW151" s="39" t="str">
        <f>'Por Valoracion (3) Dimension'!F151</f>
        <v>0</v>
      </c>
      <c r="JX151" s="39" t="str">
        <f>'Por Valoracion (3) Dimension 2'!H151</f>
        <v>0</v>
      </c>
      <c r="KS151" s="47"/>
    </row>
    <row r="152" spans="1:305">
      <c r="A152" s="38"/>
      <c r="C152" t="str">
        <f>('Inteligencia emocional'!A153)</f>
        <v>0</v>
      </c>
      <c r="D152" s="39" t="str">
        <f>'Por Valoracion (3) Dimension'!B152</f>
        <v>0</v>
      </c>
      <c r="E152" s="39" t="str">
        <f>'Por Valoracion (3) Dimension 2'!B152</f>
        <v>0</v>
      </c>
      <c r="Z152" s="38"/>
      <c r="AB152" t="str">
        <f>('Inteligencia emocional'!A153)</f>
        <v>0</v>
      </c>
      <c r="AC152" s="39" t="str">
        <f>'Por Valoracion (3) Dimension'!B152</f>
        <v>0</v>
      </c>
      <c r="AD152" s="39" t="str">
        <f>'Por Valoracion (3) Dimension 2'!D152</f>
        <v>0</v>
      </c>
      <c r="AY152" s="38"/>
      <c r="BA152" t="str">
        <f>('Inteligencia emocional'!A153)</f>
        <v>0</v>
      </c>
      <c r="BB152" s="39" t="str">
        <f>'Por Valoracion (3) Dimension'!B152</f>
        <v>0</v>
      </c>
      <c r="BC152" s="39" t="str">
        <f>'Por Valoracion (3) Dimension 2'!F152</f>
        <v>0</v>
      </c>
      <c r="BX152" s="38"/>
      <c r="BZ152" t="str">
        <f>('Inteligencia emocional'!A153)</f>
        <v>0</v>
      </c>
      <c r="CA152" s="39" t="str">
        <f>'Por Valoracion (3) Dimension'!B152</f>
        <v>0</v>
      </c>
      <c r="CB152" s="39" t="str">
        <f>'Por Valoracion (3) Dimension 2'!H152</f>
        <v>0</v>
      </c>
      <c r="CW152" s="38"/>
      <c r="CY152" s="46"/>
      <c r="DA152" t="str">
        <f>('Inteligencia emocional'!A153)</f>
        <v>0</v>
      </c>
      <c r="DB152" s="39" t="str">
        <f>'Por Valoracion (3) Dimension'!D152</f>
        <v>0</v>
      </c>
      <c r="DC152" s="39" t="str">
        <f>'Por Valoracion (3) Dimension 2'!B152</f>
        <v>0</v>
      </c>
      <c r="DX152" s="46"/>
      <c r="DZ152" t="str">
        <f>('Inteligencia emocional'!A153)</f>
        <v>0</v>
      </c>
      <c r="EA152" s="39" t="str">
        <f>'Por Valoracion (3) Dimension'!D152</f>
        <v>0</v>
      </c>
      <c r="EB152" s="39" t="str">
        <f>'Por Valoracion (3) Dimension 2'!D152</f>
        <v>0</v>
      </c>
      <c r="EW152" s="46"/>
      <c r="EY152" t="str">
        <f>('Inteligencia emocional'!A153)</f>
        <v>0</v>
      </c>
      <c r="EZ152" s="39" t="str">
        <f>'Por Valoracion (3) Dimension'!D152</f>
        <v>0</v>
      </c>
      <c r="FA152" s="39" t="str">
        <f>'Por Valoracion (3) Dimension 2'!F152</f>
        <v>0</v>
      </c>
      <c r="FV152" s="46"/>
      <c r="FX152" t="str">
        <f>('Inteligencia emocional'!A153)</f>
        <v>0</v>
      </c>
      <c r="FY152" s="39" t="str">
        <f>'Por Valoracion (3) Dimension'!D152</f>
        <v>0</v>
      </c>
      <c r="FZ152" s="39" t="str">
        <f>'Por Valoracion (3) Dimension 2'!H152</f>
        <v>0</v>
      </c>
      <c r="GU152" s="46"/>
      <c r="GW152" s="47"/>
      <c r="GY152" t="str">
        <f>('Inteligencia emocional'!A153)</f>
        <v>0</v>
      </c>
      <c r="GZ152" s="39" t="str">
        <f>'Por Valoracion (3) Dimension'!F152</f>
        <v>0</v>
      </c>
      <c r="HA152" s="39" t="str">
        <f>'Por Valoracion (3) Dimension 2'!B152</f>
        <v>0</v>
      </c>
      <c r="HV152" s="47"/>
      <c r="HX152" t="str">
        <f>('Inteligencia emocional'!A153)</f>
        <v>0</v>
      </c>
      <c r="HY152" s="39" t="str">
        <f>'Por Valoracion (3) Dimension'!F152</f>
        <v>0</v>
      </c>
      <c r="HZ152" s="39" t="str">
        <f>'Por Valoracion (3) Dimension 2'!D152</f>
        <v>0</v>
      </c>
      <c r="IU152" s="47"/>
      <c r="IW152" t="str">
        <f>('Inteligencia emocional'!A153)</f>
        <v>0</v>
      </c>
      <c r="IX152" s="39" t="str">
        <f>'Por Valoracion (3) Dimension'!F152</f>
        <v>0</v>
      </c>
      <c r="IY152" s="39" t="str">
        <f>'Por Valoracion (3) Dimension 2'!F152</f>
        <v>0</v>
      </c>
      <c r="JT152" s="47"/>
      <c r="JV152" t="str">
        <f>('Inteligencia emocional'!A153)</f>
        <v>0</v>
      </c>
      <c r="JW152" s="39" t="str">
        <f>'Por Valoracion (3) Dimension'!F152</f>
        <v>0</v>
      </c>
      <c r="JX152" s="39" t="str">
        <f>'Por Valoracion (3) Dimension 2'!H152</f>
        <v>0</v>
      </c>
      <c r="KS152" s="47"/>
    </row>
    <row r="153" spans="1:305">
      <c r="A153" s="38"/>
      <c r="C153" t="str">
        <f>('Inteligencia emocional'!A154)</f>
        <v>0</v>
      </c>
      <c r="D153" s="39" t="str">
        <f>'Por Valoracion (3) Dimension'!B153</f>
        <v>0</v>
      </c>
      <c r="E153" s="39" t="str">
        <f>'Por Valoracion (3) Dimension 2'!B153</f>
        <v>0</v>
      </c>
      <c r="Z153" s="38"/>
      <c r="AB153" t="str">
        <f>('Inteligencia emocional'!A154)</f>
        <v>0</v>
      </c>
      <c r="AC153" s="39" t="str">
        <f>'Por Valoracion (3) Dimension'!B153</f>
        <v>0</v>
      </c>
      <c r="AD153" s="39" t="str">
        <f>'Por Valoracion (3) Dimension 2'!D153</f>
        <v>0</v>
      </c>
      <c r="AY153" s="38"/>
      <c r="BA153" t="str">
        <f>('Inteligencia emocional'!A154)</f>
        <v>0</v>
      </c>
      <c r="BB153" s="39" t="str">
        <f>'Por Valoracion (3) Dimension'!B153</f>
        <v>0</v>
      </c>
      <c r="BC153" s="39" t="str">
        <f>'Por Valoracion (3) Dimension 2'!F153</f>
        <v>0</v>
      </c>
      <c r="BX153" s="38"/>
      <c r="BZ153" t="str">
        <f>('Inteligencia emocional'!A154)</f>
        <v>0</v>
      </c>
      <c r="CA153" s="39" t="str">
        <f>'Por Valoracion (3) Dimension'!B153</f>
        <v>0</v>
      </c>
      <c r="CB153" s="39" t="str">
        <f>'Por Valoracion (3) Dimension 2'!H153</f>
        <v>0</v>
      </c>
      <c r="CW153" s="38"/>
      <c r="CY153" s="46"/>
      <c r="DA153" t="str">
        <f>('Inteligencia emocional'!A154)</f>
        <v>0</v>
      </c>
      <c r="DB153" s="39" t="str">
        <f>'Por Valoracion (3) Dimension'!D153</f>
        <v>0</v>
      </c>
      <c r="DC153" s="39" t="str">
        <f>'Por Valoracion (3) Dimension 2'!B153</f>
        <v>0</v>
      </c>
      <c r="DX153" s="46"/>
      <c r="DZ153" t="str">
        <f>('Inteligencia emocional'!A154)</f>
        <v>0</v>
      </c>
      <c r="EA153" s="39" t="str">
        <f>'Por Valoracion (3) Dimension'!D153</f>
        <v>0</v>
      </c>
      <c r="EB153" s="39" t="str">
        <f>'Por Valoracion (3) Dimension 2'!D153</f>
        <v>0</v>
      </c>
      <c r="EW153" s="46"/>
      <c r="EY153" t="str">
        <f>('Inteligencia emocional'!A154)</f>
        <v>0</v>
      </c>
      <c r="EZ153" s="39" t="str">
        <f>'Por Valoracion (3) Dimension'!D153</f>
        <v>0</v>
      </c>
      <c r="FA153" s="39" t="str">
        <f>'Por Valoracion (3) Dimension 2'!F153</f>
        <v>0</v>
      </c>
      <c r="FV153" s="46"/>
      <c r="FX153" t="str">
        <f>('Inteligencia emocional'!A154)</f>
        <v>0</v>
      </c>
      <c r="FY153" s="39" t="str">
        <f>'Por Valoracion (3) Dimension'!D153</f>
        <v>0</v>
      </c>
      <c r="FZ153" s="39" t="str">
        <f>'Por Valoracion (3) Dimension 2'!H153</f>
        <v>0</v>
      </c>
      <c r="GU153" s="46"/>
      <c r="GW153" s="47"/>
      <c r="GY153" t="str">
        <f>('Inteligencia emocional'!A154)</f>
        <v>0</v>
      </c>
      <c r="GZ153" s="39" t="str">
        <f>'Por Valoracion (3) Dimension'!F153</f>
        <v>0</v>
      </c>
      <c r="HA153" s="39" t="str">
        <f>'Por Valoracion (3) Dimension 2'!B153</f>
        <v>0</v>
      </c>
      <c r="HV153" s="47"/>
      <c r="HX153" t="str">
        <f>('Inteligencia emocional'!A154)</f>
        <v>0</v>
      </c>
      <c r="HY153" s="39" t="str">
        <f>'Por Valoracion (3) Dimension'!F153</f>
        <v>0</v>
      </c>
      <c r="HZ153" s="39" t="str">
        <f>'Por Valoracion (3) Dimension 2'!D153</f>
        <v>0</v>
      </c>
      <c r="IU153" s="47"/>
      <c r="IW153" t="str">
        <f>('Inteligencia emocional'!A154)</f>
        <v>0</v>
      </c>
      <c r="IX153" s="39" t="str">
        <f>'Por Valoracion (3) Dimension'!F153</f>
        <v>0</v>
      </c>
      <c r="IY153" s="39" t="str">
        <f>'Por Valoracion (3) Dimension 2'!F153</f>
        <v>0</v>
      </c>
      <c r="JT153" s="47"/>
      <c r="JV153" t="str">
        <f>('Inteligencia emocional'!A154)</f>
        <v>0</v>
      </c>
      <c r="JW153" s="39" t="str">
        <f>'Por Valoracion (3) Dimension'!F153</f>
        <v>0</v>
      </c>
      <c r="JX153" s="39" t="str">
        <f>'Por Valoracion (3) Dimension 2'!H153</f>
        <v>0</v>
      </c>
      <c r="KS153" s="47"/>
    </row>
    <row r="154" spans="1:305">
      <c r="A154" s="38"/>
      <c r="C154" t="str">
        <f>('Inteligencia emocional'!A155)</f>
        <v>0</v>
      </c>
      <c r="D154" s="39" t="str">
        <f>'Por Valoracion (3) Dimension'!B154</f>
        <v>0</v>
      </c>
      <c r="E154" s="39" t="str">
        <f>'Por Valoracion (3) Dimension 2'!B154</f>
        <v>0</v>
      </c>
      <c r="Z154" s="38"/>
      <c r="AB154" t="str">
        <f>('Inteligencia emocional'!A155)</f>
        <v>0</v>
      </c>
      <c r="AC154" s="39" t="str">
        <f>'Por Valoracion (3) Dimension'!B154</f>
        <v>0</v>
      </c>
      <c r="AD154" s="39" t="str">
        <f>'Por Valoracion (3) Dimension 2'!D154</f>
        <v>0</v>
      </c>
      <c r="AY154" s="38"/>
      <c r="BA154" t="str">
        <f>('Inteligencia emocional'!A155)</f>
        <v>0</v>
      </c>
      <c r="BB154" s="39" t="str">
        <f>'Por Valoracion (3) Dimension'!B154</f>
        <v>0</v>
      </c>
      <c r="BC154" s="39" t="str">
        <f>'Por Valoracion (3) Dimension 2'!F154</f>
        <v>0</v>
      </c>
      <c r="BX154" s="38"/>
      <c r="BZ154" t="str">
        <f>('Inteligencia emocional'!A155)</f>
        <v>0</v>
      </c>
      <c r="CA154" s="39" t="str">
        <f>'Por Valoracion (3) Dimension'!B154</f>
        <v>0</v>
      </c>
      <c r="CB154" s="39" t="str">
        <f>'Por Valoracion (3) Dimension 2'!H154</f>
        <v>0</v>
      </c>
      <c r="CW154" s="38"/>
      <c r="CY154" s="46"/>
      <c r="DA154" t="str">
        <f>('Inteligencia emocional'!A155)</f>
        <v>0</v>
      </c>
      <c r="DB154" s="39" t="str">
        <f>'Por Valoracion (3) Dimension'!D154</f>
        <v>0</v>
      </c>
      <c r="DC154" s="39" t="str">
        <f>'Por Valoracion (3) Dimension 2'!B154</f>
        <v>0</v>
      </c>
      <c r="DX154" s="46"/>
      <c r="DZ154" t="str">
        <f>('Inteligencia emocional'!A155)</f>
        <v>0</v>
      </c>
      <c r="EA154" s="39" t="str">
        <f>'Por Valoracion (3) Dimension'!D154</f>
        <v>0</v>
      </c>
      <c r="EB154" s="39" t="str">
        <f>'Por Valoracion (3) Dimension 2'!D154</f>
        <v>0</v>
      </c>
      <c r="EW154" s="46"/>
      <c r="EY154" t="str">
        <f>('Inteligencia emocional'!A155)</f>
        <v>0</v>
      </c>
      <c r="EZ154" s="39" t="str">
        <f>'Por Valoracion (3) Dimension'!D154</f>
        <v>0</v>
      </c>
      <c r="FA154" s="39" t="str">
        <f>'Por Valoracion (3) Dimension 2'!F154</f>
        <v>0</v>
      </c>
      <c r="FV154" s="46"/>
      <c r="FX154" t="str">
        <f>('Inteligencia emocional'!A155)</f>
        <v>0</v>
      </c>
      <c r="FY154" s="39" t="str">
        <f>'Por Valoracion (3) Dimension'!D154</f>
        <v>0</v>
      </c>
      <c r="FZ154" s="39" t="str">
        <f>'Por Valoracion (3) Dimension 2'!H154</f>
        <v>0</v>
      </c>
      <c r="GU154" s="46"/>
      <c r="GW154" s="47"/>
      <c r="GY154" t="str">
        <f>('Inteligencia emocional'!A155)</f>
        <v>0</v>
      </c>
      <c r="GZ154" s="39" t="str">
        <f>'Por Valoracion (3) Dimension'!F154</f>
        <v>0</v>
      </c>
      <c r="HA154" s="39" t="str">
        <f>'Por Valoracion (3) Dimension 2'!B154</f>
        <v>0</v>
      </c>
      <c r="HV154" s="47"/>
      <c r="HX154" t="str">
        <f>('Inteligencia emocional'!A155)</f>
        <v>0</v>
      </c>
      <c r="HY154" s="39" t="str">
        <f>'Por Valoracion (3) Dimension'!F154</f>
        <v>0</v>
      </c>
      <c r="HZ154" s="39" t="str">
        <f>'Por Valoracion (3) Dimension 2'!D154</f>
        <v>0</v>
      </c>
      <c r="IU154" s="47"/>
      <c r="IW154" t="str">
        <f>('Inteligencia emocional'!A155)</f>
        <v>0</v>
      </c>
      <c r="IX154" s="39" t="str">
        <f>'Por Valoracion (3) Dimension'!F154</f>
        <v>0</v>
      </c>
      <c r="IY154" s="39" t="str">
        <f>'Por Valoracion (3) Dimension 2'!F154</f>
        <v>0</v>
      </c>
      <c r="JT154" s="47"/>
      <c r="JV154" t="str">
        <f>('Inteligencia emocional'!A155)</f>
        <v>0</v>
      </c>
      <c r="JW154" s="39" t="str">
        <f>'Por Valoracion (3) Dimension'!F154</f>
        <v>0</v>
      </c>
      <c r="JX154" s="39" t="str">
        <f>'Por Valoracion (3) Dimension 2'!H154</f>
        <v>0</v>
      </c>
      <c r="KS154" s="47"/>
    </row>
    <row r="155" spans="1:305">
      <c r="A155" s="38"/>
      <c r="C155" t="str">
        <f>('Inteligencia emocional'!A156)</f>
        <v>0</v>
      </c>
      <c r="D155" s="39" t="str">
        <f>'Por Valoracion (3) Dimension'!B155</f>
        <v>0</v>
      </c>
      <c r="E155" s="39" t="str">
        <f>'Por Valoracion (3) Dimension 2'!B155</f>
        <v>0</v>
      </c>
      <c r="Z155" s="38"/>
      <c r="AB155" t="str">
        <f>('Inteligencia emocional'!A156)</f>
        <v>0</v>
      </c>
      <c r="AC155" s="39" t="str">
        <f>'Por Valoracion (3) Dimension'!B155</f>
        <v>0</v>
      </c>
      <c r="AD155" s="39" t="str">
        <f>'Por Valoracion (3) Dimension 2'!D155</f>
        <v>0</v>
      </c>
      <c r="AY155" s="38"/>
      <c r="BA155" t="str">
        <f>('Inteligencia emocional'!A156)</f>
        <v>0</v>
      </c>
      <c r="BB155" s="39" t="str">
        <f>'Por Valoracion (3) Dimension'!B155</f>
        <v>0</v>
      </c>
      <c r="BC155" s="39" t="str">
        <f>'Por Valoracion (3) Dimension 2'!F155</f>
        <v>0</v>
      </c>
      <c r="BX155" s="38"/>
      <c r="BZ155" t="str">
        <f>('Inteligencia emocional'!A156)</f>
        <v>0</v>
      </c>
      <c r="CA155" s="39" t="str">
        <f>'Por Valoracion (3) Dimension'!B155</f>
        <v>0</v>
      </c>
      <c r="CB155" s="39" t="str">
        <f>'Por Valoracion (3) Dimension 2'!H155</f>
        <v>0</v>
      </c>
      <c r="CW155" s="38"/>
      <c r="CY155" s="46"/>
      <c r="DA155" t="str">
        <f>('Inteligencia emocional'!A156)</f>
        <v>0</v>
      </c>
      <c r="DB155" s="39" t="str">
        <f>'Por Valoracion (3) Dimension'!D155</f>
        <v>0</v>
      </c>
      <c r="DC155" s="39" t="str">
        <f>'Por Valoracion (3) Dimension 2'!B155</f>
        <v>0</v>
      </c>
      <c r="DX155" s="46"/>
      <c r="DZ155" t="str">
        <f>('Inteligencia emocional'!A156)</f>
        <v>0</v>
      </c>
      <c r="EA155" s="39" t="str">
        <f>'Por Valoracion (3) Dimension'!D155</f>
        <v>0</v>
      </c>
      <c r="EB155" s="39" t="str">
        <f>'Por Valoracion (3) Dimension 2'!D155</f>
        <v>0</v>
      </c>
      <c r="EW155" s="46"/>
      <c r="EY155" t="str">
        <f>('Inteligencia emocional'!A156)</f>
        <v>0</v>
      </c>
      <c r="EZ155" s="39" t="str">
        <f>'Por Valoracion (3) Dimension'!D155</f>
        <v>0</v>
      </c>
      <c r="FA155" s="39" t="str">
        <f>'Por Valoracion (3) Dimension 2'!F155</f>
        <v>0</v>
      </c>
      <c r="FV155" s="46"/>
      <c r="FX155" t="str">
        <f>('Inteligencia emocional'!A156)</f>
        <v>0</v>
      </c>
      <c r="FY155" s="39" t="str">
        <f>'Por Valoracion (3) Dimension'!D155</f>
        <v>0</v>
      </c>
      <c r="FZ155" s="39" t="str">
        <f>'Por Valoracion (3) Dimension 2'!H155</f>
        <v>0</v>
      </c>
      <c r="GU155" s="46"/>
      <c r="GW155" s="47"/>
      <c r="GY155" t="str">
        <f>('Inteligencia emocional'!A156)</f>
        <v>0</v>
      </c>
      <c r="GZ155" s="39" t="str">
        <f>'Por Valoracion (3) Dimension'!F155</f>
        <v>0</v>
      </c>
      <c r="HA155" s="39" t="str">
        <f>'Por Valoracion (3) Dimension 2'!B155</f>
        <v>0</v>
      </c>
      <c r="HV155" s="47"/>
      <c r="HX155" t="str">
        <f>('Inteligencia emocional'!A156)</f>
        <v>0</v>
      </c>
      <c r="HY155" s="39" t="str">
        <f>'Por Valoracion (3) Dimension'!F155</f>
        <v>0</v>
      </c>
      <c r="HZ155" s="39" t="str">
        <f>'Por Valoracion (3) Dimension 2'!D155</f>
        <v>0</v>
      </c>
      <c r="IU155" s="47"/>
      <c r="IW155" t="str">
        <f>('Inteligencia emocional'!A156)</f>
        <v>0</v>
      </c>
      <c r="IX155" s="39" t="str">
        <f>'Por Valoracion (3) Dimension'!F155</f>
        <v>0</v>
      </c>
      <c r="IY155" s="39" t="str">
        <f>'Por Valoracion (3) Dimension 2'!F155</f>
        <v>0</v>
      </c>
      <c r="JT155" s="47"/>
      <c r="JV155" t="str">
        <f>('Inteligencia emocional'!A156)</f>
        <v>0</v>
      </c>
      <c r="JW155" s="39" t="str">
        <f>'Por Valoracion (3) Dimension'!F155</f>
        <v>0</v>
      </c>
      <c r="JX155" s="39" t="str">
        <f>'Por Valoracion (3) Dimension 2'!H155</f>
        <v>0</v>
      </c>
      <c r="KS155" s="47"/>
    </row>
    <row r="156" spans="1:305">
      <c r="A156" s="38"/>
      <c r="C156" t="str">
        <f>('Inteligencia emocional'!A157)</f>
        <v>0</v>
      </c>
      <c r="D156" s="39" t="str">
        <f>'Por Valoracion (3) Dimension'!B156</f>
        <v>0</v>
      </c>
      <c r="E156" s="39" t="str">
        <f>'Por Valoracion (3) Dimension 2'!B156</f>
        <v>0</v>
      </c>
      <c r="Z156" s="38"/>
      <c r="AB156" t="str">
        <f>('Inteligencia emocional'!A157)</f>
        <v>0</v>
      </c>
      <c r="AC156" s="39" t="str">
        <f>'Por Valoracion (3) Dimension'!B156</f>
        <v>0</v>
      </c>
      <c r="AD156" s="39" t="str">
        <f>'Por Valoracion (3) Dimension 2'!D156</f>
        <v>0</v>
      </c>
      <c r="AY156" s="38"/>
      <c r="BA156" t="str">
        <f>('Inteligencia emocional'!A157)</f>
        <v>0</v>
      </c>
      <c r="BB156" s="39" t="str">
        <f>'Por Valoracion (3) Dimension'!B156</f>
        <v>0</v>
      </c>
      <c r="BC156" s="39" t="str">
        <f>'Por Valoracion (3) Dimension 2'!F156</f>
        <v>0</v>
      </c>
      <c r="BX156" s="38"/>
      <c r="BZ156" t="str">
        <f>('Inteligencia emocional'!A157)</f>
        <v>0</v>
      </c>
      <c r="CA156" s="39" t="str">
        <f>'Por Valoracion (3) Dimension'!B156</f>
        <v>0</v>
      </c>
      <c r="CB156" s="39" t="str">
        <f>'Por Valoracion (3) Dimension 2'!H156</f>
        <v>0</v>
      </c>
      <c r="CW156" s="38"/>
      <c r="CY156" s="46"/>
      <c r="DA156" t="str">
        <f>('Inteligencia emocional'!A157)</f>
        <v>0</v>
      </c>
      <c r="DB156" s="39" t="str">
        <f>'Por Valoracion (3) Dimension'!D156</f>
        <v>0</v>
      </c>
      <c r="DC156" s="39" t="str">
        <f>'Por Valoracion (3) Dimension 2'!B156</f>
        <v>0</v>
      </c>
      <c r="DX156" s="46"/>
      <c r="DZ156" t="str">
        <f>('Inteligencia emocional'!A157)</f>
        <v>0</v>
      </c>
      <c r="EA156" s="39" t="str">
        <f>'Por Valoracion (3) Dimension'!D156</f>
        <v>0</v>
      </c>
      <c r="EB156" s="39" t="str">
        <f>'Por Valoracion (3) Dimension 2'!D156</f>
        <v>0</v>
      </c>
      <c r="EW156" s="46"/>
      <c r="EY156" t="str">
        <f>('Inteligencia emocional'!A157)</f>
        <v>0</v>
      </c>
      <c r="EZ156" s="39" t="str">
        <f>'Por Valoracion (3) Dimension'!D156</f>
        <v>0</v>
      </c>
      <c r="FA156" s="39" t="str">
        <f>'Por Valoracion (3) Dimension 2'!F156</f>
        <v>0</v>
      </c>
      <c r="FV156" s="46"/>
      <c r="FX156" t="str">
        <f>('Inteligencia emocional'!A157)</f>
        <v>0</v>
      </c>
      <c r="FY156" s="39" t="str">
        <f>'Por Valoracion (3) Dimension'!D156</f>
        <v>0</v>
      </c>
      <c r="FZ156" s="39" t="str">
        <f>'Por Valoracion (3) Dimension 2'!H156</f>
        <v>0</v>
      </c>
      <c r="GU156" s="46"/>
      <c r="GW156" s="47"/>
      <c r="GY156" t="str">
        <f>('Inteligencia emocional'!A157)</f>
        <v>0</v>
      </c>
      <c r="GZ156" s="39" t="str">
        <f>'Por Valoracion (3) Dimension'!F156</f>
        <v>0</v>
      </c>
      <c r="HA156" s="39" t="str">
        <f>'Por Valoracion (3) Dimension 2'!B156</f>
        <v>0</v>
      </c>
      <c r="HV156" s="47"/>
      <c r="HX156" t="str">
        <f>('Inteligencia emocional'!A157)</f>
        <v>0</v>
      </c>
      <c r="HY156" s="39" t="str">
        <f>'Por Valoracion (3) Dimension'!F156</f>
        <v>0</v>
      </c>
      <c r="HZ156" s="39" t="str">
        <f>'Por Valoracion (3) Dimension 2'!D156</f>
        <v>0</v>
      </c>
      <c r="IU156" s="47"/>
      <c r="IW156" t="str">
        <f>('Inteligencia emocional'!A157)</f>
        <v>0</v>
      </c>
      <c r="IX156" s="39" t="str">
        <f>'Por Valoracion (3) Dimension'!F156</f>
        <v>0</v>
      </c>
      <c r="IY156" s="39" t="str">
        <f>'Por Valoracion (3) Dimension 2'!F156</f>
        <v>0</v>
      </c>
      <c r="JT156" s="47"/>
      <c r="JV156" t="str">
        <f>('Inteligencia emocional'!A157)</f>
        <v>0</v>
      </c>
      <c r="JW156" s="39" t="str">
        <f>'Por Valoracion (3) Dimension'!F156</f>
        <v>0</v>
      </c>
      <c r="JX156" s="39" t="str">
        <f>'Por Valoracion (3) Dimension 2'!H156</f>
        <v>0</v>
      </c>
      <c r="KS156" s="47"/>
    </row>
    <row r="157" spans="1:305">
      <c r="A157" s="38"/>
      <c r="C157" t="str">
        <f>('Inteligencia emocional'!A158)</f>
        <v>0</v>
      </c>
      <c r="D157" s="39" t="str">
        <f>'Por Valoracion (3) Dimension'!B157</f>
        <v>0</v>
      </c>
      <c r="E157" s="39" t="str">
        <f>'Por Valoracion (3) Dimension 2'!B157</f>
        <v>0</v>
      </c>
      <c r="Z157" s="38"/>
      <c r="AB157" t="str">
        <f>('Inteligencia emocional'!A158)</f>
        <v>0</v>
      </c>
      <c r="AC157" s="39" t="str">
        <f>'Por Valoracion (3) Dimension'!B157</f>
        <v>0</v>
      </c>
      <c r="AD157" s="39" t="str">
        <f>'Por Valoracion (3) Dimension 2'!D157</f>
        <v>0</v>
      </c>
      <c r="AY157" s="38"/>
      <c r="BA157" t="str">
        <f>('Inteligencia emocional'!A158)</f>
        <v>0</v>
      </c>
      <c r="BB157" s="39" t="str">
        <f>'Por Valoracion (3) Dimension'!B157</f>
        <v>0</v>
      </c>
      <c r="BC157" s="39" t="str">
        <f>'Por Valoracion (3) Dimension 2'!F157</f>
        <v>0</v>
      </c>
      <c r="BX157" s="38"/>
      <c r="BZ157" t="str">
        <f>('Inteligencia emocional'!A158)</f>
        <v>0</v>
      </c>
      <c r="CA157" s="39" t="str">
        <f>'Por Valoracion (3) Dimension'!B157</f>
        <v>0</v>
      </c>
      <c r="CB157" s="39" t="str">
        <f>'Por Valoracion (3) Dimension 2'!H157</f>
        <v>0</v>
      </c>
      <c r="CW157" s="38"/>
      <c r="CY157" s="46"/>
      <c r="DA157" t="str">
        <f>('Inteligencia emocional'!A158)</f>
        <v>0</v>
      </c>
      <c r="DB157" s="39" t="str">
        <f>'Por Valoracion (3) Dimension'!D157</f>
        <v>0</v>
      </c>
      <c r="DC157" s="39" t="str">
        <f>'Por Valoracion (3) Dimension 2'!B157</f>
        <v>0</v>
      </c>
      <c r="DX157" s="46"/>
      <c r="DZ157" t="str">
        <f>('Inteligencia emocional'!A158)</f>
        <v>0</v>
      </c>
      <c r="EA157" s="39" t="str">
        <f>'Por Valoracion (3) Dimension'!D157</f>
        <v>0</v>
      </c>
      <c r="EB157" s="39" t="str">
        <f>'Por Valoracion (3) Dimension 2'!D157</f>
        <v>0</v>
      </c>
      <c r="EW157" s="46"/>
      <c r="EY157" t="str">
        <f>('Inteligencia emocional'!A158)</f>
        <v>0</v>
      </c>
      <c r="EZ157" s="39" t="str">
        <f>'Por Valoracion (3) Dimension'!D157</f>
        <v>0</v>
      </c>
      <c r="FA157" s="39" t="str">
        <f>'Por Valoracion (3) Dimension 2'!F157</f>
        <v>0</v>
      </c>
      <c r="FV157" s="46"/>
      <c r="FX157" t="str">
        <f>('Inteligencia emocional'!A158)</f>
        <v>0</v>
      </c>
      <c r="FY157" s="39" t="str">
        <f>'Por Valoracion (3) Dimension'!D157</f>
        <v>0</v>
      </c>
      <c r="FZ157" s="39" t="str">
        <f>'Por Valoracion (3) Dimension 2'!H157</f>
        <v>0</v>
      </c>
      <c r="GU157" s="46"/>
      <c r="GW157" s="47"/>
      <c r="GY157" t="str">
        <f>('Inteligencia emocional'!A158)</f>
        <v>0</v>
      </c>
      <c r="GZ157" s="39" t="str">
        <f>'Por Valoracion (3) Dimension'!F157</f>
        <v>0</v>
      </c>
      <c r="HA157" s="39" t="str">
        <f>'Por Valoracion (3) Dimension 2'!B157</f>
        <v>0</v>
      </c>
      <c r="HV157" s="47"/>
      <c r="HX157" t="str">
        <f>('Inteligencia emocional'!A158)</f>
        <v>0</v>
      </c>
      <c r="HY157" s="39" t="str">
        <f>'Por Valoracion (3) Dimension'!F157</f>
        <v>0</v>
      </c>
      <c r="HZ157" s="39" t="str">
        <f>'Por Valoracion (3) Dimension 2'!D157</f>
        <v>0</v>
      </c>
      <c r="IU157" s="47"/>
      <c r="IW157" t="str">
        <f>('Inteligencia emocional'!A158)</f>
        <v>0</v>
      </c>
      <c r="IX157" s="39" t="str">
        <f>'Por Valoracion (3) Dimension'!F157</f>
        <v>0</v>
      </c>
      <c r="IY157" s="39" t="str">
        <f>'Por Valoracion (3) Dimension 2'!F157</f>
        <v>0</v>
      </c>
      <c r="JT157" s="47"/>
      <c r="JV157" t="str">
        <f>('Inteligencia emocional'!A158)</f>
        <v>0</v>
      </c>
      <c r="JW157" s="39" t="str">
        <f>'Por Valoracion (3) Dimension'!F157</f>
        <v>0</v>
      </c>
      <c r="JX157" s="39" t="str">
        <f>'Por Valoracion (3) Dimension 2'!H157</f>
        <v>0</v>
      </c>
      <c r="KS157" s="47"/>
    </row>
    <row r="158" spans="1:305">
      <c r="A158" s="38"/>
      <c r="C158" t="str">
        <f>('Inteligencia emocional'!A159)</f>
        <v>0</v>
      </c>
      <c r="D158" s="39" t="str">
        <f>'Por Valoracion (3) Dimension'!B158</f>
        <v>0</v>
      </c>
      <c r="E158" s="39" t="str">
        <f>'Por Valoracion (3) Dimension 2'!B158</f>
        <v>0</v>
      </c>
      <c r="Z158" s="38"/>
      <c r="AB158" t="str">
        <f>('Inteligencia emocional'!A159)</f>
        <v>0</v>
      </c>
      <c r="AC158" s="39" t="str">
        <f>'Por Valoracion (3) Dimension'!B158</f>
        <v>0</v>
      </c>
      <c r="AD158" s="39" t="str">
        <f>'Por Valoracion (3) Dimension 2'!D158</f>
        <v>0</v>
      </c>
      <c r="AY158" s="38"/>
      <c r="BA158" t="str">
        <f>('Inteligencia emocional'!A159)</f>
        <v>0</v>
      </c>
      <c r="BB158" s="39" t="str">
        <f>'Por Valoracion (3) Dimension'!B158</f>
        <v>0</v>
      </c>
      <c r="BC158" s="39" t="str">
        <f>'Por Valoracion (3) Dimension 2'!F158</f>
        <v>0</v>
      </c>
      <c r="BX158" s="38"/>
      <c r="BZ158" t="str">
        <f>('Inteligencia emocional'!A159)</f>
        <v>0</v>
      </c>
      <c r="CA158" s="39" t="str">
        <f>'Por Valoracion (3) Dimension'!B158</f>
        <v>0</v>
      </c>
      <c r="CB158" s="39" t="str">
        <f>'Por Valoracion (3) Dimension 2'!H158</f>
        <v>0</v>
      </c>
      <c r="CW158" s="38"/>
      <c r="CY158" s="46"/>
      <c r="DA158" t="str">
        <f>('Inteligencia emocional'!A159)</f>
        <v>0</v>
      </c>
      <c r="DB158" s="39" t="str">
        <f>'Por Valoracion (3) Dimension'!D158</f>
        <v>0</v>
      </c>
      <c r="DC158" s="39" t="str">
        <f>'Por Valoracion (3) Dimension 2'!B158</f>
        <v>0</v>
      </c>
      <c r="DX158" s="46"/>
      <c r="DZ158" t="str">
        <f>('Inteligencia emocional'!A159)</f>
        <v>0</v>
      </c>
      <c r="EA158" s="39" t="str">
        <f>'Por Valoracion (3) Dimension'!D158</f>
        <v>0</v>
      </c>
      <c r="EB158" s="39" t="str">
        <f>'Por Valoracion (3) Dimension 2'!D158</f>
        <v>0</v>
      </c>
      <c r="EW158" s="46"/>
      <c r="EY158" t="str">
        <f>('Inteligencia emocional'!A159)</f>
        <v>0</v>
      </c>
      <c r="EZ158" s="39" t="str">
        <f>'Por Valoracion (3) Dimension'!D158</f>
        <v>0</v>
      </c>
      <c r="FA158" s="39" t="str">
        <f>'Por Valoracion (3) Dimension 2'!F158</f>
        <v>0</v>
      </c>
      <c r="FV158" s="46"/>
      <c r="FX158" t="str">
        <f>('Inteligencia emocional'!A159)</f>
        <v>0</v>
      </c>
      <c r="FY158" s="39" t="str">
        <f>'Por Valoracion (3) Dimension'!D158</f>
        <v>0</v>
      </c>
      <c r="FZ158" s="39" t="str">
        <f>'Por Valoracion (3) Dimension 2'!H158</f>
        <v>0</v>
      </c>
      <c r="GU158" s="46"/>
      <c r="GW158" s="47"/>
      <c r="GY158" t="str">
        <f>('Inteligencia emocional'!A159)</f>
        <v>0</v>
      </c>
      <c r="GZ158" s="39" t="str">
        <f>'Por Valoracion (3) Dimension'!F158</f>
        <v>0</v>
      </c>
      <c r="HA158" s="39" t="str">
        <f>'Por Valoracion (3) Dimension 2'!B158</f>
        <v>0</v>
      </c>
      <c r="HV158" s="47"/>
      <c r="HX158" t="str">
        <f>('Inteligencia emocional'!A159)</f>
        <v>0</v>
      </c>
      <c r="HY158" s="39" t="str">
        <f>'Por Valoracion (3) Dimension'!F158</f>
        <v>0</v>
      </c>
      <c r="HZ158" s="39" t="str">
        <f>'Por Valoracion (3) Dimension 2'!D158</f>
        <v>0</v>
      </c>
      <c r="IU158" s="47"/>
      <c r="IW158" t="str">
        <f>('Inteligencia emocional'!A159)</f>
        <v>0</v>
      </c>
      <c r="IX158" s="39" t="str">
        <f>'Por Valoracion (3) Dimension'!F158</f>
        <v>0</v>
      </c>
      <c r="IY158" s="39" t="str">
        <f>'Por Valoracion (3) Dimension 2'!F158</f>
        <v>0</v>
      </c>
      <c r="JT158" s="47"/>
      <c r="JV158" t="str">
        <f>('Inteligencia emocional'!A159)</f>
        <v>0</v>
      </c>
      <c r="JW158" s="39" t="str">
        <f>'Por Valoracion (3) Dimension'!F158</f>
        <v>0</v>
      </c>
      <c r="JX158" s="39" t="str">
        <f>'Por Valoracion (3) Dimension 2'!H158</f>
        <v>0</v>
      </c>
      <c r="KS158" s="47"/>
    </row>
    <row r="159" spans="1:305">
      <c r="A159" s="38"/>
      <c r="C159" t="str">
        <f>('Inteligencia emocional'!A160)</f>
        <v>0</v>
      </c>
      <c r="D159" s="39" t="str">
        <f>'Por Valoracion (3) Dimension'!B159</f>
        <v>0</v>
      </c>
      <c r="E159" s="39" t="str">
        <f>'Por Valoracion (3) Dimension 2'!B159</f>
        <v>0</v>
      </c>
      <c r="Z159" s="38"/>
      <c r="AB159" t="str">
        <f>('Inteligencia emocional'!A160)</f>
        <v>0</v>
      </c>
      <c r="AC159" s="39" t="str">
        <f>'Por Valoracion (3) Dimension'!B159</f>
        <v>0</v>
      </c>
      <c r="AD159" s="39" t="str">
        <f>'Por Valoracion (3) Dimension 2'!D159</f>
        <v>0</v>
      </c>
      <c r="AY159" s="38"/>
      <c r="BA159" t="str">
        <f>('Inteligencia emocional'!A160)</f>
        <v>0</v>
      </c>
      <c r="BB159" s="39" t="str">
        <f>'Por Valoracion (3) Dimension'!B159</f>
        <v>0</v>
      </c>
      <c r="BC159" s="39" t="str">
        <f>'Por Valoracion (3) Dimension 2'!F159</f>
        <v>0</v>
      </c>
      <c r="BX159" s="38"/>
      <c r="BZ159" t="str">
        <f>('Inteligencia emocional'!A160)</f>
        <v>0</v>
      </c>
      <c r="CA159" s="39" t="str">
        <f>'Por Valoracion (3) Dimension'!B159</f>
        <v>0</v>
      </c>
      <c r="CB159" s="39" t="str">
        <f>'Por Valoracion (3) Dimension 2'!H159</f>
        <v>0</v>
      </c>
      <c r="CW159" s="38"/>
      <c r="CY159" s="46"/>
      <c r="DA159" t="str">
        <f>('Inteligencia emocional'!A160)</f>
        <v>0</v>
      </c>
      <c r="DB159" s="39" t="str">
        <f>'Por Valoracion (3) Dimension'!D159</f>
        <v>0</v>
      </c>
      <c r="DC159" s="39" t="str">
        <f>'Por Valoracion (3) Dimension 2'!B159</f>
        <v>0</v>
      </c>
      <c r="DX159" s="46"/>
      <c r="DZ159" t="str">
        <f>('Inteligencia emocional'!A160)</f>
        <v>0</v>
      </c>
      <c r="EA159" s="39" t="str">
        <f>'Por Valoracion (3) Dimension'!D159</f>
        <v>0</v>
      </c>
      <c r="EB159" s="39" t="str">
        <f>'Por Valoracion (3) Dimension 2'!D159</f>
        <v>0</v>
      </c>
      <c r="EW159" s="46"/>
      <c r="EY159" t="str">
        <f>('Inteligencia emocional'!A160)</f>
        <v>0</v>
      </c>
      <c r="EZ159" s="39" t="str">
        <f>'Por Valoracion (3) Dimension'!D159</f>
        <v>0</v>
      </c>
      <c r="FA159" s="39" t="str">
        <f>'Por Valoracion (3) Dimension 2'!F159</f>
        <v>0</v>
      </c>
      <c r="FV159" s="46"/>
      <c r="FX159" t="str">
        <f>('Inteligencia emocional'!A160)</f>
        <v>0</v>
      </c>
      <c r="FY159" s="39" t="str">
        <f>'Por Valoracion (3) Dimension'!D159</f>
        <v>0</v>
      </c>
      <c r="FZ159" s="39" t="str">
        <f>'Por Valoracion (3) Dimension 2'!H159</f>
        <v>0</v>
      </c>
      <c r="GU159" s="46"/>
      <c r="GW159" s="47"/>
      <c r="GY159" t="str">
        <f>('Inteligencia emocional'!A160)</f>
        <v>0</v>
      </c>
      <c r="GZ159" s="39" t="str">
        <f>'Por Valoracion (3) Dimension'!F159</f>
        <v>0</v>
      </c>
      <c r="HA159" s="39" t="str">
        <f>'Por Valoracion (3) Dimension 2'!B159</f>
        <v>0</v>
      </c>
      <c r="HV159" s="47"/>
      <c r="HX159" t="str">
        <f>('Inteligencia emocional'!A160)</f>
        <v>0</v>
      </c>
      <c r="HY159" s="39" t="str">
        <f>'Por Valoracion (3) Dimension'!F159</f>
        <v>0</v>
      </c>
      <c r="HZ159" s="39" t="str">
        <f>'Por Valoracion (3) Dimension 2'!D159</f>
        <v>0</v>
      </c>
      <c r="IU159" s="47"/>
      <c r="IW159" t="str">
        <f>('Inteligencia emocional'!A160)</f>
        <v>0</v>
      </c>
      <c r="IX159" s="39" t="str">
        <f>'Por Valoracion (3) Dimension'!F159</f>
        <v>0</v>
      </c>
      <c r="IY159" s="39" t="str">
        <f>'Por Valoracion (3) Dimension 2'!F159</f>
        <v>0</v>
      </c>
      <c r="JT159" s="47"/>
      <c r="JV159" t="str">
        <f>('Inteligencia emocional'!A160)</f>
        <v>0</v>
      </c>
      <c r="JW159" s="39" t="str">
        <f>'Por Valoracion (3) Dimension'!F159</f>
        <v>0</v>
      </c>
      <c r="JX159" s="39" t="str">
        <f>'Por Valoracion (3) Dimension 2'!H159</f>
        <v>0</v>
      </c>
      <c r="KS159" s="47"/>
    </row>
    <row r="160" spans="1:305">
      <c r="A160" s="38"/>
      <c r="C160" t="str">
        <f>('Inteligencia emocional'!A161)</f>
        <v>0</v>
      </c>
      <c r="D160" s="39" t="str">
        <f>'Por Valoracion (3) Dimension'!B160</f>
        <v>0</v>
      </c>
      <c r="E160" s="39" t="str">
        <f>'Por Valoracion (3) Dimension 2'!B160</f>
        <v>0</v>
      </c>
      <c r="Z160" s="38"/>
      <c r="AB160" t="str">
        <f>('Inteligencia emocional'!A161)</f>
        <v>0</v>
      </c>
      <c r="AC160" s="39" t="str">
        <f>'Por Valoracion (3) Dimension'!B160</f>
        <v>0</v>
      </c>
      <c r="AD160" s="39" t="str">
        <f>'Por Valoracion (3) Dimension 2'!D160</f>
        <v>0</v>
      </c>
      <c r="AY160" s="38"/>
      <c r="BA160" t="str">
        <f>('Inteligencia emocional'!A161)</f>
        <v>0</v>
      </c>
      <c r="BB160" s="39" t="str">
        <f>'Por Valoracion (3) Dimension'!B160</f>
        <v>0</v>
      </c>
      <c r="BC160" s="39" t="str">
        <f>'Por Valoracion (3) Dimension 2'!F160</f>
        <v>0</v>
      </c>
      <c r="BX160" s="38"/>
      <c r="BZ160" t="str">
        <f>('Inteligencia emocional'!A161)</f>
        <v>0</v>
      </c>
      <c r="CA160" s="39" t="str">
        <f>'Por Valoracion (3) Dimension'!B160</f>
        <v>0</v>
      </c>
      <c r="CB160" s="39" t="str">
        <f>'Por Valoracion (3) Dimension 2'!H160</f>
        <v>0</v>
      </c>
      <c r="CW160" s="38"/>
      <c r="CY160" s="46"/>
      <c r="DA160" t="str">
        <f>('Inteligencia emocional'!A161)</f>
        <v>0</v>
      </c>
      <c r="DB160" s="39" t="str">
        <f>'Por Valoracion (3) Dimension'!D160</f>
        <v>0</v>
      </c>
      <c r="DC160" s="39" t="str">
        <f>'Por Valoracion (3) Dimension 2'!B160</f>
        <v>0</v>
      </c>
      <c r="DX160" s="46"/>
      <c r="DZ160" t="str">
        <f>('Inteligencia emocional'!A161)</f>
        <v>0</v>
      </c>
      <c r="EA160" s="39" t="str">
        <f>'Por Valoracion (3) Dimension'!D160</f>
        <v>0</v>
      </c>
      <c r="EB160" s="39" t="str">
        <f>'Por Valoracion (3) Dimension 2'!D160</f>
        <v>0</v>
      </c>
      <c r="EW160" s="46"/>
      <c r="EY160" t="str">
        <f>('Inteligencia emocional'!A161)</f>
        <v>0</v>
      </c>
      <c r="EZ160" s="39" t="str">
        <f>'Por Valoracion (3) Dimension'!D160</f>
        <v>0</v>
      </c>
      <c r="FA160" s="39" t="str">
        <f>'Por Valoracion (3) Dimension 2'!F160</f>
        <v>0</v>
      </c>
      <c r="FV160" s="46"/>
      <c r="FX160" t="str">
        <f>('Inteligencia emocional'!A161)</f>
        <v>0</v>
      </c>
      <c r="FY160" s="39" t="str">
        <f>'Por Valoracion (3) Dimension'!D160</f>
        <v>0</v>
      </c>
      <c r="FZ160" s="39" t="str">
        <f>'Por Valoracion (3) Dimension 2'!H160</f>
        <v>0</v>
      </c>
      <c r="GU160" s="46"/>
      <c r="GW160" s="47"/>
      <c r="GY160" t="str">
        <f>('Inteligencia emocional'!A161)</f>
        <v>0</v>
      </c>
      <c r="GZ160" s="39" t="str">
        <f>'Por Valoracion (3) Dimension'!F160</f>
        <v>0</v>
      </c>
      <c r="HA160" s="39" t="str">
        <f>'Por Valoracion (3) Dimension 2'!B160</f>
        <v>0</v>
      </c>
      <c r="HV160" s="47"/>
      <c r="HX160" t="str">
        <f>('Inteligencia emocional'!A161)</f>
        <v>0</v>
      </c>
      <c r="HY160" s="39" t="str">
        <f>'Por Valoracion (3) Dimension'!F160</f>
        <v>0</v>
      </c>
      <c r="HZ160" s="39" t="str">
        <f>'Por Valoracion (3) Dimension 2'!D160</f>
        <v>0</v>
      </c>
      <c r="IU160" s="47"/>
      <c r="IW160" t="str">
        <f>('Inteligencia emocional'!A161)</f>
        <v>0</v>
      </c>
      <c r="IX160" s="39" t="str">
        <f>'Por Valoracion (3) Dimension'!F160</f>
        <v>0</v>
      </c>
      <c r="IY160" s="39" t="str">
        <f>'Por Valoracion (3) Dimension 2'!F160</f>
        <v>0</v>
      </c>
      <c r="JT160" s="47"/>
      <c r="JV160" t="str">
        <f>('Inteligencia emocional'!A161)</f>
        <v>0</v>
      </c>
      <c r="JW160" s="39" t="str">
        <f>'Por Valoracion (3) Dimension'!F160</f>
        <v>0</v>
      </c>
      <c r="JX160" s="39" t="str">
        <f>'Por Valoracion (3) Dimension 2'!H160</f>
        <v>0</v>
      </c>
      <c r="KS160" s="47"/>
    </row>
    <row r="161" spans="1:305">
      <c r="A161" s="38"/>
      <c r="C161" t="str">
        <f>('Inteligencia emocional'!A162)</f>
        <v>0</v>
      </c>
      <c r="D161" s="39" t="str">
        <f>'Por Valoracion (3) Dimension'!B161</f>
        <v>0</v>
      </c>
      <c r="E161" s="39" t="str">
        <f>'Por Valoracion (3) Dimension 2'!B161</f>
        <v>0</v>
      </c>
      <c r="Z161" s="38"/>
      <c r="AB161" t="str">
        <f>('Inteligencia emocional'!A162)</f>
        <v>0</v>
      </c>
      <c r="AC161" s="39" t="str">
        <f>'Por Valoracion (3) Dimension'!B161</f>
        <v>0</v>
      </c>
      <c r="AD161" s="39" t="str">
        <f>'Por Valoracion (3) Dimension 2'!D161</f>
        <v>0</v>
      </c>
      <c r="AY161" s="38"/>
      <c r="BA161" t="str">
        <f>('Inteligencia emocional'!A162)</f>
        <v>0</v>
      </c>
      <c r="BB161" s="39" t="str">
        <f>'Por Valoracion (3) Dimension'!B161</f>
        <v>0</v>
      </c>
      <c r="BC161" s="39" t="str">
        <f>'Por Valoracion (3) Dimension 2'!F161</f>
        <v>0</v>
      </c>
      <c r="BX161" s="38"/>
      <c r="BZ161" t="str">
        <f>('Inteligencia emocional'!A162)</f>
        <v>0</v>
      </c>
      <c r="CA161" s="39" t="str">
        <f>'Por Valoracion (3) Dimension'!B161</f>
        <v>0</v>
      </c>
      <c r="CB161" s="39" t="str">
        <f>'Por Valoracion (3) Dimension 2'!H161</f>
        <v>0</v>
      </c>
      <c r="CW161" s="38"/>
      <c r="CY161" s="46"/>
      <c r="DA161" t="str">
        <f>('Inteligencia emocional'!A162)</f>
        <v>0</v>
      </c>
      <c r="DB161" s="39" t="str">
        <f>'Por Valoracion (3) Dimension'!D161</f>
        <v>0</v>
      </c>
      <c r="DC161" s="39" t="str">
        <f>'Por Valoracion (3) Dimension 2'!B161</f>
        <v>0</v>
      </c>
      <c r="DX161" s="46"/>
      <c r="DZ161" t="str">
        <f>('Inteligencia emocional'!A162)</f>
        <v>0</v>
      </c>
      <c r="EA161" s="39" t="str">
        <f>'Por Valoracion (3) Dimension'!D161</f>
        <v>0</v>
      </c>
      <c r="EB161" s="39" t="str">
        <f>'Por Valoracion (3) Dimension 2'!D161</f>
        <v>0</v>
      </c>
      <c r="EW161" s="46"/>
      <c r="EY161" t="str">
        <f>('Inteligencia emocional'!A162)</f>
        <v>0</v>
      </c>
      <c r="EZ161" s="39" t="str">
        <f>'Por Valoracion (3) Dimension'!D161</f>
        <v>0</v>
      </c>
      <c r="FA161" s="39" t="str">
        <f>'Por Valoracion (3) Dimension 2'!F161</f>
        <v>0</v>
      </c>
      <c r="FV161" s="46"/>
      <c r="FX161" t="str">
        <f>('Inteligencia emocional'!A162)</f>
        <v>0</v>
      </c>
      <c r="FY161" s="39" t="str">
        <f>'Por Valoracion (3) Dimension'!D161</f>
        <v>0</v>
      </c>
      <c r="FZ161" s="39" t="str">
        <f>'Por Valoracion (3) Dimension 2'!H161</f>
        <v>0</v>
      </c>
      <c r="GU161" s="46"/>
      <c r="GW161" s="47"/>
      <c r="GY161" t="str">
        <f>('Inteligencia emocional'!A162)</f>
        <v>0</v>
      </c>
      <c r="GZ161" s="39" t="str">
        <f>'Por Valoracion (3) Dimension'!F161</f>
        <v>0</v>
      </c>
      <c r="HA161" s="39" t="str">
        <f>'Por Valoracion (3) Dimension 2'!B161</f>
        <v>0</v>
      </c>
      <c r="HV161" s="47"/>
      <c r="HX161" t="str">
        <f>('Inteligencia emocional'!A162)</f>
        <v>0</v>
      </c>
      <c r="HY161" s="39" t="str">
        <f>'Por Valoracion (3) Dimension'!F161</f>
        <v>0</v>
      </c>
      <c r="HZ161" s="39" t="str">
        <f>'Por Valoracion (3) Dimension 2'!D161</f>
        <v>0</v>
      </c>
      <c r="IU161" s="47"/>
      <c r="IW161" t="str">
        <f>('Inteligencia emocional'!A162)</f>
        <v>0</v>
      </c>
      <c r="IX161" s="39" t="str">
        <f>'Por Valoracion (3) Dimension'!F161</f>
        <v>0</v>
      </c>
      <c r="IY161" s="39" t="str">
        <f>'Por Valoracion (3) Dimension 2'!F161</f>
        <v>0</v>
      </c>
      <c r="JT161" s="47"/>
      <c r="JV161" t="str">
        <f>('Inteligencia emocional'!A162)</f>
        <v>0</v>
      </c>
      <c r="JW161" s="39" t="str">
        <f>'Por Valoracion (3) Dimension'!F161</f>
        <v>0</v>
      </c>
      <c r="JX161" s="39" t="str">
        <f>'Por Valoracion (3) Dimension 2'!H161</f>
        <v>0</v>
      </c>
      <c r="KS161" s="47"/>
    </row>
    <row r="162" spans="1:305">
      <c r="A162" s="38"/>
      <c r="C162" t="str">
        <f>('Inteligencia emocional'!A163)</f>
        <v>0</v>
      </c>
      <c r="D162" s="39" t="str">
        <f>'Por Valoracion (3) Dimension'!B162</f>
        <v>0</v>
      </c>
      <c r="E162" s="39" t="str">
        <f>'Por Valoracion (3) Dimension 2'!B162</f>
        <v>0</v>
      </c>
      <c r="Z162" s="38"/>
      <c r="AB162" t="str">
        <f>('Inteligencia emocional'!A163)</f>
        <v>0</v>
      </c>
      <c r="AC162" s="39" t="str">
        <f>'Por Valoracion (3) Dimension'!B162</f>
        <v>0</v>
      </c>
      <c r="AD162" s="39" t="str">
        <f>'Por Valoracion (3) Dimension 2'!D162</f>
        <v>0</v>
      </c>
      <c r="AY162" s="38"/>
      <c r="BA162" t="str">
        <f>('Inteligencia emocional'!A163)</f>
        <v>0</v>
      </c>
      <c r="BB162" s="39" t="str">
        <f>'Por Valoracion (3) Dimension'!B162</f>
        <v>0</v>
      </c>
      <c r="BC162" s="39" t="str">
        <f>'Por Valoracion (3) Dimension 2'!F162</f>
        <v>0</v>
      </c>
      <c r="BX162" s="38"/>
      <c r="BZ162" t="str">
        <f>('Inteligencia emocional'!A163)</f>
        <v>0</v>
      </c>
      <c r="CA162" s="39" t="str">
        <f>'Por Valoracion (3) Dimension'!B162</f>
        <v>0</v>
      </c>
      <c r="CB162" s="39" t="str">
        <f>'Por Valoracion (3) Dimension 2'!H162</f>
        <v>0</v>
      </c>
      <c r="CW162" s="38"/>
      <c r="CY162" s="46"/>
      <c r="DA162" t="str">
        <f>('Inteligencia emocional'!A163)</f>
        <v>0</v>
      </c>
      <c r="DB162" s="39" t="str">
        <f>'Por Valoracion (3) Dimension'!D162</f>
        <v>0</v>
      </c>
      <c r="DC162" s="39" t="str">
        <f>'Por Valoracion (3) Dimension 2'!B162</f>
        <v>0</v>
      </c>
      <c r="DX162" s="46"/>
      <c r="DZ162" t="str">
        <f>('Inteligencia emocional'!A163)</f>
        <v>0</v>
      </c>
      <c r="EA162" s="39" t="str">
        <f>'Por Valoracion (3) Dimension'!D162</f>
        <v>0</v>
      </c>
      <c r="EB162" s="39" t="str">
        <f>'Por Valoracion (3) Dimension 2'!D162</f>
        <v>0</v>
      </c>
      <c r="EW162" s="46"/>
      <c r="EY162" t="str">
        <f>('Inteligencia emocional'!A163)</f>
        <v>0</v>
      </c>
      <c r="EZ162" s="39" t="str">
        <f>'Por Valoracion (3) Dimension'!D162</f>
        <v>0</v>
      </c>
      <c r="FA162" s="39" t="str">
        <f>'Por Valoracion (3) Dimension 2'!F162</f>
        <v>0</v>
      </c>
      <c r="FV162" s="46"/>
      <c r="FX162" t="str">
        <f>('Inteligencia emocional'!A163)</f>
        <v>0</v>
      </c>
      <c r="FY162" s="39" t="str">
        <f>'Por Valoracion (3) Dimension'!D162</f>
        <v>0</v>
      </c>
      <c r="FZ162" s="39" t="str">
        <f>'Por Valoracion (3) Dimension 2'!H162</f>
        <v>0</v>
      </c>
      <c r="GU162" s="46"/>
      <c r="GW162" s="47"/>
      <c r="GY162" t="str">
        <f>('Inteligencia emocional'!A163)</f>
        <v>0</v>
      </c>
      <c r="GZ162" s="39" t="str">
        <f>'Por Valoracion (3) Dimension'!F162</f>
        <v>0</v>
      </c>
      <c r="HA162" s="39" t="str">
        <f>'Por Valoracion (3) Dimension 2'!B162</f>
        <v>0</v>
      </c>
      <c r="HV162" s="47"/>
      <c r="HX162" t="str">
        <f>('Inteligencia emocional'!A163)</f>
        <v>0</v>
      </c>
      <c r="HY162" s="39" t="str">
        <f>'Por Valoracion (3) Dimension'!F162</f>
        <v>0</v>
      </c>
      <c r="HZ162" s="39" t="str">
        <f>'Por Valoracion (3) Dimension 2'!D162</f>
        <v>0</v>
      </c>
      <c r="IU162" s="47"/>
      <c r="IW162" t="str">
        <f>('Inteligencia emocional'!A163)</f>
        <v>0</v>
      </c>
      <c r="IX162" s="39" t="str">
        <f>'Por Valoracion (3) Dimension'!F162</f>
        <v>0</v>
      </c>
      <c r="IY162" s="39" t="str">
        <f>'Por Valoracion (3) Dimension 2'!F162</f>
        <v>0</v>
      </c>
      <c r="JT162" s="47"/>
      <c r="JV162" t="str">
        <f>('Inteligencia emocional'!A163)</f>
        <v>0</v>
      </c>
      <c r="JW162" s="39" t="str">
        <f>'Por Valoracion (3) Dimension'!F162</f>
        <v>0</v>
      </c>
      <c r="JX162" s="39" t="str">
        <f>'Por Valoracion (3) Dimension 2'!H162</f>
        <v>0</v>
      </c>
      <c r="KS162" s="47"/>
    </row>
    <row r="163" spans="1:305">
      <c r="A163" s="38"/>
      <c r="C163" t="str">
        <f>('Inteligencia emocional'!A164)</f>
        <v>0</v>
      </c>
      <c r="D163" s="39" t="str">
        <f>'Por Valoracion (3) Dimension'!B163</f>
        <v>0</v>
      </c>
      <c r="E163" s="39" t="str">
        <f>'Por Valoracion (3) Dimension 2'!B163</f>
        <v>0</v>
      </c>
      <c r="Z163" s="38"/>
      <c r="AB163" t="str">
        <f>('Inteligencia emocional'!A164)</f>
        <v>0</v>
      </c>
      <c r="AC163" s="39" t="str">
        <f>'Por Valoracion (3) Dimension'!B163</f>
        <v>0</v>
      </c>
      <c r="AD163" s="39" t="str">
        <f>'Por Valoracion (3) Dimension 2'!D163</f>
        <v>0</v>
      </c>
      <c r="AY163" s="38"/>
      <c r="BA163" t="str">
        <f>('Inteligencia emocional'!A164)</f>
        <v>0</v>
      </c>
      <c r="BB163" s="39" t="str">
        <f>'Por Valoracion (3) Dimension'!B163</f>
        <v>0</v>
      </c>
      <c r="BC163" s="39" t="str">
        <f>'Por Valoracion (3) Dimension 2'!F163</f>
        <v>0</v>
      </c>
      <c r="BX163" s="38"/>
      <c r="BZ163" t="str">
        <f>('Inteligencia emocional'!A164)</f>
        <v>0</v>
      </c>
      <c r="CA163" s="39" t="str">
        <f>'Por Valoracion (3) Dimension'!B163</f>
        <v>0</v>
      </c>
      <c r="CB163" s="39" t="str">
        <f>'Por Valoracion (3) Dimension 2'!H163</f>
        <v>0</v>
      </c>
      <c r="CW163" s="38"/>
      <c r="CY163" s="46"/>
      <c r="DA163" t="str">
        <f>('Inteligencia emocional'!A164)</f>
        <v>0</v>
      </c>
      <c r="DB163" s="39" t="str">
        <f>'Por Valoracion (3) Dimension'!D163</f>
        <v>0</v>
      </c>
      <c r="DC163" s="39" t="str">
        <f>'Por Valoracion (3) Dimension 2'!B163</f>
        <v>0</v>
      </c>
      <c r="DX163" s="46"/>
      <c r="DZ163" t="str">
        <f>('Inteligencia emocional'!A164)</f>
        <v>0</v>
      </c>
      <c r="EA163" s="39" t="str">
        <f>'Por Valoracion (3) Dimension'!D163</f>
        <v>0</v>
      </c>
      <c r="EB163" s="39" t="str">
        <f>'Por Valoracion (3) Dimension 2'!D163</f>
        <v>0</v>
      </c>
      <c r="EW163" s="46"/>
      <c r="EY163" t="str">
        <f>('Inteligencia emocional'!A164)</f>
        <v>0</v>
      </c>
      <c r="EZ163" s="39" t="str">
        <f>'Por Valoracion (3) Dimension'!D163</f>
        <v>0</v>
      </c>
      <c r="FA163" s="39" t="str">
        <f>'Por Valoracion (3) Dimension 2'!F163</f>
        <v>0</v>
      </c>
      <c r="FV163" s="46"/>
      <c r="FX163" t="str">
        <f>('Inteligencia emocional'!A164)</f>
        <v>0</v>
      </c>
      <c r="FY163" s="39" t="str">
        <f>'Por Valoracion (3) Dimension'!D163</f>
        <v>0</v>
      </c>
      <c r="FZ163" s="39" t="str">
        <f>'Por Valoracion (3) Dimension 2'!H163</f>
        <v>0</v>
      </c>
      <c r="GU163" s="46"/>
      <c r="GW163" s="47"/>
      <c r="GY163" t="str">
        <f>('Inteligencia emocional'!A164)</f>
        <v>0</v>
      </c>
      <c r="GZ163" s="39" t="str">
        <f>'Por Valoracion (3) Dimension'!F163</f>
        <v>0</v>
      </c>
      <c r="HA163" s="39" t="str">
        <f>'Por Valoracion (3) Dimension 2'!B163</f>
        <v>0</v>
      </c>
      <c r="HV163" s="47"/>
      <c r="HX163" t="str">
        <f>('Inteligencia emocional'!A164)</f>
        <v>0</v>
      </c>
      <c r="HY163" s="39" t="str">
        <f>'Por Valoracion (3) Dimension'!F163</f>
        <v>0</v>
      </c>
      <c r="HZ163" s="39" t="str">
        <f>'Por Valoracion (3) Dimension 2'!D163</f>
        <v>0</v>
      </c>
      <c r="IU163" s="47"/>
      <c r="IW163" t="str">
        <f>('Inteligencia emocional'!A164)</f>
        <v>0</v>
      </c>
      <c r="IX163" s="39" t="str">
        <f>'Por Valoracion (3) Dimension'!F163</f>
        <v>0</v>
      </c>
      <c r="IY163" s="39" t="str">
        <f>'Por Valoracion (3) Dimension 2'!F163</f>
        <v>0</v>
      </c>
      <c r="JT163" s="47"/>
      <c r="JV163" t="str">
        <f>('Inteligencia emocional'!A164)</f>
        <v>0</v>
      </c>
      <c r="JW163" s="39" t="str">
        <f>'Por Valoracion (3) Dimension'!F163</f>
        <v>0</v>
      </c>
      <c r="JX163" s="39" t="str">
        <f>'Por Valoracion (3) Dimension 2'!H163</f>
        <v>0</v>
      </c>
      <c r="KS163" s="47"/>
    </row>
    <row r="164" spans="1:305">
      <c r="A164" s="38"/>
      <c r="C164" t="str">
        <f>('Inteligencia emocional'!A165)</f>
        <v>0</v>
      </c>
      <c r="D164" s="39" t="str">
        <f>'Por Valoracion (3) Dimension'!B164</f>
        <v>0</v>
      </c>
      <c r="E164" s="39" t="str">
        <f>'Por Valoracion (3) Dimension 2'!B164</f>
        <v>0</v>
      </c>
      <c r="Z164" s="38"/>
      <c r="AB164" t="str">
        <f>('Inteligencia emocional'!A165)</f>
        <v>0</v>
      </c>
      <c r="AC164" s="39" t="str">
        <f>'Por Valoracion (3) Dimension'!B164</f>
        <v>0</v>
      </c>
      <c r="AD164" s="39" t="str">
        <f>'Por Valoracion (3) Dimension 2'!D164</f>
        <v>0</v>
      </c>
      <c r="AY164" s="38"/>
      <c r="BA164" t="str">
        <f>('Inteligencia emocional'!A165)</f>
        <v>0</v>
      </c>
      <c r="BB164" s="39" t="str">
        <f>'Por Valoracion (3) Dimension'!B164</f>
        <v>0</v>
      </c>
      <c r="BC164" s="39" t="str">
        <f>'Por Valoracion (3) Dimension 2'!F164</f>
        <v>0</v>
      </c>
      <c r="BX164" s="38"/>
      <c r="BZ164" t="str">
        <f>('Inteligencia emocional'!A165)</f>
        <v>0</v>
      </c>
      <c r="CA164" s="39" t="str">
        <f>'Por Valoracion (3) Dimension'!B164</f>
        <v>0</v>
      </c>
      <c r="CB164" s="39" t="str">
        <f>'Por Valoracion (3) Dimension 2'!H164</f>
        <v>0</v>
      </c>
      <c r="CW164" s="38"/>
      <c r="CY164" s="46"/>
      <c r="DA164" t="str">
        <f>('Inteligencia emocional'!A165)</f>
        <v>0</v>
      </c>
      <c r="DB164" s="39" t="str">
        <f>'Por Valoracion (3) Dimension'!D164</f>
        <v>0</v>
      </c>
      <c r="DC164" s="39" t="str">
        <f>'Por Valoracion (3) Dimension 2'!B164</f>
        <v>0</v>
      </c>
      <c r="DX164" s="46"/>
      <c r="DZ164" t="str">
        <f>('Inteligencia emocional'!A165)</f>
        <v>0</v>
      </c>
      <c r="EA164" s="39" t="str">
        <f>'Por Valoracion (3) Dimension'!D164</f>
        <v>0</v>
      </c>
      <c r="EB164" s="39" t="str">
        <f>'Por Valoracion (3) Dimension 2'!D164</f>
        <v>0</v>
      </c>
      <c r="EW164" s="46"/>
      <c r="EY164" t="str">
        <f>('Inteligencia emocional'!A165)</f>
        <v>0</v>
      </c>
      <c r="EZ164" s="39" t="str">
        <f>'Por Valoracion (3) Dimension'!D164</f>
        <v>0</v>
      </c>
      <c r="FA164" s="39" t="str">
        <f>'Por Valoracion (3) Dimension 2'!F164</f>
        <v>0</v>
      </c>
      <c r="FV164" s="46"/>
      <c r="FX164" t="str">
        <f>('Inteligencia emocional'!A165)</f>
        <v>0</v>
      </c>
      <c r="FY164" s="39" t="str">
        <f>'Por Valoracion (3) Dimension'!D164</f>
        <v>0</v>
      </c>
      <c r="FZ164" s="39" t="str">
        <f>'Por Valoracion (3) Dimension 2'!H164</f>
        <v>0</v>
      </c>
      <c r="GU164" s="46"/>
      <c r="GW164" s="47"/>
      <c r="GY164" t="str">
        <f>('Inteligencia emocional'!A165)</f>
        <v>0</v>
      </c>
      <c r="GZ164" s="39" t="str">
        <f>'Por Valoracion (3) Dimension'!F164</f>
        <v>0</v>
      </c>
      <c r="HA164" s="39" t="str">
        <f>'Por Valoracion (3) Dimension 2'!B164</f>
        <v>0</v>
      </c>
      <c r="HV164" s="47"/>
      <c r="HX164" t="str">
        <f>('Inteligencia emocional'!A165)</f>
        <v>0</v>
      </c>
      <c r="HY164" s="39" t="str">
        <f>'Por Valoracion (3) Dimension'!F164</f>
        <v>0</v>
      </c>
      <c r="HZ164" s="39" t="str">
        <f>'Por Valoracion (3) Dimension 2'!D164</f>
        <v>0</v>
      </c>
      <c r="IU164" s="47"/>
      <c r="IW164" t="str">
        <f>('Inteligencia emocional'!A165)</f>
        <v>0</v>
      </c>
      <c r="IX164" s="39" t="str">
        <f>'Por Valoracion (3) Dimension'!F164</f>
        <v>0</v>
      </c>
      <c r="IY164" s="39" t="str">
        <f>'Por Valoracion (3) Dimension 2'!F164</f>
        <v>0</v>
      </c>
      <c r="JT164" s="47"/>
      <c r="JV164" t="str">
        <f>('Inteligencia emocional'!A165)</f>
        <v>0</v>
      </c>
      <c r="JW164" s="39" t="str">
        <f>'Por Valoracion (3) Dimension'!F164</f>
        <v>0</v>
      </c>
      <c r="JX164" s="39" t="str">
        <f>'Por Valoracion (3) Dimension 2'!H164</f>
        <v>0</v>
      </c>
      <c r="KS164" s="47"/>
    </row>
    <row r="165" spans="1:305">
      <c r="A165" s="38"/>
      <c r="C165" t="str">
        <f>('Inteligencia emocional'!A166)</f>
        <v>0</v>
      </c>
      <c r="D165" s="39" t="str">
        <f>'Por Valoracion (3) Dimension'!B165</f>
        <v>0</v>
      </c>
      <c r="E165" s="39" t="str">
        <f>'Por Valoracion (3) Dimension 2'!B165</f>
        <v>0</v>
      </c>
      <c r="Z165" s="38"/>
      <c r="AB165" t="str">
        <f>('Inteligencia emocional'!A166)</f>
        <v>0</v>
      </c>
      <c r="AC165" s="39" t="str">
        <f>'Por Valoracion (3) Dimension'!B165</f>
        <v>0</v>
      </c>
      <c r="AD165" s="39" t="str">
        <f>'Por Valoracion (3) Dimension 2'!D165</f>
        <v>0</v>
      </c>
      <c r="AY165" s="38"/>
      <c r="BA165" t="str">
        <f>('Inteligencia emocional'!A166)</f>
        <v>0</v>
      </c>
      <c r="BB165" s="39" t="str">
        <f>'Por Valoracion (3) Dimension'!B165</f>
        <v>0</v>
      </c>
      <c r="BC165" s="39" t="str">
        <f>'Por Valoracion (3) Dimension 2'!F165</f>
        <v>0</v>
      </c>
      <c r="BX165" s="38"/>
      <c r="BZ165" t="str">
        <f>('Inteligencia emocional'!A166)</f>
        <v>0</v>
      </c>
      <c r="CA165" s="39" t="str">
        <f>'Por Valoracion (3) Dimension'!B165</f>
        <v>0</v>
      </c>
      <c r="CB165" s="39" t="str">
        <f>'Por Valoracion (3) Dimension 2'!H165</f>
        <v>0</v>
      </c>
      <c r="CW165" s="38"/>
      <c r="CY165" s="46"/>
      <c r="DA165" t="str">
        <f>('Inteligencia emocional'!A166)</f>
        <v>0</v>
      </c>
      <c r="DB165" s="39" t="str">
        <f>'Por Valoracion (3) Dimension'!D165</f>
        <v>0</v>
      </c>
      <c r="DC165" s="39" t="str">
        <f>'Por Valoracion (3) Dimension 2'!B165</f>
        <v>0</v>
      </c>
      <c r="DX165" s="46"/>
      <c r="DZ165" t="str">
        <f>('Inteligencia emocional'!A166)</f>
        <v>0</v>
      </c>
      <c r="EA165" s="39" t="str">
        <f>'Por Valoracion (3) Dimension'!D165</f>
        <v>0</v>
      </c>
      <c r="EB165" s="39" t="str">
        <f>'Por Valoracion (3) Dimension 2'!D165</f>
        <v>0</v>
      </c>
      <c r="EW165" s="46"/>
      <c r="EY165" t="str">
        <f>('Inteligencia emocional'!A166)</f>
        <v>0</v>
      </c>
      <c r="EZ165" s="39" t="str">
        <f>'Por Valoracion (3) Dimension'!D165</f>
        <v>0</v>
      </c>
      <c r="FA165" s="39" t="str">
        <f>'Por Valoracion (3) Dimension 2'!F165</f>
        <v>0</v>
      </c>
      <c r="FV165" s="46"/>
      <c r="FX165" t="str">
        <f>('Inteligencia emocional'!A166)</f>
        <v>0</v>
      </c>
      <c r="FY165" s="39" t="str">
        <f>'Por Valoracion (3) Dimension'!D165</f>
        <v>0</v>
      </c>
      <c r="FZ165" s="39" t="str">
        <f>'Por Valoracion (3) Dimension 2'!H165</f>
        <v>0</v>
      </c>
      <c r="GU165" s="46"/>
      <c r="GW165" s="47"/>
      <c r="GY165" t="str">
        <f>('Inteligencia emocional'!A166)</f>
        <v>0</v>
      </c>
      <c r="GZ165" s="39" t="str">
        <f>'Por Valoracion (3) Dimension'!F165</f>
        <v>0</v>
      </c>
      <c r="HA165" s="39" t="str">
        <f>'Por Valoracion (3) Dimension 2'!B165</f>
        <v>0</v>
      </c>
      <c r="HV165" s="47"/>
      <c r="HX165" t="str">
        <f>('Inteligencia emocional'!A166)</f>
        <v>0</v>
      </c>
      <c r="HY165" s="39" t="str">
        <f>'Por Valoracion (3) Dimension'!F165</f>
        <v>0</v>
      </c>
      <c r="HZ165" s="39" t="str">
        <f>'Por Valoracion (3) Dimension 2'!D165</f>
        <v>0</v>
      </c>
      <c r="IU165" s="47"/>
      <c r="IW165" t="str">
        <f>('Inteligencia emocional'!A166)</f>
        <v>0</v>
      </c>
      <c r="IX165" s="39" t="str">
        <f>'Por Valoracion (3) Dimension'!F165</f>
        <v>0</v>
      </c>
      <c r="IY165" s="39" t="str">
        <f>'Por Valoracion (3) Dimension 2'!F165</f>
        <v>0</v>
      </c>
      <c r="JT165" s="47"/>
      <c r="JV165" t="str">
        <f>('Inteligencia emocional'!A166)</f>
        <v>0</v>
      </c>
      <c r="JW165" s="39" t="str">
        <f>'Por Valoracion (3) Dimension'!F165</f>
        <v>0</v>
      </c>
      <c r="JX165" s="39" t="str">
        <f>'Por Valoracion (3) Dimension 2'!H165</f>
        <v>0</v>
      </c>
      <c r="KS165" s="47"/>
    </row>
    <row r="166" spans="1:305">
      <c r="A166" s="38"/>
      <c r="C166" t="str">
        <f>('Inteligencia emocional'!A167)</f>
        <v>0</v>
      </c>
      <c r="D166" s="39" t="str">
        <f>'Por Valoracion (3) Dimension'!B166</f>
        <v>0</v>
      </c>
      <c r="E166" s="39" t="str">
        <f>'Por Valoracion (3) Dimension 2'!B166</f>
        <v>0</v>
      </c>
      <c r="Z166" s="38"/>
      <c r="AB166" t="str">
        <f>('Inteligencia emocional'!A167)</f>
        <v>0</v>
      </c>
      <c r="AC166" s="39" t="str">
        <f>'Por Valoracion (3) Dimension'!B166</f>
        <v>0</v>
      </c>
      <c r="AD166" s="39" t="str">
        <f>'Por Valoracion (3) Dimension 2'!D166</f>
        <v>0</v>
      </c>
      <c r="AY166" s="38"/>
      <c r="BA166" t="str">
        <f>('Inteligencia emocional'!A167)</f>
        <v>0</v>
      </c>
      <c r="BB166" s="39" t="str">
        <f>'Por Valoracion (3) Dimension'!B166</f>
        <v>0</v>
      </c>
      <c r="BC166" s="39" t="str">
        <f>'Por Valoracion (3) Dimension 2'!F166</f>
        <v>0</v>
      </c>
      <c r="BX166" s="38"/>
      <c r="BZ166" t="str">
        <f>('Inteligencia emocional'!A167)</f>
        <v>0</v>
      </c>
      <c r="CA166" s="39" t="str">
        <f>'Por Valoracion (3) Dimension'!B166</f>
        <v>0</v>
      </c>
      <c r="CB166" s="39" t="str">
        <f>'Por Valoracion (3) Dimension 2'!H166</f>
        <v>0</v>
      </c>
      <c r="CW166" s="38"/>
      <c r="CY166" s="46"/>
      <c r="DA166" t="str">
        <f>('Inteligencia emocional'!A167)</f>
        <v>0</v>
      </c>
      <c r="DB166" s="39" t="str">
        <f>'Por Valoracion (3) Dimension'!D166</f>
        <v>0</v>
      </c>
      <c r="DC166" s="39" t="str">
        <f>'Por Valoracion (3) Dimension 2'!B166</f>
        <v>0</v>
      </c>
      <c r="DX166" s="46"/>
      <c r="DZ166" t="str">
        <f>('Inteligencia emocional'!A167)</f>
        <v>0</v>
      </c>
      <c r="EA166" s="39" t="str">
        <f>'Por Valoracion (3) Dimension'!D166</f>
        <v>0</v>
      </c>
      <c r="EB166" s="39" t="str">
        <f>'Por Valoracion (3) Dimension 2'!D166</f>
        <v>0</v>
      </c>
      <c r="EW166" s="46"/>
      <c r="EY166" t="str">
        <f>('Inteligencia emocional'!A167)</f>
        <v>0</v>
      </c>
      <c r="EZ166" s="39" t="str">
        <f>'Por Valoracion (3) Dimension'!D166</f>
        <v>0</v>
      </c>
      <c r="FA166" s="39" t="str">
        <f>'Por Valoracion (3) Dimension 2'!F166</f>
        <v>0</v>
      </c>
      <c r="FV166" s="46"/>
      <c r="FX166" t="str">
        <f>('Inteligencia emocional'!A167)</f>
        <v>0</v>
      </c>
      <c r="FY166" s="39" t="str">
        <f>'Por Valoracion (3) Dimension'!D166</f>
        <v>0</v>
      </c>
      <c r="FZ166" s="39" t="str">
        <f>'Por Valoracion (3) Dimension 2'!H166</f>
        <v>0</v>
      </c>
      <c r="GU166" s="46"/>
      <c r="GW166" s="47"/>
      <c r="GY166" t="str">
        <f>('Inteligencia emocional'!A167)</f>
        <v>0</v>
      </c>
      <c r="GZ166" s="39" t="str">
        <f>'Por Valoracion (3) Dimension'!F166</f>
        <v>0</v>
      </c>
      <c r="HA166" s="39" t="str">
        <f>'Por Valoracion (3) Dimension 2'!B166</f>
        <v>0</v>
      </c>
      <c r="HV166" s="47"/>
      <c r="HX166" t="str">
        <f>('Inteligencia emocional'!A167)</f>
        <v>0</v>
      </c>
      <c r="HY166" s="39" t="str">
        <f>'Por Valoracion (3) Dimension'!F166</f>
        <v>0</v>
      </c>
      <c r="HZ166" s="39" t="str">
        <f>'Por Valoracion (3) Dimension 2'!D166</f>
        <v>0</v>
      </c>
      <c r="IU166" s="47"/>
      <c r="IW166" t="str">
        <f>('Inteligencia emocional'!A167)</f>
        <v>0</v>
      </c>
      <c r="IX166" s="39" t="str">
        <f>'Por Valoracion (3) Dimension'!F166</f>
        <v>0</v>
      </c>
      <c r="IY166" s="39" t="str">
        <f>'Por Valoracion (3) Dimension 2'!F166</f>
        <v>0</v>
      </c>
      <c r="JT166" s="47"/>
      <c r="JV166" t="str">
        <f>('Inteligencia emocional'!A167)</f>
        <v>0</v>
      </c>
      <c r="JW166" s="39" t="str">
        <f>'Por Valoracion (3) Dimension'!F166</f>
        <v>0</v>
      </c>
      <c r="JX166" s="39" t="str">
        <f>'Por Valoracion (3) Dimension 2'!H166</f>
        <v>0</v>
      </c>
      <c r="KS166" s="47"/>
    </row>
    <row r="167" spans="1:305">
      <c r="A167" s="38"/>
      <c r="C167" t="str">
        <f>('Inteligencia emocional'!A168)</f>
        <v>0</v>
      </c>
      <c r="D167" s="39" t="str">
        <f>'Por Valoracion (3) Dimension'!B167</f>
        <v>0</v>
      </c>
      <c r="E167" s="39" t="str">
        <f>'Por Valoracion (3) Dimension 2'!B167</f>
        <v>0</v>
      </c>
      <c r="Z167" s="38"/>
      <c r="AB167" t="str">
        <f>('Inteligencia emocional'!A168)</f>
        <v>0</v>
      </c>
      <c r="AC167" s="39" t="str">
        <f>'Por Valoracion (3) Dimension'!B167</f>
        <v>0</v>
      </c>
      <c r="AD167" s="39" t="str">
        <f>'Por Valoracion (3) Dimension 2'!D167</f>
        <v>0</v>
      </c>
      <c r="AY167" s="38"/>
      <c r="BA167" t="str">
        <f>('Inteligencia emocional'!A168)</f>
        <v>0</v>
      </c>
      <c r="BB167" s="39" t="str">
        <f>'Por Valoracion (3) Dimension'!B167</f>
        <v>0</v>
      </c>
      <c r="BC167" s="39" t="str">
        <f>'Por Valoracion (3) Dimension 2'!F167</f>
        <v>0</v>
      </c>
      <c r="BX167" s="38"/>
      <c r="BZ167" t="str">
        <f>('Inteligencia emocional'!A168)</f>
        <v>0</v>
      </c>
      <c r="CA167" s="39" t="str">
        <f>'Por Valoracion (3) Dimension'!B167</f>
        <v>0</v>
      </c>
      <c r="CB167" s="39" t="str">
        <f>'Por Valoracion (3) Dimension 2'!H167</f>
        <v>0</v>
      </c>
      <c r="CW167" s="38"/>
      <c r="CY167" s="46"/>
      <c r="DA167" t="str">
        <f>('Inteligencia emocional'!A168)</f>
        <v>0</v>
      </c>
      <c r="DB167" s="39" t="str">
        <f>'Por Valoracion (3) Dimension'!D167</f>
        <v>0</v>
      </c>
      <c r="DC167" s="39" t="str">
        <f>'Por Valoracion (3) Dimension 2'!B167</f>
        <v>0</v>
      </c>
      <c r="DX167" s="46"/>
      <c r="DZ167" t="str">
        <f>('Inteligencia emocional'!A168)</f>
        <v>0</v>
      </c>
      <c r="EA167" s="39" t="str">
        <f>'Por Valoracion (3) Dimension'!D167</f>
        <v>0</v>
      </c>
      <c r="EB167" s="39" t="str">
        <f>'Por Valoracion (3) Dimension 2'!D167</f>
        <v>0</v>
      </c>
      <c r="EW167" s="46"/>
      <c r="EY167" t="str">
        <f>('Inteligencia emocional'!A168)</f>
        <v>0</v>
      </c>
      <c r="EZ167" s="39" t="str">
        <f>'Por Valoracion (3) Dimension'!D167</f>
        <v>0</v>
      </c>
      <c r="FA167" s="39" t="str">
        <f>'Por Valoracion (3) Dimension 2'!F167</f>
        <v>0</v>
      </c>
      <c r="FV167" s="46"/>
      <c r="FX167" t="str">
        <f>('Inteligencia emocional'!A168)</f>
        <v>0</v>
      </c>
      <c r="FY167" s="39" t="str">
        <f>'Por Valoracion (3) Dimension'!D167</f>
        <v>0</v>
      </c>
      <c r="FZ167" s="39" t="str">
        <f>'Por Valoracion (3) Dimension 2'!H167</f>
        <v>0</v>
      </c>
      <c r="GU167" s="46"/>
      <c r="GW167" s="47"/>
      <c r="GY167" t="str">
        <f>('Inteligencia emocional'!A168)</f>
        <v>0</v>
      </c>
      <c r="GZ167" s="39" t="str">
        <f>'Por Valoracion (3) Dimension'!F167</f>
        <v>0</v>
      </c>
      <c r="HA167" s="39" t="str">
        <f>'Por Valoracion (3) Dimension 2'!B167</f>
        <v>0</v>
      </c>
      <c r="HV167" s="47"/>
      <c r="HX167" t="str">
        <f>('Inteligencia emocional'!A168)</f>
        <v>0</v>
      </c>
      <c r="HY167" s="39" t="str">
        <f>'Por Valoracion (3) Dimension'!F167</f>
        <v>0</v>
      </c>
      <c r="HZ167" s="39" t="str">
        <f>'Por Valoracion (3) Dimension 2'!D167</f>
        <v>0</v>
      </c>
      <c r="IU167" s="47"/>
      <c r="IW167" t="str">
        <f>('Inteligencia emocional'!A168)</f>
        <v>0</v>
      </c>
      <c r="IX167" s="39" t="str">
        <f>'Por Valoracion (3) Dimension'!F167</f>
        <v>0</v>
      </c>
      <c r="IY167" s="39" t="str">
        <f>'Por Valoracion (3) Dimension 2'!F167</f>
        <v>0</v>
      </c>
      <c r="JT167" s="47"/>
      <c r="JV167" t="str">
        <f>('Inteligencia emocional'!A168)</f>
        <v>0</v>
      </c>
      <c r="JW167" s="39" t="str">
        <f>'Por Valoracion (3) Dimension'!F167</f>
        <v>0</v>
      </c>
      <c r="JX167" s="39" t="str">
        <f>'Por Valoracion (3) Dimension 2'!H167</f>
        <v>0</v>
      </c>
      <c r="KS167" s="47"/>
    </row>
    <row r="168" spans="1:305">
      <c r="A168" s="38"/>
      <c r="C168" t="str">
        <f>('Inteligencia emocional'!A169)</f>
        <v>0</v>
      </c>
      <c r="D168" s="39" t="str">
        <f>'Por Valoracion (3) Dimension'!B168</f>
        <v>0</v>
      </c>
      <c r="E168" s="39" t="str">
        <f>'Por Valoracion (3) Dimension 2'!B168</f>
        <v>0</v>
      </c>
      <c r="Z168" s="38"/>
      <c r="AB168" t="str">
        <f>('Inteligencia emocional'!A169)</f>
        <v>0</v>
      </c>
      <c r="AC168" s="39" t="str">
        <f>'Por Valoracion (3) Dimension'!B168</f>
        <v>0</v>
      </c>
      <c r="AD168" s="39" t="str">
        <f>'Por Valoracion (3) Dimension 2'!D168</f>
        <v>0</v>
      </c>
      <c r="AY168" s="38"/>
      <c r="BA168" t="str">
        <f>('Inteligencia emocional'!A169)</f>
        <v>0</v>
      </c>
      <c r="BB168" s="39" t="str">
        <f>'Por Valoracion (3) Dimension'!B168</f>
        <v>0</v>
      </c>
      <c r="BC168" s="39" t="str">
        <f>'Por Valoracion (3) Dimension 2'!F168</f>
        <v>0</v>
      </c>
      <c r="BX168" s="38"/>
      <c r="BZ168" t="str">
        <f>('Inteligencia emocional'!A169)</f>
        <v>0</v>
      </c>
      <c r="CA168" s="39" t="str">
        <f>'Por Valoracion (3) Dimension'!B168</f>
        <v>0</v>
      </c>
      <c r="CB168" s="39" t="str">
        <f>'Por Valoracion (3) Dimension 2'!H168</f>
        <v>0</v>
      </c>
      <c r="CW168" s="38"/>
      <c r="CY168" s="46"/>
      <c r="DA168" t="str">
        <f>('Inteligencia emocional'!A169)</f>
        <v>0</v>
      </c>
      <c r="DB168" s="39" t="str">
        <f>'Por Valoracion (3) Dimension'!D168</f>
        <v>0</v>
      </c>
      <c r="DC168" s="39" t="str">
        <f>'Por Valoracion (3) Dimension 2'!B168</f>
        <v>0</v>
      </c>
      <c r="DX168" s="46"/>
      <c r="DZ168" t="str">
        <f>('Inteligencia emocional'!A169)</f>
        <v>0</v>
      </c>
      <c r="EA168" s="39" t="str">
        <f>'Por Valoracion (3) Dimension'!D168</f>
        <v>0</v>
      </c>
      <c r="EB168" s="39" t="str">
        <f>'Por Valoracion (3) Dimension 2'!D168</f>
        <v>0</v>
      </c>
      <c r="EW168" s="46"/>
      <c r="EY168" t="str">
        <f>('Inteligencia emocional'!A169)</f>
        <v>0</v>
      </c>
      <c r="EZ168" s="39" t="str">
        <f>'Por Valoracion (3) Dimension'!D168</f>
        <v>0</v>
      </c>
      <c r="FA168" s="39" t="str">
        <f>'Por Valoracion (3) Dimension 2'!F168</f>
        <v>0</v>
      </c>
      <c r="FV168" s="46"/>
      <c r="FX168" t="str">
        <f>('Inteligencia emocional'!A169)</f>
        <v>0</v>
      </c>
      <c r="FY168" s="39" t="str">
        <f>'Por Valoracion (3) Dimension'!D168</f>
        <v>0</v>
      </c>
      <c r="FZ168" s="39" t="str">
        <f>'Por Valoracion (3) Dimension 2'!H168</f>
        <v>0</v>
      </c>
      <c r="GU168" s="46"/>
      <c r="GW168" s="47"/>
      <c r="GY168" t="str">
        <f>('Inteligencia emocional'!A169)</f>
        <v>0</v>
      </c>
      <c r="GZ168" s="39" t="str">
        <f>'Por Valoracion (3) Dimension'!F168</f>
        <v>0</v>
      </c>
      <c r="HA168" s="39" t="str">
        <f>'Por Valoracion (3) Dimension 2'!B168</f>
        <v>0</v>
      </c>
      <c r="HV168" s="47"/>
      <c r="HX168" t="str">
        <f>('Inteligencia emocional'!A169)</f>
        <v>0</v>
      </c>
      <c r="HY168" s="39" t="str">
        <f>'Por Valoracion (3) Dimension'!F168</f>
        <v>0</v>
      </c>
      <c r="HZ168" s="39" t="str">
        <f>'Por Valoracion (3) Dimension 2'!D168</f>
        <v>0</v>
      </c>
      <c r="IU168" s="47"/>
      <c r="IW168" t="str">
        <f>('Inteligencia emocional'!A169)</f>
        <v>0</v>
      </c>
      <c r="IX168" s="39" t="str">
        <f>'Por Valoracion (3) Dimension'!F168</f>
        <v>0</v>
      </c>
      <c r="IY168" s="39" t="str">
        <f>'Por Valoracion (3) Dimension 2'!F168</f>
        <v>0</v>
      </c>
      <c r="JT168" s="47"/>
      <c r="JV168" t="str">
        <f>('Inteligencia emocional'!A169)</f>
        <v>0</v>
      </c>
      <c r="JW168" s="39" t="str">
        <f>'Por Valoracion (3) Dimension'!F168</f>
        <v>0</v>
      </c>
      <c r="JX168" s="39" t="str">
        <f>'Por Valoracion (3) Dimension 2'!H168</f>
        <v>0</v>
      </c>
      <c r="KS168" s="47"/>
    </row>
    <row r="169" spans="1:305">
      <c r="A169" s="38"/>
      <c r="C169" t="str">
        <f>('Inteligencia emocional'!A170)</f>
        <v>0</v>
      </c>
      <c r="D169" s="39" t="str">
        <f>'Por Valoracion (3) Dimension'!B169</f>
        <v>0</v>
      </c>
      <c r="E169" s="39" t="str">
        <f>'Por Valoracion (3) Dimension 2'!B169</f>
        <v>0</v>
      </c>
      <c r="Z169" s="38"/>
      <c r="AB169" t="str">
        <f>('Inteligencia emocional'!A170)</f>
        <v>0</v>
      </c>
      <c r="AC169" s="39" t="str">
        <f>'Por Valoracion (3) Dimension'!B169</f>
        <v>0</v>
      </c>
      <c r="AD169" s="39" t="str">
        <f>'Por Valoracion (3) Dimension 2'!D169</f>
        <v>0</v>
      </c>
      <c r="AY169" s="38"/>
      <c r="BA169" t="str">
        <f>('Inteligencia emocional'!A170)</f>
        <v>0</v>
      </c>
      <c r="BB169" s="39" t="str">
        <f>'Por Valoracion (3) Dimension'!B169</f>
        <v>0</v>
      </c>
      <c r="BC169" s="39" t="str">
        <f>'Por Valoracion (3) Dimension 2'!F169</f>
        <v>0</v>
      </c>
      <c r="BX169" s="38"/>
      <c r="BZ169" t="str">
        <f>('Inteligencia emocional'!A170)</f>
        <v>0</v>
      </c>
      <c r="CA169" s="39" t="str">
        <f>'Por Valoracion (3) Dimension'!B169</f>
        <v>0</v>
      </c>
      <c r="CB169" s="39" t="str">
        <f>'Por Valoracion (3) Dimension 2'!H169</f>
        <v>0</v>
      </c>
      <c r="CW169" s="38"/>
      <c r="CY169" s="46"/>
      <c r="DA169" t="str">
        <f>('Inteligencia emocional'!A170)</f>
        <v>0</v>
      </c>
      <c r="DB169" s="39" t="str">
        <f>'Por Valoracion (3) Dimension'!D169</f>
        <v>0</v>
      </c>
      <c r="DC169" s="39" t="str">
        <f>'Por Valoracion (3) Dimension 2'!B169</f>
        <v>0</v>
      </c>
      <c r="DX169" s="46"/>
      <c r="DZ169" t="str">
        <f>('Inteligencia emocional'!A170)</f>
        <v>0</v>
      </c>
      <c r="EA169" s="39" t="str">
        <f>'Por Valoracion (3) Dimension'!D169</f>
        <v>0</v>
      </c>
      <c r="EB169" s="39" t="str">
        <f>'Por Valoracion (3) Dimension 2'!D169</f>
        <v>0</v>
      </c>
      <c r="EW169" s="46"/>
      <c r="EY169" t="str">
        <f>('Inteligencia emocional'!A170)</f>
        <v>0</v>
      </c>
      <c r="EZ169" s="39" t="str">
        <f>'Por Valoracion (3) Dimension'!D169</f>
        <v>0</v>
      </c>
      <c r="FA169" s="39" t="str">
        <f>'Por Valoracion (3) Dimension 2'!F169</f>
        <v>0</v>
      </c>
      <c r="FV169" s="46"/>
      <c r="FX169" t="str">
        <f>('Inteligencia emocional'!A170)</f>
        <v>0</v>
      </c>
      <c r="FY169" s="39" t="str">
        <f>'Por Valoracion (3) Dimension'!D169</f>
        <v>0</v>
      </c>
      <c r="FZ169" s="39" t="str">
        <f>'Por Valoracion (3) Dimension 2'!H169</f>
        <v>0</v>
      </c>
      <c r="GU169" s="46"/>
      <c r="GW169" s="47"/>
      <c r="GY169" t="str">
        <f>('Inteligencia emocional'!A170)</f>
        <v>0</v>
      </c>
      <c r="GZ169" s="39" t="str">
        <f>'Por Valoracion (3) Dimension'!F169</f>
        <v>0</v>
      </c>
      <c r="HA169" s="39" t="str">
        <f>'Por Valoracion (3) Dimension 2'!B169</f>
        <v>0</v>
      </c>
      <c r="HV169" s="47"/>
      <c r="HX169" t="str">
        <f>('Inteligencia emocional'!A170)</f>
        <v>0</v>
      </c>
      <c r="HY169" s="39" t="str">
        <f>'Por Valoracion (3) Dimension'!F169</f>
        <v>0</v>
      </c>
      <c r="HZ169" s="39" t="str">
        <f>'Por Valoracion (3) Dimension 2'!D169</f>
        <v>0</v>
      </c>
      <c r="IU169" s="47"/>
      <c r="IW169" t="str">
        <f>('Inteligencia emocional'!A170)</f>
        <v>0</v>
      </c>
      <c r="IX169" s="39" t="str">
        <f>'Por Valoracion (3) Dimension'!F169</f>
        <v>0</v>
      </c>
      <c r="IY169" s="39" t="str">
        <f>'Por Valoracion (3) Dimension 2'!F169</f>
        <v>0</v>
      </c>
      <c r="JT169" s="47"/>
      <c r="JV169" t="str">
        <f>('Inteligencia emocional'!A170)</f>
        <v>0</v>
      </c>
      <c r="JW169" s="39" t="str">
        <f>'Por Valoracion (3) Dimension'!F169</f>
        <v>0</v>
      </c>
      <c r="JX169" s="39" t="str">
        <f>'Por Valoracion (3) Dimension 2'!H169</f>
        <v>0</v>
      </c>
      <c r="KS169" s="47"/>
    </row>
    <row r="170" spans="1:305">
      <c r="A170" s="38"/>
      <c r="C170" t="str">
        <f>('Inteligencia emocional'!A171)</f>
        <v>0</v>
      </c>
      <c r="D170" s="39" t="str">
        <f>'Por Valoracion (3) Dimension'!B170</f>
        <v>0</v>
      </c>
      <c r="E170" s="39" t="str">
        <f>'Por Valoracion (3) Dimension 2'!B170</f>
        <v>0</v>
      </c>
      <c r="Z170" s="38"/>
      <c r="AB170" t="str">
        <f>('Inteligencia emocional'!A171)</f>
        <v>0</v>
      </c>
      <c r="AC170" s="39" t="str">
        <f>'Por Valoracion (3) Dimension'!B170</f>
        <v>0</v>
      </c>
      <c r="AD170" s="39" t="str">
        <f>'Por Valoracion (3) Dimension 2'!D170</f>
        <v>0</v>
      </c>
      <c r="AY170" s="38"/>
      <c r="BA170" t="str">
        <f>('Inteligencia emocional'!A171)</f>
        <v>0</v>
      </c>
      <c r="BB170" s="39" t="str">
        <f>'Por Valoracion (3) Dimension'!B170</f>
        <v>0</v>
      </c>
      <c r="BC170" s="39" t="str">
        <f>'Por Valoracion (3) Dimension 2'!F170</f>
        <v>0</v>
      </c>
      <c r="BX170" s="38"/>
      <c r="BZ170" t="str">
        <f>('Inteligencia emocional'!A171)</f>
        <v>0</v>
      </c>
      <c r="CA170" s="39" t="str">
        <f>'Por Valoracion (3) Dimension'!B170</f>
        <v>0</v>
      </c>
      <c r="CB170" s="39" t="str">
        <f>'Por Valoracion (3) Dimension 2'!H170</f>
        <v>0</v>
      </c>
      <c r="CW170" s="38"/>
      <c r="CY170" s="46"/>
      <c r="DA170" t="str">
        <f>('Inteligencia emocional'!A171)</f>
        <v>0</v>
      </c>
      <c r="DB170" s="39" t="str">
        <f>'Por Valoracion (3) Dimension'!D170</f>
        <v>0</v>
      </c>
      <c r="DC170" s="39" t="str">
        <f>'Por Valoracion (3) Dimension 2'!B170</f>
        <v>0</v>
      </c>
      <c r="DX170" s="46"/>
      <c r="DZ170" t="str">
        <f>('Inteligencia emocional'!A171)</f>
        <v>0</v>
      </c>
      <c r="EA170" s="39" t="str">
        <f>'Por Valoracion (3) Dimension'!D170</f>
        <v>0</v>
      </c>
      <c r="EB170" s="39" t="str">
        <f>'Por Valoracion (3) Dimension 2'!D170</f>
        <v>0</v>
      </c>
      <c r="EW170" s="46"/>
      <c r="EY170" t="str">
        <f>('Inteligencia emocional'!A171)</f>
        <v>0</v>
      </c>
      <c r="EZ170" s="39" t="str">
        <f>'Por Valoracion (3) Dimension'!D170</f>
        <v>0</v>
      </c>
      <c r="FA170" s="39" t="str">
        <f>'Por Valoracion (3) Dimension 2'!F170</f>
        <v>0</v>
      </c>
      <c r="FV170" s="46"/>
      <c r="FX170" t="str">
        <f>('Inteligencia emocional'!A171)</f>
        <v>0</v>
      </c>
      <c r="FY170" s="39" t="str">
        <f>'Por Valoracion (3) Dimension'!D170</f>
        <v>0</v>
      </c>
      <c r="FZ170" s="39" t="str">
        <f>'Por Valoracion (3) Dimension 2'!H170</f>
        <v>0</v>
      </c>
      <c r="GU170" s="46"/>
      <c r="GW170" s="47"/>
      <c r="GY170" t="str">
        <f>('Inteligencia emocional'!A171)</f>
        <v>0</v>
      </c>
      <c r="GZ170" s="39" t="str">
        <f>'Por Valoracion (3) Dimension'!F170</f>
        <v>0</v>
      </c>
      <c r="HA170" s="39" t="str">
        <f>'Por Valoracion (3) Dimension 2'!B170</f>
        <v>0</v>
      </c>
      <c r="HV170" s="47"/>
      <c r="HX170" t="str">
        <f>('Inteligencia emocional'!A171)</f>
        <v>0</v>
      </c>
      <c r="HY170" s="39" t="str">
        <f>'Por Valoracion (3) Dimension'!F170</f>
        <v>0</v>
      </c>
      <c r="HZ170" s="39" t="str">
        <f>'Por Valoracion (3) Dimension 2'!D170</f>
        <v>0</v>
      </c>
      <c r="IU170" s="47"/>
      <c r="IW170" t="str">
        <f>('Inteligencia emocional'!A171)</f>
        <v>0</v>
      </c>
      <c r="IX170" s="39" t="str">
        <f>'Por Valoracion (3) Dimension'!F170</f>
        <v>0</v>
      </c>
      <c r="IY170" s="39" t="str">
        <f>'Por Valoracion (3) Dimension 2'!F170</f>
        <v>0</v>
      </c>
      <c r="JT170" s="47"/>
      <c r="JV170" t="str">
        <f>('Inteligencia emocional'!A171)</f>
        <v>0</v>
      </c>
      <c r="JW170" s="39" t="str">
        <f>'Por Valoracion (3) Dimension'!F170</f>
        <v>0</v>
      </c>
      <c r="JX170" s="39" t="str">
        <f>'Por Valoracion (3) Dimension 2'!H170</f>
        <v>0</v>
      </c>
      <c r="KS170" s="47"/>
    </row>
    <row r="171" spans="1:305">
      <c r="A171" s="38"/>
      <c r="C171" t="str">
        <f>('Inteligencia emocional'!A172)</f>
        <v>0</v>
      </c>
      <c r="D171" s="39" t="str">
        <f>'Por Valoracion (3) Dimension'!B171</f>
        <v>0</v>
      </c>
      <c r="E171" s="39" t="str">
        <f>'Por Valoracion (3) Dimension 2'!B171</f>
        <v>0</v>
      </c>
      <c r="Z171" s="38"/>
      <c r="AB171" t="str">
        <f>('Inteligencia emocional'!A172)</f>
        <v>0</v>
      </c>
      <c r="AC171" s="39" t="str">
        <f>'Por Valoracion (3) Dimension'!B171</f>
        <v>0</v>
      </c>
      <c r="AD171" s="39" t="str">
        <f>'Por Valoracion (3) Dimension 2'!D171</f>
        <v>0</v>
      </c>
      <c r="AY171" s="38"/>
      <c r="BA171" t="str">
        <f>('Inteligencia emocional'!A172)</f>
        <v>0</v>
      </c>
      <c r="BB171" s="39" t="str">
        <f>'Por Valoracion (3) Dimension'!B171</f>
        <v>0</v>
      </c>
      <c r="BC171" s="39" t="str">
        <f>'Por Valoracion (3) Dimension 2'!F171</f>
        <v>0</v>
      </c>
      <c r="BX171" s="38"/>
      <c r="BZ171" t="str">
        <f>('Inteligencia emocional'!A172)</f>
        <v>0</v>
      </c>
      <c r="CA171" s="39" t="str">
        <f>'Por Valoracion (3) Dimension'!B171</f>
        <v>0</v>
      </c>
      <c r="CB171" s="39" t="str">
        <f>'Por Valoracion (3) Dimension 2'!H171</f>
        <v>0</v>
      </c>
      <c r="CW171" s="38"/>
      <c r="CY171" s="46"/>
      <c r="DA171" t="str">
        <f>('Inteligencia emocional'!A172)</f>
        <v>0</v>
      </c>
      <c r="DB171" s="39" t="str">
        <f>'Por Valoracion (3) Dimension'!D171</f>
        <v>0</v>
      </c>
      <c r="DC171" s="39" t="str">
        <f>'Por Valoracion (3) Dimension 2'!B171</f>
        <v>0</v>
      </c>
      <c r="DX171" s="46"/>
      <c r="DZ171" t="str">
        <f>('Inteligencia emocional'!A172)</f>
        <v>0</v>
      </c>
      <c r="EA171" s="39" t="str">
        <f>'Por Valoracion (3) Dimension'!D171</f>
        <v>0</v>
      </c>
      <c r="EB171" s="39" t="str">
        <f>'Por Valoracion (3) Dimension 2'!D171</f>
        <v>0</v>
      </c>
      <c r="EW171" s="46"/>
      <c r="EY171" t="str">
        <f>('Inteligencia emocional'!A172)</f>
        <v>0</v>
      </c>
      <c r="EZ171" s="39" t="str">
        <f>'Por Valoracion (3) Dimension'!D171</f>
        <v>0</v>
      </c>
      <c r="FA171" s="39" t="str">
        <f>'Por Valoracion (3) Dimension 2'!F171</f>
        <v>0</v>
      </c>
      <c r="FV171" s="46"/>
      <c r="FX171" t="str">
        <f>('Inteligencia emocional'!A172)</f>
        <v>0</v>
      </c>
      <c r="FY171" s="39" t="str">
        <f>'Por Valoracion (3) Dimension'!D171</f>
        <v>0</v>
      </c>
      <c r="FZ171" s="39" t="str">
        <f>'Por Valoracion (3) Dimension 2'!H171</f>
        <v>0</v>
      </c>
      <c r="GU171" s="46"/>
      <c r="GW171" s="47"/>
      <c r="GY171" t="str">
        <f>('Inteligencia emocional'!A172)</f>
        <v>0</v>
      </c>
      <c r="GZ171" s="39" t="str">
        <f>'Por Valoracion (3) Dimension'!F171</f>
        <v>0</v>
      </c>
      <c r="HA171" s="39" t="str">
        <f>'Por Valoracion (3) Dimension 2'!B171</f>
        <v>0</v>
      </c>
      <c r="HV171" s="47"/>
      <c r="HX171" t="str">
        <f>('Inteligencia emocional'!A172)</f>
        <v>0</v>
      </c>
      <c r="HY171" s="39" t="str">
        <f>'Por Valoracion (3) Dimension'!F171</f>
        <v>0</v>
      </c>
      <c r="HZ171" s="39" t="str">
        <f>'Por Valoracion (3) Dimension 2'!D171</f>
        <v>0</v>
      </c>
      <c r="IU171" s="47"/>
      <c r="IW171" t="str">
        <f>('Inteligencia emocional'!A172)</f>
        <v>0</v>
      </c>
      <c r="IX171" s="39" t="str">
        <f>'Por Valoracion (3) Dimension'!F171</f>
        <v>0</v>
      </c>
      <c r="IY171" s="39" t="str">
        <f>'Por Valoracion (3) Dimension 2'!F171</f>
        <v>0</v>
      </c>
      <c r="JT171" s="47"/>
      <c r="JV171" t="str">
        <f>('Inteligencia emocional'!A172)</f>
        <v>0</v>
      </c>
      <c r="JW171" s="39" t="str">
        <f>'Por Valoracion (3) Dimension'!F171</f>
        <v>0</v>
      </c>
      <c r="JX171" s="39" t="str">
        <f>'Por Valoracion (3) Dimension 2'!H171</f>
        <v>0</v>
      </c>
      <c r="KS171" s="47"/>
    </row>
    <row r="172" spans="1:305">
      <c r="A172" s="38"/>
      <c r="C172" t="str">
        <f>('Inteligencia emocional'!A173)</f>
        <v>0</v>
      </c>
      <c r="D172" s="39" t="str">
        <f>'Por Valoracion (3) Dimension'!B172</f>
        <v>0</v>
      </c>
      <c r="E172" s="39" t="str">
        <f>'Por Valoracion (3) Dimension 2'!B172</f>
        <v>0</v>
      </c>
      <c r="Z172" s="38"/>
      <c r="AB172" t="str">
        <f>('Inteligencia emocional'!A173)</f>
        <v>0</v>
      </c>
      <c r="AC172" s="39" t="str">
        <f>'Por Valoracion (3) Dimension'!B172</f>
        <v>0</v>
      </c>
      <c r="AD172" s="39" t="str">
        <f>'Por Valoracion (3) Dimension 2'!D172</f>
        <v>0</v>
      </c>
      <c r="AY172" s="38"/>
      <c r="BA172" t="str">
        <f>('Inteligencia emocional'!A173)</f>
        <v>0</v>
      </c>
      <c r="BB172" s="39" t="str">
        <f>'Por Valoracion (3) Dimension'!B172</f>
        <v>0</v>
      </c>
      <c r="BC172" s="39" t="str">
        <f>'Por Valoracion (3) Dimension 2'!F172</f>
        <v>0</v>
      </c>
      <c r="BX172" s="38"/>
      <c r="BZ172" t="str">
        <f>('Inteligencia emocional'!A173)</f>
        <v>0</v>
      </c>
      <c r="CA172" s="39" t="str">
        <f>'Por Valoracion (3) Dimension'!B172</f>
        <v>0</v>
      </c>
      <c r="CB172" s="39" t="str">
        <f>'Por Valoracion (3) Dimension 2'!H172</f>
        <v>0</v>
      </c>
      <c r="CW172" s="38"/>
      <c r="CY172" s="46"/>
      <c r="DA172" t="str">
        <f>('Inteligencia emocional'!A173)</f>
        <v>0</v>
      </c>
      <c r="DB172" s="39" t="str">
        <f>'Por Valoracion (3) Dimension'!D172</f>
        <v>0</v>
      </c>
      <c r="DC172" s="39" t="str">
        <f>'Por Valoracion (3) Dimension 2'!B172</f>
        <v>0</v>
      </c>
      <c r="DX172" s="46"/>
      <c r="DZ172" t="str">
        <f>('Inteligencia emocional'!A173)</f>
        <v>0</v>
      </c>
      <c r="EA172" s="39" t="str">
        <f>'Por Valoracion (3) Dimension'!D172</f>
        <v>0</v>
      </c>
      <c r="EB172" s="39" t="str">
        <f>'Por Valoracion (3) Dimension 2'!D172</f>
        <v>0</v>
      </c>
      <c r="EW172" s="46"/>
      <c r="EY172" t="str">
        <f>('Inteligencia emocional'!A173)</f>
        <v>0</v>
      </c>
      <c r="EZ172" s="39" t="str">
        <f>'Por Valoracion (3) Dimension'!D172</f>
        <v>0</v>
      </c>
      <c r="FA172" s="39" t="str">
        <f>'Por Valoracion (3) Dimension 2'!F172</f>
        <v>0</v>
      </c>
      <c r="FV172" s="46"/>
      <c r="FX172" t="str">
        <f>('Inteligencia emocional'!A173)</f>
        <v>0</v>
      </c>
      <c r="FY172" s="39" t="str">
        <f>'Por Valoracion (3) Dimension'!D172</f>
        <v>0</v>
      </c>
      <c r="FZ172" s="39" t="str">
        <f>'Por Valoracion (3) Dimension 2'!H172</f>
        <v>0</v>
      </c>
      <c r="GU172" s="46"/>
      <c r="GW172" s="47"/>
      <c r="GY172" t="str">
        <f>('Inteligencia emocional'!A173)</f>
        <v>0</v>
      </c>
      <c r="GZ172" s="39" t="str">
        <f>'Por Valoracion (3) Dimension'!F172</f>
        <v>0</v>
      </c>
      <c r="HA172" s="39" t="str">
        <f>'Por Valoracion (3) Dimension 2'!B172</f>
        <v>0</v>
      </c>
      <c r="HV172" s="47"/>
      <c r="HX172" t="str">
        <f>('Inteligencia emocional'!A173)</f>
        <v>0</v>
      </c>
      <c r="HY172" s="39" t="str">
        <f>'Por Valoracion (3) Dimension'!F172</f>
        <v>0</v>
      </c>
      <c r="HZ172" s="39" t="str">
        <f>'Por Valoracion (3) Dimension 2'!D172</f>
        <v>0</v>
      </c>
      <c r="IU172" s="47"/>
      <c r="IW172" t="str">
        <f>('Inteligencia emocional'!A173)</f>
        <v>0</v>
      </c>
      <c r="IX172" s="39" t="str">
        <f>'Por Valoracion (3) Dimension'!F172</f>
        <v>0</v>
      </c>
      <c r="IY172" s="39" t="str">
        <f>'Por Valoracion (3) Dimension 2'!F172</f>
        <v>0</v>
      </c>
      <c r="JT172" s="47"/>
      <c r="JV172" t="str">
        <f>('Inteligencia emocional'!A173)</f>
        <v>0</v>
      </c>
      <c r="JW172" s="39" t="str">
        <f>'Por Valoracion (3) Dimension'!F172</f>
        <v>0</v>
      </c>
      <c r="JX172" s="39" t="str">
        <f>'Por Valoracion (3) Dimension 2'!H172</f>
        <v>0</v>
      </c>
      <c r="KS172" s="47"/>
    </row>
    <row r="173" spans="1:305">
      <c r="A173" s="38"/>
      <c r="C173" t="str">
        <f>('Inteligencia emocional'!A174)</f>
        <v>0</v>
      </c>
      <c r="D173" s="39" t="str">
        <f>'Por Valoracion (3) Dimension'!B173</f>
        <v>0</v>
      </c>
      <c r="E173" s="39" t="str">
        <f>'Por Valoracion (3) Dimension 2'!B173</f>
        <v>0</v>
      </c>
      <c r="Z173" s="38"/>
      <c r="AB173" t="str">
        <f>('Inteligencia emocional'!A174)</f>
        <v>0</v>
      </c>
      <c r="AC173" s="39" t="str">
        <f>'Por Valoracion (3) Dimension'!B173</f>
        <v>0</v>
      </c>
      <c r="AD173" s="39" t="str">
        <f>'Por Valoracion (3) Dimension 2'!D173</f>
        <v>0</v>
      </c>
      <c r="AY173" s="38"/>
      <c r="BA173" t="str">
        <f>('Inteligencia emocional'!A174)</f>
        <v>0</v>
      </c>
      <c r="BB173" s="39" t="str">
        <f>'Por Valoracion (3) Dimension'!B173</f>
        <v>0</v>
      </c>
      <c r="BC173" s="39" t="str">
        <f>'Por Valoracion (3) Dimension 2'!F173</f>
        <v>0</v>
      </c>
      <c r="BX173" s="38"/>
      <c r="BZ173" t="str">
        <f>('Inteligencia emocional'!A174)</f>
        <v>0</v>
      </c>
      <c r="CA173" s="39" t="str">
        <f>'Por Valoracion (3) Dimension'!B173</f>
        <v>0</v>
      </c>
      <c r="CB173" s="39" t="str">
        <f>'Por Valoracion (3) Dimension 2'!H173</f>
        <v>0</v>
      </c>
      <c r="CW173" s="38"/>
      <c r="CY173" s="46"/>
      <c r="DA173" t="str">
        <f>('Inteligencia emocional'!A174)</f>
        <v>0</v>
      </c>
      <c r="DB173" s="39" t="str">
        <f>'Por Valoracion (3) Dimension'!D173</f>
        <v>0</v>
      </c>
      <c r="DC173" s="39" t="str">
        <f>'Por Valoracion (3) Dimension 2'!B173</f>
        <v>0</v>
      </c>
      <c r="DX173" s="46"/>
      <c r="DZ173" t="str">
        <f>('Inteligencia emocional'!A174)</f>
        <v>0</v>
      </c>
      <c r="EA173" s="39" t="str">
        <f>'Por Valoracion (3) Dimension'!D173</f>
        <v>0</v>
      </c>
      <c r="EB173" s="39" t="str">
        <f>'Por Valoracion (3) Dimension 2'!D173</f>
        <v>0</v>
      </c>
      <c r="EW173" s="46"/>
      <c r="EY173" t="str">
        <f>('Inteligencia emocional'!A174)</f>
        <v>0</v>
      </c>
      <c r="EZ173" s="39" t="str">
        <f>'Por Valoracion (3) Dimension'!D173</f>
        <v>0</v>
      </c>
      <c r="FA173" s="39" t="str">
        <f>'Por Valoracion (3) Dimension 2'!F173</f>
        <v>0</v>
      </c>
      <c r="FV173" s="46"/>
      <c r="FX173" t="str">
        <f>('Inteligencia emocional'!A174)</f>
        <v>0</v>
      </c>
      <c r="FY173" s="39" t="str">
        <f>'Por Valoracion (3) Dimension'!D173</f>
        <v>0</v>
      </c>
      <c r="FZ173" s="39" t="str">
        <f>'Por Valoracion (3) Dimension 2'!H173</f>
        <v>0</v>
      </c>
      <c r="GU173" s="46"/>
      <c r="GW173" s="47"/>
      <c r="GY173" t="str">
        <f>('Inteligencia emocional'!A174)</f>
        <v>0</v>
      </c>
      <c r="GZ173" s="39" t="str">
        <f>'Por Valoracion (3) Dimension'!F173</f>
        <v>0</v>
      </c>
      <c r="HA173" s="39" t="str">
        <f>'Por Valoracion (3) Dimension 2'!B173</f>
        <v>0</v>
      </c>
      <c r="HV173" s="47"/>
      <c r="HX173" t="str">
        <f>('Inteligencia emocional'!A174)</f>
        <v>0</v>
      </c>
      <c r="HY173" s="39" t="str">
        <f>'Por Valoracion (3) Dimension'!F173</f>
        <v>0</v>
      </c>
      <c r="HZ173" s="39" t="str">
        <f>'Por Valoracion (3) Dimension 2'!D173</f>
        <v>0</v>
      </c>
      <c r="IU173" s="47"/>
      <c r="IW173" t="str">
        <f>('Inteligencia emocional'!A174)</f>
        <v>0</v>
      </c>
      <c r="IX173" s="39" t="str">
        <f>'Por Valoracion (3) Dimension'!F173</f>
        <v>0</v>
      </c>
      <c r="IY173" s="39" t="str">
        <f>'Por Valoracion (3) Dimension 2'!F173</f>
        <v>0</v>
      </c>
      <c r="JT173" s="47"/>
      <c r="JV173" t="str">
        <f>('Inteligencia emocional'!A174)</f>
        <v>0</v>
      </c>
      <c r="JW173" s="39" t="str">
        <f>'Por Valoracion (3) Dimension'!F173</f>
        <v>0</v>
      </c>
      <c r="JX173" s="39" t="str">
        <f>'Por Valoracion (3) Dimension 2'!H173</f>
        <v>0</v>
      </c>
      <c r="KS173" s="47"/>
    </row>
    <row r="174" spans="1:305">
      <c r="A174" s="38"/>
      <c r="C174" t="str">
        <f>('Inteligencia emocional'!A175)</f>
        <v>0</v>
      </c>
      <c r="D174" s="39" t="str">
        <f>'Por Valoracion (3) Dimension'!B174</f>
        <v>0</v>
      </c>
      <c r="E174" s="39" t="str">
        <f>'Por Valoracion (3) Dimension 2'!B174</f>
        <v>0</v>
      </c>
      <c r="Z174" s="38"/>
      <c r="AB174" t="str">
        <f>('Inteligencia emocional'!A175)</f>
        <v>0</v>
      </c>
      <c r="AC174" s="39" t="str">
        <f>'Por Valoracion (3) Dimension'!B174</f>
        <v>0</v>
      </c>
      <c r="AD174" s="39" t="str">
        <f>'Por Valoracion (3) Dimension 2'!D174</f>
        <v>0</v>
      </c>
      <c r="AY174" s="38"/>
      <c r="BA174" t="str">
        <f>('Inteligencia emocional'!A175)</f>
        <v>0</v>
      </c>
      <c r="BB174" s="39" t="str">
        <f>'Por Valoracion (3) Dimension'!B174</f>
        <v>0</v>
      </c>
      <c r="BC174" s="39" t="str">
        <f>'Por Valoracion (3) Dimension 2'!F174</f>
        <v>0</v>
      </c>
      <c r="BX174" s="38"/>
      <c r="BZ174" t="str">
        <f>('Inteligencia emocional'!A175)</f>
        <v>0</v>
      </c>
      <c r="CA174" s="39" t="str">
        <f>'Por Valoracion (3) Dimension'!B174</f>
        <v>0</v>
      </c>
      <c r="CB174" s="39" t="str">
        <f>'Por Valoracion (3) Dimension 2'!H174</f>
        <v>0</v>
      </c>
      <c r="CW174" s="38"/>
      <c r="CY174" s="46"/>
      <c r="DA174" t="str">
        <f>('Inteligencia emocional'!A175)</f>
        <v>0</v>
      </c>
      <c r="DB174" s="39" t="str">
        <f>'Por Valoracion (3) Dimension'!D174</f>
        <v>0</v>
      </c>
      <c r="DC174" s="39" t="str">
        <f>'Por Valoracion (3) Dimension 2'!B174</f>
        <v>0</v>
      </c>
      <c r="DX174" s="46"/>
      <c r="DZ174" t="str">
        <f>('Inteligencia emocional'!A175)</f>
        <v>0</v>
      </c>
      <c r="EA174" s="39" t="str">
        <f>'Por Valoracion (3) Dimension'!D174</f>
        <v>0</v>
      </c>
      <c r="EB174" s="39" t="str">
        <f>'Por Valoracion (3) Dimension 2'!D174</f>
        <v>0</v>
      </c>
      <c r="EW174" s="46"/>
      <c r="EY174" t="str">
        <f>('Inteligencia emocional'!A175)</f>
        <v>0</v>
      </c>
      <c r="EZ174" s="39" t="str">
        <f>'Por Valoracion (3) Dimension'!D174</f>
        <v>0</v>
      </c>
      <c r="FA174" s="39" t="str">
        <f>'Por Valoracion (3) Dimension 2'!F174</f>
        <v>0</v>
      </c>
      <c r="FV174" s="46"/>
      <c r="FX174" t="str">
        <f>('Inteligencia emocional'!A175)</f>
        <v>0</v>
      </c>
      <c r="FY174" s="39" t="str">
        <f>'Por Valoracion (3) Dimension'!D174</f>
        <v>0</v>
      </c>
      <c r="FZ174" s="39" t="str">
        <f>'Por Valoracion (3) Dimension 2'!H174</f>
        <v>0</v>
      </c>
      <c r="GU174" s="46"/>
      <c r="GW174" s="47"/>
      <c r="GY174" t="str">
        <f>('Inteligencia emocional'!A175)</f>
        <v>0</v>
      </c>
      <c r="GZ174" s="39" t="str">
        <f>'Por Valoracion (3) Dimension'!F174</f>
        <v>0</v>
      </c>
      <c r="HA174" s="39" t="str">
        <f>'Por Valoracion (3) Dimension 2'!B174</f>
        <v>0</v>
      </c>
      <c r="HV174" s="47"/>
      <c r="HX174" t="str">
        <f>('Inteligencia emocional'!A175)</f>
        <v>0</v>
      </c>
      <c r="HY174" s="39" t="str">
        <f>'Por Valoracion (3) Dimension'!F174</f>
        <v>0</v>
      </c>
      <c r="HZ174" s="39" t="str">
        <f>'Por Valoracion (3) Dimension 2'!D174</f>
        <v>0</v>
      </c>
      <c r="IU174" s="47"/>
      <c r="IW174" t="str">
        <f>('Inteligencia emocional'!A175)</f>
        <v>0</v>
      </c>
      <c r="IX174" s="39" t="str">
        <f>'Por Valoracion (3) Dimension'!F174</f>
        <v>0</v>
      </c>
      <c r="IY174" s="39" t="str">
        <f>'Por Valoracion (3) Dimension 2'!F174</f>
        <v>0</v>
      </c>
      <c r="JT174" s="47"/>
      <c r="JV174" t="str">
        <f>('Inteligencia emocional'!A175)</f>
        <v>0</v>
      </c>
      <c r="JW174" s="39" t="str">
        <f>'Por Valoracion (3) Dimension'!F174</f>
        <v>0</v>
      </c>
      <c r="JX174" s="39" t="str">
        <f>'Por Valoracion (3) Dimension 2'!H174</f>
        <v>0</v>
      </c>
      <c r="KS174" s="47"/>
    </row>
    <row r="175" spans="1:305">
      <c r="A175" s="38"/>
      <c r="C175" t="str">
        <f>('Inteligencia emocional'!A176)</f>
        <v>0</v>
      </c>
      <c r="D175" s="39" t="str">
        <f>'Por Valoracion (3) Dimension'!B175</f>
        <v>0</v>
      </c>
      <c r="E175" s="39" t="str">
        <f>'Por Valoracion (3) Dimension 2'!B175</f>
        <v>0</v>
      </c>
      <c r="Z175" s="38"/>
      <c r="AB175" t="str">
        <f>('Inteligencia emocional'!A176)</f>
        <v>0</v>
      </c>
      <c r="AC175" s="39" t="str">
        <f>'Por Valoracion (3) Dimension'!B175</f>
        <v>0</v>
      </c>
      <c r="AD175" s="39" t="str">
        <f>'Por Valoracion (3) Dimension 2'!D175</f>
        <v>0</v>
      </c>
      <c r="AY175" s="38"/>
      <c r="BA175" t="str">
        <f>('Inteligencia emocional'!A176)</f>
        <v>0</v>
      </c>
      <c r="BB175" s="39" t="str">
        <f>'Por Valoracion (3) Dimension'!B175</f>
        <v>0</v>
      </c>
      <c r="BC175" s="39" t="str">
        <f>'Por Valoracion (3) Dimension 2'!F175</f>
        <v>0</v>
      </c>
      <c r="BX175" s="38"/>
      <c r="BZ175" t="str">
        <f>('Inteligencia emocional'!A176)</f>
        <v>0</v>
      </c>
      <c r="CA175" s="39" t="str">
        <f>'Por Valoracion (3) Dimension'!B175</f>
        <v>0</v>
      </c>
      <c r="CB175" s="39" t="str">
        <f>'Por Valoracion (3) Dimension 2'!H175</f>
        <v>0</v>
      </c>
      <c r="CW175" s="38"/>
      <c r="CY175" s="46"/>
      <c r="DA175" t="str">
        <f>('Inteligencia emocional'!A176)</f>
        <v>0</v>
      </c>
      <c r="DB175" s="39" t="str">
        <f>'Por Valoracion (3) Dimension'!D175</f>
        <v>0</v>
      </c>
      <c r="DC175" s="39" t="str">
        <f>'Por Valoracion (3) Dimension 2'!B175</f>
        <v>0</v>
      </c>
      <c r="DX175" s="46"/>
      <c r="DZ175" t="str">
        <f>('Inteligencia emocional'!A176)</f>
        <v>0</v>
      </c>
      <c r="EA175" s="39" t="str">
        <f>'Por Valoracion (3) Dimension'!D175</f>
        <v>0</v>
      </c>
      <c r="EB175" s="39" t="str">
        <f>'Por Valoracion (3) Dimension 2'!D175</f>
        <v>0</v>
      </c>
      <c r="EW175" s="46"/>
      <c r="EY175" t="str">
        <f>('Inteligencia emocional'!A176)</f>
        <v>0</v>
      </c>
      <c r="EZ175" s="39" t="str">
        <f>'Por Valoracion (3) Dimension'!D175</f>
        <v>0</v>
      </c>
      <c r="FA175" s="39" t="str">
        <f>'Por Valoracion (3) Dimension 2'!F175</f>
        <v>0</v>
      </c>
      <c r="FV175" s="46"/>
      <c r="FX175" t="str">
        <f>('Inteligencia emocional'!A176)</f>
        <v>0</v>
      </c>
      <c r="FY175" s="39" t="str">
        <f>'Por Valoracion (3) Dimension'!D175</f>
        <v>0</v>
      </c>
      <c r="FZ175" s="39" t="str">
        <f>'Por Valoracion (3) Dimension 2'!H175</f>
        <v>0</v>
      </c>
      <c r="GU175" s="46"/>
      <c r="GW175" s="47"/>
      <c r="GY175" t="str">
        <f>('Inteligencia emocional'!A176)</f>
        <v>0</v>
      </c>
      <c r="GZ175" s="39" t="str">
        <f>'Por Valoracion (3) Dimension'!F175</f>
        <v>0</v>
      </c>
      <c r="HA175" s="39" t="str">
        <f>'Por Valoracion (3) Dimension 2'!B175</f>
        <v>0</v>
      </c>
      <c r="HV175" s="47"/>
      <c r="HX175" t="str">
        <f>('Inteligencia emocional'!A176)</f>
        <v>0</v>
      </c>
      <c r="HY175" s="39" t="str">
        <f>'Por Valoracion (3) Dimension'!F175</f>
        <v>0</v>
      </c>
      <c r="HZ175" s="39" t="str">
        <f>'Por Valoracion (3) Dimension 2'!D175</f>
        <v>0</v>
      </c>
      <c r="IU175" s="47"/>
      <c r="IW175" t="str">
        <f>('Inteligencia emocional'!A176)</f>
        <v>0</v>
      </c>
      <c r="IX175" s="39" t="str">
        <f>'Por Valoracion (3) Dimension'!F175</f>
        <v>0</v>
      </c>
      <c r="IY175" s="39" t="str">
        <f>'Por Valoracion (3) Dimension 2'!F175</f>
        <v>0</v>
      </c>
      <c r="JT175" s="47"/>
      <c r="JV175" t="str">
        <f>('Inteligencia emocional'!A176)</f>
        <v>0</v>
      </c>
      <c r="JW175" s="39" t="str">
        <f>'Por Valoracion (3) Dimension'!F175</f>
        <v>0</v>
      </c>
      <c r="JX175" s="39" t="str">
        <f>'Por Valoracion (3) Dimension 2'!H175</f>
        <v>0</v>
      </c>
      <c r="KS175" s="47"/>
    </row>
    <row r="176" spans="1:305">
      <c r="A176" s="38"/>
      <c r="C176" t="str">
        <f>('Inteligencia emocional'!A177)</f>
        <v>0</v>
      </c>
      <c r="D176" s="39" t="str">
        <f>'Por Valoracion (3) Dimension'!B176</f>
        <v>0</v>
      </c>
      <c r="E176" s="39" t="str">
        <f>'Por Valoracion (3) Dimension 2'!B176</f>
        <v>0</v>
      </c>
      <c r="Z176" s="38"/>
      <c r="AB176" t="str">
        <f>('Inteligencia emocional'!A177)</f>
        <v>0</v>
      </c>
      <c r="AC176" s="39" t="str">
        <f>'Por Valoracion (3) Dimension'!B176</f>
        <v>0</v>
      </c>
      <c r="AD176" s="39" t="str">
        <f>'Por Valoracion (3) Dimension 2'!D176</f>
        <v>0</v>
      </c>
      <c r="AY176" s="38"/>
      <c r="BA176" t="str">
        <f>('Inteligencia emocional'!A177)</f>
        <v>0</v>
      </c>
      <c r="BB176" s="39" t="str">
        <f>'Por Valoracion (3) Dimension'!B176</f>
        <v>0</v>
      </c>
      <c r="BC176" s="39" t="str">
        <f>'Por Valoracion (3) Dimension 2'!F176</f>
        <v>0</v>
      </c>
      <c r="BX176" s="38"/>
      <c r="BZ176" t="str">
        <f>('Inteligencia emocional'!A177)</f>
        <v>0</v>
      </c>
      <c r="CA176" s="39" t="str">
        <f>'Por Valoracion (3) Dimension'!B176</f>
        <v>0</v>
      </c>
      <c r="CB176" s="39" t="str">
        <f>'Por Valoracion (3) Dimension 2'!H176</f>
        <v>0</v>
      </c>
      <c r="CW176" s="38"/>
      <c r="CY176" s="46"/>
      <c r="DA176" t="str">
        <f>('Inteligencia emocional'!A177)</f>
        <v>0</v>
      </c>
      <c r="DB176" s="39" t="str">
        <f>'Por Valoracion (3) Dimension'!D176</f>
        <v>0</v>
      </c>
      <c r="DC176" s="39" t="str">
        <f>'Por Valoracion (3) Dimension 2'!B176</f>
        <v>0</v>
      </c>
      <c r="DX176" s="46"/>
      <c r="DZ176" t="str">
        <f>('Inteligencia emocional'!A177)</f>
        <v>0</v>
      </c>
      <c r="EA176" s="39" t="str">
        <f>'Por Valoracion (3) Dimension'!D176</f>
        <v>0</v>
      </c>
      <c r="EB176" s="39" t="str">
        <f>'Por Valoracion (3) Dimension 2'!D176</f>
        <v>0</v>
      </c>
      <c r="EW176" s="46"/>
      <c r="EY176" t="str">
        <f>('Inteligencia emocional'!A177)</f>
        <v>0</v>
      </c>
      <c r="EZ176" s="39" t="str">
        <f>'Por Valoracion (3) Dimension'!D176</f>
        <v>0</v>
      </c>
      <c r="FA176" s="39" t="str">
        <f>'Por Valoracion (3) Dimension 2'!F176</f>
        <v>0</v>
      </c>
      <c r="FV176" s="46"/>
      <c r="FX176" t="str">
        <f>('Inteligencia emocional'!A177)</f>
        <v>0</v>
      </c>
      <c r="FY176" s="39" t="str">
        <f>'Por Valoracion (3) Dimension'!D176</f>
        <v>0</v>
      </c>
      <c r="FZ176" s="39" t="str">
        <f>'Por Valoracion (3) Dimension 2'!H176</f>
        <v>0</v>
      </c>
      <c r="GU176" s="46"/>
      <c r="GW176" s="47"/>
      <c r="GY176" t="str">
        <f>('Inteligencia emocional'!A177)</f>
        <v>0</v>
      </c>
      <c r="GZ176" s="39" t="str">
        <f>'Por Valoracion (3) Dimension'!F176</f>
        <v>0</v>
      </c>
      <c r="HA176" s="39" t="str">
        <f>'Por Valoracion (3) Dimension 2'!B176</f>
        <v>0</v>
      </c>
      <c r="HV176" s="47"/>
      <c r="HX176" t="str">
        <f>('Inteligencia emocional'!A177)</f>
        <v>0</v>
      </c>
      <c r="HY176" s="39" t="str">
        <f>'Por Valoracion (3) Dimension'!F176</f>
        <v>0</v>
      </c>
      <c r="HZ176" s="39" t="str">
        <f>'Por Valoracion (3) Dimension 2'!D176</f>
        <v>0</v>
      </c>
      <c r="IU176" s="47"/>
      <c r="IW176" t="str">
        <f>('Inteligencia emocional'!A177)</f>
        <v>0</v>
      </c>
      <c r="IX176" s="39" t="str">
        <f>'Por Valoracion (3) Dimension'!F176</f>
        <v>0</v>
      </c>
      <c r="IY176" s="39" t="str">
        <f>'Por Valoracion (3) Dimension 2'!F176</f>
        <v>0</v>
      </c>
      <c r="JT176" s="47"/>
      <c r="JV176" t="str">
        <f>('Inteligencia emocional'!A177)</f>
        <v>0</v>
      </c>
      <c r="JW176" s="39" t="str">
        <f>'Por Valoracion (3) Dimension'!F176</f>
        <v>0</v>
      </c>
      <c r="JX176" s="39" t="str">
        <f>'Por Valoracion (3) Dimension 2'!H176</f>
        <v>0</v>
      </c>
      <c r="KS176" s="47"/>
    </row>
    <row r="177" spans="1:305">
      <c r="A177" s="38"/>
      <c r="C177" t="str">
        <f>('Inteligencia emocional'!A178)</f>
        <v>0</v>
      </c>
      <c r="D177" s="39" t="str">
        <f>'Por Valoracion (3) Dimension'!B177</f>
        <v>0</v>
      </c>
      <c r="E177" s="39" t="str">
        <f>'Por Valoracion (3) Dimension 2'!B177</f>
        <v>0</v>
      </c>
      <c r="Z177" s="38"/>
      <c r="AB177" t="str">
        <f>('Inteligencia emocional'!A178)</f>
        <v>0</v>
      </c>
      <c r="AC177" s="39" t="str">
        <f>'Por Valoracion (3) Dimension'!B177</f>
        <v>0</v>
      </c>
      <c r="AD177" s="39" t="str">
        <f>'Por Valoracion (3) Dimension 2'!D177</f>
        <v>0</v>
      </c>
      <c r="AY177" s="38"/>
      <c r="BA177" t="str">
        <f>('Inteligencia emocional'!A178)</f>
        <v>0</v>
      </c>
      <c r="BB177" s="39" t="str">
        <f>'Por Valoracion (3) Dimension'!B177</f>
        <v>0</v>
      </c>
      <c r="BC177" s="39" t="str">
        <f>'Por Valoracion (3) Dimension 2'!F177</f>
        <v>0</v>
      </c>
      <c r="BX177" s="38"/>
      <c r="BZ177" t="str">
        <f>('Inteligencia emocional'!A178)</f>
        <v>0</v>
      </c>
      <c r="CA177" s="39" t="str">
        <f>'Por Valoracion (3) Dimension'!B177</f>
        <v>0</v>
      </c>
      <c r="CB177" s="39" t="str">
        <f>'Por Valoracion (3) Dimension 2'!H177</f>
        <v>0</v>
      </c>
      <c r="CW177" s="38"/>
      <c r="CY177" s="46"/>
      <c r="DA177" t="str">
        <f>('Inteligencia emocional'!A178)</f>
        <v>0</v>
      </c>
      <c r="DB177" s="39" t="str">
        <f>'Por Valoracion (3) Dimension'!D177</f>
        <v>0</v>
      </c>
      <c r="DC177" s="39" t="str">
        <f>'Por Valoracion (3) Dimension 2'!B177</f>
        <v>0</v>
      </c>
      <c r="DX177" s="46"/>
      <c r="DZ177" t="str">
        <f>('Inteligencia emocional'!A178)</f>
        <v>0</v>
      </c>
      <c r="EA177" s="39" t="str">
        <f>'Por Valoracion (3) Dimension'!D177</f>
        <v>0</v>
      </c>
      <c r="EB177" s="39" t="str">
        <f>'Por Valoracion (3) Dimension 2'!D177</f>
        <v>0</v>
      </c>
      <c r="EW177" s="46"/>
      <c r="EY177" t="str">
        <f>('Inteligencia emocional'!A178)</f>
        <v>0</v>
      </c>
      <c r="EZ177" s="39" t="str">
        <f>'Por Valoracion (3) Dimension'!D177</f>
        <v>0</v>
      </c>
      <c r="FA177" s="39" t="str">
        <f>'Por Valoracion (3) Dimension 2'!F177</f>
        <v>0</v>
      </c>
      <c r="FV177" s="46"/>
      <c r="FX177" t="str">
        <f>('Inteligencia emocional'!A178)</f>
        <v>0</v>
      </c>
      <c r="FY177" s="39" t="str">
        <f>'Por Valoracion (3) Dimension'!D177</f>
        <v>0</v>
      </c>
      <c r="FZ177" s="39" t="str">
        <f>'Por Valoracion (3) Dimension 2'!H177</f>
        <v>0</v>
      </c>
      <c r="GU177" s="46"/>
      <c r="GW177" s="47"/>
      <c r="GY177" t="str">
        <f>('Inteligencia emocional'!A178)</f>
        <v>0</v>
      </c>
      <c r="GZ177" s="39" t="str">
        <f>'Por Valoracion (3) Dimension'!F177</f>
        <v>0</v>
      </c>
      <c r="HA177" s="39" t="str">
        <f>'Por Valoracion (3) Dimension 2'!B177</f>
        <v>0</v>
      </c>
      <c r="HV177" s="47"/>
      <c r="HX177" t="str">
        <f>('Inteligencia emocional'!A178)</f>
        <v>0</v>
      </c>
      <c r="HY177" s="39" t="str">
        <f>'Por Valoracion (3) Dimension'!F177</f>
        <v>0</v>
      </c>
      <c r="HZ177" s="39" t="str">
        <f>'Por Valoracion (3) Dimension 2'!D177</f>
        <v>0</v>
      </c>
      <c r="IU177" s="47"/>
      <c r="IW177" t="str">
        <f>('Inteligencia emocional'!A178)</f>
        <v>0</v>
      </c>
      <c r="IX177" s="39" t="str">
        <f>'Por Valoracion (3) Dimension'!F177</f>
        <v>0</v>
      </c>
      <c r="IY177" s="39" t="str">
        <f>'Por Valoracion (3) Dimension 2'!F177</f>
        <v>0</v>
      </c>
      <c r="JT177" s="47"/>
      <c r="JV177" t="str">
        <f>('Inteligencia emocional'!A178)</f>
        <v>0</v>
      </c>
      <c r="JW177" s="39" t="str">
        <f>'Por Valoracion (3) Dimension'!F177</f>
        <v>0</v>
      </c>
      <c r="JX177" s="39" t="str">
        <f>'Por Valoracion (3) Dimension 2'!H177</f>
        <v>0</v>
      </c>
      <c r="KS177" s="47"/>
    </row>
    <row r="178" spans="1:305">
      <c r="A178" s="38"/>
      <c r="C178" t="str">
        <f>('Inteligencia emocional'!A179)</f>
        <v>0</v>
      </c>
      <c r="D178" s="39" t="str">
        <f>'Por Valoracion (3) Dimension'!B178</f>
        <v>0</v>
      </c>
      <c r="E178" s="39" t="str">
        <f>'Por Valoracion (3) Dimension 2'!B178</f>
        <v>0</v>
      </c>
      <c r="Z178" s="38"/>
      <c r="AB178" t="str">
        <f>('Inteligencia emocional'!A179)</f>
        <v>0</v>
      </c>
      <c r="AC178" s="39" t="str">
        <f>'Por Valoracion (3) Dimension'!B178</f>
        <v>0</v>
      </c>
      <c r="AD178" s="39" t="str">
        <f>'Por Valoracion (3) Dimension 2'!D178</f>
        <v>0</v>
      </c>
      <c r="AY178" s="38"/>
      <c r="BA178" t="str">
        <f>('Inteligencia emocional'!A179)</f>
        <v>0</v>
      </c>
      <c r="BB178" s="39" t="str">
        <f>'Por Valoracion (3) Dimension'!B178</f>
        <v>0</v>
      </c>
      <c r="BC178" s="39" t="str">
        <f>'Por Valoracion (3) Dimension 2'!F178</f>
        <v>0</v>
      </c>
      <c r="BX178" s="38"/>
      <c r="BZ178" t="str">
        <f>('Inteligencia emocional'!A179)</f>
        <v>0</v>
      </c>
      <c r="CA178" s="39" t="str">
        <f>'Por Valoracion (3) Dimension'!B178</f>
        <v>0</v>
      </c>
      <c r="CB178" s="39" t="str">
        <f>'Por Valoracion (3) Dimension 2'!H178</f>
        <v>0</v>
      </c>
      <c r="CW178" s="38"/>
      <c r="CY178" s="46"/>
      <c r="DA178" t="str">
        <f>('Inteligencia emocional'!A179)</f>
        <v>0</v>
      </c>
      <c r="DB178" s="39" t="str">
        <f>'Por Valoracion (3) Dimension'!D178</f>
        <v>0</v>
      </c>
      <c r="DC178" s="39" t="str">
        <f>'Por Valoracion (3) Dimension 2'!B178</f>
        <v>0</v>
      </c>
      <c r="DX178" s="46"/>
      <c r="DZ178" t="str">
        <f>('Inteligencia emocional'!A179)</f>
        <v>0</v>
      </c>
      <c r="EA178" s="39" t="str">
        <f>'Por Valoracion (3) Dimension'!D178</f>
        <v>0</v>
      </c>
      <c r="EB178" s="39" t="str">
        <f>'Por Valoracion (3) Dimension 2'!D178</f>
        <v>0</v>
      </c>
      <c r="EW178" s="46"/>
      <c r="EY178" t="str">
        <f>('Inteligencia emocional'!A179)</f>
        <v>0</v>
      </c>
      <c r="EZ178" s="39" t="str">
        <f>'Por Valoracion (3) Dimension'!D178</f>
        <v>0</v>
      </c>
      <c r="FA178" s="39" t="str">
        <f>'Por Valoracion (3) Dimension 2'!F178</f>
        <v>0</v>
      </c>
      <c r="FV178" s="46"/>
      <c r="FX178" t="str">
        <f>('Inteligencia emocional'!A179)</f>
        <v>0</v>
      </c>
      <c r="FY178" s="39" t="str">
        <f>'Por Valoracion (3) Dimension'!D178</f>
        <v>0</v>
      </c>
      <c r="FZ178" s="39" t="str">
        <f>'Por Valoracion (3) Dimension 2'!H178</f>
        <v>0</v>
      </c>
      <c r="GU178" s="46"/>
      <c r="GW178" s="47"/>
      <c r="GY178" t="str">
        <f>('Inteligencia emocional'!A179)</f>
        <v>0</v>
      </c>
      <c r="GZ178" s="39" t="str">
        <f>'Por Valoracion (3) Dimension'!F178</f>
        <v>0</v>
      </c>
      <c r="HA178" s="39" t="str">
        <f>'Por Valoracion (3) Dimension 2'!B178</f>
        <v>0</v>
      </c>
      <c r="HV178" s="47"/>
      <c r="HX178" t="str">
        <f>('Inteligencia emocional'!A179)</f>
        <v>0</v>
      </c>
      <c r="HY178" s="39" t="str">
        <f>'Por Valoracion (3) Dimension'!F178</f>
        <v>0</v>
      </c>
      <c r="HZ178" s="39" t="str">
        <f>'Por Valoracion (3) Dimension 2'!D178</f>
        <v>0</v>
      </c>
      <c r="IU178" s="47"/>
      <c r="IW178" t="str">
        <f>('Inteligencia emocional'!A179)</f>
        <v>0</v>
      </c>
      <c r="IX178" s="39" t="str">
        <f>'Por Valoracion (3) Dimension'!F178</f>
        <v>0</v>
      </c>
      <c r="IY178" s="39" t="str">
        <f>'Por Valoracion (3) Dimension 2'!F178</f>
        <v>0</v>
      </c>
      <c r="JT178" s="47"/>
      <c r="JV178" t="str">
        <f>('Inteligencia emocional'!A179)</f>
        <v>0</v>
      </c>
      <c r="JW178" s="39" t="str">
        <f>'Por Valoracion (3) Dimension'!F178</f>
        <v>0</v>
      </c>
      <c r="JX178" s="39" t="str">
        <f>'Por Valoracion (3) Dimension 2'!H178</f>
        <v>0</v>
      </c>
      <c r="KS178" s="47"/>
    </row>
    <row r="179" spans="1:305">
      <c r="A179" s="38"/>
      <c r="C179" t="str">
        <f>('Inteligencia emocional'!A180)</f>
        <v>0</v>
      </c>
      <c r="D179" s="39" t="str">
        <f>'Por Valoracion (3) Dimension'!B179</f>
        <v>0</v>
      </c>
      <c r="E179" s="39" t="str">
        <f>'Por Valoracion (3) Dimension 2'!B179</f>
        <v>0</v>
      </c>
      <c r="Z179" s="38"/>
      <c r="AB179" t="str">
        <f>('Inteligencia emocional'!A180)</f>
        <v>0</v>
      </c>
      <c r="AC179" s="39" t="str">
        <f>'Por Valoracion (3) Dimension'!B179</f>
        <v>0</v>
      </c>
      <c r="AD179" s="39" t="str">
        <f>'Por Valoracion (3) Dimension 2'!D179</f>
        <v>0</v>
      </c>
      <c r="AY179" s="38"/>
      <c r="BA179" t="str">
        <f>('Inteligencia emocional'!A180)</f>
        <v>0</v>
      </c>
      <c r="BB179" s="39" t="str">
        <f>'Por Valoracion (3) Dimension'!B179</f>
        <v>0</v>
      </c>
      <c r="BC179" s="39" t="str">
        <f>'Por Valoracion (3) Dimension 2'!F179</f>
        <v>0</v>
      </c>
      <c r="BX179" s="38"/>
      <c r="BZ179" t="str">
        <f>('Inteligencia emocional'!A180)</f>
        <v>0</v>
      </c>
      <c r="CA179" s="39" t="str">
        <f>'Por Valoracion (3) Dimension'!B179</f>
        <v>0</v>
      </c>
      <c r="CB179" s="39" t="str">
        <f>'Por Valoracion (3) Dimension 2'!H179</f>
        <v>0</v>
      </c>
      <c r="CW179" s="38"/>
      <c r="CY179" s="46"/>
      <c r="DA179" t="str">
        <f>('Inteligencia emocional'!A180)</f>
        <v>0</v>
      </c>
      <c r="DB179" s="39" t="str">
        <f>'Por Valoracion (3) Dimension'!D179</f>
        <v>0</v>
      </c>
      <c r="DC179" s="39" t="str">
        <f>'Por Valoracion (3) Dimension 2'!B179</f>
        <v>0</v>
      </c>
      <c r="DX179" s="46"/>
      <c r="DZ179" t="str">
        <f>('Inteligencia emocional'!A180)</f>
        <v>0</v>
      </c>
      <c r="EA179" s="39" t="str">
        <f>'Por Valoracion (3) Dimension'!D179</f>
        <v>0</v>
      </c>
      <c r="EB179" s="39" t="str">
        <f>'Por Valoracion (3) Dimension 2'!D179</f>
        <v>0</v>
      </c>
      <c r="EW179" s="46"/>
      <c r="EY179" t="str">
        <f>('Inteligencia emocional'!A180)</f>
        <v>0</v>
      </c>
      <c r="EZ179" s="39" t="str">
        <f>'Por Valoracion (3) Dimension'!D179</f>
        <v>0</v>
      </c>
      <c r="FA179" s="39" t="str">
        <f>'Por Valoracion (3) Dimension 2'!F179</f>
        <v>0</v>
      </c>
      <c r="FV179" s="46"/>
      <c r="FX179" t="str">
        <f>('Inteligencia emocional'!A180)</f>
        <v>0</v>
      </c>
      <c r="FY179" s="39" t="str">
        <f>'Por Valoracion (3) Dimension'!D179</f>
        <v>0</v>
      </c>
      <c r="FZ179" s="39" t="str">
        <f>'Por Valoracion (3) Dimension 2'!H179</f>
        <v>0</v>
      </c>
      <c r="GU179" s="46"/>
      <c r="GW179" s="47"/>
      <c r="GY179" t="str">
        <f>('Inteligencia emocional'!A180)</f>
        <v>0</v>
      </c>
      <c r="GZ179" s="39" t="str">
        <f>'Por Valoracion (3) Dimension'!F179</f>
        <v>0</v>
      </c>
      <c r="HA179" s="39" t="str">
        <f>'Por Valoracion (3) Dimension 2'!B179</f>
        <v>0</v>
      </c>
      <c r="HV179" s="47"/>
      <c r="HX179" t="str">
        <f>('Inteligencia emocional'!A180)</f>
        <v>0</v>
      </c>
      <c r="HY179" s="39" t="str">
        <f>'Por Valoracion (3) Dimension'!F179</f>
        <v>0</v>
      </c>
      <c r="HZ179" s="39" t="str">
        <f>'Por Valoracion (3) Dimension 2'!D179</f>
        <v>0</v>
      </c>
      <c r="IU179" s="47"/>
      <c r="IW179" t="str">
        <f>('Inteligencia emocional'!A180)</f>
        <v>0</v>
      </c>
      <c r="IX179" s="39" t="str">
        <f>'Por Valoracion (3) Dimension'!F179</f>
        <v>0</v>
      </c>
      <c r="IY179" s="39" t="str">
        <f>'Por Valoracion (3) Dimension 2'!F179</f>
        <v>0</v>
      </c>
      <c r="JT179" s="47"/>
      <c r="JV179" t="str">
        <f>('Inteligencia emocional'!A180)</f>
        <v>0</v>
      </c>
      <c r="JW179" s="39" t="str">
        <f>'Por Valoracion (3) Dimension'!F179</f>
        <v>0</v>
      </c>
      <c r="JX179" s="39" t="str">
        <f>'Por Valoracion (3) Dimension 2'!H179</f>
        <v>0</v>
      </c>
      <c r="KS179" s="47"/>
    </row>
    <row r="180" spans="1:305">
      <c r="A180" s="38"/>
      <c r="C180" t="str">
        <f>('Inteligencia emocional'!A181)</f>
        <v>0</v>
      </c>
      <c r="D180" s="39" t="str">
        <f>'Por Valoracion (3) Dimension'!B180</f>
        <v>0</v>
      </c>
      <c r="E180" s="39" t="str">
        <f>'Por Valoracion (3) Dimension 2'!B180</f>
        <v>0</v>
      </c>
      <c r="Z180" s="38"/>
      <c r="AB180" t="str">
        <f>('Inteligencia emocional'!A181)</f>
        <v>0</v>
      </c>
      <c r="AC180" s="39" t="str">
        <f>'Por Valoracion (3) Dimension'!B180</f>
        <v>0</v>
      </c>
      <c r="AD180" s="39" t="str">
        <f>'Por Valoracion (3) Dimension 2'!D180</f>
        <v>0</v>
      </c>
      <c r="AY180" s="38"/>
      <c r="BA180" t="str">
        <f>('Inteligencia emocional'!A181)</f>
        <v>0</v>
      </c>
      <c r="BB180" s="39" t="str">
        <f>'Por Valoracion (3) Dimension'!B180</f>
        <v>0</v>
      </c>
      <c r="BC180" s="39" t="str">
        <f>'Por Valoracion (3) Dimension 2'!F180</f>
        <v>0</v>
      </c>
      <c r="BX180" s="38"/>
      <c r="BZ180" t="str">
        <f>('Inteligencia emocional'!A181)</f>
        <v>0</v>
      </c>
      <c r="CA180" s="39" t="str">
        <f>'Por Valoracion (3) Dimension'!B180</f>
        <v>0</v>
      </c>
      <c r="CB180" s="39" t="str">
        <f>'Por Valoracion (3) Dimension 2'!H180</f>
        <v>0</v>
      </c>
      <c r="CW180" s="38"/>
      <c r="CY180" s="46"/>
      <c r="DA180" t="str">
        <f>('Inteligencia emocional'!A181)</f>
        <v>0</v>
      </c>
      <c r="DB180" s="39" t="str">
        <f>'Por Valoracion (3) Dimension'!D180</f>
        <v>0</v>
      </c>
      <c r="DC180" s="39" t="str">
        <f>'Por Valoracion (3) Dimension 2'!B180</f>
        <v>0</v>
      </c>
      <c r="DX180" s="46"/>
      <c r="DZ180" t="str">
        <f>('Inteligencia emocional'!A181)</f>
        <v>0</v>
      </c>
      <c r="EA180" s="39" t="str">
        <f>'Por Valoracion (3) Dimension'!D180</f>
        <v>0</v>
      </c>
      <c r="EB180" s="39" t="str">
        <f>'Por Valoracion (3) Dimension 2'!D180</f>
        <v>0</v>
      </c>
      <c r="EW180" s="46"/>
      <c r="EY180" t="str">
        <f>('Inteligencia emocional'!A181)</f>
        <v>0</v>
      </c>
      <c r="EZ180" s="39" t="str">
        <f>'Por Valoracion (3) Dimension'!D180</f>
        <v>0</v>
      </c>
      <c r="FA180" s="39" t="str">
        <f>'Por Valoracion (3) Dimension 2'!F180</f>
        <v>0</v>
      </c>
      <c r="FV180" s="46"/>
      <c r="FX180" t="str">
        <f>('Inteligencia emocional'!A181)</f>
        <v>0</v>
      </c>
      <c r="FY180" s="39" t="str">
        <f>'Por Valoracion (3) Dimension'!D180</f>
        <v>0</v>
      </c>
      <c r="FZ180" s="39" t="str">
        <f>'Por Valoracion (3) Dimension 2'!H180</f>
        <v>0</v>
      </c>
      <c r="GU180" s="46"/>
      <c r="GW180" s="47"/>
      <c r="GY180" t="str">
        <f>('Inteligencia emocional'!A181)</f>
        <v>0</v>
      </c>
      <c r="GZ180" s="39" t="str">
        <f>'Por Valoracion (3) Dimension'!F180</f>
        <v>0</v>
      </c>
      <c r="HA180" s="39" t="str">
        <f>'Por Valoracion (3) Dimension 2'!B180</f>
        <v>0</v>
      </c>
      <c r="HV180" s="47"/>
      <c r="HX180" t="str">
        <f>('Inteligencia emocional'!A181)</f>
        <v>0</v>
      </c>
      <c r="HY180" s="39" t="str">
        <f>'Por Valoracion (3) Dimension'!F180</f>
        <v>0</v>
      </c>
      <c r="HZ180" s="39" t="str">
        <f>'Por Valoracion (3) Dimension 2'!D180</f>
        <v>0</v>
      </c>
      <c r="IU180" s="47"/>
      <c r="IW180" t="str">
        <f>('Inteligencia emocional'!A181)</f>
        <v>0</v>
      </c>
      <c r="IX180" s="39" t="str">
        <f>'Por Valoracion (3) Dimension'!F180</f>
        <v>0</v>
      </c>
      <c r="IY180" s="39" t="str">
        <f>'Por Valoracion (3) Dimension 2'!F180</f>
        <v>0</v>
      </c>
      <c r="JT180" s="47"/>
      <c r="JV180" t="str">
        <f>('Inteligencia emocional'!A181)</f>
        <v>0</v>
      </c>
      <c r="JW180" s="39" t="str">
        <f>'Por Valoracion (3) Dimension'!F180</f>
        <v>0</v>
      </c>
      <c r="JX180" s="39" t="str">
        <f>'Por Valoracion (3) Dimension 2'!H180</f>
        <v>0</v>
      </c>
      <c r="KS180" s="47"/>
    </row>
    <row r="181" spans="1:305">
      <c r="A181" s="38"/>
      <c r="C181" t="str">
        <f>('Inteligencia emocional'!A182)</f>
        <v>0</v>
      </c>
      <c r="D181" s="39" t="str">
        <f>'Por Valoracion (3) Dimension'!B181</f>
        <v>0</v>
      </c>
      <c r="E181" s="39" t="str">
        <f>'Por Valoracion (3) Dimension 2'!B181</f>
        <v>0</v>
      </c>
      <c r="Z181" s="38"/>
      <c r="AB181" t="str">
        <f>('Inteligencia emocional'!A182)</f>
        <v>0</v>
      </c>
      <c r="AC181" s="39" t="str">
        <f>'Por Valoracion (3) Dimension'!B181</f>
        <v>0</v>
      </c>
      <c r="AD181" s="39" t="str">
        <f>'Por Valoracion (3) Dimension 2'!D181</f>
        <v>0</v>
      </c>
      <c r="AY181" s="38"/>
      <c r="BA181" t="str">
        <f>('Inteligencia emocional'!A182)</f>
        <v>0</v>
      </c>
      <c r="BB181" s="39" t="str">
        <f>'Por Valoracion (3) Dimension'!B181</f>
        <v>0</v>
      </c>
      <c r="BC181" s="39" t="str">
        <f>'Por Valoracion (3) Dimension 2'!F181</f>
        <v>0</v>
      </c>
      <c r="BX181" s="38"/>
      <c r="BZ181" t="str">
        <f>('Inteligencia emocional'!A182)</f>
        <v>0</v>
      </c>
      <c r="CA181" s="39" t="str">
        <f>'Por Valoracion (3) Dimension'!B181</f>
        <v>0</v>
      </c>
      <c r="CB181" s="39" t="str">
        <f>'Por Valoracion (3) Dimension 2'!H181</f>
        <v>0</v>
      </c>
      <c r="CW181" s="38"/>
      <c r="CY181" s="46"/>
      <c r="DA181" t="str">
        <f>('Inteligencia emocional'!A182)</f>
        <v>0</v>
      </c>
      <c r="DB181" s="39" t="str">
        <f>'Por Valoracion (3) Dimension'!D181</f>
        <v>0</v>
      </c>
      <c r="DC181" s="39" t="str">
        <f>'Por Valoracion (3) Dimension 2'!B181</f>
        <v>0</v>
      </c>
      <c r="DX181" s="46"/>
      <c r="DZ181" t="str">
        <f>('Inteligencia emocional'!A182)</f>
        <v>0</v>
      </c>
      <c r="EA181" s="39" t="str">
        <f>'Por Valoracion (3) Dimension'!D181</f>
        <v>0</v>
      </c>
      <c r="EB181" s="39" t="str">
        <f>'Por Valoracion (3) Dimension 2'!D181</f>
        <v>0</v>
      </c>
      <c r="EW181" s="46"/>
      <c r="EY181" t="str">
        <f>('Inteligencia emocional'!A182)</f>
        <v>0</v>
      </c>
      <c r="EZ181" s="39" t="str">
        <f>'Por Valoracion (3) Dimension'!D181</f>
        <v>0</v>
      </c>
      <c r="FA181" s="39" t="str">
        <f>'Por Valoracion (3) Dimension 2'!F181</f>
        <v>0</v>
      </c>
      <c r="FV181" s="46"/>
      <c r="FX181" t="str">
        <f>('Inteligencia emocional'!A182)</f>
        <v>0</v>
      </c>
      <c r="FY181" s="39" t="str">
        <f>'Por Valoracion (3) Dimension'!D181</f>
        <v>0</v>
      </c>
      <c r="FZ181" s="39" t="str">
        <f>'Por Valoracion (3) Dimension 2'!H181</f>
        <v>0</v>
      </c>
      <c r="GU181" s="46"/>
      <c r="GW181" s="47"/>
      <c r="GY181" t="str">
        <f>('Inteligencia emocional'!A182)</f>
        <v>0</v>
      </c>
      <c r="GZ181" s="39" t="str">
        <f>'Por Valoracion (3) Dimension'!F181</f>
        <v>0</v>
      </c>
      <c r="HA181" s="39" t="str">
        <f>'Por Valoracion (3) Dimension 2'!B181</f>
        <v>0</v>
      </c>
      <c r="HV181" s="47"/>
      <c r="HX181" t="str">
        <f>('Inteligencia emocional'!A182)</f>
        <v>0</v>
      </c>
      <c r="HY181" s="39" t="str">
        <f>'Por Valoracion (3) Dimension'!F181</f>
        <v>0</v>
      </c>
      <c r="HZ181" s="39" t="str">
        <f>'Por Valoracion (3) Dimension 2'!D181</f>
        <v>0</v>
      </c>
      <c r="IU181" s="47"/>
      <c r="IW181" t="str">
        <f>('Inteligencia emocional'!A182)</f>
        <v>0</v>
      </c>
      <c r="IX181" s="39" t="str">
        <f>'Por Valoracion (3) Dimension'!F181</f>
        <v>0</v>
      </c>
      <c r="IY181" s="39" t="str">
        <f>'Por Valoracion (3) Dimension 2'!F181</f>
        <v>0</v>
      </c>
      <c r="JT181" s="47"/>
      <c r="JV181" t="str">
        <f>('Inteligencia emocional'!A182)</f>
        <v>0</v>
      </c>
      <c r="JW181" s="39" t="str">
        <f>'Por Valoracion (3) Dimension'!F181</f>
        <v>0</v>
      </c>
      <c r="JX181" s="39" t="str">
        <f>'Por Valoracion (3) Dimension 2'!H181</f>
        <v>0</v>
      </c>
      <c r="KS181" s="47"/>
    </row>
    <row r="182" spans="1:305">
      <c r="A182" s="38"/>
      <c r="C182" t="str">
        <f>('Inteligencia emocional'!A183)</f>
        <v>0</v>
      </c>
      <c r="D182" s="39" t="str">
        <f>'Por Valoracion (3) Dimension'!B182</f>
        <v>0</v>
      </c>
      <c r="E182" s="39" t="str">
        <f>'Por Valoracion (3) Dimension 2'!B182</f>
        <v>0</v>
      </c>
      <c r="Z182" s="38"/>
      <c r="AB182" t="str">
        <f>('Inteligencia emocional'!A183)</f>
        <v>0</v>
      </c>
      <c r="AC182" s="39" t="str">
        <f>'Por Valoracion (3) Dimension'!B182</f>
        <v>0</v>
      </c>
      <c r="AD182" s="39" t="str">
        <f>'Por Valoracion (3) Dimension 2'!D182</f>
        <v>0</v>
      </c>
      <c r="AY182" s="38"/>
      <c r="BA182" t="str">
        <f>('Inteligencia emocional'!A183)</f>
        <v>0</v>
      </c>
      <c r="BB182" s="39" t="str">
        <f>'Por Valoracion (3) Dimension'!B182</f>
        <v>0</v>
      </c>
      <c r="BC182" s="39" t="str">
        <f>'Por Valoracion (3) Dimension 2'!F182</f>
        <v>0</v>
      </c>
      <c r="BX182" s="38"/>
      <c r="BZ182" t="str">
        <f>('Inteligencia emocional'!A183)</f>
        <v>0</v>
      </c>
      <c r="CA182" s="39" t="str">
        <f>'Por Valoracion (3) Dimension'!B182</f>
        <v>0</v>
      </c>
      <c r="CB182" s="39" t="str">
        <f>'Por Valoracion (3) Dimension 2'!H182</f>
        <v>0</v>
      </c>
      <c r="CW182" s="38"/>
      <c r="CY182" s="46"/>
      <c r="DA182" t="str">
        <f>('Inteligencia emocional'!A183)</f>
        <v>0</v>
      </c>
      <c r="DB182" s="39" t="str">
        <f>'Por Valoracion (3) Dimension'!D182</f>
        <v>0</v>
      </c>
      <c r="DC182" s="39" t="str">
        <f>'Por Valoracion (3) Dimension 2'!B182</f>
        <v>0</v>
      </c>
      <c r="DX182" s="46"/>
      <c r="DZ182" t="str">
        <f>('Inteligencia emocional'!A183)</f>
        <v>0</v>
      </c>
      <c r="EA182" s="39" t="str">
        <f>'Por Valoracion (3) Dimension'!D182</f>
        <v>0</v>
      </c>
      <c r="EB182" s="39" t="str">
        <f>'Por Valoracion (3) Dimension 2'!D182</f>
        <v>0</v>
      </c>
      <c r="EW182" s="46"/>
      <c r="EY182" t="str">
        <f>('Inteligencia emocional'!A183)</f>
        <v>0</v>
      </c>
      <c r="EZ182" s="39" t="str">
        <f>'Por Valoracion (3) Dimension'!D182</f>
        <v>0</v>
      </c>
      <c r="FA182" s="39" t="str">
        <f>'Por Valoracion (3) Dimension 2'!F182</f>
        <v>0</v>
      </c>
      <c r="FV182" s="46"/>
      <c r="FX182" t="str">
        <f>('Inteligencia emocional'!A183)</f>
        <v>0</v>
      </c>
      <c r="FY182" s="39" t="str">
        <f>'Por Valoracion (3) Dimension'!D182</f>
        <v>0</v>
      </c>
      <c r="FZ182" s="39" t="str">
        <f>'Por Valoracion (3) Dimension 2'!H182</f>
        <v>0</v>
      </c>
      <c r="GU182" s="46"/>
      <c r="GW182" s="47"/>
      <c r="GY182" t="str">
        <f>('Inteligencia emocional'!A183)</f>
        <v>0</v>
      </c>
      <c r="GZ182" s="39" t="str">
        <f>'Por Valoracion (3) Dimension'!F182</f>
        <v>0</v>
      </c>
      <c r="HA182" s="39" t="str">
        <f>'Por Valoracion (3) Dimension 2'!B182</f>
        <v>0</v>
      </c>
      <c r="HV182" s="47"/>
      <c r="HX182" t="str">
        <f>('Inteligencia emocional'!A183)</f>
        <v>0</v>
      </c>
      <c r="HY182" s="39" t="str">
        <f>'Por Valoracion (3) Dimension'!F182</f>
        <v>0</v>
      </c>
      <c r="HZ182" s="39" t="str">
        <f>'Por Valoracion (3) Dimension 2'!D182</f>
        <v>0</v>
      </c>
      <c r="IU182" s="47"/>
      <c r="IW182" t="str">
        <f>('Inteligencia emocional'!A183)</f>
        <v>0</v>
      </c>
      <c r="IX182" s="39" t="str">
        <f>'Por Valoracion (3) Dimension'!F182</f>
        <v>0</v>
      </c>
      <c r="IY182" s="39" t="str">
        <f>'Por Valoracion (3) Dimension 2'!F182</f>
        <v>0</v>
      </c>
      <c r="JT182" s="47"/>
      <c r="JV182" t="str">
        <f>('Inteligencia emocional'!A183)</f>
        <v>0</v>
      </c>
      <c r="JW182" s="39" t="str">
        <f>'Por Valoracion (3) Dimension'!F182</f>
        <v>0</v>
      </c>
      <c r="JX182" s="39" t="str">
        <f>'Por Valoracion (3) Dimension 2'!H182</f>
        <v>0</v>
      </c>
      <c r="KS182" s="47"/>
    </row>
    <row r="183" spans="1:305">
      <c r="A183" s="38"/>
      <c r="C183" t="str">
        <f>('Inteligencia emocional'!A184)</f>
        <v>0</v>
      </c>
      <c r="D183" s="39" t="str">
        <f>'Por Valoracion (3) Dimension'!B183</f>
        <v>0</v>
      </c>
      <c r="E183" s="39" t="str">
        <f>'Por Valoracion (3) Dimension 2'!B183</f>
        <v>0</v>
      </c>
      <c r="Z183" s="38"/>
      <c r="AB183" t="str">
        <f>('Inteligencia emocional'!A184)</f>
        <v>0</v>
      </c>
      <c r="AC183" s="39" t="str">
        <f>'Por Valoracion (3) Dimension'!B183</f>
        <v>0</v>
      </c>
      <c r="AD183" s="39" t="str">
        <f>'Por Valoracion (3) Dimension 2'!D183</f>
        <v>0</v>
      </c>
      <c r="AY183" s="38"/>
      <c r="BA183" t="str">
        <f>('Inteligencia emocional'!A184)</f>
        <v>0</v>
      </c>
      <c r="BB183" s="39" t="str">
        <f>'Por Valoracion (3) Dimension'!B183</f>
        <v>0</v>
      </c>
      <c r="BC183" s="39" t="str">
        <f>'Por Valoracion (3) Dimension 2'!F183</f>
        <v>0</v>
      </c>
      <c r="BX183" s="38"/>
      <c r="BZ183" t="str">
        <f>('Inteligencia emocional'!A184)</f>
        <v>0</v>
      </c>
      <c r="CA183" s="39" t="str">
        <f>'Por Valoracion (3) Dimension'!B183</f>
        <v>0</v>
      </c>
      <c r="CB183" s="39" t="str">
        <f>'Por Valoracion (3) Dimension 2'!H183</f>
        <v>0</v>
      </c>
      <c r="CW183" s="38"/>
      <c r="CY183" s="46"/>
      <c r="DA183" t="str">
        <f>('Inteligencia emocional'!A184)</f>
        <v>0</v>
      </c>
      <c r="DB183" s="39" t="str">
        <f>'Por Valoracion (3) Dimension'!D183</f>
        <v>0</v>
      </c>
      <c r="DC183" s="39" t="str">
        <f>'Por Valoracion (3) Dimension 2'!B183</f>
        <v>0</v>
      </c>
      <c r="DX183" s="46"/>
      <c r="DZ183" t="str">
        <f>('Inteligencia emocional'!A184)</f>
        <v>0</v>
      </c>
      <c r="EA183" s="39" t="str">
        <f>'Por Valoracion (3) Dimension'!D183</f>
        <v>0</v>
      </c>
      <c r="EB183" s="39" t="str">
        <f>'Por Valoracion (3) Dimension 2'!D183</f>
        <v>0</v>
      </c>
      <c r="EW183" s="46"/>
      <c r="EY183" t="str">
        <f>('Inteligencia emocional'!A184)</f>
        <v>0</v>
      </c>
      <c r="EZ183" s="39" t="str">
        <f>'Por Valoracion (3) Dimension'!D183</f>
        <v>0</v>
      </c>
      <c r="FA183" s="39" t="str">
        <f>'Por Valoracion (3) Dimension 2'!F183</f>
        <v>0</v>
      </c>
      <c r="FV183" s="46"/>
      <c r="FX183" t="str">
        <f>('Inteligencia emocional'!A184)</f>
        <v>0</v>
      </c>
      <c r="FY183" s="39" t="str">
        <f>'Por Valoracion (3) Dimension'!D183</f>
        <v>0</v>
      </c>
      <c r="FZ183" s="39" t="str">
        <f>'Por Valoracion (3) Dimension 2'!H183</f>
        <v>0</v>
      </c>
      <c r="GU183" s="46"/>
      <c r="GW183" s="47"/>
      <c r="GY183" t="str">
        <f>('Inteligencia emocional'!A184)</f>
        <v>0</v>
      </c>
      <c r="GZ183" s="39" t="str">
        <f>'Por Valoracion (3) Dimension'!F183</f>
        <v>0</v>
      </c>
      <c r="HA183" s="39" t="str">
        <f>'Por Valoracion (3) Dimension 2'!B183</f>
        <v>0</v>
      </c>
      <c r="HV183" s="47"/>
      <c r="HX183" t="str">
        <f>('Inteligencia emocional'!A184)</f>
        <v>0</v>
      </c>
      <c r="HY183" s="39" t="str">
        <f>'Por Valoracion (3) Dimension'!F183</f>
        <v>0</v>
      </c>
      <c r="HZ183" s="39" t="str">
        <f>'Por Valoracion (3) Dimension 2'!D183</f>
        <v>0</v>
      </c>
      <c r="IU183" s="47"/>
      <c r="IW183" t="str">
        <f>('Inteligencia emocional'!A184)</f>
        <v>0</v>
      </c>
      <c r="IX183" s="39" t="str">
        <f>'Por Valoracion (3) Dimension'!F183</f>
        <v>0</v>
      </c>
      <c r="IY183" s="39" t="str">
        <f>'Por Valoracion (3) Dimension 2'!F183</f>
        <v>0</v>
      </c>
      <c r="JT183" s="47"/>
      <c r="JV183" t="str">
        <f>('Inteligencia emocional'!A184)</f>
        <v>0</v>
      </c>
      <c r="JW183" s="39" t="str">
        <f>'Por Valoracion (3) Dimension'!F183</f>
        <v>0</v>
      </c>
      <c r="JX183" s="39" t="str">
        <f>'Por Valoracion (3) Dimension 2'!H183</f>
        <v>0</v>
      </c>
      <c r="KS183" s="47"/>
    </row>
    <row r="184" spans="1:305">
      <c r="A184" s="38"/>
      <c r="C184" t="str">
        <f>('Inteligencia emocional'!A185)</f>
        <v>0</v>
      </c>
      <c r="D184" s="39" t="str">
        <f>'Por Valoracion (3) Dimension'!B184</f>
        <v>0</v>
      </c>
      <c r="E184" s="39" t="str">
        <f>'Por Valoracion (3) Dimension 2'!B184</f>
        <v>0</v>
      </c>
      <c r="Z184" s="38"/>
      <c r="AB184" t="str">
        <f>('Inteligencia emocional'!A185)</f>
        <v>0</v>
      </c>
      <c r="AC184" s="39" t="str">
        <f>'Por Valoracion (3) Dimension'!B184</f>
        <v>0</v>
      </c>
      <c r="AD184" s="39" t="str">
        <f>'Por Valoracion (3) Dimension 2'!D184</f>
        <v>0</v>
      </c>
      <c r="AY184" s="38"/>
      <c r="BA184" t="str">
        <f>('Inteligencia emocional'!A185)</f>
        <v>0</v>
      </c>
      <c r="BB184" s="39" t="str">
        <f>'Por Valoracion (3) Dimension'!B184</f>
        <v>0</v>
      </c>
      <c r="BC184" s="39" t="str">
        <f>'Por Valoracion (3) Dimension 2'!F184</f>
        <v>0</v>
      </c>
      <c r="BX184" s="38"/>
      <c r="BZ184" t="str">
        <f>('Inteligencia emocional'!A185)</f>
        <v>0</v>
      </c>
      <c r="CA184" s="39" t="str">
        <f>'Por Valoracion (3) Dimension'!B184</f>
        <v>0</v>
      </c>
      <c r="CB184" s="39" t="str">
        <f>'Por Valoracion (3) Dimension 2'!H184</f>
        <v>0</v>
      </c>
      <c r="CW184" s="38"/>
      <c r="CY184" s="46"/>
      <c r="DA184" t="str">
        <f>('Inteligencia emocional'!A185)</f>
        <v>0</v>
      </c>
      <c r="DB184" s="39" t="str">
        <f>'Por Valoracion (3) Dimension'!D184</f>
        <v>0</v>
      </c>
      <c r="DC184" s="39" t="str">
        <f>'Por Valoracion (3) Dimension 2'!B184</f>
        <v>0</v>
      </c>
      <c r="DX184" s="46"/>
      <c r="DZ184" t="str">
        <f>('Inteligencia emocional'!A185)</f>
        <v>0</v>
      </c>
      <c r="EA184" s="39" t="str">
        <f>'Por Valoracion (3) Dimension'!D184</f>
        <v>0</v>
      </c>
      <c r="EB184" s="39" t="str">
        <f>'Por Valoracion (3) Dimension 2'!D184</f>
        <v>0</v>
      </c>
      <c r="EW184" s="46"/>
      <c r="EY184" t="str">
        <f>('Inteligencia emocional'!A185)</f>
        <v>0</v>
      </c>
      <c r="EZ184" s="39" t="str">
        <f>'Por Valoracion (3) Dimension'!D184</f>
        <v>0</v>
      </c>
      <c r="FA184" s="39" t="str">
        <f>'Por Valoracion (3) Dimension 2'!F184</f>
        <v>0</v>
      </c>
      <c r="FV184" s="46"/>
      <c r="FX184" t="str">
        <f>('Inteligencia emocional'!A185)</f>
        <v>0</v>
      </c>
      <c r="FY184" s="39" t="str">
        <f>'Por Valoracion (3) Dimension'!D184</f>
        <v>0</v>
      </c>
      <c r="FZ184" s="39" t="str">
        <f>'Por Valoracion (3) Dimension 2'!H184</f>
        <v>0</v>
      </c>
      <c r="GU184" s="46"/>
      <c r="GW184" s="47"/>
      <c r="GY184" t="str">
        <f>('Inteligencia emocional'!A185)</f>
        <v>0</v>
      </c>
      <c r="GZ184" s="39" t="str">
        <f>'Por Valoracion (3) Dimension'!F184</f>
        <v>0</v>
      </c>
      <c r="HA184" s="39" t="str">
        <f>'Por Valoracion (3) Dimension 2'!B184</f>
        <v>0</v>
      </c>
      <c r="HV184" s="47"/>
      <c r="HX184" t="str">
        <f>('Inteligencia emocional'!A185)</f>
        <v>0</v>
      </c>
      <c r="HY184" s="39" t="str">
        <f>'Por Valoracion (3) Dimension'!F184</f>
        <v>0</v>
      </c>
      <c r="HZ184" s="39" t="str">
        <f>'Por Valoracion (3) Dimension 2'!D184</f>
        <v>0</v>
      </c>
      <c r="IU184" s="47"/>
      <c r="IW184" t="str">
        <f>('Inteligencia emocional'!A185)</f>
        <v>0</v>
      </c>
      <c r="IX184" s="39" t="str">
        <f>'Por Valoracion (3) Dimension'!F184</f>
        <v>0</v>
      </c>
      <c r="IY184" s="39" t="str">
        <f>'Por Valoracion (3) Dimension 2'!F184</f>
        <v>0</v>
      </c>
      <c r="JT184" s="47"/>
      <c r="JV184" t="str">
        <f>('Inteligencia emocional'!A185)</f>
        <v>0</v>
      </c>
      <c r="JW184" s="39" t="str">
        <f>'Por Valoracion (3) Dimension'!F184</f>
        <v>0</v>
      </c>
      <c r="JX184" s="39" t="str">
        <f>'Por Valoracion (3) Dimension 2'!H184</f>
        <v>0</v>
      </c>
      <c r="KS184" s="47"/>
    </row>
    <row r="185" spans="1:305">
      <c r="A185" s="38"/>
      <c r="C185" t="str">
        <f>('Inteligencia emocional'!A186)</f>
        <v>0</v>
      </c>
      <c r="D185" s="39" t="str">
        <f>'Por Valoracion (3) Dimension'!B185</f>
        <v>0</v>
      </c>
      <c r="E185" s="39" t="str">
        <f>'Por Valoracion (3) Dimension 2'!B185</f>
        <v>0</v>
      </c>
      <c r="Z185" s="38"/>
      <c r="AB185" t="str">
        <f>('Inteligencia emocional'!A186)</f>
        <v>0</v>
      </c>
      <c r="AC185" s="39" t="str">
        <f>'Por Valoracion (3) Dimension'!B185</f>
        <v>0</v>
      </c>
      <c r="AD185" s="39" t="str">
        <f>'Por Valoracion (3) Dimension 2'!D185</f>
        <v>0</v>
      </c>
      <c r="AY185" s="38"/>
      <c r="BA185" t="str">
        <f>('Inteligencia emocional'!A186)</f>
        <v>0</v>
      </c>
      <c r="BB185" s="39" t="str">
        <f>'Por Valoracion (3) Dimension'!B185</f>
        <v>0</v>
      </c>
      <c r="BC185" s="39" t="str">
        <f>'Por Valoracion (3) Dimension 2'!F185</f>
        <v>0</v>
      </c>
      <c r="BX185" s="38"/>
      <c r="BZ185" t="str">
        <f>('Inteligencia emocional'!A186)</f>
        <v>0</v>
      </c>
      <c r="CA185" s="39" t="str">
        <f>'Por Valoracion (3) Dimension'!B185</f>
        <v>0</v>
      </c>
      <c r="CB185" s="39" t="str">
        <f>'Por Valoracion (3) Dimension 2'!H185</f>
        <v>0</v>
      </c>
      <c r="CW185" s="38"/>
      <c r="CY185" s="46"/>
      <c r="DA185" t="str">
        <f>('Inteligencia emocional'!A186)</f>
        <v>0</v>
      </c>
      <c r="DB185" s="39" t="str">
        <f>'Por Valoracion (3) Dimension'!D185</f>
        <v>0</v>
      </c>
      <c r="DC185" s="39" t="str">
        <f>'Por Valoracion (3) Dimension 2'!B185</f>
        <v>0</v>
      </c>
      <c r="DX185" s="46"/>
      <c r="DZ185" t="str">
        <f>('Inteligencia emocional'!A186)</f>
        <v>0</v>
      </c>
      <c r="EA185" s="39" t="str">
        <f>'Por Valoracion (3) Dimension'!D185</f>
        <v>0</v>
      </c>
      <c r="EB185" s="39" t="str">
        <f>'Por Valoracion (3) Dimension 2'!D185</f>
        <v>0</v>
      </c>
      <c r="EW185" s="46"/>
      <c r="EY185" t="str">
        <f>('Inteligencia emocional'!A186)</f>
        <v>0</v>
      </c>
      <c r="EZ185" s="39" t="str">
        <f>'Por Valoracion (3) Dimension'!D185</f>
        <v>0</v>
      </c>
      <c r="FA185" s="39" t="str">
        <f>'Por Valoracion (3) Dimension 2'!F185</f>
        <v>0</v>
      </c>
      <c r="FV185" s="46"/>
      <c r="FX185" t="str">
        <f>('Inteligencia emocional'!A186)</f>
        <v>0</v>
      </c>
      <c r="FY185" s="39" t="str">
        <f>'Por Valoracion (3) Dimension'!D185</f>
        <v>0</v>
      </c>
      <c r="FZ185" s="39" t="str">
        <f>'Por Valoracion (3) Dimension 2'!H185</f>
        <v>0</v>
      </c>
      <c r="GU185" s="46"/>
      <c r="GW185" s="47"/>
      <c r="GY185" t="str">
        <f>('Inteligencia emocional'!A186)</f>
        <v>0</v>
      </c>
      <c r="GZ185" s="39" t="str">
        <f>'Por Valoracion (3) Dimension'!F185</f>
        <v>0</v>
      </c>
      <c r="HA185" s="39" t="str">
        <f>'Por Valoracion (3) Dimension 2'!B185</f>
        <v>0</v>
      </c>
      <c r="HV185" s="47"/>
      <c r="HX185" t="str">
        <f>('Inteligencia emocional'!A186)</f>
        <v>0</v>
      </c>
      <c r="HY185" s="39" t="str">
        <f>'Por Valoracion (3) Dimension'!F185</f>
        <v>0</v>
      </c>
      <c r="HZ185" s="39" t="str">
        <f>'Por Valoracion (3) Dimension 2'!D185</f>
        <v>0</v>
      </c>
      <c r="IU185" s="47"/>
      <c r="IW185" t="str">
        <f>('Inteligencia emocional'!A186)</f>
        <v>0</v>
      </c>
      <c r="IX185" s="39" t="str">
        <f>'Por Valoracion (3) Dimension'!F185</f>
        <v>0</v>
      </c>
      <c r="IY185" s="39" t="str">
        <f>'Por Valoracion (3) Dimension 2'!F185</f>
        <v>0</v>
      </c>
      <c r="JT185" s="47"/>
      <c r="JV185" t="str">
        <f>('Inteligencia emocional'!A186)</f>
        <v>0</v>
      </c>
      <c r="JW185" s="39" t="str">
        <f>'Por Valoracion (3) Dimension'!F185</f>
        <v>0</v>
      </c>
      <c r="JX185" s="39" t="str">
        <f>'Por Valoracion (3) Dimension 2'!H185</f>
        <v>0</v>
      </c>
      <c r="KS185" s="47"/>
    </row>
    <row r="186" spans="1:305">
      <c r="A186" s="38"/>
      <c r="C186" t="str">
        <f>('Inteligencia emocional'!A187)</f>
        <v>0</v>
      </c>
      <c r="D186" s="39" t="str">
        <f>'Por Valoracion (3) Dimension'!B186</f>
        <v>0</v>
      </c>
      <c r="E186" s="39" t="str">
        <f>'Por Valoracion (3) Dimension 2'!B186</f>
        <v>0</v>
      </c>
      <c r="Z186" s="38"/>
      <c r="AB186" t="str">
        <f>('Inteligencia emocional'!A187)</f>
        <v>0</v>
      </c>
      <c r="AC186" s="39" t="str">
        <f>'Por Valoracion (3) Dimension'!B186</f>
        <v>0</v>
      </c>
      <c r="AD186" s="39" t="str">
        <f>'Por Valoracion (3) Dimension 2'!D186</f>
        <v>0</v>
      </c>
      <c r="AY186" s="38"/>
      <c r="BA186" t="str">
        <f>('Inteligencia emocional'!A187)</f>
        <v>0</v>
      </c>
      <c r="BB186" s="39" t="str">
        <f>'Por Valoracion (3) Dimension'!B186</f>
        <v>0</v>
      </c>
      <c r="BC186" s="39" t="str">
        <f>'Por Valoracion (3) Dimension 2'!F186</f>
        <v>0</v>
      </c>
      <c r="BX186" s="38"/>
      <c r="BZ186" t="str">
        <f>('Inteligencia emocional'!A187)</f>
        <v>0</v>
      </c>
      <c r="CA186" s="39" t="str">
        <f>'Por Valoracion (3) Dimension'!B186</f>
        <v>0</v>
      </c>
      <c r="CB186" s="39" t="str">
        <f>'Por Valoracion (3) Dimension 2'!H186</f>
        <v>0</v>
      </c>
      <c r="CW186" s="38"/>
      <c r="CY186" s="46"/>
      <c r="DA186" t="str">
        <f>('Inteligencia emocional'!A187)</f>
        <v>0</v>
      </c>
      <c r="DB186" s="39" t="str">
        <f>'Por Valoracion (3) Dimension'!D186</f>
        <v>0</v>
      </c>
      <c r="DC186" s="39" t="str">
        <f>'Por Valoracion (3) Dimension 2'!B186</f>
        <v>0</v>
      </c>
      <c r="DX186" s="46"/>
      <c r="DZ186" t="str">
        <f>('Inteligencia emocional'!A187)</f>
        <v>0</v>
      </c>
      <c r="EA186" s="39" t="str">
        <f>'Por Valoracion (3) Dimension'!D186</f>
        <v>0</v>
      </c>
      <c r="EB186" s="39" t="str">
        <f>'Por Valoracion (3) Dimension 2'!D186</f>
        <v>0</v>
      </c>
      <c r="EW186" s="46"/>
      <c r="EY186" t="str">
        <f>('Inteligencia emocional'!A187)</f>
        <v>0</v>
      </c>
      <c r="EZ186" s="39" t="str">
        <f>'Por Valoracion (3) Dimension'!D186</f>
        <v>0</v>
      </c>
      <c r="FA186" s="39" t="str">
        <f>'Por Valoracion (3) Dimension 2'!F186</f>
        <v>0</v>
      </c>
      <c r="FV186" s="46"/>
      <c r="FX186" t="str">
        <f>('Inteligencia emocional'!A187)</f>
        <v>0</v>
      </c>
      <c r="FY186" s="39" t="str">
        <f>'Por Valoracion (3) Dimension'!D186</f>
        <v>0</v>
      </c>
      <c r="FZ186" s="39" t="str">
        <f>'Por Valoracion (3) Dimension 2'!H186</f>
        <v>0</v>
      </c>
      <c r="GU186" s="46"/>
      <c r="GW186" s="47"/>
      <c r="GY186" t="str">
        <f>('Inteligencia emocional'!A187)</f>
        <v>0</v>
      </c>
      <c r="GZ186" s="39" t="str">
        <f>'Por Valoracion (3) Dimension'!F186</f>
        <v>0</v>
      </c>
      <c r="HA186" s="39" t="str">
        <f>'Por Valoracion (3) Dimension 2'!B186</f>
        <v>0</v>
      </c>
      <c r="HV186" s="47"/>
      <c r="HX186" t="str">
        <f>('Inteligencia emocional'!A187)</f>
        <v>0</v>
      </c>
      <c r="HY186" s="39" t="str">
        <f>'Por Valoracion (3) Dimension'!F186</f>
        <v>0</v>
      </c>
      <c r="HZ186" s="39" t="str">
        <f>'Por Valoracion (3) Dimension 2'!D186</f>
        <v>0</v>
      </c>
      <c r="IU186" s="47"/>
      <c r="IW186" t="str">
        <f>('Inteligencia emocional'!A187)</f>
        <v>0</v>
      </c>
      <c r="IX186" s="39" t="str">
        <f>'Por Valoracion (3) Dimension'!F186</f>
        <v>0</v>
      </c>
      <c r="IY186" s="39" t="str">
        <f>'Por Valoracion (3) Dimension 2'!F186</f>
        <v>0</v>
      </c>
      <c r="JT186" s="47"/>
      <c r="JV186" t="str">
        <f>('Inteligencia emocional'!A187)</f>
        <v>0</v>
      </c>
      <c r="JW186" s="39" t="str">
        <f>'Por Valoracion (3) Dimension'!F186</f>
        <v>0</v>
      </c>
      <c r="JX186" s="39" t="str">
        <f>'Por Valoracion (3) Dimension 2'!H186</f>
        <v>0</v>
      </c>
      <c r="KS186" s="47"/>
    </row>
    <row r="187" spans="1:305">
      <c r="A187" s="38"/>
      <c r="C187" t="str">
        <f>('Inteligencia emocional'!A188)</f>
        <v>0</v>
      </c>
      <c r="D187" s="39" t="str">
        <f>'Por Valoracion (3) Dimension'!B187</f>
        <v>0</v>
      </c>
      <c r="E187" s="39" t="str">
        <f>'Por Valoracion (3) Dimension 2'!B187</f>
        <v>0</v>
      </c>
      <c r="Z187" s="38"/>
      <c r="AB187" t="str">
        <f>('Inteligencia emocional'!A188)</f>
        <v>0</v>
      </c>
      <c r="AC187" s="39" t="str">
        <f>'Por Valoracion (3) Dimension'!B187</f>
        <v>0</v>
      </c>
      <c r="AD187" s="39" t="str">
        <f>'Por Valoracion (3) Dimension 2'!D187</f>
        <v>0</v>
      </c>
      <c r="AY187" s="38"/>
      <c r="BA187" t="str">
        <f>('Inteligencia emocional'!A188)</f>
        <v>0</v>
      </c>
      <c r="BB187" s="39" t="str">
        <f>'Por Valoracion (3) Dimension'!B187</f>
        <v>0</v>
      </c>
      <c r="BC187" s="39" t="str">
        <f>'Por Valoracion (3) Dimension 2'!F187</f>
        <v>0</v>
      </c>
      <c r="BX187" s="38"/>
      <c r="BZ187" t="str">
        <f>('Inteligencia emocional'!A188)</f>
        <v>0</v>
      </c>
      <c r="CA187" s="39" t="str">
        <f>'Por Valoracion (3) Dimension'!B187</f>
        <v>0</v>
      </c>
      <c r="CB187" s="39" t="str">
        <f>'Por Valoracion (3) Dimension 2'!H187</f>
        <v>0</v>
      </c>
      <c r="CW187" s="38"/>
      <c r="CY187" s="46"/>
      <c r="DA187" t="str">
        <f>('Inteligencia emocional'!A188)</f>
        <v>0</v>
      </c>
      <c r="DB187" s="39" t="str">
        <f>'Por Valoracion (3) Dimension'!D187</f>
        <v>0</v>
      </c>
      <c r="DC187" s="39" t="str">
        <f>'Por Valoracion (3) Dimension 2'!B187</f>
        <v>0</v>
      </c>
      <c r="DX187" s="46"/>
      <c r="DZ187" t="str">
        <f>('Inteligencia emocional'!A188)</f>
        <v>0</v>
      </c>
      <c r="EA187" s="39" t="str">
        <f>'Por Valoracion (3) Dimension'!D187</f>
        <v>0</v>
      </c>
      <c r="EB187" s="39" t="str">
        <f>'Por Valoracion (3) Dimension 2'!D187</f>
        <v>0</v>
      </c>
      <c r="EW187" s="46"/>
      <c r="EY187" t="str">
        <f>('Inteligencia emocional'!A188)</f>
        <v>0</v>
      </c>
      <c r="EZ187" s="39" t="str">
        <f>'Por Valoracion (3) Dimension'!D187</f>
        <v>0</v>
      </c>
      <c r="FA187" s="39" t="str">
        <f>'Por Valoracion (3) Dimension 2'!F187</f>
        <v>0</v>
      </c>
      <c r="FV187" s="46"/>
      <c r="FX187" t="str">
        <f>('Inteligencia emocional'!A188)</f>
        <v>0</v>
      </c>
      <c r="FY187" s="39" t="str">
        <f>'Por Valoracion (3) Dimension'!D187</f>
        <v>0</v>
      </c>
      <c r="FZ187" s="39" t="str">
        <f>'Por Valoracion (3) Dimension 2'!H187</f>
        <v>0</v>
      </c>
      <c r="GU187" s="46"/>
      <c r="GW187" s="47"/>
      <c r="GY187" t="str">
        <f>('Inteligencia emocional'!A188)</f>
        <v>0</v>
      </c>
      <c r="GZ187" s="39" t="str">
        <f>'Por Valoracion (3) Dimension'!F187</f>
        <v>0</v>
      </c>
      <c r="HA187" s="39" t="str">
        <f>'Por Valoracion (3) Dimension 2'!B187</f>
        <v>0</v>
      </c>
      <c r="HV187" s="47"/>
      <c r="HX187" t="str">
        <f>('Inteligencia emocional'!A188)</f>
        <v>0</v>
      </c>
      <c r="HY187" s="39" t="str">
        <f>'Por Valoracion (3) Dimension'!F187</f>
        <v>0</v>
      </c>
      <c r="HZ187" s="39" t="str">
        <f>'Por Valoracion (3) Dimension 2'!D187</f>
        <v>0</v>
      </c>
      <c r="IU187" s="47"/>
      <c r="IW187" t="str">
        <f>('Inteligencia emocional'!A188)</f>
        <v>0</v>
      </c>
      <c r="IX187" s="39" t="str">
        <f>'Por Valoracion (3) Dimension'!F187</f>
        <v>0</v>
      </c>
      <c r="IY187" s="39" t="str">
        <f>'Por Valoracion (3) Dimension 2'!F187</f>
        <v>0</v>
      </c>
      <c r="JT187" s="47"/>
      <c r="JV187" t="str">
        <f>('Inteligencia emocional'!A188)</f>
        <v>0</v>
      </c>
      <c r="JW187" s="39" t="str">
        <f>'Por Valoracion (3) Dimension'!F187</f>
        <v>0</v>
      </c>
      <c r="JX187" s="39" t="str">
        <f>'Por Valoracion (3) Dimension 2'!H187</f>
        <v>0</v>
      </c>
      <c r="KS187" s="47"/>
    </row>
    <row r="188" spans="1:305">
      <c r="A188" s="38"/>
      <c r="C188" t="str">
        <f>('Inteligencia emocional'!A189)</f>
        <v>0</v>
      </c>
      <c r="D188" s="39" t="str">
        <f>'Por Valoracion (3) Dimension'!B188</f>
        <v>0</v>
      </c>
      <c r="E188" s="39" t="str">
        <f>'Por Valoracion (3) Dimension 2'!B188</f>
        <v>0</v>
      </c>
      <c r="Z188" s="38"/>
      <c r="AB188" t="str">
        <f>('Inteligencia emocional'!A189)</f>
        <v>0</v>
      </c>
      <c r="AC188" s="39" t="str">
        <f>'Por Valoracion (3) Dimension'!B188</f>
        <v>0</v>
      </c>
      <c r="AD188" s="39" t="str">
        <f>'Por Valoracion (3) Dimension 2'!D188</f>
        <v>0</v>
      </c>
      <c r="AY188" s="38"/>
      <c r="BA188" t="str">
        <f>('Inteligencia emocional'!A189)</f>
        <v>0</v>
      </c>
      <c r="BB188" s="39" t="str">
        <f>'Por Valoracion (3) Dimension'!B188</f>
        <v>0</v>
      </c>
      <c r="BC188" s="39" t="str">
        <f>'Por Valoracion (3) Dimension 2'!F188</f>
        <v>0</v>
      </c>
      <c r="BX188" s="38"/>
      <c r="BZ188" t="str">
        <f>('Inteligencia emocional'!A189)</f>
        <v>0</v>
      </c>
      <c r="CA188" s="39" t="str">
        <f>'Por Valoracion (3) Dimension'!B188</f>
        <v>0</v>
      </c>
      <c r="CB188" s="39" t="str">
        <f>'Por Valoracion (3) Dimension 2'!H188</f>
        <v>0</v>
      </c>
      <c r="CW188" s="38"/>
      <c r="CY188" s="46"/>
      <c r="DA188" t="str">
        <f>('Inteligencia emocional'!A189)</f>
        <v>0</v>
      </c>
      <c r="DB188" s="39" t="str">
        <f>'Por Valoracion (3) Dimension'!D188</f>
        <v>0</v>
      </c>
      <c r="DC188" s="39" t="str">
        <f>'Por Valoracion (3) Dimension 2'!B188</f>
        <v>0</v>
      </c>
      <c r="DX188" s="46"/>
      <c r="DZ188" t="str">
        <f>('Inteligencia emocional'!A189)</f>
        <v>0</v>
      </c>
      <c r="EA188" s="39" t="str">
        <f>'Por Valoracion (3) Dimension'!D188</f>
        <v>0</v>
      </c>
      <c r="EB188" s="39" t="str">
        <f>'Por Valoracion (3) Dimension 2'!D188</f>
        <v>0</v>
      </c>
      <c r="EW188" s="46"/>
      <c r="EY188" t="str">
        <f>('Inteligencia emocional'!A189)</f>
        <v>0</v>
      </c>
      <c r="EZ188" s="39" t="str">
        <f>'Por Valoracion (3) Dimension'!D188</f>
        <v>0</v>
      </c>
      <c r="FA188" s="39" t="str">
        <f>'Por Valoracion (3) Dimension 2'!F188</f>
        <v>0</v>
      </c>
      <c r="FV188" s="46"/>
      <c r="FX188" t="str">
        <f>('Inteligencia emocional'!A189)</f>
        <v>0</v>
      </c>
      <c r="FY188" s="39" t="str">
        <f>'Por Valoracion (3) Dimension'!D188</f>
        <v>0</v>
      </c>
      <c r="FZ188" s="39" t="str">
        <f>'Por Valoracion (3) Dimension 2'!H188</f>
        <v>0</v>
      </c>
      <c r="GU188" s="46"/>
      <c r="GW188" s="47"/>
      <c r="GY188" t="str">
        <f>('Inteligencia emocional'!A189)</f>
        <v>0</v>
      </c>
      <c r="GZ188" s="39" t="str">
        <f>'Por Valoracion (3) Dimension'!F188</f>
        <v>0</v>
      </c>
      <c r="HA188" s="39" t="str">
        <f>'Por Valoracion (3) Dimension 2'!B188</f>
        <v>0</v>
      </c>
      <c r="HV188" s="47"/>
      <c r="HX188" t="str">
        <f>('Inteligencia emocional'!A189)</f>
        <v>0</v>
      </c>
      <c r="HY188" s="39" t="str">
        <f>'Por Valoracion (3) Dimension'!F188</f>
        <v>0</v>
      </c>
      <c r="HZ188" s="39" t="str">
        <f>'Por Valoracion (3) Dimension 2'!D188</f>
        <v>0</v>
      </c>
      <c r="IU188" s="47"/>
      <c r="IW188" t="str">
        <f>('Inteligencia emocional'!A189)</f>
        <v>0</v>
      </c>
      <c r="IX188" s="39" t="str">
        <f>'Por Valoracion (3) Dimension'!F188</f>
        <v>0</v>
      </c>
      <c r="IY188" s="39" t="str">
        <f>'Por Valoracion (3) Dimension 2'!F188</f>
        <v>0</v>
      </c>
      <c r="JT188" s="47"/>
      <c r="JV188" t="str">
        <f>('Inteligencia emocional'!A189)</f>
        <v>0</v>
      </c>
      <c r="JW188" s="39" t="str">
        <f>'Por Valoracion (3) Dimension'!F188</f>
        <v>0</v>
      </c>
      <c r="JX188" s="39" t="str">
        <f>'Por Valoracion (3) Dimension 2'!H188</f>
        <v>0</v>
      </c>
      <c r="KS188" s="47"/>
    </row>
    <row r="189" spans="1:305">
      <c r="A189" s="38"/>
      <c r="C189" t="str">
        <f>('Inteligencia emocional'!A190)</f>
        <v>0</v>
      </c>
      <c r="D189" s="39" t="str">
        <f>'Por Valoracion (3) Dimension'!B189</f>
        <v>0</v>
      </c>
      <c r="E189" s="39" t="str">
        <f>'Por Valoracion (3) Dimension 2'!B189</f>
        <v>0</v>
      </c>
      <c r="Z189" s="38"/>
      <c r="AB189" t="str">
        <f>('Inteligencia emocional'!A190)</f>
        <v>0</v>
      </c>
      <c r="AC189" s="39" t="str">
        <f>'Por Valoracion (3) Dimension'!B189</f>
        <v>0</v>
      </c>
      <c r="AD189" s="39" t="str">
        <f>'Por Valoracion (3) Dimension 2'!D189</f>
        <v>0</v>
      </c>
      <c r="AY189" s="38"/>
      <c r="BA189" t="str">
        <f>('Inteligencia emocional'!A190)</f>
        <v>0</v>
      </c>
      <c r="BB189" s="39" t="str">
        <f>'Por Valoracion (3) Dimension'!B189</f>
        <v>0</v>
      </c>
      <c r="BC189" s="39" t="str">
        <f>'Por Valoracion (3) Dimension 2'!F189</f>
        <v>0</v>
      </c>
      <c r="BX189" s="38"/>
      <c r="BZ189" t="str">
        <f>('Inteligencia emocional'!A190)</f>
        <v>0</v>
      </c>
      <c r="CA189" s="39" t="str">
        <f>'Por Valoracion (3) Dimension'!B189</f>
        <v>0</v>
      </c>
      <c r="CB189" s="39" t="str">
        <f>'Por Valoracion (3) Dimension 2'!H189</f>
        <v>0</v>
      </c>
      <c r="CW189" s="38"/>
      <c r="CY189" s="46"/>
      <c r="DA189" t="str">
        <f>('Inteligencia emocional'!A190)</f>
        <v>0</v>
      </c>
      <c r="DB189" s="39" t="str">
        <f>'Por Valoracion (3) Dimension'!D189</f>
        <v>0</v>
      </c>
      <c r="DC189" s="39" t="str">
        <f>'Por Valoracion (3) Dimension 2'!B189</f>
        <v>0</v>
      </c>
      <c r="DX189" s="46"/>
      <c r="DZ189" t="str">
        <f>('Inteligencia emocional'!A190)</f>
        <v>0</v>
      </c>
      <c r="EA189" s="39" t="str">
        <f>'Por Valoracion (3) Dimension'!D189</f>
        <v>0</v>
      </c>
      <c r="EB189" s="39" t="str">
        <f>'Por Valoracion (3) Dimension 2'!D189</f>
        <v>0</v>
      </c>
      <c r="EW189" s="46"/>
      <c r="EY189" t="str">
        <f>('Inteligencia emocional'!A190)</f>
        <v>0</v>
      </c>
      <c r="EZ189" s="39" t="str">
        <f>'Por Valoracion (3) Dimension'!D189</f>
        <v>0</v>
      </c>
      <c r="FA189" s="39" t="str">
        <f>'Por Valoracion (3) Dimension 2'!F189</f>
        <v>0</v>
      </c>
      <c r="FV189" s="46"/>
      <c r="FX189" t="str">
        <f>('Inteligencia emocional'!A190)</f>
        <v>0</v>
      </c>
      <c r="FY189" s="39" t="str">
        <f>'Por Valoracion (3) Dimension'!D189</f>
        <v>0</v>
      </c>
      <c r="FZ189" s="39" t="str">
        <f>'Por Valoracion (3) Dimension 2'!H189</f>
        <v>0</v>
      </c>
      <c r="GU189" s="46"/>
      <c r="GW189" s="47"/>
      <c r="GY189" t="str">
        <f>('Inteligencia emocional'!A190)</f>
        <v>0</v>
      </c>
      <c r="GZ189" s="39" t="str">
        <f>'Por Valoracion (3) Dimension'!F189</f>
        <v>0</v>
      </c>
      <c r="HA189" s="39" t="str">
        <f>'Por Valoracion (3) Dimension 2'!B189</f>
        <v>0</v>
      </c>
      <c r="HV189" s="47"/>
      <c r="HX189" t="str">
        <f>('Inteligencia emocional'!A190)</f>
        <v>0</v>
      </c>
      <c r="HY189" s="39" t="str">
        <f>'Por Valoracion (3) Dimension'!F189</f>
        <v>0</v>
      </c>
      <c r="HZ189" s="39" t="str">
        <f>'Por Valoracion (3) Dimension 2'!D189</f>
        <v>0</v>
      </c>
      <c r="IU189" s="47"/>
      <c r="IW189" t="str">
        <f>('Inteligencia emocional'!A190)</f>
        <v>0</v>
      </c>
      <c r="IX189" s="39" t="str">
        <f>'Por Valoracion (3) Dimension'!F189</f>
        <v>0</v>
      </c>
      <c r="IY189" s="39" t="str">
        <f>'Por Valoracion (3) Dimension 2'!F189</f>
        <v>0</v>
      </c>
      <c r="JT189" s="47"/>
      <c r="JV189" t="str">
        <f>('Inteligencia emocional'!A190)</f>
        <v>0</v>
      </c>
      <c r="JW189" s="39" t="str">
        <f>'Por Valoracion (3) Dimension'!F189</f>
        <v>0</v>
      </c>
      <c r="JX189" s="39" t="str">
        <f>'Por Valoracion (3) Dimension 2'!H189</f>
        <v>0</v>
      </c>
      <c r="KS189" s="47"/>
    </row>
    <row r="190" spans="1:305">
      <c r="A190" s="38"/>
      <c r="C190" t="str">
        <f>('Inteligencia emocional'!A191)</f>
        <v>0</v>
      </c>
      <c r="D190" s="39" t="str">
        <f>'Por Valoracion (3) Dimension'!B190</f>
        <v>0</v>
      </c>
      <c r="E190" s="39" t="str">
        <f>'Por Valoracion (3) Dimension 2'!B190</f>
        <v>0</v>
      </c>
      <c r="Z190" s="38"/>
      <c r="AB190" t="str">
        <f>('Inteligencia emocional'!A191)</f>
        <v>0</v>
      </c>
      <c r="AC190" s="39" t="str">
        <f>'Por Valoracion (3) Dimension'!B190</f>
        <v>0</v>
      </c>
      <c r="AD190" s="39" t="str">
        <f>'Por Valoracion (3) Dimension 2'!D190</f>
        <v>0</v>
      </c>
      <c r="AY190" s="38"/>
      <c r="BA190" t="str">
        <f>('Inteligencia emocional'!A191)</f>
        <v>0</v>
      </c>
      <c r="BB190" s="39" t="str">
        <f>'Por Valoracion (3) Dimension'!B190</f>
        <v>0</v>
      </c>
      <c r="BC190" s="39" t="str">
        <f>'Por Valoracion (3) Dimension 2'!F190</f>
        <v>0</v>
      </c>
      <c r="BX190" s="38"/>
      <c r="BZ190" t="str">
        <f>('Inteligencia emocional'!A191)</f>
        <v>0</v>
      </c>
      <c r="CA190" s="39" t="str">
        <f>'Por Valoracion (3) Dimension'!B190</f>
        <v>0</v>
      </c>
      <c r="CB190" s="39" t="str">
        <f>'Por Valoracion (3) Dimension 2'!H190</f>
        <v>0</v>
      </c>
      <c r="CW190" s="38"/>
      <c r="CY190" s="46"/>
      <c r="DA190" t="str">
        <f>('Inteligencia emocional'!A191)</f>
        <v>0</v>
      </c>
      <c r="DB190" s="39" t="str">
        <f>'Por Valoracion (3) Dimension'!D190</f>
        <v>0</v>
      </c>
      <c r="DC190" s="39" t="str">
        <f>'Por Valoracion (3) Dimension 2'!B190</f>
        <v>0</v>
      </c>
      <c r="DX190" s="46"/>
      <c r="DZ190" t="str">
        <f>('Inteligencia emocional'!A191)</f>
        <v>0</v>
      </c>
      <c r="EA190" s="39" t="str">
        <f>'Por Valoracion (3) Dimension'!D190</f>
        <v>0</v>
      </c>
      <c r="EB190" s="39" t="str">
        <f>'Por Valoracion (3) Dimension 2'!D190</f>
        <v>0</v>
      </c>
      <c r="EW190" s="46"/>
      <c r="EY190" t="str">
        <f>('Inteligencia emocional'!A191)</f>
        <v>0</v>
      </c>
      <c r="EZ190" s="39" t="str">
        <f>'Por Valoracion (3) Dimension'!D190</f>
        <v>0</v>
      </c>
      <c r="FA190" s="39" t="str">
        <f>'Por Valoracion (3) Dimension 2'!F190</f>
        <v>0</v>
      </c>
      <c r="FV190" s="46"/>
      <c r="FX190" t="str">
        <f>('Inteligencia emocional'!A191)</f>
        <v>0</v>
      </c>
      <c r="FY190" s="39" t="str">
        <f>'Por Valoracion (3) Dimension'!D190</f>
        <v>0</v>
      </c>
      <c r="FZ190" s="39" t="str">
        <f>'Por Valoracion (3) Dimension 2'!H190</f>
        <v>0</v>
      </c>
      <c r="GU190" s="46"/>
      <c r="GW190" s="47"/>
      <c r="GY190" t="str">
        <f>('Inteligencia emocional'!A191)</f>
        <v>0</v>
      </c>
      <c r="GZ190" s="39" t="str">
        <f>'Por Valoracion (3) Dimension'!F190</f>
        <v>0</v>
      </c>
      <c r="HA190" s="39" t="str">
        <f>'Por Valoracion (3) Dimension 2'!B190</f>
        <v>0</v>
      </c>
      <c r="HV190" s="47"/>
      <c r="HX190" t="str">
        <f>('Inteligencia emocional'!A191)</f>
        <v>0</v>
      </c>
      <c r="HY190" s="39" t="str">
        <f>'Por Valoracion (3) Dimension'!F190</f>
        <v>0</v>
      </c>
      <c r="HZ190" s="39" t="str">
        <f>'Por Valoracion (3) Dimension 2'!D190</f>
        <v>0</v>
      </c>
      <c r="IU190" s="47"/>
      <c r="IW190" t="str">
        <f>('Inteligencia emocional'!A191)</f>
        <v>0</v>
      </c>
      <c r="IX190" s="39" t="str">
        <f>'Por Valoracion (3) Dimension'!F190</f>
        <v>0</v>
      </c>
      <c r="IY190" s="39" t="str">
        <f>'Por Valoracion (3) Dimension 2'!F190</f>
        <v>0</v>
      </c>
      <c r="JT190" s="47"/>
      <c r="JV190" t="str">
        <f>('Inteligencia emocional'!A191)</f>
        <v>0</v>
      </c>
      <c r="JW190" s="39" t="str">
        <f>'Por Valoracion (3) Dimension'!F190</f>
        <v>0</v>
      </c>
      <c r="JX190" s="39" t="str">
        <f>'Por Valoracion (3) Dimension 2'!H190</f>
        <v>0</v>
      </c>
      <c r="KS190" s="47"/>
    </row>
    <row r="191" spans="1:305">
      <c r="A191" s="38"/>
      <c r="C191" t="str">
        <f>('Inteligencia emocional'!A192)</f>
        <v>0</v>
      </c>
      <c r="D191" s="39" t="str">
        <f>'Por Valoracion (3) Dimension'!B191</f>
        <v>0</v>
      </c>
      <c r="E191" s="39" t="str">
        <f>'Por Valoracion (3) Dimension 2'!B191</f>
        <v>0</v>
      </c>
      <c r="Z191" s="38"/>
      <c r="AB191" t="str">
        <f>('Inteligencia emocional'!A192)</f>
        <v>0</v>
      </c>
      <c r="AC191" s="39" t="str">
        <f>'Por Valoracion (3) Dimension'!B191</f>
        <v>0</v>
      </c>
      <c r="AD191" s="39" t="str">
        <f>'Por Valoracion (3) Dimension 2'!D191</f>
        <v>0</v>
      </c>
      <c r="AY191" s="38"/>
      <c r="BA191" t="str">
        <f>('Inteligencia emocional'!A192)</f>
        <v>0</v>
      </c>
      <c r="BB191" s="39" t="str">
        <f>'Por Valoracion (3) Dimension'!B191</f>
        <v>0</v>
      </c>
      <c r="BC191" s="39" t="str">
        <f>'Por Valoracion (3) Dimension 2'!F191</f>
        <v>0</v>
      </c>
      <c r="BX191" s="38"/>
      <c r="BZ191" t="str">
        <f>('Inteligencia emocional'!A192)</f>
        <v>0</v>
      </c>
      <c r="CA191" s="39" t="str">
        <f>'Por Valoracion (3) Dimension'!B191</f>
        <v>0</v>
      </c>
      <c r="CB191" s="39" t="str">
        <f>'Por Valoracion (3) Dimension 2'!H191</f>
        <v>0</v>
      </c>
      <c r="CW191" s="38"/>
      <c r="CY191" s="46"/>
      <c r="DA191" t="str">
        <f>('Inteligencia emocional'!A192)</f>
        <v>0</v>
      </c>
      <c r="DB191" s="39" t="str">
        <f>'Por Valoracion (3) Dimension'!D191</f>
        <v>0</v>
      </c>
      <c r="DC191" s="39" t="str">
        <f>'Por Valoracion (3) Dimension 2'!B191</f>
        <v>0</v>
      </c>
      <c r="DX191" s="46"/>
      <c r="DZ191" t="str">
        <f>('Inteligencia emocional'!A192)</f>
        <v>0</v>
      </c>
      <c r="EA191" s="39" t="str">
        <f>'Por Valoracion (3) Dimension'!D191</f>
        <v>0</v>
      </c>
      <c r="EB191" s="39" t="str">
        <f>'Por Valoracion (3) Dimension 2'!D191</f>
        <v>0</v>
      </c>
      <c r="EW191" s="46"/>
      <c r="EY191" t="str">
        <f>('Inteligencia emocional'!A192)</f>
        <v>0</v>
      </c>
      <c r="EZ191" s="39" t="str">
        <f>'Por Valoracion (3) Dimension'!D191</f>
        <v>0</v>
      </c>
      <c r="FA191" s="39" t="str">
        <f>'Por Valoracion (3) Dimension 2'!F191</f>
        <v>0</v>
      </c>
      <c r="FV191" s="46"/>
      <c r="FX191" t="str">
        <f>('Inteligencia emocional'!A192)</f>
        <v>0</v>
      </c>
      <c r="FY191" s="39" t="str">
        <f>'Por Valoracion (3) Dimension'!D191</f>
        <v>0</v>
      </c>
      <c r="FZ191" s="39" t="str">
        <f>'Por Valoracion (3) Dimension 2'!H191</f>
        <v>0</v>
      </c>
      <c r="GU191" s="46"/>
      <c r="GW191" s="47"/>
      <c r="GY191" t="str">
        <f>('Inteligencia emocional'!A192)</f>
        <v>0</v>
      </c>
      <c r="GZ191" s="39" t="str">
        <f>'Por Valoracion (3) Dimension'!F191</f>
        <v>0</v>
      </c>
      <c r="HA191" s="39" t="str">
        <f>'Por Valoracion (3) Dimension 2'!B191</f>
        <v>0</v>
      </c>
      <c r="HV191" s="47"/>
      <c r="HX191" t="str">
        <f>('Inteligencia emocional'!A192)</f>
        <v>0</v>
      </c>
      <c r="HY191" s="39" t="str">
        <f>'Por Valoracion (3) Dimension'!F191</f>
        <v>0</v>
      </c>
      <c r="HZ191" s="39" t="str">
        <f>'Por Valoracion (3) Dimension 2'!D191</f>
        <v>0</v>
      </c>
      <c r="IU191" s="47"/>
      <c r="IW191" t="str">
        <f>('Inteligencia emocional'!A192)</f>
        <v>0</v>
      </c>
      <c r="IX191" s="39" t="str">
        <f>'Por Valoracion (3) Dimension'!F191</f>
        <v>0</v>
      </c>
      <c r="IY191" s="39" t="str">
        <f>'Por Valoracion (3) Dimension 2'!F191</f>
        <v>0</v>
      </c>
      <c r="JT191" s="47"/>
      <c r="JV191" t="str">
        <f>('Inteligencia emocional'!A192)</f>
        <v>0</v>
      </c>
      <c r="JW191" s="39" t="str">
        <f>'Por Valoracion (3) Dimension'!F191</f>
        <v>0</v>
      </c>
      <c r="JX191" s="39" t="str">
        <f>'Por Valoracion (3) Dimension 2'!H191</f>
        <v>0</v>
      </c>
      <c r="KS191" s="47"/>
    </row>
    <row r="192" spans="1:305">
      <c r="A192" s="38"/>
      <c r="C192" t="str">
        <f>('Inteligencia emocional'!A193)</f>
        <v>0</v>
      </c>
      <c r="D192" s="39" t="str">
        <f>'Por Valoracion (3) Dimension'!B192</f>
        <v>0</v>
      </c>
      <c r="E192" s="39" t="str">
        <f>'Por Valoracion (3) Dimension 2'!B192</f>
        <v>0</v>
      </c>
      <c r="Z192" s="38"/>
      <c r="AB192" t="str">
        <f>('Inteligencia emocional'!A193)</f>
        <v>0</v>
      </c>
      <c r="AC192" s="39" t="str">
        <f>'Por Valoracion (3) Dimension'!B192</f>
        <v>0</v>
      </c>
      <c r="AD192" s="39" t="str">
        <f>'Por Valoracion (3) Dimension 2'!D192</f>
        <v>0</v>
      </c>
      <c r="AY192" s="38"/>
      <c r="BA192" t="str">
        <f>('Inteligencia emocional'!A193)</f>
        <v>0</v>
      </c>
      <c r="BB192" s="39" t="str">
        <f>'Por Valoracion (3) Dimension'!B192</f>
        <v>0</v>
      </c>
      <c r="BC192" s="39" t="str">
        <f>'Por Valoracion (3) Dimension 2'!F192</f>
        <v>0</v>
      </c>
      <c r="BX192" s="38"/>
      <c r="BZ192" t="str">
        <f>('Inteligencia emocional'!A193)</f>
        <v>0</v>
      </c>
      <c r="CA192" s="39" t="str">
        <f>'Por Valoracion (3) Dimension'!B192</f>
        <v>0</v>
      </c>
      <c r="CB192" s="39" t="str">
        <f>'Por Valoracion (3) Dimension 2'!H192</f>
        <v>0</v>
      </c>
      <c r="CW192" s="38"/>
      <c r="CY192" s="46"/>
      <c r="DA192" t="str">
        <f>('Inteligencia emocional'!A193)</f>
        <v>0</v>
      </c>
      <c r="DB192" s="39" t="str">
        <f>'Por Valoracion (3) Dimension'!D192</f>
        <v>0</v>
      </c>
      <c r="DC192" s="39" t="str">
        <f>'Por Valoracion (3) Dimension 2'!B192</f>
        <v>0</v>
      </c>
      <c r="DX192" s="46"/>
      <c r="DZ192" t="str">
        <f>('Inteligencia emocional'!A193)</f>
        <v>0</v>
      </c>
      <c r="EA192" s="39" t="str">
        <f>'Por Valoracion (3) Dimension'!D192</f>
        <v>0</v>
      </c>
      <c r="EB192" s="39" t="str">
        <f>'Por Valoracion (3) Dimension 2'!D192</f>
        <v>0</v>
      </c>
      <c r="EW192" s="46"/>
      <c r="EY192" t="str">
        <f>('Inteligencia emocional'!A193)</f>
        <v>0</v>
      </c>
      <c r="EZ192" s="39" t="str">
        <f>'Por Valoracion (3) Dimension'!D192</f>
        <v>0</v>
      </c>
      <c r="FA192" s="39" t="str">
        <f>'Por Valoracion (3) Dimension 2'!F192</f>
        <v>0</v>
      </c>
      <c r="FV192" s="46"/>
      <c r="FX192" t="str">
        <f>('Inteligencia emocional'!A193)</f>
        <v>0</v>
      </c>
      <c r="FY192" s="39" t="str">
        <f>'Por Valoracion (3) Dimension'!D192</f>
        <v>0</v>
      </c>
      <c r="FZ192" s="39" t="str">
        <f>'Por Valoracion (3) Dimension 2'!H192</f>
        <v>0</v>
      </c>
      <c r="GU192" s="46"/>
      <c r="GW192" s="47"/>
      <c r="GY192" t="str">
        <f>('Inteligencia emocional'!A193)</f>
        <v>0</v>
      </c>
      <c r="GZ192" s="39" t="str">
        <f>'Por Valoracion (3) Dimension'!F192</f>
        <v>0</v>
      </c>
      <c r="HA192" s="39" t="str">
        <f>'Por Valoracion (3) Dimension 2'!B192</f>
        <v>0</v>
      </c>
      <c r="HV192" s="47"/>
      <c r="HX192" t="str">
        <f>('Inteligencia emocional'!A193)</f>
        <v>0</v>
      </c>
      <c r="HY192" s="39" t="str">
        <f>'Por Valoracion (3) Dimension'!F192</f>
        <v>0</v>
      </c>
      <c r="HZ192" s="39" t="str">
        <f>'Por Valoracion (3) Dimension 2'!D192</f>
        <v>0</v>
      </c>
      <c r="IU192" s="47"/>
      <c r="IW192" t="str">
        <f>('Inteligencia emocional'!A193)</f>
        <v>0</v>
      </c>
      <c r="IX192" s="39" t="str">
        <f>'Por Valoracion (3) Dimension'!F192</f>
        <v>0</v>
      </c>
      <c r="IY192" s="39" t="str">
        <f>'Por Valoracion (3) Dimension 2'!F192</f>
        <v>0</v>
      </c>
      <c r="JT192" s="47"/>
      <c r="JV192" t="str">
        <f>('Inteligencia emocional'!A193)</f>
        <v>0</v>
      </c>
      <c r="JW192" s="39" t="str">
        <f>'Por Valoracion (3) Dimension'!F192</f>
        <v>0</v>
      </c>
      <c r="JX192" s="39" t="str">
        <f>'Por Valoracion (3) Dimension 2'!H192</f>
        <v>0</v>
      </c>
      <c r="KS192" s="47"/>
    </row>
    <row r="193" spans="1:305">
      <c r="A193" s="38"/>
      <c r="C193" t="str">
        <f>('Inteligencia emocional'!A194)</f>
        <v>0</v>
      </c>
      <c r="D193" s="39" t="str">
        <f>'Por Valoracion (3) Dimension'!B193</f>
        <v>0</v>
      </c>
      <c r="E193" s="39" t="str">
        <f>'Por Valoracion (3) Dimension 2'!B193</f>
        <v>0</v>
      </c>
      <c r="Z193" s="38"/>
      <c r="AB193" t="str">
        <f>('Inteligencia emocional'!A194)</f>
        <v>0</v>
      </c>
      <c r="AC193" s="39" t="str">
        <f>'Por Valoracion (3) Dimension'!B193</f>
        <v>0</v>
      </c>
      <c r="AD193" s="39" t="str">
        <f>'Por Valoracion (3) Dimension 2'!D193</f>
        <v>0</v>
      </c>
      <c r="AY193" s="38"/>
      <c r="BA193" t="str">
        <f>('Inteligencia emocional'!A194)</f>
        <v>0</v>
      </c>
      <c r="BB193" s="39" t="str">
        <f>'Por Valoracion (3) Dimension'!B193</f>
        <v>0</v>
      </c>
      <c r="BC193" s="39" t="str">
        <f>'Por Valoracion (3) Dimension 2'!F193</f>
        <v>0</v>
      </c>
      <c r="BX193" s="38"/>
      <c r="BZ193" t="str">
        <f>('Inteligencia emocional'!A194)</f>
        <v>0</v>
      </c>
      <c r="CA193" s="39" t="str">
        <f>'Por Valoracion (3) Dimension'!B193</f>
        <v>0</v>
      </c>
      <c r="CB193" s="39" t="str">
        <f>'Por Valoracion (3) Dimension 2'!H193</f>
        <v>0</v>
      </c>
      <c r="CW193" s="38"/>
      <c r="CY193" s="46"/>
      <c r="DA193" t="str">
        <f>('Inteligencia emocional'!A194)</f>
        <v>0</v>
      </c>
      <c r="DB193" s="39" t="str">
        <f>'Por Valoracion (3) Dimension'!D193</f>
        <v>0</v>
      </c>
      <c r="DC193" s="39" t="str">
        <f>'Por Valoracion (3) Dimension 2'!B193</f>
        <v>0</v>
      </c>
      <c r="DX193" s="46"/>
      <c r="DZ193" t="str">
        <f>('Inteligencia emocional'!A194)</f>
        <v>0</v>
      </c>
      <c r="EA193" s="39" t="str">
        <f>'Por Valoracion (3) Dimension'!D193</f>
        <v>0</v>
      </c>
      <c r="EB193" s="39" t="str">
        <f>'Por Valoracion (3) Dimension 2'!D193</f>
        <v>0</v>
      </c>
      <c r="EW193" s="46"/>
      <c r="EY193" t="str">
        <f>('Inteligencia emocional'!A194)</f>
        <v>0</v>
      </c>
      <c r="EZ193" s="39" t="str">
        <f>'Por Valoracion (3) Dimension'!D193</f>
        <v>0</v>
      </c>
      <c r="FA193" s="39" t="str">
        <f>'Por Valoracion (3) Dimension 2'!F193</f>
        <v>0</v>
      </c>
      <c r="FV193" s="46"/>
      <c r="FX193" t="str">
        <f>('Inteligencia emocional'!A194)</f>
        <v>0</v>
      </c>
      <c r="FY193" s="39" t="str">
        <f>'Por Valoracion (3) Dimension'!D193</f>
        <v>0</v>
      </c>
      <c r="FZ193" s="39" t="str">
        <f>'Por Valoracion (3) Dimension 2'!H193</f>
        <v>0</v>
      </c>
      <c r="GU193" s="46"/>
      <c r="GW193" s="47"/>
      <c r="GY193" t="str">
        <f>('Inteligencia emocional'!A194)</f>
        <v>0</v>
      </c>
      <c r="GZ193" s="39" t="str">
        <f>'Por Valoracion (3) Dimension'!F193</f>
        <v>0</v>
      </c>
      <c r="HA193" s="39" t="str">
        <f>'Por Valoracion (3) Dimension 2'!B193</f>
        <v>0</v>
      </c>
      <c r="HV193" s="47"/>
      <c r="HX193" t="str">
        <f>('Inteligencia emocional'!A194)</f>
        <v>0</v>
      </c>
      <c r="HY193" s="39" t="str">
        <f>'Por Valoracion (3) Dimension'!F193</f>
        <v>0</v>
      </c>
      <c r="HZ193" s="39" t="str">
        <f>'Por Valoracion (3) Dimension 2'!D193</f>
        <v>0</v>
      </c>
      <c r="IU193" s="47"/>
      <c r="IW193" t="str">
        <f>('Inteligencia emocional'!A194)</f>
        <v>0</v>
      </c>
      <c r="IX193" s="39" t="str">
        <f>'Por Valoracion (3) Dimension'!F193</f>
        <v>0</v>
      </c>
      <c r="IY193" s="39" t="str">
        <f>'Por Valoracion (3) Dimension 2'!F193</f>
        <v>0</v>
      </c>
      <c r="JT193" s="47"/>
      <c r="JV193" t="str">
        <f>('Inteligencia emocional'!A194)</f>
        <v>0</v>
      </c>
      <c r="JW193" s="39" t="str">
        <f>'Por Valoracion (3) Dimension'!F193</f>
        <v>0</v>
      </c>
      <c r="JX193" s="39" t="str">
        <f>'Por Valoracion (3) Dimension 2'!H193</f>
        <v>0</v>
      </c>
      <c r="KS193" s="47"/>
    </row>
    <row r="194" spans="1:305">
      <c r="A194" s="38"/>
      <c r="C194" t="str">
        <f>('Inteligencia emocional'!A195)</f>
        <v>0</v>
      </c>
      <c r="D194" s="39" t="str">
        <f>'Por Valoracion (3) Dimension'!B194</f>
        <v>0</v>
      </c>
      <c r="E194" s="39" t="str">
        <f>'Por Valoracion (3) Dimension 2'!B194</f>
        <v>0</v>
      </c>
      <c r="Z194" s="38"/>
      <c r="AB194" t="str">
        <f>('Inteligencia emocional'!A195)</f>
        <v>0</v>
      </c>
      <c r="AC194" s="39" t="str">
        <f>'Por Valoracion (3) Dimension'!B194</f>
        <v>0</v>
      </c>
      <c r="AD194" s="39" t="str">
        <f>'Por Valoracion (3) Dimension 2'!D194</f>
        <v>0</v>
      </c>
      <c r="AY194" s="38"/>
      <c r="BA194" t="str">
        <f>('Inteligencia emocional'!A195)</f>
        <v>0</v>
      </c>
      <c r="BB194" s="39" t="str">
        <f>'Por Valoracion (3) Dimension'!B194</f>
        <v>0</v>
      </c>
      <c r="BC194" s="39" t="str">
        <f>'Por Valoracion (3) Dimension 2'!F194</f>
        <v>0</v>
      </c>
      <c r="BX194" s="38"/>
      <c r="BZ194" t="str">
        <f>('Inteligencia emocional'!A195)</f>
        <v>0</v>
      </c>
      <c r="CA194" s="39" t="str">
        <f>'Por Valoracion (3) Dimension'!B194</f>
        <v>0</v>
      </c>
      <c r="CB194" s="39" t="str">
        <f>'Por Valoracion (3) Dimension 2'!H194</f>
        <v>0</v>
      </c>
      <c r="CW194" s="38"/>
      <c r="CY194" s="46"/>
      <c r="DA194" t="str">
        <f>('Inteligencia emocional'!A195)</f>
        <v>0</v>
      </c>
      <c r="DB194" s="39" t="str">
        <f>'Por Valoracion (3) Dimension'!D194</f>
        <v>0</v>
      </c>
      <c r="DC194" s="39" t="str">
        <f>'Por Valoracion (3) Dimension 2'!B194</f>
        <v>0</v>
      </c>
      <c r="DX194" s="46"/>
      <c r="DZ194" t="str">
        <f>('Inteligencia emocional'!A195)</f>
        <v>0</v>
      </c>
      <c r="EA194" s="39" t="str">
        <f>'Por Valoracion (3) Dimension'!D194</f>
        <v>0</v>
      </c>
      <c r="EB194" s="39" t="str">
        <f>'Por Valoracion (3) Dimension 2'!D194</f>
        <v>0</v>
      </c>
      <c r="EW194" s="46"/>
      <c r="EY194" t="str">
        <f>('Inteligencia emocional'!A195)</f>
        <v>0</v>
      </c>
      <c r="EZ194" s="39" t="str">
        <f>'Por Valoracion (3) Dimension'!D194</f>
        <v>0</v>
      </c>
      <c r="FA194" s="39" t="str">
        <f>'Por Valoracion (3) Dimension 2'!F194</f>
        <v>0</v>
      </c>
      <c r="FV194" s="46"/>
      <c r="FX194" t="str">
        <f>('Inteligencia emocional'!A195)</f>
        <v>0</v>
      </c>
      <c r="FY194" s="39" t="str">
        <f>'Por Valoracion (3) Dimension'!D194</f>
        <v>0</v>
      </c>
      <c r="FZ194" s="39" t="str">
        <f>'Por Valoracion (3) Dimension 2'!H194</f>
        <v>0</v>
      </c>
      <c r="GU194" s="46"/>
      <c r="GW194" s="47"/>
      <c r="GY194" t="str">
        <f>('Inteligencia emocional'!A195)</f>
        <v>0</v>
      </c>
      <c r="GZ194" s="39" t="str">
        <f>'Por Valoracion (3) Dimension'!F194</f>
        <v>0</v>
      </c>
      <c r="HA194" s="39" t="str">
        <f>'Por Valoracion (3) Dimension 2'!B194</f>
        <v>0</v>
      </c>
      <c r="HV194" s="47"/>
      <c r="HX194" t="str">
        <f>('Inteligencia emocional'!A195)</f>
        <v>0</v>
      </c>
      <c r="HY194" s="39" t="str">
        <f>'Por Valoracion (3) Dimension'!F194</f>
        <v>0</v>
      </c>
      <c r="HZ194" s="39" t="str">
        <f>'Por Valoracion (3) Dimension 2'!D194</f>
        <v>0</v>
      </c>
      <c r="IU194" s="47"/>
      <c r="IW194" t="str">
        <f>('Inteligencia emocional'!A195)</f>
        <v>0</v>
      </c>
      <c r="IX194" s="39" t="str">
        <f>'Por Valoracion (3) Dimension'!F194</f>
        <v>0</v>
      </c>
      <c r="IY194" s="39" t="str">
        <f>'Por Valoracion (3) Dimension 2'!F194</f>
        <v>0</v>
      </c>
      <c r="JT194" s="47"/>
      <c r="JV194" t="str">
        <f>('Inteligencia emocional'!A195)</f>
        <v>0</v>
      </c>
      <c r="JW194" s="39" t="str">
        <f>'Por Valoracion (3) Dimension'!F194</f>
        <v>0</v>
      </c>
      <c r="JX194" s="39" t="str">
        <f>'Por Valoracion (3) Dimension 2'!H194</f>
        <v>0</v>
      </c>
      <c r="KS194" s="47"/>
    </row>
    <row r="195" spans="1:305">
      <c r="A195" s="38"/>
      <c r="C195" t="str">
        <f>('Inteligencia emocional'!A196)</f>
        <v>0</v>
      </c>
      <c r="D195" s="39" t="str">
        <f>'Por Valoracion (3) Dimension'!B195</f>
        <v>0</v>
      </c>
      <c r="E195" s="39" t="str">
        <f>'Por Valoracion (3) Dimension 2'!B195</f>
        <v>0</v>
      </c>
      <c r="Z195" s="38"/>
      <c r="AB195" t="str">
        <f>('Inteligencia emocional'!A196)</f>
        <v>0</v>
      </c>
      <c r="AC195" s="39" t="str">
        <f>'Por Valoracion (3) Dimension'!B195</f>
        <v>0</v>
      </c>
      <c r="AD195" s="39" t="str">
        <f>'Por Valoracion (3) Dimension 2'!D195</f>
        <v>0</v>
      </c>
      <c r="AY195" s="38"/>
      <c r="BA195" t="str">
        <f>('Inteligencia emocional'!A196)</f>
        <v>0</v>
      </c>
      <c r="BB195" s="39" t="str">
        <f>'Por Valoracion (3) Dimension'!B195</f>
        <v>0</v>
      </c>
      <c r="BC195" s="39" t="str">
        <f>'Por Valoracion (3) Dimension 2'!F195</f>
        <v>0</v>
      </c>
      <c r="BX195" s="38"/>
      <c r="BZ195" t="str">
        <f>('Inteligencia emocional'!A196)</f>
        <v>0</v>
      </c>
      <c r="CA195" s="39" t="str">
        <f>'Por Valoracion (3) Dimension'!B195</f>
        <v>0</v>
      </c>
      <c r="CB195" s="39" t="str">
        <f>'Por Valoracion (3) Dimension 2'!H195</f>
        <v>0</v>
      </c>
      <c r="CW195" s="38"/>
      <c r="CY195" s="46"/>
      <c r="DA195" t="str">
        <f>('Inteligencia emocional'!A196)</f>
        <v>0</v>
      </c>
      <c r="DB195" s="39" t="str">
        <f>'Por Valoracion (3) Dimension'!D195</f>
        <v>0</v>
      </c>
      <c r="DC195" s="39" t="str">
        <f>'Por Valoracion (3) Dimension 2'!B195</f>
        <v>0</v>
      </c>
      <c r="DX195" s="46"/>
      <c r="DZ195" t="str">
        <f>('Inteligencia emocional'!A196)</f>
        <v>0</v>
      </c>
      <c r="EA195" s="39" t="str">
        <f>'Por Valoracion (3) Dimension'!D195</f>
        <v>0</v>
      </c>
      <c r="EB195" s="39" t="str">
        <f>'Por Valoracion (3) Dimension 2'!D195</f>
        <v>0</v>
      </c>
      <c r="EW195" s="46"/>
      <c r="EY195" t="str">
        <f>('Inteligencia emocional'!A196)</f>
        <v>0</v>
      </c>
      <c r="EZ195" s="39" t="str">
        <f>'Por Valoracion (3) Dimension'!D195</f>
        <v>0</v>
      </c>
      <c r="FA195" s="39" t="str">
        <f>'Por Valoracion (3) Dimension 2'!F195</f>
        <v>0</v>
      </c>
      <c r="FV195" s="46"/>
      <c r="FX195" t="str">
        <f>('Inteligencia emocional'!A196)</f>
        <v>0</v>
      </c>
      <c r="FY195" s="39" t="str">
        <f>'Por Valoracion (3) Dimension'!D195</f>
        <v>0</v>
      </c>
      <c r="FZ195" s="39" t="str">
        <f>'Por Valoracion (3) Dimension 2'!H195</f>
        <v>0</v>
      </c>
      <c r="GU195" s="46"/>
      <c r="GW195" s="47"/>
      <c r="GY195" t="str">
        <f>('Inteligencia emocional'!A196)</f>
        <v>0</v>
      </c>
      <c r="GZ195" s="39" t="str">
        <f>'Por Valoracion (3) Dimension'!F195</f>
        <v>0</v>
      </c>
      <c r="HA195" s="39" t="str">
        <f>'Por Valoracion (3) Dimension 2'!B195</f>
        <v>0</v>
      </c>
      <c r="HV195" s="47"/>
      <c r="HX195" t="str">
        <f>('Inteligencia emocional'!A196)</f>
        <v>0</v>
      </c>
      <c r="HY195" s="39" t="str">
        <f>'Por Valoracion (3) Dimension'!F195</f>
        <v>0</v>
      </c>
      <c r="HZ195" s="39" t="str">
        <f>'Por Valoracion (3) Dimension 2'!D195</f>
        <v>0</v>
      </c>
      <c r="IU195" s="47"/>
      <c r="IW195" t="str">
        <f>('Inteligencia emocional'!A196)</f>
        <v>0</v>
      </c>
      <c r="IX195" s="39" t="str">
        <f>'Por Valoracion (3) Dimension'!F195</f>
        <v>0</v>
      </c>
      <c r="IY195" s="39" t="str">
        <f>'Por Valoracion (3) Dimension 2'!F195</f>
        <v>0</v>
      </c>
      <c r="JT195" s="47"/>
      <c r="JV195" t="str">
        <f>('Inteligencia emocional'!A196)</f>
        <v>0</v>
      </c>
      <c r="JW195" s="39" t="str">
        <f>'Por Valoracion (3) Dimension'!F195</f>
        <v>0</v>
      </c>
      <c r="JX195" s="39" t="str">
        <f>'Por Valoracion (3) Dimension 2'!H195</f>
        <v>0</v>
      </c>
      <c r="KS195" s="47"/>
    </row>
    <row r="196" spans="1:305">
      <c r="A196" s="38"/>
      <c r="C196" t="str">
        <f>('Inteligencia emocional'!A197)</f>
        <v>0</v>
      </c>
      <c r="D196" s="39" t="str">
        <f>'Por Valoracion (3) Dimension'!B196</f>
        <v>0</v>
      </c>
      <c r="E196" s="39" t="str">
        <f>'Por Valoracion (3) Dimension 2'!B196</f>
        <v>0</v>
      </c>
      <c r="Z196" s="38"/>
      <c r="AB196" t="str">
        <f>('Inteligencia emocional'!A197)</f>
        <v>0</v>
      </c>
      <c r="AC196" s="39" t="str">
        <f>'Por Valoracion (3) Dimension'!B196</f>
        <v>0</v>
      </c>
      <c r="AD196" s="39" t="str">
        <f>'Por Valoracion (3) Dimension 2'!D196</f>
        <v>0</v>
      </c>
      <c r="AY196" s="38"/>
      <c r="BA196" t="str">
        <f>('Inteligencia emocional'!A197)</f>
        <v>0</v>
      </c>
      <c r="BB196" s="39" t="str">
        <f>'Por Valoracion (3) Dimension'!B196</f>
        <v>0</v>
      </c>
      <c r="BC196" s="39" t="str">
        <f>'Por Valoracion (3) Dimension 2'!F196</f>
        <v>0</v>
      </c>
      <c r="BX196" s="38"/>
      <c r="BZ196" t="str">
        <f>('Inteligencia emocional'!A197)</f>
        <v>0</v>
      </c>
      <c r="CA196" s="39" t="str">
        <f>'Por Valoracion (3) Dimension'!B196</f>
        <v>0</v>
      </c>
      <c r="CB196" s="39" t="str">
        <f>'Por Valoracion (3) Dimension 2'!H196</f>
        <v>0</v>
      </c>
      <c r="CW196" s="38"/>
      <c r="CY196" s="46"/>
      <c r="DA196" t="str">
        <f>('Inteligencia emocional'!A197)</f>
        <v>0</v>
      </c>
      <c r="DB196" s="39" t="str">
        <f>'Por Valoracion (3) Dimension'!D196</f>
        <v>0</v>
      </c>
      <c r="DC196" s="39" t="str">
        <f>'Por Valoracion (3) Dimension 2'!B196</f>
        <v>0</v>
      </c>
      <c r="DX196" s="46"/>
      <c r="DZ196" t="str">
        <f>('Inteligencia emocional'!A197)</f>
        <v>0</v>
      </c>
      <c r="EA196" s="39" t="str">
        <f>'Por Valoracion (3) Dimension'!D196</f>
        <v>0</v>
      </c>
      <c r="EB196" s="39" t="str">
        <f>'Por Valoracion (3) Dimension 2'!D196</f>
        <v>0</v>
      </c>
      <c r="EW196" s="46"/>
      <c r="EY196" t="str">
        <f>('Inteligencia emocional'!A197)</f>
        <v>0</v>
      </c>
      <c r="EZ196" s="39" t="str">
        <f>'Por Valoracion (3) Dimension'!D196</f>
        <v>0</v>
      </c>
      <c r="FA196" s="39" t="str">
        <f>'Por Valoracion (3) Dimension 2'!F196</f>
        <v>0</v>
      </c>
      <c r="FV196" s="46"/>
      <c r="FX196" t="str">
        <f>('Inteligencia emocional'!A197)</f>
        <v>0</v>
      </c>
      <c r="FY196" s="39" t="str">
        <f>'Por Valoracion (3) Dimension'!D196</f>
        <v>0</v>
      </c>
      <c r="FZ196" s="39" t="str">
        <f>'Por Valoracion (3) Dimension 2'!H196</f>
        <v>0</v>
      </c>
      <c r="GU196" s="46"/>
      <c r="GW196" s="47"/>
      <c r="GY196" t="str">
        <f>('Inteligencia emocional'!A197)</f>
        <v>0</v>
      </c>
      <c r="GZ196" s="39" t="str">
        <f>'Por Valoracion (3) Dimension'!F196</f>
        <v>0</v>
      </c>
      <c r="HA196" s="39" t="str">
        <f>'Por Valoracion (3) Dimension 2'!B196</f>
        <v>0</v>
      </c>
      <c r="HV196" s="47"/>
      <c r="HX196" t="str">
        <f>('Inteligencia emocional'!A197)</f>
        <v>0</v>
      </c>
      <c r="HY196" s="39" t="str">
        <f>'Por Valoracion (3) Dimension'!F196</f>
        <v>0</v>
      </c>
      <c r="HZ196" s="39" t="str">
        <f>'Por Valoracion (3) Dimension 2'!D196</f>
        <v>0</v>
      </c>
      <c r="IU196" s="47"/>
      <c r="IW196" t="str">
        <f>('Inteligencia emocional'!A197)</f>
        <v>0</v>
      </c>
      <c r="IX196" s="39" t="str">
        <f>'Por Valoracion (3) Dimension'!F196</f>
        <v>0</v>
      </c>
      <c r="IY196" s="39" t="str">
        <f>'Por Valoracion (3) Dimension 2'!F196</f>
        <v>0</v>
      </c>
      <c r="JT196" s="47"/>
      <c r="JV196" t="str">
        <f>('Inteligencia emocional'!A197)</f>
        <v>0</v>
      </c>
      <c r="JW196" s="39" t="str">
        <f>'Por Valoracion (3) Dimension'!F196</f>
        <v>0</v>
      </c>
      <c r="JX196" s="39" t="str">
        <f>'Por Valoracion (3) Dimension 2'!H196</f>
        <v>0</v>
      </c>
      <c r="KS196" s="47"/>
    </row>
    <row r="197" spans="1:305">
      <c r="A197" s="38"/>
      <c r="C197" t="str">
        <f>('Inteligencia emocional'!A198)</f>
        <v>0</v>
      </c>
      <c r="D197" s="39" t="str">
        <f>'Por Valoracion (3) Dimension'!B197</f>
        <v>0</v>
      </c>
      <c r="E197" s="39" t="str">
        <f>'Por Valoracion (3) Dimension 2'!B197</f>
        <v>0</v>
      </c>
      <c r="Z197" s="38"/>
      <c r="AB197" t="str">
        <f>('Inteligencia emocional'!A198)</f>
        <v>0</v>
      </c>
      <c r="AC197" s="39" t="str">
        <f>'Por Valoracion (3) Dimension'!B197</f>
        <v>0</v>
      </c>
      <c r="AD197" s="39" t="str">
        <f>'Por Valoracion (3) Dimension 2'!D197</f>
        <v>0</v>
      </c>
      <c r="AY197" s="38"/>
      <c r="BA197" t="str">
        <f>('Inteligencia emocional'!A198)</f>
        <v>0</v>
      </c>
      <c r="BB197" s="39" t="str">
        <f>'Por Valoracion (3) Dimension'!B197</f>
        <v>0</v>
      </c>
      <c r="BC197" s="39" t="str">
        <f>'Por Valoracion (3) Dimension 2'!F197</f>
        <v>0</v>
      </c>
      <c r="BX197" s="38"/>
      <c r="BZ197" t="str">
        <f>('Inteligencia emocional'!A198)</f>
        <v>0</v>
      </c>
      <c r="CA197" s="39" t="str">
        <f>'Por Valoracion (3) Dimension'!B197</f>
        <v>0</v>
      </c>
      <c r="CB197" s="39" t="str">
        <f>'Por Valoracion (3) Dimension 2'!H197</f>
        <v>0</v>
      </c>
      <c r="CW197" s="38"/>
      <c r="CY197" s="46"/>
      <c r="DA197" t="str">
        <f>('Inteligencia emocional'!A198)</f>
        <v>0</v>
      </c>
      <c r="DB197" s="39" t="str">
        <f>'Por Valoracion (3) Dimension'!D197</f>
        <v>0</v>
      </c>
      <c r="DC197" s="39" t="str">
        <f>'Por Valoracion (3) Dimension 2'!B197</f>
        <v>0</v>
      </c>
      <c r="DX197" s="46"/>
      <c r="DZ197" t="str">
        <f>('Inteligencia emocional'!A198)</f>
        <v>0</v>
      </c>
      <c r="EA197" s="39" t="str">
        <f>'Por Valoracion (3) Dimension'!D197</f>
        <v>0</v>
      </c>
      <c r="EB197" s="39" t="str">
        <f>'Por Valoracion (3) Dimension 2'!D197</f>
        <v>0</v>
      </c>
      <c r="EW197" s="46"/>
      <c r="EY197" t="str">
        <f>('Inteligencia emocional'!A198)</f>
        <v>0</v>
      </c>
      <c r="EZ197" s="39" t="str">
        <f>'Por Valoracion (3) Dimension'!D197</f>
        <v>0</v>
      </c>
      <c r="FA197" s="39" t="str">
        <f>'Por Valoracion (3) Dimension 2'!F197</f>
        <v>0</v>
      </c>
      <c r="FV197" s="46"/>
      <c r="FX197" t="str">
        <f>('Inteligencia emocional'!A198)</f>
        <v>0</v>
      </c>
      <c r="FY197" s="39" t="str">
        <f>'Por Valoracion (3) Dimension'!D197</f>
        <v>0</v>
      </c>
      <c r="FZ197" s="39" t="str">
        <f>'Por Valoracion (3) Dimension 2'!H197</f>
        <v>0</v>
      </c>
      <c r="GU197" s="46"/>
      <c r="GW197" s="47"/>
      <c r="GY197" t="str">
        <f>('Inteligencia emocional'!A198)</f>
        <v>0</v>
      </c>
      <c r="GZ197" s="39" t="str">
        <f>'Por Valoracion (3) Dimension'!F197</f>
        <v>0</v>
      </c>
      <c r="HA197" s="39" t="str">
        <f>'Por Valoracion (3) Dimension 2'!B197</f>
        <v>0</v>
      </c>
      <c r="HV197" s="47"/>
      <c r="HX197" t="str">
        <f>('Inteligencia emocional'!A198)</f>
        <v>0</v>
      </c>
      <c r="HY197" s="39" t="str">
        <f>'Por Valoracion (3) Dimension'!F197</f>
        <v>0</v>
      </c>
      <c r="HZ197" s="39" t="str">
        <f>'Por Valoracion (3) Dimension 2'!D197</f>
        <v>0</v>
      </c>
      <c r="IU197" s="47"/>
      <c r="IW197" t="str">
        <f>('Inteligencia emocional'!A198)</f>
        <v>0</v>
      </c>
      <c r="IX197" s="39" t="str">
        <f>'Por Valoracion (3) Dimension'!F197</f>
        <v>0</v>
      </c>
      <c r="IY197" s="39" t="str">
        <f>'Por Valoracion (3) Dimension 2'!F197</f>
        <v>0</v>
      </c>
      <c r="JT197" s="47"/>
      <c r="JV197" t="str">
        <f>('Inteligencia emocional'!A198)</f>
        <v>0</v>
      </c>
      <c r="JW197" s="39" t="str">
        <f>'Por Valoracion (3) Dimension'!F197</f>
        <v>0</v>
      </c>
      <c r="JX197" s="39" t="str">
        <f>'Por Valoracion (3) Dimension 2'!H197</f>
        <v>0</v>
      </c>
      <c r="KS197" s="47"/>
    </row>
    <row r="198" spans="1:305">
      <c r="A198" s="38"/>
      <c r="C198" t="str">
        <f>('Inteligencia emocional'!A199)</f>
        <v>0</v>
      </c>
      <c r="D198" s="39" t="str">
        <f>'Por Valoracion (3) Dimension'!B198</f>
        <v>0</v>
      </c>
      <c r="E198" s="39" t="str">
        <f>'Por Valoracion (3) Dimension 2'!B198</f>
        <v>0</v>
      </c>
      <c r="Z198" s="38"/>
      <c r="AB198" t="str">
        <f>('Inteligencia emocional'!A199)</f>
        <v>0</v>
      </c>
      <c r="AC198" s="39" t="str">
        <f>'Por Valoracion (3) Dimension'!B198</f>
        <v>0</v>
      </c>
      <c r="AD198" s="39" t="str">
        <f>'Por Valoracion (3) Dimension 2'!D198</f>
        <v>0</v>
      </c>
      <c r="AY198" s="38"/>
      <c r="BA198" t="str">
        <f>('Inteligencia emocional'!A199)</f>
        <v>0</v>
      </c>
      <c r="BB198" s="39" t="str">
        <f>'Por Valoracion (3) Dimension'!B198</f>
        <v>0</v>
      </c>
      <c r="BC198" s="39" t="str">
        <f>'Por Valoracion (3) Dimension 2'!F198</f>
        <v>0</v>
      </c>
      <c r="BX198" s="38"/>
      <c r="BZ198" t="str">
        <f>('Inteligencia emocional'!A199)</f>
        <v>0</v>
      </c>
      <c r="CA198" s="39" t="str">
        <f>'Por Valoracion (3) Dimension'!B198</f>
        <v>0</v>
      </c>
      <c r="CB198" s="39" t="str">
        <f>'Por Valoracion (3) Dimension 2'!H198</f>
        <v>0</v>
      </c>
      <c r="CW198" s="38"/>
      <c r="CY198" s="46"/>
      <c r="DA198" t="str">
        <f>('Inteligencia emocional'!A199)</f>
        <v>0</v>
      </c>
      <c r="DB198" s="39" t="str">
        <f>'Por Valoracion (3) Dimension'!D198</f>
        <v>0</v>
      </c>
      <c r="DC198" s="39" t="str">
        <f>'Por Valoracion (3) Dimension 2'!B198</f>
        <v>0</v>
      </c>
      <c r="DX198" s="46"/>
      <c r="DZ198" t="str">
        <f>('Inteligencia emocional'!A199)</f>
        <v>0</v>
      </c>
      <c r="EA198" s="39" t="str">
        <f>'Por Valoracion (3) Dimension'!D198</f>
        <v>0</v>
      </c>
      <c r="EB198" s="39" t="str">
        <f>'Por Valoracion (3) Dimension 2'!D198</f>
        <v>0</v>
      </c>
      <c r="EW198" s="46"/>
      <c r="EY198" t="str">
        <f>('Inteligencia emocional'!A199)</f>
        <v>0</v>
      </c>
      <c r="EZ198" s="39" t="str">
        <f>'Por Valoracion (3) Dimension'!D198</f>
        <v>0</v>
      </c>
      <c r="FA198" s="39" t="str">
        <f>'Por Valoracion (3) Dimension 2'!F198</f>
        <v>0</v>
      </c>
      <c r="FV198" s="46"/>
      <c r="FX198" t="str">
        <f>('Inteligencia emocional'!A199)</f>
        <v>0</v>
      </c>
      <c r="FY198" s="39" t="str">
        <f>'Por Valoracion (3) Dimension'!D198</f>
        <v>0</v>
      </c>
      <c r="FZ198" s="39" t="str">
        <f>'Por Valoracion (3) Dimension 2'!H198</f>
        <v>0</v>
      </c>
      <c r="GU198" s="46"/>
      <c r="GW198" s="47"/>
      <c r="GY198" t="str">
        <f>('Inteligencia emocional'!A199)</f>
        <v>0</v>
      </c>
      <c r="GZ198" s="39" t="str">
        <f>'Por Valoracion (3) Dimension'!F198</f>
        <v>0</v>
      </c>
      <c r="HA198" s="39" t="str">
        <f>'Por Valoracion (3) Dimension 2'!B198</f>
        <v>0</v>
      </c>
      <c r="HV198" s="47"/>
      <c r="HX198" t="str">
        <f>('Inteligencia emocional'!A199)</f>
        <v>0</v>
      </c>
      <c r="HY198" s="39" t="str">
        <f>'Por Valoracion (3) Dimension'!F198</f>
        <v>0</v>
      </c>
      <c r="HZ198" s="39" t="str">
        <f>'Por Valoracion (3) Dimension 2'!D198</f>
        <v>0</v>
      </c>
      <c r="IU198" s="47"/>
      <c r="IW198" t="str">
        <f>('Inteligencia emocional'!A199)</f>
        <v>0</v>
      </c>
      <c r="IX198" s="39" t="str">
        <f>'Por Valoracion (3) Dimension'!F198</f>
        <v>0</v>
      </c>
      <c r="IY198" s="39" t="str">
        <f>'Por Valoracion (3) Dimension 2'!F198</f>
        <v>0</v>
      </c>
      <c r="JT198" s="47"/>
      <c r="JV198" t="str">
        <f>('Inteligencia emocional'!A199)</f>
        <v>0</v>
      </c>
      <c r="JW198" s="39" t="str">
        <f>'Por Valoracion (3) Dimension'!F198</f>
        <v>0</v>
      </c>
      <c r="JX198" s="39" t="str">
        <f>'Por Valoracion (3) Dimension 2'!H198</f>
        <v>0</v>
      </c>
      <c r="KS198" s="47"/>
    </row>
    <row r="199" spans="1:305">
      <c r="A199" s="38"/>
      <c r="C199" t="str">
        <f>('Inteligencia emocional'!A200)</f>
        <v>0</v>
      </c>
      <c r="D199" s="39" t="str">
        <f>'Por Valoracion (3) Dimension'!B199</f>
        <v>0</v>
      </c>
      <c r="E199" s="39" t="str">
        <f>'Por Valoracion (3) Dimension 2'!B199</f>
        <v>0</v>
      </c>
      <c r="Z199" s="38"/>
      <c r="AB199" t="str">
        <f>('Inteligencia emocional'!A200)</f>
        <v>0</v>
      </c>
      <c r="AC199" s="39" t="str">
        <f>'Por Valoracion (3) Dimension'!B199</f>
        <v>0</v>
      </c>
      <c r="AD199" s="39" t="str">
        <f>'Por Valoracion (3) Dimension 2'!D199</f>
        <v>0</v>
      </c>
      <c r="AY199" s="38"/>
      <c r="BA199" t="str">
        <f>('Inteligencia emocional'!A200)</f>
        <v>0</v>
      </c>
      <c r="BB199" s="39" t="str">
        <f>'Por Valoracion (3) Dimension'!B199</f>
        <v>0</v>
      </c>
      <c r="BC199" s="39" t="str">
        <f>'Por Valoracion (3) Dimension 2'!F199</f>
        <v>0</v>
      </c>
      <c r="BX199" s="38"/>
      <c r="BZ199" t="str">
        <f>('Inteligencia emocional'!A200)</f>
        <v>0</v>
      </c>
      <c r="CA199" s="39" t="str">
        <f>'Por Valoracion (3) Dimension'!B199</f>
        <v>0</v>
      </c>
      <c r="CB199" s="39" t="str">
        <f>'Por Valoracion (3) Dimension 2'!H199</f>
        <v>0</v>
      </c>
      <c r="CW199" s="38"/>
      <c r="CY199" s="46"/>
      <c r="DA199" t="str">
        <f>('Inteligencia emocional'!A200)</f>
        <v>0</v>
      </c>
      <c r="DB199" s="39" t="str">
        <f>'Por Valoracion (3) Dimension'!D199</f>
        <v>0</v>
      </c>
      <c r="DC199" s="39" t="str">
        <f>'Por Valoracion (3) Dimension 2'!B199</f>
        <v>0</v>
      </c>
      <c r="DX199" s="46"/>
      <c r="DZ199" t="str">
        <f>('Inteligencia emocional'!A200)</f>
        <v>0</v>
      </c>
      <c r="EA199" s="39" t="str">
        <f>'Por Valoracion (3) Dimension'!D199</f>
        <v>0</v>
      </c>
      <c r="EB199" s="39" t="str">
        <f>'Por Valoracion (3) Dimension 2'!D199</f>
        <v>0</v>
      </c>
      <c r="EW199" s="46"/>
      <c r="EY199" t="str">
        <f>('Inteligencia emocional'!A200)</f>
        <v>0</v>
      </c>
      <c r="EZ199" s="39" t="str">
        <f>'Por Valoracion (3) Dimension'!D199</f>
        <v>0</v>
      </c>
      <c r="FA199" s="39" t="str">
        <f>'Por Valoracion (3) Dimension 2'!F199</f>
        <v>0</v>
      </c>
      <c r="FV199" s="46"/>
      <c r="FX199" t="str">
        <f>('Inteligencia emocional'!A200)</f>
        <v>0</v>
      </c>
      <c r="FY199" s="39" t="str">
        <f>'Por Valoracion (3) Dimension'!D199</f>
        <v>0</v>
      </c>
      <c r="FZ199" s="39" t="str">
        <f>'Por Valoracion (3) Dimension 2'!H199</f>
        <v>0</v>
      </c>
      <c r="GU199" s="46"/>
      <c r="GW199" s="47"/>
      <c r="GY199" t="str">
        <f>('Inteligencia emocional'!A200)</f>
        <v>0</v>
      </c>
      <c r="GZ199" s="39" t="str">
        <f>'Por Valoracion (3) Dimension'!F199</f>
        <v>0</v>
      </c>
      <c r="HA199" s="39" t="str">
        <f>'Por Valoracion (3) Dimension 2'!B199</f>
        <v>0</v>
      </c>
      <c r="HV199" s="47"/>
      <c r="HX199" t="str">
        <f>('Inteligencia emocional'!A200)</f>
        <v>0</v>
      </c>
      <c r="HY199" s="39" t="str">
        <f>'Por Valoracion (3) Dimension'!F199</f>
        <v>0</v>
      </c>
      <c r="HZ199" s="39" t="str">
        <f>'Por Valoracion (3) Dimension 2'!D199</f>
        <v>0</v>
      </c>
      <c r="IU199" s="47"/>
      <c r="IW199" t="str">
        <f>('Inteligencia emocional'!A200)</f>
        <v>0</v>
      </c>
      <c r="IX199" s="39" t="str">
        <f>'Por Valoracion (3) Dimension'!F199</f>
        <v>0</v>
      </c>
      <c r="IY199" s="39" t="str">
        <f>'Por Valoracion (3) Dimension 2'!F199</f>
        <v>0</v>
      </c>
      <c r="JT199" s="47"/>
      <c r="JV199" t="str">
        <f>('Inteligencia emocional'!A200)</f>
        <v>0</v>
      </c>
      <c r="JW199" s="39" t="str">
        <f>'Por Valoracion (3) Dimension'!F199</f>
        <v>0</v>
      </c>
      <c r="JX199" s="39" t="str">
        <f>'Por Valoracion (3) Dimension 2'!H199</f>
        <v>0</v>
      </c>
      <c r="KS199" s="47"/>
    </row>
    <row r="200" spans="1:305">
      <c r="A200" s="38"/>
      <c r="C200" t="str">
        <f>('Inteligencia emocional'!A201)</f>
        <v>0</v>
      </c>
      <c r="D200" s="39" t="str">
        <f>'Por Valoracion (3) Dimension'!B200</f>
        <v>0</v>
      </c>
      <c r="E200" s="39" t="str">
        <f>'Por Valoracion (3) Dimension 2'!B200</f>
        <v>0</v>
      </c>
      <c r="Z200" s="38"/>
      <c r="AB200" t="str">
        <f>('Inteligencia emocional'!A201)</f>
        <v>0</v>
      </c>
      <c r="AC200" s="39" t="str">
        <f>'Por Valoracion (3) Dimension'!B200</f>
        <v>0</v>
      </c>
      <c r="AD200" s="39" t="str">
        <f>'Por Valoracion (3) Dimension 2'!D200</f>
        <v>0</v>
      </c>
      <c r="AY200" s="38"/>
      <c r="BA200" t="str">
        <f>('Inteligencia emocional'!A201)</f>
        <v>0</v>
      </c>
      <c r="BB200" s="39" t="str">
        <f>'Por Valoracion (3) Dimension'!B200</f>
        <v>0</v>
      </c>
      <c r="BC200" s="39" t="str">
        <f>'Por Valoracion (3) Dimension 2'!F200</f>
        <v>0</v>
      </c>
      <c r="BX200" s="38"/>
      <c r="BZ200" t="str">
        <f>('Inteligencia emocional'!A201)</f>
        <v>0</v>
      </c>
      <c r="CA200" s="39" t="str">
        <f>'Por Valoracion (3) Dimension'!B200</f>
        <v>0</v>
      </c>
      <c r="CB200" s="39" t="str">
        <f>'Por Valoracion (3) Dimension 2'!H200</f>
        <v>0</v>
      </c>
      <c r="CW200" s="38"/>
      <c r="CY200" s="46"/>
      <c r="DA200" t="str">
        <f>('Inteligencia emocional'!A201)</f>
        <v>0</v>
      </c>
      <c r="DB200" s="39" t="str">
        <f>'Por Valoracion (3) Dimension'!D200</f>
        <v>0</v>
      </c>
      <c r="DC200" s="39" t="str">
        <f>'Por Valoracion (3) Dimension 2'!B200</f>
        <v>0</v>
      </c>
      <c r="DX200" s="46"/>
      <c r="DZ200" t="str">
        <f>('Inteligencia emocional'!A201)</f>
        <v>0</v>
      </c>
      <c r="EA200" s="39" t="str">
        <f>'Por Valoracion (3) Dimension'!D200</f>
        <v>0</v>
      </c>
      <c r="EB200" s="39" t="str">
        <f>'Por Valoracion (3) Dimension 2'!D200</f>
        <v>0</v>
      </c>
      <c r="EW200" s="46"/>
      <c r="EY200" t="str">
        <f>('Inteligencia emocional'!A201)</f>
        <v>0</v>
      </c>
      <c r="EZ200" s="39" t="str">
        <f>'Por Valoracion (3) Dimension'!D200</f>
        <v>0</v>
      </c>
      <c r="FA200" s="39" t="str">
        <f>'Por Valoracion (3) Dimension 2'!F200</f>
        <v>0</v>
      </c>
      <c r="FV200" s="46"/>
      <c r="FX200" t="str">
        <f>('Inteligencia emocional'!A201)</f>
        <v>0</v>
      </c>
      <c r="FY200" s="39" t="str">
        <f>'Por Valoracion (3) Dimension'!D200</f>
        <v>0</v>
      </c>
      <c r="FZ200" s="39" t="str">
        <f>'Por Valoracion (3) Dimension 2'!H200</f>
        <v>0</v>
      </c>
      <c r="GU200" s="46"/>
      <c r="GW200" s="47"/>
      <c r="GY200" t="str">
        <f>('Inteligencia emocional'!A201)</f>
        <v>0</v>
      </c>
      <c r="GZ200" s="39" t="str">
        <f>'Por Valoracion (3) Dimension'!F200</f>
        <v>0</v>
      </c>
      <c r="HA200" s="39" t="str">
        <f>'Por Valoracion (3) Dimension 2'!B200</f>
        <v>0</v>
      </c>
      <c r="HV200" s="47"/>
      <c r="HX200" t="str">
        <f>('Inteligencia emocional'!A201)</f>
        <v>0</v>
      </c>
      <c r="HY200" s="39" t="str">
        <f>'Por Valoracion (3) Dimension'!F200</f>
        <v>0</v>
      </c>
      <c r="HZ200" s="39" t="str">
        <f>'Por Valoracion (3) Dimension 2'!D200</f>
        <v>0</v>
      </c>
      <c r="IU200" s="47"/>
      <c r="IW200" t="str">
        <f>('Inteligencia emocional'!A201)</f>
        <v>0</v>
      </c>
      <c r="IX200" s="39" t="str">
        <f>'Por Valoracion (3) Dimension'!F200</f>
        <v>0</v>
      </c>
      <c r="IY200" s="39" t="str">
        <f>'Por Valoracion (3) Dimension 2'!F200</f>
        <v>0</v>
      </c>
      <c r="JT200" s="47"/>
      <c r="JV200" t="str">
        <f>('Inteligencia emocional'!A201)</f>
        <v>0</v>
      </c>
      <c r="JW200" s="39" t="str">
        <f>'Por Valoracion (3) Dimension'!F200</f>
        <v>0</v>
      </c>
      <c r="JX200" s="39" t="str">
        <f>'Por Valoracion (3) Dimension 2'!H200</f>
        <v>0</v>
      </c>
      <c r="KS200" s="47"/>
    </row>
    <row r="201" spans="1:305">
      <c r="A201" s="38"/>
      <c r="C201" t="str">
        <f>('Inteligencia emocional'!A202)</f>
        <v>0</v>
      </c>
      <c r="D201" s="39" t="str">
        <f>'Por Valoracion (3) Dimension'!B201</f>
        <v>0</v>
      </c>
      <c r="E201" s="39" t="str">
        <f>'Por Valoracion (3) Dimension 2'!B201</f>
        <v>0</v>
      </c>
      <c r="Z201" s="38"/>
      <c r="AB201" t="str">
        <f>('Inteligencia emocional'!A202)</f>
        <v>0</v>
      </c>
      <c r="AC201" s="39" t="str">
        <f>'Por Valoracion (3) Dimension'!B201</f>
        <v>0</v>
      </c>
      <c r="AD201" s="39" t="str">
        <f>'Por Valoracion (3) Dimension 2'!D201</f>
        <v>0</v>
      </c>
      <c r="AY201" s="38"/>
      <c r="BA201" t="str">
        <f>('Inteligencia emocional'!A202)</f>
        <v>0</v>
      </c>
      <c r="BB201" s="39" t="str">
        <f>'Por Valoracion (3) Dimension'!B201</f>
        <v>0</v>
      </c>
      <c r="BC201" s="39" t="str">
        <f>'Por Valoracion (3) Dimension 2'!F201</f>
        <v>0</v>
      </c>
      <c r="BX201" s="38"/>
      <c r="BZ201" t="str">
        <f>('Inteligencia emocional'!A202)</f>
        <v>0</v>
      </c>
      <c r="CA201" s="39" t="str">
        <f>'Por Valoracion (3) Dimension'!B201</f>
        <v>0</v>
      </c>
      <c r="CB201" s="39" t="str">
        <f>'Por Valoracion (3) Dimension 2'!H201</f>
        <v>0</v>
      </c>
      <c r="CW201" s="38"/>
      <c r="CY201" s="46"/>
      <c r="DA201" t="str">
        <f>('Inteligencia emocional'!A202)</f>
        <v>0</v>
      </c>
      <c r="DB201" s="39" t="str">
        <f>'Por Valoracion (3) Dimension'!D201</f>
        <v>0</v>
      </c>
      <c r="DC201" s="39" t="str">
        <f>'Por Valoracion (3) Dimension 2'!B201</f>
        <v>0</v>
      </c>
      <c r="DX201" s="46"/>
      <c r="DZ201" t="str">
        <f>('Inteligencia emocional'!A202)</f>
        <v>0</v>
      </c>
      <c r="EA201" s="39" t="str">
        <f>'Por Valoracion (3) Dimension'!D201</f>
        <v>0</v>
      </c>
      <c r="EB201" s="39" t="str">
        <f>'Por Valoracion (3) Dimension 2'!D201</f>
        <v>0</v>
      </c>
      <c r="EW201" s="46"/>
      <c r="EY201" t="str">
        <f>('Inteligencia emocional'!A202)</f>
        <v>0</v>
      </c>
      <c r="EZ201" s="39" t="str">
        <f>'Por Valoracion (3) Dimension'!D201</f>
        <v>0</v>
      </c>
      <c r="FA201" s="39" t="str">
        <f>'Por Valoracion (3) Dimension 2'!F201</f>
        <v>0</v>
      </c>
      <c r="FV201" s="46"/>
      <c r="FX201" t="str">
        <f>('Inteligencia emocional'!A202)</f>
        <v>0</v>
      </c>
      <c r="FY201" s="39" t="str">
        <f>'Por Valoracion (3) Dimension'!D201</f>
        <v>0</v>
      </c>
      <c r="FZ201" s="39" t="str">
        <f>'Por Valoracion (3) Dimension 2'!H201</f>
        <v>0</v>
      </c>
      <c r="GU201" s="46"/>
      <c r="GW201" s="47"/>
      <c r="GY201" t="str">
        <f>('Inteligencia emocional'!A202)</f>
        <v>0</v>
      </c>
      <c r="GZ201" s="39" t="str">
        <f>'Por Valoracion (3) Dimension'!F201</f>
        <v>0</v>
      </c>
      <c r="HA201" s="39" t="str">
        <f>'Por Valoracion (3) Dimension 2'!B201</f>
        <v>0</v>
      </c>
      <c r="HV201" s="47"/>
      <c r="HX201" t="str">
        <f>('Inteligencia emocional'!A202)</f>
        <v>0</v>
      </c>
      <c r="HY201" s="39" t="str">
        <f>'Por Valoracion (3) Dimension'!F201</f>
        <v>0</v>
      </c>
      <c r="HZ201" s="39" t="str">
        <f>'Por Valoracion (3) Dimension 2'!D201</f>
        <v>0</v>
      </c>
      <c r="IU201" s="47"/>
      <c r="IW201" t="str">
        <f>('Inteligencia emocional'!A202)</f>
        <v>0</v>
      </c>
      <c r="IX201" s="39" t="str">
        <f>'Por Valoracion (3) Dimension'!F201</f>
        <v>0</v>
      </c>
      <c r="IY201" s="39" t="str">
        <f>'Por Valoracion (3) Dimension 2'!F201</f>
        <v>0</v>
      </c>
      <c r="JT201" s="47"/>
      <c r="JV201" t="str">
        <f>('Inteligencia emocional'!A202)</f>
        <v>0</v>
      </c>
      <c r="JW201" s="39" t="str">
        <f>'Por Valoracion (3) Dimension'!F201</f>
        <v>0</v>
      </c>
      <c r="JX201" s="39" t="str">
        <f>'Por Valoracion (3) Dimension 2'!H201</f>
        <v>0</v>
      </c>
      <c r="KS201" s="47"/>
    </row>
    <row r="202" spans="1:305">
      <c r="A202" s="38"/>
      <c r="C202" t="str">
        <f>('Inteligencia emocional'!A203)</f>
        <v>0</v>
      </c>
      <c r="D202" s="39" t="str">
        <f>'Por Valoracion (3) Dimension'!B202</f>
        <v>0</v>
      </c>
      <c r="E202" s="39" t="str">
        <f>'Por Valoracion (3) Dimension 2'!B202</f>
        <v>0</v>
      </c>
      <c r="Z202" s="38"/>
      <c r="AB202" t="str">
        <f>('Inteligencia emocional'!A203)</f>
        <v>0</v>
      </c>
      <c r="AC202" s="39" t="str">
        <f>'Por Valoracion (3) Dimension'!B202</f>
        <v>0</v>
      </c>
      <c r="AD202" s="39" t="str">
        <f>'Por Valoracion (3) Dimension 2'!D202</f>
        <v>0</v>
      </c>
      <c r="AY202" s="38"/>
      <c r="BA202" t="str">
        <f>('Inteligencia emocional'!A203)</f>
        <v>0</v>
      </c>
      <c r="BB202" s="39" t="str">
        <f>'Por Valoracion (3) Dimension'!B202</f>
        <v>0</v>
      </c>
      <c r="BC202" s="39" t="str">
        <f>'Por Valoracion (3) Dimension 2'!F202</f>
        <v>0</v>
      </c>
      <c r="BX202" s="38"/>
      <c r="BZ202" t="str">
        <f>('Inteligencia emocional'!A203)</f>
        <v>0</v>
      </c>
      <c r="CA202" s="39" t="str">
        <f>'Por Valoracion (3) Dimension'!B202</f>
        <v>0</v>
      </c>
      <c r="CB202" s="39" t="str">
        <f>'Por Valoracion (3) Dimension 2'!H202</f>
        <v>0</v>
      </c>
      <c r="CW202" s="38"/>
      <c r="CY202" s="46"/>
      <c r="DA202" t="str">
        <f>('Inteligencia emocional'!A203)</f>
        <v>0</v>
      </c>
      <c r="DB202" s="39" t="str">
        <f>'Por Valoracion (3) Dimension'!D202</f>
        <v>0</v>
      </c>
      <c r="DC202" s="39" t="str">
        <f>'Por Valoracion (3) Dimension 2'!B202</f>
        <v>0</v>
      </c>
      <c r="DX202" s="46"/>
      <c r="DZ202" t="str">
        <f>('Inteligencia emocional'!A203)</f>
        <v>0</v>
      </c>
      <c r="EA202" s="39" t="str">
        <f>'Por Valoracion (3) Dimension'!D202</f>
        <v>0</v>
      </c>
      <c r="EB202" s="39" t="str">
        <f>'Por Valoracion (3) Dimension 2'!D202</f>
        <v>0</v>
      </c>
      <c r="EW202" s="46"/>
      <c r="EY202" t="str">
        <f>('Inteligencia emocional'!A203)</f>
        <v>0</v>
      </c>
      <c r="EZ202" s="39" t="str">
        <f>'Por Valoracion (3) Dimension'!D202</f>
        <v>0</v>
      </c>
      <c r="FA202" s="39" t="str">
        <f>'Por Valoracion (3) Dimension 2'!F202</f>
        <v>0</v>
      </c>
      <c r="FV202" s="46"/>
      <c r="FX202" t="str">
        <f>('Inteligencia emocional'!A203)</f>
        <v>0</v>
      </c>
      <c r="FY202" s="39" t="str">
        <f>'Por Valoracion (3) Dimension'!D202</f>
        <v>0</v>
      </c>
      <c r="FZ202" s="39" t="str">
        <f>'Por Valoracion (3) Dimension 2'!H202</f>
        <v>0</v>
      </c>
      <c r="GU202" s="46"/>
      <c r="GW202" s="47"/>
      <c r="GY202" t="str">
        <f>('Inteligencia emocional'!A203)</f>
        <v>0</v>
      </c>
      <c r="GZ202" s="39" t="str">
        <f>'Por Valoracion (3) Dimension'!F202</f>
        <v>0</v>
      </c>
      <c r="HA202" s="39" t="str">
        <f>'Por Valoracion (3) Dimension 2'!B202</f>
        <v>0</v>
      </c>
      <c r="HV202" s="47"/>
      <c r="HX202" t="str">
        <f>('Inteligencia emocional'!A203)</f>
        <v>0</v>
      </c>
      <c r="HY202" s="39" t="str">
        <f>'Por Valoracion (3) Dimension'!F202</f>
        <v>0</v>
      </c>
      <c r="HZ202" s="39" t="str">
        <f>'Por Valoracion (3) Dimension 2'!D202</f>
        <v>0</v>
      </c>
      <c r="IU202" s="47"/>
      <c r="IW202" t="str">
        <f>('Inteligencia emocional'!A203)</f>
        <v>0</v>
      </c>
      <c r="IX202" s="39" t="str">
        <f>'Por Valoracion (3) Dimension'!F202</f>
        <v>0</v>
      </c>
      <c r="IY202" s="39" t="str">
        <f>'Por Valoracion (3) Dimension 2'!F202</f>
        <v>0</v>
      </c>
      <c r="JT202" s="47"/>
      <c r="JV202" t="str">
        <f>('Inteligencia emocional'!A203)</f>
        <v>0</v>
      </c>
      <c r="JW202" s="39" t="str">
        <f>'Por Valoracion (3) Dimension'!F202</f>
        <v>0</v>
      </c>
      <c r="JX202" s="39" t="str">
        <f>'Por Valoracion (3) Dimension 2'!H202</f>
        <v>0</v>
      </c>
      <c r="KS202" s="47"/>
    </row>
    <row r="203" spans="1:305">
      <c r="A203" s="38"/>
      <c r="C203" t="str">
        <f>('Inteligencia emocional'!A204)</f>
        <v>0</v>
      </c>
      <c r="D203" s="39" t="str">
        <f>'Por Valoracion (3) Dimension'!B203</f>
        <v>0</v>
      </c>
      <c r="E203" s="39" t="str">
        <f>'Por Valoracion (3) Dimension 2'!B203</f>
        <v>0</v>
      </c>
      <c r="Z203" s="38"/>
      <c r="AB203" t="str">
        <f>('Inteligencia emocional'!A204)</f>
        <v>0</v>
      </c>
      <c r="AC203" s="39" t="str">
        <f>'Por Valoracion (3) Dimension'!B203</f>
        <v>0</v>
      </c>
      <c r="AD203" s="39" t="str">
        <f>'Por Valoracion (3) Dimension 2'!D203</f>
        <v>0</v>
      </c>
      <c r="AY203" s="38"/>
      <c r="BA203" t="str">
        <f>('Inteligencia emocional'!A204)</f>
        <v>0</v>
      </c>
      <c r="BB203" s="39" t="str">
        <f>'Por Valoracion (3) Dimension'!B203</f>
        <v>0</v>
      </c>
      <c r="BC203" s="39" t="str">
        <f>'Por Valoracion (3) Dimension 2'!F203</f>
        <v>0</v>
      </c>
      <c r="BX203" s="38"/>
      <c r="BZ203" t="str">
        <f>('Inteligencia emocional'!A204)</f>
        <v>0</v>
      </c>
      <c r="CA203" s="39" t="str">
        <f>'Por Valoracion (3) Dimension'!B203</f>
        <v>0</v>
      </c>
      <c r="CB203" s="39" t="str">
        <f>'Por Valoracion (3) Dimension 2'!H203</f>
        <v>0</v>
      </c>
      <c r="CW203" s="38"/>
      <c r="CY203" s="46"/>
      <c r="DA203" t="str">
        <f>('Inteligencia emocional'!A204)</f>
        <v>0</v>
      </c>
      <c r="DB203" s="39" t="str">
        <f>'Por Valoracion (3) Dimension'!D203</f>
        <v>0</v>
      </c>
      <c r="DC203" s="39" t="str">
        <f>'Por Valoracion (3) Dimension 2'!B203</f>
        <v>0</v>
      </c>
      <c r="DX203" s="46"/>
      <c r="DZ203" t="str">
        <f>('Inteligencia emocional'!A204)</f>
        <v>0</v>
      </c>
      <c r="EA203" s="39" t="str">
        <f>'Por Valoracion (3) Dimension'!D203</f>
        <v>0</v>
      </c>
      <c r="EB203" s="39" t="str">
        <f>'Por Valoracion (3) Dimension 2'!D203</f>
        <v>0</v>
      </c>
      <c r="EW203" s="46"/>
      <c r="EY203" t="str">
        <f>('Inteligencia emocional'!A204)</f>
        <v>0</v>
      </c>
      <c r="EZ203" s="39" t="str">
        <f>'Por Valoracion (3) Dimension'!D203</f>
        <v>0</v>
      </c>
      <c r="FA203" s="39" t="str">
        <f>'Por Valoracion (3) Dimension 2'!F203</f>
        <v>0</v>
      </c>
      <c r="FV203" s="46"/>
      <c r="FX203" t="str">
        <f>('Inteligencia emocional'!A204)</f>
        <v>0</v>
      </c>
      <c r="FY203" s="39" t="str">
        <f>'Por Valoracion (3) Dimension'!D203</f>
        <v>0</v>
      </c>
      <c r="FZ203" s="39" t="str">
        <f>'Por Valoracion (3) Dimension 2'!H203</f>
        <v>0</v>
      </c>
      <c r="GU203" s="46"/>
      <c r="GW203" s="47"/>
      <c r="GY203" t="str">
        <f>('Inteligencia emocional'!A204)</f>
        <v>0</v>
      </c>
      <c r="GZ203" s="39" t="str">
        <f>'Por Valoracion (3) Dimension'!F203</f>
        <v>0</v>
      </c>
      <c r="HA203" s="39" t="str">
        <f>'Por Valoracion (3) Dimension 2'!B203</f>
        <v>0</v>
      </c>
      <c r="HV203" s="47"/>
      <c r="HX203" t="str">
        <f>('Inteligencia emocional'!A204)</f>
        <v>0</v>
      </c>
      <c r="HY203" s="39" t="str">
        <f>'Por Valoracion (3) Dimension'!F203</f>
        <v>0</v>
      </c>
      <c r="HZ203" s="39" t="str">
        <f>'Por Valoracion (3) Dimension 2'!D203</f>
        <v>0</v>
      </c>
      <c r="IU203" s="47"/>
      <c r="IW203" t="str">
        <f>('Inteligencia emocional'!A204)</f>
        <v>0</v>
      </c>
      <c r="IX203" s="39" t="str">
        <f>'Por Valoracion (3) Dimension'!F203</f>
        <v>0</v>
      </c>
      <c r="IY203" s="39" t="str">
        <f>'Por Valoracion (3) Dimension 2'!F203</f>
        <v>0</v>
      </c>
      <c r="JT203" s="47"/>
      <c r="JV203" t="str">
        <f>('Inteligencia emocional'!A204)</f>
        <v>0</v>
      </c>
      <c r="JW203" s="39" t="str">
        <f>'Por Valoracion (3) Dimension'!F203</f>
        <v>0</v>
      </c>
      <c r="JX203" s="39" t="str">
        <f>'Por Valoracion (3) Dimension 2'!H203</f>
        <v>0</v>
      </c>
      <c r="KS203" s="47"/>
    </row>
    <row r="204" spans="1:305">
      <c r="A204" s="38"/>
      <c r="C204" t="str">
        <f>('Inteligencia emocional'!A205)</f>
        <v>0</v>
      </c>
      <c r="D204" s="39" t="str">
        <f>'Por Valoracion (3) Dimension'!B204</f>
        <v>0</v>
      </c>
      <c r="E204" s="39" t="str">
        <f>'Por Valoracion (3) Dimension 2'!B204</f>
        <v>0</v>
      </c>
      <c r="Z204" s="38"/>
      <c r="AB204" t="str">
        <f>('Inteligencia emocional'!A205)</f>
        <v>0</v>
      </c>
      <c r="AC204" s="39" t="str">
        <f>'Por Valoracion (3) Dimension'!B204</f>
        <v>0</v>
      </c>
      <c r="AD204" s="39" t="str">
        <f>'Por Valoracion (3) Dimension 2'!D204</f>
        <v>0</v>
      </c>
      <c r="AY204" s="38"/>
      <c r="BA204" t="str">
        <f>('Inteligencia emocional'!A205)</f>
        <v>0</v>
      </c>
      <c r="BB204" s="39" t="str">
        <f>'Por Valoracion (3) Dimension'!B204</f>
        <v>0</v>
      </c>
      <c r="BC204" s="39" t="str">
        <f>'Por Valoracion (3) Dimension 2'!F204</f>
        <v>0</v>
      </c>
      <c r="BX204" s="38"/>
      <c r="BZ204" t="str">
        <f>('Inteligencia emocional'!A205)</f>
        <v>0</v>
      </c>
      <c r="CA204" s="39" t="str">
        <f>'Por Valoracion (3) Dimension'!B204</f>
        <v>0</v>
      </c>
      <c r="CB204" s="39" t="str">
        <f>'Por Valoracion (3) Dimension 2'!H204</f>
        <v>0</v>
      </c>
      <c r="CW204" s="38"/>
      <c r="CY204" s="46"/>
      <c r="DA204" t="str">
        <f>('Inteligencia emocional'!A205)</f>
        <v>0</v>
      </c>
      <c r="DB204" s="39" t="str">
        <f>'Por Valoracion (3) Dimension'!D204</f>
        <v>0</v>
      </c>
      <c r="DC204" s="39" t="str">
        <f>'Por Valoracion (3) Dimension 2'!B204</f>
        <v>0</v>
      </c>
      <c r="DX204" s="46"/>
      <c r="DZ204" t="str">
        <f>('Inteligencia emocional'!A205)</f>
        <v>0</v>
      </c>
      <c r="EA204" s="39" t="str">
        <f>'Por Valoracion (3) Dimension'!D204</f>
        <v>0</v>
      </c>
      <c r="EB204" s="39" t="str">
        <f>'Por Valoracion (3) Dimension 2'!D204</f>
        <v>0</v>
      </c>
      <c r="EW204" s="46"/>
      <c r="EY204" t="str">
        <f>('Inteligencia emocional'!A205)</f>
        <v>0</v>
      </c>
      <c r="EZ204" s="39" t="str">
        <f>'Por Valoracion (3) Dimension'!D204</f>
        <v>0</v>
      </c>
      <c r="FA204" s="39" t="str">
        <f>'Por Valoracion (3) Dimension 2'!F204</f>
        <v>0</v>
      </c>
      <c r="FV204" s="46"/>
      <c r="FX204" t="str">
        <f>('Inteligencia emocional'!A205)</f>
        <v>0</v>
      </c>
      <c r="FY204" s="39" t="str">
        <f>'Por Valoracion (3) Dimension'!D204</f>
        <v>0</v>
      </c>
      <c r="FZ204" s="39" t="str">
        <f>'Por Valoracion (3) Dimension 2'!H204</f>
        <v>0</v>
      </c>
      <c r="GU204" s="46"/>
      <c r="GW204" s="47"/>
      <c r="GY204" t="str">
        <f>('Inteligencia emocional'!A205)</f>
        <v>0</v>
      </c>
      <c r="GZ204" s="39" t="str">
        <f>'Por Valoracion (3) Dimension'!F204</f>
        <v>0</v>
      </c>
      <c r="HA204" s="39" t="str">
        <f>'Por Valoracion (3) Dimension 2'!B204</f>
        <v>0</v>
      </c>
      <c r="HV204" s="47"/>
      <c r="HX204" t="str">
        <f>('Inteligencia emocional'!A205)</f>
        <v>0</v>
      </c>
      <c r="HY204" s="39" t="str">
        <f>'Por Valoracion (3) Dimension'!F204</f>
        <v>0</v>
      </c>
      <c r="HZ204" s="39" t="str">
        <f>'Por Valoracion (3) Dimension 2'!D204</f>
        <v>0</v>
      </c>
      <c r="IU204" s="47"/>
      <c r="IW204" t="str">
        <f>('Inteligencia emocional'!A205)</f>
        <v>0</v>
      </c>
      <c r="IX204" s="39" t="str">
        <f>'Por Valoracion (3) Dimension'!F204</f>
        <v>0</v>
      </c>
      <c r="IY204" s="39" t="str">
        <f>'Por Valoracion (3) Dimension 2'!F204</f>
        <v>0</v>
      </c>
      <c r="JT204" s="47"/>
      <c r="JV204" t="str">
        <f>('Inteligencia emocional'!A205)</f>
        <v>0</v>
      </c>
      <c r="JW204" s="39" t="str">
        <f>'Por Valoracion (3) Dimension'!F204</f>
        <v>0</v>
      </c>
      <c r="JX204" s="39" t="str">
        <f>'Por Valoracion (3) Dimension 2'!H204</f>
        <v>0</v>
      </c>
      <c r="KS204" s="47"/>
    </row>
    <row r="205" spans="1:305">
      <c r="A205" s="38"/>
      <c r="C205" t="str">
        <f>('Inteligencia emocional'!A206)</f>
        <v>0</v>
      </c>
      <c r="D205" s="39" t="str">
        <f>'Por Valoracion (3) Dimension'!B205</f>
        <v>0</v>
      </c>
      <c r="E205" s="39" t="str">
        <f>'Por Valoracion (3) Dimension 2'!B205</f>
        <v>0</v>
      </c>
      <c r="Z205" s="38"/>
      <c r="AB205" t="str">
        <f>('Inteligencia emocional'!A206)</f>
        <v>0</v>
      </c>
      <c r="AC205" s="39" t="str">
        <f>'Por Valoracion (3) Dimension'!B205</f>
        <v>0</v>
      </c>
      <c r="AD205" s="39" t="str">
        <f>'Por Valoracion (3) Dimension 2'!D205</f>
        <v>0</v>
      </c>
      <c r="AY205" s="38"/>
      <c r="BA205" t="str">
        <f>('Inteligencia emocional'!A206)</f>
        <v>0</v>
      </c>
      <c r="BB205" s="39" t="str">
        <f>'Por Valoracion (3) Dimension'!B205</f>
        <v>0</v>
      </c>
      <c r="BC205" s="39" t="str">
        <f>'Por Valoracion (3) Dimension 2'!F205</f>
        <v>0</v>
      </c>
      <c r="BX205" s="38"/>
      <c r="BZ205" t="str">
        <f>('Inteligencia emocional'!A206)</f>
        <v>0</v>
      </c>
      <c r="CA205" s="39" t="str">
        <f>'Por Valoracion (3) Dimension'!B205</f>
        <v>0</v>
      </c>
      <c r="CB205" s="39" t="str">
        <f>'Por Valoracion (3) Dimension 2'!H205</f>
        <v>0</v>
      </c>
      <c r="CW205" s="38"/>
      <c r="CY205" s="46"/>
      <c r="DA205" t="str">
        <f>('Inteligencia emocional'!A206)</f>
        <v>0</v>
      </c>
      <c r="DB205" s="39" t="str">
        <f>'Por Valoracion (3) Dimension'!D205</f>
        <v>0</v>
      </c>
      <c r="DC205" s="39" t="str">
        <f>'Por Valoracion (3) Dimension 2'!B205</f>
        <v>0</v>
      </c>
      <c r="DX205" s="46"/>
      <c r="DZ205" t="str">
        <f>('Inteligencia emocional'!A206)</f>
        <v>0</v>
      </c>
      <c r="EA205" s="39" t="str">
        <f>'Por Valoracion (3) Dimension'!D205</f>
        <v>0</v>
      </c>
      <c r="EB205" s="39" t="str">
        <f>'Por Valoracion (3) Dimension 2'!D205</f>
        <v>0</v>
      </c>
      <c r="EW205" s="46"/>
      <c r="EY205" t="str">
        <f>('Inteligencia emocional'!A206)</f>
        <v>0</v>
      </c>
      <c r="EZ205" s="39" t="str">
        <f>'Por Valoracion (3) Dimension'!D205</f>
        <v>0</v>
      </c>
      <c r="FA205" s="39" t="str">
        <f>'Por Valoracion (3) Dimension 2'!F205</f>
        <v>0</v>
      </c>
      <c r="FV205" s="46"/>
      <c r="FX205" t="str">
        <f>('Inteligencia emocional'!A206)</f>
        <v>0</v>
      </c>
      <c r="FY205" s="39" t="str">
        <f>'Por Valoracion (3) Dimension'!D205</f>
        <v>0</v>
      </c>
      <c r="FZ205" s="39" t="str">
        <f>'Por Valoracion (3) Dimension 2'!H205</f>
        <v>0</v>
      </c>
      <c r="GU205" s="46"/>
      <c r="GW205" s="47"/>
      <c r="GY205" t="str">
        <f>('Inteligencia emocional'!A206)</f>
        <v>0</v>
      </c>
      <c r="GZ205" s="39" t="str">
        <f>'Por Valoracion (3) Dimension'!F205</f>
        <v>0</v>
      </c>
      <c r="HA205" s="39" t="str">
        <f>'Por Valoracion (3) Dimension 2'!B205</f>
        <v>0</v>
      </c>
      <c r="HV205" s="47"/>
      <c r="HX205" t="str">
        <f>('Inteligencia emocional'!A206)</f>
        <v>0</v>
      </c>
      <c r="HY205" s="39" t="str">
        <f>'Por Valoracion (3) Dimension'!F205</f>
        <v>0</v>
      </c>
      <c r="HZ205" s="39" t="str">
        <f>'Por Valoracion (3) Dimension 2'!D205</f>
        <v>0</v>
      </c>
      <c r="IU205" s="47"/>
      <c r="IW205" t="str">
        <f>('Inteligencia emocional'!A206)</f>
        <v>0</v>
      </c>
      <c r="IX205" s="39" t="str">
        <f>'Por Valoracion (3) Dimension'!F205</f>
        <v>0</v>
      </c>
      <c r="IY205" s="39" t="str">
        <f>'Por Valoracion (3) Dimension 2'!F205</f>
        <v>0</v>
      </c>
      <c r="JT205" s="47"/>
      <c r="JV205" t="str">
        <f>('Inteligencia emocional'!A206)</f>
        <v>0</v>
      </c>
      <c r="JW205" s="39" t="str">
        <f>'Por Valoracion (3) Dimension'!F205</f>
        <v>0</v>
      </c>
      <c r="JX205" s="39" t="str">
        <f>'Por Valoracion (3) Dimension 2'!H205</f>
        <v>0</v>
      </c>
      <c r="KS205" s="47"/>
    </row>
    <row r="206" spans="1:305">
      <c r="A206" s="38"/>
      <c r="C206" t="str">
        <f>('Inteligencia emocional'!A207)</f>
        <v>0</v>
      </c>
      <c r="D206" s="39" t="str">
        <f>'Por Valoracion (3) Dimension'!B206</f>
        <v>0</v>
      </c>
      <c r="E206" s="39" t="str">
        <f>'Por Valoracion (3) Dimension 2'!B206</f>
        <v>0</v>
      </c>
      <c r="Z206" s="38"/>
      <c r="AB206" t="str">
        <f>('Inteligencia emocional'!A207)</f>
        <v>0</v>
      </c>
      <c r="AC206" s="39" t="str">
        <f>'Por Valoracion (3) Dimension'!B206</f>
        <v>0</v>
      </c>
      <c r="AD206" s="39" t="str">
        <f>'Por Valoracion (3) Dimension 2'!D206</f>
        <v>0</v>
      </c>
      <c r="AY206" s="38"/>
      <c r="BA206" t="str">
        <f>('Inteligencia emocional'!A207)</f>
        <v>0</v>
      </c>
      <c r="BB206" s="39" t="str">
        <f>'Por Valoracion (3) Dimension'!B206</f>
        <v>0</v>
      </c>
      <c r="BC206" s="39" t="str">
        <f>'Por Valoracion (3) Dimension 2'!F206</f>
        <v>0</v>
      </c>
      <c r="BX206" s="38"/>
      <c r="BZ206" t="str">
        <f>('Inteligencia emocional'!A207)</f>
        <v>0</v>
      </c>
      <c r="CA206" s="39" t="str">
        <f>'Por Valoracion (3) Dimension'!B206</f>
        <v>0</v>
      </c>
      <c r="CB206" s="39" t="str">
        <f>'Por Valoracion (3) Dimension 2'!H206</f>
        <v>0</v>
      </c>
      <c r="CW206" s="38"/>
      <c r="CY206" s="46"/>
      <c r="DA206" t="str">
        <f>('Inteligencia emocional'!A207)</f>
        <v>0</v>
      </c>
      <c r="DB206" s="39" t="str">
        <f>'Por Valoracion (3) Dimension'!D206</f>
        <v>0</v>
      </c>
      <c r="DC206" s="39" t="str">
        <f>'Por Valoracion (3) Dimension 2'!B206</f>
        <v>0</v>
      </c>
      <c r="DX206" s="46"/>
      <c r="DZ206" t="str">
        <f>('Inteligencia emocional'!A207)</f>
        <v>0</v>
      </c>
      <c r="EA206" s="39" t="str">
        <f>'Por Valoracion (3) Dimension'!D206</f>
        <v>0</v>
      </c>
      <c r="EB206" s="39" t="str">
        <f>'Por Valoracion (3) Dimension 2'!D206</f>
        <v>0</v>
      </c>
      <c r="EW206" s="46"/>
      <c r="EY206" t="str">
        <f>('Inteligencia emocional'!A207)</f>
        <v>0</v>
      </c>
      <c r="EZ206" s="39" t="str">
        <f>'Por Valoracion (3) Dimension'!D206</f>
        <v>0</v>
      </c>
      <c r="FA206" s="39" t="str">
        <f>'Por Valoracion (3) Dimension 2'!F206</f>
        <v>0</v>
      </c>
      <c r="FV206" s="46"/>
      <c r="FX206" t="str">
        <f>('Inteligencia emocional'!A207)</f>
        <v>0</v>
      </c>
      <c r="FY206" s="39" t="str">
        <f>'Por Valoracion (3) Dimension'!D206</f>
        <v>0</v>
      </c>
      <c r="FZ206" s="39" t="str">
        <f>'Por Valoracion (3) Dimension 2'!H206</f>
        <v>0</v>
      </c>
      <c r="GU206" s="46"/>
      <c r="GW206" s="47"/>
      <c r="GY206" t="str">
        <f>('Inteligencia emocional'!A207)</f>
        <v>0</v>
      </c>
      <c r="GZ206" s="39" t="str">
        <f>'Por Valoracion (3) Dimension'!F206</f>
        <v>0</v>
      </c>
      <c r="HA206" s="39" t="str">
        <f>'Por Valoracion (3) Dimension 2'!B206</f>
        <v>0</v>
      </c>
      <c r="HV206" s="47"/>
      <c r="HX206" t="str">
        <f>('Inteligencia emocional'!A207)</f>
        <v>0</v>
      </c>
      <c r="HY206" s="39" t="str">
        <f>'Por Valoracion (3) Dimension'!F206</f>
        <v>0</v>
      </c>
      <c r="HZ206" s="39" t="str">
        <f>'Por Valoracion (3) Dimension 2'!D206</f>
        <v>0</v>
      </c>
      <c r="IU206" s="47"/>
      <c r="IW206" t="str">
        <f>('Inteligencia emocional'!A207)</f>
        <v>0</v>
      </c>
      <c r="IX206" s="39" t="str">
        <f>'Por Valoracion (3) Dimension'!F206</f>
        <v>0</v>
      </c>
      <c r="IY206" s="39" t="str">
        <f>'Por Valoracion (3) Dimension 2'!F206</f>
        <v>0</v>
      </c>
      <c r="JT206" s="47"/>
      <c r="JV206" t="str">
        <f>('Inteligencia emocional'!A207)</f>
        <v>0</v>
      </c>
      <c r="JW206" s="39" t="str">
        <f>'Por Valoracion (3) Dimension'!F206</f>
        <v>0</v>
      </c>
      <c r="JX206" s="39" t="str">
        <f>'Por Valoracion (3) Dimension 2'!H206</f>
        <v>0</v>
      </c>
      <c r="KS206" s="47"/>
    </row>
    <row r="207" spans="1:305">
      <c r="A207" s="38"/>
      <c r="C207" t="str">
        <f>('Inteligencia emocional'!A208)</f>
        <v>0</v>
      </c>
      <c r="D207" s="39" t="str">
        <f>'Por Valoracion (3) Dimension'!B207</f>
        <v>0</v>
      </c>
      <c r="E207" s="39" t="str">
        <f>'Por Valoracion (3) Dimension 2'!B207</f>
        <v>0</v>
      </c>
      <c r="Z207" s="38"/>
      <c r="AB207" t="str">
        <f>('Inteligencia emocional'!A208)</f>
        <v>0</v>
      </c>
      <c r="AC207" s="39" t="str">
        <f>'Por Valoracion (3) Dimension'!B207</f>
        <v>0</v>
      </c>
      <c r="AD207" s="39" t="str">
        <f>'Por Valoracion (3) Dimension 2'!D207</f>
        <v>0</v>
      </c>
      <c r="AY207" s="38"/>
      <c r="BA207" t="str">
        <f>('Inteligencia emocional'!A208)</f>
        <v>0</v>
      </c>
      <c r="BB207" s="39" t="str">
        <f>'Por Valoracion (3) Dimension'!B207</f>
        <v>0</v>
      </c>
      <c r="BC207" s="39" t="str">
        <f>'Por Valoracion (3) Dimension 2'!F207</f>
        <v>0</v>
      </c>
      <c r="BX207" s="38"/>
      <c r="BZ207" t="str">
        <f>('Inteligencia emocional'!A208)</f>
        <v>0</v>
      </c>
      <c r="CA207" s="39" t="str">
        <f>'Por Valoracion (3) Dimension'!B207</f>
        <v>0</v>
      </c>
      <c r="CB207" s="39" t="str">
        <f>'Por Valoracion (3) Dimension 2'!H207</f>
        <v>0</v>
      </c>
      <c r="CW207" s="38"/>
      <c r="CY207" s="46"/>
      <c r="DA207" t="str">
        <f>('Inteligencia emocional'!A208)</f>
        <v>0</v>
      </c>
      <c r="DB207" s="39" t="str">
        <f>'Por Valoracion (3) Dimension'!D207</f>
        <v>0</v>
      </c>
      <c r="DC207" s="39" t="str">
        <f>'Por Valoracion (3) Dimension 2'!B207</f>
        <v>0</v>
      </c>
      <c r="DX207" s="46"/>
      <c r="DZ207" t="str">
        <f>('Inteligencia emocional'!A208)</f>
        <v>0</v>
      </c>
      <c r="EA207" s="39" t="str">
        <f>'Por Valoracion (3) Dimension'!D207</f>
        <v>0</v>
      </c>
      <c r="EB207" s="39" t="str">
        <f>'Por Valoracion (3) Dimension 2'!D207</f>
        <v>0</v>
      </c>
      <c r="EW207" s="46"/>
      <c r="EY207" t="str">
        <f>('Inteligencia emocional'!A208)</f>
        <v>0</v>
      </c>
      <c r="EZ207" s="39" t="str">
        <f>'Por Valoracion (3) Dimension'!D207</f>
        <v>0</v>
      </c>
      <c r="FA207" s="39" t="str">
        <f>'Por Valoracion (3) Dimension 2'!F207</f>
        <v>0</v>
      </c>
      <c r="FV207" s="46"/>
      <c r="FX207" t="str">
        <f>('Inteligencia emocional'!A208)</f>
        <v>0</v>
      </c>
      <c r="FY207" s="39" t="str">
        <f>'Por Valoracion (3) Dimension'!D207</f>
        <v>0</v>
      </c>
      <c r="FZ207" s="39" t="str">
        <f>'Por Valoracion (3) Dimension 2'!H207</f>
        <v>0</v>
      </c>
      <c r="GU207" s="46"/>
      <c r="GW207" s="47"/>
      <c r="GY207" t="str">
        <f>('Inteligencia emocional'!A208)</f>
        <v>0</v>
      </c>
      <c r="GZ207" s="39" t="str">
        <f>'Por Valoracion (3) Dimension'!F207</f>
        <v>0</v>
      </c>
      <c r="HA207" s="39" t="str">
        <f>'Por Valoracion (3) Dimension 2'!B207</f>
        <v>0</v>
      </c>
      <c r="HV207" s="47"/>
      <c r="HX207" t="str">
        <f>('Inteligencia emocional'!A208)</f>
        <v>0</v>
      </c>
      <c r="HY207" s="39" t="str">
        <f>'Por Valoracion (3) Dimension'!F207</f>
        <v>0</v>
      </c>
      <c r="HZ207" s="39" t="str">
        <f>'Por Valoracion (3) Dimension 2'!D207</f>
        <v>0</v>
      </c>
      <c r="IU207" s="47"/>
      <c r="IW207" t="str">
        <f>('Inteligencia emocional'!A208)</f>
        <v>0</v>
      </c>
      <c r="IX207" s="39" t="str">
        <f>'Por Valoracion (3) Dimension'!F207</f>
        <v>0</v>
      </c>
      <c r="IY207" s="39" t="str">
        <f>'Por Valoracion (3) Dimension 2'!F207</f>
        <v>0</v>
      </c>
      <c r="JT207" s="47"/>
      <c r="JV207" t="str">
        <f>('Inteligencia emocional'!A208)</f>
        <v>0</v>
      </c>
      <c r="JW207" s="39" t="str">
        <f>'Por Valoracion (3) Dimension'!F207</f>
        <v>0</v>
      </c>
      <c r="JX207" s="39" t="str">
        <f>'Por Valoracion (3) Dimension 2'!H207</f>
        <v>0</v>
      </c>
      <c r="KS207" s="47"/>
    </row>
    <row r="208" spans="1:305">
      <c r="A208" s="38"/>
      <c r="C208" t="str">
        <f>('Inteligencia emocional'!A209)</f>
        <v>0</v>
      </c>
      <c r="D208" s="39" t="str">
        <f>'Por Valoracion (3) Dimension'!B208</f>
        <v>0</v>
      </c>
      <c r="E208" s="39" t="str">
        <f>'Por Valoracion (3) Dimension 2'!B208</f>
        <v>0</v>
      </c>
      <c r="Z208" s="38"/>
      <c r="AB208" t="str">
        <f>('Inteligencia emocional'!A209)</f>
        <v>0</v>
      </c>
      <c r="AC208" s="39" t="str">
        <f>'Por Valoracion (3) Dimension'!B208</f>
        <v>0</v>
      </c>
      <c r="AD208" s="39" t="str">
        <f>'Por Valoracion (3) Dimension 2'!D208</f>
        <v>0</v>
      </c>
      <c r="AY208" s="38"/>
      <c r="BA208" t="str">
        <f>('Inteligencia emocional'!A209)</f>
        <v>0</v>
      </c>
      <c r="BB208" s="39" t="str">
        <f>'Por Valoracion (3) Dimension'!B208</f>
        <v>0</v>
      </c>
      <c r="BC208" s="39" t="str">
        <f>'Por Valoracion (3) Dimension 2'!F208</f>
        <v>0</v>
      </c>
      <c r="BX208" s="38"/>
      <c r="BZ208" t="str">
        <f>('Inteligencia emocional'!A209)</f>
        <v>0</v>
      </c>
      <c r="CA208" s="39" t="str">
        <f>'Por Valoracion (3) Dimension'!B208</f>
        <v>0</v>
      </c>
      <c r="CB208" s="39" t="str">
        <f>'Por Valoracion (3) Dimension 2'!H208</f>
        <v>0</v>
      </c>
      <c r="CW208" s="38"/>
      <c r="CY208" s="46"/>
      <c r="DA208" t="str">
        <f>('Inteligencia emocional'!A209)</f>
        <v>0</v>
      </c>
      <c r="DB208" s="39" t="str">
        <f>'Por Valoracion (3) Dimension'!D208</f>
        <v>0</v>
      </c>
      <c r="DC208" s="39" t="str">
        <f>'Por Valoracion (3) Dimension 2'!B208</f>
        <v>0</v>
      </c>
      <c r="DX208" s="46"/>
      <c r="DZ208" t="str">
        <f>('Inteligencia emocional'!A209)</f>
        <v>0</v>
      </c>
      <c r="EA208" s="39" t="str">
        <f>'Por Valoracion (3) Dimension'!D208</f>
        <v>0</v>
      </c>
      <c r="EB208" s="39" t="str">
        <f>'Por Valoracion (3) Dimension 2'!D208</f>
        <v>0</v>
      </c>
      <c r="EW208" s="46"/>
      <c r="EY208" t="str">
        <f>('Inteligencia emocional'!A209)</f>
        <v>0</v>
      </c>
      <c r="EZ208" s="39" t="str">
        <f>'Por Valoracion (3) Dimension'!D208</f>
        <v>0</v>
      </c>
      <c r="FA208" s="39" t="str">
        <f>'Por Valoracion (3) Dimension 2'!F208</f>
        <v>0</v>
      </c>
      <c r="FV208" s="46"/>
      <c r="FX208" t="str">
        <f>('Inteligencia emocional'!A209)</f>
        <v>0</v>
      </c>
      <c r="FY208" s="39" t="str">
        <f>'Por Valoracion (3) Dimension'!D208</f>
        <v>0</v>
      </c>
      <c r="FZ208" s="39" t="str">
        <f>'Por Valoracion (3) Dimension 2'!H208</f>
        <v>0</v>
      </c>
      <c r="GU208" s="46"/>
      <c r="GW208" s="47"/>
      <c r="GY208" t="str">
        <f>('Inteligencia emocional'!A209)</f>
        <v>0</v>
      </c>
      <c r="GZ208" s="39" t="str">
        <f>'Por Valoracion (3) Dimension'!F208</f>
        <v>0</v>
      </c>
      <c r="HA208" s="39" t="str">
        <f>'Por Valoracion (3) Dimension 2'!B208</f>
        <v>0</v>
      </c>
      <c r="HV208" s="47"/>
      <c r="HX208" t="str">
        <f>('Inteligencia emocional'!A209)</f>
        <v>0</v>
      </c>
      <c r="HY208" s="39" t="str">
        <f>'Por Valoracion (3) Dimension'!F208</f>
        <v>0</v>
      </c>
      <c r="HZ208" s="39" t="str">
        <f>'Por Valoracion (3) Dimension 2'!D208</f>
        <v>0</v>
      </c>
      <c r="IU208" s="47"/>
      <c r="IW208" t="str">
        <f>('Inteligencia emocional'!A209)</f>
        <v>0</v>
      </c>
      <c r="IX208" s="39" t="str">
        <f>'Por Valoracion (3) Dimension'!F208</f>
        <v>0</v>
      </c>
      <c r="IY208" s="39" t="str">
        <f>'Por Valoracion (3) Dimension 2'!F208</f>
        <v>0</v>
      </c>
      <c r="JT208" s="47"/>
      <c r="JV208" t="str">
        <f>('Inteligencia emocional'!A209)</f>
        <v>0</v>
      </c>
      <c r="JW208" s="39" t="str">
        <f>'Por Valoracion (3) Dimension'!F208</f>
        <v>0</v>
      </c>
      <c r="JX208" s="39" t="str">
        <f>'Por Valoracion (3) Dimension 2'!H208</f>
        <v>0</v>
      </c>
      <c r="KS208" s="47"/>
    </row>
    <row r="209" spans="1:305">
      <c r="A209" s="38"/>
      <c r="C209" t="str">
        <f>('Inteligencia emocional'!A210)</f>
        <v>0</v>
      </c>
      <c r="D209" s="39" t="str">
        <f>'Por Valoracion (3) Dimension'!B209</f>
        <v>0</v>
      </c>
      <c r="E209" s="39" t="str">
        <f>'Por Valoracion (3) Dimension 2'!B209</f>
        <v>0</v>
      </c>
      <c r="Z209" s="38"/>
      <c r="AB209" t="str">
        <f>('Inteligencia emocional'!A210)</f>
        <v>0</v>
      </c>
      <c r="AC209" s="39" t="str">
        <f>'Por Valoracion (3) Dimension'!B209</f>
        <v>0</v>
      </c>
      <c r="AD209" s="39" t="str">
        <f>'Por Valoracion (3) Dimension 2'!D209</f>
        <v>0</v>
      </c>
      <c r="AY209" s="38"/>
      <c r="BA209" t="str">
        <f>('Inteligencia emocional'!A210)</f>
        <v>0</v>
      </c>
      <c r="BB209" s="39" t="str">
        <f>'Por Valoracion (3) Dimension'!B209</f>
        <v>0</v>
      </c>
      <c r="BC209" s="39" t="str">
        <f>'Por Valoracion (3) Dimension 2'!F209</f>
        <v>0</v>
      </c>
      <c r="BX209" s="38"/>
      <c r="BZ209" t="str">
        <f>('Inteligencia emocional'!A210)</f>
        <v>0</v>
      </c>
      <c r="CA209" s="39" t="str">
        <f>'Por Valoracion (3) Dimension'!B209</f>
        <v>0</v>
      </c>
      <c r="CB209" s="39" t="str">
        <f>'Por Valoracion (3) Dimension 2'!H209</f>
        <v>0</v>
      </c>
      <c r="CW209" s="38"/>
      <c r="CY209" s="46"/>
      <c r="DA209" t="str">
        <f>('Inteligencia emocional'!A210)</f>
        <v>0</v>
      </c>
      <c r="DB209" s="39" t="str">
        <f>'Por Valoracion (3) Dimension'!D209</f>
        <v>0</v>
      </c>
      <c r="DC209" s="39" t="str">
        <f>'Por Valoracion (3) Dimension 2'!B209</f>
        <v>0</v>
      </c>
      <c r="DX209" s="46"/>
      <c r="DZ209" t="str">
        <f>('Inteligencia emocional'!A210)</f>
        <v>0</v>
      </c>
      <c r="EA209" s="39" t="str">
        <f>'Por Valoracion (3) Dimension'!D209</f>
        <v>0</v>
      </c>
      <c r="EB209" s="39" t="str">
        <f>'Por Valoracion (3) Dimension 2'!D209</f>
        <v>0</v>
      </c>
      <c r="EW209" s="46"/>
      <c r="EY209" t="str">
        <f>('Inteligencia emocional'!A210)</f>
        <v>0</v>
      </c>
      <c r="EZ209" s="39" t="str">
        <f>'Por Valoracion (3) Dimension'!D209</f>
        <v>0</v>
      </c>
      <c r="FA209" s="39" t="str">
        <f>'Por Valoracion (3) Dimension 2'!F209</f>
        <v>0</v>
      </c>
      <c r="FV209" s="46"/>
      <c r="FX209" t="str">
        <f>('Inteligencia emocional'!A210)</f>
        <v>0</v>
      </c>
      <c r="FY209" s="39" t="str">
        <f>'Por Valoracion (3) Dimension'!D209</f>
        <v>0</v>
      </c>
      <c r="FZ209" s="39" t="str">
        <f>'Por Valoracion (3) Dimension 2'!H209</f>
        <v>0</v>
      </c>
      <c r="GU209" s="46"/>
      <c r="GW209" s="47"/>
      <c r="GY209" t="str">
        <f>('Inteligencia emocional'!A210)</f>
        <v>0</v>
      </c>
      <c r="GZ209" s="39" t="str">
        <f>'Por Valoracion (3) Dimension'!F209</f>
        <v>0</v>
      </c>
      <c r="HA209" s="39" t="str">
        <f>'Por Valoracion (3) Dimension 2'!B209</f>
        <v>0</v>
      </c>
      <c r="HV209" s="47"/>
      <c r="HX209" t="str">
        <f>('Inteligencia emocional'!A210)</f>
        <v>0</v>
      </c>
      <c r="HY209" s="39" t="str">
        <f>'Por Valoracion (3) Dimension'!F209</f>
        <v>0</v>
      </c>
      <c r="HZ209" s="39" t="str">
        <f>'Por Valoracion (3) Dimension 2'!D209</f>
        <v>0</v>
      </c>
      <c r="IU209" s="47"/>
      <c r="IW209" t="str">
        <f>('Inteligencia emocional'!A210)</f>
        <v>0</v>
      </c>
      <c r="IX209" s="39" t="str">
        <f>'Por Valoracion (3) Dimension'!F209</f>
        <v>0</v>
      </c>
      <c r="IY209" s="39" t="str">
        <f>'Por Valoracion (3) Dimension 2'!F209</f>
        <v>0</v>
      </c>
      <c r="JT209" s="47"/>
      <c r="JV209" t="str">
        <f>('Inteligencia emocional'!A210)</f>
        <v>0</v>
      </c>
      <c r="JW209" s="39" t="str">
        <f>'Por Valoracion (3) Dimension'!F209</f>
        <v>0</v>
      </c>
      <c r="JX209" s="39" t="str">
        <f>'Por Valoracion (3) Dimension 2'!H209</f>
        <v>0</v>
      </c>
      <c r="KS209" s="47"/>
    </row>
    <row r="210" spans="1:305">
      <c r="A210" s="38"/>
      <c r="C210" t="str">
        <f>('Inteligencia emocional'!A211)</f>
        <v>0</v>
      </c>
      <c r="D210" s="39" t="str">
        <f>'Por Valoracion (3) Dimension'!B210</f>
        <v>0</v>
      </c>
      <c r="E210" s="39" t="str">
        <f>'Por Valoracion (3) Dimension 2'!B210</f>
        <v>0</v>
      </c>
      <c r="Z210" s="38"/>
      <c r="AB210" t="str">
        <f>('Inteligencia emocional'!A211)</f>
        <v>0</v>
      </c>
      <c r="AC210" s="39" t="str">
        <f>'Por Valoracion (3) Dimension'!B210</f>
        <v>0</v>
      </c>
      <c r="AD210" s="39" t="str">
        <f>'Por Valoracion (3) Dimension 2'!D210</f>
        <v>0</v>
      </c>
      <c r="AY210" s="38"/>
      <c r="BA210" t="str">
        <f>('Inteligencia emocional'!A211)</f>
        <v>0</v>
      </c>
      <c r="BB210" s="39" t="str">
        <f>'Por Valoracion (3) Dimension'!B210</f>
        <v>0</v>
      </c>
      <c r="BC210" s="39" t="str">
        <f>'Por Valoracion (3) Dimension 2'!F210</f>
        <v>0</v>
      </c>
      <c r="BX210" s="38"/>
      <c r="BZ210" t="str">
        <f>('Inteligencia emocional'!A211)</f>
        <v>0</v>
      </c>
      <c r="CA210" s="39" t="str">
        <f>'Por Valoracion (3) Dimension'!B210</f>
        <v>0</v>
      </c>
      <c r="CB210" s="39" t="str">
        <f>'Por Valoracion (3) Dimension 2'!H210</f>
        <v>0</v>
      </c>
      <c r="CW210" s="38"/>
      <c r="CY210" s="46"/>
      <c r="DA210" t="str">
        <f>('Inteligencia emocional'!A211)</f>
        <v>0</v>
      </c>
      <c r="DB210" s="39" t="str">
        <f>'Por Valoracion (3) Dimension'!D210</f>
        <v>0</v>
      </c>
      <c r="DC210" s="39" t="str">
        <f>'Por Valoracion (3) Dimension 2'!B210</f>
        <v>0</v>
      </c>
      <c r="DX210" s="46"/>
      <c r="DZ210" t="str">
        <f>('Inteligencia emocional'!A211)</f>
        <v>0</v>
      </c>
      <c r="EA210" s="39" t="str">
        <f>'Por Valoracion (3) Dimension'!D210</f>
        <v>0</v>
      </c>
      <c r="EB210" s="39" t="str">
        <f>'Por Valoracion (3) Dimension 2'!D210</f>
        <v>0</v>
      </c>
      <c r="EW210" s="46"/>
      <c r="EY210" t="str">
        <f>('Inteligencia emocional'!A211)</f>
        <v>0</v>
      </c>
      <c r="EZ210" s="39" t="str">
        <f>'Por Valoracion (3) Dimension'!D210</f>
        <v>0</v>
      </c>
      <c r="FA210" s="39" t="str">
        <f>'Por Valoracion (3) Dimension 2'!F210</f>
        <v>0</v>
      </c>
      <c r="FV210" s="46"/>
      <c r="FX210" t="str">
        <f>('Inteligencia emocional'!A211)</f>
        <v>0</v>
      </c>
      <c r="FY210" s="39" t="str">
        <f>'Por Valoracion (3) Dimension'!D210</f>
        <v>0</v>
      </c>
      <c r="FZ210" s="39" t="str">
        <f>'Por Valoracion (3) Dimension 2'!H210</f>
        <v>0</v>
      </c>
      <c r="GU210" s="46"/>
      <c r="GW210" s="47"/>
      <c r="GY210" t="str">
        <f>('Inteligencia emocional'!A211)</f>
        <v>0</v>
      </c>
      <c r="GZ210" s="39" t="str">
        <f>'Por Valoracion (3) Dimension'!F210</f>
        <v>0</v>
      </c>
      <c r="HA210" s="39" t="str">
        <f>'Por Valoracion (3) Dimension 2'!B210</f>
        <v>0</v>
      </c>
      <c r="HV210" s="47"/>
      <c r="HX210" t="str">
        <f>('Inteligencia emocional'!A211)</f>
        <v>0</v>
      </c>
      <c r="HY210" s="39" t="str">
        <f>'Por Valoracion (3) Dimension'!F210</f>
        <v>0</v>
      </c>
      <c r="HZ210" s="39" t="str">
        <f>'Por Valoracion (3) Dimension 2'!D210</f>
        <v>0</v>
      </c>
      <c r="IU210" s="47"/>
      <c r="IW210" t="str">
        <f>('Inteligencia emocional'!A211)</f>
        <v>0</v>
      </c>
      <c r="IX210" s="39" t="str">
        <f>'Por Valoracion (3) Dimension'!F210</f>
        <v>0</v>
      </c>
      <c r="IY210" s="39" t="str">
        <f>'Por Valoracion (3) Dimension 2'!F210</f>
        <v>0</v>
      </c>
      <c r="JT210" s="47"/>
      <c r="JV210" t="str">
        <f>('Inteligencia emocional'!A211)</f>
        <v>0</v>
      </c>
      <c r="JW210" s="39" t="str">
        <f>'Por Valoracion (3) Dimension'!F210</f>
        <v>0</v>
      </c>
      <c r="JX210" s="39" t="str">
        <f>'Por Valoracion (3) Dimension 2'!H210</f>
        <v>0</v>
      </c>
      <c r="KS210" s="47"/>
    </row>
    <row r="211" spans="1:305">
      <c r="A211" s="38"/>
      <c r="C211" t="str">
        <f>('Inteligencia emocional'!A212)</f>
        <v>0</v>
      </c>
      <c r="D211" s="39" t="str">
        <f>'Por Valoracion (3) Dimension'!B211</f>
        <v>0</v>
      </c>
      <c r="E211" s="39" t="str">
        <f>'Por Valoracion (3) Dimension 2'!B211</f>
        <v>0</v>
      </c>
      <c r="Z211" s="38"/>
      <c r="AB211" t="str">
        <f>('Inteligencia emocional'!A212)</f>
        <v>0</v>
      </c>
      <c r="AC211" s="39" t="str">
        <f>'Por Valoracion (3) Dimension'!B211</f>
        <v>0</v>
      </c>
      <c r="AD211" s="39" t="str">
        <f>'Por Valoracion (3) Dimension 2'!D211</f>
        <v>0</v>
      </c>
      <c r="AY211" s="38"/>
      <c r="BA211" t="str">
        <f>('Inteligencia emocional'!A212)</f>
        <v>0</v>
      </c>
      <c r="BB211" s="39" t="str">
        <f>'Por Valoracion (3) Dimension'!B211</f>
        <v>0</v>
      </c>
      <c r="BC211" s="39" t="str">
        <f>'Por Valoracion (3) Dimension 2'!F211</f>
        <v>0</v>
      </c>
      <c r="BX211" s="38"/>
      <c r="BZ211" t="str">
        <f>('Inteligencia emocional'!A212)</f>
        <v>0</v>
      </c>
      <c r="CA211" s="39" t="str">
        <f>'Por Valoracion (3) Dimension'!B211</f>
        <v>0</v>
      </c>
      <c r="CB211" s="39" t="str">
        <f>'Por Valoracion (3) Dimension 2'!H211</f>
        <v>0</v>
      </c>
      <c r="CW211" s="38"/>
      <c r="CY211" s="46"/>
      <c r="DA211" t="str">
        <f>('Inteligencia emocional'!A212)</f>
        <v>0</v>
      </c>
      <c r="DB211" s="39" t="str">
        <f>'Por Valoracion (3) Dimension'!D211</f>
        <v>0</v>
      </c>
      <c r="DC211" s="39" t="str">
        <f>'Por Valoracion (3) Dimension 2'!B211</f>
        <v>0</v>
      </c>
      <c r="DX211" s="46"/>
      <c r="DZ211" t="str">
        <f>('Inteligencia emocional'!A212)</f>
        <v>0</v>
      </c>
      <c r="EA211" s="39" t="str">
        <f>'Por Valoracion (3) Dimension'!D211</f>
        <v>0</v>
      </c>
      <c r="EB211" s="39" t="str">
        <f>'Por Valoracion (3) Dimension 2'!D211</f>
        <v>0</v>
      </c>
      <c r="EW211" s="46"/>
      <c r="EY211" t="str">
        <f>('Inteligencia emocional'!A212)</f>
        <v>0</v>
      </c>
      <c r="EZ211" s="39" t="str">
        <f>'Por Valoracion (3) Dimension'!D211</f>
        <v>0</v>
      </c>
      <c r="FA211" s="39" t="str">
        <f>'Por Valoracion (3) Dimension 2'!F211</f>
        <v>0</v>
      </c>
      <c r="FV211" s="46"/>
      <c r="FX211" t="str">
        <f>('Inteligencia emocional'!A212)</f>
        <v>0</v>
      </c>
      <c r="FY211" s="39" t="str">
        <f>'Por Valoracion (3) Dimension'!D211</f>
        <v>0</v>
      </c>
      <c r="FZ211" s="39" t="str">
        <f>'Por Valoracion (3) Dimension 2'!H211</f>
        <v>0</v>
      </c>
      <c r="GU211" s="46"/>
      <c r="GW211" s="47"/>
      <c r="GY211" t="str">
        <f>('Inteligencia emocional'!A212)</f>
        <v>0</v>
      </c>
      <c r="GZ211" s="39" t="str">
        <f>'Por Valoracion (3) Dimension'!F211</f>
        <v>0</v>
      </c>
      <c r="HA211" s="39" t="str">
        <f>'Por Valoracion (3) Dimension 2'!B211</f>
        <v>0</v>
      </c>
      <c r="HV211" s="47"/>
      <c r="HX211" t="str">
        <f>('Inteligencia emocional'!A212)</f>
        <v>0</v>
      </c>
      <c r="HY211" s="39" t="str">
        <f>'Por Valoracion (3) Dimension'!F211</f>
        <v>0</v>
      </c>
      <c r="HZ211" s="39" t="str">
        <f>'Por Valoracion (3) Dimension 2'!D211</f>
        <v>0</v>
      </c>
      <c r="IU211" s="47"/>
      <c r="IW211" t="str">
        <f>('Inteligencia emocional'!A212)</f>
        <v>0</v>
      </c>
      <c r="IX211" s="39" t="str">
        <f>'Por Valoracion (3) Dimension'!F211</f>
        <v>0</v>
      </c>
      <c r="IY211" s="39" t="str">
        <f>'Por Valoracion (3) Dimension 2'!F211</f>
        <v>0</v>
      </c>
      <c r="JT211" s="47"/>
      <c r="JV211" t="str">
        <f>('Inteligencia emocional'!A212)</f>
        <v>0</v>
      </c>
      <c r="JW211" s="39" t="str">
        <f>'Por Valoracion (3) Dimension'!F211</f>
        <v>0</v>
      </c>
      <c r="JX211" s="39" t="str">
        <f>'Por Valoracion (3) Dimension 2'!H211</f>
        <v>0</v>
      </c>
      <c r="KS211" s="47"/>
    </row>
    <row r="212" spans="1:305">
      <c r="A212" s="38"/>
      <c r="C212" t="str">
        <f>('Inteligencia emocional'!A213)</f>
        <v>0</v>
      </c>
      <c r="D212" s="39" t="str">
        <f>'Por Valoracion (3) Dimension'!B212</f>
        <v>0</v>
      </c>
      <c r="E212" s="39" t="str">
        <f>'Por Valoracion (3) Dimension 2'!B212</f>
        <v>0</v>
      </c>
      <c r="Z212" s="38"/>
      <c r="AB212" t="str">
        <f>('Inteligencia emocional'!A213)</f>
        <v>0</v>
      </c>
      <c r="AC212" s="39" t="str">
        <f>'Por Valoracion (3) Dimension'!B212</f>
        <v>0</v>
      </c>
      <c r="AD212" s="39" t="str">
        <f>'Por Valoracion (3) Dimension 2'!D212</f>
        <v>0</v>
      </c>
      <c r="AY212" s="38"/>
      <c r="BA212" t="str">
        <f>('Inteligencia emocional'!A213)</f>
        <v>0</v>
      </c>
      <c r="BB212" s="39" t="str">
        <f>'Por Valoracion (3) Dimension'!B212</f>
        <v>0</v>
      </c>
      <c r="BC212" s="39" t="str">
        <f>'Por Valoracion (3) Dimension 2'!F212</f>
        <v>0</v>
      </c>
      <c r="BX212" s="38"/>
      <c r="BZ212" t="str">
        <f>('Inteligencia emocional'!A213)</f>
        <v>0</v>
      </c>
      <c r="CA212" s="39" t="str">
        <f>'Por Valoracion (3) Dimension'!B212</f>
        <v>0</v>
      </c>
      <c r="CB212" s="39" t="str">
        <f>'Por Valoracion (3) Dimension 2'!H212</f>
        <v>0</v>
      </c>
      <c r="CW212" s="38"/>
      <c r="CY212" s="46"/>
      <c r="DA212" t="str">
        <f>('Inteligencia emocional'!A213)</f>
        <v>0</v>
      </c>
      <c r="DB212" s="39" t="str">
        <f>'Por Valoracion (3) Dimension'!D212</f>
        <v>0</v>
      </c>
      <c r="DC212" s="39" t="str">
        <f>'Por Valoracion (3) Dimension 2'!B212</f>
        <v>0</v>
      </c>
      <c r="DX212" s="46"/>
      <c r="DZ212" t="str">
        <f>('Inteligencia emocional'!A213)</f>
        <v>0</v>
      </c>
      <c r="EA212" s="39" t="str">
        <f>'Por Valoracion (3) Dimension'!D212</f>
        <v>0</v>
      </c>
      <c r="EB212" s="39" t="str">
        <f>'Por Valoracion (3) Dimension 2'!D212</f>
        <v>0</v>
      </c>
      <c r="EW212" s="46"/>
      <c r="EY212" t="str">
        <f>('Inteligencia emocional'!A213)</f>
        <v>0</v>
      </c>
      <c r="EZ212" s="39" t="str">
        <f>'Por Valoracion (3) Dimension'!D212</f>
        <v>0</v>
      </c>
      <c r="FA212" s="39" t="str">
        <f>'Por Valoracion (3) Dimension 2'!F212</f>
        <v>0</v>
      </c>
      <c r="FV212" s="46"/>
      <c r="FX212" t="str">
        <f>('Inteligencia emocional'!A213)</f>
        <v>0</v>
      </c>
      <c r="FY212" s="39" t="str">
        <f>'Por Valoracion (3) Dimension'!D212</f>
        <v>0</v>
      </c>
      <c r="FZ212" s="39" t="str">
        <f>'Por Valoracion (3) Dimension 2'!H212</f>
        <v>0</v>
      </c>
      <c r="GU212" s="46"/>
      <c r="GW212" s="47"/>
      <c r="GY212" t="str">
        <f>('Inteligencia emocional'!A213)</f>
        <v>0</v>
      </c>
      <c r="GZ212" s="39" t="str">
        <f>'Por Valoracion (3) Dimension'!F212</f>
        <v>0</v>
      </c>
      <c r="HA212" s="39" t="str">
        <f>'Por Valoracion (3) Dimension 2'!B212</f>
        <v>0</v>
      </c>
      <c r="HV212" s="47"/>
      <c r="HX212" t="str">
        <f>('Inteligencia emocional'!A213)</f>
        <v>0</v>
      </c>
      <c r="HY212" s="39" t="str">
        <f>'Por Valoracion (3) Dimension'!F212</f>
        <v>0</v>
      </c>
      <c r="HZ212" s="39" t="str">
        <f>'Por Valoracion (3) Dimension 2'!D212</f>
        <v>0</v>
      </c>
      <c r="IU212" s="47"/>
      <c r="IW212" t="str">
        <f>('Inteligencia emocional'!A213)</f>
        <v>0</v>
      </c>
      <c r="IX212" s="39" t="str">
        <f>'Por Valoracion (3) Dimension'!F212</f>
        <v>0</v>
      </c>
      <c r="IY212" s="39" t="str">
        <f>'Por Valoracion (3) Dimension 2'!F212</f>
        <v>0</v>
      </c>
      <c r="JT212" s="47"/>
      <c r="JV212" t="str">
        <f>('Inteligencia emocional'!A213)</f>
        <v>0</v>
      </c>
      <c r="JW212" s="39" t="str">
        <f>'Por Valoracion (3) Dimension'!F212</f>
        <v>0</v>
      </c>
      <c r="JX212" s="39" t="str">
        <f>'Por Valoracion (3) Dimension 2'!H212</f>
        <v>0</v>
      </c>
      <c r="KS212" s="47"/>
    </row>
    <row r="213" spans="1:305">
      <c r="A213" s="38"/>
      <c r="C213" t="str">
        <f>('Inteligencia emocional'!A214)</f>
        <v>0</v>
      </c>
      <c r="D213" s="39" t="str">
        <f>'Por Valoracion (3) Dimension'!B213</f>
        <v>0</v>
      </c>
      <c r="E213" s="39" t="str">
        <f>'Por Valoracion (3) Dimension 2'!B213</f>
        <v>0</v>
      </c>
      <c r="Z213" s="38"/>
      <c r="AB213" t="str">
        <f>('Inteligencia emocional'!A214)</f>
        <v>0</v>
      </c>
      <c r="AC213" s="39" t="str">
        <f>'Por Valoracion (3) Dimension'!B213</f>
        <v>0</v>
      </c>
      <c r="AD213" s="39" t="str">
        <f>'Por Valoracion (3) Dimension 2'!D213</f>
        <v>0</v>
      </c>
      <c r="AY213" s="38"/>
      <c r="BA213" t="str">
        <f>('Inteligencia emocional'!A214)</f>
        <v>0</v>
      </c>
      <c r="BB213" s="39" t="str">
        <f>'Por Valoracion (3) Dimension'!B213</f>
        <v>0</v>
      </c>
      <c r="BC213" s="39" t="str">
        <f>'Por Valoracion (3) Dimension 2'!F213</f>
        <v>0</v>
      </c>
      <c r="BX213" s="38"/>
      <c r="BZ213" t="str">
        <f>('Inteligencia emocional'!A214)</f>
        <v>0</v>
      </c>
      <c r="CA213" s="39" t="str">
        <f>'Por Valoracion (3) Dimension'!B213</f>
        <v>0</v>
      </c>
      <c r="CB213" s="39" t="str">
        <f>'Por Valoracion (3) Dimension 2'!H213</f>
        <v>0</v>
      </c>
      <c r="CW213" s="38"/>
      <c r="CY213" s="46"/>
      <c r="DA213" t="str">
        <f>('Inteligencia emocional'!A214)</f>
        <v>0</v>
      </c>
      <c r="DB213" s="39" t="str">
        <f>'Por Valoracion (3) Dimension'!D213</f>
        <v>0</v>
      </c>
      <c r="DC213" s="39" t="str">
        <f>'Por Valoracion (3) Dimension 2'!B213</f>
        <v>0</v>
      </c>
      <c r="DX213" s="46"/>
      <c r="DZ213" t="str">
        <f>('Inteligencia emocional'!A214)</f>
        <v>0</v>
      </c>
      <c r="EA213" s="39" t="str">
        <f>'Por Valoracion (3) Dimension'!D213</f>
        <v>0</v>
      </c>
      <c r="EB213" s="39" t="str">
        <f>'Por Valoracion (3) Dimension 2'!D213</f>
        <v>0</v>
      </c>
      <c r="EW213" s="46"/>
      <c r="EY213" t="str">
        <f>('Inteligencia emocional'!A214)</f>
        <v>0</v>
      </c>
      <c r="EZ213" s="39" t="str">
        <f>'Por Valoracion (3) Dimension'!D213</f>
        <v>0</v>
      </c>
      <c r="FA213" s="39" t="str">
        <f>'Por Valoracion (3) Dimension 2'!F213</f>
        <v>0</v>
      </c>
      <c r="FV213" s="46"/>
      <c r="FX213" t="str">
        <f>('Inteligencia emocional'!A214)</f>
        <v>0</v>
      </c>
      <c r="FY213" s="39" t="str">
        <f>'Por Valoracion (3) Dimension'!D213</f>
        <v>0</v>
      </c>
      <c r="FZ213" s="39" t="str">
        <f>'Por Valoracion (3) Dimension 2'!H213</f>
        <v>0</v>
      </c>
      <c r="GU213" s="46"/>
      <c r="GW213" s="47"/>
      <c r="GY213" t="str">
        <f>('Inteligencia emocional'!A214)</f>
        <v>0</v>
      </c>
      <c r="GZ213" s="39" t="str">
        <f>'Por Valoracion (3) Dimension'!F213</f>
        <v>0</v>
      </c>
      <c r="HA213" s="39" t="str">
        <f>'Por Valoracion (3) Dimension 2'!B213</f>
        <v>0</v>
      </c>
      <c r="HV213" s="47"/>
      <c r="HX213" t="str">
        <f>('Inteligencia emocional'!A214)</f>
        <v>0</v>
      </c>
      <c r="HY213" s="39" t="str">
        <f>'Por Valoracion (3) Dimension'!F213</f>
        <v>0</v>
      </c>
      <c r="HZ213" s="39" t="str">
        <f>'Por Valoracion (3) Dimension 2'!D213</f>
        <v>0</v>
      </c>
      <c r="IU213" s="47"/>
      <c r="IW213" t="str">
        <f>('Inteligencia emocional'!A214)</f>
        <v>0</v>
      </c>
      <c r="IX213" s="39" t="str">
        <f>'Por Valoracion (3) Dimension'!F213</f>
        <v>0</v>
      </c>
      <c r="IY213" s="39" t="str">
        <f>'Por Valoracion (3) Dimension 2'!F213</f>
        <v>0</v>
      </c>
      <c r="JT213" s="47"/>
      <c r="JV213" t="str">
        <f>('Inteligencia emocional'!A214)</f>
        <v>0</v>
      </c>
      <c r="JW213" s="39" t="str">
        <f>'Por Valoracion (3) Dimension'!F213</f>
        <v>0</v>
      </c>
      <c r="JX213" s="39" t="str">
        <f>'Por Valoracion (3) Dimension 2'!H213</f>
        <v>0</v>
      </c>
      <c r="KS213" s="47"/>
    </row>
    <row r="214" spans="1:305">
      <c r="A214" s="38"/>
      <c r="C214" t="str">
        <f>('Inteligencia emocional'!A215)</f>
        <v>0</v>
      </c>
      <c r="D214" s="39" t="str">
        <f>'Por Valoracion (3) Dimension'!B214</f>
        <v>0</v>
      </c>
      <c r="E214" s="39" t="str">
        <f>'Por Valoracion (3) Dimension 2'!B214</f>
        <v>0</v>
      </c>
      <c r="Z214" s="38"/>
      <c r="AB214" t="str">
        <f>('Inteligencia emocional'!A215)</f>
        <v>0</v>
      </c>
      <c r="AC214" s="39" t="str">
        <f>'Por Valoracion (3) Dimension'!B214</f>
        <v>0</v>
      </c>
      <c r="AD214" s="39" t="str">
        <f>'Por Valoracion (3) Dimension 2'!D214</f>
        <v>0</v>
      </c>
      <c r="AY214" s="38"/>
      <c r="BA214" t="str">
        <f>('Inteligencia emocional'!A215)</f>
        <v>0</v>
      </c>
      <c r="BB214" s="39" t="str">
        <f>'Por Valoracion (3) Dimension'!B214</f>
        <v>0</v>
      </c>
      <c r="BC214" s="39" t="str">
        <f>'Por Valoracion (3) Dimension 2'!F214</f>
        <v>0</v>
      </c>
      <c r="BX214" s="38"/>
      <c r="BZ214" t="str">
        <f>('Inteligencia emocional'!A215)</f>
        <v>0</v>
      </c>
      <c r="CA214" s="39" t="str">
        <f>'Por Valoracion (3) Dimension'!B214</f>
        <v>0</v>
      </c>
      <c r="CB214" s="39" t="str">
        <f>'Por Valoracion (3) Dimension 2'!H214</f>
        <v>0</v>
      </c>
      <c r="CW214" s="38"/>
      <c r="CY214" s="46"/>
      <c r="DA214" t="str">
        <f>('Inteligencia emocional'!A215)</f>
        <v>0</v>
      </c>
      <c r="DB214" s="39" t="str">
        <f>'Por Valoracion (3) Dimension'!D214</f>
        <v>0</v>
      </c>
      <c r="DC214" s="39" t="str">
        <f>'Por Valoracion (3) Dimension 2'!B214</f>
        <v>0</v>
      </c>
      <c r="DX214" s="46"/>
      <c r="DZ214" t="str">
        <f>('Inteligencia emocional'!A215)</f>
        <v>0</v>
      </c>
      <c r="EA214" s="39" t="str">
        <f>'Por Valoracion (3) Dimension'!D214</f>
        <v>0</v>
      </c>
      <c r="EB214" s="39" t="str">
        <f>'Por Valoracion (3) Dimension 2'!D214</f>
        <v>0</v>
      </c>
      <c r="EW214" s="46"/>
      <c r="EY214" t="str">
        <f>('Inteligencia emocional'!A215)</f>
        <v>0</v>
      </c>
      <c r="EZ214" s="39" t="str">
        <f>'Por Valoracion (3) Dimension'!D214</f>
        <v>0</v>
      </c>
      <c r="FA214" s="39" t="str">
        <f>'Por Valoracion (3) Dimension 2'!F214</f>
        <v>0</v>
      </c>
      <c r="FV214" s="46"/>
      <c r="FX214" t="str">
        <f>('Inteligencia emocional'!A215)</f>
        <v>0</v>
      </c>
      <c r="FY214" s="39" t="str">
        <f>'Por Valoracion (3) Dimension'!D214</f>
        <v>0</v>
      </c>
      <c r="FZ214" s="39" t="str">
        <f>'Por Valoracion (3) Dimension 2'!H214</f>
        <v>0</v>
      </c>
      <c r="GU214" s="46"/>
      <c r="GW214" s="47"/>
      <c r="GY214" t="str">
        <f>('Inteligencia emocional'!A215)</f>
        <v>0</v>
      </c>
      <c r="GZ214" s="39" t="str">
        <f>'Por Valoracion (3) Dimension'!F214</f>
        <v>0</v>
      </c>
      <c r="HA214" s="39" t="str">
        <f>'Por Valoracion (3) Dimension 2'!B214</f>
        <v>0</v>
      </c>
      <c r="HV214" s="47"/>
      <c r="HX214" t="str">
        <f>('Inteligencia emocional'!A215)</f>
        <v>0</v>
      </c>
      <c r="HY214" s="39" t="str">
        <f>'Por Valoracion (3) Dimension'!F214</f>
        <v>0</v>
      </c>
      <c r="HZ214" s="39" t="str">
        <f>'Por Valoracion (3) Dimension 2'!D214</f>
        <v>0</v>
      </c>
      <c r="IU214" s="47"/>
      <c r="IW214" t="str">
        <f>('Inteligencia emocional'!A215)</f>
        <v>0</v>
      </c>
      <c r="IX214" s="39" t="str">
        <f>'Por Valoracion (3) Dimension'!F214</f>
        <v>0</v>
      </c>
      <c r="IY214" s="39" t="str">
        <f>'Por Valoracion (3) Dimension 2'!F214</f>
        <v>0</v>
      </c>
      <c r="JT214" s="47"/>
      <c r="JV214" t="str">
        <f>('Inteligencia emocional'!A215)</f>
        <v>0</v>
      </c>
      <c r="JW214" s="39" t="str">
        <f>'Por Valoracion (3) Dimension'!F214</f>
        <v>0</v>
      </c>
      <c r="JX214" s="39" t="str">
        <f>'Por Valoracion (3) Dimension 2'!H214</f>
        <v>0</v>
      </c>
      <c r="KS214" s="47"/>
    </row>
    <row r="215" spans="1:305">
      <c r="A215" s="38"/>
      <c r="C215" t="str">
        <f>('Inteligencia emocional'!A216)</f>
        <v>0</v>
      </c>
      <c r="D215" s="39" t="str">
        <f>'Por Valoracion (3) Dimension'!B215</f>
        <v>0</v>
      </c>
      <c r="E215" s="39" t="str">
        <f>'Por Valoracion (3) Dimension 2'!B215</f>
        <v>0</v>
      </c>
      <c r="Z215" s="38"/>
      <c r="AB215" t="str">
        <f>('Inteligencia emocional'!A216)</f>
        <v>0</v>
      </c>
      <c r="AC215" s="39" t="str">
        <f>'Por Valoracion (3) Dimension'!B215</f>
        <v>0</v>
      </c>
      <c r="AD215" s="39" t="str">
        <f>'Por Valoracion (3) Dimension 2'!D215</f>
        <v>0</v>
      </c>
      <c r="AY215" s="38"/>
      <c r="BA215" t="str">
        <f>('Inteligencia emocional'!A216)</f>
        <v>0</v>
      </c>
      <c r="BB215" s="39" t="str">
        <f>'Por Valoracion (3) Dimension'!B215</f>
        <v>0</v>
      </c>
      <c r="BC215" s="39" t="str">
        <f>'Por Valoracion (3) Dimension 2'!F215</f>
        <v>0</v>
      </c>
      <c r="BX215" s="38"/>
      <c r="BZ215" t="str">
        <f>('Inteligencia emocional'!A216)</f>
        <v>0</v>
      </c>
      <c r="CA215" s="39" t="str">
        <f>'Por Valoracion (3) Dimension'!B215</f>
        <v>0</v>
      </c>
      <c r="CB215" s="39" t="str">
        <f>'Por Valoracion (3) Dimension 2'!H215</f>
        <v>0</v>
      </c>
      <c r="CW215" s="38"/>
      <c r="CY215" s="46"/>
      <c r="DA215" t="str">
        <f>('Inteligencia emocional'!A216)</f>
        <v>0</v>
      </c>
      <c r="DB215" s="39" t="str">
        <f>'Por Valoracion (3) Dimension'!D215</f>
        <v>0</v>
      </c>
      <c r="DC215" s="39" t="str">
        <f>'Por Valoracion (3) Dimension 2'!B215</f>
        <v>0</v>
      </c>
      <c r="DX215" s="46"/>
      <c r="DZ215" t="str">
        <f>('Inteligencia emocional'!A216)</f>
        <v>0</v>
      </c>
      <c r="EA215" s="39" t="str">
        <f>'Por Valoracion (3) Dimension'!D215</f>
        <v>0</v>
      </c>
      <c r="EB215" s="39" t="str">
        <f>'Por Valoracion (3) Dimension 2'!D215</f>
        <v>0</v>
      </c>
      <c r="EW215" s="46"/>
      <c r="EY215" t="str">
        <f>('Inteligencia emocional'!A216)</f>
        <v>0</v>
      </c>
      <c r="EZ215" s="39" t="str">
        <f>'Por Valoracion (3) Dimension'!D215</f>
        <v>0</v>
      </c>
      <c r="FA215" s="39" t="str">
        <f>'Por Valoracion (3) Dimension 2'!F215</f>
        <v>0</v>
      </c>
      <c r="FV215" s="46"/>
      <c r="FX215" t="str">
        <f>('Inteligencia emocional'!A216)</f>
        <v>0</v>
      </c>
      <c r="FY215" s="39" t="str">
        <f>'Por Valoracion (3) Dimension'!D215</f>
        <v>0</v>
      </c>
      <c r="FZ215" s="39" t="str">
        <f>'Por Valoracion (3) Dimension 2'!H215</f>
        <v>0</v>
      </c>
      <c r="GU215" s="46"/>
      <c r="GW215" s="47"/>
      <c r="GY215" t="str">
        <f>('Inteligencia emocional'!A216)</f>
        <v>0</v>
      </c>
      <c r="GZ215" s="39" t="str">
        <f>'Por Valoracion (3) Dimension'!F215</f>
        <v>0</v>
      </c>
      <c r="HA215" s="39" t="str">
        <f>'Por Valoracion (3) Dimension 2'!B215</f>
        <v>0</v>
      </c>
      <c r="HV215" s="47"/>
      <c r="HX215" t="str">
        <f>('Inteligencia emocional'!A216)</f>
        <v>0</v>
      </c>
      <c r="HY215" s="39" t="str">
        <f>'Por Valoracion (3) Dimension'!F215</f>
        <v>0</v>
      </c>
      <c r="HZ215" s="39" t="str">
        <f>'Por Valoracion (3) Dimension 2'!D215</f>
        <v>0</v>
      </c>
      <c r="IU215" s="47"/>
      <c r="IW215" t="str">
        <f>('Inteligencia emocional'!A216)</f>
        <v>0</v>
      </c>
      <c r="IX215" s="39" t="str">
        <f>'Por Valoracion (3) Dimension'!F215</f>
        <v>0</v>
      </c>
      <c r="IY215" s="39" t="str">
        <f>'Por Valoracion (3) Dimension 2'!F215</f>
        <v>0</v>
      </c>
      <c r="JT215" s="47"/>
      <c r="JV215" t="str">
        <f>('Inteligencia emocional'!A216)</f>
        <v>0</v>
      </c>
      <c r="JW215" s="39" t="str">
        <f>'Por Valoracion (3) Dimension'!F215</f>
        <v>0</v>
      </c>
      <c r="JX215" s="39" t="str">
        <f>'Por Valoracion (3) Dimension 2'!H215</f>
        <v>0</v>
      </c>
      <c r="KS215" s="47"/>
    </row>
    <row r="216" spans="1:305">
      <c r="A216" s="38"/>
      <c r="C216" t="str">
        <f>('Inteligencia emocional'!A217)</f>
        <v>0</v>
      </c>
      <c r="D216" s="39" t="str">
        <f>'Por Valoracion (3) Dimension'!B216</f>
        <v>0</v>
      </c>
      <c r="E216" s="39" t="str">
        <f>'Por Valoracion (3) Dimension 2'!B216</f>
        <v>0</v>
      </c>
      <c r="Z216" s="38"/>
      <c r="AB216" t="str">
        <f>('Inteligencia emocional'!A217)</f>
        <v>0</v>
      </c>
      <c r="AC216" s="39" t="str">
        <f>'Por Valoracion (3) Dimension'!B216</f>
        <v>0</v>
      </c>
      <c r="AD216" s="39" t="str">
        <f>'Por Valoracion (3) Dimension 2'!D216</f>
        <v>0</v>
      </c>
      <c r="AY216" s="38"/>
      <c r="BA216" t="str">
        <f>('Inteligencia emocional'!A217)</f>
        <v>0</v>
      </c>
      <c r="BB216" s="39" t="str">
        <f>'Por Valoracion (3) Dimension'!B216</f>
        <v>0</v>
      </c>
      <c r="BC216" s="39" t="str">
        <f>'Por Valoracion (3) Dimension 2'!F216</f>
        <v>0</v>
      </c>
      <c r="BX216" s="38"/>
      <c r="BZ216" t="str">
        <f>('Inteligencia emocional'!A217)</f>
        <v>0</v>
      </c>
      <c r="CA216" s="39" t="str">
        <f>'Por Valoracion (3) Dimension'!B216</f>
        <v>0</v>
      </c>
      <c r="CB216" s="39" t="str">
        <f>'Por Valoracion (3) Dimension 2'!H216</f>
        <v>0</v>
      </c>
      <c r="CW216" s="38"/>
      <c r="CY216" s="46"/>
      <c r="DA216" t="str">
        <f>('Inteligencia emocional'!A217)</f>
        <v>0</v>
      </c>
      <c r="DB216" s="39" t="str">
        <f>'Por Valoracion (3) Dimension'!D216</f>
        <v>0</v>
      </c>
      <c r="DC216" s="39" t="str">
        <f>'Por Valoracion (3) Dimension 2'!B216</f>
        <v>0</v>
      </c>
      <c r="DX216" s="46"/>
      <c r="DZ216" t="str">
        <f>('Inteligencia emocional'!A217)</f>
        <v>0</v>
      </c>
      <c r="EA216" s="39" t="str">
        <f>'Por Valoracion (3) Dimension'!D216</f>
        <v>0</v>
      </c>
      <c r="EB216" s="39" t="str">
        <f>'Por Valoracion (3) Dimension 2'!D216</f>
        <v>0</v>
      </c>
      <c r="EW216" s="46"/>
      <c r="EY216" t="str">
        <f>('Inteligencia emocional'!A217)</f>
        <v>0</v>
      </c>
      <c r="EZ216" s="39" t="str">
        <f>'Por Valoracion (3) Dimension'!D216</f>
        <v>0</v>
      </c>
      <c r="FA216" s="39" t="str">
        <f>'Por Valoracion (3) Dimension 2'!F216</f>
        <v>0</v>
      </c>
      <c r="FV216" s="46"/>
      <c r="FX216" t="str">
        <f>('Inteligencia emocional'!A217)</f>
        <v>0</v>
      </c>
      <c r="FY216" s="39" t="str">
        <f>'Por Valoracion (3) Dimension'!D216</f>
        <v>0</v>
      </c>
      <c r="FZ216" s="39" t="str">
        <f>'Por Valoracion (3) Dimension 2'!H216</f>
        <v>0</v>
      </c>
      <c r="GU216" s="46"/>
      <c r="GW216" s="47"/>
      <c r="GY216" t="str">
        <f>('Inteligencia emocional'!A217)</f>
        <v>0</v>
      </c>
      <c r="GZ216" s="39" t="str">
        <f>'Por Valoracion (3) Dimension'!F216</f>
        <v>0</v>
      </c>
      <c r="HA216" s="39" t="str">
        <f>'Por Valoracion (3) Dimension 2'!B216</f>
        <v>0</v>
      </c>
      <c r="HV216" s="47"/>
      <c r="HX216" t="str">
        <f>('Inteligencia emocional'!A217)</f>
        <v>0</v>
      </c>
      <c r="HY216" s="39" t="str">
        <f>'Por Valoracion (3) Dimension'!F216</f>
        <v>0</v>
      </c>
      <c r="HZ216" s="39" t="str">
        <f>'Por Valoracion (3) Dimension 2'!D216</f>
        <v>0</v>
      </c>
      <c r="IU216" s="47"/>
      <c r="IW216" t="str">
        <f>('Inteligencia emocional'!A217)</f>
        <v>0</v>
      </c>
      <c r="IX216" s="39" t="str">
        <f>'Por Valoracion (3) Dimension'!F216</f>
        <v>0</v>
      </c>
      <c r="IY216" s="39" t="str">
        <f>'Por Valoracion (3) Dimension 2'!F216</f>
        <v>0</v>
      </c>
      <c r="JT216" s="47"/>
      <c r="JV216" t="str">
        <f>('Inteligencia emocional'!A217)</f>
        <v>0</v>
      </c>
      <c r="JW216" s="39" t="str">
        <f>'Por Valoracion (3) Dimension'!F216</f>
        <v>0</v>
      </c>
      <c r="JX216" s="39" t="str">
        <f>'Por Valoracion (3) Dimension 2'!H216</f>
        <v>0</v>
      </c>
      <c r="KS216" s="47"/>
    </row>
    <row r="217" spans="1:305">
      <c r="A217" s="38"/>
      <c r="C217" t="str">
        <f>('Inteligencia emocional'!A218)</f>
        <v>0</v>
      </c>
      <c r="D217" s="39" t="str">
        <f>'Por Valoracion (3) Dimension'!B217</f>
        <v>0</v>
      </c>
      <c r="E217" s="39" t="str">
        <f>'Por Valoracion (3) Dimension 2'!B217</f>
        <v>0</v>
      </c>
      <c r="Z217" s="38"/>
      <c r="AB217" t="str">
        <f>('Inteligencia emocional'!A218)</f>
        <v>0</v>
      </c>
      <c r="AC217" s="39" t="str">
        <f>'Por Valoracion (3) Dimension'!B217</f>
        <v>0</v>
      </c>
      <c r="AD217" s="39" t="str">
        <f>'Por Valoracion (3) Dimension 2'!D217</f>
        <v>0</v>
      </c>
      <c r="AY217" s="38"/>
      <c r="BA217" t="str">
        <f>('Inteligencia emocional'!A218)</f>
        <v>0</v>
      </c>
      <c r="BB217" s="39" t="str">
        <f>'Por Valoracion (3) Dimension'!B217</f>
        <v>0</v>
      </c>
      <c r="BC217" s="39" t="str">
        <f>'Por Valoracion (3) Dimension 2'!F217</f>
        <v>0</v>
      </c>
      <c r="BX217" s="38"/>
      <c r="BZ217" t="str">
        <f>('Inteligencia emocional'!A218)</f>
        <v>0</v>
      </c>
      <c r="CA217" s="39" t="str">
        <f>'Por Valoracion (3) Dimension'!B217</f>
        <v>0</v>
      </c>
      <c r="CB217" s="39" t="str">
        <f>'Por Valoracion (3) Dimension 2'!H217</f>
        <v>0</v>
      </c>
      <c r="CW217" s="38"/>
      <c r="CY217" s="46"/>
      <c r="DA217" t="str">
        <f>('Inteligencia emocional'!A218)</f>
        <v>0</v>
      </c>
      <c r="DB217" s="39" t="str">
        <f>'Por Valoracion (3) Dimension'!D217</f>
        <v>0</v>
      </c>
      <c r="DC217" s="39" t="str">
        <f>'Por Valoracion (3) Dimension 2'!B217</f>
        <v>0</v>
      </c>
      <c r="DX217" s="46"/>
      <c r="DZ217" t="str">
        <f>('Inteligencia emocional'!A218)</f>
        <v>0</v>
      </c>
      <c r="EA217" s="39" t="str">
        <f>'Por Valoracion (3) Dimension'!D217</f>
        <v>0</v>
      </c>
      <c r="EB217" s="39" t="str">
        <f>'Por Valoracion (3) Dimension 2'!D217</f>
        <v>0</v>
      </c>
      <c r="EW217" s="46"/>
      <c r="EY217" t="str">
        <f>('Inteligencia emocional'!A218)</f>
        <v>0</v>
      </c>
      <c r="EZ217" s="39" t="str">
        <f>'Por Valoracion (3) Dimension'!D217</f>
        <v>0</v>
      </c>
      <c r="FA217" s="39" t="str">
        <f>'Por Valoracion (3) Dimension 2'!F217</f>
        <v>0</v>
      </c>
      <c r="FV217" s="46"/>
      <c r="FX217" t="str">
        <f>('Inteligencia emocional'!A218)</f>
        <v>0</v>
      </c>
      <c r="FY217" s="39" t="str">
        <f>'Por Valoracion (3) Dimension'!D217</f>
        <v>0</v>
      </c>
      <c r="FZ217" s="39" t="str">
        <f>'Por Valoracion (3) Dimension 2'!H217</f>
        <v>0</v>
      </c>
      <c r="GU217" s="46"/>
      <c r="GW217" s="47"/>
      <c r="GY217" t="str">
        <f>('Inteligencia emocional'!A218)</f>
        <v>0</v>
      </c>
      <c r="GZ217" s="39" t="str">
        <f>'Por Valoracion (3) Dimension'!F217</f>
        <v>0</v>
      </c>
      <c r="HA217" s="39" t="str">
        <f>'Por Valoracion (3) Dimension 2'!B217</f>
        <v>0</v>
      </c>
      <c r="HV217" s="47"/>
      <c r="HX217" t="str">
        <f>('Inteligencia emocional'!A218)</f>
        <v>0</v>
      </c>
      <c r="HY217" s="39" t="str">
        <f>'Por Valoracion (3) Dimension'!F217</f>
        <v>0</v>
      </c>
      <c r="HZ217" s="39" t="str">
        <f>'Por Valoracion (3) Dimension 2'!D217</f>
        <v>0</v>
      </c>
      <c r="IU217" s="47"/>
      <c r="IW217" t="str">
        <f>('Inteligencia emocional'!A218)</f>
        <v>0</v>
      </c>
      <c r="IX217" s="39" t="str">
        <f>'Por Valoracion (3) Dimension'!F217</f>
        <v>0</v>
      </c>
      <c r="IY217" s="39" t="str">
        <f>'Por Valoracion (3) Dimension 2'!F217</f>
        <v>0</v>
      </c>
      <c r="JT217" s="47"/>
      <c r="JV217" t="str">
        <f>('Inteligencia emocional'!A218)</f>
        <v>0</v>
      </c>
      <c r="JW217" s="39" t="str">
        <f>'Por Valoracion (3) Dimension'!F217</f>
        <v>0</v>
      </c>
      <c r="JX217" s="39" t="str">
        <f>'Por Valoracion (3) Dimension 2'!H217</f>
        <v>0</v>
      </c>
      <c r="KS217" s="47"/>
    </row>
    <row r="218" spans="1:305">
      <c r="A218" s="38"/>
      <c r="C218" t="str">
        <f>('Inteligencia emocional'!A219)</f>
        <v>0</v>
      </c>
      <c r="D218" s="39" t="str">
        <f>'Por Valoracion (3) Dimension'!B218</f>
        <v>0</v>
      </c>
      <c r="E218" s="39" t="str">
        <f>'Por Valoracion (3) Dimension 2'!B218</f>
        <v>0</v>
      </c>
      <c r="Z218" s="38"/>
      <c r="AB218" t="str">
        <f>('Inteligencia emocional'!A219)</f>
        <v>0</v>
      </c>
      <c r="AC218" s="39" t="str">
        <f>'Por Valoracion (3) Dimension'!B218</f>
        <v>0</v>
      </c>
      <c r="AD218" s="39" t="str">
        <f>'Por Valoracion (3) Dimension 2'!D218</f>
        <v>0</v>
      </c>
      <c r="AY218" s="38"/>
      <c r="BA218" t="str">
        <f>('Inteligencia emocional'!A219)</f>
        <v>0</v>
      </c>
      <c r="BB218" s="39" t="str">
        <f>'Por Valoracion (3) Dimension'!B218</f>
        <v>0</v>
      </c>
      <c r="BC218" s="39" t="str">
        <f>'Por Valoracion (3) Dimension 2'!F218</f>
        <v>0</v>
      </c>
      <c r="BX218" s="38"/>
      <c r="BZ218" t="str">
        <f>('Inteligencia emocional'!A219)</f>
        <v>0</v>
      </c>
      <c r="CA218" s="39" t="str">
        <f>'Por Valoracion (3) Dimension'!B218</f>
        <v>0</v>
      </c>
      <c r="CB218" s="39" t="str">
        <f>'Por Valoracion (3) Dimension 2'!H218</f>
        <v>0</v>
      </c>
      <c r="CW218" s="38"/>
      <c r="CY218" s="46"/>
      <c r="DA218" t="str">
        <f>('Inteligencia emocional'!A219)</f>
        <v>0</v>
      </c>
      <c r="DB218" s="39" t="str">
        <f>'Por Valoracion (3) Dimension'!D218</f>
        <v>0</v>
      </c>
      <c r="DC218" s="39" t="str">
        <f>'Por Valoracion (3) Dimension 2'!B218</f>
        <v>0</v>
      </c>
      <c r="DX218" s="46"/>
      <c r="DZ218" t="str">
        <f>('Inteligencia emocional'!A219)</f>
        <v>0</v>
      </c>
      <c r="EA218" s="39" t="str">
        <f>'Por Valoracion (3) Dimension'!D218</f>
        <v>0</v>
      </c>
      <c r="EB218" s="39" t="str">
        <f>'Por Valoracion (3) Dimension 2'!D218</f>
        <v>0</v>
      </c>
      <c r="EW218" s="46"/>
      <c r="EY218" t="str">
        <f>('Inteligencia emocional'!A219)</f>
        <v>0</v>
      </c>
      <c r="EZ218" s="39" t="str">
        <f>'Por Valoracion (3) Dimension'!D218</f>
        <v>0</v>
      </c>
      <c r="FA218" s="39" t="str">
        <f>'Por Valoracion (3) Dimension 2'!F218</f>
        <v>0</v>
      </c>
      <c r="FV218" s="46"/>
      <c r="FX218" t="str">
        <f>('Inteligencia emocional'!A219)</f>
        <v>0</v>
      </c>
      <c r="FY218" s="39" t="str">
        <f>'Por Valoracion (3) Dimension'!D218</f>
        <v>0</v>
      </c>
      <c r="FZ218" s="39" t="str">
        <f>'Por Valoracion (3) Dimension 2'!H218</f>
        <v>0</v>
      </c>
      <c r="GU218" s="46"/>
      <c r="GW218" s="47"/>
      <c r="GY218" t="str">
        <f>('Inteligencia emocional'!A219)</f>
        <v>0</v>
      </c>
      <c r="GZ218" s="39" t="str">
        <f>'Por Valoracion (3) Dimension'!F218</f>
        <v>0</v>
      </c>
      <c r="HA218" s="39" t="str">
        <f>'Por Valoracion (3) Dimension 2'!B218</f>
        <v>0</v>
      </c>
      <c r="HV218" s="47"/>
      <c r="HX218" t="str">
        <f>('Inteligencia emocional'!A219)</f>
        <v>0</v>
      </c>
      <c r="HY218" s="39" t="str">
        <f>'Por Valoracion (3) Dimension'!F218</f>
        <v>0</v>
      </c>
      <c r="HZ218" s="39" t="str">
        <f>'Por Valoracion (3) Dimension 2'!D218</f>
        <v>0</v>
      </c>
      <c r="IU218" s="47"/>
      <c r="IW218" t="str">
        <f>('Inteligencia emocional'!A219)</f>
        <v>0</v>
      </c>
      <c r="IX218" s="39" t="str">
        <f>'Por Valoracion (3) Dimension'!F218</f>
        <v>0</v>
      </c>
      <c r="IY218" s="39" t="str">
        <f>'Por Valoracion (3) Dimension 2'!F218</f>
        <v>0</v>
      </c>
      <c r="JT218" s="47"/>
      <c r="JV218" t="str">
        <f>('Inteligencia emocional'!A219)</f>
        <v>0</v>
      </c>
      <c r="JW218" s="39" t="str">
        <f>'Por Valoracion (3) Dimension'!F218</f>
        <v>0</v>
      </c>
      <c r="JX218" s="39" t="str">
        <f>'Por Valoracion (3) Dimension 2'!H218</f>
        <v>0</v>
      </c>
      <c r="KS218" s="47"/>
    </row>
    <row r="219" spans="1:305">
      <c r="A219" s="38"/>
      <c r="C219" t="str">
        <f>('Inteligencia emocional'!A220)</f>
        <v>0</v>
      </c>
      <c r="D219" s="39" t="str">
        <f>'Por Valoracion (3) Dimension'!B219</f>
        <v>0</v>
      </c>
      <c r="E219" s="39" t="str">
        <f>'Por Valoracion (3) Dimension 2'!B219</f>
        <v>0</v>
      </c>
      <c r="Z219" s="38"/>
      <c r="AB219" t="str">
        <f>('Inteligencia emocional'!A220)</f>
        <v>0</v>
      </c>
      <c r="AC219" s="39" t="str">
        <f>'Por Valoracion (3) Dimension'!B219</f>
        <v>0</v>
      </c>
      <c r="AD219" s="39" t="str">
        <f>'Por Valoracion (3) Dimension 2'!D219</f>
        <v>0</v>
      </c>
      <c r="AY219" s="38"/>
      <c r="BA219" t="str">
        <f>('Inteligencia emocional'!A220)</f>
        <v>0</v>
      </c>
      <c r="BB219" s="39" t="str">
        <f>'Por Valoracion (3) Dimension'!B219</f>
        <v>0</v>
      </c>
      <c r="BC219" s="39" t="str">
        <f>'Por Valoracion (3) Dimension 2'!F219</f>
        <v>0</v>
      </c>
      <c r="BX219" s="38"/>
      <c r="BZ219" t="str">
        <f>('Inteligencia emocional'!A220)</f>
        <v>0</v>
      </c>
      <c r="CA219" s="39" t="str">
        <f>'Por Valoracion (3) Dimension'!B219</f>
        <v>0</v>
      </c>
      <c r="CB219" s="39" t="str">
        <f>'Por Valoracion (3) Dimension 2'!H219</f>
        <v>0</v>
      </c>
      <c r="CW219" s="38"/>
      <c r="CY219" s="46"/>
      <c r="DA219" t="str">
        <f>('Inteligencia emocional'!A220)</f>
        <v>0</v>
      </c>
      <c r="DB219" s="39" t="str">
        <f>'Por Valoracion (3) Dimension'!D219</f>
        <v>0</v>
      </c>
      <c r="DC219" s="39" t="str">
        <f>'Por Valoracion (3) Dimension 2'!B219</f>
        <v>0</v>
      </c>
      <c r="DX219" s="46"/>
      <c r="DZ219" t="str">
        <f>('Inteligencia emocional'!A220)</f>
        <v>0</v>
      </c>
      <c r="EA219" s="39" t="str">
        <f>'Por Valoracion (3) Dimension'!D219</f>
        <v>0</v>
      </c>
      <c r="EB219" s="39" t="str">
        <f>'Por Valoracion (3) Dimension 2'!D219</f>
        <v>0</v>
      </c>
      <c r="EW219" s="46"/>
      <c r="EY219" t="str">
        <f>('Inteligencia emocional'!A220)</f>
        <v>0</v>
      </c>
      <c r="EZ219" s="39" t="str">
        <f>'Por Valoracion (3) Dimension'!D219</f>
        <v>0</v>
      </c>
      <c r="FA219" s="39" t="str">
        <f>'Por Valoracion (3) Dimension 2'!F219</f>
        <v>0</v>
      </c>
      <c r="FV219" s="46"/>
      <c r="FX219" t="str">
        <f>('Inteligencia emocional'!A220)</f>
        <v>0</v>
      </c>
      <c r="FY219" s="39" t="str">
        <f>'Por Valoracion (3) Dimension'!D219</f>
        <v>0</v>
      </c>
      <c r="FZ219" s="39" t="str">
        <f>'Por Valoracion (3) Dimension 2'!H219</f>
        <v>0</v>
      </c>
      <c r="GU219" s="46"/>
      <c r="GW219" s="47"/>
      <c r="GY219" t="str">
        <f>('Inteligencia emocional'!A220)</f>
        <v>0</v>
      </c>
      <c r="GZ219" s="39" t="str">
        <f>'Por Valoracion (3) Dimension'!F219</f>
        <v>0</v>
      </c>
      <c r="HA219" s="39" t="str">
        <f>'Por Valoracion (3) Dimension 2'!B219</f>
        <v>0</v>
      </c>
      <c r="HV219" s="47"/>
      <c r="HX219" t="str">
        <f>('Inteligencia emocional'!A220)</f>
        <v>0</v>
      </c>
      <c r="HY219" s="39" t="str">
        <f>'Por Valoracion (3) Dimension'!F219</f>
        <v>0</v>
      </c>
      <c r="HZ219" s="39" t="str">
        <f>'Por Valoracion (3) Dimension 2'!D219</f>
        <v>0</v>
      </c>
      <c r="IU219" s="47"/>
      <c r="IW219" t="str">
        <f>('Inteligencia emocional'!A220)</f>
        <v>0</v>
      </c>
      <c r="IX219" s="39" t="str">
        <f>'Por Valoracion (3) Dimension'!F219</f>
        <v>0</v>
      </c>
      <c r="IY219" s="39" t="str">
        <f>'Por Valoracion (3) Dimension 2'!F219</f>
        <v>0</v>
      </c>
      <c r="JT219" s="47"/>
      <c r="JV219" t="str">
        <f>('Inteligencia emocional'!A220)</f>
        <v>0</v>
      </c>
      <c r="JW219" s="39" t="str">
        <f>'Por Valoracion (3) Dimension'!F219</f>
        <v>0</v>
      </c>
      <c r="JX219" s="39" t="str">
        <f>'Por Valoracion (3) Dimension 2'!H219</f>
        <v>0</v>
      </c>
      <c r="KS219" s="47"/>
    </row>
    <row r="220" spans="1:305">
      <c r="A220" s="38"/>
      <c r="C220" t="str">
        <f>('Inteligencia emocional'!A221)</f>
        <v>0</v>
      </c>
      <c r="D220" s="39" t="str">
        <f>'Por Valoracion (3) Dimension'!B220</f>
        <v>0</v>
      </c>
      <c r="E220" s="39" t="str">
        <f>'Por Valoracion (3) Dimension 2'!B220</f>
        <v>0</v>
      </c>
      <c r="Z220" s="38"/>
      <c r="AB220" t="str">
        <f>('Inteligencia emocional'!A221)</f>
        <v>0</v>
      </c>
      <c r="AC220" s="39" t="str">
        <f>'Por Valoracion (3) Dimension'!B220</f>
        <v>0</v>
      </c>
      <c r="AD220" s="39" t="str">
        <f>'Por Valoracion (3) Dimension 2'!D220</f>
        <v>0</v>
      </c>
      <c r="AY220" s="38"/>
      <c r="BA220" t="str">
        <f>('Inteligencia emocional'!A221)</f>
        <v>0</v>
      </c>
      <c r="BB220" s="39" t="str">
        <f>'Por Valoracion (3) Dimension'!B220</f>
        <v>0</v>
      </c>
      <c r="BC220" s="39" t="str">
        <f>'Por Valoracion (3) Dimension 2'!F220</f>
        <v>0</v>
      </c>
      <c r="BX220" s="38"/>
      <c r="BZ220" t="str">
        <f>('Inteligencia emocional'!A221)</f>
        <v>0</v>
      </c>
      <c r="CA220" s="39" t="str">
        <f>'Por Valoracion (3) Dimension'!B220</f>
        <v>0</v>
      </c>
      <c r="CB220" s="39" t="str">
        <f>'Por Valoracion (3) Dimension 2'!H220</f>
        <v>0</v>
      </c>
      <c r="CW220" s="38"/>
      <c r="CY220" s="46"/>
      <c r="DA220" t="str">
        <f>('Inteligencia emocional'!A221)</f>
        <v>0</v>
      </c>
      <c r="DB220" s="39" t="str">
        <f>'Por Valoracion (3) Dimension'!D220</f>
        <v>0</v>
      </c>
      <c r="DC220" s="39" t="str">
        <f>'Por Valoracion (3) Dimension 2'!B220</f>
        <v>0</v>
      </c>
      <c r="DX220" s="46"/>
      <c r="DZ220" t="str">
        <f>('Inteligencia emocional'!A221)</f>
        <v>0</v>
      </c>
      <c r="EA220" s="39" t="str">
        <f>'Por Valoracion (3) Dimension'!D220</f>
        <v>0</v>
      </c>
      <c r="EB220" s="39" t="str">
        <f>'Por Valoracion (3) Dimension 2'!D220</f>
        <v>0</v>
      </c>
      <c r="EW220" s="46"/>
      <c r="EY220" t="str">
        <f>('Inteligencia emocional'!A221)</f>
        <v>0</v>
      </c>
      <c r="EZ220" s="39" t="str">
        <f>'Por Valoracion (3) Dimension'!D220</f>
        <v>0</v>
      </c>
      <c r="FA220" s="39" t="str">
        <f>'Por Valoracion (3) Dimension 2'!F220</f>
        <v>0</v>
      </c>
      <c r="FV220" s="46"/>
      <c r="FX220" t="str">
        <f>('Inteligencia emocional'!A221)</f>
        <v>0</v>
      </c>
      <c r="FY220" s="39" t="str">
        <f>'Por Valoracion (3) Dimension'!D220</f>
        <v>0</v>
      </c>
      <c r="FZ220" s="39" t="str">
        <f>'Por Valoracion (3) Dimension 2'!H220</f>
        <v>0</v>
      </c>
      <c r="GU220" s="46"/>
      <c r="GW220" s="47"/>
      <c r="GY220" t="str">
        <f>('Inteligencia emocional'!A221)</f>
        <v>0</v>
      </c>
      <c r="GZ220" s="39" t="str">
        <f>'Por Valoracion (3) Dimension'!F220</f>
        <v>0</v>
      </c>
      <c r="HA220" s="39" t="str">
        <f>'Por Valoracion (3) Dimension 2'!B220</f>
        <v>0</v>
      </c>
      <c r="HV220" s="47"/>
      <c r="HX220" t="str">
        <f>('Inteligencia emocional'!A221)</f>
        <v>0</v>
      </c>
      <c r="HY220" s="39" t="str">
        <f>'Por Valoracion (3) Dimension'!F220</f>
        <v>0</v>
      </c>
      <c r="HZ220" s="39" t="str">
        <f>'Por Valoracion (3) Dimension 2'!D220</f>
        <v>0</v>
      </c>
      <c r="IU220" s="47"/>
      <c r="IW220" t="str">
        <f>('Inteligencia emocional'!A221)</f>
        <v>0</v>
      </c>
      <c r="IX220" s="39" t="str">
        <f>'Por Valoracion (3) Dimension'!F220</f>
        <v>0</v>
      </c>
      <c r="IY220" s="39" t="str">
        <f>'Por Valoracion (3) Dimension 2'!F220</f>
        <v>0</v>
      </c>
      <c r="JT220" s="47"/>
      <c r="JV220" t="str">
        <f>('Inteligencia emocional'!A221)</f>
        <v>0</v>
      </c>
      <c r="JW220" s="39" t="str">
        <f>'Por Valoracion (3) Dimension'!F220</f>
        <v>0</v>
      </c>
      <c r="JX220" s="39" t="str">
        <f>'Por Valoracion (3) Dimension 2'!H220</f>
        <v>0</v>
      </c>
      <c r="KS220" s="47"/>
    </row>
    <row r="221" spans="1:305">
      <c r="A221" s="38"/>
      <c r="C221" t="str">
        <f>('Inteligencia emocional'!A222)</f>
        <v>0</v>
      </c>
      <c r="D221" s="39" t="str">
        <f>'Por Valoracion (3) Dimension'!B221</f>
        <v>0</v>
      </c>
      <c r="E221" s="39" t="str">
        <f>'Por Valoracion (3) Dimension 2'!B221</f>
        <v>0</v>
      </c>
      <c r="Z221" s="38"/>
      <c r="AB221" t="str">
        <f>('Inteligencia emocional'!A222)</f>
        <v>0</v>
      </c>
      <c r="AC221" s="39" t="str">
        <f>'Por Valoracion (3) Dimension'!B221</f>
        <v>0</v>
      </c>
      <c r="AD221" s="39" t="str">
        <f>'Por Valoracion (3) Dimension 2'!D221</f>
        <v>0</v>
      </c>
      <c r="AY221" s="38"/>
      <c r="BA221" t="str">
        <f>('Inteligencia emocional'!A222)</f>
        <v>0</v>
      </c>
      <c r="BB221" s="39" t="str">
        <f>'Por Valoracion (3) Dimension'!B221</f>
        <v>0</v>
      </c>
      <c r="BC221" s="39" t="str">
        <f>'Por Valoracion (3) Dimension 2'!F221</f>
        <v>0</v>
      </c>
      <c r="BX221" s="38"/>
      <c r="BZ221" t="str">
        <f>('Inteligencia emocional'!A222)</f>
        <v>0</v>
      </c>
      <c r="CA221" s="39" t="str">
        <f>'Por Valoracion (3) Dimension'!B221</f>
        <v>0</v>
      </c>
      <c r="CB221" s="39" t="str">
        <f>'Por Valoracion (3) Dimension 2'!H221</f>
        <v>0</v>
      </c>
      <c r="CW221" s="38"/>
      <c r="CY221" s="46"/>
      <c r="DA221" t="str">
        <f>('Inteligencia emocional'!A222)</f>
        <v>0</v>
      </c>
      <c r="DB221" s="39" t="str">
        <f>'Por Valoracion (3) Dimension'!D221</f>
        <v>0</v>
      </c>
      <c r="DC221" s="39" t="str">
        <f>'Por Valoracion (3) Dimension 2'!B221</f>
        <v>0</v>
      </c>
      <c r="DX221" s="46"/>
      <c r="DZ221" t="str">
        <f>('Inteligencia emocional'!A222)</f>
        <v>0</v>
      </c>
      <c r="EA221" s="39" t="str">
        <f>'Por Valoracion (3) Dimension'!D221</f>
        <v>0</v>
      </c>
      <c r="EB221" s="39" t="str">
        <f>'Por Valoracion (3) Dimension 2'!D221</f>
        <v>0</v>
      </c>
      <c r="EW221" s="46"/>
      <c r="EY221" t="str">
        <f>('Inteligencia emocional'!A222)</f>
        <v>0</v>
      </c>
      <c r="EZ221" s="39" t="str">
        <f>'Por Valoracion (3) Dimension'!D221</f>
        <v>0</v>
      </c>
      <c r="FA221" s="39" t="str">
        <f>'Por Valoracion (3) Dimension 2'!F221</f>
        <v>0</v>
      </c>
      <c r="FV221" s="46"/>
      <c r="FX221" t="str">
        <f>('Inteligencia emocional'!A222)</f>
        <v>0</v>
      </c>
      <c r="FY221" s="39" t="str">
        <f>'Por Valoracion (3) Dimension'!D221</f>
        <v>0</v>
      </c>
      <c r="FZ221" s="39" t="str">
        <f>'Por Valoracion (3) Dimension 2'!H221</f>
        <v>0</v>
      </c>
      <c r="GU221" s="46"/>
      <c r="GW221" s="47"/>
      <c r="GY221" t="str">
        <f>('Inteligencia emocional'!A222)</f>
        <v>0</v>
      </c>
      <c r="GZ221" s="39" t="str">
        <f>'Por Valoracion (3) Dimension'!F221</f>
        <v>0</v>
      </c>
      <c r="HA221" s="39" t="str">
        <f>'Por Valoracion (3) Dimension 2'!B221</f>
        <v>0</v>
      </c>
      <c r="HV221" s="47"/>
      <c r="HX221" t="str">
        <f>('Inteligencia emocional'!A222)</f>
        <v>0</v>
      </c>
      <c r="HY221" s="39" t="str">
        <f>'Por Valoracion (3) Dimension'!F221</f>
        <v>0</v>
      </c>
      <c r="HZ221" s="39" t="str">
        <f>'Por Valoracion (3) Dimension 2'!D221</f>
        <v>0</v>
      </c>
      <c r="IU221" s="47"/>
      <c r="IW221" t="str">
        <f>('Inteligencia emocional'!A222)</f>
        <v>0</v>
      </c>
      <c r="IX221" s="39" t="str">
        <f>'Por Valoracion (3) Dimension'!F221</f>
        <v>0</v>
      </c>
      <c r="IY221" s="39" t="str">
        <f>'Por Valoracion (3) Dimension 2'!F221</f>
        <v>0</v>
      </c>
      <c r="JT221" s="47"/>
      <c r="JV221" t="str">
        <f>('Inteligencia emocional'!A222)</f>
        <v>0</v>
      </c>
      <c r="JW221" s="39" t="str">
        <f>'Por Valoracion (3) Dimension'!F221</f>
        <v>0</v>
      </c>
      <c r="JX221" s="39" t="str">
        <f>'Por Valoracion (3) Dimension 2'!H221</f>
        <v>0</v>
      </c>
      <c r="KS221" s="47"/>
    </row>
    <row r="222" spans="1:305">
      <c r="A222" s="38"/>
      <c r="C222" t="str">
        <f>('Inteligencia emocional'!A223)</f>
        <v>0</v>
      </c>
      <c r="D222" s="39" t="str">
        <f>'Por Valoracion (3) Dimension'!B222</f>
        <v>0</v>
      </c>
      <c r="E222" s="39" t="str">
        <f>'Por Valoracion (3) Dimension 2'!B222</f>
        <v>0</v>
      </c>
      <c r="Z222" s="38"/>
      <c r="AB222" t="str">
        <f>('Inteligencia emocional'!A223)</f>
        <v>0</v>
      </c>
      <c r="AC222" s="39" t="str">
        <f>'Por Valoracion (3) Dimension'!B222</f>
        <v>0</v>
      </c>
      <c r="AD222" s="39" t="str">
        <f>'Por Valoracion (3) Dimension 2'!D222</f>
        <v>0</v>
      </c>
      <c r="AY222" s="38"/>
      <c r="BA222" t="str">
        <f>('Inteligencia emocional'!A223)</f>
        <v>0</v>
      </c>
      <c r="BB222" s="39" t="str">
        <f>'Por Valoracion (3) Dimension'!B222</f>
        <v>0</v>
      </c>
      <c r="BC222" s="39" t="str">
        <f>'Por Valoracion (3) Dimension 2'!F222</f>
        <v>0</v>
      </c>
      <c r="BX222" s="38"/>
      <c r="BZ222" t="str">
        <f>('Inteligencia emocional'!A223)</f>
        <v>0</v>
      </c>
      <c r="CA222" s="39" t="str">
        <f>'Por Valoracion (3) Dimension'!B222</f>
        <v>0</v>
      </c>
      <c r="CB222" s="39" t="str">
        <f>'Por Valoracion (3) Dimension 2'!H222</f>
        <v>0</v>
      </c>
      <c r="CW222" s="38"/>
      <c r="CY222" s="46"/>
      <c r="DA222" t="str">
        <f>('Inteligencia emocional'!A223)</f>
        <v>0</v>
      </c>
      <c r="DB222" s="39" t="str">
        <f>'Por Valoracion (3) Dimension'!D222</f>
        <v>0</v>
      </c>
      <c r="DC222" s="39" t="str">
        <f>'Por Valoracion (3) Dimension 2'!B222</f>
        <v>0</v>
      </c>
      <c r="DX222" s="46"/>
      <c r="DZ222" t="str">
        <f>('Inteligencia emocional'!A223)</f>
        <v>0</v>
      </c>
      <c r="EA222" s="39" t="str">
        <f>'Por Valoracion (3) Dimension'!D222</f>
        <v>0</v>
      </c>
      <c r="EB222" s="39" t="str">
        <f>'Por Valoracion (3) Dimension 2'!D222</f>
        <v>0</v>
      </c>
      <c r="EW222" s="46"/>
      <c r="EY222" t="str">
        <f>('Inteligencia emocional'!A223)</f>
        <v>0</v>
      </c>
      <c r="EZ222" s="39" t="str">
        <f>'Por Valoracion (3) Dimension'!D222</f>
        <v>0</v>
      </c>
      <c r="FA222" s="39" t="str">
        <f>'Por Valoracion (3) Dimension 2'!F222</f>
        <v>0</v>
      </c>
      <c r="FV222" s="46"/>
      <c r="FX222" t="str">
        <f>('Inteligencia emocional'!A223)</f>
        <v>0</v>
      </c>
      <c r="FY222" s="39" t="str">
        <f>'Por Valoracion (3) Dimension'!D222</f>
        <v>0</v>
      </c>
      <c r="FZ222" s="39" t="str">
        <f>'Por Valoracion (3) Dimension 2'!H222</f>
        <v>0</v>
      </c>
      <c r="GU222" s="46"/>
      <c r="GW222" s="47"/>
      <c r="GY222" t="str">
        <f>('Inteligencia emocional'!A223)</f>
        <v>0</v>
      </c>
      <c r="GZ222" s="39" t="str">
        <f>'Por Valoracion (3) Dimension'!F222</f>
        <v>0</v>
      </c>
      <c r="HA222" s="39" t="str">
        <f>'Por Valoracion (3) Dimension 2'!B222</f>
        <v>0</v>
      </c>
      <c r="HV222" s="47"/>
      <c r="HX222" t="str">
        <f>('Inteligencia emocional'!A223)</f>
        <v>0</v>
      </c>
      <c r="HY222" s="39" t="str">
        <f>'Por Valoracion (3) Dimension'!F222</f>
        <v>0</v>
      </c>
      <c r="HZ222" s="39" t="str">
        <f>'Por Valoracion (3) Dimension 2'!D222</f>
        <v>0</v>
      </c>
      <c r="IU222" s="47"/>
      <c r="IW222" t="str">
        <f>('Inteligencia emocional'!A223)</f>
        <v>0</v>
      </c>
      <c r="IX222" s="39" t="str">
        <f>'Por Valoracion (3) Dimension'!F222</f>
        <v>0</v>
      </c>
      <c r="IY222" s="39" t="str">
        <f>'Por Valoracion (3) Dimension 2'!F222</f>
        <v>0</v>
      </c>
      <c r="JT222" s="47"/>
      <c r="JV222" t="str">
        <f>('Inteligencia emocional'!A223)</f>
        <v>0</v>
      </c>
      <c r="JW222" s="39" t="str">
        <f>'Por Valoracion (3) Dimension'!F222</f>
        <v>0</v>
      </c>
      <c r="JX222" s="39" t="str">
        <f>'Por Valoracion (3) Dimension 2'!H222</f>
        <v>0</v>
      </c>
      <c r="KS222" s="47"/>
    </row>
    <row r="223" spans="1:305">
      <c r="A223" s="38"/>
      <c r="C223" t="str">
        <f>('Inteligencia emocional'!A224)</f>
        <v>0</v>
      </c>
      <c r="D223" s="39" t="str">
        <f>'Por Valoracion (3) Dimension'!B223</f>
        <v>0</v>
      </c>
      <c r="E223" s="39" t="str">
        <f>'Por Valoracion (3) Dimension 2'!B223</f>
        <v>0</v>
      </c>
      <c r="Z223" s="38"/>
      <c r="AB223" t="str">
        <f>('Inteligencia emocional'!A224)</f>
        <v>0</v>
      </c>
      <c r="AC223" s="39" t="str">
        <f>'Por Valoracion (3) Dimension'!B223</f>
        <v>0</v>
      </c>
      <c r="AD223" s="39" t="str">
        <f>'Por Valoracion (3) Dimension 2'!D223</f>
        <v>0</v>
      </c>
      <c r="AY223" s="38"/>
      <c r="BA223" t="str">
        <f>('Inteligencia emocional'!A224)</f>
        <v>0</v>
      </c>
      <c r="BB223" s="39" t="str">
        <f>'Por Valoracion (3) Dimension'!B223</f>
        <v>0</v>
      </c>
      <c r="BC223" s="39" t="str">
        <f>'Por Valoracion (3) Dimension 2'!F223</f>
        <v>0</v>
      </c>
      <c r="BX223" s="38"/>
      <c r="BZ223" t="str">
        <f>('Inteligencia emocional'!A224)</f>
        <v>0</v>
      </c>
      <c r="CA223" s="39" t="str">
        <f>'Por Valoracion (3) Dimension'!B223</f>
        <v>0</v>
      </c>
      <c r="CB223" s="39" t="str">
        <f>'Por Valoracion (3) Dimension 2'!H223</f>
        <v>0</v>
      </c>
      <c r="CW223" s="38"/>
      <c r="CY223" s="46"/>
      <c r="DA223" t="str">
        <f>('Inteligencia emocional'!A224)</f>
        <v>0</v>
      </c>
      <c r="DB223" s="39" t="str">
        <f>'Por Valoracion (3) Dimension'!D223</f>
        <v>0</v>
      </c>
      <c r="DC223" s="39" t="str">
        <f>'Por Valoracion (3) Dimension 2'!B223</f>
        <v>0</v>
      </c>
      <c r="DX223" s="46"/>
      <c r="DZ223" t="str">
        <f>('Inteligencia emocional'!A224)</f>
        <v>0</v>
      </c>
      <c r="EA223" s="39" t="str">
        <f>'Por Valoracion (3) Dimension'!D223</f>
        <v>0</v>
      </c>
      <c r="EB223" s="39" t="str">
        <f>'Por Valoracion (3) Dimension 2'!D223</f>
        <v>0</v>
      </c>
      <c r="EW223" s="46"/>
      <c r="EY223" t="str">
        <f>('Inteligencia emocional'!A224)</f>
        <v>0</v>
      </c>
      <c r="EZ223" s="39" t="str">
        <f>'Por Valoracion (3) Dimension'!D223</f>
        <v>0</v>
      </c>
      <c r="FA223" s="39" t="str">
        <f>'Por Valoracion (3) Dimension 2'!F223</f>
        <v>0</v>
      </c>
      <c r="FV223" s="46"/>
      <c r="FX223" t="str">
        <f>('Inteligencia emocional'!A224)</f>
        <v>0</v>
      </c>
      <c r="FY223" s="39" t="str">
        <f>'Por Valoracion (3) Dimension'!D223</f>
        <v>0</v>
      </c>
      <c r="FZ223" s="39" t="str">
        <f>'Por Valoracion (3) Dimension 2'!H223</f>
        <v>0</v>
      </c>
      <c r="GU223" s="46"/>
      <c r="GW223" s="47"/>
      <c r="GY223" t="str">
        <f>('Inteligencia emocional'!A224)</f>
        <v>0</v>
      </c>
      <c r="GZ223" s="39" t="str">
        <f>'Por Valoracion (3) Dimension'!F223</f>
        <v>0</v>
      </c>
      <c r="HA223" s="39" t="str">
        <f>'Por Valoracion (3) Dimension 2'!B223</f>
        <v>0</v>
      </c>
      <c r="HV223" s="47"/>
      <c r="HX223" t="str">
        <f>('Inteligencia emocional'!A224)</f>
        <v>0</v>
      </c>
      <c r="HY223" s="39" t="str">
        <f>'Por Valoracion (3) Dimension'!F223</f>
        <v>0</v>
      </c>
      <c r="HZ223" s="39" t="str">
        <f>'Por Valoracion (3) Dimension 2'!D223</f>
        <v>0</v>
      </c>
      <c r="IU223" s="47"/>
      <c r="IW223" t="str">
        <f>('Inteligencia emocional'!A224)</f>
        <v>0</v>
      </c>
      <c r="IX223" s="39" t="str">
        <f>'Por Valoracion (3) Dimension'!F223</f>
        <v>0</v>
      </c>
      <c r="IY223" s="39" t="str">
        <f>'Por Valoracion (3) Dimension 2'!F223</f>
        <v>0</v>
      </c>
      <c r="JT223" s="47"/>
      <c r="JV223" t="str">
        <f>('Inteligencia emocional'!A224)</f>
        <v>0</v>
      </c>
      <c r="JW223" s="39" t="str">
        <f>'Por Valoracion (3) Dimension'!F223</f>
        <v>0</v>
      </c>
      <c r="JX223" s="39" t="str">
        <f>'Por Valoracion (3) Dimension 2'!H223</f>
        <v>0</v>
      </c>
      <c r="KS223" s="47"/>
    </row>
    <row r="224" spans="1:305">
      <c r="A224" s="38"/>
      <c r="C224" t="str">
        <f>('Inteligencia emocional'!A225)</f>
        <v>0</v>
      </c>
      <c r="D224" s="39" t="str">
        <f>'Por Valoracion (3) Dimension'!B224</f>
        <v>0</v>
      </c>
      <c r="E224" s="39" t="str">
        <f>'Por Valoracion (3) Dimension 2'!B224</f>
        <v>0</v>
      </c>
      <c r="Z224" s="38"/>
      <c r="AB224" t="str">
        <f>('Inteligencia emocional'!A225)</f>
        <v>0</v>
      </c>
      <c r="AC224" s="39" t="str">
        <f>'Por Valoracion (3) Dimension'!B224</f>
        <v>0</v>
      </c>
      <c r="AD224" s="39" t="str">
        <f>'Por Valoracion (3) Dimension 2'!D224</f>
        <v>0</v>
      </c>
      <c r="AY224" s="38"/>
      <c r="BA224" t="str">
        <f>('Inteligencia emocional'!A225)</f>
        <v>0</v>
      </c>
      <c r="BB224" s="39" t="str">
        <f>'Por Valoracion (3) Dimension'!B224</f>
        <v>0</v>
      </c>
      <c r="BC224" s="39" t="str">
        <f>'Por Valoracion (3) Dimension 2'!F224</f>
        <v>0</v>
      </c>
      <c r="BX224" s="38"/>
      <c r="BZ224" t="str">
        <f>('Inteligencia emocional'!A225)</f>
        <v>0</v>
      </c>
      <c r="CA224" s="39" t="str">
        <f>'Por Valoracion (3) Dimension'!B224</f>
        <v>0</v>
      </c>
      <c r="CB224" s="39" t="str">
        <f>'Por Valoracion (3) Dimension 2'!H224</f>
        <v>0</v>
      </c>
      <c r="CW224" s="38"/>
      <c r="CY224" s="46"/>
      <c r="DA224" t="str">
        <f>('Inteligencia emocional'!A225)</f>
        <v>0</v>
      </c>
      <c r="DB224" s="39" t="str">
        <f>'Por Valoracion (3) Dimension'!D224</f>
        <v>0</v>
      </c>
      <c r="DC224" s="39" t="str">
        <f>'Por Valoracion (3) Dimension 2'!B224</f>
        <v>0</v>
      </c>
      <c r="DX224" s="46"/>
      <c r="DZ224" t="str">
        <f>('Inteligencia emocional'!A225)</f>
        <v>0</v>
      </c>
      <c r="EA224" s="39" t="str">
        <f>'Por Valoracion (3) Dimension'!D224</f>
        <v>0</v>
      </c>
      <c r="EB224" s="39" t="str">
        <f>'Por Valoracion (3) Dimension 2'!D224</f>
        <v>0</v>
      </c>
      <c r="EW224" s="46"/>
      <c r="EY224" t="str">
        <f>('Inteligencia emocional'!A225)</f>
        <v>0</v>
      </c>
      <c r="EZ224" s="39" t="str">
        <f>'Por Valoracion (3) Dimension'!D224</f>
        <v>0</v>
      </c>
      <c r="FA224" s="39" t="str">
        <f>'Por Valoracion (3) Dimension 2'!F224</f>
        <v>0</v>
      </c>
      <c r="FV224" s="46"/>
      <c r="FX224" t="str">
        <f>('Inteligencia emocional'!A225)</f>
        <v>0</v>
      </c>
      <c r="FY224" s="39" t="str">
        <f>'Por Valoracion (3) Dimension'!D224</f>
        <v>0</v>
      </c>
      <c r="FZ224" s="39" t="str">
        <f>'Por Valoracion (3) Dimension 2'!H224</f>
        <v>0</v>
      </c>
      <c r="GU224" s="46"/>
      <c r="GW224" s="47"/>
      <c r="GY224" t="str">
        <f>('Inteligencia emocional'!A225)</f>
        <v>0</v>
      </c>
      <c r="GZ224" s="39" t="str">
        <f>'Por Valoracion (3) Dimension'!F224</f>
        <v>0</v>
      </c>
      <c r="HA224" s="39" t="str">
        <f>'Por Valoracion (3) Dimension 2'!B224</f>
        <v>0</v>
      </c>
      <c r="HV224" s="47"/>
      <c r="HX224" t="str">
        <f>('Inteligencia emocional'!A225)</f>
        <v>0</v>
      </c>
      <c r="HY224" s="39" t="str">
        <f>'Por Valoracion (3) Dimension'!F224</f>
        <v>0</v>
      </c>
      <c r="HZ224" s="39" t="str">
        <f>'Por Valoracion (3) Dimension 2'!D224</f>
        <v>0</v>
      </c>
      <c r="IU224" s="47"/>
      <c r="IW224" t="str">
        <f>('Inteligencia emocional'!A225)</f>
        <v>0</v>
      </c>
      <c r="IX224" s="39" t="str">
        <f>'Por Valoracion (3) Dimension'!F224</f>
        <v>0</v>
      </c>
      <c r="IY224" s="39" t="str">
        <f>'Por Valoracion (3) Dimension 2'!F224</f>
        <v>0</v>
      </c>
      <c r="JT224" s="47"/>
      <c r="JV224" t="str">
        <f>('Inteligencia emocional'!A225)</f>
        <v>0</v>
      </c>
      <c r="JW224" s="39" t="str">
        <f>'Por Valoracion (3) Dimension'!F224</f>
        <v>0</v>
      </c>
      <c r="JX224" s="39" t="str">
        <f>'Por Valoracion (3) Dimension 2'!H224</f>
        <v>0</v>
      </c>
      <c r="KS224" s="47"/>
    </row>
    <row r="225" spans="1:305">
      <c r="A225" s="38"/>
      <c r="C225" t="str">
        <f>('Inteligencia emocional'!A226)</f>
        <v>0</v>
      </c>
      <c r="D225" s="39" t="str">
        <f>'Por Valoracion (3) Dimension'!B225</f>
        <v>0</v>
      </c>
      <c r="E225" s="39" t="str">
        <f>'Por Valoracion (3) Dimension 2'!B225</f>
        <v>0</v>
      </c>
      <c r="Z225" s="38"/>
      <c r="AB225" t="str">
        <f>('Inteligencia emocional'!A226)</f>
        <v>0</v>
      </c>
      <c r="AC225" s="39" t="str">
        <f>'Por Valoracion (3) Dimension'!B225</f>
        <v>0</v>
      </c>
      <c r="AD225" s="39" t="str">
        <f>'Por Valoracion (3) Dimension 2'!D225</f>
        <v>0</v>
      </c>
      <c r="AY225" s="38"/>
      <c r="BA225" t="str">
        <f>('Inteligencia emocional'!A226)</f>
        <v>0</v>
      </c>
      <c r="BB225" s="39" t="str">
        <f>'Por Valoracion (3) Dimension'!B225</f>
        <v>0</v>
      </c>
      <c r="BC225" s="39" t="str">
        <f>'Por Valoracion (3) Dimension 2'!F225</f>
        <v>0</v>
      </c>
      <c r="BX225" s="38"/>
      <c r="BZ225" t="str">
        <f>('Inteligencia emocional'!A226)</f>
        <v>0</v>
      </c>
      <c r="CA225" s="39" t="str">
        <f>'Por Valoracion (3) Dimension'!B225</f>
        <v>0</v>
      </c>
      <c r="CB225" s="39" t="str">
        <f>'Por Valoracion (3) Dimension 2'!H225</f>
        <v>0</v>
      </c>
      <c r="CW225" s="38"/>
      <c r="CY225" s="46"/>
      <c r="DA225" t="str">
        <f>('Inteligencia emocional'!A226)</f>
        <v>0</v>
      </c>
      <c r="DB225" s="39" t="str">
        <f>'Por Valoracion (3) Dimension'!D225</f>
        <v>0</v>
      </c>
      <c r="DC225" s="39" t="str">
        <f>'Por Valoracion (3) Dimension 2'!B225</f>
        <v>0</v>
      </c>
      <c r="DX225" s="46"/>
      <c r="DZ225" t="str">
        <f>('Inteligencia emocional'!A226)</f>
        <v>0</v>
      </c>
      <c r="EA225" s="39" t="str">
        <f>'Por Valoracion (3) Dimension'!D225</f>
        <v>0</v>
      </c>
      <c r="EB225" s="39" t="str">
        <f>'Por Valoracion (3) Dimension 2'!D225</f>
        <v>0</v>
      </c>
      <c r="EW225" s="46"/>
      <c r="EY225" t="str">
        <f>('Inteligencia emocional'!A226)</f>
        <v>0</v>
      </c>
      <c r="EZ225" s="39" t="str">
        <f>'Por Valoracion (3) Dimension'!D225</f>
        <v>0</v>
      </c>
      <c r="FA225" s="39" t="str">
        <f>'Por Valoracion (3) Dimension 2'!F225</f>
        <v>0</v>
      </c>
      <c r="FV225" s="46"/>
      <c r="FX225" t="str">
        <f>('Inteligencia emocional'!A226)</f>
        <v>0</v>
      </c>
      <c r="FY225" s="39" t="str">
        <f>'Por Valoracion (3) Dimension'!D225</f>
        <v>0</v>
      </c>
      <c r="FZ225" s="39" t="str">
        <f>'Por Valoracion (3) Dimension 2'!H225</f>
        <v>0</v>
      </c>
      <c r="GU225" s="46"/>
      <c r="GW225" s="47"/>
      <c r="GY225" t="str">
        <f>('Inteligencia emocional'!A226)</f>
        <v>0</v>
      </c>
      <c r="GZ225" s="39" t="str">
        <f>'Por Valoracion (3) Dimension'!F225</f>
        <v>0</v>
      </c>
      <c r="HA225" s="39" t="str">
        <f>'Por Valoracion (3) Dimension 2'!B225</f>
        <v>0</v>
      </c>
      <c r="HV225" s="47"/>
      <c r="HX225" t="str">
        <f>('Inteligencia emocional'!A226)</f>
        <v>0</v>
      </c>
      <c r="HY225" s="39" t="str">
        <f>'Por Valoracion (3) Dimension'!F225</f>
        <v>0</v>
      </c>
      <c r="HZ225" s="39" t="str">
        <f>'Por Valoracion (3) Dimension 2'!D225</f>
        <v>0</v>
      </c>
      <c r="IU225" s="47"/>
      <c r="IW225" t="str">
        <f>('Inteligencia emocional'!A226)</f>
        <v>0</v>
      </c>
      <c r="IX225" s="39" t="str">
        <f>'Por Valoracion (3) Dimension'!F225</f>
        <v>0</v>
      </c>
      <c r="IY225" s="39" t="str">
        <f>'Por Valoracion (3) Dimension 2'!F225</f>
        <v>0</v>
      </c>
      <c r="JT225" s="47"/>
      <c r="JV225" t="str">
        <f>('Inteligencia emocional'!A226)</f>
        <v>0</v>
      </c>
      <c r="JW225" s="39" t="str">
        <f>'Por Valoracion (3) Dimension'!F225</f>
        <v>0</v>
      </c>
      <c r="JX225" s="39" t="str">
        <f>'Por Valoracion (3) Dimension 2'!H225</f>
        <v>0</v>
      </c>
      <c r="KS225" s="47"/>
    </row>
    <row r="226" spans="1:305">
      <c r="A226" s="38"/>
      <c r="C226" t="str">
        <f>('Inteligencia emocional'!A227)</f>
        <v>0</v>
      </c>
      <c r="D226" s="39" t="str">
        <f>'Por Valoracion (3) Dimension'!B226</f>
        <v>0</v>
      </c>
      <c r="E226" s="39" t="str">
        <f>'Por Valoracion (3) Dimension 2'!B226</f>
        <v>0</v>
      </c>
      <c r="Z226" s="38"/>
      <c r="AB226" t="str">
        <f>('Inteligencia emocional'!A227)</f>
        <v>0</v>
      </c>
      <c r="AC226" s="39" t="str">
        <f>'Por Valoracion (3) Dimension'!B226</f>
        <v>0</v>
      </c>
      <c r="AD226" s="39" t="str">
        <f>'Por Valoracion (3) Dimension 2'!D226</f>
        <v>0</v>
      </c>
      <c r="AY226" s="38"/>
      <c r="BA226" t="str">
        <f>('Inteligencia emocional'!A227)</f>
        <v>0</v>
      </c>
      <c r="BB226" s="39" t="str">
        <f>'Por Valoracion (3) Dimension'!B226</f>
        <v>0</v>
      </c>
      <c r="BC226" s="39" t="str">
        <f>'Por Valoracion (3) Dimension 2'!F226</f>
        <v>0</v>
      </c>
      <c r="BX226" s="38"/>
      <c r="BZ226" t="str">
        <f>('Inteligencia emocional'!A227)</f>
        <v>0</v>
      </c>
      <c r="CA226" s="39" t="str">
        <f>'Por Valoracion (3) Dimension'!B226</f>
        <v>0</v>
      </c>
      <c r="CB226" s="39" t="str">
        <f>'Por Valoracion (3) Dimension 2'!H226</f>
        <v>0</v>
      </c>
      <c r="CW226" s="38"/>
      <c r="CY226" s="46"/>
      <c r="DA226" t="str">
        <f>('Inteligencia emocional'!A227)</f>
        <v>0</v>
      </c>
      <c r="DB226" s="39" t="str">
        <f>'Por Valoracion (3) Dimension'!D226</f>
        <v>0</v>
      </c>
      <c r="DC226" s="39" t="str">
        <f>'Por Valoracion (3) Dimension 2'!B226</f>
        <v>0</v>
      </c>
      <c r="DX226" s="46"/>
      <c r="DZ226" t="str">
        <f>('Inteligencia emocional'!A227)</f>
        <v>0</v>
      </c>
      <c r="EA226" s="39" t="str">
        <f>'Por Valoracion (3) Dimension'!D226</f>
        <v>0</v>
      </c>
      <c r="EB226" s="39" t="str">
        <f>'Por Valoracion (3) Dimension 2'!D226</f>
        <v>0</v>
      </c>
      <c r="EW226" s="46"/>
      <c r="EY226" t="str">
        <f>('Inteligencia emocional'!A227)</f>
        <v>0</v>
      </c>
      <c r="EZ226" s="39" t="str">
        <f>'Por Valoracion (3) Dimension'!D226</f>
        <v>0</v>
      </c>
      <c r="FA226" s="39" t="str">
        <f>'Por Valoracion (3) Dimension 2'!F226</f>
        <v>0</v>
      </c>
      <c r="FV226" s="46"/>
      <c r="FX226" t="str">
        <f>('Inteligencia emocional'!A227)</f>
        <v>0</v>
      </c>
      <c r="FY226" s="39" t="str">
        <f>'Por Valoracion (3) Dimension'!D226</f>
        <v>0</v>
      </c>
      <c r="FZ226" s="39" t="str">
        <f>'Por Valoracion (3) Dimension 2'!H226</f>
        <v>0</v>
      </c>
      <c r="GU226" s="46"/>
      <c r="GW226" s="47"/>
      <c r="GY226" t="str">
        <f>('Inteligencia emocional'!A227)</f>
        <v>0</v>
      </c>
      <c r="GZ226" s="39" t="str">
        <f>'Por Valoracion (3) Dimension'!F226</f>
        <v>0</v>
      </c>
      <c r="HA226" s="39" t="str">
        <f>'Por Valoracion (3) Dimension 2'!B226</f>
        <v>0</v>
      </c>
      <c r="HV226" s="47"/>
      <c r="HX226" t="str">
        <f>('Inteligencia emocional'!A227)</f>
        <v>0</v>
      </c>
      <c r="HY226" s="39" t="str">
        <f>'Por Valoracion (3) Dimension'!F226</f>
        <v>0</v>
      </c>
      <c r="HZ226" s="39" t="str">
        <f>'Por Valoracion (3) Dimension 2'!D226</f>
        <v>0</v>
      </c>
      <c r="IU226" s="47"/>
      <c r="IW226" t="str">
        <f>('Inteligencia emocional'!A227)</f>
        <v>0</v>
      </c>
      <c r="IX226" s="39" t="str">
        <f>'Por Valoracion (3) Dimension'!F226</f>
        <v>0</v>
      </c>
      <c r="IY226" s="39" t="str">
        <f>'Por Valoracion (3) Dimension 2'!F226</f>
        <v>0</v>
      </c>
      <c r="JT226" s="47"/>
      <c r="JV226" t="str">
        <f>('Inteligencia emocional'!A227)</f>
        <v>0</v>
      </c>
      <c r="JW226" s="39" t="str">
        <f>'Por Valoracion (3) Dimension'!F226</f>
        <v>0</v>
      </c>
      <c r="JX226" s="39" t="str">
        <f>'Por Valoracion (3) Dimension 2'!H226</f>
        <v>0</v>
      </c>
      <c r="KS226" s="47"/>
    </row>
    <row r="227" spans="1:305">
      <c r="A227" s="38"/>
      <c r="C227" t="str">
        <f>('Inteligencia emocional'!A228)</f>
        <v>0</v>
      </c>
      <c r="D227" s="39" t="str">
        <f>'Por Valoracion (3) Dimension'!B227</f>
        <v>0</v>
      </c>
      <c r="E227" s="39" t="str">
        <f>'Por Valoracion (3) Dimension 2'!B227</f>
        <v>0</v>
      </c>
      <c r="Z227" s="38"/>
      <c r="AB227" t="str">
        <f>('Inteligencia emocional'!A228)</f>
        <v>0</v>
      </c>
      <c r="AC227" s="39" t="str">
        <f>'Por Valoracion (3) Dimension'!B227</f>
        <v>0</v>
      </c>
      <c r="AD227" s="39" t="str">
        <f>'Por Valoracion (3) Dimension 2'!D227</f>
        <v>0</v>
      </c>
      <c r="AY227" s="38"/>
      <c r="BA227" t="str">
        <f>('Inteligencia emocional'!A228)</f>
        <v>0</v>
      </c>
      <c r="BB227" s="39" t="str">
        <f>'Por Valoracion (3) Dimension'!B227</f>
        <v>0</v>
      </c>
      <c r="BC227" s="39" t="str">
        <f>'Por Valoracion (3) Dimension 2'!F227</f>
        <v>0</v>
      </c>
      <c r="BX227" s="38"/>
      <c r="BZ227" t="str">
        <f>('Inteligencia emocional'!A228)</f>
        <v>0</v>
      </c>
      <c r="CA227" s="39" t="str">
        <f>'Por Valoracion (3) Dimension'!B227</f>
        <v>0</v>
      </c>
      <c r="CB227" s="39" t="str">
        <f>'Por Valoracion (3) Dimension 2'!H227</f>
        <v>0</v>
      </c>
      <c r="CW227" s="38"/>
      <c r="CY227" s="46"/>
      <c r="DA227" t="str">
        <f>('Inteligencia emocional'!A228)</f>
        <v>0</v>
      </c>
      <c r="DB227" s="39" t="str">
        <f>'Por Valoracion (3) Dimension'!D227</f>
        <v>0</v>
      </c>
      <c r="DC227" s="39" t="str">
        <f>'Por Valoracion (3) Dimension 2'!B227</f>
        <v>0</v>
      </c>
      <c r="DX227" s="46"/>
      <c r="DZ227" t="str">
        <f>('Inteligencia emocional'!A228)</f>
        <v>0</v>
      </c>
      <c r="EA227" s="39" t="str">
        <f>'Por Valoracion (3) Dimension'!D227</f>
        <v>0</v>
      </c>
      <c r="EB227" s="39" t="str">
        <f>'Por Valoracion (3) Dimension 2'!D227</f>
        <v>0</v>
      </c>
      <c r="EW227" s="46"/>
      <c r="EY227" t="str">
        <f>('Inteligencia emocional'!A228)</f>
        <v>0</v>
      </c>
      <c r="EZ227" s="39" t="str">
        <f>'Por Valoracion (3) Dimension'!D227</f>
        <v>0</v>
      </c>
      <c r="FA227" s="39" t="str">
        <f>'Por Valoracion (3) Dimension 2'!F227</f>
        <v>0</v>
      </c>
      <c r="FV227" s="46"/>
      <c r="FX227" t="str">
        <f>('Inteligencia emocional'!A228)</f>
        <v>0</v>
      </c>
      <c r="FY227" s="39" t="str">
        <f>'Por Valoracion (3) Dimension'!D227</f>
        <v>0</v>
      </c>
      <c r="FZ227" s="39" t="str">
        <f>'Por Valoracion (3) Dimension 2'!H227</f>
        <v>0</v>
      </c>
      <c r="GU227" s="46"/>
      <c r="GW227" s="47"/>
      <c r="GY227" t="str">
        <f>('Inteligencia emocional'!A228)</f>
        <v>0</v>
      </c>
      <c r="GZ227" s="39" t="str">
        <f>'Por Valoracion (3) Dimension'!F227</f>
        <v>0</v>
      </c>
      <c r="HA227" s="39" t="str">
        <f>'Por Valoracion (3) Dimension 2'!B227</f>
        <v>0</v>
      </c>
      <c r="HV227" s="47"/>
      <c r="HX227" t="str">
        <f>('Inteligencia emocional'!A228)</f>
        <v>0</v>
      </c>
      <c r="HY227" s="39" t="str">
        <f>'Por Valoracion (3) Dimension'!F227</f>
        <v>0</v>
      </c>
      <c r="HZ227" s="39" t="str">
        <f>'Por Valoracion (3) Dimension 2'!D227</f>
        <v>0</v>
      </c>
      <c r="IU227" s="47"/>
      <c r="IW227" t="str">
        <f>('Inteligencia emocional'!A228)</f>
        <v>0</v>
      </c>
      <c r="IX227" s="39" t="str">
        <f>'Por Valoracion (3) Dimension'!F227</f>
        <v>0</v>
      </c>
      <c r="IY227" s="39" t="str">
        <f>'Por Valoracion (3) Dimension 2'!F227</f>
        <v>0</v>
      </c>
      <c r="JT227" s="47"/>
      <c r="JV227" t="str">
        <f>('Inteligencia emocional'!A228)</f>
        <v>0</v>
      </c>
      <c r="JW227" s="39" t="str">
        <f>'Por Valoracion (3) Dimension'!F227</f>
        <v>0</v>
      </c>
      <c r="JX227" s="39" t="str">
        <f>'Por Valoracion (3) Dimension 2'!H227</f>
        <v>0</v>
      </c>
      <c r="KS227" s="47"/>
    </row>
    <row r="228" spans="1:305">
      <c r="A228" s="38"/>
      <c r="C228" t="str">
        <f>('Inteligencia emocional'!A229)</f>
        <v>0</v>
      </c>
      <c r="D228" s="39" t="str">
        <f>'Por Valoracion (3) Dimension'!B228</f>
        <v>0</v>
      </c>
      <c r="E228" s="39" t="str">
        <f>'Por Valoracion (3) Dimension 2'!B228</f>
        <v>0</v>
      </c>
      <c r="Z228" s="38"/>
      <c r="AB228" t="str">
        <f>('Inteligencia emocional'!A229)</f>
        <v>0</v>
      </c>
      <c r="AC228" s="39" t="str">
        <f>'Por Valoracion (3) Dimension'!B228</f>
        <v>0</v>
      </c>
      <c r="AD228" s="39" t="str">
        <f>'Por Valoracion (3) Dimension 2'!D228</f>
        <v>0</v>
      </c>
      <c r="AY228" s="38"/>
      <c r="BA228" t="str">
        <f>('Inteligencia emocional'!A229)</f>
        <v>0</v>
      </c>
      <c r="BB228" s="39" t="str">
        <f>'Por Valoracion (3) Dimension'!B228</f>
        <v>0</v>
      </c>
      <c r="BC228" s="39" t="str">
        <f>'Por Valoracion (3) Dimension 2'!F228</f>
        <v>0</v>
      </c>
      <c r="BX228" s="38"/>
      <c r="BZ228" t="str">
        <f>('Inteligencia emocional'!A229)</f>
        <v>0</v>
      </c>
      <c r="CA228" s="39" t="str">
        <f>'Por Valoracion (3) Dimension'!B228</f>
        <v>0</v>
      </c>
      <c r="CB228" s="39" t="str">
        <f>'Por Valoracion (3) Dimension 2'!H228</f>
        <v>0</v>
      </c>
      <c r="CW228" s="38"/>
      <c r="CY228" s="46"/>
      <c r="DA228" t="str">
        <f>('Inteligencia emocional'!A229)</f>
        <v>0</v>
      </c>
      <c r="DB228" s="39" t="str">
        <f>'Por Valoracion (3) Dimension'!D228</f>
        <v>0</v>
      </c>
      <c r="DC228" s="39" t="str">
        <f>'Por Valoracion (3) Dimension 2'!B228</f>
        <v>0</v>
      </c>
      <c r="DX228" s="46"/>
      <c r="DZ228" t="str">
        <f>('Inteligencia emocional'!A229)</f>
        <v>0</v>
      </c>
      <c r="EA228" s="39" t="str">
        <f>'Por Valoracion (3) Dimension'!D228</f>
        <v>0</v>
      </c>
      <c r="EB228" s="39" t="str">
        <f>'Por Valoracion (3) Dimension 2'!D228</f>
        <v>0</v>
      </c>
      <c r="EW228" s="46"/>
      <c r="EY228" t="str">
        <f>('Inteligencia emocional'!A229)</f>
        <v>0</v>
      </c>
      <c r="EZ228" s="39" t="str">
        <f>'Por Valoracion (3) Dimension'!D228</f>
        <v>0</v>
      </c>
      <c r="FA228" s="39" t="str">
        <f>'Por Valoracion (3) Dimension 2'!F228</f>
        <v>0</v>
      </c>
      <c r="FV228" s="46"/>
      <c r="FX228" t="str">
        <f>('Inteligencia emocional'!A229)</f>
        <v>0</v>
      </c>
      <c r="FY228" s="39" t="str">
        <f>'Por Valoracion (3) Dimension'!D228</f>
        <v>0</v>
      </c>
      <c r="FZ228" s="39" t="str">
        <f>'Por Valoracion (3) Dimension 2'!H228</f>
        <v>0</v>
      </c>
      <c r="GU228" s="46"/>
      <c r="GW228" s="47"/>
      <c r="GY228" t="str">
        <f>('Inteligencia emocional'!A229)</f>
        <v>0</v>
      </c>
      <c r="GZ228" s="39" t="str">
        <f>'Por Valoracion (3) Dimension'!F228</f>
        <v>0</v>
      </c>
      <c r="HA228" s="39" t="str">
        <f>'Por Valoracion (3) Dimension 2'!B228</f>
        <v>0</v>
      </c>
      <c r="HV228" s="47"/>
      <c r="HX228" t="str">
        <f>('Inteligencia emocional'!A229)</f>
        <v>0</v>
      </c>
      <c r="HY228" s="39" t="str">
        <f>'Por Valoracion (3) Dimension'!F228</f>
        <v>0</v>
      </c>
      <c r="HZ228" s="39" t="str">
        <f>'Por Valoracion (3) Dimension 2'!D228</f>
        <v>0</v>
      </c>
      <c r="IU228" s="47"/>
      <c r="IW228" t="str">
        <f>('Inteligencia emocional'!A229)</f>
        <v>0</v>
      </c>
      <c r="IX228" s="39" t="str">
        <f>'Por Valoracion (3) Dimension'!F228</f>
        <v>0</v>
      </c>
      <c r="IY228" s="39" t="str">
        <f>'Por Valoracion (3) Dimension 2'!F228</f>
        <v>0</v>
      </c>
      <c r="JT228" s="47"/>
      <c r="JV228" t="str">
        <f>('Inteligencia emocional'!A229)</f>
        <v>0</v>
      </c>
      <c r="JW228" s="39" t="str">
        <f>'Por Valoracion (3) Dimension'!F228</f>
        <v>0</v>
      </c>
      <c r="JX228" s="39" t="str">
        <f>'Por Valoracion (3) Dimension 2'!H228</f>
        <v>0</v>
      </c>
      <c r="KS228" s="47"/>
    </row>
    <row r="229" spans="1:305">
      <c r="A229" s="38"/>
      <c r="C229" t="str">
        <f>('Inteligencia emocional'!A230)</f>
        <v>0</v>
      </c>
      <c r="D229" s="39" t="str">
        <f>'Por Valoracion (3) Dimension'!B229</f>
        <v>0</v>
      </c>
      <c r="E229" s="39" t="str">
        <f>'Por Valoracion (3) Dimension 2'!B229</f>
        <v>0</v>
      </c>
      <c r="Z229" s="38"/>
      <c r="AB229" t="str">
        <f>('Inteligencia emocional'!A230)</f>
        <v>0</v>
      </c>
      <c r="AC229" s="39" t="str">
        <f>'Por Valoracion (3) Dimension'!B229</f>
        <v>0</v>
      </c>
      <c r="AD229" s="39" t="str">
        <f>'Por Valoracion (3) Dimension 2'!D229</f>
        <v>0</v>
      </c>
      <c r="AY229" s="38"/>
      <c r="BA229" t="str">
        <f>('Inteligencia emocional'!A230)</f>
        <v>0</v>
      </c>
      <c r="BB229" s="39" t="str">
        <f>'Por Valoracion (3) Dimension'!B229</f>
        <v>0</v>
      </c>
      <c r="BC229" s="39" t="str">
        <f>'Por Valoracion (3) Dimension 2'!F229</f>
        <v>0</v>
      </c>
      <c r="BX229" s="38"/>
      <c r="BZ229" t="str">
        <f>('Inteligencia emocional'!A230)</f>
        <v>0</v>
      </c>
      <c r="CA229" s="39" t="str">
        <f>'Por Valoracion (3) Dimension'!B229</f>
        <v>0</v>
      </c>
      <c r="CB229" s="39" t="str">
        <f>'Por Valoracion (3) Dimension 2'!H229</f>
        <v>0</v>
      </c>
      <c r="CW229" s="38"/>
      <c r="CY229" s="46"/>
      <c r="DA229" t="str">
        <f>('Inteligencia emocional'!A230)</f>
        <v>0</v>
      </c>
      <c r="DB229" s="39" t="str">
        <f>'Por Valoracion (3) Dimension'!D229</f>
        <v>0</v>
      </c>
      <c r="DC229" s="39" t="str">
        <f>'Por Valoracion (3) Dimension 2'!B229</f>
        <v>0</v>
      </c>
      <c r="DX229" s="46"/>
      <c r="DZ229" t="str">
        <f>('Inteligencia emocional'!A230)</f>
        <v>0</v>
      </c>
      <c r="EA229" s="39" t="str">
        <f>'Por Valoracion (3) Dimension'!D229</f>
        <v>0</v>
      </c>
      <c r="EB229" s="39" t="str">
        <f>'Por Valoracion (3) Dimension 2'!D229</f>
        <v>0</v>
      </c>
      <c r="EW229" s="46"/>
      <c r="EY229" t="str">
        <f>('Inteligencia emocional'!A230)</f>
        <v>0</v>
      </c>
      <c r="EZ229" s="39" t="str">
        <f>'Por Valoracion (3) Dimension'!D229</f>
        <v>0</v>
      </c>
      <c r="FA229" s="39" t="str">
        <f>'Por Valoracion (3) Dimension 2'!F229</f>
        <v>0</v>
      </c>
      <c r="FV229" s="46"/>
      <c r="FX229" t="str">
        <f>('Inteligencia emocional'!A230)</f>
        <v>0</v>
      </c>
      <c r="FY229" s="39" t="str">
        <f>'Por Valoracion (3) Dimension'!D229</f>
        <v>0</v>
      </c>
      <c r="FZ229" s="39" t="str">
        <f>'Por Valoracion (3) Dimension 2'!H229</f>
        <v>0</v>
      </c>
      <c r="GU229" s="46"/>
      <c r="GW229" s="47"/>
      <c r="GY229" t="str">
        <f>('Inteligencia emocional'!A230)</f>
        <v>0</v>
      </c>
      <c r="GZ229" s="39" t="str">
        <f>'Por Valoracion (3) Dimension'!F229</f>
        <v>0</v>
      </c>
      <c r="HA229" s="39" t="str">
        <f>'Por Valoracion (3) Dimension 2'!B229</f>
        <v>0</v>
      </c>
      <c r="HV229" s="47"/>
      <c r="HX229" t="str">
        <f>('Inteligencia emocional'!A230)</f>
        <v>0</v>
      </c>
      <c r="HY229" s="39" t="str">
        <f>'Por Valoracion (3) Dimension'!F229</f>
        <v>0</v>
      </c>
      <c r="HZ229" s="39" t="str">
        <f>'Por Valoracion (3) Dimension 2'!D229</f>
        <v>0</v>
      </c>
      <c r="IU229" s="47"/>
      <c r="IW229" t="str">
        <f>('Inteligencia emocional'!A230)</f>
        <v>0</v>
      </c>
      <c r="IX229" s="39" t="str">
        <f>'Por Valoracion (3) Dimension'!F229</f>
        <v>0</v>
      </c>
      <c r="IY229" s="39" t="str">
        <f>'Por Valoracion (3) Dimension 2'!F229</f>
        <v>0</v>
      </c>
      <c r="JT229" s="47"/>
      <c r="JV229" t="str">
        <f>('Inteligencia emocional'!A230)</f>
        <v>0</v>
      </c>
      <c r="JW229" s="39" t="str">
        <f>'Por Valoracion (3) Dimension'!F229</f>
        <v>0</v>
      </c>
      <c r="JX229" s="39" t="str">
        <f>'Por Valoracion (3) Dimension 2'!H229</f>
        <v>0</v>
      </c>
      <c r="KS229" s="47"/>
    </row>
    <row r="230" spans="1:305">
      <c r="A230" s="38"/>
      <c r="C230" t="str">
        <f>('Inteligencia emocional'!A231)</f>
        <v>0</v>
      </c>
      <c r="D230" s="39" t="str">
        <f>'Por Valoracion (3) Dimension'!B230</f>
        <v>0</v>
      </c>
      <c r="E230" s="39" t="str">
        <f>'Por Valoracion (3) Dimension 2'!B230</f>
        <v>0</v>
      </c>
      <c r="Z230" s="38"/>
      <c r="AB230" t="str">
        <f>('Inteligencia emocional'!A231)</f>
        <v>0</v>
      </c>
      <c r="AC230" s="39" t="str">
        <f>'Por Valoracion (3) Dimension'!B230</f>
        <v>0</v>
      </c>
      <c r="AD230" s="39" t="str">
        <f>'Por Valoracion (3) Dimension 2'!D230</f>
        <v>0</v>
      </c>
      <c r="AY230" s="38"/>
      <c r="BA230" t="str">
        <f>('Inteligencia emocional'!A231)</f>
        <v>0</v>
      </c>
      <c r="BB230" s="39" t="str">
        <f>'Por Valoracion (3) Dimension'!B230</f>
        <v>0</v>
      </c>
      <c r="BC230" s="39" t="str">
        <f>'Por Valoracion (3) Dimension 2'!F230</f>
        <v>0</v>
      </c>
      <c r="BX230" s="38"/>
      <c r="BZ230" t="str">
        <f>('Inteligencia emocional'!A231)</f>
        <v>0</v>
      </c>
      <c r="CA230" s="39" t="str">
        <f>'Por Valoracion (3) Dimension'!B230</f>
        <v>0</v>
      </c>
      <c r="CB230" s="39" t="str">
        <f>'Por Valoracion (3) Dimension 2'!H230</f>
        <v>0</v>
      </c>
      <c r="CW230" s="38"/>
      <c r="CY230" s="46"/>
      <c r="DA230" t="str">
        <f>('Inteligencia emocional'!A231)</f>
        <v>0</v>
      </c>
      <c r="DB230" s="39" t="str">
        <f>'Por Valoracion (3) Dimension'!D230</f>
        <v>0</v>
      </c>
      <c r="DC230" s="39" t="str">
        <f>'Por Valoracion (3) Dimension 2'!B230</f>
        <v>0</v>
      </c>
      <c r="DX230" s="46"/>
      <c r="DZ230" t="str">
        <f>('Inteligencia emocional'!A231)</f>
        <v>0</v>
      </c>
      <c r="EA230" s="39" t="str">
        <f>'Por Valoracion (3) Dimension'!D230</f>
        <v>0</v>
      </c>
      <c r="EB230" s="39" t="str">
        <f>'Por Valoracion (3) Dimension 2'!D230</f>
        <v>0</v>
      </c>
      <c r="EW230" s="46"/>
      <c r="EY230" t="str">
        <f>('Inteligencia emocional'!A231)</f>
        <v>0</v>
      </c>
      <c r="EZ230" s="39" t="str">
        <f>'Por Valoracion (3) Dimension'!D230</f>
        <v>0</v>
      </c>
      <c r="FA230" s="39" t="str">
        <f>'Por Valoracion (3) Dimension 2'!F230</f>
        <v>0</v>
      </c>
      <c r="FV230" s="46"/>
      <c r="FX230" t="str">
        <f>('Inteligencia emocional'!A231)</f>
        <v>0</v>
      </c>
      <c r="FY230" s="39" t="str">
        <f>'Por Valoracion (3) Dimension'!D230</f>
        <v>0</v>
      </c>
      <c r="FZ230" s="39" t="str">
        <f>'Por Valoracion (3) Dimension 2'!H230</f>
        <v>0</v>
      </c>
      <c r="GU230" s="46"/>
      <c r="GW230" s="47"/>
      <c r="GY230" t="str">
        <f>('Inteligencia emocional'!A231)</f>
        <v>0</v>
      </c>
      <c r="GZ230" s="39" t="str">
        <f>'Por Valoracion (3) Dimension'!F230</f>
        <v>0</v>
      </c>
      <c r="HA230" s="39" t="str">
        <f>'Por Valoracion (3) Dimension 2'!B230</f>
        <v>0</v>
      </c>
      <c r="HV230" s="47"/>
      <c r="HX230" t="str">
        <f>('Inteligencia emocional'!A231)</f>
        <v>0</v>
      </c>
      <c r="HY230" s="39" t="str">
        <f>'Por Valoracion (3) Dimension'!F230</f>
        <v>0</v>
      </c>
      <c r="HZ230" s="39" t="str">
        <f>'Por Valoracion (3) Dimension 2'!D230</f>
        <v>0</v>
      </c>
      <c r="IU230" s="47"/>
      <c r="IW230" t="str">
        <f>('Inteligencia emocional'!A231)</f>
        <v>0</v>
      </c>
      <c r="IX230" s="39" t="str">
        <f>'Por Valoracion (3) Dimension'!F230</f>
        <v>0</v>
      </c>
      <c r="IY230" s="39" t="str">
        <f>'Por Valoracion (3) Dimension 2'!F230</f>
        <v>0</v>
      </c>
      <c r="JT230" s="47"/>
      <c r="JV230" t="str">
        <f>('Inteligencia emocional'!A231)</f>
        <v>0</v>
      </c>
      <c r="JW230" s="39" t="str">
        <f>'Por Valoracion (3) Dimension'!F230</f>
        <v>0</v>
      </c>
      <c r="JX230" s="39" t="str">
        <f>'Por Valoracion (3) Dimension 2'!H230</f>
        <v>0</v>
      </c>
      <c r="KS230" s="47"/>
    </row>
    <row r="231" spans="1:305">
      <c r="A231" s="38"/>
      <c r="C231" t="str">
        <f>('Inteligencia emocional'!A232)</f>
        <v>0</v>
      </c>
      <c r="D231" s="39" t="str">
        <f>'Por Valoracion (3) Dimension'!B231</f>
        <v>0</v>
      </c>
      <c r="E231" s="39" t="str">
        <f>'Por Valoracion (3) Dimension 2'!B231</f>
        <v>0</v>
      </c>
      <c r="Z231" s="38"/>
      <c r="AB231" t="str">
        <f>('Inteligencia emocional'!A232)</f>
        <v>0</v>
      </c>
      <c r="AC231" s="39" t="str">
        <f>'Por Valoracion (3) Dimension'!B231</f>
        <v>0</v>
      </c>
      <c r="AD231" s="39" t="str">
        <f>'Por Valoracion (3) Dimension 2'!D231</f>
        <v>0</v>
      </c>
      <c r="AY231" s="38"/>
      <c r="BA231" t="str">
        <f>('Inteligencia emocional'!A232)</f>
        <v>0</v>
      </c>
      <c r="BB231" s="39" t="str">
        <f>'Por Valoracion (3) Dimension'!B231</f>
        <v>0</v>
      </c>
      <c r="BC231" s="39" t="str">
        <f>'Por Valoracion (3) Dimension 2'!F231</f>
        <v>0</v>
      </c>
      <c r="BX231" s="38"/>
      <c r="BZ231" t="str">
        <f>('Inteligencia emocional'!A232)</f>
        <v>0</v>
      </c>
      <c r="CA231" s="39" t="str">
        <f>'Por Valoracion (3) Dimension'!B231</f>
        <v>0</v>
      </c>
      <c r="CB231" s="39" t="str">
        <f>'Por Valoracion (3) Dimension 2'!H231</f>
        <v>0</v>
      </c>
      <c r="CW231" s="38"/>
      <c r="CY231" s="46"/>
      <c r="DA231" t="str">
        <f>('Inteligencia emocional'!A232)</f>
        <v>0</v>
      </c>
      <c r="DB231" s="39" t="str">
        <f>'Por Valoracion (3) Dimension'!D231</f>
        <v>0</v>
      </c>
      <c r="DC231" s="39" t="str">
        <f>'Por Valoracion (3) Dimension 2'!B231</f>
        <v>0</v>
      </c>
      <c r="DX231" s="46"/>
      <c r="DZ231" t="str">
        <f>('Inteligencia emocional'!A232)</f>
        <v>0</v>
      </c>
      <c r="EA231" s="39" t="str">
        <f>'Por Valoracion (3) Dimension'!D231</f>
        <v>0</v>
      </c>
      <c r="EB231" s="39" t="str">
        <f>'Por Valoracion (3) Dimension 2'!D231</f>
        <v>0</v>
      </c>
      <c r="EW231" s="46"/>
      <c r="EY231" t="str">
        <f>('Inteligencia emocional'!A232)</f>
        <v>0</v>
      </c>
      <c r="EZ231" s="39" t="str">
        <f>'Por Valoracion (3) Dimension'!D231</f>
        <v>0</v>
      </c>
      <c r="FA231" s="39" t="str">
        <f>'Por Valoracion (3) Dimension 2'!F231</f>
        <v>0</v>
      </c>
      <c r="FV231" s="46"/>
      <c r="FX231" t="str">
        <f>('Inteligencia emocional'!A232)</f>
        <v>0</v>
      </c>
      <c r="FY231" s="39" t="str">
        <f>'Por Valoracion (3) Dimension'!D231</f>
        <v>0</v>
      </c>
      <c r="FZ231" s="39" t="str">
        <f>'Por Valoracion (3) Dimension 2'!H231</f>
        <v>0</v>
      </c>
      <c r="GU231" s="46"/>
      <c r="GW231" s="47"/>
      <c r="GY231" t="str">
        <f>('Inteligencia emocional'!A232)</f>
        <v>0</v>
      </c>
      <c r="GZ231" s="39" t="str">
        <f>'Por Valoracion (3) Dimension'!F231</f>
        <v>0</v>
      </c>
      <c r="HA231" s="39" t="str">
        <f>'Por Valoracion (3) Dimension 2'!B231</f>
        <v>0</v>
      </c>
      <c r="HV231" s="47"/>
      <c r="HX231" t="str">
        <f>('Inteligencia emocional'!A232)</f>
        <v>0</v>
      </c>
      <c r="HY231" s="39" t="str">
        <f>'Por Valoracion (3) Dimension'!F231</f>
        <v>0</v>
      </c>
      <c r="HZ231" s="39" t="str">
        <f>'Por Valoracion (3) Dimension 2'!D231</f>
        <v>0</v>
      </c>
      <c r="IU231" s="47"/>
      <c r="IW231" t="str">
        <f>('Inteligencia emocional'!A232)</f>
        <v>0</v>
      </c>
      <c r="IX231" s="39" t="str">
        <f>'Por Valoracion (3) Dimension'!F231</f>
        <v>0</v>
      </c>
      <c r="IY231" s="39" t="str">
        <f>'Por Valoracion (3) Dimension 2'!F231</f>
        <v>0</v>
      </c>
      <c r="JT231" s="47"/>
      <c r="JV231" t="str">
        <f>('Inteligencia emocional'!A232)</f>
        <v>0</v>
      </c>
      <c r="JW231" s="39" t="str">
        <f>'Por Valoracion (3) Dimension'!F231</f>
        <v>0</v>
      </c>
      <c r="JX231" s="39" t="str">
        <f>'Por Valoracion (3) Dimension 2'!H231</f>
        <v>0</v>
      </c>
      <c r="KS231" s="47"/>
    </row>
    <row r="232" spans="1:305">
      <c r="A232" s="38"/>
      <c r="C232" t="str">
        <f>('Inteligencia emocional'!A233)</f>
        <v>0</v>
      </c>
      <c r="D232" s="39" t="str">
        <f>'Por Valoracion (3) Dimension'!B232</f>
        <v>0</v>
      </c>
      <c r="E232" s="39" t="str">
        <f>'Por Valoracion (3) Dimension 2'!B232</f>
        <v>0</v>
      </c>
      <c r="Z232" s="38"/>
      <c r="AB232" t="str">
        <f>('Inteligencia emocional'!A233)</f>
        <v>0</v>
      </c>
      <c r="AC232" s="39" t="str">
        <f>'Por Valoracion (3) Dimension'!B232</f>
        <v>0</v>
      </c>
      <c r="AD232" s="39" t="str">
        <f>'Por Valoracion (3) Dimension 2'!D232</f>
        <v>0</v>
      </c>
      <c r="AY232" s="38"/>
      <c r="BA232" t="str">
        <f>('Inteligencia emocional'!A233)</f>
        <v>0</v>
      </c>
      <c r="BB232" s="39" t="str">
        <f>'Por Valoracion (3) Dimension'!B232</f>
        <v>0</v>
      </c>
      <c r="BC232" s="39" t="str">
        <f>'Por Valoracion (3) Dimension 2'!F232</f>
        <v>0</v>
      </c>
      <c r="BX232" s="38"/>
      <c r="BZ232" t="str">
        <f>('Inteligencia emocional'!A233)</f>
        <v>0</v>
      </c>
      <c r="CA232" s="39" t="str">
        <f>'Por Valoracion (3) Dimension'!B232</f>
        <v>0</v>
      </c>
      <c r="CB232" s="39" t="str">
        <f>'Por Valoracion (3) Dimension 2'!H232</f>
        <v>0</v>
      </c>
      <c r="CW232" s="38"/>
      <c r="CY232" s="46"/>
      <c r="DA232" t="str">
        <f>('Inteligencia emocional'!A233)</f>
        <v>0</v>
      </c>
      <c r="DB232" s="39" t="str">
        <f>'Por Valoracion (3) Dimension'!D232</f>
        <v>0</v>
      </c>
      <c r="DC232" s="39" t="str">
        <f>'Por Valoracion (3) Dimension 2'!B232</f>
        <v>0</v>
      </c>
      <c r="DX232" s="46"/>
      <c r="DZ232" t="str">
        <f>('Inteligencia emocional'!A233)</f>
        <v>0</v>
      </c>
      <c r="EA232" s="39" t="str">
        <f>'Por Valoracion (3) Dimension'!D232</f>
        <v>0</v>
      </c>
      <c r="EB232" s="39" t="str">
        <f>'Por Valoracion (3) Dimension 2'!D232</f>
        <v>0</v>
      </c>
      <c r="EW232" s="46"/>
      <c r="EY232" t="str">
        <f>('Inteligencia emocional'!A233)</f>
        <v>0</v>
      </c>
      <c r="EZ232" s="39" t="str">
        <f>'Por Valoracion (3) Dimension'!D232</f>
        <v>0</v>
      </c>
      <c r="FA232" s="39" t="str">
        <f>'Por Valoracion (3) Dimension 2'!F232</f>
        <v>0</v>
      </c>
      <c r="FV232" s="46"/>
      <c r="FX232" t="str">
        <f>('Inteligencia emocional'!A233)</f>
        <v>0</v>
      </c>
      <c r="FY232" s="39" t="str">
        <f>'Por Valoracion (3) Dimension'!D232</f>
        <v>0</v>
      </c>
      <c r="FZ232" s="39" t="str">
        <f>'Por Valoracion (3) Dimension 2'!H232</f>
        <v>0</v>
      </c>
      <c r="GU232" s="46"/>
      <c r="GW232" s="47"/>
      <c r="GY232" t="str">
        <f>('Inteligencia emocional'!A233)</f>
        <v>0</v>
      </c>
      <c r="GZ232" s="39" t="str">
        <f>'Por Valoracion (3) Dimension'!F232</f>
        <v>0</v>
      </c>
      <c r="HA232" s="39" t="str">
        <f>'Por Valoracion (3) Dimension 2'!B232</f>
        <v>0</v>
      </c>
      <c r="HV232" s="47"/>
      <c r="HX232" t="str">
        <f>('Inteligencia emocional'!A233)</f>
        <v>0</v>
      </c>
      <c r="HY232" s="39" t="str">
        <f>'Por Valoracion (3) Dimension'!F232</f>
        <v>0</v>
      </c>
      <c r="HZ232" s="39" t="str">
        <f>'Por Valoracion (3) Dimension 2'!D232</f>
        <v>0</v>
      </c>
      <c r="IU232" s="47"/>
      <c r="IW232" t="str">
        <f>('Inteligencia emocional'!A233)</f>
        <v>0</v>
      </c>
      <c r="IX232" s="39" t="str">
        <f>'Por Valoracion (3) Dimension'!F232</f>
        <v>0</v>
      </c>
      <c r="IY232" s="39" t="str">
        <f>'Por Valoracion (3) Dimension 2'!F232</f>
        <v>0</v>
      </c>
      <c r="JT232" s="47"/>
      <c r="JV232" t="str">
        <f>('Inteligencia emocional'!A233)</f>
        <v>0</v>
      </c>
      <c r="JW232" s="39" t="str">
        <f>'Por Valoracion (3) Dimension'!F232</f>
        <v>0</v>
      </c>
      <c r="JX232" s="39" t="str">
        <f>'Por Valoracion (3) Dimension 2'!H232</f>
        <v>0</v>
      </c>
      <c r="KS232" s="47"/>
    </row>
    <row r="233" spans="1:305">
      <c r="A233" s="38"/>
      <c r="C233" t="str">
        <f>('Inteligencia emocional'!A234)</f>
        <v>0</v>
      </c>
      <c r="D233" s="39" t="str">
        <f>'Por Valoracion (3) Dimension'!B233</f>
        <v>0</v>
      </c>
      <c r="E233" s="39" t="str">
        <f>'Por Valoracion (3) Dimension 2'!B233</f>
        <v>0</v>
      </c>
      <c r="Z233" s="38"/>
      <c r="AB233" t="str">
        <f>('Inteligencia emocional'!A234)</f>
        <v>0</v>
      </c>
      <c r="AC233" s="39" t="str">
        <f>'Por Valoracion (3) Dimension'!B233</f>
        <v>0</v>
      </c>
      <c r="AD233" s="39" t="str">
        <f>'Por Valoracion (3) Dimension 2'!D233</f>
        <v>0</v>
      </c>
      <c r="AY233" s="38"/>
      <c r="BA233" t="str">
        <f>('Inteligencia emocional'!A234)</f>
        <v>0</v>
      </c>
      <c r="BB233" s="39" t="str">
        <f>'Por Valoracion (3) Dimension'!B233</f>
        <v>0</v>
      </c>
      <c r="BC233" s="39" t="str">
        <f>'Por Valoracion (3) Dimension 2'!F233</f>
        <v>0</v>
      </c>
      <c r="BX233" s="38"/>
      <c r="BZ233" t="str">
        <f>('Inteligencia emocional'!A234)</f>
        <v>0</v>
      </c>
      <c r="CA233" s="39" t="str">
        <f>'Por Valoracion (3) Dimension'!B233</f>
        <v>0</v>
      </c>
      <c r="CB233" s="39" t="str">
        <f>'Por Valoracion (3) Dimension 2'!H233</f>
        <v>0</v>
      </c>
      <c r="CW233" s="38"/>
      <c r="CY233" s="46"/>
      <c r="DA233" t="str">
        <f>('Inteligencia emocional'!A234)</f>
        <v>0</v>
      </c>
      <c r="DB233" s="39" t="str">
        <f>'Por Valoracion (3) Dimension'!D233</f>
        <v>0</v>
      </c>
      <c r="DC233" s="39" t="str">
        <f>'Por Valoracion (3) Dimension 2'!B233</f>
        <v>0</v>
      </c>
      <c r="DX233" s="46"/>
      <c r="DZ233" t="str">
        <f>('Inteligencia emocional'!A234)</f>
        <v>0</v>
      </c>
      <c r="EA233" s="39" t="str">
        <f>'Por Valoracion (3) Dimension'!D233</f>
        <v>0</v>
      </c>
      <c r="EB233" s="39" t="str">
        <f>'Por Valoracion (3) Dimension 2'!D233</f>
        <v>0</v>
      </c>
      <c r="EW233" s="46"/>
      <c r="EY233" t="str">
        <f>('Inteligencia emocional'!A234)</f>
        <v>0</v>
      </c>
      <c r="EZ233" s="39" t="str">
        <f>'Por Valoracion (3) Dimension'!D233</f>
        <v>0</v>
      </c>
      <c r="FA233" s="39" t="str">
        <f>'Por Valoracion (3) Dimension 2'!F233</f>
        <v>0</v>
      </c>
      <c r="FV233" s="46"/>
      <c r="FX233" t="str">
        <f>('Inteligencia emocional'!A234)</f>
        <v>0</v>
      </c>
      <c r="FY233" s="39" t="str">
        <f>'Por Valoracion (3) Dimension'!D233</f>
        <v>0</v>
      </c>
      <c r="FZ233" s="39" t="str">
        <f>'Por Valoracion (3) Dimension 2'!H233</f>
        <v>0</v>
      </c>
      <c r="GU233" s="46"/>
      <c r="GW233" s="47"/>
      <c r="GY233" t="str">
        <f>('Inteligencia emocional'!A234)</f>
        <v>0</v>
      </c>
      <c r="GZ233" s="39" t="str">
        <f>'Por Valoracion (3) Dimension'!F233</f>
        <v>0</v>
      </c>
      <c r="HA233" s="39" t="str">
        <f>'Por Valoracion (3) Dimension 2'!B233</f>
        <v>0</v>
      </c>
      <c r="HV233" s="47"/>
      <c r="HX233" t="str">
        <f>('Inteligencia emocional'!A234)</f>
        <v>0</v>
      </c>
      <c r="HY233" s="39" t="str">
        <f>'Por Valoracion (3) Dimension'!F233</f>
        <v>0</v>
      </c>
      <c r="HZ233" s="39" t="str">
        <f>'Por Valoracion (3) Dimension 2'!D233</f>
        <v>0</v>
      </c>
      <c r="IU233" s="47"/>
      <c r="IW233" t="str">
        <f>('Inteligencia emocional'!A234)</f>
        <v>0</v>
      </c>
      <c r="IX233" s="39" t="str">
        <f>'Por Valoracion (3) Dimension'!F233</f>
        <v>0</v>
      </c>
      <c r="IY233" s="39" t="str">
        <f>'Por Valoracion (3) Dimension 2'!F233</f>
        <v>0</v>
      </c>
      <c r="JT233" s="47"/>
      <c r="JV233" t="str">
        <f>('Inteligencia emocional'!A234)</f>
        <v>0</v>
      </c>
      <c r="JW233" s="39" t="str">
        <f>'Por Valoracion (3) Dimension'!F233</f>
        <v>0</v>
      </c>
      <c r="JX233" s="39" t="str">
        <f>'Por Valoracion (3) Dimension 2'!H233</f>
        <v>0</v>
      </c>
      <c r="KS233" s="47"/>
    </row>
    <row r="234" spans="1:305">
      <c r="A234" s="38"/>
      <c r="C234" t="str">
        <f>('Inteligencia emocional'!A235)</f>
        <v>0</v>
      </c>
      <c r="D234" s="39" t="str">
        <f>'Por Valoracion (3) Dimension'!B234</f>
        <v>0</v>
      </c>
      <c r="E234" s="39" t="str">
        <f>'Por Valoracion (3) Dimension 2'!B234</f>
        <v>0</v>
      </c>
      <c r="Z234" s="38"/>
      <c r="AB234" t="str">
        <f>('Inteligencia emocional'!A235)</f>
        <v>0</v>
      </c>
      <c r="AC234" s="39" t="str">
        <f>'Por Valoracion (3) Dimension'!B234</f>
        <v>0</v>
      </c>
      <c r="AD234" s="39" t="str">
        <f>'Por Valoracion (3) Dimension 2'!D234</f>
        <v>0</v>
      </c>
      <c r="AY234" s="38"/>
      <c r="BA234" t="str">
        <f>('Inteligencia emocional'!A235)</f>
        <v>0</v>
      </c>
      <c r="BB234" s="39" t="str">
        <f>'Por Valoracion (3) Dimension'!B234</f>
        <v>0</v>
      </c>
      <c r="BC234" s="39" t="str">
        <f>'Por Valoracion (3) Dimension 2'!F234</f>
        <v>0</v>
      </c>
      <c r="BX234" s="38"/>
      <c r="BZ234" t="str">
        <f>('Inteligencia emocional'!A235)</f>
        <v>0</v>
      </c>
      <c r="CA234" s="39" t="str">
        <f>'Por Valoracion (3) Dimension'!B234</f>
        <v>0</v>
      </c>
      <c r="CB234" s="39" t="str">
        <f>'Por Valoracion (3) Dimension 2'!H234</f>
        <v>0</v>
      </c>
      <c r="CW234" s="38"/>
      <c r="CY234" s="46"/>
      <c r="DA234" t="str">
        <f>('Inteligencia emocional'!A235)</f>
        <v>0</v>
      </c>
      <c r="DB234" s="39" t="str">
        <f>'Por Valoracion (3) Dimension'!D234</f>
        <v>0</v>
      </c>
      <c r="DC234" s="39" t="str">
        <f>'Por Valoracion (3) Dimension 2'!B234</f>
        <v>0</v>
      </c>
      <c r="DX234" s="46"/>
      <c r="DZ234" t="str">
        <f>('Inteligencia emocional'!A235)</f>
        <v>0</v>
      </c>
      <c r="EA234" s="39" t="str">
        <f>'Por Valoracion (3) Dimension'!D234</f>
        <v>0</v>
      </c>
      <c r="EB234" s="39" t="str">
        <f>'Por Valoracion (3) Dimension 2'!D234</f>
        <v>0</v>
      </c>
      <c r="EW234" s="46"/>
      <c r="EY234" t="str">
        <f>('Inteligencia emocional'!A235)</f>
        <v>0</v>
      </c>
      <c r="EZ234" s="39" t="str">
        <f>'Por Valoracion (3) Dimension'!D234</f>
        <v>0</v>
      </c>
      <c r="FA234" s="39" t="str">
        <f>'Por Valoracion (3) Dimension 2'!F234</f>
        <v>0</v>
      </c>
      <c r="FV234" s="46"/>
      <c r="FX234" t="str">
        <f>('Inteligencia emocional'!A235)</f>
        <v>0</v>
      </c>
      <c r="FY234" s="39" t="str">
        <f>'Por Valoracion (3) Dimension'!D234</f>
        <v>0</v>
      </c>
      <c r="FZ234" s="39" t="str">
        <f>'Por Valoracion (3) Dimension 2'!H234</f>
        <v>0</v>
      </c>
      <c r="GU234" s="46"/>
      <c r="GW234" s="47"/>
      <c r="GY234" t="str">
        <f>('Inteligencia emocional'!A235)</f>
        <v>0</v>
      </c>
      <c r="GZ234" s="39" t="str">
        <f>'Por Valoracion (3) Dimension'!F234</f>
        <v>0</v>
      </c>
      <c r="HA234" s="39" t="str">
        <f>'Por Valoracion (3) Dimension 2'!B234</f>
        <v>0</v>
      </c>
      <c r="HV234" s="47"/>
      <c r="HX234" t="str">
        <f>('Inteligencia emocional'!A235)</f>
        <v>0</v>
      </c>
      <c r="HY234" s="39" t="str">
        <f>'Por Valoracion (3) Dimension'!F234</f>
        <v>0</v>
      </c>
      <c r="HZ234" s="39" t="str">
        <f>'Por Valoracion (3) Dimension 2'!D234</f>
        <v>0</v>
      </c>
      <c r="IU234" s="47"/>
      <c r="IW234" t="str">
        <f>('Inteligencia emocional'!A235)</f>
        <v>0</v>
      </c>
      <c r="IX234" s="39" t="str">
        <f>'Por Valoracion (3) Dimension'!F234</f>
        <v>0</v>
      </c>
      <c r="IY234" s="39" t="str">
        <f>'Por Valoracion (3) Dimension 2'!F234</f>
        <v>0</v>
      </c>
      <c r="JT234" s="47"/>
      <c r="JV234" t="str">
        <f>('Inteligencia emocional'!A235)</f>
        <v>0</v>
      </c>
      <c r="JW234" s="39" t="str">
        <f>'Por Valoracion (3) Dimension'!F234</f>
        <v>0</v>
      </c>
      <c r="JX234" s="39" t="str">
        <f>'Por Valoracion (3) Dimension 2'!H234</f>
        <v>0</v>
      </c>
      <c r="KS234" s="47"/>
    </row>
    <row r="235" spans="1:305">
      <c r="A235" s="38"/>
      <c r="C235" t="str">
        <f>('Inteligencia emocional'!A236)</f>
        <v>0</v>
      </c>
      <c r="D235" s="39" t="str">
        <f>'Por Valoracion (3) Dimension'!B235</f>
        <v>0</v>
      </c>
      <c r="E235" s="39" t="str">
        <f>'Por Valoracion (3) Dimension 2'!B235</f>
        <v>0</v>
      </c>
      <c r="Z235" s="38"/>
      <c r="AB235" t="str">
        <f>('Inteligencia emocional'!A236)</f>
        <v>0</v>
      </c>
      <c r="AC235" s="39" t="str">
        <f>'Por Valoracion (3) Dimension'!B235</f>
        <v>0</v>
      </c>
      <c r="AD235" s="39" t="str">
        <f>'Por Valoracion (3) Dimension 2'!D235</f>
        <v>0</v>
      </c>
      <c r="AY235" s="38"/>
      <c r="BA235" t="str">
        <f>('Inteligencia emocional'!A236)</f>
        <v>0</v>
      </c>
      <c r="BB235" s="39" t="str">
        <f>'Por Valoracion (3) Dimension'!B235</f>
        <v>0</v>
      </c>
      <c r="BC235" s="39" t="str">
        <f>'Por Valoracion (3) Dimension 2'!F235</f>
        <v>0</v>
      </c>
      <c r="BX235" s="38"/>
      <c r="BZ235" t="str">
        <f>('Inteligencia emocional'!A236)</f>
        <v>0</v>
      </c>
      <c r="CA235" s="39" t="str">
        <f>'Por Valoracion (3) Dimension'!B235</f>
        <v>0</v>
      </c>
      <c r="CB235" s="39" t="str">
        <f>'Por Valoracion (3) Dimension 2'!H235</f>
        <v>0</v>
      </c>
      <c r="CW235" s="38"/>
      <c r="CY235" s="46"/>
      <c r="DA235" t="str">
        <f>('Inteligencia emocional'!A236)</f>
        <v>0</v>
      </c>
      <c r="DB235" s="39" t="str">
        <f>'Por Valoracion (3) Dimension'!D235</f>
        <v>0</v>
      </c>
      <c r="DC235" s="39" t="str">
        <f>'Por Valoracion (3) Dimension 2'!B235</f>
        <v>0</v>
      </c>
      <c r="DX235" s="46"/>
      <c r="DZ235" t="str">
        <f>('Inteligencia emocional'!A236)</f>
        <v>0</v>
      </c>
      <c r="EA235" s="39" t="str">
        <f>'Por Valoracion (3) Dimension'!D235</f>
        <v>0</v>
      </c>
      <c r="EB235" s="39" t="str">
        <f>'Por Valoracion (3) Dimension 2'!D235</f>
        <v>0</v>
      </c>
      <c r="EW235" s="46"/>
      <c r="EY235" t="str">
        <f>('Inteligencia emocional'!A236)</f>
        <v>0</v>
      </c>
      <c r="EZ235" s="39" t="str">
        <f>'Por Valoracion (3) Dimension'!D235</f>
        <v>0</v>
      </c>
      <c r="FA235" s="39" t="str">
        <f>'Por Valoracion (3) Dimension 2'!F235</f>
        <v>0</v>
      </c>
      <c r="FV235" s="46"/>
      <c r="FX235" t="str">
        <f>('Inteligencia emocional'!A236)</f>
        <v>0</v>
      </c>
      <c r="FY235" s="39" t="str">
        <f>'Por Valoracion (3) Dimension'!D235</f>
        <v>0</v>
      </c>
      <c r="FZ235" s="39" t="str">
        <f>'Por Valoracion (3) Dimension 2'!H235</f>
        <v>0</v>
      </c>
      <c r="GU235" s="46"/>
      <c r="GW235" s="47"/>
      <c r="GY235" t="str">
        <f>('Inteligencia emocional'!A236)</f>
        <v>0</v>
      </c>
      <c r="GZ235" s="39" t="str">
        <f>'Por Valoracion (3) Dimension'!F235</f>
        <v>0</v>
      </c>
      <c r="HA235" s="39" t="str">
        <f>'Por Valoracion (3) Dimension 2'!B235</f>
        <v>0</v>
      </c>
      <c r="HV235" s="47"/>
      <c r="HX235" t="str">
        <f>('Inteligencia emocional'!A236)</f>
        <v>0</v>
      </c>
      <c r="HY235" s="39" t="str">
        <f>'Por Valoracion (3) Dimension'!F235</f>
        <v>0</v>
      </c>
      <c r="HZ235" s="39" t="str">
        <f>'Por Valoracion (3) Dimension 2'!D235</f>
        <v>0</v>
      </c>
      <c r="IU235" s="47"/>
      <c r="IW235" t="str">
        <f>('Inteligencia emocional'!A236)</f>
        <v>0</v>
      </c>
      <c r="IX235" s="39" t="str">
        <f>'Por Valoracion (3) Dimension'!F235</f>
        <v>0</v>
      </c>
      <c r="IY235" s="39" t="str">
        <f>'Por Valoracion (3) Dimension 2'!F235</f>
        <v>0</v>
      </c>
      <c r="JT235" s="47"/>
      <c r="JV235" t="str">
        <f>('Inteligencia emocional'!A236)</f>
        <v>0</v>
      </c>
      <c r="JW235" s="39" t="str">
        <f>'Por Valoracion (3) Dimension'!F235</f>
        <v>0</v>
      </c>
      <c r="JX235" s="39" t="str">
        <f>'Por Valoracion (3) Dimension 2'!H235</f>
        <v>0</v>
      </c>
      <c r="KS235" s="47"/>
    </row>
    <row r="236" spans="1:305">
      <c r="A236" s="38"/>
      <c r="C236" t="str">
        <f>('Inteligencia emocional'!A237)</f>
        <v>0</v>
      </c>
      <c r="D236" s="39" t="str">
        <f>'Por Valoracion (3) Dimension'!B236</f>
        <v>0</v>
      </c>
      <c r="E236" s="39" t="str">
        <f>'Por Valoracion (3) Dimension 2'!B236</f>
        <v>0</v>
      </c>
      <c r="Z236" s="38"/>
      <c r="AB236" t="str">
        <f>('Inteligencia emocional'!A237)</f>
        <v>0</v>
      </c>
      <c r="AC236" s="39" t="str">
        <f>'Por Valoracion (3) Dimension'!B236</f>
        <v>0</v>
      </c>
      <c r="AD236" s="39" t="str">
        <f>'Por Valoracion (3) Dimension 2'!D236</f>
        <v>0</v>
      </c>
      <c r="AY236" s="38"/>
      <c r="BA236" t="str">
        <f>('Inteligencia emocional'!A237)</f>
        <v>0</v>
      </c>
      <c r="BB236" s="39" t="str">
        <f>'Por Valoracion (3) Dimension'!B236</f>
        <v>0</v>
      </c>
      <c r="BC236" s="39" t="str">
        <f>'Por Valoracion (3) Dimension 2'!F236</f>
        <v>0</v>
      </c>
      <c r="BX236" s="38"/>
      <c r="BZ236" t="str">
        <f>('Inteligencia emocional'!A237)</f>
        <v>0</v>
      </c>
      <c r="CA236" s="39" t="str">
        <f>'Por Valoracion (3) Dimension'!B236</f>
        <v>0</v>
      </c>
      <c r="CB236" s="39" t="str">
        <f>'Por Valoracion (3) Dimension 2'!H236</f>
        <v>0</v>
      </c>
      <c r="CW236" s="38"/>
      <c r="CY236" s="46"/>
      <c r="DA236" t="str">
        <f>('Inteligencia emocional'!A237)</f>
        <v>0</v>
      </c>
      <c r="DB236" s="39" t="str">
        <f>'Por Valoracion (3) Dimension'!D236</f>
        <v>0</v>
      </c>
      <c r="DC236" s="39" t="str">
        <f>'Por Valoracion (3) Dimension 2'!B236</f>
        <v>0</v>
      </c>
      <c r="DX236" s="46"/>
      <c r="DZ236" t="str">
        <f>('Inteligencia emocional'!A237)</f>
        <v>0</v>
      </c>
      <c r="EA236" s="39" t="str">
        <f>'Por Valoracion (3) Dimension'!D236</f>
        <v>0</v>
      </c>
      <c r="EB236" s="39" t="str">
        <f>'Por Valoracion (3) Dimension 2'!D236</f>
        <v>0</v>
      </c>
      <c r="EW236" s="46"/>
      <c r="EY236" t="str">
        <f>('Inteligencia emocional'!A237)</f>
        <v>0</v>
      </c>
      <c r="EZ236" s="39" t="str">
        <f>'Por Valoracion (3) Dimension'!D236</f>
        <v>0</v>
      </c>
      <c r="FA236" s="39" t="str">
        <f>'Por Valoracion (3) Dimension 2'!F236</f>
        <v>0</v>
      </c>
      <c r="FV236" s="46"/>
      <c r="FX236" t="str">
        <f>('Inteligencia emocional'!A237)</f>
        <v>0</v>
      </c>
      <c r="FY236" s="39" t="str">
        <f>'Por Valoracion (3) Dimension'!D236</f>
        <v>0</v>
      </c>
      <c r="FZ236" s="39" t="str">
        <f>'Por Valoracion (3) Dimension 2'!H236</f>
        <v>0</v>
      </c>
      <c r="GU236" s="46"/>
      <c r="GW236" s="47"/>
      <c r="GY236" t="str">
        <f>('Inteligencia emocional'!A237)</f>
        <v>0</v>
      </c>
      <c r="GZ236" s="39" t="str">
        <f>'Por Valoracion (3) Dimension'!F236</f>
        <v>0</v>
      </c>
      <c r="HA236" s="39" t="str">
        <f>'Por Valoracion (3) Dimension 2'!B236</f>
        <v>0</v>
      </c>
      <c r="HV236" s="47"/>
      <c r="HX236" t="str">
        <f>('Inteligencia emocional'!A237)</f>
        <v>0</v>
      </c>
      <c r="HY236" s="39" t="str">
        <f>'Por Valoracion (3) Dimension'!F236</f>
        <v>0</v>
      </c>
      <c r="HZ236" s="39" t="str">
        <f>'Por Valoracion (3) Dimension 2'!D236</f>
        <v>0</v>
      </c>
      <c r="IU236" s="47"/>
      <c r="IW236" t="str">
        <f>('Inteligencia emocional'!A237)</f>
        <v>0</v>
      </c>
      <c r="IX236" s="39" t="str">
        <f>'Por Valoracion (3) Dimension'!F236</f>
        <v>0</v>
      </c>
      <c r="IY236" s="39" t="str">
        <f>'Por Valoracion (3) Dimension 2'!F236</f>
        <v>0</v>
      </c>
      <c r="JT236" s="47"/>
      <c r="JV236" t="str">
        <f>('Inteligencia emocional'!A237)</f>
        <v>0</v>
      </c>
      <c r="JW236" s="39" t="str">
        <f>'Por Valoracion (3) Dimension'!F236</f>
        <v>0</v>
      </c>
      <c r="JX236" s="39" t="str">
        <f>'Por Valoracion (3) Dimension 2'!H236</f>
        <v>0</v>
      </c>
      <c r="KS236" s="47"/>
    </row>
    <row r="237" spans="1:305">
      <c r="A237" s="38"/>
      <c r="C237" t="str">
        <f>('Inteligencia emocional'!A238)</f>
        <v>0</v>
      </c>
      <c r="D237" s="39" t="str">
        <f>'Por Valoracion (3) Dimension'!B237</f>
        <v>0</v>
      </c>
      <c r="E237" s="39" t="str">
        <f>'Por Valoracion (3) Dimension 2'!B237</f>
        <v>0</v>
      </c>
      <c r="Z237" s="38"/>
      <c r="AB237" t="str">
        <f>('Inteligencia emocional'!A238)</f>
        <v>0</v>
      </c>
      <c r="AC237" s="39" t="str">
        <f>'Por Valoracion (3) Dimension'!B237</f>
        <v>0</v>
      </c>
      <c r="AD237" s="39" t="str">
        <f>'Por Valoracion (3) Dimension 2'!D237</f>
        <v>0</v>
      </c>
      <c r="AY237" s="38"/>
      <c r="BA237" t="str">
        <f>('Inteligencia emocional'!A238)</f>
        <v>0</v>
      </c>
      <c r="BB237" s="39" t="str">
        <f>'Por Valoracion (3) Dimension'!B237</f>
        <v>0</v>
      </c>
      <c r="BC237" s="39" t="str">
        <f>'Por Valoracion (3) Dimension 2'!F237</f>
        <v>0</v>
      </c>
      <c r="BX237" s="38"/>
      <c r="BZ237" t="str">
        <f>('Inteligencia emocional'!A238)</f>
        <v>0</v>
      </c>
      <c r="CA237" s="39" t="str">
        <f>'Por Valoracion (3) Dimension'!B237</f>
        <v>0</v>
      </c>
      <c r="CB237" s="39" t="str">
        <f>'Por Valoracion (3) Dimension 2'!H237</f>
        <v>0</v>
      </c>
      <c r="CW237" s="38"/>
      <c r="CY237" s="46"/>
      <c r="DA237" t="str">
        <f>('Inteligencia emocional'!A238)</f>
        <v>0</v>
      </c>
      <c r="DB237" s="39" t="str">
        <f>'Por Valoracion (3) Dimension'!D237</f>
        <v>0</v>
      </c>
      <c r="DC237" s="39" t="str">
        <f>'Por Valoracion (3) Dimension 2'!B237</f>
        <v>0</v>
      </c>
      <c r="DX237" s="46"/>
      <c r="DZ237" t="str">
        <f>('Inteligencia emocional'!A238)</f>
        <v>0</v>
      </c>
      <c r="EA237" s="39" t="str">
        <f>'Por Valoracion (3) Dimension'!D237</f>
        <v>0</v>
      </c>
      <c r="EB237" s="39" t="str">
        <f>'Por Valoracion (3) Dimension 2'!D237</f>
        <v>0</v>
      </c>
      <c r="EW237" s="46"/>
      <c r="EY237" t="str">
        <f>('Inteligencia emocional'!A238)</f>
        <v>0</v>
      </c>
      <c r="EZ237" s="39" t="str">
        <f>'Por Valoracion (3) Dimension'!D237</f>
        <v>0</v>
      </c>
      <c r="FA237" s="39" t="str">
        <f>'Por Valoracion (3) Dimension 2'!F237</f>
        <v>0</v>
      </c>
      <c r="FV237" s="46"/>
      <c r="FX237" t="str">
        <f>('Inteligencia emocional'!A238)</f>
        <v>0</v>
      </c>
      <c r="FY237" s="39" t="str">
        <f>'Por Valoracion (3) Dimension'!D237</f>
        <v>0</v>
      </c>
      <c r="FZ237" s="39" t="str">
        <f>'Por Valoracion (3) Dimension 2'!H237</f>
        <v>0</v>
      </c>
      <c r="GU237" s="46"/>
      <c r="GW237" s="47"/>
      <c r="GY237" t="str">
        <f>('Inteligencia emocional'!A238)</f>
        <v>0</v>
      </c>
      <c r="GZ237" s="39" t="str">
        <f>'Por Valoracion (3) Dimension'!F237</f>
        <v>0</v>
      </c>
      <c r="HA237" s="39" t="str">
        <f>'Por Valoracion (3) Dimension 2'!B237</f>
        <v>0</v>
      </c>
      <c r="HV237" s="47"/>
      <c r="HX237" t="str">
        <f>('Inteligencia emocional'!A238)</f>
        <v>0</v>
      </c>
      <c r="HY237" s="39" t="str">
        <f>'Por Valoracion (3) Dimension'!F237</f>
        <v>0</v>
      </c>
      <c r="HZ237" s="39" t="str">
        <f>'Por Valoracion (3) Dimension 2'!D237</f>
        <v>0</v>
      </c>
      <c r="IU237" s="47"/>
      <c r="IW237" t="str">
        <f>('Inteligencia emocional'!A238)</f>
        <v>0</v>
      </c>
      <c r="IX237" s="39" t="str">
        <f>'Por Valoracion (3) Dimension'!F237</f>
        <v>0</v>
      </c>
      <c r="IY237" s="39" t="str">
        <f>'Por Valoracion (3) Dimension 2'!F237</f>
        <v>0</v>
      </c>
      <c r="JT237" s="47"/>
      <c r="JV237" t="str">
        <f>('Inteligencia emocional'!A238)</f>
        <v>0</v>
      </c>
      <c r="JW237" s="39" t="str">
        <f>'Por Valoracion (3) Dimension'!F237</f>
        <v>0</v>
      </c>
      <c r="JX237" s="39" t="str">
        <f>'Por Valoracion (3) Dimension 2'!H237</f>
        <v>0</v>
      </c>
      <c r="KS237" s="47"/>
    </row>
    <row r="238" spans="1:305">
      <c r="A238" s="38"/>
      <c r="C238" t="str">
        <f>('Inteligencia emocional'!A239)</f>
        <v>0</v>
      </c>
      <c r="D238" s="39" t="str">
        <f>'Por Valoracion (3) Dimension'!B238</f>
        <v>0</v>
      </c>
      <c r="E238" s="39" t="str">
        <f>'Por Valoracion (3) Dimension 2'!B238</f>
        <v>0</v>
      </c>
      <c r="Z238" s="38"/>
      <c r="AB238" t="str">
        <f>('Inteligencia emocional'!A239)</f>
        <v>0</v>
      </c>
      <c r="AC238" s="39" t="str">
        <f>'Por Valoracion (3) Dimension'!B238</f>
        <v>0</v>
      </c>
      <c r="AD238" s="39" t="str">
        <f>'Por Valoracion (3) Dimension 2'!D238</f>
        <v>0</v>
      </c>
      <c r="AY238" s="38"/>
      <c r="BA238" t="str">
        <f>('Inteligencia emocional'!A239)</f>
        <v>0</v>
      </c>
      <c r="BB238" s="39" t="str">
        <f>'Por Valoracion (3) Dimension'!B238</f>
        <v>0</v>
      </c>
      <c r="BC238" s="39" t="str">
        <f>'Por Valoracion (3) Dimension 2'!F238</f>
        <v>0</v>
      </c>
      <c r="BX238" s="38"/>
      <c r="BZ238" t="str">
        <f>('Inteligencia emocional'!A239)</f>
        <v>0</v>
      </c>
      <c r="CA238" s="39" t="str">
        <f>'Por Valoracion (3) Dimension'!B238</f>
        <v>0</v>
      </c>
      <c r="CB238" s="39" t="str">
        <f>'Por Valoracion (3) Dimension 2'!H238</f>
        <v>0</v>
      </c>
      <c r="CW238" s="38"/>
      <c r="CY238" s="46"/>
      <c r="DA238" t="str">
        <f>('Inteligencia emocional'!A239)</f>
        <v>0</v>
      </c>
      <c r="DB238" s="39" t="str">
        <f>'Por Valoracion (3) Dimension'!D238</f>
        <v>0</v>
      </c>
      <c r="DC238" s="39" t="str">
        <f>'Por Valoracion (3) Dimension 2'!B238</f>
        <v>0</v>
      </c>
      <c r="DX238" s="46"/>
      <c r="DZ238" t="str">
        <f>('Inteligencia emocional'!A239)</f>
        <v>0</v>
      </c>
      <c r="EA238" s="39" t="str">
        <f>'Por Valoracion (3) Dimension'!D238</f>
        <v>0</v>
      </c>
      <c r="EB238" s="39" t="str">
        <f>'Por Valoracion (3) Dimension 2'!D238</f>
        <v>0</v>
      </c>
      <c r="EW238" s="46"/>
      <c r="EY238" t="str">
        <f>('Inteligencia emocional'!A239)</f>
        <v>0</v>
      </c>
      <c r="EZ238" s="39" t="str">
        <f>'Por Valoracion (3) Dimension'!D238</f>
        <v>0</v>
      </c>
      <c r="FA238" s="39" t="str">
        <f>'Por Valoracion (3) Dimension 2'!F238</f>
        <v>0</v>
      </c>
      <c r="FV238" s="46"/>
      <c r="FX238" t="str">
        <f>('Inteligencia emocional'!A239)</f>
        <v>0</v>
      </c>
      <c r="FY238" s="39" t="str">
        <f>'Por Valoracion (3) Dimension'!D238</f>
        <v>0</v>
      </c>
      <c r="FZ238" s="39" t="str">
        <f>'Por Valoracion (3) Dimension 2'!H238</f>
        <v>0</v>
      </c>
      <c r="GU238" s="46"/>
      <c r="GW238" s="47"/>
      <c r="GY238" t="str">
        <f>('Inteligencia emocional'!A239)</f>
        <v>0</v>
      </c>
      <c r="GZ238" s="39" t="str">
        <f>'Por Valoracion (3) Dimension'!F238</f>
        <v>0</v>
      </c>
      <c r="HA238" s="39" t="str">
        <f>'Por Valoracion (3) Dimension 2'!B238</f>
        <v>0</v>
      </c>
      <c r="HV238" s="47"/>
      <c r="HX238" t="str">
        <f>('Inteligencia emocional'!A239)</f>
        <v>0</v>
      </c>
      <c r="HY238" s="39" t="str">
        <f>'Por Valoracion (3) Dimension'!F238</f>
        <v>0</v>
      </c>
      <c r="HZ238" s="39" t="str">
        <f>'Por Valoracion (3) Dimension 2'!D238</f>
        <v>0</v>
      </c>
      <c r="IU238" s="47"/>
      <c r="IW238" t="str">
        <f>('Inteligencia emocional'!A239)</f>
        <v>0</v>
      </c>
      <c r="IX238" s="39" t="str">
        <f>'Por Valoracion (3) Dimension'!F238</f>
        <v>0</v>
      </c>
      <c r="IY238" s="39" t="str">
        <f>'Por Valoracion (3) Dimension 2'!F238</f>
        <v>0</v>
      </c>
      <c r="JT238" s="47"/>
      <c r="JV238" t="str">
        <f>('Inteligencia emocional'!A239)</f>
        <v>0</v>
      </c>
      <c r="JW238" s="39" t="str">
        <f>'Por Valoracion (3) Dimension'!F238</f>
        <v>0</v>
      </c>
      <c r="JX238" s="39" t="str">
        <f>'Por Valoracion (3) Dimension 2'!H238</f>
        <v>0</v>
      </c>
      <c r="KS238" s="47"/>
    </row>
    <row r="239" spans="1:305">
      <c r="A239" s="38"/>
      <c r="C239" t="str">
        <f>('Inteligencia emocional'!A240)</f>
        <v>0</v>
      </c>
      <c r="D239" s="39" t="str">
        <f>'Por Valoracion (3) Dimension'!B239</f>
        <v>0</v>
      </c>
      <c r="E239" s="39" t="str">
        <f>'Por Valoracion (3) Dimension 2'!B239</f>
        <v>0</v>
      </c>
      <c r="Z239" s="38"/>
      <c r="AB239" t="str">
        <f>('Inteligencia emocional'!A240)</f>
        <v>0</v>
      </c>
      <c r="AC239" s="39" t="str">
        <f>'Por Valoracion (3) Dimension'!B239</f>
        <v>0</v>
      </c>
      <c r="AD239" s="39" t="str">
        <f>'Por Valoracion (3) Dimension 2'!D239</f>
        <v>0</v>
      </c>
      <c r="AY239" s="38"/>
      <c r="BA239" t="str">
        <f>('Inteligencia emocional'!A240)</f>
        <v>0</v>
      </c>
      <c r="BB239" s="39" t="str">
        <f>'Por Valoracion (3) Dimension'!B239</f>
        <v>0</v>
      </c>
      <c r="BC239" s="39" t="str">
        <f>'Por Valoracion (3) Dimension 2'!F239</f>
        <v>0</v>
      </c>
      <c r="BX239" s="38"/>
      <c r="BZ239" t="str">
        <f>('Inteligencia emocional'!A240)</f>
        <v>0</v>
      </c>
      <c r="CA239" s="39" t="str">
        <f>'Por Valoracion (3) Dimension'!B239</f>
        <v>0</v>
      </c>
      <c r="CB239" s="39" t="str">
        <f>'Por Valoracion (3) Dimension 2'!H239</f>
        <v>0</v>
      </c>
      <c r="CW239" s="38"/>
      <c r="CY239" s="46"/>
      <c r="DA239" t="str">
        <f>('Inteligencia emocional'!A240)</f>
        <v>0</v>
      </c>
      <c r="DB239" s="39" t="str">
        <f>'Por Valoracion (3) Dimension'!D239</f>
        <v>0</v>
      </c>
      <c r="DC239" s="39" t="str">
        <f>'Por Valoracion (3) Dimension 2'!B239</f>
        <v>0</v>
      </c>
      <c r="DX239" s="46"/>
      <c r="DZ239" t="str">
        <f>('Inteligencia emocional'!A240)</f>
        <v>0</v>
      </c>
      <c r="EA239" s="39" t="str">
        <f>'Por Valoracion (3) Dimension'!D239</f>
        <v>0</v>
      </c>
      <c r="EB239" s="39" t="str">
        <f>'Por Valoracion (3) Dimension 2'!D239</f>
        <v>0</v>
      </c>
      <c r="EW239" s="46"/>
      <c r="EY239" t="str">
        <f>('Inteligencia emocional'!A240)</f>
        <v>0</v>
      </c>
      <c r="EZ239" s="39" t="str">
        <f>'Por Valoracion (3) Dimension'!D239</f>
        <v>0</v>
      </c>
      <c r="FA239" s="39" t="str">
        <f>'Por Valoracion (3) Dimension 2'!F239</f>
        <v>0</v>
      </c>
      <c r="FV239" s="46"/>
      <c r="FX239" t="str">
        <f>('Inteligencia emocional'!A240)</f>
        <v>0</v>
      </c>
      <c r="FY239" s="39" t="str">
        <f>'Por Valoracion (3) Dimension'!D239</f>
        <v>0</v>
      </c>
      <c r="FZ239" s="39" t="str">
        <f>'Por Valoracion (3) Dimension 2'!H239</f>
        <v>0</v>
      </c>
      <c r="GU239" s="46"/>
      <c r="GW239" s="47"/>
      <c r="GY239" t="str">
        <f>('Inteligencia emocional'!A240)</f>
        <v>0</v>
      </c>
      <c r="GZ239" s="39" t="str">
        <f>'Por Valoracion (3) Dimension'!F239</f>
        <v>0</v>
      </c>
      <c r="HA239" s="39" t="str">
        <f>'Por Valoracion (3) Dimension 2'!B239</f>
        <v>0</v>
      </c>
      <c r="HV239" s="47"/>
      <c r="HX239" t="str">
        <f>('Inteligencia emocional'!A240)</f>
        <v>0</v>
      </c>
      <c r="HY239" s="39" t="str">
        <f>'Por Valoracion (3) Dimension'!F239</f>
        <v>0</v>
      </c>
      <c r="HZ239" s="39" t="str">
        <f>'Por Valoracion (3) Dimension 2'!D239</f>
        <v>0</v>
      </c>
      <c r="IU239" s="47"/>
      <c r="IW239" t="str">
        <f>('Inteligencia emocional'!A240)</f>
        <v>0</v>
      </c>
      <c r="IX239" s="39" t="str">
        <f>'Por Valoracion (3) Dimension'!F239</f>
        <v>0</v>
      </c>
      <c r="IY239" s="39" t="str">
        <f>'Por Valoracion (3) Dimension 2'!F239</f>
        <v>0</v>
      </c>
      <c r="JT239" s="47"/>
      <c r="JV239" t="str">
        <f>('Inteligencia emocional'!A240)</f>
        <v>0</v>
      </c>
      <c r="JW239" s="39" t="str">
        <f>'Por Valoracion (3) Dimension'!F239</f>
        <v>0</v>
      </c>
      <c r="JX239" s="39" t="str">
        <f>'Por Valoracion (3) Dimension 2'!H239</f>
        <v>0</v>
      </c>
      <c r="KS239" s="47"/>
    </row>
    <row r="240" spans="1:305">
      <c r="A240" s="38"/>
      <c r="C240" t="str">
        <f>('Inteligencia emocional'!A241)</f>
        <v>0</v>
      </c>
      <c r="D240" s="39" t="str">
        <f>'Por Valoracion (3) Dimension'!B240</f>
        <v>0</v>
      </c>
      <c r="E240" s="39" t="str">
        <f>'Por Valoracion (3) Dimension 2'!B240</f>
        <v>0</v>
      </c>
      <c r="Z240" s="38"/>
      <c r="AB240" t="str">
        <f>('Inteligencia emocional'!A241)</f>
        <v>0</v>
      </c>
      <c r="AC240" s="39" t="str">
        <f>'Por Valoracion (3) Dimension'!B240</f>
        <v>0</v>
      </c>
      <c r="AD240" s="39" t="str">
        <f>'Por Valoracion (3) Dimension 2'!D240</f>
        <v>0</v>
      </c>
      <c r="AY240" s="38"/>
      <c r="BA240" t="str">
        <f>('Inteligencia emocional'!A241)</f>
        <v>0</v>
      </c>
      <c r="BB240" s="39" t="str">
        <f>'Por Valoracion (3) Dimension'!B240</f>
        <v>0</v>
      </c>
      <c r="BC240" s="39" t="str">
        <f>'Por Valoracion (3) Dimension 2'!F240</f>
        <v>0</v>
      </c>
      <c r="BX240" s="38"/>
      <c r="BZ240" t="str">
        <f>('Inteligencia emocional'!A241)</f>
        <v>0</v>
      </c>
      <c r="CA240" s="39" t="str">
        <f>'Por Valoracion (3) Dimension'!B240</f>
        <v>0</v>
      </c>
      <c r="CB240" s="39" t="str">
        <f>'Por Valoracion (3) Dimension 2'!H240</f>
        <v>0</v>
      </c>
      <c r="CW240" s="38"/>
      <c r="CY240" s="46"/>
      <c r="DA240" t="str">
        <f>('Inteligencia emocional'!A241)</f>
        <v>0</v>
      </c>
      <c r="DB240" s="39" t="str">
        <f>'Por Valoracion (3) Dimension'!D240</f>
        <v>0</v>
      </c>
      <c r="DC240" s="39" t="str">
        <f>'Por Valoracion (3) Dimension 2'!B240</f>
        <v>0</v>
      </c>
      <c r="DX240" s="46"/>
      <c r="DZ240" t="str">
        <f>('Inteligencia emocional'!A241)</f>
        <v>0</v>
      </c>
      <c r="EA240" s="39" t="str">
        <f>'Por Valoracion (3) Dimension'!D240</f>
        <v>0</v>
      </c>
      <c r="EB240" s="39" t="str">
        <f>'Por Valoracion (3) Dimension 2'!D240</f>
        <v>0</v>
      </c>
      <c r="EW240" s="46"/>
      <c r="EY240" t="str">
        <f>('Inteligencia emocional'!A241)</f>
        <v>0</v>
      </c>
      <c r="EZ240" s="39" t="str">
        <f>'Por Valoracion (3) Dimension'!D240</f>
        <v>0</v>
      </c>
      <c r="FA240" s="39" t="str">
        <f>'Por Valoracion (3) Dimension 2'!F240</f>
        <v>0</v>
      </c>
      <c r="FV240" s="46"/>
      <c r="FX240" t="str">
        <f>('Inteligencia emocional'!A241)</f>
        <v>0</v>
      </c>
      <c r="FY240" s="39" t="str">
        <f>'Por Valoracion (3) Dimension'!D240</f>
        <v>0</v>
      </c>
      <c r="FZ240" s="39" t="str">
        <f>'Por Valoracion (3) Dimension 2'!H240</f>
        <v>0</v>
      </c>
      <c r="GU240" s="46"/>
      <c r="GW240" s="47"/>
      <c r="GY240" t="str">
        <f>('Inteligencia emocional'!A241)</f>
        <v>0</v>
      </c>
      <c r="GZ240" s="39" t="str">
        <f>'Por Valoracion (3) Dimension'!F240</f>
        <v>0</v>
      </c>
      <c r="HA240" s="39" t="str">
        <f>'Por Valoracion (3) Dimension 2'!B240</f>
        <v>0</v>
      </c>
      <c r="HV240" s="47"/>
      <c r="HX240" t="str">
        <f>('Inteligencia emocional'!A241)</f>
        <v>0</v>
      </c>
      <c r="HY240" s="39" t="str">
        <f>'Por Valoracion (3) Dimension'!F240</f>
        <v>0</v>
      </c>
      <c r="HZ240" s="39" t="str">
        <f>'Por Valoracion (3) Dimension 2'!D240</f>
        <v>0</v>
      </c>
      <c r="IU240" s="47"/>
      <c r="IW240" t="str">
        <f>('Inteligencia emocional'!A241)</f>
        <v>0</v>
      </c>
      <c r="IX240" s="39" t="str">
        <f>'Por Valoracion (3) Dimension'!F240</f>
        <v>0</v>
      </c>
      <c r="IY240" s="39" t="str">
        <f>'Por Valoracion (3) Dimension 2'!F240</f>
        <v>0</v>
      </c>
      <c r="JT240" s="47"/>
      <c r="JV240" t="str">
        <f>('Inteligencia emocional'!A241)</f>
        <v>0</v>
      </c>
      <c r="JW240" s="39" t="str">
        <f>'Por Valoracion (3) Dimension'!F240</f>
        <v>0</v>
      </c>
      <c r="JX240" s="39" t="str">
        <f>'Por Valoracion (3) Dimension 2'!H240</f>
        <v>0</v>
      </c>
      <c r="KS240" s="47"/>
    </row>
    <row r="241" spans="1:305">
      <c r="A241" s="38"/>
      <c r="C241" t="str">
        <f>('Inteligencia emocional'!A242)</f>
        <v>0</v>
      </c>
      <c r="D241" s="39" t="str">
        <f>'Por Valoracion (3) Dimension'!B241</f>
        <v>0</v>
      </c>
      <c r="E241" s="39" t="str">
        <f>'Por Valoracion (3) Dimension 2'!B241</f>
        <v>0</v>
      </c>
      <c r="Z241" s="38"/>
      <c r="AB241" t="str">
        <f>('Inteligencia emocional'!A242)</f>
        <v>0</v>
      </c>
      <c r="AC241" s="39" t="str">
        <f>'Por Valoracion (3) Dimension'!B241</f>
        <v>0</v>
      </c>
      <c r="AD241" s="39" t="str">
        <f>'Por Valoracion (3) Dimension 2'!D241</f>
        <v>0</v>
      </c>
      <c r="AY241" s="38"/>
      <c r="BA241" t="str">
        <f>('Inteligencia emocional'!A242)</f>
        <v>0</v>
      </c>
      <c r="BB241" s="39" t="str">
        <f>'Por Valoracion (3) Dimension'!B241</f>
        <v>0</v>
      </c>
      <c r="BC241" s="39" t="str">
        <f>'Por Valoracion (3) Dimension 2'!F241</f>
        <v>0</v>
      </c>
      <c r="BX241" s="38"/>
      <c r="BZ241" t="str">
        <f>('Inteligencia emocional'!A242)</f>
        <v>0</v>
      </c>
      <c r="CA241" s="39" t="str">
        <f>'Por Valoracion (3) Dimension'!B241</f>
        <v>0</v>
      </c>
      <c r="CB241" s="39" t="str">
        <f>'Por Valoracion (3) Dimension 2'!H241</f>
        <v>0</v>
      </c>
      <c r="CW241" s="38"/>
      <c r="CY241" s="46"/>
      <c r="DA241" t="str">
        <f>('Inteligencia emocional'!A242)</f>
        <v>0</v>
      </c>
      <c r="DB241" s="39" t="str">
        <f>'Por Valoracion (3) Dimension'!D241</f>
        <v>0</v>
      </c>
      <c r="DC241" s="39" t="str">
        <f>'Por Valoracion (3) Dimension 2'!B241</f>
        <v>0</v>
      </c>
      <c r="DX241" s="46"/>
      <c r="DZ241" t="str">
        <f>('Inteligencia emocional'!A242)</f>
        <v>0</v>
      </c>
      <c r="EA241" s="39" t="str">
        <f>'Por Valoracion (3) Dimension'!D241</f>
        <v>0</v>
      </c>
      <c r="EB241" s="39" t="str">
        <f>'Por Valoracion (3) Dimension 2'!D241</f>
        <v>0</v>
      </c>
      <c r="EW241" s="46"/>
      <c r="EY241" t="str">
        <f>('Inteligencia emocional'!A242)</f>
        <v>0</v>
      </c>
      <c r="EZ241" s="39" t="str">
        <f>'Por Valoracion (3) Dimension'!D241</f>
        <v>0</v>
      </c>
      <c r="FA241" s="39" t="str">
        <f>'Por Valoracion (3) Dimension 2'!F241</f>
        <v>0</v>
      </c>
      <c r="FV241" s="46"/>
      <c r="FX241" t="str">
        <f>('Inteligencia emocional'!A242)</f>
        <v>0</v>
      </c>
      <c r="FY241" s="39" t="str">
        <f>'Por Valoracion (3) Dimension'!D241</f>
        <v>0</v>
      </c>
      <c r="FZ241" s="39" t="str">
        <f>'Por Valoracion (3) Dimension 2'!H241</f>
        <v>0</v>
      </c>
      <c r="GU241" s="46"/>
      <c r="GW241" s="47"/>
      <c r="GY241" t="str">
        <f>('Inteligencia emocional'!A242)</f>
        <v>0</v>
      </c>
      <c r="GZ241" s="39" t="str">
        <f>'Por Valoracion (3) Dimension'!F241</f>
        <v>0</v>
      </c>
      <c r="HA241" s="39" t="str">
        <f>'Por Valoracion (3) Dimension 2'!B241</f>
        <v>0</v>
      </c>
      <c r="HV241" s="47"/>
      <c r="HX241" t="str">
        <f>('Inteligencia emocional'!A242)</f>
        <v>0</v>
      </c>
      <c r="HY241" s="39" t="str">
        <f>'Por Valoracion (3) Dimension'!F241</f>
        <v>0</v>
      </c>
      <c r="HZ241" s="39" t="str">
        <f>'Por Valoracion (3) Dimension 2'!D241</f>
        <v>0</v>
      </c>
      <c r="IU241" s="47"/>
      <c r="IW241" t="str">
        <f>('Inteligencia emocional'!A242)</f>
        <v>0</v>
      </c>
      <c r="IX241" s="39" t="str">
        <f>'Por Valoracion (3) Dimension'!F241</f>
        <v>0</v>
      </c>
      <c r="IY241" s="39" t="str">
        <f>'Por Valoracion (3) Dimension 2'!F241</f>
        <v>0</v>
      </c>
      <c r="JT241" s="47"/>
      <c r="JV241" t="str">
        <f>('Inteligencia emocional'!A242)</f>
        <v>0</v>
      </c>
      <c r="JW241" s="39" t="str">
        <f>'Por Valoracion (3) Dimension'!F241</f>
        <v>0</v>
      </c>
      <c r="JX241" s="39" t="str">
        <f>'Por Valoracion (3) Dimension 2'!H241</f>
        <v>0</v>
      </c>
      <c r="KS241" s="47"/>
    </row>
    <row r="242" spans="1:305">
      <c r="A242" s="38"/>
      <c r="C242" t="str">
        <f>('Inteligencia emocional'!A243)</f>
        <v>0</v>
      </c>
      <c r="D242" s="39" t="str">
        <f>'Por Valoracion (3) Dimension'!B242</f>
        <v>0</v>
      </c>
      <c r="E242" s="39" t="str">
        <f>'Por Valoracion (3) Dimension 2'!B242</f>
        <v>0</v>
      </c>
      <c r="Z242" s="38"/>
      <c r="AB242" t="str">
        <f>('Inteligencia emocional'!A243)</f>
        <v>0</v>
      </c>
      <c r="AC242" s="39" t="str">
        <f>'Por Valoracion (3) Dimension'!B242</f>
        <v>0</v>
      </c>
      <c r="AD242" s="39" t="str">
        <f>'Por Valoracion (3) Dimension 2'!D242</f>
        <v>0</v>
      </c>
      <c r="AY242" s="38"/>
      <c r="BA242" t="str">
        <f>('Inteligencia emocional'!A243)</f>
        <v>0</v>
      </c>
      <c r="BB242" s="39" t="str">
        <f>'Por Valoracion (3) Dimension'!B242</f>
        <v>0</v>
      </c>
      <c r="BC242" s="39" t="str">
        <f>'Por Valoracion (3) Dimension 2'!F242</f>
        <v>0</v>
      </c>
      <c r="BX242" s="38"/>
      <c r="BZ242" t="str">
        <f>('Inteligencia emocional'!A243)</f>
        <v>0</v>
      </c>
      <c r="CA242" s="39" t="str">
        <f>'Por Valoracion (3) Dimension'!B242</f>
        <v>0</v>
      </c>
      <c r="CB242" s="39" t="str">
        <f>'Por Valoracion (3) Dimension 2'!H242</f>
        <v>0</v>
      </c>
      <c r="CW242" s="38"/>
      <c r="CY242" s="46"/>
      <c r="DA242" t="str">
        <f>('Inteligencia emocional'!A243)</f>
        <v>0</v>
      </c>
      <c r="DB242" s="39" t="str">
        <f>'Por Valoracion (3) Dimension'!D242</f>
        <v>0</v>
      </c>
      <c r="DC242" s="39" t="str">
        <f>'Por Valoracion (3) Dimension 2'!B242</f>
        <v>0</v>
      </c>
      <c r="DX242" s="46"/>
      <c r="DZ242" t="str">
        <f>('Inteligencia emocional'!A243)</f>
        <v>0</v>
      </c>
      <c r="EA242" s="39" t="str">
        <f>'Por Valoracion (3) Dimension'!D242</f>
        <v>0</v>
      </c>
      <c r="EB242" s="39" t="str">
        <f>'Por Valoracion (3) Dimension 2'!D242</f>
        <v>0</v>
      </c>
      <c r="EW242" s="46"/>
      <c r="EY242" t="str">
        <f>('Inteligencia emocional'!A243)</f>
        <v>0</v>
      </c>
      <c r="EZ242" s="39" t="str">
        <f>'Por Valoracion (3) Dimension'!D242</f>
        <v>0</v>
      </c>
      <c r="FA242" s="39" t="str">
        <f>'Por Valoracion (3) Dimension 2'!F242</f>
        <v>0</v>
      </c>
      <c r="FV242" s="46"/>
      <c r="FX242" t="str">
        <f>('Inteligencia emocional'!A243)</f>
        <v>0</v>
      </c>
      <c r="FY242" s="39" t="str">
        <f>'Por Valoracion (3) Dimension'!D242</f>
        <v>0</v>
      </c>
      <c r="FZ242" s="39" t="str">
        <f>'Por Valoracion (3) Dimension 2'!H242</f>
        <v>0</v>
      </c>
      <c r="GU242" s="46"/>
      <c r="GW242" s="47"/>
      <c r="GY242" t="str">
        <f>('Inteligencia emocional'!A243)</f>
        <v>0</v>
      </c>
      <c r="GZ242" s="39" t="str">
        <f>'Por Valoracion (3) Dimension'!F242</f>
        <v>0</v>
      </c>
      <c r="HA242" s="39" t="str">
        <f>'Por Valoracion (3) Dimension 2'!B242</f>
        <v>0</v>
      </c>
      <c r="HV242" s="47"/>
      <c r="HX242" t="str">
        <f>('Inteligencia emocional'!A243)</f>
        <v>0</v>
      </c>
      <c r="HY242" s="39" t="str">
        <f>'Por Valoracion (3) Dimension'!F242</f>
        <v>0</v>
      </c>
      <c r="HZ242" s="39" t="str">
        <f>'Por Valoracion (3) Dimension 2'!D242</f>
        <v>0</v>
      </c>
      <c r="IU242" s="47"/>
      <c r="IW242" t="str">
        <f>('Inteligencia emocional'!A243)</f>
        <v>0</v>
      </c>
      <c r="IX242" s="39" t="str">
        <f>'Por Valoracion (3) Dimension'!F242</f>
        <v>0</v>
      </c>
      <c r="IY242" s="39" t="str">
        <f>'Por Valoracion (3) Dimension 2'!F242</f>
        <v>0</v>
      </c>
      <c r="JT242" s="47"/>
      <c r="JV242" t="str">
        <f>('Inteligencia emocional'!A243)</f>
        <v>0</v>
      </c>
      <c r="JW242" s="39" t="str">
        <f>'Por Valoracion (3) Dimension'!F242</f>
        <v>0</v>
      </c>
      <c r="JX242" s="39" t="str">
        <f>'Por Valoracion (3) Dimension 2'!H242</f>
        <v>0</v>
      </c>
      <c r="KS242" s="47"/>
    </row>
    <row r="243" spans="1:305">
      <c r="A243" s="38"/>
      <c r="C243" t="str">
        <f>('Inteligencia emocional'!A244)</f>
        <v>0</v>
      </c>
      <c r="D243" s="39" t="str">
        <f>'Por Valoracion (3) Dimension'!B243</f>
        <v>0</v>
      </c>
      <c r="E243" s="39" t="str">
        <f>'Por Valoracion (3) Dimension 2'!B243</f>
        <v>0</v>
      </c>
      <c r="Z243" s="38"/>
      <c r="AB243" t="str">
        <f>('Inteligencia emocional'!A244)</f>
        <v>0</v>
      </c>
      <c r="AC243" s="39" t="str">
        <f>'Por Valoracion (3) Dimension'!B243</f>
        <v>0</v>
      </c>
      <c r="AD243" s="39" t="str">
        <f>'Por Valoracion (3) Dimension 2'!D243</f>
        <v>0</v>
      </c>
      <c r="AY243" s="38"/>
      <c r="BA243" t="str">
        <f>('Inteligencia emocional'!A244)</f>
        <v>0</v>
      </c>
      <c r="BB243" s="39" t="str">
        <f>'Por Valoracion (3) Dimension'!B243</f>
        <v>0</v>
      </c>
      <c r="BC243" s="39" t="str">
        <f>'Por Valoracion (3) Dimension 2'!F243</f>
        <v>0</v>
      </c>
      <c r="BX243" s="38"/>
      <c r="BZ243" t="str">
        <f>('Inteligencia emocional'!A244)</f>
        <v>0</v>
      </c>
      <c r="CA243" s="39" t="str">
        <f>'Por Valoracion (3) Dimension'!B243</f>
        <v>0</v>
      </c>
      <c r="CB243" s="39" t="str">
        <f>'Por Valoracion (3) Dimension 2'!H243</f>
        <v>0</v>
      </c>
      <c r="CW243" s="38"/>
      <c r="CY243" s="46"/>
      <c r="DA243" t="str">
        <f>('Inteligencia emocional'!A244)</f>
        <v>0</v>
      </c>
      <c r="DB243" s="39" t="str">
        <f>'Por Valoracion (3) Dimension'!D243</f>
        <v>0</v>
      </c>
      <c r="DC243" s="39" t="str">
        <f>'Por Valoracion (3) Dimension 2'!B243</f>
        <v>0</v>
      </c>
      <c r="DX243" s="46"/>
      <c r="DZ243" t="str">
        <f>('Inteligencia emocional'!A244)</f>
        <v>0</v>
      </c>
      <c r="EA243" s="39" t="str">
        <f>'Por Valoracion (3) Dimension'!D243</f>
        <v>0</v>
      </c>
      <c r="EB243" s="39" t="str">
        <f>'Por Valoracion (3) Dimension 2'!D243</f>
        <v>0</v>
      </c>
      <c r="EW243" s="46"/>
      <c r="EY243" t="str">
        <f>('Inteligencia emocional'!A244)</f>
        <v>0</v>
      </c>
      <c r="EZ243" s="39" t="str">
        <f>'Por Valoracion (3) Dimension'!D243</f>
        <v>0</v>
      </c>
      <c r="FA243" s="39" t="str">
        <f>'Por Valoracion (3) Dimension 2'!F243</f>
        <v>0</v>
      </c>
      <c r="FV243" s="46"/>
      <c r="FX243" t="str">
        <f>('Inteligencia emocional'!A244)</f>
        <v>0</v>
      </c>
      <c r="FY243" s="39" t="str">
        <f>'Por Valoracion (3) Dimension'!D243</f>
        <v>0</v>
      </c>
      <c r="FZ243" s="39" t="str">
        <f>'Por Valoracion (3) Dimension 2'!H243</f>
        <v>0</v>
      </c>
      <c r="GU243" s="46"/>
      <c r="GW243" s="47"/>
      <c r="GY243" t="str">
        <f>('Inteligencia emocional'!A244)</f>
        <v>0</v>
      </c>
      <c r="GZ243" s="39" t="str">
        <f>'Por Valoracion (3) Dimension'!F243</f>
        <v>0</v>
      </c>
      <c r="HA243" s="39" t="str">
        <f>'Por Valoracion (3) Dimension 2'!B243</f>
        <v>0</v>
      </c>
      <c r="HV243" s="47"/>
      <c r="HX243" t="str">
        <f>('Inteligencia emocional'!A244)</f>
        <v>0</v>
      </c>
      <c r="HY243" s="39" t="str">
        <f>'Por Valoracion (3) Dimension'!F243</f>
        <v>0</v>
      </c>
      <c r="HZ243" s="39" t="str">
        <f>'Por Valoracion (3) Dimension 2'!D243</f>
        <v>0</v>
      </c>
      <c r="IU243" s="47"/>
      <c r="IW243" t="str">
        <f>('Inteligencia emocional'!A244)</f>
        <v>0</v>
      </c>
      <c r="IX243" s="39" t="str">
        <f>'Por Valoracion (3) Dimension'!F243</f>
        <v>0</v>
      </c>
      <c r="IY243" s="39" t="str">
        <f>'Por Valoracion (3) Dimension 2'!F243</f>
        <v>0</v>
      </c>
      <c r="JT243" s="47"/>
      <c r="JV243" t="str">
        <f>('Inteligencia emocional'!A244)</f>
        <v>0</v>
      </c>
      <c r="JW243" s="39" t="str">
        <f>'Por Valoracion (3) Dimension'!F243</f>
        <v>0</v>
      </c>
      <c r="JX243" s="39" t="str">
        <f>'Por Valoracion (3) Dimension 2'!H243</f>
        <v>0</v>
      </c>
      <c r="KS243" s="47"/>
    </row>
    <row r="244" spans="1:305">
      <c r="A244" s="38"/>
      <c r="C244" t="str">
        <f>('Inteligencia emocional'!A245)</f>
        <v>0</v>
      </c>
      <c r="D244" s="39" t="str">
        <f>'Por Valoracion (3) Dimension'!B244</f>
        <v>0</v>
      </c>
      <c r="E244" s="39" t="str">
        <f>'Por Valoracion (3) Dimension 2'!B244</f>
        <v>0</v>
      </c>
      <c r="Z244" s="38"/>
      <c r="AB244" t="str">
        <f>('Inteligencia emocional'!A245)</f>
        <v>0</v>
      </c>
      <c r="AC244" s="39" t="str">
        <f>'Por Valoracion (3) Dimension'!B244</f>
        <v>0</v>
      </c>
      <c r="AD244" s="39" t="str">
        <f>'Por Valoracion (3) Dimension 2'!D244</f>
        <v>0</v>
      </c>
      <c r="AY244" s="38"/>
      <c r="BA244" t="str">
        <f>('Inteligencia emocional'!A245)</f>
        <v>0</v>
      </c>
      <c r="BB244" s="39" t="str">
        <f>'Por Valoracion (3) Dimension'!B244</f>
        <v>0</v>
      </c>
      <c r="BC244" s="39" t="str">
        <f>'Por Valoracion (3) Dimension 2'!F244</f>
        <v>0</v>
      </c>
      <c r="BX244" s="38"/>
      <c r="BZ244" t="str">
        <f>('Inteligencia emocional'!A245)</f>
        <v>0</v>
      </c>
      <c r="CA244" s="39" t="str">
        <f>'Por Valoracion (3) Dimension'!B244</f>
        <v>0</v>
      </c>
      <c r="CB244" s="39" t="str">
        <f>'Por Valoracion (3) Dimension 2'!H244</f>
        <v>0</v>
      </c>
      <c r="CW244" s="38"/>
      <c r="CY244" s="46"/>
      <c r="DA244" t="str">
        <f>('Inteligencia emocional'!A245)</f>
        <v>0</v>
      </c>
      <c r="DB244" s="39" t="str">
        <f>'Por Valoracion (3) Dimension'!D244</f>
        <v>0</v>
      </c>
      <c r="DC244" s="39" t="str">
        <f>'Por Valoracion (3) Dimension 2'!B244</f>
        <v>0</v>
      </c>
      <c r="DX244" s="46"/>
      <c r="DZ244" t="str">
        <f>('Inteligencia emocional'!A245)</f>
        <v>0</v>
      </c>
      <c r="EA244" s="39" t="str">
        <f>'Por Valoracion (3) Dimension'!D244</f>
        <v>0</v>
      </c>
      <c r="EB244" s="39" t="str">
        <f>'Por Valoracion (3) Dimension 2'!D244</f>
        <v>0</v>
      </c>
      <c r="EW244" s="46"/>
      <c r="EY244" t="str">
        <f>('Inteligencia emocional'!A245)</f>
        <v>0</v>
      </c>
      <c r="EZ244" s="39" t="str">
        <f>'Por Valoracion (3) Dimension'!D244</f>
        <v>0</v>
      </c>
      <c r="FA244" s="39" t="str">
        <f>'Por Valoracion (3) Dimension 2'!F244</f>
        <v>0</v>
      </c>
      <c r="FV244" s="46"/>
      <c r="FX244" t="str">
        <f>('Inteligencia emocional'!A245)</f>
        <v>0</v>
      </c>
      <c r="FY244" s="39" t="str">
        <f>'Por Valoracion (3) Dimension'!D244</f>
        <v>0</v>
      </c>
      <c r="FZ244" s="39" t="str">
        <f>'Por Valoracion (3) Dimension 2'!H244</f>
        <v>0</v>
      </c>
      <c r="GU244" s="46"/>
      <c r="GW244" s="47"/>
      <c r="GY244" t="str">
        <f>('Inteligencia emocional'!A245)</f>
        <v>0</v>
      </c>
      <c r="GZ244" s="39" t="str">
        <f>'Por Valoracion (3) Dimension'!F244</f>
        <v>0</v>
      </c>
      <c r="HA244" s="39" t="str">
        <f>'Por Valoracion (3) Dimension 2'!B244</f>
        <v>0</v>
      </c>
      <c r="HV244" s="47"/>
      <c r="HX244" t="str">
        <f>('Inteligencia emocional'!A245)</f>
        <v>0</v>
      </c>
      <c r="HY244" s="39" t="str">
        <f>'Por Valoracion (3) Dimension'!F244</f>
        <v>0</v>
      </c>
      <c r="HZ244" s="39" t="str">
        <f>'Por Valoracion (3) Dimension 2'!D244</f>
        <v>0</v>
      </c>
      <c r="IU244" s="47"/>
      <c r="IW244" t="str">
        <f>('Inteligencia emocional'!A245)</f>
        <v>0</v>
      </c>
      <c r="IX244" s="39" t="str">
        <f>'Por Valoracion (3) Dimension'!F244</f>
        <v>0</v>
      </c>
      <c r="IY244" s="39" t="str">
        <f>'Por Valoracion (3) Dimension 2'!F244</f>
        <v>0</v>
      </c>
      <c r="JT244" s="47"/>
      <c r="JV244" t="str">
        <f>('Inteligencia emocional'!A245)</f>
        <v>0</v>
      </c>
      <c r="JW244" s="39" t="str">
        <f>'Por Valoracion (3) Dimension'!F244</f>
        <v>0</v>
      </c>
      <c r="JX244" s="39" t="str">
        <f>'Por Valoracion (3) Dimension 2'!H244</f>
        <v>0</v>
      </c>
      <c r="KS244" s="47"/>
    </row>
    <row r="245" spans="1:305">
      <c r="A245" s="38"/>
      <c r="C245" t="str">
        <f>('Inteligencia emocional'!A246)</f>
        <v>0</v>
      </c>
      <c r="D245" s="39" t="str">
        <f>'Por Valoracion (3) Dimension'!B245</f>
        <v>0</v>
      </c>
      <c r="E245" s="39" t="str">
        <f>'Por Valoracion (3) Dimension 2'!B245</f>
        <v>0</v>
      </c>
      <c r="Z245" s="38"/>
      <c r="AB245" t="str">
        <f>('Inteligencia emocional'!A246)</f>
        <v>0</v>
      </c>
      <c r="AC245" s="39" t="str">
        <f>'Por Valoracion (3) Dimension'!B245</f>
        <v>0</v>
      </c>
      <c r="AD245" s="39" t="str">
        <f>'Por Valoracion (3) Dimension 2'!D245</f>
        <v>0</v>
      </c>
      <c r="AY245" s="38"/>
      <c r="BA245" t="str">
        <f>('Inteligencia emocional'!A246)</f>
        <v>0</v>
      </c>
      <c r="BB245" s="39" t="str">
        <f>'Por Valoracion (3) Dimension'!B245</f>
        <v>0</v>
      </c>
      <c r="BC245" s="39" t="str">
        <f>'Por Valoracion (3) Dimension 2'!F245</f>
        <v>0</v>
      </c>
      <c r="BX245" s="38"/>
      <c r="BZ245" t="str">
        <f>('Inteligencia emocional'!A246)</f>
        <v>0</v>
      </c>
      <c r="CA245" s="39" t="str">
        <f>'Por Valoracion (3) Dimension'!B245</f>
        <v>0</v>
      </c>
      <c r="CB245" s="39" t="str">
        <f>'Por Valoracion (3) Dimension 2'!H245</f>
        <v>0</v>
      </c>
      <c r="CW245" s="38"/>
      <c r="CY245" s="46"/>
      <c r="DA245" t="str">
        <f>('Inteligencia emocional'!A246)</f>
        <v>0</v>
      </c>
      <c r="DB245" s="39" t="str">
        <f>'Por Valoracion (3) Dimension'!D245</f>
        <v>0</v>
      </c>
      <c r="DC245" s="39" t="str">
        <f>'Por Valoracion (3) Dimension 2'!B245</f>
        <v>0</v>
      </c>
      <c r="DX245" s="46"/>
      <c r="DZ245" t="str">
        <f>('Inteligencia emocional'!A246)</f>
        <v>0</v>
      </c>
      <c r="EA245" s="39" t="str">
        <f>'Por Valoracion (3) Dimension'!D245</f>
        <v>0</v>
      </c>
      <c r="EB245" s="39" t="str">
        <f>'Por Valoracion (3) Dimension 2'!D245</f>
        <v>0</v>
      </c>
      <c r="EW245" s="46"/>
      <c r="EY245" t="str">
        <f>('Inteligencia emocional'!A246)</f>
        <v>0</v>
      </c>
      <c r="EZ245" s="39" t="str">
        <f>'Por Valoracion (3) Dimension'!D245</f>
        <v>0</v>
      </c>
      <c r="FA245" s="39" t="str">
        <f>'Por Valoracion (3) Dimension 2'!F245</f>
        <v>0</v>
      </c>
      <c r="FV245" s="46"/>
      <c r="FX245" t="str">
        <f>('Inteligencia emocional'!A246)</f>
        <v>0</v>
      </c>
      <c r="FY245" s="39" t="str">
        <f>'Por Valoracion (3) Dimension'!D245</f>
        <v>0</v>
      </c>
      <c r="FZ245" s="39" t="str">
        <f>'Por Valoracion (3) Dimension 2'!H245</f>
        <v>0</v>
      </c>
      <c r="GU245" s="46"/>
      <c r="GW245" s="47"/>
      <c r="GY245" t="str">
        <f>('Inteligencia emocional'!A246)</f>
        <v>0</v>
      </c>
      <c r="GZ245" s="39" t="str">
        <f>'Por Valoracion (3) Dimension'!F245</f>
        <v>0</v>
      </c>
      <c r="HA245" s="39" t="str">
        <f>'Por Valoracion (3) Dimension 2'!B245</f>
        <v>0</v>
      </c>
      <c r="HV245" s="47"/>
      <c r="HX245" t="str">
        <f>('Inteligencia emocional'!A246)</f>
        <v>0</v>
      </c>
      <c r="HY245" s="39" t="str">
        <f>'Por Valoracion (3) Dimension'!F245</f>
        <v>0</v>
      </c>
      <c r="HZ245" s="39" t="str">
        <f>'Por Valoracion (3) Dimension 2'!D245</f>
        <v>0</v>
      </c>
      <c r="IU245" s="47"/>
      <c r="IW245" t="str">
        <f>('Inteligencia emocional'!A246)</f>
        <v>0</v>
      </c>
      <c r="IX245" s="39" t="str">
        <f>'Por Valoracion (3) Dimension'!F245</f>
        <v>0</v>
      </c>
      <c r="IY245" s="39" t="str">
        <f>'Por Valoracion (3) Dimension 2'!F245</f>
        <v>0</v>
      </c>
      <c r="JT245" s="47"/>
      <c r="JV245" t="str">
        <f>('Inteligencia emocional'!A246)</f>
        <v>0</v>
      </c>
      <c r="JW245" s="39" t="str">
        <f>'Por Valoracion (3) Dimension'!F245</f>
        <v>0</v>
      </c>
      <c r="JX245" s="39" t="str">
        <f>'Por Valoracion (3) Dimension 2'!H245</f>
        <v>0</v>
      </c>
      <c r="KS245" s="47"/>
    </row>
    <row r="246" spans="1:305">
      <c r="A246" s="38"/>
      <c r="C246" t="str">
        <f>('Inteligencia emocional'!A247)</f>
        <v>0</v>
      </c>
      <c r="D246" s="39" t="str">
        <f>'Por Valoracion (3) Dimension'!B246</f>
        <v>0</v>
      </c>
      <c r="E246" s="39" t="str">
        <f>'Por Valoracion (3) Dimension 2'!B246</f>
        <v>0</v>
      </c>
      <c r="Z246" s="38"/>
      <c r="AB246" t="str">
        <f>('Inteligencia emocional'!A247)</f>
        <v>0</v>
      </c>
      <c r="AC246" s="39" t="str">
        <f>'Por Valoracion (3) Dimension'!B246</f>
        <v>0</v>
      </c>
      <c r="AD246" s="39" t="str">
        <f>'Por Valoracion (3) Dimension 2'!D246</f>
        <v>0</v>
      </c>
      <c r="AY246" s="38"/>
      <c r="BA246" t="str">
        <f>('Inteligencia emocional'!A247)</f>
        <v>0</v>
      </c>
      <c r="BB246" s="39" t="str">
        <f>'Por Valoracion (3) Dimension'!B246</f>
        <v>0</v>
      </c>
      <c r="BC246" s="39" t="str">
        <f>'Por Valoracion (3) Dimension 2'!F246</f>
        <v>0</v>
      </c>
      <c r="BX246" s="38"/>
      <c r="BZ246" t="str">
        <f>('Inteligencia emocional'!A247)</f>
        <v>0</v>
      </c>
      <c r="CA246" s="39" t="str">
        <f>'Por Valoracion (3) Dimension'!B246</f>
        <v>0</v>
      </c>
      <c r="CB246" s="39" t="str">
        <f>'Por Valoracion (3) Dimension 2'!H246</f>
        <v>0</v>
      </c>
      <c r="CW246" s="38"/>
      <c r="CY246" s="46"/>
      <c r="DA246" t="str">
        <f>('Inteligencia emocional'!A247)</f>
        <v>0</v>
      </c>
      <c r="DB246" s="39" t="str">
        <f>'Por Valoracion (3) Dimension'!D246</f>
        <v>0</v>
      </c>
      <c r="DC246" s="39" t="str">
        <f>'Por Valoracion (3) Dimension 2'!B246</f>
        <v>0</v>
      </c>
      <c r="DX246" s="46"/>
      <c r="DZ246" t="str">
        <f>('Inteligencia emocional'!A247)</f>
        <v>0</v>
      </c>
      <c r="EA246" s="39" t="str">
        <f>'Por Valoracion (3) Dimension'!D246</f>
        <v>0</v>
      </c>
      <c r="EB246" s="39" t="str">
        <f>'Por Valoracion (3) Dimension 2'!D246</f>
        <v>0</v>
      </c>
      <c r="EW246" s="46"/>
      <c r="EY246" t="str">
        <f>('Inteligencia emocional'!A247)</f>
        <v>0</v>
      </c>
      <c r="EZ246" s="39" t="str">
        <f>'Por Valoracion (3) Dimension'!D246</f>
        <v>0</v>
      </c>
      <c r="FA246" s="39" t="str">
        <f>'Por Valoracion (3) Dimension 2'!F246</f>
        <v>0</v>
      </c>
      <c r="FV246" s="46"/>
      <c r="FX246" t="str">
        <f>('Inteligencia emocional'!A247)</f>
        <v>0</v>
      </c>
      <c r="FY246" s="39" t="str">
        <f>'Por Valoracion (3) Dimension'!D246</f>
        <v>0</v>
      </c>
      <c r="FZ246" s="39" t="str">
        <f>'Por Valoracion (3) Dimension 2'!H246</f>
        <v>0</v>
      </c>
      <c r="GU246" s="46"/>
      <c r="GW246" s="47"/>
      <c r="GY246" t="str">
        <f>('Inteligencia emocional'!A247)</f>
        <v>0</v>
      </c>
      <c r="GZ246" s="39" t="str">
        <f>'Por Valoracion (3) Dimension'!F246</f>
        <v>0</v>
      </c>
      <c r="HA246" s="39" t="str">
        <f>'Por Valoracion (3) Dimension 2'!B246</f>
        <v>0</v>
      </c>
      <c r="HV246" s="47"/>
      <c r="HX246" t="str">
        <f>('Inteligencia emocional'!A247)</f>
        <v>0</v>
      </c>
      <c r="HY246" s="39" t="str">
        <f>'Por Valoracion (3) Dimension'!F246</f>
        <v>0</v>
      </c>
      <c r="HZ246" s="39" t="str">
        <f>'Por Valoracion (3) Dimension 2'!D246</f>
        <v>0</v>
      </c>
      <c r="IU246" s="47"/>
      <c r="IW246" t="str">
        <f>('Inteligencia emocional'!A247)</f>
        <v>0</v>
      </c>
      <c r="IX246" s="39" t="str">
        <f>'Por Valoracion (3) Dimension'!F246</f>
        <v>0</v>
      </c>
      <c r="IY246" s="39" t="str">
        <f>'Por Valoracion (3) Dimension 2'!F246</f>
        <v>0</v>
      </c>
      <c r="JT246" s="47"/>
      <c r="JV246" t="str">
        <f>('Inteligencia emocional'!A247)</f>
        <v>0</v>
      </c>
      <c r="JW246" s="39" t="str">
        <f>'Por Valoracion (3) Dimension'!F246</f>
        <v>0</v>
      </c>
      <c r="JX246" s="39" t="str">
        <f>'Por Valoracion (3) Dimension 2'!H246</f>
        <v>0</v>
      </c>
      <c r="KS246" s="47"/>
    </row>
    <row r="247" spans="1:305">
      <c r="A247" s="38"/>
      <c r="C247" t="str">
        <f>('Inteligencia emocional'!A248)</f>
        <v>0</v>
      </c>
      <c r="D247" s="39" t="str">
        <f>'Por Valoracion (3) Dimension'!B247</f>
        <v>0</v>
      </c>
      <c r="E247" s="39" t="str">
        <f>'Por Valoracion (3) Dimension 2'!B247</f>
        <v>0</v>
      </c>
      <c r="Z247" s="38"/>
      <c r="AB247" t="str">
        <f>('Inteligencia emocional'!A248)</f>
        <v>0</v>
      </c>
      <c r="AC247" s="39" t="str">
        <f>'Por Valoracion (3) Dimension'!B247</f>
        <v>0</v>
      </c>
      <c r="AD247" s="39" t="str">
        <f>'Por Valoracion (3) Dimension 2'!D247</f>
        <v>0</v>
      </c>
      <c r="AY247" s="38"/>
      <c r="BA247" t="str">
        <f>('Inteligencia emocional'!A248)</f>
        <v>0</v>
      </c>
      <c r="BB247" s="39" t="str">
        <f>'Por Valoracion (3) Dimension'!B247</f>
        <v>0</v>
      </c>
      <c r="BC247" s="39" t="str">
        <f>'Por Valoracion (3) Dimension 2'!F247</f>
        <v>0</v>
      </c>
      <c r="BX247" s="38"/>
      <c r="BZ247" t="str">
        <f>('Inteligencia emocional'!A248)</f>
        <v>0</v>
      </c>
      <c r="CA247" s="39" t="str">
        <f>'Por Valoracion (3) Dimension'!B247</f>
        <v>0</v>
      </c>
      <c r="CB247" s="39" t="str">
        <f>'Por Valoracion (3) Dimension 2'!H247</f>
        <v>0</v>
      </c>
      <c r="CW247" s="38"/>
      <c r="CY247" s="46"/>
      <c r="DA247" t="str">
        <f>('Inteligencia emocional'!A248)</f>
        <v>0</v>
      </c>
      <c r="DB247" s="39" t="str">
        <f>'Por Valoracion (3) Dimension'!D247</f>
        <v>0</v>
      </c>
      <c r="DC247" s="39" t="str">
        <f>'Por Valoracion (3) Dimension 2'!B247</f>
        <v>0</v>
      </c>
      <c r="DX247" s="46"/>
      <c r="DZ247" t="str">
        <f>('Inteligencia emocional'!A248)</f>
        <v>0</v>
      </c>
      <c r="EA247" s="39" t="str">
        <f>'Por Valoracion (3) Dimension'!D247</f>
        <v>0</v>
      </c>
      <c r="EB247" s="39" t="str">
        <f>'Por Valoracion (3) Dimension 2'!D247</f>
        <v>0</v>
      </c>
      <c r="EW247" s="46"/>
      <c r="EY247" t="str">
        <f>('Inteligencia emocional'!A248)</f>
        <v>0</v>
      </c>
      <c r="EZ247" s="39" t="str">
        <f>'Por Valoracion (3) Dimension'!D247</f>
        <v>0</v>
      </c>
      <c r="FA247" s="39" t="str">
        <f>'Por Valoracion (3) Dimension 2'!F247</f>
        <v>0</v>
      </c>
      <c r="FV247" s="46"/>
      <c r="FX247" t="str">
        <f>('Inteligencia emocional'!A248)</f>
        <v>0</v>
      </c>
      <c r="FY247" s="39" t="str">
        <f>'Por Valoracion (3) Dimension'!D247</f>
        <v>0</v>
      </c>
      <c r="FZ247" s="39" t="str">
        <f>'Por Valoracion (3) Dimension 2'!H247</f>
        <v>0</v>
      </c>
      <c r="GU247" s="46"/>
      <c r="GW247" s="47"/>
      <c r="GY247" t="str">
        <f>('Inteligencia emocional'!A248)</f>
        <v>0</v>
      </c>
      <c r="GZ247" s="39" t="str">
        <f>'Por Valoracion (3) Dimension'!F247</f>
        <v>0</v>
      </c>
      <c r="HA247" s="39" t="str">
        <f>'Por Valoracion (3) Dimension 2'!B247</f>
        <v>0</v>
      </c>
      <c r="HV247" s="47"/>
      <c r="HX247" t="str">
        <f>('Inteligencia emocional'!A248)</f>
        <v>0</v>
      </c>
      <c r="HY247" s="39" t="str">
        <f>'Por Valoracion (3) Dimension'!F247</f>
        <v>0</v>
      </c>
      <c r="HZ247" s="39" t="str">
        <f>'Por Valoracion (3) Dimension 2'!D247</f>
        <v>0</v>
      </c>
      <c r="IU247" s="47"/>
      <c r="IW247" t="str">
        <f>('Inteligencia emocional'!A248)</f>
        <v>0</v>
      </c>
      <c r="IX247" s="39" t="str">
        <f>'Por Valoracion (3) Dimension'!F247</f>
        <v>0</v>
      </c>
      <c r="IY247" s="39" t="str">
        <f>'Por Valoracion (3) Dimension 2'!F247</f>
        <v>0</v>
      </c>
      <c r="JT247" s="47"/>
      <c r="JV247" t="str">
        <f>('Inteligencia emocional'!A248)</f>
        <v>0</v>
      </c>
      <c r="JW247" s="39" t="str">
        <f>'Por Valoracion (3) Dimension'!F247</f>
        <v>0</v>
      </c>
      <c r="JX247" s="39" t="str">
        <f>'Por Valoracion (3) Dimension 2'!H247</f>
        <v>0</v>
      </c>
      <c r="KS247" s="47"/>
    </row>
    <row r="248" spans="1:305">
      <c r="A248" s="38"/>
      <c r="C248" t="str">
        <f>('Inteligencia emocional'!A249)</f>
        <v>0</v>
      </c>
      <c r="D248" s="39" t="str">
        <f>'Por Valoracion (3) Dimension'!B248</f>
        <v>0</v>
      </c>
      <c r="E248" s="39" t="str">
        <f>'Por Valoracion (3) Dimension 2'!B248</f>
        <v>0</v>
      </c>
      <c r="Z248" s="38"/>
      <c r="AB248" t="str">
        <f>('Inteligencia emocional'!A249)</f>
        <v>0</v>
      </c>
      <c r="AC248" s="39" t="str">
        <f>'Por Valoracion (3) Dimension'!B248</f>
        <v>0</v>
      </c>
      <c r="AD248" s="39" t="str">
        <f>'Por Valoracion (3) Dimension 2'!D248</f>
        <v>0</v>
      </c>
      <c r="AY248" s="38"/>
      <c r="BA248" t="str">
        <f>('Inteligencia emocional'!A249)</f>
        <v>0</v>
      </c>
      <c r="BB248" s="39" t="str">
        <f>'Por Valoracion (3) Dimension'!B248</f>
        <v>0</v>
      </c>
      <c r="BC248" s="39" t="str">
        <f>'Por Valoracion (3) Dimension 2'!F248</f>
        <v>0</v>
      </c>
      <c r="BX248" s="38"/>
      <c r="BZ248" t="str">
        <f>('Inteligencia emocional'!A249)</f>
        <v>0</v>
      </c>
      <c r="CA248" s="39" t="str">
        <f>'Por Valoracion (3) Dimension'!B248</f>
        <v>0</v>
      </c>
      <c r="CB248" s="39" t="str">
        <f>'Por Valoracion (3) Dimension 2'!H248</f>
        <v>0</v>
      </c>
      <c r="CW248" s="38"/>
      <c r="CY248" s="46"/>
      <c r="DA248" t="str">
        <f>('Inteligencia emocional'!A249)</f>
        <v>0</v>
      </c>
      <c r="DB248" s="39" t="str">
        <f>'Por Valoracion (3) Dimension'!D248</f>
        <v>0</v>
      </c>
      <c r="DC248" s="39" t="str">
        <f>'Por Valoracion (3) Dimension 2'!B248</f>
        <v>0</v>
      </c>
      <c r="DX248" s="46"/>
      <c r="DZ248" t="str">
        <f>('Inteligencia emocional'!A249)</f>
        <v>0</v>
      </c>
      <c r="EA248" s="39" t="str">
        <f>'Por Valoracion (3) Dimension'!D248</f>
        <v>0</v>
      </c>
      <c r="EB248" s="39" t="str">
        <f>'Por Valoracion (3) Dimension 2'!D248</f>
        <v>0</v>
      </c>
      <c r="EW248" s="46"/>
      <c r="EY248" t="str">
        <f>('Inteligencia emocional'!A249)</f>
        <v>0</v>
      </c>
      <c r="EZ248" s="39" t="str">
        <f>'Por Valoracion (3) Dimension'!D248</f>
        <v>0</v>
      </c>
      <c r="FA248" s="39" t="str">
        <f>'Por Valoracion (3) Dimension 2'!F248</f>
        <v>0</v>
      </c>
      <c r="FV248" s="46"/>
      <c r="FX248" t="str">
        <f>('Inteligencia emocional'!A249)</f>
        <v>0</v>
      </c>
      <c r="FY248" s="39" t="str">
        <f>'Por Valoracion (3) Dimension'!D248</f>
        <v>0</v>
      </c>
      <c r="FZ248" s="39" t="str">
        <f>'Por Valoracion (3) Dimension 2'!H248</f>
        <v>0</v>
      </c>
      <c r="GU248" s="46"/>
      <c r="GW248" s="47"/>
      <c r="GY248" t="str">
        <f>('Inteligencia emocional'!A249)</f>
        <v>0</v>
      </c>
      <c r="GZ248" s="39" t="str">
        <f>'Por Valoracion (3) Dimension'!F248</f>
        <v>0</v>
      </c>
      <c r="HA248" s="39" t="str">
        <f>'Por Valoracion (3) Dimension 2'!B248</f>
        <v>0</v>
      </c>
      <c r="HV248" s="47"/>
      <c r="HX248" t="str">
        <f>('Inteligencia emocional'!A249)</f>
        <v>0</v>
      </c>
      <c r="HY248" s="39" t="str">
        <f>'Por Valoracion (3) Dimension'!F248</f>
        <v>0</v>
      </c>
      <c r="HZ248" s="39" t="str">
        <f>'Por Valoracion (3) Dimension 2'!D248</f>
        <v>0</v>
      </c>
      <c r="IU248" s="47"/>
      <c r="IW248" t="str">
        <f>('Inteligencia emocional'!A249)</f>
        <v>0</v>
      </c>
      <c r="IX248" s="39" t="str">
        <f>'Por Valoracion (3) Dimension'!F248</f>
        <v>0</v>
      </c>
      <c r="IY248" s="39" t="str">
        <f>'Por Valoracion (3) Dimension 2'!F248</f>
        <v>0</v>
      </c>
      <c r="JT248" s="47"/>
      <c r="JV248" t="str">
        <f>('Inteligencia emocional'!A249)</f>
        <v>0</v>
      </c>
      <c r="JW248" s="39" t="str">
        <f>'Por Valoracion (3) Dimension'!F248</f>
        <v>0</v>
      </c>
      <c r="JX248" s="39" t="str">
        <f>'Por Valoracion (3) Dimension 2'!H248</f>
        <v>0</v>
      </c>
      <c r="KS248" s="47"/>
    </row>
    <row r="249" spans="1:305">
      <c r="A249" s="38"/>
      <c r="C249" t="str">
        <f>('Inteligencia emocional'!A250)</f>
        <v>0</v>
      </c>
      <c r="D249" s="39" t="str">
        <f>'Por Valoracion (3) Dimension'!B249</f>
        <v>0</v>
      </c>
      <c r="E249" s="39" t="str">
        <f>'Por Valoracion (3) Dimension 2'!B249</f>
        <v>0</v>
      </c>
      <c r="Z249" s="38"/>
      <c r="AB249" t="str">
        <f>('Inteligencia emocional'!A250)</f>
        <v>0</v>
      </c>
      <c r="AC249" s="39" t="str">
        <f>'Por Valoracion (3) Dimension'!B249</f>
        <v>0</v>
      </c>
      <c r="AD249" s="39" t="str">
        <f>'Por Valoracion (3) Dimension 2'!D249</f>
        <v>0</v>
      </c>
      <c r="AY249" s="38"/>
      <c r="BA249" t="str">
        <f>('Inteligencia emocional'!A250)</f>
        <v>0</v>
      </c>
      <c r="BB249" s="39" t="str">
        <f>'Por Valoracion (3) Dimension'!B249</f>
        <v>0</v>
      </c>
      <c r="BC249" s="39" t="str">
        <f>'Por Valoracion (3) Dimension 2'!F249</f>
        <v>0</v>
      </c>
      <c r="BX249" s="38"/>
      <c r="BZ249" t="str">
        <f>('Inteligencia emocional'!A250)</f>
        <v>0</v>
      </c>
      <c r="CA249" s="39" t="str">
        <f>'Por Valoracion (3) Dimension'!B249</f>
        <v>0</v>
      </c>
      <c r="CB249" s="39" t="str">
        <f>'Por Valoracion (3) Dimension 2'!H249</f>
        <v>0</v>
      </c>
      <c r="CW249" s="38"/>
      <c r="CY249" s="46"/>
      <c r="DA249" t="str">
        <f>('Inteligencia emocional'!A250)</f>
        <v>0</v>
      </c>
      <c r="DB249" s="39" t="str">
        <f>'Por Valoracion (3) Dimension'!D249</f>
        <v>0</v>
      </c>
      <c r="DC249" s="39" t="str">
        <f>'Por Valoracion (3) Dimension 2'!B249</f>
        <v>0</v>
      </c>
      <c r="DX249" s="46"/>
      <c r="DZ249" t="str">
        <f>('Inteligencia emocional'!A250)</f>
        <v>0</v>
      </c>
      <c r="EA249" s="39" t="str">
        <f>'Por Valoracion (3) Dimension'!D249</f>
        <v>0</v>
      </c>
      <c r="EB249" s="39" t="str">
        <f>'Por Valoracion (3) Dimension 2'!D249</f>
        <v>0</v>
      </c>
      <c r="EW249" s="46"/>
      <c r="EY249" t="str">
        <f>('Inteligencia emocional'!A250)</f>
        <v>0</v>
      </c>
      <c r="EZ249" s="39" t="str">
        <f>'Por Valoracion (3) Dimension'!D249</f>
        <v>0</v>
      </c>
      <c r="FA249" s="39" t="str">
        <f>'Por Valoracion (3) Dimension 2'!F249</f>
        <v>0</v>
      </c>
      <c r="FV249" s="46"/>
      <c r="FX249" t="str">
        <f>('Inteligencia emocional'!A250)</f>
        <v>0</v>
      </c>
      <c r="FY249" s="39" t="str">
        <f>'Por Valoracion (3) Dimension'!D249</f>
        <v>0</v>
      </c>
      <c r="FZ249" s="39" t="str">
        <f>'Por Valoracion (3) Dimension 2'!H249</f>
        <v>0</v>
      </c>
      <c r="GU249" s="46"/>
      <c r="GW249" s="47"/>
      <c r="GY249" t="str">
        <f>('Inteligencia emocional'!A250)</f>
        <v>0</v>
      </c>
      <c r="GZ249" s="39" t="str">
        <f>'Por Valoracion (3) Dimension'!F249</f>
        <v>0</v>
      </c>
      <c r="HA249" s="39" t="str">
        <f>'Por Valoracion (3) Dimension 2'!B249</f>
        <v>0</v>
      </c>
      <c r="HV249" s="47"/>
      <c r="HX249" t="str">
        <f>('Inteligencia emocional'!A250)</f>
        <v>0</v>
      </c>
      <c r="HY249" s="39" t="str">
        <f>'Por Valoracion (3) Dimension'!F249</f>
        <v>0</v>
      </c>
      <c r="HZ249" s="39" t="str">
        <f>'Por Valoracion (3) Dimension 2'!D249</f>
        <v>0</v>
      </c>
      <c r="IU249" s="47"/>
      <c r="IW249" t="str">
        <f>('Inteligencia emocional'!A250)</f>
        <v>0</v>
      </c>
      <c r="IX249" s="39" t="str">
        <f>'Por Valoracion (3) Dimension'!F249</f>
        <v>0</v>
      </c>
      <c r="IY249" s="39" t="str">
        <f>'Por Valoracion (3) Dimension 2'!F249</f>
        <v>0</v>
      </c>
      <c r="JT249" s="47"/>
      <c r="JV249" t="str">
        <f>('Inteligencia emocional'!A250)</f>
        <v>0</v>
      </c>
      <c r="JW249" s="39" t="str">
        <f>'Por Valoracion (3) Dimension'!F249</f>
        <v>0</v>
      </c>
      <c r="JX249" s="39" t="str">
        <f>'Por Valoracion (3) Dimension 2'!H249</f>
        <v>0</v>
      </c>
      <c r="KS249" s="47"/>
    </row>
    <row r="250" spans="1:305">
      <c r="A250" s="38"/>
      <c r="C250" t="str">
        <f>('Inteligencia emocional'!A251)</f>
        <v>0</v>
      </c>
      <c r="D250" s="39" t="str">
        <f>'Por Valoracion (3) Dimension'!B250</f>
        <v>0</v>
      </c>
      <c r="E250" s="39" t="str">
        <f>'Por Valoracion (3) Dimension 2'!B250</f>
        <v>0</v>
      </c>
      <c r="Z250" s="38"/>
      <c r="AB250" t="str">
        <f>('Inteligencia emocional'!A251)</f>
        <v>0</v>
      </c>
      <c r="AC250" s="39" t="str">
        <f>'Por Valoracion (3) Dimension'!B250</f>
        <v>0</v>
      </c>
      <c r="AD250" s="39" t="str">
        <f>'Por Valoracion (3) Dimension 2'!D250</f>
        <v>0</v>
      </c>
      <c r="AY250" s="38"/>
      <c r="BA250" t="str">
        <f>('Inteligencia emocional'!A251)</f>
        <v>0</v>
      </c>
      <c r="BB250" s="39" t="str">
        <f>'Por Valoracion (3) Dimension'!B250</f>
        <v>0</v>
      </c>
      <c r="BC250" s="39" t="str">
        <f>'Por Valoracion (3) Dimension 2'!F250</f>
        <v>0</v>
      </c>
      <c r="BX250" s="38"/>
      <c r="BZ250" t="str">
        <f>('Inteligencia emocional'!A251)</f>
        <v>0</v>
      </c>
      <c r="CA250" s="39" t="str">
        <f>'Por Valoracion (3) Dimension'!B250</f>
        <v>0</v>
      </c>
      <c r="CB250" s="39" t="str">
        <f>'Por Valoracion (3) Dimension 2'!H250</f>
        <v>0</v>
      </c>
      <c r="CW250" s="38"/>
      <c r="CY250" s="46"/>
      <c r="DA250" t="str">
        <f>('Inteligencia emocional'!A251)</f>
        <v>0</v>
      </c>
      <c r="DB250" s="39" t="str">
        <f>'Por Valoracion (3) Dimension'!D250</f>
        <v>0</v>
      </c>
      <c r="DC250" s="39" t="str">
        <f>'Por Valoracion (3) Dimension 2'!B250</f>
        <v>0</v>
      </c>
      <c r="DX250" s="46"/>
      <c r="DZ250" t="str">
        <f>('Inteligencia emocional'!A251)</f>
        <v>0</v>
      </c>
      <c r="EA250" s="39" t="str">
        <f>'Por Valoracion (3) Dimension'!D250</f>
        <v>0</v>
      </c>
      <c r="EB250" s="39" t="str">
        <f>'Por Valoracion (3) Dimension 2'!D250</f>
        <v>0</v>
      </c>
      <c r="EW250" s="46"/>
      <c r="EY250" t="str">
        <f>('Inteligencia emocional'!A251)</f>
        <v>0</v>
      </c>
      <c r="EZ250" s="39" t="str">
        <f>'Por Valoracion (3) Dimension'!D250</f>
        <v>0</v>
      </c>
      <c r="FA250" s="39" t="str">
        <f>'Por Valoracion (3) Dimension 2'!F250</f>
        <v>0</v>
      </c>
      <c r="FV250" s="46"/>
      <c r="FX250" t="str">
        <f>('Inteligencia emocional'!A251)</f>
        <v>0</v>
      </c>
      <c r="FY250" s="39" t="str">
        <f>'Por Valoracion (3) Dimension'!D250</f>
        <v>0</v>
      </c>
      <c r="FZ250" s="39" t="str">
        <f>'Por Valoracion (3) Dimension 2'!H250</f>
        <v>0</v>
      </c>
      <c r="GU250" s="46"/>
      <c r="GW250" s="47"/>
      <c r="GY250" t="str">
        <f>('Inteligencia emocional'!A251)</f>
        <v>0</v>
      </c>
      <c r="GZ250" s="39" t="str">
        <f>'Por Valoracion (3) Dimension'!F250</f>
        <v>0</v>
      </c>
      <c r="HA250" s="39" t="str">
        <f>'Por Valoracion (3) Dimension 2'!B250</f>
        <v>0</v>
      </c>
      <c r="HV250" s="47"/>
      <c r="HX250" t="str">
        <f>('Inteligencia emocional'!A251)</f>
        <v>0</v>
      </c>
      <c r="HY250" s="39" t="str">
        <f>'Por Valoracion (3) Dimension'!F250</f>
        <v>0</v>
      </c>
      <c r="HZ250" s="39" t="str">
        <f>'Por Valoracion (3) Dimension 2'!D250</f>
        <v>0</v>
      </c>
      <c r="IU250" s="47"/>
      <c r="IW250" t="str">
        <f>('Inteligencia emocional'!A251)</f>
        <v>0</v>
      </c>
      <c r="IX250" s="39" t="str">
        <f>'Por Valoracion (3) Dimension'!F250</f>
        <v>0</v>
      </c>
      <c r="IY250" s="39" t="str">
        <f>'Por Valoracion (3) Dimension 2'!F250</f>
        <v>0</v>
      </c>
      <c r="JT250" s="47"/>
      <c r="JV250" t="str">
        <f>('Inteligencia emocional'!A251)</f>
        <v>0</v>
      </c>
      <c r="JW250" s="39" t="str">
        <f>'Por Valoracion (3) Dimension'!F250</f>
        <v>0</v>
      </c>
      <c r="JX250" s="39" t="str">
        <f>'Por Valoracion (3) Dimension 2'!H250</f>
        <v>0</v>
      </c>
      <c r="KS250" s="47"/>
    </row>
    <row r="251" spans="1:305">
      <c r="A251" s="38"/>
      <c r="C251" t="str">
        <f>('Inteligencia emocional'!A252)</f>
        <v>0</v>
      </c>
      <c r="D251" s="39" t="str">
        <f>'Por Valoracion (3) Dimension'!B251</f>
        <v>0</v>
      </c>
      <c r="E251" s="39" t="str">
        <f>'Por Valoracion (3) Dimension 2'!B251</f>
        <v>0</v>
      </c>
      <c r="Z251" s="38"/>
      <c r="AB251" t="str">
        <f>('Inteligencia emocional'!A252)</f>
        <v>0</v>
      </c>
      <c r="AC251" s="39" t="str">
        <f>'Por Valoracion (3) Dimension'!B251</f>
        <v>0</v>
      </c>
      <c r="AD251" s="39" t="str">
        <f>'Por Valoracion (3) Dimension 2'!D251</f>
        <v>0</v>
      </c>
      <c r="AY251" s="38"/>
      <c r="BA251" t="str">
        <f>('Inteligencia emocional'!A252)</f>
        <v>0</v>
      </c>
      <c r="BB251" s="39" t="str">
        <f>'Por Valoracion (3) Dimension'!B251</f>
        <v>0</v>
      </c>
      <c r="BC251" s="39" t="str">
        <f>'Por Valoracion (3) Dimension 2'!F251</f>
        <v>0</v>
      </c>
      <c r="BX251" s="38"/>
      <c r="BZ251" t="str">
        <f>('Inteligencia emocional'!A252)</f>
        <v>0</v>
      </c>
      <c r="CA251" s="39" t="str">
        <f>'Por Valoracion (3) Dimension'!B251</f>
        <v>0</v>
      </c>
      <c r="CB251" s="39" t="str">
        <f>'Por Valoracion (3) Dimension 2'!H251</f>
        <v>0</v>
      </c>
      <c r="CW251" s="38"/>
      <c r="CY251" s="46"/>
      <c r="DA251" t="str">
        <f>('Inteligencia emocional'!A252)</f>
        <v>0</v>
      </c>
      <c r="DB251" s="39" t="str">
        <f>'Por Valoracion (3) Dimension'!D251</f>
        <v>0</v>
      </c>
      <c r="DC251" s="39" t="str">
        <f>'Por Valoracion (3) Dimension 2'!B251</f>
        <v>0</v>
      </c>
      <c r="DX251" s="46"/>
      <c r="DZ251" t="str">
        <f>('Inteligencia emocional'!A252)</f>
        <v>0</v>
      </c>
      <c r="EA251" s="39" t="str">
        <f>'Por Valoracion (3) Dimension'!D251</f>
        <v>0</v>
      </c>
      <c r="EB251" s="39" t="str">
        <f>'Por Valoracion (3) Dimension 2'!D251</f>
        <v>0</v>
      </c>
      <c r="EW251" s="46"/>
      <c r="EY251" t="str">
        <f>('Inteligencia emocional'!A252)</f>
        <v>0</v>
      </c>
      <c r="EZ251" s="39" t="str">
        <f>'Por Valoracion (3) Dimension'!D251</f>
        <v>0</v>
      </c>
      <c r="FA251" s="39" t="str">
        <f>'Por Valoracion (3) Dimension 2'!F251</f>
        <v>0</v>
      </c>
      <c r="FV251" s="46"/>
      <c r="FX251" t="str">
        <f>('Inteligencia emocional'!A252)</f>
        <v>0</v>
      </c>
      <c r="FY251" s="39" t="str">
        <f>'Por Valoracion (3) Dimension'!D251</f>
        <v>0</v>
      </c>
      <c r="FZ251" s="39" t="str">
        <f>'Por Valoracion (3) Dimension 2'!H251</f>
        <v>0</v>
      </c>
      <c r="GU251" s="46"/>
      <c r="GW251" s="47"/>
      <c r="GY251" t="str">
        <f>('Inteligencia emocional'!A252)</f>
        <v>0</v>
      </c>
      <c r="GZ251" s="39" t="str">
        <f>'Por Valoracion (3) Dimension'!F251</f>
        <v>0</v>
      </c>
      <c r="HA251" s="39" t="str">
        <f>'Por Valoracion (3) Dimension 2'!B251</f>
        <v>0</v>
      </c>
      <c r="HV251" s="47"/>
      <c r="HX251" t="str">
        <f>('Inteligencia emocional'!A252)</f>
        <v>0</v>
      </c>
      <c r="HY251" s="39" t="str">
        <f>'Por Valoracion (3) Dimension'!F251</f>
        <v>0</v>
      </c>
      <c r="HZ251" s="39" t="str">
        <f>'Por Valoracion (3) Dimension 2'!D251</f>
        <v>0</v>
      </c>
      <c r="IU251" s="47"/>
      <c r="IW251" t="str">
        <f>('Inteligencia emocional'!A252)</f>
        <v>0</v>
      </c>
      <c r="IX251" s="39" t="str">
        <f>'Por Valoracion (3) Dimension'!F251</f>
        <v>0</v>
      </c>
      <c r="IY251" s="39" t="str">
        <f>'Por Valoracion (3) Dimension 2'!F251</f>
        <v>0</v>
      </c>
      <c r="JT251" s="47"/>
      <c r="JV251" t="str">
        <f>('Inteligencia emocional'!A252)</f>
        <v>0</v>
      </c>
      <c r="JW251" s="39" t="str">
        <f>'Por Valoracion (3) Dimension'!F251</f>
        <v>0</v>
      </c>
      <c r="JX251" s="39" t="str">
        <f>'Por Valoracion (3) Dimension 2'!H251</f>
        <v>0</v>
      </c>
      <c r="KS251" s="47"/>
    </row>
    <row r="252" spans="1:305">
      <c r="A252" s="38"/>
      <c r="C252" t="str">
        <f>('Inteligencia emocional'!A253)</f>
        <v>0</v>
      </c>
      <c r="D252" s="39" t="str">
        <f>'Por Valoracion (3) Dimension'!B252</f>
        <v>0</v>
      </c>
      <c r="E252" s="39" t="str">
        <f>'Por Valoracion (3) Dimension 2'!B252</f>
        <v>0</v>
      </c>
      <c r="Z252" s="38"/>
      <c r="AB252" t="str">
        <f>('Inteligencia emocional'!A253)</f>
        <v>0</v>
      </c>
      <c r="AC252" s="39" t="str">
        <f>'Por Valoracion (3) Dimension'!B252</f>
        <v>0</v>
      </c>
      <c r="AD252" s="39" t="str">
        <f>'Por Valoracion (3) Dimension 2'!D252</f>
        <v>0</v>
      </c>
      <c r="AY252" s="38"/>
      <c r="BA252" t="str">
        <f>('Inteligencia emocional'!A253)</f>
        <v>0</v>
      </c>
      <c r="BB252" s="39" t="str">
        <f>'Por Valoracion (3) Dimension'!B252</f>
        <v>0</v>
      </c>
      <c r="BC252" s="39" t="str">
        <f>'Por Valoracion (3) Dimension 2'!F252</f>
        <v>0</v>
      </c>
      <c r="BX252" s="38"/>
      <c r="BZ252" t="str">
        <f>('Inteligencia emocional'!A253)</f>
        <v>0</v>
      </c>
      <c r="CA252" s="39" t="str">
        <f>'Por Valoracion (3) Dimension'!B252</f>
        <v>0</v>
      </c>
      <c r="CB252" s="39" t="str">
        <f>'Por Valoracion (3) Dimension 2'!H252</f>
        <v>0</v>
      </c>
      <c r="CW252" s="38"/>
      <c r="CY252" s="46"/>
      <c r="DA252" t="str">
        <f>('Inteligencia emocional'!A253)</f>
        <v>0</v>
      </c>
      <c r="DB252" s="39" t="str">
        <f>'Por Valoracion (3) Dimension'!D252</f>
        <v>0</v>
      </c>
      <c r="DC252" s="39" t="str">
        <f>'Por Valoracion (3) Dimension 2'!B252</f>
        <v>0</v>
      </c>
      <c r="DX252" s="46"/>
      <c r="DZ252" t="str">
        <f>('Inteligencia emocional'!A253)</f>
        <v>0</v>
      </c>
      <c r="EA252" s="39" t="str">
        <f>'Por Valoracion (3) Dimension'!D252</f>
        <v>0</v>
      </c>
      <c r="EB252" s="39" t="str">
        <f>'Por Valoracion (3) Dimension 2'!D252</f>
        <v>0</v>
      </c>
      <c r="EW252" s="46"/>
      <c r="EY252" t="str">
        <f>('Inteligencia emocional'!A253)</f>
        <v>0</v>
      </c>
      <c r="EZ252" s="39" t="str">
        <f>'Por Valoracion (3) Dimension'!D252</f>
        <v>0</v>
      </c>
      <c r="FA252" s="39" t="str">
        <f>'Por Valoracion (3) Dimension 2'!F252</f>
        <v>0</v>
      </c>
      <c r="FV252" s="46"/>
      <c r="FX252" t="str">
        <f>('Inteligencia emocional'!A253)</f>
        <v>0</v>
      </c>
      <c r="FY252" s="39" t="str">
        <f>'Por Valoracion (3) Dimension'!D252</f>
        <v>0</v>
      </c>
      <c r="FZ252" s="39" t="str">
        <f>'Por Valoracion (3) Dimension 2'!H252</f>
        <v>0</v>
      </c>
      <c r="GU252" s="46"/>
      <c r="GW252" s="47"/>
      <c r="GY252" t="str">
        <f>('Inteligencia emocional'!A253)</f>
        <v>0</v>
      </c>
      <c r="GZ252" s="39" t="str">
        <f>'Por Valoracion (3) Dimension'!F252</f>
        <v>0</v>
      </c>
      <c r="HA252" s="39" t="str">
        <f>'Por Valoracion (3) Dimension 2'!B252</f>
        <v>0</v>
      </c>
      <c r="HV252" s="47"/>
      <c r="HX252" t="str">
        <f>('Inteligencia emocional'!A253)</f>
        <v>0</v>
      </c>
      <c r="HY252" s="39" t="str">
        <f>'Por Valoracion (3) Dimension'!F252</f>
        <v>0</v>
      </c>
      <c r="HZ252" s="39" t="str">
        <f>'Por Valoracion (3) Dimension 2'!D252</f>
        <v>0</v>
      </c>
      <c r="IU252" s="47"/>
      <c r="IW252" t="str">
        <f>('Inteligencia emocional'!A253)</f>
        <v>0</v>
      </c>
      <c r="IX252" s="39" t="str">
        <f>'Por Valoracion (3) Dimension'!F252</f>
        <v>0</v>
      </c>
      <c r="IY252" s="39" t="str">
        <f>'Por Valoracion (3) Dimension 2'!F252</f>
        <v>0</v>
      </c>
      <c r="JT252" s="47"/>
      <c r="JV252" t="str">
        <f>('Inteligencia emocional'!A253)</f>
        <v>0</v>
      </c>
      <c r="JW252" s="39" t="str">
        <f>'Por Valoracion (3) Dimension'!F252</f>
        <v>0</v>
      </c>
      <c r="JX252" s="39" t="str">
        <f>'Por Valoracion (3) Dimension 2'!H252</f>
        <v>0</v>
      </c>
      <c r="KS252" s="47"/>
    </row>
    <row r="253" spans="1:305">
      <c r="A253" s="38"/>
      <c r="C253" t="str">
        <f>('Inteligencia emocional'!A254)</f>
        <v>0</v>
      </c>
      <c r="D253" s="39" t="str">
        <f>'Por Valoracion (3) Dimension'!B253</f>
        <v>0</v>
      </c>
      <c r="E253" s="39" t="str">
        <f>'Por Valoracion (3) Dimension 2'!B253</f>
        <v>0</v>
      </c>
      <c r="Z253" s="38"/>
      <c r="AB253" t="str">
        <f>('Inteligencia emocional'!A254)</f>
        <v>0</v>
      </c>
      <c r="AC253" s="39" t="str">
        <f>'Por Valoracion (3) Dimension'!B253</f>
        <v>0</v>
      </c>
      <c r="AD253" s="39" t="str">
        <f>'Por Valoracion (3) Dimension 2'!D253</f>
        <v>0</v>
      </c>
      <c r="AY253" s="38"/>
      <c r="BA253" t="str">
        <f>('Inteligencia emocional'!A254)</f>
        <v>0</v>
      </c>
      <c r="BB253" s="39" t="str">
        <f>'Por Valoracion (3) Dimension'!B253</f>
        <v>0</v>
      </c>
      <c r="BC253" s="39" t="str">
        <f>'Por Valoracion (3) Dimension 2'!F253</f>
        <v>0</v>
      </c>
      <c r="BX253" s="38"/>
      <c r="BZ253" t="str">
        <f>('Inteligencia emocional'!A254)</f>
        <v>0</v>
      </c>
      <c r="CA253" s="39" t="str">
        <f>'Por Valoracion (3) Dimension'!B253</f>
        <v>0</v>
      </c>
      <c r="CB253" s="39" t="str">
        <f>'Por Valoracion (3) Dimension 2'!H253</f>
        <v>0</v>
      </c>
      <c r="CW253" s="38"/>
      <c r="CY253" s="46"/>
      <c r="DA253" t="str">
        <f>('Inteligencia emocional'!A254)</f>
        <v>0</v>
      </c>
      <c r="DB253" s="39" t="str">
        <f>'Por Valoracion (3) Dimension'!D253</f>
        <v>0</v>
      </c>
      <c r="DC253" s="39" t="str">
        <f>'Por Valoracion (3) Dimension 2'!B253</f>
        <v>0</v>
      </c>
      <c r="DX253" s="46"/>
      <c r="DZ253" t="str">
        <f>('Inteligencia emocional'!A254)</f>
        <v>0</v>
      </c>
      <c r="EA253" s="39" t="str">
        <f>'Por Valoracion (3) Dimension'!D253</f>
        <v>0</v>
      </c>
      <c r="EB253" s="39" t="str">
        <f>'Por Valoracion (3) Dimension 2'!D253</f>
        <v>0</v>
      </c>
      <c r="EW253" s="46"/>
      <c r="EY253" t="str">
        <f>('Inteligencia emocional'!A254)</f>
        <v>0</v>
      </c>
      <c r="EZ253" s="39" t="str">
        <f>'Por Valoracion (3) Dimension'!D253</f>
        <v>0</v>
      </c>
      <c r="FA253" s="39" t="str">
        <f>'Por Valoracion (3) Dimension 2'!F253</f>
        <v>0</v>
      </c>
      <c r="FV253" s="46"/>
      <c r="FX253" t="str">
        <f>('Inteligencia emocional'!A254)</f>
        <v>0</v>
      </c>
      <c r="FY253" s="39" t="str">
        <f>'Por Valoracion (3) Dimension'!D253</f>
        <v>0</v>
      </c>
      <c r="FZ253" s="39" t="str">
        <f>'Por Valoracion (3) Dimension 2'!H253</f>
        <v>0</v>
      </c>
      <c r="GU253" s="46"/>
      <c r="GW253" s="47"/>
      <c r="GY253" t="str">
        <f>('Inteligencia emocional'!A254)</f>
        <v>0</v>
      </c>
      <c r="GZ253" s="39" t="str">
        <f>'Por Valoracion (3) Dimension'!F253</f>
        <v>0</v>
      </c>
      <c r="HA253" s="39" t="str">
        <f>'Por Valoracion (3) Dimension 2'!B253</f>
        <v>0</v>
      </c>
      <c r="HV253" s="47"/>
      <c r="HX253" t="str">
        <f>('Inteligencia emocional'!A254)</f>
        <v>0</v>
      </c>
      <c r="HY253" s="39" t="str">
        <f>'Por Valoracion (3) Dimension'!F253</f>
        <v>0</v>
      </c>
      <c r="HZ253" s="39" t="str">
        <f>'Por Valoracion (3) Dimension 2'!D253</f>
        <v>0</v>
      </c>
      <c r="IU253" s="47"/>
      <c r="IW253" t="str">
        <f>('Inteligencia emocional'!A254)</f>
        <v>0</v>
      </c>
      <c r="IX253" s="39" t="str">
        <f>'Por Valoracion (3) Dimension'!F253</f>
        <v>0</v>
      </c>
      <c r="IY253" s="39" t="str">
        <f>'Por Valoracion (3) Dimension 2'!F253</f>
        <v>0</v>
      </c>
      <c r="JT253" s="47"/>
      <c r="JV253" t="str">
        <f>('Inteligencia emocional'!A254)</f>
        <v>0</v>
      </c>
      <c r="JW253" s="39" t="str">
        <f>'Por Valoracion (3) Dimension'!F253</f>
        <v>0</v>
      </c>
      <c r="JX253" s="39" t="str">
        <f>'Por Valoracion (3) Dimension 2'!H253</f>
        <v>0</v>
      </c>
      <c r="KS253" s="47"/>
    </row>
    <row r="254" spans="1:305">
      <c r="A254" s="38"/>
      <c r="C254" t="str">
        <f>('Inteligencia emocional'!A255)</f>
        <v>0</v>
      </c>
      <c r="D254" s="39" t="str">
        <f>'Por Valoracion (3) Dimension'!B254</f>
        <v>0</v>
      </c>
      <c r="E254" s="39" t="str">
        <f>'Por Valoracion (3) Dimension 2'!B254</f>
        <v>0</v>
      </c>
      <c r="Z254" s="38"/>
      <c r="AB254" t="str">
        <f>('Inteligencia emocional'!A255)</f>
        <v>0</v>
      </c>
      <c r="AC254" s="39" t="str">
        <f>'Por Valoracion (3) Dimension'!B254</f>
        <v>0</v>
      </c>
      <c r="AD254" s="39" t="str">
        <f>'Por Valoracion (3) Dimension 2'!D254</f>
        <v>0</v>
      </c>
      <c r="AY254" s="38"/>
      <c r="BA254" t="str">
        <f>('Inteligencia emocional'!A255)</f>
        <v>0</v>
      </c>
      <c r="BB254" s="39" t="str">
        <f>'Por Valoracion (3) Dimension'!B254</f>
        <v>0</v>
      </c>
      <c r="BC254" s="39" t="str">
        <f>'Por Valoracion (3) Dimension 2'!F254</f>
        <v>0</v>
      </c>
      <c r="BX254" s="38"/>
      <c r="BZ254" t="str">
        <f>('Inteligencia emocional'!A255)</f>
        <v>0</v>
      </c>
      <c r="CA254" s="39" t="str">
        <f>'Por Valoracion (3) Dimension'!B254</f>
        <v>0</v>
      </c>
      <c r="CB254" s="39" t="str">
        <f>'Por Valoracion (3) Dimension 2'!H254</f>
        <v>0</v>
      </c>
      <c r="CW254" s="38"/>
      <c r="CY254" s="46"/>
      <c r="DA254" t="str">
        <f>('Inteligencia emocional'!A255)</f>
        <v>0</v>
      </c>
      <c r="DB254" s="39" t="str">
        <f>'Por Valoracion (3) Dimension'!D254</f>
        <v>0</v>
      </c>
      <c r="DC254" s="39" t="str">
        <f>'Por Valoracion (3) Dimension 2'!B254</f>
        <v>0</v>
      </c>
      <c r="DX254" s="46"/>
      <c r="DZ254" t="str">
        <f>('Inteligencia emocional'!A255)</f>
        <v>0</v>
      </c>
      <c r="EA254" s="39" t="str">
        <f>'Por Valoracion (3) Dimension'!D254</f>
        <v>0</v>
      </c>
      <c r="EB254" s="39" t="str">
        <f>'Por Valoracion (3) Dimension 2'!D254</f>
        <v>0</v>
      </c>
      <c r="EW254" s="46"/>
      <c r="EY254" t="str">
        <f>('Inteligencia emocional'!A255)</f>
        <v>0</v>
      </c>
      <c r="EZ254" s="39" t="str">
        <f>'Por Valoracion (3) Dimension'!D254</f>
        <v>0</v>
      </c>
      <c r="FA254" s="39" t="str">
        <f>'Por Valoracion (3) Dimension 2'!F254</f>
        <v>0</v>
      </c>
      <c r="FV254" s="46"/>
      <c r="FX254" t="str">
        <f>('Inteligencia emocional'!A255)</f>
        <v>0</v>
      </c>
      <c r="FY254" s="39" t="str">
        <f>'Por Valoracion (3) Dimension'!D254</f>
        <v>0</v>
      </c>
      <c r="FZ254" s="39" t="str">
        <f>'Por Valoracion (3) Dimension 2'!H254</f>
        <v>0</v>
      </c>
      <c r="GU254" s="46"/>
      <c r="GW254" s="47"/>
      <c r="GY254" t="str">
        <f>('Inteligencia emocional'!A255)</f>
        <v>0</v>
      </c>
      <c r="GZ254" s="39" t="str">
        <f>'Por Valoracion (3) Dimension'!F254</f>
        <v>0</v>
      </c>
      <c r="HA254" s="39" t="str">
        <f>'Por Valoracion (3) Dimension 2'!B254</f>
        <v>0</v>
      </c>
      <c r="HV254" s="47"/>
      <c r="HX254" t="str">
        <f>('Inteligencia emocional'!A255)</f>
        <v>0</v>
      </c>
      <c r="HY254" s="39" t="str">
        <f>'Por Valoracion (3) Dimension'!F254</f>
        <v>0</v>
      </c>
      <c r="HZ254" s="39" t="str">
        <f>'Por Valoracion (3) Dimension 2'!D254</f>
        <v>0</v>
      </c>
      <c r="IU254" s="47"/>
      <c r="IW254" t="str">
        <f>('Inteligencia emocional'!A255)</f>
        <v>0</v>
      </c>
      <c r="IX254" s="39" t="str">
        <f>'Por Valoracion (3) Dimension'!F254</f>
        <v>0</v>
      </c>
      <c r="IY254" s="39" t="str">
        <f>'Por Valoracion (3) Dimension 2'!F254</f>
        <v>0</v>
      </c>
      <c r="JT254" s="47"/>
      <c r="JV254" t="str">
        <f>('Inteligencia emocional'!A255)</f>
        <v>0</v>
      </c>
      <c r="JW254" s="39" t="str">
        <f>'Por Valoracion (3) Dimension'!F254</f>
        <v>0</v>
      </c>
      <c r="JX254" s="39" t="str">
        <f>'Por Valoracion (3) Dimension 2'!H254</f>
        <v>0</v>
      </c>
      <c r="KS254" s="47"/>
    </row>
    <row r="255" spans="1:305">
      <c r="A255" s="38"/>
      <c r="C255" t="str">
        <f>('Inteligencia emocional'!A256)</f>
        <v>0</v>
      </c>
      <c r="D255" s="39" t="str">
        <f>'Por Valoracion (3) Dimension'!B255</f>
        <v>0</v>
      </c>
      <c r="E255" s="39" t="str">
        <f>'Por Valoracion (3) Dimension 2'!B255</f>
        <v>0</v>
      </c>
      <c r="Z255" s="38"/>
      <c r="AB255" t="str">
        <f>('Inteligencia emocional'!A256)</f>
        <v>0</v>
      </c>
      <c r="AC255" s="39" t="str">
        <f>'Por Valoracion (3) Dimension'!B255</f>
        <v>0</v>
      </c>
      <c r="AD255" s="39" t="str">
        <f>'Por Valoracion (3) Dimension 2'!D255</f>
        <v>0</v>
      </c>
      <c r="AY255" s="38"/>
      <c r="BA255" t="str">
        <f>('Inteligencia emocional'!A256)</f>
        <v>0</v>
      </c>
      <c r="BB255" s="39" t="str">
        <f>'Por Valoracion (3) Dimension'!B255</f>
        <v>0</v>
      </c>
      <c r="BC255" s="39" t="str">
        <f>'Por Valoracion (3) Dimension 2'!F255</f>
        <v>0</v>
      </c>
      <c r="BX255" s="38"/>
      <c r="BZ255" t="str">
        <f>('Inteligencia emocional'!A256)</f>
        <v>0</v>
      </c>
      <c r="CA255" s="39" t="str">
        <f>'Por Valoracion (3) Dimension'!B255</f>
        <v>0</v>
      </c>
      <c r="CB255" s="39" t="str">
        <f>'Por Valoracion (3) Dimension 2'!H255</f>
        <v>0</v>
      </c>
      <c r="CW255" s="38"/>
      <c r="CY255" s="46"/>
      <c r="DA255" t="str">
        <f>('Inteligencia emocional'!A256)</f>
        <v>0</v>
      </c>
      <c r="DB255" s="39" t="str">
        <f>'Por Valoracion (3) Dimension'!D255</f>
        <v>0</v>
      </c>
      <c r="DC255" s="39" t="str">
        <f>'Por Valoracion (3) Dimension 2'!B255</f>
        <v>0</v>
      </c>
      <c r="DX255" s="46"/>
      <c r="DZ255" t="str">
        <f>('Inteligencia emocional'!A256)</f>
        <v>0</v>
      </c>
      <c r="EA255" s="39" t="str">
        <f>'Por Valoracion (3) Dimension'!D255</f>
        <v>0</v>
      </c>
      <c r="EB255" s="39" t="str">
        <f>'Por Valoracion (3) Dimension 2'!D255</f>
        <v>0</v>
      </c>
      <c r="EW255" s="46"/>
      <c r="EY255" t="str">
        <f>('Inteligencia emocional'!A256)</f>
        <v>0</v>
      </c>
      <c r="EZ255" s="39" t="str">
        <f>'Por Valoracion (3) Dimension'!D255</f>
        <v>0</v>
      </c>
      <c r="FA255" s="39" t="str">
        <f>'Por Valoracion (3) Dimension 2'!F255</f>
        <v>0</v>
      </c>
      <c r="FV255" s="46"/>
      <c r="FX255" t="str">
        <f>('Inteligencia emocional'!A256)</f>
        <v>0</v>
      </c>
      <c r="FY255" s="39" t="str">
        <f>'Por Valoracion (3) Dimension'!D255</f>
        <v>0</v>
      </c>
      <c r="FZ255" s="39" t="str">
        <f>'Por Valoracion (3) Dimension 2'!H255</f>
        <v>0</v>
      </c>
      <c r="GU255" s="46"/>
      <c r="GW255" s="47"/>
      <c r="GY255" t="str">
        <f>('Inteligencia emocional'!A256)</f>
        <v>0</v>
      </c>
      <c r="GZ255" s="39" t="str">
        <f>'Por Valoracion (3) Dimension'!F255</f>
        <v>0</v>
      </c>
      <c r="HA255" s="39" t="str">
        <f>'Por Valoracion (3) Dimension 2'!B255</f>
        <v>0</v>
      </c>
      <c r="HV255" s="47"/>
      <c r="HX255" t="str">
        <f>('Inteligencia emocional'!A256)</f>
        <v>0</v>
      </c>
      <c r="HY255" s="39" t="str">
        <f>'Por Valoracion (3) Dimension'!F255</f>
        <v>0</v>
      </c>
      <c r="HZ255" s="39" t="str">
        <f>'Por Valoracion (3) Dimension 2'!D255</f>
        <v>0</v>
      </c>
      <c r="IU255" s="47"/>
      <c r="IW255" t="str">
        <f>('Inteligencia emocional'!A256)</f>
        <v>0</v>
      </c>
      <c r="IX255" s="39" t="str">
        <f>'Por Valoracion (3) Dimension'!F255</f>
        <v>0</v>
      </c>
      <c r="IY255" s="39" t="str">
        <f>'Por Valoracion (3) Dimension 2'!F255</f>
        <v>0</v>
      </c>
      <c r="JT255" s="47"/>
      <c r="JV255" t="str">
        <f>('Inteligencia emocional'!A256)</f>
        <v>0</v>
      </c>
      <c r="JW255" s="39" t="str">
        <f>'Por Valoracion (3) Dimension'!F255</f>
        <v>0</v>
      </c>
      <c r="JX255" s="39" t="str">
        <f>'Por Valoracion (3) Dimension 2'!H255</f>
        <v>0</v>
      </c>
      <c r="KS255" s="47"/>
    </row>
    <row r="256" spans="1:305">
      <c r="A256" s="38"/>
      <c r="C256" t="str">
        <f>('Inteligencia emocional'!A257)</f>
        <v>0</v>
      </c>
      <c r="D256" s="39" t="str">
        <f>'Por Valoracion (3) Dimension'!B256</f>
        <v>0</v>
      </c>
      <c r="E256" s="39" t="str">
        <f>'Por Valoracion (3) Dimension 2'!B256</f>
        <v>0</v>
      </c>
      <c r="Z256" s="38"/>
      <c r="AB256" t="str">
        <f>('Inteligencia emocional'!A257)</f>
        <v>0</v>
      </c>
      <c r="AC256" s="39" t="str">
        <f>'Por Valoracion (3) Dimension'!B256</f>
        <v>0</v>
      </c>
      <c r="AD256" s="39" t="str">
        <f>'Por Valoracion (3) Dimension 2'!D256</f>
        <v>0</v>
      </c>
      <c r="AY256" s="38"/>
      <c r="BA256" t="str">
        <f>('Inteligencia emocional'!A257)</f>
        <v>0</v>
      </c>
      <c r="BB256" s="39" t="str">
        <f>'Por Valoracion (3) Dimension'!B256</f>
        <v>0</v>
      </c>
      <c r="BC256" s="39" t="str">
        <f>'Por Valoracion (3) Dimension 2'!F256</f>
        <v>0</v>
      </c>
      <c r="BX256" s="38"/>
      <c r="BZ256" t="str">
        <f>('Inteligencia emocional'!A257)</f>
        <v>0</v>
      </c>
      <c r="CA256" s="39" t="str">
        <f>'Por Valoracion (3) Dimension'!B256</f>
        <v>0</v>
      </c>
      <c r="CB256" s="39" t="str">
        <f>'Por Valoracion (3) Dimension 2'!H256</f>
        <v>0</v>
      </c>
      <c r="CW256" s="38"/>
      <c r="CY256" s="46"/>
      <c r="DA256" t="str">
        <f>('Inteligencia emocional'!A257)</f>
        <v>0</v>
      </c>
      <c r="DB256" s="39" t="str">
        <f>'Por Valoracion (3) Dimension'!D256</f>
        <v>0</v>
      </c>
      <c r="DC256" s="39" t="str">
        <f>'Por Valoracion (3) Dimension 2'!B256</f>
        <v>0</v>
      </c>
      <c r="DX256" s="46"/>
      <c r="DZ256" t="str">
        <f>('Inteligencia emocional'!A257)</f>
        <v>0</v>
      </c>
      <c r="EA256" s="39" t="str">
        <f>'Por Valoracion (3) Dimension'!D256</f>
        <v>0</v>
      </c>
      <c r="EB256" s="39" t="str">
        <f>'Por Valoracion (3) Dimension 2'!D256</f>
        <v>0</v>
      </c>
      <c r="EW256" s="46"/>
      <c r="EY256" t="str">
        <f>('Inteligencia emocional'!A257)</f>
        <v>0</v>
      </c>
      <c r="EZ256" s="39" t="str">
        <f>'Por Valoracion (3) Dimension'!D256</f>
        <v>0</v>
      </c>
      <c r="FA256" s="39" t="str">
        <f>'Por Valoracion (3) Dimension 2'!F256</f>
        <v>0</v>
      </c>
      <c r="FV256" s="46"/>
      <c r="FX256" t="str">
        <f>('Inteligencia emocional'!A257)</f>
        <v>0</v>
      </c>
      <c r="FY256" s="39" t="str">
        <f>'Por Valoracion (3) Dimension'!D256</f>
        <v>0</v>
      </c>
      <c r="FZ256" s="39" t="str">
        <f>'Por Valoracion (3) Dimension 2'!H256</f>
        <v>0</v>
      </c>
      <c r="GU256" s="46"/>
      <c r="GW256" s="47"/>
      <c r="GY256" t="str">
        <f>('Inteligencia emocional'!A257)</f>
        <v>0</v>
      </c>
      <c r="GZ256" s="39" t="str">
        <f>'Por Valoracion (3) Dimension'!F256</f>
        <v>0</v>
      </c>
      <c r="HA256" s="39" t="str">
        <f>'Por Valoracion (3) Dimension 2'!B256</f>
        <v>0</v>
      </c>
      <c r="HV256" s="47"/>
      <c r="HX256" t="str">
        <f>('Inteligencia emocional'!A257)</f>
        <v>0</v>
      </c>
      <c r="HY256" s="39" t="str">
        <f>'Por Valoracion (3) Dimension'!F256</f>
        <v>0</v>
      </c>
      <c r="HZ256" s="39" t="str">
        <f>'Por Valoracion (3) Dimension 2'!D256</f>
        <v>0</v>
      </c>
      <c r="IU256" s="47"/>
      <c r="IW256" t="str">
        <f>('Inteligencia emocional'!A257)</f>
        <v>0</v>
      </c>
      <c r="IX256" s="39" t="str">
        <f>'Por Valoracion (3) Dimension'!F256</f>
        <v>0</v>
      </c>
      <c r="IY256" s="39" t="str">
        <f>'Por Valoracion (3) Dimension 2'!F256</f>
        <v>0</v>
      </c>
      <c r="JT256" s="47"/>
      <c r="JV256" t="str">
        <f>('Inteligencia emocional'!A257)</f>
        <v>0</v>
      </c>
      <c r="JW256" s="39" t="str">
        <f>'Por Valoracion (3) Dimension'!F256</f>
        <v>0</v>
      </c>
      <c r="JX256" s="39" t="str">
        <f>'Por Valoracion (3) Dimension 2'!H256</f>
        <v>0</v>
      </c>
      <c r="KS256" s="47"/>
    </row>
    <row r="257" spans="1:305">
      <c r="A257" s="38"/>
      <c r="C257" t="str">
        <f>('Inteligencia emocional'!A258)</f>
        <v>0</v>
      </c>
      <c r="D257" s="39" t="str">
        <f>'Por Valoracion (3) Dimension'!B257</f>
        <v>0</v>
      </c>
      <c r="E257" s="39" t="str">
        <f>'Por Valoracion (3) Dimension 2'!B257</f>
        <v>0</v>
      </c>
      <c r="Z257" s="38"/>
      <c r="AB257" t="str">
        <f>('Inteligencia emocional'!A258)</f>
        <v>0</v>
      </c>
      <c r="AC257" s="39" t="str">
        <f>'Por Valoracion (3) Dimension'!B257</f>
        <v>0</v>
      </c>
      <c r="AD257" s="39" t="str">
        <f>'Por Valoracion (3) Dimension 2'!D257</f>
        <v>0</v>
      </c>
      <c r="AY257" s="38"/>
      <c r="BA257" t="str">
        <f>('Inteligencia emocional'!A258)</f>
        <v>0</v>
      </c>
      <c r="BB257" s="39" t="str">
        <f>'Por Valoracion (3) Dimension'!B257</f>
        <v>0</v>
      </c>
      <c r="BC257" s="39" t="str">
        <f>'Por Valoracion (3) Dimension 2'!F257</f>
        <v>0</v>
      </c>
      <c r="BX257" s="38"/>
      <c r="BZ257" t="str">
        <f>('Inteligencia emocional'!A258)</f>
        <v>0</v>
      </c>
      <c r="CA257" s="39" t="str">
        <f>'Por Valoracion (3) Dimension'!B257</f>
        <v>0</v>
      </c>
      <c r="CB257" s="39" t="str">
        <f>'Por Valoracion (3) Dimension 2'!H257</f>
        <v>0</v>
      </c>
      <c r="CW257" s="38"/>
      <c r="CY257" s="46"/>
      <c r="DA257" t="str">
        <f>('Inteligencia emocional'!A258)</f>
        <v>0</v>
      </c>
      <c r="DB257" s="39" t="str">
        <f>'Por Valoracion (3) Dimension'!D257</f>
        <v>0</v>
      </c>
      <c r="DC257" s="39" t="str">
        <f>'Por Valoracion (3) Dimension 2'!B257</f>
        <v>0</v>
      </c>
      <c r="DX257" s="46"/>
      <c r="DZ257" t="str">
        <f>('Inteligencia emocional'!A258)</f>
        <v>0</v>
      </c>
      <c r="EA257" s="39" t="str">
        <f>'Por Valoracion (3) Dimension'!D257</f>
        <v>0</v>
      </c>
      <c r="EB257" s="39" t="str">
        <f>'Por Valoracion (3) Dimension 2'!D257</f>
        <v>0</v>
      </c>
      <c r="EW257" s="46"/>
      <c r="EY257" t="str">
        <f>('Inteligencia emocional'!A258)</f>
        <v>0</v>
      </c>
      <c r="EZ257" s="39" t="str">
        <f>'Por Valoracion (3) Dimension'!D257</f>
        <v>0</v>
      </c>
      <c r="FA257" s="39" t="str">
        <f>'Por Valoracion (3) Dimension 2'!F257</f>
        <v>0</v>
      </c>
      <c r="FV257" s="46"/>
      <c r="FX257" t="str">
        <f>('Inteligencia emocional'!A258)</f>
        <v>0</v>
      </c>
      <c r="FY257" s="39" t="str">
        <f>'Por Valoracion (3) Dimension'!D257</f>
        <v>0</v>
      </c>
      <c r="FZ257" s="39" t="str">
        <f>'Por Valoracion (3) Dimension 2'!H257</f>
        <v>0</v>
      </c>
      <c r="GU257" s="46"/>
      <c r="GW257" s="47"/>
      <c r="GY257" t="str">
        <f>('Inteligencia emocional'!A258)</f>
        <v>0</v>
      </c>
      <c r="GZ257" s="39" t="str">
        <f>'Por Valoracion (3) Dimension'!F257</f>
        <v>0</v>
      </c>
      <c r="HA257" s="39" t="str">
        <f>'Por Valoracion (3) Dimension 2'!B257</f>
        <v>0</v>
      </c>
      <c r="HV257" s="47"/>
      <c r="HX257" t="str">
        <f>('Inteligencia emocional'!A258)</f>
        <v>0</v>
      </c>
      <c r="HY257" s="39" t="str">
        <f>'Por Valoracion (3) Dimension'!F257</f>
        <v>0</v>
      </c>
      <c r="HZ257" s="39" t="str">
        <f>'Por Valoracion (3) Dimension 2'!D257</f>
        <v>0</v>
      </c>
      <c r="IU257" s="47"/>
      <c r="IW257" t="str">
        <f>('Inteligencia emocional'!A258)</f>
        <v>0</v>
      </c>
      <c r="IX257" s="39" t="str">
        <f>'Por Valoracion (3) Dimension'!F257</f>
        <v>0</v>
      </c>
      <c r="IY257" s="39" t="str">
        <f>'Por Valoracion (3) Dimension 2'!F257</f>
        <v>0</v>
      </c>
      <c r="JT257" s="47"/>
      <c r="JV257" t="str">
        <f>('Inteligencia emocional'!A258)</f>
        <v>0</v>
      </c>
      <c r="JW257" s="39" t="str">
        <f>'Por Valoracion (3) Dimension'!F257</f>
        <v>0</v>
      </c>
      <c r="JX257" s="39" t="str">
        <f>'Por Valoracion (3) Dimension 2'!H257</f>
        <v>0</v>
      </c>
      <c r="KS257" s="47"/>
    </row>
    <row r="258" spans="1:305">
      <c r="A258" s="38"/>
      <c r="C258" t="str">
        <f>('Inteligencia emocional'!A259)</f>
        <v>0</v>
      </c>
      <c r="D258" s="39" t="str">
        <f>'Por Valoracion (3) Dimension'!B258</f>
        <v>0</v>
      </c>
      <c r="E258" s="39" t="str">
        <f>'Por Valoracion (3) Dimension 2'!B258</f>
        <v>0</v>
      </c>
      <c r="Z258" s="38"/>
      <c r="AB258" t="str">
        <f>('Inteligencia emocional'!A259)</f>
        <v>0</v>
      </c>
      <c r="AC258" s="39" t="str">
        <f>'Por Valoracion (3) Dimension'!B258</f>
        <v>0</v>
      </c>
      <c r="AD258" s="39" t="str">
        <f>'Por Valoracion (3) Dimension 2'!D258</f>
        <v>0</v>
      </c>
      <c r="AY258" s="38"/>
      <c r="BA258" t="str">
        <f>('Inteligencia emocional'!A259)</f>
        <v>0</v>
      </c>
      <c r="BB258" s="39" t="str">
        <f>'Por Valoracion (3) Dimension'!B258</f>
        <v>0</v>
      </c>
      <c r="BC258" s="39" t="str">
        <f>'Por Valoracion (3) Dimension 2'!F258</f>
        <v>0</v>
      </c>
      <c r="BX258" s="38"/>
      <c r="BZ258" t="str">
        <f>('Inteligencia emocional'!A259)</f>
        <v>0</v>
      </c>
      <c r="CA258" s="39" t="str">
        <f>'Por Valoracion (3) Dimension'!B258</f>
        <v>0</v>
      </c>
      <c r="CB258" s="39" t="str">
        <f>'Por Valoracion (3) Dimension 2'!H258</f>
        <v>0</v>
      </c>
      <c r="CW258" s="38"/>
      <c r="CY258" s="46"/>
      <c r="DA258" t="str">
        <f>('Inteligencia emocional'!A259)</f>
        <v>0</v>
      </c>
      <c r="DB258" s="39" t="str">
        <f>'Por Valoracion (3) Dimension'!D258</f>
        <v>0</v>
      </c>
      <c r="DC258" s="39" t="str">
        <f>'Por Valoracion (3) Dimension 2'!B258</f>
        <v>0</v>
      </c>
      <c r="DX258" s="46"/>
      <c r="DZ258" t="str">
        <f>('Inteligencia emocional'!A259)</f>
        <v>0</v>
      </c>
      <c r="EA258" s="39" t="str">
        <f>'Por Valoracion (3) Dimension'!D258</f>
        <v>0</v>
      </c>
      <c r="EB258" s="39" t="str">
        <f>'Por Valoracion (3) Dimension 2'!D258</f>
        <v>0</v>
      </c>
      <c r="EW258" s="46"/>
      <c r="EY258" t="str">
        <f>('Inteligencia emocional'!A259)</f>
        <v>0</v>
      </c>
      <c r="EZ258" s="39" t="str">
        <f>'Por Valoracion (3) Dimension'!D258</f>
        <v>0</v>
      </c>
      <c r="FA258" s="39" t="str">
        <f>'Por Valoracion (3) Dimension 2'!F258</f>
        <v>0</v>
      </c>
      <c r="FV258" s="46"/>
      <c r="FX258" t="str">
        <f>('Inteligencia emocional'!A259)</f>
        <v>0</v>
      </c>
      <c r="FY258" s="39" t="str">
        <f>'Por Valoracion (3) Dimension'!D258</f>
        <v>0</v>
      </c>
      <c r="FZ258" s="39" t="str">
        <f>'Por Valoracion (3) Dimension 2'!H258</f>
        <v>0</v>
      </c>
      <c r="GU258" s="46"/>
      <c r="GW258" s="47"/>
      <c r="GY258" t="str">
        <f>('Inteligencia emocional'!A259)</f>
        <v>0</v>
      </c>
      <c r="GZ258" s="39" t="str">
        <f>'Por Valoracion (3) Dimension'!F258</f>
        <v>0</v>
      </c>
      <c r="HA258" s="39" t="str">
        <f>'Por Valoracion (3) Dimension 2'!B258</f>
        <v>0</v>
      </c>
      <c r="HV258" s="47"/>
      <c r="HX258" t="str">
        <f>('Inteligencia emocional'!A259)</f>
        <v>0</v>
      </c>
      <c r="HY258" s="39" t="str">
        <f>'Por Valoracion (3) Dimension'!F258</f>
        <v>0</v>
      </c>
      <c r="HZ258" s="39" t="str">
        <f>'Por Valoracion (3) Dimension 2'!D258</f>
        <v>0</v>
      </c>
      <c r="IU258" s="47"/>
      <c r="IW258" t="str">
        <f>('Inteligencia emocional'!A259)</f>
        <v>0</v>
      </c>
      <c r="IX258" s="39" t="str">
        <f>'Por Valoracion (3) Dimension'!F258</f>
        <v>0</v>
      </c>
      <c r="IY258" s="39" t="str">
        <f>'Por Valoracion (3) Dimension 2'!F258</f>
        <v>0</v>
      </c>
      <c r="JT258" s="47"/>
      <c r="JV258" t="str">
        <f>('Inteligencia emocional'!A259)</f>
        <v>0</v>
      </c>
      <c r="JW258" s="39" t="str">
        <f>'Por Valoracion (3) Dimension'!F258</f>
        <v>0</v>
      </c>
      <c r="JX258" s="39" t="str">
        <f>'Por Valoracion (3) Dimension 2'!H258</f>
        <v>0</v>
      </c>
      <c r="KS258" s="47"/>
    </row>
    <row r="259" spans="1:305">
      <c r="A259" s="38"/>
      <c r="C259" t="str">
        <f>('Inteligencia emocional'!A260)</f>
        <v>0</v>
      </c>
      <c r="D259" s="39" t="str">
        <f>'Por Valoracion (3) Dimension'!B259</f>
        <v>0</v>
      </c>
      <c r="E259" s="39" t="str">
        <f>'Por Valoracion (3) Dimension 2'!B259</f>
        <v>0</v>
      </c>
      <c r="Z259" s="38"/>
      <c r="AB259" t="str">
        <f>('Inteligencia emocional'!A260)</f>
        <v>0</v>
      </c>
      <c r="AC259" s="39" t="str">
        <f>'Por Valoracion (3) Dimension'!B259</f>
        <v>0</v>
      </c>
      <c r="AD259" s="39" t="str">
        <f>'Por Valoracion (3) Dimension 2'!D259</f>
        <v>0</v>
      </c>
      <c r="AY259" s="38"/>
      <c r="BA259" t="str">
        <f>('Inteligencia emocional'!A260)</f>
        <v>0</v>
      </c>
      <c r="BB259" s="39" t="str">
        <f>'Por Valoracion (3) Dimension'!B259</f>
        <v>0</v>
      </c>
      <c r="BC259" s="39" t="str">
        <f>'Por Valoracion (3) Dimension 2'!F259</f>
        <v>0</v>
      </c>
      <c r="BX259" s="38"/>
      <c r="BZ259" t="str">
        <f>('Inteligencia emocional'!A260)</f>
        <v>0</v>
      </c>
      <c r="CA259" s="39" t="str">
        <f>'Por Valoracion (3) Dimension'!B259</f>
        <v>0</v>
      </c>
      <c r="CB259" s="39" t="str">
        <f>'Por Valoracion (3) Dimension 2'!H259</f>
        <v>0</v>
      </c>
      <c r="CW259" s="38"/>
      <c r="CY259" s="46"/>
      <c r="DA259" t="str">
        <f>('Inteligencia emocional'!A260)</f>
        <v>0</v>
      </c>
      <c r="DB259" s="39" t="str">
        <f>'Por Valoracion (3) Dimension'!D259</f>
        <v>0</v>
      </c>
      <c r="DC259" s="39" t="str">
        <f>'Por Valoracion (3) Dimension 2'!B259</f>
        <v>0</v>
      </c>
      <c r="DX259" s="46"/>
      <c r="DZ259" t="str">
        <f>('Inteligencia emocional'!A260)</f>
        <v>0</v>
      </c>
      <c r="EA259" s="39" t="str">
        <f>'Por Valoracion (3) Dimension'!D259</f>
        <v>0</v>
      </c>
      <c r="EB259" s="39" t="str">
        <f>'Por Valoracion (3) Dimension 2'!D259</f>
        <v>0</v>
      </c>
      <c r="EW259" s="46"/>
      <c r="EY259" t="str">
        <f>('Inteligencia emocional'!A260)</f>
        <v>0</v>
      </c>
      <c r="EZ259" s="39" t="str">
        <f>'Por Valoracion (3) Dimension'!D259</f>
        <v>0</v>
      </c>
      <c r="FA259" s="39" t="str">
        <f>'Por Valoracion (3) Dimension 2'!F259</f>
        <v>0</v>
      </c>
      <c r="FV259" s="46"/>
      <c r="FX259" t="str">
        <f>('Inteligencia emocional'!A260)</f>
        <v>0</v>
      </c>
      <c r="FY259" s="39" t="str">
        <f>'Por Valoracion (3) Dimension'!D259</f>
        <v>0</v>
      </c>
      <c r="FZ259" s="39" t="str">
        <f>'Por Valoracion (3) Dimension 2'!H259</f>
        <v>0</v>
      </c>
      <c r="GU259" s="46"/>
      <c r="GW259" s="47"/>
      <c r="GY259" t="str">
        <f>('Inteligencia emocional'!A260)</f>
        <v>0</v>
      </c>
      <c r="GZ259" s="39" t="str">
        <f>'Por Valoracion (3) Dimension'!F259</f>
        <v>0</v>
      </c>
      <c r="HA259" s="39" t="str">
        <f>'Por Valoracion (3) Dimension 2'!B259</f>
        <v>0</v>
      </c>
      <c r="HV259" s="47"/>
      <c r="HX259" t="str">
        <f>('Inteligencia emocional'!A260)</f>
        <v>0</v>
      </c>
      <c r="HY259" s="39" t="str">
        <f>'Por Valoracion (3) Dimension'!F259</f>
        <v>0</v>
      </c>
      <c r="HZ259" s="39" t="str">
        <f>'Por Valoracion (3) Dimension 2'!D259</f>
        <v>0</v>
      </c>
      <c r="IU259" s="47"/>
      <c r="IW259" t="str">
        <f>('Inteligencia emocional'!A260)</f>
        <v>0</v>
      </c>
      <c r="IX259" s="39" t="str">
        <f>'Por Valoracion (3) Dimension'!F259</f>
        <v>0</v>
      </c>
      <c r="IY259" s="39" t="str">
        <f>'Por Valoracion (3) Dimension 2'!F259</f>
        <v>0</v>
      </c>
      <c r="JT259" s="47"/>
      <c r="JV259" t="str">
        <f>('Inteligencia emocional'!A260)</f>
        <v>0</v>
      </c>
      <c r="JW259" s="39" t="str">
        <f>'Por Valoracion (3) Dimension'!F259</f>
        <v>0</v>
      </c>
      <c r="JX259" s="39" t="str">
        <f>'Por Valoracion (3) Dimension 2'!H259</f>
        <v>0</v>
      </c>
      <c r="KS259" s="47"/>
    </row>
    <row r="260" spans="1:305">
      <c r="A260" s="38"/>
      <c r="C260" t="str">
        <f>('Inteligencia emocional'!A261)</f>
        <v>0</v>
      </c>
      <c r="D260" s="39" t="str">
        <f>'Por Valoracion (3) Dimension'!B260</f>
        <v>0</v>
      </c>
      <c r="E260" s="39" t="str">
        <f>'Por Valoracion (3) Dimension 2'!B260</f>
        <v>0</v>
      </c>
      <c r="Z260" s="38"/>
      <c r="AB260" t="str">
        <f>('Inteligencia emocional'!A261)</f>
        <v>0</v>
      </c>
      <c r="AC260" s="39" t="str">
        <f>'Por Valoracion (3) Dimension'!B260</f>
        <v>0</v>
      </c>
      <c r="AD260" s="39" t="str">
        <f>'Por Valoracion (3) Dimension 2'!D260</f>
        <v>0</v>
      </c>
      <c r="AY260" s="38"/>
      <c r="BA260" t="str">
        <f>('Inteligencia emocional'!A261)</f>
        <v>0</v>
      </c>
      <c r="BB260" s="39" t="str">
        <f>'Por Valoracion (3) Dimension'!B260</f>
        <v>0</v>
      </c>
      <c r="BC260" s="39" t="str">
        <f>'Por Valoracion (3) Dimension 2'!F260</f>
        <v>0</v>
      </c>
      <c r="BX260" s="38"/>
      <c r="BZ260" t="str">
        <f>('Inteligencia emocional'!A261)</f>
        <v>0</v>
      </c>
      <c r="CA260" s="39" t="str">
        <f>'Por Valoracion (3) Dimension'!B260</f>
        <v>0</v>
      </c>
      <c r="CB260" s="39" t="str">
        <f>'Por Valoracion (3) Dimension 2'!H260</f>
        <v>0</v>
      </c>
      <c r="CW260" s="38"/>
      <c r="CY260" s="46"/>
      <c r="DA260" t="str">
        <f>('Inteligencia emocional'!A261)</f>
        <v>0</v>
      </c>
      <c r="DB260" s="39" t="str">
        <f>'Por Valoracion (3) Dimension'!D260</f>
        <v>0</v>
      </c>
      <c r="DC260" s="39" t="str">
        <f>'Por Valoracion (3) Dimension 2'!B260</f>
        <v>0</v>
      </c>
      <c r="DX260" s="46"/>
      <c r="DZ260" t="str">
        <f>('Inteligencia emocional'!A261)</f>
        <v>0</v>
      </c>
      <c r="EA260" s="39" t="str">
        <f>'Por Valoracion (3) Dimension'!D260</f>
        <v>0</v>
      </c>
      <c r="EB260" s="39" t="str">
        <f>'Por Valoracion (3) Dimension 2'!D260</f>
        <v>0</v>
      </c>
      <c r="EW260" s="46"/>
      <c r="EY260" t="str">
        <f>('Inteligencia emocional'!A261)</f>
        <v>0</v>
      </c>
      <c r="EZ260" s="39" t="str">
        <f>'Por Valoracion (3) Dimension'!D260</f>
        <v>0</v>
      </c>
      <c r="FA260" s="39" t="str">
        <f>'Por Valoracion (3) Dimension 2'!F260</f>
        <v>0</v>
      </c>
      <c r="FV260" s="46"/>
      <c r="FX260" t="str">
        <f>('Inteligencia emocional'!A261)</f>
        <v>0</v>
      </c>
      <c r="FY260" s="39" t="str">
        <f>'Por Valoracion (3) Dimension'!D260</f>
        <v>0</v>
      </c>
      <c r="FZ260" s="39" t="str">
        <f>'Por Valoracion (3) Dimension 2'!H260</f>
        <v>0</v>
      </c>
      <c r="GU260" s="46"/>
      <c r="GW260" s="47"/>
      <c r="GY260" t="str">
        <f>('Inteligencia emocional'!A261)</f>
        <v>0</v>
      </c>
      <c r="GZ260" s="39" t="str">
        <f>'Por Valoracion (3) Dimension'!F260</f>
        <v>0</v>
      </c>
      <c r="HA260" s="39" t="str">
        <f>'Por Valoracion (3) Dimension 2'!B260</f>
        <v>0</v>
      </c>
      <c r="HV260" s="47"/>
      <c r="HX260" t="str">
        <f>('Inteligencia emocional'!A261)</f>
        <v>0</v>
      </c>
      <c r="HY260" s="39" t="str">
        <f>'Por Valoracion (3) Dimension'!F260</f>
        <v>0</v>
      </c>
      <c r="HZ260" s="39" t="str">
        <f>'Por Valoracion (3) Dimension 2'!D260</f>
        <v>0</v>
      </c>
      <c r="IU260" s="47"/>
      <c r="IW260" t="str">
        <f>('Inteligencia emocional'!A261)</f>
        <v>0</v>
      </c>
      <c r="IX260" s="39" t="str">
        <f>'Por Valoracion (3) Dimension'!F260</f>
        <v>0</v>
      </c>
      <c r="IY260" s="39" t="str">
        <f>'Por Valoracion (3) Dimension 2'!F260</f>
        <v>0</v>
      </c>
      <c r="JT260" s="47"/>
      <c r="JV260" t="str">
        <f>('Inteligencia emocional'!A261)</f>
        <v>0</v>
      </c>
      <c r="JW260" s="39" t="str">
        <f>'Por Valoracion (3) Dimension'!F260</f>
        <v>0</v>
      </c>
      <c r="JX260" s="39" t="str">
        <f>'Por Valoracion (3) Dimension 2'!H260</f>
        <v>0</v>
      </c>
      <c r="KS260" s="47"/>
    </row>
    <row r="261" spans="1:305">
      <c r="A261" s="38"/>
      <c r="C261" t="str">
        <f>('Inteligencia emocional'!A262)</f>
        <v>0</v>
      </c>
      <c r="D261" s="39" t="str">
        <f>'Por Valoracion (3) Dimension'!B261</f>
        <v>0</v>
      </c>
      <c r="E261" s="39" t="str">
        <f>'Por Valoracion (3) Dimension 2'!B261</f>
        <v>0</v>
      </c>
      <c r="Z261" s="38"/>
      <c r="AB261" t="str">
        <f>('Inteligencia emocional'!A262)</f>
        <v>0</v>
      </c>
      <c r="AC261" s="39" t="str">
        <f>'Por Valoracion (3) Dimension'!B261</f>
        <v>0</v>
      </c>
      <c r="AD261" s="39" t="str">
        <f>'Por Valoracion (3) Dimension 2'!D261</f>
        <v>0</v>
      </c>
      <c r="AY261" s="38"/>
      <c r="BA261" t="str">
        <f>('Inteligencia emocional'!A262)</f>
        <v>0</v>
      </c>
      <c r="BB261" s="39" t="str">
        <f>'Por Valoracion (3) Dimension'!B261</f>
        <v>0</v>
      </c>
      <c r="BC261" s="39" t="str">
        <f>'Por Valoracion (3) Dimension 2'!F261</f>
        <v>0</v>
      </c>
      <c r="BX261" s="38"/>
      <c r="BZ261" t="str">
        <f>('Inteligencia emocional'!A262)</f>
        <v>0</v>
      </c>
      <c r="CA261" s="39" t="str">
        <f>'Por Valoracion (3) Dimension'!B261</f>
        <v>0</v>
      </c>
      <c r="CB261" s="39" t="str">
        <f>'Por Valoracion (3) Dimension 2'!H261</f>
        <v>0</v>
      </c>
      <c r="CW261" s="38"/>
      <c r="CY261" s="46"/>
      <c r="DA261" t="str">
        <f>('Inteligencia emocional'!A262)</f>
        <v>0</v>
      </c>
      <c r="DB261" s="39" t="str">
        <f>'Por Valoracion (3) Dimension'!D261</f>
        <v>0</v>
      </c>
      <c r="DC261" s="39" t="str">
        <f>'Por Valoracion (3) Dimension 2'!B261</f>
        <v>0</v>
      </c>
      <c r="DX261" s="46"/>
      <c r="DZ261" t="str">
        <f>('Inteligencia emocional'!A262)</f>
        <v>0</v>
      </c>
      <c r="EA261" s="39" t="str">
        <f>'Por Valoracion (3) Dimension'!D261</f>
        <v>0</v>
      </c>
      <c r="EB261" s="39" t="str">
        <f>'Por Valoracion (3) Dimension 2'!D261</f>
        <v>0</v>
      </c>
      <c r="EW261" s="46"/>
      <c r="EY261" t="str">
        <f>('Inteligencia emocional'!A262)</f>
        <v>0</v>
      </c>
      <c r="EZ261" s="39" t="str">
        <f>'Por Valoracion (3) Dimension'!D261</f>
        <v>0</v>
      </c>
      <c r="FA261" s="39" t="str">
        <f>'Por Valoracion (3) Dimension 2'!F261</f>
        <v>0</v>
      </c>
      <c r="FV261" s="46"/>
      <c r="FX261" t="str">
        <f>('Inteligencia emocional'!A262)</f>
        <v>0</v>
      </c>
      <c r="FY261" s="39" t="str">
        <f>'Por Valoracion (3) Dimension'!D261</f>
        <v>0</v>
      </c>
      <c r="FZ261" s="39" t="str">
        <f>'Por Valoracion (3) Dimension 2'!H261</f>
        <v>0</v>
      </c>
      <c r="GU261" s="46"/>
      <c r="GW261" s="47"/>
      <c r="GY261" t="str">
        <f>('Inteligencia emocional'!A262)</f>
        <v>0</v>
      </c>
      <c r="GZ261" s="39" t="str">
        <f>'Por Valoracion (3) Dimension'!F261</f>
        <v>0</v>
      </c>
      <c r="HA261" s="39" t="str">
        <f>'Por Valoracion (3) Dimension 2'!B261</f>
        <v>0</v>
      </c>
      <c r="HV261" s="47"/>
      <c r="HX261" t="str">
        <f>('Inteligencia emocional'!A262)</f>
        <v>0</v>
      </c>
      <c r="HY261" s="39" t="str">
        <f>'Por Valoracion (3) Dimension'!F261</f>
        <v>0</v>
      </c>
      <c r="HZ261" s="39" t="str">
        <f>'Por Valoracion (3) Dimension 2'!D261</f>
        <v>0</v>
      </c>
      <c r="IU261" s="47"/>
      <c r="IW261" t="str">
        <f>('Inteligencia emocional'!A262)</f>
        <v>0</v>
      </c>
      <c r="IX261" s="39" t="str">
        <f>'Por Valoracion (3) Dimension'!F261</f>
        <v>0</v>
      </c>
      <c r="IY261" s="39" t="str">
        <f>'Por Valoracion (3) Dimension 2'!F261</f>
        <v>0</v>
      </c>
      <c r="JT261" s="47"/>
      <c r="JV261" t="str">
        <f>('Inteligencia emocional'!A262)</f>
        <v>0</v>
      </c>
      <c r="JW261" s="39" t="str">
        <f>'Por Valoracion (3) Dimension'!F261</f>
        <v>0</v>
      </c>
      <c r="JX261" s="39" t="str">
        <f>'Por Valoracion (3) Dimension 2'!H261</f>
        <v>0</v>
      </c>
      <c r="KS261" s="47"/>
    </row>
    <row r="262" spans="1:305">
      <c r="A262" s="38"/>
      <c r="C262" t="str">
        <f>('Inteligencia emocional'!A263)</f>
        <v>0</v>
      </c>
      <c r="D262" s="39" t="str">
        <f>'Por Valoracion (3) Dimension'!B262</f>
        <v>0</v>
      </c>
      <c r="E262" s="39" t="str">
        <f>'Por Valoracion (3) Dimension 2'!B262</f>
        <v>0</v>
      </c>
      <c r="Z262" s="38"/>
      <c r="AB262" t="str">
        <f>('Inteligencia emocional'!A263)</f>
        <v>0</v>
      </c>
      <c r="AC262" s="39" t="str">
        <f>'Por Valoracion (3) Dimension'!B262</f>
        <v>0</v>
      </c>
      <c r="AD262" s="39" t="str">
        <f>'Por Valoracion (3) Dimension 2'!D262</f>
        <v>0</v>
      </c>
      <c r="AY262" s="38"/>
      <c r="BA262" t="str">
        <f>('Inteligencia emocional'!A263)</f>
        <v>0</v>
      </c>
      <c r="BB262" s="39" t="str">
        <f>'Por Valoracion (3) Dimension'!B262</f>
        <v>0</v>
      </c>
      <c r="BC262" s="39" t="str">
        <f>'Por Valoracion (3) Dimension 2'!F262</f>
        <v>0</v>
      </c>
      <c r="BX262" s="38"/>
      <c r="BZ262" t="str">
        <f>('Inteligencia emocional'!A263)</f>
        <v>0</v>
      </c>
      <c r="CA262" s="39" t="str">
        <f>'Por Valoracion (3) Dimension'!B262</f>
        <v>0</v>
      </c>
      <c r="CB262" s="39" t="str">
        <f>'Por Valoracion (3) Dimension 2'!H262</f>
        <v>0</v>
      </c>
      <c r="CW262" s="38"/>
      <c r="CY262" s="46"/>
      <c r="DA262" t="str">
        <f>('Inteligencia emocional'!A263)</f>
        <v>0</v>
      </c>
      <c r="DB262" s="39" t="str">
        <f>'Por Valoracion (3) Dimension'!D262</f>
        <v>0</v>
      </c>
      <c r="DC262" s="39" t="str">
        <f>'Por Valoracion (3) Dimension 2'!B262</f>
        <v>0</v>
      </c>
      <c r="DX262" s="46"/>
      <c r="DZ262" t="str">
        <f>('Inteligencia emocional'!A263)</f>
        <v>0</v>
      </c>
      <c r="EA262" s="39" t="str">
        <f>'Por Valoracion (3) Dimension'!D262</f>
        <v>0</v>
      </c>
      <c r="EB262" s="39" t="str">
        <f>'Por Valoracion (3) Dimension 2'!D262</f>
        <v>0</v>
      </c>
      <c r="EW262" s="46"/>
      <c r="EY262" t="str">
        <f>('Inteligencia emocional'!A263)</f>
        <v>0</v>
      </c>
      <c r="EZ262" s="39" t="str">
        <f>'Por Valoracion (3) Dimension'!D262</f>
        <v>0</v>
      </c>
      <c r="FA262" s="39" t="str">
        <f>'Por Valoracion (3) Dimension 2'!F262</f>
        <v>0</v>
      </c>
      <c r="FV262" s="46"/>
      <c r="FX262" t="str">
        <f>('Inteligencia emocional'!A263)</f>
        <v>0</v>
      </c>
      <c r="FY262" s="39" t="str">
        <f>'Por Valoracion (3) Dimension'!D262</f>
        <v>0</v>
      </c>
      <c r="FZ262" s="39" t="str">
        <f>'Por Valoracion (3) Dimension 2'!H262</f>
        <v>0</v>
      </c>
      <c r="GU262" s="46"/>
      <c r="GW262" s="47"/>
      <c r="GY262" t="str">
        <f>('Inteligencia emocional'!A263)</f>
        <v>0</v>
      </c>
      <c r="GZ262" s="39" t="str">
        <f>'Por Valoracion (3) Dimension'!F262</f>
        <v>0</v>
      </c>
      <c r="HA262" s="39" t="str">
        <f>'Por Valoracion (3) Dimension 2'!B262</f>
        <v>0</v>
      </c>
      <c r="HV262" s="47"/>
      <c r="HX262" t="str">
        <f>('Inteligencia emocional'!A263)</f>
        <v>0</v>
      </c>
      <c r="HY262" s="39" t="str">
        <f>'Por Valoracion (3) Dimension'!F262</f>
        <v>0</v>
      </c>
      <c r="HZ262" s="39" t="str">
        <f>'Por Valoracion (3) Dimension 2'!D262</f>
        <v>0</v>
      </c>
      <c r="IU262" s="47"/>
      <c r="IW262" t="str">
        <f>('Inteligencia emocional'!A263)</f>
        <v>0</v>
      </c>
      <c r="IX262" s="39" t="str">
        <f>'Por Valoracion (3) Dimension'!F262</f>
        <v>0</v>
      </c>
      <c r="IY262" s="39" t="str">
        <f>'Por Valoracion (3) Dimension 2'!F262</f>
        <v>0</v>
      </c>
      <c r="JT262" s="47"/>
      <c r="JV262" t="str">
        <f>('Inteligencia emocional'!A263)</f>
        <v>0</v>
      </c>
      <c r="JW262" s="39" t="str">
        <f>'Por Valoracion (3) Dimension'!F262</f>
        <v>0</v>
      </c>
      <c r="JX262" s="39" t="str">
        <f>'Por Valoracion (3) Dimension 2'!H262</f>
        <v>0</v>
      </c>
      <c r="KS262" s="47"/>
    </row>
    <row r="263" spans="1:305">
      <c r="A263" s="38"/>
      <c r="C263" t="str">
        <f>('Inteligencia emocional'!A264)</f>
        <v>0</v>
      </c>
      <c r="D263" s="39" t="str">
        <f>'Por Valoracion (3) Dimension'!B263</f>
        <v>0</v>
      </c>
      <c r="E263" s="39" t="str">
        <f>'Por Valoracion (3) Dimension 2'!B263</f>
        <v>0</v>
      </c>
      <c r="Z263" s="38"/>
      <c r="AB263" t="str">
        <f>('Inteligencia emocional'!A264)</f>
        <v>0</v>
      </c>
      <c r="AC263" s="39" t="str">
        <f>'Por Valoracion (3) Dimension'!B263</f>
        <v>0</v>
      </c>
      <c r="AD263" s="39" t="str">
        <f>'Por Valoracion (3) Dimension 2'!D263</f>
        <v>0</v>
      </c>
      <c r="AY263" s="38"/>
      <c r="BA263" t="str">
        <f>('Inteligencia emocional'!A264)</f>
        <v>0</v>
      </c>
      <c r="BB263" s="39" t="str">
        <f>'Por Valoracion (3) Dimension'!B263</f>
        <v>0</v>
      </c>
      <c r="BC263" s="39" t="str">
        <f>'Por Valoracion (3) Dimension 2'!F263</f>
        <v>0</v>
      </c>
      <c r="BX263" s="38"/>
      <c r="BZ263" t="str">
        <f>('Inteligencia emocional'!A264)</f>
        <v>0</v>
      </c>
      <c r="CA263" s="39" t="str">
        <f>'Por Valoracion (3) Dimension'!B263</f>
        <v>0</v>
      </c>
      <c r="CB263" s="39" t="str">
        <f>'Por Valoracion (3) Dimension 2'!H263</f>
        <v>0</v>
      </c>
      <c r="CW263" s="38"/>
      <c r="CY263" s="46"/>
      <c r="DA263" t="str">
        <f>('Inteligencia emocional'!A264)</f>
        <v>0</v>
      </c>
      <c r="DB263" s="39" t="str">
        <f>'Por Valoracion (3) Dimension'!D263</f>
        <v>0</v>
      </c>
      <c r="DC263" s="39" t="str">
        <f>'Por Valoracion (3) Dimension 2'!B263</f>
        <v>0</v>
      </c>
      <c r="DX263" s="46"/>
      <c r="DZ263" t="str">
        <f>('Inteligencia emocional'!A264)</f>
        <v>0</v>
      </c>
      <c r="EA263" s="39" t="str">
        <f>'Por Valoracion (3) Dimension'!D263</f>
        <v>0</v>
      </c>
      <c r="EB263" s="39" t="str">
        <f>'Por Valoracion (3) Dimension 2'!D263</f>
        <v>0</v>
      </c>
      <c r="EW263" s="46"/>
      <c r="EY263" t="str">
        <f>('Inteligencia emocional'!A264)</f>
        <v>0</v>
      </c>
      <c r="EZ263" s="39" t="str">
        <f>'Por Valoracion (3) Dimension'!D263</f>
        <v>0</v>
      </c>
      <c r="FA263" s="39" t="str">
        <f>'Por Valoracion (3) Dimension 2'!F263</f>
        <v>0</v>
      </c>
      <c r="FV263" s="46"/>
      <c r="FX263" t="str">
        <f>('Inteligencia emocional'!A264)</f>
        <v>0</v>
      </c>
      <c r="FY263" s="39" t="str">
        <f>'Por Valoracion (3) Dimension'!D263</f>
        <v>0</v>
      </c>
      <c r="FZ263" s="39" t="str">
        <f>'Por Valoracion (3) Dimension 2'!H263</f>
        <v>0</v>
      </c>
      <c r="GU263" s="46"/>
      <c r="GW263" s="47"/>
      <c r="GY263" t="str">
        <f>('Inteligencia emocional'!A264)</f>
        <v>0</v>
      </c>
      <c r="GZ263" s="39" t="str">
        <f>'Por Valoracion (3) Dimension'!F263</f>
        <v>0</v>
      </c>
      <c r="HA263" s="39" t="str">
        <f>'Por Valoracion (3) Dimension 2'!B263</f>
        <v>0</v>
      </c>
      <c r="HV263" s="47"/>
      <c r="HX263" t="str">
        <f>('Inteligencia emocional'!A264)</f>
        <v>0</v>
      </c>
      <c r="HY263" s="39" t="str">
        <f>'Por Valoracion (3) Dimension'!F263</f>
        <v>0</v>
      </c>
      <c r="HZ263" s="39" t="str">
        <f>'Por Valoracion (3) Dimension 2'!D263</f>
        <v>0</v>
      </c>
      <c r="IU263" s="47"/>
      <c r="IW263" t="str">
        <f>('Inteligencia emocional'!A264)</f>
        <v>0</v>
      </c>
      <c r="IX263" s="39" t="str">
        <f>'Por Valoracion (3) Dimension'!F263</f>
        <v>0</v>
      </c>
      <c r="IY263" s="39" t="str">
        <f>'Por Valoracion (3) Dimension 2'!F263</f>
        <v>0</v>
      </c>
      <c r="JT263" s="47"/>
      <c r="JV263" t="str">
        <f>('Inteligencia emocional'!A264)</f>
        <v>0</v>
      </c>
      <c r="JW263" s="39" t="str">
        <f>'Por Valoracion (3) Dimension'!F263</f>
        <v>0</v>
      </c>
      <c r="JX263" s="39" t="str">
        <f>'Por Valoracion (3) Dimension 2'!H263</f>
        <v>0</v>
      </c>
      <c r="KS263" s="47"/>
    </row>
    <row r="264" spans="1:305">
      <c r="A264" s="38"/>
      <c r="C264" t="str">
        <f>('Inteligencia emocional'!A265)</f>
        <v>0</v>
      </c>
      <c r="D264" s="39" t="str">
        <f>'Por Valoracion (3) Dimension'!B264</f>
        <v>0</v>
      </c>
      <c r="E264" s="39" t="str">
        <f>'Por Valoracion (3) Dimension 2'!B264</f>
        <v>0</v>
      </c>
      <c r="Z264" s="38"/>
      <c r="AB264" t="str">
        <f>('Inteligencia emocional'!A265)</f>
        <v>0</v>
      </c>
      <c r="AC264" s="39" t="str">
        <f>'Por Valoracion (3) Dimension'!B264</f>
        <v>0</v>
      </c>
      <c r="AD264" s="39" t="str">
        <f>'Por Valoracion (3) Dimension 2'!D264</f>
        <v>0</v>
      </c>
      <c r="AY264" s="38"/>
      <c r="BA264" t="str">
        <f>('Inteligencia emocional'!A265)</f>
        <v>0</v>
      </c>
      <c r="BB264" s="39" t="str">
        <f>'Por Valoracion (3) Dimension'!B264</f>
        <v>0</v>
      </c>
      <c r="BC264" s="39" t="str">
        <f>'Por Valoracion (3) Dimension 2'!F264</f>
        <v>0</v>
      </c>
      <c r="BX264" s="38"/>
      <c r="BZ264" t="str">
        <f>('Inteligencia emocional'!A265)</f>
        <v>0</v>
      </c>
      <c r="CA264" s="39" t="str">
        <f>'Por Valoracion (3) Dimension'!B264</f>
        <v>0</v>
      </c>
      <c r="CB264" s="39" t="str">
        <f>'Por Valoracion (3) Dimension 2'!H264</f>
        <v>0</v>
      </c>
      <c r="CW264" s="38"/>
      <c r="CY264" s="46"/>
      <c r="DA264" t="str">
        <f>('Inteligencia emocional'!A265)</f>
        <v>0</v>
      </c>
      <c r="DB264" s="39" t="str">
        <f>'Por Valoracion (3) Dimension'!D264</f>
        <v>0</v>
      </c>
      <c r="DC264" s="39" t="str">
        <f>'Por Valoracion (3) Dimension 2'!B264</f>
        <v>0</v>
      </c>
      <c r="DX264" s="46"/>
      <c r="DZ264" t="str">
        <f>('Inteligencia emocional'!A265)</f>
        <v>0</v>
      </c>
      <c r="EA264" s="39" t="str">
        <f>'Por Valoracion (3) Dimension'!D264</f>
        <v>0</v>
      </c>
      <c r="EB264" s="39" t="str">
        <f>'Por Valoracion (3) Dimension 2'!D264</f>
        <v>0</v>
      </c>
      <c r="EW264" s="46"/>
      <c r="EY264" t="str">
        <f>('Inteligencia emocional'!A265)</f>
        <v>0</v>
      </c>
      <c r="EZ264" s="39" t="str">
        <f>'Por Valoracion (3) Dimension'!D264</f>
        <v>0</v>
      </c>
      <c r="FA264" s="39" t="str">
        <f>'Por Valoracion (3) Dimension 2'!F264</f>
        <v>0</v>
      </c>
      <c r="FV264" s="46"/>
      <c r="FX264" t="str">
        <f>('Inteligencia emocional'!A265)</f>
        <v>0</v>
      </c>
      <c r="FY264" s="39" t="str">
        <f>'Por Valoracion (3) Dimension'!D264</f>
        <v>0</v>
      </c>
      <c r="FZ264" s="39" t="str">
        <f>'Por Valoracion (3) Dimension 2'!H264</f>
        <v>0</v>
      </c>
      <c r="GU264" s="46"/>
      <c r="GW264" s="47"/>
      <c r="GY264" t="str">
        <f>('Inteligencia emocional'!A265)</f>
        <v>0</v>
      </c>
      <c r="GZ264" s="39" t="str">
        <f>'Por Valoracion (3) Dimension'!F264</f>
        <v>0</v>
      </c>
      <c r="HA264" s="39" t="str">
        <f>'Por Valoracion (3) Dimension 2'!B264</f>
        <v>0</v>
      </c>
      <c r="HV264" s="47"/>
      <c r="HX264" t="str">
        <f>('Inteligencia emocional'!A265)</f>
        <v>0</v>
      </c>
      <c r="HY264" s="39" t="str">
        <f>'Por Valoracion (3) Dimension'!F264</f>
        <v>0</v>
      </c>
      <c r="HZ264" s="39" t="str">
        <f>'Por Valoracion (3) Dimension 2'!D264</f>
        <v>0</v>
      </c>
      <c r="IU264" s="47"/>
      <c r="IW264" t="str">
        <f>('Inteligencia emocional'!A265)</f>
        <v>0</v>
      </c>
      <c r="IX264" s="39" t="str">
        <f>'Por Valoracion (3) Dimension'!F264</f>
        <v>0</v>
      </c>
      <c r="IY264" s="39" t="str">
        <f>'Por Valoracion (3) Dimension 2'!F264</f>
        <v>0</v>
      </c>
      <c r="JT264" s="47"/>
      <c r="JV264" t="str">
        <f>('Inteligencia emocional'!A265)</f>
        <v>0</v>
      </c>
      <c r="JW264" s="39" t="str">
        <f>'Por Valoracion (3) Dimension'!F264</f>
        <v>0</v>
      </c>
      <c r="JX264" s="39" t="str">
        <f>'Por Valoracion (3) Dimension 2'!H264</f>
        <v>0</v>
      </c>
      <c r="KS264" s="47"/>
    </row>
    <row r="265" spans="1:305">
      <c r="A265" s="38"/>
      <c r="C265" t="str">
        <f>('Inteligencia emocional'!A266)</f>
        <v>0</v>
      </c>
      <c r="D265" s="39" t="str">
        <f>'Por Valoracion (3) Dimension'!B265</f>
        <v>0</v>
      </c>
      <c r="E265" s="39" t="str">
        <f>'Por Valoracion (3) Dimension 2'!B265</f>
        <v>0</v>
      </c>
      <c r="Z265" s="38"/>
      <c r="AB265" t="str">
        <f>('Inteligencia emocional'!A266)</f>
        <v>0</v>
      </c>
      <c r="AC265" s="39" t="str">
        <f>'Por Valoracion (3) Dimension'!B265</f>
        <v>0</v>
      </c>
      <c r="AD265" s="39" t="str">
        <f>'Por Valoracion (3) Dimension 2'!D265</f>
        <v>0</v>
      </c>
      <c r="AY265" s="38"/>
      <c r="BA265" t="str">
        <f>('Inteligencia emocional'!A266)</f>
        <v>0</v>
      </c>
      <c r="BB265" s="39" t="str">
        <f>'Por Valoracion (3) Dimension'!B265</f>
        <v>0</v>
      </c>
      <c r="BC265" s="39" t="str">
        <f>'Por Valoracion (3) Dimension 2'!F265</f>
        <v>0</v>
      </c>
      <c r="BX265" s="38"/>
      <c r="BZ265" t="str">
        <f>('Inteligencia emocional'!A266)</f>
        <v>0</v>
      </c>
      <c r="CA265" s="39" t="str">
        <f>'Por Valoracion (3) Dimension'!B265</f>
        <v>0</v>
      </c>
      <c r="CB265" s="39" t="str">
        <f>'Por Valoracion (3) Dimension 2'!H265</f>
        <v>0</v>
      </c>
      <c r="CW265" s="38"/>
      <c r="CY265" s="46"/>
      <c r="DA265" t="str">
        <f>('Inteligencia emocional'!A266)</f>
        <v>0</v>
      </c>
      <c r="DB265" s="39" t="str">
        <f>'Por Valoracion (3) Dimension'!D265</f>
        <v>0</v>
      </c>
      <c r="DC265" s="39" t="str">
        <f>'Por Valoracion (3) Dimension 2'!B265</f>
        <v>0</v>
      </c>
      <c r="DX265" s="46"/>
      <c r="DZ265" t="str">
        <f>('Inteligencia emocional'!A266)</f>
        <v>0</v>
      </c>
      <c r="EA265" s="39" t="str">
        <f>'Por Valoracion (3) Dimension'!D265</f>
        <v>0</v>
      </c>
      <c r="EB265" s="39" t="str">
        <f>'Por Valoracion (3) Dimension 2'!D265</f>
        <v>0</v>
      </c>
      <c r="EW265" s="46"/>
      <c r="EY265" t="str">
        <f>('Inteligencia emocional'!A266)</f>
        <v>0</v>
      </c>
      <c r="EZ265" s="39" t="str">
        <f>'Por Valoracion (3) Dimension'!D265</f>
        <v>0</v>
      </c>
      <c r="FA265" s="39" t="str">
        <f>'Por Valoracion (3) Dimension 2'!F265</f>
        <v>0</v>
      </c>
      <c r="FV265" s="46"/>
      <c r="FX265" t="str">
        <f>('Inteligencia emocional'!A266)</f>
        <v>0</v>
      </c>
      <c r="FY265" s="39" t="str">
        <f>'Por Valoracion (3) Dimension'!D265</f>
        <v>0</v>
      </c>
      <c r="FZ265" s="39" t="str">
        <f>'Por Valoracion (3) Dimension 2'!H265</f>
        <v>0</v>
      </c>
      <c r="GU265" s="46"/>
      <c r="GW265" s="47"/>
      <c r="GY265" t="str">
        <f>('Inteligencia emocional'!A266)</f>
        <v>0</v>
      </c>
      <c r="GZ265" s="39" t="str">
        <f>'Por Valoracion (3) Dimension'!F265</f>
        <v>0</v>
      </c>
      <c r="HA265" s="39" t="str">
        <f>'Por Valoracion (3) Dimension 2'!B265</f>
        <v>0</v>
      </c>
      <c r="HV265" s="47"/>
      <c r="HX265" t="str">
        <f>('Inteligencia emocional'!A266)</f>
        <v>0</v>
      </c>
      <c r="HY265" s="39" t="str">
        <f>'Por Valoracion (3) Dimension'!F265</f>
        <v>0</v>
      </c>
      <c r="HZ265" s="39" t="str">
        <f>'Por Valoracion (3) Dimension 2'!D265</f>
        <v>0</v>
      </c>
      <c r="IU265" s="47"/>
      <c r="IW265" t="str">
        <f>('Inteligencia emocional'!A266)</f>
        <v>0</v>
      </c>
      <c r="IX265" s="39" t="str">
        <f>'Por Valoracion (3) Dimension'!F265</f>
        <v>0</v>
      </c>
      <c r="IY265" s="39" t="str">
        <f>'Por Valoracion (3) Dimension 2'!F265</f>
        <v>0</v>
      </c>
      <c r="JT265" s="47"/>
      <c r="JV265" t="str">
        <f>('Inteligencia emocional'!A266)</f>
        <v>0</v>
      </c>
      <c r="JW265" s="39" t="str">
        <f>'Por Valoracion (3) Dimension'!F265</f>
        <v>0</v>
      </c>
      <c r="JX265" s="39" t="str">
        <f>'Por Valoracion (3) Dimension 2'!H265</f>
        <v>0</v>
      </c>
      <c r="KS265" s="47"/>
    </row>
    <row r="266" spans="1:305">
      <c r="A266" s="38"/>
      <c r="C266" t="str">
        <f>('Inteligencia emocional'!A267)</f>
        <v>0</v>
      </c>
      <c r="D266" s="39" t="str">
        <f>'Por Valoracion (3) Dimension'!B266</f>
        <v>0</v>
      </c>
      <c r="E266" s="39" t="str">
        <f>'Por Valoracion (3) Dimension 2'!B266</f>
        <v>0</v>
      </c>
      <c r="Z266" s="38"/>
      <c r="AB266" t="str">
        <f>('Inteligencia emocional'!A267)</f>
        <v>0</v>
      </c>
      <c r="AC266" s="39" t="str">
        <f>'Por Valoracion (3) Dimension'!B266</f>
        <v>0</v>
      </c>
      <c r="AD266" s="39" t="str">
        <f>'Por Valoracion (3) Dimension 2'!D266</f>
        <v>0</v>
      </c>
      <c r="AY266" s="38"/>
      <c r="BA266" t="str">
        <f>('Inteligencia emocional'!A267)</f>
        <v>0</v>
      </c>
      <c r="BB266" s="39" t="str">
        <f>'Por Valoracion (3) Dimension'!B266</f>
        <v>0</v>
      </c>
      <c r="BC266" s="39" t="str">
        <f>'Por Valoracion (3) Dimension 2'!F266</f>
        <v>0</v>
      </c>
      <c r="BX266" s="38"/>
      <c r="BZ266" t="str">
        <f>('Inteligencia emocional'!A267)</f>
        <v>0</v>
      </c>
      <c r="CA266" s="39" t="str">
        <f>'Por Valoracion (3) Dimension'!B266</f>
        <v>0</v>
      </c>
      <c r="CB266" s="39" t="str">
        <f>'Por Valoracion (3) Dimension 2'!H266</f>
        <v>0</v>
      </c>
      <c r="CW266" s="38"/>
      <c r="CY266" s="46"/>
      <c r="DA266" t="str">
        <f>('Inteligencia emocional'!A267)</f>
        <v>0</v>
      </c>
      <c r="DB266" s="39" t="str">
        <f>'Por Valoracion (3) Dimension'!D266</f>
        <v>0</v>
      </c>
      <c r="DC266" s="39" t="str">
        <f>'Por Valoracion (3) Dimension 2'!B266</f>
        <v>0</v>
      </c>
      <c r="DX266" s="46"/>
      <c r="DZ266" t="str">
        <f>('Inteligencia emocional'!A267)</f>
        <v>0</v>
      </c>
      <c r="EA266" s="39" t="str">
        <f>'Por Valoracion (3) Dimension'!D266</f>
        <v>0</v>
      </c>
      <c r="EB266" s="39" t="str">
        <f>'Por Valoracion (3) Dimension 2'!D266</f>
        <v>0</v>
      </c>
      <c r="EW266" s="46"/>
      <c r="EY266" t="str">
        <f>('Inteligencia emocional'!A267)</f>
        <v>0</v>
      </c>
      <c r="EZ266" s="39" t="str">
        <f>'Por Valoracion (3) Dimension'!D266</f>
        <v>0</v>
      </c>
      <c r="FA266" s="39" t="str">
        <f>'Por Valoracion (3) Dimension 2'!F266</f>
        <v>0</v>
      </c>
      <c r="FV266" s="46"/>
      <c r="FX266" t="str">
        <f>('Inteligencia emocional'!A267)</f>
        <v>0</v>
      </c>
      <c r="FY266" s="39" t="str">
        <f>'Por Valoracion (3) Dimension'!D266</f>
        <v>0</v>
      </c>
      <c r="FZ266" s="39" t="str">
        <f>'Por Valoracion (3) Dimension 2'!H266</f>
        <v>0</v>
      </c>
      <c r="GU266" s="46"/>
      <c r="GW266" s="47"/>
      <c r="GY266" t="str">
        <f>('Inteligencia emocional'!A267)</f>
        <v>0</v>
      </c>
      <c r="GZ266" s="39" t="str">
        <f>'Por Valoracion (3) Dimension'!F266</f>
        <v>0</v>
      </c>
      <c r="HA266" s="39" t="str">
        <f>'Por Valoracion (3) Dimension 2'!B266</f>
        <v>0</v>
      </c>
      <c r="HV266" s="47"/>
      <c r="HX266" t="str">
        <f>('Inteligencia emocional'!A267)</f>
        <v>0</v>
      </c>
      <c r="HY266" s="39" t="str">
        <f>'Por Valoracion (3) Dimension'!F266</f>
        <v>0</v>
      </c>
      <c r="HZ266" s="39" t="str">
        <f>'Por Valoracion (3) Dimension 2'!D266</f>
        <v>0</v>
      </c>
      <c r="IU266" s="47"/>
      <c r="IW266" t="str">
        <f>('Inteligencia emocional'!A267)</f>
        <v>0</v>
      </c>
      <c r="IX266" s="39" t="str">
        <f>'Por Valoracion (3) Dimension'!F266</f>
        <v>0</v>
      </c>
      <c r="IY266" s="39" t="str">
        <f>'Por Valoracion (3) Dimension 2'!F266</f>
        <v>0</v>
      </c>
      <c r="JT266" s="47"/>
      <c r="JV266" t="str">
        <f>('Inteligencia emocional'!A267)</f>
        <v>0</v>
      </c>
      <c r="JW266" s="39" t="str">
        <f>'Por Valoracion (3) Dimension'!F266</f>
        <v>0</v>
      </c>
      <c r="JX266" s="39" t="str">
        <f>'Por Valoracion (3) Dimension 2'!H266</f>
        <v>0</v>
      </c>
      <c r="KS266" s="47"/>
    </row>
    <row r="267" spans="1:305">
      <c r="A267" s="38"/>
      <c r="C267" t="str">
        <f>('Inteligencia emocional'!A268)</f>
        <v>0</v>
      </c>
      <c r="D267" s="39" t="str">
        <f>'Por Valoracion (3) Dimension'!B267</f>
        <v>0</v>
      </c>
      <c r="E267" s="39" t="str">
        <f>'Por Valoracion (3) Dimension 2'!B267</f>
        <v>0</v>
      </c>
      <c r="Z267" s="38"/>
      <c r="AB267" t="str">
        <f>('Inteligencia emocional'!A268)</f>
        <v>0</v>
      </c>
      <c r="AC267" s="39" t="str">
        <f>'Por Valoracion (3) Dimension'!B267</f>
        <v>0</v>
      </c>
      <c r="AD267" s="39" t="str">
        <f>'Por Valoracion (3) Dimension 2'!D267</f>
        <v>0</v>
      </c>
      <c r="AY267" s="38"/>
      <c r="BA267" t="str">
        <f>('Inteligencia emocional'!A268)</f>
        <v>0</v>
      </c>
      <c r="BB267" s="39" t="str">
        <f>'Por Valoracion (3) Dimension'!B267</f>
        <v>0</v>
      </c>
      <c r="BC267" s="39" t="str">
        <f>'Por Valoracion (3) Dimension 2'!F267</f>
        <v>0</v>
      </c>
      <c r="BX267" s="38"/>
      <c r="BZ267" t="str">
        <f>('Inteligencia emocional'!A268)</f>
        <v>0</v>
      </c>
      <c r="CA267" s="39" t="str">
        <f>'Por Valoracion (3) Dimension'!B267</f>
        <v>0</v>
      </c>
      <c r="CB267" s="39" t="str">
        <f>'Por Valoracion (3) Dimension 2'!H267</f>
        <v>0</v>
      </c>
      <c r="CW267" s="38"/>
      <c r="CY267" s="46"/>
      <c r="DA267" t="str">
        <f>('Inteligencia emocional'!A268)</f>
        <v>0</v>
      </c>
      <c r="DB267" s="39" t="str">
        <f>'Por Valoracion (3) Dimension'!D267</f>
        <v>0</v>
      </c>
      <c r="DC267" s="39" t="str">
        <f>'Por Valoracion (3) Dimension 2'!B267</f>
        <v>0</v>
      </c>
      <c r="DX267" s="46"/>
      <c r="DZ267" t="str">
        <f>('Inteligencia emocional'!A268)</f>
        <v>0</v>
      </c>
      <c r="EA267" s="39" t="str">
        <f>'Por Valoracion (3) Dimension'!D267</f>
        <v>0</v>
      </c>
      <c r="EB267" s="39" t="str">
        <f>'Por Valoracion (3) Dimension 2'!D267</f>
        <v>0</v>
      </c>
      <c r="EW267" s="46"/>
      <c r="EY267" t="str">
        <f>('Inteligencia emocional'!A268)</f>
        <v>0</v>
      </c>
      <c r="EZ267" s="39" t="str">
        <f>'Por Valoracion (3) Dimension'!D267</f>
        <v>0</v>
      </c>
      <c r="FA267" s="39" t="str">
        <f>'Por Valoracion (3) Dimension 2'!F267</f>
        <v>0</v>
      </c>
      <c r="FV267" s="46"/>
      <c r="FX267" t="str">
        <f>('Inteligencia emocional'!A268)</f>
        <v>0</v>
      </c>
      <c r="FY267" s="39" t="str">
        <f>'Por Valoracion (3) Dimension'!D267</f>
        <v>0</v>
      </c>
      <c r="FZ267" s="39" t="str">
        <f>'Por Valoracion (3) Dimension 2'!H267</f>
        <v>0</v>
      </c>
      <c r="GU267" s="46"/>
      <c r="GW267" s="47"/>
      <c r="GY267" t="str">
        <f>('Inteligencia emocional'!A268)</f>
        <v>0</v>
      </c>
      <c r="GZ267" s="39" t="str">
        <f>'Por Valoracion (3) Dimension'!F267</f>
        <v>0</v>
      </c>
      <c r="HA267" s="39" t="str">
        <f>'Por Valoracion (3) Dimension 2'!B267</f>
        <v>0</v>
      </c>
      <c r="HV267" s="47"/>
      <c r="HX267" t="str">
        <f>('Inteligencia emocional'!A268)</f>
        <v>0</v>
      </c>
      <c r="HY267" s="39" t="str">
        <f>'Por Valoracion (3) Dimension'!F267</f>
        <v>0</v>
      </c>
      <c r="HZ267" s="39" t="str">
        <f>'Por Valoracion (3) Dimension 2'!D267</f>
        <v>0</v>
      </c>
      <c r="IU267" s="47"/>
      <c r="IW267" t="str">
        <f>('Inteligencia emocional'!A268)</f>
        <v>0</v>
      </c>
      <c r="IX267" s="39" t="str">
        <f>'Por Valoracion (3) Dimension'!F267</f>
        <v>0</v>
      </c>
      <c r="IY267" s="39" t="str">
        <f>'Por Valoracion (3) Dimension 2'!F267</f>
        <v>0</v>
      </c>
      <c r="JT267" s="47"/>
      <c r="JV267" t="str">
        <f>('Inteligencia emocional'!A268)</f>
        <v>0</v>
      </c>
      <c r="JW267" s="39" t="str">
        <f>'Por Valoracion (3) Dimension'!F267</f>
        <v>0</v>
      </c>
      <c r="JX267" s="39" t="str">
        <f>'Por Valoracion (3) Dimension 2'!H267</f>
        <v>0</v>
      </c>
      <c r="KS267" s="47"/>
    </row>
    <row r="268" spans="1:305">
      <c r="A268" s="38"/>
      <c r="C268" t="str">
        <f>('Inteligencia emocional'!A269)</f>
        <v>0</v>
      </c>
      <c r="D268" s="39" t="str">
        <f>'Por Valoracion (3) Dimension'!B268</f>
        <v>0</v>
      </c>
      <c r="E268" s="39" t="str">
        <f>'Por Valoracion (3) Dimension 2'!B268</f>
        <v>0</v>
      </c>
      <c r="Z268" s="38"/>
      <c r="AB268" t="str">
        <f>('Inteligencia emocional'!A269)</f>
        <v>0</v>
      </c>
      <c r="AC268" s="39" t="str">
        <f>'Por Valoracion (3) Dimension'!B268</f>
        <v>0</v>
      </c>
      <c r="AD268" s="39" t="str">
        <f>'Por Valoracion (3) Dimension 2'!D268</f>
        <v>0</v>
      </c>
      <c r="AY268" s="38"/>
      <c r="BA268" t="str">
        <f>('Inteligencia emocional'!A269)</f>
        <v>0</v>
      </c>
      <c r="BB268" s="39" t="str">
        <f>'Por Valoracion (3) Dimension'!B268</f>
        <v>0</v>
      </c>
      <c r="BC268" s="39" t="str">
        <f>'Por Valoracion (3) Dimension 2'!F268</f>
        <v>0</v>
      </c>
      <c r="BX268" s="38"/>
      <c r="BZ268" t="str">
        <f>('Inteligencia emocional'!A269)</f>
        <v>0</v>
      </c>
      <c r="CA268" s="39" t="str">
        <f>'Por Valoracion (3) Dimension'!B268</f>
        <v>0</v>
      </c>
      <c r="CB268" s="39" t="str">
        <f>'Por Valoracion (3) Dimension 2'!H268</f>
        <v>0</v>
      </c>
      <c r="CW268" s="38"/>
      <c r="CY268" s="46"/>
      <c r="DA268" t="str">
        <f>('Inteligencia emocional'!A269)</f>
        <v>0</v>
      </c>
      <c r="DB268" s="39" t="str">
        <f>'Por Valoracion (3) Dimension'!D268</f>
        <v>0</v>
      </c>
      <c r="DC268" s="39" t="str">
        <f>'Por Valoracion (3) Dimension 2'!B268</f>
        <v>0</v>
      </c>
      <c r="DX268" s="46"/>
      <c r="DZ268" t="str">
        <f>('Inteligencia emocional'!A269)</f>
        <v>0</v>
      </c>
      <c r="EA268" s="39" t="str">
        <f>'Por Valoracion (3) Dimension'!D268</f>
        <v>0</v>
      </c>
      <c r="EB268" s="39" t="str">
        <f>'Por Valoracion (3) Dimension 2'!D268</f>
        <v>0</v>
      </c>
      <c r="EW268" s="46"/>
      <c r="EY268" t="str">
        <f>('Inteligencia emocional'!A269)</f>
        <v>0</v>
      </c>
      <c r="EZ268" s="39" t="str">
        <f>'Por Valoracion (3) Dimension'!D268</f>
        <v>0</v>
      </c>
      <c r="FA268" s="39" t="str">
        <f>'Por Valoracion (3) Dimension 2'!F268</f>
        <v>0</v>
      </c>
      <c r="FV268" s="46"/>
      <c r="FX268" t="str">
        <f>('Inteligencia emocional'!A269)</f>
        <v>0</v>
      </c>
      <c r="FY268" s="39" t="str">
        <f>'Por Valoracion (3) Dimension'!D268</f>
        <v>0</v>
      </c>
      <c r="FZ268" s="39" t="str">
        <f>'Por Valoracion (3) Dimension 2'!H268</f>
        <v>0</v>
      </c>
      <c r="GU268" s="46"/>
      <c r="GW268" s="47"/>
      <c r="GY268" t="str">
        <f>('Inteligencia emocional'!A269)</f>
        <v>0</v>
      </c>
      <c r="GZ268" s="39" t="str">
        <f>'Por Valoracion (3) Dimension'!F268</f>
        <v>0</v>
      </c>
      <c r="HA268" s="39" t="str">
        <f>'Por Valoracion (3) Dimension 2'!B268</f>
        <v>0</v>
      </c>
      <c r="HV268" s="47"/>
      <c r="HX268" t="str">
        <f>('Inteligencia emocional'!A269)</f>
        <v>0</v>
      </c>
      <c r="HY268" s="39" t="str">
        <f>'Por Valoracion (3) Dimension'!F268</f>
        <v>0</v>
      </c>
      <c r="HZ268" s="39" t="str">
        <f>'Por Valoracion (3) Dimension 2'!D268</f>
        <v>0</v>
      </c>
      <c r="IU268" s="47"/>
      <c r="IW268" t="str">
        <f>('Inteligencia emocional'!A269)</f>
        <v>0</v>
      </c>
      <c r="IX268" s="39" t="str">
        <f>'Por Valoracion (3) Dimension'!F268</f>
        <v>0</v>
      </c>
      <c r="IY268" s="39" t="str">
        <f>'Por Valoracion (3) Dimension 2'!F268</f>
        <v>0</v>
      </c>
      <c r="JT268" s="47"/>
      <c r="JV268" t="str">
        <f>('Inteligencia emocional'!A269)</f>
        <v>0</v>
      </c>
      <c r="JW268" s="39" t="str">
        <f>'Por Valoracion (3) Dimension'!F268</f>
        <v>0</v>
      </c>
      <c r="JX268" s="39" t="str">
        <f>'Por Valoracion (3) Dimension 2'!H268</f>
        <v>0</v>
      </c>
      <c r="KS268" s="47"/>
    </row>
    <row r="269" spans="1:305">
      <c r="A269" s="38"/>
      <c r="C269" t="str">
        <f>('Inteligencia emocional'!A270)</f>
        <v>0</v>
      </c>
      <c r="D269" s="39" t="str">
        <f>'Por Valoracion (3) Dimension'!B269</f>
        <v>0</v>
      </c>
      <c r="E269" s="39" t="str">
        <f>'Por Valoracion (3) Dimension 2'!B269</f>
        <v>0</v>
      </c>
      <c r="Z269" s="38"/>
      <c r="AB269" t="str">
        <f>('Inteligencia emocional'!A270)</f>
        <v>0</v>
      </c>
      <c r="AC269" s="39" t="str">
        <f>'Por Valoracion (3) Dimension'!B269</f>
        <v>0</v>
      </c>
      <c r="AD269" s="39" t="str">
        <f>'Por Valoracion (3) Dimension 2'!D269</f>
        <v>0</v>
      </c>
      <c r="AY269" s="38"/>
      <c r="BA269" t="str">
        <f>('Inteligencia emocional'!A270)</f>
        <v>0</v>
      </c>
      <c r="BB269" s="39" t="str">
        <f>'Por Valoracion (3) Dimension'!B269</f>
        <v>0</v>
      </c>
      <c r="BC269" s="39" t="str">
        <f>'Por Valoracion (3) Dimension 2'!F269</f>
        <v>0</v>
      </c>
      <c r="BX269" s="38"/>
      <c r="BZ269" t="str">
        <f>('Inteligencia emocional'!A270)</f>
        <v>0</v>
      </c>
      <c r="CA269" s="39" t="str">
        <f>'Por Valoracion (3) Dimension'!B269</f>
        <v>0</v>
      </c>
      <c r="CB269" s="39" t="str">
        <f>'Por Valoracion (3) Dimension 2'!H269</f>
        <v>0</v>
      </c>
      <c r="CW269" s="38"/>
      <c r="CY269" s="46"/>
      <c r="DA269" t="str">
        <f>('Inteligencia emocional'!A270)</f>
        <v>0</v>
      </c>
      <c r="DB269" s="39" t="str">
        <f>'Por Valoracion (3) Dimension'!D269</f>
        <v>0</v>
      </c>
      <c r="DC269" s="39" t="str">
        <f>'Por Valoracion (3) Dimension 2'!B269</f>
        <v>0</v>
      </c>
      <c r="DX269" s="46"/>
      <c r="DZ269" t="str">
        <f>('Inteligencia emocional'!A270)</f>
        <v>0</v>
      </c>
      <c r="EA269" s="39" t="str">
        <f>'Por Valoracion (3) Dimension'!D269</f>
        <v>0</v>
      </c>
      <c r="EB269" s="39" t="str">
        <f>'Por Valoracion (3) Dimension 2'!D269</f>
        <v>0</v>
      </c>
      <c r="EW269" s="46"/>
      <c r="EY269" t="str">
        <f>('Inteligencia emocional'!A270)</f>
        <v>0</v>
      </c>
      <c r="EZ269" s="39" t="str">
        <f>'Por Valoracion (3) Dimension'!D269</f>
        <v>0</v>
      </c>
      <c r="FA269" s="39" t="str">
        <f>'Por Valoracion (3) Dimension 2'!F269</f>
        <v>0</v>
      </c>
      <c r="FV269" s="46"/>
      <c r="FX269" t="str">
        <f>('Inteligencia emocional'!A270)</f>
        <v>0</v>
      </c>
      <c r="FY269" s="39" t="str">
        <f>'Por Valoracion (3) Dimension'!D269</f>
        <v>0</v>
      </c>
      <c r="FZ269" s="39" t="str">
        <f>'Por Valoracion (3) Dimension 2'!H269</f>
        <v>0</v>
      </c>
      <c r="GU269" s="46"/>
      <c r="GW269" s="47"/>
      <c r="GY269" t="str">
        <f>('Inteligencia emocional'!A270)</f>
        <v>0</v>
      </c>
      <c r="GZ269" s="39" t="str">
        <f>'Por Valoracion (3) Dimension'!F269</f>
        <v>0</v>
      </c>
      <c r="HA269" s="39" t="str">
        <f>'Por Valoracion (3) Dimension 2'!B269</f>
        <v>0</v>
      </c>
      <c r="HV269" s="47"/>
      <c r="HX269" t="str">
        <f>('Inteligencia emocional'!A270)</f>
        <v>0</v>
      </c>
      <c r="HY269" s="39" t="str">
        <f>'Por Valoracion (3) Dimension'!F269</f>
        <v>0</v>
      </c>
      <c r="HZ269" s="39" t="str">
        <f>'Por Valoracion (3) Dimension 2'!D269</f>
        <v>0</v>
      </c>
      <c r="IU269" s="47"/>
      <c r="IW269" t="str">
        <f>('Inteligencia emocional'!A270)</f>
        <v>0</v>
      </c>
      <c r="IX269" s="39" t="str">
        <f>'Por Valoracion (3) Dimension'!F269</f>
        <v>0</v>
      </c>
      <c r="IY269" s="39" t="str">
        <f>'Por Valoracion (3) Dimension 2'!F269</f>
        <v>0</v>
      </c>
      <c r="JT269" s="47"/>
      <c r="JV269" t="str">
        <f>('Inteligencia emocional'!A270)</f>
        <v>0</v>
      </c>
      <c r="JW269" s="39" t="str">
        <f>'Por Valoracion (3) Dimension'!F269</f>
        <v>0</v>
      </c>
      <c r="JX269" s="39" t="str">
        <f>'Por Valoracion (3) Dimension 2'!H269</f>
        <v>0</v>
      </c>
      <c r="KS269" s="47"/>
    </row>
    <row r="270" spans="1:305">
      <c r="A270" s="38"/>
      <c r="C270" t="str">
        <f>('Inteligencia emocional'!A271)</f>
        <v>0</v>
      </c>
      <c r="D270" s="39" t="str">
        <f>'Por Valoracion (3) Dimension'!B270</f>
        <v>0</v>
      </c>
      <c r="E270" s="39" t="str">
        <f>'Por Valoracion (3) Dimension 2'!B270</f>
        <v>0</v>
      </c>
      <c r="Z270" s="38"/>
      <c r="AB270" t="str">
        <f>('Inteligencia emocional'!A271)</f>
        <v>0</v>
      </c>
      <c r="AC270" s="39" t="str">
        <f>'Por Valoracion (3) Dimension'!B270</f>
        <v>0</v>
      </c>
      <c r="AD270" s="39" t="str">
        <f>'Por Valoracion (3) Dimension 2'!D270</f>
        <v>0</v>
      </c>
      <c r="AY270" s="38"/>
      <c r="BA270" t="str">
        <f>('Inteligencia emocional'!A271)</f>
        <v>0</v>
      </c>
      <c r="BB270" s="39" t="str">
        <f>'Por Valoracion (3) Dimension'!B270</f>
        <v>0</v>
      </c>
      <c r="BC270" s="39" t="str">
        <f>'Por Valoracion (3) Dimension 2'!F270</f>
        <v>0</v>
      </c>
      <c r="BX270" s="38"/>
      <c r="BZ270" t="str">
        <f>('Inteligencia emocional'!A271)</f>
        <v>0</v>
      </c>
      <c r="CA270" s="39" t="str">
        <f>'Por Valoracion (3) Dimension'!B270</f>
        <v>0</v>
      </c>
      <c r="CB270" s="39" t="str">
        <f>'Por Valoracion (3) Dimension 2'!H270</f>
        <v>0</v>
      </c>
      <c r="CW270" s="38"/>
      <c r="CY270" s="46"/>
      <c r="DA270" t="str">
        <f>('Inteligencia emocional'!A271)</f>
        <v>0</v>
      </c>
      <c r="DB270" s="39" t="str">
        <f>'Por Valoracion (3) Dimension'!D270</f>
        <v>0</v>
      </c>
      <c r="DC270" s="39" t="str">
        <f>'Por Valoracion (3) Dimension 2'!B270</f>
        <v>0</v>
      </c>
      <c r="DX270" s="46"/>
      <c r="DZ270" t="str">
        <f>('Inteligencia emocional'!A271)</f>
        <v>0</v>
      </c>
      <c r="EA270" s="39" t="str">
        <f>'Por Valoracion (3) Dimension'!D270</f>
        <v>0</v>
      </c>
      <c r="EB270" s="39" t="str">
        <f>'Por Valoracion (3) Dimension 2'!D270</f>
        <v>0</v>
      </c>
      <c r="EW270" s="46"/>
      <c r="EY270" t="str">
        <f>('Inteligencia emocional'!A271)</f>
        <v>0</v>
      </c>
      <c r="EZ270" s="39" t="str">
        <f>'Por Valoracion (3) Dimension'!D270</f>
        <v>0</v>
      </c>
      <c r="FA270" s="39" t="str">
        <f>'Por Valoracion (3) Dimension 2'!F270</f>
        <v>0</v>
      </c>
      <c r="FV270" s="46"/>
      <c r="FX270" t="str">
        <f>('Inteligencia emocional'!A271)</f>
        <v>0</v>
      </c>
      <c r="FY270" s="39" t="str">
        <f>'Por Valoracion (3) Dimension'!D270</f>
        <v>0</v>
      </c>
      <c r="FZ270" s="39" t="str">
        <f>'Por Valoracion (3) Dimension 2'!H270</f>
        <v>0</v>
      </c>
      <c r="GU270" s="46"/>
      <c r="GW270" s="47"/>
      <c r="GY270" t="str">
        <f>('Inteligencia emocional'!A271)</f>
        <v>0</v>
      </c>
      <c r="GZ270" s="39" t="str">
        <f>'Por Valoracion (3) Dimension'!F270</f>
        <v>0</v>
      </c>
      <c r="HA270" s="39" t="str">
        <f>'Por Valoracion (3) Dimension 2'!B270</f>
        <v>0</v>
      </c>
      <c r="HV270" s="47"/>
      <c r="HX270" t="str">
        <f>('Inteligencia emocional'!A271)</f>
        <v>0</v>
      </c>
      <c r="HY270" s="39" t="str">
        <f>'Por Valoracion (3) Dimension'!F270</f>
        <v>0</v>
      </c>
      <c r="HZ270" s="39" t="str">
        <f>'Por Valoracion (3) Dimension 2'!D270</f>
        <v>0</v>
      </c>
      <c r="IU270" s="47"/>
      <c r="IW270" t="str">
        <f>('Inteligencia emocional'!A271)</f>
        <v>0</v>
      </c>
      <c r="IX270" s="39" t="str">
        <f>'Por Valoracion (3) Dimension'!F270</f>
        <v>0</v>
      </c>
      <c r="IY270" s="39" t="str">
        <f>'Por Valoracion (3) Dimension 2'!F270</f>
        <v>0</v>
      </c>
      <c r="JT270" s="47"/>
      <c r="JV270" t="str">
        <f>('Inteligencia emocional'!A271)</f>
        <v>0</v>
      </c>
      <c r="JW270" s="39" t="str">
        <f>'Por Valoracion (3) Dimension'!F270</f>
        <v>0</v>
      </c>
      <c r="JX270" s="39" t="str">
        <f>'Por Valoracion (3) Dimension 2'!H270</f>
        <v>0</v>
      </c>
      <c r="KS270" s="47"/>
    </row>
    <row r="271" spans="1:305">
      <c r="A271" s="38"/>
      <c r="C271" t="str">
        <f>('Inteligencia emocional'!A272)</f>
        <v>0</v>
      </c>
      <c r="D271" s="39" t="str">
        <f>'Por Valoracion (3) Dimension'!B271</f>
        <v>0</v>
      </c>
      <c r="E271" s="39" t="str">
        <f>'Por Valoracion (3) Dimension 2'!B271</f>
        <v>0</v>
      </c>
      <c r="Z271" s="38"/>
      <c r="AB271" t="str">
        <f>('Inteligencia emocional'!A272)</f>
        <v>0</v>
      </c>
      <c r="AC271" s="39" t="str">
        <f>'Por Valoracion (3) Dimension'!B271</f>
        <v>0</v>
      </c>
      <c r="AD271" s="39" t="str">
        <f>'Por Valoracion (3) Dimension 2'!D271</f>
        <v>0</v>
      </c>
      <c r="AY271" s="38"/>
      <c r="BA271" t="str">
        <f>('Inteligencia emocional'!A272)</f>
        <v>0</v>
      </c>
      <c r="BB271" s="39" t="str">
        <f>'Por Valoracion (3) Dimension'!B271</f>
        <v>0</v>
      </c>
      <c r="BC271" s="39" t="str">
        <f>'Por Valoracion (3) Dimension 2'!F271</f>
        <v>0</v>
      </c>
      <c r="BX271" s="38"/>
      <c r="BZ271" t="str">
        <f>('Inteligencia emocional'!A272)</f>
        <v>0</v>
      </c>
      <c r="CA271" s="39" t="str">
        <f>'Por Valoracion (3) Dimension'!B271</f>
        <v>0</v>
      </c>
      <c r="CB271" s="39" t="str">
        <f>'Por Valoracion (3) Dimension 2'!H271</f>
        <v>0</v>
      </c>
      <c r="CW271" s="38"/>
      <c r="CY271" s="46"/>
      <c r="DA271" t="str">
        <f>('Inteligencia emocional'!A272)</f>
        <v>0</v>
      </c>
      <c r="DB271" s="39" t="str">
        <f>'Por Valoracion (3) Dimension'!D271</f>
        <v>0</v>
      </c>
      <c r="DC271" s="39" t="str">
        <f>'Por Valoracion (3) Dimension 2'!B271</f>
        <v>0</v>
      </c>
      <c r="DX271" s="46"/>
      <c r="DZ271" t="str">
        <f>('Inteligencia emocional'!A272)</f>
        <v>0</v>
      </c>
      <c r="EA271" s="39" t="str">
        <f>'Por Valoracion (3) Dimension'!D271</f>
        <v>0</v>
      </c>
      <c r="EB271" s="39" t="str">
        <f>'Por Valoracion (3) Dimension 2'!D271</f>
        <v>0</v>
      </c>
      <c r="EW271" s="46"/>
      <c r="EY271" t="str">
        <f>('Inteligencia emocional'!A272)</f>
        <v>0</v>
      </c>
      <c r="EZ271" s="39" t="str">
        <f>'Por Valoracion (3) Dimension'!D271</f>
        <v>0</v>
      </c>
      <c r="FA271" s="39" t="str">
        <f>'Por Valoracion (3) Dimension 2'!F271</f>
        <v>0</v>
      </c>
      <c r="FV271" s="46"/>
      <c r="FX271" t="str">
        <f>('Inteligencia emocional'!A272)</f>
        <v>0</v>
      </c>
      <c r="FY271" s="39" t="str">
        <f>'Por Valoracion (3) Dimension'!D271</f>
        <v>0</v>
      </c>
      <c r="FZ271" s="39" t="str">
        <f>'Por Valoracion (3) Dimension 2'!H271</f>
        <v>0</v>
      </c>
      <c r="GU271" s="46"/>
      <c r="GW271" s="47"/>
      <c r="GY271" t="str">
        <f>('Inteligencia emocional'!A272)</f>
        <v>0</v>
      </c>
      <c r="GZ271" s="39" t="str">
        <f>'Por Valoracion (3) Dimension'!F271</f>
        <v>0</v>
      </c>
      <c r="HA271" s="39" t="str">
        <f>'Por Valoracion (3) Dimension 2'!B271</f>
        <v>0</v>
      </c>
      <c r="HV271" s="47"/>
      <c r="HX271" t="str">
        <f>('Inteligencia emocional'!A272)</f>
        <v>0</v>
      </c>
      <c r="HY271" s="39" t="str">
        <f>'Por Valoracion (3) Dimension'!F271</f>
        <v>0</v>
      </c>
      <c r="HZ271" s="39" t="str">
        <f>'Por Valoracion (3) Dimension 2'!D271</f>
        <v>0</v>
      </c>
      <c r="IU271" s="47"/>
      <c r="IW271" t="str">
        <f>('Inteligencia emocional'!A272)</f>
        <v>0</v>
      </c>
      <c r="IX271" s="39" t="str">
        <f>'Por Valoracion (3) Dimension'!F271</f>
        <v>0</v>
      </c>
      <c r="IY271" s="39" t="str">
        <f>'Por Valoracion (3) Dimension 2'!F271</f>
        <v>0</v>
      </c>
      <c r="JT271" s="47"/>
      <c r="JV271" t="str">
        <f>('Inteligencia emocional'!A272)</f>
        <v>0</v>
      </c>
      <c r="JW271" s="39" t="str">
        <f>'Por Valoracion (3) Dimension'!F271</f>
        <v>0</v>
      </c>
      <c r="JX271" s="39" t="str">
        <f>'Por Valoracion (3) Dimension 2'!H271</f>
        <v>0</v>
      </c>
      <c r="KS271" s="47"/>
    </row>
    <row r="272" spans="1:305">
      <c r="A272" s="38"/>
      <c r="C272" t="str">
        <f>('Inteligencia emocional'!A273)</f>
        <v>0</v>
      </c>
      <c r="D272" s="39" t="str">
        <f>'Por Valoracion (3) Dimension'!B272</f>
        <v>0</v>
      </c>
      <c r="E272" s="39" t="str">
        <f>'Por Valoracion (3) Dimension 2'!B272</f>
        <v>0</v>
      </c>
      <c r="Z272" s="38"/>
      <c r="AB272" t="str">
        <f>('Inteligencia emocional'!A273)</f>
        <v>0</v>
      </c>
      <c r="AC272" s="39" t="str">
        <f>'Por Valoracion (3) Dimension'!B272</f>
        <v>0</v>
      </c>
      <c r="AD272" s="39" t="str">
        <f>'Por Valoracion (3) Dimension 2'!D272</f>
        <v>0</v>
      </c>
      <c r="AY272" s="38"/>
      <c r="BA272" t="str">
        <f>('Inteligencia emocional'!A273)</f>
        <v>0</v>
      </c>
      <c r="BB272" s="39" t="str">
        <f>'Por Valoracion (3) Dimension'!B272</f>
        <v>0</v>
      </c>
      <c r="BC272" s="39" t="str">
        <f>'Por Valoracion (3) Dimension 2'!F272</f>
        <v>0</v>
      </c>
      <c r="BX272" s="38"/>
      <c r="BZ272" t="str">
        <f>('Inteligencia emocional'!A273)</f>
        <v>0</v>
      </c>
      <c r="CA272" s="39" t="str">
        <f>'Por Valoracion (3) Dimension'!B272</f>
        <v>0</v>
      </c>
      <c r="CB272" s="39" t="str">
        <f>'Por Valoracion (3) Dimension 2'!H272</f>
        <v>0</v>
      </c>
      <c r="CW272" s="38"/>
      <c r="CY272" s="46"/>
      <c r="DA272" t="str">
        <f>('Inteligencia emocional'!A273)</f>
        <v>0</v>
      </c>
      <c r="DB272" s="39" t="str">
        <f>'Por Valoracion (3) Dimension'!D272</f>
        <v>0</v>
      </c>
      <c r="DC272" s="39" t="str">
        <f>'Por Valoracion (3) Dimension 2'!B272</f>
        <v>0</v>
      </c>
      <c r="DX272" s="46"/>
      <c r="DZ272" t="str">
        <f>('Inteligencia emocional'!A273)</f>
        <v>0</v>
      </c>
      <c r="EA272" s="39" t="str">
        <f>'Por Valoracion (3) Dimension'!D272</f>
        <v>0</v>
      </c>
      <c r="EB272" s="39" t="str">
        <f>'Por Valoracion (3) Dimension 2'!D272</f>
        <v>0</v>
      </c>
      <c r="EW272" s="46"/>
      <c r="EY272" t="str">
        <f>('Inteligencia emocional'!A273)</f>
        <v>0</v>
      </c>
      <c r="EZ272" s="39" t="str">
        <f>'Por Valoracion (3) Dimension'!D272</f>
        <v>0</v>
      </c>
      <c r="FA272" s="39" t="str">
        <f>'Por Valoracion (3) Dimension 2'!F272</f>
        <v>0</v>
      </c>
      <c r="FV272" s="46"/>
      <c r="FX272" t="str">
        <f>('Inteligencia emocional'!A273)</f>
        <v>0</v>
      </c>
      <c r="FY272" s="39" t="str">
        <f>'Por Valoracion (3) Dimension'!D272</f>
        <v>0</v>
      </c>
      <c r="FZ272" s="39" t="str">
        <f>'Por Valoracion (3) Dimension 2'!H272</f>
        <v>0</v>
      </c>
      <c r="GU272" s="46"/>
      <c r="GW272" s="47"/>
      <c r="GY272" t="str">
        <f>('Inteligencia emocional'!A273)</f>
        <v>0</v>
      </c>
      <c r="GZ272" s="39" t="str">
        <f>'Por Valoracion (3) Dimension'!F272</f>
        <v>0</v>
      </c>
      <c r="HA272" s="39" t="str">
        <f>'Por Valoracion (3) Dimension 2'!B272</f>
        <v>0</v>
      </c>
      <c r="HV272" s="47"/>
      <c r="HX272" t="str">
        <f>('Inteligencia emocional'!A273)</f>
        <v>0</v>
      </c>
      <c r="HY272" s="39" t="str">
        <f>'Por Valoracion (3) Dimension'!F272</f>
        <v>0</v>
      </c>
      <c r="HZ272" s="39" t="str">
        <f>'Por Valoracion (3) Dimension 2'!D272</f>
        <v>0</v>
      </c>
      <c r="IU272" s="47"/>
      <c r="IW272" t="str">
        <f>('Inteligencia emocional'!A273)</f>
        <v>0</v>
      </c>
      <c r="IX272" s="39" t="str">
        <f>'Por Valoracion (3) Dimension'!F272</f>
        <v>0</v>
      </c>
      <c r="IY272" s="39" t="str">
        <f>'Por Valoracion (3) Dimension 2'!F272</f>
        <v>0</v>
      </c>
      <c r="JT272" s="47"/>
      <c r="JV272" t="str">
        <f>('Inteligencia emocional'!A273)</f>
        <v>0</v>
      </c>
      <c r="JW272" s="39" t="str">
        <f>'Por Valoracion (3) Dimension'!F272</f>
        <v>0</v>
      </c>
      <c r="JX272" s="39" t="str">
        <f>'Por Valoracion (3) Dimension 2'!H272</f>
        <v>0</v>
      </c>
      <c r="KS272" s="47"/>
    </row>
    <row r="273" spans="1:305">
      <c r="A273" s="38"/>
      <c r="C273" t="str">
        <f>('Inteligencia emocional'!A274)</f>
        <v>0</v>
      </c>
      <c r="D273" s="39" t="str">
        <f>'Por Valoracion (3) Dimension'!B273</f>
        <v>0</v>
      </c>
      <c r="E273" s="39" t="str">
        <f>'Por Valoracion (3) Dimension 2'!B273</f>
        <v>0</v>
      </c>
      <c r="Z273" s="38"/>
      <c r="AB273" t="str">
        <f>('Inteligencia emocional'!A274)</f>
        <v>0</v>
      </c>
      <c r="AC273" s="39" t="str">
        <f>'Por Valoracion (3) Dimension'!B273</f>
        <v>0</v>
      </c>
      <c r="AD273" s="39" t="str">
        <f>'Por Valoracion (3) Dimension 2'!D273</f>
        <v>0</v>
      </c>
      <c r="AY273" s="38"/>
      <c r="BA273" t="str">
        <f>('Inteligencia emocional'!A274)</f>
        <v>0</v>
      </c>
      <c r="BB273" s="39" t="str">
        <f>'Por Valoracion (3) Dimension'!B273</f>
        <v>0</v>
      </c>
      <c r="BC273" s="39" t="str">
        <f>'Por Valoracion (3) Dimension 2'!F273</f>
        <v>0</v>
      </c>
      <c r="BX273" s="38"/>
      <c r="BZ273" t="str">
        <f>('Inteligencia emocional'!A274)</f>
        <v>0</v>
      </c>
      <c r="CA273" s="39" t="str">
        <f>'Por Valoracion (3) Dimension'!B273</f>
        <v>0</v>
      </c>
      <c r="CB273" s="39" t="str">
        <f>'Por Valoracion (3) Dimension 2'!H273</f>
        <v>0</v>
      </c>
      <c r="CW273" s="38"/>
      <c r="CY273" s="46"/>
      <c r="DA273" t="str">
        <f>('Inteligencia emocional'!A274)</f>
        <v>0</v>
      </c>
      <c r="DB273" s="39" t="str">
        <f>'Por Valoracion (3) Dimension'!D273</f>
        <v>0</v>
      </c>
      <c r="DC273" s="39" t="str">
        <f>'Por Valoracion (3) Dimension 2'!B273</f>
        <v>0</v>
      </c>
      <c r="DX273" s="46"/>
      <c r="DZ273" t="str">
        <f>('Inteligencia emocional'!A274)</f>
        <v>0</v>
      </c>
      <c r="EA273" s="39" t="str">
        <f>'Por Valoracion (3) Dimension'!D273</f>
        <v>0</v>
      </c>
      <c r="EB273" s="39" t="str">
        <f>'Por Valoracion (3) Dimension 2'!D273</f>
        <v>0</v>
      </c>
      <c r="EW273" s="46"/>
      <c r="EY273" t="str">
        <f>('Inteligencia emocional'!A274)</f>
        <v>0</v>
      </c>
      <c r="EZ273" s="39" t="str">
        <f>'Por Valoracion (3) Dimension'!D273</f>
        <v>0</v>
      </c>
      <c r="FA273" s="39" t="str">
        <f>'Por Valoracion (3) Dimension 2'!F273</f>
        <v>0</v>
      </c>
      <c r="FV273" s="46"/>
      <c r="FX273" t="str">
        <f>('Inteligencia emocional'!A274)</f>
        <v>0</v>
      </c>
      <c r="FY273" s="39" t="str">
        <f>'Por Valoracion (3) Dimension'!D273</f>
        <v>0</v>
      </c>
      <c r="FZ273" s="39" t="str">
        <f>'Por Valoracion (3) Dimension 2'!H273</f>
        <v>0</v>
      </c>
      <c r="GU273" s="46"/>
      <c r="GW273" s="47"/>
      <c r="GY273" t="str">
        <f>('Inteligencia emocional'!A274)</f>
        <v>0</v>
      </c>
      <c r="GZ273" s="39" t="str">
        <f>'Por Valoracion (3) Dimension'!F273</f>
        <v>0</v>
      </c>
      <c r="HA273" s="39" t="str">
        <f>'Por Valoracion (3) Dimension 2'!B273</f>
        <v>0</v>
      </c>
      <c r="HV273" s="47"/>
      <c r="HX273" t="str">
        <f>('Inteligencia emocional'!A274)</f>
        <v>0</v>
      </c>
      <c r="HY273" s="39" t="str">
        <f>'Por Valoracion (3) Dimension'!F273</f>
        <v>0</v>
      </c>
      <c r="HZ273" s="39" t="str">
        <f>'Por Valoracion (3) Dimension 2'!D273</f>
        <v>0</v>
      </c>
      <c r="IU273" s="47"/>
      <c r="IW273" t="str">
        <f>('Inteligencia emocional'!A274)</f>
        <v>0</v>
      </c>
      <c r="IX273" s="39" t="str">
        <f>'Por Valoracion (3) Dimension'!F273</f>
        <v>0</v>
      </c>
      <c r="IY273" s="39" t="str">
        <f>'Por Valoracion (3) Dimension 2'!F273</f>
        <v>0</v>
      </c>
      <c r="JT273" s="47"/>
      <c r="JV273" t="str">
        <f>('Inteligencia emocional'!A274)</f>
        <v>0</v>
      </c>
      <c r="JW273" s="39" t="str">
        <f>'Por Valoracion (3) Dimension'!F273</f>
        <v>0</v>
      </c>
      <c r="JX273" s="39" t="str">
        <f>'Por Valoracion (3) Dimension 2'!H273</f>
        <v>0</v>
      </c>
      <c r="KS273" s="47"/>
    </row>
    <row r="274" spans="1:305">
      <c r="A274" s="38"/>
      <c r="C274" t="str">
        <f>('Inteligencia emocional'!A275)</f>
        <v>0</v>
      </c>
      <c r="D274" s="39" t="str">
        <f>'Por Valoracion (3) Dimension'!B274</f>
        <v>0</v>
      </c>
      <c r="E274" s="39" t="str">
        <f>'Por Valoracion (3) Dimension 2'!B274</f>
        <v>0</v>
      </c>
      <c r="Z274" s="38"/>
      <c r="AB274" t="str">
        <f>('Inteligencia emocional'!A275)</f>
        <v>0</v>
      </c>
      <c r="AC274" s="39" t="str">
        <f>'Por Valoracion (3) Dimension'!B274</f>
        <v>0</v>
      </c>
      <c r="AD274" s="39" t="str">
        <f>'Por Valoracion (3) Dimension 2'!D274</f>
        <v>0</v>
      </c>
      <c r="AY274" s="38"/>
      <c r="BA274" t="str">
        <f>('Inteligencia emocional'!A275)</f>
        <v>0</v>
      </c>
      <c r="BB274" s="39" t="str">
        <f>'Por Valoracion (3) Dimension'!B274</f>
        <v>0</v>
      </c>
      <c r="BC274" s="39" t="str">
        <f>'Por Valoracion (3) Dimension 2'!F274</f>
        <v>0</v>
      </c>
      <c r="BX274" s="38"/>
      <c r="BZ274" t="str">
        <f>('Inteligencia emocional'!A275)</f>
        <v>0</v>
      </c>
      <c r="CA274" s="39" t="str">
        <f>'Por Valoracion (3) Dimension'!B274</f>
        <v>0</v>
      </c>
      <c r="CB274" s="39" t="str">
        <f>'Por Valoracion (3) Dimension 2'!H274</f>
        <v>0</v>
      </c>
      <c r="CW274" s="38"/>
      <c r="CY274" s="46"/>
      <c r="DA274" t="str">
        <f>('Inteligencia emocional'!A275)</f>
        <v>0</v>
      </c>
      <c r="DB274" s="39" t="str">
        <f>'Por Valoracion (3) Dimension'!D274</f>
        <v>0</v>
      </c>
      <c r="DC274" s="39" t="str">
        <f>'Por Valoracion (3) Dimension 2'!B274</f>
        <v>0</v>
      </c>
      <c r="DX274" s="46"/>
      <c r="DZ274" t="str">
        <f>('Inteligencia emocional'!A275)</f>
        <v>0</v>
      </c>
      <c r="EA274" s="39" t="str">
        <f>'Por Valoracion (3) Dimension'!D274</f>
        <v>0</v>
      </c>
      <c r="EB274" s="39" t="str">
        <f>'Por Valoracion (3) Dimension 2'!D274</f>
        <v>0</v>
      </c>
      <c r="EW274" s="46"/>
      <c r="EY274" t="str">
        <f>('Inteligencia emocional'!A275)</f>
        <v>0</v>
      </c>
      <c r="EZ274" s="39" t="str">
        <f>'Por Valoracion (3) Dimension'!D274</f>
        <v>0</v>
      </c>
      <c r="FA274" s="39" t="str">
        <f>'Por Valoracion (3) Dimension 2'!F274</f>
        <v>0</v>
      </c>
      <c r="FV274" s="46"/>
      <c r="FX274" t="str">
        <f>('Inteligencia emocional'!A275)</f>
        <v>0</v>
      </c>
      <c r="FY274" s="39" t="str">
        <f>'Por Valoracion (3) Dimension'!D274</f>
        <v>0</v>
      </c>
      <c r="FZ274" s="39" t="str">
        <f>'Por Valoracion (3) Dimension 2'!H274</f>
        <v>0</v>
      </c>
      <c r="GU274" s="46"/>
      <c r="GW274" s="47"/>
      <c r="GY274" t="str">
        <f>('Inteligencia emocional'!A275)</f>
        <v>0</v>
      </c>
      <c r="GZ274" s="39" t="str">
        <f>'Por Valoracion (3) Dimension'!F274</f>
        <v>0</v>
      </c>
      <c r="HA274" s="39" t="str">
        <f>'Por Valoracion (3) Dimension 2'!B274</f>
        <v>0</v>
      </c>
      <c r="HV274" s="47"/>
      <c r="HX274" t="str">
        <f>('Inteligencia emocional'!A275)</f>
        <v>0</v>
      </c>
      <c r="HY274" s="39" t="str">
        <f>'Por Valoracion (3) Dimension'!F274</f>
        <v>0</v>
      </c>
      <c r="HZ274" s="39" t="str">
        <f>'Por Valoracion (3) Dimension 2'!D274</f>
        <v>0</v>
      </c>
      <c r="IU274" s="47"/>
      <c r="IW274" t="str">
        <f>('Inteligencia emocional'!A275)</f>
        <v>0</v>
      </c>
      <c r="IX274" s="39" t="str">
        <f>'Por Valoracion (3) Dimension'!F274</f>
        <v>0</v>
      </c>
      <c r="IY274" s="39" t="str">
        <f>'Por Valoracion (3) Dimension 2'!F274</f>
        <v>0</v>
      </c>
      <c r="JT274" s="47"/>
      <c r="JV274" t="str">
        <f>('Inteligencia emocional'!A275)</f>
        <v>0</v>
      </c>
      <c r="JW274" s="39" t="str">
        <f>'Por Valoracion (3) Dimension'!F274</f>
        <v>0</v>
      </c>
      <c r="JX274" s="39" t="str">
        <f>'Por Valoracion (3) Dimension 2'!H274</f>
        <v>0</v>
      </c>
      <c r="KS274" s="47"/>
    </row>
    <row r="275" spans="1:305">
      <c r="A275" s="38"/>
      <c r="C275" t="str">
        <f>('Inteligencia emocional'!A276)</f>
        <v>0</v>
      </c>
      <c r="D275" s="39" t="str">
        <f>'Por Valoracion (3) Dimension'!B275</f>
        <v>0</v>
      </c>
      <c r="E275" s="39" t="str">
        <f>'Por Valoracion (3) Dimension 2'!B275</f>
        <v>0</v>
      </c>
      <c r="Z275" s="38"/>
      <c r="AB275" t="str">
        <f>('Inteligencia emocional'!A276)</f>
        <v>0</v>
      </c>
      <c r="AC275" s="39" t="str">
        <f>'Por Valoracion (3) Dimension'!B275</f>
        <v>0</v>
      </c>
      <c r="AD275" s="39" t="str">
        <f>'Por Valoracion (3) Dimension 2'!D275</f>
        <v>0</v>
      </c>
      <c r="AY275" s="38"/>
      <c r="BA275" t="str">
        <f>('Inteligencia emocional'!A276)</f>
        <v>0</v>
      </c>
      <c r="BB275" s="39" t="str">
        <f>'Por Valoracion (3) Dimension'!B275</f>
        <v>0</v>
      </c>
      <c r="BC275" s="39" t="str">
        <f>'Por Valoracion (3) Dimension 2'!F275</f>
        <v>0</v>
      </c>
      <c r="BX275" s="38"/>
      <c r="BZ275" t="str">
        <f>('Inteligencia emocional'!A276)</f>
        <v>0</v>
      </c>
      <c r="CA275" s="39" t="str">
        <f>'Por Valoracion (3) Dimension'!B275</f>
        <v>0</v>
      </c>
      <c r="CB275" s="39" t="str">
        <f>'Por Valoracion (3) Dimension 2'!H275</f>
        <v>0</v>
      </c>
      <c r="CW275" s="38"/>
      <c r="CY275" s="46"/>
      <c r="DA275" t="str">
        <f>('Inteligencia emocional'!A276)</f>
        <v>0</v>
      </c>
      <c r="DB275" s="39" t="str">
        <f>'Por Valoracion (3) Dimension'!D275</f>
        <v>0</v>
      </c>
      <c r="DC275" s="39" t="str">
        <f>'Por Valoracion (3) Dimension 2'!B275</f>
        <v>0</v>
      </c>
      <c r="DX275" s="46"/>
      <c r="DZ275" t="str">
        <f>('Inteligencia emocional'!A276)</f>
        <v>0</v>
      </c>
      <c r="EA275" s="39" t="str">
        <f>'Por Valoracion (3) Dimension'!D275</f>
        <v>0</v>
      </c>
      <c r="EB275" s="39" t="str">
        <f>'Por Valoracion (3) Dimension 2'!D275</f>
        <v>0</v>
      </c>
      <c r="EW275" s="46"/>
      <c r="EY275" t="str">
        <f>('Inteligencia emocional'!A276)</f>
        <v>0</v>
      </c>
      <c r="EZ275" s="39" t="str">
        <f>'Por Valoracion (3) Dimension'!D275</f>
        <v>0</v>
      </c>
      <c r="FA275" s="39" t="str">
        <f>'Por Valoracion (3) Dimension 2'!F275</f>
        <v>0</v>
      </c>
      <c r="FV275" s="46"/>
      <c r="FX275" t="str">
        <f>('Inteligencia emocional'!A276)</f>
        <v>0</v>
      </c>
      <c r="FY275" s="39" t="str">
        <f>'Por Valoracion (3) Dimension'!D275</f>
        <v>0</v>
      </c>
      <c r="FZ275" s="39" t="str">
        <f>'Por Valoracion (3) Dimension 2'!H275</f>
        <v>0</v>
      </c>
      <c r="GU275" s="46"/>
      <c r="GW275" s="47"/>
      <c r="GY275" t="str">
        <f>('Inteligencia emocional'!A276)</f>
        <v>0</v>
      </c>
      <c r="GZ275" s="39" t="str">
        <f>'Por Valoracion (3) Dimension'!F275</f>
        <v>0</v>
      </c>
      <c r="HA275" s="39" t="str">
        <f>'Por Valoracion (3) Dimension 2'!B275</f>
        <v>0</v>
      </c>
      <c r="HV275" s="47"/>
      <c r="HX275" t="str">
        <f>('Inteligencia emocional'!A276)</f>
        <v>0</v>
      </c>
      <c r="HY275" s="39" t="str">
        <f>'Por Valoracion (3) Dimension'!F275</f>
        <v>0</v>
      </c>
      <c r="HZ275" s="39" t="str">
        <f>'Por Valoracion (3) Dimension 2'!D275</f>
        <v>0</v>
      </c>
      <c r="IU275" s="47"/>
      <c r="IW275" t="str">
        <f>('Inteligencia emocional'!A276)</f>
        <v>0</v>
      </c>
      <c r="IX275" s="39" t="str">
        <f>'Por Valoracion (3) Dimension'!F275</f>
        <v>0</v>
      </c>
      <c r="IY275" s="39" t="str">
        <f>'Por Valoracion (3) Dimension 2'!F275</f>
        <v>0</v>
      </c>
      <c r="JT275" s="47"/>
      <c r="JV275" t="str">
        <f>('Inteligencia emocional'!A276)</f>
        <v>0</v>
      </c>
      <c r="JW275" s="39" t="str">
        <f>'Por Valoracion (3) Dimension'!F275</f>
        <v>0</v>
      </c>
      <c r="JX275" s="39" t="str">
        <f>'Por Valoracion (3) Dimension 2'!H275</f>
        <v>0</v>
      </c>
      <c r="KS275" s="47"/>
    </row>
    <row r="276" spans="1:305">
      <c r="A276" s="38"/>
      <c r="C276" t="str">
        <f>('Inteligencia emocional'!A277)</f>
        <v>0</v>
      </c>
      <c r="D276" s="39" t="str">
        <f>'Por Valoracion (3) Dimension'!B276</f>
        <v>0</v>
      </c>
      <c r="E276" s="39" t="str">
        <f>'Por Valoracion (3) Dimension 2'!B276</f>
        <v>0</v>
      </c>
      <c r="Z276" s="38"/>
      <c r="AB276" t="str">
        <f>('Inteligencia emocional'!A277)</f>
        <v>0</v>
      </c>
      <c r="AC276" s="39" t="str">
        <f>'Por Valoracion (3) Dimension'!B276</f>
        <v>0</v>
      </c>
      <c r="AD276" s="39" t="str">
        <f>'Por Valoracion (3) Dimension 2'!D276</f>
        <v>0</v>
      </c>
      <c r="AY276" s="38"/>
      <c r="BA276" t="str">
        <f>('Inteligencia emocional'!A277)</f>
        <v>0</v>
      </c>
      <c r="BB276" s="39" t="str">
        <f>'Por Valoracion (3) Dimension'!B276</f>
        <v>0</v>
      </c>
      <c r="BC276" s="39" t="str">
        <f>'Por Valoracion (3) Dimension 2'!F276</f>
        <v>0</v>
      </c>
      <c r="BX276" s="38"/>
      <c r="BZ276" t="str">
        <f>('Inteligencia emocional'!A277)</f>
        <v>0</v>
      </c>
      <c r="CA276" s="39" t="str">
        <f>'Por Valoracion (3) Dimension'!B276</f>
        <v>0</v>
      </c>
      <c r="CB276" s="39" t="str">
        <f>'Por Valoracion (3) Dimension 2'!H276</f>
        <v>0</v>
      </c>
      <c r="CW276" s="38"/>
      <c r="CY276" s="46"/>
      <c r="DA276" t="str">
        <f>('Inteligencia emocional'!A277)</f>
        <v>0</v>
      </c>
      <c r="DB276" s="39" t="str">
        <f>'Por Valoracion (3) Dimension'!D276</f>
        <v>0</v>
      </c>
      <c r="DC276" s="39" t="str">
        <f>'Por Valoracion (3) Dimension 2'!B276</f>
        <v>0</v>
      </c>
      <c r="DX276" s="46"/>
      <c r="DZ276" t="str">
        <f>('Inteligencia emocional'!A277)</f>
        <v>0</v>
      </c>
      <c r="EA276" s="39" t="str">
        <f>'Por Valoracion (3) Dimension'!D276</f>
        <v>0</v>
      </c>
      <c r="EB276" s="39" t="str">
        <f>'Por Valoracion (3) Dimension 2'!D276</f>
        <v>0</v>
      </c>
      <c r="EW276" s="46"/>
      <c r="EY276" t="str">
        <f>('Inteligencia emocional'!A277)</f>
        <v>0</v>
      </c>
      <c r="EZ276" s="39" t="str">
        <f>'Por Valoracion (3) Dimension'!D276</f>
        <v>0</v>
      </c>
      <c r="FA276" s="39" t="str">
        <f>'Por Valoracion (3) Dimension 2'!F276</f>
        <v>0</v>
      </c>
      <c r="FV276" s="46"/>
      <c r="FX276" t="str">
        <f>('Inteligencia emocional'!A277)</f>
        <v>0</v>
      </c>
      <c r="FY276" s="39" t="str">
        <f>'Por Valoracion (3) Dimension'!D276</f>
        <v>0</v>
      </c>
      <c r="FZ276" s="39" t="str">
        <f>'Por Valoracion (3) Dimension 2'!H276</f>
        <v>0</v>
      </c>
      <c r="GU276" s="46"/>
      <c r="GW276" s="47"/>
      <c r="GY276" t="str">
        <f>('Inteligencia emocional'!A277)</f>
        <v>0</v>
      </c>
      <c r="GZ276" s="39" t="str">
        <f>'Por Valoracion (3) Dimension'!F276</f>
        <v>0</v>
      </c>
      <c r="HA276" s="39" t="str">
        <f>'Por Valoracion (3) Dimension 2'!B276</f>
        <v>0</v>
      </c>
      <c r="HV276" s="47"/>
      <c r="HX276" t="str">
        <f>('Inteligencia emocional'!A277)</f>
        <v>0</v>
      </c>
      <c r="HY276" s="39" t="str">
        <f>'Por Valoracion (3) Dimension'!F276</f>
        <v>0</v>
      </c>
      <c r="HZ276" s="39" t="str">
        <f>'Por Valoracion (3) Dimension 2'!D276</f>
        <v>0</v>
      </c>
      <c r="IU276" s="47"/>
      <c r="IW276" t="str">
        <f>('Inteligencia emocional'!A277)</f>
        <v>0</v>
      </c>
      <c r="IX276" s="39" t="str">
        <f>'Por Valoracion (3) Dimension'!F276</f>
        <v>0</v>
      </c>
      <c r="IY276" s="39" t="str">
        <f>'Por Valoracion (3) Dimension 2'!F276</f>
        <v>0</v>
      </c>
      <c r="JT276" s="47"/>
      <c r="JV276" t="str">
        <f>('Inteligencia emocional'!A277)</f>
        <v>0</v>
      </c>
      <c r="JW276" s="39" t="str">
        <f>'Por Valoracion (3) Dimension'!F276</f>
        <v>0</v>
      </c>
      <c r="JX276" s="39" t="str">
        <f>'Por Valoracion (3) Dimension 2'!H276</f>
        <v>0</v>
      </c>
      <c r="KS276" s="47"/>
    </row>
    <row r="277" spans="1:305">
      <c r="A277" s="38"/>
      <c r="C277" t="str">
        <f>('Inteligencia emocional'!A278)</f>
        <v>0</v>
      </c>
      <c r="D277" s="39" t="str">
        <f>'Por Valoracion (3) Dimension'!B277</f>
        <v>0</v>
      </c>
      <c r="E277" s="39" t="str">
        <f>'Por Valoracion (3) Dimension 2'!B277</f>
        <v>0</v>
      </c>
      <c r="Z277" s="38"/>
      <c r="AB277" t="str">
        <f>('Inteligencia emocional'!A278)</f>
        <v>0</v>
      </c>
      <c r="AC277" s="39" t="str">
        <f>'Por Valoracion (3) Dimension'!B277</f>
        <v>0</v>
      </c>
      <c r="AD277" s="39" t="str">
        <f>'Por Valoracion (3) Dimension 2'!D277</f>
        <v>0</v>
      </c>
      <c r="AY277" s="38"/>
      <c r="BA277" t="str">
        <f>('Inteligencia emocional'!A278)</f>
        <v>0</v>
      </c>
      <c r="BB277" s="39" t="str">
        <f>'Por Valoracion (3) Dimension'!B277</f>
        <v>0</v>
      </c>
      <c r="BC277" s="39" t="str">
        <f>'Por Valoracion (3) Dimension 2'!F277</f>
        <v>0</v>
      </c>
      <c r="BX277" s="38"/>
      <c r="BZ277" t="str">
        <f>('Inteligencia emocional'!A278)</f>
        <v>0</v>
      </c>
      <c r="CA277" s="39" t="str">
        <f>'Por Valoracion (3) Dimension'!B277</f>
        <v>0</v>
      </c>
      <c r="CB277" s="39" t="str">
        <f>'Por Valoracion (3) Dimension 2'!H277</f>
        <v>0</v>
      </c>
      <c r="CW277" s="38"/>
      <c r="CY277" s="46"/>
      <c r="DA277" t="str">
        <f>('Inteligencia emocional'!A278)</f>
        <v>0</v>
      </c>
      <c r="DB277" s="39" t="str">
        <f>'Por Valoracion (3) Dimension'!D277</f>
        <v>0</v>
      </c>
      <c r="DC277" s="39" t="str">
        <f>'Por Valoracion (3) Dimension 2'!B277</f>
        <v>0</v>
      </c>
      <c r="DX277" s="46"/>
      <c r="DZ277" t="str">
        <f>('Inteligencia emocional'!A278)</f>
        <v>0</v>
      </c>
      <c r="EA277" s="39" t="str">
        <f>'Por Valoracion (3) Dimension'!D277</f>
        <v>0</v>
      </c>
      <c r="EB277" s="39" t="str">
        <f>'Por Valoracion (3) Dimension 2'!D277</f>
        <v>0</v>
      </c>
      <c r="EW277" s="46"/>
      <c r="EY277" t="str">
        <f>('Inteligencia emocional'!A278)</f>
        <v>0</v>
      </c>
      <c r="EZ277" s="39" t="str">
        <f>'Por Valoracion (3) Dimension'!D277</f>
        <v>0</v>
      </c>
      <c r="FA277" s="39" t="str">
        <f>'Por Valoracion (3) Dimension 2'!F277</f>
        <v>0</v>
      </c>
      <c r="FV277" s="46"/>
      <c r="FX277" t="str">
        <f>('Inteligencia emocional'!A278)</f>
        <v>0</v>
      </c>
      <c r="FY277" s="39" t="str">
        <f>'Por Valoracion (3) Dimension'!D277</f>
        <v>0</v>
      </c>
      <c r="FZ277" s="39" t="str">
        <f>'Por Valoracion (3) Dimension 2'!H277</f>
        <v>0</v>
      </c>
      <c r="GU277" s="46"/>
      <c r="GW277" s="47"/>
      <c r="GY277" t="str">
        <f>('Inteligencia emocional'!A278)</f>
        <v>0</v>
      </c>
      <c r="GZ277" s="39" t="str">
        <f>'Por Valoracion (3) Dimension'!F277</f>
        <v>0</v>
      </c>
      <c r="HA277" s="39" t="str">
        <f>'Por Valoracion (3) Dimension 2'!B277</f>
        <v>0</v>
      </c>
      <c r="HV277" s="47"/>
      <c r="HX277" t="str">
        <f>('Inteligencia emocional'!A278)</f>
        <v>0</v>
      </c>
      <c r="HY277" s="39" t="str">
        <f>'Por Valoracion (3) Dimension'!F277</f>
        <v>0</v>
      </c>
      <c r="HZ277" s="39" t="str">
        <f>'Por Valoracion (3) Dimension 2'!D277</f>
        <v>0</v>
      </c>
      <c r="IU277" s="47"/>
      <c r="IW277" t="str">
        <f>('Inteligencia emocional'!A278)</f>
        <v>0</v>
      </c>
      <c r="IX277" s="39" t="str">
        <f>'Por Valoracion (3) Dimension'!F277</f>
        <v>0</v>
      </c>
      <c r="IY277" s="39" t="str">
        <f>'Por Valoracion (3) Dimension 2'!F277</f>
        <v>0</v>
      </c>
      <c r="JT277" s="47"/>
      <c r="JV277" t="str">
        <f>('Inteligencia emocional'!A278)</f>
        <v>0</v>
      </c>
      <c r="JW277" s="39" t="str">
        <f>'Por Valoracion (3) Dimension'!F277</f>
        <v>0</v>
      </c>
      <c r="JX277" s="39" t="str">
        <f>'Por Valoracion (3) Dimension 2'!H277</f>
        <v>0</v>
      </c>
      <c r="KS277" s="47"/>
    </row>
    <row r="278" spans="1:305">
      <c r="A278" s="38"/>
      <c r="C278" t="str">
        <f>('Inteligencia emocional'!A279)</f>
        <v>0</v>
      </c>
      <c r="D278" s="39" t="str">
        <f>'Por Valoracion (3) Dimension'!B278</f>
        <v>0</v>
      </c>
      <c r="E278" s="39" t="str">
        <f>'Por Valoracion (3) Dimension 2'!B278</f>
        <v>0</v>
      </c>
      <c r="Z278" s="38"/>
      <c r="AB278" t="str">
        <f>('Inteligencia emocional'!A279)</f>
        <v>0</v>
      </c>
      <c r="AC278" s="39" t="str">
        <f>'Por Valoracion (3) Dimension'!B278</f>
        <v>0</v>
      </c>
      <c r="AD278" s="39" t="str">
        <f>'Por Valoracion (3) Dimension 2'!D278</f>
        <v>0</v>
      </c>
      <c r="AY278" s="38"/>
      <c r="BA278" t="str">
        <f>('Inteligencia emocional'!A279)</f>
        <v>0</v>
      </c>
      <c r="BB278" s="39" t="str">
        <f>'Por Valoracion (3) Dimension'!B278</f>
        <v>0</v>
      </c>
      <c r="BC278" s="39" t="str">
        <f>'Por Valoracion (3) Dimension 2'!F278</f>
        <v>0</v>
      </c>
      <c r="BX278" s="38"/>
      <c r="BZ278" t="str">
        <f>('Inteligencia emocional'!A279)</f>
        <v>0</v>
      </c>
      <c r="CA278" s="39" t="str">
        <f>'Por Valoracion (3) Dimension'!B278</f>
        <v>0</v>
      </c>
      <c r="CB278" s="39" t="str">
        <f>'Por Valoracion (3) Dimension 2'!H278</f>
        <v>0</v>
      </c>
      <c r="CW278" s="38"/>
      <c r="CY278" s="46"/>
      <c r="DA278" t="str">
        <f>('Inteligencia emocional'!A279)</f>
        <v>0</v>
      </c>
      <c r="DB278" s="39" t="str">
        <f>'Por Valoracion (3) Dimension'!D278</f>
        <v>0</v>
      </c>
      <c r="DC278" s="39" t="str">
        <f>'Por Valoracion (3) Dimension 2'!B278</f>
        <v>0</v>
      </c>
      <c r="DX278" s="46"/>
      <c r="DZ278" t="str">
        <f>('Inteligencia emocional'!A279)</f>
        <v>0</v>
      </c>
      <c r="EA278" s="39" t="str">
        <f>'Por Valoracion (3) Dimension'!D278</f>
        <v>0</v>
      </c>
      <c r="EB278" s="39" t="str">
        <f>'Por Valoracion (3) Dimension 2'!D278</f>
        <v>0</v>
      </c>
      <c r="EW278" s="46"/>
      <c r="EY278" t="str">
        <f>('Inteligencia emocional'!A279)</f>
        <v>0</v>
      </c>
      <c r="EZ278" s="39" t="str">
        <f>'Por Valoracion (3) Dimension'!D278</f>
        <v>0</v>
      </c>
      <c r="FA278" s="39" t="str">
        <f>'Por Valoracion (3) Dimension 2'!F278</f>
        <v>0</v>
      </c>
      <c r="FV278" s="46"/>
      <c r="FX278" t="str">
        <f>('Inteligencia emocional'!A279)</f>
        <v>0</v>
      </c>
      <c r="FY278" s="39" t="str">
        <f>'Por Valoracion (3) Dimension'!D278</f>
        <v>0</v>
      </c>
      <c r="FZ278" s="39" t="str">
        <f>'Por Valoracion (3) Dimension 2'!H278</f>
        <v>0</v>
      </c>
      <c r="GU278" s="46"/>
      <c r="GW278" s="47"/>
      <c r="GY278" t="str">
        <f>('Inteligencia emocional'!A279)</f>
        <v>0</v>
      </c>
      <c r="GZ278" s="39" t="str">
        <f>'Por Valoracion (3) Dimension'!F278</f>
        <v>0</v>
      </c>
      <c r="HA278" s="39" t="str">
        <f>'Por Valoracion (3) Dimension 2'!B278</f>
        <v>0</v>
      </c>
      <c r="HV278" s="47"/>
      <c r="HX278" t="str">
        <f>('Inteligencia emocional'!A279)</f>
        <v>0</v>
      </c>
      <c r="HY278" s="39" t="str">
        <f>'Por Valoracion (3) Dimension'!F278</f>
        <v>0</v>
      </c>
      <c r="HZ278" s="39" t="str">
        <f>'Por Valoracion (3) Dimension 2'!D278</f>
        <v>0</v>
      </c>
      <c r="IU278" s="47"/>
      <c r="IW278" t="str">
        <f>('Inteligencia emocional'!A279)</f>
        <v>0</v>
      </c>
      <c r="IX278" s="39" t="str">
        <f>'Por Valoracion (3) Dimension'!F278</f>
        <v>0</v>
      </c>
      <c r="IY278" s="39" t="str">
        <f>'Por Valoracion (3) Dimension 2'!F278</f>
        <v>0</v>
      </c>
      <c r="JT278" s="47"/>
      <c r="JV278" t="str">
        <f>('Inteligencia emocional'!A279)</f>
        <v>0</v>
      </c>
      <c r="JW278" s="39" t="str">
        <f>'Por Valoracion (3) Dimension'!F278</f>
        <v>0</v>
      </c>
      <c r="JX278" s="39" t="str">
        <f>'Por Valoracion (3) Dimension 2'!H278</f>
        <v>0</v>
      </c>
      <c r="KS278" s="47"/>
    </row>
    <row r="279" spans="1:305">
      <c r="A279" s="38"/>
      <c r="C279" t="str">
        <f>('Inteligencia emocional'!A280)</f>
        <v>0</v>
      </c>
      <c r="D279" s="39" t="str">
        <f>'Por Valoracion (3) Dimension'!B279</f>
        <v>0</v>
      </c>
      <c r="E279" s="39" t="str">
        <f>'Por Valoracion (3) Dimension 2'!B279</f>
        <v>0</v>
      </c>
      <c r="Z279" s="38"/>
      <c r="AB279" t="str">
        <f>('Inteligencia emocional'!A280)</f>
        <v>0</v>
      </c>
      <c r="AC279" s="39" t="str">
        <f>'Por Valoracion (3) Dimension'!B279</f>
        <v>0</v>
      </c>
      <c r="AD279" s="39" t="str">
        <f>'Por Valoracion (3) Dimension 2'!D279</f>
        <v>0</v>
      </c>
      <c r="AY279" s="38"/>
      <c r="BA279" t="str">
        <f>('Inteligencia emocional'!A280)</f>
        <v>0</v>
      </c>
      <c r="BB279" s="39" t="str">
        <f>'Por Valoracion (3) Dimension'!B279</f>
        <v>0</v>
      </c>
      <c r="BC279" s="39" t="str">
        <f>'Por Valoracion (3) Dimension 2'!F279</f>
        <v>0</v>
      </c>
      <c r="BX279" s="38"/>
      <c r="BZ279" t="str">
        <f>('Inteligencia emocional'!A280)</f>
        <v>0</v>
      </c>
      <c r="CA279" s="39" t="str">
        <f>'Por Valoracion (3) Dimension'!B279</f>
        <v>0</v>
      </c>
      <c r="CB279" s="39" t="str">
        <f>'Por Valoracion (3) Dimension 2'!H279</f>
        <v>0</v>
      </c>
      <c r="CW279" s="38"/>
      <c r="CY279" s="46"/>
      <c r="DA279" t="str">
        <f>('Inteligencia emocional'!A280)</f>
        <v>0</v>
      </c>
      <c r="DB279" s="39" t="str">
        <f>'Por Valoracion (3) Dimension'!D279</f>
        <v>0</v>
      </c>
      <c r="DC279" s="39" t="str">
        <f>'Por Valoracion (3) Dimension 2'!B279</f>
        <v>0</v>
      </c>
      <c r="DX279" s="46"/>
      <c r="DZ279" t="str">
        <f>('Inteligencia emocional'!A280)</f>
        <v>0</v>
      </c>
      <c r="EA279" s="39" t="str">
        <f>'Por Valoracion (3) Dimension'!D279</f>
        <v>0</v>
      </c>
      <c r="EB279" s="39" t="str">
        <f>'Por Valoracion (3) Dimension 2'!D279</f>
        <v>0</v>
      </c>
      <c r="EW279" s="46"/>
      <c r="EY279" t="str">
        <f>('Inteligencia emocional'!A280)</f>
        <v>0</v>
      </c>
      <c r="EZ279" s="39" t="str">
        <f>'Por Valoracion (3) Dimension'!D279</f>
        <v>0</v>
      </c>
      <c r="FA279" s="39" t="str">
        <f>'Por Valoracion (3) Dimension 2'!F279</f>
        <v>0</v>
      </c>
      <c r="FV279" s="46"/>
      <c r="FX279" t="str">
        <f>('Inteligencia emocional'!A280)</f>
        <v>0</v>
      </c>
      <c r="FY279" s="39" t="str">
        <f>'Por Valoracion (3) Dimension'!D279</f>
        <v>0</v>
      </c>
      <c r="FZ279" s="39" t="str">
        <f>'Por Valoracion (3) Dimension 2'!H279</f>
        <v>0</v>
      </c>
      <c r="GU279" s="46"/>
      <c r="GW279" s="47"/>
      <c r="GY279" t="str">
        <f>('Inteligencia emocional'!A280)</f>
        <v>0</v>
      </c>
      <c r="GZ279" s="39" t="str">
        <f>'Por Valoracion (3) Dimension'!F279</f>
        <v>0</v>
      </c>
      <c r="HA279" s="39" t="str">
        <f>'Por Valoracion (3) Dimension 2'!B279</f>
        <v>0</v>
      </c>
      <c r="HV279" s="47"/>
      <c r="HX279" t="str">
        <f>('Inteligencia emocional'!A280)</f>
        <v>0</v>
      </c>
      <c r="HY279" s="39" t="str">
        <f>'Por Valoracion (3) Dimension'!F279</f>
        <v>0</v>
      </c>
      <c r="HZ279" s="39" t="str">
        <f>'Por Valoracion (3) Dimension 2'!D279</f>
        <v>0</v>
      </c>
      <c r="IU279" s="47"/>
      <c r="IW279" t="str">
        <f>('Inteligencia emocional'!A280)</f>
        <v>0</v>
      </c>
      <c r="IX279" s="39" t="str">
        <f>'Por Valoracion (3) Dimension'!F279</f>
        <v>0</v>
      </c>
      <c r="IY279" s="39" t="str">
        <f>'Por Valoracion (3) Dimension 2'!F279</f>
        <v>0</v>
      </c>
      <c r="JT279" s="47"/>
      <c r="JV279" t="str">
        <f>('Inteligencia emocional'!A280)</f>
        <v>0</v>
      </c>
      <c r="JW279" s="39" t="str">
        <f>'Por Valoracion (3) Dimension'!F279</f>
        <v>0</v>
      </c>
      <c r="JX279" s="39" t="str">
        <f>'Por Valoracion (3) Dimension 2'!H279</f>
        <v>0</v>
      </c>
      <c r="KS279" s="47"/>
    </row>
    <row r="280" spans="1:305">
      <c r="A280" s="38"/>
      <c r="C280" t="str">
        <f>('Inteligencia emocional'!A281)</f>
        <v>0</v>
      </c>
      <c r="D280" s="39" t="str">
        <f>'Por Valoracion (3) Dimension'!B280</f>
        <v>0</v>
      </c>
      <c r="E280" s="39" t="str">
        <f>'Por Valoracion (3) Dimension 2'!B280</f>
        <v>0</v>
      </c>
      <c r="Z280" s="38"/>
      <c r="AB280" t="str">
        <f>('Inteligencia emocional'!A281)</f>
        <v>0</v>
      </c>
      <c r="AC280" s="39" t="str">
        <f>'Por Valoracion (3) Dimension'!B280</f>
        <v>0</v>
      </c>
      <c r="AD280" s="39" t="str">
        <f>'Por Valoracion (3) Dimension 2'!D280</f>
        <v>0</v>
      </c>
      <c r="AY280" s="38"/>
      <c r="BA280" t="str">
        <f>('Inteligencia emocional'!A281)</f>
        <v>0</v>
      </c>
      <c r="BB280" s="39" t="str">
        <f>'Por Valoracion (3) Dimension'!B280</f>
        <v>0</v>
      </c>
      <c r="BC280" s="39" t="str">
        <f>'Por Valoracion (3) Dimension 2'!F280</f>
        <v>0</v>
      </c>
      <c r="BX280" s="38"/>
      <c r="BZ280" t="str">
        <f>('Inteligencia emocional'!A281)</f>
        <v>0</v>
      </c>
      <c r="CA280" s="39" t="str">
        <f>'Por Valoracion (3) Dimension'!B280</f>
        <v>0</v>
      </c>
      <c r="CB280" s="39" t="str">
        <f>'Por Valoracion (3) Dimension 2'!H280</f>
        <v>0</v>
      </c>
      <c r="CW280" s="38"/>
      <c r="CY280" s="46"/>
      <c r="DA280" t="str">
        <f>('Inteligencia emocional'!A281)</f>
        <v>0</v>
      </c>
      <c r="DB280" s="39" t="str">
        <f>'Por Valoracion (3) Dimension'!D280</f>
        <v>0</v>
      </c>
      <c r="DC280" s="39" t="str">
        <f>'Por Valoracion (3) Dimension 2'!B280</f>
        <v>0</v>
      </c>
      <c r="DX280" s="46"/>
      <c r="DZ280" t="str">
        <f>('Inteligencia emocional'!A281)</f>
        <v>0</v>
      </c>
      <c r="EA280" s="39" t="str">
        <f>'Por Valoracion (3) Dimension'!D280</f>
        <v>0</v>
      </c>
      <c r="EB280" s="39" t="str">
        <f>'Por Valoracion (3) Dimension 2'!D280</f>
        <v>0</v>
      </c>
      <c r="EW280" s="46"/>
      <c r="EY280" t="str">
        <f>('Inteligencia emocional'!A281)</f>
        <v>0</v>
      </c>
      <c r="EZ280" s="39" t="str">
        <f>'Por Valoracion (3) Dimension'!D280</f>
        <v>0</v>
      </c>
      <c r="FA280" s="39" t="str">
        <f>'Por Valoracion (3) Dimension 2'!F280</f>
        <v>0</v>
      </c>
      <c r="FV280" s="46"/>
      <c r="FX280" t="str">
        <f>('Inteligencia emocional'!A281)</f>
        <v>0</v>
      </c>
      <c r="FY280" s="39" t="str">
        <f>'Por Valoracion (3) Dimension'!D280</f>
        <v>0</v>
      </c>
      <c r="FZ280" s="39" t="str">
        <f>'Por Valoracion (3) Dimension 2'!H280</f>
        <v>0</v>
      </c>
      <c r="GU280" s="46"/>
      <c r="GW280" s="47"/>
      <c r="GY280" t="str">
        <f>('Inteligencia emocional'!A281)</f>
        <v>0</v>
      </c>
      <c r="GZ280" s="39" t="str">
        <f>'Por Valoracion (3) Dimension'!F280</f>
        <v>0</v>
      </c>
      <c r="HA280" s="39" t="str">
        <f>'Por Valoracion (3) Dimension 2'!B280</f>
        <v>0</v>
      </c>
      <c r="HV280" s="47"/>
      <c r="HX280" t="str">
        <f>('Inteligencia emocional'!A281)</f>
        <v>0</v>
      </c>
      <c r="HY280" s="39" t="str">
        <f>'Por Valoracion (3) Dimension'!F280</f>
        <v>0</v>
      </c>
      <c r="HZ280" s="39" t="str">
        <f>'Por Valoracion (3) Dimension 2'!D280</f>
        <v>0</v>
      </c>
      <c r="IU280" s="47"/>
      <c r="IW280" t="str">
        <f>('Inteligencia emocional'!A281)</f>
        <v>0</v>
      </c>
      <c r="IX280" s="39" t="str">
        <f>'Por Valoracion (3) Dimension'!F280</f>
        <v>0</v>
      </c>
      <c r="IY280" s="39" t="str">
        <f>'Por Valoracion (3) Dimension 2'!F280</f>
        <v>0</v>
      </c>
      <c r="JT280" s="47"/>
      <c r="JV280" t="str">
        <f>('Inteligencia emocional'!A281)</f>
        <v>0</v>
      </c>
      <c r="JW280" s="39" t="str">
        <f>'Por Valoracion (3) Dimension'!F280</f>
        <v>0</v>
      </c>
      <c r="JX280" s="39" t="str">
        <f>'Por Valoracion (3) Dimension 2'!H280</f>
        <v>0</v>
      </c>
      <c r="KS280" s="47"/>
    </row>
    <row r="281" spans="1:305">
      <c r="A281" s="38"/>
      <c r="C281" t="str">
        <f>('Inteligencia emocional'!A282)</f>
        <v>0</v>
      </c>
      <c r="D281" s="39" t="str">
        <f>'Por Valoracion (3) Dimension'!B281</f>
        <v>0</v>
      </c>
      <c r="E281" s="39" t="str">
        <f>'Por Valoracion (3) Dimension 2'!B281</f>
        <v>0</v>
      </c>
      <c r="Z281" s="38"/>
      <c r="AB281" t="str">
        <f>('Inteligencia emocional'!A282)</f>
        <v>0</v>
      </c>
      <c r="AC281" s="39" t="str">
        <f>'Por Valoracion (3) Dimension'!B281</f>
        <v>0</v>
      </c>
      <c r="AD281" s="39" t="str">
        <f>'Por Valoracion (3) Dimension 2'!D281</f>
        <v>0</v>
      </c>
      <c r="AY281" s="38"/>
      <c r="BA281" t="str">
        <f>('Inteligencia emocional'!A282)</f>
        <v>0</v>
      </c>
      <c r="BB281" s="39" t="str">
        <f>'Por Valoracion (3) Dimension'!B281</f>
        <v>0</v>
      </c>
      <c r="BC281" s="39" t="str">
        <f>'Por Valoracion (3) Dimension 2'!F281</f>
        <v>0</v>
      </c>
      <c r="BX281" s="38"/>
      <c r="BZ281" t="str">
        <f>('Inteligencia emocional'!A282)</f>
        <v>0</v>
      </c>
      <c r="CA281" s="39" t="str">
        <f>'Por Valoracion (3) Dimension'!B281</f>
        <v>0</v>
      </c>
      <c r="CB281" s="39" t="str">
        <f>'Por Valoracion (3) Dimension 2'!H281</f>
        <v>0</v>
      </c>
      <c r="CW281" s="38"/>
      <c r="CY281" s="46"/>
      <c r="DA281" t="str">
        <f>('Inteligencia emocional'!A282)</f>
        <v>0</v>
      </c>
      <c r="DB281" s="39" t="str">
        <f>'Por Valoracion (3) Dimension'!D281</f>
        <v>0</v>
      </c>
      <c r="DC281" s="39" t="str">
        <f>'Por Valoracion (3) Dimension 2'!B281</f>
        <v>0</v>
      </c>
      <c r="DX281" s="46"/>
      <c r="DZ281" t="str">
        <f>('Inteligencia emocional'!A282)</f>
        <v>0</v>
      </c>
      <c r="EA281" s="39" t="str">
        <f>'Por Valoracion (3) Dimension'!D281</f>
        <v>0</v>
      </c>
      <c r="EB281" s="39" t="str">
        <f>'Por Valoracion (3) Dimension 2'!D281</f>
        <v>0</v>
      </c>
      <c r="EW281" s="46"/>
      <c r="EY281" t="str">
        <f>('Inteligencia emocional'!A282)</f>
        <v>0</v>
      </c>
      <c r="EZ281" s="39" t="str">
        <f>'Por Valoracion (3) Dimension'!D281</f>
        <v>0</v>
      </c>
      <c r="FA281" s="39" t="str">
        <f>'Por Valoracion (3) Dimension 2'!F281</f>
        <v>0</v>
      </c>
      <c r="FV281" s="46"/>
      <c r="FX281" t="str">
        <f>('Inteligencia emocional'!A282)</f>
        <v>0</v>
      </c>
      <c r="FY281" s="39" t="str">
        <f>'Por Valoracion (3) Dimension'!D281</f>
        <v>0</v>
      </c>
      <c r="FZ281" s="39" t="str">
        <f>'Por Valoracion (3) Dimension 2'!H281</f>
        <v>0</v>
      </c>
      <c r="GU281" s="46"/>
      <c r="GW281" s="47"/>
      <c r="GY281" t="str">
        <f>('Inteligencia emocional'!A282)</f>
        <v>0</v>
      </c>
      <c r="GZ281" s="39" t="str">
        <f>'Por Valoracion (3) Dimension'!F281</f>
        <v>0</v>
      </c>
      <c r="HA281" s="39" t="str">
        <f>'Por Valoracion (3) Dimension 2'!B281</f>
        <v>0</v>
      </c>
      <c r="HV281" s="47"/>
      <c r="HX281" t="str">
        <f>('Inteligencia emocional'!A282)</f>
        <v>0</v>
      </c>
      <c r="HY281" s="39" t="str">
        <f>'Por Valoracion (3) Dimension'!F281</f>
        <v>0</v>
      </c>
      <c r="HZ281" s="39" t="str">
        <f>'Por Valoracion (3) Dimension 2'!D281</f>
        <v>0</v>
      </c>
      <c r="IU281" s="47"/>
      <c r="IW281" t="str">
        <f>('Inteligencia emocional'!A282)</f>
        <v>0</v>
      </c>
      <c r="IX281" s="39" t="str">
        <f>'Por Valoracion (3) Dimension'!F281</f>
        <v>0</v>
      </c>
      <c r="IY281" s="39" t="str">
        <f>'Por Valoracion (3) Dimension 2'!F281</f>
        <v>0</v>
      </c>
      <c r="JT281" s="47"/>
      <c r="JV281" t="str">
        <f>('Inteligencia emocional'!A282)</f>
        <v>0</v>
      </c>
      <c r="JW281" s="39" t="str">
        <f>'Por Valoracion (3) Dimension'!F281</f>
        <v>0</v>
      </c>
      <c r="JX281" s="39" t="str">
        <f>'Por Valoracion (3) Dimension 2'!H281</f>
        <v>0</v>
      </c>
      <c r="KS281" s="47"/>
    </row>
    <row r="282" spans="1:305">
      <c r="A282" s="38"/>
      <c r="C282" t="str">
        <f>('Inteligencia emocional'!A283)</f>
        <v>0</v>
      </c>
      <c r="D282" s="39" t="str">
        <f>'Por Valoracion (3) Dimension'!B282</f>
        <v>0</v>
      </c>
      <c r="E282" s="39" t="str">
        <f>'Por Valoracion (3) Dimension 2'!B282</f>
        <v>0</v>
      </c>
      <c r="Z282" s="38"/>
      <c r="AB282" t="str">
        <f>('Inteligencia emocional'!A283)</f>
        <v>0</v>
      </c>
      <c r="AC282" s="39" t="str">
        <f>'Por Valoracion (3) Dimension'!B282</f>
        <v>0</v>
      </c>
      <c r="AD282" s="39" t="str">
        <f>'Por Valoracion (3) Dimension 2'!D282</f>
        <v>0</v>
      </c>
      <c r="AY282" s="38"/>
      <c r="BA282" t="str">
        <f>('Inteligencia emocional'!A283)</f>
        <v>0</v>
      </c>
      <c r="BB282" s="39" t="str">
        <f>'Por Valoracion (3) Dimension'!B282</f>
        <v>0</v>
      </c>
      <c r="BC282" s="39" t="str">
        <f>'Por Valoracion (3) Dimension 2'!F282</f>
        <v>0</v>
      </c>
      <c r="BX282" s="38"/>
      <c r="BZ282" t="str">
        <f>('Inteligencia emocional'!A283)</f>
        <v>0</v>
      </c>
      <c r="CA282" s="39" t="str">
        <f>'Por Valoracion (3) Dimension'!B282</f>
        <v>0</v>
      </c>
      <c r="CB282" s="39" t="str">
        <f>'Por Valoracion (3) Dimension 2'!H282</f>
        <v>0</v>
      </c>
      <c r="CW282" s="38"/>
      <c r="CY282" s="46"/>
      <c r="DA282" t="str">
        <f>('Inteligencia emocional'!A283)</f>
        <v>0</v>
      </c>
      <c r="DB282" s="39" t="str">
        <f>'Por Valoracion (3) Dimension'!D282</f>
        <v>0</v>
      </c>
      <c r="DC282" s="39" t="str">
        <f>'Por Valoracion (3) Dimension 2'!B282</f>
        <v>0</v>
      </c>
      <c r="DX282" s="46"/>
      <c r="DZ282" t="str">
        <f>('Inteligencia emocional'!A283)</f>
        <v>0</v>
      </c>
      <c r="EA282" s="39" t="str">
        <f>'Por Valoracion (3) Dimension'!D282</f>
        <v>0</v>
      </c>
      <c r="EB282" s="39" t="str">
        <f>'Por Valoracion (3) Dimension 2'!D282</f>
        <v>0</v>
      </c>
      <c r="EW282" s="46"/>
      <c r="EY282" t="str">
        <f>('Inteligencia emocional'!A283)</f>
        <v>0</v>
      </c>
      <c r="EZ282" s="39" t="str">
        <f>'Por Valoracion (3) Dimension'!D282</f>
        <v>0</v>
      </c>
      <c r="FA282" s="39" t="str">
        <f>'Por Valoracion (3) Dimension 2'!F282</f>
        <v>0</v>
      </c>
      <c r="FV282" s="46"/>
      <c r="FX282" t="str">
        <f>('Inteligencia emocional'!A283)</f>
        <v>0</v>
      </c>
      <c r="FY282" s="39" t="str">
        <f>'Por Valoracion (3) Dimension'!D282</f>
        <v>0</v>
      </c>
      <c r="FZ282" s="39" t="str">
        <f>'Por Valoracion (3) Dimension 2'!H282</f>
        <v>0</v>
      </c>
      <c r="GU282" s="46"/>
      <c r="GW282" s="47"/>
      <c r="GY282" t="str">
        <f>('Inteligencia emocional'!A283)</f>
        <v>0</v>
      </c>
      <c r="GZ282" s="39" t="str">
        <f>'Por Valoracion (3) Dimension'!F282</f>
        <v>0</v>
      </c>
      <c r="HA282" s="39" t="str">
        <f>'Por Valoracion (3) Dimension 2'!B282</f>
        <v>0</v>
      </c>
      <c r="HV282" s="47"/>
      <c r="HX282" t="str">
        <f>('Inteligencia emocional'!A283)</f>
        <v>0</v>
      </c>
      <c r="HY282" s="39" t="str">
        <f>'Por Valoracion (3) Dimension'!F282</f>
        <v>0</v>
      </c>
      <c r="HZ282" s="39" t="str">
        <f>'Por Valoracion (3) Dimension 2'!D282</f>
        <v>0</v>
      </c>
      <c r="IU282" s="47"/>
      <c r="IW282" t="str">
        <f>('Inteligencia emocional'!A283)</f>
        <v>0</v>
      </c>
      <c r="IX282" s="39" t="str">
        <f>'Por Valoracion (3) Dimension'!F282</f>
        <v>0</v>
      </c>
      <c r="IY282" s="39" t="str">
        <f>'Por Valoracion (3) Dimension 2'!F282</f>
        <v>0</v>
      </c>
      <c r="JT282" s="47"/>
      <c r="JV282" t="str">
        <f>('Inteligencia emocional'!A283)</f>
        <v>0</v>
      </c>
      <c r="JW282" s="39" t="str">
        <f>'Por Valoracion (3) Dimension'!F282</f>
        <v>0</v>
      </c>
      <c r="JX282" s="39" t="str">
        <f>'Por Valoracion (3) Dimension 2'!H282</f>
        <v>0</v>
      </c>
      <c r="KS282" s="47"/>
    </row>
    <row r="283" spans="1:305">
      <c r="A283" s="38"/>
      <c r="C283" t="str">
        <f>('Inteligencia emocional'!A284)</f>
        <v>0</v>
      </c>
      <c r="D283" s="39" t="str">
        <f>'Por Valoracion (3) Dimension'!B283</f>
        <v>0</v>
      </c>
      <c r="E283" s="39" t="str">
        <f>'Por Valoracion (3) Dimension 2'!B283</f>
        <v>0</v>
      </c>
      <c r="Z283" s="38"/>
      <c r="AB283" t="str">
        <f>('Inteligencia emocional'!A284)</f>
        <v>0</v>
      </c>
      <c r="AC283" s="39" t="str">
        <f>'Por Valoracion (3) Dimension'!B283</f>
        <v>0</v>
      </c>
      <c r="AD283" s="39" t="str">
        <f>'Por Valoracion (3) Dimension 2'!D283</f>
        <v>0</v>
      </c>
      <c r="AY283" s="38"/>
      <c r="BA283" t="str">
        <f>('Inteligencia emocional'!A284)</f>
        <v>0</v>
      </c>
      <c r="BB283" s="39" t="str">
        <f>'Por Valoracion (3) Dimension'!B283</f>
        <v>0</v>
      </c>
      <c r="BC283" s="39" t="str">
        <f>'Por Valoracion (3) Dimension 2'!F283</f>
        <v>0</v>
      </c>
      <c r="BX283" s="38"/>
      <c r="BZ283" t="str">
        <f>('Inteligencia emocional'!A284)</f>
        <v>0</v>
      </c>
      <c r="CA283" s="39" t="str">
        <f>'Por Valoracion (3) Dimension'!B283</f>
        <v>0</v>
      </c>
      <c r="CB283" s="39" t="str">
        <f>'Por Valoracion (3) Dimension 2'!H283</f>
        <v>0</v>
      </c>
      <c r="CW283" s="38"/>
      <c r="CY283" s="46"/>
      <c r="DA283" t="str">
        <f>('Inteligencia emocional'!A284)</f>
        <v>0</v>
      </c>
      <c r="DB283" s="39" t="str">
        <f>'Por Valoracion (3) Dimension'!D283</f>
        <v>0</v>
      </c>
      <c r="DC283" s="39" t="str">
        <f>'Por Valoracion (3) Dimension 2'!B283</f>
        <v>0</v>
      </c>
      <c r="DX283" s="46"/>
      <c r="DZ283" t="str">
        <f>('Inteligencia emocional'!A284)</f>
        <v>0</v>
      </c>
      <c r="EA283" s="39" t="str">
        <f>'Por Valoracion (3) Dimension'!D283</f>
        <v>0</v>
      </c>
      <c r="EB283" s="39" t="str">
        <f>'Por Valoracion (3) Dimension 2'!D283</f>
        <v>0</v>
      </c>
      <c r="EW283" s="46"/>
      <c r="EY283" t="str">
        <f>('Inteligencia emocional'!A284)</f>
        <v>0</v>
      </c>
      <c r="EZ283" s="39" t="str">
        <f>'Por Valoracion (3) Dimension'!D283</f>
        <v>0</v>
      </c>
      <c r="FA283" s="39" t="str">
        <f>'Por Valoracion (3) Dimension 2'!F283</f>
        <v>0</v>
      </c>
      <c r="FV283" s="46"/>
      <c r="FX283" t="str">
        <f>('Inteligencia emocional'!A284)</f>
        <v>0</v>
      </c>
      <c r="FY283" s="39" t="str">
        <f>'Por Valoracion (3) Dimension'!D283</f>
        <v>0</v>
      </c>
      <c r="FZ283" s="39" t="str">
        <f>'Por Valoracion (3) Dimension 2'!H283</f>
        <v>0</v>
      </c>
      <c r="GU283" s="46"/>
      <c r="GW283" s="47"/>
      <c r="GY283" t="str">
        <f>('Inteligencia emocional'!A284)</f>
        <v>0</v>
      </c>
      <c r="GZ283" s="39" t="str">
        <f>'Por Valoracion (3) Dimension'!F283</f>
        <v>0</v>
      </c>
      <c r="HA283" s="39" t="str">
        <f>'Por Valoracion (3) Dimension 2'!B283</f>
        <v>0</v>
      </c>
      <c r="HV283" s="47"/>
      <c r="HX283" t="str">
        <f>('Inteligencia emocional'!A284)</f>
        <v>0</v>
      </c>
      <c r="HY283" s="39" t="str">
        <f>'Por Valoracion (3) Dimension'!F283</f>
        <v>0</v>
      </c>
      <c r="HZ283" s="39" t="str">
        <f>'Por Valoracion (3) Dimension 2'!D283</f>
        <v>0</v>
      </c>
      <c r="IU283" s="47"/>
      <c r="IW283" t="str">
        <f>('Inteligencia emocional'!A284)</f>
        <v>0</v>
      </c>
      <c r="IX283" s="39" t="str">
        <f>'Por Valoracion (3) Dimension'!F283</f>
        <v>0</v>
      </c>
      <c r="IY283" s="39" t="str">
        <f>'Por Valoracion (3) Dimension 2'!F283</f>
        <v>0</v>
      </c>
      <c r="JT283" s="47"/>
      <c r="JV283" t="str">
        <f>('Inteligencia emocional'!A284)</f>
        <v>0</v>
      </c>
      <c r="JW283" s="39" t="str">
        <f>'Por Valoracion (3) Dimension'!F283</f>
        <v>0</v>
      </c>
      <c r="JX283" s="39" t="str">
        <f>'Por Valoracion (3) Dimension 2'!H283</f>
        <v>0</v>
      </c>
      <c r="KS283" s="47"/>
    </row>
    <row r="284" spans="1:305">
      <c r="A284" s="38"/>
      <c r="C284" t="str">
        <f>('Inteligencia emocional'!A285)</f>
        <v>0</v>
      </c>
      <c r="D284" s="39" t="str">
        <f>'Por Valoracion (3) Dimension'!B284</f>
        <v>0</v>
      </c>
      <c r="E284" s="39" t="str">
        <f>'Por Valoracion (3) Dimension 2'!B284</f>
        <v>0</v>
      </c>
      <c r="Z284" s="38"/>
      <c r="AB284" t="str">
        <f>('Inteligencia emocional'!A285)</f>
        <v>0</v>
      </c>
      <c r="AC284" s="39" t="str">
        <f>'Por Valoracion (3) Dimension'!B284</f>
        <v>0</v>
      </c>
      <c r="AD284" s="39" t="str">
        <f>'Por Valoracion (3) Dimension 2'!D284</f>
        <v>0</v>
      </c>
      <c r="AY284" s="38"/>
      <c r="BA284" t="str">
        <f>('Inteligencia emocional'!A285)</f>
        <v>0</v>
      </c>
      <c r="BB284" s="39" t="str">
        <f>'Por Valoracion (3) Dimension'!B284</f>
        <v>0</v>
      </c>
      <c r="BC284" s="39" t="str">
        <f>'Por Valoracion (3) Dimension 2'!F284</f>
        <v>0</v>
      </c>
      <c r="BX284" s="38"/>
      <c r="BZ284" t="str">
        <f>('Inteligencia emocional'!A285)</f>
        <v>0</v>
      </c>
      <c r="CA284" s="39" t="str">
        <f>'Por Valoracion (3) Dimension'!B284</f>
        <v>0</v>
      </c>
      <c r="CB284" s="39" t="str">
        <f>'Por Valoracion (3) Dimension 2'!H284</f>
        <v>0</v>
      </c>
      <c r="CW284" s="38"/>
      <c r="CY284" s="46"/>
      <c r="DA284" t="str">
        <f>('Inteligencia emocional'!A285)</f>
        <v>0</v>
      </c>
      <c r="DB284" s="39" t="str">
        <f>'Por Valoracion (3) Dimension'!D284</f>
        <v>0</v>
      </c>
      <c r="DC284" s="39" t="str">
        <f>'Por Valoracion (3) Dimension 2'!B284</f>
        <v>0</v>
      </c>
      <c r="DX284" s="46"/>
      <c r="DZ284" t="str">
        <f>('Inteligencia emocional'!A285)</f>
        <v>0</v>
      </c>
      <c r="EA284" s="39" t="str">
        <f>'Por Valoracion (3) Dimension'!D284</f>
        <v>0</v>
      </c>
      <c r="EB284" s="39" t="str">
        <f>'Por Valoracion (3) Dimension 2'!D284</f>
        <v>0</v>
      </c>
      <c r="EW284" s="46"/>
      <c r="EY284" t="str">
        <f>('Inteligencia emocional'!A285)</f>
        <v>0</v>
      </c>
      <c r="EZ284" s="39" t="str">
        <f>'Por Valoracion (3) Dimension'!D284</f>
        <v>0</v>
      </c>
      <c r="FA284" s="39" t="str">
        <f>'Por Valoracion (3) Dimension 2'!F284</f>
        <v>0</v>
      </c>
      <c r="FV284" s="46"/>
      <c r="FX284" t="str">
        <f>('Inteligencia emocional'!A285)</f>
        <v>0</v>
      </c>
      <c r="FY284" s="39" t="str">
        <f>'Por Valoracion (3) Dimension'!D284</f>
        <v>0</v>
      </c>
      <c r="FZ284" s="39" t="str">
        <f>'Por Valoracion (3) Dimension 2'!H284</f>
        <v>0</v>
      </c>
      <c r="GU284" s="46"/>
      <c r="GW284" s="47"/>
      <c r="GY284" t="str">
        <f>('Inteligencia emocional'!A285)</f>
        <v>0</v>
      </c>
      <c r="GZ284" s="39" t="str">
        <f>'Por Valoracion (3) Dimension'!F284</f>
        <v>0</v>
      </c>
      <c r="HA284" s="39" t="str">
        <f>'Por Valoracion (3) Dimension 2'!B284</f>
        <v>0</v>
      </c>
      <c r="HV284" s="47"/>
      <c r="HX284" t="str">
        <f>('Inteligencia emocional'!A285)</f>
        <v>0</v>
      </c>
      <c r="HY284" s="39" t="str">
        <f>'Por Valoracion (3) Dimension'!F284</f>
        <v>0</v>
      </c>
      <c r="HZ284" s="39" t="str">
        <f>'Por Valoracion (3) Dimension 2'!D284</f>
        <v>0</v>
      </c>
      <c r="IU284" s="47"/>
      <c r="IW284" t="str">
        <f>('Inteligencia emocional'!A285)</f>
        <v>0</v>
      </c>
      <c r="IX284" s="39" t="str">
        <f>'Por Valoracion (3) Dimension'!F284</f>
        <v>0</v>
      </c>
      <c r="IY284" s="39" t="str">
        <f>'Por Valoracion (3) Dimension 2'!F284</f>
        <v>0</v>
      </c>
      <c r="JT284" s="47"/>
      <c r="JV284" t="str">
        <f>('Inteligencia emocional'!A285)</f>
        <v>0</v>
      </c>
      <c r="JW284" s="39" t="str">
        <f>'Por Valoracion (3) Dimension'!F284</f>
        <v>0</v>
      </c>
      <c r="JX284" s="39" t="str">
        <f>'Por Valoracion (3) Dimension 2'!H284</f>
        <v>0</v>
      </c>
      <c r="KS284" s="47"/>
    </row>
    <row r="285" spans="1:305">
      <c r="A285" s="38"/>
      <c r="C285" t="str">
        <f>('Inteligencia emocional'!A286)</f>
        <v>0</v>
      </c>
      <c r="D285" s="39" t="str">
        <f>'Por Valoracion (3) Dimension'!B285</f>
        <v>0</v>
      </c>
      <c r="E285" s="39" t="str">
        <f>'Por Valoracion (3) Dimension 2'!B285</f>
        <v>0</v>
      </c>
      <c r="Z285" s="38"/>
      <c r="AB285" t="str">
        <f>('Inteligencia emocional'!A286)</f>
        <v>0</v>
      </c>
      <c r="AC285" s="39" t="str">
        <f>'Por Valoracion (3) Dimension'!B285</f>
        <v>0</v>
      </c>
      <c r="AD285" s="39" t="str">
        <f>'Por Valoracion (3) Dimension 2'!D285</f>
        <v>0</v>
      </c>
      <c r="AY285" s="38"/>
      <c r="BA285" t="str">
        <f>('Inteligencia emocional'!A286)</f>
        <v>0</v>
      </c>
      <c r="BB285" s="39" t="str">
        <f>'Por Valoracion (3) Dimension'!B285</f>
        <v>0</v>
      </c>
      <c r="BC285" s="39" t="str">
        <f>'Por Valoracion (3) Dimension 2'!F285</f>
        <v>0</v>
      </c>
      <c r="BX285" s="38"/>
      <c r="BZ285" t="str">
        <f>('Inteligencia emocional'!A286)</f>
        <v>0</v>
      </c>
      <c r="CA285" s="39" t="str">
        <f>'Por Valoracion (3) Dimension'!B285</f>
        <v>0</v>
      </c>
      <c r="CB285" s="39" t="str">
        <f>'Por Valoracion (3) Dimension 2'!H285</f>
        <v>0</v>
      </c>
      <c r="CW285" s="38"/>
      <c r="CY285" s="46"/>
      <c r="DA285" t="str">
        <f>('Inteligencia emocional'!A286)</f>
        <v>0</v>
      </c>
      <c r="DB285" s="39" t="str">
        <f>'Por Valoracion (3) Dimension'!D285</f>
        <v>0</v>
      </c>
      <c r="DC285" s="39" t="str">
        <f>'Por Valoracion (3) Dimension 2'!B285</f>
        <v>0</v>
      </c>
      <c r="DX285" s="46"/>
      <c r="DZ285" t="str">
        <f>('Inteligencia emocional'!A286)</f>
        <v>0</v>
      </c>
      <c r="EA285" s="39" t="str">
        <f>'Por Valoracion (3) Dimension'!D285</f>
        <v>0</v>
      </c>
      <c r="EB285" s="39" t="str">
        <f>'Por Valoracion (3) Dimension 2'!D285</f>
        <v>0</v>
      </c>
      <c r="EW285" s="46"/>
      <c r="EY285" t="str">
        <f>('Inteligencia emocional'!A286)</f>
        <v>0</v>
      </c>
      <c r="EZ285" s="39" t="str">
        <f>'Por Valoracion (3) Dimension'!D285</f>
        <v>0</v>
      </c>
      <c r="FA285" s="39" t="str">
        <f>'Por Valoracion (3) Dimension 2'!F285</f>
        <v>0</v>
      </c>
      <c r="FV285" s="46"/>
      <c r="FX285" t="str">
        <f>('Inteligencia emocional'!A286)</f>
        <v>0</v>
      </c>
      <c r="FY285" s="39" t="str">
        <f>'Por Valoracion (3) Dimension'!D285</f>
        <v>0</v>
      </c>
      <c r="FZ285" s="39" t="str">
        <f>'Por Valoracion (3) Dimension 2'!H285</f>
        <v>0</v>
      </c>
      <c r="GU285" s="46"/>
      <c r="GW285" s="47"/>
      <c r="GY285" t="str">
        <f>('Inteligencia emocional'!A286)</f>
        <v>0</v>
      </c>
      <c r="GZ285" s="39" t="str">
        <f>'Por Valoracion (3) Dimension'!F285</f>
        <v>0</v>
      </c>
      <c r="HA285" s="39" t="str">
        <f>'Por Valoracion (3) Dimension 2'!B285</f>
        <v>0</v>
      </c>
      <c r="HV285" s="47"/>
      <c r="HX285" t="str">
        <f>('Inteligencia emocional'!A286)</f>
        <v>0</v>
      </c>
      <c r="HY285" s="39" t="str">
        <f>'Por Valoracion (3) Dimension'!F285</f>
        <v>0</v>
      </c>
      <c r="HZ285" s="39" t="str">
        <f>'Por Valoracion (3) Dimension 2'!D285</f>
        <v>0</v>
      </c>
      <c r="IU285" s="47"/>
      <c r="IW285" t="str">
        <f>('Inteligencia emocional'!A286)</f>
        <v>0</v>
      </c>
      <c r="IX285" s="39" t="str">
        <f>'Por Valoracion (3) Dimension'!F285</f>
        <v>0</v>
      </c>
      <c r="IY285" s="39" t="str">
        <f>'Por Valoracion (3) Dimension 2'!F285</f>
        <v>0</v>
      </c>
      <c r="JT285" s="47"/>
      <c r="JV285" t="str">
        <f>('Inteligencia emocional'!A286)</f>
        <v>0</v>
      </c>
      <c r="JW285" s="39" t="str">
        <f>'Por Valoracion (3) Dimension'!F285</f>
        <v>0</v>
      </c>
      <c r="JX285" s="39" t="str">
        <f>'Por Valoracion (3) Dimension 2'!H285</f>
        <v>0</v>
      </c>
      <c r="KS285" s="47"/>
    </row>
    <row r="286" spans="1:305">
      <c r="A286" s="38"/>
      <c r="C286" t="str">
        <f>('Inteligencia emocional'!A287)</f>
        <v>0</v>
      </c>
      <c r="D286" s="39" t="str">
        <f>'Por Valoracion (3) Dimension'!B286</f>
        <v>0</v>
      </c>
      <c r="E286" s="39" t="str">
        <f>'Por Valoracion (3) Dimension 2'!B286</f>
        <v>0</v>
      </c>
      <c r="Z286" s="38"/>
      <c r="AB286" t="str">
        <f>('Inteligencia emocional'!A287)</f>
        <v>0</v>
      </c>
      <c r="AC286" s="39" t="str">
        <f>'Por Valoracion (3) Dimension'!B286</f>
        <v>0</v>
      </c>
      <c r="AD286" s="39" t="str">
        <f>'Por Valoracion (3) Dimension 2'!D286</f>
        <v>0</v>
      </c>
      <c r="AY286" s="38"/>
      <c r="BA286" t="str">
        <f>('Inteligencia emocional'!A287)</f>
        <v>0</v>
      </c>
      <c r="BB286" s="39" t="str">
        <f>'Por Valoracion (3) Dimension'!B286</f>
        <v>0</v>
      </c>
      <c r="BC286" s="39" t="str">
        <f>'Por Valoracion (3) Dimension 2'!F286</f>
        <v>0</v>
      </c>
      <c r="BX286" s="38"/>
      <c r="BZ286" t="str">
        <f>('Inteligencia emocional'!A287)</f>
        <v>0</v>
      </c>
      <c r="CA286" s="39" t="str">
        <f>'Por Valoracion (3) Dimension'!B286</f>
        <v>0</v>
      </c>
      <c r="CB286" s="39" t="str">
        <f>'Por Valoracion (3) Dimension 2'!H286</f>
        <v>0</v>
      </c>
      <c r="CW286" s="38"/>
      <c r="CY286" s="46"/>
      <c r="DA286" t="str">
        <f>('Inteligencia emocional'!A287)</f>
        <v>0</v>
      </c>
      <c r="DB286" s="39" t="str">
        <f>'Por Valoracion (3) Dimension'!D286</f>
        <v>0</v>
      </c>
      <c r="DC286" s="39" t="str">
        <f>'Por Valoracion (3) Dimension 2'!B286</f>
        <v>0</v>
      </c>
      <c r="DX286" s="46"/>
      <c r="DZ286" t="str">
        <f>('Inteligencia emocional'!A287)</f>
        <v>0</v>
      </c>
      <c r="EA286" s="39" t="str">
        <f>'Por Valoracion (3) Dimension'!D286</f>
        <v>0</v>
      </c>
      <c r="EB286" s="39" t="str">
        <f>'Por Valoracion (3) Dimension 2'!D286</f>
        <v>0</v>
      </c>
      <c r="EW286" s="46"/>
      <c r="EY286" t="str">
        <f>('Inteligencia emocional'!A287)</f>
        <v>0</v>
      </c>
      <c r="EZ286" s="39" t="str">
        <f>'Por Valoracion (3) Dimension'!D286</f>
        <v>0</v>
      </c>
      <c r="FA286" s="39" t="str">
        <f>'Por Valoracion (3) Dimension 2'!F286</f>
        <v>0</v>
      </c>
      <c r="FV286" s="46"/>
      <c r="FX286" t="str">
        <f>('Inteligencia emocional'!A287)</f>
        <v>0</v>
      </c>
      <c r="FY286" s="39" t="str">
        <f>'Por Valoracion (3) Dimension'!D286</f>
        <v>0</v>
      </c>
      <c r="FZ286" s="39" t="str">
        <f>'Por Valoracion (3) Dimension 2'!H286</f>
        <v>0</v>
      </c>
      <c r="GU286" s="46"/>
      <c r="GW286" s="47"/>
      <c r="GY286" t="str">
        <f>('Inteligencia emocional'!A287)</f>
        <v>0</v>
      </c>
      <c r="GZ286" s="39" t="str">
        <f>'Por Valoracion (3) Dimension'!F286</f>
        <v>0</v>
      </c>
      <c r="HA286" s="39" t="str">
        <f>'Por Valoracion (3) Dimension 2'!B286</f>
        <v>0</v>
      </c>
      <c r="HV286" s="47"/>
      <c r="HX286" t="str">
        <f>('Inteligencia emocional'!A287)</f>
        <v>0</v>
      </c>
      <c r="HY286" s="39" t="str">
        <f>'Por Valoracion (3) Dimension'!F286</f>
        <v>0</v>
      </c>
      <c r="HZ286" s="39" t="str">
        <f>'Por Valoracion (3) Dimension 2'!D286</f>
        <v>0</v>
      </c>
      <c r="IU286" s="47"/>
      <c r="IW286" t="str">
        <f>('Inteligencia emocional'!A287)</f>
        <v>0</v>
      </c>
      <c r="IX286" s="39" t="str">
        <f>'Por Valoracion (3) Dimension'!F286</f>
        <v>0</v>
      </c>
      <c r="IY286" s="39" t="str">
        <f>'Por Valoracion (3) Dimension 2'!F286</f>
        <v>0</v>
      </c>
      <c r="JT286" s="47"/>
      <c r="JV286" t="str">
        <f>('Inteligencia emocional'!A287)</f>
        <v>0</v>
      </c>
      <c r="JW286" s="39" t="str">
        <f>'Por Valoracion (3) Dimension'!F286</f>
        <v>0</v>
      </c>
      <c r="JX286" s="39" t="str">
        <f>'Por Valoracion (3) Dimension 2'!H286</f>
        <v>0</v>
      </c>
      <c r="KS286" s="47"/>
    </row>
    <row r="287" spans="1:305">
      <c r="A287" s="38"/>
      <c r="C287" t="str">
        <f>('Inteligencia emocional'!A288)</f>
        <v>0</v>
      </c>
      <c r="D287" s="39" t="str">
        <f>'Por Valoracion (3) Dimension'!B287</f>
        <v>0</v>
      </c>
      <c r="E287" s="39" t="str">
        <f>'Por Valoracion (3) Dimension 2'!B287</f>
        <v>0</v>
      </c>
      <c r="Z287" s="38"/>
      <c r="AB287" t="str">
        <f>('Inteligencia emocional'!A288)</f>
        <v>0</v>
      </c>
      <c r="AC287" s="39" t="str">
        <f>'Por Valoracion (3) Dimension'!B287</f>
        <v>0</v>
      </c>
      <c r="AD287" s="39" t="str">
        <f>'Por Valoracion (3) Dimension 2'!D287</f>
        <v>0</v>
      </c>
      <c r="AY287" s="38"/>
      <c r="BA287" t="str">
        <f>('Inteligencia emocional'!A288)</f>
        <v>0</v>
      </c>
      <c r="BB287" s="39" t="str">
        <f>'Por Valoracion (3) Dimension'!B287</f>
        <v>0</v>
      </c>
      <c r="BC287" s="39" t="str">
        <f>'Por Valoracion (3) Dimension 2'!F287</f>
        <v>0</v>
      </c>
      <c r="BX287" s="38"/>
      <c r="BZ287" t="str">
        <f>('Inteligencia emocional'!A288)</f>
        <v>0</v>
      </c>
      <c r="CA287" s="39" t="str">
        <f>'Por Valoracion (3) Dimension'!B287</f>
        <v>0</v>
      </c>
      <c r="CB287" s="39" t="str">
        <f>'Por Valoracion (3) Dimension 2'!H287</f>
        <v>0</v>
      </c>
      <c r="CW287" s="38"/>
      <c r="CY287" s="46"/>
      <c r="DA287" t="str">
        <f>('Inteligencia emocional'!A288)</f>
        <v>0</v>
      </c>
      <c r="DB287" s="39" t="str">
        <f>'Por Valoracion (3) Dimension'!D287</f>
        <v>0</v>
      </c>
      <c r="DC287" s="39" t="str">
        <f>'Por Valoracion (3) Dimension 2'!B287</f>
        <v>0</v>
      </c>
      <c r="DX287" s="46"/>
      <c r="DZ287" t="str">
        <f>('Inteligencia emocional'!A288)</f>
        <v>0</v>
      </c>
      <c r="EA287" s="39" t="str">
        <f>'Por Valoracion (3) Dimension'!D287</f>
        <v>0</v>
      </c>
      <c r="EB287" s="39" t="str">
        <f>'Por Valoracion (3) Dimension 2'!D287</f>
        <v>0</v>
      </c>
      <c r="EW287" s="46"/>
      <c r="EY287" t="str">
        <f>('Inteligencia emocional'!A288)</f>
        <v>0</v>
      </c>
      <c r="EZ287" s="39" t="str">
        <f>'Por Valoracion (3) Dimension'!D287</f>
        <v>0</v>
      </c>
      <c r="FA287" s="39" t="str">
        <f>'Por Valoracion (3) Dimension 2'!F287</f>
        <v>0</v>
      </c>
      <c r="FV287" s="46"/>
      <c r="FX287" t="str">
        <f>('Inteligencia emocional'!A288)</f>
        <v>0</v>
      </c>
      <c r="FY287" s="39" t="str">
        <f>'Por Valoracion (3) Dimension'!D287</f>
        <v>0</v>
      </c>
      <c r="FZ287" s="39" t="str">
        <f>'Por Valoracion (3) Dimension 2'!H287</f>
        <v>0</v>
      </c>
      <c r="GU287" s="46"/>
      <c r="GW287" s="47"/>
      <c r="GY287" t="str">
        <f>('Inteligencia emocional'!A288)</f>
        <v>0</v>
      </c>
      <c r="GZ287" s="39" t="str">
        <f>'Por Valoracion (3) Dimension'!F287</f>
        <v>0</v>
      </c>
      <c r="HA287" s="39" t="str">
        <f>'Por Valoracion (3) Dimension 2'!B287</f>
        <v>0</v>
      </c>
      <c r="HV287" s="47"/>
      <c r="HX287" t="str">
        <f>('Inteligencia emocional'!A288)</f>
        <v>0</v>
      </c>
      <c r="HY287" s="39" t="str">
        <f>'Por Valoracion (3) Dimension'!F287</f>
        <v>0</v>
      </c>
      <c r="HZ287" s="39" t="str">
        <f>'Por Valoracion (3) Dimension 2'!D287</f>
        <v>0</v>
      </c>
      <c r="IU287" s="47"/>
      <c r="IW287" t="str">
        <f>('Inteligencia emocional'!A288)</f>
        <v>0</v>
      </c>
      <c r="IX287" s="39" t="str">
        <f>'Por Valoracion (3) Dimension'!F287</f>
        <v>0</v>
      </c>
      <c r="IY287" s="39" t="str">
        <f>'Por Valoracion (3) Dimension 2'!F287</f>
        <v>0</v>
      </c>
      <c r="JT287" s="47"/>
      <c r="JV287" t="str">
        <f>('Inteligencia emocional'!A288)</f>
        <v>0</v>
      </c>
      <c r="JW287" s="39" t="str">
        <f>'Por Valoracion (3) Dimension'!F287</f>
        <v>0</v>
      </c>
      <c r="JX287" s="39" t="str">
        <f>'Por Valoracion (3) Dimension 2'!H287</f>
        <v>0</v>
      </c>
      <c r="KS287" s="47"/>
    </row>
    <row r="288" spans="1:305">
      <c r="A288" s="38"/>
      <c r="C288" t="str">
        <f>('Inteligencia emocional'!A289)</f>
        <v>0</v>
      </c>
      <c r="D288" s="39" t="str">
        <f>'Por Valoracion (3) Dimension'!B288</f>
        <v>0</v>
      </c>
      <c r="E288" s="39" t="str">
        <f>'Por Valoracion (3) Dimension 2'!B288</f>
        <v>0</v>
      </c>
      <c r="Z288" s="38"/>
      <c r="AB288" t="str">
        <f>('Inteligencia emocional'!A289)</f>
        <v>0</v>
      </c>
      <c r="AC288" s="39" t="str">
        <f>'Por Valoracion (3) Dimension'!B288</f>
        <v>0</v>
      </c>
      <c r="AD288" s="39" t="str">
        <f>'Por Valoracion (3) Dimension 2'!D288</f>
        <v>0</v>
      </c>
      <c r="AY288" s="38"/>
      <c r="BA288" t="str">
        <f>('Inteligencia emocional'!A289)</f>
        <v>0</v>
      </c>
      <c r="BB288" s="39" t="str">
        <f>'Por Valoracion (3) Dimension'!B288</f>
        <v>0</v>
      </c>
      <c r="BC288" s="39" t="str">
        <f>'Por Valoracion (3) Dimension 2'!F288</f>
        <v>0</v>
      </c>
      <c r="BX288" s="38"/>
      <c r="BZ288" t="str">
        <f>('Inteligencia emocional'!A289)</f>
        <v>0</v>
      </c>
      <c r="CA288" s="39" t="str">
        <f>'Por Valoracion (3) Dimension'!B288</f>
        <v>0</v>
      </c>
      <c r="CB288" s="39" t="str">
        <f>'Por Valoracion (3) Dimension 2'!H288</f>
        <v>0</v>
      </c>
      <c r="CW288" s="38"/>
      <c r="CY288" s="46"/>
      <c r="DA288" t="str">
        <f>('Inteligencia emocional'!A289)</f>
        <v>0</v>
      </c>
      <c r="DB288" s="39" t="str">
        <f>'Por Valoracion (3) Dimension'!D288</f>
        <v>0</v>
      </c>
      <c r="DC288" s="39" t="str">
        <f>'Por Valoracion (3) Dimension 2'!B288</f>
        <v>0</v>
      </c>
      <c r="DX288" s="46"/>
      <c r="DZ288" t="str">
        <f>('Inteligencia emocional'!A289)</f>
        <v>0</v>
      </c>
      <c r="EA288" s="39" t="str">
        <f>'Por Valoracion (3) Dimension'!D288</f>
        <v>0</v>
      </c>
      <c r="EB288" s="39" t="str">
        <f>'Por Valoracion (3) Dimension 2'!D288</f>
        <v>0</v>
      </c>
      <c r="EW288" s="46"/>
      <c r="EY288" t="str">
        <f>('Inteligencia emocional'!A289)</f>
        <v>0</v>
      </c>
      <c r="EZ288" s="39" t="str">
        <f>'Por Valoracion (3) Dimension'!D288</f>
        <v>0</v>
      </c>
      <c r="FA288" s="39" t="str">
        <f>'Por Valoracion (3) Dimension 2'!F288</f>
        <v>0</v>
      </c>
      <c r="FV288" s="46"/>
      <c r="FX288" t="str">
        <f>('Inteligencia emocional'!A289)</f>
        <v>0</v>
      </c>
      <c r="FY288" s="39" t="str">
        <f>'Por Valoracion (3) Dimension'!D288</f>
        <v>0</v>
      </c>
      <c r="FZ288" s="39" t="str">
        <f>'Por Valoracion (3) Dimension 2'!H288</f>
        <v>0</v>
      </c>
      <c r="GU288" s="46"/>
      <c r="GW288" s="47"/>
      <c r="GY288" t="str">
        <f>('Inteligencia emocional'!A289)</f>
        <v>0</v>
      </c>
      <c r="GZ288" s="39" t="str">
        <f>'Por Valoracion (3) Dimension'!F288</f>
        <v>0</v>
      </c>
      <c r="HA288" s="39" t="str">
        <f>'Por Valoracion (3) Dimension 2'!B288</f>
        <v>0</v>
      </c>
      <c r="HV288" s="47"/>
      <c r="HX288" t="str">
        <f>('Inteligencia emocional'!A289)</f>
        <v>0</v>
      </c>
      <c r="HY288" s="39" t="str">
        <f>'Por Valoracion (3) Dimension'!F288</f>
        <v>0</v>
      </c>
      <c r="HZ288" s="39" t="str">
        <f>'Por Valoracion (3) Dimension 2'!D288</f>
        <v>0</v>
      </c>
      <c r="IU288" s="47"/>
      <c r="IW288" t="str">
        <f>('Inteligencia emocional'!A289)</f>
        <v>0</v>
      </c>
      <c r="IX288" s="39" t="str">
        <f>'Por Valoracion (3) Dimension'!F288</f>
        <v>0</v>
      </c>
      <c r="IY288" s="39" t="str">
        <f>'Por Valoracion (3) Dimension 2'!F288</f>
        <v>0</v>
      </c>
      <c r="JT288" s="47"/>
      <c r="JV288" t="str">
        <f>('Inteligencia emocional'!A289)</f>
        <v>0</v>
      </c>
      <c r="JW288" s="39" t="str">
        <f>'Por Valoracion (3) Dimension'!F288</f>
        <v>0</v>
      </c>
      <c r="JX288" s="39" t="str">
        <f>'Por Valoracion (3) Dimension 2'!H288</f>
        <v>0</v>
      </c>
      <c r="KS288" s="47"/>
    </row>
    <row r="289" spans="1:305">
      <c r="A289" s="38"/>
      <c r="C289" t="str">
        <f>('Inteligencia emocional'!A290)</f>
        <v>0</v>
      </c>
      <c r="D289" s="39" t="str">
        <f>'Por Valoracion (3) Dimension'!B289</f>
        <v>0</v>
      </c>
      <c r="E289" s="39" t="str">
        <f>'Por Valoracion (3) Dimension 2'!B289</f>
        <v>0</v>
      </c>
      <c r="Z289" s="38"/>
      <c r="AB289" t="str">
        <f>('Inteligencia emocional'!A290)</f>
        <v>0</v>
      </c>
      <c r="AC289" s="39" t="str">
        <f>'Por Valoracion (3) Dimension'!B289</f>
        <v>0</v>
      </c>
      <c r="AD289" s="39" t="str">
        <f>'Por Valoracion (3) Dimension 2'!D289</f>
        <v>0</v>
      </c>
      <c r="AY289" s="38"/>
      <c r="BA289" t="str">
        <f>('Inteligencia emocional'!A290)</f>
        <v>0</v>
      </c>
      <c r="BB289" s="39" t="str">
        <f>'Por Valoracion (3) Dimension'!B289</f>
        <v>0</v>
      </c>
      <c r="BC289" s="39" t="str">
        <f>'Por Valoracion (3) Dimension 2'!F289</f>
        <v>0</v>
      </c>
      <c r="BX289" s="38"/>
      <c r="BZ289" t="str">
        <f>('Inteligencia emocional'!A290)</f>
        <v>0</v>
      </c>
      <c r="CA289" s="39" t="str">
        <f>'Por Valoracion (3) Dimension'!B289</f>
        <v>0</v>
      </c>
      <c r="CB289" s="39" t="str">
        <f>'Por Valoracion (3) Dimension 2'!H289</f>
        <v>0</v>
      </c>
      <c r="CW289" s="38"/>
      <c r="CY289" s="46"/>
      <c r="DA289" t="str">
        <f>('Inteligencia emocional'!A290)</f>
        <v>0</v>
      </c>
      <c r="DB289" s="39" t="str">
        <f>'Por Valoracion (3) Dimension'!D289</f>
        <v>0</v>
      </c>
      <c r="DC289" s="39" t="str">
        <f>'Por Valoracion (3) Dimension 2'!B289</f>
        <v>0</v>
      </c>
      <c r="DX289" s="46"/>
      <c r="DZ289" t="str">
        <f>('Inteligencia emocional'!A290)</f>
        <v>0</v>
      </c>
      <c r="EA289" s="39" t="str">
        <f>'Por Valoracion (3) Dimension'!D289</f>
        <v>0</v>
      </c>
      <c r="EB289" s="39" t="str">
        <f>'Por Valoracion (3) Dimension 2'!D289</f>
        <v>0</v>
      </c>
      <c r="EW289" s="46"/>
      <c r="EY289" t="str">
        <f>('Inteligencia emocional'!A290)</f>
        <v>0</v>
      </c>
      <c r="EZ289" s="39" t="str">
        <f>'Por Valoracion (3) Dimension'!D289</f>
        <v>0</v>
      </c>
      <c r="FA289" s="39" t="str">
        <f>'Por Valoracion (3) Dimension 2'!F289</f>
        <v>0</v>
      </c>
      <c r="FV289" s="46"/>
      <c r="FX289" t="str">
        <f>('Inteligencia emocional'!A290)</f>
        <v>0</v>
      </c>
      <c r="FY289" s="39" t="str">
        <f>'Por Valoracion (3) Dimension'!D289</f>
        <v>0</v>
      </c>
      <c r="FZ289" s="39" t="str">
        <f>'Por Valoracion (3) Dimension 2'!H289</f>
        <v>0</v>
      </c>
      <c r="GU289" s="46"/>
      <c r="GW289" s="47"/>
      <c r="GY289" t="str">
        <f>('Inteligencia emocional'!A290)</f>
        <v>0</v>
      </c>
      <c r="GZ289" s="39" t="str">
        <f>'Por Valoracion (3) Dimension'!F289</f>
        <v>0</v>
      </c>
      <c r="HA289" s="39" t="str">
        <f>'Por Valoracion (3) Dimension 2'!B289</f>
        <v>0</v>
      </c>
      <c r="HV289" s="47"/>
      <c r="HX289" t="str">
        <f>('Inteligencia emocional'!A290)</f>
        <v>0</v>
      </c>
      <c r="HY289" s="39" t="str">
        <f>'Por Valoracion (3) Dimension'!F289</f>
        <v>0</v>
      </c>
      <c r="HZ289" s="39" t="str">
        <f>'Por Valoracion (3) Dimension 2'!D289</f>
        <v>0</v>
      </c>
      <c r="IU289" s="47"/>
      <c r="IW289" t="str">
        <f>('Inteligencia emocional'!A290)</f>
        <v>0</v>
      </c>
      <c r="IX289" s="39" t="str">
        <f>'Por Valoracion (3) Dimension'!F289</f>
        <v>0</v>
      </c>
      <c r="IY289" s="39" t="str">
        <f>'Por Valoracion (3) Dimension 2'!F289</f>
        <v>0</v>
      </c>
      <c r="JT289" s="47"/>
      <c r="JV289" t="str">
        <f>('Inteligencia emocional'!A290)</f>
        <v>0</v>
      </c>
      <c r="JW289" s="39" t="str">
        <f>'Por Valoracion (3) Dimension'!F289</f>
        <v>0</v>
      </c>
      <c r="JX289" s="39" t="str">
        <f>'Por Valoracion (3) Dimension 2'!H289</f>
        <v>0</v>
      </c>
      <c r="KS289" s="47"/>
    </row>
    <row r="290" spans="1:305">
      <c r="A290" s="38"/>
      <c r="C290" t="str">
        <f>('Inteligencia emocional'!A291)</f>
        <v>0</v>
      </c>
      <c r="D290" s="39" t="str">
        <f>'Por Valoracion (3) Dimension'!B290</f>
        <v>0</v>
      </c>
      <c r="E290" s="39" t="str">
        <f>'Por Valoracion (3) Dimension 2'!B290</f>
        <v>0</v>
      </c>
      <c r="Z290" s="38"/>
      <c r="AB290" t="str">
        <f>('Inteligencia emocional'!A291)</f>
        <v>0</v>
      </c>
      <c r="AC290" s="39" t="str">
        <f>'Por Valoracion (3) Dimension'!B290</f>
        <v>0</v>
      </c>
      <c r="AD290" s="39" t="str">
        <f>'Por Valoracion (3) Dimension 2'!D290</f>
        <v>0</v>
      </c>
      <c r="AY290" s="38"/>
      <c r="BA290" t="str">
        <f>('Inteligencia emocional'!A291)</f>
        <v>0</v>
      </c>
      <c r="BB290" s="39" t="str">
        <f>'Por Valoracion (3) Dimension'!B290</f>
        <v>0</v>
      </c>
      <c r="BC290" s="39" t="str">
        <f>'Por Valoracion (3) Dimension 2'!F290</f>
        <v>0</v>
      </c>
      <c r="BX290" s="38"/>
      <c r="BZ290" t="str">
        <f>('Inteligencia emocional'!A291)</f>
        <v>0</v>
      </c>
      <c r="CA290" s="39" t="str">
        <f>'Por Valoracion (3) Dimension'!B290</f>
        <v>0</v>
      </c>
      <c r="CB290" s="39" t="str">
        <f>'Por Valoracion (3) Dimension 2'!H290</f>
        <v>0</v>
      </c>
      <c r="CW290" s="38"/>
      <c r="CY290" s="46"/>
      <c r="DA290" t="str">
        <f>('Inteligencia emocional'!A291)</f>
        <v>0</v>
      </c>
      <c r="DB290" s="39" t="str">
        <f>'Por Valoracion (3) Dimension'!D290</f>
        <v>0</v>
      </c>
      <c r="DC290" s="39" t="str">
        <f>'Por Valoracion (3) Dimension 2'!B290</f>
        <v>0</v>
      </c>
      <c r="DX290" s="46"/>
      <c r="DZ290" t="str">
        <f>('Inteligencia emocional'!A291)</f>
        <v>0</v>
      </c>
      <c r="EA290" s="39" t="str">
        <f>'Por Valoracion (3) Dimension'!D290</f>
        <v>0</v>
      </c>
      <c r="EB290" s="39" t="str">
        <f>'Por Valoracion (3) Dimension 2'!D290</f>
        <v>0</v>
      </c>
      <c r="EW290" s="46"/>
      <c r="EY290" t="str">
        <f>('Inteligencia emocional'!A291)</f>
        <v>0</v>
      </c>
      <c r="EZ290" s="39" t="str">
        <f>'Por Valoracion (3) Dimension'!D290</f>
        <v>0</v>
      </c>
      <c r="FA290" s="39" t="str">
        <f>'Por Valoracion (3) Dimension 2'!F290</f>
        <v>0</v>
      </c>
      <c r="FV290" s="46"/>
      <c r="FX290" t="str">
        <f>('Inteligencia emocional'!A291)</f>
        <v>0</v>
      </c>
      <c r="FY290" s="39" t="str">
        <f>'Por Valoracion (3) Dimension'!D290</f>
        <v>0</v>
      </c>
      <c r="FZ290" s="39" t="str">
        <f>'Por Valoracion (3) Dimension 2'!H290</f>
        <v>0</v>
      </c>
      <c r="GU290" s="46"/>
      <c r="GW290" s="47"/>
      <c r="GY290" t="str">
        <f>('Inteligencia emocional'!A291)</f>
        <v>0</v>
      </c>
      <c r="GZ290" s="39" t="str">
        <f>'Por Valoracion (3) Dimension'!F290</f>
        <v>0</v>
      </c>
      <c r="HA290" s="39" t="str">
        <f>'Por Valoracion (3) Dimension 2'!B290</f>
        <v>0</v>
      </c>
      <c r="HV290" s="47"/>
      <c r="HX290" t="str">
        <f>('Inteligencia emocional'!A291)</f>
        <v>0</v>
      </c>
      <c r="HY290" s="39" t="str">
        <f>'Por Valoracion (3) Dimension'!F290</f>
        <v>0</v>
      </c>
      <c r="HZ290" s="39" t="str">
        <f>'Por Valoracion (3) Dimension 2'!D290</f>
        <v>0</v>
      </c>
      <c r="IU290" s="47"/>
      <c r="IW290" t="str">
        <f>('Inteligencia emocional'!A291)</f>
        <v>0</v>
      </c>
      <c r="IX290" s="39" t="str">
        <f>'Por Valoracion (3) Dimension'!F290</f>
        <v>0</v>
      </c>
      <c r="IY290" s="39" t="str">
        <f>'Por Valoracion (3) Dimension 2'!F290</f>
        <v>0</v>
      </c>
      <c r="JT290" s="47"/>
      <c r="JV290" t="str">
        <f>('Inteligencia emocional'!A291)</f>
        <v>0</v>
      </c>
      <c r="JW290" s="39" t="str">
        <f>'Por Valoracion (3) Dimension'!F290</f>
        <v>0</v>
      </c>
      <c r="JX290" s="39" t="str">
        <f>'Por Valoracion (3) Dimension 2'!H290</f>
        <v>0</v>
      </c>
      <c r="KS290" s="47"/>
    </row>
    <row r="291" spans="1:305">
      <c r="A291" s="38"/>
      <c r="C291" t="str">
        <f>('Inteligencia emocional'!A292)</f>
        <v>0</v>
      </c>
      <c r="D291" s="39" t="str">
        <f>'Por Valoracion (3) Dimension'!B291</f>
        <v>0</v>
      </c>
      <c r="E291" s="39" t="str">
        <f>'Por Valoracion (3) Dimension 2'!B291</f>
        <v>0</v>
      </c>
      <c r="Z291" s="38"/>
      <c r="AB291" t="str">
        <f>('Inteligencia emocional'!A292)</f>
        <v>0</v>
      </c>
      <c r="AC291" s="39" t="str">
        <f>'Por Valoracion (3) Dimension'!B291</f>
        <v>0</v>
      </c>
      <c r="AD291" s="39" t="str">
        <f>'Por Valoracion (3) Dimension 2'!D291</f>
        <v>0</v>
      </c>
      <c r="AY291" s="38"/>
      <c r="BA291" t="str">
        <f>('Inteligencia emocional'!A292)</f>
        <v>0</v>
      </c>
      <c r="BB291" s="39" t="str">
        <f>'Por Valoracion (3) Dimension'!B291</f>
        <v>0</v>
      </c>
      <c r="BC291" s="39" t="str">
        <f>'Por Valoracion (3) Dimension 2'!F291</f>
        <v>0</v>
      </c>
      <c r="BX291" s="38"/>
      <c r="BZ291" t="str">
        <f>('Inteligencia emocional'!A292)</f>
        <v>0</v>
      </c>
      <c r="CA291" s="39" t="str">
        <f>'Por Valoracion (3) Dimension'!B291</f>
        <v>0</v>
      </c>
      <c r="CB291" s="39" t="str">
        <f>'Por Valoracion (3) Dimension 2'!H291</f>
        <v>0</v>
      </c>
      <c r="CW291" s="38"/>
      <c r="CY291" s="46"/>
      <c r="DA291" t="str">
        <f>('Inteligencia emocional'!A292)</f>
        <v>0</v>
      </c>
      <c r="DB291" s="39" t="str">
        <f>'Por Valoracion (3) Dimension'!D291</f>
        <v>0</v>
      </c>
      <c r="DC291" s="39" t="str">
        <f>'Por Valoracion (3) Dimension 2'!B291</f>
        <v>0</v>
      </c>
      <c r="DX291" s="46"/>
      <c r="DZ291" t="str">
        <f>('Inteligencia emocional'!A292)</f>
        <v>0</v>
      </c>
      <c r="EA291" s="39" t="str">
        <f>'Por Valoracion (3) Dimension'!D291</f>
        <v>0</v>
      </c>
      <c r="EB291" s="39" t="str">
        <f>'Por Valoracion (3) Dimension 2'!D291</f>
        <v>0</v>
      </c>
      <c r="EW291" s="46"/>
      <c r="EY291" t="str">
        <f>('Inteligencia emocional'!A292)</f>
        <v>0</v>
      </c>
      <c r="EZ291" s="39" t="str">
        <f>'Por Valoracion (3) Dimension'!D291</f>
        <v>0</v>
      </c>
      <c r="FA291" s="39" t="str">
        <f>'Por Valoracion (3) Dimension 2'!F291</f>
        <v>0</v>
      </c>
      <c r="FV291" s="46"/>
      <c r="FX291" t="str">
        <f>('Inteligencia emocional'!A292)</f>
        <v>0</v>
      </c>
      <c r="FY291" s="39" t="str">
        <f>'Por Valoracion (3) Dimension'!D291</f>
        <v>0</v>
      </c>
      <c r="FZ291" s="39" t="str">
        <f>'Por Valoracion (3) Dimension 2'!H291</f>
        <v>0</v>
      </c>
      <c r="GU291" s="46"/>
      <c r="GW291" s="47"/>
      <c r="GY291" t="str">
        <f>('Inteligencia emocional'!A292)</f>
        <v>0</v>
      </c>
      <c r="GZ291" s="39" t="str">
        <f>'Por Valoracion (3) Dimension'!F291</f>
        <v>0</v>
      </c>
      <c r="HA291" s="39" t="str">
        <f>'Por Valoracion (3) Dimension 2'!B291</f>
        <v>0</v>
      </c>
      <c r="HV291" s="47"/>
      <c r="HX291" t="str">
        <f>('Inteligencia emocional'!A292)</f>
        <v>0</v>
      </c>
      <c r="HY291" s="39" t="str">
        <f>'Por Valoracion (3) Dimension'!F291</f>
        <v>0</v>
      </c>
      <c r="HZ291" s="39" t="str">
        <f>'Por Valoracion (3) Dimension 2'!D291</f>
        <v>0</v>
      </c>
      <c r="IU291" s="47"/>
      <c r="IW291" t="str">
        <f>('Inteligencia emocional'!A292)</f>
        <v>0</v>
      </c>
      <c r="IX291" s="39" t="str">
        <f>'Por Valoracion (3) Dimension'!F291</f>
        <v>0</v>
      </c>
      <c r="IY291" s="39" t="str">
        <f>'Por Valoracion (3) Dimension 2'!F291</f>
        <v>0</v>
      </c>
      <c r="JT291" s="47"/>
      <c r="JV291" t="str">
        <f>('Inteligencia emocional'!A292)</f>
        <v>0</v>
      </c>
      <c r="JW291" s="39" t="str">
        <f>'Por Valoracion (3) Dimension'!F291</f>
        <v>0</v>
      </c>
      <c r="JX291" s="39" t="str">
        <f>'Por Valoracion (3) Dimension 2'!H291</f>
        <v>0</v>
      </c>
      <c r="KS291" s="47"/>
    </row>
    <row r="292" spans="1:305">
      <c r="A292" s="38"/>
      <c r="C292" t="str">
        <f>('Inteligencia emocional'!A293)</f>
        <v>0</v>
      </c>
      <c r="D292" s="39" t="str">
        <f>'Por Valoracion (3) Dimension'!B292</f>
        <v>0</v>
      </c>
      <c r="E292" s="39" t="str">
        <f>'Por Valoracion (3) Dimension 2'!B292</f>
        <v>0</v>
      </c>
      <c r="Z292" s="38"/>
      <c r="AB292" t="str">
        <f>('Inteligencia emocional'!A293)</f>
        <v>0</v>
      </c>
      <c r="AC292" s="39" t="str">
        <f>'Por Valoracion (3) Dimension'!B292</f>
        <v>0</v>
      </c>
      <c r="AD292" s="39" t="str">
        <f>'Por Valoracion (3) Dimension 2'!D292</f>
        <v>0</v>
      </c>
      <c r="AY292" s="38"/>
      <c r="BA292" t="str">
        <f>('Inteligencia emocional'!A293)</f>
        <v>0</v>
      </c>
      <c r="BB292" s="39" t="str">
        <f>'Por Valoracion (3) Dimension'!B292</f>
        <v>0</v>
      </c>
      <c r="BC292" s="39" t="str">
        <f>'Por Valoracion (3) Dimension 2'!F292</f>
        <v>0</v>
      </c>
      <c r="BX292" s="38"/>
      <c r="BZ292" t="str">
        <f>('Inteligencia emocional'!A293)</f>
        <v>0</v>
      </c>
      <c r="CA292" s="39" t="str">
        <f>'Por Valoracion (3) Dimension'!B292</f>
        <v>0</v>
      </c>
      <c r="CB292" s="39" t="str">
        <f>'Por Valoracion (3) Dimension 2'!H292</f>
        <v>0</v>
      </c>
      <c r="CW292" s="38"/>
      <c r="CY292" s="46"/>
      <c r="DA292" t="str">
        <f>('Inteligencia emocional'!A293)</f>
        <v>0</v>
      </c>
      <c r="DB292" s="39" t="str">
        <f>'Por Valoracion (3) Dimension'!D292</f>
        <v>0</v>
      </c>
      <c r="DC292" s="39" t="str">
        <f>'Por Valoracion (3) Dimension 2'!B292</f>
        <v>0</v>
      </c>
      <c r="DX292" s="46"/>
      <c r="DZ292" t="str">
        <f>('Inteligencia emocional'!A293)</f>
        <v>0</v>
      </c>
      <c r="EA292" s="39" t="str">
        <f>'Por Valoracion (3) Dimension'!D292</f>
        <v>0</v>
      </c>
      <c r="EB292" s="39" t="str">
        <f>'Por Valoracion (3) Dimension 2'!D292</f>
        <v>0</v>
      </c>
      <c r="EW292" s="46"/>
      <c r="EY292" t="str">
        <f>('Inteligencia emocional'!A293)</f>
        <v>0</v>
      </c>
      <c r="EZ292" s="39" t="str">
        <f>'Por Valoracion (3) Dimension'!D292</f>
        <v>0</v>
      </c>
      <c r="FA292" s="39" t="str">
        <f>'Por Valoracion (3) Dimension 2'!F292</f>
        <v>0</v>
      </c>
      <c r="FV292" s="46"/>
      <c r="FX292" t="str">
        <f>('Inteligencia emocional'!A293)</f>
        <v>0</v>
      </c>
      <c r="FY292" s="39" t="str">
        <f>'Por Valoracion (3) Dimension'!D292</f>
        <v>0</v>
      </c>
      <c r="FZ292" s="39" t="str">
        <f>'Por Valoracion (3) Dimension 2'!H292</f>
        <v>0</v>
      </c>
      <c r="GU292" s="46"/>
      <c r="GW292" s="47"/>
      <c r="GY292" t="str">
        <f>('Inteligencia emocional'!A293)</f>
        <v>0</v>
      </c>
      <c r="GZ292" s="39" t="str">
        <f>'Por Valoracion (3) Dimension'!F292</f>
        <v>0</v>
      </c>
      <c r="HA292" s="39" t="str">
        <f>'Por Valoracion (3) Dimension 2'!B292</f>
        <v>0</v>
      </c>
      <c r="HV292" s="47"/>
      <c r="HX292" t="str">
        <f>('Inteligencia emocional'!A293)</f>
        <v>0</v>
      </c>
      <c r="HY292" s="39" t="str">
        <f>'Por Valoracion (3) Dimension'!F292</f>
        <v>0</v>
      </c>
      <c r="HZ292" s="39" t="str">
        <f>'Por Valoracion (3) Dimension 2'!D292</f>
        <v>0</v>
      </c>
      <c r="IU292" s="47"/>
      <c r="IW292" t="str">
        <f>('Inteligencia emocional'!A293)</f>
        <v>0</v>
      </c>
      <c r="IX292" s="39" t="str">
        <f>'Por Valoracion (3) Dimension'!F292</f>
        <v>0</v>
      </c>
      <c r="IY292" s="39" t="str">
        <f>'Por Valoracion (3) Dimension 2'!F292</f>
        <v>0</v>
      </c>
      <c r="JT292" s="47"/>
      <c r="JV292" t="str">
        <f>('Inteligencia emocional'!A293)</f>
        <v>0</v>
      </c>
      <c r="JW292" s="39" t="str">
        <f>'Por Valoracion (3) Dimension'!F292</f>
        <v>0</v>
      </c>
      <c r="JX292" s="39" t="str">
        <f>'Por Valoracion (3) Dimension 2'!H292</f>
        <v>0</v>
      </c>
      <c r="KS292" s="47"/>
    </row>
    <row r="293" spans="1:305">
      <c r="A293" s="38"/>
      <c r="C293" t="str">
        <f>('Inteligencia emocional'!A294)</f>
        <v>0</v>
      </c>
      <c r="D293" s="39" t="str">
        <f>'Por Valoracion (3) Dimension'!B293</f>
        <v>0</v>
      </c>
      <c r="E293" s="39" t="str">
        <f>'Por Valoracion (3) Dimension 2'!B293</f>
        <v>0</v>
      </c>
      <c r="Z293" s="38"/>
      <c r="AB293" t="str">
        <f>('Inteligencia emocional'!A294)</f>
        <v>0</v>
      </c>
      <c r="AC293" s="39" t="str">
        <f>'Por Valoracion (3) Dimension'!B293</f>
        <v>0</v>
      </c>
      <c r="AD293" s="39" t="str">
        <f>'Por Valoracion (3) Dimension 2'!D293</f>
        <v>0</v>
      </c>
      <c r="AY293" s="38"/>
      <c r="BA293" t="str">
        <f>('Inteligencia emocional'!A294)</f>
        <v>0</v>
      </c>
      <c r="BB293" s="39" t="str">
        <f>'Por Valoracion (3) Dimension'!B293</f>
        <v>0</v>
      </c>
      <c r="BC293" s="39" t="str">
        <f>'Por Valoracion (3) Dimension 2'!F293</f>
        <v>0</v>
      </c>
      <c r="BX293" s="38"/>
      <c r="BZ293" t="str">
        <f>('Inteligencia emocional'!A294)</f>
        <v>0</v>
      </c>
      <c r="CA293" s="39" t="str">
        <f>'Por Valoracion (3) Dimension'!B293</f>
        <v>0</v>
      </c>
      <c r="CB293" s="39" t="str">
        <f>'Por Valoracion (3) Dimension 2'!H293</f>
        <v>0</v>
      </c>
      <c r="CW293" s="38"/>
      <c r="CY293" s="46"/>
      <c r="DA293" t="str">
        <f>('Inteligencia emocional'!A294)</f>
        <v>0</v>
      </c>
      <c r="DB293" s="39" t="str">
        <f>'Por Valoracion (3) Dimension'!D293</f>
        <v>0</v>
      </c>
      <c r="DC293" s="39" t="str">
        <f>'Por Valoracion (3) Dimension 2'!B293</f>
        <v>0</v>
      </c>
      <c r="DX293" s="46"/>
      <c r="DZ293" t="str">
        <f>('Inteligencia emocional'!A294)</f>
        <v>0</v>
      </c>
      <c r="EA293" s="39" t="str">
        <f>'Por Valoracion (3) Dimension'!D293</f>
        <v>0</v>
      </c>
      <c r="EB293" s="39" t="str">
        <f>'Por Valoracion (3) Dimension 2'!D293</f>
        <v>0</v>
      </c>
      <c r="EW293" s="46"/>
      <c r="EY293" t="str">
        <f>('Inteligencia emocional'!A294)</f>
        <v>0</v>
      </c>
      <c r="EZ293" s="39" t="str">
        <f>'Por Valoracion (3) Dimension'!D293</f>
        <v>0</v>
      </c>
      <c r="FA293" s="39" t="str">
        <f>'Por Valoracion (3) Dimension 2'!F293</f>
        <v>0</v>
      </c>
      <c r="FV293" s="46"/>
      <c r="FX293" t="str">
        <f>('Inteligencia emocional'!A294)</f>
        <v>0</v>
      </c>
      <c r="FY293" s="39" t="str">
        <f>'Por Valoracion (3) Dimension'!D293</f>
        <v>0</v>
      </c>
      <c r="FZ293" s="39" t="str">
        <f>'Por Valoracion (3) Dimension 2'!H293</f>
        <v>0</v>
      </c>
      <c r="GU293" s="46"/>
      <c r="GW293" s="47"/>
      <c r="GY293" t="str">
        <f>('Inteligencia emocional'!A294)</f>
        <v>0</v>
      </c>
      <c r="GZ293" s="39" t="str">
        <f>'Por Valoracion (3) Dimension'!F293</f>
        <v>0</v>
      </c>
      <c r="HA293" s="39" t="str">
        <f>'Por Valoracion (3) Dimension 2'!B293</f>
        <v>0</v>
      </c>
      <c r="HV293" s="47"/>
      <c r="HX293" t="str">
        <f>('Inteligencia emocional'!A294)</f>
        <v>0</v>
      </c>
      <c r="HY293" s="39" t="str">
        <f>'Por Valoracion (3) Dimension'!F293</f>
        <v>0</v>
      </c>
      <c r="HZ293" s="39" t="str">
        <f>'Por Valoracion (3) Dimension 2'!D293</f>
        <v>0</v>
      </c>
      <c r="IU293" s="47"/>
      <c r="IW293" t="str">
        <f>('Inteligencia emocional'!A294)</f>
        <v>0</v>
      </c>
      <c r="IX293" s="39" t="str">
        <f>'Por Valoracion (3) Dimension'!F293</f>
        <v>0</v>
      </c>
      <c r="IY293" s="39" t="str">
        <f>'Por Valoracion (3) Dimension 2'!F293</f>
        <v>0</v>
      </c>
      <c r="JT293" s="47"/>
      <c r="JV293" t="str">
        <f>('Inteligencia emocional'!A294)</f>
        <v>0</v>
      </c>
      <c r="JW293" s="39" t="str">
        <f>'Por Valoracion (3) Dimension'!F293</f>
        <v>0</v>
      </c>
      <c r="JX293" s="39" t="str">
        <f>'Por Valoracion (3) Dimension 2'!H293</f>
        <v>0</v>
      </c>
      <c r="KS293" s="47"/>
    </row>
    <row r="294" spans="1:305">
      <c r="A294" s="38"/>
      <c r="C294" t="str">
        <f>('Inteligencia emocional'!A295)</f>
        <v>0</v>
      </c>
      <c r="D294" s="39" t="str">
        <f>'Por Valoracion (3) Dimension'!B294</f>
        <v>0</v>
      </c>
      <c r="E294" s="39" t="str">
        <f>'Por Valoracion (3) Dimension 2'!B294</f>
        <v>0</v>
      </c>
      <c r="Z294" s="38"/>
      <c r="AB294" t="str">
        <f>('Inteligencia emocional'!A295)</f>
        <v>0</v>
      </c>
      <c r="AC294" s="39" t="str">
        <f>'Por Valoracion (3) Dimension'!B294</f>
        <v>0</v>
      </c>
      <c r="AD294" s="39" t="str">
        <f>'Por Valoracion (3) Dimension 2'!D294</f>
        <v>0</v>
      </c>
      <c r="AY294" s="38"/>
      <c r="BA294" t="str">
        <f>('Inteligencia emocional'!A295)</f>
        <v>0</v>
      </c>
      <c r="BB294" s="39" t="str">
        <f>'Por Valoracion (3) Dimension'!B294</f>
        <v>0</v>
      </c>
      <c r="BC294" s="39" t="str">
        <f>'Por Valoracion (3) Dimension 2'!F294</f>
        <v>0</v>
      </c>
      <c r="BX294" s="38"/>
      <c r="BZ294" t="str">
        <f>('Inteligencia emocional'!A295)</f>
        <v>0</v>
      </c>
      <c r="CA294" s="39" t="str">
        <f>'Por Valoracion (3) Dimension'!B294</f>
        <v>0</v>
      </c>
      <c r="CB294" s="39" t="str">
        <f>'Por Valoracion (3) Dimension 2'!H294</f>
        <v>0</v>
      </c>
      <c r="CW294" s="38"/>
      <c r="CY294" s="46"/>
      <c r="DA294" t="str">
        <f>('Inteligencia emocional'!A295)</f>
        <v>0</v>
      </c>
      <c r="DB294" s="39" t="str">
        <f>'Por Valoracion (3) Dimension'!D294</f>
        <v>0</v>
      </c>
      <c r="DC294" s="39" t="str">
        <f>'Por Valoracion (3) Dimension 2'!B294</f>
        <v>0</v>
      </c>
      <c r="DX294" s="46"/>
      <c r="DZ294" t="str">
        <f>('Inteligencia emocional'!A295)</f>
        <v>0</v>
      </c>
      <c r="EA294" s="39" t="str">
        <f>'Por Valoracion (3) Dimension'!D294</f>
        <v>0</v>
      </c>
      <c r="EB294" s="39" t="str">
        <f>'Por Valoracion (3) Dimension 2'!D294</f>
        <v>0</v>
      </c>
      <c r="EW294" s="46"/>
      <c r="EY294" t="str">
        <f>('Inteligencia emocional'!A295)</f>
        <v>0</v>
      </c>
      <c r="EZ294" s="39" t="str">
        <f>'Por Valoracion (3) Dimension'!D294</f>
        <v>0</v>
      </c>
      <c r="FA294" s="39" t="str">
        <f>'Por Valoracion (3) Dimension 2'!F294</f>
        <v>0</v>
      </c>
      <c r="FV294" s="46"/>
      <c r="FX294" t="str">
        <f>('Inteligencia emocional'!A295)</f>
        <v>0</v>
      </c>
      <c r="FY294" s="39" t="str">
        <f>'Por Valoracion (3) Dimension'!D294</f>
        <v>0</v>
      </c>
      <c r="FZ294" s="39" t="str">
        <f>'Por Valoracion (3) Dimension 2'!H294</f>
        <v>0</v>
      </c>
      <c r="GU294" s="46"/>
      <c r="GW294" s="47"/>
      <c r="GY294" t="str">
        <f>('Inteligencia emocional'!A295)</f>
        <v>0</v>
      </c>
      <c r="GZ294" s="39" t="str">
        <f>'Por Valoracion (3) Dimension'!F294</f>
        <v>0</v>
      </c>
      <c r="HA294" s="39" t="str">
        <f>'Por Valoracion (3) Dimension 2'!B294</f>
        <v>0</v>
      </c>
      <c r="HV294" s="47"/>
      <c r="HX294" t="str">
        <f>('Inteligencia emocional'!A295)</f>
        <v>0</v>
      </c>
      <c r="HY294" s="39" t="str">
        <f>'Por Valoracion (3) Dimension'!F294</f>
        <v>0</v>
      </c>
      <c r="HZ294" s="39" t="str">
        <f>'Por Valoracion (3) Dimension 2'!D294</f>
        <v>0</v>
      </c>
      <c r="IU294" s="47"/>
      <c r="IW294" t="str">
        <f>('Inteligencia emocional'!A295)</f>
        <v>0</v>
      </c>
      <c r="IX294" s="39" t="str">
        <f>'Por Valoracion (3) Dimension'!F294</f>
        <v>0</v>
      </c>
      <c r="IY294" s="39" t="str">
        <f>'Por Valoracion (3) Dimension 2'!F294</f>
        <v>0</v>
      </c>
      <c r="JT294" s="47"/>
      <c r="JV294" t="str">
        <f>('Inteligencia emocional'!A295)</f>
        <v>0</v>
      </c>
      <c r="JW294" s="39" t="str">
        <f>'Por Valoracion (3) Dimension'!F294</f>
        <v>0</v>
      </c>
      <c r="JX294" s="39" t="str">
        <f>'Por Valoracion (3) Dimension 2'!H294</f>
        <v>0</v>
      </c>
      <c r="KS294" s="47"/>
    </row>
    <row r="295" spans="1:305">
      <c r="A295" s="38"/>
      <c r="C295" t="str">
        <f>('Inteligencia emocional'!A296)</f>
        <v>0</v>
      </c>
      <c r="D295" s="39" t="str">
        <f>'Por Valoracion (3) Dimension'!B295</f>
        <v>0</v>
      </c>
      <c r="E295" s="39" t="str">
        <f>'Por Valoracion (3) Dimension 2'!B295</f>
        <v>0</v>
      </c>
      <c r="Z295" s="38"/>
      <c r="AB295" t="str">
        <f>('Inteligencia emocional'!A296)</f>
        <v>0</v>
      </c>
      <c r="AC295" s="39" t="str">
        <f>'Por Valoracion (3) Dimension'!B295</f>
        <v>0</v>
      </c>
      <c r="AD295" s="39" t="str">
        <f>'Por Valoracion (3) Dimension 2'!D295</f>
        <v>0</v>
      </c>
      <c r="AY295" s="38"/>
      <c r="BA295" t="str">
        <f>('Inteligencia emocional'!A296)</f>
        <v>0</v>
      </c>
      <c r="BB295" s="39" t="str">
        <f>'Por Valoracion (3) Dimension'!B295</f>
        <v>0</v>
      </c>
      <c r="BC295" s="39" t="str">
        <f>'Por Valoracion (3) Dimension 2'!F295</f>
        <v>0</v>
      </c>
      <c r="BX295" s="38"/>
      <c r="BZ295" t="str">
        <f>('Inteligencia emocional'!A296)</f>
        <v>0</v>
      </c>
      <c r="CA295" s="39" t="str">
        <f>'Por Valoracion (3) Dimension'!B295</f>
        <v>0</v>
      </c>
      <c r="CB295" s="39" t="str">
        <f>'Por Valoracion (3) Dimension 2'!H295</f>
        <v>0</v>
      </c>
      <c r="CW295" s="38"/>
      <c r="CY295" s="46"/>
      <c r="DA295" t="str">
        <f>('Inteligencia emocional'!A296)</f>
        <v>0</v>
      </c>
      <c r="DB295" s="39" t="str">
        <f>'Por Valoracion (3) Dimension'!D295</f>
        <v>0</v>
      </c>
      <c r="DC295" s="39" t="str">
        <f>'Por Valoracion (3) Dimension 2'!B295</f>
        <v>0</v>
      </c>
      <c r="DX295" s="46"/>
      <c r="DZ295" t="str">
        <f>('Inteligencia emocional'!A296)</f>
        <v>0</v>
      </c>
      <c r="EA295" s="39" t="str">
        <f>'Por Valoracion (3) Dimension'!D295</f>
        <v>0</v>
      </c>
      <c r="EB295" s="39" t="str">
        <f>'Por Valoracion (3) Dimension 2'!D295</f>
        <v>0</v>
      </c>
      <c r="EW295" s="46"/>
      <c r="EY295" t="str">
        <f>('Inteligencia emocional'!A296)</f>
        <v>0</v>
      </c>
      <c r="EZ295" s="39" t="str">
        <f>'Por Valoracion (3) Dimension'!D295</f>
        <v>0</v>
      </c>
      <c r="FA295" s="39" t="str">
        <f>'Por Valoracion (3) Dimension 2'!F295</f>
        <v>0</v>
      </c>
      <c r="FV295" s="46"/>
      <c r="FX295" t="str">
        <f>('Inteligencia emocional'!A296)</f>
        <v>0</v>
      </c>
      <c r="FY295" s="39" t="str">
        <f>'Por Valoracion (3) Dimension'!D295</f>
        <v>0</v>
      </c>
      <c r="FZ295" s="39" t="str">
        <f>'Por Valoracion (3) Dimension 2'!H295</f>
        <v>0</v>
      </c>
      <c r="GU295" s="46"/>
      <c r="GW295" s="47"/>
      <c r="GY295" t="str">
        <f>('Inteligencia emocional'!A296)</f>
        <v>0</v>
      </c>
      <c r="GZ295" s="39" t="str">
        <f>'Por Valoracion (3) Dimension'!F295</f>
        <v>0</v>
      </c>
      <c r="HA295" s="39" t="str">
        <f>'Por Valoracion (3) Dimension 2'!B295</f>
        <v>0</v>
      </c>
      <c r="HV295" s="47"/>
      <c r="HX295" t="str">
        <f>('Inteligencia emocional'!A296)</f>
        <v>0</v>
      </c>
      <c r="HY295" s="39" t="str">
        <f>'Por Valoracion (3) Dimension'!F295</f>
        <v>0</v>
      </c>
      <c r="HZ295" s="39" t="str">
        <f>'Por Valoracion (3) Dimension 2'!D295</f>
        <v>0</v>
      </c>
      <c r="IU295" s="47"/>
      <c r="IW295" t="str">
        <f>('Inteligencia emocional'!A296)</f>
        <v>0</v>
      </c>
      <c r="IX295" s="39" t="str">
        <f>'Por Valoracion (3) Dimension'!F295</f>
        <v>0</v>
      </c>
      <c r="IY295" s="39" t="str">
        <f>'Por Valoracion (3) Dimension 2'!F295</f>
        <v>0</v>
      </c>
      <c r="JT295" s="47"/>
      <c r="JV295" t="str">
        <f>('Inteligencia emocional'!A296)</f>
        <v>0</v>
      </c>
      <c r="JW295" s="39" t="str">
        <f>'Por Valoracion (3) Dimension'!F295</f>
        <v>0</v>
      </c>
      <c r="JX295" s="39" t="str">
        <f>'Por Valoracion (3) Dimension 2'!H295</f>
        <v>0</v>
      </c>
      <c r="KS295" s="47"/>
    </row>
    <row r="296" spans="1:305">
      <c r="A296" s="38"/>
      <c r="C296" t="str">
        <f>('Inteligencia emocional'!A297)</f>
        <v>0</v>
      </c>
      <c r="D296" s="39" t="str">
        <f>'Por Valoracion (3) Dimension'!B296</f>
        <v>0</v>
      </c>
      <c r="E296" s="39" t="str">
        <f>'Por Valoracion (3) Dimension 2'!B296</f>
        <v>0</v>
      </c>
      <c r="Z296" s="38"/>
      <c r="AB296" t="str">
        <f>('Inteligencia emocional'!A297)</f>
        <v>0</v>
      </c>
      <c r="AC296" s="39" t="str">
        <f>'Por Valoracion (3) Dimension'!B296</f>
        <v>0</v>
      </c>
      <c r="AD296" s="39" t="str">
        <f>'Por Valoracion (3) Dimension 2'!D296</f>
        <v>0</v>
      </c>
      <c r="AY296" s="38"/>
      <c r="BA296" t="str">
        <f>('Inteligencia emocional'!A297)</f>
        <v>0</v>
      </c>
      <c r="BB296" s="39" t="str">
        <f>'Por Valoracion (3) Dimension'!B296</f>
        <v>0</v>
      </c>
      <c r="BC296" s="39" t="str">
        <f>'Por Valoracion (3) Dimension 2'!F296</f>
        <v>0</v>
      </c>
      <c r="BX296" s="38"/>
      <c r="BZ296" t="str">
        <f>('Inteligencia emocional'!A297)</f>
        <v>0</v>
      </c>
      <c r="CA296" s="39" t="str">
        <f>'Por Valoracion (3) Dimension'!B296</f>
        <v>0</v>
      </c>
      <c r="CB296" s="39" t="str">
        <f>'Por Valoracion (3) Dimension 2'!H296</f>
        <v>0</v>
      </c>
      <c r="CW296" s="38"/>
      <c r="CY296" s="46"/>
      <c r="DA296" t="str">
        <f>('Inteligencia emocional'!A297)</f>
        <v>0</v>
      </c>
      <c r="DB296" s="39" t="str">
        <f>'Por Valoracion (3) Dimension'!D296</f>
        <v>0</v>
      </c>
      <c r="DC296" s="39" t="str">
        <f>'Por Valoracion (3) Dimension 2'!B296</f>
        <v>0</v>
      </c>
      <c r="DX296" s="46"/>
      <c r="DZ296" t="str">
        <f>('Inteligencia emocional'!A297)</f>
        <v>0</v>
      </c>
      <c r="EA296" s="39" t="str">
        <f>'Por Valoracion (3) Dimension'!D296</f>
        <v>0</v>
      </c>
      <c r="EB296" s="39" t="str">
        <f>'Por Valoracion (3) Dimension 2'!D296</f>
        <v>0</v>
      </c>
      <c r="EW296" s="46"/>
      <c r="EY296" t="str">
        <f>('Inteligencia emocional'!A297)</f>
        <v>0</v>
      </c>
      <c r="EZ296" s="39" t="str">
        <f>'Por Valoracion (3) Dimension'!D296</f>
        <v>0</v>
      </c>
      <c r="FA296" s="39" t="str">
        <f>'Por Valoracion (3) Dimension 2'!F296</f>
        <v>0</v>
      </c>
      <c r="FV296" s="46"/>
      <c r="FX296" t="str">
        <f>('Inteligencia emocional'!A297)</f>
        <v>0</v>
      </c>
      <c r="FY296" s="39" t="str">
        <f>'Por Valoracion (3) Dimension'!D296</f>
        <v>0</v>
      </c>
      <c r="FZ296" s="39" t="str">
        <f>'Por Valoracion (3) Dimension 2'!H296</f>
        <v>0</v>
      </c>
      <c r="GU296" s="46"/>
      <c r="GW296" s="47"/>
      <c r="GY296" t="str">
        <f>('Inteligencia emocional'!A297)</f>
        <v>0</v>
      </c>
      <c r="GZ296" s="39" t="str">
        <f>'Por Valoracion (3) Dimension'!F296</f>
        <v>0</v>
      </c>
      <c r="HA296" s="39" t="str">
        <f>'Por Valoracion (3) Dimension 2'!B296</f>
        <v>0</v>
      </c>
      <c r="HV296" s="47"/>
      <c r="HX296" t="str">
        <f>('Inteligencia emocional'!A297)</f>
        <v>0</v>
      </c>
      <c r="HY296" s="39" t="str">
        <f>'Por Valoracion (3) Dimension'!F296</f>
        <v>0</v>
      </c>
      <c r="HZ296" s="39" t="str">
        <f>'Por Valoracion (3) Dimension 2'!D296</f>
        <v>0</v>
      </c>
      <c r="IU296" s="47"/>
      <c r="IW296" t="str">
        <f>('Inteligencia emocional'!A297)</f>
        <v>0</v>
      </c>
      <c r="IX296" s="39" t="str">
        <f>'Por Valoracion (3) Dimension'!F296</f>
        <v>0</v>
      </c>
      <c r="IY296" s="39" t="str">
        <f>'Por Valoracion (3) Dimension 2'!F296</f>
        <v>0</v>
      </c>
      <c r="JT296" s="47"/>
      <c r="JV296" t="str">
        <f>('Inteligencia emocional'!A297)</f>
        <v>0</v>
      </c>
      <c r="JW296" s="39" t="str">
        <f>'Por Valoracion (3) Dimension'!F296</f>
        <v>0</v>
      </c>
      <c r="JX296" s="39" t="str">
        <f>'Por Valoracion (3) Dimension 2'!H296</f>
        <v>0</v>
      </c>
      <c r="KS296" s="47"/>
    </row>
    <row r="297" spans="1:305">
      <c r="A297" s="38"/>
      <c r="C297" t="str">
        <f>('Inteligencia emocional'!A298)</f>
        <v>0</v>
      </c>
      <c r="D297" s="39" t="str">
        <f>'Por Valoracion (3) Dimension'!B297</f>
        <v>0</v>
      </c>
      <c r="E297" s="39" t="str">
        <f>'Por Valoracion (3) Dimension 2'!B297</f>
        <v>0</v>
      </c>
      <c r="Z297" s="38"/>
      <c r="AB297" t="str">
        <f>('Inteligencia emocional'!A298)</f>
        <v>0</v>
      </c>
      <c r="AC297" s="39" t="str">
        <f>'Por Valoracion (3) Dimension'!B297</f>
        <v>0</v>
      </c>
      <c r="AD297" s="39" t="str">
        <f>'Por Valoracion (3) Dimension 2'!D297</f>
        <v>0</v>
      </c>
      <c r="AY297" s="38"/>
      <c r="BA297" t="str">
        <f>('Inteligencia emocional'!A298)</f>
        <v>0</v>
      </c>
      <c r="BB297" s="39" t="str">
        <f>'Por Valoracion (3) Dimension'!B297</f>
        <v>0</v>
      </c>
      <c r="BC297" s="39" t="str">
        <f>'Por Valoracion (3) Dimension 2'!F297</f>
        <v>0</v>
      </c>
      <c r="BX297" s="38"/>
      <c r="BZ297" t="str">
        <f>('Inteligencia emocional'!A298)</f>
        <v>0</v>
      </c>
      <c r="CA297" s="39" t="str">
        <f>'Por Valoracion (3) Dimension'!B297</f>
        <v>0</v>
      </c>
      <c r="CB297" s="39" t="str">
        <f>'Por Valoracion (3) Dimension 2'!H297</f>
        <v>0</v>
      </c>
      <c r="CW297" s="38"/>
      <c r="CY297" s="46"/>
      <c r="DA297" t="str">
        <f>('Inteligencia emocional'!A298)</f>
        <v>0</v>
      </c>
      <c r="DB297" s="39" t="str">
        <f>'Por Valoracion (3) Dimension'!D297</f>
        <v>0</v>
      </c>
      <c r="DC297" s="39" t="str">
        <f>'Por Valoracion (3) Dimension 2'!B297</f>
        <v>0</v>
      </c>
      <c r="DX297" s="46"/>
      <c r="DZ297" t="str">
        <f>('Inteligencia emocional'!A298)</f>
        <v>0</v>
      </c>
      <c r="EA297" s="39" t="str">
        <f>'Por Valoracion (3) Dimension'!D297</f>
        <v>0</v>
      </c>
      <c r="EB297" s="39" t="str">
        <f>'Por Valoracion (3) Dimension 2'!D297</f>
        <v>0</v>
      </c>
      <c r="EW297" s="46"/>
      <c r="EY297" t="str">
        <f>('Inteligencia emocional'!A298)</f>
        <v>0</v>
      </c>
      <c r="EZ297" s="39" t="str">
        <f>'Por Valoracion (3) Dimension'!D297</f>
        <v>0</v>
      </c>
      <c r="FA297" s="39" t="str">
        <f>'Por Valoracion (3) Dimension 2'!F297</f>
        <v>0</v>
      </c>
      <c r="FV297" s="46"/>
      <c r="FX297" t="str">
        <f>('Inteligencia emocional'!A298)</f>
        <v>0</v>
      </c>
      <c r="FY297" s="39" t="str">
        <f>'Por Valoracion (3) Dimension'!D297</f>
        <v>0</v>
      </c>
      <c r="FZ297" s="39" t="str">
        <f>'Por Valoracion (3) Dimension 2'!H297</f>
        <v>0</v>
      </c>
      <c r="GU297" s="46"/>
      <c r="GW297" s="47"/>
      <c r="GY297" t="str">
        <f>('Inteligencia emocional'!A298)</f>
        <v>0</v>
      </c>
      <c r="GZ297" s="39" t="str">
        <f>'Por Valoracion (3) Dimension'!F297</f>
        <v>0</v>
      </c>
      <c r="HA297" s="39" t="str">
        <f>'Por Valoracion (3) Dimension 2'!B297</f>
        <v>0</v>
      </c>
      <c r="HV297" s="47"/>
      <c r="HX297" t="str">
        <f>('Inteligencia emocional'!A298)</f>
        <v>0</v>
      </c>
      <c r="HY297" s="39" t="str">
        <f>'Por Valoracion (3) Dimension'!F297</f>
        <v>0</v>
      </c>
      <c r="HZ297" s="39" t="str">
        <f>'Por Valoracion (3) Dimension 2'!D297</f>
        <v>0</v>
      </c>
      <c r="IU297" s="47"/>
      <c r="IW297" t="str">
        <f>('Inteligencia emocional'!A298)</f>
        <v>0</v>
      </c>
      <c r="IX297" s="39" t="str">
        <f>'Por Valoracion (3) Dimension'!F297</f>
        <v>0</v>
      </c>
      <c r="IY297" s="39" t="str">
        <f>'Por Valoracion (3) Dimension 2'!F297</f>
        <v>0</v>
      </c>
      <c r="JT297" s="47"/>
      <c r="JV297" t="str">
        <f>('Inteligencia emocional'!A298)</f>
        <v>0</v>
      </c>
      <c r="JW297" s="39" t="str">
        <f>'Por Valoracion (3) Dimension'!F297</f>
        <v>0</v>
      </c>
      <c r="JX297" s="39" t="str">
        <f>'Por Valoracion (3) Dimension 2'!H297</f>
        <v>0</v>
      </c>
      <c r="KS297" s="47"/>
    </row>
    <row r="298" spans="1:305">
      <c r="A298" s="38"/>
      <c r="C298" t="str">
        <f>('Inteligencia emocional'!A299)</f>
        <v>0</v>
      </c>
      <c r="D298" s="39" t="str">
        <f>'Por Valoracion (3) Dimension'!B298</f>
        <v>0</v>
      </c>
      <c r="E298" s="39" t="str">
        <f>'Por Valoracion (3) Dimension 2'!B298</f>
        <v>0</v>
      </c>
      <c r="Z298" s="38"/>
      <c r="AB298" t="str">
        <f>('Inteligencia emocional'!A299)</f>
        <v>0</v>
      </c>
      <c r="AC298" s="39" t="str">
        <f>'Por Valoracion (3) Dimension'!B298</f>
        <v>0</v>
      </c>
      <c r="AD298" s="39" t="str">
        <f>'Por Valoracion (3) Dimension 2'!D298</f>
        <v>0</v>
      </c>
      <c r="AY298" s="38"/>
      <c r="BA298" t="str">
        <f>('Inteligencia emocional'!A299)</f>
        <v>0</v>
      </c>
      <c r="BB298" s="39" t="str">
        <f>'Por Valoracion (3) Dimension'!B298</f>
        <v>0</v>
      </c>
      <c r="BC298" s="39" t="str">
        <f>'Por Valoracion (3) Dimension 2'!F298</f>
        <v>0</v>
      </c>
      <c r="BX298" s="38"/>
      <c r="BZ298" t="str">
        <f>('Inteligencia emocional'!A299)</f>
        <v>0</v>
      </c>
      <c r="CA298" s="39" t="str">
        <f>'Por Valoracion (3) Dimension'!B298</f>
        <v>0</v>
      </c>
      <c r="CB298" s="39" t="str">
        <f>'Por Valoracion (3) Dimension 2'!H298</f>
        <v>0</v>
      </c>
      <c r="CW298" s="38"/>
      <c r="CY298" s="46"/>
      <c r="DA298" t="str">
        <f>('Inteligencia emocional'!A299)</f>
        <v>0</v>
      </c>
      <c r="DB298" s="39" t="str">
        <f>'Por Valoracion (3) Dimension'!D298</f>
        <v>0</v>
      </c>
      <c r="DC298" s="39" t="str">
        <f>'Por Valoracion (3) Dimension 2'!B298</f>
        <v>0</v>
      </c>
      <c r="DX298" s="46"/>
      <c r="DZ298" t="str">
        <f>('Inteligencia emocional'!A299)</f>
        <v>0</v>
      </c>
      <c r="EA298" s="39" t="str">
        <f>'Por Valoracion (3) Dimension'!D298</f>
        <v>0</v>
      </c>
      <c r="EB298" s="39" t="str">
        <f>'Por Valoracion (3) Dimension 2'!D298</f>
        <v>0</v>
      </c>
      <c r="EW298" s="46"/>
      <c r="EY298" t="str">
        <f>('Inteligencia emocional'!A299)</f>
        <v>0</v>
      </c>
      <c r="EZ298" s="39" t="str">
        <f>'Por Valoracion (3) Dimension'!D298</f>
        <v>0</v>
      </c>
      <c r="FA298" s="39" t="str">
        <f>'Por Valoracion (3) Dimension 2'!F298</f>
        <v>0</v>
      </c>
      <c r="FV298" s="46"/>
      <c r="FX298" t="str">
        <f>('Inteligencia emocional'!A299)</f>
        <v>0</v>
      </c>
      <c r="FY298" s="39" t="str">
        <f>'Por Valoracion (3) Dimension'!D298</f>
        <v>0</v>
      </c>
      <c r="FZ298" s="39" t="str">
        <f>'Por Valoracion (3) Dimension 2'!H298</f>
        <v>0</v>
      </c>
      <c r="GU298" s="46"/>
      <c r="GW298" s="47"/>
      <c r="GY298" t="str">
        <f>('Inteligencia emocional'!A299)</f>
        <v>0</v>
      </c>
      <c r="GZ298" s="39" t="str">
        <f>'Por Valoracion (3) Dimension'!F298</f>
        <v>0</v>
      </c>
      <c r="HA298" s="39" t="str">
        <f>'Por Valoracion (3) Dimension 2'!B298</f>
        <v>0</v>
      </c>
      <c r="HV298" s="47"/>
      <c r="HX298" t="str">
        <f>('Inteligencia emocional'!A299)</f>
        <v>0</v>
      </c>
      <c r="HY298" s="39" t="str">
        <f>'Por Valoracion (3) Dimension'!F298</f>
        <v>0</v>
      </c>
      <c r="HZ298" s="39" t="str">
        <f>'Por Valoracion (3) Dimension 2'!D298</f>
        <v>0</v>
      </c>
      <c r="IU298" s="47"/>
      <c r="IW298" t="str">
        <f>('Inteligencia emocional'!A299)</f>
        <v>0</v>
      </c>
      <c r="IX298" s="39" t="str">
        <f>'Por Valoracion (3) Dimension'!F298</f>
        <v>0</v>
      </c>
      <c r="IY298" s="39" t="str">
        <f>'Por Valoracion (3) Dimension 2'!F298</f>
        <v>0</v>
      </c>
      <c r="JT298" s="47"/>
      <c r="JV298" t="str">
        <f>('Inteligencia emocional'!A299)</f>
        <v>0</v>
      </c>
      <c r="JW298" s="39" t="str">
        <f>'Por Valoracion (3) Dimension'!F298</f>
        <v>0</v>
      </c>
      <c r="JX298" s="39" t="str">
        <f>'Por Valoracion (3) Dimension 2'!H298</f>
        <v>0</v>
      </c>
      <c r="KS298" s="47"/>
    </row>
    <row r="299" spans="1:305">
      <c r="A299" s="38"/>
      <c r="C299" t="str">
        <f>('Inteligencia emocional'!A300)</f>
        <v>0</v>
      </c>
      <c r="D299" s="39" t="str">
        <f>'Por Valoracion (3) Dimension'!B299</f>
        <v>0</v>
      </c>
      <c r="E299" s="39" t="str">
        <f>'Por Valoracion (3) Dimension 2'!B299</f>
        <v>0</v>
      </c>
      <c r="Z299" s="38"/>
      <c r="AB299" t="str">
        <f>('Inteligencia emocional'!A300)</f>
        <v>0</v>
      </c>
      <c r="AC299" s="39" t="str">
        <f>'Por Valoracion (3) Dimension'!B299</f>
        <v>0</v>
      </c>
      <c r="AD299" s="39" t="str">
        <f>'Por Valoracion (3) Dimension 2'!D299</f>
        <v>0</v>
      </c>
      <c r="AY299" s="38"/>
      <c r="BA299" t="str">
        <f>('Inteligencia emocional'!A300)</f>
        <v>0</v>
      </c>
      <c r="BB299" s="39" t="str">
        <f>'Por Valoracion (3) Dimension'!B299</f>
        <v>0</v>
      </c>
      <c r="BC299" s="39" t="str">
        <f>'Por Valoracion (3) Dimension 2'!F299</f>
        <v>0</v>
      </c>
      <c r="BX299" s="38"/>
      <c r="BZ299" t="str">
        <f>('Inteligencia emocional'!A300)</f>
        <v>0</v>
      </c>
      <c r="CA299" s="39" t="str">
        <f>'Por Valoracion (3) Dimension'!B299</f>
        <v>0</v>
      </c>
      <c r="CB299" s="39" t="str">
        <f>'Por Valoracion (3) Dimension 2'!H299</f>
        <v>0</v>
      </c>
      <c r="CW299" s="38"/>
      <c r="CY299" s="46"/>
      <c r="DA299" t="str">
        <f>('Inteligencia emocional'!A300)</f>
        <v>0</v>
      </c>
      <c r="DB299" s="39" t="str">
        <f>'Por Valoracion (3) Dimension'!D299</f>
        <v>0</v>
      </c>
      <c r="DC299" s="39" t="str">
        <f>'Por Valoracion (3) Dimension 2'!B299</f>
        <v>0</v>
      </c>
      <c r="DX299" s="46"/>
      <c r="DZ299" t="str">
        <f>('Inteligencia emocional'!A300)</f>
        <v>0</v>
      </c>
      <c r="EA299" s="39" t="str">
        <f>'Por Valoracion (3) Dimension'!D299</f>
        <v>0</v>
      </c>
      <c r="EB299" s="39" t="str">
        <f>'Por Valoracion (3) Dimension 2'!D299</f>
        <v>0</v>
      </c>
      <c r="EW299" s="46"/>
      <c r="EY299" t="str">
        <f>('Inteligencia emocional'!A300)</f>
        <v>0</v>
      </c>
      <c r="EZ299" s="39" t="str">
        <f>'Por Valoracion (3) Dimension'!D299</f>
        <v>0</v>
      </c>
      <c r="FA299" s="39" t="str">
        <f>'Por Valoracion (3) Dimension 2'!F299</f>
        <v>0</v>
      </c>
      <c r="FV299" s="46"/>
      <c r="FX299" t="str">
        <f>('Inteligencia emocional'!A300)</f>
        <v>0</v>
      </c>
      <c r="FY299" s="39" t="str">
        <f>'Por Valoracion (3) Dimension'!D299</f>
        <v>0</v>
      </c>
      <c r="FZ299" s="39" t="str">
        <f>'Por Valoracion (3) Dimension 2'!H299</f>
        <v>0</v>
      </c>
      <c r="GU299" s="46"/>
      <c r="GW299" s="47"/>
      <c r="GY299" t="str">
        <f>('Inteligencia emocional'!A300)</f>
        <v>0</v>
      </c>
      <c r="GZ299" s="39" t="str">
        <f>'Por Valoracion (3) Dimension'!F299</f>
        <v>0</v>
      </c>
      <c r="HA299" s="39" t="str">
        <f>'Por Valoracion (3) Dimension 2'!B299</f>
        <v>0</v>
      </c>
      <c r="HV299" s="47"/>
      <c r="HX299" t="str">
        <f>('Inteligencia emocional'!A300)</f>
        <v>0</v>
      </c>
      <c r="HY299" s="39" t="str">
        <f>'Por Valoracion (3) Dimension'!F299</f>
        <v>0</v>
      </c>
      <c r="HZ299" s="39" t="str">
        <f>'Por Valoracion (3) Dimension 2'!D299</f>
        <v>0</v>
      </c>
      <c r="IU299" s="47"/>
      <c r="IW299" t="str">
        <f>('Inteligencia emocional'!A300)</f>
        <v>0</v>
      </c>
      <c r="IX299" s="39" t="str">
        <f>'Por Valoracion (3) Dimension'!F299</f>
        <v>0</v>
      </c>
      <c r="IY299" s="39" t="str">
        <f>'Por Valoracion (3) Dimension 2'!F299</f>
        <v>0</v>
      </c>
      <c r="JT299" s="47"/>
      <c r="JV299" t="str">
        <f>('Inteligencia emocional'!A300)</f>
        <v>0</v>
      </c>
      <c r="JW299" s="39" t="str">
        <f>'Por Valoracion (3) Dimension'!F299</f>
        <v>0</v>
      </c>
      <c r="JX299" s="39" t="str">
        <f>'Por Valoracion (3) Dimension 2'!H299</f>
        <v>0</v>
      </c>
      <c r="KS299" s="47"/>
    </row>
    <row r="300" spans="1:305">
      <c r="A300" s="38"/>
      <c r="C300" t="str">
        <f>('Inteligencia emocional'!A301)</f>
        <v>0</v>
      </c>
      <c r="D300" s="39" t="str">
        <f>'Por Valoracion (3) Dimension'!B300</f>
        <v>0</v>
      </c>
      <c r="E300" s="39" t="str">
        <f>'Por Valoracion (3) Dimension 2'!B300</f>
        <v>0</v>
      </c>
      <c r="Z300" s="38"/>
      <c r="AB300" t="str">
        <f>('Inteligencia emocional'!A301)</f>
        <v>0</v>
      </c>
      <c r="AC300" s="39" t="str">
        <f>'Por Valoracion (3) Dimension'!B300</f>
        <v>0</v>
      </c>
      <c r="AD300" s="39" t="str">
        <f>'Por Valoracion (3) Dimension 2'!D300</f>
        <v>0</v>
      </c>
      <c r="AY300" s="38"/>
      <c r="BA300" t="str">
        <f>('Inteligencia emocional'!A301)</f>
        <v>0</v>
      </c>
      <c r="BB300" s="39" t="str">
        <f>'Por Valoracion (3) Dimension'!B300</f>
        <v>0</v>
      </c>
      <c r="BC300" s="39" t="str">
        <f>'Por Valoracion (3) Dimension 2'!F300</f>
        <v>0</v>
      </c>
      <c r="BX300" s="38"/>
      <c r="BZ300" t="str">
        <f>('Inteligencia emocional'!A301)</f>
        <v>0</v>
      </c>
      <c r="CA300" s="39" t="str">
        <f>'Por Valoracion (3) Dimension'!B300</f>
        <v>0</v>
      </c>
      <c r="CB300" s="39" t="str">
        <f>'Por Valoracion (3) Dimension 2'!H300</f>
        <v>0</v>
      </c>
      <c r="CW300" s="38"/>
      <c r="CY300" s="46"/>
      <c r="DA300" t="str">
        <f>('Inteligencia emocional'!A301)</f>
        <v>0</v>
      </c>
      <c r="DB300" s="39" t="str">
        <f>'Por Valoracion (3) Dimension'!D300</f>
        <v>0</v>
      </c>
      <c r="DC300" s="39" t="str">
        <f>'Por Valoracion (3) Dimension 2'!B300</f>
        <v>0</v>
      </c>
      <c r="DX300" s="46"/>
      <c r="DZ300" t="str">
        <f>('Inteligencia emocional'!A301)</f>
        <v>0</v>
      </c>
      <c r="EA300" s="39" t="str">
        <f>'Por Valoracion (3) Dimension'!D300</f>
        <v>0</v>
      </c>
      <c r="EB300" s="39" t="str">
        <f>'Por Valoracion (3) Dimension 2'!D300</f>
        <v>0</v>
      </c>
      <c r="EW300" s="46"/>
      <c r="EY300" t="str">
        <f>('Inteligencia emocional'!A301)</f>
        <v>0</v>
      </c>
      <c r="EZ300" s="39" t="str">
        <f>'Por Valoracion (3) Dimension'!D300</f>
        <v>0</v>
      </c>
      <c r="FA300" s="39" t="str">
        <f>'Por Valoracion (3) Dimension 2'!F300</f>
        <v>0</v>
      </c>
      <c r="FV300" s="46"/>
      <c r="FX300" t="str">
        <f>('Inteligencia emocional'!A301)</f>
        <v>0</v>
      </c>
      <c r="FY300" s="39" t="str">
        <f>'Por Valoracion (3) Dimension'!D300</f>
        <v>0</v>
      </c>
      <c r="FZ300" s="39" t="str">
        <f>'Por Valoracion (3) Dimension 2'!H300</f>
        <v>0</v>
      </c>
      <c r="GU300" s="46"/>
      <c r="GW300" s="47"/>
      <c r="GY300" t="str">
        <f>('Inteligencia emocional'!A301)</f>
        <v>0</v>
      </c>
      <c r="GZ300" s="39" t="str">
        <f>'Por Valoracion (3) Dimension'!F300</f>
        <v>0</v>
      </c>
      <c r="HA300" s="39" t="str">
        <f>'Por Valoracion (3) Dimension 2'!B300</f>
        <v>0</v>
      </c>
      <c r="HV300" s="47"/>
      <c r="HX300" t="str">
        <f>('Inteligencia emocional'!A301)</f>
        <v>0</v>
      </c>
      <c r="HY300" s="39" t="str">
        <f>'Por Valoracion (3) Dimension'!F300</f>
        <v>0</v>
      </c>
      <c r="HZ300" s="39" t="str">
        <f>'Por Valoracion (3) Dimension 2'!D300</f>
        <v>0</v>
      </c>
      <c r="IU300" s="47"/>
      <c r="IW300" t="str">
        <f>('Inteligencia emocional'!A301)</f>
        <v>0</v>
      </c>
      <c r="IX300" s="39" t="str">
        <f>'Por Valoracion (3) Dimension'!F300</f>
        <v>0</v>
      </c>
      <c r="IY300" s="39" t="str">
        <f>'Por Valoracion (3) Dimension 2'!F300</f>
        <v>0</v>
      </c>
      <c r="JT300" s="47"/>
      <c r="JV300" t="str">
        <f>('Inteligencia emocional'!A301)</f>
        <v>0</v>
      </c>
      <c r="JW300" s="39" t="str">
        <f>'Por Valoracion (3) Dimension'!F300</f>
        <v>0</v>
      </c>
      <c r="JX300" s="39" t="str">
        <f>'Por Valoracion (3) Dimension 2'!H300</f>
        <v>0</v>
      </c>
      <c r="KS300" s="47"/>
    </row>
    <row r="301" spans="1:305">
      <c r="A301" s="38"/>
      <c r="C301" t="str">
        <f>('Inteligencia emocional'!A302)</f>
        <v>0</v>
      </c>
      <c r="D301" s="39" t="str">
        <f>'Por Valoracion (3) Dimension'!B301</f>
        <v>0</v>
      </c>
      <c r="E301" s="39" t="str">
        <f>'Por Valoracion (3) Dimension 2'!B301</f>
        <v>0</v>
      </c>
      <c r="Z301" s="38"/>
      <c r="AB301" t="str">
        <f>('Inteligencia emocional'!A302)</f>
        <v>0</v>
      </c>
      <c r="AC301" s="39" t="str">
        <f>'Por Valoracion (3) Dimension'!B301</f>
        <v>0</v>
      </c>
      <c r="AD301" s="39" t="str">
        <f>'Por Valoracion (3) Dimension 2'!D301</f>
        <v>0</v>
      </c>
      <c r="AY301" s="38"/>
      <c r="BA301" t="str">
        <f>('Inteligencia emocional'!A302)</f>
        <v>0</v>
      </c>
      <c r="BB301" s="39" t="str">
        <f>'Por Valoracion (3) Dimension'!B301</f>
        <v>0</v>
      </c>
      <c r="BC301" s="39" t="str">
        <f>'Por Valoracion (3) Dimension 2'!F301</f>
        <v>0</v>
      </c>
      <c r="BX301" s="38"/>
      <c r="BZ301" t="str">
        <f>('Inteligencia emocional'!A302)</f>
        <v>0</v>
      </c>
      <c r="CA301" s="39" t="str">
        <f>'Por Valoracion (3) Dimension'!B301</f>
        <v>0</v>
      </c>
      <c r="CB301" s="39" t="str">
        <f>'Por Valoracion (3) Dimension 2'!H301</f>
        <v>0</v>
      </c>
      <c r="CW301" s="38"/>
      <c r="CY301" s="46"/>
      <c r="DA301" t="str">
        <f>('Inteligencia emocional'!A302)</f>
        <v>0</v>
      </c>
      <c r="DB301" s="39" t="str">
        <f>'Por Valoracion (3) Dimension'!D301</f>
        <v>0</v>
      </c>
      <c r="DC301" s="39" t="str">
        <f>'Por Valoracion (3) Dimension 2'!B301</f>
        <v>0</v>
      </c>
      <c r="DX301" s="46"/>
      <c r="DZ301" t="str">
        <f>('Inteligencia emocional'!A302)</f>
        <v>0</v>
      </c>
      <c r="EA301" s="39" t="str">
        <f>'Por Valoracion (3) Dimension'!D301</f>
        <v>0</v>
      </c>
      <c r="EB301" s="39" t="str">
        <f>'Por Valoracion (3) Dimension 2'!D301</f>
        <v>0</v>
      </c>
      <c r="EW301" s="46"/>
      <c r="EY301" t="str">
        <f>('Inteligencia emocional'!A302)</f>
        <v>0</v>
      </c>
      <c r="EZ301" s="39" t="str">
        <f>'Por Valoracion (3) Dimension'!D301</f>
        <v>0</v>
      </c>
      <c r="FA301" s="39" t="str">
        <f>'Por Valoracion (3) Dimension 2'!F301</f>
        <v>0</v>
      </c>
      <c r="FV301" s="46"/>
      <c r="FX301" t="str">
        <f>('Inteligencia emocional'!A302)</f>
        <v>0</v>
      </c>
      <c r="FY301" s="39" t="str">
        <f>'Por Valoracion (3) Dimension'!D301</f>
        <v>0</v>
      </c>
      <c r="FZ301" s="39" t="str">
        <f>'Por Valoracion (3) Dimension 2'!H301</f>
        <v>0</v>
      </c>
      <c r="GU301" s="46"/>
      <c r="GW301" s="47"/>
      <c r="GY301" t="str">
        <f>('Inteligencia emocional'!A302)</f>
        <v>0</v>
      </c>
      <c r="GZ301" s="39" t="str">
        <f>'Por Valoracion (3) Dimension'!F301</f>
        <v>0</v>
      </c>
      <c r="HA301" s="39" t="str">
        <f>'Por Valoracion (3) Dimension 2'!B301</f>
        <v>0</v>
      </c>
      <c r="HV301" s="47"/>
      <c r="HX301" t="str">
        <f>('Inteligencia emocional'!A302)</f>
        <v>0</v>
      </c>
      <c r="HY301" s="39" t="str">
        <f>'Por Valoracion (3) Dimension'!F301</f>
        <v>0</v>
      </c>
      <c r="HZ301" s="39" t="str">
        <f>'Por Valoracion (3) Dimension 2'!D301</f>
        <v>0</v>
      </c>
      <c r="IU301" s="47"/>
      <c r="IW301" t="str">
        <f>('Inteligencia emocional'!A302)</f>
        <v>0</v>
      </c>
      <c r="IX301" s="39" t="str">
        <f>'Por Valoracion (3) Dimension'!F301</f>
        <v>0</v>
      </c>
      <c r="IY301" s="39" t="str">
        <f>'Por Valoracion (3) Dimension 2'!F301</f>
        <v>0</v>
      </c>
      <c r="JT301" s="47"/>
      <c r="JV301" t="str">
        <f>('Inteligencia emocional'!A302)</f>
        <v>0</v>
      </c>
      <c r="JW301" s="39" t="str">
        <f>'Por Valoracion (3) Dimension'!F301</f>
        <v>0</v>
      </c>
      <c r="JX301" s="39" t="str">
        <f>'Por Valoracion (3) Dimension 2'!H301</f>
        <v>0</v>
      </c>
      <c r="KS301" s="47"/>
    </row>
    <row r="302" spans="1:305">
      <c r="A302" s="38"/>
      <c r="C302" t="str">
        <f>('Inteligencia emocional'!A303)</f>
        <v>0</v>
      </c>
      <c r="D302" s="39" t="str">
        <f>'Por Valoracion (3) Dimension'!B302</f>
        <v>0</v>
      </c>
      <c r="E302" s="39" t="str">
        <f>'Por Valoracion (3) Dimension 2'!B302</f>
        <v>0</v>
      </c>
      <c r="Z302" s="38"/>
      <c r="AB302" t="str">
        <f>('Inteligencia emocional'!A303)</f>
        <v>0</v>
      </c>
      <c r="AC302" s="39" t="str">
        <f>'Por Valoracion (3) Dimension'!B302</f>
        <v>0</v>
      </c>
      <c r="AD302" s="39" t="str">
        <f>'Por Valoracion (3) Dimension 2'!D302</f>
        <v>0</v>
      </c>
      <c r="AY302" s="38"/>
      <c r="BA302" t="str">
        <f>('Inteligencia emocional'!A303)</f>
        <v>0</v>
      </c>
      <c r="BB302" s="39" t="str">
        <f>'Por Valoracion (3) Dimension'!B302</f>
        <v>0</v>
      </c>
      <c r="BC302" s="39" t="str">
        <f>'Por Valoracion (3) Dimension 2'!F302</f>
        <v>0</v>
      </c>
      <c r="BX302" s="38"/>
      <c r="BZ302" t="str">
        <f>('Inteligencia emocional'!A303)</f>
        <v>0</v>
      </c>
      <c r="CA302" s="39" t="str">
        <f>'Por Valoracion (3) Dimension'!B302</f>
        <v>0</v>
      </c>
      <c r="CB302" s="39" t="str">
        <f>'Por Valoracion (3) Dimension 2'!H302</f>
        <v>0</v>
      </c>
      <c r="CW302" s="38"/>
      <c r="CY302" s="46"/>
      <c r="DA302" t="str">
        <f>('Inteligencia emocional'!A303)</f>
        <v>0</v>
      </c>
      <c r="DB302" s="39" t="str">
        <f>'Por Valoracion (3) Dimension'!D302</f>
        <v>0</v>
      </c>
      <c r="DC302" s="39" t="str">
        <f>'Por Valoracion (3) Dimension 2'!B302</f>
        <v>0</v>
      </c>
      <c r="DX302" s="46"/>
      <c r="DZ302" t="str">
        <f>('Inteligencia emocional'!A303)</f>
        <v>0</v>
      </c>
      <c r="EA302" s="39" t="str">
        <f>'Por Valoracion (3) Dimension'!D302</f>
        <v>0</v>
      </c>
      <c r="EB302" s="39" t="str">
        <f>'Por Valoracion (3) Dimension 2'!D302</f>
        <v>0</v>
      </c>
      <c r="EW302" s="46"/>
      <c r="EY302" t="str">
        <f>('Inteligencia emocional'!A303)</f>
        <v>0</v>
      </c>
      <c r="EZ302" s="39" t="str">
        <f>'Por Valoracion (3) Dimension'!D302</f>
        <v>0</v>
      </c>
      <c r="FA302" s="39" t="str">
        <f>'Por Valoracion (3) Dimension 2'!F302</f>
        <v>0</v>
      </c>
      <c r="FV302" s="46"/>
      <c r="FX302" t="str">
        <f>('Inteligencia emocional'!A303)</f>
        <v>0</v>
      </c>
      <c r="FY302" s="39" t="str">
        <f>'Por Valoracion (3) Dimension'!D302</f>
        <v>0</v>
      </c>
      <c r="FZ302" s="39" t="str">
        <f>'Por Valoracion (3) Dimension 2'!H302</f>
        <v>0</v>
      </c>
      <c r="GU302" s="46"/>
      <c r="GW302" s="47"/>
      <c r="GY302" t="str">
        <f>('Inteligencia emocional'!A303)</f>
        <v>0</v>
      </c>
      <c r="GZ302" s="39" t="str">
        <f>'Por Valoracion (3) Dimension'!F302</f>
        <v>0</v>
      </c>
      <c r="HA302" s="39" t="str">
        <f>'Por Valoracion (3) Dimension 2'!B302</f>
        <v>0</v>
      </c>
      <c r="HV302" s="47"/>
      <c r="HX302" t="str">
        <f>('Inteligencia emocional'!A303)</f>
        <v>0</v>
      </c>
      <c r="HY302" s="39" t="str">
        <f>'Por Valoracion (3) Dimension'!F302</f>
        <v>0</v>
      </c>
      <c r="HZ302" s="39" t="str">
        <f>'Por Valoracion (3) Dimension 2'!D302</f>
        <v>0</v>
      </c>
      <c r="IU302" s="47"/>
      <c r="IW302" t="str">
        <f>('Inteligencia emocional'!A303)</f>
        <v>0</v>
      </c>
      <c r="IX302" s="39" t="str">
        <f>'Por Valoracion (3) Dimension'!F302</f>
        <v>0</v>
      </c>
      <c r="IY302" s="39" t="str">
        <f>'Por Valoracion (3) Dimension 2'!F302</f>
        <v>0</v>
      </c>
      <c r="JT302" s="47"/>
      <c r="JV302" t="str">
        <f>('Inteligencia emocional'!A303)</f>
        <v>0</v>
      </c>
      <c r="JW302" s="39" t="str">
        <f>'Por Valoracion (3) Dimension'!F302</f>
        <v>0</v>
      </c>
      <c r="JX302" s="39" t="str">
        <f>'Por Valoracion (3) Dimension 2'!H302</f>
        <v>0</v>
      </c>
      <c r="KS302" s="47"/>
    </row>
    <row r="303" spans="1:305">
      <c r="A303" s="38"/>
      <c r="C303" t="str">
        <f>('Inteligencia emocional'!A304)</f>
        <v>0</v>
      </c>
      <c r="D303" s="39" t="str">
        <f>'Por Valoracion (3) Dimension'!B303</f>
        <v>0</v>
      </c>
      <c r="E303" s="39" t="str">
        <f>'Por Valoracion (3) Dimension 2'!B303</f>
        <v>0</v>
      </c>
      <c r="Z303" s="38"/>
      <c r="AB303" t="str">
        <f>('Inteligencia emocional'!A304)</f>
        <v>0</v>
      </c>
      <c r="AC303" s="39" t="str">
        <f>'Por Valoracion (3) Dimension'!B303</f>
        <v>0</v>
      </c>
      <c r="AD303" s="39" t="str">
        <f>'Por Valoracion (3) Dimension 2'!D303</f>
        <v>0</v>
      </c>
      <c r="AY303" s="38"/>
      <c r="BA303" t="str">
        <f>('Inteligencia emocional'!A304)</f>
        <v>0</v>
      </c>
      <c r="BB303" s="39" t="str">
        <f>'Por Valoracion (3) Dimension'!B303</f>
        <v>0</v>
      </c>
      <c r="BC303" s="39" t="str">
        <f>'Por Valoracion (3) Dimension 2'!F303</f>
        <v>0</v>
      </c>
      <c r="BX303" s="38"/>
      <c r="BZ303" t="str">
        <f>('Inteligencia emocional'!A304)</f>
        <v>0</v>
      </c>
      <c r="CA303" s="39" t="str">
        <f>'Por Valoracion (3) Dimension'!B303</f>
        <v>0</v>
      </c>
      <c r="CB303" s="39" t="str">
        <f>'Por Valoracion (3) Dimension 2'!H303</f>
        <v>0</v>
      </c>
      <c r="CW303" s="38"/>
      <c r="CY303" s="46"/>
      <c r="DA303" t="str">
        <f>('Inteligencia emocional'!A304)</f>
        <v>0</v>
      </c>
      <c r="DB303" s="39" t="str">
        <f>'Por Valoracion (3) Dimension'!D303</f>
        <v>0</v>
      </c>
      <c r="DC303" s="39" t="str">
        <f>'Por Valoracion (3) Dimension 2'!B303</f>
        <v>0</v>
      </c>
      <c r="DX303" s="46"/>
      <c r="DZ303" t="str">
        <f>('Inteligencia emocional'!A304)</f>
        <v>0</v>
      </c>
      <c r="EA303" s="39" t="str">
        <f>'Por Valoracion (3) Dimension'!D303</f>
        <v>0</v>
      </c>
      <c r="EB303" s="39" t="str">
        <f>'Por Valoracion (3) Dimension 2'!D303</f>
        <v>0</v>
      </c>
      <c r="EW303" s="46"/>
      <c r="EY303" t="str">
        <f>('Inteligencia emocional'!A304)</f>
        <v>0</v>
      </c>
      <c r="EZ303" s="39" t="str">
        <f>'Por Valoracion (3) Dimension'!D303</f>
        <v>0</v>
      </c>
      <c r="FA303" s="39" t="str">
        <f>'Por Valoracion (3) Dimension 2'!F303</f>
        <v>0</v>
      </c>
      <c r="FV303" s="46"/>
      <c r="FX303" t="str">
        <f>('Inteligencia emocional'!A304)</f>
        <v>0</v>
      </c>
      <c r="FY303" s="39" t="str">
        <f>'Por Valoracion (3) Dimension'!D303</f>
        <v>0</v>
      </c>
      <c r="FZ303" s="39" t="str">
        <f>'Por Valoracion (3) Dimension 2'!H303</f>
        <v>0</v>
      </c>
      <c r="GU303" s="46"/>
      <c r="GW303" s="47"/>
      <c r="GY303" t="str">
        <f>('Inteligencia emocional'!A304)</f>
        <v>0</v>
      </c>
      <c r="GZ303" s="39" t="str">
        <f>'Por Valoracion (3) Dimension'!F303</f>
        <v>0</v>
      </c>
      <c r="HA303" s="39" t="str">
        <f>'Por Valoracion (3) Dimension 2'!B303</f>
        <v>0</v>
      </c>
      <c r="HV303" s="47"/>
      <c r="HX303" t="str">
        <f>('Inteligencia emocional'!A304)</f>
        <v>0</v>
      </c>
      <c r="HY303" s="39" t="str">
        <f>'Por Valoracion (3) Dimension'!F303</f>
        <v>0</v>
      </c>
      <c r="HZ303" s="39" t="str">
        <f>'Por Valoracion (3) Dimension 2'!D303</f>
        <v>0</v>
      </c>
      <c r="IU303" s="47"/>
      <c r="IW303" t="str">
        <f>('Inteligencia emocional'!A304)</f>
        <v>0</v>
      </c>
      <c r="IX303" s="39" t="str">
        <f>'Por Valoracion (3) Dimension'!F303</f>
        <v>0</v>
      </c>
      <c r="IY303" s="39" t="str">
        <f>'Por Valoracion (3) Dimension 2'!F303</f>
        <v>0</v>
      </c>
      <c r="JT303" s="47"/>
      <c r="JV303" t="str">
        <f>('Inteligencia emocional'!A304)</f>
        <v>0</v>
      </c>
      <c r="JW303" s="39" t="str">
        <f>'Por Valoracion (3) Dimension'!F303</f>
        <v>0</v>
      </c>
      <c r="JX303" s="39" t="str">
        <f>'Por Valoracion (3) Dimension 2'!H303</f>
        <v>0</v>
      </c>
      <c r="KS303" s="47"/>
    </row>
    <row r="304" spans="1:305">
      <c r="A304" s="38"/>
      <c r="C304" t="str">
        <f>('Inteligencia emocional'!A305)</f>
        <v>0</v>
      </c>
      <c r="D304" s="39" t="str">
        <f>'Por Valoracion (3) Dimension'!B304</f>
        <v>0</v>
      </c>
      <c r="E304" s="39" t="str">
        <f>'Por Valoracion (3) Dimension 2'!B304</f>
        <v>0</v>
      </c>
      <c r="Z304" s="38"/>
      <c r="AB304" t="str">
        <f>('Inteligencia emocional'!A305)</f>
        <v>0</v>
      </c>
      <c r="AC304" s="39" t="str">
        <f>'Por Valoracion (3) Dimension'!B304</f>
        <v>0</v>
      </c>
      <c r="AD304" s="39" t="str">
        <f>'Por Valoracion (3) Dimension 2'!D304</f>
        <v>0</v>
      </c>
      <c r="AY304" s="38"/>
      <c r="BA304" t="str">
        <f>('Inteligencia emocional'!A305)</f>
        <v>0</v>
      </c>
      <c r="BB304" s="39" t="str">
        <f>'Por Valoracion (3) Dimension'!B304</f>
        <v>0</v>
      </c>
      <c r="BC304" s="39" t="str">
        <f>'Por Valoracion (3) Dimension 2'!F304</f>
        <v>0</v>
      </c>
      <c r="BX304" s="38"/>
      <c r="BZ304" t="str">
        <f>('Inteligencia emocional'!A305)</f>
        <v>0</v>
      </c>
      <c r="CA304" s="39" t="str">
        <f>'Por Valoracion (3) Dimension'!B304</f>
        <v>0</v>
      </c>
      <c r="CB304" s="39" t="str">
        <f>'Por Valoracion (3) Dimension 2'!H304</f>
        <v>0</v>
      </c>
      <c r="CW304" s="38"/>
      <c r="CY304" s="46"/>
      <c r="DA304" t="str">
        <f>('Inteligencia emocional'!A305)</f>
        <v>0</v>
      </c>
      <c r="DB304" s="39" t="str">
        <f>'Por Valoracion (3) Dimension'!D304</f>
        <v>0</v>
      </c>
      <c r="DC304" s="39" t="str">
        <f>'Por Valoracion (3) Dimension 2'!B304</f>
        <v>0</v>
      </c>
      <c r="DX304" s="46"/>
      <c r="DZ304" t="str">
        <f>('Inteligencia emocional'!A305)</f>
        <v>0</v>
      </c>
      <c r="EA304" s="39" t="str">
        <f>'Por Valoracion (3) Dimension'!D304</f>
        <v>0</v>
      </c>
      <c r="EB304" s="39" t="str">
        <f>'Por Valoracion (3) Dimension 2'!D304</f>
        <v>0</v>
      </c>
      <c r="EW304" s="46"/>
      <c r="EY304" t="str">
        <f>('Inteligencia emocional'!A305)</f>
        <v>0</v>
      </c>
      <c r="EZ304" s="39" t="str">
        <f>'Por Valoracion (3) Dimension'!D304</f>
        <v>0</v>
      </c>
      <c r="FA304" s="39" t="str">
        <f>'Por Valoracion (3) Dimension 2'!F304</f>
        <v>0</v>
      </c>
      <c r="FV304" s="46"/>
      <c r="FX304" t="str">
        <f>('Inteligencia emocional'!A305)</f>
        <v>0</v>
      </c>
      <c r="FY304" s="39" t="str">
        <f>'Por Valoracion (3) Dimension'!D304</f>
        <v>0</v>
      </c>
      <c r="FZ304" s="39" t="str">
        <f>'Por Valoracion (3) Dimension 2'!H304</f>
        <v>0</v>
      </c>
      <c r="GU304" s="46"/>
      <c r="GW304" s="47"/>
      <c r="GY304" t="str">
        <f>('Inteligencia emocional'!A305)</f>
        <v>0</v>
      </c>
      <c r="GZ304" s="39" t="str">
        <f>'Por Valoracion (3) Dimension'!F304</f>
        <v>0</v>
      </c>
      <c r="HA304" s="39" t="str">
        <f>'Por Valoracion (3) Dimension 2'!B304</f>
        <v>0</v>
      </c>
      <c r="HV304" s="47"/>
      <c r="HX304" t="str">
        <f>('Inteligencia emocional'!A305)</f>
        <v>0</v>
      </c>
      <c r="HY304" s="39" t="str">
        <f>'Por Valoracion (3) Dimension'!F304</f>
        <v>0</v>
      </c>
      <c r="HZ304" s="39" t="str">
        <f>'Por Valoracion (3) Dimension 2'!D304</f>
        <v>0</v>
      </c>
      <c r="IU304" s="47"/>
      <c r="IW304" t="str">
        <f>('Inteligencia emocional'!A305)</f>
        <v>0</v>
      </c>
      <c r="IX304" s="39" t="str">
        <f>'Por Valoracion (3) Dimension'!F304</f>
        <v>0</v>
      </c>
      <c r="IY304" s="39" t="str">
        <f>'Por Valoracion (3) Dimension 2'!F304</f>
        <v>0</v>
      </c>
      <c r="JT304" s="47"/>
      <c r="JV304" t="str">
        <f>('Inteligencia emocional'!A305)</f>
        <v>0</v>
      </c>
      <c r="JW304" s="39" t="str">
        <f>'Por Valoracion (3) Dimension'!F304</f>
        <v>0</v>
      </c>
      <c r="JX304" s="39" t="str">
        <f>'Por Valoracion (3) Dimension 2'!H304</f>
        <v>0</v>
      </c>
      <c r="KS304" s="47"/>
    </row>
    <row r="305" spans="1:305">
      <c r="A305" s="38"/>
      <c r="C305" t="str">
        <f>('Inteligencia emocional'!A306)</f>
        <v>0</v>
      </c>
      <c r="D305" s="39" t="str">
        <f>'Por Valoracion (3) Dimension'!B305</f>
        <v>0</v>
      </c>
      <c r="E305" s="39" t="str">
        <f>'Por Valoracion (3) Dimension 2'!B305</f>
        <v>0</v>
      </c>
      <c r="Z305" s="38"/>
      <c r="AB305" t="str">
        <f>('Inteligencia emocional'!A306)</f>
        <v>0</v>
      </c>
      <c r="AC305" s="39" t="str">
        <f>'Por Valoracion (3) Dimension'!B305</f>
        <v>0</v>
      </c>
      <c r="AD305" s="39" t="str">
        <f>'Por Valoracion (3) Dimension 2'!D305</f>
        <v>0</v>
      </c>
      <c r="AY305" s="38"/>
      <c r="BA305" t="str">
        <f>('Inteligencia emocional'!A306)</f>
        <v>0</v>
      </c>
      <c r="BB305" s="39" t="str">
        <f>'Por Valoracion (3) Dimension'!B305</f>
        <v>0</v>
      </c>
      <c r="BC305" s="39" t="str">
        <f>'Por Valoracion (3) Dimension 2'!F305</f>
        <v>0</v>
      </c>
      <c r="BX305" s="38"/>
      <c r="BZ305" t="str">
        <f>('Inteligencia emocional'!A306)</f>
        <v>0</v>
      </c>
      <c r="CA305" s="39" t="str">
        <f>'Por Valoracion (3) Dimension'!B305</f>
        <v>0</v>
      </c>
      <c r="CB305" s="39" t="str">
        <f>'Por Valoracion (3) Dimension 2'!H305</f>
        <v>0</v>
      </c>
      <c r="CW305" s="38"/>
      <c r="CY305" s="46"/>
      <c r="DA305" t="str">
        <f>('Inteligencia emocional'!A306)</f>
        <v>0</v>
      </c>
      <c r="DB305" s="39" t="str">
        <f>'Por Valoracion (3) Dimension'!D305</f>
        <v>0</v>
      </c>
      <c r="DC305" s="39" t="str">
        <f>'Por Valoracion (3) Dimension 2'!B305</f>
        <v>0</v>
      </c>
      <c r="DX305" s="46"/>
      <c r="DZ305" t="str">
        <f>('Inteligencia emocional'!A306)</f>
        <v>0</v>
      </c>
      <c r="EA305" s="39" t="str">
        <f>'Por Valoracion (3) Dimension'!D305</f>
        <v>0</v>
      </c>
      <c r="EB305" s="39" t="str">
        <f>'Por Valoracion (3) Dimension 2'!D305</f>
        <v>0</v>
      </c>
      <c r="EW305" s="46"/>
      <c r="EY305" t="str">
        <f>('Inteligencia emocional'!A306)</f>
        <v>0</v>
      </c>
      <c r="EZ305" s="39" t="str">
        <f>'Por Valoracion (3) Dimension'!D305</f>
        <v>0</v>
      </c>
      <c r="FA305" s="39" t="str">
        <f>'Por Valoracion (3) Dimension 2'!F305</f>
        <v>0</v>
      </c>
      <c r="FV305" s="46"/>
      <c r="FX305" t="str">
        <f>('Inteligencia emocional'!A306)</f>
        <v>0</v>
      </c>
      <c r="FY305" s="39" t="str">
        <f>'Por Valoracion (3) Dimension'!D305</f>
        <v>0</v>
      </c>
      <c r="FZ305" s="39" t="str">
        <f>'Por Valoracion (3) Dimension 2'!H305</f>
        <v>0</v>
      </c>
      <c r="GU305" s="46"/>
      <c r="GW305" s="47"/>
      <c r="GY305" t="str">
        <f>('Inteligencia emocional'!A306)</f>
        <v>0</v>
      </c>
      <c r="GZ305" s="39" t="str">
        <f>'Por Valoracion (3) Dimension'!F305</f>
        <v>0</v>
      </c>
      <c r="HA305" s="39" t="str">
        <f>'Por Valoracion (3) Dimension 2'!B305</f>
        <v>0</v>
      </c>
      <c r="HV305" s="47"/>
      <c r="HX305" t="str">
        <f>('Inteligencia emocional'!A306)</f>
        <v>0</v>
      </c>
      <c r="HY305" s="39" t="str">
        <f>'Por Valoracion (3) Dimension'!F305</f>
        <v>0</v>
      </c>
      <c r="HZ305" s="39" t="str">
        <f>'Por Valoracion (3) Dimension 2'!D305</f>
        <v>0</v>
      </c>
      <c r="IU305" s="47"/>
      <c r="IW305" t="str">
        <f>('Inteligencia emocional'!A306)</f>
        <v>0</v>
      </c>
      <c r="IX305" s="39" t="str">
        <f>'Por Valoracion (3) Dimension'!F305</f>
        <v>0</v>
      </c>
      <c r="IY305" s="39" t="str">
        <f>'Por Valoracion (3) Dimension 2'!F305</f>
        <v>0</v>
      </c>
      <c r="JT305" s="47"/>
      <c r="JV305" t="str">
        <f>('Inteligencia emocional'!A306)</f>
        <v>0</v>
      </c>
      <c r="JW305" s="39" t="str">
        <f>'Por Valoracion (3) Dimension'!F305</f>
        <v>0</v>
      </c>
      <c r="JX305" s="39" t="str">
        <f>'Por Valoracion (3) Dimension 2'!H305</f>
        <v>0</v>
      </c>
      <c r="KS305" s="47"/>
    </row>
    <row r="306" spans="1:305">
      <c r="A306" s="38"/>
      <c r="C306" t="str">
        <f>('Inteligencia emocional'!A307)</f>
        <v>0</v>
      </c>
      <c r="D306" s="39" t="str">
        <f>'Por Valoracion (3) Dimension'!B306</f>
        <v>0</v>
      </c>
      <c r="E306" s="39" t="str">
        <f>'Por Valoracion (3) Dimension 2'!B306</f>
        <v>0</v>
      </c>
      <c r="Z306" s="38"/>
      <c r="AB306" t="str">
        <f>('Inteligencia emocional'!A307)</f>
        <v>0</v>
      </c>
      <c r="AC306" s="39" t="str">
        <f>'Por Valoracion (3) Dimension'!B306</f>
        <v>0</v>
      </c>
      <c r="AD306" s="39" t="str">
        <f>'Por Valoracion (3) Dimension 2'!D306</f>
        <v>0</v>
      </c>
      <c r="AY306" s="38"/>
      <c r="BA306" t="str">
        <f>('Inteligencia emocional'!A307)</f>
        <v>0</v>
      </c>
      <c r="BB306" s="39" t="str">
        <f>'Por Valoracion (3) Dimension'!B306</f>
        <v>0</v>
      </c>
      <c r="BC306" s="39" t="str">
        <f>'Por Valoracion (3) Dimension 2'!F306</f>
        <v>0</v>
      </c>
      <c r="BX306" s="38"/>
      <c r="BZ306" t="str">
        <f>('Inteligencia emocional'!A307)</f>
        <v>0</v>
      </c>
      <c r="CA306" s="39" t="str">
        <f>'Por Valoracion (3) Dimension'!B306</f>
        <v>0</v>
      </c>
      <c r="CB306" s="39" t="str">
        <f>'Por Valoracion (3) Dimension 2'!H306</f>
        <v>0</v>
      </c>
      <c r="CW306" s="38"/>
      <c r="CY306" s="46"/>
      <c r="DA306" t="str">
        <f>('Inteligencia emocional'!A307)</f>
        <v>0</v>
      </c>
      <c r="DB306" s="39" t="str">
        <f>'Por Valoracion (3) Dimension'!D306</f>
        <v>0</v>
      </c>
      <c r="DC306" s="39" t="str">
        <f>'Por Valoracion (3) Dimension 2'!B306</f>
        <v>0</v>
      </c>
      <c r="DX306" s="46"/>
      <c r="DZ306" t="str">
        <f>('Inteligencia emocional'!A307)</f>
        <v>0</v>
      </c>
      <c r="EA306" s="39" t="str">
        <f>'Por Valoracion (3) Dimension'!D306</f>
        <v>0</v>
      </c>
      <c r="EB306" s="39" t="str">
        <f>'Por Valoracion (3) Dimension 2'!D306</f>
        <v>0</v>
      </c>
      <c r="EW306" s="46"/>
      <c r="EY306" t="str">
        <f>('Inteligencia emocional'!A307)</f>
        <v>0</v>
      </c>
      <c r="EZ306" s="39" t="str">
        <f>'Por Valoracion (3) Dimension'!D306</f>
        <v>0</v>
      </c>
      <c r="FA306" s="39" t="str">
        <f>'Por Valoracion (3) Dimension 2'!F306</f>
        <v>0</v>
      </c>
      <c r="FV306" s="46"/>
      <c r="FX306" t="str">
        <f>('Inteligencia emocional'!A307)</f>
        <v>0</v>
      </c>
      <c r="FY306" s="39" t="str">
        <f>'Por Valoracion (3) Dimension'!D306</f>
        <v>0</v>
      </c>
      <c r="FZ306" s="39" t="str">
        <f>'Por Valoracion (3) Dimension 2'!H306</f>
        <v>0</v>
      </c>
      <c r="GU306" s="46"/>
      <c r="GW306" s="47"/>
      <c r="GY306" t="str">
        <f>('Inteligencia emocional'!A307)</f>
        <v>0</v>
      </c>
      <c r="GZ306" s="39" t="str">
        <f>'Por Valoracion (3) Dimension'!F306</f>
        <v>0</v>
      </c>
      <c r="HA306" s="39" t="str">
        <f>'Por Valoracion (3) Dimension 2'!B306</f>
        <v>0</v>
      </c>
      <c r="HV306" s="47"/>
      <c r="HX306" t="str">
        <f>('Inteligencia emocional'!A307)</f>
        <v>0</v>
      </c>
      <c r="HY306" s="39" t="str">
        <f>'Por Valoracion (3) Dimension'!F306</f>
        <v>0</v>
      </c>
      <c r="HZ306" s="39" t="str">
        <f>'Por Valoracion (3) Dimension 2'!D306</f>
        <v>0</v>
      </c>
      <c r="IU306" s="47"/>
      <c r="IW306" t="str">
        <f>('Inteligencia emocional'!A307)</f>
        <v>0</v>
      </c>
      <c r="IX306" s="39" t="str">
        <f>'Por Valoracion (3) Dimension'!F306</f>
        <v>0</v>
      </c>
      <c r="IY306" s="39" t="str">
        <f>'Por Valoracion (3) Dimension 2'!F306</f>
        <v>0</v>
      </c>
      <c r="JT306" s="47"/>
      <c r="JV306" t="str">
        <f>('Inteligencia emocional'!A307)</f>
        <v>0</v>
      </c>
      <c r="JW306" s="39" t="str">
        <f>'Por Valoracion (3) Dimension'!F306</f>
        <v>0</v>
      </c>
      <c r="JX306" s="39" t="str">
        <f>'Por Valoracion (3) Dimension 2'!H306</f>
        <v>0</v>
      </c>
      <c r="KS306" s="47"/>
    </row>
    <row r="307" spans="1:305">
      <c r="A307" s="38"/>
      <c r="C307" t="str">
        <f>('Inteligencia emocional'!A308)</f>
        <v>0</v>
      </c>
      <c r="D307" s="39" t="str">
        <f>'Por Valoracion (3) Dimension'!B307</f>
        <v>0</v>
      </c>
      <c r="E307" s="39" t="str">
        <f>'Por Valoracion (3) Dimension 2'!B307</f>
        <v>0</v>
      </c>
      <c r="Z307" s="38"/>
      <c r="AB307" t="str">
        <f>('Inteligencia emocional'!A308)</f>
        <v>0</v>
      </c>
      <c r="AC307" s="39" t="str">
        <f>'Por Valoracion (3) Dimension'!B307</f>
        <v>0</v>
      </c>
      <c r="AD307" s="39" t="str">
        <f>'Por Valoracion (3) Dimension 2'!D307</f>
        <v>0</v>
      </c>
      <c r="AY307" s="38"/>
      <c r="BA307" t="str">
        <f>('Inteligencia emocional'!A308)</f>
        <v>0</v>
      </c>
      <c r="BB307" s="39" t="str">
        <f>'Por Valoracion (3) Dimension'!B307</f>
        <v>0</v>
      </c>
      <c r="BC307" s="39" t="str">
        <f>'Por Valoracion (3) Dimension 2'!F307</f>
        <v>0</v>
      </c>
      <c r="BX307" s="38"/>
      <c r="BZ307" t="str">
        <f>('Inteligencia emocional'!A308)</f>
        <v>0</v>
      </c>
      <c r="CA307" s="39" t="str">
        <f>'Por Valoracion (3) Dimension'!B307</f>
        <v>0</v>
      </c>
      <c r="CB307" s="39" t="str">
        <f>'Por Valoracion (3) Dimension 2'!H307</f>
        <v>0</v>
      </c>
      <c r="CW307" s="38"/>
      <c r="CY307" s="46"/>
      <c r="DA307" t="str">
        <f>('Inteligencia emocional'!A308)</f>
        <v>0</v>
      </c>
      <c r="DB307" s="39" t="str">
        <f>'Por Valoracion (3) Dimension'!D307</f>
        <v>0</v>
      </c>
      <c r="DC307" s="39" t="str">
        <f>'Por Valoracion (3) Dimension 2'!B307</f>
        <v>0</v>
      </c>
      <c r="DX307" s="46"/>
      <c r="DZ307" t="str">
        <f>('Inteligencia emocional'!A308)</f>
        <v>0</v>
      </c>
      <c r="EA307" s="39" t="str">
        <f>'Por Valoracion (3) Dimension'!D307</f>
        <v>0</v>
      </c>
      <c r="EB307" s="39" t="str">
        <f>'Por Valoracion (3) Dimension 2'!D307</f>
        <v>0</v>
      </c>
      <c r="EW307" s="46"/>
      <c r="EY307" t="str">
        <f>('Inteligencia emocional'!A308)</f>
        <v>0</v>
      </c>
      <c r="EZ307" s="39" t="str">
        <f>'Por Valoracion (3) Dimension'!D307</f>
        <v>0</v>
      </c>
      <c r="FA307" s="39" t="str">
        <f>'Por Valoracion (3) Dimension 2'!F307</f>
        <v>0</v>
      </c>
      <c r="FV307" s="46"/>
      <c r="FX307" t="str">
        <f>('Inteligencia emocional'!A308)</f>
        <v>0</v>
      </c>
      <c r="FY307" s="39" t="str">
        <f>'Por Valoracion (3) Dimension'!D307</f>
        <v>0</v>
      </c>
      <c r="FZ307" s="39" t="str">
        <f>'Por Valoracion (3) Dimension 2'!H307</f>
        <v>0</v>
      </c>
      <c r="GU307" s="46"/>
      <c r="GW307" s="47"/>
      <c r="GY307" t="str">
        <f>('Inteligencia emocional'!A308)</f>
        <v>0</v>
      </c>
      <c r="GZ307" s="39" t="str">
        <f>'Por Valoracion (3) Dimension'!F307</f>
        <v>0</v>
      </c>
      <c r="HA307" s="39" t="str">
        <f>'Por Valoracion (3) Dimension 2'!B307</f>
        <v>0</v>
      </c>
      <c r="HV307" s="47"/>
      <c r="HX307" t="str">
        <f>('Inteligencia emocional'!A308)</f>
        <v>0</v>
      </c>
      <c r="HY307" s="39" t="str">
        <f>'Por Valoracion (3) Dimension'!F307</f>
        <v>0</v>
      </c>
      <c r="HZ307" s="39" t="str">
        <f>'Por Valoracion (3) Dimension 2'!D307</f>
        <v>0</v>
      </c>
      <c r="IU307" s="47"/>
      <c r="IW307" t="str">
        <f>('Inteligencia emocional'!A308)</f>
        <v>0</v>
      </c>
      <c r="IX307" s="39" t="str">
        <f>'Por Valoracion (3) Dimension'!F307</f>
        <v>0</v>
      </c>
      <c r="IY307" s="39" t="str">
        <f>'Por Valoracion (3) Dimension 2'!F307</f>
        <v>0</v>
      </c>
      <c r="JT307" s="47"/>
      <c r="JV307" t="str">
        <f>('Inteligencia emocional'!A308)</f>
        <v>0</v>
      </c>
      <c r="JW307" s="39" t="str">
        <f>'Por Valoracion (3) Dimension'!F307</f>
        <v>0</v>
      </c>
      <c r="JX307" s="39" t="str">
        <f>'Por Valoracion (3) Dimension 2'!H307</f>
        <v>0</v>
      </c>
      <c r="KS307" s="47"/>
    </row>
    <row r="308" spans="1:305">
      <c r="A308" s="38"/>
      <c r="C308" t="str">
        <f>('Inteligencia emocional'!A309)</f>
        <v>0</v>
      </c>
      <c r="D308" s="39" t="str">
        <f>'Por Valoracion (3) Dimension'!B308</f>
        <v>0</v>
      </c>
      <c r="E308" s="39" t="str">
        <f>'Por Valoracion (3) Dimension 2'!B308</f>
        <v>0</v>
      </c>
      <c r="Z308" s="38"/>
      <c r="AB308" t="str">
        <f>('Inteligencia emocional'!A309)</f>
        <v>0</v>
      </c>
      <c r="AC308" s="39" t="str">
        <f>'Por Valoracion (3) Dimension'!B308</f>
        <v>0</v>
      </c>
      <c r="AD308" s="39" t="str">
        <f>'Por Valoracion (3) Dimension 2'!D308</f>
        <v>0</v>
      </c>
      <c r="AY308" s="38"/>
      <c r="BA308" t="str">
        <f>('Inteligencia emocional'!A309)</f>
        <v>0</v>
      </c>
      <c r="BB308" s="39" t="str">
        <f>'Por Valoracion (3) Dimension'!B308</f>
        <v>0</v>
      </c>
      <c r="BC308" s="39" t="str">
        <f>'Por Valoracion (3) Dimension 2'!F308</f>
        <v>0</v>
      </c>
      <c r="BX308" s="38"/>
      <c r="BZ308" t="str">
        <f>('Inteligencia emocional'!A309)</f>
        <v>0</v>
      </c>
      <c r="CA308" s="39" t="str">
        <f>'Por Valoracion (3) Dimension'!B308</f>
        <v>0</v>
      </c>
      <c r="CB308" s="39" t="str">
        <f>'Por Valoracion (3) Dimension 2'!H308</f>
        <v>0</v>
      </c>
      <c r="CW308" s="38"/>
      <c r="CY308" s="46"/>
      <c r="DA308" t="str">
        <f>('Inteligencia emocional'!A309)</f>
        <v>0</v>
      </c>
      <c r="DB308" s="39" t="str">
        <f>'Por Valoracion (3) Dimension'!D308</f>
        <v>0</v>
      </c>
      <c r="DC308" s="39" t="str">
        <f>'Por Valoracion (3) Dimension 2'!B308</f>
        <v>0</v>
      </c>
      <c r="DX308" s="46"/>
      <c r="DZ308" t="str">
        <f>('Inteligencia emocional'!A309)</f>
        <v>0</v>
      </c>
      <c r="EA308" s="39" t="str">
        <f>'Por Valoracion (3) Dimension'!D308</f>
        <v>0</v>
      </c>
      <c r="EB308" s="39" t="str">
        <f>'Por Valoracion (3) Dimension 2'!D308</f>
        <v>0</v>
      </c>
      <c r="EW308" s="46"/>
      <c r="EY308" t="str">
        <f>('Inteligencia emocional'!A309)</f>
        <v>0</v>
      </c>
      <c r="EZ308" s="39" t="str">
        <f>'Por Valoracion (3) Dimension'!D308</f>
        <v>0</v>
      </c>
      <c r="FA308" s="39" t="str">
        <f>'Por Valoracion (3) Dimension 2'!F308</f>
        <v>0</v>
      </c>
      <c r="FV308" s="46"/>
      <c r="FX308" t="str">
        <f>('Inteligencia emocional'!A309)</f>
        <v>0</v>
      </c>
      <c r="FY308" s="39" t="str">
        <f>'Por Valoracion (3) Dimension'!D308</f>
        <v>0</v>
      </c>
      <c r="FZ308" s="39" t="str">
        <f>'Por Valoracion (3) Dimension 2'!H308</f>
        <v>0</v>
      </c>
      <c r="GU308" s="46"/>
      <c r="GW308" s="47"/>
      <c r="GY308" t="str">
        <f>('Inteligencia emocional'!A309)</f>
        <v>0</v>
      </c>
      <c r="GZ308" s="39" t="str">
        <f>'Por Valoracion (3) Dimension'!F308</f>
        <v>0</v>
      </c>
      <c r="HA308" s="39" t="str">
        <f>'Por Valoracion (3) Dimension 2'!B308</f>
        <v>0</v>
      </c>
      <c r="HV308" s="47"/>
      <c r="HX308" t="str">
        <f>('Inteligencia emocional'!A309)</f>
        <v>0</v>
      </c>
      <c r="HY308" s="39" t="str">
        <f>'Por Valoracion (3) Dimension'!F308</f>
        <v>0</v>
      </c>
      <c r="HZ308" s="39" t="str">
        <f>'Por Valoracion (3) Dimension 2'!D308</f>
        <v>0</v>
      </c>
      <c r="IU308" s="47"/>
      <c r="IW308" t="str">
        <f>('Inteligencia emocional'!A309)</f>
        <v>0</v>
      </c>
      <c r="IX308" s="39" t="str">
        <f>'Por Valoracion (3) Dimension'!F308</f>
        <v>0</v>
      </c>
      <c r="IY308" s="39" t="str">
        <f>'Por Valoracion (3) Dimension 2'!F308</f>
        <v>0</v>
      </c>
      <c r="JT308" s="47"/>
      <c r="JV308" t="str">
        <f>('Inteligencia emocional'!A309)</f>
        <v>0</v>
      </c>
      <c r="JW308" s="39" t="str">
        <f>'Por Valoracion (3) Dimension'!F308</f>
        <v>0</v>
      </c>
      <c r="JX308" s="39" t="str">
        <f>'Por Valoracion (3) Dimension 2'!H308</f>
        <v>0</v>
      </c>
      <c r="KS308" s="47"/>
    </row>
    <row r="309" spans="1:305">
      <c r="A309" s="38"/>
      <c r="C309" t="str">
        <f>('Inteligencia emocional'!A310)</f>
        <v>0</v>
      </c>
      <c r="D309" s="39" t="str">
        <f>'Por Valoracion (3) Dimension'!B309</f>
        <v>0</v>
      </c>
      <c r="E309" s="39" t="str">
        <f>'Por Valoracion (3) Dimension 2'!B309</f>
        <v>0</v>
      </c>
      <c r="Z309" s="38"/>
      <c r="AB309" t="str">
        <f>('Inteligencia emocional'!A310)</f>
        <v>0</v>
      </c>
      <c r="AC309" s="39" t="str">
        <f>'Por Valoracion (3) Dimension'!B309</f>
        <v>0</v>
      </c>
      <c r="AD309" s="39" t="str">
        <f>'Por Valoracion (3) Dimension 2'!D309</f>
        <v>0</v>
      </c>
      <c r="AY309" s="38"/>
      <c r="BA309" t="str">
        <f>('Inteligencia emocional'!A310)</f>
        <v>0</v>
      </c>
      <c r="BB309" s="39" t="str">
        <f>'Por Valoracion (3) Dimension'!B309</f>
        <v>0</v>
      </c>
      <c r="BC309" s="39" t="str">
        <f>'Por Valoracion (3) Dimension 2'!F309</f>
        <v>0</v>
      </c>
      <c r="BX309" s="38"/>
      <c r="BZ309" t="str">
        <f>('Inteligencia emocional'!A310)</f>
        <v>0</v>
      </c>
      <c r="CA309" s="39" t="str">
        <f>'Por Valoracion (3) Dimension'!B309</f>
        <v>0</v>
      </c>
      <c r="CB309" s="39" t="str">
        <f>'Por Valoracion (3) Dimension 2'!H309</f>
        <v>0</v>
      </c>
      <c r="CW309" s="38"/>
      <c r="CY309" s="46"/>
      <c r="DA309" t="str">
        <f>('Inteligencia emocional'!A310)</f>
        <v>0</v>
      </c>
      <c r="DB309" s="39" t="str">
        <f>'Por Valoracion (3) Dimension'!D309</f>
        <v>0</v>
      </c>
      <c r="DC309" s="39" t="str">
        <f>'Por Valoracion (3) Dimension 2'!B309</f>
        <v>0</v>
      </c>
      <c r="DX309" s="46"/>
      <c r="DZ309" t="str">
        <f>('Inteligencia emocional'!A310)</f>
        <v>0</v>
      </c>
      <c r="EA309" s="39" t="str">
        <f>'Por Valoracion (3) Dimension'!D309</f>
        <v>0</v>
      </c>
      <c r="EB309" s="39" t="str">
        <f>'Por Valoracion (3) Dimension 2'!D309</f>
        <v>0</v>
      </c>
      <c r="EW309" s="46"/>
      <c r="EY309" t="str">
        <f>('Inteligencia emocional'!A310)</f>
        <v>0</v>
      </c>
      <c r="EZ309" s="39" t="str">
        <f>'Por Valoracion (3) Dimension'!D309</f>
        <v>0</v>
      </c>
      <c r="FA309" s="39" t="str">
        <f>'Por Valoracion (3) Dimension 2'!F309</f>
        <v>0</v>
      </c>
      <c r="FV309" s="46"/>
      <c r="FX309" t="str">
        <f>('Inteligencia emocional'!A310)</f>
        <v>0</v>
      </c>
      <c r="FY309" s="39" t="str">
        <f>'Por Valoracion (3) Dimension'!D309</f>
        <v>0</v>
      </c>
      <c r="FZ309" s="39" t="str">
        <f>'Por Valoracion (3) Dimension 2'!H309</f>
        <v>0</v>
      </c>
      <c r="GU309" s="46"/>
      <c r="GW309" s="47"/>
      <c r="GY309" t="str">
        <f>('Inteligencia emocional'!A310)</f>
        <v>0</v>
      </c>
      <c r="GZ309" s="39" t="str">
        <f>'Por Valoracion (3) Dimension'!F309</f>
        <v>0</v>
      </c>
      <c r="HA309" s="39" t="str">
        <f>'Por Valoracion (3) Dimension 2'!B309</f>
        <v>0</v>
      </c>
      <c r="HV309" s="47"/>
      <c r="HX309" t="str">
        <f>('Inteligencia emocional'!A310)</f>
        <v>0</v>
      </c>
      <c r="HY309" s="39" t="str">
        <f>'Por Valoracion (3) Dimension'!F309</f>
        <v>0</v>
      </c>
      <c r="HZ309" s="39" t="str">
        <f>'Por Valoracion (3) Dimension 2'!D309</f>
        <v>0</v>
      </c>
      <c r="IU309" s="47"/>
      <c r="IW309" t="str">
        <f>('Inteligencia emocional'!A310)</f>
        <v>0</v>
      </c>
      <c r="IX309" s="39" t="str">
        <f>'Por Valoracion (3) Dimension'!F309</f>
        <v>0</v>
      </c>
      <c r="IY309" s="39" t="str">
        <f>'Por Valoracion (3) Dimension 2'!F309</f>
        <v>0</v>
      </c>
      <c r="JT309" s="47"/>
      <c r="JV309" t="str">
        <f>('Inteligencia emocional'!A310)</f>
        <v>0</v>
      </c>
      <c r="JW309" s="39" t="str">
        <f>'Por Valoracion (3) Dimension'!F309</f>
        <v>0</v>
      </c>
      <c r="JX309" s="39" t="str">
        <f>'Por Valoracion (3) Dimension 2'!H309</f>
        <v>0</v>
      </c>
      <c r="KS309" s="47"/>
    </row>
    <row r="310" spans="1:305">
      <c r="A310" s="38"/>
      <c r="C310" t="str">
        <f>('Inteligencia emocional'!A311)</f>
        <v>0</v>
      </c>
      <c r="D310" s="39" t="str">
        <f>'Por Valoracion (3) Dimension'!B310</f>
        <v>0</v>
      </c>
      <c r="E310" s="39" t="str">
        <f>'Por Valoracion (3) Dimension 2'!B310</f>
        <v>0</v>
      </c>
      <c r="Z310" s="38"/>
      <c r="AB310" t="str">
        <f>('Inteligencia emocional'!A311)</f>
        <v>0</v>
      </c>
      <c r="AC310" s="39" t="str">
        <f>'Por Valoracion (3) Dimension'!B310</f>
        <v>0</v>
      </c>
      <c r="AD310" s="39" t="str">
        <f>'Por Valoracion (3) Dimension 2'!D310</f>
        <v>0</v>
      </c>
      <c r="AY310" s="38"/>
      <c r="BA310" t="str">
        <f>('Inteligencia emocional'!A311)</f>
        <v>0</v>
      </c>
      <c r="BB310" s="39" t="str">
        <f>'Por Valoracion (3) Dimension'!B310</f>
        <v>0</v>
      </c>
      <c r="BC310" s="39" t="str">
        <f>'Por Valoracion (3) Dimension 2'!F310</f>
        <v>0</v>
      </c>
      <c r="BX310" s="38"/>
      <c r="BZ310" t="str">
        <f>('Inteligencia emocional'!A311)</f>
        <v>0</v>
      </c>
      <c r="CA310" s="39" t="str">
        <f>'Por Valoracion (3) Dimension'!B310</f>
        <v>0</v>
      </c>
      <c r="CB310" s="39" t="str">
        <f>'Por Valoracion (3) Dimension 2'!H310</f>
        <v>0</v>
      </c>
      <c r="CW310" s="38"/>
      <c r="CY310" s="46"/>
      <c r="DA310" t="str">
        <f>('Inteligencia emocional'!A311)</f>
        <v>0</v>
      </c>
      <c r="DB310" s="39" t="str">
        <f>'Por Valoracion (3) Dimension'!D310</f>
        <v>0</v>
      </c>
      <c r="DC310" s="39" t="str">
        <f>'Por Valoracion (3) Dimension 2'!B310</f>
        <v>0</v>
      </c>
      <c r="DX310" s="46"/>
      <c r="DZ310" t="str">
        <f>('Inteligencia emocional'!A311)</f>
        <v>0</v>
      </c>
      <c r="EA310" s="39" t="str">
        <f>'Por Valoracion (3) Dimension'!D310</f>
        <v>0</v>
      </c>
      <c r="EB310" s="39" t="str">
        <f>'Por Valoracion (3) Dimension 2'!D310</f>
        <v>0</v>
      </c>
      <c r="EW310" s="46"/>
      <c r="EY310" t="str">
        <f>('Inteligencia emocional'!A311)</f>
        <v>0</v>
      </c>
      <c r="EZ310" s="39" t="str">
        <f>'Por Valoracion (3) Dimension'!D310</f>
        <v>0</v>
      </c>
      <c r="FA310" s="39" t="str">
        <f>'Por Valoracion (3) Dimension 2'!F310</f>
        <v>0</v>
      </c>
      <c r="FV310" s="46"/>
      <c r="FX310" t="str">
        <f>('Inteligencia emocional'!A311)</f>
        <v>0</v>
      </c>
      <c r="FY310" s="39" t="str">
        <f>'Por Valoracion (3) Dimension'!D310</f>
        <v>0</v>
      </c>
      <c r="FZ310" s="39" t="str">
        <f>'Por Valoracion (3) Dimension 2'!H310</f>
        <v>0</v>
      </c>
      <c r="GU310" s="46"/>
      <c r="GW310" s="47"/>
      <c r="GY310" t="str">
        <f>('Inteligencia emocional'!A311)</f>
        <v>0</v>
      </c>
      <c r="GZ310" s="39" t="str">
        <f>'Por Valoracion (3) Dimension'!F310</f>
        <v>0</v>
      </c>
      <c r="HA310" s="39" t="str">
        <f>'Por Valoracion (3) Dimension 2'!B310</f>
        <v>0</v>
      </c>
      <c r="HV310" s="47"/>
      <c r="HX310" t="str">
        <f>('Inteligencia emocional'!A311)</f>
        <v>0</v>
      </c>
      <c r="HY310" s="39" t="str">
        <f>'Por Valoracion (3) Dimension'!F310</f>
        <v>0</v>
      </c>
      <c r="HZ310" s="39" t="str">
        <f>'Por Valoracion (3) Dimension 2'!D310</f>
        <v>0</v>
      </c>
      <c r="IU310" s="47"/>
      <c r="IW310" t="str">
        <f>('Inteligencia emocional'!A311)</f>
        <v>0</v>
      </c>
      <c r="IX310" s="39" t="str">
        <f>'Por Valoracion (3) Dimension'!F310</f>
        <v>0</v>
      </c>
      <c r="IY310" s="39" t="str">
        <f>'Por Valoracion (3) Dimension 2'!F310</f>
        <v>0</v>
      </c>
      <c r="JT310" s="47"/>
      <c r="JV310" t="str">
        <f>('Inteligencia emocional'!A311)</f>
        <v>0</v>
      </c>
      <c r="JW310" s="39" t="str">
        <f>'Por Valoracion (3) Dimension'!F310</f>
        <v>0</v>
      </c>
      <c r="JX310" s="39" t="str">
        <f>'Por Valoracion (3) Dimension 2'!H310</f>
        <v>0</v>
      </c>
      <c r="KS310" s="47"/>
    </row>
    <row r="311" spans="1:305">
      <c r="A311" s="38"/>
      <c r="C311" t="str">
        <f>('Inteligencia emocional'!A312)</f>
        <v>0</v>
      </c>
      <c r="D311" s="39" t="str">
        <f>'Por Valoracion (3) Dimension'!B311</f>
        <v>0</v>
      </c>
      <c r="E311" s="39" t="str">
        <f>'Por Valoracion (3) Dimension 2'!B311</f>
        <v>0</v>
      </c>
      <c r="Z311" s="38"/>
      <c r="AB311" t="str">
        <f>('Inteligencia emocional'!A312)</f>
        <v>0</v>
      </c>
      <c r="AC311" s="39" t="str">
        <f>'Por Valoracion (3) Dimension'!B311</f>
        <v>0</v>
      </c>
      <c r="AD311" s="39" t="str">
        <f>'Por Valoracion (3) Dimension 2'!D311</f>
        <v>0</v>
      </c>
      <c r="AY311" s="38"/>
      <c r="BA311" t="str">
        <f>('Inteligencia emocional'!A312)</f>
        <v>0</v>
      </c>
      <c r="BB311" s="39" t="str">
        <f>'Por Valoracion (3) Dimension'!B311</f>
        <v>0</v>
      </c>
      <c r="BC311" s="39" t="str">
        <f>'Por Valoracion (3) Dimension 2'!F311</f>
        <v>0</v>
      </c>
      <c r="BX311" s="38"/>
      <c r="BZ311" t="str">
        <f>('Inteligencia emocional'!A312)</f>
        <v>0</v>
      </c>
      <c r="CA311" s="39" t="str">
        <f>'Por Valoracion (3) Dimension'!B311</f>
        <v>0</v>
      </c>
      <c r="CB311" s="39" t="str">
        <f>'Por Valoracion (3) Dimension 2'!H311</f>
        <v>0</v>
      </c>
      <c r="CW311" s="38"/>
      <c r="CY311" s="46"/>
      <c r="DA311" t="str">
        <f>('Inteligencia emocional'!A312)</f>
        <v>0</v>
      </c>
      <c r="DB311" s="39" t="str">
        <f>'Por Valoracion (3) Dimension'!D311</f>
        <v>0</v>
      </c>
      <c r="DC311" s="39" t="str">
        <f>'Por Valoracion (3) Dimension 2'!B311</f>
        <v>0</v>
      </c>
      <c r="DX311" s="46"/>
      <c r="DZ311" t="str">
        <f>('Inteligencia emocional'!A312)</f>
        <v>0</v>
      </c>
      <c r="EA311" s="39" t="str">
        <f>'Por Valoracion (3) Dimension'!D311</f>
        <v>0</v>
      </c>
      <c r="EB311" s="39" t="str">
        <f>'Por Valoracion (3) Dimension 2'!D311</f>
        <v>0</v>
      </c>
      <c r="EW311" s="46"/>
      <c r="EY311" t="str">
        <f>('Inteligencia emocional'!A312)</f>
        <v>0</v>
      </c>
      <c r="EZ311" s="39" t="str">
        <f>'Por Valoracion (3) Dimension'!D311</f>
        <v>0</v>
      </c>
      <c r="FA311" s="39" t="str">
        <f>'Por Valoracion (3) Dimension 2'!F311</f>
        <v>0</v>
      </c>
      <c r="FV311" s="46"/>
      <c r="FX311" t="str">
        <f>('Inteligencia emocional'!A312)</f>
        <v>0</v>
      </c>
      <c r="FY311" s="39" t="str">
        <f>'Por Valoracion (3) Dimension'!D311</f>
        <v>0</v>
      </c>
      <c r="FZ311" s="39" t="str">
        <f>'Por Valoracion (3) Dimension 2'!H311</f>
        <v>0</v>
      </c>
      <c r="GU311" s="46"/>
      <c r="GW311" s="47"/>
      <c r="GY311" t="str">
        <f>('Inteligencia emocional'!A312)</f>
        <v>0</v>
      </c>
      <c r="GZ311" s="39" t="str">
        <f>'Por Valoracion (3) Dimension'!F311</f>
        <v>0</v>
      </c>
      <c r="HA311" s="39" t="str">
        <f>'Por Valoracion (3) Dimension 2'!B311</f>
        <v>0</v>
      </c>
      <c r="HV311" s="47"/>
      <c r="HX311" t="str">
        <f>('Inteligencia emocional'!A312)</f>
        <v>0</v>
      </c>
      <c r="HY311" s="39" t="str">
        <f>'Por Valoracion (3) Dimension'!F311</f>
        <v>0</v>
      </c>
      <c r="HZ311" s="39" t="str">
        <f>'Por Valoracion (3) Dimension 2'!D311</f>
        <v>0</v>
      </c>
      <c r="IU311" s="47"/>
      <c r="IW311" t="str">
        <f>('Inteligencia emocional'!A312)</f>
        <v>0</v>
      </c>
      <c r="IX311" s="39" t="str">
        <f>'Por Valoracion (3) Dimension'!F311</f>
        <v>0</v>
      </c>
      <c r="IY311" s="39" t="str">
        <f>'Por Valoracion (3) Dimension 2'!F311</f>
        <v>0</v>
      </c>
      <c r="JT311" s="47"/>
      <c r="JV311" t="str">
        <f>('Inteligencia emocional'!A312)</f>
        <v>0</v>
      </c>
      <c r="JW311" s="39" t="str">
        <f>'Por Valoracion (3) Dimension'!F311</f>
        <v>0</v>
      </c>
      <c r="JX311" s="39" t="str">
        <f>'Por Valoracion (3) Dimension 2'!H311</f>
        <v>0</v>
      </c>
      <c r="KS311" s="47"/>
    </row>
    <row r="312" spans="1:305">
      <c r="A312" s="38"/>
      <c r="C312" t="str">
        <f>('Inteligencia emocional'!A313)</f>
        <v>0</v>
      </c>
      <c r="D312" s="39" t="str">
        <f>'Por Valoracion (3) Dimension'!B312</f>
        <v>0</v>
      </c>
      <c r="E312" s="39" t="str">
        <f>'Por Valoracion (3) Dimension 2'!B312</f>
        <v>0</v>
      </c>
      <c r="Z312" s="38"/>
      <c r="AB312" t="str">
        <f>('Inteligencia emocional'!A313)</f>
        <v>0</v>
      </c>
      <c r="AC312" s="39" t="str">
        <f>'Por Valoracion (3) Dimension'!B312</f>
        <v>0</v>
      </c>
      <c r="AD312" s="39" t="str">
        <f>'Por Valoracion (3) Dimension 2'!D312</f>
        <v>0</v>
      </c>
      <c r="AY312" s="38"/>
      <c r="BA312" t="str">
        <f>('Inteligencia emocional'!A313)</f>
        <v>0</v>
      </c>
      <c r="BB312" s="39" t="str">
        <f>'Por Valoracion (3) Dimension'!B312</f>
        <v>0</v>
      </c>
      <c r="BC312" s="39" t="str">
        <f>'Por Valoracion (3) Dimension 2'!F312</f>
        <v>0</v>
      </c>
      <c r="BX312" s="38"/>
      <c r="BZ312" t="str">
        <f>('Inteligencia emocional'!A313)</f>
        <v>0</v>
      </c>
      <c r="CA312" s="39" t="str">
        <f>'Por Valoracion (3) Dimension'!B312</f>
        <v>0</v>
      </c>
      <c r="CB312" s="39" t="str">
        <f>'Por Valoracion (3) Dimension 2'!H312</f>
        <v>0</v>
      </c>
      <c r="CW312" s="38"/>
      <c r="CY312" s="46"/>
      <c r="DA312" t="str">
        <f>('Inteligencia emocional'!A313)</f>
        <v>0</v>
      </c>
      <c r="DB312" s="39" t="str">
        <f>'Por Valoracion (3) Dimension'!D312</f>
        <v>0</v>
      </c>
      <c r="DC312" s="39" t="str">
        <f>'Por Valoracion (3) Dimension 2'!B312</f>
        <v>0</v>
      </c>
      <c r="DX312" s="46"/>
      <c r="DZ312" t="str">
        <f>('Inteligencia emocional'!A313)</f>
        <v>0</v>
      </c>
      <c r="EA312" s="39" t="str">
        <f>'Por Valoracion (3) Dimension'!D312</f>
        <v>0</v>
      </c>
      <c r="EB312" s="39" t="str">
        <f>'Por Valoracion (3) Dimension 2'!D312</f>
        <v>0</v>
      </c>
      <c r="EW312" s="46"/>
      <c r="EY312" t="str">
        <f>('Inteligencia emocional'!A313)</f>
        <v>0</v>
      </c>
      <c r="EZ312" s="39" t="str">
        <f>'Por Valoracion (3) Dimension'!D312</f>
        <v>0</v>
      </c>
      <c r="FA312" s="39" t="str">
        <f>'Por Valoracion (3) Dimension 2'!F312</f>
        <v>0</v>
      </c>
      <c r="FV312" s="46"/>
      <c r="FX312" t="str">
        <f>('Inteligencia emocional'!A313)</f>
        <v>0</v>
      </c>
      <c r="FY312" s="39" t="str">
        <f>'Por Valoracion (3) Dimension'!D312</f>
        <v>0</v>
      </c>
      <c r="FZ312" s="39" t="str">
        <f>'Por Valoracion (3) Dimension 2'!H312</f>
        <v>0</v>
      </c>
      <c r="GU312" s="46"/>
      <c r="GW312" s="47"/>
      <c r="GY312" t="str">
        <f>('Inteligencia emocional'!A313)</f>
        <v>0</v>
      </c>
      <c r="GZ312" s="39" t="str">
        <f>'Por Valoracion (3) Dimension'!F312</f>
        <v>0</v>
      </c>
      <c r="HA312" s="39" t="str">
        <f>'Por Valoracion (3) Dimension 2'!B312</f>
        <v>0</v>
      </c>
      <c r="HV312" s="47"/>
      <c r="HX312" t="str">
        <f>('Inteligencia emocional'!A313)</f>
        <v>0</v>
      </c>
      <c r="HY312" s="39" t="str">
        <f>'Por Valoracion (3) Dimension'!F312</f>
        <v>0</v>
      </c>
      <c r="HZ312" s="39" t="str">
        <f>'Por Valoracion (3) Dimension 2'!D312</f>
        <v>0</v>
      </c>
      <c r="IU312" s="47"/>
      <c r="IW312" t="str">
        <f>('Inteligencia emocional'!A313)</f>
        <v>0</v>
      </c>
      <c r="IX312" s="39" t="str">
        <f>'Por Valoracion (3) Dimension'!F312</f>
        <v>0</v>
      </c>
      <c r="IY312" s="39" t="str">
        <f>'Por Valoracion (3) Dimension 2'!F312</f>
        <v>0</v>
      </c>
      <c r="JT312" s="47"/>
      <c r="JV312" t="str">
        <f>('Inteligencia emocional'!A313)</f>
        <v>0</v>
      </c>
      <c r="JW312" s="39" t="str">
        <f>'Por Valoracion (3) Dimension'!F312</f>
        <v>0</v>
      </c>
      <c r="JX312" s="39" t="str">
        <f>'Por Valoracion (3) Dimension 2'!H312</f>
        <v>0</v>
      </c>
      <c r="KS312" s="47"/>
    </row>
    <row r="313" spans="1:305">
      <c r="A313" s="38"/>
      <c r="C313" t="str">
        <f>('Inteligencia emocional'!A314)</f>
        <v>0</v>
      </c>
      <c r="D313" s="39" t="str">
        <f>'Por Valoracion (3) Dimension'!B313</f>
        <v>0</v>
      </c>
      <c r="E313" s="39" t="str">
        <f>'Por Valoracion (3) Dimension 2'!B313</f>
        <v>0</v>
      </c>
      <c r="Z313" s="38"/>
      <c r="AB313" t="str">
        <f>('Inteligencia emocional'!A314)</f>
        <v>0</v>
      </c>
      <c r="AC313" s="39" t="str">
        <f>'Por Valoracion (3) Dimension'!B313</f>
        <v>0</v>
      </c>
      <c r="AD313" s="39" t="str">
        <f>'Por Valoracion (3) Dimension 2'!D313</f>
        <v>0</v>
      </c>
      <c r="AY313" s="38"/>
      <c r="BA313" t="str">
        <f>('Inteligencia emocional'!A314)</f>
        <v>0</v>
      </c>
      <c r="BB313" s="39" t="str">
        <f>'Por Valoracion (3) Dimension'!B313</f>
        <v>0</v>
      </c>
      <c r="BC313" s="39" t="str">
        <f>'Por Valoracion (3) Dimension 2'!F313</f>
        <v>0</v>
      </c>
      <c r="BX313" s="38"/>
      <c r="BZ313" t="str">
        <f>('Inteligencia emocional'!A314)</f>
        <v>0</v>
      </c>
      <c r="CA313" s="39" t="str">
        <f>'Por Valoracion (3) Dimension'!B313</f>
        <v>0</v>
      </c>
      <c r="CB313" s="39" t="str">
        <f>'Por Valoracion (3) Dimension 2'!H313</f>
        <v>0</v>
      </c>
      <c r="CW313" s="38"/>
      <c r="CY313" s="46"/>
      <c r="DA313" t="str">
        <f>('Inteligencia emocional'!A314)</f>
        <v>0</v>
      </c>
      <c r="DB313" s="39" t="str">
        <f>'Por Valoracion (3) Dimension'!D313</f>
        <v>0</v>
      </c>
      <c r="DC313" s="39" t="str">
        <f>'Por Valoracion (3) Dimension 2'!B313</f>
        <v>0</v>
      </c>
      <c r="DX313" s="46"/>
      <c r="DZ313" t="str">
        <f>('Inteligencia emocional'!A314)</f>
        <v>0</v>
      </c>
      <c r="EA313" s="39" t="str">
        <f>'Por Valoracion (3) Dimension'!D313</f>
        <v>0</v>
      </c>
      <c r="EB313" s="39" t="str">
        <f>'Por Valoracion (3) Dimension 2'!D313</f>
        <v>0</v>
      </c>
      <c r="EW313" s="46"/>
      <c r="EY313" t="str">
        <f>('Inteligencia emocional'!A314)</f>
        <v>0</v>
      </c>
      <c r="EZ313" s="39" t="str">
        <f>'Por Valoracion (3) Dimension'!D313</f>
        <v>0</v>
      </c>
      <c r="FA313" s="39" t="str">
        <f>'Por Valoracion (3) Dimension 2'!F313</f>
        <v>0</v>
      </c>
      <c r="FV313" s="46"/>
      <c r="FX313" t="str">
        <f>('Inteligencia emocional'!A314)</f>
        <v>0</v>
      </c>
      <c r="FY313" s="39" t="str">
        <f>'Por Valoracion (3) Dimension'!D313</f>
        <v>0</v>
      </c>
      <c r="FZ313" s="39" t="str">
        <f>'Por Valoracion (3) Dimension 2'!H313</f>
        <v>0</v>
      </c>
      <c r="GU313" s="46"/>
      <c r="GW313" s="47"/>
      <c r="GY313" t="str">
        <f>('Inteligencia emocional'!A314)</f>
        <v>0</v>
      </c>
      <c r="GZ313" s="39" t="str">
        <f>'Por Valoracion (3) Dimension'!F313</f>
        <v>0</v>
      </c>
      <c r="HA313" s="39" t="str">
        <f>'Por Valoracion (3) Dimension 2'!B313</f>
        <v>0</v>
      </c>
      <c r="HV313" s="47"/>
      <c r="HX313" t="str">
        <f>('Inteligencia emocional'!A314)</f>
        <v>0</v>
      </c>
      <c r="HY313" s="39" t="str">
        <f>'Por Valoracion (3) Dimension'!F313</f>
        <v>0</v>
      </c>
      <c r="HZ313" s="39" t="str">
        <f>'Por Valoracion (3) Dimension 2'!D313</f>
        <v>0</v>
      </c>
      <c r="IU313" s="47"/>
      <c r="IW313" t="str">
        <f>('Inteligencia emocional'!A314)</f>
        <v>0</v>
      </c>
      <c r="IX313" s="39" t="str">
        <f>'Por Valoracion (3) Dimension'!F313</f>
        <v>0</v>
      </c>
      <c r="IY313" s="39" t="str">
        <f>'Por Valoracion (3) Dimension 2'!F313</f>
        <v>0</v>
      </c>
      <c r="JT313" s="47"/>
      <c r="JV313" t="str">
        <f>('Inteligencia emocional'!A314)</f>
        <v>0</v>
      </c>
      <c r="JW313" s="39" t="str">
        <f>'Por Valoracion (3) Dimension'!F313</f>
        <v>0</v>
      </c>
      <c r="JX313" s="39" t="str">
        <f>'Por Valoracion (3) Dimension 2'!H313</f>
        <v>0</v>
      </c>
      <c r="KS313" s="47"/>
    </row>
    <row r="314" spans="1:305">
      <c r="A314" s="38"/>
      <c r="C314" t="str">
        <f>('Inteligencia emocional'!A315)</f>
        <v>0</v>
      </c>
      <c r="D314" s="39" t="str">
        <f>'Por Valoracion (3) Dimension'!B314</f>
        <v>0</v>
      </c>
      <c r="E314" s="39" t="str">
        <f>'Por Valoracion (3) Dimension 2'!B314</f>
        <v>0</v>
      </c>
      <c r="Z314" s="38"/>
      <c r="AB314" t="str">
        <f>('Inteligencia emocional'!A315)</f>
        <v>0</v>
      </c>
      <c r="AC314" s="39" t="str">
        <f>'Por Valoracion (3) Dimension'!B314</f>
        <v>0</v>
      </c>
      <c r="AD314" s="39" t="str">
        <f>'Por Valoracion (3) Dimension 2'!D314</f>
        <v>0</v>
      </c>
      <c r="AY314" s="38"/>
      <c r="BA314" t="str">
        <f>('Inteligencia emocional'!A315)</f>
        <v>0</v>
      </c>
      <c r="BB314" s="39" t="str">
        <f>'Por Valoracion (3) Dimension'!B314</f>
        <v>0</v>
      </c>
      <c r="BC314" s="39" t="str">
        <f>'Por Valoracion (3) Dimension 2'!F314</f>
        <v>0</v>
      </c>
      <c r="BX314" s="38"/>
      <c r="BZ314" t="str">
        <f>('Inteligencia emocional'!A315)</f>
        <v>0</v>
      </c>
      <c r="CA314" s="39" t="str">
        <f>'Por Valoracion (3) Dimension'!B314</f>
        <v>0</v>
      </c>
      <c r="CB314" s="39" t="str">
        <f>'Por Valoracion (3) Dimension 2'!H314</f>
        <v>0</v>
      </c>
      <c r="CW314" s="38"/>
      <c r="CY314" s="46"/>
      <c r="DA314" t="str">
        <f>('Inteligencia emocional'!A315)</f>
        <v>0</v>
      </c>
      <c r="DB314" s="39" t="str">
        <f>'Por Valoracion (3) Dimension'!D314</f>
        <v>0</v>
      </c>
      <c r="DC314" s="39" t="str">
        <f>'Por Valoracion (3) Dimension 2'!B314</f>
        <v>0</v>
      </c>
      <c r="DX314" s="46"/>
      <c r="DZ314" t="str">
        <f>('Inteligencia emocional'!A315)</f>
        <v>0</v>
      </c>
      <c r="EA314" s="39" t="str">
        <f>'Por Valoracion (3) Dimension'!D314</f>
        <v>0</v>
      </c>
      <c r="EB314" s="39" t="str">
        <f>'Por Valoracion (3) Dimension 2'!D314</f>
        <v>0</v>
      </c>
      <c r="EW314" s="46"/>
      <c r="EY314" t="str">
        <f>('Inteligencia emocional'!A315)</f>
        <v>0</v>
      </c>
      <c r="EZ314" s="39" t="str">
        <f>'Por Valoracion (3) Dimension'!D314</f>
        <v>0</v>
      </c>
      <c r="FA314" s="39" t="str">
        <f>'Por Valoracion (3) Dimension 2'!F314</f>
        <v>0</v>
      </c>
      <c r="FV314" s="46"/>
      <c r="FX314" t="str">
        <f>('Inteligencia emocional'!A315)</f>
        <v>0</v>
      </c>
      <c r="FY314" s="39" t="str">
        <f>'Por Valoracion (3) Dimension'!D314</f>
        <v>0</v>
      </c>
      <c r="FZ314" s="39" t="str">
        <f>'Por Valoracion (3) Dimension 2'!H314</f>
        <v>0</v>
      </c>
      <c r="GU314" s="46"/>
      <c r="GW314" s="47"/>
      <c r="GY314" t="str">
        <f>('Inteligencia emocional'!A315)</f>
        <v>0</v>
      </c>
      <c r="GZ314" s="39" t="str">
        <f>'Por Valoracion (3) Dimension'!F314</f>
        <v>0</v>
      </c>
      <c r="HA314" s="39" t="str">
        <f>'Por Valoracion (3) Dimension 2'!B314</f>
        <v>0</v>
      </c>
      <c r="HV314" s="47"/>
      <c r="HX314" t="str">
        <f>('Inteligencia emocional'!A315)</f>
        <v>0</v>
      </c>
      <c r="HY314" s="39" t="str">
        <f>'Por Valoracion (3) Dimension'!F314</f>
        <v>0</v>
      </c>
      <c r="HZ314" s="39" t="str">
        <f>'Por Valoracion (3) Dimension 2'!D314</f>
        <v>0</v>
      </c>
      <c r="IU314" s="47"/>
      <c r="IW314" t="str">
        <f>('Inteligencia emocional'!A315)</f>
        <v>0</v>
      </c>
      <c r="IX314" s="39" t="str">
        <f>'Por Valoracion (3) Dimension'!F314</f>
        <v>0</v>
      </c>
      <c r="IY314" s="39" t="str">
        <f>'Por Valoracion (3) Dimension 2'!F314</f>
        <v>0</v>
      </c>
      <c r="JT314" s="47"/>
      <c r="JV314" t="str">
        <f>('Inteligencia emocional'!A315)</f>
        <v>0</v>
      </c>
      <c r="JW314" s="39" t="str">
        <f>'Por Valoracion (3) Dimension'!F314</f>
        <v>0</v>
      </c>
      <c r="JX314" s="39" t="str">
        <f>'Por Valoracion (3) Dimension 2'!H314</f>
        <v>0</v>
      </c>
      <c r="KS314" s="47"/>
    </row>
    <row r="315" spans="1:305">
      <c r="A315" s="38"/>
      <c r="C315" t="str">
        <f>('Inteligencia emocional'!A316)</f>
        <v>0</v>
      </c>
      <c r="D315" s="39" t="str">
        <f>'Por Valoracion (3) Dimension'!B315</f>
        <v>0</v>
      </c>
      <c r="E315" s="39" t="str">
        <f>'Por Valoracion (3) Dimension 2'!B315</f>
        <v>0</v>
      </c>
      <c r="Z315" s="38"/>
      <c r="AB315" t="str">
        <f>('Inteligencia emocional'!A316)</f>
        <v>0</v>
      </c>
      <c r="AC315" s="39" t="str">
        <f>'Por Valoracion (3) Dimension'!B315</f>
        <v>0</v>
      </c>
      <c r="AD315" s="39" t="str">
        <f>'Por Valoracion (3) Dimension 2'!D315</f>
        <v>0</v>
      </c>
      <c r="AY315" s="38"/>
      <c r="BA315" t="str">
        <f>('Inteligencia emocional'!A316)</f>
        <v>0</v>
      </c>
      <c r="BB315" s="39" t="str">
        <f>'Por Valoracion (3) Dimension'!B315</f>
        <v>0</v>
      </c>
      <c r="BC315" s="39" t="str">
        <f>'Por Valoracion (3) Dimension 2'!F315</f>
        <v>0</v>
      </c>
      <c r="BX315" s="38"/>
      <c r="BZ315" t="str">
        <f>('Inteligencia emocional'!A316)</f>
        <v>0</v>
      </c>
      <c r="CA315" s="39" t="str">
        <f>'Por Valoracion (3) Dimension'!B315</f>
        <v>0</v>
      </c>
      <c r="CB315" s="39" t="str">
        <f>'Por Valoracion (3) Dimension 2'!H315</f>
        <v>0</v>
      </c>
      <c r="CW315" s="38"/>
      <c r="CY315" s="46"/>
      <c r="DA315" t="str">
        <f>('Inteligencia emocional'!A316)</f>
        <v>0</v>
      </c>
      <c r="DB315" s="39" t="str">
        <f>'Por Valoracion (3) Dimension'!D315</f>
        <v>0</v>
      </c>
      <c r="DC315" s="39" t="str">
        <f>'Por Valoracion (3) Dimension 2'!B315</f>
        <v>0</v>
      </c>
      <c r="DX315" s="46"/>
      <c r="DZ315" t="str">
        <f>('Inteligencia emocional'!A316)</f>
        <v>0</v>
      </c>
      <c r="EA315" s="39" t="str">
        <f>'Por Valoracion (3) Dimension'!D315</f>
        <v>0</v>
      </c>
      <c r="EB315" s="39" t="str">
        <f>'Por Valoracion (3) Dimension 2'!D315</f>
        <v>0</v>
      </c>
      <c r="EW315" s="46"/>
      <c r="EY315" t="str">
        <f>('Inteligencia emocional'!A316)</f>
        <v>0</v>
      </c>
      <c r="EZ315" s="39" t="str">
        <f>'Por Valoracion (3) Dimension'!D315</f>
        <v>0</v>
      </c>
      <c r="FA315" s="39" t="str">
        <f>'Por Valoracion (3) Dimension 2'!F315</f>
        <v>0</v>
      </c>
      <c r="FV315" s="46"/>
      <c r="FX315" t="str">
        <f>('Inteligencia emocional'!A316)</f>
        <v>0</v>
      </c>
      <c r="FY315" s="39" t="str">
        <f>'Por Valoracion (3) Dimension'!D315</f>
        <v>0</v>
      </c>
      <c r="FZ315" s="39" t="str">
        <f>'Por Valoracion (3) Dimension 2'!H315</f>
        <v>0</v>
      </c>
      <c r="GU315" s="46"/>
      <c r="GW315" s="47"/>
      <c r="GY315" t="str">
        <f>('Inteligencia emocional'!A316)</f>
        <v>0</v>
      </c>
      <c r="GZ315" s="39" t="str">
        <f>'Por Valoracion (3) Dimension'!F315</f>
        <v>0</v>
      </c>
      <c r="HA315" s="39" t="str">
        <f>'Por Valoracion (3) Dimension 2'!B315</f>
        <v>0</v>
      </c>
      <c r="HV315" s="47"/>
      <c r="HX315" t="str">
        <f>('Inteligencia emocional'!A316)</f>
        <v>0</v>
      </c>
      <c r="HY315" s="39" t="str">
        <f>'Por Valoracion (3) Dimension'!F315</f>
        <v>0</v>
      </c>
      <c r="HZ315" s="39" t="str">
        <f>'Por Valoracion (3) Dimension 2'!D315</f>
        <v>0</v>
      </c>
      <c r="IU315" s="47"/>
      <c r="IW315" t="str">
        <f>('Inteligencia emocional'!A316)</f>
        <v>0</v>
      </c>
      <c r="IX315" s="39" t="str">
        <f>'Por Valoracion (3) Dimension'!F315</f>
        <v>0</v>
      </c>
      <c r="IY315" s="39" t="str">
        <f>'Por Valoracion (3) Dimension 2'!F315</f>
        <v>0</v>
      </c>
      <c r="JT315" s="47"/>
      <c r="JV315" t="str">
        <f>('Inteligencia emocional'!A316)</f>
        <v>0</v>
      </c>
      <c r="JW315" s="39" t="str">
        <f>'Por Valoracion (3) Dimension'!F315</f>
        <v>0</v>
      </c>
      <c r="JX315" s="39" t="str">
        <f>'Por Valoracion (3) Dimension 2'!H315</f>
        <v>0</v>
      </c>
      <c r="KS315" s="47"/>
    </row>
    <row r="316" spans="1:305">
      <c r="A316" s="38"/>
      <c r="C316" t="str">
        <f>('Inteligencia emocional'!A317)</f>
        <v>0</v>
      </c>
      <c r="D316" s="39" t="str">
        <f>'Por Valoracion (3) Dimension'!B316</f>
        <v>0</v>
      </c>
      <c r="E316" s="39" t="str">
        <f>'Por Valoracion (3) Dimension 2'!B316</f>
        <v>0</v>
      </c>
      <c r="Z316" s="38"/>
      <c r="AB316" t="str">
        <f>('Inteligencia emocional'!A317)</f>
        <v>0</v>
      </c>
      <c r="AC316" s="39" t="str">
        <f>'Por Valoracion (3) Dimension'!B316</f>
        <v>0</v>
      </c>
      <c r="AD316" s="39" t="str">
        <f>'Por Valoracion (3) Dimension 2'!D316</f>
        <v>0</v>
      </c>
      <c r="AY316" s="38"/>
      <c r="BA316" t="str">
        <f>('Inteligencia emocional'!A317)</f>
        <v>0</v>
      </c>
      <c r="BB316" s="39" t="str">
        <f>'Por Valoracion (3) Dimension'!B316</f>
        <v>0</v>
      </c>
      <c r="BC316" s="39" t="str">
        <f>'Por Valoracion (3) Dimension 2'!F316</f>
        <v>0</v>
      </c>
      <c r="BX316" s="38"/>
      <c r="BZ316" t="str">
        <f>('Inteligencia emocional'!A317)</f>
        <v>0</v>
      </c>
      <c r="CA316" s="39" t="str">
        <f>'Por Valoracion (3) Dimension'!B316</f>
        <v>0</v>
      </c>
      <c r="CB316" s="39" t="str">
        <f>'Por Valoracion (3) Dimension 2'!H316</f>
        <v>0</v>
      </c>
      <c r="CW316" s="38"/>
      <c r="CY316" s="46"/>
      <c r="DA316" t="str">
        <f>('Inteligencia emocional'!A317)</f>
        <v>0</v>
      </c>
      <c r="DB316" s="39" t="str">
        <f>'Por Valoracion (3) Dimension'!D316</f>
        <v>0</v>
      </c>
      <c r="DC316" s="39" t="str">
        <f>'Por Valoracion (3) Dimension 2'!B316</f>
        <v>0</v>
      </c>
      <c r="DX316" s="46"/>
      <c r="DZ316" t="str">
        <f>('Inteligencia emocional'!A317)</f>
        <v>0</v>
      </c>
      <c r="EA316" s="39" t="str">
        <f>'Por Valoracion (3) Dimension'!D316</f>
        <v>0</v>
      </c>
      <c r="EB316" s="39" t="str">
        <f>'Por Valoracion (3) Dimension 2'!D316</f>
        <v>0</v>
      </c>
      <c r="EW316" s="46"/>
      <c r="EY316" t="str">
        <f>('Inteligencia emocional'!A317)</f>
        <v>0</v>
      </c>
      <c r="EZ316" s="39" t="str">
        <f>'Por Valoracion (3) Dimension'!D316</f>
        <v>0</v>
      </c>
      <c r="FA316" s="39" t="str">
        <f>'Por Valoracion (3) Dimension 2'!F316</f>
        <v>0</v>
      </c>
      <c r="FV316" s="46"/>
      <c r="FX316" t="str">
        <f>('Inteligencia emocional'!A317)</f>
        <v>0</v>
      </c>
      <c r="FY316" s="39" t="str">
        <f>'Por Valoracion (3) Dimension'!D316</f>
        <v>0</v>
      </c>
      <c r="FZ316" s="39" t="str">
        <f>'Por Valoracion (3) Dimension 2'!H316</f>
        <v>0</v>
      </c>
      <c r="GU316" s="46"/>
      <c r="GW316" s="47"/>
      <c r="GY316" t="str">
        <f>('Inteligencia emocional'!A317)</f>
        <v>0</v>
      </c>
      <c r="GZ316" s="39" t="str">
        <f>'Por Valoracion (3) Dimension'!F316</f>
        <v>0</v>
      </c>
      <c r="HA316" s="39" t="str">
        <f>'Por Valoracion (3) Dimension 2'!B316</f>
        <v>0</v>
      </c>
      <c r="HV316" s="47"/>
      <c r="HX316" t="str">
        <f>('Inteligencia emocional'!A317)</f>
        <v>0</v>
      </c>
      <c r="HY316" s="39" t="str">
        <f>'Por Valoracion (3) Dimension'!F316</f>
        <v>0</v>
      </c>
      <c r="HZ316" s="39" t="str">
        <f>'Por Valoracion (3) Dimension 2'!D316</f>
        <v>0</v>
      </c>
      <c r="IU316" s="47"/>
      <c r="IW316" t="str">
        <f>('Inteligencia emocional'!A317)</f>
        <v>0</v>
      </c>
      <c r="IX316" s="39" t="str">
        <f>'Por Valoracion (3) Dimension'!F316</f>
        <v>0</v>
      </c>
      <c r="IY316" s="39" t="str">
        <f>'Por Valoracion (3) Dimension 2'!F316</f>
        <v>0</v>
      </c>
      <c r="JT316" s="47"/>
      <c r="JV316" t="str">
        <f>('Inteligencia emocional'!A317)</f>
        <v>0</v>
      </c>
      <c r="JW316" s="39" t="str">
        <f>'Por Valoracion (3) Dimension'!F316</f>
        <v>0</v>
      </c>
      <c r="JX316" s="39" t="str">
        <f>'Por Valoracion (3) Dimension 2'!H316</f>
        <v>0</v>
      </c>
      <c r="KS316" s="47"/>
    </row>
    <row r="317" spans="1:305">
      <c r="A317" s="38"/>
      <c r="C317" t="str">
        <f>('Inteligencia emocional'!A318)</f>
        <v>0</v>
      </c>
      <c r="D317" s="39" t="str">
        <f>'Por Valoracion (3) Dimension'!B317</f>
        <v>0</v>
      </c>
      <c r="E317" s="39" t="str">
        <f>'Por Valoracion (3) Dimension 2'!B317</f>
        <v>0</v>
      </c>
      <c r="Z317" s="38"/>
      <c r="AB317" t="str">
        <f>('Inteligencia emocional'!A318)</f>
        <v>0</v>
      </c>
      <c r="AC317" s="39" t="str">
        <f>'Por Valoracion (3) Dimension'!B317</f>
        <v>0</v>
      </c>
      <c r="AD317" s="39" t="str">
        <f>'Por Valoracion (3) Dimension 2'!D317</f>
        <v>0</v>
      </c>
      <c r="AY317" s="38"/>
      <c r="BA317" t="str">
        <f>('Inteligencia emocional'!A318)</f>
        <v>0</v>
      </c>
      <c r="BB317" s="39" t="str">
        <f>'Por Valoracion (3) Dimension'!B317</f>
        <v>0</v>
      </c>
      <c r="BC317" s="39" t="str">
        <f>'Por Valoracion (3) Dimension 2'!F317</f>
        <v>0</v>
      </c>
      <c r="BX317" s="38"/>
      <c r="BZ317" t="str">
        <f>('Inteligencia emocional'!A318)</f>
        <v>0</v>
      </c>
      <c r="CA317" s="39" t="str">
        <f>'Por Valoracion (3) Dimension'!B317</f>
        <v>0</v>
      </c>
      <c r="CB317" s="39" t="str">
        <f>'Por Valoracion (3) Dimension 2'!H317</f>
        <v>0</v>
      </c>
      <c r="CW317" s="38"/>
      <c r="CY317" s="46"/>
      <c r="DA317" t="str">
        <f>('Inteligencia emocional'!A318)</f>
        <v>0</v>
      </c>
      <c r="DB317" s="39" t="str">
        <f>'Por Valoracion (3) Dimension'!D317</f>
        <v>0</v>
      </c>
      <c r="DC317" s="39" t="str">
        <f>'Por Valoracion (3) Dimension 2'!B317</f>
        <v>0</v>
      </c>
      <c r="DX317" s="46"/>
      <c r="DZ317" t="str">
        <f>('Inteligencia emocional'!A318)</f>
        <v>0</v>
      </c>
      <c r="EA317" s="39" t="str">
        <f>'Por Valoracion (3) Dimension'!D317</f>
        <v>0</v>
      </c>
      <c r="EB317" s="39" t="str">
        <f>'Por Valoracion (3) Dimension 2'!D317</f>
        <v>0</v>
      </c>
      <c r="EW317" s="46"/>
      <c r="EY317" t="str">
        <f>('Inteligencia emocional'!A318)</f>
        <v>0</v>
      </c>
      <c r="EZ317" s="39" t="str">
        <f>'Por Valoracion (3) Dimension'!D317</f>
        <v>0</v>
      </c>
      <c r="FA317" s="39" t="str">
        <f>'Por Valoracion (3) Dimension 2'!F317</f>
        <v>0</v>
      </c>
      <c r="FV317" s="46"/>
      <c r="FX317" t="str">
        <f>('Inteligencia emocional'!A318)</f>
        <v>0</v>
      </c>
      <c r="FY317" s="39" t="str">
        <f>'Por Valoracion (3) Dimension'!D317</f>
        <v>0</v>
      </c>
      <c r="FZ317" s="39" t="str">
        <f>'Por Valoracion (3) Dimension 2'!H317</f>
        <v>0</v>
      </c>
      <c r="GU317" s="46"/>
      <c r="GW317" s="47"/>
      <c r="GY317" t="str">
        <f>('Inteligencia emocional'!A318)</f>
        <v>0</v>
      </c>
      <c r="GZ317" s="39" t="str">
        <f>'Por Valoracion (3) Dimension'!F317</f>
        <v>0</v>
      </c>
      <c r="HA317" s="39" t="str">
        <f>'Por Valoracion (3) Dimension 2'!B317</f>
        <v>0</v>
      </c>
      <c r="HV317" s="47"/>
      <c r="HX317" t="str">
        <f>('Inteligencia emocional'!A318)</f>
        <v>0</v>
      </c>
      <c r="HY317" s="39" t="str">
        <f>'Por Valoracion (3) Dimension'!F317</f>
        <v>0</v>
      </c>
      <c r="HZ317" s="39" t="str">
        <f>'Por Valoracion (3) Dimension 2'!D317</f>
        <v>0</v>
      </c>
      <c r="IU317" s="47"/>
      <c r="IW317" t="str">
        <f>('Inteligencia emocional'!A318)</f>
        <v>0</v>
      </c>
      <c r="IX317" s="39" t="str">
        <f>'Por Valoracion (3) Dimension'!F317</f>
        <v>0</v>
      </c>
      <c r="IY317" s="39" t="str">
        <f>'Por Valoracion (3) Dimension 2'!F317</f>
        <v>0</v>
      </c>
      <c r="JT317" s="47"/>
      <c r="JV317" t="str">
        <f>('Inteligencia emocional'!A318)</f>
        <v>0</v>
      </c>
      <c r="JW317" s="39" t="str">
        <f>'Por Valoracion (3) Dimension'!F317</f>
        <v>0</v>
      </c>
      <c r="JX317" s="39" t="str">
        <f>'Por Valoracion (3) Dimension 2'!H317</f>
        <v>0</v>
      </c>
      <c r="KS317" s="47"/>
    </row>
    <row r="318" spans="1:305">
      <c r="A318" s="38"/>
      <c r="C318" t="str">
        <f>('Inteligencia emocional'!A319)</f>
        <v>0</v>
      </c>
      <c r="D318" s="39" t="str">
        <f>'Por Valoracion (3) Dimension'!B318</f>
        <v>0</v>
      </c>
      <c r="E318" s="39" t="str">
        <f>'Por Valoracion (3) Dimension 2'!B318</f>
        <v>0</v>
      </c>
      <c r="Z318" s="38"/>
      <c r="AB318" t="str">
        <f>('Inteligencia emocional'!A319)</f>
        <v>0</v>
      </c>
      <c r="AC318" s="39" t="str">
        <f>'Por Valoracion (3) Dimension'!B318</f>
        <v>0</v>
      </c>
      <c r="AD318" s="39" t="str">
        <f>'Por Valoracion (3) Dimension 2'!D318</f>
        <v>0</v>
      </c>
      <c r="AY318" s="38"/>
      <c r="BA318" t="str">
        <f>('Inteligencia emocional'!A319)</f>
        <v>0</v>
      </c>
      <c r="BB318" s="39" t="str">
        <f>'Por Valoracion (3) Dimension'!B318</f>
        <v>0</v>
      </c>
      <c r="BC318" s="39" t="str">
        <f>'Por Valoracion (3) Dimension 2'!F318</f>
        <v>0</v>
      </c>
      <c r="BX318" s="38"/>
      <c r="BZ318" t="str">
        <f>('Inteligencia emocional'!A319)</f>
        <v>0</v>
      </c>
      <c r="CA318" s="39" t="str">
        <f>'Por Valoracion (3) Dimension'!B318</f>
        <v>0</v>
      </c>
      <c r="CB318" s="39" t="str">
        <f>'Por Valoracion (3) Dimension 2'!H318</f>
        <v>0</v>
      </c>
      <c r="CW318" s="38"/>
      <c r="CY318" s="46"/>
      <c r="DA318" t="str">
        <f>('Inteligencia emocional'!A319)</f>
        <v>0</v>
      </c>
      <c r="DB318" s="39" t="str">
        <f>'Por Valoracion (3) Dimension'!D318</f>
        <v>0</v>
      </c>
      <c r="DC318" s="39" t="str">
        <f>'Por Valoracion (3) Dimension 2'!B318</f>
        <v>0</v>
      </c>
      <c r="DX318" s="46"/>
      <c r="DZ318" t="str">
        <f>('Inteligencia emocional'!A319)</f>
        <v>0</v>
      </c>
      <c r="EA318" s="39" t="str">
        <f>'Por Valoracion (3) Dimension'!D318</f>
        <v>0</v>
      </c>
      <c r="EB318" s="39" t="str">
        <f>'Por Valoracion (3) Dimension 2'!D318</f>
        <v>0</v>
      </c>
      <c r="EW318" s="46"/>
      <c r="EY318" t="str">
        <f>('Inteligencia emocional'!A319)</f>
        <v>0</v>
      </c>
      <c r="EZ318" s="39" t="str">
        <f>'Por Valoracion (3) Dimension'!D318</f>
        <v>0</v>
      </c>
      <c r="FA318" s="39" t="str">
        <f>'Por Valoracion (3) Dimension 2'!F318</f>
        <v>0</v>
      </c>
      <c r="FV318" s="46"/>
      <c r="FX318" t="str">
        <f>('Inteligencia emocional'!A319)</f>
        <v>0</v>
      </c>
      <c r="FY318" s="39" t="str">
        <f>'Por Valoracion (3) Dimension'!D318</f>
        <v>0</v>
      </c>
      <c r="FZ318" s="39" t="str">
        <f>'Por Valoracion (3) Dimension 2'!H318</f>
        <v>0</v>
      </c>
      <c r="GU318" s="46"/>
      <c r="GW318" s="47"/>
      <c r="GY318" t="str">
        <f>('Inteligencia emocional'!A319)</f>
        <v>0</v>
      </c>
      <c r="GZ318" s="39" t="str">
        <f>'Por Valoracion (3) Dimension'!F318</f>
        <v>0</v>
      </c>
      <c r="HA318" s="39" t="str">
        <f>'Por Valoracion (3) Dimension 2'!B318</f>
        <v>0</v>
      </c>
      <c r="HV318" s="47"/>
      <c r="HX318" t="str">
        <f>('Inteligencia emocional'!A319)</f>
        <v>0</v>
      </c>
      <c r="HY318" s="39" t="str">
        <f>'Por Valoracion (3) Dimension'!F318</f>
        <v>0</v>
      </c>
      <c r="HZ318" s="39" t="str">
        <f>'Por Valoracion (3) Dimension 2'!D318</f>
        <v>0</v>
      </c>
      <c r="IU318" s="47"/>
      <c r="IW318" t="str">
        <f>('Inteligencia emocional'!A319)</f>
        <v>0</v>
      </c>
      <c r="IX318" s="39" t="str">
        <f>'Por Valoracion (3) Dimension'!F318</f>
        <v>0</v>
      </c>
      <c r="IY318" s="39" t="str">
        <f>'Por Valoracion (3) Dimension 2'!F318</f>
        <v>0</v>
      </c>
      <c r="JT318" s="47"/>
      <c r="JV318" t="str">
        <f>('Inteligencia emocional'!A319)</f>
        <v>0</v>
      </c>
      <c r="JW318" s="39" t="str">
        <f>'Por Valoracion (3) Dimension'!F318</f>
        <v>0</v>
      </c>
      <c r="JX318" s="39" t="str">
        <f>'Por Valoracion (3) Dimension 2'!H318</f>
        <v>0</v>
      </c>
      <c r="KS318" s="47"/>
    </row>
    <row r="319" spans="1:305">
      <c r="A319" s="38"/>
      <c r="C319" t="str">
        <f>('Inteligencia emocional'!A320)</f>
        <v>0</v>
      </c>
      <c r="D319" s="39" t="str">
        <f>'Por Valoracion (3) Dimension'!B319</f>
        <v>0</v>
      </c>
      <c r="E319" s="39" t="str">
        <f>'Por Valoracion (3) Dimension 2'!B319</f>
        <v>0</v>
      </c>
      <c r="Z319" s="38"/>
      <c r="AB319" t="str">
        <f>('Inteligencia emocional'!A320)</f>
        <v>0</v>
      </c>
      <c r="AC319" s="39" t="str">
        <f>'Por Valoracion (3) Dimension'!B319</f>
        <v>0</v>
      </c>
      <c r="AD319" s="39" t="str">
        <f>'Por Valoracion (3) Dimension 2'!D319</f>
        <v>0</v>
      </c>
      <c r="AY319" s="38"/>
      <c r="BA319" t="str">
        <f>('Inteligencia emocional'!A320)</f>
        <v>0</v>
      </c>
      <c r="BB319" s="39" t="str">
        <f>'Por Valoracion (3) Dimension'!B319</f>
        <v>0</v>
      </c>
      <c r="BC319" s="39" t="str">
        <f>'Por Valoracion (3) Dimension 2'!F319</f>
        <v>0</v>
      </c>
      <c r="BX319" s="38"/>
      <c r="BZ319" t="str">
        <f>('Inteligencia emocional'!A320)</f>
        <v>0</v>
      </c>
      <c r="CA319" s="39" t="str">
        <f>'Por Valoracion (3) Dimension'!B319</f>
        <v>0</v>
      </c>
      <c r="CB319" s="39" t="str">
        <f>'Por Valoracion (3) Dimension 2'!H319</f>
        <v>0</v>
      </c>
      <c r="CW319" s="38"/>
      <c r="CY319" s="46"/>
      <c r="DA319" t="str">
        <f>('Inteligencia emocional'!A320)</f>
        <v>0</v>
      </c>
      <c r="DB319" s="39" t="str">
        <f>'Por Valoracion (3) Dimension'!D319</f>
        <v>0</v>
      </c>
      <c r="DC319" s="39" t="str">
        <f>'Por Valoracion (3) Dimension 2'!B319</f>
        <v>0</v>
      </c>
      <c r="DX319" s="46"/>
      <c r="DZ319" t="str">
        <f>('Inteligencia emocional'!A320)</f>
        <v>0</v>
      </c>
      <c r="EA319" s="39" t="str">
        <f>'Por Valoracion (3) Dimension'!D319</f>
        <v>0</v>
      </c>
      <c r="EB319" s="39" t="str">
        <f>'Por Valoracion (3) Dimension 2'!D319</f>
        <v>0</v>
      </c>
      <c r="EW319" s="46"/>
      <c r="EY319" t="str">
        <f>('Inteligencia emocional'!A320)</f>
        <v>0</v>
      </c>
      <c r="EZ319" s="39" t="str">
        <f>'Por Valoracion (3) Dimension'!D319</f>
        <v>0</v>
      </c>
      <c r="FA319" s="39" t="str">
        <f>'Por Valoracion (3) Dimension 2'!F319</f>
        <v>0</v>
      </c>
      <c r="FV319" s="46"/>
      <c r="FX319" t="str">
        <f>('Inteligencia emocional'!A320)</f>
        <v>0</v>
      </c>
      <c r="FY319" s="39" t="str">
        <f>'Por Valoracion (3) Dimension'!D319</f>
        <v>0</v>
      </c>
      <c r="FZ319" s="39" t="str">
        <f>'Por Valoracion (3) Dimension 2'!H319</f>
        <v>0</v>
      </c>
      <c r="GU319" s="46"/>
      <c r="GW319" s="47"/>
      <c r="GY319" t="str">
        <f>('Inteligencia emocional'!A320)</f>
        <v>0</v>
      </c>
      <c r="GZ319" s="39" t="str">
        <f>'Por Valoracion (3) Dimension'!F319</f>
        <v>0</v>
      </c>
      <c r="HA319" s="39" t="str">
        <f>'Por Valoracion (3) Dimension 2'!B319</f>
        <v>0</v>
      </c>
      <c r="HV319" s="47"/>
      <c r="HX319" t="str">
        <f>('Inteligencia emocional'!A320)</f>
        <v>0</v>
      </c>
      <c r="HY319" s="39" t="str">
        <f>'Por Valoracion (3) Dimension'!F319</f>
        <v>0</v>
      </c>
      <c r="HZ319" s="39" t="str">
        <f>'Por Valoracion (3) Dimension 2'!D319</f>
        <v>0</v>
      </c>
      <c r="IU319" s="47"/>
      <c r="IW319" t="str">
        <f>('Inteligencia emocional'!A320)</f>
        <v>0</v>
      </c>
      <c r="IX319" s="39" t="str">
        <f>'Por Valoracion (3) Dimension'!F319</f>
        <v>0</v>
      </c>
      <c r="IY319" s="39" t="str">
        <f>'Por Valoracion (3) Dimension 2'!F319</f>
        <v>0</v>
      </c>
      <c r="JT319" s="47"/>
      <c r="JV319" t="str">
        <f>('Inteligencia emocional'!A320)</f>
        <v>0</v>
      </c>
      <c r="JW319" s="39" t="str">
        <f>'Por Valoracion (3) Dimension'!F319</f>
        <v>0</v>
      </c>
      <c r="JX319" s="39" t="str">
        <f>'Por Valoracion (3) Dimension 2'!H319</f>
        <v>0</v>
      </c>
      <c r="KS319" s="47"/>
    </row>
    <row r="320" spans="1:305">
      <c r="A320" s="38"/>
      <c r="C320" t="str">
        <f>('Inteligencia emocional'!A321)</f>
        <v>0</v>
      </c>
      <c r="D320" s="39" t="str">
        <f>'Por Valoracion (3) Dimension'!B320</f>
        <v>0</v>
      </c>
      <c r="E320" s="39" t="str">
        <f>'Por Valoracion (3) Dimension 2'!B320</f>
        <v>0</v>
      </c>
      <c r="Z320" s="38"/>
      <c r="AB320" t="str">
        <f>('Inteligencia emocional'!A321)</f>
        <v>0</v>
      </c>
      <c r="AC320" s="39" t="str">
        <f>'Por Valoracion (3) Dimension'!B320</f>
        <v>0</v>
      </c>
      <c r="AD320" s="39" t="str">
        <f>'Por Valoracion (3) Dimension 2'!D320</f>
        <v>0</v>
      </c>
      <c r="AY320" s="38"/>
      <c r="BA320" t="str">
        <f>('Inteligencia emocional'!A321)</f>
        <v>0</v>
      </c>
      <c r="BB320" s="39" t="str">
        <f>'Por Valoracion (3) Dimension'!B320</f>
        <v>0</v>
      </c>
      <c r="BC320" s="39" t="str">
        <f>'Por Valoracion (3) Dimension 2'!F320</f>
        <v>0</v>
      </c>
      <c r="BX320" s="38"/>
      <c r="BZ320" t="str">
        <f>('Inteligencia emocional'!A321)</f>
        <v>0</v>
      </c>
      <c r="CA320" s="39" t="str">
        <f>'Por Valoracion (3) Dimension'!B320</f>
        <v>0</v>
      </c>
      <c r="CB320" s="39" t="str">
        <f>'Por Valoracion (3) Dimension 2'!H320</f>
        <v>0</v>
      </c>
      <c r="CW320" s="38"/>
      <c r="CY320" s="46"/>
      <c r="DA320" t="str">
        <f>('Inteligencia emocional'!A321)</f>
        <v>0</v>
      </c>
      <c r="DB320" s="39" t="str">
        <f>'Por Valoracion (3) Dimension'!D320</f>
        <v>0</v>
      </c>
      <c r="DC320" s="39" t="str">
        <f>'Por Valoracion (3) Dimension 2'!B320</f>
        <v>0</v>
      </c>
      <c r="DX320" s="46"/>
      <c r="DZ320" t="str">
        <f>('Inteligencia emocional'!A321)</f>
        <v>0</v>
      </c>
      <c r="EA320" s="39" t="str">
        <f>'Por Valoracion (3) Dimension'!D320</f>
        <v>0</v>
      </c>
      <c r="EB320" s="39" t="str">
        <f>'Por Valoracion (3) Dimension 2'!D320</f>
        <v>0</v>
      </c>
      <c r="EW320" s="46"/>
      <c r="EY320" t="str">
        <f>('Inteligencia emocional'!A321)</f>
        <v>0</v>
      </c>
      <c r="EZ320" s="39" t="str">
        <f>'Por Valoracion (3) Dimension'!D320</f>
        <v>0</v>
      </c>
      <c r="FA320" s="39" t="str">
        <f>'Por Valoracion (3) Dimension 2'!F320</f>
        <v>0</v>
      </c>
      <c r="FV320" s="46"/>
      <c r="FX320" t="str">
        <f>('Inteligencia emocional'!A321)</f>
        <v>0</v>
      </c>
      <c r="FY320" s="39" t="str">
        <f>'Por Valoracion (3) Dimension'!D320</f>
        <v>0</v>
      </c>
      <c r="FZ320" s="39" t="str">
        <f>'Por Valoracion (3) Dimension 2'!H320</f>
        <v>0</v>
      </c>
      <c r="GU320" s="46"/>
      <c r="GW320" s="47"/>
      <c r="GY320" t="str">
        <f>('Inteligencia emocional'!A321)</f>
        <v>0</v>
      </c>
      <c r="GZ320" s="39" t="str">
        <f>'Por Valoracion (3) Dimension'!F320</f>
        <v>0</v>
      </c>
      <c r="HA320" s="39" t="str">
        <f>'Por Valoracion (3) Dimension 2'!B320</f>
        <v>0</v>
      </c>
      <c r="HV320" s="47"/>
      <c r="HX320" t="str">
        <f>('Inteligencia emocional'!A321)</f>
        <v>0</v>
      </c>
      <c r="HY320" s="39" t="str">
        <f>'Por Valoracion (3) Dimension'!F320</f>
        <v>0</v>
      </c>
      <c r="HZ320" s="39" t="str">
        <f>'Por Valoracion (3) Dimension 2'!D320</f>
        <v>0</v>
      </c>
      <c r="IU320" s="47"/>
      <c r="IW320" t="str">
        <f>('Inteligencia emocional'!A321)</f>
        <v>0</v>
      </c>
      <c r="IX320" s="39" t="str">
        <f>'Por Valoracion (3) Dimension'!F320</f>
        <v>0</v>
      </c>
      <c r="IY320" s="39" t="str">
        <f>'Por Valoracion (3) Dimension 2'!F320</f>
        <v>0</v>
      </c>
      <c r="JT320" s="47"/>
      <c r="JV320" t="str">
        <f>('Inteligencia emocional'!A321)</f>
        <v>0</v>
      </c>
      <c r="JW320" s="39" t="str">
        <f>'Por Valoracion (3) Dimension'!F320</f>
        <v>0</v>
      </c>
      <c r="JX320" s="39" t="str">
        <f>'Por Valoracion (3) Dimension 2'!H320</f>
        <v>0</v>
      </c>
      <c r="KS320" s="47"/>
    </row>
    <row r="321" spans="1:305">
      <c r="A321" s="38"/>
      <c r="C321" t="str">
        <f>('Inteligencia emocional'!A322)</f>
        <v>0</v>
      </c>
      <c r="D321" s="39" t="str">
        <f>'Por Valoracion (3) Dimension'!B321</f>
        <v>0</v>
      </c>
      <c r="E321" s="39" t="str">
        <f>'Por Valoracion (3) Dimension 2'!B321</f>
        <v>0</v>
      </c>
      <c r="Z321" s="38"/>
      <c r="AB321" t="str">
        <f>('Inteligencia emocional'!A322)</f>
        <v>0</v>
      </c>
      <c r="AC321" s="39" t="str">
        <f>'Por Valoracion (3) Dimension'!B321</f>
        <v>0</v>
      </c>
      <c r="AD321" s="39" t="str">
        <f>'Por Valoracion (3) Dimension 2'!D321</f>
        <v>0</v>
      </c>
      <c r="AY321" s="38"/>
      <c r="BA321" t="str">
        <f>('Inteligencia emocional'!A322)</f>
        <v>0</v>
      </c>
      <c r="BB321" s="39" t="str">
        <f>'Por Valoracion (3) Dimension'!B321</f>
        <v>0</v>
      </c>
      <c r="BC321" s="39" t="str">
        <f>'Por Valoracion (3) Dimension 2'!F321</f>
        <v>0</v>
      </c>
      <c r="BX321" s="38"/>
      <c r="BZ321" t="str">
        <f>('Inteligencia emocional'!A322)</f>
        <v>0</v>
      </c>
      <c r="CA321" s="39" t="str">
        <f>'Por Valoracion (3) Dimension'!B321</f>
        <v>0</v>
      </c>
      <c r="CB321" s="39" t="str">
        <f>'Por Valoracion (3) Dimension 2'!H321</f>
        <v>0</v>
      </c>
      <c r="CW321" s="38"/>
      <c r="CY321" s="46"/>
      <c r="DA321" t="str">
        <f>('Inteligencia emocional'!A322)</f>
        <v>0</v>
      </c>
      <c r="DB321" s="39" t="str">
        <f>'Por Valoracion (3) Dimension'!D321</f>
        <v>0</v>
      </c>
      <c r="DC321" s="39" t="str">
        <f>'Por Valoracion (3) Dimension 2'!B321</f>
        <v>0</v>
      </c>
      <c r="DX321" s="46"/>
      <c r="DZ321" t="str">
        <f>('Inteligencia emocional'!A322)</f>
        <v>0</v>
      </c>
      <c r="EA321" s="39" t="str">
        <f>'Por Valoracion (3) Dimension'!D321</f>
        <v>0</v>
      </c>
      <c r="EB321" s="39" t="str">
        <f>'Por Valoracion (3) Dimension 2'!D321</f>
        <v>0</v>
      </c>
      <c r="EW321" s="46"/>
      <c r="EY321" t="str">
        <f>('Inteligencia emocional'!A322)</f>
        <v>0</v>
      </c>
      <c r="EZ321" s="39" t="str">
        <f>'Por Valoracion (3) Dimension'!D321</f>
        <v>0</v>
      </c>
      <c r="FA321" s="39" t="str">
        <f>'Por Valoracion (3) Dimension 2'!F321</f>
        <v>0</v>
      </c>
      <c r="FV321" s="46"/>
      <c r="FX321" t="str">
        <f>('Inteligencia emocional'!A322)</f>
        <v>0</v>
      </c>
      <c r="FY321" s="39" t="str">
        <f>'Por Valoracion (3) Dimension'!D321</f>
        <v>0</v>
      </c>
      <c r="FZ321" s="39" t="str">
        <f>'Por Valoracion (3) Dimension 2'!H321</f>
        <v>0</v>
      </c>
      <c r="GU321" s="46"/>
      <c r="GW321" s="47"/>
      <c r="GY321" t="str">
        <f>('Inteligencia emocional'!A322)</f>
        <v>0</v>
      </c>
      <c r="GZ321" s="39" t="str">
        <f>'Por Valoracion (3) Dimension'!F321</f>
        <v>0</v>
      </c>
      <c r="HA321" s="39" t="str">
        <f>'Por Valoracion (3) Dimension 2'!B321</f>
        <v>0</v>
      </c>
      <c r="HV321" s="47"/>
      <c r="HX321" t="str">
        <f>('Inteligencia emocional'!A322)</f>
        <v>0</v>
      </c>
      <c r="HY321" s="39" t="str">
        <f>'Por Valoracion (3) Dimension'!F321</f>
        <v>0</v>
      </c>
      <c r="HZ321" s="39" t="str">
        <f>'Por Valoracion (3) Dimension 2'!D321</f>
        <v>0</v>
      </c>
      <c r="IU321" s="47"/>
      <c r="IW321" t="str">
        <f>('Inteligencia emocional'!A322)</f>
        <v>0</v>
      </c>
      <c r="IX321" s="39" t="str">
        <f>'Por Valoracion (3) Dimension'!F321</f>
        <v>0</v>
      </c>
      <c r="IY321" s="39" t="str">
        <f>'Por Valoracion (3) Dimension 2'!F321</f>
        <v>0</v>
      </c>
      <c r="JT321" s="47"/>
      <c r="JV321" t="str">
        <f>('Inteligencia emocional'!A322)</f>
        <v>0</v>
      </c>
      <c r="JW321" s="39" t="str">
        <f>'Por Valoracion (3) Dimension'!F321</f>
        <v>0</v>
      </c>
      <c r="JX321" s="39" t="str">
        <f>'Por Valoracion (3) Dimension 2'!H321</f>
        <v>0</v>
      </c>
      <c r="KS321" s="47"/>
    </row>
    <row r="322" spans="1:305">
      <c r="A322" s="38"/>
      <c r="C322" t="str">
        <f>('Inteligencia emocional'!A323)</f>
        <v>0</v>
      </c>
      <c r="D322" s="39" t="str">
        <f>'Por Valoracion (3) Dimension'!B322</f>
        <v>0</v>
      </c>
      <c r="E322" s="39" t="str">
        <f>'Por Valoracion (3) Dimension 2'!B322</f>
        <v>0</v>
      </c>
      <c r="Z322" s="38"/>
      <c r="AB322" t="str">
        <f>('Inteligencia emocional'!A323)</f>
        <v>0</v>
      </c>
      <c r="AC322" s="39" t="str">
        <f>'Por Valoracion (3) Dimension'!B322</f>
        <v>0</v>
      </c>
      <c r="AD322" s="39" t="str">
        <f>'Por Valoracion (3) Dimension 2'!D322</f>
        <v>0</v>
      </c>
      <c r="AY322" s="38"/>
      <c r="BA322" t="str">
        <f>('Inteligencia emocional'!A323)</f>
        <v>0</v>
      </c>
      <c r="BB322" s="39" t="str">
        <f>'Por Valoracion (3) Dimension'!B322</f>
        <v>0</v>
      </c>
      <c r="BC322" s="39" t="str">
        <f>'Por Valoracion (3) Dimension 2'!F322</f>
        <v>0</v>
      </c>
      <c r="BX322" s="38"/>
      <c r="BZ322" t="str">
        <f>('Inteligencia emocional'!A323)</f>
        <v>0</v>
      </c>
      <c r="CA322" s="39" t="str">
        <f>'Por Valoracion (3) Dimension'!B322</f>
        <v>0</v>
      </c>
      <c r="CB322" s="39" t="str">
        <f>'Por Valoracion (3) Dimension 2'!H322</f>
        <v>0</v>
      </c>
      <c r="CW322" s="38"/>
      <c r="CY322" s="46"/>
      <c r="DA322" t="str">
        <f>('Inteligencia emocional'!A323)</f>
        <v>0</v>
      </c>
      <c r="DB322" s="39" t="str">
        <f>'Por Valoracion (3) Dimension'!D322</f>
        <v>0</v>
      </c>
      <c r="DC322" s="39" t="str">
        <f>'Por Valoracion (3) Dimension 2'!B322</f>
        <v>0</v>
      </c>
      <c r="DX322" s="46"/>
      <c r="DZ322" t="str">
        <f>('Inteligencia emocional'!A323)</f>
        <v>0</v>
      </c>
      <c r="EA322" s="39" t="str">
        <f>'Por Valoracion (3) Dimension'!D322</f>
        <v>0</v>
      </c>
      <c r="EB322" s="39" t="str">
        <f>'Por Valoracion (3) Dimension 2'!D322</f>
        <v>0</v>
      </c>
      <c r="EW322" s="46"/>
      <c r="EY322" t="str">
        <f>('Inteligencia emocional'!A323)</f>
        <v>0</v>
      </c>
      <c r="EZ322" s="39" t="str">
        <f>'Por Valoracion (3) Dimension'!D322</f>
        <v>0</v>
      </c>
      <c r="FA322" s="39" t="str">
        <f>'Por Valoracion (3) Dimension 2'!F322</f>
        <v>0</v>
      </c>
      <c r="FV322" s="46"/>
      <c r="FX322" t="str">
        <f>('Inteligencia emocional'!A323)</f>
        <v>0</v>
      </c>
      <c r="FY322" s="39" t="str">
        <f>'Por Valoracion (3) Dimension'!D322</f>
        <v>0</v>
      </c>
      <c r="FZ322" s="39" t="str">
        <f>'Por Valoracion (3) Dimension 2'!H322</f>
        <v>0</v>
      </c>
      <c r="GU322" s="46"/>
      <c r="GW322" s="47"/>
      <c r="GY322" t="str">
        <f>('Inteligencia emocional'!A323)</f>
        <v>0</v>
      </c>
      <c r="GZ322" s="39" t="str">
        <f>'Por Valoracion (3) Dimension'!F322</f>
        <v>0</v>
      </c>
      <c r="HA322" s="39" t="str">
        <f>'Por Valoracion (3) Dimension 2'!B322</f>
        <v>0</v>
      </c>
      <c r="HV322" s="47"/>
      <c r="HX322" t="str">
        <f>('Inteligencia emocional'!A323)</f>
        <v>0</v>
      </c>
      <c r="HY322" s="39" t="str">
        <f>'Por Valoracion (3) Dimension'!F322</f>
        <v>0</v>
      </c>
      <c r="HZ322" s="39" t="str">
        <f>'Por Valoracion (3) Dimension 2'!D322</f>
        <v>0</v>
      </c>
      <c r="IU322" s="47"/>
      <c r="IW322" t="str">
        <f>('Inteligencia emocional'!A323)</f>
        <v>0</v>
      </c>
      <c r="IX322" s="39" t="str">
        <f>'Por Valoracion (3) Dimension'!F322</f>
        <v>0</v>
      </c>
      <c r="IY322" s="39" t="str">
        <f>'Por Valoracion (3) Dimension 2'!F322</f>
        <v>0</v>
      </c>
      <c r="JT322" s="47"/>
      <c r="JV322" t="str">
        <f>('Inteligencia emocional'!A323)</f>
        <v>0</v>
      </c>
      <c r="JW322" s="39" t="str">
        <f>'Por Valoracion (3) Dimension'!F322</f>
        <v>0</v>
      </c>
      <c r="JX322" s="39" t="str">
        <f>'Por Valoracion (3) Dimension 2'!H322</f>
        <v>0</v>
      </c>
      <c r="KS322" s="47"/>
    </row>
    <row r="323" spans="1:305">
      <c r="A323" s="38"/>
      <c r="C323" t="str">
        <f>('Inteligencia emocional'!A324)</f>
        <v>0</v>
      </c>
      <c r="D323" s="39" t="str">
        <f>'Por Valoracion (3) Dimension'!B323</f>
        <v>0</v>
      </c>
      <c r="E323" s="39" t="str">
        <f>'Por Valoracion (3) Dimension 2'!B323</f>
        <v>0</v>
      </c>
      <c r="Z323" s="38"/>
      <c r="AB323" t="str">
        <f>('Inteligencia emocional'!A324)</f>
        <v>0</v>
      </c>
      <c r="AC323" s="39" t="str">
        <f>'Por Valoracion (3) Dimension'!B323</f>
        <v>0</v>
      </c>
      <c r="AD323" s="39" t="str">
        <f>'Por Valoracion (3) Dimension 2'!D323</f>
        <v>0</v>
      </c>
      <c r="AY323" s="38"/>
      <c r="BA323" t="str">
        <f>('Inteligencia emocional'!A324)</f>
        <v>0</v>
      </c>
      <c r="BB323" s="39" t="str">
        <f>'Por Valoracion (3) Dimension'!B323</f>
        <v>0</v>
      </c>
      <c r="BC323" s="39" t="str">
        <f>'Por Valoracion (3) Dimension 2'!F323</f>
        <v>0</v>
      </c>
      <c r="BX323" s="38"/>
      <c r="BZ323" t="str">
        <f>('Inteligencia emocional'!A324)</f>
        <v>0</v>
      </c>
      <c r="CA323" s="39" t="str">
        <f>'Por Valoracion (3) Dimension'!B323</f>
        <v>0</v>
      </c>
      <c r="CB323" s="39" t="str">
        <f>'Por Valoracion (3) Dimension 2'!H323</f>
        <v>0</v>
      </c>
      <c r="CW323" s="38"/>
      <c r="CY323" s="46"/>
      <c r="DA323" t="str">
        <f>('Inteligencia emocional'!A324)</f>
        <v>0</v>
      </c>
      <c r="DB323" s="39" t="str">
        <f>'Por Valoracion (3) Dimension'!D323</f>
        <v>0</v>
      </c>
      <c r="DC323" s="39" t="str">
        <f>'Por Valoracion (3) Dimension 2'!B323</f>
        <v>0</v>
      </c>
      <c r="DX323" s="46"/>
      <c r="DZ323" t="str">
        <f>('Inteligencia emocional'!A324)</f>
        <v>0</v>
      </c>
      <c r="EA323" s="39" t="str">
        <f>'Por Valoracion (3) Dimension'!D323</f>
        <v>0</v>
      </c>
      <c r="EB323" s="39" t="str">
        <f>'Por Valoracion (3) Dimension 2'!D323</f>
        <v>0</v>
      </c>
      <c r="EW323" s="46"/>
      <c r="EY323" t="str">
        <f>('Inteligencia emocional'!A324)</f>
        <v>0</v>
      </c>
      <c r="EZ323" s="39" t="str">
        <f>'Por Valoracion (3) Dimension'!D323</f>
        <v>0</v>
      </c>
      <c r="FA323" s="39" t="str">
        <f>'Por Valoracion (3) Dimension 2'!F323</f>
        <v>0</v>
      </c>
      <c r="FV323" s="46"/>
      <c r="FX323" t="str">
        <f>('Inteligencia emocional'!A324)</f>
        <v>0</v>
      </c>
      <c r="FY323" s="39" t="str">
        <f>'Por Valoracion (3) Dimension'!D323</f>
        <v>0</v>
      </c>
      <c r="FZ323" s="39" t="str">
        <f>'Por Valoracion (3) Dimension 2'!H323</f>
        <v>0</v>
      </c>
      <c r="GU323" s="46"/>
      <c r="GW323" s="47"/>
      <c r="GY323" t="str">
        <f>('Inteligencia emocional'!A324)</f>
        <v>0</v>
      </c>
      <c r="GZ323" s="39" t="str">
        <f>'Por Valoracion (3) Dimension'!F323</f>
        <v>0</v>
      </c>
      <c r="HA323" s="39" t="str">
        <f>'Por Valoracion (3) Dimension 2'!B323</f>
        <v>0</v>
      </c>
      <c r="HV323" s="47"/>
      <c r="HX323" t="str">
        <f>('Inteligencia emocional'!A324)</f>
        <v>0</v>
      </c>
      <c r="HY323" s="39" t="str">
        <f>'Por Valoracion (3) Dimension'!F323</f>
        <v>0</v>
      </c>
      <c r="HZ323" s="39" t="str">
        <f>'Por Valoracion (3) Dimension 2'!D323</f>
        <v>0</v>
      </c>
      <c r="IU323" s="47"/>
      <c r="IW323" t="str">
        <f>('Inteligencia emocional'!A324)</f>
        <v>0</v>
      </c>
      <c r="IX323" s="39" t="str">
        <f>'Por Valoracion (3) Dimension'!F323</f>
        <v>0</v>
      </c>
      <c r="IY323" s="39" t="str">
        <f>'Por Valoracion (3) Dimension 2'!F323</f>
        <v>0</v>
      </c>
      <c r="JT323" s="47"/>
      <c r="JV323" t="str">
        <f>('Inteligencia emocional'!A324)</f>
        <v>0</v>
      </c>
      <c r="JW323" s="39" t="str">
        <f>'Por Valoracion (3) Dimension'!F323</f>
        <v>0</v>
      </c>
      <c r="JX323" s="39" t="str">
        <f>'Por Valoracion (3) Dimension 2'!H323</f>
        <v>0</v>
      </c>
      <c r="KS323" s="47"/>
    </row>
    <row r="324" spans="1:305">
      <c r="A324" s="38"/>
      <c r="C324" t="str">
        <f>('Inteligencia emocional'!A325)</f>
        <v>0</v>
      </c>
      <c r="D324" s="39" t="str">
        <f>'Por Valoracion (3) Dimension'!B324</f>
        <v>0</v>
      </c>
      <c r="E324" s="39" t="str">
        <f>'Por Valoracion (3) Dimension 2'!B324</f>
        <v>0</v>
      </c>
      <c r="Z324" s="38"/>
      <c r="AB324" t="str">
        <f>('Inteligencia emocional'!A325)</f>
        <v>0</v>
      </c>
      <c r="AC324" s="39" t="str">
        <f>'Por Valoracion (3) Dimension'!B324</f>
        <v>0</v>
      </c>
      <c r="AD324" s="39" t="str">
        <f>'Por Valoracion (3) Dimension 2'!D324</f>
        <v>0</v>
      </c>
      <c r="AY324" s="38"/>
      <c r="BA324" t="str">
        <f>('Inteligencia emocional'!A325)</f>
        <v>0</v>
      </c>
      <c r="BB324" s="39" t="str">
        <f>'Por Valoracion (3) Dimension'!B324</f>
        <v>0</v>
      </c>
      <c r="BC324" s="39" t="str">
        <f>'Por Valoracion (3) Dimension 2'!F324</f>
        <v>0</v>
      </c>
      <c r="BX324" s="38"/>
      <c r="BZ324" t="str">
        <f>('Inteligencia emocional'!A325)</f>
        <v>0</v>
      </c>
      <c r="CA324" s="39" t="str">
        <f>'Por Valoracion (3) Dimension'!B324</f>
        <v>0</v>
      </c>
      <c r="CB324" s="39" t="str">
        <f>'Por Valoracion (3) Dimension 2'!H324</f>
        <v>0</v>
      </c>
      <c r="CW324" s="38"/>
      <c r="CY324" s="46"/>
      <c r="DA324" t="str">
        <f>('Inteligencia emocional'!A325)</f>
        <v>0</v>
      </c>
      <c r="DB324" s="39" t="str">
        <f>'Por Valoracion (3) Dimension'!D324</f>
        <v>0</v>
      </c>
      <c r="DC324" s="39" t="str">
        <f>'Por Valoracion (3) Dimension 2'!B324</f>
        <v>0</v>
      </c>
      <c r="DX324" s="46"/>
      <c r="DZ324" t="str">
        <f>('Inteligencia emocional'!A325)</f>
        <v>0</v>
      </c>
      <c r="EA324" s="39" t="str">
        <f>'Por Valoracion (3) Dimension'!D324</f>
        <v>0</v>
      </c>
      <c r="EB324" s="39" t="str">
        <f>'Por Valoracion (3) Dimension 2'!D324</f>
        <v>0</v>
      </c>
      <c r="EW324" s="46"/>
      <c r="EY324" t="str">
        <f>('Inteligencia emocional'!A325)</f>
        <v>0</v>
      </c>
      <c r="EZ324" s="39" t="str">
        <f>'Por Valoracion (3) Dimension'!D324</f>
        <v>0</v>
      </c>
      <c r="FA324" s="39" t="str">
        <f>'Por Valoracion (3) Dimension 2'!F324</f>
        <v>0</v>
      </c>
      <c r="FV324" s="46"/>
      <c r="FX324" t="str">
        <f>('Inteligencia emocional'!A325)</f>
        <v>0</v>
      </c>
      <c r="FY324" s="39" t="str">
        <f>'Por Valoracion (3) Dimension'!D324</f>
        <v>0</v>
      </c>
      <c r="FZ324" s="39" t="str">
        <f>'Por Valoracion (3) Dimension 2'!H324</f>
        <v>0</v>
      </c>
      <c r="GU324" s="46"/>
      <c r="GW324" s="47"/>
      <c r="GY324" t="str">
        <f>('Inteligencia emocional'!A325)</f>
        <v>0</v>
      </c>
      <c r="GZ324" s="39" t="str">
        <f>'Por Valoracion (3) Dimension'!F324</f>
        <v>0</v>
      </c>
      <c r="HA324" s="39" t="str">
        <f>'Por Valoracion (3) Dimension 2'!B324</f>
        <v>0</v>
      </c>
      <c r="HV324" s="47"/>
      <c r="HX324" t="str">
        <f>('Inteligencia emocional'!A325)</f>
        <v>0</v>
      </c>
      <c r="HY324" s="39" t="str">
        <f>'Por Valoracion (3) Dimension'!F324</f>
        <v>0</v>
      </c>
      <c r="HZ324" s="39" t="str">
        <f>'Por Valoracion (3) Dimension 2'!D324</f>
        <v>0</v>
      </c>
      <c r="IU324" s="47"/>
      <c r="IW324" t="str">
        <f>('Inteligencia emocional'!A325)</f>
        <v>0</v>
      </c>
      <c r="IX324" s="39" t="str">
        <f>'Por Valoracion (3) Dimension'!F324</f>
        <v>0</v>
      </c>
      <c r="IY324" s="39" t="str">
        <f>'Por Valoracion (3) Dimension 2'!F324</f>
        <v>0</v>
      </c>
      <c r="JT324" s="47"/>
      <c r="JV324" t="str">
        <f>('Inteligencia emocional'!A325)</f>
        <v>0</v>
      </c>
      <c r="JW324" s="39" t="str">
        <f>'Por Valoracion (3) Dimension'!F324</f>
        <v>0</v>
      </c>
      <c r="JX324" s="39" t="str">
        <f>'Por Valoracion (3) Dimension 2'!H324</f>
        <v>0</v>
      </c>
      <c r="KS324" s="47"/>
    </row>
    <row r="325" spans="1:305">
      <c r="A325" s="38"/>
      <c r="C325" t="str">
        <f>('Inteligencia emocional'!A326)</f>
        <v>0</v>
      </c>
      <c r="D325" s="39" t="str">
        <f>'Por Valoracion (3) Dimension'!B325</f>
        <v>0</v>
      </c>
      <c r="E325" s="39" t="str">
        <f>'Por Valoracion (3) Dimension 2'!B325</f>
        <v>0</v>
      </c>
      <c r="Z325" s="38"/>
      <c r="AB325" t="str">
        <f>('Inteligencia emocional'!A326)</f>
        <v>0</v>
      </c>
      <c r="AC325" s="39" t="str">
        <f>'Por Valoracion (3) Dimension'!B325</f>
        <v>0</v>
      </c>
      <c r="AD325" s="39" t="str">
        <f>'Por Valoracion (3) Dimension 2'!D325</f>
        <v>0</v>
      </c>
      <c r="AY325" s="38"/>
      <c r="BA325" t="str">
        <f>('Inteligencia emocional'!A326)</f>
        <v>0</v>
      </c>
      <c r="BB325" s="39" t="str">
        <f>'Por Valoracion (3) Dimension'!B325</f>
        <v>0</v>
      </c>
      <c r="BC325" s="39" t="str">
        <f>'Por Valoracion (3) Dimension 2'!F325</f>
        <v>0</v>
      </c>
      <c r="BX325" s="38"/>
      <c r="BZ325" t="str">
        <f>('Inteligencia emocional'!A326)</f>
        <v>0</v>
      </c>
      <c r="CA325" s="39" t="str">
        <f>'Por Valoracion (3) Dimension'!B325</f>
        <v>0</v>
      </c>
      <c r="CB325" s="39" t="str">
        <f>'Por Valoracion (3) Dimension 2'!H325</f>
        <v>0</v>
      </c>
      <c r="CW325" s="38"/>
      <c r="CY325" s="46"/>
      <c r="DA325" t="str">
        <f>('Inteligencia emocional'!A326)</f>
        <v>0</v>
      </c>
      <c r="DB325" s="39" t="str">
        <f>'Por Valoracion (3) Dimension'!D325</f>
        <v>0</v>
      </c>
      <c r="DC325" s="39" t="str">
        <f>'Por Valoracion (3) Dimension 2'!B325</f>
        <v>0</v>
      </c>
      <c r="DX325" s="46"/>
      <c r="DZ325" t="str">
        <f>('Inteligencia emocional'!A326)</f>
        <v>0</v>
      </c>
      <c r="EA325" s="39" t="str">
        <f>'Por Valoracion (3) Dimension'!D325</f>
        <v>0</v>
      </c>
      <c r="EB325" s="39" t="str">
        <f>'Por Valoracion (3) Dimension 2'!D325</f>
        <v>0</v>
      </c>
      <c r="EW325" s="46"/>
      <c r="EY325" t="str">
        <f>('Inteligencia emocional'!A326)</f>
        <v>0</v>
      </c>
      <c r="EZ325" s="39" t="str">
        <f>'Por Valoracion (3) Dimension'!D325</f>
        <v>0</v>
      </c>
      <c r="FA325" s="39" t="str">
        <f>'Por Valoracion (3) Dimension 2'!F325</f>
        <v>0</v>
      </c>
      <c r="FV325" s="46"/>
      <c r="FX325" t="str">
        <f>('Inteligencia emocional'!A326)</f>
        <v>0</v>
      </c>
      <c r="FY325" s="39" t="str">
        <f>'Por Valoracion (3) Dimension'!D325</f>
        <v>0</v>
      </c>
      <c r="FZ325" s="39" t="str">
        <f>'Por Valoracion (3) Dimension 2'!H325</f>
        <v>0</v>
      </c>
      <c r="GU325" s="46"/>
      <c r="GW325" s="47"/>
      <c r="GY325" t="str">
        <f>('Inteligencia emocional'!A326)</f>
        <v>0</v>
      </c>
      <c r="GZ325" s="39" t="str">
        <f>'Por Valoracion (3) Dimension'!F325</f>
        <v>0</v>
      </c>
      <c r="HA325" s="39" t="str">
        <f>'Por Valoracion (3) Dimension 2'!B325</f>
        <v>0</v>
      </c>
      <c r="HV325" s="47"/>
      <c r="HX325" t="str">
        <f>('Inteligencia emocional'!A326)</f>
        <v>0</v>
      </c>
      <c r="HY325" s="39" t="str">
        <f>'Por Valoracion (3) Dimension'!F325</f>
        <v>0</v>
      </c>
      <c r="HZ325" s="39" t="str">
        <f>'Por Valoracion (3) Dimension 2'!D325</f>
        <v>0</v>
      </c>
      <c r="IU325" s="47"/>
      <c r="IW325" t="str">
        <f>('Inteligencia emocional'!A326)</f>
        <v>0</v>
      </c>
      <c r="IX325" s="39" t="str">
        <f>'Por Valoracion (3) Dimension'!F325</f>
        <v>0</v>
      </c>
      <c r="IY325" s="39" t="str">
        <f>'Por Valoracion (3) Dimension 2'!F325</f>
        <v>0</v>
      </c>
      <c r="JT325" s="47"/>
      <c r="JV325" t="str">
        <f>('Inteligencia emocional'!A326)</f>
        <v>0</v>
      </c>
      <c r="JW325" s="39" t="str">
        <f>'Por Valoracion (3) Dimension'!F325</f>
        <v>0</v>
      </c>
      <c r="JX325" s="39" t="str">
        <f>'Por Valoracion (3) Dimension 2'!H325</f>
        <v>0</v>
      </c>
      <c r="KS325" s="47"/>
    </row>
    <row r="326" spans="1:305">
      <c r="A326" s="38"/>
      <c r="C326" t="str">
        <f>('Inteligencia emocional'!A327)</f>
        <v>0</v>
      </c>
      <c r="D326" s="39" t="str">
        <f>'Por Valoracion (3) Dimension'!B326</f>
        <v>0</v>
      </c>
      <c r="E326" s="39" t="str">
        <f>'Por Valoracion (3) Dimension 2'!B326</f>
        <v>0</v>
      </c>
      <c r="Z326" s="38"/>
      <c r="AB326" t="str">
        <f>('Inteligencia emocional'!A327)</f>
        <v>0</v>
      </c>
      <c r="AC326" s="39" t="str">
        <f>'Por Valoracion (3) Dimension'!B326</f>
        <v>0</v>
      </c>
      <c r="AD326" s="39" t="str">
        <f>'Por Valoracion (3) Dimension 2'!D326</f>
        <v>0</v>
      </c>
      <c r="AY326" s="38"/>
      <c r="BA326" t="str">
        <f>('Inteligencia emocional'!A327)</f>
        <v>0</v>
      </c>
      <c r="BB326" s="39" t="str">
        <f>'Por Valoracion (3) Dimension'!B326</f>
        <v>0</v>
      </c>
      <c r="BC326" s="39" t="str">
        <f>'Por Valoracion (3) Dimension 2'!F326</f>
        <v>0</v>
      </c>
      <c r="BX326" s="38"/>
      <c r="BZ326" t="str">
        <f>('Inteligencia emocional'!A327)</f>
        <v>0</v>
      </c>
      <c r="CA326" s="39" t="str">
        <f>'Por Valoracion (3) Dimension'!B326</f>
        <v>0</v>
      </c>
      <c r="CB326" s="39" t="str">
        <f>'Por Valoracion (3) Dimension 2'!H326</f>
        <v>0</v>
      </c>
      <c r="CW326" s="38"/>
      <c r="CY326" s="46"/>
      <c r="DA326" t="str">
        <f>('Inteligencia emocional'!A327)</f>
        <v>0</v>
      </c>
      <c r="DB326" s="39" t="str">
        <f>'Por Valoracion (3) Dimension'!D326</f>
        <v>0</v>
      </c>
      <c r="DC326" s="39" t="str">
        <f>'Por Valoracion (3) Dimension 2'!B326</f>
        <v>0</v>
      </c>
      <c r="DX326" s="46"/>
      <c r="DZ326" t="str">
        <f>('Inteligencia emocional'!A327)</f>
        <v>0</v>
      </c>
      <c r="EA326" s="39" t="str">
        <f>'Por Valoracion (3) Dimension'!D326</f>
        <v>0</v>
      </c>
      <c r="EB326" s="39" t="str">
        <f>'Por Valoracion (3) Dimension 2'!D326</f>
        <v>0</v>
      </c>
      <c r="EW326" s="46"/>
      <c r="EY326" t="str">
        <f>('Inteligencia emocional'!A327)</f>
        <v>0</v>
      </c>
      <c r="EZ326" s="39" t="str">
        <f>'Por Valoracion (3) Dimension'!D326</f>
        <v>0</v>
      </c>
      <c r="FA326" s="39" t="str">
        <f>'Por Valoracion (3) Dimension 2'!F326</f>
        <v>0</v>
      </c>
      <c r="FV326" s="46"/>
      <c r="FX326" t="str">
        <f>('Inteligencia emocional'!A327)</f>
        <v>0</v>
      </c>
      <c r="FY326" s="39" t="str">
        <f>'Por Valoracion (3) Dimension'!D326</f>
        <v>0</v>
      </c>
      <c r="FZ326" s="39" t="str">
        <f>'Por Valoracion (3) Dimension 2'!H326</f>
        <v>0</v>
      </c>
      <c r="GU326" s="46"/>
      <c r="GW326" s="47"/>
      <c r="GY326" t="str">
        <f>('Inteligencia emocional'!A327)</f>
        <v>0</v>
      </c>
      <c r="GZ326" s="39" t="str">
        <f>'Por Valoracion (3) Dimension'!F326</f>
        <v>0</v>
      </c>
      <c r="HA326" s="39" t="str">
        <f>'Por Valoracion (3) Dimension 2'!B326</f>
        <v>0</v>
      </c>
      <c r="HV326" s="47"/>
      <c r="HX326" t="str">
        <f>('Inteligencia emocional'!A327)</f>
        <v>0</v>
      </c>
      <c r="HY326" s="39" t="str">
        <f>'Por Valoracion (3) Dimension'!F326</f>
        <v>0</v>
      </c>
      <c r="HZ326" s="39" t="str">
        <f>'Por Valoracion (3) Dimension 2'!D326</f>
        <v>0</v>
      </c>
      <c r="IU326" s="47"/>
      <c r="IW326" t="str">
        <f>('Inteligencia emocional'!A327)</f>
        <v>0</v>
      </c>
      <c r="IX326" s="39" t="str">
        <f>'Por Valoracion (3) Dimension'!F326</f>
        <v>0</v>
      </c>
      <c r="IY326" s="39" t="str">
        <f>'Por Valoracion (3) Dimension 2'!F326</f>
        <v>0</v>
      </c>
      <c r="JT326" s="47"/>
      <c r="JV326" t="str">
        <f>('Inteligencia emocional'!A327)</f>
        <v>0</v>
      </c>
      <c r="JW326" s="39" t="str">
        <f>'Por Valoracion (3) Dimension'!F326</f>
        <v>0</v>
      </c>
      <c r="JX326" s="39" t="str">
        <f>'Por Valoracion (3) Dimension 2'!H326</f>
        <v>0</v>
      </c>
      <c r="KS326" s="47"/>
    </row>
    <row r="327" spans="1:305">
      <c r="A327" s="38"/>
      <c r="C327" t="str">
        <f>('Inteligencia emocional'!A328)</f>
        <v>0</v>
      </c>
      <c r="D327" s="39" t="str">
        <f>'Por Valoracion (3) Dimension'!B327</f>
        <v>0</v>
      </c>
      <c r="E327" s="39" t="str">
        <f>'Por Valoracion (3) Dimension 2'!B327</f>
        <v>0</v>
      </c>
      <c r="Z327" s="38"/>
      <c r="AB327" t="str">
        <f>('Inteligencia emocional'!A328)</f>
        <v>0</v>
      </c>
      <c r="AC327" s="39" t="str">
        <f>'Por Valoracion (3) Dimension'!B327</f>
        <v>0</v>
      </c>
      <c r="AD327" s="39" t="str">
        <f>'Por Valoracion (3) Dimension 2'!D327</f>
        <v>0</v>
      </c>
      <c r="AY327" s="38"/>
      <c r="BA327" t="str">
        <f>('Inteligencia emocional'!A328)</f>
        <v>0</v>
      </c>
      <c r="BB327" s="39" t="str">
        <f>'Por Valoracion (3) Dimension'!B327</f>
        <v>0</v>
      </c>
      <c r="BC327" s="39" t="str">
        <f>'Por Valoracion (3) Dimension 2'!F327</f>
        <v>0</v>
      </c>
      <c r="BX327" s="38"/>
      <c r="BZ327" t="str">
        <f>('Inteligencia emocional'!A328)</f>
        <v>0</v>
      </c>
      <c r="CA327" s="39" t="str">
        <f>'Por Valoracion (3) Dimension'!B327</f>
        <v>0</v>
      </c>
      <c r="CB327" s="39" t="str">
        <f>'Por Valoracion (3) Dimension 2'!H327</f>
        <v>0</v>
      </c>
      <c r="CW327" s="38"/>
      <c r="CY327" s="46"/>
      <c r="DA327" t="str">
        <f>('Inteligencia emocional'!A328)</f>
        <v>0</v>
      </c>
      <c r="DB327" s="39" t="str">
        <f>'Por Valoracion (3) Dimension'!D327</f>
        <v>0</v>
      </c>
      <c r="DC327" s="39" t="str">
        <f>'Por Valoracion (3) Dimension 2'!B327</f>
        <v>0</v>
      </c>
      <c r="DX327" s="46"/>
      <c r="DZ327" t="str">
        <f>('Inteligencia emocional'!A328)</f>
        <v>0</v>
      </c>
      <c r="EA327" s="39" t="str">
        <f>'Por Valoracion (3) Dimension'!D327</f>
        <v>0</v>
      </c>
      <c r="EB327" s="39" t="str">
        <f>'Por Valoracion (3) Dimension 2'!D327</f>
        <v>0</v>
      </c>
      <c r="EW327" s="46"/>
      <c r="EY327" t="str">
        <f>('Inteligencia emocional'!A328)</f>
        <v>0</v>
      </c>
      <c r="EZ327" s="39" t="str">
        <f>'Por Valoracion (3) Dimension'!D327</f>
        <v>0</v>
      </c>
      <c r="FA327" s="39" t="str">
        <f>'Por Valoracion (3) Dimension 2'!F327</f>
        <v>0</v>
      </c>
      <c r="FV327" s="46"/>
      <c r="FX327" t="str">
        <f>('Inteligencia emocional'!A328)</f>
        <v>0</v>
      </c>
      <c r="FY327" s="39" t="str">
        <f>'Por Valoracion (3) Dimension'!D327</f>
        <v>0</v>
      </c>
      <c r="FZ327" s="39" t="str">
        <f>'Por Valoracion (3) Dimension 2'!H327</f>
        <v>0</v>
      </c>
      <c r="GU327" s="46"/>
      <c r="GW327" s="47"/>
      <c r="GY327" t="str">
        <f>('Inteligencia emocional'!A328)</f>
        <v>0</v>
      </c>
      <c r="GZ327" s="39" t="str">
        <f>'Por Valoracion (3) Dimension'!F327</f>
        <v>0</v>
      </c>
      <c r="HA327" s="39" t="str">
        <f>'Por Valoracion (3) Dimension 2'!B327</f>
        <v>0</v>
      </c>
      <c r="HV327" s="47"/>
      <c r="HX327" t="str">
        <f>('Inteligencia emocional'!A328)</f>
        <v>0</v>
      </c>
      <c r="HY327" s="39" t="str">
        <f>'Por Valoracion (3) Dimension'!F327</f>
        <v>0</v>
      </c>
      <c r="HZ327" s="39" t="str">
        <f>'Por Valoracion (3) Dimension 2'!D327</f>
        <v>0</v>
      </c>
      <c r="IU327" s="47"/>
      <c r="IW327" t="str">
        <f>('Inteligencia emocional'!A328)</f>
        <v>0</v>
      </c>
      <c r="IX327" s="39" t="str">
        <f>'Por Valoracion (3) Dimension'!F327</f>
        <v>0</v>
      </c>
      <c r="IY327" s="39" t="str">
        <f>'Por Valoracion (3) Dimension 2'!F327</f>
        <v>0</v>
      </c>
      <c r="JT327" s="47"/>
      <c r="JV327" t="str">
        <f>('Inteligencia emocional'!A328)</f>
        <v>0</v>
      </c>
      <c r="JW327" s="39" t="str">
        <f>'Por Valoracion (3) Dimension'!F327</f>
        <v>0</v>
      </c>
      <c r="JX327" s="39" t="str">
        <f>'Por Valoracion (3) Dimension 2'!H327</f>
        <v>0</v>
      </c>
      <c r="KS327" s="47"/>
    </row>
    <row r="328" spans="1:305">
      <c r="A328" s="38"/>
      <c r="C328" t="str">
        <f>('Inteligencia emocional'!A329)</f>
        <v>0</v>
      </c>
      <c r="D328" s="39" t="str">
        <f>'Por Valoracion (3) Dimension'!B328</f>
        <v>0</v>
      </c>
      <c r="E328" s="39" t="str">
        <f>'Por Valoracion (3) Dimension 2'!B328</f>
        <v>0</v>
      </c>
      <c r="Z328" s="38"/>
      <c r="AB328" t="str">
        <f>('Inteligencia emocional'!A329)</f>
        <v>0</v>
      </c>
      <c r="AC328" s="39" t="str">
        <f>'Por Valoracion (3) Dimension'!B328</f>
        <v>0</v>
      </c>
      <c r="AD328" s="39" t="str">
        <f>'Por Valoracion (3) Dimension 2'!D328</f>
        <v>0</v>
      </c>
      <c r="AY328" s="38"/>
      <c r="BA328" t="str">
        <f>('Inteligencia emocional'!A329)</f>
        <v>0</v>
      </c>
      <c r="BB328" s="39" t="str">
        <f>'Por Valoracion (3) Dimension'!B328</f>
        <v>0</v>
      </c>
      <c r="BC328" s="39" t="str">
        <f>'Por Valoracion (3) Dimension 2'!F328</f>
        <v>0</v>
      </c>
      <c r="BX328" s="38"/>
      <c r="BZ328" t="str">
        <f>('Inteligencia emocional'!A329)</f>
        <v>0</v>
      </c>
      <c r="CA328" s="39" t="str">
        <f>'Por Valoracion (3) Dimension'!B328</f>
        <v>0</v>
      </c>
      <c r="CB328" s="39" t="str">
        <f>'Por Valoracion (3) Dimension 2'!H328</f>
        <v>0</v>
      </c>
      <c r="CW328" s="38"/>
      <c r="CY328" s="46"/>
      <c r="DA328" t="str">
        <f>('Inteligencia emocional'!A329)</f>
        <v>0</v>
      </c>
      <c r="DB328" s="39" t="str">
        <f>'Por Valoracion (3) Dimension'!D328</f>
        <v>0</v>
      </c>
      <c r="DC328" s="39" t="str">
        <f>'Por Valoracion (3) Dimension 2'!B328</f>
        <v>0</v>
      </c>
      <c r="DX328" s="46"/>
      <c r="DZ328" t="str">
        <f>('Inteligencia emocional'!A329)</f>
        <v>0</v>
      </c>
      <c r="EA328" s="39" t="str">
        <f>'Por Valoracion (3) Dimension'!D328</f>
        <v>0</v>
      </c>
      <c r="EB328" s="39" t="str">
        <f>'Por Valoracion (3) Dimension 2'!D328</f>
        <v>0</v>
      </c>
      <c r="EW328" s="46"/>
      <c r="EY328" t="str">
        <f>('Inteligencia emocional'!A329)</f>
        <v>0</v>
      </c>
      <c r="EZ328" s="39" t="str">
        <f>'Por Valoracion (3) Dimension'!D328</f>
        <v>0</v>
      </c>
      <c r="FA328" s="39" t="str">
        <f>'Por Valoracion (3) Dimension 2'!F328</f>
        <v>0</v>
      </c>
      <c r="FV328" s="46"/>
      <c r="FX328" t="str">
        <f>('Inteligencia emocional'!A329)</f>
        <v>0</v>
      </c>
      <c r="FY328" s="39" t="str">
        <f>'Por Valoracion (3) Dimension'!D328</f>
        <v>0</v>
      </c>
      <c r="FZ328" s="39" t="str">
        <f>'Por Valoracion (3) Dimension 2'!H328</f>
        <v>0</v>
      </c>
      <c r="GU328" s="46"/>
      <c r="GW328" s="47"/>
      <c r="GY328" t="str">
        <f>('Inteligencia emocional'!A329)</f>
        <v>0</v>
      </c>
      <c r="GZ328" s="39" t="str">
        <f>'Por Valoracion (3) Dimension'!F328</f>
        <v>0</v>
      </c>
      <c r="HA328" s="39" t="str">
        <f>'Por Valoracion (3) Dimension 2'!B328</f>
        <v>0</v>
      </c>
      <c r="HV328" s="47"/>
      <c r="HX328" t="str">
        <f>('Inteligencia emocional'!A329)</f>
        <v>0</v>
      </c>
      <c r="HY328" s="39" t="str">
        <f>'Por Valoracion (3) Dimension'!F328</f>
        <v>0</v>
      </c>
      <c r="HZ328" s="39" t="str">
        <f>'Por Valoracion (3) Dimension 2'!D328</f>
        <v>0</v>
      </c>
      <c r="IU328" s="47"/>
      <c r="IW328" t="str">
        <f>('Inteligencia emocional'!A329)</f>
        <v>0</v>
      </c>
      <c r="IX328" s="39" t="str">
        <f>'Por Valoracion (3) Dimension'!F328</f>
        <v>0</v>
      </c>
      <c r="IY328" s="39" t="str">
        <f>'Por Valoracion (3) Dimension 2'!F328</f>
        <v>0</v>
      </c>
      <c r="JT328" s="47"/>
      <c r="JV328" t="str">
        <f>('Inteligencia emocional'!A329)</f>
        <v>0</v>
      </c>
      <c r="JW328" s="39" t="str">
        <f>'Por Valoracion (3) Dimension'!F328</f>
        <v>0</v>
      </c>
      <c r="JX328" s="39" t="str">
        <f>'Por Valoracion (3) Dimension 2'!H328</f>
        <v>0</v>
      </c>
      <c r="KS328" s="47"/>
    </row>
    <row r="329" spans="1:305">
      <c r="A329" s="38"/>
      <c r="C329" t="str">
        <f>('Inteligencia emocional'!A330)</f>
        <v>0</v>
      </c>
      <c r="D329" s="39" t="str">
        <f>'Por Valoracion (3) Dimension'!B329</f>
        <v>0</v>
      </c>
      <c r="E329" s="39" t="str">
        <f>'Por Valoracion (3) Dimension 2'!B329</f>
        <v>0</v>
      </c>
      <c r="Z329" s="38"/>
      <c r="AB329" t="str">
        <f>('Inteligencia emocional'!A330)</f>
        <v>0</v>
      </c>
      <c r="AC329" s="39" t="str">
        <f>'Por Valoracion (3) Dimension'!B329</f>
        <v>0</v>
      </c>
      <c r="AD329" s="39" t="str">
        <f>'Por Valoracion (3) Dimension 2'!D329</f>
        <v>0</v>
      </c>
      <c r="AY329" s="38"/>
      <c r="BA329" t="str">
        <f>('Inteligencia emocional'!A330)</f>
        <v>0</v>
      </c>
      <c r="BB329" s="39" t="str">
        <f>'Por Valoracion (3) Dimension'!B329</f>
        <v>0</v>
      </c>
      <c r="BC329" s="39" t="str">
        <f>'Por Valoracion (3) Dimension 2'!F329</f>
        <v>0</v>
      </c>
      <c r="BX329" s="38"/>
      <c r="BZ329" t="str">
        <f>('Inteligencia emocional'!A330)</f>
        <v>0</v>
      </c>
      <c r="CA329" s="39" t="str">
        <f>'Por Valoracion (3) Dimension'!B329</f>
        <v>0</v>
      </c>
      <c r="CB329" s="39" t="str">
        <f>'Por Valoracion (3) Dimension 2'!H329</f>
        <v>0</v>
      </c>
      <c r="CW329" s="38"/>
      <c r="CY329" s="46"/>
      <c r="DA329" t="str">
        <f>('Inteligencia emocional'!A330)</f>
        <v>0</v>
      </c>
      <c r="DB329" s="39" t="str">
        <f>'Por Valoracion (3) Dimension'!D329</f>
        <v>0</v>
      </c>
      <c r="DC329" s="39" t="str">
        <f>'Por Valoracion (3) Dimension 2'!B329</f>
        <v>0</v>
      </c>
      <c r="DX329" s="46"/>
      <c r="DZ329" t="str">
        <f>('Inteligencia emocional'!A330)</f>
        <v>0</v>
      </c>
      <c r="EA329" s="39" t="str">
        <f>'Por Valoracion (3) Dimension'!D329</f>
        <v>0</v>
      </c>
      <c r="EB329" s="39" t="str">
        <f>'Por Valoracion (3) Dimension 2'!D329</f>
        <v>0</v>
      </c>
      <c r="EW329" s="46"/>
      <c r="EY329" t="str">
        <f>('Inteligencia emocional'!A330)</f>
        <v>0</v>
      </c>
      <c r="EZ329" s="39" t="str">
        <f>'Por Valoracion (3) Dimension'!D329</f>
        <v>0</v>
      </c>
      <c r="FA329" s="39" t="str">
        <f>'Por Valoracion (3) Dimension 2'!F329</f>
        <v>0</v>
      </c>
      <c r="FV329" s="46"/>
      <c r="FX329" t="str">
        <f>('Inteligencia emocional'!A330)</f>
        <v>0</v>
      </c>
      <c r="FY329" s="39" t="str">
        <f>'Por Valoracion (3) Dimension'!D329</f>
        <v>0</v>
      </c>
      <c r="FZ329" s="39" t="str">
        <f>'Por Valoracion (3) Dimension 2'!H329</f>
        <v>0</v>
      </c>
      <c r="GU329" s="46"/>
      <c r="GW329" s="47"/>
      <c r="GY329" t="str">
        <f>('Inteligencia emocional'!A330)</f>
        <v>0</v>
      </c>
      <c r="GZ329" s="39" t="str">
        <f>'Por Valoracion (3) Dimension'!F329</f>
        <v>0</v>
      </c>
      <c r="HA329" s="39" t="str">
        <f>'Por Valoracion (3) Dimension 2'!B329</f>
        <v>0</v>
      </c>
      <c r="HV329" s="47"/>
      <c r="HX329" t="str">
        <f>('Inteligencia emocional'!A330)</f>
        <v>0</v>
      </c>
      <c r="HY329" s="39" t="str">
        <f>'Por Valoracion (3) Dimension'!F329</f>
        <v>0</v>
      </c>
      <c r="HZ329" s="39" t="str">
        <f>'Por Valoracion (3) Dimension 2'!D329</f>
        <v>0</v>
      </c>
      <c r="IU329" s="47"/>
      <c r="IW329" t="str">
        <f>('Inteligencia emocional'!A330)</f>
        <v>0</v>
      </c>
      <c r="IX329" s="39" t="str">
        <f>'Por Valoracion (3) Dimension'!F329</f>
        <v>0</v>
      </c>
      <c r="IY329" s="39" t="str">
        <f>'Por Valoracion (3) Dimension 2'!F329</f>
        <v>0</v>
      </c>
      <c r="JT329" s="47"/>
      <c r="JV329" t="str">
        <f>('Inteligencia emocional'!A330)</f>
        <v>0</v>
      </c>
      <c r="JW329" s="39" t="str">
        <f>'Por Valoracion (3) Dimension'!F329</f>
        <v>0</v>
      </c>
      <c r="JX329" s="39" t="str">
        <f>'Por Valoracion (3) Dimension 2'!H329</f>
        <v>0</v>
      </c>
      <c r="KS329" s="47"/>
    </row>
    <row r="330" spans="1:305">
      <c r="A330" s="38"/>
      <c r="C330" t="str">
        <f>('Inteligencia emocional'!A331)</f>
        <v>0</v>
      </c>
      <c r="D330" s="39" t="str">
        <f>'Por Valoracion (3) Dimension'!B330</f>
        <v>0</v>
      </c>
      <c r="E330" s="39" t="str">
        <f>'Por Valoracion (3) Dimension 2'!B330</f>
        <v>0</v>
      </c>
      <c r="Z330" s="38"/>
      <c r="AB330" t="str">
        <f>('Inteligencia emocional'!A331)</f>
        <v>0</v>
      </c>
      <c r="AC330" s="39" t="str">
        <f>'Por Valoracion (3) Dimension'!B330</f>
        <v>0</v>
      </c>
      <c r="AD330" s="39" t="str">
        <f>'Por Valoracion (3) Dimension 2'!D330</f>
        <v>0</v>
      </c>
      <c r="AY330" s="38"/>
      <c r="BA330" t="str">
        <f>('Inteligencia emocional'!A331)</f>
        <v>0</v>
      </c>
      <c r="BB330" s="39" t="str">
        <f>'Por Valoracion (3) Dimension'!B330</f>
        <v>0</v>
      </c>
      <c r="BC330" s="39" t="str">
        <f>'Por Valoracion (3) Dimension 2'!F330</f>
        <v>0</v>
      </c>
      <c r="BX330" s="38"/>
      <c r="BZ330" t="str">
        <f>('Inteligencia emocional'!A331)</f>
        <v>0</v>
      </c>
      <c r="CA330" s="39" t="str">
        <f>'Por Valoracion (3) Dimension'!B330</f>
        <v>0</v>
      </c>
      <c r="CB330" s="39" t="str">
        <f>'Por Valoracion (3) Dimension 2'!H330</f>
        <v>0</v>
      </c>
      <c r="CW330" s="38"/>
      <c r="CY330" s="46"/>
      <c r="DA330" t="str">
        <f>('Inteligencia emocional'!A331)</f>
        <v>0</v>
      </c>
      <c r="DB330" s="39" t="str">
        <f>'Por Valoracion (3) Dimension'!D330</f>
        <v>0</v>
      </c>
      <c r="DC330" s="39" t="str">
        <f>'Por Valoracion (3) Dimension 2'!B330</f>
        <v>0</v>
      </c>
      <c r="DX330" s="46"/>
      <c r="DZ330" t="str">
        <f>('Inteligencia emocional'!A331)</f>
        <v>0</v>
      </c>
      <c r="EA330" s="39" t="str">
        <f>'Por Valoracion (3) Dimension'!D330</f>
        <v>0</v>
      </c>
      <c r="EB330" s="39" t="str">
        <f>'Por Valoracion (3) Dimension 2'!D330</f>
        <v>0</v>
      </c>
      <c r="EW330" s="46"/>
      <c r="EY330" t="str">
        <f>('Inteligencia emocional'!A331)</f>
        <v>0</v>
      </c>
      <c r="EZ330" s="39" t="str">
        <f>'Por Valoracion (3) Dimension'!D330</f>
        <v>0</v>
      </c>
      <c r="FA330" s="39" t="str">
        <f>'Por Valoracion (3) Dimension 2'!F330</f>
        <v>0</v>
      </c>
      <c r="FV330" s="46"/>
      <c r="FX330" t="str">
        <f>('Inteligencia emocional'!A331)</f>
        <v>0</v>
      </c>
      <c r="FY330" s="39" t="str">
        <f>'Por Valoracion (3) Dimension'!D330</f>
        <v>0</v>
      </c>
      <c r="FZ330" s="39" t="str">
        <f>'Por Valoracion (3) Dimension 2'!H330</f>
        <v>0</v>
      </c>
      <c r="GU330" s="46"/>
      <c r="GW330" s="47"/>
      <c r="GY330" t="str">
        <f>('Inteligencia emocional'!A331)</f>
        <v>0</v>
      </c>
      <c r="GZ330" s="39" t="str">
        <f>'Por Valoracion (3) Dimension'!F330</f>
        <v>0</v>
      </c>
      <c r="HA330" s="39" t="str">
        <f>'Por Valoracion (3) Dimension 2'!B330</f>
        <v>0</v>
      </c>
      <c r="HV330" s="47"/>
      <c r="HX330" t="str">
        <f>('Inteligencia emocional'!A331)</f>
        <v>0</v>
      </c>
      <c r="HY330" s="39" t="str">
        <f>'Por Valoracion (3) Dimension'!F330</f>
        <v>0</v>
      </c>
      <c r="HZ330" s="39" t="str">
        <f>'Por Valoracion (3) Dimension 2'!D330</f>
        <v>0</v>
      </c>
      <c r="IU330" s="47"/>
      <c r="IW330" t="str">
        <f>('Inteligencia emocional'!A331)</f>
        <v>0</v>
      </c>
      <c r="IX330" s="39" t="str">
        <f>'Por Valoracion (3) Dimension'!F330</f>
        <v>0</v>
      </c>
      <c r="IY330" s="39" t="str">
        <f>'Por Valoracion (3) Dimension 2'!F330</f>
        <v>0</v>
      </c>
      <c r="JT330" s="47"/>
      <c r="JV330" t="str">
        <f>('Inteligencia emocional'!A331)</f>
        <v>0</v>
      </c>
      <c r="JW330" s="39" t="str">
        <f>'Por Valoracion (3) Dimension'!F330</f>
        <v>0</v>
      </c>
      <c r="JX330" s="39" t="str">
        <f>'Por Valoracion (3) Dimension 2'!H330</f>
        <v>0</v>
      </c>
      <c r="KS330" s="47"/>
    </row>
    <row r="331" spans="1:305">
      <c r="A331" s="38"/>
      <c r="C331" t="str">
        <f>('Inteligencia emocional'!A332)</f>
        <v>0</v>
      </c>
      <c r="D331" s="39" t="str">
        <f>'Por Valoracion (3) Dimension'!B331</f>
        <v>0</v>
      </c>
      <c r="E331" s="39" t="str">
        <f>'Por Valoracion (3) Dimension 2'!B331</f>
        <v>0</v>
      </c>
      <c r="Z331" s="38"/>
      <c r="AB331" t="str">
        <f>('Inteligencia emocional'!A332)</f>
        <v>0</v>
      </c>
      <c r="AC331" s="39" t="str">
        <f>'Por Valoracion (3) Dimension'!B331</f>
        <v>0</v>
      </c>
      <c r="AD331" s="39" t="str">
        <f>'Por Valoracion (3) Dimension 2'!D331</f>
        <v>0</v>
      </c>
      <c r="AY331" s="38"/>
      <c r="BA331" t="str">
        <f>('Inteligencia emocional'!A332)</f>
        <v>0</v>
      </c>
      <c r="BB331" s="39" t="str">
        <f>'Por Valoracion (3) Dimension'!B331</f>
        <v>0</v>
      </c>
      <c r="BC331" s="39" t="str">
        <f>'Por Valoracion (3) Dimension 2'!F331</f>
        <v>0</v>
      </c>
      <c r="BX331" s="38"/>
      <c r="BZ331" t="str">
        <f>('Inteligencia emocional'!A332)</f>
        <v>0</v>
      </c>
      <c r="CA331" s="39" t="str">
        <f>'Por Valoracion (3) Dimension'!B331</f>
        <v>0</v>
      </c>
      <c r="CB331" s="39" t="str">
        <f>'Por Valoracion (3) Dimension 2'!H331</f>
        <v>0</v>
      </c>
      <c r="CW331" s="38"/>
      <c r="CY331" s="46"/>
      <c r="DA331" t="str">
        <f>('Inteligencia emocional'!A332)</f>
        <v>0</v>
      </c>
      <c r="DB331" s="39" t="str">
        <f>'Por Valoracion (3) Dimension'!D331</f>
        <v>0</v>
      </c>
      <c r="DC331" s="39" t="str">
        <f>'Por Valoracion (3) Dimension 2'!B331</f>
        <v>0</v>
      </c>
      <c r="DX331" s="46"/>
      <c r="DZ331" t="str">
        <f>('Inteligencia emocional'!A332)</f>
        <v>0</v>
      </c>
      <c r="EA331" s="39" t="str">
        <f>'Por Valoracion (3) Dimension'!D331</f>
        <v>0</v>
      </c>
      <c r="EB331" s="39" t="str">
        <f>'Por Valoracion (3) Dimension 2'!D331</f>
        <v>0</v>
      </c>
      <c r="EW331" s="46"/>
      <c r="EY331" t="str">
        <f>('Inteligencia emocional'!A332)</f>
        <v>0</v>
      </c>
      <c r="EZ331" s="39" t="str">
        <f>'Por Valoracion (3) Dimension'!D331</f>
        <v>0</v>
      </c>
      <c r="FA331" s="39" t="str">
        <f>'Por Valoracion (3) Dimension 2'!F331</f>
        <v>0</v>
      </c>
      <c r="FV331" s="46"/>
      <c r="FX331" t="str">
        <f>('Inteligencia emocional'!A332)</f>
        <v>0</v>
      </c>
      <c r="FY331" s="39" t="str">
        <f>'Por Valoracion (3) Dimension'!D331</f>
        <v>0</v>
      </c>
      <c r="FZ331" s="39" t="str">
        <f>'Por Valoracion (3) Dimension 2'!H331</f>
        <v>0</v>
      </c>
      <c r="GU331" s="46"/>
      <c r="GW331" s="47"/>
      <c r="GY331" t="str">
        <f>('Inteligencia emocional'!A332)</f>
        <v>0</v>
      </c>
      <c r="GZ331" s="39" t="str">
        <f>'Por Valoracion (3) Dimension'!F331</f>
        <v>0</v>
      </c>
      <c r="HA331" s="39" t="str">
        <f>'Por Valoracion (3) Dimension 2'!B331</f>
        <v>0</v>
      </c>
      <c r="HV331" s="47"/>
      <c r="HX331" t="str">
        <f>('Inteligencia emocional'!A332)</f>
        <v>0</v>
      </c>
      <c r="HY331" s="39" t="str">
        <f>'Por Valoracion (3) Dimension'!F331</f>
        <v>0</v>
      </c>
      <c r="HZ331" s="39" t="str">
        <f>'Por Valoracion (3) Dimension 2'!D331</f>
        <v>0</v>
      </c>
      <c r="IU331" s="47"/>
      <c r="IW331" t="str">
        <f>('Inteligencia emocional'!A332)</f>
        <v>0</v>
      </c>
      <c r="IX331" s="39" t="str">
        <f>'Por Valoracion (3) Dimension'!F331</f>
        <v>0</v>
      </c>
      <c r="IY331" s="39" t="str">
        <f>'Por Valoracion (3) Dimension 2'!F331</f>
        <v>0</v>
      </c>
      <c r="JT331" s="47"/>
      <c r="JV331" t="str">
        <f>('Inteligencia emocional'!A332)</f>
        <v>0</v>
      </c>
      <c r="JW331" s="39" t="str">
        <f>'Por Valoracion (3) Dimension'!F331</f>
        <v>0</v>
      </c>
      <c r="JX331" s="39" t="str">
        <f>'Por Valoracion (3) Dimension 2'!H331</f>
        <v>0</v>
      </c>
      <c r="KS331" s="47"/>
    </row>
    <row r="332" spans="1:305">
      <c r="A332" s="38"/>
      <c r="C332" t="str">
        <f>('Inteligencia emocional'!A333)</f>
        <v>0</v>
      </c>
      <c r="D332" s="39" t="str">
        <f>'Por Valoracion (3) Dimension'!B332</f>
        <v>0</v>
      </c>
      <c r="E332" s="39" t="str">
        <f>'Por Valoracion (3) Dimension 2'!B332</f>
        <v>0</v>
      </c>
      <c r="Z332" s="38"/>
      <c r="AB332" t="str">
        <f>('Inteligencia emocional'!A333)</f>
        <v>0</v>
      </c>
      <c r="AC332" s="39" t="str">
        <f>'Por Valoracion (3) Dimension'!B332</f>
        <v>0</v>
      </c>
      <c r="AD332" s="39" t="str">
        <f>'Por Valoracion (3) Dimension 2'!D332</f>
        <v>0</v>
      </c>
      <c r="AY332" s="38"/>
      <c r="BA332" t="str">
        <f>('Inteligencia emocional'!A333)</f>
        <v>0</v>
      </c>
      <c r="BB332" s="39" t="str">
        <f>'Por Valoracion (3) Dimension'!B332</f>
        <v>0</v>
      </c>
      <c r="BC332" s="39" t="str">
        <f>'Por Valoracion (3) Dimension 2'!F332</f>
        <v>0</v>
      </c>
      <c r="BX332" s="38"/>
      <c r="BZ332" t="str">
        <f>('Inteligencia emocional'!A333)</f>
        <v>0</v>
      </c>
      <c r="CA332" s="39" t="str">
        <f>'Por Valoracion (3) Dimension'!B332</f>
        <v>0</v>
      </c>
      <c r="CB332" s="39" t="str">
        <f>'Por Valoracion (3) Dimension 2'!H332</f>
        <v>0</v>
      </c>
      <c r="CW332" s="38"/>
      <c r="CY332" s="46"/>
      <c r="DA332" t="str">
        <f>('Inteligencia emocional'!A333)</f>
        <v>0</v>
      </c>
      <c r="DB332" s="39" t="str">
        <f>'Por Valoracion (3) Dimension'!D332</f>
        <v>0</v>
      </c>
      <c r="DC332" s="39" t="str">
        <f>'Por Valoracion (3) Dimension 2'!B332</f>
        <v>0</v>
      </c>
      <c r="DX332" s="46"/>
      <c r="DZ332" t="str">
        <f>('Inteligencia emocional'!A333)</f>
        <v>0</v>
      </c>
      <c r="EA332" s="39" t="str">
        <f>'Por Valoracion (3) Dimension'!D332</f>
        <v>0</v>
      </c>
      <c r="EB332" s="39" t="str">
        <f>'Por Valoracion (3) Dimension 2'!D332</f>
        <v>0</v>
      </c>
      <c r="EW332" s="46"/>
      <c r="EY332" t="str">
        <f>('Inteligencia emocional'!A333)</f>
        <v>0</v>
      </c>
      <c r="EZ332" s="39" t="str">
        <f>'Por Valoracion (3) Dimension'!D332</f>
        <v>0</v>
      </c>
      <c r="FA332" s="39" t="str">
        <f>'Por Valoracion (3) Dimension 2'!F332</f>
        <v>0</v>
      </c>
      <c r="FV332" s="46"/>
      <c r="FX332" t="str">
        <f>('Inteligencia emocional'!A333)</f>
        <v>0</v>
      </c>
      <c r="FY332" s="39" t="str">
        <f>'Por Valoracion (3) Dimension'!D332</f>
        <v>0</v>
      </c>
      <c r="FZ332" s="39" t="str">
        <f>'Por Valoracion (3) Dimension 2'!H332</f>
        <v>0</v>
      </c>
      <c r="GU332" s="46"/>
      <c r="GW332" s="47"/>
      <c r="GY332" t="str">
        <f>('Inteligencia emocional'!A333)</f>
        <v>0</v>
      </c>
      <c r="GZ332" s="39" t="str">
        <f>'Por Valoracion (3) Dimension'!F332</f>
        <v>0</v>
      </c>
      <c r="HA332" s="39" t="str">
        <f>'Por Valoracion (3) Dimension 2'!B332</f>
        <v>0</v>
      </c>
      <c r="HV332" s="47"/>
      <c r="HX332" t="str">
        <f>('Inteligencia emocional'!A333)</f>
        <v>0</v>
      </c>
      <c r="HY332" s="39" t="str">
        <f>'Por Valoracion (3) Dimension'!F332</f>
        <v>0</v>
      </c>
      <c r="HZ332" s="39" t="str">
        <f>'Por Valoracion (3) Dimension 2'!D332</f>
        <v>0</v>
      </c>
      <c r="IU332" s="47"/>
      <c r="IW332" t="str">
        <f>('Inteligencia emocional'!A333)</f>
        <v>0</v>
      </c>
      <c r="IX332" s="39" t="str">
        <f>'Por Valoracion (3) Dimension'!F332</f>
        <v>0</v>
      </c>
      <c r="IY332" s="39" t="str">
        <f>'Por Valoracion (3) Dimension 2'!F332</f>
        <v>0</v>
      </c>
      <c r="JT332" s="47"/>
      <c r="JV332" t="str">
        <f>('Inteligencia emocional'!A333)</f>
        <v>0</v>
      </c>
      <c r="JW332" s="39" t="str">
        <f>'Por Valoracion (3) Dimension'!F332</f>
        <v>0</v>
      </c>
      <c r="JX332" s="39" t="str">
        <f>'Por Valoracion (3) Dimension 2'!H332</f>
        <v>0</v>
      </c>
      <c r="KS332" s="47"/>
    </row>
    <row r="333" spans="1:305">
      <c r="A333" s="38"/>
      <c r="C333" t="str">
        <f>('Inteligencia emocional'!A334)</f>
        <v>0</v>
      </c>
      <c r="D333" s="39" t="str">
        <f>'Por Valoracion (3) Dimension'!B333</f>
        <v>0</v>
      </c>
      <c r="E333" s="39" t="str">
        <f>'Por Valoracion (3) Dimension 2'!B333</f>
        <v>0</v>
      </c>
      <c r="Z333" s="38"/>
      <c r="AB333" t="str">
        <f>('Inteligencia emocional'!A334)</f>
        <v>0</v>
      </c>
      <c r="AC333" s="39" t="str">
        <f>'Por Valoracion (3) Dimension'!B333</f>
        <v>0</v>
      </c>
      <c r="AD333" s="39" t="str">
        <f>'Por Valoracion (3) Dimension 2'!D333</f>
        <v>0</v>
      </c>
      <c r="AY333" s="38"/>
      <c r="BA333" t="str">
        <f>('Inteligencia emocional'!A334)</f>
        <v>0</v>
      </c>
      <c r="BB333" s="39" t="str">
        <f>'Por Valoracion (3) Dimension'!B333</f>
        <v>0</v>
      </c>
      <c r="BC333" s="39" t="str">
        <f>'Por Valoracion (3) Dimension 2'!F333</f>
        <v>0</v>
      </c>
      <c r="BX333" s="38"/>
      <c r="BZ333" t="str">
        <f>('Inteligencia emocional'!A334)</f>
        <v>0</v>
      </c>
      <c r="CA333" s="39" t="str">
        <f>'Por Valoracion (3) Dimension'!B333</f>
        <v>0</v>
      </c>
      <c r="CB333" s="39" t="str">
        <f>'Por Valoracion (3) Dimension 2'!H333</f>
        <v>0</v>
      </c>
      <c r="CW333" s="38"/>
      <c r="CY333" s="46"/>
      <c r="DA333" t="str">
        <f>('Inteligencia emocional'!A334)</f>
        <v>0</v>
      </c>
      <c r="DB333" s="39" t="str">
        <f>'Por Valoracion (3) Dimension'!D333</f>
        <v>0</v>
      </c>
      <c r="DC333" s="39" t="str">
        <f>'Por Valoracion (3) Dimension 2'!B333</f>
        <v>0</v>
      </c>
      <c r="DX333" s="46"/>
      <c r="DZ333" t="str">
        <f>('Inteligencia emocional'!A334)</f>
        <v>0</v>
      </c>
      <c r="EA333" s="39" t="str">
        <f>'Por Valoracion (3) Dimension'!D333</f>
        <v>0</v>
      </c>
      <c r="EB333" s="39" t="str">
        <f>'Por Valoracion (3) Dimension 2'!D333</f>
        <v>0</v>
      </c>
      <c r="EW333" s="46"/>
      <c r="EY333" t="str">
        <f>('Inteligencia emocional'!A334)</f>
        <v>0</v>
      </c>
      <c r="EZ333" s="39" t="str">
        <f>'Por Valoracion (3) Dimension'!D333</f>
        <v>0</v>
      </c>
      <c r="FA333" s="39" t="str">
        <f>'Por Valoracion (3) Dimension 2'!F333</f>
        <v>0</v>
      </c>
      <c r="FV333" s="46"/>
      <c r="FX333" t="str">
        <f>('Inteligencia emocional'!A334)</f>
        <v>0</v>
      </c>
      <c r="FY333" s="39" t="str">
        <f>'Por Valoracion (3) Dimension'!D333</f>
        <v>0</v>
      </c>
      <c r="FZ333" s="39" t="str">
        <f>'Por Valoracion (3) Dimension 2'!H333</f>
        <v>0</v>
      </c>
      <c r="GU333" s="46"/>
      <c r="GW333" s="47"/>
      <c r="GY333" t="str">
        <f>('Inteligencia emocional'!A334)</f>
        <v>0</v>
      </c>
      <c r="GZ333" s="39" t="str">
        <f>'Por Valoracion (3) Dimension'!F333</f>
        <v>0</v>
      </c>
      <c r="HA333" s="39" t="str">
        <f>'Por Valoracion (3) Dimension 2'!B333</f>
        <v>0</v>
      </c>
      <c r="HV333" s="47"/>
      <c r="HX333" t="str">
        <f>('Inteligencia emocional'!A334)</f>
        <v>0</v>
      </c>
      <c r="HY333" s="39" t="str">
        <f>'Por Valoracion (3) Dimension'!F333</f>
        <v>0</v>
      </c>
      <c r="HZ333" s="39" t="str">
        <f>'Por Valoracion (3) Dimension 2'!D333</f>
        <v>0</v>
      </c>
      <c r="IU333" s="47"/>
      <c r="IW333" t="str">
        <f>('Inteligencia emocional'!A334)</f>
        <v>0</v>
      </c>
      <c r="IX333" s="39" t="str">
        <f>'Por Valoracion (3) Dimension'!F333</f>
        <v>0</v>
      </c>
      <c r="IY333" s="39" t="str">
        <f>'Por Valoracion (3) Dimension 2'!F333</f>
        <v>0</v>
      </c>
      <c r="JT333" s="47"/>
      <c r="JV333" t="str">
        <f>('Inteligencia emocional'!A334)</f>
        <v>0</v>
      </c>
      <c r="JW333" s="39" t="str">
        <f>'Por Valoracion (3) Dimension'!F333</f>
        <v>0</v>
      </c>
      <c r="JX333" s="39" t="str">
        <f>'Por Valoracion (3) Dimension 2'!H333</f>
        <v>0</v>
      </c>
      <c r="KS333" s="47"/>
    </row>
    <row r="334" spans="1:305">
      <c r="A334" s="38"/>
      <c r="C334" t="str">
        <f>('Inteligencia emocional'!A335)</f>
        <v>0</v>
      </c>
      <c r="D334" s="39" t="str">
        <f>'Por Valoracion (3) Dimension'!B334</f>
        <v>0</v>
      </c>
      <c r="E334" s="39" t="str">
        <f>'Por Valoracion (3) Dimension 2'!B334</f>
        <v>0</v>
      </c>
      <c r="Z334" s="38"/>
      <c r="AB334" t="str">
        <f>('Inteligencia emocional'!A335)</f>
        <v>0</v>
      </c>
      <c r="AC334" s="39" t="str">
        <f>'Por Valoracion (3) Dimension'!B334</f>
        <v>0</v>
      </c>
      <c r="AD334" s="39" t="str">
        <f>'Por Valoracion (3) Dimension 2'!D334</f>
        <v>0</v>
      </c>
      <c r="AY334" s="38"/>
      <c r="BA334" t="str">
        <f>('Inteligencia emocional'!A335)</f>
        <v>0</v>
      </c>
      <c r="BB334" s="39" t="str">
        <f>'Por Valoracion (3) Dimension'!B334</f>
        <v>0</v>
      </c>
      <c r="BC334" s="39" t="str">
        <f>'Por Valoracion (3) Dimension 2'!F334</f>
        <v>0</v>
      </c>
      <c r="BX334" s="38"/>
      <c r="BZ334" t="str">
        <f>('Inteligencia emocional'!A335)</f>
        <v>0</v>
      </c>
      <c r="CA334" s="39" t="str">
        <f>'Por Valoracion (3) Dimension'!B334</f>
        <v>0</v>
      </c>
      <c r="CB334" s="39" t="str">
        <f>'Por Valoracion (3) Dimension 2'!H334</f>
        <v>0</v>
      </c>
      <c r="CW334" s="38"/>
      <c r="CY334" s="46"/>
      <c r="DA334" t="str">
        <f>('Inteligencia emocional'!A335)</f>
        <v>0</v>
      </c>
      <c r="DB334" s="39" t="str">
        <f>'Por Valoracion (3) Dimension'!D334</f>
        <v>0</v>
      </c>
      <c r="DC334" s="39" t="str">
        <f>'Por Valoracion (3) Dimension 2'!B334</f>
        <v>0</v>
      </c>
      <c r="DX334" s="46"/>
      <c r="DZ334" t="str">
        <f>('Inteligencia emocional'!A335)</f>
        <v>0</v>
      </c>
      <c r="EA334" s="39" t="str">
        <f>'Por Valoracion (3) Dimension'!D334</f>
        <v>0</v>
      </c>
      <c r="EB334" s="39" t="str">
        <f>'Por Valoracion (3) Dimension 2'!D334</f>
        <v>0</v>
      </c>
      <c r="EW334" s="46"/>
      <c r="EY334" t="str">
        <f>('Inteligencia emocional'!A335)</f>
        <v>0</v>
      </c>
      <c r="EZ334" s="39" t="str">
        <f>'Por Valoracion (3) Dimension'!D334</f>
        <v>0</v>
      </c>
      <c r="FA334" s="39" t="str">
        <f>'Por Valoracion (3) Dimension 2'!F334</f>
        <v>0</v>
      </c>
      <c r="FV334" s="46"/>
      <c r="FX334" t="str">
        <f>('Inteligencia emocional'!A335)</f>
        <v>0</v>
      </c>
      <c r="FY334" s="39" t="str">
        <f>'Por Valoracion (3) Dimension'!D334</f>
        <v>0</v>
      </c>
      <c r="FZ334" s="39" t="str">
        <f>'Por Valoracion (3) Dimension 2'!H334</f>
        <v>0</v>
      </c>
      <c r="GU334" s="46"/>
      <c r="GW334" s="47"/>
      <c r="GY334" t="str">
        <f>('Inteligencia emocional'!A335)</f>
        <v>0</v>
      </c>
      <c r="GZ334" s="39" t="str">
        <f>'Por Valoracion (3) Dimension'!F334</f>
        <v>0</v>
      </c>
      <c r="HA334" s="39" t="str">
        <f>'Por Valoracion (3) Dimension 2'!B334</f>
        <v>0</v>
      </c>
      <c r="HV334" s="47"/>
      <c r="HX334" t="str">
        <f>('Inteligencia emocional'!A335)</f>
        <v>0</v>
      </c>
      <c r="HY334" s="39" t="str">
        <f>'Por Valoracion (3) Dimension'!F334</f>
        <v>0</v>
      </c>
      <c r="HZ334" s="39" t="str">
        <f>'Por Valoracion (3) Dimension 2'!D334</f>
        <v>0</v>
      </c>
      <c r="IU334" s="47"/>
      <c r="IW334" t="str">
        <f>('Inteligencia emocional'!A335)</f>
        <v>0</v>
      </c>
      <c r="IX334" s="39" t="str">
        <f>'Por Valoracion (3) Dimension'!F334</f>
        <v>0</v>
      </c>
      <c r="IY334" s="39" t="str">
        <f>'Por Valoracion (3) Dimension 2'!F334</f>
        <v>0</v>
      </c>
      <c r="JT334" s="47"/>
      <c r="JV334" t="str">
        <f>('Inteligencia emocional'!A335)</f>
        <v>0</v>
      </c>
      <c r="JW334" s="39" t="str">
        <f>'Por Valoracion (3) Dimension'!F334</f>
        <v>0</v>
      </c>
      <c r="JX334" s="39" t="str">
        <f>'Por Valoracion (3) Dimension 2'!H334</f>
        <v>0</v>
      </c>
      <c r="KS334" s="47"/>
    </row>
    <row r="335" spans="1:305">
      <c r="A335" s="38"/>
      <c r="C335" t="str">
        <f>('Inteligencia emocional'!A336)</f>
        <v>0</v>
      </c>
      <c r="D335" s="39" t="str">
        <f>'Por Valoracion (3) Dimension'!B335</f>
        <v>0</v>
      </c>
      <c r="E335" s="39" t="str">
        <f>'Por Valoracion (3) Dimension 2'!B335</f>
        <v>0</v>
      </c>
      <c r="Z335" s="38"/>
      <c r="AB335" t="str">
        <f>('Inteligencia emocional'!A336)</f>
        <v>0</v>
      </c>
      <c r="AC335" s="39" t="str">
        <f>'Por Valoracion (3) Dimension'!B335</f>
        <v>0</v>
      </c>
      <c r="AD335" s="39" t="str">
        <f>'Por Valoracion (3) Dimension 2'!D335</f>
        <v>0</v>
      </c>
      <c r="AY335" s="38"/>
      <c r="BA335" t="str">
        <f>('Inteligencia emocional'!A336)</f>
        <v>0</v>
      </c>
      <c r="BB335" s="39" t="str">
        <f>'Por Valoracion (3) Dimension'!B335</f>
        <v>0</v>
      </c>
      <c r="BC335" s="39" t="str">
        <f>'Por Valoracion (3) Dimension 2'!F335</f>
        <v>0</v>
      </c>
      <c r="BX335" s="38"/>
      <c r="BZ335" t="str">
        <f>('Inteligencia emocional'!A336)</f>
        <v>0</v>
      </c>
      <c r="CA335" s="39" t="str">
        <f>'Por Valoracion (3) Dimension'!B335</f>
        <v>0</v>
      </c>
      <c r="CB335" s="39" t="str">
        <f>'Por Valoracion (3) Dimension 2'!H335</f>
        <v>0</v>
      </c>
      <c r="CW335" s="38"/>
      <c r="CY335" s="46"/>
      <c r="DA335" t="str">
        <f>('Inteligencia emocional'!A336)</f>
        <v>0</v>
      </c>
      <c r="DB335" s="39" t="str">
        <f>'Por Valoracion (3) Dimension'!D335</f>
        <v>0</v>
      </c>
      <c r="DC335" s="39" t="str">
        <f>'Por Valoracion (3) Dimension 2'!B335</f>
        <v>0</v>
      </c>
      <c r="DX335" s="46"/>
      <c r="DZ335" t="str">
        <f>('Inteligencia emocional'!A336)</f>
        <v>0</v>
      </c>
      <c r="EA335" s="39" t="str">
        <f>'Por Valoracion (3) Dimension'!D335</f>
        <v>0</v>
      </c>
      <c r="EB335" s="39" t="str">
        <f>'Por Valoracion (3) Dimension 2'!D335</f>
        <v>0</v>
      </c>
      <c r="EW335" s="46"/>
      <c r="EY335" t="str">
        <f>('Inteligencia emocional'!A336)</f>
        <v>0</v>
      </c>
      <c r="EZ335" s="39" t="str">
        <f>'Por Valoracion (3) Dimension'!D335</f>
        <v>0</v>
      </c>
      <c r="FA335" s="39" t="str">
        <f>'Por Valoracion (3) Dimension 2'!F335</f>
        <v>0</v>
      </c>
      <c r="FV335" s="46"/>
      <c r="FX335" t="str">
        <f>('Inteligencia emocional'!A336)</f>
        <v>0</v>
      </c>
      <c r="FY335" s="39" t="str">
        <f>'Por Valoracion (3) Dimension'!D335</f>
        <v>0</v>
      </c>
      <c r="FZ335" s="39" t="str">
        <f>'Por Valoracion (3) Dimension 2'!H335</f>
        <v>0</v>
      </c>
      <c r="GU335" s="46"/>
      <c r="GW335" s="47"/>
      <c r="GY335" t="str">
        <f>('Inteligencia emocional'!A336)</f>
        <v>0</v>
      </c>
      <c r="GZ335" s="39" t="str">
        <f>'Por Valoracion (3) Dimension'!F335</f>
        <v>0</v>
      </c>
      <c r="HA335" s="39" t="str">
        <f>'Por Valoracion (3) Dimension 2'!B335</f>
        <v>0</v>
      </c>
      <c r="HV335" s="47"/>
      <c r="HX335" t="str">
        <f>('Inteligencia emocional'!A336)</f>
        <v>0</v>
      </c>
      <c r="HY335" s="39" t="str">
        <f>'Por Valoracion (3) Dimension'!F335</f>
        <v>0</v>
      </c>
      <c r="HZ335" s="39" t="str">
        <f>'Por Valoracion (3) Dimension 2'!D335</f>
        <v>0</v>
      </c>
      <c r="IU335" s="47"/>
      <c r="IW335" t="str">
        <f>('Inteligencia emocional'!A336)</f>
        <v>0</v>
      </c>
      <c r="IX335" s="39" t="str">
        <f>'Por Valoracion (3) Dimension'!F335</f>
        <v>0</v>
      </c>
      <c r="IY335" s="39" t="str">
        <f>'Por Valoracion (3) Dimension 2'!F335</f>
        <v>0</v>
      </c>
      <c r="JT335" s="47"/>
      <c r="JV335" t="str">
        <f>('Inteligencia emocional'!A336)</f>
        <v>0</v>
      </c>
      <c r="JW335" s="39" t="str">
        <f>'Por Valoracion (3) Dimension'!F335</f>
        <v>0</v>
      </c>
      <c r="JX335" s="39" t="str">
        <f>'Por Valoracion (3) Dimension 2'!H335</f>
        <v>0</v>
      </c>
      <c r="KS335" s="47"/>
    </row>
    <row r="336" spans="1:305">
      <c r="A336" s="38"/>
      <c r="C336" t="str">
        <f>('Inteligencia emocional'!A337)</f>
        <v>0</v>
      </c>
      <c r="D336" s="39" t="str">
        <f>'Por Valoracion (3) Dimension'!B336</f>
        <v>0</v>
      </c>
      <c r="E336" s="39" t="str">
        <f>'Por Valoracion (3) Dimension 2'!B336</f>
        <v>0</v>
      </c>
      <c r="Z336" s="38"/>
      <c r="AB336" t="str">
        <f>('Inteligencia emocional'!A337)</f>
        <v>0</v>
      </c>
      <c r="AC336" s="39" t="str">
        <f>'Por Valoracion (3) Dimension'!B336</f>
        <v>0</v>
      </c>
      <c r="AD336" s="39" t="str">
        <f>'Por Valoracion (3) Dimension 2'!D336</f>
        <v>0</v>
      </c>
      <c r="AY336" s="38"/>
      <c r="BA336" t="str">
        <f>('Inteligencia emocional'!A337)</f>
        <v>0</v>
      </c>
      <c r="BB336" s="39" t="str">
        <f>'Por Valoracion (3) Dimension'!B336</f>
        <v>0</v>
      </c>
      <c r="BC336" s="39" t="str">
        <f>'Por Valoracion (3) Dimension 2'!F336</f>
        <v>0</v>
      </c>
      <c r="BX336" s="38"/>
      <c r="BZ336" t="str">
        <f>('Inteligencia emocional'!A337)</f>
        <v>0</v>
      </c>
      <c r="CA336" s="39" t="str">
        <f>'Por Valoracion (3) Dimension'!B336</f>
        <v>0</v>
      </c>
      <c r="CB336" s="39" t="str">
        <f>'Por Valoracion (3) Dimension 2'!H336</f>
        <v>0</v>
      </c>
      <c r="CW336" s="38"/>
      <c r="CY336" s="46"/>
      <c r="DA336" t="str">
        <f>('Inteligencia emocional'!A337)</f>
        <v>0</v>
      </c>
      <c r="DB336" s="39" t="str">
        <f>'Por Valoracion (3) Dimension'!D336</f>
        <v>0</v>
      </c>
      <c r="DC336" s="39" t="str">
        <f>'Por Valoracion (3) Dimension 2'!B336</f>
        <v>0</v>
      </c>
      <c r="DX336" s="46"/>
      <c r="DZ336" t="str">
        <f>('Inteligencia emocional'!A337)</f>
        <v>0</v>
      </c>
      <c r="EA336" s="39" t="str">
        <f>'Por Valoracion (3) Dimension'!D336</f>
        <v>0</v>
      </c>
      <c r="EB336" s="39" t="str">
        <f>'Por Valoracion (3) Dimension 2'!D336</f>
        <v>0</v>
      </c>
      <c r="EW336" s="46"/>
      <c r="EY336" t="str">
        <f>('Inteligencia emocional'!A337)</f>
        <v>0</v>
      </c>
      <c r="EZ336" s="39" t="str">
        <f>'Por Valoracion (3) Dimension'!D336</f>
        <v>0</v>
      </c>
      <c r="FA336" s="39" t="str">
        <f>'Por Valoracion (3) Dimension 2'!F336</f>
        <v>0</v>
      </c>
      <c r="FV336" s="46"/>
      <c r="FX336" t="str">
        <f>('Inteligencia emocional'!A337)</f>
        <v>0</v>
      </c>
      <c r="FY336" s="39" t="str">
        <f>'Por Valoracion (3) Dimension'!D336</f>
        <v>0</v>
      </c>
      <c r="FZ336" s="39" t="str">
        <f>'Por Valoracion (3) Dimension 2'!H336</f>
        <v>0</v>
      </c>
      <c r="GU336" s="46"/>
      <c r="GW336" s="47"/>
      <c r="GY336" t="str">
        <f>('Inteligencia emocional'!A337)</f>
        <v>0</v>
      </c>
      <c r="GZ336" s="39" t="str">
        <f>'Por Valoracion (3) Dimension'!F336</f>
        <v>0</v>
      </c>
      <c r="HA336" s="39" t="str">
        <f>'Por Valoracion (3) Dimension 2'!B336</f>
        <v>0</v>
      </c>
      <c r="HV336" s="47"/>
      <c r="HX336" t="str">
        <f>('Inteligencia emocional'!A337)</f>
        <v>0</v>
      </c>
      <c r="HY336" s="39" t="str">
        <f>'Por Valoracion (3) Dimension'!F336</f>
        <v>0</v>
      </c>
      <c r="HZ336" s="39" t="str">
        <f>'Por Valoracion (3) Dimension 2'!D336</f>
        <v>0</v>
      </c>
      <c r="IU336" s="47"/>
      <c r="IW336" t="str">
        <f>('Inteligencia emocional'!A337)</f>
        <v>0</v>
      </c>
      <c r="IX336" s="39" t="str">
        <f>'Por Valoracion (3) Dimension'!F336</f>
        <v>0</v>
      </c>
      <c r="IY336" s="39" t="str">
        <f>'Por Valoracion (3) Dimension 2'!F336</f>
        <v>0</v>
      </c>
      <c r="JT336" s="47"/>
      <c r="JV336" t="str">
        <f>('Inteligencia emocional'!A337)</f>
        <v>0</v>
      </c>
      <c r="JW336" s="39" t="str">
        <f>'Por Valoracion (3) Dimension'!F336</f>
        <v>0</v>
      </c>
      <c r="JX336" s="39" t="str">
        <f>'Por Valoracion (3) Dimension 2'!H336</f>
        <v>0</v>
      </c>
      <c r="KS336" s="47"/>
    </row>
    <row r="337" spans="1:305">
      <c r="A337" s="38"/>
      <c r="C337" t="str">
        <f>('Inteligencia emocional'!A338)</f>
        <v>0</v>
      </c>
      <c r="D337" s="39" t="str">
        <f>'Por Valoracion (3) Dimension'!B337</f>
        <v>0</v>
      </c>
      <c r="E337" s="39" t="str">
        <f>'Por Valoracion (3) Dimension 2'!B337</f>
        <v>0</v>
      </c>
      <c r="Z337" s="38"/>
      <c r="AB337" t="str">
        <f>('Inteligencia emocional'!A338)</f>
        <v>0</v>
      </c>
      <c r="AC337" s="39" t="str">
        <f>'Por Valoracion (3) Dimension'!B337</f>
        <v>0</v>
      </c>
      <c r="AD337" s="39" t="str">
        <f>'Por Valoracion (3) Dimension 2'!D337</f>
        <v>0</v>
      </c>
      <c r="AY337" s="38"/>
      <c r="BA337" t="str">
        <f>('Inteligencia emocional'!A338)</f>
        <v>0</v>
      </c>
      <c r="BB337" s="39" t="str">
        <f>'Por Valoracion (3) Dimension'!B337</f>
        <v>0</v>
      </c>
      <c r="BC337" s="39" t="str">
        <f>'Por Valoracion (3) Dimension 2'!F337</f>
        <v>0</v>
      </c>
      <c r="BX337" s="38"/>
      <c r="BZ337" t="str">
        <f>('Inteligencia emocional'!A338)</f>
        <v>0</v>
      </c>
      <c r="CA337" s="39" t="str">
        <f>'Por Valoracion (3) Dimension'!B337</f>
        <v>0</v>
      </c>
      <c r="CB337" s="39" t="str">
        <f>'Por Valoracion (3) Dimension 2'!H337</f>
        <v>0</v>
      </c>
      <c r="CW337" s="38"/>
      <c r="CY337" s="46"/>
      <c r="DA337" t="str">
        <f>('Inteligencia emocional'!A338)</f>
        <v>0</v>
      </c>
      <c r="DB337" s="39" t="str">
        <f>'Por Valoracion (3) Dimension'!D337</f>
        <v>0</v>
      </c>
      <c r="DC337" s="39" t="str">
        <f>'Por Valoracion (3) Dimension 2'!B337</f>
        <v>0</v>
      </c>
      <c r="DX337" s="46"/>
      <c r="DZ337" t="str">
        <f>('Inteligencia emocional'!A338)</f>
        <v>0</v>
      </c>
      <c r="EA337" s="39" t="str">
        <f>'Por Valoracion (3) Dimension'!D337</f>
        <v>0</v>
      </c>
      <c r="EB337" s="39" t="str">
        <f>'Por Valoracion (3) Dimension 2'!D337</f>
        <v>0</v>
      </c>
      <c r="EW337" s="46"/>
      <c r="EY337" t="str">
        <f>('Inteligencia emocional'!A338)</f>
        <v>0</v>
      </c>
      <c r="EZ337" s="39" t="str">
        <f>'Por Valoracion (3) Dimension'!D337</f>
        <v>0</v>
      </c>
      <c r="FA337" s="39" t="str">
        <f>'Por Valoracion (3) Dimension 2'!F337</f>
        <v>0</v>
      </c>
      <c r="FV337" s="46"/>
      <c r="FX337" t="str">
        <f>('Inteligencia emocional'!A338)</f>
        <v>0</v>
      </c>
      <c r="FY337" s="39" t="str">
        <f>'Por Valoracion (3) Dimension'!D337</f>
        <v>0</v>
      </c>
      <c r="FZ337" s="39" t="str">
        <f>'Por Valoracion (3) Dimension 2'!H337</f>
        <v>0</v>
      </c>
      <c r="GU337" s="46"/>
      <c r="GW337" s="47"/>
      <c r="GY337" t="str">
        <f>('Inteligencia emocional'!A338)</f>
        <v>0</v>
      </c>
      <c r="GZ337" s="39" t="str">
        <f>'Por Valoracion (3) Dimension'!F337</f>
        <v>0</v>
      </c>
      <c r="HA337" s="39" t="str">
        <f>'Por Valoracion (3) Dimension 2'!B337</f>
        <v>0</v>
      </c>
      <c r="HV337" s="47"/>
      <c r="HX337" t="str">
        <f>('Inteligencia emocional'!A338)</f>
        <v>0</v>
      </c>
      <c r="HY337" s="39" t="str">
        <f>'Por Valoracion (3) Dimension'!F337</f>
        <v>0</v>
      </c>
      <c r="HZ337" s="39" t="str">
        <f>'Por Valoracion (3) Dimension 2'!D337</f>
        <v>0</v>
      </c>
      <c r="IU337" s="47"/>
      <c r="IW337" t="str">
        <f>('Inteligencia emocional'!A338)</f>
        <v>0</v>
      </c>
      <c r="IX337" s="39" t="str">
        <f>'Por Valoracion (3) Dimension'!F337</f>
        <v>0</v>
      </c>
      <c r="IY337" s="39" t="str">
        <f>'Por Valoracion (3) Dimension 2'!F337</f>
        <v>0</v>
      </c>
      <c r="JT337" s="47"/>
      <c r="JV337" t="str">
        <f>('Inteligencia emocional'!A338)</f>
        <v>0</v>
      </c>
      <c r="JW337" s="39" t="str">
        <f>'Por Valoracion (3) Dimension'!F337</f>
        <v>0</v>
      </c>
      <c r="JX337" s="39" t="str">
        <f>'Por Valoracion (3) Dimension 2'!H337</f>
        <v>0</v>
      </c>
      <c r="KS337" s="47"/>
    </row>
    <row r="338" spans="1:305">
      <c r="A338" s="38"/>
      <c r="C338" t="str">
        <f>('Inteligencia emocional'!A339)</f>
        <v>0</v>
      </c>
      <c r="D338" s="39" t="str">
        <f>'Por Valoracion (3) Dimension'!B338</f>
        <v>0</v>
      </c>
      <c r="E338" s="39" t="str">
        <f>'Por Valoracion (3) Dimension 2'!B338</f>
        <v>0</v>
      </c>
      <c r="Z338" s="38"/>
      <c r="AB338" t="str">
        <f>('Inteligencia emocional'!A339)</f>
        <v>0</v>
      </c>
      <c r="AC338" s="39" t="str">
        <f>'Por Valoracion (3) Dimension'!B338</f>
        <v>0</v>
      </c>
      <c r="AD338" s="39" t="str">
        <f>'Por Valoracion (3) Dimension 2'!D338</f>
        <v>0</v>
      </c>
      <c r="AY338" s="38"/>
      <c r="BA338" t="str">
        <f>('Inteligencia emocional'!A339)</f>
        <v>0</v>
      </c>
      <c r="BB338" s="39" t="str">
        <f>'Por Valoracion (3) Dimension'!B338</f>
        <v>0</v>
      </c>
      <c r="BC338" s="39" t="str">
        <f>'Por Valoracion (3) Dimension 2'!F338</f>
        <v>0</v>
      </c>
      <c r="BX338" s="38"/>
      <c r="BZ338" t="str">
        <f>('Inteligencia emocional'!A339)</f>
        <v>0</v>
      </c>
      <c r="CA338" s="39" t="str">
        <f>'Por Valoracion (3) Dimension'!B338</f>
        <v>0</v>
      </c>
      <c r="CB338" s="39" t="str">
        <f>'Por Valoracion (3) Dimension 2'!H338</f>
        <v>0</v>
      </c>
      <c r="CW338" s="38"/>
      <c r="CY338" s="46"/>
      <c r="DA338" t="str">
        <f>('Inteligencia emocional'!A339)</f>
        <v>0</v>
      </c>
      <c r="DB338" s="39" t="str">
        <f>'Por Valoracion (3) Dimension'!D338</f>
        <v>0</v>
      </c>
      <c r="DC338" s="39" t="str">
        <f>'Por Valoracion (3) Dimension 2'!B338</f>
        <v>0</v>
      </c>
      <c r="DX338" s="46"/>
      <c r="DZ338" t="str">
        <f>('Inteligencia emocional'!A339)</f>
        <v>0</v>
      </c>
      <c r="EA338" s="39" t="str">
        <f>'Por Valoracion (3) Dimension'!D338</f>
        <v>0</v>
      </c>
      <c r="EB338" s="39" t="str">
        <f>'Por Valoracion (3) Dimension 2'!D338</f>
        <v>0</v>
      </c>
      <c r="EW338" s="46"/>
      <c r="EY338" t="str">
        <f>('Inteligencia emocional'!A339)</f>
        <v>0</v>
      </c>
      <c r="EZ338" s="39" t="str">
        <f>'Por Valoracion (3) Dimension'!D338</f>
        <v>0</v>
      </c>
      <c r="FA338" s="39" t="str">
        <f>'Por Valoracion (3) Dimension 2'!F338</f>
        <v>0</v>
      </c>
      <c r="FV338" s="46"/>
      <c r="FX338" t="str">
        <f>('Inteligencia emocional'!A339)</f>
        <v>0</v>
      </c>
      <c r="FY338" s="39" t="str">
        <f>'Por Valoracion (3) Dimension'!D338</f>
        <v>0</v>
      </c>
      <c r="FZ338" s="39" t="str">
        <f>'Por Valoracion (3) Dimension 2'!H338</f>
        <v>0</v>
      </c>
      <c r="GU338" s="46"/>
      <c r="GW338" s="47"/>
      <c r="GY338" t="str">
        <f>('Inteligencia emocional'!A339)</f>
        <v>0</v>
      </c>
      <c r="GZ338" s="39" t="str">
        <f>'Por Valoracion (3) Dimension'!F338</f>
        <v>0</v>
      </c>
      <c r="HA338" s="39" t="str">
        <f>'Por Valoracion (3) Dimension 2'!B338</f>
        <v>0</v>
      </c>
      <c r="HV338" s="47"/>
      <c r="HX338" t="str">
        <f>('Inteligencia emocional'!A339)</f>
        <v>0</v>
      </c>
      <c r="HY338" s="39" t="str">
        <f>'Por Valoracion (3) Dimension'!F338</f>
        <v>0</v>
      </c>
      <c r="HZ338" s="39" t="str">
        <f>'Por Valoracion (3) Dimension 2'!D338</f>
        <v>0</v>
      </c>
      <c r="IU338" s="47"/>
      <c r="IW338" t="str">
        <f>('Inteligencia emocional'!A339)</f>
        <v>0</v>
      </c>
      <c r="IX338" s="39" t="str">
        <f>'Por Valoracion (3) Dimension'!F338</f>
        <v>0</v>
      </c>
      <c r="IY338" s="39" t="str">
        <f>'Por Valoracion (3) Dimension 2'!F338</f>
        <v>0</v>
      </c>
      <c r="JT338" s="47"/>
      <c r="JV338" t="str">
        <f>('Inteligencia emocional'!A339)</f>
        <v>0</v>
      </c>
      <c r="JW338" s="39" t="str">
        <f>'Por Valoracion (3) Dimension'!F338</f>
        <v>0</v>
      </c>
      <c r="JX338" s="39" t="str">
        <f>'Por Valoracion (3) Dimension 2'!H338</f>
        <v>0</v>
      </c>
      <c r="KS338" s="47"/>
    </row>
    <row r="339" spans="1:305">
      <c r="A339" s="38"/>
      <c r="C339" t="str">
        <f>('Inteligencia emocional'!A340)</f>
        <v>0</v>
      </c>
      <c r="D339" s="39" t="str">
        <f>'Por Valoracion (3) Dimension'!B339</f>
        <v>0</v>
      </c>
      <c r="E339" s="39" t="str">
        <f>'Por Valoracion (3) Dimension 2'!B339</f>
        <v>0</v>
      </c>
      <c r="Z339" s="38"/>
      <c r="AB339" t="str">
        <f>('Inteligencia emocional'!A340)</f>
        <v>0</v>
      </c>
      <c r="AC339" s="39" t="str">
        <f>'Por Valoracion (3) Dimension'!B339</f>
        <v>0</v>
      </c>
      <c r="AD339" s="39" t="str">
        <f>'Por Valoracion (3) Dimension 2'!D339</f>
        <v>0</v>
      </c>
      <c r="AY339" s="38"/>
      <c r="BA339" t="str">
        <f>('Inteligencia emocional'!A340)</f>
        <v>0</v>
      </c>
      <c r="BB339" s="39" t="str">
        <f>'Por Valoracion (3) Dimension'!B339</f>
        <v>0</v>
      </c>
      <c r="BC339" s="39" t="str">
        <f>'Por Valoracion (3) Dimension 2'!F339</f>
        <v>0</v>
      </c>
      <c r="BX339" s="38"/>
      <c r="BZ339" t="str">
        <f>('Inteligencia emocional'!A340)</f>
        <v>0</v>
      </c>
      <c r="CA339" s="39" t="str">
        <f>'Por Valoracion (3) Dimension'!B339</f>
        <v>0</v>
      </c>
      <c r="CB339" s="39" t="str">
        <f>'Por Valoracion (3) Dimension 2'!H339</f>
        <v>0</v>
      </c>
      <c r="CW339" s="38"/>
      <c r="CY339" s="46"/>
      <c r="DA339" t="str">
        <f>('Inteligencia emocional'!A340)</f>
        <v>0</v>
      </c>
      <c r="DB339" s="39" t="str">
        <f>'Por Valoracion (3) Dimension'!D339</f>
        <v>0</v>
      </c>
      <c r="DC339" s="39" t="str">
        <f>'Por Valoracion (3) Dimension 2'!B339</f>
        <v>0</v>
      </c>
      <c r="DX339" s="46"/>
      <c r="DZ339" t="str">
        <f>('Inteligencia emocional'!A340)</f>
        <v>0</v>
      </c>
      <c r="EA339" s="39" t="str">
        <f>'Por Valoracion (3) Dimension'!D339</f>
        <v>0</v>
      </c>
      <c r="EB339" s="39" t="str">
        <f>'Por Valoracion (3) Dimension 2'!D339</f>
        <v>0</v>
      </c>
      <c r="EW339" s="46"/>
      <c r="EY339" t="str">
        <f>('Inteligencia emocional'!A340)</f>
        <v>0</v>
      </c>
      <c r="EZ339" s="39" t="str">
        <f>'Por Valoracion (3) Dimension'!D339</f>
        <v>0</v>
      </c>
      <c r="FA339" s="39" t="str">
        <f>'Por Valoracion (3) Dimension 2'!F339</f>
        <v>0</v>
      </c>
      <c r="FV339" s="46"/>
      <c r="FX339" t="str">
        <f>('Inteligencia emocional'!A340)</f>
        <v>0</v>
      </c>
      <c r="FY339" s="39" t="str">
        <f>'Por Valoracion (3) Dimension'!D339</f>
        <v>0</v>
      </c>
      <c r="FZ339" s="39" t="str">
        <f>'Por Valoracion (3) Dimension 2'!H339</f>
        <v>0</v>
      </c>
      <c r="GU339" s="46"/>
      <c r="GW339" s="47"/>
      <c r="GY339" t="str">
        <f>('Inteligencia emocional'!A340)</f>
        <v>0</v>
      </c>
      <c r="GZ339" s="39" t="str">
        <f>'Por Valoracion (3) Dimension'!F339</f>
        <v>0</v>
      </c>
      <c r="HA339" s="39" t="str">
        <f>'Por Valoracion (3) Dimension 2'!B339</f>
        <v>0</v>
      </c>
      <c r="HV339" s="47"/>
      <c r="HX339" t="str">
        <f>('Inteligencia emocional'!A340)</f>
        <v>0</v>
      </c>
      <c r="HY339" s="39" t="str">
        <f>'Por Valoracion (3) Dimension'!F339</f>
        <v>0</v>
      </c>
      <c r="HZ339" s="39" t="str">
        <f>'Por Valoracion (3) Dimension 2'!D339</f>
        <v>0</v>
      </c>
      <c r="IU339" s="47"/>
      <c r="IW339" t="str">
        <f>('Inteligencia emocional'!A340)</f>
        <v>0</v>
      </c>
      <c r="IX339" s="39" t="str">
        <f>'Por Valoracion (3) Dimension'!F339</f>
        <v>0</v>
      </c>
      <c r="IY339" s="39" t="str">
        <f>'Por Valoracion (3) Dimension 2'!F339</f>
        <v>0</v>
      </c>
      <c r="JT339" s="47"/>
      <c r="JV339" t="str">
        <f>('Inteligencia emocional'!A340)</f>
        <v>0</v>
      </c>
      <c r="JW339" s="39" t="str">
        <f>'Por Valoracion (3) Dimension'!F339</f>
        <v>0</v>
      </c>
      <c r="JX339" s="39" t="str">
        <f>'Por Valoracion (3) Dimension 2'!H339</f>
        <v>0</v>
      </c>
      <c r="KS339" s="47"/>
    </row>
    <row r="340" spans="1:305">
      <c r="A340" s="38"/>
      <c r="C340" t="str">
        <f>('Inteligencia emocional'!A341)</f>
        <v>0</v>
      </c>
      <c r="D340" s="39" t="str">
        <f>'Por Valoracion (3) Dimension'!B340</f>
        <v>0</v>
      </c>
      <c r="E340" s="39" t="str">
        <f>'Por Valoracion (3) Dimension 2'!B340</f>
        <v>0</v>
      </c>
      <c r="Z340" s="38"/>
      <c r="AB340" t="str">
        <f>('Inteligencia emocional'!A341)</f>
        <v>0</v>
      </c>
      <c r="AC340" s="39" t="str">
        <f>'Por Valoracion (3) Dimension'!B340</f>
        <v>0</v>
      </c>
      <c r="AD340" s="39" t="str">
        <f>'Por Valoracion (3) Dimension 2'!D340</f>
        <v>0</v>
      </c>
      <c r="AY340" s="38"/>
      <c r="BA340" t="str">
        <f>('Inteligencia emocional'!A341)</f>
        <v>0</v>
      </c>
      <c r="BB340" s="39" t="str">
        <f>'Por Valoracion (3) Dimension'!B340</f>
        <v>0</v>
      </c>
      <c r="BC340" s="39" t="str">
        <f>'Por Valoracion (3) Dimension 2'!F340</f>
        <v>0</v>
      </c>
      <c r="BX340" s="38"/>
      <c r="BZ340" t="str">
        <f>('Inteligencia emocional'!A341)</f>
        <v>0</v>
      </c>
      <c r="CA340" s="39" t="str">
        <f>'Por Valoracion (3) Dimension'!B340</f>
        <v>0</v>
      </c>
      <c r="CB340" s="39" t="str">
        <f>'Por Valoracion (3) Dimension 2'!H340</f>
        <v>0</v>
      </c>
      <c r="CW340" s="38"/>
      <c r="CY340" s="46"/>
      <c r="DA340" t="str">
        <f>('Inteligencia emocional'!A341)</f>
        <v>0</v>
      </c>
      <c r="DB340" s="39" t="str">
        <f>'Por Valoracion (3) Dimension'!D340</f>
        <v>0</v>
      </c>
      <c r="DC340" s="39" t="str">
        <f>'Por Valoracion (3) Dimension 2'!B340</f>
        <v>0</v>
      </c>
      <c r="DX340" s="46"/>
      <c r="DZ340" t="str">
        <f>('Inteligencia emocional'!A341)</f>
        <v>0</v>
      </c>
      <c r="EA340" s="39" t="str">
        <f>'Por Valoracion (3) Dimension'!D340</f>
        <v>0</v>
      </c>
      <c r="EB340" s="39" t="str">
        <f>'Por Valoracion (3) Dimension 2'!D340</f>
        <v>0</v>
      </c>
      <c r="EW340" s="46"/>
      <c r="EY340" t="str">
        <f>('Inteligencia emocional'!A341)</f>
        <v>0</v>
      </c>
      <c r="EZ340" s="39" t="str">
        <f>'Por Valoracion (3) Dimension'!D340</f>
        <v>0</v>
      </c>
      <c r="FA340" s="39" t="str">
        <f>'Por Valoracion (3) Dimension 2'!F340</f>
        <v>0</v>
      </c>
      <c r="FV340" s="46"/>
      <c r="FX340" t="str">
        <f>('Inteligencia emocional'!A341)</f>
        <v>0</v>
      </c>
      <c r="FY340" s="39" t="str">
        <f>'Por Valoracion (3) Dimension'!D340</f>
        <v>0</v>
      </c>
      <c r="FZ340" s="39" t="str">
        <f>'Por Valoracion (3) Dimension 2'!H340</f>
        <v>0</v>
      </c>
      <c r="GU340" s="46"/>
      <c r="GW340" s="47"/>
      <c r="GY340" t="str">
        <f>('Inteligencia emocional'!A341)</f>
        <v>0</v>
      </c>
      <c r="GZ340" s="39" t="str">
        <f>'Por Valoracion (3) Dimension'!F340</f>
        <v>0</v>
      </c>
      <c r="HA340" s="39" t="str">
        <f>'Por Valoracion (3) Dimension 2'!B340</f>
        <v>0</v>
      </c>
      <c r="HV340" s="47"/>
      <c r="HX340" t="str">
        <f>('Inteligencia emocional'!A341)</f>
        <v>0</v>
      </c>
      <c r="HY340" s="39" t="str">
        <f>'Por Valoracion (3) Dimension'!F340</f>
        <v>0</v>
      </c>
      <c r="HZ340" s="39" t="str">
        <f>'Por Valoracion (3) Dimension 2'!D340</f>
        <v>0</v>
      </c>
      <c r="IU340" s="47"/>
      <c r="IW340" t="str">
        <f>('Inteligencia emocional'!A341)</f>
        <v>0</v>
      </c>
      <c r="IX340" s="39" t="str">
        <f>'Por Valoracion (3) Dimension'!F340</f>
        <v>0</v>
      </c>
      <c r="IY340" s="39" t="str">
        <f>'Por Valoracion (3) Dimension 2'!F340</f>
        <v>0</v>
      </c>
      <c r="JT340" s="47"/>
      <c r="JV340" t="str">
        <f>('Inteligencia emocional'!A341)</f>
        <v>0</v>
      </c>
      <c r="JW340" s="39" t="str">
        <f>'Por Valoracion (3) Dimension'!F340</f>
        <v>0</v>
      </c>
      <c r="JX340" s="39" t="str">
        <f>'Por Valoracion (3) Dimension 2'!H340</f>
        <v>0</v>
      </c>
      <c r="KS340" s="47"/>
    </row>
    <row r="341" spans="1:305">
      <c r="A341" s="38"/>
      <c r="C341" t="str">
        <f>('Inteligencia emocional'!A342)</f>
        <v>0</v>
      </c>
      <c r="D341" s="39" t="str">
        <f>'Por Valoracion (3) Dimension'!B341</f>
        <v>0</v>
      </c>
      <c r="E341" s="39" t="str">
        <f>'Por Valoracion (3) Dimension 2'!B341</f>
        <v>0</v>
      </c>
      <c r="Z341" s="38"/>
      <c r="AB341" t="str">
        <f>('Inteligencia emocional'!A342)</f>
        <v>0</v>
      </c>
      <c r="AC341" s="39" t="str">
        <f>'Por Valoracion (3) Dimension'!B341</f>
        <v>0</v>
      </c>
      <c r="AD341" s="39" t="str">
        <f>'Por Valoracion (3) Dimension 2'!D341</f>
        <v>0</v>
      </c>
      <c r="AY341" s="38"/>
      <c r="BA341" t="str">
        <f>('Inteligencia emocional'!A342)</f>
        <v>0</v>
      </c>
      <c r="BB341" s="39" t="str">
        <f>'Por Valoracion (3) Dimension'!B341</f>
        <v>0</v>
      </c>
      <c r="BC341" s="39" t="str">
        <f>'Por Valoracion (3) Dimension 2'!F341</f>
        <v>0</v>
      </c>
      <c r="BX341" s="38"/>
      <c r="BZ341" t="str">
        <f>('Inteligencia emocional'!A342)</f>
        <v>0</v>
      </c>
      <c r="CA341" s="39" t="str">
        <f>'Por Valoracion (3) Dimension'!B341</f>
        <v>0</v>
      </c>
      <c r="CB341" s="39" t="str">
        <f>'Por Valoracion (3) Dimension 2'!H341</f>
        <v>0</v>
      </c>
      <c r="CW341" s="38"/>
      <c r="CY341" s="46"/>
      <c r="DA341" t="str">
        <f>('Inteligencia emocional'!A342)</f>
        <v>0</v>
      </c>
      <c r="DB341" s="39" t="str">
        <f>'Por Valoracion (3) Dimension'!D341</f>
        <v>0</v>
      </c>
      <c r="DC341" s="39" t="str">
        <f>'Por Valoracion (3) Dimension 2'!B341</f>
        <v>0</v>
      </c>
      <c r="DX341" s="46"/>
      <c r="DZ341" t="str">
        <f>('Inteligencia emocional'!A342)</f>
        <v>0</v>
      </c>
      <c r="EA341" s="39" t="str">
        <f>'Por Valoracion (3) Dimension'!D341</f>
        <v>0</v>
      </c>
      <c r="EB341" s="39" t="str">
        <f>'Por Valoracion (3) Dimension 2'!D341</f>
        <v>0</v>
      </c>
      <c r="EW341" s="46"/>
      <c r="EY341" t="str">
        <f>('Inteligencia emocional'!A342)</f>
        <v>0</v>
      </c>
      <c r="EZ341" s="39" t="str">
        <f>'Por Valoracion (3) Dimension'!D341</f>
        <v>0</v>
      </c>
      <c r="FA341" s="39" t="str">
        <f>'Por Valoracion (3) Dimension 2'!F341</f>
        <v>0</v>
      </c>
      <c r="FV341" s="46"/>
      <c r="FX341" t="str">
        <f>('Inteligencia emocional'!A342)</f>
        <v>0</v>
      </c>
      <c r="FY341" s="39" t="str">
        <f>'Por Valoracion (3) Dimension'!D341</f>
        <v>0</v>
      </c>
      <c r="FZ341" s="39" t="str">
        <f>'Por Valoracion (3) Dimension 2'!H341</f>
        <v>0</v>
      </c>
      <c r="GU341" s="46"/>
      <c r="GW341" s="47"/>
      <c r="GY341" t="str">
        <f>('Inteligencia emocional'!A342)</f>
        <v>0</v>
      </c>
      <c r="GZ341" s="39" t="str">
        <f>'Por Valoracion (3) Dimension'!F341</f>
        <v>0</v>
      </c>
      <c r="HA341" s="39" t="str">
        <f>'Por Valoracion (3) Dimension 2'!B341</f>
        <v>0</v>
      </c>
      <c r="HV341" s="47"/>
      <c r="HX341" t="str">
        <f>('Inteligencia emocional'!A342)</f>
        <v>0</v>
      </c>
      <c r="HY341" s="39" t="str">
        <f>'Por Valoracion (3) Dimension'!F341</f>
        <v>0</v>
      </c>
      <c r="HZ341" s="39" t="str">
        <f>'Por Valoracion (3) Dimension 2'!D341</f>
        <v>0</v>
      </c>
      <c r="IU341" s="47"/>
      <c r="IW341" t="str">
        <f>('Inteligencia emocional'!A342)</f>
        <v>0</v>
      </c>
      <c r="IX341" s="39" t="str">
        <f>'Por Valoracion (3) Dimension'!F341</f>
        <v>0</v>
      </c>
      <c r="IY341" s="39" t="str">
        <f>'Por Valoracion (3) Dimension 2'!F341</f>
        <v>0</v>
      </c>
      <c r="JT341" s="47"/>
      <c r="JV341" t="str">
        <f>('Inteligencia emocional'!A342)</f>
        <v>0</v>
      </c>
      <c r="JW341" s="39" t="str">
        <f>'Por Valoracion (3) Dimension'!F341</f>
        <v>0</v>
      </c>
      <c r="JX341" s="39" t="str">
        <f>'Por Valoracion (3) Dimension 2'!H341</f>
        <v>0</v>
      </c>
      <c r="KS341" s="47"/>
    </row>
    <row r="342" spans="1:305">
      <c r="A342" s="38"/>
      <c r="C342" t="str">
        <f>('Inteligencia emocional'!A343)</f>
        <v>0</v>
      </c>
      <c r="D342" s="39" t="str">
        <f>'Por Valoracion (3) Dimension'!B342</f>
        <v>0</v>
      </c>
      <c r="E342" s="39" t="str">
        <f>'Por Valoracion (3) Dimension 2'!B342</f>
        <v>0</v>
      </c>
      <c r="Z342" s="38"/>
      <c r="AB342" t="str">
        <f>('Inteligencia emocional'!A343)</f>
        <v>0</v>
      </c>
      <c r="AC342" s="39" t="str">
        <f>'Por Valoracion (3) Dimension'!B342</f>
        <v>0</v>
      </c>
      <c r="AD342" s="39" t="str">
        <f>'Por Valoracion (3) Dimension 2'!D342</f>
        <v>0</v>
      </c>
      <c r="AY342" s="38"/>
      <c r="BA342" t="str">
        <f>('Inteligencia emocional'!A343)</f>
        <v>0</v>
      </c>
      <c r="BB342" s="39" t="str">
        <f>'Por Valoracion (3) Dimension'!B342</f>
        <v>0</v>
      </c>
      <c r="BC342" s="39" t="str">
        <f>'Por Valoracion (3) Dimension 2'!F342</f>
        <v>0</v>
      </c>
      <c r="BX342" s="38"/>
      <c r="BZ342" t="str">
        <f>('Inteligencia emocional'!A343)</f>
        <v>0</v>
      </c>
      <c r="CA342" s="39" t="str">
        <f>'Por Valoracion (3) Dimension'!B342</f>
        <v>0</v>
      </c>
      <c r="CB342" s="39" t="str">
        <f>'Por Valoracion (3) Dimension 2'!H342</f>
        <v>0</v>
      </c>
      <c r="CW342" s="38"/>
      <c r="CY342" s="46"/>
      <c r="DA342" t="str">
        <f>('Inteligencia emocional'!A343)</f>
        <v>0</v>
      </c>
      <c r="DB342" s="39" t="str">
        <f>'Por Valoracion (3) Dimension'!D342</f>
        <v>0</v>
      </c>
      <c r="DC342" s="39" t="str">
        <f>'Por Valoracion (3) Dimension 2'!B342</f>
        <v>0</v>
      </c>
      <c r="DX342" s="46"/>
      <c r="DZ342" t="str">
        <f>('Inteligencia emocional'!A343)</f>
        <v>0</v>
      </c>
      <c r="EA342" s="39" t="str">
        <f>'Por Valoracion (3) Dimension'!D342</f>
        <v>0</v>
      </c>
      <c r="EB342" s="39" t="str">
        <f>'Por Valoracion (3) Dimension 2'!D342</f>
        <v>0</v>
      </c>
      <c r="EW342" s="46"/>
      <c r="EY342" t="str">
        <f>('Inteligencia emocional'!A343)</f>
        <v>0</v>
      </c>
      <c r="EZ342" s="39" t="str">
        <f>'Por Valoracion (3) Dimension'!D342</f>
        <v>0</v>
      </c>
      <c r="FA342" s="39" t="str">
        <f>'Por Valoracion (3) Dimension 2'!F342</f>
        <v>0</v>
      </c>
      <c r="FV342" s="46"/>
      <c r="FX342" t="str">
        <f>('Inteligencia emocional'!A343)</f>
        <v>0</v>
      </c>
      <c r="FY342" s="39" t="str">
        <f>'Por Valoracion (3) Dimension'!D342</f>
        <v>0</v>
      </c>
      <c r="FZ342" s="39" t="str">
        <f>'Por Valoracion (3) Dimension 2'!H342</f>
        <v>0</v>
      </c>
      <c r="GU342" s="46"/>
      <c r="GW342" s="47"/>
      <c r="GY342" t="str">
        <f>('Inteligencia emocional'!A343)</f>
        <v>0</v>
      </c>
      <c r="GZ342" s="39" t="str">
        <f>'Por Valoracion (3) Dimension'!F342</f>
        <v>0</v>
      </c>
      <c r="HA342" s="39" t="str">
        <f>'Por Valoracion (3) Dimension 2'!B342</f>
        <v>0</v>
      </c>
      <c r="HV342" s="47"/>
      <c r="HX342" t="str">
        <f>('Inteligencia emocional'!A343)</f>
        <v>0</v>
      </c>
      <c r="HY342" s="39" t="str">
        <f>'Por Valoracion (3) Dimension'!F342</f>
        <v>0</v>
      </c>
      <c r="HZ342" s="39" t="str">
        <f>'Por Valoracion (3) Dimension 2'!D342</f>
        <v>0</v>
      </c>
      <c r="IU342" s="47"/>
      <c r="IW342" t="str">
        <f>('Inteligencia emocional'!A343)</f>
        <v>0</v>
      </c>
      <c r="IX342" s="39" t="str">
        <f>'Por Valoracion (3) Dimension'!F342</f>
        <v>0</v>
      </c>
      <c r="IY342" s="39" t="str">
        <f>'Por Valoracion (3) Dimension 2'!F342</f>
        <v>0</v>
      </c>
      <c r="JT342" s="47"/>
      <c r="JV342" t="str">
        <f>('Inteligencia emocional'!A343)</f>
        <v>0</v>
      </c>
      <c r="JW342" s="39" t="str">
        <f>'Por Valoracion (3) Dimension'!F342</f>
        <v>0</v>
      </c>
      <c r="JX342" s="39" t="str">
        <f>'Por Valoracion (3) Dimension 2'!H342</f>
        <v>0</v>
      </c>
      <c r="KS342" s="47"/>
    </row>
    <row r="343" spans="1:305">
      <c r="A343" s="38"/>
      <c r="C343" t="str">
        <f>('Inteligencia emocional'!A344)</f>
        <v>0</v>
      </c>
      <c r="D343" s="39" t="str">
        <f>'Por Valoracion (3) Dimension'!B343</f>
        <v>0</v>
      </c>
      <c r="E343" s="39" t="str">
        <f>'Por Valoracion (3) Dimension 2'!B343</f>
        <v>0</v>
      </c>
      <c r="Z343" s="38"/>
      <c r="AB343" t="str">
        <f>('Inteligencia emocional'!A344)</f>
        <v>0</v>
      </c>
      <c r="AC343" s="39" t="str">
        <f>'Por Valoracion (3) Dimension'!B343</f>
        <v>0</v>
      </c>
      <c r="AD343" s="39" t="str">
        <f>'Por Valoracion (3) Dimension 2'!D343</f>
        <v>0</v>
      </c>
      <c r="AY343" s="38"/>
      <c r="BA343" t="str">
        <f>('Inteligencia emocional'!A344)</f>
        <v>0</v>
      </c>
      <c r="BB343" s="39" t="str">
        <f>'Por Valoracion (3) Dimension'!B343</f>
        <v>0</v>
      </c>
      <c r="BC343" s="39" t="str">
        <f>'Por Valoracion (3) Dimension 2'!F343</f>
        <v>0</v>
      </c>
      <c r="BX343" s="38"/>
      <c r="BZ343" t="str">
        <f>('Inteligencia emocional'!A344)</f>
        <v>0</v>
      </c>
      <c r="CA343" s="39" t="str">
        <f>'Por Valoracion (3) Dimension'!B343</f>
        <v>0</v>
      </c>
      <c r="CB343" s="39" t="str">
        <f>'Por Valoracion (3) Dimension 2'!H343</f>
        <v>0</v>
      </c>
      <c r="CW343" s="38"/>
      <c r="CY343" s="46"/>
      <c r="DA343" t="str">
        <f>('Inteligencia emocional'!A344)</f>
        <v>0</v>
      </c>
      <c r="DB343" s="39" t="str">
        <f>'Por Valoracion (3) Dimension'!D343</f>
        <v>0</v>
      </c>
      <c r="DC343" s="39" t="str">
        <f>'Por Valoracion (3) Dimension 2'!B343</f>
        <v>0</v>
      </c>
      <c r="DX343" s="46"/>
      <c r="DZ343" t="str">
        <f>('Inteligencia emocional'!A344)</f>
        <v>0</v>
      </c>
      <c r="EA343" s="39" t="str">
        <f>'Por Valoracion (3) Dimension'!D343</f>
        <v>0</v>
      </c>
      <c r="EB343" s="39" t="str">
        <f>'Por Valoracion (3) Dimension 2'!D343</f>
        <v>0</v>
      </c>
      <c r="EW343" s="46"/>
      <c r="EY343" t="str">
        <f>('Inteligencia emocional'!A344)</f>
        <v>0</v>
      </c>
      <c r="EZ343" s="39" t="str">
        <f>'Por Valoracion (3) Dimension'!D343</f>
        <v>0</v>
      </c>
      <c r="FA343" s="39" t="str">
        <f>'Por Valoracion (3) Dimension 2'!F343</f>
        <v>0</v>
      </c>
      <c r="FV343" s="46"/>
      <c r="FX343" t="str">
        <f>('Inteligencia emocional'!A344)</f>
        <v>0</v>
      </c>
      <c r="FY343" s="39" t="str">
        <f>'Por Valoracion (3) Dimension'!D343</f>
        <v>0</v>
      </c>
      <c r="FZ343" s="39" t="str">
        <f>'Por Valoracion (3) Dimension 2'!H343</f>
        <v>0</v>
      </c>
      <c r="GU343" s="46"/>
      <c r="GW343" s="47"/>
      <c r="GY343" t="str">
        <f>('Inteligencia emocional'!A344)</f>
        <v>0</v>
      </c>
      <c r="GZ343" s="39" t="str">
        <f>'Por Valoracion (3) Dimension'!F343</f>
        <v>0</v>
      </c>
      <c r="HA343" s="39" t="str">
        <f>'Por Valoracion (3) Dimension 2'!B343</f>
        <v>0</v>
      </c>
      <c r="HV343" s="47"/>
      <c r="HX343" t="str">
        <f>('Inteligencia emocional'!A344)</f>
        <v>0</v>
      </c>
      <c r="HY343" s="39" t="str">
        <f>'Por Valoracion (3) Dimension'!F343</f>
        <v>0</v>
      </c>
      <c r="HZ343" s="39" t="str">
        <f>'Por Valoracion (3) Dimension 2'!D343</f>
        <v>0</v>
      </c>
      <c r="IU343" s="47"/>
      <c r="IW343" t="str">
        <f>('Inteligencia emocional'!A344)</f>
        <v>0</v>
      </c>
      <c r="IX343" s="39" t="str">
        <f>'Por Valoracion (3) Dimension'!F343</f>
        <v>0</v>
      </c>
      <c r="IY343" s="39" t="str">
        <f>'Por Valoracion (3) Dimension 2'!F343</f>
        <v>0</v>
      </c>
      <c r="JT343" s="47"/>
      <c r="JV343" t="str">
        <f>('Inteligencia emocional'!A344)</f>
        <v>0</v>
      </c>
      <c r="JW343" s="39" t="str">
        <f>'Por Valoracion (3) Dimension'!F343</f>
        <v>0</v>
      </c>
      <c r="JX343" s="39" t="str">
        <f>'Por Valoracion (3) Dimension 2'!H343</f>
        <v>0</v>
      </c>
      <c r="KS343" s="47"/>
    </row>
    <row r="344" spans="1:305">
      <c r="A344" s="38"/>
      <c r="C344" t="str">
        <f>('Inteligencia emocional'!A345)</f>
        <v>0</v>
      </c>
      <c r="D344" s="39" t="str">
        <f>'Por Valoracion (3) Dimension'!B344</f>
        <v>0</v>
      </c>
      <c r="E344" s="39" t="str">
        <f>'Por Valoracion (3) Dimension 2'!B344</f>
        <v>0</v>
      </c>
      <c r="Z344" s="38"/>
      <c r="AB344" t="str">
        <f>('Inteligencia emocional'!A345)</f>
        <v>0</v>
      </c>
      <c r="AC344" s="39" t="str">
        <f>'Por Valoracion (3) Dimension'!B344</f>
        <v>0</v>
      </c>
      <c r="AD344" s="39" t="str">
        <f>'Por Valoracion (3) Dimension 2'!D344</f>
        <v>0</v>
      </c>
      <c r="AY344" s="38"/>
      <c r="BA344" t="str">
        <f>('Inteligencia emocional'!A345)</f>
        <v>0</v>
      </c>
      <c r="BB344" s="39" t="str">
        <f>'Por Valoracion (3) Dimension'!B344</f>
        <v>0</v>
      </c>
      <c r="BC344" s="39" t="str">
        <f>'Por Valoracion (3) Dimension 2'!F344</f>
        <v>0</v>
      </c>
      <c r="BX344" s="38"/>
      <c r="BZ344" t="str">
        <f>('Inteligencia emocional'!A345)</f>
        <v>0</v>
      </c>
      <c r="CA344" s="39" t="str">
        <f>'Por Valoracion (3) Dimension'!B344</f>
        <v>0</v>
      </c>
      <c r="CB344" s="39" t="str">
        <f>'Por Valoracion (3) Dimension 2'!H344</f>
        <v>0</v>
      </c>
      <c r="CW344" s="38"/>
      <c r="CY344" s="46"/>
      <c r="DA344" t="str">
        <f>('Inteligencia emocional'!A345)</f>
        <v>0</v>
      </c>
      <c r="DB344" s="39" t="str">
        <f>'Por Valoracion (3) Dimension'!D344</f>
        <v>0</v>
      </c>
      <c r="DC344" s="39" t="str">
        <f>'Por Valoracion (3) Dimension 2'!B344</f>
        <v>0</v>
      </c>
      <c r="DX344" s="46"/>
      <c r="DZ344" t="str">
        <f>('Inteligencia emocional'!A345)</f>
        <v>0</v>
      </c>
      <c r="EA344" s="39" t="str">
        <f>'Por Valoracion (3) Dimension'!D344</f>
        <v>0</v>
      </c>
      <c r="EB344" s="39" t="str">
        <f>'Por Valoracion (3) Dimension 2'!D344</f>
        <v>0</v>
      </c>
      <c r="EW344" s="46"/>
      <c r="EY344" t="str">
        <f>('Inteligencia emocional'!A345)</f>
        <v>0</v>
      </c>
      <c r="EZ344" s="39" t="str">
        <f>'Por Valoracion (3) Dimension'!D344</f>
        <v>0</v>
      </c>
      <c r="FA344" s="39" t="str">
        <f>'Por Valoracion (3) Dimension 2'!F344</f>
        <v>0</v>
      </c>
      <c r="FV344" s="46"/>
      <c r="FX344" t="str">
        <f>('Inteligencia emocional'!A345)</f>
        <v>0</v>
      </c>
      <c r="FY344" s="39" t="str">
        <f>'Por Valoracion (3) Dimension'!D344</f>
        <v>0</v>
      </c>
      <c r="FZ344" s="39" t="str">
        <f>'Por Valoracion (3) Dimension 2'!H344</f>
        <v>0</v>
      </c>
      <c r="GU344" s="46"/>
      <c r="GW344" s="47"/>
      <c r="GY344" t="str">
        <f>('Inteligencia emocional'!A345)</f>
        <v>0</v>
      </c>
      <c r="GZ344" s="39" t="str">
        <f>'Por Valoracion (3) Dimension'!F344</f>
        <v>0</v>
      </c>
      <c r="HA344" s="39" t="str">
        <f>'Por Valoracion (3) Dimension 2'!B344</f>
        <v>0</v>
      </c>
      <c r="HV344" s="47"/>
      <c r="HX344" t="str">
        <f>('Inteligencia emocional'!A345)</f>
        <v>0</v>
      </c>
      <c r="HY344" s="39" t="str">
        <f>'Por Valoracion (3) Dimension'!F344</f>
        <v>0</v>
      </c>
      <c r="HZ344" s="39" t="str">
        <f>'Por Valoracion (3) Dimension 2'!D344</f>
        <v>0</v>
      </c>
      <c r="IU344" s="47"/>
      <c r="IW344" t="str">
        <f>('Inteligencia emocional'!A345)</f>
        <v>0</v>
      </c>
      <c r="IX344" s="39" t="str">
        <f>'Por Valoracion (3) Dimension'!F344</f>
        <v>0</v>
      </c>
      <c r="IY344" s="39" t="str">
        <f>'Por Valoracion (3) Dimension 2'!F344</f>
        <v>0</v>
      </c>
      <c r="JT344" s="47"/>
      <c r="JV344" t="str">
        <f>('Inteligencia emocional'!A345)</f>
        <v>0</v>
      </c>
      <c r="JW344" s="39" t="str">
        <f>'Por Valoracion (3) Dimension'!F344</f>
        <v>0</v>
      </c>
      <c r="JX344" s="39" t="str">
        <f>'Por Valoracion (3) Dimension 2'!H344</f>
        <v>0</v>
      </c>
      <c r="KS344" s="47"/>
    </row>
    <row r="345" spans="1:305">
      <c r="A345" s="38"/>
      <c r="C345" t="str">
        <f>('Inteligencia emocional'!A346)</f>
        <v>0</v>
      </c>
      <c r="D345" s="39" t="str">
        <f>'Por Valoracion (3) Dimension'!B345</f>
        <v>0</v>
      </c>
      <c r="E345" s="39" t="str">
        <f>'Por Valoracion (3) Dimension 2'!B345</f>
        <v>0</v>
      </c>
      <c r="Z345" s="38"/>
      <c r="AB345" t="str">
        <f>('Inteligencia emocional'!A346)</f>
        <v>0</v>
      </c>
      <c r="AC345" s="39" t="str">
        <f>'Por Valoracion (3) Dimension'!B345</f>
        <v>0</v>
      </c>
      <c r="AD345" s="39" t="str">
        <f>'Por Valoracion (3) Dimension 2'!D345</f>
        <v>0</v>
      </c>
      <c r="AY345" s="38"/>
      <c r="BA345" t="str">
        <f>('Inteligencia emocional'!A346)</f>
        <v>0</v>
      </c>
      <c r="BB345" s="39" t="str">
        <f>'Por Valoracion (3) Dimension'!B345</f>
        <v>0</v>
      </c>
      <c r="BC345" s="39" t="str">
        <f>'Por Valoracion (3) Dimension 2'!F345</f>
        <v>0</v>
      </c>
      <c r="BX345" s="38"/>
      <c r="BZ345" t="str">
        <f>('Inteligencia emocional'!A346)</f>
        <v>0</v>
      </c>
      <c r="CA345" s="39" t="str">
        <f>'Por Valoracion (3) Dimension'!B345</f>
        <v>0</v>
      </c>
      <c r="CB345" s="39" t="str">
        <f>'Por Valoracion (3) Dimension 2'!H345</f>
        <v>0</v>
      </c>
      <c r="CW345" s="38"/>
      <c r="CY345" s="46"/>
      <c r="DA345" t="str">
        <f>('Inteligencia emocional'!A346)</f>
        <v>0</v>
      </c>
      <c r="DB345" s="39" t="str">
        <f>'Por Valoracion (3) Dimension'!D345</f>
        <v>0</v>
      </c>
      <c r="DC345" s="39" t="str">
        <f>'Por Valoracion (3) Dimension 2'!B345</f>
        <v>0</v>
      </c>
      <c r="DX345" s="46"/>
      <c r="DZ345" t="str">
        <f>('Inteligencia emocional'!A346)</f>
        <v>0</v>
      </c>
      <c r="EA345" s="39" t="str">
        <f>'Por Valoracion (3) Dimension'!D345</f>
        <v>0</v>
      </c>
      <c r="EB345" s="39" t="str">
        <f>'Por Valoracion (3) Dimension 2'!D345</f>
        <v>0</v>
      </c>
      <c r="EW345" s="46"/>
      <c r="EY345" t="str">
        <f>('Inteligencia emocional'!A346)</f>
        <v>0</v>
      </c>
      <c r="EZ345" s="39" t="str">
        <f>'Por Valoracion (3) Dimension'!D345</f>
        <v>0</v>
      </c>
      <c r="FA345" s="39" t="str">
        <f>'Por Valoracion (3) Dimension 2'!F345</f>
        <v>0</v>
      </c>
      <c r="FV345" s="46"/>
      <c r="FX345" t="str">
        <f>('Inteligencia emocional'!A346)</f>
        <v>0</v>
      </c>
      <c r="FY345" s="39" t="str">
        <f>'Por Valoracion (3) Dimension'!D345</f>
        <v>0</v>
      </c>
      <c r="FZ345" s="39" t="str">
        <f>'Por Valoracion (3) Dimension 2'!H345</f>
        <v>0</v>
      </c>
      <c r="GU345" s="46"/>
      <c r="GW345" s="47"/>
      <c r="GY345" t="str">
        <f>('Inteligencia emocional'!A346)</f>
        <v>0</v>
      </c>
      <c r="GZ345" s="39" t="str">
        <f>'Por Valoracion (3) Dimension'!F345</f>
        <v>0</v>
      </c>
      <c r="HA345" s="39" t="str">
        <f>'Por Valoracion (3) Dimension 2'!B345</f>
        <v>0</v>
      </c>
      <c r="HV345" s="47"/>
      <c r="HX345" t="str">
        <f>('Inteligencia emocional'!A346)</f>
        <v>0</v>
      </c>
      <c r="HY345" s="39" t="str">
        <f>'Por Valoracion (3) Dimension'!F345</f>
        <v>0</v>
      </c>
      <c r="HZ345" s="39" t="str">
        <f>'Por Valoracion (3) Dimension 2'!D345</f>
        <v>0</v>
      </c>
      <c r="IU345" s="47"/>
      <c r="IW345" t="str">
        <f>('Inteligencia emocional'!A346)</f>
        <v>0</v>
      </c>
      <c r="IX345" s="39" t="str">
        <f>'Por Valoracion (3) Dimension'!F345</f>
        <v>0</v>
      </c>
      <c r="IY345" s="39" t="str">
        <f>'Por Valoracion (3) Dimension 2'!F345</f>
        <v>0</v>
      </c>
      <c r="JT345" s="47"/>
      <c r="JV345" t="str">
        <f>('Inteligencia emocional'!A346)</f>
        <v>0</v>
      </c>
      <c r="JW345" s="39" t="str">
        <f>'Por Valoracion (3) Dimension'!F345</f>
        <v>0</v>
      </c>
      <c r="JX345" s="39" t="str">
        <f>'Por Valoracion (3) Dimension 2'!H345</f>
        <v>0</v>
      </c>
      <c r="KS345" s="47"/>
    </row>
    <row r="346" spans="1:305">
      <c r="A346" s="38"/>
      <c r="C346" t="str">
        <f>('Inteligencia emocional'!A347)</f>
        <v>0</v>
      </c>
      <c r="D346" s="39" t="str">
        <f>'Por Valoracion (3) Dimension'!B346</f>
        <v>0</v>
      </c>
      <c r="E346" s="39" t="str">
        <f>'Por Valoracion (3) Dimension 2'!B346</f>
        <v>0</v>
      </c>
      <c r="Z346" s="38"/>
      <c r="AB346" t="str">
        <f>('Inteligencia emocional'!A347)</f>
        <v>0</v>
      </c>
      <c r="AC346" s="39" t="str">
        <f>'Por Valoracion (3) Dimension'!B346</f>
        <v>0</v>
      </c>
      <c r="AD346" s="39" t="str">
        <f>'Por Valoracion (3) Dimension 2'!D346</f>
        <v>0</v>
      </c>
      <c r="AY346" s="38"/>
      <c r="BA346" t="str">
        <f>('Inteligencia emocional'!A347)</f>
        <v>0</v>
      </c>
      <c r="BB346" s="39" t="str">
        <f>'Por Valoracion (3) Dimension'!B346</f>
        <v>0</v>
      </c>
      <c r="BC346" s="39" t="str">
        <f>'Por Valoracion (3) Dimension 2'!F346</f>
        <v>0</v>
      </c>
      <c r="BX346" s="38"/>
      <c r="BZ346" t="str">
        <f>('Inteligencia emocional'!A347)</f>
        <v>0</v>
      </c>
      <c r="CA346" s="39" t="str">
        <f>'Por Valoracion (3) Dimension'!B346</f>
        <v>0</v>
      </c>
      <c r="CB346" s="39" t="str">
        <f>'Por Valoracion (3) Dimension 2'!H346</f>
        <v>0</v>
      </c>
      <c r="CW346" s="38"/>
      <c r="CY346" s="46"/>
      <c r="DA346" t="str">
        <f>('Inteligencia emocional'!A347)</f>
        <v>0</v>
      </c>
      <c r="DB346" s="39" t="str">
        <f>'Por Valoracion (3) Dimension'!D346</f>
        <v>0</v>
      </c>
      <c r="DC346" s="39" t="str">
        <f>'Por Valoracion (3) Dimension 2'!B346</f>
        <v>0</v>
      </c>
      <c r="DX346" s="46"/>
      <c r="DZ346" t="str">
        <f>('Inteligencia emocional'!A347)</f>
        <v>0</v>
      </c>
      <c r="EA346" s="39" t="str">
        <f>'Por Valoracion (3) Dimension'!D346</f>
        <v>0</v>
      </c>
      <c r="EB346" s="39" t="str">
        <f>'Por Valoracion (3) Dimension 2'!D346</f>
        <v>0</v>
      </c>
      <c r="EW346" s="46"/>
      <c r="EY346" t="str">
        <f>('Inteligencia emocional'!A347)</f>
        <v>0</v>
      </c>
      <c r="EZ346" s="39" t="str">
        <f>'Por Valoracion (3) Dimension'!D346</f>
        <v>0</v>
      </c>
      <c r="FA346" s="39" t="str">
        <f>'Por Valoracion (3) Dimension 2'!F346</f>
        <v>0</v>
      </c>
      <c r="FV346" s="46"/>
      <c r="FX346" t="str">
        <f>('Inteligencia emocional'!A347)</f>
        <v>0</v>
      </c>
      <c r="FY346" s="39" t="str">
        <f>'Por Valoracion (3) Dimension'!D346</f>
        <v>0</v>
      </c>
      <c r="FZ346" s="39" t="str">
        <f>'Por Valoracion (3) Dimension 2'!H346</f>
        <v>0</v>
      </c>
      <c r="GU346" s="46"/>
      <c r="GW346" s="47"/>
      <c r="GY346" t="str">
        <f>('Inteligencia emocional'!A347)</f>
        <v>0</v>
      </c>
      <c r="GZ346" s="39" t="str">
        <f>'Por Valoracion (3) Dimension'!F346</f>
        <v>0</v>
      </c>
      <c r="HA346" s="39" t="str">
        <f>'Por Valoracion (3) Dimension 2'!B346</f>
        <v>0</v>
      </c>
      <c r="HV346" s="47"/>
      <c r="HX346" t="str">
        <f>('Inteligencia emocional'!A347)</f>
        <v>0</v>
      </c>
      <c r="HY346" s="39" t="str">
        <f>'Por Valoracion (3) Dimension'!F346</f>
        <v>0</v>
      </c>
      <c r="HZ346" s="39" t="str">
        <f>'Por Valoracion (3) Dimension 2'!D346</f>
        <v>0</v>
      </c>
      <c r="IU346" s="47"/>
      <c r="IW346" t="str">
        <f>('Inteligencia emocional'!A347)</f>
        <v>0</v>
      </c>
      <c r="IX346" s="39" t="str">
        <f>'Por Valoracion (3) Dimension'!F346</f>
        <v>0</v>
      </c>
      <c r="IY346" s="39" t="str">
        <f>'Por Valoracion (3) Dimension 2'!F346</f>
        <v>0</v>
      </c>
      <c r="JT346" s="47"/>
      <c r="JV346" t="str">
        <f>('Inteligencia emocional'!A347)</f>
        <v>0</v>
      </c>
      <c r="JW346" s="39" t="str">
        <f>'Por Valoracion (3) Dimension'!F346</f>
        <v>0</v>
      </c>
      <c r="JX346" s="39" t="str">
        <f>'Por Valoracion (3) Dimension 2'!H346</f>
        <v>0</v>
      </c>
      <c r="KS346" s="47"/>
    </row>
    <row r="347" spans="1:305">
      <c r="A347" s="38"/>
      <c r="C347" t="str">
        <f>('Inteligencia emocional'!A348)</f>
        <v>0</v>
      </c>
      <c r="D347" s="39" t="str">
        <f>'Por Valoracion (3) Dimension'!B347</f>
        <v>0</v>
      </c>
      <c r="E347" s="39" t="str">
        <f>'Por Valoracion (3) Dimension 2'!B347</f>
        <v>0</v>
      </c>
      <c r="Z347" s="38"/>
      <c r="AB347" t="str">
        <f>('Inteligencia emocional'!A348)</f>
        <v>0</v>
      </c>
      <c r="AC347" s="39" t="str">
        <f>'Por Valoracion (3) Dimension'!B347</f>
        <v>0</v>
      </c>
      <c r="AD347" s="39" t="str">
        <f>'Por Valoracion (3) Dimension 2'!D347</f>
        <v>0</v>
      </c>
      <c r="AY347" s="38"/>
      <c r="BA347" t="str">
        <f>('Inteligencia emocional'!A348)</f>
        <v>0</v>
      </c>
      <c r="BB347" s="39" t="str">
        <f>'Por Valoracion (3) Dimension'!B347</f>
        <v>0</v>
      </c>
      <c r="BC347" s="39" t="str">
        <f>'Por Valoracion (3) Dimension 2'!F347</f>
        <v>0</v>
      </c>
      <c r="BX347" s="38"/>
      <c r="BZ347" t="str">
        <f>('Inteligencia emocional'!A348)</f>
        <v>0</v>
      </c>
      <c r="CA347" s="39" t="str">
        <f>'Por Valoracion (3) Dimension'!B347</f>
        <v>0</v>
      </c>
      <c r="CB347" s="39" t="str">
        <f>'Por Valoracion (3) Dimension 2'!H347</f>
        <v>0</v>
      </c>
      <c r="CW347" s="38"/>
      <c r="CY347" s="46"/>
      <c r="DA347" t="str">
        <f>('Inteligencia emocional'!A348)</f>
        <v>0</v>
      </c>
      <c r="DB347" s="39" t="str">
        <f>'Por Valoracion (3) Dimension'!D347</f>
        <v>0</v>
      </c>
      <c r="DC347" s="39" t="str">
        <f>'Por Valoracion (3) Dimension 2'!B347</f>
        <v>0</v>
      </c>
      <c r="DX347" s="46"/>
      <c r="DZ347" t="str">
        <f>('Inteligencia emocional'!A348)</f>
        <v>0</v>
      </c>
      <c r="EA347" s="39" t="str">
        <f>'Por Valoracion (3) Dimension'!D347</f>
        <v>0</v>
      </c>
      <c r="EB347" s="39" t="str">
        <f>'Por Valoracion (3) Dimension 2'!D347</f>
        <v>0</v>
      </c>
      <c r="EW347" s="46"/>
      <c r="EY347" t="str">
        <f>('Inteligencia emocional'!A348)</f>
        <v>0</v>
      </c>
      <c r="EZ347" s="39" t="str">
        <f>'Por Valoracion (3) Dimension'!D347</f>
        <v>0</v>
      </c>
      <c r="FA347" s="39" t="str">
        <f>'Por Valoracion (3) Dimension 2'!F347</f>
        <v>0</v>
      </c>
      <c r="FV347" s="46"/>
      <c r="FX347" t="str">
        <f>('Inteligencia emocional'!A348)</f>
        <v>0</v>
      </c>
      <c r="FY347" s="39" t="str">
        <f>'Por Valoracion (3) Dimension'!D347</f>
        <v>0</v>
      </c>
      <c r="FZ347" s="39" t="str">
        <f>'Por Valoracion (3) Dimension 2'!H347</f>
        <v>0</v>
      </c>
      <c r="GU347" s="46"/>
      <c r="GW347" s="47"/>
      <c r="GY347" t="str">
        <f>('Inteligencia emocional'!A348)</f>
        <v>0</v>
      </c>
      <c r="GZ347" s="39" t="str">
        <f>'Por Valoracion (3) Dimension'!F347</f>
        <v>0</v>
      </c>
      <c r="HA347" s="39" t="str">
        <f>'Por Valoracion (3) Dimension 2'!B347</f>
        <v>0</v>
      </c>
      <c r="HV347" s="47"/>
      <c r="HX347" t="str">
        <f>('Inteligencia emocional'!A348)</f>
        <v>0</v>
      </c>
      <c r="HY347" s="39" t="str">
        <f>'Por Valoracion (3) Dimension'!F347</f>
        <v>0</v>
      </c>
      <c r="HZ347" s="39" t="str">
        <f>'Por Valoracion (3) Dimension 2'!D347</f>
        <v>0</v>
      </c>
      <c r="IU347" s="47"/>
      <c r="IW347" t="str">
        <f>('Inteligencia emocional'!A348)</f>
        <v>0</v>
      </c>
      <c r="IX347" s="39" t="str">
        <f>'Por Valoracion (3) Dimension'!F347</f>
        <v>0</v>
      </c>
      <c r="IY347" s="39" t="str">
        <f>'Por Valoracion (3) Dimension 2'!F347</f>
        <v>0</v>
      </c>
      <c r="JT347" s="47"/>
      <c r="JV347" t="str">
        <f>('Inteligencia emocional'!A348)</f>
        <v>0</v>
      </c>
      <c r="JW347" s="39" t="str">
        <f>'Por Valoracion (3) Dimension'!F347</f>
        <v>0</v>
      </c>
      <c r="JX347" s="39" t="str">
        <f>'Por Valoracion (3) Dimension 2'!H347</f>
        <v>0</v>
      </c>
      <c r="KS347" s="47"/>
    </row>
    <row r="348" spans="1:305">
      <c r="A348" s="38"/>
      <c r="C348" t="str">
        <f>('Inteligencia emocional'!A349)</f>
        <v>0</v>
      </c>
      <c r="D348" s="39" t="str">
        <f>'Por Valoracion (3) Dimension'!B348</f>
        <v>0</v>
      </c>
      <c r="E348" s="39" t="str">
        <f>'Por Valoracion (3) Dimension 2'!B348</f>
        <v>0</v>
      </c>
      <c r="Z348" s="38"/>
      <c r="AB348" t="str">
        <f>('Inteligencia emocional'!A349)</f>
        <v>0</v>
      </c>
      <c r="AC348" s="39" t="str">
        <f>'Por Valoracion (3) Dimension'!B348</f>
        <v>0</v>
      </c>
      <c r="AD348" s="39" t="str">
        <f>'Por Valoracion (3) Dimension 2'!D348</f>
        <v>0</v>
      </c>
      <c r="AY348" s="38"/>
      <c r="BA348" t="str">
        <f>('Inteligencia emocional'!A349)</f>
        <v>0</v>
      </c>
      <c r="BB348" s="39" t="str">
        <f>'Por Valoracion (3) Dimension'!B348</f>
        <v>0</v>
      </c>
      <c r="BC348" s="39" t="str">
        <f>'Por Valoracion (3) Dimension 2'!F348</f>
        <v>0</v>
      </c>
      <c r="BX348" s="38"/>
      <c r="BZ348" t="str">
        <f>('Inteligencia emocional'!A349)</f>
        <v>0</v>
      </c>
      <c r="CA348" s="39" t="str">
        <f>'Por Valoracion (3) Dimension'!B348</f>
        <v>0</v>
      </c>
      <c r="CB348" s="39" t="str">
        <f>'Por Valoracion (3) Dimension 2'!H348</f>
        <v>0</v>
      </c>
      <c r="CW348" s="38"/>
      <c r="CY348" s="46"/>
      <c r="DA348" t="str">
        <f>('Inteligencia emocional'!A349)</f>
        <v>0</v>
      </c>
      <c r="DB348" s="39" t="str">
        <f>'Por Valoracion (3) Dimension'!D348</f>
        <v>0</v>
      </c>
      <c r="DC348" s="39" t="str">
        <f>'Por Valoracion (3) Dimension 2'!B348</f>
        <v>0</v>
      </c>
      <c r="DX348" s="46"/>
      <c r="DZ348" t="str">
        <f>('Inteligencia emocional'!A349)</f>
        <v>0</v>
      </c>
      <c r="EA348" s="39" t="str">
        <f>'Por Valoracion (3) Dimension'!D348</f>
        <v>0</v>
      </c>
      <c r="EB348" s="39" t="str">
        <f>'Por Valoracion (3) Dimension 2'!D348</f>
        <v>0</v>
      </c>
      <c r="EW348" s="46"/>
      <c r="EY348" t="str">
        <f>('Inteligencia emocional'!A349)</f>
        <v>0</v>
      </c>
      <c r="EZ348" s="39" t="str">
        <f>'Por Valoracion (3) Dimension'!D348</f>
        <v>0</v>
      </c>
      <c r="FA348" s="39" t="str">
        <f>'Por Valoracion (3) Dimension 2'!F348</f>
        <v>0</v>
      </c>
      <c r="FV348" s="46"/>
      <c r="FX348" t="str">
        <f>('Inteligencia emocional'!A349)</f>
        <v>0</v>
      </c>
      <c r="FY348" s="39" t="str">
        <f>'Por Valoracion (3) Dimension'!D348</f>
        <v>0</v>
      </c>
      <c r="FZ348" s="39" t="str">
        <f>'Por Valoracion (3) Dimension 2'!H348</f>
        <v>0</v>
      </c>
      <c r="GU348" s="46"/>
      <c r="GW348" s="47"/>
      <c r="GY348" t="str">
        <f>('Inteligencia emocional'!A349)</f>
        <v>0</v>
      </c>
      <c r="GZ348" s="39" t="str">
        <f>'Por Valoracion (3) Dimension'!F348</f>
        <v>0</v>
      </c>
      <c r="HA348" s="39" t="str">
        <f>'Por Valoracion (3) Dimension 2'!B348</f>
        <v>0</v>
      </c>
      <c r="HV348" s="47"/>
      <c r="HX348" t="str">
        <f>('Inteligencia emocional'!A349)</f>
        <v>0</v>
      </c>
      <c r="HY348" s="39" t="str">
        <f>'Por Valoracion (3) Dimension'!F348</f>
        <v>0</v>
      </c>
      <c r="HZ348" s="39" t="str">
        <f>'Por Valoracion (3) Dimension 2'!D348</f>
        <v>0</v>
      </c>
      <c r="IU348" s="47"/>
      <c r="IW348" t="str">
        <f>('Inteligencia emocional'!A349)</f>
        <v>0</v>
      </c>
      <c r="IX348" s="39" t="str">
        <f>'Por Valoracion (3) Dimension'!F348</f>
        <v>0</v>
      </c>
      <c r="IY348" s="39" t="str">
        <f>'Por Valoracion (3) Dimension 2'!F348</f>
        <v>0</v>
      </c>
      <c r="JT348" s="47"/>
      <c r="JV348" t="str">
        <f>('Inteligencia emocional'!A349)</f>
        <v>0</v>
      </c>
      <c r="JW348" s="39" t="str">
        <f>'Por Valoracion (3) Dimension'!F348</f>
        <v>0</v>
      </c>
      <c r="JX348" s="39" t="str">
        <f>'Por Valoracion (3) Dimension 2'!H348</f>
        <v>0</v>
      </c>
      <c r="KS348" s="47"/>
    </row>
    <row r="349" spans="1:305">
      <c r="A349" s="38"/>
      <c r="C349" t="str">
        <f>('Inteligencia emocional'!A350)</f>
        <v>0</v>
      </c>
      <c r="D349" s="39" t="str">
        <f>'Por Valoracion (3) Dimension'!B349</f>
        <v>0</v>
      </c>
      <c r="E349" s="39" t="str">
        <f>'Por Valoracion (3) Dimension 2'!B349</f>
        <v>0</v>
      </c>
      <c r="Z349" s="38"/>
      <c r="AB349" t="str">
        <f>('Inteligencia emocional'!A350)</f>
        <v>0</v>
      </c>
      <c r="AC349" s="39" t="str">
        <f>'Por Valoracion (3) Dimension'!B349</f>
        <v>0</v>
      </c>
      <c r="AD349" s="39" t="str">
        <f>'Por Valoracion (3) Dimension 2'!D349</f>
        <v>0</v>
      </c>
      <c r="AY349" s="38"/>
      <c r="BA349" t="str">
        <f>('Inteligencia emocional'!A350)</f>
        <v>0</v>
      </c>
      <c r="BB349" s="39" t="str">
        <f>'Por Valoracion (3) Dimension'!B349</f>
        <v>0</v>
      </c>
      <c r="BC349" s="39" t="str">
        <f>'Por Valoracion (3) Dimension 2'!F349</f>
        <v>0</v>
      </c>
      <c r="BX349" s="38"/>
      <c r="BZ349" t="str">
        <f>('Inteligencia emocional'!A350)</f>
        <v>0</v>
      </c>
      <c r="CA349" s="39" t="str">
        <f>'Por Valoracion (3) Dimension'!B349</f>
        <v>0</v>
      </c>
      <c r="CB349" s="39" t="str">
        <f>'Por Valoracion (3) Dimension 2'!H349</f>
        <v>0</v>
      </c>
      <c r="CW349" s="38"/>
      <c r="CY349" s="46"/>
      <c r="DA349" t="str">
        <f>('Inteligencia emocional'!A350)</f>
        <v>0</v>
      </c>
      <c r="DB349" s="39" t="str">
        <f>'Por Valoracion (3) Dimension'!D349</f>
        <v>0</v>
      </c>
      <c r="DC349" s="39" t="str">
        <f>'Por Valoracion (3) Dimension 2'!B349</f>
        <v>0</v>
      </c>
      <c r="DX349" s="46"/>
      <c r="DZ349" t="str">
        <f>('Inteligencia emocional'!A350)</f>
        <v>0</v>
      </c>
      <c r="EA349" s="39" t="str">
        <f>'Por Valoracion (3) Dimension'!D349</f>
        <v>0</v>
      </c>
      <c r="EB349" s="39" t="str">
        <f>'Por Valoracion (3) Dimension 2'!D349</f>
        <v>0</v>
      </c>
      <c r="EW349" s="46"/>
      <c r="EY349" t="str">
        <f>('Inteligencia emocional'!A350)</f>
        <v>0</v>
      </c>
      <c r="EZ349" s="39" t="str">
        <f>'Por Valoracion (3) Dimension'!D349</f>
        <v>0</v>
      </c>
      <c r="FA349" s="39" t="str">
        <f>'Por Valoracion (3) Dimension 2'!F349</f>
        <v>0</v>
      </c>
      <c r="FV349" s="46"/>
      <c r="FX349" t="str">
        <f>('Inteligencia emocional'!A350)</f>
        <v>0</v>
      </c>
      <c r="FY349" s="39" t="str">
        <f>'Por Valoracion (3) Dimension'!D349</f>
        <v>0</v>
      </c>
      <c r="FZ349" s="39" t="str">
        <f>'Por Valoracion (3) Dimension 2'!H349</f>
        <v>0</v>
      </c>
      <c r="GU349" s="46"/>
      <c r="GW349" s="47"/>
      <c r="GY349" t="str">
        <f>('Inteligencia emocional'!A350)</f>
        <v>0</v>
      </c>
      <c r="GZ349" s="39" t="str">
        <f>'Por Valoracion (3) Dimension'!F349</f>
        <v>0</v>
      </c>
      <c r="HA349" s="39" t="str">
        <f>'Por Valoracion (3) Dimension 2'!B349</f>
        <v>0</v>
      </c>
      <c r="HV349" s="47"/>
      <c r="HX349" t="str">
        <f>('Inteligencia emocional'!A350)</f>
        <v>0</v>
      </c>
      <c r="HY349" s="39" t="str">
        <f>'Por Valoracion (3) Dimension'!F349</f>
        <v>0</v>
      </c>
      <c r="HZ349" s="39" t="str">
        <f>'Por Valoracion (3) Dimension 2'!D349</f>
        <v>0</v>
      </c>
      <c r="IU349" s="47"/>
      <c r="IW349" t="str">
        <f>('Inteligencia emocional'!A350)</f>
        <v>0</v>
      </c>
      <c r="IX349" s="39" t="str">
        <f>'Por Valoracion (3) Dimension'!F349</f>
        <v>0</v>
      </c>
      <c r="IY349" s="39" t="str">
        <f>'Por Valoracion (3) Dimension 2'!F349</f>
        <v>0</v>
      </c>
      <c r="JT349" s="47"/>
      <c r="JV349" t="str">
        <f>('Inteligencia emocional'!A350)</f>
        <v>0</v>
      </c>
      <c r="JW349" s="39" t="str">
        <f>'Por Valoracion (3) Dimension'!F349</f>
        <v>0</v>
      </c>
      <c r="JX349" s="39" t="str">
        <f>'Por Valoracion (3) Dimension 2'!H349</f>
        <v>0</v>
      </c>
      <c r="KS349" s="47"/>
    </row>
    <row r="350" spans="1:305">
      <c r="A350" s="38"/>
      <c r="C350" t="str">
        <f>('Inteligencia emocional'!A351)</f>
        <v>0</v>
      </c>
      <c r="D350" s="39" t="str">
        <f>'Por Valoracion (3) Dimension'!B350</f>
        <v>0</v>
      </c>
      <c r="E350" s="39" t="str">
        <f>'Por Valoracion (3) Dimension 2'!B350</f>
        <v>0</v>
      </c>
      <c r="Z350" s="38"/>
      <c r="AB350" t="str">
        <f>('Inteligencia emocional'!A351)</f>
        <v>0</v>
      </c>
      <c r="AC350" s="39" t="str">
        <f>'Por Valoracion (3) Dimension'!B350</f>
        <v>0</v>
      </c>
      <c r="AD350" s="39" t="str">
        <f>'Por Valoracion (3) Dimension 2'!D350</f>
        <v>0</v>
      </c>
      <c r="AY350" s="38"/>
      <c r="BA350" t="str">
        <f>('Inteligencia emocional'!A351)</f>
        <v>0</v>
      </c>
      <c r="BB350" s="39" t="str">
        <f>'Por Valoracion (3) Dimension'!B350</f>
        <v>0</v>
      </c>
      <c r="BC350" s="39" t="str">
        <f>'Por Valoracion (3) Dimension 2'!F350</f>
        <v>0</v>
      </c>
      <c r="BX350" s="38"/>
      <c r="BZ350" t="str">
        <f>('Inteligencia emocional'!A351)</f>
        <v>0</v>
      </c>
      <c r="CA350" s="39" t="str">
        <f>'Por Valoracion (3) Dimension'!B350</f>
        <v>0</v>
      </c>
      <c r="CB350" s="39" t="str">
        <f>'Por Valoracion (3) Dimension 2'!H350</f>
        <v>0</v>
      </c>
      <c r="CW350" s="38"/>
      <c r="CY350" s="46"/>
      <c r="DA350" t="str">
        <f>('Inteligencia emocional'!A351)</f>
        <v>0</v>
      </c>
      <c r="DB350" s="39" t="str">
        <f>'Por Valoracion (3) Dimension'!D350</f>
        <v>0</v>
      </c>
      <c r="DC350" s="39" t="str">
        <f>'Por Valoracion (3) Dimension 2'!B350</f>
        <v>0</v>
      </c>
      <c r="DX350" s="46"/>
      <c r="DZ350" t="str">
        <f>('Inteligencia emocional'!A351)</f>
        <v>0</v>
      </c>
      <c r="EA350" s="39" t="str">
        <f>'Por Valoracion (3) Dimension'!D350</f>
        <v>0</v>
      </c>
      <c r="EB350" s="39" t="str">
        <f>'Por Valoracion (3) Dimension 2'!D350</f>
        <v>0</v>
      </c>
      <c r="EW350" s="46"/>
      <c r="EY350" t="str">
        <f>('Inteligencia emocional'!A351)</f>
        <v>0</v>
      </c>
      <c r="EZ350" s="39" t="str">
        <f>'Por Valoracion (3) Dimension'!D350</f>
        <v>0</v>
      </c>
      <c r="FA350" s="39" t="str">
        <f>'Por Valoracion (3) Dimension 2'!F350</f>
        <v>0</v>
      </c>
      <c r="FV350" s="46"/>
      <c r="FX350" t="str">
        <f>('Inteligencia emocional'!A351)</f>
        <v>0</v>
      </c>
      <c r="FY350" s="39" t="str">
        <f>'Por Valoracion (3) Dimension'!D350</f>
        <v>0</v>
      </c>
      <c r="FZ350" s="39" t="str">
        <f>'Por Valoracion (3) Dimension 2'!H350</f>
        <v>0</v>
      </c>
      <c r="GU350" s="46"/>
      <c r="GW350" s="47"/>
      <c r="GY350" t="str">
        <f>('Inteligencia emocional'!A351)</f>
        <v>0</v>
      </c>
      <c r="GZ350" s="39" t="str">
        <f>'Por Valoracion (3) Dimension'!F350</f>
        <v>0</v>
      </c>
      <c r="HA350" s="39" t="str">
        <f>'Por Valoracion (3) Dimension 2'!B350</f>
        <v>0</v>
      </c>
      <c r="HV350" s="47"/>
      <c r="HX350" t="str">
        <f>('Inteligencia emocional'!A351)</f>
        <v>0</v>
      </c>
      <c r="HY350" s="39" t="str">
        <f>'Por Valoracion (3) Dimension'!F350</f>
        <v>0</v>
      </c>
      <c r="HZ350" s="39" t="str">
        <f>'Por Valoracion (3) Dimension 2'!D350</f>
        <v>0</v>
      </c>
      <c r="IU350" s="47"/>
      <c r="IW350" t="str">
        <f>('Inteligencia emocional'!A351)</f>
        <v>0</v>
      </c>
      <c r="IX350" s="39" t="str">
        <f>'Por Valoracion (3) Dimension'!F350</f>
        <v>0</v>
      </c>
      <c r="IY350" s="39" t="str">
        <f>'Por Valoracion (3) Dimension 2'!F350</f>
        <v>0</v>
      </c>
      <c r="JT350" s="47"/>
      <c r="JV350" t="str">
        <f>('Inteligencia emocional'!A351)</f>
        <v>0</v>
      </c>
      <c r="JW350" s="39" t="str">
        <f>'Por Valoracion (3) Dimension'!F350</f>
        <v>0</v>
      </c>
      <c r="JX350" s="39" t="str">
        <f>'Por Valoracion (3) Dimension 2'!H350</f>
        <v>0</v>
      </c>
      <c r="KS350" s="47"/>
    </row>
    <row r="351" spans="1:305">
      <c r="A351" s="38"/>
      <c r="C351" t="str">
        <f>('Inteligencia emocional'!A352)</f>
        <v>0</v>
      </c>
      <c r="D351" s="39" t="str">
        <f>'Por Valoracion (3) Dimension'!B351</f>
        <v>0</v>
      </c>
      <c r="E351" s="39" t="str">
        <f>'Por Valoracion (3) Dimension 2'!B351</f>
        <v>0</v>
      </c>
      <c r="Z351" s="38"/>
      <c r="AB351" t="str">
        <f>('Inteligencia emocional'!A352)</f>
        <v>0</v>
      </c>
      <c r="AC351" s="39" t="str">
        <f>'Por Valoracion (3) Dimension'!B351</f>
        <v>0</v>
      </c>
      <c r="AD351" s="39" t="str">
        <f>'Por Valoracion (3) Dimension 2'!D351</f>
        <v>0</v>
      </c>
      <c r="AY351" s="38"/>
      <c r="BA351" t="str">
        <f>('Inteligencia emocional'!A352)</f>
        <v>0</v>
      </c>
      <c r="BB351" s="39" t="str">
        <f>'Por Valoracion (3) Dimension'!B351</f>
        <v>0</v>
      </c>
      <c r="BC351" s="39" t="str">
        <f>'Por Valoracion (3) Dimension 2'!F351</f>
        <v>0</v>
      </c>
      <c r="BX351" s="38"/>
      <c r="BZ351" t="str">
        <f>('Inteligencia emocional'!A352)</f>
        <v>0</v>
      </c>
      <c r="CA351" s="39" t="str">
        <f>'Por Valoracion (3) Dimension'!B351</f>
        <v>0</v>
      </c>
      <c r="CB351" s="39" t="str">
        <f>'Por Valoracion (3) Dimension 2'!H351</f>
        <v>0</v>
      </c>
      <c r="CW351" s="38"/>
      <c r="CY351" s="46"/>
      <c r="DA351" t="str">
        <f>('Inteligencia emocional'!A352)</f>
        <v>0</v>
      </c>
      <c r="DB351" s="39" t="str">
        <f>'Por Valoracion (3) Dimension'!D351</f>
        <v>0</v>
      </c>
      <c r="DC351" s="39" t="str">
        <f>'Por Valoracion (3) Dimension 2'!B351</f>
        <v>0</v>
      </c>
      <c r="DX351" s="46"/>
      <c r="DZ351" t="str">
        <f>('Inteligencia emocional'!A352)</f>
        <v>0</v>
      </c>
      <c r="EA351" s="39" t="str">
        <f>'Por Valoracion (3) Dimension'!D351</f>
        <v>0</v>
      </c>
      <c r="EB351" s="39" t="str">
        <f>'Por Valoracion (3) Dimension 2'!D351</f>
        <v>0</v>
      </c>
      <c r="EW351" s="46"/>
      <c r="EY351" t="str">
        <f>('Inteligencia emocional'!A352)</f>
        <v>0</v>
      </c>
      <c r="EZ351" s="39" t="str">
        <f>'Por Valoracion (3) Dimension'!D351</f>
        <v>0</v>
      </c>
      <c r="FA351" s="39" t="str">
        <f>'Por Valoracion (3) Dimension 2'!F351</f>
        <v>0</v>
      </c>
      <c r="FV351" s="46"/>
      <c r="FX351" t="str">
        <f>('Inteligencia emocional'!A352)</f>
        <v>0</v>
      </c>
      <c r="FY351" s="39" t="str">
        <f>'Por Valoracion (3) Dimension'!D351</f>
        <v>0</v>
      </c>
      <c r="FZ351" s="39" t="str">
        <f>'Por Valoracion (3) Dimension 2'!H351</f>
        <v>0</v>
      </c>
      <c r="GU351" s="46"/>
      <c r="GW351" s="47"/>
      <c r="GY351" t="str">
        <f>('Inteligencia emocional'!A352)</f>
        <v>0</v>
      </c>
      <c r="GZ351" s="39" t="str">
        <f>'Por Valoracion (3) Dimension'!F351</f>
        <v>0</v>
      </c>
      <c r="HA351" s="39" t="str">
        <f>'Por Valoracion (3) Dimension 2'!B351</f>
        <v>0</v>
      </c>
      <c r="HV351" s="47"/>
      <c r="HX351" t="str">
        <f>('Inteligencia emocional'!A352)</f>
        <v>0</v>
      </c>
      <c r="HY351" s="39" t="str">
        <f>'Por Valoracion (3) Dimension'!F351</f>
        <v>0</v>
      </c>
      <c r="HZ351" s="39" t="str">
        <f>'Por Valoracion (3) Dimension 2'!D351</f>
        <v>0</v>
      </c>
      <c r="IU351" s="47"/>
      <c r="IW351" t="str">
        <f>('Inteligencia emocional'!A352)</f>
        <v>0</v>
      </c>
      <c r="IX351" s="39" t="str">
        <f>'Por Valoracion (3) Dimension'!F351</f>
        <v>0</v>
      </c>
      <c r="IY351" s="39" t="str">
        <f>'Por Valoracion (3) Dimension 2'!F351</f>
        <v>0</v>
      </c>
      <c r="JT351" s="47"/>
      <c r="JV351" t="str">
        <f>('Inteligencia emocional'!A352)</f>
        <v>0</v>
      </c>
      <c r="JW351" s="39" t="str">
        <f>'Por Valoracion (3) Dimension'!F351</f>
        <v>0</v>
      </c>
      <c r="JX351" s="39" t="str">
        <f>'Por Valoracion (3) Dimension 2'!H351</f>
        <v>0</v>
      </c>
      <c r="KS351" s="47"/>
    </row>
    <row r="352" spans="1:305">
      <c r="A352" s="38"/>
      <c r="C352" t="str">
        <f>('Inteligencia emocional'!A353)</f>
        <v>0</v>
      </c>
      <c r="D352" s="39" t="str">
        <f>'Por Valoracion (3) Dimension'!B352</f>
        <v>0</v>
      </c>
      <c r="E352" s="39" t="str">
        <f>'Por Valoracion (3) Dimension 2'!B352</f>
        <v>0</v>
      </c>
      <c r="Z352" s="38"/>
      <c r="AB352" t="str">
        <f>('Inteligencia emocional'!A353)</f>
        <v>0</v>
      </c>
      <c r="AC352" s="39" t="str">
        <f>'Por Valoracion (3) Dimension'!B352</f>
        <v>0</v>
      </c>
      <c r="AD352" s="39" t="str">
        <f>'Por Valoracion (3) Dimension 2'!D352</f>
        <v>0</v>
      </c>
      <c r="AY352" s="38"/>
      <c r="BA352" t="str">
        <f>('Inteligencia emocional'!A353)</f>
        <v>0</v>
      </c>
      <c r="BB352" s="39" t="str">
        <f>'Por Valoracion (3) Dimension'!B352</f>
        <v>0</v>
      </c>
      <c r="BC352" s="39" t="str">
        <f>'Por Valoracion (3) Dimension 2'!F352</f>
        <v>0</v>
      </c>
      <c r="BX352" s="38"/>
      <c r="BZ352" t="str">
        <f>('Inteligencia emocional'!A353)</f>
        <v>0</v>
      </c>
      <c r="CA352" s="39" t="str">
        <f>'Por Valoracion (3) Dimension'!B352</f>
        <v>0</v>
      </c>
      <c r="CB352" s="39" t="str">
        <f>'Por Valoracion (3) Dimension 2'!H352</f>
        <v>0</v>
      </c>
      <c r="CW352" s="38"/>
      <c r="CY352" s="46"/>
      <c r="DA352" t="str">
        <f>('Inteligencia emocional'!A353)</f>
        <v>0</v>
      </c>
      <c r="DB352" s="39" t="str">
        <f>'Por Valoracion (3) Dimension'!D352</f>
        <v>0</v>
      </c>
      <c r="DC352" s="39" t="str">
        <f>'Por Valoracion (3) Dimension 2'!B352</f>
        <v>0</v>
      </c>
      <c r="DX352" s="46"/>
      <c r="DZ352" t="str">
        <f>('Inteligencia emocional'!A353)</f>
        <v>0</v>
      </c>
      <c r="EA352" s="39" t="str">
        <f>'Por Valoracion (3) Dimension'!D352</f>
        <v>0</v>
      </c>
      <c r="EB352" s="39" t="str">
        <f>'Por Valoracion (3) Dimension 2'!D352</f>
        <v>0</v>
      </c>
      <c r="EW352" s="46"/>
      <c r="EY352" t="str">
        <f>('Inteligencia emocional'!A353)</f>
        <v>0</v>
      </c>
      <c r="EZ352" s="39" t="str">
        <f>'Por Valoracion (3) Dimension'!D352</f>
        <v>0</v>
      </c>
      <c r="FA352" s="39" t="str">
        <f>'Por Valoracion (3) Dimension 2'!F352</f>
        <v>0</v>
      </c>
      <c r="FV352" s="46"/>
      <c r="FX352" t="str">
        <f>('Inteligencia emocional'!A353)</f>
        <v>0</v>
      </c>
      <c r="FY352" s="39" t="str">
        <f>'Por Valoracion (3) Dimension'!D352</f>
        <v>0</v>
      </c>
      <c r="FZ352" s="39" t="str">
        <f>'Por Valoracion (3) Dimension 2'!H352</f>
        <v>0</v>
      </c>
      <c r="GU352" s="46"/>
      <c r="GW352" s="47"/>
      <c r="GY352" t="str">
        <f>('Inteligencia emocional'!A353)</f>
        <v>0</v>
      </c>
      <c r="GZ352" s="39" t="str">
        <f>'Por Valoracion (3) Dimension'!F352</f>
        <v>0</v>
      </c>
      <c r="HA352" s="39" t="str">
        <f>'Por Valoracion (3) Dimension 2'!B352</f>
        <v>0</v>
      </c>
      <c r="HV352" s="47"/>
      <c r="HX352" t="str">
        <f>('Inteligencia emocional'!A353)</f>
        <v>0</v>
      </c>
      <c r="HY352" s="39" t="str">
        <f>'Por Valoracion (3) Dimension'!F352</f>
        <v>0</v>
      </c>
      <c r="HZ352" s="39" t="str">
        <f>'Por Valoracion (3) Dimension 2'!D352</f>
        <v>0</v>
      </c>
      <c r="IU352" s="47"/>
      <c r="IW352" t="str">
        <f>('Inteligencia emocional'!A353)</f>
        <v>0</v>
      </c>
      <c r="IX352" s="39" t="str">
        <f>'Por Valoracion (3) Dimension'!F352</f>
        <v>0</v>
      </c>
      <c r="IY352" s="39" t="str">
        <f>'Por Valoracion (3) Dimension 2'!F352</f>
        <v>0</v>
      </c>
      <c r="JT352" s="47"/>
      <c r="JV352" t="str">
        <f>('Inteligencia emocional'!A353)</f>
        <v>0</v>
      </c>
      <c r="JW352" s="39" t="str">
        <f>'Por Valoracion (3) Dimension'!F352</f>
        <v>0</v>
      </c>
      <c r="JX352" s="39" t="str">
        <f>'Por Valoracion (3) Dimension 2'!H352</f>
        <v>0</v>
      </c>
      <c r="KS352" s="47"/>
    </row>
    <row r="353" spans="1:305">
      <c r="A353" s="38"/>
      <c r="C353" t="str">
        <f>('Inteligencia emocional'!A354)</f>
        <v>0</v>
      </c>
      <c r="D353" s="39" t="str">
        <f>'Por Valoracion (3) Dimension'!B353</f>
        <v>0</v>
      </c>
      <c r="E353" s="39" t="str">
        <f>'Por Valoracion (3) Dimension 2'!B353</f>
        <v>0</v>
      </c>
      <c r="Z353" s="38"/>
      <c r="AB353" t="str">
        <f>('Inteligencia emocional'!A354)</f>
        <v>0</v>
      </c>
      <c r="AC353" s="39" t="str">
        <f>'Por Valoracion (3) Dimension'!B353</f>
        <v>0</v>
      </c>
      <c r="AD353" s="39" t="str">
        <f>'Por Valoracion (3) Dimension 2'!D353</f>
        <v>0</v>
      </c>
      <c r="AY353" s="38"/>
      <c r="BA353" t="str">
        <f>('Inteligencia emocional'!A354)</f>
        <v>0</v>
      </c>
      <c r="BB353" s="39" t="str">
        <f>'Por Valoracion (3) Dimension'!B353</f>
        <v>0</v>
      </c>
      <c r="BC353" s="39" t="str">
        <f>'Por Valoracion (3) Dimension 2'!F353</f>
        <v>0</v>
      </c>
      <c r="BX353" s="38"/>
      <c r="BZ353" t="str">
        <f>('Inteligencia emocional'!A354)</f>
        <v>0</v>
      </c>
      <c r="CA353" s="39" t="str">
        <f>'Por Valoracion (3) Dimension'!B353</f>
        <v>0</v>
      </c>
      <c r="CB353" s="39" t="str">
        <f>'Por Valoracion (3) Dimension 2'!H353</f>
        <v>0</v>
      </c>
      <c r="CW353" s="38"/>
      <c r="CY353" s="46"/>
      <c r="DA353" t="str">
        <f>('Inteligencia emocional'!A354)</f>
        <v>0</v>
      </c>
      <c r="DB353" s="39" t="str">
        <f>'Por Valoracion (3) Dimension'!D353</f>
        <v>0</v>
      </c>
      <c r="DC353" s="39" t="str">
        <f>'Por Valoracion (3) Dimension 2'!B353</f>
        <v>0</v>
      </c>
      <c r="DX353" s="46"/>
      <c r="DZ353" t="str">
        <f>('Inteligencia emocional'!A354)</f>
        <v>0</v>
      </c>
      <c r="EA353" s="39" t="str">
        <f>'Por Valoracion (3) Dimension'!D353</f>
        <v>0</v>
      </c>
      <c r="EB353" s="39" t="str">
        <f>'Por Valoracion (3) Dimension 2'!D353</f>
        <v>0</v>
      </c>
      <c r="EW353" s="46"/>
      <c r="EY353" t="str">
        <f>('Inteligencia emocional'!A354)</f>
        <v>0</v>
      </c>
      <c r="EZ353" s="39" t="str">
        <f>'Por Valoracion (3) Dimension'!D353</f>
        <v>0</v>
      </c>
      <c r="FA353" s="39" t="str">
        <f>'Por Valoracion (3) Dimension 2'!F353</f>
        <v>0</v>
      </c>
      <c r="FV353" s="46"/>
      <c r="FX353" t="str">
        <f>('Inteligencia emocional'!A354)</f>
        <v>0</v>
      </c>
      <c r="FY353" s="39" t="str">
        <f>'Por Valoracion (3) Dimension'!D353</f>
        <v>0</v>
      </c>
      <c r="FZ353" s="39" t="str">
        <f>'Por Valoracion (3) Dimension 2'!H353</f>
        <v>0</v>
      </c>
      <c r="GU353" s="46"/>
      <c r="GW353" s="47"/>
      <c r="GY353" t="str">
        <f>('Inteligencia emocional'!A354)</f>
        <v>0</v>
      </c>
      <c r="GZ353" s="39" t="str">
        <f>'Por Valoracion (3) Dimension'!F353</f>
        <v>0</v>
      </c>
      <c r="HA353" s="39" t="str">
        <f>'Por Valoracion (3) Dimension 2'!B353</f>
        <v>0</v>
      </c>
      <c r="HV353" s="47"/>
      <c r="HX353" t="str">
        <f>('Inteligencia emocional'!A354)</f>
        <v>0</v>
      </c>
      <c r="HY353" s="39" t="str">
        <f>'Por Valoracion (3) Dimension'!F353</f>
        <v>0</v>
      </c>
      <c r="HZ353" s="39" t="str">
        <f>'Por Valoracion (3) Dimension 2'!D353</f>
        <v>0</v>
      </c>
      <c r="IU353" s="47"/>
      <c r="IW353" t="str">
        <f>('Inteligencia emocional'!A354)</f>
        <v>0</v>
      </c>
      <c r="IX353" s="39" t="str">
        <f>'Por Valoracion (3) Dimension'!F353</f>
        <v>0</v>
      </c>
      <c r="IY353" s="39" t="str">
        <f>'Por Valoracion (3) Dimension 2'!F353</f>
        <v>0</v>
      </c>
      <c r="JT353" s="47"/>
      <c r="JV353" t="str">
        <f>('Inteligencia emocional'!A354)</f>
        <v>0</v>
      </c>
      <c r="JW353" s="39" t="str">
        <f>'Por Valoracion (3) Dimension'!F353</f>
        <v>0</v>
      </c>
      <c r="JX353" s="39" t="str">
        <f>'Por Valoracion (3) Dimension 2'!H353</f>
        <v>0</v>
      </c>
      <c r="KS353" s="47"/>
    </row>
    <row r="354" spans="1:305">
      <c r="A354" s="38"/>
      <c r="C354" t="str">
        <f>('Inteligencia emocional'!A355)</f>
        <v>0</v>
      </c>
      <c r="D354" s="39" t="str">
        <f>'Por Valoracion (3) Dimension'!B354</f>
        <v>0</v>
      </c>
      <c r="E354" s="39" t="str">
        <f>'Por Valoracion (3) Dimension 2'!B354</f>
        <v>0</v>
      </c>
      <c r="Z354" s="38"/>
      <c r="AB354" t="str">
        <f>('Inteligencia emocional'!A355)</f>
        <v>0</v>
      </c>
      <c r="AC354" s="39" t="str">
        <f>'Por Valoracion (3) Dimension'!B354</f>
        <v>0</v>
      </c>
      <c r="AD354" s="39" t="str">
        <f>'Por Valoracion (3) Dimension 2'!D354</f>
        <v>0</v>
      </c>
      <c r="AY354" s="38"/>
      <c r="BA354" t="str">
        <f>('Inteligencia emocional'!A355)</f>
        <v>0</v>
      </c>
      <c r="BB354" s="39" t="str">
        <f>'Por Valoracion (3) Dimension'!B354</f>
        <v>0</v>
      </c>
      <c r="BC354" s="39" t="str">
        <f>'Por Valoracion (3) Dimension 2'!F354</f>
        <v>0</v>
      </c>
      <c r="BX354" s="38"/>
      <c r="BZ354" t="str">
        <f>('Inteligencia emocional'!A355)</f>
        <v>0</v>
      </c>
      <c r="CA354" s="39" t="str">
        <f>'Por Valoracion (3) Dimension'!B354</f>
        <v>0</v>
      </c>
      <c r="CB354" s="39" t="str">
        <f>'Por Valoracion (3) Dimension 2'!H354</f>
        <v>0</v>
      </c>
      <c r="CW354" s="38"/>
      <c r="CY354" s="46"/>
      <c r="DA354" t="str">
        <f>('Inteligencia emocional'!A355)</f>
        <v>0</v>
      </c>
      <c r="DB354" s="39" t="str">
        <f>'Por Valoracion (3) Dimension'!D354</f>
        <v>0</v>
      </c>
      <c r="DC354" s="39" t="str">
        <f>'Por Valoracion (3) Dimension 2'!B354</f>
        <v>0</v>
      </c>
      <c r="DX354" s="46"/>
      <c r="DZ354" t="str">
        <f>('Inteligencia emocional'!A355)</f>
        <v>0</v>
      </c>
      <c r="EA354" s="39" t="str">
        <f>'Por Valoracion (3) Dimension'!D354</f>
        <v>0</v>
      </c>
      <c r="EB354" s="39" t="str">
        <f>'Por Valoracion (3) Dimension 2'!D354</f>
        <v>0</v>
      </c>
      <c r="EW354" s="46"/>
      <c r="EY354" t="str">
        <f>('Inteligencia emocional'!A355)</f>
        <v>0</v>
      </c>
      <c r="EZ354" s="39" t="str">
        <f>'Por Valoracion (3) Dimension'!D354</f>
        <v>0</v>
      </c>
      <c r="FA354" s="39" t="str">
        <f>'Por Valoracion (3) Dimension 2'!F354</f>
        <v>0</v>
      </c>
      <c r="FV354" s="46"/>
      <c r="FX354" t="str">
        <f>('Inteligencia emocional'!A355)</f>
        <v>0</v>
      </c>
      <c r="FY354" s="39" t="str">
        <f>'Por Valoracion (3) Dimension'!D354</f>
        <v>0</v>
      </c>
      <c r="FZ354" s="39" t="str">
        <f>'Por Valoracion (3) Dimension 2'!H354</f>
        <v>0</v>
      </c>
      <c r="GU354" s="46"/>
      <c r="GW354" s="47"/>
      <c r="GY354" t="str">
        <f>('Inteligencia emocional'!A355)</f>
        <v>0</v>
      </c>
      <c r="GZ354" s="39" t="str">
        <f>'Por Valoracion (3) Dimension'!F354</f>
        <v>0</v>
      </c>
      <c r="HA354" s="39" t="str">
        <f>'Por Valoracion (3) Dimension 2'!B354</f>
        <v>0</v>
      </c>
      <c r="HV354" s="47"/>
      <c r="HX354" t="str">
        <f>('Inteligencia emocional'!A355)</f>
        <v>0</v>
      </c>
      <c r="HY354" s="39" t="str">
        <f>'Por Valoracion (3) Dimension'!F354</f>
        <v>0</v>
      </c>
      <c r="HZ354" s="39" t="str">
        <f>'Por Valoracion (3) Dimension 2'!D354</f>
        <v>0</v>
      </c>
      <c r="IU354" s="47"/>
      <c r="IW354" t="str">
        <f>('Inteligencia emocional'!A355)</f>
        <v>0</v>
      </c>
      <c r="IX354" s="39" t="str">
        <f>'Por Valoracion (3) Dimension'!F354</f>
        <v>0</v>
      </c>
      <c r="IY354" s="39" t="str">
        <f>'Por Valoracion (3) Dimension 2'!F354</f>
        <v>0</v>
      </c>
      <c r="JT354" s="47"/>
      <c r="JV354" t="str">
        <f>('Inteligencia emocional'!A355)</f>
        <v>0</v>
      </c>
      <c r="JW354" s="39" t="str">
        <f>'Por Valoracion (3) Dimension'!F354</f>
        <v>0</v>
      </c>
      <c r="JX354" s="39" t="str">
        <f>'Por Valoracion (3) Dimension 2'!H354</f>
        <v>0</v>
      </c>
      <c r="KS354" s="47"/>
    </row>
    <row r="355" spans="1:305">
      <c r="A355" s="38"/>
      <c r="C355" t="str">
        <f>('Inteligencia emocional'!A356)</f>
        <v>0</v>
      </c>
      <c r="D355" s="39" t="str">
        <f>'Por Valoracion (3) Dimension'!B355</f>
        <v>0</v>
      </c>
      <c r="E355" s="39" t="str">
        <f>'Por Valoracion (3) Dimension 2'!B355</f>
        <v>0</v>
      </c>
      <c r="Z355" s="38"/>
      <c r="AB355" t="str">
        <f>('Inteligencia emocional'!A356)</f>
        <v>0</v>
      </c>
      <c r="AC355" s="39" t="str">
        <f>'Por Valoracion (3) Dimension'!B355</f>
        <v>0</v>
      </c>
      <c r="AD355" s="39" t="str">
        <f>'Por Valoracion (3) Dimension 2'!D355</f>
        <v>0</v>
      </c>
      <c r="AY355" s="38"/>
      <c r="BA355" t="str">
        <f>('Inteligencia emocional'!A356)</f>
        <v>0</v>
      </c>
      <c r="BB355" s="39" t="str">
        <f>'Por Valoracion (3) Dimension'!B355</f>
        <v>0</v>
      </c>
      <c r="BC355" s="39" t="str">
        <f>'Por Valoracion (3) Dimension 2'!F355</f>
        <v>0</v>
      </c>
      <c r="BX355" s="38"/>
      <c r="BZ355" t="str">
        <f>('Inteligencia emocional'!A356)</f>
        <v>0</v>
      </c>
      <c r="CA355" s="39" t="str">
        <f>'Por Valoracion (3) Dimension'!B355</f>
        <v>0</v>
      </c>
      <c r="CB355" s="39" t="str">
        <f>'Por Valoracion (3) Dimension 2'!H355</f>
        <v>0</v>
      </c>
      <c r="CW355" s="38"/>
      <c r="CY355" s="46"/>
      <c r="DA355" t="str">
        <f>('Inteligencia emocional'!A356)</f>
        <v>0</v>
      </c>
      <c r="DB355" s="39" t="str">
        <f>'Por Valoracion (3) Dimension'!D355</f>
        <v>0</v>
      </c>
      <c r="DC355" s="39" t="str">
        <f>'Por Valoracion (3) Dimension 2'!B355</f>
        <v>0</v>
      </c>
      <c r="DX355" s="46"/>
      <c r="DZ355" t="str">
        <f>('Inteligencia emocional'!A356)</f>
        <v>0</v>
      </c>
      <c r="EA355" s="39" t="str">
        <f>'Por Valoracion (3) Dimension'!D355</f>
        <v>0</v>
      </c>
      <c r="EB355" s="39" t="str">
        <f>'Por Valoracion (3) Dimension 2'!D355</f>
        <v>0</v>
      </c>
      <c r="EW355" s="46"/>
      <c r="EY355" t="str">
        <f>('Inteligencia emocional'!A356)</f>
        <v>0</v>
      </c>
      <c r="EZ355" s="39" t="str">
        <f>'Por Valoracion (3) Dimension'!D355</f>
        <v>0</v>
      </c>
      <c r="FA355" s="39" t="str">
        <f>'Por Valoracion (3) Dimension 2'!F355</f>
        <v>0</v>
      </c>
      <c r="FV355" s="46"/>
      <c r="FX355" t="str">
        <f>('Inteligencia emocional'!A356)</f>
        <v>0</v>
      </c>
      <c r="FY355" s="39" t="str">
        <f>'Por Valoracion (3) Dimension'!D355</f>
        <v>0</v>
      </c>
      <c r="FZ355" s="39" t="str">
        <f>'Por Valoracion (3) Dimension 2'!H355</f>
        <v>0</v>
      </c>
      <c r="GU355" s="46"/>
      <c r="GW355" s="47"/>
      <c r="GY355" t="str">
        <f>('Inteligencia emocional'!A356)</f>
        <v>0</v>
      </c>
      <c r="GZ355" s="39" t="str">
        <f>'Por Valoracion (3) Dimension'!F355</f>
        <v>0</v>
      </c>
      <c r="HA355" s="39" t="str">
        <f>'Por Valoracion (3) Dimension 2'!B355</f>
        <v>0</v>
      </c>
      <c r="HV355" s="47"/>
      <c r="HX355" t="str">
        <f>('Inteligencia emocional'!A356)</f>
        <v>0</v>
      </c>
      <c r="HY355" s="39" t="str">
        <f>'Por Valoracion (3) Dimension'!F355</f>
        <v>0</v>
      </c>
      <c r="HZ355" s="39" t="str">
        <f>'Por Valoracion (3) Dimension 2'!D355</f>
        <v>0</v>
      </c>
      <c r="IU355" s="47"/>
      <c r="IW355" t="str">
        <f>('Inteligencia emocional'!A356)</f>
        <v>0</v>
      </c>
      <c r="IX355" s="39" t="str">
        <f>'Por Valoracion (3) Dimension'!F355</f>
        <v>0</v>
      </c>
      <c r="IY355" s="39" t="str">
        <f>'Por Valoracion (3) Dimension 2'!F355</f>
        <v>0</v>
      </c>
      <c r="JT355" s="47"/>
      <c r="JV355" t="str">
        <f>('Inteligencia emocional'!A356)</f>
        <v>0</v>
      </c>
      <c r="JW355" s="39" t="str">
        <f>'Por Valoracion (3) Dimension'!F355</f>
        <v>0</v>
      </c>
      <c r="JX355" s="39" t="str">
        <f>'Por Valoracion (3) Dimension 2'!H355</f>
        <v>0</v>
      </c>
      <c r="KS355" s="47"/>
    </row>
    <row r="356" spans="1:305">
      <c r="A356" s="38"/>
      <c r="C356" t="str">
        <f>('Inteligencia emocional'!A357)</f>
        <v>0</v>
      </c>
      <c r="D356" s="39" t="str">
        <f>'Por Valoracion (3) Dimension'!B356</f>
        <v>0</v>
      </c>
      <c r="E356" s="39" t="str">
        <f>'Por Valoracion (3) Dimension 2'!B356</f>
        <v>0</v>
      </c>
      <c r="Z356" s="38"/>
      <c r="AB356" t="str">
        <f>('Inteligencia emocional'!A357)</f>
        <v>0</v>
      </c>
      <c r="AC356" s="39" t="str">
        <f>'Por Valoracion (3) Dimension'!B356</f>
        <v>0</v>
      </c>
      <c r="AD356" s="39" t="str">
        <f>'Por Valoracion (3) Dimension 2'!D356</f>
        <v>0</v>
      </c>
      <c r="AY356" s="38"/>
      <c r="BA356" t="str">
        <f>('Inteligencia emocional'!A357)</f>
        <v>0</v>
      </c>
      <c r="BB356" s="39" t="str">
        <f>'Por Valoracion (3) Dimension'!B356</f>
        <v>0</v>
      </c>
      <c r="BC356" s="39" t="str">
        <f>'Por Valoracion (3) Dimension 2'!F356</f>
        <v>0</v>
      </c>
      <c r="BX356" s="38"/>
      <c r="BZ356" t="str">
        <f>('Inteligencia emocional'!A357)</f>
        <v>0</v>
      </c>
      <c r="CA356" s="39" t="str">
        <f>'Por Valoracion (3) Dimension'!B356</f>
        <v>0</v>
      </c>
      <c r="CB356" s="39" t="str">
        <f>'Por Valoracion (3) Dimension 2'!H356</f>
        <v>0</v>
      </c>
      <c r="CW356" s="38"/>
      <c r="CY356" s="46"/>
      <c r="DA356" t="str">
        <f>('Inteligencia emocional'!A357)</f>
        <v>0</v>
      </c>
      <c r="DB356" s="39" t="str">
        <f>'Por Valoracion (3) Dimension'!D356</f>
        <v>0</v>
      </c>
      <c r="DC356" s="39" t="str">
        <f>'Por Valoracion (3) Dimension 2'!B356</f>
        <v>0</v>
      </c>
      <c r="DX356" s="46"/>
      <c r="DZ356" t="str">
        <f>('Inteligencia emocional'!A357)</f>
        <v>0</v>
      </c>
      <c r="EA356" s="39" t="str">
        <f>'Por Valoracion (3) Dimension'!D356</f>
        <v>0</v>
      </c>
      <c r="EB356" s="39" t="str">
        <f>'Por Valoracion (3) Dimension 2'!D356</f>
        <v>0</v>
      </c>
      <c r="EW356" s="46"/>
      <c r="EY356" t="str">
        <f>('Inteligencia emocional'!A357)</f>
        <v>0</v>
      </c>
      <c r="EZ356" s="39" t="str">
        <f>'Por Valoracion (3) Dimension'!D356</f>
        <v>0</v>
      </c>
      <c r="FA356" s="39" t="str">
        <f>'Por Valoracion (3) Dimension 2'!F356</f>
        <v>0</v>
      </c>
      <c r="FV356" s="46"/>
      <c r="FX356" t="str">
        <f>('Inteligencia emocional'!A357)</f>
        <v>0</v>
      </c>
      <c r="FY356" s="39" t="str">
        <f>'Por Valoracion (3) Dimension'!D356</f>
        <v>0</v>
      </c>
      <c r="FZ356" s="39" t="str">
        <f>'Por Valoracion (3) Dimension 2'!H356</f>
        <v>0</v>
      </c>
      <c r="GU356" s="46"/>
      <c r="GW356" s="47"/>
      <c r="GY356" t="str">
        <f>('Inteligencia emocional'!A357)</f>
        <v>0</v>
      </c>
      <c r="GZ356" s="39" t="str">
        <f>'Por Valoracion (3) Dimension'!F356</f>
        <v>0</v>
      </c>
      <c r="HA356" s="39" t="str">
        <f>'Por Valoracion (3) Dimension 2'!B356</f>
        <v>0</v>
      </c>
      <c r="HV356" s="47"/>
      <c r="HX356" t="str">
        <f>('Inteligencia emocional'!A357)</f>
        <v>0</v>
      </c>
      <c r="HY356" s="39" t="str">
        <f>'Por Valoracion (3) Dimension'!F356</f>
        <v>0</v>
      </c>
      <c r="HZ356" s="39" t="str">
        <f>'Por Valoracion (3) Dimension 2'!D356</f>
        <v>0</v>
      </c>
      <c r="IU356" s="47"/>
      <c r="IW356" t="str">
        <f>('Inteligencia emocional'!A357)</f>
        <v>0</v>
      </c>
      <c r="IX356" s="39" t="str">
        <f>'Por Valoracion (3) Dimension'!F356</f>
        <v>0</v>
      </c>
      <c r="IY356" s="39" t="str">
        <f>'Por Valoracion (3) Dimension 2'!F356</f>
        <v>0</v>
      </c>
      <c r="JT356" s="47"/>
      <c r="JV356" t="str">
        <f>('Inteligencia emocional'!A357)</f>
        <v>0</v>
      </c>
      <c r="JW356" s="39" t="str">
        <f>'Por Valoracion (3) Dimension'!F356</f>
        <v>0</v>
      </c>
      <c r="JX356" s="39" t="str">
        <f>'Por Valoracion (3) Dimension 2'!H356</f>
        <v>0</v>
      </c>
      <c r="KS356" s="47"/>
    </row>
    <row r="357" spans="1:305">
      <c r="A357" s="38"/>
      <c r="C357" t="str">
        <f>('Inteligencia emocional'!A358)</f>
        <v>0</v>
      </c>
      <c r="D357" s="39" t="str">
        <f>'Por Valoracion (3) Dimension'!B357</f>
        <v>0</v>
      </c>
      <c r="E357" s="39" t="str">
        <f>'Por Valoracion (3) Dimension 2'!B357</f>
        <v>0</v>
      </c>
      <c r="Z357" s="38"/>
      <c r="AB357" t="str">
        <f>('Inteligencia emocional'!A358)</f>
        <v>0</v>
      </c>
      <c r="AC357" s="39" t="str">
        <f>'Por Valoracion (3) Dimension'!B357</f>
        <v>0</v>
      </c>
      <c r="AD357" s="39" t="str">
        <f>'Por Valoracion (3) Dimension 2'!D357</f>
        <v>0</v>
      </c>
      <c r="AY357" s="38"/>
      <c r="BA357" t="str">
        <f>('Inteligencia emocional'!A358)</f>
        <v>0</v>
      </c>
      <c r="BB357" s="39" t="str">
        <f>'Por Valoracion (3) Dimension'!B357</f>
        <v>0</v>
      </c>
      <c r="BC357" s="39" t="str">
        <f>'Por Valoracion (3) Dimension 2'!F357</f>
        <v>0</v>
      </c>
      <c r="BX357" s="38"/>
      <c r="BZ357" t="str">
        <f>('Inteligencia emocional'!A358)</f>
        <v>0</v>
      </c>
      <c r="CA357" s="39" t="str">
        <f>'Por Valoracion (3) Dimension'!B357</f>
        <v>0</v>
      </c>
      <c r="CB357" s="39" t="str">
        <f>'Por Valoracion (3) Dimension 2'!H357</f>
        <v>0</v>
      </c>
      <c r="CW357" s="38"/>
      <c r="CY357" s="46"/>
      <c r="DA357" t="str">
        <f>('Inteligencia emocional'!A358)</f>
        <v>0</v>
      </c>
      <c r="DB357" s="39" t="str">
        <f>'Por Valoracion (3) Dimension'!D357</f>
        <v>0</v>
      </c>
      <c r="DC357" s="39" t="str">
        <f>'Por Valoracion (3) Dimension 2'!B357</f>
        <v>0</v>
      </c>
      <c r="DX357" s="46"/>
      <c r="DZ357" t="str">
        <f>('Inteligencia emocional'!A358)</f>
        <v>0</v>
      </c>
      <c r="EA357" s="39" t="str">
        <f>'Por Valoracion (3) Dimension'!D357</f>
        <v>0</v>
      </c>
      <c r="EB357" s="39" t="str">
        <f>'Por Valoracion (3) Dimension 2'!D357</f>
        <v>0</v>
      </c>
      <c r="EW357" s="46"/>
      <c r="EY357" t="str">
        <f>('Inteligencia emocional'!A358)</f>
        <v>0</v>
      </c>
      <c r="EZ357" s="39" t="str">
        <f>'Por Valoracion (3) Dimension'!D357</f>
        <v>0</v>
      </c>
      <c r="FA357" s="39" t="str">
        <f>'Por Valoracion (3) Dimension 2'!F357</f>
        <v>0</v>
      </c>
      <c r="FV357" s="46"/>
      <c r="FX357" t="str">
        <f>('Inteligencia emocional'!A358)</f>
        <v>0</v>
      </c>
      <c r="FY357" s="39" t="str">
        <f>'Por Valoracion (3) Dimension'!D357</f>
        <v>0</v>
      </c>
      <c r="FZ357" s="39" t="str">
        <f>'Por Valoracion (3) Dimension 2'!H357</f>
        <v>0</v>
      </c>
      <c r="GU357" s="46"/>
      <c r="GW357" s="47"/>
      <c r="GY357" t="str">
        <f>('Inteligencia emocional'!A358)</f>
        <v>0</v>
      </c>
      <c r="GZ357" s="39" t="str">
        <f>'Por Valoracion (3) Dimension'!F357</f>
        <v>0</v>
      </c>
      <c r="HA357" s="39" t="str">
        <f>'Por Valoracion (3) Dimension 2'!B357</f>
        <v>0</v>
      </c>
      <c r="HV357" s="47"/>
      <c r="HX357" t="str">
        <f>('Inteligencia emocional'!A358)</f>
        <v>0</v>
      </c>
      <c r="HY357" s="39" t="str">
        <f>'Por Valoracion (3) Dimension'!F357</f>
        <v>0</v>
      </c>
      <c r="HZ357" s="39" t="str">
        <f>'Por Valoracion (3) Dimension 2'!D357</f>
        <v>0</v>
      </c>
      <c r="IU357" s="47"/>
      <c r="IW357" t="str">
        <f>('Inteligencia emocional'!A358)</f>
        <v>0</v>
      </c>
      <c r="IX357" s="39" t="str">
        <f>'Por Valoracion (3) Dimension'!F357</f>
        <v>0</v>
      </c>
      <c r="IY357" s="39" t="str">
        <f>'Por Valoracion (3) Dimension 2'!F357</f>
        <v>0</v>
      </c>
      <c r="JT357" s="47"/>
      <c r="JV357" t="str">
        <f>('Inteligencia emocional'!A358)</f>
        <v>0</v>
      </c>
      <c r="JW357" s="39" t="str">
        <f>'Por Valoracion (3) Dimension'!F357</f>
        <v>0</v>
      </c>
      <c r="JX357" s="39" t="str">
        <f>'Por Valoracion (3) Dimension 2'!H357</f>
        <v>0</v>
      </c>
      <c r="KS357" s="47"/>
    </row>
    <row r="358" spans="1:305">
      <c r="A358" s="38"/>
      <c r="C358" t="str">
        <f>('Inteligencia emocional'!A359)</f>
        <v>0</v>
      </c>
      <c r="D358" s="39" t="str">
        <f>'Por Valoracion (3) Dimension'!B358</f>
        <v>0</v>
      </c>
      <c r="E358" s="39" t="str">
        <f>'Por Valoracion (3) Dimension 2'!B358</f>
        <v>0</v>
      </c>
      <c r="Z358" s="38"/>
      <c r="AB358" t="str">
        <f>('Inteligencia emocional'!A359)</f>
        <v>0</v>
      </c>
      <c r="AC358" s="39" t="str">
        <f>'Por Valoracion (3) Dimension'!B358</f>
        <v>0</v>
      </c>
      <c r="AD358" s="39" t="str">
        <f>'Por Valoracion (3) Dimension 2'!D358</f>
        <v>0</v>
      </c>
      <c r="AY358" s="38"/>
      <c r="BA358" t="str">
        <f>('Inteligencia emocional'!A359)</f>
        <v>0</v>
      </c>
      <c r="BB358" s="39" t="str">
        <f>'Por Valoracion (3) Dimension'!B358</f>
        <v>0</v>
      </c>
      <c r="BC358" s="39" t="str">
        <f>'Por Valoracion (3) Dimension 2'!F358</f>
        <v>0</v>
      </c>
      <c r="BX358" s="38"/>
      <c r="BZ358" t="str">
        <f>('Inteligencia emocional'!A359)</f>
        <v>0</v>
      </c>
      <c r="CA358" s="39" t="str">
        <f>'Por Valoracion (3) Dimension'!B358</f>
        <v>0</v>
      </c>
      <c r="CB358" s="39" t="str">
        <f>'Por Valoracion (3) Dimension 2'!H358</f>
        <v>0</v>
      </c>
      <c r="CW358" s="38"/>
      <c r="CY358" s="46"/>
      <c r="DA358" t="str">
        <f>('Inteligencia emocional'!A359)</f>
        <v>0</v>
      </c>
      <c r="DB358" s="39" t="str">
        <f>'Por Valoracion (3) Dimension'!D358</f>
        <v>0</v>
      </c>
      <c r="DC358" s="39" t="str">
        <f>'Por Valoracion (3) Dimension 2'!B358</f>
        <v>0</v>
      </c>
      <c r="DX358" s="46"/>
      <c r="DZ358" t="str">
        <f>('Inteligencia emocional'!A359)</f>
        <v>0</v>
      </c>
      <c r="EA358" s="39" t="str">
        <f>'Por Valoracion (3) Dimension'!D358</f>
        <v>0</v>
      </c>
      <c r="EB358" s="39" t="str">
        <f>'Por Valoracion (3) Dimension 2'!D358</f>
        <v>0</v>
      </c>
      <c r="EW358" s="46"/>
      <c r="EY358" t="str">
        <f>('Inteligencia emocional'!A359)</f>
        <v>0</v>
      </c>
      <c r="EZ358" s="39" t="str">
        <f>'Por Valoracion (3) Dimension'!D358</f>
        <v>0</v>
      </c>
      <c r="FA358" s="39" t="str">
        <f>'Por Valoracion (3) Dimension 2'!F358</f>
        <v>0</v>
      </c>
      <c r="FV358" s="46"/>
      <c r="FX358" t="str">
        <f>('Inteligencia emocional'!A359)</f>
        <v>0</v>
      </c>
      <c r="FY358" s="39" t="str">
        <f>'Por Valoracion (3) Dimension'!D358</f>
        <v>0</v>
      </c>
      <c r="FZ358" s="39" t="str">
        <f>'Por Valoracion (3) Dimension 2'!H358</f>
        <v>0</v>
      </c>
      <c r="GU358" s="46"/>
      <c r="GW358" s="47"/>
      <c r="GY358" t="str">
        <f>('Inteligencia emocional'!A359)</f>
        <v>0</v>
      </c>
      <c r="GZ358" s="39" t="str">
        <f>'Por Valoracion (3) Dimension'!F358</f>
        <v>0</v>
      </c>
      <c r="HA358" s="39" t="str">
        <f>'Por Valoracion (3) Dimension 2'!B358</f>
        <v>0</v>
      </c>
      <c r="HV358" s="47"/>
      <c r="HX358" t="str">
        <f>('Inteligencia emocional'!A359)</f>
        <v>0</v>
      </c>
      <c r="HY358" s="39" t="str">
        <f>'Por Valoracion (3) Dimension'!F358</f>
        <v>0</v>
      </c>
      <c r="HZ358" s="39" t="str">
        <f>'Por Valoracion (3) Dimension 2'!D358</f>
        <v>0</v>
      </c>
      <c r="IU358" s="47"/>
      <c r="IW358" t="str">
        <f>('Inteligencia emocional'!A359)</f>
        <v>0</v>
      </c>
      <c r="IX358" s="39" t="str">
        <f>'Por Valoracion (3) Dimension'!F358</f>
        <v>0</v>
      </c>
      <c r="IY358" s="39" t="str">
        <f>'Por Valoracion (3) Dimension 2'!F358</f>
        <v>0</v>
      </c>
      <c r="JT358" s="47"/>
      <c r="JV358" t="str">
        <f>('Inteligencia emocional'!A359)</f>
        <v>0</v>
      </c>
      <c r="JW358" s="39" t="str">
        <f>'Por Valoracion (3) Dimension'!F358</f>
        <v>0</v>
      </c>
      <c r="JX358" s="39" t="str">
        <f>'Por Valoracion (3) Dimension 2'!H358</f>
        <v>0</v>
      </c>
      <c r="KS358" s="47"/>
    </row>
    <row r="359" spans="1:305">
      <c r="A359" s="38"/>
      <c r="Z359" s="38"/>
      <c r="AY359" s="38"/>
      <c r="BX359" s="38"/>
      <c r="CW359" s="38"/>
      <c r="CY359" s="46"/>
      <c r="DX359" s="46"/>
      <c r="EW359" s="46"/>
      <c r="FV359" s="46"/>
      <c r="GU359" s="46"/>
      <c r="GW359" s="47"/>
      <c r="HV359" s="47"/>
      <c r="IU359" s="47"/>
      <c r="JT359" s="47"/>
      <c r="KS359" s="47"/>
    </row>
    <row r="360" spans="1:30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c r="BM360" s="38"/>
      <c r="BN360" s="38"/>
      <c r="BO360" s="38"/>
      <c r="BP360" s="38"/>
      <c r="BQ360" s="38"/>
      <c r="BR360" s="38"/>
      <c r="BS360" s="38"/>
      <c r="BT360" s="38"/>
      <c r="BU360" s="38"/>
      <c r="BV360" s="38"/>
      <c r="BW360" s="38"/>
      <c r="BX360" s="38"/>
      <c r="BY360" s="38"/>
      <c r="BZ360" s="38"/>
      <c r="CA360" s="38"/>
      <c r="CB360" s="38"/>
      <c r="CC360" s="38"/>
      <c r="CD360" s="38"/>
      <c r="CE360" s="38"/>
      <c r="CF360" s="38"/>
      <c r="CG360" s="38"/>
      <c r="CH360" s="38"/>
      <c r="CI360" s="38"/>
      <c r="CJ360" s="38"/>
      <c r="CK360" s="38"/>
      <c r="CL360" s="38"/>
      <c r="CM360" s="38"/>
      <c r="CN360" s="38"/>
      <c r="CO360" s="38"/>
      <c r="CP360" s="38"/>
      <c r="CQ360" s="38"/>
      <c r="CR360" s="38"/>
      <c r="CS360" s="38"/>
      <c r="CT360" s="38"/>
      <c r="CU360" s="38"/>
      <c r="CV360" s="38"/>
      <c r="CW360" s="38"/>
      <c r="CY360" s="46"/>
      <c r="CZ360" s="46"/>
      <c r="DA360" s="46"/>
      <c r="DB360" s="46"/>
      <c r="DC360" s="46"/>
      <c r="DD360" s="46"/>
      <c r="DE360" s="46"/>
      <c r="DF360" s="46"/>
      <c r="DG360" s="46"/>
      <c r="DH360" s="46"/>
      <c r="DI360" s="46"/>
      <c r="DJ360" s="46"/>
      <c r="DK360" s="46"/>
      <c r="DL360" s="46"/>
      <c r="DM360" s="46"/>
      <c r="DN360" s="46"/>
      <c r="DO360" s="46"/>
      <c r="DP360" s="46"/>
      <c r="DQ360" s="46"/>
      <c r="DR360" s="46"/>
      <c r="DS360" s="46"/>
      <c r="DT360" s="46"/>
      <c r="DU360" s="46"/>
      <c r="DV360" s="46"/>
      <c r="DW360" s="46"/>
      <c r="DX360" s="46"/>
      <c r="DY360" s="46"/>
      <c r="DZ360" s="46"/>
      <c r="EA360" s="46"/>
      <c r="EB360" s="46"/>
      <c r="EC360" s="46"/>
      <c r="ED360" s="46"/>
      <c r="EE360" s="46"/>
      <c r="EF360" s="46"/>
      <c r="EG360" s="46"/>
      <c r="EH360" s="46"/>
      <c r="EI360" s="46"/>
      <c r="EJ360" s="46"/>
      <c r="EK360" s="46"/>
      <c r="EL360" s="46"/>
      <c r="EM360" s="46"/>
      <c r="EN360" s="46"/>
      <c r="EO360" s="46"/>
      <c r="EP360" s="46"/>
      <c r="EQ360" s="46"/>
      <c r="ER360" s="46"/>
      <c r="ES360" s="46"/>
      <c r="ET360" s="46"/>
      <c r="EU360" s="46"/>
      <c r="EV360" s="46"/>
      <c r="EW360" s="46"/>
      <c r="EX360" s="46"/>
      <c r="EY360" s="46"/>
      <c r="EZ360" s="46"/>
      <c r="FA360" s="46"/>
      <c r="FB360" s="46"/>
      <c r="FC360" s="46"/>
      <c r="FD360" s="46"/>
      <c r="FE360" s="46"/>
      <c r="FF360" s="46"/>
      <c r="FG360" s="46"/>
      <c r="FH360" s="46"/>
      <c r="FI360" s="46"/>
      <c r="FJ360" s="46"/>
      <c r="FK360" s="46"/>
      <c r="FL360" s="46"/>
      <c r="FM360" s="46"/>
      <c r="FN360" s="46"/>
      <c r="FO360" s="46"/>
      <c r="FP360" s="46"/>
      <c r="FQ360" s="46"/>
      <c r="FR360" s="46"/>
      <c r="FS360" s="46"/>
      <c r="FT360" s="46"/>
      <c r="FU360" s="46"/>
      <c r="FV360" s="46"/>
      <c r="FW360" s="46"/>
      <c r="FX360" s="46"/>
      <c r="FY360" s="46"/>
      <c r="FZ360" s="46"/>
      <c r="GA360" s="46"/>
      <c r="GB360" s="46"/>
      <c r="GC360" s="46"/>
      <c r="GD360" s="46"/>
      <c r="GE360" s="46"/>
      <c r="GF360" s="46"/>
      <c r="GG360" s="46"/>
      <c r="GH360" s="46"/>
      <c r="GI360" s="46"/>
      <c r="GJ360" s="46"/>
      <c r="GK360" s="46"/>
      <c r="GL360" s="46"/>
      <c r="GM360" s="46"/>
      <c r="GN360" s="46"/>
      <c r="GO360" s="46"/>
      <c r="GP360" s="46"/>
      <c r="GQ360" s="46"/>
      <c r="GR360" s="46"/>
      <c r="GS360" s="46"/>
      <c r="GT360" s="46"/>
      <c r="GU360" s="46"/>
      <c r="GW360" s="47"/>
      <c r="GX360" s="47"/>
      <c r="GY360" s="47"/>
      <c r="GZ360" s="47"/>
      <c r="HA360" s="47"/>
      <c r="HB360" s="47"/>
      <c r="HC360" s="47"/>
      <c r="HD360" s="47"/>
      <c r="HE360" s="47"/>
      <c r="HF360" s="47"/>
      <c r="HG360" s="47"/>
      <c r="HH360" s="47"/>
      <c r="HI360" s="47"/>
      <c r="HJ360" s="47"/>
      <c r="HK360" s="47"/>
      <c r="HL360" s="47"/>
      <c r="HM360" s="47"/>
      <c r="HN360" s="47"/>
      <c r="HO360" s="47"/>
      <c r="HP360" s="47"/>
      <c r="HQ360" s="47"/>
      <c r="HR360" s="47"/>
      <c r="HS360" s="47"/>
      <c r="HT360" s="47"/>
      <c r="HU360" s="47"/>
      <c r="HV360" s="47"/>
      <c r="HW360" s="47"/>
      <c r="HX360" s="47"/>
      <c r="HY360" s="47"/>
      <c r="HZ360" s="47"/>
      <c r="IA360" s="47"/>
      <c r="IB360" s="47"/>
      <c r="IC360" s="47"/>
      <c r="ID360" s="47"/>
      <c r="IE360" s="47"/>
      <c r="IF360" s="47"/>
      <c r="IG360" s="47"/>
      <c r="IH360" s="47"/>
      <c r="II360" s="47"/>
      <c r="IJ360" s="47"/>
      <c r="IK360" s="47"/>
      <c r="IL360" s="47"/>
      <c r="IM360" s="47"/>
      <c r="IN360" s="47"/>
      <c r="IO360" s="47"/>
      <c r="IP360" s="47"/>
      <c r="IQ360" s="47"/>
      <c r="IR360" s="47"/>
      <c r="IS360" s="47"/>
      <c r="IT360" s="47"/>
      <c r="IU360" s="47"/>
      <c r="IV360" s="47"/>
      <c r="IW360" s="47"/>
      <c r="IX360" s="47"/>
      <c r="IY360" s="47"/>
      <c r="IZ360" s="47"/>
      <c r="JA360" s="47"/>
      <c r="JB360" s="47"/>
      <c r="JC360" s="47"/>
      <c r="JD360" s="47"/>
      <c r="JE360" s="47"/>
      <c r="JF360" s="47"/>
      <c r="JG360" s="47"/>
      <c r="JH360" s="47"/>
      <c r="JI360" s="47"/>
      <c r="JJ360" s="47"/>
      <c r="JK360" s="47"/>
      <c r="JL360" s="47"/>
      <c r="JM360" s="47"/>
      <c r="JN360" s="47"/>
      <c r="JO360" s="47"/>
      <c r="JP360" s="47"/>
      <c r="JQ360" s="47"/>
      <c r="JR360" s="47"/>
      <c r="JS360" s="47"/>
      <c r="JT360" s="47"/>
      <c r="JU360" s="47"/>
      <c r="JV360" s="47"/>
      <c r="JW360" s="47"/>
      <c r="JX360" s="47"/>
      <c r="JY360" s="47"/>
      <c r="JZ360" s="47"/>
      <c r="KA360" s="47"/>
      <c r="KB360" s="47"/>
      <c r="KC360" s="47"/>
      <c r="KD360" s="47"/>
      <c r="KE360" s="47"/>
      <c r="KF360" s="47"/>
      <c r="KG360" s="47"/>
      <c r="KH360" s="47"/>
      <c r="KI360" s="47"/>
      <c r="KJ360" s="47"/>
      <c r="KK360" s="47"/>
      <c r="KL360" s="47"/>
      <c r="KM360" s="47"/>
      <c r="KN360" s="47"/>
      <c r="KO360" s="47"/>
      <c r="KP360" s="47"/>
      <c r="KQ360" s="47"/>
      <c r="KR360" s="47"/>
      <c r="KS360" s="47"/>
    </row>
    <row r="363" spans="1:305">
      <c r="D363" t="s">
        <v>652</v>
      </c>
      <c r="E363" t="s">
        <v>652</v>
      </c>
      <c r="F363" t="s">
        <v>653</v>
      </c>
      <c r="G363" t="s">
        <v>654</v>
      </c>
      <c r="H363" t="s">
        <v>655</v>
      </c>
      <c r="I363" t="s">
        <v>656</v>
      </c>
      <c r="M363" t="s">
        <v>657</v>
      </c>
      <c r="N363" t="s">
        <v>658</v>
      </c>
      <c r="O363" t="s">
        <v>659</v>
      </c>
      <c r="R363" t="s">
        <v>657</v>
      </c>
      <c r="S363" t="s">
        <v>658</v>
      </c>
      <c r="T363" t="s">
        <v>660</v>
      </c>
      <c r="AC363" t="s">
        <v>652</v>
      </c>
      <c r="AD363" t="s">
        <v>652</v>
      </c>
      <c r="AE363" t="s">
        <v>653</v>
      </c>
      <c r="AF363" t="s">
        <v>654</v>
      </c>
      <c r="AG363" t="s">
        <v>655</v>
      </c>
      <c r="AH363" t="s">
        <v>656</v>
      </c>
      <c r="AL363" t="s">
        <v>657</v>
      </c>
      <c r="AM363" t="s">
        <v>658</v>
      </c>
      <c r="AN363" t="s">
        <v>659</v>
      </c>
      <c r="AQ363" t="s">
        <v>657</v>
      </c>
      <c r="AR363" t="s">
        <v>658</v>
      </c>
      <c r="AS363" t="s">
        <v>660</v>
      </c>
      <c r="BB363" t="s">
        <v>652</v>
      </c>
      <c r="BC363" t="s">
        <v>652</v>
      </c>
      <c r="BD363" t="s">
        <v>653</v>
      </c>
      <c r="BE363" t="s">
        <v>654</v>
      </c>
      <c r="BF363" t="s">
        <v>655</v>
      </c>
      <c r="BG363" t="s">
        <v>656</v>
      </c>
      <c r="BK363" t="s">
        <v>657</v>
      </c>
      <c r="BL363" t="s">
        <v>658</v>
      </c>
      <c r="BM363" t="s">
        <v>659</v>
      </c>
      <c r="BP363" t="s">
        <v>657</v>
      </c>
      <c r="BQ363" t="s">
        <v>658</v>
      </c>
      <c r="BR363" t="s">
        <v>660</v>
      </c>
      <c r="CA363" t="s">
        <v>652</v>
      </c>
      <c r="CB363" t="s">
        <v>652</v>
      </c>
      <c r="CC363" t="s">
        <v>653</v>
      </c>
      <c r="CD363" t="s">
        <v>654</v>
      </c>
      <c r="CE363" t="s">
        <v>655</v>
      </c>
      <c r="CF363" t="s">
        <v>656</v>
      </c>
      <c r="CJ363" t="s">
        <v>657</v>
      </c>
      <c r="CK363" t="s">
        <v>658</v>
      </c>
      <c r="CL363" t="s">
        <v>659</v>
      </c>
      <c r="CO363" t="s">
        <v>657</v>
      </c>
      <c r="CP363" t="s">
        <v>658</v>
      </c>
      <c r="CQ363" t="s">
        <v>660</v>
      </c>
      <c r="DB363" t="s">
        <v>652</v>
      </c>
      <c r="DC363" t="s">
        <v>652</v>
      </c>
      <c r="DD363" t="s">
        <v>653</v>
      </c>
      <c r="DE363" t="s">
        <v>654</v>
      </c>
      <c r="DF363" t="s">
        <v>655</v>
      </c>
      <c r="DG363" t="s">
        <v>656</v>
      </c>
      <c r="DK363" t="s">
        <v>657</v>
      </c>
      <c r="DL363" t="s">
        <v>658</v>
      </c>
      <c r="DM363" t="s">
        <v>659</v>
      </c>
      <c r="DP363" t="s">
        <v>657</v>
      </c>
      <c r="DQ363" t="s">
        <v>658</v>
      </c>
      <c r="DR363" t="s">
        <v>660</v>
      </c>
      <c r="EA363" t="s">
        <v>652</v>
      </c>
      <c r="EB363" t="s">
        <v>652</v>
      </c>
      <c r="EC363" t="s">
        <v>653</v>
      </c>
      <c r="ED363" t="s">
        <v>654</v>
      </c>
      <c r="EE363" t="s">
        <v>655</v>
      </c>
      <c r="EF363" t="s">
        <v>656</v>
      </c>
      <c r="EJ363" t="s">
        <v>657</v>
      </c>
      <c r="EK363" t="s">
        <v>658</v>
      </c>
      <c r="EL363" t="s">
        <v>659</v>
      </c>
      <c r="EO363" t="s">
        <v>657</v>
      </c>
      <c r="EP363" t="s">
        <v>658</v>
      </c>
      <c r="EQ363" t="s">
        <v>660</v>
      </c>
      <c r="EZ363" t="s">
        <v>652</v>
      </c>
      <c r="FA363" t="s">
        <v>652</v>
      </c>
      <c r="FB363" t="s">
        <v>653</v>
      </c>
      <c r="FC363" t="s">
        <v>654</v>
      </c>
      <c r="FD363" t="s">
        <v>655</v>
      </c>
      <c r="FE363" t="s">
        <v>656</v>
      </c>
      <c r="FI363" t="s">
        <v>657</v>
      </c>
      <c r="FJ363" t="s">
        <v>658</v>
      </c>
      <c r="FK363" t="s">
        <v>659</v>
      </c>
      <c r="FN363" t="s">
        <v>657</v>
      </c>
      <c r="FO363" t="s">
        <v>658</v>
      </c>
      <c r="FP363" t="s">
        <v>660</v>
      </c>
      <c r="FY363" t="s">
        <v>652</v>
      </c>
      <c r="FZ363" t="s">
        <v>652</v>
      </c>
      <c r="GA363" t="s">
        <v>653</v>
      </c>
      <c r="GB363" t="s">
        <v>654</v>
      </c>
      <c r="GC363" t="s">
        <v>655</v>
      </c>
      <c r="GD363" t="s">
        <v>656</v>
      </c>
      <c r="GH363" t="s">
        <v>657</v>
      </c>
      <c r="GI363" t="s">
        <v>658</v>
      </c>
      <c r="GJ363" t="s">
        <v>659</v>
      </c>
      <c r="GM363" t="s">
        <v>657</v>
      </c>
      <c r="GN363" t="s">
        <v>658</v>
      </c>
      <c r="GO363" t="s">
        <v>660</v>
      </c>
      <c r="GZ363" t="s">
        <v>652</v>
      </c>
      <c r="HA363" t="s">
        <v>652</v>
      </c>
      <c r="HB363" t="s">
        <v>653</v>
      </c>
      <c r="HC363" t="s">
        <v>654</v>
      </c>
      <c r="HD363" t="s">
        <v>655</v>
      </c>
      <c r="HE363" t="s">
        <v>656</v>
      </c>
      <c r="HI363" t="s">
        <v>657</v>
      </c>
      <c r="HJ363" t="s">
        <v>658</v>
      </c>
      <c r="HK363" t="s">
        <v>659</v>
      </c>
      <c r="HN363" t="s">
        <v>657</v>
      </c>
      <c r="HO363" t="s">
        <v>658</v>
      </c>
      <c r="HP363" t="s">
        <v>660</v>
      </c>
      <c r="HY363" t="s">
        <v>652</v>
      </c>
      <c r="HZ363" t="s">
        <v>652</v>
      </c>
      <c r="IA363" t="s">
        <v>653</v>
      </c>
      <c r="IB363" t="s">
        <v>654</v>
      </c>
      <c r="IC363" t="s">
        <v>655</v>
      </c>
      <c r="ID363" t="s">
        <v>656</v>
      </c>
      <c r="IH363" t="s">
        <v>657</v>
      </c>
      <c r="II363" t="s">
        <v>658</v>
      </c>
      <c r="IJ363" t="s">
        <v>659</v>
      </c>
      <c r="IM363" t="s">
        <v>657</v>
      </c>
      <c r="IN363" t="s">
        <v>658</v>
      </c>
      <c r="IO363" t="s">
        <v>660</v>
      </c>
      <c r="IX363" t="s">
        <v>652</v>
      </c>
      <c r="IY363" t="s">
        <v>652</v>
      </c>
      <c r="IZ363" t="s">
        <v>653</v>
      </c>
      <c r="JA363" t="s">
        <v>654</v>
      </c>
      <c r="JB363" t="s">
        <v>655</v>
      </c>
      <c r="JC363" t="s">
        <v>656</v>
      </c>
      <c r="JG363" t="s">
        <v>657</v>
      </c>
      <c r="JH363" t="s">
        <v>658</v>
      </c>
      <c r="JI363" t="s">
        <v>659</v>
      </c>
      <c r="JL363" t="s">
        <v>657</v>
      </c>
      <c r="JM363" t="s">
        <v>658</v>
      </c>
      <c r="JN363" t="s">
        <v>660</v>
      </c>
      <c r="JW363" t="s">
        <v>652</v>
      </c>
      <c r="JX363" t="s">
        <v>652</v>
      </c>
      <c r="JY363" t="s">
        <v>653</v>
      </c>
      <c r="JZ363" t="s">
        <v>654</v>
      </c>
      <c r="KA363" t="s">
        <v>655</v>
      </c>
      <c r="KB363" t="s">
        <v>656</v>
      </c>
      <c r="KF363" t="s">
        <v>657</v>
      </c>
      <c r="KG363" t="s">
        <v>658</v>
      </c>
      <c r="KH363" t="s">
        <v>659</v>
      </c>
      <c r="KK363" t="s">
        <v>657</v>
      </c>
      <c r="KL363" t="s">
        <v>658</v>
      </c>
      <c r="KM363" t="s">
        <v>660</v>
      </c>
    </row>
    <row r="364" spans="1:305">
      <c r="D364" t="str">
        <f>D3</f>
        <v>0</v>
      </c>
      <c r="E364" t="str">
        <f>E3</f>
        <v>0</v>
      </c>
      <c r="F364" t="str">
        <f>IF(G8&lt;=50,H6,H6)</f>
        <v>0</v>
      </c>
      <c r="G364" t="str">
        <f>IF(E3&lt;5/100,"la distribución de sus valores son diferentes a la distribución normal","la distribución de sus valores no son diferentes a la distribución normal")</f>
        <v>0</v>
      </c>
      <c r="H364" t="str">
        <f>IF(G364="la distribución de sus valores son diferentes a la distribución normal"," es decir los datos no se encuentran normalmente distribuidos"," es decir los datos si se encuentran normalmente distribuidos")</f>
        <v>0</v>
      </c>
      <c r="I364" t="str">
        <f>IF(G364=" es decir los datos no se encuentran normalmente distribuidos"," la prueba no paramétrica de correlación de Rho de Spearman","la prueba paramétrica de correlación de Pearson")</f>
        <v>0</v>
      </c>
      <c r="M364" t="s">
        <v>661</v>
      </c>
      <c r="N364" t="str">
        <f>R14</f>
        <v>0</v>
      </c>
      <c r="O364" t="str">
        <f>R13</f>
        <v>0</v>
      </c>
      <c r="R364" t="s">
        <v>661</v>
      </c>
      <c r="S364" t="str">
        <f>X14</f>
        <v>0</v>
      </c>
      <c r="T364" t="str">
        <f>X13</f>
        <v>0</v>
      </c>
      <c r="AC364" t="str">
        <f>AC3</f>
        <v>0</v>
      </c>
      <c r="AD364" t="str">
        <f>AD3</f>
        <v>0</v>
      </c>
      <c r="AE364" t="str">
        <f>IF(AF8&lt;=50,AG6,AG6)</f>
        <v>0</v>
      </c>
      <c r="AF364" t="str">
        <f>IF(AD3&lt;5/100,"la distribución de sus valores son diferentes a la distribución normal","la distribución de sus valores no son diferentes a la distribución normal")</f>
        <v>0</v>
      </c>
      <c r="AG364" t="str">
        <f>IF(AF364="la distribución de sus valores son diferentes a la distribución normal"," es decir los datos no se encuentran normalmente distribuidos"," es decir los datos si se encuentran normalmente distribuidos")</f>
        <v>0</v>
      </c>
      <c r="AH364" t="str">
        <f>IF(AF364=" es decir los datos no se encuentran normalmente distribuidos"," la prueba no paramétrica de correlación de Rho de Spearman","la prueba paramétrica de correlación de Pearson")</f>
        <v>0</v>
      </c>
      <c r="AL364" t="s">
        <v>661</v>
      </c>
      <c r="AM364" t="str">
        <f>AQ14</f>
        <v>0</v>
      </c>
      <c r="AN364" t="str">
        <f>AQ13</f>
        <v>0</v>
      </c>
      <c r="AQ364" t="s">
        <v>661</v>
      </c>
      <c r="AR364" t="str">
        <f>AW14</f>
        <v>0</v>
      </c>
      <c r="AS364" t="str">
        <f>AW13</f>
        <v>0</v>
      </c>
      <c r="BB364" t="str">
        <f>BB3</f>
        <v>0</v>
      </c>
      <c r="BC364" t="str">
        <f>BC3</f>
        <v>0</v>
      </c>
      <c r="BD364" t="str">
        <f>IF(BE8&lt;=50,BF6,BF6)</f>
        <v>0</v>
      </c>
      <c r="BE364" t="str">
        <f>IF(BC3&lt;5/100,"la distribución de sus valores son diferentes a la distribución normal","la distribución de sus valores no son diferentes a la distribución normal")</f>
        <v>0</v>
      </c>
      <c r="BF364" t="str">
        <f>IF(BE364="la distribución de sus valores son diferentes a la distribución normal"," es decir los datos no se encuentran normalmente distribuidos"," es decir los datos si se encuentran normalmente distribuidos")</f>
        <v>0</v>
      </c>
      <c r="BG364" t="str">
        <f>IF(BE364=" es decir los datos no se encuentran normalmente distribuidos"," la prueba no paramétrica de correlación de Rho de Spearman","la prueba paramétrica de correlación de Pearson")</f>
        <v>0</v>
      </c>
      <c r="BK364" t="s">
        <v>661</v>
      </c>
      <c r="BL364" t="str">
        <f>BP14</f>
        <v>0</v>
      </c>
      <c r="BM364" t="str">
        <f>BP13</f>
        <v>0</v>
      </c>
      <c r="BP364" t="s">
        <v>661</v>
      </c>
      <c r="BQ364" t="str">
        <f>BV14</f>
        <v>0</v>
      </c>
      <c r="BR364" t="str">
        <f>BV13</f>
        <v>0</v>
      </c>
      <c r="CA364" t="str">
        <f>CA3</f>
        <v>0</v>
      </c>
      <c r="CB364" t="str">
        <f>CB3</f>
        <v>0</v>
      </c>
      <c r="CC364" t="str">
        <f>IF(CD8&lt;=50,CE6,CE6)</f>
        <v>0</v>
      </c>
      <c r="CD364" t="str">
        <f>IF(CB3&lt;5/100,"la distribución de sus valores son diferentes a la distribución normal","la distribución de sus valores no son diferentes a la distribución normal")</f>
        <v>0</v>
      </c>
      <c r="CE364" t="str">
        <f>IF(CD364="la distribución de sus valores son diferentes a la distribución normal"," es decir los datos no se encuentran normalmente distribuidos"," es decir los datos si se encuentran normalmente distribuidos")</f>
        <v>0</v>
      </c>
      <c r="CF364" t="str">
        <f>IF(CD364=" es decir los datos no se encuentran normalmente distribuidos"," la prueba no paramétrica de correlación de Rho de Spearman","la prueba paramétrica de correlación de Pearson")</f>
        <v>0</v>
      </c>
      <c r="CJ364" t="s">
        <v>661</v>
      </c>
      <c r="CK364" t="str">
        <f>CO14</f>
        <v>0</v>
      </c>
      <c r="CL364" t="str">
        <f>CO13</f>
        <v>0</v>
      </c>
      <c r="CO364" t="s">
        <v>661</v>
      </c>
      <c r="CP364" t="str">
        <f>CU14</f>
        <v>0</v>
      </c>
      <c r="CQ364" t="str">
        <f>CU13</f>
        <v>0</v>
      </c>
      <c r="DB364" t="str">
        <f>DB3</f>
        <v>0</v>
      </c>
      <c r="DC364" t="str">
        <f>DC3</f>
        <v>0</v>
      </c>
      <c r="DD364" t="str">
        <f>IF(DE8&lt;=50,DF6,DF6)</f>
        <v>0</v>
      </c>
      <c r="DE364" t="str">
        <f>IF(DC3&lt;5/100,"la distribución de sus valores son diferentes a la distribución normal","la distribución de sus valores no son diferentes a la distribución normal")</f>
        <v>0</v>
      </c>
      <c r="DF364" t="str">
        <f>IF(DE364="la distribución de sus valores son diferentes a la distribución normal"," es decir los datos no se encuentran normalmente distribuidos"," es decir los datos si se encuentran normalmente distribuidos")</f>
        <v>0</v>
      </c>
      <c r="DG364" t="str">
        <f>IF(DE364=" es decir los datos no se encuentran normalmente distribuidos"," la prueba no paramétrica de correlación de Rho de Spearman","la prueba paramétrica de correlación de Pearson")</f>
        <v>0</v>
      </c>
      <c r="DK364" t="s">
        <v>661</v>
      </c>
      <c r="DL364" t="str">
        <f>DP14</f>
        <v>0</v>
      </c>
      <c r="DM364" t="str">
        <f>DP13</f>
        <v>0</v>
      </c>
      <c r="DP364" t="s">
        <v>661</v>
      </c>
      <c r="DQ364" t="str">
        <f>DV14</f>
        <v>0</v>
      </c>
      <c r="DR364" t="str">
        <f>DV13</f>
        <v>0</v>
      </c>
      <c r="EA364" t="str">
        <f>EA3</f>
        <v>0</v>
      </c>
      <c r="EB364" t="str">
        <f>EB3</f>
        <v>0</v>
      </c>
      <c r="EC364" t="str">
        <f>IF(ED8&lt;=50,EE6,EE6)</f>
        <v>0</v>
      </c>
      <c r="ED364" t="str">
        <f>IF(EB3&lt;5/100,"la distribución de sus valores son diferentes a la distribución normal","la distribución de sus valores no son diferentes a la distribución normal")</f>
        <v>0</v>
      </c>
      <c r="EE364" t="str">
        <f>IF(ED364="la distribución de sus valores son diferentes a la distribución normal"," es decir los datos no se encuentran normalmente distribuidos"," es decir los datos si se encuentran normalmente distribuidos")</f>
        <v>0</v>
      </c>
      <c r="EF364" t="str">
        <f>IF(ED364=" es decir los datos no se encuentran normalmente distribuidos"," la prueba no paramétrica de correlación de Rho de Spearman","la prueba paramétrica de correlación de Pearson")</f>
        <v>0</v>
      </c>
      <c r="EJ364" t="s">
        <v>661</v>
      </c>
      <c r="EK364" t="str">
        <f>EO14</f>
        <v>0</v>
      </c>
      <c r="EL364" t="str">
        <f>EO13</f>
        <v>0</v>
      </c>
      <c r="EO364" t="s">
        <v>661</v>
      </c>
      <c r="EP364" t="str">
        <f>EU14</f>
        <v>0</v>
      </c>
      <c r="EQ364" t="str">
        <f>EU13</f>
        <v>0</v>
      </c>
      <c r="EZ364" t="str">
        <f>EZ3</f>
        <v>0</v>
      </c>
      <c r="FA364" t="str">
        <f>FA3</f>
        <v>0</v>
      </c>
      <c r="FB364" t="str">
        <f>IF(FC8&lt;=50,FD6,FD6)</f>
        <v>0</v>
      </c>
      <c r="FC364" t="str">
        <f>IF(FA3&lt;5/100,"la distribución de sus valores son diferentes a la distribución normal","la distribución de sus valores no son diferentes a la distribución normal")</f>
        <v>0</v>
      </c>
      <c r="FD364" t="str">
        <f>IF(FC364="la distribución de sus valores son diferentes a la distribución normal"," es decir los datos no se encuentran normalmente distribuidos"," es decir los datos si se encuentran normalmente distribuidos")</f>
        <v>0</v>
      </c>
      <c r="FE364" t="str">
        <f>IF(FC364=" es decir los datos no se encuentran normalmente distribuidos"," la prueba no paramétrica de correlación de Rho de Spearman","la prueba paramétrica de correlación de Pearson")</f>
        <v>0</v>
      </c>
      <c r="FI364" t="s">
        <v>661</v>
      </c>
      <c r="FJ364" t="str">
        <f>FN14</f>
        <v>0</v>
      </c>
      <c r="FK364" t="str">
        <f>FN13</f>
        <v>0</v>
      </c>
      <c r="FN364" t="s">
        <v>661</v>
      </c>
      <c r="FO364" t="str">
        <f>FT14</f>
        <v>0</v>
      </c>
      <c r="FP364" t="str">
        <f>FT13</f>
        <v>0</v>
      </c>
      <c r="FY364" t="str">
        <f>FY3</f>
        <v>0</v>
      </c>
      <c r="FZ364" t="str">
        <f>FZ3</f>
        <v>0</v>
      </c>
      <c r="GA364" t="str">
        <f>IF(GB8&lt;=50,GC6,GC6)</f>
        <v>0</v>
      </c>
      <c r="GB364" t="str">
        <f>IF(FZ3&lt;5/100,"la distribución de sus valores son diferentes a la distribución normal","la distribución de sus valores no son diferentes a la distribución normal")</f>
        <v>0</v>
      </c>
      <c r="GC364" t="str">
        <f>IF(GB364="la distribución de sus valores son diferentes a la distribución normal"," es decir los datos no se encuentran normalmente distribuidos"," es decir los datos si se encuentran normalmente distribuidos")</f>
        <v>0</v>
      </c>
      <c r="GD364" t="str">
        <f>IF(GB364=" es decir los datos no se encuentran normalmente distribuidos"," la prueba no paramétrica de correlación de Rho de Spearman","la prueba paramétrica de correlación de Pearson")</f>
        <v>0</v>
      </c>
      <c r="GH364" t="s">
        <v>661</v>
      </c>
      <c r="GI364" t="str">
        <f>GM14</f>
        <v>0</v>
      </c>
      <c r="GJ364" t="str">
        <f>GM13</f>
        <v>0</v>
      </c>
      <c r="GM364" t="s">
        <v>661</v>
      </c>
      <c r="GN364" t="str">
        <f>GS14</f>
        <v>0</v>
      </c>
      <c r="GO364" t="str">
        <f>GS13</f>
        <v>0</v>
      </c>
      <c r="GZ364" t="str">
        <f>GZ3</f>
        <v>0</v>
      </c>
      <c r="HA364" t="str">
        <f>HA3</f>
        <v>0</v>
      </c>
      <c r="HB364" t="str">
        <f>IF(HC8&lt;=50,HD6,HD6)</f>
        <v>0</v>
      </c>
      <c r="HC364" t="str">
        <f>IF(HA3&lt;5/100,"la distribución de sus valores son diferentes a la distribución normal","la distribución de sus valores no son diferentes a la distribución normal")</f>
        <v>0</v>
      </c>
      <c r="HD364" t="str">
        <f>IF(HC364="la distribución de sus valores son diferentes a la distribución normal"," es decir los datos no se encuentran normalmente distribuidos"," es decir los datos si se encuentran normalmente distribuidos")</f>
        <v>0</v>
      </c>
      <c r="HE364" t="str">
        <f>IF(HC364=" es decir los datos no se encuentran normalmente distribuidos"," la prueba no paramétrica de correlación de Rho de Spearman","la prueba paramétrica de correlación de Pearson")</f>
        <v>0</v>
      </c>
      <c r="HI364" t="s">
        <v>661</v>
      </c>
      <c r="HJ364" t="str">
        <f>HN14</f>
        <v>0</v>
      </c>
      <c r="HK364" t="str">
        <f>HN13</f>
        <v>0</v>
      </c>
      <c r="HN364" t="s">
        <v>661</v>
      </c>
      <c r="HO364" t="str">
        <f>HT14</f>
        <v>0</v>
      </c>
      <c r="HP364" t="str">
        <f>HT13</f>
        <v>0</v>
      </c>
      <c r="HY364" t="str">
        <f>HY3</f>
        <v>0</v>
      </c>
      <c r="HZ364" t="str">
        <f>HZ3</f>
        <v>0</v>
      </c>
      <c r="IA364" t="str">
        <f>IF(IB8&lt;=50,IC6,IC6)</f>
        <v>0</v>
      </c>
      <c r="IB364" t="str">
        <f>IF(HZ3&lt;5/100,"la distribución de sus valores son diferentes a la distribución normal","la distribución de sus valores no son diferentes a la distribución normal")</f>
        <v>0</v>
      </c>
      <c r="IC364" t="str">
        <f>IF(IB364="la distribución de sus valores son diferentes a la distribución normal"," es decir los datos no se encuentran normalmente distribuidos"," es decir los datos si se encuentran normalmente distribuidos")</f>
        <v>0</v>
      </c>
      <c r="ID364" t="str">
        <f>IF(IB364=" es decir los datos no se encuentran normalmente distribuidos"," la prueba no paramétrica de correlación de Rho de Spearman","la prueba paramétrica de correlación de Pearson")</f>
        <v>0</v>
      </c>
      <c r="IH364" t="s">
        <v>661</v>
      </c>
      <c r="II364" t="str">
        <f>IM14</f>
        <v>0</v>
      </c>
      <c r="IJ364" t="str">
        <f>IM13</f>
        <v>0</v>
      </c>
      <c r="IM364" t="s">
        <v>661</v>
      </c>
      <c r="IN364" t="str">
        <f>IS14</f>
        <v>0</v>
      </c>
      <c r="IO364" t="str">
        <f>IS13</f>
        <v>0</v>
      </c>
      <c r="IX364" t="str">
        <f>IX3</f>
        <v>0</v>
      </c>
      <c r="IY364" t="str">
        <f>IY3</f>
        <v>0</v>
      </c>
      <c r="IZ364" t="str">
        <f>IF(JA8&lt;=50,JB6,JB6)</f>
        <v>0</v>
      </c>
      <c r="JA364" t="str">
        <f>IF(IY3&lt;5/100,"la distribución de sus valores son diferentes a la distribución normal","la distribución de sus valores no son diferentes a la distribución normal")</f>
        <v>0</v>
      </c>
      <c r="JB364" t="str">
        <f>IF(JA364="la distribución de sus valores son diferentes a la distribución normal"," es decir los datos no se encuentran normalmente distribuidos"," es decir los datos si se encuentran normalmente distribuidos")</f>
        <v>0</v>
      </c>
      <c r="JC364" t="str">
        <f>IF(JA364=" es decir los datos no se encuentran normalmente distribuidos"," la prueba no paramétrica de correlación de Rho de Spearman","la prueba paramétrica de correlación de Pearson")</f>
        <v>0</v>
      </c>
      <c r="JG364" t="s">
        <v>661</v>
      </c>
      <c r="JH364" t="str">
        <f>JL14</f>
        <v>0</v>
      </c>
      <c r="JI364" t="str">
        <f>JL13</f>
        <v>0</v>
      </c>
      <c r="JL364" t="s">
        <v>661</v>
      </c>
      <c r="JM364" t="str">
        <f>JR14</f>
        <v>0</v>
      </c>
      <c r="JN364" t="str">
        <f>JR13</f>
        <v>0</v>
      </c>
      <c r="JW364" t="str">
        <f>JW3</f>
        <v>0</v>
      </c>
      <c r="JX364" t="str">
        <f>JX3</f>
        <v>0</v>
      </c>
      <c r="JY364" t="str">
        <f>IF(JZ8&lt;=50,KA6,KA6)</f>
        <v>0</v>
      </c>
      <c r="JZ364" t="str">
        <f>IF(JX3&lt;5/100,"la distribución de sus valores son diferentes a la distribución normal","la distribución de sus valores no son diferentes a la distribución normal")</f>
        <v>0</v>
      </c>
      <c r="KA364" t="str">
        <f>IF(JZ364="la distribución de sus valores son diferentes a la distribución normal"," es decir los datos no se encuentran normalmente distribuidos"," es decir los datos si se encuentran normalmente distribuidos")</f>
        <v>0</v>
      </c>
      <c r="KB364" t="str">
        <f>IF(JZ364=" es decir los datos no se encuentran normalmente distribuidos"," la prueba no paramétrica de correlación de Rho de Spearman","la prueba paramétrica de correlación de Pearson")</f>
        <v>0</v>
      </c>
      <c r="KF364" t="s">
        <v>661</v>
      </c>
      <c r="KG364" t="str">
        <f>KK14</f>
        <v>0</v>
      </c>
      <c r="KH364" t="str">
        <f>KK13</f>
        <v>0</v>
      </c>
      <c r="KK364" t="s">
        <v>661</v>
      </c>
      <c r="KL364" t="str">
        <f>KQ14</f>
        <v>0</v>
      </c>
      <c r="KM364" t="str">
        <f>KQ13</f>
        <v>0</v>
      </c>
    </row>
    <row r="365" spans="1:305">
      <c r="C365" t="s">
        <v>662</v>
      </c>
      <c r="D365" t="str">
        <f>M8</f>
        <v>0</v>
      </c>
      <c r="E365" t="str">
        <f>M9</f>
        <v>0</v>
      </c>
      <c r="N365" t="str">
        <f>N364/100</f>
        <v>0</v>
      </c>
      <c r="O365" t="str">
        <f>O364*100</f>
        <v>0</v>
      </c>
      <c r="Q365" t="s">
        <v>663</v>
      </c>
      <c r="S365" t="str">
        <f>S364/100</f>
        <v>0</v>
      </c>
      <c r="T365" t="str">
        <f>T364*100</f>
        <v>0</v>
      </c>
      <c r="V365" t="s">
        <v>663</v>
      </c>
      <c r="AB365" t="s">
        <v>662</v>
      </c>
      <c r="AC365" t="str">
        <f>AL8</f>
        <v>0</v>
      </c>
      <c r="AD365" t="str">
        <f>AL9</f>
        <v>0</v>
      </c>
      <c r="AM365" t="str">
        <f>AM364/100</f>
        <v>0</v>
      </c>
      <c r="AN365" t="str">
        <f>AN364*100</f>
        <v>0</v>
      </c>
      <c r="AP365" t="s">
        <v>663</v>
      </c>
      <c r="AR365" t="str">
        <f>AR364/100</f>
        <v>0</v>
      </c>
      <c r="AS365" t="str">
        <f>AS364*100</f>
        <v>0</v>
      </c>
      <c r="AU365" t="s">
        <v>663</v>
      </c>
      <c r="BA365" t="s">
        <v>662</v>
      </c>
      <c r="BB365" t="str">
        <f>BK8</f>
        <v>0</v>
      </c>
      <c r="BC365" t="str">
        <f>BK9</f>
        <v>0</v>
      </c>
      <c r="BL365" t="str">
        <f>BL364/100</f>
        <v>0</v>
      </c>
      <c r="BM365" t="str">
        <f>BM364*100</f>
        <v>0</v>
      </c>
      <c r="BO365" t="s">
        <v>663</v>
      </c>
      <c r="BQ365" t="str">
        <f>BQ364/100</f>
        <v>0</v>
      </c>
      <c r="BR365" t="str">
        <f>BR364*100</f>
        <v>0</v>
      </c>
      <c r="BT365" t="s">
        <v>663</v>
      </c>
      <c r="BZ365" t="s">
        <v>662</v>
      </c>
      <c r="CA365" t="str">
        <f>CJ8</f>
        <v>0</v>
      </c>
      <c r="CB365" t="str">
        <f>CJ9</f>
        <v>0</v>
      </c>
      <c r="CK365" t="str">
        <f>CK364/100</f>
        <v>0</v>
      </c>
      <c r="CL365" t="str">
        <f>CL364*100</f>
        <v>0</v>
      </c>
      <c r="CN365" t="s">
        <v>663</v>
      </c>
      <c r="CP365" t="str">
        <f>CP364/100</f>
        <v>0</v>
      </c>
      <c r="CQ365" t="str">
        <f>CQ364*100</f>
        <v>0</v>
      </c>
      <c r="CS365" t="s">
        <v>663</v>
      </c>
      <c r="DA365" t="s">
        <v>662</v>
      </c>
      <c r="DB365" t="str">
        <f>DK8</f>
        <v>0</v>
      </c>
      <c r="DC365" t="str">
        <f>DK9</f>
        <v>0</v>
      </c>
      <c r="DL365" t="str">
        <f>DL364/100</f>
        <v>0</v>
      </c>
      <c r="DM365" t="str">
        <f>DM364*100</f>
        <v>0</v>
      </c>
      <c r="DO365" t="s">
        <v>663</v>
      </c>
      <c r="DQ365" t="str">
        <f>DQ364/100</f>
        <v>0</v>
      </c>
      <c r="DR365" t="str">
        <f>DR364*100</f>
        <v>0</v>
      </c>
      <c r="DT365" t="s">
        <v>663</v>
      </c>
      <c r="DZ365" t="s">
        <v>662</v>
      </c>
      <c r="EA365" t="str">
        <f>EJ8</f>
        <v>0</v>
      </c>
      <c r="EB365" t="str">
        <f>EJ9</f>
        <v>0</v>
      </c>
      <c r="EK365" t="str">
        <f>EK364/100</f>
        <v>0</v>
      </c>
      <c r="EL365" t="str">
        <f>EL364*100</f>
        <v>0</v>
      </c>
      <c r="EN365" t="s">
        <v>663</v>
      </c>
      <c r="EP365" t="str">
        <f>EP364/100</f>
        <v>0</v>
      </c>
      <c r="EQ365" t="str">
        <f>EQ364*100</f>
        <v>0</v>
      </c>
      <c r="ES365" t="s">
        <v>663</v>
      </c>
      <c r="EY365" t="s">
        <v>662</v>
      </c>
      <c r="EZ365" t="str">
        <f>FI8</f>
        <v>0</v>
      </c>
      <c r="FA365" t="str">
        <f>FI9</f>
        <v>0</v>
      </c>
      <c r="FJ365" t="str">
        <f>FJ364/100</f>
        <v>0</v>
      </c>
      <c r="FK365" t="str">
        <f>FK364*100</f>
        <v>0</v>
      </c>
      <c r="FM365" t="s">
        <v>663</v>
      </c>
      <c r="FO365" t="str">
        <f>FO364/100</f>
        <v>0</v>
      </c>
      <c r="FP365" t="str">
        <f>FP364*100</f>
        <v>0</v>
      </c>
      <c r="FR365" t="s">
        <v>663</v>
      </c>
      <c r="FX365" t="s">
        <v>662</v>
      </c>
      <c r="FY365" t="str">
        <f>GH8</f>
        <v>0</v>
      </c>
      <c r="FZ365" t="str">
        <f>GH9</f>
        <v>0</v>
      </c>
      <c r="GI365" t="str">
        <f>GI364/100</f>
        <v>0</v>
      </c>
      <c r="GJ365" t="str">
        <f>GJ364*100</f>
        <v>0</v>
      </c>
      <c r="GL365" t="s">
        <v>663</v>
      </c>
      <c r="GN365" t="str">
        <f>GN364/100</f>
        <v>0</v>
      </c>
      <c r="GO365" t="str">
        <f>GO364*100</f>
        <v>0</v>
      </c>
      <c r="GQ365" t="s">
        <v>663</v>
      </c>
      <c r="GY365" t="s">
        <v>662</v>
      </c>
      <c r="GZ365" t="str">
        <f>HI8</f>
        <v>0</v>
      </c>
      <c r="HA365" t="str">
        <f>HI9</f>
        <v>0</v>
      </c>
      <c r="HJ365" t="str">
        <f>HJ364/100</f>
        <v>0</v>
      </c>
      <c r="HK365" t="str">
        <f>HK364*100</f>
        <v>0</v>
      </c>
      <c r="HM365" t="s">
        <v>663</v>
      </c>
      <c r="HO365" t="str">
        <f>HO364/100</f>
        <v>0</v>
      </c>
      <c r="HP365" t="str">
        <f>HP364*100</f>
        <v>0</v>
      </c>
      <c r="HR365" t="s">
        <v>663</v>
      </c>
      <c r="HX365" t="s">
        <v>662</v>
      </c>
      <c r="HY365" t="str">
        <f>IH8</f>
        <v>0</v>
      </c>
      <c r="HZ365" t="str">
        <f>IH9</f>
        <v>0</v>
      </c>
      <c r="II365" t="str">
        <f>II364/100</f>
        <v>0</v>
      </c>
      <c r="IJ365" t="str">
        <f>IJ364*100</f>
        <v>0</v>
      </c>
      <c r="IL365" t="s">
        <v>663</v>
      </c>
      <c r="IN365" t="str">
        <f>IN364/100</f>
        <v>0</v>
      </c>
      <c r="IO365" t="str">
        <f>IO364*100</f>
        <v>0</v>
      </c>
      <c r="IQ365" t="s">
        <v>663</v>
      </c>
      <c r="IW365" t="s">
        <v>662</v>
      </c>
      <c r="IX365" t="str">
        <f>JG8</f>
        <v>0</v>
      </c>
      <c r="IY365" t="str">
        <f>JG9</f>
        <v>0</v>
      </c>
      <c r="JH365" t="str">
        <f>JH364/100</f>
        <v>0</v>
      </c>
      <c r="JI365" t="str">
        <f>JI364*100</f>
        <v>0</v>
      </c>
      <c r="JK365" t="s">
        <v>663</v>
      </c>
      <c r="JM365" t="str">
        <f>JM364/100</f>
        <v>0</v>
      </c>
      <c r="JN365" t="str">
        <f>JN364*100</f>
        <v>0</v>
      </c>
      <c r="JP365" t="s">
        <v>663</v>
      </c>
      <c r="JV365" t="s">
        <v>662</v>
      </c>
      <c r="JW365" t="str">
        <f>KF8</f>
        <v>0</v>
      </c>
      <c r="JX365" t="str">
        <f>KF9</f>
        <v>0</v>
      </c>
      <c r="KG365" t="str">
        <f>KG364/100</f>
        <v>0</v>
      </c>
      <c r="KH365" t="str">
        <f>KH364*100</f>
        <v>0</v>
      </c>
      <c r="KJ365" t="s">
        <v>663</v>
      </c>
      <c r="KL365" t="str">
        <f>KL364/100</f>
        <v>0</v>
      </c>
      <c r="KM365" t="str">
        <f>KM364*100</f>
        <v>0</v>
      </c>
      <c r="KO365" t="s">
        <v>663</v>
      </c>
    </row>
    <row r="366" spans="1:305">
      <c r="N366" t="str">
        <f>IF(N364&lt;5/100,"existe relación significativa entre las ","no existe relación entre las ")</f>
        <v>0</v>
      </c>
      <c r="O366" t="str">
        <f>IF(O364&lt;='Criterio para el valor r'!$A$2,'Criterio para el valor r'!$C$2,IF(O364&lt;='Criterio para el valor r'!$A$3,'Criterio para el valor r'!$C$3,IF(O364&lt;='Criterio para el valor r'!$A$4,'Criterio para el valor r'!$C$4,IF(O364&lt;='Criterio para el valor r'!$A$5,'Criterio para el valor r'!$C$5,IF(O364&lt;='Criterio para el valor r'!$A$6,'Criterio para el valor r'!$C$6,IF(O364&lt;='Criterio para el valor r'!$A$8,'Criterio para el valor r'!$C$7,IF(O364&lt;='Criterio para el valor r'!$A$7,'Criterio para el valor r'!$C$8,IF(O364&lt;='Criterio para el valor r'!$B$9,'Criterio para el valor r'!$C$9,IF(O364&lt;='Criterio para el valor r'!$B$10,'Criterio para el valor r'!$C$10,IF(O364&lt;='Criterio para el valor r'!$B$11,'Criterio para el valor r'!$C$11,IF(O364&lt;='Criterio para el valor r'!$B$12,'Criterio para el valor r'!$C$12,IF(O364&lt;='Criterio para el valor r'!$B$13,'Criterio para el valor r'!$C$13,IF(O364&lt;='Criterio para el valor r'!$B$14,'Criterio para el valor r'!$C$14,"algo esta mal")))))))))))))</f>
        <v>0</v>
      </c>
      <c r="P366" t="str">
        <f>IF(O364&lt;0,"menor","mayor")</f>
        <v>0</v>
      </c>
      <c r="Q366" t="str">
        <f>IF(N365&gt;=5/100,"se acepta la Ho y se rechaza la Hi","se rechaza la Ho y se acepta la Hi")</f>
        <v>0</v>
      </c>
      <c r="S366" t="str">
        <f>IF(S364&lt;5/100,"existe relación significativa entre las ","no existe relación entre las ")</f>
        <v>0</v>
      </c>
      <c r="T366" t="str">
        <f>IF(T364&lt;5/100,"existe relación significativa entre las ","no existe relación entre las ")</f>
        <v>0</v>
      </c>
      <c r="U366" t="str">
        <f>IF(T364&lt;0,"menor","mayor")</f>
        <v>0</v>
      </c>
      <c r="V366" t="str">
        <f>IF(S365&gt;=5/100,"se acepta la Ho y se rechaza la Hi","se rechaza la Ho y se acepta la Hi")</f>
        <v>0</v>
      </c>
      <c r="AM366" t="str">
        <f>IF(AM364&lt;5/100,"existe relación significativa entre las ","no existe relación entre las ")</f>
        <v>0</v>
      </c>
      <c r="AN366" t="str">
        <f>IF(AN364&lt;='Criterio para el valor r'!$A$2,'Criterio para el valor r'!$C$2,IF(AN364&lt;='Criterio para el valor r'!$A$3,'Criterio para el valor r'!$C$3,IF(AN364&lt;='Criterio para el valor r'!$A$4,'Criterio para el valor r'!$C$4,IF(AN364&lt;='Criterio para el valor r'!$A$5,'Criterio para el valor r'!$C$5,IF(AN364&lt;='Criterio para el valor r'!$A$6,'Criterio para el valor r'!$C$6,IF(AN364&lt;='Criterio para el valor r'!$A$8,'Criterio para el valor r'!$C$7,IF(AN364&lt;='Criterio para el valor r'!$A$7,'Criterio para el valor r'!$C$8,IF(AN364&lt;='Criterio para el valor r'!$B$9,'Criterio para el valor r'!$C$9,IF(AN364&lt;='Criterio para el valor r'!$B$10,'Criterio para el valor r'!$C$10,IF(AN364&lt;='Criterio para el valor r'!$B$11,'Criterio para el valor r'!$C$11,IF(AN364&lt;='Criterio para el valor r'!$B$12,'Criterio para el valor r'!$C$12,IF(AN364&lt;='Criterio para el valor r'!$B$13,'Criterio para el valor r'!$C$13,IF(AN364&lt;='Criterio para el valor r'!$B$14,'Criterio para el valor r'!$C$14,"algo esta mal")))))))))))))</f>
        <v>0</v>
      </c>
      <c r="AO366" t="str">
        <f>IF(AN364&lt;0,"menor","mayor")</f>
        <v>0</v>
      </c>
      <c r="AP366" t="str">
        <f>IF(AM365&gt;=5/100,"se acepta la Ho y se rechaza la Hi","se rechaza la Ho y se acepta la Hi")</f>
        <v>0</v>
      </c>
      <c r="AR366" t="str">
        <f>IF(AR364&lt;5/100,"existe relación significativa entre las ","no existe relación entre las ")</f>
        <v>0</v>
      </c>
      <c r="AS366" t="str">
        <f>IF(AS364&lt;5/100,"existe relación significativa entre las ","no existe relación entre las ")</f>
        <v>0</v>
      </c>
      <c r="AT366" t="str">
        <f>IF(AS364&lt;0,"menor","mayor")</f>
        <v>0</v>
      </c>
      <c r="AU366" t="str">
        <f>IF(AR365&gt;=5/100,"se acepta la Ho y se rechaza la Hi","se rechaza la Ho y se acepta la Hi")</f>
        <v>0</v>
      </c>
      <c r="BL366" t="str">
        <f>IF(BL364&lt;5/100,"existe relación significativa entre las ","no existe relación entre las ")</f>
        <v>0</v>
      </c>
      <c r="BM366" t="str">
        <f>IF(BM364&lt;='Criterio para el valor r'!$A$2,'Criterio para el valor r'!$C$2,IF(BM364&lt;='Criterio para el valor r'!$A$3,'Criterio para el valor r'!$C$3,IF(BM364&lt;='Criterio para el valor r'!$A$4,'Criterio para el valor r'!$C$4,IF(BM364&lt;='Criterio para el valor r'!$A$5,'Criterio para el valor r'!$C$5,IF(BM364&lt;='Criterio para el valor r'!$A$6,'Criterio para el valor r'!$C$6,IF(BM364&lt;='Criterio para el valor r'!$A$8,'Criterio para el valor r'!$C$7,IF(BM364&lt;='Criterio para el valor r'!$A$7,'Criterio para el valor r'!$C$8,IF(BM364&lt;='Criterio para el valor r'!$B$9,'Criterio para el valor r'!$C$9,IF(BM364&lt;='Criterio para el valor r'!$B$10,'Criterio para el valor r'!$C$10,IF(BM364&lt;='Criterio para el valor r'!$B$11,'Criterio para el valor r'!$C$11,IF(BM364&lt;='Criterio para el valor r'!$B$12,'Criterio para el valor r'!$C$12,IF(BM364&lt;='Criterio para el valor r'!$B$13,'Criterio para el valor r'!$C$13,IF(BM364&lt;='Criterio para el valor r'!$B$14,'Criterio para el valor r'!$C$14,"algo esta mal")))))))))))))</f>
        <v>0</v>
      </c>
      <c r="BN366" t="str">
        <f>IF(BM364&lt;0,"menor","mayor")</f>
        <v>0</v>
      </c>
      <c r="BO366" t="str">
        <f>IF(BL365&gt;=5/100,"se acepta la Ho y se rechaza la Hi","se rechaza la Ho y se acepta la Hi")</f>
        <v>0</v>
      </c>
      <c r="BQ366" t="str">
        <f>IF(BQ364&lt;5/100,"existe relación significativa entre las ","no existe relación entre las ")</f>
        <v>0</v>
      </c>
      <c r="BR366" t="str">
        <f>IF(BR364&lt;5/100,"existe relación significativa entre las ","no existe relación entre las ")</f>
        <v>0</v>
      </c>
      <c r="BS366" t="str">
        <f>IF(BR364&lt;0,"menor","mayor")</f>
        <v>0</v>
      </c>
      <c r="BT366" t="str">
        <f>IF(BQ365&gt;=5/100,"se acepta la Ho y se rechaza la Hi","se rechaza la Ho y se acepta la Hi")</f>
        <v>0</v>
      </c>
      <c r="CK366" t="str">
        <f>IF(CK364&lt;5/100,"existe relación significativa entre las ","no existe relación entre las ")</f>
        <v>0</v>
      </c>
      <c r="CL366" t="str">
        <f>IF(CL364&lt;='Criterio para el valor r'!$A$2,'Criterio para el valor r'!$C$2,IF(CL364&lt;='Criterio para el valor r'!$A$3,'Criterio para el valor r'!$C$3,IF(CL364&lt;='Criterio para el valor r'!$A$4,'Criterio para el valor r'!$C$4,IF(CL364&lt;='Criterio para el valor r'!$A$5,'Criterio para el valor r'!$C$5,IF(CL364&lt;='Criterio para el valor r'!$A$6,'Criterio para el valor r'!$C$6,IF(CL364&lt;='Criterio para el valor r'!$A$8,'Criterio para el valor r'!$C$7,IF(CL364&lt;='Criterio para el valor r'!$A$7,'Criterio para el valor r'!$C$8,IF(CL364&lt;='Criterio para el valor r'!$B$9,'Criterio para el valor r'!$C$9,IF(CL364&lt;='Criterio para el valor r'!$B$10,'Criterio para el valor r'!$C$10,IF(CL364&lt;='Criterio para el valor r'!$B$11,'Criterio para el valor r'!$C$11,IF(CL364&lt;='Criterio para el valor r'!$B$12,'Criterio para el valor r'!$C$12,IF(CL364&lt;='Criterio para el valor r'!$B$13,'Criterio para el valor r'!$C$13,IF(CL364&lt;='Criterio para el valor r'!$B$14,'Criterio para el valor r'!$C$14,"algo esta mal")))))))))))))</f>
        <v>0</v>
      </c>
      <c r="CM366" t="str">
        <f>IF(CL364&lt;0,"menor","mayor")</f>
        <v>0</v>
      </c>
      <c r="CN366" t="str">
        <f>IF(CK365&gt;=5/100,"se acepta la Ho y se rechaza la Hi","se rechaza la Ho y se acepta la Hi")</f>
        <v>0</v>
      </c>
      <c r="CP366" t="str">
        <f>IF(CP364&lt;5/100,"existe relación significativa entre las ","no existe relación entre las ")</f>
        <v>0</v>
      </c>
      <c r="CQ366" t="str">
        <f>IF(CQ364&lt;5/100,"existe relación significativa entre las ","no existe relación entre las ")</f>
        <v>0</v>
      </c>
      <c r="CR366" t="str">
        <f>IF(CQ364&lt;0,"menor","mayor")</f>
        <v>0</v>
      </c>
      <c r="CS366" t="str">
        <f>IF(CP365&gt;=5/100,"se acepta la Ho y se rechaza la Hi","se rechaza la Ho y se acepta la Hi")</f>
        <v>0</v>
      </c>
      <c r="DL366" t="str">
        <f>IF(DL364&lt;5/100,"existe relación significativa entre las ","no existe relación entre las ")</f>
        <v>0</v>
      </c>
      <c r="DM366" t="str">
        <f>IF(DM364&lt;='Criterio para el valor r'!$A$2,'Criterio para el valor r'!$C$2,IF(DM364&lt;='Criterio para el valor r'!$A$3,'Criterio para el valor r'!$C$3,IF(DM364&lt;='Criterio para el valor r'!$A$4,'Criterio para el valor r'!$C$4,IF(DM364&lt;='Criterio para el valor r'!$A$5,'Criterio para el valor r'!$C$5,IF(DM364&lt;='Criterio para el valor r'!$A$6,'Criterio para el valor r'!$C$6,IF(DM364&lt;='Criterio para el valor r'!$A$8,'Criterio para el valor r'!$C$7,IF(DM364&lt;='Criterio para el valor r'!$A$7,'Criterio para el valor r'!$C$8,IF(DM364&lt;='Criterio para el valor r'!$B$9,'Criterio para el valor r'!$C$9,IF(DM364&lt;='Criterio para el valor r'!$B$10,'Criterio para el valor r'!$C$10,IF(DM364&lt;='Criterio para el valor r'!$B$11,'Criterio para el valor r'!$C$11,IF(DM364&lt;='Criterio para el valor r'!$B$12,'Criterio para el valor r'!$C$12,IF(DM364&lt;='Criterio para el valor r'!$B$13,'Criterio para el valor r'!$C$13,IF(DM364&lt;='Criterio para el valor r'!$B$14,'Criterio para el valor r'!$C$14,"algo esta mal")))))))))))))</f>
        <v>0</v>
      </c>
      <c r="DN366" t="str">
        <f>IF(DM364&lt;0,"menor","mayor")</f>
        <v>0</v>
      </c>
      <c r="DO366" t="str">
        <f>IF(DL365&gt;=5/100,"se acepta la Ho y se rechaza la Hi","se rechaza la Ho y se acepta la Hi")</f>
        <v>0</v>
      </c>
      <c r="DQ366" t="str">
        <f>IF(DQ364&lt;5/100,"existe relación significativa entre las ","no existe relación entre las ")</f>
        <v>0</v>
      </c>
      <c r="DR366" t="str">
        <f>IF(DR364&lt;5/100,"existe relación significativa entre las ","no existe relación entre las ")</f>
        <v>0</v>
      </c>
      <c r="DS366" t="str">
        <f>IF(DR364&lt;0,"menor","mayor")</f>
        <v>0</v>
      </c>
      <c r="DT366" t="str">
        <f>IF(DQ365&gt;=5/100,"se acepta la Ho y se rechaza la Hi","se rechaza la Ho y se acepta la Hi")</f>
        <v>0</v>
      </c>
      <c r="EK366" t="str">
        <f>IF(EK364&lt;5/100,"existe relación significativa entre las ","no existe relación entre las ")</f>
        <v>0</v>
      </c>
      <c r="EL366" t="str">
        <f>IF(EL364&lt;='Criterio para el valor r'!$A$2,'Criterio para el valor r'!$C$2,IF(EL364&lt;='Criterio para el valor r'!$A$3,'Criterio para el valor r'!$C$3,IF(EL364&lt;='Criterio para el valor r'!$A$4,'Criterio para el valor r'!$C$4,IF(EL364&lt;='Criterio para el valor r'!$A$5,'Criterio para el valor r'!$C$5,IF(EL364&lt;='Criterio para el valor r'!$A$6,'Criterio para el valor r'!$C$6,IF(EL364&lt;='Criterio para el valor r'!$A$8,'Criterio para el valor r'!$C$7,IF(EL364&lt;='Criterio para el valor r'!$A$7,'Criterio para el valor r'!$C$8,IF(EL364&lt;='Criterio para el valor r'!$B$9,'Criterio para el valor r'!$C$9,IF(EL364&lt;='Criterio para el valor r'!$B$10,'Criterio para el valor r'!$C$10,IF(EL364&lt;='Criterio para el valor r'!$B$11,'Criterio para el valor r'!$C$11,IF(EL364&lt;='Criterio para el valor r'!$B$12,'Criterio para el valor r'!$C$12,IF(EL364&lt;='Criterio para el valor r'!$B$13,'Criterio para el valor r'!$C$13,IF(EL364&lt;='Criterio para el valor r'!$B$14,'Criterio para el valor r'!$C$14,"algo esta mal")))))))))))))</f>
        <v>0</v>
      </c>
      <c r="EM366" t="str">
        <f>IF(EL364&lt;0,"menor","mayor")</f>
        <v>0</v>
      </c>
      <c r="EN366" t="str">
        <f>IF(EK365&gt;=5/100,"se acepta la Ho y se rechaza la Hi","se rechaza la Ho y se acepta la Hi")</f>
        <v>0</v>
      </c>
      <c r="EP366" t="str">
        <f>IF(EP364&lt;5/100,"existe relación significativa entre las ","no existe relación entre las ")</f>
        <v>0</v>
      </c>
      <c r="EQ366" t="str">
        <f>IF(EQ364&lt;5/100,"existe relación significativa entre las ","no existe relación entre las ")</f>
        <v>0</v>
      </c>
      <c r="ER366" t="str">
        <f>IF(EQ364&lt;0,"menor","mayor")</f>
        <v>0</v>
      </c>
      <c r="ES366" t="str">
        <f>IF(EP365&gt;=5/100,"se acepta la Ho y se rechaza la Hi","se rechaza la Ho y se acepta la Hi")</f>
        <v>0</v>
      </c>
      <c r="FJ366" t="str">
        <f>IF(FJ364&lt;5/100,"existe relación significativa entre las ","no existe relación entre las ")</f>
        <v>0</v>
      </c>
      <c r="FK366" t="str">
        <f>IF(FK364&lt;='Criterio para el valor r'!$A$2,'Criterio para el valor r'!$C$2,IF(FK364&lt;='Criterio para el valor r'!$A$3,'Criterio para el valor r'!$C$3,IF(FK364&lt;='Criterio para el valor r'!$A$4,'Criterio para el valor r'!$C$4,IF(FK364&lt;='Criterio para el valor r'!$A$5,'Criterio para el valor r'!$C$5,IF(FK364&lt;='Criterio para el valor r'!$A$6,'Criterio para el valor r'!$C$6,IF(FK364&lt;='Criterio para el valor r'!$A$8,'Criterio para el valor r'!$C$7,IF(FK364&lt;='Criterio para el valor r'!$A$7,'Criterio para el valor r'!$C$8,IF(FK364&lt;='Criterio para el valor r'!$B$9,'Criterio para el valor r'!$C$9,IF(FK364&lt;='Criterio para el valor r'!$B$10,'Criterio para el valor r'!$C$10,IF(FK364&lt;='Criterio para el valor r'!$B$11,'Criterio para el valor r'!$C$11,IF(FK364&lt;='Criterio para el valor r'!$B$12,'Criterio para el valor r'!$C$12,IF(FK364&lt;='Criterio para el valor r'!$B$13,'Criterio para el valor r'!$C$13,IF(FK364&lt;='Criterio para el valor r'!$B$14,'Criterio para el valor r'!$C$14,"algo esta mal")))))))))))))</f>
        <v>0</v>
      </c>
      <c r="FL366" t="str">
        <f>IF(FK364&lt;0,"menor","mayor")</f>
        <v>0</v>
      </c>
      <c r="FM366" t="str">
        <f>IF(FJ365&gt;=5/100,"se acepta la Ho y se rechaza la Hi","se rechaza la Ho y se acepta la Hi")</f>
        <v>0</v>
      </c>
      <c r="FO366" t="str">
        <f>IF(FO364&lt;5/100,"existe relación significativa entre las ","no existe relación entre las ")</f>
        <v>0</v>
      </c>
      <c r="FP366" t="str">
        <f>IF(FP364&lt;5/100,"existe relación significativa entre las ","no existe relación entre las ")</f>
        <v>0</v>
      </c>
      <c r="FQ366" t="str">
        <f>IF(FP364&lt;0,"menor","mayor")</f>
        <v>0</v>
      </c>
      <c r="FR366" t="str">
        <f>IF(FO365&gt;=5/100,"se acepta la Ho y se rechaza la Hi","se rechaza la Ho y se acepta la Hi")</f>
        <v>0</v>
      </c>
      <c r="GI366" t="str">
        <f>IF(GI364&lt;5/100,"existe relación significativa entre las ","no existe relación entre las ")</f>
        <v>0</v>
      </c>
      <c r="GJ366" t="str">
        <f>IF(GJ364&lt;='Criterio para el valor r'!$A$2,'Criterio para el valor r'!$C$2,IF(GJ364&lt;='Criterio para el valor r'!$A$3,'Criterio para el valor r'!$C$3,IF(GJ364&lt;='Criterio para el valor r'!$A$4,'Criterio para el valor r'!$C$4,IF(GJ364&lt;='Criterio para el valor r'!$A$5,'Criterio para el valor r'!$C$5,IF(GJ364&lt;='Criterio para el valor r'!$A$6,'Criterio para el valor r'!$C$6,IF(GJ364&lt;='Criterio para el valor r'!$A$8,'Criterio para el valor r'!$C$7,IF(GJ364&lt;='Criterio para el valor r'!$A$7,'Criterio para el valor r'!$C$8,IF(GJ364&lt;='Criterio para el valor r'!$B$9,'Criterio para el valor r'!$C$9,IF(GJ364&lt;='Criterio para el valor r'!$B$10,'Criterio para el valor r'!$C$10,IF(GJ364&lt;='Criterio para el valor r'!$B$11,'Criterio para el valor r'!$C$11,IF(GJ364&lt;='Criterio para el valor r'!$B$12,'Criterio para el valor r'!$C$12,IF(GJ364&lt;='Criterio para el valor r'!$B$13,'Criterio para el valor r'!$C$13,IF(GJ364&lt;='Criterio para el valor r'!$B$14,'Criterio para el valor r'!$C$14,"algo esta mal")))))))))))))</f>
        <v>0</v>
      </c>
      <c r="GK366" t="str">
        <f>IF(GJ364&lt;0,"menor","mayor")</f>
        <v>0</v>
      </c>
      <c r="GL366" t="str">
        <f>IF(GI365&gt;=5/100,"se acepta la Ho y se rechaza la Hi","se rechaza la Ho y se acepta la Hi")</f>
        <v>0</v>
      </c>
      <c r="GN366" t="str">
        <f>IF(GN364&lt;5/100,"existe relación significativa entre las ","no existe relación entre las ")</f>
        <v>0</v>
      </c>
      <c r="GO366" t="str">
        <f>IF(GO364&lt;5/100,"existe relación significativa entre las ","no existe relación entre las ")</f>
        <v>0</v>
      </c>
      <c r="GP366" t="str">
        <f>IF(GO364&lt;0,"menor","mayor")</f>
        <v>0</v>
      </c>
      <c r="GQ366" t="str">
        <f>IF(GN365&gt;=5/100,"se acepta la Ho y se rechaza la Hi","se rechaza la Ho y se acepta la Hi")</f>
        <v>0</v>
      </c>
      <c r="HJ366" t="str">
        <f>IF(HJ364&lt;5/100,"existe relación significativa entre las ","no existe relación entre las ")</f>
        <v>0</v>
      </c>
      <c r="HK366" t="str">
        <f>IF(HK364&lt;='Criterio para el valor r'!$A$2,'Criterio para el valor r'!$C$2,IF(HK364&lt;='Criterio para el valor r'!$A$3,'Criterio para el valor r'!$C$3,IF(HK364&lt;='Criterio para el valor r'!$A$4,'Criterio para el valor r'!$C$4,IF(HK364&lt;='Criterio para el valor r'!$A$5,'Criterio para el valor r'!$C$5,IF(HK364&lt;='Criterio para el valor r'!$A$6,'Criterio para el valor r'!$C$6,IF(HK364&lt;='Criterio para el valor r'!$A$8,'Criterio para el valor r'!$C$7,IF(HK364&lt;='Criterio para el valor r'!$A$7,'Criterio para el valor r'!$C$8,IF(HK364&lt;='Criterio para el valor r'!$B$9,'Criterio para el valor r'!$C$9,IF(HK364&lt;='Criterio para el valor r'!$B$10,'Criterio para el valor r'!$C$10,IF(HK364&lt;='Criterio para el valor r'!$B$11,'Criterio para el valor r'!$C$11,IF(HK364&lt;='Criterio para el valor r'!$B$12,'Criterio para el valor r'!$C$12,IF(HK364&lt;='Criterio para el valor r'!$B$13,'Criterio para el valor r'!$C$13,IF(HK364&lt;='Criterio para el valor r'!$B$14,'Criterio para el valor r'!$C$14,"algo esta mal")))))))))))))</f>
        <v>0</v>
      </c>
      <c r="HL366" t="str">
        <f>IF(HK364&lt;0,"menor","mayor")</f>
        <v>0</v>
      </c>
      <c r="HM366" t="str">
        <f>IF(HJ365&gt;=5/100,"se acepta la Ho y se rechaza la Hi","se rechaza la Ho y se acepta la Hi")</f>
        <v>0</v>
      </c>
      <c r="HO366" t="str">
        <f>IF(HO364&lt;5/100,"existe relación significativa entre las ","no existe relación entre las ")</f>
        <v>0</v>
      </c>
      <c r="HP366" t="str">
        <f>IF(HP364&lt;5/100,"existe relación significativa entre las ","no existe relación entre las ")</f>
        <v>0</v>
      </c>
      <c r="HQ366" t="str">
        <f>IF(HP364&lt;0,"menor","mayor")</f>
        <v>0</v>
      </c>
      <c r="HR366" t="str">
        <f>IF(HO365&gt;=5/100,"se acepta la Ho y se rechaza la Hi","se rechaza la Ho y se acepta la Hi")</f>
        <v>0</v>
      </c>
      <c r="II366" t="str">
        <f>IF(II364&lt;5/100,"existe relación significativa entre las ","no existe relación entre las ")</f>
        <v>0</v>
      </c>
      <c r="IJ366" t="str">
        <f>IF(IJ364&lt;='Criterio para el valor r'!$A$2,'Criterio para el valor r'!$C$2,IF(IJ364&lt;='Criterio para el valor r'!$A$3,'Criterio para el valor r'!$C$3,IF(IJ364&lt;='Criterio para el valor r'!$A$4,'Criterio para el valor r'!$C$4,IF(IJ364&lt;='Criterio para el valor r'!$A$5,'Criterio para el valor r'!$C$5,IF(IJ364&lt;='Criterio para el valor r'!$A$6,'Criterio para el valor r'!$C$6,IF(IJ364&lt;='Criterio para el valor r'!$A$8,'Criterio para el valor r'!$C$7,IF(IJ364&lt;='Criterio para el valor r'!$A$7,'Criterio para el valor r'!$C$8,IF(IJ364&lt;='Criterio para el valor r'!$B$9,'Criterio para el valor r'!$C$9,IF(IJ364&lt;='Criterio para el valor r'!$B$10,'Criterio para el valor r'!$C$10,IF(IJ364&lt;='Criterio para el valor r'!$B$11,'Criterio para el valor r'!$C$11,IF(IJ364&lt;='Criterio para el valor r'!$B$12,'Criterio para el valor r'!$C$12,IF(IJ364&lt;='Criterio para el valor r'!$B$13,'Criterio para el valor r'!$C$13,IF(IJ364&lt;='Criterio para el valor r'!$B$14,'Criterio para el valor r'!$C$14,"algo esta mal")))))))))))))</f>
        <v>0</v>
      </c>
      <c r="IK366" t="str">
        <f>IF(IJ364&lt;0,"menor","mayor")</f>
        <v>0</v>
      </c>
      <c r="IL366" t="str">
        <f>IF(II365&gt;=5/100,"se acepta la Ho y se rechaza la Hi","se rechaza la Ho y se acepta la Hi")</f>
        <v>0</v>
      </c>
      <c r="IN366" t="str">
        <f>IF(IN364&lt;5/100,"existe relación significativa entre las ","no existe relación entre las ")</f>
        <v>0</v>
      </c>
      <c r="IO366" t="str">
        <f>IF(IO364&lt;5/100,"existe relación significativa entre las ","no existe relación entre las ")</f>
        <v>0</v>
      </c>
      <c r="IP366" t="str">
        <f>IF(IO364&lt;0,"menor","mayor")</f>
        <v>0</v>
      </c>
      <c r="IQ366" t="str">
        <f>IF(IN365&gt;=5/100,"se acepta la Ho y se rechaza la Hi","se rechaza la Ho y se acepta la Hi")</f>
        <v>0</v>
      </c>
      <c r="JH366" t="str">
        <f>IF(JH364&lt;5/100,"existe relación significativa entre las ","no existe relación entre las ")</f>
        <v>0</v>
      </c>
      <c r="JI366" t="str">
        <f>IF(JI364&lt;='Criterio para el valor r'!$A$2,'Criterio para el valor r'!$C$2,IF(JI364&lt;='Criterio para el valor r'!$A$3,'Criterio para el valor r'!$C$3,IF(JI364&lt;='Criterio para el valor r'!$A$4,'Criterio para el valor r'!$C$4,IF(JI364&lt;='Criterio para el valor r'!$A$5,'Criterio para el valor r'!$C$5,IF(JI364&lt;='Criterio para el valor r'!$A$6,'Criterio para el valor r'!$C$6,IF(JI364&lt;='Criterio para el valor r'!$A$8,'Criterio para el valor r'!$C$7,IF(JI364&lt;='Criterio para el valor r'!$A$7,'Criterio para el valor r'!$C$8,IF(JI364&lt;='Criterio para el valor r'!$B$9,'Criterio para el valor r'!$C$9,IF(JI364&lt;='Criterio para el valor r'!$B$10,'Criterio para el valor r'!$C$10,IF(JI364&lt;='Criterio para el valor r'!$B$11,'Criterio para el valor r'!$C$11,IF(JI364&lt;='Criterio para el valor r'!$B$12,'Criterio para el valor r'!$C$12,IF(JI364&lt;='Criterio para el valor r'!$B$13,'Criterio para el valor r'!$C$13,IF(JI364&lt;='Criterio para el valor r'!$B$14,'Criterio para el valor r'!$C$14,"algo esta mal")))))))))))))</f>
        <v>0</v>
      </c>
      <c r="JJ366" t="str">
        <f>IF(JI364&lt;0,"menor","mayor")</f>
        <v>0</v>
      </c>
      <c r="JK366" t="str">
        <f>IF(JH365&gt;=5/100,"se acepta la Ho y se rechaza la Hi","se rechaza la Ho y se acepta la Hi")</f>
        <v>0</v>
      </c>
      <c r="JM366" t="str">
        <f>IF(JM364&lt;5/100,"existe relación significativa entre las ","no existe relación entre las ")</f>
        <v>0</v>
      </c>
      <c r="JN366" t="str">
        <f>IF(JN364&lt;5/100,"existe relación significativa entre las ","no existe relación entre las ")</f>
        <v>0</v>
      </c>
      <c r="JO366" t="str">
        <f>IF(JN364&lt;0,"menor","mayor")</f>
        <v>0</v>
      </c>
      <c r="JP366" t="str">
        <f>IF(JM365&gt;=5/100,"se acepta la Ho y se rechaza la Hi","se rechaza la Ho y se acepta la Hi")</f>
        <v>0</v>
      </c>
      <c r="KG366" t="str">
        <f>IF(KG364&lt;5/100,"existe relación significativa entre las ","no existe relación entre las ")</f>
        <v>0</v>
      </c>
      <c r="KH366" t="str">
        <f>IF(KH364&lt;='Criterio para el valor r'!$A$2,'Criterio para el valor r'!$C$2,IF(KH364&lt;='Criterio para el valor r'!$A$3,'Criterio para el valor r'!$C$3,IF(KH364&lt;='Criterio para el valor r'!$A$4,'Criterio para el valor r'!$C$4,IF(KH364&lt;='Criterio para el valor r'!$A$5,'Criterio para el valor r'!$C$5,IF(KH364&lt;='Criterio para el valor r'!$A$6,'Criterio para el valor r'!$C$6,IF(KH364&lt;='Criterio para el valor r'!$A$8,'Criterio para el valor r'!$C$7,IF(KH364&lt;='Criterio para el valor r'!$A$7,'Criterio para el valor r'!$C$8,IF(KH364&lt;='Criterio para el valor r'!$B$9,'Criterio para el valor r'!$C$9,IF(KH364&lt;='Criterio para el valor r'!$B$10,'Criterio para el valor r'!$C$10,IF(KH364&lt;='Criterio para el valor r'!$B$11,'Criterio para el valor r'!$C$11,IF(KH364&lt;='Criterio para el valor r'!$B$12,'Criterio para el valor r'!$C$12,IF(KH364&lt;='Criterio para el valor r'!$B$13,'Criterio para el valor r'!$C$13,IF(KH364&lt;='Criterio para el valor r'!$B$14,'Criterio para el valor r'!$C$14,"algo esta mal")))))))))))))</f>
        <v>0</v>
      </c>
      <c r="KI366" t="str">
        <f>IF(KH364&lt;0,"menor","mayor")</f>
        <v>0</v>
      </c>
      <c r="KJ366" t="str">
        <f>IF(KG365&gt;=5/100,"se acepta la Ho y se rechaza la Hi","se rechaza la Ho y se acepta la Hi")</f>
        <v>0</v>
      </c>
      <c r="KL366" t="str">
        <f>IF(KL364&lt;5/100,"existe relación significativa entre las ","no existe relación entre las ")</f>
        <v>0</v>
      </c>
      <c r="KM366" t="str">
        <f>IF(KM364&lt;5/100,"existe relación significativa entre las ","no existe relación entre las ")</f>
        <v>0</v>
      </c>
      <c r="KN366" t="str">
        <f>IF(KM364&lt;0,"menor","mayor")</f>
        <v>0</v>
      </c>
      <c r="KO366" t="str">
        <f>IF(KL365&gt;=5/100,"se acepta la Ho y se rechaza la Hi","se rechaza la Ho y se acepta la Hi")</f>
        <v>0</v>
      </c>
    </row>
    <row r="369" spans="1:305">
      <c r="O369" s="27" t="str">
        <f>CONCATENATE("la ",O10," muestra los resultados de la prueba de ",P13,", en donde se evidencia que con una ",N363," del ",N365,"% ",N366," ",M364," ",O13," y ",O16,", adicional a ello se puede observar que la fuerza y/o grado de correlación ",O363," tiene un valor de ",O365,"% lo que afirma que es una ",O366," mismo que asu vez significa que a mayor ",Q12," ",P366," ",O16,", por todo ello en el presente objetivo ",Q366,".")</f>
        <v>0</v>
      </c>
      <c r="T369" s="27" t="str">
        <f>CONCATENATE("la ",T10," muestra los resultados de la prueba de ",V13,", en donde se evidencia que con una ",S363," del ",S365,"% ",S366," ",R364," ",U13," y ",U16,", adicional a ello se puede observar que la fuerza y/o grado de correlación ",T363," tiene un valor de ",T365,"% lo que afirma que es una ",T366," mismo que asu vez significa que a mayor ",W12," ",U366," ",X12,", por todo ello en el presente objetivo ",V366,".")</f>
        <v>0</v>
      </c>
      <c r="AN369" s="27" t="str">
        <f>CONCATENATE("la ",AN10," muestra los resultados de la prueba de ",AO13,", en donde se evidencia que con una ",AM363," del ",AM365,"% ",AM366," ",AL364," ",AN13," y ",AN16,", adicional a ello se puede observar que la fuerza y/o grado de correlación ",AN363," tiene un valor de ",AN365,"% lo que afirma que es una ",AN366," mismo que asu vez significa que a mayor ",AP12," ",AO366," ",AN16,", por todo ello en el presente objetivo ",AP366,".")</f>
        <v>0</v>
      </c>
      <c r="AS369" s="27" t="str">
        <f>CONCATENATE("la ",AS10," muestra los resultados de la prueba de ",AU13,", en donde se evidencia que con una ",AR363," del ",AR365,"% ",AR366," ",AQ364," ",AT13," y ",AT16,", adicional a ello se puede observar que la fuerza y/o grado de correlación ",AS363," tiene un valor de ",AS365,"% lo que afirma que es una ",AS366," mismo que asu vez significa que a mayor ",AV12," ",AT366," ",AW12,", por todo ello en el presente objetivo ",AU366,".")</f>
        <v>0</v>
      </c>
      <c r="BM369" s="27" t="str">
        <f>CONCATENATE("la ",BM10," muestra los resultados de la prueba de ",BN13,", en donde se evidencia que con una ",BL363," del ",BL365,"% ",BL366," ",BK364," ",BM13," y ",BM16,", adicional a ello se puede observar que la fuerza y/o grado de correlación ",BM363," tiene un valor de ",BM365,"% lo que afirma que es una ",BM366," mismo que asu vez significa que a mayor ",BO12," ",BN366," ",BM16,", por todo ello en el presente objetivo ",BO366,".")</f>
        <v>0</v>
      </c>
      <c r="BR369" s="27" t="str">
        <f>CONCATENATE("la ",BR10," muestra los resultados de la prueba de ",BT13,", en donde se evidencia que con una ",BQ363," del ",BQ365,"% ",BQ366," ",BP364," ",BS13," y ",BS16,", adicional a ello se puede observar que la fuerza y/o grado de correlación ",BR363," tiene un valor de ",BR365,"% lo que afirma que es una ",BR366," mismo que asu vez significa que a mayor ",BU12," ",BS366," ",BV12,", por todo ello en el presente objetivo ",BT366,".")</f>
        <v>0</v>
      </c>
      <c r="CL369" s="27" t="str">
        <f>CONCATENATE("la ",CL10," muestra los resultados de la prueba de ",CM13,", en donde se evidencia que con una ",CK363," del ",CK365,"% ",CK366," ",CJ364," ",CL13," y ",CL16,", adicional a ello se puede observar que la fuerza y/o grado de correlación ",CL363," tiene un valor de ",CL365,"% lo que afirma que es una ",CL366," mismo que asu vez significa que a mayor ",CN12," ",CM366," ",CL16,", por todo ello en el presente objetivo ",CN366,".")</f>
        <v>0</v>
      </c>
      <c r="CQ369" s="27" t="str">
        <f>CONCATENATE("la ",CQ10," muestra los resultados de la prueba de ",CS13,", en donde se evidencia que con una ",CP363," del ",CP365,"% ",CP366," ",CO364," ",CR13," y ",CR16,", adicional a ello se puede observar que la fuerza y/o grado de correlación ",CQ363," tiene un valor de ",CQ365,"% lo que afirma que es una ",CQ366," mismo que asu vez significa que a mayor ",CT12," ",CR366," ",CU12,", por todo ello en el presente objetivo ",CS366,".")</f>
        <v>0</v>
      </c>
      <c r="DM369" s="27" t="str">
        <f>CONCATENATE("la ",DM10," muestra los resultados de la prueba de ",DN13,", en donde se evidencia que con una ",DL363," del ",DL365,"% ",DL366," ",DK364," ",DM13," y ",DM16,", adicional a ello se puede observar que la fuerza y/o grado de correlación ",DM363," tiene un valor de ",DM365,"% lo que afirma que es una ",DM366," mismo que asu vez significa que a mayor ",DO12," ",DN366," ",DM16,", por todo ello en el presente objetivo ",DO366,".")</f>
        <v>0</v>
      </c>
      <c r="DR369" s="27" t="str">
        <f>CONCATENATE("la ",DR10," muestra los resultados de la prueba de ",DT13,", en donde se evidencia que con una ",DQ363," del ",DQ365,"% ",DQ366," ",DP364," ",DS13," y ",DS16,", adicional a ello se puede observar que la fuerza y/o grado de correlación ",DR363," tiene un valor de ",DR365,"% lo que afirma que es una ",DR366," mismo que asu vez significa que a mayor ",DU12," ",DS366," ",DV12,", por todo ello en el presente objetivo ",DT366,".")</f>
        <v>0</v>
      </c>
      <c r="EL369" s="27" t="str">
        <f>CONCATENATE("la ",EL10," muestra los resultados de la prueba de ",EM13,", en donde se evidencia que con una ",EK363," del ",EK365,"% ",EK366," ",EJ364," ",EL13," y ",EL16,", adicional a ello se puede observar que la fuerza y/o grado de correlación ",EL363," tiene un valor de ",EL365,"% lo que afirma que es una ",EL366," mismo que asu vez significa que a mayor ",EN12," ",EM366," ",EL16,", por todo ello en el presente objetivo ",EN366,".")</f>
        <v>0</v>
      </c>
      <c r="EQ369" s="27" t="str">
        <f>CONCATENATE("la ",EQ10," muestra los resultados de la prueba de ",ES13,", en donde se evidencia que con una ",EP363," del ",EP365,"% ",EP366," ",EO364," ",ER13," y ",ER16,", adicional a ello se puede observar que la fuerza y/o grado de correlación ",EQ363," tiene un valor de ",EQ365,"% lo que afirma que es una ",EQ366," mismo que asu vez significa que a mayor ",ET12," ",ER366," ",EU12,", por todo ello en el presente objetivo ",ES366,".")</f>
        <v>0</v>
      </c>
      <c r="FK369" s="27" t="str">
        <f>CONCATENATE("la ",FK10," muestra los resultados de la prueba de ",FL13,", en donde se evidencia que con una ",FJ363," del ",FJ365,"% ",FJ366," ",FI364," ",FK13," y ",FK16,", adicional a ello se puede observar que la fuerza y/o grado de correlación ",FK363," tiene un valor de ",FK365,"% lo que afirma que es una ",FK366," mismo que asu vez significa que a mayor ",FM12," ",FL366," ",FK16,", por todo ello en el presente objetivo ",FM366,".")</f>
        <v>0</v>
      </c>
      <c r="FP369" s="27" t="str">
        <f>CONCATENATE("la ",FP10," muestra los resultados de la prueba de ",FR13,", en donde se evidencia que con una ",FO363," del ",FO365,"% ",FO366," ",FN364," ",FQ13," y ",FQ16,", adicional a ello se puede observar que la fuerza y/o grado de correlación ",FP363," tiene un valor de ",FP365,"% lo que afirma que es una ",FP366," mismo que asu vez significa que a mayor ",FS12," ",FQ366," ",FT12,", por todo ello en el presente objetivo ",FR366,".")</f>
        <v>0</v>
      </c>
      <c r="GJ369" s="27" t="str">
        <f>CONCATENATE("la ",GJ10," muestra los resultados de la prueba de ",GK13,", en donde se evidencia que con una ",GI363," del ",GI365,"% ",GI366," ",GH364," ",GJ13," y ",GJ16,", adicional a ello se puede observar que la fuerza y/o grado de correlación ",GJ363," tiene un valor de ",GJ365,"% lo que afirma que es una ",GJ366," mismo que asu vez significa que a mayor ",GL12," ",GK366," ",GJ16,", por todo ello en el presente objetivo ",GL366,".")</f>
        <v>0</v>
      </c>
      <c r="GO369" s="27" t="str">
        <f>CONCATENATE("la ",GO10," muestra los resultados de la prueba de ",GQ13,", en donde se evidencia que con una ",GN363," del ",GN365,"% ",GN366," ",GM364," ",GP13," y ",GP16,", adicional a ello se puede observar que la fuerza y/o grado de correlación ",GO363," tiene un valor de ",GO365,"% lo que afirma que es una ",GO366," mismo que asu vez significa que a mayor ",GR12," ",GP366," ",GS12,", por todo ello en el presente objetivo ",GQ366,".")</f>
        <v>0</v>
      </c>
      <c r="HK369" s="27" t="str">
        <f>CONCATENATE("la ",HK10," muestra los resultados de la prueba de ",HL13,", en donde se evidencia que con una ",HJ363," del ",HJ365,"% ",HJ366," ",HI364," ",HK13," y ",HK16,", adicional a ello se puede observar que la fuerza y/o grado de correlación ",HK363," tiene un valor de ",HK365,"% lo que afirma que es una ",HK366," mismo que asu vez significa que a mayor ",HM12," ",HL366," ",HK16,", por todo ello en el presente objetivo ",HM366,".")</f>
        <v>0</v>
      </c>
      <c r="HP369" s="27" t="str">
        <f>CONCATENATE("la ",HP10," muestra los resultados de la prueba de ",HR13,", en donde se evidencia que con una ",HO363," del ",HO365,"% ",HO366," ",HN364," ",HQ13," y ",HQ16,", adicional a ello se puede observar que la fuerza y/o grado de correlación ",HP363," tiene un valor de ",HP365,"% lo que afirma que es una ",HP366," mismo que asu vez significa que a mayor ",HS12," ",HQ366," ",HT12,", por todo ello en el presente objetivo ",HR366,".")</f>
        <v>0</v>
      </c>
      <c r="IJ369" s="27" t="str">
        <f>CONCATENATE("la ",IJ10," muestra los resultados de la prueba de ",IK13,", en donde se evidencia que con una ",II363," del ",II365,"% ",II366," ",IH364," ",IJ13," y ",IJ16,", adicional a ello se puede observar que la fuerza y/o grado de correlación ",IJ363," tiene un valor de ",IJ365,"% lo que afirma que es una ",IJ366," mismo que asu vez significa que a mayor ",IL12," ",IK366," ",IJ16,", por todo ello en el presente objetivo ",IL366,".")</f>
        <v>0</v>
      </c>
      <c r="IO369" s="27" t="str">
        <f>CONCATENATE("la ",IO10," muestra los resultados de la prueba de ",IQ13,", en donde se evidencia que con una ",IN363," del ",IN365,"% ",IN366," ",IM364," ",IP13," y ",IP16,", adicional a ello se puede observar que la fuerza y/o grado de correlación ",IO363," tiene un valor de ",IO365,"% lo que afirma que es una ",IO366," mismo que asu vez significa que a mayor ",IR12," ",IP366," ",IS12,", por todo ello en el presente objetivo ",IQ366,".")</f>
        <v>0</v>
      </c>
      <c r="JI369" s="27" t="str">
        <f>CONCATENATE("la ",JI10," muestra los resultados de la prueba de ",JJ13,", en donde se evidencia que con una ",JH363," del ",JH365,"% ",JH366," ",JG364," ",JI13," y ",JI16,", adicional a ello se puede observar que la fuerza y/o grado de correlación ",JI363," tiene un valor de ",JI365,"% lo que afirma que es una ",JI366," mismo que asu vez significa que a mayor ",JK12," ",JJ366," ",JI16,", por todo ello en el presente objetivo ",JK366,".")</f>
        <v>0</v>
      </c>
      <c r="JN369" s="27" t="str">
        <f>CONCATENATE("la ",JN10," muestra los resultados de la prueba de ",JP13,", en donde se evidencia que con una ",JM363," del ",JM365,"% ",JM366," ",JL364," ",JO13," y ",JO16,", adicional a ello se puede observar que la fuerza y/o grado de correlación ",JN363," tiene un valor de ",JN365,"% lo que afirma que es una ",JN366," mismo que asu vez significa que a mayor ",JQ12," ",JO366," ",JR12,", por todo ello en el presente objetivo ",JP366,".")</f>
        <v>0</v>
      </c>
      <c r="KH369" s="27" t="str">
        <f>CONCATENATE("la ",KH10," muestra los resultados de la prueba de ",KI13,", en donde se evidencia que con una ",KG363," del ",KG365,"% ",KG366," ",KF364," ",KH13," y ",KH16,", adicional a ello se puede observar que la fuerza y/o grado de correlación ",KH363," tiene un valor de ",KH365,"% lo que afirma que es una ",KH366," mismo que asu vez significa que a mayor ",KJ12," ",KI366," ",KH16,", por todo ello en el presente objetivo ",KJ366,".")</f>
        <v>0</v>
      </c>
      <c r="KM369" s="27" t="str">
        <f>CONCATENATE("la ",KM10," muestra los resultados de la prueba de ",KO13,", en donde se evidencia que con una ",KL363," del ",KL365,"% ",KL366," ",KK364," ",KN13," y ",KN16,", adicional a ello se puede observar que la fuerza y/o grado de correlación ",KM363," tiene un valor de ",KM365,"% lo que afirma que es una ",KM366," mismo que asu vez significa que a mayor ",KP12," ",KN366," ",KQ12,", por todo ello en el presente objetivo ",KO366,".")</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C24:C24"/>
    <mergeCell ref="C25:C25"/>
    <mergeCell ref="C26:C26"/>
    <mergeCell ref="C27:C27"/>
    <mergeCell ref="C28:C28"/>
    <mergeCell ref="C29:C29"/>
    <mergeCell ref="C30:C30"/>
    <mergeCell ref="C31:C31"/>
    <mergeCell ref="C32:C32"/>
    <mergeCell ref="C33:C33"/>
    <mergeCell ref="C34:C34"/>
    <mergeCell ref="C35:C35"/>
    <mergeCell ref="C36:C36"/>
    <mergeCell ref="C37:C37"/>
    <mergeCell ref="C38:C38"/>
    <mergeCell ref="C39:C39"/>
    <mergeCell ref="C40:C40"/>
    <mergeCell ref="C41:C41"/>
    <mergeCell ref="C42:C42"/>
    <mergeCell ref="C43:C43"/>
    <mergeCell ref="C44:C44"/>
    <mergeCell ref="C45:C45"/>
    <mergeCell ref="C46:C46"/>
    <mergeCell ref="C47:C47"/>
    <mergeCell ref="C48:C48"/>
    <mergeCell ref="C49:C49"/>
    <mergeCell ref="C50:C50"/>
    <mergeCell ref="C51:C51"/>
    <mergeCell ref="C52:C52"/>
    <mergeCell ref="C53:C53"/>
    <mergeCell ref="C54:C54"/>
    <mergeCell ref="C55:C55"/>
    <mergeCell ref="C56:C56"/>
    <mergeCell ref="C57:C57"/>
    <mergeCell ref="C58:C58"/>
    <mergeCell ref="C59:C59"/>
    <mergeCell ref="C60:C60"/>
    <mergeCell ref="C61:C61"/>
    <mergeCell ref="C62:C62"/>
    <mergeCell ref="C63:C63"/>
    <mergeCell ref="C64:C64"/>
    <mergeCell ref="C65:C65"/>
    <mergeCell ref="C66:C66"/>
    <mergeCell ref="C67:C67"/>
    <mergeCell ref="C68:C68"/>
    <mergeCell ref="C69:C69"/>
    <mergeCell ref="C70:C70"/>
    <mergeCell ref="C71:C71"/>
    <mergeCell ref="C72:C72"/>
    <mergeCell ref="C73:C73"/>
    <mergeCell ref="C74:C74"/>
    <mergeCell ref="C75:C75"/>
    <mergeCell ref="C76:C76"/>
    <mergeCell ref="C77:C77"/>
    <mergeCell ref="C78:C78"/>
    <mergeCell ref="C79:C79"/>
    <mergeCell ref="C80:C80"/>
    <mergeCell ref="C81:C81"/>
    <mergeCell ref="C82:C82"/>
    <mergeCell ref="C83:C83"/>
    <mergeCell ref="C84:C84"/>
    <mergeCell ref="C85:C85"/>
    <mergeCell ref="C86:C86"/>
    <mergeCell ref="C87:C87"/>
    <mergeCell ref="C88:C88"/>
    <mergeCell ref="C89:C89"/>
    <mergeCell ref="C90:C90"/>
    <mergeCell ref="C91:C91"/>
    <mergeCell ref="C92:C92"/>
    <mergeCell ref="C93:C93"/>
    <mergeCell ref="C94:C94"/>
    <mergeCell ref="C95:C95"/>
    <mergeCell ref="C96:C96"/>
    <mergeCell ref="C97:C97"/>
    <mergeCell ref="C98:C98"/>
    <mergeCell ref="C99:C99"/>
    <mergeCell ref="C100:C100"/>
    <mergeCell ref="C101:C101"/>
    <mergeCell ref="C102:C102"/>
    <mergeCell ref="C103:C103"/>
    <mergeCell ref="C104:C104"/>
    <mergeCell ref="C105:C105"/>
    <mergeCell ref="C106:C106"/>
    <mergeCell ref="C107:C107"/>
    <mergeCell ref="C108:C108"/>
    <mergeCell ref="C109:C109"/>
    <mergeCell ref="C110:C110"/>
    <mergeCell ref="C111:C111"/>
    <mergeCell ref="C112:C112"/>
    <mergeCell ref="C113:C113"/>
    <mergeCell ref="C114:C114"/>
    <mergeCell ref="C115:C115"/>
    <mergeCell ref="C116:C116"/>
    <mergeCell ref="C117:C117"/>
    <mergeCell ref="C118:C118"/>
    <mergeCell ref="C119:C119"/>
    <mergeCell ref="C120:C120"/>
    <mergeCell ref="C121:C121"/>
    <mergeCell ref="C122:C122"/>
    <mergeCell ref="C123:C123"/>
    <mergeCell ref="C124:C124"/>
    <mergeCell ref="C125:C125"/>
    <mergeCell ref="C126:C126"/>
    <mergeCell ref="C127:C127"/>
    <mergeCell ref="C128:C128"/>
    <mergeCell ref="C129:C129"/>
    <mergeCell ref="C130:C130"/>
    <mergeCell ref="C131:C131"/>
    <mergeCell ref="C132:C132"/>
    <mergeCell ref="C133:C133"/>
    <mergeCell ref="C134:C134"/>
    <mergeCell ref="C135:C135"/>
    <mergeCell ref="C136:C136"/>
    <mergeCell ref="C137:C137"/>
    <mergeCell ref="C138:C138"/>
    <mergeCell ref="C139:C139"/>
    <mergeCell ref="C140:C140"/>
    <mergeCell ref="C141:C141"/>
    <mergeCell ref="C142:C142"/>
    <mergeCell ref="C143:C143"/>
    <mergeCell ref="C144:C144"/>
    <mergeCell ref="C145:C145"/>
    <mergeCell ref="C146:C146"/>
    <mergeCell ref="C147:C147"/>
    <mergeCell ref="C148:C148"/>
    <mergeCell ref="C149:C149"/>
    <mergeCell ref="C150:C150"/>
    <mergeCell ref="C151:C151"/>
    <mergeCell ref="C152:C152"/>
    <mergeCell ref="C153:C153"/>
    <mergeCell ref="C154:C154"/>
    <mergeCell ref="C155:C155"/>
    <mergeCell ref="C156:C156"/>
    <mergeCell ref="C157:C157"/>
    <mergeCell ref="C158:C158"/>
    <mergeCell ref="C159:C159"/>
    <mergeCell ref="C160:C160"/>
    <mergeCell ref="C161:C161"/>
    <mergeCell ref="C162:C162"/>
    <mergeCell ref="C163:C163"/>
    <mergeCell ref="C164:C164"/>
    <mergeCell ref="C165:C165"/>
    <mergeCell ref="C166:C166"/>
    <mergeCell ref="C167:C167"/>
    <mergeCell ref="C168:C168"/>
    <mergeCell ref="C169:C169"/>
    <mergeCell ref="C170:C170"/>
    <mergeCell ref="C171:C171"/>
    <mergeCell ref="C172:C172"/>
    <mergeCell ref="C173:C173"/>
    <mergeCell ref="C174:C174"/>
    <mergeCell ref="C175:C175"/>
    <mergeCell ref="C176:C176"/>
    <mergeCell ref="C177:C177"/>
    <mergeCell ref="C178:C178"/>
    <mergeCell ref="C179:C179"/>
    <mergeCell ref="C180:C180"/>
    <mergeCell ref="C181:C181"/>
    <mergeCell ref="C182:C182"/>
    <mergeCell ref="C183:C183"/>
    <mergeCell ref="C184:C184"/>
    <mergeCell ref="C185:C185"/>
    <mergeCell ref="C186:C186"/>
    <mergeCell ref="C187:C187"/>
    <mergeCell ref="C188:C188"/>
    <mergeCell ref="C189:C189"/>
    <mergeCell ref="C190:C190"/>
    <mergeCell ref="C191:C191"/>
    <mergeCell ref="C192:C192"/>
    <mergeCell ref="C193:C193"/>
    <mergeCell ref="C194:C194"/>
    <mergeCell ref="C195:C195"/>
    <mergeCell ref="C196:C196"/>
    <mergeCell ref="C197:C197"/>
    <mergeCell ref="C198:C198"/>
    <mergeCell ref="C199:C199"/>
    <mergeCell ref="C200:C200"/>
    <mergeCell ref="C201:C201"/>
    <mergeCell ref="C202:C202"/>
    <mergeCell ref="C203:C203"/>
    <mergeCell ref="C204:C204"/>
    <mergeCell ref="C205:C205"/>
    <mergeCell ref="C206:C206"/>
    <mergeCell ref="C207:C207"/>
    <mergeCell ref="C208:C208"/>
    <mergeCell ref="C209:C209"/>
    <mergeCell ref="C210:C210"/>
    <mergeCell ref="C211:C211"/>
    <mergeCell ref="C212:C212"/>
    <mergeCell ref="C213:C213"/>
    <mergeCell ref="C214:C214"/>
    <mergeCell ref="C215:C215"/>
    <mergeCell ref="C216:C216"/>
    <mergeCell ref="C217:C217"/>
    <mergeCell ref="C218:C218"/>
    <mergeCell ref="C219:C219"/>
    <mergeCell ref="C220:C220"/>
    <mergeCell ref="C221:C221"/>
    <mergeCell ref="C222:C222"/>
    <mergeCell ref="C223:C223"/>
    <mergeCell ref="C224:C224"/>
    <mergeCell ref="C225:C225"/>
    <mergeCell ref="C226:C226"/>
    <mergeCell ref="C227:C227"/>
    <mergeCell ref="C228:C228"/>
    <mergeCell ref="C229:C229"/>
    <mergeCell ref="C230:C230"/>
    <mergeCell ref="C231:C231"/>
    <mergeCell ref="C232:C232"/>
    <mergeCell ref="C233:C233"/>
    <mergeCell ref="C234:C234"/>
    <mergeCell ref="C235:C235"/>
    <mergeCell ref="C236:C236"/>
    <mergeCell ref="C237:C237"/>
    <mergeCell ref="C238:C238"/>
    <mergeCell ref="C239:C239"/>
    <mergeCell ref="C240:C240"/>
    <mergeCell ref="C241:C241"/>
    <mergeCell ref="C242:C242"/>
    <mergeCell ref="C243:C243"/>
    <mergeCell ref="C244:C244"/>
    <mergeCell ref="C245:C245"/>
    <mergeCell ref="C246:C246"/>
    <mergeCell ref="C247:C247"/>
    <mergeCell ref="C248:C248"/>
    <mergeCell ref="C249:C249"/>
    <mergeCell ref="C250:C250"/>
    <mergeCell ref="C251:C251"/>
    <mergeCell ref="C252:C252"/>
    <mergeCell ref="C253:C253"/>
    <mergeCell ref="C254:C254"/>
    <mergeCell ref="C255:C255"/>
    <mergeCell ref="C256:C256"/>
    <mergeCell ref="C257:C257"/>
    <mergeCell ref="C258:C258"/>
    <mergeCell ref="C259:C259"/>
    <mergeCell ref="C260:C260"/>
    <mergeCell ref="C261:C261"/>
    <mergeCell ref="C262:C262"/>
    <mergeCell ref="C263:C263"/>
    <mergeCell ref="C264:C264"/>
    <mergeCell ref="C265:C265"/>
    <mergeCell ref="C266:C266"/>
    <mergeCell ref="C267:C267"/>
    <mergeCell ref="C268:C268"/>
    <mergeCell ref="C269:C269"/>
    <mergeCell ref="C270:C270"/>
    <mergeCell ref="C271:C271"/>
    <mergeCell ref="C272:C272"/>
    <mergeCell ref="C273:C273"/>
    <mergeCell ref="C274:C274"/>
    <mergeCell ref="C275:C275"/>
    <mergeCell ref="C276:C276"/>
    <mergeCell ref="C277:C277"/>
    <mergeCell ref="C278:C278"/>
    <mergeCell ref="C279:C279"/>
    <mergeCell ref="C280:C280"/>
    <mergeCell ref="C281:C281"/>
    <mergeCell ref="C282:C282"/>
    <mergeCell ref="C283:C283"/>
    <mergeCell ref="C284:C284"/>
    <mergeCell ref="C285:C285"/>
    <mergeCell ref="C286:C286"/>
    <mergeCell ref="C287:C287"/>
    <mergeCell ref="C288:C288"/>
    <mergeCell ref="C289:C289"/>
    <mergeCell ref="C290:C290"/>
    <mergeCell ref="C291:C291"/>
    <mergeCell ref="C292:C292"/>
    <mergeCell ref="C293:C293"/>
    <mergeCell ref="C294:C294"/>
    <mergeCell ref="C295:C295"/>
    <mergeCell ref="C296:C296"/>
    <mergeCell ref="C297:C297"/>
    <mergeCell ref="C298:C298"/>
    <mergeCell ref="C299:C299"/>
    <mergeCell ref="C300:C300"/>
    <mergeCell ref="C301:C301"/>
    <mergeCell ref="C302:C302"/>
    <mergeCell ref="C303:C303"/>
    <mergeCell ref="C304:C304"/>
    <mergeCell ref="C305:C305"/>
    <mergeCell ref="C306:C306"/>
    <mergeCell ref="C307:C307"/>
    <mergeCell ref="C308:C308"/>
    <mergeCell ref="C309:C309"/>
    <mergeCell ref="C310:C310"/>
    <mergeCell ref="C311:C311"/>
    <mergeCell ref="C312:C312"/>
    <mergeCell ref="C313:C313"/>
    <mergeCell ref="C314:C314"/>
    <mergeCell ref="C315:C315"/>
    <mergeCell ref="C316:C316"/>
    <mergeCell ref="C317:C317"/>
    <mergeCell ref="C318:C318"/>
    <mergeCell ref="C319:C319"/>
    <mergeCell ref="C320:C320"/>
    <mergeCell ref="C321:C321"/>
    <mergeCell ref="C322:C322"/>
    <mergeCell ref="C323:C323"/>
    <mergeCell ref="C324:C324"/>
    <mergeCell ref="C325:C325"/>
    <mergeCell ref="C326:C326"/>
    <mergeCell ref="C327:C327"/>
    <mergeCell ref="C328:C328"/>
    <mergeCell ref="C329:C329"/>
    <mergeCell ref="C330:C330"/>
    <mergeCell ref="C331:C331"/>
    <mergeCell ref="C332:C332"/>
    <mergeCell ref="C333:C333"/>
    <mergeCell ref="C334:C334"/>
    <mergeCell ref="C335:C335"/>
    <mergeCell ref="C336:C336"/>
    <mergeCell ref="C337:C337"/>
    <mergeCell ref="C338:C338"/>
    <mergeCell ref="C339:C339"/>
    <mergeCell ref="C340:C340"/>
    <mergeCell ref="C341:C341"/>
    <mergeCell ref="C342:C342"/>
    <mergeCell ref="C343:C343"/>
    <mergeCell ref="C344:C344"/>
    <mergeCell ref="C345:C345"/>
    <mergeCell ref="C346:C346"/>
    <mergeCell ref="C347:C347"/>
    <mergeCell ref="C348:C348"/>
    <mergeCell ref="C349:C349"/>
    <mergeCell ref="C350:C350"/>
    <mergeCell ref="C351:C351"/>
    <mergeCell ref="C352:C352"/>
    <mergeCell ref="C353:C353"/>
    <mergeCell ref="C354:C354"/>
    <mergeCell ref="C355:C355"/>
    <mergeCell ref="C356:C356"/>
    <mergeCell ref="C357:C357"/>
    <mergeCell ref="C358:C358"/>
    <mergeCell ref="G5:M5"/>
    <mergeCell ref="G12:M17"/>
    <mergeCell ref="G10:M10"/>
    <mergeCell ref="G6:G7"/>
    <mergeCell ref="H6:J6"/>
    <mergeCell ref="K6:M6"/>
    <mergeCell ref="O11:R11"/>
    <mergeCell ref="O12:P12"/>
    <mergeCell ref="O13:O15"/>
    <mergeCell ref="O16:O18"/>
    <mergeCell ref="O19:R19"/>
    <mergeCell ref="O369:R374"/>
    <mergeCell ref="T11:X11"/>
    <mergeCell ref="T12:V12"/>
    <mergeCell ref="T19:X19"/>
    <mergeCell ref="T13:T18"/>
    <mergeCell ref="T369:W374"/>
    <mergeCell ref="U13:U15"/>
    <mergeCell ref="U16:U18"/>
    <mergeCell ref="AB4:AB4"/>
    <mergeCell ref="AB5:AB5"/>
    <mergeCell ref="AB6:AB6"/>
    <mergeCell ref="AB7:AB7"/>
    <mergeCell ref="AB8:AB8"/>
    <mergeCell ref="AB9:AB9"/>
    <mergeCell ref="AB10:AB10"/>
    <mergeCell ref="AB11:AB11"/>
    <mergeCell ref="AB12:AB12"/>
    <mergeCell ref="AB13:AB13"/>
    <mergeCell ref="AB14:AB14"/>
    <mergeCell ref="AB15:AB15"/>
    <mergeCell ref="AB16:AB16"/>
    <mergeCell ref="AB17:AB17"/>
    <mergeCell ref="AB18:AB18"/>
    <mergeCell ref="AB19:AB19"/>
    <mergeCell ref="AB20:AB20"/>
    <mergeCell ref="AB21:AB21"/>
    <mergeCell ref="AB22:AB22"/>
    <mergeCell ref="AB23:AB23"/>
    <mergeCell ref="AB24:AB24"/>
    <mergeCell ref="AB25:AB25"/>
    <mergeCell ref="AB26:AB26"/>
    <mergeCell ref="AB27:AB27"/>
    <mergeCell ref="AB28:AB28"/>
    <mergeCell ref="AB29:AB29"/>
    <mergeCell ref="AB30:AB30"/>
    <mergeCell ref="AB31:AB31"/>
    <mergeCell ref="AB32:AB32"/>
    <mergeCell ref="AB33:AB33"/>
    <mergeCell ref="AB34:AB34"/>
    <mergeCell ref="AB35:AB35"/>
    <mergeCell ref="AB36:AB36"/>
    <mergeCell ref="AB37:AB37"/>
    <mergeCell ref="AB38:AB38"/>
    <mergeCell ref="AB39:AB39"/>
    <mergeCell ref="AB40:AB40"/>
    <mergeCell ref="AB41:AB41"/>
    <mergeCell ref="AB42:AB42"/>
    <mergeCell ref="AB43:AB43"/>
    <mergeCell ref="AB44:AB44"/>
    <mergeCell ref="AB45:AB45"/>
    <mergeCell ref="AB46:AB46"/>
    <mergeCell ref="AB47:AB47"/>
    <mergeCell ref="AB48:AB48"/>
    <mergeCell ref="AB49:AB49"/>
    <mergeCell ref="AB50:AB50"/>
    <mergeCell ref="AB51:AB51"/>
    <mergeCell ref="AB52:AB52"/>
    <mergeCell ref="AB53:AB53"/>
    <mergeCell ref="AB54:AB54"/>
    <mergeCell ref="AB55:AB55"/>
    <mergeCell ref="AB56:AB56"/>
    <mergeCell ref="AB57:AB57"/>
    <mergeCell ref="AB58:AB58"/>
    <mergeCell ref="AB59:AB59"/>
    <mergeCell ref="AB60:AB60"/>
    <mergeCell ref="AB61:AB61"/>
    <mergeCell ref="AB62:AB62"/>
    <mergeCell ref="AB63:AB63"/>
    <mergeCell ref="AB64:AB64"/>
    <mergeCell ref="AB65:AB65"/>
    <mergeCell ref="AB66:AB66"/>
    <mergeCell ref="AB67:AB67"/>
    <mergeCell ref="AB68:AB68"/>
    <mergeCell ref="AB69:AB69"/>
    <mergeCell ref="AB70:AB70"/>
    <mergeCell ref="AB71:AB71"/>
    <mergeCell ref="AB72:AB72"/>
    <mergeCell ref="AB73:AB73"/>
    <mergeCell ref="AB74:AB74"/>
    <mergeCell ref="AB75:AB75"/>
    <mergeCell ref="AB76:AB76"/>
    <mergeCell ref="AB77:AB77"/>
    <mergeCell ref="AB78:AB78"/>
    <mergeCell ref="AB79:AB79"/>
    <mergeCell ref="AB80:AB80"/>
    <mergeCell ref="AB81:AB81"/>
    <mergeCell ref="AB82:AB82"/>
    <mergeCell ref="AB83:AB83"/>
    <mergeCell ref="AB84:AB84"/>
    <mergeCell ref="AB85:AB85"/>
    <mergeCell ref="AB86:AB86"/>
    <mergeCell ref="AB87:AB87"/>
    <mergeCell ref="AB88:AB88"/>
    <mergeCell ref="AB89:AB89"/>
    <mergeCell ref="AB90:AB90"/>
    <mergeCell ref="AB91:AB91"/>
    <mergeCell ref="AB92:AB92"/>
    <mergeCell ref="AB93:AB93"/>
    <mergeCell ref="AB94:AB94"/>
    <mergeCell ref="AB95:AB95"/>
    <mergeCell ref="AB96:AB96"/>
    <mergeCell ref="AB97:AB97"/>
    <mergeCell ref="AB98:AB98"/>
    <mergeCell ref="AB99:AB99"/>
    <mergeCell ref="AB100:AB100"/>
    <mergeCell ref="AB101:AB101"/>
    <mergeCell ref="AB102:AB102"/>
    <mergeCell ref="AB103:AB103"/>
    <mergeCell ref="AB104:AB104"/>
    <mergeCell ref="AB105:AB105"/>
    <mergeCell ref="AB106:AB106"/>
    <mergeCell ref="AB107:AB107"/>
    <mergeCell ref="AB108:AB108"/>
    <mergeCell ref="AB109:AB109"/>
    <mergeCell ref="AB110:AB110"/>
    <mergeCell ref="AB111:AB111"/>
    <mergeCell ref="AB112:AB112"/>
    <mergeCell ref="AB113:AB113"/>
    <mergeCell ref="AB114:AB114"/>
    <mergeCell ref="AB115:AB115"/>
    <mergeCell ref="AB116:AB116"/>
    <mergeCell ref="AB117:AB117"/>
    <mergeCell ref="AB118:AB118"/>
    <mergeCell ref="AB119:AB119"/>
    <mergeCell ref="AB120:AB120"/>
    <mergeCell ref="AB121:AB121"/>
    <mergeCell ref="AB122:AB122"/>
    <mergeCell ref="AB123:AB123"/>
    <mergeCell ref="AB124:AB124"/>
    <mergeCell ref="AB125:AB125"/>
    <mergeCell ref="AB126:AB126"/>
    <mergeCell ref="AB127:AB127"/>
    <mergeCell ref="AB128:AB128"/>
    <mergeCell ref="AB129:AB129"/>
    <mergeCell ref="AB130:AB130"/>
    <mergeCell ref="AB131:AB131"/>
    <mergeCell ref="AB132:AB132"/>
    <mergeCell ref="AB133:AB133"/>
    <mergeCell ref="AB134:AB134"/>
    <mergeCell ref="AB135:AB135"/>
    <mergeCell ref="AB136:AB136"/>
    <mergeCell ref="AB137:AB137"/>
    <mergeCell ref="AB138:AB138"/>
    <mergeCell ref="AB139:AB139"/>
    <mergeCell ref="AB140:AB140"/>
    <mergeCell ref="AB141:AB141"/>
    <mergeCell ref="AB142:AB142"/>
    <mergeCell ref="AB143:AB143"/>
    <mergeCell ref="AB144:AB144"/>
    <mergeCell ref="AB145:AB145"/>
    <mergeCell ref="AB146:AB146"/>
    <mergeCell ref="AB147:AB147"/>
    <mergeCell ref="AB148:AB148"/>
    <mergeCell ref="AB149:AB149"/>
    <mergeCell ref="AB150:AB150"/>
    <mergeCell ref="AB151:AB151"/>
    <mergeCell ref="AB152:AB152"/>
    <mergeCell ref="AB153:AB153"/>
    <mergeCell ref="AB154:AB154"/>
    <mergeCell ref="AB155:AB155"/>
    <mergeCell ref="AB156:AB156"/>
    <mergeCell ref="AB157:AB157"/>
    <mergeCell ref="AB158:AB158"/>
    <mergeCell ref="AB159:AB159"/>
    <mergeCell ref="AB160:AB160"/>
    <mergeCell ref="AB161:AB161"/>
    <mergeCell ref="AB162:AB162"/>
    <mergeCell ref="AB163:AB163"/>
    <mergeCell ref="AB164:AB164"/>
    <mergeCell ref="AB165:AB165"/>
    <mergeCell ref="AB166:AB166"/>
    <mergeCell ref="AB167:AB167"/>
    <mergeCell ref="AB168:AB168"/>
    <mergeCell ref="AB169:AB169"/>
    <mergeCell ref="AB170:AB170"/>
    <mergeCell ref="AB171:AB171"/>
    <mergeCell ref="AB172:AB172"/>
    <mergeCell ref="AB173:AB173"/>
    <mergeCell ref="AB174:AB174"/>
    <mergeCell ref="AB175:AB175"/>
    <mergeCell ref="AB176:AB176"/>
    <mergeCell ref="AB177:AB177"/>
    <mergeCell ref="AB178:AB178"/>
    <mergeCell ref="AB179:AB179"/>
    <mergeCell ref="AB180:AB180"/>
    <mergeCell ref="AB181:AB181"/>
    <mergeCell ref="AB182:AB182"/>
    <mergeCell ref="AB183:AB183"/>
    <mergeCell ref="AB184:AB184"/>
    <mergeCell ref="AB185:AB185"/>
    <mergeCell ref="AB186:AB186"/>
    <mergeCell ref="AB187:AB187"/>
    <mergeCell ref="AB188:AB188"/>
    <mergeCell ref="AB189:AB189"/>
    <mergeCell ref="AB190:AB190"/>
    <mergeCell ref="AB191:AB191"/>
    <mergeCell ref="AB192:AB192"/>
    <mergeCell ref="AB193:AB193"/>
    <mergeCell ref="AB194:AB194"/>
    <mergeCell ref="AB195:AB195"/>
    <mergeCell ref="AB196:AB196"/>
    <mergeCell ref="AB197:AB197"/>
    <mergeCell ref="AB198:AB198"/>
    <mergeCell ref="AB199:AB199"/>
    <mergeCell ref="AB200:AB200"/>
    <mergeCell ref="AB201:AB201"/>
    <mergeCell ref="AB202:AB202"/>
    <mergeCell ref="AB203:AB203"/>
    <mergeCell ref="AB204:AB204"/>
    <mergeCell ref="AB205:AB205"/>
    <mergeCell ref="AB206:AB206"/>
    <mergeCell ref="AB207:AB207"/>
    <mergeCell ref="AB208:AB208"/>
    <mergeCell ref="AB209:AB209"/>
    <mergeCell ref="AB210:AB210"/>
    <mergeCell ref="AB211:AB211"/>
    <mergeCell ref="AB212:AB212"/>
    <mergeCell ref="AB213:AB213"/>
    <mergeCell ref="AB214:AB214"/>
    <mergeCell ref="AB215:AB215"/>
    <mergeCell ref="AB216:AB216"/>
    <mergeCell ref="AB217:AB217"/>
    <mergeCell ref="AB218:AB218"/>
    <mergeCell ref="AB219:AB219"/>
    <mergeCell ref="AB220:AB220"/>
    <mergeCell ref="AB221:AB221"/>
    <mergeCell ref="AB222:AB222"/>
    <mergeCell ref="AB223:AB223"/>
    <mergeCell ref="AB224:AB224"/>
    <mergeCell ref="AB225:AB225"/>
    <mergeCell ref="AB226:AB226"/>
    <mergeCell ref="AB227:AB227"/>
    <mergeCell ref="AB228:AB228"/>
    <mergeCell ref="AB229:AB229"/>
    <mergeCell ref="AB230:AB230"/>
    <mergeCell ref="AB231:AB231"/>
    <mergeCell ref="AB232:AB232"/>
    <mergeCell ref="AB233:AB233"/>
    <mergeCell ref="AB234:AB234"/>
    <mergeCell ref="AB235:AB235"/>
    <mergeCell ref="AB236:AB236"/>
    <mergeCell ref="AB237:AB237"/>
    <mergeCell ref="AB238:AB238"/>
    <mergeCell ref="AB239:AB239"/>
    <mergeCell ref="AB240:AB240"/>
    <mergeCell ref="AB241:AB241"/>
    <mergeCell ref="AB242:AB242"/>
    <mergeCell ref="AB243:AB243"/>
    <mergeCell ref="AB244:AB244"/>
    <mergeCell ref="AB245:AB245"/>
    <mergeCell ref="AB246:AB246"/>
    <mergeCell ref="AB247:AB247"/>
    <mergeCell ref="AB248:AB248"/>
    <mergeCell ref="AB249:AB249"/>
    <mergeCell ref="AB250:AB250"/>
    <mergeCell ref="AB251:AB251"/>
    <mergeCell ref="AB252:AB252"/>
    <mergeCell ref="AB253:AB253"/>
    <mergeCell ref="AB254:AB254"/>
    <mergeCell ref="AB255:AB255"/>
    <mergeCell ref="AB256:AB256"/>
    <mergeCell ref="AB257:AB257"/>
    <mergeCell ref="AB258:AB258"/>
    <mergeCell ref="AB259:AB259"/>
    <mergeCell ref="AB260:AB260"/>
    <mergeCell ref="AB261:AB261"/>
    <mergeCell ref="AB262:AB262"/>
    <mergeCell ref="AB263:AB263"/>
    <mergeCell ref="AB264:AB264"/>
    <mergeCell ref="AB265:AB265"/>
    <mergeCell ref="AB266:AB266"/>
    <mergeCell ref="AB267:AB267"/>
    <mergeCell ref="AB268:AB268"/>
    <mergeCell ref="AB269:AB269"/>
    <mergeCell ref="AB270:AB270"/>
    <mergeCell ref="AB271:AB271"/>
    <mergeCell ref="AB272:AB272"/>
    <mergeCell ref="AB273:AB273"/>
    <mergeCell ref="AB274:AB274"/>
    <mergeCell ref="AB275:AB275"/>
    <mergeCell ref="AB276:AB276"/>
    <mergeCell ref="AB277:AB277"/>
    <mergeCell ref="AB278:AB278"/>
    <mergeCell ref="AB279:AB279"/>
    <mergeCell ref="AB280:AB280"/>
    <mergeCell ref="AB281:AB281"/>
    <mergeCell ref="AB282:AB282"/>
    <mergeCell ref="AB283:AB283"/>
    <mergeCell ref="AB284:AB284"/>
    <mergeCell ref="AB285:AB285"/>
    <mergeCell ref="AB286:AB286"/>
    <mergeCell ref="AB287:AB287"/>
    <mergeCell ref="AB288:AB288"/>
    <mergeCell ref="AB289:AB289"/>
    <mergeCell ref="AB290:AB290"/>
    <mergeCell ref="AB291:AB291"/>
    <mergeCell ref="AB292:AB292"/>
    <mergeCell ref="AB293:AB293"/>
    <mergeCell ref="AB294:AB294"/>
    <mergeCell ref="AB295:AB295"/>
    <mergeCell ref="AB296:AB296"/>
    <mergeCell ref="AB297:AB297"/>
    <mergeCell ref="AB298:AB298"/>
    <mergeCell ref="AB299:AB299"/>
    <mergeCell ref="AB300:AB300"/>
    <mergeCell ref="AB301:AB301"/>
    <mergeCell ref="AB302:AB302"/>
    <mergeCell ref="AB303:AB303"/>
    <mergeCell ref="AB304:AB304"/>
    <mergeCell ref="AB305:AB305"/>
    <mergeCell ref="AB306:AB306"/>
    <mergeCell ref="AB307:AB307"/>
    <mergeCell ref="AB308:AB308"/>
    <mergeCell ref="AB309:AB309"/>
    <mergeCell ref="AB310:AB310"/>
    <mergeCell ref="AB311:AB311"/>
    <mergeCell ref="AB312:AB312"/>
    <mergeCell ref="AB313:AB313"/>
    <mergeCell ref="AB314:AB314"/>
    <mergeCell ref="AB315:AB315"/>
    <mergeCell ref="AB316:AB316"/>
    <mergeCell ref="AB317:AB317"/>
    <mergeCell ref="AB318:AB318"/>
    <mergeCell ref="AB319:AB319"/>
    <mergeCell ref="AB320:AB320"/>
    <mergeCell ref="AB321:AB321"/>
    <mergeCell ref="AB322:AB322"/>
    <mergeCell ref="AB323:AB323"/>
    <mergeCell ref="AB324:AB324"/>
    <mergeCell ref="AB325:AB325"/>
    <mergeCell ref="AB326:AB326"/>
    <mergeCell ref="AB327:AB327"/>
    <mergeCell ref="AB328:AB328"/>
    <mergeCell ref="AB329:AB329"/>
    <mergeCell ref="AB330:AB330"/>
    <mergeCell ref="AB331:AB331"/>
    <mergeCell ref="AB332:AB332"/>
    <mergeCell ref="AB333:AB333"/>
    <mergeCell ref="AB334:AB334"/>
    <mergeCell ref="AB335:AB335"/>
    <mergeCell ref="AB336:AB336"/>
    <mergeCell ref="AB337:AB337"/>
    <mergeCell ref="AB338:AB338"/>
    <mergeCell ref="AB339:AB339"/>
    <mergeCell ref="AB340:AB340"/>
    <mergeCell ref="AB341:AB341"/>
    <mergeCell ref="AB342:AB342"/>
    <mergeCell ref="AB343:AB343"/>
    <mergeCell ref="AB344:AB344"/>
    <mergeCell ref="AB345:AB345"/>
    <mergeCell ref="AB346:AB346"/>
    <mergeCell ref="AB347:AB347"/>
    <mergeCell ref="AB348:AB348"/>
    <mergeCell ref="AB349:AB349"/>
    <mergeCell ref="AB350:AB350"/>
    <mergeCell ref="AB351:AB351"/>
    <mergeCell ref="AB352:AB352"/>
    <mergeCell ref="AB353:AB353"/>
    <mergeCell ref="AB354:AB354"/>
    <mergeCell ref="AB355:AB355"/>
    <mergeCell ref="AB356:AB356"/>
    <mergeCell ref="AB357:AB357"/>
    <mergeCell ref="AB358:AB358"/>
    <mergeCell ref="AF5:AL5"/>
    <mergeCell ref="AF12:AL17"/>
    <mergeCell ref="AF10:AL10"/>
    <mergeCell ref="AF6:AF7"/>
    <mergeCell ref="AG6:AI6"/>
    <mergeCell ref="AJ6:AL6"/>
    <mergeCell ref="AN11:AQ11"/>
    <mergeCell ref="AN12:AO12"/>
    <mergeCell ref="AN13:AN15"/>
    <mergeCell ref="AN16:AN18"/>
    <mergeCell ref="AN19:AQ19"/>
    <mergeCell ref="AN369:AQ374"/>
    <mergeCell ref="AS11:AW11"/>
    <mergeCell ref="AS12:AU12"/>
    <mergeCell ref="AS19:AW19"/>
    <mergeCell ref="AS13:AS18"/>
    <mergeCell ref="AS369:AV374"/>
    <mergeCell ref="AT13:AT15"/>
    <mergeCell ref="AT16:AT18"/>
    <mergeCell ref="BA4:BA4"/>
    <mergeCell ref="BA5:BA5"/>
    <mergeCell ref="BA6:BA6"/>
    <mergeCell ref="BA7:BA7"/>
    <mergeCell ref="BA8:BA8"/>
    <mergeCell ref="BA9:BA9"/>
    <mergeCell ref="BA10:BA10"/>
    <mergeCell ref="BA11:BA11"/>
    <mergeCell ref="BA12:BA12"/>
    <mergeCell ref="BA13:BA13"/>
    <mergeCell ref="BA14:BA14"/>
    <mergeCell ref="BA15:BA15"/>
    <mergeCell ref="BA16:BA16"/>
    <mergeCell ref="BA17:BA17"/>
    <mergeCell ref="BA18:BA18"/>
    <mergeCell ref="BA19:BA19"/>
    <mergeCell ref="BA20:BA20"/>
    <mergeCell ref="BA21:BA21"/>
    <mergeCell ref="BA22:BA22"/>
    <mergeCell ref="BA23:BA23"/>
    <mergeCell ref="BA24:BA24"/>
    <mergeCell ref="BA25:BA25"/>
    <mergeCell ref="BA26:BA26"/>
    <mergeCell ref="BA27:BA27"/>
    <mergeCell ref="BA28:BA28"/>
    <mergeCell ref="BA29:BA29"/>
    <mergeCell ref="BA30:BA30"/>
    <mergeCell ref="BA31:BA31"/>
    <mergeCell ref="BA32:BA32"/>
    <mergeCell ref="BA33:BA33"/>
    <mergeCell ref="BA34:BA34"/>
    <mergeCell ref="BA35:BA35"/>
    <mergeCell ref="BA36:BA36"/>
    <mergeCell ref="BA37:BA37"/>
    <mergeCell ref="BA38:BA38"/>
    <mergeCell ref="BA39:BA39"/>
    <mergeCell ref="BA40:BA40"/>
    <mergeCell ref="BA41:BA41"/>
    <mergeCell ref="BA42:BA42"/>
    <mergeCell ref="BA43:BA43"/>
    <mergeCell ref="BA44:BA44"/>
    <mergeCell ref="BA45:BA45"/>
    <mergeCell ref="BA46:BA46"/>
    <mergeCell ref="BA47:BA47"/>
    <mergeCell ref="BA48:BA48"/>
    <mergeCell ref="BA49:BA49"/>
    <mergeCell ref="BA50:BA50"/>
    <mergeCell ref="BA51:BA51"/>
    <mergeCell ref="BA52:BA52"/>
    <mergeCell ref="BA53:BA53"/>
    <mergeCell ref="BA54:BA54"/>
    <mergeCell ref="BA55:BA55"/>
    <mergeCell ref="BA56:BA56"/>
    <mergeCell ref="BA57:BA57"/>
    <mergeCell ref="BA58:BA58"/>
    <mergeCell ref="BA59:BA59"/>
    <mergeCell ref="BA60:BA60"/>
    <mergeCell ref="BA61:BA61"/>
    <mergeCell ref="BA62:BA62"/>
    <mergeCell ref="BA63:BA63"/>
    <mergeCell ref="BA64:BA64"/>
    <mergeCell ref="BA65:BA65"/>
    <mergeCell ref="BA66:BA66"/>
    <mergeCell ref="BA67:BA67"/>
    <mergeCell ref="BA68:BA68"/>
    <mergeCell ref="BA69:BA69"/>
    <mergeCell ref="BA70:BA70"/>
    <mergeCell ref="BA71:BA71"/>
    <mergeCell ref="BA72:BA72"/>
    <mergeCell ref="BA73:BA73"/>
    <mergeCell ref="BA74:BA74"/>
    <mergeCell ref="BA75:BA75"/>
    <mergeCell ref="BA76:BA76"/>
    <mergeCell ref="BA77:BA77"/>
    <mergeCell ref="BA78:BA78"/>
    <mergeCell ref="BA79:BA79"/>
    <mergeCell ref="BA80:BA80"/>
    <mergeCell ref="BA81:BA81"/>
    <mergeCell ref="BA82:BA82"/>
    <mergeCell ref="BA83:BA83"/>
    <mergeCell ref="BA84:BA84"/>
    <mergeCell ref="BA85:BA85"/>
    <mergeCell ref="BA86:BA86"/>
    <mergeCell ref="BA87:BA87"/>
    <mergeCell ref="BA88:BA88"/>
    <mergeCell ref="BA89:BA89"/>
    <mergeCell ref="BA90:BA90"/>
    <mergeCell ref="BA91:BA91"/>
    <mergeCell ref="BA92:BA92"/>
    <mergeCell ref="BA93:BA93"/>
    <mergeCell ref="BA94:BA94"/>
    <mergeCell ref="BA95:BA95"/>
    <mergeCell ref="BA96:BA96"/>
    <mergeCell ref="BA97:BA97"/>
    <mergeCell ref="BA98:BA98"/>
    <mergeCell ref="BA99:BA99"/>
    <mergeCell ref="BA100:BA100"/>
    <mergeCell ref="BA101:BA101"/>
    <mergeCell ref="BA102:BA102"/>
    <mergeCell ref="BA103:BA103"/>
    <mergeCell ref="BA104:BA104"/>
    <mergeCell ref="BA105:BA105"/>
    <mergeCell ref="BA106:BA106"/>
    <mergeCell ref="BA107:BA107"/>
    <mergeCell ref="BA108:BA108"/>
    <mergeCell ref="BA109:BA109"/>
    <mergeCell ref="BA110:BA110"/>
    <mergeCell ref="BA111:BA111"/>
    <mergeCell ref="BA112:BA112"/>
    <mergeCell ref="BA113:BA113"/>
    <mergeCell ref="BA114:BA114"/>
    <mergeCell ref="BA115:BA115"/>
    <mergeCell ref="BA116:BA116"/>
    <mergeCell ref="BA117:BA117"/>
    <mergeCell ref="BA118:BA118"/>
    <mergeCell ref="BA119:BA119"/>
    <mergeCell ref="BA120:BA120"/>
    <mergeCell ref="BA121:BA121"/>
    <mergeCell ref="BA122:BA122"/>
    <mergeCell ref="BA123:BA123"/>
    <mergeCell ref="BA124:BA124"/>
    <mergeCell ref="BA125:BA125"/>
    <mergeCell ref="BA126:BA126"/>
    <mergeCell ref="BA127:BA127"/>
    <mergeCell ref="BA128:BA128"/>
    <mergeCell ref="BA129:BA129"/>
    <mergeCell ref="BA130:BA130"/>
    <mergeCell ref="BA131:BA131"/>
    <mergeCell ref="BA132:BA132"/>
    <mergeCell ref="BA133:BA133"/>
    <mergeCell ref="BA134:BA134"/>
    <mergeCell ref="BA135:BA135"/>
    <mergeCell ref="BA136:BA136"/>
    <mergeCell ref="BA137:BA137"/>
    <mergeCell ref="BA138:BA138"/>
    <mergeCell ref="BA139:BA139"/>
    <mergeCell ref="BA140:BA140"/>
    <mergeCell ref="BA141:BA141"/>
    <mergeCell ref="BA142:BA142"/>
    <mergeCell ref="BA143:BA143"/>
    <mergeCell ref="BA144:BA144"/>
    <mergeCell ref="BA145:BA145"/>
    <mergeCell ref="BA146:BA146"/>
    <mergeCell ref="BA147:BA147"/>
    <mergeCell ref="BA148:BA148"/>
    <mergeCell ref="BA149:BA149"/>
    <mergeCell ref="BA150:BA150"/>
    <mergeCell ref="BA151:BA151"/>
    <mergeCell ref="BA152:BA152"/>
    <mergeCell ref="BA153:BA153"/>
    <mergeCell ref="BA154:BA154"/>
    <mergeCell ref="BA155:BA155"/>
    <mergeCell ref="BA156:BA156"/>
    <mergeCell ref="BA157:BA157"/>
    <mergeCell ref="BA158:BA158"/>
    <mergeCell ref="BA159:BA159"/>
    <mergeCell ref="BA160:BA160"/>
    <mergeCell ref="BA161:BA161"/>
    <mergeCell ref="BA162:BA162"/>
    <mergeCell ref="BA163:BA163"/>
    <mergeCell ref="BA164:BA164"/>
    <mergeCell ref="BA165:BA165"/>
    <mergeCell ref="BA166:BA166"/>
    <mergeCell ref="BA167:BA167"/>
    <mergeCell ref="BA168:BA168"/>
    <mergeCell ref="BA169:BA169"/>
    <mergeCell ref="BA170:BA170"/>
    <mergeCell ref="BA171:BA171"/>
    <mergeCell ref="BA172:BA172"/>
    <mergeCell ref="BA173:BA173"/>
    <mergeCell ref="BA174:BA174"/>
    <mergeCell ref="BA175:BA175"/>
    <mergeCell ref="BA176:BA176"/>
    <mergeCell ref="BA177:BA177"/>
    <mergeCell ref="BA178:BA178"/>
    <mergeCell ref="BA179:BA179"/>
    <mergeCell ref="BA180:BA180"/>
    <mergeCell ref="BA181:BA181"/>
    <mergeCell ref="BA182:BA182"/>
    <mergeCell ref="BA183:BA183"/>
    <mergeCell ref="BA184:BA184"/>
    <mergeCell ref="BA185:BA185"/>
    <mergeCell ref="BA186:BA186"/>
    <mergeCell ref="BA187:BA187"/>
    <mergeCell ref="BA188:BA188"/>
    <mergeCell ref="BA189:BA189"/>
    <mergeCell ref="BA190:BA190"/>
    <mergeCell ref="BA191:BA191"/>
    <mergeCell ref="BA192:BA192"/>
    <mergeCell ref="BA193:BA193"/>
    <mergeCell ref="BA194:BA194"/>
    <mergeCell ref="BA195:BA195"/>
    <mergeCell ref="BA196:BA196"/>
    <mergeCell ref="BA197:BA197"/>
    <mergeCell ref="BA198:BA198"/>
    <mergeCell ref="BA199:BA199"/>
    <mergeCell ref="BA200:BA200"/>
    <mergeCell ref="BA201:BA201"/>
    <mergeCell ref="BA202:BA202"/>
    <mergeCell ref="BA203:BA203"/>
    <mergeCell ref="BA204:BA204"/>
    <mergeCell ref="BA205:BA205"/>
    <mergeCell ref="BA206:BA206"/>
    <mergeCell ref="BA207:BA207"/>
    <mergeCell ref="BA208:BA208"/>
    <mergeCell ref="BA209:BA209"/>
    <mergeCell ref="BA210:BA210"/>
    <mergeCell ref="BA211:BA211"/>
    <mergeCell ref="BA212:BA212"/>
    <mergeCell ref="BA213:BA213"/>
    <mergeCell ref="BA214:BA214"/>
    <mergeCell ref="BA215:BA215"/>
    <mergeCell ref="BA216:BA216"/>
    <mergeCell ref="BA217:BA217"/>
    <mergeCell ref="BA218:BA218"/>
    <mergeCell ref="BA219:BA219"/>
    <mergeCell ref="BA220:BA220"/>
    <mergeCell ref="BA221:BA221"/>
    <mergeCell ref="BA222:BA222"/>
    <mergeCell ref="BA223:BA223"/>
    <mergeCell ref="BA224:BA224"/>
    <mergeCell ref="BA225:BA225"/>
    <mergeCell ref="BA226:BA226"/>
    <mergeCell ref="BA227:BA227"/>
    <mergeCell ref="BA228:BA228"/>
    <mergeCell ref="BA229:BA229"/>
    <mergeCell ref="BA230:BA230"/>
    <mergeCell ref="BA231:BA231"/>
    <mergeCell ref="BA232:BA232"/>
    <mergeCell ref="BA233:BA233"/>
    <mergeCell ref="BA234:BA234"/>
    <mergeCell ref="BA235:BA235"/>
    <mergeCell ref="BA236:BA236"/>
    <mergeCell ref="BA237:BA237"/>
    <mergeCell ref="BA238:BA238"/>
    <mergeCell ref="BA239:BA239"/>
    <mergeCell ref="BA240:BA240"/>
    <mergeCell ref="BA241:BA241"/>
    <mergeCell ref="BA242:BA242"/>
    <mergeCell ref="BA243:BA243"/>
    <mergeCell ref="BA244:BA244"/>
    <mergeCell ref="BA245:BA245"/>
    <mergeCell ref="BA246:BA246"/>
    <mergeCell ref="BA247:BA247"/>
    <mergeCell ref="BA248:BA248"/>
    <mergeCell ref="BA249:BA249"/>
    <mergeCell ref="BA250:BA250"/>
    <mergeCell ref="BA251:BA251"/>
    <mergeCell ref="BA252:BA252"/>
    <mergeCell ref="BA253:BA253"/>
    <mergeCell ref="BA254:BA254"/>
    <mergeCell ref="BA255:BA255"/>
    <mergeCell ref="BA256:BA256"/>
    <mergeCell ref="BA257:BA257"/>
    <mergeCell ref="BA258:BA258"/>
    <mergeCell ref="BA259:BA259"/>
    <mergeCell ref="BA260:BA260"/>
    <mergeCell ref="BA261:BA261"/>
    <mergeCell ref="BA262:BA262"/>
    <mergeCell ref="BA263:BA263"/>
    <mergeCell ref="BA264:BA264"/>
    <mergeCell ref="BA265:BA265"/>
    <mergeCell ref="BA266:BA266"/>
    <mergeCell ref="BA267:BA267"/>
    <mergeCell ref="BA268:BA268"/>
    <mergeCell ref="BA269:BA269"/>
    <mergeCell ref="BA270:BA270"/>
    <mergeCell ref="BA271:BA271"/>
    <mergeCell ref="BA272:BA272"/>
    <mergeCell ref="BA273:BA273"/>
    <mergeCell ref="BA274:BA274"/>
    <mergeCell ref="BA275:BA275"/>
    <mergeCell ref="BA276:BA276"/>
    <mergeCell ref="BA277:BA277"/>
    <mergeCell ref="BA278:BA278"/>
    <mergeCell ref="BA279:BA279"/>
    <mergeCell ref="BA280:BA280"/>
    <mergeCell ref="BA281:BA281"/>
    <mergeCell ref="BA282:BA282"/>
    <mergeCell ref="BA283:BA283"/>
    <mergeCell ref="BA284:BA284"/>
    <mergeCell ref="BA285:BA285"/>
    <mergeCell ref="BA286:BA286"/>
    <mergeCell ref="BA287:BA287"/>
    <mergeCell ref="BA288:BA288"/>
    <mergeCell ref="BA289:BA289"/>
    <mergeCell ref="BA290:BA290"/>
    <mergeCell ref="BA291:BA291"/>
    <mergeCell ref="BA292:BA292"/>
    <mergeCell ref="BA293:BA293"/>
    <mergeCell ref="BA294:BA294"/>
    <mergeCell ref="BA295:BA295"/>
    <mergeCell ref="BA296:BA296"/>
    <mergeCell ref="BA297:BA297"/>
    <mergeCell ref="BA298:BA298"/>
    <mergeCell ref="BA299:BA299"/>
    <mergeCell ref="BA300:BA300"/>
    <mergeCell ref="BA301:BA301"/>
    <mergeCell ref="BA302:BA302"/>
    <mergeCell ref="BA303:BA303"/>
    <mergeCell ref="BA304:BA304"/>
    <mergeCell ref="BA305:BA305"/>
    <mergeCell ref="BA306:BA306"/>
    <mergeCell ref="BA307:BA307"/>
    <mergeCell ref="BA308:BA308"/>
    <mergeCell ref="BA309:BA309"/>
    <mergeCell ref="BA310:BA310"/>
    <mergeCell ref="BA311:BA311"/>
    <mergeCell ref="BA312:BA312"/>
    <mergeCell ref="BA313:BA313"/>
    <mergeCell ref="BA314:BA314"/>
    <mergeCell ref="BA315:BA315"/>
    <mergeCell ref="BA316:BA316"/>
    <mergeCell ref="BA317:BA317"/>
    <mergeCell ref="BA318:BA318"/>
    <mergeCell ref="BA319:BA319"/>
    <mergeCell ref="BA320:BA320"/>
    <mergeCell ref="BA321:BA321"/>
    <mergeCell ref="BA322:BA322"/>
    <mergeCell ref="BA323:BA323"/>
    <mergeCell ref="BA324:BA324"/>
    <mergeCell ref="BA325:BA325"/>
    <mergeCell ref="BA326:BA326"/>
    <mergeCell ref="BA327:BA327"/>
    <mergeCell ref="BA328:BA328"/>
    <mergeCell ref="BA329:BA329"/>
    <mergeCell ref="BA330:BA330"/>
    <mergeCell ref="BA331:BA331"/>
    <mergeCell ref="BA332:BA332"/>
    <mergeCell ref="BA333:BA333"/>
    <mergeCell ref="BA334:BA334"/>
    <mergeCell ref="BA335:BA335"/>
    <mergeCell ref="BA336:BA336"/>
    <mergeCell ref="BA337:BA337"/>
    <mergeCell ref="BA338:BA338"/>
    <mergeCell ref="BA339:BA339"/>
    <mergeCell ref="BA340:BA340"/>
    <mergeCell ref="BA341:BA341"/>
    <mergeCell ref="BA342:BA342"/>
    <mergeCell ref="BA343:BA343"/>
    <mergeCell ref="BA344:BA344"/>
    <mergeCell ref="BA345:BA345"/>
    <mergeCell ref="BA346:BA346"/>
    <mergeCell ref="BA347:BA347"/>
    <mergeCell ref="BA348:BA348"/>
    <mergeCell ref="BA349:BA349"/>
    <mergeCell ref="BA350:BA350"/>
    <mergeCell ref="BA351:BA351"/>
    <mergeCell ref="BA352:BA352"/>
    <mergeCell ref="BA353:BA353"/>
    <mergeCell ref="BA354:BA354"/>
    <mergeCell ref="BA355:BA355"/>
    <mergeCell ref="BA356:BA356"/>
    <mergeCell ref="BA357:BA357"/>
    <mergeCell ref="BA358:BA358"/>
    <mergeCell ref="BE5:BK5"/>
    <mergeCell ref="BE12:BK17"/>
    <mergeCell ref="BE10:BK10"/>
    <mergeCell ref="BE6:BE7"/>
    <mergeCell ref="BF6:BH6"/>
    <mergeCell ref="BI6:BK6"/>
    <mergeCell ref="BM11:BP11"/>
    <mergeCell ref="BM12:BN12"/>
    <mergeCell ref="BM13:BM15"/>
    <mergeCell ref="BM16:BM18"/>
    <mergeCell ref="BM19:BP19"/>
    <mergeCell ref="BM369:BP374"/>
    <mergeCell ref="BR11:BV11"/>
    <mergeCell ref="BR12:BT12"/>
    <mergeCell ref="BR19:BV19"/>
    <mergeCell ref="BR13:BR18"/>
    <mergeCell ref="BR369:BU374"/>
    <mergeCell ref="BS13:BS15"/>
    <mergeCell ref="BS16:BS18"/>
    <mergeCell ref="BZ4:BZ4"/>
    <mergeCell ref="BZ5:BZ5"/>
    <mergeCell ref="BZ6:BZ6"/>
    <mergeCell ref="BZ7:BZ7"/>
    <mergeCell ref="BZ8:BZ8"/>
    <mergeCell ref="BZ9:BZ9"/>
    <mergeCell ref="BZ10:BZ10"/>
    <mergeCell ref="BZ11:BZ11"/>
    <mergeCell ref="BZ12:BZ12"/>
    <mergeCell ref="BZ13:BZ13"/>
    <mergeCell ref="BZ14:BZ14"/>
    <mergeCell ref="BZ15:BZ15"/>
    <mergeCell ref="BZ16:BZ16"/>
    <mergeCell ref="BZ17:BZ17"/>
    <mergeCell ref="BZ18:BZ18"/>
    <mergeCell ref="BZ19:BZ19"/>
    <mergeCell ref="BZ20:BZ20"/>
    <mergeCell ref="BZ21:BZ21"/>
    <mergeCell ref="BZ22:BZ22"/>
    <mergeCell ref="BZ23:BZ23"/>
    <mergeCell ref="BZ24:BZ24"/>
    <mergeCell ref="BZ25:BZ25"/>
    <mergeCell ref="BZ26:BZ26"/>
    <mergeCell ref="BZ27:BZ27"/>
    <mergeCell ref="BZ28:BZ28"/>
    <mergeCell ref="BZ29:BZ29"/>
    <mergeCell ref="BZ30:BZ30"/>
    <mergeCell ref="BZ31:BZ31"/>
    <mergeCell ref="BZ32:BZ32"/>
    <mergeCell ref="BZ33:BZ33"/>
    <mergeCell ref="BZ34:BZ34"/>
    <mergeCell ref="BZ35:BZ35"/>
    <mergeCell ref="BZ36:BZ36"/>
    <mergeCell ref="BZ37:BZ37"/>
    <mergeCell ref="BZ38:BZ38"/>
    <mergeCell ref="BZ39:BZ39"/>
    <mergeCell ref="BZ40:BZ40"/>
    <mergeCell ref="BZ41:BZ41"/>
    <mergeCell ref="BZ42:BZ42"/>
    <mergeCell ref="BZ43:BZ43"/>
    <mergeCell ref="BZ44:BZ44"/>
    <mergeCell ref="BZ45:BZ45"/>
    <mergeCell ref="BZ46:BZ46"/>
    <mergeCell ref="BZ47:BZ47"/>
    <mergeCell ref="BZ48:BZ48"/>
    <mergeCell ref="BZ49:BZ49"/>
    <mergeCell ref="BZ50:BZ50"/>
    <mergeCell ref="BZ51:BZ51"/>
    <mergeCell ref="BZ52:BZ52"/>
    <mergeCell ref="BZ53:BZ53"/>
    <mergeCell ref="BZ54:BZ54"/>
    <mergeCell ref="BZ55:BZ55"/>
    <mergeCell ref="BZ56:BZ56"/>
    <mergeCell ref="BZ57:BZ57"/>
    <mergeCell ref="BZ58:BZ58"/>
    <mergeCell ref="BZ59:BZ59"/>
    <mergeCell ref="BZ60:BZ60"/>
    <mergeCell ref="BZ61:BZ61"/>
    <mergeCell ref="BZ62:BZ62"/>
    <mergeCell ref="BZ63:BZ63"/>
    <mergeCell ref="BZ64:BZ64"/>
    <mergeCell ref="BZ65:BZ65"/>
    <mergeCell ref="BZ66:BZ66"/>
    <mergeCell ref="BZ67:BZ67"/>
    <mergeCell ref="BZ68:BZ68"/>
    <mergeCell ref="BZ69:BZ69"/>
    <mergeCell ref="BZ70:BZ70"/>
    <mergeCell ref="BZ71:BZ71"/>
    <mergeCell ref="BZ72:BZ72"/>
    <mergeCell ref="BZ73:BZ73"/>
    <mergeCell ref="BZ74:BZ74"/>
    <mergeCell ref="BZ75:BZ75"/>
    <mergeCell ref="BZ76:BZ76"/>
    <mergeCell ref="BZ77:BZ77"/>
    <mergeCell ref="BZ78:BZ78"/>
    <mergeCell ref="BZ79:BZ79"/>
    <mergeCell ref="BZ80:BZ80"/>
    <mergeCell ref="BZ81:BZ81"/>
    <mergeCell ref="BZ82:BZ82"/>
    <mergeCell ref="BZ83:BZ83"/>
    <mergeCell ref="BZ84:BZ84"/>
    <mergeCell ref="BZ85:BZ85"/>
    <mergeCell ref="BZ86:BZ86"/>
    <mergeCell ref="BZ87:BZ87"/>
    <mergeCell ref="BZ88:BZ88"/>
    <mergeCell ref="BZ89:BZ89"/>
    <mergeCell ref="BZ90:BZ90"/>
    <mergeCell ref="BZ91:BZ91"/>
    <mergeCell ref="BZ92:BZ92"/>
    <mergeCell ref="BZ93:BZ93"/>
    <mergeCell ref="BZ94:BZ94"/>
    <mergeCell ref="BZ95:BZ95"/>
    <mergeCell ref="BZ96:BZ96"/>
    <mergeCell ref="BZ97:BZ97"/>
    <mergeCell ref="BZ98:BZ98"/>
    <mergeCell ref="BZ99:BZ99"/>
    <mergeCell ref="BZ100:BZ100"/>
    <mergeCell ref="BZ101:BZ101"/>
    <mergeCell ref="BZ102:BZ102"/>
    <mergeCell ref="BZ103:BZ103"/>
    <mergeCell ref="BZ104:BZ104"/>
    <mergeCell ref="BZ105:BZ105"/>
    <mergeCell ref="BZ106:BZ106"/>
    <mergeCell ref="BZ107:BZ107"/>
    <mergeCell ref="BZ108:BZ108"/>
    <mergeCell ref="BZ109:BZ109"/>
    <mergeCell ref="BZ110:BZ110"/>
    <mergeCell ref="BZ111:BZ111"/>
    <mergeCell ref="BZ112:BZ112"/>
    <mergeCell ref="BZ113:BZ113"/>
    <mergeCell ref="BZ114:BZ114"/>
    <mergeCell ref="BZ115:BZ115"/>
    <mergeCell ref="BZ116:BZ116"/>
    <mergeCell ref="BZ117:BZ117"/>
    <mergeCell ref="BZ118:BZ118"/>
    <mergeCell ref="BZ119:BZ119"/>
    <mergeCell ref="BZ120:BZ120"/>
    <mergeCell ref="BZ121:BZ121"/>
    <mergeCell ref="BZ122:BZ122"/>
    <mergeCell ref="BZ123:BZ123"/>
    <mergeCell ref="BZ124:BZ124"/>
    <mergeCell ref="BZ125:BZ125"/>
    <mergeCell ref="BZ126:BZ126"/>
    <mergeCell ref="BZ127:BZ127"/>
    <mergeCell ref="BZ128:BZ128"/>
    <mergeCell ref="BZ129:BZ129"/>
    <mergeCell ref="BZ130:BZ130"/>
    <mergeCell ref="BZ131:BZ131"/>
    <mergeCell ref="BZ132:BZ132"/>
    <mergeCell ref="BZ133:BZ133"/>
    <mergeCell ref="BZ134:BZ134"/>
    <mergeCell ref="BZ135:BZ135"/>
    <mergeCell ref="BZ136:BZ136"/>
    <mergeCell ref="BZ137:BZ137"/>
    <mergeCell ref="BZ138:BZ138"/>
    <mergeCell ref="BZ139:BZ139"/>
    <mergeCell ref="BZ140:BZ140"/>
    <mergeCell ref="BZ141:BZ141"/>
    <mergeCell ref="BZ142:BZ142"/>
    <mergeCell ref="BZ143:BZ143"/>
    <mergeCell ref="BZ144:BZ144"/>
    <mergeCell ref="BZ145:BZ145"/>
    <mergeCell ref="BZ146:BZ146"/>
    <mergeCell ref="BZ147:BZ147"/>
    <mergeCell ref="BZ148:BZ148"/>
    <mergeCell ref="BZ149:BZ149"/>
    <mergeCell ref="BZ150:BZ150"/>
    <mergeCell ref="BZ151:BZ151"/>
    <mergeCell ref="BZ152:BZ152"/>
    <mergeCell ref="BZ153:BZ153"/>
    <mergeCell ref="BZ154:BZ154"/>
    <mergeCell ref="BZ155:BZ155"/>
    <mergeCell ref="BZ156:BZ156"/>
    <mergeCell ref="BZ157:BZ157"/>
    <mergeCell ref="BZ158:BZ158"/>
    <mergeCell ref="BZ159:BZ159"/>
    <mergeCell ref="BZ160:BZ160"/>
    <mergeCell ref="BZ161:BZ161"/>
    <mergeCell ref="BZ162:BZ162"/>
    <mergeCell ref="BZ163:BZ163"/>
    <mergeCell ref="BZ164:BZ164"/>
    <mergeCell ref="BZ165:BZ165"/>
    <mergeCell ref="BZ166:BZ166"/>
    <mergeCell ref="BZ167:BZ167"/>
    <mergeCell ref="BZ168:BZ168"/>
    <mergeCell ref="BZ169:BZ169"/>
    <mergeCell ref="BZ170:BZ170"/>
    <mergeCell ref="BZ171:BZ171"/>
    <mergeCell ref="BZ172:BZ172"/>
    <mergeCell ref="BZ173:BZ173"/>
    <mergeCell ref="BZ174:BZ174"/>
    <mergeCell ref="BZ175:BZ175"/>
    <mergeCell ref="BZ176:BZ176"/>
    <mergeCell ref="BZ177:BZ177"/>
    <mergeCell ref="BZ178:BZ178"/>
    <mergeCell ref="BZ179:BZ179"/>
    <mergeCell ref="BZ180:BZ180"/>
    <mergeCell ref="BZ181:BZ181"/>
    <mergeCell ref="BZ182:BZ182"/>
    <mergeCell ref="BZ183:BZ183"/>
    <mergeCell ref="BZ184:BZ184"/>
    <mergeCell ref="BZ185:BZ185"/>
    <mergeCell ref="BZ186:BZ186"/>
    <mergeCell ref="BZ187:BZ187"/>
    <mergeCell ref="BZ188:BZ188"/>
    <mergeCell ref="BZ189:BZ189"/>
    <mergeCell ref="BZ190:BZ190"/>
    <mergeCell ref="BZ191:BZ191"/>
    <mergeCell ref="BZ192:BZ192"/>
    <mergeCell ref="BZ193:BZ193"/>
    <mergeCell ref="BZ194:BZ194"/>
    <mergeCell ref="BZ195:BZ195"/>
    <mergeCell ref="BZ196:BZ196"/>
    <mergeCell ref="BZ197:BZ197"/>
    <mergeCell ref="BZ198:BZ198"/>
    <mergeCell ref="BZ199:BZ199"/>
    <mergeCell ref="BZ200:BZ200"/>
    <mergeCell ref="BZ201:BZ201"/>
    <mergeCell ref="BZ202:BZ202"/>
    <mergeCell ref="BZ203:BZ203"/>
    <mergeCell ref="BZ204:BZ204"/>
    <mergeCell ref="BZ205:BZ205"/>
    <mergeCell ref="BZ206:BZ206"/>
    <mergeCell ref="BZ207:BZ207"/>
    <mergeCell ref="BZ208:BZ208"/>
    <mergeCell ref="BZ209:BZ209"/>
    <mergeCell ref="BZ210:BZ210"/>
    <mergeCell ref="BZ211:BZ211"/>
    <mergeCell ref="BZ212:BZ212"/>
    <mergeCell ref="BZ213:BZ213"/>
    <mergeCell ref="BZ214:BZ214"/>
    <mergeCell ref="BZ215:BZ215"/>
    <mergeCell ref="BZ216:BZ216"/>
    <mergeCell ref="BZ217:BZ217"/>
    <mergeCell ref="BZ218:BZ218"/>
    <mergeCell ref="BZ219:BZ219"/>
    <mergeCell ref="BZ220:BZ220"/>
    <mergeCell ref="BZ221:BZ221"/>
    <mergeCell ref="BZ222:BZ222"/>
    <mergeCell ref="BZ223:BZ223"/>
    <mergeCell ref="BZ224:BZ224"/>
    <mergeCell ref="BZ225:BZ225"/>
    <mergeCell ref="BZ226:BZ226"/>
    <mergeCell ref="BZ227:BZ227"/>
    <mergeCell ref="BZ228:BZ228"/>
    <mergeCell ref="BZ229:BZ229"/>
    <mergeCell ref="BZ230:BZ230"/>
    <mergeCell ref="BZ231:BZ231"/>
    <mergeCell ref="BZ232:BZ232"/>
    <mergeCell ref="BZ233:BZ233"/>
    <mergeCell ref="BZ234:BZ234"/>
    <mergeCell ref="BZ235:BZ235"/>
    <mergeCell ref="BZ236:BZ236"/>
    <mergeCell ref="BZ237:BZ237"/>
    <mergeCell ref="BZ238:BZ238"/>
    <mergeCell ref="BZ239:BZ239"/>
    <mergeCell ref="BZ240:BZ240"/>
    <mergeCell ref="BZ241:BZ241"/>
    <mergeCell ref="BZ242:BZ242"/>
    <mergeCell ref="BZ243:BZ243"/>
    <mergeCell ref="BZ244:BZ244"/>
    <mergeCell ref="BZ245:BZ245"/>
    <mergeCell ref="BZ246:BZ246"/>
    <mergeCell ref="BZ247:BZ247"/>
    <mergeCell ref="BZ248:BZ248"/>
    <mergeCell ref="BZ249:BZ249"/>
    <mergeCell ref="BZ250:BZ250"/>
    <mergeCell ref="BZ251:BZ251"/>
    <mergeCell ref="BZ252:BZ252"/>
    <mergeCell ref="BZ253:BZ253"/>
    <mergeCell ref="BZ254:BZ254"/>
    <mergeCell ref="BZ255:BZ255"/>
    <mergeCell ref="BZ256:BZ256"/>
    <mergeCell ref="BZ257:BZ257"/>
    <mergeCell ref="BZ258:BZ258"/>
    <mergeCell ref="BZ259:BZ259"/>
    <mergeCell ref="BZ260:BZ260"/>
    <mergeCell ref="BZ261:BZ261"/>
    <mergeCell ref="BZ262:BZ262"/>
    <mergeCell ref="BZ263:BZ263"/>
    <mergeCell ref="BZ264:BZ264"/>
    <mergeCell ref="BZ265:BZ265"/>
    <mergeCell ref="BZ266:BZ266"/>
    <mergeCell ref="BZ267:BZ267"/>
    <mergeCell ref="BZ268:BZ268"/>
    <mergeCell ref="BZ269:BZ269"/>
    <mergeCell ref="BZ270:BZ270"/>
    <mergeCell ref="BZ271:BZ271"/>
    <mergeCell ref="BZ272:BZ272"/>
    <mergeCell ref="BZ273:BZ273"/>
    <mergeCell ref="BZ274:BZ274"/>
    <mergeCell ref="BZ275:BZ275"/>
    <mergeCell ref="BZ276:BZ276"/>
    <mergeCell ref="BZ277:BZ277"/>
    <mergeCell ref="BZ278:BZ278"/>
    <mergeCell ref="BZ279:BZ279"/>
    <mergeCell ref="BZ280:BZ280"/>
    <mergeCell ref="BZ281:BZ281"/>
    <mergeCell ref="BZ282:BZ282"/>
    <mergeCell ref="BZ283:BZ283"/>
    <mergeCell ref="BZ284:BZ284"/>
    <mergeCell ref="BZ285:BZ285"/>
    <mergeCell ref="BZ286:BZ286"/>
    <mergeCell ref="BZ287:BZ287"/>
    <mergeCell ref="BZ288:BZ288"/>
    <mergeCell ref="BZ289:BZ289"/>
    <mergeCell ref="BZ290:BZ290"/>
    <mergeCell ref="BZ291:BZ291"/>
    <mergeCell ref="BZ292:BZ292"/>
    <mergeCell ref="BZ293:BZ293"/>
    <mergeCell ref="BZ294:BZ294"/>
    <mergeCell ref="BZ295:BZ295"/>
    <mergeCell ref="BZ296:BZ296"/>
    <mergeCell ref="BZ297:BZ297"/>
    <mergeCell ref="BZ298:BZ298"/>
    <mergeCell ref="BZ299:BZ299"/>
    <mergeCell ref="BZ300:BZ300"/>
    <mergeCell ref="BZ301:BZ301"/>
    <mergeCell ref="BZ302:BZ302"/>
    <mergeCell ref="BZ303:BZ303"/>
    <mergeCell ref="BZ304:BZ304"/>
    <mergeCell ref="BZ305:BZ305"/>
    <mergeCell ref="BZ306:BZ306"/>
    <mergeCell ref="BZ307:BZ307"/>
    <mergeCell ref="BZ308:BZ308"/>
    <mergeCell ref="BZ309:BZ309"/>
    <mergeCell ref="BZ310:BZ310"/>
    <mergeCell ref="BZ311:BZ311"/>
    <mergeCell ref="BZ312:BZ312"/>
    <mergeCell ref="BZ313:BZ313"/>
    <mergeCell ref="BZ314:BZ314"/>
    <mergeCell ref="BZ315:BZ315"/>
    <mergeCell ref="BZ316:BZ316"/>
    <mergeCell ref="BZ317:BZ317"/>
    <mergeCell ref="BZ318:BZ318"/>
    <mergeCell ref="BZ319:BZ319"/>
    <mergeCell ref="BZ320:BZ320"/>
    <mergeCell ref="BZ321:BZ321"/>
    <mergeCell ref="BZ322:BZ322"/>
    <mergeCell ref="BZ323:BZ323"/>
    <mergeCell ref="BZ324:BZ324"/>
    <mergeCell ref="BZ325:BZ325"/>
    <mergeCell ref="BZ326:BZ326"/>
    <mergeCell ref="BZ327:BZ327"/>
    <mergeCell ref="BZ328:BZ328"/>
    <mergeCell ref="BZ329:BZ329"/>
    <mergeCell ref="BZ330:BZ330"/>
    <mergeCell ref="BZ331:BZ331"/>
    <mergeCell ref="BZ332:BZ332"/>
    <mergeCell ref="BZ333:BZ333"/>
    <mergeCell ref="BZ334:BZ334"/>
    <mergeCell ref="BZ335:BZ335"/>
    <mergeCell ref="BZ336:BZ336"/>
    <mergeCell ref="BZ337:BZ337"/>
    <mergeCell ref="BZ338:BZ338"/>
    <mergeCell ref="BZ339:BZ339"/>
    <mergeCell ref="BZ340:BZ340"/>
    <mergeCell ref="BZ341:BZ341"/>
    <mergeCell ref="BZ342:BZ342"/>
    <mergeCell ref="BZ343:BZ343"/>
    <mergeCell ref="BZ344:BZ344"/>
    <mergeCell ref="BZ345:BZ345"/>
    <mergeCell ref="BZ346:BZ346"/>
    <mergeCell ref="BZ347:BZ347"/>
    <mergeCell ref="BZ348:BZ348"/>
    <mergeCell ref="BZ349:BZ349"/>
    <mergeCell ref="BZ350:BZ350"/>
    <mergeCell ref="BZ351:BZ351"/>
    <mergeCell ref="BZ352:BZ352"/>
    <mergeCell ref="BZ353:BZ353"/>
    <mergeCell ref="BZ354:BZ354"/>
    <mergeCell ref="BZ355:BZ355"/>
    <mergeCell ref="BZ356:BZ356"/>
    <mergeCell ref="BZ357:BZ357"/>
    <mergeCell ref="BZ358:BZ358"/>
    <mergeCell ref="CD5:CJ5"/>
    <mergeCell ref="CD12:CJ17"/>
    <mergeCell ref="CD10:CJ10"/>
    <mergeCell ref="CD6:CD7"/>
    <mergeCell ref="CE6:CG6"/>
    <mergeCell ref="CH6:CJ6"/>
    <mergeCell ref="CL11:CO11"/>
    <mergeCell ref="CL12:CM12"/>
    <mergeCell ref="CL13:CL15"/>
    <mergeCell ref="CL16:CL18"/>
    <mergeCell ref="CL19:CO19"/>
    <mergeCell ref="CL369:CO374"/>
    <mergeCell ref="CQ11:CU11"/>
    <mergeCell ref="CQ12:CS12"/>
    <mergeCell ref="CQ19:CU19"/>
    <mergeCell ref="CQ13:CQ18"/>
    <mergeCell ref="CQ369:CT374"/>
    <mergeCell ref="CR13:CR15"/>
    <mergeCell ref="CR16:CR18"/>
    <mergeCell ref="DA4:DA4"/>
    <mergeCell ref="DA5:DA5"/>
    <mergeCell ref="DA6:DA6"/>
    <mergeCell ref="DA7:DA7"/>
    <mergeCell ref="DA8:DA8"/>
    <mergeCell ref="DA9:DA9"/>
    <mergeCell ref="DA10:DA10"/>
    <mergeCell ref="DA11:DA11"/>
    <mergeCell ref="DA12:DA12"/>
    <mergeCell ref="DA13:DA13"/>
    <mergeCell ref="DA14:DA14"/>
    <mergeCell ref="DA15:DA15"/>
    <mergeCell ref="DA16:DA16"/>
    <mergeCell ref="DA17:DA17"/>
    <mergeCell ref="DA18:DA18"/>
    <mergeCell ref="DA19:DA19"/>
    <mergeCell ref="DA20:DA20"/>
    <mergeCell ref="DA21:DA21"/>
    <mergeCell ref="DA22:DA22"/>
    <mergeCell ref="DA23:DA23"/>
    <mergeCell ref="DA24:DA24"/>
    <mergeCell ref="DA25:DA25"/>
    <mergeCell ref="DA26:DA26"/>
    <mergeCell ref="DA27:DA27"/>
    <mergeCell ref="DA28:DA28"/>
    <mergeCell ref="DA29:DA29"/>
    <mergeCell ref="DA30:DA30"/>
    <mergeCell ref="DA31:DA31"/>
    <mergeCell ref="DA32:DA32"/>
    <mergeCell ref="DA33:DA33"/>
    <mergeCell ref="DA34:DA34"/>
    <mergeCell ref="DA35:DA35"/>
    <mergeCell ref="DA36:DA36"/>
    <mergeCell ref="DA37:DA37"/>
    <mergeCell ref="DA38:DA38"/>
    <mergeCell ref="DA39:DA39"/>
    <mergeCell ref="DA40:DA40"/>
    <mergeCell ref="DA41:DA41"/>
    <mergeCell ref="DA42:DA42"/>
    <mergeCell ref="DA43:DA43"/>
    <mergeCell ref="DA44:DA44"/>
    <mergeCell ref="DA45:DA45"/>
    <mergeCell ref="DA46:DA46"/>
    <mergeCell ref="DA47:DA47"/>
    <mergeCell ref="DA48:DA48"/>
    <mergeCell ref="DA49:DA49"/>
    <mergeCell ref="DA50:DA50"/>
    <mergeCell ref="DA51:DA51"/>
    <mergeCell ref="DA52:DA52"/>
    <mergeCell ref="DA53:DA53"/>
    <mergeCell ref="DA54:DA54"/>
    <mergeCell ref="DA55:DA55"/>
    <mergeCell ref="DA56:DA56"/>
    <mergeCell ref="DA57:DA57"/>
    <mergeCell ref="DA58:DA58"/>
    <mergeCell ref="DA59:DA59"/>
    <mergeCell ref="DA60:DA60"/>
    <mergeCell ref="DA61:DA61"/>
    <mergeCell ref="DA62:DA62"/>
    <mergeCell ref="DA63:DA63"/>
    <mergeCell ref="DA64:DA64"/>
    <mergeCell ref="DA65:DA65"/>
    <mergeCell ref="DA66:DA66"/>
    <mergeCell ref="DA67:DA67"/>
    <mergeCell ref="DA68:DA68"/>
    <mergeCell ref="DA69:DA69"/>
    <mergeCell ref="DA70:DA70"/>
    <mergeCell ref="DA71:DA71"/>
    <mergeCell ref="DA72:DA72"/>
    <mergeCell ref="DA73:DA73"/>
    <mergeCell ref="DA74:DA74"/>
    <mergeCell ref="DA75:DA75"/>
    <mergeCell ref="DA76:DA76"/>
    <mergeCell ref="DA77:DA77"/>
    <mergeCell ref="DA78:DA78"/>
    <mergeCell ref="DA79:DA79"/>
    <mergeCell ref="DA80:DA80"/>
    <mergeCell ref="DA81:DA81"/>
    <mergeCell ref="DA82:DA82"/>
    <mergeCell ref="DA83:DA83"/>
    <mergeCell ref="DA84:DA84"/>
    <mergeCell ref="DA85:DA85"/>
    <mergeCell ref="DA86:DA86"/>
    <mergeCell ref="DA87:DA87"/>
    <mergeCell ref="DA88:DA88"/>
    <mergeCell ref="DA89:DA89"/>
    <mergeCell ref="DA90:DA90"/>
    <mergeCell ref="DA91:DA91"/>
    <mergeCell ref="DA92:DA92"/>
    <mergeCell ref="DA93:DA93"/>
    <mergeCell ref="DA94:DA94"/>
    <mergeCell ref="DA95:DA95"/>
    <mergeCell ref="DA96:DA96"/>
    <mergeCell ref="DA97:DA97"/>
    <mergeCell ref="DA98:DA98"/>
    <mergeCell ref="DA99:DA99"/>
    <mergeCell ref="DA100:DA100"/>
    <mergeCell ref="DA101:DA101"/>
    <mergeCell ref="DA102:DA102"/>
    <mergeCell ref="DA103:DA103"/>
    <mergeCell ref="DA104:DA104"/>
    <mergeCell ref="DA105:DA105"/>
    <mergeCell ref="DA106:DA106"/>
    <mergeCell ref="DA107:DA107"/>
    <mergeCell ref="DA108:DA108"/>
    <mergeCell ref="DA109:DA109"/>
    <mergeCell ref="DA110:DA110"/>
    <mergeCell ref="DA111:DA111"/>
    <mergeCell ref="DA112:DA112"/>
    <mergeCell ref="DA113:DA113"/>
    <mergeCell ref="DA114:DA114"/>
    <mergeCell ref="DA115:DA115"/>
    <mergeCell ref="DA116:DA116"/>
    <mergeCell ref="DA117:DA117"/>
    <mergeCell ref="DA118:DA118"/>
    <mergeCell ref="DA119:DA119"/>
    <mergeCell ref="DA120:DA120"/>
    <mergeCell ref="DA121:DA121"/>
    <mergeCell ref="DA122:DA122"/>
    <mergeCell ref="DA123:DA123"/>
    <mergeCell ref="DA124:DA124"/>
    <mergeCell ref="DA125:DA125"/>
    <mergeCell ref="DA126:DA126"/>
    <mergeCell ref="DA127:DA127"/>
    <mergeCell ref="DA128:DA128"/>
    <mergeCell ref="DA129:DA129"/>
    <mergeCell ref="DA130:DA130"/>
    <mergeCell ref="DA131:DA131"/>
    <mergeCell ref="DA132:DA132"/>
    <mergeCell ref="DA133:DA133"/>
    <mergeCell ref="DA134:DA134"/>
    <mergeCell ref="DA135:DA135"/>
    <mergeCell ref="DA136:DA136"/>
    <mergeCell ref="DA137:DA137"/>
    <mergeCell ref="DA138:DA138"/>
    <mergeCell ref="DA139:DA139"/>
    <mergeCell ref="DA140:DA140"/>
    <mergeCell ref="DA141:DA141"/>
    <mergeCell ref="DA142:DA142"/>
    <mergeCell ref="DA143:DA143"/>
    <mergeCell ref="DA144:DA144"/>
    <mergeCell ref="DA145:DA145"/>
    <mergeCell ref="DA146:DA146"/>
    <mergeCell ref="DA147:DA147"/>
    <mergeCell ref="DA148:DA148"/>
    <mergeCell ref="DA149:DA149"/>
    <mergeCell ref="DA150:DA150"/>
    <mergeCell ref="DA151:DA151"/>
    <mergeCell ref="DA152:DA152"/>
    <mergeCell ref="DA153:DA153"/>
    <mergeCell ref="DA154:DA154"/>
    <mergeCell ref="DA155:DA155"/>
    <mergeCell ref="DA156:DA156"/>
    <mergeCell ref="DA157:DA157"/>
    <mergeCell ref="DA158:DA158"/>
    <mergeCell ref="DA159:DA159"/>
    <mergeCell ref="DA160:DA160"/>
    <mergeCell ref="DA161:DA161"/>
    <mergeCell ref="DA162:DA162"/>
    <mergeCell ref="DA163:DA163"/>
    <mergeCell ref="DA164:DA164"/>
    <mergeCell ref="DA165:DA165"/>
    <mergeCell ref="DA166:DA166"/>
    <mergeCell ref="DA167:DA167"/>
    <mergeCell ref="DA168:DA168"/>
    <mergeCell ref="DA169:DA169"/>
    <mergeCell ref="DA170:DA170"/>
    <mergeCell ref="DA171:DA171"/>
    <mergeCell ref="DA172:DA172"/>
    <mergeCell ref="DA173:DA173"/>
    <mergeCell ref="DA174:DA174"/>
    <mergeCell ref="DA175:DA175"/>
    <mergeCell ref="DA176:DA176"/>
    <mergeCell ref="DA177:DA177"/>
    <mergeCell ref="DA178:DA178"/>
    <mergeCell ref="DA179:DA179"/>
    <mergeCell ref="DA180:DA180"/>
    <mergeCell ref="DA181:DA181"/>
    <mergeCell ref="DA182:DA182"/>
    <mergeCell ref="DA183:DA183"/>
    <mergeCell ref="DA184:DA184"/>
    <mergeCell ref="DA185:DA185"/>
    <mergeCell ref="DA186:DA186"/>
    <mergeCell ref="DA187:DA187"/>
    <mergeCell ref="DA188:DA188"/>
    <mergeCell ref="DA189:DA189"/>
    <mergeCell ref="DA190:DA190"/>
    <mergeCell ref="DA191:DA191"/>
    <mergeCell ref="DA192:DA192"/>
    <mergeCell ref="DA193:DA193"/>
    <mergeCell ref="DA194:DA194"/>
    <mergeCell ref="DA195:DA195"/>
    <mergeCell ref="DA196:DA196"/>
    <mergeCell ref="DA197:DA197"/>
    <mergeCell ref="DA198:DA198"/>
    <mergeCell ref="DA199:DA199"/>
    <mergeCell ref="DA200:DA200"/>
    <mergeCell ref="DA201:DA201"/>
    <mergeCell ref="DA202:DA202"/>
    <mergeCell ref="DA203:DA203"/>
    <mergeCell ref="DA204:DA204"/>
    <mergeCell ref="DA205:DA205"/>
    <mergeCell ref="DA206:DA206"/>
    <mergeCell ref="DA207:DA207"/>
    <mergeCell ref="DA208:DA208"/>
    <mergeCell ref="DA209:DA209"/>
    <mergeCell ref="DA210:DA210"/>
    <mergeCell ref="DA211:DA211"/>
    <mergeCell ref="DA212:DA212"/>
    <mergeCell ref="DA213:DA213"/>
    <mergeCell ref="DA214:DA214"/>
    <mergeCell ref="DA215:DA215"/>
    <mergeCell ref="DA216:DA216"/>
    <mergeCell ref="DA217:DA217"/>
    <mergeCell ref="DA218:DA218"/>
    <mergeCell ref="DA219:DA219"/>
    <mergeCell ref="DA220:DA220"/>
    <mergeCell ref="DA221:DA221"/>
    <mergeCell ref="DA222:DA222"/>
    <mergeCell ref="DA223:DA223"/>
    <mergeCell ref="DA224:DA224"/>
    <mergeCell ref="DA225:DA225"/>
    <mergeCell ref="DA226:DA226"/>
    <mergeCell ref="DA227:DA227"/>
    <mergeCell ref="DA228:DA228"/>
    <mergeCell ref="DA229:DA229"/>
    <mergeCell ref="DA230:DA230"/>
    <mergeCell ref="DA231:DA231"/>
    <mergeCell ref="DA232:DA232"/>
    <mergeCell ref="DA233:DA233"/>
    <mergeCell ref="DA234:DA234"/>
    <mergeCell ref="DA235:DA235"/>
    <mergeCell ref="DA236:DA236"/>
    <mergeCell ref="DA237:DA237"/>
    <mergeCell ref="DA238:DA238"/>
    <mergeCell ref="DA239:DA239"/>
    <mergeCell ref="DA240:DA240"/>
    <mergeCell ref="DA241:DA241"/>
    <mergeCell ref="DA242:DA242"/>
    <mergeCell ref="DA243:DA243"/>
    <mergeCell ref="DA244:DA244"/>
    <mergeCell ref="DA245:DA245"/>
    <mergeCell ref="DA246:DA246"/>
    <mergeCell ref="DA247:DA247"/>
    <mergeCell ref="DA248:DA248"/>
    <mergeCell ref="DA249:DA249"/>
    <mergeCell ref="DA250:DA250"/>
    <mergeCell ref="DA251:DA251"/>
    <mergeCell ref="DA252:DA252"/>
    <mergeCell ref="DA253:DA253"/>
    <mergeCell ref="DA254:DA254"/>
    <mergeCell ref="DA255:DA255"/>
    <mergeCell ref="DA256:DA256"/>
    <mergeCell ref="DA257:DA257"/>
    <mergeCell ref="DA258:DA258"/>
    <mergeCell ref="DA259:DA259"/>
    <mergeCell ref="DA260:DA260"/>
    <mergeCell ref="DA261:DA261"/>
    <mergeCell ref="DA262:DA262"/>
    <mergeCell ref="DA263:DA263"/>
    <mergeCell ref="DA264:DA264"/>
    <mergeCell ref="DA265:DA265"/>
    <mergeCell ref="DA266:DA266"/>
    <mergeCell ref="DA267:DA267"/>
    <mergeCell ref="DA268:DA268"/>
    <mergeCell ref="DA269:DA269"/>
    <mergeCell ref="DA270:DA270"/>
    <mergeCell ref="DA271:DA271"/>
    <mergeCell ref="DA272:DA272"/>
    <mergeCell ref="DA273:DA273"/>
    <mergeCell ref="DA274:DA274"/>
    <mergeCell ref="DA275:DA275"/>
    <mergeCell ref="DA276:DA276"/>
    <mergeCell ref="DA277:DA277"/>
    <mergeCell ref="DA278:DA278"/>
    <mergeCell ref="DA279:DA279"/>
    <mergeCell ref="DA280:DA280"/>
    <mergeCell ref="DA281:DA281"/>
    <mergeCell ref="DA282:DA282"/>
    <mergeCell ref="DA283:DA283"/>
    <mergeCell ref="DA284:DA284"/>
    <mergeCell ref="DA285:DA285"/>
    <mergeCell ref="DA286:DA286"/>
    <mergeCell ref="DA287:DA287"/>
    <mergeCell ref="DA288:DA288"/>
    <mergeCell ref="DA289:DA289"/>
    <mergeCell ref="DA290:DA290"/>
    <mergeCell ref="DA291:DA291"/>
    <mergeCell ref="DA292:DA292"/>
    <mergeCell ref="DA293:DA293"/>
    <mergeCell ref="DA294:DA294"/>
    <mergeCell ref="DA295:DA295"/>
    <mergeCell ref="DA296:DA296"/>
    <mergeCell ref="DA297:DA297"/>
    <mergeCell ref="DA298:DA298"/>
    <mergeCell ref="DA299:DA299"/>
    <mergeCell ref="DA300:DA300"/>
    <mergeCell ref="DA301:DA301"/>
    <mergeCell ref="DA302:DA302"/>
    <mergeCell ref="DA303:DA303"/>
    <mergeCell ref="DA304:DA304"/>
    <mergeCell ref="DA305:DA305"/>
    <mergeCell ref="DA306:DA306"/>
    <mergeCell ref="DA307:DA307"/>
    <mergeCell ref="DA308:DA308"/>
    <mergeCell ref="DA309:DA309"/>
    <mergeCell ref="DA310:DA310"/>
    <mergeCell ref="DA311:DA311"/>
    <mergeCell ref="DA312:DA312"/>
    <mergeCell ref="DA313:DA313"/>
    <mergeCell ref="DA314:DA314"/>
    <mergeCell ref="DA315:DA315"/>
    <mergeCell ref="DA316:DA316"/>
    <mergeCell ref="DA317:DA317"/>
    <mergeCell ref="DA318:DA318"/>
    <mergeCell ref="DA319:DA319"/>
    <mergeCell ref="DA320:DA320"/>
    <mergeCell ref="DA321:DA321"/>
    <mergeCell ref="DA322:DA322"/>
    <mergeCell ref="DA323:DA323"/>
    <mergeCell ref="DA324:DA324"/>
    <mergeCell ref="DA325:DA325"/>
    <mergeCell ref="DA326:DA326"/>
    <mergeCell ref="DA327:DA327"/>
    <mergeCell ref="DA328:DA328"/>
    <mergeCell ref="DA329:DA329"/>
    <mergeCell ref="DA330:DA330"/>
    <mergeCell ref="DA331:DA331"/>
    <mergeCell ref="DA332:DA332"/>
    <mergeCell ref="DA333:DA333"/>
    <mergeCell ref="DA334:DA334"/>
    <mergeCell ref="DA335:DA335"/>
    <mergeCell ref="DA336:DA336"/>
    <mergeCell ref="DA337:DA337"/>
    <mergeCell ref="DA338:DA338"/>
    <mergeCell ref="DA339:DA339"/>
    <mergeCell ref="DA340:DA340"/>
    <mergeCell ref="DA341:DA341"/>
    <mergeCell ref="DA342:DA342"/>
    <mergeCell ref="DA343:DA343"/>
    <mergeCell ref="DA344:DA344"/>
    <mergeCell ref="DA345:DA345"/>
    <mergeCell ref="DA346:DA346"/>
    <mergeCell ref="DA347:DA347"/>
    <mergeCell ref="DA348:DA348"/>
    <mergeCell ref="DA349:DA349"/>
    <mergeCell ref="DA350:DA350"/>
    <mergeCell ref="DA351:DA351"/>
    <mergeCell ref="DA352:DA352"/>
    <mergeCell ref="DA353:DA353"/>
    <mergeCell ref="DA354:DA354"/>
    <mergeCell ref="DA355:DA355"/>
    <mergeCell ref="DA356:DA356"/>
    <mergeCell ref="DA357:DA357"/>
    <mergeCell ref="DA358:DA358"/>
    <mergeCell ref="DE5:DK5"/>
    <mergeCell ref="DE12:DK17"/>
    <mergeCell ref="DE10:DK10"/>
    <mergeCell ref="DE6:DE7"/>
    <mergeCell ref="DF6:DH6"/>
    <mergeCell ref="DI6:DK6"/>
    <mergeCell ref="DM11:DP11"/>
    <mergeCell ref="DM12:DN12"/>
    <mergeCell ref="DM13:DM15"/>
    <mergeCell ref="DM16:DM18"/>
    <mergeCell ref="DM19:DP19"/>
    <mergeCell ref="DM369:DP374"/>
    <mergeCell ref="DR11:DV11"/>
    <mergeCell ref="DR12:DT12"/>
    <mergeCell ref="DR19:DV19"/>
    <mergeCell ref="DR13:DR18"/>
    <mergeCell ref="DR369:DU374"/>
    <mergeCell ref="DS13:DS15"/>
    <mergeCell ref="DS16:DS18"/>
    <mergeCell ref="DZ4:DZ4"/>
    <mergeCell ref="DZ5:DZ5"/>
    <mergeCell ref="DZ6:DZ6"/>
    <mergeCell ref="DZ7:DZ7"/>
    <mergeCell ref="DZ8:DZ8"/>
    <mergeCell ref="DZ9:DZ9"/>
    <mergeCell ref="DZ10:DZ10"/>
    <mergeCell ref="DZ11:DZ11"/>
    <mergeCell ref="DZ12:DZ12"/>
    <mergeCell ref="DZ13:DZ13"/>
    <mergeCell ref="DZ14:DZ14"/>
    <mergeCell ref="DZ15:DZ15"/>
    <mergeCell ref="DZ16:DZ16"/>
    <mergeCell ref="DZ17:DZ17"/>
    <mergeCell ref="DZ18:DZ18"/>
    <mergeCell ref="DZ19:DZ19"/>
    <mergeCell ref="DZ20:DZ20"/>
    <mergeCell ref="DZ21:DZ21"/>
    <mergeCell ref="DZ22:DZ22"/>
    <mergeCell ref="DZ23:DZ23"/>
    <mergeCell ref="DZ24:DZ24"/>
    <mergeCell ref="DZ25:DZ25"/>
    <mergeCell ref="DZ26:DZ26"/>
    <mergeCell ref="DZ27:DZ27"/>
    <mergeCell ref="DZ28:DZ28"/>
    <mergeCell ref="DZ29:DZ29"/>
    <mergeCell ref="DZ30:DZ30"/>
    <mergeCell ref="DZ31:DZ31"/>
    <mergeCell ref="DZ32:DZ32"/>
    <mergeCell ref="DZ33:DZ33"/>
    <mergeCell ref="DZ34:DZ34"/>
    <mergeCell ref="DZ35:DZ35"/>
    <mergeCell ref="DZ36:DZ36"/>
    <mergeCell ref="DZ37:DZ37"/>
    <mergeCell ref="DZ38:DZ38"/>
    <mergeCell ref="DZ39:DZ39"/>
    <mergeCell ref="DZ40:DZ40"/>
    <mergeCell ref="DZ41:DZ41"/>
    <mergeCell ref="DZ42:DZ42"/>
    <mergeCell ref="DZ43:DZ43"/>
    <mergeCell ref="DZ44:DZ44"/>
    <mergeCell ref="DZ45:DZ45"/>
    <mergeCell ref="DZ46:DZ46"/>
    <mergeCell ref="DZ47:DZ47"/>
    <mergeCell ref="DZ48:DZ48"/>
    <mergeCell ref="DZ49:DZ49"/>
    <mergeCell ref="DZ50:DZ50"/>
    <mergeCell ref="DZ51:DZ51"/>
    <mergeCell ref="DZ52:DZ52"/>
    <mergeCell ref="DZ53:DZ53"/>
    <mergeCell ref="DZ54:DZ54"/>
    <mergeCell ref="DZ55:DZ55"/>
    <mergeCell ref="DZ56:DZ56"/>
    <mergeCell ref="DZ57:DZ57"/>
    <mergeCell ref="DZ58:DZ58"/>
    <mergeCell ref="DZ59:DZ59"/>
    <mergeCell ref="DZ60:DZ60"/>
    <mergeCell ref="DZ61:DZ61"/>
    <mergeCell ref="DZ62:DZ62"/>
    <mergeCell ref="DZ63:DZ63"/>
    <mergeCell ref="DZ64:DZ64"/>
    <mergeCell ref="DZ65:DZ65"/>
    <mergeCell ref="DZ66:DZ66"/>
    <mergeCell ref="DZ67:DZ67"/>
    <mergeCell ref="DZ68:DZ68"/>
    <mergeCell ref="DZ69:DZ69"/>
    <mergeCell ref="DZ70:DZ70"/>
    <mergeCell ref="DZ71:DZ71"/>
    <mergeCell ref="DZ72:DZ72"/>
    <mergeCell ref="DZ73:DZ73"/>
    <mergeCell ref="DZ74:DZ74"/>
    <mergeCell ref="DZ75:DZ75"/>
    <mergeCell ref="DZ76:DZ76"/>
    <mergeCell ref="DZ77:DZ77"/>
    <mergeCell ref="DZ78:DZ78"/>
    <mergeCell ref="DZ79:DZ79"/>
    <mergeCell ref="DZ80:DZ80"/>
    <mergeCell ref="DZ81:DZ81"/>
    <mergeCell ref="DZ82:DZ82"/>
    <mergeCell ref="DZ83:DZ83"/>
    <mergeCell ref="DZ84:DZ84"/>
    <mergeCell ref="DZ85:DZ85"/>
    <mergeCell ref="DZ86:DZ86"/>
    <mergeCell ref="DZ87:DZ87"/>
    <mergeCell ref="DZ88:DZ88"/>
    <mergeCell ref="DZ89:DZ89"/>
    <mergeCell ref="DZ90:DZ90"/>
    <mergeCell ref="DZ91:DZ91"/>
    <mergeCell ref="DZ92:DZ92"/>
    <mergeCell ref="DZ93:DZ93"/>
    <mergeCell ref="DZ94:DZ94"/>
    <mergeCell ref="DZ95:DZ95"/>
    <mergeCell ref="DZ96:DZ96"/>
    <mergeCell ref="DZ97:DZ97"/>
    <mergeCell ref="DZ98:DZ98"/>
    <mergeCell ref="DZ99:DZ99"/>
    <mergeCell ref="DZ100:DZ100"/>
    <mergeCell ref="DZ101:DZ101"/>
    <mergeCell ref="DZ102:DZ102"/>
    <mergeCell ref="DZ103:DZ103"/>
    <mergeCell ref="DZ104:DZ104"/>
    <mergeCell ref="DZ105:DZ105"/>
    <mergeCell ref="DZ106:DZ106"/>
    <mergeCell ref="DZ107:DZ107"/>
    <mergeCell ref="DZ108:DZ108"/>
    <mergeCell ref="DZ109:DZ109"/>
    <mergeCell ref="DZ110:DZ110"/>
    <mergeCell ref="DZ111:DZ111"/>
    <mergeCell ref="DZ112:DZ112"/>
    <mergeCell ref="DZ113:DZ113"/>
    <mergeCell ref="DZ114:DZ114"/>
    <mergeCell ref="DZ115:DZ115"/>
    <mergeCell ref="DZ116:DZ116"/>
    <mergeCell ref="DZ117:DZ117"/>
    <mergeCell ref="DZ118:DZ118"/>
    <mergeCell ref="DZ119:DZ119"/>
    <mergeCell ref="DZ120:DZ120"/>
    <mergeCell ref="DZ121:DZ121"/>
    <mergeCell ref="DZ122:DZ122"/>
    <mergeCell ref="DZ123:DZ123"/>
    <mergeCell ref="DZ124:DZ124"/>
    <mergeCell ref="DZ125:DZ125"/>
    <mergeCell ref="DZ126:DZ126"/>
    <mergeCell ref="DZ127:DZ127"/>
    <mergeCell ref="DZ128:DZ128"/>
    <mergeCell ref="DZ129:DZ129"/>
    <mergeCell ref="DZ130:DZ130"/>
    <mergeCell ref="DZ131:DZ131"/>
    <mergeCell ref="DZ132:DZ132"/>
    <mergeCell ref="DZ133:DZ133"/>
    <mergeCell ref="DZ134:DZ134"/>
    <mergeCell ref="DZ135:DZ135"/>
    <mergeCell ref="DZ136:DZ136"/>
    <mergeCell ref="DZ137:DZ137"/>
    <mergeCell ref="DZ138:DZ138"/>
    <mergeCell ref="DZ139:DZ139"/>
    <mergeCell ref="DZ140:DZ140"/>
    <mergeCell ref="DZ141:DZ141"/>
    <mergeCell ref="DZ142:DZ142"/>
    <mergeCell ref="DZ143:DZ143"/>
    <mergeCell ref="DZ144:DZ144"/>
    <mergeCell ref="DZ145:DZ145"/>
    <mergeCell ref="DZ146:DZ146"/>
    <mergeCell ref="DZ147:DZ147"/>
    <mergeCell ref="DZ148:DZ148"/>
    <mergeCell ref="DZ149:DZ149"/>
    <mergeCell ref="DZ150:DZ150"/>
    <mergeCell ref="DZ151:DZ151"/>
    <mergeCell ref="DZ152:DZ152"/>
    <mergeCell ref="DZ153:DZ153"/>
    <mergeCell ref="DZ154:DZ154"/>
    <mergeCell ref="DZ155:DZ155"/>
    <mergeCell ref="DZ156:DZ156"/>
    <mergeCell ref="DZ157:DZ157"/>
    <mergeCell ref="DZ158:DZ158"/>
    <mergeCell ref="DZ159:DZ159"/>
    <mergeCell ref="DZ160:DZ160"/>
    <mergeCell ref="DZ161:DZ161"/>
    <mergeCell ref="DZ162:DZ162"/>
    <mergeCell ref="DZ163:DZ163"/>
    <mergeCell ref="DZ164:DZ164"/>
    <mergeCell ref="DZ165:DZ165"/>
    <mergeCell ref="DZ166:DZ166"/>
    <mergeCell ref="DZ167:DZ167"/>
    <mergeCell ref="DZ168:DZ168"/>
    <mergeCell ref="DZ169:DZ169"/>
    <mergeCell ref="DZ170:DZ170"/>
    <mergeCell ref="DZ171:DZ171"/>
    <mergeCell ref="DZ172:DZ172"/>
    <mergeCell ref="DZ173:DZ173"/>
    <mergeCell ref="DZ174:DZ174"/>
    <mergeCell ref="DZ175:DZ175"/>
    <mergeCell ref="DZ176:DZ176"/>
    <mergeCell ref="DZ177:DZ177"/>
    <mergeCell ref="DZ178:DZ178"/>
    <mergeCell ref="DZ179:DZ179"/>
    <mergeCell ref="DZ180:DZ180"/>
    <mergeCell ref="DZ181:DZ181"/>
    <mergeCell ref="DZ182:DZ182"/>
    <mergeCell ref="DZ183:DZ183"/>
    <mergeCell ref="DZ184:DZ184"/>
    <mergeCell ref="DZ185:DZ185"/>
    <mergeCell ref="DZ186:DZ186"/>
    <mergeCell ref="DZ187:DZ187"/>
    <mergeCell ref="DZ188:DZ188"/>
    <mergeCell ref="DZ189:DZ189"/>
    <mergeCell ref="DZ190:DZ190"/>
    <mergeCell ref="DZ191:DZ191"/>
    <mergeCell ref="DZ192:DZ192"/>
    <mergeCell ref="DZ193:DZ193"/>
    <mergeCell ref="DZ194:DZ194"/>
    <mergeCell ref="DZ195:DZ195"/>
    <mergeCell ref="DZ196:DZ196"/>
    <mergeCell ref="DZ197:DZ197"/>
    <mergeCell ref="DZ198:DZ198"/>
    <mergeCell ref="DZ199:DZ199"/>
    <mergeCell ref="DZ200:DZ200"/>
    <mergeCell ref="DZ201:DZ201"/>
    <mergeCell ref="DZ202:DZ202"/>
    <mergeCell ref="DZ203:DZ203"/>
    <mergeCell ref="DZ204:DZ204"/>
    <mergeCell ref="DZ205:DZ205"/>
    <mergeCell ref="DZ206:DZ206"/>
    <mergeCell ref="DZ207:DZ207"/>
    <mergeCell ref="DZ208:DZ208"/>
    <mergeCell ref="DZ209:DZ209"/>
    <mergeCell ref="DZ210:DZ210"/>
    <mergeCell ref="DZ211:DZ211"/>
    <mergeCell ref="DZ212:DZ212"/>
    <mergeCell ref="DZ213:DZ213"/>
    <mergeCell ref="DZ214:DZ214"/>
    <mergeCell ref="DZ215:DZ215"/>
    <mergeCell ref="DZ216:DZ216"/>
    <mergeCell ref="DZ217:DZ217"/>
    <mergeCell ref="DZ218:DZ218"/>
    <mergeCell ref="DZ219:DZ219"/>
    <mergeCell ref="DZ220:DZ220"/>
    <mergeCell ref="DZ221:DZ221"/>
    <mergeCell ref="DZ222:DZ222"/>
    <mergeCell ref="DZ223:DZ223"/>
    <mergeCell ref="DZ224:DZ224"/>
    <mergeCell ref="DZ225:DZ225"/>
    <mergeCell ref="DZ226:DZ226"/>
    <mergeCell ref="DZ227:DZ227"/>
    <mergeCell ref="DZ228:DZ228"/>
    <mergeCell ref="DZ229:DZ229"/>
    <mergeCell ref="DZ230:DZ230"/>
    <mergeCell ref="DZ231:DZ231"/>
    <mergeCell ref="DZ232:DZ232"/>
    <mergeCell ref="DZ233:DZ233"/>
    <mergeCell ref="DZ234:DZ234"/>
    <mergeCell ref="DZ235:DZ235"/>
    <mergeCell ref="DZ236:DZ236"/>
    <mergeCell ref="DZ237:DZ237"/>
    <mergeCell ref="DZ238:DZ238"/>
    <mergeCell ref="DZ239:DZ239"/>
    <mergeCell ref="DZ240:DZ240"/>
    <mergeCell ref="DZ241:DZ241"/>
    <mergeCell ref="DZ242:DZ242"/>
    <mergeCell ref="DZ243:DZ243"/>
    <mergeCell ref="DZ244:DZ244"/>
    <mergeCell ref="DZ245:DZ245"/>
    <mergeCell ref="DZ246:DZ246"/>
    <mergeCell ref="DZ247:DZ247"/>
    <mergeCell ref="DZ248:DZ248"/>
    <mergeCell ref="DZ249:DZ249"/>
    <mergeCell ref="DZ250:DZ250"/>
    <mergeCell ref="DZ251:DZ251"/>
    <mergeCell ref="DZ252:DZ252"/>
    <mergeCell ref="DZ253:DZ253"/>
    <mergeCell ref="DZ254:DZ254"/>
    <mergeCell ref="DZ255:DZ255"/>
    <mergeCell ref="DZ256:DZ256"/>
    <mergeCell ref="DZ257:DZ257"/>
    <mergeCell ref="DZ258:DZ258"/>
    <mergeCell ref="DZ259:DZ259"/>
    <mergeCell ref="DZ260:DZ260"/>
    <mergeCell ref="DZ261:DZ261"/>
    <mergeCell ref="DZ262:DZ262"/>
    <mergeCell ref="DZ263:DZ263"/>
    <mergeCell ref="DZ264:DZ264"/>
    <mergeCell ref="DZ265:DZ265"/>
    <mergeCell ref="DZ266:DZ266"/>
    <mergeCell ref="DZ267:DZ267"/>
    <mergeCell ref="DZ268:DZ268"/>
    <mergeCell ref="DZ269:DZ269"/>
    <mergeCell ref="DZ270:DZ270"/>
    <mergeCell ref="DZ271:DZ271"/>
    <mergeCell ref="DZ272:DZ272"/>
    <mergeCell ref="DZ273:DZ273"/>
    <mergeCell ref="DZ274:DZ274"/>
    <mergeCell ref="DZ275:DZ275"/>
    <mergeCell ref="DZ276:DZ276"/>
    <mergeCell ref="DZ277:DZ277"/>
    <mergeCell ref="DZ278:DZ278"/>
    <mergeCell ref="DZ279:DZ279"/>
    <mergeCell ref="DZ280:DZ280"/>
    <mergeCell ref="DZ281:DZ281"/>
    <mergeCell ref="DZ282:DZ282"/>
    <mergeCell ref="DZ283:DZ283"/>
    <mergeCell ref="DZ284:DZ284"/>
    <mergeCell ref="DZ285:DZ285"/>
    <mergeCell ref="DZ286:DZ286"/>
    <mergeCell ref="DZ287:DZ287"/>
    <mergeCell ref="DZ288:DZ288"/>
    <mergeCell ref="DZ289:DZ289"/>
    <mergeCell ref="DZ290:DZ290"/>
    <mergeCell ref="DZ291:DZ291"/>
    <mergeCell ref="DZ292:DZ292"/>
    <mergeCell ref="DZ293:DZ293"/>
    <mergeCell ref="DZ294:DZ294"/>
    <mergeCell ref="DZ295:DZ295"/>
    <mergeCell ref="DZ296:DZ296"/>
    <mergeCell ref="DZ297:DZ297"/>
    <mergeCell ref="DZ298:DZ298"/>
    <mergeCell ref="DZ299:DZ299"/>
    <mergeCell ref="DZ300:DZ300"/>
    <mergeCell ref="DZ301:DZ301"/>
    <mergeCell ref="DZ302:DZ302"/>
    <mergeCell ref="DZ303:DZ303"/>
    <mergeCell ref="DZ304:DZ304"/>
    <mergeCell ref="DZ305:DZ305"/>
    <mergeCell ref="DZ306:DZ306"/>
    <mergeCell ref="DZ307:DZ307"/>
    <mergeCell ref="DZ308:DZ308"/>
    <mergeCell ref="DZ309:DZ309"/>
    <mergeCell ref="DZ310:DZ310"/>
    <mergeCell ref="DZ311:DZ311"/>
    <mergeCell ref="DZ312:DZ312"/>
    <mergeCell ref="DZ313:DZ313"/>
    <mergeCell ref="DZ314:DZ314"/>
    <mergeCell ref="DZ315:DZ315"/>
    <mergeCell ref="DZ316:DZ316"/>
    <mergeCell ref="DZ317:DZ317"/>
    <mergeCell ref="DZ318:DZ318"/>
    <mergeCell ref="DZ319:DZ319"/>
    <mergeCell ref="DZ320:DZ320"/>
    <mergeCell ref="DZ321:DZ321"/>
    <mergeCell ref="DZ322:DZ322"/>
    <mergeCell ref="DZ323:DZ323"/>
    <mergeCell ref="DZ324:DZ324"/>
    <mergeCell ref="DZ325:DZ325"/>
    <mergeCell ref="DZ326:DZ326"/>
    <mergeCell ref="DZ327:DZ327"/>
    <mergeCell ref="DZ328:DZ328"/>
    <mergeCell ref="DZ329:DZ329"/>
    <mergeCell ref="DZ330:DZ330"/>
    <mergeCell ref="DZ331:DZ331"/>
    <mergeCell ref="DZ332:DZ332"/>
    <mergeCell ref="DZ333:DZ333"/>
    <mergeCell ref="DZ334:DZ334"/>
    <mergeCell ref="DZ335:DZ335"/>
    <mergeCell ref="DZ336:DZ336"/>
    <mergeCell ref="DZ337:DZ337"/>
    <mergeCell ref="DZ338:DZ338"/>
    <mergeCell ref="DZ339:DZ339"/>
    <mergeCell ref="DZ340:DZ340"/>
    <mergeCell ref="DZ341:DZ341"/>
    <mergeCell ref="DZ342:DZ342"/>
    <mergeCell ref="DZ343:DZ343"/>
    <mergeCell ref="DZ344:DZ344"/>
    <mergeCell ref="DZ345:DZ345"/>
    <mergeCell ref="DZ346:DZ346"/>
    <mergeCell ref="DZ347:DZ347"/>
    <mergeCell ref="DZ348:DZ348"/>
    <mergeCell ref="DZ349:DZ349"/>
    <mergeCell ref="DZ350:DZ350"/>
    <mergeCell ref="DZ351:DZ351"/>
    <mergeCell ref="DZ352:DZ352"/>
    <mergeCell ref="DZ353:DZ353"/>
    <mergeCell ref="DZ354:DZ354"/>
    <mergeCell ref="DZ355:DZ355"/>
    <mergeCell ref="DZ356:DZ356"/>
    <mergeCell ref="DZ357:DZ357"/>
    <mergeCell ref="DZ358:DZ358"/>
    <mergeCell ref="ED5:EJ5"/>
    <mergeCell ref="ED12:EJ17"/>
    <mergeCell ref="ED10:EJ10"/>
    <mergeCell ref="ED6:ED7"/>
    <mergeCell ref="EE6:EG6"/>
    <mergeCell ref="EH6:EJ6"/>
    <mergeCell ref="EL11:EO11"/>
    <mergeCell ref="EL12:EM12"/>
    <mergeCell ref="EL13:EL15"/>
    <mergeCell ref="EL16:EL18"/>
    <mergeCell ref="EL19:EO19"/>
    <mergeCell ref="EL369:EO374"/>
    <mergeCell ref="EQ11:EU11"/>
    <mergeCell ref="EQ12:ES12"/>
    <mergeCell ref="EQ19:EU19"/>
    <mergeCell ref="EQ13:EQ18"/>
    <mergeCell ref="EQ369:ET374"/>
    <mergeCell ref="ER13:ER15"/>
    <mergeCell ref="ER16:ER18"/>
    <mergeCell ref="EY4:EY4"/>
    <mergeCell ref="EY5:EY5"/>
    <mergeCell ref="EY6:EY6"/>
    <mergeCell ref="EY7:EY7"/>
    <mergeCell ref="EY8:EY8"/>
    <mergeCell ref="EY9:EY9"/>
    <mergeCell ref="EY10:EY10"/>
    <mergeCell ref="EY11:EY11"/>
    <mergeCell ref="EY12:EY12"/>
    <mergeCell ref="EY13:EY13"/>
    <mergeCell ref="EY14:EY14"/>
    <mergeCell ref="EY15:EY15"/>
    <mergeCell ref="EY16:EY16"/>
    <mergeCell ref="EY17:EY17"/>
    <mergeCell ref="EY18:EY18"/>
    <mergeCell ref="EY19:EY19"/>
    <mergeCell ref="EY20:EY20"/>
    <mergeCell ref="EY21:EY21"/>
    <mergeCell ref="EY22:EY22"/>
    <mergeCell ref="EY23:EY23"/>
    <mergeCell ref="EY24:EY24"/>
    <mergeCell ref="EY25:EY25"/>
    <mergeCell ref="EY26:EY26"/>
    <mergeCell ref="EY27:EY27"/>
    <mergeCell ref="EY28:EY28"/>
    <mergeCell ref="EY29:EY29"/>
    <mergeCell ref="EY30:EY30"/>
    <mergeCell ref="EY31:EY31"/>
    <mergeCell ref="EY32:EY32"/>
    <mergeCell ref="EY33:EY33"/>
    <mergeCell ref="EY34:EY34"/>
    <mergeCell ref="EY35:EY35"/>
    <mergeCell ref="EY36:EY36"/>
    <mergeCell ref="EY37:EY37"/>
    <mergeCell ref="EY38:EY38"/>
    <mergeCell ref="EY39:EY39"/>
    <mergeCell ref="EY40:EY40"/>
    <mergeCell ref="EY41:EY41"/>
    <mergeCell ref="EY42:EY42"/>
    <mergeCell ref="EY43:EY43"/>
    <mergeCell ref="EY44:EY44"/>
    <mergeCell ref="EY45:EY45"/>
    <mergeCell ref="EY46:EY46"/>
    <mergeCell ref="EY47:EY47"/>
    <mergeCell ref="EY48:EY48"/>
    <mergeCell ref="EY49:EY49"/>
    <mergeCell ref="EY50:EY50"/>
    <mergeCell ref="EY51:EY51"/>
    <mergeCell ref="EY52:EY52"/>
    <mergeCell ref="EY53:EY53"/>
    <mergeCell ref="EY54:EY54"/>
    <mergeCell ref="EY55:EY55"/>
    <mergeCell ref="EY56:EY56"/>
    <mergeCell ref="EY57:EY57"/>
    <mergeCell ref="EY58:EY58"/>
    <mergeCell ref="EY59:EY59"/>
    <mergeCell ref="EY60:EY60"/>
    <mergeCell ref="EY61:EY61"/>
    <mergeCell ref="EY62:EY62"/>
    <mergeCell ref="EY63:EY63"/>
    <mergeCell ref="EY64:EY64"/>
    <mergeCell ref="EY65:EY65"/>
    <mergeCell ref="EY66:EY66"/>
    <mergeCell ref="EY67:EY67"/>
    <mergeCell ref="EY68:EY68"/>
    <mergeCell ref="EY69:EY69"/>
    <mergeCell ref="EY70:EY70"/>
    <mergeCell ref="EY71:EY71"/>
    <mergeCell ref="EY72:EY72"/>
    <mergeCell ref="EY73:EY73"/>
    <mergeCell ref="EY74:EY74"/>
    <mergeCell ref="EY75:EY75"/>
    <mergeCell ref="EY76:EY76"/>
    <mergeCell ref="EY77:EY77"/>
    <mergeCell ref="EY78:EY78"/>
    <mergeCell ref="EY79:EY79"/>
    <mergeCell ref="EY80:EY80"/>
    <mergeCell ref="EY81:EY81"/>
    <mergeCell ref="EY82:EY82"/>
    <mergeCell ref="EY83:EY83"/>
    <mergeCell ref="EY84:EY84"/>
    <mergeCell ref="EY85:EY85"/>
    <mergeCell ref="EY86:EY86"/>
    <mergeCell ref="EY87:EY87"/>
    <mergeCell ref="EY88:EY88"/>
    <mergeCell ref="EY89:EY89"/>
    <mergeCell ref="EY90:EY90"/>
    <mergeCell ref="EY91:EY91"/>
    <mergeCell ref="EY92:EY92"/>
    <mergeCell ref="EY93:EY93"/>
    <mergeCell ref="EY94:EY94"/>
    <mergeCell ref="EY95:EY95"/>
    <mergeCell ref="EY96:EY96"/>
    <mergeCell ref="EY97:EY97"/>
    <mergeCell ref="EY98:EY98"/>
    <mergeCell ref="EY99:EY99"/>
    <mergeCell ref="EY100:EY100"/>
    <mergeCell ref="EY101:EY101"/>
    <mergeCell ref="EY102:EY102"/>
    <mergeCell ref="EY103:EY103"/>
    <mergeCell ref="EY104:EY104"/>
    <mergeCell ref="EY105:EY105"/>
    <mergeCell ref="EY106:EY106"/>
    <mergeCell ref="EY107:EY107"/>
    <mergeCell ref="EY108:EY108"/>
    <mergeCell ref="EY109:EY109"/>
    <mergeCell ref="EY110:EY110"/>
    <mergeCell ref="EY111:EY111"/>
    <mergeCell ref="EY112:EY112"/>
    <mergeCell ref="EY113:EY113"/>
    <mergeCell ref="EY114:EY114"/>
    <mergeCell ref="EY115:EY115"/>
    <mergeCell ref="EY116:EY116"/>
    <mergeCell ref="EY117:EY117"/>
    <mergeCell ref="EY118:EY118"/>
    <mergeCell ref="EY119:EY119"/>
    <mergeCell ref="EY120:EY120"/>
    <mergeCell ref="EY121:EY121"/>
    <mergeCell ref="EY122:EY122"/>
    <mergeCell ref="EY123:EY123"/>
    <mergeCell ref="EY124:EY124"/>
    <mergeCell ref="EY125:EY125"/>
    <mergeCell ref="EY126:EY126"/>
    <mergeCell ref="EY127:EY127"/>
    <mergeCell ref="EY128:EY128"/>
    <mergeCell ref="EY129:EY129"/>
    <mergeCell ref="EY130:EY130"/>
    <mergeCell ref="EY131:EY131"/>
    <mergeCell ref="EY132:EY132"/>
    <mergeCell ref="EY133:EY133"/>
    <mergeCell ref="EY134:EY134"/>
    <mergeCell ref="EY135:EY135"/>
    <mergeCell ref="EY136:EY136"/>
    <mergeCell ref="EY137:EY137"/>
    <mergeCell ref="EY138:EY138"/>
    <mergeCell ref="EY139:EY139"/>
    <mergeCell ref="EY140:EY140"/>
    <mergeCell ref="EY141:EY141"/>
    <mergeCell ref="EY142:EY142"/>
    <mergeCell ref="EY143:EY143"/>
    <mergeCell ref="EY144:EY144"/>
    <mergeCell ref="EY145:EY145"/>
    <mergeCell ref="EY146:EY146"/>
    <mergeCell ref="EY147:EY147"/>
    <mergeCell ref="EY148:EY148"/>
    <mergeCell ref="EY149:EY149"/>
    <mergeCell ref="EY150:EY150"/>
    <mergeCell ref="EY151:EY151"/>
    <mergeCell ref="EY152:EY152"/>
    <mergeCell ref="EY153:EY153"/>
    <mergeCell ref="EY154:EY154"/>
    <mergeCell ref="EY155:EY155"/>
    <mergeCell ref="EY156:EY156"/>
    <mergeCell ref="EY157:EY157"/>
    <mergeCell ref="EY158:EY158"/>
    <mergeCell ref="EY159:EY159"/>
    <mergeCell ref="EY160:EY160"/>
    <mergeCell ref="EY161:EY161"/>
    <mergeCell ref="EY162:EY162"/>
    <mergeCell ref="EY163:EY163"/>
    <mergeCell ref="EY164:EY164"/>
    <mergeCell ref="EY165:EY165"/>
    <mergeCell ref="EY166:EY166"/>
    <mergeCell ref="EY167:EY167"/>
    <mergeCell ref="EY168:EY168"/>
    <mergeCell ref="EY169:EY169"/>
    <mergeCell ref="EY170:EY170"/>
    <mergeCell ref="EY171:EY171"/>
    <mergeCell ref="EY172:EY172"/>
    <mergeCell ref="EY173:EY173"/>
    <mergeCell ref="EY174:EY174"/>
    <mergeCell ref="EY175:EY175"/>
    <mergeCell ref="EY176:EY176"/>
    <mergeCell ref="EY177:EY177"/>
    <mergeCell ref="EY178:EY178"/>
    <mergeCell ref="EY179:EY179"/>
    <mergeCell ref="EY180:EY180"/>
    <mergeCell ref="EY181:EY181"/>
    <mergeCell ref="EY182:EY182"/>
    <mergeCell ref="EY183:EY183"/>
    <mergeCell ref="EY184:EY184"/>
    <mergeCell ref="EY185:EY185"/>
    <mergeCell ref="EY186:EY186"/>
    <mergeCell ref="EY187:EY187"/>
    <mergeCell ref="EY188:EY188"/>
    <mergeCell ref="EY189:EY189"/>
    <mergeCell ref="EY190:EY190"/>
    <mergeCell ref="EY191:EY191"/>
    <mergeCell ref="EY192:EY192"/>
    <mergeCell ref="EY193:EY193"/>
    <mergeCell ref="EY194:EY194"/>
    <mergeCell ref="EY195:EY195"/>
    <mergeCell ref="EY196:EY196"/>
    <mergeCell ref="EY197:EY197"/>
    <mergeCell ref="EY198:EY198"/>
    <mergeCell ref="EY199:EY199"/>
    <mergeCell ref="EY200:EY200"/>
    <mergeCell ref="EY201:EY201"/>
    <mergeCell ref="EY202:EY202"/>
    <mergeCell ref="EY203:EY203"/>
    <mergeCell ref="EY204:EY204"/>
    <mergeCell ref="EY205:EY205"/>
    <mergeCell ref="EY206:EY206"/>
    <mergeCell ref="EY207:EY207"/>
    <mergeCell ref="EY208:EY208"/>
    <mergeCell ref="EY209:EY209"/>
    <mergeCell ref="EY210:EY210"/>
    <mergeCell ref="EY211:EY211"/>
    <mergeCell ref="EY212:EY212"/>
    <mergeCell ref="EY213:EY213"/>
    <mergeCell ref="EY214:EY214"/>
    <mergeCell ref="EY215:EY215"/>
    <mergeCell ref="EY216:EY216"/>
    <mergeCell ref="EY217:EY217"/>
    <mergeCell ref="EY218:EY218"/>
    <mergeCell ref="EY219:EY219"/>
    <mergeCell ref="EY220:EY220"/>
    <mergeCell ref="EY221:EY221"/>
    <mergeCell ref="EY222:EY222"/>
    <mergeCell ref="EY223:EY223"/>
    <mergeCell ref="EY224:EY224"/>
    <mergeCell ref="EY225:EY225"/>
    <mergeCell ref="EY226:EY226"/>
    <mergeCell ref="EY227:EY227"/>
    <mergeCell ref="EY228:EY228"/>
    <mergeCell ref="EY229:EY229"/>
    <mergeCell ref="EY230:EY230"/>
    <mergeCell ref="EY231:EY231"/>
    <mergeCell ref="EY232:EY232"/>
    <mergeCell ref="EY233:EY233"/>
    <mergeCell ref="EY234:EY234"/>
    <mergeCell ref="EY235:EY235"/>
    <mergeCell ref="EY236:EY236"/>
    <mergeCell ref="EY237:EY237"/>
    <mergeCell ref="EY238:EY238"/>
    <mergeCell ref="EY239:EY239"/>
    <mergeCell ref="EY240:EY240"/>
    <mergeCell ref="EY241:EY241"/>
    <mergeCell ref="EY242:EY242"/>
    <mergeCell ref="EY243:EY243"/>
    <mergeCell ref="EY244:EY244"/>
    <mergeCell ref="EY245:EY245"/>
    <mergeCell ref="EY246:EY246"/>
    <mergeCell ref="EY247:EY247"/>
    <mergeCell ref="EY248:EY248"/>
    <mergeCell ref="EY249:EY249"/>
    <mergeCell ref="EY250:EY250"/>
    <mergeCell ref="EY251:EY251"/>
    <mergeCell ref="EY252:EY252"/>
    <mergeCell ref="EY253:EY253"/>
    <mergeCell ref="EY254:EY254"/>
    <mergeCell ref="EY255:EY255"/>
    <mergeCell ref="EY256:EY256"/>
    <mergeCell ref="EY257:EY257"/>
    <mergeCell ref="EY258:EY258"/>
    <mergeCell ref="EY259:EY259"/>
    <mergeCell ref="EY260:EY260"/>
    <mergeCell ref="EY261:EY261"/>
    <mergeCell ref="EY262:EY262"/>
    <mergeCell ref="EY263:EY263"/>
    <mergeCell ref="EY264:EY264"/>
    <mergeCell ref="EY265:EY265"/>
    <mergeCell ref="EY266:EY266"/>
    <mergeCell ref="EY267:EY267"/>
    <mergeCell ref="EY268:EY268"/>
    <mergeCell ref="EY269:EY269"/>
    <mergeCell ref="EY270:EY270"/>
    <mergeCell ref="EY271:EY271"/>
    <mergeCell ref="EY272:EY272"/>
    <mergeCell ref="EY273:EY273"/>
    <mergeCell ref="EY274:EY274"/>
    <mergeCell ref="EY275:EY275"/>
    <mergeCell ref="EY276:EY276"/>
    <mergeCell ref="EY277:EY277"/>
    <mergeCell ref="EY278:EY278"/>
    <mergeCell ref="EY279:EY279"/>
    <mergeCell ref="EY280:EY280"/>
    <mergeCell ref="EY281:EY281"/>
    <mergeCell ref="EY282:EY282"/>
    <mergeCell ref="EY283:EY283"/>
    <mergeCell ref="EY284:EY284"/>
    <mergeCell ref="EY285:EY285"/>
    <mergeCell ref="EY286:EY286"/>
    <mergeCell ref="EY287:EY287"/>
    <mergeCell ref="EY288:EY288"/>
    <mergeCell ref="EY289:EY289"/>
    <mergeCell ref="EY290:EY290"/>
    <mergeCell ref="EY291:EY291"/>
    <mergeCell ref="EY292:EY292"/>
    <mergeCell ref="EY293:EY293"/>
    <mergeCell ref="EY294:EY294"/>
    <mergeCell ref="EY295:EY295"/>
    <mergeCell ref="EY296:EY296"/>
    <mergeCell ref="EY297:EY297"/>
    <mergeCell ref="EY298:EY298"/>
    <mergeCell ref="EY299:EY299"/>
    <mergeCell ref="EY300:EY300"/>
    <mergeCell ref="EY301:EY301"/>
    <mergeCell ref="EY302:EY302"/>
    <mergeCell ref="EY303:EY303"/>
    <mergeCell ref="EY304:EY304"/>
    <mergeCell ref="EY305:EY305"/>
    <mergeCell ref="EY306:EY306"/>
    <mergeCell ref="EY307:EY307"/>
    <mergeCell ref="EY308:EY308"/>
    <mergeCell ref="EY309:EY309"/>
    <mergeCell ref="EY310:EY310"/>
    <mergeCell ref="EY311:EY311"/>
    <mergeCell ref="EY312:EY312"/>
    <mergeCell ref="EY313:EY313"/>
    <mergeCell ref="EY314:EY314"/>
    <mergeCell ref="EY315:EY315"/>
    <mergeCell ref="EY316:EY316"/>
    <mergeCell ref="EY317:EY317"/>
    <mergeCell ref="EY318:EY318"/>
    <mergeCell ref="EY319:EY319"/>
    <mergeCell ref="EY320:EY320"/>
    <mergeCell ref="EY321:EY321"/>
    <mergeCell ref="EY322:EY322"/>
    <mergeCell ref="EY323:EY323"/>
    <mergeCell ref="EY324:EY324"/>
    <mergeCell ref="EY325:EY325"/>
    <mergeCell ref="EY326:EY326"/>
    <mergeCell ref="EY327:EY327"/>
    <mergeCell ref="EY328:EY328"/>
    <mergeCell ref="EY329:EY329"/>
    <mergeCell ref="EY330:EY330"/>
    <mergeCell ref="EY331:EY331"/>
    <mergeCell ref="EY332:EY332"/>
    <mergeCell ref="EY333:EY333"/>
    <mergeCell ref="EY334:EY334"/>
    <mergeCell ref="EY335:EY335"/>
    <mergeCell ref="EY336:EY336"/>
    <mergeCell ref="EY337:EY337"/>
    <mergeCell ref="EY338:EY338"/>
    <mergeCell ref="EY339:EY339"/>
    <mergeCell ref="EY340:EY340"/>
    <mergeCell ref="EY341:EY341"/>
    <mergeCell ref="EY342:EY342"/>
    <mergeCell ref="EY343:EY343"/>
    <mergeCell ref="EY344:EY344"/>
    <mergeCell ref="EY345:EY345"/>
    <mergeCell ref="EY346:EY346"/>
    <mergeCell ref="EY347:EY347"/>
    <mergeCell ref="EY348:EY348"/>
    <mergeCell ref="EY349:EY349"/>
    <mergeCell ref="EY350:EY350"/>
    <mergeCell ref="EY351:EY351"/>
    <mergeCell ref="EY352:EY352"/>
    <mergeCell ref="EY353:EY353"/>
    <mergeCell ref="EY354:EY354"/>
    <mergeCell ref="EY355:EY355"/>
    <mergeCell ref="EY356:EY356"/>
    <mergeCell ref="EY357:EY357"/>
    <mergeCell ref="EY358:EY358"/>
    <mergeCell ref="FC5:FI5"/>
    <mergeCell ref="FC12:FI17"/>
    <mergeCell ref="FC10:FI10"/>
    <mergeCell ref="FC6:FC7"/>
    <mergeCell ref="FD6:FF6"/>
    <mergeCell ref="FG6:FI6"/>
    <mergeCell ref="FK11:FN11"/>
    <mergeCell ref="FK12:FL12"/>
    <mergeCell ref="FK13:FK15"/>
    <mergeCell ref="FK16:FK18"/>
    <mergeCell ref="FK19:FN19"/>
    <mergeCell ref="FK369:FN374"/>
    <mergeCell ref="FP11:FT11"/>
    <mergeCell ref="FP12:FR12"/>
    <mergeCell ref="FP19:FT19"/>
    <mergeCell ref="FP13:FP18"/>
    <mergeCell ref="FP369:FS374"/>
    <mergeCell ref="FQ13:FQ15"/>
    <mergeCell ref="FQ16:FQ18"/>
    <mergeCell ref="FX4:FX4"/>
    <mergeCell ref="FX5:FX5"/>
    <mergeCell ref="FX6:FX6"/>
    <mergeCell ref="FX7:FX7"/>
    <mergeCell ref="FX8:FX8"/>
    <mergeCell ref="FX9:FX9"/>
    <mergeCell ref="FX10:FX10"/>
    <mergeCell ref="FX11:FX11"/>
    <mergeCell ref="FX12:FX12"/>
    <mergeCell ref="FX13:FX13"/>
    <mergeCell ref="FX14:FX14"/>
    <mergeCell ref="FX15:FX15"/>
    <mergeCell ref="FX16:FX16"/>
    <mergeCell ref="FX17:FX17"/>
    <mergeCell ref="FX18:FX18"/>
    <mergeCell ref="FX19:FX19"/>
    <mergeCell ref="FX20:FX20"/>
    <mergeCell ref="FX21:FX21"/>
    <mergeCell ref="FX22:FX22"/>
    <mergeCell ref="FX23:FX23"/>
    <mergeCell ref="FX24:FX24"/>
    <mergeCell ref="FX25:FX25"/>
    <mergeCell ref="FX26:FX26"/>
    <mergeCell ref="FX27:FX27"/>
    <mergeCell ref="FX28:FX28"/>
    <mergeCell ref="FX29:FX29"/>
    <mergeCell ref="FX30:FX30"/>
    <mergeCell ref="FX31:FX31"/>
    <mergeCell ref="FX32:FX32"/>
    <mergeCell ref="FX33:FX33"/>
    <mergeCell ref="FX34:FX34"/>
    <mergeCell ref="FX35:FX35"/>
    <mergeCell ref="FX36:FX36"/>
    <mergeCell ref="FX37:FX37"/>
    <mergeCell ref="FX38:FX38"/>
    <mergeCell ref="FX39:FX39"/>
    <mergeCell ref="FX40:FX40"/>
    <mergeCell ref="FX41:FX41"/>
    <mergeCell ref="FX42:FX42"/>
    <mergeCell ref="FX43:FX43"/>
    <mergeCell ref="FX44:FX44"/>
    <mergeCell ref="FX45:FX45"/>
    <mergeCell ref="FX46:FX46"/>
    <mergeCell ref="FX47:FX47"/>
    <mergeCell ref="FX48:FX48"/>
    <mergeCell ref="FX49:FX49"/>
    <mergeCell ref="FX50:FX50"/>
    <mergeCell ref="FX51:FX51"/>
    <mergeCell ref="FX52:FX52"/>
    <mergeCell ref="FX53:FX53"/>
    <mergeCell ref="FX54:FX54"/>
    <mergeCell ref="FX55:FX55"/>
    <mergeCell ref="FX56:FX56"/>
    <mergeCell ref="FX57:FX57"/>
    <mergeCell ref="FX58:FX58"/>
    <mergeCell ref="FX59:FX59"/>
    <mergeCell ref="FX60:FX60"/>
    <mergeCell ref="FX61:FX61"/>
    <mergeCell ref="FX62:FX62"/>
    <mergeCell ref="FX63:FX63"/>
    <mergeCell ref="FX64:FX64"/>
    <mergeCell ref="FX65:FX65"/>
    <mergeCell ref="FX66:FX66"/>
    <mergeCell ref="FX67:FX67"/>
    <mergeCell ref="FX68:FX68"/>
    <mergeCell ref="FX69:FX69"/>
    <mergeCell ref="FX70:FX70"/>
    <mergeCell ref="FX71:FX71"/>
    <mergeCell ref="FX72:FX72"/>
    <mergeCell ref="FX73:FX73"/>
    <mergeCell ref="FX74:FX74"/>
    <mergeCell ref="FX75:FX75"/>
    <mergeCell ref="FX76:FX76"/>
    <mergeCell ref="FX77:FX77"/>
    <mergeCell ref="FX78:FX78"/>
    <mergeCell ref="FX79:FX79"/>
    <mergeCell ref="FX80:FX80"/>
    <mergeCell ref="FX81:FX81"/>
    <mergeCell ref="FX82:FX82"/>
    <mergeCell ref="FX83:FX83"/>
    <mergeCell ref="FX84:FX84"/>
    <mergeCell ref="FX85:FX85"/>
    <mergeCell ref="FX86:FX86"/>
    <mergeCell ref="FX87:FX87"/>
    <mergeCell ref="FX88:FX88"/>
    <mergeCell ref="FX89:FX89"/>
    <mergeCell ref="FX90:FX90"/>
    <mergeCell ref="FX91:FX91"/>
    <mergeCell ref="FX92:FX92"/>
    <mergeCell ref="FX93:FX93"/>
    <mergeCell ref="FX94:FX94"/>
    <mergeCell ref="FX95:FX95"/>
    <mergeCell ref="FX96:FX96"/>
    <mergeCell ref="FX97:FX97"/>
    <mergeCell ref="FX98:FX98"/>
    <mergeCell ref="FX99:FX99"/>
    <mergeCell ref="FX100:FX100"/>
    <mergeCell ref="FX101:FX101"/>
    <mergeCell ref="FX102:FX102"/>
    <mergeCell ref="FX103:FX103"/>
    <mergeCell ref="FX104:FX104"/>
    <mergeCell ref="FX105:FX105"/>
    <mergeCell ref="FX106:FX106"/>
    <mergeCell ref="FX107:FX107"/>
    <mergeCell ref="FX108:FX108"/>
    <mergeCell ref="FX109:FX109"/>
    <mergeCell ref="FX110:FX110"/>
    <mergeCell ref="FX111:FX111"/>
    <mergeCell ref="FX112:FX112"/>
    <mergeCell ref="FX113:FX113"/>
    <mergeCell ref="FX114:FX114"/>
    <mergeCell ref="FX115:FX115"/>
    <mergeCell ref="FX116:FX116"/>
    <mergeCell ref="FX117:FX117"/>
    <mergeCell ref="FX118:FX118"/>
    <mergeCell ref="FX119:FX119"/>
    <mergeCell ref="FX120:FX120"/>
    <mergeCell ref="FX121:FX121"/>
    <mergeCell ref="FX122:FX122"/>
    <mergeCell ref="FX123:FX123"/>
    <mergeCell ref="FX124:FX124"/>
    <mergeCell ref="FX125:FX125"/>
    <mergeCell ref="FX126:FX126"/>
    <mergeCell ref="FX127:FX127"/>
    <mergeCell ref="FX128:FX128"/>
    <mergeCell ref="FX129:FX129"/>
    <mergeCell ref="FX130:FX130"/>
    <mergeCell ref="FX131:FX131"/>
    <mergeCell ref="FX132:FX132"/>
    <mergeCell ref="FX133:FX133"/>
    <mergeCell ref="FX134:FX134"/>
    <mergeCell ref="FX135:FX135"/>
    <mergeCell ref="FX136:FX136"/>
    <mergeCell ref="FX137:FX137"/>
    <mergeCell ref="FX138:FX138"/>
    <mergeCell ref="FX139:FX139"/>
    <mergeCell ref="FX140:FX140"/>
    <mergeCell ref="FX141:FX141"/>
    <mergeCell ref="FX142:FX142"/>
    <mergeCell ref="FX143:FX143"/>
    <mergeCell ref="FX144:FX144"/>
    <mergeCell ref="FX145:FX145"/>
    <mergeCell ref="FX146:FX146"/>
    <mergeCell ref="FX147:FX147"/>
    <mergeCell ref="FX148:FX148"/>
    <mergeCell ref="FX149:FX149"/>
    <mergeCell ref="FX150:FX150"/>
    <mergeCell ref="FX151:FX151"/>
    <mergeCell ref="FX152:FX152"/>
    <mergeCell ref="FX153:FX153"/>
    <mergeCell ref="FX154:FX154"/>
    <mergeCell ref="FX155:FX155"/>
    <mergeCell ref="FX156:FX156"/>
    <mergeCell ref="FX157:FX157"/>
    <mergeCell ref="FX158:FX158"/>
    <mergeCell ref="FX159:FX159"/>
    <mergeCell ref="FX160:FX160"/>
    <mergeCell ref="FX161:FX161"/>
    <mergeCell ref="FX162:FX162"/>
    <mergeCell ref="FX163:FX163"/>
    <mergeCell ref="FX164:FX164"/>
    <mergeCell ref="FX165:FX165"/>
    <mergeCell ref="FX166:FX166"/>
    <mergeCell ref="FX167:FX167"/>
    <mergeCell ref="FX168:FX168"/>
    <mergeCell ref="FX169:FX169"/>
    <mergeCell ref="FX170:FX170"/>
    <mergeCell ref="FX171:FX171"/>
    <mergeCell ref="FX172:FX172"/>
    <mergeCell ref="FX173:FX173"/>
    <mergeCell ref="FX174:FX174"/>
    <mergeCell ref="FX175:FX175"/>
    <mergeCell ref="FX176:FX176"/>
    <mergeCell ref="FX177:FX177"/>
    <mergeCell ref="FX178:FX178"/>
    <mergeCell ref="FX179:FX179"/>
    <mergeCell ref="FX180:FX180"/>
    <mergeCell ref="FX181:FX181"/>
    <mergeCell ref="FX182:FX182"/>
    <mergeCell ref="FX183:FX183"/>
    <mergeCell ref="FX184:FX184"/>
    <mergeCell ref="FX185:FX185"/>
    <mergeCell ref="FX186:FX186"/>
    <mergeCell ref="FX187:FX187"/>
    <mergeCell ref="FX188:FX188"/>
    <mergeCell ref="FX189:FX189"/>
    <mergeCell ref="FX190:FX190"/>
    <mergeCell ref="FX191:FX191"/>
    <mergeCell ref="FX192:FX192"/>
    <mergeCell ref="FX193:FX193"/>
    <mergeCell ref="FX194:FX194"/>
    <mergeCell ref="FX195:FX195"/>
    <mergeCell ref="FX196:FX196"/>
    <mergeCell ref="FX197:FX197"/>
    <mergeCell ref="FX198:FX198"/>
    <mergeCell ref="FX199:FX199"/>
    <mergeCell ref="FX200:FX200"/>
    <mergeCell ref="FX201:FX201"/>
    <mergeCell ref="FX202:FX202"/>
    <mergeCell ref="FX203:FX203"/>
    <mergeCell ref="FX204:FX204"/>
    <mergeCell ref="FX205:FX205"/>
    <mergeCell ref="FX206:FX206"/>
    <mergeCell ref="FX207:FX207"/>
    <mergeCell ref="FX208:FX208"/>
    <mergeCell ref="FX209:FX209"/>
    <mergeCell ref="FX210:FX210"/>
    <mergeCell ref="FX211:FX211"/>
    <mergeCell ref="FX212:FX212"/>
    <mergeCell ref="FX213:FX213"/>
    <mergeCell ref="FX214:FX214"/>
    <mergeCell ref="FX215:FX215"/>
    <mergeCell ref="FX216:FX216"/>
    <mergeCell ref="FX217:FX217"/>
    <mergeCell ref="FX218:FX218"/>
    <mergeCell ref="FX219:FX219"/>
    <mergeCell ref="FX220:FX220"/>
    <mergeCell ref="FX221:FX221"/>
    <mergeCell ref="FX222:FX222"/>
    <mergeCell ref="FX223:FX223"/>
    <mergeCell ref="FX224:FX224"/>
    <mergeCell ref="FX225:FX225"/>
    <mergeCell ref="FX226:FX226"/>
    <mergeCell ref="FX227:FX227"/>
    <mergeCell ref="FX228:FX228"/>
    <mergeCell ref="FX229:FX229"/>
    <mergeCell ref="FX230:FX230"/>
    <mergeCell ref="FX231:FX231"/>
    <mergeCell ref="FX232:FX232"/>
    <mergeCell ref="FX233:FX233"/>
    <mergeCell ref="FX234:FX234"/>
    <mergeCell ref="FX235:FX235"/>
    <mergeCell ref="FX236:FX236"/>
    <mergeCell ref="FX237:FX237"/>
    <mergeCell ref="FX238:FX238"/>
    <mergeCell ref="FX239:FX239"/>
    <mergeCell ref="FX240:FX240"/>
    <mergeCell ref="FX241:FX241"/>
    <mergeCell ref="FX242:FX242"/>
    <mergeCell ref="FX243:FX243"/>
    <mergeCell ref="FX244:FX244"/>
    <mergeCell ref="FX245:FX245"/>
    <mergeCell ref="FX246:FX246"/>
    <mergeCell ref="FX247:FX247"/>
    <mergeCell ref="FX248:FX248"/>
    <mergeCell ref="FX249:FX249"/>
    <mergeCell ref="FX250:FX250"/>
    <mergeCell ref="FX251:FX251"/>
    <mergeCell ref="FX252:FX252"/>
    <mergeCell ref="FX253:FX253"/>
    <mergeCell ref="FX254:FX254"/>
    <mergeCell ref="FX255:FX255"/>
    <mergeCell ref="FX256:FX256"/>
    <mergeCell ref="FX257:FX257"/>
    <mergeCell ref="FX258:FX258"/>
    <mergeCell ref="FX259:FX259"/>
    <mergeCell ref="FX260:FX260"/>
    <mergeCell ref="FX261:FX261"/>
    <mergeCell ref="FX262:FX262"/>
    <mergeCell ref="FX263:FX263"/>
    <mergeCell ref="FX264:FX264"/>
    <mergeCell ref="FX265:FX265"/>
    <mergeCell ref="FX266:FX266"/>
    <mergeCell ref="FX267:FX267"/>
    <mergeCell ref="FX268:FX268"/>
    <mergeCell ref="FX269:FX269"/>
    <mergeCell ref="FX270:FX270"/>
    <mergeCell ref="FX271:FX271"/>
    <mergeCell ref="FX272:FX272"/>
    <mergeCell ref="FX273:FX273"/>
    <mergeCell ref="FX274:FX274"/>
    <mergeCell ref="FX275:FX275"/>
    <mergeCell ref="FX276:FX276"/>
    <mergeCell ref="FX277:FX277"/>
    <mergeCell ref="FX278:FX278"/>
    <mergeCell ref="FX279:FX279"/>
    <mergeCell ref="FX280:FX280"/>
    <mergeCell ref="FX281:FX281"/>
    <mergeCell ref="FX282:FX282"/>
    <mergeCell ref="FX283:FX283"/>
    <mergeCell ref="FX284:FX284"/>
    <mergeCell ref="FX285:FX285"/>
    <mergeCell ref="FX286:FX286"/>
    <mergeCell ref="FX287:FX287"/>
    <mergeCell ref="FX288:FX288"/>
    <mergeCell ref="FX289:FX289"/>
    <mergeCell ref="FX290:FX290"/>
    <mergeCell ref="FX291:FX291"/>
    <mergeCell ref="FX292:FX292"/>
    <mergeCell ref="FX293:FX293"/>
    <mergeCell ref="FX294:FX294"/>
    <mergeCell ref="FX295:FX295"/>
    <mergeCell ref="FX296:FX296"/>
    <mergeCell ref="FX297:FX297"/>
    <mergeCell ref="FX298:FX298"/>
    <mergeCell ref="FX299:FX299"/>
    <mergeCell ref="FX300:FX300"/>
    <mergeCell ref="FX301:FX301"/>
    <mergeCell ref="FX302:FX302"/>
    <mergeCell ref="FX303:FX303"/>
    <mergeCell ref="FX304:FX304"/>
    <mergeCell ref="FX305:FX305"/>
    <mergeCell ref="FX306:FX306"/>
    <mergeCell ref="FX307:FX307"/>
    <mergeCell ref="FX308:FX308"/>
    <mergeCell ref="FX309:FX309"/>
    <mergeCell ref="FX310:FX310"/>
    <mergeCell ref="FX311:FX311"/>
    <mergeCell ref="FX312:FX312"/>
    <mergeCell ref="FX313:FX313"/>
    <mergeCell ref="FX314:FX314"/>
    <mergeCell ref="FX315:FX315"/>
    <mergeCell ref="FX316:FX316"/>
    <mergeCell ref="FX317:FX317"/>
    <mergeCell ref="FX318:FX318"/>
    <mergeCell ref="FX319:FX319"/>
    <mergeCell ref="FX320:FX320"/>
    <mergeCell ref="FX321:FX321"/>
    <mergeCell ref="FX322:FX322"/>
    <mergeCell ref="FX323:FX323"/>
    <mergeCell ref="FX324:FX324"/>
    <mergeCell ref="FX325:FX325"/>
    <mergeCell ref="FX326:FX326"/>
    <mergeCell ref="FX327:FX327"/>
    <mergeCell ref="FX328:FX328"/>
    <mergeCell ref="FX329:FX329"/>
    <mergeCell ref="FX330:FX330"/>
    <mergeCell ref="FX331:FX331"/>
    <mergeCell ref="FX332:FX332"/>
    <mergeCell ref="FX333:FX333"/>
    <mergeCell ref="FX334:FX334"/>
    <mergeCell ref="FX335:FX335"/>
    <mergeCell ref="FX336:FX336"/>
    <mergeCell ref="FX337:FX337"/>
    <mergeCell ref="FX338:FX338"/>
    <mergeCell ref="FX339:FX339"/>
    <mergeCell ref="FX340:FX340"/>
    <mergeCell ref="FX341:FX341"/>
    <mergeCell ref="FX342:FX342"/>
    <mergeCell ref="FX343:FX343"/>
    <mergeCell ref="FX344:FX344"/>
    <mergeCell ref="FX345:FX345"/>
    <mergeCell ref="FX346:FX346"/>
    <mergeCell ref="FX347:FX347"/>
    <mergeCell ref="FX348:FX348"/>
    <mergeCell ref="FX349:FX349"/>
    <mergeCell ref="FX350:FX350"/>
    <mergeCell ref="FX351:FX351"/>
    <mergeCell ref="FX352:FX352"/>
    <mergeCell ref="FX353:FX353"/>
    <mergeCell ref="FX354:FX354"/>
    <mergeCell ref="FX355:FX355"/>
    <mergeCell ref="FX356:FX356"/>
    <mergeCell ref="FX357:FX357"/>
    <mergeCell ref="FX358:FX358"/>
    <mergeCell ref="GB5:GH5"/>
    <mergeCell ref="GB12:GH17"/>
    <mergeCell ref="GB10:GH10"/>
    <mergeCell ref="GB6:GB7"/>
    <mergeCell ref="GC6:GE6"/>
    <mergeCell ref="GF6:GH6"/>
    <mergeCell ref="GJ11:GM11"/>
    <mergeCell ref="GJ12:GK12"/>
    <mergeCell ref="GJ13:GJ15"/>
    <mergeCell ref="GJ16:GJ18"/>
    <mergeCell ref="GJ19:GM19"/>
    <mergeCell ref="GJ369:GM374"/>
    <mergeCell ref="GO11:GS11"/>
    <mergeCell ref="GO12:GQ12"/>
    <mergeCell ref="GO19:GS19"/>
    <mergeCell ref="GO13:GO18"/>
    <mergeCell ref="GO369:GR374"/>
    <mergeCell ref="GP13:GP15"/>
    <mergeCell ref="GP16:GP18"/>
    <mergeCell ref="GY4:GY4"/>
    <mergeCell ref="GY5:GY5"/>
    <mergeCell ref="GY6:GY6"/>
    <mergeCell ref="GY7:GY7"/>
    <mergeCell ref="GY8:GY8"/>
    <mergeCell ref="GY9:GY9"/>
    <mergeCell ref="GY10:GY10"/>
    <mergeCell ref="GY11:GY11"/>
    <mergeCell ref="GY12:GY12"/>
    <mergeCell ref="GY13:GY13"/>
    <mergeCell ref="GY14:GY14"/>
    <mergeCell ref="GY15:GY15"/>
    <mergeCell ref="GY16:GY16"/>
    <mergeCell ref="GY17:GY17"/>
    <mergeCell ref="GY18:GY18"/>
    <mergeCell ref="GY19:GY19"/>
    <mergeCell ref="GY20:GY20"/>
    <mergeCell ref="GY21:GY21"/>
    <mergeCell ref="GY22:GY22"/>
    <mergeCell ref="GY23:GY23"/>
    <mergeCell ref="GY24:GY24"/>
    <mergeCell ref="GY25:GY25"/>
    <mergeCell ref="GY26:GY26"/>
    <mergeCell ref="GY27:GY27"/>
    <mergeCell ref="GY28:GY28"/>
    <mergeCell ref="GY29:GY29"/>
    <mergeCell ref="GY30:GY30"/>
    <mergeCell ref="GY31:GY31"/>
    <mergeCell ref="GY32:GY32"/>
    <mergeCell ref="GY33:GY33"/>
    <mergeCell ref="GY34:GY34"/>
    <mergeCell ref="GY35:GY35"/>
    <mergeCell ref="GY36:GY36"/>
    <mergeCell ref="GY37:GY37"/>
    <mergeCell ref="GY38:GY38"/>
    <mergeCell ref="GY39:GY39"/>
    <mergeCell ref="GY40:GY40"/>
    <mergeCell ref="GY41:GY41"/>
    <mergeCell ref="GY42:GY42"/>
    <mergeCell ref="GY43:GY43"/>
    <mergeCell ref="GY44:GY44"/>
    <mergeCell ref="GY45:GY45"/>
    <mergeCell ref="GY46:GY46"/>
    <mergeCell ref="GY47:GY47"/>
    <mergeCell ref="GY48:GY48"/>
    <mergeCell ref="GY49:GY49"/>
    <mergeCell ref="GY50:GY50"/>
    <mergeCell ref="GY51:GY51"/>
    <mergeCell ref="GY52:GY52"/>
    <mergeCell ref="GY53:GY53"/>
    <mergeCell ref="GY54:GY54"/>
    <mergeCell ref="GY55:GY55"/>
    <mergeCell ref="GY56:GY56"/>
    <mergeCell ref="GY57:GY57"/>
    <mergeCell ref="GY58:GY58"/>
    <mergeCell ref="GY59:GY59"/>
    <mergeCell ref="GY60:GY60"/>
    <mergeCell ref="GY61:GY61"/>
    <mergeCell ref="GY62:GY62"/>
    <mergeCell ref="GY63:GY63"/>
    <mergeCell ref="GY64:GY64"/>
    <mergeCell ref="GY65:GY65"/>
    <mergeCell ref="GY66:GY66"/>
    <mergeCell ref="GY67:GY67"/>
    <mergeCell ref="GY68:GY68"/>
    <mergeCell ref="GY69:GY69"/>
    <mergeCell ref="GY70:GY70"/>
    <mergeCell ref="GY71:GY71"/>
    <mergeCell ref="GY72:GY72"/>
    <mergeCell ref="GY73:GY73"/>
    <mergeCell ref="GY74:GY74"/>
    <mergeCell ref="GY75:GY75"/>
    <mergeCell ref="GY76:GY76"/>
    <mergeCell ref="GY77:GY77"/>
    <mergeCell ref="GY78:GY78"/>
    <mergeCell ref="GY79:GY79"/>
    <mergeCell ref="GY80:GY80"/>
    <mergeCell ref="GY81:GY81"/>
    <mergeCell ref="GY82:GY82"/>
    <mergeCell ref="GY83:GY83"/>
    <mergeCell ref="GY84:GY84"/>
    <mergeCell ref="GY85:GY85"/>
    <mergeCell ref="GY86:GY86"/>
    <mergeCell ref="GY87:GY87"/>
    <mergeCell ref="GY88:GY88"/>
    <mergeCell ref="GY89:GY89"/>
    <mergeCell ref="GY90:GY90"/>
    <mergeCell ref="GY91:GY91"/>
    <mergeCell ref="GY92:GY92"/>
    <mergeCell ref="GY93:GY93"/>
    <mergeCell ref="GY94:GY94"/>
    <mergeCell ref="GY95:GY95"/>
    <mergeCell ref="GY96:GY96"/>
    <mergeCell ref="GY97:GY97"/>
    <mergeCell ref="GY98:GY98"/>
    <mergeCell ref="GY99:GY99"/>
    <mergeCell ref="GY100:GY100"/>
    <mergeCell ref="GY101:GY101"/>
    <mergeCell ref="GY102:GY102"/>
    <mergeCell ref="GY103:GY103"/>
    <mergeCell ref="GY104:GY104"/>
    <mergeCell ref="GY105:GY105"/>
    <mergeCell ref="GY106:GY106"/>
    <mergeCell ref="GY107:GY107"/>
    <mergeCell ref="GY108:GY108"/>
    <mergeCell ref="GY109:GY109"/>
    <mergeCell ref="GY110:GY110"/>
    <mergeCell ref="GY111:GY111"/>
    <mergeCell ref="GY112:GY112"/>
    <mergeCell ref="GY113:GY113"/>
    <mergeCell ref="GY114:GY114"/>
    <mergeCell ref="GY115:GY115"/>
    <mergeCell ref="GY116:GY116"/>
    <mergeCell ref="GY117:GY117"/>
    <mergeCell ref="GY118:GY118"/>
    <mergeCell ref="GY119:GY119"/>
    <mergeCell ref="GY120:GY120"/>
    <mergeCell ref="GY121:GY121"/>
    <mergeCell ref="GY122:GY122"/>
    <mergeCell ref="GY123:GY123"/>
    <mergeCell ref="GY124:GY124"/>
    <mergeCell ref="GY125:GY125"/>
    <mergeCell ref="GY126:GY126"/>
    <mergeCell ref="GY127:GY127"/>
    <mergeCell ref="GY128:GY128"/>
    <mergeCell ref="GY129:GY129"/>
    <mergeCell ref="GY130:GY130"/>
    <mergeCell ref="GY131:GY131"/>
    <mergeCell ref="GY132:GY132"/>
    <mergeCell ref="GY133:GY133"/>
    <mergeCell ref="GY134:GY134"/>
    <mergeCell ref="GY135:GY135"/>
    <mergeCell ref="GY136:GY136"/>
    <mergeCell ref="GY137:GY137"/>
    <mergeCell ref="GY138:GY138"/>
    <mergeCell ref="GY139:GY139"/>
    <mergeCell ref="GY140:GY140"/>
    <mergeCell ref="GY141:GY141"/>
    <mergeCell ref="GY142:GY142"/>
    <mergeCell ref="GY143:GY143"/>
    <mergeCell ref="GY144:GY144"/>
    <mergeCell ref="GY145:GY145"/>
    <mergeCell ref="GY146:GY146"/>
    <mergeCell ref="GY147:GY147"/>
    <mergeCell ref="GY148:GY148"/>
    <mergeCell ref="GY149:GY149"/>
    <mergeCell ref="GY150:GY150"/>
    <mergeCell ref="GY151:GY151"/>
    <mergeCell ref="GY152:GY152"/>
    <mergeCell ref="GY153:GY153"/>
    <mergeCell ref="GY154:GY154"/>
    <mergeCell ref="GY155:GY155"/>
    <mergeCell ref="GY156:GY156"/>
    <mergeCell ref="GY157:GY157"/>
    <mergeCell ref="GY158:GY158"/>
    <mergeCell ref="GY159:GY159"/>
    <mergeCell ref="GY160:GY160"/>
    <mergeCell ref="GY161:GY161"/>
    <mergeCell ref="GY162:GY162"/>
    <mergeCell ref="GY163:GY163"/>
    <mergeCell ref="GY164:GY164"/>
    <mergeCell ref="GY165:GY165"/>
    <mergeCell ref="GY166:GY166"/>
    <mergeCell ref="GY167:GY167"/>
    <mergeCell ref="GY168:GY168"/>
    <mergeCell ref="GY169:GY169"/>
    <mergeCell ref="GY170:GY170"/>
    <mergeCell ref="GY171:GY171"/>
    <mergeCell ref="GY172:GY172"/>
    <mergeCell ref="GY173:GY173"/>
    <mergeCell ref="GY174:GY174"/>
    <mergeCell ref="GY175:GY175"/>
    <mergeCell ref="GY176:GY176"/>
    <mergeCell ref="GY177:GY177"/>
    <mergeCell ref="GY178:GY178"/>
    <mergeCell ref="GY179:GY179"/>
    <mergeCell ref="GY180:GY180"/>
    <mergeCell ref="GY181:GY181"/>
    <mergeCell ref="GY182:GY182"/>
    <mergeCell ref="GY183:GY183"/>
    <mergeCell ref="GY184:GY184"/>
    <mergeCell ref="GY185:GY185"/>
    <mergeCell ref="GY186:GY186"/>
    <mergeCell ref="GY187:GY187"/>
    <mergeCell ref="GY188:GY188"/>
    <mergeCell ref="GY189:GY189"/>
    <mergeCell ref="GY190:GY190"/>
    <mergeCell ref="GY191:GY191"/>
    <mergeCell ref="GY192:GY192"/>
    <mergeCell ref="GY193:GY193"/>
    <mergeCell ref="GY194:GY194"/>
    <mergeCell ref="GY195:GY195"/>
    <mergeCell ref="GY196:GY196"/>
    <mergeCell ref="GY197:GY197"/>
    <mergeCell ref="GY198:GY198"/>
    <mergeCell ref="GY199:GY199"/>
    <mergeCell ref="GY200:GY200"/>
    <mergeCell ref="GY201:GY201"/>
    <mergeCell ref="GY202:GY202"/>
    <mergeCell ref="GY203:GY203"/>
    <mergeCell ref="GY204:GY204"/>
    <mergeCell ref="GY205:GY205"/>
    <mergeCell ref="GY206:GY206"/>
    <mergeCell ref="GY207:GY207"/>
    <mergeCell ref="GY208:GY208"/>
    <mergeCell ref="GY209:GY209"/>
    <mergeCell ref="GY210:GY210"/>
    <mergeCell ref="GY211:GY211"/>
    <mergeCell ref="GY212:GY212"/>
    <mergeCell ref="GY213:GY213"/>
    <mergeCell ref="GY214:GY214"/>
    <mergeCell ref="GY215:GY215"/>
    <mergeCell ref="GY216:GY216"/>
    <mergeCell ref="GY217:GY217"/>
    <mergeCell ref="GY218:GY218"/>
    <mergeCell ref="GY219:GY219"/>
    <mergeCell ref="GY220:GY220"/>
    <mergeCell ref="GY221:GY221"/>
    <mergeCell ref="GY222:GY222"/>
    <mergeCell ref="GY223:GY223"/>
    <mergeCell ref="GY224:GY224"/>
    <mergeCell ref="GY225:GY225"/>
    <mergeCell ref="GY226:GY226"/>
    <mergeCell ref="GY227:GY227"/>
    <mergeCell ref="GY228:GY228"/>
    <mergeCell ref="GY229:GY229"/>
    <mergeCell ref="GY230:GY230"/>
    <mergeCell ref="GY231:GY231"/>
    <mergeCell ref="GY232:GY232"/>
    <mergeCell ref="GY233:GY233"/>
    <mergeCell ref="GY234:GY234"/>
    <mergeCell ref="GY235:GY235"/>
    <mergeCell ref="GY236:GY236"/>
    <mergeCell ref="GY237:GY237"/>
    <mergeCell ref="GY238:GY238"/>
    <mergeCell ref="GY239:GY239"/>
    <mergeCell ref="GY240:GY240"/>
    <mergeCell ref="GY241:GY241"/>
    <mergeCell ref="GY242:GY242"/>
    <mergeCell ref="GY243:GY243"/>
    <mergeCell ref="GY244:GY244"/>
    <mergeCell ref="GY245:GY245"/>
    <mergeCell ref="GY246:GY246"/>
    <mergeCell ref="GY247:GY247"/>
    <mergeCell ref="GY248:GY248"/>
    <mergeCell ref="GY249:GY249"/>
    <mergeCell ref="GY250:GY250"/>
    <mergeCell ref="GY251:GY251"/>
    <mergeCell ref="GY252:GY252"/>
    <mergeCell ref="GY253:GY253"/>
    <mergeCell ref="GY254:GY254"/>
    <mergeCell ref="GY255:GY255"/>
    <mergeCell ref="GY256:GY256"/>
    <mergeCell ref="GY257:GY257"/>
    <mergeCell ref="GY258:GY258"/>
    <mergeCell ref="GY259:GY259"/>
    <mergeCell ref="GY260:GY260"/>
    <mergeCell ref="GY261:GY261"/>
    <mergeCell ref="GY262:GY262"/>
    <mergeCell ref="GY263:GY263"/>
    <mergeCell ref="GY264:GY264"/>
    <mergeCell ref="GY265:GY265"/>
    <mergeCell ref="GY266:GY266"/>
    <mergeCell ref="GY267:GY267"/>
    <mergeCell ref="GY268:GY268"/>
    <mergeCell ref="GY269:GY269"/>
    <mergeCell ref="GY270:GY270"/>
    <mergeCell ref="GY271:GY271"/>
    <mergeCell ref="GY272:GY272"/>
    <mergeCell ref="GY273:GY273"/>
    <mergeCell ref="GY274:GY274"/>
    <mergeCell ref="GY275:GY275"/>
    <mergeCell ref="GY276:GY276"/>
    <mergeCell ref="GY277:GY277"/>
    <mergeCell ref="GY278:GY278"/>
    <mergeCell ref="GY279:GY279"/>
    <mergeCell ref="GY280:GY280"/>
    <mergeCell ref="GY281:GY281"/>
    <mergeCell ref="GY282:GY282"/>
    <mergeCell ref="GY283:GY283"/>
    <mergeCell ref="GY284:GY284"/>
    <mergeCell ref="GY285:GY285"/>
    <mergeCell ref="GY286:GY286"/>
    <mergeCell ref="GY287:GY287"/>
    <mergeCell ref="GY288:GY288"/>
    <mergeCell ref="GY289:GY289"/>
    <mergeCell ref="GY290:GY290"/>
    <mergeCell ref="GY291:GY291"/>
    <mergeCell ref="GY292:GY292"/>
    <mergeCell ref="GY293:GY293"/>
    <mergeCell ref="GY294:GY294"/>
    <mergeCell ref="GY295:GY295"/>
    <mergeCell ref="GY296:GY296"/>
    <mergeCell ref="GY297:GY297"/>
    <mergeCell ref="GY298:GY298"/>
    <mergeCell ref="GY299:GY299"/>
    <mergeCell ref="GY300:GY300"/>
    <mergeCell ref="GY301:GY301"/>
    <mergeCell ref="GY302:GY302"/>
    <mergeCell ref="GY303:GY303"/>
    <mergeCell ref="GY304:GY304"/>
    <mergeCell ref="GY305:GY305"/>
    <mergeCell ref="GY306:GY306"/>
    <mergeCell ref="GY307:GY307"/>
    <mergeCell ref="GY308:GY308"/>
    <mergeCell ref="GY309:GY309"/>
    <mergeCell ref="GY310:GY310"/>
    <mergeCell ref="GY311:GY311"/>
    <mergeCell ref="GY312:GY312"/>
    <mergeCell ref="GY313:GY313"/>
    <mergeCell ref="GY314:GY314"/>
    <mergeCell ref="GY315:GY315"/>
    <mergeCell ref="GY316:GY316"/>
    <mergeCell ref="GY317:GY317"/>
    <mergeCell ref="GY318:GY318"/>
    <mergeCell ref="GY319:GY319"/>
    <mergeCell ref="GY320:GY320"/>
    <mergeCell ref="GY321:GY321"/>
    <mergeCell ref="GY322:GY322"/>
    <mergeCell ref="GY323:GY323"/>
    <mergeCell ref="GY324:GY324"/>
    <mergeCell ref="GY325:GY325"/>
    <mergeCell ref="GY326:GY326"/>
    <mergeCell ref="GY327:GY327"/>
    <mergeCell ref="GY328:GY328"/>
    <mergeCell ref="GY329:GY329"/>
    <mergeCell ref="GY330:GY330"/>
    <mergeCell ref="GY331:GY331"/>
    <mergeCell ref="GY332:GY332"/>
    <mergeCell ref="GY333:GY333"/>
    <mergeCell ref="GY334:GY334"/>
    <mergeCell ref="GY335:GY335"/>
    <mergeCell ref="GY336:GY336"/>
    <mergeCell ref="GY337:GY337"/>
    <mergeCell ref="GY338:GY338"/>
    <mergeCell ref="GY339:GY339"/>
    <mergeCell ref="GY340:GY340"/>
    <mergeCell ref="GY341:GY341"/>
    <mergeCell ref="GY342:GY342"/>
    <mergeCell ref="GY343:GY343"/>
    <mergeCell ref="GY344:GY344"/>
    <mergeCell ref="GY345:GY345"/>
    <mergeCell ref="GY346:GY346"/>
    <mergeCell ref="GY347:GY347"/>
    <mergeCell ref="GY348:GY348"/>
    <mergeCell ref="GY349:GY349"/>
    <mergeCell ref="GY350:GY350"/>
    <mergeCell ref="GY351:GY351"/>
    <mergeCell ref="GY352:GY352"/>
    <mergeCell ref="GY353:GY353"/>
    <mergeCell ref="GY354:GY354"/>
    <mergeCell ref="GY355:GY355"/>
    <mergeCell ref="GY356:GY356"/>
    <mergeCell ref="GY357:GY357"/>
    <mergeCell ref="GY358:GY358"/>
    <mergeCell ref="HC5:HI5"/>
    <mergeCell ref="HC12:HI17"/>
    <mergeCell ref="HC10:HI10"/>
    <mergeCell ref="HC6:HC7"/>
    <mergeCell ref="HD6:HF6"/>
    <mergeCell ref="HG6:HI6"/>
    <mergeCell ref="HK11:HN11"/>
    <mergeCell ref="HK12:HL12"/>
    <mergeCell ref="HK13:HK15"/>
    <mergeCell ref="HK16:HK18"/>
    <mergeCell ref="HK19:HN19"/>
    <mergeCell ref="HK369:HN374"/>
    <mergeCell ref="HP11:HT11"/>
    <mergeCell ref="HP12:HR12"/>
    <mergeCell ref="HP19:HT19"/>
    <mergeCell ref="HP13:HP18"/>
    <mergeCell ref="HP369:HS374"/>
    <mergeCell ref="HQ13:HQ15"/>
    <mergeCell ref="HQ16:HQ18"/>
    <mergeCell ref="HX4:HX4"/>
    <mergeCell ref="HX5:HX5"/>
    <mergeCell ref="HX6:HX6"/>
    <mergeCell ref="HX7:HX7"/>
    <mergeCell ref="HX8:HX8"/>
    <mergeCell ref="HX9:HX9"/>
    <mergeCell ref="HX10:HX10"/>
    <mergeCell ref="HX11:HX11"/>
    <mergeCell ref="HX12:HX12"/>
    <mergeCell ref="HX13:HX13"/>
    <mergeCell ref="HX14:HX14"/>
    <mergeCell ref="HX15:HX15"/>
    <mergeCell ref="HX16:HX16"/>
    <mergeCell ref="HX17:HX17"/>
    <mergeCell ref="HX18:HX18"/>
    <mergeCell ref="HX19:HX19"/>
    <mergeCell ref="HX20:HX20"/>
    <mergeCell ref="HX21:HX21"/>
    <mergeCell ref="HX22:HX22"/>
    <mergeCell ref="HX23:HX23"/>
    <mergeCell ref="HX24:HX24"/>
    <mergeCell ref="HX25:HX25"/>
    <mergeCell ref="HX26:HX26"/>
    <mergeCell ref="HX27:HX27"/>
    <mergeCell ref="HX28:HX28"/>
    <mergeCell ref="HX29:HX29"/>
    <mergeCell ref="HX30:HX30"/>
    <mergeCell ref="HX31:HX31"/>
    <mergeCell ref="HX32:HX32"/>
    <mergeCell ref="HX33:HX33"/>
    <mergeCell ref="HX34:HX34"/>
    <mergeCell ref="HX35:HX35"/>
    <mergeCell ref="HX36:HX36"/>
    <mergeCell ref="HX37:HX37"/>
    <mergeCell ref="HX38:HX38"/>
    <mergeCell ref="HX39:HX39"/>
    <mergeCell ref="HX40:HX40"/>
    <mergeCell ref="HX41:HX41"/>
    <mergeCell ref="HX42:HX42"/>
    <mergeCell ref="HX43:HX43"/>
    <mergeCell ref="HX44:HX44"/>
    <mergeCell ref="HX45:HX45"/>
    <mergeCell ref="HX46:HX46"/>
    <mergeCell ref="HX47:HX47"/>
    <mergeCell ref="HX48:HX48"/>
    <mergeCell ref="HX49:HX49"/>
    <mergeCell ref="HX50:HX50"/>
    <mergeCell ref="HX51:HX51"/>
    <mergeCell ref="HX52:HX52"/>
    <mergeCell ref="HX53:HX53"/>
    <mergeCell ref="HX54:HX54"/>
    <mergeCell ref="HX55:HX55"/>
    <mergeCell ref="HX56:HX56"/>
    <mergeCell ref="HX57:HX57"/>
    <mergeCell ref="HX58:HX58"/>
    <mergeCell ref="HX59:HX59"/>
    <mergeCell ref="HX60:HX60"/>
    <mergeCell ref="HX61:HX61"/>
    <mergeCell ref="HX62:HX62"/>
    <mergeCell ref="HX63:HX63"/>
    <mergeCell ref="HX64:HX64"/>
    <mergeCell ref="HX65:HX65"/>
    <mergeCell ref="HX66:HX66"/>
    <mergeCell ref="HX67:HX67"/>
    <mergeCell ref="HX68:HX68"/>
    <mergeCell ref="HX69:HX69"/>
    <mergeCell ref="HX70:HX70"/>
    <mergeCell ref="HX71:HX71"/>
    <mergeCell ref="HX72:HX72"/>
    <mergeCell ref="HX73:HX73"/>
    <mergeCell ref="HX74:HX74"/>
    <mergeCell ref="HX75:HX75"/>
    <mergeCell ref="HX76:HX76"/>
    <mergeCell ref="HX77:HX77"/>
    <mergeCell ref="HX78:HX78"/>
    <mergeCell ref="HX79:HX79"/>
    <mergeCell ref="HX80:HX80"/>
    <mergeCell ref="HX81:HX81"/>
    <mergeCell ref="HX82:HX82"/>
    <mergeCell ref="HX83:HX83"/>
    <mergeCell ref="HX84:HX84"/>
    <mergeCell ref="HX85:HX85"/>
    <mergeCell ref="HX86:HX86"/>
    <mergeCell ref="HX87:HX87"/>
    <mergeCell ref="HX88:HX88"/>
    <mergeCell ref="HX89:HX89"/>
    <mergeCell ref="HX90:HX90"/>
    <mergeCell ref="HX91:HX91"/>
    <mergeCell ref="HX92:HX92"/>
    <mergeCell ref="HX93:HX93"/>
    <mergeCell ref="HX94:HX94"/>
    <mergeCell ref="HX95:HX95"/>
    <mergeCell ref="HX96:HX96"/>
    <mergeCell ref="HX97:HX97"/>
    <mergeCell ref="HX98:HX98"/>
    <mergeCell ref="HX99:HX99"/>
    <mergeCell ref="HX100:HX100"/>
    <mergeCell ref="HX101:HX101"/>
    <mergeCell ref="HX102:HX102"/>
    <mergeCell ref="HX103:HX103"/>
    <mergeCell ref="HX104:HX104"/>
    <mergeCell ref="HX105:HX105"/>
    <mergeCell ref="HX106:HX106"/>
    <mergeCell ref="HX107:HX107"/>
    <mergeCell ref="HX108:HX108"/>
    <mergeCell ref="HX109:HX109"/>
    <mergeCell ref="HX110:HX110"/>
    <mergeCell ref="HX111:HX111"/>
    <mergeCell ref="HX112:HX112"/>
    <mergeCell ref="HX113:HX113"/>
    <mergeCell ref="HX114:HX114"/>
    <mergeCell ref="HX115:HX115"/>
    <mergeCell ref="HX116:HX116"/>
    <mergeCell ref="HX117:HX117"/>
    <mergeCell ref="HX118:HX118"/>
    <mergeCell ref="HX119:HX119"/>
    <mergeCell ref="HX120:HX120"/>
    <mergeCell ref="HX121:HX121"/>
    <mergeCell ref="HX122:HX122"/>
    <mergeCell ref="HX123:HX123"/>
    <mergeCell ref="HX124:HX124"/>
    <mergeCell ref="HX125:HX125"/>
    <mergeCell ref="HX126:HX126"/>
    <mergeCell ref="HX127:HX127"/>
    <mergeCell ref="HX128:HX128"/>
    <mergeCell ref="HX129:HX129"/>
    <mergeCell ref="HX130:HX130"/>
    <mergeCell ref="HX131:HX131"/>
    <mergeCell ref="HX132:HX132"/>
    <mergeCell ref="HX133:HX133"/>
    <mergeCell ref="HX134:HX134"/>
    <mergeCell ref="HX135:HX135"/>
    <mergeCell ref="HX136:HX136"/>
    <mergeCell ref="HX137:HX137"/>
    <mergeCell ref="HX138:HX138"/>
    <mergeCell ref="HX139:HX139"/>
    <mergeCell ref="HX140:HX140"/>
    <mergeCell ref="HX141:HX141"/>
    <mergeCell ref="HX142:HX142"/>
    <mergeCell ref="HX143:HX143"/>
    <mergeCell ref="HX144:HX144"/>
    <mergeCell ref="HX145:HX145"/>
    <mergeCell ref="HX146:HX146"/>
    <mergeCell ref="HX147:HX147"/>
    <mergeCell ref="HX148:HX148"/>
    <mergeCell ref="HX149:HX149"/>
    <mergeCell ref="HX150:HX150"/>
    <mergeCell ref="HX151:HX151"/>
    <mergeCell ref="HX152:HX152"/>
    <mergeCell ref="HX153:HX153"/>
    <mergeCell ref="HX154:HX154"/>
    <mergeCell ref="HX155:HX155"/>
    <mergeCell ref="HX156:HX156"/>
    <mergeCell ref="HX157:HX157"/>
    <mergeCell ref="HX158:HX158"/>
    <mergeCell ref="HX159:HX159"/>
    <mergeCell ref="HX160:HX160"/>
    <mergeCell ref="HX161:HX161"/>
    <mergeCell ref="HX162:HX162"/>
    <mergeCell ref="HX163:HX163"/>
    <mergeCell ref="HX164:HX164"/>
    <mergeCell ref="HX165:HX165"/>
    <mergeCell ref="HX166:HX166"/>
    <mergeCell ref="HX167:HX167"/>
    <mergeCell ref="HX168:HX168"/>
    <mergeCell ref="HX169:HX169"/>
    <mergeCell ref="HX170:HX170"/>
    <mergeCell ref="HX171:HX171"/>
    <mergeCell ref="HX172:HX172"/>
    <mergeCell ref="HX173:HX173"/>
    <mergeCell ref="HX174:HX174"/>
    <mergeCell ref="HX175:HX175"/>
    <mergeCell ref="HX176:HX176"/>
    <mergeCell ref="HX177:HX177"/>
    <mergeCell ref="HX178:HX178"/>
    <mergeCell ref="HX179:HX179"/>
    <mergeCell ref="HX180:HX180"/>
    <mergeCell ref="HX181:HX181"/>
    <mergeCell ref="HX182:HX182"/>
    <mergeCell ref="HX183:HX183"/>
    <mergeCell ref="HX184:HX184"/>
    <mergeCell ref="HX185:HX185"/>
    <mergeCell ref="HX186:HX186"/>
    <mergeCell ref="HX187:HX187"/>
    <mergeCell ref="HX188:HX188"/>
    <mergeCell ref="HX189:HX189"/>
    <mergeCell ref="HX190:HX190"/>
    <mergeCell ref="HX191:HX191"/>
    <mergeCell ref="HX192:HX192"/>
    <mergeCell ref="HX193:HX193"/>
    <mergeCell ref="HX194:HX194"/>
    <mergeCell ref="HX195:HX195"/>
    <mergeCell ref="HX196:HX196"/>
    <mergeCell ref="HX197:HX197"/>
    <mergeCell ref="HX198:HX198"/>
    <mergeCell ref="HX199:HX199"/>
    <mergeCell ref="HX200:HX200"/>
    <mergeCell ref="HX201:HX201"/>
    <mergeCell ref="HX202:HX202"/>
    <mergeCell ref="HX203:HX203"/>
    <mergeCell ref="HX204:HX204"/>
    <mergeCell ref="HX205:HX205"/>
    <mergeCell ref="HX206:HX206"/>
    <mergeCell ref="HX207:HX207"/>
    <mergeCell ref="HX208:HX208"/>
    <mergeCell ref="HX209:HX209"/>
    <mergeCell ref="HX210:HX210"/>
    <mergeCell ref="HX211:HX211"/>
    <mergeCell ref="HX212:HX212"/>
    <mergeCell ref="HX213:HX213"/>
    <mergeCell ref="HX214:HX214"/>
    <mergeCell ref="HX215:HX215"/>
    <mergeCell ref="HX216:HX216"/>
    <mergeCell ref="HX217:HX217"/>
    <mergeCell ref="HX218:HX218"/>
    <mergeCell ref="HX219:HX219"/>
    <mergeCell ref="HX220:HX220"/>
    <mergeCell ref="HX221:HX221"/>
    <mergeCell ref="HX222:HX222"/>
    <mergeCell ref="HX223:HX223"/>
    <mergeCell ref="HX224:HX224"/>
    <mergeCell ref="HX225:HX225"/>
    <mergeCell ref="HX226:HX226"/>
    <mergeCell ref="HX227:HX227"/>
    <mergeCell ref="HX228:HX228"/>
    <mergeCell ref="HX229:HX229"/>
    <mergeCell ref="HX230:HX230"/>
    <mergeCell ref="HX231:HX231"/>
    <mergeCell ref="HX232:HX232"/>
    <mergeCell ref="HX233:HX233"/>
    <mergeCell ref="HX234:HX234"/>
    <mergeCell ref="HX235:HX235"/>
    <mergeCell ref="HX236:HX236"/>
    <mergeCell ref="HX237:HX237"/>
    <mergeCell ref="HX238:HX238"/>
    <mergeCell ref="HX239:HX239"/>
    <mergeCell ref="HX240:HX240"/>
    <mergeCell ref="HX241:HX241"/>
    <mergeCell ref="HX242:HX242"/>
    <mergeCell ref="HX243:HX243"/>
    <mergeCell ref="HX244:HX244"/>
    <mergeCell ref="HX245:HX245"/>
    <mergeCell ref="HX246:HX246"/>
    <mergeCell ref="HX247:HX247"/>
    <mergeCell ref="HX248:HX248"/>
    <mergeCell ref="HX249:HX249"/>
    <mergeCell ref="HX250:HX250"/>
    <mergeCell ref="HX251:HX251"/>
    <mergeCell ref="HX252:HX252"/>
    <mergeCell ref="HX253:HX253"/>
    <mergeCell ref="HX254:HX254"/>
    <mergeCell ref="HX255:HX255"/>
    <mergeCell ref="HX256:HX256"/>
    <mergeCell ref="HX257:HX257"/>
    <mergeCell ref="HX258:HX258"/>
    <mergeCell ref="HX259:HX259"/>
    <mergeCell ref="HX260:HX260"/>
    <mergeCell ref="HX261:HX261"/>
    <mergeCell ref="HX262:HX262"/>
    <mergeCell ref="HX263:HX263"/>
    <mergeCell ref="HX264:HX264"/>
    <mergeCell ref="HX265:HX265"/>
    <mergeCell ref="HX266:HX266"/>
    <mergeCell ref="HX267:HX267"/>
    <mergeCell ref="HX268:HX268"/>
    <mergeCell ref="HX269:HX269"/>
    <mergeCell ref="HX270:HX270"/>
    <mergeCell ref="HX271:HX271"/>
    <mergeCell ref="HX272:HX272"/>
    <mergeCell ref="HX273:HX273"/>
    <mergeCell ref="HX274:HX274"/>
    <mergeCell ref="HX275:HX275"/>
    <mergeCell ref="HX276:HX276"/>
    <mergeCell ref="HX277:HX277"/>
    <mergeCell ref="HX278:HX278"/>
    <mergeCell ref="HX279:HX279"/>
    <mergeCell ref="HX280:HX280"/>
    <mergeCell ref="HX281:HX281"/>
    <mergeCell ref="HX282:HX282"/>
    <mergeCell ref="HX283:HX283"/>
    <mergeCell ref="HX284:HX284"/>
    <mergeCell ref="HX285:HX285"/>
    <mergeCell ref="HX286:HX286"/>
    <mergeCell ref="HX287:HX287"/>
    <mergeCell ref="HX288:HX288"/>
    <mergeCell ref="HX289:HX289"/>
    <mergeCell ref="HX290:HX290"/>
    <mergeCell ref="HX291:HX291"/>
    <mergeCell ref="HX292:HX292"/>
    <mergeCell ref="HX293:HX293"/>
    <mergeCell ref="HX294:HX294"/>
    <mergeCell ref="HX295:HX295"/>
    <mergeCell ref="HX296:HX296"/>
    <mergeCell ref="HX297:HX297"/>
    <mergeCell ref="HX298:HX298"/>
    <mergeCell ref="HX299:HX299"/>
    <mergeCell ref="HX300:HX300"/>
    <mergeCell ref="HX301:HX301"/>
    <mergeCell ref="HX302:HX302"/>
    <mergeCell ref="HX303:HX303"/>
    <mergeCell ref="HX304:HX304"/>
    <mergeCell ref="HX305:HX305"/>
    <mergeCell ref="HX306:HX306"/>
    <mergeCell ref="HX307:HX307"/>
    <mergeCell ref="HX308:HX308"/>
    <mergeCell ref="HX309:HX309"/>
    <mergeCell ref="HX310:HX310"/>
    <mergeCell ref="HX311:HX311"/>
    <mergeCell ref="HX312:HX312"/>
    <mergeCell ref="HX313:HX313"/>
    <mergeCell ref="HX314:HX314"/>
    <mergeCell ref="HX315:HX315"/>
    <mergeCell ref="HX316:HX316"/>
    <mergeCell ref="HX317:HX317"/>
    <mergeCell ref="HX318:HX318"/>
    <mergeCell ref="HX319:HX319"/>
    <mergeCell ref="HX320:HX320"/>
    <mergeCell ref="HX321:HX321"/>
    <mergeCell ref="HX322:HX322"/>
    <mergeCell ref="HX323:HX323"/>
    <mergeCell ref="HX324:HX324"/>
    <mergeCell ref="HX325:HX325"/>
    <mergeCell ref="HX326:HX326"/>
    <mergeCell ref="HX327:HX327"/>
    <mergeCell ref="HX328:HX328"/>
    <mergeCell ref="HX329:HX329"/>
    <mergeCell ref="HX330:HX330"/>
    <mergeCell ref="HX331:HX331"/>
    <mergeCell ref="HX332:HX332"/>
    <mergeCell ref="HX333:HX333"/>
    <mergeCell ref="HX334:HX334"/>
    <mergeCell ref="HX335:HX335"/>
    <mergeCell ref="HX336:HX336"/>
    <mergeCell ref="HX337:HX337"/>
    <mergeCell ref="HX338:HX338"/>
    <mergeCell ref="HX339:HX339"/>
    <mergeCell ref="HX340:HX340"/>
    <mergeCell ref="HX341:HX341"/>
    <mergeCell ref="HX342:HX342"/>
    <mergeCell ref="HX343:HX343"/>
    <mergeCell ref="HX344:HX344"/>
    <mergeCell ref="HX345:HX345"/>
    <mergeCell ref="HX346:HX346"/>
    <mergeCell ref="HX347:HX347"/>
    <mergeCell ref="HX348:HX348"/>
    <mergeCell ref="HX349:HX349"/>
    <mergeCell ref="HX350:HX350"/>
    <mergeCell ref="HX351:HX351"/>
    <mergeCell ref="HX352:HX352"/>
    <mergeCell ref="HX353:HX353"/>
    <mergeCell ref="HX354:HX354"/>
    <mergeCell ref="HX355:HX355"/>
    <mergeCell ref="HX356:HX356"/>
    <mergeCell ref="HX357:HX357"/>
    <mergeCell ref="HX358:HX358"/>
    <mergeCell ref="IB5:IH5"/>
    <mergeCell ref="IB12:IH17"/>
    <mergeCell ref="IB10:IH10"/>
    <mergeCell ref="IB6:IB7"/>
    <mergeCell ref="IC6:IE6"/>
    <mergeCell ref="IF6:IH6"/>
    <mergeCell ref="IJ11:IM11"/>
    <mergeCell ref="IJ12:IK12"/>
    <mergeCell ref="IJ13:IJ15"/>
    <mergeCell ref="IJ16:IJ18"/>
    <mergeCell ref="IJ19:IM19"/>
    <mergeCell ref="IJ369:IM374"/>
    <mergeCell ref="IO11:IS11"/>
    <mergeCell ref="IO12:IQ12"/>
    <mergeCell ref="IO19:IS19"/>
    <mergeCell ref="IO13:IO18"/>
    <mergeCell ref="IO369:IR374"/>
    <mergeCell ref="IP13:IP15"/>
    <mergeCell ref="IP16:IP18"/>
    <mergeCell ref="IW4:IW4"/>
    <mergeCell ref="IW5:IW5"/>
    <mergeCell ref="IW6:IW6"/>
    <mergeCell ref="IW7:IW7"/>
    <mergeCell ref="IW8:IW8"/>
    <mergeCell ref="IW9:IW9"/>
    <mergeCell ref="IW10:IW10"/>
    <mergeCell ref="IW11:IW11"/>
    <mergeCell ref="IW12:IW12"/>
    <mergeCell ref="IW13:IW13"/>
    <mergeCell ref="IW14:IW14"/>
    <mergeCell ref="IW15:IW15"/>
    <mergeCell ref="IW16:IW16"/>
    <mergeCell ref="IW17:IW17"/>
    <mergeCell ref="IW18:IW18"/>
    <mergeCell ref="IW19:IW19"/>
    <mergeCell ref="IW20:IW20"/>
    <mergeCell ref="IW21:IW21"/>
    <mergeCell ref="IW22:IW22"/>
    <mergeCell ref="IW23:IW23"/>
    <mergeCell ref="IW24:IW24"/>
    <mergeCell ref="IW25:IW25"/>
    <mergeCell ref="IW26:IW26"/>
    <mergeCell ref="IW27:IW27"/>
    <mergeCell ref="IW28:IW28"/>
    <mergeCell ref="IW29:IW29"/>
    <mergeCell ref="IW30:IW30"/>
    <mergeCell ref="IW31:IW31"/>
    <mergeCell ref="IW32:IW32"/>
    <mergeCell ref="IW33:IW33"/>
    <mergeCell ref="IW34:IW34"/>
    <mergeCell ref="IW35:IW35"/>
    <mergeCell ref="IW36:IW36"/>
    <mergeCell ref="IW37:IW37"/>
    <mergeCell ref="IW38:IW38"/>
    <mergeCell ref="IW39:IW39"/>
    <mergeCell ref="IW40:IW40"/>
    <mergeCell ref="IW41:IW41"/>
    <mergeCell ref="IW42:IW42"/>
    <mergeCell ref="IW43:IW43"/>
    <mergeCell ref="IW44:IW44"/>
    <mergeCell ref="IW45:IW45"/>
    <mergeCell ref="IW46:IW46"/>
    <mergeCell ref="IW47:IW47"/>
    <mergeCell ref="IW48:IW48"/>
    <mergeCell ref="IW49:IW49"/>
    <mergeCell ref="IW50:IW50"/>
    <mergeCell ref="IW51:IW51"/>
    <mergeCell ref="IW52:IW52"/>
    <mergeCell ref="IW53:IW53"/>
    <mergeCell ref="IW54:IW54"/>
    <mergeCell ref="IW55:IW55"/>
    <mergeCell ref="IW56:IW56"/>
    <mergeCell ref="IW57:IW57"/>
    <mergeCell ref="IW58:IW58"/>
    <mergeCell ref="IW59:IW59"/>
    <mergeCell ref="IW60:IW60"/>
    <mergeCell ref="IW61:IW61"/>
    <mergeCell ref="IW62:IW62"/>
    <mergeCell ref="IW63:IW63"/>
    <mergeCell ref="IW64:IW64"/>
    <mergeCell ref="IW65:IW65"/>
    <mergeCell ref="IW66:IW66"/>
    <mergeCell ref="IW67:IW67"/>
    <mergeCell ref="IW68:IW68"/>
    <mergeCell ref="IW69:IW69"/>
    <mergeCell ref="IW70:IW70"/>
    <mergeCell ref="IW71:IW71"/>
    <mergeCell ref="IW72:IW72"/>
    <mergeCell ref="IW73:IW73"/>
    <mergeCell ref="IW74:IW74"/>
    <mergeCell ref="IW75:IW75"/>
    <mergeCell ref="IW76:IW76"/>
    <mergeCell ref="IW77:IW77"/>
    <mergeCell ref="IW78:IW78"/>
    <mergeCell ref="IW79:IW79"/>
    <mergeCell ref="IW80:IW80"/>
    <mergeCell ref="IW81:IW81"/>
    <mergeCell ref="IW82:IW82"/>
    <mergeCell ref="IW83:IW83"/>
    <mergeCell ref="IW84:IW84"/>
    <mergeCell ref="IW85:IW85"/>
    <mergeCell ref="IW86:IW86"/>
    <mergeCell ref="IW87:IW87"/>
    <mergeCell ref="IW88:IW88"/>
    <mergeCell ref="IW89:IW89"/>
    <mergeCell ref="IW90:IW90"/>
    <mergeCell ref="IW91:IW91"/>
    <mergeCell ref="IW92:IW92"/>
    <mergeCell ref="IW93:IW93"/>
    <mergeCell ref="IW94:IW94"/>
    <mergeCell ref="IW95:IW95"/>
    <mergeCell ref="IW96:IW96"/>
    <mergeCell ref="IW97:IW97"/>
    <mergeCell ref="IW98:IW98"/>
    <mergeCell ref="IW99:IW99"/>
    <mergeCell ref="IW100:IW100"/>
    <mergeCell ref="IW101:IW101"/>
    <mergeCell ref="IW102:IW102"/>
    <mergeCell ref="IW103:IW103"/>
    <mergeCell ref="IW104:IW104"/>
    <mergeCell ref="IW105:IW105"/>
    <mergeCell ref="IW106:IW106"/>
    <mergeCell ref="IW107:IW107"/>
    <mergeCell ref="IW108:IW108"/>
    <mergeCell ref="IW109:IW109"/>
    <mergeCell ref="IW110:IW110"/>
    <mergeCell ref="IW111:IW111"/>
    <mergeCell ref="IW112:IW112"/>
    <mergeCell ref="IW113:IW113"/>
    <mergeCell ref="IW114:IW114"/>
    <mergeCell ref="IW115:IW115"/>
    <mergeCell ref="IW116:IW116"/>
    <mergeCell ref="IW117:IW117"/>
    <mergeCell ref="IW118:IW118"/>
    <mergeCell ref="IW119:IW119"/>
    <mergeCell ref="IW120:IW120"/>
    <mergeCell ref="IW121:IW121"/>
    <mergeCell ref="IW122:IW122"/>
    <mergeCell ref="IW123:IW123"/>
    <mergeCell ref="IW124:IW124"/>
    <mergeCell ref="IW125:IW125"/>
    <mergeCell ref="IW126:IW126"/>
    <mergeCell ref="IW127:IW127"/>
    <mergeCell ref="IW128:IW128"/>
    <mergeCell ref="IW129:IW129"/>
    <mergeCell ref="IW130:IW130"/>
    <mergeCell ref="IW131:IW131"/>
    <mergeCell ref="IW132:IW132"/>
    <mergeCell ref="IW133:IW133"/>
    <mergeCell ref="IW134:IW134"/>
    <mergeCell ref="IW135:IW135"/>
    <mergeCell ref="IW136:IW136"/>
    <mergeCell ref="IW137:IW137"/>
    <mergeCell ref="IW138:IW138"/>
    <mergeCell ref="IW139:IW139"/>
    <mergeCell ref="IW140:IW140"/>
    <mergeCell ref="IW141:IW141"/>
    <mergeCell ref="IW142:IW142"/>
    <mergeCell ref="IW143:IW143"/>
    <mergeCell ref="IW144:IW144"/>
    <mergeCell ref="IW145:IW145"/>
    <mergeCell ref="IW146:IW146"/>
    <mergeCell ref="IW147:IW147"/>
    <mergeCell ref="IW148:IW148"/>
    <mergeCell ref="IW149:IW149"/>
    <mergeCell ref="IW150:IW150"/>
    <mergeCell ref="IW151:IW151"/>
    <mergeCell ref="IW152:IW152"/>
    <mergeCell ref="IW153:IW153"/>
    <mergeCell ref="IW154:IW154"/>
    <mergeCell ref="IW155:IW155"/>
    <mergeCell ref="IW156:IW156"/>
    <mergeCell ref="IW157:IW157"/>
    <mergeCell ref="IW158:IW158"/>
    <mergeCell ref="IW159:IW159"/>
    <mergeCell ref="IW160:IW160"/>
    <mergeCell ref="IW161:IW161"/>
    <mergeCell ref="IW162:IW162"/>
    <mergeCell ref="IW163:IW163"/>
    <mergeCell ref="IW164:IW164"/>
    <mergeCell ref="IW165:IW165"/>
    <mergeCell ref="IW166:IW166"/>
    <mergeCell ref="IW167:IW167"/>
    <mergeCell ref="IW168:IW168"/>
    <mergeCell ref="IW169:IW169"/>
    <mergeCell ref="IW170:IW170"/>
    <mergeCell ref="IW171:IW171"/>
    <mergeCell ref="IW172:IW172"/>
    <mergeCell ref="IW173:IW173"/>
    <mergeCell ref="IW174:IW174"/>
    <mergeCell ref="IW175:IW175"/>
    <mergeCell ref="IW176:IW176"/>
    <mergeCell ref="IW177:IW177"/>
    <mergeCell ref="IW178:IW178"/>
    <mergeCell ref="IW179:IW179"/>
    <mergeCell ref="IW180:IW180"/>
    <mergeCell ref="IW181:IW181"/>
    <mergeCell ref="IW182:IW182"/>
    <mergeCell ref="IW183:IW183"/>
    <mergeCell ref="IW184:IW184"/>
    <mergeCell ref="IW185:IW185"/>
    <mergeCell ref="IW186:IW186"/>
    <mergeCell ref="IW187:IW187"/>
    <mergeCell ref="IW188:IW188"/>
    <mergeCell ref="IW189:IW189"/>
    <mergeCell ref="IW190:IW190"/>
    <mergeCell ref="IW191:IW191"/>
    <mergeCell ref="IW192:IW192"/>
    <mergeCell ref="IW193:IW193"/>
    <mergeCell ref="IW194:IW194"/>
    <mergeCell ref="IW195:IW195"/>
    <mergeCell ref="IW196:IW196"/>
    <mergeCell ref="IW197:IW197"/>
    <mergeCell ref="IW198:IW198"/>
    <mergeCell ref="IW199:IW199"/>
    <mergeCell ref="IW200:IW200"/>
    <mergeCell ref="IW201:IW201"/>
    <mergeCell ref="IW202:IW202"/>
    <mergeCell ref="IW203:IW203"/>
    <mergeCell ref="IW204:IW204"/>
    <mergeCell ref="IW205:IW205"/>
    <mergeCell ref="IW206:IW206"/>
    <mergeCell ref="IW207:IW207"/>
    <mergeCell ref="IW208:IW208"/>
    <mergeCell ref="IW209:IW209"/>
    <mergeCell ref="IW210:IW210"/>
    <mergeCell ref="IW211:IW211"/>
    <mergeCell ref="IW212:IW212"/>
    <mergeCell ref="IW213:IW213"/>
    <mergeCell ref="IW214:IW214"/>
    <mergeCell ref="IW215:IW215"/>
    <mergeCell ref="IW216:IW216"/>
    <mergeCell ref="IW217:IW217"/>
    <mergeCell ref="IW218:IW218"/>
    <mergeCell ref="IW219:IW219"/>
    <mergeCell ref="IW220:IW220"/>
    <mergeCell ref="IW221:IW221"/>
    <mergeCell ref="IW222:IW222"/>
    <mergeCell ref="IW223:IW223"/>
    <mergeCell ref="IW224:IW224"/>
    <mergeCell ref="IW225:IW225"/>
    <mergeCell ref="IW226:IW226"/>
    <mergeCell ref="IW227:IW227"/>
    <mergeCell ref="IW228:IW228"/>
    <mergeCell ref="IW229:IW229"/>
    <mergeCell ref="IW230:IW230"/>
    <mergeCell ref="IW231:IW231"/>
    <mergeCell ref="IW232:IW232"/>
    <mergeCell ref="IW233:IW233"/>
    <mergeCell ref="IW234:IW234"/>
    <mergeCell ref="IW235:IW235"/>
    <mergeCell ref="IW236:IW236"/>
    <mergeCell ref="IW237:IW237"/>
    <mergeCell ref="IW238:IW238"/>
    <mergeCell ref="IW239:IW239"/>
    <mergeCell ref="IW240:IW240"/>
    <mergeCell ref="IW241:IW241"/>
    <mergeCell ref="IW242:IW242"/>
    <mergeCell ref="IW243:IW243"/>
    <mergeCell ref="IW244:IW244"/>
    <mergeCell ref="IW245:IW245"/>
    <mergeCell ref="IW246:IW246"/>
    <mergeCell ref="IW247:IW247"/>
    <mergeCell ref="IW248:IW248"/>
    <mergeCell ref="IW249:IW249"/>
    <mergeCell ref="IW250:IW250"/>
    <mergeCell ref="IW251:IW251"/>
    <mergeCell ref="IW252:IW252"/>
    <mergeCell ref="IW253:IW253"/>
    <mergeCell ref="IW254:IW254"/>
    <mergeCell ref="IW255:IW255"/>
    <mergeCell ref="IW256:IW256"/>
    <mergeCell ref="IW257:IW257"/>
    <mergeCell ref="IW258:IW258"/>
    <mergeCell ref="IW259:IW259"/>
    <mergeCell ref="IW260:IW260"/>
    <mergeCell ref="IW261:IW261"/>
    <mergeCell ref="IW262:IW262"/>
    <mergeCell ref="IW263:IW263"/>
    <mergeCell ref="IW264:IW264"/>
    <mergeCell ref="IW265:IW265"/>
    <mergeCell ref="IW266:IW266"/>
    <mergeCell ref="IW267:IW267"/>
    <mergeCell ref="IW268:IW268"/>
    <mergeCell ref="IW269:IW269"/>
    <mergeCell ref="IW270:IW270"/>
    <mergeCell ref="IW271:IW271"/>
    <mergeCell ref="IW272:IW272"/>
    <mergeCell ref="IW273:IW273"/>
    <mergeCell ref="IW274:IW274"/>
    <mergeCell ref="IW275:IW275"/>
    <mergeCell ref="IW276:IW276"/>
    <mergeCell ref="IW277:IW277"/>
    <mergeCell ref="IW278:IW278"/>
    <mergeCell ref="IW279:IW279"/>
    <mergeCell ref="IW280:IW280"/>
    <mergeCell ref="IW281:IW281"/>
    <mergeCell ref="IW282:IW282"/>
    <mergeCell ref="IW283:IW283"/>
    <mergeCell ref="IW284:IW284"/>
    <mergeCell ref="IW285:IW285"/>
    <mergeCell ref="IW286:IW286"/>
    <mergeCell ref="IW287:IW287"/>
    <mergeCell ref="IW288:IW288"/>
    <mergeCell ref="IW289:IW289"/>
    <mergeCell ref="IW290:IW290"/>
    <mergeCell ref="IW291:IW291"/>
    <mergeCell ref="IW292:IW292"/>
    <mergeCell ref="IW293:IW293"/>
    <mergeCell ref="IW294:IW294"/>
    <mergeCell ref="IW295:IW295"/>
    <mergeCell ref="IW296:IW296"/>
    <mergeCell ref="IW297:IW297"/>
    <mergeCell ref="IW298:IW298"/>
    <mergeCell ref="IW299:IW299"/>
    <mergeCell ref="IW300:IW300"/>
    <mergeCell ref="IW301:IW301"/>
    <mergeCell ref="IW302:IW302"/>
    <mergeCell ref="IW303:IW303"/>
    <mergeCell ref="IW304:IW304"/>
    <mergeCell ref="IW305:IW305"/>
    <mergeCell ref="IW306:IW306"/>
    <mergeCell ref="IW307:IW307"/>
    <mergeCell ref="IW308:IW308"/>
    <mergeCell ref="IW309:IW309"/>
    <mergeCell ref="IW310:IW310"/>
    <mergeCell ref="IW311:IW311"/>
    <mergeCell ref="IW312:IW312"/>
    <mergeCell ref="IW313:IW313"/>
    <mergeCell ref="IW314:IW314"/>
    <mergeCell ref="IW315:IW315"/>
    <mergeCell ref="IW316:IW316"/>
    <mergeCell ref="IW317:IW317"/>
    <mergeCell ref="IW318:IW318"/>
    <mergeCell ref="IW319:IW319"/>
    <mergeCell ref="IW320:IW320"/>
    <mergeCell ref="IW321:IW321"/>
    <mergeCell ref="IW322:IW322"/>
    <mergeCell ref="IW323:IW323"/>
    <mergeCell ref="IW324:IW324"/>
    <mergeCell ref="IW325:IW325"/>
    <mergeCell ref="IW326:IW326"/>
    <mergeCell ref="IW327:IW327"/>
    <mergeCell ref="IW328:IW328"/>
    <mergeCell ref="IW329:IW329"/>
    <mergeCell ref="IW330:IW330"/>
    <mergeCell ref="IW331:IW331"/>
    <mergeCell ref="IW332:IW332"/>
    <mergeCell ref="IW333:IW333"/>
    <mergeCell ref="IW334:IW334"/>
    <mergeCell ref="IW335:IW335"/>
    <mergeCell ref="IW336:IW336"/>
    <mergeCell ref="IW337:IW337"/>
    <mergeCell ref="IW338:IW338"/>
    <mergeCell ref="IW339:IW339"/>
    <mergeCell ref="IW340:IW340"/>
    <mergeCell ref="IW341:IW341"/>
    <mergeCell ref="IW342:IW342"/>
    <mergeCell ref="IW343:IW343"/>
    <mergeCell ref="IW344:IW344"/>
    <mergeCell ref="IW345:IW345"/>
    <mergeCell ref="IW346:IW346"/>
    <mergeCell ref="IW347:IW347"/>
    <mergeCell ref="IW348:IW348"/>
    <mergeCell ref="IW349:IW349"/>
    <mergeCell ref="IW350:IW350"/>
    <mergeCell ref="IW351:IW351"/>
    <mergeCell ref="IW352:IW352"/>
    <mergeCell ref="IW353:IW353"/>
    <mergeCell ref="IW354:IW354"/>
    <mergeCell ref="IW355:IW355"/>
    <mergeCell ref="IW356:IW356"/>
    <mergeCell ref="IW357:IW357"/>
    <mergeCell ref="IW358:IW358"/>
    <mergeCell ref="JA5:JG5"/>
    <mergeCell ref="JA12:JG17"/>
    <mergeCell ref="JA10:JG10"/>
    <mergeCell ref="JA6:JA7"/>
    <mergeCell ref="JB6:JD6"/>
    <mergeCell ref="JE6:JG6"/>
    <mergeCell ref="JI11:JL11"/>
    <mergeCell ref="JI12:JJ12"/>
    <mergeCell ref="JI13:JI15"/>
    <mergeCell ref="JI16:JI18"/>
    <mergeCell ref="JI19:JL19"/>
    <mergeCell ref="JI369:JL374"/>
    <mergeCell ref="JN11:JR11"/>
    <mergeCell ref="JN12:JP12"/>
    <mergeCell ref="JN19:JR19"/>
    <mergeCell ref="JN13:JN18"/>
    <mergeCell ref="JN369:JQ374"/>
    <mergeCell ref="JO13:JO15"/>
    <mergeCell ref="JO16:JO18"/>
    <mergeCell ref="JV4:JV4"/>
    <mergeCell ref="JV5:JV5"/>
    <mergeCell ref="JV6:JV6"/>
    <mergeCell ref="JV7:JV7"/>
    <mergeCell ref="JV8:JV8"/>
    <mergeCell ref="JV9:JV9"/>
    <mergeCell ref="JV10:JV10"/>
    <mergeCell ref="JV11:JV11"/>
    <mergeCell ref="JV12:JV12"/>
    <mergeCell ref="JV13:JV13"/>
    <mergeCell ref="JV14:JV14"/>
    <mergeCell ref="JV15:JV15"/>
    <mergeCell ref="JV16:JV16"/>
    <mergeCell ref="JV17:JV17"/>
    <mergeCell ref="JV18:JV18"/>
    <mergeCell ref="JV19:JV19"/>
    <mergeCell ref="JV20:JV20"/>
    <mergeCell ref="JV21:JV21"/>
    <mergeCell ref="JV22:JV22"/>
    <mergeCell ref="JV23:JV23"/>
    <mergeCell ref="JV24:JV24"/>
    <mergeCell ref="JV25:JV25"/>
    <mergeCell ref="JV26:JV26"/>
    <mergeCell ref="JV27:JV27"/>
    <mergeCell ref="JV28:JV28"/>
    <mergeCell ref="JV29:JV29"/>
    <mergeCell ref="JV30:JV30"/>
    <mergeCell ref="JV31:JV31"/>
    <mergeCell ref="JV32:JV32"/>
    <mergeCell ref="JV33:JV33"/>
    <mergeCell ref="JV34:JV34"/>
    <mergeCell ref="JV35:JV35"/>
    <mergeCell ref="JV36:JV36"/>
    <mergeCell ref="JV37:JV37"/>
    <mergeCell ref="JV38:JV38"/>
    <mergeCell ref="JV39:JV39"/>
    <mergeCell ref="JV40:JV40"/>
    <mergeCell ref="JV41:JV41"/>
    <mergeCell ref="JV42:JV42"/>
    <mergeCell ref="JV43:JV43"/>
    <mergeCell ref="JV44:JV44"/>
    <mergeCell ref="JV45:JV45"/>
    <mergeCell ref="JV46:JV46"/>
    <mergeCell ref="JV47:JV47"/>
    <mergeCell ref="JV48:JV48"/>
    <mergeCell ref="JV49:JV49"/>
    <mergeCell ref="JV50:JV50"/>
    <mergeCell ref="JV51:JV51"/>
    <mergeCell ref="JV52:JV52"/>
    <mergeCell ref="JV53:JV53"/>
    <mergeCell ref="JV54:JV54"/>
    <mergeCell ref="JV55:JV55"/>
    <mergeCell ref="JV56:JV56"/>
    <mergeCell ref="JV57:JV57"/>
    <mergeCell ref="JV58:JV58"/>
    <mergeCell ref="JV59:JV59"/>
    <mergeCell ref="JV60:JV60"/>
    <mergeCell ref="JV61:JV61"/>
    <mergeCell ref="JV62:JV62"/>
    <mergeCell ref="JV63:JV63"/>
    <mergeCell ref="JV64:JV64"/>
    <mergeCell ref="JV65:JV65"/>
    <mergeCell ref="JV66:JV66"/>
    <mergeCell ref="JV67:JV67"/>
    <mergeCell ref="JV68:JV68"/>
    <mergeCell ref="JV69:JV69"/>
    <mergeCell ref="JV70:JV70"/>
    <mergeCell ref="JV71:JV71"/>
    <mergeCell ref="JV72:JV72"/>
    <mergeCell ref="JV73:JV73"/>
    <mergeCell ref="JV74:JV74"/>
    <mergeCell ref="JV75:JV75"/>
    <mergeCell ref="JV76:JV76"/>
    <mergeCell ref="JV77:JV77"/>
    <mergeCell ref="JV78:JV78"/>
    <mergeCell ref="JV79:JV79"/>
    <mergeCell ref="JV80:JV80"/>
    <mergeCell ref="JV81:JV81"/>
    <mergeCell ref="JV82:JV82"/>
    <mergeCell ref="JV83:JV83"/>
    <mergeCell ref="JV84:JV84"/>
    <mergeCell ref="JV85:JV85"/>
    <mergeCell ref="JV86:JV86"/>
    <mergeCell ref="JV87:JV87"/>
    <mergeCell ref="JV88:JV88"/>
    <mergeCell ref="JV89:JV89"/>
    <mergeCell ref="JV90:JV90"/>
    <mergeCell ref="JV91:JV91"/>
    <mergeCell ref="JV92:JV92"/>
    <mergeCell ref="JV93:JV93"/>
    <mergeCell ref="JV94:JV94"/>
    <mergeCell ref="JV95:JV95"/>
    <mergeCell ref="JV96:JV96"/>
    <mergeCell ref="JV97:JV97"/>
    <mergeCell ref="JV98:JV98"/>
    <mergeCell ref="JV99:JV99"/>
    <mergeCell ref="JV100:JV100"/>
    <mergeCell ref="JV101:JV101"/>
    <mergeCell ref="JV102:JV102"/>
    <mergeCell ref="JV103:JV103"/>
    <mergeCell ref="JV104:JV104"/>
    <mergeCell ref="JV105:JV105"/>
    <mergeCell ref="JV106:JV106"/>
    <mergeCell ref="JV107:JV107"/>
    <mergeCell ref="JV108:JV108"/>
    <mergeCell ref="JV109:JV109"/>
    <mergeCell ref="JV110:JV110"/>
    <mergeCell ref="JV111:JV111"/>
    <mergeCell ref="JV112:JV112"/>
    <mergeCell ref="JV113:JV113"/>
    <mergeCell ref="JV114:JV114"/>
    <mergeCell ref="JV115:JV115"/>
    <mergeCell ref="JV116:JV116"/>
    <mergeCell ref="JV117:JV117"/>
    <mergeCell ref="JV118:JV118"/>
    <mergeCell ref="JV119:JV119"/>
    <mergeCell ref="JV120:JV120"/>
    <mergeCell ref="JV121:JV121"/>
    <mergeCell ref="JV122:JV122"/>
    <mergeCell ref="JV123:JV123"/>
    <mergeCell ref="JV124:JV124"/>
    <mergeCell ref="JV125:JV125"/>
    <mergeCell ref="JV126:JV126"/>
    <mergeCell ref="JV127:JV127"/>
    <mergeCell ref="JV128:JV128"/>
    <mergeCell ref="JV129:JV129"/>
    <mergeCell ref="JV130:JV130"/>
    <mergeCell ref="JV131:JV131"/>
    <mergeCell ref="JV132:JV132"/>
    <mergeCell ref="JV133:JV133"/>
    <mergeCell ref="JV134:JV134"/>
    <mergeCell ref="JV135:JV135"/>
    <mergeCell ref="JV136:JV136"/>
    <mergeCell ref="JV137:JV137"/>
    <mergeCell ref="JV138:JV138"/>
    <mergeCell ref="JV139:JV139"/>
    <mergeCell ref="JV140:JV140"/>
    <mergeCell ref="JV141:JV141"/>
    <mergeCell ref="JV142:JV142"/>
    <mergeCell ref="JV143:JV143"/>
    <mergeCell ref="JV144:JV144"/>
    <mergeCell ref="JV145:JV145"/>
    <mergeCell ref="JV146:JV146"/>
    <mergeCell ref="JV147:JV147"/>
    <mergeCell ref="JV148:JV148"/>
    <mergeCell ref="JV149:JV149"/>
    <mergeCell ref="JV150:JV150"/>
    <mergeCell ref="JV151:JV151"/>
    <mergeCell ref="JV152:JV152"/>
    <mergeCell ref="JV153:JV153"/>
    <mergeCell ref="JV154:JV154"/>
    <mergeCell ref="JV155:JV155"/>
    <mergeCell ref="JV156:JV156"/>
    <mergeCell ref="JV157:JV157"/>
    <mergeCell ref="JV158:JV158"/>
    <mergeCell ref="JV159:JV159"/>
    <mergeCell ref="JV160:JV160"/>
    <mergeCell ref="JV161:JV161"/>
    <mergeCell ref="JV162:JV162"/>
    <mergeCell ref="JV163:JV163"/>
    <mergeCell ref="JV164:JV164"/>
    <mergeCell ref="JV165:JV165"/>
    <mergeCell ref="JV166:JV166"/>
    <mergeCell ref="JV167:JV167"/>
    <mergeCell ref="JV168:JV168"/>
    <mergeCell ref="JV169:JV169"/>
    <mergeCell ref="JV170:JV170"/>
    <mergeCell ref="JV171:JV171"/>
    <mergeCell ref="JV172:JV172"/>
    <mergeCell ref="JV173:JV173"/>
    <mergeCell ref="JV174:JV174"/>
    <mergeCell ref="JV175:JV175"/>
    <mergeCell ref="JV176:JV176"/>
    <mergeCell ref="JV177:JV177"/>
    <mergeCell ref="JV178:JV178"/>
    <mergeCell ref="JV179:JV179"/>
    <mergeCell ref="JV180:JV180"/>
    <mergeCell ref="JV181:JV181"/>
    <mergeCell ref="JV182:JV182"/>
    <mergeCell ref="JV183:JV183"/>
    <mergeCell ref="JV184:JV184"/>
    <mergeCell ref="JV185:JV185"/>
    <mergeCell ref="JV186:JV186"/>
    <mergeCell ref="JV187:JV187"/>
    <mergeCell ref="JV188:JV188"/>
    <mergeCell ref="JV189:JV189"/>
    <mergeCell ref="JV190:JV190"/>
    <mergeCell ref="JV191:JV191"/>
    <mergeCell ref="JV192:JV192"/>
    <mergeCell ref="JV193:JV193"/>
    <mergeCell ref="JV194:JV194"/>
    <mergeCell ref="JV195:JV195"/>
    <mergeCell ref="JV196:JV196"/>
    <mergeCell ref="JV197:JV197"/>
    <mergeCell ref="JV198:JV198"/>
    <mergeCell ref="JV199:JV199"/>
    <mergeCell ref="JV200:JV200"/>
    <mergeCell ref="JV201:JV201"/>
    <mergeCell ref="JV202:JV202"/>
    <mergeCell ref="JV203:JV203"/>
    <mergeCell ref="JV204:JV204"/>
    <mergeCell ref="JV205:JV205"/>
    <mergeCell ref="JV206:JV206"/>
    <mergeCell ref="JV207:JV207"/>
    <mergeCell ref="JV208:JV208"/>
    <mergeCell ref="JV209:JV209"/>
    <mergeCell ref="JV210:JV210"/>
    <mergeCell ref="JV211:JV211"/>
    <mergeCell ref="JV212:JV212"/>
    <mergeCell ref="JV213:JV213"/>
    <mergeCell ref="JV214:JV214"/>
    <mergeCell ref="JV215:JV215"/>
    <mergeCell ref="JV216:JV216"/>
    <mergeCell ref="JV217:JV217"/>
    <mergeCell ref="JV218:JV218"/>
    <mergeCell ref="JV219:JV219"/>
    <mergeCell ref="JV220:JV220"/>
    <mergeCell ref="JV221:JV221"/>
    <mergeCell ref="JV222:JV222"/>
    <mergeCell ref="JV223:JV223"/>
    <mergeCell ref="JV224:JV224"/>
    <mergeCell ref="JV225:JV225"/>
    <mergeCell ref="JV226:JV226"/>
    <mergeCell ref="JV227:JV227"/>
    <mergeCell ref="JV228:JV228"/>
    <mergeCell ref="JV229:JV229"/>
    <mergeCell ref="JV230:JV230"/>
    <mergeCell ref="JV231:JV231"/>
    <mergeCell ref="JV232:JV232"/>
    <mergeCell ref="JV233:JV233"/>
    <mergeCell ref="JV234:JV234"/>
    <mergeCell ref="JV235:JV235"/>
    <mergeCell ref="JV236:JV236"/>
    <mergeCell ref="JV237:JV237"/>
    <mergeCell ref="JV238:JV238"/>
    <mergeCell ref="JV239:JV239"/>
    <mergeCell ref="JV240:JV240"/>
    <mergeCell ref="JV241:JV241"/>
    <mergeCell ref="JV242:JV242"/>
    <mergeCell ref="JV243:JV243"/>
    <mergeCell ref="JV244:JV244"/>
    <mergeCell ref="JV245:JV245"/>
    <mergeCell ref="JV246:JV246"/>
    <mergeCell ref="JV247:JV247"/>
    <mergeCell ref="JV248:JV248"/>
    <mergeCell ref="JV249:JV249"/>
    <mergeCell ref="JV250:JV250"/>
    <mergeCell ref="JV251:JV251"/>
    <mergeCell ref="JV252:JV252"/>
    <mergeCell ref="JV253:JV253"/>
    <mergeCell ref="JV254:JV254"/>
    <mergeCell ref="JV255:JV255"/>
    <mergeCell ref="JV256:JV256"/>
    <mergeCell ref="JV257:JV257"/>
    <mergeCell ref="JV258:JV258"/>
    <mergeCell ref="JV259:JV259"/>
    <mergeCell ref="JV260:JV260"/>
    <mergeCell ref="JV261:JV261"/>
    <mergeCell ref="JV262:JV262"/>
    <mergeCell ref="JV263:JV263"/>
    <mergeCell ref="JV264:JV264"/>
    <mergeCell ref="JV265:JV265"/>
    <mergeCell ref="JV266:JV266"/>
    <mergeCell ref="JV267:JV267"/>
    <mergeCell ref="JV268:JV268"/>
    <mergeCell ref="JV269:JV269"/>
    <mergeCell ref="JV270:JV270"/>
    <mergeCell ref="JV271:JV271"/>
    <mergeCell ref="JV272:JV272"/>
    <mergeCell ref="JV273:JV273"/>
    <mergeCell ref="JV274:JV274"/>
    <mergeCell ref="JV275:JV275"/>
    <mergeCell ref="JV276:JV276"/>
    <mergeCell ref="JV277:JV277"/>
    <mergeCell ref="JV278:JV278"/>
    <mergeCell ref="JV279:JV279"/>
    <mergeCell ref="JV280:JV280"/>
    <mergeCell ref="JV281:JV281"/>
    <mergeCell ref="JV282:JV282"/>
    <mergeCell ref="JV283:JV283"/>
    <mergeCell ref="JV284:JV284"/>
    <mergeCell ref="JV285:JV285"/>
    <mergeCell ref="JV286:JV286"/>
    <mergeCell ref="JV287:JV287"/>
    <mergeCell ref="JV288:JV288"/>
    <mergeCell ref="JV289:JV289"/>
    <mergeCell ref="JV290:JV290"/>
    <mergeCell ref="JV291:JV291"/>
    <mergeCell ref="JV292:JV292"/>
    <mergeCell ref="JV293:JV293"/>
    <mergeCell ref="JV294:JV294"/>
    <mergeCell ref="JV295:JV295"/>
    <mergeCell ref="JV296:JV296"/>
    <mergeCell ref="JV297:JV297"/>
    <mergeCell ref="JV298:JV298"/>
    <mergeCell ref="JV299:JV299"/>
    <mergeCell ref="JV300:JV300"/>
    <mergeCell ref="JV301:JV301"/>
    <mergeCell ref="JV302:JV302"/>
    <mergeCell ref="JV303:JV303"/>
    <mergeCell ref="JV304:JV304"/>
    <mergeCell ref="JV305:JV305"/>
    <mergeCell ref="JV306:JV306"/>
    <mergeCell ref="JV307:JV307"/>
    <mergeCell ref="JV308:JV308"/>
    <mergeCell ref="JV309:JV309"/>
    <mergeCell ref="JV310:JV310"/>
    <mergeCell ref="JV311:JV311"/>
    <mergeCell ref="JV312:JV312"/>
    <mergeCell ref="JV313:JV313"/>
    <mergeCell ref="JV314:JV314"/>
    <mergeCell ref="JV315:JV315"/>
    <mergeCell ref="JV316:JV316"/>
    <mergeCell ref="JV317:JV317"/>
    <mergeCell ref="JV318:JV318"/>
    <mergeCell ref="JV319:JV319"/>
    <mergeCell ref="JV320:JV320"/>
    <mergeCell ref="JV321:JV321"/>
    <mergeCell ref="JV322:JV322"/>
    <mergeCell ref="JV323:JV323"/>
    <mergeCell ref="JV324:JV324"/>
    <mergeCell ref="JV325:JV325"/>
    <mergeCell ref="JV326:JV326"/>
    <mergeCell ref="JV327:JV327"/>
    <mergeCell ref="JV328:JV328"/>
    <mergeCell ref="JV329:JV329"/>
    <mergeCell ref="JV330:JV330"/>
    <mergeCell ref="JV331:JV331"/>
    <mergeCell ref="JV332:JV332"/>
    <mergeCell ref="JV333:JV333"/>
    <mergeCell ref="JV334:JV334"/>
    <mergeCell ref="JV335:JV335"/>
    <mergeCell ref="JV336:JV336"/>
    <mergeCell ref="JV337:JV337"/>
    <mergeCell ref="JV338:JV338"/>
    <mergeCell ref="JV339:JV339"/>
    <mergeCell ref="JV340:JV340"/>
    <mergeCell ref="JV341:JV341"/>
    <mergeCell ref="JV342:JV342"/>
    <mergeCell ref="JV343:JV343"/>
    <mergeCell ref="JV344:JV344"/>
    <mergeCell ref="JV345:JV345"/>
    <mergeCell ref="JV346:JV346"/>
    <mergeCell ref="JV347:JV347"/>
    <mergeCell ref="JV348:JV348"/>
    <mergeCell ref="JV349:JV349"/>
    <mergeCell ref="JV350:JV350"/>
    <mergeCell ref="JV351:JV351"/>
    <mergeCell ref="JV352:JV352"/>
    <mergeCell ref="JV353:JV353"/>
    <mergeCell ref="JV354:JV354"/>
    <mergeCell ref="JV355:JV355"/>
    <mergeCell ref="JV356:JV356"/>
    <mergeCell ref="JV357:JV357"/>
    <mergeCell ref="JV358:JV358"/>
    <mergeCell ref="JZ5:KF5"/>
    <mergeCell ref="JZ12:KF17"/>
    <mergeCell ref="JZ10:KF10"/>
    <mergeCell ref="JZ6:JZ7"/>
    <mergeCell ref="KA6:KC6"/>
    <mergeCell ref="KD6:KF6"/>
    <mergeCell ref="KH11:KK11"/>
    <mergeCell ref="KH12:KI12"/>
    <mergeCell ref="KH13:KH15"/>
    <mergeCell ref="KH16:KH18"/>
    <mergeCell ref="KH19:KK19"/>
    <mergeCell ref="KH369:KK374"/>
    <mergeCell ref="KM11:KQ11"/>
    <mergeCell ref="KM12:KO12"/>
    <mergeCell ref="KM19:KQ19"/>
    <mergeCell ref="KM13:KM18"/>
    <mergeCell ref="KM369:KP374"/>
    <mergeCell ref="KN13:KN15"/>
    <mergeCell ref="KN16:KN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FV369"/>
  <sheetViews>
    <sheetView tabSelected="0" workbookViewId="0" showGridLines="true" showRowColHeaders="1">
      <selection activeCell="FT12" sqref="FT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 min="28" max="28" width="20" customWidth="true" style="0"/>
    <col min="29" max="29" width="12" customWidth="true" style="0"/>
    <col min="30" max="30" width="12" customWidth="true" style="0"/>
    <col min="32" max="32" width="20" customWidth="true" style="0"/>
    <col min="33" max="33" width="10" customWidth="true" style="0"/>
    <col min="34" max="34" width="10" customWidth="true" style="0"/>
    <col min="35" max="35" width="10" customWidth="true" style="0"/>
    <col min="36" max="36" width="10" customWidth="true" style="0"/>
    <col min="37" max="37" width="10" customWidth="true" style="0"/>
    <col min="38" max="38" width="10" customWidth="true" style="0"/>
    <col min="40" max="40" width="23" customWidth="true" style="0"/>
    <col min="41" max="41" width="15" customWidth="true" style="0"/>
    <col min="42" max="42" width="20" customWidth="true" style="0"/>
    <col min="43" max="43" width="20" customWidth="true" style="0"/>
    <col min="45" max="45" width="22" customWidth="true" style="0"/>
    <col min="46" max="46" width="22" customWidth="true" style="0"/>
    <col min="47" max="47" width="15" customWidth="true" style="0"/>
    <col min="48" max="48" width="20" customWidth="true" style="0"/>
    <col min="53" max="53" width="20" customWidth="true" style="0"/>
    <col min="54" max="54" width="12" customWidth="true" style="0"/>
    <col min="55" max="55" width="12" customWidth="true" style="0"/>
    <col min="57" max="57" width="20" customWidth="true" style="0"/>
    <col min="58" max="58" width="10" customWidth="true" style="0"/>
    <col min="59" max="59" width="10" customWidth="true" style="0"/>
    <col min="60" max="60" width="10" customWidth="true" style="0"/>
    <col min="61" max="61" width="10" customWidth="true" style="0"/>
    <col min="62" max="62" width="10" customWidth="true" style="0"/>
    <col min="63" max="63" width="10" customWidth="true" style="0"/>
    <col min="65" max="65" width="23" customWidth="true" style="0"/>
    <col min="66" max="66" width="15" customWidth="true" style="0"/>
    <col min="67" max="67" width="20" customWidth="true" style="0"/>
    <col min="68" max="68" width="20" customWidth="true" style="0"/>
    <col min="70" max="70" width="22" customWidth="true" style="0"/>
    <col min="71" max="71" width="22" customWidth="true" style="0"/>
    <col min="72" max="72" width="15" customWidth="true" style="0"/>
    <col min="73" max="73" width="20" customWidth="true" style="0"/>
    <col min="80" max="80" width="20" customWidth="true" style="0"/>
    <col min="81" max="81" width="12" customWidth="true" style="0"/>
    <col min="82" max="82" width="12" customWidth="true" style="0"/>
    <col min="84" max="84" width="20" customWidth="true" style="0"/>
    <col min="85" max="85" width="10" customWidth="true" style="0"/>
    <col min="86" max="86" width="10" customWidth="true" style="0"/>
    <col min="87" max="87" width="10" customWidth="true" style="0"/>
    <col min="88" max="88" width="10" customWidth="true" style="0"/>
    <col min="89" max="89" width="10" customWidth="true" style="0"/>
    <col min="90" max="90" width="10" customWidth="true" style="0"/>
    <col min="92" max="92" width="23" customWidth="true" style="0"/>
    <col min="93" max="93" width="15" customWidth="true" style="0"/>
    <col min="94" max="94" width="20" customWidth="true" style="0"/>
    <col min="95" max="95" width="20" customWidth="true" style="0"/>
    <col min="97" max="97" width="22" customWidth="true" style="0"/>
    <col min="98" max="98" width="22" customWidth="true" style="0"/>
    <col min="99" max="99" width="15" customWidth="true" style="0"/>
    <col min="100" max="100" width="20" customWidth="true" style="0"/>
    <col min="105" max="105" width="20" customWidth="true" style="0"/>
    <col min="106" max="106" width="12" customWidth="true" style="0"/>
    <col min="107" max="107" width="12" customWidth="true" style="0"/>
    <col min="109" max="109" width="20" customWidth="true" style="0"/>
    <col min="110" max="110" width="10" customWidth="true" style="0"/>
    <col min="111" max="111" width="10" customWidth="true" style="0"/>
    <col min="112" max="112" width="10" customWidth="true" style="0"/>
    <col min="113" max="113" width="10" customWidth="true" style="0"/>
    <col min="114" max="114" width="10" customWidth="true" style="0"/>
    <col min="115" max="115" width="10" customWidth="true" style="0"/>
    <col min="117" max="117" width="23" customWidth="true" style="0"/>
    <col min="118" max="118" width="15" customWidth="true" style="0"/>
    <col min="119" max="119" width="20" customWidth="true" style="0"/>
    <col min="120" max="120" width="20" customWidth="true" style="0"/>
    <col min="122" max="122" width="22" customWidth="true" style="0"/>
    <col min="123" max="123" width="22" customWidth="true" style="0"/>
    <col min="124" max="124" width="15" customWidth="true" style="0"/>
    <col min="125" max="125" width="20" customWidth="true" style="0"/>
    <col min="130" max="130" width="20" customWidth="true" style="0"/>
    <col min="131" max="131" width="12" customWidth="true" style="0"/>
    <col min="132" max="132" width="12" customWidth="true" style="0"/>
    <col min="134" max="134" width="20" customWidth="true" style="0"/>
    <col min="135" max="135" width="10" customWidth="true" style="0"/>
    <col min="136" max="136" width="10" customWidth="true" style="0"/>
    <col min="137" max="137" width="10" customWidth="true" style="0"/>
    <col min="138" max="138" width="10" customWidth="true" style="0"/>
    <col min="139" max="139" width="10" customWidth="true" style="0"/>
    <col min="140" max="140" width="10" customWidth="true" style="0"/>
    <col min="142" max="142" width="23" customWidth="true" style="0"/>
    <col min="143" max="143" width="15" customWidth="true" style="0"/>
    <col min="144" max="144" width="20" customWidth="true" style="0"/>
    <col min="145" max="145" width="20" customWidth="true" style="0"/>
    <col min="147" max="147" width="22" customWidth="true" style="0"/>
    <col min="148" max="148" width="22" customWidth="true" style="0"/>
    <col min="149" max="149" width="15" customWidth="true" style="0"/>
    <col min="150" max="150" width="20" customWidth="true" style="0"/>
    <col min="155" max="155" width="20" customWidth="true" style="0"/>
    <col min="156" max="156" width="12" customWidth="true" style="0"/>
    <col min="157" max="157" width="12" customWidth="true" style="0"/>
    <col min="159" max="159" width="20" customWidth="true" style="0"/>
    <col min="160" max="160" width="10" customWidth="true" style="0"/>
    <col min="161" max="161" width="10" customWidth="true" style="0"/>
    <col min="162" max="162" width="10" customWidth="true" style="0"/>
    <col min="163" max="163" width="10" customWidth="true" style="0"/>
    <col min="164" max="164" width="10" customWidth="true" style="0"/>
    <col min="165" max="165" width="10" customWidth="true" style="0"/>
    <col min="167" max="167" width="23" customWidth="true" style="0"/>
    <col min="168" max="168" width="15" customWidth="true" style="0"/>
    <col min="169" max="169" width="20" customWidth="true" style="0"/>
    <col min="170" max="170" width="20" customWidth="true" style="0"/>
    <col min="172" max="172" width="22" customWidth="true" style="0"/>
    <col min="173" max="173" width="22" customWidth="true" style="0"/>
    <col min="174" max="174" width="15" customWidth="true" style="0"/>
    <col min="175" max="175" width="20" customWidth="true" style="0"/>
  </cols>
  <sheetData>
    <row r="1" spans="1:178">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c r="DW1" s="49"/>
      <c r="DX1" s="49"/>
      <c r="DY1" s="49"/>
      <c r="DZ1" s="49"/>
      <c r="EA1" s="49"/>
      <c r="EB1" s="49"/>
      <c r="EC1" s="49"/>
      <c r="ED1" s="49"/>
      <c r="EE1" s="49"/>
      <c r="EF1" s="49"/>
      <c r="EG1" s="49"/>
      <c r="EH1" s="49"/>
      <c r="EI1" s="49"/>
      <c r="EJ1" s="49"/>
      <c r="EK1" s="49"/>
      <c r="EL1" s="49"/>
      <c r="EM1" s="49"/>
      <c r="EN1" s="49"/>
      <c r="EO1" s="49"/>
      <c r="EP1" s="49"/>
      <c r="EQ1" s="49"/>
      <c r="ER1" s="49"/>
      <c r="ES1" s="49"/>
      <c r="ET1" s="49"/>
      <c r="EU1" s="49"/>
      <c r="EV1" s="49"/>
      <c r="EW1" s="49"/>
      <c r="EX1" s="49"/>
      <c r="EY1" s="49"/>
      <c r="EZ1" s="49"/>
      <c r="FA1" s="49"/>
      <c r="FB1" s="49"/>
      <c r="FC1" s="49"/>
      <c r="FD1" s="49"/>
      <c r="FE1" s="49"/>
      <c r="FF1" s="49"/>
      <c r="FG1" s="49"/>
      <c r="FH1" s="49"/>
      <c r="FI1" s="49"/>
      <c r="FJ1" s="49"/>
      <c r="FK1" s="49"/>
      <c r="FL1" s="49"/>
      <c r="FM1" s="49"/>
      <c r="FN1" s="49"/>
      <c r="FO1" s="49"/>
      <c r="FP1" s="49"/>
      <c r="FQ1" s="49"/>
      <c r="FR1" s="49"/>
      <c r="FS1" s="49"/>
      <c r="FT1" s="49"/>
      <c r="FU1" s="49"/>
      <c r="FV1" s="49"/>
    </row>
    <row r="2" spans="1:178">
      <c r="A2" s="48"/>
      <c r="D2" s="40" t="s">
        <v>631</v>
      </c>
      <c r="E2" s="40" t="s">
        <v>664</v>
      </c>
      <c r="Z2" s="48"/>
      <c r="AC2" s="40" t="s">
        <v>636</v>
      </c>
      <c r="AD2" s="40" t="s">
        <v>664</v>
      </c>
      <c r="AY2" s="48"/>
      <c r="BB2" s="40" t="s">
        <v>637</v>
      </c>
      <c r="BC2" s="40" t="s">
        <v>664</v>
      </c>
      <c r="BX2" s="48"/>
      <c r="BZ2" s="49"/>
      <c r="CC2" s="40" t="s">
        <v>632</v>
      </c>
      <c r="CD2" s="40" t="s">
        <v>543</v>
      </c>
      <c r="CY2" s="49"/>
      <c r="DB2" s="40" t="s">
        <v>633</v>
      </c>
      <c r="DC2" s="40" t="s">
        <v>543</v>
      </c>
      <c r="DX2" s="49"/>
      <c r="EA2" s="40" t="s">
        <v>634</v>
      </c>
      <c r="EB2" s="40" t="s">
        <v>543</v>
      </c>
      <c r="EW2" s="49"/>
      <c r="EZ2" s="40" t="s">
        <v>635</v>
      </c>
      <c r="FA2" s="40" t="s">
        <v>543</v>
      </c>
      <c r="FV2" s="49"/>
    </row>
    <row r="3" spans="1:178">
      <c r="A3" s="48"/>
      <c r="D3" s="40" t="str">
        <f>'Por Valoracion (3) Dimension'!B2</f>
        <v>0</v>
      </c>
      <c r="E3" s="40" t="str">
        <f>'Por Valoracion (3) Dimension 2'!J2</f>
        <v>0</v>
      </c>
      <c r="Z3" s="48"/>
      <c r="AC3" s="40" t="str">
        <f>'Por Valoracion (3) Dimension'!D2</f>
        <v>0</v>
      </c>
      <c r="AD3" s="40" t="str">
        <f>'Por Valoracion (3) Dimension 2'!J2</f>
        <v>0</v>
      </c>
      <c r="AY3" s="48"/>
      <c r="BB3" s="40" t="str">
        <f>'Por Valoracion (3) Dimension'!F2</f>
        <v>0</v>
      </c>
      <c r="BC3" s="40" t="str">
        <f>'Por Valoracion (3) Dimension 2'!J2</f>
        <v>0</v>
      </c>
      <c r="BX3" s="48"/>
      <c r="BZ3" s="49"/>
      <c r="CC3" s="40" t="str">
        <f>'Por Valoracion (3) Dimension 2'!B2</f>
        <v>0</v>
      </c>
      <c r="CD3" s="40" t="str">
        <f>'Por Valoracion (3) Dimension'!H2</f>
        <v>0</v>
      </c>
      <c r="CY3" s="49"/>
      <c r="DB3" s="40" t="str">
        <f>'Por Valoracion (3) Dimension 2'!D2</f>
        <v>0</v>
      </c>
      <c r="DC3" s="40" t="str">
        <f>'Por Valoracion (3) Dimension'!H2</f>
        <v>0</v>
      </c>
      <c r="DX3" s="49"/>
      <c r="EA3" s="40" t="str">
        <f>'Por Valoracion (3) Dimension 2'!F2</f>
        <v>0</v>
      </c>
      <c r="EB3" s="40" t="str">
        <f>'Por Valoracion (3) Dimension'!H2</f>
        <v>0</v>
      </c>
      <c r="EW3" s="49"/>
      <c r="EZ3" s="40" t="str">
        <f>'Por Valoracion (3) Dimension 2'!H2</f>
        <v>0</v>
      </c>
      <c r="FA3" s="40" t="str">
        <f>'Por Valoracion (3) Dimension'!H2</f>
        <v>0</v>
      </c>
      <c r="FV3" s="49"/>
    </row>
    <row r="4" spans="1:178">
      <c r="A4" s="48"/>
      <c r="C4" t="str">
        <f>('Inteligencia emocional'!A5)</f>
        <v>0</v>
      </c>
      <c r="D4" s="39" t="str">
        <f>'Por Valoracion (3) Dimension'!B4</f>
        <v>0</v>
      </c>
      <c r="E4" s="39" t="str">
        <f>'Por Valoracion (3) Dimension 2'!J4</f>
        <v>0</v>
      </c>
      <c r="G4" s="10" t="s">
        <v>415</v>
      </c>
      <c r="Z4" s="48"/>
      <c r="AB4" t="str">
        <f>('Inteligencia emocional'!A5)</f>
        <v>0</v>
      </c>
      <c r="AC4" s="39" t="str">
        <f>'Por Valoracion (3) Dimension'!D4</f>
        <v>0</v>
      </c>
      <c r="AD4" s="39" t="str">
        <f>'Por Valoracion (3) Dimension 2'!J4</f>
        <v>0</v>
      </c>
      <c r="AF4" s="10" t="s">
        <v>416</v>
      </c>
      <c r="AY4" s="48"/>
      <c r="BA4" t="str">
        <f>('Inteligencia emocional'!A5)</f>
        <v>0</v>
      </c>
      <c r="BB4" s="39" t="str">
        <f>'Por Valoracion (3) Dimension'!F4</f>
        <v>0</v>
      </c>
      <c r="BC4" s="39" t="str">
        <f>'Por Valoracion (3) Dimension 2'!J4</f>
        <v>0</v>
      </c>
      <c r="BE4" s="10" t="s">
        <v>417</v>
      </c>
      <c r="BX4" s="48"/>
      <c r="BZ4" s="49"/>
      <c r="CB4" t="str">
        <f>('Inteligencia emocional'!A5)</f>
        <v>0</v>
      </c>
      <c r="CC4" s="39" t="str">
        <f>'Por Valoracion (3) Dimension 2'!B4</f>
        <v>0</v>
      </c>
      <c r="CD4" s="39" t="str">
        <f>'Por Valoracion (3) Dimension'!H4</f>
        <v>0</v>
      </c>
      <c r="CF4" s="10" t="s">
        <v>418</v>
      </c>
      <c r="CY4" s="49"/>
      <c r="DA4" t="str">
        <f>('Inteligencia emocional'!A5)</f>
        <v>0</v>
      </c>
      <c r="DB4" s="39" t="str">
        <f>'Por Valoracion (3) Dimension 2'!D4</f>
        <v>0</v>
      </c>
      <c r="DC4" s="39" t="str">
        <f>'Por Valoracion (3) Dimension'!H4</f>
        <v>0</v>
      </c>
      <c r="DE4" s="10" t="s">
        <v>495</v>
      </c>
      <c r="DX4" s="49"/>
      <c r="DZ4" t="str">
        <f>('Inteligencia emocional'!A5)</f>
        <v>0</v>
      </c>
      <c r="EA4" s="39" t="str">
        <f>'Por Valoracion (3) Dimension 2'!F4</f>
        <v>0</v>
      </c>
      <c r="EB4" s="39" t="str">
        <f>'Por Valoracion (3) Dimension'!H4</f>
        <v>0</v>
      </c>
      <c r="ED4" s="10" t="s">
        <v>496</v>
      </c>
      <c r="EW4" s="49"/>
      <c r="EY4" t="str">
        <f>('Inteligencia emocional'!A5)</f>
        <v>0</v>
      </c>
      <c r="EZ4" s="39" t="str">
        <f>'Por Valoracion (3) Dimension 2'!H4</f>
        <v>0</v>
      </c>
      <c r="FA4" s="39" t="str">
        <f>'Por Valoracion (3) Dimension'!H4</f>
        <v>0</v>
      </c>
      <c r="FC4" s="10" t="s">
        <v>497</v>
      </c>
      <c r="FV4" s="49"/>
    </row>
    <row r="5" spans="1:178">
      <c r="A5" s="48"/>
      <c r="C5" t="str">
        <f>('Inteligencia emocional'!A6)</f>
        <v>0</v>
      </c>
      <c r="D5" s="39" t="str">
        <f>'Por Valoracion (3) Dimension'!B5</f>
        <v>0</v>
      </c>
      <c r="E5" s="39" t="str">
        <f>'Por Valoracion (3) Dimension 2'!J5</f>
        <v>0</v>
      </c>
      <c r="G5" s="42" t="s">
        <v>638</v>
      </c>
      <c r="H5" s="12"/>
      <c r="I5" s="12"/>
      <c r="J5" s="12"/>
      <c r="K5" s="12"/>
      <c r="L5" s="12"/>
      <c r="M5" s="12"/>
      <c r="Z5" s="48"/>
      <c r="AB5" t="str">
        <f>('Inteligencia emocional'!A6)</f>
        <v>0</v>
      </c>
      <c r="AC5" s="39" t="str">
        <f>'Por Valoracion (3) Dimension'!D5</f>
        <v>0</v>
      </c>
      <c r="AD5" s="39" t="str">
        <f>'Por Valoracion (3) Dimension 2'!J5</f>
        <v>0</v>
      </c>
      <c r="AF5" s="42" t="s">
        <v>638</v>
      </c>
      <c r="AG5" s="12"/>
      <c r="AH5" s="12"/>
      <c r="AI5" s="12"/>
      <c r="AJ5" s="12"/>
      <c r="AK5" s="12"/>
      <c r="AL5" s="12"/>
      <c r="AY5" s="48"/>
      <c r="BA5" t="str">
        <f>('Inteligencia emocional'!A6)</f>
        <v>0</v>
      </c>
      <c r="BB5" s="39" t="str">
        <f>'Por Valoracion (3) Dimension'!F5</f>
        <v>0</v>
      </c>
      <c r="BC5" s="39" t="str">
        <f>'Por Valoracion (3) Dimension 2'!J5</f>
        <v>0</v>
      </c>
      <c r="BE5" s="42" t="s">
        <v>638</v>
      </c>
      <c r="BF5" s="12"/>
      <c r="BG5" s="12"/>
      <c r="BH5" s="12"/>
      <c r="BI5" s="12"/>
      <c r="BJ5" s="12"/>
      <c r="BK5" s="12"/>
      <c r="BX5" s="48"/>
      <c r="BZ5" s="49"/>
      <c r="CB5" t="str">
        <f>('Inteligencia emocional'!A6)</f>
        <v>0</v>
      </c>
      <c r="CC5" s="39" t="str">
        <f>'Por Valoracion (3) Dimension 2'!B5</f>
        <v>0</v>
      </c>
      <c r="CD5" s="39" t="str">
        <f>'Por Valoracion (3) Dimension'!H5</f>
        <v>0</v>
      </c>
      <c r="CF5" s="42" t="s">
        <v>638</v>
      </c>
      <c r="CG5" s="12"/>
      <c r="CH5" s="12"/>
      <c r="CI5" s="12"/>
      <c r="CJ5" s="12"/>
      <c r="CK5" s="12"/>
      <c r="CL5" s="12"/>
      <c r="CY5" s="49"/>
      <c r="DA5" t="str">
        <f>('Inteligencia emocional'!A6)</f>
        <v>0</v>
      </c>
      <c r="DB5" s="39" t="str">
        <f>'Por Valoracion (3) Dimension 2'!D5</f>
        <v>0</v>
      </c>
      <c r="DC5" s="39" t="str">
        <f>'Por Valoracion (3) Dimension'!H5</f>
        <v>0</v>
      </c>
      <c r="DE5" s="42" t="s">
        <v>638</v>
      </c>
      <c r="DF5" s="12"/>
      <c r="DG5" s="12"/>
      <c r="DH5" s="12"/>
      <c r="DI5" s="12"/>
      <c r="DJ5" s="12"/>
      <c r="DK5" s="12"/>
      <c r="DX5" s="49"/>
      <c r="DZ5" t="str">
        <f>('Inteligencia emocional'!A6)</f>
        <v>0</v>
      </c>
      <c r="EA5" s="39" t="str">
        <f>'Por Valoracion (3) Dimension 2'!F5</f>
        <v>0</v>
      </c>
      <c r="EB5" s="39" t="str">
        <f>'Por Valoracion (3) Dimension'!H5</f>
        <v>0</v>
      </c>
      <c r="ED5" s="42" t="s">
        <v>638</v>
      </c>
      <c r="EE5" s="12"/>
      <c r="EF5" s="12"/>
      <c r="EG5" s="12"/>
      <c r="EH5" s="12"/>
      <c r="EI5" s="12"/>
      <c r="EJ5" s="12"/>
      <c r="EW5" s="49"/>
      <c r="EY5" t="str">
        <f>('Inteligencia emocional'!A6)</f>
        <v>0</v>
      </c>
      <c r="EZ5" s="39" t="str">
        <f>'Por Valoracion (3) Dimension 2'!H5</f>
        <v>0</v>
      </c>
      <c r="FA5" s="39" t="str">
        <f>'Por Valoracion (3) Dimension'!H5</f>
        <v>0</v>
      </c>
      <c r="FC5" s="42" t="s">
        <v>638</v>
      </c>
      <c r="FD5" s="12"/>
      <c r="FE5" s="12"/>
      <c r="FF5" s="12"/>
      <c r="FG5" s="12"/>
      <c r="FH5" s="12"/>
      <c r="FI5" s="12"/>
      <c r="FV5" s="49"/>
    </row>
    <row r="6" spans="1:178">
      <c r="A6" s="48"/>
      <c r="C6" t="str">
        <f>('Inteligencia emocional'!A7)</f>
        <v>0</v>
      </c>
      <c r="D6" s="39" t="str">
        <f>'Por Valoracion (3) Dimension'!B6</f>
        <v>0</v>
      </c>
      <c r="E6" s="39" t="str">
        <f>'Por Valoracion (3) Dimension 2'!J6</f>
        <v>0</v>
      </c>
      <c r="G6"/>
      <c r="H6" s="41" t="s">
        <v>639</v>
      </c>
      <c r="K6" s="41" t="s">
        <v>640</v>
      </c>
      <c r="Z6" s="48"/>
      <c r="AB6" t="str">
        <f>('Inteligencia emocional'!A7)</f>
        <v>0</v>
      </c>
      <c r="AC6" s="39" t="str">
        <f>'Por Valoracion (3) Dimension'!D6</f>
        <v>0</v>
      </c>
      <c r="AD6" s="39" t="str">
        <f>'Por Valoracion (3) Dimension 2'!J6</f>
        <v>0</v>
      </c>
      <c r="AF6"/>
      <c r="AG6" s="41" t="s">
        <v>639</v>
      </c>
      <c r="AJ6" s="41" t="s">
        <v>640</v>
      </c>
      <c r="AY6" s="48"/>
      <c r="BA6" t="str">
        <f>('Inteligencia emocional'!A7)</f>
        <v>0</v>
      </c>
      <c r="BB6" s="39" t="str">
        <f>'Por Valoracion (3) Dimension'!F6</f>
        <v>0</v>
      </c>
      <c r="BC6" s="39" t="str">
        <f>'Por Valoracion (3) Dimension 2'!J6</f>
        <v>0</v>
      </c>
      <c r="BE6"/>
      <c r="BF6" s="41" t="s">
        <v>639</v>
      </c>
      <c r="BI6" s="41" t="s">
        <v>640</v>
      </c>
      <c r="BX6" s="48"/>
      <c r="BZ6" s="49"/>
      <c r="CB6" t="str">
        <f>('Inteligencia emocional'!A7)</f>
        <v>0</v>
      </c>
      <c r="CC6" s="39" t="str">
        <f>'Por Valoracion (3) Dimension 2'!B6</f>
        <v>0</v>
      </c>
      <c r="CD6" s="39" t="str">
        <f>'Por Valoracion (3) Dimension'!H6</f>
        <v>0</v>
      </c>
      <c r="CF6"/>
      <c r="CG6" s="41" t="s">
        <v>639</v>
      </c>
      <c r="CJ6" s="41" t="s">
        <v>640</v>
      </c>
      <c r="CY6" s="49"/>
      <c r="DA6" t="str">
        <f>('Inteligencia emocional'!A7)</f>
        <v>0</v>
      </c>
      <c r="DB6" s="39" t="str">
        <f>'Por Valoracion (3) Dimension 2'!D6</f>
        <v>0</v>
      </c>
      <c r="DC6" s="39" t="str">
        <f>'Por Valoracion (3) Dimension'!H6</f>
        <v>0</v>
      </c>
      <c r="DE6"/>
      <c r="DF6" s="41" t="s">
        <v>639</v>
      </c>
      <c r="DI6" s="41" t="s">
        <v>640</v>
      </c>
      <c r="DX6" s="49"/>
      <c r="DZ6" t="str">
        <f>('Inteligencia emocional'!A7)</f>
        <v>0</v>
      </c>
      <c r="EA6" s="39" t="str">
        <f>'Por Valoracion (3) Dimension 2'!F6</f>
        <v>0</v>
      </c>
      <c r="EB6" s="39" t="str">
        <f>'Por Valoracion (3) Dimension'!H6</f>
        <v>0</v>
      </c>
      <c r="ED6"/>
      <c r="EE6" s="41" t="s">
        <v>639</v>
      </c>
      <c r="EH6" s="41" t="s">
        <v>640</v>
      </c>
      <c r="EW6" s="49"/>
      <c r="EY6" t="str">
        <f>('Inteligencia emocional'!A7)</f>
        <v>0</v>
      </c>
      <c r="EZ6" s="39" t="str">
        <f>'Por Valoracion (3) Dimension 2'!H6</f>
        <v>0</v>
      </c>
      <c r="FA6" s="39" t="str">
        <f>'Por Valoracion (3) Dimension'!H6</f>
        <v>0</v>
      </c>
      <c r="FC6"/>
      <c r="FD6" s="41" t="s">
        <v>639</v>
      </c>
      <c r="FG6" s="41" t="s">
        <v>640</v>
      </c>
      <c r="FV6" s="49"/>
    </row>
    <row r="7" spans="1:178">
      <c r="A7" s="48"/>
      <c r="C7" t="str">
        <f>('Inteligencia emocional'!A8)</f>
        <v>0</v>
      </c>
      <c r="D7" s="39" t="str">
        <f>'Por Valoracion (3) Dimension'!B7</f>
        <v>0</v>
      </c>
      <c r="E7" s="39" t="str">
        <f>'Por Valoracion (3) Dimension 2'!J7</f>
        <v>0</v>
      </c>
      <c r="G7" s="12"/>
      <c r="H7" s="43" t="s">
        <v>641</v>
      </c>
      <c r="I7" s="43" t="s">
        <v>642</v>
      </c>
      <c r="J7" s="43" t="s">
        <v>643</v>
      </c>
      <c r="K7" s="43" t="s">
        <v>641</v>
      </c>
      <c r="L7" s="45" t="s">
        <v>642</v>
      </c>
      <c r="M7" s="43" t="s">
        <v>643</v>
      </c>
      <c r="Z7" s="48"/>
      <c r="AB7" t="str">
        <f>('Inteligencia emocional'!A8)</f>
        <v>0</v>
      </c>
      <c r="AC7" s="39" t="str">
        <f>'Por Valoracion (3) Dimension'!D7</f>
        <v>0</v>
      </c>
      <c r="AD7" s="39" t="str">
        <f>'Por Valoracion (3) Dimension 2'!J7</f>
        <v>0</v>
      </c>
      <c r="AF7" s="12"/>
      <c r="AG7" s="43" t="s">
        <v>641</v>
      </c>
      <c r="AH7" s="43" t="s">
        <v>642</v>
      </c>
      <c r="AI7" s="43" t="s">
        <v>643</v>
      </c>
      <c r="AJ7" s="43" t="s">
        <v>641</v>
      </c>
      <c r="AK7" s="45" t="s">
        <v>642</v>
      </c>
      <c r="AL7" s="43" t="s">
        <v>643</v>
      </c>
      <c r="AY7" s="48"/>
      <c r="BA7" t="str">
        <f>('Inteligencia emocional'!A8)</f>
        <v>0</v>
      </c>
      <c r="BB7" s="39" t="str">
        <f>'Por Valoracion (3) Dimension'!F7</f>
        <v>0</v>
      </c>
      <c r="BC7" s="39" t="str">
        <f>'Por Valoracion (3) Dimension 2'!J7</f>
        <v>0</v>
      </c>
      <c r="BE7" s="12"/>
      <c r="BF7" s="43" t="s">
        <v>641</v>
      </c>
      <c r="BG7" s="43" t="s">
        <v>642</v>
      </c>
      <c r="BH7" s="43" t="s">
        <v>643</v>
      </c>
      <c r="BI7" s="43" t="s">
        <v>641</v>
      </c>
      <c r="BJ7" s="45" t="s">
        <v>642</v>
      </c>
      <c r="BK7" s="43" t="s">
        <v>643</v>
      </c>
      <c r="BX7" s="48"/>
      <c r="BZ7" s="49"/>
      <c r="CB7" t="str">
        <f>('Inteligencia emocional'!A8)</f>
        <v>0</v>
      </c>
      <c r="CC7" s="39" t="str">
        <f>'Por Valoracion (3) Dimension 2'!B7</f>
        <v>0</v>
      </c>
      <c r="CD7" s="39" t="str">
        <f>'Por Valoracion (3) Dimension'!H7</f>
        <v>0</v>
      </c>
      <c r="CF7" s="12"/>
      <c r="CG7" s="43" t="s">
        <v>641</v>
      </c>
      <c r="CH7" s="43" t="s">
        <v>642</v>
      </c>
      <c r="CI7" s="43" t="s">
        <v>643</v>
      </c>
      <c r="CJ7" s="43" t="s">
        <v>641</v>
      </c>
      <c r="CK7" s="45" t="s">
        <v>642</v>
      </c>
      <c r="CL7" s="43" t="s">
        <v>643</v>
      </c>
      <c r="CY7" s="49"/>
      <c r="DA7" t="str">
        <f>('Inteligencia emocional'!A8)</f>
        <v>0</v>
      </c>
      <c r="DB7" s="39" t="str">
        <f>'Por Valoracion (3) Dimension 2'!D7</f>
        <v>0</v>
      </c>
      <c r="DC7" s="39" t="str">
        <f>'Por Valoracion (3) Dimension'!H7</f>
        <v>0</v>
      </c>
      <c r="DE7" s="12"/>
      <c r="DF7" s="43" t="s">
        <v>641</v>
      </c>
      <c r="DG7" s="43" t="s">
        <v>642</v>
      </c>
      <c r="DH7" s="43" t="s">
        <v>643</v>
      </c>
      <c r="DI7" s="43" t="s">
        <v>641</v>
      </c>
      <c r="DJ7" s="45" t="s">
        <v>642</v>
      </c>
      <c r="DK7" s="43" t="s">
        <v>643</v>
      </c>
      <c r="DX7" s="49"/>
      <c r="DZ7" t="str">
        <f>('Inteligencia emocional'!A8)</f>
        <v>0</v>
      </c>
      <c r="EA7" s="39" t="str">
        <f>'Por Valoracion (3) Dimension 2'!F7</f>
        <v>0</v>
      </c>
      <c r="EB7" s="39" t="str">
        <f>'Por Valoracion (3) Dimension'!H7</f>
        <v>0</v>
      </c>
      <c r="ED7" s="12"/>
      <c r="EE7" s="43" t="s">
        <v>641</v>
      </c>
      <c r="EF7" s="43" t="s">
        <v>642</v>
      </c>
      <c r="EG7" s="43" t="s">
        <v>643</v>
      </c>
      <c r="EH7" s="43" t="s">
        <v>641</v>
      </c>
      <c r="EI7" s="45" t="s">
        <v>642</v>
      </c>
      <c r="EJ7" s="43" t="s">
        <v>643</v>
      </c>
      <c r="EW7" s="49"/>
      <c r="EY7" t="str">
        <f>('Inteligencia emocional'!A8)</f>
        <v>0</v>
      </c>
      <c r="EZ7" s="39" t="str">
        <f>'Por Valoracion (3) Dimension 2'!H7</f>
        <v>0</v>
      </c>
      <c r="FA7" s="39" t="str">
        <f>'Por Valoracion (3) Dimension'!H7</f>
        <v>0</v>
      </c>
      <c r="FC7" s="12"/>
      <c r="FD7" s="43" t="s">
        <v>641</v>
      </c>
      <c r="FE7" s="43" t="s">
        <v>642</v>
      </c>
      <c r="FF7" s="43" t="s">
        <v>643</v>
      </c>
      <c r="FG7" s="43" t="s">
        <v>641</v>
      </c>
      <c r="FH7" s="45" t="s">
        <v>642</v>
      </c>
      <c r="FI7" s="43" t="s">
        <v>643</v>
      </c>
      <c r="FV7" s="49"/>
    </row>
    <row r="8" spans="1:178">
      <c r="A8" s="48"/>
      <c r="C8" t="str">
        <f>('Inteligencia emocional'!A9)</f>
        <v>0</v>
      </c>
      <c r="D8" s="39" t="str">
        <f>'Por Valoracion (3) Dimension'!B8</f>
        <v>0</v>
      </c>
      <c r="E8" s="39" t="str">
        <f>'Por Valoracion (3) Dimension 2'!J8</f>
        <v>0</v>
      </c>
      <c r="G8" s="41" t="str">
        <f>D3</f>
        <v>0</v>
      </c>
      <c r="H8" s="44"/>
      <c r="I8" s="44"/>
      <c r="J8" s="44"/>
      <c r="K8" s="44"/>
      <c r="L8" s="44"/>
      <c r="M8" s="44"/>
      <c r="Z8" s="48"/>
      <c r="AB8" t="str">
        <f>('Inteligencia emocional'!A9)</f>
        <v>0</v>
      </c>
      <c r="AC8" s="39" t="str">
        <f>'Por Valoracion (3) Dimension'!D8</f>
        <v>0</v>
      </c>
      <c r="AD8" s="39" t="str">
        <f>'Por Valoracion (3) Dimension 2'!J8</f>
        <v>0</v>
      </c>
      <c r="AF8" s="41" t="str">
        <f>AC3</f>
        <v>0</v>
      </c>
      <c r="AG8" s="44"/>
      <c r="AH8" s="44"/>
      <c r="AI8" s="44"/>
      <c r="AJ8" s="44"/>
      <c r="AK8" s="44"/>
      <c r="AL8" s="44"/>
      <c r="AY8" s="48"/>
      <c r="BA8" t="str">
        <f>('Inteligencia emocional'!A9)</f>
        <v>0</v>
      </c>
      <c r="BB8" s="39" t="str">
        <f>'Por Valoracion (3) Dimension'!F8</f>
        <v>0</v>
      </c>
      <c r="BC8" s="39" t="str">
        <f>'Por Valoracion (3) Dimension 2'!J8</f>
        <v>0</v>
      </c>
      <c r="BE8" s="41" t="str">
        <f>BB3</f>
        <v>0</v>
      </c>
      <c r="BF8" s="44"/>
      <c r="BG8" s="44"/>
      <c r="BH8" s="44"/>
      <c r="BI8" s="44"/>
      <c r="BJ8" s="44"/>
      <c r="BK8" s="44"/>
      <c r="BX8" s="48"/>
      <c r="BZ8" s="49"/>
      <c r="CB8" t="str">
        <f>('Inteligencia emocional'!A9)</f>
        <v>0</v>
      </c>
      <c r="CC8" s="39" t="str">
        <f>'Por Valoracion (3) Dimension 2'!B8</f>
        <v>0</v>
      </c>
      <c r="CD8" s="39" t="str">
        <f>'Por Valoracion (3) Dimension'!H8</f>
        <v>0</v>
      </c>
      <c r="CF8" s="41" t="str">
        <f>CC3</f>
        <v>0</v>
      </c>
      <c r="CG8" s="44"/>
      <c r="CH8" s="44"/>
      <c r="CI8" s="44"/>
      <c r="CJ8" s="44"/>
      <c r="CK8" s="44"/>
      <c r="CL8" s="44"/>
      <c r="CY8" s="49"/>
      <c r="DA8" t="str">
        <f>('Inteligencia emocional'!A9)</f>
        <v>0</v>
      </c>
      <c r="DB8" s="39" t="str">
        <f>'Por Valoracion (3) Dimension 2'!D8</f>
        <v>0</v>
      </c>
      <c r="DC8" s="39" t="str">
        <f>'Por Valoracion (3) Dimension'!H8</f>
        <v>0</v>
      </c>
      <c r="DE8" s="41" t="str">
        <f>DB3</f>
        <v>0</v>
      </c>
      <c r="DF8" s="44"/>
      <c r="DG8" s="44"/>
      <c r="DH8" s="44"/>
      <c r="DI8" s="44"/>
      <c r="DJ8" s="44"/>
      <c r="DK8" s="44"/>
      <c r="DX8" s="49"/>
      <c r="DZ8" t="str">
        <f>('Inteligencia emocional'!A9)</f>
        <v>0</v>
      </c>
      <c r="EA8" s="39" t="str">
        <f>'Por Valoracion (3) Dimension 2'!F8</f>
        <v>0</v>
      </c>
      <c r="EB8" s="39" t="str">
        <f>'Por Valoracion (3) Dimension'!H8</f>
        <v>0</v>
      </c>
      <c r="ED8" s="41" t="str">
        <f>EA3</f>
        <v>0</v>
      </c>
      <c r="EE8" s="44"/>
      <c r="EF8" s="44"/>
      <c r="EG8" s="44"/>
      <c r="EH8" s="44"/>
      <c r="EI8" s="44"/>
      <c r="EJ8" s="44"/>
      <c r="EW8" s="49"/>
      <c r="EY8" t="str">
        <f>('Inteligencia emocional'!A9)</f>
        <v>0</v>
      </c>
      <c r="EZ8" s="39" t="str">
        <f>'Por Valoracion (3) Dimension 2'!H8</f>
        <v>0</v>
      </c>
      <c r="FA8" s="39" t="str">
        <f>'Por Valoracion (3) Dimension'!H8</f>
        <v>0</v>
      </c>
      <c r="FC8" s="41" t="str">
        <f>EZ3</f>
        <v>0</v>
      </c>
      <c r="FD8" s="44"/>
      <c r="FE8" s="44"/>
      <c r="FF8" s="44"/>
      <c r="FG8" s="44"/>
      <c r="FH8" s="44"/>
      <c r="FI8" s="44"/>
      <c r="FV8" s="49"/>
    </row>
    <row r="9" spans="1:178">
      <c r="A9" s="48"/>
      <c r="C9" t="str">
        <f>('Inteligencia emocional'!A10)</f>
        <v>0</v>
      </c>
      <c r="D9" s="39" t="str">
        <f>'Por Valoracion (3) Dimension'!B9</f>
        <v>0</v>
      </c>
      <c r="E9" s="39" t="str">
        <f>'Por Valoracion (3) Dimension 2'!J9</f>
        <v>0</v>
      </c>
      <c r="G9" s="42" t="str">
        <f>E3</f>
        <v>0</v>
      </c>
      <c r="H9" s="12"/>
      <c r="I9" s="12"/>
      <c r="J9" s="12"/>
      <c r="K9" s="12"/>
      <c r="L9" s="12"/>
      <c r="M9" s="12"/>
      <c r="Z9" s="48"/>
      <c r="AB9" t="str">
        <f>('Inteligencia emocional'!A10)</f>
        <v>0</v>
      </c>
      <c r="AC9" s="39" t="str">
        <f>'Por Valoracion (3) Dimension'!D9</f>
        <v>0</v>
      </c>
      <c r="AD9" s="39" t="str">
        <f>'Por Valoracion (3) Dimension 2'!J9</f>
        <v>0</v>
      </c>
      <c r="AF9" s="42" t="str">
        <f>AD3</f>
        <v>0</v>
      </c>
      <c r="AG9" s="12" t="str">
        <f>H9</f>
        <v>0</v>
      </c>
      <c r="AH9" s="12" t="str">
        <f>I9</f>
        <v>0</v>
      </c>
      <c r="AI9" s="12" t="str">
        <f>J9</f>
        <v>0</v>
      </c>
      <c r="AJ9" s="12" t="str">
        <f>K9</f>
        <v>0</v>
      </c>
      <c r="AK9" s="12" t="str">
        <f>L9</f>
        <v>0</v>
      </c>
      <c r="AL9" s="12" t="str">
        <f>M9</f>
        <v>0</v>
      </c>
      <c r="AY9" s="48"/>
      <c r="BA9" t="str">
        <f>('Inteligencia emocional'!A10)</f>
        <v>0</v>
      </c>
      <c r="BB9" s="39" t="str">
        <f>'Por Valoracion (3) Dimension'!F9</f>
        <v>0</v>
      </c>
      <c r="BC9" s="39" t="str">
        <f>'Por Valoracion (3) Dimension 2'!J9</f>
        <v>0</v>
      </c>
      <c r="BE9" s="42" t="str">
        <f>BC3</f>
        <v>0</v>
      </c>
      <c r="BF9" s="12" t="str">
        <f>H9</f>
        <v>0</v>
      </c>
      <c r="BG9" s="12" t="str">
        <f>I9</f>
        <v>0</v>
      </c>
      <c r="BH9" s="12" t="str">
        <f>J9</f>
        <v>0</v>
      </c>
      <c r="BI9" s="12" t="str">
        <f>K9</f>
        <v>0</v>
      </c>
      <c r="BJ9" s="12" t="str">
        <f>L9</f>
        <v>0</v>
      </c>
      <c r="BK9" s="12" t="str">
        <f>M9</f>
        <v>0</v>
      </c>
      <c r="BX9" s="48"/>
      <c r="BZ9" s="49"/>
      <c r="CB9" t="str">
        <f>('Inteligencia emocional'!A10)</f>
        <v>0</v>
      </c>
      <c r="CC9" s="39" t="str">
        <f>'Por Valoracion (3) Dimension 2'!B9</f>
        <v>0</v>
      </c>
      <c r="CD9" s="39" t="str">
        <f>'Por Valoracion (3) Dimension'!H9</f>
        <v>0</v>
      </c>
      <c r="CF9" s="42" t="str">
        <f>CD3</f>
        <v>0</v>
      </c>
      <c r="CG9" s="43"/>
      <c r="CH9" s="45"/>
      <c r="CI9" s="43"/>
      <c r="CJ9" s="43"/>
      <c r="CK9" s="43"/>
      <c r="CL9" s="45"/>
      <c r="CY9" s="49"/>
      <c r="DA9" t="str">
        <f>('Inteligencia emocional'!A10)</f>
        <v>0</v>
      </c>
      <c r="DB9" s="39" t="str">
        <f>'Por Valoracion (3) Dimension 2'!D9</f>
        <v>0</v>
      </c>
      <c r="DC9" s="39" t="str">
        <f>'Por Valoracion (3) Dimension'!H9</f>
        <v>0</v>
      </c>
      <c r="DE9" s="42" t="str">
        <f>DC3</f>
        <v>0</v>
      </c>
      <c r="DF9" s="43" t="str">
        <f>CG9</f>
        <v>0</v>
      </c>
      <c r="DG9" s="45" t="str">
        <f>CH9</f>
        <v>0</v>
      </c>
      <c r="DH9" s="43" t="str">
        <f>CI9</f>
        <v>0</v>
      </c>
      <c r="DI9" s="43" t="str">
        <f>CJ9</f>
        <v>0</v>
      </c>
      <c r="DJ9" s="43" t="str">
        <f>CK9</f>
        <v>0</v>
      </c>
      <c r="DK9" s="45" t="str">
        <f>CL9</f>
        <v>0</v>
      </c>
      <c r="DX9" s="49"/>
      <c r="DZ9" t="str">
        <f>('Inteligencia emocional'!A10)</f>
        <v>0</v>
      </c>
      <c r="EA9" s="39" t="str">
        <f>'Por Valoracion (3) Dimension 2'!F9</f>
        <v>0</v>
      </c>
      <c r="EB9" s="39" t="str">
        <f>'Por Valoracion (3) Dimension'!H9</f>
        <v>0</v>
      </c>
      <c r="ED9" s="42" t="str">
        <f>EB3</f>
        <v>0</v>
      </c>
      <c r="EE9" s="43" t="str">
        <f>CG9</f>
        <v>0</v>
      </c>
      <c r="EF9" s="45" t="str">
        <f>CH9</f>
        <v>0</v>
      </c>
      <c r="EG9" s="43" t="str">
        <f>CI9</f>
        <v>0</v>
      </c>
      <c r="EH9" s="43" t="str">
        <f>CJ9</f>
        <v>0</v>
      </c>
      <c r="EI9" s="43" t="str">
        <f>CK9</f>
        <v>0</v>
      </c>
      <c r="EJ9" s="45" t="str">
        <f>CL9</f>
        <v>0</v>
      </c>
      <c r="EW9" s="49"/>
      <c r="EY9" t="str">
        <f>('Inteligencia emocional'!A10)</f>
        <v>0</v>
      </c>
      <c r="EZ9" s="39" t="str">
        <f>'Por Valoracion (3) Dimension 2'!H9</f>
        <v>0</v>
      </c>
      <c r="FA9" s="39" t="str">
        <f>'Por Valoracion (3) Dimension'!H9</f>
        <v>0</v>
      </c>
      <c r="FC9" s="42" t="str">
        <f>FA3</f>
        <v>0</v>
      </c>
      <c r="FD9" s="43" t="str">
        <f>CG9</f>
        <v>0</v>
      </c>
      <c r="FE9" s="45" t="str">
        <f>CH9</f>
        <v>0</v>
      </c>
      <c r="FF9" s="43" t="str">
        <f>CI9</f>
        <v>0</v>
      </c>
      <c r="FG9" s="43" t="str">
        <f>CJ9</f>
        <v>0</v>
      </c>
      <c r="FH9" s="43" t="str">
        <f>CK9</f>
        <v>0</v>
      </c>
      <c r="FI9" s="45" t="str">
        <f>CL9</f>
        <v>0</v>
      </c>
      <c r="FV9" s="49"/>
    </row>
    <row r="10" spans="1:178">
      <c r="A10" s="48"/>
      <c r="C10" t="str">
        <f>('Inteligencia emocional'!A11)</f>
        <v>0</v>
      </c>
      <c r="D10" s="39" t="str">
        <f>'Por Valoracion (3) Dimension'!B10</f>
        <v>0</v>
      </c>
      <c r="E10" s="39" t="str">
        <f>'Por Valoracion (3) Dimension 2'!J10</f>
        <v>0</v>
      </c>
      <c r="G10" s="41" t="s">
        <v>644</v>
      </c>
      <c r="O10" s="10" t="s">
        <v>415</v>
      </c>
      <c r="T10" s="10" t="s">
        <v>415</v>
      </c>
      <c r="Z10" s="48"/>
      <c r="AB10" t="str">
        <f>('Inteligencia emocional'!A11)</f>
        <v>0</v>
      </c>
      <c r="AC10" s="39" t="str">
        <f>'Por Valoracion (3) Dimension'!D10</f>
        <v>0</v>
      </c>
      <c r="AD10" s="39" t="str">
        <f>'Por Valoracion (3) Dimension 2'!J10</f>
        <v>0</v>
      </c>
      <c r="AF10" s="41" t="s">
        <v>644</v>
      </c>
      <c r="AN10" s="10" t="s">
        <v>416</v>
      </c>
      <c r="AS10" s="10" t="s">
        <v>416</v>
      </c>
      <c r="AY10" s="48"/>
      <c r="BA10" t="str">
        <f>('Inteligencia emocional'!A11)</f>
        <v>0</v>
      </c>
      <c r="BB10" s="39" t="str">
        <f>'Por Valoracion (3) Dimension'!F10</f>
        <v>0</v>
      </c>
      <c r="BC10" s="39" t="str">
        <f>'Por Valoracion (3) Dimension 2'!J10</f>
        <v>0</v>
      </c>
      <c r="BE10" s="41" t="s">
        <v>644</v>
      </c>
      <c r="BM10" s="10" t="s">
        <v>417</v>
      </c>
      <c r="BR10" s="10" t="s">
        <v>417</v>
      </c>
      <c r="BX10" s="48"/>
      <c r="BZ10" s="49"/>
      <c r="CB10" t="str">
        <f>('Inteligencia emocional'!A11)</f>
        <v>0</v>
      </c>
      <c r="CC10" s="39" t="str">
        <f>'Por Valoracion (3) Dimension 2'!B10</f>
        <v>0</v>
      </c>
      <c r="CD10" s="39" t="str">
        <f>'Por Valoracion (3) Dimension'!H10</f>
        <v>0</v>
      </c>
      <c r="CF10" s="41" t="s">
        <v>644</v>
      </c>
      <c r="CN10" s="10" t="s">
        <v>418</v>
      </c>
      <c r="CS10" s="10" t="s">
        <v>418</v>
      </c>
      <c r="CY10" s="49"/>
      <c r="DA10" t="str">
        <f>('Inteligencia emocional'!A11)</f>
        <v>0</v>
      </c>
      <c r="DB10" s="39" t="str">
        <f>'Por Valoracion (3) Dimension 2'!D10</f>
        <v>0</v>
      </c>
      <c r="DC10" s="39" t="str">
        <f>'Por Valoracion (3) Dimension'!H10</f>
        <v>0</v>
      </c>
      <c r="DE10" s="41" t="s">
        <v>644</v>
      </c>
      <c r="DM10" s="10" t="s">
        <v>495</v>
      </c>
      <c r="DR10" s="10" t="s">
        <v>495</v>
      </c>
      <c r="DX10" s="49"/>
      <c r="DZ10" t="str">
        <f>('Inteligencia emocional'!A11)</f>
        <v>0</v>
      </c>
      <c r="EA10" s="39" t="str">
        <f>'Por Valoracion (3) Dimension 2'!F10</f>
        <v>0</v>
      </c>
      <c r="EB10" s="39" t="str">
        <f>'Por Valoracion (3) Dimension'!H10</f>
        <v>0</v>
      </c>
      <c r="ED10" s="41" t="s">
        <v>644</v>
      </c>
      <c r="EL10" s="10" t="s">
        <v>496</v>
      </c>
      <c r="EQ10" s="10" t="s">
        <v>496</v>
      </c>
      <c r="EW10" s="49"/>
      <c r="EY10" t="str">
        <f>('Inteligencia emocional'!A11)</f>
        <v>0</v>
      </c>
      <c r="EZ10" s="39" t="str">
        <f>'Por Valoracion (3) Dimension 2'!H10</f>
        <v>0</v>
      </c>
      <c r="FA10" s="39" t="str">
        <f>'Por Valoracion (3) Dimension'!H10</f>
        <v>0</v>
      </c>
      <c r="FC10" s="41" t="s">
        <v>644</v>
      </c>
      <c r="FK10" s="10" t="s">
        <v>497</v>
      </c>
      <c r="FP10" s="10" t="s">
        <v>497</v>
      </c>
      <c r="FV10" s="49"/>
    </row>
    <row r="11" spans="1:178">
      <c r="A11" s="48"/>
      <c r="C11" t="str">
        <f>('Inteligencia emocional'!A12)</f>
        <v>0</v>
      </c>
      <c r="D11" s="39" t="str">
        <f>'Por Valoracion (3) Dimension'!B11</f>
        <v>0</v>
      </c>
      <c r="E11" s="39" t="str">
        <f>'Por Valoracion (3) Dimension 2'!J11</f>
        <v>0</v>
      </c>
      <c r="O11" s="42" t="s">
        <v>645</v>
      </c>
      <c r="P11" s="12"/>
      <c r="Q11" s="12"/>
      <c r="R11" s="12"/>
      <c r="T11" s="42" t="s">
        <v>645</v>
      </c>
      <c r="U11" s="12"/>
      <c r="V11" s="12"/>
      <c r="W11" s="12"/>
      <c r="X11" s="12"/>
      <c r="Z11" s="48"/>
      <c r="AB11" t="str">
        <f>('Inteligencia emocional'!A12)</f>
        <v>0</v>
      </c>
      <c r="AC11" s="39" t="str">
        <f>'Por Valoracion (3) Dimension'!D11</f>
        <v>0</v>
      </c>
      <c r="AD11" s="39" t="str">
        <f>'Por Valoracion (3) Dimension 2'!J11</f>
        <v>0</v>
      </c>
      <c r="AN11" s="42" t="s">
        <v>645</v>
      </c>
      <c r="AO11" s="12"/>
      <c r="AP11" s="12"/>
      <c r="AQ11" s="12"/>
      <c r="AS11" s="42" t="s">
        <v>645</v>
      </c>
      <c r="AT11" s="12"/>
      <c r="AU11" s="12"/>
      <c r="AV11" s="12"/>
      <c r="AW11" s="12"/>
      <c r="AY11" s="48"/>
      <c r="BA11" t="str">
        <f>('Inteligencia emocional'!A12)</f>
        <v>0</v>
      </c>
      <c r="BB11" s="39" t="str">
        <f>'Por Valoracion (3) Dimension'!F11</f>
        <v>0</v>
      </c>
      <c r="BC11" s="39" t="str">
        <f>'Por Valoracion (3) Dimension 2'!J11</f>
        <v>0</v>
      </c>
      <c r="BM11" s="42" t="s">
        <v>645</v>
      </c>
      <c r="BN11" s="12"/>
      <c r="BO11" s="12"/>
      <c r="BP11" s="12"/>
      <c r="BR11" s="42" t="s">
        <v>645</v>
      </c>
      <c r="BS11" s="12"/>
      <c r="BT11" s="12"/>
      <c r="BU11" s="12"/>
      <c r="BV11" s="12"/>
      <c r="BX11" s="48"/>
      <c r="BZ11" s="49"/>
      <c r="CB11" t="str">
        <f>('Inteligencia emocional'!A12)</f>
        <v>0</v>
      </c>
      <c r="CC11" s="39" t="str">
        <f>'Por Valoracion (3) Dimension 2'!B11</f>
        <v>0</v>
      </c>
      <c r="CD11" s="39" t="str">
        <f>'Por Valoracion (3) Dimension'!H11</f>
        <v>0</v>
      </c>
      <c r="CN11" s="42" t="s">
        <v>645</v>
      </c>
      <c r="CO11" s="12"/>
      <c r="CP11" s="12"/>
      <c r="CQ11" s="12"/>
      <c r="CS11" s="42" t="s">
        <v>645</v>
      </c>
      <c r="CT11" s="12"/>
      <c r="CU11" s="12"/>
      <c r="CV11" s="12"/>
      <c r="CW11" s="12"/>
      <c r="CY11" s="49"/>
      <c r="DA11" t="str">
        <f>('Inteligencia emocional'!A12)</f>
        <v>0</v>
      </c>
      <c r="DB11" s="39" t="str">
        <f>'Por Valoracion (3) Dimension 2'!D11</f>
        <v>0</v>
      </c>
      <c r="DC11" s="39" t="str">
        <f>'Por Valoracion (3) Dimension'!H11</f>
        <v>0</v>
      </c>
      <c r="DM11" s="42" t="s">
        <v>645</v>
      </c>
      <c r="DN11" s="12"/>
      <c r="DO11" s="12"/>
      <c r="DP11" s="12"/>
      <c r="DR11" s="42" t="s">
        <v>645</v>
      </c>
      <c r="DS11" s="12"/>
      <c r="DT11" s="12"/>
      <c r="DU11" s="12"/>
      <c r="DV11" s="12"/>
      <c r="DX11" s="49"/>
      <c r="DZ11" t="str">
        <f>('Inteligencia emocional'!A12)</f>
        <v>0</v>
      </c>
      <c r="EA11" s="39" t="str">
        <f>'Por Valoracion (3) Dimension 2'!F11</f>
        <v>0</v>
      </c>
      <c r="EB11" s="39" t="str">
        <f>'Por Valoracion (3) Dimension'!H11</f>
        <v>0</v>
      </c>
      <c r="EL11" s="42" t="s">
        <v>645</v>
      </c>
      <c r="EM11" s="12"/>
      <c r="EN11" s="12"/>
      <c r="EO11" s="12"/>
      <c r="EQ11" s="42" t="s">
        <v>645</v>
      </c>
      <c r="ER11" s="12"/>
      <c r="ES11" s="12"/>
      <c r="ET11" s="12"/>
      <c r="EU11" s="12"/>
      <c r="EW11" s="49"/>
      <c r="EY11" t="str">
        <f>('Inteligencia emocional'!A12)</f>
        <v>0</v>
      </c>
      <c r="EZ11" s="39" t="str">
        <f>'Por Valoracion (3) Dimension 2'!H11</f>
        <v>0</v>
      </c>
      <c r="FA11" s="39" t="str">
        <f>'Por Valoracion (3) Dimension'!H11</f>
        <v>0</v>
      </c>
      <c r="FK11" s="42" t="s">
        <v>645</v>
      </c>
      <c r="FL11" s="12"/>
      <c r="FM11" s="12"/>
      <c r="FN11" s="12"/>
      <c r="FP11" s="42" t="s">
        <v>645</v>
      </c>
      <c r="FQ11" s="12"/>
      <c r="FR11" s="12"/>
      <c r="FS11" s="12"/>
      <c r="FT11" s="12"/>
      <c r="FV11" s="49"/>
    </row>
    <row r="12" spans="1:178">
      <c r="A12" s="48"/>
      <c r="C12" t="str">
        <f>('Inteligencia emocional'!A13)</f>
        <v>0</v>
      </c>
      <c r="D12" s="39" t="str">
        <f>'Por Valoracion (3) Dimension'!B12</f>
        <v>0</v>
      </c>
      <c r="E12" s="39" t="str">
        <f>'Por Valoracion (3) Dimension 2'!J12</f>
        <v>0</v>
      </c>
      <c r="G12" s="27" t="str">
        <f>CONCATENATE("en la ",G4," y basándose en la prueba de ",F364," se puede observar que, ","con una probabilidad de error de ",D365,"% para la ",D363," ",D364," y ",E365,"% para la ",E363," ",E364,", ",G364,H364, " por tal motivo se procederá a utilizar ",I364,".")</f>
        <v>0</v>
      </c>
      <c r="O12" s="12"/>
      <c r="P12" s="12"/>
      <c r="Q12" s="42" t="str">
        <f>D3</f>
        <v>0</v>
      </c>
      <c r="R12" s="42" t="str">
        <f>E3</f>
        <v>0</v>
      </c>
      <c r="T12" s="12"/>
      <c r="U12" s="12"/>
      <c r="V12" s="12"/>
      <c r="W12" s="42" t="str">
        <f>D3</f>
        <v>0</v>
      </c>
      <c r="X12" s="42" t="str">
        <f>E3</f>
        <v>0</v>
      </c>
      <c r="Z12" s="48"/>
      <c r="AB12" t="str">
        <f>('Inteligencia emocional'!A13)</f>
        <v>0</v>
      </c>
      <c r="AC12" s="39" t="str">
        <f>'Por Valoracion (3) Dimension'!D12</f>
        <v>0</v>
      </c>
      <c r="AD12" s="39" t="str">
        <f>'Por Valoracion (3) Dimension 2'!J12</f>
        <v>0</v>
      </c>
      <c r="AF12" s="27" t="str">
        <f>CONCATENATE("en la ",AF4," y basándose en la prueba de ",AE364," se puede observar que, ","con una probabilidad de error de ",AC365,"% para la ",AC363," ",AC364," y ",AD365,"% para la ",AD363," ",AD364,", ",AF364,AG364, " por tal motivo se procederá a utilizar ",AH364,".")</f>
        <v>0</v>
      </c>
      <c r="AN12" s="12"/>
      <c r="AO12" s="12"/>
      <c r="AP12" s="42" t="str">
        <f>AC3</f>
        <v>0</v>
      </c>
      <c r="AQ12" s="42" t="str">
        <f>AD3</f>
        <v>0</v>
      </c>
      <c r="AS12" s="12"/>
      <c r="AT12" s="12"/>
      <c r="AU12" s="12"/>
      <c r="AV12" s="42" t="str">
        <f>AC3</f>
        <v>0</v>
      </c>
      <c r="AW12" s="42" t="str">
        <f>AD3</f>
        <v>0</v>
      </c>
      <c r="AY12" s="48"/>
      <c r="BA12" t="str">
        <f>('Inteligencia emocional'!A13)</f>
        <v>0</v>
      </c>
      <c r="BB12" s="39" t="str">
        <f>'Por Valoracion (3) Dimension'!F12</f>
        <v>0</v>
      </c>
      <c r="BC12" s="39" t="str">
        <f>'Por Valoracion (3) Dimension 2'!J12</f>
        <v>0</v>
      </c>
      <c r="BE12" s="27" t="str">
        <f>CONCATENATE("en la ",BE4," y basándose en la prueba de ",BD364," se puede observar que, ","con una probabilidad de error de ",BB365,"% para la ",BB363," ",BB364," y ",BC365,"% para la ",BC363," ",BC364,", ",BE364,BF364, " por tal motivo se procederá a utilizar ",BG364,".")</f>
        <v>0</v>
      </c>
      <c r="BM12" s="12"/>
      <c r="BN12" s="12"/>
      <c r="BO12" s="42" t="str">
        <f>BB3</f>
        <v>0</v>
      </c>
      <c r="BP12" s="42" t="str">
        <f>BC3</f>
        <v>0</v>
      </c>
      <c r="BR12" s="12"/>
      <c r="BS12" s="12"/>
      <c r="BT12" s="12"/>
      <c r="BU12" s="42" t="str">
        <f>BB3</f>
        <v>0</v>
      </c>
      <c r="BV12" s="42" t="str">
        <f>BC3</f>
        <v>0</v>
      </c>
      <c r="BX12" s="48"/>
      <c r="BZ12" s="49"/>
      <c r="CB12" t="str">
        <f>('Inteligencia emocional'!A13)</f>
        <v>0</v>
      </c>
      <c r="CC12" s="39" t="str">
        <f>'Por Valoracion (3) Dimension 2'!B12</f>
        <v>0</v>
      </c>
      <c r="CD12" s="39" t="str">
        <f>'Por Valoracion (3) Dimension'!H12</f>
        <v>0</v>
      </c>
      <c r="CF12" s="27" t="str">
        <f>CONCATENATE("en la ",CF4," y basándose en la prueba de ",CE364," se puede observar que, ","con una probabilidad de error de ",CC365,"% para la ",CC363," ",CC364," y ",CD365,"% para la ",CD363," ",CD364,", ",CF364,CG364, " por tal motivo se procederá a utilizar ",CH364,".")</f>
        <v>0</v>
      </c>
      <c r="CN12" s="12"/>
      <c r="CO12" s="12"/>
      <c r="CP12" s="42" t="str">
        <f>CC3</f>
        <v>0</v>
      </c>
      <c r="CQ12" s="42" t="str">
        <f>CD3</f>
        <v>0</v>
      </c>
      <c r="CS12" s="12"/>
      <c r="CT12" s="12"/>
      <c r="CU12" s="12"/>
      <c r="CV12" s="42" t="str">
        <f>CC3</f>
        <v>0</v>
      </c>
      <c r="CW12" s="42" t="str">
        <f>CD3</f>
        <v>0</v>
      </c>
      <c r="CY12" s="49"/>
      <c r="DA12" t="str">
        <f>('Inteligencia emocional'!A13)</f>
        <v>0</v>
      </c>
      <c r="DB12" s="39" t="str">
        <f>'Por Valoracion (3) Dimension 2'!D12</f>
        <v>0</v>
      </c>
      <c r="DC12" s="39" t="str">
        <f>'Por Valoracion (3) Dimension'!H12</f>
        <v>0</v>
      </c>
      <c r="DE12" s="27" t="str">
        <f>CONCATENATE("en la ",DE4," y basándose en la prueba de ",DD364," se puede observar que, ","con una probabilidad de error de ",DB365,"% para la ",DB363," ",DB364," y ",DC365,"% para la ",DC363," ",DC364,", ",DE364,DF364, " por tal motivo se procederá a utilizar ",DG364,".")</f>
        <v>0</v>
      </c>
      <c r="DM12" s="12"/>
      <c r="DN12" s="12"/>
      <c r="DO12" s="42" t="str">
        <f>DB3</f>
        <v>0</v>
      </c>
      <c r="DP12" s="42" t="str">
        <f>DC3</f>
        <v>0</v>
      </c>
      <c r="DR12" s="12"/>
      <c r="DS12" s="12"/>
      <c r="DT12" s="12"/>
      <c r="DU12" s="42" t="str">
        <f>DB3</f>
        <v>0</v>
      </c>
      <c r="DV12" s="42" t="str">
        <f>DC3</f>
        <v>0</v>
      </c>
      <c r="DX12" s="49"/>
      <c r="DZ12" t="str">
        <f>('Inteligencia emocional'!A13)</f>
        <v>0</v>
      </c>
      <c r="EA12" s="39" t="str">
        <f>'Por Valoracion (3) Dimension 2'!F12</f>
        <v>0</v>
      </c>
      <c r="EB12" s="39" t="str">
        <f>'Por Valoracion (3) Dimension'!H12</f>
        <v>0</v>
      </c>
      <c r="ED12" s="27" t="str">
        <f>CONCATENATE("en la ",ED4," y basándose en la prueba de ",EC364," se puede observar que, ","con una probabilidad de error de ",EA365,"% para la ",EA363," ",EA364," y ",EB365,"% para la ",EB363," ",EB364,", ",ED364,EE364, " por tal motivo se procederá a utilizar ",EF364,".")</f>
        <v>0</v>
      </c>
      <c r="EL12" s="12"/>
      <c r="EM12" s="12"/>
      <c r="EN12" s="42" t="str">
        <f>EA3</f>
        <v>0</v>
      </c>
      <c r="EO12" s="42" t="str">
        <f>EB3</f>
        <v>0</v>
      </c>
      <c r="EQ12" s="12"/>
      <c r="ER12" s="12"/>
      <c r="ES12" s="12"/>
      <c r="ET12" s="42" t="str">
        <f>EA3</f>
        <v>0</v>
      </c>
      <c r="EU12" s="42" t="str">
        <f>EB3</f>
        <v>0</v>
      </c>
      <c r="EW12" s="49"/>
      <c r="EY12" t="str">
        <f>('Inteligencia emocional'!A13)</f>
        <v>0</v>
      </c>
      <c r="EZ12" s="39" t="str">
        <f>'Por Valoracion (3) Dimension 2'!H12</f>
        <v>0</v>
      </c>
      <c r="FA12" s="39" t="str">
        <f>'Por Valoracion (3) Dimension'!H12</f>
        <v>0</v>
      </c>
      <c r="FC12" s="27" t="str">
        <f>CONCATENATE("en la ",FC4," y basándose en la prueba de ",FB364," se puede observar que, ","con una probabilidad de error de ",EZ365,"% para la ",EZ363," ",EZ364," y ",FA365,"% para la ",FA363," ",FA364,", ",FC364,FD364, " por tal motivo se procederá a utilizar ",FE364,".")</f>
        <v>0</v>
      </c>
      <c r="FK12" s="12"/>
      <c r="FL12" s="12"/>
      <c r="FM12" s="42" t="str">
        <f>EZ3</f>
        <v>0</v>
      </c>
      <c r="FN12" s="42" t="str">
        <f>FA3</f>
        <v>0</v>
      </c>
      <c r="FP12" s="12"/>
      <c r="FQ12" s="12"/>
      <c r="FR12" s="12"/>
      <c r="FS12" s="42" t="str">
        <f>EZ3</f>
        <v>0</v>
      </c>
      <c r="FT12" s="42" t="str">
        <f>FA3</f>
        <v>0</v>
      </c>
      <c r="FV12" s="49"/>
    </row>
    <row r="13" spans="1:178">
      <c r="A13" s="48"/>
      <c r="C13" t="str">
        <f>('Inteligencia emocional'!A14)</f>
        <v>0</v>
      </c>
      <c r="D13" s="39" t="str">
        <f>'Por Valoracion (3) Dimension'!B13</f>
        <v>0</v>
      </c>
      <c r="E13" s="39" t="str">
        <f>'Por Valoracion (3) Dimension 2'!J13</f>
        <v>0</v>
      </c>
      <c r="O13" s="41" t="str">
        <f>D3</f>
        <v>0</v>
      </c>
      <c r="P13" s="44" t="s">
        <v>646</v>
      </c>
      <c r="T13" s="44" t="s">
        <v>647</v>
      </c>
      <c r="U13" s="41" t="str">
        <f>D3</f>
        <v>0</v>
      </c>
      <c r="V13" s="44" t="s">
        <v>648</v>
      </c>
      <c r="Z13" s="48"/>
      <c r="AB13" t="str">
        <f>('Inteligencia emocional'!A14)</f>
        <v>0</v>
      </c>
      <c r="AC13" s="39" t="str">
        <f>'Por Valoracion (3) Dimension'!D13</f>
        <v>0</v>
      </c>
      <c r="AD13" s="39" t="str">
        <f>'Por Valoracion (3) Dimension 2'!J13</f>
        <v>0</v>
      </c>
      <c r="AN13" s="41" t="str">
        <f>AC3</f>
        <v>0</v>
      </c>
      <c r="AO13" s="44" t="s">
        <v>646</v>
      </c>
      <c r="AS13" s="44" t="s">
        <v>647</v>
      </c>
      <c r="AT13" s="41" t="str">
        <f>AC3</f>
        <v>0</v>
      </c>
      <c r="AU13" s="44" t="s">
        <v>648</v>
      </c>
      <c r="AY13" s="48"/>
      <c r="BA13" t="str">
        <f>('Inteligencia emocional'!A14)</f>
        <v>0</v>
      </c>
      <c r="BB13" s="39" t="str">
        <f>'Por Valoracion (3) Dimension'!F13</f>
        <v>0</v>
      </c>
      <c r="BC13" s="39" t="str">
        <f>'Por Valoracion (3) Dimension 2'!J13</f>
        <v>0</v>
      </c>
      <c r="BM13" s="41" t="str">
        <f>BB3</f>
        <v>0</v>
      </c>
      <c r="BN13" s="44" t="s">
        <v>646</v>
      </c>
      <c r="BR13" s="44" t="s">
        <v>647</v>
      </c>
      <c r="BS13" s="41" t="str">
        <f>BB3</f>
        <v>0</v>
      </c>
      <c r="BT13" s="44" t="s">
        <v>648</v>
      </c>
      <c r="BX13" s="48"/>
      <c r="BZ13" s="49"/>
      <c r="CB13" t="str">
        <f>('Inteligencia emocional'!A14)</f>
        <v>0</v>
      </c>
      <c r="CC13" s="39" t="str">
        <f>'Por Valoracion (3) Dimension 2'!B13</f>
        <v>0</v>
      </c>
      <c r="CD13" s="39" t="str">
        <f>'Por Valoracion (3) Dimension'!H13</f>
        <v>0</v>
      </c>
      <c r="CN13" s="41" t="str">
        <f>CC3</f>
        <v>0</v>
      </c>
      <c r="CO13" s="44" t="s">
        <v>646</v>
      </c>
      <c r="CS13" s="44" t="s">
        <v>647</v>
      </c>
      <c r="CT13" s="41" t="str">
        <f>CC3</f>
        <v>0</v>
      </c>
      <c r="CU13" s="44" t="s">
        <v>648</v>
      </c>
      <c r="CY13" s="49"/>
      <c r="DA13" t="str">
        <f>('Inteligencia emocional'!A14)</f>
        <v>0</v>
      </c>
      <c r="DB13" s="39" t="str">
        <f>'Por Valoracion (3) Dimension 2'!D13</f>
        <v>0</v>
      </c>
      <c r="DC13" s="39" t="str">
        <f>'Por Valoracion (3) Dimension'!H13</f>
        <v>0</v>
      </c>
      <c r="DM13" s="41" t="str">
        <f>DB3</f>
        <v>0</v>
      </c>
      <c r="DN13" s="44" t="s">
        <v>646</v>
      </c>
      <c r="DR13" s="44" t="s">
        <v>647</v>
      </c>
      <c r="DS13" s="41" t="str">
        <f>DB3</f>
        <v>0</v>
      </c>
      <c r="DT13" s="44" t="s">
        <v>648</v>
      </c>
      <c r="DX13" s="49"/>
      <c r="DZ13" t="str">
        <f>('Inteligencia emocional'!A14)</f>
        <v>0</v>
      </c>
      <c r="EA13" s="39" t="str">
        <f>'Por Valoracion (3) Dimension 2'!F13</f>
        <v>0</v>
      </c>
      <c r="EB13" s="39" t="str">
        <f>'Por Valoracion (3) Dimension'!H13</f>
        <v>0</v>
      </c>
      <c r="EL13" s="41" t="str">
        <f>EA3</f>
        <v>0</v>
      </c>
      <c r="EM13" s="44" t="s">
        <v>646</v>
      </c>
      <c r="EQ13" s="44" t="s">
        <v>647</v>
      </c>
      <c r="ER13" s="41" t="str">
        <f>EA3</f>
        <v>0</v>
      </c>
      <c r="ES13" s="44" t="s">
        <v>648</v>
      </c>
      <c r="EW13" s="49"/>
      <c r="EY13" t="str">
        <f>('Inteligencia emocional'!A14)</f>
        <v>0</v>
      </c>
      <c r="EZ13" s="39" t="str">
        <f>'Por Valoracion (3) Dimension 2'!H13</f>
        <v>0</v>
      </c>
      <c r="FA13" s="39" t="str">
        <f>'Por Valoracion (3) Dimension'!H13</f>
        <v>0</v>
      </c>
      <c r="FK13" s="41" t="str">
        <f>EZ3</f>
        <v>0</v>
      </c>
      <c r="FL13" s="44" t="s">
        <v>646</v>
      </c>
      <c r="FP13" s="44" t="s">
        <v>647</v>
      </c>
      <c r="FQ13" s="41" t="str">
        <f>EZ3</f>
        <v>0</v>
      </c>
      <c r="FR13" s="44" t="s">
        <v>648</v>
      </c>
      <c r="FV13" s="49"/>
    </row>
    <row r="14" spans="1:178">
      <c r="A14" s="48"/>
      <c r="C14" t="str">
        <f>('Inteligencia emocional'!A15)</f>
        <v>0</v>
      </c>
      <c r="D14" s="39" t="str">
        <f>'Por Valoracion (3) Dimension'!B14</f>
        <v>0</v>
      </c>
      <c r="E14" s="39" t="str">
        <f>'Por Valoracion (3) Dimension 2'!J14</f>
        <v>0</v>
      </c>
      <c r="P14" s="44" t="s">
        <v>649</v>
      </c>
      <c r="V14" s="44" t="s">
        <v>649</v>
      </c>
      <c r="Z14" s="48"/>
      <c r="AB14" t="str">
        <f>('Inteligencia emocional'!A15)</f>
        <v>0</v>
      </c>
      <c r="AC14" s="39" t="str">
        <f>'Por Valoracion (3) Dimension'!D14</f>
        <v>0</v>
      </c>
      <c r="AD14" s="39" t="str">
        <f>'Por Valoracion (3) Dimension 2'!J14</f>
        <v>0</v>
      </c>
      <c r="AO14" s="44" t="s">
        <v>649</v>
      </c>
      <c r="AU14" s="44" t="s">
        <v>649</v>
      </c>
      <c r="AY14" s="48"/>
      <c r="BA14" t="str">
        <f>('Inteligencia emocional'!A15)</f>
        <v>0</v>
      </c>
      <c r="BB14" s="39" t="str">
        <f>'Por Valoracion (3) Dimension'!F14</f>
        <v>0</v>
      </c>
      <c r="BC14" s="39" t="str">
        <f>'Por Valoracion (3) Dimension 2'!J14</f>
        <v>0</v>
      </c>
      <c r="BN14" s="44" t="s">
        <v>649</v>
      </c>
      <c r="BT14" s="44" t="s">
        <v>649</v>
      </c>
      <c r="BX14" s="48"/>
      <c r="BZ14" s="49"/>
      <c r="CB14" t="str">
        <f>('Inteligencia emocional'!A15)</f>
        <v>0</v>
      </c>
      <c r="CC14" s="39" t="str">
        <f>'Por Valoracion (3) Dimension 2'!B14</f>
        <v>0</v>
      </c>
      <c r="CD14" s="39" t="str">
        <f>'Por Valoracion (3) Dimension'!H14</f>
        <v>0</v>
      </c>
      <c r="CO14" s="44" t="s">
        <v>649</v>
      </c>
      <c r="CU14" s="44" t="s">
        <v>649</v>
      </c>
      <c r="CY14" s="49"/>
      <c r="DA14" t="str">
        <f>('Inteligencia emocional'!A15)</f>
        <v>0</v>
      </c>
      <c r="DB14" s="39" t="str">
        <f>'Por Valoracion (3) Dimension 2'!D14</f>
        <v>0</v>
      </c>
      <c r="DC14" s="39" t="str">
        <f>'Por Valoracion (3) Dimension'!H14</f>
        <v>0</v>
      </c>
      <c r="DN14" s="44" t="s">
        <v>649</v>
      </c>
      <c r="DT14" s="44" t="s">
        <v>649</v>
      </c>
      <c r="DX14" s="49"/>
      <c r="DZ14" t="str">
        <f>('Inteligencia emocional'!A15)</f>
        <v>0</v>
      </c>
      <c r="EA14" s="39" t="str">
        <f>'Por Valoracion (3) Dimension 2'!F14</f>
        <v>0</v>
      </c>
      <c r="EB14" s="39" t="str">
        <f>'Por Valoracion (3) Dimension'!H14</f>
        <v>0</v>
      </c>
      <c r="EM14" s="44" t="s">
        <v>649</v>
      </c>
      <c r="ES14" s="44" t="s">
        <v>649</v>
      </c>
      <c r="EW14" s="49"/>
      <c r="EY14" t="str">
        <f>('Inteligencia emocional'!A15)</f>
        <v>0</v>
      </c>
      <c r="EZ14" s="39" t="str">
        <f>'Por Valoracion (3) Dimension 2'!H14</f>
        <v>0</v>
      </c>
      <c r="FA14" s="39" t="str">
        <f>'Por Valoracion (3) Dimension'!H14</f>
        <v>0</v>
      </c>
      <c r="FL14" s="44" t="s">
        <v>649</v>
      </c>
      <c r="FR14" s="44" t="s">
        <v>649</v>
      </c>
      <c r="FV14" s="49"/>
    </row>
    <row r="15" spans="1:178">
      <c r="A15" s="48"/>
      <c r="C15" t="str">
        <f>('Inteligencia emocional'!A16)</f>
        <v>0</v>
      </c>
      <c r="D15" s="39" t="str">
        <f>'Por Valoracion (3) Dimension'!B15</f>
        <v>0</v>
      </c>
      <c r="E15" s="39" t="str">
        <f>'Por Valoracion (3) Dimension 2'!J15</f>
        <v>0</v>
      </c>
      <c r="P15" s="44" t="s">
        <v>650</v>
      </c>
      <c r="V15" s="44" t="s">
        <v>650</v>
      </c>
      <c r="Z15" s="48"/>
      <c r="AB15" t="str">
        <f>('Inteligencia emocional'!A16)</f>
        <v>0</v>
      </c>
      <c r="AC15" s="39" t="str">
        <f>'Por Valoracion (3) Dimension'!D15</f>
        <v>0</v>
      </c>
      <c r="AD15" s="39" t="str">
        <f>'Por Valoracion (3) Dimension 2'!J15</f>
        <v>0</v>
      </c>
      <c r="AO15" s="44" t="s">
        <v>650</v>
      </c>
      <c r="AU15" s="44" t="s">
        <v>650</v>
      </c>
      <c r="AY15" s="48"/>
      <c r="BA15" t="str">
        <f>('Inteligencia emocional'!A16)</f>
        <v>0</v>
      </c>
      <c r="BB15" s="39" t="str">
        <f>'Por Valoracion (3) Dimension'!F15</f>
        <v>0</v>
      </c>
      <c r="BC15" s="39" t="str">
        <f>'Por Valoracion (3) Dimension 2'!J15</f>
        <v>0</v>
      </c>
      <c r="BN15" s="44" t="s">
        <v>650</v>
      </c>
      <c r="BT15" s="44" t="s">
        <v>650</v>
      </c>
      <c r="BX15" s="48"/>
      <c r="BZ15" s="49"/>
      <c r="CB15" t="str">
        <f>('Inteligencia emocional'!A16)</f>
        <v>0</v>
      </c>
      <c r="CC15" s="39" t="str">
        <f>'Por Valoracion (3) Dimension 2'!B15</f>
        <v>0</v>
      </c>
      <c r="CD15" s="39" t="str">
        <f>'Por Valoracion (3) Dimension'!H15</f>
        <v>0</v>
      </c>
      <c r="CO15" s="44" t="s">
        <v>650</v>
      </c>
      <c r="CU15" s="44" t="s">
        <v>650</v>
      </c>
      <c r="CY15" s="49"/>
      <c r="DA15" t="str">
        <f>('Inteligencia emocional'!A16)</f>
        <v>0</v>
      </c>
      <c r="DB15" s="39" t="str">
        <f>'Por Valoracion (3) Dimension 2'!D15</f>
        <v>0</v>
      </c>
      <c r="DC15" s="39" t="str">
        <f>'Por Valoracion (3) Dimension'!H15</f>
        <v>0</v>
      </c>
      <c r="DN15" s="44" t="s">
        <v>650</v>
      </c>
      <c r="DT15" s="44" t="s">
        <v>650</v>
      </c>
      <c r="DX15" s="49"/>
      <c r="DZ15" t="str">
        <f>('Inteligencia emocional'!A16)</f>
        <v>0</v>
      </c>
      <c r="EA15" s="39" t="str">
        <f>'Por Valoracion (3) Dimension 2'!F15</f>
        <v>0</v>
      </c>
      <c r="EB15" s="39" t="str">
        <f>'Por Valoracion (3) Dimension'!H15</f>
        <v>0</v>
      </c>
      <c r="EM15" s="44" t="s">
        <v>650</v>
      </c>
      <c r="ES15" s="44" t="s">
        <v>650</v>
      </c>
      <c r="EW15" s="49"/>
      <c r="EY15" t="str">
        <f>('Inteligencia emocional'!A16)</f>
        <v>0</v>
      </c>
      <c r="EZ15" s="39" t="str">
        <f>'Por Valoracion (3) Dimension 2'!H15</f>
        <v>0</v>
      </c>
      <c r="FA15" s="39" t="str">
        <f>'Por Valoracion (3) Dimension'!H15</f>
        <v>0</v>
      </c>
      <c r="FL15" s="44" t="s">
        <v>650</v>
      </c>
      <c r="FR15" s="44" t="s">
        <v>650</v>
      </c>
      <c r="FV15" s="49"/>
    </row>
    <row r="16" spans="1:178">
      <c r="A16" s="48"/>
      <c r="C16" t="str">
        <f>('Inteligencia emocional'!A17)</f>
        <v>0</v>
      </c>
      <c r="D16" s="39" t="str">
        <f>'Por Valoracion (3) Dimension'!B16</f>
        <v>0</v>
      </c>
      <c r="E16" s="39" t="str">
        <f>'Por Valoracion (3) Dimension 2'!J16</f>
        <v>0</v>
      </c>
      <c r="O16" s="41" t="str">
        <f>E3</f>
        <v>0</v>
      </c>
      <c r="P16" s="44" t="s">
        <v>646</v>
      </c>
      <c r="U16" s="41" t="str">
        <f>E3</f>
        <v>0</v>
      </c>
      <c r="V16" s="44" t="s">
        <v>648</v>
      </c>
      <c r="Z16" s="48"/>
      <c r="AB16" t="str">
        <f>('Inteligencia emocional'!A17)</f>
        <v>0</v>
      </c>
      <c r="AC16" s="39" t="str">
        <f>'Por Valoracion (3) Dimension'!D16</f>
        <v>0</v>
      </c>
      <c r="AD16" s="39" t="str">
        <f>'Por Valoracion (3) Dimension 2'!J16</f>
        <v>0</v>
      </c>
      <c r="AN16" s="41" t="str">
        <f>AD3</f>
        <v>0</v>
      </c>
      <c r="AO16" s="44" t="s">
        <v>646</v>
      </c>
      <c r="AT16" s="41" t="str">
        <f>AD3</f>
        <v>0</v>
      </c>
      <c r="AU16" s="44" t="s">
        <v>648</v>
      </c>
      <c r="AY16" s="48"/>
      <c r="BA16" t="str">
        <f>('Inteligencia emocional'!A17)</f>
        <v>0</v>
      </c>
      <c r="BB16" s="39" t="str">
        <f>'Por Valoracion (3) Dimension'!F16</f>
        <v>0</v>
      </c>
      <c r="BC16" s="39" t="str">
        <f>'Por Valoracion (3) Dimension 2'!J16</f>
        <v>0</v>
      </c>
      <c r="BM16" s="41" t="str">
        <f>BC3</f>
        <v>0</v>
      </c>
      <c r="BN16" s="44" t="s">
        <v>646</v>
      </c>
      <c r="BS16" s="41" t="str">
        <f>BC3</f>
        <v>0</v>
      </c>
      <c r="BT16" s="44" t="s">
        <v>648</v>
      </c>
      <c r="BX16" s="48"/>
      <c r="BZ16" s="49"/>
      <c r="CB16" t="str">
        <f>('Inteligencia emocional'!A17)</f>
        <v>0</v>
      </c>
      <c r="CC16" s="39" t="str">
        <f>'Por Valoracion (3) Dimension 2'!B16</f>
        <v>0</v>
      </c>
      <c r="CD16" s="39" t="str">
        <f>'Por Valoracion (3) Dimension'!H16</f>
        <v>0</v>
      </c>
      <c r="CN16" s="41" t="str">
        <f>CD3</f>
        <v>0</v>
      </c>
      <c r="CO16" s="44" t="s">
        <v>646</v>
      </c>
      <c r="CT16" s="41" t="str">
        <f>CD3</f>
        <v>0</v>
      </c>
      <c r="CU16" s="44" t="s">
        <v>648</v>
      </c>
      <c r="CY16" s="49"/>
      <c r="DA16" t="str">
        <f>('Inteligencia emocional'!A17)</f>
        <v>0</v>
      </c>
      <c r="DB16" s="39" t="str">
        <f>'Por Valoracion (3) Dimension 2'!D16</f>
        <v>0</v>
      </c>
      <c r="DC16" s="39" t="str">
        <f>'Por Valoracion (3) Dimension'!H16</f>
        <v>0</v>
      </c>
      <c r="DM16" s="41" t="str">
        <f>DC3</f>
        <v>0</v>
      </c>
      <c r="DN16" s="44" t="s">
        <v>646</v>
      </c>
      <c r="DS16" s="41" t="str">
        <f>DC3</f>
        <v>0</v>
      </c>
      <c r="DT16" s="44" t="s">
        <v>648</v>
      </c>
      <c r="DX16" s="49"/>
      <c r="DZ16" t="str">
        <f>('Inteligencia emocional'!A17)</f>
        <v>0</v>
      </c>
      <c r="EA16" s="39" t="str">
        <f>'Por Valoracion (3) Dimension 2'!F16</f>
        <v>0</v>
      </c>
      <c r="EB16" s="39" t="str">
        <f>'Por Valoracion (3) Dimension'!H16</f>
        <v>0</v>
      </c>
      <c r="EL16" s="41" t="str">
        <f>EB3</f>
        <v>0</v>
      </c>
      <c r="EM16" s="44" t="s">
        <v>646</v>
      </c>
      <c r="ER16" s="41" t="str">
        <f>EB3</f>
        <v>0</v>
      </c>
      <c r="ES16" s="44" t="s">
        <v>648</v>
      </c>
      <c r="EW16" s="49"/>
      <c r="EY16" t="str">
        <f>('Inteligencia emocional'!A17)</f>
        <v>0</v>
      </c>
      <c r="EZ16" s="39" t="str">
        <f>'Por Valoracion (3) Dimension 2'!H16</f>
        <v>0</v>
      </c>
      <c r="FA16" s="39" t="str">
        <f>'Por Valoracion (3) Dimension'!H16</f>
        <v>0</v>
      </c>
      <c r="FK16" s="41" t="str">
        <f>FA3</f>
        <v>0</v>
      </c>
      <c r="FL16" s="44" t="s">
        <v>646</v>
      </c>
      <c r="FQ16" s="41" t="str">
        <f>FA3</f>
        <v>0</v>
      </c>
      <c r="FR16" s="44" t="s">
        <v>648</v>
      </c>
      <c r="FV16" s="49"/>
    </row>
    <row r="17" spans="1:178">
      <c r="A17" s="48"/>
      <c r="C17" t="str">
        <f>('Inteligencia emocional'!A18)</f>
        <v>0</v>
      </c>
      <c r="D17" s="39" t="str">
        <f>'Por Valoracion (3) Dimension'!B17</f>
        <v>0</v>
      </c>
      <c r="E17" s="39" t="str">
        <f>'Por Valoracion (3) Dimension 2'!J17</f>
        <v>0</v>
      </c>
      <c r="P17" s="44" t="s">
        <v>649</v>
      </c>
      <c r="V17" s="44" t="s">
        <v>649</v>
      </c>
      <c r="Z17" s="48"/>
      <c r="AB17" t="str">
        <f>('Inteligencia emocional'!A18)</f>
        <v>0</v>
      </c>
      <c r="AC17" s="39" t="str">
        <f>'Por Valoracion (3) Dimension'!D17</f>
        <v>0</v>
      </c>
      <c r="AD17" s="39" t="str">
        <f>'Por Valoracion (3) Dimension 2'!J17</f>
        <v>0</v>
      </c>
      <c r="AO17" s="44" t="s">
        <v>649</v>
      </c>
      <c r="AU17" s="44" t="s">
        <v>649</v>
      </c>
      <c r="AY17" s="48"/>
      <c r="BA17" t="str">
        <f>('Inteligencia emocional'!A18)</f>
        <v>0</v>
      </c>
      <c r="BB17" s="39" t="str">
        <f>'Por Valoracion (3) Dimension'!F17</f>
        <v>0</v>
      </c>
      <c r="BC17" s="39" t="str">
        <f>'Por Valoracion (3) Dimension 2'!J17</f>
        <v>0</v>
      </c>
      <c r="BN17" s="44" t="s">
        <v>649</v>
      </c>
      <c r="BT17" s="44" t="s">
        <v>649</v>
      </c>
      <c r="BX17" s="48"/>
      <c r="BZ17" s="49"/>
      <c r="CB17" t="str">
        <f>('Inteligencia emocional'!A18)</f>
        <v>0</v>
      </c>
      <c r="CC17" s="39" t="str">
        <f>'Por Valoracion (3) Dimension 2'!B17</f>
        <v>0</v>
      </c>
      <c r="CD17" s="39" t="str">
        <f>'Por Valoracion (3) Dimension'!H17</f>
        <v>0</v>
      </c>
      <c r="CO17" s="44" t="s">
        <v>649</v>
      </c>
      <c r="CU17" s="44" t="s">
        <v>649</v>
      </c>
      <c r="CY17" s="49"/>
      <c r="DA17" t="str">
        <f>('Inteligencia emocional'!A18)</f>
        <v>0</v>
      </c>
      <c r="DB17" s="39" t="str">
        <f>'Por Valoracion (3) Dimension 2'!D17</f>
        <v>0</v>
      </c>
      <c r="DC17" s="39" t="str">
        <f>'Por Valoracion (3) Dimension'!H17</f>
        <v>0</v>
      </c>
      <c r="DN17" s="44" t="s">
        <v>649</v>
      </c>
      <c r="DT17" s="44" t="s">
        <v>649</v>
      </c>
      <c r="DX17" s="49"/>
      <c r="DZ17" t="str">
        <f>('Inteligencia emocional'!A18)</f>
        <v>0</v>
      </c>
      <c r="EA17" s="39" t="str">
        <f>'Por Valoracion (3) Dimension 2'!F17</f>
        <v>0</v>
      </c>
      <c r="EB17" s="39" t="str">
        <f>'Por Valoracion (3) Dimension'!H17</f>
        <v>0</v>
      </c>
      <c r="EM17" s="44" t="s">
        <v>649</v>
      </c>
      <c r="ES17" s="44" t="s">
        <v>649</v>
      </c>
      <c r="EW17" s="49"/>
      <c r="EY17" t="str">
        <f>('Inteligencia emocional'!A18)</f>
        <v>0</v>
      </c>
      <c r="EZ17" s="39" t="str">
        <f>'Por Valoracion (3) Dimension 2'!H17</f>
        <v>0</v>
      </c>
      <c r="FA17" s="39" t="str">
        <f>'Por Valoracion (3) Dimension'!H17</f>
        <v>0</v>
      </c>
      <c r="FL17" s="44" t="s">
        <v>649</v>
      </c>
      <c r="FR17" s="44" t="s">
        <v>649</v>
      </c>
      <c r="FV17" s="49"/>
    </row>
    <row r="18" spans="1:178">
      <c r="A18" s="48"/>
      <c r="C18" t="str">
        <f>('Inteligencia emocional'!A19)</f>
        <v>0</v>
      </c>
      <c r="D18" s="39" t="str">
        <f>'Por Valoracion (3) Dimension'!B18</f>
        <v>0</v>
      </c>
      <c r="E18" s="39" t="str">
        <f>'Por Valoracion (3) Dimension 2'!J18</f>
        <v>0</v>
      </c>
      <c r="O18" s="12"/>
      <c r="P18" s="43" t="s">
        <v>650</v>
      </c>
      <c r="Q18" s="12"/>
      <c r="R18" s="12"/>
      <c r="T18" s="12"/>
      <c r="U18" s="12"/>
      <c r="V18" s="43" t="s">
        <v>650</v>
      </c>
      <c r="W18" s="12"/>
      <c r="X18" s="12"/>
      <c r="Z18" s="48"/>
      <c r="AB18" t="str">
        <f>('Inteligencia emocional'!A19)</f>
        <v>0</v>
      </c>
      <c r="AC18" s="39" t="str">
        <f>'Por Valoracion (3) Dimension'!D18</f>
        <v>0</v>
      </c>
      <c r="AD18" s="39" t="str">
        <f>'Por Valoracion (3) Dimension 2'!J18</f>
        <v>0</v>
      </c>
      <c r="AN18" s="12"/>
      <c r="AO18" s="43" t="s">
        <v>650</v>
      </c>
      <c r="AP18" s="12"/>
      <c r="AQ18" s="12"/>
      <c r="AS18" s="12"/>
      <c r="AT18" s="12"/>
      <c r="AU18" s="43" t="s">
        <v>650</v>
      </c>
      <c r="AV18" s="12"/>
      <c r="AW18" s="12"/>
      <c r="AY18" s="48"/>
      <c r="BA18" t="str">
        <f>('Inteligencia emocional'!A19)</f>
        <v>0</v>
      </c>
      <c r="BB18" s="39" t="str">
        <f>'Por Valoracion (3) Dimension'!F18</f>
        <v>0</v>
      </c>
      <c r="BC18" s="39" t="str">
        <f>'Por Valoracion (3) Dimension 2'!J18</f>
        <v>0</v>
      </c>
      <c r="BM18" s="12"/>
      <c r="BN18" s="43" t="s">
        <v>650</v>
      </c>
      <c r="BO18" s="12"/>
      <c r="BP18" s="12"/>
      <c r="BR18" s="12"/>
      <c r="BS18" s="12"/>
      <c r="BT18" s="43" t="s">
        <v>650</v>
      </c>
      <c r="BU18" s="12"/>
      <c r="BV18" s="12"/>
      <c r="BX18" s="48"/>
      <c r="BZ18" s="49"/>
      <c r="CB18" t="str">
        <f>('Inteligencia emocional'!A19)</f>
        <v>0</v>
      </c>
      <c r="CC18" s="39" t="str">
        <f>'Por Valoracion (3) Dimension 2'!B18</f>
        <v>0</v>
      </c>
      <c r="CD18" s="39" t="str">
        <f>'Por Valoracion (3) Dimension'!H18</f>
        <v>0</v>
      </c>
      <c r="CN18" s="12"/>
      <c r="CO18" s="43" t="s">
        <v>650</v>
      </c>
      <c r="CP18" s="12"/>
      <c r="CQ18" s="12"/>
      <c r="CS18" s="12"/>
      <c r="CT18" s="12"/>
      <c r="CU18" s="43" t="s">
        <v>650</v>
      </c>
      <c r="CV18" s="12"/>
      <c r="CW18" s="12"/>
      <c r="CY18" s="49"/>
      <c r="DA18" t="str">
        <f>('Inteligencia emocional'!A19)</f>
        <v>0</v>
      </c>
      <c r="DB18" s="39" t="str">
        <f>'Por Valoracion (3) Dimension 2'!D18</f>
        <v>0</v>
      </c>
      <c r="DC18" s="39" t="str">
        <f>'Por Valoracion (3) Dimension'!H18</f>
        <v>0</v>
      </c>
      <c r="DM18" s="12"/>
      <c r="DN18" s="43" t="s">
        <v>650</v>
      </c>
      <c r="DO18" s="12"/>
      <c r="DP18" s="12"/>
      <c r="DR18" s="12"/>
      <c r="DS18" s="12"/>
      <c r="DT18" s="43" t="s">
        <v>650</v>
      </c>
      <c r="DU18" s="12"/>
      <c r="DV18" s="12"/>
      <c r="DX18" s="49"/>
      <c r="DZ18" t="str">
        <f>('Inteligencia emocional'!A19)</f>
        <v>0</v>
      </c>
      <c r="EA18" s="39" t="str">
        <f>'Por Valoracion (3) Dimension 2'!F18</f>
        <v>0</v>
      </c>
      <c r="EB18" s="39" t="str">
        <f>'Por Valoracion (3) Dimension'!H18</f>
        <v>0</v>
      </c>
      <c r="EL18" s="12"/>
      <c r="EM18" s="43" t="s">
        <v>650</v>
      </c>
      <c r="EN18" s="12"/>
      <c r="EO18" s="12"/>
      <c r="EQ18" s="12"/>
      <c r="ER18" s="12"/>
      <c r="ES18" s="43" t="s">
        <v>650</v>
      </c>
      <c r="ET18" s="12"/>
      <c r="EU18" s="12"/>
      <c r="EW18" s="49"/>
      <c r="EY18" t="str">
        <f>('Inteligencia emocional'!A19)</f>
        <v>0</v>
      </c>
      <c r="EZ18" s="39" t="str">
        <f>'Por Valoracion (3) Dimension 2'!H18</f>
        <v>0</v>
      </c>
      <c r="FA18" s="39" t="str">
        <f>'Por Valoracion (3) Dimension'!H18</f>
        <v>0</v>
      </c>
      <c r="FK18" s="12"/>
      <c r="FL18" s="43" t="s">
        <v>650</v>
      </c>
      <c r="FM18" s="12"/>
      <c r="FN18" s="12"/>
      <c r="FP18" s="12"/>
      <c r="FQ18" s="12"/>
      <c r="FR18" s="43" t="s">
        <v>650</v>
      </c>
      <c r="FS18" s="12"/>
      <c r="FT18" s="12"/>
      <c r="FV18" s="49"/>
    </row>
    <row r="19" spans="1:178">
      <c r="A19" s="48"/>
      <c r="C19" t="str">
        <f>('Inteligencia emocional'!A20)</f>
        <v>0</v>
      </c>
      <c r="D19" s="39" t="str">
        <f>'Por Valoracion (3) Dimension'!B19</f>
        <v>0</v>
      </c>
      <c r="E19" s="39" t="str">
        <f>'Por Valoracion (3) Dimension 2'!J19</f>
        <v>0</v>
      </c>
      <c r="O19" s="41" t="s">
        <v>651</v>
      </c>
      <c r="T19" s="41" t="s">
        <v>651</v>
      </c>
      <c r="Z19" s="48"/>
      <c r="AB19" t="str">
        <f>('Inteligencia emocional'!A20)</f>
        <v>0</v>
      </c>
      <c r="AC19" s="39" t="str">
        <f>'Por Valoracion (3) Dimension'!D19</f>
        <v>0</v>
      </c>
      <c r="AD19" s="39" t="str">
        <f>'Por Valoracion (3) Dimension 2'!J19</f>
        <v>0</v>
      </c>
      <c r="AN19" s="41" t="s">
        <v>651</v>
      </c>
      <c r="AS19" s="41" t="s">
        <v>651</v>
      </c>
      <c r="AY19" s="48"/>
      <c r="BA19" t="str">
        <f>('Inteligencia emocional'!A20)</f>
        <v>0</v>
      </c>
      <c r="BB19" s="39" t="str">
        <f>'Por Valoracion (3) Dimension'!F19</f>
        <v>0</v>
      </c>
      <c r="BC19" s="39" t="str">
        <f>'Por Valoracion (3) Dimension 2'!J19</f>
        <v>0</v>
      </c>
      <c r="BM19" s="41" t="s">
        <v>651</v>
      </c>
      <c r="BR19" s="41" t="s">
        <v>651</v>
      </c>
      <c r="BX19" s="48"/>
      <c r="BZ19" s="49"/>
      <c r="CB19" t="str">
        <f>('Inteligencia emocional'!A20)</f>
        <v>0</v>
      </c>
      <c r="CC19" s="39" t="str">
        <f>'Por Valoracion (3) Dimension 2'!B19</f>
        <v>0</v>
      </c>
      <c r="CD19" s="39" t="str">
        <f>'Por Valoracion (3) Dimension'!H19</f>
        <v>0</v>
      </c>
      <c r="CN19" s="41" t="s">
        <v>651</v>
      </c>
      <c r="CS19" s="41" t="s">
        <v>651</v>
      </c>
      <c r="CY19" s="49"/>
      <c r="DA19" t="str">
        <f>('Inteligencia emocional'!A20)</f>
        <v>0</v>
      </c>
      <c r="DB19" s="39" t="str">
        <f>'Por Valoracion (3) Dimension 2'!D19</f>
        <v>0</v>
      </c>
      <c r="DC19" s="39" t="str">
        <f>'Por Valoracion (3) Dimension'!H19</f>
        <v>0</v>
      </c>
      <c r="DM19" s="41" t="s">
        <v>651</v>
      </c>
      <c r="DR19" s="41" t="s">
        <v>651</v>
      </c>
      <c r="DX19" s="49"/>
      <c r="DZ19" t="str">
        <f>('Inteligencia emocional'!A20)</f>
        <v>0</v>
      </c>
      <c r="EA19" s="39" t="str">
        <f>'Por Valoracion (3) Dimension 2'!F19</f>
        <v>0</v>
      </c>
      <c r="EB19" s="39" t="str">
        <f>'Por Valoracion (3) Dimension'!H19</f>
        <v>0</v>
      </c>
      <c r="EL19" s="41" t="s">
        <v>651</v>
      </c>
      <c r="EQ19" s="41" t="s">
        <v>651</v>
      </c>
      <c r="EW19" s="49"/>
      <c r="EY19" t="str">
        <f>('Inteligencia emocional'!A20)</f>
        <v>0</v>
      </c>
      <c r="EZ19" s="39" t="str">
        <f>'Por Valoracion (3) Dimension 2'!H19</f>
        <v>0</v>
      </c>
      <c r="FA19" s="39" t="str">
        <f>'Por Valoracion (3) Dimension'!H19</f>
        <v>0</v>
      </c>
      <c r="FK19" s="41" t="s">
        <v>651</v>
      </c>
      <c r="FP19" s="41" t="s">
        <v>651</v>
      </c>
      <c r="FV19" s="49"/>
    </row>
    <row r="20" spans="1:178">
      <c r="A20" s="48"/>
      <c r="C20" t="str">
        <f>('Inteligencia emocional'!A21)</f>
        <v>0</v>
      </c>
      <c r="D20" s="39" t="str">
        <f>'Por Valoracion (3) Dimension'!B20</f>
        <v>0</v>
      </c>
      <c r="E20" s="39" t="str">
        <f>'Por Valoracion (3) Dimension 2'!J20</f>
        <v>0</v>
      </c>
      <c r="Z20" s="48"/>
      <c r="AB20" t="str">
        <f>('Inteligencia emocional'!A21)</f>
        <v>0</v>
      </c>
      <c r="AC20" s="39" t="str">
        <f>'Por Valoracion (3) Dimension'!D20</f>
        <v>0</v>
      </c>
      <c r="AD20" s="39" t="str">
        <f>'Por Valoracion (3) Dimension 2'!J20</f>
        <v>0</v>
      </c>
      <c r="AY20" s="48"/>
      <c r="BA20" t="str">
        <f>('Inteligencia emocional'!A21)</f>
        <v>0</v>
      </c>
      <c r="BB20" s="39" t="str">
        <f>'Por Valoracion (3) Dimension'!F20</f>
        <v>0</v>
      </c>
      <c r="BC20" s="39" t="str">
        <f>'Por Valoracion (3) Dimension 2'!J20</f>
        <v>0</v>
      </c>
      <c r="BX20" s="48"/>
      <c r="BZ20" s="49"/>
      <c r="CB20" t="str">
        <f>('Inteligencia emocional'!A21)</f>
        <v>0</v>
      </c>
      <c r="CC20" s="39" t="str">
        <f>'Por Valoracion (3) Dimension 2'!B20</f>
        <v>0</v>
      </c>
      <c r="CD20" s="39" t="str">
        <f>'Por Valoracion (3) Dimension'!H20</f>
        <v>0</v>
      </c>
      <c r="CY20" s="49"/>
      <c r="DA20" t="str">
        <f>('Inteligencia emocional'!A21)</f>
        <v>0</v>
      </c>
      <c r="DB20" s="39" t="str">
        <f>'Por Valoracion (3) Dimension 2'!D20</f>
        <v>0</v>
      </c>
      <c r="DC20" s="39" t="str">
        <f>'Por Valoracion (3) Dimension'!H20</f>
        <v>0</v>
      </c>
      <c r="DX20" s="49"/>
      <c r="DZ20" t="str">
        <f>('Inteligencia emocional'!A21)</f>
        <v>0</v>
      </c>
      <c r="EA20" s="39" t="str">
        <f>'Por Valoracion (3) Dimension 2'!F20</f>
        <v>0</v>
      </c>
      <c r="EB20" s="39" t="str">
        <f>'Por Valoracion (3) Dimension'!H20</f>
        <v>0</v>
      </c>
      <c r="EW20" s="49"/>
      <c r="EY20" t="str">
        <f>('Inteligencia emocional'!A21)</f>
        <v>0</v>
      </c>
      <c r="EZ20" s="39" t="str">
        <f>'Por Valoracion (3) Dimension 2'!H20</f>
        <v>0</v>
      </c>
      <c r="FA20" s="39" t="str">
        <f>'Por Valoracion (3) Dimension'!H20</f>
        <v>0</v>
      </c>
      <c r="FV20" s="49"/>
    </row>
    <row r="21" spans="1:178">
      <c r="A21" s="48"/>
      <c r="C21" t="str">
        <f>('Inteligencia emocional'!A22)</f>
        <v>0</v>
      </c>
      <c r="D21" s="39" t="str">
        <f>'Por Valoracion (3) Dimension'!B21</f>
        <v>0</v>
      </c>
      <c r="E21" s="39" t="str">
        <f>'Por Valoracion (3) Dimension 2'!J21</f>
        <v>0</v>
      </c>
      <c r="Z21" s="48"/>
      <c r="AB21" t="str">
        <f>('Inteligencia emocional'!A22)</f>
        <v>0</v>
      </c>
      <c r="AC21" s="39" t="str">
        <f>'Por Valoracion (3) Dimension'!D21</f>
        <v>0</v>
      </c>
      <c r="AD21" s="39" t="str">
        <f>'Por Valoracion (3) Dimension 2'!J21</f>
        <v>0</v>
      </c>
      <c r="AY21" s="48"/>
      <c r="BA21" t="str">
        <f>('Inteligencia emocional'!A22)</f>
        <v>0</v>
      </c>
      <c r="BB21" s="39" t="str">
        <f>'Por Valoracion (3) Dimension'!F21</f>
        <v>0</v>
      </c>
      <c r="BC21" s="39" t="str">
        <f>'Por Valoracion (3) Dimension 2'!J21</f>
        <v>0</v>
      </c>
      <c r="BX21" s="48"/>
      <c r="BZ21" s="49"/>
      <c r="CB21" t="str">
        <f>('Inteligencia emocional'!A22)</f>
        <v>0</v>
      </c>
      <c r="CC21" s="39" t="str">
        <f>'Por Valoracion (3) Dimension 2'!B21</f>
        <v>0</v>
      </c>
      <c r="CD21" s="39" t="str">
        <f>'Por Valoracion (3) Dimension'!H21</f>
        <v>0</v>
      </c>
      <c r="CY21" s="49"/>
      <c r="DA21" t="str">
        <f>('Inteligencia emocional'!A22)</f>
        <v>0</v>
      </c>
      <c r="DB21" s="39" t="str">
        <f>'Por Valoracion (3) Dimension 2'!D21</f>
        <v>0</v>
      </c>
      <c r="DC21" s="39" t="str">
        <f>'Por Valoracion (3) Dimension'!H21</f>
        <v>0</v>
      </c>
      <c r="DX21" s="49"/>
      <c r="DZ21" t="str">
        <f>('Inteligencia emocional'!A22)</f>
        <v>0</v>
      </c>
      <c r="EA21" s="39" t="str">
        <f>'Por Valoracion (3) Dimension 2'!F21</f>
        <v>0</v>
      </c>
      <c r="EB21" s="39" t="str">
        <f>'Por Valoracion (3) Dimension'!H21</f>
        <v>0</v>
      </c>
      <c r="EW21" s="49"/>
      <c r="EY21" t="str">
        <f>('Inteligencia emocional'!A22)</f>
        <v>0</v>
      </c>
      <c r="EZ21" s="39" t="str">
        <f>'Por Valoracion (3) Dimension 2'!H21</f>
        <v>0</v>
      </c>
      <c r="FA21" s="39" t="str">
        <f>'Por Valoracion (3) Dimension'!H21</f>
        <v>0</v>
      </c>
      <c r="FV21" s="49"/>
    </row>
    <row r="22" spans="1:178">
      <c r="A22" s="48"/>
      <c r="C22" t="str">
        <f>('Inteligencia emocional'!A23)</f>
        <v>0</v>
      </c>
      <c r="D22" s="39" t="str">
        <f>'Por Valoracion (3) Dimension'!B22</f>
        <v>0</v>
      </c>
      <c r="E22" s="39" t="str">
        <f>'Por Valoracion (3) Dimension 2'!J22</f>
        <v>0</v>
      </c>
      <c r="Z22" s="48"/>
      <c r="AB22" t="str">
        <f>('Inteligencia emocional'!A23)</f>
        <v>0</v>
      </c>
      <c r="AC22" s="39" t="str">
        <f>'Por Valoracion (3) Dimension'!D22</f>
        <v>0</v>
      </c>
      <c r="AD22" s="39" t="str">
        <f>'Por Valoracion (3) Dimension 2'!J22</f>
        <v>0</v>
      </c>
      <c r="AY22" s="48"/>
      <c r="BA22" t="str">
        <f>('Inteligencia emocional'!A23)</f>
        <v>0</v>
      </c>
      <c r="BB22" s="39" t="str">
        <f>'Por Valoracion (3) Dimension'!F22</f>
        <v>0</v>
      </c>
      <c r="BC22" s="39" t="str">
        <f>'Por Valoracion (3) Dimension 2'!J22</f>
        <v>0</v>
      </c>
      <c r="BX22" s="48"/>
      <c r="BZ22" s="49"/>
      <c r="CB22" t="str">
        <f>('Inteligencia emocional'!A23)</f>
        <v>0</v>
      </c>
      <c r="CC22" s="39" t="str">
        <f>'Por Valoracion (3) Dimension 2'!B22</f>
        <v>0</v>
      </c>
      <c r="CD22" s="39" t="str">
        <f>'Por Valoracion (3) Dimension'!H22</f>
        <v>0</v>
      </c>
      <c r="CY22" s="49"/>
      <c r="DA22" t="str">
        <f>('Inteligencia emocional'!A23)</f>
        <v>0</v>
      </c>
      <c r="DB22" s="39" t="str">
        <f>'Por Valoracion (3) Dimension 2'!D22</f>
        <v>0</v>
      </c>
      <c r="DC22" s="39" t="str">
        <f>'Por Valoracion (3) Dimension'!H22</f>
        <v>0</v>
      </c>
      <c r="DX22" s="49"/>
      <c r="DZ22" t="str">
        <f>('Inteligencia emocional'!A23)</f>
        <v>0</v>
      </c>
      <c r="EA22" s="39" t="str">
        <f>'Por Valoracion (3) Dimension 2'!F22</f>
        <v>0</v>
      </c>
      <c r="EB22" s="39" t="str">
        <f>'Por Valoracion (3) Dimension'!H22</f>
        <v>0</v>
      </c>
      <c r="EW22" s="49"/>
      <c r="EY22" t="str">
        <f>('Inteligencia emocional'!A23)</f>
        <v>0</v>
      </c>
      <c r="EZ22" s="39" t="str">
        <f>'Por Valoracion (3) Dimension 2'!H22</f>
        <v>0</v>
      </c>
      <c r="FA22" s="39" t="str">
        <f>'Por Valoracion (3) Dimension'!H22</f>
        <v>0</v>
      </c>
      <c r="FV22" s="49"/>
    </row>
    <row r="23" spans="1:178">
      <c r="A23" s="48"/>
      <c r="C23" t="str">
        <f>('Inteligencia emocional'!A24)</f>
        <v>0</v>
      </c>
      <c r="D23" s="39" t="str">
        <f>'Por Valoracion (3) Dimension'!B23</f>
        <v>0</v>
      </c>
      <c r="E23" s="39" t="str">
        <f>'Por Valoracion (3) Dimension 2'!J23</f>
        <v>0</v>
      </c>
      <c r="Z23" s="48"/>
      <c r="AB23" t="str">
        <f>('Inteligencia emocional'!A24)</f>
        <v>0</v>
      </c>
      <c r="AC23" s="39" t="str">
        <f>'Por Valoracion (3) Dimension'!D23</f>
        <v>0</v>
      </c>
      <c r="AD23" s="39" t="str">
        <f>'Por Valoracion (3) Dimension 2'!J23</f>
        <v>0</v>
      </c>
      <c r="AY23" s="48"/>
      <c r="BA23" t="str">
        <f>('Inteligencia emocional'!A24)</f>
        <v>0</v>
      </c>
      <c r="BB23" s="39" t="str">
        <f>'Por Valoracion (3) Dimension'!F23</f>
        <v>0</v>
      </c>
      <c r="BC23" s="39" t="str">
        <f>'Por Valoracion (3) Dimension 2'!J23</f>
        <v>0</v>
      </c>
      <c r="BX23" s="48"/>
      <c r="BZ23" s="49"/>
      <c r="CB23" t="str">
        <f>('Inteligencia emocional'!A24)</f>
        <v>0</v>
      </c>
      <c r="CC23" s="39" t="str">
        <f>'Por Valoracion (3) Dimension 2'!B23</f>
        <v>0</v>
      </c>
      <c r="CD23" s="39" t="str">
        <f>'Por Valoracion (3) Dimension'!H23</f>
        <v>0</v>
      </c>
      <c r="CY23" s="49"/>
      <c r="DA23" t="str">
        <f>('Inteligencia emocional'!A24)</f>
        <v>0</v>
      </c>
      <c r="DB23" s="39" t="str">
        <f>'Por Valoracion (3) Dimension 2'!D23</f>
        <v>0</v>
      </c>
      <c r="DC23" s="39" t="str">
        <f>'Por Valoracion (3) Dimension'!H23</f>
        <v>0</v>
      </c>
      <c r="DX23" s="49"/>
      <c r="DZ23" t="str">
        <f>('Inteligencia emocional'!A24)</f>
        <v>0</v>
      </c>
      <c r="EA23" s="39" t="str">
        <f>'Por Valoracion (3) Dimension 2'!F23</f>
        <v>0</v>
      </c>
      <c r="EB23" s="39" t="str">
        <f>'Por Valoracion (3) Dimension'!H23</f>
        <v>0</v>
      </c>
      <c r="EW23" s="49"/>
      <c r="EY23" t="str">
        <f>('Inteligencia emocional'!A24)</f>
        <v>0</v>
      </c>
      <c r="EZ23" s="39" t="str">
        <f>'Por Valoracion (3) Dimension 2'!H23</f>
        <v>0</v>
      </c>
      <c r="FA23" s="39" t="str">
        <f>'Por Valoracion (3) Dimension'!H23</f>
        <v>0</v>
      </c>
      <c r="FV23" s="49"/>
    </row>
    <row r="24" spans="1:178">
      <c r="A24" s="48"/>
      <c r="C24" t="str">
        <f>('Inteligencia emocional'!A25)</f>
        <v>0</v>
      </c>
      <c r="D24" s="39" t="str">
        <f>'Por Valoracion (3) Dimension'!B24</f>
        <v>0</v>
      </c>
      <c r="E24" s="39" t="str">
        <f>'Por Valoracion (3) Dimension 2'!J24</f>
        <v>0</v>
      </c>
      <c r="Z24" s="48"/>
      <c r="AB24" t="str">
        <f>('Inteligencia emocional'!A25)</f>
        <v>0</v>
      </c>
      <c r="AC24" s="39" t="str">
        <f>'Por Valoracion (3) Dimension'!D24</f>
        <v>0</v>
      </c>
      <c r="AD24" s="39" t="str">
        <f>'Por Valoracion (3) Dimension 2'!J24</f>
        <v>0</v>
      </c>
      <c r="AY24" s="48"/>
      <c r="BA24" t="str">
        <f>('Inteligencia emocional'!A25)</f>
        <v>0</v>
      </c>
      <c r="BB24" s="39" t="str">
        <f>'Por Valoracion (3) Dimension'!F24</f>
        <v>0</v>
      </c>
      <c r="BC24" s="39" t="str">
        <f>'Por Valoracion (3) Dimension 2'!J24</f>
        <v>0</v>
      </c>
      <c r="BX24" s="48"/>
      <c r="BZ24" s="49"/>
      <c r="CB24" t="str">
        <f>('Inteligencia emocional'!A25)</f>
        <v>0</v>
      </c>
      <c r="CC24" s="39" t="str">
        <f>'Por Valoracion (3) Dimension 2'!B24</f>
        <v>0</v>
      </c>
      <c r="CD24" s="39" t="str">
        <f>'Por Valoracion (3) Dimension'!H24</f>
        <v>0</v>
      </c>
      <c r="CY24" s="49"/>
      <c r="DA24" t="str">
        <f>('Inteligencia emocional'!A25)</f>
        <v>0</v>
      </c>
      <c r="DB24" s="39" t="str">
        <f>'Por Valoracion (3) Dimension 2'!D24</f>
        <v>0</v>
      </c>
      <c r="DC24" s="39" t="str">
        <f>'Por Valoracion (3) Dimension'!H24</f>
        <v>0</v>
      </c>
      <c r="DX24" s="49"/>
      <c r="DZ24" t="str">
        <f>('Inteligencia emocional'!A25)</f>
        <v>0</v>
      </c>
      <c r="EA24" s="39" t="str">
        <f>'Por Valoracion (3) Dimension 2'!F24</f>
        <v>0</v>
      </c>
      <c r="EB24" s="39" t="str">
        <f>'Por Valoracion (3) Dimension'!H24</f>
        <v>0</v>
      </c>
      <c r="EW24" s="49"/>
      <c r="EY24" t="str">
        <f>('Inteligencia emocional'!A25)</f>
        <v>0</v>
      </c>
      <c r="EZ24" s="39" t="str">
        <f>'Por Valoracion (3) Dimension 2'!H24</f>
        <v>0</v>
      </c>
      <c r="FA24" s="39" t="str">
        <f>'Por Valoracion (3) Dimension'!H24</f>
        <v>0</v>
      </c>
      <c r="FV24" s="49"/>
    </row>
    <row r="25" spans="1:178">
      <c r="A25" s="48"/>
      <c r="C25" t="str">
        <f>('Inteligencia emocional'!A26)</f>
        <v>0</v>
      </c>
      <c r="D25" s="39" t="str">
        <f>'Por Valoracion (3) Dimension'!B25</f>
        <v>0</v>
      </c>
      <c r="E25" s="39" t="str">
        <f>'Por Valoracion (3) Dimension 2'!J25</f>
        <v>0</v>
      </c>
      <c r="Z25" s="48"/>
      <c r="AB25" t="str">
        <f>('Inteligencia emocional'!A26)</f>
        <v>0</v>
      </c>
      <c r="AC25" s="39" t="str">
        <f>'Por Valoracion (3) Dimension'!D25</f>
        <v>0</v>
      </c>
      <c r="AD25" s="39" t="str">
        <f>'Por Valoracion (3) Dimension 2'!J25</f>
        <v>0</v>
      </c>
      <c r="AY25" s="48"/>
      <c r="BA25" t="str">
        <f>('Inteligencia emocional'!A26)</f>
        <v>0</v>
      </c>
      <c r="BB25" s="39" t="str">
        <f>'Por Valoracion (3) Dimension'!F25</f>
        <v>0</v>
      </c>
      <c r="BC25" s="39" t="str">
        <f>'Por Valoracion (3) Dimension 2'!J25</f>
        <v>0</v>
      </c>
      <c r="BX25" s="48"/>
      <c r="BZ25" s="49"/>
      <c r="CB25" t="str">
        <f>('Inteligencia emocional'!A26)</f>
        <v>0</v>
      </c>
      <c r="CC25" s="39" t="str">
        <f>'Por Valoracion (3) Dimension 2'!B25</f>
        <v>0</v>
      </c>
      <c r="CD25" s="39" t="str">
        <f>'Por Valoracion (3) Dimension'!H25</f>
        <v>0</v>
      </c>
      <c r="CY25" s="49"/>
      <c r="DA25" t="str">
        <f>('Inteligencia emocional'!A26)</f>
        <v>0</v>
      </c>
      <c r="DB25" s="39" t="str">
        <f>'Por Valoracion (3) Dimension 2'!D25</f>
        <v>0</v>
      </c>
      <c r="DC25" s="39" t="str">
        <f>'Por Valoracion (3) Dimension'!H25</f>
        <v>0</v>
      </c>
      <c r="DX25" s="49"/>
      <c r="DZ25" t="str">
        <f>('Inteligencia emocional'!A26)</f>
        <v>0</v>
      </c>
      <c r="EA25" s="39" t="str">
        <f>'Por Valoracion (3) Dimension 2'!F25</f>
        <v>0</v>
      </c>
      <c r="EB25" s="39" t="str">
        <f>'Por Valoracion (3) Dimension'!H25</f>
        <v>0</v>
      </c>
      <c r="EW25" s="49"/>
      <c r="EY25" t="str">
        <f>('Inteligencia emocional'!A26)</f>
        <v>0</v>
      </c>
      <c r="EZ25" s="39" t="str">
        <f>'Por Valoracion (3) Dimension 2'!H25</f>
        <v>0</v>
      </c>
      <c r="FA25" s="39" t="str">
        <f>'Por Valoracion (3) Dimension'!H25</f>
        <v>0</v>
      </c>
      <c r="FV25" s="49"/>
    </row>
    <row r="26" spans="1:178">
      <c r="A26" s="48"/>
      <c r="C26" t="str">
        <f>('Inteligencia emocional'!A27)</f>
        <v>0</v>
      </c>
      <c r="D26" s="39" t="str">
        <f>'Por Valoracion (3) Dimension'!B26</f>
        <v>0</v>
      </c>
      <c r="E26" s="39" t="str">
        <f>'Por Valoracion (3) Dimension 2'!J26</f>
        <v>0</v>
      </c>
      <c r="Z26" s="48"/>
      <c r="AB26" t="str">
        <f>('Inteligencia emocional'!A27)</f>
        <v>0</v>
      </c>
      <c r="AC26" s="39" t="str">
        <f>'Por Valoracion (3) Dimension'!D26</f>
        <v>0</v>
      </c>
      <c r="AD26" s="39" t="str">
        <f>'Por Valoracion (3) Dimension 2'!J26</f>
        <v>0</v>
      </c>
      <c r="AY26" s="48"/>
      <c r="BA26" t="str">
        <f>('Inteligencia emocional'!A27)</f>
        <v>0</v>
      </c>
      <c r="BB26" s="39" t="str">
        <f>'Por Valoracion (3) Dimension'!F26</f>
        <v>0</v>
      </c>
      <c r="BC26" s="39" t="str">
        <f>'Por Valoracion (3) Dimension 2'!J26</f>
        <v>0</v>
      </c>
      <c r="BX26" s="48"/>
      <c r="BZ26" s="49"/>
      <c r="CB26" t="str">
        <f>('Inteligencia emocional'!A27)</f>
        <v>0</v>
      </c>
      <c r="CC26" s="39" t="str">
        <f>'Por Valoracion (3) Dimension 2'!B26</f>
        <v>0</v>
      </c>
      <c r="CD26" s="39" t="str">
        <f>'Por Valoracion (3) Dimension'!H26</f>
        <v>0</v>
      </c>
      <c r="CY26" s="49"/>
      <c r="DA26" t="str">
        <f>('Inteligencia emocional'!A27)</f>
        <v>0</v>
      </c>
      <c r="DB26" s="39" t="str">
        <f>'Por Valoracion (3) Dimension 2'!D26</f>
        <v>0</v>
      </c>
      <c r="DC26" s="39" t="str">
        <f>'Por Valoracion (3) Dimension'!H26</f>
        <v>0</v>
      </c>
      <c r="DX26" s="49"/>
      <c r="DZ26" t="str">
        <f>('Inteligencia emocional'!A27)</f>
        <v>0</v>
      </c>
      <c r="EA26" s="39" t="str">
        <f>'Por Valoracion (3) Dimension 2'!F26</f>
        <v>0</v>
      </c>
      <c r="EB26" s="39" t="str">
        <f>'Por Valoracion (3) Dimension'!H26</f>
        <v>0</v>
      </c>
      <c r="EW26" s="49"/>
      <c r="EY26" t="str">
        <f>('Inteligencia emocional'!A27)</f>
        <v>0</v>
      </c>
      <c r="EZ26" s="39" t="str">
        <f>'Por Valoracion (3) Dimension 2'!H26</f>
        <v>0</v>
      </c>
      <c r="FA26" s="39" t="str">
        <f>'Por Valoracion (3) Dimension'!H26</f>
        <v>0</v>
      </c>
      <c r="FV26" s="49"/>
    </row>
    <row r="27" spans="1:178">
      <c r="A27" s="48"/>
      <c r="C27" t="str">
        <f>('Inteligencia emocional'!A28)</f>
        <v>0</v>
      </c>
      <c r="D27" s="39" t="str">
        <f>'Por Valoracion (3) Dimension'!B27</f>
        <v>0</v>
      </c>
      <c r="E27" s="39" t="str">
        <f>'Por Valoracion (3) Dimension 2'!J27</f>
        <v>0</v>
      </c>
      <c r="Z27" s="48"/>
      <c r="AB27" t="str">
        <f>('Inteligencia emocional'!A28)</f>
        <v>0</v>
      </c>
      <c r="AC27" s="39" t="str">
        <f>'Por Valoracion (3) Dimension'!D27</f>
        <v>0</v>
      </c>
      <c r="AD27" s="39" t="str">
        <f>'Por Valoracion (3) Dimension 2'!J27</f>
        <v>0</v>
      </c>
      <c r="AY27" s="48"/>
      <c r="BA27" t="str">
        <f>('Inteligencia emocional'!A28)</f>
        <v>0</v>
      </c>
      <c r="BB27" s="39" t="str">
        <f>'Por Valoracion (3) Dimension'!F27</f>
        <v>0</v>
      </c>
      <c r="BC27" s="39" t="str">
        <f>'Por Valoracion (3) Dimension 2'!J27</f>
        <v>0</v>
      </c>
      <c r="BX27" s="48"/>
      <c r="BZ27" s="49"/>
      <c r="CB27" t="str">
        <f>('Inteligencia emocional'!A28)</f>
        <v>0</v>
      </c>
      <c r="CC27" s="39" t="str">
        <f>'Por Valoracion (3) Dimension 2'!B27</f>
        <v>0</v>
      </c>
      <c r="CD27" s="39" t="str">
        <f>'Por Valoracion (3) Dimension'!H27</f>
        <v>0</v>
      </c>
      <c r="CY27" s="49"/>
      <c r="DA27" t="str">
        <f>('Inteligencia emocional'!A28)</f>
        <v>0</v>
      </c>
      <c r="DB27" s="39" t="str">
        <f>'Por Valoracion (3) Dimension 2'!D27</f>
        <v>0</v>
      </c>
      <c r="DC27" s="39" t="str">
        <f>'Por Valoracion (3) Dimension'!H27</f>
        <v>0</v>
      </c>
      <c r="DX27" s="49"/>
      <c r="DZ27" t="str">
        <f>('Inteligencia emocional'!A28)</f>
        <v>0</v>
      </c>
      <c r="EA27" s="39" t="str">
        <f>'Por Valoracion (3) Dimension 2'!F27</f>
        <v>0</v>
      </c>
      <c r="EB27" s="39" t="str">
        <f>'Por Valoracion (3) Dimension'!H27</f>
        <v>0</v>
      </c>
      <c r="EW27" s="49"/>
      <c r="EY27" t="str">
        <f>('Inteligencia emocional'!A28)</f>
        <v>0</v>
      </c>
      <c r="EZ27" s="39" t="str">
        <f>'Por Valoracion (3) Dimension 2'!H27</f>
        <v>0</v>
      </c>
      <c r="FA27" s="39" t="str">
        <f>'Por Valoracion (3) Dimension'!H27</f>
        <v>0</v>
      </c>
      <c r="FV27" s="49"/>
    </row>
    <row r="28" spans="1:178">
      <c r="A28" s="48"/>
      <c r="C28" t="str">
        <f>('Inteligencia emocional'!A29)</f>
        <v>0</v>
      </c>
      <c r="D28" s="39" t="str">
        <f>'Por Valoracion (3) Dimension'!B28</f>
        <v>0</v>
      </c>
      <c r="E28" s="39" t="str">
        <f>'Por Valoracion (3) Dimension 2'!J28</f>
        <v>0</v>
      </c>
      <c r="Z28" s="48"/>
      <c r="AB28" t="str">
        <f>('Inteligencia emocional'!A29)</f>
        <v>0</v>
      </c>
      <c r="AC28" s="39" t="str">
        <f>'Por Valoracion (3) Dimension'!D28</f>
        <v>0</v>
      </c>
      <c r="AD28" s="39" t="str">
        <f>'Por Valoracion (3) Dimension 2'!J28</f>
        <v>0</v>
      </c>
      <c r="AY28" s="48"/>
      <c r="BA28" t="str">
        <f>('Inteligencia emocional'!A29)</f>
        <v>0</v>
      </c>
      <c r="BB28" s="39" t="str">
        <f>'Por Valoracion (3) Dimension'!F28</f>
        <v>0</v>
      </c>
      <c r="BC28" s="39" t="str">
        <f>'Por Valoracion (3) Dimension 2'!J28</f>
        <v>0</v>
      </c>
      <c r="BX28" s="48"/>
      <c r="BZ28" s="49"/>
      <c r="CB28" t="str">
        <f>('Inteligencia emocional'!A29)</f>
        <v>0</v>
      </c>
      <c r="CC28" s="39" t="str">
        <f>'Por Valoracion (3) Dimension 2'!B28</f>
        <v>0</v>
      </c>
      <c r="CD28" s="39" t="str">
        <f>'Por Valoracion (3) Dimension'!H28</f>
        <v>0</v>
      </c>
      <c r="CY28" s="49"/>
      <c r="DA28" t="str">
        <f>('Inteligencia emocional'!A29)</f>
        <v>0</v>
      </c>
      <c r="DB28" s="39" t="str">
        <f>'Por Valoracion (3) Dimension 2'!D28</f>
        <v>0</v>
      </c>
      <c r="DC28" s="39" t="str">
        <f>'Por Valoracion (3) Dimension'!H28</f>
        <v>0</v>
      </c>
      <c r="DX28" s="49"/>
      <c r="DZ28" t="str">
        <f>('Inteligencia emocional'!A29)</f>
        <v>0</v>
      </c>
      <c r="EA28" s="39" t="str">
        <f>'Por Valoracion (3) Dimension 2'!F28</f>
        <v>0</v>
      </c>
      <c r="EB28" s="39" t="str">
        <f>'Por Valoracion (3) Dimension'!H28</f>
        <v>0</v>
      </c>
      <c r="EW28" s="49"/>
      <c r="EY28" t="str">
        <f>('Inteligencia emocional'!A29)</f>
        <v>0</v>
      </c>
      <c r="EZ28" s="39" t="str">
        <f>'Por Valoracion (3) Dimension 2'!H28</f>
        <v>0</v>
      </c>
      <c r="FA28" s="39" t="str">
        <f>'Por Valoracion (3) Dimension'!H28</f>
        <v>0</v>
      </c>
      <c r="FV28" s="49"/>
    </row>
    <row r="29" spans="1:178">
      <c r="A29" s="48"/>
      <c r="C29" t="str">
        <f>('Inteligencia emocional'!A30)</f>
        <v>0</v>
      </c>
      <c r="D29" s="39" t="str">
        <f>'Por Valoracion (3) Dimension'!B29</f>
        <v>0</v>
      </c>
      <c r="E29" s="39" t="str">
        <f>'Por Valoracion (3) Dimension 2'!J29</f>
        <v>0</v>
      </c>
      <c r="Z29" s="48"/>
      <c r="AB29" t="str">
        <f>('Inteligencia emocional'!A30)</f>
        <v>0</v>
      </c>
      <c r="AC29" s="39" t="str">
        <f>'Por Valoracion (3) Dimension'!D29</f>
        <v>0</v>
      </c>
      <c r="AD29" s="39" t="str">
        <f>'Por Valoracion (3) Dimension 2'!J29</f>
        <v>0</v>
      </c>
      <c r="AY29" s="48"/>
      <c r="BA29" t="str">
        <f>('Inteligencia emocional'!A30)</f>
        <v>0</v>
      </c>
      <c r="BB29" s="39" t="str">
        <f>'Por Valoracion (3) Dimension'!F29</f>
        <v>0</v>
      </c>
      <c r="BC29" s="39" t="str">
        <f>'Por Valoracion (3) Dimension 2'!J29</f>
        <v>0</v>
      </c>
      <c r="BX29" s="48"/>
      <c r="BZ29" s="49"/>
      <c r="CB29" t="str">
        <f>('Inteligencia emocional'!A30)</f>
        <v>0</v>
      </c>
      <c r="CC29" s="39" t="str">
        <f>'Por Valoracion (3) Dimension 2'!B29</f>
        <v>0</v>
      </c>
      <c r="CD29" s="39" t="str">
        <f>'Por Valoracion (3) Dimension'!H29</f>
        <v>0</v>
      </c>
      <c r="CY29" s="49"/>
      <c r="DA29" t="str">
        <f>('Inteligencia emocional'!A30)</f>
        <v>0</v>
      </c>
      <c r="DB29" s="39" t="str">
        <f>'Por Valoracion (3) Dimension 2'!D29</f>
        <v>0</v>
      </c>
      <c r="DC29" s="39" t="str">
        <f>'Por Valoracion (3) Dimension'!H29</f>
        <v>0</v>
      </c>
      <c r="DX29" s="49"/>
      <c r="DZ29" t="str">
        <f>('Inteligencia emocional'!A30)</f>
        <v>0</v>
      </c>
      <c r="EA29" s="39" t="str">
        <f>'Por Valoracion (3) Dimension 2'!F29</f>
        <v>0</v>
      </c>
      <c r="EB29" s="39" t="str">
        <f>'Por Valoracion (3) Dimension'!H29</f>
        <v>0</v>
      </c>
      <c r="EW29" s="49"/>
      <c r="EY29" t="str">
        <f>('Inteligencia emocional'!A30)</f>
        <v>0</v>
      </c>
      <c r="EZ29" s="39" t="str">
        <f>'Por Valoracion (3) Dimension 2'!H29</f>
        <v>0</v>
      </c>
      <c r="FA29" s="39" t="str">
        <f>'Por Valoracion (3) Dimension'!H29</f>
        <v>0</v>
      </c>
      <c r="FV29" s="49"/>
    </row>
    <row r="30" spans="1:178">
      <c r="A30" s="48"/>
      <c r="C30" t="str">
        <f>('Inteligencia emocional'!A31)</f>
        <v>0</v>
      </c>
      <c r="D30" s="39" t="str">
        <f>'Por Valoracion (3) Dimension'!B30</f>
        <v>0</v>
      </c>
      <c r="E30" s="39" t="str">
        <f>'Por Valoracion (3) Dimension 2'!J30</f>
        <v>0</v>
      </c>
      <c r="Z30" s="48"/>
      <c r="AB30" t="str">
        <f>('Inteligencia emocional'!A31)</f>
        <v>0</v>
      </c>
      <c r="AC30" s="39" t="str">
        <f>'Por Valoracion (3) Dimension'!D30</f>
        <v>0</v>
      </c>
      <c r="AD30" s="39" t="str">
        <f>'Por Valoracion (3) Dimension 2'!J30</f>
        <v>0</v>
      </c>
      <c r="AY30" s="48"/>
      <c r="BA30" t="str">
        <f>('Inteligencia emocional'!A31)</f>
        <v>0</v>
      </c>
      <c r="BB30" s="39" t="str">
        <f>'Por Valoracion (3) Dimension'!F30</f>
        <v>0</v>
      </c>
      <c r="BC30" s="39" t="str">
        <f>'Por Valoracion (3) Dimension 2'!J30</f>
        <v>0</v>
      </c>
      <c r="BX30" s="48"/>
      <c r="BZ30" s="49"/>
      <c r="CB30" t="str">
        <f>('Inteligencia emocional'!A31)</f>
        <v>0</v>
      </c>
      <c r="CC30" s="39" t="str">
        <f>'Por Valoracion (3) Dimension 2'!B30</f>
        <v>0</v>
      </c>
      <c r="CD30" s="39" t="str">
        <f>'Por Valoracion (3) Dimension'!H30</f>
        <v>0</v>
      </c>
      <c r="CY30" s="49"/>
      <c r="DA30" t="str">
        <f>('Inteligencia emocional'!A31)</f>
        <v>0</v>
      </c>
      <c r="DB30" s="39" t="str">
        <f>'Por Valoracion (3) Dimension 2'!D30</f>
        <v>0</v>
      </c>
      <c r="DC30" s="39" t="str">
        <f>'Por Valoracion (3) Dimension'!H30</f>
        <v>0</v>
      </c>
      <c r="DX30" s="49"/>
      <c r="DZ30" t="str">
        <f>('Inteligencia emocional'!A31)</f>
        <v>0</v>
      </c>
      <c r="EA30" s="39" t="str">
        <f>'Por Valoracion (3) Dimension 2'!F30</f>
        <v>0</v>
      </c>
      <c r="EB30" s="39" t="str">
        <f>'Por Valoracion (3) Dimension'!H30</f>
        <v>0</v>
      </c>
      <c r="EW30" s="49"/>
      <c r="EY30" t="str">
        <f>('Inteligencia emocional'!A31)</f>
        <v>0</v>
      </c>
      <c r="EZ30" s="39" t="str">
        <f>'Por Valoracion (3) Dimension 2'!H30</f>
        <v>0</v>
      </c>
      <c r="FA30" s="39" t="str">
        <f>'Por Valoracion (3) Dimension'!H30</f>
        <v>0</v>
      </c>
      <c r="FV30" s="49"/>
    </row>
    <row r="31" spans="1:178">
      <c r="A31" s="48"/>
      <c r="C31" t="str">
        <f>('Inteligencia emocional'!A32)</f>
        <v>0</v>
      </c>
      <c r="D31" s="39" t="str">
        <f>'Por Valoracion (3) Dimension'!B31</f>
        <v>0</v>
      </c>
      <c r="E31" s="39" t="str">
        <f>'Por Valoracion (3) Dimension 2'!J31</f>
        <v>0</v>
      </c>
      <c r="Z31" s="48"/>
      <c r="AB31" t="str">
        <f>('Inteligencia emocional'!A32)</f>
        <v>0</v>
      </c>
      <c r="AC31" s="39" t="str">
        <f>'Por Valoracion (3) Dimension'!D31</f>
        <v>0</v>
      </c>
      <c r="AD31" s="39" t="str">
        <f>'Por Valoracion (3) Dimension 2'!J31</f>
        <v>0</v>
      </c>
      <c r="AY31" s="48"/>
      <c r="BA31" t="str">
        <f>('Inteligencia emocional'!A32)</f>
        <v>0</v>
      </c>
      <c r="BB31" s="39" t="str">
        <f>'Por Valoracion (3) Dimension'!F31</f>
        <v>0</v>
      </c>
      <c r="BC31" s="39" t="str">
        <f>'Por Valoracion (3) Dimension 2'!J31</f>
        <v>0</v>
      </c>
      <c r="BX31" s="48"/>
      <c r="BZ31" s="49"/>
      <c r="CB31" t="str">
        <f>('Inteligencia emocional'!A32)</f>
        <v>0</v>
      </c>
      <c r="CC31" s="39" t="str">
        <f>'Por Valoracion (3) Dimension 2'!B31</f>
        <v>0</v>
      </c>
      <c r="CD31" s="39" t="str">
        <f>'Por Valoracion (3) Dimension'!H31</f>
        <v>0</v>
      </c>
      <c r="CY31" s="49"/>
      <c r="DA31" t="str">
        <f>('Inteligencia emocional'!A32)</f>
        <v>0</v>
      </c>
      <c r="DB31" s="39" t="str">
        <f>'Por Valoracion (3) Dimension 2'!D31</f>
        <v>0</v>
      </c>
      <c r="DC31" s="39" t="str">
        <f>'Por Valoracion (3) Dimension'!H31</f>
        <v>0</v>
      </c>
      <c r="DX31" s="49"/>
      <c r="DZ31" t="str">
        <f>('Inteligencia emocional'!A32)</f>
        <v>0</v>
      </c>
      <c r="EA31" s="39" t="str">
        <f>'Por Valoracion (3) Dimension 2'!F31</f>
        <v>0</v>
      </c>
      <c r="EB31" s="39" t="str">
        <f>'Por Valoracion (3) Dimension'!H31</f>
        <v>0</v>
      </c>
      <c r="EW31" s="49"/>
      <c r="EY31" t="str">
        <f>('Inteligencia emocional'!A32)</f>
        <v>0</v>
      </c>
      <c r="EZ31" s="39" t="str">
        <f>'Por Valoracion (3) Dimension 2'!H31</f>
        <v>0</v>
      </c>
      <c r="FA31" s="39" t="str">
        <f>'Por Valoracion (3) Dimension'!H31</f>
        <v>0</v>
      </c>
      <c r="FV31" s="49"/>
    </row>
    <row r="32" spans="1:178">
      <c r="A32" s="48"/>
      <c r="C32" t="str">
        <f>('Inteligencia emocional'!A33)</f>
        <v>0</v>
      </c>
      <c r="D32" s="39" t="str">
        <f>'Por Valoracion (3) Dimension'!B32</f>
        <v>0</v>
      </c>
      <c r="E32" s="39" t="str">
        <f>'Por Valoracion (3) Dimension 2'!J32</f>
        <v>0</v>
      </c>
      <c r="Z32" s="48"/>
      <c r="AB32" t="str">
        <f>('Inteligencia emocional'!A33)</f>
        <v>0</v>
      </c>
      <c r="AC32" s="39" t="str">
        <f>'Por Valoracion (3) Dimension'!D32</f>
        <v>0</v>
      </c>
      <c r="AD32" s="39" t="str">
        <f>'Por Valoracion (3) Dimension 2'!J32</f>
        <v>0</v>
      </c>
      <c r="AY32" s="48"/>
      <c r="BA32" t="str">
        <f>('Inteligencia emocional'!A33)</f>
        <v>0</v>
      </c>
      <c r="BB32" s="39" t="str">
        <f>'Por Valoracion (3) Dimension'!F32</f>
        <v>0</v>
      </c>
      <c r="BC32" s="39" t="str">
        <f>'Por Valoracion (3) Dimension 2'!J32</f>
        <v>0</v>
      </c>
      <c r="BX32" s="48"/>
      <c r="BZ32" s="49"/>
      <c r="CB32" t="str">
        <f>('Inteligencia emocional'!A33)</f>
        <v>0</v>
      </c>
      <c r="CC32" s="39" t="str">
        <f>'Por Valoracion (3) Dimension 2'!B32</f>
        <v>0</v>
      </c>
      <c r="CD32" s="39" t="str">
        <f>'Por Valoracion (3) Dimension'!H32</f>
        <v>0</v>
      </c>
      <c r="CY32" s="49"/>
      <c r="DA32" t="str">
        <f>('Inteligencia emocional'!A33)</f>
        <v>0</v>
      </c>
      <c r="DB32" s="39" t="str">
        <f>'Por Valoracion (3) Dimension 2'!D32</f>
        <v>0</v>
      </c>
      <c r="DC32" s="39" t="str">
        <f>'Por Valoracion (3) Dimension'!H32</f>
        <v>0</v>
      </c>
      <c r="DX32" s="49"/>
      <c r="DZ32" t="str">
        <f>('Inteligencia emocional'!A33)</f>
        <v>0</v>
      </c>
      <c r="EA32" s="39" t="str">
        <f>'Por Valoracion (3) Dimension 2'!F32</f>
        <v>0</v>
      </c>
      <c r="EB32" s="39" t="str">
        <f>'Por Valoracion (3) Dimension'!H32</f>
        <v>0</v>
      </c>
      <c r="EW32" s="49"/>
      <c r="EY32" t="str">
        <f>('Inteligencia emocional'!A33)</f>
        <v>0</v>
      </c>
      <c r="EZ32" s="39" t="str">
        <f>'Por Valoracion (3) Dimension 2'!H32</f>
        <v>0</v>
      </c>
      <c r="FA32" s="39" t="str">
        <f>'Por Valoracion (3) Dimension'!H32</f>
        <v>0</v>
      </c>
      <c r="FV32" s="49"/>
    </row>
    <row r="33" spans="1:178">
      <c r="A33" s="48"/>
      <c r="C33" t="str">
        <f>('Inteligencia emocional'!A34)</f>
        <v>0</v>
      </c>
      <c r="D33" s="39" t="str">
        <f>'Por Valoracion (3) Dimension'!B33</f>
        <v>0</v>
      </c>
      <c r="E33" s="39" t="str">
        <f>'Por Valoracion (3) Dimension 2'!J33</f>
        <v>0</v>
      </c>
      <c r="Z33" s="48"/>
      <c r="AB33" t="str">
        <f>('Inteligencia emocional'!A34)</f>
        <v>0</v>
      </c>
      <c r="AC33" s="39" t="str">
        <f>'Por Valoracion (3) Dimension'!D33</f>
        <v>0</v>
      </c>
      <c r="AD33" s="39" t="str">
        <f>'Por Valoracion (3) Dimension 2'!J33</f>
        <v>0</v>
      </c>
      <c r="AY33" s="48"/>
      <c r="BA33" t="str">
        <f>('Inteligencia emocional'!A34)</f>
        <v>0</v>
      </c>
      <c r="BB33" s="39" t="str">
        <f>'Por Valoracion (3) Dimension'!F33</f>
        <v>0</v>
      </c>
      <c r="BC33" s="39" t="str">
        <f>'Por Valoracion (3) Dimension 2'!J33</f>
        <v>0</v>
      </c>
      <c r="BX33" s="48"/>
      <c r="BZ33" s="49"/>
      <c r="CB33" t="str">
        <f>('Inteligencia emocional'!A34)</f>
        <v>0</v>
      </c>
      <c r="CC33" s="39" t="str">
        <f>'Por Valoracion (3) Dimension 2'!B33</f>
        <v>0</v>
      </c>
      <c r="CD33" s="39" t="str">
        <f>'Por Valoracion (3) Dimension'!H33</f>
        <v>0</v>
      </c>
      <c r="CY33" s="49"/>
      <c r="DA33" t="str">
        <f>('Inteligencia emocional'!A34)</f>
        <v>0</v>
      </c>
      <c r="DB33" s="39" t="str">
        <f>'Por Valoracion (3) Dimension 2'!D33</f>
        <v>0</v>
      </c>
      <c r="DC33" s="39" t="str">
        <f>'Por Valoracion (3) Dimension'!H33</f>
        <v>0</v>
      </c>
      <c r="DX33" s="49"/>
      <c r="DZ33" t="str">
        <f>('Inteligencia emocional'!A34)</f>
        <v>0</v>
      </c>
      <c r="EA33" s="39" t="str">
        <f>'Por Valoracion (3) Dimension 2'!F33</f>
        <v>0</v>
      </c>
      <c r="EB33" s="39" t="str">
        <f>'Por Valoracion (3) Dimension'!H33</f>
        <v>0</v>
      </c>
      <c r="EW33" s="49"/>
      <c r="EY33" t="str">
        <f>('Inteligencia emocional'!A34)</f>
        <v>0</v>
      </c>
      <c r="EZ33" s="39" t="str">
        <f>'Por Valoracion (3) Dimension 2'!H33</f>
        <v>0</v>
      </c>
      <c r="FA33" s="39" t="str">
        <f>'Por Valoracion (3) Dimension'!H33</f>
        <v>0</v>
      </c>
      <c r="FV33" s="49"/>
    </row>
    <row r="34" spans="1:178">
      <c r="A34" s="48"/>
      <c r="C34" t="str">
        <f>('Inteligencia emocional'!A35)</f>
        <v>0</v>
      </c>
      <c r="D34" s="39" t="str">
        <f>'Por Valoracion (3) Dimension'!B34</f>
        <v>0</v>
      </c>
      <c r="E34" s="39" t="str">
        <f>'Por Valoracion (3) Dimension 2'!J34</f>
        <v>0</v>
      </c>
      <c r="Z34" s="48"/>
      <c r="AB34" t="str">
        <f>('Inteligencia emocional'!A35)</f>
        <v>0</v>
      </c>
      <c r="AC34" s="39" t="str">
        <f>'Por Valoracion (3) Dimension'!D34</f>
        <v>0</v>
      </c>
      <c r="AD34" s="39" t="str">
        <f>'Por Valoracion (3) Dimension 2'!J34</f>
        <v>0</v>
      </c>
      <c r="AY34" s="48"/>
      <c r="BA34" t="str">
        <f>('Inteligencia emocional'!A35)</f>
        <v>0</v>
      </c>
      <c r="BB34" s="39" t="str">
        <f>'Por Valoracion (3) Dimension'!F34</f>
        <v>0</v>
      </c>
      <c r="BC34" s="39" t="str">
        <f>'Por Valoracion (3) Dimension 2'!J34</f>
        <v>0</v>
      </c>
      <c r="BX34" s="48"/>
      <c r="BZ34" s="49"/>
      <c r="CB34" t="str">
        <f>('Inteligencia emocional'!A35)</f>
        <v>0</v>
      </c>
      <c r="CC34" s="39" t="str">
        <f>'Por Valoracion (3) Dimension 2'!B34</f>
        <v>0</v>
      </c>
      <c r="CD34" s="39" t="str">
        <f>'Por Valoracion (3) Dimension'!H34</f>
        <v>0</v>
      </c>
      <c r="CY34" s="49"/>
      <c r="DA34" t="str">
        <f>('Inteligencia emocional'!A35)</f>
        <v>0</v>
      </c>
      <c r="DB34" s="39" t="str">
        <f>'Por Valoracion (3) Dimension 2'!D34</f>
        <v>0</v>
      </c>
      <c r="DC34" s="39" t="str">
        <f>'Por Valoracion (3) Dimension'!H34</f>
        <v>0</v>
      </c>
      <c r="DX34" s="49"/>
      <c r="DZ34" t="str">
        <f>('Inteligencia emocional'!A35)</f>
        <v>0</v>
      </c>
      <c r="EA34" s="39" t="str">
        <f>'Por Valoracion (3) Dimension 2'!F34</f>
        <v>0</v>
      </c>
      <c r="EB34" s="39" t="str">
        <f>'Por Valoracion (3) Dimension'!H34</f>
        <v>0</v>
      </c>
      <c r="EW34" s="49"/>
      <c r="EY34" t="str">
        <f>('Inteligencia emocional'!A35)</f>
        <v>0</v>
      </c>
      <c r="EZ34" s="39" t="str">
        <f>'Por Valoracion (3) Dimension 2'!H34</f>
        <v>0</v>
      </c>
      <c r="FA34" s="39" t="str">
        <f>'Por Valoracion (3) Dimension'!H34</f>
        <v>0</v>
      </c>
      <c r="FV34" s="49"/>
    </row>
    <row r="35" spans="1:178">
      <c r="A35" s="48"/>
      <c r="C35" t="str">
        <f>('Inteligencia emocional'!A36)</f>
        <v>0</v>
      </c>
      <c r="D35" s="39" t="str">
        <f>'Por Valoracion (3) Dimension'!B35</f>
        <v>0</v>
      </c>
      <c r="E35" s="39" t="str">
        <f>'Por Valoracion (3) Dimension 2'!J35</f>
        <v>0</v>
      </c>
      <c r="Z35" s="48"/>
      <c r="AB35" t="str">
        <f>('Inteligencia emocional'!A36)</f>
        <v>0</v>
      </c>
      <c r="AC35" s="39" t="str">
        <f>'Por Valoracion (3) Dimension'!D35</f>
        <v>0</v>
      </c>
      <c r="AD35" s="39" t="str">
        <f>'Por Valoracion (3) Dimension 2'!J35</f>
        <v>0</v>
      </c>
      <c r="AY35" s="48"/>
      <c r="BA35" t="str">
        <f>('Inteligencia emocional'!A36)</f>
        <v>0</v>
      </c>
      <c r="BB35" s="39" t="str">
        <f>'Por Valoracion (3) Dimension'!F35</f>
        <v>0</v>
      </c>
      <c r="BC35" s="39" t="str">
        <f>'Por Valoracion (3) Dimension 2'!J35</f>
        <v>0</v>
      </c>
      <c r="BX35" s="48"/>
      <c r="BZ35" s="49"/>
      <c r="CB35" t="str">
        <f>('Inteligencia emocional'!A36)</f>
        <v>0</v>
      </c>
      <c r="CC35" s="39" t="str">
        <f>'Por Valoracion (3) Dimension 2'!B35</f>
        <v>0</v>
      </c>
      <c r="CD35" s="39" t="str">
        <f>'Por Valoracion (3) Dimension'!H35</f>
        <v>0</v>
      </c>
      <c r="CY35" s="49"/>
      <c r="DA35" t="str">
        <f>('Inteligencia emocional'!A36)</f>
        <v>0</v>
      </c>
      <c r="DB35" s="39" t="str">
        <f>'Por Valoracion (3) Dimension 2'!D35</f>
        <v>0</v>
      </c>
      <c r="DC35" s="39" t="str">
        <f>'Por Valoracion (3) Dimension'!H35</f>
        <v>0</v>
      </c>
      <c r="DX35" s="49"/>
      <c r="DZ35" t="str">
        <f>('Inteligencia emocional'!A36)</f>
        <v>0</v>
      </c>
      <c r="EA35" s="39" t="str">
        <f>'Por Valoracion (3) Dimension 2'!F35</f>
        <v>0</v>
      </c>
      <c r="EB35" s="39" t="str">
        <f>'Por Valoracion (3) Dimension'!H35</f>
        <v>0</v>
      </c>
      <c r="EW35" s="49"/>
      <c r="EY35" t="str">
        <f>('Inteligencia emocional'!A36)</f>
        <v>0</v>
      </c>
      <c r="EZ35" s="39" t="str">
        <f>'Por Valoracion (3) Dimension 2'!H35</f>
        <v>0</v>
      </c>
      <c r="FA35" s="39" t="str">
        <f>'Por Valoracion (3) Dimension'!H35</f>
        <v>0</v>
      </c>
      <c r="FV35" s="49"/>
    </row>
    <row r="36" spans="1:178">
      <c r="A36" s="48"/>
      <c r="C36" t="str">
        <f>('Inteligencia emocional'!A37)</f>
        <v>0</v>
      </c>
      <c r="D36" s="39" t="str">
        <f>'Por Valoracion (3) Dimension'!B36</f>
        <v>0</v>
      </c>
      <c r="E36" s="39" t="str">
        <f>'Por Valoracion (3) Dimension 2'!J36</f>
        <v>0</v>
      </c>
      <c r="Z36" s="48"/>
      <c r="AB36" t="str">
        <f>('Inteligencia emocional'!A37)</f>
        <v>0</v>
      </c>
      <c r="AC36" s="39" t="str">
        <f>'Por Valoracion (3) Dimension'!D36</f>
        <v>0</v>
      </c>
      <c r="AD36" s="39" t="str">
        <f>'Por Valoracion (3) Dimension 2'!J36</f>
        <v>0</v>
      </c>
      <c r="AY36" s="48"/>
      <c r="BA36" t="str">
        <f>('Inteligencia emocional'!A37)</f>
        <v>0</v>
      </c>
      <c r="BB36" s="39" t="str">
        <f>'Por Valoracion (3) Dimension'!F36</f>
        <v>0</v>
      </c>
      <c r="BC36" s="39" t="str">
        <f>'Por Valoracion (3) Dimension 2'!J36</f>
        <v>0</v>
      </c>
      <c r="BX36" s="48"/>
      <c r="BZ36" s="49"/>
      <c r="CB36" t="str">
        <f>('Inteligencia emocional'!A37)</f>
        <v>0</v>
      </c>
      <c r="CC36" s="39" t="str">
        <f>'Por Valoracion (3) Dimension 2'!B36</f>
        <v>0</v>
      </c>
      <c r="CD36" s="39" t="str">
        <f>'Por Valoracion (3) Dimension'!H36</f>
        <v>0</v>
      </c>
      <c r="CY36" s="49"/>
      <c r="DA36" t="str">
        <f>('Inteligencia emocional'!A37)</f>
        <v>0</v>
      </c>
      <c r="DB36" s="39" t="str">
        <f>'Por Valoracion (3) Dimension 2'!D36</f>
        <v>0</v>
      </c>
      <c r="DC36" s="39" t="str">
        <f>'Por Valoracion (3) Dimension'!H36</f>
        <v>0</v>
      </c>
      <c r="DX36" s="49"/>
      <c r="DZ36" t="str">
        <f>('Inteligencia emocional'!A37)</f>
        <v>0</v>
      </c>
      <c r="EA36" s="39" t="str">
        <f>'Por Valoracion (3) Dimension 2'!F36</f>
        <v>0</v>
      </c>
      <c r="EB36" s="39" t="str">
        <f>'Por Valoracion (3) Dimension'!H36</f>
        <v>0</v>
      </c>
      <c r="EW36" s="49"/>
      <c r="EY36" t="str">
        <f>('Inteligencia emocional'!A37)</f>
        <v>0</v>
      </c>
      <c r="EZ36" s="39" t="str">
        <f>'Por Valoracion (3) Dimension 2'!H36</f>
        <v>0</v>
      </c>
      <c r="FA36" s="39" t="str">
        <f>'Por Valoracion (3) Dimension'!H36</f>
        <v>0</v>
      </c>
      <c r="FV36" s="49"/>
    </row>
    <row r="37" spans="1:178">
      <c r="A37" s="48"/>
      <c r="C37" t="str">
        <f>('Inteligencia emocional'!A38)</f>
        <v>0</v>
      </c>
      <c r="D37" s="39" t="str">
        <f>'Por Valoracion (3) Dimension'!B37</f>
        <v>0</v>
      </c>
      <c r="E37" s="39" t="str">
        <f>'Por Valoracion (3) Dimension 2'!J37</f>
        <v>0</v>
      </c>
      <c r="Z37" s="48"/>
      <c r="AB37" t="str">
        <f>('Inteligencia emocional'!A38)</f>
        <v>0</v>
      </c>
      <c r="AC37" s="39" t="str">
        <f>'Por Valoracion (3) Dimension'!D37</f>
        <v>0</v>
      </c>
      <c r="AD37" s="39" t="str">
        <f>'Por Valoracion (3) Dimension 2'!J37</f>
        <v>0</v>
      </c>
      <c r="AY37" s="48"/>
      <c r="BA37" t="str">
        <f>('Inteligencia emocional'!A38)</f>
        <v>0</v>
      </c>
      <c r="BB37" s="39" t="str">
        <f>'Por Valoracion (3) Dimension'!F37</f>
        <v>0</v>
      </c>
      <c r="BC37" s="39" t="str">
        <f>'Por Valoracion (3) Dimension 2'!J37</f>
        <v>0</v>
      </c>
      <c r="BX37" s="48"/>
      <c r="BZ37" s="49"/>
      <c r="CB37" t="str">
        <f>('Inteligencia emocional'!A38)</f>
        <v>0</v>
      </c>
      <c r="CC37" s="39" t="str">
        <f>'Por Valoracion (3) Dimension 2'!B37</f>
        <v>0</v>
      </c>
      <c r="CD37" s="39" t="str">
        <f>'Por Valoracion (3) Dimension'!H37</f>
        <v>0</v>
      </c>
      <c r="CY37" s="49"/>
      <c r="DA37" t="str">
        <f>('Inteligencia emocional'!A38)</f>
        <v>0</v>
      </c>
      <c r="DB37" s="39" t="str">
        <f>'Por Valoracion (3) Dimension 2'!D37</f>
        <v>0</v>
      </c>
      <c r="DC37" s="39" t="str">
        <f>'Por Valoracion (3) Dimension'!H37</f>
        <v>0</v>
      </c>
      <c r="DX37" s="49"/>
      <c r="DZ37" t="str">
        <f>('Inteligencia emocional'!A38)</f>
        <v>0</v>
      </c>
      <c r="EA37" s="39" t="str">
        <f>'Por Valoracion (3) Dimension 2'!F37</f>
        <v>0</v>
      </c>
      <c r="EB37" s="39" t="str">
        <f>'Por Valoracion (3) Dimension'!H37</f>
        <v>0</v>
      </c>
      <c r="EW37" s="49"/>
      <c r="EY37" t="str">
        <f>('Inteligencia emocional'!A38)</f>
        <v>0</v>
      </c>
      <c r="EZ37" s="39" t="str">
        <f>'Por Valoracion (3) Dimension 2'!H37</f>
        <v>0</v>
      </c>
      <c r="FA37" s="39" t="str">
        <f>'Por Valoracion (3) Dimension'!H37</f>
        <v>0</v>
      </c>
      <c r="FV37" s="49"/>
    </row>
    <row r="38" spans="1:178">
      <c r="A38" s="48"/>
      <c r="C38" t="str">
        <f>('Inteligencia emocional'!A39)</f>
        <v>0</v>
      </c>
      <c r="D38" s="39" t="str">
        <f>'Por Valoracion (3) Dimension'!B38</f>
        <v>0</v>
      </c>
      <c r="E38" s="39" t="str">
        <f>'Por Valoracion (3) Dimension 2'!J38</f>
        <v>0</v>
      </c>
      <c r="Z38" s="48"/>
      <c r="AB38" t="str">
        <f>('Inteligencia emocional'!A39)</f>
        <v>0</v>
      </c>
      <c r="AC38" s="39" t="str">
        <f>'Por Valoracion (3) Dimension'!D38</f>
        <v>0</v>
      </c>
      <c r="AD38" s="39" t="str">
        <f>'Por Valoracion (3) Dimension 2'!J38</f>
        <v>0</v>
      </c>
      <c r="AY38" s="48"/>
      <c r="BA38" t="str">
        <f>('Inteligencia emocional'!A39)</f>
        <v>0</v>
      </c>
      <c r="BB38" s="39" t="str">
        <f>'Por Valoracion (3) Dimension'!F38</f>
        <v>0</v>
      </c>
      <c r="BC38" s="39" t="str">
        <f>'Por Valoracion (3) Dimension 2'!J38</f>
        <v>0</v>
      </c>
      <c r="BX38" s="48"/>
      <c r="BZ38" s="49"/>
      <c r="CB38" t="str">
        <f>('Inteligencia emocional'!A39)</f>
        <v>0</v>
      </c>
      <c r="CC38" s="39" t="str">
        <f>'Por Valoracion (3) Dimension 2'!B38</f>
        <v>0</v>
      </c>
      <c r="CD38" s="39" t="str">
        <f>'Por Valoracion (3) Dimension'!H38</f>
        <v>0</v>
      </c>
      <c r="CY38" s="49"/>
      <c r="DA38" t="str">
        <f>('Inteligencia emocional'!A39)</f>
        <v>0</v>
      </c>
      <c r="DB38" s="39" t="str">
        <f>'Por Valoracion (3) Dimension 2'!D38</f>
        <v>0</v>
      </c>
      <c r="DC38" s="39" t="str">
        <f>'Por Valoracion (3) Dimension'!H38</f>
        <v>0</v>
      </c>
      <c r="DX38" s="49"/>
      <c r="DZ38" t="str">
        <f>('Inteligencia emocional'!A39)</f>
        <v>0</v>
      </c>
      <c r="EA38" s="39" t="str">
        <f>'Por Valoracion (3) Dimension 2'!F38</f>
        <v>0</v>
      </c>
      <c r="EB38" s="39" t="str">
        <f>'Por Valoracion (3) Dimension'!H38</f>
        <v>0</v>
      </c>
      <c r="EW38" s="49"/>
      <c r="EY38" t="str">
        <f>('Inteligencia emocional'!A39)</f>
        <v>0</v>
      </c>
      <c r="EZ38" s="39" t="str">
        <f>'Por Valoracion (3) Dimension 2'!H38</f>
        <v>0</v>
      </c>
      <c r="FA38" s="39" t="str">
        <f>'Por Valoracion (3) Dimension'!H38</f>
        <v>0</v>
      </c>
      <c r="FV38" s="49"/>
    </row>
    <row r="39" spans="1:178">
      <c r="A39" s="48"/>
      <c r="C39" t="str">
        <f>('Inteligencia emocional'!A40)</f>
        <v>0</v>
      </c>
      <c r="D39" s="39" t="str">
        <f>'Por Valoracion (3) Dimension'!B39</f>
        <v>0</v>
      </c>
      <c r="E39" s="39" t="str">
        <f>'Por Valoracion (3) Dimension 2'!J39</f>
        <v>0</v>
      </c>
      <c r="Z39" s="48"/>
      <c r="AB39" t="str">
        <f>('Inteligencia emocional'!A40)</f>
        <v>0</v>
      </c>
      <c r="AC39" s="39" t="str">
        <f>'Por Valoracion (3) Dimension'!D39</f>
        <v>0</v>
      </c>
      <c r="AD39" s="39" t="str">
        <f>'Por Valoracion (3) Dimension 2'!J39</f>
        <v>0</v>
      </c>
      <c r="AY39" s="48"/>
      <c r="BA39" t="str">
        <f>('Inteligencia emocional'!A40)</f>
        <v>0</v>
      </c>
      <c r="BB39" s="39" t="str">
        <f>'Por Valoracion (3) Dimension'!F39</f>
        <v>0</v>
      </c>
      <c r="BC39" s="39" t="str">
        <f>'Por Valoracion (3) Dimension 2'!J39</f>
        <v>0</v>
      </c>
      <c r="BX39" s="48"/>
      <c r="BZ39" s="49"/>
      <c r="CB39" t="str">
        <f>('Inteligencia emocional'!A40)</f>
        <v>0</v>
      </c>
      <c r="CC39" s="39" t="str">
        <f>'Por Valoracion (3) Dimension 2'!B39</f>
        <v>0</v>
      </c>
      <c r="CD39" s="39" t="str">
        <f>'Por Valoracion (3) Dimension'!H39</f>
        <v>0</v>
      </c>
      <c r="CY39" s="49"/>
      <c r="DA39" t="str">
        <f>('Inteligencia emocional'!A40)</f>
        <v>0</v>
      </c>
      <c r="DB39" s="39" t="str">
        <f>'Por Valoracion (3) Dimension 2'!D39</f>
        <v>0</v>
      </c>
      <c r="DC39" s="39" t="str">
        <f>'Por Valoracion (3) Dimension'!H39</f>
        <v>0</v>
      </c>
      <c r="DX39" s="49"/>
      <c r="DZ39" t="str">
        <f>('Inteligencia emocional'!A40)</f>
        <v>0</v>
      </c>
      <c r="EA39" s="39" t="str">
        <f>'Por Valoracion (3) Dimension 2'!F39</f>
        <v>0</v>
      </c>
      <c r="EB39" s="39" t="str">
        <f>'Por Valoracion (3) Dimension'!H39</f>
        <v>0</v>
      </c>
      <c r="EW39" s="49"/>
      <c r="EY39" t="str">
        <f>('Inteligencia emocional'!A40)</f>
        <v>0</v>
      </c>
      <c r="EZ39" s="39" t="str">
        <f>'Por Valoracion (3) Dimension 2'!H39</f>
        <v>0</v>
      </c>
      <c r="FA39" s="39" t="str">
        <f>'Por Valoracion (3) Dimension'!H39</f>
        <v>0</v>
      </c>
      <c r="FV39" s="49"/>
    </row>
    <row r="40" spans="1:178">
      <c r="A40" s="48"/>
      <c r="C40" t="str">
        <f>('Inteligencia emocional'!A41)</f>
        <v>0</v>
      </c>
      <c r="D40" s="39" t="str">
        <f>'Por Valoracion (3) Dimension'!B40</f>
        <v>0</v>
      </c>
      <c r="E40" s="39" t="str">
        <f>'Por Valoracion (3) Dimension 2'!J40</f>
        <v>0</v>
      </c>
      <c r="Z40" s="48"/>
      <c r="AB40" t="str">
        <f>('Inteligencia emocional'!A41)</f>
        <v>0</v>
      </c>
      <c r="AC40" s="39" t="str">
        <f>'Por Valoracion (3) Dimension'!D40</f>
        <v>0</v>
      </c>
      <c r="AD40" s="39" t="str">
        <f>'Por Valoracion (3) Dimension 2'!J40</f>
        <v>0</v>
      </c>
      <c r="AY40" s="48"/>
      <c r="BA40" t="str">
        <f>('Inteligencia emocional'!A41)</f>
        <v>0</v>
      </c>
      <c r="BB40" s="39" t="str">
        <f>'Por Valoracion (3) Dimension'!F40</f>
        <v>0</v>
      </c>
      <c r="BC40" s="39" t="str">
        <f>'Por Valoracion (3) Dimension 2'!J40</f>
        <v>0</v>
      </c>
      <c r="BX40" s="48"/>
      <c r="BZ40" s="49"/>
      <c r="CB40" t="str">
        <f>('Inteligencia emocional'!A41)</f>
        <v>0</v>
      </c>
      <c r="CC40" s="39" t="str">
        <f>'Por Valoracion (3) Dimension 2'!B40</f>
        <v>0</v>
      </c>
      <c r="CD40" s="39" t="str">
        <f>'Por Valoracion (3) Dimension'!H40</f>
        <v>0</v>
      </c>
      <c r="CY40" s="49"/>
      <c r="DA40" t="str">
        <f>('Inteligencia emocional'!A41)</f>
        <v>0</v>
      </c>
      <c r="DB40" s="39" t="str">
        <f>'Por Valoracion (3) Dimension 2'!D40</f>
        <v>0</v>
      </c>
      <c r="DC40" s="39" t="str">
        <f>'Por Valoracion (3) Dimension'!H40</f>
        <v>0</v>
      </c>
      <c r="DX40" s="49"/>
      <c r="DZ40" t="str">
        <f>('Inteligencia emocional'!A41)</f>
        <v>0</v>
      </c>
      <c r="EA40" s="39" t="str">
        <f>'Por Valoracion (3) Dimension 2'!F40</f>
        <v>0</v>
      </c>
      <c r="EB40" s="39" t="str">
        <f>'Por Valoracion (3) Dimension'!H40</f>
        <v>0</v>
      </c>
      <c r="EW40" s="49"/>
      <c r="EY40" t="str">
        <f>('Inteligencia emocional'!A41)</f>
        <v>0</v>
      </c>
      <c r="EZ40" s="39" t="str">
        <f>'Por Valoracion (3) Dimension 2'!H40</f>
        <v>0</v>
      </c>
      <c r="FA40" s="39" t="str">
        <f>'Por Valoracion (3) Dimension'!H40</f>
        <v>0</v>
      </c>
      <c r="FV40" s="49"/>
    </row>
    <row r="41" spans="1:178">
      <c r="A41" s="48"/>
      <c r="C41" t="str">
        <f>('Inteligencia emocional'!A42)</f>
        <v>0</v>
      </c>
      <c r="D41" s="39" t="str">
        <f>'Por Valoracion (3) Dimension'!B41</f>
        <v>0</v>
      </c>
      <c r="E41" s="39" t="str">
        <f>'Por Valoracion (3) Dimension 2'!J41</f>
        <v>0</v>
      </c>
      <c r="Z41" s="48"/>
      <c r="AB41" t="str">
        <f>('Inteligencia emocional'!A42)</f>
        <v>0</v>
      </c>
      <c r="AC41" s="39" t="str">
        <f>'Por Valoracion (3) Dimension'!D41</f>
        <v>0</v>
      </c>
      <c r="AD41" s="39" t="str">
        <f>'Por Valoracion (3) Dimension 2'!J41</f>
        <v>0</v>
      </c>
      <c r="AY41" s="48"/>
      <c r="BA41" t="str">
        <f>('Inteligencia emocional'!A42)</f>
        <v>0</v>
      </c>
      <c r="BB41" s="39" t="str">
        <f>'Por Valoracion (3) Dimension'!F41</f>
        <v>0</v>
      </c>
      <c r="BC41" s="39" t="str">
        <f>'Por Valoracion (3) Dimension 2'!J41</f>
        <v>0</v>
      </c>
      <c r="BX41" s="48"/>
      <c r="BZ41" s="49"/>
      <c r="CB41" t="str">
        <f>('Inteligencia emocional'!A42)</f>
        <v>0</v>
      </c>
      <c r="CC41" s="39" t="str">
        <f>'Por Valoracion (3) Dimension 2'!B41</f>
        <v>0</v>
      </c>
      <c r="CD41" s="39" t="str">
        <f>'Por Valoracion (3) Dimension'!H41</f>
        <v>0</v>
      </c>
      <c r="CY41" s="49"/>
      <c r="DA41" t="str">
        <f>('Inteligencia emocional'!A42)</f>
        <v>0</v>
      </c>
      <c r="DB41" s="39" t="str">
        <f>'Por Valoracion (3) Dimension 2'!D41</f>
        <v>0</v>
      </c>
      <c r="DC41" s="39" t="str">
        <f>'Por Valoracion (3) Dimension'!H41</f>
        <v>0</v>
      </c>
      <c r="DX41" s="49"/>
      <c r="DZ41" t="str">
        <f>('Inteligencia emocional'!A42)</f>
        <v>0</v>
      </c>
      <c r="EA41" s="39" t="str">
        <f>'Por Valoracion (3) Dimension 2'!F41</f>
        <v>0</v>
      </c>
      <c r="EB41" s="39" t="str">
        <f>'Por Valoracion (3) Dimension'!H41</f>
        <v>0</v>
      </c>
      <c r="EW41" s="49"/>
      <c r="EY41" t="str">
        <f>('Inteligencia emocional'!A42)</f>
        <v>0</v>
      </c>
      <c r="EZ41" s="39" t="str">
        <f>'Por Valoracion (3) Dimension 2'!H41</f>
        <v>0</v>
      </c>
      <c r="FA41" s="39" t="str">
        <f>'Por Valoracion (3) Dimension'!H41</f>
        <v>0</v>
      </c>
      <c r="FV41" s="49"/>
    </row>
    <row r="42" spans="1:178">
      <c r="A42" s="48"/>
      <c r="C42" t="str">
        <f>('Inteligencia emocional'!A43)</f>
        <v>0</v>
      </c>
      <c r="D42" s="39" t="str">
        <f>'Por Valoracion (3) Dimension'!B42</f>
        <v>0</v>
      </c>
      <c r="E42" s="39" t="str">
        <f>'Por Valoracion (3) Dimension 2'!J42</f>
        <v>0</v>
      </c>
      <c r="Z42" s="48"/>
      <c r="AB42" t="str">
        <f>('Inteligencia emocional'!A43)</f>
        <v>0</v>
      </c>
      <c r="AC42" s="39" t="str">
        <f>'Por Valoracion (3) Dimension'!D42</f>
        <v>0</v>
      </c>
      <c r="AD42" s="39" t="str">
        <f>'Por Valoracion (3) Dimension 2'!J42</f>
        <v>0</v>
      </c>
      <c r="AY42" s="48"/>
      <c r="BA42" t="str">
        <f>('Inteligencia emocional'!A43)</f>
        <v>0</v>
      </c>
      <c r="BB42" s="39" t="str">
        <f>'Por Valoracion (3) Dimension'!F42</f>
        <v>0</v>
      </c>
      <c r="BC42" s="39" t="str">
        <f>'Por Valoracion (3) Dimension 2'!J42</f>
        <v>0</v>
      </c>
      <c r="BX42" s="48"/>
      <c r="BZ42" s="49"/>
      <c r="CB42" t="str">
        <f>('Inteligencia emocional'!A43)</f>
        <v>0</v>
      </c>
      <c r="CC42" s="39" t="str">
        <f>'Por Valoracion (3) Dimension 2'!B42</f>
        <v>0</v>
      </c>
      <c r="CD42" s="39" t="str">
        <f>'Por Valoracion (3) Dimension'!H42</f>
        <v>0</v>
      </c>
      <c r="CY42" s="49"/>
      <c r="DA42" t="str">
        <f>('Inteligencia emocional'!A43)</f>
        <v>0</v>
      </c>
      <c r="DB42" s="39" t="str">
        <f>'Por Valoracion (3) Dimension 2'!D42</f>
        <v>0</v>
      </c>
      <c r="DC42" s="39" t="str">
        <f>'Por Valoracion (3) Dimension'!H42</f>
        <v>0</v>
      </c>
      <c r="DX42" s="49"/>
      <c r="DZ42" t="str">
        <f>('Inteligencia emocional'!A43)</f>
        <v>0</v>
      </c>
      <c r="EA42" s="39" t="str">
        <f>'Por Valoracion (3) Dimension 2'!F42</f>
        <v>0</v>
      </c>
      <c r="EB42" s="39" t="str">
        <f>'Por Valoracion (3) Dimension'!H42</f>
        <v>0</v>
      </c>
      <c r="EW42" s="49"/>
      <c r="EY42" t="str">
        <f>('Inteligencia emocional'!A43)</f>
        <v>0</v>
      </c>
      <c r="EZ42" s="39" t="str">
        <f>'Por Valoracion (3) Dimension 2'!H42</f>
        <v>0</v>
      </c>
      <c r="FA42" s="39" t="str">
        <f>'Por Valoracion (3) Dimension'!H42</f>
        <v>0</v>
      </c>
      <c r="FV42" s="49"/>
    </row>
    <row r="43" spans="1:178">
      <c r="A43" s="48"/>
      <c r="C43" t="str">
        <f>('Inteligencia emocional'!A44)</f>
        <v>0</v>
      </c>
      <c r="D43" s="39" t="str">
        <f>'Por Valoracion (3) Dimension'!B43</f>
        <v>0</v>
      </c>
      <c r="E43" s="39" t="str">
        <f>'Por Valoracion (3) Dimension 2'!J43</f>
        <v>0</v>
      </c>
      <c r="Z43" s="48"/>
      <c r="AB43" t="str">
        <f>('Inteligencia emocional'!A44)</f>
        <v>0</v>
      </c>
      <c r="AC43" s="39" t="str">
        <f>'Por Valoracion (3) Dimension'!D43</f>
        <v>0</v>
      </c>
      <c r="AD43" s="39" t="str">
        <f>'Por Valoracion (3) Dimension 2'!J43</f>
        <v>0</v>
      </c>
      <c r="AY43" s="48"/>
      <c r="BA43" t="str">
        <f>('Inteligencia emocional'!A44)</f>
        <v>0</v>
      </c>
      <c r="BB43" s="39" t="str">
        <f>'Por Valoracion (3) Dimension'!F43</f>
        <v>0</v>
      </c>
      <c r="BC43" s="39" t="str">
        <f>'Por Valoracion (3) Dimension 2'!J43</f>
        <v>0</v>
      </c>
      <c r="BX43" s="48"/>
      <c r="BZ43" s="49"/>
      <c r="CB43" t="str">
        <f>('Inteligencia emocional'!A44)</f>
        <v>0</v>
      </c>
      <c r="CC43" s="39" t="str">
        <f>'Por Valoracion (3) Dimension 2'!B43</f>
        <v>0</v>
      </c>
      <c r="CD43" s="39" t="str">
        <f>'Por Valoracion (3) Dimension'!H43</f>
        <v>0</v>
      </c>
      <c r="CY43" s="49"/>
      <c r="DA43" t="str">
        <f>('Inteligencia emocional'!A44)</f>
        <v>0</v>
      </c>
      <c r="DB43" s="39" t="str">
        <f>'Por Valoracion (3) Dimension 2'!D43</f>
        <v>0</v>
      </c>
      <c r="DC43" s="39" t="str">
        <f>'Por Valoracion (3) Dimension'!H43</f>
        <v>0</v>
      </c>
      <c r="DX43" s="49"/>
      <c r="DZ43" t="str">
        <f>('Inteligencia emocional'!A44)</f>
        <v>0</v>
      </c>
      <c r="EA43" s="39" t="str">
        <f>'Por Valoracion (3) Dimension 2'!F43</f>
        <v>0</v>
      </c>
      <c r="EB43" s="39" t="str">
        <f>'Por Valoracion (3) Dimension'!H43</f>
        <v>0</v>
      </c>
      <c r="EW43" s="49"/>
      <c r="EY43" t="str">
        <f>('Inteligencia emocional'!A44)</f>
        <v>0</v>
      </c>
      <c r="EZ43" s="39" t="str">
        <f>'Por Valoracion (3) Dimension 2'!H43</f>
        <v>0</v>
      </c>
      <c r="FA43" s="39" t="str">
        <f>'Por Valoracion (3) Dimension'!H43</f>
        <v>0</v>
      </c>
      <c r="FV43" s="49"/>
    </row>
    <row r="44" spans="1:178">
      <c r="A44" s="48"/>
      <c r="C44" t="str">
        <f>('Inteligencia emocional'!A45)</f>
        <v>0</v>
      </c>
      <c r="D44" s="39" t="str">
        <f>'Por Valoracion (3) Dimension'!B44</f>
        <v>0</v>
      </c>
      <c r="E44" s="39" t="str">
        <f>'Por Valoracion (3) Dimension 2'!J44</f>
        <v>0</v>
      </c>
      <c r="Z44" s="48"/>
      <c r="AB44" t="str">
        <f>('Inteligencia emocional'!A45)</f>
        <v>0</v>
      </c>
      <c r="AC44" s="39" t="str">
        <f>'Por Valoracion (3) Dimension'!D44</f>
        <v>0</v>
      </c>
      <c r="AD44" s="39" t="str">
        <f>'Por Valoracion (3) Dimension 2'!J44</f>
        <v>0</v>
      </c>
      <c r="AY44" s="48"/>
      <c r="BA44" t="str">
        <f>('Inteligencia emocional'!A45)</f>
        <v>0</v>
      </c>
      <c r="BB44" s="39" t="str">
        <f>'Por Valoracion (3) Dimension'!F44</f>
        <v>0</v>
      </c>
      <c r="BC44" s="39" t="str">
        <f>'Por Valoracion (3) Dimension 2'!J44</f>
        <v>0</v>
      </c>
      <c r="BX44" s="48"/>
      <c r="BZ44" s="49"/>
      <c r="CB44" t="str">
        <f>('Inteligencia emocional'!A45)</f>
        <v>0</v>
      </c>
      <c r="CC44" s="39" t="str">
        <f>'Por Valoracion (3) Dimension 2'!B44</f>
        <v>0</v>
      </c>
      <c r="CD44" s="39" t="str">
        <f>'Por Valoracion (3) Dimension'!H44</f>
        <v>0</v>
      </c>
      <c r="CY44" s="49"/>
      <c r="DA44" t="str">
        <f>('Inteligencia emocional'!A45)</f>
        <v>0</v>
      </c>
      <c r="DB44" s="39" t="str">
        <f>'Por Valoracion (3) Dimension 2'!D44</f>
        <v>0</v>
      </c>
      <c r="DC44" s="39" t="str">
        <f>'Por Valoracion (3) Dimension'!H44</f>
        <v>0</v>
      </c>
      <c r="DX44" s="49"/>
      <c r="DZ44" t="str">
        <f>('Inteligencia emocional'!A45)</f>
        <v>0</v>
      </c>
      <c r="EA44" s="39" t="str">
        <f>'Por Valoracion (3) Dimension 2'!F44</f>
        <v>0</v>
      </c>
      <c r="EB44" s="39" t="str">
        <f>'Por Valoracion (3) Dimension'!H44</f>
        <v>0</v>
      </c>
      <c r="EW44" s="49"/>
      <c r="EY44" t="str">
        <f>('Inteligencia emocional'!A45)</f>
        <v>0</v>
      </c>
      <c r="EZ44" s="39" t="str">
        <f>'Por Valoracion (3) Dimension 2'!H44</f>
        <v>0</v>
      </c>
      <c r="FA44" s="39" t="str">
        <f>'Por Valoracion (3) Dimension'!H44</f>
        <v>0</v>
      </c>
      <c r="FV44" s="49"/>
    </row>
    <row r="45" spans="1:178">
      <c r="A45" s="48"/>
      <c r="C45" t="str">
        <f>('Inteligencia emocional'!A46)</f>
        <v>0</v>
      </c>
      <c r="D45" s="39" t="str">
        <f>'Por Valoracion (3) Dimension'!B45</f>
        <v>0</v>
      </c>
      <c r="E45" s="39" t="str">
        <f>'Por Valoracion (3) Dimension 2'!J45</f>
        <v>0</v>
      </c>
      <c r="Z45" s="48"/>
      <c r="AB45" t="str">
        <f>('Inteligencia emocional'!A46)</f>
        <v>0</v>
      </c>
      <c r="AC45" s="39" t="str">
        <f>'Por Valoracion (3) Dimension'!D45</f>
        <v>0</v>
      </c>
      <c r="AD45" s="39" t="str">
        <f>'Por Valoracion (3) Dimension 2'!J45</f>
        <v>0</v>
      </c>
      <c r="AY45" s="48"/>
      <c r="BA45" t="str">
        <f>('Inteligencia emocional'!A46)</f>
        <v>0</v>
      </c>
      <c r="BB45" s="39" t="str">
        <f>'Por Valoracion (3) Dimension'!F45</f>
        <v>0</v>
      </c>
      <c r="BC45" s="39" t="str">
        <f>'Por Valoracion (3) Dimension 2'!J45</f>
        <v>0</v>
      </c>
      <c r="BX45" s="48"/>
      <c r="BZ45" s="49"/>
      <c r="CB45" t="str">
        <f>('Inteligencia emocional'!A46)</f>
        <v>0</v>
      </c>
      <c r="CC45" s="39" t="str">
        <f>'Por Valoracion (3) Dimension 2'!B45</f>
        <v>0</v>
      </c>
      <c r="CD45" s="39" t="str">
        <f>'Por Valoracion (3) Dimension'!H45</f>
        <v>0</v>
      </c>
      <c r="CY45" s="49"/>
      <c r="DA45" t="str">
        <f>('Inteligencia emocional'!A46)</f>
        <v>0</v>
      </c>
      <c r="DB45" s="39" t="str">
        <f>'Por Valoracion (3) Dimension 2'!D45</f>
        <v>0</v>
      </c>
      <c r="DC45" s="39" t="str">
        <f>'Por Valoracion (3) Dimension'!H45</f>
        <v>0</v>
      </c>
      <c r="DX45" s="49"/>
      <c r="DZ45" t="str">
        <f>('Inteligencia emocional'!A46)</f>
        <v>0</v>
      </c>
      <c r="EA45" s="39" t="str">
        <f>'Por Valoracion (3) Dimension 2'!F45</f>
        <v>0</v>
      </c>
      <c r="EB45" s="39" t="str">
        <f>'Por Valoracion (3) Dimension'!H45</f>
        <v>0</v>
      </c>
      <c r="EW45" s="49"/>
      <c r="EY45" t="str">
        <f>('Inteligencia emocional'!A46)</f>
        <v>0</v>
      </c>
      <c r="EZ45" s="39" t="str">
        <f>'Por Valoracion (3) Dimension 2'!H45</f>
        <v>0</v>
      </c>
      <c r="FA45" s="39" t="str">
        <f>'Por Valoracion (3) Dimension'!H45</f>
        <v>0</v>
      </c>
      <c r="FV45" s="49"/>
    </row>
    <row r="46" spans="1:178">
      <c r="A46" s="48"/>
      <c r="C46" t="str">
        <f>('Inteligencia emocional'!A47)</f>
        <v>0</v>
      </c>
      <c r="D46" s="39" t="str">
        <f>'Por Valoracion (3) Dimension'!B46</f>
        <v>0</v>
      </c>
      <c r="E46" s="39" t="str">
        <f>'Por Valoracion (3) Dimension 2'!J46</f>
        <v>0</v>
      </c>
      <c r="Z46" s="48"/>
      <c r="AB46" t="str">
        <f>('Inteligencia emocional'!A47)</f>
        <v>0</v>
      </c>
      <c r="AC46" s="39" t="str">
        <f>'Por Valoracion (3) Dimension'!D46</f>
        <v>0</v>
      </c>
      <c r="AD46" s="39" t="str">
        <f>'Por Valoracion (3) Dimension 2'!J46</f>
        <v>0</v>
      </c>
      <c r="AY46" s="48"/>
      <c r="BA46" t="str">
        <f>('Inteligencia emocional'!A47)</f>
        <v>0</v>
      </c>
      <c r="BB46" s="39" t="str">
        <f>'Por Valoracion (3) Dimension'!F46</f>
        <v>0</v>
      </c>
      <c r="BC46" s="39" t="str">
        <f>'Por Valoracion (3) Dimension 2'!J46</f>
        <v>0</v>
      </c>
      <c r="BX46" s="48"/>
      <c r="BZ46" s="49"/>
      <c r="CB46" t="str">
        <f>('Inteligencia emocional'!A47)</f>
        <v>0</v>
      </c>
      <c r="CC46" s="39" t="str">
        <f>'Por Valoracion (3) Dimension 2'!B46</f>
        <v>0</v>
      </c>
      <c r="CD46" s="39" t="str">
        <f>'Por Valoracion (3) Dimension'!H46</f>
        <v>0</v>
      </c>
      <c r="CY46" s="49"/>
      <c r="DA46" t="str">
        <f>('Inteligencia emocional'!A47)</f>
        <v>0</v>
      </c>
      <c r="DB46" s="39" t="str">
        <f>'Por Valoracion (3) Dimension 2'!D46</f>
        <v>0</v>
      </c>
      <c r="DC46" s="39" t="str">
        <f>'Por Valoracion (3) Dimension'!H46</f>
        <v>0</v>
      </c>
      <c r="DX46" s="49"/>
      <c r="DZ46" t="str">
        <f>('Inteligencia emocional'!A47)</f>
        <v>0</v>
      </c>
      <c r="EA46" s="39" t="str">
        <f>'Por Valoracion (3) Dimension 2'!F46</f>
        <v>0</v>
      </c>
      <c r="EB46" s="39" t="str">
        <f>'Por Valoracion (3) Dimension'!H46</f>
        <v>0</v>
      </c>
      <c r="EW46" s="49"/>
      <c r="EY46" t="str">
        <f>('Inteligencia emocional'!A47)</f>
        <v>0</v>
      </c>
      <c r="EZ46" s="39" t="str">
        <f>'Por Valoracion (3) Dimension 2'!H46</f>
        <v>0</v>
      </c>
      <c r="FA46" s="39" t="str">
        <f>'Por Valoracion (3) Dimension'!H46</f>
        <v>0</v>
      </c>
      <c r="FV46" s="49"/>
    </row>
    <row r="47" spans="1:178">
      <c r="A47" s="48"/>
      <c r="C47" t="str">
        <f>('Inteligencia emocional'!A48)</f>
        <v>0</v>
      </c>
      <c r="D47" s="39" t="str">
        <f>'Por Valoracion (3) Dimension'!B47</f>
        <v>0</v>
      </c>
      <c r="E47" s="39" t="str">
        <f>'Por Valoracion (3) Dimension 2'!J47</f>
        <v>0</v>
      </c>
      <c r="Z47" s="48"/>
      <c r="AB47" t="str">
        <f>('Inteligencia emocional'!A48)</f>
        <v>0</v>
      </c>
      <c r="AC47" s="39" t="str">
        <f>'Por Valoracion (3) Dimension'!D47</f>
        <v>0</v>
      </c>
      <c r="AD47" s="39" t="str">
        <f>'Por Valoracion (3) Dimension 2'!J47</f>
        <v>0</v>
      </c>
      <c r="AY47" s="48"/>
      <c r="BA47" t="str">
        <f>('Inteligencia emocional'!A48)</f>
        <v>0</v>
      </c>
      <c r="BB47" s="39" t="str">
        <f>'Por Valoracion (3) Dimension'!F47</f>
        <v>0</v>
      </c>
      <c r="BC47" s="39" t="str">
        <f>'Por Valoracion (3) Dimension 2'!J47</f>
        <v>0</v>
      </c>
      <c r="BX47" s="48"/>
      <c r="BZ47" s="49"/>
      <c r="CB47" t="str">
        <f>('Inteligencia emocional'!A48)</f>
        <v>0</v>
      </c>
      <c r="CC47" s="39" t="str">
        <f>'Por Valoracion (3) Dimension 2'!B47</f>
        <v>0</v>
      </c>
      <c r="CD47" s="39" t="str">
        <f>'Por Valoracion (3) Dimension'!H47</f>
        <v>0</v>
      </c>
      <c r="CY47" s="49"/>
      <c r="DA47" t="str">
        <f>('Inteligencia emocional'!A48)</f>
        <v>0</v>
      </c>
      <c r="DB47" s="39" t="str">
        <f>'Por Valoracion (3) Dimension 2'!D47</f>
        <v>0</v>
      </c>
      <c r="DC47" s="39" t="str">
        <f>'Por Valoracion (3) Dimension'!H47</f>
        <v>0</v>
      </c>
      <c r="DX47" s="49"/>
      <c r="DZ47" t="str">
        <f>('Inteligencia emocional'!A48)</f>
        <v>0</v>
      </c>
      <c r="EA47" s="39" t="str">
        <f>'Por Valoracion (3) Dimension 2'!F47</f>
        <v>0</v>
      </c>
      <c r="EB47" s="39" t="str">
        <f>'Por Valoracion (3) Dimension'!H47</f>
        <v>0</v>
      </c>
      <c r="EW47" s="49"/>
      <c r="EY47" t="str">
        <f>('Inteligencia emocional'!A48)</f>
        <v>0</v>
      </c>
      <c r="EZ47" s="39" t="str">
        <f>'Por Valoracion (3) Dimension 2'!H47</f>
        <v>0</v>
      </c>
      <c r="FA47" s="39" t="str">
        <f>'Por Valoracion (3) Dimension'!H47</f>
        <v>0</v>
      </c>
      <c r="FV47" s="49"/>
    </row>
    <row r="48" spans="1:178">
      <c r="A48" s="48"/>
      <c r="C48" t="str">
        <f>('Inteligencia emocional'!A49)</f>
        <v>0</v>
      </c>
      <c r="D48" s="39" t="str">
        <f>'Por Valoracion (3) Dimension'!B48</f>
        <v>0</v>
      </c>
      <c r="E48" s="39" t="str">
        <f>'Por Valoracion (3) Dimension 2'!J48</f>
        <v>0</v>
      </c>
      <c r="Z48" s="48"/>
      <c r="AB48" t="str">
        <f>('Inteligencia emocional'!A49)</f>
        <v>0</v>
      </c>
      <c r="AC48" s="39" t="str">
        <f>'Por Valoracion (3) Dimension'!D48</f>
        <v>0</v>
      </c>
      <c r="AD48" s="39" t="str">
        <f>'Por Valoracion (3) Dimension 2'!J48</f>
        <v>0</v>
      </c>
      <c r="AY48" s="48"/>
      <c r="BA48" t="str">
        <f>('Inteligencia emocional'!A49)</f>
        <v>0</v>
      </c>
      <c r="BB48" s="39" t="str">
        <f>'Por Valoracion (3) Dimension'!F48</f>
        <v>0</v>
      </c>
      <c r="BC48" s="39" t="str">
        <f>'Por Valoracion (3) Dimension 2'!J48</f>
        <v>0</v>
      </c>
      <c r="BX48" s="48"/>
      <c r="BZ48" s="49"/>
      <c r="CB48" t="str">
        <f>('Inteligencia emocional'!A49)</f>
        <v>0</v>
      </c>
      <c r="CC48" s="39" t="str">
        <f>'Por Valoracion (3) Dimension 2'!B48</f>
        <v>0</v>
      </c>
      <c r="CD48" s="39" t="str">
        <f>'Por Valoracion (3) Dimension'!H48</f>
        <v>0</v>
      </c>
      <c r="CY48" s="49"/>
      <c r="DA48" t="str">
        <f>('Inteligencia emocional'!A49)</f>
        <v>0</v>
      </c>
      <c r="DB48" s="39" t="str">
        <f>'Por Valoracion (3) Dimension 2'!D48</f>
        <v>0</v>
      </c>
      <c r="DC48" s="39" t="str">
        <f>'Por Valoracion (3) Dimension'!H48</f>
        <v>0</v>
      </c>
      <c r="DX48" s="49"/>
      <c r="DZ48" t="str">
        <f>('Inteligencia emocional'!A49)</f>
        <v>0</v>
      </c>
      <c r="EA48" s="39" t="str">
        <f>'Por Valoracion (3) Dimension 2'!F48</f>
        <v>0</v>
      </c>
      <c r="EB48" s="39" t="str">
        <f>'Por Valoracion (3) Dimension'!H48</f>
        <v>0</v>
      </c>
      <c r="EW48" s="49"/>
      <c r="EY48" t="str">
        <f>('Inteligencia emocional'!A49)</f>
        <v>0</v>
      </c>
      <c r="EZ48" s="39" t="str">
        <f>'Por Valoracion (3) Dimension 2'!H48</f>
        <v>0</v>
      </c>
      <c r="FA48" s="39" t="str">
        <f>'Por Valoracion (3) Dimension'!H48</f>
        <v>0</v>
      </c>
      <c r="FV48" s="49"/>
    </row>
    <row r="49" spans="1:178">
      <c r="A49" s="48"/>
      <c r="C49" t="str">
        <f>('Inteligencia emocional'!A50)</f>
        <v>0</v>
      </c>
      <c r="D49" s="39" t="str">
        <f>'Por Valoracion (3) Dimension'!B49</f>
        <v>0</v>
      </c>
      <c r="E49" s="39" t="str">
        <f>'Por Valoracion (3) Dimension 2'!J49</f>
        <v>0</v>
      </c>
      <c r="Z49" s="48"/>
      <c r="AB49" t="str">
        <f>('Inteligencia emocional'!A50)</f>
        <v>0</v>
      </c>
      <c r="AC49" s="39" t="str">
        <f>'Por Valoracion (3) Dimension'!D49</f>
        <v>0</v>
      </c>
      <c r="AD49" s="39" t="str">
        <f>'Por Valoracion (3) Dimension 2'!J49</f>
        <v>0</v>
      </c>
      <c r="AY49" s="48"/>
      <c r="BA49" t="str">
        <f>('Inteligencia emocional'!A50)</f>
        <v>0</v>
      </c>
      <c r="BB49" s="39" t="str">
        <f>'Por Valoracion (3) Dimension'!F49</f>
        <v>0</v>
      </c>
      <c r="BC49" s="39" t="str">
        <f>'Por Valoracion (3) Dimension 2'!J49</f>
        <v>0</v>
      </c>
      <c r="BX49" s="48"/>
      <c r="BZ49" s="49"/>
      <c r="CB49" t="str">
        <f>('Inteligencia emocional'!A50)</f>
        <v>0</v>
      </c>
      <c r="CC49" s="39" t="str">
        <f>'Por Valoracion (3) Dimension 2'!B49</f>
        <v>0</v>
      </c>
      <c r="CD49" s="39" t="str">
        <f>'Por Valoracion (3) Dimension'!H49</f>
        <v>0</v>
      </c>
      <c r="CY49" s="49"/>
      <c r="DA49" t="str">
        <f>('Inteligencia emocional'!A50)</f>
        <v>0</v>
      </c>
      <c r="DB49" s="39" t="str">
        <f>'Por Valoracion (3) Dimension 2'!D49</f>
        <v>0</v>
      </c>
      <c r="DC49" s="39" t="str">
        <f>'Por Valoracion (3) Dimension'!H49</f>
        <v>0</v>
      </c>
      <c r="DX49" s="49"/>
      <c r="DZ49" t="str">
        <f>('Inteligencia emocional'!A50)</f>
        <v>0</v>
      </c>
      <c r="EA49" s="39" t="str">
        <f>'Por Valoracion (3) Dimension 2'!F49</f>
        <v>0</v>
      </c>
      <c r="EB49" s="39" t="str">
        <f>'Por Valoracion (3) Dimension'!H49</f>
        <v>0</v>
      </c>
      <c r="EW49" s="49"/>
      <c r="EY49" t="str">
        <f>('Inteligencia emocional'!A50)</f>
        <v>0</v>
      </c>
      <c r="EZ49" s="39" t="str">
        <f>'Por Valoracion (3) Dimension 2'!H49</f>
        <v>0</v>
      </c>
      <c r="FA49" s="39" t="str">
        <f>'Por Valoracion (3) Dimension'!H49</f>
        <v>0</v>
      </c>
      <c r="FV49" s="49"/>
    </row>
    <row r="50" spans="1:178">
      <c r="A50" s="48"/>
      <c r="C50" t="str">
        <f>('Inteligencia emocional'!A51)</f>
        <v>0</v>
      </c>
      <c r="D50" s="39" t="str">
        <f>'Por Valoracion (3) Dimension'!B50</f>
        <v>0</v>
      </c>
      <c r="E50" s="39" t="str">
        <f>'Por Valoracion (3) Dimension 2'!J50</f>
        <v>0</v>
      </c>
      <c r="Z50" s="48"/>
      <c r="AB50" t="str">
        <f>('Inteligencia emocional'!A51)</f>
        <v>0</v>
      </c>
      <c r="AC50" s="39" t="str">
        <f>'Por Valoracion (3) Dimension'!D50</f>
        <v>0</v>
      </c>
      <c r="AD50" s="39" t="str">
        <f>'Por Valoracion (3) Dimension 2'!J50</f>
        <v>0</v>
      </c>
      <c r="AY50" s="48"/>
      <c r="BA50" t="str">
        <f>('Inteligencia emocional'!A51)</f>
        <v>0</v>
      </c>
      <c r="BB50" s="39" t="str">
        <f>'Por Valoracion (3) Dimension'!F50</f>
        <v>0</v>
      </c>
      <c r="BC50" s="39" t="str">
        <f>'Por Valoracion (3) Dimension 2'!J50</f>
        <v>0</v>
      </c>
      <c r="BX50" s="48"/>
      <c r="BZ50" s="49"/>
      <c r="CB50" t="str">
        <f>('Inteligencia emocional'!A51)</f>
        <v>0</v>
      </c>
      <c r="CC50" s="39" t="str">
        <f>'Por Valoracion (3) Dimension 2'!B50</f>
        <v>0</v>
      </c>
      <c r="CD50" s="39" t="str">
        <f>'Por Valoracion (3) Dimension'!H50</f>
        <v>0</v>
      </c>
      <c r="CY50" s="49"/>
      <c r="DA50" t="str">
        <f>('Inteligencia emocional'!A51)</f>
        <v>0</v>
      </c>
      <c r="DB50" s="39" t="str">
        <f>'Por Valoracion (3) Dimension 2'!D50</f>
        <v>0</v>
      </c>
      <c r="DC50" s="39" t="str">
        <f>'Por Valoracion (3) Dimension'!H50</f>
        <v>0</v>
      </c>
      <c r="DX50" s="49"/>
      <c r="DZ50" t="str">
        <f>('Inteligencia emocional'!A51)</f>
        <v>0</v>
      </c>
      <c r="EA50" s="39" t="str">
        <f>'Por Valoracion (3) Dimension 2'!F50</f>
        <v>0</v>
      </c>
      <c r="EB50" s="39" t="str">
        <f>'Por Valoracion (3) Dimension'!H50</f>
        <v>0</v>
      </c>
      <c r="EW50" s="49"/>
      <c r="EY50" t="str">
        <f>('Inteligencia emocional'!A51)</f>
        <v>0</v>
      </c>
      <c r="EZ50" s="39" t="str">
        <f>'Por Valoracion (3) Dimension 2'!H50</f>
        <v>0</v>
      </c>
      <c r="FA50" s="39" t="str">
        <f>'Por Valoracion (3) Dimension'!H50</f>
        <v>0</v>
      </c>
      <c r="FV50" s="49"/>
    </row>
    <row r="51" spans="1:178">
      <c r="A51" s="48"/>
      <c r="C51" t="str">
        <f>('Inteligencia emocional'!A52)</f>
        <v>0</v>
      </c>
      <c r="D51" s="39" t="str">
        <f>'Por Valoracion (3) Dimension'!B51</f>
        <v>0</v>
      </c>
      <c r="E51" s="39" t="str">
        <f>'Por Valoracion (3) Dimension 2'!J51</f>
        <v>0</v>
      </c>
      <c r="Z51" s="48"/>
      <c r="AB51" t="str">
        <f>('Inteligencia emocional'!A52)</f>
        <v>0</v>
      </c>
      <c r="AC51" s="39" t="str">
        <f>'Por Valoracion (3) Dimension'!D51</f>
        <v>0</v>
      </c>
      <c r="AD51" s="39" t="str">
        <f>'Por Valoracion (3) Dimension 2'!J51</f>
        <v>0</v>
      </c>
      <c r="AY51" s="48"/>
      <c r="BA51" t="str">
        <f>('Inteligencia emocional'!A52)</f>
        <v>0</v>
      </c>
      <c r="BB51" s="39" t="str">
        <f>'Por Valoracion (3) Dimension'!F51</f>
        <v>0</v>
      </c>
      <c r="BC51" s="39" t="str">
        <f>'Por Valoracion (3) Dimension 2'!J51</f>
        <v>0</v>
      </c>
      <c r="BX51" s="48"/>
      <c r="BZ51" s="49"/>
      <c r="CB51" t="str">
        <f>('Inteligencia emocional'!A52)</f>
        <v>0</v>
      </c>
      <c r="CC51" s="39" t="str">
        <f>'Por Valoracion (3) Dimension 2'!B51</f>
        <v>0</v>
      </c>
      <c r="CD51" s="39" t="str">
        <f>'Por Valoracion (3) Dimension'!H51</f>
        <v>0</v>
      </c>
      <c r="CY51" s="49"/>
      <c r="DA51" t="str">
        <f>('Inteligencia emocional'!A52)</f>
        <v>0</v>
      </c>
      <c r="DB51" s="39" t="str">
        <f>'Por Valoracion (3) Dimension 2'!D51</f>
        <v>0</v>
      </c>
      <c r="DC51" s="39" t="str">
        <f>'Por Valoracion (3) Dimension'!H51</f>
        <v>0</v>
      </c>
      <c r="DX51" s="49"/>
      <c r="DZ51" t="str">
        <f>('Inteligencia emocional'!A52)</f>
        <v>0</v>
      </c>
      <c r="EA51" s="39" t="str">
        <f>'Por Valoracion (3) Dimension 2'!F51</f>
        <v>0</v>
      </c>
      <c r="EB51" s="39" t="str">
        <f>'Por Valoracion (3) Dimension'!H51</f>
        <v>0</v>
      </c>
      <c r="EW51" s="49"/>
      <c r="EY51" t="str">
        <f>('Inteligencia emocional'!A52)</f>
        <v>0</v>
      </c>
      <c r="EZ51" s="39" t="str">
        <f>'Por Valoracion (3) Dimension 2'!H51</f>
        <v>0</v>
      </c>
      <c r="FA51" s="39" t="str">
        <f>'Por Valoracion (3) Dimension'!H51</f>
        <v>0</v>
      </c>
      <c r="FV51" s="49"/>
    </row>
    <row r="52" spans="1:178">
      <c r="A52" s="48"/>
      <c r="C52" t="str">
        <f>('Inteligencia emocional'!A53)</f>
        <v>0</v>
      </c>
      <c r="D52" s="39" t="str">
        <f>'Por Valoracion (3) Dimension'!B52</f>
        <v>0</v>
      </c>
      <c r="E52" s="39" t="str">
        <f>'Por Valoracion (3) Dimension 2'!J52</f>
        <v>0</v>
      </c>
      <c r="Z52" s="48"/>
      <c r="AB52" t="str">
        <f>('Inteligencia emocional'!A53)</f>
        <v>0</v>
      </c>
      <c r="AC52" s="39" t="str">
        <f>'Por Valoracion (3) Dimension'!D52</f>
        <v>0</v>
      </c>
      <c r="AD52" s="39" t="str">
        <f>'Por Valoracion (3) Dimension 2'!J52</f>
        <v>0</v>
      </c>
      <c r="AY52" s="48"/>
      <c r="BA52" t="str">
        <f>('Inteligencia emocional'!A53)</f>
        <v>0</v>
      </c>
      <c r="BB52" s="39" t="str">
        <f>'Por Valoracion (3) Dimension'!F52</f>
        <v>0</v>
      </c>
      <c r="BC52" s="39" t="str">
        <f>'Por Valoracion (3) Dimension 2'!J52</f>
        <v>0</v>
      </c>
      <c r="BX52" s="48"/>
      <c r="BZ52" s="49"/>
      <c r="CB52" t="str">
        <f>('Inteligencia emocional'!A53)</f>
        <v>0</v>
      </c>
      <c r="CC52" s="39" t="str">
        <f>'Por Valoracion (3) Dimension 2'!B52</f>
        <v>0</v>
      </c>
      <c r="CD52" s="39" t="str">
        <f>'Por Valoracion (3) Dimension'!H52</f>
        <v>0</v>
      </c>
      <c r="CY52" s="49"/>
      <c r="DA52" t="str">
        <f>('Inteligencia emocional'!A53)</f>
        <v>0</v>
      </c>
      <c r="DB52" s="39" t="str">
        <f>'Por Valoracion (3) Dimension 2'!D52</f>
        <v>0</v>
      </c>
      <c r="DC52" s="39" t="str">
        <f>'Por Valoracion (3) Dimension'!H52</f>
        <v>0</v>
      </c>
      <c r="DX52" s="49"/>
      <c r="DZ52" t="str">
        <f>('Inteligencia emocional'!A53)</f>
        <v>0</v>
      </c>
      <c r="EA52" s="39" t="str">
        <f>'Por Valoracion (3) Dimension 2'!F52</f>
        <v>0</v>
      </c>
      <c r="EB52" s="39" t="str">
        <f>'Por Valoracion (3) Dimension'!H52</f>
        <v>0</v>
      </c>
      <c r="EW52" s="49"/>
      <c r="EY52" t="str">
        <f>('Inteligencia emocional'!A53)</f>
        <v>0</v>
      </c>
      <c r="EZ52" s="39" t="str">
        <f>'Por Valoracion (3) Dimension 2'!H52</f>
        <v>0</v>
      </c>
      <c r="FA52" s="39" t="str">
        <f>'Por Valoracion (3) Dimension'!H52</f>
        <v>0</v>
      </c>
      <c r="FV52" s="49"/>
    </row>
    <row r="53" spans="1:178">
      <c r="A53" s="48"/>
      <c r="C53" t="str">
        <f>('Inteligencia emocional'!A54)</f>
        <v>0</v>
      </c>
      <c r="D53" s="39" t="str">
        <f>'Por Valoracion (3) Dimension'!B53</f>
        <v>0</v>
      </c>
      <c r="E53" s="39" t="str">
        <f>'Por Valoracion (3) Dimension 2'!J53</f>
        <v>0</v>
      </c>
      <c r="Z53" s="48"/>
      <c r="AB53" t="str">
        <f>('Inteligencia emocional'!A54)</f>
        <v>0</v>
      </c>
      <c r="AC53" s="39" t="str">
        <f>'Por Valoracion (3) Dimension'!D53</f>
        <v>0</v>
      </c>
      <c r="AD53" s="39" t="str">
        <f>'Por Valoracion (3) Dimension 2'!J53</f>
        <v>0</v>
      </c>
      <c r="AY53" s="48"/>
      <c r="BA53" t="str">
        <f>('Inteligencia emocional'!A54)</f>
        <v>0</v>
      </c>
      <c r="BB53" s="39" t="str">
        <f>'Por Valoracion (3) Dimension'!F53</f>
        <v>0</v>
      </c>
      <c r="BC53" s="39" t="str">
        <f>'Por Valoracion (3) Dimension 2'!J53</f>
        <v>0</v>
      </c>
      <c r="BX53" s="48"/>
      <c r="BZ53" s="49"/>
      <c r="CB53" t="str">
        <f>('Inteligencia emocional'!A54)</f>
        <v>0</v>
      </c>
      <c r="CC53" s="39" t="str">
        <f>'Por Valoracion (3) Dimension 2'!B53</f>
        <v>0</v>
      </c>
      <c r="CD53" s="39" t="str">
        <f>'Por Valoracion (3) Dimension'!H53</f>
        <v>0</v>
      </c>
      <c r="CY53" s="49"/>
      <c r="DA53" t="str">
        <f>('Inteligencia emocional'!A54)</f>
        <v>0</v>
      </c>
      <c r="DB53" s="39" t="str">
        <f>'Por Valoracion (3) Dimension 2'!D53</f>
        <v>0</v>
      </c>
      <c r="DC53" s="39" t="str">
        <f>'Por Valoracion (3) Dimension'!H53</f>
        <v>0</v>
      </c>
      <c r="DX53" s="49"/>
      <c r="DZ53" t="str">
        <f>('Inteligencia emocional'!A54)</f>
        <v>0</v>
      </c>
      <c r="EA53" s="39" t="str">
        <f>'Por Valoracion (3) Dimension 2'!F53</f>
        <v>0</v>
      </c>
      <c r="EB53" s="39" t="str">
        <f>'Por Valoracion (3) Dimension'!H53</f>
        <v>0</v>
      </c>
      <c r="EW53" s="49"/>
      <c r="EY53" t="str">
        <f>('Inteligencia emocional'!A54)</f>
        <v>0</v>
      </c>
      <c r="EZ53" s="39" t="str">
        <f>'Por Valoracion (3) Dimension 2'!H53</f>
        <v>0</v>
      </c>
      <c r="FA53" s="39" t="str">
        <f>'Por Valoracion (3) Dimension'!H53</f>
        <v>0</v>
      </c>
      <c r="FV53" s="49"/>
    </row>
    <row r="54" spans="1:178">
      <c r="A54" s="48"/>
      <c r="C54" t="str">
        <f>('Inteligencia emocional'!A55)</f>
        <v>0</v>
      </c>
      <c r="D54" s="39" t="str">
        <f>'Por Valoracion (3) Dimension'!B54</f>
        <v>0</v>
      </c>
      <c r="E54" s="39" t="str">
        <f>'Por Valoracion (3) Dimension 2'!J54</f>
        <v>0</v>
      </c>
      <c r="Z54" s="48"/>
      <c r="AB54" t="str">
        <f>('Inteligencia emocional'!A55)</f>
        <v>0</v>
      </c>
      <c r="AC54" s="39" t="str">
        <f>'Por Valoracion (3) Dimension'!D54</f>
        <v>0</v>
      </c>
      <c r="AD54" s="39" t="str">
        <f>'Por Valoracion (3) Dimension 2'!J54</f>
        <v>0</v>
      </c>
      <c r="AY54" s="48"/>
      <c r="BA54" t="str">
        <f>('Inteligencia emocional'!A55)</f>
        <v>0</v>
      </c>
      <c r="BB54" s="39" t="str">
        <f>'Por Valoracion (3) Dimension'!F54</f>
        <v>0</v>
      </c>
      <c r="BC54" s="39" t="str">
        <f>'Por Valoracion (3) Dimension 2'!J54</f>
        <v>0</v>
      </c>
      <c r="BX54" s="48"/>
      <c r="BZ54" s="49"/>
      <c r="CB54" t="str">
        <f>('Inteligencia emocional'!A55)</f>
        <v>0</v>
      </c>
      <c r="CC54" s="39" t="str">
        <f>'Por Valoracion (3) Dimension 2'!B54</f>
        <v>0</v>
      </c>
      <c r="CD54" s="39" t="str">
        <f>'Por Valoracion (3) Dimension'!H54</f>
        <v>0</v>
      </c>
      <c r="CY54" s="49"/>
      <c r="DA54" t="str">
        <f>('Inteligencia emocional'!A55)</f>
        <v>0</v>
      </c>
      <c r="DB54" s="39" t="str">
        <f>'Por Valoracion (3) Dimension 2'!D54</f>
        <v>0</v>
      </c>
      <c r="DC54" s="39" t="str">
        <f>'Por Valoracion (3) Dimension'!H54</f>
        <v>0</v>
      </c>
      <c r="DX54" s="49"/>
      <c r="DZ54" t="str">
        <f>('Inteligencia emocional'!A55)</f>
        <v>0</v>
      </c>
      <c r="EA54" s="39" t="str">
        <f>'Por Valoracion (3) Dimension 2'!F54</f>
        <v>0</v>
      </c>
      <c r="EB54" s="39" t="str">
        <f>'Por Valoracion (3) Dimension'!H54</f>
        <v>0</v>
      </c>
      <c r="EW54" s="49"/>
      <c r="EY54" t="str">
        <f>('Inteligencia emocional'!A55)</f>
        <v>0</v>
      </c>
      <c r="EZ54" s="39" t="str">
        <f>'Por Valoracion (3) Dimension 2'!H54</f>
        <v>0</v>
      </c>
      <c r="FA54" s="39" t="str">
        <f>'Por Valoracion (3) Dimension'!H54</f>
        <v>0</v>
      </c>
      <c r="FV54" s="49"/>
    </row>
    <row r="55" spans="1:178">
      <c r="A55" s="48"/>
      <c r="C55" t="str">
        <f>('Inteligencia emocional'!A56)</f>
        <v>0</v>
      </c>
      <c r="D55" s="39" t="str">
        <f>'Por Valoracion (3) Dimension'!B55</f>
        <v>0</v>
      </c>
      <c r="E55" s="39" t="str">
        <f>'Por Valoracion (3) Dimension 2'!J55</f>
        <v>0</v>
      </c>
      <c r="Z55" s="48"/>
      <c r="AB55" t="str">
        <f>('Inteligencia emocional'!A56)</f>
        <v>0</v>
      </c>
      <c r="AC55" s="39" t="str">
        <f>'Por Valoracion (3) Dimension'!D55</f>
        <v>0</v>
      </c>
      <c r="AD55" s="39" t="str">
        <f>'Por Valoracion (3) Dimension 2'!J55</f>
        <v>0</v>
      </c>
      <c r="AY55" s="48"/>
      <c r="BA55" t="str">
        <f>('Inteligencia emocional'!A56)</f>
        <v>0</v>
      </c>
      <c r="BB55" s="39" t="str">
        <f>'Por Valoracion (3) Dimension'!F55</f>
        <v>0</v>
      </c>
      <c r="BC55" s="39" t="str">
        <f>'Por Valoracion (3) Dimension 2'!J55</f>
        <v>0</v>
      </c>
      <c r="BX55" s="48"/>
      <c r="BZ55" s="49"/>
      <c r="CB55" t="str">
        <f>('Inteligencia emocional'!A56)</f>
        <v>0</v>
      </c>
      <c r="CC55" s="39" t="str">
        <f>'Por Valoracion (3) Dimension 2'!B55</f>
        <v>0</v>
      </c>
      <c r="CD55" s="39" t="str">
        <f>'Por Valoracion (3) Dimension'!H55</f>
        <v>0</v>
      </c>
      <c r="CY55" s="49"/>
      <c r="DA55" t="str">
        <f>('Inteligencia emocional'!A56)</f>
        <v>0</v>
      </c>
      <c r="DB55" s="39" t="str">
        <f>'Por Valoracion (3) Dimension 2'!D55</f>
        <v>0</v>
      </c>
      <c r="DC55" s="39" t="str">
        <f>'Por Valoracion (3) Dimension'!H55</f>
        <v>0</v>
      </c>
      <c r="DX55" s="49"/>
      <c r="DZ55" t="str">
        <f>('Inteligencia emocional'!A56)</f>
        <v>0</v>
      </c>
      <c r="EA55" s="39" t="str">
        <f>'Por Valoracion (3) Dimension 2'!F55</f>
        <v>0</v>
      </c>
      <c r="EB55" s="39" t="str">
        <f>'Por Valoracion (3) Dimension'!H55</f>
        <v>0</v>
      </c>
      <c r="EW55" s="49"/>
      <c r="EY55" t="str">
        <f>('Inteligencia emocional'!A56)</f>
        <v>0</v>
      </c>
      <c r="EZ55" s="39" t="str">
        <f>'Por Valoracion (3) Dimension 2'!H55</f>
        <v>0</v>
      </c>
      <c r="FA55" s="39" t="str">
        <f>'Por Valoracion (3) Dimension'!H55</f>
        <v>0</v>
      </c>
      <c r="FV55" s="49"/>
    </row>
    <row r="56" spans="1:178">
      <c r="A56" s="48"/>
      <c r="C56" t="str">
        <f>('Inteligencia emocional'!A57)</f>
        <v>0</v>
      </c>
      <c r="D56" s="39" t="str">
        <f>'Por Valoracion (3) Dimension'!B56</f>
        <v>0</v>
      </c>
      <c r="E56" s="39" t="str">
        <f>'Por Valoracion (3) Dimension 2'!J56</f>
        <v>0</v>
      </c>
      <c r="Z56" s="48"/>
      <c r="AB56" t="str">
        <f>('Inteligencia emocional'!A57)</f>
        <v>0</v>
      </c>
      <c r="AC56" s="39" t="str">
        <f>'Por Valoracion (3) Dimension'!D56</f>
        <v>0</v>
      </c>
      <c r="AD56" s="39" t="str">
        <f>'Por Valoracion (3) Dimension 2'!J56</f>
        <v>0</v>
      </c>
      <c r="AY56" s="48"/>
      <c r="BA56" t="str">
        <f>('Inteligencia emocional'!A57)</f>
        <v>0</v>
      </c>
      <c r="BB56" s="39" t="str">
        <f>'Por Valoracion (3) Dimension'!F56</f>
        <v>0</v>
      </c>
      <c r="BC56" s="39" t="str">
        <f>'Por Valoracion (3) Dimension 2'!J56</f>
        <v>0</v>
      </c>
      <c r="BX56" s="48"/>
      <c r="BZ56" s="49"/>
      <c r="CB56" t="str">
        <f>('Inteligencia emocional'!A57)</f>
        <v>0</v>
      </c>
      <c r="CC56" s="39" t="str">
        <f>'Por Valoracion (3) Dimension 2'!B56</f>
        <v>0</v>
      </c>
      <c r="CD56" s="39" t="str">
        <f>'Por Valoracion (3) Dimension'!H56</f>
        <v>0</v>
      </c>
      <c r="CY56" s="49"/>
      <c r="DA56" t="str">
        <f>('Inteligencia emocional'!A57)</f>
        <v>0</v>
      </c>
      <c r="DB56" s="39" t="str">
        <f>'Por Valoracion (3) Dimension 2'!D56</f>
        <v>0</v>
      </c>
      <c r="DC56" s="39" t="str">
        <f>'Por Valoracion (3) Dimension'!H56</f>
        <v>0</v>
      </c>
      <c r="DX56" s="49"/>
      <c r="DZ56" t="str">
        <f>('Inteligencia emocional'!A57)</f>
        <v>0</v>
      </c>
      <c r="EA56" s="39" t="str">
        <f>'Por Valoracion (3) Dimension 2'!F56</f>
        <v>0</v>
      </c>
      <c r="EB56" s="39" t="str">
        <f>'Por Valoracion (3) Dimension'!H56</f>
        <v>0</v>
      </c>
      <c r="EW56" s="49"/>
      <c r="EY56" t="str">
        <f>('Inteligencia emocional'!A57)</f>
        <v>0</v>
      </c>
      <c r="EZ56" s="39" t="str">
        <f>'Por Valoracion (3) Dimension 2'!H56</f>
        <v>0</v>
      </c>
      <c r="FA56" s="39" t="str">
        <f>'Por Valoracion (3) Dimension'!H56</f>
        <v>0</v>
      </c>
      <c r="FV56" s="49"/>
    </row>
    <row r="57" spans="1:178">
      <c r="A57" s="48"/>
      <c r="C57" t="str">
        <f>('Inteligencia emocional'!A58)</f>
        <v>0</v>
      </c>
      <c r="D57" s="39" t="str">
        <f>'Por Valoracion (3) Dimension'!B57</f>
        <v>0</v>
      </c>
      <c r="E57" s="39" t="str">
        <f>'Por Valoracion (3) Dimension 2'!J57</f>
        <v>0</v>
      </c>
      <c r="Z57" s="48"/>
      <c r="AB57" t="str">
        <f>('Inteligencia emocional'!A58)</f>
        <v>0</v>
      </c>
      <c r="AC57" s="39" t="str">
        <f>'Por Valoracion (3) Dimension'!D57</f>
        <v>0</v>
      </c>
      <c r="AD57" s="39" t="str">
        <f>'Por Valoracion (3) Dimension 2'!J57</f>
        <v>0</v>
      </c>
      <c r="AY57" s="48"/>
      <c r="BA57" t="str">
        <f>('Inteligencia emocional'!A58)</f>
        <v>0</v>
      </c>
      <c r="BB57" s="39" t="str">
        <f>'Por Valoracion (3) Dimension'!F57</f>
        <v>0</v>
      </c>
      <c r="BC57" s="39" t="str">
        <f>'Por Valoracion (3) Dimension 2'!J57</f>
        <v>0</v>
      </c>
      <c r="BX57" s="48"/>
      <c r="BZ57" s="49"/>
      <c r="CB57" t="str">
        <f>('Inteligencia emocional'!A58)</f>
        <v>0</v>
      </c>
      <c r="CC57" s="39" t="str">
        <f>'Por Valoracion (3) Dimension 2'!B57</f>
        <v>0</v>
      </c>
      <c r="CD57" s="39" t="str">
        <f>'Por Valoracion (3) Dimension'!H57</f>
        <v>0</v>
      </c>
      <c r="CY57" s="49"/>
      <c r="DA57" t="str">
        <f>('Inteligencia emocional'!A58)</f>
        <v>0</v>
      </c>
      <c r="DB57" s="39" t="str">
        <f>'Por Valoracion (3) Dimension 2'!D57</f>
        <v>0</v>
      </c>
      <c r="DC57" s="39" t="str">
        <f>'Por Valoracion (3) Dimension'!H57</f>
        <v>0</v>
      </c>
      <c r="DX57" s="49"/>
      <c r="DZ57" t="str">
        <f>('Inteligencia emocional'!A58)</f>
        <v>0</v>
      </c>
      <c r="EA57" s="39" t="str">
        <f>'Por Valoracion (3) Dimension 2'!F57</f>
        <v>0</v>
      </c>
      <c r="EB57" s="39" t="str">
        <f>'Por Valoracion (3) Dimension'!H57</f>
        <v>0</v>
      </c>
      <c r="EW57" s="49"/>
      <c r="EY57" t="str">
        <f>('Inteligencia emocional'!A58)</f>
        <v>0</v>
      </c>
      <c r="EZ57" s="39" t="str">
        <f>'Por Valoracion (3) Dimension 2'!H57</f>
        <v>0</v>
      </c>
      <c r="FA57" s="39" t="str">
        <f>'Por Valoracion (3) Dimension'!H57</f>
        <v>0</v>
      </c>
      <c r="FV57" s="49"/>
    </row>
    <row r="58" spans="1:178">
      <c r="A58" s="48"/>
      <c r="C58" t="str">
        <f>('Inteligencia emocional'!A59)</f>
        <v>0</v>
      </c>
      <c r="D58" s="39" t="str">
        <f>'Por Valoracion (3) Dimension'!B58</f>
        <v>0</v>
      </c>
      <c r="E58" s="39" t="str">
        <f>'Por Valoracion (3) Dimension 2'!J58</f>
        <v>0</v>
      </c>
      <c r="Z58" s="48"/>
      <c r="AB58" t="str">
        <f>('Inteligencia emocional'!A59)</f>
        <v>0</v>
      </c>
      <c r="AC58" s="39" t="str">
        <f>'Por Valoracion (3) Dimension'!D58</f>
        <v>0</v>
      </c>
      <c r="AD58" s="39" t="str">
        <f>'Por Valoracion (3) Dimension 2'!J58</f>
        <v>0</v>
      </c>
      <c r="AY58" s="48"/>
      <c r="BA58" t="str">
        <f>('Inteligencia emocional'!A59)</f>
        <v>0</v>
      </c>
      <c r="BB58" s="39" t="str">
        <f>'Por Valoracion (3) Dimension'!F58</f>
        <v>0</v>
      </c>
      <c r="BC58" s="39" t="str">
        <f>'Por Valoracion (3) Dimension 2'!J58</f>
        <v>0</v>
      </c>
      <c r="BX58" s="48"/>
      <c r="BZ58" s="49"/>
      <c r="CB58" t="str">
        <f>('Inteligencia emocional'!A59)</f>
        <v>0</v>
      </c>
      <c r="CC58" s="39" t="str">
        <f>'Por Valoracion (3) Dimension 2'!B58</f>
        <v>0</v>
      </c>
      <c r="CD58" s="39" t="str">
        <f>'Por Valoracion (3) Dimension'!H58</f>
        <v>0</v>
      </c>
      <c r="CY58" s="49"/>
      <c r="DA58" t="str">
        <f>('Inteligencia emocional'!A59)</f>
        <v>0</v>
      </c>
      <c r="DB58" s="39" t="str">
        <f>'Por Valoracion (3) Dimension 2'!D58</f>
        <v>0</v>
      </c>
      <c r="DC58" s="39" t="str">
        <f>'Por Valoracion (3) Dimension'!H58</f>
        <v>0</v>
      </c>
      <c r="DX58" s="49"/>
      <c r="DZ58" t="str">
        <f>('Inteligencia emocional'!A59)</f>
        <v>0</v>
      </c>
      <c r="EA58" s="39" t="str">
        <f>'Por Valoracion (3) Dimension 2'!F58</f>
        <v>0</v>
      </c>
      <c r="EB58" s="39" t="str">
        <f>'Por Valoracion (3) Dimension'!H58</f>
        <v>0</v>
      </c>
      <c r="EW58" s="49"/>
      <c r="EY58" t="str">
        <f>('Inteligencia emocional'!A59)</f>
        <v>0</v>
      </c>
      <c r="EZ58" s="39" t="str">
        <f>'Por Valoracion (3) Dimension 2'!H58</f>
        <v>0</v>
      </c>
      <c r="FA58" s="39" t="str">
        <f>'Por Valoracion (3) Dimension'!H58</f>
        <v>0</v>
      </c>
      <c r="FV58" s="49"/>
    </row>
    <row r="59" spans="1:178">
      <c r="A59" s="48"/>
      <c r="C59" t="str">
        <f>('Inteligencia emocional'!A60)</f>
        <v>0</v>
      </c>
      <c r="D59" s="39" t="str">
        <f>'Por Valoracion (3) Dimension'!B59</f>
        <v>0</v>
      </c>
      <c r="E59" s="39" t="str">
        <f>'Por Valoracion (3) Dimension 2'!J59</f>
        <v>0</v>
      </c>
      <c r="Z59" s="48"/>
      <c r="AB59" t="str">
        <f>('Inteligencia emocional'!A60)</f>
        <v>0</v>
      </c>
      <c r="AC59" s="39" t="str">
        <f>'Por Valoracion (3) Dimension'!D59</f>
        <v>0</v>
      </c>
      <c r="AD59" s="39" t="str">
        <f>'Por Valoracion (3) Dimension 2'!J59</f>
        <v>0</v>
      </c>
      <c r="AY59" s="48"/>
      <c r="BA59" t="str">
        <f>('Inteligencia emocional'!A60)</f>
        <v>0</v>
      </c>
      <c r="BB59" s="39" t="str">
        <f>'Por Valoracion (3) Dimension'!F59</f>
        <v>0</v>
      </c>
      <c r="BC59" s="39" t="str">
        <f>'Por Valoracion (3) Dimension 2'!J59</f>
        <v>0</v>
      </c>
      <c r="BX59" s="48"/>
      <c r="BZ59" s="49"/>
      <c r="CB59" t="str">
        <f>('Inteligencia emocional'!A60)</f>
        <v>0</v>
      </c>
      <c r="CC59" s="39" t="str">
        <f>'Por Valoracion (3) Dimension 2'!B59</f>
        <v>0</v>
      </c>
      <c r="CD59" s="39" t="str">
        <f>'Por Valoracion (3) Dimension'!H59</f>
        <v>0</v>
      </c>
      <c r="CY59" s="49"/>
      <c r="DA59" t="str">
        <f>('Inteligencia emocional'!A60)</f>
        <v>0</v>
      </c>
      <c r="DB59" s="39" t="str">
        <f>'Por Valoracion (3) Dimension 2'!D59</f>
        <v>0</v>
      </c>
      <c r="DC59" s="39" t="str">
        <f>'Por Valoracion (3) Dimension'!H59</f>
        <v>0</v>
      </c>
      <c r="DX59" s="49"/>
      <c r="DZ59" t="str">
        <f>('Inteligencia emocional'!A60)</f>
        <v>0</v>
      </c>
      <c r="EA59" s="39" t="str">
        <f>'Por Valoracion (3) Dimension 2'!F59</f>
        <v>0</v>
      </c>
      <c r="EB59" s="39" t="str">
        <f>'Por Valoracion (3) Dimension'!H59</f>
        <v>0</v>
      </c>
      <c r="EW59" s="49"/>
      <c r="EY59" t="str">
        <f>('Inteligencia emocional'!A60)</f>
        <v>0</v>
      </c>
      <c r="EZ59" s="39" t="str">
        <f>'Por Valoracion (3) Dimension 2'!H59</f>
        <v>0</v>
      </c>
      <c r="FA59" s="39" t="str">
        <f>'Por Valoracion (3) Dimension'!H59</f>
        <v>0</v>
      </c>
      <c r="FV59" s="49"/>
    </row>
    <row r="60" spans="1:178">
      <c r="A60" s="48"/>
      <c r="C60" t="str">
        <f>('Inteligencia emocional'!A61)</f>
        <v>0</v>
      </c>
      <c r="D60" s="39" t="str">
        <f>'Por Valoracion (3) Dimension'!B60</f>
        <v>0</v>
      </c>
      <c r="E60" s="39" t="str">
        <f>'Por Valoracion (3) Dimension 2'!J60</f>
        <v>0</v>
      </c>
      <c r="Z60" s="48"/>
      <c r="AB60" t="str">
        <f>('Inteligencia emocional'!A61)</f>
        <v>0</v>
      </c>
      <c r="AC60" s="39" t="str">
        <f>'Por Valoracion (3) Dimension'!D60</f>
        <v>0</v>
      </c>
      <c r="AD60" s="39" t="str">
        <f>'Por Valoracion (3) Dimension 2'!J60</f>
        <v>0</v>
      </c>
      <c r="AY60" s="48"/>
      <c r="BA60" t="str">
        <f>('Inteligencia emocional'!A61)</f>
        <v>0</v>
      </c>
      <c r="BB60" s="39" t="str">
        <f>'Por Valoracion (3) Dimension'!F60</f>
        <v>0</v>
      </c>
      <c r="BC60" s="39" t="str">
        <f>'Por Valoracion (3) Dimension 2'!J60</f>
        <v>0</v>
      </c>
      <c r="BX60" s="48"/>
      <c r="BZ60" s="49"/>
      <c r="CB60" t="str">
        <f>('Inteligencia emocional'!A61)</f>
        <v>0</v>
      </c>
      <c r="CC60" s="39" t="str">
        <f>'Por Valoracion (3) Dimension 2'!B60</f>
        <v>0</v>
      </c>
      <c r="CD60" s="39" t="str">
        <f>'Por Valoracion (3) Dimension'!H60</f>
        <v>0</v>
      </c>
      <c r="CY60" s="49"/>
      <c r="DA60" t="str">
        <f>('Inteligencia emocional'!A61)</f>
        <v>0</v>
      </c>
      <c r="DB60" s="39" t="str">
        <f>'Por Valoracion (3) Dimension 2'!D60</f>
        <v>0</v>
      </c>
      <c r="DC60" s="39" t="str">
        <f>'Por Valoracion (3) Dimension'!H60</f>
        <v>0</v>
      </c>
      <c r="DX60" s="49"/>
      <c r="DZ60" t="str">
        <f>('Inteligencia emocional'!A61)</f>
        <v>0</v>
      </c>
      <c r="EA60" s="39" t="str">
        <f>'Por Valoracion (3) Dimension 2'!F60</f>
        <v>0</v>
      </c>
      <c r="EB60" s="39" t="str">
        <f>'Por Valoracion (3) Dimension'!H60</f>
        <v>0</v>
      </c>
      <c r="EW60" s="49"/>
      <c r="EY60" t="str">
        <f>('Inteligencia emocional'!A61)</f>
        <v>0</v>
      </c>
      <c r="EZ60" s="39" t="str">
        <f>'Por Valoracion (3) Dimension 2'!H60</f>
        <v>0</v>
      </c>
      <c r="FA60" s="39" t="str">
        <f>'Por Valoracion (3) Dimension'!H60</f>
        <v>0</v>
      </c>
      <c r="FV60" s="49"/>
    </row>
    <row r="61" spans="1:178">
      <c r="A61" s="48"/>
      <c r="C61" t="str">
        <f>('Inteligencia emocional'!A62)</f>
        <v>0</v>
      </c>
      <c r="D61" s="39" t="str">
        <f>'Por Valoracion (3) Dimension'!B61</f>
        <v>0</v>
      </c>
      <c r="E61" s="39" t="str">
        <f>'Por Valoracion (3) Dimension 2'!J61</f>
        <v>0</v>
      </c>
      <c r="Z61" s="48"/>
      <c r="AB61" t="str">
        <f>('Inteligencia emocional'!A62)</f>
        <v>0</v>
      </c>
      <c r="AC61" s="39" t="str">
        <f>'Por Valoracion (3) Dimension'!D61</f>
        <v>0</v>
      </c>
      <c r="AD61" s="39" t="str">
        <f>'Por Valoracion (3) Dimension 2'!J61</f>
        <v>0</v>
      </c>
      <c r="AY61" s="48"/>
      <c r="BA61" t="str">
        <f>('Inteligencia emocional'!A62)</f>
        <v>0</v>
      </c>
      <c r="BB61" s="39" t="str">
        <f>'Por Valoracion (3) Dimension'!F61</f>
        <v>0</v>
      </c>
      <c r="BC61" s="39" t="str">
        <f>'Por Valoracion (3) Dimension 2'!J61</f>
        <v>0</v>
      </c>
      <c r="BX61" s="48"/>
      <c r="BZ61" s="49"/>
      <c r="CB61" t="str">
        <f>('Inteligencia emocional'!A62)</f>
        <v>0</v>
      </c>
      <c r="CC61" s="39" t="str">
        <f>'Por Valoracion (3) Dimension 2'!B61</f>
        <v>0</v>
      </c>
      <c r="CD61" s="39" t="str">
        <f>'Por Valoracion (3) Dimension'!H61</f>
        <v>0</v>
      </c>
      <c r="CY61" s="49"/>
      <c r="DA61" t="str">
        <f>('Inteligencia emocional'!A62)</f>
        <v>0</v>
      </c>
      <c r="DB61" s="39" t="str">
        <f>'Por Valoracion (3) Dimension 2'!D61</f>
        <v>0</v>
      </c>
      <c r="DC61" s="39" t="str">
        <f>'Por Valoracion (3) Dimension'!H61</f>
        <v>0</v>
      </c>
      <c r="DX61" s="49"/>
      <c r="DZ61" t="str">
        <f>('Inteligencia emocional'!A62)</f>
        <v>0</v>
      </c>
      <c r="EA61" s="39" t="str">
        <f>'Por Valoracion (3) Dimension 2'!F61</f>
        <v>0</v>
      </c>
      <c r="EB61" s="39" t="str">
        <f>'Por Valoracion (3) Dimension'!H61</f>
        <v>0</v>
      </c>
      <c r="EW61" s="49"/>
      <c r="EY61" t="str">
        <f>('Inteligencia emocional'!A62)</f>
        <v>0</v>
      </c>
      <c r="EZ61" s="39" t="str">
        <f>'Por Valoracion (3) Dimension 2'!H61</f>
        <v>0</v>
      </c>
      <c r="FA61" s="39" t="str">
        <f>'Por Valoracion (3) Dimension'!H61</f>
        <v>0</v>
      </c>
      <c r="FV61" s="49"/>
    </row>
    <row r="62" spans="1:178">
      <c r="A62" s="48"/>
      <c r="C62" t="str">
        <f>('Inteligencia emocional'!A63)</f>
        <v>0</v>
      </c>
      <c r="D62" s="39" t="str">
        <f>'Por Valoracion (3) Dimension'!B62</f>
        <v>0</v>
      </c>
      <c r="E62" s="39" t="str">
        <f>'Por Valoracion (3) Dimension 2'!J62</f>
        <v>0</v>
      </c>
      <c r="Z62" s="48"/>
      <c r="AB62" t="str">
        <f>('Inteligencia emocional'!A63)</f>
        <v>0</v>
      </c>
      <c r="AC62" s="39" t="str">
        <f>'Por Valoracion (3) Dimension'!D62</f>
        <v>0</v>
      </c>
      <c r="AD62" s="39" t="str">
        <f>'Por Valoracion (3) Dimension 2'!J62</f>
        <v>0</v>
      </c>
      <c r="AY62" s="48"/>
      <c r="BA62" t="str">
        <f>('Inteligencia emocional'!A63)</f>
        <v>0</v>
      </c>
      <c r="BB62" s="39" t="str">
        <f>'Por Valoracion (3) Dimension'!F62</f>
        <v>0</v>
      </c>
      <c r="BC62" s="39" t="str">
        <f>'Por Valoracion (3) Dimension 2'!J62</f>
        <v>0</v>
      </c>
      <c r="BX62" s="48"/>
      <c r="BZ62" s="49"/>
      <c r="CB62" t="str">
        <f>('Inteligencia emocional'!A63)</f>
        <v>0</v>
      </c>
      <c r="CC62" s="39" t="str">
        <f>'Por Valoracion (3) Dimension 2'!B62</f>
        <v>0</v>
      </c>
      <c r="CD62" s="39" t="str">
        <f>'Por Valoracion (3) Dimension'!H62</f>
        <v>0</v>
      </c>
      <c r="CY62" s="49"/>
      <c r="DA62" t="str">
        <f>('Inteligencia emocional'!A63)</f>
        <v>0</v>
      </c>
      <c r="DB62" s="39" t="str">
        <f>'Por Valoracion (3) Dimension 2'!D62</f>
        <v>0</v>
      </c>
      <c r="DC62" s="39" t="str">
        <f>'Por Valoracion (3) Dimension'!H62</f>
        <v>0</v>
      </c>
      <c r="DX62" s="49"/>
      <c r="DZ62" t="str">
        <f>('Inteligencia emocional'!A63)</f>
        <v>0</v>
      </c>
      <c r="EA62" s="39" t="str">
        <f>'Por Valoracion (3) Dimension 2'!F62</f>
        <v>0</v>
      </c>
      <c r="EB62" s="39" t="str">
        <f>'Por Valoracion (3) Dimension'!H62</f>
        <v>0</v>
      </c>
      <c r="EW62" s="49"/>
      <c r="EY62" t="str">
        <f>('Inteligencia emocional'!A63)</f>
        <v>0</v>
      </c>
      <c r="EZ62" s="39" t="str">
        <f>'Por Valoracion (3) Dimension 2'!H62</f>
        <v>0</v>
      </c>
      <c r="FA62" s="39" t="str">
        <f>'Por Valoracion (3) Dimension'!H62</f>
        <v>0</v>
      </c>
      <c r="FV62" s="49"/>
    </row>
    <row r="63" spans="1:178">
      <c r="A63" s="48"/>
      <c r="C63" t="str">
        <f>('Inteligencia emocional'!A64)</f>
        <v>0</v>
      </c>
      <c r="D63" s="39" t="str">
        <f>'Por Valoracion (3) Dimension'!B63</f>
        <v>0</v>
      </c>
      <c r="E63" s="39" t="str">
        <f>'Por Valoracion (3) Dimension 2'!J63</f>
        <v>0</v>
      </c>
      <c r="Z63" s="48"/>
      <c r="AB63" t="str">
        <f>('Inteligencia emocional'!A64)</f>
        <v>0</v>
      </c>
      <c r="AC63" s="39" t="str">
        <f>'Por Valoracion (3) Dimension'!D63</f>
        <v>0</v>
      </c>
      <c r="AD63" s="39" t="str">
        <f>'Por Valoracion (3) Dimension 2'!J63</f>
        <v>0</v>
      </c>
      <c r="AY63" s="48"/>
      <c r="BA63" t="str">
        <f>('Inteligencia emocional'!A64)</f>
        <v>0</v>
      </c>
      <c r="BB63" s="39" t="str">
        <f>'Por Valoracion (3) Dimension'!F63</f>
        <v>0</v>
      </c>
      <c r="BC63" s="39" t="str">
        <f>'Por Valoracion (3) Dimension 2'!J63</f>
        <v>0</v>
      </c>
      <c r="BX63" s="48"/>
      <c r="BZ63" s="49"/>
      <c r="CB63" t="str">
        <f>('Inteligencia emocional'!A64)</f>
        <v>0</v>
      </c>
      <c r="CC63" s="39" t="str">
        <f>'Por Valoracion (3) Dimension 2'!B63</f>
        <v>0</v>
      </c>
      <c r="CD63" s="39" t="str">
        <f>'Por Valoracion (3) Dimension'!H63</f>
        <v>0</v>
      </c>
      <c r="CY63" s="49"/>
      <c r="DA63" t="str">
        <f>('Inteligencia emocional'!A64)</f>
        <v>0</v>
      </c>
      <c r="DB63" s="39" t="str">
        <f>'Por Valoracion (3) Dimension 2'!D63</f>
        <v>0</v>
      </c>
      <c r="DC63" s="39" t="str">
        <f>'Por Valoracion (3) Dimension'!H63</f>
        <v>0</v>
      </c>
      <c r="DX63" s="49"/>
      <c r="DZ63" t="str">
        <f>('Inteligencia emocional'!A64)</f>
        <v>0</v>
      </c>
      <c r="EA63" s="39" t="str">
        <f>'Por Valoracion (3) Dimension 2'!F63</f>
        <v>0</v>
      </c>
      <c r="EB63" s="39" t="str">
        <f>'Por Valoracion (3) Dimension'!H63</f>
        <v>0</v>
      </c>
      <c r="EW63" s="49"/>
      <c r="EY63" t="str">
        <f>('Inteligencia emocional'!A64)</f>
        <v>0</v>
      </c>
      <c r="EZ63" s="39" t="str">
        <f>'Por Valoracion (3) Dimension 2'!H63</f>
        <v>0</v>
      </c>
      <c r="FA63" s="39" t="str">
        <f>'Por Valoracion (3) Dimension'!H63</f>
        <v>0</v>
      </c>
      <c r="FV63" s="49"/>
    </row>
    <row r="64" spans="1:178">
      <c r="A64" s="48"/>
      <c r="C64" t="str">
        <f>('Inteligencia emocional'!A65)</f>
        <v>0</v>
      </c>
      <c r="D64" s="39" t="str">
        <f>'Por Valoracion (3) Dimension'!B64</f>
        <v>0</v>
      </c>
      <c r="E64" s="39" t="str">
        <f>'Por Valoracion (3) Dimension 2'!J64</f>
        <v>0</v>
      </c>
      <c r="Z64" s="48"/>
      <c r="AB64" t="str">
        <f>('Inteligencia emocional'!A65)</f>
        <v>0</v>
      </c>
      <c r="AC64" s="39" t="str">
        <f>'Por Valoracion (3) Dimension'!D64</f>
        <v>0</v>
      </c>
      <c r="AD64" s="39" t="str">
        <f>'Por Valoracion (3) Dimension 2'!J64</f>
        <v>0</v>
      </c>
      <c r="AY64" s="48"/>
      <c r="BA64" t="str">
        <f>('Inteligencia emocional'!A65)</f>
        <v>0</v>
      </c>
      <c r="BB64" s="39" t="str">
        <f>'Por Valoracion (3) Dimension'!F64</f>
        <v>0</v>
      </c>
      <c r="BC64" s="39" t="str">
        <f>'Por Valoracion (3) Dimension 2'!J64</f>
        <v>0</v>
      </c>
      <c r="BX64" s="48"/>
      <c r="BZ64" s="49"/>
      <c r="CB64" t="str">
        <f>('Inteligencia emocional'!A65)</f>
        <v>0</v>
      </c>
      <c r="CC64" s="39" t="str">
        <f>'Por Valoracion (3) Dimension 2'!B64</f>
        <v>0</v>
      </c>
      <c r="CD64" s="39" t="str">
        <f>'Por Valoracion (3) Dimension'!H64</f>
        <v>0</v>
      </c>
      <c r="CY64" s="49"/>
      <c r="DA64" t="str">
        <f>('Inteligencia emocional'!A65)</f>
        <v>0</v>
      </c>
      <c r="DB64" s="39" t="str">
        <f>'Por Valoracion (3) Dimension 2'!D64</f>
        <v>0</v>
      </c>
      <c r="DC64" s="39" t="str">
        <f>'Por Valoracion (3) Dimension'!H64</f>
        <v>0</v>
      </c>
      <c r="DX64" s="49"/>
      <c r="DZ64" t="str">
        <f>('Inteligencia emocional'!A65)</f>
        <v>0</v>
      </c>
      <c r="EA64" s="39" t="str">
        <f>'Por Valoracion (3) Dimension 2'!F64</f>
        <v>0</v>
      </c>
      <c r="EB64" s="39" t="str">
        <f>'Por Valoracion (3) Dimension'!H64</f>
        <v>0</v>
      </c>
      <c r="EW64" s="49"/>
      <c r="EY64" t="str">
        <f>('Inteligencia emocional'!A65)</f>
        <v>0</v>
      </c>
      <c r="EZ64" s="39" t="str">
        <f>'Por Valoracion (3) Dimension 2'!H64</f>
        <v>0</v>
      </c>
      <c r="FA64" s="39" t="str">
        <f>'Por Valoracion (3) Dimension'!H64</f>
        <v>0</v>
      </c>
      <c r="FV64" s="49"/>
    </row>
    <row r="65" spans="1:178">
      <c r="A65" s="48"/>
      <c r="C65" t="str">
        <f>('Inteligencia emocional'!A66)</f>
        <v>0</v>
      </c>
      <c r="D65" s="39" t="str">
        <f>'Por Valoracion (3) Dimension'!B65</f>
        <v>0</v>
      </c>
      <c r="E65" s="39" t="str">
        <f>'Por Valoracion (3) Dimension 2'!J65</f>
        <v>0</v>
      </c>
      <c r="Z65" s="48"/>
      <c r="AB65" t="str">
        <f>('Inteligencia emocional'!A66)</f>
        <v>0</v>
      </c>
      <c r="AC65" s="39" t="str">
        <f>'Por Valoracion (3) Dimension'!D65</f>
        <v>0</v>
      </c>
      <c r="AD65" s="39" t="str">
        <f>'Por Valoracion (3) Dimension 2'!J65</f>
        <v>0</v>
      </c>
      <c r="AY65" s="48"/>
      <c r="BA65" t="str">
        <f>('Inteligencia emocional'!A66)</f>
        <v>0</v>
      </c>
      <c r="BB65" s="39" t="str">
        <f>'Por Valoracion (3) Dimension'!F65</f>
        <v>0</v>
      </c>
      <c r="BC65" s="39" t="str">
        <f>'Por Valoracion (3) Dimension 2'!J65</f>
        <v>0</v>
      </c>
      <c r="BX65" s="48"/>
      <c r="BZ65" s="49"/>
      <c r="CB65" t="str">
        <f>('Inteligencia emocional'!A66)</f>
        <v>0</v>
      </c>
      <c r="CC65" s="39" t="str">
        <f>'Por Valoracion (3) Dimension 2'!B65</f>
        <v>0</v>
      </c>
      <c r="CD65" s="39" t="str">
        <f>'Por Valoracion (3) Dimension'!H65</f>
        <v>0</v>
      </c>
      <c r="CY65" s="49"/>
      <c r="DA65" t="str">
        <f>('Inteligencia emocional'!A66)</f>
        <v>0</v>
      </c>
      <c r="DB65" s="39" t="str">
        <f>'Por Valoracion (3) Dimension 2'!D65</f>
        <v>0</v>
      </c>
      <c r="DC65" s="39" t="str">
        <f>'Por Valoracion (3) Dimension'!H65</f>
        <v>0</v>
      </c>
      <c r="DX65" s="49"/>
      <c r="DZ65" t="str">
        <f>('Inteligencia emocional'!A66)</f>
        <v>0</v>
      </c>
      <c r="EA65" s="39" t="str">
        <f>'Por Valoracion (3) Dimension 2'!F65</f>
        <v>0</v>
      </c>
      <c r="EB65" s="39" t="str">
        <f>'Por Valoracion (3) Dimension'!H65</f>
        <v>0</v>
      </c>
      <c r="EW65" s="49"/>
      <c r="EY65" t="str">
        <f>('Inteligencia emocional'!A66)</f>
        <v>0</v>
      </c>
      <c r="EZ65" s="39" t="str">
        <f>'Por Valoracion (3) Dimension 2'!H65</f>
        <v>0</v>
      </c>
      <c r="FA65" s="39" t="str">
        <f>'Por Valoracion (3) Dimension'!H65</f>
        <v>0</v>
      </c>
      <c r="FV65" s="49"/>
    </row>
    <row r="66" spans="1:178">
      <c r="A66" s="48"/>
      <c r="C66" t="str">
        <f>('Inteligencia emocional'!A67)</f>
        <v>0</v>
      </c>
      <c r="D66" s="39" t="str">
        <f>'Por Valoracion (3) Dimension'!B66</f>
        <v>0</v>
      </c>
      <c r="E66" s="39" t="str">
        <f>'Por Valoracion (3) Dimension 2'!J66</f>
        <v>0</v>
      </c>
      <c r="Z66" s="48"/>
      <c r="AB66" t="str">
        <f>('Inteligencia emocional'!A67)</f>
        <v>0</v>
      </c>
      <c r="AC66" s="39" t="str">
        <f>'Por Valoracion (3) Dimension'!D66</f>
        <v>0</v>
      </c>
      <c r="AD66" s="39" t="str">
        <f>'Por Valoracion (3) Dimension 2'!J66</f>
        <v>0</v>
      </c>
      <c r="AY66" s="48"/>
      <c r="BA66" t="str">
        <f>('Inteligencia emocional'!A67)</f>
        <v>0</v>
      </c>
      <c r="BB66" s="39" t="str">
        <f>'Por Valoracion (3) Dimension'!F66</f>
        <v>0</v>
      </c>
      <c r="BC66" s="39" t="str">
        <f>'Por Valoracion (3) Dimension 2'!J66</f>
        <v>0</v>
      </c>
      <c r="BX66" s="48"/>
      <c r="BZ66" s="49"/>
      <c r="CB66" t="str">
        <f>('Inteligencia emocional'!A67)</f>
        <v>0</v>
      </c>
      <c r="CC66" s="39" t="str">
        <f>'Por Valoracion (3) Dimension 2'!B66</f>
        <v>0</v>
      </c>
      <c r="CD66" s="39" t="str">
        <f>'Por Valoracion (3) Dimension'!H66</f>
        <v>0</v>
      </c>
      <c r="CY66" s="49"/>
      <c r="DA66" t="str">
        <f>('Inteligencia emocional'!A67)</f>
        <v>0</v>
      </c>
      <c r="DB66" s="39" t="str">
        <f>'Por Valoracion (3) Dimension 2'!D66</f>
        <v>0</v>
      </c>
      <c r="DC66" s="39" t="str">
        <f>'Por Valoracion (3) Dimension'!H66</f>
        <v>0</v>
      </c>
      <c r="DX66" s="49"/>
      <c r="DZ66" t="str">
        <f>('Inteligencia emocional'!A67)</f>
        <v>0</v>
      </c>
      <c r="EA66" s="39" t="str">
        <f>'Por Valoracion (3) Dimension 2'!F66</f>
        <v>0</v>
      </c>
      <c r="EB66" s="39" t="str">
        <f>'Por Valoracion (3) Dimension'!H66</f>
        <v>0</v>
      </c>
      <c r="EW66" s="49"/>
      <c r="EY66" t="str">
        <f>('Inteligencia emocional'!A67)</f>
        <v>0</v>
      </c>
      <c r="EZ66" s="39" t="str">
        <f>'Por Valoracion (3) Dimension 2'!H66</f>
        <v>0</v>
      </c>
      <c r="FA66" s="39" t="str">
        <f>'Por Valoracion (3) Dimension'!H66</f>
        <v>0</v>
      </c>
      <c r="FV66" s="49"/>
    </row>
    <row r="67" spans="1:178">
      <c r="A67" s="48"/>
      <c r="C67" t="str">
        <f>('Inteligencia emocional'!A68)</f>
        <v>0</v>
      </c>
      <c r="D67" s="39" t="str">
        <f>'Por Valoracion (3) Dimension'!B67</f>
        <v>0</v>
      </c>
      <c r="E67" s="39" t="str">
        <f>'Por Valoracion (3) Dimension 2'!J67</f>
        <v>0</v>
      </c>
      <c r="Z67" s="48"/>
      <c r="AB67" t="str">
        <f>('Inteligencia emocional'!A68)</f>
        <v>0</v>
      </c>
      <c r="AC67" s="39" t="str">
        <f>'Por Valoracion (3) Dimension'!D67</f>
        <v>0</v>
      </c>
      <c r="AD67" s="39" t="str">
        <f>'Por Valoracion (3) Dimension 2'!J67</f>
        <v>0</v>
      </c>
      <c r="AY67" s="48"/>
      <c r="BA67" t="str">
        <f>('Inteligencia emocional'!A68)</f>
        <v>0</v>
      </c>
      <c r="BB67" s="39" t="str">
        <f>'Por Valoracion (3) Dimension'!F67</f>
        <v>0</v>
      </c>
      <c r="BC67" s="39" t="str">
        <f>'Por Valoracion (3) Dimension 2'!J67</f>
        <v>0</v>
      </c>
      <c r="BX67" s="48"/>
      <c r="BZ67" s="49"/>
      <c r="CB67" t="str">
        <f>('Inteligencia emocional'!A68)</f>
        <v>0</v>
      </c>
      <c r="CC67" s="39" t="str">
        <f>'Por Valoracion (3) Dimension 2'!B67</f>
        <v>0</v>
      </c>
      <c r="CD67" s="39" t="str">
        <f>'Por Valoracion (3) Dimension'!H67</f>
        <v>0</v>
      </c>
      <c r="CY67" s="49"/>
      <c r="DA67" t="str">
        <f>('Inteligencia emocional'!A68)</f>
        <v>0</v>
      </c>
      <c r="DB67" s="39" t="str">
        <f>'Por Valoracion (3) Dimension 2'!D67</f>
        <v>0</v>
      </c>
      <c r="DC67" s="39" t="str">
        <f>'Por Valoracion (3) Dimension'!H67</f>
        <v>0</v>
      </c>
      <c r="DX67" s="49"/>
      <c r="DZ67" t="str">
        <f>('Inteligencia emocional'!A68)</f>
        <v>0</v>
      </c>
      <c r="EA67" s="39" t="str">
        <f>'Por Valoracion (3) Dimension 2'!F67</f>
        <v>0</v>
      </c>
      <c r="EB67" s="39" t="str">
        <f>'Por Valoracion (3) Dimension'!H67</f>
        <v>0</v>
      </c>
      <c r="EW67" s="49"/>
      <c r="EY67" t="str">
        <f>('Inteligencia emocional'!A68)</f>
        <v>0</v>
      </c>
      <c r="EZ67" s="39" t="str">
        <f>'Por Valoracion (3) Dimension 2'!H67</f>
        <v>0</v>
      </c>
      <c r="FA67" s="39" t="str">
        <f>'Por Valoracion (3) Dimension'!H67</f>
        <v>0</v>
      </c>
      <c r="FV67" s="49"/>
    </row>
    <row r="68" spans="1:178">
      <c r="A68" s="48"/>
      <c r="C68" t="str">
        <f>('Inteligencia emocional'!A69)</f>
        <v>0</v>
      </c>
      <c r="D68" s="39" t="str">
        <f>'Por Valoracion (3) Dimension'!B68</f>
        <v>0</v>
      </c>
      <c r="E68" s="39" t="str">
        <f>'Por Valoracion (3) Dimension 2'!J68</f>
        <v>0</v>
      </c>
      <c r="Z68" s="48"/>
      <c r="AB68" t="str">
        <f>('Inteligencia emocional'!A69)</f>
        <v>0</v>
      </c>
      <c r="AC68" s="39" t="str">
        <f>'Por Valoracion (3) Dimension'!D68</f>
        <v>0</v>
      </c>
      <c r="AD68" s="39" t="str">
        <f>'Por Valoracion (3) Dimension 2'!J68</f>
        <v>0</v>
      </c>
      <c r="AY68" s="48"/>
      <c r="BA68" t="str">
        <f>('Inteligencia emocional'!A69)</f>
        <v>0</v>
      </c>
      <c r="BB68" s="39" t="str">
        <f>'Por Valoracion (3) Dimension'!F68</f>
        <v>0</v>
      </c>
      <c r="BC68" s="39" t="str">
        <f>'Por Valoracion (3) Dimension 2'!J68</f>
        <v>0</v>
      </c>
      <c r="BX68" s="48"/>
      <c r="BZ68" s="49"/>
      <c r="CB68" t="str">
        <f>('Inteligencia emocional'!A69)</f>
        <v>0</v>
      </c>
      <c r="CC68" s="39" t="str">
        <f>'Por Valoracion (3) Dimension 2'!B68</f>
        <v>0</v>
      </c>
      <c r="CD68" s="39" t="str">
        <f>'Por Valoracion (3) Dimension'!H68</f>
        <v>0</v>
      </c>
      <c r="CY68" s="49"/>
      <c r="DA68" t="str">
        <f>('Inteligencia emocional'!A69)</f>
        <v>0</v>
      </c>
      <c r="DB68" s="39" t="str">
        <f>'Por Valoracion (3) Dimension 2'!D68</f>
        <v>0</v>
      </c>
      <c r="DC68" s="39" t="str">
        <f>'Por Valoracion (3) Dimension'!H68</f>
        <v>0</v>
      </c>
      <c r="DX68" s="49"/>
      <c r="DZ68" t="str">
        <f>('Inteligencia emocional'!A69)</f>
        <v>0</v>
      </c>
      <c r="EA68" s="39" t="str">
        <f>'Por Valoracion (3) Dimension 2'!F68</f>
        <v>0</v>
      </c>
      <c r="EB68" s="39" t="str">
        <f>'Por Valoracion (3) Dimension'!H68</f>
        <v>0</v>
      </c>
      <c r="EW68" s="49"/>
      <c r="EY68" t="str">
        <f>('Inteligencia emocional'!A69)</f>
        <v>0</v>
      </c>
      <c r="EZ68" s="39" t="str">
        <f>'Por Valoracion (3) Dimension 2'!H68</f>
        <v>0</v>
      </c>
      <c r="FA68" s="39" t="str">
        <f>'Por Valoracion (3) Dimension'!H68</f>
        <v>0</v>
      </c>
      <c r="FV68" s="49"/>
    </row>
    <row r="69" spans="1:178">
      <c r="A69" s="48"/>
      <c r="C69" t="str">
        <f>('Inteligencia emocional'!A70)</f>
        <v>0</v>
      </c>
      <c r="D69" s="39" t="str">
        <f>'Por Valoracion (3) Dimension'!B69</f>
        <v>0</v>
      </c>
      <c r="E69" s="39" t="str">
        <f>'Por Valoracion (3) Dimension 2'!J69</f>
        <v>0</v>
      </c>
      <c r="Z69" s="48"/>
      <c r="AB69" t="str">
        <f>('Inteligencia emocional'!A70)</f>
        <v>0</v>
      </c>
      <c r="AC69" s="39" t="str">
        <f>'Por Valoracion (3) Dimension'!D69</f>
        <v>0</v>
      </c>
      <c r="AD69" s="39" t="str">
        <f>'Por Valoracion (3) Dimension 2'!J69</f>
        <v>0</v>
      </c>
      <c r="AY69" s="48"/>
      <c r="BA69" t="str">
        <f>('Inteligencia emocional'!A70)</f>
        <v>0</v>
      </c>
      <c r="BB69" s="39" t="str">
        <f>'Por Valoracion (3) Dimension'!F69</f>
        <v>0</v>
      </c>
      <c r="BC69" s="39" t="str">
        <f>'Por Valoracion (3) Dimension 2'!J69</f>
        <v>0</v>
      </c>
      <c r="BX69" s="48"/>
      <c r="BZ69" s="49"/>
      <c r="CB69" t="str">
        <f>('Inteligencia emocional'!A70)</f>
        <v>0</v>
      </c>
      <c r="CC69" s="39" t="str">
        <f>'Por Valoracion (3) Dimension 2'!B69</f>
        <v>0</v>
      </c>
      <c r="CD69" s="39" t="str">
        <f>'Por Valoracion (3) Dimension'!H69</f>
        <v>0</v>
      </c>
      <c r="CY69" s="49"/>
      <c r="DA69" t="str">
        <f>('Inteligencia emocional'!A70)</f>
        <v>0</v>
      </c>
      <c r="DB69" s="39" t="str">
        <f>'Por Valoracion (3) Dimension 2'!D69</f>
        <v>0</v>
      </c>
      <c r="DC69" s="39" t="str">
        <f>'Por Valoracion (3) Dimension'!H69</f>
        <v>0</v>
      </c>
      <c r="DX69" s="49"/>
      <c r="DZ69" t="str">
        <f>('Inteligencia emocional'!A70)</f>
        <v>0</v>
      </c>
      <c r="EA69" s="39" t="str">
        <f>'Por Valoracion (3) Dimension 2'!F69</f>
        <v>0</v>
      </c>
      <c r="EB69" s="39" t="str">
        <f>'Por Valoracion (3) Dimension'!H69</f>
        <v>0</v>
      </c>
      <c r="EW69" s="49"/>
      <c r="EY69" t="str">
        <f>('Inteligencia emocional'!A70)</f>
        <v>0</v>
      </c>
      <c r="EZ69" s="39" t="str">
        <f>'Por Valoracion (3) Dimension 2'!H69</f>
        <v>0</v>
      </c>
      <c r="FA69" s="39" t="str">
        <f>'Por Valoracion (3) Dimension'!H69</f>
        <v>0</v>
      </c>
      <c r="FV69" s="49"/>
    </row>
    <row r="70" spans="1:178">
      <c r="A70" s="48"/>
      <c r="C70" t="str">
        <f>('Inteligencia emocional'!A71)</f>
        <v>0</v>
      </c>
      <c r="D70" s="39" t="str">
        <f>'Por Valoracion (3) Dimension'!B70</f>
        <v>0</v>
      </c>
      <c r="E70" s="39" t="str">
        <f>'Por Valoracion (3) Dimension 2'!J70</f>
        <v>0</v>
      </c>
      <c r="Z70" s="48"/>
      <c r="AB70" t="str">
        <f>('Inteligencia emocional'!A71)</f>
        <v>0</v>
      </c>
      <c r="AC70" s="39" t="str">
        <f>'Por Valoracion (3) Dimension'!D70</f>
        <v>0</v>
      </c>
      <c r="AD70" s="39" t="str">
        <f>'Por Valoracion (3) Dimension 2'!J70</f>
        <v>0</v>
      </c>
      <c r="AY70" s="48"/>
      <c r="BA70" t="str">
        <f>('Inteligencia emocional'!A71)</f>
        <v>0</v>
      </c>
      <c r="BB70" s="39" t="str">
        <f>'Por Valoracion (3) Dimension'!F70</f>
        <v>0</v>
      </c>
      <c r="BC70" s="39" t="str">
        <f>'Por Valoracion (3) Dimension 2'!J70</f>
        <v>0</v>
      </c>
      <c r="BX70" s="48"/>
      <c r="BZ70" s="49"/>
      <c r="CB70" t="str">
        <f>('Inteligencia emocional'!A71)</f>
        <v>0</v>
      </c>
      <c r="CC70" s="39" t="str">
        <f>'Por Valoracion (3) Dimension 2'!B70</f>
        <v>0</v>
      </c>
      <c r="CD70" s="39" t="str">
        <f>'Por Valoracion (3) Dimension'!H70</f>
        <v>0</v>
      </c>
      <c r="CY70" s="49"/>
      <c r="DA70" t="str">
        <f>('Inteligencia emocional'!A71)</f>
        <v>0</v>
      </c>
      <c r="DB70" s="39" t="str">
        <f>'Por Valoracion (3) Dimension 2'!D70</f>
        <v>0</v>
      </c>
      <c r="DC70" s="39" t="str">
        <f>'Por Valoracion (3) Dimension'!H70</f>
        <v>0</v>
      </c>
      <c r="DX70" s="49"/>
      <c r="DZ70" t="str">
        <f>('Inteligencia emocional'!A71)</f>
        <v>0</v>
      </c>
      <c r="EA70" s="39" t="str">
        <f>'Por Valoracion (3) Dimension 2'!F70</f>
        <v>0</v>
      </c>
      <c r="EB70" s="39" t="str">
        <f>'Por Valoracion (3) Dimension'!H70</f>
        <v>0</v>
      </c>
      <c r="EW70" s="49"/>
      <c r="EY70" t="str">
        <f>('Inteligencia emocional'!A71)</f>
        <v>0</v>
      </c>
      <c r="EZ70" s="39" t="str">
        <f>'Por Valoracion (3) Dimension 2'!H70</f>
        <v>0</v>
      </c>
      <c r="FA70" s="39" t="str">
        <f>'Por Valoracion (3) Dimension'!H70</f>
        <v>0</v>
      </c>
      <c r="FV70" s="49"/>
    </row>
    <row r="71" spans="1:178">
      <c r="A71" s="48"/>
      <c r="C71" t="str">
        <f>('Inteligencia emocional'!A72)</f>
        <v>0</v>
      </c>
      <c r="D71" s="39" t="str">
        <f>'Por Valoracion (3) Dimension'!B71</f>
        <v>0</v>
      </c>
      <c r="E71" s="39" t="str">
        <f>'Por Valoracion (3) Dimension 2'!J71</f>
        <v>0</v>
      </c>
      <c r="Z71" s="48"/>
      <c r="AB71" t="str">
        <f>('Inteligencia emocional'!A72)</f>
        <v>0</v>
      </c>
      <c r="AC71" s="39" t="str">
        <f>'Por Valoracion (3) Dimension'!D71</f>
        <v>0</v>
      </c>
      <c r="AD71" s="39" t="str">
        <f>'Por Valoracion (3) Dimension 2'!J71</f>
        <v>0</v>
      </c>
      <c r="AY71" s="48"/>
      <c r="BA71" t="str">
        <f>('Inteligencia emocional'!A72)</f>
        <v>0</v>
      </c>
      <c r="BB71" s="39" t="str">
        <f>'Por Valoracion (3) Dimension'!F71</f>
        <v>0</v>
      </c>
      <c r="BC71" s="39" t="str">
        <f>'Por Valoracion (3) Dimension 2'!J71</f>
        <v>0</v>
      </c>
      <c r="BX71" s="48"/>
      <c r="BZ71" s="49"/>
      <c r="CB71" t="str">
        <f>('Inteligencia emocional'!A72)</f>
        <v>0</v>
      </c>
      <c r="CC71" s="39" t="str">
        <f>'Por Valoracion (3) Dimension 2'!B71</f>
        <v>0</v>
      </c>
      <c r="CD71" s="39" t="str">
        <f>'Por Valoracion (3) Dimension'!H71</f>
        <v>0</v>
      </c>
      <c r="CY71" s="49"/>
      <c r="DA71" t="str">
        <f>('Inteligencia emocional'!A72)</f>
        <v>0</v>
      </c>
      <c r="DB71" s="39" t="str">
        <f>'Por Valoracion (3) Dimension 2'!D71</f>
        <v>0</v>
      </c>
      <c r="DC71" s="39" t="str">
        <f>'Por Valoracion (3) Dimension'!H71</f>
        <v>0</v>
      </c>
      <c r="DX71" s="49"/>
      <c r="DZ71" t="str">
        <f>('Inteligencia emocional'!A72)</f>
        <v>0</v>
      </c>
      <c r="EA71" s="39" t="str">
        <f>'Por Valoracion (3) Dimension 2'!F71</f>
        <v>0</v>
      </c>
      <c r="EB71" s="39" t="str">
        <f>'Por Valoracion (3) Dimension'!H71</f>
        <v>0</v>
      </c>
      <c r="EW71" s="49"/>
      <c r="EY71" t="str">
        <f>('Inteligencia emocional'!A72)</f>
        <v>0</v>
      </c>
      <c r="EZ71" s="39" t="str">
        <f>'Por Valoracion (3) Dimension 2'!H71</f>
        <v>0</v>
      </c>
      <c r="FA71" s="39" t="str">
        <f>'Por Valoracion (3) Dimension'!H71</f>
        <v>0</v>
      </c>
      <c r="FV71" s="49"/>
    </row>
    <row r="72" spans="1:178">
      <c r="A72" s="48"/>
      <c r="C72" t="str">
        <f>('Inteligencia emocional'!A73)</f>
        <v>0</v>
      </c>
      <c r="D72" s="39" t="str">
        <f>'Por Valoracion (3) Dimension'!B72</f>
        <v>0</v>
      </c>
      <c r="E72" s="39" t="str">
        <f>'Por Valoracion (3) Dimension 2'!J72</f>
        <v>0</v>
      </c>
      <c r="Z72" s="48"/>
      <c r="AB72" t="str">
        <f>('Inteligencia emocional'!A73)</f>
        <v>0</v>
      </c>
      <c r="AC72" s="39" t="str">
        <f>'Por Valoracion (3) Dimension'!D72</f>
        <v>0</v>
      </c>
      <c r="AD72" s="39" t="str">
        <f>'Por Valoracion (3) Dimension 2'!J72</f>
        <v>0</v>
      </c>
      <c r="AY72" s="48"/>
      <c r="BA72" t="str">
        <f>('Inteligencia emocional'!A73)</f>
        <v>0</v>
      </c>
      <c r="BB72" s="39" t="str">
        <f>'Por Valoracion (3) Dimension'!F72</f>
        <v>0</v>
      </c>
      <c r="BC72" s="39" t="str">
        <f>'Por Valoracion (3) Dimension 2'!J72</f>
        <v>0</v>
      </c>
      <c r="BX72" s="48"/>
      <c r="BZ72" s="49"/>
      <c r="CB72" t="str">
        <f>('Inteligencia emocional'!A73)</f>
        <v>0</v>
      </c>
      <c r="CC72" s="39" t="str">
        <f>'Por Valoracion (3) Dimension 2'!B72</f>
        <v>0</v>
      </c>
      <c r="CD72" s="39" t="str">
        <f>'Por Valoracion (3) Dimension'!H72</f>
        <v>0</v>
      </c>
      <c r="CY72" s="49"/>
      <c r="DA72" t="str">
        <f>('Inteligencia emocional'!A73)</f>
        <v>0</v>
      </c>
      <c r="DB72" s="39" t="str">
        <f>'Por Valoracion (3) Dimension 2'!D72</f>
        <v>0</v>
      </c>
      <c r="DC72" s="39" t="str">
        <f>'Por Valoracion (3) Dimension'!H72</f>
        <v>0</v>
      </c>
      <c r="DX72" s="49"/>
      <c r="DZ72" t="str">
        <f>('Inteligencia emocional'!A73)</f>
        <v>0</v>
      </c>
      <c r="EA72" s="39" t="str">
        <f>'Por Valoracion (3) Dimension 2'!F72</f>
        <v>0</v>
      </c>
      <c r="EB72" s="39" t="str">
        <f>'Por Valoracion (3) Dimension'!H72</f>
        <v>0</v>
      </c>
      <c r="EW72" s="49"/>
      <c r="EY72" t="str">
        <f>('Inteligencia emocional'!A73)</f>
        <v>0</v>
      </c>
      <c r="EZ72" s="39" t="str">
        <f>'Por Valoracion (3) Dimension 2'!H72</f>
        <v>0</v>
      </c>
      <c r="FA72" s="39" t="str">
        <f>'Por Valoracion (3) Dimension'!H72</f>
        <v>0</v>
      </c>
      <c r="FV72" s="49"/>
    </row>
    <row r="73" spans="1:178">
      <c r="A73" s="48"/>
      <c r="C73" t="str">
        <f>('Inteligencia emocional'!A74)</f>
        <v>0</v>
      </c>
      <c r="D73" s="39" t="str">
        <f>'Por Valoracion (3) Dimension'!B73</f>
        <v>0</v>
      </c>
      <c r="E73" s="39" t="str">
        <f>'Por Valoracion (3) Dimension 2'!J73</f>
        <v>0</v>
      </c>
      <c r="Z73" s="48"/>
      <c r="AB73" t="str">
        <f>('Inteligencia emocional'!A74)</f>
        <v>0</v>
      </c>
      <c r="AC73" s="39" t="str">
        <f>'Por Valoracion (3) Dimension'!D73</f>
        <v>0</v>
      </c>
      <c r="AD73" s="39" t="str">
        <f>'Por Valoracion (3) Dimension 2'!J73</f>
        <v>0</v>
      </c>
      <c r="AY73" s="48"/>
      <c r="BA73" t="str">
        <f>('Inteligencia emocional'!A74)</f>
        <v>0</v>
      </c>
      <c r="BB73" s="39" t="str">
        <f>'Por Valoracion (3) Dimension'!F73</f>
        <v>0</v>
      </c>
      <c r="BC73" s="39" t="str">
        <f>'Por Valoracion (3) Dimension 2'!J73</f>
        <v>0</v>
      </c>
      <c r="BX73" s="48"/>
      <c r="BZ73" s="49"/>
      <c r="CB73" t="str">
        <f>('Inteligencia emocional'!A74)</f>
        <v>0</v>
      </c>
      <c r="CC73" s="39" t="str">
        <f>'Por Valoracion (3) Dimension 2'!B73</f>
        <v>0</v>
      </c>
      <c r="CD73" s="39" t="str">
        <f>'Por Valoracion (3) Dimension'!H73</f>
        <v>0</v>
      </c>
      <c r="CY73" s="49"/>
      <c r="DA73" t="str">
        <f>('Inteligencia emocional'!A74)</f>
        <v>0</v>
      </c>
      <c r="DB73" s="39" t="str">
        <f>'Por Valoracion (3) Dimension 2'!D73</f>
        <v>0</v>
      </c>
      <c r="DC73" s="39" t="str">
        <f>'Por Valoracion (3) Dimension'!H73</f>
        <v>0</v>
      </c>
      <c r="DX73" s="49"/>
      <c r="DZ73" t="str">
        <f>('Inteligencia emocional'!A74)</f>
        <v>0</v>
      </c>
      <c r="EA73" s="39" t="str">
        <f>'Por Valoracion (3) Dimension 2'!F73</f>
        <v>0</v>
      </c>
      <c r="EB73" s="39" t="str">
        <f>'Por Valoracion (3) Dimension'!H73</f>
        <v>0</v>
      </c>
      <c r="EW73" s="49"/>
      <c r="EY73" t="str">
        <f>('Inteligencia emocional'!A74)</f>
        <v>0</v>
      </c>
      <c r="EZ73" s="39" t="str">
        <f>'Por Valoracion (3) Dimension 2'!H73</f>
        <v>0</v>
      </c>
      <c r="FA73" s="39" t="str">
        <f>'Por Valoracion (3) Dimension'!H73</f>
        <v>0</v>
      </c>
      <c r="FV73" s="49"/>
    </row>
    <row r="74" spans="1:178">
      <c r="A74" s="48"/>
      <c r="C74" t="str">
        <f>('Inteligencia emocional'!A75)</f>
        <v>0</v>
      </c>
      <c r="D74" s="39" t="str">
        <f>'Por Valoracion (3) Dimension'!B74</f>
        <v>0</v>
      </c>
      <c r="E74" s="39" t="str">
        <f>'Por Valoracion (3) Dimension 2'!J74</f>
        <v>0</v>
      </c>
      <c r="Z74" s="48"/>
      <c r="AB74" t="str">
        <f>('Inteligencia emocional'!A75)</f>
        <v>0</v>
      </c>
      <c r="AC74" s="39" t="str">
        <f>'Por Valoracion (3) Dimension'!D74</f>
        <v>0</v>
      </c>
      <c r="AD74" s="39" t="str">
        <f>'Por Valoracion (3) Dimension 2'!J74</f>
        <v>0</v>
      </c>
      <c r="AY74" s="48"/>
      <c r="BA74" t="str">
        <f>('Inteligencia emocional'!A75)</f>
        <v>0</v>
      </c>
      <c r="BB74" s="39" t="str">
        <f>'Por Valoracion (3) Dimension'!F74</f>
        <v>0</v>
      </c>
      <c r="BC74" s="39" t="str">
        <f>'Por Valoracion (3) Dimension 2'!J74</f>
        <v>0</v>
      </c>
      <c r="BX74" s="48"/>
      <c r="BZ74" s="49"/>
      <c r="CB74" t="str">
        <f>('Inteligencia emocional'!A75)</f>
        <v>0</v>
      </c>
      <c r="CC74" s="39" t="str">
        <f>'Por Valoracion (3) Dimension 2'!B74</f>
        <v>0</v>
      </c>
      <c r="CD74" s="39" t="str">
        <f>'Por Valoracion (3) Dimension'!H74</f>
        <v>0</v>
      </c>
      <c r="CY74" s="49"/>
      <c r="DA74" t="str">
        <f>('Inteligencia emocional'!A75)</f>
        <v>0</v>
      </c>
      <c r="DB74" s="39" t="str">
        <f>'Por Valoracion (3) Dimension 2'!D74</f>
        <v>0</v>
      </c>
      <c r="DC74" s="39" t="str">
        <f>'Por Valoracion (3) Dimension'!H74</f>
        <v>0</v>
      </c>
      <c r="DX74" s="49"/>
      <c r="DZ74" t="str">
        <f>('Inteligencia emocional'!A75)</f>
        <v>0</v>
      </c>
      <c r="EA74" s="39" t="str">
        <f>'Por Valoracion (3) Dimension 2'!F74</f>
        <v>0</v>
      </c>
      <c r="EB74" s="39" t="str">
        <f>'Por Valoracion (3) Dimension'!H74</f>
        <v>0</v>
      </c>
      <c r="EW74" s="49"/>
      <c r="EY74" t="str">
        <f>('Inteligencia emocional'!A75)</f>
        <v>0</v>
      </c>
      <c r="EZ74" s="39" t="str">
        <f>'Por Valoracion (3) Dimension 2'!H74</f>
        <v>0</v>
      </c>
      <c r="FA74" s="39" t="str">
        <f>'Por Valoracion (3) Dimension'!H74</f>
        <v>0</v>
      </c>
      <c r="FV74" s="49"/>
    </row>
    <row r="75" spans="1:178">
      <c r="A75" s="48"/>
      <c r="C75" t="str">
        <f>('Inteligencia emocional'!A76)</f>
        <v>0</v>
      </c>
      <c r="D75" s="39" t="str">
        <f>'Por Valoracion (3) Dimension'!B75</f>
        <v>0</v>
      </c>
      <c r="E75" s="39" t="str">
        <f>'Por Valoracion (3) Dimension 2'!J75</f>
        <v>0</v>
      </c>
      <c r="Z75" s="48"/>
      <c r="AB75" t="str">
        <f>('Inteligencia emocional'!A76)</f>
        <v>0</v>
      </c>
      <c r="AC75" s="39" t="str">
        <f>'Por Valoracion (3) Dimension'!D75</f>
        <v>0</v>
      </c>
      <c r="AD75" s="39" t="str">
        <f>'Por Valoracion (3) Dimension 2'!J75</f>
        <v>0</v>
      </c>
      <c r="AY75" s="48"/>
      <c r="BA75" t="str">
        <f>('Inteligencia emocional'!A76)</f>
        <v>0</v>
      </c>
      <c r="BB75" s="39" t="str">
        <f>'Por Valoracion (3) Dimension'!F75</f>
        <v>0</v>
      </c>
      <c r="BC75" s="39" t="str">
        <f>'Por Valoracion (3) Dimension 2'!J75</f>
        <v>0</v>
      </c>
      <c r="BX75" s="48"/>
      <c r="BZ75" s="49"/>
      <c r="CB75" t="str">
        <f>('Inteligencia emocional'!A76)</f>
        <v>0</v>
      </c>
      <c r="CC75" s="39" t="str">
        <f>'Por Valoracion (3) Dimension 2'!B75</f>
        <v>0</v>
      </c>
      <c r="CD75" s="39" t="str">
        <f>'Por Valoracion (3) Dimension'!H75</f>
        <v>0</v>
      </c>
      <c r="CY75" s="49"/>
      <c r="DA75" t="str">
        <f>('Inteligencia emocional'!A76)</f>
        <v>0</v>
      </c>
      <c r="DB75" s="39" t="str">
        <f>'Por Valoracion (3) Dimension 2'!D75</f>
        <v>0</v>
      </c>
      <c r="DC75" s="39" t="str">
        <f>'Por Valoracion (3) Dimension'!H75</f>
        <v>0</v>
      </c>
      <c r="DX75" s="49"/>
      <c r="DZ75" t="str">
        <f>('Inteligencia emocional'!A76)</f>
        <v>0</v>
      </c>
      <c r="EA75" s="39" t="str">
        <f>'Por Valoracion (3) Dimension 2'!F75</f>
        <v>0</v>
      </c>
      <c r="EB75" s="39" t="str">
        <f>'Por Valoracion (3) Dimension'!H75</f>
        <v>0</v>
      </c>
      <c r="EW75" s="49"/>
      <c r="EY75" t="str">
        <f>('Inteligencia emocional'!A76)</f>
        <v>0</v>
      </c>
      <c r="EZ75" s="39" t="str">
        <f>'Por Valoracion (3) Dimension 2'!H75</f>
        <v>0</v>
      </c>
      <c r="FA75" s="39" t="str">
        <f>'Por Valoracion (3) Dimension'!H75</f>
        <v>0</v>
      </c>
      <c r="FV75" s="49"/>
    </row>
    <row r="76" spans="1:178">
      <c r="A76" s="48"/>
      <c r="C76" t="str">
        <f>('Inteligencia emocional'!A77)</f>
        <v>0</v>
      </c>
      <c r="D76" s="39" t="str">
        <f>'Por Valoracion (3) Dimension'!B76</f>
        <v>0</v>
      </c>
      <c r="E76" s="39" t="str">
        <f>'Por Valoracion (3) Dimension 2'!J76</f>
        <v>0</v>
      </c>
      <c r="Z76" s="48"/>
      <c r="AB76" t="str">
        <f>('Inteligencia emocional'!A77)</f>
        <v>0</v>
      </c>
      <c r="AC76" s="39" t="str">
        <f>'Por Valoracion (3) Dimension'!D76</f>
        <v>0</v>
      </c>
      <c r="AD76" s="39" t="str">
        <f>'Por Valoracion (3) Dimension 2'!J76</f>
        <v>0</v>
      </c>
      <c r="AY76" s="48"/>
      <c r="BA76" t="str">
        <f>('Inteligencia emocional'!A77)</f>
        <v>0</v>
      </c>
      <c r="BB76" s="39" t="str">
        <f>'Por Valoracion (3) Dimension'!F76</f>
        <v>0</v>
      </c>
      <c r="BC76" s="39" t="str">
        <f>'Por Valoracion (3) Dimension 2'!J76</f>
        <v>0</v>
      </c>
      <c r="BX76" s="48"/>
      <c r="BZ76" s="49"/>
      <c r="CB76" t="str">
        <f>('Inteligencia emocional'!A77)</f>
        <v>0</v>
      </c>
      <c r="CC76" s="39" t="str">
        <f>'Por Valoracion (3) Dimension 2'!B76</f>
        <v>0</v>
      </c>
      <c r="CD76" s="39" t="str">
        <f>'Por Valoracion (3) Dimension'!H76</f>
        <v>0</v>
      </c>
      <c r="CY76" s="49"/>
      <c r="DA76" t="str">
        <f>('Inteligencia emocional'!A77)</f>
        <v>0</v>
      </c>
      <c r="DB76" s="39" t="str">
        <f>'Por Valoracion (3) Dimension 2'!D76</f>
        <v>0</v>
      </c>
      <c r="DC76" s="39" t="str">
        <f>'Por Valoracion (3) Dimension'!H76</f>
        <v>0</v>
      </c>
      <c r="DX76" s="49"/>
      <c r="DZ76" t="str">
        <f>('Inteligencia emocional'!A77)</f>
        <v>0</v>
      </c>
      <c r="EA76" s="39" t="str">
        <f>'Por Valoracion (3) Dimension 2'!F76</f>
        <v>0</v>
      </c>
      <c r="EB76" s="39" t="str">
        <f>'Por Valoracion (3) Dimension'!H76</f>
        <v>0</v>
      </c>
      <c r="EW76" s="49"/>
      <c r="EY76" t="str">
        <f>('Inteligencia emocional'!A77)</f>
        <v>0</v>
      </c>
      <c r="EZ76" s="39" t="str">
        <f>'Por Valoracion (3) Dimension 2'!H76</f>
        <v>0</v>
      </c>
      <c r="FA76" s="39" t="str">
        <f>'Por Valoracion (3) Dimension'!H76</f>
        <v>0</v>
      </c>
      <c r="FV76" s="49"/>
    </row>
    <row r="77" spans="1:178">
      <c r="A77" s="48"/>
      <c r="C77" t="str">
        <f>('Inteligencia emocional'!A78)</f>
        <v>0</v>
      </c>
      <c r="D77" s="39" t="str">
        <f>'Por Valoracion (3) Dimension'!B77</f>
        <v>0</v>
      </c>
      <c r="E77" s="39" t="str">
        <f>'Por Valoracion (3) Dimension 2'!J77</f>
        <v>0</v>
      </c>
      <c r="Z77" s="48"/>
      <c r="AB77" t="str">
        <f>('Inteligencia emocional'!A78)</f>
        <v>0</v>
      </c>
      <c r="AC77" s="39" t="str">
        <f>'Por Valoracion (3) Dimension'!D77</f>
        <v>0</v>
      </c>
      <c r="AD77" s="39" t="str">
        <f>'Por Valoracion (3) Dimension 2'!J77</f>
        <v>0</v>
      </c>
      <c r="AY77" s="48"/>
      <c r="BA77" t="str">
        <f>('Inteligencia emocional'!A78)</f>
        <v>0</v>
      </c>
      <c r="BB77" s="39" t="str">
        <f>'Por Valoracion (3) Dimension'!F77</f>
        <v>0</v>
      </c>
      <c r="BC77" s="39" t="str">
        <f>'Por Valoracion (3) Dimension 2'!J77</f>
        <v>0</v>
      </c>
      <c r="BX77" s="48"/>
      <c r="BZ77" s="49"/>
      <c r="CB77" t="str">
        <f>('Inteligencia emocional'!A78)</f>
        <v>0</v>
      </c>
      <c r="CC77" s="39" t="str">
        <f>'Por Valoracion (3) Dimension 2'!B77</f>
        <v>0</v>
      </c>
      <c r="CD77" s="39" t="str">
        <f>'Por Valoracion (3) Dimension'!H77</f>
        <v>0</v>
      </c>
      <c r="CY77" s="49"/>
      <c r="DA77" t="str">
        <f>('Inteligencia emocional'!A78)</f>
        <v>0</v>
      </c>
      <c r="DB77" s="39" t="str">
        <f>'Por Valoracion (3) Dimension 2'!D77</f>
        <v>0</v>
      </c>
      <c r="DC77" s="39" t="str">
        <f>'Por Valoracion (3) Dimension'!H77</f>
        <v>0</v>
      </c>
      <c r="DX77" s="49"/>
      <c r="DZ77" t="str">
        <f>('Inteligencia emocional'!A78)</f>
        <v>0</v>
      </c>
      <c r="EA77" s="39" t="str">
        <f>'Por Valoracion (3) Dimension 2'!F77</f>
        <v>0</v>
      </c>
      <c r="EB77" s="39" t="str">
        <f>'Por Valoracion (3) Dimension'!H77</f>
        <v>0</v>
      </c>
      <c r="EW77" s="49"/>
      <c r="EY77" t="str">
        <f>('Inteligencia emocional'!A78)</f>
        <v>0</v>
      </c>
      <c r="EZ77" s="39" t="str">
        <f>'Por Valoracion (3) Dimension 2'!H77</f>
        <v>0</v>
      </c>
      <c r="FA77" s="39" t="str">
        <f>'Por Valoracion (3) Dimension'!H77</f>
        <v>0</v>
      </c>
      <c r="FV77" s="49"/>
    </row>
    <row r="78" spans="1:178">
      <c r="A78" s="48"/>
      <c r="C78" t="str">
        <f>('Inteligencia emocional'!A79)</f>
        <v>0</v>
      </c>
      <c r="D78" s="39" t="str">
        <f>'Por Valoracion (3) Dimension'!B78</f>
        <v>0</v>
      </c>
      <c r="E78" s="39" t="str">
        <f>'Por Valoracion (3) Dimension 2'!J78</f>
        <v>0</v>
      </c>
      <c r="Z78" s="48"/>
      <c r="AB78" t="str">
        <f>('Inteligencia emocional'!A79)</f>
        <v>0</v>
      </c>
      <c r="AC78" s="39" t="str">
        <f>'Por Valoracion (3) Dimension'!D78</f>
        <v>0</v>
      </c>
      <c r="AD78" s="39" t="str">
        <f>'Por Valoracion (3) Dimension 2'!J78</f>
        <v>0</v>
      </c>
      <c r="AY78" s="48"/>
      <c r="BA78" t="str">
        <f>('Inteligencia emocional'!A79)</f>
        <v>0</v>
      </c>
      <c r="BB78" s="39" t="str">
        <f>'Por Valoracion (3) Dimension'!F78</f>
        <v>0</v>
      </c>
      <c r="BC78" s="39" t="str">
        <f>'Por Valoracion (3) Dimension 2'!J78</f>
        <v>0</v>
      </c>
      <c r="BX78" s="48"/>
      <c r="BZ78" s="49"/>
      <c r="CB78" t="str">
        <f>('Inteligencia emocional'!A79)</f>
        <v>0</v>
      </c>
      <c r="CC78" s="39" t="str">
        <f>'Por Valoracion (3) Dimension 2'!B78</f>
        <v>0</v>
      </c>
      <c r="CD78" s="39" t="str">
        <f>'Por Valoracion (3) Dimension'!H78</f>
        <v>0</v>
      </c>
      <c r="CY78" s="49"/>
      <c r="DA78" t="str">
        <f>('Inteligencia emocional'!A79)</f>
        <v>0</v>
      </c>
      <c r="DB78" s="39" t="str">
        <f>'Por Valoracion (3) Dimension 2'!D78</f>
        <v>0</v>
      </c>
      <c r="DC78" s="39" t="str">
        <f>'Por Valoracion (3) Dimension'!H78</f>
        <v>0</v>
      </c>
      <c r="DX78" s="49"/>
      <c r="DZ78" t="str">
        <f>('Inteligencia emocional'!A79)</f>
        <v>0</v>
      </c>
      <c r="EA78" s="39" t="str">
        <f>'Por Valoracion (3) Dimension 2'!F78</f>
        <v>0</v>
      </c>
      <c r="EB78" s="39" t="str">
        <f>'Por Valoracion (3) Dimension'!H78</f>
        <v>0</v>
      </c>
      <c r="EW78" s="49"/>
      <c r="EY78" t="str">
        <f>('Inteligencia emocional'!A79)</f>
        <v>0</v>
      </c>
      <c r="EZ78" s="39" t="str">
        <f>'Por Valoracion (3) Dimension 2'!H78</f>
        <v>0</v>
      </c>
      <c r="FA78" s="39" t="str">
        <f>'Por Valoracion (3) Dimension'!H78</f>
        <v>0</v>
      </c>
      <c r="FV78" s="49"/>
    </row>
    <row r="79" spans="1:178">
      <c r="A79" s="48"/>
      <c r="C79" t="str">
        <f>('Inteligencia emocional'!A80)</f>
        <v>0</v>
      </c>
      <c r="D79" s="39" t="str">
        <f>'Por Valoracion (3) Dimension'!B79</f>
        <v>0</v>
      </c>
      <c r="E79" s="39" t="str">
        <f>'Por Valoracion (3) Dimension 2'!J79</f>
        <v>0</v>
      </c>
      <c r="Z79" s="48"/>
      <c r="AB79" t="str">
        <f>('Inteligencia emocional'!A80)</f>
        <v>0</v>
      </c>
      <c r="AC79" s="39" t="str">
        <f>'Por Valoracion (3) Dimension'!D79</f>
        <v>0</v>
      </c>
      <c r="AD79" s="39" t="str">
        <f>'Por Valoracion (3) Dimension 2'!J79</f>
        <v>0</v>
      </c>
      <c r="AY79" s="48"/>
      <c r="BA79" t="str">
        <f>('Inteligencia emocional'!A80)</f>
        <v>0</v>
      </c>
      <c r="BB79" s="39" t="str">
        <f>'Por Valoracion (3) Dimension'!F79</f>
        <v>0</v>
      </c>
      <c r="BC79" s="39" t="str">
        <f>'Por Valoracion (3) Dimension 2'!J79</f>
        <v>0</v>
      </c>
      <c r="BX79" s="48"/>
      <c r="BZ79" s="49"/>
      <c r="CB79" t="str">
        <f>('Inteligencia emocional'!A80)</f>
        <v>0</v>
      </c>
      <c r="CC79" s="39" t="str">
        <f>'Por Valoracion (3) Dimension 2'!B79</f>
        <v>0</v>
      </c>
      <c r="CD79" s="39" t="str">
        <f>'Por Valoracion (3) Dimension'!H79</f>
        <v>0</v>
      </c>
      <c r="CY79" s="49"/>
      <c r="DA79" t="str">
        <f>('Inteligencia emocional'!A80)</f>
        <v>0</v>
      </c>
      <c r="DB79" s="39" t="str">
        <f>'Por Valoracion (3) Dimension 2'!D79</f>
        <v>0</v>
      </c>
      <c r="DC79" s="39" t="str">
        <f>'Por Valoracion (3) Dimension'!H79</f>
        <v>0</v>
      </c>
      <c r="DX79" s="49"/>
      <c r="DZ79" t="str">
        <f>('Inteligencia emocional'!A80)</f>
        <v>0</v>
      </c>
      <c r="EA79" s="39" t="str">
        <f>'Por Valoracion (3) Dimension 2'!F79</f>
        <v>0</v>
      </c>
      <c r="EB79" s="39" t="str">
        <f>'Por Valoracion (3) Dimension'!H79</f>
        <v>0</v>
      </c>
      <c r="EW79" s="49"/>
      <c r="EY79" t="str">
        <f>('Inteligencia emocional'!A80)</f>
        <v>0</v>
      </c>
      <c r="EZ79" s="39" t="str">
        <f>'Por Valoracion (3) Dimension 2'!H79</f>
        <v>0</v>
      </c>
      <c r="FA79" s="39" t="str">
        <f>'Por Valoracion (3) Dimension'!H79</f>
        <v>0</v>
      </c>
      <c r="FV79" s="49"/>
    </row>
    <row r="80" spans="1:178">
      <c r="A80" s="48"/>
      <c r="C80" t="str">
        <f>('Inteligencia emocional'!A81)</f>
        <v>0</v>
      </c>
      <c r="D80" s="39" t="str">
        <f>'Por Valoracion (3) Dimension'!B80</f>
        <v>0</v>
      </c>
      <c r="E80" s="39" t="str">
        <f>'Por Valoracion (3) Dimension 2'!J80</f>
        <v>0</v>
      </c>
      <c r="Z80" s="48"/>
      <c r="AB80" t="str">
        <f>('Inteligencia emocional'!A81)</f>
        <v>0</v>
      </c>
      <c r="AC80" s="39" t="str">
        <f>'Por Valoracion (3) Dimension'!D80</f>
        <v>0</v>
      </c>
      <c r="AD80" s="39" t="str">
        <f>'Por Valoracion (3) Dimension 2'!J80</f>
        <v>0</v>
      </c>
      <c r="AY80" s="48"/>
      <c r="BA80" t="str">
        <f>('Inteligencia emocional'!A81)</f>
        <v>0</v>
      </c>
      <c r="BB80" s="39" t="str">
        <f>'Por Valoracion (3) Dimension'!F80</f>
        <v>0</v>
      </c>
      <c r="BC80" s="39" t="str">
        <f>'Por Valoracion (3) Dimension 2'!J80</f>
        <v>0</v>
      </c>
      <c r="BX80" s="48"/>
      <c r="BZ80" s="49"/>
      <c r="CB80" t="str">
        <f>('Inteligencia emocional'!A81)</f>
        <v>0</v>
      </c>
      <c r="CC80" s="39" t="str">
        <f>'Por Valoracion (3) Dimension 2'!B80</f>
        <v>0</v>
      </c>
      <c r="CD80" s="39" t="str">
        <f>'Por Valoracion (3) Dimension'!H80</f>
        <v>0</v>
      </c>
      <c r="CY80" s="49"/>
      <c r="DA80" t="str">
        <f>('Inteligencia emocional'!A81)</f>
        <v>0</v>
      </c>
      <c r="DB80" s="39" t="str">
        <f>'Por Valoracion (3) Dimension 2'!D80</f>
        <v>0</v>
      </c>
      <c r="DC80" s="39" t="str">
        <f>'Por Valoracion (3) Dimension'!H80</f>
        <v>0</v>
      </c>
      <c r="DX80" s="49"/>
      <c r="DZ80" t="str">
        <f>('Inteligencia emocional'!A81)</f>
        <v>0</v>
      </c>
      <c r="EA80" s="39" t="str">
        <f>'Por Valoracion (3) Dimension 2'!F80</f>
        <v>0</v>
      </c>
      <c r="EB80" s="39" t="str">
        <f>'Por Valoracion (3) Dimension'!H80</f>
        <v>0</v>
      </c>
      <c r="EW80" s="49"/>
      <c r="EY80" t="str">
        <f>('Inteligencia emocional'!A81)</f>
        <v>0</v>
      </c>
      <c r="EZ80" s="39" t="str">
        <f>'Por Valoracion (3) Dimension 2'!H80</f>
        <v>0</v>
      </c>
      <c r="FA80" s="39" t="str">
        <f>'Por Valoracion (3) Dimension'!H80</f>
        <v>0</v>
      </c>
      <c r="FV80" s="49"/>
    </row>
    <row r="81" spans="1:178">
      <c r="A81" s="48"/>
      <c r="C81" t="str">
        <f>('Inteligencia emocional'!A82)</f>
        <v>0</v>
      </c>
      <c r="D81" s="39" t="str">
        <f>'Por Valoracion (3) Dimension'!B81</f>
        <v>0</v>
      </c>
      <c r="E81" s="39" t="str">
        <f>'Por Valoracion (3) Dimension 2'!J81</f>
        <v>0</v>
      </c>
      <c r="Z81" s="48"/>
      <c r="AB81" t="str">
        <f>('Inteligencia emocional'!A82)</f>
        <v>0</v>
      </c>
      <c r="AC81" s="39" t="str">
        <f>'Por Valoracion (3) Dimension'!D81</f>
        <v>0</v>
      </c>
      <c r="AD81" s="39" t="str">
        <f>'Por Valoracion (3) Dimension 2'!J81</f>
        <v>0</v>
      </c>
      <c r="AY81" s="48"/>
      <c r="BA81" t="str">
        <f>('Inteligencia emocional'!A82)</f>
        <v>0</v>
      </c>
      <c r="BB81" s="39" t="str">
        <f>'Por Valoracion (3) Dimension'!F81</f>
        <v>0</v>
      </c>
      <c r="BC81" s="39" t="str">
        <f>'Por Valoracion (3) Dimension 2'!J81</f>
        <v>0</v>
      </c>
      <c r="BX81" s="48"/>
      <c r="BZ81" s="49"/>
      <c r="CB81" t="str">
        <f>('Inteligencia emocional'!A82)</f>
        <v>0</v>
      </c>
      <c r="CC81" s="39" t="str">
        <f>'Por Valoracion (3) Dimension 2'!B81</f>
        <v>0</v>
      </c>
      <c r="CD81" s="39" t="str">
        <f>'Por Valoracion (3) Dimension'!H81</f>
        <v>0</v>
      </c>
      <c r="CY81" s="49"/>
      <c r="DA81" t="str">
        <f>('Inteligencia emocional'!A82)</f>
        <v>0</v>
      </c>
      <c r="DB81" s="39" t="str">
        <f>'Por Valoracion (3) Dimension 2'!D81</f>
        <v>0</v>
      </c>
      <c r="DC81" s="39" t="str">
        <f>'Por Valoracion (3) Dimension'!H81</f>
        <v>0</v>
      </c>
      <c r="DX81" s="49"/>
      <c r="DZ81" t="str">
        <f>('Inteligencia emocional'!A82)</f>
        <v>0</v>
      </c>
      <c r="EA81" s="39" t="str">
        <f>'Por Valoracion (3) Dimension 2'!F81</f>
        <v>0</v>
      </c>
      <c r="EB81" s="39" t="str">
        <f>'Por Valoracion (3) Dimension'!H81</f>
        <v>0</v>
      </c>
      <c r="EW81" s="49"/>
      <c r="EY81" t="str">
        <f>('Inteligencia emocional'!A82)</f>
        <v>0</v>
      </c>
      <c r="EZ81" s="39" t="str">
        <f>'Por Valoracion (3) Dimension 2'!H81</f>
        <v>0</v>
      </c>
      <c r="FA81" s="39" t="str">
        <f>'Por Valoracion (3) Dimension'!H81</f>
        <v>0</v>
      </c>
      <c r="FV81" s="49"/>
    </row>
    <row r="82" spans="1:178">
      <c r="A82" s="48"/>
      <c r="C82" t="str">
        <f>('Inteligencia emocional'!A83)</f>
        <v>0</v>
      </c>
      <c r="D82" s="39" t="str">
        <f>'Por Valoracion (3) Dimension'!B82</f>
        <v>0</v>
      </c>
      <c r="E82" s="39" t="str">
        <f>'Por Valoracion (3) Dimension 2'!J82</f>
        <v>0</v>
      </c>
      <c r="Z82" s="48"/>
      <c r="AB82" t="str">
        <f>('Inteligencia emocional'!A83)</f>
        <v>0</v>
      </c>
      <c r="AC82" s="39" t="str">
        <f>'Por Valoracion (3) Dimension'!D82</f>
        <v>0</v>
      </c>
      <c r="AD82" s="39" t="str">
        <f>'Por Valoracion (3) Dimension 2'!J82</f>
        <v>0</v>
      </c>
      <c r="AY82" s="48"/>
      <c r="BA82" t="str">
        <f>('Inteligencia emocional'!A83)</f>
        <v>0</v>
      </c>
      <c r="BB82" s="39" t="str">
        <f>'Por Valoracion (3) Dimension'!F82</f>
        <v>0</v>
      </c>
      <c r="BC82" s="39" t="str">
        <f>'Por Valoracion (3) Dimension 2'!J82</f>
        <v>0</v>
      </c>
      <c r="BX82" s="48"/>
      <c r="BZ82" s="49"/>
      <c r="CB82" t="str">
        <f>('Inteligencia emocional'!A83)</f>
        <v>0</v>
      </c>
      <c r="CC82" s="39" t="str">
        <f>'Por Valoracion (3) Dimension 2'!B82</f>
        <v>0</v>
      </c>
      <c r="CD82" s="39" t="str">
        <f>'Por Valoracion (3) Dimension'!H82</f>
        <v>0</v>
      </c>
      <c r="CY82" s="49"/>
      <c r="DA82" t="str">
        <f>('Inteligencia emocional'!A83)</f>
        <v>0</v>
      </c>
      <c r="DB82" s="39" t="str">
        <f>'Por Valoracion (3) Dimension 2'!D82</f>
        <v>0</v>
      </c>
      <c r="DC82" s="39" t="str">
        <f>'Por Valoracion (3) Dimension'!H82</f>
        <v>0</v>
      </c>
      <c r="DX82" s="49"/>
      <c r="DZ82" t="str">
        <f>('Inteligencia emocional'!A83)</f>
        <v>0</v>
      </c>
      <c r="EA82" s="39" t="str">
        <f>'Por Valoracion (3) Dimension 2'!F82</f>
        <v>0</v>
      </c>
      <c r="EB82" s="39" t="str">
        <f>'Por Valoracion (3) Dimension'!H82</f>
        <v>0</v>
      </c>
      <c r="EW82" s="49"/>
      <c r="EY82" t="str">
        <f>('Inteligencia emocional'!A83)</f>
        <v>0</v>
      </c>
      <c r="EZ82" s="39" t="str">
        <f>'Por Valoracion (3) Dimension 2'!H82</f>
        <v>0</v>
      </c>
      <c r="FA82" s="39" t="str">
        <f>'Por Valoracion (3) Dimension'!H82</f>
        <v>0</v>
      </c>
      <c r="FV82" s="49"/>
    </row>
    <row r="83" spans="1:178">
      <c r="A83" s="48"/>
      <c r="C83" t="str">
        <f>('Inteligencia emocional'!A84)</f>
        <v>0</v>
      </c>
      <c r="D83" s="39" t="str">
        <f>'Por Valoracion (3) Dimension'!B83</f>
        <v>0</v>
      </c>
      <c r="E83" s="39" t="str">
        <f>'Por Valoracion (3) Dimension 2'!J83</f>
        <v>0</v>
      </c>
      <c r="Z83" s="48"/>
      <c r="AB83" t="str">
        <f>('Inteligencia emocional'!A84)</f>
        <v>0</v>
      </c>
      <c r="AC83" s="39" t="str">
        <f>'Por Valoracion (3) Dimension'!D83</f>
        <v>0</v>
      </c>
      <c r="AD83" s="39" t="str">
        <f>'Por Valoracion (3) Dimension 2'!J83</f>
        <v>0</v>
      </c>
      <c r="AY83" s="48"/>
      <c r="BA83" t="str">
        <f>('Inteligencia emocional'!A84)</f>
        <v>0</v>
      </c>
      <c r="BB83" s="39" t="str">
        <f>'Por Valoracion (3) Dimension'!F83</f>
        <v>0</v>
      </c>
      <c r="BC83" s="39" t="str">
        <f>'Por Valoracion (3) Dimension 2'!J83</f>
        <v>0</v>
      </c>
      <c r="BX83" s="48"/>
      <c r="BZ83" s="49"/>
      <c r="CB83" t="str">
        <f>('Inteligencia emocional'!A84)</f>
        <v>0</v>
      </c>
      <c r="CC83" s="39" t="str">
        <f>'Por Valoracion (3) Dimension 2'!B83</f>
        <v>0</v>
      </c>
      <c r="CD83" s="39" t="str">
        <f>'Por Valoracion (3) Dimension'!H83</f>
        <v>0</v>
      </c>
      <c r="CY83" s="49"/>
      <c r="DA83" t="str">
        <f>('Inteligencia emocional'!A84)</f>
        <v>0</v>
      </c>
      <c r="DB83" s="39" t="str">
        <f>'Por Valoracion (3) Dimension 2'!D83</f>
        <v>0</v>
      </c>
      <c r="DC83" s="39" t="str">
        <f>'Por Valoracion (3) Dimension'!H83</f>
        <v>0</v>
      </c>
      <c r="DX83" s="49"/>
      <c r="DZ83" t="str">
        <f>('Inteligencia emocional'!A84)</f>
        <v>0</v>
      </c>
      <c r="EA83" s="39" t="str">
        <f>'Por Valoracion (3) Dimension 2'!F83</f>
        <v>0</v>
      </c>
      <c r="EB83" s="39" t="str">
        <f>'Por Valoracion (3) Dimension'!H83</f>
        <v>0</v>
      </c>
      <c r="EW83" s="49"/>
      <c r="EY83" t="str">
        <f>('Inteligencia emocional'!A84)</f>
        <v>0</v>
      </c>
      <c r="EZ83" s="39" t="str">
        <f>'Por Valoracion (3) Dimension 2'!H83</f>
        <v>0</v>
      </c>
      <c r="FA83" s="39" t="str">
        <f>'Por Valoracion (3) Dimension'!H83</f>
        <v>0</v>
      </c>
      <c r="FV83" s="49"/>
    </row>
    <row r="84" spans="1:178">
      <c r="A84" s="48"/>
      <c r="C84" t="str">
        <f>('Inteligencia emocional'!A85)</f>
        <v>0</v>
      </c>
      <c r="D84" s="39" t="str">
        <f>'Por Valoracion (3) Dimension'!B84</f>
        <v>0</v>
      </c>
      <c r="E84" s="39" t="str">
        <f>'Por Valoracion (3) Dimension 2'!J84</f>
        <v>0</v>
      </c>
      <c r="Z84" s="48"/>
      <c r="AB84" t="str">
        <f>('Inteligencia emocional'!A85)</f>
        <v>0</v>
      </c>
      <c r="AC84" s="39" t="str">
        <f>'Por Valoracion (3) Dimension'!D84</f>
        <v>0</v>
      </c>
      <c r="AD84" s="39" t="str">
        <f>'Por Valoracion (3) Dimension 2'!J84</f>
        <v>0</v>
      </c>
      <c r="AY84" s="48"/>
      <c r="BA84" t="str">
        <f>('Inteligencia emocional'!A85)</f>
        <v>0</v>
      </c>
      <c r="BB84" s="39" t="str">
        <f>'Por Valoracion (3) Dimension'!F84</f>
        <v>0</v>
      </c>
      <c r="BC84" s="39" t="str">
        <f>'Por Valoracion (3) Dimension 2'!J84</f>
        <v>0</v>
      </c>
      <c r="BX84" s="48"/>
      <c r="BZ84" s="49"/>
      <c r="CB84" t="str">
        <f>('Inteligencia emocional'!A85)</f>
        <v>0</v>
      </c>
      <c r="CC84" s="39" t="str">
        <f>'Por Valoracion (3) Dimension 2'!B84</f>
        <v>0</v>
      </c>
      <c r="CD84" s="39" t="str">
        <f>'Por Valoracion (3) Dimension'!H84</f>
        <v>0</v>
      </c>
      <c r="CY84" s="49"/>
      <c r="DA84" t="str">
        <f>('Inteligencia emocional'!A85)</f>
        <v>0</v>
      </c>
      <c r="DB84" s="39" t="str">
        <f>'Por Valoracion (3) Dimension 2'!D84</f>
        <v>0</v>
      </c>
      <c r="DC84" s="39" t="str">
        <f>'Por Valoracion (3) Dimension'!H84</f>
        <v>0</v>
      </c>
      <c r="DX84" s="49"/>
      <c r="DZ84" t="str">
        <f>('Inteligencia emocional'!A85)</f>
        <v>0</v>
      </c>
      <c r="EA84" s="39" t="str">
        <f>'Por Valoracion (3) Dimension 2'!F84</f>
        <v>0</v>
      </c>
      <c r="EB84" s="39" t="str">
        <f>'Por Valoracion (3) Dimension'!H84</f>
        <v>0</v>
      </c>
      <c r="EW84" s="49"/>
      <c r="EY84" t="str">
        <f>('Inteligencia emocional'!A85)</f>
        <v>0</v>
      </c>
      <c r="EZ84" s="39" t="str">
        <f>'Por Valoracion (3) Dimension 2'!H84</f>
        <v>0</v>
      </c>
      <c r="FA84" s="39" t="str">
        <f>'Por Valoracion (3) Dimension'!H84</f>
        <v>0</v>
      </c>
      <c r="FV84" s="49"/>
    </row>
    <row r="85" spans="1:178">
      <c r="A85" s="48"/>
      <c r="C85" t="str">
        <f>('Inteligencia emocional'!A86)</f>
        <v>0</v>
      </c>
      <c r="D85" s="39" t="str">
        <f>'Por Valoracion (3) Dimension'!B85</f>
        <v>0</v>
      </c>
      <c r="E85" s="39" t="str">
        <f>'Por Valoracion (3) Dimension 2'!J85</f>
        <v>0</v>
      </c>
      <c r="Z85" s="48"/>
      <c r="AB85" t="str">
        <f>('Inteligencia emocional'!A86)</f>
        <v>0</v>
      </c>
      <c r="AC85" s="39" t="str">
        <f>'Por Valoracion (3) Dimension'!D85</f>
        <v>0</v>
      </c>
      <c r="AD85" s="39" t="str">
        <f>'Por Valoracion (3) Dimension 2'!J85</f>
        <v>0</v>
      </c>
      <c r="AY85" s="48"/>
      <c r="BA85" t="str">
        <f>('Inteligencia emocional'!A86)</f>
        <v>0</v>
      </c>
      <c r="BB85" s="39" t="str">
        <f>'Por Valoracion (3) Dimension'!F85</f>
        <v>0</v>
      </c>
      <c r="BC85" s="39" t="str">
        <f>'Por Valoracion (3) Dimension 2'!J85</f>
        <v>0</v>
      </c>
      <c r="BX85" s="48"/>
      <c r="BZ85" s="49"/>
      <c r="CB85" t="str">
        <f>('Inteligencia emocional'!A86)</f>
        <v>0</v>
      </c>
      <c r="CC85" s="39" t="str">
        <f>'Por Valoracion (3) Dimension 2'!B85</f>
        <v>0</v>
      </c>
      <c r="CD85" s="39" t="str">
        <f>'Por Valoracion (3) Dimension'!H85</f>
        <v>0</v>
      </c>
      <c r="CY85" s="49"/>
      <c r="DA85" t="str">
        <f>('Inteligencia emocional'!A86)</f>
        <v>0</v>
      </c>
      <c r="DB85" s="39" t="str">
        <f>'Por Valoracion (3) Dimension 2'!D85</f>
        <v>0</v>
      </c>
      <c r="DC85" s="39" t="str">
        <f>'Por Valoracion (3) Dimension'!H85</f>
        <v>0</v>
      </c>
      <c r="DX85" s="49"/>
      <c r="DZ85" t="str">
        <f>('Inteligencia emocional'!A86)</f>
        <v>0</v>
      </c>
      <c r="EA85" s="39" t="str">
        <f>'Por Valoracion (3) Dimension 2'!F85</f>
        <v>0</v>
      </c>
      <c r="EB85" s="39" t="str">
        <f>'Por Valoracion (3) Dimension'!H85</f>
        <v>0</v>
      </c>
      <c r="EW85" s="49"/>
      <c r="EY85" t="str">
        <f>('Inteligencia emocional'!A86)</f>
        <v>0</v>
      </c>
      <c r="EZ85" s="39" t="str">
        <f>'Por Valoracion (3) Dimension 2'!H85</f>
        <v>0</v>
      </c>
      <c r="FA85" s="39" t="str">
        <f>'Por Valoracion (3) Dimension'!H85</f>
        <v>0</v>
      </c>
      <c r="FV85" s="49"/>
    </row>
    <row r="86" spans="1:178">
      <c r="A86" s="48"/>
      <c r="C86" t="str">
        <f>('Inteligencia emocional'!A87)</f>
        <v>0</v>
      </c>
      <c r="D86" s="39" t="str">
        <f>'Por Valoracion (3) Dimension'!B86</f>
        <v>0</v>
      </c>
      <c r="E86" s="39" t="str">
        <f>'Por Valoracion (3) Dimension 2'!J86</f>
        <v>0</v>
      </c>
      <c r="Z86" s="48"/>
      <c r="AB86" t="str">
        <f>('Inteligencia emocional'!A87)</f>
        <v>0</v>
      </c>
      <c r="AC86" s="39" t="str">
        <f>'Por Valoracion (3) Dimension'!D86</f>
        <v>0</v>
      </c>
      <c r="AD86" s="39" t="str">
        <f>'Por Valoracion (3) Dimension 2'!J86</f>
        <v>0</v>
      </c>
      <c r="AY86" s="48"/>
      <c r="BA86" t="str">
        <f>('Inteligencia emocional'!A87)</f>
        <v>0</v>
      </c>
      <c r="BB86" s="39" t="str">
        <f>'Por Valoracion (3) Dimension'!F86</f>
        <v>0</v>
      </c>
      <c r="BC86" s="39" t="str">
        <f>'Por Valoracion (3) Dimension 2'!J86</f>
        <v>0</v>
      </c>
      <c r="BX86" s="48"/>
      <c r="BZ86" s="49"/>
      <c r="CB86" t="str">
        <f>('Inteligencia emocional'!A87)</f>
        <v>0</v>
      </c>
      <c r="CC86" s="39" t="str">
        <f>'Por Valoracion (3) Dimension 2'!B86</f>
        <v>0</v>
      </c>
      <c r="CD86" s="39" t="str">
        <f>'Por Valoracion (3) Dimension'!H86</f>
        <v>0</v>
      </c>
      <c r="CY86" s="49"/>
      <c r="DA86" t="str">
        <f>('Inteligencia emocional'!A87)</f>
        <v>0</v>
      </c>
      <c r="DB86" s="39" t="str">
        <f>'Por Valoracion (3) Dimension 2'!D86</f>
        <v>0</v>
      </c>
      <c r="DC86" s="39" t="str">
        <f>'Por Valoracion (3) Dimension'!H86</f>
        <v>0</v>
      </c>
      <c r="DX86" s="49"/>
      <c r="DZ86" t="str">
        <f>('Inteligencia emocional'!A87)</f>
        <v>0</v>
      </c>
      <c r="EA86" s="39" t="str">
        <f>'Por Valoracion (3) Dimension 2'!F86</f>
        <v>0</v>
      </c>
      <c r="EB86" s="39" t="str">
        <f>'Por Valoracion (3) Dimension'!H86</f>
        <v>0</v>
      </c>
      <c r="EW86" s="49"/>
      <c r="EY86" t="str">
        <f>('Inteligencia emocional'!A87)</f>
        <v>0</v>
      </c>
      <c r="EZ86" s="39" t="str">
        <f>'Por Valoracion (3) Dimension 2'!H86</f>
        <v>0</v>
      </c>
      <c r="FA86" s="39" t="str">
        <f>'Por Valoracion (3) Dimension'!H86</f>
        <v>0</v>
      </c>
      <c r="FV86" s="49"/>
    </row>
    <row r="87" spans="1:178">
      <c r="A87" s="48"/>
      <c r="C87" t="str">
        <f>('Inteligencia emocional'!A88)</f>
        <v>0</v>
      </c>
      <c r="D87" s="39" t="str">
        <f>'Por Valoracion (3) Dimension'!B87</f>
        <v>0</v>
      </c>
      <c r="E87" s="39" t="str">
        <f>'Por Valoracion (3) Dimension 2'!J87</f>
        <v>0</v>
      </c>
      <c r="Z87" s="48"/>
      <c r="AB87" t="str">
        <f>('Inteligencia emocional'!A88)</f>
        <v>0</v>
      </c>
      <c r="AC87" s="39" t="str">
        <f>'Por Valoracion (3) Dimension'!D87</f>
        <v>0</v>
      </c>
      <c r="AD87" s="39" t="str">
        <f>'Por Valoracion (3) Dimension 2'!J87</f>
        <v>0</v>
      </c>
      <c r="AY87" s="48"/>
      <c r="BA87" t="str">
        <f>('Inteligencia emocional'!A88)</f>
        <v>0</v>
      </c>
      <c r="BB87" s="39" t="str">
        <f>'Por Valoracion (3) Dimension'!F87</f>
        <v>0</v>
      </c>
      <c r="BC87" s="39" t="str">
        <f>'Por Valoracion (3) Dimension 2'!J87</f>
        <v>0</v>
      </c>
      <c r="BX87" s="48"/>
      <c r="BZ87" s="49"/>
      <c r="CB87" t="str">
        <f>('Inteligencia emocional'!A88)</f>
        <v>0</v>
      </c>
      <c r="CC87" s="39" t="str">
        <f>'Por Valoracion (3) Dimension 2'!B87</f>
        <v>0</v>
      </c>
      <c r="CD87" s="39" t="str">
        <f>'Por Valoracion (3) Dimension'!H87</f>
        <v>0</v>
      </c>
      <c r="CY87" s="49"/>
      <c r="DA87" t="str">
        <f>('Inteligencia emocional'!A88)</f>
        <v>0</v>
      </c>
      <c r="DB87" s="39" t="str">
        <f>'Por Valoracion (3) Dimension 2'!D87</f>
        <v>0</v>
      </c>
      <c r="DC87" s="39" t="str">
        <f>'Por Valoracion (3) Dimension'!H87</f>
        <v>0</v>
      </c>
      <c r="DX87" s="49"/>
      <c r="DZ87" t="str">
        <f>('Inteligencia emocional'!A88)</f>
        <v>0</v>
      </c>
      <c r="EA87" s="39" t="str">
        <f>'Por Valoracion (3) Dimension 2'!F87</f>
        <v>0</v>
      </c>
      <c r="EB87" s="39" t="str">
        <f>'Por Valoracion (3) Dimension'!H87</f>
        <v>0</v>
      </c>
      <c r="EW87" s="49"/>
      <c r="EY87" t="str">
        <f>('Inteligencia emocional'!A88)</f>
        <v>0</v>
      </c>
      <c r="EZ87" s="39" t="str">
        <f>'Por Valoracion (3) Dimension 2'!H87</f>
        <v>0</v>
      </c>
      <c r="FA87" s="39" t="str">
        <f>'Por Valoracion (3) Dimension'!H87</f>
        <v>0</v>
      </c>
      <c r="FV87" s="49"/>
    </row>
    <row r="88" spans="1:178">
      <c r="A88" s="48"/>
      <c r="C88" t="str">
        <f>('Inteligencia emocional'!A89)</f>
        <v>0</v>
      </c>
      <c r="D88" s="39" t="str">
        <f>'Por Valoracion (3) Dimension'!B88</f>
        <v>0</v>
      </c>
      <c r="E88" s="39" t="str">
        <f>'Por Valoracion (3) Dimension 2'!J88</f>
        <v>0</v>
      </c>
      <c r="Z88" s="48"/>
      <c r="AB88" t="str">
        <f>('Inteligencia emocional'!A89)</f>
        <v>0</v>
      </c>
      <c r="AC88" s="39" t="str">
        <f>'Por Valoracion (3) Dimension'!D88</f>
        <v>0</v>
      </c>
      <c r="AD88" s="39" t="str">
        <f>'Por Valoracion (3) Dimension 2'!J88</f>
        <v>0</v>
      </c>
      <c r="AY88" s="48"/>
      <c r="BA88" t="str">
        <f>('Inteligencia emocional'!A89)</f>
        <v>0</v>
      </c>
      <c r="BB88" s="39" t="str">
        <f>'Por Valoracion (3) Dimension'!F88</f>
        <v>0</v>
      </c>
      <c r="BC88" s="39" t="str">
        <f>'Por Valoracion (3) Dimension 2'!J88</f>
        <v>0</v>
      </c>
      <c r="BX88" s="48"/>
      <c r="BZ88" s="49"/>
      <c r="CB88" t="str">
        <f>('Inteligencia emocional'!A89)</f>
        <v>0</v>
      </c>
      <c r="CC88" s="39" t="str">
        <f>'Por Valoracion (3) Dimension 2'!B88</f>
        <v>0</v>
      </c>
      <c r="CD88" s="39" t="str">
        <f>'Por Valoracion (3) Dimension'!H88</f>
        <v>0</v>
      </c>
      <c r="CY88" s="49"/>
      <c r="DA88" t="str">
        <f>('Inteligencia emocional'!A89)</f>
        <v>0</v>
      </c>
      <c r="DB88" s="39" t="str">
        <f>'Por Valoracion (3) Dimension 2'!D88</f>
        <v>0</v>
      </c>
      <c r="DC88" s="39" t="str">
        <f>'Por Valoracion (3) Dimension'!H88</f>
        <v>0</v>
      </c>
      <c r="DX88" s="49"/>
      <c r="DZ88" t="str">
        <f>('Inteligencia emocional'!A89)</f>
        <v>0</v>
      </c>
      <c r="EA88" s="39" t="str">
        <f>'Por Valoracion (3) Dimension 2'!F88</f>
        <v>0</v>
      </c>
      <c r="EB88" s="39" t="str">
        <f>'Por Valoracion (3) Dimension'!H88</f>
        <v>0</v>
      </c>
      <c r="EW88" s="49"/>
      <c r="EY88" t="str">
        <f>('Inteligencia emocional'!A89)</f>
        <v>0</v>
      </c>
      <c r="EZ88" s="39" t="str">
        <f>'Por Valoracion (3) Dimension 2'!H88</f>
        <v>0</v>
      </c>
      <c r="FA88" s="39" t="str">
        <f>'Por Valoracion (3) Dimension'!H88</f>
        <v>0</v>
      </c>
      <c r="FV88" s="49"/>
    </row>
    <row r="89" spans="1:178">
      <c r="A89" s="48"/>
      <c r="C89" t="str">
        <f>('Inteligencia emocional'!A90)</f>
        <v>0</v>
      </c>
      <c r="D89" s="39" t="str">
        <f>'Por Valoracion (3) Dimension'!B89</f>
        <v>0</v>
      </c>
      <c r="E89" s="39" t="str">
        <f>'Por Valoracion (3) Dimension 2'!J89</f>
        <v>0</v>
      </c>
      <c r="Z89" s="48"/>
      <c r="AB89" t="str">
        <f>('Inteligencia emocional'!A90)</f>
        <v>0</v>
      </c>
      <c r="AC89" s="39" t="str">
        <f>'Por Valoracion (3) Dimension'!D89</f>
        <v>0</v>
      </c>
      <c r="AD89" s="39" t="str">
        <f>'Por Valoracion (3) Dimension 2'!J89</f>
        <v>0</v>
      </c>
      <c r="AY89" s="48"/>
      <c r="BA89" t="str">
        <f>('Inteligencia emocional'!A90)</f>
        <v>0</v>
      </c>
      <c r="BB89" s="39" t="str">
        <f>'Por Valoracion (3) Dimension'!F89</f>
        <v>0</v>
      </c>
      <c r="BC89" s="39" t="str">
        <f>'Por Valoracion (3) Dimension 2'!J89</f>
        <v>0</v>
      </c>
      <c r="BX89" s="48"/>
      <c r="BZ89" s="49"/>
      <c r="CB89" t="str">
        <f>('Inteligencia emocional'!A90)</f>
        <v>0</v>
      </c>
      <c r="CC89" s="39" t="str">
        <f>'Por Valoracion (3) Dimension 2'!B89</f>
        <v>0</v>
      </c>
      <c r="CD89" s="39" t="str">
        <f>'Por Valoracion (3) Dimension'!H89</f>
        <v>0</v>
      </c>
      <c r="CY89" s="49"/>
      <c r="DA89" t="str">
        <f>('Inteligencia emocional'!A90)</f>
        <v>0</v>
      </c>
      <c r="DB89" s="39" t="str">
        <f>'Por Valoracion (3) Dimension 2'!D89</f>
        <v>0</v>
      </c>
      <c r="DC89" s="39" t="str">
        <f>'Por Valoracion (3) Dimension'!H89</f>
        <v>0</v>
      </c>
      <c r="DX89" s="49"/>
      <c r="DZ89" t="str">
        <f>('Inteligencia emocional'!A90)</f>
        <v>0</v>
      </c>
      <c r="EA89" s="39" t="str">
        <f>'Por Valoracion (3) Dimension 2'!F89</f>
        <v>0</v>
      </c>
      <c r="EB89" s="39" t="str">
        <f>'Por Valoracion (3) Dimension'!H89</f>
        <v>0</v>
      </c>
      <c r="EW89" s="49"/>
      <c r="EY89" t="str">
        <f>('Inteligencia emocional'!A90)</f>
        <v>0</v>
      </c>
      <c r="EZ89" s="39" t="str">
        <f>'Por Valoracion (3) Dimension 2'!H89</f>
        <v>0</v>
      </c>
      <c r="FA89" s="39" t="str">
        <f>'Por Valoracion (3) Dimension'!H89</f>
        <v>0</v>
      </c>
      <c r="FV89" s="49"/>
    </row>
    <row r="90" spans="1:178">
      <c r="A90" s="48"/>
      <c r="C90" t="str">
        <f>('Inteligencia emocional'!A91)</f>
        <v>0</v>
      </c>
      <c r="D90" s="39" t="str">
        <f>'Por Valoracion (3) Dimension'!B90</f>
        <v>0</v>
      </c>
      <c r="E90" s="39" t="str">
        <f>'Por Valoracion (3) Dimension 2'!J90</f>
        <v>0</v>
      </c>
      <c r="Z90" s="48"/>
      <c r="AB90" t="str">
        <f>('Inteligencia emocional'!A91)</f>
        <v>0</v>
      </c>
      <c r="AC90" s="39" t="str">
        <f>'Por Valoracion (3) Dimension'!D90</f>
        <v>0</v>
      </c>
      <c r="AD90" s="39" t="str">
        <f>'Por Valoracion (3) Dimension 2'!J90</f>
        <v>0</v>
      </c>
      <c r="AY90" s="48"/>
      <c r="BA90" t="str">
        <f>('Inteligencia emocional'!A91)</f>
        <v>0</v>
      </c>
      <c r="BB90" s="39" t="str">
        <f>'Por Valoracion (3) Dimension'!F90</f>
        <v>0</v>
      </c>
      <c r="BC90" s="39" t="str">
        <f>'Por Valoracion (3) Dimension 2'!J90</f>
        <v>0</v>
      </c>
      <c r="BX90" s="48"/>
      <c r="BZ90" s="49"/>
      <c r="CB90" t="str">
        <f>('Inteligencia emocional'!A91)</f>
        <v>0</v>
      </c>
      <c r="CC90" s="39" t="str">
        <f>'Por Valoracion (3) Dimension 2'!B90</f>
        <v>0</v>
      </c>
      <c r="CD90" s="39" t="str">
        <f>'Por Valoracion (3) Dimension'!H90</f>
        <v>0</v>
      </c>
      <c r="CY90" s="49"/>
      <c r="DA90" t="str">
        <f>('Inteligencia emocional'!A91)</f>
        <v>0</v>
      </c>
      <c r="DB90" s="39" t="str">
        <f>'Por Valoracion (3) Dimension 2'!D90</f>
        <v>0</v>
      </c>
      <c r="DC90" s="39" t="str">
        <f>'Por Valoracion (3) Dimension'!H90</f>
        <v>0</v>
      </c>
      <c r="DX90" s="49"/>
      <c r="DZ90" t="str">
        <f>('Inteligencia emocional'!A91)</f>
        <v>0</v>
      </c>
      <c r="EA90" s="39" t="str">
        <f>'Por Valoracion (3) Dimension 2'!F90</f>
        <v>0</v>
      </c>
      <c r="EB90" s="39" t="str">
        <f>'Por Valoracion (3) Dimension'!H90</f>
        <v>0</v>
      </c>
      <c r="EW90" s="49"/>
      <c r="EY90" t="str">
        <f>('Inteligencia emocional'!A91)</f>
        <v>0</v>
      </c>
      <c r="EZ90" s="39" t="str">
        <f>'Por Valoracion (3) Dimension 2'!H90</f>
        <v>0</v>
      </c>
      <c r="FA90" s="39" t="str">
        <f>'Por Valoracion (3) Dimension'!H90</f>
        <v>0</v>
      </c>
      <c r="FV90" s="49"/>
    </row>
    <row r="91" spans="1:178">
      <c r="A91" s="48"/>
      <c r="C91" t="str">
        <f>('Inteligencia emocional'!A92)</f>
        <v>0</v>
      </c>
      <c r="D91" s="39" t="str">
        <f>'Por Valoracion (3) Dimension'!B91</f>
        <v>0</v>
      </c>
      <c r="E91" s="39" t="str">
        <f>'Por Valoracion (3) Dimension 2'!J91</f>
        <v>0</v>
      </c>
      <c r="Z91" s="48"/>
      <c r="AB91" t="str">
        <f>('Inteligencia emocional'!A92)</f>
        <v>0</v>
      </c>
      <c r="AC91" s="39" t="str">
        <f>'Por Valoracion (3) Dimension'!D91</f>
        <v>0</v>
      </c>
      <c r="AD91" s="39" t="str">
        <f>'Por Valoracion (3) Dimension 2'!J91</f>
        <v>0</v>
      </c>
      <c r="AY91" s="48"/>
      <c r="BA91" t="str">
        <f>('Inteligencia emocional'!A92)</f>
        <v>0</v>
      </c>
      <c r="BB91" s="39" t="str">
        <f>'Por Valoracion (3) Dimension'!F91</f>
        <v>0</v>
      </c>
      <c r="BC91" s="39" t="str">
        <f>'Por Valoracion (3) Dimension 2'!J91</f>
        <v>0</v>
      </c>
      <c r="BX91" s="48"/>
      <c r="BZ91" s="49"/>
      <c r="CB91" t="str">
        <f>('Inteligencia emocional'!A92)</f>
        <v>0</v>
      </c>
      <c r="CC91" s="39" t="str">
        <f>'Por Valoracion (3) Dimension 2'!B91</f>
        <v>0</v>
      </c>
      <c r="CD91" s="39" t="str">
        <f>'Por Valoracion (3) Dimension'!H91</f>
        <v>0</v>
      </c>
      <c r="CY91" s="49"/>
      <c r="DA91" t="str">
        <f>('Inteligencia emocional'!A92)</f>
        <v>0</v>
      </c>
      <c r="DB91" s="39" t="str">
        <f>'Por Valoracion (3) Dimension 2'!D91</f>
        <v>0</v>
      </c>
      <c r="DC91" s="39" t="str">
        <f>'Por Valoracion (3) Dimension'!H91</f>
        <v>0</v>
      </c>
      <c r="DX91" s="49"/>
      <c r="DZ91" t="str">
        <f>('Inteligencia emocional'!A92)</f>
        <v>0</v>
      </c>
      <c r="EA91" s="39" t="str">
        <f>'Por Valoracion (3) Dimension 2'!F91</f>
        <v>0</v>
      </c>
      <c r="EB91" s="39" t="str">
        <f>'Por Valoracion (3) Dimension'!H91</f>
        <v>0</v>
      </c>
      <c r="EW91" s="49"/>
      <c r="EY91" t="str">
        <f>('Inteligencia emocional'!A92)</f>
        <v>0</v>
      </c>
      <c r="EZ91" s="39" t="str">
        <f>'Por Valoracion (3) Dimension 2'!H91</f>
        <v>0</v>
      </c>
      <c r="FA91" s="39" t="str">
        <f>'Por Valoracion (3) Dimension'!H91</f>
        <v>0</v>
      </c>
      <c r="FV91" s="49"/>
    </row>
    <row r="92" spans="1:178">
      <c r="A92" s="48"/>
      <c r="C92" t="str">
        <f>('Inteligencia emocional'!A93)</f>
        <v>0</v>
      </c>
      <c r="D92" s="39" t="str">
        <f>'Por Valoracion (3) Dimension'!B92</f>
        <v>0</v>
      </c>
      <c r="E92" s="39" t="str">
        <f>'Por Valoracion (3) Dimension 2'!J92</f>
        <v>0</v>
      </c>
      <c r="Z92" s="48"/>
      <c r="AB92" t="str">
        <f>('Inteligencia emocional'!A93)</f>
        <v>0</v>
      </c>
      <c r="AC92" s="39" t="str">
        <f>'Por Valoracion (3) Dimension'!D92</f>
        <v>0</v>
      </c>
      <c r="AD92" s="39" t="str">
        <f>'Por Valoracion (3) Dimension 2'!J92</f>
        <v>0</v>
      </c>
      <c r="AY92" s="48"/>
      <c r="BA92" t="str">
        <f>('Inteligencia emocional'!A93)</f>
        <v>0</v>
      </c>
      <c r="BB92" s="39" t="str">
        <f>'Por Valoracion (3) Dimension'!F92</f>
        <v>0</v>
      </c>
      <c r="BC92" s="39" t="str">
        <f>'Por Valoracion (3) Dimension 2'!J92</f>
        <v>0</v>
      </c>
      <c r="BX92" s="48"/>
      <c r="BZ92" s="49"/>
      <c r="CB92" t="str">
        <f>('Inteligencia emocional'!A93)</f>
        <v>0</v>
      </c>
      <c r="CC92" s="39" t="str">
        <f>'Por Valoracion (3) Dimension 2'!B92</f>
        <v>0</v>
      </c>
      <c r="CD92" s="39" t="str">
        <f>'Por Valoracion (3) Dimension'!H92</f>
        <v>0</v>
      </c>
      <c r="CY92" s="49"/>
      <c r="DA92" t="str">
        <f>('Inteligencia emocional'!A93)</f>
        <v>0</v>
      </c>
      <c r="DB92" s="39" t="str">
        <f>'Por Valoracion (3) Dimension 2'!D92</f>
        <v>0</v>
      </c>
      <c r="DC92" s="39" t="str">
        <f>'Por Valoracion (3) Dimension'!H92</f>
        <v>0</v>
      </c>
      <c r="DX92" s="49"/>
      <c r="DZ92" t="str">
        <f>('Inteligencia emocional'!A93)</f>
        <v>0</v>
      </c>
      <c r="EA92" s="39" t="str">
        <f>'Por Valoracion (3) Dimension 2'!F92</f>
        <v>0</v>
      </c>
      <c r="EB92" s="39" t="str">
        <f>'Por Valoracion (3) Dimension'!H92</f>
        <v>0</v>
      </c>
      <c r="EW92" s="49"/>
      <c r="EY92" t="str">
        <f>('Inteligencia emocional'!A93)</f>
        <v>0</v>
      </c>
      <c r="EZ92" s="39" t="str">
        <f>'Por Valoracion (3) Dimension 2'!H92</f>
        <v>0</v>
      </c>
      <c r="FA92" s="39" t="str">
        <f>'Por Valoracion (3) Dimension'!H92</f>
        <v>0</v>
      </c>
      <c r="FV92" s="49"/>
    </row>
    <row r="93" spans="1:178">
      <c r="A93" s="48"/>
      <c r="C93" t="str">
        <f>('Inteligencia emocional'!A94)</f>
        <v>0</v>
      </c>
      <c r="D93" s="39" t="str">
        <f>'Por Valoracion (3) Dimension'!B93</f>
        <v>0</v>
      </c>
      <c r="E93" s="39" t="str">
        <f>'Por Valoracion (3) Dimension 2'!J93</f>
        <v>0</v>
      </c>
      <c r="Z93" s="48"/>
      <c r="AB93" t="str">
        <f>('Inteligencia emocional'!A94)</f>
        <v>0</v>
      </c>
      <c r="AC93" s="39" t="str">
        <f>'Por Valoracion (3) Dimension'!D93</f>
        <v>0</v>
      </c>
      <c r="AD93" s="39" t="str">
        <f>'Por Valoracion (3) Dimension 2'!J93</f>
        <v>0</v>
      </c>
      <c r="AY93" s="48"/>
      <c r="BA93" t="str">
        <f>('Inteligencia emocional'!A94)</f>
        <v>0</v>
      </c>
      <c r="BB93" s="39" t="str">
        <f>'Por Valoracion (3) Dimension'!F93</f>
        <v>0</v>
      </c>
      <c r="BC93" s="39" t="str">
        <f>'Por Valoracion (3) Dimension 2'!J93</f>
        <v>0</v>
      </c>
      <c r="BX93" s="48"/>
      <c r="BZ93" s="49"/>
      <c r="CB93" t="str">
        <f>('Inteligencia emocional'!A94)</f>
        <v>0</v>
      </c>
      <c r="CC93" s="39" t="str">
        <f>'Por Valoracion (3) Dimension 2'!B93</f>
        <v>0</v>
      </c>
      <c r="CD93" s="39" t="str">
        <f>'Por Valoracion (3) Dimension'!H93</f>
        <v>0</v>
      </c>
      <c r="CY93" s="49"/>
      <c r="DA93" t="str">
        <f>('Inteligencia emocional'!A94)</f>
        <v>0</v>
      </c>
      <c r="DB93" s="39" t="str">
        <f>'Por Valoracion (3) Dimension 2'!D93</f>
        <v>0</v>
      </c>
      <c r="DC93" s="39" t="str">
        <f>'Por Valoracion (3) Dimension'!H93</f>
        <v>0</v>
      </c>
      <c r="DX93" s="49"/>
      <c r="DZ93" t="str">
        <f>('Inteligencia emocional'!A94)</f>
        <v>0</v>
      </c>
      <c r="EA93" s="39" t="str">
        <f>'Por Valoracion (3) Dimension 2'!F93</f>
        <v>0</v>
      </c>
      <c r="EB93" s="39" t="str">
        <f>'Por Valoracion (3) Dimension'!H93</f>
        <v>0</v>
      </c>
      <c r="EW93" s="49"/>
      <c r="EY93" t="str">
        <f>('Inteligencia emocional'!A94)</f>
        <v>0</v>
      </c>
      <c r="EZ93" s="39" t="str">
        <f>'Por Valoracion (3) Dimension 2'!H93</f>
        <v>0</v>
      </c>
      <c r="FA93" s="39" t="str">
        <f>'Por Valoracion (3) Dimension'!H93</f>
        <v>0</v>
      </c>
      <c r="FV93" s="49"/>
    </row>
    <row r="94" spans="1:178">
      <c r="A94" s="48"/>
      <c r="C94" t="str">
        <f>('Inteligencia emocional'!A95)</f>
        <v>0</v>
      </c>
      <c r="D94" s="39" t="str">
        <f>'Por Valoracion (3) Dimension'!B94</f>
        <v>0</v>
      </c>
      <c r="E94" s="39" t="str">
        <f>'Por Valoracion (3) Dimension 2'!J94</f>
        <v>0</v>
      </c>
      <c r="Z94" s="48"/>
      <c r="AB94" t="str">
        <f>('Inteligencia emocional'!A95)</f>
        <v>0</v>
      </c>
      <c r="AC94" s="39" t="str">
        <f>'Por Valoracion (3) Dimension'!D94</f>
        <v>0</v>
      </c>
      <c r="AD94" s="39" t="str">
        <f>'Por Valoracion (3) Dimension 2'!J94</f>
        <v>0</v>
      </c>
      <c r="AY94" s="48"/>
      <c r="BA94" t="str">
        <f>('Inteligencia emocional'!A95)</f>
        <v>0</v>
      </c>
      <c r="BB94" s="39" t="str">
        <f>'Por Valoracion (3) Dimension'!F94</f>
        <v>0</v>
      </c>
      <c r="BC94" s="39" t="str">
        <f>'Por Valoracion (3) Dimension 2'!J94</f>
        <v>0</v>
      </c>
      <c r="BX94" s="48"/>
      <c r="BZ94" s="49"/>
      <c r="CB94" t="str">
        <f>('Inteligencia emocional'!A95)</f>
        <v>0</v>
      </c>
      <c r="CC94" s="39" t="str">
        <f>'Por Valoracion (3) Dimension 2'!B94</f>
        <v>0</v>
      </c>
      <c r="CD94" s="39" t="str">
        <f>'Por Valoracion (3) Dimension'!H94</f>
        <v>0</v>
      </c>
      <c r="CY94" s="49"/>
      <c r="DA94" t="str">
        <f>('Inteligencia emocional'!A95)</f>
        <v>0</v>
      </c>
      <c r="DB94" s="39" t="str">
        <f>'Por Valoracion (3) Dimension 2'!D94</f>
        <v>0</v>
      </c>
      <c r="DC94" s="39" t="str">
        <f>'Por Valoracion (3) Dimension'!H94</f>
        <v>0</v>
      </c>
      <c r="DX94" s="49"/>
      <c r="DZ94" t="str">
        <f>('Inteligencia emocional'!A95)</f>
        <v>0</v>
      </c>
      <c r="EA94" s="39" t="str">
        <f>'Por Valoracion (3) Dimension 2'!F94</f>
        <v>0</v>
      </c>
      <c r="EB94" s="39" t="str">
        <f>'Por Valoracion (3) Dimension'!H94</f>
        <v>0</v>
      </c>
      <c r="EW94" s="49"/>
      <c r="EY94" t="str">
        <f>('Inteligencia emocional'!A95)</f>
        <v>0</v>
      </c>
      <c r="EZ94" s="39" t="str">
        <f>'Por Valoracion (3) Dimension 2'!H94</f>
        <v>0</v>
      </c>
      <c r="FA94" s="39" t="str">
        <f>'Por Valoracion (3) Dimension'!H94</f>
        <v>0</v>
      </c>
      <c r="FV94" s="49"/>
    </row>
    <row r="95" spans="1:178">
      <c r="A95" s="48"/>
      <c r="C95" t="str">
        <f>('Inteligencia emocional'!A96)</f>
        <v>0</v>
      </c>
      <c r="D95" s="39" t="str">
        <f>'Por Valoracion (3) Dimension'!B95</f>
        <v>0</v>
      </c>
      <c r="E95" s="39" t="str">
        <f>'Por Valoracion (3) Dimension 2'!J95</f>
        <v>0</v>
      </c>
      <c r="Z95" s="48"/>
      <c r="AB95" t="str">
        <f>('Inteligencia emocional'!A96)</f>
        <v>0</v>
      </c>
      <c r="AC95" s="39" t="str">
        <f>'Por Valoracion (3) Dimension'!D95</f>
        <v>0</v>
      </c>
      <c r="AD95" s="39" t="str">
        <f>'Por Valoracion (3) Dimension 2'!J95</f>
        <v>0</v>
      </c>
      <c r="AY95" s="48"/>
      <c r="BA95" t="str">
        <f>('Inteligencia emocional'!A96)</f>
        <v>0</v>
      </c>
      <c r="BB95" s="39" t="str">
        <f>'Por Valoracion (3) Dimension'!F95</f>
        <v>0</v>
      </c>
      <c r="BC95" s="39" t="str">
        <f>'Por Valoracion (3) Dimension 2'!J95</f>
        <v>0</v>
      </c>
      <c r="BX95" s="48"/>
      <c r="BZ95" s="49"/>
      <c r="CB95" t="str">
        <f>('Inteligencia emocional'!A96)</f>
        <v>0</v>
      </c>
      <c r="CC95" s="39" t="str">
        <f>'Por Valoracion (3) Dimension 2'!B95</f>
        <v>0</v>
      </c>
      <c r="CD95" s="39" t="str">
        <f>'Por Valoracion (3) Dimension'!H95</f>
        <v>0</v>
      </c>
      <c r="CY95" s="49"/>
      <c r="DA95" t="str">
        <f>('Inteligencia emocional'!A96)</f>
        <v>0</v>
      </c>
      <c r="DB95" s="39" t="str">
        <f>'Por Valoracion (3) Dimension 2'!D95</f>
        <v>0</v>
      </c>
      <c r="DC95" s="39" t="str">
        <f>'Por Valoracion (3) Dimension'!H95</f>
        <v>0</v>
      </c>
      <c r="DX95" s="49"/>
      <c r="DZ95" t="str">
        <f>('Inteligencia emocional'!A96)</f>
        <v>0</v>
      </c>
      <c r="EA95" s="39" t="str">
        <f>'Por Valoracion (3) Dimension 2'!F95</f>
        <v>0</v>
      </c>
      <c r="EB95" s="39" t="str">
        <f>'Por Valoracion (3) Dimension'!H95</f>
        <v>0</v>
      </c>
      <c r="EW95" s="49"/>
      <c r="EY95" t="str">
        <f>('Inteligencia emocional'!A96)</f>
        <v>0</v>
      </c>
      <c r="EZ95" s="39" t="str">
        <f>'Por Valoracion (3) Dimension 2'!H95</f>
        <v>0</v>
      </c>
      <c r="FA95" s="39" t="str">
        <f>'Por Valoracion (3) Dimension'!H95</f>
        <v>0</v>
      </c>
      <c r="FV95" s="49"/>
    </row>
    <row r="96" spans="1:178">
      <c r="A96" s="48"/>
      <c r="C96" t="str">
        <f>('Inteligencia emocional'!A97)</f>
        <v>0</v>
      </c>
      <c r="D96" s="39" t="str">
        <f>'Por Valoracion (3) Dimension'!B96</f>
        <v>0</v>
      </c>
      <c r="E96" s="39" t="str">
        <f>'Por Valoracion (3) Dimension 2'!J96</f>
        <v>0</v>
      </c>
      <c r="Z96" s="48"/>
      <c r="AB96" t="str">
        <f>('Inteligencia emocional'!A97)</f>
        <v>0</v>
      </c>
      <c r="AC96" s="39" t="str">
        <f>'Por Valoracion (3) Dimension'!D96</f>
        <v>0</v>
      </c>
      <c r="AD96" s="39" t="str">
        <f>'Por Valoracion (3) Dimension 2'!J96</f>
        <v>0</v>
      </c>
      <c r="AY96" s="48"/>
      <c r="BA96" t="str">
        <f>('Inteligencia emocional'!A97)</f>
        <v>0</v>
      </c>
      <c r="BB96" s="39" t="str">
        <f>'Por Valoracion (3) Dimension'!F96</f>
        <v>0</v>
      </c>
      <c r="BC96" s="39" t="str">
        <f>'Por Valoracion (3) Dimension 2'!J96</f>
        <v>0</v>
      </c>
      <c r="BX96" s="48"/>
      <c r="BZ96" s="49"/>
      <c r="CB96" t="str">
        <f>('Inteligencia emocional'!A97)</f>
        <v>0</v>
      </c>
      <c r="CC96" s="39" t="str">
        <f>'Por Valoracion (3) Dimension 2'!B96</f>
        <v>0</v>
      </c>
      <c r="CD96" s="39" t="str">
        <f>'Por Valoracion (3) Dimension'!H96</f>
        <v>0</v>
      </c>
      <c r="CY96" s="49"/>
      <c r="DA96" t="str">
        <f>('Inteligencia emocional'!A97)</f>
        <v>0</v>
      </c>
      <c r="DB96" s="39" t="str">
        <f>'Por Valoracion (3) Dimension 2'!D96</f>
        <v>0</v>
      </c>
      <c r="DC96" s="39" t="str">
        <f>'Por Valoracion (3) Dimension'!H96</f>
        <v>0</v>
      </c>
      <c r="DX96" s="49"/>
      <c r="DZ96" t="str">
        <f>('Inteligencia emocional'!A97)</f>
        <v>0</v>
      </c>
      <c r="EA96" s="39" t="str">
        <f>'Por Valoracion (3) Dimension 2'!F96</f>
        <v>0</v>
      </c>
      <c r="EB96" s="39" t="str">
        <f>'Por Valoracion (3) Dimension'!H96</f>
        <v>0</v>
      </c>
      <c r="EW96" s="49"/>
      <c r="EY96" t="str">
        <f>('Inteligencia emocional'!A97)</f>
        <v>0</v>
      </c>
      <c r="EZ96" s="39" t="str">
        <f>'Por Valoracion (3) Dimension 2'!H96</f>
        <v>0</v>
      </c>
      <c r="FA96" s="39" t="str">
        <f>'Por Valoracion (3) Dimension'!H96</f>
        <v>0</v>
      </c>
      <c r="FV96" s="49"/>
    </row>
    <row r="97" spans="1:178">
      <c r="A97" s="48"/>
      <c r="C97" t="str">
        <f>('Inteligencia emocional'!A98)</f>
        <v>0</v>
      </c>
      <c r="D97" s="39" t="str">
        <f>'Por Valoracion (3) Dimension'!B97</f>
        <v>0</v>
      </c>
      <c r="E97" s="39" t="str">
        <f>'Por Valoracion (3) Dimension 2'!J97</f>
        <v>0</v>
      </c>
      <c r="Z97" s="48"/>
      <c r="AB97" t="str">
        <f>('Inteligencia emocional'!A98)</f>
        <v>0</v>
      </c>
      <c r="AC97" s="39" t="str">
        <f>'Por Valoracion (3) Dimension'!D97</f>
        <v>0</v>
      </c>
      <c r="AD97" s="39" t="str">
        <f>'Por Valoracion (3) Dimension 2'!J97</f>
        <v>0</v>
      </c>
      <c r="AY97" s="48"/>
      <c r="BA97" t="str">
        <f>('Inteligencia emocional'!A98)</f>
        <v>0</v>
      </c>
      <c r="BB97" s="39" t="str">
        <f>'Por Valoracion (3) Dimension'!F97</f>
        <v>0</v>
      </c>
      <c r="BC97" s="39" t="str">
        <f>'Por Valoracion (3) Dimension 2'!J97</f>
        <v>0</v>
      </c>
      <c r="BX97" s="48"/>
      <c r="BZ97" s="49"/>
      <c r="CB97" t="str">
        <f>('Inteligencia emocional'!A98)</f>
        <v>0</v>
      </c>
      <c r="CC97" s="39" t="str">
        <f>'Por Valoracion (3) Dimension 2'!B97</f>
        <v>0</v>
      </c>
      <c r="CD97" s="39" t="str">
        <f>'Por Valoracion (3) Dimension'!H97</f>
        <v>0</v>
      </c>
      <c r="CY97" s="49"/>
      <c r="DA97" t="str">
        <f>('Inteligencia emocional'!A98)</f>
        <v>0</v>
      </c>
      <c r="DB97" s="39" t="str">
        <f>'Por Valoracion (3) Dimension 2'!D97</f>
        <v>0</v>
      </c>
      <c r="DC97" s="39" t="str">
        <f>'Por Valoracion (3) Dimension'!H97</f>
        <v>0</v>
      </c>
      <c r="DX97" s="49"/>
      <c r="DZ97" t="str">
        <f>('Inteligencia emocional'!A98)</f>
        <v>0</v>
      </c>
      <c r="EA97" s="39" t="str">
        <f>'Por Valoracion (3) Dimension 2'!F97</f>
        <v>0</v>
      </c>
      <c r="EB97" s="39" t="str">
        <f>'Por Valoracion (3) Dimension'!H97</f>
        <v>0</v>
      </c>
      <c r="EW97" s="49"/>
      <c r="EY97" t="str">
        <f>('Inteligencia emocional'!A98)</f>
        <v>0</v>
      </c>
      <c r="EZ97" s="39" t="str">
        <f>'Por Valoracion (3) Dimension 2'!H97</f>
        <v>0</v>
      </c>
      <c r="FA97" s="39" t="str">
        <f>'Por Valoracion (3) Dimension'!H97</f>
        <v>0</v>
      </c>
      <c r="FV97" s="49"/>
    </row>
    <row r="98" spans="1:178">
      <c r="A98" s="48"/>
      <c r="C98" t="str">
        <f>('Inteligencia emocional'!A99)</f>
        <v>0</v>
      </c>
      <c r="D98" s="39" t="str">
        <f>'Por Valoracion (3) Dimension'!B98</f>
        <v>0</v>
      </c>
      <c r="E98" s="39" t="str">
        <f>'Por Valoracion (3) Dimension 2'!J98</f>
        <v>0</v>
      </c>
      <c r="Z98" s="48"/>
      <c r="AB98" t="str">
        <f>('Inteligencia emocional'!A99)</f>
        <v>0</v>
      </c>
      <c r="AC98" s="39" t="str">
        <f>'Por Valoracion (3) Dimension'!D98</f>
        <v>0</v>
      </c>
      <c r="AD98" s="39" t="str">
        <f>'Por Valoracion (3) Dimension 2'!J98</f>
        <v>0</v>
      </c>
      <c r="AY98" s="48"/>
      <c r="BA98" t="str">
        <f>('Inteligencia emocional'!A99)</f>
        <v>0</v>
      </c>
      <c r="BB98" s="39" t="str">
        <f>'Por Valoracion (3) Dimension'!F98</f>
        <v>0</v>
      </c>
      <c r="BC98" s="39" t="str">
        <f>'Por Valoracion (3) Dimension 2'!J98</f>
        <v>0</v>
      </c>
      <c r="BX98" s="48"/>
      <c r="BZ98" s="49"/>
      <c r="CB98" t="str">
        <f>('Inteligencia emocional'!A99)</f>
        <v>0</v>
      </c>
      <c r="CC98" s="39" t="str">
        <f>'Por Valoracion (3) Dimension 2'!B98</f>
        <v>0</v>
      </c>
      <c r="CD98" s="39" t="str">
        <f>'Por Valoracion (3) Dimension'!H98</f>
        <v>0</v>
      </c>
      <c r="CY98" s="49"/>
      <c r="DA98" t="str">
        <f>('Inteligencia emocional'!A99)</f>
        <v>0</v>
      </c>
      <c r="DB98" s="39" t="str">
        <f>'Por Valoracion (3) Dimension 2'!D98</f>
        <v>0</v>
      </c>
      <c r="DC98" s="39" t="str">
        <f>'Por Valoracion (3) Dimension'!H98</f>
        <v>0</v>
      </c>
      <c r="DX98" s="49"/>
      <c r="DZ98" t="str">
        <f>('Inteligencia emocional'!A99)</f>
        <v>0</v>
      </c>
      <c r="EA98" s="39" t="str">
        <f>'Por Valoracion (3) Dimension 2'!F98</f>
        <v>0</v>
      </c>
      <c r="EB98" s="39" t="str">
        <f>'Por Valoracion (3) Dimension'!H98</f>
        <v>0</v>
      </c>
      <c r="EW98" s="49"/>
      <c r="EY98" t="str">
        <f>('Inteligencia emocional'!A99)</f>
        <v>0</v>
      </c>
      <c r="EZ98" s="39" t="str">
        <f>'Por Valoracion (3) Dimension 2'!H98</f>
        <v>0</v>
      </c>
      <c r="FA98" s="39" t="str">
        <f>'Por Valoracion (3) Dimension'!H98</f>
        <v>0</v>
      </c>
      <c r="FV98" s="49"/>
    </row>
    <row r="99" spans="1:178">
      <c r="A99" s="48"/>
      <c r="C99" t="str">
        <f>('Inteligencia emocional'!A100)</f>
        <v>0</v>
      </c>
      <c r="D99" s="39" t="str">
        <f>'Por Valoracion (3) Dimension'!B99</f>
        <v>0</v>
      </c>
      <c r="E99" s="39" t="str">
        <f>'Por Valoracion (3) Dimension 2'!J99</f>
        <v>0</v>
      </c>
      <c r="Z99" s="48"/>
      <c r="AB99" t="str">
        <f>('Inteligencia emocional'!A100)</f>
        <v>0</v>
      </c>
      <c r="AC99" s="39" t="str">
        <f>'Por Valoracion (3) Dimension'!D99</f>
        <v>0</v>
      </c>
      <c r="AD99" s="39" t="str">
        <f>'Por Valoracion (3) Dimension 2'!J99</f>
        <v>0</v>
      </c>
      <c r="AY99" s="48"/>
      <c r="BA99" t="str">
        <f>('Inteligencia emocional'!A100)</f>
        <v>0</v>
      </c>
      <c r="BB99" s="39" t="str">
        <f>'Por Valoracion (3) Dimension'!F99</f>
        <v>0</v>
      </c>
      <c r="BC99" s="39" t="str">
        <f>'Por Valoracion (3) Dimension 2'!J99</f>
        <v>0</v>
      </c>
      <c r="BX99" s="48"/>
      <c r="BZ99" s="49"/>
      <c r="CB99" t="str">
        <f>('Inteligencia emocional'!A100)</f>
        <v>0</v>
      </c>
      <c r="CC99" s="39" t="str">
        <f>'Por Valoracion (3) Dimension 2'!B99</f>
        <v>0</v>
      </c>
      <c r="CD99" s="39" t="str">
        <f>'Por Valoracion (3) Dimension'!H99</f>
        <v>0</v>
      </c>
      <c r="CY99" s="49"/>
      <c r="DA99" t="str">
        <f>('Inteligencia emocional'!A100)</f>
        <v>0</v>
      </c>
      <c r="DB99" s="39" t="str">
        <f>'Por Valoracion (3) Dimension 2'!D99</f>
        <v>0</v>
      </c>
      <c r="DC99" s="39" t="str">
        <f>'Por Valoracion (3) Dimension'!H99</f>
        <v>0</v>
      </c>
      <c r="DX99" s="49"/>
      <c r="DZ99" t="str">
        <f>('Inteligencia emocional'!A100)</f>
        <v>0</v>
      </c>
      <c r="EA99" s="39" t="str">
        <f>'Por Valoracion (3) Dimension 2'!F99</f>
        <v>0</v>
      </c>
      <c r="EB99" s="39" t="str">
        <f>'Por Valoracion (3) Dimension'!H99</f>
        <v>0</v>
      </c>
      <c r="EW99" s="49"/>
      <c r="EY99" t="str">
        <f>('Inteligencia emocional'!A100)</f>
        <v>0</v>
      </c>
      <c r="EZ99" s="39" t="str">
        <f>'Por Valoracion (3) Dimension 2'!H99</f>
        <v>0</v>
      </c>
      <c r="FA99" s="39" t="str">
        <f>'Por Valoracion (3) Dimension'!H99</f>
        <v>0</v>
      </c>
      <c r="FV99" s="49"/>
    </row>
    <row r="100" spans="1:178">
      <c r="A100" s="48"/>
      <c r="C100" t="str">
        <f>('Inteligencia emocional'!A101)</f>
        <v>0</v>
      </c>
      <c r="D100" s="39" t="str">
        <f>'Por Valoracion (3) Dimension'!B100</f>
        <v>0</v>
      </c>
      <c r="E100" s="39" t="str">
        <f>'Por Valoracion (3) Dimension 2'!J100</f>
        <v>0</v>
      </c>
      <c r="Z100" s="48"/>
      <c r="AB100" t="str">
        <f>('Inteligencia emocional'!A101)</f>
        <v>0</v>
      </c>
      <c r="AC100" s="39" t="str">
        <f>'Por Valoracion (3) Dimension'!D100</f>
        <v>0</v>
      </c>
      <c r="AD100" s="39" t="str">
        <f>'Por Valoracion (3) Dimension 2'!J100</f>
        <v>0</v>
      </c>
      <c r="AY100" s="48"/>
      <c r="BA100" t="str">
        <f>('Inteligencia emocional'!A101)</f>
        <v>0</v>
      </c>
      <c r="BB100" s="39" t="str">
        <f>'Por Valoracion (3) Dimension'!F100</f>
        <v>0</v>
      </c>
      <c r="BC100" s="39" t="str">
        <f>'Por Valoracion (3) Dimension 2'!J100</f>
        <v>0</v>
      </c>
      <c r="BX100" s="48"/>
      <c r="BZ100" s="49"/>
      <c r="CB100" t="str">
        <f>('Inteligencia emocional'!A101)</f>
        <v>0</v>
      </c>
      <c r="CC100" s="39" t="str">
        <f>'Por Valoracion (3) Dimension 2'!B100</f>
        <v>0</v>
      </c>
      <c r="CD100" s="39" t="str">
        <f>'Por Valoracion (3) Dimension'!H100</f>
        <v>0</v>
      </c>
      <c r="CY100" s="49"/>
      <c r="DA100" t="str">
        <f>('Inteligencia emocional'!A101)</f>
        <v>0</v>
      </c>
      <c r="DB100" s="39" t="str">
        <f>'Por Valoracion (3) Dimension 2'!D100</f>
        <v>0</v>
      </c>
      <c r="DC100" s="39" t="str">
        <f>'Por Valoracion (3) Dimension'!H100</f>
        <v>0</v>
      </c>
      <c r="DX100" s="49"/>
      <c r="DZ100" t="str">
        <f>('Inteligencia emocional'!A101)</f>
        <v>0</v>
      </c>
      <c r="EA100" s="39" t="str">
        <f>'Por Valoracion (3) Dimension 2'!F100</f>
        <v>0</v>
      </c>
      <c r="EB100" s="39" t="str">
        <f>'Por Valoracion (3) Dimension'!H100</f>
        <v>0</v>
      </c>
      <c r="EW100" s="49"/>
      <c r="EY100" t="str">
        <f>('Inteligencia emocional'!A101)</f>
        <v>0</v>
      </c>
      <c r="EZ100" s="39" t="str">
        <f>'Por Valoracion (3) Dimension 2'!H100</f>
        <v>0</v>
      </c>
      <c r="FA100" s="39" t="str">
        <f>'Por Valoracion (3) Dimension'!H100</f>
        <v>0</v>
      </c>
      <c r="FV100" s="49"/>
    </row>
    <row r="101" spans="1:178">
      <c r="A101" s="48"/>
      <c r="C101" t="str">
        <f>('Inteligencia emocional'!A102)</f>
        <v>0</v>
      </c>
      <c r="D101" s="39" t="str">
        <f>'Por Valoracion (3) Dimension'!B101</f>
        <v>0</v>
      </c>
      <c r="E101" s="39" t="str">
        <f>'Por Valoracion (3) Dimension 2'!J101</f>
        <v>0</v>
      </c>
      <c r="Z101" s="48"/>
      <c r="AB101" t="str">
        <f>('Inteligencia emocional'!A102)</f>
        <v>0</v>
      </c>
      <c r="AC101" s="39" t="str">
        <f>'Por Valoracion (3) Dimension'!D101</f>
        <v>0</v>
      </c>
      <c r="AD101" s="39" t="str">
        <f>'Por Valoracion (3) Dimension 2'!J101</f>
        <v>0</v>
      </c>
      <c r="AY101" s="48"/>
      <c r="BA101" t="str">
        <f>('Inteligencia emocional'!A102)</f>
        <v>0</v>
      </c>
      <c r="BB101" s="39" t="str">
        <f>'Por Valoracion (3) Dimension'!F101</f>
        <v>0</v>
      </c>
      <c r="BC101" s="39" t="str">
        <f>'Por Valoracion (3) Dimension 2'!J101</f>
        <v>0</v>
      </c>
      <c r="BX101" s="48"/>
      <c r="BZ101" s="49"/>
      <c r="CB101" t="str">
        <f>('Inteligencia emocional'!A102)</f>
        <v>0</v>
      </c>
      <c r="CC101" s="39" t="str">
        <f>'Por Valoracion (3) Dimension 2'!B101</f>
        <v>0</v>
      </c>
      <c r="CD101" s="39" t="str">
        <f>'Por Valoracion (3) Dimension'!H101</f>
        <v>0</v>
      </c>
      <c r="CY101" s="49"/>
      <c r="DA101" t="str">
        <f>('Inteligencia emocional'!A102)</f>
        <v>0</v>
      </c>
      <c r="DB101" s="39" t="str">
        <f>'Por Valoracion (3) Dimension 2'!D101</f>
        <v>0</v>
      </c>
      <c r="DC101" s="39" t="str">
        <f>'Por Valoracion (3) Dimension'!H101</f>
        <v>0</v>
      </c>
      <c r="DX101" s="49"/>
      <c r="DZ101" t="str">
        <f>('Inteligencia emocional'!A102)</f>
        <v>0</v>
      </c>
      <c r="EA101" s="39" t="str">
        <f>'Por Valoracion (3) Dimension 2'!F101</f>
        <v>0</v>
      </c>
      <c r="EB101" s="39" t="str">
        <f>'Por Valoracion (3) Dimension'!H101</f>
        <v>0</v>
      </c>
      <c r="EW101" s="49"/>
      <c r="EY101" t="str">
        <f>('Inteligencia emocional'!A102)</f>
        <v>0</v>
      </c>
      <c r="EZ101" s="39" t="str">
        <f>'Por Valoracion (3) Dimension 2'!H101</f>
        <v>0</v>
      </c>
      <c r="FA101" s="39" t="str">
        <f>'Por Valoracion (3) Dimension'!H101</f>
        <v>0</v>
      </c>
      <c r="FV101" s="49"/>
    </row>
    <row r="102" spans="1:178">
      <c r="A102" s="48"/>
      <c r="C102" t="str">
        <f>('Inteligencia emocional'!A103)</f>
        <v>0</v>
      </c>
      <c r="D102" s="39" t="str">
        <f>'Por Valoracion (3) Dimension'!B102</f>
        <v>0</v>
      </c>
      <c r="E102" s="39" t="str">
        <f>'Por Valoracion (3) Dimension 2'!J102</f>
        <v>0</v>
      </c>
      <c r="Z102" s="48"/>
      <c r="AB102" t="str">
        <f>('Inteligencia emocional'!A103)</f>
        <v>0</v>
      </c>
      <c r="AC102" s="39" t="str">
        <f>'Por Valoracion (3) Dimension'!D102</f>
        <v>0</v>
      </c>
      <c r="AD102" s="39" t="str">
        <f>'Por Valoracion (3) Dimension 2'!J102</f>
        <v>0</v>
      </c>
      <c r="AY102" s="48"/>
      <c r="BA102" t="str">
        <f>('Inteligencia emocional'!A103)</f>
        <v>0</v>
      </c>
      <c r="BB102" s="39" t="str">
        <f>'Por Valoracion (3) Dimension'!F102</f>
        <v>0</v>
      </c>
      <c r="BC102" s="39" t="str">
        <f>'Por Valoracion (3) Dimension 2'!J102</f>
        <v>0</v>
      </c>
      <c r="BX102" s="48"/>
      <c r="BZ102" s="49"/>
      <c r="CB102" t="str">
        <f>('Inteligencia emocional'!A103)</f>
        <v>0</v>
      </c>
      <c r="CC102" s="39" t="str">
        <f>'Por Valoracion (3) Dimension 2'!B102</f>
        <v>0</v>
      </c>
      <c r="CD102" s="39" t="str">
        <f>'Por Valoracion (3) Dimension'!H102</f>
        <v>0</v>
      </c>
      <c r="CY102" s="49"/>
      <c r="DA102" t="str">
        <f>('Inteligencia emocional'!A103)</f>
        <v>0</v>
      </c>
      <c r="DB102" s="39" t="str">
        <f>'Por Valoracion (3) Dimension 2'!D102</f>
        <v>0</v>
      </c>
      <c r="DC102" s="39" t="str">
        <f>'Por Valoracion (3) Dimension'!H102</f>
        <v>0</v>
      </c>
      <c r="DX102" s="49"/>
      <c r="DZ102" t="str">
        <f>('Inteligencia emocional'!A103)</f>
        <v>0</v>
      </c>
      <c r="EA102" s="39" t="str">
        <f>'Por Valoracion (3) Dimension 2'!F102</f>
        <v>0</v>
      </c>
      <c r="EB102" s="39" t="str">
        <f>'Por Valoracion (3) Dimension'!H102</f>
        <v>0</v>
      </c>
      <c r="EW102" s="49"/>
      <c r="EY102" t="str">
        <f>('Inteligencia emocional'!A103)</f>
        <v>0</v>
      </c>
      <c r="EZ102" s="39" t="str">
        <f>'Por Valoracion (3) Dimension 2'!H102</f>
        <v>0</v>
      </c>
      <c r="FA102" s="39" t="str">
        <f>'Por Valoracion (3) Dimension'!H102</f>
        <v>0</v>
      </c>
      <c r="FV102" s="49"/>
    </row>
    <row r="103" spans="1:178">
      <c r="A103" s="48"/>
      <c r="C103" t="str">
        <f>('Inteligencia emocional'!A104)</f>
        <v>0</v>
      </c>
      <c r="D103" s="39" t="str">
        <f>'Por Valoracion (3) Dimension'!B103</f>
        <v>0</v>
      </c>
      <c r="E103" s="39" t="str">
        <f>'Por Valoracion (3) Dimension 2'!J103</f>
        <v>0</v>
      </c>
      <c r="Z103" s="48"/>
      <c r="AB103" t="str">
        <f>('Inteligencia emocional'!A104)</f>
        <v>0</v>
      </c>
      <c r="AC103" s="39" t="str">
        <f>'Por Valoracion (3) Dimension'!D103</f>
        <v>0</v>
      </c>
      <c r="AD103" s="39" t="str">
        <f>'Por Valoracion (3) Dimension 2'!J103</f>
        <v>0</v>
      </c>
      <c r="AY103" s="48"/>
      <c r="BA103" t="str">
        <f>('Inteligencia emocional'!A104)</f>
        <v>0</v>
      </c>
      <c r="BB103" s="39" t="str">
        <f>'Por Valoracion (3) Dimension'!F103</f>
        <v>0</v>
      </c>
      <c r="BC103" s="39" t="str">
        <f>'Por Valoracion (3) Dimension 2'!J103</f>
        <v>0</v>
      </c>
      <c r="BX103" s="48"/>
      <c r="BZ103" s="49"/>
      <c r="CB103" t="str">
        <f>('Inteligencia emocional'!A104)</f>
        <v>0</v>
      </c>
      <c r="CC103" s="39" t="str">
        <f>'Por Valoracion (3) Dimension 2'!B103</f>
        <v>0</v>
      </c>
      <c r="CD103" s="39" t="str">
        <f>'Por Valoracion (3) Dimension'!H103</f>
        <v>0</v>
      </c>
      <c r="CY103" s="49"/>
      <c r="DA103" t="str">
        <f>('Inteligencia emocional'!A104)</f>
        <v>0</v>
      </c>
      <c r="DB103" s="39" t="str">
        <f>'Por Valoracion (3) Dimension 2'!D103</f>
        <v>0</v>
      </c>
      <c r="DC103" s="39" t="str">
        <f>'Por Valoracion (3) Dimension'!H103</f>
        <v>0</v>
      </c>
      <c r="DX103" s="49"/>
      <c r="DZ103" t="str">
        <f>('Inteligencia emocional'!A104)</f>
        <v>0</v>
      </c>
      <c r="EA103" s="39" t="str">
        <f>'Por Valoracion (3) Dimension 2'!F103</f>
        <v>0</v>
      </c>
      <c r="EB103" s="39" t="str">
        <f>'Por Valoracion (3) Dimension'!H103</f>
        <v>0</v>
      </c>
      <c r="EW103" s="49"/>
      <c r="EY103" t="str">
        <f>('Inteligencia emocional'!A104)</f>
        <v>0</v>
      </c>
      <c r="EZ103" s="39" t="str">
        <f>'Por Valoracion (3) Dimension 2'!H103</f>
        <v>0</v>
      </c>
      <c r="FA103" s="39" t="str">
        <f>'Por Valoracion (3) Dimension'!H103</f>
        <v>0</v>
      </c>
      <c r="FV103" s="49"/>
    </row>
    <row r="104" spans="1:178">
      <c r="A104" s="48"/>
      <c r="C104" t="str">
        <f>('Inteligencia emocional'!A105)</f>
        <v>0</v>
      </c>
      <c r="D104" s="39" t="str">
        <f>'Por Valoracion (3) Dimension'!B104</f>
        <v>0</v>
      </c>
      <c r="E104" s="39" t="str">
        <f>'Por Valoracion (3) Dimension 2'!J104</f>
        <v>0</v>
      </c>
      <c r="Z104" s="48"/>
      <c r="AB104" t="str">
        <f>('Inteligencia emocional'!A105)</f>
        <v>0</v>
      </c>
      <c r="AC104" s="39" t="str">
        <f>'Por Valoracion (3) Dimension'!D104</f>
        <v>0</v>
      </c>
      <c r="AD104" s="39" t="str">
        <f>'Por Valoracion (3) Dimension 2'!J104</f>
        <v>0</v>
      </c>
      <c r="AY104" s="48"/>
      <c r="BA104" t="str">
        <f>('Inteligencia emocional'!A105)</f>
        <v>0</v>
      </c>
      <c r="BB104" s="39" t="str">
        <f>'Por Valoracion (3) Dimension'!F104</f>
        <v>0</v>
      </c>
      <c r="BC104" s="39" t="str">
        <f>'Por Valoracion (3) Dimension 2'!J104</f>
        <v>0</v>
      </c>
      <c r="BX104" s="48"/>
      <c r="BZ104" s="49"/>
      <c r="CB104" t="str">
        <f>('Inteligencia emocional'!A105)</f>
        <v>0</v>
      </c>
      <c r="CC104" s="39" t="str">
        <f>'Por Valoracion (3) Dimension 2'!B104</f>
        <v>0</v>
      </c>
      <c r="CD104" s="39" t="str">
        <f>'Por Valoracion (3) Dimension'!H104</f>
        <v>0</v>
      </c>
      <c r="CY104" s="49"/>
      <c r="DA104" t="str">
        <f>('Inteligencia emocional'!A105)</f>
        <v>0</v>
      </c>
      <c r="DB104" s="39" t="str">
        <f>'Por Valoracion (3) Dimension 2'!D104</f>
        <v>0</v>
      </c>
      <c r="DC104" s="39" t="str">
        <f>'Por Valoracion (3) Dimension'!H104</f>
        <v>0</v>
      </c>
      <c r="DX104" s="49"/>
      <c r="DZ104" t="str">
        <f>('Inteligencia emocional'!A105)</f>
        <v>0</v>
      </c>
      <c r="EA104" s="39" t="str">
        <f>'Por Valoracion (3) Dimension 2'!F104</f>
        <v>0</v>
      </c>
      <c r="EB104" s="39" t="str">
        <f>'Por Valoracion (3) Dimension'!H104</f>
        <v>0</v>
      </c>
      <c r="EW104" s="49"/>
      <c r="EY104" t="str">
        <f>('Inteligencia emocional'!A105)</f>
        <v>0</v>
      </c>
      <c r="EZ104" s="39" t="str">
        <f>'Por Valoracion (3) Dimension 2'!H104</f>
        <v>0</v>
      </c>
      <c r="FA104" s="39" t="str">
        <f>'Por Valoracion (3) Dimension'!H104</f>
        <v>0</v>
      </c>
      <c r="FV104" s="49"/>
    </row>
    <row r="105" spans="1:178">
      <c r="A105" s="48"/>
      <c r="C105" t="str">
        <f>('Inteligencia emocional'!A106)</f>
        <v>0</v>
      </c>
      <c r="D105" s="39" t="str">
        <f>'Por Valoracion (3) Dimension'!B105</f>
        <v>0</v>
      </c>
      <c r="E105" s="39" t="str">
        <f>'Por Valoracion (3) Dimension 2'!J105</f>
        <v>0</v>
      </c>
      <c r="Z105" s="48"/>
      <c r="AB105" t="str">
        <f>('Inteligencia emocional'!A106)</f>
        <v>0</v>
      </c>
      <c r="AC105" s="39" t="str">
        <f>'Por Valoracion (3) Dimension'!D105</f>
        <v>0</v>
      </c>
      <c r="AD105" s="39" t="str">
        <f>'Por Valoracion (3) Dimension 2'!J105</f>
        <v>0</v>
      </c>
      <c r="AY105" s="48"/>
      <c r="BA105" t="str">
        <f>('Inteligencia emocional'!A106)</f>
        <v>0</v>
      </c>
      <c r="BB105" s="39" t="str">
        <f>'Por Valoracion (3) Dimension'!F105</f>
        <v>0</v>
      </c>
      <c r="BC105" s="39" t="str">
        <f>'Por Valoracion (3) Dimension 2'!J105</f>
        <v>0</v>
      </c>
      <c r="BX105" s="48"/>
      <c r="BZ105" s="49"/>
      <c r="CB105" t="str">
        <f>('Inteligencia emocional'!A106)</f>
        <v>0</v>
      </c>
      <c r="CC105" s="39" t="str">
        <f>'Por Valoracion (3) Dimension 2'!B105</f>
        <v>0</v>
      </c>
      <c r="CD105" s="39" t="str">
        <f>'Por Valoracion (3) Dimension'!H105</f>
        <v>0</v>
      </c>
      <c r="CY105" s="49"/>
      <c r="DA105" t="str">
        <f>('Inteligencia emocional'!A106)</f>
        <v>0</v>
      </c>
      <c r="DB105" s="39" t="str">
        <f>'Por Valoracion (3) Dimension 2'!D105</f>
        <v>0</v>
      </c>
      <c r="DC105" s="39" t="str">
        <f>'Por Valoracion (3) Dimension'!H105</f>
        <v>0</v>
      </c>
      <c r="DX105" s="49"/>
      <c r="DZ105" t="str">
        <f>('Inteligencia emocional'!A106)</f>
        <v>0</v>
      </c>
      <c r="EA105" s="39" t="str">
        <f>'Por Valoracion (3) Dimension 2'!F105</f>
        <v>0</v>
      </c>
      <c r="EB105" s="39" t="str">
        <f>'Por Valoracion (3) Dimension'!H105</f>
        <v>0</v>
      </c>
      <c r="EW105" s="49"/>
      <c r="EY105" t="str">
        <f>('Inteligencia emocional'!A106)</f>
        <v>0</v>
      </c>
      <c r="EZ105" s="39" t="str">
        <f>'Por Valoracion (3) Dimension 2'!H105</f>
        <v>0</v>
      </c>
      <c r="FA105" s="39" t="str">
        <f>'Por Valoracion (3) Dimension'!H105</f>
        <v>0</v>
      </c>
      <c r="FV105" s="49"/>
    </row>
    <row r="106" spans="1:178">
      <c r="A106" s="48"/>
      <c r="C106" t="str">
        <f>('Inteligencia emocional'!A107)</f>
        <v>0</v>
      </c>
      <c r="D106" s="39" t="str">
        <f>'Por Valoracion (3) Dimension'!B106</f>
        <v>0</v>
      </c>
      <c r="E106" s="39" t="str">
        <f>'Por Valoracion (3) Dimension 2'!J106</f>
        <v>0</v>
      </c>
      <c r="Z106" s="48"/>
      <c r="AB106" t="str">
        <f>('Inteligencia emocional'!A107)</f>
        <v>0</v>
      </c>
      <c r="AC106" s="39" t="str">
        <f>'Por Valoracion (3) Dimension'!D106</f>
        <v>0</v>
      </c>
      <c r="AD106" s="39" t="str">
        <f>'Por Valoracion (3) Dimension 2'!J106</f>
        <v>0</v>
      </c>
      <c r="AY106" s="48"/>
      <c r="BA106" t="str">
        <f>('Inteligencia emocional'!A107)</f>
        <v>0</v>
      </c>
      <c r="BB106" s="39" t="str">
        <f>'Por Valoracion (3) Dimension'!F106</f>
        <v>0</v>
      </c>
      <c r="BC106" s="39" t="str">
        <f>'Por Valoracion (3) Dimension 2'!J106</f>
        <v>0</v>
      </c>
      <c r="BX106" s="48"/>
      <c r="BZ106" s="49"/>
      <c r="CB106" t="str">
        <f>('Inteligencia emocional'!A107)</f>
        <v>0</v>
      </c>
      <c r="CC106" s="39" t="str">
        <f>'Por Valoracion (3) Dimension 2'!B106</f>
        <v>0</v>
      </c>
      <c r="CD106" s="39" t="str">
        <f>'Por Valoracion (3) Dimension'!H106</f>
        <v>0</v>
      </c>
      <c r="CY106" s="49"/>
      <c r="DA106" t="str">
        <f>('Inteligencia emocional'!A107)</f>
        <v>0</v>
      </c>
      <c r="DB106" s="39" t="str">
        <f>'Por Valoracion (3) Dimension 2'!D106</f>
        <v>0</v>
      </c>
      <c r="DC106" s="39" t="str">
        <f>'Por Valoracion (3) Dimension'!H106</f>
        <v>0</v>
      </c>
      <c r="DX106" s="49"/>
      <c r="DZ106" t="str">
        <f>('Inteligencia emocional'!A107)</f>
        <v>0</v>
      </c>
      <c r="EA106" s="39" t="str">
        <f>'Por Valoracion (3) Dimension 2'!F106</f>
        <v>0</v>
      </c>
      <c r="EB106" s="39" t="str">
        <f>'Por Valoracion (3) Dimension'!H106</f>
        <v>0</v>
      </c>
      <c r="EW106" s="49"/>
      <c r="EY106" t="str">
        <f>('Inteligencia emocional'!A107)</f>
        <v>0</v>
      </c>
      <c r="EZ106" s="39" t="str">
        <f>'Por Valoracion (3) Dimension 2'!H106</f>
        <v>0</v>
      </c>
      <c r="FA106" s="39" t="str">
        <f>'Por Valoracion (3) Dimension'!H106</f>
        <v>0</v>
      </c>
      <c r="FV106" s="49"/>
    </row>
    <row r="107" spans="1:178">
      <c r="A107" s="48"/>
      <c r="C107" t="str">
        <f>('Inteligencia emocional'!A108)</f>
        <v>0</v>
      </c>
      <c r="D107" s="39" t="str">
        <f>'Por Valoracion (3) Dimension'!B107</f>
        <v>0</v>
      </c>
      <c r="E107" s="39" t="str">
        <f>'Por Valoracion (3) Dimension 2'!J107</f>
        <v>0</v>
      </c>
      <c r="Z107" s="48"/>
      <c r="AB107" t="str">
        <f>('Inteligencia emocional'!A108)</f>
        <v>0</v>
      </c>
      <c r="AC107" s="39" t="str">
        <f>'Por Valoracion (3) Dimension'!D107</f>
        <v>0</v>
      </c>
      <c r="AD107" s="39" t="str">
        <f>'Por Valoracion (3) Dimension 2'!J107</f>
        <v>0</v>
      </c>
      <c r="AY107" s="48"/>
      <c r="BA107" t="str">
        <f>('Inteligencia emocional'!A108)</f>
        <v>0</v>
      </c>
      <c r="BB107" s="39" t="str">
        <f>'Por Valoracion (3) Dimension'!F107</f>
        <v>0</v>
      </c>
      <c r="BC107" s="39" t="str">
        <f>'Por Valoracion (3) Dimension 2'!J107</f>
        <v>0</v>
      </c>
      <c r="BX107" s="48"/>
      <c r="BZ107" s="49"/>
      <c r="CB107" t="str">
        <f>('Inteligencia emocional'!A108)</f>
        <v>0</v>
      </c>
      <c r="CC107" s="39" t="str">
        <f>'Por Valoracion (3) Dimension 2'!B107</f>
        <v>0</v>
      </c>
      <c r="CD107" s="39" t="str">
        <f>'Por Valoracion (3) Dimension'!H107</f>
        <v>0</v>
      </c>
      <c r="CY107" s="49"/>
      <c r="DA107" t="str">
        <f>('Inteligencia emocional'!A108)</f>
        <v>0</v>
      </c>
      <c r="DB107" s="39" t="str">
        <f>'Por Valoracion (3) Dimension 2'!D107</f>
        <v>0</v>
      </c>
      <c r="DC107" s="39" t="str">
        <f>'Por Valoracion (3) Dimension'!H107</f>
        <v>0</v>
      </c>
      <c r="DX107" s="49"/>
      <c r="DZ107" t="str">
        <f>('Inteligencia emocional'!A108)</f>
        <v>0</v>
      </c>
      <c r="EA107" s="39" t="str">
        <f>'Por Valoracion (3) Dimension 2'!F107</f>
        <v>0</v>
      </c>
      <c r="EB107" s="39" t="str">
        <f>'Por Valoracion (3) Dimension'!H107</f>
        <v>0</v>
      </c>
      <c r="EW107" s="49"/>
      <c r="EY107" t="str">
        <f>('Inteligencia emocional'!A108)</f>
        <v>0</v>
      </c>
      <c r="EZ107" s="39" t="str">
        <f>'Por Valoracion (3) Dimension 2'!H107</f>
        <v>0</v>
      </c>
      <c r="FA107" s="39" t="str">
        <f>'Por Valoracion (3) Dimension'!H107</f>
        <v>0</v>
      </c>
      <c r="FV107" s="49"/>
    </row>
    <row r="108" spans="1:178">
      <c r="A108" s="48"/>
      <c r="C108" t="str">
        <f>('Inteligencia emocional'!A109)</f>
        <v>0</v>
      </c>
      <c r="D108" s="39" t="str">
        <f>'Por Valoracion (3) Dimension'!B108</f>
        <v>0</v>
      </c>
      <c r="E108" s="39" t="str">
        <f>'Por Valoracion (3) Dimension 2'!J108</f>
        <v>0</v>
      </c>
      <c r="Z108" s="48"/>
      <c r="AB108" t="str">
        <f>('Inteligencia emocional'!A109)</f>
        <v>0</v>
      </c>
      <c r="AC108" s="39" t="str">
        <f>'Por Valoracion (3) Dimension'!D108</f>
        <v>0</v>
      </c>
      <c r="AD108" s="39" t="str">
        <f>'Por Valoracion (3) Dimension 2'!J108</f>
        <v>0</v>
      </c>
      <c r="AY108" s="48"/>
      <c r="BA108" t="str">
        <f>('Inteligencia emocional'!A109)</f>
        <v>0</v>
      </c>
      <c r="BB108" s="39" t="str">
        <f>'Por Valoracion (3) Dimension'!F108</f>
        <v>0</v>
      </c>
      <c r="BC108" s="39" t="str">
        <f>'Por Valoracion (3) Dimension 2'!J108</f>
        <v>0</v>
      </c>
      <c r="BX108" s="48"/>
      <c r="BZ108" s="49"/>
      <c r="CB108" t="str">
        <f>('Inteligencia emocional'!A109)</f>
        <v>0</v>
      </c>
      <c r="CC108" s="39" t="str">
        <f>'Por Valoracion (3) Dimension 2'!B108</f>
        <v>0</v>
      </c>
      <c r="CD108" s="39" t="str">
        <f>'Por Valoracion (3) Dimension'!H108</f>
        <v>0</v>
      </c>
      <c r="CY108" s="49"/>
      <c r="DA108" t="str">
        <f>('Inteligencia emocional'!A109)</f>
        <v>0</v>
      </c>
      <c r="DB108" s="39" t="str">
        <f>'Por Valoracion (3) Dimension 2'!D108</f>
        <v>0</v>
      </c>
      <c r="DC108" s="39" t="str">
        <f>'Por Valoracion (3) Dimension'!H108</f>
        <v>0</v>
      </c>
      <c r="DX108" s="49"/>
      <c r="DZ108" t="str">
        <f>('Inteligencia emocional'!A109)</f>
        <v>0</v>
      </c>
      <c r="EA108" s="39" t="str">
        <f>'Por Valoracion (3) Dimension 2'!F108</f>
        <v>0</v>
      </c>
      <c r="EB108" s="39" t="str">
        <f>'Por Valoracion (3) Dimension'!H108</f>
        <v>0</v>
      </c>
      <c r="EW108" s="49"/>
      <c r="EY108" t="str">
        <f>('Inteligencia emocional'!A109)</f>
        <v>0</v>
      </c>
      <c r="EZ108" s="39" t="str">
        <f>'Por Valoracion (3) Dimension 2'!H108</f>
        <v>0</v>
      </c>
      <c r="FA108" s="39" t="str">
        <f>'Por Valoracion (3) Dimension'!H108</f>
        <v>0</v>
      </c>
      <c r="FV108" s="49"/>
    </row>
    <row r="109" spans="1:178">
      <c r="A109" s="48"/>
      <c r="C109" t="str">
        <f>('Inteligencia emocional'!A110)</f>
        <v>0</v>
      </c>
      <c r="D109" s="39" t="str">
        <f>'Por Valoracion (3) Dimension'!B109</f>
        <v>0</v>
      </c>
      <c r="E109" s="39" t="str">
        <f>'Por Valoracion (3) Dimension 2'!J109</f>
        <v>0</v>
      </c>
      <c r="Z109" s="48"/>
      <c r="AB109" t="str">
        <f>('Inteligencia emocional'!A110)</f>
        <v>0</v>
      </c>
      <c r="AC109" s="39" t="str">
        <f>'Por Valoracion (3) Dimension'!D109</f>
        <v>0</v>
      </c>
      <c r="AD109" s="39" t="str">
        <f>'Por Valoracion (3) Dimension 2'!J109</f>
        <v>0</v>
      </c>
      <c r="AY109" s="48"/>
      <c r="BA109" t="str">
        <f>('Inteligencia emocional'!A110)</f>
        <v>0</v>
      </c>
      <c r="BB109" s="39" t="str">
        <f>'Por Valoracion (3) Dimension'!F109</f>
        <v>0</v>
      </c>
      <c r="BC109" s="39" t="str">
        <f>'Por Valoracion (3) Dimension 2'!J109</f>
        <v>0</v>
      </c>
      <c r="BX109" s="48"/>
      <c r="BZ109" s="49"/>
      <c r="CB109" t="str">
        <f>('Inteligencia emocional'!A110)</f>
        <v>0</v>
      </c>
      <c r="CC109" s="39" t="str">
        <f>'Por Valoracion (3) Dimension 2'!B109</f>
        <v>0</v>
      </c>
      <c r="CD109" s="39" t="str">
        <f>'Por Valoracion (3) Dimension'!H109</f>
        <v>0</v>
      </c>
      <c r="CY109" s="49"/>
      <c r="DA109" t="str">
        <f>('Inteligencia emocional'!A110)</f>
        <v>0</v>
      </c>
      <c r="DB109" s="39" t="str">
        <f>'Por Valoracion (3) Dimension 2'!D109</f>
        <v>0</v>
      </c>
      <c r="DC109" s="39" t="str">
        <f>'Por Valoracion (3) Dimension'!H109</f>
        <v>0</v>
      </c>
      <c r="DX109" s="49"/>
      <c r="DZ109" t="str">
        <f>('Inteligencia emocional'!A110)</f>
        <v>0</v>
      </c>
      <c r="EA109" s="39" t="str">
        <f>'Por Valoracion (3) Dimension 2'!F109</f>
        <v>0</v>
      </c>
      <c r="EB109" s="39" t="str">
        <f>'Por Valoracion (3) Dimension'!H109</f>
        <v>0</v>
      </c>
      <c r="EW109" s="49"/>
      <c r="EY109" t="str">
        <f>('Inteligencia emocional'!A110)</f>
        <v>0</v>
      </c>
      <c r="EZ109" s="39" t="str">
        <f>'Por Valoracion (3) Dimension 2'!H109</f>
        <v>0</v>
      </c>
      <c r="FA109" s="39" t="str">
        <f>'Por Valoracion (3) Dimension'!H109</f>
        <v>0</v>
      </c>
      <c r="FV109" s="49"/>
    </row>
    <row r="110" spans="1:178">
      <c r="A110" s="48"/>
      <c r="C110" t="str">
        <f>('Inteligencia emocional'!A111)</f>
        <v>0</v>
      </c>
      <c r="D110" s="39" t="str">
        <f>'Por Valoracion (3) Dimension'!B110</f>
        <v>0</v>
      </c>
      <c r="E110" s="39" t="str">
        <f>'Por Valoracion (3) Dimension 2'!J110</f>
        <v>0</v>
      </c>
      <c r="Z110" s="48"/>
      <c r="AB110" t="str">
        <f>('Inteligencia emocional'!A111)</f>
        <v>0</v>
      </c>
      <c r="AC110" s="39" t="str">
        <f>'Por Valoracion (3) Dimension'!D110</f>
        <v>0</v>
      </c>
      <c r="AD110" s="39" t="str">
        <f>'Por Valoracion (3) Dimension 2'!J110</f>
        <v>0</v>
      </c>
      <c r="AY110" s="48"/>
      <c r="BA110" t="str">
        <f>('Inteligencia emocional'!A111)</f>
        <v>0</v>
      </c>
      <c r="BB110" s="39" t="str">
        <f>'Por Valoracion (3) Dimension'!F110</f>
        <v>0</v>
      </c>
      <c r="BC110" s="39" t="str">
        <f>'Por Valoracion (3) Dimension 2'!J110</f>
        <v>0</v>
      </c>
      <c r="BX110" s="48"/>
      <c r="BZ110" s="49"/>
      <c r="CB110" t="str">
        <f>('Inteligencia emocional'!A111)</f>
        <v>0</v>
      </c>
      <c r="CC110" s="39" t="str">
        <f>'Por Valoracion (3) Dimension 2'!B110</f>
        <v>0</v>
      </c>
      <c r="CD110" s="39" t="str">
        <f>'Por Valoracion (3) Dimension'!H110</f>
        <v>0</v>
      </c>
      <c r="CY110" s="49"/>
      <c r="DA110" t="str">
        <f>('Inteligencia emocional'!A111)</f>
        <v>0</v>
      </c>
      <c r="DB110" s="39" t="str">
        <f>'Por Valoracion (3) Dimension 2'!D110</f>
        <v>0</v>
      </c>
      <c r="DC110" s="39" t="str">
        <f>'Por Valoracion (3) Dimension'!H110</f>
        <v>0</v>
      </c>
      <c r="DX110" s="49"/>
      <c r="DZ110" t="str">
        <f>('Inteligencia emocional'!A111)</f>
        <v>0</v>
      </c>
      <c r="EA110" s="39" t="str">
        <f>'Por Valoracion (3) Dimension 2'!F110</f>
        <v>0</v>
      </c>
      <c r="EB110" s="39" t="str">
        <f>'Por Valoracion (3) Dimension'!H110</f>
        <v>0</v>
      </c>
      <c r="EW110" s="49"/>
      <c r="EY110" t="str">
        <f>('Inteligencia emocional'!A111)</f>
        <v>0</v>
      </c>
      <c r="EZ110" s="39" t="str">
        <f>'Por Valoracion (3) Dimension 2'!H110</f>
        <v>0</v>
      </c>
      <c r="FA110" s="39" t="str">
        <f>'Por Valoracion (3) Dimension'!H110</f>
        <v>0</v>
      </c>
      <c r="FV110" s="49"/>
    </row>
    <row r="111" spans="1:178">
      <c r="A111" s="48"/>
      <c r="C111" t="str">
        <f>('Inteligencia emocional'!A112)</f>
        <v>0</v>
      </c>
      <c r="D111" s="39" t="str">
        <f>'Por Valoracion (3) Dimension'!B111</f>
        <v>0</v>
      </c>
      <c r="E111" s="39" t="str">
        <f>'Por Valoracion (3) Dimension 2'!J111</f>
        <v>0</v>
      </c>
      <c r="Z111" s="48"/>
      <c r="AB111" t="str">
        <f>('Inteligencia emocional'!A112)</f>
        <v>0</v>
      </c>
      <c r="AC111" s="39" t="str">
        <f>'Por Valoracion (3) Dimension'!D111</f>
        <v>0</v>
      </c>
      <c r="AD111" s="39" t="str">
        <f>'Por Valoracion (3) Dimension 2'!J111</f>
        <v>0</v>
      </c>
      <c r="AY111" s="48"/>
      <c r="BA111" t="str">
        <f>('Inteligencia emocional'!A112)</f>
        <v>0</v>
      </c>
      <c r="BB111" s="39" t="str">
        <f>'Por Valoracion (3) Dimension'!F111</f>
        <v>0</v>
      </c>
      <c r="BC111" s="39" t="str">
        <f>'Por Valoracion (3) Dimension 2'!J111</f>
        <v>0</v>
      </c>
      <c r="BX111" s="48"/>
      <c r="BZ111" s="49"/>
      <c r="CB111" t="str">
        <f>('Inteligencia emocional'!A112)</f>
        <v>0</v>
      </c>
      <c r="CC111" s="39" t="str">
        <f>'Por Valoracion (3) Dimension 2'!B111</f>
        <v>0</v>
      </c>
      <c r="CD111" s="39" t="str">
        <f>'Por Valoracion (3) Dimension'!H111</f>
        <v>0</v>
      </c>
      <c r="CY111" s="49"/>
      <c r="DA111" t="str">
        <f>('Inteligencia emocional'!A112)</f>
        <v>0</v>
      </c>
      <c r="DB111" s="39" t="str">
        <f>'Por Valoracion (3) Dimension 2'!D111</f>
        <v>0</v>
      </c>
      <c r="DC111" s="39" t="str">
        <f>'Por Valoracion (3) Dimension'!H111</f>
        <v>0</v>
      </c>
      <c r="DX111" s="49"/>
      <c r="DZ111" t="str">
        <f>('Inteligencia emocional'!A112)</f>
        <v>0</v>
      </c>
      <c r="EA111" s="39" t="str">
        <f>'Por Valoracion (3) Dimension 2'!F111</f>
        <v>0</v>
      </c>
      <c r="EB111" s="39" t="str">
        <f>'Por Valoracion (3) Dimension'!H111</f>
        <v>0</v>
      </c>
      <c r="EW111" s="49"/>
      <c r="EY111" t="str">
        <f>('Inteligencia emocional'!A112)</f>
        <v>0</v>
      </c>
      <c r="EZ111" s="39" t="str">
        <f>'Por Valoracion (3) Dimension 2'!H111</f>
        <v>0</v>
      </c>
      <c r="FA111" s="39" t="str">
        <f>'Por Valoracion (3) Dimension'!H111</f>
        <v>0</v>
      </c>
      <c r="FV111" s="49"/>
    </row>
    <row r="112" spans="1:178">
      <c r="A112" s="48"/>
      <c r="C112" t="str">
        <f>('Inteligencia emocional'!A113)</f>
        <v>0</v>
      </c>
      <c r="D112" s="39" t="str">
        <f>'Por Valoracion (3) Dimension'!B112</f>
        <v>0</v>
      </c>
      <c r="E112" s="39" t="str">
        <f>'Por Valoracion (3) Dimension 2'!J112</f>
        <v>0</v>
      </c>
      <c r="Z112" s="48"/>
      <c r="AB112" t="str">
        <f>('Inteligencia emocional'!A113)</f>
        <v>0</v>
      </c>
      <c r="AC112" s="39" t="str">
        <f>'Por Valoracion (3) Dimension'!D112</f>
        <v>0</v>
      </c>
      <c r="AD112" s="39" t="str">
        <f>'Por Valoracion (3) Dimension 2'!J112</f>
        <v>0</v>
      </c>
      <c r="AY112" s="48"/>
      <c r="BA112" t="str">
        <f>('Inteligencia emocional'!A113)</f>
        <v>0</v>
      </c>
      <c r="BB112" s="39" t="str">
        <f>'Por Valoracion (3) Dimension'!F112</f>
        <v>0</v>
      </c>
      <c r="BC112" s="39" t="str">
        <f>'Por Valoracion (3) Dimension 2'!J112</f>
        <v>0</v>
      </c>
      <c r="BX112" s="48"/>
      <c r="BZ112" s="49"/>
      <c r="CB112" t="str">
        <f>('Inteligencia emocional'!A113)</f>
        <v>0</v>
      </c>
      <c r="CC112" s="39" t="str">
        <f>'Por Valoracion (3) Dimension 2'!B112</f>
        <v>0</v>
      </c>
      <c r="CD112" s="39" t="str">
        <f>'Por Valoracion (3) Dimension'!H112</f>
        <v>0</v>
      </c>
      <c r="CY112" s="49"/>
      <c r="DA112" t="str">
        <f>('Inteligencia emocional'!A113)</f>
        <v>0</v>
      </c>
      <c r="DB112" s="39" t="str">
        <f>'Por Valoracion (3) Dimension 2'!D112</f>
        <v>0</v>
      </c>
      <c r="DC112" s="39" t="str">
        <f>'Por Valoracion (3) Dimension'!H112</f>
        <v>0</v>
      </c>
      <c r="DX112" s="49"/>
      <c r="DZ112" t="str">
        <f>('Inteligencia emocional'!A113)</f>
        <v>0</v>
      </c>
      <c r="EA112" s="39" t="str">
        <f>'Por Valoracion (3) Dimension 2'!F112</f>
        <v>0</v>
      </c>
      <c r="EB112" s="39" t="str">
        <f>'Por Valoracion (3) Dimension'!H112</f>
        <v>0</v>
      </c>
      <c r="EW112" s="49"/>
      <c r="EY112" t="str">
        <f>('Inteligencia emocional'!A113)</f>
        <v>0</v>
      </c>
      <c r="EZ112" s="39" t="str">
        <f>'Por Valoracion (3) Dimension 2'!H112</f>
        <v>0</v>
      </c>
      <c r="FA112" s="39" t="str">
        <f>'Por Valoracion (3) Dimension'!H112</f>
        <v>0</v>
      </c>
      <c r="FV112" s="49"/>
    </row>
    <row r="113" spans="1:178">
      <c r="A113" s="48"/>
      <c r="C113" t="str">
        <f>('Inteligencia emocional'!A114)</f>
        <v>0</v>
      </c>
      <c r="D113" s="39" t="str">
        <f>'Por Valoracion (3) Dimension'!B113</f>
        <v>0</v>
      </c>
      <c r="E113" s="39" t="str">
        <f>'Por Valoracion (3) Dimension 2'!J113</f>
        <v>0</v>
      </c>
      <c r="Z113" s="48"/>
      <c r="AB113" t="str">
        <f>('Inteligencia emocional'!A114)</f>
        <v>0</v>
      </c>
      <c r="AC113" s="39" t="str">
        <f>'Por Valoracion (3) Dimension'!D113</f>
        <v>0</v>
      </c>
      <c r="AD113" s="39" t="str">
        <f>'Por Valoracion (3) Dimension 2'!J113</f>
        <v>0</v>
      </c>
      <c r="AY113" s="48"/>
      <c r="BA113" t="str">
        <f>('Inteligencia emocional'!A114)</f>
        <v>0</v>
      </c>
      <c r="BB113" s="39" t="str">
        <f>'Por Valoracion (3) Dimension'!F113</f>
        <v>0</v>
      </c>
      <c r="BC113" s="39" t="str">
        <f>'Por Valoracion (3) Dimension 2'!J113</f>
        <v>0</v>
      </c>
      <c r="BX113" s="48"/>
      <c r="BZ113" s="49"/>
      <c r="CB113" t="str">
        <f>('Inteligencia emocional'!A114)</f>
        <v>0</v>
      </c>
      <c r="CC113" s="39" t="str">
        <f>'Por Valoracion (3) Dimension 2'!B113</f>
        <v>0</v>
      </c>
      <c r="CD113" s="39" t="str">
        <f>'Por Valoracion (3) Dimension'!H113</f>
        <v>0</v>
      </c>
      <c r="CY113" s="49"/>
      <c r="DA113" t="str">
        <f>('Inteligencia emocional'!A114)</f>
        <v>0</v>
      </c>
      <c r="DB113" s="39" t="str">
        <f>'Por Valoracion (3) Dimension 2'!D113</f>
        <v>0</v>
      </c>
      <c r="DC113" s="39" t="str">
        <f>'Por Valoracion (3) Dimension'!H113</f>
        <v>0</v>
      </c>
      <c r="DX113" s="49"/>
      <c r="DZ113" t="str">
        <f>('Inteligencia emocional'!A114)</f>
        <v>0</v>
      </c>
      <c r="EA113" s="39" t="str">
        <f>'Por Valoracion (3) Dimension 2'!F113</f>
        <v>0</v>
      </c>
      <c r="EB113" s="39" t="str">
        <f>'Por Valoracion (3) Dimension'!H113</f>
        <v>0</v>
      </c>
      <c r="EW113" s="49"/>
      <c r="EY113" t="str">
        <f>('Inteligencia emocional'!A114)</f>
        <v>0</v>
      </c>
      <c r="EZ113" s="39" t="str">
        <f>'Por Valoracion (3) Dimension 2'!H113</f>
        <v>0</v>
      </c>
      <c r="FA113" s="39" t="str">
        <f>'Por Valoracion (3) Dimension'!H113</f>
        <v>0</v>
      </c>
      <c r="FV113" s="49"/>
    </row>
    <row r="114" spans="1:178">
      <c r="A114" s="48"/>
      <c r="C114" t="str">
        <f>('Inteligencia emocional'!A115)</f>
        <v>0</v>
      </c>
      <c r="D114" s="39" t="str">
        <f>'Por Valoracion (3) Dimension'!B114</f>
        <v>0</v>
      </c>
      <c r="E114" s="39" t="str">
        <f>'Por Valoracion (3) Dimension 2'!J114</f>
        <v>0</v>
      </c>
      <c r="Z114" s="48"/>
      <c r="AB114" t="str">
        <f>('Inteligencia emocional'!A115)</f>
        <v>0</v>
      </c>
      <c r="AC114" s="39" t="str">
        <f>'Por Valoracion (3) Dimension'!D114</f>
        <v>0</v>
      </c>
      <c r="AD114" s="39" t="str">
        <f>'Por Valoracion (3) Dimension 2'!J114</f>
        <v>0</v>
      </c>
      <c r="AY114" s="48"/>
      <c r="BA114" t="str">
        <f>('Inteligencia emocional'!A115)</f>
        <v>0</v>
      </c>
      <c r="BB114" s="39" t="str">
        <f>'Por Valoracion (3) Dimension'!F114</f>
        <v>0</v>
      </c>
      <c r="BC114" s="39" t="str">
        <f>'Por Valoracion (3) Dimension 2'!J114</f>
        <v>0</v>
      </c>
      <c r="BX114" s="48"/>
      <c r="BZ114" s="49"/>
      <c r="CB114" t="str">
        <f>('Inteligencia emocional'!A115)</f>
        <v>0</v>
      </c>
      <c r="CC114" s="39" t="str">
        <f>'Por Valoracion (3) Dimension 2'!B114</f>
        <v>0</v>
      </c>
      <c r="CD114" s="39" t="str">
        <f>'Por Valoracion (3) Dimension'!H114</f>
        <v>0</v>
      </c>
      <c r="CY114" s="49"/>
      <c r="DA114" t="str">
        <f>('Inteligencia emocional'!A115)</f>
        <v>0</v>
      </c>
      <c r="DB114" s="39" t="str">
        <f>'Por Valoracion (3) Dimension 2'!D114</f>
        <v>0</v>
      </c>
      <c r="DC114" s="39" t="str">
        <f>'Por Valoracion (3) Dimension'!H114</f>
        <v>0</v>
      </c>
      <c r="DX114" s="49"/>
      <c r="DZ114" t="str">
        <f>('Inteligencia emocional'!A115)</f>
        <v>0</v>
      </c>
      <c r="EA114" s="39" t="str">
        <f>'Por Valoracion (3) Dimension 2'!F114</f>
        <v>0</v>
      </c>
      <c r="EB114" s="39" t="str">
        <f>'Por Valoracion (3) Dimension'!H114</f>
        <v>0</v>
      </c>
      <c r="EW114" s="49"/>
      <c r="EY114" t="str">
        <f>('Inteligencia emocional'!A115)</f>
        <v>0</v>
      </c>
      <c r="EZ114" s="39" t="str">
        <f>'Por Valoracion (3) Dimension 2'!H114</f>
        <v>0</v>
      </c>
      <c r="FA114" s="39" t="str">
        <f>'Por Valoracion (3) Dimension'!H114</f>
        <v>0</v>
      </c>
      <c r="FV114" s="49"/>
    </row>
    <row r="115" spans="1:178">
      <c r="A115" s="48"/>
      <c r="C115" t="str">
        <f>('Inteligencia emocional'!A116)</f>
        <v>0</v>
      </c>
      <c r="D115" s="39" t="str">
        <f>'Por Valoracion (3) Dimension'!B115</f>
        <v>0</v>
      </c>
      <c r="E115" s="39" t="str">
        <f>'Por Valoracion (3) Dimension 2'!J115</f>
        <v>0</v>
      </c>
      <c r="Z115" s="48"/>
      <c r="AB115" t="str">
        <f>('Inteligencia emocional'!A116)</f>
        <v>0</v>
      </c>
      <c r="AC115" s="39" t="str">
        <f>'Por Valoracion (3) Dimension'!D115</f>
        <v>0</v>
      </c>
      <c r="AD115" s="39" t="str">
        <f>'Por Valoracion (3) Dimension 2'!J115</f>
        <v>0</v>
      </c>
      <c r="AY115" s="48"/>
      <c r="BA115" t="str">
        <f>('Inteligencia emocional'!A116)</f>
        <v>0</v>
      </c>
      <c r="BB115" s="39" t="str">
        <f>'Por Valoracion (3) Dimension'!F115</f>
        <v>0</v>
      </c>
      <c r="BC115" s="39" t="str">
        <f>'Por Valoracion (3) Dimension 2'!J115</f>
        <v>0</v>
      </c>
      <c r="BX115" s="48"/>
      <c r="BZ115" s="49"/>
      <c r="CB115" t="str">
        <f>('Inteligencia emocional'!A116)</f>
        <v>0</v>
      </c>
      <c r="CC115" s="39" t="str">
        <f>'Por Valoracion (3) Dimension 2'!B115</f>
        <v>0</v>
      </c>
      <c r="CD115" s="39" t="str">
        <f>'Por Valoracion (3) Dimension'!H115</f>
        <v>0</v>
      </c>
      <c r="CY115" s="49"/>
      <c r="DA115" t="str">
        <f>('Inteligencia emocional'!A116)</f>
        <v>0</v>
      </c>
      <c r="DB115" s="39" t="str">
        <f>'Por Valoracion (3) Dimension 2'!D115</f>
        <v>0</v>
      </c>
      <c r="DC115" s="39" t="str">
        <f>'Por Valoracion (3) Dimension'!H115</f>
        <v>0</v>
      </c>
      <c r="DX115" s="49"/>
      <c r="DZ115" t="str">
        <f>('Inteligencia emocional'!A116)</f>
        <v>0</v>
      </c>
      <c r="EA115" s="39" t="str">
        <f>'Por Valoracion (3) Dimension 2'!F115</f>
        <v>0</v>
      </c>
      <c r="EB115" s="39" t="str">
        <f>'Por Valoracion (3) Dimension'!H115</f>
        <v>0</v>
      </c>
      <c r="EW115" s="49"/>
      <c r="EY115" t="str">
        <f>('Inteligencia emocional'!A116)</f>
        <v>0</v>
      </c>
      <c r="EZ115" s="39" t="str">
        <f>'Por Valoracion (3) Dimension 2'!H115</f>
        <v>0</v>
      </c>
      <c r="FA115" s="39" t="str">
        <f>'Por Valoracion (3) Dimension'!H115</f>
        <v>0</v>
      </c>
      <c r="FV115" s="49"/>
    </row>
    <row r="116" spans="1:178">
      <c r="A116" s="48"/>
      <c r="C116" t="str">
        <f>('Inteligencia emocional'!A117)</f>
        <v>0</v>
      </c>
      <c r="D116" s="39" t="str">
        <f>'Por Valoracion (3) Dimension'!B116</f>
        <v>0</v>
      </c>
      <c r="E116" s="39" t="str">
        <f>'Por Valoracion (3) Dimension 2'!J116</f>
        <v>0</v>
      </c>
      <c r="Z116" s="48"/>
      <c r="AB116" t="str">
        <f>('Inteligencia emocional'!A117)</f>
        <v>0</v>
      </c>
      <c r="AC116" s="39" t="str">
        <f>'Por Valoracion (3) Dimension'!D116</f>
        <v>0</v>
      </c>
      <c r="AD116" s="39" t="str">
        <f>'Por Valoracion (3) Dimension 2'!J116</f>
        <v>0</v>
      </c>
      <c r="AY116" s="48"/>
      <c r="BA116" t="str">
        <f>('Inteligencia emocional'!A117)</f>
        <v>0</v>
      </c>
      <c r="BB116" s="39" t="str">
        <f>'Por Valoracion (3) Dimension'!F116</f>
        <v>0</v>
      </c>
      <c r="BC116" s="39" t="str">
        <f>'Por Valoracion (3) Dimension 2'!J116</f>
        <v>0</v>
      </c>
      <c r="BX116" s="48"/>
      <c r="BZ116" s="49"/>
      <c r="CB116" t="str">
        <f>('Inteligencia emocional'!A117)</f>
        <v>0</v>
      </c>
      <c r="CC116" s="39" t="str">
        <f>'Por Valoracion (3) Dimension 2'!B116</f>
        <v>0</v>
      </c>
      <c r="CD116" s="39" t="str">
        <f>'Por Valoracion (3) Dimension'!H116</f>
        <v>0</v>
      </c>
      <c r="CY116" s="49"/>
      <c r="DA116" t="str">
        <f>('Inteligencia emocional'!A117)</f>
        <v>0</v>
      </c>
      <c r="DB116" s="39" t="str">
        <f>'Por Valoracion (3) Dimension 2'!D116</f>
        <v>0</v>
      </c>
      <c r="DC116" s="39" t="str">
        <f>'Por Valoracion (3) Dimension'!H116</f>
        <v>0</v>
      </c>
      <c r="DX116" s="49"/>
      <c r="DZ116" t="str">
        <f>('Inteligencia emocional'!A117)</f>
        <v>0</v>
      </c>
      <c r="EA116" s="39" t="str">
        <f>'Por Valoracion (3) Dimension 2'!F116</f>
        <v>0</v>
      </c>
      <c r="EB116" s="39" t="str">
        <f>'Por Valoracion (3) Dimension'!H116</f>
        <v>0</v>
      </c>
      <c r="EW116" s="49"/>
      <c r="EY116" t="str">
        <f>('Inteligencia emocional'!A117)</f>
        <v>0</v>
      </c>
      <c r="EZ116" s="39" t="str">
        <f>'Por Valoracion (3) Dimension 2'!H116</f>
        <v>0</v>
      </c>
      <c r="FA116" s="39" t="str">
        <f>'Por Valoracion (3) Dimension'!H116</f>
        <v>0</v>
      </c>
      <c r="FV116" s="49"/>
    </row>
    <row r="117" spans="1:178">
      <c r="A117" s="48"/>
      <c r="C117" t="str">
        <f>('Inteligencia emocional'!A118)</f>
        <v>0</v>
      </c>
      <c r="D117" s="39" t="str">
        <f>'Por Valoracion (3) Dimension'!B117</f>
        <v>0</v>
      </c>
      <c r="E117" s="39" t="str">
        <f>'Por Valoracion (3) Dimension 2'!J117</f>
        <v>0</v>
      </c>
      <c r="Z117" s="48"/>
      <c r="AB117" t="str">
        <f>('Inteligencia emocional'!A118)</f>
        <v>0</v>
      </c>
      <c r="AC117" s="39" t="str">
        <f>'Por Valoracion (3) Dimension'!D117</f>
        <v>0</v>
      </c>
      <c r="AD117" s="39" t="str">
        <f>'Por Valoracion (3) Dimension 2'!J117</f>
        <v>0</v>
      </c>
      <c r="AY117" s="48"/>
      <c r="BA117" t="str">
        <f>('Inteligencia emocional'!A118)</f>
        <v>0</v>
      </c>
      <c r="BB117" s="39" t="str">
        <f>'Por Valoracion (3) Dimension'!F117</f>
        <v>0</v>
      </c>
      <c r="BC117" s="39" t="str">
        <f>'Por Valoracion (3) Dimension 2'!J117</f>
        <v>0</v>
      </c>
      <c r="BX117" s="48"/>
      <c r="BZ117" s="49"/>
      <c r="CB117" t="str">
        <f>('Inteligencia emocional'!A118)</f>
        <v>0</v>
      </c>
      <c r="CC117" s="39" t="str">
        <f>'Por Valoracion (3) Dimension 2'!B117</f>
        <v>0</v>
      </c>
      <c r="CD117" s="39" t="str">
        <f>'Por Valoracion (3) Dimension'!H117</f>
        <v>0</v>
      </c>
      <c r="CY117" s="49"/>
      <c r="DA117" t="str">
        <f>('Inteligencia emocional'!A118)</f>
        <v>0</v>
      </c>
      <c r="DB117" s="39" t="str">
        <f>'Por Valoracion (3) Dimension 2'!D117</f>
        <v>0</v>
      </c>
      <c r="DC117" s="39" t="str">
        <f>'Por Valoracion (3) Dimension'!H117</f>
        <v>0</v>
      </c>
      <c r="DX117" s="49"/>
      <c r="DZ117" t="str">
        <f>('Inteligencia emocional'!A118)</f>
        <v>0</v>
      </c>
      <c r="EA117" s="39" t="str">
        <f>'Por Valoracion (3) Dimension 2'!F117</f>
        <v>0</v>
      </c>
      <c r="EB117" s="39" t="str">
        <f>'Por Valoracion (3) Dimension'!H117</f>
        <v>0</v>
      </c>
      <c r="EW117" s="49"/>
      <c r="EY117" t="str">
        <f>('Inteligencia emocional'!A118)</f>
        <v>0</v>
      </c>
      <c r="EZ117" s="39" t="str">
        <f>'Por Valoracion (3) Dimension 2'!H117</f>
        <v>0</v>
      </c>
      <c r="FA117" s="39" t="str">
        <f>'Por Valoracion (3) Dimension'!H117</f>
        <v>0</v>
      </c>
      <c r="FV117" s="49"/>
    </row>
    <row r="118" spans="1:178">
      <c r="A118" s="48"/>
      <c r="C118" t="str">
        <f>('Inteligencia emocional'!A119)</f>
        <v>0</v>
      </c>
      <c r="D118" s="39" t="str">
        <f>'Por Valoracion (3) Dimension'!B118</f>
        <v>0</v>
      </c>
      <c r="E118" s="39" t="str">
        <f>'Por Valoracion (3) Dimension 2'!J118</f>
        <v>0</v>
      </c>
      <c r="Z118" s="48"/>
      <c r="AB118" t="str">
        <f>('Inteligencia emocional'!A119)</f>
        <v>0</v>
      </c>
      <c r="AC118" s="39" t="str">
        <f>'Por Valoracion (3) Dimension'!D118</f>
        <v>0</v>
      </c>
      <c r="AD118" s="39" t="str">
        <f>'Por Valoracion (3) Dimension 2'!J118</f>
        <v>0</v>
      </c>
      <c r="AY118" s="48"/>
      <c r="BA118" t="str">
        <f>('Inteligencia emocional'!A119)</f>
        <v>0</v>
      </c>
      <c r="BB118" s="39" t="str">
        <f>'Por Valoracion (3) Dimension'!F118</f>
        <v>0</v>
      </c>
      <c r="BC118" s="39" t="str">
        <f>'Por Valoracion (3) Dimension 2'!J118</f>
        <v>0</v>
      </c>
      <c r="BX118" s="48"/>
      <c r="BZ118" s="49"/>
      <c r="CB118" t="str">
        <f>('Inteligencia emocional'!A119)</f>
        <v>0</v>
      </c>
      <c r="CC118" s="39" t="str">
        <f>'Por Valoracion (3) Dimension 2'!B118</f>
        <v>0</v>
      </c>
      <c r="CD118" s="39" t="str">
        <f>'Por Valoracion (3) Dimension'!H118</f>
        <v>0</v>
      </c>
      <c r="CY118" s="49"/>
      <c r="DA118" t="str">
        <f>('Inteligencia emocional'!A119)</f>
        <v>0</v>
      </c>
      <c r="DB118" s="39" t="str">
        <f>'Por Valoracion (3) Dimension 2'!D118</f>
        <v>0</v>
      </c>
      <c r="DC118" s="39" t="str">
        <f>'Por Valoracion (3) Dimension'!H118</f>
        <v>0</v>
      </c>
      <c r="DX118" s="49"/>
      <c r="DZ118" t="str">
        <f>('Inteligencia emocional'!A119)</f>
        <v>0</v>
      </c>
      <c r="EA118" s="39" t="str">
        <f>'Por Valoracion (3) Dimension 2'!F118</f>
        <v>0</v>
      </c>
      <c r="EB118" s="39" t="str">
        <f>'Por Valoracion (3) Dimension'!H118</f>
        <v>0</v>
      </c>
      <c r="EW118" s="49"/>
      <c r="EY118" t="str">
        <f>('Inteligencia emocional'!A119)</f>
        <v>0</v>
      </c>
      <c r="EZ118" s="39" t="str">
        <f>'Por Valoracion (3) Dimension 2'!H118</f>
        <v>0</v>
      </c>
      <c r="FA118" s="39" t="str">
        <f>'Por Valoracion (3) Dimension'!H118</f>
        <v>0</v>
      </c>
      <c r="FV118" s="49"/>
    </row>
    <row r="119" spans="1:178">
      <c r="A119" s="48"/>
      <c r="C119" t="str">
        <f>('Inteligencia emocional'!A120)</f>
        <v>0</v>
      </c>
      <c r="D119" s="39" t="str">
        <f>'Por Valoracion (3) Dimension'!B119</f>
        <v>0</v>
      </c>
      <c r="E119" s="39" t="str">
        <f>'Por Valoracion (3) Dimension 2'!J119</f>
        <v>0</v>
      </c>
      <c r="Z119" s="48"/>
      <c r="AB119" t="str">
        <f>('Inteligencia emocional'!A120)</f>
        <v>0</v>
      </c>
      <c r="AC119" s="39" t="str">
        <f>'Por Valoracion (3) Dimension'!D119</f>
        <v>0</v>
      </c>
      <c r="AD119" s="39" t="str">
        <f>'Por Valoracion (3) Dimension 2'!J119</f>
        <v>0</v>
      </c>
      <c r="AY119" s="48"/>
      <c r="BA119" t="str">
        <f>('Inteligencia emocional'!A120)</f>
        <v>0</v>
      </c>
      <c r="BB119" s="39" t="str">
        <f>'Por Valoracion (3) Dimension'!F119</f>
        <v>0</v>
      </c>
      <c r="BC119" s="39" t="str">
        <f>'Por Valoracion (3) Dimension 2'!J119</f>
        <v>0</v>
      </c>
      <c r="BX119" s="48"/>
      <c r="BZ119" s="49"/>
      <c r="CB119" t="str">
        <f>('Inteligencia emocional'!A120)</f>
        <v>0</v>
      </c>
      <c r="CC119" s="39" t="str">
        <f>'Por Valoracion (3) Dimension 2'!B119</f>
        <v>0</v>
      </c>
      <c r="CD119" s="39" t="str">
        <f>'Por Valoracion (3) Dimension'!H119</f>
        <v>0</v>
      </c>
      <c r="CY119" s="49"/>
      <c r="DA119" t="str">
        <f>('Inteligencia emocional'!A120)</f>
        <v>0</v>
      </c>
      <c r="DB119" s="39" t="str">
        <f>'Por Valoracion (3) Dimension 2'!D119</f>
        <v>0</v>
      </c>
      <c r="DC119" s="39" t="str">
        <f>'Por Valoracion (3) Dimension'!H119</f>
        <v>0</v>
      </c>
      <c r="DX119" s="49"/>
      <c r="DZ119" t="str">
        <f>('Inteligencia emocional'!A120)</f>
        <v>0</v>
      </c>
      <c r="EA119" s="39" t="str">
        <f>'Por Valoracion (3) Dimension 2'!F119</f>
        <v>0</v>
      </c>
      <c r="EB119" s="39" t="str">
        <f>'Por Valoracion (3) Dimension'!H119</f>
        <v>0</v>
      </c>
      <c r="EW119" s="49"/>
      <c r="EY119" t="str">
        <f>('Inteligencia emocional'!A120)</f>
        <v>0</v>
      </c>
      <c r="EZ119" s="39" t="str">
        <f>'Por Valoracion (3) Dimension 2'!H119</f>
        <v>0</v>
      </c>
      <c r="FA119" s="39" t="str">
        <f>'Por Valoracion (3) Dimension'!H119</f>
        <v>0</v>
      </c>
      <c r="FV119" s="49"/>
    </row>
    <row r="120" spans="1:178">
      <c r="A120" s="48"/>
      <c r="C120" t="str">
        <f>('Inteligencia emocional'!A121)</f>
        <v>0</v>
      </c>
      <c r="D120" s="39" t="str">
        <f>'Por Valoracion (3) Dimension'!B120</f>
        <v>0</v>
      </c>
      <c r="E120" s="39" t="str">
        <f>'Por Valoracion (3) Dimension 2'!J120</f>
        <v>0</v>
      </c>
      <c r="Z120" s="48"/>
      <c r="AB120" t="str">
        <f>('Inteligencia emocional'!A121)</f>
        <v>0</v>
      </c>
      <c r="AC120" s="39" t="str">
        <f>'Por Valoracion (3) Dimension'!D120</f>
        <v>0</v>
      </c>
      <c r="AD120" s="39" t="str">
        <f>'Por Valoracion (3) Dimension 2'!J120</f>
        <v>0</v>
      </c>
      <c r="AY120" s="48"/>
      <c r="BA120" t="str">
        <f>('Inteligencia emocional'!A121)</f>
        <v>0</v>
      </c>
      <c r="BB120" s="39" t="str">
        <f>'Por Valoracion (3) Dimension'!F120</f>
        <v>0</v>
      </c>
      <c r="BC120" s="39" t="str">
        <f>'Por Valoracion (3) Dimension 2'!J120</f>
        <v>0</v>
      </c>
      <c r="BX120" s="48"/>
      <c r="BZ120" s="49"/>
      <c r="CB120" t="str">
        <f>('Inteligencia emocional'!A121)</f>
        <v>0</v>
      </c>
      <c r="CC120" s="39" t="str">
        <f>'Por Valoracion (3) Dimension 2'!B120</f>
        <v>0</v>
      </c>
      <c r="CD120" s="39" t="str">
        <f>'Por Valoracion (3) Dimension'!H120</f>
        <v>0</v>
      </c>
      <c r="CY120" s="49"/>
      <c r="DA120" t="str">
        <f>('Inteligencia emocional'!A121)</f>
        <v>0</v>
      </c>
      <c r="DB120" s="39" t="str">
        <f>'Por Valoracion (3) Dimension 2'!D120</f>
        <v>0</v>
      </c>
      <c r="DC120" s="39" t="str">
        <f>'Por Valoracion (3) Dimension'!H120</f>
        <v>0</v>
      </c>
      <c r="DX120" s="49"/>
      <c r="DZ120" t="str">
        <f>('Inteligencia emocional'!A121)</f>
        <v>0</v>
      </c>
      <c r="EA120" s="39" t="str">
        <f>'Por Valoracion (3) Dimension 2'!F120</f>
        <v>0</v>
      </c>
      <c r="EB120" s="39" t="str">
        <f>'Por Valoracion (3) Dimension'!H120</f>
        <v>0</v>
      </c>
      <c r="EW120" s="49"/>
      <c r="EY120" t="str">
        <f>('Inteligencia emocional'!A121)</f>
        <v>0</v>
      </c>
      <c r="EZ120" s="39" t="str">
        <f>'Por Valoracion (3) Dimension 2'!H120</f>
        <v>0</v>
      </c>
      <c r="FA120" s="39" t="str">
        <f>'Por Valoracion (3) Dimension'!H120</f>
        <v>0</v>
      </c>
      <c r="FV120" s="49"/>
    </row>
    <row r="121" spans="1:178">
      <c r="A121" s="48"/>
      <c r="C121" t="str">
        <f>('Inteligencia emocional'!A122)</f>
        <v>0</v>
      </c>
      <c r="D121" s="39" t="str">
        <f>'Por Valoracion (3) Dimension'!B121</f>
        <v>0</v>
      </c>
      <c r="E121" s="39" t="str">
        <f>'Por Valoracion (3) Dimension 2'!J121</f>
        <v>0</v>
      </c>
      <c r="Z121" s="48"/>
      <c r="AB121" t="str">
        <f>('Inteligencia emocional'!A122)</f>
        <v>0</v>
      </c>
      <c r="AC121" s="39" t="str">
        <f>'Por Valoracion (3) Dimension'!D121</f>
        <v>0</v>
      </c>
      <c r="AD121" s="39" t="str">
        <f>'Por Valoracion (3) Dimension 2'!J121</f>
        <v>0</v>
      </c>
      <c r="AY121" s="48"/>
      <c r="BA121" t="str">
        <f>('Inteligencia emocional'!A122)</f>
        <v>0</v>
      </c>
      <c r="BB121" s="39" t="str">
        <f>'Por Valoracion (3) Dimension'!F121</f>
        <v>0</v>
      </c>
      <c r="BC121" s="39" t="str">
        <f>'Por Valoracion (3) Dimension 2'!J121</f>
        <v>0</v>
      </c>
      <c r="BX121" s="48"/>
      <c r="BZ121" s="49"/>
      <c r="CB121" t="str">
        <f>('Inteligencia emocional'!A122)</f>
        <v>0</v>
      </c>
      <c r="CC121" s="39" t="str">
        <f>'Por Valoracion (3) Dimension 2'!B121</f>
        <v>0</v>
      </c>
      <c r="CD121" s="39" t="str">
        <f>'Por Valoracion (3) Dimension'!H121</f>
        <v>0</v>
      </c>
      <c r="CY121" s="49"/>
      <c r="DA121" t="str">
        <f>('Inteligencia emocional'!A122)</f>
        <v>0</v>
      </c>
      <c r="DB121" s="39" t="str">
        <f>'Por Valoracion (3) Dimension 2'!D121</f>
        <v>0</v>
      </c>
      <c r="DC121" s="39" t="str">
        <f>'Por Valoracion (3) Dimension'!H121</f>
        <v>0</v>
      </c>
      <c r="DX121" s="49"/>
      <c r="DZ121" t="str">
        <f>('Inteligencia emocional'!A122)</f>
        <v>0</v>
      </c>
      <c r="EA121" s="39" t="str">
        <f>'Por Valoracion (3) Dimension 2'!F121</f>
        <v>0</v>
      </c>
      <c r="EB121" s="39" t="str">
        <f>'Por Valoracion (3) Dimension'!H121</f>
        <v>0</v>
      </c>
      <c r="EW121" s="49"/>
      <c r="EY121" t="str">
        <f>('Inteligencia emocional'!A122)</f>
        <v>0</v>
      </c>
      <c r="EZ121" s="39" t="str">
        <f>'Por Valoracion (3) Dimension 2'!H121</f>
        <v>0</v>
      </c>
      <c r="FA121" s="39" t="str">
        <f>'Por Valoracion (3) Dimension'!H121</f>
        <v>0</v>
      </c>
      <c r="FV121" s="49"/>
    </row>
    <row r="122" spans="1:178">
      <c r="A122" s="48"/>
      <c r="C122" t="str">
        <f>('Inteligencia emocional'!A123)</f>
        <v>0</v>
      </c>
      <c r="D122" s="39" t="str">
        <f>'Por Valoracion (3) Dimension'!B122</f>
        <v>0</v>
      </c>
      <c r="E122" s="39" t="str">
        <f>'Por Valoracion (3) Dimension 2'!J122</f>
        <v>0</v>
      </c>
      <c r="Z122" s="48"/>
      <c r="AB122" t="str">
        <f>('Inteligencia emocional'!A123)</f>
        <v>0</v>
      </c>
      <c r="AC122" s="39" t="str">
        <f>'Por Valoracion (3) Dimension'!D122</f>
        <v>0</v>
      </c>
      <c r="AD122" s="39" t="str">
        <f>'Por Valoracion (3) Dimension 2'!J122</f>
        <v>0</v>
      </c>
      <c r="AY122" s="48"/>
      <c r="BA122" t="str">
        <f>('Inteligencia emocional'!A123)</f>
        <v>0</v>
      </c>
      <c r="BB122" s="39" t="str">
        <f>'Por Valoracion (3) Dimension'!F122</f>
        <v>0</v>
      </c>
      <c r="BC122" s="39" t="str">
        <f>'Por Valoracion (3) Dimension 2'!J122</f>
        <v>0</v>
      </c>
      <c r="BX122" s="48"/>
      <c r="BZ122" s="49"/>
      <c r="CB122" t="str">
        <f>('Inteligencia emocional'!A123)</f>
        <v>0</v>
      </c>
      <c r="CC122" s="39" t="str">
        <f>'Por Valoracion (3) Dimension 2'!B122</f>
        <v>0</v>
      </c>
      <c r="CD122" s="39" t="str">
        <f>'Por Valoracion (3) Dimension'!H122</f>
        <v>0</v>
      </c>
      <c r="CY122" s="49"/>
      <c r="DA122" t="str">
        <f>('Inteligencia emocional'!A123)</f>
        <v>0</v>
      </c>
      <c r="DB122" s="39" t="str">
        <f>'Por Valoracion (3) Dimension 2'!D122</f>
        <v>0</v>
      </c>
      <c r="DC122" s="39" t="str">
        <f>'Por Valoracion (3) Dimension'!H122</f>
        <v>0</v>
      </c>
      <c r="DX122" s="49"/>
      <c r="DZ122" t="str">
        <f>('Inteligencia emocional'!A123)</f>
        <v>0</v>
      </c>
      <c r="EA122" s="39" t="str">
        <f>'Por Valoracion (3) Dimension 2'!F122</f>
        <v>0</v>
      </c>
      <c r="EB122" s="39" t="str">
        <f>'Por Valoracion (3) Dimension'!H122</f>
        <v>0</v>
      </c>
      <c r="EW122" s="49"/>
      <c r="EY122" t="str">
        <f>('Inteligencia emocional'!A123)</f>
        <v>0</v>
      </c>
      <c r="EZ122" s="39" t="str">
        <f>'Por Valoracion (3) Dimension 2'!H122</f>
        <v>0</v>
      </c>
      <c r="FA122" s="39" t="str">
        <f>'Por Valoracion (3) Dimension'!H122</f>
        <v>0</v>
      </c>
      <c r="FV122" s="49"/>
    </row>
    <row r="123" spans="1:178">
      <c r="A123" s="48"/>
      <c r="C123" t="str">
        <f>('Inteligencia emocional'!A124)</f>
        <v>0</v>
      </c>
      <c r="D123" s="39" t="str">
        <f>'Por Valoracion (3) Dimension'!B123</f>
        <v>0</v>
      </c>
      <c r="E123" s="39" t="str">
        <f>'Por Valoracion (3) Dimension 2'!J123</f>
        <v>0</v>
      </c>
      <c r="Z123" s="48"/>
      <c r="AB123" t="str">
        <f>('Inteligencia emocional'!A124)</f>
        <v>0</v>
      </c>
      <c r="AC123" s="39" t="str">
        <f>'Por Valoracion (3) Dimension'!D123</f>
        <v>0</v>
      </c>
      <c r="AD123" s="39" t="str">
        <f>'Por Valoracion (3) Dimension 2'!J123</f>
        <v>0</v>
      </c>
      <c r="AY123" s="48"/>
      <c r="BA123" t="str">
        <f>('Inteligencia emocional'!A124)</f>
        <v>0</v>
      </c>
      <c r="BB123" s="39" t="str">
        <f>'Por Valoracion (3) Dimension'!F123</f>
        <v>0</v>
      </c>
      <c r="BC123" s="39" t="str">
        <f>'Por Valoracion (3) Dimension 2'!J123</f>
        <v>0</v>
      </c>
      <c r="BX123" s="48"/>
      <c r="BZ123" s="49"/>
      <c r="CB123" t="str">
        <f>('Inteligencia emocional'!A124)</f>
        <v>0</v>
      </c>
      <c r="CC123" s="39" t="str">
        <f>'Por Valoracion (3) Dimension 2'!B123</f>
        <v>0</v>
      </c>
      <c r="CD123" s="39" t="str">
        <f>'Por Valoracion (3) Dimension'!H123</f>
        <v>0</v>
      </c>
      <c r="CY123" s="49"/>
      <c r="DA123" t="str">
        <f>('Inteligencia emocional'!A124)</f>
        <v>0</v>
      </c>
      <c r="DB123" s="39" t="str">
        <f>'Por Valoracion (3) Dimension 2'!D123</f>
        <v>0</v>
      </c>
      <c r="DC123" s="39" t="str">
        <f>'Por Valoracion (3) Dimension'!H123</f>
        <v>0</v>
      </c>
      <c r="DX123" s="49"/>
      <c r="DZ123" t="str">
        <f>('Inteligencia emocional'!A124)</f>
        <v>0</v>
      </c>
      <c r="EA123" s="39" t="str">
        <f>'Por Valoracion (3) Dimension 2'!F123</f>
        <v>0</v>
      </c>
      <c r="EB123" s="39" t="str">
        <f>'Por Valoracion (3) Dimension'!H123</f>
        <v>0</v>
      </c>
      <c r="EW123" s="49"/>
      <c r="EY123" t="str">
        <f>('Inteligencia emocional'!A124)</f>
        <v>0</v>
      </c>
      <c r="EZ123" s="39" t="str">
        <f>'Por Valoracion (3) Dimension 2'!H123</f>
        <v>0</v>
      </c>
      <c r="FA123" s="39" t="str">
        <f>'Por Valoracion (3) Dimension'!H123</f>
        <v>0</v>
      </c>
      <c r="FV123" s="49"/>
    </row>
    <row r="124" spans="1:178">
      <c r="A124" s="48"/>
      <c r="C124" t="str">
        <f>('Inteligencia emocional'!A125)</f>
        <v>0</v>
      </c>
      <c r="D124" s="39" t="str">
        <f>'Por Valoracion (3) Dimension'!B124</f>
        <v>0</v>
      </c>
      <c r="E124" s="39" t="str">
        <f>'Por Valoracion (3) Dimension 2'!J124</f>
        <v>0</v>
      </c>
      <c r="Z124" s="48"/>
      <c r="AB124" t="str">
        <f>('Inteligencia emocional'!A125)</f>
        <v>0</v>
      </c>
      <c r="AC124" s="39" t="str">
        <f>'Por Valoracion (3) Dimension'!D124</f>
        <v>0</v>
      </c>
      <c r="AD124" s="39" t="str">
        <f>'Por Valoracion (3) Dimension 2'!J124</f>
        <v>0</v>
      </c>
      <c r="AY124" s="48"/>
      <c r="BA124" t="str">
        <f>('Inteligencia emocional'!A125)</f>
        <v>0</v>
      </c>
      <c r="BB124" s="39" t="str">
        <f>'Por Valoracion (3) Dimension'!F124</f>
        <v>0</v>
      </c>
      <c r="BC124" s="39" t="str">
        <f>'Por Valoracion (3) Dimension 2'!J124</f>
        <v>0</v>
      </c>
      <c r="BX124" s="48"/>
      <c r="BZ124" s="49"/>
      <c r="CB124" t="str">
        <f>('Inteligencia emocional'!A125)</f>
        <v>0</v>
      </c>
      <c r="CC124" s="39" t="str">
        <f>'Por Valoracion (3) Dimension 2'!B124</f>
        <v>0</v>
      </c>
      <c r="CD124" s="39" t="str">
        <f>'Por Valoracion (3) Dimension'!H124</f>
        <v>0</v>
      </c>
      <c r="CY124" s="49"/>
      <c r="DA124" t="str">
        <f>('Inteligencia emocional'!A125)</f>
        <v>0</v>
      </c>
      <c r="DB124" s="39" t="str">
        <f>'Por Valoracion (3) Dimension 2'!D124</f>
        <v>0</v>
      </c>
      <c r="DC124" s="39" t="str">
        <f>'Por Valoracion (3) Dimension'!H124</f>
        <v>0</v>
      </c>
      <c r="DX124" s="49"/>
      <c r="DZ124" t="str">
        <f>('Inteligencia emocional'!A125)</f>
        <v>0</v>
      </c>
      <c r="EA124" s="39" t="str">
        <f>'Por Valoracion (3) Dimension 2'!F124</f>
        <v>0</v>
      </c>
      <c r="EB124" s="39" t="str">
        <f>'Por Valoracion (3) Dimension'!H124</f>
        <v>0</v>
      </c>
      <c r="EW124" s="49"/>
      <c r="EY124" t="str">
        <f>('Inteligencia emocional'!A125)</f>
        <v>0</v>
      </c>
      <c r="EZ124" s="39" t="str">
        <f>'Por Valoracion (3) Dimension 2'!H124</f>
        <v>0</v>
      </c>
      <c r="FA124" s="39" t="str">
        <f>'Por Valoracion (3) Dimension'!H124</f>
        <v>0</v>
      </c>
      <c r="FV124" s="49"/>
    </row>
    <row r="125" spans="1:178">
      <c r="A125" s="48"/>
      <c r="C125" t="str">
        <f>('Inteligencia emocional'!A126)</f>
        <v>0</v>
      </c>
      <c r="D125" s="39" t="str">
        <f>'Por Valoracion (3) Dimension'!B125</f>
        <v>0</v>
      </c>
      <c r="E125" s="39" t="str">
        <f>'Por Valoracion (3) Dimension 2'!J125</f>
        <v>0</v>
      </c>
      <c r="Z125" s="48"/>
      <c r="AB125" t="str">
        <f>('Inteligencia emocional'!A126)</f>
        <v>0</v>
      </c>
      <c r="AC125" s="39" t="str">
        <f>'Por Valoracion (3) Dimension'!D125</f>
        <v>0</v>
      </c>
      <c r="AD125" s="39" t="str">
        <f>'Por Valoracion (3) Dimension 2'!J125</f>
        <v>0</v>
      </c>
      <c r="AY125" s="48"/>
      <c r="BA125" t="str">
        <f>('Inteligencia emocional'!A126)</f>
        <v>0</v>
      </c>
      <c r="BB125" s="39" t="str">
        <f>'Por Valoracion (3) Dimension'!F125</f>
        <v>0</v>
      </c>
      <c r="BC125" s="39" t="str">
        <f>'Por Valoracion (3) Dimension 2'!J125</f>
        <v>0</v>
      </c>
      <c r="BX125" s="48"/>
      <c r="BZ125" s="49"/>
      <c r="CB125" t="str">
        <f>('Inteligencia emocional'!A126)</f>
        <v>0</v>
      </c>
      <c r="CC125" s="39" t="str">
        <f>'Por Valoracion (3) Dimension 2'!B125</f>
        <v>0</v>
      </c>
      <c r="CD125" s="39" t="str">
        <f>'Por Valoracion (3) Dimension'!H125</f>
        <v>0</v>
      </c>
      <c r="CY125" s="49"/>
      <c r="DA125" t="str">
        <f>('Inteligencia emocional'!A126)</f>
        <v>0</v>
      </c>
      <c r="DB125" s="39" t="str">
        <f>'Por Valoracion (3) Dimension 2'!D125</f>
        <v>0</v>
      </c>
      <c r="DC125" s="39" t="str">
        <f>'Por Valoracion (3) Dimension'!H125</f>
        <v>0</v>
      </c>
      <c r="DX125" s="49"/>
      <c r="DZ125" t="str">
        <f>('Inteligencia emocional'!A126)</f>
        <v>0</v>
      </c>
      <c r="EA125" s="39" t="str">
        <f>'Por Valoracion (3) Dimension 2'!F125</f>
        <v>0</v>
      </c>
      <c r="EB125" s="39" t="str">
        <f>'Por Valoracion (3) Dimension'!H125</f>
        <v>0</v>
      </c>
      <c r="EW125" s="49"/>
      <c r="EY125" t="str">
        <f>('Inteligencia emocional'!A126)</f>
        <v>0</v>
      </c>
      <c r="EZ125" s="39" t="str">
        <f>'Por Valoracion (3) Dimension 2'!H125</f>
        <v>0</v>
      </c>
      <c r="FA125" s="39" t="str">
        <f>'Por Valoracion (3) Dimension'!H125</f>
        <v>0</v>
      </c>
      <c r="FV125" s="49"/>
    </row>
    <row r="126" spans="1:178">
      <c r="A126" s="48"/>
      <c r="C126" t="str">
        <f>('Inteligencia emocional'!A127)</f>
        <v>0</v>
      </c>
      <c r="D126" s="39" t="str">
        <f>'Por Valoracion (3) Dimension'!B126</f>
        <v>0</v>
      </c>
      <c r="E126" s="39" t="str">
        <f>'Por Valoracion (3) Dimension 2'!J126</f>
        <v>0</v>
      </c>
      <c r="Z126" s="48"/>
      <c r="AB126" t="str">
        <f>('Inteligencia emocional'!A127)</f>
        <v>0</v>
      </c>
      <c r="AC126" s="39" t="str">
        <f>'Por Valoracion (3) Dimension'!D126</f>
        <v>0</v>
      </c>
      <c r="AD126" s="39" t="str">
        <f>'Por Valoracion (3) Dimension 2'!J126</f>
        <v>0</v>
      </c>
      <c r="AY126" s="48"/>
      <c r="BA126" t="str">
        <f>('Inteligencia emocional'!A127)</f>
        <v>0</v>
      </c>
      <c r="BB126" s="39" t="str">
        <f>'Por Valoracion (3) Dimension'!F126</f>
        <v>0</v>
      </c>
      <c r="BC126" s="39" t="str">
        <f>'Por Valoracion (3) Dimension 2'!J126</f>
        <v>0</v>
      </c>
      <c r="BX126" s="48"/>
      <c r="BZ126" s="49"/>
      <c r="CB126" t="str">
        <f>('Inteligencia emocional'!A127)</f>
        <v>0</v>
      </c>
      <c r="CC126" s="39" t="str">
        <f>'Por Valoracion (3) Dimension 2'!B126</f>
        <v>0</v>
      </c>
      <c r="CD126" s="39" t="str">
        <f>'Por Valoracion (3) Dimension'!H126</f>
        <v>0</v>
      </c>
      <c r="CY126" s="49"/>
      <c r="DA126" t="str">
        <f>('Inteligencia emocional'!A127)</f>
        <v>0</v>
      </c>
      <c r="DB126" s="39" t="str">
        <f>'Por Valoracion (3) Dimension 2'!D126</f>
        <v>0</v>
      </c>
      <c r="DC126" s="39" t="str">
        <f>'Por Valoracion (3) Dimension'!H126</f>
        <v>0</v>
      </c>
      <c r="DX126" s="49"/>
      <c r="DZ126" t="str">
        <f>('Inteligencia emocional'!A127)</f>
        <v>0</v>
      </c>
      <c r="EA126" s="39" t="str">
        <f>'Por Valoracion (3) Dimension 2'!F126</f>
        <v>0</v>
      </c>
      <c r="EB126" s="39" t="str">
        <f>'Por Valoracion (3) Dimension'!H126</f>
        <v>0</v>
      </c>
      <c r="EW126" s="49"/>
      <c r="EY126" t="str">
        <f>('Inteligencia emocional'!A127)</f>
        <v>0</v>
      </c>
      <c r="EZ126" s="39" t="str">
        <f>'Por Valoracion (3) Dimension 2'!H126</f>
        <v>0</v>
      </c>
      <c r="FA126" s="39" t="str">
        <f>'Por Valoracion (3) Dimension'!H126</f>
        <v>0</v>
      </c>
      <c r="FV126" s="49"/>
    </row>
    <row r="127" spans="1:178">
      <c r="A127" s="48"/>
      <c r="C127" t="str">
        <f>('Inteligencia emocional'!A128)</f>
        <v>0</v>
      </c>
      <c r="D127" s="39" t="str">
        <f>'Por Valoracion (3) Dimension'!B127</f>
        <v>0</v>
      </c>
      <c r="E127" s="39" t="str">
        <f>'Por Valoracion (3) Dimension 2'!J127</f>
        <v>0</v>
      </c>
      <c r="Z127" s="48"/>
      <c r="AB127" t="str">
        <f>('Inteligencia emocional'!A128)</f>
        <v>0</v>
      </c>
      <c r="AC127" s="39" t="str">
        <f>'Por Valoracion (3) Dimension'!D127</f>
        <v>0</v>
      </c>
      <c r="AD127" s="39" t="str">
        <f>'Por Valoracion (3) Dimension 2'!J127</f>
        <v>0</v>
      </c>
      <c r="AY127" s="48"/>
      <c r="BA127" t="str">
        <f>('Inteligencia emocional'!A128)</f>
        <v>0</v>
      </c>
      <c r="BB127" s="39" t="str">
        <f>'Por Valoracion (3) Dimension'!F127</f>
        <v>0</v>
      </c>
      <c r="BC127" s="39" t="str">
        <f>'Por Valoracion (3) Dimension 2'!J127</f>
        <v>0</v>
      </c>
      <c r="BX127" s="48"/>
      <c r="BZ127" s="49"/>
      <c r="CB127" t="str">
        <f>('Inteligencia emocional'!A128)</f>
        <v>0</v>
      </c>
      <c r="CC127" s="39" t="str">
        <f>'Por Valoracion (3) Dimension 2'!B127</f>
        <v>0</v>
      </c>
      <c r="CD127" s="39" t="str">
        <f>'Por Valoracion (3) Dimension'!H127</f>
        <v>0</v>
      </c>
      <c r="CY127" s="49"/>
      <c r="DA127" t="str">
        <f>('Inteligencia emocional'!A128)</f>
        <v>0</v>
      </c>
      <c r="DB127" s="39" t="str">
        <f>'Por Valoracion (3) Dimension 2'!D127</f>
        <v>0</v>
      </c>
      <c r="DC127" s="39" t="str">
        <f>'Por Valoracion (3) Dimension'!H127</f>
        <v>0</v>
      </c>
      <c r="DX127" s="49"/>
      <c r="DZ127" t="str">
        <f>('Inteligencia emocional'!A128)</f>
        <v>0</v>
      </c>
      <c r="EA127" s="39" t="str">
        <f>'Por Valoracion (3) Dimension 2'!F127</f>
        <v>0</v>
      </c>
      <c r="EB127" s="39" t="str">
        <f>'Por Valoracion (3) Dimension'!H127</f>
        <v>0</v>
      </c>
      <c r="EW127" s="49"/>
      <c r="EY127" t="str">
        <f>('Inteligencia emocional'!A128)</f>
        <v>0</v>
      </c>
      <c r="EZ127" s="39" t="str">
        <f>'Por Valoracion (3) Dimension 2'!H127</f>
        <v>0</v>
      </c>
      <c r="FA127" s="39" t="str">
        <f>'Por Valoracion (3) Dimension'!H127</f>
        <v>0</v>
      </c>
      <c r="FV127" s="49"/>
    </row>
    <row r="128" spans="1:178">
      <c r="A128" s="48"/>
      <c r="C128" t="str">
        <f>('Inteligencia emocional'!A129)</f>
        <v>0</v>
      </c>
      <c r="D128" s="39" t="str">
        <f>'Por Valoracion (3) Dimension'!B128</f>
        <v>0</v>
      </c>
      <c r="E128" s="39" t="str">
        <f>'Por Valoracion (3) Dimension 2'!J128</f>
        <v>0</v>
      </c>
      <c r="Z128" s="48"/>
      <c r="AB128" t="str">
        <f>('Inteligencia emocional'!A129)</f>
        <v>0</v>
      </c>
      <c r="AC128" s="39" t="str">
        <f>'Por Valoracion (3) Dimension'!D128</f>
        <v>0</v>
      </c>
      <c r="AD128" s="39" t="str">
        <f>'Por Valoracion (3) Dimension 2'!J128</f>
        <v>0</v>
      </c>
      <c r="AY128" s="48"/>
      <c r="BA128" t="str">
        <f>('Inteligencia emocional'!A129)</f>
        <v>0</v>
      </c>
      <c r="BB128" s="39" t="str">
        <f>'Por Valoracion (3) Dimension'!F128</f>
        <v>0</v>
      </c>
      <c r="BC128" s="39" t="str">
        <f>'Por Valoracion (3) Dimension 2'!J128</f>
        <v>0</v>
      </c>
      <c r="BX128" s="48"/>
      <c r="BZ128" s="49"/>
      <c r="CB128" t="str">
        <f>('Inteligencia emocional'!A129)</f>
        <v>0</v>
      </c>
      <c r="CC128" s="39" t="str">
        <f>'Por Valoracion (3) Dimension 2'!B128</f>
        <v>0</v>
      </c>
      <c r="CD128" s="39" t="str">
        <f>'Por Valoracion (3) Dimension'!H128</f>
        <v>0</v>
      </c>
      <c r="CY128" s="49"/>
      <c r="DA128" t="str">
        <f>('Inteligencia emocional'!A129)</f>
        <v>0</v>
      </c>
      <c r="DB128" s="39" t="str">
        <f>'Por Valoracion (3) Dimension 2'!D128</f>
        <v>0</v>
      </c>
      <c r="DC128" s="39" t="str">
        <f>'Por Valoracion (3) Dimension'!H128</f>
        <v>0</v>
      </c>
      <c r="DX128" s="49"/>
      <c r="DZ128" t="str">
        <f>('Inteligencia emocional'!A129)</f>
        <v>0</v>
      </c>
      <c r="EA128" s="39" t="str">
        <f>'Por Valoracion (3) Dimension 2'!F128</f>
        <v>0</v>
      </c>
      <c r="EB128" s="39" t="str">
        <f>'Por Valoracion (3) Dimension'!H128</f>
        <v>0</v>
      </c>
      <c r="EW128" s="49"/>
      <c r="EY128" t="str">
        <f>('Inteligencia emocional'!A129)</f>
        <v>0</v>
      </c>
      <c r="EZ128" s="39" t="str">
        <f>'Por Valoracion (3) Dimension 2'!H128</f>
        <v>0</v>
      </c>
      <c r="FA128" s="39" t="str">
        <f>'Por Valoracion (3) Dimension'!H128</f>
        <v>0</v>
      </c>
      <c r="FV128" s="49"/>
    </row>
    <row r="129" spans="1:178">
      <c r="A129" s="48"/>
      <c r="C129" t="str">
        <f>('Inteligencia emocional'!A130)</f>
        <v>0</v>
      </c>
      <c r="D129" s="39" t="str">
        <f>'Por Valoracion (3) Dimension'!B129</f>
        <v>0</v>
      </c>
      <c r="E129" s="39" t="str">
        <f>'Por Valoracion (3) Dimension 2'!J129</f>
        <v>0</v>
      </c>
      <c r="Z129" s="48"/>
      <c r="AB129" t="str">
        <f>('Inteligencia emocional'!A130)</f>
        <v>0</v>
      </c>
      <c r="AC129" s="39" t="str">
        <f>'Por Valoracion (3) Dimension'!D129</f>
        <v>0</v>
      </c>
      <c r="AD129" s="39" t="str">
        <f>'Por Valoracion (3) Dimension 2'!J129</f>
        <v>0</v>
      </c>
      <c r="AY129" s="48"/>
      <c r="BA129" t="str">
        <f>('Inteligencia emocional'!A130)</f>
        <v>0</v>
      </c>
      <c r="BB129" s="39" t="str">
        <f>'Por Valoracion (3) Dimension'!F129</f>
        <v>0</v>
      </c>
      <c r="BC129" s="39" t="str">
        <f>'Por Valoracion (3) Dimension 2'!J129</f>
        <v>0</v>
      </c>
      <c r="BX129" s="48"/>
      <c r="BZ129" s="49"/>
      <c r="CB129" t="str">
        <f>('Inteligencia emocional'!A130)</f>
        <v>0</v>
      </c>
      <c r="CC129" s="39" t="str">
        <f>'Por Valoracion (3) Dimension 2'!B129</f>
        <v>0</v>
      </c>
      <c r="CD129" s="39" t="str">
        <f>'Por Valoracion (3) Dimension'!H129</f>
        <v>0</v>
      </c>
      <c r="CY129" s="49"/>
      <c r="DA129" t="str">
        <f>('Inteligencia emocional'!A130)</f>
        <v>0</v>
      </c>
      <c r="DB129" s="39" t="str">
        <f>'Por Valoracion (3) Dimension 2'!D129</f>
        <v>0</v>
      </c>
      <c r="DC129" s="39" t="str">
        <f>'Por Valoracion (3) Dimension'!H129</f>
        <v>0</v>
      </c>
      <c r="DX129" s="49"/>
      <c r="DZ129" t="str">
        <f>('Inteligencia emocional'!A130)</f>
        <v>0</v>
      </c>
      <c r="EA129" s="39" t="str">
        <f>'Por Valoracion (3) Dimension 2'!F129</f>
        <v>0</v>
      </c>
      <c r="EB129" s="39" t="str">
        <f>'Por Valoracion (3) Dimension'!H129</f>
        <v>0</v>
      </c>
      <c r="EW129" s="49"/>
      <c r="EY129" t="str">
        <f>('Inteligencia emocional'!A130)</f>
        <v>0</v>
      </c>
      <c r="EZ129" s="39" t="str">
        <f>'Por Valoracion (3) Dimension 2'!H129</f>
        <v>0</v>
      </c>
      <c r="FA129" s="39" t="str">
        <f>'Por Valoracion (3) Dimension'!H129</f>
        <v>0</v>
      </c>
      <c r="FV129" s="49"/>
    </row>
    <row r="130" spans="1:178">
      <c r="A130" s="48"/>
      <c r="C130" t="str">
        <f>('Inteligencia emocional'!A131)</f>
        <v>0</v>
      </c>
      <c r="D130" s="39" t="str">
        <f>'Por Valoracion (3) Dimension'!B130</f>
        <v>0</v>
      </c>
      <c r="E130" s="39" t="str">
        <f>'Por Valoracion (3) Dimension 2'!J130</f>
        <v>0</v>
      </c>
      <c r="Z130" s="48"/>
      <c r="AB130" t="str">
        <f>('Inteligencia emocional'!A131)</f>
        <v>0</v>
      </c>
      <c r="AC130" s="39" t="str">
        <f>'Por Valoracion (3) Dimension'!D130</f>
        <v>0</v>
      </c>
      <c r="AD130" s="39" t="str">
        <f>'Por Valoracion (3) Dimension 2'!J130</f>
        <v>0</v>
      </c>
      <c r="AY130" s="48"/>
      <c r="BA130" t="str">
        <f>('Inteligencia emocional'!A131)</f>
        <v>0</v>
      </c>
      <c r="BB130" s="39" t="str">
        <f>'Por Valoracion (3) Dimension'!F130</f>
        <v>0</v>
      </c>
      <c r="BC130" s="39" t="str">
        <f>'Por Valoracion (3) Dimension 2'!J130</f>
        <v>0</v>
      </c>
      <c r="BX130" s="48"/>
      <c r="BZ130" s="49"/>
      <c r="CB130" t="str">
        <f>('Inteligencia emocional'!A131)</f>
        <v>0</v>
      </c>
      <c r="CC130" s="39" t="str">
        <f>'Por Valoracion (3) Dimension 2'!B130</f>
        <v>0</v>
      </c>
      <c r="CD130" s="39" t="str">
        <f>'Por Valoracion (3) Dimension'!H130</f>
        <v>0</v>
      </c>
      <c r="CY130" s="49"/>
      <c r="DA130" t="str">
        <f>('Inteligencia emocional'!A131)</f>
        <v>0</v>
      </c>
      <c r="DB130" s="39" t="str">
        <f>'Por Valoracion (3) Dimension 2'!D130</f>
        <v>0</v>
      </c>
      <c r="DC130" s="39" t="str">
        <f>'Por Valoracion (3) Dimension'!H130</f>
        <v>0</v>
      </c>
      <c r="DX130" s="49"/>
      <c r="DZ130" t="str">
        <f>('Inteligencia emocional'!A131)</f>
        <v>0</v>
      </c>
      <c r="EA130" s="39" t="str">
        <f>'Por Valoracion (3) Dimension 2'!F130</f>
        <v>0</v>
      </c>
      <c r="EB130" s="39" t="str">
        <f>'Por Valoracion (3) Dimension'!H130</f>
        <v>0</v>
      </c>
      <c r="EW130" s="49"/>
      <c r="EY130" t="str">
        <f>('Inteligencia emocional'!A131)</f>
        <v>0</v>
      </c>
      <c r="EZ130" s="39" t="str">
        <f>'Por Valoracion (3) Dimension 2'!H130</f>
        <v>0</v>
      </c>
      <c r="FA130" s="39" t="str">
        <f>'Por Valoracion (3) Dimension'!H130</f>
        <v>0</v>
      </c>
      <c r="FV130" s="49"/>
    </row>
    <row r="131" spans="1:178">
      <c r="A131" s="48"/>
      <c r="C131" t="str">
        <f>('Inteligencia emocional'!A132)</f>
        <v>0</v>
      </c>
      <c r="D131" s="39" t="str">
        <f>'Por Valoracion (3) Dimension'!B131</f>
        <v>0</v>
      </c>
      <c r="E131" s="39" t="str">
        <f>'Por Valoracion (3) Dimension 2'!J131</f>
        <v>0</v>
      </c>
      <c r="Z131" s="48"/>
      <c r="AB131" t="str">
        <f>('Inteligencia emocional'!A132)</f>
        <v>0</v>
      </c>
      <c r="AC131" s="39" t="str">
        <f>'Por Valoracion (3) Dimension'!D131</f>
        <v>0</v>
      </c>
      <c r="AD131" s="39" t="str">
        <f>'Por Valoracion (3) Dimension 2'!J131</f>
        <v>0</v>
      </c>
      <c r="AY131" s="48"/>
      <c r="BA131" t="str">
        <f>('Inteligencia emocional'!A132)</f>
        <v>0</v>
      </c>
      <c r="BB131" s="39" t="str">
        <f>'Por Valoracion (3) Dimension'!F131</f>
        <v>0</v>
      </c>
      <c r="BC131" s="39" t="str">
        <f>'Por Valoracion (3) Dimension 2'!J131</f>
        <v>0</v>
      </c>
      <c r="BX131" s="48"/>
      <c r="BZ131" s="49"/>
      <c r="CB131" t="str">
        <f>('Inteligencia emocional'!A132)</f>
        <v>0</v>
      </c>
      <c r="CC131" s="39" t="str">
        <f>'Por Valoracion (3) Dimension 2'!B131</f>
        <v>0</v>
      </c>
      <c r="CD131" s="39" t="str">
        <f>'Por Valoracion (3) Dimension'!H131</f>
        <v>0</v>
      </c>
      <c r="CY131" s="49"/>
      <c r="DA131" t="str">
        <f>('Inteligencia emocional'!A132)</f>
        <v>0</v>
      </c>
      <c r="DB131" s="39" t="str">
        <f>'Por Valoracion (3) Dimension 2'!D131</f>
        <v>0</v>
      </c>
      <c r="DC131" s="39" t="str">
        <f>'Por Valoracion (3) Dimension'!H131</f>
        <v>0</v>
      </c>
      <c r="DX131" s="49"/>
      <c r="DZ131" t="str">
        <f>('Inteligencia emocional'!A132)</f>
        <v>0</v>
      </c>
      <c r="EA131" s="39" t="str">
        <f>'Por Valoracion (3) Dimension 2'!F131</f>
        <v>0</v>
      </c>
      <c r="EB131" s="39" t="str">
        <f>'Por Valoracion (3) Dimension'!H131</f>
        <v>0</v>
      </c>
      <c r="EW131" s="49"/>
      <c r="EY131" t="str">
        <f>('Inteligencia emocional'!A132)</f>
        <v>0</v>
      </c>
      <c r="EZ131" s="39" t="str">
        <f>'Por Valoracion (3) Dimension 2'!H131</f>
        <v>0</v>
      </c>
      <c r="FA131" s="39" t="str">
        <f>'Por Valoracion (3) Dimension'!H131</f>
        <v>0</v>
      </c>
      <c r="FV131" s="49"/>
    </row>
    <row r="132" spans="1:178">
      <c r="A132" s="48"/>
      <c r="C132" t="str">
        <f>('Inteligencia emocional'!A133)</f>
        <v>0</v>
      </c>
      <c r="D132" s="39" t="str">
        <f>'Por Valoracion (3) Dimension'!B132</f>
        <v>0</v>
      </c>
      <c r="E132" s="39" t="str">
        <f>'Por Valoracion (3) Dimension 2'!J132</f>
        <v>0</v>
      </c>
      <c r="Z132" s="48"/>
      <c r="AB132" t="str">
        <f>('Inteligencia emocional'!A133)</f>
        <v>0</v>
      </c>
      <c r="AC132" s="39" t="str">
        <f>'Por Valoracion (3) Dimension'!D132</f>
        <v>0</v>
      </c>
      <c r="AD132" s="39" t="str">
        <f>'Por Valoracion (3) Dimension 2'!J132</f>
        <v>0</v>
      </c>
      <c r="AY132" s="48"/>
      <c r="BA132" t="str">
        <f>('Inteligencia emocional'!A133)</f>
        <v>0</v>
      </c>
      <c r="BB132" s="39" t="str">
        <f>'Por Valoracion (3) Dimension'!F132</f>
        <v>0</v>
      </c>
      <c r="BC132" s="39" t="str">
        <f>'Por Valoracion (3) Dimension 2'!J132</f>
        <v>0</v>
      </c>
      <c r="BX132" s="48"/>
      <c r="BZ132" s="49"/>
      <c r="CB132" t="str">
        <f>('Inteligencia emocional'!A133)</f>
        <v>0</v>
      </c>
      <c r="CC132" s="39" t="str">
        <f>'Por Valoracion (3) Dimension 2'!B132</f>
        <v>0</v>
      </c>
      <c r="CD132" s="39" t="str">
        <f>'Por Valoracion (3) Dimension'!H132</f>
        <v>0</v>
      </c>
      <c r="CY132" s="49"/>
      <c r="DA132" t="str">
        <f>('Inteligencia emocional'!A133)</f>
        <v>0</v>
      </c>
      <c r="DB132" s="39" t="str">
        <f>'Por Valoracion (3) Dimension 2'!D132</f>
        <v>0</v>
      </c>
      <c r="DC132" s="39" t="str">
        <f>'Por Valoracion (3) Dimension'!H132</f>
        <v>0</v>
      </c>
      <c r="DX132" s="49"/>
      <c r="DZ132" t="str">
        <f>('Inteligencia emocional'!A133)</f>
        <v>0</v>
      </c>
      <c r="EA132" s="39" t="str">
        <f>'Por Valoracion (3) Dimension 2'!F132</f>
        <v>0</v>
      </c>
      <c r="EB132" s="39" t="str">
        <f>'Por Valoracion (3) Dimension'!H132</f>
        <v>0</v>
      </c>
      <c r="EW132" s="49"/>
      <c r="EY132" t="str">
        <f>('Inteligencia emocional'!A133)</f>
        <v>0</v>
      </c>
      <c r="EZ132" s="39" t="str">
        <f>'Por Valoracion (3) Dimension 2'!H132</f>
        <v>0</v>
      </c>
      <c r="FA132" s="39" t="str">
        <f>'Por Valoracion (3) Dimension'!H132</f>
        <v>0</v>
      </c>
      <c r="FV132" s="49"/>
    </row>
    <row r="133" spans="1:178">
      <c r="A133" s="48"/>
      <c r="C133" t="str">
        <f>('Inteligencia emocional'!A134)</f>
        <v>0</v>
      </c>
      <c r="D133" s="39" t="str">
        <f>'Por Valoracion (3) Dimension'!B133</f>
        <v>0</v>
      </c>
      <c r="E133" s="39" t="str">
        <f>'Por Valoracion (3) Dimension 2'!J133</f>
        <v>0</v>
      </c>
      <c r="Z133" s="48"/>
      <c r="AB133" t="str">
        <f>('Inteligencia emocional'!A134)</f>
        <v>0</v>
      </c>
      <c r="AC133" s="39" t="str">
        <f>'Por Valoracion (3) Dimension'!D133</f>
        <v>0</v>
      </c>
      <c r="AD133" s="39" t="str">
        <f>'Por Valoracion (3) Dimension 2'!J133</f>
        <v>0</v>
      </c>
      <c r="AY133" s="48"/>
      <c r="BA133" t="str">
        <f>('Inteligencia emocional'!A134)</f>
        <v>0</v>
      </c>
      <c r="BB133" s="39" t="str">
        <f>'Por Valoracion (3) Dimension'!F133</f>
        <v>0</v>
      </c>
      <c r="BC133" s="39" t="str">
        <f>'Por Valoracion (3) Dimension 2'!J133</f>
        <v>0</v>
      </c>
      <c r="BX133" s="48"/>
      <c r="BZ133" s="49"/>
      <c r="CB133" t="str">
        <f>('Inteligencia emocional'!A134)</f>
        <v>0</v>
      </c>
      <c r="CC133" s="39" t="str">
        <f>'Por Valoracion (3) Dimension 2'!B133</f>
        <v>0</v>
      </c>
      <c r="CD133" s="39" t="str">
        <f>'Por Valoracion (3) Dimension'!H133</f>
        <v>0</v>
      </c>
      <c r="CY133" s="49"/>
      <c r="DA133" t="str">
        <f>('Inteligencia emocional'!A134)</f>
        <v>0</v>
      </c>
      <c r="DB133" s="39" t="str">
        <f>'Por Valoracion (3) Dimension 2'!D133</f>
        <v>0</v>
      </c>
      <c r="DC133" s="39" t="str">
        <f>'Por Valoracion (3) Dimension'!H133</f>
        <v>0</v>
      </c>
      <c r="DX133" s="49"/>
      <c r="DZ133" t="str">
        <f>('Inteligencia emocional'!A134)</f>
        <v>0</v>
      </c>
      <c r="EA133" s="39" t="str">
        <f>'Por Valoracion (3) Dimension 2'!F133</f>
        <v>0</v>
      </c>
      <c r="EB133" s="39" t="str">
        <f>'Por Valoracion (3) Dimension'!H133</f>
        <v>0</v>
      </c>
      <c r="EW133" s="49"/>
      <c r="EY133" t="str">
        <f>('Inteligencia emocional'!A134)</f>
        <v>0</v>
      </c>
      <c r="EZ133" s="39" t="str">
        <f>'Por Valoracion (3) Dimension 2'!H133</f>
        <v>0</v>
      </c>
      <c r="FA133" s="39" t="str">
        <f>'Por Valoracion (3) Dimension'!H133</f>
        <v>0</v>
      </c>
      <c r="FV133" s="49"/>
    </row>
    <row r="134" spans="1:178">
      <c r="A134" s="48"/>
      <c r="C134" t="str">
        <f>('Inteligencia emocional'!A135)</f>
        <v>0</v>
      </c>
      <c r="D134" s="39" t="str">
        <f>'Por Valoracion (3) Dimension'!B134</f>
        <v>0</v>
      </c>
      <c r="E134" s="39" t="str">
        <f>'Por Valoracion (3) Dimension 2'!J134</f>
        <v>0</v>
      </c>
      <c r="Z134" s="48"/>
      <c r="AB134" t="str">
        <f>('Inteligencia emocional'!A135)</f>
        <v>0</v>
      </c>
      <c r="AC134" s="39" t="str">
        <f>'Por Valoracion (3) Dimension'!D134</f>
        <v>0</v>
      </c>
      <c r="AD134" s="39" t="str">
        <f>'Por Valoracion (3) Dimension 2'!J134</f>
        <v>0</v>
      </c>
      <c r="AY134" s="48"/>
      <c r="BA134" t="str">
        <f>('Inteligencia emocional'!A135)</f>
        <v>0</v>
      </c>
      <c r="BB134" s="39" t="str">
        <f>'Por Valoracion (3) Dimension'!F134</f>
        <v>0</v>
      </c>
      <c r="BC134" s="39" t="str">
        <f>'Por Valoracion (3) Dimension 2'!J134</f>
        <v>0</v>
      </c>
      <c r="BX134" s="48"/>
      <c r="BZ134" s="49"/>
      <c r="CB134" t="str">
        <f>('Inteligencia emocional'!A135)</f>
        <v>0</v>
      </c>
      <c r="CC134" s="39" t="str">
        <f>'Por Valoracion (3) Dimension 2'!B134</f>
        <v>0</v>
      </c>
      <c r="CD134" s="39" t="str">
        <f>'Por Valoracion (3) Dimension'!H134</f>
        <v>0</v>
      </c>
      <c r="CY134" s="49"/>
      <c r="DA134" t="str">
        <f>('Inteligencia emocional'!A135)</f>
        <v>0</v>
      </c>
      <c r="DB134" s="39" t="str">
        <f>'Por Valoracion (3) Dimension 2'!D134</f>
        <v>0</v>
      </c>
      <c r="DC134" s="39" t="str">
        <f>'Por Valoracion (3) Dimension'!H134</f>
        <v>0</v>
      </c>
      <c r="DX134" s="49"/>
      <c r="DZ134" t="str">
        <f>('Inteligencia emocional'!A135)</f>
        <v>0</v>
      </c>
      <c r="EA134" s="39" t="str">
        <f>'Por Valoracion (3) Dimension 2'!F134</f>
        <v>0</v>
      </c>
      <c r="EB134" s="39" t="str">
        <f>'Por Valoracion (3) Dimension'!H134</f>
        <v>0</v>
      </c>
      <c r="EW134" s="49"/>
      <c r="EY134" t="str">
        <f>('Inteligencia emocional'!A135)</f>
        <v>0</v>
      </c>
      <c r="EZ134" s="39" t="str">
        <f>'Por Valoracion (3) Dimension 2'!H134</f>
        <v>0</v>
      </c>
      <c r="FA134" s="39" t="str">
        <f>'Por Valoracion (3) Dimension'!H134</f>
        <v>0</v>
      </c>
      <c r="FV134" s="49"/>
    </row>
    <row r="135" spans="1:178">
      <c r="A135" s="48"/>
      <c r="C135" t="str">
        <f>('Inteligencia emocional'!A136)</f>
        <v>0</v>
      </c>
      <c r="D135" s="39" t="str">
        <f>'Por Valoracion (3) Dimension'!B135</f>
        <v>0</v>
      </c>
      <c r="E135" s="39" t="str">
        <f>'Por Valoracion (3) Dimension 2'!J135</f>
        <v>0</v>
      </c>
      <c r="Z135" s="48"/>
      <c r="AB135" t="str">
        <f>('Inteligencia emocional'!A136)</f>
        <v>0</v>
      </c>
      <c r="AC135" s="39" t="str">
        <f>'Por Valoracion (3) Dimension'!D135</f>
        <v>0</v>
      </c>
      <c r="AD135" s="39" t="str">
        <f>'Por Valoracion (3) Dimension 2'!J135</f>
        <v>0</v>
      </c>
      <c r="AY135" s="48"/>
      <c r="BA135" t="str">
        <f>('Inteligencia emocional'!A136)</f>
        <v>0</v>
      </c>
      <c r="BB135" s="39" t="str">
        <f>'Por Valoracion (3) Dimension'!F135</f>
        <v>0</v>
      </c>
      <c r="BC135" s="39" t="str">
        <f>'Por Valoracion (3) Dimension 2'!J135</f>
        <v>0</v>
      </c>
      <c r="BX135" s="48"/>
      <c r="BZ135" s="49"/>
      <c r="CB135" t="str">
        <f>('Inteligencia emocional'!A136)</f>
        <v>0</v>
      </c>
      <c r="CC135" s="39" t="str">
        <f>'Por Valoracion (3) Dimension 2'!B135</f>
        <v>0</v>
      </c>
      <c r="CD135" s="39" t="str">
        <f>'Por Valoracion (3) Dimension'!H135</f>
        <v>0</v>
      </c>
      <c r="CY135" s="49"/>
      <c r="DA135" t="str">
        <f>('Inteligencia emocional'!A136)</f>
        <v>0</v>
      </c>
      <c r="DB135" s="39" t="str">
        <f>'Por Valoracion (3) Dimension 2'!D135</f>
        <v>0</v>
      </c>
      <c r="DC135" s="39" t="str">
        <f>'Por Valoracion (3) Dimension'!H135</f>
        <v>0</v>
      </c>
      <c r="DX135" s="49"/>
      <c r="DZ135" t="str">
        <f>('Inteligencia emocional'!A136)</f>
        <v>0</v>
      </c>
      <c r="EA135" s="39" t="str">
        <f>'Por Valoracion (3) Dimension 2'!F135</f>
        <v>0</v>
      </c>
      <c r="EB135" s="39" t="str">
        <f>'Por Valoracion (3) Dimension'!H135</f>
        <v>0</v>
      </c>
      <c r="EW135" s="49"/>
      <c r="EY135" t="str">
        <f>('Inteligencia emocional'!A136)</f>
        <v>0</v>
      </c>
      <c r="EZ135" s="39" t="str">
        <f>'Por Valoracion (3) Dimension 2'!H135</f>
        <v>0</v>
      </c>
      <c r="FA135" s="39" t="str">
        <f>'Por Valoracion (3) Dimension'!H135</f>
        <v>0</v>
      </c>
      <c r="FV135" s="49"/>
    </row>
    <row r="136" spans="1:178">
      <c r="A136" s="48"/>
      <c r="C136" t="str">
        <f>('Inteligencia emocional'!A137)</f>
        <v>0</v>
      </c>
      <c r="D136" s="39" t="str">
        <f>'Por Valoracion (3) Dimension'!B136</f>
        <v>0</v>
      </c>
      <c r="E136" s="39" t="str">
        <f>'Por Valoracion (3) Dimension 2'!J136</f>
        <v>0</v>
      </c>
      <c r="Z136" s="48"/>
      <c r="AB136" t="str">
        <f>('Inteligencia emocional'!A137)</f>
        <v>0</v>
      </c>
      <c r="AC136" s="39" t="str">
        <f>'Por Valoracion (3) Dimension'!D136</f>
        <v>0</v>
      </c>
      <c r="AD136" s="39" t="str">
        <f>'Por Valoracion (3) Dimension 2'!J136</f>
        <v>0</v>
      </c>
      <c r="AY136" s="48"/>
      <c r="BA136" t="str">
        <f>('Inteligencia emocional'!A137)</f>
        <v>0</v>
      </c>
      <c r="BB136" s="39" t="str">
        <f>'Por Valoracion (3) Dimension'!F136</f>
        <v>0</v>
      </c>
      <c r="BC136" s="39" t="str">
        <f>'Por Valoracion (3) Dimension 2'!J136</f>
        <v>0</v>
      </c>
      <c r="BX136" s="48"/>
      <c r="BZ136" s="49"/>
      <c r="CB136" t="str">
        <f>('Inteligencia emocional'!A137)</f>
        <v>0</v>
      </c>
      <c r="CC136" s="39" t="str">
        <f>'Por Valoracion (3) Dimension 2'!B136</f>
        <v>0</v>
      </c>
      <c r="CD136" s="39" t="str">
        <f>'Por Valoracion (3) Dimension'!H136</f>
        <v>0</v>
      </c>
      <c r="CY136" s="49"/>
      <c r="DA136" t="str">
        <f>('Inteligencia emocional'!A137)</f>
        <v>0</v>
      </c>
      <c r="DB136" s="39" t="str">
        <f>'Por Valoracion (3) Dimension 2'!D136</f>
        <v>0</v>
      </c>
      <c r="DC136" s="39" t="str">
        <f>'Por Valoracion (3) Dimension'!H136</f>
        <v>0</v>
      </c>
      <c r="DX136" s="49"/>
      <c r="DZ136" t="str">
        <f>('Inteligencia emocional'!A137)</f>
        <v>0</v>
      </c>
      <c r="EA136" s="39" t="str">
        <f>'Por Valoracion (3) Dimension 2'!F136</f>
        <v>0</v>
      </c>
      <c r="EB136" s="39" t="str">
        <f>'Por Valoracion (3) Dimension'!H136</f>
        <v>0</v>
      </c>
      <c r="EW136" s="49"/>
      <c r="EY136" t="str">
        <f>('Inteligencia emocional'!A137)</f>
        <v>0</v>
      </c>
      <c r="EZ136" s="39" t="str">
        <f>'Por Valoracion (3) Dimension 2'!H136</f>
        <v>0</v>
      </c>
      <c r="FA136" s="39" t="str">
        <f>'Por Valoracion (3) Dimension'!H136</f>
        <v>0</v>
      </c>
      <c r="FV136" s="49"/>
    </row>
    <row r="137" spans="1:178">
      <c r="A137" s="48"/>
      <c r="C137" t="str">
        <f>('Inteligencia emocional'!A138)</f>
        <v>0</v>
      </c>
      <c r="D137" s="39" t="str">
        <f>'Por Valoracion (3) Dimension'!B137</f>
        <v>0</v>
      </c>
      <c r="E137" s="39" t="str">
        <f>'Por Valoracion (3) Dimension 2'!J137</f>
        <v>0</v>
      </c>
      <c r="Z137" s="48"/>
      <c r="AB137" t="str">
        <f>('Inteligencia emocional'!A138)</f>
        <v>0</v>
      </c>
      <c r="AC137" s="39" t="str">
        <f>'Por Valoracion (3) Dimension'!D137</f>
        <v>0</v>
      </c>
      <c r="AD137" s="39" t="str">
        <f>'Por Valoracion (3) Dimension 2'!J137</f>
        <v>0</v>
      </c>
      <c r="AY137" s="48"/>
      <c r="BA137" t="str">
        <f>('Inteligencia emocional'!A138)</f>
        <v>0</v>
      </c>
      <c r="BB137" s="39" t="str">
        <f>'Por Valoracion (3) Dimension'!F137</f>
        <v>0</v>
      </c>
      <c r="BC137" s="39" t="str">
        <f>'Por Valoracion (3) Dimension 2'!J137</f>
        <v>0</v>
      </c>
      <c r="BX137" s="48"/>
      <c r="BZ137" s="49"/>
      <c r="CB137" t="str">
        <f>('Inteligencia emocional'!A138)</f>
        <v>0</v>
      </c>
      <c r="CC137" s="39" t="str">
        <f>'Por Valoracion (3) Dimension 2'!B137</f>
        <v>0</v>
      </c>
      <c r="CD137" s="39" t="str">
        <f>'Por Valoracion (3) Dimension'!H137</f>
        <v>0</v>
      </c>
      <c r="CY137" s="49"/>
      <c r="DA137" t="str">
        <f>('Inteligencia emocional'!A138)</f>
        <v>0</v>
      </c>
      <c r="DB137" s="39" t="str">
        <f>'Por Valoracion (3) Dimension 2'!D137</f>
        <v>0</v>
      </c>
      <c r="DC137" s="39" t="str">
        <f>'Por Valoracion (3) Dimension'!H137</f>
        <v>0</v>
      </c>
      <c r="DX137" s="49"/>
      <c r="DZ137" t="str">
        <f>('Inteligencia emocional'!A138)</f>
        <v>0</v>
      </c>
      <c r="EA137" s="39" t="str">
        <f>'Por Valoracion (3) Dimension 2'!F137</f>
        <v>0</v>
      </c>
      <c r="EB137" s="39" t="str">
        <f>'Por Valoracion (3) Dimension'!H137</f>
        <v>0</v>
      </c>
      <c r="EW137" s="49"/>
      <c r="EY137" t="str">
        <f>('Inteligencia emocional'!A138)</f>
        <v>0</v>
      </c>
      <c r="EZ137" s="39" t="str">
        <f>'Por Valoracion (3) Dimension 2'!H137</f>
        <v>0</v>
      </c>
      <c r="FA137" s="39" t="str">
        <f>'Por Valoracion (3) Dimension'!H137</f>
        <v>0</v>
      </c>
      <c r="FV137" s="49"/>
    </row>
    <row r="138" spans="1:178">
      <c r="A138" s="48"/>
      <c r="C138" t="str">
        <f>('Inteligencia emocional'!A139)</f>
        <v>0</v>
      </c>
      <c r="D138" s="39" t="str">
        <f>'Por Valoracion (3) Dimension'!B138</f>
        <v>0</v>
      </c>
      <c r="E138" s="39" t="str">
        <f>'Por Valoracion (3) Dimension 2'!J138</f>
        <v>0</v>
      </c>
      <c r="Z138" s="48"/>
      <c r="AB138" t="str">
        <f>('Inteligencia emocional'!A139)</f>
        <v>0</v>
      </c>
      <c r="AC138" s="39" t="str">
        <f>'Por Valoracion (3) Dimension'!D138</f>
        <v>0</v>
      </c>
      <c r="AD138" s="39" t="str">
        <f>'Por Valoracion (3) Dimension 2'!J138</f>
        <v>0</v>
      </c>
      <c r="AY138" s="48"/>
      <c r="BA138" t="str">
        <f>('Inteligencia emocional'!A139)</f>
        <v>0</v>
      </c>
      <c r="BB138" s="39" t="str">
        <f>'Por Valoracion (3) Dimension'!F138</f>
        <v>0</v>
      </c>
      <c r="BC138" s="39" t="str">
        <f>'Por Valoracion (3) Dimension 2'!J138</f>
        <v>0</v>
      </c>
      <c r="BX138" s="48"/>
      <c r="BZ138" s="49"/>
      <c r="CB138" t="str">
        <f>('Inteligencia emocional'!A139)</f>
        <v>0</v>
      </c>
      <c r="CC138" s="39" t="str">
        <f>'Por Valoracion (3) Dimension 2'!B138</f>
        <v>0</v>
      </c>
      <c r="CD138" s="39" t="str">
        <f>'Por Valoracion (3) Dimension'!H138</f>
        <v>0</v>
      </c>
      <c r="CY138" s="49"/>
      <c r="DA138" t="str">
        <f>('Inteligencia emocional'!A139)</f>
        <v>0</v>
      </c>
      <c r="DB138" s="39" t="str">
        <f>'Por Valoracion (3) Dimension 2'!D138</f>
        <v>0</v>
      </c>
      <c r="DC138" s="39" t="str">
        <f>'Por Valoracion (3) Dimension'!H138</f>
        <v>0</v>
      </c>
      <c r="DX138" s="49"/>
      <c r="DZ138" t="str">
        <f>('Inteligencia emocional'!A139)</f>
        <v>0</v>
      </c>
      <c r="EA138" s="39" t="str">
        <f>'Por Valoracion (3) Dimension 2'!F138</f>
        <v>0</v>
      </c>
      <c r="EB138" s="39" t="str">
        <f>'Por Valoracion (3) Dimension'!H138</f>
        <v>0</v>
      </c>
      <c r="EW138" s="49"/>
      <c r="EY138" t="str">
        <f>('Inteligencia emocional'!A139)</f>
        <v>0</v>
      </c>
      <c r="EZ138" s="39" t="str">
        <f>'Por Valoracion (3) Dimension 2'!H138</f>
        <v>0</v>
      </c>
      <c r="FA138" s="39" t="str">
        <f>'Por Valoracion (3) Dimension'!H138</f>
        <v>0</v>
      </c>
      <c r="FV138" s="49"/>
    </row>
    <row r="139" spans="1:178">
      <c r="A139" s="48"/>
      <c r="C139" t="str">
        <f>('Inteligencia emocional'!A140)</f>
        <v>0</v>
      </c>
      <c r="D139" s="39" t="str">
        <f>'Por Valoracion (3) Dimension'!B139</f>
        <v>0</v>
      </c>
      <c r="E139" s="39" t="str">
        <f>'Por Valoracion (3) Dimension 2'!J139</f>
        <v>0</v>
      </c>
      <c r="Z139" s="48"/>
      <c r="AB139" t="str">
        <f>('Inteligencia emocional'!A140)</f>
        <v>0</v>
      </c>
      <c r="AC139" s="39" t="str">
        <f>'Por Valoracion (3) Dimension'!D139</f>
        <v>0</v>
      </c>
      <c r="AD139" s="39" t="str">
        <f>'Por Valoracion (3) Dimension 2'!J139</f>
        <v>0</v>
      </c>
      <c r="AY139" s="48"/>
      <c r="BA139" t="str">
        <f>('Inteligencia emocional'!A140)</f>
        <v>0</v>
      </c>
      <c r="BB139" s="39" t="str">
        <f>'Por Valoracion (3) Dimension'!F139</f>
        <v>0</v>
      </c>
      <c r="BC139" s="39" t="str">
        <f>'Por Valoracion (3) Dimension 2'!J139</f>
        <v>0</v>
      </c>
      <c r="BX139" s="48"/>
      <c r="BZ139" s="49"/>
      <c r="CB139" t="str">
        <f>('Inteligencia emocional'!A140)</f>
        <v>0</v>
      </c>
      <c r="CC139" s="39" t="str">
        <f>'Por Valoracion (3) Dimension 2'!B139</f>
        <v>0</v>
      </c>
      <c r="CD139" s="39" t="str">
        <f>'Por Valoracion (3) Dimension'!H139</f>
        <v>0</v>
      </c>
      <c r="CY139" s="49"/>
      <c r="DA139" t="str">
        <f>('Inteligencia emocional'!A140)</f>
        <v>0</v>
      </c>
      <c r="DB139" s="39" t="str">
        <f>'Por Valoracion (3) Dimension 2'!D139</f>
        <v>0</v>
      </c>
      <c r="DC139" s="39" t="str">
        <f>'Por Valoracion (3) Dimension'!H139</f>
        <v>0</v>
      </c>
      <c r="DX139" s="49"/>
      <c r="DZ139" t="str">
        <f>('Inteligencia emocional'!A140)</f>
        <v>0</v>
      </c>
      <c r="EA139" s="39" t="str">
        <f>'Por Valoracion (3) Dimension 2'!F139</f>
        <v>0</v>
      </c>
      <c r="EB139" s="39" t="str">
        <f>'Por Valoracion (3) Dimension'!H139</f>
        <v>0</v>
      </c>
      <c r="EW139" s="49"/>
      <c r="EY139" t="str">
        <f>('Inteligencia emocional'!A140)</f>
        <v>0</v>
      </c>
      <c r="EZ139" s="39" t="str">
        <f>'Por Valoracion (3) Dimension 2'!H139</f>
        <v>0</v>
      </c>
      <c r="FA139" s="39" t="str">
        <f>'Por Valoracion (3) Dimension'!H139</f>
        <v>0</v>
      </c>
      <c r="FV139" s="49"/>
    </row>
    <row r="140" spans="1:178">
      <c r="A140" s="48"/>
      <c r="C140" t="str">
        <f>('Inteligencia emocional'!A141)</f>
        <v>0</v>
      </c>
      <c r="D140" s="39" t="str">
        <f>'Por Valoracion (3) Dimension'!B140</f>
        <v>0</v>
      </c>
      <c r="E140" s="39" t="str">
        <f>'Por Valoracion (3) Dimension 2'!J140</f>
        <v>0</v>
      </c>
      <c r="Z140" s="48"/>
      <c r="AB140" t="str">
        <f>('Inteligencia emocional'!A141)</f>
        <v>0</v>
      </c>
      <c r="AC140" s="39" t="str">
        <f>'Por Valoracion (3) Dimension'!D140</f>
        <v>0</v>
      </c>
      <c r="AD140" s="39" t="str">
        <f>'Por Valoracion (3) Dimension 2'!J140</f>
        <v>0</v>
      </c>
      <c r="AY140" s="48"/>
      <c r="BA140" t="str">
        <f>('Inteligencia emocional'!A141)</f>
        <v>0</v>
      </c>
      <c r="BB140" s="39" t="str">
        <f>'Por Valoracion (3) Dimension'!F140</f>
        <v>0</v>
      </c>
      <c r="BC140" s="39" t="str">
        <f>'Por Valoracion (3) Dimension 2'!J140</f>
        <v>0</v>
      </c>
      <c r="BX140" s="48"/>
      <c r="BZ140" s="49"/>
      <c r="CB140" t="str">
        <f>('Inteligencia emocional'!A141)</f>
        <v>0</v>
      </c>
      <c r="CC140" s="39" t="str">
        <f>'Por Valoracion (3) Dimension 2'!B140</f>
        <v>0</v>
      </c>
      <c r="CD140" s="39" t="str">
        <f>'Por Valoracion (3) Dimension'!H140</f>
        <v>0</v>
      </c>
      <c r="CY140" s="49"/>
      <c r="DA140" t="str">
        <f>('Inteligencia emocional'!A141)</f>
        <v>0</v>
      </c>
      <c r="DB140" s="39" t="str">
        <f>'Por Valoracion (3) Dimension 2'!D140</f>
        <v>0</v>
      </c>
      <c r="DC140" s="39" t="str">
        <f>'Por Valoracion (3) Dimension'!H140</f>
        <v>0</v>
      </c>
      <c r="DX140" s="49"/>
      <c r="DZ140" t="str">
        <f>('Inteligencia emocional'!A141)</f>
        <v>0</v>
      </c>
      <c r="EA140" s="39" t="str">
        <f>'Por Valoracion (3) Dimension 2'!F140</f>
        <v>0</v>
      </c>
      <c r="EB140" s="39" t="str">
        <f>'Por Valoracion (3) Dimension'!H140</f>
        <v>0</v>
      </c>
      <c r="EW140" s="49"/>
      <c r="EY140" t="str">
        <f>('Inteligencia emocional'!A141)</f>
        <v>0</v>
      </c>
      <c r="EZ140" s="39" t="str">
        <f>'Por Valoracion (3) Dimension 2'!H140</f>
        <v>0</v>
      </c>
      <c r="FA140" s="39" t="str">
        <f>'Por Valoracion (3) Dimension'!H140</f>
        <v>0</v>
      </c>
      <c r="FV140" s="49"/>
    </row>
    <row r="141" spans="1:178">
      <c r="A141" s="48"/>
      <c r="C141" t="str">
        <f>('Inteligencia emocional'!A142)</f>
        <v>0</v>
      </c>
      <c r="D141" s="39" t="str">
        <f>'Por Valoracion (3) Dimension'!B141</f>
        <v>0</v>
      </c>
      <c r="E141" s="39" t="str">
        <f>'Por Valoracion (3) Dimension 2'!J141</f>
        <v>0</v>
      </c>
      <c r="Z141" s="48"/>
      <c r="AB141" t="str">
        <f>('Inteligencia emocional'!A142)</f>
        <v>0</v>
      </c>
      <c r="AC141" s="39" t="str">
        <f>'Por Valoracion (3) Dimension'!D141</f>
        <v>0</v>
      </c>
      <c r="AD141" s="39" t="str">
        <f>'Por Valoracion (3) Dimension 2'!J141</f>
        <v>0</v>
      </c>
      <c r="AY141" s="48"/>
      <c r="BA141" t="str">
        <f>('Inteligencia emocional'!A142)</f>
        <v>0</v>
      </c>
      <c r="BB141" s="39" t="str">
        <f>'Por Valoracion (3) Dimension'!F141</f>
        <v>0</v>
      </c>
      <c r="BC141" s="39" t="str">
        <f>'Por Valoracion (3) Dimension 2'!J141</f>
        <v>0</v>
      </c>
      <c r="BX141" s="48"/>
      <c r="BZ141" s="49"/>
      <c r="CB141" t="str">
        <f>('Inteligencia emocional'!A142)</f>
        <v>0</v>
      </c>
      <c r="CC141" s="39" t="str">
        <f>'Por Valoracion (3) Dimension 2'!B141</f>
        <v>0</v>
      </c>
      <c r="CD141" s="39" t="str">
        <f>'Por Valoracion (3) Dimension'!H141</f>
        <v>0</v>
      </c>
      <c r="CY141" s="49"/>
      <c r="DA141" t="str">
        <f>('Inteligencia emocional'!A142)</f>
        <v>0</v>
      </c>
      <c r="DB141" s="39" t="str">
        <f>'Por Valoracion (3) Dimension 2'!D141</f>
        <v>0</v>
      </c>
      <c r="DC141" s="39" t="str">
        <f>'Por Valoracion (3) Dimension'!H141</f>
        <v>0</v>
      </c>
      <c r="DX141" s="49"/>
      <c r="DZ141" t="str">
        <f>('Inteligencia emocional'!A142)</f>
        <v>0</v>
      </c>
      <c r="EA141" s="39" t="str">
        <f>'Por Valoracion (3) Dimension 2'!F141</f>
        <v>0</v>
      </c>
      <c r="EB141" s="39" t="str">
        <f>'Por Valoracion (3) Dimension'!H141</f>
        <v>0</v>
      </c>
      <c r="EW141" s="49"/>
      <c r="EY141" t="str">
        <f>('Inteligencia emocional'!A142)</f>
        <v>0</v>
      </c>
      <c r="EZ141" s="39" t="str">
        <f>'Por Valoracion (3) Dimension 2'!H141</f>
        <v>0</v>
      </c>
      <c r="FA141" s="39" t="str">
        <f>'Por Valoracion (3) Dimension'!H141</f>
        <v>0</v>
      </c>
      <c r="FV141" s="49"/>
    </row>
    <row r="142" spans="1:178">
      <c r="A142" s="48"/>
      <c r="C142" t="str">
        <f>('Inteligencia emocional'!A143)</f>
        <v>0</v>
      </c>
      <c r="D142" s="39" t="str">
        <f>'Por Valoracion (3) Dimension'!B142</f>
        <v>0</v>
      </c>
      <c r="E142" s="39" t="str">
        <f>'Por Valoracion (3) Dimension 2'!J142</f>
        <v>0</v>
      </c>
      <c r="Z142" s="48"/>
      <c r="AB142" t="str">
        <f>('Inteligencia emocional'!A143)</f>
        <v>0</v>
      </c>
      <c r="AC142" s="39" t="str">
        <f>'Por Valoracion (3) Dimension'!D142</f>
        <v>0</v>
      </c>
      <c r="AD142" s="39" t="str">
        <f>'Por Valoracion (3) Dimension 2'!J142</f>
        <v>0</v>
      </c>
      <c r="AY142" s="48"/>
      <c r="BA142" t="str">
        <f>('Inteligencia emocional'!A143)</f>
        <v>0</v>
      </c>
      <c r="BB142" s="39" t="str">
        <f>'Por Valoracion (3) Dimension'!F142</f>
        <v>0</v>
      </c>
      <c r="BC142" s="39" t="str">
        <f>'Por Valoracion (3) Dimension 2'!J142</f>
        <v>0</v>
      </c>
      <c r="BX142" s="48"/>
      <c r="BZ142" s="49"/>
      <c r="CB142" t="str">
        <f>('Inteligencia emocional'!A143)</f>
        <v>0</v>
      </c>
      <c r="CC142" s="39" t="str">
        <f>'Por Valoracion (3) Dimension 2'!B142</f>
        <v>0</v>
      </c>
      <c r="CD142" s="39" t="str">
        <f>'Por Valoracion (3) Dimension'!H142</f>
        <v>0</v>
      </c>
      <c r="CY142" s="49"/>
      <c r="DA142" t="str">
        <f>('Inteligencia emocional'!A143)</f>
        <v>0</v>
      </c>
      <c r="DB142" s="39" t="str">
        <f>'Por Valoracion (3) Dimension 2'!D142</f>
        <v>0</v>
      </c>
      <c r="DC142" s="39" t="str">
        <f>'Por Valoracion (3) Dimension'!H142</f>
        <v>0</v>
      </c>
      <c r="DX142" s="49"/>
      <c r="DZ142" t="str">
        <f>('Inteligencia emocional'!A143)</f>
        <v>0</v>
      </c>
      <c r="EA142" s="39" t="str">
        <f>'Por Valoracion (3) Dimension 2'!F142</f>
        <v>0</v>
      </c>
      <c r="EB142" s="39" t="str">
        <f>'Por Valoracion (3) Dimension'!H142</f>
        <v>0</v>
      </c>
      <c r="EW142" s="49"/>
      <c r="EY142" t="str">
        <f>('Inteligencia emocional'!A143)</f>
        <v>0</v>
      </c>
      <c r="EZ142" s="39" t="str">
        <f>'Por Valoracion (3) Dimension 2'!H142</f>
        <v>0</v>
      </c>
      <c r="FA142" s="39" t="str">
        <f>'Por Valoracion (3) Dimension'!H142</f>
        <v>0</v>
      </c>
      <c r="FV142" s="49"/>
    </row>
    <row r="143" spans="1:178">
      <c r="A143" s="48"/>
      <c r="C143" t="str">
        <f>('Inteligencia emocional'!A144)</f>
        <v>0</v>
      </c>
      <c r="D143" s="39" t="str">
        <f>'Por Valoracion (3) Dimension'!B143</f>
        <v>0</v>
      </c>
      <c r="E143" s="39" t="str">
        <f>'Por Valoracion (3) Dimension 2'!J143</f>
        <v>0</v>
      </c>
      <c r="Z143" s="48"/>
      <c r="AB143" t="str">
        <f>('Inteligencia emocional'!A144)</f>
        <v>0</v>
      </c>
      <c r="AC143" s="39" t="str">
        <f>'Por Valoracion (3) Dimension'!D143</f>
        <v>0</v>
      </c>
      <c r="AD143" s="39" t="str">
        <f>'Por Valoracion (3) Dimension 2'!J143</f>
        <v>0</v>
      </c>
      <c r="AY143" s="48"/>
      <c r="BA143" t="str">
        <f>('Inteligencia emocional'!A144)</f>
        <v>0</v>
      </c>
      <c r="BB143" s="39" t="str">
        <f>'Por Valoracion (3) Dimension'!F143</f>
        <v>0</v>
      </c>
      <c r="BC143" s="39" t="str">
        <f>'Por Valoracion (3) Dimension 2'!J143</f>
        <v>0</v>
      </c>
      <c r="BX143" s="48"/>
      <c r="BZ143" s="49"/>
      <c r="CB143" t="str">
        <f>('Inteligencia emocional'!A144)</f>
        <v>0</v>
      </c>
      <c r="CC143" s="39" t="str">
        <f>'Por Valoracion (3) Dimension 2'!B143</f>
        <v>0</v>
      </c>
      <c r="CD143" s="39" t="str">
        <f>'Por Valoracion (3) Dimension'!H143</f>
        <v>0</v>
      </c>
      <c r="CY143" s="49"/>
      <c r="DA143" t="str">
        <f>('Inteligencia emocional'!A144)</f>
        <v>0</v>
      </c>
      <c r="DB143" s="39" t="str">
        <f>'Por Valoracion (3) Dimension 2'!D143</f>
        <v>0</v>
      </c>
      <c r="DC143" s="39" t="str">
        <f>'Por Valoracion (3) Dimension'!H143</f>
        <v>0</v>
      </c>
      <c r="DX143" s="49"/>
      <c r="DZ143" t="str">
        <f>('Inteligencia emocional'!A144)</f>
        <v>0</v>
      </c>
      <c r="EA143" s="39" t="str">
        <f>'Por Valoracion (3) Dimension 2'!F143</f>
        <v>0</v>
      </c>
      <c r="EB143" s="39" t="str">
        <f>'Por Valoracion (3) Dimension'!H143</f>
        <v>0</v>
      </c>
      <c r="EW143" s="49"/>
      <c r="EY143" t="str">
        <f>('Inteligencia emocional'!A144)</f>
        <v>0</v>
      </c>
      <c r="EZ143" s="39" t="str">
        <f>'Por Valoracion (3) Dimension 2'!H143</f>
        <v>0</v>
      </c>
      <c r="FA143" s="39" t="str">
        <f>'Por Valoracion (3) Dimension'!H143</f>
        <v>0</v>
      </c>
      <c r="FV143" s="49"/>
    </row>
    <row r="144" spans="1:178">
      <c r="A144" s="48"/>
      <c r="C144" t="str">
        <f>('Inteligencia emocional'!A145)</f>
        <v>0</v>
      </c>
      <c r="D144" s="39" t="str">
        <f>'Por Valoracion (3) Dimension'!B144</f>
        <v>0</v>
      </c>
      <c r="E144" s="39" t="str">
        <f>'Por Valoracion (3) Dimension 2'!J144</f>
        <v>0</v>
      </c>
      <c r="Z144" s="48"/>
      <c r="AB144" t="str">
        <f>('Inteligencia emocional'!A145)</f>
        <v>0</v>
      </c>
      <c r="AC144" s="39" t="str">
        <f>'Por Valoracion (3) Dimension'!D144</f>
        <v>0</v>
      </c>
      <c r="AD144" s="39" t="str">
        <f>'Por Valoracion (3) Dimension 2'!J144</f>
        <v>0</v>
      </c>
      <c r="AY144" s="48"/>
      <c r="BA144" t="str">
        <f>('Inteligencia emocional'!A145)</f>
        <v>0</v>
      </c>
      <c r="BB144" s="39" t="str">
        <f>'Por Valoracion (3) Dimension'!F144</f>
        <v>0</v>
      </c>
      <c r="BC144" s="39" t="str">
        <f>'Por Valoracion (3) Dimension 2'!J144</f>
        <v>0</v>
      </c>
      <c r="BX144" s="48"/>
      <c r="BZ144" s="49"/>
      <c r="CB144" t="str">
        <f>('Inteligencia emocional'!A145)</f>
        <v>0</v>
      </c>
      <c r="CC144" s="39" t="str">
        <f>'Por Valoracion (3) Dimension 2'!B144</f>
        <v>0</v>
      </c>
      <c r="CD144" s="39" t="str">
        <f>'Por Valoracion (3) Dimension'!H144</f>
        <v>0</v>
      </c>
      <c r="CY144" s="49"/>
      <c r="DA144" t="str">
        <f>('Inteligencia emocional'!A145)</f>
        <v>0</v>
      </c>
      <c r="DB144" s="39" t="str">
        <f>'Por Valoracion (3) Dimension 2'!D144</f>
        <v>0</v>
      </c>
      <c r="DC144" s="39" t="str">
        <f>'Por Valoracion (3) Dimension'!H144</f>
        <v>0</v>
      </c>
      <c r="DX144" s="49"/>
      <c r="DZ144" t="str">
        <f>('Inteligencia emocional'!A145)</f>
        <v>0</v>
      </c>
      <c r="EA144" s="39" t="str">
        <f>'Por Valoracion (3) Dimension 2'!F144</f>
        <v>0</v>
      </c>
      <c r="EB144" s="39" t="str">
        <f>'Por Valoracion (3) Dimension'!H144</f>
        <v>0</v>
      </c>
      <c r="EW144" s="49"/>
      <c r="EY144" t="str">
        <f>('Inteligencia emocional'!A145)</f>
        <v>0</v>
      </c>
      <c r="EZ144" s="39" t="str">
        <f>'Por Valoracion (3) Dimension 2'!H144</f>
        <v>0</v>
      </c>
      <c r="FA144" s="39" t="str">
        <f>'Por Valoracion (3) Dimension'!H144</f>
        <v>0</v>
      </c>
      <c r="FV144" s="49"/>
    </row>
    <row r="145" spans="1:178">
      <c r="A145" s="48"/>
      <c r="C145" t="str">
        <f>('Inteligencia emocional'!A146)</f>
        <v>0</v>
      </c>
      <c r="D145" s="39" t="str">
        <f>'Por Valoracion (3) Dimension'!B145</f>
        <v>0</v>
      </c>
      <c r="E145" s="39" t="str">
        <f>'Por Valoracion (3) Dimension 2'!J145</f>
        <v>0</v>
      </c>
      <c r="Z145" s="48"/>
      <c r="AB145" t="str">
        <f>('Inteligencia emocional'!A146)</f>
        <v>0</v>
      </c>
      <c r="AC145" s="39" t="str">
        <f>'Por Valoracion (3) Dimension'!D145</f>
        <v>0</v>
      </c>
      <c r="AD145" s="39" t="str">
        <f>'Por Valoracion (3) Dimension 2'!J145</f>
        <v>0</v>
      </c>
      <c r="AY145" s="48"/>
      <c r="BA145" t="str">
        <f>('Inteligencia emocional'!A146)</f>
        <v>0</v>
      </c>
      <c r="BB145" s="39" t="str">
        <f>'Por Valoracion (3) Dimension'!F145</f>
        <v>0</v>
      </c>
      <c r="BC145" s="39" t="str">
        <f>'Por Valoracion (3) Dimension 2'!J145</f>
        <v>0</v>
      </c>
      <c r="BX145" s="48"/>
      <c r="BZ145" s="49"/>
      <c r="CB145" t="str">
        <f>('Inteligencia emocional'!A146)</f>
        <v>0</v>
      </c>
      <c r="CC145" s="39" t="str">
        <f>'Por Valoracion (3) Dimension 2'!B145</f>
        <v>0</v>
      </c>
      <c r="CD145" s="39" t="str">
        <f>'Por Valoracion (3) Dimension'!H145</f>
        <v>0</v>
      </c>
      <c r="CY145" s="49"/>
      <c r="DA145" t="str">
        <f>('Inteligencia emocional'!A146)</f>
        <v>0</v>
      </c>
      <c r="DB145" s="39" t="str">
        <f>'Por Valoracion (3) Dimension 2'!D145</f>
        <v>0</v>
      </c>
      <c r="DC145" s="39" t="str">
        <f>'Por Valoracion (3) Dimension'!H145</f>
        <v>0</v>
      </c>
      <c r="DX145" s="49"/>
      <c r="DZ145" t="str">
        <f>('Inteligencia emocional'!A146)</f>
        <v>0</v>
      </c>
      <c r="EA145" s="39" t="str">
        <f>'Por Valoracion (3) Dimension 2'!F145</f>
        <v>0</v>
      </c>
      <c r="EB145" s="39" t="str">
        <f>'Por Valoracion (3) Dimension'!H145</f>
        <v>0</v>
      </c>
      <c r="EW145" s="49"/>
      <c r="EY145" t="str">
        <f>('Inteligencia emocional'!A146)</f>
        <v>0</v>
      </c>
      <c r="EZ145" s="39" t="str">
        <f>'Por Valoracion (3) Dimension 2'!H145</f>
        <v>0</v>
      </c>
      <c r="FA145" s="39" t="str">
        <f>'Por Valoracion (3) Dimension'!H145</f>
        <v>0</v>
      </c>
      <c r="FV145" s="49"/>
    </row>
    <row r="146" spans="1:178">
      <c r="A146" s="48"/>
      <c r="C146" t="str">
        <f>('Inteligencia emocional'!A147)</f>
        <v>0</v>
      </c>
      <c r="D146" s="39" t="str">
        <f>'Por Valoracion (3) Dimension'!B146</f>
        <v>0</v>
      </c>
      <c r="E146" s="39" t="str">
        <f>'Por Valoracion (3) Dimension 2'!J146</f>
        <v>0</v>
      </c>
      <c r="Z146" s="48"/>
      <c r="AB146" t="str">
        <f>('Inteligencia emocional'!A147)</f>
        <v>0</v>
      </c>
      <c r="AC146" s="39" t="str">
        <f>'Por Valoracion (3) Dimension'!D146</f>
        <v>0</v>
      </c>
      <c r="AD146" s="39" t="str">
        <f>'Por Valoracion (3) Dimension 2'!J146</f>
        <v>0</v>
      </c>
      <c r="AY146" s="48"/>
      <c r="BA146" t="str">
        <f>('Inteligencia emocional'!A147)</f>
        <v>0</v>
      </c>
      <c r="BB146" s="39" t="str">
        <f>'Por Valoracion (3) Dimension'!F146</f>
        <v>0</v>
      </c>
      <c r="BC146" s="39" t="str">
        <f>'Por Valoracion (3) Dimension 2'!J146</f>
        <v>0</v>
      </c>
      <c r="BX146" s="48"/>
      <c r="BZ146" s="49"/>
      <c r="CB146" t="str">
        <f>('Inteligencia emocional'!A147)</f>
        <v>0</v>
      </c>
      <c r="CC146" s="39" t="str">
        <f>'Por Valoracion (3) Dimension 2'!B146</f>
        <v>0</v>
      </c>
      <c r="CD146" s="39" t="str">
        <f>'Por Valoracion (3) Dimension'!H146</f>
        <v>0</v>
      </c>
      <c r="CY146" s="49"/>
      <c r="DA146" t="str">
        <f>('Inteligencia emocional'!A147)</f>
        <v>0</v>
      </c>
      <c r="DB146" s="39" t="str">
        <f>'Por Valoracion (3) Dimension 2'!D146</f>
        <v>0</v>
      </c>
      <c r="DC146" s="39" t="str">
        <f>'Por Valoracion (3) Dimension'!H146</f>
        <v>0</v>
      </c>
      <c r="DX146" s="49"/>
      <c r="DZ146" t="str">
        <f>('Inteligencia emocional'!A147)</f>
        <v>0</v>
      </c>
      <c r="EA146" s="39" t="str">
        <f>'Por Valoracion (3) Dimension 2'!F146</f>
        <v>0</v>
      </c>
      <c r="EB146" s="39" t="str">
        <f>'Por Valoracion (3) Dimension'!H146</f>
        <v>0</v>
      </c>
      <c r="EW146" s="49"/>
      <c r="EY146" t="str">
        <f>('Inteligencia emocional'!A147)</f>
        <v>0</v>
      </c>
      <c r="EZ146" s="39" t="str">
        <f>'Por Valoracion (3) Dimension 2'!H146</f>
        <v>0</v>
      </c>
      <c r="FA146" s="39" t="str">
        <f>'Por Valoracion (3) Dimension'!H146</f>
        <v>0</v>
      </c>
      <c r="FV146" s="49"/>
    </row>
    <row r="147" spans="1:178">
      <c r="A147" s="48"/>
      <c r="C147" t="str">
        <f>('Inteligencia emocional'!A148)</f>
        <v>0</v>
      </c>
      <c r="D147" s="39" t="str">
        <f>'Por Valoracion (3) Dimension'!B147</f>
        <v>0</v>
      </c>
      <c r="E147" s="39" t="str">
        <f>'Por Valoracion (3) Dimension 2'!J147</f>
        <v>0</v>
      </c>
      <c r="Z147" s="48"/>
      <c r="AB147" t="str">
        <f>('Inteligencia emocional'!A148)</f>
        <v>0</v>
      </c>
      <c r="AC147" s="39" t="str">
        <f>'Por Valoracion (3) Dimension'!D147</f>
        <v>0</v>
      </c>
      <c r="AD147" s="39" t="str">
        <f>'Por Valoracion (3) Dimension 2'!J147</f>
        <v>0</v>
      </c>
      <c r="AY147" s="48"/>
      <c r="BA147" t="str">
        <f>('Inteligencia emocional'!A148)</f>
        <v>0</v>
      </c>
      <c r="BB147" s="39" t="str">
        <f>'Por Valoracion (3) Dimension'!F147</f>
        <v>0</v>
      </c>
      <c r="BC147" s="39" t="str">
        <f>'Por Valoracion (3) Dimension 2'!J147</f>
        <v>0</v>
      </c>
      <c r="BX147" s="48"/>
      <c r="BZ147" s="49"/>
      <c r="CB147" t="str">
        <f>('Inteligencia emocional'!A148)</f>
        <v>0</v>
      </c>
      <c r="CC147" s="39" t="str">
        <f>'Por Valoracion (3) Dimension 2'!B147</f>
        <v>0</v>
      </c>
      <c r="CD147" s="39" t="str">
        <f>'Por Valoracion (3) Dimension'!H147</f>
        <v>0</v>
      </c>
      <c r="CY147" s="49"/>
      <c r="DA147" t="str">
        <f>('Inteligencia emocional'!A148)</f>
        <v>0</v>
      </c>
      <c r="DB147" s="39" t="str">
        <f>'Por Valoracion (3) Dimension 2'!D147</f>
        <v>0</v>
      </c>
      <c r="DC147" s="39" t="str">
        <f>'Por Valoracion (3) Dimension'!H147</f>
        <v>0</v>
      </c>
      <c r="DX147" s="49"/>
      <c r="DZ147" t="str">
        <f>('Inteligencia emocional'!A148)</f>
        <v>0</v>
      </c>
      <c r="EA147" s="39" t="str">
        <f>'Por Valoracion (3) Dimension 2'!F147</f>
        <v>0</v>
      </c>
      <c r="EB147" s="39" t="str">
        <f>'Por Valoracion (3) Dimension'!H147</f>
        <v>0</v>
      </c>
      <c r="EW147" s="49"/>
      <c r="EY147" t="str">
        <f>('Inteligencia emocional'!A148)</f>
        <v>0</v>
      </c>
      <c r="EZ147" s="39" t="str">
        <f>'Por Valoracion (3) Dimension 2'!H147</f>
        <v>0</v>
      </c>
      <c r="FA147" s="39" t="str">
        <f>'Por Valoracion (3) Dimension'!H147</f>
        <v>0</v>
      </c>
      <c r="FV147" s="49"/>
    </row>
    <row r="148" spans="1:178">
      <c r="A148" s="48"/>
      <c r="C148" t="str">
        <f>('Inteligencia emocional'!A149)</f>
        <v>0</v>
      </c>
      <c r="D148" s="39" t="str">
        <f>'Por Valoracion (3) Dimension'!B148</f>
        <v>0</v>
      </c>
      <c r="E148" s="39" t="str">
        <f>'Por Valoracion (3) Dimension 2'!J148</f>
        <v>0</v>
      </c>
      <c r="Z148" s="48"/>
      <c r="AB148" t="str">
        <f>('Inteligencia emocional'!A149)</f>
        <v>0</v>
      </c>
      <c r="AC148" s="39" t="str">
        <f>'Por Valoracion (3) Dimension'!D148</f>
        <v>0</v>
      </c>
      <c r="AD148" s="39" t="str">
        <f>'Por Valoracion (3) Dimension 2'!J148</f>
        <v>0</v>
      </c>
      <c r="AY148" s="48"/>
      <c r="BA148" t="str">
        <f>('Inteligencia emocional'!A149)</f>
        <v>0</v>
      </c>
      <c r="BB148" s="39" t="str">
        <f>'Por Valoracion (3) Dimension'!F148</f>
        <v>0</v>
      </c>
      <c r="BC148" s="39" t="str">
        <f>'Por Valoracion (3) Dimension 2'!J148</f>
        <v>0</v>
      </c>
      <c r="BX148" s="48"/>
      <c r="BZ148" s="49"/>
      <c r="CB148" t="str">
        <f>('Inteligencia emocional'!A149)</f>
        <v>0</v>
      </c>
      <c r="CC148" s="39" t="str">
        <f>'Por Valoracion (3) Dimension 2'!B148</f>
        <v>0</v>
      </c>
      <c r="CD148" s="39" t="str">
        <f>'Por Valoracion (3) Dimension'!H148</f>
        <v>0</v>
      </c>
      <c r="CY148" s="49"/>
      <c r="DA148" t="str">
        <f>('Inteligencia emocional'!A149)</f>
        <v>0</v>
      </c>
      <c r="DB148" s="39" t="str">
        <f>'Por Valoracion (3) Dimension 2'!D148</f>
        <v>0</v>
      </c>
      <c r="DC148" s="39" t="str">
        <f>'Por Valoracion (3) Dimension'!H148</f>
        <v>0</v>
      </c>
      <c r="DX148" s="49"/>
      <c r="DZ148" t="str">
        <f>('Inteligencia emocional'!A149)</f>
        <v>0</v>
      </c>
      <c r="EA148" s="39" t="str">
        <f>'Por Valoracion (3) Dimension 2'!F148</f>
        <v>0</v>
      </c>
      <c r="EB148" s="39" t="str">
        <f>'Por Valoracion (3) Dimension'!H148</f>
        <v>0</v>
      </c>
      <c r="EW148" s="49"/>
      <c r="EY148" t="str">
        <f>('Inteligencia emocional'!A149)</f>
        <v>0</v>
      </c>
      <c r="EZ148" s="39" t="str">
        <f>'Por Valoracion (3) Dimension 2'!H148</f>
        <v>0</v>
      </c>
      <c r="FA148" s="39" t="str">
        <f>'Por Valoracion (3) Dimension'!H148</f>
        <v>0</v>
      </c>
      <c r="FV148" s="49"/>
    </row>
    <row r="149" spans="1:178">
      <c r="A149" s="48"/>
      <c r="C149" t="str">
        <f>('Inteligencia emocional'!A150)</f>
        <v>0</v>
      </c>
      <c r="D149" s="39" t="str">
        <f>'Por Valoracion (3) Dimension'!B149</f>
        <v>0</v>
      </c>
      <c r="E149" s="39" t="str">
        <f>'Por Valoracion (3) Dimension 2'!J149</f>
        <v>0</v>
      </c>
      <c r="Z149" s="48"/>
      <c r="AB149" t="str">
        <f>('Inteligencia emocional'!A150)</f>
        <v>0</v>
      </c>
      <c r="AC149" s="39" t="str">
        <f>'Por Valoracion (3) Dimension'!D149</f>
        <v>0</v>
      </c>
      <c r="AD149" s="39" t="str">
        <f>'Por Valoracion (3) Dimension 2'!J149</f>
        <v>0</v>
      </c>
      <c r="AY149" s="48"/>
      <c r="BA149" t="str">
        <f>('Inteligencia emocional'!A150)</f>
        <v>0</v>
      </c>
      <c r="BB149" s="39" t="str">
        <f>'Por Valoracion (3) Dimension'!F149</f>
        <v>0</v>
      </c>
      <c r="BC149" s="39" t="str">
        <f>'Por Valoracion (3) Dimension 2'!J149</f>
        <v>0</v>
      </c>
      <c r="BX149" s="48"/>
      <c r="BZ149" s="49"/>
      <c r="CB149" t="str">
        <f>('Inteligencia emocional'!A150)</f>
        <v>0</v>
      </c>
      <c r="CC149" s="39" t="str">
        <f>'Por Valoracion (3) Dimension 2'!B149</f>
        <v>0</v>
      </c>
      <c r="CD149" s="39" t="str">
        <f>'Por Valoracion (3) Dimension'!H149</f>
        <v>0</v>
      </c>
      <c r="CY149" s="49"/>
      <c r="DA149" t="str">
        <f>('Inteligencia emocional'!A150)</f>
        <v>0</v>
      </c>
      <c r="DB149" s="39" t="str">
        <f>'Por Valoracion (3) Dimension 2'!D149</f>
        <v>0</v>
      </c>
      <c r="DC149" s="39" t="str">
        <f>'Por Valoracion (3) Dimension'!H149</f>
        <v>0</v>
      </c>
      <c r="DX149" s="49"/>
      <c r="DZ149" t="str">
        <f>('Inteligencia emocional'!A150)</f>
        <v>0</v>
      </c>
      <c r="EA149" s="39" t="str">
        <f>'Por Valoracion (3) Dimension 2'!F149</f>
        <v>0</v>
      </c>
      <c r="EB149" s="39" t="str">
        <f>'Por Valoracion (3) Dimension'!H149</f>
        <v>0</v>
      </c>
      <c r="EW149" s="49"/>
      <c r="EY149" t="str">
        <f>('Inteligencia emocional'!A150)</f>
        <v>0</v>
      </c>
      <c r="EZ149" s="39" t="str">
        <f>'Por Valoracion (3) Dimension 2'!H149</f>
        <v>0</v>
      </c>
      <c r="FA149" s="39" t="str">
        <f>'Por Valoracion (3) Dimension'!H149</f>
        <v>0</v>
      </c>
      <c r="FV149" s="49"/>
    </row>
    <row r="150" spans="1:178">
      <c r="A150" s="48"/>
      <c r="C150" t="str">
        <f>('Inteligencia emocional'!A151)</f>
        <v>0</v>
      </c>
      <c r="D150" s="39" t="str">
        <f>'Por Valoracion (3) Dimension'!B150</f>
        <v>0</v>
      </c>
      <c r="E150" s="39" t="str">
        <f>'Por Valoracion (3) Dimension 2'!J150</f>
        <v>0</v>
      </c>
      <c r="Z150" s="48"/>
      <c r="AB150" t="str">
        <f>('Inteligencia emocional'!A151)</f>
        <v>0</v>
      </c>
      <c r="AC150" s="39" t="str">
        <f>'Por Valoracion (3) Dimension'!D150</f>
        <v>0</v>
      </c>
      <c r="AD150" s="39" t="str">
        <f>'Por Valoracion (3) Dimension 2'!J150</f>
        <v>0</v>
      </c>
      <c r="AY150" s="48"/>
      <c r="BA150" t="str">
        <f>('Inteligencia emocional'!A151)</f>
        <v>0</v>
      </c>
      <c r="BB150" s="39" t="str">
        <f>'Por Valoracion (3) Dimension'!F150</f>
        <v>0</v>
      </c>
      <c r="BC150" s="39" t="str">
        <f>'Por Valoracion (3) Dimension 2'!J150</f>
        <v>0</v>
      </c>
      <c r="BX150" s="48"/>
      <c r="BZ150" s="49"/>
      <c r="CB150" t="str">
        <f>('Inteligencia emocional'!A151)</f>
        <v>0</v>
      </c>
      <c r="CC150" s="39" t="str">
        <f>'Por Valoracion (3) Dimension 2'!B150</f>
        <v>0</v>
      </c>
      <c r="CD150" s="39" t="str">
        <f>'Por Valoracion (3) Dimension'!H150</f>
        <v>0</v>
      </c>
      <c r="CY150" s="49"/>
      <c r="DA150" t="str">
        <f>('Inteligencia emocional'!A151)</f>
        <v>0</v>
      </c>
      <c r="DB150" s="39" t="str">
        <f>'Por Valoracion (3) Dimension 2'!D150</f>
        <v>0</v>
      </c>
      <c r="DC150" s="39" t="str">
        <f>'Por Valoracion (3) Dimension'!H150</f>
        <v>0</v>
      </c>
      <c r="DX150" s="49"/>
      <c r="DZ150" t="str">
        <f>('Inteligencia emocional'!A151)</f>
        <v>0</v>
      </c>
      <c r="EA150" s="39" t="str">
        <f>'Por Valoracion (3) Dimension 2'!F150</f>
        <v>0</v>
      </c>
      <c r="EB150" s="39" t="str">
        <f>'Por Valoracion (3) Dimension'!H150</f>
        <v>0</v>
      </c>
      <c r="EW150" s="49"/>
      <c r="EY150" t="str">
        <f>('Inteligencia emocional'!A151)</f>
        <v>0</v>
      </c>
      <c r="EZ150" s="39" t="str">
        <f>'Por Valoracion (3) Dimension 2'!H150</f>
        <v>0</v>
      </c>
      <c r="FA150" s="39" t="str">
        <f>'Por Valoracion (3) Dimension'!H150</f>
        <v>0</v>
      </c>
      <c r="FV150" s="49"/>
    </row>
    <row r="151" spans="1:178">
      <c r="A151" s="48"/>
      <c r="C151" t="str">
        <f>('Inteligencia emocional'!A152)</f>
        <v>0</v>
      </c>
      <c r="D151" s="39" t="str">
        <f>'Por Valoracion (3) Dimension'!B151</f>
        <v>0</v>
      </c>
      <c r="E151" s="39" t="str">
        <f>'Por Valoracion (3) Dimension 2'!J151</f>
        <v>0</v>
      </c>
      <c r="Z151" s="48"/>
      <c r="AB151" t="str">
        <f>('Inteligencia emocional'!A152)</f>
        <v>0</v>
      </c>
      <c r="AC151" s="39" t="str">
        <f>'Por Valoracion (3) Dimension'!D151</f>
        <v>0</v>
      </c>
      <c r="AD151" s="39" t="str">
        <f>'Por Valoracion (3) Dimension 2'!J151</f>
        <v>0</v>
      </c>
      <c r="AY151" s="48"/>
      <c r="BA151" t="str">
        <f>('Inteligencia emocional'!A152)</f>
        <v>0</v>
      </c>
      <c r="BB151" s="39" t="str">
        <f>'Por Valoracion (3) Dimension'!F151</f>
        <v>0</v>
      </c>
      <c r="BC151" s="39" t="str">
        <f>'Por Valoracion (3) Dimension 2'!J151</f>
        <v>0</v>
      </c>
      <c r="BX151" s="48"/>
      <c r="BZ151" s="49"/>
      <c r="CB151" t="str">
        <f>('Inteligencia emocional'!A152)</f>
        <v>0</v>
      </c>
      <c r="CC151" s="39" t="str">
        <f>'Por Valoracion (3) Dimension 2'!B151</f>
        <v>0</v>
      </c>
      <c r="CD151" s="39" t="str">
        <f>'Por Valoracion (3) Dimension'!H151</f>
        <v>0</v>
      </c>
      <c r="CY151" s="49"/>
      <c r="DA151" t="str">
        <f>('Inteligencia emocional'!A152)</f>
        <v>0</v>
      </c>
      <c r="DB151" s="39" t="str">
        <f>'Por Valoracion (3) Dimension 2'!D151</f>
        <v>0</v>
      </c>
      <c r="DC151" s="39" t="str">
        <f>'Por Valoracion (3) Dimension'!H151</f>
        <v>0</v>
      </c>
      <c r="DX151" s="49"/>
      <c r="DZ151" t="str">
        <f>('Inteligencia emocional'!A152)</f>
        <v>0</v>
      </c>
      <c r="EA151" s="39" t="str">
        <f>'Por Valoracion (3) Dimension 2'!F151</f>
        <v>0</v>
      </c>
      <c r="EB151" s="39" t="str">
        <f>'Por Valoracion (3) Dimension'!H151</f>
        <v>0</v>
      </c>
      <c r="EW151" s="49"/>
      <c r="EY151" t="str">
        <f>('Inteligencia emocional'!A152)</f>
        <v>0</v>
      </c>
      <c r="EZ151" s="39" t="str">
        <f>'Por Valoracion (3) Dimension 2'!H151</f>
        <v>0</v>
      </c>
      <c r="FA151" s="39" t="str">
        <f>'Por Valoracion (3) Dimension'!H151</f>
        <v>0</v>
      </c>
      <c r="FV151" s="49"/>
    </row>
    <row r="152" spans="1:178">
      <c r="A152" s="48"/>
      <c r="C152" t="str">
        <f>('Inteligencia emocional'!A153)</f>
        <v>0</v>
      </c>
      <c r="D152" s="39" t="str">
        <f>'Por Valoracion (3) Dimension'!B152</f>
        <v>0</v>
      </c>
      <c r="E152" s="39" t="str">
        <f>'Por Valoracion (3) Dimension 2'!J152</f>
        <v>0</v>
      </c>
      <c r="Z152" s="48"/>
      <c r="AB152" t="str">
        <f>('Inteligencia emocional'!A153)</f>
        <v>0</v>
      </c>
      <c r="AC152" s="39" t="str">
        <f>'Por Valoracion (3) Dimension'!D152</f>
        <v>0</v>
      </c>
      <c r="AD152" s="39" t="str">
        <f>'Por Valoracion (3) Dimension 2'!J152</f>
        <v>0</v>
      </c>
      <c r="AY152" s="48"/>
      <c r="BA152" t="str">
        <f>('Inteligencia emocional'!A153)</f>
        <v>0</v>
      </c>
      <c r="BB152" s="39" t="str">
        <f>'Por Valoracion (3) Dimension'!F152</f>
        <v>0</v>
      </c>
      <c r="BC152" s="39" t="str">
        <f>'Por Valoracion (3) Dimension 2'!J152</f>
        <v>0</v>
      </c>
      <c r="BX152" s="48"/>
      <c r="BZ152" s="49"/>
      <c r="CB152" t="str">
        <f>('Inteligencia emocional'!A153)</f>
        <v>0</v>
      </c>
      <c r="CC152" s="39" t="str">
        <f>'Por Valoracion (3) Dimension 2'!B152</f>
        <v>0</v>
      </c>
      <c r="CD152" s="39" t="str">
        <f>'Por Valoracion (3) Dimension'!H152</f>
        <v>0</v>
      </c>
      <c r="CY152" s="49"/>
      <c r="DA152" t="str">
        <f>('Inteligencia emocional'!A153)</f>
        <v>0</v>
      </c>
      <c r="DB152" s="39" t="str">
        <f>'Por Valoracion (3) Dimension 2'!D152</f>
        <v>0</v>
      </c>
      <c r="DC152" s="39" t="str">
        <f>'Por Valoracion (3) Dimension'!H152</f>
        <v>0</v>
      </c>
      <c r="DX152" s="49"/>
      <c r="DZ152" t="str">
        <f>('Inteligencia emocional'!A153)</f>
        <v>0</v>
      </c>
      <c r="EA152" s="39" t="str">
        <f>'Por Valoracion (3) Dimension 2'!F152</f>
        <v>0</v>
      </c>
      <c r="EB152" s="39" t="str">
        <f>'Por Valoracion (3) Dimension'!H152</f>
        <v>0</v>
      </c>
      <c r="EW152" s="49"/>
      <c r="EY152" t="str">
        <f>('Inteligencia emocional'!A153)</f>
        <v>0</v>
      </c>
      <c r="EZ152" s="39" t="str">
        <f>'Por Valoracion (3) Dimension 2'!H152</f>
        <v>0</v>
      </c>
      <c r="FA152" s="39" t="str">
        <f>'Por Valoracion (3) Dimension'!H152</f>
        <v>0</v>
      </c>
      <c r="FV152" s="49"/>
    </row>
    <row r="153" spans="1:178">
      <c r="A153" s="48"/>
      <c r="C153" t="str">
        <f>('Inteligencia emocional'!A154)</f>
        <v>0</v>
      </c>
      <c r="D153" s="39" t="str">
        <f>'Por Valoracion (3) Dimension'!B153</f>
        <v>0</v>
      </c>
      <c r="E153" s="39" t="str">
        <f>'Por Valoracion (3) Dimension 2'!J153</f>
        <v>0</v>
      </c>
      <c r="Z153" s="48"/>
      <c r="AB153" t="str">
        <f>('Inteligencia emocional'!A154)</f>
        <v>0</v>
      </c>
      <c r="AC153" s="39" t="str">
        <f>'Por Valoracion (3) Dimension'!D153</f>
        <v>0</v>
      </c>
      <c r="AD153" s="39" t="str">
        <f>'Por Valoracion (3) Dimension 2'!J153</f>
        <v>0</v>
      </c>
      <c r="AY153" s="48"/>
      <c r="BA153" t="str">
        <f>('Inteligencia emocional'!A154)</f>
        <v>0</v>
      </c>
      <c r="BB153" s="39" t="str">
        <f>'Por Valoracion (3) Dimension'!F153</f>
        <v>0</v>
      </c>
      <c r="BC153" s="39" t="str">
        <f>'Por Valoracion (3) Dimension 2'!J153</f>
        <v>0</v>
      </c>
      <c r="BX153" s="48"/>
      <c r="BZ153" s="49"/>
      <c r="CB153" t="str">
        <f>('Inteligencia emocional'!A154)</f>
        <v>0</v>
      </c>
      <c r="CC153" s="39" t="str">
        <f>'Por Valoracion (3) Dimension 2'!B153</f>
        <v>0</v>
      </c>
      <c r="CD153" s="39" t="str">
        <f>'Por Valoracion (3) Dimension'!H153</f>
        <v>0</v>
      </c>
      <c r="CY153" s="49"/>
      <c r="DA153" t="str">
        <f>('Inteligencia emocional'!A154)</f>
        <v>0</v>
      </c>
      <c r="DB153" s="39" t="str">
        <f>'Por Valoracion (3) Dimension 2'!D153</f>
        <v>0</v>
      </c>
      <c r="DC153" s="39" t="str">
        <f>'Por Valoracion (3) Dimension'!H153</f>
        <v>0</v>
      </c>
      <c r="DX153" s="49"/>
      <c r="DZ153" t="str">
        <f>('Inteligencia emocional'!A154)</f>
        <v>0</v>
      </c>
      <c r="EA153" s="39" t="str">
        <f>'Por Valoracion (3) Dimension 2'!F153</f>
        <v>0</v>
      </c>
      <c r="EB153" s="39" t="str">
        <f>'Por Valoracion (3) Dimension'!H153</f>
        <v>0</v>
      </c>
      <c r="EW153" s="49"/>
      <c r="EY153" t="str">
        <f>('Inteligencia emocional'!A154)</f>
        <v>0</v>
      </c>
      <c r="EZ153" s="39" t="str">
        <f>'Por Valoracion (3) Dimension 2'!H153</f>
        <v>0</v>
      </c>
      <c r="FA153" s="39" t="str">
        <f>'Por Valoracion (3) Dimension'!H153</f>
        <v>0</v>
      </c>
      <c r="FV153" s="49"/>
    </row>
    <row r="154" spans="1:178">
      <c r="A154" s="48"/>
      <c r="C154" t="str">
        <f>('Inteligencia emocional'!A155)</f>
        <v>0</v>
      </c>
      <c r="D154" s="39" t="str">
        <f>'Por Valoracion (3) Dimension'!B154</f>
        <v>0</v>
      </c>
      <c r="E154" s="39" t="str">
        <f>'Por Valoracion (3) Dimension 2'!J154</f>
        <v>0</v>
      </c>
      <c r="Z154" s="48"/>
      <c r="AB154" t="str">
        <f>('Inteligencia emocional'!A155)</f>
        <v>0</v>
      </c>
      <c r="AC154" s="39" t="str">
        <f>'Por Valoracion (3) Dimension'!D154</f>
        <v>0</v>
      </c>
      <c r="AD154" s="39" t="str">
        <f>'Por Valoracion (3) Dimension 2'!J154</f>
        <v>0</v>
      </c>
      <c r="AY154" s="48"/>
      <c r="BA154" t="str">
        <f>('Inteligencia emocional'!A155)</f>
        <v>0</v>
      </c>
      <c r="BB154" s="39" t="str">
        <f>'Por Valoracion (3) Dimension'!F154</f>
        <v>0</v>
      </c>
      <c r="BC154" s="39" t="str">
        <f>'Por Valoracion (3) Dimension 2'!J154</f>
        <v>0</v>
      </c>
      <c r="BX154" s="48"/>
      <c r="BZ154" s="49"/>
      <c r="CB154" t="str">
        <f>('Inteligencia emocional'!A155)</f>
        <v>0</v>
      </c>
      <c r="CC154" s="39" t="str">
        <f>'Por Valoracion (3) Dimension 2'!B154</f>
        <v>0</v>
      </c>
      <c r="CD154" s="39" t="str">
        <f>'Por Valoracion (3) Dimension'!H154</f>
        <v>0</v>
      </c>
      <c r="CY154" s="49"/>
      <c r="DA154" t="str">
        <f>('Inteligencia emocional'!A155)</f>
        <v>0</v>
      </c>
      <c r="DB154" s="39" t="str">
        <f>'Por Valoracion (3) Dimension 2'!D154</f>
        <v>0</v>
      </c>
      <c r="DC154" s="39" t="str">
        <f>'Por Valoracion (3) Dimension'!H154</f>
        <v>0</v>
      </c>
      <c r="DX154" s="49"/>
      <c r="DZ154" t="str">
        <f>('Inteligencia emocional'!A155)</f>
        <v>0</v>
      </c>
      <c r="EA154" s="39" t="str">
        <f>'Por Valoracion (3) Dimension 2'!F154</f>
        <v>0</v>
      </c>
      <c r="EB154" s="39" t="str">
        <f>'Por Valoracion (3) Dimension'!H154</f>
        <v>0</v>
      </c>
      <c r="EW154" s="49"/>
      <c r="EY154" t="str">
        <f>('Inteligencia emocional'!A155)</f>
        <v>0</v>
      </c>
      <c r="EZ154" s="39" t="str">
        <f>'Por Valoracion (3) Dimension 2'!H154</f>
        <v>0</v>
      </c>
      <c r="FA154" s="39" t="str">
        <f>'Por Valoracion (3) Dimension'!H154</f>
        <v>0</v>
      </c>
      <c r="FV154" s="49"/>
    </row>
    <row r="155" spans="1:178">
      <c r="A155" s="48"/>
      <c r="C155" t="str">
        <f>('Inteligencia emocional'!A156)</f>
        <v>0</v>
      </c>
      <c r="D155" s="39" t="str">
        <f>'Por Valoracion (3) Dimension'!B155</f>
        <v>0</v>
      </c>
      <c r="E155" s="39" t="str">
        <f>'Por Valoracion (3) Dimension 2'!J155</f>
        <v>0</v>
      </c>
      <c r="Z155" s="48"/>
      <c r="AB155" t="str">
        <f>('Inteligencia emocional'!A156)</f>
        <v>0</v>
      </c>
      <c r="AC155" s="39" t="str">
        <f>'Por Valoracion (3) Dimension'!D155</f>
        <v>0</v>
      </c>
      <c r="AD155" s="39" t="str">
        <f>'Por Valoracion (3) Dimension 2'!J155</f>
        <v>0</v>
      </c>
      <c r="AY155" s="48"/>
      <c r="BA155" t="str">
        <f>('Inteligencia emocional'!A156)</f>
        <v>0</v>
      </c>
      <c r="BB155" s="39" t="str">
        <f>'Por Valoracion (3) Dimension'!F155</f>
        <v>0</v>
      </c>
      <c r="BC155" s="39" t="str">
        <f>'Por Valoracion (3) Dimension 2'!J155</f>
        <v>0</v>
      </c>
      <c r="BX155" s="48"/>
      <c r="BZ155" s="49"/>
      <c r="CB155" t="str">
        <f>('Inteligencia emocional'!A156)</f>
        <v>0</v>
      </c>
      <c r="CC155" s="39" t="str">
        <f>'Por Valoracion (3) Dimension 2'!B155</f>
        <v>0</v>
      </c>
      <c r="CD155" s="39" t="str">
        <f>'Por Valoracion (3) Dimension'!H155</f>
        <v>0</v>
      </c>
      <c r="CY155" s="49"/>
      <c r="DA155" t="str">
        <f>('Inteligencia emocional'!A156)</f>
        <v>0</v>
      </c>
      <c r="DB155" s="39" t="str">
        <f>'Por Valoracion (3) Dimension 2'!D155</f>
        <v>0</v>
      </c>
      <c r="DC155" s="39" t="str">
        <f>'Por Valoracion (3) Dimension'!H155</f>
        <v>0</v>
      </c>
      <c r="DX155" s="49"/>
      <c r="DZ155" t="str">
        <f>('Inteligencia emocional'!A156)</f>
        <v>0</v>
      </c>
      <c r="EA155" s="39" t="str">
        <f>'Por Valoracion (3) Dimension 2'!F155</f>
        <v>0</v>
      </c>
      <c r="EB155" s="39" t="str">
        <f>'Por Valoracion (3) Dimension'!H155</f>
        <v>0</v>
      </c>
      <c r="EW155" s="49"/>
      <c r="EY155" t="str">
        <f>('Inteligencia emocional'!A156)</f>
        <v>0</v>
      </c>
      <c r="EZ155" s="39" t="str">
        <f>'Por Valoracion (3) Dimension 2'!H155</f>
        <v>0</v>
      </c>
      <c r="FA155" s="39" t="str">
        <f>'Por Valoracion (3) Dimension'!H155</f>
        <v>0</v>
      </c>
      <c r="FV155" s="49"/>
    </row>
    <row r="156" spans="1:178">
      <c r="A156" s="48"/>
      <c r="C156" t="str">
        <f>('Inteligencia emocional'!A157)</f>
        <v>0</v>
      </c>
      <c r="D156" s="39" t="str">
        <f>'Por Valoracion (3) Dimension'!B156</f>
        <v>0</v>
      </c>
      <c r="E156" s="39" t="str">
        <f>'Por Valoracion (3) Dimension 2'!J156</f>
        <v>0</v>
      </c>
      <c r="Z156" s="48"/>
      <c r="AB156" t="str">
        <f>('Inteligencia emocional'!A157)</f>
        <v>0</v>
      </c>
      <c r="AC156" s="39" t="str">
        <f>'Por Valoracion (3) Dimension'!D156</f>
        <v>0</v>
      </c>
      <c r="AD156" s="39" t="str">
        <f>'Por Valoracion (3) Dimension 2'!J156</f>
        <v>0</v>
      </c>
      <c r="AY156" s="48"/>
      <c r="BA156" t="str">
        <f>('Inteligencia emocional'!A157)</f>
        <v>0</v>
      </c>
      <c r="BB156" s="39" t="str">
        <f>'Por Valoracion (3) Dimension'!F156</f>
        <v>0</v>
      </c>
      <c r="BC156" s="39" t="str">
        <f>'Por Valoracion (3) Dimension 2'!J156</f>
        <v>0</v>
      </c>
      <c r="BX156" s="48"/>
      <c r="BZ156" s="49"/>
      <c r="CB156" t="str">
        <f>('Inteligencia emocional'!A157)</f>
        <v>0</v>
      </c>
      <c r="CC156" s="39" t="str">
        <f>'Por Valoracion (3) Dimension 2'!B156</f>
        <v>0</v>
      </c>
      <c r="CD156" s="39" t="str">
        <f>'Por Valoracion (3) Dimension'!H156</f>
        <v>0</v>
      </c>
      <c r="CY156" s="49"/>
      <c r="DA156" t="str">
        <f>('Inteligencia emocional'!A157)</f>
        <v>0</v>
      </c>
      <c r="DB156" s="39" t="str">
        <f>'Por Valoracion (3) Dimension 2'!D156</f>
        <v>0</v>
      </c>
      <c r="DC156" s="39" t="str">
        <f>'Por Valoracion (3) Dimension'!H156</f>
        <v>0</v>
      </c>
      <c r="DX156" s="49"/>
      <c r="DZ156" t="str">
        <f>('Inteligencia emocional'!A157)</f>
        <v>0</v>
      </c>
      <c r="EA156" s="39" t="str">
        <f>'Por Valoracion (3) Dimension 2'!F156</f>
        <v>0</v>
      </c>
      <c r="EB156" s="39" t="str">
        <f>'Por Valoracion (3) Dimension'!H156</f>
        <v>0</v>
      </c>
      <c r="EW156" s="49"/>
      <c r="EY156" t="str">
        <f>('Inteligencia emocional'!A157)</f>
        <v>0</v>
      </c>
      <c r="EZ156" s="39" t="str">
        <f>'Por Valoracion (3) Dimension 2'!H156</f>
        <v>0</v>
      </c>
      <c r="FA156" s="39" t="str">
        <f>'Por Valoracion (3) Dimension'!H156</f>
        <v>0</v>
      </c>
      <c r="FV156" s="49"/>
    </row>
    <row r="157" spans="1:178">
      <c r="A157" s="48"/>
      <c r="C157" t="str">
        <f>('Inteligencia emocional'!A158)</f>
        <v>0</v>
      </c>
      <c r="D157" s="39" t="str">
        <f>'Por Valoracion (3) Dimension'!B157</f>
        <v>0</v>
      </c>
      <c r="E157" s="39" t="str">
        <f>'Por Valoracion (3) Dimension 2'!J157</f>
        <v>0</v>
      </c>
      <c r="Z157" s="48"/>
      <c r="AB157" t="str">
        <f>('Inteligencia emocional'!A158)</f>
        <v>0</v>
      </c>
      <c r="AC157" s="39" t="str">
        <f>'Por Valoracion (3) Dimension'!D157</f>
        <v>0</v>
      </c>
      <c r="AD157" s="39" t="str">
        <f>'Por Valoracion (3) Dimension 2'!J157</f>
        <v>0</v>
      </c>
      <c r="AY157" s="48"/>
      <c r="BA157" t="str">
        <f>('Inteligencia emocional'!A158)</f>
        <v>0</v>
      </c>
      <c r="BB157" s="39" t="str">
        <f>'Por Valoracion (3) Dimension'!F157</f>
        <v>0</v>
      </c>
      <c r="BC157" s="39" t="str">
        <f>'Por Valoracion (3) Dimension 2'!J157</f>
        <v>0</v>
      </c>
      <c r="BX157" s="48"/>
      <c r="BZ157" s="49"/>
      <c r="CB157" t="str">
        <f>('Inteligencia emocional'!A158)</f>
        <v>0</v>
      </c>
      <c r="CC157" s="39" t="str">
        <f>'Por Valoracion (3) Dimension 2'!B157</f>
        <v>0</v>
      </c>
      <c r="CD157" s="39" t="str">
        <f>'Por Valoracion (3) Dimension'!H157</f>
        <v>0</v>
      </c>
      <c r="CY157" s="49"/>
      <c r="DA157" t="str">
        <f>('Inteligencia emocional'!A158)</f>
        <v>0</v>
      </c>
      <c r="DB157" s="39" t="str">
        <f>'Por Valoracion (3) Dimension 2'!D157</f>
        <v>0</v>
      </c>
      <c r="DC157" s="39" t="str">
        <f>'Por Valoracion (3) Dimension'!H157</f>
        <v>0</v>
      </c>
      <c r="DX157" s="49"/>
      <c r="DZ157" t="str">
        <f>('Inteligencia emocional'!A158)</f>
        <v>0</v>
      </c>
      <c r="EA157" s="39" t="str">
        <f>'Por Valoracion (3) Dimension 2'!F157</f>
        <v>0</v>
      </c>
      <c r="EB157" s="39" t="str">
        <f>'Por Valoracion (3) Dimension'!H157</f>
        <v>0</v>
      </c>
      <c r="EW157" s="49"/>
      <c r="EY157" t="str">
        <f>('Inteligencia emocional'!A158)</f>
        <v>0</v>
      </c>
      <c r="EZ157" s="39" t="str">
        <f>'Por Valoracion (3) Dimension 2'!H157</f>
        <v>0</v>
      </c>
      <c r="FA157" s="39" t="str">
        <f>'Por Valoracion (3) Dimension'!H157</f>
        <v>0</v>
      </c>
      <c r="FV157" s="49"/>
    </row>
    <row r="158" spans="1:178">
      <c r="A158" s="48"/>
      <c r="C158" t="str">
        <f>('Inteligencia emocional'!A159)</f>
        <v>0</v>
      </c>
      <c r="D158" s="39" t="str">
        <f>'Por Valoracion (3) Dimension'!B158</f>
        <v>0</v>
      </c>
      <c r="E158" s="39" t="str">
        <f>'Por Valoracion (3) Dimension 2'!J158</f>
        <v>0</v>
      </c>
      <c r="Z158" s="48"/>
      <c r="AB158" t="str">
        <f>('Inteligencia emocional'!A159)</f>
        <v>0</v>
      </c>
      <c r="AC158" s="39" t="str">
        <f>'Por Valoracion (3) Dimension'!D158</f>
        <v>0</v>
      </c>
      <c r="AD158" s="39" t="str">
        <f>'Por Valoracion (3) Dimension 2'!J158</f>
        <v>0</v>
      </c>
      <c r="AY158" s="48"/>
      <c r="BA158" t="str">
        <f>('Inteligencia emocional'!A159)</f>
        <v>0</v>
      </c>
      <c r="BB158" s="39" t="str">
        <f>'Por Valoracion (3) Dimension'!F158</f>
        <v>0</v>
      </c>
      <c r="BC158" s="39" t="str">
        <f>'Por Valoracion (3) Dimension 2'!J158</f>
        <v>0</v>
      </c>
      <c r="BX158" s="48"/>
      <c r="BZ158" s="49"/>
      <c r="CB158" t="str">
        <f>('Inteligencia emocional'!A159)</f>
        <v>0</v>
      </c>
      <c r="CC158" s="39" t="str">
        <f>'Por Valoracion (3) Dimension 2'!B158</f>
        <v>0</v>
      </c>
      <c r="CD158" s="39" t="str">
        <f>'Por Valoracion (3) Dimension'!H158</f>
        <v>0</v>
      </c>
      <c r="CY158" s="49"/>
      <c r="DA158" t="str">
        <f>('Inteligencia emocional'!A159)</f>
        <v>0</v>
      </c>
      <c r="DB158" s="39" t="str">
        <f>'Por Valoracion (3) Dimension 2'!D158</f>
        <v>0</v>
      </c>
      <c r="DC158" s="39" t="str">
        <f>'Por Valoracion (3) Dimension'!H158</f>
        <v>0</v>
      </c>
      <c r="DX158" s="49"/>
      <c r="DZ158" t="str">
        <f>('Inteligencia emocional'!A159)</f>
        <v>0</v>
      </c>
      <c r="EA158" s="39" t="str">
        <f>'Por Valoracion (3) Dimension 2'!F158</f>
        <v>0</v>
      </c>
      <c r="EB158" s="39" t="str">
        <f>'Por Valoracion (3) Dimension'!H158</f>
        <v>0</v>
      </c>
      <c r="EW158" s="49"/>
      <c r="EY158" t="str">
        <f>('Inteligencia emocional'!A159)</f>
        <v>0</v>
      </c>
      <c r="EZ158" s="39" t="str">
        <f>'Por Valoracion (3) Dimension 2'!H158</f>
        <v>0</v>
      </c>
      <c r="FA158" s="39" t="str">
        <f>'Por Valoracion (3) Dimension'!H158</f>
        <v>0</v>
      </c>
      <c r="FV158" s="49"/>
    </row>
    <row r="159" spans="1:178">
      <c r="A159" s="48"/>
      <c r="C159" t="str">
        <f>('Inteligencia emocional'!A160)</f>
        <v>0</v>
      </c>
      <c r="D159" s="39" t="str">
        <f>'Por Valoracion (3) Dimension'!B159</f>
        <v>0</v>
      </c>
      <c r="E159" s="39" t="str">
        <f>'Por Valoracion (3) Dimension 2'!J159</f>
        <v>0</v>
      </c>
      <c r="Z159" s="48"/>
      <c r="AB159" t="str">
        <f>('Inteligencia emocional'!A160)</f>
        <v>0</v>
      </c>
      <c r="AC159" s="39" t="str">
        <f>'Por Valoracion (3) Dimension'!D159</f>
        <v>0</v>
      </c>
      <c r="AD159" s="39" t="str">
        <f>'Por Valoracion (3) Dimension 2'!J159</f>
        <v>0</v>
      </c>
      <c r="AY159" s="48"/>
      <c r="BA159" t="str">
        <f>('Inteligencia emocional'!A160)</f>
        <v>0</v>
      </c>
      <c r="BB159" s="39" t="str">
        <f>'Por Valoracion (3) Dimension'!F159</f>
        <v>0</v>
      </c>
      <c r="BC159" s="39" t="str">
        <f>'Por Valoracion (3) Dimension 2'!J159</f>
        <v>0</v>
      </c>
      <c r="BX159" s="48"/>
      <c r="BZ159" s="49"/>
      <c r="CB159" t="str">
        <f>('Inteligencia emocional'!A160)</f>
        <v>0</v>
      </c>
      <c r="CC159" s="39" t="str">
        <f>'Por Valoracion (3) Dimension 2'!B159</f>
        <v>0</v>
      </c>
      <c r="CD159" s="39" t="str">
        <f>'Por Valoracion (3) Dimension'!H159</f>
        <v>0</v>
      </c>
      <c r="CY159" s="49"/>
      <c r="DA159" t="str">
        <f>('Inteligencia emocional'!A160)</f>
        <v>0</v>
      </c>
      <c r="DB159" s="39" t="str">
        <f>'Por Valoracion (3) Dimension 2'!D159</f>
        <v>0</v>
      </c>
      <c r="DC159" s="39" t="str">
        <f>'Por Valoracion (3) Dimension'!H159</f>
        <v>0</v>
      </c>
      <c r="DX159" s="49"/>
      <c r="DZ159" t="str">
        <f>('Inteligencia emocional'!A160)</f>
        <v>0</v>
      </c>
      <c r="EA159" s="39" t="str">
        <f>'Por Valoracion (3) Dimension 2'!F159</f>
        <v>0</v>
      </c>
      <c r="EB159" s="39" t="str">
        <f>'Por Valoracion (3) Dimension'!H159</f>
        <v>0</v>
      </c>
      <c r="EW159" s="49"/>
      <c r="EY159" t="str">
        <f>('Inteligencia emocional'!A160)</f>
        <v>0</v>
      </c>
      <c r="EZ159" s="39" t="str">
        <f>'Por Valoracion (3) Dimension 2'!H159</f>
        <v>0</v>
      </c>
      <c r="FA159" s="39" t="str">
        <f>'Por Valoracion (3) Dimension'!H159</f>
        <v>0</v>
      </c>
      <c r="FV159" s="49"/>
    </row>
    <row r="160" spans="1:178">
      <c r="A160" s="48"/>
      <c r="C160" t="str">
        <f>('Inteligencia emocional'!A161)</f>
        <v>0</v>
      </c>
      <c r="D160" s="39" t="str">
        <f>'Por Valoracion (3) Dimension'!B160</f>
        <v>0</v>
      </c>
      <c r="E160" s="39" t="str">
        <f>'Por Valoracion (3) Dimension 2'!J160</f>
        <v>0</v>
      </c>
      <c r="Z160" s="48"/>
      <c r="AB160" t="str">
        <f>('Inteligencia emocional'!A161)</f>
        <v>0</v>
      </c>
      <c r="AC160" s="39" t="str">
        <f>'Por Valoracion (3) Dimension'!D160</f>
        <v>0</v>
      </c>
      <c r="AD160" s="39" t="str">
        <f>'Por Valoracion (3) Dimension 2'!J160</f>
        <v>0</v>
      </c>
      <c r="AY160" s="48"/>
      <c r="BA160" t="str">
        <f>('Inteligencia emocional'!A161)</f>
        <v>0</v>
      </c>
      <c r="BB160" s="39" t="str">
        <f>'Por Valoracion (3) Dimension'!F160</f>
        <v>0</v>
      </c>
      <c r="BC160" s="39" t="str">
        <f>'Por Valoracion (3) Dimension 2'!J160</f>
        <v>0</v>
      </c>
      <c r="BX160" s="48"/>
      <c r="BZ160" s="49"/>
      <c r="CB160" t="str">
        <f>('Inteligencia emocional'!A161)</f>
        <v>0</v>
      </c>
      <c r="CC160" s="39" t="str">
        <f>'Por Valoracion (3) Dimension 2'!B160</f>
        <v>0</v>
      </c>
      <c r="CD160" s="39" t="str">
        <f>'Por Valoracion (3) Dimension'!H160</f>
        <v>0</v>
      </c>
      <c r="CY160" s="49"/>
      <c r="DA160" t="str">
        <f>('Inteligencia emocional'!A161)</f>
        <v>0</v>
      </c>
      <c r="DB160" s="39" t="str">
        <f>'Por Valoracion (3) Dimension 2'!D160</f>
        <v>0</v>
      </c>
      <c r="DC160" s="39" t="str">
        <f>'Por Valoracion (3) Dimension'!H160</f>
        <v>0</v>
      </c>
      <c r="DX160" s="49"/>
      <c r="DZ160" t="str">
        <f>('Inteligencia emocional'!A161)</f>
        <v>0</v>
      </c>
      <c r="EA160" s="39" t="str">
        <f>'Por Valoracion (3) Dimension 2'!F160</f>
        <v>0</v>
      </c>
      <c r="EB160" s="39" t="str">
        <f>'Por Valoracion (3) Dimension'!H160</f>
        <v>0</v>
      </c>
      <c r="EW160" s="49"/>
      <c r="EY160" t="str">
        <f>('Inteligencia emocional'!A161)</f>
        <v>0</v>
      </c>
      <c r="EZ160" s="39" t="str">
        <f>'Por Valoracion (3) Dimension 2'!H160</f>
        <v>0</v>
      </c>
      <c r="FA160" s="39" t="str">
        <f>'Por Valoracion (3) Dimension'!H160</f>
        <v>0</v>
      </c>
      <c r="FV160" s="49"/>
    </row>
    <row r="161" spans="1:178">
      <c r="A161" s="48"/>
      <c r="C161" t="str">
        <f>('Inteligencia emocional'!A162)</f>
        <v>0</v>
      </c>
      <c r="D161" s="39" t="str">
        <f>'Por Valoracion (3) Dimension'!B161</f>
        <v>0</v>
      </c>
      <c r="E161" s="39" t="str">
        <f>'Por Valoracion (3) Dimension 2'!J161</f>
        <v>0</v>
      </c>
      <c r="Z161" s="48"/>
      <c r="AB161" t="str">
        <f>('Inteligencia emocional'!A162)</f>
        <v>0</v>
      </c>
      <c r="AC161" s="39" t="str">
        <f>'Por Valoracion (3) Dimension'!D161</f>
        <v>0</v>
      </c>
      <c r="AD161" s="39" t="str">
        <f>'Por Valoracion (3) Dimension 2'!J161</f>
        <v>0</v>
      </c>
      <c r="AY161" s="48"/>
      <c r="BA161" t="str">
        <f>('Inteligencia emocional'!A162)</f>
        <v>0</v>
      </c>
      <c r="BB161" s="39" t="str">
        <f>'Por Valoracion (3) Dimension'!F161</f>
        <v>0</v>
      </c>
      <c r="BC161" s="39" t="str">
        <f>'Por Valoracion (3) Dimension 2'!J161</f>
        <v>0</v>
      </c>
      <c r="BX161" s="48"/>
      <c r="BZ161" s="49"/>
      <c r="CB161" t="str">
        <f>('Inteligencia emocional'!A162)</f>
        <v>0</v>
      </c>
      <c r="CC161" s="39" t="str">
        <f>'Por Valoracion (3) Dimension 2'!B161</f>
        <v>0</v>
      </c>
      <c r="CD161" s="39" t="str">
        <f>'Por Valoracion (3) Dimension'!H161</f>
        <v>0</v>
      </c>
      <c r="CY161" s="49"/>
      <c r="DA161" t="str">
        <f>('Inteligencia emocional'!A162)</f>
        <v>0</v>
      </c>
      <c r="DB161" s="39" t="str">
        <f>'Por Valoracion (3) Dimension 2'!D161</f>
        <v>0</v>
      </c>
      <c r="DC161" s="39" t="str">
        <f>'Por Valoracion (3) Dimension'!H161</f>
        <v>0</v>
      </c>
      <c r="DX161" s="49"/>
      <c r="DZ161" t="str">
        <f>('Inteligencia emocional'!A162)</f>
        <v>0</v>
      </c>
      <c r="EA161" s="39" t="str">
        <f>'Por Valoracion (3) Dimension 2'!F161</f>
        <v>0</v>
      </c>
      <c r="EB161" s="39" t="str">
        <f>'Por Valoracion (3) Dimension'!H161</f>
        <v>0</v>
      </c>
      <c r="EW161" s="49"/>
      <c r="EY161" t="str">
        <f>('Inteligencia emocional'!A162)</f>
        <v>0</v>
      </c>
      <c r="EZ161" s="39" t="str">
        <f>'Por Valoracion (3) Dimension 2'!H161</f>
        <v>0</v>
      </c>
      <c r="FA161" s="39" t="str">
        <f>'Por Valoracion (3) Dimension'!H161</f>
        <v>0</v>
      </c>
      <c r="FV161" s="49"/>
    </row>
    <row r="162" spans="1:178">
      <c r="A162" s="48"/>
      <c r="C162" t="str">
        <f>('Inteligencia emocional'!A163)</f>
        <v>0</v>
      </c>
      <c r="D162" s="39" t="str">
        <f>'Por Valoracion (3) Dimension'!B162</f>
        <v>0</v>
      </c>
      <c r="E162" s="39" t="str">
        <f>'Por Valoracion (3) Dimension 2'!J162</f>
        <v>0</v>
      </c>
      <c r="Z162" s="48"/>
      <c r="AB162" t="str">
        <f>('Inteligencia emocional'!A163)</f>
        <v>0</v>
      </c>
      <c r="AC162" s="39" t="str">
        <f>'Por Valoracion (3) Dimension'!D162</f>
        <v>0</v>
      </c>
      <c r="AD162" s="39" t="str">
        <f>'Por Valoracion (3) Dimension 2'!J162</f>
        <v>0</v>
      </c>
      <c r="AY162" s="48"/>
      <c r="BA162" t="str">
        <f>('Inteligencia emocional'!A163)</f>
        <v>0</v>
      </c>
      <c r="BB162" s="39" t="str">
        <f>'Por Valoracion (3) Dimension'!F162</f>
        <v>0</v>
      </c>
      <c r="BC162" s="39" t="str">
        <f>'Por Valoracion (3) Dimension 2'!J162</f>
        <v>0</v>
      </c>
      <c r="BX162" s="48"/>
      <c r="BZ162" s="49"/>
      <c r="CB162" t="str">
        <f>('Inteligencia emocional'!A163)</f>
        <v>0</v>
      </c>
      <c r="CC162" s="39" t="str">
        <f>'Por Valoracion (3) Dimension 2'!B162</f>
        <v>0</v>
      </c>
      <c r="CD162" s="39" t="str">
        <f>'Por Valoracion (3) Dimension'!H162</f>
        <v>0</v>
      </c>
      <c r="CY162" s="49"/>
      <c r="DA162" t="str">
        <f>('Inteligencia emocional'!A163)</f>
        <v>0</v>
      </c>
      <c r="DB162" s="39" t="str">
        <f>'Por Valoracion (3) Dimension 2'!D162</f>
        <v>0</v>
      </c>
      <c r="DC162" s="39" t="str">
        <f>'Por Valoracion (3) Dimension'!H162</f>
        <v>0</v>
      </c>
      <c r="DX162" s="49"/>
      <c r="DZ162" t="str">
        <f>('Inteligencia emocional'!A163)</f>
        <v>0</v>
      </c>
      <c r="EA162" s="39" t="str">
        <f>'Por Valoracion (3) Dimension 2'!F162</f>
        <v>0</v>
      </c>
      <c r="EB162" s="39" t="str">
        <f>'Por Valoracion (3) Dimension'!H162</f>
        <v>0</v>
      </c>
      <c r="EW162" s="49"/>
      <c r="EY162" t="str">
        <f>('Inteligencia emocional'!A163)</f>
        <v>0</v>
      </c>
      <c r="EZ162" s="39" t="str">
        <f>'Por Valoracion (3) Dimension 2'!H162</f>
        <v>0</v>
      </c>
      <c r="FA162" s="39" t="str">
        <f>'Por Valoracion (3) Dimension'!H162</f>
        <v>0</v>
      </c>
      <c r="FV162" s="49"/>
    </row>
    <row r="163" spans="1:178">
      <c r="A163" s="48"/>
      <c r="C163" t="str">
        <f>('Inteligencia emocional'!A164)</f>
        <v>0</v>
      </c>
      <c r="D163" s="39" t="str">
        <f>'Por Valoracion (3) Dimension'!B163</f>
        <v>0</v>
      </c>
      <c r="E163" s="39" t="str">
        <f>'Por Valoracion (3) Dimension 2'!J163</f>
        <v>0</v>
      </c>
      <c r="Z163" s="48"/>
      <c r="AB163" t="str">
        <f>('Inteligencia emocional'!A164)</f>
        <v>0</v>
      </c>
      <c r="AC163" s="39" t="str">
        <f>'Por Valoracion (3) Dimension'!D163</f>
        <v>0</v>
      </c>
      <c r="AD163" s="39" t="str">
        <f>'Por Valoracion (3) Dimension 2'!J163</f>
        <v>0</v>
      </c>
      <c r="AY163" s="48"/>
      <c r="BA163" t="str">
        <f>('Inteligencia emocional'!A164)</f>
        <v>0</v>
      </c>
      <c r="BB163" s="39" t="str">
        <f>'Por Valoracion (3) Dimension'!F163</f>
        <v>0</v>
      </c>
      <c r="BC163" s="39" t="str">
        <f>'Por Valoracion (3) Dimension 2'!J163</f>
        <v>0</v>
      </c>
      <c r="BX163" s="48"/>
      <c r="BZ163" s="49"/>
      <c r="CB163" t="str">
        <f>('Inteligencia emocional'!A164)</f>
        <v>0</v>
      </c>
      <c r="CC163" s="39" t="str">
        <f>'Por Valoracion (3) Dimension 2'!B163</f>
        <v>0</v>
      </c>
      <c r="CD163" s="39" t="str">
        <f>'Por Valoracion (3) Dimension'!H163</f>
        <v>0</v>
      </c>
      <c r="CY163" s="49"/>
      <c r="DA163" t="str">
        <f>('Inteligencia emocional'!A164)</f>
        <v>0</v>
      </c>
      <c r="DB163" s="39" t="str">
        <f>'Por Valoracion (3) Dimension 2'!D163</f>
        <v>0</v>
      </c>
      <c r="DC163" s="39" t="str">
        <f>'Por Valoracion (3) Dimension'!H163</f>
        <v>0</v>
      </c>
      <c r="DX163" s="49"/>
      <c r="DZ163" t="str">
        <f>('Inteligencia emocional'!A164)</f>
        <v>0</v>
      </c>
      <c r="EA163" s="39" t="str">
        <f>'Por Valoracion (3) Dimension 2'!F163</f>
        <v>0</v>
      </c>
      <c r="EB163" s="39" t="str">
        <f>'Por Valoracion (3) Dimension'!H163</f>
        <v>0</v>
      </c>
      <c r="EW163" s="49"/>
      <c r="EY163" t="str">
        <f>('Inteligencia emocional'!A164)</f>
        <v>0</v>
      </c>
      <c r="EZ163" s="39" t="str">
        <f>'Por Valoracion (3) Dimension 2'!H163</f>
        <v>0</v>
      </c>
      <c r="FA163" s="39" t="str">
        <f>'Por Valoracion (3) Dimension'!H163</f>
        <v>0</v>
      </c>
      <c r="FV163" s="49"/>
    </row>
    <row r="164" spans="1:178">
      <c r="A164" s="48"/>
      <c r="C164" t="str">
        <f>('Inteligencia emocional'!A165)</f>
        <v>0</v>
      </c>
      <c r="D164" s="39" t="str">
        <f>'Por Valoracion (3) Dimension'!B164</f>
        <v>0</v>
      </c>
      <c r="E164" s="39" t="str">
        <f>'Por Valoracion (3) Dimension 2'!J164</f>
        <v>0</v>
      </c>
      <c r="Z164" s="48"/>
      <c r="AB164" t="str">
        <f>('Inteligencia emocional'!A165)</f>
        <v>0</v>
      </c>
      <c r="AC164" s="39" t="str">
        <f>'Por Valoracion (3) Dimension'!D164</f>
        <v>0</v>
      </c>
      <c r="AD164" s="39" t="str">
        <f>'Por Valoracion (3) Dimension 2'!J164</f>
        <v>0</v>
      </c>
      <c r="AY164" s="48"/>
      <c r="BA164" t="str">
        <f>('Inteligencia emocional'!A165)</f>
        <v>0</v>
      </c>
      <c r="BB164" s="39" t="str">
        <f>'Por Valoracion (3) Dimension'!F164</f>
        <v>0</v>
      </c>
      <c r="BC164" s="39" t="str">
        <f>'Por Valoracion (3) Dimension 2'!J164</f>
        <v>0</v>
      </c>
      <c r="BX164" s="48"/>
      <c r="BZ164" s="49"/>
      <c r="CB164" t="str">
        <f>('Inteligencia emocional'!A165)</f>
        <v>0</v>
      </c>
      <c r="CC164" s="39" t="str">
        <f>'Por Valoracion (3) Dimension 2'!B164</f>
        <v>0</v>
      </c>
      <c r="CD164" s="39" t="str">
        <f>'Por Valoracion (3) Dimension'!H164</f>
        <v>0</v>
      </c>
      <c r="CY164" s="49"/>
      <c r="DA164" t="str">
        <f>('Inteligencia emocional'!A165)</f>
        <v>0</v>
      </c>
      <c r="DB164" s="39" t="str">
        <f>'Por Valoracion (3) Dimension 2'!D164</f>
        <v>0</v>
      </c>
      <c r="DC164" s="39" t="str">
        <f>'Por Valoracion (3) Dimension'!H164</f>
        <v>0</v>
      </c>
      <c r="DX164" s="49"/>
      <c r="DZ164" t="str">
        <f>('Inteligencia emocional'!A165)</f>
        <v>0</v>
      </c>
      <c r="EA164" s="39" t="str">
        <f>'Por Valoracion (3) Dimension 2'!F164</f>
        <v>0</v>
      </c>
      <c r="EB164" s="39" t="str">
        <f>'Por Valoracion (3) Dimension'!H164</f>
        <v>0</v>
      </c>
      <c r="EW164" s="49"/>
      <c r="EY164" t="str">
        <f>('Inteligencia emocional'!A165)</f>
        <v>0</v>
      </c>
      <c r="EZ164" s="39" t="str">
        <f>'Por Valoracion (3) Dimension 2'!H164</f>
        <v>0</v>
      </c>
      <c r="FA164" s="39" t="str">
        <f>'Por Valoracion (3) Dimension'!H164</f>
        <v>0</v>
      </c>
      <c r="FV164" s="49"/>
    </row>
    <row r="165" spans="1:178">
      <c r="A165" s="48"/>
      <c r="C165" t="str">
        <f>('Inteligencia emocional'!A166)</f>
        <v>0</v>
      </c>
      <c r="D165" s="39" t="str">
        <f>'Por Valoracion (3) Dimension'!B165</f>
        <v>0</v>
      </c>
      <c r="E165" s="39" t="str">
        <f>'Por Valoracion (3) Dimension 2'!J165</f>
        <v>0</v>
      </c>
      <c r="Z165" s="48"/>
      <c r="AB165" t="str">
        <f>('Inteligencia emocional'!A166)</f>
        <v>0</v>
      </c>
      <c r="AC165" s="39" t="str">
        <f>'Por Valoracion (3) Dimension'!D165</f>
        <v>0</v>
      </c>
      <c r="AD165" s="39" t="str">
        <f>'Por Valoracion (3) Dimension 2'!J165</f>
        <v>0</v>
      </c>
      <c r="AY165" s="48"/>
      <c r="BA165" t="str">
        <f>('Inteligencia emocional'!A166)</f>
        <v>0</v>
      </c>
      <c r="BB165" s="39" t="str">
        <f>'Por Valoracion (3) Dimension'!F165</f>
        <v>0</v>
      </c>
      <c r="BC165" s="39" t="str">
        <f>'Por Valoracion (3) Dimension 2'!J165</f>
        <v>0</v>
      </c>
      <c r="BX165" s="48"/>
      <c r="BZ165" s="49"/>
      <c r="CB165" t="str">
        <f>('Inteligencia emocional'!A166)</f>
        <v>0</v>
      </c>
      <c r="CC165" s="39" t="str">
        <f>'Por Valoracion (3) Dimension 2'!B165</f>
        <v>0</v>
      </c>
      <c r="CD165" s="39" t="str">
        <f>'Por Valoracion (3) Dimension'!H165</f>
        <v>0</v>
      </c>
      <c r="CY165" s="49"/>
      <c r="DA165" t="str">
        <f>('Inteligencia emocional'!A166)</f>
        <v>0</v>
      </c>
      <c r="DB165" s="39" t="str">
        <f>'Por Valoracion (3) Dimension 2'!D165</f>
        <v>0</v>
      </c>
      <c r="DC165" s="39" t="str">
        <f>'Por Valoracion (3) Dimension'!H165</f>
        <v>0</v>
      </c>
      <c r="DX165" s="49"/>
      <c r="DZ165" t="str">
        <f>('Inteligencia emocional'!A166)</f>
        <v>0</v>
      </c>
      <c r="EA165" s="39" t="str">
        <f>'Por Valoracion (3) Dimension 2'!F165</f>
        <v>0</v>
      </c>
      <c r="EB165" s="39" t="str">
        <f>'Por Valoracion (3) Dimension'!H165</f>
        <v>0</v>
      </c>
      <c r="EW165" s="49"/>
      <c r="EY165" t="str">
        <f>('Inteligencia emocional'!A166)</f>
        <v>0</v>
      </c>
      <c r="EZ165" s="39" t="str">
        <f>'Por Valoracion (3) Dimension 2'!H165</f>
        <v>0</v>
      </c>
      <c r="FA165" s="39" t="str">
        <f>'Por Valoracion (3) Dimension'!H165</f>
        <v>0</v>
      </c>
      <c r="FV165" s="49"/>
    </row>
    <row r="166" spans="1:178">
      <c r="A166" s="48"/>
      <c r="C166" t="str">
        <f>('Inteligencia emocional'!A167)</f>
        <v>0</v>
      </c>
      <c r="D166" s="39" t="str">
        <f>'Por Valoracion (3) Dimension'!B166</f>
        <v>0</v>
      </c>
      <c r="E166" s="39" t="str">
        <f>'Por Valoracion (3) Dimension 2'!J166</f>
        <v>0</v>
      </c>
      <c r="Z166" s="48"/>
      <c r="AB166" t="str">
        <f>('Inteligencia emocional'!A167)</f>
        <v>0</v>
      </c>
      <c r="AC166" s="39" t="str">
        <f>'Por Valoracion (3) Dimension'!D166</f>
        <v>0</v>
      </c>
      <c r="AD166" s="39" t="str">
        <f>'Por Valoracion (3) Dimension 2'!J166</f>
        <v>0</v>
      </c>
      <c r="AY166" s="48"/>
      <c r="BA166" t="str">
        <f>('Inteligencia emocional'!A167)</f>
        <v>0</v>
      </c>
      <c r="BB166" s="39" t="str">
        <f>'Por Valoracion (3) Dimension'!F166</f>
        <v>0</v>
      </c>
      <c r="BC166" s="39" t="str">
        <f>'Por Valoracion (3) Dimension 2'!J166</f>
        <v>0</v>
      </c>
      <c r="BX166" s="48"/>
      <c r="BZ166" s="49"/>
      <c r="CB166" t="str">
        <f>('Inteligencia emocional'!A167)</f>
        <v>0</v>
      </c>
      <c r="CC166" s="39" t="str">
        <f>'Por Valoracion (3) Dimension 2'!B166</f>
        <v>0</v>
      </c>
      <c r="CD166" s="39" t="str">
        <f>'Por Valoracion (3) Dimension'!H166</f>
        <v>0</v>
      </c>
      <c r="CY166" s="49"/>
      <c r="DA166" t="str">
        <f>('Inteligencia emocional'!A167)</f>
        <v>0</v>
      </c>
      <c r="DB166" s="39" t="str">
        <f>'Por Valoracion (3) Dimension 2'!D166</f>
        <v>0</v>
      </c>
      <c r="DC166" s="39" t="str">
        <f>'Por Valoracion (3) Dimension'!H166</f>
        <v>0</v>
      </c>
      <c r="DX166" s="49"/>
      <c r="DZ166" t="str">
        <f>('Inteligencia emocional'!A167)</f>
        <v>0</v>
      </c>
      <c r="EA166" s="39" t="str">
        <f>'Por Valoracion (3) Dimension 2'!F166</f>
        <v>0</v>
      </c>
      <c r="EB166" s="39" t="str">
        <f>'Por Valoracion (3) Dimension'!H166</f>
        <v>0</v>
      </c>
      <c r="EW166" s="49"/>
      <c r="EY166" t="str">
        <f>('Inteligencia emocional'!A167)</f>
        <v>0</v>
      </c>
      <c r="EZ166" s="39" t="str">
        <f>'Por Valoracion (3) Dimension 2'!H166</f>
        <v>0</v>
      </c>
      <c r="FA166" s="39" t="str">
        <f>'Por Valoracion (3) Dimension'!H166</f>
        <v>0</v>
      </c>
      <c r="FV166" s="49"/>
    </row>
    <row r="167" spans="1:178">
      <c r="A167" s="48"/>
      <c r="C167" t="str">
        <f>('Inteligencia emocional'!A168)</f>
        <v>0</v>
      </c>
      <c r="D167" s="39" t="str">
        <f>'Por Valoracion (3) Dimension'!B167</f>
        <v>0</v>
      </c>
      <c r="E167" s="39" t="str">
        <f>'Por Valoracion (3) Dimension 2'!J167</f>
        <v>0</v>
      </c>
      <c r="Z167" s="48"/>
      <c r="AB167" t="str">
        <f>('Inteligencia emocional'!A168)</f>
        <v>0</v>
      </c>
      <c r="AC167" s="39" t="str">
        <f>'Por Valoracion (3) Dimension'!D167</f>
        <v>0</v>
      </c>
      <c r="AD167" s="39" t="str">
        <f>'Por Valoracion (3) Dimension 2'!J167</f>
        <v>0</v>
      </c>
      <c r="AY167" s="48"/>
      <c r="BA167" t="str">
        <f>('Inteligencia emocional'!A168)</f>
        <v>0</v>
      </c>
      <c r="BB167" s="39" t="str">
        <f>'Por Valoracion (3) Dimension'!F167</f>
        <v>0</v>
      </c>
      <c r="BC167" s="39" t="str">
        <f>'Por Valoracion (3) Dimension 2'!J167</f>
        <v>0</v>
      </c>
      <c r="BX167" s="48"/>
      <c r="BZ167" s="49"/>
      <c r="CB167" t="str">
        <f>('Inteligencia emocional'!A168)</f>
        <v>0</v>
      </c>
      <c r="CC167" s="39" t="str">
        <f>'Por Valoracion (3) Dimension 2'!B167</f>
        <v>0</v>
      </c>
      <c r="CD167" s="39" t="str">
        <f>'Por Valoracion (3) Dimension'!H167</f>
        <v>0</v>
      </c>
      <c r="CY167" s="49"/>
      <c r="DA167" t="str">
        <f>('Inteligencia emocional'!A168)</f>
        <v>0</v>
      </c>
      <c r="DB167" s="39" t="str">
        <f>'Por Valoracion (3) Dimension 2'!D167</f>
        <v>0</v>
      </c>
      <c r="DC167" s="39" t="str">
        <f>'Por Valoracion (3) Dimension'!H167</f>
        <v>0</v>
      </c>
      <c r="DX167" s="49"/>
      <c r="DZ167" t="str">
        <f>('Inteligencia emocional'!A168)</f>
        <v>0</v>
      </c>
      <c r="EA167" s="39" t="str">
        <f>'Por Valoracion (3) Dimension 2'!F167</f>
        <v>0</v>
      </c>
      <c r="EB167" s="39" t="str">
        <f>'Por Valoracion (3) Dimension'!H167</f>
        <v>0</v>
      </c>
      <c r="EW167" s="49"/>
      <c r="EY167" t="str">
        <f>('Inteligencia emocional'!A168)</f>
        <v>0</v>
      </c>
      <c r="EZ167" s="39" t="str">
        <f>'Por Valoracion (3) Dimension 2'!H167</f>
        <v>0</v>
      </c>
      <c r="FA167" s="39" t="str">
        <f>'Por Valoracion (3) Dimension'!H167</f>
        <v>0</v>
      </c>
      <c r="FV167" s="49"/>
    </row>
    <row r="168" spans="1:178">
      <c r="A168" s="48"/>
      <c r="C168" t="str">
        <f>('Inteligencia emocional'!A169)</f>
        <v>0</v>
      </c>
      <c r="D168" s="39" t="str">
        <f>'Por Valoracion (3) Dimension'!B168</f>
        <v>0</v>
      </c>
      <c r="E168" s="39" t="str">
        <f>'Por Valoracion (3) Dimension 2'!J168</f>
        <v>0</v>
      </c>
      <c r="Z168" s="48"/>
      <c r="AB168" t="str">
        <f>('Inteligencia emocional'!A169)</f>
        <v>0</v>
      </c>
      <c r="AC168" s="39" t="str">
        <f>'Por Valoracion (3) Dimension'!D168</f>
        <v>0</v>
      </c>
      <c r="AD168" s="39" t="str">
        <f>'Por Valoracion (3) Dimension 2'!J168</f>
        <v>0</v>
      </c>
      <c r="AY168" s="48"/>
      <c r="BA168" t="str">
        <f>('Inteligencia emocional'!A169)</f>
        <v>0</v>
      </c>
      <c r="BB168" s="39" t="str">
        <f>'Por Valoracion (3) Dimension'!F168</f>
        <v>0</v>
      </c>
      <c r="BC168" s="39" t="str">
        <f>'Por Valoracion (3) Dimension 2'!J168</f>
        <v>0</v>
      </c>
      <c r="BX168" s="48"/>
      <c r="BZ168" s="49"/>
      <c r="CB168" t="str">
        <f>('Inteligencia emocional'!A169)</f>
        <v>0</v>
      </c>
      <c r="CC168" s="39" t="str">
        <f>'Por Valoracion (3) Dimension 2'!B168</f>
        <v>0</v>
      </c>
      <c r="CD168" s="39" t="str">
        <f>'Por Valoracion (3) Dimension'!H168</f>
        <v>0</v>
      </c>
      <c r="CY168" s="49"/>
      <c r="DA168" t="str">
        <f>('Inteligencia emocional'!A169)</f>
        <v>0</v>
      </c>
      <c r="DB168" s="39" t="str">
        <f>'Por Valoracion (3) Dimension 2'!D168</f>
        <v>0</v>
      </c>
      <c r="DC168" s="39" t="str">
        <f>'Por Valoracion (3) Dimension'!H168</f>
        <v>0</v>
      </c>
      <c r="DX168" s="49"/>
      <c r="DZ168" t="str">
        <f>('Inteligencia emocional'!A169)</f>
        <v>0</v>
      </c>
      <c r="EA168" s="39" t="str">
        <f>'Por Valoracion (3) Dimension 2'!F168</f>
        <v>0</v>
      </c>
      <c r="EB168" s="39" t="str">
        <f>'Por Valoracion (3) Dimension'!H168</f>
        <v>0</v>
      </c>
      <c r="EW168" s="49"/>
      <c r="EY168" t="str">
        <f>('Inteligencia emocional'!A169)</f>
        <v>0</v>
      </c>
      <c r="EZ168" s="39" t="str">
        <f>'Por Valoracion (3) Dimension 2'!H168</f>
        <v>0</v>
      </c>
      <c r="FA168" s="39" t="str">
        <f>'Por Valoracion (3) Dimension'!H168</f>
        <v>0</v>
      </c>
      <c r="FV168" s="49"/>
    </row>
    <row r="169" spans="1:178">
      <c r="A169" s="48"/>
      <c r="C169" t="str">
        <f>('Inteligencia emocional'!A170)</f>
        <v>0</v>
      </c>
      <c r="D169" s="39" t="str">
        <f>'Por Valoracion (3) Dimension'!B169</f>
        <v>0</v>
      </c>
      <c r="E169" s="39" t="str">
        <f>'Por Valoracion (3) Dimension 2'!J169</f>
        <v>0</v>
      </c>
      <c r="Z169" s="48"/>
      <c r="AB169" t="str">
        <f>('Inteligencia emocional'!A170)</f>
        <v>0</v>
      </c>
      <c r="AC169" s="39" t="str">
        <f>'Por Valoracion (3) Dimension'!D169</f>
        <v>0</v>
      </c>
      <c r="AD169" s="39" t="str">
        <f>'Por Valoracion (3) Dimension 2'!J169</f>
        <v>0</v>
      </c>
      <c r="AY169" s="48"/>
      <c r="BA169" t="str">
        <f>('Inteligencia emocional'!A170)</f>
        <v>0</v>
      </c>
      <c r="BB169" s="39" t="str">
        <f>'Por Valoracion (3) Dimension'!F169</f>
        <v>0</v>
      </c>
      <c r="BC169" s="39" t="str">
        <f>'Por Valoracion (3) Dimension 2'!J169</f>
        <v>0</v>
      </c>
      <c r="BX169" s="48"/>
      <c r="BZ169" s="49"/>
      <c r="CB169" t="str">
        <f>('Inteligencia emocional'!A170)</f>
        <v>0</v>
      </c>
      <c r="CC169" s="39" t="str">
        <f>'Por Valoracion (3) Dimension 2'!B169</f>
        <v>0</v>
      </c>
      <c r="CD169" s="39" t="str">
        <f>'Por Valoracion (3) Dimension'!H169</f>
        <v>0</v>
      </c>
      <c r="CY169" s="49"/>
      <c r="DA169" t="str">
        <f>('Inteligencia emocional'!A170)</f>
        <v>0</v>
      </c>
      <c r="DB169" s="39" t="str">
        <f>'Por Valoracion (3) Dimension 2'!D169</f>
        <v>0</v>
      </c>
      <c r="DC169" s="39" t="str">
        <f>'Por Valoracion (3) Dimension'!H169</f>
        <v>0</v>
      </c>
      <c r="DX169" s="49"/>
      <c r="DZ169" t="str">
        <f>('Inteligencia emocional'!A170)</f>
        <v>0</v>
      </c>
      <c r="EA169" s="39" t="str">
        <f>'Por Valoracion (3) Dimension 2'!F169</f>
        <v>0</v>
      </c>
      <c r="EB169" s="39" t="str">
        <f>'Por Valoracion (3) Dimension'!H169</f>
        <v>0</v>
      </c>
      <c r="EW169" s="49"/>
      <c r="EY169" t="str">
        <f>('Inteligencia emocional'!A170)</f>
        <v>0</v>
      </c>
      <c r="EZ169" s="39" t="str">
        <f>'Por Valoracion (3) Dimension 2'!H169</f>
        <v>0</v>
      </c>
      <c r="FA169" s="39" t="str">
        <f>'Por Valoracion (3) Dimension'!H169</f>
        <v>0</v>
      </c>
      <c r="FV169" s="49"/>
    </row>
    <row r="170" spans="1:178">
      <c r="A170" s="48"/>
      <c r="C170" t="str">
        <f>('Inteligencia emocional'!A171)</f>
        <v>0</v>
      </c>
      <c r="D170" s="39" t="str">
        <f>'Por Valoracion (3) Dimension'!B170</f>
        <v>0</v>
      </c>
      <c r="E170" s="39" t="str">
        <f>'Por Valoracion (3) Dimension 2'!J170</f>
        <v>0</v>
      </c>
      <c r="Z170" s="48"/>
      <c r="AB170" t="str">
        <f>('Inteligencia emocional'!A171)</f>
        <v>0</v>
      </c>
      <c r="AC170" s="39" t="str">
        <f>'Por Valoracion (3) Dimension'!D170</f>
        <v>0</v>
      </c>
      <c r="AD170" s="39" t="str">
        <f>'Por Valoracion (3) Dimension 2'!J170</f>
        <v>0</v>
      </c>
      <c r="AY170" s="48"/>
      <c r="BA170" t="str">
        <f>('Inteligencia emocional'!A171)</f>
        <v>0</v>
      </c>
      <c r="BB170" s="39" t="str">
        <f>'Por Valoracion (3) Dimension'!F170</f>
        <v>0</v>
      </c>
      <c r="BC170" s="39" t="str">
        <f>'Por Valoracion (3) Dimension 2'!J170</f>
        <v>0</v>
      </c>
      <c r="BX170" s="48"/>
      <c r="BZ170" s="49"/>
      <c r="CB170" t="str">
        <f>('Inteligencia emocional'!A171)</f>
        <v>0</v>
      </c>
      <c r="CC170" s="39" t="str">
        <f>'Por Valoracion (3) Dimension 2'!B170</f>
        <v>0</v>
      </c>
      <c r="CD170" s="39" t="str">
        <f>'Por Valoracion (3) Dimension'!H170</f>
        <v>0</v>
      </c>
      <c r="CY170" s="49"/>
      <c r="DA170" t="str">
        <f>('Inteligencia emocional'!A171)</f>
        <v>0</v>
      </c>
      <c r="DB170" s="39" t="str">
        <f>'Por Valoracion (3) Dimension 2'!D170</f>
        <v>0</v>
      </c>
      <c r="DC170" s="39" t="str">
        <f>'Por Valoracion (3) Dimension'!H170</f>
        <v>0</v>
      </c>
      <c r="DX170" s="49"/>
      <c r="DZ170" t="str">
        <f>('Inteligencia emocional'!A171)</f>
        <v>0</v>
      </c>
      <c r="EA170" s="39" t="str">
        <f>'Por Valoracion (3) Dimension 2'!F170</f>
        <v>0</v>
      </c>
      <c r="EB170" s="39" t="str">
        <f>'Por Valoracion (3) Dimension'!H170</f>
        <v>0</v>
      </c>
      <c r="EW170" s="49"/>
      <c r="EY170" t="str">
        <f>('Inteligencia emocional'!A171)</f>
        <v>0</v>
      </c>
      <c r="EZ170" s="39" t="str">
        <f>'Por Valoracion (3) Dimension 2'!H170</f>
        <v>0</v>
      </c>
      <c r="FA170" s="39" t="str">
        <f>'Por Valoracion (3) Dimension'!H170</f>
        <v>0</v>
      </c>
      <c r="FV170" s="49"/>
    </row>
    <row r="171" spans="1:178">
      <c r="A171" s="48"/>
      <c r="C171" t="str">
        <f>('Inteligencia emocional'!A172)</f>
        <v>0</v>
      </c>
      <c r="D171" s="39" t="str">
        <f>'Por Valoracion (3) Dimension'!B171</f>
        <v>0</v>
      </c>
      <c r="E171" s="39" t="str">
        <f>'Por Valoracion (3) Dimension 2'!J171</f>
        <v>0</v>
      </c>
      <c r="Z171" s="48"/>
      <c r="AB171" t="str">
        <f>('Inteligencia emocional'!A172)</f>
        <v>0</v>
      </c>
      <c r="AC171" s="39" t="str">
        <f>'Por Valoracion (3) Dimension'!D171</f>
        <v>0</v>
      </c>
      <c r="AD171" s="39" t="str">
        <f>'Por Valoracion (3) Dimension 2'!J171</f>
        <v>0</v>
      </c>
      <c r="AY171" s="48"/>
      <c r="BA171" t="str">
        <f>('Inteligencia emocional'!A172)</f>
        <v>0</v>
      </c>
      <c r="BB171" s="39" t="str">
        <f>'Por Valoracion (3) Dimension'!F171</f>
        <v>0</v>
      </c>
      <c r="BC171" s="39" t="str">
        <f>'Por Valoracion (3) Dimension 2'!J171</f>
        <v>0</v>
      </c>
      <c r="BX171" s="48"/>
      <c r="BZ171" s="49"/>
      <c r="CB171" t="str">
        <f>('Inteligencia emocional'!A172)</f>
        <v>0</v>
      </c>
      <c r="CC171" s="39" t="str">
        <f>'Por Valoracion (3) Dimension 2'!B171</f>
        <v>0</v>
      </c>
      <c r="CD171" s="39" t="str">
        <f>'Por Valoracion (3) Dimension'!H171</f>
        <v>0</v>
      </c>
      <c r="CY171" s="49"/>
      <c r="DA171" t="str">
        <f>('Inteligencia emocional'!A172)</f>
        <v>0</v>
      </c>
      <c r="DB171" s="39" t="str">
        <f>'Por Valoracion (3) Dimension 2'!D171</f>
        <v>0</v>
      </c>
      <c r="DC171" s="39" t="str">
        <f>'Por Valoracion (3) Dimension'!H171</f>
        <v>0</v>
      </c>
      <c r="DX171" s="49"/>
      <c r="DZ171" t="str">
        <f>('Inteligencia emocional'!A172)</f>
        <v>0</v>
      </c>
      <c r="EA171" s="39" t="str">
        <f>'Por Valoracion (3) Dimension 2'!F171</f>
        <v>0</v>
      </c>
      <c r="EB171" s="39" t="str">
        <f>'Por Valoracion (3) Dimension'!H171</f>
        <v>0</v>
      </c>
      <c r="EW171" s="49"/>
      <c r="EY171" t="str">
        <f>('Inteligencia emocional'!A172)</f>
        <v>0</v>
      </c>
      <c r="EZ171" s="39" t="str">
        <f>'Por Valoracion (3) Dimension 2'!H171</f>
        <v>0</v>
      </c>
      <c r="FA171" s="39" t="str">
        <f>'Por Valoracion (3) Dimension'!H171</f>
        <v>0</v>
      </c>
      <c r="FV171" s="49"/>
    </row>
    <row r="172" spans="1:178">
      <c r="A172" s="48"/>
      <c r="C172" t="str">
        <f>('Inteligencia emocional'!A173)</f>
        <v>0</v>
      </c>
      <c r="D172" s="39" t="str">
        <f>'Por Valoracion (3) Dimension'!B172</f>
        <v>0</v>
      </c>
      <c r="E172" s="39" t="str">
        <f>'Por Valoracion (3) Dimension 2'!J172</f>
        <v>0</v>
      </c>
      <c r="Z172" s="48"/>
      <c r="AB172" t="str">
        <f>('Inteligencia emocional'!A173)</f>
        <v>0</v>
      </c>
      <c r="AC172" s="39" t="str">
        <f>'Por Valoracion (3) Dimension'!D172</f>
        <v>0</v>
      </c>
      <c r="AD172" s="39" t="str">
        <f>'Por Valoracion (3) Dimension 2'!J172</f>
        <v>0</v>
      </c>
      <c r="AY172" s="48"/>
      <c r="BA172" t="str">
        <f>('Inteligencia emocional'!A173)</f>
        <v>0</v>
      </c>
      <c r="BB172" s="39" t="str">
        <f>'Por Valoracion (3) Dimension'!F172</f>
        <v>0</v>
      </c>
      <c r="BC172" s="39" t="str">
        <f>'Por Valoracion (3) Dimension 2'!J172</f>
        <v>0</v>
      </c>
      <c r="BX172" s="48"/>
      <c r="BZ172" s="49"/>
      <c r="CB172" t="str">
        <f>('Inteligencia emocional'!A173)</f>
        <v>0</v>
      </c>
      <c r="CC172" s="39" t="str">
        <f>'Por Valoracion (3) Dimension 2'!B172</f>
        <v>0</v>
      </c>
      <c r="CD172" s="39" t="str">
        <f>'Por Valoracion (3) Dimension'!H172</f>
        <v>0</v>
      </c>
      <c r="CY172" s="49"/>
      <c r="DA172" t="str">
        <f>('Inteligencia emocional'!A173)</f>
        <v>0</v>
      </c>
      <c r="DB172" s="39" t="str">
        <f>'Por Valoracion (3) Dimension 2'!D172</f>
        <v>0</v>
      </c>
      <c r="DC172" s="39" t="str">
        <f>'Por Valoracion (3) Dimension'!H172</f>
        <v>0</v>
      </c>
      <c r="DX172" s="49"/>
      <c r="DZ172" t="str">
        <f>('Inteligencia emocional'!A173)</f>
        <v>0</v>
      </c>
      <c r="EA172" s="39" t="str">
        <f>'Por Valoracion (3) Dimension 2'!F172</f>
        <v>0</v>
      </c>
      <c r="EB172" s="39" t="str">
        <f>'Por Valoracion (3) Dimension'!H172</f>
        <v>0</v>
      </c>
      <c r="EW172" s="49"/>
      <c r="EY172" t="str">
        <f>('Inteligencia emocional'!A173)</f>
        <v>0</v>
      </c>
      <c r="EZ172" s="39" t="str">
        <f>'Por Valoracion (3) Dimension 2'!H172</f>
        <v>0</v>
      </c>
      <c r="FA172" s="39" t="str">
        <f>'Por Valoracion (3) Dimension'!H172</f>
        <v>0</v>
      </c>
      <c r="FV172" s="49"/>
    </row>
    <row r="173" spans="1:178">
      <c r="A173" s="48"/>
      <c r="C173" t="str">
        <f>('Inteligencia emocional'!A174)</f>
        <v>0</v>
      </c>
      <c r="D173" s="39" t="str">
        <f>'Por Valoracion (3) Dimension'!B173</f>
        <v>0</v>
      </c>
      <c r="E173" s="39" t="str">
        <f>'Por Valoracion (3) Dimension 2'!J173</f>
        <v>0</v>
      </c>
      <c r="Z173" s="48"/>
      <c r="AB173" t="str">
        <f>('Inteligencia emocional'!A174)</f>
        <v>0</v>
      </c>
      <c r="AC173" s="39" t="str">
        <f>'Por Valoracion (3) Dimension'!D173</f>
        <v>0</v>
      </c>
      <c r="AD173" s="39" t="str">
        <f>'Por Valoracion (3) Dimension 2'!J173</f>
        <v>0</v>
      </c>
      <c r="AY173" s="48"/>
      <c r="BA173" t="str">
        <f>('Inteligencia emocional'!A174)</f>
        <v>0</v>
      </c>
      <c r="BB173" s="39" t="str">
        <f>'Por Valoracion (3) Dimension'!F173</f>
        <v>0</v>
      </c>
      <c r="BC173" s="39" t="str">
        <f>'Por Valoracion (3) Dimension 2'!J173</f>
        <v>0</v>
      </c>
      <c r="BX173" s="48"/>
      <c r="BZ173" s="49"/>
      <c r="CB173" t="str">
        <f>('Inteligencia emocional'!A174)</f>
        <v>0</v>
      </c>
      <c r="CC173" s="39" t="str">
        <f>'Por Valoracion (3) Dimension 2'!B173</f>
        <v>0</v>
      </c>
      <c r="CD173" s="39" t="str">
        <f>'Por Valoracion (3) Dimension'!H173</f>
        <v>0</v>
      </c>
      <c r="CY173" s="49"/>
      <c r="DA173" t="str">
        <f>('Inteligencia emocional'!A174)</f>
        <v>0</v>
      </c>
      <c r="DB173" s="39" t="str">
        <f>'Por Valoracion (3) Dimension 2'!D173</f>
        <v>0</v>
      </c>
      <c r="DC173" s="39" t="str">
        <f>'Por Valoracion (3) Dimension'!H173</f>
        <v>0</v>
      </c>
      <c r="DX173" s="49"/>
      <c r="DZ173" t="str">
        <f>('Inteligencia emocional'!A174)</f>
        <v>0</v>
      </c>
      <c r="EA173" s="39" t="str">
        <f>'Por Valoracion (3) Dimension 2'!F173</f>
        <v>0</v>
      </c>
      <c r="EB173" s="39" t="str">
        <f>'Por Valoracion (3) Dimension'!H173</f>
        <v>0</v>
      </c>
      <c r="EW173" s="49"/>
      <c r="EY173" t="str">
        <f>('Inteligencia emocional'!A174)</f>
        <v>0</v>
      </c>
      <c r="EZ173" s="39" t="str">
        <f>'Por Valoracion (3) Dimension 2'!H173</f>
        <v>0</v>
      </c>
      <c r="FA173" s="39" t="str">
        <f>'Por Valoracion (3) Dimension'!H173</f>
        <v>0</v>
      </c>
      <c r="FV173" s="49"/>
    </row>
    <row r="174" spans="1:178">
      <c r="A174" s="48"/>
      <c r="C174" t="str">
        <f>('Inteligencia emocional'!A175)</f>
        <v>0</v>
      </c>
      <c r="D174" s="39" t="str">
        <f>'Por Valoracion (3) Dimension'!B174</f>
        <v>0</v>
      </c>
      <c r="E174" s="39" t="str">
        <f>'Por Valoracion (3) Dimension 2'!J174</f>
        <v>0</v>
      </c>
      <c r="Z174" s="48"/>
      <c r="AB174" t="str">
        <f>('Inteligencia emocional'!A175)</f>
        <v>0</v>
      </c>
      <c r="AC174" s="39" t="str">
        <f>'Por Valoracion (3) Dimension'!D174</f>
        <v>0</v>
      </c>
      <c r="AD174" s="39" t="str">
        <f>'Por Valoracion (3) Dimension 2'!J174</f>
        <v>0</v>
      </c>
      <c r="AY174" s="48"/>
      <c r="BA174" t="str">
        <f>('Inteligencia emocional'!A175)</f>
        <v>0</v>
      </c>
      <c r="BB174" s="39" t="str">
        <f>'Por Valoracion (3) Dimension'!F174</f>
        <v>0</v>
      </c>
      <c r="BC174" s="39" t="str">
        <f>'Por Valoracion (3) Dimension 2'!J174</f>
        <v>0</v>
      </c>
      <c r="BX174" s="48"/>
      <c r="BZ174" s="49"/>
      <c r="CB174" t="str">
        <f>('Inteligencia emocional'!A175)</f>
        <v>0</v>
      </c>
      <c r="CC174" s="39" t="str">
        <f>'Por Valoracion (3) Dimension 2'!B174</f>
        <v>0</v>
      </c>
      <c r="CD174" s="39" t="str">
        <f>'Por Valoracion (3) Dimension'!H174</f>
        <v>0</v>
      </c>
      <c r="CY174" s="49"/>
      <c r="DA174" t="str">
        <f>('Inteligencia emocional'!A175)</f>
        <v>0</v>
      </c>
      <c r="DB174" s="39" t="str">
        <f>'Por Valoracion (3) Dimension 2'!D174</f>
        <v>0</v>
      </c>
      <c r="DC174" s="39" t="str">
        <f>'Por Valoracion (3) Dimension'!H174</f>
        <v>0</v>
      </c>
      <c r="DX174" s="49"/>
      <c r="DZ174" t="str">
        <f>('Inteligencia emocional'!A175)</f>
        <v>0</v>
      </c>
      <c r="EA174" s="39" t="str">
        <f>'Por Valoracion (3) Dimension 2'!F174</f>
        <v>0</v>
      </c>
      <c r="EB174" s="39" t="str">
        <f>'Por Valoracion (3) Dimension'!H174</f>
        <v>0</v>
      </c>
      <c r="EW174" s="49"/>
      <c r="EY174" t="str">
        <f>('Inteligencia emocional'!A175)</f>
        <v>0</v>
      </c>
      <c r="EZ174" s="39" t="str">
        <f>'Por Valoracion (3) Dimension 2'!H174</f>
        <v>0</v>
      </c>
      <c r="FA174" s="39" t="str">
        <f>'Por Valoracion (3) Dimension'!H174</f>
        <v>0</v>
      </c>
      <c r="FV174" s="49"/>
    </row>
    <row r="175" spans="1:178">
      <c r="A175" s="48"/>
      <c r="C175" t="str">
        <f>('Inteligencia emocional'!A176)</f>
        <v>0</v>
      </c>
      <c r="D175" s="39" t="str">
        <f>'Por Valoracion (3) Dimension'!B175</f>
        <v>0</v>
      </c>
      <c r="E175" s="39" t="str">
        <f>'Por Valoracion (3) Dimension 2'!J175</f>
        <v>0</v>
      </c>
      <c r="Z175" s="48"/>
      <c r="AB175" t="str">
        <f>('Inteligencia emocional'!A176)</f>
        <v>0</v>
      </c>
      <c r="AC175" s="39" t="str">
        <f>'Por Valoracion (3) Dimension'!D175</f>
        <v>0</v>
      </c>
      <c r="AD175" s="39" t="str">
        <f>'Por Valoracion (3) Dimension 2'!J175</f>
        <v>0</v>
      </c>
      <c r="AY175" s="48"/>
      <c r="BA175" t="str">
        <f>('Inteligencia emocional'!A176)</f>
        <v>0</v>
      </c>
      <c r="BB175" s="39" t="str">
        <f>'Por Valoracion (3) Dimension'!F175</f>
        <v>0</v>
      </c>
      <c r="BC175" s="39" t="str">
        <f>'Por Valoracion (3) Dimension 2'!J175</f>
        <v>0</v>
      </c>
      <c r="BX175" s="48"/>
      <c r="BZ175" s="49"/>
      <c r="CB175" t="str">
        <f>('Inteligencia emocional'!A176)</f>
        <v>0</v>
      </c>
      <c r="CC175" s="39" t="str">
        <f>'Por Valoracion (3) Dimension 2'!B175</f>
        <v>0</v>
      </c>
      <c r="CD175" s="39" t="str">
        <f>'Por Valoracion (3) Dimension'!H175</f>
        <v>0</v>
      </c>
      <c r="CY175" s="49"/>
      <c r="DA175" t="str">
        <f>('Inteligencia emocional'!A176)</f>
        <v>0</v>
      </c>
      <c r="DB175" s="39" t="str">
        <f>'Por Valoracion (3) Dimension 2'!D175</f>
        <v>0</v>
      </c>
      <c r="DC175" s="39" t="str">
        <f>'Por Valoracion (3) Dimension'!H175</f>
        <v>0</v>
      </c>
      <c r="DX175" s="49"/>
      <c r="DZ175" t="str">
        <f>('Inteligencia emocional'!A176)</f>
        <v>0</v>
      </c>
      <c r="EA175" s="39" t="str">
        <f>'Por Valoracion (3) Dimension 2'!F175</f>
        <v>0</v>
      </c>
      <c r="EB175" s="39" t="str">
        <f>'Por Valoracion (3) Dimension'!H175</f>
        <v>0</v>
      </c>
      <c r="EW175" s="49"/>
      <c r="EY175" t="str">
        <f>('Inteligencia emocional'!A176)</f>
        <v>0</v>
      </c>
      <c r="EZ175" s="39" t="str">
        <f>'Por Valoracion (3) Dimension 2'!H175</f>
        <v>0</v>
      </c>
      <c r="FA175" s="39" t="str">
        <f>'Por Valoracion (3) Dimension'!H175</f>
        <v>0</v>
      </c>
      <c r="FV175" s="49"/>
    </row>
    <row r="176" spans="1:178">
      <c r="A176" s="48"/>
      <c r="C176" t="str">
        <f>('Inteligencia emocional'!A177)</f>
        <v>0</v>
      </c>
      <c r="D176" s="39" t="str">
        <f>'Por Valoracion (3) Dimension'!B176</f>
        <v>0</v>
      </c>
      <c r="E176" s="39" t="str">
        <f>'Por Valoracion (3) Dimension 2'!J176</f>
        <v>0</v>
      </c>
      <c r="Z176" s="48"/>
      <c r="AB176" t="str">
        <f>('Inteligencia emocional'!A177)</f>
        <v>0</v>
      </c>
      <c r="AC176" s="39" t="str">
        <f>'Por Valoracion (3) Dimension'!D176</f>
        <v>0</v>
      </c>
      <c r="AD176" s="39" t="str">
        <f>'Por Valoracion (3) Dimension 2'!J176</f>
        <v>0</v>
      </c>
      <c r="AY176" s="48"/>
      <c r="BA176" t="str">
        <f>('Inteligencia emocional'!A177)</f>
        <v>0</v>
      </c>
      <c r="BB176" s="39" t="str">
        <f>'Por Valoracion (3) Dimension'!F176</f>
        <v>0</v>
      </c>
      <c r="BC176" s="39" t="str">
        <f>'Por Valoracion (3) Dimension 2'!J176</f>
        <v>0</v>
      </c>
      <c r="BX176" s="48"/>
      <c r="BZ176" s="49"/>
      <c r="CB176" t="str">
        <f>('Inteligencia emocional'!A177)</f>
        <v>0</v>
      </c>
      <c r="CC176" s="39" t="str">
        <f>'Por Valoracion (3) Dimension 2'!B176</f>
        <v>0</v>
      </c>
      <c r="CD176" s="39" t="str">
        <f>'Por Valoracion (3) Dimension'!H176</f>
        <v>0</v>
      </c>
      <c r="CY176" s="49"/>
      <c r="DA176" t="str">
        <f>('Inteligencia emocional'!A177)</f>
        <v>0</v>
      </c>
      <c r="DB176" s="39" t="str">
        <f>'Por Valoracion (3) Dimension 2'!D176</f>
        <v>0</v>
      </c>
      <c r="DC176" s="39" t="str">
        <f>'Por Valoracion (3) Dimension'!H176</f>
        <v>0</v>
      </c>
      <c r="DX176" s="49"/>
      <c r="DZ176" t="str">
        <f>('Inteligencia emocional'!A177)</f>
        <v>0</v>
      </c>
      <c r="EA176" s="39" t="str">
        <f>'Por Valoracion (3) Dimension 2'!F176</f>
        <v>0</v>
      </c>
      <c r="EB176" s="39" t="str">
        <f>'Por Valoracion (3) Dimension'!H176</f>
        <v>0</v>
      </c>
      <c r="EW176" s="49"/>
      <c r="EY176" t="str">
        <f>('Inteligencia emocional'!A177)</f>
        <v>0</v>
      </c>
      <c r="EZ176" s="39" t="str">
        <f>'Por Valoracion (3) Dimension 2'!H176</f>
        <v>0</v>
      </c>
      <c r="FA176" s="39" t="str">
        <f>'Por Valoracion (3) Dimension'!H176</f>
        <v>0</v>
      </c>
      <c r="FV176" s="49"/>
    </row>
    <row r="177" spans="1:178">
      <c r="A177" s="48"/>
      <c r="C177" t="str">
        <f>('Inteligencia emocional'!A178)</f>
        <v>0</v>
      </c>
      <c r="D177" s="39" t="str">
        <f>'Por Valoracion (3) Dimension'!B177</f>
        <v>0</v>
      </c>
      <c r="E177" s="39" t="str">
        <f>'Por Valoracion (3) Dimension 2'!J177</f>
        <v>0</v>
      </c>
      <c r="Z177" s="48"/>
      <c r="AB177" t="str">
        <f>('Inteligencia emocional'!A178)</f>
        <v>0</v>
      </c>
      <c r="AC177" s="39" t="str">
        <f>'Por Valoracion (3) Dimension'!D177</f>
        <v>0</v>
      </c>
      <c r="AD177" s="39" t="str">
        <f>'Por Valoracion (3) Dimension 2'!J177</f>
        <v>0</v>
      </c>
      <c r="AY177" s="48"/>
      <c r="BA177" t="str">
        <f>('Inteligencia emocional'!A178)</f>
        <v>0</v>
      </c>
      <c r="BB177" s="39" t="str">
        <f>'Por Valoracion (3) Dimension'!F177</f>
        <v>0</v>
      </c>
      <c r="BC177" s="39" t="str">
        <f>'Por Valoracion (3) Dimension 2'!J177</f>
        <v>0</v>
      </c>
      <c r="BX177" s="48"/>
      <c r="BZ177" s="49"/>
      <c r="CB177" t="str">
        <f>('Inteligencia emocional'!A178)</f>
        <v>0</v>
      </c>
      <c r="CC177" s="39" t="str">
        <f>'Por Valoracion (3) Dimension 2'!B177</f>
        <v>0</v>
      </c>
      <c r="CD177" s="39" t="str">
        <f>'Por Valoracion (3) Dimension'!H177</f>
        <v>0</v>
      </c>
      <c r="CY177" s="49"/>
      <c r="DA177" t="str">
        <f>('Inteligencia emocional'!A178)</f>
        <v>0</v>
      </c>
      <c r="DB177" s="39" t="str">
        <f>'Por Valoracion (3) Dimension 2'!D177</f>
        <v>0</v>
      </c>
      <c r="DC177" s="39" t="str">
        <f>'Por Valoracion (3) Dimension'!H177</f>
        <v>0</v>
      </c>
      <c r="DX177" s="49"/>
      <c r="DZ177" t="str">
        <f>('Inteligencia emocional'!A178)</f>
        <v>0</v>
      </c>
      <c r="EA177" s="39" t="str">
        <f>'Por Valoracion (3) Dimension 2'!F177</f>
        <v>0</v>
      </c>
      <c r="EB177" s="39" t="str">
        <f>'Por Valoracion (3) Dimension'!H177</f>
        <v>0</v>
      </c>
      <c r="EW177" s="49"/>
      <c r="EY177" t="str">
        <f>('Inteligencia emocional'!A178)</f>
        <v>0</v>
      </c>
      <c r="EZ177" s="39" t="str">
        <f>'Por Valoracion (3) Dimension 2'!H177</f>
        <v>0</v>
      </c>
      <c r="FA177" s="39" t="str">
        <f>'Por Valoracion (3) Dimension'!H177</f>
        <v>0</v>
      </c>
      <c r="FV177" s="49"/>
    </row>
    <row r="178" spans="1:178">
      <c r="A178" s="48"/>
      <c r="C178" t="str">
        <f>('Inteligencia emocional'!A179)</f>
        <v>0</v>
      </c>
      <c r="D178" s="39" t="str">
        <f>'Por Valoracion (3) Dimension'!B178</f>
        <v>0</v>
      </c>
      <c r="E178" s="39" t="str">
        <f>'Por Valoracion (3) Dimension 2'!J178</f>
        <v>0</v>
      </c>
      <c r="Z178" s="48"/>
      <c r="AB178" t="str">
        <f>('Inteligencia emocional'!A179)</f>
        <v>0</v>
      </c>
      <c r="AC178" s="39" t="str">
        <f>'Por Valoracion (3) Dimension'!D178</f>
        <v>0</v>
      </c>
      <c r="AD178" s="39" t="str">
        <f>'Por Valoracion (3) Dimension 2'!J178</f>
        <v>0</v>
      </c>
      <c r="AY178" s="48"/>
      <c r="BA178" t="str">
        <f>('Inteligencia emocional'!A179)</f>
        <v>0</v>
      </c>
      <c r="BB178" s="39" t="str">
        <f>'Por Valoracion (3) Dimension'!F178</f>
        <v>0</v>
      </c>
      <c r="BC178" s="39" t="str">
        <f>'Por Valoracion (3) Dimension 2'!J178</f>
        <v>0</v>
      </c>
      <c r="BX178" s="48"/>
      <c r="BZ178" s="49"/>
      <c r="CB178" t="str">
        <f>('Inteligencia emocional'!A179)</f>
        <v>0</v>
      </c>
      <c r="CC178" s="39" t="str">
        <f>'Por Valoracion (3) Dimension 2'!B178</f>
        <v>0</v>
      </c>
      <c r="CD178" s="39" t="str">
        <f>'Por Valoracion (3) Dimension'!H178</f>
        <v>0</v>
      </c>
      <c r="CY178" s="49"/>
      <c r="DA178" t="str">
        <f>('Inteligencia emocional'!A179)</f>
        <v>0</v>
      </c>
      <c r="DB178" s="39" t="str">
        <f>'Por Valoracion (3) Dimension 2'!D178</f>
        <v>0</v>
      </c>
      <c r="DC178" s="39" t="str">
        <f>'Por Valoracion (3) Dimension'!H178</f>
        <v>0</v>
      </c>
      <c r="DX178" s="49"/>
      <c r="DZ178" t="str">
        <f>('Inteligencia emocional'!A179)</f>
        <v>0</v>
      </c>
      <c r="EA178" s="39" t="str">
        <f>'Por Valoracion (3) Dimension 2'!F178</f>
        <v>0</v>
      </c>
      <c r="EB178" s="39" t="str">
        <f>'Por Valoracion (3) Dimension'!H178</f>
        <v>0</v>
      </c>
      <c r="EW178" s="49"/>
      <c r="EY178" t="str">
        <f>('Inteligencia emocional'!A179)</f>
        <v>0</v>
      </c>
      <c r="EZ178" s="39" t="str">
        <f>'Por Valoracion (3) Dimension 2'!H178</f>
        <v>0</v>
      </c>
      <c r="FA178" s="39" t="str">
        <f>'Por Valoracion (3) Dimension'!H178</f>
        <v>0</v>
      </c>
      <c r="FV178" s="49"/>
    </row>
    <row r="179" spans="1:178">
      <c r="A179" s="48"/>
      <c r="C179" t="str">
        <f>('Inteligencia emocional'!A180)</f>
        <v>0</v>
      </c>
      <c r="D179" s="39" t="str">
        <f>'Por Valoracion (3) Dimension'!B179</f>
        <v>0</v>
      </c>
      <c r="E179" s="39" t="str">
        <f>'Por Valoracion (3) Dimension 2'!J179</f>
        <v>0</v>
      </c>
      <c r="Z179" s="48"/>
      <c r="AB179" t="str">
        <f>('Inteligencia emocional'!A180)</f>
        <v>0</v>
      </c>
      <c r="AC179" s="39" t="str">
        <f>'Por Valoracion (3) Dimension'!D179</f>
        <v>0</v>
      </c>
      <c r="AD179" s="39" t="str">
        <f>'Por Valoracion (3) Dimension 2'!J179</f>
        <v>0</v>
      </c>
      <c r="AY179" s="48"/>
      <c r="BA179" t="str">
        <f>('Inteligencia emocional'!A180)</f>
        <v>0</v>
      </c>
      <c r="BB179" s="39" t="str">
        <f>'Por Valoracion (3) Dimension'!F179</f>
        <v>0</v>
      </c>
      <c r="BC179" s="39" t="str">
        <f>'Por Valoracion (3) Dimension 2'!J179</f>
        <v>0</v>
      </c>
      <c r="BX179" s="48"/>
      <c r="BZ179" s="49"/>
      <c r="CB179" t="str">
        <f>('Inteligencia emocional'!A180)</f>
        <v>0</v>
      </c>
      <c r="CC179" s="39" t="str">
        <f>'Por Valoracion (3) Dimension 2'!B179</f>
        <v>0</v>
      </c>
      <c r="CD179" s="39" t="str">
        <f>'Por Valoracion (3) Dimension'!H179</f>
        <v>0</v>
      </c>
      <c r="CY179" s="49"/>
      <c r="DA179" t="str">
        <f>('Inteligencia emocional'!A180)</f>
        <v>0</v>
      </c>
      <c r="DB179" s="39" t="str">
        <f>'Por Valoracion (3) Dimension 2'!D179</f>
        <v>0</v>
      </c>
      <c r="DC179" s="39" t="str">
        <f>'Por Valoracion (3) Dimension'!H179</f>
        <v>0</v>
      </c>
      <c r="DX179" s="49"/>
      <c r="DZ179" t="str">
        <f>('Inteligencia emocional'!A180)</f>
        <v>0</v>
      </c>
      <c r="EA179" s="39" t="str">
        <f>'Por Valoracion (3) Dimension 2'!F179</f>
        <v>0</v>
      </c>
      <c r="EB179" s="39" t="str">
        <f>'Por Valoracion (3) Dimension'!H179</f>
        <v>0</v>
      </c>
      <c r="EW179" s="49"/>
      <c r="EY179" t="str">
        <f>('Inteligencia emocional'!A180)</f>
        <v>0</v>
      </c>
      <c r="EZ179" s="39" t="str">
        <f>'Por Valoracion (3) Dimension 2'!H179</f>
        <v>0</v>
      </c>
      <c r="FA179" s="39" t="str">
        <f>'Por Valoracion (3) Dimension'!H179</f>
        <v>0</v>
      </c>
      <c r="FV179" s="49"/>
    </row>
    <row r="180" spans="1:178">
      <c r="A180" s="48"/>
      <c r="C180" t="str">
        <f>('Inteligencia emocional'!A181)</f>
        <v>0</v>
      </c>
      <c r="D180" s="39" t="str">
        <f>'Por Valoracion (3) Dimension'!B180</f>
        <v>0</v>
      </c>
      <c r="E180" s="39" t="str">
        <f>'Por Valoracion (3) Dimension 2'!J180</f>
        <v>0</v>
      </c>
      <c r="Z180" s="48"/>
      <c r="AB180" t="str">
        <f>('Inteligencia emocional'!A181)</f>
        <v>0</v>
      </c>
      <c r="AC180" s="39" t="str">
        <f>'Por Valoracion (3) Dimension'!D180</f>
        <v>0</v>
      </c>
      <c r="AD180" s="39" t="str">
        <f>'Por Valoracion (3) Dimension 2'!J180</f>
        <v>0</v>
      </c>
      <c r="AY180" s="48"/>
      <c r="BA180" t="str">
        <f>('Inteligencia emocional'!A181)</f>
        <v>0</v>
      </c>
      <c r="BB180" s="39" t="str">
        <f>'Por Valoracion (3) Dimension'!F180</f>
        <v>0</v>
      </c>
      <c r="BC180" s="39" t="str">
        <f>'Por Valoracion (3) Dimension 2'!J180</f>
        <v>0</v>
      </c>
      <c r="BX180" s="48"/>
      <c r="BZ180" s="49"/>
      <c r="CB180" t="str">
        <f>('Inteligencia emocional'!A181)</f>
        <v>0</v>
      </c>
      <c r="CC180" s="39" t="str">
        <f>'Por Valoracion (3) Dimension 2'!B180</f>
        <v>0</v>
      </c>
      <c r="CD180" s="39" t="str">
        <f>'Por Valoracion (3) Dimension'!H180</f>
        <v>0</v>
      </c>
      <c r="CY180" s="49"/>
      <c r="DA180" t="str">
        <f>('Inteligencia emocional'!A181)</f>
        <v>0</v>
      </c>
      <c r="DB180" s="39" t="str">
        <f>'Por Valoracion (3) Dimension 2'!D180</f>
        <v>0</v>
      </c>
      <c r="DC180" s="39" t="str">
        <f>'Por Valoracion (3) Dimension'!H180</f>
        <v>0</v>
      </c>
      <c r="DX180" s="49"/>
      <c r="DZ180" t="str">
        <f>('Inteligencia emocional'!A181)</f>
        <v>0</v>
      </c>
      <c r="EA180" s="39" t="str">
        <f>'Por Valoracion (3) Dimension 2'!F180</f>
        <v>0</v>
      </c>
      <c r="EB180" s="39" t="str">
        <f>'Por Valoracion (3) Dimension'!H180</f>
        <v>0</v>
      </c>
      <c r="EW180" s="49"/>
      <c r="EY180" t="str">
        <f>('Inteligencia emocional'!A181)</f>
        <v>0</v>
      </c>
      <c r="EZ180" s="39" t="str">
        <f>'Por Valoracion (3) Dimension 2'!H180</f>
        <v>0</v>
      </c>
      <c r="FA180" s="39" t="str">
        <f>'Por Valoracion (3) Dimension'!H180</f>
        <v>0</v>
      </c>
      <c r="FV180" s="49"/>
    </row>
    <row r="181" spans="1:178">
      <c r="A181" s="48"/>
      <c r="C181" t="str">
        <f>('Inteligencia emocional'!A182)</f>
        <v>0</v>
      </c>
      <c r="D181" s="39" t="str">
        <f>'Por Valoracion (3) Dimension'!B181</f>
        <v>0</v>
      </c>
      <c r="E181" s="39" t="str">
        <f>'Por Valoracion (3) Dimension 2'!J181</f>
        <v>0</v>
      </c>
      <c r="Z181" s="48"/>
      <c r="AB181" t="str">
        <f>('Inteligencia emocional'!A182)</f>
        <v>0</v>
      </c>
      <c r="AC181" s="39" t="str">
        <f>'Por Valoracion (3) Dimension'!D181</f>
        <v>0</v>
      </c>
      <c r="AD181" s="39" t="str">
        <f>'Por Valoracion (3) Dimension 2'!J181</f>
        <v>0</v>
      </c>
      <c r="AY181" s="48"/>
      <c r="BA181" t="str">
        <f>('Inteligencia emocional'!A182)</f>
        <v>0</v>
      </c>
      <c r="BB181" s="39" t="str">
        <f>'Por Valoracion (3) Dimension'!F181</f>
        <v>0</v>
      </c>
      <c r="BC181" s="39" t="str">
        <f>'Por Valoracion (3) Dimension 2'!J181</f>
        <v>0</v>
      </c>
      <c r="BX181" s="48"/>
      <c r="BZ181" s="49"/>
      <c r="CB181" t="str">
        <f>('Inteligencia emocional'!A182)</f>
        <v>0</v>
      </c>
      <c r="CC181" s="39" t="str">
        <f>'Por Valoracion (3) Dimension 2'!B181</f>
        <v>0</v>
      </c>
      <c r="CD181" s="39" t="str">
        <f>'Por Valoracion (3) Dimension'!H181</f>
        <v>0</v>
      </c>
      <c r="CY181" s="49"/>
      <c r="DA181" t="str">
        <f>('Inteligencia emocional'!A182)</f>
        <v>0</v>
      </c>
      <c r="DB181" s="39" t="str">
        <f>'Por Valoracion (3) Dimension 2'!D181</f>
        <v>0</v>
      </c>
      <c r="DC181" s="39" t="str">
        <f>'Por Valoracion (3) Dimension'!H181</f>
        <v>0</v>
      </c>
      <c r="DX181" s="49"/>
      <c r="DZ181" t="str">
        <f>('Inteligencia emocional'!A182)</f>
        <v>0</v>
      </c>
      <c r="EA181" s="39" t="str">
        <f>'Por Valoracion (3) Dimension 2'!F181</f>
        <v>0</v>
      </c>
      <c r="EB181" s="39" t="str">
        <f>'Por Valoracion (3) Dimension'!H181</f>
        <v>0</v>
      </c>
      <c r="EW181" s="49"/>
      <c r="EY181" t="str">
        <f>('Inteligencia emocional'!A182)</f>
        <v>0</v>
      </c>
      <c r="EZ181" s="39" t="str">
        <f>'Por Valoracion (3) Dimension 2'!H181</f>
        <v>0</v>
      </c>
      <c r="FA181" s="39" t="str">
        <f>'Por Valoracion (3) Dimension'!H181</f>
        <v>0</v>
      </c>
      <c r="FV181" s="49"/>
    </row>
    <row r="182" spans="1:178">
      <c r="A182" s="48"/>
      <c r="C182" t="str">
        <f>('Inteligencia emocional'!A183)</f>
        <v>0</v>
      </c>
      <c r="D182" s="39" t="str">
        <f>'Por Valoracion (3) Dimension'!B182</f>
        <v>0</v>
      </c>
      <c r="E182" s="39" t="str">
        <f>'Por Valoracion (3) Dimension 2'!J182</f>
        <v>0</v>
      </c>
      <c r="Z182" s="48"/>
      <c r="AB182" t="str">
        <f>('Inteligencia emocional'!A183)</f>
        <v>0</v>
      </c>
      <c r="AC182" s="39" t="str">
        <f>'Por Valoracion (3) Dimension'!D182</f>
        <v>0</v>
      </c>
      <c r="AD182" s="39" t="str">
        <f>'Por Valoracion (3) Dimension 2'!J182</f>
        <v>0</v>
      </c>
      <c r="AY182" s="48"/>
      <c r="BA182" t="str">
        <f>('Inteligencia emocional'!A183)</f>
        <v>0</v>
      </c>
      <c r="BB182" s="39" t="str">
        <f>'Por Valoracion (3) Dimension'!F182</f>
        <v>0</v>
      </c>
      <c r="BC182" s="39" t="str">
        <f>'Por Valoracion (3) Dimension 2'!J182</f>
        <v>0</v>
      </c>
      <c r="BX182" s="48"/>
      <c r="BZ182" s="49"/>
      <c r="CB182" t="str">
        <f>('Inteligencia emocional'!A183)</f>
        <v>0</v>
      </c>
      <c r="CC182" s="39" t="str">
        <f>'Por Valoracion (3) Dimension 2'!B182</f>
        <v>0</v>
      </c>
      <c r="CD182" s="39" t="str">
        <f>'Por Valoracion (3) Dimension'!H182</f>
        <v>0</v>
      </c>
      <c r="CY182" s="49"/>
      <c r="DA182" t="str">
        <f>('Inteligencia emocional'!A183)</f>
        <v>0</v>
      </c>
      <c r="DB182" s="39" t="str">
        <f>'Por Valoracion (3) Dimension 2'!D182</f>
        <v>0</v>
      </c>
      <c r="DC182" s="39" t="str">
        <f>'Por Valoracion (3) Dimension'!H182</f>
        <v>0</v>
      </c>
      <c r="DX182" s="49"/>
      <c r="DZ182" t="str">
        <f>('Inteligencia emocional'!A183)</f>
        <v>0</v>
      </c>
      <c r="EA182" s="39" t="str">
        <f>'Por Valoracion (3) Dimension 2'!F182</f>
        <v>0</v>
      </c>
      <c r="EB182" s="39" t="str">
        <f>'Por Valoracion (3) Dimension'!H182</f>
        <v>0</v>
      </c>
      <c r="EW182" s="49"/>
      <c r="EY182" t="str">
        <f>('Inteligencia emocional'!A183)</f>
        <v>0</v>
      </c>
      <c r="EZ182" s="39" t="str">
        <f>'Por Valoracion (3) Dimension 2'!H182</f>
        <v>0</v>
      </c>
      <c r="FA182" s="39" t="str">
        <f>'Por Valoracion (3) Dimension'!H182</f>
        <v>0</v>
      </c>
      <c r="FV182" s="49"/>
    </row>
    <row r="183" spans="1:178">
      <c r="A183" s="48"/>
      <c r="C183" t="str">
        <f>('Inteligencia emocional'!A184)</f>
        <v>0</v>
      </c>
      <c r="D183" s="39" t="str">
        <f>'Por Valoracion (3) Dimension'!B183</f>
        <v>0</v>
      </c>
      <c r="E183" s="39" t="str">
        <f>'Por Valoracion (3) Dimension 2'!J183</f>
        <v>0</v>
      </c>
      <c r="Z183" s="48"/>
      <c r="AB183" t="str">
        <f>('Inteligencia emocional'!A184)</f>
        <v>0</v>
      </c>
      <c r="AC183" s="39" t="str">
        <f>'Por Valoracion (3) Dimension'!D183</f>
        <v>0</v>
      </c>
      <c r="AD183" s="39" t="str">
        <f>'Por Valoracion (3) Dimension 2'!J183</f>
        <v>0</v>
      </c>
      <c r="AY183" s="48"/>
      <c r="BA183" t="str">
        <f>('Inteligencia emocional'!A184)</f>
        <v>0</v>
      </c>
      <c r="BB183" s="39" t="str">
        <f>'Por Valoracion (3) Dimension'!F183</f>
        <v>0</v>
      </c>
      <c r="BC183" s="39" t="str">
        <f>'Por Valoracion (3) Dimension 2'!J183</f>
        <v>0</v>
      </c>
      <c r="BX183" s="48"/>
      <c r="BZ183" s="49"/>
      <c r="CB183" t="str">
        <f>('Inteligencia emocional'!A184)</f>
        <v>0</v>
      </c>
      <c r="CC183" s="39" t="str">
        <f>'Por Valoracion (3) Dimension 2'!B183</f>
        <v>0</v>
      </c>
      <c r="CD183" s="39" t="str">
        <f>'Por Valoracion (3) Dimension'!H183</f>
        <v>0</v>
      </c>
      <c r="CY183" s="49"/>
      <c r="DA183" t="str">
        <f>('Inteligencia emocional'!A184)</f>
        <v>0</v>
      </c>
      <c r="DB183" s="39" t="str">
        <f>'Por Valoracion (3) Dimension 2'!D183</f>
        <v>0</v>
      </c>
      <c r="DC183" s="39" t="str">
        <f>'Por Valoracion (3) Dimension'!H183</f>
        <v>0</v>
      </c>
      <c r="DX183" s="49"/>
      <c r="DZ183" t="str">
        <f>('Inteligencia emocional'!A184)</f>
        <v>0</v>
      </c>
      <c r="EA183" s="39" t="str">
        <f>'Por Valoracion (3) Dimension 2'!F183</f>
        <v>0</v>
      </c>
      <c r="EB183" s="39" t="str">
        <f>'Por Valoracion (3) Dimension'!H183</f>
        <v>0</v>
      </c>
      <c r="EW183" s="49"/>
      <c r="EY183" t="str">
        <f>('Inteligencia emocional'!A184)</f>
        <v>0</v>
      </c>
      <c r="EZ183" s="39" t="str">
        <f>'Por Valoracion (3) Dimension 2'!H183</f>
        <v>0</v>
      </c>
      <c r="FA183" s="39" t="str">
        <f>'Por Valoracion (3) Dimension'!H183</f>
        <v>0</v>
      </c>
      <c r="FV183" s="49"/>
    </row>
    <row r="184" spans="1:178">
      <c r="A184" s="48"/>
      <c r="C184" t="str">
        <f>('Inteligencia emocional'!A185)</f>
        <v>0</v>
      </c>
      <c r="D184" s="39" t="str">
        <f>'Por Valoracion (3) Dimension'!B184</f>
        <v>0</v>
      </c>
      <c r="E184" s="39" t="str">
        <f>'Por Valoracion (3) Dimension 2'!J184</f>
        <v>0</v>
      </c>
      <c r="Z184" s="48"/>
      <c r="AB184" t="str">
        <f>('Inteligencia emocional'!A185)</f>
        <v>0</v>
      </c>
      <c r="AC184" s="39" t="str">
        <f>'Por Valoracion (3) Dimension'!D184</f>
        <v>0</v>
      </c>
      <c r="AD184" s="39" t="str">
        <f>'Por Valoracion (3) Dimension 2'!J184</f>
        <v>0</v>
      </c>
      <c r="AY184" s="48"/>
      <c r="BA184" t="str">
        <f>('Inteligencia emocional'!A185)</f>
        <v>0</v>
      </c>
      <c r="BB184" s="39" t="str">
        <f>'Por Valoracion (3) Dimension'!F184</f>
        <v>0</v>
      </c>
      <c r="BC184" s="39" t="str">
        <f>'Por Valoracion (3) Dimension 2'!J184</f>
        <v>0</v>
      </c>
      <c r="BX184" s="48"/>
      <c r="BZ184" s="49"/>
      <c r="CB184" t="str">
        <f>('Inteligencia emocional'!A185)</f>
        <v>0</v>
      </c>
      <c r="CC184" s="39" t="str">
        <f>'Por Valoracion (3) Dimension 2'!B184</f>
        <v>0</v>
      </c>
      <c r="CD184" s="39" t="str">
        <f>'Por Valoracion (3) Dimension'!H184</f>
        <v>0</v>
      </c>
      <c r="CY184" s="49"/>
      <c r="DA184" t="str">
        <f>('Inteligencia emocional'!A185)</f>
        <v>0</v>
      </c>
      <c r="DB184" s="39" t="str">
        <f>'Por Valoracion (3) Dimension 2'!D184</f>
        <v>0</v>
      </c>
      <c r="DC184" s="39" t="str">
        <f>'Por Valoracion (3) Dimension'!H184</f>
        <v>0</v>
      </c>
      <c r="DX184" s="49"/>
      <c r="DZ184" t="str">
        <f>('Inteligencia emocional'!A185)</f>
        <v>0</v>
      </c>
      <c r="EA184" s="39" t="str">
        <f>'Por Valoracion (3) Dimension 2'!F184</f>
        <v>0</v>
      </c>
      <c r="EB184" s="39" t="str">
        <f>'Por Valoracion (3) Dimension'!H184</f>
        <v>0</v>
      </c>
      <c r="EW184" s="49"/>
      <c r="EY184" t="str">
        <f>('Inteligencia emocional'!A185)</f>
        <v>0</v>
      </c>
      <c r="EZ184" s="39" t="str">
        <f>'Por Valoracion (3) Dimension 2'!H184</f>
        <v>0</v>
      </c>
      <c r="FA184" s="39" t="str">
        <f>'Por Valoracion (3) Dimension'!H184</f>
        <v>0</v>
      </c>
      <c r="FV184" s="49"/>
    </row>
    <row r="185" spans="1:178">
      <c r="A185" s="48"/>
      <c r="C185" t="str">
        <f>('Inteligencia emocional'!A186)</f>
        <v>0</v>
      </c>
      <c r="D185" s="39" t="str">
        <f>'Por Valoracion (3) Dimension'!B185</f>
        <v>0</v>
      </c>
      <c r="E185" s="39" t="str">
        <f>'Por Valoracion (3) Dimension 2'!J185</f>
        <v>0</v>
      </c>
      <c r="Z185" s="48"/>
      <c r="AB185" t="str">
        <f>('Inteligencia emocional'!A186)</f>
        <v>0</v>
      </c>
      <c r="AC185" s="39" t="str">
        <f>'Por Valoracion (3) Dimension'!D185</f>
        <v>0</v>
      </c>
      <c r="AD185" s="39" t="str">
        <f>'Por Valoracion (3) Dimension 2'!J185</f>
        <v>0</v>
      </c>
      <c r="AY185" s="48"/>
      <c r="BA185" t="str">
        <f>('Inteligencia emocional'!A186)</f>
        <v>0</v>
      </c>
      <c r="BB185" s="39" t="str">
        <f>'Por Valoracion (3) Dimension'!F185</f>
        <v>0</v>
      </c>
      <c r="BC185" s="39" t="str">
        <f>'Por Valoracion (3) Dimension 2'!J185</f>
        <v>0</v>
      </c>
      <c r="BX185" s="48"/>
      <c r="BZ185" s="49"/>
      <c r="CB185" t="str">
        <f>('Inteligencia emocional'!A186)</f>
        <v>0</v>
      </c>
      <c r="CC185" s="39" t="str">
        <f>'Por Valoracion (3) Dimension 2'!B185</f>
        <v>0</v>
      </c>
      <c r="CD185" s="39" t="str">
        <f>'Por Valoracion (3) Dimension'!H185</f>
        <v>0</v>
      </c>
      <c r="CY185" s="49"/>
      <c r="DA185" t="str">
        <f>('Inteligencia emocional'!A186)</f>
        <v>0</v>
      </c>
      <c r="DB185" s="39" t="str">
        <f>'Por Valoracion (3) Dimension 2'!D185</f>
        <v>0</v>
      </c>
      <c r="DC185" s="39" t="str">
        <f>'Por Valoracion (3) Dimension'!H185</f>
        <v>0</v>
      </c>
      <c r="DX185" s="49"/>
      <c r="DZ185" t="str">
        <f>('Inteligencia emocional'!A186)</f>
        <v>0</v>
      </c>
      <c r="EA185" s="39" t="str">
        <f>'Por Valoracion (3) Dimension 2'!F185</f>
        <v>0</v>
      </c>
      <c r="EB185" s="39" t="str">
        <f>'Por Valoracion (3) Dimension'!H185</f>
        <v>0</v>
      </c>
      <c r="EW185" s="49"/>
      <c r="EY185" t="str">
        <f>('Inteligencia emocional'!A186)</f>
        <v>0</v>
      </c>
      <c r="EZ185" s="39" t="str">
        <f>'Por Valoracion (3) Dimension 2'!H185</f>
        <v>0</v>
      </c>
      <c r="FA185" s="39" t="str">
        <f>'Por Valoracion (3) Dimension'!H185</f>
        <v>0</v>
      </c>
      <c r="FV185" s="49"/>
    </row>
    <row r="186" spans="1:178">
      <c r="A186" s="48"/>
      <c r="C186" t="str">
        <f>('Inteligencia emocional'!A187)</f>
        <v>0</v>
      </c>
      <c r="D186" s="39" t="str">
        <f>'Por Valoracion (3) Dimension'!B186</f>
        <v>0</v>
      </c>
      <c r="E186" s="39" t="str">
        <f>'Por Valoracion (3) Dimension 2'!J186</f>
        <v>0</v>
      </c>
      <c r="Z186" s="48"/>
      <c r="AB186" t="str">
        <f>('Inteligencia emocional'!A187)</f>
        <v>0</v>
      </c>
      <c r="AC186" s="39" t="str">
        <f>'Por Valoracion (3) Dimension'!D186</f>
        <v>0</v>
      </c>
      <c r="AD186" s="39" t="str">
        <f>'Por Valoracion (3) Dimension 2'!J186</f>
        <v>0</v>
      </c>
      <c r="AY186" s="48"/>
      <c r="BA186" t="str">
        <f>('Inteligencia emocional'!A187)</f>
        <v>0</v>
      </c>
      <c r="BB186" s="39" t="str">
        <f>'Por Valoracion (3) Dimension'!F186</f>
        <v>0</v>
      </c>
      <c r="BC186" s="39" t="str">
        <f>'Por Valoracion (3) Dimension 2'!J186</f>
        <v>0</v>
      </c>
      <c r="BX186" s="48"/>
      <c r="BZ186" s="49"/>
      <c r="CB186" t="str">
        <f>('Inteligencia emocional'!A187)</f>
        <v>0</v>
      </c>
      <c r="CC186" s="39" t="str">
        <f>'Por Valoracion (3) Dimension 2'!B186</f>
        <v>0</v>
      </c>
      <c r="CD186" s="39" t="str">
        <f>'Por Valoracion (3) Dimension'!H186</f>
        <v>0</v>
      </c>
      <c r="CY186" s="49"/>
      <c r="DA186" t="str">
        <f>('Inteligencia emocional'!A187)</f>
        <v>0</v>
      </c>
      <c r="DB186" s="39" t="str">
        <f>'Por Valoracion (3) Dimension 2'!D186</f>
        <v>0</v>
      </c>
      <c r="DC186" s="39" t="str">
        <f>'Por Valoracion (3) Dimension'!H186</f>
        <v>0</v>
      </c>
      <c r="DX186" s="49"/>
      <c r="DZ186" t="str">
        <f>('Inteligencia emocional'!A187)</f>
        <v>0</v>
      </c>
      <c r="EA186" s="39" t="str">
        <f>'Por Valoracion (3) Dimension 2'!F186</f>
        <v>0</v>
      </c>
      <c r="EB186" s="39" t="str">
        <f>'Por Valoracion (3) Dimension'!H186</f>
        <v>0</v>
      </c>
      <c r="EW186" s="49"/>
      <c r="EY186" t="str">
        <f>('Inteligencia emocional'!A187)</f>
        <v>0</v>
      </c>
      <c r="EZ186" s="39" t="str">
        <f>'Por Valoracion (3) Dimension 2'!H186</f>
        <v>0</v>
      </c>
      <c r="FA186" s="39" t="str">
        <f>'Por Valoracion (3) Dimension'!H186</f>
        <v>0</v>
      </c>
      <c r="FV186" s="49"/>
    </row>
    <row r="187" spans="1:178">
      <c r="A187" s="48"/>
      <c r="C187" t="str">
        <f>('Inteligencia emocional'!A188)</f>
        <v>0</v>
      </c>
      <c r="D187" s="39" t="str">
        <f>'Por Valoracion (3) Dimension'!B187</f>
        <v>0</v>
      </c>
      <c r="E187" s="39" t="str">
        <f>'Por Valoracion (3) Dimension 2'!J187</f>
        <v>0</v>
      </c>
      <c r="Z187" s="48"/>
      <c r="AB187" t="str">
        <f>('Inteligencia emocional'!A188)</f>
        <v>0</v>
      </c>
      <c r="AC187" s="39" t="str">
        <f>'Por Valoracion (3) Dimension'!D187</f>
        <v>0</v>
      </c>
      <c r="AD187" s="39" t="str">
        <f>'Por Valoracion (3) Dimension 2'!J187</f>
        <v>0</v>
      </c>
      <c r="AY187" s="48"/>
      <c r="BA187" t="str">
        <f>('Inteligencia emocional'!A188)</f>
        <v>0</v>
      </c>
      <c r="BB187" s="39" t="str">
        <f>'Por Valoracion (3) Dimension'!F187</f>
        <v>0</v>
      </c>
      <c r="BC187" s="39" t="str">
        <f>'Por Valoracion (3) Dimension 2'!J187</f>
        <v>0</v>
      </c>
      <c r="BX187" s="48"/>
      <c r="BZ187" s="49"/>
      <c r="CB187" t="str">
        <f>('Inteligencia emocional'!A188)</f>
        <v>0</v>
      </c>
      <c r="CC187" s="39" t="str">
        <f>'Por Valoracion (3) Dimension 2'!B187</f>
        <v>0</v>
      </c>
      <c r="CD187" s="39" t="str">
        <f>'Por Valoracion (3) Dimension'!H187</f>
        <v>0</v>
      </c>
      <c r="CY187" s="49"/>
      <c r="DA187" t="str">
        <f>('Inteligencia emocional'!A188)</f>
        <v>0</v>
      </c>
      <c r="DB187" s="39" t="str">
        <f>'Por Valoracion (3) Dimension 2'!D187</f>
        <v>0</v>
      </c>
      <c r="DC187" s="39" t="str">
        <f>'Por Valoracion (3) Dimension'!H187</f>
        <v>0</v>
      </c>
      <c r="DX187" s="49"/>
      <c r="DZ187" t="str">
        <f>('Inteligencia emocional'!A188)</f>
        <v>0</v>
      </c>
      <c r="EA187" s="39" t="str">
        <f>'Por Valoracion (3) Dimension 2'!F187</f>
        <v>0</v>
      </c>
      <c r="EB187" s="39" t="str">
        <f>'Por Valoracion (3) Dimension'!H187</f>
        <v>0</v>
      </c>
      <c r="EW187" s="49"/>
      <c r="EY187" t="str">
        <f>('Inteligencia emocional'!A188)</f>
        <v>0</v>
      </c>
      <c r="EZ187" s="39" t="str">
        <f>'Por Valoracion (3) Dimension 2'!H187</f>
        <v>0</v>
      </c>
      <c r="FA187" s="39" t="str">
        <f>'Por Valoracion (3) Dimension'!H187</f>
        <v>0</v>
      </c>
      <c r="FV187" s="49"/>
    </row>
    <row r="188" spans="1:178">
      <c r="A188" s="48"/>
      <c r="C188" t="str">
        <f>('Inteligencia emocional'!A189)</f>
        <v>0</v>
      </c>
      <c r="D188" s="39" t="str">
        <f>'Por Valoracion (3) Dimension'!B188</f>
        <v>0</v>
      </c>
      <c r="E188" s="39" t="str">
        <f>'Por Valoracion (3) Dimension 2'!J188</f>
        <v>0</v>
      </c>
      <c r="Z188" s="48"/>
      <c r="AB188" t="str">
        <f>('Inteligencia emocional'!A189)</f>
        <v>0</v>
      </c>
      <c r="AC188" s="39" t="str">
        <f>'Por Valoracion (3) Dimension'!D188</f>
        <v>0</v>
      </c>
      <c r="AD188" s="39" t="str">
        <f>'Por Valoracion (3) Dimension 2'!J188</f>
        <v>0</v>
      </c>
      <c r="AY188" s="48"/>
      <c r="BA188" t="str">
        <f>('Inteligencia emocional'!A189)</f>
        <v>0</v>
      </c>
      <c r="BB188" s="39" t="str">
        <f>'Por Valoracion (3) Dimension'!F188</f>
        <v>0</v>
      </c>
      <c r="BC188" s="39" t="str">
        <f>'Por Valoracion (3) Dimension 2'!J188</f>
        <v>0</v>
      </c>
      <c r="BX188" s="48"/>
      <c r="BZ188" s="49"/>
      <c r="CB188" t="str">
        <f>('Inteligencia emocional'!A189)</f>
        <v>0</v>
      </c>
      <c r="CC188" s="39" t="str">
        <f>'Por Valoracion (3) Dimension 2'!B188</f>
        <v>0</v>
      </c>
      <c r="CD188" s="39" t="str">
        <f>'Por Valoracion (3) Dimension'!H188</f>
        <v>0</v>
      </c>
      <c r="CY188" s="49"/>
      <c r="DA188" t="str">
        <f>('Inteligencia emocional'!A189)</f>
        <v>0</v>
      </c>
      <c r="DB188" s="39" t="str">
        <f>'Por Valoracion (3) Dimension 2'!D188</f>
        <v>0</v>
      </c>
      <c r="DC188" s="39" t="str">
        <f>'Por Valoracion (3) Dimension'!H188</f>
        <v>0</v>
      </c>
      <c r="DX188" s="49"/>
      <c r="DZ188" t="str">
        <f>('Inteligencia emocional'!A189)</f>
        <v>0</v>
      </c>
      <c r="EA188" s="39" t="str">
        <f>'Por Valoracion (3) Dimension 2'!F188</f>
        <v>0</v>
      </c>
      <c r="EB188" s="39" t="str">
        <f>'Por Valoracion (3) Dimension'!H188</f>
        <v>0</v>
      </c>
      <c r="EW188" s="49"/>
      <c r="EY188" t="str">
        <f>('Inteligencia emocional'!A189)</f>
        <v>0</v>
      </c>
      <c r="EZ188" s="39" t="str">
        <f>'Por Valoracion (3) Dimension 2'!H188</f>
        <v>0</v>
      </c>
      <c r="FA188" s="39" t="str">
        <f>'Por Valoracion (3) Dimension'!H188</f>
        <v>0</v>
      </c>
      <c r="FV188" s="49"/>
    </row>
    <row r="189" spans="1:178">
      <c r="A189" s="48"/>
      <c r="C189" t="str">
        <f>('Inteligencia emocional'!A190)</f>
        <v>0</v>
      </c>
      <c r="D189" s="39" t="str">
        <f>'Por Valoracion (3) Dimension'!B189</f>
        <v>0</v>
      </c>
      <c r="E189" s="39" t="str">
        <f>'Por Valoracion (3) Dimension 2'!J189</f>
        <v>0</v>
      </c>
      <c r="Z189" s="48"/>
      <c r="AB189" t="str">
        <f>('Inteligencia emocional'!A190)</f>
        <v>0</v>
      </c>
      <c r="AC189" s="39" t="str">
        <f>'Por Valoracion (3) Dimension'!D189</f>
        <v>0</v>
      </c>
      <c r="AD189" s="39" t="str">
        <f>'Por Valoracion (3) Dimension 2'!J189</f>
        <v>0</v>
      </c>
      <c r="AY189" s="48"/>
      <c r="BA189" t="str">
        <f>('Inteligencia emocional'!A190)</f>
        <v>0</v>
      </c>
      <c r="BB189" s="39" t="str">
        <f>'Por Valoracion (3) Dimension'!F189</f>
        <v>0</v>
      </c>
      <c r="BC189" s="39" t="str">
        <f>'Por Valoracion (3) Dimension 2'!J189</f>
        <v>0</v>
      </c>
      <c r="BX189" s="48"/>
      <c r="BZ189" s="49"/>
      <c r="CB189" t="str">
        <f>('Inteligencia emocional'!A190)</f>
        <v>0</v>
      </c>
      <c r="CC189" s="39" t="str">
        <f>'Por Valoracion (3) Dimension 2'!B189</f>
        <v>0</v>
      </c>
      <c r="CD189" s="39" t="str">
        <f>'Por Valoracion (3) Dimension'!H189</f>
        <v>0</v>
      </c>
      <c r="CY189" s="49"/>
      <c r="DA189" t="str">
        <f>('Inteligencia emocional'!A190)</f>
        <v>0</v>
      </c>
      <c r="DB189" s="39" t="str">
        <f>'Por Valoracion (3) Dimension 2'!D189</f>
        <v>0</v>
      </c>
      <c r="DC189" s="39" t="str">
        <f>'Por Valoracion (3) Dimension'!H189</f>
        <v>0</v>
      </c>
      <c r="DX189" s="49"/>
      <c r="DZ189" t="str">
        <f>('Inteligencia emocional'!A190)</f>
        <v>0</v>
      </c>
      <c r="EA189" s="39" t="str">
        <f>'Por Valoracion (3) Dimension 2'!F189</f>
        <v>0</v>
      </c>
      <c r="EB189" s="39" t="str">
        <f>'Por Valoracion (3) Dimension'!H189</f>
        <v>0</v>
      </c>
      <c r="EW189" s="49"/>
      <c r="EY189" t="str">
        <f>('Inteligencia emocional'!A190)</f>
        <v>0</v>
      </c>
      <c r="EZ189" s="39" t="str">
        <f>'Por Valoracion (3) Dimension 2'!H189</f>
        <v>0</v>
      </c>
      <c r="FA189" s="39" t="str">
        <f>'Por Valoracion (3) Dimension'!H189</f>
        <v>0</v>
      </c>
      <c r="FV189" s="49"/>
    </row>
    <row r="190" spans="1:178">
      <c r="A190" s="48"/>
      <c r="C190" t="str">
        <f>('Inteligencia emocional'!A191)</f>
        <v>0</v>
      </c>
      <c r="D190" s="39" t="str">
        <f>'Por Valoracion (3) Dimension'!B190</f>
        <v>0</v>
      </c>
      <c r="E190" s="39" t="str">
        <f>'Por Valoracion (3) Dimension 2'!J190</f>
        <v>0</v>
      </c>
      <c r="Z190" s="48"/>
      <c r="AB190" t="str">
        <f>('Inteligencia emocional'!A191)</f>
        <v>0</v>
      </c>
      <c r="AC190" s="39" t="str">
        <f>'Por Valoracion (3) Dimension'!D190</f>
        <v>0</v>
      </c>
      <c r="AD190" s="39" t="str">
        <f>'Por Valoracion (3) Dimension 2'!J190</f>
        <v>0</v>
      </c>
      <c r="AY190" s="48"/>
      <c r="BA190" t="str">
        <f>('Inteligencia emocional'!A191)</f>
        <v>0</v>
      </c>
      <c r="BB190" s="39" t="str">
        <f>'Por Valoracion (3) Dimension'!F190</f>
        <v>0</v>
      </c>
      <c r="BC190" s="39" t="str">
        <f>'Por Valoracion (3) Dimension 2'!J190</f>
        <v>0</v>
      </c>
      <c r="BX190" s="48"/>
      <c r="BZ190" s="49"/>
      <c r="CB190" t="str">
        <f>('Inteligencia emocional'!A191)</f>
        <v>0</v>
      </c>
      <c r="CC190" s="39" t="str">
        <f>'Por Valoracion (3) Dimension 2'!B190</f>
        <v>0</v>
      </c>
      <c r="CD190" s="39" t="str">
        <f>'Por Valoracion (3) Dimension'!H190</f>
        <v>0</v>
      </c>
      <c r="CY190" s="49"/>
      <c r="DA190" t="str">
        <f>('Inteligencia emocional'!A191)</f>
        <v>0</v>
      </c>
      <c r="DB190" s="39" t="str">
        <f>'Por Valoracion (3) Dimension 2'!D190</f>
        <v>0</v>
      </c>
      <c r="DC190" s="39" t="str">
        <f>'Por Valoracion (3) Dimension'!H190</f>
        <v>0</v>
      </c>
      <c r="DX190" s="49"/>
      <c r="DZ190" t="str">
        <f>('Inteligencia emocional'!A191)</f>
        <v>0</v>
      </c>
      <c r="EA190" s="39" t="str">
        <f>'Por Valoracion (3) Dimension 2'!F190</f>
        <v>0</v>
      </c>
      <c r="EB190" s="39" t="str">
        <f>'Por Valoracion (3) Dimension'!H190</f>
        <v>0</v>
      </c>
      <c r="EW190" s="49"/>
      <c r="EY190" t="str">
        <f>('Inteligencia emocional'!A191)</f>
        <v>0</v>
      </c>
      <c r="EZ190" s="39" t="str">
        <f>'Por Valoracion (3) Dimension 2'!H190</f>
        <v>0</v>
      </c>
      <c r="FA190" s="39" t="str">
        <f>'Por Valoracion (3) Dimension'!H190</f>
        <v>0</v>
      </c>
      <c r="FV190" s="49"/>
    </row>
    <row r="191" spans="1:178">
      <c r="A191" s="48"/>
      <c r="C191" t="str">
        <f>('Inteligencia emocional'!A192)</f>
        <v>0</v>
      </c>
      <c r="D191" s="39" t="str">
        <f>'Por Valoracion (3) Dimension'!B191</f>
        <v>0</v>
      </c>
      <c r="E191" s="39" t="str">
        <f>'Por Valoracion (3) Dimension 2'!J191</f>
        <v>0</v>
      </c>
      <c r="Z191" s="48"/>
      <c r="AB191" t="str">
        <f>('Inteligencia emocional'!A192)</f>
        <v>0</v>
      </c>
      <c r="AC191" s="39" t="str">
        <f>'Por Valoracion (3) Dimension'!D191</f>
        <v>0</v>
      </c>
      <c r="AD191" s="39" t="str">
        <f>'Por Valoracion (3) Dimension 2'!J191</f>
        <v>0</v>
      </c>
      <c r="AY191" s="48"/>
      <c r="BA191" t="str">
        <f>('Inteligencia emocional'!A192)</f>
        <v>0</v>
      </c>
      <c r="BB191" s="39" t="str">
        <f>'Por Valoracion (3) Dimension'!F191</f>
        <v>0</v>
      </c>
      <c r="BC191" s="39" t="str">
        <f>'Por Valoracion (3) Dimension 2'!J191</f>
        <v>0</v>
      </c>
      <c r="BX191" s="48"/>
      <c r="BZ191" s="49"/>
      <c r="CB191" t="str">
        <f>('Inteligencia emocional'!A192)</f>
        <v>0</v>
      </c>
      <c r="CC191" s="39" t="str">
        <f>'Por Valoracion (3) Dimension 2'!B191</f>
        <v>0</v>
      </c>
      <c r="CD191" s="39" t="str">
        <f>'Por Valoracion (3) Dimension'!H191</f>
        <v>0</v>
      </c>
      <c r="CY191" s="49"/>
      <c r="DA191" t="str">
        <f>('Inteligencia emocional'!A192)</f>
        <v>0</v>
      </c>
      <c r="DB191" s="39" t="str">
        <f>'Por Valoracion (3) Dimension 2'!D191</f>
        <v>0</v>
      </c>
      <c r="DC191" s="39" t="str">
        <f>'Por Valoracion (3) Dimension'!H191</f>
        <v>0</v>
      </c>
      <c r="DX191" s="49"/>
      <c r="DZ191" t="str">
        <f>('Inteligencia emocional'!A192)</f>
        <v>0</v>
      </c>
      <c r="EA191" s="39" t="str">
        <f>'Por Valoracion (3) Dimension 2'!F191</f>
        <v>0</v>
      </c>
      <c r="EB191" s="39" t="str">
        <f>'Por Valoracion (3) Dimension'!H191</f>
        <v>0</v>
      </c>
      <c r="EW191" s="49"/>
      <c r="EY191" t="str">
        <f>('Inteligencia emocional'!A192)</f>
        <v>0</v>
      </c>
      <c r="EZ191" s="39" t="str">
        <f>'Por Valoracion (3) Dimension 2'!H191</f>
        <v>0</v>
      </c>
      <c r="FA191" s="39" t="str">
        <f>'Por Valoracion (3) Dimension'!H191</f>
        <v>0</v>
      </c>
      <c r="FV191" s="49"/>
    </row>
    <row r="192" spans="1:178">
      <c r="A192" s="48"/>
      <c r="C192" t="str">
        <f>('Inteligencia emocional'!A193)</f>
        <v>0</v>
      </c>
      <c r="D192" s="39" t="str">
        <f>'Por Valoracion (3) Dimension'!B192</f>
        <v>0</v>
      </c>
      <c r="E192" s="39" t="str">
        <f>'Por Valoracion (3) Dimension 2'!J192</f>
        <v>0</v>
      </c>
      <c r="Z192" s="48"/>
      <c r="AB192" t="str">
        <f>('Inteligencia emocional'!A193)</f>
        <v>0</v>
      </c>
      <c r="AC192" s="39" t="str">
        <f>'Por Valoracion (3) Dimension'!D192</f>
        <v>0</v>
      </c>
      <c r="AD192" s="39" t="str">
        <f>'Por Valoracion (3) Dimension 2'!J192</f>
        <v>0</v>
      </c>
      <c r="AY192" s="48"/>
      <c r="BA192" t="str">
        <f>('Inteligencia emocional'!A193)</f>
        <v>0</v>
      </c>
      <c r="BB192" s="39" t="str">
        <f>'Por Valoracion (3) Dimension'!F192</f>
        <v>0</v>
      </c>
      <c r="BC192" s="39" t="str">
        <f>'Por Valoracion (3) Dimension 2'!J192</f>
        <v>0</v>
      </c>
      <c r="BX192" s="48"/>
      <c r="BZ192" s="49"/>
      <c r="CB192" t="str">
        <f>('Inteligencia emocional'!A193)</f>
        <v>0</v>
      </c>
      <c r="CC192" s="39" t="str">
        <f>'Por Valoracion (3) Dimension 2'!B192</f>
        <v>0</v>
      </c>
      <c r="CD192" s="39" t="str">
        <f>'Por Valoracion (3) Dimension'!H192</f>
        <v>0</v>
      </c>
      <c r="CY192" s="49"/>
      <c r="DA192" t="str">
        <f>('Inteligencia emocional'!A193)</f>
        <v>0</v>
      </c>
      <c r="DB192" s="39" t="str">
        <f>'Por Valoracion (3) Dimension 2'!D192</f>
        <v>0</v>
      </c>
      <c r="DC192" s="39" t="str">
        <f>'Por Valoracion (3) Dimension'!H192</f>
        <v>0</v>
      </c>
      <c r="DX192" s="49"/>
      <c r="DZ192" t="str">
        <f>('Inteligencia emocional'!A193)</f>
        <v>0</v>
      </c>
      <c r="EA192" s="39" t="str">
        <f>'Por Valoracion (3) Dimension 2'!F192</f>
        <v>0</v>
      </c>
      <c r="EB192" s="39" t="str">
        <f>'Por Valoracion (3) Dimension'!H192</f>
        <v>0</v>
      </c>
      <c r="EW192" s="49"/>
      <c r="EY192" t="str">
        <f>('Inteligencia emocional'!A193)</f>
        <v>0</v>
      </c>
      <c r="EZ192" s="39" t="str">
        <f>'Por Valoracion (3) Dimension 2'!H192</f>
        <v>0</v>
      </c>
      <c r="FA192" s="39" t="str">
        <f>'Por Valoracion (3) Dimension'!H192</f>
        <v>0</v>
      </c>
      <c r="FV192" s="49"/>
    </row>
    <row r="193" spans="1:178">
      <c r="A193" s="48"/>
      <c r="C193" t="str">
        <f>('Inteligencia emocional'!A194)</f>
        <v>0</v>
      </c>
      <c r="D193" s="39" t="str">
        <f>'Por Valoracion (3) Dimension'!B193</f>
        <v>0</v>
      </c>
      <c r="E193" s="39" t="str">
        <f>'Por Valoracion (3) Dimension 2'!J193</f>
        <v>0</v>
      </c>
      <c r="Z193" s="48"/>
      <c r="AB193" t="str">
        <f>('Inteligencia emocional'!A194)</f>
        <v>0</v>
      </c>
      <c r="AC193" s="39" t="str">
        <f>'Por Valoracion (3) Dimension'!D193</f>
        <v>0</v>
      </c>
      <c r="AD193" s="39" t="str">
        <f>'Por Valoracion (3) Dimension 2'!J193</f>
        <v>0</v>
      </c>
      <c r="AY193" s="48"/>
      <c r="BA193" t="str">
        <f>('Inteligencia emocional'!A194)</f>
        <v>0</v>
      </c>
      <c r="BB193" s="39" t="str">
        <f>'Por Valoracion (3) Dimension'!F193</f>
        <v>0</v>
      </c>
      <c r="BC193" s="39" t="str">
        <f>'Por Valoracion (3) Dimension 2'!J193</f>
        <v>0</v>
      </c>
      <c r="BX193" s="48"/>
      <c r="BZ193" s="49"/>
      <c r="CB193" t="str">
        <f>('Inteligencia emocional'!A194)</f>
        <v>0</v>
      </c>
      <c r="CC193" s="39" t="str">
        <f>'Por Valoracion (3) Dimension 2'!B193</f>
        <v>0</v>
      </c>
      <c r="CD193" s="39" t="str">
        <f>'Por Valoracion (3) Dimension'!H193</f>
        <v>0</v>
      </c>
      <c r="CY193" s="49"/>
      <c r="DA193" t="str">
        <f>('Inteligencia emocional'!A194)</f>
        <v>0</v>
      </c>
      <c r="DB193" s="39" t="str">
        <f>'Por Valoracion (3) Dimension 2'!D193</f>
        <v>0</v>
      </c>
      <c r="DC193" s="39" t="str">
        <f>'Por Valoracion (3) Dimension'!H193</f>
        <v>0</v>
      </c>
      <c r="DX193" s="49"/>
      <c r="DZ193" t="str">
        <f>('Inteligencia emocional'!A194)</f>
        <v>0</v>
      </c>
      <c r="EA193" s="39" t="str">
        <f>'Por Valoracion (3) Dimension 2'!F193</f>
        <v>0</v>
      </c>
      <c r="EB193" s="39" t="str">
        <f>'Por Valoracion (3) Dimension'!H193</f>
        <v>0</v>
      </c>
      <c r="EW193" s="49"/>
      <c r="EY193" t="str">
        <f>('Inteligencia emocional'!A194)</f>
        <v>0</v>
      </c>
      <c r="EZ193" s="39" t="str">
        <f>'Por Valoracion (3) Dimension 2'!H193</f>
        <v>0</v>
      </c>
      <c r="FA193" s="39" t="str">
        <f>'Por Valoracion (3) Dimension'!H193</f>
        <v>0</v>
      </c>
      <c r="FV193" s="49"/>
    </row>
    <row r="194" spans="1:178">
      <c r="A194" s="48"/>
      <c r="C194" t="str">
        <f>('Inteligencia emocional'!A195)</f>
        <v>0</v>
      </c>
      <c r="D194" s="39" t="str">
        <f>'Por Valoracion (3) Dimension'!B194</f>
        <v>0</v>
      </c>
      <c r="E194" s="39" t="str">
        <f>'Por Valoracion (3) Dimension 2'!J194</f>
        <v>0</v>
      </c>
      <c r="Z194" s="48"/>
      <c r="AB194" t="str">
        <f>('Inteligencia emocional'!A195)</f>
        <v>0</v>
      </c>
      <c r="AC194" s="39" t="str">
        <f>'Por Valoracion (3) Dimension'!D194</f>
        <v>0</v>
      </c>
      <c r="AD194" s="39" t="str">
        <f>'Por Valoracion (3) Dimension 2'!J194</f>
        <v>0</v>
      </c>
      <c r="AY194" s="48"/>
      <c r="BA194" t="str">
        <f>('Inteligencia emocional'!A195)</f>
        <v>0</v>
      </c>
      <c r="BB194" s="39" t="str">
        <f>'Por Valoracion (3) Dimension'!F194</f>
        <v>0</v>
      </c>
      <c r="BC194" s="39" t="str">
        <f>'Por Valoracion (3) Dimension 2'!J194</f>
        <v>0</v>
      </c>
      <c r="BX194" s="48"/>
      <c r="BZ194" s="49"/>
      <c r="CB194" t="str">
        <f>('Inteligencia emocional'!A195)</f>
        <v>0</v>
      </c>
      <c r="CC194" s="39" t="str">
        <f>'Por Valoracion (3) Dimension 2'!B194</f>
        <v>0</v>
      </c>
      <c r="CD194" s="39" t="str">
        <f>'Por Valoracion (3) Dimension'!H194</f>
        <v>0</v>
      </c>
      <c r="CY194" s="49"/>
      <c r="DA194" t="str">
        <f>('Inteligencia emocional'!A195)</f>
        <v>0</v>
      </c>
      <c r="DB194" s="39" t="str">
        <f>'Por Valoracion (3) Dimension 2'!D194</f>
        <v>0</v>
      </c>
      <c r="DC194" s="39" t="str">
        <f>'Por Valoracion (3) Dimension'!H194</f>
        <v>0</v>
      </c>
      <c r="DX194" s="49"/>
      <c r="DZ194" t="str">
        <f>('Inteligencia emocional'!A195)</f>
        <v>0</v>
      </c>
      <c r="EA194" s="39" t="str">
        <f>'Por Valoracion (3) Dimension 2'!F194</f>
        <v>0</v>
      </c>
      <c r="EB194" s="39" t="str">
        <f>'Por Valoracion (3) Dimension'!H194</f>
        <v>0</v>
      </c>
      <c r="EW194" s="49"/>
      <c r="EY194" t="str">
        <f>('Inteligencia emocional'!A195)</f>
        <v>0</v>
      </c>
      <c r="EZ194" s="39" t="str">
        <f>'Por Valoracion (3) Dimension 2'!H194</f>
        <v>0</v>
      </c>
      <c r="FA194" s="39" t="str">
        <f>'Por Valoracion (3) Dimension'!H194</f>
        <v>0</v>
      </c>
      <c r="FV194" s="49"/>
    </row>
    <row r="195" spans="1:178">
      <c r="A195" s="48"/>
      <c r="C195" t="str">
        <f>('Inteligencia emocional'!A196)</f>
        <v>0</v>
      </c>
      <c r="D195" s="39" t="str">
        <f>'Por Valoracion (3) Dimension'!B195</f>
        <v>0</v>
      </c>
      <c r="E195" s="39" t="str">
        <f>'Por Valoracion (3) Dimension 2'!J195</f>
        <v>0</v>
      </c>
      <c r="Z195" s="48"/>
      <c r="AB195" t="str">
        <f>('Inteligencia emocional'!A196)</f>
        <v>0</v>
      </c>
      <c r="AC195" s="39" t="str">
        <f>'Por Valoracion (3) Dimension'!D195</f>
        <v>0</v>
      </c>
      <c r="AD195" s="39" t="str">
        <f>'Por Valoracion (3) Dimension 2'!J195</f>
        <v>0</v>
      </c>
      <c r="AY195" s="48"/>
      <c r="BA195" t="str">
        <f>('Inteligencia emocional'!A196)</f>
        <v>0</v>
      </c>
      <c r="BB195" s="39" t="str">
        <f>'Por Valoracion (3) Dimension'!F195</f>
        <v>0</v>
      </c>
      <c r="BC195" s="39" t="str">
        <f>'Por Valoracion (3) Dimension 2'!J195</f>
        <v>0</v>
      </c>
      <c r="BX195" s="48"/>
      <c r="BZ195" s="49"/>
      <c r="CB195" t="str">
        <f>('Inteligencia emocional'!A196)</f>
        <v>0</v>
      </c>
      <c r="CC195" s="39" t="str">
        <f>'Por Valoracion (3) Dimension 2'!B195</f>
        <v>0</v>
      </c>
      <c r="CD195" s="39" t="str">
        <f>'Por Valoracion (3) Dimension'!H195</f>
        <v>0</v>
      </c>
      <c r="CY195" s="49"/>
      <c r="DA195" t="str">
        <f>('Inteligencia emocional'!A196)</f>
        <v>0</v>
      </c>
      <c r="DB195" s="39" t="str">
        <f>'Por Valoracion (3) Dimension 2'!D195</f>
        <v>0</v>
      </c>
      <c r="DC195" s="39" t="str">
        <f>'Por Valoracion (3) Dimension'!H195</f>
        <v>0</v>
      </c>
      <c r="DX195" s="49"/>
      <c r="DZ195" t="str">
        <f>('Inteligencia emocional'!A196)</f>
        <v>0</v>
      </c>
      <c r="EA195" s="39" t="str">
        <f>'Por Valoracion (3) Dimension 2'!F195</f>
        <v>0</v>
      </c>
      <c r="EB195" s="39" t="str">
        <f>'Por Valoracion (3) Dimension'!H195</f>
        <v>0</v>
      </c>
      <c r="EW195" s="49"/>
      <c r="EY195" t="str">
        <f>('Inteligencia emocional'!A196)</f>
        <v>0</v>
      </c>
      <c r="EZ195" s="39" t="str">
        <f>'Por Valoracion (3) Dimension 2'!H195</f>
        <v>0</v>
      </c>
      <c r="FA195" s="39" t="str">
        <f>'Por Valoracion (3) Dimension'!H195</f>
        <v>0</v>
      </c>
      <c r="FV195" s="49"/>
    </row>
    <row r="196" spans="1:178">
      <c r="A196" s="48"/>
      <c r="C196" t="str">
        <f>('Inteligencia emocional'!A197)</f>
        <v>0</v>
      </c>
      <c r="D196" s="39" t="str">
        <f>'Por Valoracion (3) Dimension'!B196</f>
        <v>0</v>
      </c>
      <c r="E196" s="39" t="str">
        <f>'Por Valoracion (3) Dimension 2'!J196</f>
        <v>0</v>
      </c>
      <c r="Z196" s="48"/>
      <c r="AB196" t="str">
        <f>('Inteligencia emocional'!A197)</f>
        <v>0</v>
      </c>
      <c r="AC196" s="39" t="str">
        <f>'Por Valoracion (3) Dimension'!D196</f>
        <v>0</v>
      </c>
      <c r="AD196" s="39" t="str">
        <f>'Por Valoracion (3) Dimension 2'!J196</f>
        <v>0</v>
      </c>
      <c r="AY196" s="48"/>
      <c r="BA196" t="str">
        <f>('Inteligencia emocional'!A197)</f>
        <v>0</v>
      </c>
      <c r="BB196" s="39" t="str">
        <f>'Por Valoracion (3) Dimension'!F196</f>
        <v>0</v>
      </c>
      <c r="BC196" s="39" t="str">
        <f>'Por Valoracion (3) Dimension 2'!J196</f>
        <v>0</v>
      </c>
      <c r="BX196" s="48"/>
      <c r="BZ196" s="49"/>
      <c r="CB196" t="str">
        <f>('Inteligencia emocional'!A197)</f>
        <v>0</v>
      </c>
      <c r="CC196" s="39" t="str">
        <f>'Por Valoracion (3) Dimension 2'!B196</f>
        <v>0</v>
      </c>
      <c r="CD196" s="39" t="str">
        <f>'Por Valoracion (3) Dimension'!H196</f>
        <v>0</v>
      </c>
      <c r="CY196" s="49"/>
      <c r="DA196" t="str">
        <f>('Inteligencia emocional'!A197)</f>
        <v>0</v>
      </c>
      <c r="DB196" s="39" t="str">
        <f>'Por Valoracion (3) Dimension 2'!D196</f>
        <v>0</v>
      </c>
      <c r="DC196" s="39" t="str">
        <f>'Por Valoracion (3) Dimension'!H196</f>
        <v>0</v>
      </c>
      <c r="DX196" s="49"/>
      <c r="DZ196" t="str">
        <f>('Inteligencia emocional'!A197)</f>
        <v>0</v>
      </c>
      <c r="EA196" s="39" t="str">
        <f>'Por Valoracion (3) Dimension 2'!F196</f>
        <v>0</v>
      </c>
      <c r="EB196" s="39" t="str">
        <f>'Por Valoracion (3) Dimension'!H196</f>
        <v>0</v>
      </c>
      <c r="EW196" s="49"/>
      <c r="EY196" t="str">
        <f>('Inteligencia emocional'!A197)</f>
        <v>0</v>
      </c>
      <c r="EZ196" s="39" t="str">
        <f>'Por Valoracion (3) Dimension 2'!H196</f>
        <v>0</v>
      </c>
      <c r="FA196" s="39" t="str">
        <f>'Por Valoracion (3) Dimension'!H196</f>
        <v>0</v>
      </c>
      <c r="FV196" s="49"/>
    </row>
    <row r="197" spans="1:178">
      <c r="A197" s="48"/>
      <c r="C197" t="str">
        <f>('Inteligencia emocional'!A198)</f>
        <v>0</v>
      </c>
      <c r="D197" s="39" t="str">
        <f>'Por Valoracion (3) Dimension'!B197</f>
        <v>0</v>
      </c>
      <c r="E197" s="39" t="str">
        <f>'Por Valoracion (3) Dimension 2'!J197</f>
        <v>0</v>
      </c>
      <c r="Z197" s="48"/>
      <c r="AB197" t="str">
        <f>('Inteligencia emocional'!A198)</f>
        <v>0</v>
      </c>
      <c r="AC197" s="39" t="str">
        <f>'Por Valoracion (3) Dimension'!D197</f>
        <v>0</v>
      </c>
      <c r="AD197" s="39" t="str">
        <f>'Por Valoracion (3) Dimension 2'!J197</f>
        <v>0</v>
      </c>
      <c r="AY197" s="48"/>
      <c r="BA197" t="str">
        <f>('Inteligencia emocional'!A198)</f>
        <v>0</v>
      </c>
      <c r="BB197" s="39" t="str">
        <f>'Por Valoracion (3) Dimension'!F197</f>
        <v>0</v>
      </c>
      <c r="BC197" s="39" t="str">
        <f>'Por Valoracion (3) Dimension 2'!J197</f>
        <v>0</v>
      </c>
      <c r="BX197" s="48"/>
      <c r="BZ197" s="49"/>
      <c r="CB197" t="str">
        <f>('Inteligencia emocional'!A198)</f>
        <v>0</v>
      </c>
      <c r="CC197" s="39" t="str">
        <f>'Por Valoracion (3) Dimension 2'!B197</f>
        <v>0</v>
      </c>
      <c r="CD197" s="39" t="str">
        <f>'Por Valoracion (3) Dimension'!H197</f>
        <v>0</v>
      </c>
      <c r="CY197" s="49"/>
      <c r="DA197" t="str">
        <f>('Inteligencia emocional'!A198)</f>
        <v>0</v>
      </c>
      <c r="DB197" s="39" t="str">
        <f>'Por Valoracion (3) Dimension 2'!D197</f>
        <v>0</v>
      </c>
      <c r="DC197" s="39" t="str">
        <f>'Por Valoracion (3) Dimension'!H197</f>
        <v>0</v>
      </c>
      <c r="DX197" s="49"/>
      <c r="DZ197" t="str">
        <f>('Inteligencia emocional'!A198)</f>
        <v>0</v>
      </c>
      <c r="EA197" s="39" t="str">
        <f>'Por Valoracion (3) Dimension 2'!F197</f>
        <v>0</v>
      </c>
      <c r="EB197" s="39" t="str">
        <f>'Por Valoracion (3) Dimension'!H197</f>
        <v>0</v>
      </c>
      <c r="EW197" s="49"/>
      <c r="EY197" t="str">
        <f>('Inteligencia emocional'!A198)</f>
        <v>0</v>
      </c>
      <c r="EZ197" s="39" t="str">
        <f>'Por Valoracion (3) Dimension 2'!H197</f>
        <v>0</v>
      </c>
      <c r="FA197" s="39" t="str">
        <f>'Por Valoracion (3) Dimension'!H197</f>
        <v>0</v>
      </c>
      <c r="FV197" s="49"/>
    </row>
    <row r="198" spans="1:178">
      <c r="A198" s="48"/>
      <c r="C198" t="str">
        <f>('Inteligencia emocional'!A199)</f>
        <v>0</v>
      </c>
      <c r="D198" s="39" t="str">
        <f>'Por Valoracion (3) Dimension'!B198</f>
        <v>0</v>
      </c>
      <c r="E198" s="39" t="str">
        <f>'Por Valoracion (3) Dimension 2'!J198</f>
        <v>0</v>
      </c>
      <c r="Z198" s="48"/>
      <c r="AB198" t="str">
        <f>('Inteligencia emocional'!A199)</f>
        <v>0</v>
      </c>
      <c r="AC198" s="39" t="str">
        <f>'Por Valoracion (3) Dimension'!D198</f>
        <v>0</v>
      </c>
      <c r="AD198" s="39" t="str">
        <f>'Por Valoracion (3) Dimension 2'!J198</f>
        <v>0</v>
      </c>
      <c r="AY198" s="48"/>
      <c r="BA198" t="str">
        <f>('Inteligencia emocional'!A199)</f>
        <v>0</v>
      </c>
      <c r="BB198" s="39" t="str">
        <f>'Por Valoracion (3) Dimension'!F198</f>
        <v>0</v>
      </c>
      <c r="BC198" s="39" t="str">
        <f>'Por Valoracion (3) Dimension 2'!J198</f>
        <v>0</v>
      </c>
      <c r="BX198" s="48"/>
      <c r="BZ198" s="49"/>
      <c r="CB198" t="str">
        <f>('Inteligencia emocional'!A199)</f>
        <v>0</v>
      </c>
      <c r="CC198" s="39" t="str">
        <f>'Por Valoracion (3) Dimension 2'!B198</f>
        <v>0</v>
      </c>
      <c r="CD198" s="39" t="str">
        <f>'Por Valoracion (3) Dimension'!H198</f>
        <v>0</v>
      </c>
      <c r="CY198" s="49"/>
      <c r="DA198" t="str">
        <f>('Inteligencia emocional'!A199)</f>
        <v>0</v>
      </c>
      <c r="DB198" s="39" t="str">
        <f>'Por Valoracion (3) Dimension 2'!D198</f>
        <v>0</v>
      </c>
      <c r="DC198" s="39" t="str">
        <f>'Por Valoracion (3) Dimension'!H198</f>
        <v>0</v>
      </c>
      <c r="DX198" s="49"/>
      <c r="DZ198" t="str">
        <f>('Inteligencia emocional'!A199)</f>
        <v>0</v>
      </c>
      <c r="EA198" s="39" t="str">
        <f>'Por Valoracion (3) Dimension 2'!F198</f>
        <v>0</v>
      </c>
      <c r="EB198" s="39" t="str">
        <f>'Por Valoracion (3) Dimension'!H198</f>
        <v>0</v>
      </c>
      <c r="EW198" s="49"/>
      <c r="EY198" t="str">
        <f>('Inteligencia emocional'!A199)</f>
        <v>0</v>
      </c>
      <c r="EZ198" s="39" t="str">
        <f>'Por Valoracion (3) Dimension 2'!H198</f>
        <v>0</v>
      </c>
      <c r="FA198" s="39" t="str">
        <f>'Por Valoracion (3) Dimension'!H198</f>
        <v>0</v>
      </c>
      <c r="FV198" s="49"/>
    </row>
    <row r="199" spans="1:178">
      <c r="A199" s="48"/>
      <c r="C199" t="str">
        <f>('Inteligencia emocional'!A200)</f>
        <v>0</v>
      </c>
      <c r="D199" s="39" t="str">
        <f>'Por Valoracion (3) Dimension'!B199</f>
        <v>0</v>
      </c>
      <c r="E199" s="39" t="str">
        <f>'Por Valoracion (3) Dimension 2'!J199</f>
        <v>0</v>
      </c>
      <c r="Z199" s="48"/>
      <c r="AB199" t="str">
        <f>('Inteligencia emocional'!A200)</f>
        <v>0</v>
      </c>
      <c r="AC199" s="39" t="str">
        <f>'Por Valoracion (3) Dimension'!D199</f>
        <v>0</v>
      </c>
      <c r="AD199" s="39" t="str">
        <f>'Por Valoracion (3) Dimension 2'!J199</f>
        <v>0</v>
      </c>
      <c r="AY199" s="48"/>
      <c r="BA199" t="str">
        <f>('Inteligencia emocional'!A200)</f>
        <v>0</v>
      </c>
      <c r="BB199" s="39" t="str">
        <f>'Por Valoracion (3) Dimension'!F199</f>
        <v>0</v>
      </c>
      <c r="BC199" s="39" t="str">
        <f>'Por Valoracion (3) Dimension 2'!J199</f>
        <v>0</v>
      </c>
      <c r="BX199" s="48"/>
      <c r="BZ199" s="49"/>
      <c r="CB199" t="str">
        <f>('Inteligencia emocional'!A200)</f>
        <v>0</v>
      </c>
      <c r="CC199" s="39" t="str">
        <f>'Por Valoracion (3) Dimension 2'!B199</f>
        <v>0</v>
      </c>
      <c r="CD199" s="39" t="str">
        <f>'Por Valoracion (3) Dimension'!H199</f>
        <v>0</v>
      </c>
      <c r="CY199" s="49"/>
      <c r="DA199" t="str">
        <f>('Inteligencia emocional'!A200)</f>
        <v>0</v>
      </c>
      <c r="DB199" s="39" t="str">
        <f>'Por Valoracion (3) Dimension 2'!D199</f>
        <v>0</v>
      </c>
      <c r="DC199" s="39" t="str">
        <f>'Por Valoracion (3) Dimension'!H199</f>
        <v>0</v>
      </c>
      <c r="DX199" s="49"/>
      <c r="DZ199" t="str">
        <f>('Inteligencia emocional'!A200)</f>
        <v>0</v>
      </c>
      <c r="EA199" s="39" t="str">
        <f>'Por Valoracion (3) Dimension 2'!F199</f>
        <v>0</v>
      </c>
      <c r="EB199" s="39" t="str">
        <f>'Por Valoracion (3) Dimension'!H199</f>
        <v>0</v>
      </c>
      <c r="EW199" s="49"/>
      <c r="EY199" t="str">
        <f>('Inteligencia emocional'!A200)</f>
        <v>0</v>
      </c>
      <c r="EZ199" s="39" t="str">
        <f>'Por Valoracion (3) Dimension 2'!H199</f>
        <v>0</v>
      </c>
      <c r="FA199" s="39" t="str">
        <f>'Por Valoracion (3) Dimension'!H199</f>
        <v>0</v>
      </c>
      <c r="FV199" s="49"/>
    </row>
    <row r="200" spans="1:178">
      <c r="A200" s="48"/>
      <c r="C200" t="str">
        <f>('Inteligencia emocional'!A201)</f>
        <v>0</v>
      </c>
      <c r="D200" s="39" t="str">
        <f>'Por Valoracion (3) Dimension'!B200</f>
        <v>0</v>
      </c>
      <c r="E200" s="39" t="str">
        <f>'Por Valoracion (3) Dimension 2'!J200</f>
        <v>0</v>
      </c>
      <c r="Z200" s="48"/>
      <c r="AB200" t="str">
        <f>('Inteligencia emocional'!A201)</f>
        <v>0</v>
      </c>
      <c r="AC200" s="39" t="str">
        <f>'Por Valoracion (3) Dimension'!D200</f>
        <v>0</v>
      </c>
      <c r="AD200" s="39" t="str">
        <f>'Por Valoracion (3) Dimension 2'!J200</f>
        <v>0</v>
      </c>
      <c r="AY200" s="48"/>
      <c r="BA200" t="str">
        <f>('Inteligencia emocional'!A201)</f>
        <v>0</v>
      </c>
      <c r="BB200" s="39" t="str">
        <f>'Por Valoracion (3) Dimension'!F200</f>
        <v>0</v>
      </c>
      <c r="BC200" s="39" t="str">
        <f>'Por Valoracion (3) Dimension 2'!J200</f>
        <v>0</v>
      </c>
      <c r="BX200" s="48"/>
      <c r="BZ200" s="49"/>
      <c r="CB200" t="str">
        <f>('Inteligencia emocional'!A201)</f>
        <v>0</v>
      </c>
      <c r="CC200" s="39" t="str">
        <f>'Por Valoracion (3) Dimension 2'!B200</f>
        <v>0</v>
      </c>
      <c r="CD200" s="39" t="str">
        <f>'Por Valoracion (3) Dimension'!H200</f>
        <v>0</v>
      </c>
      <c r="CY200" s="49"/>
      <c r="DA200" t="str">
        <f>('Inteligencia emocional'!A201)</f>
        <v>0</v>
      </c>
      <c r="DB200" s="39" t="str">
        <f>'Por Valoracion (3) Dimension 2'!D200</f>
        <v>0</v>
      </c>
      <c r="DC200" s="39" t="str">
        <f>'Por Valoracion (3) Dimension'!H200</f>
        <v>0</v>
      </c>
      <c r="DX200" s="49"/>
      <c r="DZ200" t="str">
        <f>('Inteligencia emocional'!A201)</f>
        <v>0</v>
      </c>
      <c r="EA200" s="39" t="str">
        <f>'Por Valoracion (3) Dimension 2'!F200</f>
        <v>0</v>
      </c>
      <c r="EB200" s="39" t="str">
        <f>'Por Valoracion (3) Dimension'!H200</f>
        <v>0</v>
      </c>
      <c r="EW200" s="49"/>
      <c r="EY200" t="str">
        <f>('Inteligencia emocional'!A201)</f>
        <v>0</v>
      </c>
      <c r="EZ200" s="39" t="str">
        <f>'Por Valoracion (3) Dimension 2'!H200</f>
        <v>0</v>
      </c>
      <c r="FA200" s="39" t="str">
        <f>'Por Valoracion (3) Dimension'!H200</f>
        <v>0</v>
      </c>
      <c r="FV200" s="49"/>
    </row>
    <row r="201" spans="1:178">
      <c r="A201" s="48"/>
      <c r="C201" t="str">
        <f>('Inteligencia emocional'!A202)</f>
        <v>0</v>
      </c>
      <c r="D201" s="39" t="str">
        <f>'Por Valoracion (3) Dimension'!B201</f>
        <v>0</v>
      </c>
      <c r="E201" s="39" t="str">
        <f>'Por Valoracion (3) Dimension 2'!J201</f>
        <v>0</v>
      </c>
      <c r="Z201" s="48"/>
      <c r="AB201" t="str">
        <f>('Inteligencia emocional'!A202)</f>
        <v>0</v>
      </c>
      <c r="AC201" s="39" t="str">
        <f>'Por Valoracion (3) Dimension'!D201</f>
        <v>0</v>
      </c>
      <c r="AD201" s="39" t="str">
        <f>'Por Valoracion (3) Dimension 2'!J201</f>
        <v>0</v>
      </c>
      <c r="AY201" s="48"/>
      <c r="BA201" t="str">
        <f>('Inteligencia emocional'!A202)</f>
        <v>0</v>
      </c>
      <c r="BB201" s="39" t="str">
        <f>'Por Valoracion (3) Dimension'!F201</f>
        <v>0</v>
      </c>
      <c r="BC201" s="39" t="str">
        <f>'Por Valoracion (3) Dimension 2'!J201</f>
        <v>0</v>
      </c>
      <c r="BX201" s="48"/>
      <c r="BZ201" s="49"/>
      <c r="CB201" t="str">
        <f>('Inteligencia emocional'!A202)</f>
        <v>0</v>
      </c>
      <c r="CC201" s="39" t="str">
        <f>'Por Valoracion (3) Dimension 2'!B201</f>
        <v>0</v>
      </c>
      <c r="CD201" s="39" t="str">
        <f>'Por Valoracion (3) Dimension'!H201</f>
        <v>0</v>
      </c>
      <c r="CY201" s="49"/>
      <c r="DA201" t="str">
        <f>('Inteligencia emocional'!A202)</f>
        <v>0</v>
      </c>
      <c r="DB201" s="39" t="str">
        <f>'Por Valoracion (3) Dimension 2'!D201</f>
        <v>0</v>
      </c>
      <c r="DC201" s="39" t="str">
        <f>'Por Valoracion (3) Dimension'!H201</f>
        <v>0</v>
      </c>
      <c r="DX201" s="49"/>
      <c r="DZ201" t="str">
        <f>('Inteligencia emocional'!A202)</f>
        <v>0</v>
      </c>
      <c r="EA201" s="39" t="str">
        <f>'Por Valoracion (3) Dimension 2'!F201</f>
        <v>0</v>
      </c>
      <c r="EB201" s="39" t="str">
        <f>'Por Valoracion (3) Dimension'!H201</f>
        <v>0</v>
      </c>
      <c r="EW201" s="49"/>
      <c r="EY201" t="str">
        <f>('Inteligencia emocional'!A202)</f>
        <v>0</v>
      </c>
      <c r="EZ201" s="39" t="str">
        <f>'Por Valoracion (3) Dimension 2'!H201</f>
        <v>0</v>
      </c>
      <c r="FA201" s="39" t="str">
        <f>'Por Valoracion (3) Dimension'!H201</f>
        <v>0</v>
      </c>
      <c r="FV201" s="49"/>
    </row>
    <row r="202" spans="1:178">
      <c r="A202" s="48"/>
      <c r="C202" t="str">
        <f>('Inteligencia emocional'!A203)</f>
        <v>0</v>
      </c>
      <c r="D202" s="39" t="str">
        <f>'Por Valoracion (3) Dimension'!B202</f>
        <v>0</v>
      </c>
      <c r="E202" s="39" t="str">
        <f>'Por Valoracion (3) Dimension 2'!J202</f>
        <v>0</v>
      </c>
      <c r="Z202" s="48"/>
      <c r="AB202" t="str">
        <f>('Inteligencia emocional'!A203)</f>
        <v>0</v>
      </c>
      <c r="AC202" s="39" t="str">
        <f>'Por Valoracion (3) Dimension'!D202</f>
        <v>0</v>
      </c>
      <c r="AD202" s="39" t="str">
        <f>'Por Valoracion (3) Dimension 2'!J202</f>
        <v>0</v>
      </c>
      <c r="AY202" s="48"/>
      <c r="BA202" t="str">
        <f>('Inteligencia emocional'!A203)</f>
        <v>0</v>
      </c>
      <c r="BB202" s="39" t="str">
        <f>'Por Valoracion (3) Dimension'!F202</f>
        <v>0</v>
      </c>
      <c r="BC202" s="39" t="str">
        <f>'Por Valoracion (3) Dimension 2'!J202</f>
        <v>0</v>
      </c>
      <c r="BX202" s="48"/>
      <c r="BZ202" s="49"/>
      <c r="CB202" t="str">
        <f>('Inteligencia emocional'!A203)</f>
        <v>0</v>
      </c>
      <c r="CC202" s="39" t="str">
        <f>'Por Valoracion (3) Dimension 2'!B202</f>
        <v>0</v>
      </c>
      <c r="CD202" s="39" t="str">
        <f>'Por Valoracion (3) Dimension'!H202</f>
        <v>0</v>
      </c>
      <c r="CY202" s="49"/>
      <c r="DA202" t="str">
        <f>('Inteligencia emocional'!A203)</f>
        <v>0</v>
      </c>
      <c r="DB202" s="39" t="str">
        <f>'Por Valoracion (3) Dimension 2'!D202</f>
        <v>0</v>
      </c>
      <c r="DC202" s="39" t="str">
        <f>'Por Valoracion (3) Dimension'!H202</f>
        <v>0</v>
      </c>
      <c r="DX202" s="49"/>
      <c r="DZ202" t="str">
        <f>('Inteligencia emocional'!A203)</f>
        <v>0</v>
      </c>
      <c r="EA202" s="39" t="str">
        <f>'Por Valoracion (3) Dimension 2'!F202</f>
        <v>0</v>
      </c>
      <c r="EB202" s="39" t="str">
        <f>'Por Valoracion (3) Dimension'!H202</f>
        <v>0</v>
      </c>
      <c r="EW202" s="49"/>
      <c r="EY202" t="str">
        <f>('Inteligencia emocional'!A203)</f>
        <v>0</v>
      </c>
      <c r="EZ202" s="39" t="str">
        <f>'Por Valoracion (3) Dimension 2'!H202</f>
        <v>0</v>
      </c>
      <c r="FA202" s="39" t="str">
        <f>'Por Valoracion (3) Dimension'!H202</f>
        <v>0</v>
      </c>
      <c r="FV202" s="49"/>
    </row>
    <row r="203" spans="1:178">
      <c r="A203" s="48"/>
      <c r="C203" t="str">
        <f>('Inteligencia emocional'!A204)</f>
        <v>0</v>
      </c>
      <c r="D203" s="39" t="str">
        <f>'Por Valoracion (3) Dimension'!B203</f>
        <v>0</v>
      </c>
      <c r="E203" s="39" t="str">
        <f>'Por Valoracion (3) Dimension 2'!J203</f>
        <v>0</v>
      </c>
      <c r="Z203" s="48"/>
      <c r="AB203" t="str">
        <f>('Inteligencia emocional'!A204)</f>
        <v>0</v>
      </c>
      <c r="AC203" s="39" t="str">
        <f>'Por Valoracion (3) Dimension'!D203</f>
        <v>0</v>
      </c>
      <c r="AD203" s="39" t="str">
        <f>'Por Valoracion (3) Dimension 2'!J203</f>
        <v>0</v>
      </c>
      <c r="AY203" s="48"/>
      <c r="BA203" t="str">
        <f>('Inteligencia emocional'!A204)</f>
        <v>0</v>
      </c>
      <c r="BB203" s="39" t="str">
        <f>'Por Valoracion (3) Dimension'!F203</f>
        <v>0</v>
      </c>
      <c r="BC203" s="39" t="str">
        <f>'Por Valoracion (3) Dimension 2'!J203</f>
        <v>0</v>
      </c>
      <c r="BX203" s="48"/>
      <c r="BZ203" s="49"/>
      <c r="CB203" t="str">
        <f>('Inteligencia emocional'!A204)</f>
        <v>0</v>
      </c>
      <c r="CC203" s="39" t="str">
        <f>'Por Valoracion (3) Dimension 2'!B203</f>
        <v>0</v>
      </c>
      <c r="CD203" s="39" t="str">
        <f>'Por Valoracion (3) Dimension'!H203</f>
        <v>0</v>
      </c>
      <c r="CY203" s="49"/>
      <c r="DA203" t="str">
        <f>('Inteligencia emocional'!A204)</f>
        <v>0</v>
      </c>
      <c r="DB203" s="39" t="str">
        <f>'Por Valoracion (3) Dimension 2'!D203</f>
        <v>0</v>
      </c>
      <c r="DC203" s="39" t="str">
        <f>'Por Valoracion (3) Dimension'!H203</f>
        <v>0</v>
      </c>
      <c r="DX203" s="49"/>
      <c r="DZ203" t="str">
        <f>('Inteligencia emocional'!A204)</f>
        <v>0</v>
      </c>
      <c r="EA203" s="39" t="str">
        <f>'Por Valoracion (3) Dimension 2'!F203</f>
        <v>0</v>
      </c>
      <c r="EB203" s="39" t="str">
        <f>'Por Valoracion (3) Dimension'!H203</f>
        <v>0</v>
      </c>
      <c r="EW203" s="49"/>
      <c r="EY203" t="str">
        <f>('Inteligencia emocional'!A204)</f>
        <v>0</v>
      </c>
      <c r="EZ203" s="39" t="str">
        <f>'Por Valoracion (3) Dimension 2'!H203</f>
        <v>0</v>
      </c>
      <c r="FA203" s="39" t="str">
        <f>'Por Valoracion (3) Dimension'!H203</f>
        <v>0</v>
      </c>
      <c r="FV203" s="49"/>
    </row>
    <row r="204" spans="1:178">
      <c r="A204" s="48"/>
      <c r="C204" t="str">
        <f>('Inteligencia emocional'!A205)</f>
        <v>0</v>
      </c>
      <c r="D204" s="39" t="str">
        <f>'Por Valoracion (3) Dimension'!B204</f>
        <v>0</v>
      </c>
      <c r="E204" s="39" t="str">
        <f>'Por Valoracion (3) Dimension 2'!J204</f>
        <v>0</v>
      </c>
      <c r="Z204" s="48"/>
      <c r="AB204" t="str">
        <f>('Inteligencia emocional'!A205)</f>
        <v>0</v>
      </c>
      <c r="AC204" s="39" t="str">
        <f>'Por Valoracion (3) Dimension'!D204</f>
        <v>0</v>
      </c>
      <c r="AD204" s="39" t="str">
        <f>'Por Valoracion (3) Dimension 2'!J204</f>
        <v>0</v>
      </c>
      <c r="AY204" s="48"/>
      <c r="BA204" t="str">
        <f>('Inteligencia emocional'!A205)</f>
        <v>0</v>
      </c>
      <c r="BB204" s="39" t="str">
        <f>'Por Valoracion (3) Dimension'!F204</f>
        <v>0</v>
      </c>
      <c r="BC204" s="39" t="str">
        <f>'Por Valoracion (3) Dimension 2'!J204</f>
        <v>0</v>
      </c>
      <c r="BX204" s="48"/>
      <c r="BZ204" s="49"/>
      <c r="CB204" t="str">
        <f>('Inteligencia emocional'!A205)</f>
        <v>0</v>
      </c>
      <c r="CC204" s="39" t="str">
        <f>'Por Valoracion (3) Dimension 2'!B204</f>
        <v>0</v>
      </c>
      <c r="CD204" s="39" t="str">
        <f>'Por Valoracion (3) Dimension'!H204</f>
        <v>0</v>
      </c>
      <c r="CY204" s="49"/>
      <c r="DA204" t="str">
        <f>('Inteligencia emocional'!A205)</f>
        <v>0</v>
      </c>
      <c r="DB204" s="39" t="str">
        <f>'Por Valoracion (3) Dimension 2'!D204</f>
        <v>0</v>
      </c>
      <c r="DC204" s="39" t="str">
        <f>'Por Valoracion (3) Dimension'!H204</f>
        <v>0</v>
      </c>
      <c r="DX204" s="49"/>
      <c r="DZ204" t="str">
        <f>('Inteligencia emocional'!A205)</f>
        <v>0</v>
      </c>
      <c r="EA204" s="39" t="str">
        <f>'Por Valoracion (3) Dimension 2'!F204</f>
        <v>0</v>
      </c>
      <c r="EB204" s="39" t="str">
        <f>'Por Valoracion (3) Dimension'!H204</f>
        <v>0</v>
      </c>
      <c r="EW204" s="49"/>
      <c r="EY204" t="str">
        <f>('Inteligencia emocional'!A205)</f>
        <v>0</v>
      </c>
      <c r="EZ204" s="39" t="str">
        <f>'Por Valoracion (3) Dimension 2'!H204</f>
        <v>0</v>
      </c>
      <c r="FA204" s="39" t="str">
        <f>'Por Valoracion (3) Dimension'!H204</f>
        <v>0</v>
      </c>
      <c r="FV204" s="49"/>
    </row>
    <row r="205" spans="1:178">
      <c r="A205" s="48"/>
      <c r="C205" t="str">
        <f>('Inteligencia emocional'!A206)</f>
        <v>0</v>
      </c>
      <c r="D205" s="39" t="str">
        <f>'Por Valoracion (3) Dimension'!B205</f>
        <v>0</v>
      </c>
      <c r="E205" s="39" t="str">
        <f>'Por Valoracion (3) Dimension 2'!J205</f>
        <v>0</v>
      </c>
      <c r="Z205" s="48"/>
      <c r="AB205" t="str">
        <f>('Inteligencia emocional'!A206)</f>
        <v>0</v>
      </c>
      <c r="AC205" s="39" t="str">
        <f>'Por Valoracion (3) Dimension'!D205</f>
        <v>0</v>
      </c>
      <c r="AD205" s="39" t="str">
        <f>'Por Valoracion (3) Dimension 2'!J205</f>
        <v>0</v>
      </c>
      <c r="AY205" s="48"/>
      <c r="BA205" t="str">
        <f>('Inteligencia emocional'!A206)</f>
        <v>0</v>
      </c>
      <c r="BB205" s="39" t="str">
        <f>'Por Valoracion (3) Dimension'!F205</f>
        <v>0</v>
      </c>
      <c r="BC205" s="39" t="str">
        <f>'Por Valoracion (3) Dimension 2'!J205</f>
        <v>0</v>
      </c>
      <c r="BX205" s="48"/>
      <c r="BZ205" s="49"/>
      <c r="CB205" t="str">
        <f>('Inteligencia emocional'!A206)</f>
        <v>0</v>
      </c>
      <c r="CC205" s="39" t="str">
        <f>'Por Valoracion (3) Dimension 2'!B205</f>
        <v>0</v>
      </c>
      <c r="CD205" s="39" t="str">
        <f>'Por Valoracion (3) Dimension'!H205</f>
        <v>0</v>
      </c>
      <c r="CY205" s="49"/>
      <c r="DA205" t="str">
        <f>('Inteligencia emocional'!A206)</f>
        <v>0</v>
      </c>
      <c r="DB205" s="39" t="str">
        <f>'Por Valoracion (3) Dimension 2'!D205</f>
        <v>0</v>
      </c>
      <c r="DC205" s="39" t="str">
        <f>'Por Valoracion (3) Dimension'!H205</f>
        <v>0</v>
      </c>
      <c r="DX205" s="49"/>
      <c r="DZ205" t="str">
        <f>('Inteligencia emocional'!A206)</f>
        <v>0</v>
      </c>
      <c r="EA205" s="39" t="str">
        <f>'Por Valoracion (3) Dimension 2'!F205</f>
        <v>0</v>
      </c>
      <c r="EB205" s="39" t="str">
        <f>'Por Valoracion (3) Dimension'!H205</f>
        <v>0</v>
      </c>
      <c r="EW205" s="49"/>
      <c r="EY205" t="str">
        <f>('Inteligencia emocional'!A206)</f>
        <v>0</v>
      </c>
      <c r="EZ205" s="39" t="str">
        <f>'Por Valoracion (3) Dimension 2'!H205</f>
        <v>0</v>
      </c>
      <c r="FA205" s="39" t="str">
        <f>'Por Valoracion (3) Dimension'!H205</f>
        <v>0</v>
      </c>
      <c r="FV205" s="49"/>
    </row>
    <row r="206" spans="1:178">
      <c r="A206" s="48"/>
      <c r="C206" t="str">
        <f>('Inteligencia emocional'!A207)</f>
        <v>0</v>
      </c>
      <c r="D206" s="39" t="str">
        <f>'Por Valoracion (3) Dimension'!B206</f>
        <v>0</v>
      </c>
      <c r="E206" s="39" t="str">
        <f>'Por Valoracion (3) Dimension 2'!J206</f>
        <v>0</v>
      </c>
      <c r="Z206" s="48"/>
      <c r="AB206" t="str">
        <f>('Inteligencia emocional'!A207)</f>
        <v>0</v>
      </c>
      <c r="AC206" s="39" t="str">
        <f>'Por Valoracion (3) Dimension'!D206</f>
        <v>0</v>
      </c>
      <c r="AD206" s="39" t="str">
        <f>'Por Valoracion (3) Dimension 2'!J206</f>
        <v>0</v>
      </c>
      <c r="AY206" s="48"/>
      <c r="BA206" t="str">
        <f>('Inteligencia emocional'!A207)</f>
        <v>0</v>
      </c>
      <c r="BB206" s="39" t="str">
        <f>'Por Valoracion (3) Dimension'!F206</f>
        <v>0</v>
      </c>
      <c r="BC206" s="39" t="str">
        <f>'Por Valoracion (3) Dimension 2'!J206</f>
        <v>0</v>
      </c>
      <c r="BX206" s="48"/>
      <c r="BZ206" s="49"/>
      <c r="CB206" t="str">
        <f>('Inteligencia emocional'!A207)</f>
        <v>0</v>
      </c>
      <c r="CC206" s="39" t="str">
        <f>'Por Valoracion (3) Dimension 2'!B206</f>
        <v>0</v>
      </c>
      <c r="CD206" s="39" t="str">
        <f>'Por Valoracion (3) Dimension'!H206</f>
        <v>0</v>
      </c>
      <c r="CY206" s="49"/>
      <c r="DA206" t="str">
        <f>('Inteligencia emocional'!A207)</f>
        <v>0</v>
      </c>
      <c r="DB206" s="39" t="str">
        <f>'Por Valoracion (3) Dimension 2'!D206</f>
        <v>0</v>
      </c>
      <c r="DC206" s="39" t="str">
        <f>'Por Valoracion (3) Dimension'!H206</f>
        <v>0</v>
      </c>
      <c r="DX206" s="49"/>
      <c r="DZ206" t="str">
        <f>('Inteligencia emocional'!A207)</f>
        <v>0</v>
      </c>
      <c r="EA206" s="39" t="str">
        <f>'Por Valoracion (3) Dimension 2'!F206</f>
        <v>0</v>
      </c>
      <c r="EB206" s="39" t="str">
        <f>'Por Valoracion (3) Dimension'!H206</f>
        <v>0</v>
      </c>
      <c r="EW206" s="49"/>
      <c r="EY206" t="str">
        <f>('Inteligencia emocional'!A207)</f>
        <v>0</v>
      </c>
      <c r="EZ206" s="39" t="str">
        <f>'Por Valoracion (3) Dimension 2'!H206</f>
        <v>0</v>
      </c>
      <c r="FA206" s="39" t="str">
        <f>'Por Valoracion (3) Dimension'!H206</f>
        <v>0</v>
      </c>
      <c r="FV206" s="49"/>
    </row>
    <row r="207" spans="1:178">
      <c r="A207" s="48"/>
      <c r="C207" t="str">
        <f>('Inteligencia emocional'!A208)</f>
        <v>0</v>
      </c>
      <c r="D207" s="39" t="str">
        <f>'Por Valoracion (3) Dimension'!B207</f>
        <v>0</v>
      </c>
      <c r="E207" s="39" t="str">
        <f>'Por Valoracion (3) Dimension 2'!J207</f>
        <v>0</v>
      </c>
      <c r="Z207" s="48"/>
      <c r="AB207" t="str">
        <f>('Inteligencia emocional'!A208)</f>
        <v>0</v>
      </c>
      <c r="AC207" s="39" t="str">
        <f>'Por Valoracion (3) Dimension'!D207</f>
        <v>0</v>
      </c>
      <c r="AD207" s="39" t="str">
        <f>'Por Valoracion (3) Dimension 2'!J207</f>
        <v>0</v>
      </c>
      <c r="AY207" s="48"/>
      <c r="BA207" t="str">
        <f>('Inteligencia emocional'!A208)</f>
        <v>0</v>
      </c>
      <c r="BB207" s="39" t="str">
        <f>'Por Valoracion (3) Dimension'!F207</f>
        <v>0</v>
      </c>
      <c r="BC207" s="39" t="str">
        <f>'Por Valoracion (3) Dimension 2'!J207</f>
        <v>0</v>
      </c>
      <c r="BX207" s="48"/>
      <c r="BZ207" s="49"/>
      <c r="CB207" t="str">
        <f>('Inteligencia emocional'!A208)</f>
        <v>0</v>
      </c>
      <c r="CC207" s="39" t="str">
        <f>'Por Valoracion (3) Dimension 2'!B207</f>
        <v>0</v>
      </c>
      <c r="CD207" s="39" t="str">
        <f>'Por Valoracion (3) Dimension'!H207</f>
        <v>0</v>
      </c>
      <c r="CY207" s="49"/>
      <c r="DA207" t="str">
        <f>('Inteligencia emocional'!A208)</f>
        <v>0</v>
      </c>
      <c r="DB207" s="39" t="str">
        <f>'Por Valoracion (3) Dimension 2'!D207</f>
        <v>0</v>
      </c>
      <c r="DC207" s="39" t="str">
        <f>'Por Valoracion (3) Dimension'!H207</f>
        <v>0</v>
      </c>
      <c r="DX207" s="49"/>
      <c r="DZ207" t="str">
        <f>('Inteligencia emocional'!A208)</f>
        <v>0</v>
      </c>
      <c r="EA207" s="39" t="str">
        <f>'Por Valoracion (3) Dimension 2'!F207</f>
        <v>0</v>
      </c>
      <c r="EB207" s="39" t="str">
        <f>'Por Valoracion (3) Dimension'!H207</f>
        <v>0</v>
      </c>
      <c r="EW207" s="49"/>
      <c r="EY207" t="str">
        <f>('Inteligencia emocional'!A208)</f>
        <v>0</v>
      </c>
      <c r="EZ207" s="39" t="str">
        <f>'Por Valoracion (3) Dimension 2'!H207</f>
        <v>0</v>
      </c>
      <c r="FA207" s="39" t="str">
        <f>'Por Valoracion (3) Dimension'!H207</f>
        <v>0</v>
      </c>
      <c r="FV207" s="49"/>
    </row>
    <row r="208" spans="1:178">
      <c r="A208" s="48"/>
      <c r="C208" t="str">
        <f>('Inteligencia emocional'!A209)</f>
        <v>0</v>
      </c>
      <c r="D208" s="39" t="str">
        <f>'Por Valoracion (3) Dimension'!B208</f>
        <v>0</v>
      </c>
      <c r="E208" s="39" t="str">
        <f>'Por Valoracion (3) Dimension 2'!J208</f>
        <v>0</v>
      </c>
      <c r="Z208" s="48"/>
      <c r="AB208" t="str">
        <f>('Inteligencia emocional'!A209)</f>
        <v>0</v>
      </c>
      <c r="AC208" s="39" t="str">
        <f>'Por Valoracion (3) Dimension'!D208</f>
        <v>0</v>
      </c>
      <c r="AD208" s="39" t="str">
        <f>'Por Valoracion (3) Dimension 2'!J208</f>
        <v>0</v>
      </c>
      <c r="AY208" s="48"/>
      <c r="BA208" t="str">
        <f>('Inteligencia emocional'!A209)</f>
        <v>0</v>
      </c>
      <c r="BB208" s="39" t="str">
        <f>'Por Valoracion (3) Dimension'!F208</f>
        <v>0</v>
      </c>
      <c r="BC208" s="39" t="str">
        <f>'Por Valoracion (3) Dimension 2'!J208</f>
        <v>0</v>
      </c>
      <c r="BX208" s="48"/>
      <c r="BZ208" s="49"/>
      <c r="CB208" t="str">
        <f>('Inteligencia emocional'!A209)</f>
        <v>0</v>
      </c>
      <c r="CC208" s="39" t="str">
        <f>'Por Valoracion (3) Dimension 2'!B208</f>
        <v>0</v>
      </c>
      <c r="CD208" s="39" t="str">
        <f>'Por Valoracion (3) Dimension'!H208</f>
        <v>0</v>
      </c>
      <c r="CY208" s="49"/>
      <c r="DA208" t="str">
        <f>('Inteligencia emocional'!A209)</f>
        <v>0</v>
      </c>
      <c r="DB208" s="39" t="str">
        <f>'Por Valoracion (3) Dimension 2'!D208</f>
        <v>0</v>
      </c>
      <c r="DC208" s="39" t="str">
        <f>'Por Valoracion (3) Dimension'!H208</f>
        <v>0</v>
      </c>
      <c r="DX208" s="49"/>
      <c r="DZ208" t="str">
        <f>('Inteligencia emocional'!A209)</f>
        <v>0</v>
      </c>
      <c r="EA208" s="39" t="str">
        <f>'Por Valoracion (3) Dimension 2'!F208</f>
        <v>0</v>
      </c>
      <c r="EB208" s="39" t="str">
        <f>'Por Valoracion (3) Dimension'!H208</f>
        <v>0</v>
      </c>
      <c r="EW208" s="49"/>
      <c r="EY208" t="str">
        <f>('Inteligencia emocional'!A209)</f>
        <v>0</v>
      </c>
      <c r="EZ208" s="39" t="str">
        <f>'Por Valoracion (3) Dimension 2'!H208</f>
        <v>0</v>
      </c>
      <c r="FA208" s="39" t="str">
        <f>'Por Valoracion (3) Dimension'!H208</f>
        <v>0</v>
      </c>
      <c r="FV208" s="49"/>
    </row>
    <row r="209" spans="1:178">
      <c r="A209" s="48"/>
      <c r="C209" t="str">
        <f>('Inteligencia emocional'!A210)</f>
        <v>0</v>
      </c>
      <c r="D209" s="39" t="str">
        <f>'Por Valoracion (3) Dimension'!B209</f>
        <v>0</v>
      </c>
      <c r="E209" s="39" t="str">
        <f>'Por Valoracion (3) Dimension 2'!J209</f>
        <v>0</v>
      </c>
      <c r="Z209" s="48"/>
      <c r="AB209" t="str">
        <f>('Inteligencia emocional'!A210)</f>
        <v>0</v>
      </c>
      <c r="AC209" s="39" t="str">
        <f>'Por Valoracion (3) Dimension'!D209</f>
        <v>0</v>
      </c>
      <c r="AD209" s="39" t="str">
        <f>'Por Valoracion (3) Dimension 2'!J209</f>
        <v>0</v>
      </c>
      <c r="AY209" s="48"/>
      <c r="BA209" t="str">
        <f>('Inteligencia emocional'!A210)</f>
        <v>0</v>
      </c>
      <c r="BB209" s="39" t="str">
        <f>'Por Valoracion (3) Dimension'!F209</f>
        <v>0</v>
      </c>
      <c r="BC209" s="39" t="str">
        <f>'Por Valoracion (3) Dimension 2'!J209</f>
        <v>0</v>
      </c>
      <c r="BX209" s="48"/>
      <c r="BZ209" s="49"/>
      <c r="CB209" t="str">
        <f>('Inteligencia emocional'!A210)</f>
        <v>0</v>
      </c>
      <c r="CC209" s="39" t="str">
        <f>'Por Valoracion (3) Dimension 2'!B209</f>
        <v>0</v>
      </c>
      <c r="CD209" s="39" t="str">
        <f>'Por Valoracion (3) Dimension'!H209</f>
        <v>0</v>
      </c>
      <c r="CY209" s="49"/>
      <c r="DA209" t="str">
        <f>('Inteligencia emocional'!A210)</f>
        <v>0</v>
      </c>
      <c r="DB209" s="39" t="str">
        <f>'Por Valoracion (3) Dimension 2'!D209</f>
        <v>0</v>
      </c>
      <c r="DC209" s="39" t="str">
        <f>'Por Valoracion (3) Dimension'!H209</f>
        <v>0</v>
      </c>
      <c r="DX209" s="49"/>
      <c r="DZ209" t="str">
        <f>('Inteligencia emocional'!A210)</f>
        <v>0</v>
      </c>
      <c r="EA209" s="39" t="str">
        <f>'Por Valoracion (3) Dimension 2'!F209</f>
        <v>0</v>
      </c>
      <c r="EB209" s="39" t="str">
        <f>'Por Valoracion (3) Dimension'!H209</f>
        <v>0</v>
      </c>
      <c r="EW209" s="49"/>
      <c r="EY209" t="str">
        <f>('Inteligencia emocional'!A210)</f>
        <v>0</v>
      </c>
      <c r="EZ209" s="39" t="str">
        <f>'Por Valoracion (3) Dimension 2'!H209</f>
        <v>0</v>
      </c>
      <c r="FA209" s="39" t="str">
        <f>'Por Valoracion (3) Dimension'!H209</f>
        <v>0</v>
      </c>
      <c r="FV209" s="49"/>
    </row>
    <row r="210" spans="1:178">
      <c r="A210" s="48"/>
      <c r="C210" t="str">
        <f>('Inteligencia emocional'!A211)</f>
        <v>0</v>
      </c>
      <c r="D210" s="39" t="str">
        <f>'Por Valoracion (3) Dimension'!B210</f>
        <v>0</v>
      </c>
      <c r="E210" s="39" t="str">
        <f>'Por Valoracion (3) Dimension 2'!J210</f>
        <v>0</v>
      </c>
      <c r="Z210" s="48"/>
      <c r="AB210" t="str">
        <f>('Inteligencia emocional'!A211)</f>
        <v>0</v>
      </c>
      <c r="AC210" s="39" t="str">
        <f>'Por Valoracion (3) Dimension'!D210</f>
        <v>0</v>
      </c>
      <c r="AD210" s="39" t="str">
        <f>'Por Valoracion (3) Dimension 2'!J210</f>
        <v>0</v>
      </c>
      <c r="AY210" s="48"/>
      <c r="BA210" t="str">
        <f>('Inteligencia emocional'!A211)</f>
        <v>0</v>
      </c>
      <c r="BB210" s="39" t="str">
        <f>'Por Valoracion (3) Dimension'!F210</f>
        <v>0</v>
      </c>
      <c r="BC210" s="39" t="str">
        <f>'Por Valoracion (3) Dimension 2'!J210</f>
        <v>0</v>
      </c>
      <c r="BX210" s="48"/>
      <c r="BZ210" s="49"/>
      <c r="CB210" t="str">
        <f>('Inteligencia emocional'!A211)</f>
        <v>0</v>
      </c>
      <c r="CC210" s="39" t="str">
        <f>'Por Valoracion (3) Dimension 2'!B210</f>
        <v>0</v>
      </c>
      <c r="CD210" s="39" t="str">
        <f>'Por Valoracion (3) Dimension'!H210</f>
        <v>0</v>
      </c>
      <c r="CY210" s="49"/>
      <c r="DA210" t="str">
        <f>('Inteligencia emocional'!A211)</f>
        <v>0</v>
      </c>
      <c r="DB210" s="39" t="str">
        <f>'Por Valoracion (3) Dimension 2'!D210</f>
        <v>0</v>
      </c>
      <c r="DC210" s="39" t="str">
        <f>'Por Valoracion (3) Dimension'!H210</f>
        <v>0</v>
      </c>
      <c r="DX210" s="49"/>
      <c r="DZ210" t="str">
        <f>('Inteligencia emocional'!A211)</f>
        <v>0</v>
      </c>
      <c r="EA210" s="39" t="str">
        <f>'Por Valoracion (3) Dimension 2'!F210</f>
        <v>0</v>
      </c>
      <c r="EB210" s="39" t="str">
        <f>'Por Valoracion (3) Dimension'!H210</f>
        <v>0</v>
      </c>
      <c r="EW210" s="49"/>
      <c r="EY210" t="str">
        <f>('Inteligencia emocional'!A211)</f>
        <v>0</v>
      </c>
      <c r="EZ210" s="39" t="str">
        <f>'Por Valoracion (3) Dimension 2'!H210</f>
        <v>0</v>
      </c>
      <c r="FA210" s="39" t="str">
        <f>'Por Valoracion (3) Dimension'!H210</f>
        <v>0</v>
      </c>
      <c r="FV210" s="49"/>
    </row>
    <row r="211" spans="1:178">
      <c r="A211" s="48"/>
      <c r="C211" t="str">
        <f>('Inteligencia emocional'!A212)</f>
        <v>0</v>
      </c>
      <c r="D211" s="39" t="str">
        <f>'Por Valoracion (3) Dimension'!B211</f>
        <v>0</v>
      </c>
      <c r="E211" s="39" t="str">
        <f>'Por Valoracion (3) Dimension 2'!J211</f>
        <v>0</v>
      </c>
      <c r="Z211" s="48"/>
      <c r="AB211" t="str">
        <f>('Inteligencia emocional'!A212)</f>
        <v>0</v>
      </c>
      <c r="AC211" s="39" t="str">
        <f>'Por Valoracion (3) Dimension'!D211</f>
        <v>0</v>
      </c>
      <c r="AD211" s="39" t="str">
        <f>'Por Valoracion (3) Dimension 2'!J211</f>
        <v>0</v>
      </c>
      <c r="AY211" s="48"/>
      <c r="BA211" t="str">
        <f>('Inteligencia emocional'!A212)</f>
        <v>0</v>
      </c>
      <c r="BB211" s="39" t="str">
        <f>'Por Valoracion (3) Dimension'!F211</f>
        <v>0</v>
      </c>
      <c r="BC211" s="39" t="str">
        <f>'Por Valoracion (3) Dimension 2'!J211</f>
        <v>0</v>
      </c>
      <c r="BX211" s="48"/>
      <c r="BZ211" s="49"/>
      <c r="CB211" t="str">
        <f>('Inteligencia emocional'!A212)</f>
        <v>0</v>
      </c>
      <c r="CC211" s="39" t="str">
        <f>'Por Valoracion (3) Dimension 2'!B211</f>
        <v>0</v>
      </c>
      <c r="CD211" s="39" t="str">
        <f>'Por Valoracion (3) Dimension'!H211</f>
        <v>0</v>
      </c>
      <c r="CY211" s="49"/>
      <c r="DA211" t="str">
        <f>('Inteligencia emocional'!A212)</f>
        <v>0</v>
      </c>
      <c r="DB211" s="39" t="str">
        <f>'Por Valoracion (3) Dimension 2'!D211</f>
        <v>0</v>
      </c>
      <c r="DC211" s="39" t="str">
        <f>'Por Valoracion (3) Dimension'!H211</f>
        <v>0</v>
      </c>
      <c r="DX211" s="49"/>
      <c r="DZ211" t="str">
        <f>('Inteligencia emocional'!A212)</f>
        <v>0</v>
      </c>
      <c r="EA211" s="39" t="str">
        <f>'Por Valoracion (3) Dimension 2'!F211</f>
        <v>0</v>
      </c>
      <c r="EB211" s="39" t="str">
        <f>'Por Valoracion (3) Dimension'!H211</f>
        <v>0</v>
      </c>
      <c r="EW211" s="49"/>
      <c r="EY211" t="str">
        <f>('Inteligencia emocional'!A212)</f>
        <v>0</v>
      </c>
      <c r="EZ211" s="39" t="str">
        <f>'Por Valoracion (3) Dimension 2'!H211</f>
        <v>0</v>
      </c>
      <c r="FA211" s="39" t="str">
        <f>'Por Valoracion (3) Dimension'!H211</f>
        <v>0</v>
      </c>
      <c r="FV211" s="49"/>
    </row>
    <row r="212" spans="1:178">
      <c r="A212" s="48"/>
      <c r="C212" t="str">
        <f>('Inteligencia emocional'!A213)</f>
        <v>0</v>
      </c>
      <c r="D212" s="39" t="str">
        <f>'Por Valoracion (3) Dimension'!B212</f>
        <v>0</v>
      </c>
      <c r="E212" s="39" t="str">
        <f>'Por Valoracion (3) Dimension 2'!J212</f>
        <v>0</v>
      </c>
      <c r="Z212" s="48"/>
      <c r="AB212" t="str">
        <f>('Inteligencia emocional'!A213)</f>
        <v>0</v>
      </c>
      <c r="AC212" s="39" t="str">
        <f>'Por Valoracion (3) Dimension'!D212</f>
        <v>0</v>
      </c>
      <c r="AD212" s="39" t="str">
        <f>'Por Valoracion (3) Dimension 2'!J212</f>
        <v>0</v>
      </c>
      <c r="AY212" s="48"/>
      <c r="BA212" t="str">
        <f>('Inteligencia emocional'!A213)</f>
        <v>0</v>
      </c>
      <c r="BB212" s="39" t="str">
        <f>'Por Valoracion (3) Dimension'!F212</f>
        <v>0</v>
      </c>
      <c r="BC212" s="39" t="str">
        <f>'Por Valoracion (3) Dimension 2'!J212</f>
        <v>0</v>
      </c>
      <c r="BX212" s="48"/>
      <c r="BZ212" s="49"/>
      <c r="CB212" t="str">
        <f>('Inteligencia emocional'!A213)</f>
        <v>0</v>
      </c>
      <c r="CC212" s="39" t="str">
        <f>'Por Valoracion (3) Dimension 2'!B212</f>
        <v>0</v>
      </c>
      <c r="CD212" s="39" t="str">
        <f>'Por Valoracion (3) Dimension'!H212</f>
        <v>0</v>
      </c>
      <c r="CY212" s="49"/>
      <c r="DA212" t="str">
        <f>('Inteligencia emocional'!A213)</f>
        <v>0</v>
      </c>
      <c r="DB212" s="39" t="str">
        <f>'Por Valoracion (3) Dimension 2'!D212</f>
        <v>0</v>
      </c>
      <c r="DC212" s="39" t="str">
        <f>'Por Valoracion (3) Dimension'!H212</f>
        <v>0</v>
      </c>
      <c r="DX212" s="49"/>
      <c r="DZ212" t="str">
        <f>('Inteligencia emocional'!A213)</f>
        <v>0</v>
      </c>
      <c r="EA212" s="39" t="str">
        <f>'Por Valoracion (3) Dimension 2'!F212</f>
        <v>0</v>
      </c>
      <c r="EB212" s="39" t="str">
        <f>'Por Valoracion (3) Dimension'!H212</f>
        <v>0</v>
      </c>
      <c r="EW212" s="49"/>
      <c r="EY212" t="str">
        <f>('Inteligencia emocional'!A213)</f>
        <v>0</v>
      </c>
      <c r="EZ212" s="39" t="str">
        <f>'Por Valoracion (3) Dimension 2'!H212</f>
        <v>0</v>
      </c>
      <c r="FA212" s="39" t="str">
        <f>'Por Valoracion (3) Dimension'!H212</f>
        <v>0</v>
      </c>
      <c r="FV212" s="49"/>
    </row>
    <row r="213" spans="1:178">
      <c r="A213" s="48"/>
      <c r="C213" t="str">
        <f>('Inteligencia emocional'!A214)</f>
        <v>0</v>
      </c>
      <c r="D213" s="39" t="str">
        <f>'Por Valoracion (3) Dimension'!B213</f>
        <v>0</v>
      </c>
      <c r="E213" s="39" t="str">
        <f>'Por Valoracion (3) Dimension 2'!J213</f>
        <v>0</v>
      </c>
      <c r="Z213" s="48"/>
      <c r="AB213" t="str">
        <f>('Inteligencia emocional'!A214)</f>
        <v>0</v>
      </c>
      <c r="AC213" s="39" t="str">
        <f>'Por Valoracion (3) Dimension'!D213</f>
        <v>0</v>
      </c>
      <c r="AD213" s="39" t="str">
        <f>'Por Valoracion (3) Dimension 2'!J213</f>
        <v>0</v>
      </c>
      <c r="AY213" s="48"/>
      <c r="BA213" t="str">
        <f>('Inteligencia emocional'!A214)</f>
        <v>0</v>
      </c>
      <c r="BB213" s="39" t="str">
        <f>'Por Valoracion (3) Dimension'!F213</f>
        <v>0</v>
      </c>
      <c r="BC213" s="39" t="str">
        <f>'Por Valoracion (3) Dimension 2'!J213</f>
        <v>0</v>
      </c>
      <c r="BX213" s="48"/>
      <c r="BZ213" s="49"/>
      <c r="CB213" t="str">
        <f>('Inteligencia emocional'!A214)</f>
        <v>0</v>
      </c>
      <c r="CC213" s="39" t="str">
        <f>'Por Valoracion (3) Dimension 2'!B213</f>
        <v>0</v>
      </c>
      <c r="CD213" s="39" t="str">
        <f>'Por Valoracion (3) Dimension'!H213</f>
        <v>0</v>
      </c>
      <c r="CY213" s="49"/>
      <c r="DA213" t="str">
        <f>('Inteligencia emocional'!A214)</f>
        <v>0</v>
      </c>
      <c r="DB213" s="39" t="str">
        <f>'Por Valoracion (3) Dimension 2'!D213</f>
        <v>0</v>
      </c>
      <c r="DC213" s="39" t="str">
        <f>'Por Valoracion (3) Dimension'!H213</f>
        <v>0</v>
      </c>
      <c r="DX213" s="49"/>
      <c r="DZ213" t="str">
        <f>('Inteligencia emocional'!A214)</f>
        <v>0</v>
      </c>
      <c r="EA213" s="39" t="str">
        <f>'Por Valoracion (3) Dimension 2'!F213</f>
        <v>0</v>
      </c>
      <c r="EB213" s="39" t="str">
        <f>'Por Valoracion (3) Dimension'!H213</f>
        <v>0</v>
      </c>
      <c r="EW213" s="49"/>
      <c r="EY213" t="str">
        <f>('Inteligencia emocional'!A214)</f>
        <v>0</v>
      </c>
      <c r="EZ213" s="39" t="str">
        <f>'Por Valoracion (3) Dimension 2'!H213</f>
        <v>0</v>
      </c>
      <c r="FA213" s="39" t="str">
        <f>'Por Valoracion (3) Dimension'!H213</f>
        <v>0</v>
      </c>
      <c r="FV213" s="49"/>
    </row>
    <row r="214" spans="1:178">
      <c r="A214" s="48"/>
      <c r="C214" t="str">
        <f>('Inteligencia emocional'!A215)</f>
        <v>0</v>
      </c>
      <c r="D214" s="39" t="str">
        <f>'Por Valoracion (3) Dimension'!B214</f>
        <v>0</v>
      </c>
      <c r="E214" s="39" t="str">
        <f>'Por Valoracion (3) Dimension 2'!J214</f>
        <v>0</v>
      </c>
      <c r="Z214" s="48"/>
      <c r="AB214" t="str">
        <f>('Inteligencia emocional'!A215)</f>
        <v>0</v>
      </c>
      <c r="AC214" s="39" t="str">
        <f>'Por Valoracion (3) Dimension'!D214</f>
        <v>0</v>
      </c>
      <c r="AD214" s="39" t="str">
        <f>'Por Valoracion (3) Dimension 2'!J214</f>
        <v>0</v>
      </c>
      <c r="AY214" s="48"/>
      <c r="BA214" t="str">
        <f>('Inteligencia emocional'!A215)</f>
        <v>0</v>
      </c>
      <c r="BB214" s="39" t="str">
        <f>'Por Valoracion (3) Dimension'!F214</f>
        <v>0</v>
      </c>
      <c r="BC214" s="39" t="str">
        <f>'Por Valoracion (3) Dimension 2'!J214</f>
        <v>0</v>
      </c>
      <c r="BX214" s="48"/>
      <c r="BZ214" s="49"/>
      <c r="CB214" t="str">
        <f>('Inteligencia emocional'!A215)</f>
        <v>0</v>
      </c>
      <c r="CC214" s="39" t="str">
        <f>'Por Valoracion (3) Dimension 2'!B214</f>
        <v>0</v>
      </c>
      <c r="CD214" s="39" t="str">
        <f>'Por Valoracion (3) Dimension'!H214</f>
        <v>0</v>
      </c>
      <c r="CY214" s="49"/>
      <c r="DA214" t="str">
        <f>('Inteligencia emocional'!A215)</f>
        <v>0</v>
      </c>
      <c r="DB214" s="39" t="str">
        <f>'Por Valoracion (3) Dimension 2'!D214</f>
        <v>0</v>
      </c>
      <c r="DC214" s="39" t="str">
        <f>'Por Valoracion (3) Dimension'!H214</f>
        <v>0</v>
      </c>
      <c r="DX214" s="49"/>
      <c r="DZ214" t="str">
        <f>('Inteligencia emocional'!A215)</f>
        <v>0</v>
      </c>
      <c r="EA214" s="39" t="str">
        <f>'Por Valoracion (3) Dimension 2'!F214</f>
        <v>0</v>
      </c>
      <c r="EB214" s="39" t="str">
        <f>'Por Valoracion (3) Dimension'!H214</f>
        <v>0</v>
      </c>
      <c r="EW214" s="49"/>
      <c r="EY214" t="str">
        <f>('Inteligencia emocional'!A215)</f>
        <v>0</v>
      </c>
      <c r="EZ214" s="39" t="str">
        <f>'Por Valoracion (3) Dimension 2'!H214</f>
        <v>0</v>
      </c>
      <c r="FA214" s="39" t="str">
        <f>'Por Valoracion (3) Dimension'!H214</f>
        <v>0</v>
      </c>
      <c r="FV214" s="49"/>
    </row>
    <row r="215" spans="1:178">
      <c r="A215" s="48"/>
      <c r="C215" t="str">
        <f>('Inteligencia emocional'!A216)</f>
        <v>0</v>
      </c>
      <c r="D215" s="39" t="str">
        <f>'Por Valoracion (3) Dimension'!B215</f>
        <v>0</v>
      </c>
      <c r="E215" s="39" t="str">
        <f>'Por Valoracion (3) Dimension 2'!J215</f>
        <v>0</v>
      </c>
      <c r="Z215" s="48"/>
      <c r="AB215" t="str">
        <f>('Inteligencia emocional'!A216)</f>
        <v>0</v>
      </c>
      <c r="AC215" s="39" t="str">
        <f>'Por Valoracion (3) Dimension'!D215</f>
        <v>0</v>
      </c>
      <c r="AD215" s="39" t="str">
        <f>'Por Valoracion (3) Dimension 2'!J215</f>
        <v>0</v>
      </c>
      <c r="AY215" s="48"/>
      <c r="BA215" t="str">
        <f>('Inteligencia emocional'!A216)</f>
        <v>0</v>
      </c>
      <c r="BB215" s="39" t="str">
        <f>'Por Valoracion (3) Dimension'!F215</f>
        <v>0</v>
      </c>
      <c r="BC215" s="39" t="str">
        <f>'Por Valoracion (3) Dimension 2'!J215</f>
        <v>0</v>
      </c>
      <c r="BX215" s="48"/>
      <c r="BZ215" s="49"/>
      <c r="CB215" t="str">
        <f>('Inteligencia emocional'!A216)</f>
        <v>0</v>
      </c>
      <c r="CC215" s="39" t="str">
        <f>'Por Valoracion (3) Dimension 2'!B215</f>
        <v>0</v>
      </c>
      <c r="CD215" s="39" t="str">
        <f>'Por Valoracion (3) Dimension'!H215</f>
        <v>0</v>
      </c>
      <c r="CY215" s="49"/>
      <c r="DA215" t="str">
        <f>('Inteligencia emocional'!A216)</f>
        <v>0</v>
      </c>
      <c r="DB215" s="39" t="str">
        <f>'Por Valoracion (3) Dimension 2'!D215</f>
        <v>0</v>
      </c>
      <c r="DC215" s="39" t="str">
        <f>'Por Valoracion (3) Dimension'!H215</f>
        <v>0</v>
      </c>
      <c r="DX215" s="49"/>
      <c r="DZ215" t="str">
        <f>('Inteligencia emocional'!A216)</f>
        <v>0</v>
      </c>
      <c r="EA215" s="39" t="str">
        <f>'Por Valoracion (3) Dimension 2'!F215</f>
        <v>0</v>
      </c>
      <c r="EB215" s="39" t="str">
        <f>'Por Valoracion (3) Dimension'!H215</f>
        <v>0</v>
      </c>
      <c r="EW215" s="49"/>
      <c r="EY215" t="str">
        <f>('Inteligencia emocional'!A216)</f>
        <v>0</v>
      </c>
      <c r="EZ215" s="39" t="str">
        <f>'Por Valoracion (3) Dimension 2'!H215</f>
        <v>0</v>
      </c>
      <c r="FA215" s="39" t="str">
        <f>'Por Valoracion (3) Dimension'!H215</f>
        <v>0</v>
      </c>
      <c r="FV215" s="49"/>
    </row>
    <row r="216" spans="1:178">
      <c r="A216" s="48"/>
      <c r="C216" t="str">
        <f>('Inteligencia emocional'!A217)</f>
        <v>0</v>
      </c>
      <c r="D216" s="39" t="str">
        <f>'Por Valoracion (3) Dimension'!B216</f>
        <v>0</v>
      </c>
      <c r="E216" s="39" t="str">
        <f>'Por Valoracion (3) Dimension 2'!J216</f>
        <v>0</v>
      </c>
      <c r="Z216" s="48"/>
      <c r="AB216" t="str">
        <f>('Inteligencia emocional'!A217)</f>
        <v>0</v>
      </c>
      <c r="AC216" s="39" t="str">
        <f>'Por Valoracion (3) Dimension'!D216</f>
        <v>0</v>
      </c>
      <c r="AD216" s="39" t="str">
        <f>'Por Valoracion (3) Dimension 2'!J216</f>
        <v>0</v>
      </c>
      <c r="AY216" s="48"/>
      <c r="BA216" t="str">
        <f>('Inteligencia emocional'!A217)</f>
        <v>0</v>
      </c>
      <c r="BB216" s="39" t="str">
        <f>'Por Valoracion (3) Dimension'!F216</f>
        <v>0</v>
      </c>
      <c r="BC216" s="39" t="str">
        <f>'Por Valoracion (3) Dimension 2'!J216</f>
        <v>0</v>
      </c>
      <c r="BX216" s="48"/>
      <c r="BZ216" s="49"/>
      <c r="CB216" t="str">
        <f>('Inteligencia emocional'!A217)</f>
        <v>0</v>
      </c>
      <c r="CC216" s="39" t="str">
        <f>'Por Valoracion (3) Dimension 2'!B216</f>
        <v>0</v>
      </c>
      <c r="CD216" s="39" t="str">
        <f>'Por Valoracion (3) Dimension'!H216</f>
        <v>0</v>
      </c>
      <c r="CY216" s="49"/>
      <c r="DA216" t="str">
        <f>('Inteligencia emocional'!A217)</f>
        <v>0</v>
      </c>
      <c r="DB216" s="39" t="str">
        <f>'Por Valoracion (3) Dimension 2'!D216</f>
        <v>0</v>
      </c>
      <c r="DC216" s="39" t="str">
        <f>'Por Valoracion (3) Dimension'!H216</f>
        <v>0</v>
      </c>
      <c r="DX216" s="49"/>
      <c r="DZ216" t="str">
        <f>('Inteligencia emocional'!A217)</f>
        <v>0</v>
      </c>
      <c r="EA216" s="39" t="str">
        <f>'Por Valoracion (3) Dimension 2'!F216</f>
        <v>0</v>
      </c>
      <c r="EB216" s="39" t="str">
        <f>'Por Valoracion (3) Dimension'!H216</f>
        <v>0</v>
      </c>
      <c r="EW216" s="49"/>
      <c r="EY216" t="str">
        <f>('Inteligencia emocional'!A217)</f>
        <v>0</v>
      </c>
      <c r="EZ216" s="39" t="str">
        <f>'Por Valoracion (3) Dimension 2'!H216</f>
        <v>0</v>
      </c>
      <c r="FA216" s="39" t="str">
        <f>'Por Valoracion (3) Dimension'!H216</f>
        <v>0</v>
      </c>
      <c r="FV216" s="49"/>
    </row>
    <row r="217" spans="1:178">
      <c r="A217" s="48"/>
      <c r="C217" t="str">
        <f>('Inteligencia emocional'!A218)</f>
        <v>0</v>
      </c>
      <c r="D217" s="39" t="str">
        <f>'Por Valoracion (3) Dimension'!B217</f>
        <v>0</v>
      </c>
      <c r="E217" s="39" t="str">
        <f>'Por Valoracion (3) Dimension 2'!J217</f>
        <v>0</v>
      </c>
      <c r="Z217" s="48"/>
      <c r="AB217" t="str">
        <f>('Inteligencia emocional'!A218)</f>
        <v>0</v>
      </c>
      <c r="AC217" s="39" t="str">
        <f>'Por Valoracion (3) Dimension'!D217</f>
        <v>0</v>
      </c>
      <c r="AD217" s="39" t="str">
        <f>'Por Valoracion (3) Dimension 2'!J217</f>
        <v>0</v>
      </c>
      <c r="AY217" s="48"/>
      <c r="BA217" t="str">
        <f>('Inteligencia emocional'!A218)</f>
        <v>0</v>
      </c>
      <c r="BB217" s="39" t="str">
        <f>'Por Valoracion (3) Dimension'!F217</f>
        <v>0</v>
      </c>
      <c r="BC217" s="39" t="str">
        <f>'Por Valoracion (3) Dimension 2'!J217</f>
        <v>0</v>
      </c>
      <c r="BX217" s="48"/>
      <c r="BZ217" s="49"/>
      <c r="CB217" t="str">
        <f>('Inteligencia emocional'!A218)</f>
        <v>0</v>
      </c>
      <c r="CC217" s="39" t="str">
        <f>'Por Valoracion (3) Dimension 2'!B217</f>
        <v>0</v>
      </c>
      <c r="CD217" s="39" t="str">
        <f>'Por Valoracion (3) Dimension'!H217</f>
        <v>0</v>
      </c>
      <c r="CY217" s="49"/>
      <c r="DA217" t="str">
        <f>('Inteligencia emocional'!A218)</f>
        <v>0</v>
      </c>
      <c r="DB217" s="39" t="str">
        <f>'Por Valoracion (3) Dimension 2'!D217</f>
        <v>0</v>
      </c>
      <c r="DC217" s="39" t="str">
        <f>'Por Valoracion (3) Dimension'!H217</f>
        <v>0</v>
      </c>
      <c r="DX217" s="49"/>
      <c r="DZ217" t="str">
        <f>('Inteligencia emocional'!A218)</f>
        <v>0</v>
      </c>
      <c r="EA217" s="39" t="str">
        <f>'Por Valoracion (3) Dimension 2'!F217</f>
        <v>0</v>
      </c>
      <c r="EB217" s="39" t="str">
        <f>'Por Valoracion (3) Dimension'!H217</f>
        <v>0</v>
      </c>
      <c r="EW217" s="49"/>
      <c r="EY217" t="str">
        <f>('Inteligencia emocional'!A218)</f>
        <v>0</v>
      </c>
      <c r="EZ217" s="39" t="str">
        <f>'Por Valoracion (3) Dimension 2'!H217</f>
        <v>0</v>
      </c>
      <c r="FA217" s="39" t="str">
        <f>'Por Valoracion (3) Dimension'!H217</f>
        <v>0</v>
      </c>
      <c r="FV217" s="49"/>
    </row>
    <row r="218" spans="1:178">
      <c r="A218" s="48"/>
      <c r="C218" t="str">
        <f>('Inteligencia emocional'!A219)</f>
        <v>0</v>
      </c>
      <c r="D218" s="39" t="str">
        <f>'Por Valoracion (3) Dimension'!B218</f>
        <v>0</v>
      </c>
      <c r="E218" s="39" t="str">
        <f>'Por Valoracion (3) Dimension 2'!J218</f>
        <v>0</v>
      </c>
      <c r="Z218" s="48"/>
      <c r="AB218" t="str">
        <f>('Inteligencia emocional'!A219)</f>
        <v>0</v>
      </c>
      <c r="AC218" s="39" t="str">
        <f>'Por Valoracion (3) Dimension'!D218</f>
        <v>0</v>
      </c>
      <c r="AD218" s="39" t="str">
        <f>'Por Valoracion (3) Dimension 2'!J218</f>
        <v>0</v>
      </c>
      <c r="AY218" s="48"/>
      <c r="BA218" t="str">
        <f>('Inteligencia emocional'!A219)</f>
        <v>0</v>
      </c>
      <c r="BB218" s="39" t="str">
        <f>'Por Valoracion (3) Dimension'!F218</f>
        <v>0</v>
      </c>
      <c r="BC218" s="39" t="str">
        <f>'Por Valoracion (3) Dimension 2'!J218</f>
        <v>0</v>
      </c>
      <c r="BX218" s="48"/>
      <c r="BZ218" s="49"/>
      <c r="CB218" t="str">
        <f>('Inteligencia emocional'!A219)</f>
        <v>0</v>
      </c>
      <c r="CC218" s="39" t="str">
        <f>'Por Valoracion (3) Dimension 2'!B218</f>
        <v>0</v>
      </c>
      <c r="CD218" s="39" t="str">
        <f>'Por Valoracion (3) Dimension'!H218</f>
        <v>0</v>
      </c>
      <c r="CY218" s="49"/>
      <c r="DA218" t="str">
        <f>('Inteligencia emocional'!A219)</f>
        <v>0</v>
      </c>
      <c r="DB218" s="39" t="str">
        <f>'Por Valoracion (3) Dimension 2'!D218</f>
        <v>0</v>
      </c>
      <c r="DC218" s="39" t="str">
        <f>'Por Valoracion (3) Dimension'!H218</f>
        <v>0</v>
      </c>
      <c r="DX218" s="49"/>
      <c r="DZ218" t="str">
        <f>('Inteligencia emocional'!A219)</f>
        <v>0</v>
      </c>
      <c r="EA218" s="39" t="str">
        <f>'Por Valoracion (3) Dimension 2'!F218</f>
        <v>0</v>
      </c>
      <c r="EB218" s="39" t="str">
        <f>'Por Valoracion (3) Dimension'!H218</f>
        <v>0</v>
      </c>
      <c r="EW218" s="49"/>
      <c r="EY218" t="str">
        <f>('Inteligencia emocional'!A219)</f>
        <v>0</v>
      </c>
      <c r="EZ218" s="39" t="str">
        <f>'Por Valoracion (3) Dimension 2'!H218</f>
        <v>0</v>
      </c>
      <c r="FA218" s="39" t="str">
        <f>'Por Valoracion (3) Dimension'!H218</f>
        <v>0</v>
      </c>
      <c r="FV218" s="49"/>
    </row>
    <row r="219" spans="1:178">
      <c r="A219" s="48"/>
      <c r="C219" t="str">
        <f>('Inteligencia emocional'!A220)</f>
        <v>0</v>
      </c>
      <c r="D219" s="39" t="str">
        <f>'Por Valoracion (3) Dimension'!B219</f>
        <v>0</v>
      </c>
      <c r="E219" s="39" t="str">
        <f>'Por Valoracion (3) Dimension 2'!J219</f>
        <v>0</v>
      </c>
      <c r="Z219" s="48"/>
      <c r="AB219" t="str">
        <f>('Inteligencia emocional'!A220)</f>
        <v>0</v>
      </c>
      <c r="AC219" s="39" t="str">
        <f>'Por Valoracion (3) Dimension'!D219</f>
        <v>0</v>
      </c>
      <c r="AD219" s="39" t="str">
        <f>'Por Valoracion (3) Dimension 2'!J219</f>
        <v>0</v>
      </c>
      <c r="AY219" s="48"/>
      <c r="BA219" t="str">
        <f>('Inteligencia emocional'!A220)</f>
        <v>0</v>
      </c>
      <c r="BB219" s="39" t="str">
        <f>'Por Valoracion (3) Dimension'!F219</f>
        <v>0</v>
      </c>
      <c r="BC219" s="39" t="str">
        <f>'Por Valoracion (3) Dimension 2'!J219</f>
        <v>0</v>
      </c>
      <c r="BX219" s="48"/>
      <c r="BZ219" s="49"/>
      <c r="CB219" t="str">
        <f>('Inteligencia emocional'!A220)</f>
        <v>0</v>
      </c>
      <c r="CC219" s="39" t="str">
        <f>'Por Valoracion (3) Dimension 2'!B219</f>
        <v>0</v>
      </c>
      <c r="CD219" s="39" t="str">
        <f>'Por Valoracion (3) Dimension'!H219</f>
        <v>0</v>
      </c>
      <c r="CY219" s="49"/>
      <c r="DA219" t="str">
        <f>('Inteligencia emocional'!A220)</f>
        <v>0</v>
      </c>
      <c r="DB219" s="39" t="str">
        <f>'Por Valoracion (3) Dimension 2'!D219</f>
        <v>0</v>
      </c>
      <c r="DC219" s="39" t="str">
        <f>'Por Valoracion (3) Dimension'!H219</f>
        <v>0</v>
      </c>
      <c r="DX219" s="49"/>
      <c r="DZ219" t="str">
        <f>('Inteligencia emocional'!A220)</f>
        <v>0</v>
      </c>
      <c r="EA219" s="39" t="str">
        <f>'Por Valoracion (3) Dimension 2'!F219</f>
        <v>0</v>
      </c>
      <c r="EB219" s="39" t="str">
        <f>'Por Valoracion (3) Dimension'!H219</f>
        <v>0</v>
      </c>
      <c r="EW219" s="49"/>
      <c r="EY219" t="str">
        <f>('Inteligencia emocional'!A220)</f>
        <v>0</v>
      </c>
      <c r="EZ219" s="39" t="str">
        <f>'Por Valoracion (3) Dimension 2'!H219</f>
        <v>0</v>
      </c>
      <c r="FA219" s="39" t="str">
        <f>'Por Valoracion (3) Dimension'!H219</f>
        <v>0</v>
      </c>
      <c r="FV219" s="49"/>
    </row>
    <row r="220" spans="1:178">
      <c r="A220" s="48"/>
      <c r="C220" t="str">
        <f>('Inteligencia emocional'!A221)</f>
        <v>0</v>
      </c>
      <c r="D220" s="39" t="str">
        <f>'Por Valoracion (3) Dimension'!B220</f>
        <v>0</v>
      </c>
      <c r="E220" s="39" t="str">
        <f>'Por Valoracion (3) Dimension 2'!J220</f>
        <v>0</v>
      </c>
      <c r="Z220" s="48"/>
      <c r="AB220" t="str">
        <f>('Inteligencia emocional'!A221)</f>
        <v>0</v>
      </c>
      <c r="AC220" s="39" t="str">
        <f>'Por Valoracion (3) Dimension'!D220</f>
        <v>0</v>
      </c>
      <c r="AD220" s="39" t="str">
        <f>'Por Valoracion (3) Dimension 2'!J220</f>
        <v>0</v>
      </c>
      <c r="AY220" s="48"/>
      <c r="BA220" t="str">
        <f>('Inteligencia emocional'!A221)</f>
        <v>0</v>
      </c>
      <c r="BB220" s="39" t="str">
        <f>'Por Valoracion (3) Dimension'!F220</f>
        <v>0</v>
      </c>
      <c r="BC220" s="39" t="str">
        <f>'Por Valoracion (3) Dimension 2'!J220</f>
        <v>0</v>
      </c>
      <c r="BX220" s="48"/>
      <c r="BZ220" s="49"/>
      <c r="CB220" t="str">
        <f>('Inteligencia emocional'!A221)</f>
        <v>0</v>
      </c>
      <c r="CC220" s="39" t="str">
        <f>'Por Valoracion (3) Dimension 2'!B220</f>
        <v>0</v>
      </c>
      <c r="CD220" s="39" t="str">
        <f>'Por Valoracion (3) Dimension'!H220</f>
        <v>0</v>
      </c>
      <c r="CY220" s="49"/>
      <c r="DA220" t="str">
        <f>('Inteligencia emocional'!A221)</f>
        <v>0</v>
      </c>
      <c r="DB220" s="39" t="str">
        <f>'Por Valoracion (3) Dimension 2'!D220</f>
        <v>0</v>
      </c>
      <c r="DC220" s="39" t="str">
        <f>'Por Valoracion (3) Dimension'!H220</f>
        <v>0</v>
      </c>
      <c r="DX220" s="49"/>
      <c r="DZ220" t="str">
        <f>('Inteligencia emocional'!A221)</f>
        <v>0</v>
      </c>
      <c r="EA220" s="39" t="str">
        <f>'Por Valoracion (3) Dimension 2'!F220</f>
        <v>0</v>
      </c>
      <c r="EB220" s="39" t="str">
        <f>'Por Valoracion (3) Dimension'!H220</f>
        <v>0</v>
      </c>
      <c r="EW220" s="49"/>
      <c r="EY220" t="str">
        <f>('Inteligencia emocional'!A221)</f>
        <v>0</v>
      </c>
      <c r="EZ220" s="39" t="str">
        <f>'Por Valoracion (3) Dimension 2'!H220</f>
        <v>0</v>
      </c>
      <c r="FA220" s="39" t="str">
        <f>'Por Valoracion (3) Dimension'!H220</f>
        <v>0</v>
      </c>
      <c r="FV220" s="49"/>
    </row>
    <row r="221" spans="1:178">
      <c r="A221" s="48"/>
      <c r="C221" t="str">
        <f>('Inteligencia emocional'!A222)</f>
        <v>0</v>
      </c>
      <c r="D221" s="39" t="str">
        <f>'Por Valoracion (3) Dimension'!B221</f>
        <v>0</v>
      </c>
      <c r="E221" s="39" t="str">
        <f>'Por Valoracion (3) Dimension 2'!J221</f>
        <v>0</v>
      </c>
      <c r="Z221" s="48"/>
      <c r="AB221" t="str">
        <f>('Inteligencia emocional'!A222)</f>
        <v>0</v>
      </c>
      <c r="AC221" s="39" t="str">
        <f>'Por Valoracion (3) Dimension'!D221</f>
        <v>0</v>
      </c>
      <c r="AD221" s="39" t="str">
        <f>'Por Valoracion (3) Dimension 2'!J221</f>
        <v>0</v>
      </c>
      <c r="AY221" s="48"/>
      <c r="BA221" t="str">
        <f>('Inteligencia emocional'!A222)</f>
        <v>0</v>
      </c>
      <c r="BB221" s="39" t="str">
        <f>'Por Valoracion (3) Dimension'!F221</f>
        <v>0</v>
      </c>
      <c r="BC221" s="39" t="str">
        <f>'Por Valoracion (3) Dimension 2'!J221</f>
        <v>0</v>
      </c>
      <c r="BX221" s="48"/>
      <c r="BZ221" s="49"/>
      <c r="CB221" t="str">
        <f>('Inteligencia emocional'!A222)</f>
        <v>0</v>
      </c>
      <c r="CC221" s="39" t="str">
        <f>'Por Valoracion (3) Dimension 2'!B221</f>
        <v>0</v>
      </c>
      <c r="CD221" s="39" t="str">
        <f>'Por Valoracion (3) Dimension'!H221</f>
        <v>0</v>
      </c>
      <c r="CY221" s="49"/>
      <c r="DA221" t="str">
        <f>('Inteligencia emocional'!A222)</f>
        <v>0</v>
      </c>
      <c r="DB221" s="39" t="str">
        <f>'Por Valoracion (3) Dimension 2'!D221</f>
        <v>0</v>
      </c>
      <c r="DC221" s="39" t="str">
        <f>'Por Valoracion (3) Dimension'!H221</f>
        <v>0</v>
      </c>
      <c r="DX221" s="49"/>
      <c r="DZ221" t="str">
        <f>('Inteligencia emocional'!A222)</f>
        <v>0</v>
      </c>
      <c r="EA221" s="39" t="str">
        <f>'Por Valoracion (3) Dimension 2'!F221</f>
        <v>0</v>
      </c>
      <c r="EB221" s="39" t="str">
        <f>'Por Valoracion (3) Dimension'!H221</f>
        <v>0</v>
      </c>
      <c r="EW221" s="49"/>
      <c r="EY221" t="str">
        <f>('Inteligencia emocional'!A222)</f>
        <v>0</v>
      </c>
      <c r="EZ221" s="39" t="str">
        <f>'Por Valoracion (3) Dimension 2'!H221</f>
        <v>0</v>
      </c>
      <c r="FA221" s="39" t="str">
        <f>'Por Valoracion (3) Dimension'!H221</f>
        <v>0</v>
      </c>
      <c r="FV221" s="49"/>
    </row>
    <row r="222" spans="1:178">
      <c r="A222" s="48"/>
      <c r="C222" t="str">
        <f>('Inteligencia emocional'!A223)</f>
        <v>0</v>
      </c>
      <c r="D222" s="39" t="str">
        <f>'Por Valoracion (3) Dimension'!B222</f>
        <v>0</v>
      </c>
      <c r="E222" s="39" t="str">
        <f>'Por Valoracion (3) Dimension 2'!J222</f>
        <v>0</v>
      </c>
      <c r="Z222" s="48"/>
      <c r="AB222" t="str">
        <f>('Inteligencia emocional'!A223)</f>
        <v>0</v>
      </c>
      <c r="AC222" s="39" t="str">
        <f>'Por Valoracion (3) Dimension'!D222</f>
        <v>0</v>
      </c>
      <c r="AD222" s="39" t="str">
        <f>'Por Valoracion (3) Dimension 2'!J222</f>
        <v>0</v>
      </c>
      <c r="AY222" s="48"/>
      <c r="BA222" t="str">
        <f>('Inteligencia emocional'!A223)</f>
        <v>0</v>
      </c>
      <c r="BB222" s="39" t="str">
        <f>'Por Valoracion (3) Dimension'!F222</f>
        <v>0</v>
      </c>
      <c r="BC222" s="39" t="str">
        <f>'Por Valoracion (3) Dimension 2'!J222</f>
        <v>0</v>
      </c>
      <c r="BX222" s="48"/>
      <c r="BZ222" s="49"/>
      <c r="CB222" t="str">
        <f>('Inteligencia emocional'!A223)</f>
        <v>0</v>
      </c>
      <c r="CC222" s="39" t="str">
        <f>'Por Valoracion (3) Dimension 2'!B222</f>
        <v>0</v>
      </c>
      <c r="CD222" s="39" t="str">
        <f>'Por Valoracion (3) Dimension'!H222</f>
        <v>0</v>
      </c>
      <c r="CY222" s="49"/>
      <c r="DA222" t="str">
        <f>('Inteligencia emocional'!A223)</f>
        <v>0</v>
      </c>
      <c r="DB222" s="39" t="str">
        <f>'Por Valoracion (3) Dimension 2'!D222</f>
        <v>0</v>
      </c>
      <c r="DC222" s="39" t="str">
        <f>'Por Valoracion (3) Dimension'!H222</f>
        <v>0</v>
      </c>
      <c r="DX222" s="49"/>
      <c r="DZ222" t="str">
        <f>('Inteligencia emocional'!A223)</f>
        <v>0</v>
      </c>
      <c r="EA222" s="39" t="str">
        <f>'Por Valoracion (3) Dimension 2'!F222</f>
        <v>0</v>
      </c>
      <c r="EB222" s="39" t="str">
        <f>'Por Valoracion (3) Dimension'!H222</f>
        <v>0</v>
      </c>
      <c r="EW222" s="49"/>
      <c r="EY222" t="str">
        <f>('Inteligencia emocional'!A223)</f>
        <v>0</v>
      </c>
      <c r="EZ222" s="39" t="str">
        <f>'Por Valoracion (3) Dimension 2'!H222</f>
        <v>0</v>
      </c>
      <c r="FA222" s="39" t="str">
        <f>'Por Valoracion (3) Dimension'!H222</f>
        <v>0</v>
      </c>
      <c r="FV222" s="49"/>
    </row>
    <row r="223" spans="1:178">
      <c r="A223" s="48"/>
      <c r="C223" t="str">
        <f>('Inteligencia emocional'!A224)</f>
        <v>0</v>
      </c>
      <c r="D223" s="39" t="str">
        <f>'Por Valoracion (3) Dimension'!B223</f>
        <v>0</v>
      </c>
      <c r="E223" s="39" t="str">
        <f>'Por Valoracion (3) Dimension 2'!J223</f>
        <v>0</v>
      </c>
      <c r="Z223" s="48"/>
      <c r="AB223" t="str">
        <f>('Inteligencia emocional'!A224)</f>
        <v>0</v>
      </c>
      <c r="AC223" s="39" t="str">
        <f>'Por Valoracion (3) Dimension'!D223</f>
        <v>0</v>
      </c>
      <c r="AD223" s="39" t="str">
        <f>'Por Valoracion (3) Dimension 2'!J223</f>
        <v>0</v>
      </c>
      <c r="AY223" s="48"/>
      <c r="BA223" t="str">
        <f>('Inteligencia emocional'!A224)</f>
        <v>0</v>
      </c>
      <c r="BB223" s="39" t="str">
        <f>'Por Valoracion (3) Dimension'!F223</f>
        <v>0</v>
      </c>
      <c r="BC223" s="39" t="str">
        <f>'Por Valoracion (3) Dimension 2'!J223</f>
        <v>0</v>
      </c>
      <c r="BX223" s="48"/>
      <c r="BZ223" s="49"/>
      <c r="CB223" t="str">
        <f>('Inteligencia emocional'!A224)</f>
        <v>0</v>
      </c>
      <c r="CC223" s="39" t="str">
        <f>'Por Valoracion (3) Dimension 2'!B223</f>
        <v>0</v>
      </c>
      <c r="CD223" s="39" t="str">
        <f>'Por Valoracion (3) Dimension'!H223</f>
        <v>0</v>
      </c>
      <c r="CY223" s="49"/>
      <c r="DA223" t="str">
        <f>('Inteligencia emocional'!A224)</f>
        <v>0</v>
      </c>
      <c r="DB223" s="39" t="str">
        <f>'Por Valoracion (3) Dimension 2'!D223</f>
        <v>0</v>
      </c>
      <c r="DC223" s="39" t="str">
        <f>'Por Valoracion (3) Dimension'!H223</f>
        <v>0</v>
      </c>
      <c r="DX223" s="49"/>
      <c r="DZ223" t="str">
        <f>('Inteligencia emocional'!A224)</f>
        <v>0</v>
      </c>
      <c r="EA223" s="39" t="str">
        <f>'Por Valoracion (3) Dimension 2'!F223</f>
        <v>0</v>
      </c>
      <c r="EB223" s="39" t="str">
        <f>'Por Valoracion (3) Dimension'!H223</f>
        <v>0</v>
      </c>
      <c r="EW223" s="49"/>
      <c r="EY223" t="str">
        <f>('Inteligencia emocional'!A224)</f>
        <v>0</v>
      </c>
      <c r="EZ223" s="39" t="str">
        <f>'Por Valoracion (3) Dimension 2'!H223</f>
        <v>0</v>
      </c>
      <c r="FA223" s="39" t="str">
        <f>'Por Valoracion (3) Dimension'!H223</f>
        <v>0</v>
      </c>
      <c r="FV223" s="49"/>
    </row>
    <row r="224" spans="1:178">
      <c r="A224" s="48"/>
      <c r="C224" t="str">
        <f>('Inteligencia emocional'!A225)</f>
        <v>0</v>
      </c>
      <c r="D224" s="39" t="str">
        <f>'Por Valoracion (3) Dimension'!B224</f>
        <v>0</v>
      </c>
      <c r="E224" s="39" t="str">
        <f>'Por Valoracion (3) Dimension 2'!J224</f>
        <v>0</v>
      </c>
      <c r="Z224" s="48"/>
      <c r="AB224" t="str">
        <f>('Inteligencia emocional'!A225)</f>
        <v>0</v>
      </c>
      <c r="AC224" s="39" t="str">
        <f>'Por Valoracion (3) Dimension'!D224</f>
        <v>0</v>
      </c>
      <c r="AD224" s="39" t="str">
        <f>'Por Valoracion (3) Dimension 2'!J224</f>
        <v>0</v>
      </c>
      <c r="AY224" s="48"/>
      <c r="BA224" t="str">
        <f>('Inteligencia emocional'!A225)</f>
        <v>0</v>
      </c>
      <c r="BB224" s="39" t="str">
        <f>'Por Valoracion (3) Dimension'!F224</f>
        <v>0</v>
      </c>
      <c r="BC224" s="39" t="str">
        <f>'Por Valoracion (3) Dimension 2'!J224</f>
        <v>0</v>
      </c>
      <c r="BX224" s="48"/>
      <c r="BZ224" s="49"/>
      <c r="CB224" t="str">
        <f>('Inteligencia emocional'!A225)</f>
        <v>0</v>
      </c>
      <c r="CC224" s="39" t="str">
        <f>'Por Valoracion (3) Dimension 2'!B224</f>
        <v>0</v>
      </c>
      <c r="CD224" s="39" t="str">
        <f>'Por Valoracion (3) Dimension'!H224</f>
        <v>0</v>
      </c>
      <c r="CY224" s="49"/>
      <c r="DA224" t="str">
        <f>('Inteligencia emocional'!A225)</f>
        <v>0</v>
      </c>
      <c r="DB224" s="39" t="str">
        <f>'Por Valoracion (3) Dimension 2'!D224</f>
        <v>0</v>
      </c>
      <c r="DC224" s="39" t="str">
        <f>'Por Valoracion (3) Dimension'!H224</f>
        <v>0</v>
      </c>
      <c r="DX224" s="49"/>
      <c r="DZ224" t="str">
        <f>('Inteligencia emocional'!A225)</f>
        <v>0</v>
      </c>
      <c r="EA224" s="39" t="str">
        <f>'Por Valoracion (3) Dimension 2'!F224</f>
        <v>0</v>
      </c>
      <c r="EB224" s="39" t="str">
        <f>'Por Valoracion (3) Dimension'!H224</f>
        <v>0</v>
      </c>
      <c r="EW224" s="49"/>
      <c r="EY224" t="str">
        <f>('Inteligencia emocional'!A225)</f>
        <v>0</v>
      </c>
      <c r="EZ224" s="39" t="str">
        <f>'Por Valoracion (3) Dimension 2'!H224</f>
        <v>0</v>
      </c>
      <c r="FA224" s="39" t="str">
        <f>'Por Valoracion (3) Dimension'!H224</f>
        <v>0</v>
      </c>
      <c r="FV224" s="49"/>
    </row>
    <row r="225" spans="1:178">
      <c r="A225" s="48"/>
      <c r="C225" t="str">
        <f>('Inteligencia emocional'!A226)</f>
        <v>0</v>
      </c>
      <c r="D225" s="39" t="str">
        <f>'Por Valoracion (3) Dimension'!B225</f>
        <v>0</v>
      </c>
      <c r="E225" s="39" t="str">
        <f>'Por Valoracion (3) Dimension 2'!J225</f>
        <v>0</v>
      </c>
      <c r="Z225" s="48"/>
      <c r="AB225" t="str">
        <f>('Inteligencia emocional'!A226)</f>
        <v>0</v>
      </c>
      <c r="AC225" s="39" t="str">
        <f>'Por Valoracion (3) Dimension'!D225</f>
        <v>0</v>
      </c>
      <c r="AD225" s="39" t="str">
        <f>'Por Valoracion (3) Dimension 2'!J225</f>
        <v>0</v>
      </c>
      <c r="AY225" s="48"/>
      <c r="BA225" t="str">
        <f>('Inteligencia emocional'!A226)</f>
        <v>0</v>
      </c>
      <c r="BB225" s="39" t="str">
        <f>'Por Valoracion (3) Dimension'!F225</f>
        <v>0</v>
      </c>
      <c r="BC225" s="39" t="str">
        <f>'Por Valoracion (3) Dimension 2'!J225</f>
        <v>0</v>
      </c>
      <c r="BX225" s="48"/>
      <c r="BZ225" s="49"/>
      <c r="CB225" t="str">
        <f>('Inteligencia emocional'!A226)</f>
        <v>0</v>
      </c>
      <c r="CC225" s="39" t="str">
        <f>'Por Valoracion (3) Dimension 2'!B225</f>
        <v>0</v>
      </c>
      <c r="CD225" s="39" t="str">
        <f>'Por Valoracion (3) Dimension'!H225</f>
        <v>0</v>
      </c>
      <c r="CY225" s="49"/>
      <c r="DA225" t="str">
        <f>('Inteligencia emocional'!A226)</f>
        <v>0</v>
      </c>
      <c r="DB225" s="39" t="str">
        <f>'Por Valoracion (3) Dimension 2'!D225</f>
        <v>0</v>
      </c>
      <c r="DC225" s="39" t="str">
        <f>'Por Valoracion (3) Dimension'!H225</f>
        <v>0</v>
      </c>
      <c r="DX225" s="49"/>
      <c r="DZ225" t="str">
        <f>('Inteligencia emocional'!A226)</f>
        <v>0</v>
      </c>
      <c r="EA225" s="39" t="str">
        <f>'Por Valoracion (3) Dimension 2'!F225</f>
        <v>0</v>
      </c>
      <c r="EB225" s="39" t="str">
        <f>'Por Valoracion (3) Dimension'!H225</f>
        <v>0</v>
      </c>
      <c r="EW225" s="49"/>
      <c r="EY225" t="str">
        <f>('Inteligencia emocional'!A226)</f>
        <v>0</v>
      </c>
      <c r="EZ225" s="39" t="str">
        <f>'Por Valoracion (3) Dimension 2'!H225</f>
        <v>0</v>
      </c>
      <c r="FA225" s="39" t="str">
        <f>'Por Valoracion (3) Dimension'!H225</f>
        <v>0</v>
      </c>
      <c r="FV225" s="49"/>
    </row>
    <row r="226" spans="1:178">
      <c r="A226" s="48"/>
      <c r="C226" t="str">
        <f>('Inteligencia emocional'!A227)</f>
        <v>0</v>
      </c>
      <c r="D226" s="39" t="str">
        <f>'Por Valoracion (3) Dimension'!B226</f>
        <v>0</v>
      </c>
      <c r="E226" s="39" t="str">
        <f>'Por Valoracion (3) Dimension 2'!J226</f>
        <v>0</v>
      </c>
      <c r="Z226" s="48"/>
      <c r="AB226" t="str">
        <f>('Inteligencia emocional'!A227)</f>
        <v>0</v>
      </c>
      <c r="AC226" s="39" t="str">
        <f>'Por Valoracion (3) Dimension'!D226</f>
        <v>0</v>
      </c>
      <c r="AD226" s="39" t="str">
        <f>'Por Valoracion (3) Dimension 2'!J226</f>
        <v>0</v>
      </c>
      <c r="AY226" s="48"/>
      <c r="BA226" t="str">
        <f>('Inteligencia emocional'!A227)</f>
        <v>0</v>
      </c>
      <c r="BB226" s="39" t="str">
        <f>'Por Valoracion (3) Dimension'!F226</f>
        <v>0</v>
      </c>
      <c r="BC226" s="39" t="str">
        <f>'Por Valoracion (3) Dimension 2'!J226</f>
        <v>0</v>
      </c>
      <c r="BX226" s="48"/>
      <c r="BZ226" s="49"/>
      <c r="CB226" t="str">
        <f>('Inteligencia emocional'!A227)</f>
        <v>0</v>
      </c>
      <c r="CC226" s="39" t="str">
        <f>'Por Valoracion (3) Dimension 2'!B226</f>
        <v>0</v>
      </c>
      <c r="CD226" s="39" t="str">
        <f>'Por Valoracion (3) Dimension'!H226</f>
        <v>0</v>
      </c>
      <c r="CY226" s="49"/>
      <c r="DA226" t="str">
        <f>('Inteligencia emocional'!A227)</f>
        <v>0</v>
      </c>
      <c r="DB226" s="39" t="str">
        <f>'Por Valoracion (3) Dimension 2'!D226</f>
        <v>0</v>
      </c>
      <c r="DC226" s="39" t="str">
        <f>'Por Valoracion (3) Dimension'!H226</f>
        <v>0</v>
      </c>
      <c r="DX226" s="49"/>
      <c r="DZ226" t="str">
        <f>('Inteligencia emocional'!A227)</f>
        <v>0</v>
      </c>
      <c r="EA226" s="39" t="str">
        <f>'Por Valoracion (3) Dimension 2'!F226</f>
        <v>0</v>
      </c>
      <c r="EB226" s="39" t="str">
        <f>'Por Valoracion (3) Dimension'!H226</f>
        <v>0</v>
      </c>
      <c r="EW226" s="49"/>
      <c r="EY226" t="str">
        <f>('Inteligencia emocional'!A227)</f>
        <v>0</v>
      </c>
      <c r="EZ226" s="39" t="str">
        <f>'Por Valoracion (3) Dimension 2'!H226</f>
        <v>0</v>
      </c>
      <c r="FA226" s="39" t="str">
        <f>'Por Valoracion (3) Dimension'!H226</f>
        <v>0</v>
      </c>
      <c r="FV226" s="49"/>
    </row>
    <row r="227" spans="1:178">
      <c r="A227" s="48"/>
      <c r="C227" t="str">
        <f>('Inteligencia emocional'!A228)</f>
        <v>0</v>
      </c>
      <c r="D227" s="39" t="str">
        <f>'Por Valoracion (3) Dimension'!B227</f>
        <v>0</v>
      </c>
      <c r="E227" s="39" t="str">
        <f>'Por Valoracion (3) Dimension 2'!J227</f>
        <v>0</v>
      </c>
      <c r="Z227" s="48"/>
      <c r="AB227" t="str">
        <f>('Inteligencia emocional'!A228)</f>
        <v>0</v>
      </c>
      <c r="AC227" s="39" t="str">
        <f>'Por Valoracion (3) Dimension'!D227</f>
        <v>0</v>
      </c>
      <c r="AD227" s="39" t="str">
        <f>'Por Valoracion (3) Dimension 2'!J227</f>
        <v>0</v>
      </c>
      <c r="AY227" s="48"/>
      <c r="BA227" t="str">
        <f>('Inteligencia emocional'!A228)</f>
        <v>0</v>
      </c>
      <c r="BB227" s="39" t="str">
        <f>'Por Valoracion (3) Dimension'!F227</f>
        <v>0</v>
      </c>
      <c r="BC227" s="39" t="str">
        <f>'Por Valoracion (3) Dimension 2'!J227</f>
        <v>0</v>
      </c>
      <c r="BX227" s="48"/>
      <c r="BZ227" s="49"/>
      <c r="CB227" t="str">
        <f>('Inteligencia emocional'!A228)</f>
        <v>0</v>
      </c>
      <c r="CC227" s="39" t="str">
        <f>'Por Valoracion (3) Dimension 2'!B227</f>
        <v>0</v>
      </c>
      <c r="CD227" s="39" t="str">
        <f>'Por Valoracion (3) Dimension'!H227</f>
        <v>0</v>
      </c>
      <c r="CY227" s="49"/>
      <c r="DA227" t="str">
        <f>('Inteligencia emocional'!A228)</f>
        <v>0</v>
      </c>
      <c r="DB227" s="39" t="str">
        <f>'Por Valoracion (3) Dimension 2'!D227</f>
        <v>0</v>
      </c>
      <c r="DC227" s="39" t="str">
        <f>'Por Valoracion (3) Dimension'!H227</f>
        <v>0</v>
      </c>
      <c r="DX227" s="49"/>
      <c r="DZ227" t="str">
        <f>('Inteligencia emocional'!A228)</f>
        <v>0</v>
      </c>
      <c r="EA227" s="39" t="str">
        <f>'Por Valoracion (3) Dimension 2'!F227</f>
        <v>0</v>
      </c>
      <c r="EB227" s="39" t="str">
        <f>'Por Valoracion (3) Dimension'!H227</f>
        <v>0</v>
      </c>
      <c r="EW227" s="49"/>
      <c r="EY227" t="str">
        <f>('Inteligencia emocional'!A228)</f>
        <v>0</v>
      </c>
      <c r="EZ227" s="39" t="str">
        <f>'Por Valoracion (3) Dimension 2'!H227</f>
        <v>0</v>
      </c>
      <c r="FA227" s="39" t="str">
        <f>'Por Valoracion (3) Dimension'!H227</f>
        <v>0</v>
      </c>
      <c r="FV227" s="49"/>
    </row>
    <row r="228" spans="1:178">
      <c r="A228" s="48"/>
      <c r="C228" t="str">
        <f>('Inteligencia emocional'!A229)</f>
        <v>0</v>
      </c>
      <c r="D228" s="39" t="str">
        <f>'Por Valoracion (3) Dimension'!B228</f>
        <v>0</v>
      </c>
      <c r="E228" s="39" t="str">
        <f>'Por Valoracion (3) Dimension 2'!J228</f>
        <v>0</v>
      </c>
      <c r="Z228" s="48"/>
      <c r="AB228" t="str">
        <f>('Inteligencia emocional'!A229)</f>
        <v>0</v>
      </c>
      <c r="AC228" s="39" t="str">
        <f>'Por Valoracion (3) Dimension'!D228</f>
        <v>0</v>
      </c>
      <c r="AD228" s="39" t="str">
        <f>'Por Valoracion (3) Dimension 2'!J228</f>
        <v>0</v>
      </c>
      <c r="AY228" s="48"/>
      <c r="BA228" t="str">
        <f>('Inteligencia emocional'!A229)</f>
        <v>0</v>
      </c>
      <c r="BB228" s="39" t="str">
        <f>'Por Valoracion (3) Dimension'!F228</f>
        <v>0</v>
      </c>
      <c r="BC228" s="39" t="str">
        <f>'Por Valoracion (3) Dimension 2'!J228</f>
        <v>0</v>
      </c>
      <c r="BX228" s="48"/>
      <c r="BZ228" s="49"/>
      <c r="CB228" t="str">
        <f>('Inteligencia emocional'!A229)</f>
        <v>0</v>
      </c>
      <c r="CC228" s="39" t="str">
        <f>'Por Valoracion (3) Dimension 2'!B228</f>
        <v>0</v>
      </c>
      <c r="CD228" s="39" t="str">
        <f>'Por Valoracion (3) Dimension'!H228</f>
        <v>0</v>
      </c>
      <c r="CY228" s="49"/>
      <c r="DA228" t="str">
        <f>('Inteligencia emocional'!A229)</f>
        <v>0</v>
      </c>
      <c r="DB228" s="39" t="str">
        <f>'Por Valoracion (3) Dimension 2'!D228</f>
        <v>0</v>
      </c>
      <c r="DC228" s="39" t="str">
        <f>'Por Valoracion (3) Dimension'!H228</f>
        <v>0</v>
      </c>
      <c r="DX228" s="49"/>
      <c r="DZ228" t="str">
        <f>('Inteligencia emocional'!A229)</f>
        <v>0</v>
      </c>
      <c r="EA228" s="39" t="str">
        <f>'Por Valoracion (3) Dimension 2'!F228</f>
        <v>0</v>
      </c>
      <c r="EB228" s="39" t="str">
        <f>'Por Valoracion (3) Dimension'!H228</f>
        <v>0</v>
      </c>
      <c r="EW228" s="49"/>
      <c r="EY228" t="str">
        <f>('Inteligencia emocional'!A229)</f>
        <v>0</v>
      </c>
      <c r="EZ228" s="39" t="str">
        <f>'Por Valoracion (3) Dimension 2'!H228</f>
        <v>0</v>
      </c>
      <c r="FA228" s="39" t="str">
        <f>'Por Valoracion (3) Dimension'!H228</f>
        <v>0</v>
      </c>
      <c r="FV228" s="49"/>
    </row>
    <row r="229" spans="1:178">
      <c r="A229" s="48"/>
      <c r="C229" t="str">
        <f>('Inteligencia emocional'!A230)</f>
        <v>0</v>
      </c>
      <c r="D229" s="39" t="str">
        <f>'Por Valoracion (3) Dimension'!B229</f>
        <v>0</v>
      </c>
      <c r="E229" s="39" t="str">
        <f>'Por Valoracion (3) Dimension 2'!J229</f>
        <v>0</v>
      </c>
      <c r="Z229" s="48"/>
      <c r="AB229" t="str">
        <f>('Inteligencia emocional'!A230)</f>
        <v>0</v>
      </c>
      <c r="AC229" s="39" t="str">
        <f>'Por Valoracion (3) Dimension'!D229</f>
        <v>0</v>
      </c>
      <c r="AD229" s="39" t="str">
        <f>'Por Valoracion (3) Dimension 2'!J229</f>
        <v>0</v>
      </c>
      <c r="AY229" s="48"/>
      <c r="BA229" t="str">
        <f>('Inteligencia emocional'!A230)</f>
        <v>0</v>
      </c>
      <c r="BB229" s="39" t="str">
        <f>'Por Valoracion (3) Dimension'!F229</f>
        <v>0</v>
      </c>
      <c r="BC229" s="39" t="str">
        <f>'Por Valoracion (3) Dimension 2'!J229</f>
        <v>0</v>
      </c>
      <c r="BX229" s="48"/>
      <c r="BZ229" s="49"/>
      <c r="CB229" t="str">
        <f>('Inteligencia emocional'!A230)</f>
        <v>0</v>
      </c>
      <c r="CC229" s="39" t="str">
        <f>'Por Valoracion (3) Dimension 2'!B229</f>
        <v>0</v>
      </c>
      <c r="CD229" s="39" t="str">
        <f>'Por Valoracion (3) Dimension'!H229</f>
        <v>0</v>
      </c>
      <c r="CY229" s="49"/>
      <c r="DA229" t="str">
        <f>('Inteligencia emocional'!A230)</f>
        <v>0</v>
      </c>
      <c r="DB229" s="39" t="str">
        <f>'Por Valoracion (3) Dimension 2'!D229</f>
        <v>0</v>
      </c>
      <c r="DC229" s="39" t="str">
        <f>'Por Valoracion (3) Dimension'!H229</f>
        <v>0</v>
      </c>
      <c r="DX229" s="49"/>
      <c r="DZ229" t="str">
        <f>('Inteligencia emocional'!A230)</f>
        <v>0</v>
      </c>
      <c r="EA229" s="39" t="str">
        <f>'Por Valoracion (3) Dimension 2'!F229</f>
        <v>0</v>
      </c>
      <c r="EB229" s="39" t="str">
        <f>'Por Valoracion (3) Dimension'!H229</f>
        <v>0</v>
      </c>
      <c r="EW229" s="49"/>
      <c r="EY229" t="str">
        <f>('Inteligencia emocional'!A230)</f>
        <v>0</v>
      </c>
      <c r="EZ229" s="39" t="str">
        <f>'Por Valoracion (3) Dimension 2'!H229</f>
        <v>0</v>
      </c>
      <c r="FA229" s="39" t="str">
        <f>'Por Valoracion (3) Dimension'!H229</f>
        <v>0</v>
      </c>
      <c r="FV229" s="49"/>
    </row>
    <row r="230" spans="1:178">
      <c r="A230" s="48"/>
      <c r="C230" t="str">
        <f>('Inteligencia emocional'!A231)</f>
        <v>0</v>
      </c>
      <c r="D230" s="39" t="str">
        <f>'Por Valoracion (3) Dimension'!B230</f>
        <v>0</v>
      </c>
      <c r="E230" s="39" t="str">
        <f>'Por Valoracion (3) Dimension 2'!J230</f>
        <v>0</v>
      </c>
      <c r="Z230" s="48"/>
      <c r="AB230" t="str">
        <f>('Inteligencia emocional'!A231)</f>
        <v>0</v>
      </c>
      <c r="AC230" s="39" t="str">
        <f>'Por Valoracion (3) Dimension'!D230</f>
        <v>0</v>
      </c>
      <c r="AD230" s="39" t="str">
        <f>'Por Valoracion (3) Dimension 2'!J230</f>
        <v>0</v>
      </c>
      <c r="AY230" s="48"/>
      <c r="BA230" t="str">
        <f>('Inteligencia emocional'!A231)</f>
        <v>0</v>
      </c>
      <c r="BB230" s="39" t="str">
        <f>'Por Valoracion (3) Dimension'!F230</f>
        <v>0</v>
      </c>
      <c r="BC230" s="39" t="str">
        <f>'Por Valoracion (3) Dimension 2'!J230</f>
        <v>0</v>
      </c>
      <c r="BX230" s="48"/>
      <c r="BZ230" s="49"/>
      <c r="CB230" t="str">
        <f>('Inteligencia emocional'!A231)</f>
        <v>0</v>
      </c>
      <c r="CC230" s="39" t="str">
        <f>'Por Valoracion (3) Dimension 2'!B230</f>
        <v>0</v>
      </c>
      <c r="CD230" s="39" t="str">
        <f>'Por Valoracion (3) Dimension'!H230</f>
        <v>0</v>
      </c>
      <c r="CY230" s="49"/>
      <c r="DA230" t="str">
        <f>('Inteligencia emocional'!A231)</f>
        <v>0</v>
      </c>
      <c r="DB230" s="39" t="str">
        <f>'Por Valoracion (3) Dimension 2'!D230</f>
        <v>0</v>
      </c>
      <c r="DC230" s="39" t="str">
        <f>'Por Valoracion (3) Dimension'!H230</f>
        <v>0</v>
      </c>
      <c r="DX230" s="49"/>
      <c r="DZ230" t="str">
        <f>('Inteligencia emocional'!A231)</f>
        <v>0</v>
      </c>
      <c r="EA230" s="39" t="str">
        <f>'Por Valoracion (3) Dimension 2'!F230</f>
        <v>0</v>
      </c>
      <c r="EB230" s="39" t="str">
        <f>'Por Valoracion (3) Dimension'!H230</f>
        <v>0</v>
      </c>
      <c r="EW230" s="49"/>
      <c r="EY230" t="str">
        <f>('Inteligencia emocional'!A231)</f>
        <v>0</v>
      </c>
      <c r="EZ230" s="39" t="str">
        <f>'Por Valoracion (3) Dimension 2'!H230</f>
        <v>0</v>
      </c>
      <c r="FA230" s="39" t="str">
        <f>'Por Valoracion (3) Dimension'!H230</f>
        <v>0</v>
      </c>
      <c r="FV230" s="49"/>
    </row>
    <row r="231" spans="1:178">
      <c r="A231" s="48"/>
      <c r="C231" t="str">
        <f>('Inteligencia emocional'!A232)</f>
        <v>0</v>
      </c>
      <c r="D231" s="39" t="str">
        <f>'Por Valoracion (3) Dimension'!B231</f>
        <v>0</v>
      </c>
      <c r="E231" s="39" t="str">
        <f>'Por Valoracion (3) Dimension 2'!J231</f>
        <v>0</v>
      </c>
      <c r="Z231" s="48"/>
      <c r="AB231" t="str">
        <f>('Inteligencia emocional'!A232)</f>
        <v>0</v>
      </c>
      <c r="AC231" s="39" t="str">
        <f>'Por Valoracion (3) Dimension'!D231</f>
        <v>0</v>
      </c>
      <c r="AD231" s="39" t="str">
        <f>'Por Valoracion (3) Dimension 2'!J231</f>
        <v>0</v>
      </c>
      <c r="AY231" s="48"/>
      <c r="BA231" t="str">
        <f>('Inteligencia emocional'!A232)</f>
        <v>0</v>
      </c>
      <c r="BB231" s="39" t="str">
        <f>'Por Valoracion (3) Dimension'!F231</f>
        <v>0</v>
      </c>
      <c r="BC231" s="39" t="str">
        <f>'Por Valoracion (3) Dimension 2'!J231</f>
        <v>0</v>
      </c>
      <c r="BX231" s="48"/>
      <c r="BZ231" s="49"/>
      <c r="CB231" t="str">
        <f>('Inteligencia emocional'!A232)</f>
        <v>0</v>
      </c>
      <c r="CC231" s="39" t="str">
        <f>'Por Valoracion (3) Dimension 2'!B231</f>
        <v>0</v>
      </c>
      <c r="CD231" s="39" t="str">
        <f>'Por Valoracion (3) Dimension'!H231</f>
        <v>0</v>
      </c>
      <c r="CY231" s="49"/>
      <c r="DA231" t="str">
        <f>('Inteligencia emocional'!A232)</f>
        <v>0</v>
      </c>
      <c r="DB231" s="39" t="str">
        <f>'Por Valoracion (3) Dimension 2'!D231</f>
        <v>0</v>
      </c>
      <c r="DC231" s="39" t="str">
        <f>'Por Valoracion (3) Dimension'!H231</f>
        <v>0</v>
      </c>
      <c r="DX231" s="49"/>
      <c r="DZ231" t="str">
        <f>('Inteligencia emocional'!A232)</f>
        <v>0</v>
      </c>
      <c r="EA231" s="39" t="str">
        <f>'Por Valoracion (3) Dimension 2'!F231</f>
        <v>0</v>
      </c>
      <c r="EB231" s="39" t="str">
        <f>'Por Valoracion (3) Dimension'!H231</f>
        <v>0</v>
      </c>
      <c r="EW231" s="49"/>
      <c r="EY231" t="str">
        <f>('Inteligencia emocional'!A232)</f>
        <v>0</v>
      </c>
      <c r="EZ231" s="39" t="str">
        <f>'Por Valoracion (3) Dimension 2'!H231</f>
        <v>0</v>
      </c>
      <c r="FA231" s="39" t="str">
        <f>'Por Valoracion (3) Dimension'!H231</f>
        <v>0</v>
      </c>
      <c r="FV231" s="49"/>
    </row>
    <row r="232" spans="1:178">
      <c r="A232" s="48"/>
      <c r="C232" t="str">
        <f>('Inteligencia emocional'!A233)</f>
        <v>0</v>
      </c>
      <c r="D232" s="39" t="str">
        <f>'Por Valoracion (3) Dimension'!B232</f>
        <v>0</v>
      </c>
      <c r="E232" s="39" t="str">
        <f>'Por Valoracion (3) Dimension 2'!J232</f>
        <v>0</v>
      </c>
      <c r="Z232" s="48"/>
      <c r="AB232" t="str">
        <f>('Inteligencia emocional'!A233)</f>
        <v>0</v>
      </c>
      <c r="AC232" s="39" t="str">
        <f>'Por Valoracion (3) Dimension'!D232</f>
        <v>0</v>
      </c>
      <c r="AD232" s="39" t="str">
        <f>'Por Valoracion (3) Dimension 2'!J232</f>
        <v>0</v>
      </c>
      <c r="AY232" s="48"/>
      <c r="BA232" t="str">
        <f>('Inteligencia emocional'!A233)</f>
        <v>0</v>
      </c>
      <c r="BB232" s="39" t="str">
        <f>'Por Valoracion (3) Dimension'!F232</f>
        <v>0</v>
      </c>
      <c r="BC232" s="39" t="str">
        <f>'Por Valoracion (3) Dimension 2'!J232</f>
        <v>0</v>
      </c>
      <c r="BX232" s="48"/>
      <c r="BZ232" s="49"/>
      <c r="CB232" t="str">
        <f>('Inteligencia emocional'!A233)</f>
        <v>0</v>
      </c>
      <c r="CC232" s="39" t="str">
        <f>'Por Valoracion (3) Dimension 2'!B232</f>
        <v>0</v>
      </c>
      <c r="CD232" s="39" t="str">
        <f>'Por Valoracion (3) Dimension'!H232</f>
        <v>0</v>
      </c>
      <c r="CY232" s="49"/>
      <c r="DA232" t="str">
        <f>('Inteligencia emocional'!A233)</f>
        <v>0</v>
      </c>
      <c r="DB232" s="39" t="str">
        <f>'Por Valoracion (3) Dimension 2'!D232</f>
        <v>0</v>
      </c>
      <c r="DC232" s="39" t="str">
        <f>'Por Valoracion (3) Dimension'!H232</f>
        <v>0</v>
      </c>
      <c r="DX232" s="49"/>
      <c r="DZ232" t="str">
        <f>('Inteligencia emocional'!A233)</f>
        <v>0</v>
      </c>
      <c r="EA232" s="39" t="str">
        <f>'Por Valoracion (3) Dimension 2'!F232</f>
        <v>0</v>
      </c>
      <c r="EB232" s="39" t="str">
        <f>'Por Valoracion (3) Dimension'!H232</f>
        <v>0</v>
      </c>
      <c r="EW232" s="49"/>
      <c r="EY232" t="str">
        <f>('Inteligencia emocional'!A233)</f>
        <v>0</v>
      </c>
      <c r="EZ232" s="39" t="str">
        <f>'Por Valoracion (3) Dimension 2'!H232</f>
        <v>0</v>
      </c>
      <c r="FA232" s="39" t="str">
        <f>'Por Valoracion (3) Dimension'!H232</f>
        <v>0</v>
      </c>
      <c r="FV232" s="49"/>
    </row>
    <row r="233" spans="1:178">
      <c r="A233" s="48"/>
      <c r="C233" t="str">
        <f>('Inteligencia emocional'!A234)</f>
        <v>0</v>
      </c>
      <c r="D233" s="39" t="str">
        <f>'Por Valoracion (3) Dimension'!B233</f>
        <v>0</v>
      </c>
      <c r="E233" s="39" t="str">
        <f>'Por Valoracion (3) Dimension 2'!J233</f>
        <v>0</v>
      </c>
      <c r="Z233" s="48"/>
      <c r="AB233" t="str">
        <f>('Inteligencia emocional'!A234)</f>
        <v>0</v>
      </c>
      <c r="AC233" s="39" t="str">
        <f>'Por Valoracion (3) Dimension'!D233</f>
        <v>0</v>
      </c>
      <c r="AD233" s="39" t="str">
        <f>'Por Valoracion (3) Dimension 2'!J233</f>
        <v>0</v>
      </c>
      <c r="AY233" s="48"/>
      <c r="BA233" t="str">
        <f>('Inteligencia emocional'!A234)</f>
        <v>0</v>
      </c>
      <c r="BB233" s="39" t="str">
        <f>'Por Valoracion (3) Dimension'!F233</f>
        <v>0</v>
      </c>
      <c r="BC233" s="39" t="str">
        <f>'Por Valoracion (3) Dimension 2'!J233</f>
        <v>0</v>
      </c>
      <c r="BX233" s="48"/>
      <c r="BZ233" s="49"/>
      <c r="CB233" t="str">
        <f>('Inteligencia emocional'!A234)</f>
        <v>0</v>
      </c>
      <c r="CC233" s="39" t="str">
        <f>'Por Valoracion (3) Dimension 2'!B233</f>
        <v>0</v>
      </c>
      <c r="CD233" s="39" t="str">
        <f>'Por Valoracion (3) Dimension'!H233</f>
        <v>0</v>
      </c>
      <c r="CY233" s="49"/>
      <c r="DA233" t="str">
        <f>('Inteligencia emocional'!A234)</f>
        <v>0</v>
      </c>
      <c r="DB233" s="39" t="str">
        <f>'Por Valoracion (3) Dimension 2'!D233</f>
        <v>0</v>
      </c>
      <c r="DC233" s="39" t="str">
        <f>'Por Valoracion (3) Dimension'!H233</f>
        <v>0</v>
      </c>
      <c r="DX233" s="49"/>
      <c r="DZ233" t="str">
        <f>('Inteligencia emocional'!A234)</f>
        <v>0</v>
      </c>
      <c r="EA233" s="39" t="str">
        <f>'Por Valoracion (3) Dimension 2'!F233</f>
        <v>0</v>
      </c>
      <c r="EB233" s="39" t="str">
        <f>'Por Valoracion (3) Dimension'!H233</f>
        <v>0</v>
      </c>
      <c r="EW233" s="49"/>
      <c r="EY233" t="str">
        <f>('Inteligencia emocional'!A234)</f>
        <v>0</v>
      </c>
      <c r="EZ233" s="39" t="str">
        <f>'Por Valoracion (3) Dimension 2'!H233</f>
        <v>0</v>
      </c>
      <c r="FA233" s="39" t="str">
        <f>'Por Valoracion (3) Dimension'!H233</f>
        <v>0</v>
      </c>
      <c r="FV233" s="49"/>
    </row>
    <row r="234" spans="1:178">
      <c r="A234" s="48"/>
      <c r="C234" t="str">
        <f>('Inteligencia emocional'!A235)</f>
        <v>0</v>
      </c>
      <c r="D234" s="39" t="str">
        <f>'Por Valoracion (3) Dimension'!B234</f>
        <v>0</v>
      </c>
      <c r="E234" s="39" t="str">
        <f>'Por Valoracion (3) Dimension 2'!J234</f>
        <v>0</v>
      </c>
      <c r="Z234" s="48"/>
      <c r="AB234" t="str">
        <f>('Inteligencia emocional'!A235)</f>
        <v>0</v>
      </c>
      <c r="AC234" s="39" t="str">
        <f>'Por Valoracion (3) Dimension'!D234</f>
        <v>0</v>
      </c>
      <c r="AD234" s="39" t="str">
        <f>'Por Valoracion (3) Dimension 2'!J234</f>
        <v>0</v>
      </c>
      <c r="AY234" s="48"/>
      <c r="BA234" t="str">
        <f>('Inteligencia emocional'!A235)</f>
        <v>0</v>
      </c>
      <c r="BB234" s="39" t="str">
        <f>'Por Valoracion (3) Dimension'!F234</f>
        <v>0</v>
      </c>
      <c r="BC234" s="39" t="str">
        <f>'Por Valoracion (3) Dimension 2'!J234</f>
        <v>0</v>
      </c>
      <c r="BX234" s="48"/>
      <c r="BZ234" s="49"/>
      <c r="CB234" t="str">
        <f>('Inteligencia emocional'!A235)</f>
        <v>0</v>
      </c>
      <c r="CC234" s="39" t="str">
        <f>'Por Valoracion (3) Dimension 2'!B234</f>
        <v>0</v>
      </c>
      <c r="CD234" s="39" t="str">
        <f>'Por Valoracion (3) Dimension'!H234</f>
        <v>0</v>
      </c>
      <c r="CY234" s="49"/>
      <c r="DA234" t="str">
        <f>('Inteligencia emocional'!A235)</f>
        <v>0</v>
      </c>
      <c r="DB234" s="39" t="str">
        <f>'Por Valoracion (3) Dimension 2'!D234</f>
        <v>0</v>
      </c>
      <c r="DC234" s="39" t="str">
        <f>'Por Valoracion (3) Dimension'!H234</f>
        <v>0</v>
      </c>
      <c r="DX234" s="49"/>
      <c r="DZ234" t="str">
        <f>('Inteligencia emocional'!A235)</f>
        <v>0</v>
      </c>
      <c r="EA234" s="39" t="str">
        <f>'Por Valoracion (3) Dimension 2'!F234</f>
        <v>0</v>
      </c>
      <c r="EB234" s="39" t="str">
        <f>'Por Valoracion (3) Dimension'!H234</f>
        <v>0</v>
      </c>
      <c r="EW234" s="49"/>
      <c r="EY234" t="str">
        <f>('Inteligencia emocional'!A235)</f>
        <v>0</v>
      </c>
      <c r="EZ234" s="39" t="str">
        <f>'Por Valoracion (3) Dimension 2'!H234</f>
        <v>0</v>
      </c>
      <c r="FA234" s="39" t="str">
        <f>'Por Valoracion (3) Dimension'!H234</f>
        <v>0</v>
      </c>
      <c r="FV234" s="49"/>
    </row>
    <row r="235" spans="1:178">
      <c r="A235" s="48"/>
      <c r="C235" t="str">
        <f>('Inteligencia emocional'!A236)</f>
        <v>0</v>
      </c>
      <c r="D235" s="39" t="str">
        <f>'Por Valoracion (3) Dimension'!B235</f>
        <v>0</v>
      </c>
      <c r="E235" s="39" t="str">
        <f>'Por Valoracion (3) Dimension 2'!J235</f>
        <v>0</v>
      </c>
      <c r="Z235" s="48"/>
      <c r="AB235" t="str">
        <f>('Inteligencia emocional'!A236)</f>
        <v>0</v>
      </c>
      <c r="AC235" s="39" t="str">
        <f>'Por Valoracion (3) Dimension'!D235</f>
        <v>0</v>
      </c>
      <c r="AD235" s="39" t="str">
        <f>'Por Valoracion (3) Dimension 2'!J235</f>
        <v>0</v>
      </c>
      <c r="AY235" s="48"/>
      <c r="BA235" t="str">
        <f>('Inteligencia emocional'!A236)</f>
        <v>0</v>
      </c>
      <c r="BB235" s="39" t="str">
        <f>'Por Valoracion (3) Dimension'!F235</f>
        <v>0</v>
      </c>
      <c r="BC235" s="39" t="str">
        <f>'Por Valoracion (3) Dimension 2'!J235</f>
        <v>0</v>
      </c>
      <c r="BX235" s="48"/>
      <c r="BZ235" s="49"/>
      <c r="CB235" t="str">
        <f>('Inteligencia emocional'!A236)</f>
        <v>0</v>
      </c>
      <c r="CC235" s="39" t="str">
        <f>'Por Valoracion (3) Dimension 2'!B235</f>
        <v>0</v>
      </c>
      <c r="CD235" s="39" t="str">
        <f>'Por Valoracion (3) Dimension'!H235</f>
        <v>0</v>
      </c>
      <c r="CY235" s="49"/>
      <c r="DA235" t="str">
        <f>('Inteligencia emocional'!A236)</f>
        <v>0</v>
      </c>
      <c r="DB235" s="39" t="str">
        <f>'Por Valoracion (3) Dimension 2'!D235</f>
        <v>0</v>
      </c>
      <c r="DC235" s="39" t="str">
        <f>'Por Valoracion (3) Dimension'!H235</f>
        <v>0</v>
      </c>
      <c r="DX235" s="49"/>
      <c r="DZ235" t="str">
        <f>('Inteligencia emocional'!A236)</f>
        <v>0</v>
      </c>
      <c r="EA235" s="39" t="str">
        <f>'Por Valoracion (3) Dimension 2'!F235</f>
        <v>0</v>
      </c>
      <c r="EB235" s="39" t="str">
        <f>'Por Valoracion (3) Dimension'!H235</f>
        <v>0</v>
      </c>
      <c r="EW235" s="49"/>
      <c r="EY235" t="str">
        <f>('Inteligencia emocional'!A236)</f>
        <v>0</v>
      </c>
      <c r="EZ235" s="39" t="str">
        <f>'Por Valoracion (3) Dimension 2'!H235</f>
        <v>0</v>
      </c>
      <c r="FA235" s="39" t="str">
        <f>'Por Valoracion (3) Dimension'!H235</f>
        <v>0</v>
      </c>
      <c r="FV235" s="49"/>
    </row>
    <row r="236" spans="1:178">
      <c r="A236" s="48"/>
      <c r="C236" t="str">
        <f>('Inteligencia emocional'!A237)</f>
        <v>0</v>
      </c>
      <c r="D236" s="39" t="str">
        <f>'Por Valoracion (3) Dimension'!B236</f>
        <v>0</v>
      </c>
      <c r="E236" s="39" t="str">
        <f>'Por Valoracion (3) Dimension 2'!J236</f>
        <v>0</v>
      </c>
      <c r="Z236" s="48"/>
      <c r="AB236" t="str">
        <f>('Inteligencia emocional'!A237)</f>
        <v>0</v>
      </c>
      <c r="AC236" s="39" t="str">
        <f>'Por Valoracion (3) Dimension'!D236</f>
        <v>0</v>
      </c>
      <c r="AD236" s="39" t="str">
        <f>'Por Valoracion (3) Dimension 2'!J236</f>
        <v>0</v>
      </c>
      <c r="AY236" s="48"/>
      <c r="BA236" t="str">
        <f>('Inteligencia emocional'!A237)</f>
        <v>0</v>
      </c>
      <c r="BB236" s="39" t="str">
        <f>'Por Valoracion (3) Dimension'!F236</f>
        <v>0</v>
      </c>
      <c r="BC236" s="39" t="str">
        <f>'Por Valoracion (3) Dimension 2'!J236</f>
        <v>0</v>
      </c>
      <c r="BX236" s="48"/>
      <c r="BZ236" s="49"/>
      <c r="CB236" t="str">
        <f>('Inteligencia emocional'!A237)</f>
        <v>0</v>
      </c>
      <c r="CC236" s="39" t="str">
        <f>'Por Valoracion (3) Dimension 2'!B236</f>
        <v>0</v>
      </c>
      <c r="CD236" s="39" t="str">
        <f>'Por Valoracion (3) Dimension'!H236</f>
        <v>0</v>
      </c>
      <c r="CY236" s="49"/>
      <c r="DA236" t="str">
        <f>('Inteligencia emocional'!A237)</f>
        <v>0</v>
      </c>
      <c r="DB236" s="39" t="str">
        <f>'Por Valoracion (3) Dimension 2'!D236</f>
        <v>0</v>
      </c>
      <c r="DC236" s="39" t="str">
        <f>'Por Valoracion (3) Dimension'!H236</f>
        <v>0</v>
      </c>
      <c r="DX236" s="49"/>
      <c r="DZ236" t="str">
        <f>('Inteligencia emocional'!A237)</f>
        <v>0</v>
      </c>
      <c r="EA236" s="39" t="str">
        <f>'Por Valoracion (3) Dimension 2'!F236</f>
        <v>0</v>
      </c>
      <c r="EB236" s="39" t="str">
        <f>'Por Valoracion (3) Dimension'!H236</f>
        <v>0</v>
      </c>
      <c r="EW236" s="49"/>
      <c r="EY236" t="str">
        <f>('Inteligencia emocional'!A237)</f>
        <v>0</v>
      </c>
      <c r="EZ236" s="39" t="str">
        <f>'Por Valoracion (3) Dimension 2'!H236</f>
        <v>0</v>
      </c>
      <c r="FA236" s="39" t="str">
        <f>'Por Valoracion (3) Dimension'!H236</f>
        <v>0</v>
      </c>
      <c r="FV236" s="49"/>
    </row>
    <row r="237" spans="1:178">
      <c r="A237" s="48"/>
      <c r="C237" t="str">
        <f>('Inteligencia emocional'!A238)</f>
        <v>0</v>
      </c>
      <c r="D237" s="39" t="str">
        <f>'Por Valoracion (3) Dimension'!B237</f>
        <v>0</v>
      </c>
      <c r="E237" s="39" t="str">
        <f>'Por Valoracion (3) Dimension 2'!J237</f>
        <v>0</v>
      </c>
      <c r="Z237" s="48"/>
      <c r="AB237" t="str">
        <f>('Inteligencia emocional'!A238)</f>
        <v>0</v>
      </c>
      <c r="AC237" s="39" t="str">
        <f>'Por Valoracion (3) Dimension'!D237</f>
        <v>0</v>
      </c>
      <c r="AD237" s="39" t="str">
        <f>'Por Valoracion (3) Dimension 2'!J237</f>
        <v>0</v>
      </c>
      <c r="AY237" s="48"/>
      <c r="BA237" t="str">
        <f>('Inteligencia emocional'!A238)</f>
        <v>0</v>
      </c>
      <c r="BB237" s="39" t="str">
        <f>'Por Valoracion (3) Dimension'!F237</f>
        <v>0</v>
      </c>
      <c r="BC237" s="39" t="str">
        <f>'Por Valoracion (3) Dimension 2'!J237</f>
        <v>0</v>
      </c>
      <c r="BX237" s="48"/>
      <c r="BZ237" s="49"/>
      <c r="CB237" t="str">
        <f>('Inteligencia emocional'!A238)</f>
        <v>0</v>
      </c>
      <c r="CC237" s="39" t="str">
        <f>'Por Valoracion (3) Dimension 2'!B237</f>
        <v>0</v>
      </c>
      <c r="CD237" s="39" t="str">
        <f>'Por Valoracion (3) Dimension'!H237</f>
        <v>0</v>
      </c>
      <c r="CY237" s="49"/>
      <c r="DA237" t="str">
        <f>('Inteligencia emocional'!A238)</f>
        <v>0</v>
      </c>
      <c r="DB237" s="39" t="str">
        <f>'Por Valoracion (3) Dimension 2'!D237</f>
        <v>0</v>
      </c>
      <c r="DC237" s="39" t="str">
        <f>'Por Valoracion (3) Dimension'!H237</f>
        <v>0</v>
      </c>
      <c r="DX237" s="49"/>
      <c r="DZ237" t="str">
        <f>('Inteligencia emocional'!A238)</f>
        <v>0</v>
      </c>
      <c r="EA237" s="39" t="str">
        <f>'Por Valoracion (3) Dimension 2'!F237</f>
        <v>0</v>
      </c>
      <c r="EB237" s="39" t="str">
        <f>'Por Valoracion (3) Dimension'!H237</f>
        <v>0</v>
      </c>
      <c r="EW237" s="49"/>
      <c r="EY237" t="str">
        <f>('Inteligencia emocional'!A238)</f>
        <v>0</v>
      </c>
      <c r="EZ237" s="39" t="str">
        <f>'Por Valoracion (3) Dimension 2'!H237</f>
        <v>0</v>
      </c>
      <c r="FA237" s="39" t="str">
        <f>'Por Valoracion (3) Dimension'!H237</f>
        <v>0</v>
      </c>
      <c r="FV237" s="49"/>
    </row>
    <row r="238" spans="1:178">
      <c r="A238" s="48"/>
      <c r="C238" t="str">
        <f>('Inteligencia emocional'!A239)</f>
        <v>0</v>
      </c>
      <c r="D238" s="39" t="str">
        <f>'Por Valoracion (3) Dimension'!B238</f>
        <v>0</v>
      </c>
      <c r="E238" s="39" t="str">
        <f>'Por Valoracion (3) Dimension 2'!J238</f>
        <v>0</v>
      </c>
      <c r="Z238" s="48"/>
      <c r="AB238" t="str">
        <f>('Inteligencia emocional'!A239)</f>
        <v>0</v>
      </c>
      <c r="AC238" s="39" t="str">
        <f>'Por Valoracion (3) Dimension'!D238</f>
        <v>0</v>
      </c>
      <c r="AD238" s="39" t="str">
        <f>'Por Valoracion (3) Dimension 2'!J238</f>
        <v>0</v>
      </c>
      <c r="AY238" s="48"/>
      <c r="BA238" t="str">
        <f>('Inteligencia emocional'!A239)</f>
        <v>0</v>
      </c>
      <c r="BB238" s="39" t="str">
        <f>'Por Valoracion (3) Dimension'!F238</f>
        <v>0</v>
      </c>
      <c r="BC238" s="39" t="str">
        <f>'Por Valoracion (3) Dimension 2'!J238</f>
        <v>0</v>
      </c>
      <c r="BX238" s="48"/>
      <c r="BZ238" s="49"/>
      <c r="CB238" t="str">
        <f>('Inteligencia emocional'!A239)</f>
        <v>0</v>
      </c>
      <c r="CC238" s="39" t="str">
        <f>'Por Valoracion (3) Dimension 2'!B238</f>
        <v>0</v>
      </c>
      <c r="CD238" s="39" t="str">
        <f>'Por Valoracion (3) Dimension'!H238</f>
        <v>0</v>
      </c>
      <c r="CY238" s="49"/>
      <c r="DA238" t="str">
        <f>('Inteligencia emocional'!A239)</f>
        <v>0</v>
      </c>
      <c r="DB238" s="39" t="str">
        <f>'Por Valoracion (3) Dimension 2'!D238</f>
        <v>0</v>
      </c>
      <c r="DC238" s="39" t="str">
        <f>'Por Valoracion (3) Dimension'!H238</f>
        <v>0</v>
      </c>
      <c r="DX238" s="49"/>
      <c r="DZ238" t="str">
        <f>('Inteligencia emocional'!A239)</f>
        <v>0</v>
      </c>
      <c r="EA238" s="39" t="str">
        <f>'Por Valoracion (3) Dimension 2'!F238</f>
        <v>0</v>
      </c>
      <c r="EB238" s="39" t="str">
        <f>'Por Valoracion (3) Dimension'!H238</f>
        <v>0</v>
      </c>
      <c r="EW238" s="49"/>
      <c r="EY238" t="str">
        <f>('Inteligencia emocional'!A239)</f>
        <v>0</v>
      </c>
      <c r="EZ238" s="39" t="str">
        <f>'Por Valoracion (3) Dimension 2'!H238</f>
        <v>0</v>
      </c>
      <c r="FA238" s="39" t="str">
        <f>'Por Valoracion (3) Dimension'!H238</f>
        <v>0</v>
      </c>
      <c r="FV238" s="49"/>
    </row>
    <row r="239" spans="1:178">
      <c r="A239" s="48"/>
      <c r="C239" t="str">
        <f>('Inteligencia emocional'!A240)</f>
        <v>0</v>
      </c>
      <c r="D239" s="39" t="str">
        <f>'Por Valoracion (3) Dimension'!B239</f>
        <v>0</v>
      </c>
      <c r="E239" s="39" t="str">
        <f>'Por Valoracion (3) Dimension 2'!J239</f>
        <v>0</v>
      </c>
      <c r="Z239" s="48"/>
      <c r="AB239" t="str">
        <f>('Inteligencia emocional'!A240)</f>
        <v>0</v>
      </c>
      <c r="AC239" s="39" t="str">
        <f>'Por Valoracion (3) Dimension'!D239</f>
        <v>0</v>
      </c>
      <c r="AD239" s="39" t="str">
        <f>'Por Valoracion (3) Dimension 2'!J239</f>
        <v>0</v>
      </c>
      <c r="AY239" s="48"/>
      <c r="BA239" t="str">
        <f>('Inteligencia emocional'!A240)</f>
        <v>0</v>
      </c>
      <c r="BB239" s="39" t="str">
        <f>'Por Valoracion (3) Dimension'!F239</f>
        <v>0</v>
      </c>
      <c r="BC239" s="39" t="str">
        <f>'Por Valoracion (3) Dimension 2'!J239</f>
        <v>0</v>
      </c>
      <c r="BX239" s="48"/>
      <c r="BZ239" s="49"/>
      <c r="CB239" t="str">
        <f>('Inteligencia emocional'!A240)</f>
        <v>0</v>
      </c>
      <c r="CC239" s="39" t="str">
        <f>'Por Valoracion (3) Dimension 2'!B239</f>
        <v>0</v>
      </c>
      <c r="CD239" s="39" t="str">
        <f>'Por Valoracion (3) Dimension'!H239</f>
        <v>0</v>
      </c>
      <c r="CY239" s="49"/>
      <c r="DA239" t="str">
        <f>('Inteligencia emocional'!A240)</f>
        <v>0</v>
      </c>
      <c r="DB239" s="39" t="str">
        <f>'Por Valoracion (3) Dimension 2'!D239</f>
        <v>0</v>
      </c>
      <c r="DC239" s="39" t="str">
        <f>'Por Valoracion (3) Dimension'!H239</f>
        <v>0</v>
      </c>
      <c r="DX239" s="49"/>
      <c r="DZ239" t="str">
        <f>('Inteligencia emocional'!A240)</f>
        <v>0</v>
      </c>
      <c r="EA239" s="39" t="str">
        <f>'Por Valoracion (3) Dimension 2'!F239</f>
        <v>0</v>
      </c>
      <c r="EB239" s="39" t="str">
        <f>'Por Valoracion (3) Dimension'!H239</f>
        <v>0</v>
      </c>
      <c r="EW239" s="49"/>
      <c r="EY239" t="str">
        <f>('Inteligencia emocional'!A240)</f>
        <v>0</v>
      </c>
      <c r="EZ239" s="39" t="str">
        <f>'Por Valoracion (3) Dimension 2'!H239</f>
        <v>0</v>
      </c>
      <c r="FA239" s="39" t="str">
        <f>'Por Valoracion (3) Dimension'!H239</f>
        <v>0</v>
      </c>
      <c r="FV239" s="49"/>
    </row>
    <row r="240" spans="1:178">
      <c r="A240" s="48"/>
      <c r="C240" t="str">
        <f>('Inteligencia emocional'!A241)</f>
        <v>0</v>
      </c>
      <c r="D240" s="39" t="str">
        <f>'Por Valoracion (3) Dimension'!B240</f>
        <v>0</v>
      </c>
      <c r="E240" s="39" t="str">
        <f>'Por Valoracion (3) Dimension 2'!J240</f>
        <v>0</v>
      </c>
      <c r="Z240" s="48"/>
      <c r="AB240" t="str">
        <f>('Inteligencia emocional'!A241)</f>
        <v>0</v>
      </c>
      <c r="AC240" s="39" t="str">
        <f>'Por Valoracion (3) Dimension'!D240</f>
        <v>0</v>
      </c>
      <c r="AD240" s="39" t="str">
        <f>'Por Valoracion (3) Dimension 2'!J240</f>
        <v>0</v>
      </c>
      <c r="AY240" s="48"/>
      <c r="BA240" t="str">
        <f>('Inteligencia emocional'!A241)</f>
        <v>0</v>
      </c>
      <c r="BB240" s="39" t="str">
        <f>'Por Valoracion (3) Dimension'!F240</f>
        <v>0</v>
      </c>
      <c r="BC240" s="39" t="str">
        <f>'Por Valoracion (3) Dimension 2'!J240</f>
        <v>0</v>
      </c>
      <c r="BX240" s="48"/>
      <c r="BZ240" s="49"/>
      <c r="CB240" t="str">
        <f>('Inteligencia emocional'!A241)</f>
        <v>0</v>
      </c>
      <c r="CC240" s="39" t="str">
        <f>'Por Valoracion (3) Dimension 2'!B240</f>
        <v>0</v>
      </c>
      <c r="CD240" s="39" t="str">
        <f>'Por Valoracion (3) Dimension'!H240</f>
        <v>0</v>
      </c>
      <c r="CY240" s="49"/>
      <c r="DA240" t="str">
        <f>('Inteligencia emocional'!A241)</f>
        <v>0</v>
      </c>
      <c r="DB240" s="39" t="str">
        <f>'Por Valoracion (3) Dimension 2'!D240</f>
        <v>0</v>
      </c>
      <c r="DC240" s="39" t="str">
        <f>'Por Valoracion (3) Dimension'!H240</f>
        <v>0</v>
      </c>
      <c r="DX240" s="49"/>
      <c r="DZ240" t="str">
        <f>('Inteligencia emocional'!A241)</f>
        <v>0</v>
      </c>
      <c r="EA240" s="39" t="str">
        <f>'Por Valoracion (3) Dimension 2'!F240</f>
        <v>0</v>
      </c>
      <c r="EB240" s="39" t="str">
        <f>'Por Valoracion (3) Dimension'!H240</f>
        <v>0</v>
      </c>
      <c r="EW240" s="49"/>
      <c r="EY240" t="str">
        <f>('Inteligencia emocional'!A241)</f>
        <v>0</v>
      </c>
      <c r="EZ240" s="39" t="str">
        <f>'Por Valoracion (3) Dimension 2'!H240</f>
        <v>0</v>
      </c>
      <c r="FA240" s="39" t="str">
        <f>'Por Valoracion (3) Dimension'!H240</f>
        <v>0</v>
      </c>
      <c r="FV240" s="49"/>
    </row>
    <row r="241" spans="1:178">
      <c r="A241" s="48"/>
      <c r="C241" t="str">
        <f>('Inteligencia emocional'!A242)</f>
        <v>0</v>
      </c>
      <c r="D241" s="39" t="str">
        <f>'Por Valoracion (3) Dimension'!B241</f>
        <v>0</v>
      </c>
      <c r="E241" s="39" t="str">
        <f>'Por Valoracion (3) Dimension 2'!J241</f>
        <v>0</v>
      </c>
      <c r="Z241" s="48"/>
      <c r="AB241" t="str">
        <f>('Inteligencia emocional'!A242)</f>
        <v>0</v>
      </c>
      <c r="AC241" s="39" t="str">
        <f>'Por Valoracion (3) Dimension'!D241</f>
        <v>0</v>
      </c>
      <c r="AD241" s="39" t="str">
        <f>'Por Valoracion (3) Dimension 2'!J241</f>
        <v>0</v>
      </c>
      <c r="AY241" s="48"/>
      <c r="BA241" t="str">
        <f>('Inteligencia emocional'!A242)</f>
        <v>0</v>
      </c>
      <c r="BB241" s="39" t="str">
        <f>'Por Valoracion (3) Dimension'!F241</f>
        <v>0</v>
      </c>
      <c r="BC241" s="39" t="str">
        <f>'Por Valoracion (3) Dimension 2'!J241</f>
        <v>0</v>
      </c>
      <c r="BX241" s="48"/>
      <c r="BZ241" s="49"/>
      <c r="CB241" t="str">
        <f>('Inteligencia emocional'!A242)</f>
        <v>0</v>
      </c>
      <c r="CC241" s="39" t="str">
        <f>'Por Valoracion (3) Dimension 2'!B241</f>
        <v>0</v>
      </c>
      <c r="CD241" s="39" t="str">
        <f>'Por Valoracion (3) Dimension'!H241</f>
        <v>0</v>
      </c>
      <c r="CY241" s="49"/>
      <c r="DA241" t="str">
        <f>('Inteligencia emocional'!A242)</f>
        <v>0</v>
      </c>
      <c r="DB241" s="39" t="str">
        <f>'Por Valoracion (3) Dimension 2'!D241</f>
        <v>0</v>
      </c>
      <c r="DC241" s="39" t="str">
        <f>'Por Valoracion (3) Dimension'!H241</f>
        <v>0</v>
      </c>
      <c r="DX241" s="49"/>
      <c r="DZ241" t="str">
        <f>('Inteligencia emocional'!A242)</f>
        <v>0</v>
      </c>
      <c r="EA241" s="39" t="str">
        <f>'Por Valoracion (3) Dimension 2'!F241</f>
        <v>0</v>
      </c>
      <c r="EB241" s="39" t="str">
        <f>'Por Valoracion (3) Dimension'!H241</f>
        <v>0</v>
      </c>
      <c r="EW241" s="49"/>
      <c r="EY241" t="str">
        <f>('Inteligencia emocional'!A242)</f>
        <v>0</v>
      </c>
      <c r="EZ241" s="39" t="str">
        <f>'Por Valoracion (3) Dimension 2'!H241</f>
        <v>0</v>
      </c>
      <c r="FA241" s="39" t="str">
        <f>'Por Valoracion (3) Dimension'!H241</f>
        <v>0</v>
      </c>
      <c r="FV241" s="49"/>
    </row>
    <row r="242" spans="1:178">
      <c r="A242" s="48"/>
      <c r="C242" t="str">
        <f>('Inteligencia emocional'!A243)</f>
        <v>0</v>
      </c>
      <c r="D242" s="39" t="str">
        <f>'Por Valoracion (3) Dimension'!B242</f>
        <v>0</v>
      </c>
      <c r="E242" s="39" t="str">
        <f>'Por Valoracion (3) Dimension 2'!J242</f>
        <v>0</v>
      </c>
      <c r="Z242" s="48"/>
      <c r="AB242" t="str">
        <f>('Inteligencia emocional'!A243)</f>
        <v>0</v>
      </c>
      <c r="AC242" s="39" t="str">
        <f>'Por Valoracion (3) Dimension'!D242</f>
        <v>0</v>
      </c>
      <c r="AD242" s="39" t="str">
        <f>'Por Valoracion (3) Dimension 2'!J242</f>
        <v>0</v>
      </c>
      <c r="AY242" s="48"/>
      <c r="BA242" t="str">
        <f>('Inteligencia emocional'!A243)</f>
        <v>0</v>
      </c>
      <c r="BB242" s="39" t="str">
        <f>'Por Valoracion (3) Dimension'!F242</f>
        <v>0</v>
      </c>
      <c r="BC242" s="39" t="str">
        <f>'Por Valoracion (3) Dimension 2'!J242</f>
        <v>0</v>
      </c>
      <c r="BX242" s="48"/>
      <c r="BZ242" s="49"/>
      <c r="CB242" t="str">
        <f>('Inteligencia emocional'!A243)</f>
        <v>0</v>
      </c>
      <c r="CC242" s="39" t="str">
        <f>'Por Valoracion (3) Dimension 2'!B242</f>
        <v>0</v>
      </c>
      <c r="CD242" s="39" t="str">
        <f>'Por Valoracion (3) Dimension'!H242</f>
        <v>0</v>
      </c>
      <c r="CY242" s="49"/>
      <c r="DA242" t="str">
        <f>('Inteligencia emocional'!A243)</f>
        <v>0</v>
      </c>
      <c r="DB242" s="39" t="str">
        <f>'Por Valoracion (3) Dimension 2'!D242</f>
        <v>0</v>
      </c>
      <c r="DC242" s="39" t="str">
        <f>'Por Valoracion (3) Dimension'!H242</f>
        <v>0</v>
      </c>
      <c r="DX242" s="49"/>
      <c r="DZ242" t="str">
        <f>('Inteligencia emocional'!A243)</f>
        <v>0</v>
      </c>
      <c r="EA242" s="39" t="str">
        <f>'Por Valoracion (3) Dimension 2'!F242</f>
        <v>0</v>
      </c>
      <c r="EB242" s="39" t="str">
        <f>'Por Valoracion (3) Dimension'!H242</f>
        <v>0</v>
      </c>
      <c r="EW242" s="49"/>
      <c r="EY242" t="str">
        <f>('Inteligencia emocional'!A243)</f>
        <v>0</v>
      </c>
      <c r="EZ242" s="39" t="str">
        <f>'Por Valoracion (3) Dimension 2'!H242</f>
        <v>0</v>
      </c>
      <c r="FA242" s="39" t="str">
        <f>'Por Valoracion (3) Dimension'!H242</f>
        <v>0</v>
      </c>
      <c r="FV242" s="49"/>
    </row>
    <row r="243" spans="1:178">
      <c r="A243" s="48"/>
      <c r="C243" t="str">
        <f>('Inteligencia emocional'!A244)</f>
        <v>0</v>
      </c>
      <c r="D243" s="39" t="str">
        <f>'Por Valoracion (3) Dimension'!B243</f>
        <v>0</v>
      </c>
      <c r="E243" s="39" t="str">
        <f>'Por Valoracion (3) Dimension 2'!J243</f>
        <v>0</v>
      </c>
      <c r="Z243" s="48"/>
      <c r="AB243" t="str">
        <f>('Inteligencia emocional'!A244)</f>
        <v>0</v>
      </c>
      <c r="AC243" s="39" t="str">
        <f>'Por Valoracion (3) Dimension'!D243</f>
        <v>0</v>
      </c>
      <c r="AD243" s="39" t="str">
        <f>'Por Valoracion (3) Dimension 2'!J243</f>
        <v>0</v>
      </c>
      <c r="AY243" s="48"/>
      <c r="BA243" t="str">
        <f>('Inteligencia emocional'!A244)</f>
        <v>0</v>
      </c>
      <c r="BB243" s="39" t="str">
        <f>'Por Valoracion (3) Dimension'!F243</f>
        <v>0</v>
      </c>
      <c r="BC243" s="39" t="str">
        <f>'Por Valoracion (3) Dimension 2'!J243</f>
        <v>0</v>
      </c>
      <c r="BX243" s="48"/>
      <c r="BZ243" s="49"/>
      <c r="CB243" t="str">
        <f>('Inteligencia emocional'!A244)</f>
        <v>0</v>
      </c>
      <c r="CC243" s="39" t="str">
        <f>'Por Valoracion (3) Dimension 2'!B243</f>
        <v>0</v>
      </c>
      <c r="CD243" s="39" t="str">
        <f>'Por Valoracion (3) Dimension'!H243</f>
        <v>0</v>
      </c>
      <c r="CY243" s="49"/>
      <c r="DA243" t="str">
        <f>('Inteligencia emocional'!A244)</f>
        <v>0</v>
      </c>
      <c r="DB243" s="39" t="str">
        <f>'Por Valoracion (3) Dimension 2'!D243</f>
        <v>0</v>
      </c>
      <c r="DC243" s="39" t="str">
        <f>'Por Valoracion (3) Dimension'!H243</f>
        <v>0</v>
      </c>
      <c r="DX243" s="49"/>
      <c r="DZ243" t="str">
        <f>('Inteligencia emocional'!A244)</f>
        <v>0</v>
      </c>
      <c r="EA243" s="39" t="str">
        <f>'Por Valoracion (3) Dimension 2'!F243</f>
        <v>0</v>
      </c>
      <c r="EB243" s="39" t="str">
        <f>'Por Valoracion (3) Dimension'!H243</f>
        <v>0</v>
      </c>
      <c r="EW243" s="49"/>
      <c r="EY243" t="str">
        <f>('Inteligencia emocional'!A244)</f>
        <v>0</v>
      </c>
      <c r="EZ243" s="39" t="str">
        <f>'Por Valoracion (3) Dimension 2'!H243</f>
        <v>0</v>
      </c>
      <c r="FA243" s="39" t="str">
        <f>'Por Valoracion (3) Dimension'!H243</f>
        <v>0</v>
      </c>
      <c r="FV243" s="49"/>
    </row>
    <row r="244" spans="1:178">
      <c r="A244" s="48"/>
      <c r="C244" t="str">
        <f>('Inteligencia emocional'!A245)</f>
        <v>0</v>
      </c>
      <c r="D244" s="39" t="str">
        <f>'Por Valoracion (3) Dimension'!B244</f>
        <v>0</v>
      </c>
      <c r="E244" s="39" t="str">
        <f>'Por Valoracion (3) Dimension 2'!J244</f>
        <v>0</v>
      </c>
      <c r="Z244" s="48"/>
      <c r="AB244" t="str">
        <f>('Inteligencia emocional'!A245)</f>
        <v>0</v>
      </c>
      <c r="AC244" s="39" t="str">
        <f>'Por Valoracion (3) Dimension'!D244</f>
        <v>0</v>
      </c>
      <c r="AD244" s="39" t="str">
        <f>'Por Valoracion (3) Dimension 2'!J244</f>
        <v>0</v>
      </c>
      <c r="AY244" s="48"/>
      <c r="BA244" t="str">
        <f>('Inteligencia emocional'!A245)</f>
        <v>0</v>
      </c>
      <c r="BB244" s="39" t="str">
        <f>'Por Valoracion (3) Dimension'!F244</f>
        <v>0</v>
      </c>
      <c r="BC244" s="39" t="str">
        <f>'Por Valoracion (3) Dimension 2'!J244</f>
        <v>0</v>
      </c>
      <c r="BX244" s="48"/>
      <c r="BZ244" s="49"/>
      <c r="CB244" t="str">
        <f>('Inteligencia emocional'!A245)</f>
        <v>0</v>
      </c>
      <c r="CC244" s="39" t="str">
        <f>'Por Valoracion (3) Dimension 2'!B244</f>
        <v>0</v>
      </c>
      <c r="CD244" s="39" t="str">
        <f>'Por Valoracion (3) Dimension'!H244</f>
        <v>0</v>
      </c>
      <c r="CY244" s="49"/>
      <c r="DA244" t="str">
        <f>('Inteligencia emocional'!A245)</f>
        <v>0</v>
      </c>
      <c r="DB244" s="39" t="str">
        <f>'Por Valoracion (3) Dimension 2'!D244</f>
        <v>0</v>
      </c>
      <c r="DC244" s="39" t="str">
        <f>'Por Valoracion (3) Dimension'!H244</f>
        <v>0</v>
      </c>
      <c r="DX244" s="49"/>
      <c r="DZ244" t="str">
        <f>('Inteligencia emocional'!A245)</f>
        <v>0</v>
      </c>
      <c r="EA244" s="39" t="str">
        <f>'Por Valoracion (3) Dimension 2'!F244</f>
        <v>0</v>
      </c>
      <c r="EB244" s="39" t="str">
        <f>'Por Valoracion (3) Dimension'!H244</f>
        <v>0</v>
      </c>
      <c r="EW244" s="49"/>
      <c r="EY244" t="str">
        <f>('Inteligencia emocional'!A245)</f>
        <v>0</v>
      </c>
      <c r="EZ244" s="39" t="str">
        <f>'Por Valoracion (3) Dimension 2'!H244</f>
        <v>0</v>
      </c>
      <c r="FA244" s="39" t="str">
        <f>'Por Valoracion (3) Dimension'!H244</f>
        <v>0</v>
      </c>
      <c r="FV244" s="49"/>
    </row>
    <row r="245" spans="1:178">
      <c r="A245" s="48"/>
      <c r="C245" t="str">
        <f>('Inteligencia emocional'!A246)</f>
        <v>0</v>
      </c>
      <c r="D245" s="39" t="str">
        <f>'Por Valoracion (3) Dimension'!B245</f>
        <v>0</v>
      </c>
      <c r="E245" s="39" t="str">
        <f>'Por Valoracion (3) Dimension 2'!J245</f>
        <v>0</v>
      </c>
      <c r="Z245" s="48"/>
      <c r="AB245" t="str">
        <f>('Inteligencia emocional'!A246)</f>
        <v>0</v>
      </c>
      <c r="AC245" s="39" t="str">
        <f>'Por Valoracion (3) Dimension'!D245</f>
        <v>0</v>
      </c>
      <c r="AD245" s="39" t="str">
        <f>'Por Valoracion (3) Dimension 2'!J245</f>
        <v>0</v>
      </c>
      <c r="AY245" s="48"/>
      <c r="BA245" t="str">
        <f>('Inteligencia emocional'!A246)</f>
        <v>0</v>
      </c>
      <c r="BB245" s="39" t="str">
        <f>'Por Valoracion (3) Dimension'!F245</f>
        <v>0</v>
      </c>
      <c r="BC245" s="39" t="str">
        <f>'Por Valoracion (3) Dimension 2'!J245</f>
        <v>0</v>
      </c>
      <c r="BX245" s="48"/>
      <c r="BZ245" s="49"/>
      <c r="CB245" t="str">
        <f>('Inteligencia emocional'!A246)</f>
        <v>0</v>
      </c>
      <c r="CC245" s="39" t="str">
        <f>'Por Valoracion (3) Dimension 2'!B245</f>
        <v>0</v>
      </c>
      <c r="CD245" s="39" t="str">
        <f>'Por Valoracion (3) Dimension'!H245</f>
        <v>0</v>
      </c>
      <c r="CY245" s="49"/>
      <c r="DA245" t="str">
        <f>('Inteligencia emocional'!A246)</f>
        <v>0</v>
      </c>
      <c r="DB245" s="39" t="str">
        <f>'Por Valoracion (3) Dimension 2'!D245</f>
        <v>0</v>
      </c>
      <c r="DC245" s="39" t="str">
        <f>'Por Valoracion (3) Dimension'!H245</f>
        <v>0</v>
      </c>
      <c r="DX245" s="49"/>
      <c r="DZ245" t="str">
        <f>('Inteligencia emocional'!A246)</f>
        <v>0</v>
      </c>
      <c r="EA245" s="39" t="str">
        <f>'Por Valoracion (3) Dimension 2'!F245</f>
        <v>0</v>
      </c>
      <c r="EB245" s="39" t="str">
        <f>'Por Valoracion (3) Dimension'!H245</f>
        <v>0</v>
      </c>
      <c r="EW245" s="49"/>
      <c r="EY245" t="str">
        <f>('Inteligencia emocional'!A246)</f>
        <v>0</v>
      </c>
      <c r="EZ245" s="39" t="str">
        <f>'Por Valoracion (3) Dimension 2'!H245</f>
        <v>0</v>
      </c>
      <c r="FA245" s="39" t="str">
        <f>'Por Valoracion (3) Dimension'!H245</f>
        <v>0</v>
      </c>
      <c r="FV245" s="49"/>
    </row>
    <row r="246" spans="1:178">
      <c r="A246" s="48"/>
      <c r="C246" t="str">
        <f>('Inteligencia emocional'!A247)</f>
        <v>0</v>
      </c>
      <c r="D246" s="39" t="str">
        <f>'Por Valoracion (3) Dimension'!B246</f>
        <v>0</v>
      </c>
      <c r="E246" s="39" t="str">
        <f>'Por Valoracion (3) Dimension 2'!J246</f>
        <v>0</v>
      </c>
      <c r="Z246" s="48"/>
      <c r="AB246" t="str">
        <f>('Inteligencia emocional'!A247)</f>
        <v>0</v>
      </c>
      <c r="AC246" s="39" t="str">
        <f>'Por Valoracion (3) Dimension'!D246</f>
        <v>0</v>
      </c>
      <c r="AD246" s="39" t="str">
        <f>'Por Valoracion (3) Dimension 2'!J246</f>
        <v>0</v>
      </c>
      <c r="AY246" s="48"/>
      <c r="BA246" t="str">
        <f>('Inteligencia emocional'!A247)</f>
        <v>0</v>
      </c>
      <c r="BB246" s="39" t="str">
        <f>'Por Valoracion (3) Dimension'!F246</f>
        <v>0</v>
      </c>
      <c r="BC246" s="39" t="str">
        <f>'Por Valoracion (3) Dimension 2'!J246</f>
        <v>0</v>
      </c>
      <c r="BX246" s="48"/>
      <c r="BZ246" s="49"/>
      <c r="CB246" t="str">
        <f>('Inteligencia emocional'!A247)</f>
        <v>0</v>
      </c>
      <c r="CC246" s="39" t="str">
        <f>'Por Valoracion (3) Dimension 2'!B246</f>
        <v>0</v>
      </c>
      <c r="CD246" s="39" t="str">
        <f>'Por Valoracion (3) Dimension'!H246</f>
        <v>0</v>
      </c>
      <c r="CY246" s="49"/>
      <c r="DA246" t="str">
        <f>('Inteligencia emocional'!A247)</f>
        <v>0</v>
      </c>
      <c r="DB246" s="39" t="str">
        <f>'Por Valoracion (3) Dimension 2'!D246</f>
        <v>0</v>
      </c>
      <c r="DC246" s="39" t="str">
        <f>'Por Valoracion (3) Dimension'!H246</f>
        <v>0</v>
      </c>
      <c r="DX246" s="49"/>
      <c r="DZ246" t="str">
        <f>('Inteligencia emocional'!A247)</f>
        <v>0</v>
      </c>
      <c r="EA246" s="39" t="str">
        <f>'Por Valoracion (3) Dimension 2'!F246</f>
        <v>0</v>
      </c>
      <c r="EB246" s="39" t="str">
        <f>'Por Valoracion (3) Dimension'!H246</f>
        <v>0</v>
      </c>
      <c r="EW246" s="49"/>
      <c r="EY246" t="str">
        <f>('Inteligencia emocional'!A247)</f>
        <v>0</v>
      </c>
      <c r="EZ246" s="39" t="str">
        <f>'Por Valoracion (3) Dimension 2'!H246</f>
        <v>0</v>
      </c>
      <c r="FA246" s="39" t="str">
        <f>'Por Valoracion (3) Dimension'!H246</f>
        <v>0</v>
      </c>
      <c r="FV246" s="49"/>
    </row>
    <row r="247" spans="1:178">
      <c r="A247" s="48"/>
      <c r="C247" t="str">
        <f>('Inteligencia emocional'!A248)</f>
        <v>0</v>
      </c>
      <c r="D247" s="39" t="str">
        <f>'Por Valoracion (3) Dimension'!B247</f>
        <v>0</v>
      </c>
      <c r="E247" s="39" t="str">
        <f>'Por Valoracion (3) Dimension 2'!J247</f>
        <v>0</v>
      </c>
      <c r="Z247" s="48"/>
      <c r="AB247" t="str">
        <f>('Inteligencia emocional'!A248)</f>
        <v>0</v>
      </c>
      <c r="AC247" s="39" t="str">
        <f>'Por Valoracion (3) Dimension'!D247</f>
        <v>0</v>
      </c>
      <c r="AD247" s="39" t="str">
        <f>'Por Valoracion (3) Dimension 2'!J247</f>
        <v>0</v>
      </c>
      <c r="AY247" s="48"/>
      <c r="BA247" t="str">
        <f>('Inteligencia emocional'!A248)</f>
        <v>0</v>
      </c>
      <c r="BB247" s="39" t="str">
        <f>'Por Valoracion (3) Dimension'!F247</f>
        <v>0</v>
      </c>
      <c r="BC247" s="39" t="str">
        <f>'Por Valoracion (3) Dimension 2'!J247</f>
        <v>0</v>
      </c>
      <c r="BX247" s="48"/>
      <c r="BZ247" s="49"/>
      <c r="CB247" t="str">
        <f>('Inteligencia emocional'!A248)</f>
        <v>0</v>
      </c>
      <c r="CC247" s="39" t="str">
        <f>'Por Valoracion (3) Dimension 2'!B247</f>
        <v>0</v>
      </c>
      <c r="CD247" s="39" t="str">
        <f>'Por Valoracion (3) Dimension'!H247</f>
        <v>0</v>
      </c>
      <c r="CY247" s="49"/>
      <c r="DA247" t="str">
        <f>('Inteligencia emocional'!A248)</f>
        <v>0</v>
      </c>
      <c r="DB247" s="39" t="str">
        <f>'Por Valoracion (3) Dimension 2'!D247</f>
        <v>0</v>
      </c>
      <c r="DC247" s="39" t="str">
        <f>'Por Valoracion (3) Dimension'!H247</f>
        <v>0</v>
      </c>
      <c r="DX247" s="49"/>
      <c r="DZ247" t="str">
        <f>('Inteligencia emocional'!A248)</f>
        <v>0</v>
      </c>
      <c r="EA247" s="39" t="str">
        <f>'Por Valoracion (3) Dimension 2'!F247</f>
        <v>0</v>
      </c>
      <c r="EB247" s="39" t="str">
        <f>'Por Valoracion (3) Dimension'!H247</f>
        <v>0</v>
      </c>
      <c r="EW247" s="49"/>
      <c r="EY247" t="str">
        <f>('Inteligencia emocional'!A248)</f>
        <v>0</v>
      </c>
      <c r="EZ247" s="39" t="str">
        <f>'Por Valoracion (3) Dimension 2'!H247</f>
        <v>0</v>
      </c>
      <c r="FA247" s="39" t="str">
        <f>'Por Valoracion (3) Dimension'!H247</f>
        <v>0</v>
      </c>
      <c r="FV247" s="49"/>
    </row>
    <row r="248" spans="1:178">
      <c r="A248" s="48"/>
      <c r="C248" t="str">
        <f>('Inteligencia emocional'!A249)</f>
        <v>0</v>
      </c>
      <c r="D248" s="39" t="str">
        <f>'Por Valoracion (3) Dimension'!B248</f>
        <v>0</v>
      </c>
      <c r="E248" s="39" t="str">
        <f>'Por Valoracion (3) Dimension 2'!J248</f>
        <v>0</v>
      </c>
      <c r="Z248" s="48"/>
      <c r="AB248" t="str">
        <f>('Inteligencia emocional'!A249)</f>
        <v>0</v>
      </c>
      <c r="AC248" s="39" t="str">
        <f>'Por Valoracion (3) Dimension'!D248</f>
        <v>0</v>
      </c>
      <c r="AD248" s="39" t="str">
        <f>'Por Valoracion (3) Dimension 2'!J248</f>
        <v>0</v>
      </c>
      <c r="AY248" s="48"/>
      <c r="BA248" t="str">
        <f>('Inteligencia emocional'!A249)</f>
        <v>0</v>
      </c>
      <c r="BB248" s="39" t="str">
        <f>'Por Valoracion (3) Dimension'!F248</f>
        <v>0</v>
      </c>
      <c r="BC248" s="39" t="str">
        <f>'Por Valoracion (3) Dimension 2'!J248</f>
        <v>0</v>
      </c>
      <c r="BX248" s="48"/>
      <c r="BZ248" s="49"/>
      <c r="CB248" t="str">
        <f>('Inteligencia emocional'!A249)</f>
        <v>0</v>
      </c>
      <c r="CC248" s="39" t="str">
        <f>'Por Valoracion (3) Dimension 2'!B248</f>
        <v>0</v>
      </c>
      <c r="CD248" s="39" t="str">
        <f>'Por Valoracion (3) Dimension'!H248</f>
        <v>0</v>
      </c>
      <c r="CY248" s="49"/>
      <c r="DA248" t="str">
        <f>('Inteligencia emocional'!A249)</f>
        <v>0</v>
      </c>
      <c r="DB248" s="39" t="str">
        <f>'Por Valoracion (3) Dimension 2'!D248</f>
        <v>0</v>
      </c>
      <c r="DC248" s="39" t="str">
        <f>'Por Valoracion (3) Dimension'!H248</f>
        <v>0</v>
      </c>
      <c r="DX248" s="49"/>
      <c r="DZ248" t="str">
        <f>('Inteligencia emocional'!A249)</f>
        <v>0</v>
      </c>
      <c r="EA248" s="39" t="str">
        <f>'Por Valoracion (3) Dimension 2'!F248</f>
        <v>0</v>
      </c>
      <c r="EB248" s="39" t="str">
        <f>'Por Valoracion (3) Dimension'!H248</f>
        <v>0</v>
      </c>
      <c r="EW248" s="49"/>
      <c r="EY248" t="str">
        <f>('Inteligencia emocional'!A249)</f>
        <v>0</v>
      </c>
      <c r="EZ248" s="39" t="str">
        <f>'Por Valoracion (3) Dimension 2'!H248</f>
        <v>0</v>
      </c>
      <c r="FA248" s="39" t="str">
        <f>'Por Valoracion (3) Dimension'!H248</f>
        <v>0</v>
      </c>
      <c r="FV248" s="49"/>
    </row>
    <row r="249" spans="1:178">
      <c r="A249" s="48"/>
      <c r="C249" t="str">
        <f>('Inteligencia emocional'!A250)</f>
        <v>0</v>
      </c>
      <c r="D249" s="39" t="str">
        <f>'Por Valoracion (3) Dimension'!B249</f>
        <v>0</v>
      </c>
      <c r="E249" s="39" t="str">
        <f>'Por Valoracion (3) Dimension 2'!J249</f>
        <v>0</v>
      </c>
      <c r="Z249" s="48"/>
      <c r="AB249" t="str">
        <f>('Inteligencia emocional'!A250)</f>
        <v>0</v>
      </c>
      <c r="AC249" s="39" t="str">
        <f>'Por Valoracion (3) Dimension'!D249</f>
        <v>0</v>
      </c>
      <c r="AD249" s="39" t="str">
        <f>'Por Valoracion (3) Dimension 2'!J249</f>
        <v>0</v>
      </c>
      <c r="AY249" s="48"/>
      <c r="BA249" t="str">
        <f>('Inteligencia emocional'!A250)</f>
        <v>0</v>
      </c>
      <c r="BB249" s="39" t="str">
        <f>'Por Valoracion (3) Dimension'!F249</f>
        <v>0</v>
      </c>
      <c r="BC249" s="39" t="str">
        <f>'Por Valoracion (3) Dimension 2'!J249</f>
        <v>0</v>
      </c>
      <c r="BX249" s="48"/>
      <c r="BZ249" s="49"/>
      <c r="CB249" t="str">
        <f>('Inteligencia emocional'!A250)</f>
        <v>0</v>
      </c>
      <c r="CC249" s="39" t="str">
        <f>'Por Valoracion (3) Dimension 2'!B249</f>
        <v>0</v>
      </c>
      <c r="CD249" s="39" t="str">
        <f>'Por Valoracion (3) Dimension'!H249</f>
        <v>0</v>
      </c>
      <c r="CY249" s="49"/>
      <c r="DA249" t="str">
        <f>('Inteligencia emocional'!A250)</f>
        <v>0</v>
      </c>
      <c r="DB249" s="39" t="str">
        <f>'Por Valoracion (3) Dimension 2'!D249</f>
        <v>0</v>
      </c>
      <c r="DC249" s="39" t="str">
        <f>'Por Valoracion (3) Dimension'!H249</f>
        <v>0</v>
      </c>
      <c r="DX249" s="49"/>
      <c r="DZ249" t="str">
        <f>('Inteligencia emocional'!A250)</f>
        <v>0</v>
      </c>
      <c r="EA249" s="39" t="str">
        <f>'Por Valoracion (3) Dimension 2'!F249</f>
        <v>0</v>
      </c>
      <c r="EB249" s="39" t="str">
        <f>'Por Valoracion (3) Dimension'!H249</f>
        <v>0</v>
      </c>
      <c r="EW249" s="49"/>
      <c r="EY249" t="str">
        <f>('Inteligencia emocional'!A250)</f>
        <v>0</v>
      </c>
      <c r="EZ249" s="39" t="str">
        <f>'Por Valoracion (3) Dimension 2'!H249</f>
        <v>0</v>
      </c>
      <c r="FA249" s="39" t="str">
        <f>'Por Valoracion (3) Dimension'!H249</f>
        <v>0</v>
      </c>
      <c r="FV249" s="49"/>
    </row>
    <row r="250" spans="1:178">
      <c r="A250" s="48"/>
      <c r="C250" t="str">
        <f>('Inteligencia emocional'!A251)</f>
        <v>0</v>
      </c>
      <c r="D250" s="39" t="str">
        <f>'Por Valoracion (3) Dimension'!B250</f>
        <v>0</v>
      </c>
      <c r="E250" s="39" t="str">
        <f>'Por Valoracion (3) Dimension 2'!J250</f>
        <v>0</v>
      </c>
      <c r="Z250" s="48"/>
      <c r="AB250" t="str">
        <f>('Inteligencia emocional'!A251)</f>
        <v>0</v>
      </c>
      <c r="AC250" s="39" t="str">
        <f>'Por Valoracion (3) Dimension'!D250</f>
        <v>0</v>
      </c>
      <c r="AD250" s="39" t="str">
        <f>'Por Valoracion (3) Dimension 2'!J250</f>
        <v>0</v>
      </c>
      <c r="AY250" s="48"/>
      <c r="BA250" t="str">
        <f>('Inteligencia emocional'!A251)</f>
        <v>0</v>
      </c>
      <c r="BB250" s="39" t="str">
        <f>'Por Valoracion (3) Dimension'!F250</f>
        <v>0</v>
      </c>
      <c r="BC250" s="39" t="str">
        <f>'Por Valoracion (3) Dimension 2'!J250</f>
        <v>0</v>
      </c>
      <c r="BX250" s="48"/>
      <c r="BZ250" s="49"/>
      <c r="CB250" t="str">
        <f>('Inteligencia emocional'!A251)</f>
        <v>0</v>
      </c>
      <c r="CC250" s="39" t="str">
        <f>'Por Valoracion (3) Dimension 2'!B250</f>
        <v>0</v>
      </c>
      <c r="CD250" s="39" t="str">
        <f>'Por Valoracion (3) Dimension'!H250</f>
        <v>0</v>
      </c>
      <c r="CY250" s="49"/>
      <c r="DA250" t="str">
        <f>('Inteligencia emocional'!A251)</f>
        <v>0</v>
      </c>
      <c r="DB250" s="39" t="str">
        <f>'Por Valoracion (3) Dimension 2'!D250</f>
        <v>0</v>
      </c>
      <c r="DC250" s="39" t="str">
        <f>'Por Valoracion (3) Dimension'!H250</f>
        <v>0</v>
      </c>
      <c r="DX250" s="49"/>
      <c r="DZ250" t="str">
        <f>('Inteligencia emocional'!A251)</f>
        <v>0</v>
      </c>
      <c r="EA250" s="39" t="str">
        <f>'Por Valoracion (3) Dimension 2'!F250</f>
        <v>0</v>
      </c>
      <c r="EB250" s="39" t="str">
        <f>'Por Valoracion (3) Dimension'!H250</f>
        <v>0</v>
      </c>
      <c r="EW250" s="49"/>
      <c r="EY250" t="str">
        <f>('Inteligencia emocional'!A251)</f>
        <v>0</v>
      </c>
      <c r="EZ250" s="39" t="str">
        <f>'Por Valoracion (3) Dimension 2'!H250</f>
        <v>0</v>
      </c>
      <c r="FA250" s="39" t="str">
        <f>'Por Valoracion (3) Dimension'!H250</f>
        <v>0</v>
      </c>
      <c r="FV250" s="49"/>
    </row>
    <row r="251" spans="1:178">
      <c r="A251" s="48"/>
      <c r="C251" t="str">
        <f>('Inteligencia emocional'!A252)</f>
        <v>0</v>
      </c>
      <c r="D251" s="39" t="str">
        <f>'Por Valoracion (3) Dimension'!B251</f>
        <v>0</v>
      </c>
      <c r="E251" s="39" t="str">
        <f>'Por Valoracion (3) Dimension 2'!J251</f>
        <v>0</v>
      </c>
      <c r="Z251" s="48"/>
      <c r="AB251" t="str">
        <f>('Inteligencia emocional'!A252)</f>
        <v>0</v>
      </c>
      <c r="AC251" s="39" t="str">
        <f>'Por Valoracion (3) Dimension'!D251</f>
        <v>0</v>
      </c>
      <c r="AD251" s="39" t="str">
        <f>'Por Valoracion (3) Dimension 2'!J251</f>
        <v>0</v>
      </c>
      <c r="AY251" s="48"/>
      <c r="BA251" t="str">
        <f>('Inteligencia emocional'!A252)</f>
        <v>0</v>
      </c>
      <c r="BB251" s="39" t="str">
        <f>'Por Valoracion (3) Dimension'!F251</f>
        <v>0</v>
      </c>
      <c r="BC251" s="39" t="str">
        <f>'Por Valoracion (3) Dimension 2'!J251</f>
        <v>0</v>
      </c>
      <c r="BX251" s="48"/>
      <c r="BZ251" s="49"/>
      <c r="CB251" t="str">
        <f>('Inteligencia emocional'!A252)</f>
        <v>0</v>
      </c>
      <c r="CC251" s="39" t="str">
        <f>'Por Valoracion (3) Dimension 2'!B251</f>
        <v>0</v>
      </c>
      <c r="CD251" s="39" t="str">
        <f>'Por Valoracion (3) Dimension'!H251</f>
        <v>0</v>
      </c>
      <c r="CY251" s="49"/>
      <c r="DA251" t="str">
        <f>('Inteligencia emocional'!A252)</f>
        <v>0</v>
      </c>
      <c r="DB251" s="39" t="str">
        <f>'Por Valoracion (3) Dimension 2'!D251</f>
        <v>0</v>
      </c>
      <c r="DC251" s="39" t="str">
        <f>'Por Valoracion (3) Dimension'!H251</f>
        <v>0</v>
      </c>
      <c r="DX251" s="49"/>
      <c r="DZ251" t="str">
        <f>('Inteligencia emocional'!A252)</f>
        <v>0</v>
      </c>
      <c r="EA251" s="39" t="str">
        <f>'Por Valoracion (3) Dimension 2'!F251</f>
        <v>0</v>
      </c>
      <c r="EB251" s="39" t="str">
        <f>'Por Valoracion (3) Dimension'!H251</f>
        <v>0</v>
      </c>
      <c r="EW251" s="49"/>
      <c r="EY251" t="str">
        <f>('Inteligencia emocional'!A252)</f>
        <v>0</v>
      </c>
      <c r="EZ251" s="39" t="str">
        <f>'Por Valoracion (3) Dimension 2'!H251</f>
        <v>0</v>
      </c>
      <c r="FA251" s="39" t="str">
        <f>'Por Valoracion (3) Dimension'!H251</f>
        <v>0</v>
      </c>
      <c r="FV251" s="49"/>
    </row>
    <row r="252" spans="1:178">
      <c r="A252" s="48"/>
      <c r="C252" t="str">
        <f>('Inteligencia emocional'!A253)</f>
        <v>0</v>
      </c>
      <c r="D252" s="39" t="str">
        <f>'Por Valoracion (3) Dimension'!B252</f>
        <v>0</v>
      </c>
      <c r="E252" s="39" t="str">
        <f>'Por Valoracion (3) Dimension 2'!J252</f>
        <v>0</v>
      </c>
      <c r="Z252" s="48"/>
      <c r="AB252" t="str">
        <f>('Inteligencia emocional'!A253)</f>
        <v>0</v>
      </c>
      <c r="AC252" s="39" t="str">
        <f>'Por Valoracion (3) Dimension'!D252</f>
        <v>0</v>
      </c>
      <c r="AD252" s="39" t="str">
        <f>'Por Valoracion (3) Dimension 2'!J252</f>
        <v>0</v>
      </c>
      <c r="AY252" s="48"/>
      <c r="BA252" t="str">
        <f>('Inteligencia emocional'!A253)</f>
        <v>0</v>
      </c>
      <c r="BB252" s="39" t="str">
        <f>'Por Valoracion (3) Dimension'!F252</f>
        <v>0</v>
      </c>
      <c r="BC252" s="39" t="str">
        <f>'Por Valoracion (3) Dimension 2'!J252</f>
        <v>0</v>
      </c>
      <c r="BX252" s="48"/>
      <c r="BZ252" s="49"/>
      <c r="CB252" t="str">
        <f>('Inteligencia emocional'!A253)</f>
        <v>0</v>
      </c>
      <c r="CC252" s="39" t="str">
        <f>'Por Valoracion (3) Dimension 2'!B252</f>
        <v>0</v>
      </c>
      <c r="CD252" s="39" t="str">
        <f>'Por Valoracion (3) Dimension'!H252</f>
        <v>0</v>
      </c>
      <c r="CY252" s="49"/>
      <c r="DA252" t="str">
        <f>('Inteligencia emocional'!A253)</f>
        <v>0</v>
      </c>
      <c r="DB252" s="39" t="str">
        <f>'Por Valoracion (3) Dimension 2'!D252</f>
        <v>0</v>
      </c>
      <c r="DC252" s="39" t="str">
        <f>'Por Valoracion (3) Dimension'!H252</f>
        <v>0</v>
      </c>
      <c r="DX252" s="49"/>
      <c r="DZ252" t="str">
        <f>('Inteligencia emocional'!A253)</f>
        <v>0</v>
      </c>
      <c r="EA252" s="39" t="str">
        <f>'Por Valoracion (3) Dimension 2'!F252</f>
        <v>0</v>
      </c>
      <c r="EB252" s="39" t="str">
        <f>'Por Valoracion (3) Dimension'!H252</f>
        <v>0</v>
      </c>
      <c r="EW252" s="49"/>
      <c r="EY252" t="str">
        <f>('Inteligencia emocional'!A253)</f>
        <v>0</v>
      </c>
      <c r="EZ252" s="39" t="str">
        <f>'Por Valoracion (3) Dimension 2'!H252</f>
        <v>0</v>
      </c>
      <c r="FA252" s="39" t="str">
        <f>'Por Valoracion (3) Dimension'!H252</f>
        <v>0</v>
      </c>
      <c r="FV252" s="49"/>
    </row>
    <row r="253" spans="1:178">
      <c r="A253" s="48"/>
      <c r="C253" t="str">
        <f>('Inteligencia emocional'!A254)</f>
        <v>0</v>
      </c>
      <c r="D253" s="39" t="str">
        <f>'Por Valoracion (3) Dimension'!B253</f>
        <v>0</v>
      </c>
      <c r="E253" s="39" t="str">
        <f>'Por Valoracion (3) Dimension 2'!J253</f>
        <v>0</v>
      </c>
      <c r="Z253" s="48"/>
      <c r="AB253" t="str">
        <f>('Inteligencia emocional'!A254)</f>
        <v>0</v>
      </c>
      <c r="AC253" s="39" t="str">
        <f>'Por Valoracion (3) Dimension'!D253</f>
        <v>0</v>
      </c>
      <c r="AD253" s="39" t="str">
        <f>'Por Valoracion (3) Dimension 2'!J253</f>
        <v>0</v>
      </c>
      <c r="AY253" s="48"/>
      <c r="BA253" t="str">
        <f>('Inteligencia emocional'!A254)</f>
        <v>0</v>
      </c>
      <c r="BB253" s="39" t="str">
        <f>'Por Valoracion (3) Dimension'!F253</f>
        <v>0</v>
      </c>
      <c r="BC253" s="39" t="str">
        <f>'Por Valoracion (3) Dimension 2'!J253</f>
        <v>0</v>
      </c>
      <c r="BX253" s="48"/>
      <c r="BZ253" s="49"/>
      <c r="CB253" t="str">
        <f>('Inteligencia emocional'!A254)</f>
        <v>0</v>
      </c>
      <c r="CC253" s="39" t="str">
        <f>'Por Valoracion (3) Dimension 2'!B253</f>
        <v>0</v>
      </c>
      <c r="CD253" s="39" t="str">
        <f>'Por Valoracion (3) Dimension'!H253</f>
        <v>0</v>
      </c>
      <c r="CY253" s="49"/>
      <c r="DA253" t="str">
        <f>('Inteligencia emocional'!A254)</f>
        <v>0</v>
      </c>
      <c r="DB253" s="39" t="str">
        <f>'Por Valoracion (3) Dimension 2'!D253</f>
        <v>0</v>
      </c>
      <c r="DC253" s="39" t="str">
        <f>'Por Valoracion (3) Dimension'!H253</f>
        <v>0</v>
      </c>
      <c r="DX253" s="49"/>
      <c r="DZ253" t="str">
        <f>('Inteligencia emocional'!A254)</f>
        <v>0</v>
      </c>
      <c r="EA253" s="39" t="str">
        <f>'Por Valoracion (3) Dimension 2'!F253</f>
        <v>0</v>
      </c>
      <c r="EB253" s="39" t="str">
        <f>'Por Valoracion (3) Dimension'!H253</f>
        <v>0</v>
      </c>
      <c r="EW253" s="49"/>
      <c r="EY253" t="str">
        <f>('Inteligencia emocional'!A254)</f>
        <v>0</v>
      </c>
      <c r="EZ253" s="39" t="str">
        <f>'Por Valoracion (3) Dimension 2'!H253</f>
        <v>0</v>
      </c>
      <c r="FA253" s="39" t="str">
        <f>'Por Valoracion (3) Dimension'!H253</f>
        <v>0</v>
      </c>
      <c r="FV253" s="49"/>
    </row>
    <row r="254" spans="1:178">
      <c r="A254" s="48"/>
      <c r="C254" t="str">
        <f>('Inteligencia emocional'!A255)</f>
        <v>0</v>
      </c>
      <c r="D254" s="39" t="str">
        <f>'Por Valoracion (3) Dimension'!B254</f>
        <v>0</v>
      </c>
      <c r="E254" s="39" t="str">
        <f>'Por Valoracion (3) Dimension 2'!J254</f>
        <v>0</v>
      </c>
      <c r="Z254" s="48"/>
      <c r="AB254" t="str">
        <f>('Inteligencia emocional'!A255)</f>
        <v>0</v>
      </c>
      <c r="AC254" s="39" t="str">
        <f>'Por Valoracion (3) Dimension'!D254</f>
        <v>0</v>
      </c>
      <c r="AD254" s="39" t="str">
        <f>'Por Valoracion (3) Dimension 2'!J254</f>
        <v>0</v>
      </c>
      <c r="AY254" s="48"/>
      <c r="BA254" t="str">
        <f>('Inteligencia emocional'!A255)</f>
        <v>0</v>
      </c>
      <c r="BB254" s="39" t="str">
        <f>'Por Valoracion (3) Dimension'!F254</f>
        <v>0</v>
      </c>
      <c r="BC254" s="39" t="str">
        <f>'Por Valoracion (3) Dimension 2'!J254</f>
        <v>0</v>
      </c>
      <c r="BX254" s="48"/>
      <c r="BZ254" s="49"/>
      <c r="CB254" t="str">
        <f>('Inteligencia emocional'!A255)</f>
        <v>0</v>
      </c>
      <c r="CC254" s="39" t="str">
        <f>'Por Valoracion (3) Dimension 2'!B254</f>
        <v>0</v>
      </c>
      <c r="CD254" s="39" t="str">
        <f>'Por Valoracion (3) Dimension'!H254</f>
        <v>0</v>
      </c>
      <c r="CY254" s="49"/>
      <c r="DA254" t="str">
        <f>('Inteligencia emocional'!A255)</f>
        <v>0</v>
      </c>
      <c r="DB254" s="39" t="str">
        <f>'Por Valoracion (3) Dimension 2'!D254</f>
        <v>0</v>
      </c>
      <c r="DC254" s="39" t="str">
        <f>'Por Valoracion (3) Dimension'!H254</f>
        <v>0</v>
      </c>
      <c r="DX254" s="49"/>
      <c r="DZ254" t="str">
        <f>('Inteligencia emocional'!A255)</f>
        <v>0</v>
      </c>
      <c r="EA254" s="39" t="str">
        <f>'Por Valoracion (3) Dimension 2'!F254</f>
        <v>0</v>
      </c>
      <c r="EB254" s="39" t="str">
        <f>'Por Valoracion (3) Dimension'!H254</f>
        <v>0</v>
      </c>
      <c r="EW254" s="49"/>
      <c r="EY254" t="str">
        <f>('Inteligencia emocional'!A255)</f>
        <v>0</v>
      </c>
      <c r="EZ254" s="39" t="str">
        <f>'Por Valoracion (3) Dimension 2'!H254</f>
        <v>0</v>
      </c>
      <c r="FA254" s="39" t="str">
        <f>'Por Valoracion (3) Dimension'!H254</f>
        <v>0</v>
      </c>
      <c r="FV254" s="49"/>
    </row>
    <row r="255" spans="1:178">
      <c r="A255" s="48"/>
      <c r="C255" t="str">
        <f>('Inteligencia emocional'!A256)</f>
        <v>0</v>
      </c>
      <c r="D255" s="39" t="str">
        <f>'Por Valoracion (3) Dimension'!B255</f>
        <v>0</v>
      </c>
      <c r="E255" s="39" t="str">
        <f>'Por Valoracion (3) Dimension 2'!J255</f>
        <v>0</v>
      </c>
      <c r="Z255" s="48"/>
      <c r="AB255" t="str">
        <f>('Inteligencia emocional'!A256)</f>
        <v>0</v>
      </c>
      <c r="AC255" s="39" t="str">
        <f>'Por Valoracion (3) Dimension'!D255</f>
        <v>0</v>
      </c>
      <c r="AD255" s="39" t="str">
        <f>'Por Valoracion (3) Dimension 2'!J255</f>
        <v>0</v>
      </c>
      <c r="AY255" s="48"/>
      <c r="BA255" t="str">
        <f>('Inteligencia emocional'!A256)</f>
        <v>0</v>
      </c>
      <c r="BB255" s="39" t="str">
        <f>'Por Valoracion (3) Dimension'!F255</f>
        <v>0</v>
      </c>
      <c r="BC255" s="39" t="str">
        <f>'Por Valoracion (3) Dimension 2'!J255</f>
        <v>0</v>
      </c>
      <c r="BX255" s="48"/>
      <c r="BZ255" s="49"/>
      <c r="CB255" t="str">
        <f>('Inteligencia emocional'!A256)</f>
        <v>0</v>
      </c>
      <c r="CC255" s="39" t="str">
        <f>'Por Valoracion (3) Dimension 2'!B255</f>
        <v>0</v>
      </c>
      <c r="CD255" s="39" t="str">
        <f>'Por Valoracion (3) Dimension'!H255</f>
        <v>0</v>
      </c>
      <c r="CY255" s="49"/>
      <c r="DA255" t="str">
        <f>('Inteligencia emocional'!A256)</f>
        <v>0</v>
      </c>
      <c r="DB255" s="39" t="str">
        <f>'Por Valoracion (3) Dimension 2'!D255</f>
        <v>0</v>
      </c>
      <c r="DC255" s="39" t="str">
        <f>'Por Valoracion (3) Dimension'!H255</f>
        <v>0</v>
      </c>
      <c r="DX255" s="49"/>
      <c r="DZ255" t="str">
        <f>('Inteligencia emocional'!A256)</f>
        <v>0</v>
      </c>
      <c r="EA255" s="39" t="str">
        <f>'Por Valoracion (3) Dimension 2'!F255</f>
        <v>0</v>
      </c>
      <c r="EB255" s="39" t="str">
        <f>'Por Valoracion (3) Dimension'!H255</f>
        <v>0</v>
      </c>
      <c r="EW255" s="49"/>
      <c r="EY255" t="str">
        <f>('Inteligencia emocional'!A256)</f>
        <v>0</v>
      </c>
      <c r="EZ255" s="39" t="str">
        <f>'Por Valoracion (3) Dimension 2'!H255</f>
        <v>0</v>
      </c>
      <c r="FA255" s="39" t="str">
        <f>'Por Valoracion (3) Dimension'!H255</f>
        <v>0</v>
      </c>
      <c r="FV255" s="49"/>
    </row>
    <row r="256" spans="1:178">
      <c r="A256" s="48"/>
      <c r="C256" t="str">
        <f>('Inteligencia emocional'!A257)</f>
        <v>0</v>
      </c>
      <c r="D256" s="39" t="str">
        <f>'Por Valoracion (3) Dimension'!B256</f>
        <v>0</v>
      </c>
      <c r="E256" s="39" t="str">
        <f>'Por Valoracion (3) Dimension 2'!J256</f>
        <v>0</v>
      </c>
      <c r="Z256" s="48"/>
      <c r="AB256" t="str">
        <f>('Inteligencia emocional'!A257)</f>
        <v>0</v>
      </c>
      <c r="AC256" s="39" t="str">
        <f>'Por Valoracion (3) Dimension'!D256</f>
        <v>0</v>
      </c>
      <c r="AD256" s="39" t="str">
        <f>'Por Valoracion (3) Dimension 2'!J256</f>
        <v>0</v>
      </c>
      <c r="AY256" s="48"/>
      <c r="BA256" t="str">
        <f>('Inteligencia emocional'!A257)</f>
        <v>0</v>
      </c>
      <c r="BB256" s="39" t="str">
        <f>'Por Valoracion (3) Dimension'!F256</f>
        <v>0</v>
      </c>
      <c r="BC256" s="39" t="str">
        <f>'Por Valoracion (3) Dimension 2'!J256</f>
        <v>0</v>
      </c>
      <c r="BX256" s="48"/>
      <c r="BZ256" s="49"/>
      <c r="CB256" t="str">
        <f>('Inteligencia emocional'!A257)</f>
        <v>0</v>
      </c>
      <c r="CC256" s="39" t="str">
        <f>'Por Valoracion (3) Dimension 2'!B256</f>
        <v>0</v>
      </c>
      <c r="CD256" s="39" t="str">
        <f>'Por Valoracion (3) Dimension'!H256</f>
        <v>0</v>
      </c>
      <c r="CY256" s="49"/>
      <c r="DA256" t="str">
        <f>('Inteligencia emocional'!A257)</f>
        <v>0</v>
      </c>
      <c r="DB256" s="39" t="str">
        <f>'Por Valoracion (3) Dimension 2'!D256</f>
        <v>0</v>
      </c>
      <c r="DC256" s="39" t="str">
        <f>'Por Valoracion (3) Dimension'!H256</f>
        <v>0</v>
      </c>
      <c r="DX256" s="49"/>
      <c r="DZ256" t="str">
        <f>('Inteligencia emocional'!A257)</f>
        <v>0</v>
      </c>
      <c r="EA256" s="39" t="str">
        <f>'Por Valoracion (3) Dimension 2'!F256</f>
        <v>0</v>
      </c>
      <c r="EB256" s="39" t="str">
        <f>'Por Valoracion (3) Dimension'!H256</f>
        <v>0</v>
      </c>
      <c r="EW256" s="49"/>
      <c r="EY256" t="str">
        <f>('Inteligencia emocional'!A257)</f>
        <v>0</v>
      </c>
      <c r="EZ256" s="39" t="str">
        <f>'Por Valoracion (3) Dimension 2'!H256</f>
        <v>0</v>
      </c>
      <c r="FA256" s="39" t="str">
        <f>'Por Valoracion (3) Dimension'!H256</f>
        <v>0</v>
      </c>
      <c r="FV256" s="49"/>
    </row>
    <row r="257" spans="1:178">
      <c r="A257" s="48"/>
      <c r="C257" t="str">
        <f>('Inteligencia emocional'!A258)</f>
        <v>0</v>
      </c>
      <c r="D257" s="39" t="str">
        <f>'Por Valoracion (3) Dimension'!B257</f>
        <v>0</v>
      </c>
      <c r="E257" s="39" t="str">
        <f>'Por Valoracion (3) Dimension 2'!J257</f>
        <v>0</v>
      </c>
      <c r="Z257" s="48"/>
      <c r="AB257" t="str">
        <f>('Inteligencia emocional'!A258)</f>
        <v>0</v>
      </c>
      <c r="AC257" s="39" t="str">
        <f>'Por Valoracion (3) Dimension'!D257</f>
        <v>0</v>
      </c>
      <c r="AD257" s="39" t="str">
        <f>'Por Valoracion (3) Dimension 2'!J257</f>
        <v>0</v>
      </c>
      <c r="AY257" s="48"/>
      <c r="BA257" t="str">
        <f>('Inteligencia emocional'!A258)</f>
        <v>0</v>
      </c>
      <c r="BB257" s="39" t="str">
        <f>'Por Valoracion (3) Dimension'!F257</f>
        <v>0</v>
      </c>
      <c r="BC257" s="39" t="str">
        <f>'Por Valoracion (3) Dimension 2'!J257</f>
        <v>0</v>
      </c>
      <c r="BX257" s="48"/>
      <c r="BZ257" s="49"/>
      <c r="CB257" t="str">
        <f>('Inteligencia emocional'!A258)</f>
        <v>0</v>
      </c>
      <c r="CC257" s="39" t="str">
        <f>'Por Valoracion (3) Dimension 2'!B257</f>
        <v>0</v>
      </c>
      <c r="CD257" s="39" t="str">
        <f>'Por Valoracion (3) Dimension'!H257</f>
        <v>0</v>
      </c>
      <c r="CY257" s="49"/>
      <c r="DA257" t="str">
        <f>('Inteligencia emocional'!A258)</f>
        <v>0</v>
      </c>
      <c r="DB257" s="39" t="str">
        <f>'Por Valoracion (3) Dimension 2'!D257</f>
        <v>0</v>
      </c>
      <c r="DC257" s="39" t="str">
        <f>'Por Valoracion (3) Dimension'!H257</f>
        <v>0</v>
      </c>
      <c r="DX257" s="49"/>
      <c r="DZ257" t="str">
        <f>('Inteligencia emocional'!A258)</f>
        <v>0</v>
      </c>
      <c r="EA257" s="39" t="str">
        <f>'Por Valoracion (3) Dimension 2'!F257</f>
        <v>0</v>
      </c>
      <c r="EB257" s="39" t="str">
        <f>'Por Valoracion (3) Dimension'!H257</f>
        <v>0</v>
      </c>
      <c r="EW257" s="49"/>
      <c r="EY257" t="str">
        <f>('Inteligencia emocional'!A258)</f>
        <v>0</v>
      </c>
      <c r="EZ257" s="39" t="str">
        <f>'Por Valoracion (3) Dimension 2'!H257</f>
        <v>0</v>
      </c>
      <c r="FA257" s="39" t="str">
        <f>'Por Valoracion (3) Dimension'!H257</f>
        <v>0</v>
      </c>
      <c r="FV257" s="49"/>
    </row>
    <row r="258" spans="1:178">
      <c r="A258" s="48"/>
      <c r="C258" t="str">
        <f>('Inteligencia emocional'!A259)</f>
        <v>0</v>
      </c>
      <c r="D258" s="39" t="str">
        <f>'Por Valoracion (3) Dimension'!B258</f>
        <v>0</v>
      </c>
      <c r="E258" s="39" t="str">
        <f>'Por Valoracion (3) Dimension 2'!J258</f>
        <v>0</v>
      </c>
      <c r="Z258" s="48"/>
      <c r="AB258" t="str">
        <f>('Inteligencia emocional'!A259)</f>
        <v>0</v>
      </c>
      <c r="AC258" s="39" t="str">
        <f>'Por Valoracion (3) Dimension'!D258</f>
        <v>0</v>
      </c>
      <c r="AD258" s="39" t="str">
        <f>'Por Valoracion (3) Dimension 2'!J258</f>
        <v>0</v>
      </c>
      <c r="AY258" s="48"/>
      <c r="BA258" t="str">
        <f>('Inteligencia emocional'!A259)</f>
        <v>0</v>
      </c>
      <c r="BB258" s="39" t="str">
        <f>'Por Valoracion (3) Dimension'!F258</f>
        <v>0</v>
      </c>
      <c r="BC258" s="39" t="str">
        <f>'Por Valoracion (3) Dimension 2'!J258</f>
        <v>0</v>
      </c>
      <c r="BX258" s="48"/>
      <c r="BZ258" s="49"/>
      <c r="CB258" t="str">
        <f>('Inteligencia emocional'!A259)</f>
        <v>0</v>
      </c>
      <c r="CC258" s="39" t="str">
        <f>'Por Valoracion (3) Dimension 2'!B258</f>
        <v>0</v>
      </c>
      <c r="CD258" s="39" t="str">
        <f>'Por Valoracion (3) Dimension'!H258</f>
        <v>0</v>
      </c>
      <c r="CY258" s="49"/>
      <c r="DA258" t="str">
        <f>('Inteligencia emocional'!A259)</f>
        <v>0</v>
      </c>
      <c r="DB258" s="39" t="str">
        <f>'Por Valoracion (3) Dimension 2'!D258</f>
        <v>0</v>
      </c>
      <c r="DC258" s="39" t="str">
        <f>'Por Valoracion (3) Dimension'!H258</f>
        <v>0</v>
      </c>
      <c r="DX258" s="49"/>
      <c r="DZ258" t="str">
        <f>('Inteligencia emocional'!A259)</f>
        <v>0</v>
      </c>
      <c r="EA258" s="39" t="str">
        <f>'Por Valoracion (3) Dimension 2'!F258</f>
        <v>0</v>
      </c>
      <c r="EB258" s="39" t="str">
        <f>'Por Valoracion (3) Dimension'!H258</f>
        <v>0</v>
      </c>
      <c r="EW258" s="49"/>
      <c r="EY258" t="str">
        <f>('Inteligencia emocional'!A259)</f>
        <v>0</v>
      </c>
      <c r="EZ258" s="39" t="str">
        <f>'Por Valoracion (3) Dimension 2'!H258</f>
        <v>0</v>
      </c>
      <c r="FA258" s="39" t="str">
        <f>'Por Valoracion (3) Dimension'!H258</f>
        <v>0</v>
      </c>
      <c r="FV258" s="49"/>
    </row>
    <row r="259" spans="1:178">
      <c r="A259" s="48"/>
      <c r="C259" t="str">
        <f>('Inteligencia emocional'!A260)</f>
        <v>0</v>
      </c>
      <c r="D259" s="39" t="str">
        <f>'Por Valoracion (3) Dimension'!B259</f>
        <v>0</v>
      </c>
      <c r="E259" s="39" t="str">
        <f>'Por Valoracion (3) Dimension 2'!J259</f>
        <v>0</v>
      </c>
      <c r="Z259" s="48"/>
      <c r="AB259" t="str">
        <f>('Inteligencia emocional'!A260)</f>
        <v>0</v>
      </c>
      <c r="AC259" s="39" t="str">
        <f>'Por Valoracion (3) Dimension'!D259</f>
        <v>0</v>
      </c>
      <c r="AD259" s="39" t="str">
        <f>'Por Valoracion (3) Dimension 2'!J259</f>
        <v>0</v>
      </c>
      <c r="AY259" s="48"/>
      <c r="BA259" t="str">
        <f>('Inteligencia emocional'!A260)</f>
        <v>0</v>
      </c>
      <c r="BB259" s="39" t="str">
        <f>'Por Valoracion (3) Dimension'!F259</f>
        <v>0</v>
      </c>
      <c r="BC259" s="39" t="str">
        <f>'Por Valoracion (3) Dimension 2'!J259</f>
        <v>0</v>
      </c>
      <c r="BX259" s="48"/>
      <c r="BZ259" s="49"/>
      <c r="CB259" t="str">
        <f>('Inteligencia emocional'!A260)</f>
        <v>0</v>
      </c>
      <c r="CC259" s="39" t="str">
        <f>'Por Valoracion (3) Dimension 2'!B259</f>
        <v>0</v>
      </c>
      <c r="CD259" s="39" t="str">
        <f>'Por Valoracion (3) Dimension'!H259</f>
        <v>0</v>
      </c>
      <c r="CY259" s="49"/>
      <c r="DA259" t="str">
        <f>('Inteligencia emocional'!A260)</f>
        <v>0</v>
      </c>
      <c r="DB259" s="39" t="str">
        <f>'Por Valoracion (3) Dimension 2'!D259</f>
        <v>0</v>
      </c>
      <c r="DC259" s="39" t="str">
        <f>'Por Valoracion (3) Dimension'!H259</f>
        <v>0</v>
      </c>
      <c r="DX259" s="49"/>
      <c r="DZ259" t="str">
        <f>('Inteligencia emocional'!A260)</f>
        <v>0</v>
      </c>
      <c r="EA259" s="39" t="str">
        <f>'Por Valoracion (3) Dimension 2'!F259</f>
        <v>0</v>
      </c>
      <c r="EB259" s="39" t="str">
        <f>'Por Valoracion (3) Dimension'!H259</f>
        <v>0</v>
      </c>
      <c r="EW259" s="49"/>
      <c r="EY259" t="str">
        <f>('Inteligencia emocional'!A260)</f>
        <v>0</v>
      </c>
      <c r="EZ259" s="39" t="str">
        <f>'Por Valoracion (3) Dimension 2'!H259</f>
        <v>0</v>
      </c>
      <c r="FA259" s="39" t="str">
        <f>'Por Valoracion (3) Dimension'!H259</f>
        <v>0</v>
      </c>
      <c r="FV259" s="49"/>
    </row>
    <row r="260" spans="1:178">
      <c r="A260" s="48"/>
      <c r="C260" t="str">
        <f>('Inteligencia emocional'!A261)</f>
        <v>0</v>
      </c>
      <c r="D260" s="39" t="str">
        <f>'Por Valoracion (3) Dimension'!B260</f>
        <v>0</v>
      </c>
      <c r="E260" s="39" t="str">
        <f>'Por Valoracion (3) Dimension 2'!J260</f>
        <v>0</v>
      </c>
      <c r="Z260" s="48"/>
      <c r="AB260" t="str">
        <f>('Inteligencia emocional'!A261)</f>
        <v>0</v>
      </c>
      <c r="AC260" s="39" t="str">
        <f>'Por Valoracion (3) Dimension'!D260</f>
        <v>0</v>
      </c>
      <c r="AD260" s="39" t="str">
        <f>'Por Valoracion (3) Dimension 2'!J260</f>
        <v>0</v>
      </c>
      <c r="AY260" s="48"/>
      <c r="BA260" t="str">
        <f>('Inteligencia emocional'!A261)</f>
        <v>0</v>
      </c>
      <c r="BB260" s="39" t="str">
        <f>'Por Valoracion (3) Dimension'!F260</f>
        <v>0</v>
      </c>
      <c r="BC260" s="39" t="str">
        <f>'Por Valoracion (3) Dimension 2'!J260</f>
        <v>0</v>
      </c>
      <c r="BX260" s="48"/>
      <c r="BZ260" s="49"/>
      <c r="CB260" t="str">
        <f>('Inteligencia emocional'!A261)</f>
        <v>0</v>
      </c>
      <c r="CC260" s="39" t="str">
        <f>'Por Valoracion (3) Dimension 2'!B260</f>
        <v>0</v>
      </c>
      <c r="CD260" s="39" t="str">
        <f>'Por Valoracion (3) Dimension'!H260</f>
        <v>0</v>
      </c>
      <c r="CY260" s="49"/>
      <c r="DA260" t="str">
        <f>('Inteligencia emocional'!A261)</f>
        <v>0</v>
      </c>
      <c r="DB260" s="39" t="str">
        <f>'Por Valoracion (3) Dimension 2'!D260</f>
        <v>0</v>
      </c>
      <c r="DC260" s="39" t="str">
        <f>'Por Valoracion (3) Dimension'!H260</f>
        <v>0</v>
      </c>
      <c r="DX260" s="49"/>
      <c r="DZ260" t="str">
        <f>('Inteligencia emocional'!A261)</f>
        <v>0</v>
      </c>
      <c r="EA260" s="39" t="str">
        <f>'Por Valoracion (3) Dimension 2'!F260</f>
        <v>0</v>
      </c>
      <c r="EB260" s="39" t="str">
        <f>'Por Valoracion (3) Dimension'!H260</f>
        <v>0</v>
      </c>
      <c r="EW260" s="49"/>
      <c r="EY260" t="str">
        <f>('Inteligencia emocional'!A261)</f>
        <v>0</v>
      </c>
      <c r="EZ260" s="39" t="str">
        <f>'Por Valoracion (3) Dimension 2'!H260</f>
        <v>0</v>
      </c>
      <c r="FA260" s="39" t="str">
        <f>'Por Valoracion (3) Dimension'!H260</f>
        <v>0</v>
      </c>
      <c r="FV260" s="49"/>
    </row>
    <row r="261" spans="1:178">
      <c r="A261" s="48"/>
      <c r="C261" t="str">
        <f>('Inteligencia emocional'!A262)</f>
        <v>0</v>
      </c>
      <c r="D261" s="39" t="str">
        <f>'Por Valoracion (3) Dimension'!B261</f>
        <v>0</v>
      </c>
      <c r="E261" s="39" t="str">
        <f>'Por Valoracion (3) Dimension 2'!J261</f>
        <v>0</v>
      </c>
      <c r="Z261" s="48"/>
      <c r="AB261" t="str">
        <f>('Inteligencia emocional'!A262)</f>
        <v>0</v>
      </c>
      <c r="AC261" s="39" t="str">
        <f>'Por Valoracion (3) Dimension'!D261</f>
        <v>0</v>
      </c>
      <c r="AD261" s="39" t="str">
        <f>'Por Valoracion (3) Dimension 2'!J261</f>
        <v>0</v>
      </c>
      <c r="AY261" s="48"/>
      <c r="BA261" t="str">
        <f>('Inteligencia emocional'!A262)</f>
        <v>0</v>
      </c>
      <c r="BB261" s="39" t="str">
        <f>'Por Valoracion (3) Dimension'!F261</f>
        <v>0</v>
      </c>
      <c r="BC261" s="39" t="str">
        <f>'Por Valoracion (3) Dimension 2'!J261</f>
        <v>0</v>
      </c>
      <c r="BX261" s="48"/>
      <c r="BZ261" s="49"/>
      <c r="CB261" t="str">
        <f>('Inteligencia emocional'!A262)</f>
        <v>0</v>
      </c>
      <c r="CC261" s="39" t="str">
        <f>'Por Valoracion (3) Dimension 2'!B261</f>
        <v>0</v>
      </c>
      <c r="CD261" s="39" t="str">
        <f>'Por Valoracion (3) Dimension'!H261</f>
        <v>0</v>
      </c>
      <c r="CY261" s="49"/>
      <c r="DA261" t="str">
        <f>('Inteligencia emocional'!A262)</f>
        <v>0</v>
      </c>
      <c r="DB261" s="39" t="str">
        <f>'Por Valoracion (3) Dimension 2'!D261</f>
        <v>0</v>
      </c>
      <c r="DC261" s="39" t="str">
        <f>'Por Valoracion (3) Dimension'!H261</f>
        <v>0</v>
      </c>
      <c r="DX261" s="49"/>
      <c r="DZ261" t="str">
        <f>('Inteligencia emocional'!A262)</f>
        <v>0</v>
      </c>
      <c r="EA261" s="39" t="str">
        <f>'Por Valoracion (3) Dimension 2'!F261</f>
        <v>0</v>
      </c>
      <c r="EB261" s="39" t="str">
        <f>'Por Valoracion (3) Dimension'!H261</f>
        <v>0</v>
      </c>
      <c r="EW261" s="49"/>
      <c r="EY261" t="str">
        <f>('Inteligencia emocional'!A262)</f>
        <v>0</v>
      </c>
      <c r="EZ261" s="39" t="str">
        <f>'Por Valoracion (3) Dimension 2'!H261</f>
        <v>0</v>
      </c>
      <c r="FA261" s="39" t="str">
        <f>'Por Valoracion (3) Dimension'!H261</f>
        <v>0</v>
      </c>
      <c r="FV261" s="49"/>
    </row>
    <row r="262" spans="1:178">
      <c r="A262" s="48"/>
      <c r="C262" t="str">
        <f>('Inteligencia emocional'!A263)</f>
        <v>0</v>
      </c>
      <c r="D262" s="39" t="str">
        <f>'Por Valoracion (3) Dimension'!B262</f>
        <v>0</v>
      </c>
      <c r="E262" s="39" t="str">
        <f>'Por Valoracion (3) Dimension 2'!J262</f>
        <v>0</v>
      </c>
      <c r="Z262" s="48"/>
      <c r="AB262" t="str">
        <f>('Inteligencia emocional'!A263)</f>
        <v>0</v>
      </c>
      <c r="AC262" s="39" t="str">
        <f>'Por Valoracion (3) Dimension'!D262</f>
        <v>0</v>
      </c>
      <c r="AD262" s="39" t="str">
        <f>'Por Valoracion (3) Dimension 2'!J262</f>
        <v>0</v>
      </c>
      <c r="AY262" s="48"/>
      <c r="BA262" t="str">
        <f>('Inteligencia emocional'!A263)</f>
        <v>0</v>
      </c>
      <c r="BB262" s="39" t="str">
        <f>'Por Valoracion (3) Dimension'!F262</f>
        <v>0</v>
      </c>
      <c r="BC262" s="39" t="str">
        <f>'Por Valoracion (3) Dimension 2'!J262</f>
        <v>0</v>
      </c>
      <c r="BX262" s="48"/>
      <c r="BZ262" s="49"/>
      <c r="CB262" t="str">
        <f>('Inteligencia emocional'!A263)</f>
        <v>0</v>
      </c>
      <c r="CC262" s="39" t="str">
        <f>'Por Valoracion (3) Dimension 2'!B262</f>
        <v>0</v>
      </c>
      <c r="CD262" s="39" t="str">
        <f>'Por Valoracion (3) Dimension'!H262</f>
        <v>0</v>
      </c>
      <c r="CY262" s="49"/>
      <c r="DA262" t="str">
        <f>('Inteligencia emocional'!A263)</f>
        <v>0</v>
      </c>
      <c r="DB262" s="39" t="str">
        <f>'Por Valoracion (3) Dimension 2'!D262</f>
        <v>0</v>
      </c>
      <c r="DC262" s="39" t="str">
        <f>'Por Valoracion (3) Dimension'!H262</f>
        <v>0</v>
      </c>
      <c r="DX262" s="49"/>
      <c r="DZ262" t="str">
        <f>('Inteligencia emocional'!A263)</f>
        <v>0</v>
      </c>
      <c r="EA262" s="39" t="str">
        <f>'Por Valoracion (3) Dimension 2'!F262</f>
        <v>0</v>
      </c>
      <c r="EB262" s="39" t="str">
        <f>'Por Valoracion (3) Dimension'!H262</f>
        <v>0</v>
      </c>
      <c r="EW262" s="49"/>
      <c r="EY262" t="str">
        <f>('Inteligencia emocional'!A263)</f>
        <v>0</v>
      </c>
      <c r="EZ262" s="39" t="str">
        <f>'Por Valoracion (3) Dimension 2'!H262</f>
        <v>0</v>
      </c>
      <c r="FA262" s="39" t="str">
        <f>'Por Valoracion (3) Dimension'!H262</f>
        <v>0</v>
      </c>
      <c r="FV262" s="49"/>
    </row>
    <row r="263" spans="1:178">
      <c r="A263" s="48"/>
      <c r="C263" t="str">
        <f>('Inteligencia emocional'!A264)</f>
        <v>0</v>
      </c>
      <c r="D263" s="39" t="str">
        <f>'Por Valoracion (3) Dimension'!B263</f>
        <v>0</v>
      </c>
      <c r="E263" s="39" t="str">
        <f>'Por Valoracion (3) Dimension 2'!J263</f>
        <v>0</v>
      </c>
      <c r="Z263" s="48"/>
      <c r="AB263" t="str">
        <f>('Inteligencia emocional'!A264)</f>
        <v>0</v>
      </c>
      <c r="AC263" s="39" t="str">
        <f>'Por Valoracion (3) Dimension'!D263</f>
        <v>0</v>
      </c>
      <c r="AD263" s="39" t="str">
        <f>'Por Valoracion (3) Dimension 2'!J263</f>
        <v>0</v>
      </c>
      <c r="AY263" s="48"/>
      <c r="BA263" t="str">
        <f>('Inteligencia emocional'!A264)</f>
        <v>0</v>
      </c>
      <c r="BB263" s="39" t="str">
        <f>'Por Valoracion (3) Dimension'!F263</f>
        <v>0</v>
      </c>
      <c r="BC263" s="39" t="str">
        <f>'Por Valoracion (3) Dimension 2'!J263</f>
        <v>0</v>
      </c>
      <c r="BX263" s="48"/>
      <c r="BZ263" s="49"/>
      <c r="CB263" t="str">
        <f>('Inteligencia emocional'!A264)</f>
        <v>0</v>
      </c>
      <c r="CC263" s="39" t="str">
        <f>'Por Valoracion (3) Dimension 2'!B263</f>
        <v>0</v>
      </c>
      <c r="CD263" s="39" t="str">
        <f>'Por Valoracion (3) Dimension'!H263</f>
        <v>0</v>
      </c>
      <c r="CY263" s="49"/>
      <c r="DA263" t="str">
        <f>('Inteligencia emocional'!A264)</f>
        <v>0</v>
      </c>
      <c r="DB263" s="39" t="str">
        <f>'Por Valoracion (3) Dimension 2'!D263</f>
        <v>0</v>
      </c>
      <c r="DC263" s="39" t="str">
        <f>'Por Valoracion (3) Dimension'!H263</f>
        <v>0</v>
      </c>
      <c r="DX263" s="49"/>
      <c r="DZ263" t="str">
        <f>('Inteligencia emocional'!A264)</f>
        <v>0</v>
      </c>
      <c r="EA263" s="39" t="str">
        <f>'Por Valoracion (3) Dimension 2'!F263</f>
        <v>0</v>
      </c>
      <c r="EB263" s="39" t="str">
        <f>'Por Valoracion (3) Dimension'!H263</f>
        <v>0</v>
      </c>
      <c r="EW263" s="49"/>
      <c r="EY263" t="str">
        <f>('Inteligencia emocional'!A264)</f>
        <v>0</v>
      </c>
      <c r="EZ263" s="39" t="str">
        <f>'Por Valoracion (3) Dimension 2'!H263</f>
        <v>0</v>
      </c>
      <c r="FA263" s="39" t="str">
        <f>'Por Valoracion (3) Dimension'!H263</f>
        <v>0</v>
      </c>
      <c r="FV263" s="49"/>
    </row>
    <row r="264" spans="1:178">
      <c r="A264" s="48"/>
      <c r="C264" t="str">
        <f>('Inteligencia emocional'!A265)</f>
        <v>0</v>
      </c>
      <c r="D264" s="39" t="str">
        <f>'Por Valoracion (3) Dimension'!B264</f>
        <v>0</v>
      </c>
      <c r="E264" s="39" t="str">
        <f>'Por Valoracion (3) Dimension 2'!J264</f>
        <v>0</v>
      </c>
      <c r="Z264" s="48"/>
      <c r="AB264" t="str">
        <f>('Inteligencia emocional'!A265)</f>
        <v>0</v>
      </c>
      <c r="AC264" s="39" t="str">
        <f>'Por Valoracion (3) Dimension'!D264</f>
        <v>0</v>
      </c>
      <c r="AD264" s="39" t="str">
        <f>'Por Valoracion (3) Dimension 2'!J264</f>
        <v>0</v>
      </c>
      <c r="AY264" s="48"/>
      <c r="BA264" t="str">
        <f>('Inteligencia emocional'!A265)</f>
        <v>0</v>
      </c>
      <c r="BB264" s="39" t="str">
        <f>'Por Valoracion (3) Dimension'!F264</f>
        <v>0</v>
      </c>
      <c r="BC264" s="39" t="str">
        <f>'Por Valoracion (3) Dimension 2'!J264</f>
        <v>0</v>
      </c>
      <c r="BX264" s="48"/>
      <c r="BZ264" s="49"/>
      <c r="CB264" t="str">
        <f>('Inteligencia emocional'!A265)</f>
        <v>0</v>
      </c>
      <c r="CC264" s="39" t="str">
        <f>'Por Valoracion (3) Dimension 2'!B264</f>
        <v>0</v>
      </c>
      <c r="CD264" s="39" t="str">
        <f>'Por Valoracion (3) Dimension'!H264</f>
        <v>0</v>
      </c>
      <c r="CY264" s="49"/>
      <c r="DA264" t="str">
        <f>('Inteligencia emocional'!A265)</f>
        <v>0</v>
      </c>
      <c r="DB264" s="39" t="str">
        <f>'Por Valoracion (3) Dimension 2'!D264</f>
        <v>0</v>
      </c>
      <c r="DC264" s="39" t="str">
        <f>'Por Valoracion (3) Dimension'!H264</f>
        <v>0</v>
      </c>
      <c r="DX264" s="49"/>
      <c r="DZ264" t="str">
        <f>('Inteligencia emocional'!A265)</f>
        <v>0</v>
      </c>
      <c r="EA264" s="39" t="str">
        <f>'Por Valoracion (3) Dimension 2'!F264</f>
        <v>0</v>
      </c>
      <c r="EB264" s="39" t="str">
        <f>'Por Valoracion (3) Dimension'!H264</f>
        <v>0</v>
      </c>
      <c r="EW264" s="49"/>
      <c r="EY264" t="str">
        <f>('Inteligencia emocional'!A265)</f>
        <v>0</v>
      </c>
      <c r="EZ264" s="39" t="str">
        <f>'Por Valoracion (3) Dimension 2'!H264</f>
        <v>0</v>
      </c>
      <c r="FA264" s="39" t="str">
        <f>'Por Valoracion (3) Dimension'!H264</f>
        <v>0</v>
      </c>
      <c r="FV264" s="49"/>
    </row>
    <row r="265" spans="1:178">
      <c r="A265" s="48"/>
      <c r="C265" t="str">
        <f>('Inteligencia emocional'!A266)</f>
        <v>0</v>
      </c>
      <c r="D265" s="39" t="str">
        <f>'Por Valoracion (3) Dimension'!B265</f>
        <v>0</v>
      </c>
      <c r="E265" s="39" t="str">
        <f>'Por Valoracion (3) Dimension 2'!J265</f>
        <v>0</v>
      </c>
      <c r="Z265" s="48"/>
      <c r="AB265" t="str">
        <f>('Inteligencia emocional'!A266)</f>
        <v>0</v>
      </c>
      <c r="AC265" s="39" t="str">
        <f>'Por Valoracion (3) Dimension'!D265</f>
        <v>0</v>
      </c>
      <c r="AD265" s="39" t="str">
        <f>'Por Valoracion (3) Dimension 2'!J265</f>
        <v>0</v>
      </c>
      <c r="AY265" s="48"/>
      <c r="BA265" t="str">
        <f>('Inteligencia emocional'!A266)</f>
        <v>0</v>
      </c>
      <c r="BB265" s="39" t="str">
        <f>'Por Valoracion (3) Dimension'!F265</f>
        <v>0</v>
      </c>
      <c r="BC265" s="39" t="str">
        <f>'Por Valoracion (3) Dimension 2'!J265</f>
        <v>0</v>
      </c>
      <c r="BX265" s="48"/>
      <c r="BZ265" s="49"/>
      <c r="CB265" t="str">
        <f>('Inteligencia emocional'!A266)</f>
        <v>0</v>
      </c>
      <c r="CC265" s="39" t="str">
        <f>'Por Valoracion (3) Dimension 2'!B265</f>
        <v>0</v>
      </c>
      <c r="CD265" s="39" t="str">
        <f>'Por Valoracion (3) Dimension'!H265</f>
        <v>0</v>
      </c>
      <c r="CY265" s="49"/>
      <c r="DA265" t="str">
        <f>('Inteligencia emocional'!A266)</f>
        <v>0</v>
      </c>
      <c r="DB265" s="39" t="str">
        <f>'Por Valoracion (3) Dimension 2'!D265</f>
        <v>0</v>
      </c>
      <c r="DC265" s="39" t="str">
        <f>'Por Valoracion (3) Dimension'!H265</f>
        <v>0</v>
      </c>
      <c r="DX265" s="49"/>
      <c r="DZ265" t="str">
        <f>('Inteligencia emocional'!A266)</f>
        <v>0</v>
      </c>
      <c r="EA265" s="39" t="str">
        <f>'Por Valoracion (3) Dimension 2'!F265</f>
        <v>0</v>
      </c>
      <c r="EB265" s="39" t="str">
        <f>'Por Valoracion (3) Dimension'!H265</f>
        <v>0</v>
      </c>
      <c r="EW265" s="49"/>
      <c r="EY265" t="str">
        <f>('Inteligencia emocional'!A266)</f>
        <v>0</v>
      </c>
      <c r="EZ265" s="39" t="str">
        <f>'Por Valoracion (3) Dimension 2'!H265</f>
        <v>0</v>
      </c>
      <c r="FA265" s="39" t="str">
        <f>'Por Valoracion (3) Dimension'!H265</f>
        <v>0</v>
      </c>
      <c r="FV265" s="49"/>
    </row>
    <row r="266" spans="1:178">
      <c r="A266" s="48"/>
      <c r="C266" t="str">
        <f>('Inteligencia emocional'!A267)</f>
        <v>0</v>
      </c>
      <c r="D266" s="39" t="str">
        <f>'Por Valoracion (3) Dimension'!B266</f>
        <v>0</v>
      </c>
      <c r="E266" s="39" t="str">
        <f>'Por Valoracion (3) Dimension 2'!J266</f>
        <v>0</v>
      </c>
      <c r="Z266" s="48"/>
      <c r="AB266" t="str">
        <f>('Inteligencia emocional'!A267)</f>
        <v>0</v>
      </c>
      <c r="AC266" s="39" t="str">
        <f>'Por Valoracion (3) Dimension'!D266</f>
        <v>0</v>
      </c>
      <c r="AD266" s="39" t="str">
        <f>'Por Valoracion (3) Dimension 2'!J266</f>
        <v>0</v>
      </c>
      <c r="AY266" s="48"/>
      <c r="BA266" t="str">
        <f>('Inteligencia emocional'!A267)</f>
        <v>0</v>
      </c>
      <c r="BB266" s="39" t="str">
        <f>'Por Valoracion (3) Dimension'!F266</f>
        <v>0</v>
      </c>
      <c r="BC266" s="39" t="str">
        <f>'Por Valoracion (3) Dimension 2'!J266</f>
        <v>0</v>
      </c>
      <c r="BX266" s="48"/>
      <c r="BZ266" s="49"/>
      <c r="CB266" t="str">
        <f>('Inteligencia emocional'!A267)</f>
        <v>0</v>
      </c>
      <c r="CC266" s="39" t="str">
        <f>'Por Valoracion (3) Dimension 2'!B266</f>
        <v>0</v>
      </c>
      <c r="CD266" s="39" t="str">
        <f>'Por Valoracion (3) Dimension'!H266</f>
        <v>0</v>
      </c>
      <c r="CY266" s="49"/>
      <c r="DA266" t="str">
        <f>('Inteligencia emocional'!A267)</f>
        <v>0</v>
      </c>
      <c r="DB266" s="39" t="str">
        <f>'Por Valoracion (3) Dimension 2'!D266</f>
        <v>0</v>
      </c>
      <c r="DC266" s="39" t="str">
        <f>'Por Valoracion (3) Dimension'!H266</f>
        <v>0</v>
      </c>
      <c r="DX266" s="49"/>
      <c r="DZ266" t="str">
        <f>('Inteligencia emocional'!A267)</f>
        <v>0</v>
      </c>
      <c r="EA266" s="39" t="str">
        <f>'Por Valoracion (3) Dimension 2'!F266</f>
        <v>0</v>
      </c>
      <c r="EB266" s="39" t="str">
        <f>'Por Valoracion (3) Dimension'!H266</f>
        <v>0</v>
      </c>
      <c r="EW266" s="49"/>
      <c r="EY266" t="str">
        <f>('Inteligencia emocional'!A267)</f>
        <v>0</v>
      </c>
      <c r="EZ266" s="39" t="str">
        <f>'Por Valoracion (3) Dimension 2'!H266</f>
        <v>0</v>
      </c>
      <c r="FA266" s="39" t="str">
        <f>'Por Valoracion (3) Dimension'!H266</f>
        <v>0</v>
      </c>
      <c r="FV266" s="49"/>
    </row>
    <row r="267" spans="1:178">
      <c r="A267" s="48"/>
      <c r="C267" t="str">
        <f>('Inteligencia emocional'!A268)</f>
        <v>0</v>
      </c>
      <c r="D267" s="39" t="str">
        <f>'Por Valoracion (3) Dimension'!B267</f>
        <v>0</v>
      </c>
      <c r="E267" s="39" t="str">
        <f>'Por Valoracion (3) Dimension 2'!J267</f>
        <v>0</v>
      </c>
      <c r="Z267" s="48"/>
      <c r="AB267" t="str">
        <f>('Inteligencia emocional'!A268)</f>
        <v>0</v>
      </c>
      <c r="AC267" s="39" t="str">
        <f>'Por Valoracion (3) Dimension'!D267</f>
        <v>0</v>
      </c>
      <c r="AD267" s="39" t="str">
        <f>'Por Valoracion (3) Dimension 2'!J267</f>
        <v>0</v>
      </c>
      <c r="AY267" s="48"/>
      <c r="BA267" t="str">
        <f>('Inteligencia emocional'!A268)</f>
        <v>0</v>
      </c>
      <c r="BB267" s="39" t="str">
        <f>'Por Valoracion (3) Dimension'!F267</f>
        <v>0</v>
      </c>
      <c r="BC267" s="39" t="str">
        <f>'Por Valoracion (3) Dimension 2'!J267</f>
        <v>0</v>
      </c>
      <c r="BX267" s="48"/>
      <c r="BZ267" s="49"/>
      <c r="CB267" t="str">
        <f>('Inteligencia emocional'!A268)</f>
        <v>0</v>
      </c>
      <c r="CC267" s="39" t="str">
        <f>'Por Valoracion (3) Dimension 2'!B267</f>
        <v>0</v>
      </c>
      <c r="CD267" s="39" t="str">
        <f>'Por Valoracion (3) Dimension'!H267</f>
        <v>0</v>
      </c>
      <c r="CY267" s="49"/>
      <c r="DA267" t="str">
        <f>('Inteligencia emocional'!A268)</f>
        <v>0</v>
      </c>
      <c r="DB267" s="39" t="str">
        <f>'Por Valoracion (3) Dimension 2'!D267</f>
        <v>0</v>
      </c>
      <c r="DC267" s="39" t="str">
        <f>'Por Valoracion (3) Dimension'!H267</f>
        <v>0</v>
      </c>
      <c r="DX267" s="49"/>
      <c r="DZ267" t="str">
        <f>('Inteligencia emocional'!A268)</f>
        <v>0</v>
      </c>
      <c r="EA267" s="39" t="str">
        <f>'Por Valoracion (3) Dimension 2'!F267</f>
        <v>0</v>
      </c>
      <c r="EB267" s="39" t="str">
        <f>'Por Valoracion (3) Dimension'!H267</f>
        <v>0</v>
      </c>
      <c r="EW267" s="49"/>
      <c r="EY267" t="str">
        <f>('Inteligencia emocional'!A268)</f>
        <v>0</v>
      </c>
      <c r="EZ267" s="39" t="str">
        <f>'Por Valoracion (3) Dimension 2'!H267</f>
        <v>0</v>
      </c>
      <c r="FA267" s="39" t="str">
        <f>'Por Valoracion (3) Dimension'!H267</f>
        <v>0</v>
      </c>
      <c r="FV267" s="49"/>
    </row>
    <row r="268" spans="1:178">
      <c r="A268" s="48"/>
      <c r="C268" t="str">
        <f>('Inteligencia emocional'!A269)</f>
        <v>0</v>
      </c>
      <c r="D268" s="39" t="str">
        <f>'Por Valoracion (3) Dimension'!B268</f>
        <v>0</v>
      </c>
      <c r="E268" s="39" t="str">
        <f>'Por Valoracion (3) Dimension 2'!J268</f>
        <v>0</v>
      </c>
      <c r="Z268" s="48"/>
      <c r="AB268" t="str">
        <f>('Inteligencia emocional'!A269)</f>
        <v>0</v>
      </c>
      <c r="AC268" s="39" t="str">
        <f>'Por Valoracion (3) Dimension'!D268</f>
        <v>0</v>
      </c>
      <c r="AD268" s="39" t="str">
        <f>'Por Valoracion (3) Dimension 2'!J268</f>
        <v>0</v>
      </c>
      <c r="AY268" s="48"/>
      <c r="BA268" t="str">
        <f>('Inteligencia emocional'!A269)</f>
        <v>0</v>
      </c>
      <c r="BB268" s="39" t="str">
        <f>'Por Valoracion (3) Dimension'!F268</f>
        <v>0</v>
      </c>
      <c r="BC268" s="39" t="str">
        <f>'Por Valoracion (3) Dimension 2'!J268</f>
        <v>0</v>
      </c>
      <c r="BX268" s="48"/>
      <c r="BZ268" s="49"/>
      <c r="CB268" t="str">
        <f>('Inteligencia emocional'!A269)</f>
        <v>0</v>
      </c>
      <c r="CC268" s="39" t="str">
        <f>'Por Valoracion (3) Dimension 2'!B268</f>
        <v>0</v>
      </c>
      <c r="CD268" s="39" t="str">
        <f>'Por Valoracion (3) Dimension'!H268</f>
        <v>0</v>
      </c>
      <c r="CY268" s="49"/>
      <c r="DA268" t="str">
        <f>('Inteligencia emocional'!A269)</f>
        <v>0</v>
      </c>
      <c r="DB268" s="39" t="str">
        <f>'Por Valoracion (3) Dimension 2'!D268</f>
        <v>0</v>
      </c>
      <c r="DC268" s="39" t="str">
        <f>'Por Valoracion (3) Dimension'!H268</f>
        <v>0</v>
      </c>
      <c r="DX268" s="49"/>
      <c r="DZ268" t="str">
        <f>('Inteligencia emocional'!A269)</f>
        <v>0</v>
      </c>
      <c r="EA268" s="39" t="str">
        <f>'Por Valoracion (3) Dimension 2'!F268</f>
        <v>0</v>
      </c>
      <c r="EB268" s="39" t="str">
        <f>'Por Valoracion (3) Dimension'!H268</f>
        <v>0</v>
      </c>
      <c r="EW268" s="49"/>
      <c r="EY268" t="str">
        <f>('Inteligencia emocional'!A269)</f>
        <v>0</v>
      </c>
      <c r="EZ268" s="39" t="str">
        <f>'Por Valoracion (3) Dimension 2'!H268</f>
        <v>0</v>
      </c>
      <c r="FA268" s="39" t="str">
        <f>'Por Valoracion (3) Dimension'!H268</f>
        <v>0</v>
      </c>
      <c r="FV268" s="49"/>
    </row>
    <row r="269" spans="1:178">
      <c r="A269" s="48"/>
      <c r="C269" t="str">
        <f>('Inteligencia emocional'!A270)</f>
        <v>0</v>
      </c>
      <c r="D269" s="39" t="str">
        <f>'Por Valoracion (3) Dimension'!B269</f>
        <v>0</v>
      </c>
      <c r="E269" s="39" t="str">
        <f>'Por Valoracion (3) Dimension 2'!J269</f>
        <v>0</v>
      </c>
      <c r="Z269" s="48"/>
      <c r="AB269" t="str">
        <f>('Inteligencia emocional'!A270)</f>
        <v>0</v>
      </c>
      <c r="AC269" s="39" t="str">
        <f>'Por Valoracion (3) Dimension'!D269</f>
        <v>0</v>
      </c>
      <c r="AD269" s="39" t="str">
        <f>'Por Valoracion (3) Dimension 2'!J269</f>
        <v>0</v>
      </c>
      <c r="AY269" s="48"/>
      <c r="BA269" t="str">
        <f>('Inteligencia emocional'!A270)</f>
        <v>0</v>
      </c>
      <c r="BB269" s="39" t="str">
        <f>'Por Valoracion (3) Dimension'!F269</f>
        <v>0</v>
      </c>
      <c r="BC269" s="39" t="str">
        <f>'Por Valoracion (3) Dimension 2'!J269</f>
        <v>0</v>
      </c>
      <c r="BX269" s="48"/>
      <c r="BZ269" s="49"/>
      <c r="CB269" t="str">
        <f>('Inteligencia emocional'!A270)</f>
        <v>0</v>
      </c>
      <c r="CC269" s="39" t="str">
        <f>'Por Valoracion (3) Dimension 2'!B269</f>
        <v>0</v>
      </c>
      <c r="CD269" s="39" t="str">
        <f>'Por Valoracion (3) Dimension'!H269</f>
        <v>0</v>
      </c>
      <c r="CY269" s="49"/>
      <c r="DA269" t="str">
        <f>('Inteligencia emocional'!A270)</f>
        <v>0</v>
      </c>
      <c r="DB269" s="39" t="str">
        <f>'Por Valoracion (3) Dimension 2'!D269</f>
        <v>0</v>
      </c>
      <c r="DC269" s="39" t="str">
        <f>'Por Valoracion (3) Dimension'!H269</f>
        <v>0</v>
      </c>
      <c r="DX269" s="49"/>
      <c r="DZ269" t="str">
        <f>('Inteligencia emocional'!A270)</f>
        <v>0</v>
      </c>
      <c r="EA269" s="39" t="str">
        <f>'Por Valoracion (3) Dimension 2'!F269</f>
        <v>0</v>
      </c>
      <c r="EB269" s="39" t="str">
        <f>'Por Valoracion (3) Dimension'!H269</f>
        <v>0</v>
      </c>
      <c r="EW269" s="49"/>
      <c r="EY269" t="str">
        <f>('Inteligencia emocional'!A270)</f>
        <v>0</v>
      </c>
      <c r="EZ269" s="39" t="str">
        <f>'Por Valoracion (3) Dimension 2'!H269</f>
        <v>0</v>
      </c>
      <c r="FA269" s="39" t="str">
        <f>'Por Valoracion (3) Dimension'!H269</f>
        <v>0</v>
      </c>
      <c r="FV269" s="49"/>
    </row>
    <row r="270" spans="1:178">
      <c r="A270" s="48"/>
      <c r="C270" t="str">
        <f>('Inteligencia emocional'!A271)</f>
        <v>0</v>
      </c>
      <c r="D270" s="39" t="str">
        <f>'Por Valoracion (3) Dimension'!B270</f>
        <v>0</v>
      </c>
      <c r="E270" s="39" t="str">
        <f>'Por Valoracion (3) Dimension 2'!J270</f>
        <v>0</v>
      </c>
      <c r="Z270" s="48"/>
      <c r="AB270" t="str">
        <f>('Inteligencia emocional'!A271)</f>
        <v>0</v>
      </c>
      <c r="AC270" s="39" t="str">
        <f>'Por Valoracion (3) Dimension'!D270</f>
        <v>0</v>
      </c>
      <c r="AD270" s="39" t="str">
        <f>'Por Valoracion (3) Dimension 2'!J270</f>
        <v>0</v>
      </c>
      <c r="AY270" s="48"/>
      <c r="BA270" t="str">
        <f>('Inteligencia emocional'!A271)</f>
        <v>0</v>
      </c>
      <c r="BB270" s="39" t="str">
        <f>'Por Valoracion (3) Dimension'!F270</f>
        <v>0</v>
      </c>
      <c r="BC270" s="39" t="str">
        <f>'Por Valoracion (3) Dimension 2'!J270</f>
        <v>0</v>
      </c>
      <c r="BX270" s="48"/>
      <c r="BZ270" s="49"/>
      <c r="CB270" t="str">
        <f>('Inteligencia emocional'!A271)</f>
        <v>0</v>
      </c>
      <c r="CC270" s="39" t="str">
        <f>'Por Valoracion (3) Dimension 2'!B270</f>
        <v>0</v>
      </c>
      <c r="CD270" s="39" t="str">
        <f>'Por Valoracion (3) Dimension'!H270</f>
        <v>0</v>
      </c>
      <c r="CY270" s="49"/>
      <c r="DA270" t="str">
        <f>('Inteligencia emocional'!A271)</f>
        <v>0</v>
      </c>
      <c r="DB270" s="39" t="str">
        <f>'Por Valoracion (3) Dimension 2'!D270</f>
        <v>0</v>
      </c>
      <c r="DC270" s="39" t="str">
        <f>'Por Valoracion (3) Dimension'!H270</f>
        <v>0</v>
      </c>
      <c r="DX270" s="49"/>
      <c r="DZ270" t="str">
        <f>('Inteligencia emocional'!A271)</f>
        <v>0</v>
      </c>
      <c r="EA270" s="39" t="str">
        <f>'Por Valoracion (3) Dimension 2'!F270</f>
        <v>0</v>
      </c>
      <c r="EB270" s="39" t="str">
        <f>'Por Valoracion (3) Dimension'!H270</f>
        <v>0</v>
      </c>
      <c r="EW270" s="49"/>
      <c r="EY270" t="str">
        <f>('Inteligencia emocional'!A271)</f>
        <v>0</v>
      </c>
      <c r="EZ270" s="39" t="str">
        <f>'Por Valoracion (3) Dimension 2'!H270</f>
        <v>0</v>
      </c>
      <c r="FA270" s="39" t="str">
        <f>'Por Valoracion (3) Dimension'!H270</f>
        <v>0</v>
      </c>
      <c r="FV270" s="49"/>
    </row>
    <row r="271" spans="1:178">
      <c r="A271" s="48"/>
      <c r="C271" t="str">
        <f>('Inteligencia emocional'!A272)</f>
        <v>0</v>
      </c>
      <c r="D271" s="39" t="str">
        <f>'Por Valoracion (3) Dimension'!B271</f>
        <v>0</v>
      </c>
      <c r="E271" s="39" t="str">
        <f>'Por Valoracion (3) Dimension 2'!J271</f>
        <v>0</v>
      </c>
      <c r="Z271" s="48"/>
      <c r="AB271" t="str">
        <f>('Inteligencia emocional'!A272)</f>
        <v>0</v>
      </c>
      <c r="AC271" s="39" t="str">
        <f>'Por Valoracion (3) Dimension'!D271</f>
        <v>0</v>
      </c>
      <c r="AD271" s="39" t="str">
        <f>'Por Valoracion (3) Dimension 2'!J271</f>
        <v>0</v>
      </c>
      <c r="AY271" s="48"/>
      <c r="BA271" t="str">
        <f>('Inteligencia emocional'!A272)</f>
        <v>0</v>
      </c>
      <c r="BB271" s="39" t="str">
        <f>'Por Valoracion (3) Dimension'!F271</f>
        <v>0</v>
      </c>
      <c r="BC271" s="39" t="str">
        <f>'Por Valoracion (3) Dimension 2'!J271</f>
        <v>0</v>
      </c>
      <c r="BX271" s="48"/>
      <c r="BZ271" s="49"/>
      <c r="CB271" t="str">
        <f>('Inteligencia emocional'!A272)</f>
        <v>0</v>
      </c>
      <c r="CC271" s="39" t="str">
        <f>'Por Valoracion (3) Dimension 2'!B271</f>
        <v>0</v>
      </c>
      <c r="CD271" s="39" t="str">
        <f>'Por Valoracion (3) Dimension'!H271</f>
        <v>0</v>
      </c>
      <c r="CY271" s="49"/>
      <c r="DA271" t="str">
        <f>('Inteligencia emocional'!A272)</f>
        <v>0</v>
      </c>
      <c r="DB271" s="39" t="str">
        <f>'Por Valoracion (3) Dimension 2'!D271</f>
        <v>0</v>
      </c>
      <c r="DC271" s="39" t="str">
        <f>'Por Valoracion (3) Dimension'!H271</f>
        <v>0</v>
      </c>
      <c r="DX271" s="49"/>
      <c r="DZ271" t="str">
        <f>('Inteligencia emocional'!A272)</f>
        <v>0</v>
      </c>
      <c r="EA271" s="39" t="str">
        <f>'Por Valoracion (3) Dimension 2'!F271</f>
        <v>0</v>
      </c>
      <c r="EB271" s="39" t="str">
        <f>'Por Valoracion (3) Dimension'!H271</f>
        <v>0</v>
      </c>
      <c r="EW271" s="49"/>
      <c r="EY271" t="str">
        <f>('Inteligencia emocional'!A272)</f>
        <v>0</v>
      </c>
      <c r="EZ271" s="39" t="str">
        <f>'Por Valoracion (3) Dimension 2'!H271</f>
        <v>0</v>
      </c>
      <c r="FA271" s="39" t="str">
        <f>'Por Valoracion (3) Dimension'!H271</f>
        <v>0</v>
      </c>
      <c r="FV271" s="49"/>
    </row>
    <row r="272" spans="1:178">
      <c r="A272" s="48"/>
      <c r="C272" t="str">
        <f>('Inteligencia emocional'!A273)</f>
        <v>0</v>
      </c>
      <c r="D272" s="39" t="str">
        <f>'Por Valoracion (3) Dimension'!B272</f>
        <v>0</v>
      </c>
      <c r="E272" s="39" t="str">
        <f>'Por Valoracion (3) Dimension 2'!J272</f>
        <v>0</v>
      </c>
      <c r="Z272" s="48"/>
      <c r="AB272" t="str">
        <f>('Inteligencia emocional'!A273)</f>
        <v>0</v>
      </c>
      <c r="AC272" s="39" t="str">
        <f>'Por Valoracion (3) Dimension'!D272</f>
        <v>0</v>
      </c>
      <c r="AD272" s="39" t="str">
        <f>'Por Valoracion (3) Dimension 2'!J272</f>
        <v>0</v>
      </c>
      <c r="AY272" s="48"/>
      <c r="BA272" t="str">
        <f>('Inteligencia emocional'!A273)</f>
        <v>0</v>
      </c>
      <c r="BB272" s="39" t="str">
        <f>'Por Valoracion (3) Dimension'!F272</f>
        <v>0</v>
      </c>
      <c r="BC272" s="39" t="str">
        <f>'Por Valoracion (3) Dimension 2'!J272</f>
        <v>0</v>
      </c>
      <c r="BX272" s="48"/>
      <c r="BZ272" s="49"/>
      <c r="CB272" t="str">
        <f>('Inteligencia emocional'!A273)</f>
        <v>0</v>
      </c>
      <c r="CC272" s="39" t="str">
        <f>'Por Valoracion (3) Dimension 2'!B272</f>
        <v>0</v>
      </c>
      <c r="CD272" s="39" t="str">
        <f>'Por Valoracion (3) Dimension'!H272</f>
        <v>0</v>
      </c>
      <c r="CY272" s="49"/>
      <c r="DA272" t="str">
        <f>('Inteligencia emocional'!A273)</f>
        <v>0</v>
      </c>
      <c r="DB272" s="39" t="str">
        <f>'Por Valoracion (3) Dimension 2'!D272</f>
        <v>0</v>
      </c>
      <c r="DC272" s="39" t="str">
        <f>'Por Valoracion (3) Dimension'!H272</f>
        <v>0</v>
      </c>
      <c r="DX272" s="49"/>
      <c r="DZ272" t="str">
        <f>('Inteligencia emocional'!A273)</f>
        <v>0</v>
      </c>
      <c r="EA272" s="39" t="str">
        <f>'Por Valoracion (3) Dimension 2'!F272</f>
        <v>0</v>
      </c>
      <c r="EB272" s="39" t="str">
        <f>'Por Valoracion (3) Dimension'!H272</f>
        <v>0</v>
      </c>
      <c r="EW272" s="49"/>
      <c r="EY272" t="str">
        <f>('Inteligencia emocional'!A273)</f>
        <v>0</v>
      </c>
      <c r="EZ272" s="39" t="str">
        <f>'Por Valoracion (3) Dimension 2'!H272</f>
        <v>0</v>
      </c>
      <c r="FA272" s="39" t="str">
        <f>'Por Valoracion (3) Dimension'!H272</f>
        <v>0</v>
      </c>
      <c r="FV272" s="49"/>
    </row>
    <row r="273" spans="1:178">
      <c r="A273" s="48"/>
      <c r="C273" t="str">
        <f>('Inteligencia emocional'!A274)</f>
        <v>0</v>
      </c>
      <c r="D273" s="39" t="str">
        <f>'Por Valoracion (3) Dimension'!B273</f>
        <v>0</v>
      </c>
      <c r="E273" s="39" t="str">
        <f>'Por Valoracion (3) Dimension 2'!J273</f>
        <v>0</v>
      </c>
      <c r="Z273" s="48"/>
      <c r="AB273" t="str">
        <f>('Inteligencia emocional'!A274)</f>
        <v>0</v>
      </c>
      <c r="AC273" s="39" t="str">
        <f>'Por Valoracion (3) Dimension'!D273</f>
        <v>0</v>
      </c>
      <c r="AD273" s="39" t="str">
        <f>'Por Valoracion (3) Dimension 2'!J273</f>
        <v>0</v>
      </c>
      <c r="AY273" s="48"/>
      <c r="BA273" t="str">
        <f>('Inteligencia emocional'!A274)</f>
        <v>0</v>
      </c>
      <c r="BB273" s="39" t="str">
        <f>'Por Valoracion (3) Dimension'!F273</f>
        <v>0</v>
      </c>
      <c r="BC273" s="39" t="str">
        <f>'Por Valoracion (3) Dimension 2'!J273</f>
        <v>0</v>
      </c>
      <c r="BX273" s="48"/>
      <c r="BZ273" s="49"/>
      <c r="CB273" t="str">
        <f>('Inteligencia emocional'!A274)</f>
        <v>0</v>
      </c>
      <c r="CC273" s="39" t="str">
        <f>'Por Valoracion (3) Dimension 2'!B273</f>
        <v>0</v>
      </c>
      <c r="CD273" s="39" t="str">
        <f>'Por Valoracion (3) Dimension'!H273</f>
        <v>0</v>
      </c>
      <c r="CY273" s="49"/>
      <c r="DA273" t="str">
        <f>('Inteligencia emocional'!A274)</f>
        <v>0</v>
      </c>
      <c r="DB273" s="39" t="str">
        <f>'Por Valoracion (3) Dimension 2'!D273</f>
        <v>0</v>
      </c>
      <c r="DC273" s="39" t="str">
        <f>'Por Valoracion (3) Dimension'!H273</f>
        <v>0</v>
      </c>
      <c r="DX273" s="49"/>
      <c r="DZ273" t="str">
        <f>('Inteligencia emocional'!A274)</f>
        <v>0</v>
      </c>
      <c r="EA273" s="39" t="str">
        <f>'Por Valoracion (3) Dimension 2'!F273</f>
        <v>0</v>
      </c>
      <c r="EB273" s="39" t="str">
        <f>'Por Valoracion (3) Dimension'!H273</f>
        <v>0</v>
      </c>
      <c r="EW273" s="49"/>
      <c r="EY273" t="str">
        <f>('Inteligencia emocional'!A274)</f>
        <v>0</v>
      </c>
      <c r="EZ273" s="39" t="str">
        <f>'Por Valoracion (3) Dimension 2'!H273</f>
        <v>0</v>
      </c>
      <c r="FA273" s="39" t="str">
        <f>'Por Valoracion (3) Dimension'!H273</f>
        <v>0</v>
      </c>
      <c r="FV273" s="49"/>
    </row>
    <row r="274" spans="1:178">
      <c r="A274" s="48"/>
      <c r="C274" t="str">
        <f>('Inteligencia emocional'!A275)</f>
        <v>0</v>
      </c>
      <c r="D274" s="39" t="str">
        <f>'Por Valoracion (3) Dimension'!B274</f>
        <v>0</v>
      </c>
      <c r="E274" s="39" t="str">
        <f>'Por Valoracion (3) Dimension 2'!J274</f>
        <v>0</v>
      </c>
      <c r="Z274" s="48"/>
      <c r="AB274" t="str">
        <f>('Inteligencia emocional'!A275)</f>
        <v>0</v>
      </c>
      <c r="AC274" s="39" t="str">
        <f>'Por Valoracion (3) Dimension'!D274</f>
        <v>0</v>
      </c>
      <c r="AD274" s="39" t="str">
        <f>'Por Valoracion (3) Dimension 2'!J274</f>
        <v>0</v>
      </c>
      <c r="AY274" s="48"/>
      <c r="BA274" t="str">
        <f>('Inteligencia emocional'!A275)</f>
        <v>0</v>
      </c>
      <c r="BB274" s="39" t="str">
        <f>'Por Valoracion (3) Dimension'!F274</f>
        <v>0</v>
      </c>
      <c r="BC274" s="39" t="str">
        <f>'Por Valoracion (3) Dimension 2'!J274</f>
        <v>0</v>
      </c>
      <c r="BX274" s="48"/>
      <c r="BZ274" s="49"/>
      <c r="CB274" t="str">
        <f>('Inteligencia emocional'!A275)</f>
        <v>0</v>
      </c>
      <c r="CC274" s="39" t="str">
        <f>'Por Valoracion (3) Dimension 2'!B274</f>
        <v>0</v>
      </c>
      <c r="CD274" s="39" t="str">
        <f>'Por Valoracion (3) Dimension'!H274</f>
        <v>0</v>
      </c>
      <c r="CY274" s="49"/>
      <c r="DA274" t="str">
        <f>('Inteligencia emocional'!A275)</f>
        <v>0</v>
      </c>
      <c r="DB274" s="39" t="str">
        <f>'Por Valoracion (3) Dimension 2'!D274</f>
        <v>0</v>
      </c>
      <c r="DC274" s="39" t="str">
        <f>'Por Valoracion (3) Dimension'!H274</f>
        <v>0</v>
      </c>
      <c r="DX274" s="49"/>
      <c r="DZ274" t="str">
        <f>('Inteligencia emocional'!A275)</f>
        <v>0</v>
      </c>
      <c r="EA274" s="39" t="str">
        <f>'Por Valoracion (3) Dimension 2'!F274</f>
        <v>0</v>
      </c>
      <c r="EB274" s="39" t="str">
        <f>'Por Valoracion (3) Dimension'!H274</f>
        <v>0</v>
      </c>
      <c r="EW274" s="49"/>
      <c r="EY274" t="str">
        <f>('Inteligencia emocional'!A275)</f>
        <v>0</v>
      </c>
      <c r="EZ274" s="39" t="str">
        <f>'Por Valoracion (3) Dimension 2'!H274</f>
        <v>0</v>
      </c>
      <c r="FA274" s="39" t="str">
        <f>'Por Valoracion (3) Dimension'!H274</f>
        <v>0</v>
      </c>
      <c r="FV274" s="49"/>
    </row>
    <row r="275" spans="1:178">
      <c r="A275" s="48"/>
      <c r="C275" t="str">
        <f>('Inteligencia emocional'!A276)</f>
        <v>0</v>
      </c>
      <c r="D275" s="39" t="str">
        <f>'Por Valoracion (3) Dimension'!B275</f>
        <v>0</v>
      </c>
      <c r="E275" s="39" t="str">
        <f>'Por Valoracion (3) Dimension 2'!J275</f>
        <v>0</v>
      </c>
      <c r="Z275" s="48"/>
      <c r="AB275" t="str">
        <f>('Inteligencia emocional'!A276)</f>
        <v>0</v>
      </c>
      <c r="AC275" s="39" t="str">
        <f>'Por Valoracion (3) Dimension'!D275</f>
        <v>0</v>
      </c>
      <c r="AD275" s="39" t="str">
        <f>'Por Valoracion (3) Dimension 2'!J275</f>
        <v>0</v>
      </c>
      <c r="AY275" s="48"/>
      <c r="BA275" t="str">
        <f>('Inteligencia emocional'!A276)</f>
        <v>0</v>
      </c>
      <c r="BB275" s="39" t="str">
        <f>'Por Valoracion (3) Dimension'!F275</f>
        <v>0</v>
      </c>
      <c r="BC275" s="39" t="str">
        <f>'Por Valoracion (3) Dimension 2'!J275</f>
        <v>0</v>
      </c>
      <c r="BX275" s="48"/>
      <c r="BZ275" s="49"/>
      <c r="CB275" t="str">
        <f>('Inteligencia emocional'!A276)</f>
        <v>0</v>
      </c>
      <c r="CC275" s="39" t="str">
        <f>'Por Valoracion (3) Dimension 2'!B275</f>
        <v>0</v>
      </c>
      <c r="CD275" s="39" t="str">
        <f>'Por Valoracion (3) Dimension'!H275</f>
        <v>0</v>
      </c>
      <c r="CY275" s="49"/>
      <c r="DA275" t="str">
        <f>('Inteligencia emocional'!A276)</f>
        <v>0</v>
      </c>
      <c r="DB275" s="39" t="str">
        <f>'Por Valoracion (3) Dimension 2'!D275</f>
        <v>0</v>
      </c>
      <c r="DC275" s="39" t="str">
        <f>'Por Valoracion (3) Dimension'!H275</f>
        <v>0</v>
      </c>
      <c r="DX275" s="49"/>
      <c r="DZ275" t="str">
        <f>('Inteligencia emocional'!A276)</f>
        <v>0</v>
      </c>
      <c r="EA275" s="39" t="str">
        <f>'Por Valoracion (3) Dimension 2'!F275</f>
        <v>0</v>
      </c>
      <c r="EB275" s="39" t="str">
        <f>'Por Valoracion (3) Dimension'!H275</f>
        <v>0</v>
      </c>
      <c r="EW275" s="49"/>
      <c r="EY275" t="str">
        <f>('Inteligencia emocional'!A276)</f>
        <v>0</v>
      </c>
      <c r="EZ275" s="39" t="str">
        <f>'Por Valoracion (3) Dimension 2'!H275</f>
        <v>0</v>
      </c>
      <c r="FA275" s="39" t="str">
        <f>'Por Valoracion (3) Dimension'!H275</f>
        <v>0</v>
      </c>
      <c r="FV275" s="49"/>
    </row>
    <row r="276" spans="1:178">
      <c r="A276" s="48"/>
      <c r="C276" t="str">
        <f>('Inteligencia emocional'!A277)</f>
        <v>0</v>
      </c>
      <c r="D276" s="39" t="str">
        <f>'Por Valoracion (3) Dimension'!B276</f>
        <v>0</v>
      </c>
      <c r="E276" s="39" t="str">
        <f>'Por Valoracion (3) Dimension 2'!J276</f>
        <v>0</v>
      </c>
      <c r="Z276" s="48"/>
      <c r="AB276" t="str">
        <f>('Inteligencia emocional'!A277)</f>
        <v>0</v>
      </c>
      <c r="AC276" s="39" t="str">
        <f>'Por Valoracion (3) Dimension'!D276</f>
        <v>0</v>
      </c>
      <c r="AD276" s="39" t="str">
        <f>'Por Valoracion (3) Dimension 2'!J276</f>
        <v>0</v>
      </c>
      <c r="AY276" s="48"/>
      <c r="BA276" t="str">
        <f>('Inteligencia emocional'!A277)</f>
        <v>0</v>
      </c>
      <c r="BB276" s="39" t="str">
        <f>'Por Valoracion (3) Dimension'!F276</f>
        <v>0</v>
      </c>
      <c r="BC276" s="39" t="str">
        <f>'Por Valoracion (3) Dimension 2'!J276</f>
        <v>0</v>
      </c>
      <c r="BX276" s="48"/>
      <c r="BZ276" s="49"/>
      <c r="CB276" t="str">
        <f>('Inteligencia emocional'!A277)</f>
        <v>0</v>
      </c>
      <c r="CC276" s="39" t="str">
        <f>'Por Valoracion (3) Dimension 2'!B276</f>
        <v>0</v>
      </c>
      <c r="CD276" s="39" t="str">
        <f>'Por Valoracion (3) Dimension'!H276</f>
        <v>0</v>
      </c>
      <c r="CY276" s="49"/>
      <c r="DA276" t="str">
        <f>('Inteligencia emocional'!A277)</f>
        <v>0</v>
      </c>
      <c r="DB276" s="39" t="str">
        <f>'Por Valoracion (3) Dimension 2'!D276</f>
        <v>0</v>
      </c>
      <c r="DC276" s="39" t="str">
        <f>'Por Valoracion (3) Dimension'!H276</f>
        <v>0</v>
      </c>
      <c r="DX276" s="49"/>
      <c r="DZ276" t="str">
        <f>('Inteligencia emocional'!A277)</f>
        <v>0</v>
      </c>
      <c r="EA276" s="39" t="str">
        <f>'Por Valoracion (3) Dimension 2'!F276</f>
        <v>0</v>
      </c>
      <c r="EB276" s="39" t="str">
        <f>'Por Valoracion (3) Dimension'!H276</f>
        <v>0</v>
      </c>
      <c r="EW276" s="49"/>
      <c r="EY276" t="str">
        <f>('Inteligencia emocional'!A277)</f>
        <v>0</v>
      </c>
      <c r="EZ276" s="39" t="str">
        <f>'Por Valoracion (3) Dimension 2'!H276</f>
        <v>0</v>
      </c>
      <c r="FA276" s="39" t="str">
        <f>'Por Valoracion (3) Dimension'!H276</f>
        <v>0</v>
      </c>
      <c r="FV276" s="49"/>
    </row>
    <row r="277" spans="1:178">
      <c r="A277" s="48"/>
      <c r="C277" t="str">
        <f>('Inteligencia emocional'!A278)</f>
        <v>0</v>
      </c>
      <c r="D277" s="39" t="str">
        <f>'Por Valoracion (3) Dimension'!B277</f>
        <v>0</v>
      </c>
      <c r="E277" s="39" t="str">
        <f>'Por Valoracion (3) Dimension 2'!J277</f>
        <v>0</v>
      </c>
      <c r="Z277" s="48"/>
      <c r="AB277" t="str">
        <f>('Inteligencia emocional'!A278)</f>
        <v>0</v>
      </c>
      <c r="AC277" s="39" t="str">
        <f>'Por Valoracion (3) Dimension'!D277</f>
        <v>0</v>
      </c>
      <c r="AD277" s="39" t="str">
        <f>'Por Valoracion (3) Dimension 2'!J277</f>
        <v>0</v>
      </c>
      <c r="AY277" s="48"/>
      <c r="BA277" t="str">
        <f>('Inteligencia emocional'!A278)</f>
        <v>0</v>
      </c>
      <c r="BB277" s="39" t="str">
        <f>'Por Valoracion (3) Dimension'!F277</f>
        <v>0</v>
      </c>
      <c r="BC277" s="39" t="str">
        <f>'Por Valoracion (3) Dimension 2'!J277</f>
        <v>0</v>
      </c>
      <c r="BX277" s="48"/>
      <c r="BZ277" s="49"/>
      <c r="CB277" t="str">
        <f>('Inteligencia emocional'!A278)</f>
        <v>0</v>
      </c>
      <c r="CC277" s="39" t="str">
        <f>'Por Valoracion (3) Dimension 2'!B277</f>
        <v>0</v>
      </c>
      <c r="CD277" s="39" t="str">
        <f>'Por Valoracion (3) Dimension'!H277</f>
        <v>0</v>
      </c>
      <c r="CY277" s="49"/>
      <c r="DA277" t="str">
        <f>('Inteligencia emocional'!A278)</f>
        <v>0</v>
      </c>
      <c r="DB277" s="39" t="str">
        <f>'Por Valoracion (3) Dimension 2'!D277</f>
        <v>0</v>
      </c>
      <c r="DC277" s="39" t="str">
        <f>'Por Valoracion (3) Dimension'!H277</f>
        <v>0</v>
      </c>
      <c r="DX277" s="49"/>
      <c r="DZ277" t="str">
        <f>('Inteligencia emocional'!A278)</f>
        <v>0</v>
      </c>
      <c r="EA277" s="39" t="str">
        <f>'Por Valoracion (3) Dimension 2'!F277</f>
        <v>0</v>
      </c>
      <c r="EB277" s="39" t="str">
        <f>'Por Valoracion (3) Dimension'!H277</f>
        <v>0</v>
      </c>
      <c r="EW277" s="49"/>
      <c r="EY277" t="str">
        <f>('Inteligencia emocional'!A278)</f>
        <v>0</v>
      </c>
      <c r="EZ277" s="39" t="str">
        <f>'Por Valoracion (3) Dimension 2'!H277</f>
        <v>0</v>
      </c>
      <c r="FA277" s="39" t="str">
        <f>'Por Valoracion (3) Dimension'!H277</f>
        <v>0</v>
      </c>
      <c r="FV277" s="49"/>
    </row>
    <row r="278" spans="1:178">
      <c r="A278" s="48"/>
      <c r="C278" t="str">
        <f>('Inteligencia emocional'!A279)</f>
        <v>0</v>
      </c>
      <c r="D278" s="39" t="str">
        <f>'Por Valoracion (3) Dimension'!B278</f>
        <v>0</v>
      </c>
      <c r="E278" s="39" t="str">
        <f>'Por Valoracion (3) Dimension 2'!J278</f>
        <v>0</v>
      </c>
      <c r="Z278" s="48"/>
      <c r="AB278" t="str">
        <f>('Inteligencia emocional'!A279)</f>
        <v>0</v>
      </c>
      <c r="AC278" s="39" t="str">
        <f>'Por Valoracion (3) Dimension'!D278</f>
        <v>0</v>
      </c>
      <c r="AD278" s="39" t="str">
        <f>'Por Valoracion (3) Dimension 2'!J278</f>
        <v>0</v>
      </c>
      <c r="AY278" s="48"/>
      <c r="BA278" t="str">
        <f>('Inteligencia emocional'!A279)</f>
        <v>0</v>
      </c>
      <c r="BB278" s="39" t="str">
        <f>'Por Valoracion (3) Dimension'!F278</f>
        <v>0</v>
      </c>
      <c r="BC278" s="39" t="str">
        <f>'Por Valoracion (3) Dimension 2'!J278</f>
        <v>0</v>
      </c>
      <c r="BX278" s="48"/>
      <c r="BZ278" s="49"/>
      <c r="CB278" t="str">
        <f>('Inteligencia emocional'!A279)</f>
        <v>0</v>
      </c>
      <c r="CC278" s="39" t="str">
        <f>'Por Valoracion (3) Dimension 2'!B278</f>
        <v>0</v>
      </c>
      <c r="CD278" s="39" t="str">
        <f>'Por Valoracion (3) Dimension'!H278</f>
        <v>0</v>
      </c>
      <c r="CY278" s="49"/>
      <c r="DA278" t="str">
        <f>('Inteligencia emocional'!A279)</f>
        <v>0</v>
      </c>
      <c r="DB278" s="39" t="str">
        <f>'Por Valoracion (3) Dimension 2'!D278</f>
        <v>0</v>
      </c>
      <c r="DC278" s="39" t="str">
        <f>'Por Valoracion (3) Dimension'!H278</f>
        <v>0</v>
      </c>
      <c r="DX278" s="49"/>
      <c r="DZ278" t="str">
        <f>('Inteligencia emocional'!A279)</f>
        <v>0</v>
      </c>
      <c r="EA278" s="39" t="str">
        <f>'Por Valoracion (3) Dimension 2'!F278</f>
        <v>0</v>
      </c>
      <c r="EB278" s="39" t="str">
        <f>'Por Valoracion (3) Dimension'!H278</f>
        <v>0</v>
      </c>
      <c r="EW278" s="49"/>
      <c r="EY278" t="str">
        <f>('Inteligencia emocional'!A279)</f>
        <v>0</v>
      </c>
      <c r="EZ278" s="39" t="str">
        <f>'Por Valoracion (3) Dimension 2'!H278</f>
        <v>0</v>
      </c>
      <c r="FA278" s="39" t="str">
        <f>'Por Valoracion (3) Dimension'!H278</f>
        <v>0</v>
      </c>
      <c r="FV278" s="49"/>
    </row>
    <row r="279" spans="1:178">
      <c r="A279" s="48"/>
      <c r="C279" t="str">
        <f>('Inteligencia emocional'!A280)</f>
        <v>0</v>
      </c>
      <c r="D279" s="39" t="str">
        <f>'Por Valoracion (3) Dimension'!B279</f>
        <v>0</v>
      </c>
      <c r="E279" s="39" t="str">
        <f>'Por Valoracion (3) Dimension 2'!J279</f>
        <v>0</v>
      </c>
      <c r="Z279" s="48"/>
      <c r="AB279" t="str">
        <f>('Inteligencia emocional'!A280)</f>
        <v>0</v>
      </c>
      <c r="AC279" s="39" t="str">
        <f>'Por Valoracion (3) Dimension'!D279</f>
        <v>0</v>
      </c>
      <c r="AD279" s="39" t="str">
        <f>'Por Valoracion (3) Dimension 2'!J279</f>
        <v>0</v>
      </c>
      <c r="AY279" s="48"/>
      <c r="BA279" t="str">
        <f>('Inteligencia emocional'!A280)</f>
        <v>0</v>
      </c>
      <c r="BB279" s="39" t="str">
        <f>'Por Valoracion (3) Dimension'!F279</f>
        <v>0</v>
      </c>
      <c r="BC279" s="39" t="str">
        <f>'Por Valoracion (3) Dimension 2'!J279</f>
        <v>0</v>
      </c>
      <c r="BX279" s="48"/>
      <c r="BZ279" s="49"/>
      <c r="CB279" t="str">
        <f>('Inteligencia emocional'!A280)</f>
        <v>0</v>
      </c>
      <c r="CC279" s="39" t="str">
        <f>'Por Valoracion (3) Dimension 2'!B279</f>
        <v>0</v>
      </c>
      <c r="CD279" s="39" t="str">
        <f>'Por Valoracion (3) Dimension'!H279</f>
        <v>0</v>
      </c>
      <c r="CY279" s="49"/>
      <c r="DA279" t="str">
        <f>('Inteligencia emocional'!A280)</f>
        <v>0</v>
      </c>
      <c r="DB279" s="39" t="str">
        <f>'Por Valoracion (3) Dimension 2'!D279</f>
        <v>0</v>
      </c>
      <c r="DC279" s="39" t="str">
        <f>'Por Valoracion (3) Dimension'!H279</f>
        <v>0</v>
      </c>
      <c r="DX279" s="49"/>
      <c r="DZ279" t="str">
        <f>('Inteligencia emocional'!A280)</f>
        <v>0</v>
      </c>
      <c r="EA279" s="39" t="str">
        <f>'Por Valoracion (3) Dimension 2'!F279</f>
        <v>0</v>
      </c>
      <c r="EB279" s="39" t="str">
        <f>'Por Valoracion (3) Dimension'!H279</f>
        <v>0</v>
      </c>
      <c r="EW279" s="49"/>
      <c r="EY279" t="str">
        <f>('Inteligencia emocional'!A280)</f>
        <v>0</v>
      </c>
      <c r="EZ279" s="39" t="str">
        <f>'Por Valoracion (3) Dimension 2'!H279</f>
        <v>0</v>
      </c>
      <c r="FA279" s="39" t="str">
        <f>'Por Valoracion (3) Dimension'!H279</f>
        <v>0</v>
      </c>
      <c r="FV279" s="49"/>
    </row>
    <row r="280" spans="1:178">
      <c r="A280" s="48"/>
      <c r="C280" t="str">
        <f>('Inteligencia emocional'!A281)</f>
        <v>0</v>
      </c>
      <c r="D280" s="39" t="str">
        <f>'Por Valoracion (3) Dimension'!B280</f>
        <v>0</v>
      </c>
      <c r="E280" s="39" t="str">
        <f>'Por Valoracion (3) Dimension 2'!J280</f>
        <v>0</v>
      </c>
      <c r="Z280" s="48"/>
      <c r="AB280" t="str">
        <f>('Inteligencia emocional'!A281)</f>
        <v>0</v>
      </c>
      <c r="AC280" s="39" t="str">
        <f>'Por Valoracion (3) Dimension'!D280</f>
        <v>0</v>
      </c>
      <c r="AD280" s="39" t="str">
        <f>'Por Valoracion (3) Dimension 2'!J280</f>
        <v>0</v>
      </c>
      <c r="AY280" s="48"/>
      <c r="BA280" t="str">
        <f>('Inteligencia emocional'!A281)</f>
        <v>0</v>
      </c>
      <c r="BB280" s="39" t="str">
        <f>'Por Valoracion (3) Dimension'!F280</f>
        <v>0</v>
      </c>
      <c r="BC280" s="39" t="str">
        <f>'Por Valoracion (3) Dimension 2'!J280</f>
        <v>0</v>
      </c>
      <c r="BX280" s="48"/>
      <c r="BZ280" s="49"/>
      <c r="CB280" t="str">
        <f>('Inteligencia emocional'!A281)</f>
        <v>0</v>
      </c>
      <c r="CC280" s="39" t="str">
        <f>'Por Valoracion (3) Dimension 2'!B280</f>
        <v>0</v>
      </c>
      <c r="CD280" s="39" t="str">
        <f>'Por Valoracion (3) Dimension'!H280</f>
        <v>0</v>
      </c>
      <c r="CY280" s="49"/>
      <c r="DA280" t="str">
        <f>('Inteligencia emocional'!A281)</f>
        <v>0</v>
      </c>
      <c r="DB280" s="39" t="str">
        <f>'Por Valoracion (3) Dimension 2'!D280</f>
        <v>0</v>
      </c>
      <c r="DC280" s="39" t="str">
        <f>'Por Valoracion (3) Dimension'!H280</f>
        <v>0</v>
      </c>
      <c r="DX280" s="49"/>
      <c r="DZ280" t="str">
        <f>('Inteligencia emocional'!A281)</f>
        <v>0</v>
      </c>
      <c r="EA280" s="39" t="str">
        <f>'Por Valoracion (3) Dimension 2'!F280</f>
        <v>0</v>
      </c>
      <c r="EB280" s="39" t="str">
        <f>'Por Valoracion (3) Dimension'!H280</f>
        <v>0</v>
      </c>
      <c r="EW280" s="49"/>
      <c r="EY280" t="str">
        <f>('Inteligencia emocional'!A281)</f>
        <v>0</v>
      </c>
      <c r="EZ280" s="39" t="str">
        <f>'Por Valoracion (3) Dimension 2'!H280</f>
        <v>0</v>
      </c>
      <c r="FA280" s="39" t="str">
        <f>'Por Valoracion (3) Dimension'!H280</f>
        <v>0</v>
      </c>
      <c r="FV280" s="49"/>
    </row>
    <row r="281" spans="1:178">
      <c r="A281" s="48"/>
      <c r="C281" t="str">
        <f>('Inteligencia emocional'!A282)</f>
        <v>0</v>
      </c>
      <c r="D281" s="39" t="str">
        <f>'Por Valoracion (3) Dimension'!B281</f>
        <v>0</v>
      </c>
      <c r="E281" s="39" t="str">
        <f>'Por Valoracion (3) Dimension 2'!J281</f>
        <v>0</v>
      </c>
      <c r="Z281" s="48"/>
      <c r="AB281" t="str">
        <f>('Inteligencia emocional'!A282)</f>
        <v>0</v>
      </c>
      <c r="AC281" s="39" t="str">
        <f>'Por Valoracion (3) Dimension'!D281</f>
        <v>0</v>
      </c>
      <c r="AD281" s="39" t="str">
        <f>'Por Valoracion (3) Dimension 2'!J281</f>
        <v>0</v>
      </c>
      <c r="AY281" s="48"/>
      <c r="BA281" t="str">
        <f>('Inteligencia emocional'!A282)</f>
        <v>0</v>
      </c>
      <c r="BB281" s="39" t="str">
        <f>'Por Valoracion (3) Dimension'!F281</f>
        <v>0</v>
      </c>
      <c r="BC281" s="39" t="str">
        <f>'Por Valoracion (3) Dimension 2'!J281</f>
        <v>0</v>
      </c>
      <c r="BX281" s="48"/>
      <c r="BZ281" s="49"/>
      <c r="CB281" t="str">
        <f>('Inteligencia emocional'!A282)</f>
        <v>0</v>
      </c>
      <c r="CC281" s="39" t="str">
        <f>'Por Valoracion (3) Dimension 2'!B281</f>
        <v>0</v>
      </c>
      <c r="CD281" s="39" t="str">
        <f>'Por Valoracion (3) Dimension'!H281</f>
        <v>0</v>
      </c>
      <c r="CY281" s="49"/>
      <c r="DA281" t="str">
        <f>('Inteligencia emocional'!A282)</f>
        <v>0</v>
      </c>
      <c r="DB281" s="39" t="str">
        <f>'Por Valoracion (3) Dimension 2'!D281</f>
        <v>0</v>
      </c>
      <c r="DC281" s="39" t="str">
        <f>'Por Valoracion (3) Dimension'!H281</f>
        <v>0</v>
      </c>
      <c r="DX281" s="49"/>
      <c r="DZ281" t="str">
        <f>('Inteligencia emocional'!A282)</f>
        <v>0</v>
      </c>
      <c r="EA281" s="39" t="str">
        <f>'Por Valoracion (3) Dimension 2'!F281</f>
        <v>0</v>
      </c>
      <c r="EB281" s="39" t="str">
        <f>'Por Valoracion (3) Dimension'!H281</f>
        <v>0</v>
      </c>
      <c r="EW281" s="49"/>
      <c r="EY281" t="str">
        <f>('Inteligencia emocional'!A282)</f>
        <v>0</v>
      </c>
      <c r="EZ281" s="39" t="str">
        <f>'Por Valoracion (3) Dimension 2'!H281</f>
        <v>0</v>
      </c>
      <c r="FA281" s="39" t="str">
        <f>'Por Valoracion (3) Dimension'!H281</f>
        <v>0</v>
      </c>
      <c r="FV281" s="49"/>
    </row>
    <row r="282" spans="1:178">
      <c r="A282" s="48"/>
      <c r="C282" t="str">
        <f>('Inteligencia emocional'!A283)</f>
        <v>0</v>
      </c>
      <c r="D282" s="39" t="str">
        <f>'Por Valoracion (3) Dimension'!B282</f>
        <v>0</v>
      </c>
      <c r="E282" s="39" t="str">
        <f>'Por Valoracion (3) Dimension 2'!J282</f>
        <v>0</v>
      </c>
      <c r="Z282" s="48"/>
      <c r="AB282" t="str">
        <f>('Inteligencia emocional'!A283)</f>
        <v>0</v>
      </c>
      <c r="AC282" s="39" t="str">
        <f>'Por Valoracion (3) Dimension'!D282</f>
        <v>0</v>
      </c>
      <c r="AD282" s="39" t="str">
        <f>'Por Valoracion (3) Dimension 2'!J282</f>
        <v>0</v>
      </c>
      <c r="AY282" s="48"/>
      <c r="BA282" t="str">
        <f>('Inteligencia emocional'!A283)</f>
        <v>0</v>
      </c>
      <c r="BB282" s="39" t="str">
        <f>'Por Valoracion (3) Dimension'!F282</f>
        <v>0</v>
      </c>
      <c r="BC282" s="39" t="str">
        <f>'Por Valoracion (3) Dimension 2'!J282</f>
        <v>0</v>
      </c>
      <c r="BX282" s="48"/>
      <c r="BZ282" s="49"/>
      <c r="CB282" t="str">
        <f>('Inteligencia emocional'!A283)</f>
        <v>0</v>
      </c>
      <c r="CC282" s="39" t="str">
        <f>'Por Valoracion (3) Dimension 2'!B282</f>
        <v>0</v>
      </c>
      <c r="CD282" s="39" t="str">
        <f>'Por Valoracion (3) Dimension'!H282</f>
        <v>0</v>
      </c>
      <c r="CY282" s="49"/>
      <c r="DA282" t="str">
        <f>('Inteligencia emocional'!A283)</f>
        <v>0</v>
      </c>
      <c r="DB282" s="39" t="str">
        <f>'Por Valoracion (3) Dimension 2'!D282</f>
        <v>0</v>
      </c>
      <c r="DC282" s="39" t="str">
        <f>'Por Valoracion (3) Dimension'!H282</f>
        <v>0</v>
      </c>
      <c r="DX282" s="49"/>
      <c r="DZ282" t="str">
        <f>('Inteligencia emocional'!A283)</f>
        <v>0</v>
      </c>
      <c r="EA282" s="39" t="str">
        <f>'Por Valoracion (3) Dimension 2'!F282</f>
        <v>0</v>
      </c>
      <c r="EB282" s="39" t="str">
        <f>'Por Valoracion (3) Dimension'!H282</f>
        <v>0</v>
      </c>
      <c r="EW282" s="49"/>
      <c r="EY282" t="str">
        <f>('Inteligencia emocional'!A283)</f>
        <v>0</v>
      </c>
      <c r="EZ282" s="39" t="str">
        <f>'Por Valoracion (3) Dimension 2'!H282</f>
        <v>0</v>
      </c>
      <c r="FA282" s="39" t="str">
        <f>'Por Valoracion (3) Dimension'!H282</f>
        <v>0</v>
      </c>
      <c r="FV282" s="49"/>
    </row>
    <row r="283" spans="1:178">
      <c r="A283" s="48"/>
      <c r="C283" t="str">
        <f>('Inteligencia emocional'!A284)</f>
        <v>0</v>
      </c>
      <c r="D283" s="39" t="str">
        <f>'Por Valoracion (3) Dimension'!B283</f>
        <v>0</v>
      </c>
      <c r="E283" s="39" t="str">
        <f>'Por Valoracion (3) Dimension 2'!J283</f>
        <v>0</v>
      </c>
      <c r="Z283" s="48"/>
      <c r="AB283" t="str">
        <f>('Inteligencia emocional'!A284)</f>
        <v>0</v>
      </c>
      <c r="AC283" s="39" t="str">
        <f>'Por Valoracion (3) Dimension'!D283</f>
        <v>0</v>
      </c>
      <c r="AD283" s="39" t="str">
        <f>'Por Valoracion (3) Dimension 2'!J283</f>
        <v>0</v>
      </c>
      <c r="AY283" s="48"/>
      <c r="BA283" t="str">
        <f>('Inteligencia emocional'!A284)</f>
        <v>0</v>
      </c>
      <c r="BB283" s="39" t="str">
        <f>'Por Valoracion (3) Dimension'!F283</f>
        <v>0</v>
      </c>
      <c r="BC283" s="39" t="str">
        <f>'Por Valoracion (3) Dimension 2'!J283</f>
        <v>0</v>
      </c>
      <c r="BX283" s="48"/>
      <c r="BZ283" s="49"/>
      <c r="CB283" t="str">
        <f>('Inteligencia emocional'!A284)</f>
        <v>0</v>
      </c>
      <c r="CC283" s="39" t="str">
        <f>'Por Valoracion (3) Dimension 2'!B283</f>
        <v>0</v>
      </c>
      <c r="CD283" s="39" t="str">
        <f>'Por Valoracion (3) Dimension'!H283</f>
        <v>0</v>
      </c>
      <c r="CY283" s="49"/>
      <c r="DA283" t="str">
        <f>('Inteligencia emocional'!A284)</f>
        <v>0</v>
      </c>
      <c r="DB283" s="39" t="str">
        <f>'Por Valoracion (3) Dimension 2'!D283</f>
        <v>0</v>
      </c>
      <c r="DC283" s="39" t="str">
        <f>'Por Valoracion (3) Dimension'!H283</f>
        <v>0</v>
      </c>
      <c r="DX283" s="49"/>
      <c r="DZ283" t="str">
        <f>('Inteligencia emocional'!A284)</f>
        <v>0</v>
      </c>
      <c r="EA283" s="39" t="str">
        <f>'Por Valoracion (3) Dimension 2'!F283</f>
        <v>0</v>
      </c>
      <c r="EB283" s="39" t="str">
        <f>'Por Valoracion (3) Dimension'!H283</f>
        <v>0</v>
      </c>
      <c r="EW283" s="49"/>
      <c r="EY283" t="str">
        <f>('Inteligencia emocional'!A284)</f>
        <v>0</v>
      </c>
      <c r="EZ283" s="39" t="str">
        <f>'Por Valoracion (3) Dimension 2'!H283</f>
        <v>0</v>
      </c>
      <c r="FA283" s="39" t="str">
        <f>'Por Valoracion (3) Dimension'!H283</f>
        <v>0</v>
      </c>
      <c r="FV283" s="49"/>
    </row>
    <row r="284" spans="1:178">
      <c r="A284" s="48"/>
      <c r="C284" t="str">
        <f>('Inteligencia emocional'!A285)</f>
        <v>0</v>
      </c>
      <c r="D284" s="39" t="str">
        <f>'Por Valoracion (3) Dimension'!B284</f>
        <v>0</v>
      </c>
      <c r="E284" s="39" t="str">
        <f>'Por Valoracion (3) Dimension 2'!J284</f>
        <v>0</v>
      </c>
      <c r="Z284" s="48"/>
      <c r="AB284" t="str">
        <f>('Inteligencia emocional'!A285)</f>
        <v>0</v>
      </c>
      <c r="AC284" s="39" t="str">
        <f>'Por Valoracion (3) Dimension'!D284</f>
        <v>0</v>
      </c>
      <c r="AD284" s="39" t="str">
        <f>'Por Valoracion (3) Dimension 2'!J284</f>
        <v>0</v>
      </c>
      <c r="AY284" s="48"/>
      <c r="BA284" t="str">
        <f>('Inteligencia emocional'!A285)</f>
        <v>0</v>
      </c>
      <c r="BB284" s="39" t="str">
        <f>'Por Valoracion (3) Dimension'!F284</f>
        <v>0</v>
      </c>
      <c r="BC284" s="39" t="str">
        <f>'Por Valoracion (3) Dimension 2'!J284</f>
        <v>0</v>
      </c>
      <c r="BX284" s="48"/>
      <c r="BZ284" s="49"/>
      <c r="CB284" t="str">
        <f>('Inteligencia emocional'!A285)</f>
        <v>0</v>
      </c>
      <c r="CC284" s="39" t="str">
        <f>'Por Valoracion (3) Dimension 2'!B284</f>
        <v>0</v>
      </c>
      <c r="CD284" s="39" t="str">
        <f>'Por Valoracion (3) Dimension'!H284</f>
        <v>0</v>
      </c>
      <c r="CY284" s="49"/>
      <c r="DA284" t="str">
        <f>('Inteligencia emocional'!A285)</f>
        <v>0</v>
      </c>
      <c r="DB284" s="39" t="str">
        <f>'Por Valoracion (3) Dimension 2'!D284</f>
        <v>0</v>
      </c>
      <c r="DC284" s="39" t="str">
        <f>'Por Valoracion (3) Dimension'!H284</f>
        <v>0</v>
      </c>
      <c r="DX284" s="49"/>
      <c r="DZ284" t="str">
        <f>('Inteligencia emocional'!A285)</f>
        <v>0</v>
      </c>
      <c r="EA284" s="39" t="str">
        <f>'Por Valoracion (3) Dimension 2'!F284</f>
        <v>0</v>
      </c>
      <c r="EB284" s="39" t="str">
        <f>'Por Valoracion (3) Dimension'!H284</f>
        <v>0</v>
      </c>
      <c r="EW284" s="49"/>
      <c r="EY284" t="str">
        <f>('Inteligencia emocional'!A285)</f>
        <v>0</v>
      </c>
      <c r="EZ284" s="39" t="str">
        <f>'Por Valoracion (3) Dimension 2'!H284</f>
        <v>0</v>
      </c>
      <c r="FA284" s="39" t="str">
        <f>'Por Valoracion (3) Dimension'!H284</f>
        <v>0</v>
      </c>
      <c r="FV284" s="49"/>
    </row>
    <row r="285" spans="1:178">
      <c r="A285" s="48"/>
      <c r="C285" t="str">
        <f>('Inteligencia emocional'!A286)</f>
        <v>0</v>
      </c>
      <c r="D285" s="39" t="str">
        <f>'Por Valoracion (3) Dimension'!B285</f>
        <v>0</v>
      </c>
      <c r="E285" s="39" t="str">
        <f>'Por Valoracion (3) Dimension 2'!J285</f>
        <v>0</v>
      </c>
      <c r="Z285" s="48"/>
      <c r="AB285" t="str">
        <f>('Inteligencia emocional'!A286)</f>
        <v>0</v>
      </c>
      <c r="AC285" s="39" t="str">
        <f>'Por Valoracion (3) Dimension'!D285</f>
        <v>0</v>
      </c>
      <c r="AD285" s="39" t="str">
        <f>'Por Valoracion (3) Dimension 2'!J285</f>
        <v>0</v>
      </c>
      <c r="AY285" s="48"/>
      <c r="BA285" t="str">
        <f>('Inteligencia emocional'!A286)</f>
        <v>0</v>
      </c>
      <c r="BB285" s="39" t="str">
        <f>'Por Valoracion (3) Dimension'!F285</f>
        <v>0</v>
      </c>
      <c r="BC285" s="39" t="str">
        <f>'Por Valoracion (3) Dimension 2'!J285</f>
        <v>0</v>
      </c>
      <c r="BX285" s="48"/>
      <c r="BZ285" s="49"/>
      <c r="CB285" t="str">
        <f>('Inteligencia emocional'!A286)</f>
        <v>0</v>
      </c>
      <c r="CC285" s="39" t="str">
        <f>'Por Valoracion (3) Dimension 2'!B285</f>
        <v>0</v>
      </c>
      <c r="CD285" s="39" t="str">
        <f>'Por Valoracion (3) Dimension'!H285</f>
        <v>0</v>
      </c>
      <c r="CY285" s="49"/>
      <c r="DA285" t="str">
        <f>('Inteligencia emocional'!A286)</f>
        <v>0</v>
      </c>
      <c r="DB285" s="39" t="str">
        <f>'Por Valoracion (3) Dimension 2'!D285</f>
        <v>0</v>
      </c>
      <c r="DC285" s="39" t="str">
        <f>'Por Valoracion (3) Dimension'!H285</f>
        <v>0</v>
      </c>
      <c r="DX285" s="49"/>
      <c r="DZ285" t="str">
        <f>('Inteligencia emocional'!A286)</f>
        <v>0</v>
      </c>
      <c r="EA285" s="39" t="str">
        <f>'Por Valoracion (3) Dimension 2'!F285</f>
        <v>0</v>
      </c>
      <c r="EB285" s="39" t="str">
        <f>'Por Valoracion (3) Dimension'!H285</f>
        <v>0</v>
      </c>
      <c r="EW285" s="49"/>
      <c r="EY285" t="str">
        <f>('Inteligencia emocional'!A286)</f>
        <v>0</v>
      </c>
      <c r="EZ285" s="39" t="str">
        <f>'Por Valoracion (3) Dimension 2'!H285</f>
        <v>0</v>
      </c>
      <c r="FA285" s="39" t="str">
        <f>'Por Valoracion (3) Dimension'!H285</f>
        <v>0</v>
      </c>
      <c r="FV285" s="49"/>
    </row>
    <row r="286" spans="1:178">
      <c r="A286" s="48"/>
      <c r="C286" t="str">
        <f>('Inteligencia emocional'!A287)</f>
        <v>0</v>
      </c>
      <c r="D286" s="39" t="str">
        <f>'Por Valoracion (3) Dimension'!B286</f>
        <v>0</v>
      </c>
      <c r="E286" s="39" t="str">
        <f>'Por Valoracion (3) Dimension 2'!J286</f>
        <v>0</v>
      </c>
      <c r="Z286" s="48"/>
      <c r="AB286" t="str">
        <f>('Inteligencia emocional'!A287)</f>
        <v>0</v>
      </c>
      <c r="AC286" s="39" t="str">
        <f>'Por Valoracion (3) Dimension'!D286</f>
        <v>0</v>
      </c>
      <c r="AD286" s="39" t="str">
        <f>'Por Valoracion (3) Dimension 2'!J286</f>
        <v>0</v>
      </c>
      <c r="AY286" s="48"/>
      <c r="BA286" t="str">
        <f>('Inteligencia emocional'!A287)</f>
        <v>0</v>
      </c>
      <c r="BB286" s="39" t="str">
        <f>'Por Valoracion (3) Dimension'!F286</f>
        <v>0</v>
      </c>
      <c r="BC286" s="39" t="str">
        <f>'Por Valoracion (3) Dimension 2'!J286</f>
        <v>0</v>
      </c>
      <c r="BX286" s="48"/>
      <c r="BZ286" s="49"/>
      <c r="CB286" t="str">
        <f>('Inteligencia emocional'!A287)</f>
        <v>0</v>
      </c>
      <c r="CC286" s="39" t="str">
        <f>'Por Valoracion (3) Dimension 2'!B286</f>
        <v>0</v>
      </c>
      <c r="CD286" s="39" t="str">
        <f>'Por Valoracion (3) Dimension'!H286</f>
        <v>0</v>
      </c>
      <c r="CY286" s="49"/>
      <c r="DA286" t="str">
        <f>('Inteligencia emocional'!A287)</f>
        <v>0</v>
      </c>
      <c r="DB286" s="39" t="str">
        <f>'Por Valoracion (3) Dimension 2'!D286</f>
        <v>0</v>
      </c>
      <c r="DC286" s="39" t="str">
        <f>'Por Valoracion (3) Dimension'!H286</f>
        <v>0</v>
      </c>
      <c r="DX286" s="49"/>
      <c r="DZ286" t="str">
        <f>('Inteligencia emocional'!A287)</f>
        <v>0</v>
      </c>
      <c r="EA286" s="39" t="str">
        <f>'Por Valoracion (3) Dimension 2'!F286</f>
        <v>0</v>
      </c>
      <c r="EB286" s="39" t="str">
        <f>'Por Valoracion (3) Dimension'!H286</f>
        <v>0</v>
      </c>
      <c r="EW286" s="49"/>
      <c r="EY286" t="str">
        <f>('Inteligencia emocional'!A287)</f>
        <v>0</v>
      </c>
      <c r="EZ286" s="39" t="str">
        <f>'Por Valoracion (3) Dimension 2'!H286</f>
        <v>0</v>
      </c>
      <c r="FA286" s="39" t="str">
        <f>'Por Valoracion (3) Dimension'!H286</f>
        <v>0</v>
      </c>
      <c r="FV286" s="49"/>
    </row>
    <row r="287" spans="1:178">
      <c r="A287" s="48"/>
      <c r="C287" t="str">
        <f>('Inteligencia emocional'!A288)</f>
        <v>0</v>
      </c>
      <c r="D287" s="39" t="str">
        <f>'Por Valoracion (3) Dimension'!B287</f>
        <v>0</v>
      </c>
      <c r="E287" s="39" t="str">
        <f>'Por Valoracion (3) Dimension 2'!J287</f>
        <v>0</v>
      </c>
      <c r="Z287" s="48"/>
      <c r="AB287" t="str">
        <f>('Inteligencia emocional'!A288)</f>
        <v>0</v>
      </c>
      <c r="AC287" s="39" t="str">
        <f>'Por Valoracion (3) Dimension'!D287</f>
        <v>0</v>
      </c>
      <c r="AD287" s="39" t="str">
        <f>'Por Valoracion (3) Dimension 2'!J287</f>
        <v>0</v>
      </c>
      <c r="AY287" s="48"/>
      <c r="BA287" t="str">
        <f>('Inteligencia emocional'!A288)</f>
        <v>0</v>
      </c>
      <c r="BB287" s="39" t="str">
        <f>'Por Valoracion (3) Dimension'!F287</f>
        <v>0</v>
      </c>
      <c r="BC287" s="39" t="str">
        <f>'Por Valoracion (3) Dimension 2'!J287</f>
        <v>0</v>
      </c>
      <c r="BX287" s="48"/>
      <c r="BZ287" s="49"/>
      <c r="CB287" t="str">
        <f>('Inteligencia emocional'!A288)</f>
        <v>0</v>
      </c>
      <c r="CC287" s="39" t="str">
        <f>'Por Valoracion (3) Dimension 2'!B287</f>
        <v>0</v>
      </c>
      <c r="CD287" s="39" t="str">
        <f>'Por Valoracion (3) Dimension'!H287</f>
        <v>0</v>
      </c>
      <c r="CY287" s="49"/>
      <c r="DA287" t="str">
        <f>('Inteligencia emocional'!A288)</f>
        <v>0</v>
      </c>
      <c r="DB287" s="39" t="str">
        <f>'Por Valoracion (3) Dimension 2'!D287</f>
        <v>0</v>
      </c>
      <c r="DC287" s="39" t="str">
        <f>'Por Valoracion (3) Dimension'!H287</f>
        <v>0</v>
      </c>
      <c r="DX287" s="49"/>
      <c r="DZ287" t="str">
        <f>('Inteligencia emocional'!A288)</f>
        <v>0</v>
      </c>
      <c r="EA287" s="39" t="str">
        <f>'Por Valoracion (3) Dimension 2'!F287</f>
        <v>0</v>
      </c>
      <c r="EB287" s="39" t="str">
        <f>'Por Valoracion (3) Dimension'!H287</f>
        <v>0</v>
      </c>
      <c r="EW287" s="49"/>
      <c r="EY287" t="str">
        <f>('Inteligencia emocional'!A288)</f>
        <v>0</v>
      </c>
      <c r="EZ287" s="39" t="str">
        <f>'Por Valoracion (3) Dimension 2'!H287</f>
        <v>0</v>
      </c>
      <c r="FA287" s="39" t="str">
        <f>'Por Valoracion (3) Dimension'!H287</f>
        <v>0</v>
      </c>
      <c r="FV287" s="49"/>
    </row>
    <row r="288" spans="1:178">
      <c r="A288" s="48"/>
      <c r="C288" t="str">
        <f>('Inteligencia emocional'!A289)</f>
        <v>0</v>
      </c>
      <c r="D288" s="39" t="str">
        <f>'Por Valoracion (3) Dimension'!B288</f>
        <v>0</v>
      </c>
      <c r="E288" s="39" t="str">
        <f>'Por Valoracion (3) Dimension 2'!J288</f>
        <v>0</v>
      </c>
      <c r="Z288" s="48"/>
      <c r="AB288" t="str">
        <f>('Inteligencia emocional'!A289)</f>
        <v>0</v>
      </c>
      <c r="AC288" s="39" t="str">
        <f>'Por Valoracion (3) Dimension'!D288</f>
        <v>0</v>
      </c>
      <c r="AD288" s="39" t="str">
        <f>'Por Valoracion (3) Dimension 2'!J288</f>
        <v>0</v>
      </c>
      <c r="AY288" s="48"/>
      <c r="BA288" t="str">
        <f>('Inteligencia emocional'!A289)</f>
        <v>0</v>
      </c>
      <c r="BB288" s="39" t="str">
        <f>'Por Valoracion (3) Dimension'!F288</f>
        <v>0</v>
      </c>
      <c r="BC288" s="39" t="str">
        <f>'Por Valoracion (3) Dimension 2'!J288</f>
        <v>0</v>
      </c>
      <c r="BX288" s="48"/>
      <c r="BZ288" s="49"/>
      <c r="CB288" t="str">
        <f>('Inteligencia emocional'!A289)</f>
        <v>0</v>
      </c>
      <c r="CC288" s="39" t="str">
        <f>'Por Valoracion (3) Dimension 2'!B288</f>
        <v>0</v>
      </c>
      <c r="CD288" s="39" t="str">
        <f>'Por Valoracion (3) Dimension'!H288</f>
        <v>0</v>
      </c>
      <c r="CY288" s="49"/>
      <c r="DA288" t="str">
        <f>('Inteligencia emocional'!A289)</f>
        <v>0</v>
      </c>
      <c r="DB288" s="39" t="str">
        <f>'Por Valoracion (3) Dimension 2'!D288</f>
        <v>0</v>
      </c>
      <c r="DC288" s="39" t="str">
        <f>'Por Valoracion (3) Dimension'!H288</f>
        <v>0</v>
      </c>
      <c r="DX288" s="49"/>
      <c r="DZ288" t="str">
        <f>('Inteligencia emocional'!A289)</f>
        <v>0</v>
      </c>
      <c r="EA288" s="39" t="str">
        <f>'Por Valoracion (3) Dimension 2'!F288</f>
        <v>0</v>
      </c>
      <c r="EB288" s="39" t="str">
        <f>'Por Valoracion (3) Dimension'!H288</f>
        <v>0</v>
      </c>
      <c r="EW288" s="49"/>
      <c r="EY288" t="str">
        <f>('Inteligencia emocional'!A289)</f>
        <v>0</v>
      </c>
      <c r="EZ288" s="39" t="str">
        <f>'Por Valoracion (3) Dimension 2'!H288</f>
        <v>0</v>
      </c>
      <c r="FA288" s="39" t="str">
        <f>'Por Valoracion (3) Dimension'!H288</f>
        <v>0</v>
      </c>
      <c r="FV288" s="49"/>
    </row>
    <row r="289" spans="1:178">
      <c r="A289" s="48"/>
      <c r="C289" t="str">
        <f>('Inteligencia emocional'!A290)</f>
        <v>0</v>
      </c>
      <c r="D289" s="39" t="str">
        <f>'Por Valoracion (3) Dimension'!B289</f>
        <v>0</v>
      </c>
      <c r="E289" s="39" t="str">
        <f>'Por Valoracion (3) Dimension 2'!J289</f>
        <v>0</v>
      </c>
      <c r="Z289" s="48"/>
      <c r="AB289" t="str">
        <f>('Inteligencia emocional'!A290)</f>
        <v>0</v>
      </c>
      <c r="AC289" s="39" t="str">
        <f>'Por Valoracion (3) Dimension'!D289</f>
        <v>0</v>
      </c>
      <c r="AD289" s="39" t="str">
        <f>'Por Valoracion (3) Dimension 2'!J289</f>
        <v>0</v>
      </c>
      <c r="AY289" s="48"/>
      <c r="BA289" t="str">
        <f>('Inteligencia emocional'!A290)</f>
        <v>0</v>
      </c>
      <c r="BB289" s="39" t="str">
        <f>'Por Valoracion (3) Dimension'!F289</f>
        <v>0</v>
      </c>
      <c r="BC289" s="39" t="str">
        <f>'Por Valoracion (3) Dimension 2'!J289</f>
        <v>0</v>
      </c>
      <c r="BX289" s="48"/>
      <c r="BZ289" s="49"/>
      <c r="CB289" t="str">
        <f>('Inteligencia emocional'!A290)</f>
        <v>0</v>
      </c>
      <c r="CC289" s="39" t="str">
        <f>'Por Valoracion (3) Dimension 2'!B289</f>
        <v>0</v>
      </c>
      <c r="CD289" s="39" t="str">
        <f>'Por Valoracion (3) Dimension'!H289</f>
        <v>0</v>
      </c>
      <c r="CY289" s="49"/>
      <c r="DA289" t="str">
        <f>('Inteligencia emocional'!A290)</f>
        <v>0</v>
      </c>
      <c r="DB289" s="39" t="str">
        <f>'Por Valoracion (3) Dimension 2'!D289</f>
        <v>0</v>
      </c>
      <c r="DC289" s="39" t="str">
        <f>'Por Valoracion (3) Dimension'!H289</f>
        <v>0</v>
      </c>
      <c r="DX289" s="49"/>
      <c r="DZ289" t="str">
        <f>('Inteligencia emocional'!A290)</f>
        <v>0</v>
      </c>
      <c r="EA289" s="39" t="str">
        <f>'Por Valoracion (3) Dimension 2'!F289</f>
        <v>0</v>
      </c>
      <c r="EB289" s="39" t="str">
        <f>'Por Valoracion (3) Dimension'!H289</f>
        <v>0</v>
      </c>
      <c r="EW289" s="49"/>
      <c r="EY289" t="str">
        <f>('Inteligencia emocional'!A290)</f>
        <v>0</v>
      </c>
      <c r="EZ289" s="39" t="str">
        <f>'Por Valoracion (3) Dimension 2'!H289</f>
        <v>0</v>
      </c>
      <c r="FA289" s="39" t="str">
        <f>'Por Valoracion (3) Dimension'!H289</f>
        <v>0</v>
      </c>
      <c r="FV289" s="49"/>
    </row>
    <row r="290" spans="1:178">
      <c r="A290" s="48"/>
      <c r="C290" t="str">
        <f>('Inteligencia emocional'!A291)</f>
        <v>0</v>
      </c>
      <c r="D290" s="39" t="str">
        <f>'Por Valoracion (3) Dimension'!B290</f>
        <v>0</v>
      </c>
      <c r="E290" s="39" t="str">
        <f>'Por Valoracion (3) Dimension 2'!J290</f>
        <v>0</v>
      </c>
      <c r="Z290" s="48"/>
      <c r="AB290" t="str">
        <f>('Inteligencia emocional'!A291)</f>
        <v>0</v>
      </c>
      <c r="AC290" s="39" t="str">
        <f>'Por Valoracion (3) Dimension'!D290</f>
        <v>0</v>
      </c>
      <c r="AD290" s="39" t="str">
        <f>'Por Valoracion (3) Dimension 2'!J290</f>
        <v>0</v>
      </c>
      <c r="AY290" s="48"/>
      <c r="BA290" t="str">
        <f>('Inteligencia emocional'!A291)</f>
        <v>0</v>
      </c>
      <c r="BB290" s="39" t="str">
        <f>'Por Valoracion (3) Dimension'!F290</f>
        <v>0</v>
      </c>
      <c r="BC290" s="39" t="str">
        <f>'Por Valoracion (3) Dimension 2'!J290</f>
        <v>0</v>
      </c>
      <c r="BX290" s="48"/>
      <c r="BZ290" s="49"/>
      <c r="CB290" t="str">
        <f>('Inteligencia emocional'!A291)</f>
        <v>0</v>
      </c>
      <c r="CC290" s="39" t="str">
        <f>'Por Valoracion (3) Dimension 2'!B290</f>
        <v>0</v>
      </c>
      <c r="CD290" s="39" t="str">
        <f>'Por Valoracion (3) Dimension'!H290</f>
        <v>0</v>
      </c>
      <c r="CY290" s="49"/>
      <c r="DA290" t="str">
        <f>('Inteligencia emocional'!A291)</f>
        <v>0</v>
      </c>
      <c r="DB290" s="39" t="str">
        <f>'Por Valoracion (3) Dimension 2'!D290</f>
        <v>0</v>
      </c>
      <c r="DC290" s="39" t="str">
        <f>'Por Valoracion (3) Dimension'!H290</f>
        <v>0</v>
      </c>
      <c r="DX290" s="49"/>
      <c r="DZ290" t="str">
        <f>('Inteligencia emocional'!A291)</f>
        <v>0</v>
      </c>
      <c r="EA290" s="39" t="str">
        <f>'Por Valoracion (3) Dimension 2'!F290</f>
        <v>0</v>
      </c>
      <c r="EB290" s="39" t="str">
        <f>'Por Valoracion (3) Dimension'!H290</f>
        <v>0</v>
      </c>
      <c r="EW290" s="49"/>
      <c r="EY290" t="str">
        <f>('Inteligencia emocional'!A291)</f>
        <v>0</v>
      </c>
      <c r="EZ290" s="39" t="str">
        <f>'Por Valoracion (3) Dimension 2'!H290</f>
        <v>0</v>
      </c>
      <c r="FA290" s="39" t="str">
        <f>'Por Valoracion (3) Dimension'!H290</f>
        <v>0</v>
      </c>
      <c r="FV290" s="49"/>
    </row>
    <row r="291" spans="1:178">
      <c r="A291" s="48"/>
      <c r="C291" t="str">
        <f>('Inteligencia emocional'!A292)</f>
        <v>0</v>
      </c>
      <c r="D291" s="39" t="str">
        <f>'Por Valoracion (3) Dimension'!B291</f>
        <v>0</v>
      </c>
      <c r="E291" s="39" t="str">
        <f>'Por Valoracion (3) Dimension 2'!J291</f>
        <v>0</v>
      </c>
      <c r="Z291" s="48"/>
      <c r="AB291" t="str">
        <f>('Inteligencia emocional'!A292)</f>
        <v>0</v>
      </c>
      <c r="AC291" s="39" t="str">
        <f>'Por Valoracion (3) Dimension'!D291</f>
        <v>0</v>
      </c>
      <c r="AD291" s="39" t="str">
        <f>'Por Valoracion (3) Dimension 2'!J291</f>
        <v>0</v>
      </c>
      <c r="AY291" s="48"/>
      <c r="BA291" t="str">
        <f>('Inteligencia emocional'!A292)</f>
        <v>0</v>
      </c>
      <c r="BB291" s="39" t="str">
        <f>'Por Valoracion (3) Dimension'!F291</f>
        <v>0</v>
      </c>
      <c r="BC291" s="39" t="str">
        <f>'Por Valoracion (3) Dimension 2'!J291</f>
        <v>0</v>
      </c>
      <c r="BX291" s="48"/>
      <c r="BZ291" s="49"/>
      <c r="CB291" t="str">
        <f>('Inteligencia emocional'!A292)</f>
        <v>0</v>
      </c>
      <c r="CC291" s="39" t="str">
        <f>'Por Valoracion (3) Dimension 2'!B291</f>
        <v>0</v>
      </c>
      <c r="CD291" s="39" t="str">
        <f>'Por Valoracion (3) Dimension'!H291</f>
        <v>0</v>
      </c>
      <c r="CY291" s="49"/>
      <c r="DA291" t="str">
        <f>('Inteligencia emocional'!A292)</f>
        <v>0</v>
      </c>
      <c r="DB291" s="39" t="str">
        <f>'Por Valoracion (3) Dimension 2'!D291</f>
        <v>0</v>
      </c>
      <c r="DC291" s="39" t="str">
        <f>'Por Valoracion (3) Dimension'!H291</f>
        <v>0</v>
      </c>
      <c r="DX291" s="49"/>
      <c r="DZ291" t="str">
        <f>('Inteligencia emocional'!A292)</f>
        <v>0</v>
      </c>
      <c r="EA291" s="39" t="str">
        <f>'Por Valoracion (3) Dimension 2'!F291</f>
        <v>0</v>
      </c>
      <c r="EB291" s="39" t="str">
        <f>'Por Valoracion (3) Dimension'!H291</f>
        <v>0</v>
      </c>
      <c r="EW291" s="49"/>
      <c r="EY291" t="str">
        <f>('Inteligencia emocional'!A292)</f>
        <v>0</v>
      </c>
      <c r="EZ291" s="39" t="str">
        <f>'Por Valoracion (3) Dimension 2'!H291</f>
        <v>0</v>
      </c>
      <c r="FA291" s="39" t="str">
        <f>'Por Valoracion (3) Dimension'!H291</f>
        <v>0</v>
      </c>
      <c r="FV291" s="49"/>
    </row>
    <row r="292" spans="1:178">
      <c r="A292" s="48"/>
      <c r="C292" t="str">
        <f>('Inteligencia emocional'!A293)</f>
        <v>0</v>
      </c>
      <c r="D292" s="39" t="str">
        <f>'Por Valoracion (3) Dimension'!B292</f>
        <v>0</v>
      </c>
      <c r="E292" s="39" t="str">
        <f>'Por Valoracion (3) Dimension 2'!J292</f>
        <v>0</v>
      </c>
      <c r="Z292" s="48"/>
      <c r="AB292" t="str">
        <f>('Inteligencia emocional'!A293)</f>
        <v>0</v>
      </c>
      <c r="AC292" s="39" t="str">
        <f>'Por Valoracion (3) Dimension'!D292</f>
        <v>0</v>
      </c>
      <c r="AD292" s="39" t="str">
        <f>'Por Valoracion (3) Dimension 2'!J292</f>
        <v>0</v>
      </c>
      <c r="AY292" s="48"/>
      <c r="BA292" t="str">
        <f>('Inteligencia emocional'!A293)</f>
        <v>0</v>
      </c>
      <c r="BB292" s="39" t="str">
        <f>'Por Valoracion (3) Dimension'!F292</f>
        <v>0</v>
      </c>
      <c r="BC292" s="39" t="str">
        <f>'Por Valoracion (3) Dimension 2'!J292</f>
        <v>0</v>
      </c>
      <c r="BX292" s="48"/>
      <c r="BZ292" s="49"/>
      <c r="CB292" t="str">
        <f>('Inteligencia emocional'!A293)</f>
        <v>0</v>
      </c>
      <c r="CC292" s="39" t="str">
        <f>'Por Valoracion (3) Dimension 2'!B292</f>
        <v>0</v>
      </c>
      <c r="CD292" s="39" t="str">
        <f>'Por Valoracion (3) Dimension'!H292</f>
        <v>0</v>
      </c>
      <c r="CY292" s="49"/>
      <c r="DA292" t="str">
        <f>('Inteligencia emocional'!A293)</f>
        <v>0</v>
      </c>
      <c r="DB292" s="39" t="str">
        <f>'Por Valoracion (3) Dimension 2'!D292</f>
        <v>0</v>
      </c>
      <c r="DC292" s="39" t="str">
        <f>'Por Valoracion (3) Dimension'!H292</f>
        <v>0</v>
      </c>
      <c r="DX292" s="49"/>
      <c r="DZ292" t="str">
        <f>('Inteligencia emocional'!A293)</f>
        <v>0</v>
      </c>
      <c r="EA292" s="39" t="str">
        <f>'Por Valoracion (3) Dimension 2'!F292</f>
        <v>0</v>
      </c>
      <c r="EB292" s="39" t="str">
        <f>'Por Valoracion (3) Dimension'!H292</f>
        <v>0</v>
      </c>
      <c r="EW292" s="49"/>
      <c r="EY292" t="str">
        <f>('Inteligencia emocional'!A293)</f>
        <v>0</v>
      </c>
      <c r="EZ292" s="39" t="str">
        <f>'Por Valoracion (3) Dimension 2'!H292</f>
        <v>0</v>
      </c>
      <c r="FA292" s="39" t="str">
        <f>'Por Valoracion (3) Dimension'!H292</f>
        <v>0</v>
      </c>
      <c r="FV292" s="49"/>
    </row>
    <row r="293" spans="1:178">
      <c r="A293" s="48"/>
      <c r="C293" t="str">
        <f>('Inteligencia emocional'!A294)</f>
        <v>0</v>
      </c>
      <c r="D293" s="39" t="str">
        <f>'Por Valoracion (3) Dimension'!B293</f>
        <v>0</v>
      </c>
      <c r="E293" s="39" t="str">
        <f>'Por Valoracion (3) Dimension 2'!J293</f>
        <v>0</v>
      </c>
      <c r="Z293" s="48"/>
      <c r="AB293" t="str">
        <f>('Inteligencia emocional'!A294)</f>
        <v>0</v>
      </c>
      <c r="AC293" s="39" t="str">
        <f>'Por Valoracion (3) Dimension'!D293</f>
        <v>0</v>
      </c>
      <c r="AD293" s="39" t="str">
        <f>'Por Valoracion (3) Dimension 2'!J293</f>
        <v>0</v>
      </c>
      <c r="AY293" s="48"/>
      <c r="BA293" t="str">
        <f>('Inteligencia emocional'!A294)</f>
        <v>0</v>
      </c>
      <c r="BB293" s="39" t="str">
        <f>'Por Valoracion (3) Dimension'!F293</f>
        <v>0</v>
      </c>
      <c r="BC293" s="39" t="str">
        <f>'Por Valoracion (3) Dimension 2'!J293</f>
        <v>0</v>
      </c>
      <c r="BX293" s="48"/>
      <c r="BZ293" s="49"/>
      <c r="CB293" t="str">
        <f>('Inteligencia emocional'!A294)</f>
        <v>0</v>
      </c>
      <c r="CC293" s="39" t="str">
        <f>'Por Valoracion (3) Dimension 2'!B293</f>
        <v>0</v>
      </c>
      <c r="CD293" s="39" t="str">
        <f>'Por Valoracion (3) Dimension'!H293</f>
        <v>0</v>
      </c>
      <c r="CY293" s="49"/>
      <c r="DA293" t="str">
        <f>('Inteligencia emocional'!A294)</f>
        <v>0</v>
      </c>
      <c r="DB293" s="39" t="str">
        <f>'Por Valoracion (3) Dimension 2'!D293</f>
        <v>0</v>
      </c>
      <c r="DC293" s="39" t="str">
        <f>'Por Valoracion (3) Dimension'!H293</f>
        <v>0</v>
      </c>
      <c r="DX293" s="49"/>
      <c r="DZ293" t="str">
        <f>('Inteligencia emocional'!A294)</f>
        <v>0</v>
      </c>
      <c r="EA293" s="39" t="str">
        <f>'Por Valoracion (3) Dimension 2'!F293</f>
        <v>0</v>
      </c>
      <c r="EB293" s="39" t="str">
        <f>'Por Valoracion (3) Dimension'!H293</f>
        <v>0</v>
      </c>
      <c r="EW293" s="49"/>
      <c r="EY293" t="str">
        <f>('Inteligencia emocional'!A294)</f>
        <v>0</v>
      </c>
      <c r="EZ293" s="39" t="str">
        <f>'Por Valoracion (3) Dimension 2'!H293</f>
        <v>0</v>
      </c>
      <c r="FA293" s="39" t="str">
        <f>'Por Valoracion (3) Dimension'!H293</f>
        <v>0</v>
      </c>
      <c r="FV293" s="49"/>
    </row>
    <row r="294" spans="1:178">
      <c r="A294" s="48"/>
      <c r="C294" t="str">
        <f>('Inteligencia emocional'!A295)</f>
        <v>0</v>
      </c>
      <c r="D294" s="39" t="str">
        <f>'Por Valoracion (3) Dimension'!B294</f>
        <v>0</v>
      </c>
      <c r="E294" s="39" t="str">
        <f>'Por Valoracion (3) Dimension 2'!J294</f>
        <v>0</v>
      </c>
      <c r="Z294" s="48"/>
      <c r="AB294" t="str">
        <f>('Inteligencia emocional'!A295)</f>
        <v>0</v>
      </c>
      <c r="AC294" s="39" t="str">
        <f>'Por Valoracion (3) Dimension'!D294</f>
        <v>0</v>
      </c>
      <c r="AD294" s="39" t="str">
        <f>'Por Valoracion (3) Dimension 2'!J294</f>
        <v>0</v>
      </c>
      <c r="AY294" s="48"/>
      <c r="BA294" t="str">
        <f>('Inteligencia emocional'!A295)</f>
        <v>0</v>
      </c>
      <c r="BB294" s="39" t="str">
        <f>'Por Valoracion (3) Dimension'!F294</f>
        <v>0</v>
      </c>
      <c r="BC294" s="39" t="str">
        <f>'Por Valoracion (3) Dimension 2'!J294</f>
        <v>0</v>
      </c>
      <c r="BX294" s="48"/>
      <c r="BZ294" s="49"/>
      <c r="CB294" t="str">
        <f>('Inteligencia emocional'!A295)</f>
        <v>0</v>
      </c>
      <c r="CC294" s="39" t="str">
        <f>'Por Valoracion (3) Dimension 2'!B294</f>
        <v>0</v>
      </c>
      <c r="CD294" s="39" t="str">
        <f>'Por Valoracion (3) Dimension'!H294</f>
        <v>0</v>
      </c>
      <c r="CY294" s="49"/>
      <c r="DA294" t="str">
        <f>('Inteligencia emocional'!A295)</f>
        <v>0</v>
      </c>
      <c r="DB294" s="39" t="str">
        <f>'Por Valoracion (3) Dimension 2'!D294</f>
        <v>0</v>
      </c>
      <c r="DC294" s="39" t="str">
        <f>'Por Valoracion (3) Dimension'!H294</f>
        <v>0</v>
      </c>
      <c r="DX294" s="49"/>
      <c r="DZ294" t="str">
        <f>('Inteligencia emocional'!A295)</f>
        <v>0</v>
      </c>
      <c r="EA294" s="39" t="str">
        <f>'Por Valoracion (3) Dimension 2'!F294</f>
        <v>0</v>
      </c>
      <c r="EB294" s="39" t="str">
        <f>'Por Valoracion (3) Dimension'!H294</f>
        <v>0</v>
      </c>
      <c r="EW294" s="49"/>
      <c r="EY294" t="str">
        <f>('Inteligencia emocional'!A295)</f>
        <v>0</v>
      </c>
      <c r="EZ294" s="39" t="str">
        <f>'Por Valoracion (3) Dimension 2'!H294</f>
        <v>0</v>
      </c>
      <c r="FA294" s="39" t="str">
        <f>'Por Valoracion (3) Dimension'!H294</f>
        <v>0</v>
      </c>
      <c r="FV294" s="49"/>
    </row>
    <row r="295" spans="1:178">
      <c r="A295" s="48"/>
      <c r="C295" t="str">
        <f>('Inteligencia emocional'!A296)</f>
        <v>0</v>
      </c>
      <c r="D295" s="39" t="str">
        <f>'Por Valoracion (3) Dimension'!B295</f>
        <v>0</v>
      </c>
      <c r="E295" s="39" t="str">
        <f>'Por Valoracion (3) Dimension 2'!J295</f>
        <v>0</v>
      </c>
      <c r="Z295" s="48"/>
      <c r="AB295" t="str">
        <f>('Inteligencia emocional'!A296)</f>
        <v>0</v>
      </c>
      <c r="AC295" s="39" t="str">
        <f>'Por Valoracion (3) Dimension'!D295</f>
        <v>0</v>
      </c>
      <c r="AD295" s="39" t="str">
        <f>'Por Valoracion (3) Dimension 2'!J295</f>
        <v>0</v>
      </c>
      <c r="AY295" s="48"/>
      <c r="BA295" t="str">
        <f>('Inteligencia emocional'!A296)</f>
        <v>0</v>
      </c>
      <c r="BB295" s="39" t="str">
        <f>'Por Valoracion (3) Dimension'!F295</f>
        <v>0</v>
      </c>
      <c r="BC295" s="39" t="str">
        <f>'Por Valoracion (3) Dimension 2'!J295</f>
        <v>0</v>
      </c>
      <c r="BX295" s="48"/>
      <c r="BZ295" s="49"/>
      <c r="CB295" t="str">
        <f>('Inteligencia emocional'!A296)</f>
        <v>0</v>
      </c>
      <c r="CC295" s="39" t="str">
        <f>'Por Valoracion (3) Dimension 2'!B295</f>
        <v>0</v>
      </c>
      <c r="CD295" s="39" t="str">
        <f>'Por Valoracion (3) Dimension'!H295</f>
        <v>0</v>
      </c>
      <c r="CY295" s="49"/>
      <c r="DA295" t="str">
        <f>('Inteligencia emocional'!A296)</f>
        <v>0</v>
      </c>
      <c r="DB295" s="39" t="str">
        <f>'Por Valoracion (3) Dimension 2'!D295</f>
        <v>0</v>
      </c>
      <c r="DC295" s="39" t="str">
        <f>'Por Valoracion (3) Dimension'!H295</f>
        <v>0</v>
      </c>
      <c r="DX295" s="49"/>
      <c r="DZ295" t="str">
        <f>('Inteligencia emocional'!A296)</f>
        <v>0</v>
      </c>
      <c r="EA295" s="39" t="str">
        <f>'Por Valoracion (3) Dimension 2'!F295</f>
        <v>0</v>
      </c>
      <c r="EB295" s="39" t="str">
        <f>'Por Valoracion (3) Dimension'!H295</f>
        <v>0</v>
      </c>
      <c r="EW295" s="49"/>
      <c r="EY295" t="str">
        <f>('Inteligencia emocional'!A296)</f>
        <v>0</v>
      </c>
      <c r="EZ295" s="39" t="str">
        <f>'Por Valoracion (3) Dimension 2'!H295</f>
        <v>0</v>
      </c>
      <c r="FA295" s="39" t="str">
        <f>'Por Valoracion (3) Dimension'!H295</f>
        <v>0</v>
      </c>
      <c r="FV295" s="49"/>
    </row>
    <row r="296" spans="1:178">
      <c r="A296" s="48"/>
      <c r="C296" t="str">
        <f>('Inteligencia emocional'!A297)</f>
        <v>0</v>
      </c>
      <c r="D296" s="39" t="str">
        <f>'Por Valoracion (3) Dimension'!B296</f>
        <v>0</v>
      </c>
      <c r="E296" s="39" t="str">
        <f>'Por Valoracion (3) Dimension 2'!J296</f>
        <v>0</v>
      </c>
      <c r="Z296" s="48"/>
      <c r="AB296" t="str">
        <f>('Inteligencia emocional'!A297)</f>
        <v>0</v>
      </c>
      <c r="AC296" s="39" t="str">
        <f>'Por Valoracion (3) Dimension'!D296</f>
        <v>0</v>
      </c>
      <c r="AD296" s="39" t="str">
        <f>'Por Valoracion (3) Dimension 2'!J296</f>
        <v>0</v>
      </c>
      <c r="AY296" s="48"/>
      <c r="BA296" t="str">
        <f>('Inteligencia emocional'!A297)</f>
        <v>0</v>
      </c>
      <c r="BB296" s="39" t="str">
        <f>'Por Valoracion (3) Dimension'!F296</f>
        <v>0</v>
      </c>
      <c r="BC296" s="39" t="str">
        <f>'Por Valoracion (3) Dimension 2'!J296</f>
        <v>0</v>
      </c>
      <c r="BX296" s="48"/>
      <c r="BZ296" s="49"/>
      <c r="CB296" t="str">
        <f>('Inteligencia emocional'!A297)</f>
        <v>0</v>
      </c>
      <c r="CC296" s="39" t="str">
        <f>'Por Valoracion (3) Dimension 2'!B296</f>
        <v>0</v>
      </c>
      <c r="CD296" s="39" t="str">
        <f>'Por Valoracion (3) Dimension'!H296</f>
        <v>0</v>
      </c>
      <c r="CY296" s="49"/>
      <c r="DA296" t="str">
        <f>('Inteligencia emocional'!A297)</f>
        <v>0</v>
      </c>
      <c r="DB296" s="39" t="str">
        <f>'Por Valoracion (3) Dimension 2'!D296</f>
        <v>0</v>
      </c>
      <c r="DC296" s="39" t="str">
        <f>'Por Valoracion (3) Dimension'!H296</f>
        <v>0</v>
      </c>
      <c r="DX296" s="49"/>
      <c r="DZ296" t="str">
        <f>('Inteligencia emocional'!A297)</f>
        <v>0</v>
      </c>
      <c r="EA296" s="39" t="str">
        <f>'Por Valoracion (3) Dimension 2'!F296</f>
        <v>0</v>
      </c>
      <c r="EB296" s="39" t="str">
        <f>'Por Valoracion (3) Dimension'!H296</f>
        <v>0</v>
      </c>
      <c r="EW296" s="49"/>
      <c r="EY296" t="str">
        <f>('Inteligencia emocional'!A297)</f>
        <v>0</v>
      </c>
      <c r="EZ296" s="39" t="str">
        <f>'Por Valoracion (3) Dimension 2'!H296</f>
        <v>0</v>
      </c>
      <c r="FA296" s="39" t="str">
        <f>'Por Valoracion (3) Dimension'!H296</f>
        <v>0</v>
      </c>
      <c r="FV296" s="49"/>
    </row>
    <row r="297" spans="1:178">
      <c r="A297" s="48"/>
      <c r="C297" t="str">
        <f>('Inteligencia emocional'!A298)</f>
        <v>0</v>
      </c>
      <c r="D297" s="39" t="str">
        <f>'Por Valoracion (3) Dimension'!B297</f>
        <v>0</v>
      </c>
      <c r="E297" s="39" t="str">
        <f>'Por Valoracion (3) Dimension 2'!J297</f>
        <v>0</v>
      </c>
      <c r="Z297" s="48"/>
      <c r="AB297" t="str">
        <f>('Inteligencia emocional'!A298)</f>
        <v>0</v>
      </c>
      <c r="AC297" s="39" t="str">
        <f>'Por Valoracion (3) Dimension'!D297</f>
        <v>0</v>
      </c>
      <c r="AD297" s="39" t="str">
        <f>'Por Valoracion (3) Dimension 2'!J297</f>
        <v>0</v>
      </c>
      <c r="AY297" s="48"/>
      <c r="BA297" t="str">
        <f>('Inteligencia emocional'!A298)</f>
        <v>0</v>
      </c>
      <c r="BB297" s="39" t="str">
        <f>'Por Valoracion (3) Dimension'!F297</f>
        <v>0</v>
      </c>
      <c r="BC297" s="39" t="str">
        <f>'Por Valoracion (3) Dimension 2'!J297</f>
        <v>0</v>
      </c>
      <c r="BX297" s="48"/>
      <c r="BZ297" s="49"/>
      <c r="CB297" t="str">
        <f>('Inteligencia emocional'!A298)</f>
        <v>0</v>
      </c>
      <c r="CC297" s="39" t="str">
        <f>'Por Valoracion (3) Dimension 2'!B297</f>
        <v>0</v>
      </c>
      <c r="CD297" s="39" t="str">
        <f>'Por Valoracion (3) Dimension'!H297</f>
        <v>0</v>
      </c>
      <c r="CY297" s="49"/>
      <c r="DA297" t="str">
        <f>('Inteligencia emocional'!A298)</f>
        <v>0</v>
      </c>
      <c r="DB297" s="39" t="str">
        <f>'Por Valoracion (3) Dimension 2'!D297</f>
        <v>0</v>
      </c>
      <c r="DC297" s="39" t="str">
        <f>'Por Valoracion (3) Dimension'!H297</f>
        <v>0</v>
      </c>
      <c r="DX297" s="49"/>
      <c r="DZ297" t="str">
        <f>('Inteligencia emocional'!A298)</f>
        <v>0</v>
      </c>
      <c r="EA297" s="39" t="str">
        <f>'Por Valoracion (3) Dimension 2'!F297</f>
        <v>0</v>
      </c>
      <c r="EB297" s="39" t="str">
        <f>'Por Valoracion (3) Dimension'!H297</f>
        <v>0</v>
      </c>
      <c r="EW297" s="49"/>
      <c r="EY297" t="str">
        <f>('Inteligencia emocional'!A298)</f>
        <v>0</v>
      </c>
      <c r="EZ297" s="39" t="str">
        <f>'Por Valoracion (3) Dimension 2'!H297</f>
        <v>0</v>
      </c>
      <c r="FA297" s="39" t="str">
        <f>'Por Valoracion (3) Dimension'!H297</f>
        <v>0</v>
      </c>
      <c r="FV297" s="49"/>
    </row>
    <row r="298" spans="1:178">
      <c r="A298" s="48"/>
      <c r="C298" t="str">
        <f>('Inteligencia emocional'!A299)</f>
        <v>0</v>
      </c>
      <c r="D298" s="39" t="str">
        <f>'Por Valoracion (3) Dimension'!B298</f>
        <v>0</v>
      </c>
      <c r="E298" s="39" t="str">
        <f>'Por Valoracion (3) Dimension 2'!J298</f>
        <v>0</v>
      </c>
      <c r="Z298" s="48"/>
      <c r="AB298" t="str">
        <f>('Inteligencia emocional'!A299)</f>
        <v>0</v>
      </c>
      <c r="AC298" s="39" t="str">
        <f>'Por Valoracion (3) Dimension'!D298</f>
        <v>0</v>
      </c>
      <c r="AD298" s="39" t="str">
        <f>'Por Valoracion (3) Dimension 2'!J298</f>
        <v>0</v>
      </c>
      <c r="AY298" s="48"/>
      <c r="BA298" t="str">
        <f>('Inteligencia emocional'!A299)</f>
        <v>0</v>
      </c>
      <c r="BB298" s="39" t="str">
        <f>'Por Valoracion (3) Dimension'!F298</f>
        <v>0</v>
      </c>
      <c r="BC298" s="39" t="str">
        <f>'Por Valoracion (3) Dimension 2'!J298</f>
        <v>0</v>
      </c>
      <c r="BX298" s="48"/>
      <c r="BZ298" s="49"/>
      <c r="CB298" t="str">
        <f>('Inteligencia emocional'!A299)</f>
        <v>0</v>
      </c>
      <c r="CC298" s="39" t="str">
        <f>'Por Valoracion (3) Dimension 2'!B298</f>
        <v>0</v>
      </c>
      <c r="CD298" s="39" t="str">
        <f>'Por Valoracion (3) Dimension'!H298</f>
        <v>0</v>
      </c>
      <c r="CY298" s="49"/>
      <c r="DA298" t="str">
        <f>('Inteligencia emocional'!A299)</f>
        <v>0</v>
      </c>
      <c r="DB298" s="39" t="str">
        <f>'Por Valoracion (3) Dimension 2'!D298</f>
        <v>0</v>
      </c>
      <c r="DC298" s="39" t="str">
        <f>'Por Valoracion (3) Dimension'!H298</f>
        <v>0</v>
      </c>
      <c r="DX298" s="49"/>
      <c r="DZ298" t="str">
        <f>('Inteligencia emocional'!A299)</f>
        <v>0</v>
      </c>
      <c r="EA298" s="39" t="str">
        <f>'Por Valoracion (3) Dimension 2'!F298</f>
        <v>0</v>
      </c>
      <c r="EB298" s="39" t="str">
        <f>'Por Valoracion (3) Dimension'!H298</f>
        <v>0</v>
      </c>
      <c r="EW298" s="49"/>
      <c r="EY298" t="str">
        <f>('Inteligencia emocional'!A299)</f>
        <v>0</v>
      </c>
      <c r="EZ298" s="39" t="str">
        <f>'Por Valoracion (3) Dimension 2'!H298</f>
        <v>0</v>
      </c>
      <c r="FA298" s="39" t="str">
        <f>'Por Valoracion (3) Dimension'!H298</f>
        <v>0</v>
      </c>
      <c r="FV298" s="49"/>
    </row>
    <row r="299" spans="1:178">
      <c r="A299" s="48"/>
      <c r="C299" t="str">
        <f>('Inteligencia emocional'!A300)</f>
        <v>0</v>
      </c>
      <c r="D299" s="39" t="str">
        <f>'Por Valoracion (3) Dimension'!B299</f>
        <v>0</v>
      </c>
      <c r="E299" s="39" t="str">
        <f>'Por Valoracion (3) Dimension 2'!J299</f>
        <v>0</v>
      </c>
      <c r="Z299" s="48"/>
      <c r="AB299" t="str">
        <f>('Inteligencia emocional'!A300)</f>
        <v>0</v>
      </c>
      <c r="AC299" s="39" t="str">
        <f>'Por Valoracion (3) Dimension'!D299</f>
        <v>0</v>
      </c>
      <c r="AD299" s="39" t="str">
        <f>'Por Valoracion (3) Dimension 2'!J299</f>
        <v>0</v>
      </c>
      <c r="AY299" s="48"/>
      <c r="BA299" t="str">
        <f>('Inteligencia emocional'!A300)</f>
        <v>0</v>
      </c>
      <c r="BB299" s="39" t="str">
        <f>'Por Valoracion (3) Dimension'!F299</f>
        <v>0</v>
      </c>
      <c r="BC299" s="39" t="str">
        <f>'Por Valoracion (3) Dimension 2'!J299</f>
        <v>0</v>
      </c>
      <c r="BX299" s="48"/>
      <c r="BZ299" s="49"/>
      <c r="CB299" t="str">
        <f>('Inteligencia emocional'!A300)</f>
        <v>0</v>
      </c>
      <c r="CC299" s="39" t="str">
        <f>'Por Valoracion (3) Dimension 2'!B299</f>
        <v>0</v>
      </c>
      <c r="CD299" s="39" t="str">
        <f>'Por Valoracion (3) Dimension'!H299</f>
        <v>0</v>
      </c>
      <c r="CY299" s="49"/>
      <c r="DA299" t="str">
        <f>('Inteligencia emocional'!A300)</f>
        <v>0</v>
      </c>
      <c r="DB299" s="39" t="str">
        <f>'Por Valoracion (3) Dimension 2'!D299</f>
        <v>0</v>
      </c>
      <c r="DC299" s="39" t="str">
        <f>'Por Valoracion (3) Dimension'!H299</f>
        <v>0</v>
      </c>
      <c r="DX299" s="49"/>
      <c r="DZ299" t="str">
        <f>('Inteligencia emocional'!A300)</f>
        <v>0</v>
      </c>
      <c r="EA299" s="39" t="str">
        <f>'Por Valoracion (3) Dimension 2'!F299</f>
        <v>0</v>
      </c>
      <c r="EB299" s="39" t="str">
        <f>'Por Valoracion (3) Dimension'!H299</f>
        <v>0</v>
      </c>
      <c r="EW299" s="49"/>
      <c r="EY299" t="str">
        <f>('Inteligencia emocional'!A300)</f>
        <v>0</v>
      </c>
      <c r="EZ299" s="39" t="str">
        <f>'Por Valoracion (3) Dimension 2'!H299</f>
        <v>0</v>
      </c>
      <c r="FA299" s="39" t="str">
        <f>'Por Valoracion (3) Dimension'!H299</f>
        <v>0</v>
      </c>
      <c r="FV299" s="49"/>
    </row>
    <row r="300" spans="1:178">
      <c r="A300" s="48"/>
      <c r="C300" t="str">
        <f>('Inteligencia emocional'!A301)</f>
        <v>0</v>
      </c>
      <c r="D300" s="39" t="str">
        <f>'Por Valoracion (3) Dimension'!B300</f>
        <v>0</v>
      </c>
      <c r="E300" s="39" t="str">
        <f>'Por Valoracion (3) Dimension 2'!J300</f>
        <v>0</v>
      </c>
      <c r="Z300" s="48"/>
      <c r="AB300" t="str">
        <f>('Inteligencia emocional'!A301)</f>
        <v>0</v>
      </c>
      <c r="AC300" s="39" t="str">
        <f>'Por Valoracion (3) Dimension'!D300</f>
        <v>0</v>
      </c>
      <c r="AD300" s="39" t="str">
        <f>'Por Valoracion (3) Dimension 2'!J300</f>
        <v>0</v>
      </c>
      <c r="AY300" s="48"/>
      <c r="BA300" t="str">
        <f>('Inteligencia emocional'!A301)</f>
        <v>0</v>
      </c>
      <c r="BB300" s="39" t="str">
        <f>'Por Valoracion (3) Dimension'!F300</f>
        <v>0</v>
      </c>
      <c r="BC300" s="39" t="str">
        <f>'Por Valoracion (3) Dimension 2'!J300</f>
        <v>0</v>
      </c>
      <c r="BX300" s="48"/>
      <c r="BZ300" s="49"/>
      <c r="CB300" t="str">
        <f>('Inteligencia emocional'!A301)</f>
        <v>0</v>
      </c>
      <c r="CC300" s="39" t="str">
        <f>'Por Valoracion (3) Dimension 2'!B300</f>
        <v>0</v>
      </c>
      <c r="CD300" s="39" t="str">
        <f>'Por Valoracion (3) Dimension'!H300</f>
        <v>0</v>
      </c>
      <c r="CY300" s="49"/>
      <c r="DA300" t="str">
        <f>('Inteligencia emocional'!A301)</f>
        <v>0</v>
      </c>
      <c r="DB300" s="39" t="str">
        <f>'Por Valoracion (3) Dimension 2'!D300</f>
        <v>0</v>
      </c>
      <c r="DC300" s="39" t="str">
        <f>'Por Valoracion (3) Dimension'!H300</f>
        <v>0</v>
      </c>
      <c r="DX300" s="49"/>
      <c r="DZ300" t="str">
        <f>('Inteligencia emocional'!A301)</f>
        <v>0</v>
      </c>
      <c r="EA300" s="39" t="str">
        <f>'Por Valoracion (3) Dimension 2'!F300</f>
        <v>0</v>
      </c>
      <c r="EB300" s="39" t="str">
        <f>'Por Valoracion (3) Dimension'!H300</f>
        <v>0</v>
      </c>
      <c r="EW300" s="49"/>
      <c r="EY300" t="str">
        <f>('Inteligencia emocional'!A301)</f>
        <v>0</v>
      </c>
      <c r="EZ300" s="39" t="str">
        <f>'Por Valoracion (3) Dimension 2'!H300</f>
        <v>0</v>
      </c>
      <c r="FA300" s="39" t="str">
        <f>'Por Valoracion (3) Dimension'!H300</f>
        <v>0</v>
      </c>
      <c r="FV300" s="49"/>
    </row>
    <row r="301" spans="1:178">
      <c r="A301" s="48"/>
      <c r="C301" t="str">
        <f>('Inteligencia emocional'!A302)</f>
        <v>0</v>
      </c>
      <c r="D301" s="39" t="str">
        <f>'Por Valoracion (3) Dimension'!B301</f>
        <v>0</v>
      </c>
      <c r="E301" s="39" t="str">
        <f>'Por Valoracion (3) Dimension 2'!J301</f>
        <v>0</v>
      </c>
      <c r="Z301" s="48"/>
      <c r="AB301" t="str">
        <f>('Inteligencia emocional'!A302)</f>
        <v>0</v>
      </c>
      <c r="AC301" s="39" t="str">
        <f>'Por Valoracion (3) Dimension'!D301</f>
        <v>0</v>
      </c>
      <c r="AD301" s="39" t="str">
        <f>'Por Valoracion (3) Dimension 2'!J301</f>
        <v>0</v>
      </c>
      <c r="AY301" s="48"/>
      <c r="BA301" t="str">
        <f>('Inteligencia emocional'!A302)</f>
        <v>0</v>
      </c>
      <c r="BB301" s="39" t="str">
        <f>'Por Valoracion (3) Dimension'!F301</f>
        <v>0</v>
      </c>
      <c r="BC301" s="39" t="str">
        <f>'Por Valoracion (3) Dimension 2'!J301</f>
        <v>0</v>
      </c>
      <c r="BX301" s="48"/>
      <c r="BZ301" s="49"/>
      <c r="CB301" t="str">
        <f>('Inteligencia emocional'!A302)</f>
        <v>0</v>
      </c>
      <c r="CC301" s="39" t="str">
        <f>'Por Valoracion (3) Dimension 2'!B301</f>
        <v>0</v>
      </c>
      <c r="CD301" s="39" t="str">
        <f>'Por Valoracion (3) Dimension'!H301</f>
        <v>0</v>
      </c>
      <c r="CY301" s="49"/>
      <c r="DA301" t="str">
        <f>('Inteligencia emocional'!A302)</f>
        <v>0</v>
      </c>
      <c r="DB301" s="39" t="str">
        <f>'Por Valoracion (3) Dimension 2'!D301</f>
        <v>0</v>
      </c>
      <c r="DC301" s="39" t="str">
        <f>'Por Valoracion (3) Dimension'!H301</f>
        <v>0</v>
      </c>
      <c r="DX301" s="49"/>
      <c r="DZ301" t="str">
        <f>('Inteligencia emocional'!A302)</f>
        <v>0</v>
      </c>
      <c r="EA301" s="39" t="str">
        <f>'Por Valoracion (3) Dimension 2'!F301</f>
        <v>0</v>
      </c>
      <c r="EB301" s="39" t="str">
        <f>'Por Valoracion (3) Dimension'!H301</f>
        <v>0</v>
      </c>
      <c r="EW301" s="49"/>
      <c r="EY301" t="str">
        <f>('Inteligencia emocional'!A302)</f>
        <v>0</v>
      </c>
      <c r="EZ301" s="39" t="str">
        <f>'Por Valoracion (3) Dimension 2'!H301</f>
        <v>0</v>
      </c>
      <c r="FA301" s="39" t="str">
        <f>'Por Valoracion (3) Dimension'!H301</f>
        <v>0</v>
      </c>
      <c r="FV301" s="49"/>
    </row>
    <row r="302" spans="1:178">
      <c r="A302" s="48"/>
      <c r="C302" t="str">
        <f>('Inteligencia emocional'!A303)</f>
        <v>0</v>
      </c>
      <c r="D302" s="39" t="str">
        <f>'Por Valoracion (3) Dimension'!B302</f>
        <v>0</v>
      </c>
      <c r="E302" s="39" t="str">
        <f>'Por Valoracion (3) Dimension 2'!J302</f>
        <v>0</v>
      </c>
      <c r="Z302" s="48"/>
      <c r="AB302" t="str">
        <f>('Inteligencia emocional'!A303)</f>
        <v>0</v>
      </c>
      <c r="AC302" s="39" t="str">
        <f>'Por Valoracion (3) Dimension'!D302</f>
        <v>0</v>
      </c>
      <c r="AD302" s="39" t="str">
        <f>'Por Valoracion (3) Dimension 2'!J302</f>
        <v>0</v>
      </c>
      <c r="AY302" s="48"/>
      <c r="BA302" t="str">
        <f>('Inteligencia emocional'!A303)</f>
        <v>0</v>
      </c>
      <c r="BB302" s="39" t="str">
        <f>'Por Valoracion (3) Dimension'!F302</f>
        <v>0</v>
      </c>
      <c r="BC302" s="39" t="str">
        <f>'Por Valoracion (3) Dimension 2'!J302</f>
        <v>0</v>
      </c>
      <c r="BX302" s="48"/>
      <c r="BZ302" s="49"/>
      <c r="CB302" t="str">
        <f>('Inteligencia emocional'!A303)</f>
        <v>0</v>
      </c>
      <c r="CC302" s="39" t="str">
        <f>'Por Valoracion (3) Dimension 2'!B302</f>
        <v>0</v>
      </c>
      <c r="CD302" s="39" t="str">
        <f>'Por Valoracion (3) Dimension'!H302</f>
        <v>0</v>
      </c>
      <c r="CY302" s="49"/>
      <c r="DA302" t="str">
        <f>('Inteligencia emocional'!A303)</f>
        <v>0</v>
      </c>
      <c r="DB302" s="39" t="str">
        <f>'Por Valoracion (3) Dimension 2'!D302</f>
        <v>0</v>
      </c>
      <c r="DC302" s="39" t="str">
        <f>'Por Valoracion (3) Dimension'!H302</f>
        <v>0</v>
      </c>
      <c r="DX302" s="49"/>
      <c r="DZ302" t="str">
        <f>('Inteligencia emocional'!A303)</f>
        <v>0</v>
      </c>
      <c r="EA302" s="39" t="str">
        <f>'Por Valoracion (3) Dimension 2'!F302</f>
        <v>0</v>
      </c>
      <c r="EB302" s="39" t="str">
        <f>'Por Valoracion (3) Dimension'!H302</f>
        <v>0</v>
      </c>
      <c r="EW302" s="49"/>
      <c r="EY302" t="str">
        <f>('Inteligencia emocional'!A303)</f>
        <v>0</v>
      </c>
      <c r="EZ302" s="39" t="str">
        <f>'Por Valoracion (3) Dimension 2'!H302</f>
        <v>0</v>
      </c>
      <c r="FA302" s="39" t="str">
        <f>'Por Valoracion (3) Dimension'!H302</f>
        <v>0</v>
      </c>
      <c r="FV302" s="49"/>
    </row>
    <row r="303" spans="1:178">
      <c r="A303" s="48"/>
      <c r="C303" t="str">
        <f>('Inteligencia emocional'!A304)</f>
        <v>0</v>
      </c>
      <c r="D303" s="39" t="str">
        <f>'Por Valoracion (3) Dimension'!B303</f>
        <v>0</v>
      </c>
      <c r="E303" s="39" t="str">
        <f>'Por Valoracion (3) Dimension 2'!J303</f>
        <v>0</v>
      </c>
      <c r="Z303" s="48"/>
      <c r="AB303" t="str">
        <f>('Inteligencia emocional'!A304)</f>
        <v>0</v>
      </c>
      <c r="AC303" s="39" t="str">
        <f>'Por Valoracion (3) Dimension'!D303</f>
        <v>0</v>
      </c>
      <c r="AD303" s="39" t="str">
        <f>'Por Valoracion (3) Dimension 2'!J303</f>
        <v>0</v>
      </c>
      <c r="AY303" s="48"/>
      <c r="BA303" t="str">
        <f>('Inteligencia emocional'!A304)</f>
        <v>0</v>
      </c>
      <c r="BB303" s="39" t="str">
        <f>'Por Valoracion (3) Dimension'!F303</f>
        <v>0</v>
      </c>
      <c r="BC303" s="39" t="str">
        <f>'Por Valoracion (3) Dimension 2'!J303</f>
        <v>0</v>
      </c>
      <c r="BX303" s="48"/>
      <c r="BZ303" s="49"/>
      <c r="CB303" t="str">
        <f>('Inteligencia emocional'!A304)</f>
        <v>0</v>
      </c>
      <c r="CC303" s="39" t="str">
        <f>'Por Valoracion (3) Dimension 2'!B303</f>
        <v>0</v>
      </c>
      <c r="CD303" s="39" t="str">
        <f>'Por Valoracion (3) Dimension'!H303</f>
        <v>0</v>
      </c>
      <c r="CY303" s="49"/>
      <c r="DA303" t="str">
        <f>('Inteligencia emocional'!A304)</f>
        <v>0</v>
      </c>
      <c r="DB303" s="39" t="str">
        <f>'Por Valoracion (3) Dimension 2'!D303</f>
        <v>0</v>
      </c>
      <c r="DC303" s="39" t="str">
        <f>'Por Valoracion (3) Dimension'!H303</f>
        <v>0</v>
      </c>
      <c r="DX303" s="49"/>
      <c r="DZ303" t="str">
        <f>('Inteligencia emocional'!A304)</f>
        <v>0</v>
      </c>
      <c r="EA303" s="39" t="str">
        <f>'Por Valoracion (3) Dimension 2'!F303</f>
        <v>0</v>
      </c>
      <c r="EB303" s="39" t="str">
        <f>'Por Valoracion (3) Dimension'!H303</f>
        <v>0</v>
      </c>
      <c r="EW303" s="49"/>
      <c r="EY303" t="str">
        <f>('Inteligencia emocional'!A304)</f>
        <v>0</v>
      </c>
      <c r="EZ303" s="39" t="str">
        <f>'Por Valoracion (3) Dimension 2'!H303</f>
        <v>0</v>
      </c>
      <c r="FA303" s="39" t="str">
        <f>'Por Valoracion (3) Dimension'!H303</f>
        <v>0</v>
      </c>
      <c r="FV303" s="49"/>
    </row>
    <row r="304" spans="1:178">
      <c r="A304" s="48"/>
      <c r="C304" t="str">
        <f>('Inteligencia emocional'!A305)</f>
        <v>0</v>
      </c>
      <c r="D304" s="39" t="str">
        <f>'Por Valoracion (3) Dimension'!B304</f>
        <v>0</v>
      </c>
      <c r="E304" s="39" t="str">
        <f>'Por Valoracion (3) Dimension 2'!J304</f>
        <v>0</v>
      </c>
      <c r="Z304" s="48"/>
      <c r="AB304" t="str">
        <f>('Inteligencia emocional'!A305)</f>
        <v>0</v>
      </c>
      <c r="AC304" s="39" t="str">
        <f>'Por Valoracion (3) Dimension'!D304</f>
        <v>0</v>
      </c>
      <c r="AD304" s="39" t="str">
        <f>'Por Valoracion (3) Dimension 2'!J304</f>
        <v>0</v>
      </c>
      <c r="AY304" s="48"/>
      <c r="BA304" t="str">
        <f>('Inteligencia emocional'!A305)</f>
        <v>0</v>
      </c>
      <c r="BB304" s="39" t="str">
        <f>'Por Valoracion (3) Dimension'!F304</f>
        <v>0</v>
      </c>
      <c r="BC304" s="39" t="str">
        <f>'Por Valoracion (3) Dimension 2'!J304</f>
        <v>0</v>
      </c>
      <c r="BX304" s="48"/>
      <c r="BZ304" s="49"/>
      <c r="CB304" t="str">
        <f>('Inteligencia emocional'!A305)</f>
        <v>0</v>
      </c>
      <c r="CC304" s="39" t="str">
        <f>'Por Valoracion (3) Dimension 2'!B304</f>
        <v>0</v>
      </c>
      <c r="CD304" s="39" t="str">
        <f>'Por Valoracion (3) Dimension'!H304</f>
        <v>0</v>
      </c>
      <c r="CY304" s="49"/>
      <c r="DA304" t="str">
        <f>('Inteligencia emocional'!A305)</f>
        <v>0</v>
      </c>
      <c r="DB304" s="39" t="str">
        <f>'Por Valoracion (3) Dimension 2'!D304</f>
        <v>0</v>
      </c>
      <c r="DC304" s="39" t="str">
        <f>'Por Valoracion (3) Dimension'!H304</f>
        <v>0</v>
      </c>
      <c r="DX304" s="49"/>
      <c r="DZ304" t="str">
        <f>('Inteligencia emocional'!A305)</f>
        <v>0</v>
      </c>
      <c r="EA304" s="39" t="str">
        <f>'Por Valoracion (3) Dimension 2'!F304</f>
        <v>0</v>
      </c>
      <c r="EB304" s="39" t="str">
        <f>'Por Valoracion (3) Dimension'!H304</f>
        <v>0</v>
      </c>
      <c r="EW304" s="49"/>
      <c r="EY304" t="str">
        <f>('Inteligencia emocional'!A305)</f>
        <v>0</v>
      </c>
      <c r="EZ304" s="39" t="str">
        <f>'Por Valoracion (3) Dimension 2'!H304</f>
        <v>0</v>
      </c>
      <c r="FA304" s="39" t="str">
        <f>'Por Valoracion (3) Dimension'!H304</f>
        <v>0</v>
      </c>
      <c r="FV304" s="49"/>
    </row>
    <row r="305" spans="1:178">
      <c r="A305" s="48"/>
      <c r="C305" t="str">
        <f>('Inteligencia emocional'!A306)</f>
        <v>0</v>
      </c>
      <c r="D305" s="39" t="str">
        <f>'Por Valoracion (3) Dimension'!B305</f>
        <v>0</v>
      </c>
      <c r="E305" s="39" t="str">
        <f>'Por Valoracion (3) Dimension 2'!J305</f>
        <v>0</v>
      </c>
      <c r="Z305" s="48"/>
      <c r="AB305" t="str">
        <f>('Inteligencia emocional'!A306)</f>
        <v>0</v>
      </c>
      <c r="AC305" s="39" t="str">
        <f>'Por Valoracion (3) Dimension'!D305</f>
        <v>0</v>
      </c>
      <c r="AD305" s="39" t="str">
        <f>'Por Valoracion (3) Dimension 2'!J305</f>
        <v>0</v>
      </c>
      <c r="AY305" s="48"/>
      <c r="BA305" t="str">
        <f>('Inteligencia emocional'!A306)</f>
        <v>0</v>
      </c>
      <c r="BB305" s="39" t="str">
        <f>'Por Valoracion (3) Dimension'!F305</f>
        <v>0</v>
      </c>
      <c r="BC305" s="39" t="str">
        <f>'Por Valoracion (3) Dimension 2'!J305</f>
        <v>0</v>
      </c>
      <c r="BX305" s="48"/>
      <c r="BZ305" s="49"/>
      <c r="CB305" t="str">
        <f>('Inteligencia emocional'!A306)</f>
        <v>0</v>
      </c>
      <c r="CC305" s="39" t="str">
        <f>'Por Valoracion (3) Dimension 2'!B305</f>
        <v>0</v>
      </c>
      <c r="CD305" s="39" t="str">
        <f>'Por Valoracion (3) Dimension'!H305</f>
        <v>0</v>
      </c>
      <c r="CY305" s="49"/>
      <c r="DA305" t="str">
        <f>('Inteligencia emocional'!A306)</f>
        <v>0</v>
      </c>
      <c r="DB305" s="39" t="str">
        <f>'Por Valoracion (3) Dimension 2'!D305</f>
        <v>0</v>
      </c>
      <c r="DC305" s="39" t="str">
        <f>'Por Valoracion (3) Dimension'!H305</f>
        <v>0</v>
      </c>
      <c r="DX305" s="49"/>
      <c r="DZ305" t="str">
        <f>('Inteligencia emocional'!A306)</f>
        <v>0</v>
      </c>
      <c r="EA305" s="39" t="str">
        <f>'Por Valoracion (3) Dimension 2'!F305</f>
        <v>0</v>
      </c>
      <c r="EB305" s="39" t="str">
        <f>'Por Valoracion (3) Dimension'!H305</f>
        <v>0</v>
      </c>
      <c r="EW305" s="49"/>
      <c r="EY305" t="str">
        <f>('Inteligencia emocional'!A306)</f>
        <v>0</v>
      </c>
      <c r="EZ305" s="39" t="str">
        <f>'Por Valoracion (3) Dimension 2'!H305</f>
        <v>0</v>
      </c>
      <c r="FA305" s="39" t="str">
        <f>'Por Valoracion (3) Dimension'!H305</f>
        <v>0</v>
      </c>
      <c r="FV305" s="49"/>
    </row>
    <row r="306" spans="1:178">
      <c r="A306" s="48"/>
      <c r="C306" t="str">
        <f>('Inteligencia emocional'!A307)</f>
        <v>0</v>
      </c>
      <c r="D306" s="39" t="str">
        <f>'Por Valoracion (3) Dimension'!B306</f>
        <v>0</v>
      </c>
      <c r="E306" s="39" t="str">
        <f>'Por Valoracion (3) Dimension 2'!J306</f>
        <v>0</v>
      </c>
      <c r="Z306" s="48"/>
      <c r="AB306" t="str">
        <f>('Inteligencia emocional'!A307)</f>
        <v>0</v>
      </c>
      <c r="AC306" s="39" t="str">
        <f>'Por Valoracion (3) Dimension'!D306</f>
        <v>0</v>
      </c>
      <c r="AD306" s="39" t="str">
        <f>'Por Valoracion (3) Dimension 2'!J306</f>
        <v>0</v>
      </c>
      <c r="AY306" s="48"/>
      <c r="BA306" t="str">
        <f>('Inteligencia emocional'!A307)</f>
        <v>0</v>
      </c>
      <c r="BB306" s="39" t="str">
        <f>'Por Valoracion (3) Dimension'!F306</f>
        <v>0</v>
      </c>
      <c r="BC306" s="39" t="str">
        <f>'Por Valoracion (3) Dimension 2'!J306</f>
        <v>0</v>
      </c>
      <c r="BX306" s="48"/>
      <c r="BZ306" s="49"/>
      <c r="CB306" t="str">
        <f>('Inteligencia emocional'!A307)</f>
        <v>0</v>
      </c>
      <c r="CC306" s="39" t="str">
        <f>'Por Valoracion (3) Dimension 2'!B306</f>
        <v>0</v>
      </c>
      <c r="CD306" s="39" t="str">
        <f>'Por Valoracion (3) Dimension'!H306</f>
        <v>0</v>
      </c>
      <c r="CY306" s="49"/>
      <c r="DA306" t="str">
        <f>('Inteligencia emocional'!A307)</f>
        <v>0</v>
      </c>
      <c r="DB306" s="39" t="str">
        <f>'Por Valoracion (3) Dimension 2'!D306</f>
        <v>0</v>
      </c>
      <c r="DC306" s="39" t="str">
        <f>'Por Valoracion (3) Dimension'!H306</f>
        <v>0</v>
      </c>
      <c r="DX306" s="49"/>
      <c r="DZ306" t="str">
        <f>('Inteligencia emocional'!A307)</f>
        <v>0</v>
      </c>
      <c r="EA306" s="39" t="str">
        <f>'Por Valoracion (3) Dimension 2'!F306</f>
        <v>0</v>
      </c>
      <c r="EB306" s="39" t="str">
        <f>'Por Valoracion (3) Dimension'!H306</f>
        <v>0</v>
      </c>
      <c r="EW306" s="49"/>
      <c r="EY306" t="str">
        <f>('Inteligencia emocional'!A307)</f>
        <v>0</v>
      </c>
      <c r="EZ306" s="39" t="str">
        <f>'Por Valoracion (3) Dimension 2'!H306</f>
        <v>0</v>
      </c>
      <c r="FA306" s="39" t="str">
        <f>'Por Valoracion (3) Dimension'!H306</f>
        <v>0</v>
      </c>
      <c r="FV306" s="49"/>
    </row>
    <row r="307" spans="1:178">
      <c r="A307" s="48"/>
      <c r="C307" t="str">
        <f>('Inteligencia emocional'!A308)</f>
        <v>0</v>
      </c>
      <c r="D307" s="39" t="str">
        <f>'Por Valoracion (3) Dimension'!B307</f>
        <v>0</v>
      </c>
      <c r="E307" s="39" t="str">
        <f>'Por Valoracion (3) Dimension 2'!J307</f>
        <v>0</v>
      </c>
      <c r="Z307" s="48"/>
      <c r="AB307" t="str">
        <f>('Inteligencia emocional'!A308)</f>
        <v>0</v>
      </c>
      <c r="AC307" s="39" t="str">
        <f>'Por Valoracion (3) Dimension'!D307</f>
        <v>0</v>
      </c>
      <c r="AD307" s="39" t="str">
        <f>'Por Valoracion (3) Dimension 2'!J307</f>
        <v>0</v>
      </c>
      <c r="AY307" s="48"/>
      <c r="BA307" t="str">
        <f>('Inteligencia emocional'!A308)</f>
        <v>0</v>
      </c>
      <c r="BB307" s="39" t="str">
        <f>'Por Valoracion (3) Dimension'!F307</f>
        <v>0</v>
      </c>
      <c r="BC307" s="39" t="str">
        <f>'Por Valoracion (3) Dimension 2'!J307</f>
        <v>0</v>
      </c>
      <c r="BX307" s="48"/>
      <c r="BZ307" s="49"/>
      <c r="CB307" t="str">
        <f>('Inteligencia emocional'!A308)</f>
        <v>0</v>
      </c>
      <c r="CC307" s="39" t="str">
        <f>'Por Valoracion (3) Dimension 2'!B307</f>
        <v>0</v>
      </c>
      <c r="CD307" s="39" t="str">
        <f>'Por Valoracion (3) Dimension'!H307</f>
        <v>0</v>
      </c>
      <c r="CY307" s="49"/>
      <c r="DA307" t="str">
        <f>('Inteligencia emocional'!A308)</f>
        <v>0</v>
      </c>
      <c r="DB307" s="39" t="str">
        <f>'Por Valoracion (3) Dimension 2'!D307</f>
        <v>0</v>
      </c>
      <c r="DC307" s="39" t="str">
        <f>'Por Valoracion (3) Dimension'!H307</f>
        <v>0</v>
      </c>
      <c r="DX307" s="49"/>
      <c r="DZ307" t="str">
        <f>('Inteligencia emocional'!A308)</f>
        <v>0</v>
      </c>
      <c r="EA307" s="39" t="str">
        <f>'Por Valoracion (3) Dimension 2'!F307</f>
        <v>0</v>
      </c>
      <c r="EB307" s="39" t="str">
        <f>'Por Valoracion (3) Dimension'!H307</f>
        <v>0</v>
      </c>
      <c r="EW307" s="49"/>
      <c r="EY307" t="str">
        <f>('Inteligencia emocional'!A308)</f>
        <v>0</v>
      </c>
      <c r="EZ307" s="39" t="str">
        <f>'Por Valoracion (3) Dimension 2'!H307</f>
        <v>0</v>
      </c>
      <c r="FA307" s="39" t="str">
        <f>'Por Valoracion (3) Dimension'!H307</f>
        <v>0</v>
      </c>
      <c r="FV307" s="49"/>
    </row>
    <row r="308" spans="1:178">
      <c r="A308" s="48"/>
      <c r="C308" t="str">
        <f>('Inteligencia emocional'!A309)</f>
        <v>0</v>
      </c>
      <c r="D308" s="39" t="str">
        <f>'Por Valoracion (3) Dimension'!B308</f>
        <v>0</v>
      </c>
      <c r="E308" s="39" t="str">
        <f>'Por Valoracion (3) Dimension 2'!J308</f>
        <v>0</v>
      </c>
      <c r="Z308" s="48"/>
      <c r="AB308" t="str">
        <f>('Inteligencia emocional'!A309)</f>
        <v>0</v>
      </c>
      <c r="AC308" s="39" t="str">
        <f>'Por Valoracion (3) Dimension'!D308</f>
        <v>0</v>
      </c>
      <c r="AD308" s="39" t="str">
        <f>'Por Valoracion (3) Dimension 2'!J308</f>
        <v>0</v>
      </c>
      <c r="AY308" s="48"/>
      <c r="BA308" t="str">
        <f>('Inteligencia emocional'!A309)</f>
        <v>0</v>
      </c>
      <c r="BB308" s="39" t="str">
        <f>'Por Valoracion (3) Dimension'!F308</f>
        <v>0</v>
      </c>
      <c r="BC308" s="39" t="str">
        <f>'Por Valoracion (3) Dimension 2'!J308</f>
        <v>0</v>
      </c>
      <c r="BX308" s="48"/>
      <c r="BZ308" s="49"/>
      <c r="CB308" t="str">
        <f>('Inteligencia emocional'!A309)</f>
        <v>0</v>
      </c>
      <c r="CC308" s="39" t="str">
        <f>'Por Valoracion (3) Dimension 2'!B308</f>
        <v>0</v>
      </c>
      <c r="CD308" s="39" t="str">
        <f>'Por Valoracion (3) Dimension'!H308</f>
        <v>0</v>
      </c>
      <c r="CY308" s="49"/>
      <c r="DA308" t="str">
        <f>('Inteligencia emocional'!A309)</f>
        <v>0</v>
      </c>
      <c r="DB308" s="39" t="str">
        <f>'Por Valoracion (3) Dimension 2'!D308</f>
        <v>0</v>
      </c>
      <c r="DC308" s="39" t="str">
        <f>'Por Valoracion (3) Dimension'!H308</f>
        <v>0</v>
      </c>
      <c r="DX308" s="49"/>
      <c r="DZ308" t="str">
        <f>('Inteligencia emocional'!A309)</f>
        <v>0</v>
      </c>
      <c r="EA308" s="39" t="str">
        <f>'Por Valoracion (3) Dimension 2'!F308</f>
        <v>0</v>
      </c>
      <c r="EB308" s="39" t="str">
        <f>'Por Valoracion (3) Dimension'!H308</f>
        <v>0</v>
      </c>
      <c r="EW308" s="49"/>
      <c r="EY308" t="str">
        <f>('Inteligencia emocional'!A309)</f>
        <v>0</v>
      </c>
      <c r="EZ308" s="39" t="str">
        <f>'Por Valoracion (3) Dimension 2'!H308</f>
        <v>0</v>
      </c>
      <c r="FA308" s="39" t="str">
        <f>'Por Valoracion (3) Dimension'!H308</f>
        <v>0</v>
      </c>
      <c r="FV308" s="49"/>
    </row>
    <row r="309" spans="1:178">
      <c r="A309" s="48"/>
      <c r="C309" t="str">
        <f>('Inteligencia emocional'!A310)</f>
        <v>0</v>
      </c>
      <c r="D309" s="39" t="str">
        <f>'Por Valoracion (3) Dimension'!B309</f>
        <v>0</v>
      </c>
      <c r="E309" s="39" t="str">
        <f>'Por Valoracion (3) Dimension 2'!J309</f>
        <v>0</v>
      </c>
      <c r="Z309" s="48"/>
      <c r="AB309" t="str">
        <f>('Inteligencia emocional'!A310)</f>
        <v>0</v>
      </c>
      <c r="AC309" s="39" t="str">
        <f>'Por Valoracion (3) Dimension'!D309</f>
        <v>0</v>
      </c>
      <c r="AD309" s="39" t="str">
        <f>'Por Valoracion (3) Dimension 2'!J309</f>
        <v>0</v>
      </c>
      <c r="AY309" s="48"/>
      <c r="BA309" t="str">
        <f>('Inteligencia emocional'!A310)</f>
        <v>0</v>
      </c>
      <c r="BB309" s="39" t="str">
        <f>'Por Valoracion (3) Dimension'!F309</f>
        <v>0</v>
      </c>
      <c r="BC309" s="39" t="str">
        <f>'Por Valoracion (3) Dimension 2'!J309</f>
        <v>0</v>
      </c>
      <c r="BX309" s="48"/>
      <c r="BZ309" s="49"/>
      <c r="CB309" t="str">
        <f>('Inteligencia emocional'!A310)</f>
        <v>0</v>
      </c>
      <c r="CC309" s="39" t="str">
        <f>'Por Valoracion (3) Dimension 2'!B309</f>
        <v>0</v>
      </c>
      <c r="CD309" s="39" t="str">
        <f>'Por Valoracion (3) Dimension'!H309</f>
        <v>0</v>
      </c>
      <c r="CY309" s="49"/>
      <c r="DA309" t="str">
        <f>('Inteligencia emocional'!A310)</f>
        <v>0</v>
      </c>
      <c r="DB309" s="39" t="str">
        <f>'Por Valoracion (3) Dimension 2'!D309</f>
        <v>0</v>
      </c>
      <c r="DC309" s="39" t="str">
        <f>'Por Valoracion (3) Dimension'!H309</f>
        <v>0</v>
      </c>
      <c r="DX309" s="49"/>
      <c r="DZ309" t="str">
        <f>('Inteligencia emocional'!A310)</f>
        <v>0</v>
      </c>
      <c r="EA309" s="39" t="str">
        <f>'Por Valoracion (3) Dimension 2'!F309</f>
        <v>0</v>
      </c>
      <c r="EB309" s="39" t="str">
        <f>'Por Valoracion (3) Dimension'!H309</f>
        <v>0</v>
      </c>
      <c r="EW309" s="49"/>
      <c r="EY309" t="str">
        <f>('Inteligencia emocional'!A310)</f>
        <v>0</v>
      </c>
      <c r="EZ309" s="39" t="str">
        <f>'Por Valoracion (3) Dimension 2'!H309</f>
        <v>0</v>
      </c>
      <c r="FA309" s="39" t="str">
        <f>'Por Valoracion (3) Dimension'!H309</f>
        <v>0</v>
      </c>
      <c r="FV309" s="49"/>
    </row>
    <row r="310" spans="1:178">
      <c r="A310" s="48"/>
      <c r="C310" t="str">
        <f>('Inteligencia emocional'!A311)</f>
        <v>0</v>
      </c>
      <c r="D310" s="39" t="str">
        <f>'Por Valoracion (3) Dimension'!B310</f>
        <v>0</v>
      </c>
      <c r="E310" s="39" t="str">
        <f>'Por Valoracion (3) Dimension 2'!J310</f>
        <v>0</v>
      </c>
      <c r="Z310" s="48"/>
      <c r="AB310" t="str">
        <f>('Inteligencia emocional'!A311)</f>
        <v>0</v>
      </c>
      <c r="AC310" s="39" t="str">
        <f>'Por Valoracion (3) Dimension'!D310</f>
        <v>0</v>
      </c>
      <c r="AD310" s="39" t="str">
        <f>'Por Valoracion (3) Dimension 2'!J310</f>
        <v>0</v>
      </c>
      <c r="AY310" s="48"/>
      <c r="BA310" t="str">
        <f>('Inteligencia emocional'!A311)</f>
        <v>0</v>
      </c>
      <c r="BB310" s="39" t="str">
        <f>'Por Valoracion (3) Dimension'!F310</f>
        <v>0</v>
      </c>
      <c r="BC310" s="39" t="str">
        <f>'Por Valoracion (3) Dimension 2'!J310</f>
        <v>0</v>
      </c>
      <c r="BX310" s="48"/>
      <c r="BZ310" s="49"/>
      <c r="CB310" t="str">
        <f>('Inteligencia emocional'!A311)</f>
        <v>0</v>
      </c>
      <c r="CC310" s="39" t="str">
        <f>'Por Valoracion (3) Dimension 2'!B310</f>
        <v>0</v>
      </c>
      <c r="CD310" s="39" t="str">
        <f>'Por Valoracion (3) Dimension'!H310</f>
        <v>0</v>
      </c>
      <c r="CY310" s="49"/>
      <c r="DA310" t="str">
        <f>('Inteligencia emocional'!A311)</f>
        <v>0</v>
      </c>
      <c r="DB310" s="39" t="str">
        <f>'Por Valoracion (3) Dimension 2'!D310</f>
        <v>0</v>
      </c>
      <c r="DC310" s="39" t="str">
        <f>'Por Valoracion (3) Dimension'!H310</f>
        <v>0</v>
      </c>
      <c r="DX310" s="49"/>
      <c r="DZ310" t="str">
        <f>('Inteligencia emocional'!A311)</f>
        <v>0</v>
      </c>
      <c r="EA310" s="39" t="str">
        <f>'Por Valoracion (3) Dimension 2'!F310</f>
        <v>0</v>
      </c>
      <c r="EB310" s="39" t="str">
        <f>'Por Valoracion (3) Dimension'!H310</f>
        <v>0</v>
      </c>
      <c r="EW310" s="49"/>
      <c r="EY310" t="str">
        <f>('Inteligencia emocional'!A311)</f>
        <v>0</v>
      </c>
      <c r="EZ310" s="39" t="str">
        <f>'Por Valoracion (3) Dimension 2'!H310</f>
        <v>0</v>
      </c>
      <c r="FA310" s="39" t="str">
        <f>'Por Valoracion (3) Dimension'!H310</f>
        <v>0</v>
      </c>
      <c r="FV310" s="49"/>
    </row>
    <row r="311" spans="1:178">
      <c r="A311" s="48"/>
      <c r="C311" t="str">
        <f>('Inteligencia emocional'!A312)</f>
        <v>0</v>
      </c>
      <c r="D311" s="39" t="str">
        <f>'Por Valoracion (3) Dimension'!B311</f>
        <v>0</v>
      </c>
      <c r="E311" s="39" t="str">
        <f>'Por Valoracion (3) Dimension 2'!J311</f>
        <v>0</v>
      </c>
      <c r="Z311" s="48"/>
      <c r="AB311" t="str">
        <f>('Inteligencia emocional'!A312)</f>
        <v>0</v>
      </c>
      <c r="AC311" s="39" t="str">
        <f>'Por Valoracion (3) Dimension'!D311</f>
        <v>0</v>
      </c>
      <c r="AD311" s="39" t="str">
        <f>'Por Valoracion (3) Dimension 2'!J311</f>
        <v>0</v>
      </c>
      <c r="AY311" s="48"/>
      <c r="BA311" t="str">
        <f>('Inteligencia emocional'!A312)</f>
        <v>0</v>
      </c>
      <c r="BB311" s="39" t="str">
        <f>'Por Valoracion (3) Dimension'!F311</f>
        <v>0</v>
      </c>
      <c r="BC311" s="39" t="str">
        <f>'Por Valoracion (3) Dimension 2'!J311</f>
        <v>0</v>
      </c>
      <c r="BX311" s="48"/>
      <c r="BZ311" s="49"/>
      <c r="CB311" t="str">
        <f>('Inteligencia emocional'!A312)</f>
        <v>0</v>
      </c>
      <c r="CC311" s="39" t="str">
        <f>'Por Valoracion (3) Dimension 2'!B311</f>
        <v>0</v>
      </c>
      <c r="CD311" s="39" t="str">
        <f>'Por Valoracion (3) Dimension'!H311</f>
        <v>0</v>
      </c>
      <c r="CY311" s="49"/>
      <c r="DA311" t="str">
        <f>('Inteligencia emocional'!A312)</f>
        <v>0</v>
      </c>
      <c r="DB311" s="39" t="str">
        <f>'Por Valoracion (3) Dimension 2'!D311</f>
        <v>0</v>
      </c>
      <c r="DC311" s="39" t="str">
        <f>'Por Valoracion (3) Dimension'!H311</f>
        <v>0</v>
      </c>
      <c r="DX311" s="49"/>
      <c r="DZ311" t="str">
        <f>('Inteligencia emocional'!A312)</f>
        <v>0</v>
      </c>
      <c r="EA311" s="39" t="str">
        <f>'Por Valoracion (3) Dimension 2'!F311</f>
        <v>0</v>
      </c>
      <c r="EB311" s="39" t="str">
        <f>'Por Valoracion (3) Dimension'!H311</f>
        <v>0</v>
      </c>
      <c r="EW311" s="49"/>
      <c r="EY311" t="str">
        <f>('Inteligencia emocional'!A312)</f>
        <v>0</v>
      </c>
      <c r="EZ311" s="39" t="str">
        <f>'Por Valoracion (3) Dimension 2'!H311</f>
        <v>0</v>
      </c>
      <c r="FA311" s="39" t="str">
        <f>'Por Valoracion (3) Dimension'!H311</f>
        <v>0</v>
      </c>
      <c r="FV311" s="49"/>
    </row>
    <row r="312" spans="1:178">
      <c r="A312" s="48"/>
      <c r="C312" t="str">
        <f>('Inteligencia emocional'!A313)</f>
        <v>0</v>
      </c>
      <c r="D312" s="39" t="str">
        <f>'Por Valoracion (3) Dimension'!B312</f>
        <v>0</v>
      </c>
      <c r="E312" s="39" t="str">
        <f>'Por Valoracion (3) Dimension 2'!J312</f>
        <v>0</v>
      </c>
      <c r="Z312" s="48"/>
      <c r="AB312" t="str">
        <f>('Inteligencia emocional'!A313)</f>
        <v>0</v>
      </c>
      <c r="AC312" s="39" t="str">
        <f>'Por Valoracion (3) Dimension'!D312</f>
        <v>0</v>
      </c>
      <c r="AD312" s="39" t="str">
        <f>'Por Valoracion (3) Dimension 2'!J312</f>
        <v>0</v>
      </c>
      <c r="AY312" s="48"/>
      <c r="BA312" t="str">
        <f>('Inteligencia emocional'!A313)</f>
        <v>0</v>
      </c>
      <c r="BB312" s="39" t="str">
        <f>'Por Valoracion (3) Dimension'!F312</f>
        <v>0</v>
      </c>
      <c r="BC312" s="39" t="str">
        <f>'Por Valoracion (3) Dimension 2'!J312</f>
        <v>0</v>
      </c>
      <c r="BX312" s="48"/>
      <c r="BZ312" s="49"/>
      <c r="CB312" t="str">
        <f>('Inteligencia emocional'!A313)</f>
        <v>0</v>
      </c>
      <c r="CC312" s="39" t="str">
        <f>'Por Valoracion (3) Dimension 2'!B312</f>
        <v>0</v>
      </c>
      <c r="CD312" s="39" t="str">
        <f>'Por Valoracion (3) Dimension'!H312</f>
        <v>0</v>
      </c>
      <c r="CY312" s="49"/>
      <c r="DA312" t="str">
        <f>('Inteligencia emocional'!A313)</f>
        <v>0</v>
      </c>
      <c r="DB312" s="39" t="str">
        <f>'Por Valoracion (3) Dimension 2'!D312</f>
        <v>0</v>
      </c>
      <c r="DC312" s="39" t="str">
        <f>'Por Valoracion (3) Dimension'!H312</f>
        <v>0</v>
      </c>
      <c r="DX312" s="49"/>
      <c r="DZ312" t="str">
        <f>('Inteligencia emocional'!A313)</f>
        <v>0</v>
      </c>
      <c r="EA312" s="39" t="str">
        <f>'Por Valoracion (3) Dimension 2'!F312</f>
        <v>0</v>
      </c>
      <c r="EB312" s="39" t="str">
        <f>'Por Valoracion (3) Dimension'!H312</f>
        <v>0</v>
      </c>
      <c r="EW312" s="49"/>
      <c r="EY312" t="str">
        <f>('Inteligencia emocional'!A313)</f>
        <v>0</v>
      </c>
      <c r="EZ312" s="39" t="str">
        <f>'Por Valoracion (3) Dimension 2'!H312</f>
        <v>0</v>
      </c>
      <c r="FA312" s="39" t="str">
        <f>'Por Valoracion (3) Dimension'!H312</f>
        <v>0</v>
      </c>
      <c r="FV312" s="49"/>
    </row>
    <row r="313" spans="1:178">
      <c r="A313" s="48"/>
      <c r="C313" t="str">
        <f>('Inteligencia emocional'!A314)</f>
        <v>0</v>
      </c>
      <c r="D313" s="39" t="str">
        <f>'Por Valoracion (3) Dimension'!B313</f>
        <v>0</v>
      </c>
      <c r="E313" s="39" t="str">
        <f>'Por Valoracion (3) Dimension 2'!J313</f>
        <v>0</v>
      </c>
      <c r="Z313" s="48"/>
      <c r="AB313" t="str">
        <f>('Inteligencia emocional'!A314)</f>
        <v>0</v>
      </c>
      <c r="AC313" s="39" t="str">
        <f>'Por Valoracion (3) Dimension'!D313</f>
        <v>0</v>
      </c>
      <c r="AD313" s="39" t="str">
        <f>'Por Valoracion (3) Dimension 2'!J313</f>
        <v>0</v>
      </c>
      <c r="AY313" s="48"/>
      <c r="BA313" t="str">
        <f>('Inteligencia emocional'!A314)</f>
        <v>0</v>
      </c>
      <c r="BB313" s="39" t="str">
        <f>'Por Valoracion (3) Dimension'!F313</f>
        <v>0</v>
      </c>
      <c r="BC313" s="39" t="str">
        <f>'Por Valoracion (3) Dimension 2'!J313</f>
        <v>0</v>
      </c>
      <c r="BX313" s="48"/>
      <c r="BZ313" s="49"/>
      <c r="CB313" t="str">
        <f>('Inteligencia emocional'!A314)</f>
        <v>0</v>
      </c>
      <c r="CC313" s="39" t="str">
        <f>'Por Valoracion (3) Dimension 2'!B313</f>
        <v>0</v>
      </c>
      <c r="CD313" s="39" t="str">
        <f>'Por Valoracion (3) Dimension'!H313</f>
        <v>0</v>
      </c>
      <c r="CY313" s="49"/>
      <c r="DA313" t="str">
        <f>('Inteligencia emocional'!A314)</f>
        <v>0</v>
      </c>
      <c r="DB313" s="39" t="str">
        <f>'Por Valoracion (3) Dimension 2'!D313</f>
        <v>0</v>
      </c>
      <c r="DC313" s="39" t="str">
        <f>'Por Valoracion (3) Dimension'!H313</f>
        <v>0</v>
      </c>
      <c r="DX313" s="49"/>
      <c r="DZ313" t="str">
        <f>('Inteligencia emocional'!A314)</f>
        <v>0</v>
      </c>
      <c r="EA313" s="39" t="str">
        <f>'Por Valoracion (3) Dimension 2'!F313</f>
        <v>0</v>
      </c>
      <c r="EB313" s="39" t="str">
        <f>'Por Valoracion (3) Dimension'!H313</f>
        <v>0</v>
      </c>
      <c r="EW313" s="49"/>
      <c r="EY313" t="str">
        <f>('Inteligencia emocional'!A314)</f>
        <v>0</v>
      </c>
      <c r="EZ313" s="39" t="str">
        <f>'Por Valoracion (3) Dimension 2'!H313</f>
        <v>0</v>
      </c>
      <c r="FA313" s="39" t="str">
        <f>'Por Valoracion (3) Dimension'!H313</f>
        <v>0</v>
      </c>
      <c r="FV313" s="49"/>
    </row>
    <row r="314" spans="1:178">
      <c r="A314" s="48"/>
      <c r="C314" t="str">
        <f>('Inteligencia emocional'!A315)</f>
        <v>0</v>
      </c>
      <c r="D314" s="39" t="str">
        <f>'Por Valoracion (3) Dimension'!B314</f>
        <v>0</v>
      </c>
      <c r="E314" s="39" t="str">
        <f>'Por Valoracion (3) Dimension 2'!J314</f>
        <v>0</v>
      </c>
      <c r="Z314" s="48"/>
      <c r="AB314" t="str">
        <f>('Inteligencia emocional'!A315)</f>
        <v>0</v>
      </c>
      <c r="AC314" s="39" t="str">
        <f>'Por Valoracion (3) Dimension'!D314</f>
        <v>0</v>
      </c>
      <c r="AD314" s="39" t="str">
        <f>'Por Valoracion (3) Dimension 2'!J314</f>
        <v>0</v>
      </c>
      <c r="AY314" s="48"/>
      <c r="BA314" t="str">
        <f>('Inteligencia emocional'!A315)</f>
        <v>0</v>
      </c>
      <c r="BB314" s="39" t="str">
        <f>'Por Valoracion (3) Dimension'!F314</f>
        <v>0</v>
      </c>
      <c r="BC314" s="39" t="str">
        <f>'Por Valoracion (3) Dimension 2'!J314</f>
        <v>0</v>
      </c>
      <c r="BX314" s="48"/>
      <c r="BZ314" s="49"/>
      <c r="CB314" t="str">
        <f>('Inteligencia emocional'!A315)</f>
        <v>0</v>
      </c>
      <c r="CC314" s="39" t="str">
        <f>'Por Valoracion (3) Dimension 2'!B314</f>
        <v>0</v>
      </c>
      <c r="CD314" s="39" t="str">
        <f>'Por Valoracion (3) Dimension'!H314</f>
        <v>0</v>
      </c>
      <c r="CY314" s="49"/>
      <c r="DA314" t="str">
        <f>('Inteligencia emocional'!A315)</f>
        <v>0</v>
      </c>
      <c r="DB314" s="39" t="str">
        <f>'Por Valoracion (3) Dimension 2'!D314</f>
        <v>0</v>
      </c>
      <c r="DC314" s="39" t="str">
        <f>'Por Valoracion (3) Dimension'!H314</f>
        <v>0</v>
      </c>
      <c r="DX314" s="49"/>
      <c r="DZ314" t="str">
        <f>('Inteligencia emocional'!A315)</f>
        <v>0</v>
      </c>
      <c r="EA314" s="39" t="str">
        <f>'Por Valoracion (3) Dimension 2'!F314</f>
        <v>0</v>
      </c>
      <c r="EB314" s="39" t="str">
        <f>'Por Valoracion (3) Dimension'!H314</f>
        <v>0</v>
      </c>
      <c r="EW314" s="49"/>
      <c r="EY314" t="str">
        <f>('Inteligencia emocional'!A315)</f>
        <v>0</v>
      </c>
      <c r="EZ314" s="39" t="str">
        <f>'Por Valoracion (3) Dimension 2'!H314</f>
        <v>0</v>
      </c>
      <c r="FA314" s="39" t="str">
        <f>'Por Valoracion (3) Dimension'!H314</f>
        <v>0</v>
      </c>
      <c r="FV314" s="49"/>
    </row>
    <row r="315" spans="1:178">
      <c r="A315" s="48"/>
      <c r="C315" t="str">
        <f>('Inteligencia emocional'!A316)</f>
        <v>0</v>
      </c>
      <c r="D315" s="39" t="str">
        <f>'Por Valoracion (3) Dimension'!B315</f>
        <v>0</v>
      </c>
      <c r="E315" s="39" t="str">
        <f>'Por Valoracion (3) Dimension 2'!J315</f>
        <v>0</v>
      </c>
      <c r="Z315" s="48"/>
      <c r="AB315" t="str">
        <f>('Inteligencia emocional'!A316)</f>
        <v>0</v>
      </c>
      <c r="AC315" s="39" t="str">
        <f>'Por Valoracion (3) Dimension'!D315</f>
        <v>0</v>
      </c>
      <c r="AD315" s="39" t="str">
        <f>'Por Valoracion (3) Dimension 2'!J315</f>
        <v>0</v>
      </c>
      <c r="AY315" s="48"/>
      <c r="BA315" t="str">
        <f>('Inteligencia emocional'!A316)</f>
        <v>0</v>
      </c>
      <c r="BB315" s="39" t="str">
        <f>'Por Valoracion (3) Dimension'!F315</f>
        <v>0</v>
      </c>
      <c r="BC315" s="39" t="str">
        <f>'Por Valoracion (3) Dimension 2'!J315</f>
        <v>0</v>
      </c>
      <c r="BX315" s="48"/>
      <c r="BZ315" s="49"/>
      <c r="CB315" t="str">
        <f>('Inteligencia emocional'!A316)</f>
        <v>0</v>
      </c>
      <c r="CC315" s="39" t="str">
        <f>'Por Valoracion (3) Dimension 2'!B315</f>
        <v>0</v>
      </c>
      <c r="CD315" s="39" t="str">
        <f>'Por Valoracion (3) Dimension'!H315</f>
        <v>0</v>
      </c>
      <c r="CY315" s="49"/>
      <c r="DA315" t="str">
        <f>('Inteligencia emocional'!A316)</f>
        <v>0</v>
      </c>
      <c r="DB315" s="39" t="str">
        <f>'Por Valoracion (3) Dimension 2'!D315</f>
        <v>0</v>
      </c>
      <c r="DC315" s="39" t="str">
        <f>'Por Valoracion (3) Dimension'!H315</f>
        <v>0</v>
      </c>
      <c r="DX315" s="49"/>
      <c r="DZ315" t="str">
        <f>('Inteligencia emocional'!A316)</f>
        <v>0</v>
      </c>
      <c r="EA315" s="39" t="str">
        <f>'Por Valoracion (3) Dimension 2'!F315</f>
        <v>0</v>
      </c>
      <c r="EB315" s="39" t="str">
        <f>'Por Valoracion (3) Dimension'!H315</f>
        <v>0</v>
      </c>
      <c r="EW315" s="49"/>
      <c r="EY315" t="str">
        <f>('Inteligencia emocional'!A316)</f>
        <v>0</v>
      </c>
      <c r="EZ315" s="39" t="str">
        <f>'Por Valoracion (3) Dimension 2'!H315</f>
        <v>0</v>
      </c>
      <c r="FA315" s="39" t="str">
        <f>'Por Valoracion (3) Dimension'!H315</f>
        <v>0</v>
      </c>
      <c r="FV315" s="49"/>
    </row>
    <row r="316" spans="1:178">
      <c r="A316" s="48"/>
      <c r="C316" t="str">
        <f>('Inteligencia emocional'!A317)</f>
        <v>0</v>
      </c>
      <c r="D316" s="39" t="str">
        <f>'Por Valoracion (3) Dimension'!B316</f>
        <v>0</v>
      </c>
      <c r="E316" s="39" t="str">
        <f>'Por Valoracion (3) Dimension 2'!J316</f>
        <v>0</v>
      </c>
      <c r="Z316" s="48"/>
      <c r="AB316" t="str">
        <f>('Inteligencia emocional'!A317)</f>
        <v>0</v>
      </c>
      <c r="AC316" s="39" t="str">
        <f>'Por Valoracion (3) Dimension'!D316</f>
        <v>0</v>
      </c>
      <c r="AD316" s="39" t="str">
        <f>'Por Valoracion (3) Dimension 2'!J316</f>
        <v>0</v>
      </c>
      <c r="AY316" s="48"/>
      <c r="BA316" t="str">
        <f>('Inteligencia emocional'!A317)</f>
        <v>0</v>
      </c>
      <c r="BB316" s="39" t="str">
        <f>'Por Valoracion (3) Dimension'!F316</f>
        <v>0</v>
      </c>
      <c r="BC316" s="39" t="str">
        <f>'Por Valoracion (3) Dimension 2'!J316</f>
        <v>0</v>
      </c>
      <c r="BX316" s="48"/>
      <c r="BZ316" s="49"/>
      <c r="CB316" t="str">
        <f>('Inteligencia emocional'!A317)</f>
        <v>0</v>
      </c>
      <c r="CC316" s="39" t="str">
        <f>'Por Valoracion (3) Dimension 2'!B316</f>
        <v>0</v>
      </c>
      <c r="CD316" s="39" t="str">
        <f>'Por Valoracion (3) Dimension'!H316</f>
        <v>0</v>
      </c>
      <c r="CY316" s="49"/>
      <c r="DA316" t="str">
        <f>('Inteligencia emocional'!A317)</f>
        <v>0</v>
      </c>
      <c r="DB316" s="39" t="str">
        <f>'Por Valoracion (3) Dimension 2'!D316</f>
        <v>0</v>
      </c>
      <c r="DC316" s="39" t="str">
        <f>'Por Valoracion (3) Dimension'!H316</f>
        <v>0</v>
      </c>
      <c r="DX316" s="49"/>
      <c r="DZ316" t="str">
        <f>('Inteligencia emocional'!A317)</f>
        <v>0</v>
      </c>
      <c r="EA316" s="39" t="str">
        <f>'Por Valoracion (3) Dimension 2'!F316</f>
        <v>0</v>
      </c>
      <c r="EB316" s="39" t="str">
        <f>'Por Valoracion (3) Dimension'!H316</f>
        <v>0</v>
      </c>
      <c r="EW316" s="49"/>
      <c r="EY316" t="str">
        <f>('Inteligencia emocional'!A317)</f>
        <v>0</v>
      </c>
      <c r="EZ316" s="39" t="str">
        <f>'Por Valoracion (3) Dimension 2'!H316</f>
        <v>0</v>
      </c>
      <c r="FA316" s="39" t="str">
        <f>'Por Valoracion (3) Dimension'!H316</f>
        <v>0</v>
      </c>
      <c r="FV316" s="49"/>
    </row>
    <row r="317" spans="1:178">
      <c r="A317" s="48"/>
      <c r="C317" t="str">
        <f>('Inteligencia emocional'!A318)</f>
        <v>0</v>
      </c>
      <c r="D317" s="39" t="str">
        <f>'Por Valoracion (3) Dimension'!B317</f>
        <v>0</v>
      </c>
      <c r="E317" s="39" t="str">
        <f>'Por Valoracion (3) Dimension 2'!J317</f>
        <v>0</v>
      </c>
      <c r="Z317" s="48"/>
      <c r="AB317" t="str">
        <f>('Inteligencia emocional'!A318)</f>
        <v>0</v>
      </c>
      <c r="AC317" s="39" t="str">
        <f>'Por Valoracion (3) Dimension'!D317</f>
        <v>0</v>
      </c>
      <c r="AD317" s="39" t="str">
        <f>'Por Valoracion (3) Dimension 2'!J317</f>
        <v>0</v>
      </c>
      <c r="AY317" s="48"/>
      <c r="BA317" t="str">
        <f>('Inteligencia emocional'!A318)</f>
        <v>0</v>
      </c>
      <c r="BB317" s="39" t="str">
        <f>'Por Valoracion (3) Dimension'!F317</f>
        <v>0</v>
      </c>
      <c r="BC317" s="39" t="str">
        <f>'Por Valoracion (3) Dimension 2'!J317</f>
        <v>0</v>
      </c>
      <c r="BX317" s="48"/>
      <c r="BZ317" s="49"/>
      <c r="CB317" t="str">
        <f>('Inteligencia emocional'!A318)</f>
        <v>0</v>
      </c>
      <c r="CC317" s="39" t="str">
        <f>'Por Valoracion (3) Dimension 2'!B317</f>
        <v>0</v>
      </c>
      <c r="CD317" s="39" t="str">
        <f>'Por Valoracion (3) Dimension'!H317</f>
        <v>0</v>
      </c>
      <c r="CY317" s="49"/>
      <c r="DA317" t="str">
        <f>('Inteligencia emocional'!A318)</f>
        <v>0</v>
      </c>
      <c r="DB317" s="39" t="str">
        <f>'Por Valoracion (3) Dimension 2'!D317</f>
        <v>0</v>
      </c>
      <c r="DC317" s="39" t="str">
        <f>'Por Valoracion (3) Dimension'!H317</f>
        <v>0</v>
      </c>
      <c r="DX317" s="49"/>
      <c r="DZ317" t="str">
        <f>('Inteligencia emocional'!A318)</f>
        <v>0</v>
      </c>
      <c r="EA317" s="39" t="str">
        <f>'Por Valoracion (3) Dimension 2'!F317</f>
        <v>0</v>
      </c>
      <c r="EB317" s="39" t="str">
        <f>'Por Valoracion (3) Dimension'!H317</f>
        <v>0</v>
      </c>
      <c r="EW317" s="49"/>
      <c r="EY317" t="str">
        <f>('Inteligencia emocional'!A318)</f>
        <v>0</v>
      </c>
      <c r="EZ317" s="39" t="str">
        <f>'Por Valoracion (3) Dimension 2'!H317</f>
        <v>0</v>
      </c>
      <c r="FA317" s="39" t="str">
        <f>'Por Valoracion (3) Dimension'!H317</f>
        <v>0</v>
      </c>
      <c r="FV317" s="49"/>
    </row>
    <row r="318" spans="1:178">
      <c r="A318" s="48"/>
      <c r="C318" t="str">
        <f>('Inteligencia emocional'!A319)</f>
        <v>0</v>
      </c>
      <c r="D318" s="39" t="str">
        <f>'Por Valoracion (3) Dimension'!B318</f>
        <v>0</v>
      </c>
      <c r="E318" s="39" t="str">
        <f>'Por Valoracion (3) Dimension 2'!J318</f>
        <v>0</v>
      </c>
      <c r="Z318" s="48"/>
      <c r="AB318" t="str">
        <f>('Inteligencia emocional'!A319)</f>
        <v>0</v>
      </c>
      <c r="AC318" s="39" t="str">
        <f>'Por Valoracion (3) Dimension'!D318</f>
        <v>0</v>
      </c>
      <c r="AD318" s="39" t="str">
        <f>'Por Valoracion (3) Dimension 2'!J318</f>
        <v>0</v>
      </c>
      <c r="AY318" s="48"/>
      <c r="BA318" t="str">
        <f>('Inteligencia emocional'!A319)</f>
        <v>0</v>
      </c>
      <c r="BB318" s="39" t="str">
        <f>'Por Valoracion (3) Dimension'!F318</f>
        <v>0</v>
      </c>
      <c r="BC318" s="39" t="str">
        <f>'Por Valoracion (3) Dimension 2'!J318</f>
        <v>0</v>
      </c>
      <c r="BX318" s="48"/>
      <c r="BZ318" s="49"/>
      <c r="CB318" t="str">
        <f>('Inteligencia emocional'!A319)</f>
        <v>0</v>
      </c>
      <c r="CC318" s="39" t="str">
        <f>'Por Valoracion (3) Dimension 2'!B318</f>
        <v>0</v>
      </c>
      <c r="CD318" s="39" t="str">
        <f>'Por Valoracion (3) Dimension'!H318</f>
        <v>0</v>
      </c>
      <c r="CY318" s="49"/>
      <c r="DA318" t="str">
        <f>('Inteligencia emocional'!A319)</f>
        <v>0</v>
      </c>
      <c r="DB318" s="39" t="str">
        <f>'Por Valoracion (3) Dimension 2'!D318</f>
        <v>0</v>
      </c>
      <c r="DC318" s="39" t="str">
        <f>'Por Valoracion (3) Dimension'!H318</f>
        <v>0</v>
      </c>
      <c r="DX318" s="49"/>
      <c r="DZ318" t="str">
        <f>('Inteligencia emocional'!A319)</f>
        <v>0</v>
      </c>
      <c r="EA318" s="39" t="str">
        <f>'Por Valoracion (3) Dimension 2'!F318</f>
        <v>0</v>
      </c>
      <c r="EB318" s="39" t="str">
        <f>'Por Valoracion (3) Dimension'!H318</f>
        <v>0</v>
      </c>
      <c r="EW318" s="49"/>
      <c r="EY318" t="str">
        <f>('Inteligencia emocional'!A319)</f>
        <v>0</v>
      </c>
      <c r="EZ318" s="39" t="str">
        <f>'Por Valoracion (3) Dimension 2'!H318</f>
        <v>0</v>
      </c>
      <c r="FA318" s="39" t="str">
        <f>'Por Valoracion (3) Dimension'!H318</f>
        <v>0</v>
      </c>
      <c r="FV318" s="49"/>
    </row>
    <row r="319" spans="1:178">
      <c r="A319" s="48"/>
      <c r="C319" t="str">
        <f>('Inteligencia emocional'!A320)</f>
        <v>0</v>
      </c>
      <c r="D319" s="39" t="str">
        <f>'Por Valoracion (3) Dimension'!B319</f>
        <v>0</v>
      </c>
      <c r="E319" s="39" t="str">
        <f>'Por Valoracion (3) Dimension 2'!J319</f>
        <v>0</v>
      </c>
      <c r="Z319" s="48"/>
      <c r="AB319" t="str">
        <f>('Inteligencia emocional'!A320)</f>
        <v>0</v>
      </c>
      <c r="AC319" s="39" t="str">
        <f>'Por Valoracion (3) Dimension'!D319</f>
        <v>0</v>
      </c>
      <c r="AD319" s="39" t="str">
        <f>'Por Valoracion (3) Dimension 2'!J319</f>
        <v>0</v>
      </c>
      <c r="AY319" s="48"/>
      <c r="BA319" t="str">
        <f>('Inteligencia emocional'!A320)</f>
        <v>0</v>
      </c>
      <c r="BB319" s="39" t="str">
        <f>'Por Valoracion (3) Dimension'!F319</f>
        <v>0</v>
      </c>
      <c r="BC319" s="39" t="str">
        <f>'Por Valoracion (3) Dimension 2'!J319</f>
        <v>0</v>
      </c>
      <c r="BX319" s="48"/>
      <c r="BZ319" s="49"/>
      <c r="CB319" t="str">
        <f>('Inteligencia emocional'!A320)</f>
        <v>0</v>
      </c>
      <c r="CC319" s="39" t="str">
        <f>'Por Valoracion (3) Dimension 2'!B319</f>
        <v>0</v>
      </c>
      <c r="CD319" s="39" t="str">
        <f>'Por Valoracion (3) Dimension'!H319</f>
        <v>0</v>
      </c>
      <c r="CY319" s="49"/>
      <c r="DA319" t="str">
        <f>('Inteligencia emocional'!A320)</f>
        <v>0</v>
      </c>
      <c r="DB319" s="39" t="str">
        <f>'Por Valoracion (3) Dimension 2'!D319</f>
        <v>0</v>
      </c>
      <c r="DC319" s="39" t="str">
        <f>'Por Valoracion (3) Dimension'!H319</f>
        <v>0</v>
      </c>
      <c r="DX319" s="49"/>
      <c r="DZ319" t="str">
        <f>('Inteligencia emocional'!A320)</f>
        <v>0</v>
      </c>
      <c r="EA319" s="39" t="str">
        <f>'Por Valoracion (3) Dimension 2'!F319</f>
        <v>0</v>
      </c>
      <c r="EB319" s="39" t="str">
        <f>'Por Valoracion (3) Dimension'!H319</f>
        <v>0</v>
      </c>
      <c r="EW319" s="49"/>
      <c r="EY319" t="str">
        <f>('Inteligencia emocional'!A320)</f>
        <v>0</v>
      </c>
      <c r="EZ319" s="39" t="str">
        <f>'Por Valoracion (3) Dimension 2'!H319</f>
        <v>0</v>
      </c>
      <c r="FA319" s="39" t="str">
        <f>'Por Valoracion (3) Dimension'!H319</f>
        <v>0</v>
      </c>
      <c r="FV319" s="49"/>
    </row>
    <row r="320" spans="1:178">
      <c r="A320" s="48"/>
      <c r="C320" t="str">
        <f>('Inteligencia emocional'!A321)</f>
        <v>0</v>
      </c>
      <c r="D320" s="39" t="str">
        <f>'Por Valoracion (3) Dimension'!B320</f>
        <v>0</v>
      </c>
      <c r="E320" s="39" t="str">
        <f>'Por Valoracion (3) Dimension 2'!J320</f>
        <v>0</v>
      </c>
      <c r="Z320" s="48"/>
      <c r="AB320" t="str">
        <f>('Inteligencia emocional'!A321)</f>
        <v>0</v>
      </c>
      <c r="AC320" s="39" t="str">
        <f>'Por Valoracion (3) Dimension'!D320</f>
        <v>0</v>
      </c>
      <c r="AD320" s="39" t="str">
        <f>'Por Valoracion (3) Dimension 2'!J320</f>
        <v>0</v>
      </c>
      <c r="AY320" s="48"/>
      <c r="BA320" t="str">
        <f>('Inteligencia emocional'!A321)</f>
        <v>0</v>
      </c>
      <c r="BB320" s="39" t="str">
        <f>'Por Valoracion (3) Dimension'!F320</f>
        <v>0</v>
      </c>
      <c r="BC320" s="39" t="str">
        <f>'Por Valoracion (3) Dimension 2'!J320</f>
        <v>0</v>
      </c>
      <c r="BX320" s="48"/>
      <c r="BZ320" s="49"/>
      <c r="CB320" t="str">
        <f>('Inteligencia emocional'!A321)</f>
        <v>0</v>
      </c>
      <c r="CC320" s="39" t="str">
        <f>'Por Valoracion (3) Dimension 2'!B320</f>
        <v>0</v>
      </c>
      <c r="CD320" s="39" t="str">
        <f>'Por Valoracion (3) Dimension'!H320</f>
        <v>0</v>
      </c>
      <c r="CY320" s="49"/>
      <c r="DA320" t="str">
        <f>('Inteligencia emocional'!A321)</f>
        <v>0</v>
      </c>
      <c r="DB320" s="39" t="str">
        <f>'Por Valoracion (3) Dimension 2'!D320</f>
        <v>0</v>
      </c>
      <c r="DC320" s="39" t="str">
        <f>'Por Valoracion (3) Dimension'!H320</f>
        <v>0</v>
      </c>
      <c r="DX320" s="49"/>
      <c r="DZ320" t="str">
        <f>('Inteligencia emocional'!A321)</f>
        <v>0</v>
      </c>
      <c r="EA320" s="39" t="str">
        <f>'Por Valoracion (3) Dimension 2'!F320</f>
        <v>0</v>
      </c>
      <c r="EB320" s="39" t="str">
        <f>'Por Valoracion (3) Dimension'!H320</f>
        <v>0</v>
      </c>
      <c r="EW320" s="49"/>
      <c r="EY320" t="str">
        <f>('Inteligencia emocional'!A321)</f>
        <v>0</v>
      </c>
      <c r="EZ320" s="39" t="str">
        <f>'Por Valoracion (3) Dimension 2'!H320</f>
        <v>0</v>
      </c>
      <c r="FA320" s="39" t="str">
        <f>'Por Valoracion (3) Dimension'!H320</f>
        <v>0</v>
      </c>
      <c r="FV320" s="49"/>
    </row>
    <row r="321" spans="1:178">
      <c r="A321" s="48"/>
      <c r="C321" t="str">
        <f>('Inteligencia emocional'!A322)</f>
        <v>0</v>
      </c>
      <c r="D321" s="39" t="str">
        <f>'Por Valoracion (3) Dimension'!B321</f>
        <v>0</v>
      </c>
      <c r="E321" s="39" t="str">
        <f>'Por Valoracion (3) Dimension 2'!J321</f>
        <v>0</v>
      </c>
      <c r="Z321" s="48"/>
      <c r="AB321" t="str">
        <f>('Inteligencia emocional'!A322)</f>
        <v>0</v>
      </c>
      <c r="AC321" s="39" t="str">
        <f>'Por Valoracion (3) Dimension'!D321</f>
        <v>0</v>
      </c>
      <c r="AD321" s="39" t="str">
        <f>'Por Valoracion (3) Dimension 2'!J321</f>
        <v>0</v>
      </c>
      <c r="AY321" s="48"/>
      <c r="BA321" t="str">
        <f>('Inteligencia emocional'!A322)</f>
        <v>0</v>
      </c>
      <c r="BB321" s="39" t="str">
        <f>'Por Valoracion (3) Dimension'!F321</f>
        <v>0</v>
      </c>
      <c r="BC321" s="39" t="str">
        <f>'Por Valoracion (3) Dimension 2'!J321</f>
        <v>0</v>
      </c>
      <c r="BX321" s="48"/>
      <c r="BZ321" s="49"/>
      <c r="CB321" t="str">
        <f>('Inteligencia emocional'!A322)</f>
        <v>0</v>
      </c>
      <c r="CC321" s="39" t="str">
        <f>'Por Valoracion (3) Dimension 2'!B321</f>
        <v>0</v>
      </c>
      <c r="CD321" s="39" t="str">
        <f>'Por Valoracion (3) Dimension'!H321</f>
        <v>0</v>
      </c>
      <c r="CY321" s="49"/>
      <c r="DA321" t="str">
        <f>('Inteligencia emocional'!A322)</f>
        <v>0</v>
      </c>
      <c r="DB321" s="39" t="str">
        <f>'Por Valoracion (3) Dimension 2'!D321</f>
        <v>0</v>
      </c>
      <c r="DC321" s="39" t="str">
        <f>'Por Valoracion (3) Dimension'!H321</f>
        <v>0</v>
      </c>
      <c r="DX321" s="49"/>
      <c r="DZ321" t="str">
        <f>('Inteligencia emocional'!A322)</f>
        <v>0</v>
      </c>
      <c r="EA321" s="39" t="str">
        <f>'Por Valoracion (3) Dimension 2'!F321</f>
        <v>0</v>
      </c>
      <c r="EB321" s="39" t="str">
        <f>'Por Valoracion (3) Dimension'!H321</f>
        <v>0</v>
      </c>
      <c r="EW321" s="49"/>
      <c r="EY321" t="str">
        <f>('Inteligencia emocional'!A322)</f>
        <v>0</v>
      </c>
      <c r="EZ321" s="39" t="str">
        <f>'Por Valoracion (3) Dimension 2'!H321</f>
        <v>0</v>
      </c>
      <c r="FA321" s="39" t="str">
        <f>'Por Valoracion (3) Dimension'!H321</f>
        <v>0</v>
      </c>
      <c r="FV321" s="49"/>
    </row>
    <row r="322" spans="1:178">
      <c r="A322" s="48"/>
      <c r="C322" t="str">
        <f>('Inteligencia emocional'!A323)</f>
        <v>0</v>
      </c>
      <c r="D322" s="39" t="str">
        <f>'Por Valoracion (3) Dimension'!B322</f>
        <v>0</v>
      </c>
      <c r="E322" s="39" t="str">
        <f>'Por Valoracion (3) Dimension 2'!J322</f>
        <v>0</v>
      </c>
      <c r="Z322" s="48"/>
      <c r="AB322" t="str">
        <f>('Inteligencia emocional'!A323)</f>
        <v>0</v>
      </c>
      <c r="AC322" s="39" t="str">
        <f>'Por Valoracion (3) Dimension'!D322</f>
        <v>0</v>
      </c>
      <c r="AD322" s="39" t="str">
        <f>'Por Valoracion (3) Dimension 2'!J322</f>
        <v>0</v>
      </c>
      <c r="AY322" s="48"/>
      <c r="BA322" t="str">
        <f>('Inteligencia emocional'!A323)</f>
        <v>0</v>
      </c>
      <c r="BB322" s="39" t="str">
        <f>'Por Valoracion (3) Dimension'!F322</f>
        <v>0</v>
      </c>
      <c r="BC322" s="39" t="str">
        <f>'Por Valoracion (3) Dimension 2'!J322</f>
        <v>0</v>
      </c>
      <c r="BX322" s="48"/>
      <c r="BZ322" s="49"/>
      <c r="CB322" t="str">
        <f>('Inteligencia emocional'!A323)</f>
        <v>0</v>
      </c>
      <c r="CC322" s="39" t="str">
        <f>'Por Valoracion (3) Dimension 2'!B322</f>
        <v>0</v>
      </c>
      <c r="CD322" s="39" t="str">
        <f>'Por Valoracion (3) Dimension'!H322</f>
        <v>0</v>
      </c>
      <c r="CY322" s="49"/>
      <c r="DA322" t="str">
        <f>('Inteligencia emocional'!A323)</f>
        <v>0</v>
      </c>
      <c r="DB322" s="39" t="str">
        <f>'Por Valoracion (3) Dimension 2'!D322</f>
        <v>0</v>
      </c>
      <c r="DC322" s="39" t="str">
        <f>'Por Valoracion (3) Dimension'!H322</f>
        <v>0</v>
      </c>
      <c r="DX322" s="49"/>
      <c r="DZ322" t="str">
        <f>('Inteligencia emocional'!A323)</f>
        <v>0</v>
      </c>
      <c r="EA322" s="39" t="str">
        <f>'Por Valoracion (3) Dimension 2'!F322</f>
        <v>0</v>
      </c>
      <c r="EB322" s="39" t="str">
        <f>'Por Valoracion (3) Dimension'!H322</f>
        <v>0</v>
      </c>
      <c r="EW322" s="49"/>
      <c r="EY322" t="str">
        <f>('Inteligencia emocional'!A323)</f>
        <v>0</v>
      </c>
      <c r="EZ322" s="39" t="str">
        <f>'Por Valoracion (3) Dimension 2'!H322</f>
        <v>0</v>
      </c>
      <c r="FA322" s="39" t="str">
        <f>'Por Valoracion (3) Dimension'!H322</f>
        <v>0</v>
      </c>
      <c r="FV322" s="49"/>
    </row>
    <row r="323" spans="1:178">
      <c r="A323" s="48"/>
      <c r="C323" t="str">
        <f>('Inteligencia emocional'!A324)</f>
        <v>0</v>
      </c>
      <c r="D323" s="39" t="str">
        <f>'Por Valoracion (3) Dimension'!B323</f>
        <v>0</v>
      </c>
      <c r="E323" s="39" t="str">
        <f>'Por Valoracion (3) Dimension 2'!J323</f>
        <v>0</v>
      </c>
      <c r="Z323" s="48"/>
      <c r="AB323" t="str">
        <f>('Inteligencia emocional'!A324)</f>
        <v>0</v>
      </c>
      <c r="AC323" s="39" t="str">
        <f>'Por Valoracion (3) Dimension'!D323</f>
        <v>0</v>
      </c>
      <c r="AD323" s="39" t="str">
        <f>'Por Valoracion (3) Dimension 2'!J323</f>
        <v>0</v>
      </c>
      <c r="AY323" s="48"/>
      <c r="BA323" t="str">
        <f>('Inteligencia emocional'!A324)</f>
        <v>0</v>
      </c>
      <c r="BB323" s="39" t="str">
        <f>'Por Valoracion (3) Dimension'!F323</f>
        <v>0</v>
      </c>
      <c r="BC323" s="39" t="str">
        <f>'Por Valoracion (3) Dimension 2'!J323</f>
        <v>0</v>
      </c>
      <c r="BX323" s="48"/>
      <c r="BZ323" s="49"/>
      <c r="CB323" t="str">
        <f>('Inteligencia emocional'!A324)</f>
        <v>0</v>
      </c>
      <c r="CC323" s="39" t="str">
        <f>'Por Valoracion (3) Dimension 2'!B323</f>
        <v>0</v>
      </c>
      <c r="CD323" s="39" t="str">
        <f>'Por Valoracion (3) Dimension'!H323</f>
        <v>0</v>
      </c>
      <c r="CY323" s="49"/>
      <c r="DA323" t="str">
        <f>('Inteligencia emocional'!A324)</f>
        <v>0</v>
      </c>
      <c r="DB323" s="39" t="str">
        <f>'Por Valoracion (3) Dimension 2'!D323</f>
        <v>0</v>
      </c>
      <c r="DC323" s="39" t="str">
        <f>'Por Valoracion (3) Dimension'!H323</f>
        <v>0</v>
      </c>
      <c r="DX323" s="49"/>
      <c r="DZ323" t="str">
        <f>('Inteligencia emocional'!A324)</f>
        <v>0</v>
      </c>
      <c r="EA323" s="39" t="str">
        <f>'Por Valoracion (3) Dimension 2'!F323</f>
        <v>0</v>
      </c>
      <c r="EB323" s="39" t="str">
        <f>'Por Valoracion (3) Dimension'!H323</f>
        <v>0</v>
      </c>
      <c r="EW323" s="49"/>
      <c r="EY323" t="str">
        <f>('Inteligencia emocional'!A324)</f>
        <v>0</v>
      </c>
      <c r="EZ323" s="39" t="str">
        <f>'Por Valoracion (3) Dimension 2'!H323</f>
        <v>0</v>
      </c>
      <c r="FA323" s="39" t="str">
        <f>'Por Valoracion (3) Dimension'!H323</f>
        <v>0</v>
      </c>
      <c r="FV323" s="49"/>
    </row>
    <row r="324" spans="1:178">
      <c r="A324" s="48"/>
      <c r="C324" t="str">
        <f>('Inteligencia emocional'!A325)</f>
        <v>0</v>
      </c>
      <c r="D324" s="39" t="str">
        <f>'Por Valoracion (3) Dimension'!B324</f>
        <v>0</v>
      </c>
      <c r="E324" s="39" t="str">
        <f>'Por Valoracion (3) Dimension 2'!J324</f>
        <v>0</v>
      </c>
      <c r="Z324" s="48"/>
      <c r="AB324" t="str">
        <f>('Inteligencia emocional'!A325)</f>
        <v>0</v>
      </c>
      <c r="AC324" s="39" t="str">
        <f>'Por Valoracion (3) Dimension'!D324</f>
        <v>0</v>
      </c>
      <c r="AD324" s="39" t="str">
        <f>'Por Valoracion (3) Dimension 2'!J324</f>
        <v>0</v>
      </c>
      <c r="AY324" s="48"/>
      <c r="BA324" t="str">
        <f>('Inteligencia emocional'!A325)</f>
        <v>0</v>
      </c>
      <c r="BB324" s="39" t="str">
        <f>'Por Valoracion (3) Dimension'!F324</f>
        <v>0</v>
      </c>
      <c r="BC324" s="39" t="str">
        <f>'Por Valoracion (3) Dimension 2'!J324</f>
        <v>0</v>
      </c>
      <c r="BX324" s="48"/>
      <c r="BZ324" s="49"/>
      <c r="CB324" t="str">
        <f>('Inteligencia emocional'!A325)</f>
        <v>0</v>
      </c>
      <c r="CC324" s="39" t="str">
        <f>'Por Valoracion (3) Dimension 2'!B324</f>
        <v>0</v>
      </c>
      <c r="CD324" s="39" t="str">
        <f>'Por Valoracion (3) Dimension'!H324</f>
        <v>0</v>
      </c>
      <c r="CY324" s="49"/>
      <c r="DA324" t="str">
        <f>('Inteligencia emocional'!A325)</f>
        <v>0</v>
      </c>
      <c r="DB324" s="39" t="str">
        <f>'Por Valoracion (3) Dimension 2'!D324</f>
        <v>0</v>
      </c>
      <c r="DC324" s="39" t="str">
        <f>'Por Valoracion (3) Dimension'!H324</f>
        <v>0</v>
      </c>
      <c r="DX324" s="49"/>
      <c r="DZ324" t="str">
        <f>('Inteligencia emocional'!A325)</f>
        <v>0</v>
      </c>
      <c r="EA324" s="39" t="str">
        <f>'Por Valoracion (3) Dimension 2'!F324</f>
        <v>0</v>
      </c>
      <c r="EB324" s="39" t="str">
        <f>'Por Valoracion (3) Dimension'!H324</f>
        <v>0</v>
      </c>
      <c r="EW324" s="49"/>
      <c r="EY324" t="str">
        <f>('Inteligencia emocional'!A325)</f>
        <v>0</v>
      </c>
      <c r="EZ324" s="39" t="str">
        <f>'Por Valoracion (3) Dimension 2'!H324</f>
        <v>0</v>
      </c>
      <c r="FA324" s="39" t="str">
        <f>'Por Valoracion (3) Dimension'!H324</f>
        <v>0</v>
      </c>
      <c r="FV324" s="49"/>
    </row>
    <row r="325" spans="1:178">
      <c r="A325" s="48"/>
      <c r="C325" t="str">
        <f>('Inteligencia emocional'!A326)</f>
        <v>0</v>
      </c>
      <c r="D325" s="39" t="str">
        <f>'Por Valoracion (3) Dimension'!B325</f>
        <v>0</v>
      </c>
      <c r="E325" s="39" t="str">
        <f>'Por Valoracion (3) Dimension 2'!J325</f>
        <v>0</v>
      </c>
      <c r="Z325" s="48"/>
      <c r="AB325" t="str">
        <f>('Inteligencia emocional'!A326)</f>
        <v>0</v>
      </c>
      <c r="AC325" s="39" t="str">
        <f>'Por Valoracion (3) Dimension'!D325</f>
        <v>0</v>
      </c>
      <c r="AD325" s="39" t="str">
        <f>'Por Valoracion (3) Dimension 2'!J325</f>
        <v>0</v>
      </c>
      <c r="AY325" s="48"/>
      <c r="BA325" t="str">
        <f>('Inteligencia emocional'!A326)</f>
        <v>0</v>
      </c>
      <c r="BB325" s="39" t="str">
        <f>'Por Valoracion (3) Dimension'!F325</f>
        <v>0</v>
      </c>
      <c r="BC325" s="39" t="str">
        <f>'Por Valoracion (3) Dimension 2'!J325</f>
        <v>0</v>
      </c>
      <c r="BX325" s="48"/>
      <c r="BZ325" s="49"/>
      <c r="CB325" t="str">
        <f>('Inteligencia emocional'!A326)</f>
        <v>0</v>
      </c>
      <c r="CC325" s="39" t="str">
        <f>'Por Valoracion (3) Dimension 2'!B325</f>
        <v>0</v>
      </c>
      <c r="CD325" s="39" t="str">
        <f>'Por Valoracion (3) Dimension'!H325</f>
        <v>0</v>
      </c>
      <c r="CY325" s="49"/>
      <c r="DA325" t="str">
        <f>('Inteligencia emocional'!A326)</f>
        <v>0</v>
      </c>
      <c r="DB325" s="39" t="str">
        <f>'Por Valoracion (3) Dimension 2'!D325</f>
        <v>0</v>
      </c>
      <c r="DC325" s="39" t="str">
        <f>'Por Valoracion (3) Dimension'!H325</f>
        <v>0</v>
      </c>
      <c r="DX325" s="49"/>
      <c r="DZ325" t="str">
        <f>('Inteligencia emocional'!A326)</f>
        <v>0</v>
      </c>
      <c r="EA325" s="39" t="str">
        <f>'Por Valoracion (3) Dimension 2'!F325</f>
        <v>0</v>
      </c>
      <c r="EB325" s="39" t="str">
        <f>'Por Valoracion (3) Dimension'!H325</f>
        <v>0</v>
      </c>
      <c r="EW325" s="49"/>
      <c r="EY325" t="str">
        <f>('Inteligencia emocional'!A326)</f>
        <v>0</v>
      </c>
      <c r="EZ325" s="39" t="str">
        <f>'Por Valoracion (3) Dimension 2'!H325</f>
        <v>0</v>
      </c>
      <c r="FA325" s="39" t="str">
        <f>'Por Valoracion (3) Dimension'!H325</f>
        <v>0</v>
      </c>
      <c r="FV325" s="49"/>
    </row>
    <row r="326" spans="1:178">
      <c r="A326" s="48"/>
      <c r="C326" t="str">
        <f>('Inteligencia emocional'!A327)</f>
        <v>0</v>
      </c>
      <c r="D326" s="39" t="str">
        <f>'Por Valoracion (3) Dimension'!B326</f>
        <v>0</v>
      </c>
      <c r="E326" s="39" t="str">
        <f>'Por Valoracion (3) Dimension 2'!J326</f>
        <v>0</v>
      </c>
      <c r="Z326" s="48"/>
      <c r="AB326" t="str">
        <f>('Inteligencia emocional'!A327)</f>
        <v>0</v>
      </c>
      <c r="AC326" s="39" t="str">
        <f>'Por Valoracion (3) Dimension'!D326</f>
        <v>0</v>
      </c>
      <c r="AD326" s="39" t="str">
        <f>'Por Valoracion (3) Dimension 2'!J326</f>
        <v>0</v>
      </c>
      <c r="AY326" s="48"/>
      <c r="BA326" t="str">
        <f>('Inteligencia emocional'!A327)</f>
        <v>0</v>
      </c>
      <c r="BB326" s="39" t="str">
        <f>'Por Valoracion (3) Dimension'!F326</f>
        <v>0</v>
      </c>
      <c r="BC326" s="39" t="str">
        <f>'Por Valoracion (3) Dimension 2'!J326</f>
        <v>0</v>
      </c>
      <c r="BX326" s="48"/>
      <c r="BZ326" s="49"/>
      <c r="CB326" t="str">
        <f>('Inteligencia emocional'!A327)</f>
        <v>0</v>
      </c>
      <c r="CC326" s="39" t="str">
        <f>'Por Valoracion (3) Dimension 2'!B326</f>
        <v>0</v>
      </c>
      <c r="CD326" s="39" t="str">
        <f>'Por Valoracion (3) Dimension'!H326</f>
        <v>0</v>
      </c>
      <c r="CY326" s="49"/>
      <c r="DA326" t="str">
        <f>('Inteligencia emocional'!A327)</f>
        <v>0</v>
      </c>
      <c r="DB326" s="39" t="str">
        <f>'Por Valoracion (3) Dimension 2'!D326</f>
        <v>0</v>
      </c>
      <c r="DC326" s="39" t="str">
        <f>'Por Valoracion (3) Dimension'!H326</f>
        <v>0</v>
      </c>
      <c r="DX326" s="49"/>
      <c r="DZ326" t="str">
        <f>('Inteligencia emocional'!A327)</f>
        <v>0</v>
      </c>
      <c r="EA326" s="39" t="str">
        <f>'Por Valoracion (3) Dimension 2'!F326</f>
        <v>0</v>
      </c>
      <c r="EB326" s="39" t="str">
        <f>'Por Valoracion (3) Dimension'!H326</f>
        <v>0</v>
      </c>
      <c r="EW326" s="49"/>
      <c r="EY326" t="str">
        <f>('Inteligencia emocional'!A327)</f>
        <v>0</v>
      </c>
      <c r="EZ326" s="39" t="str">
        <f>'Por Valoracion (3) Dimension 2'!H326</f>
        <v>0</v>
      </c>
      <c r="FA326" s="39" t="str">
        <f>'Por Valoracion (3) Dimension'!H326</f>
        <v>0</v>
      </c>
      <c r="FV326" s="49"/>
    </row>
    <row r="327" spans="1:178">
      <c r="A327" s="48"/>
      <c r="C327" t="str">
        <f>('Inteligencia emocional'!A328)</f>
        <v>0</v>
      </c>
      <c r="D327" s="39" t="str">
        <f>'Por Valoracion (3) Dimension'!B327</f>
        <v>0</v>
      </c>
      <c r="E327" s="39" t="str">
        <f>'Por Valoracion (3) Dimension 2'!J327</f>
        <v>0</v>
      </c>
      <c r="Z327" s="48"/>
      <c r="AB327" t="str">
        <f>('Inteligencia emocional'!A328)</f>
        <v>0</v>
      </c>
      <c r="AC327" s="39" t="str">
        <f>'Por Valoracion (3) Dimension'!D327</f>
        <v>0</v>
      </c>
      <c r="AD327" s="39" t="str">
        <f>'Por Valoracion (3) Dimension 2'!J327</f>
        <v>0</v>
      </c>
      <c r="AY327" s="48"/>
      <c r="BA327" t="str">
        <f>('Inteligencia emocional'!A328)</f>
        <v>0</v>
      </c>
      <c r="BB327" s="39" t="str">
        <f>'Por Valoracion (3) Dimension'!F327</f>
        <v>0</v>
      </c>
      <c r="BC327" s="39" t="str">
        <f>'Por Valoracion (3) Dimension 2'!J327</f>
        <v>0</v>
      </c>
      <c r="BX327" s="48"/>
      <c r="BZ327" s="49"/>
      <c r="CB327" t="str">
        <f>('Inteligencia emocional'!A328)</f>
        <v>0</v>
      </c>
      <c r="CC327" s="39" t="str">
        <f>'Por Valoracion (3) Dimension 2'!B327</f>
        <v>0</v>
      </c>
      <c r="CD327" s="39" t="str">
        <f>'Por Valoracion (3) Dimension'!H327</f>
        <v>0</v>
      </c>
      <c r="CY327" s="49"/>
      <c r="DA327" t="str">
        <f>('Inteligencia emocional'!A328)</f>
        <v>0</v>
      </c>
      <c r="DB327" s="39" t="str">
        <f>'Por Valoracion (3) Dimension 2'!D327</f>
        <v>0</v>
      </c>
      <c r="DC327" s="39" t="str">
        <f>'Por Valoracion (3) Dimension'!H327</f>
        <v>0</v>
      </c>
      <c r="DX327" s="49"/>
      <c r="DZ327" t="str">
        <f>('Inteligencia emocional'!A328)</f>
        <v>0</v>
      </c>
      <c r="EA327" s="39" t="str">
        <f>'Por Valoracion (3) Dimension 2'!F327</f>
        <v>0</v>
      </c>
      <c r="EB327" s="39" t="str">
        <f>'Por Valoracion (3) Dimension'!H327</f>
        <v>0</v>
      </c>
      <c r="EW327" s="49"/>
      <c r="EY327" t="str">
        <f>('Inteligencia emocional'!A328)</f>
        <v>0</v>
      </c>
      <c r="EZ327" s="39" t="str">
        <f>'Por Valoracion (3) Dimension 2'!H327</f>
        <v>0</v>
      </c>
      <c r="FA327" s="39" t="str">
        <f>'Por Valoracion (3) Dimension'!H327</f>
        <v>0</v>
      </c>
      <c r="FV327" s="49"/>
    </row>
    <row r="328" spans="1:178">
      <c r="A328" s="48"/>
      <c r="C328" t="str">
        <f>('Inteligencia emocional'!A329)</f>
        <v>0</v>
      </c>
      <c r="D328" s="39" t="str">
        <f>'Por Valoracion (3) Dimension'!B328</f>
        <v>0</v>
      </c>
      <c r="E328" s="39" t="str">
        <f>'Por Valoracion (3) Dimension 2'!J328</f>
        <v>0</v>
      </c>
      <c r="Z328" s="48"/>
      <c r="AB328" t="str">
        <f>('Inteligencia emocional'!A329)</f>
        <v>0</v>
      </c>
      <c r="AC328" s="39" t="str">
        <f>'Por Valoracion (3) Dimension'!D328</f>
        <v>0</v>
      </c>
      <c r="AD328" s="39" t="str">
        <f>'Por Valoracion (3) Dimension 2'!J328</f>
        <v>0</v>
      </c>
      <c r="AY328" s="48"/>
      <c r="BA328" t="str">
        <f>('Inteligencia emocional'!A329)</f>
        <v>0</v>
      </c>
      <c r="BB328" s="39" t="str">
        <f>'Por Valoracion (3) Dimension'!F328</f>
        <v>0</v>
      </c>
      <c r="BC328" s="39" t="str">
        <f>'Por Valoracion (3) Dimension 2'!J328</f>
        <v>0</v>
      </c>
      <c r="BX328" s="48"/>
      <c r="BZ328" s="49"/>
      <c r="CB328" t="str">
        <f>('Inteligencia emocional'!A329)</f>
        <v>0</v>
      </c>
      <c r="CC328" s="39" t="str">
        <f>'Por Valoracion (3) Dimension 2'!B328</f>
        <v>0</v>
      </c>
      <c r="CD328" s="39" t="str">
        <f>'Por Valoracion (3) Dimension'!H328</f>
        <v>0</v>
      </c>
      <c r="CY328" s="49"/>
      <c r="DA328" t="str">
        <f>('Inteligencia emocional'!A329)</f>
        <v>0</v>
      </c>
      <c r="DB328" s="39" t="str">
        <f>'Por Valoracion (3) Dimension 2'!D328</f>
        <v>0</v>
      </c>
      <c r="DC328" s="39" t="str">
        <f>'Por Valoracion (3) Dimension'!H328</f>
        <v>0</v>
      </c>
      <c r="DX328" s="49"/>
      <c r="DZ328" t="str">
        <f>('Inteligencia emocional'!A329)</f>
        <v>0</v>
      </c>
      <c r="EA328" s="39" t="str">
        <f>'Por Valoracion (3) Dimension 2'!F328</f>
        <v>0</v>
      </c>
      <c r="EB328" s="39" t="str">
        <f>'Por Valoracion (3) Dimension'!H328</f>
        <v>0</v>
      </c>
      <c r="EW328" s="49"/>
      <c r="EY328" t="str">
        <f>('Inteligencia emocional'!A329)</f>
        <v>0</v>
      </c>
      <c r="EZ328" s="39" t="str">
        <f>'Por Valoracion (3) Dimension 2'!H328</f>
        <v>0</v>
      </c>
      <c r="FA328" s="39" t="str">
        <f>'Por Valoracion (3) Dimension'!H328</f>
        <v>0</v>
      </c>
      <c r="FV328" s="49"/>
    </row>
    <row r="329" spans="1:178">
      <c r="A329" s="48"/>
      <c r="C329" t="str">
        <f>('Inteligencia emocional'!A330)</f>
        <v>0</v>
      </c>
      <c r="D329" s="39" t="str">
        <f>'Por Valoracion (3) Dimension'!B329</f>
        <v>0</v>
      </c>
      <c r="E329" s="39" t="str">
        <f>'Por Valoracion (3) Dimension 2'!J329</f>
        <v>0</v>
      </c>
      <c r="Z329" s="48"/>
      <c r="AB329" t="str">
        <f>('Inteligencia emocional'!A330)</f>
        <v>0</v>
      </c>
      <c r="AC329" s="39" t="str">
        <f>'Por Valoracion (3) Dimension'!D329</f>
        <v>0</v>
      </c>
      <c r="AD329" s="39" t="str">
        <f>'Por Valoracion (3) Dimension 2'!J329</f>
        <v>0</v>
      </c>
      <c r="AY329" s="48"/>
      <c r="BA329" t="str">
        <f>('Inteligencia emocional'!A330)</f>
        <v>0</v>
      </c>
      <c r="BB329" s="39" t="str">
        <f>'Por Valoracion (3) Dimension'!F329</f>
        <v>0</v>
      </c>
      <c r="BC329" s="39" t="str">
        <f>'Por Valoracion (3) Dimension 2'!J329</f>
        <v>0</v>
      </c>
      <c r="BX329" s="48"/>
      <c r="BZ329" s="49"/>
      <c r="CB329" t="str">
        <f>('Inteligencia emocional'!A330)</f>
        <v>0</v>
      </c>
      <c r="CC329" s="39" t="str">
        <f>'Por Valoracion (3) Dimension 2'!B329</f>
        <v>0</v>
      </c>
      <c r="CD329" s="39" t="str">
        <f>'Por Valoracion (3) Dimension'!H329</f>
        <v>0</v>
      </c>
      <c r="CY329" s="49"/>
      <c r="DA329" t="str">
        <f>('Inteligencia emocional'!A330)</f>
        <v>0</v>
      </c>
      <c r="DB329" s="39" t="str">
        <f>'Por Valoracion (3) Dimension 2'!D329</f>
        <v>0</v>
      </c>
      <c r="DC329" s="39" t="str">
        <f>'Por Valoracion (3) Dimension'!H329</f>
        <v>0</v>
      </c>
      <c r="DX329" s="49"/>
      <c r="DZ329" t="str">
        <f>('Inteligencia emocional'!A330)</f>
        <v>0</v>
      </c>
      <c r="EA329" s="39" t="str">
        <f>'Por Valoracion (3) Dimension 2'!F329</f>
        <v>0</v>
      </c>
      <c r="EB329" s="39" t="str">
        <f>'Por Valoracion (3) Dimension'!H329</f>
        <v>0</v>
      </c>
      <c r="EW329" s="49"/>
      <c r="EY329" t="str">
        <f>('Inteligencia emocional'!A330)</f>
        <v>0</v>
      </c>
      <c r="EZ329" s="39" t="str">
        <f>'Por Valoracion (3) Dimension 2'!H329</f>
        <v>0</v>
      </c>
      <c r="FA329" s="39" t="str">
        <f>'Por Valoracion (3) Dimension'!H329</f>
        <v>0</v>
      </c>
      <c r="FV329" s="49"/>
    </row>
    <row r="330" spans="1:178">
      <c r="A330" s="48"/>
      <c r="C330" t="str">
        <f>('Inteligencia emocional'!A331)</f>
        <v>0</v>
      </c>
      <c r="D330" s="39" t="str">
        <f>'Por Valoracion (3) Dimension'!B330</f>
        <v>0</v>
      </c>
      <c r="E330" s="39" t="str">
        <f>'Por Valoracion (3) Dimension 2'!J330</f>
        <v>0</v>
      </c>
      <c r="Z330" s="48"/>
      <c r="AB330" t="str">
        <f>('Inteligencia emocional'!A331)</f>
        <v>0</v>
      </c>
      <c r="AC330" s="39" t="str">
        <f>'Por Valoracion (3) Dimension'!D330</f>
        <v>0</v>
      </c>
      <c r="AD330" s="39" t="str">
        <f>'Por Valoracion (3) Dimension 2'!J330</f>
        <v>0</v>
      </c>
      <c r="AY330" s="48"/>
      <c r="BA330" t="str">
        <f>('Inteligencia emocional'!A331)</f>
        <v>0</v>
      </c>
      <c r="BB330" s="39" t="str">
        <f>'Por Valoracion (3) Dimension'!F330</f>
        <v>0</v>
      </c>
      <c r="BC330" s="39" t="str">
        <f>'Por Valoracion (3) Dimension 2'!J330</f>
        <v>0</v>
      </c>
      <c r="BX330" s="48"/>
      <c r="BZ330" s="49"/>
      <c r="CB330" t="str">
        <f>('Inteligencia emocional'!A331)</f>
        <v>0</v>
      </c>
      <c r="CC330" s="39" t="str">
        <f>'Por Valoracion (3) Dimension 2'!B330</f>
        <v>0</v>
      </c>
      <c r="CD330" s="39" t="str">
        <f>'Por Valoracion (3) Dimension'!H330</f>
        <v>0</v>
      </c>
      <c r="CY330" s="49"/>
      <c r="DA330" t="str">
        <f>('Inteligencia emocional'!A331)</f>
        <v>0</v>
      </c>
      <c r="DB330" s="39" t="str">
        <f>'Por Valoracion (3) Dimension 2'!D330</f>
        <v>0</v>
      </c>
      <c r="DC330" s="39" t="str">
        <f>'Por Valoracion (3) Dimension'!H330</f>
        <v>0</v>
      </c>
      <c r="DX330" s="49"/>
      <c r="DZ330" t="str">
        <f>('Inteligencia emocional'!A331)</f>
        <v>0</v>
      </c>
      <c r="EA330" s="39" t="str">
        <f>'Por Valoracion (3) Dimension 2'!F330</f>
        <v>0</v>
      </c>
      <c r="EB330" s="39" t="str">
        <f>'Por Valoracion (3) Dimension'!H330</f>
        <v>0</v>
      </c>
      <c r="EW330" s="49"/>
      <c r="EY330" t="str">
        <f>('Inteligencia emocional'!A331)</f>
        <v>0</v>
      </c>
      <c r="EZ330" s="39" t="str">
        <f>'Por Valoracion (3) Dimension 2'!H330</f>
        <v>0</v>
      </c>
      <c r="FA330" s="39" t="str">
        <f>'Por Valoracion (3) Dimension'!H330</f>
        <v>0</v>
      </c>
      <c r="FV330" s="49"/>
    </row>
    <row r="331" spans="1:178">
      <c r="A331" s="48"/>
      <c r="C331" t="str">
        <f>('Inteligencia emocional'!A332)</f>
        <v>0</v>
      </c>
      <c r="D331" s="39" t="str">
        <f>'Por Valoracion (3) Dimension'!B331</f>
        <v>0</v>
      </c>
      <c r="E331" s="39" t="str">
        <f>'Por Valoracion (3) Dimension 2'!J331</f>
        <v>0</v>
      </c>
      <c r="Z331" s="48"/>
      <c r="AB331" t="str">
        <f>('Inteligencia emocional'!A332)</f>
        <v>0</v>
      </c>
      <c r="AC331" s="39" t="str">
        <f>'Por Valoracion (3) Dimension'!D331</f>
        <v>0</v>
      </c>
      <c r="AD331" s="39" t="str">
        <f>'Por Valoracion (3) Dimension 2'!J331</f>
        <v>0</v>
      </c>
      <c r="AY331" s="48"/>
      <c r="BA331" t="str">
        <f>('Inteligencia emocional'!A332)</f>
        <v>0</v>
      </c>
      <c r="BB331" s="39" t="str">
        <f>'Por Valoracion (3) Dimension'!F331</f>
        <v>0</v>
      </c>
      <c r="BC331" s="39" t="str">
        <f>'Por Valoracion (3) Dimension 2'!J331</f>
        <v>0</v>
      </c>
      <c r="BX331" s="48"/>
      <c r="BZ331" s="49"/>
      <c r="CB331" t="str">
        <f>('Inteligencia emocional'!A332)</f>
        <v>0</v>
      </c>
      <c r="CC331" s="39" t="str">
        <f>'Por Valoracion (3) Dimension 2'!B331</f>
        <v>0</v>
      </c>
      <c r="CD331" s="39" t="str">
        <f>'Por Valoracion (3) Dimension'!H331</f>
        <v>0</v>
      </c>
      <c r="CY331" s="49"/>
      <c r="DA331" t="str">
        <f>('Inteligencia emocional'!A332)</f>
        <v>0</v>
      </c>
      <c r="DB331" s="39" t="str">
        <f>'Por Valoracion (3) Dimension 2'!D331</f>
        <v>0</v>
      </c>
      <c r="DC331" s="39" t="str">
        <f>'Por Valoracion (3) Dimension'!H331</f>
        <v>0</v>
      </c>
      <c r="DX331" s="49"/>
      <c r="DZ331" t="str">
        <f>('Inteligencia emocional'!A332)</f>
        <v>0</v>
      </c>
      <c r="EA331" s="39" t="str">
        <f>'Por Valoracion (3) Dimension 2'!F331</f>
        <v>0</v>
      </c>
      <c r="EB331" s="39" t="str">
        <f>'Por Valoracion (3) Dimension'!H331</f>
        <v>0</v>
      </c>
      <c r="EW331" s="49"/>
      <c r="EY331" t="str">
        <f>('Inteligencia emocional'!A332)</f>
        <v>0</v>
      </c>
      <c r="EZ331" s="39" t="str">
        <f>'Por Valoracion (3) Dimension 2'!H331</f>
        <v>0</v>
      </c>
      <c r="FA331" s="39" t="str">
        <f>'Por Valoracion (3) Dimension'!H331</f>
        <v>0</v>
      </c>
      <c r="FV331" s="49"/>
    </row>
    <row r="332" spans="1:178">
      <c r="A332" s="48"/>
      <c r="C332" t="str">
        <f>('Inteligencia emocional'!A333)</f>
        <v>0</v>
      </c>
      <c r="D332" s="39" t="str">
        <f>'Por Valoracion (3) Dimension'!B332</f>
        <v>0</v>
      </c>
      <c r="E332" s="39" t="str">
        <f>'Por Valoracion (3) Dimension 2'!J332</f>
        <v>0</v>
      </c>
      <c r="Z332" s="48"/>
      <c r="AB332" t="str">
        <f>('Inteligencia emocional'!A333)</f>
        <v>0</v>
      </c>
      <c r="AC332" s="39" t="str">
        <f>'Por Valoracion (3) Dimension'!D332</f>
        <v>0</v>
      </c>
      <c r="AD332" s="39" t="str">
        <f>'Por Valoracion (3) Dimension 2'!J332</f>
        <v>0</v>
      </c>
      <c r="AY332" s="48"/>
      <c r="BA332" t="str">
        <f>('Inteligencia emocional'!A333)</f>
        <v>0</v>
      </c>
      <c r="BB332" s="39" t="str">
        <f>'Por Valoracion (3) Dimension'!F332</f>
        <v>0</v>
      </c>
      <c r="BC332" s="39" t="str">
        <f>'Por Valoracion (3) Dimension 2'!J332</f>
        <v>0</v>
      </c>
      <c r="BX332" s="48"/>
      <c r="BZ332" s="49"/>
      <c r="CB332" t="str">
        <f>('Inteligencia emocional'!A333)</f>
        <v>0</v>
      </c>
      <c r="CC332" s="39" t="str">
        <f>'Por Valoracion (3) Dimension 2'!B332</f>
        <v>0</v>
      </c>
      <c r="CD332" s="39" t="str">
        <f>'Por Valoracion (3) Dimension'!H332</f>
        <v>0</v>
      </c>
      <c r="CY332" s="49"/>
      <c r="DA332" t="str">
        <f>('Inteligencia emocional'!A333)</f>
        <v>0</v>
      </c>
      <c r="DB332" s="39" t="str">
        <f>'Por Valoracion (3) Dimension 2'!D332</f>
        <v>0</v>
      </c>
      <c r="DC332" s="39" t="str">
        <f>'Por Valoracion (3) Dimension'!H332</f>
        <v>0</v>
      </c>
      <c r="DX332" s="49"/>
      <c r="DZ332" t="str">
        <f>('Inteligencia emocional'!A333)</f>
        <v>0</v>
      </c>
      <c r="EA332" s="39" t="str">
        <f>'Por Valoracion (3) Dimension 2'!F332</f>
        <v>0</v>
      </c>
      <c r="EB332" s="39" t="str">
        <f>'Por Valoracion (3) Dimension'!H332</f>
        <v>0</v>
      </c>
      <c r="EW332" s="49"/>
      <c r="EY332" t="str">
        <f>('Inteligencia emocional'!A333)</f>
        <v>0</v>
      </c>
      <c r="EZ332" s="39" t="str">
        <f>'Por Valoracion (3) Dimension 2'!H332</f>
        <v>0</v>
      </c>
      <c r="FA332" s="39" t="str">
        <f>'Por Valoracion (3) Dimension'!H332</f>
        <v>0</v>
      </c>
      <c r="FV332" s="49"/>
    </row>
    <row r="333" spans="1:178">
      <c r="A333" s="48"/>
      <c r="C333" t="str">
        <f>('Inteligencia emocional'!A334)</f>
        <v>0</v>
      </c>
      <c r="D333" s="39" t="str">
        <f>'Por Valoracion (3) Dimension'!B333</f>
        <v>0</v>
      </c>
      <c r="E333" s="39" t="str">
        <f>'Por Valoracion (3) Dimension 2'!J333</f>
        <v>0</v>
      </c>
      <c r="Z333" s="48"/>
      <c r="AB333" t="str">
        <f>('Inteligencia emocional'!A334)</f>
        <v>0</v>
      </c>
      <c r="AC333" s="39" t="str">
        <f>'Por Valoracion (3) Dimension'!D333</f>
        <v>0</v>
      </c>
      <c r="AD333" s="39" t="str">
        <f>'Por Valoracion (3) Dimension 2'!J333</f>
        <v>0</v>
      </c>
      <c r="AY333" s="48"/>
      <c r="BA333" t="str">
        <f>('Inteligencia emocional'!A334)</f>
        <v>0</v>
      </c>
      <c r="BB333" s="39" t="str">
        <f>'Por Valoracion (3) Dimension'!F333</f>
        <v>0</v>
      </c>
      <c r="BC333" s="39" t="str">
        <f>'Por Valoracion (3) Dimension 2'!J333</f>
        <v>0</v>
      </c>
      <c r="BX333" s="48"/>
      <c r="BZ333" s="49"/>
      <c r="CB333" t="str">
        <f>('Inteligencia emocional'!A334)</f>
        <v>0</v>
      </c>
      <c r="CC333" s="39" t="str">
        <f>'Por Valoracion (3) Dimension 2'!B333</f>
        <v>0</v>
      </c>
      <c r="CD333" s="39" t="str">
        <f>'Por Valoracion (3) Dimension'!H333</f>
        <v>0</v>
      </c>
      <c r="CY333" s="49"/>
      <c r="DA333" t="str">
        <f>('Inteligencia emocional'!A334)</f>
        <v>0</v>
      </c>
      <c r="DB333" s="39" t="str">
        <f>'Por Valoracion (3) Dimension 2'!D333</f>
        <v>0</v>
      </c>
      <c r="DC333" s="39" t="str">
        <f>'Por Valoracion (3) Dimension'!H333</f>
        <v>0</v>
      </c>
      <c r="DX333" s="49"/>
      <c r="DZ333" t="str">
        <f>('Inteligencia emocional'!A334)</f>
        <v>0</v>
      </c>
      <c r="EA333" s="39" t="str">
        <f>'Por Valoracion (3) Dimension 2'!F333</f>
        <v>0</v>
      </c>
      <c r="EB333" s="39" t="str">
        <f>'Por Valoracion (3) Dimension'!H333</f>
        <v>0</v>
      </c>
      <c r="EW333" s="49"/>
      <c r="EY333" t="str">
        <f>('Inteligencia emocional'!A334)</f>
        <v>0</v>
      </c>
      <c r="EZ333" s="39" t="str">
        <f>'Por Valoracion (3) Dimension 2'!H333</f>
        <v>0</v>
      </c>
      <c r="FA333" s="39" t="str">
        <f>'Por Valoracion (3) Dimension'!H333</f>
        <v>0</v>
      </c>
      <c r="FV333" s="49"/>
    </row>
    <row r="334" spans="1:178">
      <c r="A334" s="48"/>
      <c r="C334" t="str">
        <f>('Inteligencia emocional'!A335)</f>
        <v>0</v>
      </c>
      <c r="D334" s="39" t="str">
        <f>'Por Valoracion (3) Dimension'!B334</f>
        <v>0</v>
      </c>
      <c r="E334" s="39" t="str">
        <f>'Por Valoracion (3) Dimension 2'!J334</f>
        <v>0</v>
      </c>
      <c r="Z334" s="48"/>
      <c r="AB334" t="str">
        <f>('Inteligencia emocional'!A335)</f>
        <v>0</v>
      </c>
      <c r="AC334" s="39" t="str">
        <f>'Por Valoracion (3) Dimension'!D334</f>
        <v>0</v>
      </c>
      <c r="AD334" s="39" t="str">
        <f>'Por Valoracion (3) Dimension 2'!J334</f>
        <v>0</v>
      </c>
      <c r="AY334" s="48"/>
      <c r="BA334" t="str">
        <f>('Inteligencia emocional'!A335)</f>
        <v>0</v>
      </c>
      <c r="BB334" s="39" t="str">
        <f>'Por Valoracion (3) Dimension'!F334</f>
        <v>0</v>
      </c>
      <c r="BC334" s="39" t="str">
        <f>'Por Valoracion (3) Dimension 2'!J334</f>
        <v>0</v>
      </c>
      <c r="BX334" s="48"/>
      <c r="BZ334" s="49"/>
      <c r="CB334" t="str">
        <f>('Inteligencia emocional'!A335)</f>
        <v>0</v>
      </c>
      <c r="CC334" s="39" t="str">
        <f>'Por Valoracion (3) Dimension 2'!B334</f>
        <v>0</v>
      </c>
      <c r="CD334" s="39" t="str">
        <f>'Por Valoracion (3) Dimension'!H334</f>
        <v>0</v>
      </c>
      <c r="CY334" s="49"/>
      <c r="DA334" t="str">
        <f>('Inteligencia emocional'!A335)</f>
        <v>0</v>
      </c>
      <c r="DB334" s="39" t="str">
        <f>'Por Valoracion (3) Dimension 2'!D334</f>
        <v>0</v>
      </c>
      <c r="DC334" s="39" t="str">
        <f>'Por Valoracion (3) Dimension'!H334</f>
        <v>0</v>
      </c>
      <c r="DX334" s="49"/>
      <c r="DZ334" t="str">
        <f>('Inteligencia emocional'!A335)</f>
        <v>0</v>
      </c>
      <c r="EA334" s="39" t="str">
        <f>'Por Valoracion (3) Dimension 2'!F334</f>
        <v>0</v>
      </c>
      <c r="EB334" s="39" t="str">
        <f>'Por Valoracion (3) Dimension'!H334</f>
        <v>0</v>
      </c>
      <c r="EW334" s="49"/>
      <c r="EY334" t="str">
        <f>('Inteligencia emocional'!A335)</f>
        <v>0</v>
      </c>
      <c r="EZ334" s="39" t="str">
        <f>'Por Valoracion (3) Dimension 2'!H334</f>
        <v>0</v>
      </c>
      <c r="FA334" s="39" t="str">
        <f>'Por Valoracion (3) Dimension'!H334</f>
        <v>0</v>
      </c>
      <c r="FV334" s="49"/>
    </row>
    <row r="335" spans="1:178">
      <c r="A335" s="48"/>
      <c r="C335" t="str">
        <f>('Inteligencia emocional'!A336)</f>
        <v>0</v>
      </c>
      <c r="D335" s="39" t="str">
        <f>'Por Valoracion (3) Dimension'!B335</f>
        <v>0</v>
      </c>
      <c r="E335" s="39" t="str">
        <f>'Por Valoracion (3) Dimension 2'!J335</f>
        <v>0</v>
      </c>
      <c r="Z335" s="48"/>
      <c r="AB335" t="str">
        <f>('Inteligencia emocional'!A336)</f>
        <v>0</v>
      </c>
      <c r="AC335" s="39" t="str">
        <f>'Por Valoracion (3) Dimension'!D335</f>
        <v>0</v>
      </c>
      <c r="AD335" s="39" t="str">
        <f>'Por Valoracion (3) Dimension 2'!J335</f>
        <v>0</v>
      </c>
      <c r="AY335" s="48"/>
      <c r="BA335" t="str">
        <f>('Inteligencia emocional'!A336)</f>
        <v>0</v>
      </c>
      <c r="BB335" s="39" t="str">
        <f>'Por Valoracion (3) Dimension'!F335</f>
        <v>0</v>
      </c>
      <c r="BC335" s="39" t="str">
        <f>'Por Valoracion (3) Dimension 2'!J335</f>
        <v>0</v>
      </c>
      <c r="BX335" s="48"/>
      <c r="BZ335" s="49"/>
      <c r="CB335" t="str">
        <f>('Inteligencia emocional'!A336)</f>
        <v>0</v>
      </c>
      <c r="CC335" s="39" t="str">
        <f>'Por Valoracion (3) Dimension 2'!B335</f>
        <v>0</v>
      </c>
      <c r="CD335" s="39" t="str">
        <f>'Por Valoracion (3) Dimension'!H335</f>
        <v>0</v>
      </c>
      <c r="CY335" s="49"/>
      <c r="DA335" t="str">
        <f>('Inteligencia emocional'!A336)</f>
        <v>0</v>
      </c>
      <c r="DB335" s="39" t="str">
        <f>'Por Valoracion (3) Dimension 2'!D335</f>
        <v>0</v>
      </c>
      <c r="DC335" s="39" t="str">
        <f>'Por Valoracion (3) Dimension'!H335</f>
        <v>0</v>
      </c>
      <c r="DX335" s="49"/>
      <c r="DZ335" t="str">
        <f>('Inteligencia emocional'!A336)</f>
        <v>0</v>
      </c>
      <c r="EA335" s="39" t="str">
        <f>'Por Valoracion (3) Dimension 2'!F335</f>
        <v>0</v>
      </c>
      <c r="EB335" s="39" t="str">
        <f>'Por Valoracion (3) Dimension'!H335</f>
        <v>0</v>
      </c>
      <c r="EW335" s="49"/>
      <c r="EY335" t="str">
        <f>('Inteligencia emocional'!A336)</f>
        <v>0</v>
      </c>
      <c r="EZ335" s="39" t="str">
        <f>'Por Valoracion (3) Dimension 2'!H335</f>
        <v>0</v>
      </c>
      <c r="FA335" s="39" t="str">
        <f>'Por Valoracion (3) Dimension'!H335</f>
        <v>0</v>
      </c>
      <c r="FV335" s="49"/>
    </row>
    <row r="336" spans="1:178">
      <c r="A336" s="48"/>
      <c r="C336" t="str">
        <f>('Inteligencia emocional'!A337)</f>
        <v>0</v>
      </c>
      <c r="D336" s="39" t="str">
        <f>'Por Valoracion (3) Dimension'!B336</f>
        <v>0</v>
      </c>
      <c r="E336" s="39" t="str">
        <f>'Por Valoracion (3) Dimension 2'!J336</f>
        <v>0</v>
      </c>
      <c r="Z336" s="48"/>
      <c r="AB336" t="str">
        <f>('Inteligencia emocional'!A337)</f>
        <v>0</v>
      </c>
      <c r="AC336" s="39" t="str">
        <f>'Por Valoracion (3) Dimension'!D336</f>
        <v>0</v>
      </c>
      <c r="AD336" s="39" t="str">
        <f>'Por Valoracion (3) Dimension 2'!J336</f>
        <v>0</v>
      </c>
      <c r="AY336" s="48"/>
      <c r="BA336" t="str">
        <f>('Inteligencia emocional'!A337)</f>
        <v>0</v>
      </c>
      <c r="BB336" s="39" t="str">
        <f>'Por Valoracion (3) Dimension'!F336</f>
        <v>0</v>
      </c>
      <c r="BC336" s="39" t="str">
        <f>'Por Valoracion (3) Dimension 2'!J336</f>
        <v>0</v>
      </c>
      <c r="BX336" s="48"/>
      <c r="BZ336" s="49"/>
      <c r="CB336" t="str">
        <f>('Inteligencia emocional'!A337)</f>
        <v>0</v>
      </c>
      <c r="CC336" s="39" t="str">
        <f>'Por Valoracion (3) Dimension 2'!B336</f>
        <v>0</v>
      </c>
      <c r="CD336" s="39" t="str">
        <f>'Por Valoracion (3) Dimension'!H336</f>
        <v>0</v>
      </c>
      <c r="CY336" s="49"/>
      <c r="DA336" t="str">
        <f>('Inteligencia emocional'!A337)</f>
        <v>0</v>
      </c>
      <c r="DB336" s="39" t="str">
        <f>'Por Valoracion (3) Dimension 2'!D336</f>
        <v>0</v>
      </c>
      <c r="DC336" s="39" t="str">
        <f>'Por Valoracion (3) Dimension'!H336</f>
        <v>0</v>
      </c>
      <c r="DX336" s="49"/>
      <c r="DZ336" t="str">
        <f>('Inteligencia emocional'!A337)</f>
        <v>0</v>
      </c>
      <c r="EA336" s="39" t="str">
        <f>'Por Valoracion (3) Dimension 2'!F336</f>
        <v>0</v>
      </c>
      <c r="EB336" s="39" t="str">
        <f>'Por Valoracion (3) Dimension'!H336</f>
        <v>0</v>
      </c>
      <c r="EW336" s="49"/>
      <c r="EY336" t="str">
        <f>('Inteligencia emocional'!A337)</f>
        <v>0</v>
      </c>
      <c r="EZ336" s="39" t="str">
        <f>'Por Valoracion (3) Dimension 2'!H336</f>
        <v>0</v>
      </c>
      <c r="FA336" s="39" t="str">
        <f>'Por Valoracion (3) Dimension'!H336</f>
        <v>0</v>
      </c>
      <c r="FV336" s="49"/>
    </row>
    <row r="337" spans="1:178">
      <c r="A337" s="48"/>
      <c r="C337" t="str">
        <f>('Inteligencia emocional'!A338)</f>
        <v>0</v>
      </c>
      <c r="D337" s="39" t="str">
        <f>'Por Valoracion (3) Dimension'!B337</f>
        <v>0</v>
      </c>
      <c r="E337" s="39" t="str">
        <f>'Por Valoracion (3) Dimension 2'!J337</f>
        <v>0</v>
      </c>
      <c r="Z337" s="48"/>
      <c r="AB337" t="str">
        <f>('Inteligencia emocional'!A338)</f>
        <v>0</v>
      </c>
      <c r="AC337" s="39" t="str">
        <f>'Por Valoracion (3) Dimension'!D337</f>
        <v>0</v>
      </c>
      <c r="AD337" s="39" t="str">
        <f>'Por Valoracion (3) Dimension 2'!J337</f>
        <v>0</v>
      </c>
      <c r="AY337" s="48"/>
      <c r="BA337" t="str">
        <f>('Inteligencia emocional'!A338)</f>
        <v>0</v>
      </c>
      <c r="BB337" s="39" t="str">
        <f>'Por Valoracion (3) Dimension'!F337</f>
        <v>0</v>
      </c>
      <c r="BC337" s="39" t="str">
        <f>'Por Valoracion (3) Dimension 2'!J337</f>
        <v>0</v>
      </c>
      <c r="BX337" s="48"/>
      <c r="BZ337" s="49"/>
      <c r="CB337" t="str">
        <f>('Inteligencia emocional'!A338)</f>
        <v>0</v>
      </c>
      <c r="CC337" s="39" t="str">
        <f>'Por Valoracion (3) Dimension 2'!B337</f>
        <v>0</v>
      </c>
      <c r="CD337" s="39" t="str">
        <f>'Por Valoracion (3) Dimension'!H337</f>
        <v>0</v>
      </c>
      <c r="CY337" s="49"/>
      <c r="DA337" t="str">
        <f>('Inteligencia emocional'!A338)</f>
        <v>0</v>
      </c>
      <c r="DB337" s="39" t="str">
        <f>'Por Valoracion (3) Dimension 2'!D337</f>
        <v>0</v>
      </c>
      <c r="DC337" s="39" t="str">
        <f>'Por Valoracion (3) Dimension'!H337</f>
        <v>0</v>
      </c>
      <c r="DX337" s="49"/>
      <c r="DZ337" t="str">
        <f>('Inteligencia emocional'!A338)</f>
        <v>0</v>
      </c>
      <c r="EA337" s="39" t="str">
        <f>'Por Valoracion (3) Dimension 2'!F337</f>
        <v>0</v>
      </c>
      <c r="EB337" s="39" t="str">
        <f>'Por Valoracion (3) Dimension'!H337</f>
        <v>0</v>
      </c>
      <c r="EW337" s="49"/>
      <c r="EY337" t="str">
        <f>('Inteligencia emocional'!A338)</f>
        <v>0</v>
      </c>
      <c r="EZ337" s="39" t="str">
        <f>'Por Valoracion (3) Dimension 2'!H337</f>
        <v>0</v>
      </c>
      <c r="FA337" s="39" t="str">
        <f>'Por Valoracion (3) Dimension'!H337</f>
        <v>0</v>
      </c>
      <c r="FV337" s="49"/>
    </row>
    <row r="338" spans="1:178">
      <c r="A338" s="48"/>
      <c r="C338" t="str">
        <f>('Inteligencia emocional'!A339)</f>
        <v>0</v>
      </c>
      <c r="D338" s="39" t="str">
        <f>'Por Valoracion (3) Dimension'!B338</f>
        <v>0</v>
      </c>
      <c r="E338" s="39" t="str">
        <f>'Por Valoracion (3) Dimension 2'!J338</f>
        <v>0</v>
      </c>
      <c r="Z338" s="48"/>
      <c r="AB338" t="str">
        <f>('Inteligencia emocional'!A339)</f>
        <v>0</v>
      </c>
      <c r="AC338" s="39" t="str">
        <f>'Por Valoracion (3) Dimension'!D338</f>
        <v>0</v>
      </c>
      <c r="AD338" s="39" t="str">
        <f>'Por Valoracion (3) Dimension 2'!J338</f>
        <v>0</v>
      </c>
      <c r="AY338" s="48"/>
      <c r="BA338" t="str">
        <f>('Inteligencia emocional'!A339)</f>
        <v>0</v>
      </c>
      <c r="BB338" s="39" t="str">
        <f>'Por Valoracion (3) Dimension'!F338</f>
        <v>0</v>
      </c>
      <c r="BC338" s="39" t="str">
        <f>'Por Valoracion (3) Dimension 2'!J338</f>
        <v>0</v>
      </c>
      <c r="BX338" s="48"/>
      <c r="BZ338" s="49"/>
      <c r="CB338" t="str">
        <f>('Inteligencia emocional'!A339)</f>
        <v>0</v>
      </c>
      <c r="CC338" s="39" t="str">
        <f>'Por Valoracion (3) Dimension 2'!B338</f>
        <v>0</v>
      </c>
      <c r="CD338" s="39" t="str">
        <f>'Por Valoracion (3) Dimension'!H338</f>
        <v>0</v>
      </c>
      <c r="CY338" s="49"/>
      <c r="DA338" t="str">
        <f>('Inteligencia emocional'!A339)</f>
        <v>0</v>
      </c>
      <c r="DB338" s="39" t="str">
        <f>'Por Valoracion (3) Dimension 2'!D338</f>
        <v>0</v>
      </c>
      <c r="DC338" s="39" t="str">
        <f>'Por Valoracion (3) Dimension'!H338</f>
        <v>0</v>
      </c>
      <c r="DX338" s="49"/>
      <c r="DZ338" t="str">
        <f>('Inteligencia emocional'!A339)</f>
        <v>0</v>
      </c>
      <c r="EA338" s="39" t="str">
        <f>'Por Valoracion (3) Dimension 2'!F338</f>
        <v>0</v>
      </c>
      <c r="EB338" s="39" t="str">
        <f>'Por Valoracion (3) Dimension'!H338</f>
        <v>0</v>
      </c>
      <c r="EW338" s="49"/>
      <c r="EY338" t="str">
        <f>('Inteligencia emocional'!A339)</f>
        <v>0</v>
      </c>
      <c r="EZ338" s="39" t="str">
        <f>'Por Valoracion (3) Dimension 2'!H338</f>
        <v>0</v>
      </c>
      <c r="FA338" s="39" t="str">
        <f>'Por Valoracion (3) Dimension'!H338</f>
        <v>0</v>
      </c>
      <c r="FV338" s="49"/>
    </row>
    <row r="339" spans="1:178">
      <c r="A339" s="48"/>
      <c r="C339" t="str">
        <f>('Inteligencia emocional'!A340)</f>
        <v>0</v>
      </c>
      <c r="D339" s="39" t="str">
        <f>'Por Valoracion (3) Dimension'!B339</f>
        <v>0</v>
      </c>
      <c r="E339" s="39" t="str">
        <f>'Por Valoracion (3) Dimension 2'!J339</f>
        <v>0</v>
      </c>
      <c r="Z339" s="48"/>
      <c r="AB339" t="str">
        <f>('Inteligencia emocional'!A340)</f>
        <v>0</v>
      </c>
      <c r="AC339" s="39" t="str">
        <f>'Por Valoracion (3) Dimension'!D339</f>
        <v>0</v>
      </c>
      <c r="AD339" s="39" t="str">
        <f>'Por Valoracion (3) Dimension 2'!J339</f>
        <v>0</v>
      </c>
      <c r="AY339" s="48"/>
      <c r="BA339" t="str">
        <f>('Inteligencia emocional'!A340)</f>
        <v>0</v>
      </c>
      <c r="BB339" s="39" t="str">
        <f>'Por Valoracion (3) Dimension'!F339</f>
        <v>0</v>
      </c>
      <c r="BC339" s="39" t="str">
        <f>'Por Valoracion (3) Dimension 2'!J339</f>
        <v>0</v>
      </c>
      <c r="BX339" s="48"/>
      <c r="BZ339" s="49"/>
      <c r="CB339" t="str">
        <f>('Inteligencia emocional'!A340)</f>
        <v>0</v>
      </c>
      <c r="CC339" s="39" t="str">
        <f>'Por Valoracion (3) Dimension 2'!B339</f>
        <v>0</v>
      </c>
      <c r="CD339" s="39" t="str">
        <f>'Por Valoracion (3) Dimension'!H339</f>
        <v>0</v>
      </c>
      <c r="CY339" s="49"/>
      <c r="DA339" t="str">
        <f>('Inteligencia emocional'!A340)</f>
        <v>0</v>
      </c>
      <c r="DB339" s="39" t="str">
        <f>'Por Valoracion (3) Dimension 2'!D339</f>
        <v>0</v>
      </c>
      <c r="DC339" s="39" t="str">
        <f>'Por Valoracion (3) Dimension'!H339</f>
        <v>0</v>
      </c>
      <c r="DX339" s="49"/>
      <c r="DZ339" t="str">
        <f>('Inteligencia emocional'!A340)</f>
        <v>0</v>
      </c>
      <c r="EA339" s="39" t="str">
        <f>'Por Valoracion (3) Dimension 2'!F339</f>
        <v>0</v>
      </c>
      <c r="EB339" s="39" t="str">
        <f>'Por Valoracion (3) Dimension'!H339</f>
        <v>0</v>
      </c>
      <c r="EW339" s="49"/>
      <c r="EY339" t="str">
        <f>('Inteligencia emocional'!A340)</f>
        <v>0</v>
      </c>
      <c r="EZ339" s="39" t="str">
        <f>'Por Valoracion (3) Dimension 2'!H339</f>
        <v>0</v>
      </c>
      <c r="FA339" s="39" t="str">
        <f>'Por Valoracion (3) Dimension'!H339</f>
        <v>0</v>
      </c>
      <c r="FV339" s="49"/>
    </row>
    <row r="340" spans="1:178">
      <c r="A340" s="48"/>
      <c r="C340" t="str">
        <f>('Inteligencia emocional'!A341)</f>
        <v>0</v>
      </c>
      <c r="D340" s="39" t="str">
        <f>'Por Valoracion (3) Dimension'!B340</f>
        <v>0</v>
      </c>
      <c r="E340" s="39" t="str">
        <f>'Por Valoracion (3) Dimension 2'!J340</f>
        <v>0</v>
      </c>
      <c r="Z340" s="48"/>
      <c r="AB340" t="str">
        <f>('Inteligencia emocional'!A341)</f>
        <v>0</v>
      </c>
      <c r="AC340" s="39" t="str">
        <f>'Por Valoracion (3) Dimension'!D340</f>
        <v>0</v>
      </c>
      <c r="AD340" s="39" t="str">
        <f>'Por Valoracion (3) Dimension 2'!J340</f>
        <v>0</v>
      </c>
      <c r="AY340" s="48"/>
      <c r="BA340" t="str">
        <f>('Inteligencia emocional'!A341)</f>
        <v>0</v>
      </c>
      <c r="BB340" s="39" t="str">
        <f>'Por Valoracion (3) Dimension'!F340</f>
        <v>0</v>
      </c>
      <c r="BC340" s="39" t="str">
        <f>'Por Valoracion (3) Dimension 2'!J340</f>
        <v>0</v>
      </c>
      <c r="BX340" s="48"/>
      <c r="BZ340" s="49"/>
      <c r="CB340" t="str">
        <f>('Inteligencia emocional'!A341)</f>
        <v>0</v>
      </c>
      <c r="CC340" s="39" t="str">
        <f>'Por Valoracion (3) Dimension 2'!B340</f>
        <v>0</v>
      </c>
      <c r="CD340" s="39" t="str">
        <f>'Por Valoracion (3) Dimension'!H340</f>
        <v>0</v>
      </c>
      <c r="CY340" s="49"/>
      <c r="DA340" t="str">
        <f>('Inteligencia emocional'!A341)</f>
        <v>0</v>
      </c>
      <c r="DB340" s="39" t="str">
        <f>'Por Valoracion (3) Dimension 2'!D340</f>
        <v>0</v>
      </c>
      <c r="DC340" s="39" t="str">
        <f>'Por Valoracion (3) Dimension'!H340</f>
        <v>0</v>
      </c>
      <c r="DX340" s="49"/>
      <c r="DZ340" t="str">
        <f>('Inteligencia emocional'!A341)</f>
        <v>0</v>
      </c>
      <c r="EA340" s="39" t="str">
        <f>'Por Valoracion (3) Dimension 2'!F340</f>
        <v>0</v>
      </c>
      <c r="EB340" s="39" t="str">
        <f>'Por Valoracion (3) Dimension'!H340</f>
        <v>0</v>
      </c>
      <c r="EW340" s="49"/>
      <c r="EY340" t="str">
        <f>('Inteligencia emocional'!A341)</f>
        <v>0</v>
      </c>
      <c r="EZ340" s="39" t="str">
        <f>'Por Valoracion (3) Dimension 2'!H340</f>
        <v>0</v>
      </c>
      <c r="FA340" s="39" t="str">
        <f>'Por Valoracion (3) Dimension'!H340</f>
        <v>0</v>
      </c>
      <c r="FV340" s="49"/>
    </row>
    <row r="341" spans="1:178">
      <c r="A341" s="48"/>
      <c r="C341" t="str">
        <f>('Inteligencia emocional'!A342)</f>
        <v>0</v>
      </c>
      <c r="D341" s="39" t="str">
        <f>'Por Valoracion (3) Dimension'!B341</f>
        <v>0</v>
      </c>
      <c r="E341" s="39" t="str">
        <f>'Por Valoracion (3) Dimension 2'!J341</f>
        <v>0</v>
      </c>
      <c r="Z341" s="48"/>
      <c r="AB341" t="str">
        <f>('Inteligencia emocional'!A342)</f>
        <v>0</v>
      </c>
      <c r="AC341" s="39" t="str">
        <f>'Por Valoracion (3) Dimension'!D341</f>
        <v>0</v>
      </c>
      <c r="AD341" s="39" t="str">
        <f>'Por Valoracion (3) Dimension 2'!J341</f>
        <v>0</v>
      </c>
      <c r="AY341" s="48"/>
      <c r="BA341" t="str">
        <f>('Inteligencia emocional'!A342)</f>
        <v>0</v>
      </c>
      <c r="BB341" s="39" t="str">
        <f>'Por Valoracion (3) Dimension'!F341</f>
        <v>0</v>
      </c>
      <c r="BC341" s="39" t="str">
        <f>'Por Valoracion (3) Dimension 2'!J341</f>
        <v>0</v>
      </c>
      <c r="BX341" s="48"/>
      <c r="BZ341" s="49"/>
      <c r="CB341" t="str">
        <f>('Inteligencia emocional'!A342)</f>
        <v>0</v>
      </c>
      <c r="CC341" s="39" t="str">
        <f>'Por Valoracion (3) Dimension 2'!B341</f>
        <v>0</v>
      </c>
      <c r="CD341" s="39" t="str">
        <f>'Por Valoracion (3) Dimension'!H341</f>
        <v>0</v>
      </c>
      <c r="CY341" s="49"/>
      <c r="DA341" t="str">
        <f>('Inteligencia emocional'!A342)</f>
        <v>0</v>
      </c>
      <c r="DB341" s="39" t="str">
        <f>'Por Valoracion (3) Dimension 2'!D341</f>
        <v>0</v>
      </c>
      <c r="DC341" s="39" t="str">
        <f>'Por Valoracion (3) Dimension'!H341</f>
        <v>0</v>
      </c>
      <c r="DX341" s="49"/>
      <c r="DZ341" t="str">
        <f>('Inteligencia emocional'!A342)</f>
        <v>0</v>
      </c>
      <c r="EA341" s="39" t="str">
        <f>'Por Valoracion (3) Dimension 2'!F341</f>
        <v>0</v>
      </c>
      <c r="EB341" s="39" t="str">
        <f>'Por Valoracion (3) Dimension'!H341</f>
        <v>0</v>
      </c>
      <c r="EW341" s="49"/>
      <c r="EY341" t="str">
        <f>('Inteligencia emocional'!A342)</f>
        <v>0</v>
      </c>
      <c r="EZ341" s="39" t="str">
        <f>'Por Valoracion (3) Dimension 2'!H341</f>
        <v>0</v>
      </c>
      <c r="FA341" s="39" t="str">
        <f>'Por Valoracion (3) Dimension'!H341</f>
        <v>0</v>
      </c>
      <c r="FV341" s="49"/>
    </row>
    <row r="342" spans="1:178">
      <c r="A342" s="48"/>
      <c r="C342" t="str">
        <f>('Inteligencia emocional'!A343)</f>
        <v>0</v>
      </c>
      <c r="D342" s="39" t="str">
        <f>'Por Valoracion (3) Dimension'!B342</f>
        <v>0</v>
      </c>
      <c r="E342" s="39" t="str">
        <f>'Por Valoracion (3) Dimension 2'!J342</f>
        <v>0</v>
      </c>
      <c r="Z342" s="48"/>
      <c r="AB342" t="str">
        <f>('Inteligencia emocional'!A343)</f>
        <v>0</v>
      </c>
      <c r="AC342" s="39" t="str">
        <f>'Por Valoracion (3) Dimension'!D342</f>
        <v>0</v>
      </c>
      <c r="AD342" s="39" t="str">
        <f>'Por Valoracion (3) Dimension 2'!J342</f>
        <v>0</v>
      </c>
      <c r="AY342" s="48"/>
      <c r="BA342" t="str">
        <f>('Inteligencia emocional'!A343)</f>
        <v>0</v>
      </c>
      <c r="BB342" s="39" t="str">
        <f>'Por Valoracion (3) Dimension'!F342</f>
        <v>0</v>
      </c>
      <c r="BC342" s="39" t="str">
        <f>'Por Valoracion (3) Dimension 2'!J342</f>
        <v>0</v>
      </c>
      <c r="BX342" s="48"/>
      <c r="BZ342" s="49"/>
      <c r="CB342" t="str">
        <f>('Inteligencia emocional'!A343)</f>
        <v>0</v>
      </c>
      <c r="CC342" s="39" t="str">
        <f>'Por Valoracion (3) Dimension 2'!B342</f>
        <v>0</v>
      </c>
      <c r="CD342" s="39" t="str">
        <f>'Por Valoracion (3) Dimension'!H342</f>
        <v>0</v>
      </c>
      <c r="CY342" s="49"/>
      <c r="DA342" t="str">
        <f>('Inteligencia emocional'!A343)</f>
        <v>0</v>
      </c>
      <c r="DB342" s="39" t="str">
        <f>'Por Valoracion (3) Dimension 2'!D342</f>
        <v>0</v>
      </c>
      <c r="DC342" s="39" t="str">
        <f>'Por Valoracion (3) Dimension'!H342</f>
        <v>0</v>
      </c>
      <c r="DX342" s="49"/>
      <c r="DZ342" t="str">
        <f>('Inteligencia emocional'!A343)</f>
        <v>0</v>
      </c>
      <c r="EA342" s="39" t="str">
        <f>'Por Valoracion (3) Dimension 2'!F342</f>
        <v>0</v>
      </c>
      <c r="EB342" s="39" t="str">
        <f>'Por Valoracion (3) Dimension'!H342</f>
        <v>0</v>
      </c>
      <c r="EW342" s="49"/>
      <c r="EY342" t="str">
        <f>('Inteligencia emocional'!A343)</f>
        <v>0</v>
      </c>
      <c r="EZ342" s="39" t="str">
        <f>'Por Valoracion (3) Dimension 2'!H342</f>
        <v>0</v>
      </c>
      <c r="FA342" s="39" t="str">
        <f>'Por Valoracion (3) Dimension'!H342</f>
        <v>0</v>
      </c>
      <c r="FV342" s="49"/>
    </row>
    <row r="343" spans="1:178">
      <c r="A343" s="48"/>
      <c r="C343" t="str">
        <f>('Inteligencia emocional'!A344)</f>
        <v>0</v>
      </c>
      <c r="D343" s="39" t="str">
        <f>'Por Valoracion (3) Dimension'!B343</f>
        <v>0</v>
      </c>
      <c r="E343" s="39" t="str">
        <f>'Por Valoracion (3) Dimension 2'!J343</f>
        <v>0</v>
      </c>
      <c r="Z343" s="48"/>
      <c r="AB343" t="str">
        <f>('Inteligencia emocional'!A344)</f>
        <v>0</v>
      </c>
      <c r="AC343" s="39" t="str">
        <f>'Por Valoracion (3) Dimension'!D343</f>
        <v>0</v>
      </c>
      <c r="AD343" s="39" t="str">
        <f>'Por Valoracion (3) Dimension 2'!J343</f>
        <v>0</v>
      </c>
      <c r="AY343" s="48"/>
      <c r="BA343" t="str">
        <f>('Inteligencia emocional'!A344)</f>
        <v>0</v>
      </c>
      <c r="BB343" s="39" t="str">
        <f>'Por Valoracion (3) Dimension'!F343</f>
        <v>0</v>
      </c>
      <c r="BC343" s="39" t="str">
        <f>'Por Valoracion (3) Dimension 2'!J343</f>
        <v>0</v>
      </c>
      <c r="BX343" s="48"/>
      <c r="BZ343" s="49"/>
      <c r="CB343" t="str">
        <f>('Inteligencia emocional'!A344)</f>
        <v>0</v>
      </c>
      <c r="CC343" s="39" t="str">
        <f>'Por Valoracion (3) Dimension 2'!B343</f>
        <v>0</v>
      </c>
      <c r="CD343" s="39" t="str">
        <f>'Por Valoracion (3) Dimension'!H343</f>
        <v>0</v>
      </c>
      <c r="CY343" s="49"/>
      <c r="DA343" t="str">
        <f>('Inteligencia emocional'!A344)</f>
        <v>0</v>
      </c>
      <c r="DB343" s="39" t="str">
        <f>'Por Valoracion (3) Dimension 2'!D343</f>
        <v>0</v>
      </c>
      <c r="DC343" s="39" t="str">
        <f>'Por Valoracion (3) Dimension'!H343</f>
        <v>0</v>
      </c>
      <c r="DX343" s="49"/>
      <c r="DZ343" t="str">
        <f>('Inteligencia emocional'!A344)</f>
        <v>0</v>
      </c>
      <c r="EA343" s="39" t="str">
        <f>'Por Valoracion (3) Dimension 2'!F343</f>
        <v>0</v>
      </c>
      <c r="EB343" s="39" t="str">
        <f>'Por Valoracion (3) Dimension'!H343</f>
        <v>0</v>
      </c>
      <c r="EW343" s="49"/>
      <c r="EY343" t="str">
        <f>('Inteligencia emocional'!A344)</f>
        <v>0</v>
      </c>
      <c r="EZ343" s="39" t="str">
        <f>'Por Valoracion (3) Dimension 2'!H343</f>
        <v>0</v>
      </c>
      <c r="FA343" s="39" t="str">
        <f>'Por Valoracion (3) Dimension'!H343</f>
        <v>0</v>
      </c>
      <c r="FV343" s="49"/>
    </row>
    <row r="344" spans="1:178">
      <c r="A344" s="48"/>
      <c r="C344" t="str">
        <f>('Inteligencia emocional'!A345)</f>
        <v>0</v>
      </c>
      <c r="D344" s="39" t="str">
        <f>'Por Valoracion (3) Dimension'!B344</f>
        <v>0</v>
      </c>
      <c r="E344" s="39" t="str">
        <f>'Por Valoracion (3) Dimension 2'!J344</f>
        <v>0</v>
      </c>
      <c r="Z344" s="48"/>
      <c r="AB344" t="str">
        <f>('Inteligencia emocional'!A345)</f>
        <v>0</v>
      </c>
      <c r="AC344" s="39" t="str">
        <f>'Por Valoracion (3) Dimension'!D344</f>
        <v>0</v>
      </c>
      <c r="AD344" s="39" t="str">
        <f>'Por Valoracion (3) Dimension 2'!J344</f>
        <v>0</v>
      </c>
      <c r="AY344" s="48"/>
      <c r="BA344" t="str">
        <f>('Inteligencia emocional'!A345)</f>
        <v>0</v>
      </c>
      <c r="BB344" s="39" t="str">
        <f>'Por Valoracion (3) Dimension'!F344</f>
        <v>0</v>
      </c>
      <c r="BC344" s="39" t="str">
        <f>'Por Valoracion (3) Dimension 2'!J344</f>
        <v>0</v>
      </c>
      <c r="BX344" s="48"/>
      <c r="BZ344" s="49"/>
      <c r="CB344" t="str">
        <f>('Inteligencia emocional'!A345)</f>
        <v>0</v>
      </c>
      <c r="CC344" s="39" t="str">
        <f>'Por Valoracion (3) Dimension 2'!B344</f>
        <v>0</v>
      </c>
      <c r="CD344" s="39" t="str">
        <f>'Por Valoracion (3) Dimension'!H344</f>
        <v>0</v>
      </c>
      <c r="CY344" s="49"/>
      <c r="DA344" t="str">
        <f>('Inteligencia emocional'!A345)</f>
        <v>0</v>
      </c>
      <c r="DB344" s="39" t="str">
        <f>'Por Valoracion (3) Dimension 2'!D344</f>
        <v>0</v>
      </c>
      <c r="DC344" s="39" t="str">
        <f>'Por Valoracion (3) Dimension'!H344</f>
        <v>0</v>
      </c>
      <c r="DX344" s="49"/>
      <c r="DZ344" t="str">
        <f>('Inteligencia emocional'!A345)</f>
        <v>0</v>
      </c>
      <c r="EA344" s="39" t="str">
        <f>'Por Valoracion (3) Dimension 2'!F344</f>
        <v>0</v>
      </c>
      <c r="EB344" s="39" t="str">
        <f>'Por Valoracion (3) Dimension'!H344</f>
        <v>0</v>
      </c>
      <c r="EW344" s="49"/>
      <c r="EY344" t="str">
        <f>('Inteligencia emocional'!A345)</f>
        <v>0</v>
      </c>
      <c r="EZ344" s="39" t="str">
        <f>'Por Valoracion (3) Dimension 2'!H344</f>
        <v>0</v>
      </c>
      <c r="FA344" s="39" t="str">
        <f>'Por Valoracion (3) Dimension'!H344</f>
        <v>0</v>
      </c>
      <c r="FV344" s="49"/>
    </row>
    <row r="345" spans="1:178">
      <c r="A345" s="48"/>
      <c r="C345" t="str">
        <f>('Inteligencia emocional'!A346)</f>
        <v>0</v>
      </c>
      <c r="D345" s="39" t="str">
        <f>'Por Valoracion (3) Dimension'!B345</f>
        <v>0</v>
      </c>
      <c r="E345" s="39" t="str">
        <f>'Por Valoracion (3) Dimension 2'!J345</f>
        <v>0</v>
      </c>
      <c r="Z345" s="48"/>
      <c r="AB345" t="str">
        <f>('Inteligencia emocional'!A346)</f>
        <v>0</v>
      </c>
      <c r="AC345" s="39" t="str">
        <f>'Por Valoracion (3) Dimension'!D345</f>
        <v>0</v>
      </c>
      <c r="AD345" s="39" t="str">
        <f>'Por Valoracion (3) Dimension 2'!J345</f>
        <v>0</v>
      </c>
      <c r="AY345" s="48"/>
      <c r="BA345" t="str">
        <f>('Inteligencia emocional'!A346)</f>
        <v>0</v>
      </c>
      <c r="BB345" s="39" t="str">
        <f>'Por Valoracion (3) Dimension'!F345</f>
        <v>0</v>
      </c>
      <c r="BC345" s="39" t="str">
        <f>'Por Valoracion (3) Dimension 2'!J345</f>
        <v>0</v>
      </c>
      <c r="BX345" s="48"/>
      <c r="BZ345" s="49"/>
      <c r="CB345" t="str">
        <f>('Inteligencia emocional'!A346)</f>
        <v>0</v>
      </c>
      <c r="CC345" s="39" t="str">
        <f>'Por Valoracion (3) Dimension 2'!B345</f>
        <v>0</v>
      </c>
      <c r="CD345" s="39" t="str">
        <f>'Por Valoracion (3) Dimension'!H345</f>
        <v>0</v>
      </c>
      <c r="CY345" s="49"/>
      <c r="DA345" t="str">
        <f>('Inteligencia emocional'!A346)</f>
        <v>0</v>
      </c>
      <c r="DB345" s="39" t="str">
        <f>'Por Valoracion (3) Dimension 2'!D345</f>
        <v>0</v>
      </c>
      <c r="DC345" s="39" t="str">
        <f>'Por Valoracion (3) Dimension'!H345</f>
        <v>0</v>
      </c>
      <c r="DX345" s="49"/>
      <c r="DZ345" t="str">
        <f>('Inteligencia emocional'!A346)</f>
        <v>0</v>
      </c>
      <c r="EA345" s="39" t="str">
        <f>'Por Valoracion (3) Dimension 2'!F345</f>
        <v>0</v>
      </c>
      <c r="EB345" s="39" t="str">
        <f>'Por Valoracion (3) Dimension'!H345</f>
        <v>0</v>
      </c>
      <c r="EW345" s="49"/>
      <c r="EY345" t="str">
        <f>('Inteligencia emocional'!A346)</f>
        <v>0</v>
      </c>
      <c r="EZ345" s="39" t="str">
        <f>'Por Valoracion (3) Dimension 2'!H345</f>
        <v>0</v>
      </c>
      <c r="FA345" s="39" t="str">
        <f>'Por Valoracion (3) Dimension'!H345</f>
        <v>0</v>
      </c>
      <c r="FV345" s="49"/>
    </row>
    <row r="346" spans="1:178">
      <c r="A346" s="48"/>
      <c r="C346" t="str">
        <f>('Inteligencia emocional'!A347)</f>
        <v>0</v>
      </c>
      <c r="D346" s="39" t="str">
        <f>'Por Valoracion (3) Dimension'!B346</f>
        <v>0</v>
      </c>
      <c r="E346" s="39" t="str">
        <f>'Por Valoracion (3) Dimension 2'!J346</f>
        <v>0</v>
      </c>
      <c r="Z346" s="48"/>
      <c r="AB346" t="str">
        <f>('Inteligencia emocional'!A347)</f>
        <v>0</v>
      </c>
      <c r="AC346" s="39" t="str">
        <f>'Por Valoracion (3) Dimension'!D346</f>
        <v>0</v>
      </c>
      <c r="AD346" s="39" t="str">
        <f>'Por Valoracion (3) Dimension 2'!J346</f>
        <v>0</v>
      </c>
      <c r="AY346" s="48"/>
      <c r="BA346" t="str">
        <f>('Inteligencia emocional'!A347)</f>
        <v>0</v>
      </c>
      <c r="BB346" s="39" t="str">
        <f>'Por Valoracion (3) Dimension'!F346</f>
        <v>0</v>
      </c>
      <c r="BC346" s="39" t="str">
        <f>'Por Valoracion (3) Dimension 2'!J346</f>
        <v>0</v>
      </c>
      <c r="BX346" s="48"/>
      <c r="BZ346" s="49"/>
      <c r="CB346" t="str">
        <f>('Inteligencia emocional'!A347)</f>
        <v>0</v>
      </c>
      <c r="CC346" s="39" t="str">
        <f>'Por Valoracion (3) Dimension 2'!B346</f>
        <v>0</v>
      </c>
      <c r="CD346" s="39" t="str">
        <f>'Por Valoracion (3) Dimension'!H346</f>
        <v>0</v>
      </c>
      <c r="CY346" s="49"/>
      <c r="DA346" t="str">
        <f>('Inteligencia emocional'!A347)</f>
        <v>0</v>
      </c>
      <c r="DB346" s="39" t="str">
        <f>'Por Valoracion (3) Dimension 2'!D346</f>
        <v>0</v>
      </c>
      <c r="DC346" s="39" t="str">
        <f>'Por Valoracion (3) Dimension'!H346</f>
        <v>0</v>
      </c>
      <c r="DX346" s="49"/>
      <c r="DZ346" t="str">
        <f>('Inteligencia emocional'!A347)</f>
        <v>0</v>
      </c>
      <c r="EA346" s="39" t="str">
        <f>'Por Valoracion (3) Dimension 2'!F346</f>
        <v>0</v>
      </c>
      <c r="EB346" s="39" t="str">
        <f>'Por Valoracion (3) Dimension'!H346</f>
        <v>0</v>
      </c>
      <c r="EW346" s="49"/>
      <c r="EY346" t="str">
        <f>('Inteligencia emocional'!A347)</f>
        <v>0</v>
      </c>
      <c r="EZ346" s="39" t="str">
        <f>'Por Valoracion (3) Dimension 2'!H346</f>
        <v>0</v>
      </c>
      <c r="FA346" s="39" t="str">
        <f>'Por Valoracion (3) Dimension'!H346</f>
        <v>0</v>
      </c>
      <c r="FV346" s="49"/>
    </row>
    <row r="347" spans="1:178">
      <c r="A347" s="48"/>
      <c r="C347" t="str">
        <f>('Inteligencia emocional'!A348)</f>
        <v>0</v>
      </c>
      <c r="D347" s="39" t="str">
        <f>'Por Valoracion (3) Dimension'!B347</f>
        <v>0</v>
      </c>
      <c r="E347" s="39" t="str">
        <f>'Por Valoracion (3) Dimension 2'!J347</f>
        <v>0</v>
      </c>
      <c r="Z347" s="48"/>
      <c r="AB347" t="str">
        <f>('Inteligencia emocional'!A348)</f>
        <v>0</v>
      </c>
      <c r="AC347" s="39" t="str">
        <f>'Por Valoracion (3) Dimension'!D347</f>
        <v>0</v>
      </c>
      <c r="AD347" s="39" t="str">
        <f>'Por Valoracion (3) Dimension 2'!J347</f>
        <v>0</v>
      </c>
      <c r="AY347" s="48"/>
      <c r="BA347" t="str">
        <f>('Inteligencia emocional'!A348)</f>
        <v>0</v>
      </c>
      <c r="BB347" s="39" t="str">
        <f>'Por Valoracion (3) Dimension'!F347</f>
        <v>0</v>
      </c>
      <c r="BC347" s="39" t="str">
        <f>'Por Valoracion (3) Dimension 2'!J347</f>
        <v>0</v>
      </c>
      <c r="BX347" s="48"/>
      <c r="BZ347" s="49"/>
      <c r="CB347" t="str">
        <f>('Inteligencia emocional'!A348)</f>
        <v>0</v>
      </c>
      <c r="CC347" s="39" t="str">
        <f>'Por Valoracion (3) Dimension 2'!B347</f>
        <v>0</v>
      </c>
      <c r="CD347" s="39" t="str">
        <f>'Por Valoracion (3) Dimension'!H347</f>
        <v>0</v>
      </c>
      <c r="CY347" s="49"/>
      <c r="DA347" t="str">
        <f>('Inteligencia emocional'!A348)</f>
        <v>0</v>
      </c>
      <c r="DB347" s="39" t="str">
        <f>'Por Valoracion (3) Dimension 2'!D347</f>
        <v>0</v>
      </c>
      <c r="DC347" s="39" t="str">
        <f>'Por Valoracion (3) Dimension'!H347</f>
        <v>0</v>
      </c>
      <c r="DX347" s="49"/>
      <c r="DZ347" t="str">
        <f>('Inteligencia emocional'!A348)</f>
        <v>0</v>
      </c>
      <c r="EA347" s="39" t="str">
        <f>'Por Valoracion (3) Dimension 2'!F347</f>
        <v>0</v>
      </c>
      <c r="EB347" s="39" t="str">
        <f>'Por Valoracion (3) Dimension'!H347</f>
        <v>0</v>
      </c>
      <c r="EW347" s="49"/>
      <c r="EY347" t="str">
        <f>('Inteligencia emocional'!A348)</f>
        <v>0</v>
      </c>
      <c r="EZ347" s="39" t="str">
        <f>'Por Valoracion (3) Dimension 2'!H347</f>
        <v>0</v>
      </c>
      <c r="FA347" s="39" t="str">
        <f>'Por Valoracion (3) Dimension'!H347</f>
        <v>0</v>
      </c>
      <c r="FV347" s="49"/>
    </row>
    <row r="348" spans="1:178">
      <c r="A348" s="48"/>
      <c r="C348" t="str">
        <f>('Inteligencia emocional'!A349)</f>
        <v>0</v>
      </c>
      <c r="D348" s="39" t="str">
        <f>'Por Valoracion (3) Dimension'!B348</f>
        <v>0</v>
      </c>
      <c r="E348" s="39" t="str">
        <f>'Por Valoracion (3) Dimension 2'!J348</f>
        <v>0</v>
      </c>
      <c r="Z348" s="48"/>
      <c r="AB348" t="str">
        <f>('Inteligencia emocional'!A349)</f>
        <v>0</v>
      </c>
      <c r="AC348" s="39" t="str">
        <f>'Por Valoracion (3) Dimension'!D348</f>
        <v>0</v>
      </c>
      <c r="AD348" s="39" t="str">
        <f>'Por Valoracion (3) Dimension 2'!J348</f>
        <v>0</v>
      </c>
      <c r="AY348" s="48"/>
      <c r="BA348" t="str">
        <f>('Inteligencia emocional'!A349)</f>
        <v>0</v>
      </c>
      <c r="BB348" s="39" t="str">
        <f>'Por Valoracion (3) Dimension'!F348</f>
        <v>0</v>
      </c>
      <c r="BC348" s="39" t="str">
        <f>'Por Valoracion (3) Dimension 2'!J348</f>
        <v>0</v>
      </c>
      <c r="BX348" s="48"/>
      <c r="BZ348" s="49"/>
      <c r="CB348" t="str">
        <f>('Inteligencia emocional'!A349)</f>
        <v>0</v>
      </c>
      <c r="CC348" s="39" t="str">
        <f>'Por Valoracion (3) Dimension 2'!B348</f>
        <v>0</v>
      </c>
      <c r="CD348" s="39" t="str">
        <f>'Por Valoracion (3) Dimension'!H348</f>
        <v>0</v>
      </c>
      <c r="CY348" s="49"/>
      <c r="DA348" t="str">
        <f>('Inteligencia emocional'!A349)</f>
        <v>0</v>
      </c>
      <c r="DB348" s="39" t="str">
        <f>'Por Valoracion (3) Dimension 2'!D348</f>
        <v>0</v>
      </c>
      <c r="DC348" s="39" t="str">
        <f>'Por Valoracion (3) Dimension'!H348</f>
        <v>0</v>
      </c>
      <c r="DX348" s="49"/>
      <c r="DZ348" t="str">
        <f>('Inteligencia emocional'!A349)</f>
        <v>0</v>
      </c>
      <c r="EA348" s="39" t="str">
        <f>'Por Valoracion (3) Dimension 2'!F348</f>
        <v>0</v>
      </c>
      <c r="EB348" s="39" t="str">
        <f>'Por Valoracion (3) Dimension'!H348</f>
        <v>0</v>
      </c>
      <c r="EW348" s="49"/>
      <c r="EY348" t="str">
        <f>('Inteligencia emocional'!A349)</f>
        <v>0</v>
      </c>
      <c r="EZ348" s="39" t="str">
        <f>'Por Valoracion (3) Dimension 2'!H348</f>
        <v>0</v>
      </c>
      <c r="FA348" s="39" t="str">
        <f>'Por Valoracion (3) Dimension'!H348</f>
        <v>0</v>
      </c>
      <c r="FV348" s="49"/>
    </row>
    <row r="349" spans="1:178">
      <c r="A349" s="48"/>
      <c r="C349" t="str">
        <f>('Inteligencia emocional'!A350)</f>
        <v>0</v>
      </c>
      <c r="D349" s="39" t="str">
        <f>'Por Valoracion (3) Dimension'!B349</f>
        <v>0</v>
      </c>
      <c r="E349" s="39" t="str">
        <f>'Por Valoracion (3) Dimension 2'!J349</f>
        <v>0</v>
      </c>
      <c r="Z349" s="48"/>
      <c r="AB349" t="str">
        <f>('Inteligencia emocional'!A350)</f>
        <v>0</v>
      </c>
      <c r="AC349" s="39" t="str">
        <f>'Por Valoracion (3) Dimension'!D349</f>
        <v>0</v>
      </c>
      <c r="AD349" s="39" t="str">
        <f>'Por Valoracion (3) Dimension 2'!J349</f>
        <v>0</v>
      </c>
      <c r="AY349" s="48"/>
      <c r="BA349" t="str">
        <f>('Inteligencia emocional'!A350)</f>
        <v>0</v>
      </c>
      <c r="BB349" s="39" t="str">
        <f>'Por Valoracion (3) Dimension'!F349</f>
        <v>0</v>
      </c>
      <c r="BC349" s="39" t="str">
        <f>'Por Valoracion (3) Dimension 2'!J349</f>
        <v>0</v>
      </c>
      <c r="BX349" s="48"/>
      <c r="BZ349" s="49"/>
      <c r="CB349" t="str">
        <f>('Inteligencia emocional'!A350)</f>
        <v>0</v>
      </c>
      <c r="CC349" s="39" t="str">
        <f>'Por Valoracion (3) Dimension 2'!B349</f>
        <v>0</v>
      </c>
      <c r="CD349" s="39" t="str">
        <f>'Por Valoracion (3) Dimension'!H349</f>
        <v>0</v>
      </c>
      <c r="CY349" s="49"/>
      <c r="DA349" t="str">
        <f>('Inteligencia emocional'!A350)</f>
        <v>0</v>
      </c>
      <c r="DB349" s="39" t="str">
        <f>'Por Valoracion (3) Dimension 2'!D349</f>
        <v>0</v>
      </c>
      <c r="DC349" s="39" t="str">
        <f>'Por Valoracion (3) Dimension'!H349</f>
        <v>0</v>
      </c>
      <c r="DX349" s="49"/>
      <c r="DZ349" t="str">
        <f>('Inteligencia emocional'!A350)</f>
        <v>0</v>
      </c>
      <c r="EA349" s="39" t="str">
        <f>'Por Valoracion (3) Dimension 2'!F349</f>
        <v>0</v>
      </c>
      <c r="EB349" s="39" t="str">
        <f>'Por Valoracion (3) Dimension'!H349</f>
        <v>0</v>
      </c>
      <c r="EW349" s="49"/>
      <c r="EY349" t="str">
        <f>('Inteligencia emocional'!A350)</f>
        <v>0</v>
      </c>
      <c r="EZ349" s="39" t="str">
        <f>'Por Valoracion (3) Dimension 2'!H349</f>
        <v>0</v>
      </c>
      <c r="FA349" s="39" t="str">
        <f>'Por Valoracion (3) Dimension'!H349</f>
        <v>0</v>
      </c>
      <c r="FV349" s="49"/>
    </row>
    <row r="350" spans="1:178">
      <c r="A350" s="48"/>
      <c r="C350" t="str">
        <f>('Inteligencia emocional'!A351)</f>
        <v>0</v>
      </c>
      <c r="D350" s="39" t="str">
        <f>'Por Valoracion (3) Dimension'!B350</f>
        <v>0</v>
      </c>
      <c r="E350" s="39" t="str">
        <f>'Por Valoracion (3) Dimension 2'!J350</f>
        <v>0</v>
      </c>
      <c r="Z350" s="48"/>
      <c r="AB350" t="str">
        <f>('Inteligencia emocional'!A351)</f>
        <v>0</v>
      </c>
      <c r="AC350" s="39" t="str">
        <f>'Por Valoracion (3) Dimension'!D350</f>
        <v>0</v>
      </c>
      <c r="AD350" s="39" t="str">
        <f>'Por Valoracion (3) Dimension 2'!J350</f>
        <v>0</v>
      </c>
      <c r="AY350" s="48"/>
      <c r="BA350" t="str">
        <f>('Inteligencia emocional'!A351)</f>
        <v>0</v>
      </c>
      <c r="BB350" s="39" t="str">
        <f>'Por Valoracion (3) Dimension'!F350</f>
        <v>0</v>
      </c>
      <c r="BC350" s="39" t="str">
        <f>'Por Valoracion (3) Dimension 2'!J350</f>
        <v>0</v>
      </c>
      <c r="BX350" s="48"/>
      <c r="BZ350" s="49"/>
      <c r="CB350" t="str">
        <f>('Inteligencia emocional'!A351)</f>
        <v>0</v>
      </c>
      <c r="CC350" s="39" t="str">
        <f>'Por Valoracion (3) Dimension 2'!B350</f>
        <v>0</v>
      </c>
      <c r="CD350" s="39" t="str">
        <f>'Por Valoracion (3) Dimension'!H350</f>
        <v>0</v>
      </c>
      <c r="CY350" s="49"/>
      <c r="DA350" t="str">
        <f>('Inteligencia emocional'!A351)</f>
        <v>0</v>
      </c>
      <c r="DB350" s="39" t="str">
        <f>'Por Valoracion (3) Dimension 2'!D350</f>
        <v>0</v>
      </c>
      <c r="DC350" s="39" t="str">
        <f>'Por Valoracion (3) Dimension'!H350</f>
        <v>0</v>
      </c>
      <c r="DX350" s="49"/>
      <c r="DZ350" t="str">
        <f>('Inteligencia emocional'!A351)</f>
        <v>0</v>
      </c>
      <c r="EA350" s="39" t="str">
        <f>'Por Valoracion (3) Dimension 2'!F350</f>
        <v>0</v>
      </c>
      <c r="EB350" s="39" t="str">
        <f>'Por Valoracion (3) Dimension'!H350</f>
        <v>0</v>
      </c>
      <c r="EW350" s="49"/>
      <c r="EY350" t="str">
        <f>('Inteligencia emocional'!A351)</f>
        <v>0</v>
      </c>
      <c r="EZ350" s="39" t="str">
        <f>'Por Valoracion (3) Dimension 2'!H350</f>
        <v>0</v>
      </c>
      <c r="FA350" s="39" t="str">
        <f>'Por Valoracion (3) Dimension'!H350</f>
        <v>0</v>
      </c>
      <c r="FV350" s="49"/>
    </row>
    <row r="351" spans="1:178">
      <c r="A351" s="48"/>
      <c r="C351" t="str">
        <f>('Inteligencia emocional'!A352)</f>
        <v>0</v>
      </c>
      <c r="D351" s="39" t="str">
        <f>'Por Valoracion (3) Dimension'!B351</f>
        <v>0</v>
      </c>
      <c r="E351" s="39" t="str">
        <f>'Por Valoracion (3) Dimension 2'!J351</f>
        <v>0</v>
      </c>
      <c r="Z351" s="48"/>
      <c r="AB351" t="str">
        <f>('Inteligencia emocional'!A352)</f>
        <v>0</v>
      </c>
      <c r="AC351" s="39" t="str">
        <f>'Por Valoracion (3) Dimension'!D351</f>
        <v>0</v>
      </c>
      <c r="AD351" s="39" t="str">
        <f>'Por Valoracion (3) Dimension 2'!J351</f>
        <v>0</v>
      </c>
      <c r="AY351" s="48"/>
      <c r="BA351" t="str">
        <f>('Inteligencia emocional'!A352)</f>
        <v>0</v>
      </c>
      <c r="BB351" s="39" t="str">
        <f>'Por Valoracion (3) Dimension'!F351</f>
        <v>0</v>
      </c>
      <c r="BC351" s="39" t="str">
        <f>'Por Valoracion (3) Dimension 2'!J351</f>
        <v>0</v>
      </c>
      <c r="BX351" s="48"/>
      <c r="BZ351" s="49"/>
      <c r="CB351" t="str">
        <f>('Inteligencia emocional'!A352)</f>
        <v>0</v>
      </c>
      <c r="CC351" s="39" t="str">
        <f>'Por Valoracion (3) Dimension 2'!B351</f>
        <v>0</v>
      </c>
      <c r="CD351" s="39" t="str">
        <f>'Por Valoracion (3) Dimension'!H351</f>
        <v>0</v>
      </c>
      <c r="CY351" s="49"/>
      <c r="DA351" t="str">
        <f>('Inteligencia emocional'!A352)</f>
        <v>0</v>
      </c>
      <c r="DB351" s="39" t="str">
        <f>'Por Valoracion (3) Dimension 2'!D351</f>
        <v>0</v>
      </c>
      <c r="DC351" s="39" t="str">
        <f>'Por Valoracion (3) Dimension'!H351</f>
        <v>0</v>
      </c>
      <c r="DX351" s="49"/>
      <c r="DZ351" t="str">
        <f>('Inteligencia emocional'!A352)</f>
        <v>0</v>
      </c>
      <c r="EA351" s="39" t="str">
        <f>'Por Valoracion (3) Dimension 2'!F351</f>
        <v>0</v>
      </c>
      <c r="EB351" s="39" t="str">
        <f>'Por Valoracion (3) Dimension'!H351</f>
        <v>0</v>
      </c>
      <c r="EW351" s="49"/>
      <c r="EY351" t="str">
        <f>('Inteligencia emocional'!A352)</f>
        <v>0</v>
      </c>
      <c r="EZ351" s="39" t="str">
        <f>'Por Valoracion (3) Dimension 2'!H351</f>
        <v>0</v>
      </c>
      <c r="FA351" s="39" t="str">
        <f>'Por Valoracion (3) Dimension'!H351</f>
        <v>0</v>
      </c>
      <c r="FV351" s="49"/>
    </row>
    <row r="352" spans="1:178">
      <c r="A352" s="48"/>
      <c r="C352" t="str">
        <f>('Inteligencia emocional'!A353)</f>
        <v>0</v>
      </c>
      <c r="D352" s="39" t="str">
        <f>'Por Valoracion (3) Dimension'!B352</f>
        <v>0</v>
      </c>
      <c r="E352" s="39" t="str">
        <f>'Por Valoracion (3) Dimension 2'!J352</f>
        <v>0</v>
      </c>
      <c r="Z352" s="48"/>
      <c r="AB352" t="str">
        <f>('Inteligencia emocional'!A353)</f>
        <v>0</v>
      </c>
      <c r="AC352" s="39" t="str">
        <f>'Por Valoracion (3) Dimension'!D352</f>
        <v>0</v>
      </c>
      <c r="AD352" s="39" t="str">
        <f>'Por Valoracion (3) Dimension 2'!J352</f>
        <v>0</v>
      </c>
      <c r="AY352" s="48"/>
      <c r="BA352" t="str">
        <f>('Inteligencia emocional'!A353)</f>
        <v>0</v>
      </c>
      <c r="BB352" s="39" t="str">
        <f>'Por Valoracion (3) Dimension'!F352</f>
        <v>0</v>
      </c>
      <c r="BC352" s="39" t="str">
        <f>'Por Valoracion (3) Dimension 2'!J352</f>
        <v>0</v>
      </c>
      <c r="BX352" s="48"/>
      <c r="BZ352" s="49"/>
      <c r="CB352" t="str">
        <f>('Inteligencia emocional'!A353)</f>
        <v>0</v>
      </c>
      <c r="CC352" s="39" t="str">
        <f>'Por Valoracion (3) Dimension 2'!B352</f>
        <v>0</v>
      </c>
      <c r="CD352" s="39" t="str">
        <f>'Por Valoracion (3) Dimension'!H352</f>
        <v>0</v>
      </c>
      <c r="CY352" s="49"/>
      <c r="DA352" t="str">
        <f>('Inteligencia emocional'!A353)</f>
        <v>0</v>
      </c>
      <c r="DB352" s="39" t="str">
        <f>'Por Valoracion (3) Dimension 2'!D352</f>
        <v>0</v>
      </c>
      <c r="DC352" s="39" t="str">
        <f>'Por Valoracion (3) Dimension'!H352</f>
        <v>0</v>
      </c>
      <c r="DX352" s="49"/>
      <c r="DZ352" t="str">
        <f>('Inteligencia emocional'!A353)</f>
        <v>0</v>
      </c>
      <c r="EA352" s="39" t="str">
        <f>'Por Valoracion (3) Dimension 2'!F352</f>
        <v>0</v>
      </c>
      <c r="EB352" s="39" t="str">
        <f>'Por Valoracion (3) Dimension'!H352</f>
        <v>0</v>
      </c>
      <c r="EW352" s="49"/>
      <c r="EY352" t="str">
        <f>('Inteligencia emocional'!A353)</f>
        <v>0</v>
      </c>
      <c r="EZ352" s="39" t="str">
        <f>'Por Valoracion (3) Dimension 2'!H352</f>
        <v>0</v>
      </c>
      <c r="FA352" s="39" t="str">
        <f>'Por Valoracion (3) Dimension'!H352</f>
        <v>0</v>
      </c>
      <c r="FV352" s="49"/>
    </row>
    <row r="353" spans="1:178">
      <c r="A353" s="48"/>
      <c r="C353" t="str">
        <f>('Inteligencia emocional'!A354)</f>
        <v>0</v>
      </c>
      <c r="D353" s="39" t="str">
        <f>'Por Valoracion (3) Dimension'!B353</f>
        <v>0</v>
      </c>
      <c r="E353" s="39" t="str">
        <f>'Por Valoracion (3) Dimension 2'!J353</f>
        <v>0</v>
      </c>
      <c r="Z353" s="48"/>
      <c r="AB353" t="str">
        <f>('Inteligencia emocional'!A354)</f>
        <v>0</v>
      </c>
      <c r="AC353" s="39" t="str">
        <f>'Por Valoracion (3) Dimension'!D353</f>
        <v>0</v>
      </c>
      <c r="AD353" s="39" t="str">
        <f>'Por Valoracion (3) Dimension 2'!J353</f>
        <v>0</v>
      </c>
      <c r="AY353" s="48"/>
      <c r="BA353" t="str">
        <f>('Inteligencia emocional'!A354)</f>
        <v>0</v>
      </c>
      <c r="BB353" s="39" t="str">
        <f>'Por Valoracion (3) Dimension'!F353</f>
        <v>0</v>
      </c>
      <c r="BC353" s="39" t="str">
        <f>'Por Valoracion (3) Dimension 2'!J353</f>
        <v>0</v>
      </c>
      <c r="BX353" s="48"/>
      <c r="BZ353" s="49"/>
      <c r="CB353" t="str">
        <f>('Inteligencia emocional'!A354)</f>
        <v>0</v>
      </c>
      <c r="CC353" s="39" t="str">
        <f>'Por Valoracion (3) Dimension 2'!B353</f>
        <v>0</v>
      </c>
      <c r="CD353" s="39" t="str">
        <f>'Por Valoracion (3) Dimension'!H353</f>
        <v>0</v>
      </c>
      <c r="CY353" s="49"/>
      <c r="DA353" t="str">
        <f>('Inteligencia emocional'!A354)</f>
        <v>0</v>
      </c>
      <c r="DB353" s="39" t="str">
        <f>'Por Valoracion (3) Dimension 2'!D353</f>
        <v>0</v>
      </c>
      <c r="DC353" s="39" t="str">
        <f>'Por Valoracion (3) Dimension'!H353</f>
        <v>0</v>
      </c>
      <c r="DX353" s="49"/>
      <c r="DZ353" t="str">
        <f>('Inteligencia emocional'!A354)</f>
        <v>0</v>
      </c>
      <c r="EA353" s="39" t="str">
        <f>'Por Valoracion (3) Dimension 2'!F353</f>
        <v>0</v>
      </c>
      <c r="EB353" s="39" t="str">
        <f>'Por Valoracion (3) Dimension'!H353</f>
        <v>0</v>
      </c>
      <c r="EW353" s="49"/>
      <c r="EY353" t="str">
        <f>('Inteligencia emocional'!A354)</f>
        <v>0</v>
      </c>
      <c r="EZ353" s="39" t="str">
        <f>'Por Valoracion (3) Dimension 2'!H353</f>
        <v>0</v>
      </c>
      <c r="FA353" s="39" t="str">
        <f>'Por Valoracion (3) Dimension'!H353</f>
        <v>0</v>
      </c>
      <c r="FV353" s="49"/>
    </row>
    <row r="354" spans="1:178">
      <c r="A354" s="48"/>
      <c r="C354" t="str">
        <f>('Inteligencia emocional'!A355)</f>
        <v>0</v>
      </c>
      <c r="D354" s="39" t="str">
        <f>'Por Valoracion (3) Dimension'!B354</f>
        <v>0</v>
      </c>
      <c r="E354" s="39" t="str">
        <f>'Por Valoracion (3) Dimension 2'!J354</f>
        <v>0</v>
      </c>
      <c r="Z354" s="48"/>
      <c r="AB354" t="str">
        <f>('Inteligencia emocional'!A355)</f>
        <v>0</v>
      </c>
      <c r="AC354" s="39" t="str">
        <f>'Por Valoracion (3) Dimension'!D354</f>
        <v>0</v>
      </c>
      <c r="AD354" s="39" t="str">
        <f>'Por Valoracion (3) Dimension 2'!J354</f>
        <v>0</v>
      </c>
      <c r="AY354" s="48"/>
      <c r="BA354" t="str">
        <f>('Inteligencia emocional'!A355)</f>
        <v>0</v>
      </c>
      <c r="BB354" s="39" t="str">
        <f>'Por Valoracion (3) Dimension'!F354</f>
        <v>0</v>
      </c>
      <c r="BC354" s="39" t="str">
        <f>'Por Valoracion (3) Dimension 2'!J354</f>
        <v>0</v>
      </c>
      <c r="BX354" s="48"/>
      <c r="BZ354" s="49"/>
      <c r="CB354" t="str">
        <f>('Inteligencia emocional'!A355)</f>
        <v>0</v>
      </c>
      <c r="CC354" s="39" t="str">
        <f>'Por Valoracion (3) Dimension 2'!B354</f>
        <v>0</v>
      </c>
      <c r="CD354" s="39" t="str">
        <f>'Por Valoracion (3) Dimension'!H354</f>
        <v>0</v>
      </c>
      <c r="CY354" s="49"/>
      <c r="DA354" t="str">
        <f>('Inteligencia emocional'!A355)</f>
        <v>0</v>
      </c>
      <c r="DB354" s="39" t="str">
        <f>'Por Valoracion (3) Dimension 2'!D354</f>
        <v>0</v>
      </c>
      <c r="DC354" s="39" t="str">
        <f>'Por Valoracion (3) Dimension'!H354</f>
        <v>0</v>
      </c>
      <c r="DX354" s="49"/>
      <c r="DZ354" t="str">
        <f>('Inteligencia emocional'!A355)</f>
        <v>0</v>
      </c>
      <c r="EA354" s="39" t="str">
        <f>'Por Valoracion (3) Dimension 2'!F354</f>
        <v>0</v>
      </c>
      <c r="EB354" s="39" t="str">
        <f>'Por Valoracion (3) Dimension'!H354</f>
        <v>0</v>
      </c>
      <c r="EW354" s="49"/>
      <c r="EY354" t="str">
        <f>('Inteligencia emocional'!A355)</f>
        <v>0</v>
      </c>
      <c r="EZ354" s="39" t="str">
        <f>'Por Valoracion (3) Dimension 2'!H354</f>
        <v>0</v>
      </c>
      <c r="FA354" s="39" t="str">
        <f>'Por Valoracion (3) Dimension'!H354</f>
        <v>0</v>
      </c>
      <c r="FV354" s="49"/>
    </row>
    <row r="355" spans="1:178">
      <c r="A355" s="48"/>
      <c r="C355" t="str">
        <f>('Inteligencia emocional'!A356)</f>
        <v>0</v>
      </c>
      <c r="D355" s="39" t="str">
        <f>'Por Valoracion (3) Dimension'!B355</f>
        <v>0</v>
      </c>
      <c r="E355" s="39" t="str">
        <f>'Por Valoracion (3) Dimension 2'!J355</f>
        <v>0</v>
      </c>
      <c r="Z355" s="48"/>
      <c r="AB355" t="str">
        <f>('Inteligencia emocional'!A356)</f>
        <v>0</v>
      </c>
      <c r="AC355" s="39" t="str">
        <f>'Por Valoracion (3) Dimension'!D355</f>
        <v>0</v>
      </c>
      <c r="AD355" s="39" t="str">
        <f>'Por Valoracion (3) Dimension 2'!J355</f>
        <v>0</v>
      </c>
      <c r="AY355" s="48"/>
      <c r="BA355" t="str">
        <f>('Inteligencia emocional'!A356)</f>
        <v>0</v>
      </c>
      <c r="BB355" s="39" t="str">
        <f>'Por Valoracion (3) Dimension'!F355</f>
        <v>0</v>
      </c>
      <c r="BC355" s="39" t="str">
        <f>'Por Valoracion (3) Dimension 2'!J355</f>
        <v>0</v>
      </c>
      <c r="BX355" s="48"/>
      <c r="BZ355" s="49"/>
      <c r="CB355" t="str">
        <f>('Inteligencia emocional'!A356)</f>
        <v>0</v>
      </c>
      <c r="CC355" s="39" t="str">
        <f>'Por Valoracion (3) Dimension 2'!B355</f>
        <v>0</v>
      </c>
      <c r="CD355" s="39" t="str">
        <f>'Por Valoracion (3) Dimension'!H355</f>
        <v>0</v>
      </c>
      <c r="CY355" s="49"/>
      <c r="DA355" t="str">
        <f>('Inteligencia emocional'!A356)</f>
        <v>0</v>
      </c>
      <c r="DB355" s="39" t="str">
        <f>'Por Valoracion (3) Dimension 2'!D355</f>
        <v>0</v>
      </c>
      <c r="DC355" s="39" t="str">
        <f>'Por Valoracion (3) Dimension'!H355</f>
        <v>0</v>
      </c>
      <c r="DX355" s="49"/>
      <c r="DZ355" t="str">
        <f>('Inteligencia emocional'!A356)</f>
        <v>0</v>
      </c>
      <c r="EA355" s="39" t="str">
        <f>'Por Valoracion (3) Dimension 2'!F355</f>
        <v>0</v>
      </c>
      <c r="EB355" s="39" t="str">
        <f>'Por Valoracion (3) Dimension'!H355</f>
        <v>0</v>
      </c>
      <c r="EW355" s="49"/>
      <c r="EY355" t="str">
        <f>('Inteligencia emocional'!A356)</f>
        <v>0</v>
      </c>
      <c r="EZ355" s="39" t="str">
        <f>'Por Valoracion (3) Dimension 2'!H355</f>
        <v>0</v>
      </c>
      <c r="FA355" s="39" t="str">
        <f>'Por Valoracion (3) Dimension'!H355</f>
        <v>0</v>
      </c>
      <c r="FV355" s="49"/>
    </row>
    <row r="356" spans="1:178">
      <c r="A356" s="48"/>
      <c r="C356" t="str">
        <f>('Inteligencia emocional'!A357)</f>
        <v>0</v>
      </c>
      <c r="D356" s="39" t="str">
        <f>'Por Valoracion (3) Dimension'!B356</f>
        <v>0</v>
      </c>
      <c r="E356" s="39" t="str">
        <f>'Por Valoracion (3) Dimension 2'!J356</f>
        <v>0</v>
      </c>
      <c r="Z356" s="48"/>
      <c r="AB356" t="str">
        <f>('Inteligencia emocional'!A357)</f>
        <v>0</v>
      </c>
      <c r="AC356" s="39" t="str">
        <f>'Por Valoracion (3) Dimension'!D356</f>
        <v>0</v>
      </c>
      <c r="AD356" s="39" t="str">
        <f>'Por Valoracion (3) Dimension 2'!J356</f>
        <v>0</v>
      </c>
      <c r="AY356" s="48"/>
      <c r="BA356" t="str">
        <f>('Inteligencia emocional'!A357)</f>
        <v>0</v>
      </c>
      <c r="BB356" s="39" t="str">
        <f>'Por Valoracion (3) Dimension'!F356</f>
        <v>0</v>
      </c>
      <c r="BC356" s="39" t="str">
        <f>'Por Valoracion (3) Dimension 2'!J356</f>
        <v>0</v>
      </c>
      <c r="BX356" s="48"/>
      <c r="BZ356" s="49"/>
      <c r="CB356" t="str">
        <f>('Inteligencia emocional'!A357)</f>
        <v>0</v>
      </c>
      <c r="CC356" s="39" t="str">
        <f>'Por Valoracion (3) Dimension 2'!B356</f>
        <v>0</v>
      </c>
      <c r="CD356" s="39" t="str">
        <f>'Por Valoracion (3) Dimension'!H356</f>
        <v>0</v>
      </c>
      <c r="CY356" s="49"/>
      <c r="DA356" t="str">
        <f>('Inteligencia emocional'!A357)</f>
        <v>0</v>
      </c>
      <c r="DB356" s="39" t="str">
        <f>'Por Valoracion (3) Dimension 2'!D356</f>
        <v>0</v>
      </c>
      <c r="DC356" s="39" t="str">
        <f>'Por Valoracion (3) Dimension'!H356</f>
        <v>0</v>
      </c>
      <c r="DX356" s="49"/>
      <c r="DZ356" t="str">
        <f>('Inteligencia emocional'!A357)</f>
        <v>0</v>
      </c>
      <c r="EA356" s="39" t="str">
        <f>'Por Valoracion (3) Dimension 2'!F356</f>
        <v>0</v>
      </c>
      <c r="EB356" s="39" t="str">
        <f>'Por Valoracion (3) Dimension'!H356</f>
        <v>0</v>
      </c>
      <c r="EW356" s="49"/>
      <c r="EY356" t="str">
        <f>('Inteligencia emocional'!A357)</f>
        <v>0</v>
      </c>
      <c r="EZ356" s="39" t="str">
        <f>'Por Valoracion (3) Dimension 2'!H356</f>
        <v>0</v>
      </c>
      <c r="FA356" s="39" t="str">
        <f>'Por Valoracion (3) Dimension'!H356</f>
        <v>0</v>
      </c>
      <c r="FV356" s="49"/>
    </row>
    <row r="357" spans="1:178">
      <c r="A357" s="48"/>
      <c r="C357" t="str">
        <f>('Inteligencia emocional'!A358)</f>
        <v>0</v>
      </c>
      <c r="D357" s="39" t="str">
        <f>'Por Valoracion (3) Dimension'!B357</f>
        <v>0</v>
      </c>
      <c r="E357" s="39" t="str">
        <f>'Por Valoracion (3) Dimension 2'!J357</f>
        <v>0</v>
      </c>
      <c r="Z357" s="48"/>
      <c r="AB357" t="str">
        <f>('Inteligencia emocional'!A358)</f>
        <v>0</v>
      </c>
      <c r="AC357" s="39" t="str">
        <f>'Por Valoracion (3) Dimension'!D357</f>
        <v>0</v>
      </c>
      <c r="AD357" s="39" t="str">
        <f>'Por Valoracion (3) Dimension 2'!J357</f>
        <v>0</v>
      </c>
      <c r="AY357" s="48"/>
      <c r="BA357" t="str">
        <f>('Inteligencia emocional'!A358)</f>
        <v>0</v>
      </c>
      <c r="BB357" s="39" t="str">
        <f>'Por Valoracion (3) Dimension'!F357</f>
        <v>0</v>
      </c>
      <c r="BC357" s="39" t="str">
        <f>'Por Valoracion (3) Dimension 2'!J357</f>
        <v>0</v>
      </c>
      <c r="BX357" s="48"/>
      <c r="BZ357" s="49"/>
      <c r="CB357" t="str">
        <f>('Inteligencia emocional'!A358)</f>
        <v>0</v>
      </c>
      <c r="CC357" s="39" t="str">
        <f>'Por Valoracion (3) Dimension 2'!B357</f>
        <v>0</v>
      </c>
      <c r="CD357" s="39" t="str">
        <f>'Por Valoracion (3) Dimension'!H357</f>
        <v>0</v>
      </c>
      <c r="CY357" s="49"/>
      <c r="DA357" t="str">
        <f>('Inteligencia emocional'!A358)</f>
        <v>0</v>
      </c>
      <c r="DB357" s="39" t="str">
        <f>'Por Valoracion (3) Dimension 2'!D357</f>
        <v>0</v>
      </c>
      <c r="DC357" s="39" t="str">
        <f>'Por Valoracion (3) Dimension'!H357</f>
        <v>0</v>
      </c>
      <c r="DX357" s="49"/>
      <c r="DZ357" t="str">
        <f>('Inteligencia emocional'!A358)</f>
        <v>0</v>
      </c>
      <c r="EA357" s="39" t="str">
        <f>'Por Valoracion (3) Dimension 2'!F357</f>
        <v>0</v>
      </c>
      <c r="EB357" s="39" t="str">
        <f>'Por Valoracion (3) Dimension'!H357</f>
        <v>0</v>
      </c>
      <c r="EW357" s="49"/>
      <c r="EY357" t="str">
        <f>('Inteligencia emocional'!A358)</f>
        <v>0</v>
      </c>
      <c r="EZ357" s="39" t="str">
        <f>'Por Valoracion (3) Dimension 2'!H357</f>
        <v>0</v>
      </c>
      <c r="FA357" s="39" t="str">
        <f>'Por Valoracion (3) Dimension'!H357</f>
        <v>0</v>
      </c>
      <c r="FV357" s="49"/>
    </row>
    <row r="358" spans="1:178">
      <c r="A358" s="48"/>
      <c r="C358" t="str">
        <f>('Inteligencia emocional'!A359)</f>
        <v>0</v>
      </c>
      <c r="D358" s="39" t="str">
        <f>'Por Valoracion (3) Dimension'!B358</f>
        <v>0</v>
      </c>
      <c r="E358" s="39" t="str">
        <f>'Por Valoracion (3) Dimension 2'!J358</f>
        <v>0</v>
      </c>
      <c r="Z358" s="48"/>
      <c r="AB358" t="str">
        <f>('Inteligencia emocional'!A359)</f>
        <v>0</v>
      </c>
      <c r="AC358" s="39" t="str">
        <f>'Por Valoracion (3) Dimension'!D358</f>
        <v>0</v>
      </c>
      <c r="AD358" s="39" t="str">
        <f>'Por Valoracion (3) Dimension 2'!J358</f>
        <v>0</v>
      </c>
      <c r="AY358" s="48"/>
      <c r="BA358" t="str">
        <f>('Inteligencia emocional'!A359)</f>
        <v>0</v>
      </c>
      <c r="BB358" s="39" t="str">
        <f>'Por Valoracion (3) Dimension'!F358</f>
        <v>0</v>
      </c>
      <c r="BC358" s="39" t="str">
        <f>'Por Valoracion (3) Dimension 2'!J358</f>
        <v>0</v>
      </c>
      <c r="BX358" s="48"/>
      <c r="BZ358" s="49"/>
      <c r="CB358" t="str">
        <f>('Inteligencia emocional'!A359)</f>
        <v>0</v>
      </c>
      <c r="CC358" s="39" t="str">
        <f>'Por Valoracion (3) Dimension 2'!B358</f>
        <v>0</v>
      </c>
      <c r="CD358" s="39" t="str">
        <f>'Por Valoracion (3) Dimension'!H358</f>
        <v>0</v>
      </c>
      <c r="CY358" s="49"/>
      <c r="DA358" t="str">
        <f>('Inteligencia emocional'!A359)</f>
        <v>0</v>
      </c>
      <c r="DB358" s="39" t="str">
        <f>'Por Valoracion (3) Dimension 2'!D358</f>
        <v>0</v>
      </c>
      <c r="DC358" s="39" t="str">
        <f>'Por Valoracion (3) Dimension'!H358</f>
        <v>0</v>
      </c>
      <c r="DX358" s="49"/>
      <c r="DZ358" t="str">
        <f>('Inteligencia emocional'!A359)</f>
        <v>0</v>
      </c>
      <c r="EA358" s="39" t="str">
        <f>'Por Valoracion (3) Dimension 2'!F358</f>
        <v>0</v>
      </c>
      <c r="EB358" s="39" t="str">
        <f>'Por Valoracion (3) Dimension'!H358</f>
        <v>0</v>
      </c>
      <c r="EW358" s="49"/>
      <c r="EY358" t="str">
        <f>('Inteligencia emocional'!A359)</f>
        <v>0</v>
      </c>
      <c r="EZ358" s="39" t="str">
        <f>'Por Valoracion (3) Dimension 2'!H358</f>
        <v>0</v>
      </c>
      <c r="FA358" s="39" t="str">
        <f>'Por Valoracion (3) Dimension'!H358</f>
        <v>0</v>
      </c>
      <c r="FV358" s="49"/>
    </row>
    <row r="359" spans="1:178">
      <c r="A359" s="48"/>
      <c r="Z359" s="48"/>
      <c r="AY359" s="48"/>
      <c r="BX359" s="48"/>
      <c r="BZ359" s="49"/>
      <c r="CY359" s="49"/>
      <c r="DX359" s="49"/>
      <c r="EW359" s="49"/>
      <c r="FV359" s="49"/>
    </row>
    <row r="360" spans="1:178">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Z360" s="49"/>
      <c r="CA360" s="49"/>
      <c r="CB360" s="49"/>
      <c r="CC360" s="49"/>
      <c r="CD360" s="49"/>
      <c r="CE360" s="49"/>
      <c r="CF360" s="49"/>
      <c r="CG360" s="49"/>
      <c r="CH360" s="49"/>
      <c r="CI360" s="49"/>
      <c r="CJ360" s="49"/>
      <c r="CK360" s="49"/>
      <c r="CL360" s="49"/>
      <c r="CM360" s="49"/>
      <c r="CN360" s="49"/>
      <c r="CO360" s="49"/>
      <c r="CP360" s="49"/>
      <c r="CQ360" s="49"/>
      <c r="CR360" s="49"/>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49"/>
      <c r="EJ360" s="49"/>
      <c r="EK360" s="49"/>
      <c r="EL360" s="49"/>
      <c r="EM360" s="49"/>
      <c r="EN360" s="49"/>
      <c r="EO360" s="49"/>
      <c r="EP360" s="49"/>
      <c r="EQ360" s="49"/>
      <c r="ER360" s="49"/>
      <c r="ES360" s="49"/>
      <c r="ET360" s="49"/>
      <c r="EU360" s="49"/>
      <c r="EV360" s="49"/>
      <c r="EW360" s="49"/>
      <c r="EX360" s="49"/>
      <c r="EY360" s="49"/>
      <c r="EZ360" s="49"/>
      <c r="FA360" s="49"/>
      <c r="FB360" s="49"/>
      <c r="FC360" s="49"/>
      <c r="FD360" s="49"/>
      <c r="FE360" s="49"/>
      <c r="FF360" s="49"/>
      <c r="FG360" s="49"/>
      <c r="FH360" s="49"/>
      <c r="FI360" s="49"/>
      <c r="FJ360" s="49"/>
      <c r="FK360" s="49"/>
      <c r="FL360" s="49"/>
      <c r="FM360" s="49"/>
      <c r="FN360" s="49"/>
      <c r="FO360" s="49"/>
      <c r="FP360" s="49"/>
      <c r="FQ360" s="49"/>
      <c r="FR360" s="49"/>
      <c r="FS360" s="49"/>
      <c r="FT360" s="49"/>
      <c r="FU360" s="49"/>
      <c r="FV360" s="49"/>
    </row>
    <row r="363" spans="1:178">
      <c r="D363" t="s">
        <v>652</v>
      </c>
      <c r="E363" t="s">
        <v>665</v>
      </c>
      <c r="F363" t="s">
        <v>653</v>
      </c>
      <c r="G363" t="s">
        <v>654</v>
      </c>
      <c r="H363" t="s">
        <v>655</v>
      </c>
      <c r="I363" t="s">
        <v>656</v>
      </c>
      <c r="M363" t="s">
        <v>657</v>
      </c>
      <c r="N363" t="s">
        <v>658</v>
      </c>
      <c r="O363" t="s">
        <v>659</v>
      </c>
      <c r="R363" t="s">
        <v>657</v>
      </c>
      <c r="S363" t="s">
        <v>658</v>
      </c>
      <c r="T363" t="s">
        <v>660</v>
      </c>
      <c r="AC363" t="s">
        <v>652</v>
      </c>
      <c r="AD363" t="s">
        <v>665</v>
      </c>
      <c r="AE363" t="s">
        <v>653</v>
      </c>
      <c r="AF363" t="s">
        <v>654</v>
      </c>
      <c r="AG363" t="s">
        <v>655</v>
      </c>
      <c r="AH363" t="s">
        <v>656</v>
      </c>
      <c r="AL363" t="s">
        <v>657</v>
      </c>
      <c r="AM363" t="s">
        <v>658</v>
      </c>
      <c r="AN363" t="s">
        <v>659</v>
      </c>
      <c r="AQ363" t="s">
        <v>657</v>
      </c>
      <c r="AR363" t="s">
        <v>658</v>
      </c>
      <c r="AS363" t="s">
        <v>660</v>
      </c>
      <c r="BB363" t="s">
        <v>652</v>
      </c>
      <c r="BC363" t="s">
        <v>665</v>
      </c>
      <c r="BD363" t="s">
        <v>653</v>
      </c>
      <c r="BE363" t="s">
        <v>654</v>
      </c>
      <c r="BF363" t="s">
        <v>655</v>
      </c>
      <c r="BG363" t="s">
        <v>656</v>
      </c>
      <c r="BK363" t="s">
        <v>657</v>
      </c>
      <c r="BL363" t="s">
        <v>658</v>
      </c>
      <c r="BM363" t="s">
        <v>659</v>
      </c>
      <c r="BP363" t="s">
        <v>657</v>
      </c>
      <c r="BQ363" t="s">
        <v>658</v>
      </c>
      <c r="BR363" t="s">
        <v>660</v>
      </c>
      <c r="CC363" t="s">
        <v>652</v>
      </c>
      <c r="CD363" t="s">
        <v>665</v>
      </c>
      <c r="CE363" t="s">
        <v>653</v>
      </c>
      <c r="CF363" t="s">
        <v>654</v>
      </c>
      <c r="CG363" t="s">
        <v>655</v>
      </c>
      <c r="CH363" t="s">
        <v>656</v>
      </c>
      <c r="CL363" t="s">
        <v>657</v>
      </c>
      <c r="CM363" t="s">
        <v>658</v>
      </c>
      <c r="CN363" t="s">
        <v>659</v>
      </c>
      <c r="CQ363" t="s">
        <v>657</v>
      </c>
      <c r="CR363" t="s">
        <v>658</v>
      </c>
      <c r="CS363" t="s">
        <v>660</v>
      </c>
      <c r="DB363" t="s">
        <v>652</v>
      </c>
      <c r="DC363" t="s">
        <v>665</v>
      </c>
      <c r="DD363" t="s">
        <v>653</v>
      </c>
      <c r="DE363" t="s">
        <v>654</v>
      </c>
      <c r="DF363" t="s">
        <v>655</v>
      </c>
      <c r="DG363" t="s">
        <v>656</v>
      </c>
      <c r="DK363" t="s">
        <v>657</v>
      </c>
      <c r="DL363" t="s">
        <v>658</v>
      </c>
      <c r="DM363" t="s">
        <v>659</v>
      </c>
      <c r="DP363" t="s">
        <v>657</v>
      </c>
      <c r="DQ363" t="s">
        <v>658</v>
      </c>
      <c r="DR363" t="s">
        <v>660</v>
      </c>
      <c r="EA363" t="s">
        <v>652</v>
      </c>
      <c r="EB363" t="s">
        <v>665</v>
      </c>
      <c r="EC363" t="s">
        <v>653</v>
      </c>
      <c r="ED363" t="s">
        <v>654</v>
      </c>
      <c r="EE363" t="s">
        <v>655</v>
      </c>
      <c r="EF363" t="s">
        <v>656</v>
      </c>
      <c r="EJ363" t="s">
        <v>657</v>
      </c>
      <c r="EK363" t="s">
        <v>658</v>
      </c>
      <c r="EL363" t="s">
        <v>659</v>
      </c>
      <c r="EO363" t="s">
        <v>657</v>
      </c>
      <c r="EP363" t="s">
        <v>658</v>
      </c>
      <c r="EQ363" t="s">
        <v>660</v>
      </c>
      <c r="EZ363" t="s">
        <v>652</v>
      </c>
      <c r="FA363" t="s">
        <v>665</v>
      </c>
      <c r="FB363" t="s">
        <v>653</v>
      </c>
      <c r="FC363" t="s">
        <v>654</v>
      </c>
      <c r="FD363" t="s">
        <v>655</v>
      </c>
      <c r="FE363" t="s">
        <v>656</v>
      </c>
      <c r="FI363" t="s">
        <v>657</v>
      </c>
      <c r="FJ363" t="s">
        <v>658</v>
      </c>
      <c r="FK363" t="s">
        <v>659</v>
      </c>
      <c r="FN363" t="s">
        <v>657</v>
      </c>
      <c r="FO363" t="s">
        <v>658</v>
      </c>
      <c r="FP363" t="s">
        <v>660</v>
      </c>
    </row>
    <row r="364" spans="1:178">
      <c r="D364" t="str">
        <f>D3</f>
        <v>0</v>
      </c>
      <c r="E364" t="str">
        <f>E3</f>
        <v>0</v>
      </c>
      <c r="F364" t="str">
        <f>IF(G8&lt;=50,H6,H6)</f>
        <v>0</v>
      </c>
      <c r="G364" t="str">
        <f>IF(E3&lt;5/100,"la distribución de sus valores son diferentes a la distribución normal","la distribución de sus valores no son diferentes a la distribución normal")</f>
        <v>0</v>
      </c>
      <c r="H364" t="str">
        <f>IF(G364="la distribución de sus valores son diferentes a la distribución normal"," es decir los datos no se encuentran normalmente distribuidos"," es decir los datos si se encuentran normalmente distribuidos")</f>
        <v>0</v>
      </c>
      <c r="I364" t="str">
        <f>IF(G364=" es decir los datos no se encuentran normalmente distribuidos"," la prueba no paramétrica de correlación de Rho de Spearman","la prueba paramétrica de correlación de Pearson")</f>
        <v>0</v>
      </c>
      <c r="M364" t="s">
        <v>661</v>
      </c>
      <c r="N364" t="str">
        <f>R14</f>
        <v>0</v>
      </c>
      <c r="O364" t="str">
        <f>R13</f>
        <v>0</v>
      </c>
      <c r="R364" t="s">
        <v>661</v>
      </c>
      <c r="S364" t="str">
        <f>X14</f>
        <v>0</v>
      </c>
      <c r="T364" t="str">
        <f>X13</f>
        <v>0</v>
      </c>
      <c r="AC364" t="str">
        <f>AC3</f>
        <v>0</v>
      </c>
      <c r="AD364" t="str">
        <f>AD3</f>
        <v>0</v>
      </c>
      <c r="AE364" t="str">
        <f>IF(AF8&lt;=50,AG6,AG6)</f>
        <v>0</v>
      </c>
      <c r="AF364" t="str">
        <f>IF(AD3&lt;5/100,"la distribución de sus valores son diferentes a la distribución normal","la distribución de sus valores no son diferentes a la distribución normal")</f>
        <v>0</v>
      </c>
      <c r="AG364" t="str">
        <f>IF(AF364="la distribución de sus valores son diferentes a la distribución normal"," es decir los datos no se encuentran normalmente distribuidos"," es decir los datos si se encuentran normalmente distribuidos")</f>
        <v>0</v>
      </c>
      <c r="AH364" t="str">
        <f>IF(AF364=" es decir los datos no se encuentran normalmente distribuidos"," la prueba no paramétrica de correlación de Rho de Spearman","la prueba paramétrica de correlación de Pearson")</f>
        <v>0</v>
      </c>
      <c r="AL364" t="s">
        <v>661</v>
      </c>
      <c r="AM364" t="str">
        <f>AQ14</f>
        <v>0</v>
      </c>
      <c r="AN364" t="str">
        <f>AQ13</f>
        <v>0</v>
      </c>
      <c r="AQ364" t="s">
        <v>661</v>
      </c>
      <c r="AR364" t="str">
        <f>AW14</f>
        <v>0</v>
      </c>
      <c r="AS364" t="str">
        <f>AW13</f>
        <v>0</v>
      </c>
      <c r="BB364" t="str">
        <f>BB3</f>
        <v>0</v>
      </c>
      <c r="BC364" t="str">
        <f>BC3</f>
        <v>0</v>
      </c>
      <c r="BD364" t="str">
        <f>IF(BE8&lt;=50,BF6,BF6)</f>
        <v>0</v>
      </c>
      <c r="BE364" t="str">
        <f>IF(BC3&lt;5/100,"la distribución de sus valores son diferentes a la distribución normal","la distribución de sus valores no son diferentes a la distribución normal")</f>
        <v>0</v>
      </c>
      <c r="BF364" t="str">
        <f>IF(BE364="la distribución de sus valores son diferentes a la distribución normal"," es decir los datos no se encuentran normalmente distribuidos"," es decir los datos si se encuentran normalmente distribuidos")</f>
        <v>0</v>
      </c>
      <c r="BG364" t="str">
        <f>IF(BE364=" es decir los datos no se encuentran normalmente distribuidos"," la prueba no paramétrica de correlación de Rho de Spearman","la prueba paramétrica de correlación de Pearson")</f>
        <v>0</v>
      </c>
      <c r="BK364" t="s">
        <v>661</v>
      </c>
      <c r="BL364" t="str">
        <f>BP14</f>
        <v>0</v>
      </c>
      <c r="BM364" t="str">
        <f>BP13</f>
        <v>0</v>
      </c>
      <c r="BP364" t="s">
        <v>661</v>
      </c>
      <c r="BQ364" t="str">
        <f>BV14</f>
        <v>0</v>
      </c>
      <c r="BR364" t="str">
        <f>BV13</f>
        <v>0</v>
      </c>
      <c r="CC364" t="str">
        <f>CC3</f>
        <v>0</v>
      </c>
      <c r="CD364" t="str">
        <f>CD3</f>
        <v>0</v>
      </c>
      <c r="CE364" t="str">
        <f>IF(CF8&lt;=50,CG6,CG6)</f>
        <v>0</v>
      </c>
      <c r="CF364" t="str">
        <f>IF(CD3&lt;5/100,"la distribución de sus valores son diferentes a la distribución normal","la distribución de sus valores no son diferentes a la distribución normal")</f>
        <v>0</v>
      </c>
      <c r="CG364" t="str">
        <f>IF(CF364="la distribución de sus valores son diferentes a la distribución normal"," es decir los datos no se encuentran normalmente distribuidos"," es decir los datos si se encuentran normalmente distribuidos")</f>
        <v>0</v>
      </c>
      <c r="CH364" t="str">
        <f>IF(CF364=" es decir los datos no se encuentran normalmente distribuidos"," la prueba no paramétrica de correlación de Rho de Spearman","la prueba paramétrica de correlación de Pearson")</f>
        <v>0</v>
      </c>
      <c r="CL364" t="s">
        <v>661</v>
      </c>
      <c r="CM364" t="str">
        <f>CQ14</f>
        <v>0</v>
      </c>
      <c r="CN364" t="str">
        <f>CQ13</f>
        <v>0</v>
      </c>
      <c r="CQ364" t="s">
        <v>661</v>
      </c>
      <c r="CR364" t="str">
        <f>CW14</f>
        <v>0</v>
      </c>
      <c r="CS364" t="str">
        <f>CW13</f>
        <v>0</v>
      </c>
      <c r="DB364" t="str">
        <f>DB3</f>
        <v>0</v>
      </c>
      <c r="DC364" t="str">
        <f>DC3</f>
        <v>0</v>
      </c>
      <c r="DD364" t="str">
        <f>IF(DE8&lt;=50,DF6,DF6)</f>
        <v>0</v>
      </c>
      <c r="DE364" t="str">
        <f>IF(DC3&lt;5/100,"la distribución de sus valores son diferentes a la distribución normal","la distribución de sus valores no son diferentes a la distribución normal")</f>
        <v>0</v>
      </c>
      <c r="DF364" t="str">
        <f>IF(DE364="la distribución de sus valores son diferentes a la distribución normal"," es decir los datos no se encuentran normalmente distribuidos"," es decir los datos si se encuentran normalmente distribuidos")</f>
        <v>0</v>
      </c>
      <c r="DG364" t="str">
        <f>IF(DE364=" es decir los datos no se encuentran normalmente distribuidos"," la prueba no paramétrica de correlación de Rho de Spearman","la prueba paramétrica de correlación de Pearson")</f>
        <v>0</v>
      </c>
      <c r="DK364" t="s">
        <v>661</v>
      </c>
      <c r="DL364" t="str">
        <f>DP14</f>
        <v>0</v>
      </c>
      <c r="DM364" t="str">
        <f>DP13</f>
        <v>0</v>
      </c>
      <c r="DP364" t="s">
        <v>661</v>
      </c>
      <c r="DQ364" t="str">
        <f>DV14</f>
        <v>0</v>
      </c>
      <c r="DR364" t="str">
        <f>DV13</f>
        <v>0</v>
      </c>
      <c r="EA364" t="str">
        <f>EA3</f>
        <v>0</v>
      </c>
      <c r="EB364" t="str">
        <f>EB3</f>
        <v>0</v>
      </c>
      <c r="EC364" t="str">
        <f>IF(ED8&lt;=50,EE6,EE6)</f>
        <v>0</v>
      </c>
      <c r="ED364" t="str">
        <f>IF(EB3&lt;5/100,"la distribución de sus valores son diferentes a la distribución normal","la distribución de sus valores no son diferentes a la distribución normal")</f>
        <v>0</v>
      </c>
      <c r="EE364" t="str">
        <f>IF(ED364="la distribución de sus valores son diferentes a la distribución normal"," es decir los datos no se encuentran normalmente distribuidos"," es decir los datos si se encuentran normalmente distribuidos")</f>
        <v>0</v>
      </c>
      <c r="EF364" t="str">
        <f>IF(ED364=" es decir los datos no se encuentran normalmente distribuidos"," la prueba no paramétrica de correlación de Rho de Spearman","la prueba paramétrica de correlación de Pearson")</f>
        <v>0</v>
      </c>
      <c r="EJ364" t="s">
        <v>661</v>
      </c>
      <c r="EK364" t="str">
        <f>EO14</f>
        <v>0</v>
      </c>
      <c r="EL364" t="str">
        <f>EO13</f>
        <v>0</v>
      </c>
      <c r="EO364" t="s">
        <v>661</v>
      </c>
      <c r="EP364" t="str">
        <f>EU14</f>
        <v>0</v>
      </c>
      <c r="EQ364" t="str">
        <f>EU13</f>
        <v>0</v>
      </c>
      <c r="EZ364" t="str">
        <f>EZ3</f>
        <v>0</v>
      </c>
      <c r="FA364" t="str">
        <f>FA3</f>
        <v>0</v>
      </c>
      <c r="FB364" t="str">
        <f>IF(FC8&lt;=50,FD6,FD6)</f>
        <v>0</v>
      </c>
      <c r="FC364" t="str">
        <f>IF(FA3&lt;5/100,"la distribución de sus valores son diferentes a la distribución normal","la distribución de sus valores no son diferentes a la distribución normal")</f>
        <v>0</v>
      </c>
      <c r="FD364" t="str">
        <f>IF(FC364="la distribución de sus valores son diferentes a la distribución normal"," es decir los datos no se encuentran normalmente distribuidos"," es decir los datos si se encuentran normalmente distribuidos")</f>
        <v>0</v>
      </c>
      <c r="FE364" t="str">
        <f>IF(FC364=" es decir los datos no se encuentran normalmente distribuidos"," la prueba no paramétrica de correlación de Rho de Spearman","la prueba paramétrica de correlación de Pearson")</f>
        <v>0</v>
      </c>
      <c r="FI364" t="s">
        <v>661</v>
      </c>
      <c r="FJ364" t="str">
        <f>FN14</f>
        <v>0</v>
      </c>
      <c r="FK364" t="str">
        <f>FN13</f>
        <v>0</v>
      </c>
      <c r="FN364" t="s">
        <v>661</v>
      </c>
      <c r="FO364" t="str">
        <f>FT14</f>
        <v>0</v>
      </c>
      <c r="FP364" t="str">
        <f>FT13</f>
        <v>0</v>
      </c>
    </row>
    <row r="365" spans="1:178">
      <c r="C365" t="s">
        <v>662</v>
      </c>
      <c r="D365" t="str">
        <f>M8</f>
        <v>0</v>
      </c>
      <c r="E365" t="str">
        <f>M9</f>
        <v>0</v>
      </c>
      <c r="N365" t="str">
        <f>N364/100</f>
        <v>0</v>
      </c>
      <c r="O365" t="str">
        <f>O364*100</f>
        <v>0</v>
      </c>
      <c r="Q365" t="s">
        <v>663</v>
      </c>
      <c r="S365" t="str">
        <f>S364/100</f>
        <v>0</v>
      </c>
      <c r="T365" t="str">
        <f>T364*100</f>
        <v>0</v>
      </c>
      <c r="V365" t="s">
        <v>663</v>
      </c>
      <c r="AB365" t="s">
        <v>662</v>
      </c>
      <c r="AC365" t="str">
        <f>AL8</f>
        <v>0</v>
      </c>
      <c r="AD365" t="str">
        <f>AL9</f>
        <v>0</v>
      </c>
      <c r="AM365" t="str">
        <f>AM364/100</f>
        <v>0</v>
      </c>
      <c r="AN365" t="str">
        <f>AN364*100</f>
        <v>0</v>
      </c>
      <c r="AP365" t="s">
        <v>663</v>
      </c>
      <c r="AR365" t="str">
        <f>AR364/100</f>
        <v>0</v>
      </c>
      <c r="AS365" t="str">
        <f>AS364*100</f>
        <v>0</v>
      </c>
      <c r="AU365" t="s">
        <v>663</v>
      </c>
      <c r="BA365" t="s">
        <v>662</v>
      </c>
      <c r="BB365" t="str">
        <f>BK8</f>
        <v>0</v>
      </c>
      <c r="BC365" t="str">
        <f>BK9</f>
        <v>0</v>
      </c>
      <c r="BL365" t="str">
        <f>BL364/100</f>
        <v>0</v>
      </c>
      <c r="BM365" t="str">
        <f>BM364*100</f>
        <v>0</v>
      </c>
      <c r="BO365" t="s">
        <v>663</v>
      </c>
      <c r="BQ365" t="str">
        <f>BQ364/100</f>
        <v>0</v>
      </c>
      <c r="BR365" t="str">
        <f>BR364*100</f>
        <v>0</v>
      </c>
      <c r="BT365" t="s">
        <v>663</v>
      </c>
      <c r="CB365" t="s">
        <v>662</v>
      </c>
      <c r="CC365" t="str">
        <f>CL8</f>
        <v>0</v>
      </c>
      <c r="CD365" t="str">
        <f>CL9</f>
        <v>0</v>
      </c>
      <c r="CM365" t="str">
        <f>CM364/100</f>
        <v>0</v>
      </c>
      <c r="CN365" t="str">
        <f>CN364*100</f>
        <v>0</v>
      </c>
      <c r="CP365" t="s">
        <v>663</v>
      </c>
      <c r="CR365" t="str">
        <f>CR364/100</f>
        <v>0</v>
      </c>
      <c r="CS365" t="str">
        <f>CS364*100</f>
        <v>0</v>
      </c>
      <c r="CU365" t="s">
        <v>663</v>
      </c>
      <c r="DA365" t="s">
        <v>662</v>
      </c>
      <c r="DB365" t="str">
        <f>DK8</f>
        <v>0</v>
      </c>
      <c r="DC365" t="str">
        <f>DK9</f>
        <v>0</v>
      </c>
      <c r="DL365" t="str">
        <f>DL364/100</f>
        <v>0</v>
      </c>
      <c r="DM365" t="str">
        <f>DM364*100</f>
        <v>0</v>
      </c>
      <c r="DO365" t="s">
        <v>663</v>
      </c>
      <c r="DQ365" t="str">
        <f>DQ364/100</f>
        <v>0</v>
      </c>
      <c r="DR365" t="str">
        <f>DR364*100</f>
        <v>0</v>
      </c>
      <c r="DT365" t="s">
        <v>663</v>
      </c>
      <c r="DZ365" t="s">
        <v>662</v>
      </c>
      <c r="EA365" t="str">
        <f>EJ8</f>
        <v>0</v>
      </c>
      <c r="EB365" t="str">
        <f>EJ9</f>
        <v>0</v>
      </c>
      <c r="EK365" t="str">
        <f>EK364/100</f>
        <v>0</v>
      </c>
      <c r="EL365" t="str">
        <f>EL364*100</f>
        <v>0</v>
      </c>
      <c r="EN365" t="s">
        <v>663</v>
      </c>
      <c r="EP365" t="str">
        <f>EP364/100</f>
        <v>0</v>
      </c>
      <c r="EQ365" t="str">
        <f>EQ364*100</f>
        <v>0</v>
      </c>
      <c r="ES365" t="s">
        <v>663</v>
      </c>
      <c r="EY365" t="s">
        <v>662</v>
      </c>
      <c r="EZ365" t="str">
        <f>FI8</f>
        <v>0</v>
      </c>
      <c r="FA365" t="str">
        <f>FI9</f>
        <v>0</v>
      </c>
      <c r="FJ365" t="str">
        <f>FJ364/100</f>
        <v>0</v>
      </c>
      <c r="FK365" t="str">
        <f>FK364*100</f>
        <v>0</v>
      </c>
      <c r="FM365" t="s">
        <v>663</v>
      </c>
      <c r="FO365" t="str">
        <f>FO364/100</f>
        <v>0</v>
      </c>
      <c r="FP365" t="str">
        <f>FP364*100</f>
        <v>0</v>
      </c>
      <c r="FR365" t="s">
        <v>663</v>
      </c>
    </row>
    <row r="366" spans="1:178">
      <c r="N366" t="str">
        <f>IF(N364&lt;5/100,"existe relación significativa entre las ","no existe relación entre las ")</f>
        <v>0</v>
      </c>
      <c r="O366" t="str">
        <f>IF(O364&lt;='Criterio para el valor r'!$A$2,'Criterio para el valor r'!$C$2,IF(O364&lt;='Criterio para el valor r'!$A$3,'Criterio para el valor r'!$C$3,IF(O364&lt;='Criterio para el valor r'!$A$4,'Criterio para el valor r'!$C$4,IF(O364&lt;='Criterio para el valor r'!$A$5,'Criterio para el valor r'!$C$5,IF(O364&lt;='Criterio para el valor r'!$A$6,'Criterio para el valor r'!$C$6,IF(O364&lt;='Criterio para el valor r'!$A$8,'Criterio para el valor r'!$C$7,IF(O364&lt;='Criterio para el valor r'!$A$7,'Criterio para el valor r'!$C$8,IF(O364&lt;='Criterio para el valor r'!$B$9,'Criterio para el valor r'!$C$9,IF(O364&lt;='Criterio para el valor r'!$B$10,'Criterio para el valor r'!$C$10,IF(O364&lt;='Criterio para el valor r'!$B$11,'Criterio para el valor r'!$C$11,IF(O364&lt;='Criterio para el valor r'!$B$12,'Criterio para el valor r'!$C$12,IF(O364&lt;='Criterio para el valor r'!$B$13,'Criterio para el valor r'!$C$13,IF(O364&lt;='Criterio para el valor r'!$B$14,'Criterio para el valor r'!$C$14,"algo esta mal")))))))))))))</f>
        <v>0</v>
      </c>
      <c r="P366" t="str">
        <f>IF(O364&lt;0,"menor","mayor")</f>
        <v>0</v>
      </c>
      <c r="Q366" t="str">
        <f>IF(N365&gt;=5/100,"se acepta la Ho y se rechaza la Hi","se rechaza la Ho y se acepta la Hi")</f>
        <v>0</v>
      </c>
      <c r="S366" t="str">
        <f>IF(S364&lt;5/100,"existe relación significativa entre las ","no existe relación entre las ")</f>
        <v>0</v>
      </c>
      <c r="T366" t="str">
        <f>IF(T364&lt;5/100,"existe relación significativa entre las ","no existe relación entre las ")</f>
        <v>0</v>
      </c>
      <c r="U366" t="str">
        <f>IF(T364&lt;0,"menor","mayor")</f>
        <v>0</v>
      </c>
      <c r="V366" t="str">
        <f>IF(S365&gt;=5/100,"se acepta la Ho y se rechaza la Hi","se rechaza la Ho y se acepta la Hi")</f>
        <v>0</v>
      </c>
      <c r="AM366" t="str">
        <f>IF(AM364&lt;5/100,"existe relación significativa entre las ","no existe relación entre las ")</f>
        <v>0</v>
      </c>
      <c r="AN366" t="str">
        <f>IF(AN364&lt;='Criterio para el valor r'!$A$2,'Criterio para el valor r'!$C$2,IF(AN364&lt;='Criterio para el valor r'!$A$3,'Criterio para el valor r'!$C$3,IF(AN364&lt;='Criterio para el valor r'!$A$4,'Criterio para el valor r'!$C$4,IF(AN364&lt;='Criterio para el valor r'!$A$5,'Criterio para el valor r'!$C$5,IF(AN364&lt;='Criterio para el valor r'!$A$6,'Criterio para el valor r'!$C$6,IF(AN364&lt;='Criterio para el valor r'!$A$8,'Criterio para el valor r'!$C$7,IF(AN364&lt;='Criterio para el valor r'!$A$7,'Criterio para el valor r'!$C$8,IF(AN364&lt;='Criterio para el valor r'!$B$9,'Criterio para el valor r'!$C$9,IF(AN364&lt;='Criterio para el valor r'!$B$10,'Criterio para el valor r'!$C$10,IF(AN364&lt;='Criterio para el valor r'!$B$11,'Criterio para el valor r'!$C$11,IF(AN364&lt;='Criterio para el valor r'!$B$12,'Criterio para el valor r'!$C$12,IF(AN364&lt;='Criterio para el valor r'!$B$13,'Criterio para el valor r'!$C$13,IF(AN364&lt;='Criterio para el valor r'!$B$14,'Criterio para el valor r'!$C$14,"algo esta mal")))))))))))))</f>
        <v>0</v>
      </c>
      <c r="AO366" t="str">
        <f>IF(AN364&lt;0,"menor","mayor")</f>
        <v>0</v>
      </c>
      <c r="AP366" t="str">
        <f>IF(AM365&gt;=5/100,"se acepta la Ho y se rechaza la Hi","se rechaza la Ho y se acepta la Hi")</f>
        <v>0</v>
      </c>
      <c r="AR366" t="str">
        <f>IF(AR364&lt;5/100,"existe relación significativa entre las ","no existe relación entre las ")</f>
        <v>0</v>
      </c>
      <c r="AS366" t="str">
        <f>IF(AS364&lt;5/100,"existe relación significativa entre las ","no existe relación entre las ")</f>
        <v>0</v>
      </c>
      <c r="AT366" t="str">
        <f>IF(AS364&lt;0,"menor","mayor")</f>
        <v>0</v>
      </c>
      <c r="AU366" t="str">
        <f>IF(AR365&gt;=5/100,"se acepta la Ho y se rechaza la Hi","se rechaza la Ho y se acepta la Hi")</f>
        <v>0</v>
      </c>
      <c r="BL366" t="str">
        <f>IF(BL364&lt;5/100,"existe relación significativa entre las ","no existe relación entre las ")</f>
        <v>0</v>
      </c>
      <c r="BM366" t="str">
        <f>IF(BM364&lt;='Criterio para el valor r'!$A$2,'Criterio para el valor r'!$C$2,IF(BM364&lt;='Criterio para el valor r'!$A$3,'Criterio para el valor r'!$C$3,IF(BM364&lt;='Criterio para el valor r'!$A$4,'Criterio para el valor r'!$C$4,IF(BM364&lt;='Criterio para el valor r'!$A$5,'Criterio para el valor r'!$C$5,IF(BM364&lt;='Criterio para el valor r'!$A$6,'Criterio para el valor r'!$C$6,IF(BM364&lt;='Criterio para el valor r'!$A$8,'Criterio para el valor r'!$C$7,IF(BM364&lt;='Criterio para el valor r'!$A$7,'Criterio para el valor r'!$C$8,IF(BM364&lt;='Criterio para el valor r'!$B$9,'Criterio para el valor r'!$C$9,IF(BM364&lt;='Criterio para el valor r'!$B$10,'Criterio para el valor r'!$C$10,IF(BM364&lt;='Criterio para el valor r'!$B$11,'Criterio para el valor r'!$C$11,IF(BM364&lt;='Criterio para el valor r'!$B$12,'Criterio para el valor r'!$C$12,IF(BM364&lt;='Criterio para el valor r'!$B$13,'Criterio para el valor r'!$C$13,IF(BM364&lt;='Criterio para el valor r'!$B$14,'Criterio para el valor r'!$C$14,"algo esta mal")))))))))))))</f>
        <v>0</v>
      </c>
      <c r="BN366" t="str">
        <f>IF(BM364&lt;0,"menor","mayor")</f>
        <v>0</v>
      </c>
      <c r="BO366" t="str">
        <f>IF(BL365&gt;=5/100,"se acepta la Ho y se rechaza la Hi","se rechaza la Ho y se acepta la Hi")</f>
        <v>0</v>
      </c>
      <c r="BQ366" t="str">
        <f>IF(BQ364&lt;5/100,"existe relación significativa entre las ","no existe relación entre las ")</f>
        <v>0</v>
      </c>
      <c r="BR366" t="str">
        <f>IF(BR364&lt;5/100,"existe relación significativa entre las ","no existe relación entre las ")</f>
        <v>0</v>
      </c>
      <c r="BS366" t="str">
        <f>IF(BR364&lt;0,"menor","mayor")</f>
        <v>0</v>
      </c>
      <c r="BT366" t="str">
        <f>IF(BQ365&gt;=5/100,"se acepta la Ho y se rechaza la Hi","se rechaza la Ho y se acepta la Hi")</f>
        <v>0</v>
      </c>
      <c r="CM366" t="str">
        <f>IF(CM364&lt;5/100,"existe relación significativa entre las ","no existe relación entre las ")</f>
        <v>0</v>
      </c>
      <c r="CN366" t="str">
        <f>IF(CN364&lt;='Criterio para el valor r'!$A$2,'Criterio para el valor r'!$C$2,IF(CN364&lt;='Criterio para el valor r'!$A$3,'Criterio para el valor r'!$C$3,IF(CN364&lt;='Criterio para el valor r'!$A$4,'Criterio para el valor r'!$C$4,IF(CN364&lt;='Criterio para el valor r'!$A$5,'Criterio para el valor r'!$C$5,IF(CN364&lt;='Criterio para el valor r'!$A$6,'Criterio para el valor r'!$C$6,IF(CN364&lt;='Criterio para el valor r'!$A$8,'Criterio para el valor r'!$C$7,IF(CN364&lt;='Criterio para el valor r'!$A$7,'Criterio para el valor r'!$C$8,IF(CN364&lt;='Criterio para el valor r'!$B$9,'Criterio para el valor r'!$C$9,IF(CN364&lt;='Criterio para el valor r'!$B$10,'Criterio para el valor r'!$C$10,IF(CN364&lt;='Criterio para el valor r'!$B$11,'Criterio para el valor r'!$C$11,IF(CN364&lt;='Criterio para el valor r'!$B$12,'Criterio para el valor r'!$C$12,IF(CN364&lt;='Criterio para el valor r'!$B$13,'Criterio para el valor r'!$C$13,IF(CN364&lt;='Criterio para el valor r'!$B$14,'Criterio para el valor r'!$C$14,"algo esta mal")))))))))))))</f>
        <v>0</v>
      </c>
      <c r="CO366" t="str">
        <f>IF(CN364&lt;0,"menor","mayor")</f>
        <v>0</v>
      </c>
      <c r="CP366" t="str">
        <f>IF(CM365&gt;=5/100,"se acepta la Ho y se rechaza la Hi","se rechaza la Ho y se acepta la Hi")</f>
        <v>0</v>
      </c>
      <c r="CR366" t="str">
        <f>IF(CR364&lt;5/100,"existe relación significativa entre las ","no existe relación entre las ")</f>
        <v>0</v>
      </c>
      <c r="CS366" t="str">
        <f>IF(CS364&lt;5/100,"existe relación significativa entre las ","no existe relación entre las ")</f>
        <v>0</v>
      </c>
      <c r="CT366" t="str">
        <f>IF(CS364&lt;0,"menor","mayor")</f>
        <v>0</v>
      </c>
      <c r="CU366" t="str">
        <f>IF(CR365&gt;=5/100,"se acepta la Ho y se rechaza la Hi","se rechaza la Ho y se acepta la Hi")</f>
        <v>0</v>
      </c>
      <c r="DL366" t="str">
        <f>IF(DL364&lt;5/100,"existe relación significativa entre las ","no existe relación entre las ")</f>
        <v>0</v>
      </c>
      <c r="DM366" t="str">
        <f>IF(DM364&lt;='Criterio para el valor r'!$A$2,'Criterio para el valor r'!$C$2,IF(DM364&lt;='Criterio para el valor r'!$A$3,'Criterio para el valor r'!$C$3,IF(DM364&lt;='Criterio para el valor r'!$A$4,'Criterio para el valor r'!$C$4,IF(DM364&lt;='Criterio para el valor r'!$A$5,'Criterio para el valor r'!$C$5,IF(DM364&lt;='Criterio para el valor r'!$A$6,'Criterio para el valor r'!$C$6,IF(DM364&lt;='Criterio para el valor r'!$A$8,'Criterio para el valor r'!$C$7,IF(DM364&lt;='Criterio para el valor r'!$A$7,'Criterio para el valor r'!$C$8,IF(DM364&lt;='Criterio para el valor r'!$B$9,'Criterio para el valor r'!$C$9,IF(DM364&lt;='Criterio para el valor r'!$B$10,'Criterio para el valor r'!$C$10,IF(DM364&lt;='Criterio para el valor r'!$B$11,'Criterio para el valor r'!$C$11,IF(DM364&lt;='Criterio para el valor r'!$B$12,'Criterio para el valor r'!$C$12,IF(DM364&lt;='Criterio para el valor r'!$B$13,'Criterio para el valor r'!$C$13,IF(DM364&lt;='Criterio para el valor r'!$B$14,'Criterio para el valor r'!$C$14,"algo esta mal")))))))))))))</f>
        <v>0</v>
      </c>
      <c r="DN366" t="str">
        <f>IF(DM364&lt;0,"menor","mayor")</f>
        <v>0</v>
      </c>
      <c r="DO366" t="str">
        <f>IF(DL365&gt;=5/100,"se acepta la Ho y se rechaza la Hi","se rechaza la Ho y se acepta la Hi")</f>
        <v>0</v>
      </c>
      <c r="DQ366" t="str">
        <f>IF(DQ364&lt;5/100,"existe relación significativa entre las ","no existe relación entre las ")</f>
        <v>0</v>
      </c>
      <c r="DR366" t="str">
        <f>IF(DR364&lt;5/100,"existe relación significativa entre las ","no existe relación entre las ")</f>
        <v>0</v>
      </c>
      <c r="DS366" t="str">
        <f>IF(DR364&lt;0,"menor","mayor")</f>
        <v>0</v>
      </c>
      <c r="DT366" t="str">
        <f>IF(DQ365&gt;=5/100,"se acepta la Ho y se rechaza la Hi","se rechaza la Ho y se acepta la Hi")</f>
        <v>0</v>
      </c>
      <c r="EK366" t="str">
        <f>IF(EK364&lt;5/100,"existe relación significativa entre las ","no existe relación entre las ")</f>
        <v>0</v>
      </c>
      <c r="EL366" t="str">
        <f>IF(EL364&lt;='Criterio para el valor r'!$A$2,'Criterio para el valor r'!$C$2,IF(EL364&lt;='Criterio para el valor r'!$A$3,'Criterio para el valor r'!$C$3,IF(EL364&lt;='Criterio para el valor r'!$A$4,'Criterio para el valor r'!$C$4,IF(EL364&lt;='Criterio para el valor r'!$A$5,'Criterio para el valor r'!$C$5,IF(EL364&lt;='Criterio para el valor r'!$A$6,'Criterio para el valor r'!$C$6,IF(EL364&lt;='Criterio para el valor r'!$A$8,'Criterio para el valor r'!$C$7,IF(EL364&lt;='Criterio para el valor r'!$A$7,'Criterio para el valor r'!$C$8,IF(EL364&lt;='Criterio para el valor r'!$B$9,'Criterio para el valor r'!$C$9,IF(EL364&lt;='Criterio para el valor r'!$B$10,'Criterio para el valor r'!$C$10,IF(EL364&lt;='Criterio para el valor r'!$B$11,'Criterio para el valor r'!$C$11,IF(EL364&lt;='Criterio para el valor r'!$B$12,'Criterio para el valor r'!$C$12,IF(EL364&lt;='Criterio para el valor r'!$B$13,'Criterio para el valor r'!$C$13,IF(EL364&lt;='Criterio para el valor r'!$B$14,'Criterio para el valor r'!$C$14,"algo esta mal")))))))))))))</f>
        <v>0</v>
      </c>
      <c r="EM366" t="str">
        <f>IF(EL364&lt;0,"menor","mayor")</f>
        <v>0</v>
      </c>
      <c r="EN366" t="str">
        <f>IF(EK365&gt;=5/100,"se acepta la Ho y se rechaza la Hi","se rechaza la Ho y se acepta la Hi")</f>
        <v>0</v>
      </c>
      <c r="EP366" t="str">
        <f>IF(EP364&lt;5/100,"existe relación significativa entre las ","no existe relación entre las ")</f>
        <v>0</v>
      </c>
      <c r="EQ366" t="str">
        <f>IF(EQ364&lt;5/100,"existe relación significativa entre las ","no existe relación entre las ")</f>
        <v>0</v>
      </c>
      <c r="ER366" t="str">
        <f>IF(EQ364&lt;0,"menor","mayor")</f>
        <v>0</v>
      </c>
      <c r="ES366" t="str">
        <f>IF(EP365&gt;=5/100,"se acepta la Ho y se rechaza la Hi","se rechaza la Ho y se acepta la Hi")</f>
        <v>0</v>
      </c>
      <c r="FJ366" t="str">
        <f>IF(FJ364&lt;5/100,"existe relación significativa entre las ","no existe relación entre las ")</f>
        <v>0</v>
      </c>
      <c r="FK366" t="str">
        <f>IF(FK364&lt;='Criterio para el valor r'!$A$2,'Criterio para el valor r'!$C$2,IF(FK364&lt;='Criterio para el valor r'!$A$3,'Criterio para el valor r'!$C$3,IF(FK364&lt;='Criterio para el valor r'!$A$4,'Criterio para el valor r'!$C$4,IF(FK364&lt;='Criterio para el valor r'!$A$5,'Criterio para el valor r'!$C$5,IF(FK364&lt;='Criterio para el valor r'!$A$6,'Criterio para el valor r'!$C$6,IF(FK364&lt;='Criterio para el valor r'!$A$8,'Criterio para el valor r'!$C$7,IF(FK364&lt;='Criterio para el valor r'!$A$7,'Criterio para el valor r'!$C$8,IF(FK364&lt;='Criterio para el valor r'!$B$9,'Criterio para el valor r'!$C$9,IF(FK364&lt;='Criterio para el valor r'!$B$10,'Criterio para el valor r'!$C$10,IF(FK364&lt;='Criterio para el valor r'!$B$11,'Criterio para el valor r'!$C$11,IF(FK364&lt;='Criterio para el valor r'!$B$12,'Criterio para el valor r'!$C$12,IF(FK364&lt;='Criterio para el valor r'!$B$13,'Criterio para el valor r'!$C$13,IF(FK364&lt;='Criterio para el valor r'!$B$14,'Criterio para el valor r'!$C$14,"algo esta mal")))))))))))))</f>
        <v>0</v>
      </c>
      <c r="FL366" t="str">
        <f>IF(FK364&lt;0,"menor","mayor")</f>
        <v>0</v>
      </c>
      <c r="FM366" t="str">
        <f>IF(FJ365&gt;=5/100,"se acepta la Ho y se rechaza la Hi","se rechaza la Ho y se acepta la Hi")</f>
        <v>0</v>
      </c>
      <c r="FO366" t="str">
        <f>IF(FO364&lt;5/100,"existe relación significativa entre las ","no existe relación entre las ")</f>
        <v>0</v>
      </c>
      <c r="FP366" t="str">
        <f>IF(FP364&lt;5/100,"existe relación significativa entre las ","no existe relación entre las ")</f>
        <v>0</v>
      </c>
      <c r="FQ366" t="str">
        <f>IF(FP364&lt;0,"menor","mayor")</f>
        <v>0</v>
      </c>
      <c r="FR366" t="str">
        <f>IF(FO365&gt;=5/100,"se acepta la Ho y se rechaza la Hi","se rechaza la Ho y se acepta la Hi")</f>
        <v>0</v>
      </c>
    </row>
    <row r="369" spans="1:178">
      <c r="O369" s="27" t="str">
        <f>CONCATENATE("la ",O10," muestra los resultados de la prueba de ",P13,", en donde se evidencia que con una ",N363," del ",N365,"% ",N366," ",M364," ",O13," y ",O16,", adicional a ello se puede observar que la fuerza y/o grado de correlación ",O363," tiene un valor de ",O365,"% lo que afirma que es una ",O366," mismo que asu vez significa que a mayor ",Q12," ",P366," ",O16,", por todo ello en el presente objetivo ",Q366,".")</f>
        <v>0</v>
      </c>
      <c r="T369" s="27" t="str">
        <f>CONCATENATE("la ",T10," muestra los resultados de la prueba de ",V13,", en donde se evidencia que con una ",S363," del ",S365,"% ",S366," ",R364," ",U13," y ",U16,", adicional a ello se puede observar que la fuerza y/o grado de correlación ",T363," tiene un valor de ",T365,"% lo que afirma que es una ",T366," mismo que asu vez significa que a mayor ",W12," ",U366," ",X12,", por todo ello en el presente objetivo ",V366,".")</f>
        <v>0</v>
      </c>
      <c r="AN369" s="27" t="str">
        <f>CONCATENATE("la ",AN10," muestra los resultados de la prueba de ",AO13,", en donde se evidencia que con una ",AM363," del ",AM365,"% ",AM366," ",AL364," ",AN13," y ",AN16,", adicional a ello se puede observar que la fuerza y/o grado de correlación ",AN363," tiene un valor de ",AN365,"% lo que afirma que es una ",AN366," mismo que asu vez significa que a mayor ",AP12," ",AO366," ",AN16,", por todo ello en el presente objetivo ",AP366,".")</f>
        <v>0</v>
      </c>
      <c r="AS369" s="27" t="str">
        <f>CONCATENATE("la ",AS10," muestra los resultados de la prueba de ",AU13,", en donde se evidencia que con una ",AR363," del ",AR365,"% ",AR366," ",AQ364," ",AT13," y ",AT16,", adicional a ello se puede observar que la fuerza y/o grado de correlación ",AS363," tiene un valor de ",AS365,"% lo que afirma que es una ",AS366," mismo que asu vez significa que a mayor ",AV12," ",AT366," ",AW12,", por todo ello en el presente objetivo ",AU366,".")</f>
        <v>0</v>
      </c>
      <c r="BM369" s="27" t="str">
        <f>CONCATENATE("la ",BM10," muestra los resultados de la prueba de ",BN13,", en donde se evidencia que con una ",BL363," del ",BL365,"% ",BL366," ",BK364," ",BM13," y ",BM16,", adicional a ello se puede observar que la fuerza y/o grado de correlación ",BM363," tiene un valor de ",BM365,"% lo que afirma que es una ",BM366," mismo que asu vez significa que a mayor ",BO12," ",BN366," ",BM16,", por todo ello en el presente objetivo ",BO366,".")</f>
        <v>0</v>
      </c>
      <c r="BR369" s="27" t="str">
        <f>CONCATENATE("la ",BR10," muestra los resultados de la prueba de ",BT13,", en donde se evidencia que con una ",BQ363," del ",BQ365,"% ",BQ366," ",BP364," ",BS13," y ",BS16,", adicional a ello se puede observar que la fuerza y/o grado de correlación ",BR363," tiene un valor de ",BR365,"% lo que afirma que es una ",BR366," mismo que asu vez significa que a mayor ",BU12," ",BS366," ",BV12,", por todo ello en el presente objetivo ",BT366,".")</f>
        <v>0</v>
      </c>
      <c r="CN369" s="27" t="str">
        <f>CONCATENATE("la ",CN10," muestra los resultados de la prueba de ",CO13,", en donde se evidencia que con una ",CM363," del ",CM365,"% ",CM366," ",CL364," ",CN13," y ",CN16,", adicional a ello se puede observar que la fuerza y/o grado de correlación ",CN363," tiene un valor de ",CN365,"% lo que afirma que es una ",CN366," mismo que asu vez significa que a mayor ",CP12," ",CO366," ",CN16,", por todo ello en el presente objetivo ",CP366,".")</f>
        <v>0</v>
      </c>
      <c r="CS369" s="27" t="str">
        <f>CONCATENATE("la ",CS10," muestra los resultados de la prueba de ",CU13,", en donde se evidencia que con una ",CR363," del ",CR365,"% ",CR366," ",CQ364," ",CT13," y ",CT16,", adicional a ello se puede observar que la fuerza y/o grado de correlación ",CS363," tiene un valor de ",CS365,"% lo que afirma que es una ",CS366," mismo que asu vez significa que a mayor ",CV12," ",CT366," ",CW12,", por todo ello en el presente objetivo ",CU366,".")</f>
        <v>0</v>
      </c>
      <c r="DM369" s="27" t="str">
        <f>CONCATENATE("la ",DM10," muestra los resultados de la prueba de ",DN13,", en donde se evidencia que con una ",DL363," del ",DL365,"% ",DL366," ",DK364," ",DM13," y ",DM16,", adicional a ello se puede observar que la fuerza y/o grado de correlación ",DM363," tiene un valor de ",DM365,"% lo que afirma que es una ",DM366," mismo que asu vez significa que a mayor ",DO12," ",DN366," ",DM16,", por todo ello en el presente objetivo ",DO366,".")</f>
        <v>0</v>
      </c>
      <c r="DR369" s="27" t="str">
        <f>CONCATENATE("la ",DR10," muestra los resultados de la prueba de ",DT13,", en donde se evidencia que con una ",DQ363," del ",DQ365,"% ",DQ366," ",DP364," ",DS13," y ",DS16,", adicional a ello se puede observar que la fuerza y/o grado de correlación ",DR363," tiene un valor de ",DR365,"% lo que afirma que es una ",DR366," mismo que asu vez significa que a mayor ",DU12," ",DS366," ",DV12,", por todo ello en el presente objetivo ",DT366,".")</f>
        <v>0</v>
      </c>
      <c r="EL369" s="27" t="str">
        <f>CONCATENATE("la ",EL10," muestra los resultados de la prueba de ",EM13,", en donde se evidencia que con una ",EK363," del ",EK365,"% ",EK366," ",EJ364," ",EL13," y ",EL16,", adicional a ello se puede observar que la fuerza y/o grado de correlación ",EL363," tiene un valor de ",EL365,"% lo que afirma que es una ",EL366," mismo que asu vez significa que a mayor ",EN12," ",EM366," ",EL16,", por todo ello en el presente objetivo ",EN366,".")</f>
        <v>0</v>
      </c>
      <c r="EQ369" s="27" t="str">
        <f>CONCATENATE("la ",EQ10," muestra los resultados de la prueba de ",ES13,", en donde se evidencia que con una ",EP363," del ",EP365,"% ",EP366," ",EO364," ",ER13," y ",ER16,", adicional a ello se puede observar que la fuerza y/o grado de correlación ",EQ363," tiene un valor de ",EQ365,"% lo que afirma que es una ",EQ366," mismo que asu vez significa que a mayor ",ET12," ",ER366," ",EU12,", por todo ello en el presente objetivo ",ES366,".")</f>
        <v>0</v>
      </c>
      <c r="FK369" s="27" t="str">
        <f>CONCATENATE("la ",FK10," muestra los resultados de la prueba de ",FL13,", en donde se evidencia que con una ",FJ363," del ",FJ365,"% ",FJ366," ",FI364," ",FK13," y ",FK16,", adicional a ello se puede observar que la fuerza y/o grado de correlación ",FK363," tiene un valor de ",FK365,"% lo que afirma que es una ",FK366," mismo que asu vez significa que a mayor ",FM12," ",FL366," ",FK16,", por todo ello en el presente objetivo ",FM366,".")</f>
        <v>0</v>
      </c>
      <c r="FP369" s="27" t="str">
        <f>CONCATENATE("la ",FP10," muestra los resultados de la prueba de ",FR13,", en donde se evidencia que con una ",FO363," del ",FO365,"% ",FO366," ",FN364," ",FQ13," y ",FQ16,", adicional a ello se puede observar que la fuerza y/o grado de correlación ",FP363," tiene un valor de ",FP365,"% lo que afirma que es una ",FP366," mismo que asu vez significa que a mayor ",FS12," ",FQ366," ",FT12,", por todo ello en el presente objetivo ",FR366,".")</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C24:C24"/>
    <mergeCell ref="C25:C25"/>
    <mergeCell ref="C26:C26"/>
    <mergeCell ref="C27:C27"/>
    <mergeCell ref="C28:C28"/>
    <mergeCell ref="C29:C29"/>
    <mergeCell ref="C30:C30"/>
    <mergeCell ref="C31:C31"/>
    <mergeCell ref="C32:C32"/>
    <mergeCell ref="C33:C33"/>
    <mergeCell ref="C34:C34"/>
    <mergeCell ref="C35:C35"/>
    <mergeCell ref="C36:C36"/>
    <mergeCell ref="C37:C37"/>
    <mergeCell ref="C38:C38"/>
    <mergeCell ref="C39:C39"/>
    <mergeCell ref="C40:C40"/>
    <mergeCell ref="C41:C41"/>
    <mergeCell ref="C42:C42"/>
    <mergeCell ref="C43:C43"/>
    <mergeCell ref="C44:C44"/>
    <mergeCell ref="C45:C45"/>
    <mergeCell ref="C46:C46"/>
    <mergeCell ref="C47:C47"/>
    <mergeCell ref="C48:C48"/>
    <mergeCell ref="C49:C49"/>
    <mergeCell ref="C50:C50"/>
    <mergeCell ref="C51:C51"/>
    <mergeCell ref="C52:C52"/>
    <mergeCell ref="C53:C53"/>
    <mergeCell ref="C54:C54"/>
    <mergeCell ref="C55:C55"/>
    <mergeCell ref="C56:C56"/>
    <mergeCell ref="C57:C57"/>
    <mergeCell ref="C58:C58"/>
    <mergeCell ref="C59:C59"/>
    <mergeCell ref="C60:C60"/>
    <mergeCell ref="C61:C61"/>
    <mergeCell ref="C62:C62"/>
    <mergeCell ref="C63:C63"/>
    <mergeCell ref="C64:C64"/>
    <mergeCell ref="C65:C65"/>
    <mergeCell ref="C66:C66"/>
    <mergeCell ref="C67:C67"/>
    <mergeCell ref="C68:C68"/>
    <mergeCell ref="C69:C69"/>
    <mergeCell ref="C70:C70"/>
    <mergeCell ref="C71:C71"/>
    <mergeCell ref="C72:C72"/>
    <mergeCell ref="C73:C73"/>
    <mergeCell ref="C74:C74"/>
    <mergeCell ref="C75:C75"/>
    <mergeCell ref="C76:C76"/>
    <mergeCell ref="C77:C77"/>
    <mergeCell ref="C78:C78"/>
    <mergeCell ref="C79:C79"/>
    <mergeCell ref="C80:C80"/>
    <mergeCell ref="C81:C81"/>
    <mergeCell ref="C82:C82"/>
    <mergeCell ref="C83:C83"/>
    <mergeCell ref="C84:C84"/>
    <mergeCell ref="C85:C85"/>
    <mergeCell ref="C86:C86"/>
    <mergeCell ref="C87:C87"/>
    <mergeCell ref="C88:C88"/>
    <mergeCell ref="C89:C89"/>
    <mergeCell ref="C90:C90"/>
    <mergeCell ref="C91:C91"/>
    <mergeCell ref="C92:C92"/>
    <mergeCell ref="C93:C93"/>
    <mergeCell ref="C94:C94"/>
    <mergeCell ref="C95:C95"/>
    <mergeCell ref="C96:C96"/>
    <mergeCell ref="C97:C97"/>
    <mergeCell ref="C98:C98"/>
    <mergeCell ref="C99:C99"/>
    <mergeCell ref="C100:C100"/>
    <mergeCell ref="C101:C101"/>
    <mergeCell ref="C102:C102"/>
    <mergeCell ref="C103:C103"/>
    <mergeCell ref="C104:C104"/>
    <mergeCell ref="C105:C105"/>
    <mergeCell ref="C106:C106"/>
    <mergeCell ref="C107:C107"/>
    <mergeCell ref="C108:C108"/>
    <mergeCell ref="C109:C109"/>
    <mergeCell ref="C110:C110"/>
    <mergeCell ref="C111:C111"/>
    <mergeCell ref="C112:C112"/>
    <mergeCell ref="C113:C113"/>
    <mergeCell ref="C114:C114"/>
    <mergeCell ref="C115:C115"/>
    <mergeCell ref="C116:C116"/>
    <mergeCell ref="C117:C117"/>
    <mergeCell ref="C118:C118"/>
    <mergeCell ref="C119:C119"/>
    <mergeCell ref="C120:C120"/>
    <mergeCell ref="C121:C121"/>
    <mergeCell ref="C122:C122"/>
    <mergeCell ref="C123:C123"/>
    <mergeCell ref="C124:C124"/>
    <mergeCell ref="C125:C125"/>
    <mergeCell ref="C126:C126"/>
    <mergeCell ref="C127:C127"/>
    <mergeCell ref="C128:C128"/>
    <mergeCell ref="C129:C129"/>
    <mergeCell ref="C130:C130"/>
    <mergeCell ref="C131:C131"/>
    <mergeCell ref="C132:C132"/>
    <mergeCell ref="C133:C133"/>
    <mergeCell ref="C134:C134"/>
    <mergeCell ref="C135:C135"/>
    <mergeCell ref="C136:C136"/>
    <mergeCell ref="C137:C137"/>
    <mergeCell ref="C138:C138"/>
    <mergeCell ref="C139:C139"/>
    <mergeCell ref="C140:C140"/>
    <mergeCell ref="C141:C141"/>
    <mergeCell ref="C142:C142"/>
    <mergeCell ref="C143:C143"/>
    <mergeCell ref="C144:C144"/>
    <mergeCell ref="C145:C145"/>
    <mergeCell ref="C146:C146"/>
    <mergeCell ref="C147:C147"/>
    <mergeCell ref="C148:C148"/>
    <mergeCell ref="C149:C149"/>
    <mergeCell ref="C150:C150"/>
    <mergeCell ref="C151:C151"/>
    <mergeCell ref="C152:C152"/>
    <mergeCell ref="C153:C153"/>
    <mergeCell ref="C154:C154"/>
    <mergeCell ref="C155:C155"/>
    <mergeCell ref="C156:C156"/>
    <mergeCell ref="C157:C157"/>
    <mergeCell ref="C158:C158"/>
    <mergeCell ref="C159:C159"/>
    <mergeCell ref="C160:C160"/>
    <mergeCell ref="C161:C161"/>
    <mergeCell ref="C162:C162"/>
    <mergeCell ref="C163:C163"/>
    <mergeCell ref="C164:C164"/>
    <mergeCell ref="C165:C165"/>
    <mergeCell ref="C166:C166"/>
    <mergeCell ref="C167:C167"/>
    <mergeCell ref="C168:C168"/>
    <mergeCell ref="C169:C169"/>
    <mergeCell ref="C170:C170"/>
    <mergeCell ref="C171:C171"/>
    <mergeCell ref="C172:C172"/>
    <mergeCell ref="C173:C173"/>
    <mergeCell ref="C174:C174"/>
    <mergeCell ref="C175:C175"/>
    <mergeCell ref="C176:C176"/>
    <mergeCell ref="C177:C177"/>
    <mergeCell ref="C178:C178"/>
    <mergeCell ref="C179:C179"/>
    <mergeCell ref="C180:C180"/>
    <mergeCell ref="C181:C181"/>
    <mergeCell ref="C182:C182"/>
    <mergeCell ref="C183:C183"/>
    <mergeCell ref="C184:C184"/>
    <mergeCell ref="C185:C185"/>
    <mergeCell ref="C186:C186"/>
    <mergeCell ref="C187:C187"/>
    <mergeCell ref="C188:C188"/>
    <mergeCell ref="C189:C189"/>
    <mergeCell ref="C190:C190"/>
    <mergeCell ref="C191:C191"/>
    <mergeCell ref="C192:C192"/>
    <mergeCell ref="C193:C193"/>
    <mergeCell ref="C194:C194"/>
    <mergeCell ref="C195:C195"/>
    <mergeCell ref="C196:C196"/>
    <mergeCell ref="C197:C197"/>
    <mergeCell ref="C198:C198"/>
    <mergeCell ref="C199:C199"/>
    <mergeCell ref="C200:C200"/>
    <mergeCell ref="C201:C201"/>
    <mergeCell ref="C202:C202"/>
    <mergeCell ref="C203:C203"/>
    <mergeCell ref="C204:C204"/>
    <mergeCell ref="C205:C205"/>
    <mergeCell ref="C206:C206"/>
    <mergeCell ref="C207:C207"/>
    <mergeCell ref="C208:C208"/>
    <mergeCell ref="C209:C209"/>
    <mergeCell ref="C210:C210"/>
    <mergeCell ref="C211:C211"/>
    <mergeCell ref="C212:C212"/>
    <mergeCell ref="C213:C213"/>
    <mergeCell ref="C214:C214"/>
    <mergeCell ref="C215:C215"/>
    <mergeCell ref="C216:C216"/>
    <mergeCell ref="C217:C217"/>
    <mergeCell ref="C218:C218"/>
    <mergeCell ref="C219:C219"/>
    <mergeCell ref="C220:C220"/>
    <mergeCell ref="C221:C221"/>
    <mergeCell ref="C222:C222"/>
    <mergeCell ref="C223:C223"/>
    <mergeCell ref="C224:C224"/>
    <mergeCell ref="C225:C225"/>
    <mergeCell ref="C226:C226"/>
    <mergeCell ref="C227:C227"/>
    <mergeCell ref="C228:C228"/>
    <mergeCell ref="C229:C229"/>
    <mergeCell ref="C230:C230"/>
    <mergeCell ref="C231:C231"/>
    <mergeCell ref="C232:C232"/>
    <mergeCell ref="C233:C233"/>
    <mergeCell ref="C234:C234"/>
    <mergeCell ref="C235:C235"/>
    <mergeCell ref="C236:C236"/>
    <mergeCell ref="C237:C237"/>
    <mergeCell ref="C238:C238"/>
    <mergeCell ref="C239:C239"/>
    <mergeCell ref="C240:C240"/>
    <mergeCell ref="C241:C241"/>
    <mergeCell ref="C242:C242"/>
    <mergeCell ref="C243:C243"/>
    <mergeCell ref="C244:C244"/>
    <mergeCell ref="C245:C245"/>
    <mergeCell ref="C246:C246"/>
    <mergeCell ref="C247:C247"/>
    <mergeCell ref="C248:C248"/>
    <mergeCell ref="C249:C249"/>
    <mergeCell ref="C250:C250"/>
    <mergeCell ref="C251:C251"/>
    <mergeCell ref="C252:C252"/>
    <mergeCell ref="C253:C253"/>
    <mergeCell ref="C254:C254"/>
    <mergeCell ref="C255:C255"/>
    <mergeCell ref="C256:C256"/>
    <mergeCell ref="C257:C257"/>
    <mergeCell ref="C258:C258"/>
    <mergeCell ref="C259:C259"/>
    <mergeCell ref="C260:C260"/>
    <mergeCell ref="C261:C261"/>
    <mergeCell ref="C262:C262"/>
    <mergeCell ref="C263:C263"/>
    <mergeCell ref="C264:C264"/>
    <mergeCell ref="C265:C265"/>
    <mergeCell ref="C266:C266"/>
    <mergeCell ref="C267:C267"/>
    <mergeCell ref="C268:C268"/>
    <mergeCell ref="C269:C269"/>
    <mergeCell ref="C270:C270"/>
    <mergeCell ref="C271:C271"/>
    <mergeCell ref="C272:C272"/>
    <mergeCell ref="C273:C273"/>
    <mergeCell ref="C274:C274"/>
    <mergeCell ref="C275:C275"/>
    <mergeCell ref="C276:C276"/>
    <mergeCell ref="C277:C277"/>
    <mergeCell ref="C278:C278"/>
    <mergeCell ref="C279:C279"/>
    <mergeCell ref="C280:C280"/>
    <mergeCell ref="C281:C281"/>
    <mergeCell ref="C282:C282"/>
    <mergeCell ref="C283:C283"/>
    <mergeCell ref="C284:C284"/>
    <mergeCell ref="C285:C285"/>
    <mergeCell ref="C286:C286"/>
    <mergeCell ref="C287:C287"/>
    <mergeCell ref="C288:C288"/>
    <mergeCell ref="C289:C289"/>
    <mergeCell ref="C290:C290"/>
    <mergeCell ref="C291:C291"/>
    <mergeCell ref="C292:C292"/>
    <mergeCell ref="C293:C293"/>
    <mergeCell ref="C294:C294"/>
    <mergeCell ref="C295:C295"/>
    <mergeCell ref="C296:C296"/>
    <mergeCell ref="C297:C297"/>
    <mergeCell ref="C298:C298"/>
    <mergeCell ref="C299:C299"/>
    <mergeCell ref="C300:C300"/>
    <mergeCell ref="C301:C301"/>
    <mergeCell ref="C302:C302"/>
    <mergeCell ref="C303:C303"/>
    <mergeCell ref="C304:C304"/>
    <mergeCell ref="C305:C305"/>
    <mergeCell ref="C306:C306"/>
    <mergeCell ref="C307:C307"/>
    <mergeCell ref="C308:C308"/>
    <mergeCell ref="C309:C309"/>
    <mergeCell ref="C310:C310"/>
    <mergeCell ref="C311:C311"/>
    <mergeCell ref="C312:C312"/>
    <mergeCell ref="C313:C313"/>
    <mergeCell ref="C314:C314"/>
    <mergeCell ref="C315:C315"/>
    <mergeCell ref="C316:C316"/>
    <mergeCell ref="C317:C317"/>
    <mergeCell ref="C318:C318"/>
    <mergeCell ref="C319:C319"/>
    <mergeCell ref="C320:C320"/>
    <mergeCell ref="C321:C321"/>
    <mergeCell ref="C322:C322"/>
    <mergeCell ref="C323:C323"/>
    <mergeCell ref="C324:C324"/>
    <mergeCell ref="C325:C325"/>
    <mergeCell ref="C326:C326"/>
    <mergeCell ref="C327:C327"/>
    <mergeCell ref="C328:C328"/>
    <mergeCell ref="C329:C329"/>
    <mergeCell ref="C330:C330"/>
    <mergeCell ref="C331:C331"/>
    <mergeCell ref="C332:C332"/>
    <mergeCell ref="C333:C333"/>
    <mergeCell ref="C334:C334"/>
    <mergeCell ref="C335:C335"/>
    <mergeCell ref="C336:C336"/>
    <mergeCell ref="C337:C337"/>
    <mergeCell ref="C338:C338"/>
    <mergeCell ref="C339:C339"/>
    <mergeCell ref="C340:C340"/>
    <mergeCell ref="C341:C341"/>
    <mergeCell ref="C342:C342"/>
    <mergeCell ref="C343:C343"/>
    <mergeCell ref="C344:C344"/>
    <mergeCell ref="C345:C345"/>
    <mergeCell ref="C346:C346"/>
    <mergeCell ref="C347:C347"/>
    <mergeCell ref="C348:C348"/>
    <mergeCell ref="C349:C349"/>
    <mergeCell ref="C350:C350"/>
    <mergeCell ref="C351:C351"/>
    <mergeCell ref="C352:C352"/>
    <mergeCell ref="C353:C353"/>
    <mergeCell ref="C354:C354"/>
    <mergeCell ref="C355:C355"/>
    <mergeCell ref="C356:C356"/>
    <mergeCell ref="C357:C357"/>
    <mergeCell ref="C358:C358"/>
    <mergeCell ref="G5:M5"/>
    <mergeCell ref="G12:M17"/>
    <mergeCell ref="G10:M10"/>
    <mergeCell ref="G6:G7"/>
    <mergeCell ref="H6:J6"/>
    <mergeCell ref="K6:M6"/>
    <mergeCell ref="O11:R11"/>
    <mergeCell ref="O12:P12"/>
    <mergeCell ref="O13:O15"/>
    <mergeCell ref="O16:O18"/>
    <mergeCell ref="O19:R19"/>
    <mergeCell ref="O369:R374"/>
    <mergeCell ref="T11:X11"/>
    <mergeCell ref="T12:V12"/>
    <mergeCell ref="T19:X19"/>
    <mergeCell ref="T13:T18"/>
    <mergeCell ref="T369:W374"/>
    <mergeCell ref="U13:U15"/>
    <mergeCell ref="U16:U18"/>
    <mergeCell ref="AB4:AB4"/>
    <mergeCell ref="AB5:AB5"/>
    <mergeCell ref="AB6:AB6"/>
    <mergeCell ref="AB7:AB7"/>
    <mergeCell ref="AB8:AB8"/>
    <mergeCell ref="AB9:AB9"/>
    <mergeCell ref="AB10:AB10"/>
    <mergeCell ref="AB11:AB11"/>
    <mergeCell ref="AB12:AB12"/>
    <mergeCell ref="AB13:AB13"/>
    <mergeCell ref="AB14:AB14"/>
    <mergeCell ref="AB15:AB15"/>
    <mergeCell ref="AB16:AB16"/>
    <mergeCell ref="AB17:AB17"/>
    <mergeCell ref="AB18:AB18"/>
    <mergeCell ref="AB19:AB19"/>
    <mergeCell ref="AB20:AB20"/>
    <mergeCell ref="AB21:AB21"/>
    <mergeCell ref="AB22:AB22"/>
    <mergeCell ref="AB23:AB23"/>
    <mergeCell ref="AB24:AB24"/>
    <mergeCell ref="AB25:AB25"/>
    <mergeCell ref="AB26:AB26"/>
    <mergeCell ref="AB27:AB27"/>
    <mergeCell ref="AB28:AB28"/>
    <mergeCell ref="AB29:AB29"/>
    <mergeCell ref="AB30:AB30"/>
    <mergeCell ref="AB31:AB31"/>
    <mergeCell ref="AB32:AB32"/>
    <mergeCell ref="AB33:AB33"/>
    <mergeCell ref="AB34:AB34"/>
    <mergeCell ref="AB35:AB35"/>
    <mergeCell ref="AB36:AB36"/>
    <mergeCell ref="AB37:AB37"/>
    <mergeCell ref="AB38:AB38"/>
    <mergeCell ref="AB39:AB39"/>
    <mergeCell ref="AB40:AB40"/>
    <mergeCell ref="AB41:AB41"/>
    <mergeCell ref="AB42:AB42"/>
    <mergeCell ref="AB43:AB43"/>
    <mergeCell ref="AB44:AB44"/>
    <mergeCell ref="AB45:AB45"/>
    <mergeCell ref="AB46:AB46"/>
    <mergeCell ref="AB47:AB47"/>
    <mergeCell ref="AB48:AB48"/>
    <mergeCell ref="AB49:AB49"/>
    <mergeCell ref="AB50:AB50"/>
    <mergeCell ref="AB51:AB51"/>
    <mergeCell ref="AB52:AB52"/>
    <mergeCell ref="AB53:AB53"/>
    <mergeCell ref="AB54:AB54"/>
    <mergeCell ref="AB55:AB55"/>
    <mergeCell ref="AB56:AB56"/>
    <mergeCell ref="AB57:AB57"/>
    <mergeCell ref="AB58:AB58"/>
    <mergeCell ref="AB59:AB59"/>
    <mergeCell ref="AB60:AB60"/>
    <mergeCell ref="AB61:AB61"/>
    <mergeCell ref="AB62:AB62"/>
    <mergeCell ref="AB63:AB63"/>
    <mergeCell ref="AB64:AB64"/>
    <mergeCell ref="AB65:AB65"/>
    <mergeCell ref="AB66:AB66"/>
    <mergeCell ref="AB67:AB67"/>
    <mergeCell ref="AB68:AB68"/>
    <mergeCell ref="AB69:AB69"/>
    <mergeCell ref="AB70:AB70"/>
    <mergeCell ref="AB71:AB71"/>
    <mergeCell ref="AB72:AB72"/>
    <mergeCell ref="AB73:AB73"/>
    <mergeCell ref="AB74:AB74"/>
    <mergeCell ref="AB75:AB75"/>
    <mergeCell ref="AB76:AB76"/>
    <mergeCell ref="AB77:AB77"/>
    <mergeCell ref="AB78:AB78"/>
    <mergeCell ref="AB79:AB79"/>
    <mergeCell ref="AB80:AB80"/>
    <mergeCell ref="AB81:AB81"/>
    <mergeCell ref="AB82:AB82"/>
    <mergeCell ref="AB83:AB83"/>
    <mergeCell ref="AB84:AB84"/>
    <mergeCell ref="AB85:AB85"/>
    <mergeCell ref="AB86:AB86"/>
    <mergeCell ref="AB87:AB87"/>
    <mergeCell ref="AB88:AB88"/>
    <mergeCell ref="AB89:AB89"/>
    <mergeCell ref="AB90:AB90"/>
    <mergeCell ref="AB91:AB91"/>
    <mergeCell ref="AB92:AB92"/>
    <mergeCell ref="AB93:AB93"/>
    <mergeCell ref="AB94:AB94"/>
    <mergeCell ref="AB95:AB95"/>
    <mergeCell ref="AB96:AB96"/>
    <mergeCell ref="AB97:AB97"/>
    <mergeCell ref="AB98:AB98"/>
    <mergeCell ref="AB99:AB99"/>
    <mergeCell ref="AB100:AB100"/>
    <mergeCell ref="AB101:AB101"/>
    <mergeCell ref="AB102:AB102"/>
    <mergeCell ref="AB103:AB103"/>
    <mergeCell ref="AB104:AB104"/>
    <mergeCell ref="AB105:AB105"/>
    <mergeCell ref="AB106:AB106"/>
    <mergeCell ref="AB107:AB107"/>
    <mergeCell ref="AB108:AB108"/>
    <mergeCell ref="AB109:AB109"/>
    <mergeCell ref="AB110:AB110"/>
    <mergeCell ref="AB111:AB111"/>
    <mergeCell ref="AB112:AB112"/>
    <mergeCell ref="AB113:AB113"/>
    <mergeCell ref="AB114:AB114"/>
    <mergeCell ref="AB115:AB115"/>
    <mergeCell ref="AB116:AB116"/>
    <mergeCell ref="AB117:AB117"/>
    <mergeCell ref="AB118:AB118"/>
    <mergeCell ref="AB119:AB119"/>
    <mergeCell ref="AB120:AB120"/>
    <mergeCell ref="AB121:AB121"/>
    <mergeCell ref="AB122:AB122"/>
    <mergeCell ref="AB123:AB123"/>
    <mergeCell ref="AB124:AB124"/>
    <mergeCell ref="AB125:AB125"/>
    <mergeCell ref="AB126:AB126"/>
    <mergeCell ref="AB127:AB127"/>
    <mergeCell ref="AB128:AB128"/>
    <mergeCell ref="AB129:AB129"/>
    <mergeCell ref="AB130:AB130"/>
    <mergeCell ref="AB131:AB131"/>
    <mergeCell ref="AB132:AB132"/>
    <mergeCell ref="AB133:AB133"/>
    <mergeCell ref="AB134:AB134"/>
    <mergeCell ref="AB135:AB135"/>
    <mergeCell ref="AB136:AB136"/>
    <mergeCell ref="AB137:AB137"/>
    <mergeCell ref="AB138:AB138"/>
    <mergeCell ref="AB139:AB139"/>
    <mergeCell ref="AB140:AB140"/>
    <mergeCell ref="AB141:AB141"/>
    <mergeCell ref="AB142:AB142"/>
    <mergeCell ref="AB143:AB143"/>
    <mergeCell ref="AB144:AB144"/>
    <mergeCell ref="AB145:AB145"/>
    <mergeCell ref="AB146:AB146"/>
    <mergeCell ref="AB147:AB147"/>
    <mergeCell ref="AB148:AB148"/>
    <mergeCell ref="AB149:AB149"/>
    <mergeCell ref="AB150:AB150"/>
    <mergeCell ref="AB151:AB151"/>
    <mergeCell ref="AB152:AB152"/>
    <mergeCell ref="AB153:AB153"/>
    <mergeCell ref="AB154:AB154"/>
    <mergeCell ref="AB155:AB155"/>
    <mergeCell ref="AB156:AB156"/>
    <mergeCell ref="AB157:AB157"/>
    <mergeCell ref="AB158:AB158"/>
    <mergeCell ref="AB159:AB159"/>
    <mergeCell ref="AB160:AB160"/>
    <mergeCell ref="AB161:AB161"/>
    <mergeCell ref="AB162:AB162"/>
    <mergeCell ref="AB163:AB163"/>
    <mergeCell ref="AB164:AB164"/>
    <mergeCell ref="AB165:AB165"/>
    <mergeCell ref="AB166:AB166"/>
    <mergeCell ref="AB167:AB167"/>
    <mergeCell ref="AB168:AB168"/>
    <mergeCell ref="AB169:AB169"/>
    <mergeCell ref="AB170:AB170"/>
    <mergeCell ref="AB171:AB171"/>
    <mergeCell ref="AB172:AB172"/>
    <mergeCell ref="AB173:AB173"/>
    <mergeCell ref="AB174:AB174"/>
    <mergeCell ref="AB175:AB175"/>
    <mergeCell ref="AB176:AB176"/>
    <mergeCell ref="AB177:AB177"/>
    <mergeCell ref="AB178:AB178"/>
    <mergeCell ref="AB179:AB179"/>
    <mergeCell ref="AB180:AB180"/>
    <mergeCell ref="AB181:AB181"/>
    <mergeCell ref="AB182:AB182"/>
    <mergeCell ref="AB183:AB183"/>
    <mergeCell ref="AB184:AB184"/>
    <mergeCell ref="AB185:AB185"/>
    <mergeCell ref="AB186:AB186"/>
    <mergeCell ref="AB187:AB187"/>
    <mergeCell ref="AB188:AB188"/>
    <mergeCell ref="AB189:AB189"/>
    <mergeCell ref="AB190:AB190"/>
    <mergeCell ref="AB191:AB191"/>
    <mergeCell ref="AB192:AB192"/>
    <mergeCell ref="AB193:AB193"/>
    <mergeCell ref="AB194:AB194"/>
    <mergeCell ref="AB195:AB195"/>
    <mergeCell ref="AB196:AB196"/>
    <mergeCell ref="AB197:AB197"/>
    <mergeCell ref="AB198:AB198"/>
    <mergeCell ref="AB199:AB199"/>
    <mergeCell ref="AB200:AB200"/>
    <mergeCell ref="AB201:AB201"/>
    <mergeCell ref="AB202:AB202"/>
    <mergeCell ref="AB203:AB203"/>
    <mergeCell ref="AB204:AB204"/>
    <mergeCell ref="AB205:AB205"/>
    <mergeCell ref="AB206:AB206"/>
    <mergeCell ref="AB207:AB207"/>
    <mergeCell ref="AB208:AB208"/>
    <mergeCell ref="AB209:AB209"/>
    <mergeCell ref="AB210:AB210"/>
    <mergeCell ref="AB211:AB211"/>
    <mergeCell ref="AB212:AB212"/>
    <mergeCell ref="AB213:AB213"/>
    <mergeCell ref="AB214:AB214"/>
    <mergeCell ref="AB215:AB215"/>
    <mergeCell ref="AB216:AB216"/>
    <mergeCell ref="AB217:AB217"/>
    <mergeCell ref="AB218:AB218"/>
    <mergeCell ref="AB219:AB219"/>
    <mergeCell ref="AB220:AB220"/>
    <mergeCell ref="AB221:AB221"/>
    <mergeCell ref="AB222:AB222"/>
    <mergeCell ref="AB223:AB223"/>
    <mergeCell ref="AB224:AB224"/>
    <mergeCell ref="AB225:AB225"/>
    <mergeCell ref="AB226:AB226"/>
    <mergeCell ref="AB227:AB227"/>
    <mergeCell ref="AB228:AB228"/>
    <mergeCell ref="AB229:AB229"/>
    <mergeCell ref="AB230:AB230"/>
    <mergeCell ref="AB231:AB231"/>
    <mergeCell ref="AB232:AB232"/>
    <mergeCell ref="AB233:AB233"/>
    <mergeCell ref="AB234:AB234"/>
    <mergeCell ref="AB235:AB235"/>
    <mergeCell ref="AB236:AB236"/>
    <mergeCell ref="AB237:AB237"/>
    <mergeCell ref="AB238:AB238"/>
    <mergeCell ref="AB239:AB239"/>
    <mergeCell ref="AB240:AB240"/>
    <mergeCell ref="AB241:AB241"/>
    <mergeCell ref="AB242:AB242"/>
    <mergeCell ref="AB243:AB243"/>
    <mergeCell ref="AB244:AB244"/>
    <mergeCell ref="AB245:AB245"/>
    <mergeCell ref="AB246:AB246"/>
    <mergeCell ref="AB247:AB247"/>
    <mergeCell ref="AB248:AB248"/>
    <mergeCell ref="AB249:AB249"/>
    <mergeCell ref="AB250:AB250"/>
    <mergeCell ref="AB251:AB251"/>
    <mergeCell ref="AB252:AB252"/>
    <mergeCell ref="AB253:AB253"/>
    <mergeCell ref="AB254:AB254"/>
    <mergeCell ref="AB255:AB255"/>
    <mergeCell ref="AB256:AB256"/>
    <mergeCell ref="AB257:AB257"/>
    <mergeCell ref="AB258:AB258"/>
    <mergeCell ref="AB259:AB259"/>
    <mergeCell ref="AB260:AB260"/>
    <mergeCell ref="AB261:AB261"/>
    <mergeCell ref="AB262:AB262"/>
    <mergeCell ref="AB263:AB263"/>
    <mergeCell ref="AB264:AB264"/>
    <mergeCell ref="AB265:AB265"/>
    <mergeCell ref="AB266:AB266"/>
    <mergeCell ref="AB267:AB267"/>
    <mergeCell ref="AB268:AB268"/>
    <mergeCell ref="AB269:AB269"/>
    <mergeCell ref="AB270:AB270"/>
    <mergeCell ref="AB271:AB271"/>
    <mergeCell ref="AB272:AB272"/>
    <mergeCell ref="AB273:AB273"/>
    <mergeCell ref="AB274:AB274"/>
    <mergeCell ref="AB275:AB275"/>
    <mergeCell ref="AB276:AB276"/>
    <mergeCell ref="AB277:AB277"/>
    <mergeCell ref="AB278:AB278"/>
    <mergeCell ref="AB279:AB279"/>
    <mergeCell ref="AB280:AB280"/>
    <mergeCell ref="AB281:AB281"/>
    <mergeCell ref="AB282:AB282"/>
    <mergeCell ref="AB283:AB283"/>
    <mergeCell ref="AB284:AB284"/>
    <mergeCell ref="AB285:AB285"/>
    <mergeCell ref="AB286:AB286"/>
    <mergeCell ref="AB287:AB287"/>
    <mergeCell ref="AB288:AB288"/>
    <mergeCell ref="AB289:AB289"/>
    <mergeCell ref="AB290:AB290"/>
    <mergeCell ref="AB291:AB291"/>
    <mergeCell ref="AB292:AB292"/>
    <mergeCell ref="AB293:AB293"/>
    <mergeCell ref="AB294:AB294"/>
    <mergeCell ref="AB295:AB295"/>
    <mergeCell ref="AB296:AB296"/>
    <mergeCell ref="AB297:AB297"/>
    <mergeCell ref="AB298:AB298"/>
    <mergeCell ref="AB299:AB299"/>
    <mergeCell ref="AB300:AB300"/>
    <mergeCell ref="AB301:AB301"/>
    <mergeCell ref="AB302:AB302"/>
    <mergeCell ref="AB303:AB303"/>
    <mergeCell ref="AB304:AB304"/>
    <mergeCell ref="AB305:AB305"/>
    <mergeCell ref="AB306:AB306"/>
    <mergeCell ref="AB307:AB307"/>
    <mergeCell ref="AB308:AB308"/>
    <mergeCell ref="AB309:AB309"/>
    <mergeCell ref="AB310:AB310"/>
    <mergeCell ref="AB311:AB311"/>
    <mergeCell ref="AB312:AB312"/>
    <mergeCell ref="AB313:AB313"/>
    <mergeCell ref="AB314:AB314"/>
    <mergeCell ref="AB315:AB315"/>
    <mergeCell ref="AB316:AB316"/>
    <mergeCell ref="AB317:AB317"/>
    <mergeCell ref="AB318:AB318"/>
    <mergeCell ref="AB319:AB319"/>
    <mergeCell ref="AB320:AB320"/>
    <mergeCell ref="AB321:AB321"/>
    <mergeCell ref="AB322:AB322"/>
    <mergeCell ref="AB323:AB323"/>
    <mergeCell ref="AB324:AB324"/>
    <mergeCell ref="AB325:AB325"/>
    <mergeCell ref="AB326:AB326"/>
    <mergeCell ref="AB327:AB327"/>
    <mergeCell ref="AB328:AB328"/>
    <mergeCell ref="AB329:AB329"/>
    <mergeCell ref="AB330:AB330"/>
    <mergeCell ref="AB331:AB331"/>
    <mergeCell ref="AB332:AB332"/>
    <mergeCell ref="AB333:AB333"/>
    <mergeCell ref="AB334:AB334"/>
    <mergeCell ref="AB335:AB335"/>
    <mergeCell ref="AB336:AB336"/>
    <mergeCell ref="AB337:AB337"/>
    <mergeCell ref="AB338:AB338"/>
    <mergeCell ref="AB339:AB339"/>
    <mergeCell ref="AB340:AB340"/>
    <mergeCell ref="AB341:AB341"/>
    <mergeCell ref="AB342:AB342"/>
    <mergeCell ref="AB343:AB343"/>
    <mergeCell ref="AB344:AB344"/>
    <mergeCell ref="AB345:AB345"/>
    <mergeCell ref="AB346:AB346"/>
    <mergeCell ref="AB347:AB347"/>
    <mergeCell ref="AB348:AB348"/>
    <mergeCell ref="AB349:AB349"/>
    <mergeCell ref="AB350:AB350"/>
    <mergeCell ref="AB351:AB351"/>
    <mergeCell ref="AB352:AB352"/>
    <mergeCell ref="AB353:AB353"/>
    <mergeCell ref="AB354:AB354"/>
    <mergeCell ref="AB355:AB355"/>
    <mergeCell ref="AB356:AB356"/>
    <mergeCell ref="AB357:AB357"/>
    <mergeCell ref="AB358:AB358"/>
    <mergeCell ref="AF5:AL5"/>
    <mergeCell ref="AF12:AL17"/>
    <mergeCell ref="AF10:AL10"/>
    <mergeCell ref="AF6:AF7"/>
    <mergeCell ref="AG6:AI6"/>
    <mergeCell ref="AJ6:AL6"/>
    <mergeCell ref="AN11:AQ11"/>
    <mergeCell ref="AN12:AO12"/>
    <mergeCell ref="AN13:AN15"/>
    <mergeCell ref="AN16:AN18"/>
    <mergeCell ref="AN19:AQ19"/>
    <mergeCell ref="AN369:AQ374"/>
    <mergeCell ref="AS11:AW11"/>
    <mergeCell ref="AS12:AU12"/>
    <mergeCell ref="AS19:AW19"/>
    <mergeCell ref="AS13:AS18"/>
    <mergeCell ref="AS369:AV374"/>
    <mergeCell ref="AT13:AT15"/>
    <mergeCell ref="AT16:AT18"/>
    <mergeCell ref="BA4:BA4"/>
    <mergeCell ref="BA5:BA5"/>
    <mergeCell ref="BA6:BA6"/>
    <mergeCell ref="BA7:BA7"/>
    <mergeCell ref="BA8:BA8"/>
    <mergeCell ref="BA9:BA9"/>
    <mergeCell ref="BA10:BA10"/>
    <mergeCell ref="BA11:BA11"/>
    <mergeCell ref="BA12:BA12"/>
    <mergeCell ref="BA13:BA13"/>
    <mergeCell ref="BA14:BA14"/>
    <mergeCell ref="BA15:BA15"/>
    <mergeCell ref="BA16:BA16"/>
    <mergeCell ref="BA17:BA17"/>
    <mergeCell ref="BA18:BA18"/>
    <mergeCell ref="BA19:BA19"/>
    <mergeCell ref="BA20:BA20"/>
    <mergeCell ref="BA21:BA21"/>
    <mergeCell ref="BA22:BA22"/>
    <mergeCell ref="BA23:BA23"/>
    <mergeCell ref="BA24:BA24"/>
    <mergeCell ref="BA25:BA25"/>
    <mergeCell ref="BA26:BA26"/>
    <mergeCell ref="BA27:BA27"/>
    <mergeCell ref="BA28:BA28"/>
    <mergeCell ref="BA29:BA29"/>
    <mergeCell ref="BA30:BA30"/>
    <mergeCell ref="BA31:BA31"/>
    <mergeCell ref="BA32:BA32"/>
    <mergeCell ref="BA33:BA33"/>
    <mergeCell ref="BA34:BA34"/>
    <mergeCell ref="BA35:BA35"/>
    <mergeCell ref="BA36:BA36"/>
    <mergeCell ref="BA37:BA37"/>
    <mergeCell ref="BA38:BA38"/>
    <mergeCell ref="BA39:BA39"/>
    <mergeCell ref="BA40:BA40"/>
    <mergeCell ref="BA41:BA41"/>
    <mergeCell ref="BA42:BA42"/>
    <mergeCell ref="BA43:BA43"/>
    <mergeCell ref="BA44:BA44"/>
    <mergeCell ref="BA45:BA45"/>
    <mergeCell ref="BA46:BA46"/>
    <mergeCell ref="BA47:BA47"/>
    <mergeCell ref="BA48:BA48"/>
    <mergeCell ref="BA49:BA49"/>
    <mergeCell ref="BA50:BA50"/>
    <mergeCell ref="BA51:BA51"/>
    <mergeCell ref="BA52:BA52"/>
    <mergeCell ref="BA53:BA53"/>
    <mergeCell ref="BA54:BA54"/>
    <mergeCell ref="BA55:BA55"/>
    <mergeCell ref="BA56:BA56"/>
    <mergeCell ref="BA57:BA57"/>
    <mergeCell ref="BA58:BA58"/>
    <mergeCell ref="BA59:BA59"/>
    <mergeCell ref="BA60:BA60"/>
    <mergeCell ref="BA61:BA61"/>
    <mergeCell ref="BA62:BA62"/>
    <mergeCell ref="BA63:BA63"/>
    <mergeCell ref="BA64:BA64"/>
    <mergeCell ref="BA65:BA65"/>
    <mergeCell ref="BA66:BA66"/>
    <mergeCell ref="BA67:BA67"/>
    <mergeCell ref="BA68:BA68"/>
    <mergeCell ref="BA69:BA69"/>
    <mergeCell ref="BA70:BA70"/>
    <mergeCell ref="BA71:BA71"/>
    <mergeCell ref="BA72:BA72"/>
    <mergeCell ref="BA73:BA73"/>
    <mergeCell ref="BA74:BA74"/>
    <mergeCell ref="BA75:BA75"/>
    <mergeCell ref="BA76:BA76"/>
    <mergeCell ref="BA77:BA77"/>
    <mergeCell ref="BA78:BA78"/>
    <mergeCell ref="BA79:BA79"/>
    <mergeCell ref="BA80:BA80"/>
    <mergeCell ref="BA81:BA81"/>
    <mergeCell ref="BA82:BA82"/>
    <mergeCell ref="BA83:BA83"/>
    <mergeCell ref="BA84:BA84"/>
    <mergeCell ref="BA85:BA85"/>
    <mergeCell ref="BA86:BA86"/>
    <mergeCell ref="BA87:BA87"/>
    <mergeCell ref="BA88:BA88"/>
    <mergeCell ref="BA89:BA89"/>
    <mergeCell ref="BA90:BA90"/>
    <mergeCell ref="BA91:BA91"/>
    <mergeCell ref="BA92:BA92"/>
    <mergeCell ref="BA93:BA93"/>
    <mergeCell ref="BA94:BA94"/>
    <mergeCell ref="BA95:BA95"/>
    <mergeCell ref="BA96:BA96"/>
    <mergeCell ref="BA97:BA97"/>
    <mergeCell ref="BA98:BA98"/>
    <mergeCell ref="BA99:BA99"/>
    <mergeCell ref="BA100:BA100"/>
    <mergeCell ref="BA101:BA101"/>
    <mergeCell ref="BA102:BA102"/>
    <mergeCell ref="BA103:BA103"/>
    <mergeCell ref="BA104:BA104"/>
    <mergeCell ref="BA105:BA105"/>
    <mergeCell ref="BA106:BA106"/>
    <mergeCell ref="BA107:BA107"/>
    <mergeCell ref="BA108:BA108"/>
    <mergeCell ref="BA109:BA109"/>
    <mergeCell ref="BA110:BA110"/>
    <mergeCell ref="BA111:BA111"/>
    <mergeCell ref="BA112:BA112"/>
    <mergeCell ref="BA113:BA113"/>
    <mergeCell ref="BA114:BA114"/>
    <mergeCell ref="BA115:BA115"/>
    <mergeCell ref="BA116:BA116"/>
    <mergeCell ref="BA117:BA117"/>
    <mergeCell ref="BA118:BA118"/>
    <mergeCell ref="BA119:BA119"/>
    <mergeCell ref="BA120:BA120"/>
    <mergeCell ref="BA121:BA121"/>
    <mergeCell ref="BA122:BA122"/>
    <mergeCell ref="BA123:BA123"/>
    <mergeCell ref="BA124:BA124"/>
    <mergeCell ref="BA125:BA125"/>
    <mergeCell ref="BA126:BA126"/>
    <mergeCell ref="BA127:BA127"/>
    <mergeCell ref="BA128:BA128"/>
    <mergeCell ref="BA129:BA129"/>
    <mergeCell ref="BA130:BA130"/>
    <mergeCell ref="BA131:BA131"/>
    <mergeCell ref="BA132:BA132"/>
    <mergeCell ref="BA133:BA133"/>
    <mergeCell ref="BA134:BA134"/>
    <mergeCell ref="BA135:BA135"/>
    <mergeCell ref="BA136:BA136"/>
    <mergeCell ref="BA137:BA137"/>
    <mergeCell ref="BA138:BA138"/>
    <mergeCell ref="BA139:BA139"/>
    <mergeCell ref="BA140:BA140"/>
    <mergeCell ref="BA141:BA141"/>
    <mergeCell ref="BA142:BA142"/>
    <mergeCell ref="BA143:BA143"/>
    <mergeCell ref="BA144:BA144"/>
    <mergeCell ref="BA145:BA145"/>
    <mergeCell ref="BA146:BA146"/>
    <mergeCell ref="BA147:BA147"/>
    <mergeCell ref="BA148:BA148"/>
    <mergeCell ref="BA149:BA149"/>
    <mergeCell ref="BA150:BA150"/>
    <mergeCell ref="BA151:BA151"/>
    <mergeCell ref="BA152:BA152"/>
    <mergeCell ref="BA153:BA153"/>
    <mergeCell ref="BA154:BA154"/>
    <mergeCell ref="BA155:BA155"/>
    <mergeCell ref="BA156:BA156"/>
    <mergeCell ref="BA157:BA157"/>
    <mergeCell ref="BA158:BA158"/>
    <mergeCell ref="BA159:BA159"/>
    <mergeCell ref="BA160:BA160"/>
    <mergeCell ref="BA161:BA161"/>
    <mergeCell ref="BA162:BA162"/>
    <mergeCell ref="BA163:BA163"/>
    <mergeCell ref="BA164:BA164"/>
    <mergeCell ref="BA165:BA165"/>
    <mergeCell ref="BA166:BA166"/>
    <mergeCell ref="BA167:BA167"/>
    <mergeCell ref="BA168:BA168"/>
    <mergeCell ref="BA169:BA169"/>
    <mergeCell ref="BA170:BA170"/>
    <mergeCell ref="BA171:BA171"/>
    <mergeCell ref="BA172:BA172"/>
    <mergeCell ref="BA173:BA173"/>
    <mergeCell ref="BA174:BA174"/>
    <mergeCell ref="BA175:BA175"/>
    <mergeCell ref="BA176:BA176"/>
    <mergeCell ref="BA177:BA177"/>
    <mergeCell ref="BA178:BA178"/>
    <mergeCell ref="BA179:BA179"/>
    <mergeCell ref="BA180:BA180"/>
    <mergeCell ref="BA181:BA181"/>
    <mergeCell ref="BA182:BA182"/>
    <mergeCell ref="BA183:BA183"/>
    <mergeCell ref="BA184:BA184"/>
    <mergeCell ref="BA185:BA185"/>
    <mergeCell ref="BA186:BA186"/>
    <mergeCell ref="BA187:BA187"/>
    <mergeCell ref="BA188:BA188"/>
    <mergeCell ref="BA189:BA189"/>
    <mergeCell ref="BA190:BA190"/>
    <mergeCell ref="BA191:BA191"/>
    <mergeCell ref="BA192:BA192"/>
    <mergeCell ref="BA193:BA193"/>
    <mergeCell ref="BA194:BA194"/>
    <mergeCell ref="BA195:BA195"/>
    <mergeCell ref="BA196:BA196"/>
    <mergeCell ref="BA197:BA197"/>
    <mergeCell ref="BA198:BA198"/>
    <mergeCell ref="BA199:BA199"/>
    <mergeCell ref="BA200:BA200"/>
    <mergeCell ref="BA201:BA201"/>
    <mergeCell ref="BA202:BA202"/>
    <mergeCell ref="BA203:BA203"/>
    <mergeCell ref="BA204:BA204"/>
    <mergeCell ref="BA205:BA205"/>
    <mergeCell ref="BA206:BA206"/>
    <mergeCell ref="BA207:BA207"/>
    <mergeCell ref="BA208:BA208"/>
    <mergeCell ref="BA209:BA209"/>
    <mergeCell ref="BA210:BA210"/>
    <mergeCell ref="BA211:BA211"/>
    <mergeCell ref="BA212:BA212"/>
    <mergeCell ref="BA213:BA213"/>
    <mergeCell ref="BA214:BA214"/>
    <mergeCell ref="BA215:BA215"/>
    <mergeCell ref="BA216:BA216"/>
    <mergeCell ref="BA217:BA217"/>
    <mergeCell ref="BA218:BA218"/>
    <mergeCell ref="BA219:BA219"/>
    <mergeCell ref="BA220:BA220"/>
    <mergeCell ref="BA221:BA221"/>
    <mergeCell ref="BA222:BA222"/>
    <mergeCell ref="BA223:BA223"/>
    <mergeCell ref="BA224:BA224"/>
    <mergeCell ref="BA225:BA225"/>
    <mergeCell ref="BA226:BA226"/>
    <mergeCell ref="BA227:BA227"/>
    <mergeCell ref="BA228:BA228"/>
    <mergeCell ref="BA229:BA229"/>
    <mergeCell ref="BA230:BA230"/>
    <mergeCell ref="BA231:BA231"/>
    <mergeCell ref="BA232:BA232"/>
    <mergeCell ref="BA233:BA233"/>
    <mergeCell ref="BA234:BA234"/>
    <mergeCell ref="BA235:BA235"/>
    <mergeCell ref="BA236:BA236"/>
    <mergeCell ref="BA237:BA237"/>
    <mergeCell ref="BA238:BA238"/>
    <mergeCell ref="BA239:BA239"/>
    <mergeCell ref="BA240:BA240"/>
    <mergeCell ref="BA241:BA241"/>
    <mergeCell ref="BA242:BA242"/>
    <mergeCell ref="BA243:BA243"/>
    <mergeCell ref="BA244:BA244"/>
    <mergeCell ref="BA245:BA245"/>
    <mergeCell ref="BA246:BA246"/>
    <mergeCell ref="BA247:BA247"/>
    <mergeCell ref="BA248:BA248"/>
    <mergeCell ref="BA249:BA249"/>
    <mergeCell ref="BA250:BA250"/>
    <mergeCell ref="BA251:BA251"/>
    <mergeCell ref="BA252:BA252"/>
    <mergeCell ref="BA253:BA253"/>
    <mergeCell ref="BA254:BA254"/>
    <mergeCell ref="BA255:BA255"/>
    <mergeCell ref="BA256:BA256"/>
    <mergeCell ref="BA257:BA257"/>
    <mergeCell ref="BA258:BA258"/>
    <mergeCell ref="BA259:BA259"/>
    <mergeCell ref="BA260:BA260"/>
    <mergeCell ref="BA261:BA261"/>
    <mergeCell ref="BA262:BA262"/>
    <mergeCell ref="BA263:BA263"/>
    <mergeCell ref="BA264:BA264"/>
    <mergeCell ref="BA265:BA265"/>
    <mergeCell ref="BA266:BA266"/>
    <mergeCell ref="BA267:BA267"/>
    <mergeCell ref="BA268:BA268"/>
    <mergeCell ref="BA269:BA269"/>
    <mergeCell ref="BA270:BA270"/>
    <mergeCell ref="BA271:BA271"/>
    <mergeCell ref="BA272:BA272"/>
    <mergeCell ref="BA273:BA273"/>
    <mergeCell ref="BA274:BA274"/>
    <mergeCell ref="BA275:BA275"/>
    <mergeCell ref="BA276:BA276"/>
    <mergeCell ref="BA277:BA277"/>
    <mergeCell ref="BA278:BA278"/>
    <mergeCell ref="BA279:BA279"/>
    <mergeCell ref="BA280:BA280"/>
    <mergeCell ref="BA281:BA281"/>
    <mergeCell ref="BA282:BA282"/>
    <mergeCell ref="BA283:BA283"/>
    <mergeCell ref="BA284:BA284"/>
    <mergeCell ref="BA285:BA285"/>
    <mergeCell ref="BA286:BA286"/>
    <mergeCell ref="BA287:BA287"/>
    <mergeCell ref="BA288:BA288"/>
    <mergeCell ref="BA289:BA289"/>
    <mergeCell ref="BA290:BA290"/>
    <mergeCell ref="BA291:BA291"/>
    <mergeCell ref="BA292:BA292"/>
    <mergeCell ref="BA293:BA293"/>
    <mergeCell ref="BA294:BA294"/>
    <mergeCell ref="BA295:BA295"/>
    <mergeCell ref="BA296:BA296"/>
    <mergeCell ref="BA297:BA297"/>
    <mergeCell ref="BA298:BA298"/>
    <mergeCell ref="BA299:BA299"/>
    <mergeCell ref="BA300:BA300"/>
    <mergeCell ref="BA301:BA301"/>
    <mergeCell ref="BA302:BA302"/>
    <mergeCell ref="BA303:BA303"/>
    <mergeCell ref="BA304:BA304"/>
    <mergeCell ref="BA305:BA305"/>
    <mergeCell ref="BA306:BA306"/>
    <mergeCell ref="BA307:BA307"/>
    <mergeCell ref="BA308:BA308"/>
    <mergeCell ref="BA309:BA309"/>
    <mergeCell ref="BA310:BA310"/>
    <mergeCell ref="BA311:BA311"/>
    <mergeCell ref="BA312:BA312"/>
    <mergeCell ref="BA313:BA313"/>
    <mergeCell ref="BA314:BA314"/>
    <mergeCell ref="BA315:BA315"/>
    <mergeCell ref="BA316:BA316"/>
    <mergeCell ref="BA317:BA317"/>
    <mergeCell ref="BA318:BA318"/>
    <mergeCell ref="BA319:BA319"/>
    <mergeCell ref="BA320:BA320"/>
    <mergeCell ref="BA321:BA321"/>
    <mergeCell ref="BA322:BA322"/>
    <mergeCell ref="BA323:BA323"/>
    <mergeCell ref="BA324:BA324"/>
    <mergeCell ref="BA325:BA325"/>
    <mergeCell ref="BA326:BA326"/>
    <mergeCell ref="BA327:BA327"/>
    <mergeCell ref="BA328:BA328"/>
    <mergeCell ref="BA329:BA329"/>
    <mergeCell ref="BA330:BA330"/>
    <mergeCell ref="BA331:BA331"/>
    <mergeCell ref="BA332:BA332"/>
    <mergeCell ref="BA333:BA333"/>
    <mergeCell ref="BA334:BA334"/>
    <mergeCell ref="BA335:BA335"/>
    <mergeCell ref="BA336:BA336"/>
    <mergeCell ref="BA337:BA337"/>
    <mergeCell ref="BA338:BA338"/>
    <mergeCell ref="BA339:BA339"/>
    <mergeCell ref="BA340:BA340"/>
    <mergeCell ref="BA341:BA341"/>
    <mergeCell ref="BA342:BA342"/>
    <mergeCell ref="BA343:BA343"/>
    <mergeCell ref="BA344:BA344"/>
    <mergeCell ref="BA345:BA345"/>
    <mergeCell ref="BA346:BA346"/>
    <mergeCell ref="BA347:BA347"/>
    <mergeCell ref="BA348:BA348"/>
    <mergeCell ref="BA349:BA349"/>
    <mergeCell ref="BA350:BA350"/>
    <mergeCell ref="BA351:BA351"/>
    <mergeCell ref="BA352:BA352"/>
    <mergeCell ref="BA353:BA353"/>
    <mergeCell ref="BA354:BA354"/>
    <mergeCell ref="BA355:BA355"/>
    <mergeCell ref="BA356:BA356"/>
    <mergeCell ref="BA357:BA357"/>
    <mergeCell ref="BA358:BA358"/>
    <mergeCell ref="BE5:BK5"/>
    <mergeCell ref="BE12:BK17"/>
    <mergeCell ref="BE10:BK10"/>
    <mergeCell ref="BE6:BE7"/>
    <mergeCell ref="BF6:BH6"/>
    <mergeCell ref="BI6:BK6"/>
    <mergeCell ref="BM11:BP11"/>
    <mergeCell ref="BM12:BN12"/>
    <mergeCell ref="BM13:BM15"/>
    <mergeCell ref="BM16:BM18"/>
    <mergeCell ref="BM19:BP19"/>
    <mergeCell ref="BM369:BP374"/>
    <mergeCell ref="BR11:BV11"/>
    <mergeCell ref="BR12:BT12"/>
    <mergeCell ref="BR19:BV19"/>
    <mergeCell ref="BR13:BR18"/>
    <mergeCell ref="BR369:BU374"/>
    <mergeCell ref="BS13:BS15"/>
    <mergeCell ref="BS16:BS18"/>
    <mergeCell ref="CB4:CB4"/>
    <mergeCell ref="CB5:CB5"/>
    <mergeCell ref="CB6:CB6"/>
    <mergeCell ref="CB7:CB7"/>
    <mergeCell ref="CB8:CB8"/>
    <mergeCell ref="CB9:CB9"/>
    <mergeCell ref="CB10:CB10"/>
    <mergeCell ref="CB11:CB11"/>
    <mergeCell ref="CB12:CB12"/>
    <mergeCell ref="CB13:CB13"/>
    <mergeCell ref="CB14:CB14"/>
    <mergeCell ref="CB15:CB15"/>
    <mergeCell ref="CB16:CB16"/>
    <mergeCell ref="CB17:CB17"/>
    <mergeCell ref="CB18:CB18"/>
    <mergeCell ref="CB19:CB19"/>
    <mergeCell ref="CB20:CB20"/>
    <mergeCell ref="CB21:CB21"/>
    <mergeCell ref="CB22:CB22"/>
    <mergeCell ref="CB23:CB23"/>
    <mergeCell ref="CB24:CB24"/>
    <mergeCell ref="CB25:CB25"/>
    <mergeCell ref="CB26:CB26"/>
    <mergeCell ref="CB27:CB27"/>
    <mergeCell ref="CB28:CB28"/>
    <mergeCell ref="CB29:CB29"/>
    <mergeCell ref="CB30:CB30"/>
    <mergeCell ref="CB31:CB31"/>
    <mergeCell ref="CB32:CB32"/>
    <mergeCell ref="CB33:CB33"/>
    <mergeCell ref="CB34:CB34"/>
    <mergeCell ref="CB35:CB35"/>
    <mergeCell ref="CB36:CB36"/>
    <mergeCell ref="CB37:CB37"/>
    <mergeCell ref="CB38:CB38"/>
    <mergeCell ref="CB39:CB39"/>
    <mergeCell ref="CB40:CB40"/>
    <mergeCell ref="CB41:CB41"/>
    <mergeCell ref="CB42:CB42"/>
    <mergeCell ref="CB43:CB43"/>
    <mergeCell ref="CB44:CB44"/>
    <mergeCell ref="CB45:CB45"/>
    <mergeCell ref="CB46:CB46"/>
    <mergeCell ref="CB47:CB47"/>
    <mergeCell ref="CB48:CB48"/>
    <mergeCell ref="CB49:CB49"/>
    <mergeCell ref="CB50:CB50"/>
    <mergeCell ref="CB51:CB51"/>
    <mergeCell ref="CB52:CB52"/>
    <mergeCell ref="CB53:CB53"/>
    <mergeCell ref="CB54:CB54"/>
    <mergeCell ref="CB55:CB55"/>
    <mergeCell ref="CB56:CB56"/>
    <mergeCell ref="CB57:CB57"/>
    <mergeCell ref="CB58:CB58"/>
    <mergeCell ref="CB59:CB59"/>
    <mergeCell ref="CB60:CB60"/>
    <mergeCell ref="CB61:CB61"/>
    <mergeCell ref="CB62:CB62"/>
    <mergeCell ref="CB63:CB63"/>
    <mergeCell ref="CB64:CB64"/>
    <mergeCell ref="CB65:CB65"/>
    <mergeCell ref="CB66:CB66"/>
    <mergeCell ref="CB67:CB67"/>
    <mergeCell ref="CB68:CB68"/>
    <mergeCell ref="CB69:CB69"/>
    <mergeCell ref="CB70:CB70"/>
    <mergeCell ref="CB71:CB71"/>
    <mergeCell ref="CB72:CB72"/>
    <mergeCell ref="CB73:CB73"/>
    <mergeCell ref="CB74:CB74"/>
    <mergeCell ref="CB75:CB75"/>
    <mergeCell ref="CB76:CB76"/>
    <mergeCell ref="CB77:CB77"/>
    <mergeCell ref="CB78:CB78"/>
    <mergeCell ref="CB79:CB79"/>
    <mergeCell ref="CB80:CB80"/>
    <mergeCell ref="CB81:CB81"/>
    <mergeCell ref="CB82:CB82"/>
    <mergeCell ref="CB83:CB83"/>
    <mergeCell ref="CB84:CB84"/>
    <mergeCell ref="CB85:CB85"/>
    <mergeCell ref="CB86:CB86"/>
    <mergeCell ref="CB87:CB87"/>
    <mergeCell ref="CB88:CB88"/>
    <mergeCell ref="CB89:CB89"/>
    <mergeCell ref="CB90:CB90"/>
    <mergeCell ref="CB91:CB91"/>
    <mergeCell ref="CB92:CB92"/>
    <mergeCell ref="CB93:CB93"/>
    <mergeCell ref="CB94:CB94"/>
    <mergeCell ref="CB95:CB95"/>
    <mergeCell ref="CB96:CB96"/>
    <mergeCell ref="CB97:CB97"/>
    <mergeCell ref="CB98:CB98"/>
    <mergeCell ref="CB99:CB99"/>
    <mergeCell ref="CB100:CB100"/>
    <mergeCell ref="CB101:CB101"/>
    <mergeCell ref="CB102:CB102"/>
    <mergeCell ref="CB103:CB103"/>
    <mergeCell ref="CB104:CB104"/>
    <mergeCell ref="CB105:CB105"/>
    <mergeCell ref="CB106:CB106"/>
    <mergeCell ref="CB107:CB107"/>
    <mergeCell ref="CB108:CB108"/>
    <mergeCell ref="CB109:CB109"/>
    <mergeCell ref="CB110:CB110"/>
    <mergeCell ref="CB111:CB111"/>
    <mergeCell ref="CB112:CB112"/>
    <mergeCell ref="CB113:CB113"/>
    <mergeCell ref="CB114:CB114"/>
    <mergeCell ref="CB115:CB115"/>
    <mergeCell ref="CB116:CB116"/>
    <mergeCell ref="CB117:CB117"/>
    <mergeCell ref="CB118:CB118"/>
    <mergeCell ref="CB119:CB119"/>
    <mergeCell ref="CB120:CB120"/>
    <mergeCell ref="CB121:CB121"/>
    <mergeCell ref="CB122:CB122"/>
    <mergeCell ref="CB123:CB123"/>
    <mergeCell ref="CB124:CB124"/>
    <mergeCell ref="CB125:CB125"/>
    <mergeCell ref="CB126:CB126"/>
    <mergeCell ref="CB127:CB127"/>
    <mergeCell ref="CB128:CB128"/>
    <mergeCell ref="CB129:CB129"/>
    <mergeCell ref="CB130:CB130"/>
    <mergeCell ref="CB131:CB131"/>
    <mergeCell ref="CB132:CB132"/>
    <mergeCell ref="CB133:CB133"/>
    <mergeCell ref="CB134:CB134"/>
    <mergeCell ref="CB135:CB135"/>
    <mergeCell ref="CB136:CB136"/>
    <mergeCell ref="CB137:CB137"/>
    <mergeCell ref="CB138:CB138"/>
    <mergeCell ref="CB139:CB139"/>
    <mergeCell ref="CB140:CB140"/>
    <mergeCell ref="CB141:CB141"/>
    <mergeCell ref="CB142:CB142"/>
    <mergeCell ref="CB143:CB143"/>
    <mergeCell ref="CB144:CB144"/>
    <mergeCell ref="CB145:CB145"/>
    <mergeCell ref="CB146:CB146"/>
    <mergeCell ref="CB147:CB147"/>
    <mergeCell ref="CB148:CB148"/>
    <mergeCell ref="CB149:CB149"/>
    <mergeCell ref="CB150:CB150"/>
    <mergeCell ref="CB151:CB151"/>
    <mergeCell ref="CB152:CB152"/>
    <mergeCell ref="CB153:CB153"/>
    <mergeCell ref="CB154:CB154"/>
    <mergeCell ref="CB155:CB155"/>
    <mergeCell ref="CB156:CB156"/>
    <mergeCell ref="CB157:CB157"/>
    <mergeCell ref="CB158:CB158"/>
    <mergeCell ref="CB159:CB159"/>
    <mergeCell ref="CB160:CB160"/>
    <mergeCell ref="CB161:CB161"/>
    <mergeCell ref="CB162:CB162"/>
    <mergeCell ref="CB163:CB163"/>
    <mergeCell ref="CB164:CB164"/>
    <mergeCell ref="CB165:CB165"/>
    <mergeCell ref="CB166:CB166"/>
    <mergeCell ref="CB167:CB167"/>
    <mergeCell ref="CB168:CB168"/>
    <mergeCell ref="CB169:CB169"/>
    <mergeCell ref="CB170:CB170"/>
    <mergeCell ref="CB171:CB171"/>
    <mergeCell ref="CB172:CB172"/>
    <mergeCell ref="CB173:CB173"/>
    <mergeCell ref="CB174:CB174"/>
    <mergeCell ref="CB175:CB175"/>
    <mergeCell ref="CB176:CB176"/>
    <mergeCell ref="CB177:CB177"/>
    <mergeCell ref="CB178:CB178"/>
    <mergeCell ref="CB179:CB179"/>
    <mergeCell ref="CB180:CB180"/>
    <mergeCell ref="CB181:CB181"/>
    <mergeCell ref="CB182:CB182"/>
    <mergeCell ref="CB183:CB183"/>
    <mergeCell ref="CB184:CB184"/>
    <mergeCell ref="CB185:CB185"/>
    <mergeCell ref="CB186:CB186"/>
    <mergeCell ref="CB187:CB187"/>
    <mergeCell ref="CB188:CB188"/>
    <mergeCell ref="CB189:CB189"/>
    <mergeCell ref="CB190:CB190"/>
    <mergeCell ref="CB191:CB191"/>
    <mergeCell ref="CB192:CB192"/>
    <mergeCell ref="CB193:CB193"/>
    <mergeCell ref="CB194:CB194"/>
    <mergeCell ref="CB195:CB195"/>
    <mergeCell ref="CB196:CB196"/>
    <mergeCell ref="CB197:CB197"/>
    <mergeCell ref="CB198:CB198"/>
    <mergeCell ref="CB199:CB199"/>
    <mergeCell ref="CB200:CB200"/>
    <mergeCell ref="CB201:CB201"/>
    <mergeCell ref="CB202:CB202"/>
    <mergeCell ref="CB203:CB203"/>
    <mergeCell ref="CB204:CB204"/>
    <mergeCell ref="CB205:CB205"/>
    <mergeCell ref="CB206:CB206"/>
    <mergeCell ref="CB207:CB207"/>
    <mergeCell ref="CB208:CB208"/>
    <mergeCell ref="CB209:CB209"/>
    <mergeCell ref="CB210:CB210"/>
    <mergeCell ref="CB211:CB211"/>
    <mergeCell ref="CB212:CB212"/>
    <mergeCell ref="CB213:CB213"/>
    <mergeCell ref="CB214:CB214"/>
    <mergeCell ref="CB215:CB215"/>
    <mergeCell ref="CB216:CB216"/>
    <mergeCell ref="CB217:CB217"/>
    <mergeCell ref="CB218:CB218"/>
    <mergeCell ref="CB219:CB219"/>
    <mergeCell ref="CB220:CB220"/>
    <mergeCell ref="CB221:CB221"/>
    <mergeCell ref="CB222:CB222"/>
    <mergeCell ref="CB223:CB223"/>
    <mergeCell ref="CB224:CB224"/>
    <mergeCell ref="CB225:CB225"/>
    <mergeCell ref="CB226:CB226"/>
    <mergeCell ref="CB227:CB227"/>
    <mergeCell ref="CB228:CB228"/>
    <mergeCell ref="CB229:CB229"/>
    <mergeCell ref="CB230:CB230"/>
    <mergeCell ref="CB231:CB231"/>
    <mergeCell ref="CB232:CB232"/>
    <mergeCell ref="CB233:CB233"/>
    <mergeCell ref="CB234:CB234"/>
    <mergeCell ref="CB235:CB235"/>
    <mergeCell ref="CB236:CB236"/>
    <mergeCell ref="CB237:CB237"/>
    <mergeCell ref="CB238:CB238"/>
    <mergeCell ref="CB239:CB239"/>
    <mergeCell ref="CB240:CB240"/>
    <mergeCell ref="CB241:CB241"/>
    <mergeCell ref="CB242:CB242"/>
    <mergeCell ref="CB243:CB243"/>
    <mergeCell ref="CB244:CB244"/>
    <mergeCell ref="CB245:CB245"/>
    <mergeCell ref="CB246:CB246"/>
    <mergeCell ref="CB247:CB247"/>
    <mergeCell ref="CB248:CB248"/>
    <mergeCell ref="CB249:CB249"/>
    <mergeCell ref="CB250:CB250"/>
    <mergeCell ref="CB251:CB251"/>
    <mergeCell ref="CB252:CB252"/>
    <mergeCell ref="CB253:CB253"/>
    <mergeCell ref="CB254:CB254"/>
    <mergeCell ref="CB255:CB255"/>
    <mergeCell ref="CB256:CB256"/>
    <mergeCell ref="CB257:CB257"/>
    <mergeCell ref="CB258:CB258"/>
    <mergeCell ref="CB259:CB259"/>
    <mergeCell ref="CB260:CB260"/>
    <mergeCell ref="CB261:CB261"/>
    <mergeCell ref="CB262:CB262"/>
    <mergeCell ref="CB263:CB263"/>
    <mergeCell ref="CB264:CB264"/>
    <mergeCell ref="CB265:CB265"/>
    <mergeCell ref="CB266:CB266"/>
    <mergeCell ref="CB267:CB267"/>
    <mergeCell ref="CB268:CB268"/>
    <mergeCell ref="CB269:CB269"/>
    <mergeCell ref="CB270:CB270"/>
    <mergeCell ref="CB271:CB271"/>
    <mergeCell ref="CB272:CB272"/>
    <mergeCell ref="CB273:CB273"/>
    <mergeCell ref="CB274:CB274"/>
    <mergeCell ref="CB275:CB275"/>
    <mergeCell ref="CB276:CB276"/>
    <mergeCell ref="CB277:CB277"/>
    <mergeCell ref="CB278:CB278"/>
    <mergeCell ref="CB279:CB279"/>
    <mergeCell ref="CB280:CB280"/>
    <mergeCell ref="CB281:CB281"/>
    <mergeCell ref="CB282:CB282"/>
    <mergeCell ref="CB283:CB283"/>
    <mergeCell ref="CB284:CB284"/>
    <mergeCell ref="CB285:CB285"/>
    <mergeCell ref="CB286:CB286"/>
    <mergeCell ref="CB287:CB287"/>
    <mergeCell ref="CB288:CB288"/>
    <mergeCell ref="CB289:CB289"/>
    <mergeCell ref="CB290:CB290"/>
    <mergeCell ref="CB291:CB291"/>
    <mergeCell ref="CB292:CB292"/>
    <mergeCell ref="CB293:CB293"/>
    <mergeCell ref="CB294:CB294"/>
    <mergeCell ref="CB295:CB295"/>
    <mergeCell ref="CB296:CB296"/>
    <mergeCell ref="CB297:CB297"/>
    <mergeCell ref="CB298:CB298"/>
    <mergeCell ref="CB299:CB299"/>
    <mergeCell ref="CB300:CB300"/>
    <mergeCell ref="CB301:CB301"/>
    <mergeCell ref="CB302:CB302"/>
    <mergeCell ref="CB303:CB303"/>
    <mergeCell ref="CB304:CB304"/>
    <mergeCell ref="CB305:CB305"/>
    <mergeCell ref="CB306:CB306"/>
    <mergeCell ref="CB307:CB307"/>
    <mergeCell ref="CB308:CB308"/>
    <mergeCell ref="CB309:CB309"/>
    <mergeCell ref="CB310:CB310"/>
    <mergeCell ref="CB311:CB311"/>
    <mergeCell ref="CB312:CB312"/>
    <mergeCell ref="CB313:CB313"/>
    <mergeCell ref="CB314:CB314"/>
    <mergeCell ref="CB315:CB315"/>
    <mergeCell ref="CB316:CB316"/>
    <mergeCell ref="CB317:CB317"/>
    <mergeCell ref="CB318:CB318"/>
    <mergeCell ref="CB319:CB319"/>
    <mergeCell ref="CB320:CB320"/>
    <mergeCell ref="CB321:CB321"/>
    <mergeCell ref="CB322:CB322"/>
    <mergeCell ref="CB323:CB323"/>
    <mergeCell ref="CB324:CB324"/>
    <mergeCell ref="CB325:CB325"/>
    <mergeCell ref="CB326:CB326"/>
    <mergeCell ref="CB327:CB327"/>
    <mergeCell ref="CB328:CB328"/>
    <mergeCell ref="CB329:CB329"/>
    <mergeCell ref="CB330:CB330"/>
    <mergeCell ref="CB331:CB331"/>
    <mergeCell ref="CB332:CB332"/>
    <mergeCell ref="CB333:CB333"/>
    <mergeCell ref="CB334:CB334"/>
    <mergeCell ref="CB335:CB335"/>
    <mergeCell ref="CB336:CB336"/>
    <mergeCell ref="CB337:CB337"/>
    <mergeCell ref="CB338:CB338"/>
    <mergeCell ref="CB339:CB339"/>
    <mergeCell ref="CB340:CB340"/>
    <mergeCell ref="CB341:CB341"/>
    <mergeCell ref="CB342:CB342"/>
    <mergeCell ref="CB343:CB343"/>
    <mergeCell ref="CB344:CB344"/>
    <mergeCell ref="CB345:CB345"/>
    <mergeCell ref="CB346:CB346"/>
    <mergeCell ref="CB347:CB347"/>
    <mergeCell ref="CB348:CB348"/>
    <mergeCell ref="CB349:CB349"/>
    <mergeCell ref="CB350:CB350"/>
    <mergeCell ref="CB351:CB351"/>
    <mergeCell ref="CB352:CB352"/>
    <mergeCell ref="CB353:CB353"/>
    <mergeCell ref="CB354:CB354"/>
    <mergeCell ref="CB355:CB355"/>
    <mergeCell ref="CB356:CB356"/>
    <mergeCell ref="CB357:CB357"/>
    <mergeCell ref="CB358:CB358"/>
    <mergeCell ref="CF5:CL5"/>
    <mergeCell ref="CF12:CL17"/>
    <mergeCell ref="CF10:CL10"/>
    <mergeCell ref="CF6:CF7"/>
    <mergeCell ref="CG6:CI6"/>
    <mergeCell ref="CJ6:CL6"/>
    <mergeCell ref="CN11:CQ11"/>
    <mergeCell ref="CN12:CO12"/>
    <mergeCell ref="CN13:CN15"/>
    <mergeCell ref="CN16:CN18"/>
    <mergeCell ref="CN19:CQ19"/>
    <mergeCell ref="CN369:CQ374"/>
    <mergeCell ref="CS11:CW11"/>
    <mergeCell ref="CS12:CU12"/>
    <mergeCell ref="CS19:CW19"/>
    <mergeCell ref="CS13:CS18"/>
    <mergeCell ref="CS369:CV374"/>
    <mergeCell ref="CT13:CT15"/>
    <mergeCell ref="CT16:CT18"/>
    <mergeCell ref="DA4:DA4"/>
    <mergeCell ref="DA5:DA5"/>
    <mergeCell ref="DA6:DA6"/>
    <mergeCell ref="DA7:DA7"/>
    <mergeCell ref="DA8:DA8"/>
    <mergeCell ref="DA9:DA9"/>
    <mergeCell ref="DA10:DA10"/>
    <mergeCell ref="DA11:DA11"/>
    <mergeCell ref="DA12:DA12"/>
    <mergeCell ref="DA13:DA13"/>
    <mergeCell ref="DA14:DA14"/>
    <mergeCell ref="DA15:DA15"/>
    <mergeCell ref="DA16:DA16"/>
    <mergeCell ref="DA17:DA17"/>
    <mergeCell ref="DA18:DA18"/>
    <mergeCell ref="DA19:DA19"/>
    <mergeCell ref="DA20:DA20"/>
    <mergeCell ref="DA21:DA21"/>
    <mergeCell ref="DA22:DA22"/>
    <mergeCell ref="DA23:DA23"/>
    <mergeCell ref="DA24:DA24"/>
    <mergeCell ref="DA25:DA25"/>
    <mergeCell ref="DA26:DA26"/>
    <mergeCell ref="DA27:DA27"/>
    <mergeCell ref="DA28:DA28"/>
    <mergeCell ref="DA29:DA29"/>
    <mergeCell ref="DA30:DA30"/>
    <mergeCell ref="DA31:DA31"/>
    <mergeCell ref="DA32:DA32"/>
    <mergeCell ref="DA33:DA33"/>
    <mergeCell ref="DA34:DA34"/>
    <mergeCell ref="DA35:DA35"/>
    <mergeCell ref="DA36:DA36"/>
    <mergeCell ref="DA37:DA37"/>
    <mergeCell ref="DA38:DA38"/>
    <mergeCell ref="DA39:DA39"/>
    <mergeCell ref="DA40:DA40"/>
    <mergeCell ref="DA41:DA41"/>
    <mergeCell ref="DA42:DA42"/>
    <mergeCell ref="DA43:DA43"/>
    <mergeCell ref="DA44:DA44"/>
    <mergeCell ref="DA45:DA45"/>
    <mergeCell ref="DA46:DA46"/>
    <mergeCell ref="DA47:DA47"/>
    <mergeCell ref="DA48:DA48"/>
    <mergeCell ref="DA49:DA49"/>
    <mergeCell ref="DA50:DA50"/>
    <mergeCell ref="DA51:DA51"/>
    <mergeCell ref="DA52:DA52"/>
    <mergeCell ref="DA53:DA53"/>
    <mergeCell ref="DA54:DA54"/>
    <mergeCell ref="DA55:DA55"/>
    <mergeCell ref="DA56:DA56"/>
    <mergeCell ref="DA57:DA57"/>
    <mergeCell ref="DA58:DA58"/>
    <mergeCell ref="DA59:DA59"/>
    <mergeCell ref="DA60:DA60"/>
    <mergeCell ref="DA61:DA61"/>
    <mergeCell ref="DA62:DA62"/>
    <mergeCell ref="DA63:DA63"/>
    <mergeCell ref="DA64:DA64"/>
    <mergeCell ref="DA65:DA65"/>
    <mergeCell ref="DA66:DA66"/>
    <mergeCell ref="DA67:DA67"/>
    <mergeCell ref="DA68:DA68"/>
    <mergeCell ref="DA69:DA69"/>
    <mergeCell ref="DA70:DA70"/>
    <mergeCell ref="DA71:DA71"/>
    <mergeCell ref="DA72:DA72"/>
    <mergeCell ref="DA73:DA73"/>
    <mergeCell ref="DA74:DA74"/>
    <mergeCell ref="DA75:DA75"/>
    <mergeCell ref="DA76:DA76"/>
    <mergeCell ref="DA77:DA77"/>
    <mergeCell ref="DA78:DA78"/>
    <mergeCell ref="DA79:DA79"/>
    <mergeCell ref="DA80:DA80"/>
    <mergeCell ref="DA81:DA81"/>
    <mergeCell ref="DA82:DA82"/>
    <mergeCell ref="DA83:DA83"/>
    <mergeCell ref="DA84:DA84"/>
    <mergeCell ref="DA85:DA85"/>
    <mergeCell ref="DA86:DA86"/>
    <mergeCell ref="DA87:DA87"/>
    <mergeCell ref="DA88:DA88"/>
    <mergeCell ref="DA89:DA89"/>
    <mergeCell ref="DA90:DA90"/>
    <mergeCell ref="DA91:DA91"/>
    <mergeCell ref="DA92:DA92"/>
    <mergeCell ref="DA93:DA93"/>
    <mergeCell ref="DA94:DA94"/>
    <mergeCell ref="DA95:DA95"/>
    <mergeCell ref="DA96:DA96"/>
    <mergeCell ref="DA97:DA97"/>
    <mergeCell ref="DA98:DA98"/>
    <mergeCell ref="DA99:DA99"/>
    <mergeCell ref="DA100:DA100"/>
    <mergeCell ref="DA101:DA101"/>
    <mergeCell ref="DA102:DA102"/>
    <mergeCell ref="DA103:DA103"/>
    <mergeCell ref="DA104:DA104"/>
    <mergeCell ref="DA105:DA105"/>
    <mergeCell ref="DA106:DA106"/>
    <mergeCell ref="DA107:DA107"/>
    <mergeCell ref="DA108:DA108"/>
    <mergeCell ref="DA109:DA109"/>
    <mergeCell ref="DA110:DA110"/>
    <mergeCell ref="DA111:DA111"/>
    <mergeCell ref="DA112:DA112"/>
    <mergeCell ref="DA113:DA113"/>
    <mergeCell ref="DA114:DA114"/>
    <mergeCell ref="DA115:DA115"/>
    <mergeCell ref="DA116:DA116"/>
    <mergeCell ref="DA117:DA117"/>
    <mergeCell ref="DA118:DA118"/>
    <mergeCell ref="DA119:DA119"/>
    <mergeCell ref="DA120:DA120"/>
    <mergeCell ref="DA121:DA121"/>
    <mergeCell ref="DA122:DA122"/>
    <mergeCell ref="DA123:DA123"/>
    <mergeCell ref="DA124:DA124"/>
    <mergeCell ref="DA125:DA125"/>
    <mergeCell ref="DA126:DA126"/>
    <mergeCell ref="DA127:DA127"/>
    <mergeCell ref="DA128:DA128"/>
    <mergeCell ref="DA129:DA129"/>
    <mergeCell ref="DA130:DA130"/>
    <mergeCell ref="DA131:DA131"/>
    <mergeCell ref="DA132:DA132"/>
    <mergeCell ref="DA133:DA133"/>
    <mergeCell ref="DA134:DA134"/>
    <mergeCell ref="DA135:DA135"/>
    <mergeCell ref="DA136:DA136"/>
    <mergeCell ref="DA137:DA137"/>
    <mergeCell ref="DA138:DA138"/>
    <mergeCell ref="DA139:DA139"/>
    <mergeCell ref="DA140:DA140"/>
    <mergeCell ref="DA141:DA141"/>
    <mergeCell ref="DA142:DA142"/>
    <mergeCell ref="DA143:DA143"/>
    <mergeCell ref="DA144:DA144"/>
    <mergeCell ref="DA145:DA145"/>
    <mergeCell ref="DA146:DA146"/>
    <mergeCell ref="DA147:DA147"/>
    <mergeCell ref="DA148:DA148"/>
    <mergeCell ref="DA149:DA149"/>
    <mergeCell ref="DA150:DA150"/>
    <mergeCell ref="DA151:DA151"/>
    <mergeCell ref="DA152:DA152"/>
    <mergeCell ref="DA153:DA153"/>
    <mergeCell ref="DA154:DA154"/>
    <mergeCell ref="DA155:DA155"/>
    <mergeCell ref="DA156:DA156"/>
    <mergeCell ref="DA157:DA157"/>
    <mergeCell ref="DA158:DA158"/>
    <mergeCell ref="DA159:DA159"/>
    <mergeCell ref="DA160:DA160"/>
    <mergeCell ref="DA161:DA161"/>
    <mergeCell ref="DA162:DA162"/>
    <mergeCell ref="DA163:DA163"/>
    <mergeCell ref="DA164:DA164"/>
    <mergeCell ref="DA165:DA165"/>
    <mergeCell ref="DA166:DA166"/>
    <mergeCell ref="DA167:DA167"/>
    <mergeCell ref="DA168:DA168"/>
    <mergeCell ref="DA169:DA169"/>
    <mergeCell ref="DA170:DA170"/>
    <mergeCell ref="DA171:DA171"/>
    <mergeCell ref="DA172:DA172"/>
    <mergeCell ref="DA173:DA173"/>
    <mergeCell ref="DA174:DA174"/>
    <mergeCell ref="DA175:DA175"/>
    <mergeCell ref="DA176:DA176"/>
    <mergeCell ref="DA177:DA177"/>
    <mergeCell ref="DA178:DA178"/>
    <mergeCell ref="DA179:DA179"/>
    <mergeCell ref="DA180:DA180"/>
    <mergeCell ref="DA181:DA181"/>
    <mergeCell ref="DA182:DA182"/>
    <mergeCell ref="DA183:DA183"/>
    <mergeCell ref="DA184:DA184"/>
    <mergeCell ref="DA185:DA185"/>
    <mergeCell ref="DA186:DA186"/>
    <mergeCell ref="DA187:DA187"/>
    <mergeCell ref="DA188:DA188"/>
    <mergeCell ref="DA189:DA189"/>
    <mergeCell ref="DA190:DA190"/>
    <mergeCell ref="DA191:DA191"/>
    <mergeCell ref="DA192:DA192"/>
    <mergeCell ref="DA193:DA193"/>
    <mergeCell ref="DA194:DA194"/>
    <mergeCell ref="DA195:DA195"/>
    <mergeCell ref="DA196:DA196"/>
    <mergeCell ref="DA197:DA197"/>
    <mergeCell ref="DA198:DA198"/>
    <mergeCell ref="DA199:DA199"/>
    <mergeCell ref="DA200:DA200"/>
    <mergeCell ref="DA201:DA201"/>
    <mergeCell ref="DA202:DA202"/>
    <mergeCell ref="DA203:DA203"/>
    <mergeCell ref="DA204:DA204"/>
    <mergeCell ref="DA205:DA205"/>
    <mergeCell ref="DA206:DA206"/>
    <mergeCell ref="DA207:DA207"/>
    <mergeCell ref="DA208:DA208"/>
    <mergeCell ref="DA209:DA209"/>
    <mergeCell ref="DA210:DA210"/>
    <mergeCell ref="DA211:DA211"/>
    <mergeCell ref="DA212:DA212"/>
    <mergeCell ref="DA213:DA213"/>
    <mergeCell ref="DA214:DA214"/>
    <mergeCell ref="DA215:DA215"/>
    <mergeCell ref="DA216:DA216"/>
    <mergeCell ref="DA217:DA217"/>
    <mergeCell ref="DA218:DA218"/>
    <mergeCell ref="DA219:DA219"/>
    <mergeCell ref="DA220:DA220"/>
    <mergeCell ref="DA221:DA221"/>
    <mergeCell ref="DA222:DA222"/>
    <mergeCell ref="DA223:DA223"/>
    <mergeCell ref="DA224:DA224"/>
    <mergeCell ref="DA225:DA225"/>
    <mergeCell ref="DA226:DA226"/>
    <mergeCell ref="DA227:DA227"/>
    <mergeCell ref="DA228:DA228"/>
    <mergeCell ref="DA229:DA229"/>
    <mergeCell ref="DA230:DA230"/>
    <mergeCell ref="DA231:DA231"/>
    <mergeCell ref="DA232:DA232"/>
    <mergeCell ref="DA233:DA233"/>
    <mergeCell ref="DA234:DA234"/>
    <mergeCell ref="DA235:DA235"/>
    <mergeCell ref="DA236:DA236"/>
    <mergeCell ref="DA237:DA237"/>
    <mergeCell ref="DA238:DA238"/>
    <mergeCell ref="DA239:DA239"/>
    <mergeCell ref="DA240:DA240"/>
    <mergeCell ref="DA241:DA241"/>
    <mergeCell ref="DA242:DA242"/>
    <mergeCell ref="DA243:DA243"/>
    <mergeCell ref="DA244:DA244"/>
    <mergeCell ref="DA245:DA245"/>
    <mergeCell ref="DA246:DA246"/>
    <mergeCell ref="DA247:DA247"/>
    <mergeCell ref="DA248:DA248"/>
    <mergeCell ref="DA249:DA249"/>
    <mergeCell ref="DA250:DA250"/>
    <mergeCell ref="DA251:DA251"/>
    <mergeCell ref="DA252:DA252"/>
    <mergeCell ref="DA253:DA253"/>
    <mergeCell ref="DA254:DA254"/>
    <mergeCell ref="DA255:DA255"/>
    <mergeCell ref="DA256:DA256"/>
    <mergeCell ref="DA257:DA257"/>
    <mergeCell ref="DA258:DA258"/>
    <mergeCell ref="DA259:DA259"/>
    <mergeCell ref="DA260:DA260"/>
    <mergeCell ref="DA261:DA261"/>
    <mergeCell ref="DA262:DA262"/>
    <mergeCell ref="DA263:DA263"/>
    <mergeCell ref="DA264:DA264"/>
    <mergeCell ref="DA265:DA265"/>
    <mergeCell ref="DA266:DA266"/>
    <mergeCell ref="DA267:DA267"/>
    <mergeCell ref="DA268:DA268"/>
    <mergeCell ref="DA269:DA269"/>
    <mergeCell ref="DA270:DA270"/>
    <mergeCell ref="DA271:DA271"/>
    <mergeCell ref="DA272:DA272"/>
    <mergeCell ref="DA273:DA273"/>
    <mergeCell ref="DA274:DA274"/>
    <mergeCell ref="DA275:DA275"/>
    <mergeCell ref="DA276:DA276"/>
    <mergeCell ref="DA277:DA277"/>
    <mergeCell ref="DA278:DA278"/>
    <mergeCell ref="DA279:DA279"/>
    <mergeCell ref="DA280:DA280"/>
    <mergeCell ref="DA281:DA281"/>
    <mergeCell ref="DA282:DA282"/>
    <mergeCell ref="DA283:DA283"/>
    <mergeCell ref="DA284:DA284"/>
    <mergeCell ref="DA285:DA285"/>
    <mergeCell ref="DA286:DA286"/>
    <mergeCell ref="DA287:DA287"/>
    <mergeCell ref="DA288:DA288"/>
    <mergeCell ref="DA289:DA289"/>
    <mergeCell ref="DA290:DA290"/>
    <mergeCell ref="DA291:DA291"/>
    <mergeCell ref="DA292:DA292"/>
    <mergeCell ref="DA293:DA293"/>
    <mergeCell ref="DA294:DA294"/>
    <mergeCell ref="DA295:DA295"/>
    <mergeCell ref="DA296:DA296"/>
    <mergeCell ref="DA297:DA297"/>
    <mergeCell ref="DA298:DA298"/>
    <mergeCell ref="DA299:DA299"/>
    <mergeCell ref="DA300:DA300"/>
    <mergeCell ref="DA301:DA301"/>
    <mergeCell ref="DA302:DA302"/>
    <mergeCell ref="DA303:DA303"/>
    <mergeCell ref="DA304:DA304"/>
    <mergeCell ref="DA305:DA305"/>
    <mergeCell ref="DA306:DA306"/>
    <mergeCell ref="DA307:DA307"/>
    <mergeCell ref="DA308:DA308"/>
    <mergeCell ref="DA309:DA309"/>
    <mergeCell ref="DA310:DA310"/>
    <mergeCell ref="DA311:DA311"/>
    <mergeCell ref="DA312:DA312"/>
    <mergeCell ref="DA313:DA313"/>
    <mergeCell ref="DA314:DA314"/>
    <mergeCell ref="DA315:DA315"/>
    <mergeCell ref="DA316:DA316"/>
    <mergeCell ref="DA317:DA317"/>
    <mergeCell ref="DA318:DA318"/>
    <mergeCell ref="DA319:DA319"/>
    <mergeCell ref="DA320:DA320"/>
    <mergeCell ref="DA321:DA321"/>
    <mergeCell ref="DA322:DA322"/>
    <mergeCell ref="DA323:DA323"/>
    <mergeCell ref="DA324:DA324"/>
    <mergeCell ref="DA325:DA325"/>
    <mergeCell ref="DA326:DA326"/>
    <mergeCell ref="DA327:DA327"/>
    <mergeCell ref="DA328:DA328"/>
    <mergeCell ref="DA329:DA329"/>
    <mergeCell ref="DA330:DA330"/>
    <mergeCell ref="DA331:DA331"/>
    <mergeCell ref="DA332:DA332"/>
    <mergeCell ref="DA333:DA333"/>
    <mergeCell ref="DA334:DA334"/>
    <mergeCell ref="DA335:DA335"/>
    <mergeCell ref="DA336:DA336"/>
    <mergeCell ref="DA337:DA337"/>
    <mergeCell ref="DA338:DA338"/>
    <mergeCell ref="DA339:DA339"/>
    <mergeCell ref="DA340:DA340"/>
    <mergeCell ref="DA341:DA341"/>
    <mergeCell ref="DA342:DA342"/>
    <mergeCell ref="DA343:DA343"/>
    <mergeCell ref="DA344:DA344"/>
    <mergeCell ref="DA345:DA345"/>
    <mergeCell ref="DA346:DA346"/>
    <mergeCell ref="DA347:DA347"/>
    <mergeCell ref="DA348:DA348"/>
    <mergeCell ref="DA349:DA349"/>
    <mergeCell ref="DA350:DA350"/>
    <mergeCell ref="DA351:DA351"/>
    <mergeCell ref="DA352:DA352"/>
    <mergeCell ref="DA353:DA353"/>
    <mergeCell ref="DA354:DA354"/>
    <mergeCell ref="DA355:DA355"/>
    <mergeCell ref="DA356:DA356"/>
    <mergeCell ref="DA357:DA357"/>
    <mergeCell ref="DA358:DA358"/>
    <mergeCell ref="DE5:DK5"/>
    <mergeCell ref="DE12:DK17"/>
    <mergeCell ref="DE10:DK10"/>
    <mergeCell ref="DE6:DE7"/>
    <mergeCell ref="DF6:DH6"/>
    <mergeCell ref="DI6:DK6"/>
    <mergeCell ref="DM11:DP11"/>
    <mergeCell ref="DM12:DN12"/>
    <mergeCell ref="DM13:DM15"/>
    <mergeCell ref="DM16:DM18"/>
    <mergeCell ref="DM19:DP19"/>
    <mergeCell ref="DM369:DP374"/>
    <mergeCell ref="DR11:DV11"/>
    <mergeCell ref="DR12:DT12"/>
    <mergeCell ref="DR19:DV19"/>
    <mergeCell ref="DR13:DR18"/>
    <mergeCell ref="DR369:DU374"/>
    <mergeCell ref="DS13:DS15"/>
    <mergeCell ref="DS16:DS18"/>
    <mergeCell ref="DZ4:DZ4"/>
    <mergeCell ref="DZ5:DZ5"/>
    <mergeCell ref="DZ6:DZ6"/>
    <mergeCell ref="DZ7:DZ7"/>
    <mergeCell ref="DZ8:DZ8"/>
    <mergeCell ref="DZ9:DZ9"/>
    <mergeCell ref="DZ10:DZ10"/>
    <mergeCell ref="DZ11:DZ11"/>
    <mergeCell ref="DZ12:DZ12"/>
    <mergeCell ref="DZ13:DZ13"/>
    <mergeCell ref="DZ14:DZ14"/>
    <mergeCell ref="DZ15:DZ15"/>
    <mergeCell ref="DZ16:DZ16"/>
    <mergeCell ref="DZ17:DZ17"/>
    <mergeCell ref="DZ18:DZ18"/>
    <mergeCell ref="DZ19:DZ19"/>
    <mergeCell ref="DZ20:DZ20"/>
    <mergeCell ref="DZ21:DZ21"/>
    <mergeCell ref="DZ22:DZ22"/>
    <mergeCell ref="DZ23:DZ23"/>
    <mergeCell ref="DZ24:DZ24"/>
    <mergeCell ref="DZ25:DZ25"/>
    <mergeCell ref="DZ26:DZ26"/>
    <mergeCell ref="DZ27:DZ27"/>
    <mergeCell ref="DZ28:DZ28"/>
    <mergeCell ref="DZ29:DZ29"/>
    <mergeCell ref="DZ30:DZ30"/>
    <mergeCell ref="DZ31:DZ31"/>
    <mergeCell ref="DZ32:DZ32"/>
    <mergeCell ref="DZ33:DZ33"/>
    <mergeCell ref="DZ34:DZ34"/>
    <mergeCell ref="DZ35:DZ35"/>
    <mergeCell ref="DZ36:DZ36"/>
    <mergeCell ref="DZ37:DZ37"/>
    <mergeCell ref="DZ38:DZ38"/>
    <mergeCell ref="DZ39:DZ39"/>
    <mergeCell ref="DZ40:DZ40"/>
    <mergeCell ref="DZ41:DZ41"/>
    <mergeCell ref="DZ42:DZ42"/>
    <mergeCell ref="DZ43:DZ43"/>
    <mergeCell ref="DZ44:DZ44"/>
    <mergeCell ref="DZ45:DZ45"/>
    <mergeCell ref="DZ46:DZ46"/>
    <mergeCell ref="DZ47:DZ47"/>
    <mergeCell ref="DZ48:DZ48"/>
    <mergeCell ref="DZ49:DZ49"/>
    <mergeCell ref="DZ50:DZ50"/>
    <mergeCell ref="DZ51:DZ51"/>
    <mergeCell ref="DZ52:DZ52"/>
    <mergeCell ref="DZ53:DZ53"/>
    <mergeCell ref="DZ54:DZ54"/>
    <mergeCell ref="DZ55:DZ55"/>
    <mergeCell ref="DZ56:DZ56"/>
    <mergeCell ref="DZ57:DZ57"/>
    <mergeCell ref="DZ58:DZ58"/>
    <mergeCell ref="DZ59:DZ59"/>
    <mergeCell ref="DZ60:DZ60"/>
    <mergeCell ref="DZ61:DZ61"/>
    <mergeCell ref="DZ62:DZ62"/>
    <mergeCell ref="DZ63:DZ63"/>
    <mergeCell ref="DZ64:DZ64"/>
    <mergeCell ref="DZ65:DZ65"/>
    <mergeCell ref="DZ66:DZ66"/>
    <mergeCell ref="DZ67:DZ67"/>
    <mergeCell ref="DZ68:DZ68"/>
    <mergeCell ref="DZ69:DZ69"/>
    <mergeCell ref="DZ70:DZ70"/>
    <mergeCell ref="DZ71:DZ71"/>
    <mergeCell ref="DZ72:DZ72"/>
    <mergeCell ref="DZ73:DZ73"/>
    <mergeCell ref="DZ74:DZ74"/>
    <mergeCell ref="DZ75:DZ75"/>
    <mergeCell ref="DZ76:DZ76"/>
    <mergeCell ref="DZ77:DZ77"/>
    <mergeCell ref="DZ78:DZ78"/>
    <mergeCell ref="DZ79:DZ79"/>
    <mergeCell ref="DZ80:DZ80"/>
    <mergeCell ref="DZ81:DZ81"/>
    <mergeCell ref="DZ82:DZ82"/>
    <mergeCell ref="DZ83:DZ83"/>
    <mergeCell ref="DZ84:DZ84"/>
    <mergeCell ref="DZ85:DZ85"/>
    <mergeCell ref="DZ86:DZ86"/>
    <mergeCell ref="DZ87:DZ87"/>
    <mergeCell ref="DZ88:DZ88"/>
    <mergeCell ref="DZ89:DZ89"/>
    <mergeCell ref="DZ90:DZ90"/>
    <mergeCell ref="DZ91:DZ91"/>
    <mergeCell ref="DZ92:DZ92"/>
    <mergeCell ref="DZ93:DZ93"/>
    <mergeCell ref="DZ94:DZ94"/>
    <mergeCell ref="DZ95:DZ95"/>
    <mergeCell ref="DZ96:DZ96"/>
    <mergeCell ref="DZ97:DZ97"/>
    <mergeCell ref="DZ98:DZ98"/>
    <mergeCell ref="DZ99:DZ99"/>
    <mergeCell ref="DZ100:DZ100"/>
    <mergeCell ref="DZ101:DZ101"/>
    <mergeCell ref="DZ102:DZ102"/>
    <mergeCell ref="DZ103:DZ103"/>
    <mergeCell ref="DZ104:DZ104"/>
    <mergeCell ref="DZ105:DZ105"/>
    <mergeCell ref="DZ106:DZ106"/>
    <mergeCell ref="DZ107:DZ107"/>
    <mergeCell ref="DZ108:DZ108"/>
    <mergeCell ref="DZ109:DZ109"/>
    <mergeCell ref="DZ110:DZ110"/>
    <mergeCell ref="DZ111:DZ111"/>
    <mergeCell ref="DZ112:DZ112"/>
    <mergeCell ref="DZ113:DZ113"/>
    <mergeCell ref="DZ114:DZ114"/>
    <mergeCell ref="DZ115:DZ115"/>
    <mergeCell ref="DZ116:DZ116"/>
    <mergeCell ref="DZ117:DZ117"/>
    <mergeCell ref="DZ118:DZ118"/>
    <mergeCell ref="DZ119:DZ119"/>
    <mergeCell ref="DZ120:DZ120"/>
    <mergeCell ref="DZ121:DZ121"/>
    <mergeCell ref="DZ122:DZ122"/>
    <mergeCell ref="DZ123:DZ123"/>
    <mergeCell ref="DZ124:DZ124"/>
    <mergeCell ref="DZ125:DZ125"/>
    <mergeCell ref="DZ126:DZ126"/>
    <mergeCell ref="DZ127:DZ127"/>
    <mergeCell ref="DZ128:DZ128"/>
    <mergeCell ref="DZ129:DZ129"/>
    <mergeCell ref="DZ130:DZ130"/>
    <mergeCell ref="DZ131:DZ131"/>
    <mergeCell ref="DZ132:DZ132"/>
    <mergeCell ref="DZ133:DZ133"/>
    <mergeCell ref="DZ134:DZ134"/>
    <mergeCell ref="DZ135:DZ135"/>
    <mergeCell ref="DZ136:DZ136"/>
    <mergeCell ref="DZ137:DZ137"/>
    <mergeCell ref="DZ138:DZ138"/>
    <mergeCell ref="DZ139:DZ139"/>
    <mergeCell ref="DZ140:DZ140"/>
    <mergeCell ref="DZ141:DZ141"/>
    <mergeCell ref="DZ142:DZ142"/>
    <mergeCell ref="DZ143:DZ143"/>
    <mergeCell ref="DZ144:DZ144"/>
    <mergeCell ref="DZ145:DZ145"/>
    <mergeCell ref="DZ146:DZ146"/>
    <mergeCell ref="DZ147:DZ147"/>
    <mergeCell ref="DZ148:DZ148"/>
    <mergeCell ref="DZ149:DZ149"/>
    <mergeCell ref="DZ150:DZ150"/>
    <mergeCell ref="DZ151:DZ151"/>
    <mergeCell ref="DZ152:DZ152"/>
    <mergeCell ref="DZ153:DZ153"/>
    <mergeCell ref="DZ154:DZ154"/>
    <mergeCell ref="DZ155:DZ155"/>
    <mergeCell ref="DZ156:DZ156"/>
    <mergeCell ref="DZ157:DZ157"/>
    <mergeCell ref="DZ158:DZ158"/>
    <mergeCell ref="DZ159:DZ159"/>
    <mergeCell ref="DZ160:DZ160"/>
    <mergeCell ref="DZ161:DZ161"/>
    <mergeCell ref="DZ162:DZ162"/>
    <mergeCell ref="DZ163:DZ163"/>
    <mergeCell ref="DZ164:DZ164"/>
    <mergeCell ref="DZ165:DZ165"/>
    <mergeCell ref="DZ166:DZ166"/>
    <mergeCell ref="DZ167:DZ167"/>
    <mergeCell ref="DZ168:DZ168"/>
    <mergeCell ref="DZ169:DZ169"/>
    <mergeCell ref="DZ170:DZ170"/>
    <mergeCell ref="DZ171:DZ171"/>
    <mergeCell ref="DZ172:DZ172"/>
    <mergeCell ref="DZ173:DZ173"/>
    <mergeCell ref="DZ174:DZ174"/>
    <mergeCell ref="DZ175:DZ175"/>
    <mergeCell ref="DZ176:DZ176"/>
    <mergeCell ref="DZ177:DZ177"/>
    <mergeCell ref="DZ178:DZ178"/>
    <mergeCell ref="DZ179:DZ179"/>
    <mergeCell ref="DZ180:DZ180"/>
    <mergeCell ref="DZ181:DZ181"/>
    <mergeCell ref="DZ182:DZ182"/>
    <mergeCell ref="DZ183:DZ183"/>
    <mergeCell ref="DZ184:DZ184"/>
    <mergeCell ref="DZ185:DZ185"/>
    <mergeCell ref="DZ186:DZ186"/>
    <mergeCell ref="DZ187:DZ187"/>
    <mergeCell ref="DZ188:DZ188"/>
    <mergeCell ref="DZ189:DZ189"/>
    <mergeCell ref="DZ190:DZ190"/>
    <mergeCell ref="DZ191:DZ191"/>
    <mergeCell ref="DZ192:DZ192"/>
    <mergeCell ref="DZ193:DZ193"/>
    <mergeCell ref="DZ194:DZ194"/>
    <mergeCell ref="DZ195:DZ195"/>
    <mergeCell ref="DZ196:DZ196"/>
    <mergeCell ref="DZ197:DZ197"/>
    <mergeCell ref="DZ198:DZ198"/>
    <mergeCell ref="DZ199:DZ199"/>
    <mergeCell ref="DZ200:DZ200"/>
    <mergeCell ref="DZ201:DZ201"/>
    <mergeCell ref="DZ202:DZ202"/>
    <mergeCell ref="DZ203:DZ203"/>
    <mergeCell ref="DZ204:DZ204"/>
    <mergeCell ref="DZ205:DZ205"/>
    <mergeCell ref="DZ206:DZ206"/>
    <mergeCell ref="DZ207:DZ207"/>
    <mergeCell ref="DZ208:DZ208"/>
    <mergeCell ref="DZ209:DZ209"/>
    <mergeCell ref="DZ210:DZ210"/>
    <mergeCell ref="DZ211:DZ211"/>
    <mergeCell ref="DZ212:DZ212"/>
    <mergeCell ref="DZ213:DZ213"/>
    <mergeCell ref="DZ214:DZ214"/>
    <mergeCell ref="DZ215:DZ215"/>
    <mergeCell ref="DZ216:DZ216"/>
    <mergeCell ref="DZ217:DZ217"/>
    <mergeCell ref="DZ218:DZ218"/>
    <mergeCell ref="DZ219:DZ219"/>
    <mergeCell ref="DZ220:DZ220"/>
    <mergeCell ref="DZ221:DZ221"/>
    <mergeCell ref="DZ222:DZ222"/>
    <mergeCell ref="DZ223:DZ223"/>
    <mergeCell ref="DZ224:DZ224"/>
    <mergeCell ref="DZ225:DZ225"/>
    <mergeCell ref="DZ226:DZ226"/>
    <mergeCell ref="DZ227:DZ227"/>
    <mergeCell ref="DZ228:DZ228"/>
    <mergeCell ref="DZ229:DZ229"/>
    <mergeCell ref="DZ230:DZ230"/>
    <mergeCell ref="DZ231:DZ231"/>
    <mergeCell ref="DZ232:DZ232"/>
    <mergeCell ref="DZ233:DZ233"/>
    <mergeCell ref="DZ234:DZ234"/>
    <mergeCell ref="DZ235:DZ235"/>
    <mergeCell ref="DZ236:DZ236"/>
    <mergeCell ref="DZ237:DZ237"/>
    <mergeCell ref="DZ238:DZ238"/>
    <mergeCell ref="DZ239:DZ239"/>
    <mergeCell ref="DZ240:DZ240"/>
    <mergeCell ref="DZ241:DZ241"/>
    <mergeCell ref="DZ242:DZ242"/>
    <mergeCell ref="DZ243:DZ243"/>
    <mergeCell ref="DZ244:DZ244"/>
    <mergeCell ref="DZ245:DZ245"/>
    <mergeCell ref="DZ246:DZ246"/>
    <mergeCell ref="DZ247:DZ247"/>
    <mergeCell ref="DZ248:DZ248"/>
    <mergeCell ref="DZ249:DZ249"/>
    <mergeCell ref="DZ250:DZ250"/>
    <mergeCell ref="DZ251:DZ251"/>
    <mergeCell ref="DZ252:DZ252"/>
    <mergeCell ref="DZ253:DZ253"/>
    <mergeCell ref="DZ254:DZ254"/>
    <mergeCell ref="DZ255:DZ255"/>
    <mergeCell ref="DZ256:DZ256"/>
    <mergeCell ref="DZ257:DZ257"/>
    <mergeCell ref="DZ258:DZ258"/>
    <mergeCell ref="DZ259:DZ259"/>
    <mergeCell ref="DZ260:DZ260"/>
    <mergeCell ref="DZ261:DZ261"/>
    <mergeCell ref="DZ262:DZ262"/>
    <mergeCell ref="DZ263:DZ263"/>
    <mergeCell ref="DZ264:DZ264"/>
    <mergeCell ref="DZ265:DZ265"/>
    <mergeCell ref="DZ266:DZ266"/>
    <mergeCell ref="DZ267:DZ267"/>
    <mergeCell ref="DZ268:DZ268"/>
    <mergeCell ref="DZ269:DZ269"/>
    <mergeCell ref="DZ270:DZ270"/>
    <mergeCell ref="DZ271:DZ271"/>
    <mergeCell ref="DZ272:DZ272"/>
    <mergeCell ref="DZ273:DZ273"/>
    <mergeCell ref="DZ274:DZ274"/>
    <mergeCell ref="DZ275:DZ275"/>
    <mergeCell ref="DZ276:DZ276"/>
    <mergeCell ref="DZ277:DZ277"/>
    <mergeCell ref="DZ278:DZ278"/>
    <mergeCell ref="DZ279:DZ279"/>
    <mergeCell ref="DZ280:DZ280"/>
    <mergeCell ref="DZ281:DZ281"/>
    <mergeCell ref="DZ282:DZ282"/>
    <mergeCell ref="DZ283:DZ283"/>
    <mergeCell ref="DZ284:DZ284"/>
    <mergeCell ref="DZ285:DZ285"/>
    <mergeCell ref="DZ286:DZ286"/>
    <mergeCell ref="DZ287:DZ287"/>
    <mergeCell ref="DZ288:DZ288"/>
    <mergeCell ref="DZ289:DZ289"/>
    <mergeCell ref="DZ290:DZ290"/>
    <mergeCell ref="DZ291:DZ291"/>
    <mergeCell ref="DZ292:DZ292"/>
    <mergeCell ref="DZ293:DZ293"/>
    <mergeCell ref="DZ294:DZ294"/>
    <mergeCell ref="DZ295:DZ295"/>
    <mergeCell ref="DZ296:DZ296"/>
    <mergeCell ref="DZ297:DZ297"/>
    <mergeCell ref="DZ298:DZ298"/>
    <mergeCell ref="DZ299:DZ299"/>
    <mergeCell ref="DZ300:DZ300"/>
    <mergeCell ref="DZ301:DZ301"/>
    <mergeCell ref="DZ302:DZ302"/>
    <mergeCell ref="DZ303:DZ303"/>
    <mergeCell ref="DZ304:DZ304"/>
    <mergeCell ref="DZ305:DZ305"/>
    <mergeCell ref="DZ306:DZ306"/>
    <mergeCell ref="DZ307:DZ307"/>
    <mergeCell ref="DZ308:DZ308"/>
    <mergeCell ref="DZ309:DZ309"/>
    <mergeCell ref="DZ310:DZ310"/>
    <mergeCell ref="DZ311:DZ311"/>
    <mergeCell ref="DZ312:DZ312"/>
    <mergeCell ref="DZ313:DZ313"/>
    <mergeCell ref="DZ314:DZ314"/>
    <mergeCell ref="DZ315:DZ315"/>
    <mergeCell ref="DZ316:DZ316"/>
    <mergeCell ref="DZ317:DZ317"/>
    <mergeCell ref="DZ318:DZ318"/>
    <mergeCell ref="DZ319:DZ319"/>
    <mergeCell ref="DZ320:DZ320"/>
    <mergeCell ref="DZ321:DZ321"/>
    <mergeCell ref="DZ322:DZ322"/>
    <mergeCell ref="DZ323:DZ323"/>
    <mergeCell ref="DZ324:DZ324"/>
    <mergeCell ref="DZ325:DZ325"/>
    <mergeCell ref="DZ326:DZ326"/>
    <mergeCell ref="DZ327:DZ327"/>
    <mergeCell ref="DZ328:DZ328"/>
    <mergeCell ref="DZ329:DZ329"/>
    <mergeCell ref="DZ330:DZ330"/>
    <mergeCell ref="DZ331:DZ331"/>
    <mergeCell ref="DZ332:DZ332"/>
    <mergeCell ref="DZ333:DZ333"/>
    <mergeCell ref="DZ334:DZ334"/>
    <mergeCell ref="DZ335:DZ335"/>
    <mergeCell ref="DZ336:DZ336"/>
    <mergeCell ref="DZ337:DZ337"/>
    <mergeCell ref="DZ338:DZ338"/>
    <mergeCell ref="DZ339:DZ339"/>
    <mergeCell ref="DZ340:DZ340"/>
    <mergeCell ref="DZ341:DZ341"/>
    <mergeCell ref="DZ342:DZ342"/>
    <mergeCell ref="DZ343:DZ343"/>
    <mergeCell ref="DZ344:DZ344"/>
    <mergeCell ref="DZ345:DZ345"/>
    <mergeCell ref="DZ346:DZ346"/>
    <mergeCell ref="DZ347:DZ347"/>
    <mergeCell ref="DZ348:DZ348"/>
    <mergeCell ref="DZ349:DZ349"/>
    <mergeCell ref="DZ350:DZ350"/>
    <mergeCell ref="DZ351:DZ351"/>
    <mergeCell ref="DZ352:DZ352"/>
    <mergeCell ref="DZ353:DZ353"/>
    <mergeCell ref="DZ354:DZ354"/>
    <mergeCell ref="DZ355:DZ355"/>
    <mergeCell ref="DZ356:DZ356"/>
    <mergeCell ref="DZ357:DZ357"/>
    <mergeCell ref="DZ358:DZ358"/>
    <mergeCell ref="ED5:EJ5"/>
    <mergeCell ref="ED12:EJ17"/>
    <mergeCell ref="ED10:EJ10"/>
    <mergeCell ref="ED6:ED7"/>
    <mergeCell ref="EE6:EG6"/>
    <mergeCell ref="EH6:EJ6"/>
    <mergeCell ref="EL11:EO11"/>
    <mergeCell ref="EL12:EM12"/>
    <mergeCell ref="EL13:EL15"/>
    <mergeCell ref="EL16:EL18"/>
    <mergeCell ref="EL19:EO19"/>
    <mergeCell ref="EL369:EO374"/>
    <mergeCell ref="EQ11:EU11"/>
    <mergeCell ref="EQ12:ES12"/>
    <mergeCell ref="EQ19:EU19"/>
    <mergeCell ref="EQ13:EQ18"/>
    <mergeCell ref="EQ369:ET374"/>
    <mergeCell ref="ER13:ER15"/>
    <mergeCell ref="ER16:ER18"/>
    <mergeCell ref="EY4:EY4"/>
    <mergeCell ref="EY5:EY5"/>
    <mergeCell ref="EY6:EY6"/>
    <mergeCell ref="EY7:EY7"/>
    <mergeCell ref="EY8:EY8"/>
    <mergeCell ref="EY9:EY9"/>
    <mergeCell ref="EY10:EY10"/>
    <mergeCell ref="EY11:EY11"/>
    <mergeCell ref="EY12:EY12"/>
    <mergeCell ref="EY13:EY13"/>
    <mergeCell ref="EY14:EY14"/>
    <mergeCell ref="EY15:EY15"/>
    <mergeCell ref="EY16:EY16"/>
    <mergeCell ref="EY17:EY17"/>
    <mergeCell ref="EY18:EY18"/>
    <mergeCell ref="EY19:EY19"/>
    <mergeCell ref="EY20:EY20"/>
    <mergeCell ref="EY21:EY21"/>
    <mergeCell ref="EY22:EY22"/>
    <mergeCell ref="EY23:EY23"/>
    <mergeCell ref="EY24:EY24"/>
    <mergeCell ref="EY25:EY25"/>
    <mergeCell ref="EY26:EY26"/>
    <mergeCell ref="EY27:EY27"/>
    <mergeCell ref="EY28:EY28"/>
    <mergeCell ref="EY29:EY29"/>
    <mergeCell ref="EY30:EY30"/>
    <mergeCell ref="EY31:EY31"/>
    <mergeCell ref="EY32:EY32"/>
    <mergeCell ref="EY33:EY33"/>
    <mergeCell ref="EY34:EY34"/>
    <mergeCell ref="EY35:EY35"/>
    <mergeCell ref="EY36:EY36"/>
    <mergeCell ref="EY37:EY37"/>
    <mergeCell ref="EY38:EY38"/>
    <mergeCell ref="EY39:EY39"/>
    <mergeCell ref="EY40:EY40"/>
    <mergeCell ref="EY41:EY41"/>
    <mergeCell ref="EY42:EY42"/>
    <mergeCell ref="EY43:EY43"/>
    <mergeCell ref="EY44:EY44"/>
    <mergeCell ref="EY45:EY45"/>
    <mergeCell ref="EY46:EY46"/>
    <mergeCell ref="EY47:EY47"/>
    <mergeCell ref="EY48:EY48"/>
    <mergeCell ref="EY49:EY49"/>
    <mergeCell ref="EY50:EY50"/>
    <mergeCell ref="EY51:EY51"/>
    <mergeCell ref="EY52:EY52"/>
    <mergeCell ref="EY53:EY53"/>
    <mergeCell ref="EY54:EY54"/>
    <mergeCell ref="EY55:EY55"/>
    <mergeCell ref="EY56:EY56"/>
    <mergeCell ref="EY57:EY57"/>
    <mergeCell ref="EY58:EY58"/>
    <mergeCell ref="EY59:EY59"/>
    <mergeCell ref="EY60:EY60"/>
    <mergeCell ref="EY61:EY61"/>
    <mergeCell ref="EY62:EY62"/>
    <mergeCell ref="EY63:EY63"/>
    <mergeCell ref="EY64:EY64"/>
    <mergeCell ref="EY65:EY65"/>
    <mergeCell ref="EY66:EY66"/>
    <mergeCell ref="EY67:EY67"/>
    <mergeCell ref="EY68:EY68"/>
    <mergeCell ref="EY69:EY69"/>
    <mergeCell ref="EY70:EY70"/>
    <mergeCell ref="EY71:EY71"/>
    <mergeCell ref="EY72:EY72"/>
    <mergeCell ref="EY73:EY73"/>
    <mergeCell ref="EY74:EY74"/>
    <mergeCell ref="EY75:EY75"/>
    <mergeCell ref="EY76:EY76"/>
    <mergeCell ref="EY77:EY77"/>
    <mergeCell ref="EY78:EY78"/>
    <mergeCell ref="EY79:EY79"/>
    <mergeCell ref="EY80:EY80"/>
    <mergeCell ref="EY81:EY81"/>
    <mergeCell ref="EY82:EY82"/>
    <mergeCell ref="EY83:EY83"/>
    <mergeCell ref="EY84:EY84"/>
    <mergeCell ref="EY85:EY85"/>
    <mergeCell ref="EY86:EY86"/>
    <mergeCell ref="EY87:EY87"/>
    <mergeCell ref="EY88:EY88"/>
    <mergeCell ref="EY89:EY89"/>
    <mergeCell ref="EY90:EY90"/>
    <mergeCell ref="EY91:EY91"/>
    <mergeCell ref="EY92:EY92"/>
    <mergeCell ref="EY93:EY93"/>
    <mergeCell ref="EY94:EY94"/>
    <mergeCell ref="EY95:EY95"/>
    <mergeCell ref="EY96:EY96"/>
    <mergeCell ref="EY97:EY97"/>
    <mergeCell ref="EY98:EY98"/>
    <mergeCell ref="EY99:EY99"/>
    <mergeCell ref="EY100:EY100"/>
    <mergeCell ref="EY101:EY101"/>
    <mergeCell ref="EY102:EY102"/>
    <mergeCell ref="EY103:EY103"/>
    <mergeCell ref="EY104:EY104"/>
    <mergeCell ref="EY105:EY105"/>
    <mergeCell ref="EY106:EY106"/>
    <mergeCell ref="EY107:EY107"/>
    <mergeCell ref="EY108:EY108"/>
    <mergeCell ref="EY109:EY109"/>
    <mergeCell ref="EY110:EY110"/>
    <mergeCell ref="EY111:EY111"/>
    <mergeCell ref="EY112:EY112"/>
    <mergeCell ref="EY113:EY113"/>
    <mergeCell ref="EY114:EY114"/>
    <mergeCell ref="EY115:EY115"/>
    <mergeCell ref="EY116:EY116"/>
    <mergeCell ref="EY117:EY117"/>
    <mergeCell ref="EY118:EY118"/>
    <mergeCell ref="EY119:EY119"/>
    <mergeCell ref="EY120:EY120"/>
    <mergeCell ref="EY121:EY121"/>
    <mergeCell ref="EY122:EY122"/>
    <mergeCell ref="EY123:EY123"/>
    <mergeCell ref="EY124:EY124"/>
    <mergeCell ref="EY125:EY125"/>
    <mergeCell ref="EY126:EY126"/>
    <mergeCell ref="EY127:EY127"/>
    <mergeCell ref="EY128:EY128"/>
    <mergeCell ref="EY129:EY129"/>
    <mergeCell ref="EY130:EY130"/>
    <mergeCell ref="EY131:EY131"/>
    <mergeCell ref="EY132:EY132"/>
    <mergeCell ref="EY133:EY133"/>
    <mergeCell ref="EY134:EY134"/>
    <mergeCell ref="EY135:EY135"/>
    <mergeCell ref="EY136:EY136"/>
    <mergeCell ref="EY137:EY137"/>
    <mergeCell ref="EY138:EY138"/>
    <mergeCell ref="EY139:EY139"/>
    <mergeCell ref="EY140:EY140"/>
    <mergeCell ref="EY141:EY141"/>
    <mergeCell ref="EY142:EY142"/>
    <mergeCell ref="EY143:EY143"/>
    <mergeCell ref="EY144:EY144"/>
    <mergeCell ref="EY145:EY145"/>
    <mergeCell ref="EY146:EY146"/>
    <mergeCell ref="EY147:EY147"/>
    <mergeCell ref="EY148:EY148"/>
    <mergeCell ref="EY149:EY149"/>
    <mergeCell ref="EY150:EY150"/>
    <mergeCell ref="EY151:EY151"/>
    <mergeCell ref="EY152:EY152"/>
    <mergeCell ref="EY153:EY153"/>
    <mergeCell ref="EY154:EY154"/>
    <mergeCell ref="EY155:EY155"/>
    <mergeCell ref="EY156:EY156"/>
    <mergeCell ref="EY157:EY157"/>
    <mergeCell ref="EY158:EY158"/>
    <mergeCell ref="EY159:EY159"/>
    <mergeCell ref="EY160:EY160"/>
    <mergeCell ref="EY161:EY161"/>
    <mergeCell ref="EY162:EY162"/>
    <mergeCell ref="EY163:EY163"/>
    <mergeCell ref="EY164:EY164"/>
    <mergeCell ref="EY165:EY165"/>
    <mergeCell ref="EY166:EY166"/>
    <mergeCell ref="EY167:EY167"/>
    <mergeCell ref="EY168:EY168"/>
    <mergeCell ref="EY169:EY169"/>
    <mergeCell ref="EY170:EY170"/>
    <mergeCell ref="EY171:EY171"/>
    <mergeCell ref="EY172:EY172"/>
    <mergeCell ref="EY173:EY173"/>
    <mergeCell ref="EY174:EY174"/>
    <mergeCell ref="EY175:EY175"/>
    <mergeCell ref="EY176:EY176"/>
    <mergeCell ref="EY177:EY177"/>
    <mergeCell ref="EY178:EY178"/>
    <mergeCell ref="EY179:EY179"/>
    <mergeCell ref="EY180:EY180"/>
    <mergeCell ref="EY181:EY181"/>
    <mergeCell ref="EY182:EY182"/>
    <mergeCell ref="EY183:EY183"/>
    <mergeCell ref="EY184:EY184"/>
    <mergeCell ref="EY185:EY185"/>
    <mergeCell ref="EY186:EY186"/>
    <mergeCell ref="EY187:EY187"/>
    <mergeCell ref="EY188:EY188"/>
    <mergeCell ref="EY189:EY189"/>
    <mergeCell ref="EY190:EY190"/>
    <mergeCell ref="EY191:EY191"/>
    <mergeCell ref="EY192:EY192"/>
    <mergeCell ref="EY193:EY193"/>
    <mergeCell ref="EY194:EY194"/>
    <mergeCell ref="EY195:EY195"/>
    <mergeCell ref="EY196:EY196"/>
    <mergeCell ref="EY197:EY197"/>
    <mergeCell ref="EY198:EY198"/>
    <mergeCell ref="EY199:EY199"/>
    <mergeCell ref="EY200:EY200"/>
    <mergeCell ref="EY201:EY201"/>
    <mergeCell ref="EY202:EY202"/>
    <mergeCell ref="EY203:EY203"/>
    <mergeCell ref="EY204:EY204"/>
    <mergeCell ref="EY205:EY205"/>
    <mergeCell ref="EY206:EY206"/>
    <mergeCell ref="EY207:EY207"/>
    <mergeCell ref="EY208:EY208"/>
    <mergeCell ref="EY209:EY209"/>
    <mergeCell ref="EY210:EY210"/>
    <mergeCell ref="EY211:EY211"/>
    <mergeCell ref="EY212:EY212"/>
    <mergeCell ref="EY213:EY213"/>
    <mergeCell ref="EY214:EY214"/>
    <mergeCell ref="EY215:EY215"/>
    <mergeCell ref="EY216:EY216"/>
    <mergeCell ref="EY217:EY217"/>
    <mergeCell ref="EY218:EY218"/>
    <mergeCell ref="EY219:EY219"/>
    <mergeCell ref="EY220:EY220"/>
    <mergeCell ref="EY221:EY221"/>
    <mergeCell ref="EY222:EY222"/>
    <mergeCell ref="EY223:EY223"/>
    <mergeCell ref="EY224:EY224"/>
    <mergeCell ref="EY225:EY225"/>
    <mergeCell ref="EY226:EY226"/>
    <mergeCell ref="EY227:EY227"/>
    <mergeCell ref="EY228:EY228"/>
    <mergeCell ref="EY229:EY229"/>
    <mergeCell ref="EY230:EY230"/>
    <mergeCell ref="EY231:EY231"/>
    <mergeCell ref="EY232:EY232"/>
    <mergeCell ref="EY233:EY233"/>
    <mergeCell ref="EY234:EY234"/>
    <mergeCell ref="EY235:EY235"/>
    <mergeCell ref="EY236:EY236"/>
    <mergeCell ref="EY237:EY237"/>
    <mergeCell ref="EY238:EY238"/>
    <mergeCell ref="EY239:EY239"/>
    <mergeCell ref="EY240:EY240"/>
    <mergeCell ref="EY241:EY241"/>
    <mergeCell ref="EY242:EY242"/>
    <mergeCell ref="EY243:EY243"/>
    <mergeCell ref="EY244:EY244"/>
    <mergeCell ref="EY245:EY245"/>
    <mergeCell ref="EY246:EY246"/>
    <mergeCell ref="EY247:EY247"/>
    <mergeCell ref="EY248:EY248"/>
    <mergeCell ref="EY249:EY249"/>
    <mergeCell ref="EY250:EY250"/>
    <mergeCell ref="EY251:EY251"/>
    <mergeCell ref="EY252:EY252"/>
    <mergeCell ref="EY253:EY253"/>
    <mergeCell ref="EY254:EY254"/>
    <mergeCell ref="EY255:EY255"/>
    <mergeCell ref="EY256:EY256"/>
    <mergeCell ref="EY257:EY257"/>
    <mergeCell ref="EY258:EY258"/>
    <mergeCell ref="EY259:EY259"/>
    <mergeCell ref="EY260:EY260"/>
    <mergeCell ref="EY261:EY261"/>
    <mergeCell ref="EY262:EY262"/>
    <mergeCell ref="EY263:EY263"/>
    <mergeCell ref="EY264:EY264"/>
    <mergeCell ref="EY265:EY265"/>
    <mergeCell ref="EY266:EY266"/>
    <mergeCell ref="EY267:EY267"/>
    <mergeCell ref="EY268:EY268"/>
    <mergeCell ref="EY269:EY269"/>
    <mergeCell ref="EY270:EY270"/>
    <mergeCell ref="EY271:EY271"/>
    <mergeCell ref="EY272:EY272"/>
    <mergeCell ref="EY273:EY273"/>
    <mergeCell ref="EY274:EY274"/>
    <mergeCell ref="EY275:EY275"/>
    <mergeCell ref="EY276:EY276"/>
    <mergeCell ref="EY277:EY277"/>
    <mergeCell ref="EY278:EY278"/>
    <mergeCell ref="EY279:EY279"/>
    <mergeCell ref="EY280:EY280"/>
    <mergeCell ref="EY281:EY281"/>
    <mergeCell ref="EY282:EY282"/>
    <mergeCell ref="EY283:EY283"/>
    <mergeCell ref="EY284:EY284"/>
    <mergeCell ref="EY285:EY285"/>
    <mergeCell ref="EY286:EY286"/>
    <mergeCell ref="EY287:EY287"/>
    <mergeCell ref="EY288:EY288"/>
    <mergeCell ref="EY289:EY289"/>
    <mergeCell ref="EY290:EY290"/>
    <mergeCell ref="EY291:EY291"/>
    <mergeCell ref="EY292:EY292"/>
    <mergeCell ref="EY293:EY293"/>
    <mergeCell ref="EY294:EY294"/>
    <mergeCell ref="EY295:EY295"/>
    <mergeCell ref="EY296:EY296"/>
    <mergeCell ref="EY297:EY297"/>
    <mergeCell ref="EY298:EY298"/>
    <mergeCell ref="EY299:EY299"/>
    <mergeCell ref="EY300:EY300"/>
    <mergeCell ref="EY301:EY301"/>
    <mergeCell ref="EY302:EY302"/>
    <mergeCell ref="EY303:EY303"/>
    <mergeCell ref="EY304:EY304"/>
    <mergeCell ref="EY305:EY305"/>
    <mergeCell ref="EY306:EY306"/>
    <mergeCell ref="EY307:EY307"/>
    <mergeCell ref="EY308:EY308"/>
    <mergeCell ref="EY309:EY309"/>
    <mergeCell ref="EY310:EY310"/>
    <mergeCell ref="EY311:EY311"/>
    <mergeCell ref="EY312:EY312"/>
    <mergeCell ref="EY313:EY313"/>
    <mergeCell ref="EY314:EY314"/>
    <mergeCell ref="EY315:EY315"/>
    <mergeCell ref="EY316:EY316"/>
    <mergeCell ref="EY317:EY317"/>
    <mergeCell ref="EY318:EY318"/>
    <mergeCell ref="EY319:EY319"/>
    <mergeCell ref="EY320:EY320"/>
    <mergeCell ref="EY321:EY321"/>
    <mergeCell ref="EY322:EY322"/>
    <mergeCell ref="EY323:EY323"/>
    <mergeCell ref="EY324:EY324"/>
    <mergeCell ref="EY325:EY325"/>
    <mergeCell ref="EY326:EY326"/>
    <mergeCell ref="EY327:EY327"/>
    <mergeCell ref="EY328:EY328"/>
    <mergeCell ref="EY329:EY329"/>
    <mergeCell ref="EY330:EY330"/>
    <mergeCell ref="EY331:EY331"/>
    <mergeCell ref="EY332:EY332"/>
    <mergeCell ref="EY333:EY333"/>
    <mergeCell ref="EY334:EY334"/>
    <mergeCell ref="EY335:EY335"/>
    <mergeCell ref="EY336:EY336"/>
    <mergeCell ref="EY337:EY337"/>
    <mergeCell ref="EY338:EY338"/>
    <mergeCell ref="EY339:EY339"/>
    <mergeCell ref="EY340:EY340"/>
    <mergeCell ref="EY341:EY341"/>
    <mergeCell ref="EY342:EY342"/>
    <mergeCell ref="EY343:EY343"/>
    <mergeCell ref="EY344:EY344"/>
    <mergeCell ref="EY345:EY345"/>
    <mergeCell ref="EY346:EY346"/>
    <mergeCell ref="EY347:EY347"/>
    <mergeCell ref="EY348:EY348"/>
    <mergeCell ref="EY349:EY349"/>
    <mergeCell ref="EY350:EY350"/>
    <mergeCell ref="EY351:EY351"/>
    <mergeCell ref="EY352:EY352"/>
    <mergeCell ref="EY353:EY353"/>
    <mergeCell ref="EY354:EY354"/>
    <mergeCell ref="EY355:EY355"/>
    <mergeCell ref="EY356:EY356"/>
    <mergeCell ref="EY357:EY357"/>
    <mergeCell ref="EY358:EY358"/>
    <mergeCell ref="FC5:FI5"/>
    <mergeCell ref="FC12:FI17"/>
    <mergeCell ref="FC10:FI10"/>
    <mergeCell ref="FC6:FC7"/>
    <mergeCell ref="FD6:FF6"/>
    <mergeCell ref="FG6:FI6"/>
    <mergeCell ref="FK11:FN11"/>
    <mergeCell ref="FK12:FL12"/>
    <mergeCell ref="FK13:FK15"/>
    <mergeCell ref="FK16:FK18"/>
    <mergeCell ref="FK19:FN19"/>
    <mergeCell ref="FK369:FN374"/>
    <mergeCell ref="FP11:FT11"/>
    <mergeCell ref="FP12:FR12"/>
    <mergeCell ref="FP19:FT19"/>
    <mergeCell ref="FP13:FP18"/>
    <mergeCell ref="FP369:FS374"/>
    <mergeCell ref="FQ13:FQ15"/>
    <mergeCell ref="FQ16:FQ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Z369"/>
  <sheetViews>
    <sheetView tabSelected="0" workbookViewId="0" showGridLines="true" showRowColHeaders="1">
      <selection activeCell="X12" sqref="X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s>
  <sheetData>
    <row r="1" spans="1:26">
      <c r="A1" s="50"/>
      <c r="B1" s="50"/>
      <c r="C1" s="50"/>
      <c r="D1" s="50"/>
      <c r="E1" s="50"/>
      <c r="F1" s="50"/>
      <c r="G1" s="50"/>
      <c r="H1" s="50"/>
      <c r="I1" s="50"/>
      <c r="J1" s="50"/>
      <c r="K1" s="50"/>
      <c r="L1" s="50"/>
      <c r="M1" s="50"/>
      <c r="N1" s="50"/>
      <c r="O1" s="50"/>
      <c r="P1" s="50"/>
      <c r="Q1" s="50"/>
      <c r="R1" s="50"/>
      <c r="S1" s="50"/>
      <c r="T1" s="50"/>
      <c r="U1" s="50"/>
      <c r="V1" s="50"/>
      <c r="W1" s="50"/>
      <c r="X1" s="50"/>
      <c r="Y1" s="50"/>
      <c r="Z1" s="50"/>
    </row>
    <row r="2" spans="1:26">
      <c r="A2" s="50"/>
      <c r="D2" s="40" t="s">
        <v>543</v>
      </c>
      <c r="E2" s="40" t="s">
        <v>664</v>
      </c>
      <c r="Z2" s="50"/>
    </row>
    <row r="3" spans="1:26">
      <c r="A3" s="50"/>
      <c r="D3" s="40" t="str">
        <f>'Por Valoracion (3) Dimension'!H2</f>
        <v>0</v>
      </c>
      <c r="E3" s="40" t="str">
        <f>'Por Valoracion (3) Dimension 2'!J2</f>
        <v>0</v>
      </c>
      <c r="Z3" s="50"/>
    </row>
    <row r="4" spans="1:26">
      <c r="A4" s="50"/>
      <c r="C4" t="str">
        <f>('Inteligencia emocional'!A5)</f>
        <v>0</v>
      </c>
      <c r="D4" s="39" t="str">
        <f>'Por Valoracion (3) Dimension'!H4</f>
        <v>0</v>
      </c>
      <c r="E4" s="39" t="str">
        <f>'Por Valoracion (3) Dimension 2'!J4</f>
        <v>0</v>
      </c>
      <c r="G4" s="10" t="s">
        <v>415</v>
      </c>
      <c r="Z4" s="50"/>
    </row>
    <row r="5" spans="1:26">
      <c r="A5" s="50"/>
      <c r="C5" t="str">
        <f>('Inteligencia emocional'!A6)</f>
        <v>0</v>
      </c>
      <c r="D5" s="39" t="str">
        <f>'Por Valoracion (3) Dimension'!H5</f>
        <v>0</v>
      </c>
      <c r="E5" s="39" t="str">
        <f>'Por Valoracion (3) Dimension 2'!J5</f>
        <v>0</v>
      </c>
      <c r="G5" s="42" t="s">
        <v>638</v>
      </c>
      <c r="H5" s="12"/>
      <c r="I5" s="12"/>
      <c r="J5" s="12"/>
      <c r="K5" s="12"/>
      <c r="L5" s="12"/>
      <c r="M5" s="12"/>
      <c r="Z5" s="50"/>
    </row>
    <row r="6" spans="1:26">
      <c r="A6" s="50"/>
      <c r="C6" t="str">
        <f>('Inteligencia emocional'!A7)</f>
        <v>0</v>
      </c>
      <c r="D6" s="39" t="str">
        <f>'Por Valoracion (3) Dimension'!H6</f>
        <v>0</v>
      </c>
      <c r="E6" s="39" t="str">
        <f>'Por Valoracion (3) Dimension 2'!J6</f>
        <v>0</v>
      </c>
      <c r="G6"/>
      <c r="H6" s="41" t="s">
        <v>639</v>
      </c>
      <c r="K6" s="41" t="s">
        <v>640</v>
      </c>
      <c r="Z6" s="50"/>
    </row>
    <row r="7" spans="1:26">
      <c r="A7" s="50"/>
      <c r="C7" t="str">
        <f>('Inteligencia emocional'!A8)</f>
        <v>0</v>
      </c>
      <c r="D7" s="39" t="str">
        <f>'Por Valoracion (3) Dimension'!H7</f>
        <v>0</v>
      </c>
      <c r="E7" s="39" t="str">
        <f>'Por Valoracion (3) Dimension 2'!J7</f>
        <v>0</v>
      </c>
      <c r="G7" s="12"/>
      <c r="H7" s="43" t="s">
        <v>641</v>
      </c>
      <c r="I7" s="43" t="s">
        <v>642</v>
      </c>
      <c r="J7" s="43" t="s">
        <v>643</v>
      </c>
      <c r="K7" s="43" t="s">
        <v>641</v>
      </c>
      <c r="L7" s="45" t="s">
        <v>642</v>
      </c>
      <c r="M7" s="43" t="s">
        <v>643</v>
      </c>
      <c r="Z7" s="50"/>
    </row>
    <row r="8" spans="1:26">
      <c r="A8" s="50"/>
      <c r="C8" t="str">
        <f>('Inteligencia emocional'!A9)</f>
        <v>0</v>
      </c>
      <c r="D8" s="39" t="str">
        <f>'Por Valoracion (3) Dimension'!H8</f>
        <v>0</v>
      </c>
      <c r="E8" s="39" t="str">
        <f>'Por Valoracion (3) Dimension 2'!J8</f>
        <v>0</v>
      </c>
      <c r="G8" s="41" t="str">
        <f>D3</f>
        <v>0</v>
      </c>
      <c r="H8" s="44"/>
      <c r="I8" s="44"/>
      <c r="J8" s="44"/>
      <c r="K8" s="44"/>
      <c r="L8" s="44"/>
      <c r="M8" s="44"/>
      <c r="Z8" s="50"/>
    </row>
    <row r="9" spans="1:26">
      <c r="A9" s="50"/>
      <c r="C9" t="str">
        <f>('Inteligencia emocional'!A10)</f>
        <v>0</v>
      </c>
      <c r="D9" s="39" t="str">
        <f>'Por Valoracion (3) Dimension'!H9</f>
        <v>0</v>
      </c>
      <c r="E9" s="39" t="str">
        <f>'Por Valoracion (3) Dimension 2'!J9</f>
        <v>0</v>
      </c>
      <c r="G9" s="42" t="str">
        <f>E3</f>
        <v>0</v>
      </c>
      <c r="H9" s="12"/>
      <c r="I9" s="12"/>
      <c r="J9" s="12"/>
      <c r="K9" s="12"/>
      <c r="L9" s="12"/>
      <c r="M9" s="12"/>
      <c r="Z9" s="50"/>
    </row>
    <row r="10" spans="1:26">
      <c r="A10" s="50"/>
      <c r="C10" t="str">
        <f>('Inteligencia emocional'!A11)</f>
        <v>0</v>
      </c>
      <c r="D10" s="39" t="str">
        <f>'Por Valoracion (3) Dimension'!H10</f>
        <v>0</v>
      </c>
      <c r="E10" s="39" t="str">
        <f>'Por Valoracion (3) Dimension 2'!J10</f>
        <v>0</v>
      </c>
      <c r="G10" s="41" t="s">
        <v>644</v>
      </c>
      <c r="O10" s="10" t="s">
        <v>415</v>
      </c>
      <c r="T10" s="10" t="s">
        <v>415</v>
      </c>
      <c r="Z10" s="50"/>
    </row>
    <row r="11" spans="1:26">
      <c r="A11" s="50"/>
      <c r="C11" t="str">
        <f>('Inteligencia emocional'!A12)</f>
        <v>0</v>
      </c>
      <c r="D11" s="39" t="str">
        <f>'Por Valoracion (3) Dimension'!H11</f>
        <v>0</v>
      </c>
      <c r="E11" s="39" t="str">
        <f>'Por Valoracion (3) Dimension 2'!J11</f>
        <v>0</v>
      </c>
      <c r="O11" s="42" t="s">
        <v>645</v>
      </c>
      <c r="P11" s="12"/>
      <c r="Q11" s="12"/>
      <c r="R11" s="12"/>
      <c r="T11" s="42" t="s">
        <v>645</v>
      </c>
      <c r="U11" s="12"/>
      <c r="V11" s="12"/>
      <c r="W11" s="12"/>
      <c r="X11" s="12"/>
      <c r="Z11" s="50"/>
    </row>
    <row r="12" spans="1:26">
      <c r="A12" s="50"/>
      <c r="C12" t="str">
        <f>('Inteligencia emocional'!A13)</f>
        <v>0</v>
      </c>
      <c r="D12" s="39" t="str">
        <f>'Por Valoracion (3) Dimension'!H12</f>
        <v>0</v>
      </c>
      <c r="E12" s="39" t="str">
        <f>'Por Valoracion (3) Dimension 2'!J12</f>
        <v>0</v>
      </c>
      <c r="G12" s="27" t="str">
        <f>CONCATENATE("en la ",G8," y basándose en la prueba de ",F364," se puede observar que, ","con una probabilidad de error de ",D365,"% para la ",D363," ",D364," y ",E365,"% para la ",E363," ",E364,", ",G364,H364, " por tal motivo se procederá a utilizar ",I364,".")</f>
        <v>0</v>
      </c>
      <c r="O12" s="12"/>
      <c r="P12" s="12"/>
      <c r="Q12" s="42" t="str">
        <f>D3</f>
        <v>0</v>
      </c>
      <c r="R12" s="42" t="str">
        <f>E3</f>
        <v>0</v>
      </c>
      <c r="T12" s="12"/>
      <c r="U12" s="12"/>
      <c r="V12" s="12"/>
      <c r="W12" s="42" t="str">
        <f>D3</f>
        <v>0</v>
      </c>
      <c r="X12" s="42" t="str">
        <f>E3</f>
        <v>0</v>
      </c>
      <c r="Z12" s="50"/>
    </row>
    <row r="13" spans="1:26">
      <c r="A13" s="50"/>
      <c r="C13" t="str">
        <f>('Inteligencia emocional'!A14)</f>
        <v>0</v>
      </c>
      <c r="D13" s="39" t="str">
        <f>'Por Valoracion (3) Dimension'!H13</f>
        <v>0</v>
      </c>
      <c r="E13" s="39" t="str">
        <f>'Por Valoracion (3) Dimension 2'!J13</f>
        <v>0</v>
      </c>
      <c r="O13" s="41" t="str">
        <f>D3</f>
        <v>0</v>
      </c>
      <c r="P13" s="44" t="s">
        <v>646</v>
      </c>
      <c r="T13" s="44" t="s">
        <v>647</v>
      </c>
      <c r="U13" s="41" t="str">
        <f>D3</f>
        <v>0</v>
      </c>
      <c r="V13" s="44" t="s">
        <v>648</v>
      </c>
      <c r="Z13" s="50"/>
    </row>
    <row r="14" spans="1:26">
      <c r="A14" s="50"/>
      <c r="C14" t="str">
        <f>('Inteligencia emocional'!A15)</f>
        <v>0</v>
      </c>
      <c r="D14" s="39" t="str">
        <f>'Por Valoracion (3) Dimension'!H14</f>
        <v>0</v>
      </c>
      <c r="E14" s="39" t="str">
        <f>'Por Valoracion (3) Dimension 2'!J14</f>
        <v>0</v>
      </c>
      <c r="P14" s="44" t="s">
        <v>649</v>
      </c>
      <c r="V14" s="44" t="s">
        <v>649</v>
      </c>
      <c r="Z14" s="50"/>
    </row>
    <row r="15" spans="1:26">
      <c r="A15" s="50"/>
      <c r="C15" t="str">
        <f>('Inteligencia emocional'!A16)</f>
        <v>0</v>
      </c>
      <c r="D15" s="39" t="str">
        <f>'Por Valoracion (3) Dimension'!H15</f>
        <v>0</v>
      </c>
      <c r="E15" s="39" t="str">
        <f>'Por Valoracion (3) Dimension 2'!J15</f>
        <v>0</v>
      </c>
      <c r="P15" s="44" t="s">
        <v>650</v>
      </c>
      <c r="V15" s="44" t="s">
        <v>650</v>
      </c>
      <c r="Z15" s="50"/>
    </row>
    <row r="16" spans="1:26">
      <c r="A16" s="50"/>
      <c r="C16" t="str">
        <f>('Inteligencia emocional'!A17)</f>
        <v>0</v>
      </c>
      <c r="D16" s="39" t="str">
        <f>'Por Valoracion (3) Dimension'!H16</f>
        <v>0</v>
      </c>
      <c r="E16" s="39" t="str">
        <f>'Por Valoracion (3) Dimension 2'!J16</f>
        <v>0</v>
      </c>
      <c r="O16" s="41" t="str">
        <f>E3</f>
        <v>0</v>
      </c>
      <c r="P16" s="44" t="s">
        <v>646</v>
      </c>
      <c r="U16" s="41" t="str">
        <f>E3</f>
        <v>0</v>
      </c>
      <c r="V16" s="44" t="s">
        <v>648</v>
      </c>
      <c r="Z16" s="50"/>
    </row>
    <row r="17" spans="1:26">
      <c r="A17" s="50"/>
      <c r="C17" t="str">
        <f>('Inteligencia emocional'!A18)</f>
        <v>0</v>
      </c>
      <c r="D17" s="39" t="str">
        <f>'Por Valoracion (3) Dimension'!H17</f>
        <v>0</v>
      </c>
      <c r="E17" s="39" t="str">
        <f>'Por Valoracion (3) Dimension 2'!J17</f>
        <v>0</v>
      </c>
      <c r="P17" s="44" t="s">
        <v>649</v>
      </c>
      <c r="V17" s="44" t="s">
        <v>649</v>
      </c>
      <c r="Z17" s="50"/>
    </row>
    <row r="18" spans="1:26">
      <c r="A18" s="50"/>
      <c r="C18" t="str">
        <f>('Inteligencia emocional'!A19)</f>
        <v>0</v>
      </c>
      <c r="D18" s="39" t="str">
        <f>'Por Valoracion (3) Dimension'!H18</f>
        <v>0</v>
      </c>
      <c r="E18" s="39" t="str">
        <f>'Por Valoracion (3) Dimension 2'!J18</f>
        <v>0</v>
      </c>
      <c r="O18" s="12"/>
      <c r="P18" s="43" t="s">
        <v>650</v>
      </c>
      <c r="Q18" s="12"/>
      <c r="R18" s="12"/>
      <c r="T18" s="12"/>
      <c r="U18" s="12"/>
      <c r="V18" s="43" t="s">
        <v>650</v>
      </c>
      <c r="W18" s="12"/>
      <c r="X18" s="12"/>
      <c r="Z18" s="50"/>
    </row>
    <row r="19" spans="1:26">
      <c r="A19" s="50"/>
      <c r="C19" t="str">
        <f>('Inteligencia emocional'!A20)</f>
        <v>0</v>
      </c>
      <c r="D19" s="39" t="str">
        <f>'Por Valoracion (3) Dimension'!H19</f>
        <v>0</v>
      </c>
      <c r="E19" s="39" t="str">
        <f>'Por Valoracion (3) Dimension 2'!J19</f>
        <v>0</v>
      </c>
      <c r="O19" s="41" t="s">
        <v>651</v>
      </c>
      <c r="T19" s="41" t="s">
        <v>651</v>
      </c>
      <c r="Z19" s="50"/>
    </row>
    <row r="20" spans="1:26">
      <c r="A20" s="50"/>
      <c r="C20" t="str">
        <f>('Inteligencia emocional'!A21)</f>
        <v>0</v>
      </c>
      <c r="D20" s="39" t="str">
        <f>'Por Valoracion (3) Dimension'!H20</f>
        <v>0</v>
      </c>
      <c r="E20" s="39" t="str">
        <f>'Por Valoracion (3) Dimension 2'!J20</f>
        <v>0</v>
      </c>
      <c r="Z20" s="50"/>
    </row>
    <row r="21" spans="1:26">
      <c r="A21" s="50"/>
      <c r="C21" t="str">
        <f>('Inteligencia emocional'!A22)</f>
        <v>0</v>
      </c>
      <c r="D21" s="39" t="str">
        <f>'Por Valoracion (3) Dimension'!H21</f>
        <v>0</v>
      </c>
      <c r="E21" s="39" t="str">
        <f>'Por Valoracion (3) Dimension 2'!J21</f>
        <v>0</v>
      </c>
      <c r="Z21" s="50"/>
    </row>
    <row r="22" spans="1:26">
      <c r="A22" s="50"/>
      <c r="C22" t="str">
        <f>('Inteligencia emocional'!A23)</f>
        <v>0</v>
      </c>
      <c r="D22" s="39" t="str">
        <f>'Por Valoracion (3) Dimension'!H22</f>
        <v>0</v>
      </c>
      <c r="E22" s="39" t="str">
        <f>'Por Valoracion (3) Dimension 2'!J22</f>
        <v>0</v>
      </c>
      <c r="Z22" s="50"/>
    </row>
    <row r="23" spans="1:26">
      <c r="A23" s="50"/>
      <c r="C23" t="str">
        <f>('Inteligencia emocional'!A24)</f>
        <v>0</v>
      </c>
      <c r="D23" s="39" t="str">
        <f>'Por Valoracion (3) Dimension'!H23</f>
        <v>0</v>
      </c>
      <c r="E23" s="39" t="str">
        <f>'Por Valoracion (3) Dimension 2'!J23</f>
        <v>0</v>
      </c>
      <c r="Z23" s="50"/>
    </row>
    <row r="24" spans="1:26">
      <c r="A24" s="50"/>
      <c r="C24" t="str">
        <f>('Inteligencia emocional'!A25)</f>
        <v>0</v>
      </c>
      <c r="D24" s="39" t="str">
        <f>'Por Valoracion (3) Dimension'!H24</f>
        <v>0</v>
      </c>
      <c r="E24" s="39" t="str">
        <f>'Por Valoracion (3) Dimension 2'!J24</f>
        <v>0</v>
      </c>
      <c r="Z24" s="50"/>
    </row>
    <row r="25" spans="1:26">
      <c r="A25" s="50"/>
      <c r="C25" t="str">
        <f>('Inteligencia emocional'!A26)</f>
        <v>0</v>
      </c>
      <c r="D25" s="39" t="str">
        <f>'Por Valoracion (3) Dimension'!H25</f>
        <v>0</v>
      </c>
      <c r="E25" s="39" t="str">
        <f>'Por Valoracion (3) Dimension 2'!J25</f>
        <v>0</v>
      </c>
      <c r="Z25" s="50"/>
    </row>
    <row r="26" spans="1:26">
      <c r="A26" s="50"/>
      <c r="C26" t="str">
        <f>('Inteligencia emocional'!A27)</f>
        <v>0</v>
      </c>
      <c r="D26" s="39" t="str">
        <f>'Por Valoracion (3) Dimension'!H26</f>
        <v>0</v>
      </c>
      <c r="E26" s="39" t="str">
        <f>'Por Valoracion (3) Dimension 2'!J26</f>
        <v>0</v>
      </c>
      <c r="Z26" s="50"/>
    </row>
    <row r="27" spans="1:26">
      <c r="A27" s="50"/>
      <c r="C27" t="str">
        <f>('Inteligencia emocional'!A28)</f>
        <v>0</v>
      </c>
      <c r="D27" s="39" t="str">
        <f>'Por Valoracion (3) Dimension'!H27</f>
        <v>0</v>
      </c>
      <c r="E27" s="39" t="str">
        <f>'Por Valoracion (3) Dimension 2'!J27</f>
        <v>0</v>
      </c>
      <c r="Z27" s="50"/>
    </row>
    <row r="28" spans="1:26">
      <c r="A28" s="50"/>
      <c r="C28" t="str">
        <f>('Inteligencia emocional'!A29)</f>
        <v>0</v>
      </c>
      <c r="D28" s="39" t="str">
        <f>'Por Valoracion (3) Dimension'!H28</f>
        <v>0</v>
      </c>
      <c r="E28" s="39" t="str">
        <f>'Por Valoracion (3) Dimension 2'!J28</f>
        <v>0</v>
      </c>
      <c r="Z28" s="50"/>
    </row>
    <row r="29" spans="1:26">
      <c r="A29" s="50"/>
      <c r="C29" t="str">
        <f>('Inteligencia emocional'!A30)</f>
        <v>0</v>
      </c>
      <c r="D29" s="39" t="str">
        <f>'Por Valoracion (3) Dimension'!H29</f>
        <v>0</v>
      </c>
      <c r="E29" s="39" t="str">
        <f>'Por Valoracion (3) Dimension 2'!J29</f>
        <v>0</v>
      </c>
      <c r="Z29" s="50"/>
    </row>
    <row r="30" spans="1:26">
      <c r="A30" s="50"/>
      <c r="C30" t="str">
        <f>('Inteligencia emocional'!A31)</f>
        <v>0</v>
      </c>
      <c r="D30" s="39" t="str">
        <f>'Por Valoracion (3) Dimension'!H30</f>
        <v>0</v>
      </c>
      <c r="E30" s="39" t="str">
        <f>'Por Valoracion (3) Dimension 2'!J30</f>
        <v>0</v>
      </c>
      <c r="Z30" s="50"/>
    </row>
    <row r="31" spans="1:26">
      <c r="A31" s="50"/>
      <c r="C31" t="str">
        <f>('Inteligencia emocional'!A32)</f>
        <v>0</v>
      </c>
      <c r="D31" s="39" t="str">
        <f>'Por Valoracion (3) Dimension'!H31</f>
        <v>0</v>
      </c>
      <c r="E31" s="39" t="str">
        <f>'Por Valoracion (3) Dimension 2'!J31</f>
        <v>0</v>
      </c>
      <c r="Z31" s="50"/>
    </row>
    <row r="32" spans="1:26">
      <c r="A32" s="50"/>
      <c r="C32" t="str">
        <f>('Inteligencia emocional'!A33)</f>
        <v>0</v>
      </c>
      <c r="D32" s="39" t="str">
        <f>'Por Valoracion (3) Dimension'!H32</f>
        <v>0</v>
      </c>
      <c r="E32" s="39" t="str">
        <f>'Por Valoracion (3) Dimension 2'!J32</f>
        <v>0</v>
      </c>
      <c r="Z32" s="50"/>
    </row>
    <row r="33" spans="1:26">
      <c r="A33" s="50"/>
      <c r="C33" t="str">
        <f>('Inteligencia emocional'!A34)</f>
        <v>0</v>
      </c>
      <c r="D33" s="39" t="str">
        <f>'Por Valoracion (3) Dimension'!H33</f>
        <v>0</v>
      </c>
      <c r="E33" s="39" t="str">
        <f>'Por Valoracion (3) Dimension 2'!J33</f>
        <v>0</v>
      </c>
      <c r="Z33" s="50"/>
    </row>
    <row r="34" spans="1:26">
      <c r="A34" s="50"/>
      <c r="C34" t="str">
        <f>('Inteligencia emocional'!A35)</f>
        <v>0</v>
      </c>
      <c r="D34" s="39" t="str">
        <f>'Por Valoracion (3) Dimension'!H34</f>
        <v>0</v>
      </c>
      <c r="E34" s="39" t="str">
        <f>'Por Valoracion (3) Dimension 2'!J34</f>
        <v>0</v>
      </c>
      <c r="Z34" s="50"/>
    </row>
    <row r="35" spans="1:26">
      <c r="A35" s="50"/>
      <c r="C35" t="str">
        <f>('Inteligencia emocional'!A36)</f>
        <v>0</v>
      </c>
      <c r="D35" s="39" t="str">
        <f>'Por Valoracion (3) Dimension'!H35</f>
        <v>0</v>
      </c>
      <c r="E35" s="39" t="str">
        <f>'Por Valoracion (3) Dimension 2'!J35</f>
        <v>0</v>
      </c>
      <c r="Z35" s="50"/>
    </row>
    <row r="36" spans="1:26">
      <c r="A36" s="50"/>
      <c r="C36" t="str">
        <f>('Inteligencia emocional'!A37)</f>
        <v>0</v>
      </c>
      <c r="D36" s="39" t="str">
        <f>'Por Valoracion (3) Dimension'!H36</f>
        <v>0</v>
      </c>
      <c r="E36" s="39" t="str">
        <f>'Por Valoracion (3) Dimension 2'!J36</f>
        <v>0</v>
      </c>
      <c r="Z36" s="50"/>
    </row>
    <row r="37" spans="1:26">
      <c r="A37" s="50"/>
      <c r="C37" t="str">
        <f>('Inteligencia emocional'!A38)</f>
        <v>0</v>
      </c>
      <c r="D37" s="39" t="str">
        <f>'Por Valoracion (3) Dimension'!H37</f>
        <v>0</v>
      </c>
      <c r="E37" s="39" t="str">
        <f>'Por Valoracion (3) Dimension 2'!J37</f>
        <v>0</v>
      </c>
      <c r="Z37" s="50"/>
    </row>
    <row r="38" spans="1:26">
      <c r="A38" s="50"/>
      <c r="C38" t="str">
        <f>('Inteligencia emocional'!A39)</f>
        <v>0</v>
      </c>
      <c r="D38" s="39" t="str">
        <f>'Por Valoracion (3) Dimension'!H38</f>
        <v>0</v>
      </c>
      <c r="E38" s="39" t="str">
        <f>'Por Valoracion (3) Dimension 2'!J38</f>
        <v>0</v>
      </c>
      <c r="Z38" s="50"/>
    </row>
    <row r="39" spans="1:26">
      <c r="A39" s="50"/>
      <c r="C39" t="str">
        <f>('Inteligencia emocional'!A40)</f>
        <v>0</v>
      </c>
      <c r="D39" s="39" t="str">
        <f>'Por Valoracion (3) Dimension'!H39</f>
        <v>0</v>
      </c>
      <c r="E39" s="39" t="str">
        <f>'Por Valoracion (3) Dimension 2'!J39</f>
        <v>0</v>
      </c>
      <c r="Z39" s="50"/>
    </row>
    <row r="40" spans="1:26">
      <c r="A40" s="50"/>
      <c r="C40" t="str">
        <f>('Inteligencia emocional'!A41)</f>
        <v>0</v>
      </c>
      <c r="D40" s="39" t="str">
        <f>'Por Valoracion (3) Dimension'!H40</f>
        <v>0</v>
      </c>
      <c r="E40" s="39" t="str">
        <f>'Por Valoracion (3) Dimension 2'!J40</f>
        <v>0</v>
      </c>
      <c r="Z40" s="50"/>
    </row>
    <row r="41" spans="1:26">
      <c r="A41" s="50"/>
      <c r="C41" t="str">
        <f>('Inteligencia emocional'!A42)</f>
        <v>0</v>
      </c>
      <c r="D41" s="39" t="str">
        <f>'Por Valoracion (3) Dimension'!H41</f>
        <v>0</v>
      </c>
      <c r="E41" s="39" t="str">
        <f>'Por Valoracion (3) Dimension 2'!J41</f>
        <v>0</v>
      </c>
      <c r="Z41" s="50"/>
    </row>
    <row r="42" spans="1:26">
      <c r="A42" s="50"/>
      <c r="C42" t="str">
        <f>('Inteligencia emocional'!A43)</f>
        <v>0</v>
      </c>
      <c r="D42" s="39" t="str">
        <f>'Por Valoracion (3) Dimension'!H42</f>
        <v>0</v>
      </c>
      <c r="E42" s="39" t="str">
        <f>'Por Valoracion (3) Dimension 2'!J42</f>
        <v>0</v>
      </c>
      <c r="Z42" s="50"/>
    </row>
    <row r="43" spans="1:26">
      <c r="A43" s="50"/>
      <c r="C43" t="str">
        <f>('Inteligencia emocional'!A44)</f>
        <v>0</v>
      </c>
      <c r="D43" s="39" t="str">
        <f>'Por Valoracion (3) Dimension'!H43</f>
        <v>0</v>
      </c>
      <c r="E43" s="39" t="str">
        <f>'Por Valoracion (3) Dimension 2'!J43</f>
        <v>0</v>
      </c>
      <c r="Z43" s="50"/>
    </row>
    <row r="44" spans="1:26">
      <c r="A44" s="50"/>
      <c r="C44" t="str">
        <f>('Inteligencia emocional'!A45)</f>
        <v>0</v>
      </c>
      <c r="D44" s="39" t="str">
        <f>'Por Valoracion (3) Dimension'!H44</f>
        <v>0</v>
      </c>
      <c r="E44" s="39" t="str">
        <f>'Por Valoracion (3) Dimension 2'!J44</f>
        <v>0</v>
      </c>
      <c r="Z44" s="50"/>
    </row>
    <row r="45" spans="1:26">
      <c r="A45" s="50"/>
      <c r="C45" t="str">
        <f>('Inteligencia emocional'!A46)</f>
        <v>0</v>
      </c>
      <c r="D45" s="39" t="str">
        <f>'Por Valoracion (3) Dimension'!H45</f>
        <v>0</v>
      </c>
      <c r="E45" s="39" t="str">
        <f>'Por Valoracion (3) Dimension 2'!J45</f>
        <v>0</v>
      </c>
      <c r="Z45" s="50"/>
    </row>
    <row r="46" spans="1:26">
      <c r="A46" s="50"/>
      <c r="C46" t="str">
        <f>('Inteligencia emocional'!A47)</f>
        <v>0</v>
      </c>
      <c r="D46" s="39" t="str">
        <f>'Por Valoracion (3) Dimension'!H46</f>
        <v>0</v>
      </c>
      <c r="E46" s="39" t="str">
        <f>'Por Valoracion (3) Dimension 2'!J46</f>
        <v>0</v>
      </c>
      <c r="Z46" s="50"/>
    </row>
    <row r="47" spans="1:26">
      <c r="A47" s="50"/>
      <c r="C47" t="str">
        <f>('Inteligencia emocional'!A48)</f>
        <v>0</v>
      </c>
      <c r="D47" s="39" t="str">
        <f>'Por Valoracion (3) Dimension'!H47</f>
        <v>0</v>
      </c>
      <c r="E47" s="39" t="str">
        <f>'Por Valoracion (3) Dimension 2'!J47</f>
        <v>0</v>
      </c>
      <c r="Z47" s="50"/>
    </row>
    <row r="48" spans="1:26">
      <c r="A48" s="50"/>
      <c r="C48" t="str">
        <f>('Inteligencia emocional'!A49)</f>
        <v>0</v>
      </c>
      <c r="D48" s="39" t="str">
        <f>'Por Valoracion (3) Dimension'!H48</f>
        <v>0</v>
      </c>
      <c r="E48" s="39" t="str">
        <f>'Por Valoracion (3) Dimension 2'!J48</f>
        <v>0</v>
      </c>
      <c r="Z48" s="50"/>
    </row>
    <row r="49" spans="1:26">
      <c r="A49" s="50"/>
      <c r="C49" t="str">
        <f>('Inteligencia emocional'!A50)</f>
        <v>0</v>
      </c>
      <c r="D49" s="39" t="str">
        <f>'Por Valoracion (3) Dimension'!H49</f>
        <v>0</v>
      </c>
      <c r="E49" s="39" t="str">
        <f>'Por Valoracion (3) Dimension 2'!J49</f>
        <v>0</v>
      </c>
      <c r="Z49" s="50"/>
    </row>
    <row r="50" spans="1:26">
      <c r="A50" s="50"/>
      <c r="C50" t="str">
        <f>('Inteligencia emocional'!A51)</f>
        <v>0</v>
      </c>
      <c r="D50" s="39" t="str">
        <f>'Por Valoracion (3) Dimension'!H50</f>
        <v>0</v>
      </c>
      <c r="E50" s="39" t="str">
        <f>'Por Valoracion (3) Dimension 2'!J50</f>
        <v>0</v>
      </c>
      <c r="Z50" s="50"/>
    </row>
    <row r="51" spans="1:26">
      <c r="A51" s="50"/>
      <c r="C51" t="str">
        <f>('Inteligencia emocional'!A52)</f>
        <v>0</v>
      </c>
      <c r="D51" s="39" t="str">
        <f>'Por Valoracion (3) Dimension'!H51</f>
        <v>0</v>
      </c>
      <c r="E51" s="39" t="str">
        <f>'Por Valoracion (3) Dimension 2'!J51</f>
        <v>0</v>
      </c>
      <c r="Z51" s="50"/>
    </row>
    <row r="52" spans="1:26">
      <c r="A52" s="50"/>
      <c r="C52" t="str">
        <f>('Inteligencia emocional'!A53)</f>
        <v>0</v>
      </c>
      <c r="D52" s="39" t="str">
        <f>'Por Valoracion (3) Dimension'!H52</f>
        <v>0</v>
      </c>
      <c r="E52" s="39" t="str">
        <f>'Por Valoracion (3) Dimension 2'!J52</f>
        <v>0</v>
      </c>
      <c r="Z52" s="50"/>
    </row>
    <row r="53" spans="1:26">
      <c r="A53" s="50"/>
      <c r="C53" t="str">
        <f>('Inteligencia emocional'!A54)</f>
        <v>0</v>
      </c>
      <c r="D53" s="39" t="str">
        <f>'Por Valoracion (3) Dimension'!H53</f>
        <v>0</v>
      </c>
      <c r="E53" s="39" t="str">
        <f>'Por Valoracion (3) Dimension 2'!J53</f>
        <v>0</v>
      </c>
      <c r="Z53" s="50"/>
    </row>
    <row r="54" spans="1:26">
      <c r="A54" s="50"/>
      <c r="C54" t="str">
        <f>('Inteligencia emocional'!A55)</f>
        <v>0</v>
      </c>
      <c r="D54" s="39" t="str">
        <f>'Por Valoracion (3) Dimension'!H54</f>
        <v>0</v>
      </c>
      <c r="E54" s="39" t="str">
        <f>'Por Valoracion (3) Dimension 2'!J54</f>
        <v>0</v>
      </c>
      <c r="Z54" s="50"/>
    </row>
    <row r="55" spans="1:26">
      <c r="A55" s="50"/>
      <c r="C55" t="str">
        <f>('Inteligencia emocional'!A56)</f>
        <v>0</v>
      </c>
      <c r="D55" s="39" t="str">
        <f>'Por Valoracion (3) Dimension'!H55</f>
        <v>0</v>
      </c>
      <c r="E55" s="39" t="str">
        <f>'Por Valoracion (3) Dimension 2'!J55</f>
        <v>0</v>
      </c>
      <c r="Z55" s="50"/>
    </row>
    <row r="56" spans="1:26">
      <c r="A56" s="50"/>
      <c r="C56" t="str">
        <f>('Inteligencia emocional'!A57)</f>
        <v>0</v>
      </c>
      <c r="D56" s="39" t="str">
        <f>'Por Valoracion (3) Dimension'!H56</f>
        <v>0</v>
      </c>
      <c r="E56" s="39" t="str">
        <f>'Por Valoracion (3) Dimension 2'!J56</f>
        <v>0</v>
      </c>
      <c r="Z56" s="50"/>
    </row>
    <row r="57" spans="1:26">
      <c r="A57" s="50"/>
      <c r="C57" t="str">
        <f>('Inteligencia emocional'!A58)</f>
        <v>0</v>
      </c>
      <c r="D57" s="39" t="str">
        <f>'Por Valoracion (3) Dimension'!H57</f>
        <v>0</v>
      </c>
      <c r="E57" s="39" t="str">
        <f>'Por Valoracion (3) Dimension 2'!J57</f>
        <v>0</v>
      </c>
      <c r="Z57" s="50"/>
    </row>
    <row r="58" spans="1:26">
      <c r="A58" s="50"/>
      <c r="C58" t="str">
        <f>('Inteligencia emocional'!A59)</f>
        <v>0</v>
      </c>
      <c r="D58" s="39" t="str">
        <f>'Por Valoracion (3) Dimension'!H58</f>
        <v>0</v>
      </c>
      <c r="E58" s="39" t="str">
        <f>'Por Valoracion (3) Dimension 2'!J58</f>
        <v>0</v>
      </c>
      <c r="Z58" s="50"/>
    </row>
    <row r="59" spans="1:26">
      <c r="A59" s="50"/>
      <c r="C59" t="str">
        <f>('Inteligencia emocional'!A60)</f>
        <v>0</v>
      </c>
      <c r="D59" s="39" t="str">
        <f>'Por Valoracion (3) Dimension'!H59</f>
        <v>0</v>
      </c>
      <c r="E59" s="39" t="str">
        <f>'Por Valoracion (3) Dimension 2'!J59</f>
        <v>0</v>
      </c>
      <c r="Z59" s="50"/>
    </row>
    <row r="60" spans="1:26">
      <c r="A60" s="50"/>
      <c r="C60" t="str">
        <f>('Inteligencia emocional'!A61)</f>
        <v>0</v>
      </c>
      <c r="D60" s="39" t="str">
        <f>'Por Valoracion (3) Dimension'!H60</f>
        <v>0</v>
      </c>
      <c r="E60" s="39" t="str">
        <f>'Por Valoracion (3) Dimension 2'!J60</f>
        <v>0</v>
      </c>
      <c r="Z60" s="50"/>
    </row>
    <row r="61" spans="1:26">
      <c r="A61" s="50"/>
      <c r="C61" t="str">
        <f>('Inteligencia emocional'!A62)</f>
        <v>0</v>
      </c>
      <c r="D61" s="39" t="str">
        <f>'Por Valoracion (3) Dimension'!H61</f>
        <v>0</v>
      </c>
      <c r="E61" s="39" t="str">
        <f>'Por Valoracion (3) Dimension 2'!J61</f>
        <v>0</v>
      </c>
      <c r="Z61" s="50"/>
    </row>
    <row r="62" spans="1:26">
      <c r="A62" s="50"/>
      <c r="C62" t="str">
        <f>('Inteligencia emocional'!A63)</f>
        <v>0</v>
      </c>
      <c r="D62" s="39" t="str">
        <f>'Por Valoracion (3) Dimension'!H62</f>
        <v>0</v>
      </c>
      <c r="E62" s="39" t="str">
        <f>'Por Valoracion (3) Dimension 2'!J62</f>
        <v>0</v>
      </c>
      <c r="Z62" s="50"/>
    </row>
    <row r="63" spans="1:26">
      <c r="A63" s="50"/>
      <c r="C63" t="str">
        <f>('Inteligencia emocional'!A64)</f>
        <v>0</v>
      </c>
      <c r="D63" s="39" t="str">
        <f>'Por Valoracion (3) Dimension'!H63</f>
        <v>0</v>
      </c>
      <c r="E63" s="39" t="str">
        <f>'Por Valoracion (3) Dimension 2'!J63</f>
        <v>0</v>
      </c>
      <c r="Z63" s="50"/>
    </row>
    <row r="64" spans="1:26">
      <c r="A64" s="50"/>
      <c r="C64" t="str">
        <f>('Inteligencia emocional'!A65)</f>
        <v>0</v>
      </c>
      <c r="D64" s="39" t="str">
        <f>'Por Valoracion (3) Dimension'!H64</f>
        <v>0</v>
      </c>
      <c r="E64" s="39" t="str">
        <f>'Por Valoracion (3) Dimension 2'!J64</f>
        <v>0</v>
      </c>
      <c r="Z64" s="50"/>
    </row>
    <row r="65" spans="1:26">
      <c r="A65" s="50"/>
      <c r="C65" t="str">
        <f>('Inteligencia emocional'!A66)</f>
        <v>0</v>
      </c>
      <c r="D65" s="39" t="str">
        <f>'Por Valoracion (3) Dimension'!H65</f>
        <v>0</v>
      </c>
      <c r="E65" s="39" t="str">
        <f>'Por Valoracion (3) Dimension 2'!J65</f>
        <v>0</v>
      </c>
      <c r="Z65" s="50"/>
    </row>
    <row r="66" spans="1:26">
      <c r="A66" s="50"/>
      <c r="C66" t="str">
        <f>('Inteligencia emocional'!A67)</f>
        <v>0</v>
      </c>
      <c r="D66" s="39" t="str">
        <f>'Por Valoracion (3) Dimension'!H66</f>
        <v>0</v>
      </c>
      <c r="E66" s="39" t="str">
        <f>'Por Valoracion (3) Dimension 2'!J66</f>
        <v>0</v>
      </c>
      <c r="Z66" s="50"/>
    </row>
    <row r="67" spans="1:26">
      <c r="A67" s="50"/>
      <c r="C67" t="str">
        <f>('Inteligencia emocional'!A68)</f>
        <v>0</v>
      </c>
      <c r="D67" s="39" t="str">
        <f>'Por Valoracion (3) Dimension'!H67</f>
        <v>0</v>
      </c>
      <c r="E67" s="39" t="str">
        <f>'Por Valoracion (3) Dimension 2'!J67</f>
        <v>0</v>
      </c>
      <c r="Z67" s="50"/>
    </row>
    <row r="68" spans="1:26">
      <c r="A68" s="50"/>
      <c r="C68" t="str">
        <f>('Inteligencia emocional'!A69)</f>
        <v>0</v>
      </c>
      <c r="D68" s="39" t="str">
        <f>'Por Valoracion (3) Dimension'!H68</f>
        <v>0</v>
      </c>
      <c r="E68" s="39" t="str">
        <f>'Por Valoracion (3) Dimension 2'!J68</f>
        <v>0</v>
      </c>
      <c r="Z68" s="50"/>
    </row>
    <row r="69" spans="1:26">
      <c r="A69" s="50"/>
      <c r="C69" t="str">
        <f>('Inteligencia emocional'!A70)</f>
        <v>0</v>
      </c>
      <c r="D69" s="39" t="str">
        <f>'Por Valoracion (3) Dimension'!H69</f>
        <v>0</v>
      </c>
      <c r="E69" s="39" t="str">
        <f>'Por Valoracion (3) Dimension 2'!J69</f>
        <v>0</v>
      </c>
      <c r="Z69" s="50"/>
    </row>
    <row r="70" spans="1:26">
      <c r="A70" s="50"/>
      <c r="C70" t="str">
        <f>('Inteligencia emocional'!A71)</f>
        <v>0</v>
      </c>
      <c r="D70" s="39" t="str">
        <f>'Por Valoracion (3) Dimension'!H70</f>
        <v>0</v>
      </c>
      <c r="E70" s="39" t="str">
        <f>'Por Valoracion (3) Dimension 2'!J70</f>
        <v>0</v>
      </c>
      <c r="Z70" s="50"/>
    </row>
    <row r="71" spans="1:26">
      <c r="A71" s="50"/>
      <c r="C71" t="str">
        <f>('Inteligencia emocional'!A72)</f>
        <v>0</v>
      </c>
      <c r="D71" s="39" t="str">
        <f>'Por Valoracion (3) Dimension'!H71</f>
        <v>0</v>
      </c>
      <c r="E71" s="39" t="str">
        <f>'Por Valoracion (3) Dimension 2'!J71</f>
        <v>0</v>
      </c>
      <c r="Z71" s="50"/>
    </row>
    <row r="72" spans="1:26">
      <c r="A72" s="50"/>
      <c r="C72" t="str">
        <f>('Inteligencia emocional'!A73)</f>
        <v>0</v>
      </c>
      <c r="D72" s="39" t="str">
        <f>'Por Valoracion (3) Dimension'!H72</f>
        <v>0</v>
      </c>
      <c r="E72" s="39" t="str">
        <f>'Por Valoracion (3) Dimension 2'!J72</f>
        <v>0</v>
      </c>
      <c r="Z72" s="50"/>
    </row>
    <row r="73" spans="1:26">
      <c r="A73" s="50"/>
      <c r="C73" t="str">
        <f>('Inteligencia emocional'!A74)</f>
        <v>0</v>
      </c>
      <c r="D73" s="39" t="str">
        <f>'Por Valoracion (3) Dimension'!H73</f>
        <v>0</v>
      </c>
      <c r="E73" s="39" t="str">
        <f>'Por Valoracion (3) Dimension 2'!J73</f>
        <v>0</v>
      </c>
      <c r="Z73" s="50"/>
    </row>
    <row r="74" spans="1:26">
      <c r="A74" s="50"/>
      <c r="C74" t="str">
        <f>('Inteligencia emocional'!A75)</f>
        <v>0</v>
      </c>
      <c r="D74" s="39" t="str">
        <f>'Por Valoracion (3) Dimension'!H74</f>
        <v>0</v>
      </c>
      <c r="E74" s="39" t="str">
        <f>'Por Valoracion (3) Dimension 2'!J74</f>
        <v>0</v>
      </c>
      <c r="Z74" s="50"/>
    </row>
    <row r="75" spans="1:26">
      <c r="A75" s="50"/>
      <c r="C75" t="str">
        <f>('Inteligencia emocional'!A76)</f>
        <v>0</v>
      </c>
      <c r="D75" s="39" t="str">
        <f>'Por Valoracion (3) Dimension'!H75</f>
        <v>0</v>
      </c>
      <c r="E75" s="39" t="str">
        <f>'Por Valoracion (3) Dimension 2'!J75</f>
        <v>0</v>
      </c>
      <c r="Z75" s="50"/>
    </row>
    <row r="76" spans="1:26">
      <c r="A76" s="50"/>
      <c r="C76" t="str">
        <f>('Inteligencia emocional'!A77)</f>
        <v>0</v>
      </c>
      <c r="D76" s="39" t="str">
        <f>'Por Valoracion (3) Dimension'!H76</f>
        <v>0</v>
      </c>
      <c r="E76" s="39" t="str">
        <f>'Por Valoracion (3) Dimension 2'!J76</f>
        <v>0</v>
      </c>
      <c r="Z76" s="50"/>
    </row>
    <row r="77" spans="1:26">
      <c r="A77" s="50"/>
      <c r="C77" t="str">
        <f>('Inteligencia emocional'!A78)</f>
        <v>0</v>
      </c>
      <c r="D77" s="39" t="str">
        <f>'Por Valoracion (3) Dimension'!H77</f>
        <v>0</v>
      </c>
      <c r="E77" s="39" t="str">
        <f>'Por Valoracion (3) Dimension 2'!J77</f>
        <v>0</v>
      </c>
      <c r="Z77" s="50"/>
    </row>
    <row r="78" spans="1:26">
      <c r="A78" s="50"/>
      <c r="C78" t="str">
        <f>('Inteligencia emocional'!A79)</f>
        <v>0</v>
      </c>
      <c r="D78" s="39" t="str">
        <f>'Por Valoracion (3) Dimension'!H78</f>
        <v>0</v>
      </c>
      <c r="E78" s="39" t="str">
        <f>'Por Valoracion (3) Dimension 2'!J78</f>
        <v>0</v>
      </c>
      <c r="Z78" s="50"/>
    </row>
    <row r="79" spans="1:26">
      <c r="A79" s="50"/>
      <c r="C79" t="str">
        <f>('Inteligencia emocional'!A80)</f>
        <v>0</v>
      </c>
      <c r="D79" s="39" t="str">
        <f>'Por Valoracion (3) Dimension'!H79</f>
        <v>0</v>
      </c>
      <c r="E79" s="39" t="str">
        <f>'Por Valoracion (3) Dimension 2'!J79</f>
        <v>0</v>
      </c>
      <c r="Z79" s="50"/>
    </row>
    <row r="80" spans="1:26">
      <c r="A80" s="50"/>
      <c r="C80" t="str">
        <f>('Inteligencia emocional'!A81)</f>
        <v>0</v>
      </c>
      <c r="D80" s="39" t="str">
        <f>'Por Valoracion (3) Dimension'!H80</f>
        <v>0</v>
      </c>
      <c r="E80" s="39" t="str">
        <f>'Por Valoracion (3) Dimension 2'!J80</f>
        <v>0</v>
      </c>
      <c r="Z80" s="50"/>
    </row>
    <row r="81" spans="1:26">
      <c r="A81" s="50"/>
      <c r="C81" t="str">
        <f>('Inteligencia emocional'!A82)</f>
        <v>0</v>
      </c>
      <c r="D81" s="39" t="str">
        <f>'Por Valoracion (3) Dimension'!H81</f>
        <v>0</v>
      </c>
      <c r="E81" s="39" t="str">
        <f>'Por Valoracion (3) Dimension 2'!J81</f>
        <v>0</v>
      </c>
      <c r="Z81" s="50"/>
    </row>
    <row r="82" spans="1:26">
      <c r="A82" s="50"/>
      <c r="C82" t="str">
        <f>('Inteligencia emocional'!A83)</f>
        <v>0</v>
      </c>
      <c r="D82" s="39" t="str">
        <f>'Por Valoracion (3) Dimension'!H82</f>
        <v>0</v>
      </c>
      <c r="E82" s="39" t="str">
        <f>'Por Valoracion (3) Dimension 2'!J82</f>
        <v>0</v>
      </c>
      <c r="Z82" s="50"/>
    </row>
    <row r="83" spans="1:26">
      <c r="A83" s="50"/>
      <c r="C83" t="str">
        <f>('Inteligencia emocional'!A84)</f>
        <v>0</v>
      </c>
      <c r="D83" s="39" t="str">
        <f>'Por Valoracion (3) Dimension'!H83</f>
        <v>0</v>
      </c>
      <c r="E83" s="39" t="str">
        <f>'Por Valoracion (3) Dimension 2'!J83</f>
        <v>0</v>
      </c>
      <c r="Z83" s="50"/>
    </row>
    <row r="84" spans="1:26">
      <c r="A84" s="50"/>
      <c r="C84" t="str">
        <f>('Inteligencia emocional'!A85)</f>
        <v>0</v>
      </c>
      <c r="D84" s="39" t="str">
        <f>'Por Valoracion (3) Dimension'!H84</f>
        <v>0</v>
      </c>
      <c r="E84" s="39" t="str">
        <f>'Por Valoracion (3) Dimension 2'!J84</f>
        <v>0</v>
      </c>
      <c r="Z84" s="50"/>
    </row>
    <row r="85" spans="1:26">
      <c r="A85" s="50"/>
      <c r="C85" t="str">
        <f>('Inteligencia emocional'!A86)</f>
        <v>0</v>
      </c>
      <c r="D85" s="39" t="str">
        <f>'Por Valoracion (3) Dimension'!H85</f>
        <v>0</v>
      </c>
      <c r="E85" s="39" t="str">
        <f>'Por Valoracion (3) Dimension 2'!J85</f>
        <v>0</v>
      </c>
      <c r="Z85" s="50"/>
    </row>
    <row r="86" spans="1:26">
      <c r="A86" s="50"/>
      <c r="C86" t="str">
        <f>('Inteligencia emocional'!A87)</f>
        <v>0</v>
      </c>
      <c r="D86" s="39" t="str">
        <f>'Por Valoracion (3) Dimension'!H86</f>
        <v>0</v>
      </c>
      <c r="E86" s="39" t="str">
        <f>'Por Valoracion (3) Dimension 2'!J86</f>
        <v>0</v>
      </c>
      <c r="Z86" s="50"/>
    </row>
    <row r="87" spans="1:26">
      <c r="A87" s="50"/>
      <c r="C87" t="str">
        <f>('Inteligencia emocional'!A88)</f>
        <v>0</v>
      </c>
      <c r="D87" s="39" t="str">
        <f>'Por Valoracion (3) Dimension'!H87</f>
        <v>0</v>
      </c>
      <c r="E87" s="39" t="str">
        <f>'Por Valoracion (3) Dimension 2'!J87</f>
        <v>0</v>
      </c>
      <c r="Z87" s="50"/>
    </row>
    <row r="88" spans="1:26">
      <c r="A88" s="50"/>
      <c r="C88" t="str">
        <f>('Inteligencia emocional'!A89)</f>
        <v>0</v>
      </c>
      <c r="D88" s="39" t="str">
        <f>'Por Valoracion (3) Dimension'!H88</f>
        <v>0</v>
      </c>
      <c r="E88" s="39" t="str">
        <f>'Por Valoracion (3) Dimension 2'!J88</f>
        <v>0</v>
      </c>
      <c r="Z88" s="50"/>
    </row>
    <row r="89" spans="1:26">
      <c r="A89" s="50"/>
      <c r="C89" t="str">
        <f>('Inteligencia emocional'!A90)</f>
        <v>0</v>
      </c>
      <c r="D89" s="39" t="str">
        <f>'Por Valoracion (3) Dimension'!H89</f>
        <v>0</v>
      </c>
      <c r="E89" s="39" t="str">
        <f>'Por Valoracion (3) Dimension 2'!J89</f>
        <v>0</v>
      </c>
      <c r="Z89" s="50"/>
    </row>
    <row r="90" spans="1:26">
      <c r="A90" s="50"/>
      <c r="C90" t="str">
        <f>('Inteligencia emocional'!A91)</f>
        <v>0</v>
      </c>
      <c r="D90" s="39" t="str">
        <f>'Por Valoracion (3) Dimension'!H90</f>
        <v>0</v>
      </c>
      <c r="E90" s="39" t="str">
        <f>'Por Valoracion (3) Dimension 2'!J90</f>
        <v>0</v>
      </c>
      <c r="Z90" s="50"/>
    </row>
    <row r="91" spans="1:26">
      <c r="A91" s="50"/>
      <c r="C91" t="str">
        <f>('Inteligencia emocional'!A92)</f>
        <v>0</v>
      </c>
      <c r="D91" s="39" t="str">
        <f>'Por Valoracion (3) Dimension'!H91</f>
        <v>0</v>
      </c>
      <c r="E91" s="39" t="str">
        <f>'Por Valoracion (3) Dimension 2'!J91</f>
        <v>0</v>
      </c>
      <c r="Z91" s="50"/>
    </row>
    <row r="92" spans="1:26">
      <c r="A92" s="50"/>
      <c r="C92" t="str">
        <f>('Inteligencia emocional'!A93)</f>
        <v>0</v>
      </c>
      <c r="D92" s="39" t="str">
        <f>'Por Valoracion (3) Dimension'!H92</f>
        <v>0</v>
      </c>
      <c r="E92" s="39" t="str">
        <f>'Por Valoracion (3) Dimension 2'!J92</f>
        <v>0</v>
      </c>
      <c r="Z92" s="50"/>
    </row>
    <row r="93" spans="1:26">
      <c r="A93" s="50"/>
      <c r="C93" t="str">
        <f>('Inteligencia emocional'!A94)</f>
        <v>0</v>
      </c>
      <c r="D93" s="39" t="str">
        <f>'Por Valoracion (3) Dimension'!H93</f>
        <v>0</v>
      </c>
      <c r="E93" s="39" t="str">
        <f>'Por Valoracion (3) Dimension 2'!J93</f>
        <v>0</v>
      </c>
      <c r="Z93" s="50"/>
    </row>
    <row r="94" spans="1:26">
      <c r="A94" s="50"/>
      <c r="C94" t="str">
        <f>('Inteligencia emocional'!A95)</f>
        <v>0</v>
      </c>
      <c r="D94" s="39" t="str">
        <f>'Por Valoracion (3) Dimension'!H94</f>
        <v>0</v>
      </c>
      <c r="E94" s="39" t="str">
        <f>'Por Valoracion (3) Dimension 2'!J94</f>
        <v>0</v>
      </c>
      <c r="Z94" s="50"/>
    </row>
    <row r="95" spans="1:26">
      <c r="A95" s="50"/>
      <c r="C95" t="str">
        <f>('Inteligencia emocional'!A96)</f>
        <v>0</v>
      </c>
      <c r="D95" s="39" t="str">
        <f>'Por Valoracion (3) Dimension'!H95</f>
        <v>0</v>
      </c>
      <c r="E95" s="39" t="str">
        <f>'Por Valoracion (3) Dimension 2'!J95</f>
        <v>0</v>
      </c>
      <c r="Z95" s="50"/>
    </row>
    <row r="96" spans="1:26">
      <c r="A96" s="50"/>
      <c r="C96" t="str">
        <f>('Inteligencia emocional'!A97)</f>
        <v>0</v>
      </c>
      <c r="D96" s="39" t="str">
        <f>'Por Valoracion (3) Dimension'!H96</f>
        <v>0</v>
      </c>
      <c r="E96" s="39" t="str">
        <f>'Por Valoracion (3) Dimension 2'!J96</f>
        <v>0</v>
      </c>
      <c r="Z96" s="50"/>
    </row>
    <row r="97" spans="1:26">
      <c r="A97" s="50"/>
      <c r="C97" t="str">
        <f>('Inteligencia emocional'!A98)</f>
        <v>0</v>
      </c>
      <c r="D97" s="39" t="str">
        <f>'Por Valoracion (3) Dimension'!H97</f>
        <v>0</v>
      </c>
      <c r="E97" s="39" t="str">
        <f>'Por Valoracion (3) Dimension 2'!J97</f>
        <v>0</v>
      </c>
      <c r="Z97" s="50"/>
    </row>
    <row r="98" spans="1:26">
      <c r="A98" s="50"/>
      <c r="C98" t="str">
        <f>('Inteligencia emocional'!A99)</f>
        <v>0</v>
      </c>
      <c r="D98" s="39" t="str">
        <f>'Por Valoracion (3) Dimension'!H98</f>
        <v>0</v>
      </c>
      <c r="E98" s="39" t="str">
        <f>'Por Valoracion (3) Dimension 2'!J98</f>
        <v>0</v>
      </c>
      <c r="Z98" s="50"/>
    </row>
    <row r="99" spans="1:26">
      <c r="A99" s="50"/>
      <c r="C99" t="str">
        <f>('Inteligencia emocional'!A100)</f>
        <v>0</v>
      </c>
      <c r="D99" s="39" t="str">
        <f>'Por Valoracion (3) Dimension'!H99</f>
        <v>0</v>
      </c>
      <c r="E99" s="39" t="str">
        <f>'Por Valoracion (3) Dimension 2'!J99</f>
        <v>0</v>
      </c>
      <c r="Z99" s="50"/>
    </row>
    <row r="100" spans="1:26">
      <c r="A100" s="50"/>
      <c r="C100" t="str">
        <f>('Inteligencia emocional'!A101)</f>
        <v>0</v>
      </c>
      <c r="D100" s="39" t="str">
        <f>'Por Valoracion (3) Dimension'!H100</f>
        <v>0</v>
      </c>
      <c r="E100" s="39" t="str">
        <f>'Por Valoracion (3) Dimension 2'!J100</f>
        <v>0</v>
      </c>
      <c r="Z100" s="50"/>
    </row>
    <row r="101" spans="1:26">
      <c r="A101" s="50"/>
      <c r="C101" t="str">
        <f>('Inteligencia emocional'!A102)</f>
        <v>0</v>
      </c>
      <c r="D101" s="39" t="str">
        <f>'Por Valoracion (3) Dimension'!H101</f>
        <v>0</v>
      </c>
      <c r="E101" s="39" t="str">
        <f>'Por Valoracion (3) Dimension 2'!J101</f>
        <v>0</v>
      </c>
      <c r="Z101" s="50"/>
    </row>
    <row r="102" spans="1:26">
      <c r="A102" s="50"/>
      <c r="C102" t="str">
        <f>('Inteligencia emocional'!A103)</f>
        <v>0</v>
      </c>
      <c r="D102" s="39" t="str">
        <f>'Por Valoracion (3) Dimension'!H102</f>
        <v>0</v>
      </c>
      <c r="E102" s="39" t="str">
        <f>'Por Valoracion (3) Dimension 2'!J102</f>
        <v>0</v>
      </c>
      <c r="Z102" s="50"/>
    </row>
    <row r="103" spans="1:26">
      <c r="A103" s="50"/>
      <c r="C103" t="str">
        <f>('Inteligencia emocional'!A104)</f>
        <v>0</v>
      </c>
      <c r="D103" s="39" t="str">
        <f>'Por Valoracion (3) Dimension'!H103</f>
        <v>0</v>
      </c>
      <c r="E103" s="39" t="str">
        <f>'Por Valoracion (3) Dimension 2'!J103</f>
        <v>0</v>
      </c>
      <c r="Z103" s="50"/>
    </row>
    <row r="104" spans="1:26">
      <c r="A104" s="50"/>
      <c r="C104" t="str">
        <f>('Inteligencia emocional'!A105)</f>
        <v>0</v>
      </c>
      <c r="D104" s="39" t="str">
        <f>'Por Valoracion (3) Dimension'!H104</f>
        <v>0</v>
      </c>
      <c r="E104" s="39" t="str">
        <f>'Por Valoracion (3) Dimension 2'!J104</f>
        <v>0</v>
      </c>
      <c r="Z104" s="50"/>
    </row>
    <row r="105" spans="1:26">
      <c r="A105" s="50"/>
      <c r="C105" t="str">
        <f>('Inteligencia emocional'!A106)</f>
        <v>0</v>
      </c>
      <c r="D105" s="39" t="str">
        <f>'Por Valoracion (3) Dimension'!H105</f>
        <v>0</v>
      </c>
      <c r="E105" s="39" t="str">
        <f>'Por Valoracion (3) Dimension 2'!J105</f>
        <v>0</v>
      </c>
      <c r="Z105" s="50"/>
    </row>
    <row r="106" spans="1:26">
      <c r="A106" s="50"/>
      <c r="C106" t="str">
        <f>('Inteligencia emocional'!A107)</f>
        <v>0</v>
      </c>
      <c r="D106" s="39" t="str">
        <f>'Por Valoracion (3) Dimension'!H106</f>
        <v>0</v>
      </c>
      <c r="E106" s="39" t="str">
        <f>'Por Valoracion (3) Dimension 2'!J106</f>
        <v>0</v>
      </c>
      <c r="Z106" s="50"/>
    </row>
    <row r="107" spans="1:26">
      <c r="A107" s="50"/>
      <c r="C107" t="str">
        <f>('Inteligencia emocional'!A108)</f>
        <v>0</v>
      </c>
      <c r="D107" s="39" t="str">
        <f>'Por Valoracion (3) Dimension'!H107</f>
        <v>0</v>
      </c>
      <c r="E107" s="39" t="str">
        <f>'Por Valoracion (3) Dimension 2'!J107</f>
        <v>0</v>
      </c>
      <c r="Z107" s="50"/>
    </row>
    <row r="108" spans="1:26">
      <c r="A108" s="50"/>
      <c r="C108" t="str">
        <f>('Inteligencia emocional'!A109)</f>
        <v>0</v>
      </c>
      <c r="D108" s="39" t="str">
        <f>'Por Valoracion (3) Dimension'!H108</f>
        <v>0</v>
      </c>
      <c r="E108" s="39" t="str">
        <f>'Por Valoracion (3) Dimension 2'!J108</f>
        <v>0</v>
      </c>
      <c r="Z108" s="50"/>
    </row>
    <row r="109" spans="1:26">
      <c r="A109" s="50"/>
      <c r="C109" t="str">
        <f>('Inteligencia emocional'!A110)</f>
        <v>0</v>
      </c>
      <c r="D109" s="39" t="str">
        <f>'Por Valoracion (3) Dimension'!H109</f>
        <v>0</v>
      </c>
      <c r="E109" s="39" t="str">
        <f>'Por Valoracion (3) Dimension 2'!J109</f>
        <v>0</v>
      </c>
      <c r="Z109" s="50"/>
    </row>
    <row r="110" spans="1:26">
      <c r="A110" s="50"/>
      <c r="C110" t="str">
        <f>('Inteligencia emocional'!A111)</f>
        <v>0</v>
      </c>
      <c r="D110" s="39" t="str">
        <f>'Por Valoracion (3) Dimension'!H110</f>
        <v>0</v>
      </c>
      <c r="E110" s="39" t="str">
        <f>'Por Valoracion (3) Dimension 2'!J110</f>
        <v>0</v>
      </c>
      <c r="Z110" s="50"/>
    </row>
    <row r="111" spans="1:26">
      <c r="A111" s="50"/>
      <c r="C111" t="str">
        <f>('Inteligencia emocional'!A112)</f>
        <v>0</v>
      </c>
      <c r="D111" s="39" t="str">
        <f>'Por Valoracion (3) Dimension'!H111</f>
        <v>0</v>
      </c>
      <c r="E111" s="39" t="str">
        <f>'Por Valoracion (3) Dimension 2'!J111</f>
        <v>0</v>
      </c>
      <c r="Z111" s="50"/>
    </row>
    <row r="112" spans="1:26">
      <c r="A112" s="50"/>
      <c r="C112" t="str">
        <f>('Inteligencia emocional'!A113)</f>
        <v>0</v>
      </c>
      <c r="D112" s="39" t="str">
        <f>'Por Valoracion (3) Dimension'!H112</f>
        <v>0</v>
      </c>
      <c r="E112" s="39" t="str">
        <f>'Por Valoracion (3) Dimension 2'!J112</f>
        <v>0</v>
      </c>
      <c r="Z112" s="50"/>
    </row>
    <row r="113" spans="1:26">
      <c r="A113" s="50"/>
      <c r="C113" t="str">
        <f>('Inteligencia emocional'!A114)</f>
        <v>0</v>
      </c>
      <c r="D113" s="39" t="str">
        <f>'Por Valoracion (3) Dimension'!H113</f>
        <v>0</v>
      </c>
      <c r="E113" s="39" t="str">
        <f>'Por Valoracion (3) Dimension 2'!J113</f>
        <v>0</v>
      </c>
      <c r="Z113" s="50"/>
    </row>
    <row r="114" spans="1:26">
      <c r="A114" s="50"/>
      <c r="C114" t="str">
        <f>('Inteligencia emocional'!A115)</f>
        <v>0</v>
      </c>
      <c r="D114" s="39" t="str">
        <f>'Por Valoracion (3) Dimension'!H114</f>
        <v>0</v>
      </c>
      <c r="E114" s="39" t="str">
        <f>'Por Valoracion (3) Dimension 2'!J114</f>
        <v>0</v>
      </c>
      <c r="Z114" s="50"/>
    </row>
    <row r="115" spans="1:26">
      <c r="A115" s="50"/>
      <c r="C115" t="str">
        <f>('Inteligencia emocional'!A116)</f>
        <v>0</v>
      </c>
      <c r="D115" s="39" t="str">
        <f>'Por Valoracion (3) Dimension'!H115</f>
        <v>0</v>
      </c>
      <c r="E115" s="39" t="str">
        <f>'Por Valoracion (3) Dimension 2'!J115</f>
        <v>0</v>
      </c>
      <c r="Z115" s="50"/>
    </row>
    <row r="116" spans="1:26">
      <c r="A116" s="50"/>
      <c r="C116" t="str">
        <f>('Inteligencia emocional'!A117)</f>
        <v>0</v>
      </c>
      <c r="D116" s="39" t="str">
        <f>'Por Valoracion (3) Dimension'!H116</f>
        <v>0</v>
      </c>
      <c r="E116" s="39" t="str">
        <f>'Por Valoracion (3) Dimension 2'!J116</f>
        <v>0</v>
      </c>
      <c r="Z116" s="50"/>
    </row>
    <row r="117" spans="1:26">
      <c r="A117" s="50"/>
      <c r="C117" t="str">
        <f>('Inteligencia emocional'!A118)</f>
        <v>0</v>
      </c>
      <c r="D117" s="39" t="str">
        <f>'Por Valoracion (3) Dimension'!H117</f>
        <v>0</v>
      </c>
      <c r="E117" s="39" t="str">
        <f>'Por Valoracion (3) Dimension 2'!J117</f>
        <v>0</v>
      </c>
      <c r="Z117" s="50"/>
    </row>
    <row r="118" spans="1:26">
      <c r="A118" s="50"/>
      <c r="C118" t="str">
        <f>('Inteligencia emocional'!A119)</f>
        <v>0</v>
      </c>
      <c r="D118" s="39" t="str">
        <f>'Por Valoracion (3) Dimension'!H118</f>
        <v>0</v>
      </c>
      <c r="E118" s="39" t="str">
        <f>'Por Valoracion (3) Dimension 2'!J118</f>
        <v>0</v>
      </c>
      <c r="Z118" s="50"/>
    </row>
    <row r="119" spans="1:26">
      <c r="A119" s="50"/>
      <c r="C119" t="str">
        <f>('Inteligencia emocional'!A120)</f>
        <v>0</v>
      </c>
      <c r="D119" s="39" t="str">
        <f>'Por Valoracion (3) Dimension'!H119</f>
        <v>0</v>
      </c>
      <c r="E119" s="39" t="str">
        <f>'Por Valoracion (3) Dimension 2'!J119</f>
        <v>0</v>
      </c>
      <c r="Z119" s="50"/>
    </row>
    <row r="120" spans="1:26">
      <c r="A120" s="50"/>
      <c r="C120" t="str">
        <f>('Inteligencia emocional'!A121)</f>
        <v>0</v>
      </c>
      <c r="D120" s="39" t="str">
        <f>'Por Valoracion (3) Dimension'!H120</f>
        <v>0</v>
      </c>
      <c r="E120" s="39" t="str">
        <f>'Por Valoracion (3) Dimension 2'!J120</f>
        <v>0</v>
      </c>
      <c r="Z120" s="50"/>
    </row>
    <row r="121" spans="1:26">
      <c r="A121" s="50"/>
      <c r="C121" t="str">
        <f>('Inteligencia emocional'!A122)</f>
        <v>0</v>
      </c>
      <c r="D121" s="39" t="str">
        <f>'Por Valoracion (3) Dimension'!H121</f>
        <v>0</v>
      </c>
      <c r="E121" s="39" t="str">
        <f>'Por Valoracion (3) Dimension 2'!J121</f>
        <v>0</v>
      </c>
      <c r="Z121" s="50"/>
    </row>
    <row r="122" spans="1:26">
      <c r="A122" s="50"/>
      <c r="C122" t="str">
        <f>('Inteligencia emocional'!A123)</f>
        <v>0</v>
      </c>
      <c r="D122" s="39" t="str">
        <f>'Por Valoracion (3) Dimension'!H122</f>
        <v>0</v>
      </c>
      <c r="E122" s="39" t="str">
        <f>'Por Valoracion (3) Dimension 2'!J122</f>
        <v>0</v>
      </c>
      <c r="Z122" s="50"/>
    </row>
    <row r="123" spans="1:26">
      <c r="A123" s="50"/>
      <c r="C123" t="str">
        <f>('Inteligencia emocional'!A124)</f>
        <v>0</v>
      </c>
      <c r="D123" s="39" t="str">
        <f>'Por Valoracion (3) Dimension'!H123</f>
        <v>0</v>
      </c>
      <c r="E123" s="39" t="str">
        <f>'Por Valoracion (3) Dimension 2'!J123</f>
        <v>0</v>
      </c>
      <c r="Z123" s="50"/>
    </row>
    <row r="124" spans="1:26">
      <c r="A124" s="50"/>
      <c r="C124" t="str">
        <f>('Inteligencia emocional'!A125)</f>
        <v>0</v>
      </c>
      <c r="D124" s="39" t="str">
        <f>'Por Valoracion (3) Dimension'!H124</f>
        <v>0</v>
      </c>
      <c r="E124" s="39" t="str">
        <f>'Por Valoracion (3) Dimension 2'!J124</f>
        <v>0</v>
      </c>
      <c r="Z124" s="50"/>
    </row>
    <row r="125" spans="1:26">
      <c r="A125" s="50"/>
      <c r="C125" t="str">
        <f>('Inteligencia emocional'!A126)</f>
        <v>0</v>
      </c>
      <c r="D125" s="39" t="str">
        <f>'Por Valoracion (3) Dimension'!H125</f>
        <v>0</v>
      </c>
      <c r="E125" s="39" t="str">
        <f>'Por Valoracion (3) Dimension 2'!J125</f>
        <v>0</v>
      </c>
      <c r="Z125" s="50"/>
    </row>
    <row r="126" spans="1:26">
      <c r="A126" s="50"/>
      <c r="C126" t="str">
        <f>('Inteligencia emocional'!A127)</f>
        <v>0</v>
      </c>
      <c r="D126" s="39" t="str">
        <f>'Por Valoracion (3) Dimension'!H126</f>
        <v>0</v>
      </c>
      <c r="E126" s="39" t="str">
        <f>'Por Valoracion (3) Dimension 2'!J126</f>
        <v>0</v>
      </c>
      <c r="Z126" s="50"/>
    </row>
    <row r="127" spans="1:26">
      <c r="A127" s="50"/>
      <c r="C127" t="str">
        <f>('Inteligencia emocional'!A128)</f>
        <v>0</v>
      </c>
      <c r="D127" s="39" t="str">
        <f>'Por Valoracion (3) Dimension'!H127</f>
        <v>0</v>
      </c>
      <c r="E127" s="39" t="str">
        <f>'Por Valoracion (3) Dimension 2'!J127</f>
        <v>0</v>
      </c>
      <c r="Z127" s="50"/>
    </row>
    <row r="128" spans="1:26">
      <c r="A128" s="50"/>
      <c r="C128" t="str">
        <f>('Inteligencia emocional'!A129)</f>
        <v>0</v>
      </c>
      <c r="D128" s="39" t="str">
        <f>'Por Valoracion (3) Dimension'!H128</f>
        <v>0</v>
      </c>
      <c r="E128" s="39" t="str">
        <f>'Por Valoracion (3) Dimension 2'!J128</f>
        <v>0</v>
      </c>
      <c r="Z128" s="50"/>
    </row>
    <row r="129" spans="1:26">
      <c r="A129" s="50"/>
      <c r="C129" t="str">
        <f>('Inteligencia emocional'!A130)</f>
        <v>0</v>
      </c>
      <c r="D129" s="39" t="str">
        <f>'Por Valoracion (3) Dimension'!H129</f>
        <v>0</v>
      </c>
      <c r="E129" s="39" t="str">
        <f>'Por Valoracion (3) Dimension 2'!J129</f>
        <v>0</v>
      </c>
      <c r="Z129" s="50"/>
    </row>
    <row r="130" spans="1:26">
      <c r="A130" s="50"/>
      <c r="C130" t="str">
        <f>('Inteligencia emocional'!A131)</f>
        <v>0</v>
      </c>
      <c r="D130" s="39" t="str">
        <f>'Por Valoracion (3) Dimension'!H130</f>
        <v>0</v>
      </c>
      <c r="E130" s="39" t="str">
        <f>'Por Valoracion (3) Dimension 2'!J130</f>
        <v>0</v>
      </c>
      <c r="Z130" s="50"/>
    </row>
    <row r="131" spans="1:26">
      <c r="A131" s="50"/>
      <c r="C131" t="str">
        <f>('Inteligencia emocional'!A132)</f>
        <v>0</v>
      </c>
      <c r="D131" s="39" t="str">
        <f>'Por Valoracion (3) Dimension'!H131</f>
        <v>0</v>
      </c>
      <c r="E131" s="39" t="str">
        <f>'Por Valoracion (3) Dimension 2'!J131</f>
        <v>0</v>
      </c>
      <c r="Z131" s="50"/>
    </row>
    <row r="132" spans="1:26">
      <c r="A132" s="50"/>
      <c r="C132" t="str">
        <f>('Inteligencia emocional'!A133)</f>
        <v>0</v>
      </c>
      <c r="D132" s="39" t="str">
        <f>'Por Valoracion (3) Dimension'!H132</f>
        <v>0</v>
      </c>
      <c r="E132" s="39" t="str">
        <f>'Por Valoracion (3) Dimension 2'!J132</f>
        <v>0</v>
      </c>
      <c r="Z132" s="50"/>
    </row>
    <row r="133" spans="1:26">
      <c r="A133" s="50"/>
      <c r="C133" t="str">
        <f>('Inteligencia emocional'!A134)</f>
        <v>0</v>
      </c>
      <c r="D133" s="39" t="str">
        <f>'Por Valoracion (3) Dimension'!H133</f>
        <v>0</v>
      </c>
      <c r="E133" s="39" t="str">
        <f>'Por Valoracion (3) Dimension 2'!J133</f>
        <v>0</v>
      </c>
      <c r="Z133" s="50"/>
    </row>
    <row r="134" spans="1:26">
      <c r="A134" s="50"/>
      <c r="C134" t="str">
        <f>('Inteligencia emocional'!A135)</f>
        <v>0</v>
      </c>
      <c r="D134" s="39" t="str">
        <f>'Por Valoracion (3) Dimension'!H134</f>
        <v>0</v>
      </c>
      <c r="E134" s="39" t="str">
        <f>'Por Valoracion (3) Dimension 2'!J134</f>
        <v>0</v>
      </c>
      <c r="Z134" s="50"/>
    </row>
    <row r="135" spans="1:26">
      <c r="A135" s="50"/>
      <c r="C135" t="str">
        <f>('Inteligencia emocional'!A136)</f>
        <v>0</v>
      </c>
      <c r="D135" s="39" t="str">
        <f>'Por Valoracion (3) Dimension'!H135</f>
        <v>0</v>
      </c>
      <c r="E135" s="39" t="str">
        <f>'Por Valoracion (3) Dimension 2'!J135</f>
        <v>0</v>
      </c>
      <c r="Z135" s="50"/>
    </row>
    <row r="136" spans="1:26">
      <c r="A136" s="50"/>
      <c r="C136" t="str">
        <f>('Inteligencia emocional'!A137)</f>
        <v>0</v>
      </c>
      <c r="D136" s="39" t="str">
        <f>'Por Valoracion (3) Dimension'!H136</f>
        <v>0</v>
      </c>
      <c r="E136" s="39" t="str">
        <f>'Por Valoracion (3) Dimension 2'!J136</f>
        <v>0</v>
      </c>
      <c r="Z136" s="50"/>
    </row>
    <row r="137" spans="1:26">
      <c r="A137" s="50"/>
      <c r="C137" t="str">
        <f>('Inteligencia emocional'!A138)</f>
        <v>0</v>
      </c>
      <c r="D137" s="39" t="str">
        <f>'Por Valoracion (3) Dimension'!H137</f>
        <v>0</v>
      </c>
      <c r="E137" s="39" t="str">
        <f>'Por Valoracion (3) Dimension 2'!J137</f>
        <v>0</v>
      </c>
      <c r="Z137" s="50"/>
    </row>
    <row r="138" spans="1:26">
      <c r="A138" s="50"/>
      <c r="C138" t="str">
        <f>('Inteligencia emocional'!A139)</f>
        <v>0</v>
      </c>
      <c r="D138" s="39" t="str">
        <f>'Por Valoracion (3) Dimension'!H138</f>
        <v>0</v>
      </c>
      <c r="E138" s="39" t="str">
        <f>'Por Valoracion (3) Dimension 2'!J138</f>
        <v>0</v>
      </c>
      <c r="Z138" s="50"/>
    </row>
    <row r="139" spans="1:26">
      <c r="A139" s="50"/>
      <c r="C139" t="str">
        <f>('Inteligencia emocional'!A140)</f>
        <v>0</v>
      </c>
      <c r="D139" s="39" t="str">
        <f>'Por Valoracion (3) Dimension'!H139</f>
        <v>0</v>
      </c>
      <c r="E139" s="39" t="str">
        <f>'Por Valoracion (3) Dimension 2'!J139</f>
        <v>0</v>
      </c>
      <c r="Z139" s="50"/>
    </row>
    <row r="140" spans="1:26">
      <c r="A140" s="50"/>
      <c r="C140" t="str">
        <f>('Inteligencia emocional'!A141)</f>
        <v>0</v>
      </c>
      <c r="D140" s="39" t="str">
        <f>'Por Valoracion (3) Dimension'!H140</f>
        <v>0</v>
      </c>
      <c r="E140" s="39" t="str">
        <f>'Por Valoracion (3) Dimension 2'!J140</f>
        <v>0</v>
      </c>
      <c r="Z140" s="50"/>
    </row>
    <row r="141" spans="1:26">
      <c r="A141" s="50"/>
      <c r="C141" t="str">
        <f>('Inteligencia emocional'!A142)</f>
        <v>0</v>
      </c>
      <c r="D141" s="39" t="str">
        <f>'Por Valoracion (3) Dimension'!H141</f>
        <v>0</v>
      </c>
      <c r="E141" s="39" t="str">
        <f>'Por Valoracion (3) Dimension 2'!J141</f>
        <v>0</v>
      </c>
      <c r="Z141" s="50"/>
    </row>
    <row r="142" spans="1:26">
      <c r="A142" s="50"/>
      <c r="C142" t="str">
        <f>('Inteligencia emocional'!A143)</f>
        <v>0</v>
      </c>
      <c r="D142" s="39" t="str">
        <f>'Por Valoracion (3) Dimension'!H142</f>
        <v>0</v>
      </c>
      <c r="E142" s="39" t="str">
        <f>'Por Valoracion (3) Dimension 2'!J142</f>
        <v>0</v>
      </c>
      <c r="Z142" s="50"/>
    </row>
    <row r="143" spans="1:26">
      <c r="A143" s="50"/>
      <c r="C143" t="str">
        <f>('Inteligencia emocional'!A144)</f>
        <v>0</v>
      </c>
      <c r="D143" s="39" t="str">
        <f>'Por Valoracion (3) Dimension'!H143</f>
        <v>0</v>
      </c>
      <c r="E143" s="39" t="str">
        <f>'Por Valoracion (3) Dimension 2'!J143</f>
        <v>0</v>
      </c>
      <c r="Z143" s="50"/>
    </row>
    <row r="144" spans="1:26">
      <c r="A144" s="50"/>
      <c r="C144" t="str">
        <f>('Inteligencia emocional'!A145)</f>
        <v>0</v>
      </c>
      <c r="D144" s="39" t="str">
        <f>'Por Valoracion (3) Dimension'!H144</f>
        <v>0</v>
      </c>
      <c r="E144" s="39" t="str">
        <f>'Por Valoracion (3) Dimension 2'!J144</f>
        <v>0</v>
      </c>
      <c r="Z144" s="50"/>
    </row>
    <row r="145" spans="1:26">
      <c r="A145" s="50"/>
      <c r="C145" t="str">
        <f>('Inteligencia emocional'!A146)</f>
        <v>0</v>
      </c>
      <c r="D145" s="39" t="str">
        <f>'Por Valoracion (3) Dimension'!H145</f>
        <v>0</v>
      </c>
      <c r="E145" s="39" t="str">
        <f>'Por Valoracion (3) Dimension 2'!J145</f>
        <v>0</v>
      </c>
      <c r="Z145" s="50"/>
    </row>
    <row r="146" spans="1:26">
      <c r="A146" s="50"/>
      <c r="C146" t="str">
        <f>('Inteligencia emocional'!A147)</f>
        <v>0</v>
      </c>
      <c r="D146" s="39" t="str">
        <f>'Por Valoracion (3) Dimension'!H146</f>
        <v>0</v>
      </c>
      <c r="E146" s="39" t="str">
        <f>'Por Valoracion (3) Dimension 2'!J146</f>
        <v>0</v>
      </c>
      <c r="Z146" s="50"/>
    </row>
    <row r="147" spans="1:26">
      <c r="A147" s="50"/>
      <c r="C147" t="str">
        <f>('Inteligencia emocional'!A148)</f>
        <v>0</v>
      </c>
      <c r="D147" s="39" t="str">
        <f>'Por Valoracion (3) Dimension'!H147</f>
        <v>0</v>
      </c>
      <c r="E147" s="39" t="str">
        <f>'Por Valoracion (3) Dimension 2'!J147</f>
        <v>0</v>
      </c>
      <c r="Z147" s="50"/>
    </row>
    <row r="148" spans="1:26">
      <c r="A148" s="50"/>
      <c r="C148" t="str">
        <f>('Inteligencia emocional'!A149)</f>
        <v>0</v>
      </c>
      <c r="D148" s="39" t="str">
        <f>'Por Valoracion (3) Dimension'!H148</f>
        <v>0</v>
      </c>
      <c r="E148" s="39" t="str">
        <f>'Por Valoracion (3) Dimension 2'!J148</f>
        <v>0</v>
      </c>
      <c r="Z148" s="50"/>
    </row>
    <row r="149" spans="1:26">
      <c r="A149" s="50"/>
      <c r="C149" t="str">
        <f>('Inteligencia emocional'!A150)</f>
        <v>0</v>
      </c>
      <c r="D149" s="39" t="str">
        <f>'Por Valoracion (3) Dimension'!H149</f>
        <v>0</v>
      </c>
      <c r="E149" s="39" t="str">
        <f>'Por Valoracion (3) Dimension 2'!J149</f>
        <v>0</v>
      </c>
      <c r="Z149" s="50"/>
    </row>
    <row r="150" spans="1:26">
      <c r="A150" s="50"/>
      <c r="C150" t="str">
        <f>('Inteligencia emocional'!A151)</f>
        <v>0</v>
      </c>
      <c r="D150" s="39" t="str">
        <f>'Por Valoracion (3) Dimension'!H150</f>
        <v>0</v>
      </c>
      <c r="E150" s="39" t="str">
        <f>'Por Valoracion (3) Dimension 2'!J150</f>
        <v>0</v>
      </c>
      <c r="Z150" s="50"/>
    </row>
    <row r="151" spans="1:26">
      <c r="A151" s="50"/>
      <c r="C151" t="str">
        <f>('Inteligencia emocional'!A152)</f>
        <v>0</v>
      </c>
      <c r="D151" s="39" t="str">
        <f>'Por Valoracion (3) Dimension'!H151</f>
        <v>0</v>
      </c>
      <c r="E151" s="39" t="str">
        <f>'Por Valoracion (3) Dimension 2'!J151</f>
        <v>0</v>
      </c>
      <c r="Z151" s="50"/>
    </row>
    <row r="152" spans="1:26">
      <c r="A152" s="50"/>
      <c r="C152" t="str">
        <f>('Inteligencia emocional'!A153)</f>
        <v>0</v>
      </c>
      <c r="D152" s="39" t="str">
        <f>'Por Valoracion (3) Dimension'!H152</f>
        <v>0</v>
      </c>
      <c r="E152" s="39" t="str">
        <f>'Por Valoracion (3) Dimension 2'!J152</f>
        <v>0</v>
      </c>
      <c r="Z152" s="50"/>
    </row>
    <row r="153" spans="1:26">
      <c r="A153" s="50"/>
      <c r="C153" t="str">
        <f>('Inteligencia emocional'!A154)</f>
        <v>0</v>
      </c>
      <c r="D153" s="39" t="str">
        <f>'Por Valoracion (3) Dimension'!H153</f>
        <v>0</v>
      </c>
      <c r="E153" s="39" t="str">
        <f>'Por Valoracion (3) Dimension 2'!J153</f>
        <v>0</v>
      </c>
      <c r="Z153" s="50"/>
    </row>
    <row r="154" spans="1:26">
      <c r="A154" s="50"/>
      <c r="C154" t="str">
        <f>('Inteligencia emocional'!A155)</f>
        <v>0</v>
      </c>
      <c r="D154" s="39" t="str">
        <f>'Por Valoracion (3) Dimension'!H154</f>
        <v>0</v>
      </c>
      <c r="E154" s="39" t="str">
        <f>'Por Valoracion (3) Dimension 2'!J154</f>
        <v>0</v>
      </c>
      <c r="Z154" s="50"/>
    </row>
    <row r="155" spans="1:26">
      <c r="A155" s="50"/>
      <c r="C155" t="str">
        <f>('Inteligencia emocional'!A156)</f>
        <v>0</v>
      </c>
      <c r="D155" s="39" t="str">
        <f>'Por Valoracion (3) Dimension'!H155</f>
        <v>0</v>
      </c>
      <c r="E155" s="39" t="str">
        <f>'Por Valoracion (3) Dimension 2'!J155</f>
        <v>0</v>
      </c>
      <c r="Z155" s="50"/>
    </row>
    <row r="156" spans="1:26">
      <c r="A156" s="50"/>
      <c r="C156" t="str">
        <f>('Inteligencia emocional'!A157)</f>
        <v>0</v>
      </c>
      <c r="D156" s="39" t="str">
        <f>'Por Valoracion (3) Dimension'!H156</f>
        <v>0</v>
      </c>
      <c r="E156" s="39" t="str">
        <f>'Por Valoracion (3) Dimension 2'!J156</f>
        <v>0</v>
      </c>
      <c r="Z156" s="50"/>
    </row>
    <row r="157" spans="1:26">
      <c r="A157" s="50"/>
      <c r="C157" t="str">
        <f>('Inteligencia emocional'!A158)</f>
        <v>0</v>
      </c>
      <c r="D157" s="39" t="str">
        <f>'Por Valoracion (3) Dimension'!H157</f>
        <v>0</v>
      </c>
      <c r="E157" s="39" t="str">
        <f>'Por Valoracion (3) Dimension 2'!J157</f>
        <v>0</v>
      </c>
      <c r="Z157" s="50"/>
    </row>
    <row r="158" spans="1:26">
      <c r="A158" s="50"/>
      <c r="C158" t="str">
        <f>('Inteligencia emocional'!A159)</f>
        <v>0</v>
      </c>
      <c r="D158" s="39" t="str">
        <f>'Por Valoracion (3) Dimension'!H158</f>
        <v>0</v>
      </c>
      <c r="E158" s="39" t="str">
        <f>'Por Valoracion (3) Dimension 2'!J158</f>
        <v>0</v>
      </c>
      <c r="Z158" s="50"/>
    </row>
    <row r="159" spans="1:26">
      <c r="A159" s="50"/>
      <c r="C159" t="str">
        <f>('Inteligencia emocional'!A160)</f>
        <v>0</v>
      </c>
      <c r="D159" s="39" t="str">
        <f>'Por Valoracion (3) Dimension'!H159</f>
        <v>0</v>
      </c>
      <c r="E159" s="39" t="str">
        <f>'Por Valoracion (3) Dimension 2'!J159</f>
        <v>0</v>
      </c>
      <c r="Z159" s="50"/>
    </row>
    <row r="160" spans="1:26">
      <c r="A160" s="50"/>
      <c r="C160" t="str">
        <f>('Inteligencia emocional'!A161)</f>
        <v>0</v>
      </c>
      <c r="D160" s="39" t="str">
        <f>'Por Valoracion (3) Dimension'!H160</f>
        <v>0</v>
      </c>
      <c r="E160" s="39" t="str">
        <f>'Por Valoracion (3) Dimension 2'!J160</f>
        <v>0</v>
      </c>
      <c r="Z160" s="50"/>
    </row>
    <row r="161" spans="1:26">
      <c r="A161" s="50"/>
      <c r="C161" t="str">
        <f>('Inteligencia emocional'!A162)</f>
        <v>0</v>
      </c>
      <c r="D161" s="39" t="str">
        <f>'Por Valoracion (3) Dimension'!H161</f>
        <v>0</v>
      </c>
      <c r="E161" s="39" t="str">
        <f>'Por Valoracion (3) Dimension 2'!J161</f>
        <v>0</v>
      </c>
      <c r="Z161" s="50"/>
    </row>
    <row r="162" spans="1:26">
      <c r="A162" s="50"/>
      <c r="C162" t="str">
        <f>('Inteligencia emocional'!A163)</f>
        <v>0</v>
      </c>
      <c r="D162" s="39" t="str">
        <f>'Por Valoracion (3) Dimension'!H162</f>
        <v>0</v>
      </c>
      <c r="E162" s="39" t="str">
        <f>'Por Valoracion (3) Dimension 2'!J162</f>
        <v>0</v>
      </c>
      <c r="Z162" s="50"/>
    </row>
    <row r="163" spans="1:26">
      <c r="A163" s="50"/>
      <c r="C163" t="str">
        <f>('Inteligencia emocional'!A164)</f>
        <v>0</v>
      </c>
      <c r="D163" s="39" t="str">
        <f>'Por Valoracion (3) Dimension'!H163</f>
        <v>0</v>
      </c>
      <c r="E163" s="39" t="str">
        <f>'Por Valoracion (3) Dimension 2'!J163</f>
        <v>0</v>
      </c>
      <c r="Z163" s="50"/>
    </row>
    <row r="164" spans="1:26">
      <c r="A164" s="50"/>
      <c r="C164" t="str">
        <f>('Inteligencia emocional'!A165)</f>
        <v>0</v>
      </c>
      <c r="D164" s="39" t="str">
        <f>'Por Valoracion (3) Dimension'!H164</f>
        <v>0</v>
      </c>
      <c r="E164" s="39" t="str">
        <f>'Por Valoracion (3) Dimension 2'!J164</f>
        <v>0</v>
      </c>
      <c r="Z164" s="50"/>
    </row>
    <row r="165" spans="1:26">
      <c r="A165" s="50"/>
      <c r="C165" t="str">
        <f>('Inteligencia emocional'!A166)</f>
        <v>0</v>
      </c>
      <c r="D165" s="39" t="str">
        <f>'Por Valoracion (3) Dimension'!H165</f>
        <v>0</v>
      </c>
      <c r="E165" s="39" t="str">
        <f>'Por Valoracion (3) Dimension 2'!J165</f>
        <v>0</v>
      </c>
      <c r="Z165" s="50"/>
    </row>
    <row r="166" spans="1:26">
      <c r="A166" s="50"/>
      <c r="C166" t="str">
        <f>('Inteligencia emocional'!A167)</f>
        <v>0</v>
      </c>
      <c r="D166" s="39" t="str">
        <f>'Por Valoracion (3) Dimension'!H166</f>
        <v>0</v>
      </c>
      <c r="E166" s="39" t="str">
        <f>'Por Valoracion (3) Dimension 2'!J166</f>
        <v>0</v>
      </c>
      <c r="Z166" s="50"/>
    </row>
    <row r="167" spans="1:26">
      <c r="A167" s="50"/>
      <c r="C167" t="str">
        <f>('Inteligencia emocional'!A168)</f>
        <v>0</v>
      </c>
      <c r="D167" s="39" t="str">
        <f>'Por Valoracion (3) Dimension'!H167</f>
        <v>0</v>
      </c>
      <c r="E167" s="39" t="str">
        <f>'Por Valoracion (3) Dimension 2'!J167</f>
        <v>0</v>
      </c>
      <c r="Z167" s="50"/>
    </row>
    <row r="168" spans="1:26">
      <c r="A168" s="50"/>
      <c r="C168" t="str">
        <f>('Inteligencia emocional'!A169)</f>
        <v>0</v>
      </c>
      <c r="D168" s="39" t="str">
        <f>'Por Valoracion (3) Dimension'!H168</f>
        <v>0</v>
      </c>
      <c r="E168" s="39" t="str">
        <f>'Por Valoracion (3) Dimension 2'!J168</f>
        <v>0</v>
      </c>
      <c r="Z168" s="50"/>
    </row>
    <row r="169" spans="1:26">
      <c r="A169" s="50"/>
      <c r="C169" t="str">
        <f>('Inteligencia emocional'!A170)</f>
        <v>0</v>
      </c>
      <c r="D169" s="39" t="str">
        <f>'Por Valoracion (3) Dimension'!H169</f>
        <v>0</v>
      </c>
      <c r="E169" s="39" t="str">
        <f>'Por Valoracion (3) Dimension 2'!J169</f>
        <v>0</v>
      </c>
      <c r="Z169" s="50"/>
    </row>
    <row r="170" spans="1:26">
      <c r="A170" s="50"/>
      <c r="C170" t="str">
        <f>('Inteligencia emocional'!A171)</f>
        <v>0</v>
      </c>
      <c r="D170" s="39" t="str">
        <f>'Por Valoracion (3) Dimension'!H170</f>
        <v>0</v>
      </c>
      <c r="E170" s="39" t="str">
        <f>'Por Valoracion (3) Dimension 2'!J170</f>
        <v>0</v>
      </c>
      <c r="Z170" s="50"/>
    </row>
    <row r="171" spans="1:26">
      <c r="A171" s="50"/>
      <c r="C171" t="str">
        <f>('Inteligencia emocional'!A172)</f>
        <v>0</v>
      </c>
      <c r="D171" s="39" t="str">
        <f>'Por Valoracion (3) Dimension'!H171</f>
        <v>0</v>
      </c>
      <c r="E171" s="39" t="str">
        <f>'Por Valoracion (3) Dimension 2'!J171</f>
        <v>0</v>
      </c>
      <c r="Z171" s="50"/>
    </row>
    <row r="172" spans="1:26">
      <c r="A172" s="50"/>
      <c r="C172" t="str">
        <f>('Inteligencia emocional'!A173)</f>
        <v>0</v>
      </c>
      <c r="D172" s="39" t="str">
        <f>'Por Valoracion (3) Dimension'!H172</f>
        <v>0</v>
      </c>
      <c r="E172" s="39" t="str">
        <f>'Por Valoracion (3) Dimension 2'!J172</f>
        <v>0</v>
      </c>
      <c r="Z172" s="50"/>
    </row>
    <row r="173" spans="1:26">
      <c r="A173" s="50"/>
      <c r="C173" t="str">
        <f>('Inteligencia emocional'!A174)</f>
        <v>0</v>
      </c>
      <c r="D173" s="39" t="str">
        <f>'Por Valoracion (3) Dimension'!H173</f>
        <v>0</v>
      </c>
      <c r="E173" s="39" t="str">
        <f>'Por Valoracion (3) Dimension 2'!J173</f>
        <v>0</v>
      </c>
      <c r="Z173" s="50"/>
    </row>
    <row r="174" spans="1:26">
      <c r="A174" s="50"/>
      <c r="C174" t="str">
        <f>('Inteligencia emocional'!A175)</f>
        <v>0</v>
      </c>
      <c r="D174" s="39" t="str">
        <f>'Por Valoracion (3) Dimension'!H174</f>
        <v>0</v>
      </c>
      <c r="E174" s="39" t="str">
        <f>'Por Valoracion (3) Dimension 2'!J174</f>
        <v>0</v>
      </c>
      <c r="Z174" s="50"/>
    </row>
    <row r="175" spans="1:26">
      <c r="A175" s="50"/>
      <c r="C175" t="str">
        <f>('Inteligencia emocional'!A176)</f>
        <v>0</v>
      </c>
      <c r="D175" s="39" t="str">
        <f>'Por Valoracion (3) Dimension'!H175</f>
        <v>0</v>
      </c>
      <c r="E175" s="39" t="str">
        <f>'Por Valoracion (3) Dimension 2'!J175</f>
        <v>0</v>
      </c>
      <c r="Z175" s="50"/>
    </row>
    <row r="176" spans="1:26">
      <c r="A176" s="50"/>
      <c r="C176" t="str">
        <f>('Inteligencia emocional'!A177)</f>
        <v>0</v>
      </c>
      <c r="D176" s="39" t="str">
        <f>'Por Valoracion (3) Dimension'!H176</f>
        <v>0</v>
      </c>
      <c r="E176" s="39" t="str">
        <f>'Por Valoracion (3) Dimension 2'!J176</f>
        <v>0</v>
      </c>
      <c r="Z176" s="50"/>
    </row>
    <row r="177" spans="1:26">
      <c r="A177" s="50"/>
      <c r="C177" t="str">
        <f>('Inteligencia emocional'!A178)</f>
        <v>0</v>
      </c>
      <c r="D177" s="39" t="str">
        <f>'Por Valoracion (3) Dimension'!H177</f>
        <v>0</v>
      </c>
      <c r="E177" s="39" t="str">
        <f>'Por Valoracion (3) Dimension 2'!J177</f>
        <v>0</v>
      </c>
      <c r="Z177" s="50"/>
    </row>
    <row r="178" spans="1:26">
      <c r="A178" s="50"/>
      <c r="C178" t="str">
        <f>('Inteligencia emocional'!A179)</f>
        <v>0</v>
      </c>
      <c r="D178" s="39" t="str">
        <f>'Por Valoracion (3) Dimension'!H178</f>
        <v>0</v>
      </c>
      <c r="E178" s="39" t="str">
        <f>'Por Valoracion (3) Dimension 2'!J178</f>
        <v>0</v>
      </c>
      <c r="Z178" s="50"/>
    </row>
    <row r="179" spans="1:26">
      <c r="A179" s="50"/>
      <c r="C179" t="str">
        <f>('Inteligencia emocional'!A180)</f>
        <v>0</v>
      </c>
      <c r="D179" s="39" t="str">
        <f>'Por Valoracion (3) Dimension'!H179</f>
        <v>0</v>
      </c>
      <c r="E179" s="39" t="str">
        <f>'Por Valoracion (3) Dimension 2'!J179</f>
        <v>0</v>
      </c>
      <c r="Z179" s="50"/>
    </row>
    <row r="180" spans="1:26">
      <c r="A180" s="50"/>
      <c r="C180" t="str">
        <f>('Inteligencia emocional'!A181)</f>
        <v>0</v>
      </c>
      <c r="D180" s="39" t="str">
        <f>'Por Valoracion (3) Dimension'!H180</f>
        <v>0</v>
      </c>
      <c r="E180" s="39" t="str">
        <f>'Por Valoracion (3) Dimension 2'!J180</f>
        <v>0</v>
      </c>
      <c r="Z180" s="50"/>
    </row>
    <row r="181" spans="1:26">
      <c r="A181" s="50"/>
      <c r="C181" t="str">
        <f>('Inteligencia emocional'!A182)</f>
        <v>0</v>
      </c>
      <c r="D181" s="39" t="str">
        <f>'Por Valoracion (3) Dimension'!H181</f>
        <v>0</v>
      </c>
      <c r="E181" s="39" t="str">
        <f>'Por Valoracion (3) Dimension 2'!J181</f>
        <v>0</v>
      </c>
      <c r="Z181" s="50"/>
    </row>
    <row r="182" spans="1:26">
      <c r="A182" s="50"/>
      <c r="C182" t="str">
        <f>('Inteligencia emocional'!A183)</f>
        <v>0</v>
      </c>
      <c r="D182" s="39" t="str">
        <f>'Por Valoracion (3) Dimension'!H182</f>
        <v>0</v>
      </c>
      <c r="E182" s="39" t="str">
        <f>'Por Valoracion (3) Dimension 2'!J182</f>
        <v>0</v>
      </c>
      <c r="Z182" s="50"/>
    </row>
    <row r="183" spans="1:26">
      <c r="A183" s="50"/>
      <c r="C183" t="str">
        <f>('Inteligencia emocional'!A184)</f>
        <v>0</v>
      </c>
      <c r="D183" s="39" t="str">
        <f>'Por Valoracion (3) Dimension'!H183</f>
        <v>0</v>
      </c>
      <c r="E183" s="39" t="str">
        <f>'Por Valoracion (3) Dimension 2'!J183</f>
        <v>0</v>
      </c>
      <c r="Z183" s="50"/>
    </row>
    <row r="184" spans="1:26">
      <c r="A184" s="50"/>
      <c r="C184" t="str">
        <f>('Inteligencia emocional'!A185)</f>
        <v>0</v>
      </c>
      <c r="D184" s="39" t="str">
        <f>'Por Valoracion (3) Dimension'!H184</f>
        <v>0</v>
      </c>
      <c r="E184" s="39" t="str">
        <f>'Por Valoracion (3) Dimension 2'!J184</f>
        <v>0</v>
      </c>
      <c r="Z184" s="50"/>
    </row>
    <row r="185" spans="1:26">
      <c r="A185" s="50"/>
      <c r="C185" t="str">
        <f>('Inteligencia emocional'!A186)</f>
        <v>0</v>
      </c>
      <c r="D185" s="39" t="str">
        <f>'Por Valoracion (3) Dimension'!H185</f>
        <v>0</v>
      </c>
      <c r="E185" s="39" t="str">
        <f>'Por Valoracion (3) Dimension 2'!J185</f>
        <v>0</v>
      </c>
      <c r="Z185" s="50"/>
    </row>
    <row r="186" spans="1:26">
      <c r="A186" s="50"/>
      <c r="C186" t="str">
        <f>('Inteligencia emocional'!A187)</f>
        <v>0</v>
      </c>
      <c r="D186" s="39" t="str">
        <f>'Por Valoracion (3) Dimension'!H186</f>
        <v>0</v>
      </c>
      <c r="E186" s="39" t="str">
        <f>'Por Valoracion (3) Dimension 2'!J186</f>
        <v>0</v>
      </c>
      <c r="Z186" s="50"/>
    </row>
    <row r="187" spans="1:26">
      <c r="A187" s="50"/>
      <c r="C187" t="str">
        <f>('Inteligencia emocional'!A188)</f>
        <v>0</v>
      </c>
      <c r="D187" s="39" t="str">
        <f>'Por Valoracion (3) Dimension'!H187</f>
        <v>0</v>
      </c>
      <c r="E187" s="39" t="str">
        <f>'Por Valoracion (3) Dimension 2'!J187</f>
        <v>0</v>
      </c>
      <c r="Z187" s="50"/>
    </row>
    <row r="188" spans="1:26">
      <c r="A188" s="50"/>
      <c r="C188" t="str">
        <f>('Inteligencia emocional'!A189)</f>
        <v>0</v>
      </c>
      <c r="D188" s="39" t="str">
        <f>'Por Valoracion (3) Dimension'!H188</f>
        <v>0</v>
      </c>
      <c r="E188" s="39" t="str">
        <f>'Por Valoracion (3) Dimension 2'!J188</f>
        <v>0</v>
      </c>
      <c r="Z188" s="50"/>
    </row>
    <row r="189" spans="1:26">
      <c r="A189" s="50"/>
      <c r="C189" t="str">
        <f>('Inteligencia emocional'!A190)</f>
        <v>0</v>
      </c>
      <c r="D189" s="39" t="str">
        <f>'Por Valoracion (3) Dimension'!H189</f>
        <v>0</v>
      </c>
      <c r="E189" s="39" t="str">
        <f>'Por Valoracion (3) Dimension 2'!J189</f>
        <v>0</v>
      </c>
      <c r="Z189" s="50"/>
    </row>
    <row r="190" spans="1:26">
      <c r="A190" s="50"/>
      <c r="C190" t="str">
        <f>('Inteligencia emocional'!A191)</f>
        <v>0</v>
      </c>
      <c r="D190" s="39" t="str">
        <f>'Por Valoracion (3) Dimension'!H190</f>
        <v>0</v>
      </c>
      <c r="E190" s="39" t="str">
        <f>'Por Valoracion (3) Dimension 2'!J190</f>
        <v>0</v>
      </c>
      <c r="Z190" s="50"/>
    </row>
    <row r="191" spans="1:26">
      <c r="A191" s="50"/>
      <c r="C191" t="str">
        <f>('Inteligencia emocional'!A192)</f>
        <v>0</v>
      </c>
      <c r="D191" s="39" t="str">
        <f>'Por Valoracion (3) Dimension'!H191</f>
        <v>0</v>
      </c>
      <c r="E191" s="39" t="str">
        <f>'Por Valoracion (3) Dimension 2'!J191</f>
        <v>0</v>
      </c>
      <c r="Z191" s="50"/>
    </row>
    <row r="192" spans="1:26">
      <c r="A192" s="50"/>
      <c r="C192" t="str">
        <f>('Inteligencia emocional'!A193)</f>
        <v>0</v>
      </c>
      <c r="D192" s="39" t="str">
        <f>'Por Valoracion (3) Dimension'!H192</f>
        <v>0</v>
      </c>
      <c r="E192" s="39" t="str">
        <f>'Por Valoracion (3) Dimension 2'!J192</f>
        <v>0</v>
      </c>
      <c r="Z192" s="50"/>
    </row>
    <row r="193" spans="1:26">
      <c r="A193" s="50"/>
      <c r="C193" t="str">
        <f>('Inteligencia emocional'!A194)</f>
        <v>0</v>
      </c>
      <c r="D193" s="39" t="str">
        <f>'Por Valoracion (3) Dimension'!H193</f>
        <v>0</v>
      </c>
      <c r="E193" s="39" t="str">
        <f>'Por Valoracion (3) Dimension 2'!J193</f>
        <v>0</v>
      </c>
      <c r="Z193" s="50"/>
    </row>
    <row r="194" spans="1:26">
      <c r="A194" s="50"/>
      <c r="C194" t="str">
        <f>('Inteligencia emocional'!A195)</f>
        <v>0</v>
      </c>
      <c r="D194" s="39" t="str">
        <f>'Por Valoracion (3) Dimension'!H194</f>
        <v>0</v>
      </c>
      <c r="E194" s="39" t="str">
        <f>'Por Valoracion (3) Dimension 2'!J194</f>
        <v>0</v>
      </c>
      <c r="Z194" s="50"/>
    </row>
    <row r="195" spans="1:26">
      <c r="A195" s="50"/>
      <c r="C195" t="str">
        <f>('Inteligencia emocional'!A196)</f>
        <v>0</v>
      </c>
      <c r="D195" s="39" t="str">
        <f>'Por Valoracion (3) Dimension'!H195</f>
        <v>0</v>
      </c>
      <c r="E195" s="39" t="str">
        <f>'Por Valoracion (3) Dimension 2'!J195</f>
        <v>0</v>
      </c>
      <c r="Z195" s="50"/>
    </row>
    <row r="196" spans="1:26">
      <c r="A196" s="50"/>
      <c r="C196" t="str">
        <f>('Inteligencia emocional'!A197)</f>
        <v>0</v>
      </c>
      <c r="D196" s="39" t="str">
        <f>'Por Valoracion (3) Dimension'!H196</f>
        <v>0</v>
      </c>
      <c r="E196" s="39" t="str">
        <f>'Por Valoracion (3) Dimension 2'!J196</f>
        <v>0</v>
      </c>
      <c r="Z196" s="50"/>
    </row>
    <row r="197" spans="1:26">
      <c r="A197" s="50"/>
      <c r="C197" t="str">
        <f>('Inteligencia emocional'!A198)</f>
        <v>0</v>
      </c>
      <c r="D197" s="39" t="str">
        <f>'Por Valoracion (3) Dimension'!H197</f>
        <v>0</v>
      </c>
      <c r="E197" s="39" t="str">
        <f>'Por Valoracion (3) Dimension 2'!J197</f>
        <v>0</v>
      </c>
      <c r="Z197" s="50"/>
    </row>
    <row r="198" spans="1:26">
      <c r="A198" s="50"/>
      <c r="C198" t="str">
        <f>('Inteligencia emocional'!A199)</f>
        <v>0</v>
      </c>
      <c r="D198" s="39" t="str">
        <f>'Por Valoracion (3) Dimension'!H198</f>
        <v>0</v>
      </c>
      <c r="E198" s="39" t="str">
        <f>'Por Valoracion (3) Dimension 2'!J198</f>
        <v>0</v>
      </c>
      <c r="Z198" s="50"/>
    </row>
    <row r="199" spans="1:26">
      <c r="A199" s="50"/>
      <c r="C199" t="str">
        <f>('Inteligencia emocional'!A200)</f>
        <v>0</v>
      </c>
      <c r="D199" s="39" t="str">
        <f>'Por Valoracion (3) Dimension'!H199</f>
        <v>0</v>
      </c>
      <c r="E199" s="39" t="str">
        <f>'Por Valoracion (3) Dimension 2'!J199</f>
        <v>0</v>
      </c>
      <c r="Z199" s="50"/>
    </row>
    <row r="200" spans="1:26">
      <c r="A200" s="50"/>
      <c r="C200" t="str">
        <f>('Inteligencia emocional'!A201)</f>
        <v>0</v>
      </c>
      <c r="D200" s="39" t="str">
        <f>'Por Valoracion (3) Dimension'!H200</f>
        <v>0</v>
      </c>
      <c r="E200" s="39" t="str">
        <f>'Por Valoracion (3) Dimension 2'!J200</f>
        <v>0</v>
      </c>
      <c r="Z200" s="50"/>
    </row>
    <row r="201" spans="1:26">
      <c r="A201" s="50"/>
      <c r="C201" t="str">
        <f>('Inteligencia emocional'!A202)</f>
        <v>0</v>
      </c>
      <c r="D201" s="39" t="str">
        <f>'Por Valoracion (3) Dimension'!H201</f>
        <v>0</v>
      </c>
      <c r="E201" s="39" t="str">
        <f>'Por Valoracion (3) Dimension 2'!J201</f>
        <v>0</v>
      </c>
      <c r="Z201" s="50"/>
    </row>
    <row r="202" spans="1:26">
      <c r="A202" s="50"/>
      <c r="C202" t="str">
        <f>('Inteligencia emocional'!A203)</f>
        <v>0</v>
      </c>
      <c r="D202" s="39" t="str">
        <f>'Por Valoracion (3) Dimension'!H202</f>
        <v>0</v>
      </c>
      <c r="E202" s="39" t="str">
        <f>'Por Valoracion (3) Dimension 2'!J202</f>
        <v>0</v>
      </c>
      <c r="Z202" s="50"/>
    </row>
    <row r="203" spans="1:26">
      <c r="A203" s="50"/>
      <c r="C203" t="str">
        <f>('Inteligencia emocional'!A204)</f>
        <v>0</v>
      </c>
      <c r="D203" s="39" t="str">
        <f>'Por Valoracion (3) Dimension'!H203</f>
        <v>0</v>
      </c>
      <c r="E203" s="39" t="str">
        <f>'Por Valoracion (3) Dimension 2'!J203</f>
        <v>0</v>
      </c>
      <c r="Z203" s="50"/>
    </row>
    <row r="204" spans="1:26">
      <c r="A204" s="50"/>
      <c r="C204" t="str">
        <f>('Inteligencia emocional'!A205)</f>
        <v>0</v>
      </c>
      <c r="D204" s="39" t="str">
        <f>'Por Valoracion (3) Dimension'!H204</f>
        <v>0</v>
      </c>
      <c r="E204" s="39" t="str">
        <f>'Por Valoracion (3) Dimension 2'!J204</f>
        <v>0</v>
      </c>
      <c r="Z204" s="50"/>
    </row>
    <row r="205" spans="1:26">
      <c r="A205" s="50"/>
      <c r="C205" t="str">
        <f>('Inteligencia emocional'!A206)</f>
        <v>0</v>
      </c>
      <c r="D205" s="39" t="str">
        <f>'Por Valoracion (3) Dimension'!H205</f>
        <v>0</v>
      </c>
      <c r="E205" s="39" t="str">
        <f>'Por Valoracion (3) Dimension 2'!J205</f>
        <v>0</v>
      </c>
      <c r="Z205" s="50"/>
    </row>
    <row r="206" spans="1:26">
      <c r="A206" s="50"/>
      <c r="C206" t="str">
        <f>('Inteligencia emocional'!A207)</f>
        <v>0</v>
      </c>
      <c r="D206" s="39" t="str">
        <f>'Por Valoracion (3) Dimension'!H206</f>
        <v>0</v>
      </c>
      <c r="E206" s="39" t="str">
        <f>'Por Valoracion (3) Dimension 2'!J206</f>
        <v>0</v>
      </c>
      <c r="Z206" s="50"/>
    </row>
    <row r="207" spans="1:26">
      <c r="A207" s="50"/>
      <c r="C207" t="str">
        <f>('Inteligencia emocional'!A208)</f>
        <v>0</v>
      </c>
      <c r="D207" s="39" t="str">
        <f>'Por Valoracion (3) Dimension'!H207</f>
        <v>0</v>
      </c>
      <c r="E207" s="39" t="str">
        <f>'Por Valoracion (3) Dimension 2'!J207</f>
        <v>0</v>
      </c>
      <c r="Z207" s="50"/>
    </row>
    <row r="208" spans="1:26">
      <c r="A208" s="50"/>
      <c r="C208" t="str">
        <f>('Inteligencia emocional'!A209)</f>
        <v>0</v>
      </c>
      <c r="D208" s="39" t="str">
        <f>'Por Valoracion (3) Dimension'!H208</f>
        <v>0</v>
      </c>
      <c r="E208" s="39" t="str">
        <f>'Por Valoracion (3) Dimension 2'!J208</f>
        <v>0</v>
      </c>
      <c r="Z208" s="50"/>
    </row>
    <row r="209" spans="1:26">
      <c r="A209" s="50"/>
      <c r="C209" t="str">
        <f>('Inteligencia emocional'!A210)</f>
        <v>0</v>
      </c>
      <c r="D209" s="39" t="str">
        <f>'Por Valoracion (3) Dimension'!H209</f>
        <v>0</v>
      </c>
      <c r="E209" s="39" t="str">
        <f>'Por Valoracion (3) Dimension 2'!J209</f>
        <v>0</v>
      </c>
      <c r="Z209" s="50"/>
    </row>
    <row r="210" spans="1:26">
      <c r="A210" s="50"/>
      <c r="C210" t="str">
        <f>('Inteligencia emocional'!A211)</f>
        <v>0</v>
      </c>
      <c r="D210" s="39" t="str">
        <f>'Por Valoracion (3) Dimension'!H210</f>
        <v>0</v>
      </c>
      <c r="E210" s="39" t="str">
        <f>'Por Valoracion (3) Dimension 2'!J210</f>
        <v>0</v>
      </c>
      <c r="Z210" s="50"/>
    </row>
    <row r="211" spans="1:26">
      <c r="A211" s="50"/>
      <c r="C211" t="str">
        <f>('Inteligencia emocional'!A212)</f>
        <v>0</v>
      </c>
      <c r="D211" s="39" t="str">
        <f>'Por Valoracion (3) Dimension'!H211</f>
        <v>0</v>
      </c>
      <c r="E211" s="39" t="str">
        <f>'Por Valoracion (3) Dimension 2'!J211</f>
        <v>0</v>
      </c>
      <c r="Z211" s="50"/>
    </row>
    <row r="212" spans="1:26">
      <c r="A212" s="50"/>
      <c r="C212" t="str">
        <f>('Inteligencia emocional'!A213)</f>
        <v>0</v>
      </c>
      <c r="D212" s="39" t="str">
        <f>'Por Valoracion (3) Dimension'!H212</f>
        <v>0</v>
      </c>
      <c r="E212" s="39" t="str">
        <f>'Por Valoracion (3) Dimension 2'!J212</f>
        <v>0</v>
      </c>
      <c r="Z212" s="50"/>
    </row>
    <row r="213" spans="1:26">
      <c r="A213" s="50"/>
      <c r="C213" t="str">
        <f>('Inteligencia emocional'!A214)</f>
        <v>0</v>
      </c>
      <c r="D213" s="39" t="str">
        <f>'Por Valoracion (3) Dimension'!H213</f>
        <v>0</v>
      </c>
      <c r="E213" s="39" t="str">
        <f>'Por Valoracion (3) Dimension 2'!J213</f>
        <v>0</v>
      </c>
      <c r="Z213" s="50"/>
    </row>
    <row r="214" spans="1:26">
      <c r="A214" s="50"/>
      <c r="C214" t="str">
        <f>('Inteligencia emocional'!A215)</f>
        <v>0</v>
      </c>
      <c r="D214" s="39" t="str">
        <f>'Por Valoracion (3) Dimension'!H214</f>
        <v>0</v>
      </c>
      <c r="E214" s="39" t="str">
        <f>'Por Valoracion (3) Dimension 2'!J214</f>
        <v>0</v>
      </c>
      <c r="Z214" s="50"/>
    </row>
    <row r="215" spans="1:26">
      <c r="A215" s="50"/>
      <c r="C215" t="str">
        <f>('Inteligencia emocional'!A216)</f>
        <v>0</v>
      </c>
      <c r="D215" s="39" t="str">
        <f>'Por Valoracion (3) Dimension'!H215</f>
        <v>0</v>
      </c>
      <c r="E215" s="39" t="str">
        <f>'Por Valoracion (3) Dimension 2'!J215</f>
        <v>0</v>
      </c>
      <c r="Z215" s="50"/>
    </row>
    <row r="216" spans="1:26">
      <c r="A216" s="50"/>
      <c r="C216" t="str">
        <f>('Inteligencia emocional'!A217)</f>
        <v>0</v>
      </c>
      <c r="D216" s="39" t="str">
        <f>'Por Valoracion (3) Dimension'!H216</f>
        <v>0</v>
      </c>
      <c r="E216" s="39" t="str">
        <f>'Por Valoracion (3) Dimension 2'!J216</f>
        <v>0</v>
      </c>
      <c r="Z216" s="50"/>
    </row>
    <row r="217" spans="1:26">
      <c r="A217" s="50"/>
      <c r="C217" t="str">
        <f>('Inteligencia emocional'!A218)</f>
        <v>0</v>
      </c>
      <c r="D217" s="39" t="str">
        <f>'Por Valoracion (3) Dimension'!H217</f>
        <v>0</v>
      </c>
      <c r="E217" s="39" t="str">
        <f>'Por Valoracion (3) Dimension 2'!J217</f>
        <v>0</v>
      </c>
      <c r="Z217" s="50"/>
    </row>
    <row r="218" spans="1:26">
      <c r="A218" s="50"/>
      <c r="C218" t="str">
        <f>('Inteligencia emocional'!A219)</f>
        <v>0</v>
      </c>
      <c r="D218" s="39" t="str">
        <f>'Por Valoracion (3) Dimension'!H218</f>
        <v>0</v>
      </c>
      <c r="E218" s="39" t="str">
        <f>'Por Valoracion (3) Dimension 2'!J218</f>
        <v>0</v>
      </c>
      <c r="Z218" s="50"/>
    </row>
    <row r="219" spans="1:26">
      <c r="A219" s="50"/>
      <c r="C219" t="str">
        <f>('Inteligencia emocional'!A220)</f>
        <v>0</v>
      </c>
      <c r="D219" s="39" t="str">
        <f>'Por Valoracion (3) Dimension'!H219</f>
        <v>0</v>
      </c>
      <c r="E219" s="39" t="str">
        <f>'Por Valoracion (3) Dimension 2'!J219</f>
        <v>0</v>
      </c>
      <c r="Z219" s="50"/>
    </row>
    <row r="220" spans="1:26">
      <c r="A220" s="50"/>
      <c r="C220" t="str">
        <f>('Inteligencia emocional'!A221)</f>
        <v>0</v>
      </c>
      <c r="D220" s="39" t="str">
        <f>'Por Valoracion (3) Dimension'!H220</f>
        <v>0</v>
      </c>
      <c r="E220" s="39" t="str">
        <f>'Por Valoracion (3) Dimension 2'!J220</f>
        <v>0</v>
      </c>
      <c r="Z220" s="50"/>
    </row>
    <row r="221" spans="1:26">
      <c r="A221" s="50"/>
      <c r="C221" t="str">
        <f>('Inteligencia emocional'!A222)</f>
        <v>0</v>
      </c>
      <c r="D221" s="39" t="str">
        <f>'Por Valoracion (3) Dimension'!H221</f>
        <v>0</v>
      </c>
      <c r="E221" s="39" t="str">
        <f>'Por Valoracion (3) Dimension 2'!J221</f>
        <v>0</v>
      </c>
      <c r="Z221" s="50"/>
    </row>
    <row r="222" spans="1:26">
      <c r="A222" s="50"/>
      <c r="C222" t="str">
        <f>('Inteligencia emocional'!A223)</f>
        <v>0</v>
      </c>
      <c r="D222" s="39" t="str">
        <f>'Por Valoracion (3) Dimension'!H222</f>
        <v>0</v>
      </c>
      <c r="E222" s="39" t="str">
        <f>'Por Valoracion (3) Dimension 2'!J222</f>
        <v>0</v>
      </c>
      <c r="Z222" s="50"/>
    </row>
    <row r="223" spans="1:26">
      <c r="A223" s="50"/>
      <c r="C223" t="str">
        <f>('Inteligencia emocional'!A224)</f>
        <v>0</v>
      </c>
      <c r="D223" s="39" t="str">
        <f>'Por Valoracion (3) Dimension'!H223</f>
        <v>0</v>
      </c>
      <c r="E223" s="39" t="str">
        <f>'Por Valoracion (3) Dimension 2'!J223</f>
        <v>0</v>
      </c>
      <c r="Z223" s="50"/>
    </row>
    <row r="224" spans="1:26">
      <c r="A224" s="50"/>
      <c r="C224" t="str">
        <f>('Inteligencia emocional'!A225)</f>
        <v>0</v>
      </c>
      <c r="D224" s="39" t="str">
        <f>'Por Valoracion (3) Dimension'!H224</f>
        <v>0</v>
      </c>
      <c r="E224" s="39" t="str">
        <f>'Por Valoracion (3) Dimension 2'!J224</f>
        <v>0</v>
      </c>
      <c r="Z224" s="50"/>
    </row>
    <row r="225" spans="1:26">
      <c r="A225" s="50"/>
      <c r="C225" t="str">
        <f>('Inteligencia emocional'!A226)</f>
        <v>0</v>
      </c>
      <c r="D225" s="39" t="str">
        <f>'Por Valoracion (3) Dimension'!H225</f>
        <v>0</v>
      </c>
      <c r="E225" s="39" t="str">
        <f>'Por Valoracion (3) Dimension 2'!J225</f>
        <v>0</v>
      </c>
      <c r="Z225" s="50"/>
    </row>
    <row r="226" spans="1:26">
      <c r="A226" s="50"/>
      <c r="C226" t="str">
        <f>('Inteligencia emocional'!A227)</f>
        <v>0</v>
      </c>
      <c r="D226" s="39" t="str">
        <f>'Por Valoracion (3) Dimension'!H226</f>
        <v>0</v>
      </c>
      <c r="E226" s="39" t="str">
        <f>'Por Valoracion (3) Dimension 2'!J226</f>
        <v>0</v>
      </c>
      <c r="Z226" s="50"/>
    </row>
    <row r="227" spans="1:26">
      <c r="A227" s="50"/>
      <c r="C227" t="str">
        <f>('Inteligencia emocional'!A228)</f>
        <v>0</v>
      </c>
      <c r="D227" s="39" t="str">
        <f>'Por Valoracion (3) Dimension'!H227</f>
        <v>0</v>
      </c>
      <c r="E227" s="39" t="str">
        <f>'Por Valoracion (3) Dimension 2'!J227</f>
        <v>0</v>
      </c>
      <c r="Z227" s="50"/>
    </row>
    <row r="228" spans="1:26">
      <c r="A228" s="50"/>
      <c r="C228" t="str">
        <f>('Inteligencia emocional'!A229)</f>
        <v>0</v>
      </c>
      <c r="D228" s="39" t="str">
        <f>'Por Valoracion (3) Dimension'!H228</f>
        <v>0</v>
      </c>
      <c r="E228" s="39" t="str">
        <f>'Por Valoracion (3) Dimension 2'!J228</f>
        <v>0</v>
      </c>
      <c r="Z228" s="50"/>
    </row>
    <row r="229" spans="1:26">
      <c r="A229" s="50"/>
      <c r="C229" t="str">
        <f>('Inteligencia emocional'!A230)</f>
        <v>0</v>
      </c>
      <c r="D229" s="39" t="str">
        <f>'Por Valoracion (3) Dimension'!H229</f>
        <v>0</v>
      </c>
      <c r="E229" s="39" t="str">
        <f>'Por Valoracion (3) Dimension 2'!J229</f>
        <v>0</v>
      </c>
      <c r="Z229" s="50"/>
    </row>
    <row r="230" spans="1:26">
      <c r="A230" s="50"/>
      <c r="C230" t="str">
        <f>('Inteligencia emocional'!A231)</f>
        <v>0</v>
      </c>
      <c r="D230" s="39" t="str">
        <f>'Por Valoracion (3) Dimension'!H230</f>
        <v>0</v>
      </c>
      <c r="E230" s="39" t="str">
        <f>'Por Valoracion (3) Dimension 2'!J230</f>
        <v>0</v>
      </c>
      <c r="Z230" s="50"/>
    </row>
    <row r="231" spans="1:26">
      <c r="A231" s="50"/>
      <c r="C231" t="str">
        <f>('Inteligencia emocional'!A232)</f>
        <v>0</v>
      </c>
      <c r="D231" s="39" t="str">
        <f>'Por Valoracion (3) Dimension'!H231</f>
        <v>0</v>
      </c>
      <c r="E231" s="39" t="str">
        <f>'Por Valoracion (3) Dimension 2'!J231</f>
        <v>0</v>
      </c>
      <c r="Z231" s="50"/>
    </row>
    <row r="232" spans="1:26">
      <c r="A232" s="50"/>
      <c r="C232" t="str">
        <f>('Inteligencia emocional'!A233)</f>
        <v>0</v>
      </c>
      <c r="D232" s="39" t="str">
        <f>'Por Valoracion (3) Dimension'!H232</f>
        <v>0</v>
      </c>
      <c r="E232" s="39" t="str">
        <f>'Por Valoracion (3) Dimension 2'!J232</f>
        <v>0</v>
      </c>
      <c r="Z232" s="50"/>
    </row>
    <row r="233" spans="1:26">
      <c r="A233" s="50"/>
      <c r="C233" t="str">
        <f>('Inteligencia emocional'!A234)</f>
        <v>0</v>
      </c>
      <c r="D233" s="39" t="str">
        <f>'Por Valoracion (3) Dimension'!H233</f>
        <v>0</v>
      </c>
      <c r="E233" s="39" t="str">
        <f>'Por Valoracion (3) Dimension 2'!J233</f>
        <v>0</v>
      </c>
      <c r="Z233" s="50"/>
    </row>
    <row r="234" spans="1:26">
      <c r="A234" s="50"/>
      <c r="C234" t="str">
        <f>('Inteligencia emocional'!A235)</f>
        <v>0</v>
      </c>
      <c r="D234" s="39" t="str">
        <f>'Por Valoracion (3) Dimension'!H234</f>
        <v>0</v>
      </c>
      <c r="E234" s="39" t="str">
        <f>'Por Valoracion (3) Dimension 2'!J234</f>
        <v>0</v>
      </c>
      <c r="Z234" s="50"/>
    </row>
    <row r="235" spans="1:26">
      <c r="A235" s="50"/>
      <c r="C235" t="str">
        <f>('Inteligencia emocional'!A236)</f>
        <v>0</v>
      </c>
      <c r="D235" s="39" t="str">
        <f>'Por Valoracion (3) Dimension'!H235</f>
        <v>0</v>
      </c>
      <c r="E235" s="39" t="str">
        <f>'Por Valoracion (3) Dimension 2'!J235</f>
        <v>0</v>
      </c>
      <c r="Z235" s="50"/>
    </row>
    <row r="236" spans="1:26">
      <c r="A236" s="50"/>
      <c r="C236" t="str">
        <f>('Inteligencia emocional'!A237)</f>
        <v>0</v>
      </c>
      <c r="D236" s="39" t="str">
        <f>'Por Valoracion (3) Dimension'!H236</f>
        <v>0</v>
      </c>
      <c r="E236" s="39" t="str">
        <f>'Por Valoracion (3) Dimension 2'!J236</f>
        <v>0</v>
      </c>
      <c r="Z236" s="50"/>
    </row>
    <row r="237" spans="1:26">
      <c r="A237" s="50"/>
      <c r="C237" t="str">
        <f>('Inteligencia emocional'!A238)</f>
        <v>0</v>
      </c>
      <c r="D237" s="39" t="str">
        <f>'Por Valoracion (3) Dimension'!H237</f>
        <v>0</v>
      </c>
      <c r="E237" s="39" t="str">
        <f>'Por Valoracion (3) Dimension 2'!J237</f>
        <v>0</v>
      </c>
      <c r="Z237" s="50"/>
    </row>
    <row r="238" spans="1:26">
      <c r="A238" s="50"/>
      <c r="C238" t="str">
        <f>('Inteligencia emocional'!A239)</f>
        <v>0</v>
      </c>
      <c r="D238" s="39" t="str">
        <f>'Por Valoracion (3) Dimension'!H238</f>
        <v>0</v>
      </c>
      <c r="E238" s="39" t="str">
        <f>'Por Valoracion (3) Dimension 2'!J238</f>
        <v>0</v>
      </c>
      <c r="Z238" s="50"/>
    </row>
    <row r="239" spans="1:26">
      <c r="A239" s="50"/>
      <c r="C239" t="str">
        <f>('Inteligencia emocional'!A240)</f>
        <v>0</v>
      </c>
      <c r="D239" s="39" t="str">
        <f>'Por Valoracion (3) Dimension'!H239</f>
        <v>0</v>
      </c>
      <c r="E239" s="39" t="str">
        <f>'Por Valoracion (3) Dimension 2'!J239</f>
        <v>0</v>
      </c>
      <c r="Z239" s="50"/>
    </row>
    <row r="240" spans="1:26">
      <c r="A240" s="50"/>
      <c r="C240" t="str">
        <f>('Inteligencia emocional'!A241)</f>
        <v>0</v>
      </c>
      <c r="D240" s="39" t="str">
        <f>'Por Valoracion (3) Dimension'!H240</f>
        <v>0</v>
      </c>
      <c r="E240" s="39" t="str">
        <f>'Por Valoracion (3) Dimension 2'!J240</f>
        <v>0</v>
      </c>
      <c r="Z240" s="50"/>
    </row>
    <row r="241" spans="1:26">
      <c r="A241" s="50"/>
      <c r="C241" t="str">
        <f>('Inteligencia emocional'!A242)</f>
        <v>0</v>
      </c>
      <c r="D241" s="39" t="str">
        <f>'Por Valoracion (3) Dimension'!H241</f>
        <v>0</v>
      </c>
      <c r="E241" s="39" t="str">
        <f>'Por Valoracion (3) Dimension 2'!J241</f>
        <v>0</v>
      </c>
      <c r="Z241" s="50"/>
    </row>
    <row r="242" spans="1:26">
      <c r="A242" s="50"/>
      <c r="C242" t="str">
        <f>('Inteligencia emocional'!A243)</f>
        <v>0</v>
      </c>
      <c r="D242" s="39" t="str">
        <f>'Por Valoracion (3) Dimension'!H242</f>
        <v>0</v>
      </c>
      <c r="E242" s="39" t="str">
        <f>'Por Valoracion (3) Dimension 2'!J242</f>
        <v>0</v>
      </c>
      <c r="Z242" s="50"/>
    </row>
    <row r="243" spans="1:26">
      <c r="A243" s="50"/>
      <c r="C243" t="str">
        <f>('Inteligencia emocional'!A244)</f>
        <v>0</v>
      </c>
      <c r="D243" s="39" t="str">
        <f>'Por Valoracion (3) Dimension'!H243</f>
        <v>0</v>
      </c>
      <c r="E243" s="39" t="str">
        <f>'Por Valoracion (3) Dimension 2'!J243</f>
        <v>0</v>
      </c>
      <c r="Z243" s="50"/>
    </row>
    <row r="244" spans="1:26">
      <c r="A244" s="50"/>
      <c r="C244" t="str">
        <f>('Inteligencia emocional'!A245)</f>
        <v>0</v>
      </c>
      <c r="D244" s="39" t="str">
        <f>'Por Valoracion (3) Dimension'!H244</f>
        <v>0</v>
      </c>
      <c r="E244" s="39" t="str">
        <f>'Por Valoracion (3) Dimension 2'!J244</f>
        <v>0</v>
      </c>
      <c r="Z244" s="50"/>
    </row>
    <row r="245" spans="1:26">
      <c r="A245" s="50"/>
      <c r="C245" t="str">
        <f>('Inteligencia emocional'!A246)</f>
        <v>0</v>
      </c>
      <c r="D245" s="39" t="str">
        <f>'Por Valoracion (3) Dimension'!H245</f>
        <v>0</v>
      </c>
      <c r="E245" s="39" t="str">
        <f>'Por Valoracion (3) Dimension 2'!J245</f>
        <v>0</v>
      </c>
      <c r="Z245" s="50"/>
    </row>
    <row r="246" spans="1:26">
      <c r="A246" s="50"/>
      <c r="C246" t="str">
        <f>('Inteligencia emocional'!A247)</f>
        <v>0</v>
      </c>
      <c r="D246" s="39" t="str">
        <f>'Por Valoracion (3) Dimension'!H246</f>
        <v>0</v>
      </c>
      <c r="E246" s="39" t="str">
        <f>'Por Valoracion (3) Dimension 2'!J246</f>
        <v>0</v>
      </c>
      <c r="Z246" s="50"/>
    </row>
    <row r="247" spans="1:26">
      <c r="A247" s="50"/>
      <c r="C247" t="str">
        <f>('Inteligencia emocional'!A248)</f>
        <v>0</v>
      </c>
      <c r="D247" s="39" t="str">
        <f>'Por Valoracion (3) Dimension'!H247</f>
        <v>0</v>
      </c>
      <c r="E247" s="39" t="str">
        <f>'Por Valoracion (3) Dimension 2'!J247</f>
        <v>0</v>
      </c>
      <c r="Z247" s="50"/>
    </row>
    <row r="248" spans="1:26">
      <c r="A248" s="50"/>
      <c r="C248" t="str">
        <f>('Inteligencia emocional'!A249)</f>
        <v>0</v>
      </c>
      <c r="D248" s="39" t="str">
        <f>'Por Valoracion (3) Dimension'!H248</f>
        <v>0</v>
      </c>
      <c r="E248" s="39" t="str">
        <f>'Por Valoracion (3) Dimension 2'!J248</f>
        <v>0</v>
      </c>
      <c r="Z248" s="50"/>
    </row>
    <row r="249" spans="1:26">
      <c r="A249" s="50"/>
      <c r="C249" t="str">
        <f>('Inteligencia emocional'!A250)</f>
        <v>0</v>
      </c>
      <c r="D249" s="39" t="str">
        <f>'Por Valoracion (3) Dimension'!H249</f>
        <v>0</v>
      </c>
      <c r="E249" s="39" t="str">
        <f>'Por Valoracion (3) Dimension 2'!J249</f>
        <v>0</v>
      </c>
      <c r="Z249" s="50"/>
    </row>
    <row r="250" spans="1:26">
      <c r="A250" s="50"/>
      <c r="C250" t="str">
        <f>('Inteligencia emocional'!A251)</f>
        <v>0</v>
      </c>
      <c r="D250" s="39" t="str">
        <f>'Por Valoracion (3) Dimension'!H250</f>
        <v>0</v>
      </c>
      <c r="E250" s="39" t="str">
        <f>'Por Valoracion (3) Dimension 2'!J250</f>
        <v>0</v>
      </c>
      <c r="Z250" s="50"/>
    </row>
    <row r="251" spans="1:26">
      <c r="A251" s="50"/>
      <c r="C251" t="str">
        <f>('Inteligencia emocional'!A252)</f>
        <v>0</v>
      </c>
      <c r="D251" s="39" t="str">
        <f>'Por Valoracion (3) Dimension'!H251</f>
        <v>0</v>
      </c>
      <c r="E251" s="39" t="str">
        <f>'Por Valoracion (3) Dimension 2'!J251</f>
        <v>0</v>
      </c>
      <c r="Z251" s="50"/>
    </row>
    <row r="252" spans="1:26">
      <c r="A252" s="50"/>
      <c r="C252" t="str">
        <f>('Inteligencia emocional'!A253)</f>
        <v>0</v>
      </c>
      <c r="D252" s="39" t="str">
        <f>'Por Valoracion (3) Dimension'!H252</f>
        <v>0</v>
      </c>
      <c r="E252" s="39" t="str">
        <f>'Por Valoracion (3) Dimension 2'!J252</f>
        <v>0</v>
      </c>
      <c r="Z252" s="50"/>
    </row>
    <row r="253" spans="1:26">
      <c r="A253" s="50"/>
      <c r="C253" t="str">
        <f>('Inteligencia emocional'!A254)</f>
        <v>0</v>
      </c>
      <c r="D253" s="39" t="str">
        <f>'Por Valoracion (3) Dimension'!H253</f>
        <v>0</v>
      </c>
      <c r="E253" s="39" t="str">
        <f>'Por Valoracion (3) Dimension 2'!J253</f>
        <v>0</v>
      </c>
      <c r="Z253" s="50"/>
    </row>
    <row r="254" spans="1:26">
      <c r="A254" s="50"/>
      <c r="C254" t="str">
        <f>('Inteligencia emocional'!A255)</f>
        <v>0</v>
      </c>
      <c r="D254" s="39" t="str">
        <f>'Por Valoracion (3) Dimension'!H254</f>
        <v>0</v>
      </c>
      <c r="E254" s="39" t="str">
        <f>'Por Valoracion (3) Dimension 2'!J254</f>
        <v>0</v>
      </c>
      <c r="Z254" s="50"/>
    </row>
    <row r="255" spans="1:26">
      <c r="A255" s="50"/>
      <c r="C255" t="str">
        <f>('Inteligencia emocional'!A256)</f>
        <v>0</v>
      </c>
      <c r="D255" s="39" t="str">
        <f>'Por Valoracion (3) Dimension'!H255</f>
        <v>0</v>
      </c>
      <c r="E255" s="39" t="str">
        <f>'Por Valoracion (3) Dimension 2'!J255</f>
        <v>0</v>
      </c>
      <c r="Z255" s="50"/>
    </row>
    <row r="256" spans="1:26">
      <c r="A256" s="50"/>
      <c r="C256" t="str">
        <f>('Inteligencia emocional'!A257)</f>
        <v>0</v>
      </c>
      <c r="D256" s="39" t="str">
        <f>'Por Valoracion (3) Dimension'!H256</f>
        <v>0</v>
      </c>
      <c r="E256" s="39" t="str">
        <f>'Por Valoracion (3) Dimension 2'!J256</f>
        <v>0</v>
      </c>
      <c r="Z256" s="50"/>
    </row>
    <row r="257" spans="1:26">
      <c r="A257" s="50"/>
      <c r="C257" t="str">
        <f>('Inteligencia emocional'!A258)</f>
        <v>0</v>
      </c>
      <c r="D257" s="39" t="str">
        <f>'Por Valoracion (3) Dimension'!H257</f>
        <v>0</v>
      </c>
      <c r="E257" s="39" t="str">
        <f>'Por Valoracion (3) Dimension 2'!J257</f>
        <v>0</v>
      </c>
      <c r="Z257" s="50"/>
    </row>
    <row r="258" spans="1:26">
      <c r="A258" s="50"/>
      <c r="C258" t="str">
        <f>('Inteligencia emocional'!A259)</f>
        <v>0</v>
      </c>
      <c r="D258" s="39" t="str">
        <f>'Por Valoracion (3) Dimension'!H258</f>
        <v>0</v>
      </c>
      <c r="E258" s="39" t="str">
        <f>'Por Valoracion (3) Dimension 2'!J258</f>
        <v>0</v>
      </c>
      <c r="Z258" s="50"/>
    </row>
    <row r="259" spans="1:26">
      <c r="A259" s="50"/>
      <c r="C259" t="str">
        <f>('Inteligencia emocional'!A260)</f>
        <v>0</v>
      </c>
      <c r="D259" s="39" t="str">
        <f>'Por Valoracion (3) Dimension'!H259</f>
        <v>0</v>
      </c>
      <c r="E259" s="39" t="str">
        <f>'Por Valoracion (3) Dimension 2'!J259</f>
        <v>0</v>
      </c>
      <c r="Z259" s="50"/>
    </row>
    <row r="260" spans="1:26">
      <c r="A260" s="50"/>
      <c r="C260" t="str">
        <f>('Inteligencia emocional'!A261)</f>
        <v>0</v>
      </c>
      <c r="D260" s="39" t="str">
        <f>'Por Valoracion (3) Dimension'!H260</f>
        <v>0</v>
      </c>
      <c r="E260" s="39" t="str">
        <f>'Por Valoracion (3) Dimension 2'!J260</f>
        <v>0</v>
      </c>
      <c r="Z260" s="50"/>
    </row>
    <row r="261" spans="1:26">
      <c r="A261" s="50"/>
      <c r="C261" t="str">
        <f>('Inteligencia emocional'!A262)</f>
        <v>0</v>
      </c>
      <c r="D261" s="39" t="str">
        <f>'Por Valoracion (3) Dimension'!H261</f>
        <v>0</v>
      </c>
      <c r="E261" s="39" t="str">
        <f>'Por Valoracion (3) Dimension 2'!J261</f>
        <v>0</v>
      </c>
      <c r="Z261" s="50"/>
    </row>
    <row r="262" spans="1:26">
      <c r="A262" s="50"/>
      <c r="C262" t="str">
        <f>('Inteligencia emocional'!A263)</f>
        <v>0</v>
      </c>
      <c r="D262" s="39" t="str">
        <f>'Por Valoracion (3) Dimension'!H262</f>
        <v>0</v>
      </c>
      <c r="E262" s="39" t="str">
        <f>'Por Valoracion (3) Dimension 2'!J262</f>
        <v>0</v>
      </c>
      <c r="Z262" s="50"/>
    </row>
    <row r="263" spans="1:26">
      <c r="A263" s="50"/>
      <c r="C263" t="str">
        <f>('Inteligencia emocional'!A264)</f>
        <v>0</v>
      </c>
      <c r="D263" s="39" t="str">
        <f>'Por Valoracion (3) Dimension'!H263</f>
        <v>0</v>
      </c>
      <c r="E263" s="39" t="str">
        <f>'Por Valoracion (3) Dimension 2'!J263</f>
        <v>0</v>
      </c>
      <c r="Z263" s="50"/>
    </row>
    <row r="264" spans="1:26">
      <c r="A264" s="50"/>
      <c r="C264" t="str">
        <f>('Inteligencia emocional'!A265)</f>
        <v>0</v>
      </c>
      <c r="D264" s="39" t="str">
        <f>'Por Valoracion (3) Dimension'!H264</f>
        <v>0</v>
      </c>
      <c r="E264" s="39" t="str">
        <f>'Por Valoracion (3) Dimension 2'!J264</f>
        <v>0</v>
      </c>
      <c r="Z264" s="50"/>
    </row>
    <row r="265" spans="1:26">
      <c r="A265" s="50"/>
      <c r="C265" t="str">
        <f>('Inteligencia emocional'!A266)</f>
        <v>0</v>
      </c>
      <c r="D265" s="39" t="str">
        <f>'Por Valoracion (3) Dimension'!H265</f>
        <v>0</v>
      </c>
      <c r="E265" s="39" t="str">
        <f>'Por Valoracion (3) Dimension 2'!J265</f>
        <v>0</v>
      </c>
      <c r="Z265" s="50"/>
    </row>
    <row r="266" spans="1:26">
      <c r="A266" s="50"/>
      <c r="C266" t="str">
        <f>('Inteligencia emocional'!A267)</f>
        <v>0</v>
      </c>
      <c r="D266" s="39" t="str">
        <f>'Por Valoracion (3) Dimension'!H266</f>
        <v>0</v>
      </c>
      <c r="E266" s="39" t="str">
        <f>'Por Valoracion (3) Dimension 2'!J266</f>
        <v>0</v>
      </c>
      <c r="Z266" s="50"/>
    </row>
    <row r="267" spans="1:26">
      <c r="A267" s="50"/>
      <c r="C267" t="str">
        <f>('Inteligencia emocional'!A268)</f>
        <v>0</v>
      </c>
      <c r="D267" s="39" t="str">
        <f>'Por Valoracion (3) Dimension'!H267</f>
        <v>0</v>
      </c>
      <c r="E267" s="39" t="str">
        <f>'Por Valoracion (3) Dimension 2'!J267</f>
        <v>0</v>
      </c>
      <c r="Z267" s="50"/>
    </row>
    <row r="268" spans="1:26">
      <c r="A268" s="50"/>
      <c r="C268" t="str">
        <f>('Inteligencia emocional'!A269)</f>
        <v>0</v>
      </c>
      <c r="D268" s="39" t="str">
        <f>'Por Valoracion (3) Dimension'!H268</f>
        <v>0</v>
      </c>
      <c r="E268" s="39" t="str">
        <f>'Por Valoracion (3) Dimension 2'!J268</f>
        <v>0</v>
      </c>
      <c r="Z268" s="50"/>
    </row>
    <row r="269" spans="1:26">
      <c r="A269" s="50"/>
      <c r="C269" t="str">
        <f>('Inteligencia emocional'!A270)</f>
        <v>0</v>
      </c>
      <c r="D269" s="39" t="str">
        <f>'Por Valoracion (3) Dimension'!H269</f>
        <v>0</v>
      </c>
      <c r="E269" s="39" t="str">
        <f>'Por Valoracion (3) Dimension 2'!J269</f>
        <v>0</v>
      </c>
      <c r="Z269" s="50"/>
    </row>
    <row r="270" spans="1:26">
      <c r="A270" s="50"/>
      <c r="C270" t="str">
        <f>('Inteligencia emocional'!A271)</f>
        <v>0</v>
      </c>
      <c r="D270" s="39" t="str">
        <f>'Por Valoracion (3) Dimension'!H270</f>
        <v>0</v>
      </c>
      <c r="E270" s="39" t="str">
        <f>'Por Valoracion (3) Dimension 2'!J270</f>
        <v>0</v>
      </c>
      <c r="Z270" s="50"/>
    </row>
    <row r="271" spans="1:26">
      <c r="A271" s="50"/>
      <c r="C271" t="str">
        <f>('Inteligencia emocional'!A272)</f>
        <v>0</v>
      </c>
      <c r="D271" s="39" t="str">
        <f>'Por Valoracion (3) Dimension'!H271</f>
        <v>0</v>
      </c>
      <c r="E271" s="39" t="str">
        <f>'Por Valoracion (3) Dimension 2'!J271</f>
        <v>0</v>
      </c>
      <c r="Z271" s="50"/>
    </row>
    <row r="272" spans="1:26">
      <c r="A272" s="50"/>
      <c r="C272" t="str">
        <f>('Inteligencia emocional'!A273)</f>
        <v>0</v>
      </c>
      <c r="D272" s="39" t="str">
        <f>'Por Valoracion (3) Dimension'!H272</f>
        <v>0</v>
      </c>
      <c r="E272" s="39" t="str">
        <f>'Por Valoracion (3) Dimension 2'!J272</f>
        <v>0</v>
      </c>
      <c r="Z272" s="50"/>
    </row>
    <row r="273" spans="1:26">
      <c r="A273" s="50"/>
      <c r="C273" t="str">
        <f>('Inteligencia emocional'!A274)</f>
        <v>0</v>
      </c>
      <c r="D273" s="39" t="str">
        <f>'Por Valoracion (3) Dimension'!H273</f>
        <v>0</v>
      </c>
      <c r="E273" s="39" t="str">
        <f>'Por Valoracion (3) Dimension 2'!J273</f>
        <v>0</v>
      </c>
      <c r="Z273" s="50"/>
    </row>
    <row r="274" spans="1:26">
      <c r="A274" s="50"/>
      <c r="C274" t="str">
        <f>('Inteligencia emocional'!A275)</f>
        <v>0</v>
      </c>
      <c r="D274" s="39" t="str">
        <f>'Por Valoracion (3) Dimension'!H274</f>
        <v>0</v>
      </c>
      <c r="E274" s="39" t="str">
        <f>'Por Valoracion (3) Dimension 2'!J274</f>
        <v>0</v>
      </c>
      <c r="Z274" s="50"/>
    </row>
    <row r="275" spans="1:26">
      <c r="A275" s="50"/>
      <c r="C275" t="str">
        <f>('Inteligencia emocional'!A276)</f>
        <v>0</v>
      </c>
      <c r="D275" s="39" t="str">
        <f>'Por Valoracion (3) Dimension'!H275</f>
        <v>0</v>
      </c>
      <c r="E275" s="39" t="str">
        <f>'Por Valoracion (3) Dimension 2'!J275</f>
        <v>0</v>
      </c>
      <c r="Z275" s="50"/>
    </row>
    <row r="276" spans="1:26">
      <c r="A276" s="50"/>
      <c r="C276" t="str">
        <f>('Inteligencia emocional'!A277)</f>
        <v>0</v>
      </c>
      <c r="D276" s="39" t="str">
        <f>'Por Valoracion (3) Dimension'!H276</f>
        <v>0</v>
      </c>
      <c r="E276" s="39" t="str">
        <f>'Por Valoracion (3) Dimension 2'!J276</f>
        <v>0</v>
      </c>
      <c r="Z276" s="50"/>
    </row>
    <row r="277" spans="1:26">
      <c r="A277" s="50"/>
      <c r="C277" t="str">
        <f>('Inteligencia emocional'!A278)</f>
        <v>0</v>
      </c>
      <c r="D277" s="39" t="str">
        <f>'Por Valoracion (3) Dimension'!H277</f>
        <v>0</v>
      </c>
      <c r="E277" s="39" t="str">
        <f>'Por Valoracion (3) Dimension 2'!J277</f>
        <v>0</v>
      </c>
      <c r="Z277" s="50"/>
    </row>
    <row r="278" spans="1:26">
      <c r="A278" s="50"/>
      <c r="C278" t="str">
        <f>('Inteligencia emocional'!A279)</f>
        <v>0</v>
      </c>
      <c r="D278" s="39" t="str">
        <f>'Por Valoracion (3) Dimension'!H278</f>
        <v>0</v>
      </c>
      <c r="E278" s="39" t="str">
        <f>'Por Valoracion (3) Dimension 2'!J278</f>
        <v>0</v>
      </c>
      <c r="Z278" s="50"/>
    </row>
    <row r="279" spans="1:26">
      <c r="A279" s="50"/>
      <c r="C279" t="str">
        <f>('Inteligencia emocional'!A280)</f>
        <v>0</v>
      </c>
      <c r="D279" s="39" t="str">
        <f>'Por Valoracion (3) Dimension'!H279</f>
        <v>0</v>
      </c>
      <c r="E279" s="39" t="str">
        <f>'Por Valoracion (3) Dimension 2'!J279</f>
        <v>0</v>
      </c>
      <c r="Z279" s="50"/>
    </row>
    <row r="280" spans="1:26">
      <c r="A280" s="50"/>
      <c r="C280" t="str">
        <f>('Inteligencia emocional'!A281)</f>
        <v>0</v>
      </c>
      <c r="D280" s="39" t="str">
        <f>'Por Valoracion (3) Dimension'!H280</f>
        <v>0</v>
      </c>
      <c r="E280" s="39" t="str">
        <f>'Por Valoracion (3) Dimension 2'!J280</f>
        <v>0</v>
      </c>
      <c r="Z280" s="50"/>
    </row>
    <row r="281" spans="1:26">
      <c r="A281" s="50"/>
      <c r="C281" t="str">
        <f>('Inteligencia emocional'!A282)</f>
        <v>0</v>
      </c>
      <c r="D281" s="39" t="str">
        <f>'Por Valoracion (3) Dimension'!H281</f>
        <v>0</v>
      </c>
      <c r="E281" s="39" t="str">
        <f>'Por Valoracion (3) Dimension 2'!J281</f>
        <v>0</v>
      </c>
      <c r="Z281" s="50"/>
    </row>
    <row r="282" spans="1:26">
      <c r="A282" s="50"/>
      <c r="C282" t="str">
        <f>('Inteligencia emocional'!A283)</f>
        <v>0</v>
      </c>
      <c r="D282" s="39" t="str">
        <f>'Por Valoracion (3) Dimension'!H282</f>
        <v>0</v>
      </c>
      <c r="E282" s="39" t="str">
        <f>'Por Valoracion (3) Dimension 2'!J282</f>
        <v>0</v>
      </c>
      <c r="Z282" s="50"/>
    </row>
    <row r="283" spans="1:26">
      <c r="A283" s="50"/>
      <c r="C283" t="str">
        <f>('Inteligencia emocional'!A284)</f>
        <v>0</v>
      </c>
      <c r="D283" s="39" t="str">
        <f>'Por Valoracion (3) Dimension'!H283</f>
        <v>0</v>
      </c>
      <c r="E283" s="39" t="str">
        <f>'Por Valoracion (3) Dimension 2'!J283</f>
        <v>0</v>
      </c>
      <c r="Z283" s="50"/>
    </row>
    <row r="284" spans="1:26">
      <c r="A284" s="50"/>
      <c r="C284" t="str">
        <f>('Inteligencia emocional'!A285)</f>
        <v>0</v>
      </c>
      <c r="D284" s="39" t="str">
        <f>'Por Valoracion (3) Dimension'!H284</f>
        <v>0</v>
      </c>
      <c r="E284" s="39" t="str">
        <f>'Por Valoracion (3) Dimension 2'!J284</f>
        <v>0</v>
      </c>
      <c r="Z284" s="50"/>
    </row>
    <row r="285" spans="1:26">
      <c r="A285" s="50"/>
      <c r="C285" t="str">
        <f>('Inteligencia emocional'!A286)</f>
        <v>0</v>
      </c>
      <c r="D285" s="39" t="str">
        <f>'Por Valoracion (3) Dimension'!H285</f>
        <v>0</v>
      </c>
      <c r="E285" s="39" t="str">
        <f>'Por Valoracion (3) Dimension 2'!J285</f>
        <v>0</v>
      </c>
      <c r="Z285" s="50"/>
    </row>
    <row r="286" spans="1:26">
      <c r="A286" s="50"/>
      <c r="C286" t="str">
        <f>('Inteligencia emocional'!A287)</f>
        <v>0</v>
      </c>
      <c r="D286" s="39" t="str">
        <f>'Por Valoracion (3) Dimension'!H286</f>
        <v>0</v>
      </c>
      <c r="E286" s="39" t="str">
        <f>'Por Valoracion (3) Dimension 2'!J286</f>
        <v>0</v>
      </c>
      <c r="Z286" s="50"/>
    </row>
    <row r="287" spans="1:26">
      <c r="A287" s="50"/>
      <c r="C287" t="str">
        <f>('Inteligencia emocional'!A288)</f>
        <v>0</v>
      </c>
      <c r="D287" s="39" t="str">
        <f>'Por Valoracion (3) Dimension'!H287</f>
        <v>0</v>
      </c>
      <c r="E287" s="39" t="str">
        <f>'Por Valoracion (3) Dimension 2'!J287</f>
        <v>0</v>
      </c>
      <c r="Z287" s="50"/>
    </row>
    <row r="288" spans="1:26">
      <c r="A288" s="50"/>
      <c r="C288" t="str">
        <f>('Inteligencia emocional'!A289)</f>
        <v>0</v>
      </c>
      <c r="D288" s="39" t="str">
        <f>'Por Valoracion (3) Dimension'!H288</f>
        <v>0</v>
      </c>
      <c r="E288" s="39" t="str">
        <f>'Por Valoracion (3) Dimension 2'!J288</f>
        <v>0</v>
      </c>
      <c r="Z288" s="50"/>
    </row>
    <row r="289" spans="1:26">
      <c r="A289" s="50"/>
      <c r="C289" t="str">
        <f>('Inteligencia emocional'!A290)</f>
        <v>0</v>
      </c>
      <c r="D289" s="39" t="str">
        <f>'Por Valoracion (3) Dimension'!H289</f>
        <v>0</v>
      </c>
      <c r="E289" s="39" t="str">
        <f>'Por Valoracion (3) Dimension 2'!J289</f>
        <v>0</v>
      </c>
      <c r="Z289" s="50"/>
    </row>
    <row r="290" spans="1:26">
      <c r="A290" s="50"/>
      <c r="C290" t="str">
        <f>('Inteligencia emocional'!A291)</f>
        <v>0</v>
      </c>
      <c r="D290" s="39" t="str">
        <f>'Por Valoracion (3) Dimension'!H290</f>
        <v>0</v>
      </c>
      <c r="E290" s="39" t="str">
        <f>'Por Valoracion (3) Dimension 2'!J290</f>
        <v>0</v>
      </c>
      <c r="Z290" s="50"/>
    </row>
    <row r="291" spans="1:26">
      <c r="A291" s="50"/>
      <c r="C291" t="str">
        <f>('Inteligencia emocional'!A292)</f>
        <v>0</v>
      </c>
      <c r="D291" s="39" t="str">
        <f>'Por Valoracion (3) Dimension'!H291</f>
        <v>0</v>
      </c>
      <c r="E291" s="39" t="str">
        <f>'Por Valoracion (3) Dimension 2'!J291</f>
        <v>0</v>
      </c>
      <c r="Z291" s="50"/>
    </row>
    <row r="292" spans="1:26">
      <c r="A292" s="50"/>
      <c r="C292" t="str">
        <f>('Inteligencia emocional'!A293)</f>
        <v>0</v>
      </c>
      <c r="D292" s="39" t="str">
        <f>'Por Valoracion (3) Dimension'!H292</f>
        <v>0</v>
      </c>
      <c r="E292" s="39" t="str">
        <f>'Por Valoracion (3) Dimension 2'!J292</f>
        <v>0</v>
      </c>
      <c r="Z292" s="50"/>
    </row>
    <row r="293" spans="1:26">
      <c r="A293" s="50"/>
      <c r="C293" t="str">
        <f>('Inteligencia emocional'!A294)</f>
        <v>0</v>
      </c>
      <c r="D293" s="39" t="str">
        <f>'Por Valoracion (3) Dimension'!H293</f>
        <v>0</v>
      </c>
      <c r="E293" s="39" t="str">
        <f>'Por Valoracion (3) Dimension 2'!J293</f>
        <v>0</v>
      </c>
      <c r="Z293" s="50"/>
    </row>
    <row r="294" spans="1:26">
      <c r="A294" s="50"/>
      <c r="C294" t="str">
        <f>('Inteligencia emocional'!A295)</f>
        <v>0</v>
      </c>
      <c r="D294" s="39" t="str">
        <f>'Por Valoracion (3) Dimension'!H294</f>
        <v>0</v>
      </c>
      <c r="E294" s="39" t="str">
        <f>'Por Valoracion (3) Dimension 2'!J294</f>
        <v>0</v>
      </c>
      <c r="Z294" s="50"/>
    </row>
    <row r="295" spans="1:26">
      <c r="A295" s="50"/>
      <c r="C295" t="str">
        <f>('Inteligencia emocional'!A296)</f>
        <v>0</v>
      </c>
      <c r="D295" s="39" t="str">
        <f>'Por Valoracion (3) Dimension'!H295</f>
        <v>0</v>
      </c>
      <c r="E295" s="39" t="str">
        <f>'Por Valoracion (3) Dimension 2'!J295</f>
        <v>0</v>
      </c>
      <c r="Z295" s="50"/>
    </row>
    <row r="296" spans="1:26">
      <c r="A296" s="50"/>
      <c r="C296" t="str">
        <f>('Inteligencia emocional'!A297)</f>
        <v>0</v>
      </c>
      <c r="D296" s="39" t="str">
        <f>'Por Valoracion (3) Dimension'!H296</f>
        <v>0</v>
      </c>
      <c r="E296" s="39" t="str">
        <f>'Por Valoracion (3) Dimension 2'!J296</f>
        <v>0</v>
      </c>
      <c r="Z296" s="50"/>
    </row>
    <row r="297" spans="1:26">
      <c r="A297" s="50"/>
      <c r="C297" t="str">
        <f>('Inteligencia emocional'!A298)</f>
        <v>0</v>
      </c>
      <c r="D297" s="39" t="str">
        <f>'Por Valoracion (3) Dimension'!H297</f>
        <v>0</v>
      </c>
      <c r="E297" s="39" t="str">
        <f>'Por Valoracion (3) Dimension 2'!J297</f>
        <v>0</v>
      </c>
      <c r="Z297" s="50"/>
    </row>
    <row r="298" spans="1:26">
      <c r="A298" s="50"/>
      <c r="C298" t="str">
        <f>('Inteligencia emocional'!A299)</f>
        <v>0</v>
      </c>
      <c r="D298" s="39" t="str">
        <f>'Por Valoracion (3) Dimension'!H298</f>
        <v>0</v>
      </c>
      <c r="E298" s="39" t="str">
        <f>'Por Valoracion (3) Dimension 2'!J298</f>
        <v>0</v>
      </c>
      <c r="Z298" s="50"/>
    </row>
    <row r="299" spans="1:26">
      <c r="A299" s="50"/>
      <c r="C299" t="str">
        <f>('Inteligencia emocional'!A300)</f>
        <v>0</v>
      </c>
      <c r="D299" s="39" t="str">
        <f>'Por Valoracion (3) Dimension'!H299</f>
        <v>0</v>
      </c>
      <c r="E299" s="39" t="str">
        <f>'Por Valoracion (3) Dimension 2'!J299</f>
        <v>0</v>
      </c>
      <c r="Z299" s="50"/>
    </row>
    <row r="300" spans="1:26">
      <c r="A300" s="50"/>
      <c r="C300" t="str">
        <f>('Inteligencia emocional'!A301)</f>
        <v>0</v>
      </c>
      <c r="D300" s="39" t="str">
        <f>'Por Valoracion (3) Dimension'!H300</f>
        <v>0</v>
      </c>
      <c r="E300" s="39" t="str">
        <f>'Por Valoracion (3) Dimension 2'!J300</f>
        <v>0</v>
      </c>
      <c r="Z300" s="50"/>
    </row>
    <row r="301" spans="1:26">
      <c r="A301" s="50"/>
      <c r="C301" t="str">
        <f>('Inteligencia emocional'!A302)</f>
        <v>0</v>
      </c>
      <c r="D301" s="39" t="str">
        <f>'Por Valoracion (3) Dimension'!H301</f>
        <v>0</v>
      </c>
      <c r="E301" s="39" t="str">
        <f>'Por Valoracion (3) Dimension 2'!J301</f>
        <v>0</v>
      </c>
      <c r="Z301" s="50"/>
    </row>
    <row r="302" spans="1:26">
      <c r="A302" s="50"/>
      <c r="C302" t="str">
        <f>('Inteligencia emocional'!A303)</f>
        <v>0</v>
      </c>
      <c r="D302" s="39" t="str">
        <f>'Por Valoracion (3) Dimension'!H302</f>
        <v>0</v>
      </c>
      <c r="E302" s="39" t="str">
        <f>'Por Valoracion (3) Dimension 2'!J302</f>
        <v>0</v>
      </c>
      <c r="Z302" s="50"/>
    </row>
    <row r="303" spans="1:26">
      <c r="A303" s="50"/>
      <c r="C303" t="str">
        <f>('Inteligencia emocional'!A304)</f>
        <v>0</v>
      </c>
      <c r="D303" s="39" t="str">
        <f>'Por Valoracion (3) Dimension'!H303</f>
        <v>0</v>
      </c>
      <c r="E303" s="39" t="str">
        <f>'Por Valoracion (3) Dimension 2'!J303</f>
        <v>0</v>
      </c>
      <c r="Z303" s="50"/>
    </row>
    <row r="304" spans="1:26">
      <c r="A304" s="50"/>
      <c r="C304" t="str">
        <f>('Inteligencia emocional'!A305)</f>
        <v>0</v>
      </c>
      <c r="D304" s="39" t="str">
        <f>'Por Valoracion (3) Dimension'!H304</f>
        <v>0</v>
      </c>
      <c r="E304" s="39" t="str">
        <f>'Por Valoracion (3) Dimension 2'!J304</f>
        <v>0</v>
      </c>
      <c r="Z304" s="50"/>
    </row>
    <row r="305" spans="1:26">
      <c r="A305" s="50"/>
      <c r="C305" t="str">
        <f>('Inteligencia emocional'!A306)</f>
        <v>0</v>
      </c>
      <c r="D305" s="39" t="str">
        <f>'Por Valoracion (3) Dimension'!H305</f>
        <v>0</v>
      </c>
      <c r="E305" s="39" t="str">
        <f>'Por Valoracion (3) Dimension 2'!J305</f>
        <v>0</v>
      </c>
      <c r="Z305" s="50"/>
    </row>
    <row r="306" spans="1:26">
      <c r="A306" s="50"/>
      <c r="C306" t="str">
        <f>('Inteligencia emocional'!A307)</f>
        <v>0</v>
      </c>
      <c r="D306" s="39" t="str">
        <f>'Por Valoracion (3) Dimension'!H306</f>
        <v>0</v>
      </c>
      <c r="E306" s="39" t="str">
        <f>'Por Valoracion (3) Dimension 2'!J306</f>
        <v>0</v>
      </c>
      <c r="Z306" s="50"/>
    </row>
    <row r="307" spans="1:26">
      <c r="A307" s="50"/>
      <c r="C307" t="str">
        <f>('Inteligencia emocional'!A308)</f>
        <v>0</v>
      </c>
      <c r="D307" s="39" t="str">
        <f>'Por Valoracion (3) Dimension'!H307</f>
        <v>0</v>
      </c>
      <c r="E307" s="39" t="str">
        <f>'Por Valoracion (3) Dimension 2'!J307</f>
        <v>0</v>
      </c>
      <c r="Z307" s="50"/>
    </row>
    <row r="308" spans="1:26">
      <c r="A308" s="50"/>
      <c r="C308" t="str">
        <f>('Inteligencia emocional'!A309)</f>
        <v>0</v>
      </c>
      <c r="D308" s="39" t="str">
        <f>'Por Valoracion (3) Dimension'!H308</f>
        <v>0</v>
      </c>
      <c r="E308" s="39" t="str">
        <f>'Por Valoracion (3) Dimension 2'!J308</f>
        <v>0</v>
      </c>
      <c r="Z308" s="50"/>
    </row>
    <row r="309" spans="1:26">
      <c r="A309" s="50"/>
      <c r="C309" t="str">
        <f>('Inteligencia emocional'!A310)</f>
        <v>0</v>
      </c>
      <c r="D309" s="39" t="str">
        <f>'Por Valoracion (3) Dimension'!H309</f>
        <v>0</v>
      </c>
      <c r="E309" s="39" t="str">
        <f>'Por Valoracion (3) Dimension 2'!J309</f>
        <v>0</v>
      </c>
      <c r="Z309" s="50"/>
    </row>
    <row r="310" spans="1:26">
      <c r="A310" s="50"/>
      <c r="C310" t="str">
        <f>('Inteligencia emocional'!A311)</f>
        <v>0</v>
      </c>
      <c r="D310" s="39" t="str">
        <f>'Por Valoracion (3) Dimension'!H310</f>
        <v>0</v>
      </c>
      <c r="E310" s="39" t="str">
        <f>'Por Valoracion (3) Dimension 2'!J310</f>
        <v>0</v>
      </c>
      <c r="Z310" s="50"/>
    </row>
    <row r="311" spans="1:26">
      <c r="A311" s="50"/>
      <c r="C311" t="str">
        <f>('Inteligencia emocional'!A312)</f>
        <v>0</v>
      </c>
      <c r="D311" s="39" t="str">
        <f>'Por Valoracion (3) Dimension'!H311</f>
        <v>0</v>
      </c>
      <c r="E311" s="39" t="str">
        <f>'Por Valoracion (3) Dimension 2'!J311</f>
        <v>0</v>
      </c>
      <c r="Z311" s="50"/>
    </row>
    <row r="312" spans="1:26">
      <c r="A312" s="50"/>
      <c r="C312" t="str">
        <f>('Inteligencia emocional'!A313)</f>
        <v>0</v>
      </c>
      <c r="D312" s="39" t="str">
        <f>'Por Valoracion (3) Dimension'!H312</f>
        <v>0</v>
      </c>
      <c r="E312" s="39" t="str">
        <f>'Por Valoracion (3) Dimension 2'!J312</f>
        <v>0</v>
      </c>
      <c r="Z312" s="50"/>
    </row>
    <row r="313" spans="1:26">
      <c r="A313" s="50"/>
      <c r="C313" t="str">
        <f>('Inteligencia emocional'!A314)</f>
        <v>0</v>
      </c>
      <c r="D313" s="39" t="str">
        <f>'Por Valoracion (3) Dimension'!H313</f>
        <v>0</v>
      </c>
      <c r="E313" s="39" t="str">
        <f>'Por Valoracion (3) Dimension 2'!J313</f>
        <v>0</v>
      </c>
      <c r="Z313" s="50"/>
    </row>
    <row r="314" spans="1:26">
      <c r="A314" s="50"/>
      <c r="C314" t="str">
        <f>('Inteligencia emocional'!A315)</f>
        <v>0</v>
      </c>
      <c r="D314" s="39" t="str">
        <f>'Por Valoracion (3) Dimension'!H314</f>
        <v>0</v>
      </c>
      <c r="E314" s="39" t="str">
        <f>'Por Valoracion (3) Dimension 2'!J314</f>
        <v>0</v>
      </c>
      <c r="Z314" s="50"/>
    </row>
    <row r="315" spans="1:26">
      <c r="A315" s="50"/>
      <c r="C315" t="str">
        <f>('Inteligencia emocional'!A316)</f>
        <v>0</v>
      </c>
      <c r="D315" s="39" t="str">
        <f>'Por Valoracion (3) Dimension'!H315</f>
        <v>0</v>
      </c>
      <c r="E315" s="39" t="str">
        <f>'Por Valoracion (3) Dimension 2'!J315</f>
        <v>0</v>
      </c>
      <c r="Z315" s="50"/>
    </row>
    <row r="316" spans="1:26">
      <c r="A316" s="50"/>
      <c r="C316" t="str">
        <f>('Inteligencia emocional'!A317)</f>
        <v>0</v>
      </c>
      <c r="D316" s="39" t="str">
        <f>'Por Valoracion (3) Dimension'!H316</f>
        <v>0</v>
      </c>
      <c r="E316" s="39" t="str">
        <f>'Por Valoracion (3) Dimension 2'!J316</f>
        <v>0</v>
      </c>
      <c r="Z316" s="50"/>
    </row>
    <row r="317" spans="1:26">
      <c r="A317" s="50"/>
      <c r="C317" t="str">
        <f>('Inteligencia emocional'!A318)</f>
        <v>0</v>
      </c>
      <c r="D317" s="39" t="str">
        <f>'Por Valoracion (3) Dimension'!H317</f>
        <v>0</v>
      </c>
      <c r="E317" s="39" t="str">
        <f>'Por Valoracion (3) Dimension 2'!J317</f>
        <v>0</v>
      </c>
      <c r="Z317" s="50"/>
    </row>
    <row r="318" spans="1:26">
      <c r="A318" s="50"/>
      <c r="C318" t="str">
        <f>('Inteligencia emocional'!A319)</f>
        <v>0</v>
      </c>
      <c r="D318" s="39" t="str">
        <f>'Por Valoracion (3) Dimension'!H318</f>
        <v>0</v>
      </c>
      <c r="E318" s="39" t="str">
        <f>'Por Valoracion (3) Dimension 2'!J318</f>
        <v>0</v>
      </c>
      <c r="Z318" s="50"/>
    </row>
    <row r="319" spans="1:26">
      <c r="A319" s="50"/>
      <c r="C319" t="str">
        <f>('Inteligencia emocional'!A320)</f>
        <v>0</v>
      </c>
      <c r="D319" s="39" t="str">
        <f>'Por Valoracion (3) Dimension'!H319</f>
        <v>0</v>
      </c>
      <c r="E319" s="39" t="str">
        <f>'Por Valoracion (3) Dimension 2'!J319</f>
        <v>0</v>
      </c>
      <c r="Z319" s="50"/>
    </row>
    <row r="320" spans="1:26">
      <c r="A320" s="50"/>
      <c r="C320" t="str">
        <f>('Inteligencia emocional'!A321)</f>
        <v>0</v>
      </c>
      <c r="D320" s="39" t="str">
        <f>'Por Valoracion (3) Dimension'!H320</f>
        <v>0</v>
      </c>
      <c r="E320" s="39" t="str">
        <f>'Por Valoracion (3) Dimension 2'!J320</f>
        <v>0</v>
      </c>
      <c r="Z320" s="50"/>
    </row>
    <row r="321" spans="1:26">
      <c r="A321" s="50"/>
      <c r="C321" t="str">
        <f>('Inteligencia emocional'!A322)</f>
        <v>0</v>
      </c>
      <c r="D321" s="39" t="str">
        <f>'Por Valoracion (3) Dimension'!H321</f>
        <v>0</v>
      </c>
      <c r="E321" s="39" t="str">
        <f>'Por Valoracion (3) Dimension 2'!J321</f>
        <v>0</v>
      </c>
      <c r="Z321" s="50"/>
    </row>
    <row r="322" spans="1:26">
      <c r="A322" s="50"/>
      <c r="C322" t="str">
        <f>('Inteligencia emocional'!A323)</f>
        <v>0</v>
      </c>
      <c r="D322" s="39" t="str">
        <f>'Por Valoracion (3) Dimension'!H322</f>
        <v>0</v>
      </c>
      <c r="E322" s="39" t="str">
        <f>'Por Valoracion (3) Dimension 2'!J322</f>
        <v>0</v>
      </c>
      <c r="Z322" s="50"/>
    </row>
    <row r="323" spans="1:26">
      <c r="A323" s="50"/>
      <c r="C323" t="str">
        <f>('Inteligencia emocional'!A324)</f>
        <v>0</v>
      </c>
      <c r="D323" s="39" t="str">
        <f>'Por Valoracion (3) Dimension'!H323</f>
        <v>0</v>
      </c>
      <c r="E323" s="39" t="str">
        <f>'Por Valoracion (3) Dimension 2'!J323</f>
        <v>0</v>
      </c>
      <c r="Z323" s="50"/>
    </row>
    <row r="324" spans="1:26">
      <c r="A324" s="50"/>
      <c r="C324" t="str">
        <f>('Inteligencia emocional'!A325)</f>
        <v>0</v>
      </c>
      <c r="D324" s="39" t="str">
        <f>'Por Valoracion (3) Dimension'!H324</f>
        <v>0</v>
      </c>
      <c r="E324" s="39" t="str">
        <f>'Por Valoracion (3) Dimension 2'!J324</f>
        <v>0</v>
      </c>
      <c r="Z324" s="50"/>
    </row>
    <row r="325" spans="1:26">
      <c r="A325" s="50"/>
      <c r="C325" t="str">
        <f>('Inteligencia emocional'!A326)</f>
        <v>0</v>
      </c>
      <c r="D325" s="39" t="str">
        <f>'Por Valoracion (3) Dimension'!H325</f>
        <v>0</v>
      </c>
      <c r="E325" s="39" t="str">
        <f>'Por Valoracion (3) Dimension 2'!J325</f>
        <v>0</v>
      </c>
      <c r="Z325" s="50"/>
    </row>
    <row r="326" spans="1:26">
      <c r="A326" s="50"/>
      <c r="C326" t="str">
        <f>('Inteligencia emocional'!A327)</f>
        <v>0</v>
      </c>
      <c r="D326" s="39" t="str">
        <f>'Por Valoracion (3) Dimension'!H326</f>
        <v>0</v>
      </c>
      <c r="E326" s="39" t="str">
        <f>'Por Valoracion (3) Dimension 2'!J326</f>
        <v>0</v>
      </c>
      <c r="Z326" s="50"/>
    </row>
    <row r="327" spans="1:26">
      <c r="A327" s="50"/>
      <c r="C327" t="str">
        <f>('Inteligencia emocional'!A328)</f>
        <v>0</v>
      </c>
      <c r="D327" s="39" t="str">
        <f>'Por Valoracion (3) Dimension'!H327</f>
        <v>0</v>
      </c>
      <c r="E327" s="39" t="str">
        <f>'Por Valoracion (3) Dimension 2'!J327</f>
        <v>0</v>
      </c>
      <c r="Z327" s="50"/>
    </row>
    <row r="328" spans="1:26">
      <c r="A328" s="50"/>
      <c r="C328" t="str">
        <f>('Inteligencia emocional'!A329)</f>
        <v>0</v>
      </c>
      <c r="D328" s="39" t="str">
        <f>'Por Valoracion (3) Dimension'!H328</f>
        <v>0</v>
      </c>
      <c r="E328" s="39" t="str">
        <f>'Por Valoracion (3) Dimension 2'!J328</f>
        <v>0</v>
      </c>
      <c r="Z328" s="50"/>
    </row>
    <row r="329" spans="1:26">
      <c r="A329" s="50"/>
      <c r="C329" t="str">
        <f>('Inteligencia emocional'!A330)</f>
        <v>0</v>
      </c>
      <c r="D329" s="39" t="str">
        <f>'Por Valoracion (3) Dimension'!H329</f>
        <v>0</v>
      </c>
      <c r="E329" s="39" t="str">
        <f>'Por Valoracion (3) Dimension 2'!J329</f>
        <v>0</v>
      </c>
      <c r="Z329" s="50"/>
    </row>
    <row r="330" spans="1:26">
      <c r="A330" s="50"/>
      <c r="C330" t="str">
        <f>('Inteligencia emocional'!A331)</f>
        <v>0</v>
      </c>
      <c r="D330" s="39" t="str">
        <f>'Por Valoracion (3) Dimension'!H330</f>
        <v>0</v>
      </c>
      <c r="E330" s="39" t="str">
        <f>'Por Valoracion (3) Dimension 2'!J330</f>
        <v>0</v>
      </c>
      <c r="Z330" s="50"/>
    </row>
    <row r="331" spans="1:26">
      <c r="A331" s="50"/>
      <c r="C331" t="str">
        <f>('Inteligencia emocional'!A332)</f>
        <v>0</v>
      </c>
      <c r="D331" s="39" t="str">
        <f>'Por Valoracion (3) Dimension'!H331</f>
        <v>0</v>
      </c>
      <c r="E331" s="39" t="str">
        <f>'Por Valoracion (3) Dimension 2'!J331</f>
        <v>0</v>
      </c>
      <c r="Z331" s="50"/>
    </row>
    <row r="332" spans="1:26">
      <c r="A332" s="50"/>
      <c r="C332" t="str">
        <f>('Inteligencia emocional'!A333)</f>
        <v>0</v>
      </c>
      <c r="D332" s="39" t="str">
        <f>'Por Valoracion (3) Dimension'!H332</f>
        <v>0</v>
      </c>
      <c r="E332" s="39" t="str">
        <f>'Por Valoracion (3) Dimension 2'!J332</f>
        <v>0</v>
      </c>
      <c r="Z332" s="50"/>
    </row>
    <row r="333" spans="1:26">
      <c r="A333" s="50"/>
      <c r="C333" t="str">
        <f>('Inteligencia emocional'!A334)</f>
        <v>0</v>
      </c>
      <c r="D333" s="39" t="str">
        <f>'Por Valoracion (3) Dimension'!H333</f>
        <v>0</v>
      </c>
      <c r="E333" s="39" t="str">
        <f>'Por Valoracion (3) Dimension 2'!J333</f>
        <v>0</v>
      </c>
      <c r="Z333" s="50"/>
    </row>
    <row r="334" spans="1:26">
      <c r="A334" s="50"/>
      <c r="C334" t="str">
        <f>('Inteligencia emocional'!A335)</f>
        <v>0</v>
      </c>
      <c r="D334" s="39" t="str">
        <f>'Por Valoracion (3) Dimension'!H334</f>
        <v>0</v>
      </c>
      <c r="E334" s="39" t="str">
        <f>'Por Valoracion (3) Dimension 2'!J334</f>
        <v>0</v>
      </c>
      <c r="Z334" s="50"/>
    </row>
    <row r="335" spans="1:26">
      <c r="A335" s="50"/>
      <c r="C335" t="str">
        <f>('Inteligencia emocional'!A336)</f>
        <v>0</v>
      </c>
      <c r="D335" s="39" t="str">
        <f>'Por Valoracion (3) Dimension'!H335</f>
        <v>0</v>
      </c>
      <c r="E335" s="39" t="str">
        <f>'Por Valoracion (3) Dimension 2'!J335</f>
        <v>0</v>
      </c>
      <c r="Z335" s="50"/>
    </row>
    <row r="336" spans="1:26">
      <c r="A336" s="50"/>
      <c r="C336" t="str">
        <f>('Inteligencia emocional'!A337)</f>
        <v>0</v>
      </c>
      <c r="D336" s="39" t="str">
        <f>'Por Valoracion (3) Dimension'!H336</f>
        <v>0</v>
      </c>
      <c r="E336" s="39" t="str">
        <f>'Por Valoracion (3) Dimension 2'!J336</f>
        <v>0</v>
      </c>
      <c r="Z336" s="50"/>
    </row>
    <row r="337" spans="1:26">
      <c r="A337" s="50"/>
      <c r="C337" t="str">
        <f>('Inteligencia emocional'!A338)</f>
        <v>0</v>
      </c>
      <c r="D337" s="39" t="str">
        <f>'Por Valoracion (3) Dimension'!H337</f>
        <v>0</v>
      </c>
      <c r="E337" s="39" t="str">
        <f>'Por Valoracion (3) Dimension 2'!J337</f>
        <v>0</v>
      </c>
      <c r="Z337" s="50"/>
    </row>
    <row r="338" spans="1:26">
      <c r="A338" s="50"/>
      <c r="C338" t="str">
        <f>('Inteligencia emocional'!A339)</f>
        <v>0</v>
      </c>
      <c r="D338" s="39" t="str">
        <f>'Por Valoracion (3) Dimension'!H338</f>
        <v>0</v>
      </c>
      <c r="E338" s="39" t="str">
        <f>'Por Valoracion (3) Dimension 2'!J338</f>
        <v>0</v>
      </c>
      <c r="Z338" s="50"/>
    </row>
    <row r="339" spans="1:26">
      <c r="A339" s="50"/>
      <c r="C339" t="str">
        <f>('Inteligencia emocional'!A340)</f>
        <v>0</v>
      </c>
      <c r="D339" s="39" t="str">
        <f>'Por Valoracion (3) Dimension'!H339</f>
        <v>0</v>
      </c>
      <c r="E339" s="39" t="str">
        <f>'Por Valoracion (3) Dimension 2'!J339</f>
        <v>0</v>
      </c>
      <c r="Z339" s="50"/>
    </row>
    <row r="340" spans="1:26">
      <c r="A340" s="50"/>
      <c r="C340" t="str">
        <f>('Inteligencia emocional'!A341)</f>
        <v>0</v>
      </c>
      <c r="D340" s="39" t="str">
        <f>'Por Valoracion (3) Dimension'!H340</f>
        <v>0</v>
      </c>
      <c r="E340" s="39" t="str">
        <f>'Por Valoracion (3) Dimension 2'!J340</f>
        <v>0</v>
      </c>
      <c r="Z340" s="50"/>
    </row>
    <row r="341" spans="1:26">
      <c r="A341" s="50"/>
      <c r="C341" t="str">
        <f>('Inteligencia emocional'!A342)</f>
        <v>0</v>
      </c>
      <c r="D341" s="39" t="str">
        <f>'Por Valoracion (3) Dimension'!H341</f>
        <v>0</v>
      </c>
      <c r="E341" s="39" t="str">
        <f>'Por Valoracion (3) Dimension 2'!J341</f>
        <v>0</v>
      </c>
      <c r="Z341" s="50"/>
    </row>
    <row r="342" spans="1:26">
      <c r="A342" s="50"/>
      <c r="C342" t="str">
        <f>('Inteligencia emocional'!A343)</f>
        <v>0</v>
      </c>
      <c r="D342" s="39" t="str">
        <f>'Por Valoracion (3) Dimension'!H342</f>
        <v>0</v>
      </c>
      <c r="E342" s="39" t="str">
        <f>'Por Valoracion (3) Dimension 2'!J342</f>
        <v>0</v>
      </c>
      <c r="Z342" s="50"/>
    </row>
    <row r="343" spans="1:26">
      <c r="A343" s="50"/>
      <c r="C343" t="str">
        <f>('Inteligencia emocional'!A344)</f>
        <v>0</v>
      </c>
      <c r="D343" s="39" t="str">
        <f>'Por Valoracion (3) Dimension'!H343</f>
        <v>0</v>
      </c>
      <c r="E343" s="39" t="str">
        <f>'Por Valoracion (3) Dimension 2'!J343</f>
        <v>0</v>
      </c>
      <c r="Z343" s="50"/>
    </row>
    <row r="344" spans="1:26">
      <c r="A344" s="50"/>
      <c r="C344" t="str">
        <f>('Inteligencia emocional'!A345)</f>
        <v>0</v>
      </c>
      <c r="D344" s="39" t="str">
        <f>'Por Valoracion (3) Dimension'!H344</f>
        <v>0</v>
      </c>
      <c r="E344" s="39" t="str">
        <f>'Por Valoracion (3) Dimension 2'!J344</f>
        <v>0</v>
      </c>
      <c r="Z344" s="50"/>
    </row>
    <row r="345" spans="1:26">
      <c r="A345" s="50"/>
      <c r="C345" t="str">
        <f>('Inteligencia emocional'!A346)</f>
        <v>0</v>
      </c>
      <c r="D345" s="39" t="str">
        <f>'Por Valoracion (3) Dimension'!H345</f>
        <v>0</v>
      </c>
      <c r="E345" s="39" t="str">
        <f>'Por Valoracion (3) Dimension 2'!J345</f>
        <v>0</v>
      </c>
      <c r="Z345" s="50"/>
    </row>
    <row r="346" spans="1:26">
      <c r="A346" s="50"/>
      <c r="C346" t="str">
        <f>('Inteligencia emocional'!A347)</f>
        <v>0</v>
      </c>
      <c r="D346" s="39" t="str">
        <f>'Por Valoracion (3) Dimension'!H346</f>
        <v>0</v>
      </c>
      <c r="E346" s="39" t="str">
        <f>'Por Valoracion (3) Dimension 2'!J346</f>
        <v>0</v>
      </c>
      <c r="Z346" s="50"/>
    </row>
    <row r="347" spans="1:26">
      <c r="A347" s="50"/>
      <c r="C347" t="str">
        <f>('Inteligencia emocional'!A348)</f>
        <v>0</v>
      </c>
      <c r="D347" s="39" t="str">
        <f>'Por Valoracion (3) Dimension'!H347</f>
        <v>0</v>
      </c>
      <c r="E347" s="39" t="str">
        <f>'Por Valoracion (3) Dimension 2'!J347</f>
        <v>0</v>
      </c>
      <c r="Z347" s="50"/>
    </row>
    <row r="348" spans="1:26">
      <c r="A348" s="50"/>
      <c r="C348" t="str">
        <f>('Inteligencia emocional'!A349)</f>
        <v>0</v>
      </c>
      <c r="D348" s="39" t="str">
        <f>'Por Valoracion (3) Dimension'!H348</f>
        <v>0</v>
      </c>
      <c r="E348" s="39" t="str">
        <f>'Por Valoracion (3) Dimension 2'!J348</f>
        <v>0</v>
      </c>
      <c r="Z348" s="50"/>
    </row>
    <row r="349" spans="1:26">
      <c r="A349" s="50"/>
      <c r="C349" t="str">
        <f>('Inteligencia emocional'!A350)</f>
        <v>0</v>
      </c>
      <c r="D349" s="39" t="str">
        <f>'Por Valoracion (3) Dimension'!H349</f>
        <v>0</v>
      </c>
      <c r="E349" s="39" t="str">
        <f>'Por Valoracion (3) Dimension 2'!J349</f>
        <v>0</v>
      </c>
      <c r="Z349" s="50"/>
    </row>
    <row r="350" spans="1:26">
      <c r="A350" s="50"/>
      <c r="C350" t="str">
        <f>('Inteligencia emocional'!A351)</f>
        <v>0</v>
      </c>
      <c r="D350" s="39" t="str">
        <f>'Por Valoracion (3) Dimension'!H350</f>
        <v>0</v>
      </c>
      <c r="E350" s="39" t="str">
        <f>'Por Valoracion (3) Dimension 2'!J350</f>
        <v>0</v>
      </c>
      <c r="Z350" s="50"/>
    </row>
    <row r="351" spans="1:26">
      <c r="A351" s="50"/>
      <c r="C351" t="str">
        <f>('Inteligencia emocional'!A352)</f>
        <v>0</v>
      </c>
      <c r="D351" s="39" t="str">
        <f>'Por Valoracion (3) Dimension'!H351</f>
        <v>0</v>
      </c>
      <c r="E351" s="39" t="str">
        <f>'Por Valoracion (3) Dimension 2'!J351</f>
        <v>0</v>
      </c>
      <c r="Z351" s="50"/>
    </row>
    <row r="352" spans="1:26">
      <c r="A352" s="50"/>
      <c r="C352" t="str">
        <f>('Inteligencia emocional'!A353)</f>
        <v>0</v>
      </c>
      <c r="D352" s="39" t="str">
        <f>'Por Valoracion (3) Dimension'!H352</f>
        <v>0</v>
      </c>
      <c r="E352" s="39" t="str">
        <f>'Por Valoracion (3) Dimension 2'!J352</f>
        <v>0</v>
      </c>
      <c r="Z352" s="50"/>
    </row>
    <row r="353" spans="1:26">
      <c r="A353" s="50"/>
      <c r="C353" t="str">
        <f>('Inteligencia emocional'!A354)</f>
        <v>0</v>
      </c>
      <c r="D353" s="39" t="str">
        <f>'Por Valoracion (3) Dimension'!H353</f>
        <v>0</v>
      </c>
      <c r="E353" s="39" t="str">
        <f>'Por Valoracion (3) Dimension 2'!J353</f>
        <v>0</v>
      </c>
      <c r="Z353" s="50"/>
    </row>
    <row r="354" spans="1:26">
      <c r="A354" s="50"/>
      <c r="C354" t="str">
        <f>('Inteligencia emocional'!A355)</f>
        <v>0</v>
      </c>
      <c r="D354" s="39" t="str">
        <f>'Por Valoracion (3) Dimension'!H354</f>
        <v>0</v>
      </c>
      <c r="E354" s="39" t="str">
        <f>'Por Valoracion (3) Dimension 2'!J354</f>
        <v>0</v>
      </c>
      <c r="Z354" s="50"/>
    </row>
    <row r="355" spans="1:26">
      <c r="A355" s="50"/>
      <c r="C355" t="str">
        <f>('Inteligencia emocional'!A356)</f>
        <v>0</v>
      </c>
      <c r="D355" s="39" t="str">
        <f>'Por Valoracion (3) Dimension'!H355</f>
        <v>0</v>
      </c>
      <c r="E355" s="39" t="str">
        <f>'Por Valoracion (3) Dimension 2'!J355</f>
        <v>0</v>
      </c>
      <c r="Z355" s="50"/>
    </row>
    <row r="356" spans="1:26">
      <c r="A356" s="50"/>
      <c r="C356" t="str">
        <f>('Inteligencia emocional'!A357)</f>
        <v>0</v>
      </c>
      <c r="D356" s="39" t="str">
        <f>'Por Valoracion (3) Dimension'!H356</f>
        <v>0</v>
      </c>
      <c r="E356" s="39" t="str">
        <f>'Por Valoracion (3) Dimension 2'!J356</f>
        <v>0</v>
      </c>
      <c r="Z356" s="50"/>
    </row>
    <row r="357" spans="1:26">
      <c r="A357" s="50"/>
      <c r="C357" t="str">
        <f>('Inteligencia emocional'!A358)</f>
        <v>0</v>
      </c>
      <c r="D357" s="39" t="str">
        <f>'Por Valoracion (3) Dimension'!H357</f>
        <v>0</v>
      </c>
      <c r="E357" s="39" t="str">
        <f>'Por Valoracion (3) Dimension 2'!J357</f>
        <v>0</v>
      </c>
      <c r="Z357" s="50"/>
    </row>
    <row r="358" spans="1:26">
      <c r="A358" s="50"/>
      <c r="C358" t="str">
        <f>('Inteligencia emocional'!A359)</f>
        <v>0</v>
      </c>
      <c r="D358" s="39" t="str">
        <f>'Por Valoracion (3) Dimension'!H358</f>
        <v>0</v>
      </c>
      <c r="E358" s="39" t="str">
        <f>'Por Valoracion (3) Dimension 2'!J358</f>
        <v>0</v>
      </c>
      <c r="Z358" s="50"/>
    </row>
    <row r="359" spans="1:26">
      <c r="A359" s="50"/>
      <c r="Z359" s="50"/>
    </row>
    <row r="360" spans="1:26">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3" spans="1:26">
      <c r="D363" t="s">
        <v>665</v>
      </c>
      <c r="E363" t="s">
        <v>665</v>
      </c>
      <c r="F363" t="s">
        <v>653</v>
      </c>
      <c r="G363" t="s">
        <v>654</v>
      </c>
      <c r="H363" t="s">
        <v>655</v>
      </c>
      <c r="I363" t="s">
        <v>656</v>
      </c>
      <c r="M363" t="s">
        <v>657</v>
      </c>
      <c r="N363" t="s">
        <v>658</v>
      </c>
      <c r="O363" t="s">
        <v>659</v>
      </c>
      <c r="R363" t="s">
        <v>657</v>
      </c>
      <c r="S363" t="s">
        <v>658</v>
      </c>
      <c r="T363" t="s">
        <v>660</v>
      </c>
    </row>
    <row r="364" spans="1:26">
      <c r="D364" t="str">
        <f>D3</f>
        <v>0</v>
      </c>
      <c r="E364" t="str">
        <f>E3</f>
        <v>0</v>
      </c>
      <c r="F364" t="str">
        <f>IF(G8&lt;=50,H6,H6)</f>
        <v>0</v>
      </c>
      <c r="G364" t="str">
        <f>IF(E3&lt;5/100,"la distribución de sus valores son diferentes a la distribución normal","la distribución de sus valores no son diferentes a la distribución normal")</f>
        <v>0</v>
      </c>
      <c r="H364" t="str">
        <f>IF(G364="la distribución de sus valores son diferentes a la distribución normal"," es decir los datos no se encuentran normalmente distribuidos"," es decir los datos si se encuentran normalmente distribuidos")</f>
        <v>0</v>
      </c>
      <c r="I364" t="str">
        <f>IF(G364=" es decir los datos no se encuentran normalmente distribuidos"," la prueba no paramétrica de correlación de Rho de Spearman","la prueba paramétrica de correlación de Pearson")</f>
        <v>0</v>
      </c>
      <c r="M364" t="s">
        <v>661</v>
      </c>
      <c r="N364" t="str">
        <f>R14</f>
        <v>0</v>
      </c>
      <c r="O364" t="str">
        <f>R13</f>
        <v>0</v>
      </c>
      <c r="R364" t="s">
        <v>661</v>
      </c>
      <c r="S364" t="str">
        <f>X14</f>
        <v>0</v>
      </c>
      <c r="T364" t="str">
        <f>X13</f>
        <v>0</v>
      </c>
    </row>
    <row r="365" spans="1:26">
      <c r="C365" t="s">
        <v>662</v>
      </c>
      <c r="D365" t="str">
        <f>M8</f>
        <v>0</v>
      </c>
      <c r="E365" t="str">
        <f>M9</f>
        <v>0</v>
      </c>
      <c r="N365" t="str">
        <f>N364/100</f>
        <v>0</v>
      </c>
      <c r="O365" t="str">
        <f>O364*100</f>
        <v>0</v>
      </c>
      <c r="Q365" t="s">
        <v>663</v>
      </c>
      <c r="S365" t="str">
        <f>S364/100</f>
        <v>0</v>
      </c>
      <c r="T365" t="str">
        <f>T364*100</f>
        <v>0</v>
      </c>
      <c r="V365" t="s">
        <v>663</v>
      </c>
    </row>
    <row r="366" spans="1:26">
      <c r="N366" t="str">
        <f>IF(N364&lt;5/100,"existe relación significativa entre las ","no existe relación entre las ")</f>
        <v>0</v>
      </c>
      <c r="O366" t="str">
        <f>IF(O364&lt;='Criterio para el valor r'!$A$2,'Criterio para el valor r'!$C$2,IF(O364&lt;='Criterio para el valor r'!$A$3,'Criterio para el valor r'!$C$3,IF(O364&lt;='Criterio para el valor r'!$A$4,'Criterio para el valor r'!$C$4,IF(O364&lt;='Criterio para el valor r'!$A$5,'Criterio para el valor r'!$C$5,IF(O364&lt;='Criterio para el valor r'!$A$6,'Criterio para el valor r'!$C$6,IF(O364&lt;='Criterio para el valor r'!$A$8,'Criterio para el valor r'!$C$7,IF(O364&lt;='Criterio para el valor r'!$A$7,'Criterio para el valor r'!$C$8,IF(O364&lt;='Criterio para el valor r'!$B$9,'Criterio para el valor r'!$C$9,IF(O364&lt;='Criterio para el valor r'!$B$10,'Criterio para el valor r'!$C$10,IF(O364&lt;='Criterio para el valor r'!$B$11,'Criterio para el valor r'!$C$11,IF(O364&lt;='Criterio para el valor r'!$B$12,'Criterio para el valor r'!$C$12,IF(O364&lt;='Criterio para el valor r'!$B$13,'Criterio para el valor r'!$C$13,IF(O364&lt;='Criterio para el valor r'!$B$14,'Criterio para el valor r'!$C$14,"algo esta mal")))))))))))))</f>
        <v>0</v>
      </c>
      <c r="P366" t="str">
        <f>IF(O364&lt;0,"menor","mayor")</f>
        <v>0</v>
      </c>
      <c r="Q366" t="str">
        <f>IF(N365&gt;=5/100,"se acepta la Ho y se rechaza la Hi","se rechaza la Ho y se acepta la Hi")</f>
        <v>0</v>
      </c>
      <c r="S366" t="str">
        <f>IF(S364&lt;5/100,"existe relación significativa entre las ","no existe relación entre las ")</f>
        <v>0</v>
      </c>
      <c r="T366" t="str">
        <f>IF(T364&lt;5/100,"existe relación significativa entre las ","no existe relación entre las ")</f>
        <v>0</v>
      </c>
      <c r="U366" t="str">
        <f>IF(T364&lt;0,"menor","mayor")</f>
        <v>0</v>
      </c>
      <c r="V366" t="str">
        <f>IF(S365&gt;=5/100,"se acepta la Ho y se rechaza la Hi","se rechaza la Ho y se acepta la Hi")</f>
        <v>0</v>
      </c>
    </row>
    <row r="369" spans="1:26">
      <c r="O369" s="27" t="str">
        <f>CONCATENATE("la ",O10," muestra los resultados de la prueba de ",P13,", en donde se evidencia que con una ",N363," del ",N365,"% ",N366," ",M364," ",O13," y ",O16,", adicional a ello se puede observar que la fuerza y/o grado de correlación ",O363," tiene un valor de ",O365,"% lo que afirma que es una ",O366," mismo que asu vez significa que a mayor ",Q12," ",P366," ",O16,", por todo ello en el presente objetivo ",Q366,".")</f>
        <v>0</v>
      </c>
      <c r="T369" s="27" t="str">
        <f>CONCATENATE("la ",T10," muestra los resultados de la prueba de ",V13,", en donde se evidencia que con una ",S363," del ",S365,"% ",S366," ",R364," ",U13," y ",U16,", adicional a ello se puede observar que la fuerza y/o grado de correlación ",T363," tiene un valor de ",T365,"% lo que afirma que es una ",T366," mismo que asu vez significa que a mayor ",W12," ",U366," ",X12,", por todo ello en el presente objetivo ",V366,".")</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C24:C24"/>
    <mergeCell ref="C25:C25"/>
    <mergeCell ref="C26:C26"/>
    <mergeCell ref="C27:C27"/>
    <mergeCell ref="C28:C28"/>
    <mergeCell ref="C29:C29"/>
    <mergeCell ref="C30:C30"/>
    <mergeCell ref="C31:C31"/>
    <mergeCell ref="C32:C32"/>
    <mergeCell ref="C33:C33"/>
    <mergeCell ref="C34:C34"/>
    <mergeCell ref="C35:C35"/>
    <mergeCell ref="C36:C36"/>
    <mergeCell ref="C37:C37"/>
    <mergeCell ref="C38:C38"/>
    <mergeCell ref="C39:C39"/>
    <mergeCell ref="C40:C40"/>
    <mergeCell ref="C41:C41"/>
    <mergeCell ref="C42:C42"/>
    <mergeCell ref="C43:C43"/>
    <mergeCell ref="C44:C44"/>
    <mergeCell ref="C45:C45"/>
    <mergeCell ref="C46:C46"/>
    <mergeCell ref="C47:C47"/>
    <mergeCell ref="C48:C48"/>
    <mergeCell ref="C49:C49"/>
    <mergeCell ref="C50:C50"/>
    <mergeCell ref="C51:C51"/>
    <mergeCell ref="C52:C52"/>
    <mergeCell ref="C53:C53"/>
    <mergeCell ref="C54:C54"/>
    <mergeCell ref="C55:C55"/>
    <mergeCell ref="C56:C56"/>
    <mergeCell ref="C57:C57"/>
    <mergeCell ref="C58:C58"/>
    <mergeCell ref="C59:C59"/>
    <mergeCell ref="C60:C60"/>
    <mergeCell ref="C61:C61"/>
    <mergeCell ref="C62:C62"/>
    <mergeCell ref="C63:C63"/>
    <mergeCell ref="C64:C64"/>
    <mergeCell ref="C65:C65"/>
    <mergeCell ref="C66:C66"/>
    <mergeCell ref="C67:C67"/>
    <mergeCell ref="C68:C68"/>
    <mergeCell ref="C69:C69"/>
    <mergeCell ref="C70:C70"/>
    <mergeCell ref="C71:C71"/>
    <mergeCell ref="C72:C72"/>
    <mergeCell ref="C73:C73"/>
    <mergeCell ref="C74:C74"/>
    <mergeCell ref="C75:C75"/>
    <mergeCell ref="C76:C76"/>
    <mergeCell ref="C77:C77"/>
    <mergeCell ref="C78:C78"/>
    <mergeCell ref="C79:C79"/>
    <mergeCell ref="C80:C80"/>
    <mergeCell ref="C81:C81"/>
    <mergeCell ref="C82:C82"/>
    <mergeCell ref="C83:C83"/>
    <mergeCell ref="C84:C84"/>
    <mergeCell ref="C85:C85"/>
    <mergeCell ref="C86:C86"/>
    <mergeCell ref="C87:C87"/>
    <mergeCell ref="C88:C88"/>
    <mergeCell ref="C89:C89"/>
    <mergeCell ref="C90:C90"/>
    <mergeCell ref="C91:C91"/>
    <mergeCell ref="C92:C92"/>
    <mergeCell ref="C93:C93"/>
    <mergeCell ref="C94:C94"/>
    <mergeCell ref="C95:C95"/>
    <mergeCell ref="C96:C96"/>
    <mergeCell ref="C97:C97"/>
    <mergeCell ref="C98:C98"/>
    <mergeCell ref="C99:C99"/>
    <mergeCell ref="C100:C100"/>
    <mergeCell ref="C101:C101"/>
    <mergeCell ref="C102:C102"/>
    <mergeCell ref="C103:C103"/>
    <mergeCell ref="C104:C104"/>
    <mergeCell ref="C105:C105"/>
    <mergeCell ref="C106:C106"/>
    <mergeCell ref="C107:C107"/>
    <mergeCell ref="C108:C108"/>
    <mergeCell ref="C109:C109"/>
    <mergeCell ref="C110:C110"/>
    <mergeCell ref="C111:C111"/>
    <mergeCell ref="C112:C112"/>
    <mergeCell ref="C113:C113"/>
    <mergeCell ref="C114:C114"/>
    <mergeCell ref="C115:C115"/>
    <mergeCell ref="C116:C116"/>
    <mergeCell ref="C117:C117"/>
    <mergeCell ref="C118:C118"/>
    <mergeCell ref="C119:C119"/>
    <mergeCell ref="C120:C120"/>
    <mergeCell ref="C121:C121"/>
    <mergeCell ref="C122:C122"/>
    <mergeCell ref="C123:C123"/>
    <mergeCell ref="C124:C124"/>
    <mergeCell ref="C125:C125"/>
    <mergeCell ref="C126:C126"/>
    <mergeCell ref="C127:C127"/>
    <mergeCell ref="C128:C128"/>
    <mergeCell ref="C129:C129"/>
    <mergeCell ref="C130:C130"/>
    <mergeCell ref="C131:C131"/>
    <mergeCell ref="C132:C132"/>
    <mergeCell ref="C133:C133"/>
    <mergeCell ref="C134:C134"/>
    <mergeCell ref="C135:C135"/>
    <mergeCell ref="C136:C136"/>
    <mergeCell ref="C137:C137"/>
    <mergeCell ref="C138:C138"/>
    <mergeCell ref="C139:C139"/>
    <mergeCell ref="C140:C140"/>
    <mergeCell ref="C141:C141"/>
    <mergeCell ref="C142:C142"/>
    <mergeCell ref="C143:C143"/>
    <mergeCell ref="C144:C144"/>
    <mergeCell ref="C145:C145"/>
    <mergeCell ref="C146:C146"/>
    <mergeCell ref="C147:C147"/>
    <mergeCell ref="C148:C148"/>
    <mergeCell ref="C149:C149"/>
    <mergeCell ref="C150:C150"/>
    <mergeCell ref="C151:C151"/>
    <mergeCell ref="C152:C152"/>
    <mergeCell ref="C153:C153"/>
    <mergeCell ref="C154:C154"/>
    <mergeCell ref="C155:C155"/>
    <mergeCell ref="C156:C156"/>
    <mergeCell ref="C157:C157"/>
    <mergeCell ref="C158:C158"/>
    <mergeCell ref="C159:C159"/>
    <mergeCell ref="C160:C160"/>
    <mergeCell ref="C161:C161"/>
    <mergeCell ref="C162:C162"/>
    <mergeCell ref="C163:C163"/>
    <mergeCell ref="C164:C164"/>
    <mergeCell ref="C165:C165"/>
    <mergeCell ref="C166:C166"/>
    <mergeCell ref="C167:C167"/>
    <mergeCell ref="C168:C168"/>
    <mergeCell ref="C169:C169"/>
    <mergeCell ref="C170:C170"/>
    <mergeCell ref="C171:C171"/>
    <mergeCell ref="C172:C172"/>
    <mergeCell ref="C173:C173"/>
    <mergeCell ref="C174:C174"/>
    <mergeCell ref="C175:C175"/>
    <mergeCell ref="C176:C176"/>
    <mergeCell ref="C177:C177"/>
    <mergeCell ref="C178:C178"/>
    <mergeCell ref="C179:C179"/>
    <mergeCell ref="C180:C180"/>
    <mergeCell ref="C181:C181"/>
    <mergeCell ref="C182:C182"/>
    <mergeCell ref="C183:C183"/>
    <mergeCell ref="C184:C184"/>
    <mergeCell ref="C185:C185"/>
    <mergeCell ref="C186:C186"/>
    <mergeCell ref="C187:C187"/>
    <mergeCell ref="C188:C188"/>
    <mergeCell ref="C189:C189"/>
    <mergeCell ref="C190:C190"/>
    <mergeCell ref="C191:C191"/>
    <mergeCell ref="C192:C192"/>
    <mergeCell ref="C193:C193"/>
    <mergeCell ref="C194:C194"/>
    <mergeCell ref="C195:C195"/>
    <mergeCell ref="C196:C196"/>
    <mergeCell ref="C197:C197"/>
    <mergeCell ref="C198:C198"/>
    <mergeCell ref="C199:C199"/>
    <mergeCell ref="C200:C200"/>
    <mergeCell ref="C201:C201"/>
    <mergeCell ref="C202:C202"/>
    <mergeCell ref="C203:C203"/>
    <mergeCell ref="C204:C204"/>
    <mergeCell ref="C205:C205"/>
    <mergeCell ref="C206:C206"/>
    <mergeCell ref="C207:C207"/>
    <mergeCell ref="C208:C208"/>
    <mergeCell ref="C209:C209"/>
    <mergeCell ref="C210:C210"/>
    <mergeCell ref="C211:C211"/>
    <mergeCell ref="C212:C212"/>
    <mergeCell ref="C213:C213"/>
    <mergeCell ref="C214:C214"/>
    <mergeCell ref="C215:C215"/>
    <mergeCell ref="C216:C216"/>
    <mergeCell ref="C217:C217"/>
    <mergeCell ref="C218:C218"/>
    <mergeCell ref="C219:C219"/>
    <mergeCell ref="C220:C220"/>
    <mergeCell ref="C221:C221"/>
    <mergeCell ref="C222:C222"/>
    <mergeCell ref="C223:C223"/>
    <mergeCell ref="C224:C224"/>
    <mergeCell ref="C225:C225"/>
    <mergeCell ref="C226:C226"/>
    <mergeCell ref="C227:C227"/>
    <mergeCell ref="C228:C228"/>
    <mergeCell ref="C229:C229"/>
    <mergeCell ref="C230:C230"/>
    <mergeCell ref="C231:C231"/>
    <mergeCell ref="C232:C232"/>
    <mergeCell ref="C233:C233"/>
    <mergeCell ref="C234:C234"/>
    <mergeCell ref="C235:C235"/>
    <mergeCell ref="C236:C236"/>
    <mergeCell ref="C237:C237"/>
    <mergeCell ref="C238:C238"/>
    <mergeCell ref="C239:C239"/>
    <mergeCell ref="C240:C240"/>
    <mergeCell ref="C241:C241"/>
    <mergeCell ref="C242:C242"/>
    <mergeCell ref="C243:C243"/>
    <mergeCell ref="C244:C244"/>
    <mergeCell ref="C245:C245"/>
    <mergeCell ref="C246:C246"/>
    <mergeCell ref="C247:C247"/>
    <mergeCell ref="C248:C248"/>
    <mergeCell ref="C249:C249"/>
    <mergeCell ref="C250:C250"/>
    <mergeCell ref="C251:C251"/>
    <mergeCell ref="C252:C252"/>
    <mergeCell ref="C253:C253"/>
    <mergeCell ref="C254:C254"/>
    <mergeCell ref="C255:C255"/>
    <mergeCell ref="C256:C256"/>
    <mergeCell ref="C257:C257"/>
    <mergeCell ref="C258:C258"/>
    <mergeCell ref="C259:C259"/>
    <mergeCell ref="C260:C260"/>
    <mergeCell ref="C261:C261"/>
    <mergeCell ref="C262:C262"/>
    <mergeCell ref="C263:C263"/>
    <mergeCell ref="C264:C264"/>
    <mergeCell ref="C265:C265"/>
    <mergeCell ref="C266:C266"/>
    <mergeCell ref="C267:C267"/>
    <mergeCell ref="C268:C268"/>
    <mergeCell ref="C269:C269"/>
    <mergeCell ref="C270:C270"/>
    <mergeCell ref="C271:C271"/>
    <mergeCell ref="C272:C272"/>
    <mergeCell ref="C273:C273"/>
    <mergeCell ref="C274:C274"/>
    <mergeCell ref="C275:C275"/>
    <mergeCell ref="C276:C276"/>
    <mergeCell ref="C277:C277"/>
    <mergeCell ref="C278:C278"/>
    <mergeCell ref="C279:C279"/>
    <mergeCell ref="C280:C280"/>
    <mergeCell ref="C281:C281"/>
    <mergeCell ref="C282:C282"/>
    <mergeCell ref="C283:C283"/>
    <mergeCell ref="C284:C284"/>
    <mergeCell ref="C285:C285"/>
    <mergeCell ref="C286:C286"/>
    <mergeCell ref="C287:C287"/>
    <mergeCell ref="C288:C288"/>
    <mergeCell ref="C289:C289"/>
    <mergeCell ref="C290:C290"/>
    <mergeCell ref="C291:C291"/>
    <mergeCell ref="C292:C292"/>
    <mergeCell ref="C293:C293"/>
    <mergeCell ref="C294:C294"/>
    <mergeCell ref="C295:C295"/>
    <mergeCell ref="C296:C296"/>
    <mergeCell ref="C297:C297"/>
    <mergeCell ref="C298:C298"/>
    <mergeCell ref="C299:C299"/>
    <mergeCell ref="C300:C300"/>
    <mergeCell ref="C301:C301"/>
    <mergeCell ref="C302:C302"/>
    <mergeCell ref="C303:C303"/>
    <mergeCell ref="C304:C304"/>
    <mergeCell ref="C305:C305"/>
    <mergeCell ref="C306:C306"/>
    <mergeCell ref="C307:C307"/>
    <mergeCell ref="C308:C308"/>
    <mergeCell ref="C309:C309"/>
    <mergeCell ref="C310:C310"/>
    <mergeCell ref="C311:C311"/>
    <mergeCell ref="C312:C312"/>
    <mergeCell ref="C313:C313"/>
    <mergeCell ref="C314:C314"/>
    <mergeCell ref="C315:C315"/>
    <mergeCell ref="C316:C316"/>
    <mergeCell ref="C317:C317"/>
    <mergeCell ref="C318:C318"/>
    <mergeCell ref="C319:C319"/>
    <mergeCell ref="C320:C320"/>
    <mergeCell ref="C321:C321"/>
    <mergeCell ref="C322:C322"/>
    <mergeCell ref="C323:C323"/>
    <mergeCell ref="C324:C324"/>
    <mergeCell ref="C325:C325"/>
    <mergeCell ref="C326:C326"/>
    <mergeCell ref="C327:C327"/>
    <mergeCell ref="C328:C328"/>
    <mergeCell ref="C329:C329"/>
    <mergeCell ref="C330:C330"/>
    <mergeCell ref="C331:C331"/>
    <mergeCell ref="C332:C332"/>
    <mergeCell ref="C333:C333"/>
    <mergeCell ref="C334:C334"/>
    <mergeCell ref="C335:C335"/>
    <mergeCell ref="C336:C336"/>
    <mergeCell ref="C337:C337"/>
    <mergeCell ref="C338:C338"/>
    <mergeCell ref="C339:C339"/>
    <mergeCell ref="C340:C340"/>
    <mergeCell ref="C341:C341"/>
    <mergeCell ref="C342:C342"/>
    <mergeCell ref="C343:C343"/>
    <mergeCell ref="C344:C344"/>
    <mergeCell ref="C345:C345"/>
    <mergeCell ref="C346:C346"/>
    <mergeCell ref="C347:C347"/>
    <mergeCell ref="C348:C348"/>
    <mergeCell ref="C349:C349"/>
    <mergeCell ref="C350:C350"/>
    <mergeCell ref="C351:C351"/>
    <mergeCell ref="C352:C352"/>
    <mergeCell ref="C353:C353"/>
    <mergeCell ref="C354:C354"/>
    <mergeCell ref="C355:C355"/>
    <mergeCell ref="C356:C356"/>
    <mergeCell ref="C357:C357"/>
    <mergeCell ref="C358:C358"/>
    <mergeCell ref="G5:M5"/>
    <mergeCell ref="G12:M17"/>
    <mergeCell ref="G10:M10"/>
    <mergeCell ref="G6:G7"/>
    <mergeCell ref="H6:J6"/>
    <mergeCell ref="K6:M6"/>
    <mergeCell ref="O11:R11"/>
    <mergeCell ref="O12:P12"/>
    <mergeCell ref="O13:O15"/>
    <mergeCell ref="O16:O18"/>
    <mergeCell ref="O19:R19"/>
    <mergeCell ref="O369:R374"/>
    <mergeCell ref="T11:X11"/>
    <mergeCell ref="T12:V12"/>
    <mergeCell ref="T19:X19"/>
    <mergeCell ref="T13:T18"/>
    <mergeCell ref="T369:W374"/>
    <mergeCell ref="U13:U15"/>
    <mergeCell ref="U16:U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14"/>
  <sheetViews>
    <sheetView tabSelected="1" workbookViewId="0" showGridLines="true" showRowColHeaders="1">
      <selection activeCell="B2" sqref="B2"/>
    </sheetView>
  </sheetViews>
  <sheetFormatPr defaultRowHeight="14.4" outlineLevelRow="0" outlineLevelCol="0"/>
  <sheetData>
    <row r="1" spans="1:3">
      <c r="A1" t="s">
        <v>422</v>
      </c>
      <c r="B1" t="s">
        <v>423</v>
      </c>
      <c r="C1" t="s">
        <v>666</v>
      </c>
    </row>
    <row r="2" spans="1:3">
      <c r="A2" s="51">
        <v>-0.91</v>
      </c>
      <c r="B2" s="51">
        <v>-1</v>
      </c>
      <c r="C2" t="s">
        <v>667</v>
      </c>
    </row>
    <row r="3" spans="1:3">
      <c r="A3" s="51">
        <v>-0.76</v>
      </c>
      <c r="B3" s="51">
        <v>-0.9</v>
      </c>
      <c r="C3" t="s">
        <v>668</v>
      </c>
    </row>
    <row r="4" spans="1:3">
      <c r="A4" s="51">
        <v>-0.51</v>
      </c>
      <c r="B4" s="51">
        <v>-0.75</v>
      </c>
      <c r="C4" t="s">
        <v>669</v>
      </c>
    </row>
    <row r="5" spans="1:3">
      <c r="A5" s="51">
        <v>-0.26</v>
      </c>
      <c r="B5" s="51">
        <v>-0.5</v>
      </c>
      <c r="C5" t="s">
        <v>670</v>
      </c>
    </row>
    <row r="6" spans="1:3">
      <c r="A6" s="51">
        <v>-0.11</v>
      </c>
      <c r="B6" s="51">
        <v>-0.25</v>
      </c>
      <c r="C6" t="s">
        <v>671</v>
      </c>
    </row>
    <row r="7" spans="1:3">
      <c r="A7" s="51">
        <v>-0.01</v>
      </c>
      <c r="B7" s="51">
        <v>-0.1</v>
      </c>
      <c r="C7" t="s">
        <v>672</v>
      </c>
    </row>
    <row r="8" spans="1:3">
      <c r="A8" s="51">
        <v>0</v>
      </c>
      <c r="B8" s="51">
        <v>0</v>
      </c>
      <c r="C8" t="s">
        <v>673</v>
      </c>
    </row>
    <row r="9" spans="1:3">
      <c r="A9" s="51">
        <v>0.01</v>
      </c>
      <c r="B9" s="51">
        <v>0.1</v>
      </c>
      <c r="C9" t="s">
        <v>674</v>
      </c>
    </row>
    <row r="10" spans="1:3">
      <c r="A10" s="51">
        <v>0.11</v>
      </c>
      <c r="B10" s="51">
        <v>0.25</v>
      </c>
      <c r="C10" t="s">
        <v>675</v>
      </c>
    </row>
    <row r="11" spans="1:3">
      <c r="A11" s="51">
        <v>0.26</v>
      </c>
      <c r="B11" s="51">
        <v>0.5</v>
      </c>
      <c r="C11" t="s">
        <v>676</v>
      </c>
    </row>
    <row r="12" spans="1:3">
      <c r="A12" s="51">
        <v>0.51</v>
      </c>
      <c r="B12" s="51">
        <v>0.75</v>
      </c>
      <c r="C12" t="s">
        <v>677</v>
      </c>
    </row>
    <row r="13" spans="1:3">
      <c r="A13" s="51">
        <v>0.76</v>
      </c>
      <c r="B13" s="51">
        <v>0.9</v>
      </c>
      <c r="C13" t="s">
        <v>678</v>
      </c>
    </row>
    <row r="14" spans="1:3">
      <c r="A14" s="51">
        <v>0.91</v>
      </c>
      <c r="B14" s="51">
        <v>1</v>
      </c>
      <c r="C14" t="s">
        <v>679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Inteligencia emocional</vt:lpstr>
      <vt:lpstr>Por Valoracion (3) Dimension</vt:lpstr>
      <vt:lpstr>Tabulacion por item</vt:lpstr>
      <vt:lpstr>Por conteo Dimension</vt:lpstr>
      <vt:lpstr>Desempeño profesional</vt:lpstr>
      <vt:lpstr>Por Valoracion (3) Dimension 2</vt:lpstr>
      <vt:lpstr>Tabulacion por item 2</vt:lpstr>
      <vt:lpstr>Por conteo Dimension 2</vt:lpstr>
      <vt:lpstr>Rela. ent. dimension</vt:lpstr>
      <vt:lpstr>Rela. dimen. ent. vari</vt:lpstr>
      <vt:lpstr>Rela. ent. variable</vt:lpstr>
      <vt:lpstr>Criterio para el valor 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2021-02-02T10:20:18-05:00</dcterms:created>
  <dcterms:modified xsi:type="dcterms:W3CDTF">2021-02-02T10:20:18-05:00</dcterms:modified>
  <dc:title>Untitled Spreadsheet</dc:title>
  <dc:description/>
  <dc:subject/>
  <cp:keywords/>
  <cp:category/>
</cp:coreProperties>
</file>