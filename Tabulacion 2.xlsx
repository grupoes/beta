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6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BLANCA\CANTUTA\ALAVA DEL AGUILA MARLITH - El clima institucional y el desarrollo de competencias\"/>
    </mc:Choice>
  </mc:AlternateContent>
  <bookViews>
    <workbookView xWindow="0" yWindow="0" windowWidth="20490" windowHeight="7065"/>
  </bookViews>
  <sheets>
    <sheet name="Clima institucional" sheetId="1" r:id="rId1"/>
    <sheet name="Por Valoracion (3) Dimension" sheetId="2" r:id="rId2"/>
    <sheet name="Tabulacion por item" sheetId="3" r:id="rId3"/>
    <sheet name="Por conteo Dimension" sheetId="4" r:id="rId4"/>
    <sheet name="Desarrollo de competencias" sheetId="5" r:id="rId5"/>
    <sheet name="Por Valoracion (3) Dimension 2" sheetId="6" r:id="rId6"/>
    <sheet name="Tabulacion por item 2" sheetId="7" r:id="rId7"/>
    <sheet name="Por conteo Dimension 2" sheetId="8" r:id="rId8"/>
    <sheet name="Rela. ent. dimension" sheetId="9" r:id="rId9"/>
    <sheet name="Rela. dimen. ent. vari" sheetId="10" r:id="rId10"/>
    <sheet name="Rela. ent. variable" sheetId="11" r:id="rId11"/>
    <sheet name="Criterio para el valor r" sheetId="12" r:id="rId12"/>
  </sheets>
  <calcPr calcId="162913"/>
</workbook>
</file>

<file path=xl/calcChain.xml><?xml version="1.0" encoding="utf-8"?>
<calcChain xmlns="http://schemas.openxmlformats.org/spreadsheetml/2006/main">
  <c r="U31" i="11" l="1"/>
  <c r="P31" i="11"/>
  <c r="S30" i="11"/>
  <c r="E30" i="11"/>
  <c r="D30" i="11"/>
  <c r="T29" i="11"/>
  <c r="T31" i="11" s="1"/>
  <c r="S29" i="11"/>
  <c r="S31" i="11" s="1"/>
  <c r="O29" i="11"/>
  <c r="O31" i="11" s="1"/>
  <c r="N29" i="11"/>
  <c r="U16" i="11"/>
  <c r="O13" i="11"/>
  <c r="X12" i="11"/>
  <c r="E29" i="11"/>
  <c r="W12" i="11"/>
  <c r="EA30" i="10"/>
  <c r="DB30" i="10"/>
  <c r="CD30" i="10"/>
  <c r="CC30" i="10"/>
  <c r="BB30" i="10"/>
  <c r="AC30" i="10"/>
  <c r="E30" i="10"/>
  <c r="D30" i="10"/>
  <c r="EQ29" i="10"/>
  <c r="EP29" i="10"/>
  <c r="EP30" i="10" s="1"/>
  <c r="ES31" i="10" s="1"/>
  <c r="EL29" i="10"/>
  <c r="EM31" i="10" s="1"/>
  <c r="EK29" i="10"/>
  <c r="EK31" i="10" s="1"/>
  <c r="DR29" i="10"/>
  <c r="DS31" i="10" s="1"/>
  <c r="DQ29" i="10"/>
  <c r="DQ31" i="10" s="1"/>
  <c r="DM29" i="10"/>
  <c r="DL29" i="10"/>
  <c r="DL30" i="10" s="1"/>
  <c r="DE29" i="10"/>
  <c r="CS29" i="10"/>
  <c r="CS30" i="10" s="1"/>
  <c r="CR29" i="10"/>
  <c r="CR30" i="10" s="1"/>
  <c r="CU31" i="10" s="1"/>
  <c r="CN29" i="10"/>
  <c r="CO31" i="10" s="1"/>
  <c r="CM29" i="10"/>
  <c r="CM31" i="10" s="1"/>
  <c r="BR29" i="10"/>
  <c r="BS31" i="10" s="1"/>
  <c r="BQ29" i="10"/>
  <c r="BQ31" i="10" s="1"/>
  <c r="BM29" i="10"/>
  <c r="BM30" i="10" s="1"/>
  <c r="BL29" i="10"/>
  <c r="BL30" i="10" s="1"/>
  <c r="AS29" i="10"/>
  <c r="AR29" i="10"/>
  <c r="AR30" i="10" s="1"/>
  <c r="AN29" i="10"/>
  <c r="AO31" i="10" s="1"/>
  <c r="AM29" i="10"/>
  <c r="AM31" i="10" s="1"/>
  <c r="T29" i="10"/>
  <c r="U31" i="10" s="1"/>
  <c r="S29" i="10"/>
  <c r="S31" i="10" s="1"/>
  <c r="O29" i="10"/>
  <c r="N29" i="10"/>
  <c r="N30" i="10" s="1"/>
  <c r="DZ23" i="10"/>
  <c r="DA23" i="10"/>
  <c r="CB23" i="10"/>
  <c r="BA23" i="10"/>
  <c r="AB23" i="10"/>
  <c r="C23" i="10"/>
  <c r="DZ22" i="10"/>
  <c r="DA22" i="10"/>
  <c r="CB22" i="10"/>
  <c r="BA22" i="10"/>
  <c r="AB22" i="10"/>
  <c r="C22" i="10"/>
  <c r="DZ21" i="10"/>
  <c r="DA21" i="10"/>
  <c r="CB21" i="10"/>
  <c r="BA21" i="10"/>
  <c r="AB21" i="10"/>
  <c r="C21" i="10"/>
  <c r="DZ20" i="10"/>
  <c r="DA20" i="10"/>
  <c r="CB20" i="10"/>
  <c r="BA20" i="10"/>
  <c r="AB20" i="10"/>
  <c r="C20" i="10"/>
  <c r="DZ19" i="10"/>
  <c r="DA19" i="10"/>
  <c r="CB19" i="10"/>
  <c r="BA19" i="10"/>
  <c r="AB19" i="10"/>
  <c r="C19" i="10"/>
  <c r="DZ18" i="10"/>
  <c r="DA18" i="10"/>
  <c r="CB18" i="10"/>
  <c r="BA18" i="10"/>
  <c r="AB18" i="10"/>
  <c r="C18" i="10"/>
  <c r="DZ17" i="10"/>
  <c r="DA17" i="10"/>
  <c r="CB17" i="10"/>
  <c r="BA17" i="10"/>
  <c r="AB17" i="10"/>
  <c r="C17" i="10"/>
  <c r="DZ16" i="10"/>
  <c r="DA16" i="10"/>
  <c r="CB16" i="10"/>
  <c r="BA16" i="10"/>
  <c r="AB16" i="10"/>
  <c r="C16" i="10"/>
  <c r="DZ15" i="10"/>
  <c r="DA15" i="10"/>
  <c r="CB15" i="10"/>
  <c r="BA15" i="10"/>
  <c r="AB15" i="10"/>
  <c r="C15" i="10"/>
  <c r="DZ14" i="10"/>
  <c r="DA14" i="10"/>
  <c r="CB14" i="10"/>
  <c r="BA14" i="10"/>
  <c r="AB14" i="10"/>
  <c r="C14" i="10"/>
  <c r="DZ13" i="10"/>
  <c r="DA13" i="10"/>
  <c r="CB13" i="10"/>
  <c r="BA13" i="10"/>
  <c r="AN13" i="10"/>
  <c r="AB13" i="10"/>
  <c r="C13" i="10"/>
  <c r="EN12" i="10"/>
  <c r="DZ12" i="10"/>
  <c r="DA12" i="10"/>
  <c r="CP12" i="10"/>
  <c r="CB12" i="10"/>
  <c r="BA12" i="10"/>
  <c r="AP12" i="10"/>
  <c r="AB12" i="10"/>
  <c r="C12" i="10"/>
  <c r="DZ11" i="10"/>
  <c r="DA11" i="10"/>
  <c r="CC11" i="10"/>
  <c r="CB11" i="10"/>
  <c r="BA11" i="10"/>
  <c r="AB11" i="10"/>
  <c r="C11" i="10"/>
  <c r="DZ10" i="10"/>
  <c r="DA10" i="10"/>
  <c r="CB10" i="10"/>
  <c r="BA10" i="10"/>
  <c r="AB10" i="10"/>
  <c r="C10" i="10"/>
  <c r="EJ9" i="10"/>
  <c r="EB30" i="10" s="1"/>
  <c r="EI9" i="10"/>
  <c r="EH9" i="10"/>
  <c r="EG9" i="10"/>
  <c r="EF9" i="10"/>
  <c r="EE9" i="10"/>
  <c r="DZ9" i="10"/>
  <c r="DK9" i="10"/>
  <c r="DC30" i="10" s="1"/>
  <c r="DJ9" i="10"/>
  <c r="DI9" i="10"/>
  <c r="DH9" i="10"/>
  <c r="DG9" i="10"/>
  <c r="DF9" i="10"/>
  <c r="DA9" i="10"/>
  <c r="CB9" i="10"/>
  <c r="BK9" i="10"/>
  <c r="BC30" i="10" s="1"/>
  <c r="BJ9" i="10"/>
  <c r="BI9" i="10"/>
  <c r="BH9" i="10"/>
  <c r="BG9" i="10"/>
  <c r="BF9" i="10"/>
  <c r="BA9" i="10"/>
  <c r="AL9" i="10"/>
  <c r="AD30" i="10" s="1"/>
  <c r="AK9" i="10"/>
  <c r="AJ9" i="10"/>
  <c r="AI9" i="10"/>
  <c r="AH9" i="10"/>
  <c r="AG9" i="10"/>
  <c r="AB9" i="10"/>
  <c r="C9" i="10"/>
  <c r="DZ8" i="10"/>
  <c r="DA8" i="10"/>
  <c r="CB8" i="10"/>
  <c r="BA8" i="10"/>
  <c r="AB8" i="10"/>
  <c r="C8" i="10"/>
  <c r="DZ7" i="10"/>
  <c r="DA7" i="10"/>
  <c r="CB7" i="10"/>
  <c r="BA7" i="10"/>
  <c r="AB7" i="10"/>
  <c r="C7" i="10"/>
  <c r="DZ6" i="10"/>
  <c r="DA6" i="10"/>
  <c r="CB6" i="10"/>
  <c r="BA6" i="10"/>
  <c r="AB6" i="10"/>
  <c r="C6" i="10"/>
  <c r="DZ5" i="10"/>
  <c r="DA5" i="10"/>
  <c r="CB5" i="10"/>
  <c r="BA5" i="10"/>
  <c r="AB5" i="10"/>
  <c r="C5" i="10"/>
  <c r="DZ4" i="10"/>
  <c r="DA4" i="10"/>
  <c r="CB4" i="10"/>
  <c r="BA4" i="10"/>
  <c r="AB4" i="10"/>
  <c r="C4" i="10"/>
  <c r="EB3" i="10"/>
  <c r="EB29" i="10" s="1"/>
  <c r="EA3" i="10"/>
  <c r="ER13" i="10" s="1"/>
  <c r="DC3" i="10"/>
  <c r="DB3" i="10"/>
  <c r="CD3" i="10"/>
  <c r="CD29" i="10" s="1"/>
  <c r="CC3" i="10"/>
  <c r="BC3" i="10"/>
  <c r="BB3" i="10"/>
  <c r="AD3" i="10"/>
  <c r="AQ12" i="10" s="1"/>
  <c r="AC3" i="10"/>
  <c r="AC29" i="10" s="1"/>
  <c r="E3" i="10"/>
  <c r="D3" i="10"/>
  <c r="GN31" i="9"/>
  <c r="HP30" i="9"/>
  <c r="GL30" i="9"/>
  <c r="FR30" i="9"/>
  <c r="FB30" i="9"/>
  <c r="EL30" i="9"/>
  <c r="DR30" i="9"/>
  <c r="CN30" i="9"/>
  <c r="CC30" i="9"/>
  <c r="BR30" i="9"/>
  <c r="BC30" i="9"/>
  <c r="AN30" i="9"/>
  <c r="AD30" i="9"/>
  <c r="T30" i="9"/>
  <c r="E30" i="9"/>
  <c r="D30" i="9"/>
  <c r="HP29" i="9"/>
  <c r="HQ31" i="9" s="1"/>
  <c r="HO29" i="9"/>
  <c r="HO30" i="9" s="1"/>
  <c r="HK29" i="9"/>
  <c r="HJ29" i="9"/>
  <c r="HJ31" i="9" s="1"/>
  <c r="GQ29" i="9"/>
  <c r="GP29" i="9"/>
  <c r="GP31" i="9" s="1"/>
  <c r="GL29" i="9"/>
  <c r="GM31" i="9" s="1"/>
  <c r="GK29" i="9"/>
  <c r="GK30" i="9" s="1"/>
  <c r="FR29" i="9"/>
  <c r="FS31" i="9" s="1"/>
  <c r="FQ29" i="9"/>
  <c r="FQ30" i="9" s="1"/>
  <c r="FM29" i="9"/>
  <c r="FL29" i="9"/>
  <c r="FL31" i="9" s="1"/>
  <c r="EQ29" i="9"/>
  <c r="EP29" i="9"/>
  <c r="EP31" i="9" s="1"/>
  <c r="EL29" i="9"/>
  <c r="EM31" i="9" s="1"/>
  <c r="EK29" i="9"/>
  <c r="EK30" i="9" s="1"/>
  <c r="DR29" i="9"/>
  <c r="DS31" i="9" s="1"/>
  <c r="DQ29" i="9"/>
  <c r="DQ30" i="9" s="1"/>
  <c r="DT31" i="9" s="1"/>
  <c r="DM29" i="9"/>
  <c r="DL29" i="9"/>
  <c r="DL31" i="9" s="1"/>
  <c r="CS29" i="9"/>
  <c r="CR29" i="9"/>
  <c r="CR31" i="9" s="1"/>
  <c r="CN29" i="9"/>
  <c r="CO31" i="9" s="1"/>
  <c r="CM29" i="9"/>
  <c r="CM30" i="9" s="1"/>
  <c r="CP31" i="9" s="1"/>
  <c r="BR29" i="9"/>
  <c r="BS31" i="9" s="1"/>
  <c r="BQ29" i="9"/>
  <c r="BQ30" i="9" s="1"/>
  <c r="BT31" i="9" s="1"/>
  <c r="BM29" i="9"/>
  <c r="BL29" i="9"/>
  <c r="BL31" i="9" s="1"/>
  <c r="BE29" i="9"/>
  <c r="AS29" i="9"/>
  <c r="AR29" i="9"/>
  <c r="AR31" i="9" s="1"/>
  <c r="AN29" i="9"/>
  <c r="AO31" i="9" s="1"/>
  <c r="AM29" i="9"/>
  <c r="AM30" i="9" s="1"/>
  <c r="T29" i="9"/>
  <c r="U31" i="9" s="1"/>
  <c r="S29" i="9"/>
  <c r="S30" i="9" s="1"/>
  <c r="O29" i="9"/>
  <c r="N29" i="9"/>
  <c r="N31" i="9" s="1"/>
  <c r="FZ23" i="9"/>
  <c r="FA23" i="9"/>
  <c r="DZ23" i="9"/>
  <c r="CB23" i="9"/>
  <c r="BA23" i="9"/>
  <c r="AB23" i="9"/>
  <c r="FZ22" i="9"/>
  <c r="FA22" i="9"/>
  <c r="DZ22" i="9"/>
  <c r="CB22" i="9"/>
  <c r="BA22" i="9"/>
  <c r="AB22" i="9"/>
  <c r="FZ21" i="9"/>
  <c r="FA21" i="9"/>
  <c r="DZ21" i="9"/>
  <c r="CB21" i="9"/>
  <c r="BA21" i="9"/>
  <c r="AB21" i="9"/>
  <c r="FZ20" i="9"/>
  <c r="FA20" i="9"/>
  <c r="DZ20" i="9"/>
  <c r="CB20" i="9"/>
  <c r="BA20" i="9"/>
  <c r="AB20" i="9"/>
  <c r="FZ19" i="9"/>
  <c r="FA19" i="9"/>
  <c r="DZ19" i="9"/>
  <c r="CB19" i="9"/>
  <c r="BA19" i="9"/>
  <c r="AB19" i="9"/>
  <c r="FZ18" i="9"/>
  <c r="FA18" i="9"/>
  <c r="DZ18" i="9"/>
  <c r="CB18" i="9"/>
  <c r="BA18" i="9"/>
  <c r="AB18" i="9"/>
  <c r="FZ17" i="9"/>
  <c r="FA17" i="9"/>
  <c r="DZ17" i="9"/>
  <c r="CB17" i="9"/>
  <c r="BA17" i="9"/>
  <c r="AB17" i="9"/>
  <c r="FZ16" i="9"/>
  <c r="FA16" i="9"/>
  <c r="DZ16" i="9"/>
  <c r="CB16" i="9"/>
  <c r="BA16" i="9"/>
  <c r="AB16" i="9"/>
  <c r="FZ15" i="9"/>
  <c r="FA15" i="9"/>
  <c r="DZ15" i="9"/>
  <c r="CB15" i="9"/>
  <c r="BC15" i="9"/>
  <c r="BA15" i="9"/>
  <c r="AB15" i="9"/>
  <c r="FZ14" i="9"/>
  <c r="FA14" i="9"/>
  <c r="DZ14" i="9"/>
  <c r="CB14" i="9"/>
  <c r="BA14" i="9"/>
  <c r="AB14" i="9"/>
  <c r="HK13" i="9"/>
  <c r="GR13" i="9"/>
  <c r="FZ13" i="9"/>
  <c r="FA13" i="9"/>
  <c r="DZ13" i="9"/>
  <c r="DM13" i="9"/>
  <c r="CT13" i="9"/>
  <c r="CB13" i="9"/>
  <c r="BA13" i="9"/>
  <c r="AB13" i="9"/>
  <c r="O13" i="9"/>
  <c r="HT12" i="9"/>
  <c r="FZ12" i="9"/>
  <c r="FV12" i="9"/>
  <c r="FA12" i="9"/>
  <c r="DZ12" i="9"/>
  <c r="DV12" i="9"/>
  <c r="CB12" i="9"/>
  <c r="BV12" i="9"/>
  <c r="BA12" i="9"/>
  <c r="AB12" i="9"/>
  <c r="X12" i="9"/>
  <c r="FZ11" i="9"/>
  <c r="FA11" i="9"/>
  <c r="DZ11" i="9"/>
  <c r="CB11" i="9"/>
  <c r="BA11" i="9"/>
  <c r="AB11" i="9"/>
  <c r="FZ10" i="9"/>
  <c r="FA10" i="9"/>
  <c r="DZ10" i="9"/>
  <c r="CB10" i="9"/>
  <c r="BA10" i="9"/>
  <c r="AB10" i="9"/>
  <c r="HI9" i="9"/>
  <c r="HA30" i="9" s="1"/>
  <c r="HH9" i="9"/>
  <c r="HG9" i="9"/>
  <c r="HF9" i="9"/>
  <c r="HE9" i="9"/>
  <c r="HD9" i="9"/>
  <c r="HC9" i="9"/>
  <c r="GJ9" i="9"/>
  <c r="GB30" i="9" s="1"/>
  <c r="GI9" i="9"/>
  <c r="GH9" i="9"/>
  <c r="GG9" i="9"/>
  <c r="GF9" i="9"/>
  <c r="GE9" i="9"/>
  <c r="FZ9" i="9"/>
  <c r="FK9" i="9"/>
  <c r="FC30" i="9" s="1"/>
  <c r="FJ9" i="9"/>
  <c r="FI9" i="9"/>
  <c r="FH9" i="9"/>
  <c r="FG9" i="9"/>
  <c r="FF9" i="9"/>
  <c r="FE9" i="9"/>
  <c r="FA9" i="9"/>
  <c r="EJ9" i="9"/>
  <c r="EB30" i="9" s="1"/>
  <c r="EI9" i="9"/>
  <c r="EH9" i="9"/>
  <c r="EG9" i="9"/>
  <c r="EF9" i="9"/>
  <c r="EE9" i="9"/>
  <c r="DZ9" i="9"/>
  <c r="DK9" i="9"/>
  <c r="DC30" i="9" s="1"/>
  <c r="DJ9" i="9"/>
  <c r="DI9" i="9"/>
  <c r="DH9" i="9"/>
  <c r="DG9" i="9"/>
  <c r="DF9" i="9"/>
  <c r="DE9" i="9"/>
  <c r="CL9" i="9"/>
  <c r="CD30" i="9" s="1"/>
  <c r="CK9" i="9"/>
  <c r="CJ9" i="9"/>
  <c r="CI9" i="9"/>
  <c r="CH9" i="9"/>
  <c r="CG9" i="9"/>
  <c r="CB9" i="9"/>
  <c r="BA9" i="9"/>
  <c r="AB9" i="9"/>
  <c r="HG8" i="9"/>
  <c r="HC8" i="9"/>
  <c r="HB29" i="9" s="1"/>
  <c r="GJ8" i="9"/>
  <c r="GA30" i="9" s="1"/>
  <c r="GI8" i="9"/>
  <c r="GH8" i="9"/>
  <c r="GG8" i="9"/>
  <c r="GF8" i="9"/>
  <c r="GE8" i="9"/>
  <c r="FZ8" i="9"/>
  <c r="FA8" i="9"/>
  <c r="EH8" i="9"/>
  <c r="ED8" i="9"/>
  <c r="EC29" i="9" s="1"/>
  <c r="DZ8" i="9"/>
  <c r="DK8" i="9"/>
  <c r="DB30" i="9" s="1"/>
  <c r="DJ8" i="9"/>
  <c r="DI8" i="9"/>
  <c r="DH8" i="9"/>
  <c r="DG8" i="9"/>
  <c r="DF8" i="9"/>
  <c r="CB8" i="9"/>
  <c r="BK8" i="9"/>
  <c r="BB30" i="9" s="1"/>
  <c r="BJ8" i="9"/>
  <c r="BI8" i="9"/>
  <c r="BH8" i="9"/>
  <c r="BG8" i="9"/>
  <c r="BF8" i="9"/>
  <c r="BE8" i="9"/>
  <c r="BD29" i="9" s="1"/>
  <c r="BA8" i="9"/>
  <c r="AL8" i="9"/>
  <c r="AK8" i="9"/>
  <c r="HH8" i="9" s="1"/>
  <c r="AJ8" i="9"/>
  <c r="AI8" i="9"/>
  <c r="HF8" i="9" s="1"/>
  <c r="AH8" i="9"/>
  <c r="AG8" i="9"/>
  <c r="HD8" i="9" s="1"/>
  <c r="AB8" i="9"/>
  <c r="FZ7" i="9"/>
  <c r="FA7" i="9"/>
  <c r="DZ7" i="9"/>
  <c r="CB7" i="9"/>
  <c r="BA7" i="9"/>
  <c r="AB7" i="9"/>
  <c r="FZ6" i="9"/>
  <c r="FA6" i="9"/>
  <c r="DZ6" i="9"/>
  <c r="CB6" i="9"/>
  <c r="BA6" i="9"/>
  <c r="AB6" i="9"/>
  <c r="FZ5" i="9"/>
  <c r="FA5" i="9"/>
  <c r="DZ5" i="9"/>
  <c r="CB5" i="9"/>
  <c r="BA5" i="9"/>
  <c r="AB5" i="9"/>
  <c r="FZ4" i="9"/>
  <c r="FA4" i="9"/>
  <c r="DZ4" i="9"/>
  <c r="CB4" i="9"/>
  <c r="BA4" i="9"/>
  <c r="AB4" i="9"/>
  <c r="HC29" i="9"/>
  <c r="GZ29" i="9"/>
  <c r="GB3" i="9"/>
  <c r="GR16" i="9" s="1"/>
  <c r="GA3" i="9"/>
  <c r="GA29" i="9" s="1"/>
  <c r="FC3" i="9"/>
  <c r="FM16" i="9" s="1"/>
  <c r="FB3" i="9"/>
  <c r="FB29" i="9" s="1"/>
  <c r="EB3" i="9"/>
  <c r="EB29" i="9" s="1"/>
  <c r="EA3" i="9"/>
  <c r="EA29" i="9" s="1"/>
  <c r="DB29" i="9"/>
  <c r="CD3" i="9"/>
  <c r="CW12" i="9" s="1"/>
  <c r="CC3" i="9"/>
  <c r="CC29" i="9" s="1"/>
  <c r="BC3" i="9"/>
  <c r="BM16" i="9" s="1"/>
  <c r="BB3" i="9"/>
  <c r="BB29" i="9" s="1"/>
  <c r="AD3" i="9"/>
  <c r="AC3" i="9"/>
  <c r="AC29" i="9" s="1"/>
  <c r="G29" i="9"/>
  <c r="D29" i="9"/>
  <c r="AN1018" i="8"/>
  <c r="AO1018" i="8" s="1"/>
  <c r="AL1018" i="8"/>
  <c r="AM1018" i="8" s="1"/>
  <c r="AJ1018" i="8"/>
  <c r="AK1018" i="8" s="1"/>
  <c r="AD1018" i="8"/>
  <c r="AN1017" i="8"/>
  <c r="AL1017" i="8"/>
  <c r="AM1017" i="8" s="1"/>
  <c r="AJ1017" i="8"/>
  <c r="AK1017" i="8" s="1"/>
  <c r="AD1017" i="8"/>
  <c r="AN1016" i="8"/>
  <c r="AO1016" i="8" s="1"/>
  <c r="AL1016" i="8"/>
  <c r="AM1016" i="8" s="1"/>
  <c r="AJ1016" i="8"/>
  <c r="AK1016" i="8" s="1"/>
  <c r="AD1016" i="8"/>
  <c r="W1012" i="8"/>
  <c r="X1005" i="8"/>
  <c r="N1005" i="8"/>
  <c r="AF1002" i="8"/>
  <c r="W1002" i="8"/>
  <c r="N1002" i="8"/>
  <c r="E1002" i="8"/>
  <c r="AF1001" i="8"/>
  <c r="W1001" i="8"/>
  <c r="N1001" i="8"/>
  <c r="E1001" i="8"/>
  <c r="AE13" i="8"/>
  <c r="V13" i="8"/>
  <c r="M13" i="8"/>
  <c r="D13" i="8"/>
  <c r="AF12" i="8"/>
  <c r="AE12" i="8"/>
  <c r="W12" i="8"/>
  <c r="V12" i="8"/>
  <c r="N12" i="8"/>
  <c r="M12" i="8"/>
  <c r="E12" i="8"/>
  <c r="D12" i="8"/>
  <c r="AF11" i="8"/>
  <c r="AE11" i="8"/>
  <c r="AG1005" i="8" s="1"/>
  <c r="AG1015" i="8" s="1"/>
  <c r="X11" i="8"/>
  <c r="W11" i="8"/>
  <c r="V11" i="8"/>
  <c r="N11" i="8"/>
  <c r="M11" i="8"/>
  <c r="O1005" i="8" s="1"/>
  <c r="E11" i="8"/>
  <c r="D11" i="8"/>
  <c r="F1005" i="8" s="1"/>
  <c r="AF10" i="8"/>
  <c r="AE10" i="8"/>
  <c r="AF1005" i="8" s="1"/>
  <c r="AF1015" i="8" s="1"/>
  <c r="W10" i="8"/>
  <c r="V10" i="8"/>
  <c r="W1005" i="8" s="1"/>
  <c r="N10" i="8"/>
  <c r="M10" i="8"/>
  <c r="E10" i="8"/>
  <c r="D10" i="8"/>
  <c r="E1005" i="8" s="1"/>
  <c r="AF9" i="8"/>
  <c r="AE9" i="8"/>
  <c r="X9" i="8"/>
  <c r="W9" i="8"/>
  <c r="V9" i="8"/>
  <c r="N9" i="8"/>
  <c r="M9" i="8"/>
  <c r="F9" i="8"/>
  <c r="E9" i="8"/>
  <c r="D9" i="8"/>
  <c r="AF8" i="8"/>
  <c r="AE8" i="8"/>
  <c r="AE1005" i="8" s="1"/>
  <c r="AE1015" i="8" s="1"/>
  <c r="X8" i="8"/>
  <c r="V1006" i="8" s="1"/>
  <c r="W8" i="8"/>
  <c r="W13" i="8" s="1"/>
  <c r="X10" i="8" s="1"/>
  <c r="V8" i="8"/>
  <c r="V1005" i="8" s="1"/>
  <c r="N8" i="8"/>
  <c r="M8" i="8"/>
  <c r="M1005" i="8" s="1"/>
  <c r="E8" i="8"/>
  <c r="E13" i="8" s="1"/>
  <c r="D8" i="8"/>
  <c r="D1005" i="8" s="1"/>
  <c r="CY13" i="7"/>
  <c r="CP13" i="7"/>
  <c r="CG13" i="7"/>
  <c r="BX13" i="7"/>
  <c r="BO13" i="7"/>
  <c r="BF13" i="7"/>
  <c r="AW13" i="7"/>
  <c r="AN13" i="7"/>
  <c r="AE13" i="7"/>
  <c r="V13" i="7"/>
  <c r="M13" i="7"/>
  <c r="D13" i="7"/>
  <c r="CY12" i="7"/>
  <c r="CP12" i="7"/>
  <c r="CG12" i="7"/>
  <c r="BX12" i="7"/>
  <c r="BO12" i="7"/>
  <c r="BF12" i="7"/>
  <c r="AW12" i="7"/>
  <c r="AN12" i="7"/>
  <c r="AE12" i="7"/>
  <c r="V12" i="7"/>
  <c r="M12" i="7"/>
  <c r="D12" i="7"/>
  <c r="CY11" i="7"/>
  <c r="CP11" i="7"/>
  <c r="CG11" i="7"/>
  <c r="BX11" i="7"/>
  <c r="BO11" i="7"/>
  <c r="BF11" i="7"/>
  <c r="AW11" i="7"/>
  <c r="AN11" i="7"/>
  <c r="AE11" i="7"/>
  <c r="V11" i="7"/>
  <c r="M11" i="7"/>
  <c r="D11" i="7"/>
  <c r="CY10" i="7"/>
  <c r="CP10" i="7"/>
  <c r="CG10" i="7"/>
  <c r="BX10" i="7"/>
  <c r="BO10" i="7"/>
  <c r="BF10" i="7"/>
  <c r="AW10" i="7"/>
  <c r="AN10" i="7"/>
  <c r="AE10" i="7"/>
  <c r="V10" i="7"/>
  <c r="M10" i="7"/>
  <c r="D10" i="7"/>
  <c r="CY9" i="7"/>
  <c r="CP9" i="7"/>
  <c r="CG9" i="7"/>
  <c r="BX9" i="7"/>
  <c r="BO9" i="7"/>
  <c r="BF9" i="7"/>
  <c r="AW9" i="7"/>
  <c r="AN9" i="7"/>
  <c r="AE9" i="7"/>
  <c r="V9" i="7"/>
  <c r="M9" i="7"/>
  <c r="E9" i="7"/>
  <c r="D9" i="7"/>
  <c r="CY8" i="7"/>
  <c r="CP8" i="7"/>
  <c r="CG8" i="7"/>
  <c r="BY8" i="7"/>
  <c r="BX8" i="7"/>
  <c r="BO8" i="7"/>
  <c r="BF8" i="7"/>
  <c r="AW8" i="7"/>
  <c r="AO8" i="7"/>
  <c r="AN8" i="7"/>
  <c r="AE8" i="7"/>
  <c r="V8" i="7"/>
  <c r="M8" i="7"/>
  <c r="E8" i="7"/>
  <c r="D8" i="7"/>
  <c r="BE1120" i="6"/>
  <c r="AQ1019" i="6"/>
  <c r="AR1019" i="6" s="1"/>
  <c r="AK1019" i="6"/>
  <c r="W1014" i="8" s="1"/>
  <c r="AE1019" i="6"/>
  <c r="AF1019" i="6" s="1"/>
  <c r="Y1019" i="6"/>
  <c r="N1014" i="8" s="1"/>
  <c r="S1019" i="6"/>
  <c r="T1019" i="6" s="1"/>
  <c r="M1019" i="6"/>
  <c r="E1014" i="8" s="1"/>
  <c r="BG1018" i="6"/>
  <c r="BH1018" i="6" s="1"/>
  <c r="BE1018" i="6"/>
  <c r="BF1018" i="6" s="1"/>
  <c r="BC1018" i="6"/>
  <c r="BD1018" i="6" s="1"/>
  <c r="AQ1018" i="6"/>
  <c r="AR1018" i="6" s="1"/>
  <c r="AK1018" i="6"/>
  <c r="W1013" i="8" s="1"/>
  <c r="AE1018" i="6"/>
  <c r="AF1018" i="6" s="1"/>
  <c r="Y1018" i="6"/>
  <c r="N1013" i="8" s="1"/>
  <c r="S1018" i="6"/>
  <c r="T1018" i="6" s="1"/>
  <c r="M1018" i="6"/>
  <c r="E1013" i="8" s="1"/>
  <c r="BG1017" i="6"/>
  <c r="BH1017" i="6" s="1"/>
  <c r="BE1017" i="6"/>
  <c r="BF1017" i="6" s="1"/>
  <c r="BC1017" i="6"/>
  <c r="BD1017" i="6" s="1"/>
  <c r="AQ1017" i="6"/>
  <c r="AR1017" i="6" s="1"/>
  <c r="AK1017" i="6"/>
  <c r="AE1017" i="6"/>
  <c r="AF1017" i="6" s="1"/>
  <c r="Y1017" i="6"/>
  <c r="N1012" i="8" s="1"/>
  <c r="S1017" i="6"/>
  <c r="T1017" i="6" s="1"/>
  <c r="M1017" i="6"/>
  <c r="E1012" i="8" s="1"/>
  <c r="BG1016" i="6"/>
  <c r="BH1016" i="6" s="1"/>
  <c r="BE1016" i="6"/>
  <c r="BF1016" i="6" s="1"/>
  <c r="BC1016" i="6"/>
  <c r="BD1016" i="6" s="1"/>
  <c r="AQ1016" i="6"/>
  <c r="AR1016" i="6" s="1"/>
  <c r="AK1016" i="6"/>
  <c r="W1011" i="8" s="1"/>
  <c r="AE1016" i="6"/>
  <c r="AF1016" i="6" s="1"/>
  <c r="Y1016" i="6"/>
  <c r="N1011" i="8" s="1"/>
  <c r="S1016" i="6"/>
  <c r="T1016" i="6" s="1"/>
  <c r="M1016" i="6"/>
  <c r="E1011" i="8" s="1"/>
  <c r="AN1015" i="6"/>
  <c r="AM1015" i="6"/>
  <c r="AL1015" i="6"/>
  <c r="AB1015" i="6"/>
  <c r="AA1015" i="6"/>
  <c r="Z1015" i="6"/>
  <c r="P1015" i="6"/>
  <c r="O1015" i="6"/>
  <c r="N1015" i="6"/>
  <c r="AV902" i="6"/>
  <c r="L902" i="6"/>
  <c r="AV901" i="6"/>
  <c r="AJ901" i="6"/>
  <c r="X901" i="6"/>
  <c r="L901" i="6"/>
  <c r="F23" i="6"/>
  <c r="D23" i="6"/>
  <c r="B23" i="6"/>
  <c r="F22" i="6"/>
  <c r="D22" i="6"/>
  <c r="B22" i="6"/>
  <c r="F21" i="6"/>
  <c r="D21" i="6"/>
  <c r="B21" i="6"/>
  <c r="F20" i="6"/>
  <c r="D20" i="6"/>
  <c r="B20" i="6"/>
  <c r="AN19" i="6"/>
  <c r="AB19" i="6"/>
  <c r="P19" i="6"/>
  <c r="F19" i="6"/>
  <c r="D19" i="6"/>
  <c r="B19" i="6"/>
  <c r="F18" i="6"/>
  <c r="D18" i="6"/>
  <c r="B18" i="6"/>
  <c r="F17" i="6"/>
  <c r="D17" i="6"/>
  <c r="B17" i="6"/>
  <c r="AM16" i="6"/>
  <c r="AW1018" i="6" s="1"/>
  <c r="O16" i="6"/>
  <c r="AW1016" i="6" s="1"/>
  <c r="F16" i="6"/>
  <c r="D16" i="6"/>
  <c r="B16" i="6"/>
  <c r="F15" i="6"/>
  <c r="D15" i="6"/>
  <c r="B15" i="6"/>
  <c r="F14" i="6"/>
  <c r="D14" i="6"/>
  <c r="B14" i="6"/>
  <c r="F13" i="6"/>
  <c r="D13" i="6"/>
  <c r="AD13" i="9" s="1"/>
  <c r="B13" i="6"/>
  <c r="F12" i="6"/>
  <c r="D12" i="6"/>
  <c r="B12" i="6"/>
  <c r="AX11" i="6"/>
  <c r="AL11" i="6"/>
  <c r="Z11" i="6"/>
  <c r="N11" i="6"/>
  <c r="F11" i="6"/>
  <c r="D11" i="6"/>
  <c r="B11" i="6"/>
  <c r="AX10" i="6"/>
  <c r="AX12" i="6" s="1"/>
  <c r="AX13" i="6" s="1"/>
  <c r="AL10" i="6"/>
  <c r="AL12" i="6" s="1"/>
  <c r="AL13" i="6" s="1"/>
  <c r="Z10" i="6"/>
  <c r="AC21" i="6" s="1"/>
  <c r="N10" i="6"/>
  <c r="Q21" i="6" s="1"/>
  <c r="F10" i="6"/>
  <c r="D10" i="6"/>
  <c r="B10" i="6"/>
  <c r="F9" i="6"/>
  <c r="D9" i="6"/>
  <c r="B9" i="6"/>
  <c r="F8" i="6"/>
  <c r="D8" i="6"/>
  <c r="B8" i="6"/>
  <c r="F7" i="6"/>
  <c r="D7" i="6"/>
  <c r="B7" i="6"/>
  <c r="F6" i="6"/>
  <c r="D6" i="6"/>
  <c r="B6" i="6"/>
  <c r="AL5" i="6"/>
  <c r="AJ902" i="6" s="1"/>
  <c r="Z5" i="6"/>
  <c r="X902" i="6" s="1"/>
  <c r="N5" i="6"/>
  <c r="F5" i="6"/>
  <c r="D5" i="6"/>
  <c r="B5" i="6"/>
  <c r="F4" i="6"/>
  <c r="D4" i="6"/>
  <c r="B4" i="6"/>
  <c r="M40" i="5"/>
  <c r="M36" i="5"/>
  <c r="M35" i="5"/>
  <c r="CZ12" i="7" s="1"/>
  <c r="L35" i="5"/>
  <c r="CQ12" i="7" s="1"/>
  <c r="K35" i="5"/>
  <c r="J35" i="5"/>
  <c r="BY12" i="7" s="1"/>
  <c r="I35" i="5"/>
  <c r="BP12" i="7" s="1"/>
  <c r="H35" i="5"/>
  <c r="BG12" i="7" s="1"/>
  <c r="G35" i="5"/>
  <c r="AX12" i="7" s="1"/>
  <c r="F35" i="5"/>
  <c r="AO12" i="7" s="1"/>
  <c r="E35" i="5"/>
  <c r="AF12" i="7" s="1"/>
  <c r="D35" i="5"/>
  <c r="W12" i="7" s="1"/>
  <c r="C35" i="5"/>
  <c r="B35" i="5"/>
  <c r="E12" i="7" s="1"/>
  <c r="M34" i="5"/>
  <c r="CZ11" i="7" s="1"/>
  <c r="L34" i="5"/>
  <c r="CQ11" i="7" s="1"/>
  <c r="K34" i="5"/>
  <c r="CH11" i="7" s="1"/>
  <c r="J34" i="5"/>
  <c r="BY11" i="7" s="1"/>
  <c r="I34" i="5"/>
  <c r="BP11" i="7" s="1"/>
  <c r="H34" i="5"/>
  <c r="BG11" i="7" s="1"/>
  <c r="G34" i="5"/>
  <c r="F34" i="5"/>
  <c r="AO11" i="7" s="1"/>
  <c r="E34" i="5"/>
  <c r="AF11" i="7" s="1"/>
  <c r="D34" i="5"/>
  <c r="W11" i="7" s="1"/>
  <c r="C34" i="5"/>
  <c r="N11" i="7" s="1"/>
  <c r="B34" i="5"/>
  <c r="E11" i="7" s="1"/>
  <c r="M33" i="5"/>
  <c r="CZ10" i="7" s="1"/>
  <c r="L33" i="5"/>
  <c r="CQ10" i="7" s="1"/>
  <c r="K33" i="5"/>
  <c r="J33" i="5"/>
  <c r="BY10" i="7" s="1"/>
  <c r="I33" i="5"/>
  <c r="BP10" i="7" s="1"/>
  <c r="H33" i="5"/>
  <c r="BG10" i="7" s="1"/>
  <c r="G33" i="5"/>
  <c r="AX10" i="7" s="1"/>
  <c r="F33" i="5"/>
  <c r="AO10" i="7" s="1"/>
  <c r="E33" i="5"/>
  <c r="AF10" i="7" s="1"/>
  <c r="D33" i="5"/>
  <c r="W10" i="7" s="1"/>
  <c r="C33" i="5"/>
  <c r="B33" i="5"/>
  <c r="E10" i="7" s="1"/>
  <c r="M32" i="5"/>
  <c r="CZ9" i="7" s="1"/>
  <c r="L32" i="5"/>
  <c r="CQ9" i="7" s="1"/>
  <c r="K32" i="5"/>
  <c r="CH9" i="7" s="1"/>
  <c r="J32" i="5"/>
  <c r="BY9" i="7" s="1"/>
  <c r="I32" i="5"/>
  <c r="BP9" i="7" s="1"/>
  <c r="H32" i="5"/>
  <c r="BG9" i="7" s="1"/>
  <c r="G32" i="5"/>
  <c r="F32" i="5"/>
  <c r="AO9" i="7" s="1"/>
  <c r="E32" i="5"/>
  <c r="AF9" i="7" s="1"/>
  <c r="D32" i="5"/>
  <c r="W9" i="7" s="1"/>
  <c r="C32" i="5"/>
  <c r="N9" i="7" s="1"/>
  <c r="B32" i="5"/>
  <c r="M31" i="5"/>
  <c r="CZ8" i="7" s="1"/>
  <c r="L31" i="5"/>
  <c r="CQ8" i="7" s="1"/>
  <c r="K31" i="5"/>
  <c r="CH8" i="7" s="1"/>
  <c r="J31" i="5"/>
  <c r="I31" i="5"/>
  <c r="BP8" i="7" s="1"/>
  <c r="H31" i="5"/>
  <c r="BG8" i="7" s="1"/>
  <c r="G31" i="5"/>
  <c r="AX8" i="7" s="1"/>
  <c r="F31" i="5"/>
  <c r="E31" i="5"/>
  <c r="AF8" i="7" s="1"/>
  <c r="D31" i="5"/>
  <c r="W8" i="7" s="1"/>
  <c r="C31" i="5"/>
  <c r="N8" i="7" s="1"/>
  <c r="B31" i="5"/>
  <c r="J30" i="5"/>
  <c r="M29" i="5"/>
  <c r="L29" i="5"/>
  <c r="K29" i="5"/>
  <c r="J29" i="5"/>
  <c r="I29" i="5"/>
  <c r="H29" i="5"/>
  <c r="G29" i="5"/>
  <c r="F29" i="5"/>
  <c r="E29" i="5"/>
  <c r="D29" i="5"/>
  <c r="C29" i="5"/>
  <c r="B29" i="5"/>
  <c r="M28" i="5"/>
  <c r="L28" i="5"/>
  <c r="K28" i="5"/>
  <c r="J28" i="5"/>
  <c r="I28" i="5"/>
  <c r="H28" i="5"/>
  <c r="G28" i="5"/>
  <c r="F28" i="5"/>
  <c r="E28" i="5"/>
  <c r="D28" i="5"/>
  <c r="C28" i="5"/>
  <c r="B28" i="5"/>
  <c r="G27" i="5"/>
  <c r="M26" i="5"/>
  <c r="L26" i="5"/>
  <c r="K26" i="5"/>
  <c r="J26" i="5"/>
  <c r="I26" i="5"/>
  <c r="H26" i="5"/>
  <c r="G26" i="5"/>
  <c r="F26" i="5"/>
  <c r="E26" i="5"/>
  <c r="D26" i="5"/>
  <c r="C26" i="5"/>
  <c r="B26" i="5"/>
  <c r="M25" i="5"/>
  <c r="M27" i="5" s="1"/>
  <c r="L25" i="5"/>
  <c r="L27" i="5" s="1"/>
  <c r="L30" i="5" s="1"/>
  <c r="K25" i="5"/>
  <c r="K27" i="5" s="1"/>
  <c r="J25" i="5"/>
  <c r="J27" i="5" s="1"/>
  <c r="I25" i="5"/>
  <c r="I27" i="5" s="1"/>
  <c r="H25" i="5"/>
  <c r="H27" i="5" s="1"/>
  <c r="H30" i="5" s="1"/>
  <c r="G25" i="5"/>
  <c r="F25" i="5"/>
  <c r="F27" i="5" s="1"/>
  <c r="F30" i="5" s="1"/>
  <c r="E25" i="5"/>
  <c r="E27" i="5" s="1"/>
  <c r="D25" i="5"/>
  <c r="D27" i="5" s="1"/>
  <c r="D30" i="5" s="1"/>
  <c r="C25" i="5"/>
  <c r="C27" i="5" s="1"/>
  <c r="B25" i="5"/>
  <c r="B27" i="5" s="1"/>
  <c r="B30" i="5" s="1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26" i="5" s="1"/>
  <c r="N7" i="5"/>
  <c r="N6" i="5"/>
  <c r="N5" i="5"/>
  <c r="AF2102" i="4"/>
  <c r="W2102" i="4"/>
  <c r="N2102" i="4"/>
  <c r="E2102" i="4"/>
  <c r="AF2101" i="4"/>
  <c r="W2101" i="4"/>
  <c r="N2101" i="4"/>
  <c r="E2101" i="4"/>
  <c r="AG2013" i="4"/>
  <c r="AF2013" i="4"/>
  <c r="X2013" i="4"/>
  <c r="W2013" i="4"/>
  <c r="O2013" i="4"/>
  <c r="N2013" i="4"/>
  <c r="F2013" i="4"/>
  <c r="E2013" i="4"/>
  <c r="AN1018" i="4"/>
  <c r="AL1018" i="4"/>
  <c r="AM1018" i="4" s="1"/>
  <c r="AJ1018" i="4"/>
  <c r="AK1018" i="4" s="1"/>
  <c r="AD1018" i="4"/>
  <c r="AN1017" i="4"/>
  <c r="AO1017" i="4" s="1"/>
  <c r="AL1017" i="4"/>
  <c r="AM1017" i="4" s="1"/>
  <c r="AJ1017" i="4"/>
  <c r="AK1017" i="4" s="1"/>
  <c r="AD1017" i="4"/>
  <c r="AN1016" i="4"/>
  <c r="AO1016" i="4" s="1"/>
  <c r="AL1016" i="4"/>
  <c r="AM1016" i="4" s="1"/>
  <c r="AJ1016" i="4"/>
  <c r="AK1016" i="4" s="1"/>
  <c r="AD1016" i="4"/>
  <c r="E1014" i="4"/>
  <c r="X1005" i="4"/>
  <c r="O1005" i="4"/>
  <c r="N1005" i="4"/>
  <c r="AF1002" i="4"/>
  <c r="W1002" i="4"/>
  <c r="N1002" i="4"/>
  <c r="E1002" i="4"/>
  <c r="AF1001" i="4"/>
  <c r="W1001" i="4"/>
  <c r="N1001" i="4"/>
  <c r="E1001" i="4"/>
  <c r="AE13" i="4"/>
  <c r="V13" i="4"/>
  <c r="M13" i="4"/>
  <c r="D13" i="4"/>
  <c r="AF12" i="4"/>
  <c r="AE12" i="4"/>
  <c r="W12" i="4"/>
  <c r="V12" i="4"/>
  <c r="N12" i="4"/>
  <c r="M12" i="4"/>
  <c r="E12" i="4"/>
  <c r="D12" i="4"/>
  <c r="AF11" i="4"/>
  <c r="AE11" i="4"/>
  <c r="AG1005" i="4" s="1"/>
  <c r="AG1015" i="4" s="1"/>
  <c r="W11" i="4"/>
  <c r="V11" i="4"/>
  <c r="N11" i="4"/>
  <c r="M11" i="4"/>
  <c r="E11" i="4"/>
  <c r="D11" i="4"/>
  <c r="AF10" i="4"/>
  <c r="AE10" i="4"/>
  <c r="AF1005" i="4" s="1"/>
  <c r="AF1015" i="4" s="1"/>
  <c r="W10" i="4"/>
  <c r="V10" i="4"/>
  <c r="W1005" i="4" s="1"/>
  <c r="N10" i="4"/>
  <c r="M10" i="4"/>
  <c r="E10" i="4"/>
  <c r="D10" i="4"/>
  <c r="E1005" i="4" s="1"/>
  <c r="AF9" i="4"/>
  <c r="AE9" i="4"/>
  <c r="W9" i="4"/>
  <c r="V9" i="4"/>
  <c r="N9" i="4"/>
  <c r="M9" i="4"/>
  <c r="E9" i="4"/>
  <c r="D9" i="4"/>
  <c r="AF8" i="4"/>
  <c r="AE8" i="4"/>
  <c r="AE1005" i="4" s="1"/>
  <c r="AE1015" i="4" s="1"/>
  <c r="W8" i="4"/>
  <c r="W13" i="4" s="1"/>
  <c r="X10" i="4" s="1"/>
  <c r="W1006" i="4" s="1"/>
  <c r="V8" i="4"/>
  <c r="V1005" i="4" s="1"/>
  <c r="N8" i="4"/>
  <c r="M8" i="4"/>
  <c r="M1005" i="4" s="1"/>
  <c r="E8" i="4"/>
  <c r="E13" i="4" s="1"/>
  <c r="D8" i="4"/>
  <c r="D1005" i="4" s="1"/>
  <c r="BY2058" i="3"/>
  <c r="AO2058" i="3"/>
  <c r="E2058" i="3"/>
  <c r="BY2057" i="3"/>
  <c r="BY2060" i="3" s="1"/>
  <c r="AO2057" i="3"/>
  <c r="E2057" i="3"/>
  <c r="BY2056" i="3"/>
  <c r="AO2056" i="3"/>
  <c r="AO2060" i="3" s="1"/>
  <c r="E2056" i="3"/>
  <c r="E2060" i="3" s="1"/>
  <c r="BX2054" i="3"/>
  <c r="AN2054" i="3"/>
  <c r="D2054" i="3"/>
  <c r="CY2053" i="3"/>
  <c r="BX2053" i="3"/>
  <c r="BO2053" i="3"/>
  <c r="AN2053" i="3"/>
  <c r="AO2053" i="3" s="1"/>
  <c r="AE2053" i="3"/>
  <c r="D2053" i="3"/>
  <c r="E2053" i="3" s="1"/>
  <c r="DA2050" i="3"/>
  <c r="DB2050" i="3" s="1"/>
  <c r="CZ2050" i="3"/>
  <c r="CY2050" i="3"/>
  <c r="BQ2050" i="3"/>
  <c r="BR2050" i="3" s="1"/>
  <c r="BP2050" i="3"/>
  <c r="BO2050" i="3"/>
  <c r="AG2050" i="3"/>
  <c r="AH2050" i="3" s="1"/>
  <c r="AF2050" i="3"/>
  <c r="AE2050" i="3"/>
  <c r="DA2049" i="3"/>
  <c r="DB2049" i="3" s="1"/>
  <c r="CZ2049" i="3"/>
  <c r="CY2049" i="3"/>
  <c r="BQ2049" i="3"/>
  <c r="BR2049" i="3" s="1"/>
  <c r="BP2049" i="3"/>
  <c r="BO2049" i="3"/>
  <c r="AG2049" i="3"/>
  <c r="AH2049" i="3" s="1"/>
  <c r="AF2049" i="3"/>
  <c r="AE2049" i="3"/>
  <c r="DA2048" i="3"/>
  <c r="DB2048" i="3" s="1"/>
  <c r="CZ2048" i="3"/>
  <c r="CY2048" i="3"/>
  <c r="BQ2048" i="3"/>
  <c r="BR2048" i="3" s="1"/>
  <c r="BP2048" i="3"/>
  <c r="BO2048" i="3"/>
  <c r="AG2048" i="3"/>
  <c r="AH2048" i="3" s="1"/>
  <c r="AF2048" i="3"/>
  <c r="AE2048" i="3"/>
  <c r="DA2047" i="3"/>
  <c r="DB2047" i="3" s="1"/>
  <c r="CZ2047" i="3"/>
  <c r="CY2047" i="3"/>
  <c r="BQ2047" i="3"/>
  <c r="BR2047" i="3" s="1"/>
  <c r="BP2047" i="3"/>
  <c r="BO2047" i="3"/>
  <c r="AG2047" i="3"/>
  <c r="AH2047" i="3" s="1"/>
  <c r="AF2047" i="3"/>
  <c r="AE2047" i="3"/>
  <c r="DA2046" i="3"/>
  <c r="DB2046" i="3" s="1"/>
  <c r="CZ2046" i="3"/>
  <c r="CY2046" i="3"/>
  <c r="BQ2046" i="3"/>
  <c r="BR2046" i="3" s="1"/>
  <c r="BP2046" i="3"/>
  <c r="BO2046" i="3"/>
  <c r="AG2046" i="3"/>
  <c r="AH2046" i="3" s="1"/>
  <c r="AF2046" i="3"/>
  <c r="AE2046" i="3"/>
  <c r="CY2013" i="3"/>
  <c r="CR2013" i="3"/>
  <c r="CP2013" i="3"/>
  <c r="CG2013" i="3"/>
  <c r="BX2013" i="3"/>
  <c r="BO2013" i="3"/>
  <c r="BF2013" i="3"/>
  <c r="AW2013" i="3"/>
  <c r="AN2013" i="3"/>
  <c r="AE2013" i="3"/>
  <c r="X2013" i="3"/>
  <c r="V2013" i="3"/>
  <c r="M2013" i="3"/>
  <c r="D2013" i="3"/>
  <c r="DA2012" i="3"/>
  <c r="CZ2012" i="3"/>
  <c r="CY2012" i="3"/>
  <c r="CR2012" i="3"/>
  <c r="CQ2012" i="3"/>
  <c r="CP2012" i="3"/>
  <c r="CI2012" i="3"/>
  <c r="CH2012" i="3"/>
  <c r="CG2012" i="3"/>
  <c r="BZ2012" i="3"/>
  <c r="BY2012" i="3"/>
  <c r="BX2012" i="3"/>
  <c r="BQ2012" i="3"/>
  <c r="BP2012" i="3"/>
  <c r="BO2012" i="3"/>
  <c r="BH2012" i="3"/>
  <c r="BG2012" i="3"/>
  <c r="BF2012" i="3"/>
  <c r="AY2012" i="3"/>
  <c r="AX2012" i="3"/>
  <c r="AW2012" i="3"/>
  <c r="AP2012" i="3"/>
  <c r="AO2012" i="3"/>
  <c r="AN2012" i="3"/>
  <c r="AG2012" i="3"/>
  <c r="AF2012" i="3"/>
  <c r="AE2012" i="3"/>
  <c r="X2012" i="3"/>
  <c r="W2012" i="3"/>
  <c r="V2012" i="3"/>
  <c r="O2012" i="3"/>
  <c r="N2012" i="3"/>
  <c r="M2012" i="3"/>
  <c r="F2012" i="3"/>
  <c r="E2012" i="3"/>
  <c r="D2012" i="3"/>
  <c r="DA2011" i="3"/>
  <c r="CZ2058" i="3" s="1"/>
  <c r="CZ2011" i="3"/>
  <c r="CY2011" i="3"/>
  <c r="CR2011" i="3"/>
  <c r="CQ2058" i="3" s="1"/>
  <c r="CQ2011" i="3"/>
  <c r="CP2011" i="3"/>
  <c r="CI2011" i="3"/>
  <c r="CH2058" i="3" s="1"/>
  <c r="CH2011" i="3"/>
  <c r="CG2011" i="3"/>
  <c r="BZ2011" i="3"/>
  <c r="BY2011" i="3"/>
  <c r="BX2011" i="3"/>
  <c r="BQ2011" i="3"/>
  <c r="BP2058" i="3" s="1"/>
  <c r="BP2011" i="3"/>
  <c r="BO2011" i="3"/>
  <c r="BH2011" i="3"/>
  <c r="BG2058" i="3" s="1"/>
  <c r="BG2011" i="3"/>
  <c r="BF2011" i="3"/>
  <c r="AY2011" i="3"/>
  <c r="AX2058" i="3" s="1"/>
  <c r="AX2011" i="3"/>
  <c r="AW2011" i="3"/>
  <c r="AP2011" i="3"/>
  <c r="AO2011" i="3"/>
  <c r="AN2011" i="3"/>
  <c r="AG2011" i="3"/>
  <c r="AF2058" i="3" s="1"/>
  <c r="AF2011" i="3"/>
  <c r="AE2011" i="3"/>
  <c r="X2011" i="3"/>
  <c r="W2058" i="3" s="1"/>
  <c r="W2011" i="3"/>
  <c r="V2011" i="3"/>
  <c r="O2011" i="3"/>
  <c r="N2058" i="3" s="1"/>
  <c r="N2011" i="3"/>
  <c r="M2011" i="3"/>
  <c r="F2011" i="3"/>
  <c r="E2011" i="3"/>
  <c r="D2011" i="3"/>
  <c r="DA2010" i="3"/>
  <c r="CZ2057" i="3" s="1"/>
  <c r="CZ2010" i="3"/>
  <c r="CY2010" i="3"/>
  <c r="CR2010" i="3"/>
  <c r="CQ2010" i="3"/>
  <c r="CP2010" i="3"/>
  <c r="CI2010" i="3"/>
  <c r="CH2057" i="3" s="1"/>
  <c r="CH2010" i="3"/>
  <c r="CG2010" i="3"/>
  <c r="BZ2010" i="3"/>
  <c r="BY2010" i="3"/>
  <c r="BX2010" i="3"/>
  <c r="BQ2010" i="3"/>
  <c r="BP2057" i="3" s="1"/>
  <c r="BP2010" i="3"/>
  <c r="BO2010" i="3"/>
  <c r="BH2010" i="3"/>
  <c r="BG2010" i="3"/>
  <c r="BF2010" i="3"/>
  <c r="AY2010" i="3"/>
  <c r="AX2057" i="3" s="1"/>
  <c r="AX2010" i="3"/>
  <c r="AW2010" i="3"/>
  <c r="AP2010" i="3"/>
  <c r="AO2010" i="3"/>
  <c r="AN2010" i="3"/>
  <c r="AG2010" i="3"/>
  <c r="AF2057" i="3" s="1"/>
  <c r="AF2010" i="3"/>
  <c r="AE2010" i="3"/>
  <c r="X2010" i="3"/>
  <c r="W2010" i="3"/>
  <c r="V2010" i="3"/>
  <c r="O2010" i="3"/>
  <c r="N2057" i="3" s="1"/>
  <c r="N2010" i="3"/>
  <c r="M2010" i="3"/>
  <c r="F2010" i="3"/>
  <c r="E2010" i="3"/>
  <c r="D2010" i="3"/>
  <c r="DA2009" i="3"/>
  <c r="CZ2009" i="3"/>
  <c r="CY2009" i="3"/>
  <c r="CR2009" i="3"/>
  <c r="CQ2009" i="3"/>
  <c r="CP2009" i="3"/>
  <c r="CI2009" i="3"/>
  <c r="CH2009" i="3"/>
  <c r="CG2009" i="3"/>
  <c r="BZ2009" i="3"/>
  <c r="BY2009" i="3"/>
  <c r="BX2009" i="3"/>
  <c r="BQ2009" i="3"/>
  <c r="BP2009" i="3"/>
  <c r="BO2009" i="3"/>
  <c r="BH2009" i="3"/>
  <c r="BG2009" i="3"/>
  <c r="BF2009" i="3"/>
  <c r="AY2009" i="3"/>
  <c r="AX2009" i="3"/>
  <c r="AW2009" i="3"/>
  <c r="AP2009" i="3"/>
  <c r="AO2009" i="3"/>
  <c r="AN2009" i="3"/>
  <c r="AG2009" i="3"/>
  <c r="AF2009" i="3"/>
  <c r="AE2009" i="3"/>
  <c r="X2009" i="3"/>
  <c r="W2009" i="3"/>
  <c r="V2009" i="3"/>
  <c r="O2009" i="3"/>
  <c r="N2009" i="3"/>
  <c r="M2009" i="3"/>
  <c r="F2009" i="3"/>
  <c r="E2009" i="3"/>
  <c r="D2009" i="3"/>
  <c r="DA2008" i="3"/>
  <c r="CZ2008" i="3"/>
  <c r="CY2008" i="3"/>
  <c r="CR2008" i="3"/>
  <c r="CQ2008" i="3"/>
  <c r="CP2008" i="3"/>
  <c r="CI2008" i="3"/>
  <c r="CG2053" i="3" s="1"/>
  <c r="CH2008" i="3"/>
  <c r="CG2008" i="3"/>
  <c r="BZ2008" i="3"/>
  <c r="BY2050" i="3" s="1"/>
  <c r="BZ2050" i="3" s="1"/>
  <c r="CA2050" i="3" s="1"/>
  <c r="BY2008" i="3"/>
  <c r="BX2008" i="3"/>
  <c r="BQ2008" i="3"/>
  <c r="BP2008" i="3"/>
  <c r="BO2008" i="3"/>
  <c r="BH2008" i="3"/>
  <c r="BG2008" i="3"/>
  <c r="BF2008" i="3"/>
  <c r="AY2008" i="3"/>
  <c r="AW2053" i="3" s="1"/>
  <c r="AX2008" i="3"/>
  <c r="AW2008" i="3"/>
  <c r="AP2008" i="3"/>
  <c r="AO2050" i="3" s="1"/>
  <c r="AP2050" i="3" s="1"/>
  <c r="AQ2050" i="3" s="1"/>
  <c r="AO2008" i="3"/>
  <c r="AN2008" i="3"/>
  <c r="AN2050" i="3" s="1"/>
  <c r="AG2008" i="3"/>
  <c r="AF2008" i="3"/>
  <c r="AE2008" i="3"/>
  <c r="X2008" i="3"/>
  <c r="W2008" i="3"/>
  <c r="V2008" i="3"/>
  <c r="O2008" i="3"/>
  <c r="M2053" i="3" s="1"/>
  <c r="N2008" i="3"/>
  <c r="M2008" i="3"/>
  <c r="F2008" i="3"/>
  <c r="E2008" i="3"/>
  <c r="D2008" i="3"/>
  <c r="CY13" i="3"/>
  <c r="CP13" i="3"/>
  <c r="CG13" i="3"/>
  <c r="BX13" i="3"/>
  <c r="BO13" i="3"/>
  <c r="BF13" i="3"/>
  <c r="AW13" i="3"/>
  <c r="AN13" i="3"/>
  <c r="AE13" i="3"/>
  <c r="V13" i="3"/>
  <c r="M13" i="3"/>
  <c r="D13" i="3"/>
  <c r="CY12" i="3"/>
  <c r="CP12" i="3"/>
  <c r="CG12" i="3"/>
  <c r="BX12" i="3"/>
  <c r="BO12" i="3"/>
  <c r="BF12" i="3"/>
  <c r="AW12" i="3"/>
  <c r="AN12" i="3"/>
  <c r="AE12" i="3"/>
  <c r="V12" i="3"/>
  <c r="M12" i="3"/>
  <c r="D12" i="3"/>
  <c r="CY11" i="3"/>
  <c r="CP11" i="3"/>
  <c r="CG11" i="3"/>
  <c r="BX11" i="3"/>
  <c r="BO11" i="3"/>
  <c r="BF11" i="3"/>
  <c r="AW11" i="3"/>
  <c r="AN11" i="3"/>
  <c r="AE11" i="3"/>
  <c r="V11" i="3"/>
  <c r="M11" i="3"/>
  <c r="D11" i="3"/>
  <c r="CY10" i="3"/>
  <c r="CP10" i="3"/>
  <c r="CG10" i="3"/>
  <c r="BX10" i="3"/>
  <c r="BO10" i="3"/>
  <c r="BF10" i="3"/>
  <c r="AW10" i="3"/>
  <c r="AN10" i="3"/>
  <c r="AE10" i="3"/>
  <c r="V10" i="3"/>
  <c r="M10" i="3"/>
  <c r="D10" i="3"/>
  <c r="CY9" i="3"/>
  <c r="CP9" i="3"/>
  <c r="CG9" i="3"/>
  <c r="BX9" i="3"/>
  <c r="BO9" i="3"/>
  <c r="BF9" i="3"/>
  <c r="AW9" i="3"/>
  <c r="AN9" i="3"/>
  <c r="AE9" i="3"/>
  <c r="V9" i="3"/>
  <c r="M9" i="3"/>
  <c r="D9" i="3"/>
  <c r="CY8" i="3"/>
  <c r="CP8" i="3"/>
  <c r="CG8" i="3"/>
  <c r="BX8" i="3"/>
  <c r="BO8" i="3"/>
  <c r="BF8" i="3"/>
  <c r="AW8" i="3"/>
  <c r="AN8" i="3"/>
  <c r="AE8" i="3"/>
  <c r="V8" i="3"/>
  <c r="M8" i="3"/>
  <c r="D8" i="3"/>
  <c r="AN2205" i="2"/>
  <c r="AM2205" i="2"/>
  <c r="AL2205" i="2"/>
  <c r="AB2205" i="2"/>
  <c r="AA2205" i="2"/>
  <c r="Z2205" i="2"/>
  <c r="P2205" i="2"/>
  <c r="O2205" i="2"/>
  <c r="N2205" i="2"/>
  <c r="AV2102" i="2"/>
  <c r="AV2101" i="2"/>
  <c r="AJ2101" i="2"/>
  <c r="X2101" i="2"/>
  <c r="L2101" i="2"/>
  <c r="BE1120" i="2"/>
  <c r="AQ1019" i="2"/>
  <c r="AR1019" i="2" s="1"/>
  <c r="AK1019" i="2"/>
  <c r="W1014" i="4" s="1"/>
  <c r="AE1019" i="2"/>
  <c r="AF1019" i="2" s="1"/>
  <c r="Y1019" i="2"/>
  <c r="N1014" i="4" s="1"/>
  <c r="S1019" i="2"/>
  <c r="T1019" i="2" s="1"/>
  <c r="M1019" i="2"/>
  <c r="BG1018" i="2"/>
  <c r="BH1018" i="2" s="1"/>
  <c r="BE1018" i="2"/>
  <c r="BF1018" i="2" s="1"/>
  <c r="BC1018" i="2"/>
  <c r="BD1018" i="2" s="1"/>
  <c r="AQ1018" i="2"/>
  <c r="AR1018" i="2" s="1"/>
  <c r="AK1018" i="2"/>
  <c r="W1013" i="4" s="1"/>
  <c r="AE1018" i="2"/>
  <c r="AF1018" i="2" s="1"/>
  <c r="Y1018" i="2"/>
  <c r="N1013" i="4" s="1"/>
  <c r="S1018" i="2"/>
  <c r="T1018" i="2" s="1"/>
  <c r="M1018" i="2"/>
  <c r="E1013" i="4" s="1"/>
  <c r="BG1017" i="2"/>
  <c r="BH1017" i="2" s="1"/>
  <c r="BE1017" i="2"/>
  <c r="BF1017" i="2" s="1"/>
  <c r="BC1017" i="2"/>
  <c r="BD1017" i="2" s="1"/>
  <c r="AQ1017" i="2"/>
  <c r="AR1017" i="2" s="1"/>
  <c r="AK1017" i="2"/>
  <c r="W1012" i="4" s="1"/>
  <c r="AE1017" i="2"/>
  <c r="AF1017" i="2" s="1"/>
  <c r="Y1017" i="2"/>
  <c r="N1012" i="4" s="1"/>
  <c r="S1017" i="2"/>
  <c r="T1017" i="2" s="1"/>
  <c r="M1017" i="2"/>
  <c r="E1012" i="4" s="1"/>
  <c r="BG1016" i="2"/>
  <c r="BH1016" i="2" s="1"/>
  <c r="BE1016" i="2"/>
  <c r="BF1016" i="2" s="1"/>
  <c r="BC1016" i="2"/>
  <c r="BD1016" i="2" s="1"/>
  <c r="AQ1016" i="2"/>
  <c r="AR1016" i="2" s="1"/>
  <c r="AK1016" i="2"/>
  <c r="W1011" i="4" s="1"/>
  <c r="AE1016" i="2"/>
  <c r="AF1016" i="2" s="1"/>
  <c r="Y1016" i="2"/>
  <c r="N1011" i="4" s="1"/>
  <c r="S1016" i="2"/>
  <c r="T1016" i="2" s="1"/>
  <c r="M1016" i="2"/>
  <c r="E1011" i="4" s="1"/>
  <c r="AN1015" i="2"/>
  <c r="AM1015" i="2"/>
  <c r="AL1015" i="2"/>
  <c r="AB1015" i="2"/>
  <c r="AA1015" i="2"/>
  <c r="Z1015" i="2"/>
  <c r="P1015" i="2"/>
  <c r="O1015" i="2"/>
  <c r="N1015" i="2"/>
  <c r="AV902" i="2"/>
  <c r="L902" i="2"/>
  <c r="AV901" i="2"/>
  <c r="AJ901" i="2"/>
  <c r="X901" i="2"/>
  <c r="L901" i="2"/>
  <c r="F23" i="2"/>
  <c r="D23" i="2"/>
  <c r="B23" i="2"/>
  <c r="F22" i="2"/>
  <c r="D22" i="2"/>
  <c r="B22" i="2"/>
  <c r="F21" i="2"/>
  <c r="D21" i="2"/>
  <c r="B21" i="2"/>
  <c r="F20" i="2"/>
  <c r="D20" i="2"/>
  <c r="B20" i="2"/>
  <c r="F19" i="2"/>
  <c r="D19" i="2"/>
  <c r="B19" i="2"/>
  <c r="F18" i="2"/>
  <c r="D18" i="2"/>
  <c r="B18" i="2"/>
  <c r="F17" i="2"/>
  <c r="D17" i="2"/>
  <c r="B17" i="2"/>
  <c r="AM16" i="2"/>
  <c r="AW1018" i="2" s="1"/>
  <c r="F16" i="2"/>
  <c r="D16" i="2"/>
  <c r="B16" i="2"/>
  <c r="F15" i="2"/>
  <c r="D15" i="2"/>
  <c r="B15" i="2"/>
  <c r="F14" i="2"/>
  <c r="D14" i="2"/>
  <c r="B14" i="2"/>
  <c r="F13" i="2"/>
  <c r="D13" i="2"/>
  <c r="B13" i="2"/>
  <c r="F12" i="2"/>
  <c r="D12" i="2"/>
  <c r="B12" i="2"/>
  <c r="AX11" i="2"/>
  <c r="AZ2019" i="2" s="1"/>
  <c r="AL11" i="2"/>
  <c r="AN2019" i="2" s="1"/>
  <c r="Z11" i="2"/>
  <c r="AB2019" i="2" s="1"/>
  <c r="N11" i="2"/>
  <c r="P2019" i="2" s="1"/>
  <c r="F11" i="2"/>
  <c r="D11" i="2"/>
  <c r="B11" i="2"/>
  <c r="AX10" i="2"/>
  <c r="AL10" i="2"/>
  <c r="AO21" i="2" s="1"/>
  <c r="Z10" i="2"/>
  <c r="AC21" i="2" s="1"/>
  <c r="N10" i="2"/>
  <c r="Q21" i="2" s="1"/>
  <c r="F10" i="2"/>
  <c r="D10" i="2"/>
  <c r="B10" i="2"/>
  <c r="F9" i="2"/>
  <c r="D9" i="2"/>
  <c r="B9" i="2"/>
  <c r="F8" i="2"/>
  <c r="D8" i="2"/>
  <c r="B8" i="2"/>
  <c r="F7" i="2"/>
  <c r="D7" i="2"/>
  <c r="B7" i="2"/>
  <c r="F6" i="2"/>
  <c r="D6" i="2"/>
  <c r="B6" i="2"/>
  <c r="AL5" i="2"/>
  <c r="AJ2102" i="2" s="1"/>
  <c r="Z5" i="2"/>
  <c r="X902" i="2" s="1"/>
  <c r="N5" i="2"/>
  <c r="L2102" i="2" s="1"/>
  <c r="F5" i="2"/>
  <c r="D5" i="2"/>
  <c r="B5" i="2"/>
  <c r="F4" i="2"/>
  <c r="D4" i="2"/>
  <c r="B4" i="2"/>
  <c r="M1031" i="1"/>
  <c r="DA2013" i="3" s="1"/>
  <c r="L1031" i="1"/>
  <c r="K1031" i="1"/>
  <c r="CI2013" i="3" s="1"/>
  <c r="J1031" i="1"/>
  <c r="BZ2013" i="3" s="1"/>
  <c r="I1031" i="1"/>
  <c r="BQ2013" i="3" s="1"/>
  <c r="H1031" i="1"/>
  <c r="BH2013" i="3" s="1"/>
  <c r="G1031" i="1"/>
  <c r="AY2013" i="3" s="1"/>
  <c r="F1031" i="1"/>
  <c r="AP2013" i="3" s="1"/>
  <c r="E1031" i="1"/>
  <c r="AG2013" i="3" s="1"/>
  <c r="D1031" i="1"/>
  <c r="C1031" i="1"/>
  <c r="O2013" i="3" s="1"/>
  <c r="B1031" i="1"/>
  <c r="F2013" i="3" s="1"/>
  <c r="M1025" i="1"/>
  <c r="CZ2013" i="3" s="1"/>
  <c r="L1025" i="1"/>
  <c r="CQ2013" i="3" s="1"/>
  <c r="K1025" i="1"/>
  <c r="CH2013" i="3" s="1"/>
  <c r="J1025" i="1"/>
  <c r="BY2013" i="3" s="1"/>
  <c r="I1025" i="1"/>
  <c r="BP2013" i="3" s="1"/>
  <c r="H1025" i="1"/>
  <c r="BG2013" i="3" s="1"/>
  <c r="G1025" i="1"/>
  <c r="AX2013" i="3" s="1"/>
  <c r="F1025" i="1"/>
  <c r="AO2013" i="3" s="1"/>
  <c r="E1025" i="1"/>
  <c r="AF2013" i="3" s="1"/>
  <c r="D1025" i="1"/>
  <c r="W2013" i="3" s="1"/>
  <c r="C1025" i="1"/>
  <c r="N2013" i="3" s="1"/>
  <c r="B1025" i="1"/>
  <c r="E2013" i="3" s="1"/>
  <c r="M35" i="1"/>
  <c r="CZ12" i="3" s="1"/>
  <c r="L35" i="1"/>
  <c r="CQ12" i="3" s="1"/>
  <c r="K35" i="1"/>
  <c r="J35" i="1"/>
  <c r="BY12" i="3" s="1"/>
  <c r="I35" i="1"/>
  <c r="H35" i="1"/>
  <c r="BG12" i="3" s="1"/>
  <c r="G35" i="1"/>
  <c r="F35" i="1"/>
  <c r="E35" i="1"/>
  <c r="AF12" i="3" s="1"/>
  <c r="D35" i="1"/>
  <c r="W12" i="3" s="1"/>
  <c r="C35" i="1"/>
  <c r="N12" i="3" s="1"/>
  <c r="B35" i="1"/>
  <c r="E12" i="3" s="1"/>
  <c r="M34" i="1"/>
  <c r="L34" i="1"/>
  <c r="CQ11" i="3" s="1"/>
  <c r="K34" i="1"/>
  <c r="J34" i="1"/>
  <c r="I34" i="1"/>
  <c r="BP11" i="3" s="1"/>
  <c r="H34" i="1"/>
  <c r="BG11" i="3" s="1"/>
  <c r="G34" i="1"/>
  <c r="AX11" i="3" s="1"/>
  <c r="F34" i="1"/>
  <c r="AO11" i="3" s="1"/>
  <c r="E34" i="1"/>
  <c r="D34" i="1"/>
  <c r="W11" i="3" s="1"/>
  <c r="C34" i="1"/>
  <c r="N11" i="3" s="1"/>
  <c r="B34" i="1"/>
  <c r="M33" i="1"/>
  <c r="CZ10" i="3" s="1"/>
  <c r="L33" i="1"/>
  <c r="CQ10" i="3" s="1"/>
  <c r="K33" i="1"/>
  <c r="CH10" i="3" s="1"/>
  <c r="J33" i="1"/>
  <c r="BY10" i="3" s="1"/>
  <c r="I33" i="1"/>
  <c r="H33" i="1"/>
  <c r="BG10" i="3" s="1"/>
  <c r="G33" i="1"/>
  <c r="AX10" i="3" s="1"/>
  <c r="F33" i="1"/>
  <c r="E33" i="1"/>
  <c r="AF10" i="3" s="1"/>
  <c r="D33" i="1"/>
  <c r="W10" i="3" s="1"/>
  <c r="C33" i="1"/>
  <c r="B33" i="1"/>
  <c r="E10" i="3" s="1"/>
  <c r="M32" i="1"/>
  <c r="L32" i="1"/>
  <c r="CQ9" i="3" s="1"/>
  <c r="K32" i="1"/>
  <c r="CH9" i="3" s="1"/>
  <c r="J32" i="1"/>
  <c r="I32" i="1"/>
  <c r="BP9" i="3" s="1"/>
  <c r="H32" i="1"/>
  <c r="BG9" i="3" s="1"/>
  <c r="G32" i="1"/>
  <c r="AX9" i="3" s="1"/>
  <c r="F32" i="1"/>
  <c r="AO9" i="3" s="1"/>
  <c r="E32" i="1"/>
  <c r="D32" i="1"/>
  <c r="W9" i="3" s="1"/>
  <c r="C32" i="1"/>
  <c r="N9" i="3" s="1"/>
  <c r="B32" i="1"/>
  <c r="M31" i="1"/>
  <c r="CZ8" i="3" s="1"/>
  <c r="L31" i="1"/>
  <c r="CQ8" i="3" s="1"/>
  <c r="K31" i="1"/>
  <c r="CH8" i="3" s="1"/>
  <c r="J31" i="1"/>
  <c r="BY8" i="3" s="1"/>
  <c r="I31" i="1"/>
  <c r="H31" i="1"/>
  <c r="BG8" i="3" s="1"/>
  <c r="G31" i="1"/>
  <c r="F31" i="1"/>
  <c r="E31" i="1"/>
  <c r="AF8" i="3" s="1"/>
  <c r="D31" i="1"/>
  <c r="W8" i="3" s="1"/>
  <c r="C31" i="1"/>
  <c r="N8" i="3" s="1"/>
  <c r="B31" i="1"/>
  <c r="E8" i="3" s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K27" i="1"/>
  <c r="K30" i="1" s="1"/>
  <c r="G27" i="1"/>
  <c r="G30" i="1" s="1"/>
  <c r="C27" i="1"/>
  <c r="C30" i="1" s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N25" i="1"/>
  <c r="N27" i="1" s="1"/>
  <c r="M25" i="1"/>
  <c r="M27" i="1" s="1"/>
  <c r="L25" i="1"/>
  <c r="L27" i="1" s="1"/>
  <c r="L30" i="1" s="1"/>
  <c r="K25" i="1"/>
  <c r="J25" i="1"/>
  <c r="J27" i="1" s="1"/>
  <c r="I25" i="1"/>
  <c r="I27" i="1" s="1"/>
  <c r="H25" i="1"/>
  <c r="H27" i="1" s="1"/>
  <c r="H30" i="1" s="1"/>
  <c r="G25" i="1"/>
  <c r="F25" i="1"/>
  <c r="F27" i="1" s="1"/>
  <c r="E25" i="1"/>
  <c r="E27" i="1" s="1"/>
  <c r="D25" i="1"/>
  <c r="D27" i="1" s="1"/>
  <c r="D30" i="1" s="1"/>
  <c r="C25" i="1"/>
  <c r="B25" i="1"/>
  <c r="B27" i="1" s="1"/>
  <c r="AO1017" i="8" l="1"/>
  <c r="E30" i="1"/>
  <c r="I30" i="1"/>
  <c r="M30" i="1"/>
  <c r="AF1018" i="4"/>
  <c r="B30" i="1"/>
  <c r="F30" i="1"/>
  <c r="J30" i="1"/>
  <c r="N30" i="1"/>
  <c r="M38" i="1"/>
  <c r="C39" i="1"/>
  <c r="J38" i="1"/>
  <c r="F41" i="1"/>
  <c r="C36" i="1"/>
  <c r="N13" i="3" s="1"/>
  <c r="G38" i="1"/>
  <c r="AC6" i="10"/>
  <c r="CC6" i="9"/>
  <c r="EA6" i="9"/>
  <c r="AC13" i="10"/>
  <c r="EA13" i="9"/>
  <c r="CC13" i="9"/>
  <c r="AC16" i="10"/>
  <c r="CC16" i="9"/>
  <c r="EA16" i="9"/>
  <c r="BB21" i="10"/>
  <c r="FB21" i="9"/>
  <c r="GA21" i="9"/>
  <c r="AC23" i="10"/>
  <c r="EA23" i="9"/>
  <c r="CC23" i="9"/>
  <c r="X2102" i="2"/>
  <c r="AX12" i="3"/>
  <c r="W2056" i="3"/>
  <c r="W2050" i="3"/>
  <c r="W2049" i="3"/>
  <c r="W2048" i="3"/>
  <c r="W2047" i="3"/>
  <c r="W2046" i="3"/>
  <c r="BG2056" i="3"/>
  <c r="BG2060" i="3" s="1"/>
  <c r="BG2050" i="3"/>
  <c r="BG2049" i="3"/>
  <c r="BG2048" i="3"/>
  <c r="BG2047" i="3"/>
  <c r="BG2046" i="3"/>
  <c r="CQ2056" i="3"/>
  <c r="CQ2050" i="3"/>
  <c r="CQ2049" i="3"/>
  <c r="CQ2048" i="3"/>
  <c r="CQ2047" i="3"/>
  <c r="CQ2046" i="3"/>
  <c r="W2057" i="3"/>
  <c r="V2054" i="3"/>
  <c r="BG2057" i="3"/>
  <c r="BF2054" i="3"/>
  <c r="BF2053" i="3"/>
  <c r="F10" i="4"/>
  <c r="E1006" i="4" s="1"/>
  <c r="F9" i="4"/>
  <c r="F8" i="4"/>
  <c r="F12" i="4"/>
  <c r="CC6" i="10"/>
  <c r="FC6" i="9"/>
  <c r="CD6" i="9"/>
  <c r="CC10" i="10"/>
  <c r="FC10" i="9"/>
  <c r="CD10" i="9"/>
  <c r="D36" i="1"/>
  <c r="W13" i="3" s="1"/>
  <c r="H36" i="1"/>
  <c r="BG13" i="3" s="1"/>
  <c r="L36" i="1"/>
  <c r="CQ13" i="3" s="1"/>
  <c r="H37" i="1"/>
  <c r="L38" i="1"/>
  <c r="H39" i="1"/>
  <c r="D40" i="1"/>
  <c r="H40" i="1"/>
  <c r="L40" i="1"/>
  <c r="H41" i="1"/>
  <c r="AC4" i="10"/>
  <c r="EA4" i="9"/>
  <c r="CC4" i="9"/>
  <c r="AC5" i="10"/>
  <c r="EA5" i="9"/>
  <c r="CC5" i="9"/>
  <c r="AX12" i="2"/>
  <c r="AX13" i="2" s="1"/>
  <c r="D21" i="10"/>
  <c r="BB21" i="9"/>
  <c r="AC21" i="9"/>
  <c r="AJ902" i="2"/>
  <c r="AC2021" i="2"/>
  <c r="AO8" i="3"/>
  <c r="BP8" i="3"/>
  <c r="E9" i="3"/>
  <c r="AF9" i="3"/>
  <c r="BY9" i="3"/>
  <c r="CZ9" i="3"/>
  <c r="AO10" i="3"/>
  <c r="BP10" i="3"/>
  <c r="E11" i="3"/>
  <c r="AF11" i="3"/>
  <c r="BY11" i="3"/>
  <c r="CZ11" i="3"/>
  <c r="AO12" i="3"/>
  <c r="BP12" i="3"/>
  <c r="V2053" i="3"/>
  <c r="W2053" i="3" s="1"/>
  <c r="X8" i="4"/>
  <c r="O11" i="4"/>
  <c r="X12" i="4"/>
  <c r="CZ13" i="7"/>
  <c r="M41" i="5"/>
  <c r="W1006" i="8"/>
  <c r="K36" i="1"/>
  <c r="CH13" i="3" s="1"/>
  <c r="K37" i="1"/>
  <c r="K39" i="1"/>
  <c r="C41" i="1"/>
  <c r="AC8" i="10"/>
  <c r="EA8" i="9"/>
  <c r="CC8" i="9"/>
  <c r="AC15" i="10"/>
  <c r="EA15" i="9"/>
  <c r="CC15" i="9"/>
  <c r="AC17" i="10"/>
  <c r="CC17" i="9"/>
  <c r="EA17" i="9"/>
  <c r="AC18" i="10"/>
  <c r="EA18" i="9"/>
  <c r="CC18" i="9"/>
  <c r="AC20" i="10"/>
  <c r="CC20" i="9"/>
  <c r="EA20" i="9"/>
  <c r="AC22" i="10"/>
  <c r="EA22" i="9"/>
  <c r="CC22" i="9"/>
  <c r="AX8" i="3"/>
  <c r="CH11" i="3"/>
  <c r="X11" i="4"/>
  <c r="X1006" i="4" s="1"/>
  <c r="AG1018" i="4" s="1"/>
  <c r="EA8" i="10"/>
  <c r="EB8" i="9"/>
  <c r="BC8" i="9"/>
  <c r="EA12" i="10"/>
  <c r="EB12" i="9"/>
  <c r="BC12" i="9"/>
  <c r="E36" i="1"/>
  <c r="AF13" i="3" s="1"/>
  <c r="I36" i="1"/>
  <c r="BP13" i="3" s="1"/>
  <c r="M36" i="1"/>
  <c r="CZ13" i="3" s="1"/>
  <c r="E37" i="1"/>
  <c r="M37" i="1"/>
  <c r="I38" i="1"/>
  <c r="M39" i="1"/>
  <c r="E41" i="1"/>
  <c r="M41" i="1"/>
  <c r="D6" i="10"/>
  <c r="AC6" i="9"/>
  <c r="BB6" i="9"/>
  <c r="BB6" i="10"/>
  <c r="GA6" i="9"/>
  <c r="FB6" i="9"/>
  <c r="D7" i="10"/>
  <c r="BB7" i="9"/>
  <c r="AC7" i="9"/>
  <c r="BB7" i="10"/>
  <c r="FB7" i="9"/>
  <c r="GA7" i="9"/>
  <c r="D8" i="10"/>
  <c r="BB8" i="9"/>
  <c r="AC8" i="9"/>
  <c r="BB8" i="10"/>
  <c r="GA8" i="9"/>
  <c r="FB8" i="9"/>
  <c r="D9" i="10"/>
  <c r="AC9" i="9"/>
  <c r="BB9" i="9"/>
  <c r="BB9" i="10"/>
  <c r="FB9" i="9"/>
  <c r="GA9" i="9"/>
  <c r="D10" i="10"/>
  <c r="AC10" i="9"/>
  <c r="BB10" i="9"/>
  <c r="BB10" i="10"/>
  <c r="FB10" i="9"/>
  <c r="GA10" i="9"/>
  <c r="D11" i="10"/>
  <c r="AC11" i="9"/>
  <c r="BB11" i="9"/>
  <c r="BB11" i="10"/>
  <c r="FB11" i="9"/>
  <c r="GA11" i="9"/>
  <c r="D12" i="10"/>
  <c r="BB12" i="9"/>
  <c r="AC12" i="9"/>
  <c r="BB12" i="10"/>
  <c r="GA12" i="9"/>
  <c r="FB12" i="9"/>
  <c r="N12" i="2"/>
  <c r="N13" i="2" s="1"/>
  <c r="D13" i="10"/>
  <c r="AC13" i="9"/>
  <c r="BB13" i="9"/>
  <c r="BB13" i="10"/>
  <c r="GA13" i="9"/>
  <c r="FB13" i="9"/>
  <c r="D14" i="10"/>
  <c r="AC14" i="9"/>
  <c r="BB14" i="9"/>
  <c r="BB14" i="10"/>
  <c r="GA14" i="9"/>
  <c r="FB14" i="9"/>
  <c r="D15" i="10"/>
  <c r="BB15" i="9"/>
  <c r="AC15" i="9"/>
  <c r="BB15" i="10"/>
  <c r="FB15" i="9"/>
  <c r="GA15" i="9"/>
  <c r="D16" i="10"/>
  <c r="AC16" i="9"/>
  <c r="BB16" i="9"/>
  <c r="BB16" i="10"/>
  <c r="GA16" i="9"/>
  <c r="FB16" i="9"/>
  <c r="O16" i="2"/>
  <c r="AW1016" i="2" s="1"/>
  <c r="D17" i="10"/>
  <c r="BB17" i="9"/>
  <c r="AC17" i="9"/>
  <c r="BB17" i="10"/>
  <c r="FB17" i="9"/>
  <c r="GA17" i="9"/>
  <c r="D18" i="10"/>
  <c r="AC18" i="9"/>
  <c r="BB18" i="9"/>
  <c r="BB18" i="10"/>
  <c r="FB18" i="9"/>
  <c r="GA18" i="9"/>
  <c r="D19" i="10"/>
  <c r="AC19" i="9"/>
  <c r="BB19" i="9"/>
  <c r="BB19" i="10"/>
  <c r="FB19" i="9"/>
  <c r="GA19" i="9"/>
  <c r="P19" i="2"/>
  <c r="AB19" i="2"/>
  <c r="AN19" i="2"/>
  <c r="D20" i="10"/>
  <c r="AC20" i="9"/>
  <c r="BB20" i="9"/>
  <c r="BB20" i="10"/>
  <c r="GA20" i="9"/>
  <c r="FB20" i="9"/>
  <c r="AC21" i="10"/>
  <c r="CC21" i="9"/>
  <c r="EA21" i="9"/>
  <c r="BB22" i="10"/>
  <c r="FB22" i="9"/>
  <c r="GA22" i="9"/>
  <c r="BB23" i="10"/>
  <c r="FB23" i="9"/>
  <c r="GA23" i="9"/>
  <c r="Q2021" i="2"/>
  <c r="N10" i="3"/>
  <c r="CH12" i="3"/>
  <c r="E2050" i="3"/>
  <c r="E2049" i="3"/>
  <c r="E2048" i="3"/>
  <c r="E2047" i="3"/>
  <c r="E2046" i="3"/>
  <c r="BX2050" i="3"/>
  <c r="BY2053" i="3"/>
  <c r="X9" i="4"/>
  <c r="F1005" i="4"/>
  <c r="AG11" i="4"/>
  <c r="N13" i="4"/>
  <c r="O8" i="4" s="1"/>
  <c r="EA14" i="10"/>
  <c r="BC14" i="9"/>
  <c r="EB14" i="9"/>
  <c r="CC16" i="10"/>
  <c r="FC16" i="9"/>
  <c r="CD16" i="9"/>
  <c r="EA17" i="10"/>
  <c r="EB17" i="9"/>
  <c r="BC17" i="9"/>
  <c r="CC19" i="10"/>
  <c r="FC19" i="9"/>
  <c r="CD19" i="9"/>
  <c r="C19" i="6"/>
  <c r="G36" i="1"/>
  <c r="AX13" i="3" s="1"/>
  <c r="C38" i="1"/>
  <c r="C40" i="1"/>
  <c r="AC7" i="10"/>
  <c r="CC7" i="9"/>
  <c r="EA7" i="9"/>
  <c r="AC9" i="10"/>
  <c r="EA9" i="9"/>
  <c r="CC9" i="9"/>
  <c r="EA10" i="9"/>
  <c r="AC10" i="10"/>
  <c r="CC10" i="9"/>
  <c r="AC11" i="10"/>
  <c r="EA11" i="9"/>
  <c r="CC11" i="9"/>
  <c r="AC12" i="10"/>
  <c r="EA12" i="9"/>
  <c r="CC12" i="9"/>
  <c r="AL12" i="2"/>
  <c r="AL13" i="2" s="1"/>
  <c r="AC14" i="10"/>
  <c r="CC14" i="9"/>
  <c r="EA14" i="9"/>
  <c r="AC19" i="10"/>
  <c r="EA19" i="9"/>
  <c r="CC19" i="9"/>
  <c r="AO2021" i="2"/>
  <c r="CQ2057" i="3"/>
  <c r="CP2054" i="3"/>
  <c r="DA11" i="7"/>
  <c r="AP909" i="6"/>
  <c r="B36" i="1"/>
  <c r="E13" i="3" s="1"/>
  <c r="F36" i="1"/>
  <c r="AO13" i="3" s="1"/>
  <c r="J36" i="1"/>
  <c r="BY13" i="3" s="1"/>
  <c r="B37" i="1"/>
  <c r="F38" i="1"/>
  <c r="B39" i="1"/>
  <c r="J39" i="1"/>
  <c r="B41" i="1"/>
  <c r="J41" i="1"/>
  <c r="D4" i="10"/>
  <c r="AC4" i="9"/>
  <c r="BB4" i="9"/>
  <c r="BB4" i="10"/>
  <c r="FB4" i="9"/>
  <c r="GA4" i="9"/>
  <c r="D5" i="10"/>
  <c r="AC5" i="9"/>
  <c r="BB5" i="9"/>
  <c r="BB5" i="10"/>
  <c r="FB5" i="9"/>
  <c r="GA5" i="9"/>
  <c r="Z12" i="2"/>
  <c r="Z13" i="2" s="1"/>
  <c r="AA16" i="2"/>
  <c r="AW1017" i="2" s="1"/>
  <c r="D22" i="10"/>
  <c r="AC22" i="9"/>
  <c r="BB22" i="9"/>
  <c r="D23" i="10"/>
  <c r="AC23" i="9"/>
  <c r="BB23" i="9"/>
  <c r="BA2021" i="2"/>
  <c r="CP2053" i="3"/>
  <c r="O9" i="4"/>
  <c r="F11" i="4"/>
  <c r="F1006" i="4" s="1"/>
  <c r="AG1016" i="4" s="1"/>
  <c r="N28" i="5"/>
  <c r="E30" i="5"/>
  <c r="I30" i="5"/>
  <c r="M30" i="5"/>
  <c r="EA13" i="10"/>
  <c r="BC13" i="9"/>
  <c r="EB13" i="9"/>
  <c r="EA21" i="10"/>
  <c r="EB21" i="9"/>
  <c r="BC21" i="9"/>
  <c r="EA23" i="10"/>
  <c r="EB23" i="9"/>
  <c r="BC23" i="9"/>
  <c r="N2046" i="3"/>
  <c r="AO2046" i="3"/>
  <c r="AX2046" i="3"/>
  <c r="BY2046" i="3"/>
  <c r="CH2046" i="3"/>
  <c r="N2047" i="3"/>
  <c r="AO2047" i="3"/>
  <c r="AX2047" i="3"/>
  <c r="BY2047" i="3"/>
  <c r="CH2047" i="3"/>
  <c r="N2048" i="3"/>
  <c r="AO2048" i="3"/>
  <c r="AX2048" i="3"/>
  <c r="BY2048" i="3"/>
  <c r="CH2048" i="3"/>
  <c r="N2049" i="3"/>
  <c r="AO2049" i="3"/>
  <c r="AX2049" i="3"/>
  <c r="BY2049" i="3"/>
  <c r="CH2049" i="3"/>
  <c r="N2050" i="3"/>
  <c r="AX2050" i="3"/>
  <c r="CH2050" i="3"/>
  <c r="M2054" i="3"/>
  <c r="N2053" i="3" s="1"/>
  <c r="AW2054" i="3"/>
  <c r="AX2053" i="3" s="1"/>
  <c r="CG2054" i="3"/>
  <c r="CH2053" i="3" s="1"/>
  <c r="N2056" i="3"/>
  <c r="N2060" i="3" s="1"/>
  <c r="AX2056" i="3"/>
  <c r="AX2060" i="3" s="1"/>
  <c r="CH2056" i="3"/>
  <c r="CH2060" i="3" s="1"/>
  <c r="N29" i="5"/>
  <c r="I38" i="5"/>
  <c r="M39" i="5"/>
  <c r="EA7" i="10"/>
  <c r="EB7" i="9"/>
  <c r="BC7" i="9"/>
  <c r="CC9" i="10"/>
  <c r="FC9" i="9"/>
  <c r="CD9" i="9"/>
  <c r="EA11" i="10"/>
  <c r="EB11" i="9"/>
  <c r="BC11" i="9"/>
  <c r="N12" i="6"/>
  <c r="N13" i="6" s="1"/>
  <c r="CC15" i="10"/>
  <c r="CD15" i="9"/>
  <c r="FC15" i="9"/>
  <c r="CC18" i="10"/>
  <c r="FC18" i="9"/>
  <c r="CD18" i="9"/>
  <c r="AO19" i="6"/>
  <c r="EA20" i="10"/>
  <c r="EB20" i="9"/>
  <c r="BC20" i="9"/>
  <c r="CC22" i="10"/>
  <c r="FC22" i="9"/>
  <c r="CD22" i="9"/>
  <c r="FN31" i="9"/>
  <c r="FM31" i="9"/>
  <c r="FM30" i="9"/>
  <c r="AF13" i="4"/>
  <c r="AG9" i="4" s="1"/>
  <c r="AO1018" i="4"/>
  <c r="C30" i="5"/>
  <c r="G30" i="5"/>
  <c r="K30" i="5"/>
  <c r="E36" i="5"/>
  <c r="E41" i="5" s="1"/>
  <c r="M38" i="5"/>
  <c r="I41" i="5"/>
  <c r="EA6" i="10"/>
  <c r="EB6" i="9"/>
  <c r="BC6" i="9"/>
  <c r="CC8" i="10"/>
  <c r="FC8" i="9"/>
  <c r="CD8" i="9"/>
  <c r="C8" i="6"/>
  <c r="EA10" i="10"/>
  <c r="BC10" i="9"/>
  <c r="EB10" i="9"/>
  <c r="CC12" i="10"/>
  <c r="FC12" i="9"/>
  <c r="CD12" i="9"/>
  <c r="CC13" i="10"/>
  <c r="CD13" i="9"/>
  <c r="FC13" i="9"/>
  <c r="CC14" i="10"/>
  <c r="FC14" i="9"/>
  <c r="CD14" i="9"/>
  <c r="EA16" i="10"/>
  <c r="BC16" i="9"/>
  <c r="EB16" i="9"/>
  <c r="G16" i="6"/>
  <c r="CC17" i="10"/>
  <c r="CD17" i="9"/>
  <c r="FC17" i="9"/>
  <c r="EA19" i="10"/>
  <c r="EB19" i="9"/>
  <c r="BC19" i="9"/>
  <c r="CC21" i="10"/>
  <c r="CD21" i="9"/>
  <c r="FC21" i="9"/>
  <c r="C21" i="6"/>
  <c r="CC23" i="10"/>
  <c r="FC23" i="9"/>
  <c r="CD23" i="9"/>
  <c r="C23" i="6"/>
  <c r="AE2054" i="3"/>
  <c r="AF2053" i="3" s="1"/>
  <c r="AE2135" i="3" s="1"/>
  <c r="BO2054" i="3"/>
  <c r="BP2053" i="3" s="1"/>
  <c r="BO2135" i="3" s="1"/>
  <c r="CY2054" i="3"/>
  <c r="CZ2053" i="3" s="1"/>
  <c r="CY2135" i="3" s="1"/>
  <c r="AF2056" i="3"/>
  <c r="AF2060" i="3" s="1"/>
  <c r="BP2056" i="3"/>
  <c r="BP2060" i="3" s="1"/>
  <c r="CZ2056" i="3"/>
  <c r="CZ2060" i="3" s="1"/>
  <c r="C39" i="5"/>
  <c r="K41" i="5"/>
  <c r="I36" i="5"/>
  <c r="M37" i="5"/>
  <c r="I40" i="5"/>
  <c r="CD7" i="9"/>
  <c r="CC7" i="10"/>
  <c r="FC7" i="9"/>
  <c r="EA9" i="10"/>
  <c r="EB9" i="9"/>
  <c r="BC9" i="9"/>
  <c r="G9" i="6"/>
  <c r="FC11" i="9"/>
  <c r="CD11" i="9"/>
  <c r="EA15" i="10"/>
  <c r="EB15" i="9"/>
  <c r="EA18" i="10"/>
  <c r="BC18" i="9"/>
  <c r="EB18" i="9"/>
  <c r="Q19" i="6"/>
  <c r="CC20" i="10"/>
  <c r="FC20" i="9"/>
  <c r="CD20" i="9"/>
  <c r="C20" i="6"/>
  <c r="EA22" i="10"/>
  <c r="BC22" i="9"/>
  <c r="EB22" i="9"/>
  <c r="B36" i="5"/>
  <c r="E13" i="7" s="1"/>
  <c r="F36" i="5"/>
  <c r="AO13" i="7" s="1"/>
  <c r="J36" i="5"/>
  <c r="BY13" i="7" s="1"/>
  <c r="J38" i="5"/>
  <c r="F39" i="5"/>
  <c r="F40" i="5"/>
  <c r="J40" i="5"/>
  <c r="F41" i="5"/>
  <c r="CC4" i="10"/>
  <c r="FC4" i="9"/>
  <c r="CD4" i="9"/>
  <c r="BC4" i="9"/>
  <c r="EA4" i="10"/>
  <c r="EB4" i="9"/>
  <c r="CC5" i="10"/>
  <c r="FC5" i="9"/>
  <c r="CD5" i="9"/>
  <c r="EA5" i="10"/>
  <c r="EB5" i="9"/>
  <c r="BC5" i="9"/>
  <c r="Z12" i="6"/>
  <c r="Z13" i="6" s="1"/>
  <c r="AC19" i="6" s="1"/>
  <c r="AA16" i="6"/>
  <c r="AW1017" i="6" s="1"/>
  <c r="AO21" i="6"/>
  <c r="AX9" i="7"/>
  <c r="N10" i="7"/>
  <c r="CH10" i="7"/>
  <c r="AX11" i="7"/>
  <c r="N12" i="7"/>
  <c r="CH12" i="7"/>
  <c r="C36" i="5"/>
  <c r="N13" i="7" s="1"/>
  <c r="G36" i="5"/>
  <c r="AX13" i="7" s="1"/>
  <c r="K36" i="5"/>
  <c r="CH13" i="7" s="1"/>
  <c r="C37" i="5"/>
  <c r="K37" i="5"/>
  <c r="K38" i="5"/>
  <c r="C40" i="5"/>
  <c r="K40" i="5"/>
  <c r="G41" i="5"/>
  <c r="DB6" i="10"/>
  <c r="AD6" i="9"/>
  <c r="GB6" i="9"/>
  <c r="DB7" i="10"/>
  <c r="GB7" i="9"/>
  <c r="AD7" i="9"/>
  <c r="DB8" i="10"/>
  <c r="GB8" i="9"/>
  <c r="AD8" i="9"/>
  <c r="DB9" i="10"/>
  <c r="GB9" i="9"/>
  <c r="AD9" i="9"/>
  <c r="DB10" i="10"/>
  <c r="GB10" i="9"/>
  <c r="AD10" i="9"/>
  <c r="DB11" i="10"/>
  <c r="AD11" i="9"/>
  <c r="GB11" i="9"/>
  <c r="DB12" i="10"/>
  <c r="GB12" i="9"/>
  <c r="AD12" i="9"/>
  <c r="DB13" i="10"/>
  <c r="GB13" i="9"/>
  <c r="DB14" i="10"/>
  <c r="AD14" i="9"/>
  <c r="GB14" i="9"/>
  <c r="DB15" i="10"/>
  <c r="GB15" i="9"/>
  <c r="AD15" i="9"/>
  <c r="DB16" i="10"/>
  <c r="GB16" i="9"/>
  <c r="AD16" i="9"/>
  <c r="DB17" i="10"/>
  <c r="GB17" i="9"/>
  <c r="AD17" i="9"/>
  <c r="DB18" i="10"/>
  <c r="GB18" i="9"/>
  <c r="AD18" i="9"/>
  <c r="DB19" i="10"/>
  <c r="AD19" i="9"/>
  <c r="GB19" i="9"/>
  <c r="DB20" i="10"/>
  <c r="AD20" i="9"/>
  <c r="GB20" i="9"/>
  <c r="DB21" i="10"/>
  <c r="GB21" i="9"/>
  <c r="AD21" i="9"/>
  <c r="DB22" i="10"/>
  <c r="GB22" i="9"/>
  <c r="DB23" i="10"/>
  <c r="AD23" i="9"/>
  <c r="GB23" i="9"/>
  <c r="N13" i="8"/>
  <c r="O11" i="8" s="1"/>
  <c r="N25" i="5"/>
  <c r="N27" i="5" s="1"/>
  <c r="D36" i="5"/>
  <c r="W13" i="7" s="1"/>
  <c r="H36" i="5"/>
  <c r="BG13" i="7" s="1"/>
  <c r="L36" i="5"/>
  <c r="CQ13" i="7" s="1"/>
  <c r="D37" i="5"/>
  <c r="L37" i="5"/>
  <c r="D38" i="5"/>
  <c r="H38" i="5"/>
  <c r="L38" i="5"/>
  <c r="D39" i="5"/>
  <c r="L39" i="5"/>
  <c r="D40" i="5"/>
  <c r="H40" i="5"/>
  <c r="L40" i="5"/>
  <c r="D41" i="5"/>
  <c r="L41" i="5"/>
  <c r="DB4" i="10"/>
  <c r="GB4" i="9"/>
  <c r="AD4" i="9"/>
  <c r="DB5" i="10"/>
  <c r="AD5" i="9"/>
  <c r="GB5" i="9"/>
  <c r="AD22" i="9"/>
  <c r="F12" i="8"/>
  <c r="F11" i="8"/>
  <c r="AG8" i="8"/>
  <c r="AF13" i="8"/>
  <c r="AG10" i="8"/>
  <c r="AF1006" i="8" s="1"/>
  <c r="X12" i="8"/>
  <c r="X13" i="8" s="1"/>
  <c r="I29" i="9"/>
  <c r="H29" i="9"/>
  <c r="HE29" i="9"/>
  <c r="HD29" i="9"/>
  <c r="HE8" i="9"/>
  <c r="EF8" i="9"/>
  <c r="AC30" i="9"/>
  <c r="HI8" i="9"/>
  <c r="GZ30" i="9" s="1"/>
  <c r="EJ8" i="9"/>
  <c r="EA30" i="9" s="1"/>
  <c r="GU12" i="9"/>
  <c r="AP31" i="9"/>
  <c r="BG29" i="9"/>
  <c r="BF29" i="9"/>
  <c r="F8" i="8"/>
  <c r="F10" i="8"/>
  <c r="E1006" i="8" s="1"/>
  <c r="AG11" i="8"/>
  <c r="AG1006" i="8" s="1"/>
  <c r="HR31" i="9"/>
  <c r="AE1018" i="8"/>
  <c r="AG9" i="8"/>
  <c r="AG12" i="8"/>
  <c r="AN16" i="9"/>
  <c r="AF29" i="9"/>
  <c r="AD29" i="9"/>
  <c r="AT16" i="9"/>
  <c r="AQ12" i="9"/>
  <c r="AF9" i="9"/>
  <c r="CF29" i="9"/>
  <c r="CN16" i="9"/>
  <c r="CQ12" i="9"/>
  <c r="CF9" i="9"/>
  <c r="CD29" i="9"/>
  <c r="EL16" i="9"/>
  <c r="ED29" i="9"/>
  <c r="ER16" i="9"/>
  <c r="EO12" i="9"/>
  <c r="ED9" i="9"/>
  <c r="GD29" i="9"/>
  <c r="GL16" i="9"/>
  <c r="GB29" i="9"/>
  <c r="GO12" i="9"/>
  <c r="GD9" i="9"/>
  <c r="AW12" i="9"/>
  <c r="EU12" i="9"/>
  <c r="CT16" i="9"/>
  <c r="V31" i="9"/>
  <c r="GR31" i="9"/>
  <c r="GQ31" i="9"/>
  <c r="GQ30" i="9"/>
  <c r="EE8" i="9"/>
  <c r="EI8" i="9"/>
  <c r="Q12" i="9"/>
  <c r="AP12" i="9"/>
  <c r="BO12" i="9"/>
  <c r="CP12" i="9"/>
  <c r="DO12" i="9"/>
  <c r="EN12" i="9"/>
  <c r="FO12" i="9"/>
  <c r="GN12" i="9"/>
  <c r="HM12" i="9"/>
  <c r="U13" i="9"/>
  <c r="T34" i="9" s="1"/>
  <c r="AN13" i="9"/>
  <c r="DS13" i="9"/>
  <c r="EL13" i="9"/>
  <c r="HQ13" i="9"/>
  <c r="DN31" i="9"/>
  <c r="DM31" i="9"/>
  <c r="DM30" i="9"/>
  <c r="ER31" i="9"/>
  <c r="EQ31" i="9"/>
  <c r="EQ30" i="9"/>
  <c r="FT31" i="9"/>
  <c r="U16" i="9"/>
  <c r="E29" i="9"/>
  <c r="BC29" i="9"/>
  <c r="BE12" i="9" s="1"/>
  <c r="BS16" i="9"/>
  <c r="DS16" i="9"/>
  <c r="DC29" i="9"/>
  <c r="FC29" i="9"/>
  <c r="FS16" i="9"/>
  <c r="HQ16" i="9"/>
  <c r="HA29" i="9"/>
  <c r="G8" i="9"/>
  <c r="F29" i="9" s="1"/>
  <c r="G12" i="9" s="1"/>
  <c r="AF8" i="9"/>
  <c r="AE29" i="9" s="1"/>
  <c r="CF8" i="9"/>
  <c r="CE29" i="9" s="1"/>
  <c r="DE8" i="9"/>
  <c r="DD29" i="9" s="1"/>
  <c r="FE8" i="9"/>
  <c r="FD29" i="9" s="1"/>
  <c r="GD8" i="9"/>
  <c r="GC29" i="9" s="1"/>
  <c r="G9" i="9"/>
  <c r="BE9" i="9"/>
  <c r="R12" i="9"/>
  <c r="BP12" i="9"/>
  <c r="DP12" i="9"/>
  <c r="FP12" i="9"/>
  <c r="HN12" i="9"/>
  <c r="AT13" i="9"/>
  <c r="BM13" i="9"/>
  <c r="ER13" i="9"/>
  <c r="FM13" i="9"/>
  <c r="BN31" i="9"/>
  <c r="BM31" i="9"/>
  <c r="BM30" i="9"/>
  <c r="CT31" i="9"/>
  <c r="CS31" i="9"/>
  <c r="CS30" i="9"/>
  <c r="FE29" i="9"/>
  <c r="EN31" i="9"/>
  <c r="D29" i="10"/>
  <c r="O13" i="10"/>
  <c r="G8" i="10"/>
  <c r="F29" i="10" s="1"/>
  <c r="W12" i="10"/>
  <c r="U13" i="10"/>
  <c r="Q12" i="10"/>
  <c r="BB29" i="10"/>
  <c r="BS13" i="10"/>
  <c r="BE8" i="10"/>
  <c r="BD29" i="10" s="1"/>
  <c r="BU12" i="10"/>
  <c r="BM13" i="10"/>
  <c r="BO12" i="10"/>
  <c r="DS13" i="10"/>
  <c r="DB29" i="10"/>
  <c r="DE8" i="10"/>
  <c r="DD29" i="10" s="1"/>
  <c r="DM13" i="10"/>
  <c r="DU12" i="10"/>
  <c r="DO12" i="10"/>
  <c r="EG8" i="9"/>
  <c r="W12" i="9"/>
  <c r="AV12" i="9"/>
  <c r="BU12" i="9"/>
  <c r="CV12" i="9"/>
  <c r="DU12" i="9"/>
  <c r="ET12" i="9"/>
  <c r="FU12" i="9"/>
  <c r="GT12" i="9"/>
  <c r="HS12" i="9"/>
  <c r="BS13" i="9"/>
  <c r="CN13" i="9"/>
  <c r="FS13" i="9"/>
  <c r="GL13" i="9"/>
  <c r="O16" i="9"/>
  <c r="DM16" i="9"/>
  <c r="HK16" i="9"/>
  <c r="P31" i="9"/>
  <c r="O31" i="9"/>
  <c r="O30" i="9"/>
  <c r="AT31" i="9"/>
  <c r="AS31" i="9"/>
  <c r="AS30" i="9"/>
  <c r="BR34" i="9"/>
  <c r="DE29" i="9"/>
  <c r="HL31" i="9"/>
  <c r="HK31" i="9"/>
  <c r="HK30" i="9"/>
  <c r="N30" i="9"/>
  <c r="AR30" i="9"/>
  <c r="BL30" i="9"/>
  <c r="CR30" i="9"/>
  <c r="DL30" i="9"/>
  <c r="EP30" i="9"/>
  <c r="FL30" i="9"/>
  <c r="GP30" i="9"/>
  <c r="HJ30" i="9"/>
  <c r="S31" i="9"/>
  <c r="AM31" i="9"/>
  <c r="AN34" i="9" s="1"/>
  <c r="BQ31" i="9"/>
  <c r="CM31" i="9"/>
  <c r="CN34" i="9" s="1"/>
  <c r="DQ31" i="9"/>
  <c r="EK31" i="9"/>
  <c r="EL34" i="9" s="1"/>
  <c r="FQ31" i="9"/>
  <c r="FR34" i="9" s="1"/>
  <c r="GK31" i="9"/>
  <c r="HO31" i="9"/>
  <c r="T31" i="9"/>
  <c r="AN31" i="9"/>
  <c r="BR31" i="9"/>
  <c r="CN31" i="9"/>
  <c r="DR31" i="9"/>
  <c r="EL31" i="9"/>
  <c r="FR31" i="9"/>
  <c r="GL31" i="9"/>
  <c r="GL34" i="9" s="1"/>
  <c r="HP31" i="9"/>
  <c r="AT31" i="10"/>
  <c r="AS31" i="10"/>
  <c r="P31" i="10"/>
  <c r="O31" i="10"/>
  <c r="O30" i="10"/>
  <c r="DG29" i="10"/>
  <c r="DF29" i="10"/>
  <c r="AS30" i="10"/>
  <c r="E29" i="10"/>
  <c r="U16" i="10"/>
  <c r="BS16" i="10"/>
  <c r="BC29" i="10"/>
  <c r="BM16" i="10"/>
  <c r="DC29" i="10"/>
  <c r="DS16" i="10"/>
  <c r="BE9" i="10"/>
  <c r="ED9" i="10"/>
  <c r="R12" i="10"/>
  <c r="BP12" i="10"/>
  <c r="CQ12" i="10"/>
  <c r="DP12" i="10"/>
  <c r="EO12" i="10"/>
  <c r="AT13" i="10"/>
  <c r="AS34" i="10" s="1"/>
  <c r="CT16" i="10"/>
  <c r="BE29" i="10"/>
  <c r="V31" i="11"/>
  <c r="CC29" i="10"/>
  <c r="CN13" i="10"/>
  <c r="EA29" i="10"/>
  <c r="EL13" i="10"/>
  <c r="AV12" i="10"/>
  <c r="CV12" i="10"/>
  <c r="ET12" i="10"/>
  <c r="G29" i="10"/>
  <c r="DN31" i="10"/>
  <c r="DM31" i="10"/>
  <c r="ER31" i="10"/>
  <c r="EQ31" i="10"/>
  <c r="EQ30" i="10"/>
  <c r="AU31" i="10"/>
  <c r="AF29" i="10"/>
  <c r="AT16" i="10"/>
  <c r="AN16" i="10"/>
  <c r="CN16" i="10"/>
  <c r="CF29" i="10"/>
  <c r="ED29" i="10"/>
  <c r="ER16" i="10"/>
  <c r="EQ34" i="10" s="1"/>
  <c r="EL16" i="10"/>
  <c r="AF8" i="10"/>
  <c r="AE29" i="10" s="1"/>
  <c r="CF8" i="10"/>
  <c r="CE29" i="10" s="1"/>
  <c r="ED8" i="10"/>
  <c r="EC29" i="10" s="1"/>
  <c r="G9" i="10"/>
  <c r="AF9" i="10"/>
  <c r="CF9" i="10"/>
  <c r="DE9" i="10"/>
  <c r="X12" i="10"/>
  <c r="AW12" i="10"/>
  <c r="BV12" i="10"/>
  <c r="CW12" i="10"/>
  <c r="DV12" i="10"/>
  <c r="EU12" i="10"/>
  <c r="CT13" i="10"/>
  <c r="O16" i="10"/>
  <c r="DM16" i="10"/>
  <c r="AD29" i="10"/>
  <c r="BN31" i="10"/>
  <c r="BM31" i="10"/>
  <c r="CT31" i="10"/>
  <c r="CS31" i="10"/>
  <c r="DM30" i="10"/>
  <c r="Q31" i="10"/>
  <c r="BO31" i="10"/>
  <c r="DO31" i="10"/>
  <c r="N31" i="11"/>
  <c r="N30" i="11"/>
  <c r="S30" i="10"/>
  <c r="AM30" i="10"/>
  <c r="BQ30" i="10"/>
  <c r="CM30" i="10"/>
  <c r="DQ30" i="10"/>
  <c r="EK30" i="10"/>
  <c r="N31" i="10"/>
  <c r="O34" i="10" s="1"/>
  <c r="AR31" i="10"/>
  <c r="BL31" i="10"/>
  <c r="BM34" i="10" s="1"/>
  <c r="CR31" i="10"/>
  <c r="DL31" i="10"/>
  <c r="DM34" i="10" s="1"/>
  <c r="EP31" i="10"/>
  <c r="Q12" i="11"/>
  <c r="U13" i="11"/>
  <c r="T34" i="11" s="1"/>
  <c r="G29" i="11"/>
  <c r="T30" i="11"/>
  <c r="T30" i="10"/>
  <c r="AN30" i="10"/>
  <c r="BR30" i="10"/>
  <c r="CN30" i="10"/>
  <c r="DR30" i="10"/>
  <c r="EL30" i="10"/>
  <c r="T31" i="10"/>
  <c r="AN31" i="10"/>
  <c r="BR31" i="10"/>
  <c r="CN31" i="10"/>
  <c r="DR31" i="10"/>
  <c r="EL31" i="10"/>
  <c r="G8" i="11"/>
  <c r="G9" i="11"/>
  <c r="R12" i="11"/>
  <c r="D29" i="11"/>
  <c r="O16" i="11"/>
  <c r="O30" i="11"/>
  <c r="HP34" i="9" l="1"/>
  <c r="HC12" i="9"/>
  <c r="DR34" i="9"/>
  <c r="AB20" i="6"/>
  <c r="AC20" i="6" s="1"/>
  <c r="AB21" i="6" s="1"/>
  <c r="E5" i="6"/>
  <c r="E6" i="6"/>
  <c r="E10" i="6"/>
  <c r="E14" i="6"/>
  <c r="E18" i="6"/>
  <c r="E22" i="6"/>
  <c r="E9" i="6"/>
  <c r="E21" i="6"/>
  <c r="H21" i="6" s="1"/>
  <c r="E7" i="6"/>
  <c r="E11" i="6"/>
  <c r="E15" i="6"/>
  <c r="E19" i="6"/>
  <c r="H19" i="6" s="1"/>
  <c r="E23" i="6"/>
  <c r="H23" i="6" s="1"/>
  <c r="E17" i="6"/>
  <c r="E8" i="6"/>
  <c r="H8" i="6" s="1"/>
  <c r="E12" i="6"/>
  <c r="E16" i="6"/>
  <c r="E20" i="6"/>
  <c r="H20" i="6" s="1"/>
  <c r="E13" i="6"/>
  <c r="AG12" i="7"/>
  <c r="S909" i="6"/>
  <c r="M1006" i="4"/>
  <c r="I29" i="11"/>
  <c r="H29" i="11"/>
  <c r="FM34" i="9"/>
  <c r="FO31" i="9"/>
  <c r="BM34" i="9"/>
  <c r="BO31" i="9"/>
  <c r="O907" i="6"/>
  <c r="O8" i="7"/>
  <c r="B40" i="5"/>
  <c r="CI12" i="7"/>
  <c r="AQ907" i="6"/>
  <c r="O10" i="7"/>
  <c r="Q907" i="6"/>
  <c r="O1017" i="6" s="1"/>
  <c r="G5" i="6"/>
  <c r="AN20" i="6"/>
  <c r="AO20" i="6" s="1"/>
  <c r="AN21" i="6" s="1"/>
  <c r="CI2048" i="3"/>
  <c r="CJ2048" i="3" s="1"/>
  <c r="CG2048" i="3"/>
  <c r="AY2046" i="3"/>
  <c r="AZ2046" i="3" s="1"/>
  <c r="AW2046" i="3"/>
  <c r="AM907" i="2"/>
  <c r="CI8" i="3"/>
  <c r="BH12" i="3"/>
  <c r="AE908" i="2"/>
  <c r="R908" i="2"/>
  <c r="X11" i="3"/>
  <c r="AN908" i="2"/>
  <c r="CR9" i="3"/>
  <c r="BH8" i="3"/>
  <c r="AA908" i="2"/>
  <c r="AF1016" i="4"/>
  <c r="E1007" i="4"/>
  <c r="CR2048" i="3"/>
  <c r="CS2048" i="3" s="1"/>
  <c r="CP2048" i="3"/>
  <c r="X2050" i="3"/>
  <c r="Y2050" i="3" s="1"/>
  <c r="V2050" i="3"/>
  <c r="AB907" i="2"/>
  <c r="AY9" i="3"/>
  <c r="AE906" i="2"/>
  <c r="AP12" i="3"/>
  <c r="BZ9" i="3"/>
  <c r="AN906" i="2"/>
  <c r="Q907" i="2"/>
  <c r="O1017" i="2" s="1"/>
  <c r="O10" i="3"/>
  <c r="I41" i="1"/>
  <c r="DA9" i="3"/>
  <c r="AN909" i="2"/>
  <c r="W1007" i="4"/>
  <c r="CS34" i="10"/>
  <c r="EL34" i="10"/>
  <c r="EN31" i="10"/>
  <c r="AP31" i="10"/>
  <c r="AN34" i="10" s="1"/>
  <c r="EE29" i="10"/>
  <c r="EF29" i="10"/>
  <c r="ES31" i="9"/>
  <c r="EQ34" i="9" s="1"/>
  <c r="AU31" i="9"/>
  <c r="AS34" i="9" s="1"/>
  <c r="AF1016" i="8"/>
  <c r="AP908" i="6"/>
  <c r="CR11" i="7"/>
  <c r="H39" i="5"/>
  <c r="P908" i="6"/>
  <c r="X9" i="7"/>
  <c r="O8" i="8"/>
  <c r="CI11" i="7"/>
  <c r="CH1058" i="7" s="1"/>
  <c r="AP907" i="6"/>
  <c r="AN1017" i="6" s="1"/>
  <c r="C38" i="5"/>
  <c r="B41" i="5"/>
  <c r="J39" i="5"/>
  <c r="F38" i="5"/>
  <c r="C5" i="6"/>
  <c r="H5" i="6" s="1"/>
  <c r="C4" i="6"/>
  <c r="P20" i="6"/>
  <c r="Q20" i="6" s="1"/>
  <c r="C7" i="6"/>
  <c r="H7" i="6" s="1"/>
  <c r="E39" i="5"/>
  <c r="C41" i="5"/>
  <c r="G38" i="5"/>
  <c r="G19" i="6"/>
  <c r="C14" i="6"/>
  <c r="H14" i="6" s="1"/>
  <c r="C12" i="6"/>
  <c r="H12" i="6" s="1"/>
  <c r="E40" i="5"/>
  <c r="B38" i="5"/>
  <c r="C22" i="6"/>
  <c r="H22" i="6" s="1"/>
  <c r="C18" i="6"/>
  <c r="H18" i="6" s="1"/>
  <c r="G7" i="6"/>
  <c r="E37" i="5"/>
  <c r="AY2050" i="3"/>
  <c r="AZ2050" i="3" s="1"/>
  <c r="AW2050" i="3"/>
  <c r="AY2049" i="3"/>
  <c r="AZ2049" i="3" s="1"/>
  <c r="AW2049" i="3"/>
  <c r="BZ2048" i="3"/>
  <c r="CA2048" i="3" s="1"/>
  <c r="BX2048" i="3"/>
  <c r="CI2047" i="3"/>
  <c r="CJ2047" i="3" s="1"/>
  <c r="CG2047" i="3"/>
  <c r="O2047" i="3"/>
  <c r="P2047" i="3" s="1"/>
  <c r="M2047" i="3"/>
  <c r="AP2046" i="3"/>
  <c r="AQ2046" i="3" s="1"/>
  <c r="AN2046" i="3"/>
  <c r="AG8" i="4"/>
  <c r="AQ906" i="2"/>
  <c r="BZ12" i="3"/>
  <c r="Q906" i="2"/>
  <c r="O1016" i="2" s="1"/>
  <c r="F10" i="3"/>
  <c r="O9" i="3"/>
  <c r="P907" i="2"/>
  <c r="G14" i="6"/>
  <c r="F2048" i="3"/>
  <c r="G2048" i="3" s="1"/>
  <c r="D2048" i="3"/>
  <c r="BA2019" i="2"/>
  <c r="I40" i="1"/>
  <c r="DA8" i="3"/>
  <c r="AM909" i="2"/>
  <c r="AL1019" i="2" s="1"/>
  <c r="O10" i="4"/>
  <c r="N1006" i="4" s="1"/>
  <c r="O12" i="3"/>
  <c r="S907" i="2"/>
  <c r="DA12" i="7"/>
  <c r="CZ1058" i="7" s="1"/>
  <c r="AQ909" i="6"/>
  <c r="AN1019" i="6" s="1"/>
  <c r="AG10" i="4"/>
  <c r="AF1006" i="4" s="1"/>
  <c r="D41" i="1"/>
  <c r="L39" i="1"/>
  <c r="H38" i="1"/>
  <c r="D37" i="1"/>
  <c r="C10" i="6"/>
  <c r="H10" i="6" s="1"/>
  <c r="BG2053" i="3"/>
  <c r="CR2049" i="3"/>
  <c r="CS2049" i="3" s="1"/>
  <c r="CP2049" i="3"/>
  <c r="BH2046" i="3"/>
  <c r="BI2046" i="3" s="1"/>
  <c r="BF2046" i="3"/>
  <c r="BH2050" i="3"/>
  <c r="BI2050" i="3" s="1"/>
  <c r="BF2050" i="3"/>
  <c r="X2047" i="3"/>
  <c r="Y2047" i="3" s="1"/>
  <c r="V2047" i="3"/>
  <c r="W2060" i="3"/>
  <c r="C37" i="1"/>
  <c r="J40" i="1"/>
  <c r="B38" i="1"/>
  <c r="M40" i="1"/>
  <c r="M42" i="1" s="1"/>
  <c r="DA13" i="3" s="1"/>
  <c r="E38" i="1"/>
  <c r="GE29" i="9"/>
  <c r="GF29" i="9"/>
  <c r="X12" i="7"/>
  <c r="S908" i="6"/>
  <c r="BH9" i="7"/>
  <c r="AB908" i="6"/>
  <c r="CI9" i="7"/>
  <c r="AN907" i="6"/>
  <c r="BQ12" i="7"/>
  <c r="AE909" i="6"/>
  <c r="B37" i="5"/>
  <c r="BQ9" i="7"/>
  <c r="AB909" i="6"/>
  <c r="CI2050" i="3"/>
  <c r="CJ2050" i="3" s="1"/>
  <c r="CG2050" i="3"/>
  <c r="AP2047" i="3"/>
  <c r="AQ2047" i="3" s="1"/>
  <c r="AN2047" i="3"/>
  <c r="AO906" i="2"/>
  <c r="AM1016" i="2" s="1"/>
  <c r="BZ10" i="3"/>
  <c r="R907" i="2"/>
  <c r="P1017" i="2" s="1"/>
  <c r="O11" i="3"/>
  <c r="N1058" i="3" s="1"/>
  <c r="F2047" i="3"/>
  <c r="G2047" i="3" s="1"/>
  <c r="D2047" i="3"/>
  <c r="BH2049" i="3"/>
  <c r="BI2049" i="3" s="1"/>
  <c r="BF2049" i="3"/>
  <c r="F29" i="11"/>
  <c r="V31" i="10"/>
  <c r="T34" i="10" s="1"/>
  <c r="CG29" i="10"/>
  <c r="CF12" i="10" s="1"/>
  <c r="CH29" i="10"/>
  <c r="AG29" i="10"/>
  <c r="AF12" i="10" s="1"/>
  <c r="AH29" i="10"/>
  <c r="I29" i="10"/>
  <c r="H29" i="10"/>
  <c r="BG29" i="10"/>
  <c r="BF29" i="10"/>
  <c r="BE12" i="10" s="1"/>
  <c r="HK34" i="9"/>
  <c r="HM31" i="9"/>
  <c r="DM34" i="9"/>
  <c r="DO31" i="9"/>
  <c r="O34" i="9"/>
  <c r="Q31" i="9"/>
  <c r="DG29" i="9"/>
  <c r="DF29" i="9"/>
  <c r="DE12" i="9" s="1"/>
  <c r="CF12" i="9"/>
  <c r="CG29" i="9"/>
  <c r="CH29" i="9"/>
  <c r="O9" i="8"/>
  <c r="AG13" i="8"/>
  <c r="AE1006" i="8"/>
  <c r="AE1007" i="8" s="1"/>
  <c r="CR12" i="7"/>
  <c r="AQ908" i="6"/>
  <c r="BH11" i="7"/>
  <c r="AD908" i="6"/>
  <c r="X10" i="7"/>
  <c r="Q908" i="6"/>
  <c r="O1018" i="6" s="1"/>
  <c r="L42" i="5"/>
  <c r="CR13" i="7" s="1"/>
  <c r="CR8" i="7"/>
  <c r="AM908" i="6"/>
  <c r="O11" i="7"/>
  <c r="R907" i="6"/>
  <c r="CI8" i="7"/>
  <c r="AM907" i="6"/>
  <c r="AL1017" i="6" s="1"/>
  <c r="BZ11" i="7"/>
  <c r="AP906" i="6"/>
  <c r="AP10" i="7"/>
  <c r="AC906" i="6"/>
  <c r="AA1016" i="6" s="1"/>
  <c r="G22" i="6"/>
  <c r="G18" i="6"/>
  <c r="DA8" i="7"/>
  <c r="AM909" i="6"/>
  <c r="M42" i="5"/>
  <c r="DA13" i="7" s="1"/>
  <c r="G40" i="5"/>
  <c r="G6" i="6"/>
  <c r="DA9" i="7"/>
  <c r="AN909" i="6"/>
  <c r="J37" i="5"/>
  <c r="G11" i="6"/>
  <c r="N30" i="5"/>
  <c r="O2050" i="3"/>
  <c r="P2050" i="3" s="1"/>
  <c r="M2050" i="3"/>
  <c r="AP2049" i="3"/>
  <c r="AQ2049" i="3" s="1"/>
  <c r="AN2049" i="3"/>
  <c r="AY2048" i="3"/>
  <c r="AZ2048" i="3" s="1"/>
  <c r="AW2048" i="3"/>
  <c r="BZ2047" i="3"/>
  <c r="CA2047" i="3" s="1"/>
  <c r="BX2047" i="3"/>
  <c r="CI2046" i="3"/>
  <c r="CJ2046" i="3" s="1"/>
  <c r="CG2135" i="3" s="1"/>
  <c r="CG2046" i="3"/>
  <c r="O2046" i="3"/>
  <c r="P2046" i="3" s="1"/>
  <c r="M2046" i="3"/>
  <c r="G13" i="6"/>
  <c r="AG12" i="4"/>
  <c r="CQ2053" i="3"/>
  <c r="S906" i="2"/>
  <c r="F12" i="3"/>
  <c r="AP9" i="3"/>
  <c r="AB906" i="2"/>
  <c r="G17" i="6"/>
  <c r="F2049" i="3"/>
  <c r="G2049" i="3" s="1"/>
  <c r="D2049" i="3"/>
  <c r="AO19" i="2"/>
  <c r="AO2019" i="2"/>
  <c r="DA10" i="3"/>
  <c r="AO909" i="2"/>
  <c r="AM1019" i="2" s="1"/>
  <c r="AG8" i="3"/>
  <c r="O909" i="2"/>
  <c r="G12" i="6"/>
  <c r="CI10" i="3"/>
  <c r="AO907" i="2"/>
  <c r="AM1017" i="2" s="1"/>
  <c r="X1006" i="8"/>
  <c r="AG1018" i="8" s="1"/>
  <c r="V1006" i="4"/>
  <c r="X13" i="4"/>
  <c r="CR11" i="3"/>
  <c r="AP908" i="2"/>
  <c r="AC908" i="2"/>
  <c r="AA1018" i="2" s="1"/>
  <c r="BH10" i="3"/>
  <c r="D38" i="1"/>
  <c r="F13" i="4"/>
  <c r="D1006" i="4"/>
  <c r="CR2046" i="3"/>
  <c r="CS2046" i="3" s="1"/>
  <c r="CP2046" i="3"/>
  <c r="CR2050" i="3"/>
  <c r="CS2050" i="3" s="1"/>
  <c r="CP2050" i="3"/>
  <c r="BH2047" i="3"/>
  <c r="BI2047" i="3" s="1"/>
  <c r="BF2047" i="3"/>
  <c r="X2048" i="3"/>
  <c r="Y2048" i="3" s="1"/>
  <c r="V2048" i="3"/>
  <c r="G40" i="1"/>
  <c r="B40" i="1"/>
  <c r="F37" i="1"/>
  <c r="G41" i="1"/>
  <c r="E40" i="1"/>
  <c r="I37" i="1"/>
  <c r="K41" i="1"/>
  <c r="BT31" i="10"/>
  <c r="BR34" i="10" s="1"/>
  <c r="ED12" i="10"/>
  <c r="EE29" i="9"/>
  <c r="ED12" i="9" s="1"/>
  <c r="EF29" i="9"/>
  <c r="AF1007" i="8"/>
  <c r="CR10" i="7"/>
  <c r="AO908" i="6"/>
  <c r="AM1018" i="6" s="1"/>
  <c r="D42" i="5"/>
  <c r="X13" i="7" s="1"/>
  <c r="X8" i="7"/>
  <c r="O908" i="6"/>
  <c r="N1018" i="6" s="1"/>
  <c r="AY12" i="7"/>
  <c r="AE907" i="6"/>
  <c r="O10" i="8"/>
  <c r="N1006" i="8" s="1"/>
  <c r="AP12" i="7"/>
  <c r="AE906" i="6"/>
  <c r="BZ9" i="7"/>
  <c r="AN906" i="6"/>
  <c r="BQ11" i="7"/>
  <c r="BP1058" i="7" s="1"/>
  <c r="AD909" i="6"/>
  <c r="AB1019" i="6" s="1"/>
  <c r="AF13" i="7"/>
  <c r="E38" i="5"/>
  <c r="BZ2049" i="3"/>
  <c r="CA2049" i="3" s="1"/>
  <c r="BX2049" i="3"/>
  <c r="O2048" i="3"/>
  <c r="P2048" i="3" s="1"/>
  <c r="M2048" i="3"/>
  <c r="G21" i="6"/>
  <c r="B42" i="1"/>
  <c r="F13" i="3" s="1"/>
  <c r="F8" i="3"/>
  <c r="O906" i="2"/>
  <c r="AG1006" i="4"/>
  <c r="Q19" i="2"/>
  <c r="Q2019" i="2"/>
  <c r="AG12" i="3"/>
  <c r="S909" i="2"/>
  <c r="BQ9" i="3"/>
  <c r="AB909" i="2"/>
  <c r="W1007" i="8"/>
  <c r="AF1018" i="8"/>
  <c r="AH1018" i="8" s="1"/>
  <c r="X2046" i="3"/>
  <c r="Y2046" i="3" s="1"/>
  <c r="V2135" i="3" s="1"/>
  <c r="V2046" i="3"/>
  <c r="DR34" i="10"/>
  <c r="DT31" i="10"/>
  <c r="CN34" i="10"/>
  <c r="CP31" i="10"/>
  <c r="O34" i="11"/>
  <c r="Q31" i="11"/>
  <c r="GQ34" i="9"/>
  <c r="GS31" i="9"/>
  <c r="CS34" i="9"/>
  <c r="CU31" i="9"/>
  <c r="DE12" i="10"/>
  <c r="G12" i="10"/>
  <c r="FG29" i="9"/>
  <c r="FF29" i="9"/>
  <c r="FE12" i="9" s="1"/>
  <c r="GD12" i="9"/>
  <c r="AG29" i="9"/>
  <c r="AF12" i="9" s="1"/>
  <c r="AH29" i="9"/>
  <c r="V1007" i="8"/>
  <c r="X1007" i="8" s="1"/>
  <c r="W1008" i="8" s="1"/>
  <c r="O12" i="8"/>
  <c r="O1006" i="8" s="1"/>
  <c r="AG1017" i="8" s="1"/>
  <c r="F13" i="8"/>
  <c r="D1006" i="8"/>
  <c r="F1006" i="8"/>
  <c r="AG1016" i="8" s="1"/>
  <c r="H41" i="5"/>
  <c r="R908" i="6"/>
  <c r="P1018" i="6" s="1"/>
  <c r="X11" i="7"/>
  <c r="W1058" i="7" s="1"/>
  <c r="CR9" i="7"/>
  <c r="AN908" i="6"/>
  <c r="H37" i="5"/>
  <c r="G39" i="5"/>
  <c r="G37" i="5"/>
  <c r="J41" i="5"/>
  <c r="AP11" i="7"/>
  <c r="AO1058" i="7" s="1"/>
  <c r="AD906" i="6"/>
  <c r="B39" i="5"/>
  <c r="G15" i="6"/>
  <c r="BP13" i="7"/>
  <c r="I39" i="5"/>
  <c r="K39" i="5"/>
  <c r="K42" i="5" s="1"/>
  <c r="CI13" i="7" s="1"/>
  <c r="C13" i="6"/>
  <c r="H13" i="6" s="1"/>
  <c r="G10" i="6"/>
  <c r="I37" i="5"/>
  <c r="F37" i="5"/>
  <c r="G20" i="6"/>
  <c r="C15" i="6"/>
  <c r="H15" i="6" s="1"/>
  <c r="C9" i="6"/>
  <c r="H9" i="6" s="1"/>
  <c r="DA10" i="7"/>
  <c r="AO909" i="6"/>
  <c r="AM1019" i="6" s="1"/>
  <c r="CI2049" i="3"/>
  <c r="CJ2049" i="3" s="1"/>
  <c r="CG2049" i="3"/>
  <c r="O2049" i="3"/>
  <c r="P2049" i="3" s="1"/>
  <c r="M2049" i="3"/>
  <c r="AP2048" i="3"/>
  <c r="AQ2048" i="3" s="1"/>
  <c r="AN2048" i="3"/>
  <c r="AY2047" i="3"/>
  <c r="AZ2047" i="3" s="1"/>
  <c r="AW2047" i="3"/>
  <c r="BZ2046" i="3"/>
  <c r="CA2046" i="3" s="1"/>
  <c r="BX2135" i="3" s="1"/>
  <c r="BX2046" i="3"/>
  <c r="G23" i="6"/>
  <c r="F40" i="1"/>
  <c r="J37" i="1"/>
  <c r="C16" i="6"/>
  <c r="H16" i="6" s="1"/>
  <c r="O12" i="4"/>
  <c r="O1006" i="4" s="1"/>
  <c r="AG1017" i="4" s="1"/>
  <c r="F2046" i="3"/>
  <c r="G2046" i="3" s="1"/>
  <c r="D2135" i="3" s="1"/>
  <c r="D2046" i="3"/>
  <c r="F2050" i="3"/>
  <c r="G2050" i="3" s="1"/>
  <c r="D2050" i="3"/>
  <c r="AC19" i="2"/>
  <c r="AC2019" i="2"/>
  <c r="DA12" i="3"/>
  <c r="AQ909" i="2"/>
  <c r="E39" i="1"/>
  <c r="G8" i="6"/>
  <c r="K38" i="1"/>
  <c r="L41" i="1"/>
  <c r="BH11" i="3"/>
  <c r="BG1058" i="3" s="1"/>
  <c r="AD908" i="2"/>
  <c r="AB1018" i="2" s="1"/>
  <c r="D39" i="1"/>
  <c r="L37" i="1"/>
  <c r="C6" i="6"/>
  <c r="H6" i="6" s="1"/>
  <c r="CR2047" i="3"/>
  <c r="CS2047" i="3" s="1"/>
  <c r="CP2047" i="3"/>
  <c r="CQ2060" i="3"/>
  <c r="BH2048" i="3"/>
  <c r="BI2048" i="3" s="1"/>
  <c r="BF2048" i="3"/>
  <c r="X2049" i="3"/>
  <c r="Y2049" i="3" s="1"/>
  <c r="V2049" i="3"/>
  <c r="G39" i="1"/>
  <c r="F39" i="1"/>
  <c r="K40" i="1"/>
  <c r="I39" i="1"/>
  <c r="G37" i="1"/>
  <c r="G12" i="11" l="1"/>
  <c r="AI1018" i="8"/>
  <c r="AP1018" i="8"/>
  <c r="BC8" i="10"/>
  <c r="AD8" i="10"/>
  <c r="E8" i="10"/>
  <c r="I8" i="6"/>
  <c r="E20" i="10"/>
  <c r="AD20" i="10"/>
  <c r="BC20" i="10"/>
  <c r="I20" i="6"/>
  <c r="BC23" i="10"/>
  <c r="E23" i="10"/>
  <c r="AD23" i="10"/>
  <c r="I23" i="6"/>
  <c r="BC19" i="10"/>
  <c r="E19" i="10"/>
  <c r="AD19" i="10"/>
  <c r="I19" i="6"/>
  <c r="BC21" i="10"/>
  <c r="E21" i="10"/>
  <c r="AD21" i="10"/>
  <c r="I21" i="6"/>
  <c r="X10" i="3"/>
  <c r="Q908" i="2"/>
  <c r="O1018" i="2" s="1"/>
  <c r="CZ1057" i="7"/>
  <c r="CY1054" i="7"/>
  <c r="AP8" i="7"/>
  <c r="AA906" i="6"/>
  <c r="F42" i="5"/>
  <c r="AP13" i="7" s="1"/>
  <c r="AP10" i="3"/>
  <c r="AC906" i="2"/>
  <c r="AA1016" i="2" s="1"/>
  <c r="AN907" i="2"/>
  <c r="CI9" i="3"/>
  <c r="E16" i="10"/>
  <c r="BC16" i="10"/>
  <c r="AD16" i="10"/>
  <c r="I16" i="6"/>
  <c r="AD9" i="10"/>
  <c r="E9" i="10"/>
  <c r="BC9" i="10"/>
  <c r="I9" i="6"/>
  <c r="BQ8" i="7"/>
  <c r="I42" i="5"/>
  <c r="BQ13" i="7" s="1"/>
  <c r="AA909" i="6"/>
  <c r="Z1019" i="6" s="1"/>
  <c r="AC1019" i="6" s="1"/>
  <c r="BQ10" i="7"/>
  <c r="AC909" i="6"/>
  <c r="AA1019" i="6" s="1"/>
  <c r="AB1016" i="6"/>
  <c r="AY10" i="7"/>
  <c r="AC907" i="6"/>
  <c r="AA1017" i="6" s="1"/>
  <c r="AE1016" i="8"/>
  <c r="D1007" i="8"/>
  <c r="Q1018" i="6"/>
  <c r="CQ1057" i="7"/>
  <c r="CP1054" i="7"/>
  <c r="BQ8" i="3"/>
  <c r="AA909" i="2"/>
  <c r="Z1019" i="2" s="1"/>
  <c r="I42" i="1"/>
  <c r="BQ13" i="3" s="1"/>
  <c r="R906" i="2"/>
  <c r="P1016" i="2" s="1"/>
  <c r="F11" i="3"/>
  <c r="E1058" i="3" s="1"/>
  <c r="X9" i="3"/>
  <c r="P908" i="2"/>
  <c r="AL1019" i="6"/>
  <c r="AO1019" i="6" s="1"/>
  <c r="P906" i="2"/>
  <c r="F9" i="3"/>
  <c r="E1049" i="3" s="1"/>
  <c r="AO908" i="2"/>
  <c r="AM1018" i="2" s="1"/>
  <c r="CR10" i="3"/>
  <c r="AZ2020" i="2"/>
  <c r="E1057" i="3"/>
  <c r="D1054" i="3"/>
  <c r="AG13" i="4"/>
  <c r="AE1006" i="4"/>
  <c r="AE1007" i="4" s="1"/>
  <c r="E22" i="10"/>
  <c r="AD22" i="10"/>
  <c r="BC22" i="10"/>
  <c r="I22" i="6"/>
  <c r="E14" i="10"/>
  <c r="BC14" i="10"/>
  <c r="AD14" i="10"/>
  <c r="I14" i="6"/>
  <c r="AG10" i="7"/>
  <c r="Q909" i="6"/>
  <c r="O1019" i="6" s="1"/>
  <c r="AD5" i="10"/>
  <c r="BC5" i="10"/>
  <c r="E5" i="10"/>
  <c r="I5" i="6"/>
  <c r="O9" i="7"/>
  <c r="P907" i="6"/>
  <c r="AN1018" i="6"/>
  <c r="BQ12" i="3"/>
  <c r="AE909" i="2"/>
  <c r="W1058" i="3"/>
  <c r="F11" i="7"/>
  <c r="R906" i="6"/>
  <c r="O13" i="4"/>
  <c r="AP907" i="2"/>
  <c r="CI11" i="3"/>
  <c r="N1016" i="2"/>
  <c r="Q1016" i="2" s="1"/>
  <c r="AG9" i="7"/>
  <c r="P909" i="6"/>
  <c r="AF1017" i="8"/>
  <c r="N1007" i="8"/>
  <c r="W1056" i="7"/>
  <c r="W1060" i="7" s="1"/>
  <c r="W1048" i="7"/>
  <c r="W1047" i="7"/>
  <c r="W1046" i="7"/>
  <c r="W1050" i="7"/>
  <c r="W1049" i="7"/>
  <c r="V1053" i="7"/>
  <c r="AG11" i="3"/>
  <c r="AF1058" i="3" s="1"/>
  <c r="R909" i="2"/>
  <c r="P1019" i="2" s="1"/>
  <c r="AY11" i="3"/>
  <c r="AD907" i="2"/>
  <c r="CP2135" i="3"/>
  <c r="BG1057" i="3"/>
  <c r="BF1054" i="3"/>
  <c r="CH1057" i="3"/>
  <c r="AF1056" i="3"/>
  <c r="AF1060" i="3" s="1"/>
  <c r="AF1048" i="3"/>
  <c r="AN2020" i="2"/>
  <c r="G20" i="2"/>
  <c r="G19" i="2"/>
  <c r="G18" i="2"/>
  <c r="G16" i="2"/>
  <c r="G15" i="2"/>
  <c r="G13" i="2"/>
  <c r="G12" i="2"/>
  <c r="G10" i="2"/>
  <c r="G9" i="2"/>
  <c r="G8" i="2"/>
  <c r="G7" i="2"/>
  <c r="AN20" i="2"/>
  <c r="G23" i="2"/>
  <c r="G22" i="2"/>
  <c r="G21" i="2"/>
  <c r="M2135" i="3"/>
  <c r="CZ1056" i="7"/>
  <c r="CZ1060" i="7" s="1"/>
  <c r="CZ1050" i="7"/>
  <c r="CZ1049" i="7"/>
  <c r="CZ1048" i="7"/>
  <c r="CY1053" i="7"/>
  <c r="CZ1053" i="7" s="1"/>
  <c r="CZ1047" i="7"/>
  <c r="CZ1046" i="7"/>
  <c r="AO1057" i="7"/>
  <c r="AN1054" i="7"/>
  <c r="AL1018" i="6"/>
  <c r="W1057" i="7"/>
  <c r="V1054" i="7"/>
  <c r="AP906" i="2"/>
  <c r="AN1016" i="2" s="1"/>
  <c r="BZ11" i="3"/>
  <c r="BY1058" i="3" s="1"/>
  <c r="BF2135" i="3"/>
  <c r="E10" i="10"/>
  <c r="AD10" i="10"/>
  <c r="BC10" i="10"/>
  <c r="I10" i="6"/>
  <c r="S908" i="2"/>
  <c r="P1018" i="2" s="1"/>
  <c r="X12" i="3"/>
  <c r="AG8" i="7"/>
  <c r="O909" i="6"/>
  <c r="N1019" i="6" s="1"/>
  <c r="Q1019" i="6" s="1"/>
  <c r="E42" i="5"/>
  <c r="AG13" i="7" s="1"/>
  <c r="F9" i="7"/>
  <c r="P906" i="6"/>
  <c r="AD7" i="10"/>
  <c r="BC7" i="10"/>
  <c r="E7" i="10"/>
  <c r="I7" i="6"/>
  <c r="AP9" i="7"/>
  <c r="AB906" i="6"/>
  <c r="E1007" i="8"/>
  <c r="N1057" i="3"/>
  <c r="M1054" i="3"/>
  <c r="K42" i="1"/>
  <c r="CI13" i="3" s="1"/>
  <c r="N1057" i="7"/>
  <c r="C42" i="5"/>
  <c r="O13" i="7" s="1"/>
  <c r="M1007" i="4"/>
  <c r="AE1017" i="4"/>
  <c r="AH1017" i="4" s="1"/>
  <c r="G42" i="1"/>
  <c r="AY13" i="3" s="1"/>
  <c r="AY8" i="3"/>
  <c r="AA907" i="2"/>
  <c r="Z1017" i="2" s="1"/>
  <c r="AY10" i="3"/>
  <c r="AC907" i="2"/>
  <c r="AA1017" i="2" s="1"/>
  <c r="E6" i="10"/>
  <c r="AD6" i="10"/>
  <c r="BC6" i="10"/>
  <c r="I6" i="6"/>
  <c r="J42" i="1"/>
  <c r="BZ13" i="3" s="1"/>
  <c r="AM906" i="2"/>
  <c r="AL1016" i="2" s="1"/>
  <c r="AO1016" i="2" s="1"/>
  <c r="BZ8" i="3"/>
  <c r="BC15" i="10"/>
  <c r="E15" i="10"/>
  <c r="AD15" i="10"/>
  <c r="I15" i="6"/>
  <c r="AA908" i="6"/>
  <c r="Z1018" i="6" s="1"/>
  <c r="H42" i="5"/>
  <c r="BH13" i="7" s="1"/>
  <c r="BH8" i="7"/>
  <c r="BQ10" i="3"/>
  <c r="AC909" i="2"/>
  <c r="AA1019" i="2" s="1"/>
  <c r="AM908" i="2"/>
  <c r="AL1018" i="2" s="1"/>
  <c r="AO1018" i="2" s="1"/>
  <c r="CR8" i="3"/>
  <c r="L42" i="1"/>
  <c r="CR13" i="3" s="1"/>
  <c r="AQ908" i="2"/>
  <c r="CR12" i="3"/>
  <c r="CQ1058" i="3" s="1"/>
  <c r="AG10" i="3"/>
  <c r="Q909" i="2"/>
  <c r="O1019" i="2" s="1"/>
  <c r="AB2020" i="2"/>
  <c r="E21" i="2"/>
  <c r="AB20" i="2"/>
  <c r="E10" i="2"/>
  <c r="E22" i="2"/>
  <c r="E16" i="2"/>
  <c r="E9" i="2"/>
  <c r="E8" i="2"/>
  <c r="E7" i="2"/>
  <c r="E20" i="2"/>
  <c r="E19" i="2"/>
  <c r="E12" i="2"/>
  <c r="E15" i="2"/>
  <c r="E18" i="2"/>
  <c r="E13" i="2"/>
  <c r="E23" i="2"/>
  <c r="AD906" i="2"/>
  <c r="AB1016" i="2" s="1"/>
  <c r="AP11" i="3"/>
  <c r="AO1058" i="3" s="1"/>
  <c r="BC13" i="10"/>
  <c r="AD13" i="10"/>
  <c r="E13" i="10"/>
  <c r="I13" i="6"/>
  <c r="BZ12" i="7"/>
  <c r="BY1058" i="7" s="1"/>
  <c r="AQ906" i="6"/>
  <c r="AE908" i="6"/>
  <c r="BH12" i="7"/>
  <c r="E1050" i="3"/>
  <c r="E1046" i="3"/>
  <c r="AE907" i="2"/>
  <c r="AY12" i="3"/>
  <c r="AE1016" i="4"/>
  <c r="D1007" i="4"/>
  <c r="F1007" i="4" s="1"/>
  <c r="E1008" i="4" s="1"/>
  <c r="AE1018" i="4"/>
  <c r="AH1018" i="4" s="1"/>
  <c r="V1007" i="4"/>
  <c r="X1007" i="4" s="1"/>
  <c r="W1008" i="4" s="1"/>
  <c r="BZ8" i="7"/>
  <c r="AM906" i="6"/>
  <c r="AL1016" i="6" s="1"/>
  <c r="J42" i="5"/>
  <c r="BZ13" i="7" s="1"/>
  <c r="AD907" i="6"/>
  <c r="AB1017" i="6" s="1"/>
  <c r="AY11" i="7"/>
  <c r="AX1058" i="7" s="1"/>
  <c r="AN1016" i="6"/>
  <c r="CH1056" i="7"/>
  <c r="CH1060" i="7" s="1"/>
  <c r="CQ1050" i="7"/>
  <c r="CQ1056" i="7"/>
  <c r="CQ1060" i="7" s="1"/>
  <c r="CQ1047" i="7"/>
  <c r="CQ1046" i="7"/>
  <c r="CP1053" i="7"/>
  <c r="CQ1053" i="7" s="1"/>
  <c r="CQ1048" i="7"/>
  <c r="CQ1049" i="7"/>
  <c r="AB1018" i="6"/>
  <c r="AG1007" i="8"/>
  <c r="AF1008" i="8" s="1"/>
  <c r="AH1007" i="8"/>
  <c r="AG9" i="3"/>
  <c r="AF1047" i="3" s="1"/>
  <c r="P909" i="2"/>
  <c r="N1019" i="2" s="1"/>
  <c r="Q1019" i="2" s="1"/>
  <c r="O8" i="3"/>
  <c r="O907" i="2"/>
  <c r="N1017" i="2" s="1"/>
  <c r="Q1017" i="2" s="1"/>
  <c r="C42" i="1"/>
  <c r="O13" i="3" s="1"/>
  <c r="O908" i="2"/>
  <c r="N1018" i="2" s="1"/>
  <c r="X8" i="3"/>
  <c r="D42" i="1"/>
  <c r="X13" i="3" s="1"/>
  <c r="AF1007" i="4"/>
  <c r="CZ1056" i="3"/>
  <c r="CZ1060" i="3" s="1"/>
  <c r="CZ1050" i="3"/>
  <c r="CZ1048" i="3"/>
  <c r="CZ1046" i="3"/>
  <c r="CY1053" i="3"/>
  <c r="AN2135" i="3"/>
  <c r="AG11" i="7"/>
  <c r="AF1058" i="7" s="1"/>
  <c r="R909" i="6"/>
  <c r="P1019" i="6" s="1"/>
  <c r="AY9" i="7"/>
  <c r="AB907" i="6"/>
  <c r="P21" i="6"/>
  <c r="C11" i="6"/>
  <c r="H11" i="6" s="1"/>
  <c r="C17" i="6"/>
  <c r="H17" i="6" s="1"/>
  <c r="BZ10" i="7"/>
  <c r="AO906" i="6"/>
  <c r="AM1016" i="6" s="1"/>
  <c r="AC908" i="6"/>
  <c r="AA1018" i="6" s="1"/>
  <c r="BH10" i="7"/>
  <c r="CH1056" i="3"/>
  <c r="CH1060" i="3" s="1"/>
  <c r="CH1049" i="3"/>
  <c r="CH1048" i="3"/>
  <c r="CH1047" i="3"/>
  <c r="CG1053" i="3"/>
  <c r="AW2135" i="3"/>
  <c r="G4" i="6"/>
  <c r="N1056" i="7"/>
  <c r="N1060" i="7" s="1"/>
  <c r="M1053" i="7"/>
  <c r="E4" i="6"/>
  <c r="AO907" i="6"/>
  <c r="AM1017" i="6" s="1"/>
  <c r="AO1017" i="6" s="1"/>
  <c r="CI10" i="7"/>
  <c r="CG1053" i="7" s="1"/>
  <c r="F10" i="7"/>
  <c r="Q906" i="6"/>
  <c r="O1016" i="6" s="1"/>
  <c r="AY8" i="7"/>
  <c r="G42" i="5"/>
  <c r="AY13" i="7" s="1"/>
  <c r="AA907" i="6"/>
  <c r="P2020" i="2"/>
  <c r="C20" i="2"/>
  <c r="C19" i="2"/>
  <c r="H19" i="2" s="1"/>
  <c r="C18" i="2"/>
  <c r="H18" i="2" s="1"/>
  <c r="C16" i="2"/>
  <c r="H16" i="2" s="1"/>
  <c r="C15" i="2"/>
  <c r="H15" i="2" s="1"/>
  <c r="C13" i="2"/>
  <c r="H13" i="2" s="1"/>
  <c r="C12" i="2"/>
  <c r="H12" i="2" s="1"/>
  <c r="C10" i="2"/>
  <c r="C9" i="2"/>
  <c r="C8" i="2"/>
  <c r="H8" i="2" s="1"/>
  <c r="C7" i="2"/>
  <c r="H7" i="2" s="1"/>
  <c r="C6" i="2"/>
  <c r="C5" i="2"/>
  <c r="C4" i="2"/>
  <c r="P20" i="2"/>
  <c r="C21" i="2"/>
  <c r="C22" i="2"/>
  <c r="H22" i="2" s="1"/>
  <c r="C23" i="2"/>
  <c r="AQ907" i="2"/>
  <c r="CI12" i="3"/>
  <c r="CH1050" i="3" s="1"/>
  <c r="AA906" i="2"/>
  <c r="Z1016" i="2" s="1"/>
  <c r="AC1016" i="2" s="1"/>
  <c r="F42" i="1"/>
  <c r="AP13" i="3" s="1"/>
  <c r="AP8" i="3"/>
  <c r="AN1018" i="2"/>
  <c r="E42" i="1"/>
  <c r="AG13" i="3" s="1"/>
  <c r="CZ1057" i="3"/>
  <c r="CY1054" i="3"/>
  <c r="BG1058" i="7"/>
  <c r="BY1057" i="3"/>
  <c r="BX1054" i="3"/>
  <c r="F8" i="7"/>
  <c r="B42" i="5"/>
  <c r="F13" i="7" s="1"/>
  <c r="O906" i="6"/>
  <c r="N1016" i="6" s="1"/>
  <c r="DA11" i="3"/>
  <c r="CZ1058" i="3" s="1"/>
  <c r="AP909" i="2"/>
  <c r="AN1019" i="2" s="1"/>
  <c r="AO1019" i="2" s="1"/>
  <c r="AB908" i="2"/>
  <c r="Z1018" i="2" s="1"/>
  <c r="AC1018" i="2" s="1"/>
  <c r="BH9" i="3"/>
  <c r="BG1047" i="3" s="1"/>
  <c r="AF1017" i="4"/>
  <c r="N1007" i="4"/>
  <c r="BQ11" i="3"/>
  <c r="BP1058" i="3" s="1"/>
  <c r="AD909" i="2"/>
  <c r="AB1019" i="2" s="1"/>
  <c r="E18" i="10"/>
  <c r="AD18" i="10"/>
  <c r="BC18" i="10"/>
  <c r="I18" i="6"/>
  <c r="BC12" i="10"/>
  <c r="AD12" i="10"/>
  <c r="E12" i="10"/>
  <c r="I12" i="6"/>
  <c r="S907" i="6"/>
  <c r="P1017" i="6" s="1"/>
  <c r="O12" i="7"/>
  <c r="M1054" i="7" s="1"/>
  <c r="R21" i="6"/>
  <c r="R20" i="6"/>
  <c r="R19" i="6"/>
  <c r="H4" i="6"/>
  <c r="F12" i="7"/>
  <c r="S906" i="6"/>
  <c r="M1006" i="8"/>
  <c r="O13" i="8"/>
  <c r="CQ1058" i="7"/>
  <c r="H42" i="1"/>
  <c r="BH13" i="3" s="1"/>
  <c r="AL1017" i="2"/>
  <c r="N1017" i="6"/>
  <c r="R1019" i="2" l="1"/>
  <c r="U1019" i="2" s="1"/>
  <c r="D1014" i="4" s="1"/>
  <c r="BH1047" i="3"/>
  <c r="BF1047" i="3"/>
  <c r="AP1017" i="6"/>
  <c r="AS1017" i="6"/>
  <c r="V1012" i="8" s="1"/>
  <c r="AG1047" i="3"/>
  <c r="AE1047" i="3"/>
  <c r="F1049" i="3"/>
  <c r="D1049" i="3"/>
  <c r="AD1018" i="2"/>
  <c r="AG1018" i="2" s="1"/>
  <c r="M1013" i="4" s="1"/>
  <c r="CG1050" i="3"/>
  <c r="CI1050" i="3"/>
  <c r="CJ1050" i="3" s="1"/>
  <c r="AS1019" i="2"/>
  <c r="V1014" i="4" s="1"/>
  <c r="AP1019" i="2"/>
  <c r="E4" i="10"/>
  <c r="AD4" i="10"/>
  <c r="BC4" i="10"/>
  <c r="I4" i="6"/>
  <c r="CR1046" i="7"/>
  <c r="CS1046" i="7" s="1"/>
  <c r="CP1046" i="7"/>
  <c r="F1050" i="3"/>
  <c r="D1050" i="3"/>
  <c r="AP1017" i="4"/>
  <c r="AI1017" i="4"/>
  <c r="BG1048" i="3"/>
  <c r="BA2020" i="2"/>
  <c r="AP1019" i="6"/>
  <c r="AS1019" i="6"/>
  <c r="V1014" i="8" s="1"/>
  <c r="R1018" i="6"/>
  <c r="U1018" i="6"/>
  <c r="D1013" i="8" s="1"/>
  <c r="AX1057" i="7"/>
  <c r="AW1054" i="7"/>
  <c r="AO1056" i="7"/>
  <c r="AO1060" i="7" s="1"/>
  <c r="AN1053" i="7"/>
  <c r="AO1053" i="7" s="1"/>
  <c r="AO1050" i="7"/>
  <c r="AO1049" i="7"/>
  <c r="AO1048" i="7"/>
  <c r="AO1047" i="7"/>
  <c r="AO1046" i="7"/>
  <c r="BC17" i="10"/>
  <c r="E17" i="10"/>
  <c r="AD17" i="10"/>
  <c r="I17" i="6"/>
  <c r="CZ1053" i="3"/>
  <c r="CZ1049" i="3"/>
  <c r="CP1049" i="7"/>
  <c r="CR1049" i="7"/>
  <c r="CS1049" i="7" s="1"/>
  <c r="CR1047" i="7"/>
  <c r="CS1047" i="7" s="1"/>
  <c r="CP1047" i="7"/>
  <c r="CH1049" i="7"/>
  <c r="AO1016" i="6"/>
  <c r="E1047" i="3"/>
  <c r="AC1018" i="6"/>
  <c r="AC1017" i="2"/>
  <c r="O1007" i="4"/>
  <c r="N1008" i="4" s="1"/>
  <c r="BG1056" i="3"/>
  <c r="BG1060" i="3" s="1"/>
  <c r="BG1049" i="3"/>
  <c r="AF1056" i="7"/>
  <c r="AF1060" i="7" s="1"/>
  <c r="AF1050" i="7"/>
  <c r="AF1049" i="7"/>
  <c r="AE1053" i="7"/>
  <c r="AF1053" i="7" s="1"/>
  <c r="AF1048" i="7"/>
  <c r="AF1047" i="7"/>
  <c r="AF1046" i="7"/>
  <c r="AE1053" i="3"/>
  <c r="AF1049" i="3"/>
  <c r="CG1054" i="3"/>
  <c r="X1046" i="7"/>
  <c r="V1046" i="7"/>
  <c r="AF1057" i="7"/>
  <c r="AE1054" i="7"/>
  <c r="BP1056" i="3"/>
  <c r="BP1060" i="3" s="1"/>
  <c r="BP1050" i="3"/>
  <c r="BP1049" i="3"/>
  <c r="BP1048" i="3"/>
  <c r="BP1047" i="3"/>
  <c r="BP1046" i="3"/>
  <c r="BO1053" i="3"/>
  <c r="F1007" i="8"/>
  <c r="E1008" i="8" s="1"/>
  <c r="Q1017" i="6"/>
  <c r="Q1018" i="2"/>
  <c r="CH1048" i="7"/>
  <c r="AI1018" i="4"/>
  <c r="AP1018" i="4"/>
  <c r="AS1018" i="2"/>
  <c r="V1013" i="4" s="1"/>
  <c r="AP1018" i="2"/>
  <c r="AG1048" i="3"/>
  <c r="AE1048" i="3"/>
  <c r="AN1054" i="3"/>
  <c r="AO1057" i="3"/>
  <c r="R22" i="6"/>
  <c r="S20" i="6" s="1"/>
  <c r="AY1016" i="6" s="1"/>
  <c r="H23" i="2"/>
  <c r="EB8" i="10"/>
  <c r="DC8" i="10"/>
  <c r="CD8" i="10"/>
  <c r="I8" i="2"/>
  <c r="DC16" i="10"/>
  <c r="CD16" i="10"/>
  <c r="EB16" i="10"/>
  <c r="I16" i="2"/>
  <c r="AX1056" i="7"/>
  <c r="AX1060" i="7" s="1"/>
  <c r="AX1050" i="7"/>
  <c r="AW1053" i="7"/>
  <c r="AX1053" i="7" s="1"/>
  <c r="AX1049" i="7"/>
  <c r="AX1048" i="7"/>
  <c r="AX1047" i="7"/>
  <c r="AX1046" i="7"/>
  <c r="N1047" i="7"/>
  <c r="CH1053" i="3"/>
  <c r="D1053" i="7"/>
  <c r="E1050" i="7"/>
  <c r="E1049" i="7"/>
  <c r="E1048" i="7"/>
  <c r="E1047" i="7"/>
  <c r="E1046" i="7"/>
  <c r="E1056" i="7"/>
  <c r="E1060" i="7" s="1"/>
  <c r="AD1016" i="2"/>
  <c r="AG1016" i="2" s="1"/>
  <c r="M1011" i="4" s="1"/>
  <c r="DC22" i="10"/>
  <c r="EB22" i="10"/>
  <c r="CD22" i="10"/>
  <c r="I22" i="2"/>
  <c r="H9" i="2"/>
  <c r="DC13" i="10"/>
  <c r="CD13" i="10"/>
  <c r="EB13" i="10"/>
  <c r="I13" i="2"/>
  <c r="AD21" i="6"/>
  <c r="AD20" i="6"/>
  <c r="AD19" i="6"/>
  <c r="N1048" i="7"/>
  <c r="CG1049" i="3"/>
  <c r="CI1049" i="3"/>
  <c r="AD11" i="10"/>
  <c r="BC11" i="10"/>
  <c r="I11" i="6"/>
  <c r="E11" i="10"/>
  <c r="CY1046" i="3"/>
  <c r="DA1046" i="3"/>
  <c r="DB1046" i="3" s="1"/>
  <c r="CY1050" i="3"/>
  <c r="DA1050" i="3"/>
  <c r="DB1050" i="3" s="1"/>
  <c r="R1017" i="2"/>
  <c r="U1017" i="2" s="1"/>
  <c r="D1012" i="4" s="1"/>
  <c r="CP1048" i="7"/>
  <c r="CR1048" i="7"/>
  <c r="CS1048" i="7" s="1"/>
  <c r="CH1046" i="7"/>
  <c r="BY1050" i="7"/>
  <c r="BX1053" i="7"/>
  <c r="BY1049" i="7"/>
  <c r="BY1048" i="7"/>
  <c r="BY1047" i="7"/>
  <c r="BY1046" i="7"/>
  <c r="BY1056" i="7"/>
  <c r="BY1060" i="7" s="1"/>
  <c r="AH1016" i="4"/>
  <c r="AE1076" i="4"/>
  <c r="AD1076" i="4" s="1"/>
  <c r="D1053" i="3"/>
  <c r="E1053" i="3" s="1"/>
  <c r="E1048" i="3"/>
  <c r="BP1057" i="3"/>
  <c r="BO1054" i="3"/>
  <c r="AX1056" i="3"/>
  <c r="AX1060" i="3" s="1"/>
  <c r="AX1050" i="3"/>
  <c r="AX1049" i="3"/>
  <c r="AX1048" i="3"/>
  <c r="AX1047" i="3"/>
  <c r="AX1046" i="3"/>
  <c r="AW1053" i="3"/>
  <c r="BG1046" i="3"/>
  <c r="BG1050" i="3"/>
  <c r="DA1046" i="7"/>
  <c r="DB1046" i="7" s="1"/>
  <c r="CY1046" i="7"/>
  <c r="CY1048" i="7"/>
  <c r="DA1048" i="7"/>
  <c r="DB1048" i="7" s="1"/>
  <c r="AF1046" i="3"/>
  <c r="AF1050" i="3"/>
  <c r="AB1017" i="2"/>
  <c r="W1053" i="7"/>
  <c r="X1047" i="7"/>
  <c r="Y1047" i="7" s="1"/>
  <c r="V1047" i="7"/>
  <c r="R1016" i="2"/>
  <c r="U1016" i="2" s="1"/>
  <c r="D1011" i="4" s="1"/>
  <c r="P1016" i="6"/>
  <c r="Q1016" i="6" s="1"/>
  <c r="CQ1057" i="3"/>
  <c r="CP1054" i="3"/>
  <c r="N1058" i="7"/>
  <c r="AE1076" i="8"/>
  <c r="AD1076" i="8" s="1"/>
  <c r="AH1016" i="8"/>
  <c r="BP1056" i="7"/>
  <c r="BP1060" i="7" s="1"/>
  <c r="BP1050" i="7"/>
  <c r="BP1049" i="7"/>
  <c r="BP1048" i="7"/>
  <c r="BO1053" i="7"/>
  <c r="BP1047" i="7"/>
  <c r="BP1046" i="7"/>
  <c r="AO1050" i="3"/>
  <c r="AO1049" i="3"/>
  <c r="AO1048" i="3"/>
  <c r="AO1047" i="3"/>
  <c r="AO1046" i="3"/>
  <c r="AO1056" i="3"/>
  <c r="AO1060" i="3" s="1"/>
  <c r="AN1053" i="3"/>
  <c r="AO1053" i="3" s="1"/>
  <c r="Q20" i="2"/>
  <c r="Q2020" i="2"/>
  <c r="EB7" i="10"/>
  <c r="CD7" i="10"/>
  <c r="DC7" i="10"/>
  <c r="I7" i="2"/>
  <c r="CD15" i="10"/>
  <c r="DC15" i="10"/>
  <c r="EB15" i="10"/>
  <c r="I15" i="2"/>
  <c r="CD19" i="10"/>
  <c r="DC19" i="10"/>
  <c r="EB19" i="10"/>
  <c r="I19" i="2"/>
  <c r="CH1057" i="7"/>
  <c r="CG1054" i="7"/>
  <c r="CH1053" i="7" s="1"/>
  <c r="N1046" i="7"/>
  <c r="N1050" i="7"/>
  <c r="CI1047" i="3"/>
  <c r="CG1047" i="3"/>
  <c r="BY1057" i="7"/>
  <c r="BX1054" i="7"/>
  <c r="CY1048" i="3"/>
  <c r="DA1048" i="3"/>
  <c r="DB1048" i="3" s="1"/>
  <c r="CR1050" i="7"/>
  <c r="CS1050" i="7" s="1"/>
  <c r="CP1050" i="7"/>
  <c r="F1046" i="3"/>
  <c r="D1046" i="3"/>
  <c r="AP1016" i="2"/>
  <c r="AS1016" i="2" s="1"/>
  <c r="V1011" i="4" s="1"/>
  <c r="AX1057" i="3"/>
  <c r="AW1054" i="3"/>
  <c r="R1019" i="6"/>
  <c r="U1019" i="6"/>
  <c r="D1014" i="8" s="1"/>
  <c r="DA1050" i="7"/>
  <c r="DB1050" i="7" s="1"/>
  <c r="CY1050" i="7"/>
  <c r="V1050" i="7"/>
  <c r="X1050" i="7"/>
  <c r="Y1050" i="7" s="1"/>
  <c r="AN1017" i="2"/>
  <c r="AG1007" i="4"/>
  <c r="AF1008" i="4" s="1"/>
  <c r="AH1007" i="4"/>
  <c r="AC1019" i="2"/>
  <c r="AD1019" i="6"/>
  <c r="AG1019" i="6"/>
  <c r="M1014" i="8" s="1"/>
  <c r="W1057" i="3"/>
  <c r="V1054" i="3"/>
  <c r="AO1017" i="2"/>
  <c r="M1007" i="8"/>
  <c r="O1007" i="8" s="1"/>
  <c r="N1008" i="8" s="1"/>
  <c r="AE1017" i="8"/>
  <c r="AH1017" i="8" s="1"/>
  <c r="EB12" i="10"/>
  <c r="DC12" i="10"/>
  <c r="CD12" i="10"/>
  <c r="I12" i="2"/>
  <c r="H20" i="2"/>
  <c r="N1053" i="7"/>
  <c r="CI1048" i="3"/>
  <c r="CJ1048" i="3" s="1"/>
  <c r="CG1048" i="3"/>
  <c r="BG1057" i="7"/>
  <c r="BF1054" i="7"/>
  <c r="S21" i="6"/>
  <c r="AZ1016" i="6" s="1"/>
  <c r="H21" i="2"/>
  <c r="H10" i="2"/>
  <c r="DC18" i="10"/>
  <c r="EB18" i="10"/>
  <c r="CD18" i="10"/>
  <c r="I18" i="2"/>
  <c r="Z1017" i="6"/>
  <c r="AC1017" i="6" s="1"/>
  <c r="E1057" i="7"/>
  <c r="D1054" i="7"/>
  <c r="N1049" i="7"/>
  <c r="AP21" i="6"/>
  <c r="AP20" i="6"/>
  <c r="AP19" i="6"/>
  <c r="CH1046" i="3"/>
  <c r="CZ1047" i="3"/>
  <c r="W1050" i="3"/>
  <c r="W1049" i="3"/>
  <c r="W1048" i="3"/>
  <c r="W1047" i="3"/>
  <c r="W1046" i="3"/>
  <c r="V1053" i="3"/>
  <c r="W1053" i="3" s="1"/>
  <c r="W1056" i="3"/>
  <c r="W1060" i="3" s="1"/>
  <c r="N1056" i="3"/>
  <c r="N1060" i="3" s="1"/>
  <c r="N1050" i="3"/>
  <c r="N1049" i="3"/>
  <c r="N1048" i="3"/>
  <c r="N1047" i="3"/>
  <c r="N1046" i="3"/>
  <c r="M1053" i="3"/>
  <c r="N1053" i="3" s="1"/>
  <c r="CH1047" i="7"/>
  <c r="CH1050" i="7"/>
  <c r="E1056" i="3"/>
  <c r="E1060" i="3" s="1"/>
  <c r="AC20" i="2"/>
  <c r="AC2020" i="2"/>
  <c r="AF1057" i="3"/>
  <c r="AE1054" i="3"/>
  <c r="CQ1050" i="3"/>
  <c r="CQ1049" i="3"/>
  <c r="CQ1048" i="3"/>
  <c r="CQ1047" i="3"/>
  <c r="CQ1046" i="3"/>
  <c r="CQ1056" i="3"/>
  <c r="CQ1060" i="3" s="1"/>
  <c r="CP1053" i="3"/>
  <c r="CQ1053" i="3" s="1"/>
  <c r="BG1050" i="7"/>
  <c r="BG1056" i="7"/>
  <c r="BG1060" i="7" s="1"/>
  <c r="BG1047" i="7"/>
  <c r="BG1046" i="7"/>
  <c r="BF1053" i="7"/>
  <c r="BG1053" i="7" s="1"/>
  <c r="BG1049" i="7"/>
  <c r="BG1048" i="7"/>
  <c r="BY1050" i="3"/>
  <c r="BY1049" i="3"/>
  <c r="BY1048" i="3"/>
  <c r="BY1047" i="3"/>
  <c r="BY1046" i="3"/>
  <c r="BX1053" i="3"/>
  <c r="BY1053" i="3" s="1"/>
  <c r="BY1056" i="3"/>
  <c r="BY1060" i="3" s="1"/>
  <c r="BF1053" i="3"/>
  <c r="BG1053" i="3" s="1"/>
  <c r="AO1018" i="6"/>
  <c r="DA1047" i="7"/>
  <c r="CY1047" i="7"/>
  <c r="CY1049" i="7"/>
  <c r="DA1049" i="7"/>
  <c r="DB1049" i="7" s="1"/>
  <c r="AO20" i="2"/>
  <c r="AO2020" i="2"/>
  <c r="AX1058" i="3"/>
  <c r="V1049" i="7"/>
  <c r="X1049" i="7"/>
  <c r="X1048" i="7"/>
  <c r="V1048" i="7"/>
  <c r="CH1058" i="3"/>
  <c r="E1058" i="7"/>
  <c r="BP1057" i="7"/>
  <c r="BO1054" i="7"/>
  <c r="Z1016" i="6"/>
  <c r="AC1016" i="6" s="1"/>
  <c r="R1016" i="6" l="1"/>
  <c r="U1016" i="6" s="1"/>
  <c r="D1011" i="8" s="1"/>
  <c r="AD1016" i="6"/>
  <c r="AG1016" i="6"/>
  <c r="M1011" i="8" s="1"/>
  <c r="AP1018" i="6"/>
  <c r="AS1018" i="6"/>
  <c r="V1013" i="8" s="1"/>
  <c r="CR1049" i="3"/>
  <c r="CP1049" i="3"/>
  <c r="X1048" i="3"/>
  <c r="V1048" i="3"/>
  <c r="O1049" i="7"/>
  <c r="M1049" i="7"/>
  <c r="AE21" i="6"/>
  <c r="AZ1017" i="6" s="1"/>
  <c r="AY1047" i="7"/>
  <c r="AW1047" i="7"/>
  <c r="CD23" i="10"/>
  <c r="DC23" i="10"/>
  <c r="EB23" i="10"/>
  <c r="I23" i="2"/>
  <c r="BQ1050" i="3"/>
  <c r="BR1050" i="3" s="1"/>
  <c r="BO1050" i="3"/>
  <c r="AG1048" i="7"/>
  <c r="AH1048" i="7" s="1"/>
  <c r="AE1048" i="7"/>
  <c r="BZ1050" i="3"/>
  <c r="CA1050" i="3" s="1"/>
  <c r="BX1050" i="3"/>
  <c r="BH1050" i="7"/>
  <c r="BI1050" i="7" s="1"/>
  <c r="BF1050" i="7"/>
  <c r="CR1050" i="3"/>
  <c r="CS1050" i="3" s="1"/>
  <c r="CP1050" i="3"/>
  <c r="AB2021" i="2"/>
  <c r="AB21" i="2"/>
  <c r="E17" i="2"/>
  <c r="E5" i="2"/>
  <c r="H5" i="2" s="1"/>
  <c r="E6" i="2"/>
  <c r="H6" i="2" s="1"/>
  <c r="E11" i="2"/>
  <c r="E4" i="2"/>
  <c r="E14" i="2"/>
  <c r="M1046" i="3"/>
  <c r="O1046" i="3"/>
  <c r="O1050" i="3"/>
  <c r="P1050" i="3" s="1"/>
  <c r="M1050" i="3"/>
  <c r="X1049" i="3"/>
  <c r="Y1049" i="3" s="1"/>
  <c r="V1049" i="3"/>
  <c r="CD10" i="10"/>
  <c r="DC10" i="10"/>
  <c r="EB10" i="10"/>
  <c r="I10" i="2"/>
  <c r="G1046" i="3"/>
  <c r="AP1049" i="3"/>
  <c r="AQ1049" i="3" s="1"/>
  <c r="AN1049" i="3"/>
  <c r="BH1050" i="3"/>
  <c r="BI1050" i="3" s="1"/>
  <c r="BF1050" i="3"/>
  <c r="AW1046" i="3"/>
  <c r="AY1046" i="3"/>
  <c r="AW1050" i="3"/>
  <c r="AY1050" i="3"/>
  <c r="F1048" i="3"/>
  <c r="G1048" i="3" s="1"/>
  <c r="D1048" i="3"/>
  <c r="BZ1048" i="7"/>
  <c r="CA1048" i="7" s="1"/>
  <c r="BX1048" i="7"/>
  <c r="CI1046" i="7"/>
  <c r="CJ1046" i="7" s="1"/>
  <c r="CG1046" i="7"/>
  <c r="O1048" i="7"/>
  <c r="P1048" i="7" s="1"/>
  <c r="M1048" i="7"/>
  <c r="F1046" i="7"/>
  <c r="G1046" i="7" s="1"/>
  <c r="D1046" i="7"/>
  <c r="F1050" i="7"/>
  <c r="G1050" i="7" s="1"/>
  <c r="D1050" i="7"/>
  <c r="O1047" i="7"/>
  <c r="P1047" i="7" s="1"/>
  <c r="M1047" i="7"/>
  <c r="AY1048" i="7"/>
  <c r="AZ1048" i="7" s="1"/>
  <c r="AW1048" i="7"/>
  <c r="R1017" i="6"/>
  <c r="U1017" i="6" s="1"/>
  <c r="D1012" i="8" s="1"/>
  <c r="BO1047" i="3"/>
  <c r="BQ1047" i="3"/>
  <c r="AF1053" i="3"/>
  <c r="AD1017" i="2"/>
  <c r="AG1017" i="2"/>
  <c r="M1012" i="4" s="1"/>
  <c r="AP1016" i="6"/>
  <c r="AS1016" i="6" s="1"/>
  <c r="V1011" i="8" s="1"/>
  <c r="AP1048" i="7"/>
  <c r="AN1048" i="7"/>
  <c r="AZ2021" i="2"/>
  <c r="AH1047" i="3"/>
  <c r="BI1047" i="3"/>
  <c r="BZ1049" i="3"/>
  <c r="BX1049" i="3"/>
  <c r="CI1050" i="7"/>
  <c r="CJ1050" i="7" s="1"/>
  <c r="CG1050" i="7"/>
  <c r="CI1046" i="3"/>
  <c r="CG1046" i="3"/>
  <c r="AP1048" i="3"/>
  <c r="AN1048" i="3"/>
  <c r="AG1046" i="3"/>
  <c r="AE1046" i="3"/>
  <c r="AW1049" i="3"/>
  <c r="AY1049" i="3"/>
  <c r="AZ1049" i="3" s="1"/>
  <c r="AI1016" i="4"/>
  <c r="AP1016" i="4"/>
  <c r="AE36" i="4" s="1"/>
  <c r="BZ1050" i="7"/>
  <c r="CA1050" i="7" s="1"/>
  <c r="BX1050" i="7"/>
  <c r="AY1050" i="7"/>
  <c r="AZ1050" i="7" s="1"/>
  <c r="AW1050" i="7"/>
  <c r="BO1046" i="3"/>
  <c r="BQ1046" i="3"/>
  <c r="BR1046" i="3" s="1"/>
  <c r="AG1049" i="3"/>
  <c r="AH1049" i="3" s="1"/>
  <c r="AE1049" i="3"/>
  <c r="AE1050" i="7"/>
  <c r="AG1050" i="7"/>
  <c r="AH1050" i="7" s="1"/>
  <c r="CP35" i="7"/>
  <c r="AQ19" i="6"/>
  <c r="AP22" i="6"/>
  <c r="AS1017" i="2"/>
  <c r="V1012" i="4" s="1"/>
  <c r="V36" i="4" s="1"/>
  <c r="AP1017" i="2"/>
  <c r="CJ1047" i="3"/>
  <c r="BQ1050" i="7"/>
  <c r="BR1050" i="7" s="1"/>
  <c r="BO1050" i="7"/>
  <c r="Y1048" i="7"/>
  <c r="BZ1047" i="3"/>
  <c r="CA1047" i="3" s="1"/>
  <c r="BX1047" i="3"/>
  <c r="BF1048" i="7"/>
  <c r="BH1048" i="7"/>
  <c r="BH1047" i="7"/>
  <c r="BI1047" i="7" s="1"/>
  <c r="BF1047" i="7"/>
  <c r="CR1047" i="3"/>
  <c r="CS1047" i="3" s="1"/>
  <c r="CP1047" i="3"/>
  <c r="M1047" i="3"/>
  <c r="O1047" i="3"/>
  <c r="X1046" i="3"/>
  <c r="Y1046" i="3" s="1"/>
  <c r="V1046" i="3"/>
  <c r="X1050" i="3"/>
  <c r="Y1050" i="3" s="1"/>
  <c r="V1050" i="3"/>
  <c r="AQ20" i="6"/>
  <c r="AY1018" i="6" s="1"/>
  <c r="DC20" i="10"/>
  <c r="EB20" i="10"/>
  <c r="CD20" i="10"/>
  <c r="I20" i="2"/>
  <c r="AG1019" i="2"/>
  <c r="M1014" i="4" s="1"/>
  <c r="AD1019" i="2"/>
  <c r="O1050" i="7"/>
  <c r="P1050" i="7" s="1"/>
  <c r="M1050" i="7"/>
  <c r="P2021" i="2"/>
  <c r="P21" i="2"/>
  <c r="C14" i="2"/>
  <c r="H14" i="2" s="1"/>
  <c r="C17" i="2"/>
  <c r="C11" i="2"/>
  <c r="AP1046" i="3"/>
  <c r="AN1046" i="3"/>
  <c r="AP1050" i="3"/>
  <c r="AN1050" i="3"/>
  <c r="BH1046" i="3"/>
  <c r="BF1046" i="3"/>
  <c r="AW1047" i="3"/>
  <c r="AY1047" i="3"/>
  <c r="AZ1047" i="3" s="1"/>
  <c r="BZ1049" i="7"/>
  <c r="BX1049" i="7"/>
  <c r="AD22" i="6"/>
  <c r="AE19" i="6" s="1"/>
  <c r="DC9" i="10"/>
  <c r="CD9" i="10"/>
  <c r="EB9" i="10"/>
  <c r="I9" i="2"/>
  <c r="F1047" i="7"/>
  <c r="G1047" i="7" s="1"/>
  <c r="D1047" i="7"/>
  <c r="E1053" i="7"/>
  <c r="AY1049" i="7"/>
  <c r="AW1049" i="7"/>
  <c r="S19" i="6"/>
  <c r="AH1048" i="3"/>
  <c r="BO1048" i="3"/>
  <c r="BQ1048" i="3"/>
  <c r="Y1046" i="7"/>
  <c r="V35" i="7" s="1"/>
  <c r="AG1046" i="7"/>
  <c r="AE1046" i="7"/>
  <c r="BH1049" i="3"/>
  <c r="BI1049" i="3" s="1"/>
  <c r="BF1049" i="3"/>
  <c r="AD1018" i="6"/>
  <c r="AG1018" i="6"/>
  <c r="M1013" i="8" s="1"/>
  <c r="CI1049" i="7"/>
  <c r="CG1049" i="7"/>
  <c r="AP1049" i="7"/>
  <c r="AN1049" i="7"/>
  <c r="BH1048" i="3"/>
  <c r="BF1048" i="3"/>
  <c r="G1050" i="3"/>
  <c r="M1049" i="3"/>
  <c r="O1049" i="3"/>
  <c r="P1049" i="3" s="1"/>
  <c r="BQ1047" i="7"/>
  <c r="BR1047" i="7" s="1"/>
  <c r="BO1047" i="7"/>
  <c r="BO1049" i="7"/>
  <c r="BQ1049" i="7"/>
  <c r="AX1053" i="3"/>
  <c r="BZ1047" i="7"/>
  <c r="CA1047" i="7" s="1"/>
  <c r="BX1047" i="7"/>
  <c r="F1049" i="7"/>
  <c r="D1049" i="7"/>
  <c r="R1018" i="2"/>
  <c r="U1018" i="2" s="1"/>
  <c r="D1013" i="4" s="1"/>
  <c r="D36" i="4" s="1"/>
  <c r="AP1047" i="7"/>
  <c r="AQ1047" i="7" s="1"/>
  <c r="AN1047" i="7"/>
  <c r="BZ1046" i="3"/>
  <c r="CA1046" i="3" s="1"/>
  <c r="BX1046" i="3"/>
  <c r="BH1046" i="7"/>
  <c r="BI1046" i="7" s="1"/>
  <c r="BF1046" i="7"/>
  <c r="CR1046" i="3"/>
  <c r="CS1046" i="3" s="1"/>
  <c r="CP1046" i="3"/>
  <c r="CI1047" i="7"/>
  <c r="CJ1047" i="7" s="1"/>
  <c r="CG1047" i="7"/>
  <c r="BP1053" i="7"/>
  <c r="Y1049" i="7"/>
  <c r="AN2021" i="2"/>
  <c r="AN21" i="2"/>
  <c r="G17" i="2"/>
  <c r="G11" i="2"/>
  <c r="G4" i="2"/>
  <c r="G5" i="2"/>
  <c r="G14" i="2"/>
  <c r="G6" i="2"/>
  <c r="DB1047" i="7"/>
  <c r="CY35" i="7" s="1"/>
  <c r="BZ1048" i="3"/>
  <c r="BX1048" i="3"/>
  <c r="BF1049" i="7"/>
  <c r="BH1049" i="7"/>
  <c r="BI1049" i="7" s="1"/>
  <c r="CR1048" i="3"/>
  <c r="CP1048" i="3"/>
  <c r="M1048" i="3"/>
  <c r="O1048" i="3"/>
  <c r="P1048" i="3" s="1"/>
  <c r="X1047" i="3"/>
  <c r="V1047" i="3"/>
  <c r="CY1047" i="3"/>
  <c r="DA1047" i="3"/>
  <c r="DB1047" i="3" s="1"/>
  <c r="CY35" i="3" s="1"/>
  <c r="AQ21" i="6"/>
  <c r="AZ1018" i="6" s="1"/>
  <c r="AD1017" i="6"/>
  <c r="AG1017" i="6" s="1"/>
  <c r="M1012" i="8" s="1"/>
  <c r="CD21" i="10"/>
  <c r="DC21" i="10"/>
  <c r="EB21" i="10"/>
  <c r="I21" i="2"/>
  <c r="AI1017" i="8"/>
  <c r="AP1017" i="8"/>
  <c r="O1046" i="7"/>
  <c r="M1046" i="7"/>
  <c r="AP1047" i="3"/>
  <c r="AN1047" i="3"/>
  <c r="BQ1046" i="7"/>
  <c r="BO1046" i="7"/>
  <c r="BO1048" i="7"/>
  <c r="BQ1048" i="7"/>
  <c r="BR1048" i="7" s="1"/>
  <c r="AI1016" i="8"/>
  <c r="AP1016" i="8"/>
  <c r="AE1050" i="3"/>
  <c r="AG1050" i="3"/>
  <c r="AH1050" i="3" s="1"/>
  <c r="AW1048" i="3"/>
  <c r="AY1048" i="3"/>
  <c r="AZ1048" i="3" s="1"/>
  <c r="BZ1046" i="7"/>
  <c r="BX1046" i="7"/>
  <c r="BY1053" i="7"/>
  <c r="CJ1049" i="3"/>
  <c r="AE20" i="6"/>
  <c r="AY1017" i="6" s="1"/>
  <c r="F1048" i="7"/>
  <c r="G1048" i="7" s="1"/>
  <c r="D1048" i="7"/>
  <c r="AY1046" i="7"/>
  <c r="AZ1046" i="7" s="1"/>
  <c r="AW1046" i="7"/>
  <c r="CI1048" i="7"/>
  <c r="CJ1048" i="7" s="1"/>
  <c r="CG1048" i="7"/>
  <c r="BP1053" i="3"/>
  <c r="BO1049" i="3"/>
  <c r="BQ1049" i="3"/>
  <c r="BR1049" i="3" s="1"/>
  <c r="AG1047" i="7"/>
  <c r="AE1047" i="7"/>
  <c r="AE1049" i="7"/>
  <c r="AG1049" i="7"/>
  <c r="AH1049" i="7" s="1"/>
  <c r="F1047" i="3"/>
  <c r="D1047" i="3"/>
  <c r="CY1049" i="3"/>
  <c r="DA1049" i="3"/>
  <c r="DB1049" i="3" s="1"/>
  <c r="AP1046" i="7"/>
  <c r="AN1046" i="7"/>
  <c r="AP1050" i="7"/>
  <c r="AN1050" i="7"/>
  <c r="G1049" i="3"/>
  <c r="V36" i="8" l="1"/>
  <c r="AE36" i="8"/>
  <c r="M36" i="4"/>
  <c r="AE22" i="6"/>
  <c r="X904" i="6"/>
  <c r="Y904" i="6" s="1"/>
  <c r="Y47" i="6" s="1"/>
  <c r="AX1017" i="6"/>
  <c r="BA1017" i="6" s="1"/>
  <c r="M36" i="8"/>
  <c r="D36" i="8"/>
  <c r="DC14" i="10"/>
  <c r="EB14" i="10"/>
  <c r="CD14" i="10"/>
  <c r="I14" i="2"/>
  <c r="V35" i="3"/>
  <c r="AD21" i="2"/>
  <c r="AD19" i="2"/>
  <c r="AD2021" i="2"/>
  <c r="AD2020" i="2"/>
  <c r="AD2019" i="2"/>
  <c r="AD20" i="2"/>
  <c r="H4" i="2"/>
  <c r="AQ1046" i="7"/>
  <c r="G1047" i="3"/>
  <c r="AH1047" i="7"/>
  <c r="BR1046" i="7"/>
  <c r="BO35" i="7" s="1"/>
  <c r="P1046" i="7"/>
  <c r="G1049" i="7"/>
  <c r="AQ1049" i="7"/>
  <c r="AH1046" i="7"/>
  <c r="AE35" i="7" s="1"/>
  <c r="AZ1049" i="7"/>
  <c r="CA1049" i="7"/>
  <c r="BI1046" i="3"/>
  <c r="AQ1046" i="3"/>
  <c r="AN35" i="3" s="1"/>
  <c r="P1047" i="3"/>
  <c r="AQ1048" i="3"/>
  <c r="AQ1048" i="7"/>
  <c r="AZ1046" i="3"/>
  <c r="AW35" i="3" s="1"/>
  <c r="P1046" i="3"/>
  <c r="M35" i="3" s="1"/>
  <c r="Y1048" i="3"/>
  <c r="H11" i="2"/>
  <c r="R21" i="2"/>
  <c r="R19" i="2"/>
  <c r="R2019" i="2"/>
  <c r="R2021" i="2"/>
  <c r="R20" i="2"/>
  <c r="R2020" i="2"/>
  <c r="AX1018" i="6"/>
  <c r="BA1018" i="6" s="1"/>
  <c r="AQ22" i="6"/>
  <c r="AJ904" i="6"/>
  <c r="AK904" i="6" s="1"/>
  <c r="AK47" i="6" s="1"/>
  <c r="D35" i="7"/>
  <c r="CD6" i="10"/>
  <c r="DC6" i="10"/>
  <c r="EB6" i="10"/>
  <c r="I6" i="2"/>
  <c r="AP21" i="2"/>
  <c r="AP20" i="2"/>
  <c r="AP19" i="2"/>
  <c r="AP2021" i="2"/>
  <c r="AP2020" i="2"/>
  <c r="AP2019" i="2"/>
  <c r="AQ1050" i="7"/>
  <c r="CA1046" i="7"/>
  <c r="BX35" i="7" s="1"/>
  <c r="AQ1047" i="3"/>
  <c r="Y1047" i="3"/>
  <c r="CS1048" i="3"/>
  <c r="CP35" i="3" s="1"/>
  <c r="CA1048" i="3"/>
  <c r="BX35" i="3" s="1"/>
  <c r="BR1049" i="7"/>
  <c r="BI1048" i="3"/>
  <c r="CJ1049" i="7"/>
  <c r="CG35" i="7" s="1"/>
  <c r="BR1048" i="3"/>
  <c r="AX1016" i="6"/>
  <c r="BA1016" i="6" s="1"/>
  <c r="S22" i="6"/>
  <c r="L904" i="6"/>
  <c r="M904" i="6" s="1"/>
  <c r="M47" i="6" s="1"/>
  <c r="AQ1050" i="3"/>
  <c r="H17" i="2"/>
  <c r="BI1048" i="7"/>
  <c r="BF35" i="7" s="1"/>
  <c r="AH1046" i="3"/>
  <c r="AE35" i="3" s="1"/>
  <c r="CJ1046" i="3"/>
  <c r="CG35" i="3" s="1"/>
  <c r="CA1049" i="3"/>
  <c r="BR1047" i="3"/>
  <c r="BO35" i="3" s="1"/>
  <c r="AZ1050" i="3"/>
  <c r="D35" i="3"/>
  <c r="EB5" i="10"/>
  <c r="CD5" i="10"/>
  <c r="DC5" i="10"/>
  <c r="I5" i="2"/>
  <c r="AZ1047" i="7"/>
  <c r="AW35" i="7" s="1"/>
  <c r="P1049" i="7"/>
  <c r="CS1049" i="3"/>
  <c r="EB11" i="10" l="1"/>
  <c r="CD11" i="10"/>
  <c r="DC11" i="10"/>
  <c r="I11" i="2"/>
  <c r="CD17" i="10"/>
  <c r="DC17" i="10"/>
  <c r="EB17" i="10"/>
  <c r="I17" i="2"/>
  <c r="BI1016" i="6"/>
  <c r="BB1016" i="6"/>
  <c r="AP2022" i="2"/>
  <c r="AQ2019" i="2"/>
  <c r="AQ20" i="2"/>
  <c r="AY1018" i="2" s="1"/>
  <c r="BI1018" i="6"/>
  <c r="BB1018" i="6"/>
  <c r="R2022" i="2"/>
  <c r="S2021" i="2" s="1"/>
  <c r="S2019" i="2"/>
  <c r="BF35" i="3"/>
  <c r="AD22" i="2"/>
  <c r="AE20" i="2" s="1"/>
  <c r="AY1017" i="2" s="1"/>
  <c r="AE19" i="2"/>
  <c r="BI1017" i="6"/>
  <c r="BB1017" i="6"/>
  <c r="AP22" i="2"/>
  <c r="AQ19" i="2"/>
  <c r="CD4" i="10"/>
  <c r="DC4" i="10"/>
  <c r="EB4" i="10"/>
  <c r="I4" i="2"/>
  <c r="AQ2020" i="2"/>
  <c r="AQ21" i="2"/>
  <c r="AZ1018" i="2" s="1"/>
  <c r="S2020" i="2"/>
  <c r="R22" i="2"/>
  <c r="S19" i="2" s="1"/>
  <c r="AV904" i="6"/>
  <c r="AW904" i="6" s="1"/>
  <c r="AD2022" i="2"/>
  <c r="AE2019" i="2" s="1"/>
  <c r="AE21" i="2"/>
  <c r="AZ1017" i="2" s="1"/>
  <c r="AE2021" i="2"/>
  <c r="AQ2021" i="2"/>
  <c r="M35" i="7"/>
  <c r="AN35" i="7"/>
  <c r="AW47" i="6" l="1"/>
  <c r="AX1016" i="2"/>
  <c r="L904" i="2"/>
  <c r="AJ2104" i="2"/>
  <c r="AX1018" i="2"/>
  <c r="BA1018" i="2" s="1"/>
  <c r="AQ22" i="2"/>
  <c r="AJ904" i="2"/>
  <c r="AX1017" i="2"/>
  <c r="BA1017" i="2" s="1"/>
  <c r="AE22" i="2"/>
  <c r="X2104" i="2"/>
  <c r="X904" i="2"/>
  <c r="S2022" i="2"/>
  <c r="S21" i="2"/>
  <c r="AZ1016" i="2" s="1"/>
  <c r="AQ2022" i="2"/>
  <c r="AE2020" i="2"/>
  <c r="AE2022" i="2" s="1"/>
  <c r="S20" i="2"/>
  <c r="AY1016" i="2" s="1"/>
  <c r="BB2020" i="2"/>
  <c r="BB2021" i="2"/>
  <c r="BB2019" i="2"/>
  <c r="BB2022" i="2" l="1"/>
  <c r="BC2019" i="2" s="1"/>
  <c r="BB1018" i="2"/>
  <c r="BI1018" i="2" s="1"/>
  <c r="S22" i="2"/>
  <c r="Y2104" i="2"/>
  <c r="Y904" i="2"/>
  <c r="Y47" i="2" s="1"/>
  <c r="BB1017" i="2"/>
  <c r="BI1017" i="2" s="1"/>
  <c r="AK904" i="2"/>
  <c r="AK47" i="2" s="1"/>
  <c r="AK2104" i="2"/>
  <c r="BA1016" i="2"/>
  <c r="BC2020" i="2"/>
  <c r="BC2021" i="2"/>
  <c r="L2104" i="2"/>
  <c r="BB1016" i="2" l="1"/>
  <c r="BI1016" i="2"/>
  <c r="AV2104" i="2"/>
  <c r="AV904" i="2"/>
  <c r="M904" i="2"/>
  <c r="M47" i="2" s="1"/>
  <c r="M2104" i="2"/>
  <c r="BC2022" i="2"/>
  <c r="AW904" i="2" l="1"/>
  <c r="AW47" i="2" s="1"/>
  <c r="AW2104" i="2"/>
</calcChain>
</file>

<file path=xl/sharedStrings.xml><?xml version="1.0" encoding="utf-8"?>
<sst xmlns="http://schemas.openxmlformats.org/spreadsheetml/2006/main" count="2102" uniqueCount="220">
  <si>
    <t>Dimension 1</t>
  </si>
  <si>
    <t>Estructuración Organizacional</t>
  </si>
  <si>
    <t>Relaciones Interpersonales</t>
  </si>
  <si>
    <t>Identidad Institucional</t>
  </si>
  <si>
    <t>Total</t>
  </si>
  <si>
    <t>Valoración</t>
  </si>
  <si>
    <t>PRG.1</t>
  </si>
  <si>
    <t>PRG.2</t>
  </si>
  <si>
    <t>PRG.3</t>
  </si>
  <si>
    <t>PRG.4</t>
  </si>
  <si>
    <t>PRG.5</t>
  </si>
  <si>
    <t>PRG.6</t>
  </si>
  <si>
    <t>PRG.7</t>
  </si>
  <si>
    <t>PRG.8</t>
  </si>
  <si>
    <t>PRG.9</t>
  </si>
  <si>
    <t>PRG.10</t>
  </si>
  <si>
    <t>PRG.11</t>
  </si>
  <si>
    <t>PRG.12</t>
  </si>
  <si>
    <t>Docentes 1</t>
  </si>
  <si>
    <t>Docentes 2</t>
  </si>
  <si>
    <t>Docentes 3</t>
  </si>
  <si>
    <t>Docentes 4</t>
  </si>
  <si>
    <t>Docentes 5</t>
  </si>
  <si>
    <t>Docentes 6</t>
  </si>
  <si>
    <t>Docentes 7</t>
  </si>
  <si>
    <t>Docentes 8</t>
  </si>
  <si>
    <t>Docentes 9</t>
  </si>
  <si>
    <t>Docentes 10</t>
  </si>
  <si>
    <t>Docentes 11</t>
  </si>
  <si>
    <t>Docentes 12</t>
  </si>
  <si>
    <t>Docentes 13</t>
  </si>
  <si>
    <t>Docentes 14</t>
  </si>
  <si>
    <t>Docentes 15</t>
  </si>
  <si>
    <t>Docentes 16</t>
  </si>
  <si>
    <t>Docentes 17</t>
  </si>
  <si>
    <t>Docentes 18</t>
  </si>
  <si>
    <t>Docentes 19</t>
  </si>
  <si>
    <t>Docentes 20</t>
  </si>
  <si>
    <t>TOTAL</t>
  </si>
  <si>
    <t>MODA</t>
  </si>
  <si>
    <t>MEDIA</t>
  </si>
  <si>
    <t>MEDIANA</t>
  </si>
  <si>
    <t>Desv.Est</t>
  </si>
  <si>
    <t xml:space="preserve">Coef. Varia.
    </t>
  </si>
  <si>
    <t>Nunca</t>
  </si>
  <si>
    <t>Casi Nunca</t>
  </si>
  <si>
    <t>A veces</t>
  </si>
  <si>
    <t>Casi siempre</t>
  </si>
  <si>
    <t>Siempre</t>
  </si>
  <si>
    <t>Nunca%</t>
  </si>
  <si>
    <t>Casi Nunca%</t>
  </si>
  <si>
    <t>A veces%</t>
  </si>
  <si>
    <t>Casi siempre%</t>
  </si>
  <si>
    <t>Siempre%</t>
  </si>
  <si>
    <t>Total %</t>
  </si>
  <si>
    <t>Nº de Personas</t>
  </si>
  <si>
    <t>Clima institucional</t>
  </si>
  <si>
    <t>Suma Total</t>
  </si>
  <si>
    <t>Variable</t>
  </si>
  <si>
    <t>Nombre de la Dimensión</t>
  </si>
  <si>
    <t>Cantidad de Escalas Valorativas</t>
  </si>
  <si>
    <t>Nº de Peguntas</t>
  </si>
  <si>
    <t>Valor Mínimo por item</t>
  </si>
  <si>
    <t>Valor Máximo por item</t>
  </si>
  <si>
    <t>Máximo</t>
  </si>
  <si>
    <t>Mínimo</t>
  </si>
  <si>
    <t>Rango</t>
  </si>
  <si>
    <t>Amplitud del Intervalo</t>
  </si>
  <si>
    <t>Tabla 1</t>
  </si>
  <si>
    <t>Tabla 2</t>
  </si>
  <si>
    <t>Tabla 3</t>
  </si>
  <si>
    <t>Tabla 4</t>
  </si>
  <si>
    <t>Calificación</t>
  </si>
  <si>
    <t>Frec.</t>
  </si>
  <si>
    <t>%</t>
  </si>
  <si>
    <t>Desde</t>
  </si>
  <si>
    <t>Hasta</t>
  </si>
  <si>
    <t>Inadecuado</t>
  </si>
  <si>
    <t>Regular</t>
  </si>
  <si>
    <t>Adecuado</t>
  </si>
  <si>
    <t>Fuente: Encuesta aplicada</t>
  </si>
  <si>
    <t>Elaboración: Propia</t>
  </si>
  <si>
    <t>Figura.1</t>
  </si>
  <si>
    <t>Figura.2</t>
  </si>
  <si>
    <t>Figura.3</t>
  </si>
  <si>
    <t>Figura.4</t>
  </si>
  <si>
    <t>Unidades de Medida</t>
  </si>
  <si>
    <t>Dimensión</t>
  </si>
  <si>
    <t>Docentess</t>
  </si>
  <si>
    <t>Valoración de la variable</t>
  </si>
  <si>
    <t>Preguntas Originales</t>
  </si>
  <si>
    <t>Enunciados Para Palafraseo</t>
  </si>
  <si>
    <t>.</t>
  </si>
  <si>
    <t>MÁXIMO</t>
  </si>
  <si>
    <t>Valores</t>
  </si>
  <si>
    <t>codificación de verbos aleatorios para concatenar</t>
  </si>
  <si>
    <t>verbo</t>
  </si>
  <si>
    <t>Concatenación</t>
  </si>
  <si>
    <t>dimensión</t>
  </si>
  <si>
    <t>Valor</t>
  </si>
  <si>
    <t>codificación de verbos</t>
  </si>
  <si>
    <t>Verbo</t>
  </si>
  <si>
    <t>codificación de conectores</t>
  </si>
  <si>
    <t>Conectores</t>
  </si>
  <si>
    <t>codificación de unidades de medida</t>
  </si>
  <si>
    <t xml:space="preserve">Unidades de medida </t>
  </si>
  <si>
    <t>valoró</t>
  </si>
  <si>
    <t>calificó</t>
  </si>
  <si>
    <t>consideró</t>
  </si>
  <si>
    <t>respondió</t>
  </si>
  <si>
    <t>evaluó</t>
  </si>
  <si>
    <t>determinó</t>
  </si>
  <si>
    <t>mencionó</t>
  </si>
  <si>
    <t>apreció</t>
  </si>
  <si>
    <t>percibió</t>
  </si>
  <si>
    <t>Tuvo una percepción de</t>
  </si>
  <si>
    <t>asi mismo</t>
  </si>
  <si>
    <t xml:space="preserve">por otro lado </t>
  </si>
  <si>
    <t xml:space="preserve">por otra parte </t>
  </si>
  <si>
    <t xml:space="preserve">ademas </t>
  </si>
  <si>
    <t xml:space="preserve">en consecuencia </t>
  </si>
  <si>
    <t xml:space="preserve">adicional a ello </t>
  </si>
  <si>
    <t xml:space="preserve">por consecuencia </t>
  </si>
  <si>
    <t>Resultados</t>
  </si>
  <si>
    <t>Pregunta 1</t>
  </si>
  <si>
    <t>Pregunta 2</t>
  </si>
  <si>
    <t>Pregunta 3</t>
  </si>
  <si>
    <t>Pregunta 4</t>
  </si>
  <si>
    <t>Pregunta 5</t>
  </si>
  <si>
    <t>Pregunta 6</t>
  </si>
  <si>
    <t>Pregunta 7</t>
  </si>
  <si>
    <t>Pregunta 8</t>
  </si>
  <si>
    <t>Pregunta 9</t>
  </si>
  <si>
    <t>Pregunta 10</t>
  </si>
  <si>
    <t>Pregunta 11</t>
  </si>
  <si>
    <t>Pregunta 12</t>
  </si>
  <si>
    <t>Tabla 5</t>
  </si>
  <si>
    <t>Tabla 6</t>
  </si>
  <si>
    <t>Tabla 7</t>
  </si>
  <si>
    <t>Tabla 8</t>
  </si>
  <si>
    <t>Tabla 9</t>
  </si>
  <si>
    <t>Tabla 10</t>
  </si>
  <si>
    <t>Tabla 11</t>
  </si>
  <si>
    <t>Tabla 12</t>
  </si>
  <si>
    <t>Figura. 1</t>
  </si>
  <si>
    <t>Figura. 2</t>
  </si>
  <si>
    <t>Figura. 3</t>
  </si>
  <si>
    <t>Figura. 4</t>
  </si>
  <si>
    <t>Figura. 5</t>
  </si>
  <si>
    <t>Figura. 6</t>
  </si>
  <si>
    <t>Figura. 7</t>
  </si>
  <si>
    <t>Figura. 8</t>
  </si>
  <si>
    <t>Figura. 9</t>
  </si>
  <si>
    <t>Figura. 10</t>
  </si>
  <si>
    <t>Figura. 11</t>
  </si>
  <si>
    <t>Figura. 12</t>
  </si>
  <si>
    <t>Mayoria</t>
  </si>
  <si>
    <t>Dimensión 1</t>
  </si>
  <si>
    <t>Dimensión 2</t>
  </si>
  <si>
    <t>Dimensión 3</t>
  </si>
  <si>
    <t>Variable 1</t>
  </si>
  <si>
    <t>Unidad de Medida</t>
  </si>
  <si>
    <t>Calificación verdadera</t>
  </si>
  <si>
    <t>Valor Mayor</t>
  </si>
  <si>
    <t>MAYOR</t>
  </si>
  <si>
    <t>Nivel de planificación de la enseñanza</t>
  </si>
  <si>
    <t>Nivel de la competencia comunicativa</t>
  </si>
  <si>
    <t>Diseño de metodología</t>
  </si>
  <si>
    <t>Desarrollo de competencias</t>
  </si>
  <si>
    <t>Bajo</t>
  </si>
  <si>
    <t>Medio</t>
  </si>
  <si>
    <t>Alto</t>
  </si>
  <si>
    <t>Dimensión 1 Variable 1</t>
  </si>
  <si>
    <t>Dimensión 1 Variable 2</t>
  </si>
  <si>
    <t>Dimensión 2 Variable 2</t>
  </si>
  <si>
    <t>Dimensión 3 Variable 2</t>
  </si>
  <si>
    <t>Dimensión 2 Variable 1</t>
  </si>
  <si>
    <t>Dimensión 3 Variable 1</t>
  </si>
  <si>
    <t>Pruebas de normalidad</t>
  </si>
  <si>
    <t>Kolmogorov-Smirnova</t>
  </si>
  <si>
    <t>Shapiro-Wilk</t>
  </si>
  <si>
    <t>Estadístico</t>
  </si>
  <si>
    <t>gl</t>
  </si>
  <si>
    <t>Sig.</t>
  </si>
  <si>
    <t>a. Corrección de significación de Lilliefors</t>
  </si>
  <si>
    <t>Correlaciones</t>
  </si>
  <si>
    <t>Correlación de Pearson</t>
  </si>
  <si>
    <t>Rho de Spearman</t>
  </si>
  <si>
    <t>Correlación de Rho de Spearman</t>
  </si>
  <si>
    <t>Sig. (bilateral)</t>
  </si>
  <si>
    <t>N</t>
  </si>
  <si>
    <t>**. La correlación es significativa en el nivel 0,01 (2 colas).</t>
  </si>
  <si>
    <t xml:space="preserve"> Dimensión </t>
  </si>
  <si>
    <t xml:space="preserve"> Prueba a utilizar  </t>
  </si>
  <si>
    <t xml:space="preserve"> decición </t>
  </si>
  <si>
    <t xml:space="preserve"> decición concreta  </t>
  </si>
  <si>
    <t>decición de prueba de relación</t>
  </si>
  <si>
    <t xml:space="preserve">Categorización </t>
  </si>
  <si>
    <t xml:space="preserve"> probabilidad de error </t>
  </si>
  <si>
    <t xml:space="preserve"> "r" </t>
  </si>
  <si>
    <t>"Rho"</t>
  </si>
  <si>
    <t>dimensiones</t>
  </si>
  <si>
    <t>Probabilidad de error</t>
  </si>
  <si>
    <t xml:space="preserve">Decición </t>
  </si>
  <si>
    <t>Variable 2</t>
  </si>
  <si>
    <t xml:space="preserve"> Variable </t>
  </si>
  <si>
    <t>Significado</t>
  </si>
  <si>
    <t>Correlación negativa perfecta</t>
  </si>
  <si>
    <t>Correlación negativa muy fuerte</t>
  </si>
  <si>
    <t>Correlación negativa considerable</t>
  </si>
  <si>
    <t>Correlación negativa media</t>
  </si>
  <si>
    <t>Correlación negativa débil</t>
  </si>
  <si>
    <t>Correlación negativa muy débil</t>
  </si>
  <si>
    <t>No existe correlación alguna entre las variables</t>
  </si>
  <si>
    <t>Correlación positiva muy débil</t>
  </si>
  <si>
    <t>Correlación positiva débil</t>
  </si>
  <si>
    <t>Correlación positiva media</t>
  </si>
  <si>
    <t>Correlación positiva considerable</t>
  </si>
  <si>
    <t>Correlación positiva muy fuerte</t>
  </si>
  <si>
    <t>Correlación positiva perfecta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</si>
</sst>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rgb="FF000000"/>
      <name val="Calibri"/>
    </font>
    <font>
      <b/>
      <sz val="10"/>
      <color rgb="FF030303"/>
      <name val="Verdana"/>
    </font>
    <font>
      <b/>
      <sz val="7"/>
      <color rgb="FF030303"/>
      <name val="Verdana"/>
    </font>
    <font>
      <b/>
      <sz val="6"/>
      <color rgb="FF030303"/>
      <name val="Verdana"/>
    </font>
    <font>
      <sz val="10"/>
      <color rgb="FF030303"/>
      <name val="Times New Roman"/>
    </font>
    <font>
      <sz val="10"/>
      <color rgb="FF030303"/>
      <name val="Times new Roman"/>
    </font>
    <font>
      <b/>
      <sz val="12"/>
      <color rgb="FF030303"/>
      <name val="Times New Roman"/>
    </font>
    <font>
      <sz val="10"/>
      <color rgb="FFFFFFFF"/>
      <name val="Times New Roman"/>
    </font>
    <font>
      <b/>
      <sz val="10"/>
      <color rgb="FF030303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rgb="FFE43B16"/>
        <bgColor rgb="FF000000"/>
      </patternFill>
    </fill>
    <fill>
      <patternFill patternType="solid">
        <fgColor rgb="FF2BAD56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8CC563"/>
        <bgColor rgb="FF000000"/>
      </patternFill>
    </fill>
    <fill>
      <patternFill patternType="solid">
        <fgColor rgb="FFBAE704"/>
        <bgColor rgb="FF000000"/>
      </patternFill>
    </fill>
    <fill>
      <patternFill patternType="solid">
        <fgColor rgb="FFB6377A"/>
        <bgColor rgb="FF000000"/>
      </patternFill>
    </fill>
    <fill>
      <patternFill patternType="solid">
        <fgColor rgb="FF084E5D"/>
        <bgColor rgb="FF000000"/>
      </patternFill>
    </fill>
    <fill>
      <patternFill patternType="solid">
        <fgColor rgb="FF2A6545"/>
        <bgColor rgb="FF000000"/>
      </patternFill>
    </fill>
    <fill>
      <patternFill patternType="solid">
        <fgColor rgb="FF4200DE"/>
        <bgColor rgb="FF000000"/>
      </patternFill>
    </fill>
    <fill>
      <patternFill patternType="solid">
        <fgColor rgb="FF1984C2"/>
        <bgColor rgb="FF000000"/>
      </patternFill>
    </fill>
    <fill>
      <patternFill patternType="solid">
        <fgColor rgb="FFA0120D"/>
        <bgColor rgb="FF000000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49" fontId="0" fillId="0" borderId="0" xfId="0" applyNumberFormat="1"/>
    <xf numFmtId="9" fontId="0" fillId="0" borderId="0" xfId="0" applyNumberFormat="1"/>
    <xf numFmtId="0" fontId="4" fillId="0" borderId="0" xfId="0" applyFont="1"/>
    <xf numFmtId="0" fontId="0" fillId="6" borderId="0" xfId="0" applyFill="1"/>
    <xf numFmtId="0" fontId="0" fillId="0" borderId="2" xfId="0" applyBorder="1"/>
    <xf numFmtId="0" fontId="0" fillId="0" borderId="3" xfId="0" applyBorder="1"/>
    <xf numFmtId="9" fontId="4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7" borderId="0" xfId="0" applyFill="1"/>
    <xf numFmtId="9" fontId="0" fillId="0" borderId="0" xfId="0" applyNumberFormat="1" applyAlignment="1">
      <alignment horizontal="center"/>
    </xf>
    <xf numFmtId="0" fontId="4" fillId="0" borderId="3" xfId="0" applyFont="1" applyBorder="1" applyAlignment="1">
      <alignment horizontal="left"/>
    </xf>
    <xf numFmtId="0" fontId="7" fillId="0" borderId="0" xfId="0" applyFont="1"/>
    <xf numFmtId="9" fontId="7" fillId="0" borderId="0" xfId="0" applyNumberFormat="1" applyFont="1"/>
    <xf numFmtId="0" fontId="0" fillId="0" borderId="0" xfId="0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2" fontId="0" fillId="0" borderId="0" xfId="0" applyNumberFormat="1"/>
    <xf numFmtId="0" fontId="1" fillId="2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49" fontId="0" fillId="0" borderId="0" xfId="0" applyNumberFormat="1"/>
    <xf numFmtId="0" fontId="1" fillId="4" borderId="1" xfId="0" applyFont="1" applyFill="1" applyBorder="1"/>
    <xf numFmtId="0" fontId="3" fillId="0" borderId="0" xfId="0" applyFont="1"/>
    <xf numFmtId="0" fontId="3" fillId="5" borderId="1" xfId="0" applyFont="1" applyFill="1" applyBorder="1"/>
    <xf numFmtId="0" fontId="0" fillId="5" borderId="1" xfId="0" applyFill="1" applyBorder="1"/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6" fillId="5" borderId="1" xfId="0" applyFont="1" applyFill="1" applyBorder="1" applyAlignment="1">
      <alignment horizontal="center"/>
    </xf>
    <xf numFmtId="0" fontId="6" fillId="0" borderId="0" xfId="0" applyFont="1"/>
    <xf numFmtId="0" fontId="0" fillId="0" borderId="0" xfId="0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/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s-PE"/>
          </a:p>
        </c:rich>
      </c:tx>
      <c:layout/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Valoracion (3) Dimension'!$B$1</c:f>
              <c:strCache>
                <c:ptCount val="1"/>
              </c:strCache>
            </c:strRef>
          </c:tx>
          <c:invertIfNegative val="0"/>
          <c:cat>
            <c:strRef>
              <c:f>'Por Valoracion (3) Dimension'!$O$19:$O$21</c:f>
              <c:strCache>
                <c:ptCount val="3"/>
                <c:pt idx="0">
                  <c:v>Inadecuado</c:v>
                </c:pt>
                <c:pt idx="1">
                  <c:v>Regular</c:v>
                </c:pt>
                <c:pt idx="2">
                  <c:v>Adecuado</c:v>
                </c:pt>
              </c:strCache>
            </c:strRef>
          </c:cat>
          <c:val>
            <c:numRef>
              <c:f>'Por Valoracion (3) Dimension'!$S$19:$S$21</c:f>
              <c:numCache>
                <c:formatCode>0%</c:formatCode>
                <c:ptCount val="3"/>
                <c:pt idx="0">
                  <c:v>0.85</c:v>
                </c:pt>
                <c:pt idx="1">
                  <c:v>0.15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F-4D1E-AA27-07FE633D7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s-PE"/>
          </a:p>
        </c:rich>
      </c:tx>
      <c:layout/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Valoracion (3) Dimension'!$B$1</c:f>
              <c:strCache>
                <c:ptCount val="1"/>
              </c:strCache>
            </c:strRef>
          </c:tx>
          <c:invertIfNegative val="0"/>
          <c:cat>
            <c:strRef>
              <c:f>'Por Valoracion (3) Dimension'!$AA$19:$AA$21</c:f>
              <c:strCache>
                <c:ptCount val="3"/>
                <c:pt idx="0">
                  <c:v>Inadecuado</c:v>
                </c:pt>
                <c:pt idx="1">
                  <c:v>Regular</c:v>
                </c:pt>
                <c:pt idx="2">
                  <c:v>Adecuado</c:v>
                </c:pt>
              </c:strCache>
            </c:strRef>
          </c:cat>
          <c:val>
            <c:numRef>
              <c:f>'Por Valoracion (3) Dimension'!$AE$19:$AE$21</c:f>
              <c:numCache>
                <c:formatCode>0%</c:formatCode>
                <c:ptCount val="3"/>
                <c:pt idx="0">
                  <c:v>0.7</c:v>
                </c:pt>
                <c:pt idx="1">
                  <c:v>0.15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7-4737-BACA-9C96CED08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s-PE"/>
          </a:p>
        </c:rich>
      </c:tx>
      <c:layout/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Valoracion (3) Dimension'!$B$1</c:f>
              <c:strCache>
                <c:ptCount val="1"/>
              </c:strCache>
            </c:strRef>
          </c:tx>
          <c:invertIfNegative val="0"/>
          <c:cat>
            <c:strRef>
              <c:f>'Por Valoracion (3) Dimension'!$AM$19:$AM$21</c:f>
              <c:strCache>
                <c:ptCount val="3"/>
                <c:pt idx="0">
                  <c:v>Inadecuado</c:v>
                </c:pt>
                <c:pt idx="1">
                  <c:v>Regular</c:v>
                </c:pt>
                <c:pt idx="2">
                  <c:v>Adecuado</c:v>
                </c:pt>
              </c:strCache>
            </c:strRef>
          </c:cat>
          <c:val>
            <c:numRef>
              <c:f>'Por Valoracion (3) Dimension'!$AQ$19:$AQ$21</c:f>
              <c:numCache>
                <c:formatCode>0%</c:formatCode>
                <c:ptCount val="3"/>
                <c:pt idx="0">
                  <c:v>0.7</c:v>
                </c:pt>
                <c:pt idx="1">
                  <c:v>0.2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F-4F52-A0F3-AD2A1089A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s-PE"/>
          </a:p>
        </c:rich>
      </c:tx>
      <c:layout/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Valoracion (3) Dimension'!$B$1</c:f>
              <c:strCache>
                <c:ptCount val="1"/>
              </c:strCache>
            </c:strRef>
          </c:tx>
          <c:invertIfNegative val="0"/>
          <c:cat>
            <c:strRef>
              <c:f>'Por Valoracion (3) Dimension'!$AY$19:$AY$21</c:f>
              <c:strCache>
                <c:ptCount val="3"/>
                <c:pt idx="0">
                  <c:v>Inadecuado</c:v>
                </c:pt>
                <c:pt idx="1">
                  <c:v>Regular</c:v>
                </c:pt>
                <c:pt idx="2">
                  <c:v>Adecuado</c:v>
                </c:pt>
              </c:strCache>
            </c:strRef>
          </c:cat>
          <c:val>
            <c:numRef>
              <c:f>'Por Valoracion (3) Dimension'!$BC$19:$BC$21</c:f>
              <c:numCache>
                <c:formatCode>0%</c:formatCode>
                <c:ptCount val="3"/>
                <c:pt idx="0">
                  <c:v>0.7</c:v>
                </c:pt>
                <c:pt idx="1">
                  <c:v>0.15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0-4B6F-8F03-81D903087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item'!$B$1</c:f>
              <c:strCache>
                <c:ptCount val="1"/>
              </c:strCache>
            </c:strRef>
          </c:tx>
          <c:invertIfNegative val="0"/>
          <c:cat>
            <c:strRef>
              <c:f>'Tabulacion por item'!$D$8:$D$12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item'!$F$8:$F$12</c:f>
              <c:numCache>
                <c:formatCode>0%</c:formatCode>
                <c:ptCount val="5"/>
                <c:pt idx="0">
                  <c:v>0.5</c:v>
                </c:pt>
                <c:pt idx="1">
                  <c:v>0.25</c:v>
                </c:pt>
                <c:pt idx="2">
                  <c:v>0.15</c:v>
                </c:pt>
                <c:pt idx="3">
                  <c:v>0.05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D-4973-B317-77F1BCCE8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item'!$B$1</c:f>
              <c:strCache>
                <c:ptCount val="1"/>
              </c:strCache>
            </c:strRef>
          </c:tx>
          <c:invertIfNegative val="0"/>
          <c:cat>
            <c:strRef>
              <c:f>'Tabulacion por item'!$M$8:$M$12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item'!$O$8:$O$12</c:f>
              <c:numCache>
                <c:formatCode>0%</c:formatCode>
                <c:ptCount val="5"/>
                <c:pt idx="0">
                  <c:v>0.35</c:v>
                </c:pt>
                <c:pt idx="1">
                  <c:v>0.5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B-4B1A-BBB5-D280B7ABF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item'!$B$1</c:f>
              <c:strCache>
                <c:ptCount val="1"/>
              </c:strCache>
            </c:strRef>
          </c:tx>
          <c:invertIfNegative val="0"/>
          <c:cat>
            <c:strRef>
              <c:f>'Tabulacion por item'!$V$8:$V$12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item'!$X$8:$X$12</c:f>
              <c:numCache>
                <c:formatCode>0%</c:formatCode>
                <c:ptCount val="5"/>
                <c:pt idx="0">
                  <c:v>0.35</c:v>
                </c:pt>
                <c:pt idx="1">
                  <c:v>0.45</c:v>
                </c:pt>
                <c:pt idx="2">
                  <c:v>0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E-40F6-9DE5-0AE34CAC6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item'!$B$1</c:f>
              <c:strCache>
                <c:ptCount val="1"/>
              </c:strCache>
            </c:strRef>
          </c:tx>
          <c:invertIfNegative val="0"/>
          <c:cat>
            <c:strRef>
              <c:f>'Tabulacion por item'!$AE$8:$AE$12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item'!$AG$8:$AG$12</c:f>
              <c:numCache>
                <c:formatCode>0%</c:formatCode>
                <c:ptCount val="5"/>
                <c:pt idx="0">
                  <c:v>0.3</c:v>
                </c:pt>
                <c:pt idx="1">
                  <c:v>0.4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4-4F4B-96A9-7F2EFE95C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item'!$B$1</c:f>
              <c:strCache>
                <c:ptCount val="1"/>
              </c:strCache>
            </c:strRef>
          </c:tx>
          <c:invertIfNegative val="0"/>
          <c:cat>
            <c:strRef>
              <c:f>'Tabulacion por item'!$AN$8:$AN$12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item'!$AP$8:$AP$12</c:f>
              <c:numCache>
                <c:formatCode>0%</c:formatCode>
                <c:ptCount val="5"/>
                <c:pt idx="0">
                  <c:v>0.35</c:v>
                </c:pt>
                <c:pt idx="1">
                  <c:v>0.4</c:v>
                </c:pt>
                <c:pt idx="2">
                  <c:v>0.1</c:v>
                </c:pt>
                <c:pt idx="3">
                  <c:v>0.1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1-484F-8253-749534531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item'!$B$1</c:f>
              <c:strCache>
                <c:ptCount val="1"/>
              </c:strCache>
            </c:strRef>
          </c:tx>
          <c:invertIfNegative val="0"/>
          <c:cat>
            <c:strRef>
              <c:f>'Tabulacion por item'!$AW$8:$AW$12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item'!$AY$8:$AY$12</c:f>
              <c:numCache>
                <c:formatCode>0%</c:formatCode>
                <c:ptCount val="5"/>
                <c:pt idx="0">
                  <c:v>0.4</c:v>
                </c:pt>
                <c:pt idx="1">
                  <c:v>0.3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E-4405-B9D0-4E8303EB8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item'!$B$1</c:f>
              <c:strCache>
                <c:ptCount val="1"/>
              </c:strCache>
            </c:strRef>
          </c:tx>
          <c:invertIfNegative val="0"/>
          <c:cat>
            <c:strRef>
              <c:f>'Tabulacion por item'!$BF$8:$BF$12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item'!$BH$8:$BH$12</c:f>
              <c:numCache>
                <c:formatCode>0%</c:formatCode>
                <c:ptCount val="5"/>
                <c:pt idx="0">
                  <c:v>0.25</c:v>
                </c:pt>
                <c:pt idx="1">
                  <c:v>0.4</c:v>
                </c:pt>
                <c:pt idx="2">
                  <c:v>0.35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F-4D5C-8EB5-266CC8866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item'!$B$1</c:f>
              <c:strCache>
                <c:ptCount val="1"/>
              </c:strCache>
            </c:strRef>
          </c:tx>
          <c:invertIfNegative val="0"/>
          <c:cat>
            <c:strRef>
              <c:f>'Tabulacion por item'!$BO$8:$BO$12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item'!$BQ$8:$BQ$12</c:f>
              <c:numCache>
                <c:formatCode>0%</c:formatCode>
                <c:ptCount val="5"/>
                <c:pt idx="0">
                  <c:v>0.35</c:v>
                </c:pt>
                <c:pt idx="1">
                  <c:v>0.4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4-465F-8CAC-62273FB5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item'!$B$1</c:f>
              <c:strCache>
                <c:ptCount val="1"/>
              </c:strCache>
            </c:strRef>
          </c:tx>
          <c:invertIfNegative val="0"/>
          <c:cat>
            <c:strRef>
              <c:f>'Tabulacion por item'!$BX$8:$BX$12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item'!$BZ$8:$BZ$12</c:f>
              <c:numCache>
                <c:formatCode>0%</c:formatCode>
                <c:ptCount val="5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0.05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2-4F0B-ACB9-27D46A0D3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item'!$B$1</c:f>
              <c:strCache>
                <c:ptCount val="1"/>
              </c:strCache>
            </c:strRef>
          </c:tx>
          <c:invertIfNegative val="0"/>
          <c:cat>
            <c:strRef>
              <c:f>'Tabulacion por item'!$CG$8:$CG$12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item'!$CI$8:$CI$12</c:f>
              <c:numCache>
                <c:formatCode>0%</c:formatCode>
                <c:ptCount val="5"/>
                <c:pt idx="0">
                  <c:v>0.4</c:v>
                </c:pt>
                <c:pt idx="1">
                  <c:v>0.3</c:v>
                </c:pt>
                <c:pt idx="2">
                  <c:v>0.1</c:v>
                </c:pt>
                <c:pt idx="3">
                  <c:v>0.15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F-4133-B0D0-CBF28CE8D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item'!$B$1</c:f>
              <c:strCache>
                <c:ptCount val="1"/>
              </c:strCache>
            </c:strRef>
          </c:tx>
          <c:invertIfNegative val="0"/>
          <c:cat>
            <c:strRef>
              <c:f>'Tabulacion por item'!$CP$8:$CP$12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item'!$CR$8:$CR$12</c:f>
              <c:numCache>
                <c:formatCode>0%</c:formatCode>
                <c:ptCount val="5"/>
                <c:pt idx="0">
                  <c:v>0.4</c:v>
                </c:pt>
                <c:pt idx="1">
                  <c:v>0.4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5-4DDE-A1C5-09970EA1F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item'!$B$1</c:f>
              <c:strCache>
                <c:ptCount val="1"/>
              </c:strCache>
            </c:strRef>
          </c:tx>
          <c:invertIfNegative val="0"/>
          <c:cat>
            <c:strRef>
              <c:f>'Tabulacion por item'!$CY$8:$CY$12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item'!$DA$8:$DA$12</c:f>
              <c:numCache>
                <c:formatCode>0%</c:formatCode>
                <c:ptCount val="5"/>
                <c:pt idx="0">
                  <c:v>0.45</c:v>
                </c:pt>
                <c:pt idx="1">
                  <c:v>0.25</c:v>
                </c:pt>
                <c:pt idx="2">
                  <c:v>0.05</c:v>
                </c:pt>
                <c:pt idx="3">
                  <c:v>0.15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F-4C1A-88A5-8FEB5AEAA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s-PE"/>
          </a:p>
        </c:rich>
      </c:tx>
      <c:layout/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conteo Dimension'!$B$1</c:f>
              <c:strCache>
                <c:ptCount val="1"/>
              </c:strCache>
            </c:strRef>
          </c:tx>
          <c:invertIfNegative val="0"/>
          <c:cat>
            <c:strRef>
              <c:f>'Por conteo Dimension'!$D$8:$D$12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'Por conteo Dimension'!$F$8:$F$12</c:f>
              <c:numCache>
                <c:formatCode>0%</c:formatCode>
                <c:ptCount val="5"/>
                <c:pt idx="0">
                  <c:v>0.375</c:v>
                </c:pt>
                <c:pt idx="1">
                  <c:v>0.4</c:v>
                </c:pt>
                <c:pt idx="2">
                  <c:v>0.15</c:v>
                </c:pt>
                <c:pt idx="3">
                  <c:v>3.7499999999999999E-2</c:v>
                </c:pt>
                <c:pt idx="4">
                  <c:v>3.7499999999999999E-2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2-4063-BB5D-2C79EEFD5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s-PE"/>
          </a:p>
        </c:rich>
      </c:tx>
      <c:layout/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conteo Dimension'!$B$1</c:f>
              <c:strCache>
                <c:ptCount val="1"/>
              </c:strCache>
            </c:strRef>
          </c:tx>
          <c:invertIfNegative val="0"/>
          <c:cat>
            <c:strRef>
              <c:f>'Por conteo Dimension'!$M$8:$M$12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'Por conteo Dimension'!$O$8:$O$12</c:f>
              <c:numCache>
                <c:formatCode>0%</c:formatCode>
                <c:ptCount val="5"/>
                <c:pt idx="0">
                  <c:v>0.33750000000000002</c:v>
                </c:pt>
                <c:pt idx="1">
                  <c:v>0.375</c:v>
                </c:pt>
                <c:pt idx="2">
                  <c:v>0.15</c:v>
                </c:pt>
                <c:pt idx="3">
                  <c:v>7.4999999999999997E-2</c:v>
                </c:pt>
                <c:pt idx="4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F-4B78-B3A9-F66362E58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conteo Dimension'!$B$1</c:f>
              <c:strCache>
                <c:ptCount val="1"/>
              </c:strCache>
            </c:strRef>
          </c:tx>
          <c:invertIfNegative val="0"/>
          <c:cat>
            <c:strRef>
              <c:f>'Por conteo Dimension'!$V$8:$V$12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'Por conteo Dimension'!$X$8:$X$12</c:f>
              <c:numCache>
                <c:formatCode>0%</c:formatCode>
                <c:ptCount val="5"/>
                <c:pt idx="0">
                  <c:v>0.42499999999999999</c:v>
                </c:pt>
                <c:pt idx="1">
                  <c:v>0.3</c:v>
                </c:pt>
                <c:pt idx="2">
                  <c:v>0.1125</c:v>
                </c:pt>
                <c:pt idx="3">
                  <c:v>0.1125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0-4C9A-B471-0689EAC1B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conteo Dimension'!$B$1</c:f>
              <c:strCache>
                <c:ptCount val="1"/>
              </c:strCache>
            </c:strRef>
          </c:tx>
          <c:invertIfNegative val="0"/>
          <c:cat>
            <c:strRef>
              <c:f>'Por conteo Dimension'!$AE$8:$AE$12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'Por conteo Dimension'!$AG$8:$AG$12</c:f>
              <c:numCache>
                <c:formatCode>0%</c:formatCode>
                <c:ptCount val="5"/>
                <c:pt idx="0">
                  <c:v>0.37916666666666665</c:v>
                </c:pt>
                <c:pt idx="1">
                  <c:v>0.35833333333333334</c:v>
                </c:pt>
                <c:pt idx="2">
                  <c:v>0.13750000000000001</c:v>
                </c:pt>
                <c:pt idx="3">
                  <c:v>7.4999999999999997E-2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4-4852-B7AA-9F3F2C2B0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Valoracion (3) Dimension 2'!$B$1</c:f>
              <c:strCache>
                <c:ptCount val="1"/>
              </c:strCache>
            </c:strRef>
          </c:tx>
          <c:invertIfNegative val="0"/>
          <c:cat>
            <c:strRef>
              <c:f>'Por Valoracion (3) Dimension 2'!$O$19:$O$21</c:f>
              <c:strCache>
                <c:ptCount val="3"/>
                <c:pt idx="0">
                  <c:v>Bajo</c:v>
                </c:pt>
                <c:pt idx="1">
                  <c:v>Medio</c:v>
                </c:pt>
                <c:pt idx="2">
                  <c:v>Alto</c:v>
                </c:pt>
              </c:strCache>
            </c:strRef>
          </c:cat>
          <c:val>
            <c:numRef>
              <c:f>'Por Valoracion (3) Dimension 2'!$S$19:$S$21</c:f>
              <c:numCache>
                <c:formatCode>0%</c:formatCode>
                <c:ptCount val="3"/>
                <c:pt idx="0">
                  <c:v>0.85</c:v>
                </c:pt>
                <c:pt idx="1">
                  <c:v>0.05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3-4AB5-BF14-ABE9B8884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Valoracion (3) Dimension 2'!$B$1</c:f>
              <c:strCache>
                <c:ptCount val="1"/>
              </c:strCache>
            </c:strRef>
          </c:tx>
          <c:invertIfNegative val="0"/>
          <c:cat>
            <c:strRef>
              <c:f>'Por Valoracion (3) Dimension 2'!$AA$19:$AA$21</c:f>
              <c:strCache>
                <c:ptCount val="3"/>
                <c:pt idx="0">
                  <c:v>Bajo</c:v>
                </c:pt>
                <c:pt idx="1">
                  <c:v>Medio</c:v>
                </c:pt>
                <c:pt idx="2">
                  <c:v>Alto</c:v>
                </c:pt>
              </c:strCache>
            </c:strRef>
          </c:cat>
          <c:val>
            <c:numRef>
              <c:f>'Por Valoracion (3) Dimension 2'!$AE$19:$AE$21</c:f>
              <c:numCache>
                <c:formatCode>0%</c:formatCode>
                <c:ptCount val="3"/>
                <c:pt idx="0">
                  <c:v>0.8</c:v>
                </c:pt>
                <c:pt idx="1">
                  <c:v>0.1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C-4066-A905-A48C28F0E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Valoracion (3) Dimension 2'!$B$1</c:f>
              <c:strCache>
                <c:ptCount val="1"/>
              </c:strCache>
            </c:strRef>
          </c:tx>
          <c:invertIfNegative val="0"/>
          <c:cat>
            <c:strRef>
              <c:f>'Por Valoracion (3) Dimension 2'!$AM$19:$AM$21</c:f>
              <c:strCache>
                <c:ptCount val="3"/>
                <c:pt idx="0">
                  <c:v>Bajo</c:v>
                </c:pt>
                <c:pt idx="1">
                  <c:v>Medio</c:v>
                </c:pt>
                <c:pt idx="2">
                  <c:v>Alto</c:v>
                </c:pt>
              </c:strCache>
            </c:strRef>
          </c:cat>
          <c:val>
            <c:numRef>
              <c:f>'Por Valoracion (3) Dimension 2'!$AQ$19:$AQ$21</c:f>
              <c:numCache>
                <c:formatCode>0%</c:formatCode>
                <c:ptCount val="3"/>
                <c:pt idx="0">
                  <c:v>0.8</c:v>
                </c:pt>
                <c:pt idx="1">
                  <c:v>0.15</c:v>
                </c:pt>
                <c:pt idx="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D-4573-9D4D-0B3EC67EB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s-PE"/>
          </a:p>
        </c:rich>
      </c:tx>
      <c:layout/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Valoracion (3) Dimension 2'!$B$1</c:f>
              <c:strCache>
                <c:ptCount val="1"/>
              </c:strCache>
            </c:strRef>
          </c:tx>
          <c:invertIfNegative val="0"/>
          <c:cat>
            <c:strRef>
              <c:f>'Por Valoracion (3) Dimension 2'!$AY$19:$AY$21</c:f>
              <c:strCache>
                <c:ptCount val="3"/>
                <c:pt idx="0">
                  <c:v>Bajo</c:v>
                </c:pt>
                <c:pt idx="1">
                  <c:v>Medio</c:v>
                </c:pt>
                <c:pt idx="2">
                  <c:v>Alto</c:v>
                </c:pt>
              </c:strCache>
            </c:strRef>
          </c:cat>
          <c:val>
            <c:numRef>
              <c:f>'Por Valoracion (3) Dimension 2'!$BC$19:$BC$21</c:f>
              <c:numCache>
                <c:formatCode>0%</c:formatCode>
                <c:ptCount val="3"/>
                <c:pt idx="0">
                  <c:v>0.8</c:v>
                </c:pt>
                <c:pt idx="1">
                  <c:v>0.05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B-45FF-B388-7A66262C8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s-PE"/>
          </a:p>
        </c:rich>
      </c:tx>
      <c:layout/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 2'!$B$1</c:f>
              <c:strCache>
                <c:ptCount val="1"/>
              </c:strCache>
            </c:strRef>
          </c:tx>
          <c:invertIfNegative val="0"/>
          <c:cat>
            <c:strRef>
              <c:f>'Tabulacion por item 2'!$D$8:$D$12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 2'!$F$8:$F$12</c:f>
              <c:numCache>
                <c:formatCode>0%</c:formatCode>
                <c:ptCount val="5"/>
                <c:pt idx="0">
                  <c:v>0.45</c:v>
                </c:pt>
                <c:pt idx="1">
                  <c:v>0.4</c:v>
                </c:pt>
                <c:pt idx="2">
                  <c:v>0.05</c:v>
                </c:pt>
                <c:pt idx="3">
                  <c:v>0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7-403E-ABFD-EA78DD1A5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s-PE"/>
          </a:p>
        </c:rich>
      </c:tx>
      <c:layout/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 2'!$B$1</c:f>
              <c:strCache>
                <c:ptCount val="1"/>
              </c:strCache>
            </c:strRef>
          </c:tx>
          <c:invertIfNegative val="0"/>
          <c:cat>
            <c:strRef>
              <c:f>'Tabulacion por item 2'!$M$8:$M$12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 2'!$O$8:$O$12</c:f>
              <c:numCache>
                <c:formatCode>0%</c:formatCode>
                <c:ptCount val="5"/>
                <c:pt idx="0">
                  <c:v>0.4</c:v>
                </c:pt>
                <c:pt idx="1">
                  <c:v>0.45</c:v>
                </c:pt>
                <c:pt idx="2">
                  <c:v>0.05</c:v>
                </c:pt>
                <c:pt idx="3">
                  <c:v>0.1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4-453B-A4FC-863F08BCD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 2'!$B$1</c:f>
              <c:strCache>
                <c:ptCount val="1"/>
              </c:strCache>
            </c:strRef>
          </c:tx>
          <c:invertIfNegative val="0"/>
          <c:cat>
            <c:strRef>
              <c:f>'Tabulacion por item 2'!$V$8:$V$12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 2'!$X$8:$X$12</c:f>
              <c:numCache>
                <c:formatCode>0%</c:formatCode>
                <c:ptCount val="5"/>
                <c:pt idx="0">
                  <c:v>0.45</c:v>
                </c:pt>
                <c:pt idx="1">
                  <c:v>0.35</c:v>
                </c:pt>
                <c:pt idx="2">
                  <c:v>0.05</c:v>
                </c:pt>
                <c:pt idx="3">
                  <c:v>0.05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8-4330-B017-8707959F8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 2'!$B$1</c:f>
              <c:strCache>
                <c:ptCount val="1"/>
              </c:strCache>
            </c:strRef>
          </c:tx>
          <c:invertIfNegative val="0"/>
          <c:cat>
            <c:strRef>
              <c:f>'Tabulacion por item 2'!$AE$8:$AE$12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 2'!$AG$8:$AG$12</c:f>
              <c:numCache>
                <c:formatCode>0%</c:formatCode>
                <c:ptCount val="5"/>
                <c:pt idx="0">
                  <c:v>0.5</c:v>
                </c:pt>
                <c:pt idx="1">
                  <c:v>0.3</c:v>
                </c:pt>
                <c:pt idx="2">
                  <c:v>0.1</c:v>
                </c:pt>
                <c:pt idx="3">
                  <c:v>0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4-4F42-B98B-5C620D7E1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 2'!$B$1</c:f>
              <c:strCache>
                <c:ptCount val="1"/>
              </c:strCache>
            </c:strRef>
          </c:tx>
          <c:invertIfNegative val="0"/>
          <c:cat>
            <c:strRef>
              <c:f>'Tabulacion por item 2'!$AN$8:$AN$12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 2'!$AP$8:$AP$12</c:f>
              <c:numCache>
                <c:formatCode>0%</c:formatCode>
                <c:ptCount val="5"/>
                <c:pt idx="0">
                  <c:v>0.45</c:v>
                </c:pt>
                <c:pt idx="1">
                  <c:v>0.35</c:v>
                </c:pt>
                <c:pt idx="2">
                  <c:v>0.05</c:v>
                </c:pt>
                <c:pt idx="3">
                  <c:v>0.05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4-49B9-A2D6-AFD49D3F0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 2'!$B$1</c:f>
              <c:strCache>
                <c:ptCount val="1"/>
              </c:strCache>
            </c:strRef>
          </c:tx>
          <c:invertIfNegative val="0"/>
          <c:cat>
            <c:strRef>
              <c:f>'Tabulacion por item 2'!$AW$8:$AW$12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 2'!$AY$8:$AY$12</c:f>
              <c:numCache>
                <c:formatCode>0%</c:formatCode>
                <c:ptCount val="5"/>
                <c:pt idx="0">
                  <c:v>0.5</c:v>
                </c:pt>
                <c:pt idx="1">
                  <c:v>0.3</c:v>
                </c:pt>
                <c:pt idx="2">
                  <c:v>0.1</c:v>
                </c:pt>
                <c:pt idx="3">
                  <c:v>0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7-4101-8A7E-450FF41D0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 2'!$B$1</c:f>
              <c:strCache>
                <c:ptCount val="1"/>
              </c:strCache>
            </c:strRef>
          </c:tx>
          <c:invertIfNegative val="0"/>
          <c:cat>
            <c:strRef>
              <c:f>'Tabulacion por item 2'!$BF$8:$BF$12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 2'!$BH$8:$BH$12</c:f>
              <c:numCache>
                <c:formatCode>0%</c:formatCode>
                <c:ptCount val="5"/>
                <c:pt idx="0">
                  <c:v>0.3</c:v>
                </c:pt>
                <c:pt idx="1">
                  <c:v>0.55000000000000004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7-44E4-BDBB-7BA326791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 2'!$B$1</c:f>
              <c:strCache>
                <c:ptCount val="1"/>
              </c:strCache>
            </c:strRef>
          </c:tx>
          <c:invertIfNegative val="0"/>
          <c:cat>
            <c:strRef>
              <c:f>'Tabulacion por item 2'!$BO$8:$BO$12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 2'!$BQ$8:$BQ$12</c:f>
              <c:numCache>
                <c:formatCode>0%</c:formatCode>
                <c:ptCount val="5"/>
                <c:pt idx="0">
                  <c:v>0.4</c:v>
                </c:pt>
                <c:pt idx="1">
                  <c:v>0.4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9-4686-85E4-72A0733A2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 2'!$B$1</c:f>
              <c:strCache>
                <c:ptCount val="1"/>
              </c:strCache>
            </c:strRef>
          </c:tx>
          <c:invertIfNegative val="0"/>
          <c:cat>
            <c:strRef>
              <c:f>'Tabulacion por item 2'!$BX$8:$BX$12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 2'!$BZ$8:$BZ$12</c:f>
              <c:numCache>
                <c:formatCode>0%</c:formatCode>
                <c:ptCount val="5"/>
                <c:pt idx="0">
                  <c:v>0.5</c:v>
                </c:pt>
                <c:pt idx="1">
                  <c:v>0.3</c:v>
                </c:pt>
                <c:pt idx="2">
                  <c:v>0.15</c:v>
                </c:pt>
                <c:pt idx="3">
                  <c:v>0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3-4C37-AB7D-24C3A5F33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 2'!$B$1</c:f>
              <c:strCache>
                <c:ptCount val="1"/>
              </c:strCache>
            </c:strRef>
          </c:tx>
          <c:invertIfNegative val="0"/>
          <c:cat>
            <c:strRef>
              <c:f>'Tabulacion por item 2'!$CG$8:$CG$12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 2'!$CI$8:$CI$12</c:f>
              <c:numCache>
                <c:formatCode>0%</c:formatCode>
                <c:ptCount val="5"/>
                <c:pt idx="0">
                  <c:v>0.35</c:v>
                </c:pt>
                <c:pt idx="1">
                  <c:v>0.45</c:v>
                </c:pt>
                <c:pt idx="2">
                  <c:v>0.15</c:v>
                </c:pt>
                <c:pt idx="3">
                  <c:v>0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4-4F28-A21F-4DF7F7337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 2'!$B$1</c:f>
              <c:strCache>
                <c:ptCount val="1"/>
              </c:strCache>
            </c:strRef>
          </c:tx>
          <c:invertIfNegative val="0"/>
          <c:cat>
            <c:strRef>
              <c:f>'Tabulacion por item 2'!$CP$8:$CP$12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 2'!$CR$8:$CR$12</c:f>
              <c:numCache>
                <c:formatCode>0%</c:formatCode>
                <c:ptCount val="5"/>
                <c:pt idx="0">
                  <c:v>0.35</c:v>
                </c:pt>
                <c:pt idx="1">
                  <c:v>0.45</c:v>
                </c:pt>
                <c:pt idx="2">
                  <c:v>0.15</c:v>
                </c:pt>
                <c:pt idx="3">
                  <c:v>0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E-4889-AB24-921032BFE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'Tabulacion por item 2'!$B$1</c:f>
              <c:strCache>
                <c:ptCount val="1"/>
              </c:strCache>
            </c:strRef>
          </c:tx>
          <c:invertIfNegative val="0"/>
          <c:cat>
            <c:strRef>
              <c:f>'Tabulacion por item 2'!$CY$8:$CY$12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'Tabulacion por item 2'!$DA$8:$DA$12</c:f>
              <c:numCache>
                <c:formatCode>0%</c:formatCode>
                <c:ptCount val="5"/>
                <c:pt idx="0">
                  <c:v>0.5</c:v>
                </c:pt>
                <c:pt idx="1">
                  <c:v>0.35</c:v>
                </c:pt>
                <c:pt idx="2">
                  <c:v>0</c:v>
                </c:pt>
                <c:pt idx="3">
                  <c:v>0.1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1-4001-9B5E-4C489B986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s-PE"/>
          </a:p>
        </c:rich>
      </c:tx>
      <c:layout/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conteo Dimension 2'!$B$1</c:f>
              <c:strCache>
                <c:ptCount val="1"/>
              </c:strCache>
            </c:strRef>
          </c:tx>
          <c:invertIfNegative val="0"/>
          <c:cat>
            <c:strRef>
              <c:f>'Por conteo Dimension 2'!$D$8:$D$12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'Por conteo Dimension 2'!$F$8:$F$12</c:f>
              <c:numCache>
                <c:formatCode>0%</c:formatCode>
                <c:ptCount val="5"/>
                <c:pt idx="0">
                  <c:v>0.45</c:v>
                </c:pt>
                <c:pt idx="1">
                  <c:v>0.375</c:v>
                </c:pt>
                <c:pt idx="2">
                  <c:v>6.25E-2</c:v>
                </c:pt>
                <c:pt idx="3">
                  <c:v>3.7499999999999999E-2</c:v>
                </c:pt>
                <c:pt idx="4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1-4B7D-8F2F-80174F6A0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s-PE"/>
          </a:p>
        </c:rich>
      </c:tx>
      <c:layout/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conteo Dimension 2'!$B$1</c:f>
              <c:strCache>
                <c:ptCount val="1"/>
              </c:strCache>
            </c:strRef>
          </c:tx>
          <c:invertIfNegative val="0"/>
          <c:cat>
            <c:strRef>
              <c:f>'Por conteo Dimension 2'!$M$8:$M$12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'Por conteo Dimension 2'!$O$8:$O$12</c:f>
              <c:numCache>
                <c:formatCode>0%</c:formatCode>
                <c:ptCount val="5"/>
                <c:pt idx="0">
                  <c:v>0.41249999999999998</c:v>
                </c:pt>
                <c:pt idx="1">
                  <c:v>0.4</c:v>
                </c:pt>
                <c:pt idx="2">
                  <c:v>7.4999999999999997E-2</c:v>
                </c:pt>
                <c:pt idx="3">
                  <c:v>0.05</c:v>
                </c:pt>
                <c:pt idx="4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8-4DD5-8C50-A0DF37D39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 lang="es-PE"/>
              </a:p>
            </c:rich>
          </c:tx>
          <c:layout/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conteo Dimension 2'!$B$1</c:f>
              <c:strCache>
                <c:ptCount val="1"/>
              </c:strCache>
            </c:strRef>
          </c:tx>
          <c:invertIfNegative val="0"/>
          <c:cat>
            <c:strRef>
              <c:f>'Por conteo Dimension 2'!$V$8:$V$12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'Por conteo Dimension 2'!$X$8:$X$12</c:f>
              <c:numCache>
                <c:formatCode>0%</c:formatCode>
                <c:ptCount val="5"/>
                <c:pt idx="0">
                  <c:v>0.42499999999999999</c:v>
                </c:pt>
                <c:pt idx="1">
                  <c:v>0.38750000000000001</c:v>
                </c:pt>
                <c:pt idx="2">
                  <c:v>0.1125</c:v>
                </c:pt>
                <c:pt idx="3">
                  <c:v>2.5000000000000001E-2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F-4FB6-A8E3-17619F3DB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'Por conteo Dimension 2'!$B$1</c:f>
              <c:strCache>
                <c:ptCount val="1"/>
              </c:strCache>
            </c:strRef>
          </c:tx>
          <c:invertIfNegative val="0"/>
          <c:cat>
            <c:strRef>
              <c:f>'Por conteo Dimension 2'!$AE$8:$AE$12</c:f>
              <c:strCache>
                <c:ptCount val="5"/>
                <c:pt idx="0">
                  <c:v>Nunca</c:v>
                </c:pt>
                <c:pt idx="1">
                  <c:v>Casi Nunca</c:v>
                </c:pt>
                <c:pt idx="2">
                  <c:v>A veces</c:v>
                </c:pt>
                <c:pt idx="3">
                  <c:v>Casi siempre</c:v>
                </c:pt>
                <c:pt idx="4">
                  <c:v>Siempre</c:v>
                </c:pt>
              </c:strCache>
            </c:strRef>
          </c:cat>
          <c:val>
            <c:numRef>
              <c:f>'Por conteo Dimension 2'!$AG$8:$AG$12</c:f>
              <c:numCache>
                <c:formatCode>0%</c:formatCode>
                <c:ptCount val="5"/>
                <c:pt idx="0">
                  <c:v>0.42916666666666664</c:v>
                </c:pt>
                <c:pt idx="1">
                  <c:v>0.38750000000000001</c:v>
                </c:pt>
                <c:pt idx="2">
                  <c:v>8.3333333333333329E-2</c:v>
                </c:pt>
                <c:pt idx="3">
                  <c:v>3.7499999999999999E-2</c:v>
                </c:pt>
                <c:pt idx="4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8-46C2-9952-EA2492D7D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5091328"/>
        <c:axId val="75089408"/>
        <c:axId val="0"/>
      </c:bar3DChart>
      <c:catAx>
        <c:axId val="7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  <c:noMultiLvlLbl val="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title>
          <c:tx>
            <c:rich>
              <a:bodyPr/>
              <a:lstStyle/>
              <a:p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s-P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25</xdr:row>
      <xdr:rowOff>0</xdr:rowOff>
    </xdr:from>
    <xdr:to>
      <xdr:col>19</xdr:col>
      <xdr:colOff>95250</xdr:colOff>
      <xdr:row>41</xdr:row>
      <xdr:rowOff>95250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25</xdr:row>
      <xdr:rowOff>0</xdr:rowOff>
    </xdr:from>
    <xdr:to>
      <xdr:col>31</xdr:col>
      <xdr:colOff>95250</xdr:colOff>
      <xdr:row>41</xdr:row>
      <xdr:rowOff>95250</xdr:rowOff>
    </xdr:to>
    <xdr:graphicFrame macro="">
      <xdr:nvGraphicFramePr>
        <xdr:cNvPr id="20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0</xdr:colOff>
      <xdr:row>25</xdr:row>
      <xdr:rowOff>0</xdr:rowOff>
    </xdr:from>
    <xdr:to>
      <xdr:col>43</xdr:col>
      <xdr:colOff>95250</xdr:colOff>
      <xdr:row>41</xdr:row>
      <xdr:rowOff>95250</xdr:rowOff>
    </xdr:to>
    <xdr:graphicFrame macro="">
      <xdr:nvGraphicFramePr>
        <xdr:cNvPr id="307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0</xdr:colOff>
      <xdr:row>25</xdr:row>
      <xdr:rowOff>0</xdr:rowOff>
    </xdr:from>
    <xdr:to>
      <xdr:col>55</xdr:col>
      <xdr:colOff>95250</xdr:colOff>
      <xdr:row>41</xdr:row>
      <xdr:rowOff>95250</xdr:rowOff>
    </xdr:to>
    <xdr:graphicFrame macro="">
      <xdr:nvGraphicFramePr>
        <xdr:cNvPr id="410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0</xdr:rowOff>
    </xdr:from>
    <xdr:to>
      <xdr:col>6</xdr:col>
      <xdr:colOff>95250</xdr:colOff>
      <xdr:row>31</xdr:row>
      <xdr:rowOff>95250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15</xdr:col>
      <xdr:colOff>95250</xdr:colOff>
      <xdr:row>31</xdr:row>
      <xdr:rowOff>95250</xdr:rowOff>
    </xdr:to>
    <xdr:graphicFrame macro="">
      <xdr:nvGraphicFramePr>
        <xdr:cNvPr id="20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17</xdr:row>
      <xdr:rowOff>0</xdr:rowOff>
    </xdr:from>
    <xdr:to>
      <xdr:col>24</xdr:col>
      <xdr:colOff>95250</xdr:colOff>
      <xdr:row>31</xdr:row>
      <xdr:rowOff>95250</xdr:rowOff>
    </xdr:to>
    <xdr:graphicFrame macro="">
      <xdr:nvGraphicFramePr>
        <xdr:cNvPr id="307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17</xdr:row>
      <xdr:rowOff>0</xdr:rowOff>
    </xdr:from>
    <xdr:to>
      <xdr:col>33</xdr:col>
      <xdr:colOff>95250</xdr:colOff>
      <xdr:row>31</xdr:row>
      <xdr:rowOff>95250</xdr:rowOff>
    </xdr:to>
    <xdr:graphicFrame macro="">
      <xdr:nvGraphicFramePr>
        <xdr:cNvPr id="410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0</xdr:colOff>
      <xdr:row>17</xdr:row>
      <xdr:rowOff>0</xdr:rowOff>
    </xdr:from>
    <xdr:to>
      <xdr:col>42</xdr:col>
      <xdr:colOff>95250</xdr:colOff>
      <xdr:row>31</xdr:row>
      <xdr:rowOff>95250</xdr:rowOff>
    </xdr:to>
    <xdr:graphicFrame macro="">
      <xdr:nvGraphicFramePr>
        <xdr:cNvPr id="512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48</xdr:col>
      <xdr:colOff>0</xdr:colOff>
      <xdr:row>17</xdr:row>
      <xdr:rowOff>0</xdr:rowOff>
    </xdr:from>
    <xdr:to>
      <xdr:col>51</xdr:col>
      <xdr:colOff>95250</xdr:colOff>
      <xdr:row>31</xdr:row>
      <xdr:rowOff>95250</xdr:rowOff>
    </xdr:to>
    <xdr:graphicFrame macro="">
      <xdr:nvGraphicFramePr>
        <xdr:cNvPr id="6150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57</xdr:col>
      <xdr:colOff>0</xdr:colOff>
      <xdr:row>17</xdr:row>
      <xdr:rowOff>0</xdr:rowOff>
    </xdr:from>
    <xdr:to>
      <xdr:col>60</xdr:col>
      <xdr:colOff>95250</xdr:colOff>
      <xdr:row>31</xdr:row>
      <xdr:rowOff>95250</xdr:rowOff>
    </xdr:to>
    <xdr:graphicFrame macro="">
      <xdr:nvGraphicFramePr>
        <xdr:cNvPr id="7175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66</xdr:col>
      <xdr:colOff>0</xdr:colOff>
      <xdr:row>17</xdr:row>
      <xdr:rowOff>0</xdr:rowOff>
    </xdr:from>
    <xdr:to>
      <xdr:col>69</xdr:col>
      <xdr:colOff>95250</xdr:colOff>
      <xdr:row>31</xdr:row>
      <xdr:rowOff>95250</xdr:rowOff>
    </xdr:to>
    <xdr:graphicFrame macro="">
      <xdr:nvGraphicFramePr>
        <xdr:cNvPr id="82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75</xdr:col>
      <xdr:colOff>0</xdr:colOff>
      <xdr:row>17</xdr:row>
      <xdr:rowOff>0</xdr:rowOff>
    </xdr:from>
    <xdr:to>
      <xdr:col>78</xdr:col>
      <xdr:colOff>95250</xdr:colOff>
      <xdr:row>31</xdr:row>
      <xdr:rowOff>95250</xdr:rowOff>
    </xdr:to>
    <xdr:graphicFrame macro="">
      <xdr:nvGraphicFramePr>
        <xdr:cNvPr id="9225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84</xdr:col>
      <xdr:colOff>0</xdr:colOff>
      <xdr:row>17</xdr:row>
      <xdr:rowOff>0</xdr:rowOff>
    </xdr:from>
    <xdr:to>
      <xdr:col>87</xdr:col>
      <xdr:colOff>95250</xdr:colOff>
      <xdr:row>31</xdr:row>
      <xdr:rowOff>95250</xdr:rowOff>
    </xdr:to>
    <xdr:graphicFrame macro="">
      <xdr:nvGraphicFramePr>
        <xdr:cNvPr id="10250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93</xdr:col>
      <xdr:colOff>0</xdr:colOff>
      <xdr:row>17</xdr:row>
      <xdr:rowOff>0</xdr:rowOff>
    </xdr:from>
    <xdr:to>
      <xdr:col>96</xdr:col>
      <xdr:colOff>95250</xdr:colOff>
      <xdr:row>31</xdr:row>
      <xdr:rowOff>95250</xdr:rowOff>
    </xdr:to>
    <xdr:graphicFrame macro="">
      <xdr:nvGraphicFramePr>
        <xdr:cNvPr id="11275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102</xdr:col>
      <xdr:colOff>0</xdr:colOff>
      <xdr:row>17</xdr:row>
      <xdr:rowOff>0</xdr:rowOff>
    </xdr:from>
    <xdr:to>
      <xdr:col>105</xdr:col>
      <xdr:colOff>95250</xdr:colOff>
      <xdr:row>31</xdr:row>
      <xdr:rowOff>95250</xdr:rowOff>
    </xdr:to>
    <xdr:graphicFrame macro="">
      <xdr:nvGraphicFramePr>
        <xdr:cNvPr id="12300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0</xdr:rowOff>
    </xdr:from>
    <xdr:to>
      <xdr:col>6</xdr:col>
      <xdr:colOff>95250</xdr:colOff>
      <xdr:row>31</xdr:row>
      <xdr:rowOff>95250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15</xdr:col>
      <xdr:colOff>95250</xdr:colOff>
      <xdr:row>31</xdr:row>
      <xdr:rowOff>95250</xdr:rowOff>
    </xdr:to>
    <xdr:graphicFrame macro="">
      <xdr:nvGraphicFramePr>
        <xdr:cNvPr id="20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17</xdr:row>
      <xdr:rowOff>0</xdr:rowOff>
    </xdr:from>
    <xdr:to>
      <xdr:col>24</xdr:col>
      <xdr:colOff>95250</xdr:colOff>
      <xdr:row>31</xdr:row>
      <xdr:rowOff>95250</xdr:rowOff>
    </xdr:to>
    <xdr:graphicFrame macro="">
      <xdr:nvGraphicFramePr>
        <xdr:cNvPr id="307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17</xdr:row>
      <xdr:rowOff>0</xdr:rowOff>
    </xdr:from>
    <xdr:to>
      <xdr:col>33</xdr:col>
      <xdr:colOff>95250</xdr:colOff>
      <xdr:row>31</xdr:row>
      <xdr:rowOff>95250</xdr:rowOff>
    </xdr:to>
    <xdr:graphicFrame macro="">
      <xdr:nvGraphicFramePr>
        <xdr:cNvPr id="410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25</xdr:row>
      <xdr:rowOff>0</xdr:rowOff>
    </xdr:from>
    <xdr:to>
      <xdr:col>19</xdr:col>
      <xdr:colOff>95250</xdr:colOff>
      <xdr:row>41</xdr:row>
      <xdr:rowOff>95250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25</xdr:row>
      <xdr:rowOff>0</xdr:rowOff>
    </xdr:from>
    <xdr:to>
      <xdr:col>31</xdr:col>
      <xdr:colOff>95250</xdr:colOff>
      <xdr:row>41</xdr:row>
      <xdr:rowOff>95250</xdr:rowOff>
    </xdr:to>
    <xdr:graphicFrame macro="">
      <xdr:nvGraphicFramePr>
        <xdr:cNvPr id="20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0</xdr:colOff>
      <xdr:row>25</xdr:row>
      <xdr:rowOff>0</xdr:rowOff>
    </xdr:from>
    <xdr:to>
      <xdr:col>43</xdr:col>
      <xdr:colOff>95250</xdr:colOff>
      <xdr:row>41</xdr:row>
      <xdr:rowOff>95250</xdr:rowOff>
    </xdr:to>
    <xdr:graphicFrame macro="">
      <xdr:nvGraphicFramePr>
        <xdr:cNvPr id="307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0</xdr:colOff>
      <xdr:row>25</xdr:row>
      <xdr:rowOff>0</xdr:rowOff>
    </xdr:from>
    <xdr:to>
      <xdr:col>55</xdr:col>
      <xdr:colOff>95250</xdr:colOff>
      <xdr:row>41</xdr:row>
      <xdr:rowOff>95250</xdr:rowOff>
    </xdr:to>
    <xdr:graphicFrame macro="">
      <xdr:nvGraphicFramePr>
        <xdr:cNvPr id="410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0</xdr:rowOff>
    </xdr:from>
    <xdr:to>
      <xdr:col>6</xdr:col>
      <xdr:colOff>95250</xdr:colOff>
      <xdr:row>31</xdr:row>
      <xdr:rowOff>95250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15</xdr:col>
      <xdr:colOff>95250</xdr:colOff>
      <xdr:row>31</xdr:row>
      <xdr:rowOff>95250</xdr:rowOff>
    </xdr:to>
    <xdr:graphicFrame macro="">
      <xdr:nvGraphicFramePr>
        <xdr:cNvPr id="20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17</xdr:row>
      <xdr:rowOff>0</xdr:rowOff>
    </xdr:from>
    <xdr:to>
      <xdr:col>24</xdr:col>
      <xdr:colOff>95250</xdr:colOff>
      <xdr:row>31</xdr:row>
      <xdr:rowOff>95250</xdr:rowOff>
    </xdr:to>
    <xdr:graphicFrame macro="">
      <xdr:nvGraphicFramePr>
        <xdr:cNvPr id="307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17</xdr:row>
      <xdr:rowOff>0</xdr:rowOff>
    </xdr:from>
    <xdr:to>
      <xdr:col>33</xdr:col>
      <xdr:colOff>95250</xdr:colOff>
      <xdr:row>31</xdr:row>
      <xdr:rowOff>95250</xdr:rowOff>
    </xdr:to>
    <xdr:graphicFrame macro="">
      <xdr:nvGraphicFramePr>
        <xdr:cNvPr id="410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0</xdr:colOff>
      <xdr:row>17</xdr:row>
      <xdr:rowOff>0</xdr:rowOff>
    </xdr:from>
    <xdr:to>
      <xdr:col>42</xdr:col>
      <xdr:colOff>95250</xdr:colOff>
      <xdr:row>31</xdr:row>
      <xdr:rowOff>95250</xdr:rowOff>
    </xdr:to>
    <xdr:graphicFrame macro="">
      <xdr:nvGraphicFramePr>
        <xdr:cNvPr id="5125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48</xdr:col>
      <xdr:colOff>0</xdr:colOff>
      <xdr:row>17</xdr:row>
      <xdr:rowOff>0</xdr:rowOff>
    </xdr:from>
    <xdr:to>
      <xdr:col>51</xdr:col>
      <xdr:colOff>95250</xdr:colOff>
      <xdr:row>31</xdr:row>
      <xdr:rowOff>95250</xdr:rowOff>
    </xdr:to>
    <xdr:graphicFrame macro="">
      <xdr:nvGraphicFramePr>
        <xdr:cNvPr id="6150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57</xdr:col>
      <xdr:colOff>0</xdr:colOff>
      <xdr:row>17</xdr:row>
      <xdr:rowOff>0</xdr:rowOff>
    </xdr:from>
    <xdr:to>
      <xdr:col>60</xdr:col>
      <xdr:colOff>95250</xdr:colOff>
      <xdr:row>31</xdr:row>
      <xdr:rowOff>95250</xdr:rowOff>
    </xdr:to>
    <xdr:graphicFrame macro="">
      <xdr:nvGraphicFramePr>
        <xdr:cNvPr id="7175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66</xdr:col>
      <xdr:colOff>0</xdr:colOff>
      <xdr:row>17</xdr:row>
      <xdr:rowOff>0</xdr:rowOff>
    </xdr:from>
    <xdr:to>
      <xdr:col>69</xdr:col>
      <xdr:colOff>95250</xdr:colOff>
      <xdr:row>31</xdr:row>
      <xdr:rowOff>95250</xdr:rowOff>
    </xdr:to>
    <xdr:graphicFrame macro="">
      <xdr:nvGraphicFramePr>
        <xdr:cNvPr id="82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75</xdr:col>
      <xdr:colOff>0</xdr:colOff>
      <xdr:row>17</xdr:row>
      <xdr:rowOff>0</xdr:rowOff>
    </xdr:from>
    <xdr:to>
      <xdr:col>78</xdr:col>
      <xdr:colOff>95250</xdr:colOff>
      <xdr:row>31</xdr:row>
      <xdr:rowOff>95250</xdr:rowOff>
    </xdr:to>
    <xdr:graphicFrame macro="">
      <xdr:nvGraphicFramePr>
        <xdr:cNvPr id="9225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84</xdr:col>
      <xdr:colOff>0</xdr:colOff>
      <xdr:row>17</xdr:row>
      <xdr:rowOff>0</xdr:rowOff>
    </xdr:from>
    <xdr:to>
      <xdr:col>87</xdr:col>
      <xdr:colOff>95250</xdr:colOff>
      <xdr:row>31</xdr:row>
      <xdr:rowOff>95250</xdr:rowOff>
    </xdr:to>
    <xdr:graphicFrame macro="">
      <xdr:nvGraphicFramePr>
        <xdr:cNvPr id="10250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93</xdr:col>
      <xdr:colOff>0</xdr:colOff>
      <xdr:row>17</xdr:row>
      <xdr:rowOff>0</xdr:rowOff>
    </xdr:from>
    <xdr:to>
      <xdr:col>96</xdr:col>
      <xdr:colOff>95250</xdr:colOff>
      <xdr:row>31</xdr:row>
      <xdr:rowOff>95250</xdr:rowOff>
    </xdr:to>
    <xdr:graphicFrame macro="">
      <xdr:nvGraphicFramePr>
        <xdr:cNvPr id="11275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102</xdr:col>
      <xdr:colOff>0</xdr:colOff>
      <xdr:row>17</xdr:row>
      <xdr:rowOff>0</xdr:rowOff>
    </xdr:from>
    <xdr:to>
      <xdr:col>105</xdr:col>
      <xdr:colOff>95250</xdr:colOff>
      <xdr:row>31</xdr:row>
      <xdr:rowOff>95250</xdr:rowOff>
    </xdr:to>
    <xdr:graphicFrame macro="">
      <xdr:nvGraphicFramePr>
        <xdr:cNvPr id="12300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0</xdr:rowOff>
    </xdr:from>
    <xdr:to>
      <xdr:col>6</xdr:col>
      <xdr:colOff>95250</xdr:colOff>
      <xdr:row>31</xdr:row>
      <xdr:rowOff>95250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15</xdr:col>
      <xdr:colOff>95250</xdr:colOff>
      <xdr:row>31</xdr:row>
      <xdr:rowOff>95250</xdr:rowOff>
    </xdr:to>
    <xdr:graphicFrame macro="">
      <xdr:nvGraphicFramePr>
        <xdr:cNvPr id="20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17</xdr:row>
      <xdr:rowOff>0</xdr:rowOff>
    </xdr:from>
    <xdr:to>
      <xdr:col>24</xdr:col>
      <xdr:colOff>95250</xdr:colOff>
      <xdr:row>31</xdr:row>
      <xdr:rowOff>95250</xdr:rowOff>
    </xdr:to>
    <xdr:graphicFrame macro="">
      <xdr:nvGraphicFramePr>
        <xdr:cNvPr id="307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17</xdr:row>
      <xdr:rowOff>0</xdr:rowOff>
    </xdr:from>
    <xdr:to>
      <xdr:col>33</xdr:col>
      <xdr:colOff>95250</xdr:colOff>
      <xdr:row>31</xdr:row>
      <xdr:rowOff>95250</xdr:rowOff>
    </xdr:to>
    <xdr:graphicFrame macro="">
      <xdr:nvGraphicFramePr>
        <xdr:cNvPr id="410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1"/>
  <sheetViews>
    <sheetView tabSelected="1" workbookViewId="0">
      <selection activeCell="Q9" sqref="Q9"/>
    </sheetView>
  </sheetViews>
  <sheetFormatPr baseColWidth="10" defaultColWidth="9.140625" defaultRowHeight="15" x14ac:dyDescent="0.25"/>
  <sheetData>
    <row r="1" spans="1:15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x14ac:dyDescent="0.25">
      <c r="B3" s="41" t="s">
        <v>1</v>
      </c>
      <c r="C3" s="41"/>
      <c r="D3" s="41"/>
      <c r="E3" s="41"/>
      <c r="F3" s="41" t="s">
        <v>2</v>
      </c>
      <c r="G3" s="41"/>
      <c r="H3" s="41"/>
      <c r="I3" s="41"/>
      <c r="J3" s="41" t="s">
        <v>3</v>
      </c>
      <c r="K3" s="41"/>
      <c r="L3" s="41"/>
      <c r="M3" s="41"/>
      <c r="N3" s="41" t="s">
        <v>4</v>
      </c>
      <c r="O3" s="41" t="s">
        <v>5</v>
      </c>
    </row>
    <row r="4" spans="1:15" x14ac:dyDescent="0.25">
      <c r="B4" s="42" t="s">
        <v>6</v>
      </c>
      <c r="C4" s="42" t="s">
        <v>7</v>
      </c>
      <c r="D4" s="42" t="s">
        <v>8</v>
      </c>
      <c r="E4" s="42" t="s">
        <v>9</v>
      </c>
      <c r="F4" s="42" t="s">
        <v>10</v>
      </c>
      <c r="G4" s="42" t="s">
        <v>11</v>
      </c>
      <c r="H4" s="42" t="s">
        <v>12</v>
      </c>
      <c r="I4" s="42" t="s">
        <v>13</v>
      </c>
      <c r="J4" s="42" t="s">
        <v>14</v>
      </c>
      <c r="K4" s="42" t="s">
        <v>15</v>
      </c>
      <c r="L4" s="42" t="s">
        <v>16</v>
      </c>
      <c r="M4" s="42" t="s">
        <v>17</v>
      </c>
    </row>
    <row r="5" spans="1:15" x14ac:dyDescent="0.25">
      <c r="A5" s="43" t="s">
        <v>18</v>
      </c>
      <c r="B5" s="43">
        <v>3</v>
      </c>
      <c r="C5" s="43">
        <v>1</v>
      </c>
      <c r="D5" s="43">
        <v>4</v>
      </c>
      <c r="E5" s="43">
        <v>1</v>
      </c>
      <c r="F5" s="43">
        <v>4</v>
      </c>
      <c r="G5" s="43">
        <v>4</v>
      </c>
      <c r="H5" s="43">
        <v>3</v>
      </c>
      <c r="I5" s="43">
        <v>4</v>
      </c>
      <c r="J5" s="43">
        <v>3</v>
      </c>
      <c r="K5" s="43">
        <v>4</v>
      </c>
      <c r="L5" s="43">
        <v>2</v>
      </c>
      <c r="M5" s="43">
        <v>4</v>
      </c>
      <c r="N5" s="43">
        <v>37</v>
      </c>
    </row>
    <row r="6" spans="1:15" x14ac:dyDescent="0.25">
      <c r="A6" s="43" t="s">
        <v>19</v>
      </c>
      <c r="B6" s="43">
        <v>2</v>
      </c>
      <c r="C6" s="43">
        <v>2</v>
      </c>
      <c r="D6" s="43">
        <v>2</v>
      </c>
      <c r="E6" s="43">
        <v>2</v>
      </c>
      <c r="F6" s="43">
        <v>2</v>
      </c>
      <c r="G6" s="43">
        <v>3</v>
      </c>
      <c r="H6" s="43">
        <v>3</v>
      </c>
      <c r="I6" s="43">
        <v>3</v>
      </c>
      <c r="J6" s="43">
        <v>3</v>
      </c>
      <c r="K6" s="43">
        <v>3</v>
      </c>
      <c r="L6" s="43">
        <v>3</v>
      </c>
      <c r="M6" s="43">
        <v>4</v>
      </c>
      <c r="N6" s="43">
        <v>32</v>
      </c>
    </row>
    <row r="7" spans="1:15" x14ac:dyDescent="0.25">
      <c r="A7" s="43" t="s">
        <v>20</v>
      </c>
      <c r="B7" s="43">
        <v>3</v>
      </c>
      <c r="C7" s="43">
        <v>2</v>
      </c>
      <c r="D7" s="43">
        <v>2</v>
      </c>
      <c r="E7" s="43">
        <v>1</v>
      </c>
      <c r="F7" s="43">
        <v>3</v>
      </c>
      <c r="G7" s="43">
        <v>3</v>
      </c>
      <c r="H7" s="43">
        <v>3</v>
      </c>
      <c r="I7" s="43">
        <v>2</v>
      </c>
      <c r="J7" s="43">
        <v>2</v>
      </c>
      <c r="K7" s="43">
        <v>3</v>
      </c>
      <c r="L7" s="43">
        <v>2</v>
      </c>
      <c r="M7" s="43">
        <v>3</v>
      </c>
      <c r="N7" s="43">
        <v>29</v>
      </c>
    </row>
    <row r="8" spans="1:15" x14ac:dyDescent="0.25">
      <c r="A8" s="43" t="s">
        <v>21</v>
      </c>
      <c r="B8" s="43">
        <v>1</v>
      </c>
      <c r="C8" s="43">
        <v>1</v>
      </c>
      <c r="D8" s="43">
        <v>1</v>
      </c>
      <c r="E8" s="43">
        <v>2</v>
      </c>
      <c r="F8" s="43">
        <v>1</v>
      </c>
      <c r="G8" s="43">
        <v>1</v>
      </c>
      <c r="H8" s="43">
        <v>2</v>
      </c>
      <c r="I8" s="43">
        <v>1</v>
      </c>
      <c r="J8" s="43">
        <v>1</v>
      </c>
      <c r="K8" s="43">
        <v>1</v>
      </c>
      <c r="L8" s="43">
        <v>1</v>
      </c>
      <c r="M8" s="43">
        <v>1</v>
      </c>
      <c r="N8" s="43">
        <v>14</v>
      </c>
    </row>
    <row r="9" spans="1:15" x14ac:dyDescent="0.25">
      <c r="A9" s="43" t="s">
        <v>22</v>
      </c>
      <c r="B9" s="43">
        <v>1</v>
      </c>
      <c r="C9" s="43">
        <v>1</v>
      </c>
      <c r="D9" s="43">
        <v>1</v>
      </c>
      <c r="E9" s="43">
        <v>2</v>
      </c>
      <c r="F9" s="43">
        <v>1</v>
      </c>
      <c r="G9" s="43">
        <v>1</v>
      </c>
      <c r="H9" s="43">
        <v>2</v>
      </c>
      <c r="I9" s="43">
        <v>2</v>
      </c>
      <c r="J9" s="43">
        <v>1</v>
      </c>
      <c r="K9" s="43">
        <v>1</v>
      </c>
      <c r="L9" s="43">
        <v>1</v>
      </c>
      <c r="M9" s="43">
        <v>1</v>
      </c>
      <c r="N9" s="43">
        <v>15</v>
      </c>
    </row>
    <row r="10" spans="1:15" x14ac:dyDescent="0.25">
      <c r="A10" s="43" t="s">
        <v>23</v>
      </c>
      <c r="B10" s="43">
        <v>1</v>
      </c>
      <c r="C10" s="43">
        <v>2</v>
      </c>
      <c r="D10" s="43">
        <v>1</v>
      </c>
      <c r="E10" s="43">
        <v>3</v>
      </c>
      <c r="F10" s="43">
        <v>2</v>
      </c>
      <c r="G10" s="43">
        <v>1</v>
      </c>
      <c r="H10" s="43">
        <v>2</v>
      </c>
      <c r="I10" s="43">
        <v>2</v>
      </c>
      <c r="J10" s="43">
        <v>2</v>
      </c>
      <c r="K10" s="43">
        <v>2</v>
      </c>
      <c r="L10" s="43">
        <v>2</v>
      </c>
      <c r="M10" s="43">
        <v>2</v>
      </c>
      <c r="N10" s="43">
        <v>22</v>
      </c>
    </row>
    <row r="11" spans="1:15" x14ac:dyDescent="0.25">
      <c r="A11" s="43" t="s">
        <v>24</v>
      </c>
      <c r="B11" s="43">
        <v>1</v>
      </c>
      <c r="C11" s="43">
        <v>2</v>
      </c>
      <c r="D11" s="43">
        <v>1</v>
      </c>
      <c r="E11" s="43">
        <v>3</v>
      </c>
      <c r="F11" s="43">
        <v>1</v>
      </c>
      <c r="G11" s="43">
        <v>2</v>
      </c>
      <c r="H11" s="43">
        <v>1</v>
      </c>
      <c r="I11" s="43">
        <v>1</v>
      </c>
      <c r="J11" s="43">
        <v>1</v>
      </c>
      <c r="K11" s="43">
        <v>1</v>
      </c>
      <c r="L11" s="43">
        <v>1</v>
      </c>
      <c r="M11" s="43">
        <v>1</v>
      </c>
      <c r="N11" s="43">
        <v>16</v>
      </c>
    </row>
    <row r="12" spans="1:15" x14ac:dyDescent="0.25">
      <c r="A12" s="43" t="s">
        <v>25</v>
      </c>
      <c r="B12" s="43">
        <v>4</v>
      </c>
      <c r="C12" s="43">
        <v>2</v>
      </c>
      <c r="D12" s="43">
        <v>5</v>
      </c>
      <c r="E12" s="43">
        <v>2</v>
      </c>
      <c r="F12" s="43">
        <v>3</v>
      </c>
      <c r="G12" s="43">
        <v>5</v>
      </c>
      <c r="H12" s="43">
        <v>3</v>
      </c>
      <c r="I12" s="43">
        <v>5</v>
      </c>
      <c r="J12" s="43">
        <v>5</v>
      </c>
      <c r="K12" s="43">
        <v>5</v>
      </c>
      <c r="L12" s="43">
        <v>4</v>
      </c>
      <c r="M12" s="43">
        <v>5</v>
      </c>
      <c r="N12" s="43">
        <v>48</v>
      </c>
    </row>
    <row r="13" spans="1:15" x14ac:dyDescent="0.25">
      <c r="A13" s="43" t="s">
        <v>26</v>
      </c>
      <c r="B13" s="43">
        <v>1</v>
      </c>
      <c r="C13" s="43">
        <v>3</v>
      </c>
      <c r="D13" s="43">
        <v>1</v>
      </c>
      <c r="E13" s="43">
        <v>1</v>
      </c>
      <c r="F13" s="43">
        <v>2</v>
      </c>
      <c r="G13" s="43">
        <v>2</v>
      </c>
      <c r="H13" s="43">
        <v>2</v>
      </c>
      <c r="I13" s="43">
        <v>1</v>
      </c>
      <c r="J13" s="43">
        <v>1</v>
      </c>
      <c r="K13" s="43">
        <v>2</v>
      </c>
      <c r="L13" s="43">
        <v>2</v>
      </c>
      <c r="M13" s="43">
        <v>1</v>
      </c>
      <c r="N13" s="43">
        <v>19</v>
      </c>
    </row>
    <row r="14" spans="1:15" x14ac:dyDescent="0.25">
      <c r="A14" s="43" t="s">
        <v>27</v>
      </c>
      <c r="B14" s="43">
        <v>1</v>
      </c>
      <c r="C14" s="43">
        <v>1</v>
      </c>
      <c r="D14" s="43">
        <v>2</v>
      </c>
      <c r="E14" s="43">
        <v>3</v>
      </c>
      <c r="F14" s="43">
        <v>1</v>
      </c>
      <c r="G14" s="43">
        <v>1</v>
      </c>
      <c r="H14" s="43">
        <v>2</v>
      </c>
      <c r="I14" s="43">
        <v>2</v>
      </c>
      <c r="J14" s="43">
        <v>1</v>
      </c>
      <c r="K14" s="43">
        <v>2</v>
      </c>
      <c r="L14" s="43">
        <v>1</v>
      </c>
      <c r="M14" s="43">
        <v>1</v>
      </c>
      <c r="N14" s="43">
        <v>18</v>
      </c>
    </row>
    <row r="15" spans="1:15" x14ac:dyDescent="0.25">
      <c r="A15" s="43" t="s">
        <v>28</v>
      </c>
      <c r="B15" s="43">
        <v>5</v>
      </c>
      <c r="C15" s="43">
        <v>3</v>
      </c>
      <c r="D15" s="43">
        <v>5</v>
      </c>
      <c r="E15" s="43">
        <v>2</v>
      </c>
      <c r="F15" s="43">
        <v>5</v>
      </c>
      <c r="G15" s="43">
        <v>5</v>
      </c>
      <c r="H15" s="43">
        <v>2</v>
      </c>
      <c r="I15" s="43">
        <v>4</v>
      </c>
      <c r="J15" s="43">
        <v>4</v>
      </c>
      <c r="K15" s="43">
        <v>4</v>
      </c>
      <c r="L15" s="43">
        <v>3</v>
      </c>
      <c r="M15" s="43">
        <v>4</v>
      </c>
      <c r="N15" s="43">
        <v>46</v>
      </c>
    </row>
    <row r="16" spans="1:15" x14ac:dyDescent="0.25">
      <c r="A16" s="43" t="s">
        <v>29</v>
      </c>
      <c r="B16" s="43">
        <v>1</v>
      </c>
      <c r="C16" s="43">
        <v>2</v>
      </c>
      <c r="D16" s="43">
        <v>1</v>
      </c>
      <c r="E16" s="43">
        <v>2</v>
      </c>
      <c r="F16" s="43">
        <v>1</v>
      </c>
      <c r="G16" s="43">
        <v>1</v>
      </c>
      <c r="H16" s="43">
        <v>2</v>
      </c>
      <c r="I16" s="43">
        <v>1</v>
      </c>
      <c r="J16" s="43">
        <v>1</v>
      </c>
      <c r="K16" s="43">
        <v>1</v>
      </c>
      <c r="L16" s="43">
        <v>1</v>
      </c>
      <c r="M16" s="43">
        <v>1</v>
      </c>
      <c r="N16" s="43">
        <v>15</v>
      </c>
    </row>
    <row r="17" spans="1:14" x14ac:dyDescent="0.25">
      <c r="A17" s="43" t="s">
        <v>30</v>
      </c>
      <c r="B17" s="43">
        <v>2</v>
      </c>
      <c r="C17" s="43">
        <v>2</v>
      </c>
      <c r="D17" s="43">
        <v>2</v>
      </c>
      <c r="E17" s="43">
        <v>1</v>
      </c>
      <c r="F17" s="43">
        <v>2</v>
      </c>
      <c r="G17" s="43">
        <v>1</v>
      </c>
      <c r="H17" s="43">
        <v>3</v>
      </c>
      <c r="I17" s="43">
        <v>2</v>
      </c>
      <c r="J17" s="43">
        <v>2</v>
      </c>
      <c r="K17" s="43">
        <v>2</v>
      </c>
      <c r="L17" s="43">
        <v>2</v>
      </c>
      <c r="M17" s="43">
        <v>2</v>
      </c>
      <c r="N17" s="43">
        <v>23</v>
      </c>
    </row>
    <row r="18" spans="1:14" x14ac:dyDescent="0.25">
      <c r="A18" s="43" t="s">
        <v>31</v>
      </c>
      <c r="B18" s="43">
        <v>3</v>
      </c>
      <c r="C18" s="43">
        <v>3</v>
      </c>
      <c r="D18" s="43">
        <v>4</v>
      </c>
      <c r="E18" s="43">
        <v>3</v>
      </c>
      <c r="F18" s="43">
        <v>4</v>
      </c>
      <c r="G18" s="43">
        <v>4</v>
      </c>
      <c r="H18" s="43">
        <v>3</v>
      </c>
      <c r="I18" s="43">
        <v>5</v>
      </c>
      <c r="J18" s="43">
        <v>3</v>
      </c>
      <c r="K18" s="43">
        <v>4</v>
      </c>
      <c r="L18" s="43">
        <v>4</v>
      </c>
      <c r="M18" s="43">
        <v>5</v>
      </c>
      <c r="N18" s="43">
        <v>45</v>
      </c>
    </row>
    <row r="19" spans="1:14" x14ac:dyDescent="0.25">
      <c r="A19" s="43" t="s">
        <v>32</v>
      </c>
      <c r="B19" s="43">
        <v>2</v>
      </c>
      <c r="C19" s="43">
        <v>1</v>
      </c>
      <c r="D19" s="43">
        <v>2</v>
      </c>
      <c r="E19" s="43">
        <v>2</v>
      </c>
      <c r="F19" s="43">
        <v>2</v>
      </c>
      <c r="G19" s="43">
        <v>2</v>
      </c>
      <c r="H19" s="43">
        <v>1</v>
      </c>
      <c r="I19" s="43">
        <v>2</v>
      </c>
      <c r="J19" s="43">
        <v>3</v>
      </c>
      <c r="K19" s="43">
        <v>2</v>
      </c>
      <c r="L19" s="43">
        <v>2</v>
      </c>
      <c r="M19" s="43">
        <v>2</v>
      </c>
      <c r="N19" s="43">
        <v>23</v>
      </c>
    </row>
    <row r="20" spans="1:14" x14ac:dyDescent="0.25">
      <c r="A20" s="43" t="s">
        <v>33</v>
      </c>
      <c r="B20" s="43">
        <v>1</v>
      </c>
      <c r="C20" s="43">
        <v>1</v>
      </c>
      <c r="D20" s="43">
        <v>2</v>
      </c>
      <c r="E20" s="43">
        <v>1</v>
      </c>
      <c r="F20" s="43">
        <v>2</v>
      </c>
      <c r="G20" s="43">
        <v>2</v>
      </c>
      <c r="H20" s="43">
        <v>2</v>
      </c>
      <c r="I20" s="43">
        <v>1</v>
      </c>
      <c r="J20" s="43">
        <v>1</v>
      </c>
      <c r="K20" s="43">
        <v>1</v>
      </c>
      <c r="L20" s="43">
        <v>1</v>
      </c>
      <c r="M20" s="43">
        <v>1</v>
      </c>
      <c r="N20" s="43">
        <v>16</v>
      </c>
    </row>
    <row r="21" spans="1:14" x14ac:dyDescent="0.25">
      <c r="A21" s="43" t="s">
        <v>34</v>
      </c>
      <c r="B21" s="43">
        <v>2</v>
      </c>
      <c r="C21" s="43">
        <v>1</v>
      </c>
      <c r="D21" s="43">
        <v>2</v>
      </c>
      <c r="E21" s="43">
        <v>3</v>
      </c>
      <c r="F21" s="43">
        <v>2</v>
      </c>
      <c r="G21" s="43">
        <v>2</v>
      </c>
      <c r="H21" s="43">
        <v>3</v>
      </c>
      <c r="I21" s="43">
        <v>2</v>
      </c>
      <c r="J21" s="43">
        <v>2</v>
      </c>
      <c r="K21" s="43">
        <v>1</v>
      </c>
      <c r="L21" s="43">
        <v>2</v>
      </c>
      <c r="M21" s="43">
        <v>2</v>
      </c>
      <c r="N21" s="43">
        <v>24</v>
      </c>
    </row>
    <row r="22" spans="1:14" x14ac:dyDescent="0.25">
      <c r="A22" s="43" t="s">
        <v>35</v>
      </c>
      <c r="B22" s="43">
        <v>1</v>
      </c>
      <c r="C22" s="43">
        <v>2</v>
      </c>
      <c r="D22" s="43">
        <v>1</v>
      </c>
      <c r="E22" s="43">
        <v>1</v>
      </c>
      <c r="F22" s="43">
        <v>1</v>
      </c>
      <c r="G22" s="43">
        <v>1</v>
      </c>
      <c r="H22" s="43">
        <v>1</v>
      </c>
      <c r="I22" s="43">
        <v>1</v>
      </c>
      <c r="J22" s="43">
        <v>1</v>
      </c>
      <c r="K22" s="43">
        <v>1</v>
      </c>
      <c r="L22" s="43">
        <v>1</v>
      </c>
      <c r="M22" s="43">
        <v>1</v>
      </c>
      <c r="N22" s="43">
        <v>13</v>
      </c>
    </row>
    <row r="23" spans="1:14" x14ac:dyDescent="0.25">
      <c r="A23" s="43" t="s">
        <v>36</v>
      </c>
      <c r="B23" s="43">
        <v>2</v>
      </c>
      <c r="C23" s="43">
        <v>2</v>
      </c>
      <c r="D23" s="43">
        <v>2</v>
      </c>
      <c r="E23" s="43">
        <v>2</v>
      </c>
      <c r="F23" s="43">
        <v>2</v>
      </c>
      <c r="G23" s="43">
        <v>2</v>
      </c>
      <c r="H23" s="43">
        <v>1</v>
      </c>
      <c r="I23" s="43">
        <v>2</v>
      </c>
      <c r="J23" s="43">
        <v>2</v>
      </c>
      <c r="K23" s="43">
        <v>2</v>
      </c>
      <c r="L23" s="43">
        <v>1</v>
      </c>
      <c r="M23" s="43">
        <v>2</v>
      </c>
      <c r="N23" s="43">
        <v>22</v>
      </c>
    </row>
    <row r="24" spans="1:14" x14ac:dyDescent="0.25">
      <c r="A24" s="43" t="s">
        <v>37</v>
      </c>
      <c r="B24" s="43">
        <v>1</v>
      </c>
      <c r="C24" s="43">
        <v>2</v>
      </c>
      <c r="D24" s="43">
        <v>2</v>
      </c>
      <c r="E24" s="43">
        <v>3</v>
      </c>
      <c r="F24" s="43">
        <v>1</v>
      </c>
      <c r="G24" s="43">
        <v>1</v>
      </c>
      <c r="H24" s="43">
        <v>1</v>
      </c>
      <c r="I24" s="43">
        <v>1</v>
      </c>
      <c r="J24" s="43">
        <v>1</v>
      </c>
      <c r="K24" s="43">
        <v>1</v>
      </c>
      <c r="L24" s="43">
        <v>2</v>
      </c>
      <c r="M24" s="43">
        <v>1</v>
      </c>
      <c r="N24" s="43">
        <v>17</v>
      </c>
    </row>
    <row r="25" spans="1:14" x14ac:dyDescent="0.25">
      <c r="A25" t="s">
        <v>38</v>
      </c>
      <c r="B25">
        <f t="shared" ref="B25:N25" si="0">SUM(B5:B24)</f>
        <v>38</v>
      </c>
      <c r="C25">
        <f t="shared" si="0"/>
        <v>36</v>
      </c>
      <c r="D25">
        <f t="shared" si="0"/>
        <v>43</v>
      </c>
      <c r="E25">
        <f t="shared" si="0"/>
        <v>40</v>
      </c>
      <c r="F25">
        <f t="shared" si="0"/>
        <v>42</v>
      </c>
      <c r="G25">
        <f t="shared" si="0"/>
        <v>44</v>
      </c>
      <c r="H25">
        <f t="shared" si="0"/>
        <v>42</v>
      </c>
      <c r="I25">
        <f t="shared" si="0"/>
        <v>44</v>
      </c>
      <c r="J25">
        <f t="shared" si="0"/>
        <v>40</v>
      </c>
      <c r="K25">
        <f t="shared" si="0"/>
        <v>43</v>
      </c>
      <c r="L25">
        <f t="shared" si="0"/>
        <v>38</v>
      </c>
      <c r="M25">
        <f t="shared" si="0"/>
        <v>44</v>
      </c>
      <c r="N25">
        <f t="shared" si="0"/>
        <v>494</v>
      </c>
    </row>
    <row r="26" spans="1:14" x14ac:dyDescent="0.25">
      <c r="A26" t="s">
        <v>39</v>
      </c>
      <c r="B26">
        <f t="shared" ref="B26:N26" si="1">MODE(B5:B24)</f>
        <v>1</v>
      </c>
      <c r="C26">
        <f t="shared" si="1"/>
        <v>2</v>
      </c>
      <c r="D26">
        <f t="shared" si="1"/>
        <v>2</v>
      </c>
      <c r="E26">
        <f t="shared" si="1"/>
        <v>2</v>
      </c>
      <c r="F26">
        <f t="shared" si="1"/>
        <v>2</v>
      </c>
      <c r="G26">
        <f t="shared" si="1"/>
        <v>1</v>
      </c>
      <c r="H26">
        <f t="shared" si="1"/>
        <v>2</v>
      </c>
      <c r="I26">
        <f t="shared" si="1"/>
        <v>2</v>
      </c>
      <c r="J26">
        <f t="shared" si="1"/>
        <v>1</v>
      </c>
      <c r="K26">
        <f t="shared" si="1"/>
        <v>1</v>
      </c>
      <c r="L26">
        <f t="shared" si="1"/>
        <v>2</v>
      </c>
      <c r="M26">
        <f t="shared" si="1"/>
        <v>1</v>
      </c>
      <c r="N26">
        <f t="shared" si="1"/>
        <v>15</v>
      </c>
    </row>
    <row r="27" spans="1:14" x14ac:dyDescent="0.25">
      <c r="A27" t="s">
        <v>40</v>
      </c>
      <c r="B27">
        <f t="shared" ref="B27:N27" si="2">(B25/20)</f>
        <v>1.9</v>
      </c>
      <c r="C27">
        <f t="shared" si="2"/>
        <v>1.8</v>
      </c>
      <c r="D27">
        <f t="shared" si="2"/>
        <v>2.15</v>
      </c>
      <c r="E27">
        <f t="shared" si="2"/>
        <v>2</v>
      </c>
      <c r="F27">
        <f t="shared" si="2"/>
        <v>2.1</v>
      </c>
      <c r="G27">
        <f t="shared" si="2"/>
        <v>2.2000000000000002</v>
      </c>
      <c r="H27">
        <f t="shared" si="2"/>
        <v>2.1</v>
      </c>
      <c r="I27">
        <f t="shared" si="2"/>
        <v>2.2000000000000002</v>
      </c>
      <c r="J27">
        <f t="shared" si="2"/>
        <v>2</v>
      </c>
      <c r="K27">
        <f t="shared" si="2"/>
        <v>2.15</v>
      </c>
      <c r="L27">
        <f t="shared" si="2"/>
        <v>1.9</v>
      </c>
      <c r="M27">
        <f t="shared" si="2"/>
        <v>2.2000000000000002</v>
      </c>
      <c r="N27">
        <f t="shared" si="2"/>
        <v>24.7</v>
      </c>
    </row>
    <row r="28" spans="1:14" x14ac:dyDescent="0.25">
      <c r="A28" t="s">
        <v>41</v>
      </c>
      <c r="B28">
        <f t="shared" ref="B28:N28" si="3">MEDIAN(B5:B24)</f>
        <v>1.5</v>
      </c>
      <c r="C28">
        <f t="shared" si="3"/>
        <v>2</v>
      </c>
      <c r="D28">
        <f t="shared" si="3"/>
        <v>2</v>
      </c>
      <c r="E28">
        <f t="shared" si="3"/>
        <v>2</v>
      </c>
      <c r="F28">
        <f t="shared" si="3"/>
        <v>2</v>
      </c>
      <c r="G28">
        <f t="shared" si="3"/>
        <v>2</v>
      </c>
      <c r="H28">
        <f t="shared" si="3"/>
        <v>2</v>
      </c>
      <c r="I28">
        <f t="shared" si="3"/>
        <v>2</v>
      </c>
      <c r="J28">
        <f t="shared" si="3"/>
        <v>2</v>
      </c>
      <c r="K28">
        <f t="shared" si="3"/>
        <v>2</v>
      </c>
      <c r="L28">
        <f t="shared" si="3"/>
        <v>2</v>
      </c>
      <c r="M28">
        <f t="shared" si="3"/>
        <v>2</v>
      </c>
      <c r="N28">
        <f t="shared" si="3"/>
        <v>22</v>
      </c>
    </row>
    <row r="29" spans="1:14" x14ac:dyDescent="0.25">
      <c r="A29" t="s">
        <v>42</v>
      </c>
      <c r="B29">
        <f t="shared" ref="B29:N29" si="4">ROUND(STDEV(B5:B24),2)</f>
        <v>1.17</v>
      </c>
      <c r="C29">
        <f t="shared" si="4"/>
        <v>0.7</v>
      </c>
      <c r="D29">
        <f t="shared" si="4"/>
        <v>1.31</v>
      </c>
      <c r="E29">
        <f t="shared" si="4"/>
        <v>0.79</v>
      </c>
      <c r="F29">
        <f t="shared" si="4"/>
        <v>1.17</v>
      </c>
      <c r="G29">
        <f t="shared" si="4"/>
        <v>1.36</v>
      </c>
      <c r="H29">
        <f t="shared" si="4"/>
        <v>0.79</v>
      </c>
      <c r="I29">
        <f t="shared" si="4"/>
        <v>1.32</v>
      </c>
      <c r="J29">
        <f t="shared" si="4"/>
        <v>1.17</v>
      </c>
      <c r="K29">
        <f t="shared" si="4"/>
        <v>1.27</v>
      </c>
      <c r="L29">
        <f t="shared" si="4"/>
        <v>0.97</v>
      </c>
      <c r="M29">
        <f t="shared" si="4"/>
        <v>1.44</v>
      </c>
      <c r="N29">
        <f t="shared" si="4"/>
        <v>11.19</v>
      </c>
    </row>
    <row r="30" spans="1:14" x14ac:dyDescent="0.25">
      <c r="A30" t="s">
        <v>43</v>
      </c>
      <c r="B30" s="2">
        <f t="shared" ref="B30:N30" si="5">(B29/B27)</f>
        <v>0.61578947368421055</v>
      </c>
      <c r="C30" s="2">
        <f t="shared" si="5"/>
        <v>0.38888888888888884</v>
      </c>
      <c r="D30" s="2">
        <f t="shared" si="5"/>
        <v>0.60930232558139541</v>
      </c>
      <c r="E30" s="2">
        <f t="shared" si="5"/>
        <v>0.39500000000000002</v>
      </c>
      <c r="F30" s="2">
        <f t="shared" si="5"/>
        <v>0.55714285714285705</v>
      </c>
      <c r="G30" s="2">
        <f t="shared" si="5"/>
        <v>0.61818181818181817</v>
      </c>
      <c r="H30" s="2">
        <f t="shared" si="5"/>
        <v>0.37619047619047619</v>
      </c>
      <c r="I30" s="2">
        <f t="shared" si="5"/>
        <v>0.6</v>
      </c>
      <c r="J30" s="2">
        <f t="shared" si="5"/>
        <v>0.58499999999999996</v>
      </c>
      <c r="K30" s="2">
        <f t="shared" si="5"/>
        <v>0.59069767441860466</v>
      </c>
      <c r="L30" s="2">
        <f t="shared" si="5"/>
        <v>0.51052631578947372</v>
      </c>
      <c r="M30" s="2">
        <f t="shared" si="5"/>
        <v>0.65454545454545443</v>
      </c>
      <c r="N30" s="2">
        <f t="shared" si="5"/>
        <v>0.45303643724696357</v>
      </c>
    </row>
    <row r="31" spans="1:14" x14ac:dyDescent="0.25">
      <c r="A31" t="s">
        <v>44</v>
      </c>
      <c r="B31">
        <f>COUNTIF($B$5:$B$24,$A1020)</f>
        <v>10</v>
      </c>
      <c r="C31">
        <f>COUNTIF($C$5:$C$24,$A1020)</f>
        <v>7</v>
      </c>
      <c r="D31">
        <f>COUNTIF($D$5:$D$24,$A1020)</f>
        <v>7</v>
      </c>
      <c r="E31">
        <f>COUNTIF($E$5:$E$24,$A1020)</f>
        <v>6</v>
      </c>
      <c r="F31">
        <f>COUNTIF($F$5:$F$24,$A1020)</f>
        <v>7</v>
      </c>
      <c r="G31">
        <f>COUNTIF($G$5:$G$24,$A1020)</f>
        <v>8</v>
      </c>
      <c r="H31">
        <f>COUNTIF($H$5:$H$24,$A1020)</f>
        <v>5</v>
      </c>
      <c r="I31">
        <f>COUNTIF($I$5:$I$24,$A1020)</f>
        <v>7</v>
      </c>
      <c r="J31">
        <f>COUNTIF($J$5:$J$24,$A1020)</f>
        <v>9</v>
      </c>
      <c r="K31">
        <f>COUNTIF($K$5:$K$24,$A1020)</f>
        <v>8</v>
      </c>
      <c r="L31">
        <f>COUNTIF($L$5:$L$24,$A1020)</f>
        <v>8</v>
      </c>
      <c r="M31">
        <f>COUNTIF($M$5:$M$24,$A1020)</f>
        <v>9</v>
      </c>
    </row>
    <row r="32" spans="1:14" x14ac:dyDescent="0.25">
      <c r="A32" t="s">
        <v>45</v>
      </c>
      <c r="B32">
        <f>COUNTIF($B$5:$B$24,$A1021)</f>
        <v>5</v>
      </c>
      <c r="C32">
        <f>COUNTIF($C$5:$C$24,$A1021)</f>
        <v>10</v>
      </c>
      <c r="D32">
        <f>COUNTIF($D$5:$D$24,$A1021)</f>
        <v>9</v>
      </c>
      <c r="E32">
        <f>COUNTIF($E$5:$E$24,$A1021)</f>
        <v>8</v>
      </c>
      <c r="F32">
        <f>COUNTIF($F$5:$F$24,$A1021)</f>
        <v>8</v>
      </c>
      <c r="G32">
        <f>COUNTIF($G$5:$G$24,$A1021)</f>
        <v>6</v>
      </c>
      <c r="H32">
        <f>COUNTIF($H$5:$H$24,$A1021)</f>
        <v>8</v>
      </c>
      <c r="I32">
        <f>COUNTIF($I$5:$I$24,$A1021)</f>
        <v>8</v>
      </c>
      <c r="J32">
        <f>COUNTIF($J$5:$J$24,$A1021)</f>
        <v>5</v>
      </c>
      <c r="K32">
        <f>COUNTIF($K$5:$K$24,$A1021)</f>
        <v>6</v>
      </c>
      <c r="L32">
        <f>COUNTIF($L$5:$L$24,$A1021)</f>
        <v>8</v>
      </c>
      <c r="M32">
        <f>COUNTIF($M$5:$M$24,$A1021)</f>
        <v>5</v>
      </c>
    </row>
    <row r="33" spans="1:13" x14ac:dyDescent="0.25">
      <c r="A33" t="s">
        <v>46</v>
      </c>
      <c r="B33">
        <f>COUNTIF($B$5:$B$24,$A1022)</f>
        <v>3</v>
      </c>
      <c r="C33">
        <f>COUNTIF($C$5:$C$24,$A1022)</f>
        <v>3</v>
      </c>
      <c r="D33">
        <f>COUNTIF($D$5:$D$24,$A1022)</f>
        <v>0</v>
      </c>
      <c r="E33">
        <f>COUNTIF($E$5:$E$24,$A1022)</f>
        <v>6</v>
      </c>
      <c r="F33">
        <f>COUNTIF($F$5:$F$24,$A1022)</f>
        <v>2</v>
      </c>
      <c r="G33">
        <f>COUNTIF($G$5:$G$24,$A1022)</f>
        <v>2</v>
      </c>
      <c r="H33">
        <f>COUNTIF($H$5:$H$24,$A1022)</f>
        <v>7</v>
      </c>
      <c r="I33">
        <f>COUNTIF($I$5:$I$24,$A1022)</f>
        <v>1</v>
      </c>
      <c r="J33">
        <f>COUNTIF($J$5:$J$24,$A1022)</f>
        <v>4</v>
      </c>
      <c r="K33">
        <f>COUNTIF($K$5:$K$24,$A1022)</f>
        <v>2</v>
      </c>
      <c r="L33">
        <f>COUNTIF($L$5:$L$24,$A1022)</f>
        <v>2</v>
      </c>
      <c r="M33">
        <f>COUNTIF($M$5:$M$24,$A1022)</f>
        <v>1</v>
      </c>
    </row>
    <row r="34" spans="1:13" x14ac:dyDescent="0.25">
      <c r="A34" t="s">
        <v>47</v>
      </c>
      <c r="B34">
        <f>COUNTIF($B$5:$B$24,$A1023)</f>
        <v>1</v>
      </c>
      <c r="C34">
        <f>COUNTIF($C$5:$C$24,$A1023)</f>
        <v>0</v>
      </c>
      <c r="D34">
        <f>COUNTIF($D$5:$D$24,$A1023)</f>
        <v>2</v>
      </c>
      <c r="E34">
        <f>COUNTIF($E$5:$E$24,$A1023)</f>
        <v>0</v>
      </c>
      <c r="F34">
        <f>COUNTIF($F$5:$F$24,$A1023)</f>
        <v>2</v>
      </c>
      <c r="G34">
        <f>COUNTIF($G$5:$G$24,$A1023)</f>
        <v>2</v>
      </c>
      <c r="H34">
        <f>COUNTIF($H$5:$H$24,$A1023)</f>
        <v>0</v>
      </c>
      <c r="I34">
        <f>COUNTIF($I$5:$I$24,$A1023)</f>
        <v>2</v>
      </c>
      <c r="J34">
        <f>COUNTIF($J$5:$J$24,$A1023)</f>
        <v>1</v>
      </c>
      <c r="K34">
        <f>COUNTIF($K$5:$K$24,$A1023)</f>
        <v>3</v>
      </c>
      <c r="L34">
        <f>COUNTIF($L$5:$L$24,$A1023)</f>
        <v>2</v>
      </c>
      <c r="M34">
        <f>COUNTIF($M$5:$M$24,$A1023)</f>
        <v>3</v>
      </c>
    </row>
    <row r="35" spans="1:13" x14ac:dyDescent="0.25">
      <c r="A35" t="s">
        <v>48</v>
      </c>
      <c r="B35">
        <f>COUNTIF($B$5:$B$24,$A1024)</f>
        <v>1</v>
      </c>
      <c r="C35">
        <f>COUNTIF($C$5:$C$24,$A1024)</f>
        <v>0</v>
      </c>
      <c r="D35">
        <f>COUNTIF($D$5:$D$24,$A1024)</f>
        <v>2</v>
      </c>
      <c r="E35">
        <f>COUNTIF($E$5:$E$24,$A1024)</f>
        <v>0</v>
      </c>
      <c r="F35">
        <f>COUNTIF($F$5:$F$24,$A1024)</f>
        <v>1</v>
      </c>
      <c r="G35">
        <f>COUNTIF($G$5:$G$24,$A1024)</f>
        <v>2</v>
      </c>
      <c r="H35">
        <f>COUNTIF($H$5:$H$24,$A1024)</f>
        <v>0</v>
      </c>
      <c r="I35">
        <f>COUNTIF($I$5:$I$24,$A1024)</f>
        <v>2</v>
      </c>
      <c r="J35">
        <f>COUNTIF($J$5:$J$24,$A1024)</f>
        <v>1</v>
      </c>
      <c r="K35">
        <f>COUNTIF($K$5:$K$24,$A1024)</f>
        <v>1</v>
      </c>
      <c r="L35">
        <f>COUNTIF($L$5:$L$24,$A1024)</f>
        <v>0</v>
      </c>
      <c r="M35">
        <f>COUNTIF($M$5:$M$24,$A1024)</f>
        <v>2</v>
      </c>
    </row>
    <row r="36" spans="1:13" x14ac:dyDescent="0.25">
      <c r="A36" t="s">
        <v>4</v>
      </c>
      <c r="B36">
        <f>SUM($B31:$B35)</f>
        <v>20</v>
      </c>
      <c r="C36">
        <f>SUM($C31:$C35)</f>
        <v>20</v>
      </c>
      <c r="D36">
        <f>SUM($D31:$D35)</f>
        <v>20</v>
      </c>
      <c r="E36">
        <f>SUM($E31:$E35)</f>
        <v>20</v>
      </c>
      <c r="F36">
        <f>SUM($F31:$F35)</f>
        <v>20</v>
      </c>
      <c r="G36">
        <f>SUM($G31:$G35)</f>
        <v>20</v>
      </c>
      <c r="H36">
        <f>SUM($H31:$H35)</f>
        <v>20</v>
      </c>
      <c r="I36">
        <f>SUM($I31:$I35)</f>
        <v>20</v>
      </c>
      <c r="J36">
        <f>SUM($J31:$J35)</f>
        <v>20</v>
      </c>
      <c r="K36">
        <f>SUM($K31:$K35)</f>
        <v>20</v>
      </c>
      <c r="L36">
        <f>SUM($L31:$L35)</f>
        <v>20</v>
      </c>
      <c r="M36">
        <f>SUM($M31:$M35)</f>
        <v>20</v>
      </c>
    </row>
    <row r="37" spans="1:13" x14ac:dyDescent="0.25">
      <c r="A37" t="s">
        <v>49</v>
      </c>
      <c r="B37" s="2">
        <f>($B31/$B36)</f>
        <v>0.5</v>
      </c>
      <c r="C37" s="2">
        <f>($C31/$C36)</f>
        <v>0.35</v>
      </c>
      <c r="D37" s="2">
        <f>($D31/$D36)</f>
        <v>0.35</v>
      </c>
      <c r="E37" s="2">
        <f>($E31/$E36)</f>
        <v>0.3</v>
      </c>
      <c r="F37" s="2">
        <f>($F31/$F36)</f>
        <v>0.35</v>
      </c>
      <c r="G37" s="2">
        <f>($G31/$G36)</f>
        <v>0.4</v>
      </c>
      <c r="H37" s="2">
        <f>($H31/$H36)</f>
        <v>0.25</v>
      </c>
      <c r="I37" s="2">
        <f>($I31/$I36)</f>
        <v>0.35</v>
      </c>
      <c r="J37" s="2">
        <f>($J31/$J36)</f>
        <v>0.45</v>
      </c>
      <c r="K37" s="2">
        <f>($K31/$K36)</f>
        <v>0.4</v>
      </c>
      <c r="L37" s="2">
        <f>($L31/$L36)</f>
        <v>0.4</v>
      </c>
      <c r="M37" s="2">
        <f>($M31/$M36)</f>
        <v>0.45</v>
      </c>
    </row>
    <row r="38" spans="1:13" x14ac:dyDescent="0.25">
      <c r="A38" t="s">
        <v>50</v>
      </c>
      <c r="B38" s="2">
        <f>($B32/$B36)</f>
        <v>0.25</v>
      </c>
      <c r="C38" s="2">
        <f>($C32/$C36)</f>
        <v>0.5</v>
      </c>
      <c r="D38" s="2">
        <f>($D32/$D36)</f>
        <v>0.45</v>
      </c>
      <c r="E38" s="2">
        <f>($E32/$E36)</f>
        <v>0.4</v>
      </c>
      <c r="F38" s="2">
        <f>($F32/$F36)</f>
        <v>0.4</v>
      </c>
      <c r="G38" s="2">
        <f>($G32/$G36)</f>
        <v>0.3</v>
      </c>
      <c r="H38" s="2">
        <f>($H32/$H36)</f>
        <v>0.4</v>
      </c>
      <c r="I38" s="2">
        <f>($I32/$I36)</f>
        <v>0.4</v>
      </c>
      <c r="J38" s="2">
        <f>($J32/$J36)</f>
        <v>0.25</v>
      </c>
      <c r="K38" s="2">
        <f>($K32/$K36)</f>
        <v>0.3</v>
      </c>
      <c r="L38" s="2">
        <f>($L32/$L36)</f>
        <v>0.4</v>
      </c>
      <c r="M38" s="2">
        <f>($M32/$M36)</f>
        <v>0.25</v>
      </c>
    </row>
    <row r="39" spans="1:13" x14ac:dyDescent="0.25">
      <c r="A39" t="s">
        <v>51</v>
      </c>
      <c r="B39" s="2">
        <f>($B33/$B36)</f>
        <v>0.15</v>
      </c>
      <c r="C39" s="2">
        <f>($C33/$C36)</f>
        <v>0.15</v>
      </c>
      <c r="D39" s="2">
        <f>($D33/$D36)</f>
        <v>0</v>
      </c>
      <c r="E39" s="2">
        <f>($E33/$E36)</f>
        <v>0.3</v>
      </c>
      <c r="F39" s="2">
        <f>($F33/$F36)</f>
        <v>0.1</v>
      </c>
      <c r="G39" s="2">
        <f>($G33/$G36)</f>
        <v>0.1</v>
      </c>
      <c r="H39" s="2">
        <f>($H33/$H36)</f>
        <v>0.35</v>
      </c>
      <c r="I39" s="2">
        <f>($I33/$I36)</f>
        <v>0.05</v>
      </c>
      <c r="J39" s="2">
        <f>($J33/$J36)</f>
        <v>0.2</v>
      </c>
      <c r="K39" s="2">
        <f>($K33/$K36)</f>
        <v>0.1</v>
      </c>
      <c r="L39" s="2">
        <f>($L33/$L36)</f>
        <v>0.1</v>
      </c>
      <c r="M39" s="2">
        <f>($M33/$M36)</f>
        <v>0.05</v>
      </c>
    </row>
    <row r="40" spans="1:13" x14ac:dyDescent="0.25">
      <c r="A40" t="s">
        <v>52</v>
      </c>
      <c r="B40" s="2">
        <f>($B34/$B36)</f>
        <v>0.05</v>
      </c>
      <c r="C40" s="2">
        <f>($C34/$C36)</f>
        <v>0</v>
      </c>
      <c r="D40" s="2">
        <f>($D34/$D36)</f>
        <v>0.1</v>
      </c>
      <c r="E40" s="2">
        <f>($E34/$E36)</f>
        <v>0</v>
      </c>
      <c r="F40" s="2">
        <f>($F34/$F36)</f>
        <v>0.1</v>
      </c>
      <c r="G40" s="2">
        <f>($G34/$G36)</f>
        <v>0.1</v>
      </c>
      <c r="H40" s="2">
        <f>($H34/$H36)</f>
        <v>0</v>
      </c>
      <c r="I40" s="2">
        <f>($I34/$I36)</f>
        <v>0.1</v>
      </c>
      <c r="J40" s="2">
        <f>($J34/$J36)</f>
        <v>0.05</v>
      </c>
      <c r="K40" s="2">
        <f>($K34/$K36)</f>
        <v>0.15</v>
      </c>
      <c r="L40" s="2">
        <f>($L34/$L36)</f>
        <v>0.1</v>
      </c>
      <c r="M40" s="2">
        <f>($M34/$M36)</f>
        <v>0.15</v>
      </c>
    </row>
    <row r="41" spans="1:13" x14ac:dyDescent="0.25">
      <c r="A41" t="s">
        <v>53</v>
      </c>
      <c r="B41" s="2">
        <f>($B35/$B36)</f>
        <v>0.05</v>
      </c>
      <c r="C41" s="2">
        <f>($C35/$C36)</f>
        <v>0</v>
      </c>
      <c r="D41" s="2">
        <f>($D35/$D36)</f>
        <v>0.1</v>
      </c>
      <c r="E41" s="2">
        <f>($E35/$E36)</f>
        <v>0</v>
      </c>
      <c r="F41" s="2">
        <f>($F35/$F36)</f>
        <v>0.05</v>
      </c>
      <c r="G41" s="2">
        <f>($G35/$G36)</f>
        <v>0.1</v>
      </c>
      <c r="H41" s="2">
        <f>($H35/$H36)</f>
        <v>0</v>
      </c>
      <c r="I41" s="2">
        <f>($I35/$I36)</f>
        <v>0.1</v>
      </c>
      <c r="J41" s="2">
        <f>($J35/$J36)</f>
        <v>0.05</v>
      </c>
      <c r="K41" s="2">
        <f>($K35/$K36)</f>
        <v>0.05</v>
      </c>
      <c r="L41" s="2">
        <f>($L35/$L36)</f>
        <v>0</v>
      </c>
      <c r="M41" s="2">
        <f>($M35/$M36)</f>
        <v>0.1</v>
      </c>
    </row>
    <row r="42" spans="1:13" x14ac:dyDescent="0.25">
      <c r="A42" t="s">
        <v>54</v>
      </c>
      <c r="B42" s="2">
        <f>SUM($B37:$B41)</f>
        <v>1</v>
      </c>
      <c r="C42" s="2">
        <f>SUM($C37:$C41)</f>
        <v>1</v>
      </c>
      <c r="D42" s="2">
        <f>SUM($D37:$D41)</f>
        <v>1</v>
      </c>
      <c r="E42" s="2">
        <f>SUM($E37:$E41)</f>
        <v>1</v>
      </c>
      <c r="F42" s="2">
        <f>SUM($F37:$F41)</f>
        <v>1</v>
      </c>
      <c r="G42" s="2">
        <f>SUM($G37:$G41)</f>
        <v>0.99999999999999989</v>
      </c>
      <c r="H42" s="2">
        <f>SUM($H37:$H41)</f>
        <v>1</v>
      </c>
      <c r="I42" s="2">
        <f>SUM($I37:$I41)</f>
        <v>1</v>
      </c>
      <c r="J42" s="2">
        <f>SUM($J37:$J41)</f>
        <v>1</v>
      </c>
      <c r="K42" s="2">
        <f>SUM($K37:$K41)</f>
        <v>1</v>
      </c>
      <c r="L42" s="2">
        <f>SUM($L37:$L41)</f>
        <v>1</v>
      </c>
      <c r="M42" s="2">
        <f>SUM($M37:$M41)</f>
        <v>1</v>
      </c>
    </row>
    <row r="1020" spans="1:1" x14ac:dyDescent="0.25">
      <c r="A1020" s="1">
        <v>1</v>
      </c>
    </row>
    <row r="1021" spans="1:1" x14ac:dyDescent="0.25">
      <c r="A1021" s="1">
        <v>2</v>
      </c>
    </row>
    <row r="1022" spans="1:1" x14ac:dyDescent="0.25">
      <c r="A1022" s="1">
        <v>3</v>
      </c>
    </row>
    <row r="1023" spans="1:1" x14ac:dyDescent="0.25">
      <c r="A1023" s="1">
        <v>4</v>
      </c>
    </row>
    <row r="1024" spans="1:1" x14ac:dyDescent="0.25">
      <c r="A1024" s="1">
        <v>5</v>
      </c>
    </row>
    <row r="1025" spans="2:13" x14ac:dyDescent="0.25">
      <c r="B1025">
        <f>SUM($B1020:$B1024)</f>
        <v>0</v>
      </c>
      <c r="C1025">
        <f>SUM($C1020:$C1024)</f>
        <v>0</v>
      </c>
      <c r="D1025">
        <f>SUM($D1020:$D1024)</f>
        <v>0</v>
      </c>
      <c r="E1025">
        <f>SUM($E1020:$E1024)</f>
        <v>0</v>
      </c>
      <c r="F1025">
        <f>SUM($F1020:$F1024)</f>
        <v>0</v>
      </c>
      <c r="G1025">
        <f>SUM($G1020:$G1024)</f>
        <v>0</v>
      </c>
      <c r="H1025">
        <f>SUM($H1020:$H1024)</f>
        <v>0</v>
      </c>
      <c r="I1025">
        <f>SUM($I1020:$I1024)</f>
        <v>0</v>
      </c>
      <c r="J1025">
        <f>SUM($J1020:$J1024)</f>
        <v>0</v>
      </c>
      <c r="K1025">
        <f>SUM($K1020:$K1024)</f>
        <v>0</v>
      </c>
      <c r="L1025">
        <f>SUM($L1020:$L1024)</f>
        <v>0</v>
      </c>
      <c r="M1025">
        <f>SUM($M1020:$M1024)</f>
        <v>0</v>
      </c>
    </row>
    <row r="1026" spans="2:13" x14ac:dyDescent="0.25"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pans="2:13" x14ac:dyDescent="0.25"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pans="2:13" x14ac:dyDescent="0.25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</row>
    <row r="1029" spans="2:13" x14ac:dyDescent="0.25"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pans="2:13" x14ac:dyDescent="0.25"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pans="2:13" x14ac:dyDescent="0.25">
      <c r="B1031" s="2">
        <f>SUM($B1026:$B1030)</f>
        <v>0</v>
      </c>
      <c r="C1031" s="2">
        <f>SUM($C1026:$C1030)</f>
        <v>0</v>
      </c>
      <c r="D1031" s="2">
        <f>SUM($D1026:$D1030)</f>
        <v>0</v>
      </c>
      <c r="E1031" s="2">
        <f>SUM($E1026:$E1030)</f>
        <v>0</v>
      </c>
      <c r="F1031" s="2">
        <f>SUM($F1026:$F1030)</f>
        <v>0</v>
      </c>
      <c r="G1031" s="2">
        <f>SUM($G1026:$G1030)</f>
        <v>0</v>
      </c>
      <c r="H1031" s="2">
        <f>SUM($H1026:$H1030)</f>
        <v>0</v>
      </c>
      <c r="I1031" s="2">
        <f>SUM($I1026:$I1030)</f>
        <v>0</v>
      </c>
      <c r="J1031" s="2">
        <f>SUM($J1026:$J1030)</f>
        <v>0</v>
      </c>
      <c r="K1031" s="2">
        <f>SUM($K1026:$K1030)</f>
        <v>0</v>
      </c>
      <c r="L1031" s="2">
        <f>SUM($L1026:$L1030)</f>
        <v>0</v>
      </c>
      <c r="M1031" s="2">
        <f>SUM($M1026:$M1030)</f>
        <v>0</v>
      </c>
    </row>
  </sheetData>
  <sheetProtection formatCells="0" formatColumns="0" formatRows="0" insertColumns="0" insertRows="0" insertHyperlinks="0" deleteColumns="0" deleteRows="0" sort="0" autoFilter="0" pivotTables="0"/>
  <mergeCells count="298">
    <mergeCell ref="M23"/>
    <mergeCell ref="N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K22"/>
    <mergeCell ref="L22"/>
    <mergeCell ref="M22"/>
    <mergeCell ref="N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F22"/>
    <mergeCell ref="G22"/>
    <mergeCell ref="H22"/>
    <mergeCell ref="I22"/>
    <mergeCell ref="J22"/>
    <mergeCell ref="A22"/>
    <mergeCell ref="B22"/>
    <mergeCell ref="C22"/>
    <mergeCell ref="D22"/>
    <mergeCell ref="E22"/>
    <mergeCell ref="M20"/>
    <mergeCell ref="N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K19"/>
    <mergeCell ref="L19"/>
    <mergeCell ref="M19"/>
    <mergeCell ref="N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F19"/>
    <mergeCell ref="G19"/>
    <mergeCell ref="H19"/>
    <mergeCell ref="I19"/>
    <mergeCell ref="J19"/>
    <mergeCell ref="A19"/>
    <mergeCell ref="B19"/>
    <mergeCell ref="C19"/>
    <mergeCell ref="D19"/>
    <mergeCell ref="E19"/>
    <mergeCell ref="M17"/>
    <mergeCell ref="N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K16"/>
    <mergeCell ref="L16"/>
    <mergeCell ref="M16"/>
    <mergeCell ref="N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F16"/>
    <mergeCell ref="G16"/>
    <mergeCell ref="H16"/>
    <mergeCell ref="I16"/>
    <mergeCell ref="J16"/>
    <mergeCell ref="A16"/>
    <mergeCell ref="B16"/>
    <mergeCell ref="C16"/>
    <mergeCell ref="D16"/>
    <mergeCell ref="E16"/>
    <mergeCell ref="M14"/>
    <mergeCell ref="N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K13"/>
    <mergeCell ref="L13"/>
    <mergeCell ref="M13"/>
    <mergeCell ref="N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F13"/>
    <mergeCell ref="G13"/>
    <mergeCell ref="H13"/>
    <mergeCell ref="I13"/>
    <mergeCell ref="J13"/>
    <mergeCell ref="A13"/>
    <mergeCell ref="B13"/>
    <mergeCell ref="C13"/>
    <mergeCell ref="D13"/>
    <mergeCell ref="E13"/>
    <mergeCell ref="M11"/>
    <mergeCell ref="N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K10"/>
    <mergeCell ref="L10"/>
    <mergeCell ref="M10"/>
    <mergeCell ref="N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F10"/>
    <mergeCell ref="G10"/>
    <mergeCell ref="H10"/>
    <mergeCell ref="I10"/>
    <mergeCell ref="J10"/>
    <mergeCell ref="A10"/>
    <mergeCell ref="B10"/>
    <mergeCell ref="C10"/>
    <mergeCell ref="D10"/>
    <mergeCell ref="E10"/>
    <mergeCell ref="M8"/>
    <mergeCell ref="N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K7"/>
    <mergeCell ref="L7"/>
    <mergeCell ref="M7"/>
    <mergeCell ref="N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F7"/>
    <mergeCell ref="G7"/>
    <mergeCell ref="H7"/>
    <mergeCell ref="I7"/>
    <mergeCell ref="J7"/>
    <mergeCell ref="A7"/>
    <mergeCell ref="B7"/>
    <mergeCell ref="C7"/>
    <mergeCell ref="D7"/>
    <mergeCell ref="E7"/>
    <mergeCell ref="N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L4"/>
    <mergeCell ref="M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G4"/>
    <mergeCell ref="H4"/>
    <mergeCell ref="I4"/>
    <mergeCell ref="J4"/>
    <mergeCell ref="K4"/>
    <mergeCell ref="B4"/>
    <mergeCell ref="C4"/>
    <mergeCell ref="D4"/>
    <mergeCell ref="E4"/>
    <mergeCell ref="F4"/>
    <mergeCell ref="A1:O2"/>
    <mergeCell ref="B3:E3"/>
    <mergeCell ref="F3:I3"/>
    <mergeCell ref="J3:M3"/>
    <mergeCell ref="N3"/>
    <mergeCell ref="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205"/>
  <sheetViews>
    <sheetView topLeftCell="AR4" workbookViewId="0">
      <selection activeCell="AY11" sqref="AY11"/>
    </sheetView>
  </sheetViews>
  <sheetFormatPr baseColWidth="10" defaultColWidth="9.140625" defaultRowHeight="15" x14ac:dyDescent="0.25"/>
  <cols>
    <col min="1" max="1" width="14" bestFit="1" customWidth="1"/>
    <col min="13" max="13" width="34.140625" bestFit="1" customWidth="1"/>
    <col min="14" max="14" width="25" customWidth="1"/>
    <col min="15" max="15" width="32" bestFit="1" customWidth="1"/>
    <col min="16" max="17" width="10" customWidth="1"/>
    <col min="18" max="18" width="15" customWidth="1"/>
    <col min="19" max="19" width="10" customWidth="1"/>
    <col min="25" max="25" width="34.140625" bestFit="1" customWidth="1"/>
    <col min="26" max="26" width="25" customWidth="1"/>
    <col min="27" max="27" width="28.7109375" bestFit="1" customWidth="1"/>
    <col min="28" max="29" width="10" customWidth="1"/>
    <col min="30" max="30" width="15" customWidth="1"/>
    <col min="31" max="31" width="10" customWidth="1"/>
    <col min="37" max="37" width="34.140625" bestFit="1" customWidth="1"/>
    <col min="38" max="38" width="25" customWidth="1"/>
    <col min="39" max="39" width="27.7109375" bestFit="1" customWidth="1"/>
    <col min="40" max="41" width="10" customWidth="1"/>
    <col min="42" max="42" width="15" customWidth="1"/>
    <col min="43" max="43" width="10" customWidth="1"/>
    <col min="49" max="49" width="34.140625" bestFit="1" customWidth="1"/>
    <col min="50" max="50" width="25" customWidth="1"/>
    <col min="51" max="51" width="32" bestFit="1" customWidth="1"/>
    <col min="52" max="53" width="10" customWidth="1"/>
    <col min="54" max="54" width="15" customWidth="1"/>
    <col min="55" max="55" width="10" customWidth="1"/>
  </cols>
  <sheetData>
    <row r="1" spans="1:57" x14ac:dyDescent="0.25">
      <c r="A1" s="44" t="s">
        <v>0</v>
      </c>
      <c r="B1" s="44"/>
      <c r="C1" s="44"/>
      <c r="D1" s="44"/>
      <c r="E1" s="44"/>
      <c r="F1" s="44"/>
      <c r="G1" s="44"/>
      <c r="H1" s="44"/>
      <c r="I1" s="44"/>
    </row>
    <row r="2" spans="1:57" x14ac:dyDescent="0.25">
      <c r="A2" s="45" t="s">
        <v>55</v>
      </c>
      <c r="B2" s="46" t="s">
        <v>1</v>
      </c>
      <c r="C2" s="46"/>
      <c r="D2" s="46" t="s">
        <v>2</v>
      </c>
      <c r="E2" s="46"/>
      <c r="F2" s="46" t="s">
        <v>3</v>
      </c>
      <c r="G2" s="46"/>
      <c r="H2" s="46" t="s">
        <v>56</v>
      </c>
      <c r="I2" s="46"/>
    </row>
    <row r="3" spans="1:57" x14ac:dyDescent="0.25">
      <c r="A3" s="45"/>
      <c r="B3" s="47" t="s">
        <v>57</v>
      </c>
      <c r="C3" s="47" t="s">
        <v>5</v>
      </c>
      <c r="D3" s="47" t="s">
        <v>57</v>
      </c>
      <c r="E3" s="47" t="s">
        <v>5</v>
      </c>
      <c r="F3" s="47" t="s">
        <v>57</v>
      </c>
      <c r="G3" s="47" t="s">
        <v>5</v>
      </c>
      <c r="H3" s="47" t="s">
        <v>57</v>
      </c>
      <c r="I3" s="47" t="s">
        <v>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</row>
    <row r="4" spans="1:57" x14ac:dyDescent="0.25">
      <c r="A4" t="s">
        <v>18</v>
      </c>
      <c r="B4">
        <f>SUM('Clima institucional'!B5:E5)</f>
        <v>9</v>
      </c>
      <c r="C4" s="3" t="str">
        <f t="shared" ref="C4:C23" si="0">IF(B4&lt;=$Q$19,"Inadecuado",IF(B4&lt;=$Q$20,"Regular",IF(B4&lt;=$Q$21,"Adecuado",0)))</f>
        <v>Inadecuado</v>
      </c>
      <c r="D4">
        <f>SUM('Clima institucional'!F5:I5)</f>
        <v>15</v>
      </c>
      <c r="E4" s="3" t="str">
        <f t="shared" ref="E4:E23" si="1">IF(D4&lt;=$AC$19,"Inadecuado",IF(D4&lt;=$AC$20,"Regular",IF(D4&lt;=$AC$21,"Adecuado",0)))</f>
        <v>Regular</v>
      </c>
      <c r="F4">
        <f>SUM('Clima institucional'!J5:M5)</f>
        <v>13</v>
      </c>
      <c r="G4" s="3" t="str">
        <f t="shared" ref="G4:G23" si="2">IF(F4&lt;=$AO$19,"Inadecuado",IF(F4&lt;=$AO$20,"Regular",IF(F4&lt;=$AO$21,"Adecuado",0)))</f>
        <v>Regular</v>
      </c>
      <c r="H4">
        <f t="shared" ref="H4:H23" si="3">SUM(B4:F4)</f>
        <v>37</v>
      </c>
      <c r="I4" s="3" t="str">
        <f t="shared" ref="I4:I23" si="4">IF(H4&lt;=$BA$19,"Inadecuado",IF(H4&lt;=$BA$20,"Regular",IF(H4&lt;=$BA$21,"Adecuado",0)))</f>
        <v>Regular</v>
      </c>
      <c r="K4" s="4"/>
      <c r="M4" s="3" t="s">
        <v>58</v>
      </c>
      <c r="N4" s="3" t="s">
        <v>56</v>
      </c>
      <c r="U4" s="4"/>
      <c r="W4" s="4"/>
      <c r="Y4" s="3" t="s">
        <v>58</v>
      </c>
      <c r="Z4" s="3" t="s">
        <v>56</v>
      </c>
      <c r="AG4" s="4"/>
      <c r="AI4" s="4"/>
      <c r="AK4" s="3" t="s">
        <v>58</v>
      </c>
      <c r="AL4" s="3" t="s">
        <v>56</v>
      </c>
      <c r="AS4" s="4"/>
      <c r="AU4" s="18"/>
      <c r="AW4" s="3" t="s">
        <v>58</v>
      </c>
      <c r="AX4" s="3" t="s">
        <v>56</v>
      </c>
      <c r="BE4" s="18"/>
    </row>
    <row r="5" spans="1:57" x14ac:dyDescent="0.25">
      <c r="A5" t="s">
        <v>19</v>
      </c>
      <c r="B5">
        <f>SUM('Clima institucional'!B6:E6)</f>
        <v>8</v>
      </c>
      <c r="C5" s="3" t="str">
        <f t="shared" si="0"/>
        <v>Inadecuado</v>
      </c>
      <c r="D5">
        <f>SUM('Clima institucional'!F6:I6)</f>
        <v>11</v>
      </c>
      <c r="E5" s="3" t="str">
        <f t="shared" si="1"/>
        <v>Regular</v>
      </c>
      <c r="F5">
        <f>SUM('Clima institucional'!J6:M6)</f>
        <v>13</v>
      </c>
      <c r="G5" s="3" t="str">
        <f t="shared" si="2"/>
        <v>Regular</v>
      </c>
      <c r="H5">
        <f t="shared" si="3"/>
        <v>32</v>
      </c>
      <c r="I5" s="3" t="str">
        <f t="shared" si="4"/>
        <v>Regular</v>
      </c>
      <c r="K5" s="4"/>
      <c r="M5" s="3" t="s">
        <v>59</v>
      </c>
      <c r="N5" s="3" t="str">
        <f>B2</f>
        <v>Estructuración Organizacional</v>
      </c>
      <c r="U5" s="4"/>
      <c r="W5" s="4"/>
      <c r="Y5" s="3" t="s">
        <v>59</v>
      </c>
      <c r="Z5" s="3" t="str">
        <f>D2</f>
        <v>Relaciones Interpersonales</v>
      </c>
      <c r="AG5" s="4"/>
      <c r="AI5" s="4"/>
      <c r="AK5" s="3" t="s">
        <v>59</v>
      </c>
      <c r="AL5" s="3" t="str">
        <f>F2</f>
        <v>Identidad Institucional</v>
      </c>
      <c r="AS5" s="4"/>
      <c r="AU5" s="18"/>
      <c r="BE5" s="18"/>
    </row>
    <row r="6" spans="1:57" x14ac:dyDescent="0.25">
      <c r="A6" t="s">
        <v>20</v>
      </c>
      <c r="B6">
        <f>SUM('Clima institucional'!B7:E7)</f>
        <v>8</v>
      </c>
      <c r="C6" s="3" t="str">
        <f t="shared" si="0"/>
        <v>Inadecuado</v>
      </c>
      <c r="D6">
        <f>SUM('Clima institucional'!F7:I7)</f>
        <v>11</v>
      </c>
      <c r="E6" s="3" t="str">
        <f t="shared" si="1"/>
        <v>Regular</v>
      </c>
      <c r="F6">
        <f>SUM('Clima institucional'!J7:M7)</f>
        <v>10</v>
      </c>
      <c r="G6" s="3" t="str">
        <f t="shared" si="2"/>
        <v>Regular</v>
      </c>
      <c r="H6">
        <f t="shared" si="3"/>
        <v>29</v>
      </c>
      <c r="I6" s="3" t="str">
        <f t="shared" si="4"/>
        <v>Regular</v>
      </c>
      <c r="K6" s="4"/>
      <c r="M6" s="3" t="s">
        <v>60</v>
      </c>
      <c r="N6" s="3">
        <v>3</v>
      </c>
      <c r="U6" s="4"/>
      <c r="W6" s="4"/>
      <c r="Y6" s="3" t="s">
        <v>60</v>
      </c>
      <c r="Z6" s="3">
        <v>3</v>
      </c>
      <c r="AG6" s="4"/>
      <c r="AI6" s="4"/>
      <c r="AK6" s="3" t="s">
        <v>60</v>
      </c>
      <c r="AL6" s="3">
        <v>3</v>
      </c>
      <c r="AS6" s="4"/>
      <c r="AU6" s="18"/>
      <c r="AW6" s="3" t="s">
        <v>60</v>
      </c>
      <c r="AX6" s="3">
        <v>3</v>
      </c>
      <c r="BE6" s="18"/>
    </row>
    <row r="7" spans="1:57" x14ac:dyDescent="0.25">
      <c r="A7" t="s">
        <v>21</v>
      </c>
      <c r="B7">
        <f>SUM('Clima institucional'!B8:E8)</f>
        <v>5</v>
      </c>
      <c r="C7" s="3" t="str">
        <f t="shared" si="0"/>
        <v>Inadecuado</v>
      </c>
      <c r="D7">
        <f>SUM('Clima institucional'!F8:I8)</f>
        <v>5</v>
      </c>
      <c r="E7" s="3" t="str">
        <f t="shared" si="1"/>
        <v>Inadecuado</v>
      </c>
      <c r="F7">
        <f>SUM('Clima institucional'!J8:M8)</f>
        <v>4</v>
      </c>
      <c r="G7" s="3" t="str">
        <f t="shared" si="2"/>
        <v>Inadecuado</v>
      </c>
      <c r="H7">
        <f t="shared" si="3"/>
        <v>14</v>
      </c>
      <c r="I7" s="3" t="str">
        <f t="shared" si="4"/>
        <v>Inadecuado</v>
      </c>
      <c r="K7" s="4"/>
      <c r="M7" s="3" t="s">
        <v>61</v>
      </c>
      <c r="N7" s="3">
        <v>4</v>
      </c>
      <c r="U7" s="4"/>
      <c r="W7" s="4"/>
      <c r="Y7" s="3" t="s">
        <v>61</v>
      </c>
      <c r="Z7" s="3">
        <v>4</v>
      </c>
      <c r="AG7" s="4"/>
      <c r="AI7" s="4"/>
      <c r="AK7" s="3" t="s">
        <v>61</v>
      </c>
      <c r="AL7" s="3">
        <v>4</v>
      </c>
      <c r="AS7" s="4"/>
      <c r="AU7" s="18"/>
      <c r="AW7" s="3" t="s">
        <v>61</v>
      </c>
      <c r="AX7" s="3">
        <v>12</v>
      </c>
      <c r="BE7" s="18"/>
    </row>
    <row r="8" spans="1:57" x14ac:dyDescent="0.25">
      <c r="A8" t="s">
        <v>22</v>
      </c>
      <c r="B8">
        <f>SUM('Clima institucional'!B9:E9)</f>
        <v>5</v>
      </c>
      <c r="C8" s="3" t="str">
        <f t="shared" si="0"/>
        <v>Inadecuado</v>
      </c>
      <c r="D8">
        <f>SUM('Clima institucional'!F9:I9)</f>
        <v>6</v>
      </c>
      <c r="E8" s="3" t="str">
        <f t="shared" si="1"/>
        <v>Inadecuado</v>
      </c>
      <c r="F8">
        <f>SUM('Clima institucional'!J9:M9)</f>
        <v>4</v>
      </c>
      <c r="G8" s="3" t="str">
        <f t="shared" si="2"/>
        <v>Inadecuado</v>
      </c>
      <c r="H8">
        <f t="shared" si="3"/>
        <v>15</v>
      </c>
      <c r="I8" s="3" t="str">
        <f t="shared" si="4"/>
        <v>Inadecuado</v>
      </c>
      <c r="K8" s="4"/>
      <c r="M8" s="3" t="s">
        <v>62</v>
      </c>
      <c r="N8" s="3">
        <v>1</v>
      </c>
      <c r="U8" s="4"/>
      <c r="W8" s="4"/>
      <c r="Y8" s="3" t="s">
        <v>62</v>
      </c>
      <c r="Z8" s="3">
        <v>1</v>
      </c>
      <c r="AG8" s="4"/>
      <c r="AI8" s="4"/>
      <c r="AK8" s="3" t="s">
        <v>62</v>
      </c>
      <c r="AL8" s="3">
        <v>1</v>
      </c>
      <c r="AS8" s="4"/>
      <c r="AU8" s="18"/>
      <c r="AW8" s="3" t="s">
        <v>62</v>
      </c>
      <c r="AX8" s="3">
        <v>1</v>
      </c>
      <c r="BE8" s="18"/>
    </row>
    <row r="9" spans="1:57" x14ac:dyDescent="0.25">
      <c r="A9" t="s">
        <v>23</v>
      </c>
      <c r="B9">
        <f>SUM('Clima institucional'!B10:E10)</f>
        <v>7</v>
      </c>
      <c r="C9" s="3" t="str">
        <f t="shared" si="0"/>
        <v>Inadecuado</v>
      </c>
      <c r="D9">
        <f>SUM('Clima institucional'!F10:I10)</f>
        <v>7</v>
      </c>
      <c r="E9" s="3" t="str">
        <f t="shared" si="1"/>
        <v>Inadecuado</v>
      </c>
      <c r="F9">
        <f>SUM('Clima institucional'!J10:M10)</f>
        <v>8</v>
      </c>
      <c r="G9" s="3" t="str">
        <f t="shared" si="2"/>
        <v>Inadecuado</v>
      </c>
      <c r="H9">
        <f t="shared" si="3"/>
        <v>22</v>
      </c>
      <c r="I9" s="3" t="str">
        <f t="shared" si="4"/>
        <v>Inadecuado</v>
      </c>
      <c r="K9" s="4"/>
      <c r="M9" s="3" t="s">
        <v>63</v>
      </c>
      <c r="N9" s="3">
        <v>5</v>
      </c>
      <c r="U9" s="4"/>
      <c r="W9" s="4"/>
      <c r="Y9" s="3" t="s">
        <v>63</v>
      </c>
      <c r="Z9" s="3">
        <v>5</v>
      </c>
      <c r="AG9" s="4"/>
      <c r="AI9" s="4"/>
      <c r="AK9" s="3" t="s">
        <v>63</v>
      </c>
      <c r="AL9" s="3">
        <v>5</v>
      </c>
      <c r="AS9" s="4"/>
      <c r="AU9" s="18"/>
      <c r="AW9" s="3" t="s">
        <v>63</v>
      </c>
      <c r="AX9" s="3">
        <v>5</v>
      </c>
      <c r="BE9" s="18"/>
    </row>
    <row r="10" spans="1:57" x14ac:dyDescent="0.25">
      <c r="A10" t="s">
        <v>24</v>
      </c>
      <c r="B10">
        <f>SUM('Clima institucional'!B11:E11)</f>
        <v>7</v>
      </c>
      <c r="C10" s="3" t="str">
        <f t="shared" si="0"/>
        <v>Inadecuado</v>
      </c>
      <c r="D10">
        <f>SUM('Clima institucional'!F11:I11)</f>
        <v>5</v>
      </c>
      <c r="E10" s="3" t="str">
        <f t="shared" si="1"/>
        <v>Inadecuado</v>
      </c>
      <c r="F10">
        <f>SUM('Clima institucional'!J11:M11)</f>
        <v>4</v>
      </c>
      <c r="G10" s="3" t="str">
        <f t="shared" si="2"/>
        <v>Inadecuado</v>
      </c>
      <c r="H10">
        <f t="shared" si="3"/>
        <v>16</v>
      </c>
      <c r="I10" s="3" t="str">
        <f t="shared" si="4"/>
        <v>Inadecuado</v>
      </c>
      <c r="K10" s="4"/>
      <c r="M10" s="3" t="s">
        <v>64</v>
      </c>
      <c r="N10" s="3">
        <f>N7*N9</f>
        <v>20</v>
      </c>
      <c r="U10" s="4"/>
      <c r="W10" s="4"/>
      <c r="Y10" s="3" t="s">
        <v>64</v>
      </c>
      <c r="Z10" s="3">
        <f>Z7*Z9</f>
        <v>20</v>
      </c>
      <c r="AG10" s="4"/>
      <c r="AI10" s="4"/>
      <c r="AK10" s="3" t="s">
        <v>64</v>
      </c>
      <c r="AL10" s="3">
        <f>AL7*AL9</f>
        <v>20</v>
      </c>
      <c r="AS10" s="4"/>
      <c r="AU10" s="18"/>
      <c r="AW10" s="3" t="s">
        <v>64</v>
      </c>
      <c r="AX10" s="3">
        <f>AX7*AX9</f>
        <v>60</v>
      </c>
      <c r="BE10" s="18"/>
    </row>
    <row r="11" spans="1:57" x14ac:dyDescent="0.25">
      <c r="A11" t="s">
        <v>25</v>
      </c>
      <c r="B11">
        <f>SUM('Clima institucional'!B12:E12)</f>
        <v>13</v>
      </c>
      <c r="C11" s="3" t="str">
        <f t="shared" si="0"/>
        <v>Regular</v>
      </c>
      <c r="D11">
        <f>SUM('Clima institucional'!F12:I12)</f>
        <v>16</v>
      </c>
      <c r="E11" s="3" t="str">
        <f t="shared" si="1"/>
        <v>Adecuado</v>
      </c>
      <c r="F11">
        <f>SUM('Clima institucional'!J12:M12)</f>
        <v>19</v>
      </c>
      <c r="G11" s="3" t="str">
        <f t="shared" si="2"/>
        <v>Adecuado</v>
      </c>
      <c r="H11">
        <f t="shared" si="3"/>
        <v>48</v>
      </c>
      <c r="I11" s="3" t="str">
        <f t="shared" si="4"/>
        <v>Adecuado</v>
      </c>
      <c r="K11" s="4"/>
      <c r="M11" s="3" t="s">
        <v>65</v>
      </c>
      <c r="N11" s="3">
        <f>N8*N7</f>
        <v>4</v>
      </c>
      <c r="U11" s="4"/>
      <c r="W11" s="4"/>
      <c r="Y11" s="3" t="s">
        <v>65</v>
      </c>
      <c r="Z11" s="3">
        <f>Z8*Z7</f>
        <v>4</v>
      </c>
      <c r="AG11" s="4"/>
      <c r="AI11" s="4"/>
      <c r="AK11" s="3" t="s">
        <v>65</v>
      </c>
      <c r="AL11" s="3">
        <f>AL8*AL7</f>
        <v>4</v>
      </c>
      <c r="AS11" s="4"/>
      <c r="AU11" s="18"/>
      <c r="AW11" s="3" t="s">
        <v>65</v>
      </c>
      <c r="AX11" s="3">
        <f>AX8*AX7</f>
        <v>12</v>
      </c>
      <c r="BE11" s="18"/>
    </row>
    <row r="12" spans="1:57" x14ac:dyDescent="0.25">
      <c r="A12" t="s">
        <v>26</v>
      </c>
      <c r="B12">
        <f>SUM('Clima institucional'!B13:E13)</f>
        <v>6</v>
      </c>
      <c r="C12" s="3" t="str">
        <f t="shared" si="0"/>
        <v>Inadecuado</v>
      </c>
      <c r="D12">
        <f>SUM('Clima institucional'!F13:I13)</f>
        <v>7</v>
      </c>
      <c r="E12" s="3" t="str">
        <f t="shared" si="1"/>
        <v>Inadecuado</v>
      </c>
      <c r="F12">
        <f>SUM('Clima institucional'!J13:M13)</f>
        <v>6</v>
      </c>
      <c r="G12" s="3" t="str">
        <f t="shared" si="2"/>
        <v>Inadecuado</v>
      </c>
      <c r="H12">
        <f t="shared" si="3"/>
        <v>19</v>
      </c>
      <c r="I12" s="3" t="str">
        <f t="shared" si="4"/>
        <v>Inadecuado</v>
      </c>
      <c r="K12" s="4"/>
      <c r="M12" s="3" t="s">
        <v>66</v>
      </c>
      <c r="N12" s="3">
        <f>N10-N11</f>
        <v>16</v>
      </c>
      <c r="U12" s="4"/>
      <c r="W12" s="4"/>
      <c r="Y12" s="3" t="s">
        <v>66</v>
      </c>
      <c r="Z12" s="3">
        <f>Z10-Z11</f>
        <v>16</v>
      </c>
      <c r="AG12" s="4"/>
      <c r="AI12" s="4"/>
      <c r="AK12" s="3" t="s">
        <v>66</v>
      </c>
      <c r="AL12" s="3">
        <f>AL10-AL11</f>
        <v>16</v>
      </c>
      <c r="AS12" s="4"/>
      <c r="AU12" s="18"/>
      <c r="AW12" s="3" t="s">
        <v>66</v>
      </c>
      <c r="AX12" s="3">
        <f>AX10-AX11</f>
        <v>48</v>
      </c>
      <c r="BE12" s="18"/>
    </row>
    <row r="13" spans="1:57" x14ac:dyDescent="0.25">
      <c r="A13" t="s">
        <v>27</v>
      </c>
      <c r="B13">
        <f>SUM('Clima institucional'!B14:E14)</f>
        <v>7</v>
      </c>
      <c r="C13" s="3" t="str">
        <f t="shared" si="0"/>
        <v>Inadecuado</v>
      </c>
      <c r="D13">
        <f>SUM('Clima institucional'!F14:I14)</f>
        <v>6</v>
      </c>
      <c r="E13" s="3" t="str">
        <f t="shared" si="1"/>
        <v>Inadecuado</v>
      </c>
      <c r="F13">
        <f>SUM('Clima institucional'!J14:M14)</f>
        <v>5</v>
      </c>
      <c r="G13" s="3" t="str">
        <f t="shared" si="2"/>
        <v>Inadecuado</v>
      </c>
      <c r="H13">
        <f t="shared" si="3"/>
        <v>18</v>
      </c>
      <c r="I13" s="3" t="str">
        <f t="shared" si="4"/>
        <v>Inadecuado</v>
      </c>
      <c r="K13" s="4"/>
      <c r="M13" s="3" t="s">
        <v>67</v>
      </c>
      <c r="N13" s="3">
        <f>ROUND(N12/N6,0)</f>
        <v>5</v>
      </c>
      <c r="U13" s="4"/>
      <c r="W13" s="4"/>
      <c r="Y13" s="3" t="s">
        <v>67</v>
      </c>
      <c r="Z13" s="3">
        <f>ROUND(Z12/Z6,0)</f>
        <v>5</v>
      </c>
      <c r="AG13" s="4"/>
      <c r="AI13" s="4"/>
      <c r="AK13" s="3" t="s">
        <v>67</v>
      </c>
      <c r="AL13" s="3">
        <f>ROUND(AL12/AL6,0)</f>
        <v>5</v>
      </c>
      <c r="AS13" s="4"/>
      <c r="AU13" s="18"/>
      <c r="AW13" s="3" t="s">
        <v>67</v>
      </c>
      <c r="AX13" s="3">
        <f>ROUND(AX12/AX6,0)</f>
        <v>16</v>
      </c>
      <c r="BE13" s="18"/>
    </row>
    <row r="14" spans="1:57" x14ac:dyDescent="0.25">
      <c r="A14" t="s">
        <v>28</v>
      </c>
      <c r="B14">
        <f>SUM('Clima institucional'!B15:E15)</f>
        <v>15</v>
      </c>
      <c r="C14" s="3" t="str">
        <f t="shared" si="0"/>
        <v>Regular</v>
      </c>
      <c r="D14">
        <f>SUM('Clima institucional'!F15:I15)</f>
        <v>16</v>
      </c>
      <c r="E14" s="3" t="str">
        <f t="shared" si="1"/>
        <v>Adecuado</v>
      </c>
      <c r="F14">
        <f>SUM('Clima institucional'!J15:M15)</f>
        <v>15</v>
      </c>
      <c r="G14" s="3" t="str">
        <f t="shared" si="2"/>
        <v>Regular</v>
      </c>
      <c r="H14">
        <f t="shared" si="3"/>
        <v>46</v>
      </c>
      <c r="I14" s="3" t="str">
        <f t="shared" si="4"/>
        <v>Adecuado</v>
      </c>
      <c r="K14" s="4"/>
      <c r="O14" s="8"/>
      <c r="P14" s="8"/>
      <c r="Q14" s="8"/>
      <c r="R14" s="8"/>
      <c r="S14" s="8"/>
      <c r="U14" s="4"/>
      <c r="W14" s="4"/>
      <c r="AA14" s="8"/>
      <c r="AB14" s="8"/>
      <c r="AC14" s="8"/>
      <c r="AD14" s="8"/>
      <c r="AE14" s="8"/>
      <c r="AG14" s="4"/>
      <c r="AI14" s="4"/>
      <c r="AM14" s="8"/>
      <c r="AN14" s="8"/>
      <c r="AO14" s="8"/>
      <c r="AP14" s="8"/>
      <c r="AQ14" s="8"/>
      <c r="AS14" s="4"/>
      <c r="AU14" s="18"/>
      <c r="AY14" s="8"/>
      <c r="AZ14" s="8"/>
      <c r="BA14" s="8"/>
      <c r="BB14" s="8"/>
      <c r="BC14" s="8"/>
      <c r="BE14" s="18"/>
    </row>
    <row r="15" spans="1:57" x14ac:dyDescent="0.25">
      <c r="A15" t="s">
        <v>29</v>
      </c>
      <c r="B15">
        <f>SUM('Clima institucional'!B16:E16)</f>
        <v>6</v>
      </c>
      <c r="C15" s="3" t="str">
        <f t="shared" si="0"/>
        <v>Inadecuado</v>
      </c>
      <c r="D15">
        <f>SUM('Clima institucional'!F16:I16)</f>
        <v>5</v>
      </c>
      <c r="E15" s="3" t="str">
        <f t="shared" si="1"/>
        <v>Inadecuado</v>
      </c>
      <c r="F15">
        <f>SUM('Clima institucional'!J16:M16)</f>
        <v>4</v>
      </c>
      <c r="G15" s="3" t="str">
        <f t="shared" si="2"/>
        <v>Inadecuado</v>
      </c>
      <c r="H15">
        <f t="shared" si="3"/>
        <v>15</v>
      </c>
      <c r="I15" s="3" t="str">
        <f t="shared" si="4"/>
        <v>Inadecuado</v>
      </c>
      <c r="K15" s="4"/>
      <c r="O15" s="15" t="s">
        <v>68</v>
      </c>
      <c r="P15" s="8"/>
      <c r="Q15" s="8"/>
      <c r="R15" s="8"/>
      <c r="S15" s="8"/>
      <c r="U15" s="4"/>
      <c r="W15" s="4"/>
      <c r="AA15" s="15" t="s">
        <v>69</v>
      </c>
      <c r="AB15" s="8"/>
      <c r="AC15" s="8"/>
      <c r="AD15" s="8"/>
      <c r="AE15" s="8"/>
      <c r="AG15" s="4"/>
      <c r="AI15" s="4"/>
      <c r="AM15" s="15" t="s">
        <v>70</v>
      </c>
      <c r="AN15" s="8"/>
      <c r="AO15" s="8"/>
      <c r="AP15" s="8"/>
      <c r="AQ15" s="8"/>
      <c r="AS15" s="4"/>
      <c r="AU15" s="18"/>
      <c r="AY15" s="15" t="s">
        <v>71</v>
      </c>
      <c r="AZ15" s="8"/>
      <c r="BA15" s="8"/>
      <c r="BB15" s="8"/>
      <c r="BC15" s="8"/>
      <c r="BE15" s="18"/>
    </row>
    <row r="16" spans="1:57" x14ac:dyDescent="0.25">
      <c r="A16" t="s">
        <v>30</v>
      </c>
      <c r="B16">
        <f>SUM('Clima institucional'!B17:E17)</f>
        <v>7</v>
      </c>
      <c r="C16" s="3" t="str">
        <f t="shared" si="0"/>
        <v>Inadecuado</v>
      </c>
      <c r="D16">
        <f>SUM('Clima institucional'!F17:I17)</f>
        <v>8</v>
      </c>
      <c r="E16" s="3" t="str">
        <f t="shared" si="1"/>
        <v>Inadecuado</v>
      </c>
      <c r="F16">
        <f>SUM('Clima institucional'!J17:M17)</f>
        <v>8</v>
      </c>
      <c r="G16" s="3" t="str">
        <f t="shared" si="2"/>
        <v>Inadecuado</v>
      </c>
      <c r="H16">
        <f t="shared" si="3"/>
        <v>23</v>
      </c>
      <c r="I16" s="3" t="str">
        <f t="shared" si="4"/>
        <v>Inadecuado</v>
      </c>
      <c r="K16" s="4"/>
      <c r="O16" s="16" t="str">
        <f>N5</f>
        <v>Estructuración Organizacional</v>
      </c>
      <c r="P16" s="11"/>
      <c r="Q16" s="11"/>
      <c r="R16" s="11"/>
      <c r="S16" s="11"/>
      <c r="U16" s="4"/>
      <c r="W16" s="4"/>
      <c r="AA16" s="16" t="str">
        <f>Z5</f>
        <v>Relaciones Interpersonales</v>
      </c>
      <c r="AB16" s="11"/>
      <c r="AC16" s="11"/>
      <c r="AD16" s="11"/>
      <c r="AE16" s="11"/>
      <c r="AG16" s="4"/>
      <c r="AI16" s="4"/>
      <c r="AM16" s="16" t="str">
        <f>AL5</f>
        <v>Identidad Institucional</v>
      </c>
      <c r="AN16" s="11"/>
      <c r="AO16" s="11"/>
      <c r="AP16" s="11"/>
      <c r="AQ16" s="11"/>
      <c r="AS16" s="4"/>
      <c r="AU16" s="18"/>
      <c r="AY16" s="16" t="s">
        <v>56</v>
      </c>
      <c r="AZ16" s="11"/>
      <c r="BA16" s="11"/>
      <c r="BB16" s="11"/>
      <c r="BC16" s="11"/>
      <c r="BE16" s="18"/>
    </row>
    <row r="17" spans="1:57" x14ac:dyDescent="0.25">
      <c r="A17" t="s">
        <v>31</v>
      </c>
      <c r="B17">
        <f>SUM('Clima institucional'!B18:E18)</f>
        <v>13</v>
      </c>
      <c r="C17" s="3" t="str">
        <f t="shared" si="0"/>
        <v>Regular</v>
      </c>
      <c r="D17">
        <f>SUM('Clima institucional'!F18:I18)</f>
        <v>16</v>
      </c>
      <c r="E17" s="3" t="str">
        <f t="shared" si="1"/>
        <v>Adecuado</v>
      </c>
      <c r="F17">
        <f>SUM('Clima institucional'!J18:M18)</f>
        <v>16</v>
      </c>
      <c r="G17" s="3" t="str">
        <f t="shared" si="2"/>
        <v>Adecuado</v>
      </c>
      <c r="H17">
        <f t="shared" si="3"/>
        <v>45</v>
      </c>
      <c r="I17" s="3" t="str">
        <f t="shared" si="4"/>
        <v>Adecuado</v>
      </c>
      <c r="K17" s="4"/>
      <c r="O17" s="48" t="s">
        <v>72</v>
      </c>
      <c r="P17" s="50" t="s">
        <v>66</v>
      </c>
      <c r="Q17" s="50"/>
      <c r="R17" s="50" t="s">
        <v>73</v>
      </c>
      <c r="S17" s="50" t="s">
        <v>74</v>
      </c>
      <c r="U17" s="4"/>
      <c r="W17" s="4"/>
      <c r="AA17" s="48" t="s">
        <v>72</v>
      </c>
      <c r="AB17" s="50" t="s">
        <v>66</v>
      </c>
      <c r="AC17" s="50"/>
      <c r="AD17" s="50" t="s">
        <v>73</v>
      </c>
      <c r="AE17" s="50" t="s">
        <v>74</v>
      </c>
      <c r="AG17" s="4"/>
      <c r="AI17" s="4"/>
      <c r="AM17" s="48" t="s">
        <v>72</v>
      </c>
      <c r="AN17" s="50" t="s">
        <v>66</v>
      </c>
      <c r="AO17" s="50"/>
      <c r="AP17" s="50" t="s">
        <v>73</v>
      </c>
      <c r="AQ17" s="50" t="s">
        <v>74</v>
      </c>
      <c r="AS17" s="4"/>
      <c r="AU17" s="18"/>
      <c r="AY17" s="61" t="s">
        <v>72</v>
      </c>
      <c r="AZ17" s="62" t="s">
        <v>66</v>
      </c>
      <c r="BA17" s="62"/>
      <c r="BB17" s="62" t="s">
        <v>73</v>
      </c>
      <c r="BC17" s="62" t="s">
        <v>74</v>
      </c>
      <c r="BE17" s="18"/>
    </row>
    <row r="18" spans="1:57" x14ac:dyDescent="0.25">
      <c r="A18" t="s">
        <v>32</v>
      </c>
      <c r="B18">
        <f>SUM('Clima institucional'!B19:E19)</f>
        <v>7</v>
      </c>
      <c r="C18" s="3" t="str">
        <f t="shared" si="0"/>
        <v>Inadecuado</v>
      </c>
      <c r="D18">
        <f>SUM('Clima institucional'!F19:I19)</f>
        <v>7</v>
      </c>
      <c r="E18" s="3" t="str">
        <f t="shared" si="1"/>
        <v>Inadecuado</v>
      </c>
      <c r="F18">
        <f>SUM('Clima institucional'!J19:M19)</f>
        <v>9</v>
      </c>
      <c r="G18" s="3" t="str">
        <f t="shared" si="2"/>
        <v>Inadecuado</v>
      </c>
      <c r="H18">
        <f t="shared" si="3"/>
        <v>23</v>
      </c>
      <c r="I18" s="3" t="str">
        <f t="shared" si="4"/>
        <v>Inadecuado</v>
      </c>
      <c r="K18" s="4"/>
      <c r="O18" s="49"/>
      <c r="P18" s="11" t="s">
        <v>75</v>
      </c>
      <c r="Q18" s="11" t="s">
        <v>76</v>
      </c>
      <c r="R18" s="51"/>
      <c r="S18" s="51"/>
      <c r="U18" s="4"/>
      <c r="W18" s="4"/>
      <c r="AA18" s="49"/>
      <c r="AB18" s="11" t="s">
        <v>75</v>
      </c>
      <c r="AC18" s="11" t="s">
        <v>76</v>
      </c>
      <c r="AD18" s="51"/>
      <c r="AE18" s="51"/>
      <c r="AG18" s="4"/>
      <c r="AI18" s="4"/>
      <c r="AM18" s="49"/>
      <c r="AN18" s="11" t="s">
        <v>75</v>
      </c>
      <c r="AO18" s="11" t="s">
        <v>76</v>
      </c>
      <c r="AP18" s="51"/>
      <c r="AQ18" s="51"/>
      <c r="AS18" s="4"/>
      <c r="AU18" s="18"/>
      <c r="AY18" s="63"/>
      <c r="AZ18" s="11" t="s">
        <v>75</v>
      </c>
      <c r="BA18" s="11" t="s">
        <v>76</v>
      </c>
      <c r="BB18" s="11"/>
      <c r="BC18" s="11"/>
      <c r="BE18" s="18"/>
    </row>
    <row r="19" spans="1:57" x14ac:dyDescent="0.25">
      <c r="A19" t="s">
        <v>33</v>
      </c>
      <c r="B19">
        <f>SUM('Clima institucional'!B20:E20)</f>
        <v>5</v>
      </c>
      <c r="C19" s="3" t="str">
        <f t="shared" si="0"/>
        <v>Inadecuado</v>
      </c>
      <c r="D19">
        <f>SUM('Clima institucional'!F20:I20)</f>
        <v>7</v>
      </c>
      <c r="E19" s="3" t="str">
        <f t="shared" si="1"/>
        <v>Inadecuado</v>
      </c>
      <c r="F19">
        <f>SUM('Clima institucional'!J20:M20)</f>
        <v>4</v>
      </c>
      <c r="G19" s="3" t="str">
        <f t="shared" si="2"/>
        <v>Inadecuado</v>
      </c>
      <c r="H19">
        <f t="shared" si="3"/>
        <v>16</v>
      </c>
      <c r="I19" s="3" t="str">
        <f t="shared" si="4"/>
        <v>Inadecuado</v>
      </c>
      <c r="K19" s="4"/>
      <c r="O19" s="9" t="s">
        <v>77</v>
      </c>
      <c r="P19" s="9">
        <f>N11</f>
        <v>4</v>
      </c>
      <c r="Q19" s="9">
        <f>P19+N13</f>
        <v>9</v>
      </c>
      <c r="R19" s="9">
        <f>COUNTIF($C$4:$C$23,$O19)</f>
        <v>17</v>
      </c>
      <c r="S19" s="13">
        <f>R19/R22</f>
        <v>0.85</v>
      </c>
      <c r="U19" s="4"/>
      <c r="W19" s="4"/>
      <c r="AA19" s="9" t="s">
        <v>77</v>
      </c>
      <c r="AB19" s="9">
        <f>Z11</f>
        <v>4</v>
      </c>
      <c r="AC19" s="9">
        <f>AB19+Z13</f>
        <v>9</v>
      </c>
      <c r="AD19" s="9">
        <f>COUNTIF($E$4:$E$23,$AA19)</f>
        <v>14</v>
      </c>
      <c r="AE19" s="13">
        <f>AD19/AD22</f>
        <v>0.7</v>
      </c>
      <c r="AG19" s="4"/>
      <c r="AI19" s="4"/>
      <c r="AM19" s="9" t="s">
        <v>77</v>
      </c>
      <c r="AN19" s="9">
        <f>AL11</f>
        <v>4</v>
      </c>
      <c r="AO19" s="9">
        <f>AN19+AL13</f>
        <v>9</v>
      </c>
      <c r="AP19" s="9">
        <f>COUNTIF($G$4:$G$23,$AM19)</f>
        <v>14</v>
      </c>
      <c r="AQ19" s="13">
        <f>AP19/AP22</f>
        <v>0.7</v>
      </c>
      <c r="AS19" s="4"/>
      <c r="AU19" s="18"/>
      <c r="AY19" s="9" t="s">
        <v>77</v>
      </c>
      <c r="AZ19" s="9">
        <v>12</v>
      </c>
      <c r="BA19" s="9">
        <v>27</v>
      </c>
      <c r="BB19" s="9">
        <v>14</v>
      </c>
      <c r="BC19" s="13">
        <v>0.7</v>
      </c>
      <c r="BE19" s="18"/>
    </row>
    <row r="20" spans="1:57" x14ac:dyDescent="0.25">
      <c r="A20" t="s">
        <v>34</v>
      </c>
      <c r="B20">
        <f>SUM('Clima institucional'!B21:E21)</f>
        <v>8</v>
      </c>
      <c r="C20" s="3" t="str">
        <f t="shared" si="0"/>
        <v>Inadecuado</v>
      </c>
      <c r="D20">
        <f>SUM('Clima institucional'!F21:I21)</f>
        <v>9</v>
      </c>
      <c r="E20" s="3" t="str">
        <f t="shared" si="1"/>
        <v>Inadecuado</v>
      </c>
      <c r="F20">
        <f>SUM('Clima institucional'!J21:M21)</f>
        <v>7</v>
      </c>
      <c r="G20" s="3" t="str">
        <f t="shared" si="2"/>
        <v>Inadecuado</v>
      </c>
      <c r="H20">
        <f t="shared" si="3"/>
        <v>24</v>
      </c>
      <c r="I20" s="3" t="str">
        <f t="shared" si="4"/>
        <v>Inadecuado</v>
      </c>
      <c r="K20" s="4"/>
      <c r="O20" s="9" t="s">
        <v>78</v>
      </c>
      <c r="P20" s="9">
        <f>Q19+ 1</f>
        <v>10</v>
      </c>
      <c r="Q20" s="9">
        <f>P20+N13</f>
        <v>15</v>
      </c>
      <c r="R20" s="9">
        <f>COUNTIF($C$4:$C$23,$O20)</f>
        <v>3</v>
      </c>
      <c r="S20" s="13">
        <f>R20/R22</f>
        <v>0.15</v>
      </c>
      <c r="U20" s="4"/>
      <c r="W20" s="4"/>
      <c r="AA20" s="9" t="s">
        <v>78</v>
      </c>
      <c r="AB20" s="9">
        <f>AC19+ 1</f>
        <v>10</v>
      </c>
      <c r="AC20" s="9">
        <f>AB20+Z13</f>
        <v>15</v>
      </c>
      <c r="AD20" s="9">
        <f>COUNTIF($E$4:$E$23,$AA20)</f>
        <v>3</v>
      </c>
      <c r="AE20" s="13">
        <f>AD20/AD22</f>
        <v>0.15</v>
      </c>
      <c r="AG20" s="4"/>
      <c r="AI20" s="4"/>
      <c r="AM20" s="9" t="s">
        <v>78</v>
      </c>
      <c r="AN20" s="9">
        <f>AO19+ 1</f>
        <v>10</v>
      </c>
      <c r="AO20" s="9">
        <f>AN20+AL13</f>
        <v>15</v>
      </c>
      <c r="AP20" s="9">
        <f>COUNTIF($G$4:$G$23,$AM20)</f>
        <v>4</v>
      </c>
      <c r="AQ20" s="13">
        <f>AP20/AP22</f>
        <v>0.2</v>
      </c>
      <c r="AS20" s="4"/>
      <c r="AU20" s="18"/>
      <c r="AY20" s="9" t="s">
        <v>78</v>
      </c>
      <c r="AZ20" s="9">
        <v>28</v>
      </c>
      <c r="BA20" s="9">
        <v>43</v>
      </c>
      <c r="BB20" s="9">
        <v>3</v>
      </c>
      <c r="BC20" s="13">
        <v>0.15</v>
      </c>
      <c r="BE20" s="18"/>
    </row>
    <row r="21" spans="1:57" x14ac:dyDescent="0.25">
      <c r="A21" t="s">
        <v>35</v>
      </c>
      <c r="B21">
        <f>SUM('Clima institucional'!B22:E22)</f>
        <v>5</v>
      </c>
      <c r="C21" s="3" t="str">
        <f t="shared" si="0"/>
        <v>Inadecuado</v>
      </c>
      <c r="D21">
        <f>SUM('Clima institucional'!F22:I22)</f>
        <v>4</v>
      </c>
      <c r="E21" s="3" t="str">
        <f t="shared" si="1"/>
        <v>Inadecuado</v>
      </c>
      <c r="F21">
        <f>SUM('Clima institucional'!J22:M22)</f>
        <v>4</v>
      </c>
      <c r="G21" s="3" t="str">
        <f t="shared" si="2"/>
        <v>Inadecuado</v>
      </c>
      <c r="H21">
        <f t="shared" si="3"/>
        <v>13</v>
      </c>
      <c r="I21" s="3" t="str">
        <f t="shared" si="4"/>
        <v>Inadecuado</v>
      </c>
      <c r="K21" s="4"/>
      <c r="O21" s="9" t="s">
        <v>79</v>
      </c>
      <c r="P21" s="9">
        <f>Q20+ 1</f>
        <v>16</v>
      </c>
      <c r="Q21" s="9">
        <f>N10</f>
        <v>20</v>
      </c>
      <c r="R21" s="9">
        <f>COUNTIF($C$4:$C$23,$O21)</f>
        <v>0</v>
      </c>
      <c r="S21" s="13">
        <f>R21/R22</f>
        <v>0</v>
      </c>
      <c r="U21" s="4"/>
      <c r="W21" s="4"/>
      <c r="AA21" s="9" t="s">
        <v>79</v>
      </c>
      <c r="AB21" s="9">
        <f>AC20+ 1</f>
        <v>16</v>
      </c>
      <c r="AC21" s="9">
        <f>Z10</f>
        <v>20</v>
      </c>
      <c r="AD21" s="9">
        <f>COUNTIF($E$4:$E$23,$AA21)</f>
        <v>3</v>
      </c>
      <c r="AE21" s="13">
        <f>AD21/AD22</f>
        <v>0.15</v>
      </c>
      <c r="AG21" s="4"/>
      <c r="AI21" s="4"/>
      <c r="AM21" s="9" t="s">
        <v>79</v>
      </c>
      <c r="AN21" s="9">
        <f>AO20+ 1</f>
        <v>16</v>
      </c>
      <c r="AO21" s="9">
        <f>AL10</f>
        <v>20</v>
      </c>
      <c r="AP21" s="9">
        <f>COUNTIF($G$4:$G$23,$AM21)</f>
        <v>2</v>
      </c>
      <c r="AQ21" s="13">
        <f>AP21/AP22</f>
        <v>0.1</v>
      </c>
      <c r="AS21" s="4"/>
      <c r="AU21" s="18"/>
      <c r="AY21" s="9" t="s">
        <v>79</v>
      </c>
      <c r="AZ21" s="9">
        <v>44</v>
      </c>
      <c r="BA21" s="9">
        <v>60</v>
      </c>
      <c r="BB21" s="9">
        <v>3</v>
      </c>
      <c r="BC21" s="13">
        <v>0.15</v>
      </c>
      <c r="BE21" s="18"/>
    </row>
    <row r="22" spans="1:57" x14ac:dyDescent="0.25">
      <c r="A22" t="s">
        <v>36</v>
      </c>
      <c r="B22">
        <f>SUM('Clima institucional'!B23:E23)</f>
        <v>8</v>
      </c>
      <c r="C22" s="3" t="str">
        <f t="shared" si="0"/>
        <v>Inadecuado</v>
      </c>
      <c r="D22">
        <f>SUM('Clima institucional'!F23:I23)</f>
        <v>7</v>
      </c>
      <c r="E22" s="3" t="str">
        <f t="shared" si="1"/>
        <v>Inadecuado</v>
      </c>
      <c r="F22">
        <f>SUM('Clima institucional'!J23:M23)</f>
        <v>7</v>
      </c>
      <c r="G22" s="3" t="str">
        <f t="shared" si="2"/>
        <v>Inadecuado</v>
      </c>
      <c r="H22">
        <f t="shared" si="3"/>
        <v>22</v>
      </c>
      <c r="I22" s="3" t="str">
        <f t="shared" si="4"/>
        <v>Inadecuado</v>
      </c>
      <c r="K22" s="4"/>
      <c r="O22" s="10" t="s">
        <v>4</v>
      </c>
      <c r="P22" s="12"/>
      <c r="Q22" s="12"/>
      <c r="R22" s="10">
        <f>SUM(R19:R21)</f>
        <v>20</v>
      </c>
      <c r="S22" s="14">
        <f>SUM(S19:S21)</f>
        <v>1</v>
      </c>
      <c r="U22" s="4"/>
      <c r="W22" s="4"/>
      <c r="AA22" s="10" t="s">
        <v>4</v>
      </c>
      <c r="AB22" s="12"/>
      <c r="AC22" s="12"/>
      <c r="AD22" s="10">
        <f>SUM(AD19:AD21)</f>
        <v>20</v>
      </c>
      <c r="AE22" s="14">
        <f>SUM(AE19:AE21)</f>
        <v>1</v>
      </c>
      <c r="AG22" s="4"/>
      <c r="AI22" s="4"/>
      <c r="AM22" s="10" t="s">
        <v>4</v>
      </c>
      <c r="AN22" s="12"/>
      <c r="AO22" s="12"/>
      <c r="AP22" s="10">
        <f>SUM(AP19:AP21)</f>
        <v>20</v>
      </c>
      <c r="AQ22" s="14">
        <f>SUM(AQ19:AQ21)</f>
        <v>0.99999999999999989</v>
      </c>
      <c r="AS22" s="4"/>
      <c r="AU22" s="18"/>
      <c r="AY22" s="10" t="s">
        <v>4</v>
      </c>
      <c r="AZ22" s="12"/>
      <c r="BA22" s="12"/>
      <c r="BB22" s="10">
        <v>20</v>
      </c>
      <c r="BC22" s="14">
        <v>1</v>
      </c>
      <c r="BE22" s="18"/>
    </row>
    <row r="23" spans="1:57" x14ac:dyDescent="0.25">
      <c r="A23" t="s">
        <v>37</v>
      </c>
      <c r="B23">
        <f>SUM('Clima institucional'!B24:E24)</f>
        <v>8</v>
      </c>
      <c r="C23" s="3" t="str">
        <f t="shared" si="0"/>
        <v>Inadecuado</v>
      </c>
      <c r="D23">
        <f>SUM('Clima institucional'!F24:I24)</f>
        <v>4</v>
      </c>
      <c r="E23" s="3" t="str">
        <f t="shared" si="1"/>
        <v>Inadecuado</v>
      </c>
      <c r="F23">
        <f>SUM('Clima institucional'!J24:M24)</f>
        <v>5</v>
      </c>
      <c r="G23" s="3" t="str">
        <f t="shared" si="2"/>
        <v>Inadecuado</v>
      </c>
      <c r="H23">
        <f t="shared" si="3"/>
        <v>17</v>
      </c>
      <c r="I23" s="3" t="str">
        <f t="shared" si="4"/>
        <v>Inadecuado</v>
      </c>
      <c r="K23" s="4"/>
      <c r="O23" s="3" t="s">
        <v>80</v>
      </c>
      <c r="U23" s="4"/>
      <c r="W23" s="4"/>
      <c r="AA23" s="3" t="s">
        <v>80</v>
      </c>
      <c r="AG23" s="4"/>
      <c r="AI23" s="4"/>
      <c r="AM23" s="3" t="s">
        <v>80</v>
      </c>
      <c r="AS23" s="4"/>
      <c r="AU23" s="18"/>
      <c r="AY23" s="3" t="s">
        <v>80</v>
      </c>
      <c r="BE23" s="18"/>
    </row>
    <row r="24" spans="1:57" x14ac:dyDescent="0.25">
      <c r="K24" s="4"/>
      <c r="O24" s="3" t="s">
        <v>81</v>
      </c>
      <c r="U24" s="4"/>
      <c r="W24" s="4"/>
      <c r="AA24" s="3" t="s">
        <v>81</v>
      </c>
      <c r="AG24" s="4"/>
      <c r="AI24" s="4"/>
      <c r="AM24" s="3" t="s">
        <v>81</v>
      </c>
      <c r="AS24" s="4"/>
      <c r="AU24" s="18"/>
      <c r="AY24" s="3" t="s">
        <v>81</v>
      </c>
      <c r="BE24" s="18"/>
    </row>
    <row r="25" spans="1:57" x14ac:dyDescent="0.25">
      <c r="K25" s="4"/>
      <c r="U25" s="4"/>
      <c r="W25" s="4"/>
      <c r="AG25" s="4"/>
      <c r="AI25" s="4"/>
      <c r="AS25" s="4"/>
      <c r="AU25" s="18"/>
      <c r="BE25" s="18"/>
    </row>
    <row r="26" spans="1:57" x14ac:dyDescent="0.25">
      <c r="K26" s="4"/>
      <c r="U26" s="4"/>
      <c r="W26" s="4"/>
      <c r="AG26" s="4"/>
      <c r="AI26" s="4"/>
      <c r="AS26" s="4"/>
      <c r="AU26" s="18"/>
      <c r="BE26" s="18"/>
    </row>
    <row r="27" spans="1:57" x14ac:dyDescent="0.25">
      <c r="K27" s="4"/>
      <c r="U27" s="4"/>
      <c r="W27" s="4"/>
      <c r="AG27" s="4"/>
      <c r="AI27" s="4"/>
      <c r="AS27" s="4"/>
      <c r="AU27" s="18"/>
      <c r="BE27" s="18"/>
    </row>
    <row r="28" spans="1:57" x14ac:dyDescent="0.25">
      <c r="K28" s="4"/>
      <c r="U28" s="4"/>
      <c r="W28" s="4"/>
      <c r="AG28" s="4"/>
      <c r="AI28" s="4"/>
      <c r="AS28" s="4"/>
      <c r="AU28" s="18"/>
      <c r="BE28" s="18"/>
    </row>
    <row r="29" spans="1:57" x14ac:dyDescent="0.25">
      <c r="K29" s="4"/>
      <c r="U29" s="4"/>
      <c r="W29" s="4"/>
      <c r="AG29" s="4"/>
      <c r="AI29" s="4"/>
      <c r="AS29" s="4"/>
      <c r="AU29" s="18"/>
      <c r="BE29" s="18"/>
    </row>
    <row r="30" spans="1:57" x14ac:dyDescent="0.25">
      <c r="K30" s="4"/>
      <c r="U30" s="4"/>
      <c r="W30" s="4"/>
      <c r="AG30" s="4"/>
      <c r="AI30" s="4"/>
      <c r="AS30" s="4"/>
      <c r="AU30" s="18"/>
      <c r="BE30" s="18"/>
    </row>
    <row r="31" spans="1:57" x14ac:dyDescent="0.25">
      <c r="K31" s="4"/>
      <c r="U31" s="4"/>
      <c r="W31" s="4"/>
      <c r="AG31" s="4"/>
      <c r="AI31" s="4"/>
      <c r="AS31" s="4"/>
      <c r="AU31" s="18"/>
      <c r="BE31" s="18"/>
    </row>
    <row r="32" spans="1:57" x14ac:dyDescent="0.25">
      <c r="K32" s="4"/>
      <c r="U32" s="4"/>
      <c r="W32" s="4"/>
      <c r="AG32" s="4"/>
      <c r="AI32" s="4"/>
      <c r="AS32" s="4"/>
      <c r="AU32" s="18"/>
      <c r="BE32" s="18"/>
    </row>
    <row r="33" spans="11:57" x14ac:dyDescent="0.25">
      <c r="K33" s="4"/>
      <c r="U33" s="4"/>
      <c r="W33" s="4"/>
      <c r="AG33" s="4"/>
      <c r="AI33" s="4"/>
      <c r="AS33" s="4"/>
      <c r="AU33" s="18"/>
      <c r="BE33" s="18"/>
    </row>
    <row r="34" spans="11:57" x14ac:dyDescent="0.25">
      <c r="K34" s="4"/>
      <c r="U34" s="4"/>
      <c r="W34" s="4"/>
      <c r="AG34" s="4"/>
      <c r="AI34" s="4"/>
      <c r="AS34" s="4"/>
      <c r="AU34" s="18"/>
      <c r="BE34" s="18"/>
    </row>
    <row r="35" spans="11:57" x14ac:dyDescent="0.25">
      <c r="K35" s="4"/>
      <c r="U35" s="4"/>
      <c r="W35" s="4"/>
      <c r="AG35" s="4"/>
      <c r="AI35" s="4"/>
      <c r="AS35" s="4"/>
      <c r="AU35" s="18"/>
      <c r="BE35" s="18"/>
    </row>
    <row r="36" spans="11:57" x14ac:dyDescent="0.25">
      <c r="K36" s="4"/>
      <c r="U36" s="4"/>
      <c r="W36" s="4"/>
      <c r="AG36" s="4"/>
      <c r="AI36" s="4"/>
      <c r="AS36" s="4"/>
      <c r="AU36" s="18"/>
      <c r="BE36" s="18"/>
    </row>
    <row r="37" spans="11:57" x14ac:dyDescent="0.25">
      <c r="K37" s="4"/>
      <c r="U37" s="4"/>
      <c r="W37" s="4"/>
      <c r="AG37" s="4"/>
      <c r="AI37" s="4"/>
      <c r="AS37" s="4"/>
      <c r="AU37" s="18"/>
      <c r="BE37" s="18"/>
    </row>
    <row r="38" spans="11:57" x14ac:dyDescent="0.25">
      <c r="K38" s="4"/>
      <c r="U38" s="4"/>
      <c r="W38" s="4"/>
      <c r="AG38" s="4"/>
      <c r="AI38" s="4"/>
      <c r="AS38" s="4"/>
      <c r="AU38" s="18"/>
      <c r="BE38" s="18"/>
    </row>
    <row r="39" spans="11:57" x14ac:dyDescent="0.25">
      <c r="K39" s="4"/>
      <c r="U39" s="4"/>
      <c r="W39" s="4"/>
      <c r="AG39" s="4"/>
      <c r="AI39" s="4"/>
      <c r="AS39" s="4"/>
      <c r="AU39" s="18"/>
      <c r="BE39" s="18"/>
    </row>
    <row r="40" spans="11:57" x14ac:dyDescent="0.25">
      <c r="K40" s="4"/>
      <c r="U40" s="4"/>
      <c r="W40" s="4"/>
      <c r="AG40" s="4"/>
      <c r="AI40" s="4"/>
      <c r="AS40" s="4"/>
      <c r="AU40" s="18"/>
      <c r="BE40" s="18"/>
    </row>
    <row r="41" spans="11:57" x14ac:dyDescent="0.25">
      <c r="K41" s="4"/>
      <c r="U41" s="4"/>
      <c r="W41" s="4"/>
      <c r="AG41" s="4"/>
      <c r="AI41" s="4"/>
      <c r="AS41" s="4"/>
      <c r="AU41" s="18"/>
      <c r="BE41" s="18"/>
    </row>
    <row r="42" spans="11:57" x14ac:dyDescent="0.25">
      <c r="K42" s="4"/>
      <c r="U42" s="4"/>
      <c r="W42" s="4"/>
      <c r="AG42" s="4"/>
      <c r="AI42" s="4"/>
      <c r="AS42" s="4"/>
      <c r="AU42" s="18"/>
      <c r="BE42" s="18"/>
    </row>
    <row r="43" spans="11:57" x14ac:dyDescent="0.25">
      <c r="K43" s="4"/>
      <c r="O43" t="s">
        <v>82</v>
      </c>
      <c r="U43" s="4"/>
      <c r="W43" s="4"/>
      <c r="AA43" t="s">
        <v>83</v>
      </c>
      <c r="AG43" s="4"/>
      <c r="AI43" s="4"/>
      <c r="AM43" t="s">
        <v>84</v>
      </c>
      <c r="AS43" s="4"/>
      <c r="AU43" s="18"/>
      <c r="AY43" t="s">
        <v>85</v>
      </c>
      <c r="BE43" s="18"/>
    </row>
    <row r="44" spans="11:57" x14ac:dyDescent="0.25">
      <c r="K44" s="4"/>
      <c r="O44" s="3" t="s">
        <v>1</v>
      </c>
      <c r="U44" s="4"/>
      <c r="W44" s="4"/>
      <c r="AA44" s="3" t="s">
        <v>2</v>
      </c>
      <c r="AG44" s="4"/>
      <c r="AI44" s="4"/>
      <c r="AM44" s="3" t="s">
        <v>3</v>
      </c>
      <c r="AS44" s="4"/>
      <c r="AU44" s="18"/>
      <c r="AY44" s="3" t="s">
        <v>1</v>
      </c>
      <c r="BE44" s="18"/>
    </row>
    <row r="45" spans="11:57" x14ac:dyDescent="0.25"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</row>
    <row r="47" spans="11:57" x14ac:dyDescent="0.25">
      <c r="M47" s="52" t="str">
        <f ca="1">CONCATENATE("en la ",O15," y ",O43," se puede observar que la variable ",L901," en base a su dimensión ",L902," tiene una calificación de ",M904," por el ",ROUND(L904*100,0),"% ","de los resultados, ","los cuales fueron extraídos  de las encuestas ejecutadas a los ",N902,", estos resultados son afectados debido a que, ",U1016," ",M1016,",","asi mismo ",U1017," ",M1017,", de nuevo ",U1018," ",M1018, ", ","y ",M1019," ",U1019,", ","por todo ello la dimensión ",L902," es ",M904,".")</f>
        <v>en la Tabla 1 y Figura.1 se puede observar que la variable Clima institucional en base a su dimensión Estructuración Organizacional tiene una calificación de Inadecuado por el 85% de los resultados, los cuales fueron extraídos  de las encuestas ejecutadas a los Docentess, estos resultados son afectados debido a que, el 75% calificó como Nunca y Casi Nunca .,asi mismo el 85% de los evaluó como Nunca y Casi Nunca 0, de nuevo el 80% evaluó como Nunca y Casi Nunca 0, y 0 el 70% de los calificó como Nunca y Casi Nunca, por todo ello la dimensión Estructuración Organizacional es Inadecuado.</v>
      </c>
      <c r="N47" s="53"/>
      <c r="O47" s="53"/>
      <c r="P47" s="53"/>
      <c r="Q47" s="53"/>
      <c r="R47" s="53"/>
      <c r="Y47" s="52" t="str">
        <f ca="1">CONCATENATE("en la ",AA15," y ",AA43," se puede observar que la variable ",X901," en base a su dimensión ",X902," tiene una calificación de ",Y904," por el ",ROUND(X904*100,0),"% ","de los resultados, ","los cuales fueron extraídos  de las encuestas ejecutadas a los ",Z902,", estos resultados son afectados debido a que, ",AG1016," ",Y1016,",","asi mismo ",AG1017," ",Y1017,", así ",AG1018," ",Y1018, ", ","y ",Y1019," ",AG1019,", ","por todo ello la dimensión ",X902," es ",Y904,".")</f>
        <v>en la Tabla 2 y Figura.2 se puede observar que la variable Clima institucional en base a su dimensión Relaciones Interpersonales tiene una calificación de Inadecuado por el 70% de los resultados, los cuales fueron extraídos  de las encuestas ejecutadas a los Docentess, estos resultados son afectados debido a que, el 75% mencionó como Nunca y Casi Nunca 0,asi mismo el 70% de los determinó como Nunca y Casi Nunca 0, así el 65% mencionó como Nunca y Casi Nunca 0, y 0 el 75% de los evaluó como Nunca y Casi Nunca, por todo ello la dimensión Relaciones Interpersonales es Inadecuado.</v>
      </c>
      <c r="Z47" s="53"/>
      <c r="AA47" s="53"/>
      <c r="AB47" s="53"/>
      <c r="AC47" s="53"/>
      <c r="AD47" s="53"/>
      <c r="AK47" s="52" t="str">
        <f ca="1">CONCATENATE("en la ",AM15," y ",AM43," se puede observar que la variable ",AJ901," en base a su dimensión ",AJ902," tiene una calificación de ",AK904," por el ",ROUND(AJ904*100,0),"% ","de los resultados, ","los cuales fueron extraídos  de las encuestas ejecutadas a los ",AL902,", estos resultados son afectados debido a que, ",AS1016," ",AK1016,",","asi mismo ",AS1017," ",AK1017,", sin embargo ",AS1018," ",AK1018, ", ","y ",AK1019," ",AS1019,", ","por todo ello la dimensión ",AJ902," es ",AK904,".")</f>
        <v>en la Tabla 3 y Figura.3 se puede observar que la variable Clima institucional en base a su dimensión Identidad Institucional tiene una calificación de Inadecuado por el 70% de los resultados, los cuales fueron extraídos  de las encuestas ejecutadas a los Docentess, estos resultados son afectados debido a que, el 70% percibió como Nunca y Casi Nunca 0,asi mismo el 70% de los apreció como Nunca y Casi Nunca 0, sin embargo el 80% mencionó como Nunca y Casi Nunca 0, y 0 el 70% de los Tuvo una percepción de como Nunca y Casi Nunca, por todo ello la dimensión Identidad Institucional es Inadecuado.</v>
      </c>
      <c r="AL47" s="53"/>
      <c r="AM47" s="53"/>
      <c r="AN47" s="53"/>
      <c r="AO47" s="53"/>
      <c r="AP47" s="53"/>
      <c r="AW47" s="52" t="str">
        <f ca="1">CONCATENATE("En la ",AY15," y ",AY43," se puede evidenciar que la variable ",AV901," es calificado como ",AW904," por el ",ROUND(AV904*100,0),"% de los resultados, mismos que son originados porque; ",BI1016," ",BI1017," ",BI1018,BI1019,BI1020,BI1021,BI1022,BI1023,BI1024,BI1025,BI1026," se concluye que la variable ",AV901,"tiene un valor de ",AW904,".")</f>
        <v>En la Tabla 4 y Figura.4 se puede evidenciar que la variable Clima institucional es calificado como Inadecuado por el 70% de los resultados, mismos que son originados porque; el 85% de los Resultados Tuvo una percepción de a la dimensión Estructuración Organizacional como Inadecuado, por otro lado  el 70% de los Resultados apreció a la dimensión Relaciones Interpersonales como Inadecuado, ademas  el 70% de los Docentess consideró a la dimensión Identidad Institucional como Inadecuado, por consecuencia  se concluye que la variable Clima institucionaltiene un valor de Inadecuado.</v>
      </c>
      <c r="AX47" s="53"/>
      <c r="AY47" s="53"/>
      <c r="AZ47" s="53"/>
      <c r="BA47" s="53"/>
      <c r="BB47" s="53"/>
    </row>
    <row r="48" spans="11:57" x14ac:dyDescent="0.25">
      <c r="M48" s="53"/>
      <c r="N48" s="53"/>
      <c r="O48" s="53"/>
      <c r="P48" s="53"/>
      <c r="Q48" s="53"/>
      <c r="R48" s="53"/>
      <c r="Y48" s="53"/>
      <c r="Z48" s="53"/>
      <c r="AA48" s="53"/>
      <c r="AB48" s="53"/>
      <c r="AC48" s="53"/>
      <c r="AD48" s="53"/>
      <c r="AK48" s="53"/>
      <c r="AL48" s="53"/>
      <c r="AM48" s="53"/>
      <c r="AN48" s="53"/>
      <c r="AO48" s="53"/>
      <c r="AP48" s="53"/>
      <c r="AW48" s="53"/>
      <c r="AX48" s="53"/>
      <c r="AY48" s="53"/>
      <c r="AZ48" s="53"/>
      <c r="BA48" s="53"/>
      <c r="BB48" s="53"/>
    </row>
    <row r="49" spans="13:54" x14ac:dyDescent="0.25">
      <c r="M49" s="53"/>
      <c r="N49" s="53"/>
      <c r="O49" s="53"/>
      <c r="P49" s="53"/>
      <c r="Q49" s="53"/>
      <c r="R49" s="53"/>
      <c r="Y49" s="53"/>
      <c r="Z49" s="53"/>
      <c r="AA49" s="53"/>
      <c r="AB49" s="53"/>
      <c r="AC49" s="53"/>
      <c r="AD49" s="53"/>
      <c r="AK49" s="53"/>
      <c r="AL49" s="53"/>
      <c r="AM49" s="53"/>
      <c r="AN49" s="53"/>
      <c r="AO49" s="53"/>
      <c r="AP49" s="53"/>
      <c r="AW49" s="53"/>
      <c r="AX49" s="53"/>
      <c r="AY49" s="53"/>
      <c r="AZ49" s="53"/>
      <c r="BA49" s="53"/>
      <c r="BB49" s="53"/>
    </row>
    <row r="50" spans="13:54" x14ac:dyDescent="0.25">
      <c r="M50" s="53"/>
      <c r="N50" s="53"/>
      <c r="O50" s="53"/>
      <c r="P50" s="53"/>
      <c r="Q50" s="53"/>
      <c r="R50" s="53"/>
      <c r="Y50" s="53"/>
      <c r="Z50" s="53"/>
      <c r="AA50" s="53"/>
      <c r="AB50" s="53"/>
      <c r="AC50" s="53"/>
      <c r="AD50" s="53"/>
      <c r="AK50" s="53"/>
      <c r="AL50" s="53"/>
      <c r="AM50" s="53"/>
      <c r="AN50" s="53"/>
      <c r="AO50" s="53"/>
      <c r="AP50" s="53"/>
      <c r="AW50" s="53"/>
      <c r="AX50" s="53"/>
      <c r="AY50" s="53"/>
      <c r="AZ50" s="53"/>
      <c r="BA50" s="53"/>
      <c r="BB50" s="53"/>
    </row>
    <row r="51" spans="13:54" x14ac:dyDescent="0.25">
      <c r="M51" s="53"/>
      <c r="N51" s="53"/>
      <c r="O51" s="53"/>
      <c r="P51" s="53"/>
      <c r="Q51" s="53"/>
      <c r="R51" s="53"/>
      <c r="Y51" s="53"/>
      <c r="Z51" s="53"/>
      <c r="AA51" s="53"/>
      <c r="AB51" s="53"/>
      <c r="AC51" s="53"/>
      <c r="AD51" s="53"/>
      <c r="AK51" s="53"/>
      <c r="AL51" s="53"/>
      <c r="AM51" s="53"/>
      <c r="AN51" s="53"/>
      <c r="AO51" s="53"/>
      <c r="AP51" s="53"/>
      <c r="AW51" s="53"/>
      <c r="AX51" s="53"/>
      <c r="AY51" s="53"/>
      <c r="AZ51" s="53"/>
      <c r="BA51" s="53"/>
      <c r="BB51" s="53"/>
    </row>
    <row r="52" spans="13:54" x14ac:dyDescent="0.25">
      <c r="M52" s="53"/>
      <c r="N52" s="53"/>
      <c r="O52" s="53"/>
      <c r="P52" s="53"/>
      <c r="Q52" s="53"/>
      <c r="R52" s="53"/>
      <c r="Y52" s="53"/>
      <c r="Z52" s="53"/>
      <c r="AA52" s="53"/>
      <c r="AB52" s="53"/>
      <c r="AC52" s="53"/>
      <c r="AD52" s="53"/>
      <c r="AK52" s="53"/>
      <c r="AL52" s="53"/>
      <c r="AM52" s="53"/>
      <c r="AN52" s="53"/>
      <c r="AO52" s="53"/>
      <c r="AP52" s="53"/>
      <c r="AW52" s="53"/>
      <c r="AX52" s="53"/>
      <c r="AY52" s="53"/>
      <c r="AZ52" s="53"/>
      <c r="BA52" s="53"/>
      <c r="BB52" s="53"/>
    </row>
    <row r="53" spans="13:54" x14ac:dyDescent="0.25">
      <c r="M53" s="53"/>
      <c r="N53" s="53"/>
      <c r="O53" s="53"/>
      <c r="P53" s="53"/>
      <c r="Q53" s="53"/>
      <c r="R53" s="53"/>
      <c r="Y53" s="53"/>
      <c r="Z53" s="53"/>
      <c r="AA53" s="53"/>
      <c r="AB53" s="53"/>
      <c r="AC53" s="53"/>
      <c r="AD53" s="53"/>
      <c r="AK53" s="53"/>
      <c r="AL53" s="53"/>
      <c r="AM53" s="53"/>
      <c r="AN53" s="53"/>
      <c r="AO53" s="53"/>
      <c r="AP53" s="53"/>
      <c r="AW53" s="53"/>
      <c r="AX53" s="53"/>
      <c r="AY53" s="53"/>
      <c r="AZ53" s="53"/>
      <c r="BA53" s="53"/>
      <c r="BB53" s="53"/>
    </row>
    <row r="901" spans="11:50" x14ac:dyDescent="0.25">
      <c r="K901" s="3" t="s">
        <v>58</v>
      </c>
      <c r="L901" s="3" t="str">
        <f>(N4)</f>
        <v>Clima institucional</v>
      </c>
      <c r="N901" s="3" t="s">
        <v>86</v>
      </c>
      <c r="W901" s="3" t="s">
        <v>58</v>
      </c>
      <c r="X901" s="3" t="str">
        <f>(Z4)</f>
        <v>Clima institucional</v>
      </c>
      <c r="Z901" s="3" t="s">
        <v>86</v>
      </c>
      <c r="AI901" s="3" t="s">
        <v>58</v>
      </c>
      <c r="AJ901" s="3" t="str">
        <f>(AL4)</f>
        <v>Clima institucional</v>
      </c>
      <c r="AL901" s="3" t="s">
        <v>86</v>
      </c>
      <c r="AU901" s="3" t="s">
        <v>58</v>
      </c>
      <c r="AV901" s="3" t="str">
        <f>(AX4)</f>
        <v>Clima institucional</v>
      </c>
      <c r="AX901" s="3" t="s">
        <v>86</v>
      </c>
    </row>
    <row r="902" spans="11:50" x14ac:dyDescent="0.25">
      <c r="K902" s="3" t="s">
        <v>87</v>
      </c>
      <c r="L902" s="3" t="str">
        <f>(N5)</f>
        <v>Estructuración Organizacional</v>
      </c>
      <c r="N902" s="3" t="s">
        <v>88</v>
      </c>
      <c r="W902" s="3" t="s">
        <v>87</v>
      </c>
      <c r="X902" s="3" t="str">
        <f>(Z5)</f>
        <v>Relaciones Interpersonales</v>
      </c>
      <c r="Z902" s="3" t="s">
        <v>88</v>
      </c>
      <c r="AI902" s="3" t="s">
        <v>87</v>
      </c>
      <c r="AJ902" s="3" t="str">
        <f>(AL5)</f>
        <v>Identidad Institucional</v>
      </c>
      <c r="AL902" s="3" t="s">
        <v>88</v>
      </c>
      <c r="AU902" s="3" t="s">
        <v>87</v>
      </c>
      <c r="AV902" s="3">
        <f>(AX5)</f>
        <v>0</v>
      </c>
      <c r="AX902" s="3" t="s">
        <v>88</v>
      </c>
    </row>
    <row r="904" spans="11:50" x14ac:dyDescent="0.25">
      <c r="K904" s="3" t="s">
        <v>89</v>
      </c>
      <c r="L904" s="7">
        <f>MAX(S19:S21)</f>
        <v>0.85</v>
      </c>
      <c r="M904" s="3" t="str">
        <f>IF(L2104=S19,O19,IF(L2104=S20,O20,IF(L2104=S21,O21,"algo esta mal")))</f>
        <v>Inadecuado</v>
      </c>
      <c r="W904" s="3" t="s">
        <v>89</v>
      </c>
      <c r="X904" s="7">
        <f>MAX(AE19:AE21)</f>
        <v>0.7</v>
      </c>
      <c r="Y904" s="3" t="str">
        <f>IF(X2104=AE19,AA19,IF(X2104=AE20,AA20,IF(X2104=AE21,AA21,"algo esta mal")))</f>
        <v>Inadecuado</v>
      </c>
      <c r="AI904" s="3" t="s">
        <v>89</v>
      </c>
      <c r="AJ904" s="7">
        <f>MAX(AQ19:AQ21)</f>
        <v>0.7</v>
      </c>
      <c r="AK904" s="3" t="str">
        <f>IF(AJ2104=AQ19,AM19,IF(AJ2104=AQ20,AM20,IF(AJ2104=AQ21,AM21,"algo esta mal")))</f>
        <v>Inadecuado</v>
      </c>
      <c r="AU904" s="3" t="s">
        <v>89</v>
      </c>
      <c r="AV904" s="7">
        <f>MAX(BC19:BC21)</f>
        <v>0.7</v>
      </c>
      <c r="AW904" s="3" t="str">
        <f>IF(AV2104=BC19,AY19,IF(AV2104=BC20,AY20,IF(AV2104=BC21,AY21,"algo esta mal")))</f>
        <v>Inadecuado</v>
      </c>
    </row>
    <row r="905" spans="11:50" x14ac:dyDescent="0.25">
      <c r="M905" s="3" t="s">
        <v>90</v>
      </c>
      <c r="N905" s="3" t="s">
        <v>91</v>
      </c>
      <c r="O905" s="3" t="s">
        <v>44</v>
      </c>
      <c r="P905" s="3" t="s">
        <v>45</v>
      </c>
      <c r="Q905" s="3" t="s">
        <v>46</v>
      </c>
      <c r="R905" s="3" t="s">
        <v>47</v>
      </c>
      <c r="S905" s="3" t="s">
        <v>48</v>
      </c>
      <c r="Y905" s="3" t="s">
        <v>90</v>
      </c>
      <c r="Z905" s="3" t="s">
        <v>91</v>
      </c>
      <c r="AA905" s="3" t="s">
        <v>44</v>
      </c>
      <c r="AB905" s="3" t="s">
        <v>45</v>
      </c>
      <c r="AC905" s="3" t="s">
        <v>46</v>
      </c>
      <c r="AD905" s="3" t="s">
        <v>47</v>
      </c>
      <c r="AE905" s="3" t="s">
        <v>48</v>
      </c>
      <c r="AK905" s="3" t="s">
        <v>90</v>
      </c>
      <c r="AL905" s="3" t="s">
        <v>91</v>
      </c>
      <c r="AM905" s="3" t="s">
        <v>44</v>
      </c>
      <c r="AN905" s="3" t="s">
        <v>45</v>
      </c>
      <c r="AO905" s="3" t="s">
        <v>46</v>
      </c>
      <c r="AP905" s="3" t="s">
        <v>47</v>
      </c>
      <c r="AQ905" s="3" t="s">
        <v>48</v>
      </c>
    </row>
    <row r="906" spans="11:50" x14ac:dyDescent="0.25">
      <c r="M906" s="3" t="s">
        <v>92</v>
      </c>
      <c r="N906" s="7" t="s">
        <v>92</v>
      </c>
      <c r="O906">
        <f>('Clima institucional'!B37)</f>
        <v>0.5</v>
      </c>
      <c r="P906">
        <f>('Clima institucional'!B38)</f>
        <v>0.25</v>
      </c>
      <c r="Q906">
        <f>('Clima institucional'!B39)</f>
        <v>0.15</v>
      </c>
      <c r="R906">
        <f>('Clima institucional'!B40)</f>
        <v>0.05</v>
      </c>
      <c r="S906">
        <f>('Clima institucional'!B41)</f>
        <v>0.05</v>
      </c>
      <c r="Y906" s="3"/>
      <c r="Z906" s="7"/>
      <c r="AA906">
        <f>('Clima institucional'!F37)</f>
        <v>0.35</v>
      </c>
      <c r="AB906">
        <f>('Clima institucional'!F38)</f>
        <v>0.4</v>
      </c>
      <c r="AC906">
        <f>('Clima institucional'!F39)</f>
        <v>0.1</v>
      </c>
      <c r="AD906">
        <f>('Clima institucional'!F40)</f>
        <v>0.1</v>
      </c>
      <c r="AE906">
        <f>('Clima institucional'!F41)</f>
        <v>0.05</v>
      </c>
      <c r="AK906" s="3"/>
      <c r="AL906" s="7"/>
      <c r="AM906">
        <f>('Clima institucional'!J37)</f>
        <v>0.45</v>
      </c>
      <c r="AN906">
        <f>('Clima institucional'!J38)</f>
        <v>0.25</v>
      </c>
      <c r="AO906">
        <f>('Clima institucional'!J39)</f>
        <v>0.2</v>
      </c>
      <c r="AP906">
        <f>('Clima institucional'!J40)</f>
        <v>0.05</v>
      </c>
      <c r="AQ906">
        <f>('Clima institucional'!J41)</f>
        <v>0.05</v>
      </c>
    </row>
    <row r="907" spans="11:50" x14ac:dyDescent="0.25">
      <c r="M907" s="3"/>
      <c r="N907" s="7"/>
      <c r="O907">
        <f>('Clima institucional'!C37)</f>
        <v>0.35</v>
      </c>
      <c r="P907">
        <f>('Clima institucional'!C38)</f>
        <v>0.5</v>
      </c>
      <c r="Q907">
        <f>('Clima institucional'!C39)</f>
        <v>0.15</v>
      </c>
      <c r="R907">
        <f>('Clima institucional'!C40)</f>
        <v>0</v>
      </c>
      <c r="S907">
        <f>('Clima institucional'!C41)</f>
        <v>0</v>
      </c>
      <c r="Y907" s="3"/>
      <c r="Z907" s="7"/>
      <c r="AA907">
        <f>('Clima institucional'!G37)</f>
        <v>0.4</v>
      </c>
      <c r="AB907">
        <f>('Clima institucional'!G38)</f>
        <v>0.3</v>
      </c>
      <c r="AC907">
        <f>('Clima institucional'!G39)</f>
        <v>0.1</v>
      </c>
      <c r="AD907">
        <f>('Clima institucional'!G40)</f>
        <v>0.1</v>
      </c>
      <c r="AE907">
        <f>('Clima institucional'!G41)</f>
        <v>0.1</v>
      </c>
      <c r="AK907" s="3"/>
      <c r="AL907" s="7"/>
      <c r="AM907">
        <f>('Clima institucional'!K37)</f>
        <v>0.4</v>
      </c>
      <c r="AN907">
        <f>('Clima institucional'!K38)</f>
        <v>0.3</v>
      </c>
      <c r="AO907">
        <f>('Clima institucional'!K39)</f>
        <v>0.1</v>
      </c>
      <c r="AP907">
        <f>('Clima institucional'!K40)</f>
        <v>0.15</v>
      </c>
      <c r="AQ907">
        <f>('Clima institucional'!K41)</f>
        <v>0.05</v>
      </c>
    </row>
    <row r="908" spans="11:50" x14ac:dyDescent="0.25">
      <c r="M908" s="3"/>
      <c r="N908" s="7"/>
      <c r="O908">
        <f>('Clima institucional'!D37)</f>
        <v>0.35</v>
      </c>
      <c r="P908">
        <f>('Clima institucional'!D38)</f>
        <v>0.45</v>
      </c>
      <c r="Q908">
        <f>('Clima institucional'!D39)</f>
        <v>0</v>
      </c>
      <c r="R908">
        <f>('Clima institucional'!D40)</f>
        <v>0.1</v>
      </c>
      <c r="S908">
        <f>('Clima institucional'!D41)</f>
        <v>0.1</v>
      </c>
      <c r="Y908" s="3"/>
      <c r="Z908" s="7"/>
      <c r="AA908">
        <f>('Clima institucional'!H37)</f>
        <v>0.25</v>
      </c>
      <c r="AB908">
        <f>('Clima institucional'!H38)</f>
        <v>0.4</v>
      </c>
      <c r="AC908">
        <f>('Clima institucional'!H39)</f>
        <v>0.35</v>
      </c>
      <c r="AD908">
        <f>('Clima institucional'!H40)</f>
        <v>0</v>
      </c>
      <c r="AE908">
        <f>('Clima institucional'!H41)</f>
        <v>0</v>
      </c>
      <c r="AK908" s="3"/>
      <c r="AL908" s="7"/>
      <c r="AM908">
        <f>('Clima institucional'!L37)</f>
        <v>0.4</v>
      </c>
      <c r="AN908">
        <f>('Clima institucional'!L38)</f>
        <v>0.4</v>
      </c>
      <c r="AO908">
        <f>('Clima institucional'!L39)</f>
        <v>0.1</v>
      </c>
      <c r="AP908">
        <f>('Clima institucional'!L40)</f>
        <v>0.1</v>
      </c>
      <c r="AQ908">
        <f>('Clima institucional'!L41)</f>
        <v>0</v>
      </c>
    </row>
    <row r="909" spans="11:50" x14ac:dyDescent="0.25">
      <c r="M909" s="3"/>
      <c r="N909" s="7"/>
      <c r="O909">
        <f>('Clima institucional'!E37)</f>
        <v>0.3</v>
      </c>
      <c r="P909">
        <f>('Clima institucional'!E38)</f>
        <v>0.4</v>
      </c>
      <c r="Q909">
        <f>('Clima institucional'!E39)</f>
        <v>0.3</v>
      </c>
      <c r="R909">
        <f>('Clima institucional'!E40)</f>
        <v>0</v>
      </c>
      <c r="S909">
        <f>('Clima institucional'!E41)</f>
        <v>0</v>
      </c>
      <c r="Y909" s="3"/>
      <c r="Z909" s="7"/>
      <c r="AA909">
        <f>('Clima institucional'!I37)</f>
        <v>0.35</v>
      </c>
      <c r="AB909">
        <f>('Clima institucional'!I38)</f>
        <v>0.4</v>
      </c>
      <c r="AC909">
        <f>('Clima institucional'!I39)</f>
        <v>0.05</v>
      </c>
      <c r="AD909">
        <f>('Clima institucional'!I40)</f>
        <v>0.1</v>
      </c>
      <c r="AE909">
        <f>('Clima institucional'!I41)</f>
        <v>0.1</v>
      </c>
      <c r="AK909" s="3"/>
      <c r="AL909" s="7"/>
      <c r="AM909">
        <f>('Clima institucional'!M37)</f>
        <v>0.45</v>
      </c>
      <c r="AN909">
        <f>('Clima institucional'!M38)</f>
        <v>0.25</v>
      </c>
      <c r="AO909">
        <f>('Clima institucional'!M39)</f>
        <v>0.05</v>
      </c>
      <c r="AP909">
        <f>('Clima institucional'!M40)</f>
        <v>0.15</v>
      </c>
      <c r="AQ909">
        <f>('Clima institucional'!M41)</f>
        <v>0.1</v>
      </c>
    </row>
    <row r="1015" spans="13:61" x14ac:dyDescent="0.25">
      <c r="M1015" s="3" t="s">
        <v>91</v>
      </c>
      <c r="N1015" s="3" t="str">
        <f>CONCATENATE(O905," y ",P905)</f>
        <v>Nunca y Casi Nunca</v>
      </c>
      <c r="O1015" s="3" t="str">
        <f>(Q905)</f>
        <v>A veces</v>
      </c>
      <c r="P1015" s="3" t="str">
        <f>CONCATENATE(R905," y ",S905)</f>
        <v>Casi siempre y Siempre</v>
      </c>
      <c r="Q1015" s="3" t="s">
        <v>93</v>
      </c>
      <c r="R1015" s="3" t="s">
        <v>94</v>
      </c>
      <c r="S1015" s="3" t="s">
        <v>95</v>
      </c>
      <c r="T1015" s="3" t="s">
        <v>96</v>
      </c>
      <c r="U1015" s="3" t="s">
        <v>97</v>
      </c>
      <c r="Y1015" s="3" t="s">
        <v>91</v>
      </c>
      <c r="Z1015" s="3" t="str">
        <f>CONCATENATE(AA905," y ",AB905)</f>
        <v>Nunca y Casi Nunca</v>
      </c>
      <c r="AA1015" s="3" t="str">
        <f>(AC905)</f>
        <v>A veces</v>
      </c>
      <c r="AB1015" s="3" t="str">
        <f>CONCATENATE(AD905," y ",AE905)</f>
        <v>Casi siempre y Siempre</v>
      </c>
      <c r="AC1015" s="3" t="s">
        <v>93</v>
      </c>
      <c r="AD1015" s="3" t="s">
        <v>94</v>
      </c>
      <c r="AE1015" s="3" t="s">
        <v>95</v>
      </c>
      <c r="AF1015" s="3" t="s">
        <v>96</v>
      </c>
      <c r="AG1015" s="3" t="s">
        <v>97</v>
      </c>
      <c r="AK1015" s="3" t="s">
        <v>91</v>
      </c>
      <c r="AL1015" s="3" t="str">
        <f>CONCATENATE(AM905," y ",AN905)</f>
        <v>Nunca y Casi Nunca</v>
      </c>
      <c r="AM1015" s="3" t="str">
        <f>(AO905)</f>
        <v>A veces</v>
      </c>
      <c r="AN1015" s="3" t="str">
        <f>CONCATENATE(AP905," y ",AQ905)</f>
        <v>Casi siempre y Siempre</v>
      </c>
      <c r="AO1015" s="3" t="s">
        <v>93</v>
      </c>
      <c r="AP1015" s="3" t="s">
        <v>94</v>
      </c>
      <c r="AQ1015" s="3" t="s">
        <v>95</v>
      </c>
      <c r="AR1015" s="3" t="s">
        <v>96</v>
      </c>
      <c r="AS1015" s="3" t="s">
        <v>97</v>
      </c>
      <c r="AW1015" s="3" t="s">
        <v>98</v>
      </c>
      <c r="AX1015" s="3" t="s">
        <v>77</v>
      </c>
      <c r="AY1015" s="3" t="s">
        <v>78</v>
      </c>
      <c r="AZ1015" s="3" t="s">
        <v>79</v>
      </c>
      <c r="BA1015" s="3" t="s">
        <v>93</v>
      </c>
      <c r="BB1015" s="3" t="s">
        <v>99</v>
      </c>
      <c r="BC1015" s="3" t="s">
        <v>100</v>
      </c>
      <c r="BD1015" s="3" t="s">
        <v>101</v>
      </c>
      <c r="BE1015" s="3" t="s">
        <v>102</v>
      </c>
      <c r="BF1015" s="3" t="s">
        <v>103</v>
      </c>
      <c r="BG1015" s="3" t="s">
        <v>104</v>
      </c>
      <c r="BH1015" s="3" t="s">
        <v>105</v>
      </c>
      <c r="BI1015" s="3" t="s">
        <v>97</v>
      </c>
    </row>
    <row r="1016" spans="13:61" x14ac:dyDescent="0.25">
      <c r="M1016" s="3" t="str">
        <f>(N906)</f>
        <v>.</v>
      </c>
      <c r="N1016" s="7">
        <f>SUM(O906:P906)</f>
        <v>0.75</v>
      </c>
      <c r="O1016" s="7">
        <f>(Q906)</f>
        <v>0.15</v>
      </c>
      <c r="P1016" s="7">
        <f>SUM(R906:S906)</f>
        <v>0.1</v>
      </c>
      <c r="Q1016" s="7">
        <f>MAX(N1016:P1016)</f>
        <v>0.75</v>
      </c>
      <c r="R1016" s="3" t="str">
        <f>IF(Q1016=N1016,$N$1015,IF(Q1016=O1016,$O$1015,IF(Q1016=P1016,$P$1015,"ALGO ESTA MAL")))</f>
        <v>Nunca y Casi Nunca</v>
      </c>
      <c r="S1016" s="3">
        <f ca="1">RANDBETWEEN(1,10)</f>
        <v>2</v>
      </c>
      <c r="T1016" s="3" t="str">
        <f ca="1">IF(S1016=$T$1100,$U$1100,IF(S1016=$T$1101,$U$1101,IF(S1016=$T$1102,$U$1102,IF(S1016=$T$1103,$U$1103,IF(S1016=$T$1104,$U$1104,IF(S1016=$T$1105,$U$1105,IF(S1016=$T$1106,$U$1106,IF(S1016=$T$1107,$U$1107,IF(S1016=$T$1108,$U$1108,IF(S1016=$T$1109,$U$1109,"algo esta mal"))))))))))</f>
        <v>calificó</v>
      </c>
      <c r="U1016" s="3" t="str">
        <f ca="1">CONCATENATE("el ",ROUND(Q1016*100,0),"% ",T1016," como ",R1016 )</f>
        <v>el 75% calificó como Nunca y Casi Nunca</v>
      </c>
      <c r="Y1016" s="3">
        <f>(Z906)</f>
        <v>0</v>
      </c>
      <c r="Z1016" s="7">
        <f>SUM(AA906:AB906)</f>
        <v>0.75</v>
      </c>
      <c r="AA1016" s="7">
        <f>(AC906)</f>
        <v>0.1</v>
      </c>
      <c r="AB1016" s="7">
        <f>SUM(AD906:AE906)</f>
        <v>0.15000000000000002</v>
      </c>
      <c r="AC1016" s="7">
        <f>MAX(Z1016:AB1016)</f>
        <v>0.75</v>
      </c>
      <c r="AD1016" s="3" t="str">
        <f>IF(AC1016=Z1016,$Z$1015,IF(AC1016=AA1016,$AA$1015,IF(AC1016=AB1016,$AB$1015,"ALGO ESTA MAL")))</f>
        <v>Nunca y Casi Nunca</v>
      </c>
      <c r="AE1016" s="3">
        <f ca="1">RANDBETWEEN(1,10)</f>
        <v>7</v>
      </c>
      <c r="AF1016" s="3" t="str">
        <f ca="1">IF(AE1016=$AF$1100,$AG$1100,IF(AE1016=$AF$1101,$AG$1101,IF(AE1016=$AF$1102,$AG$1102,IF(AE1016=$AF$1103,$AG$1103,IF(AE1016=$AF$1104,$AG$1104,IF(AE1016=$AF$1105,$AG$1105,IF(AE1016=$AF$1106,$AG$1106,IF(AE1016=$AF$1107,$AG$1107,IF(AE1016=$AF$1108,$AG$1108,IF(AE1016=$AF$1109,$AG$1109,"algo esta mal"))))))))))</f>
        <v>mencionó</v>
      </c>
      <c r="AG1016" s="3" t="str">
        <f ca="1">CONCATENATE("el ",ROUND(AC1016*100,0),"% ",AF1016," como ",AD1016 )</f>
        <v>el 75% mencionó como Nunca y Casi Nunca</v>
      </c>
      <c r="AK1016" s="3">
        <f>(AL906)</f>
        <v>0</v>
      </c>
      <c r="AL1016" s="7">
        <f>SUM(AM906:AN906)</f>
        <v>0.7</v>
      </c>
      <c r="AM1016" s="7">
        <f>(AO906)</f>
        <v>0.2</v>
      </c>
      <c r="AN1016" s="7">
        <f>SUM(AP906:AQ906)</f>
        <v>0.1</v>
      </c>
      <c r="AO1016" s="7">
        <f>MAX(AL1016:AN1016)</f>
        <v>0.7</v>
      </c>
      <c r="AP1016" s="3" t="str">
        <f>IF(AO1016=AL1016,$AL$1015,IF(AO1016=AM1016,$AM$1015,IF(AO1016=AN1016,$AN$1015,"ALGO ESTA MAL")))</f>
        <v>Nunca y Casi Nunca</v>
      </c>
      <c r="AQ1016" s="3">
        <f ca="1">RANDBETWEEN(1,10)</f>
        <v>9</v>
      </c>
      <c r="AR1016" s="3" t="str">
        <f ca="1">IF(AQ1016=$AR$1100,$AS$1100,IF(AQ1016=$AR$1101,$AS$1101,IF(AQ1016=$AR$1102,$AS$1102,IF(AQ1016=$AR$1103,$AS$1103,IF(AQ1016=$AR$1104,$AS$1104,IF(AQ1016=$AR$1105,$AS$1105,IF(AQ1016=$AR$1106,$AS$1106,IF(AQ1016=$AR$1107,$AS$1107,IF(AQ1016=$AR$1108,$AS$1108,IF(AQ1016=$AR$1109,$AS$1109,"algo esta mal"))))))))))</f>
        <v>percibió</v>
      </c>
      <c r="AS1016" s="3" t="str">
        <f ca="1">CONCATENATE("el ",ROUND(AO1016*100,0),"% ",AR1016," como ",AP1016 )</f>
        <v>el 70% percibió como Nunca y Casi Nunca</v>
      </c>
      <c r="AW1016" s="7" t="str">
        <f>(O16)</f>
        <v>Estructuración Organizacional</v>
      </c>
      <c r="AX1016" s="7">
        <f>(S19)</f>
        <v>0.85</v>
      </c>
      <c r="AY1016" s="2">
        <f>(S20)</f>
        <v>0.15</v>
      </c>
      <c r="AZ1016" s="7">
        <f>(S21)</f>
        <v>0</v>
      </c>
      <c r="BA1016" s="7">
        <f>MAX(AX1016:AZ1016)</f>
        <v>0.85</v>
      </c>
      <c r="BB1016" s="3" t="str">
        <f>IF(BA1016=AX1016,$AX$1015,IF(BA1016=AY1016,$AY$1015,IF(BA1016=AZ1016,$AZ$1015,"algo esta mal")))</f>
        <v>Inadecuado</v>
      </c>
      <c r="BC1016" s="3">
        <f ca="1" xml:space="preserve"> RANDBETWEEN(1,10)</f>
        <v>10</v>
      </c>
      <c r="BD1016" s="3" t="str">
        <f ca="1">IF(BC1016=$BD$1100,$BE$1100,IF(BC1016=$BD$1101,$BE$1101,IF(BC1016=$BD$1102,$BE$1102,IF(BC1016=$BD$1103,$BE$1103,IF(BC1016=$BD$1104,$BE$1104,IF(BC1016=$BD$1105,$BE$1105,IF(BC1016=$BD$1106,$BE$1106,IF(BC1016=$BD$1107,$BE$1107,IF(BC1016=$BD$1108,$BE$1108,IF(BC1016=$BD$1109,$BE$1109,"algo esta mal"))))))))))</f>
        <v>Tuvo una percepción de</v>
      </c>
      <c r="BE1016" s="3">
        <f ca="1" xml:space="preserve"> RANDBETWEEN(1,7)</f>
        <v>2</v>
      </c>
      <c r="BF1016" s="3" t="str">
        <f ca="1">IF(BE1016=$BD$1110,$BE$1110,IF(BE1016=$BD$1111,$BE$1111,IF(BE1016=$BD$1112,$BE$1112,IF(BE1016=$BD$1113,$BE$1113,IF(BE1016=$BD$1114,$BE$1114,IF(BE1016=$BD$1115,$BE$1115,IF(BE1016=$BD$1116,$BE$1116,IF(BE1016=$BD$1047,$BE$1047,IF(BE1016=$BD$1048,$BE$1048,IF(BE1016=$BD$1049,$BE$1049,"algo esta mal"))))))))))</f>
        <v xml:space="preserve">por otro lado </v>
      </c>
      <c r="BG1016" s="3">
        <f ca="1" xml:space="preserve"> RANDBETWEEN(1,2)</f>
        <v>2</v>
      </c>
      <c r="BH1016" s="3" t="str">
        <f ca="1">IF(BG1016=$BD$1120,$BE$1120,IF(BG1016=$BD$1121,$BE$1121,"algo esta mal"))</f>
        <v>Resultados</v>
      </c>
      <c r="BI1016" s="3" t="str">
        <f ca="1">CONCATENATE("el ",ROUND(BA1016*100,0),"% de los ",BH1016," ",BD1016," a la dimensión ",AW1016," como ",BB1016,", ",BF1016)</f>
        <v xml:space="preserve">el 85% de los Resultados Tuvo una percepción de a la dimensión Estructuración Organizacional como Inadecuado, por otro lado </v>
      </c>
    </row>
    <row r="1017" spans="13:61" x14ac:dyDescent="0.25">
      <c r="M1017" s="3">
        <f>(N907)</f>
        <v>0</v>
      </c>
      <c r="N1017" s="7">
        <f>SUM(O907:P907)</f>
        <v>0.85</v>
      </c>
      <c r="O1017" s="7">
        <f>(Q907)</f>
        <v>0.15</v>
      </c>
      <c r="P1017" s="7">
        <f>SUM(R907:S907)</f>
        <v>0</v>
      </c>
      <c r="Q1017" s="7">
        <f>MAX(N1017:P1017)</f>
        <v>0.85</v>
      </c>
      <c r="R1017" s="3" t="str">
        <f>IF(Q1017=N1017,$N$1015,IF(Q1017=O1017,$O$1015,IF(Q1017=P1017,$P$1015,"ALGO ESTA MAL")))</f>
        <v>Nunca y Casi Nunca</v>
      </c>
      <c r="S1017" s="3">
        <f ca="1">RANDBETWEEN(1,10)</f>
        <v>5</v>
      </c>
      <c r="T1017" s="3" t="str">
        <f ca="1">IF(S1017=$T$1100,$U$1100,IF(S1017=$T$1101,$U$1101,IF(S1017=$T$1102,$U$1102,IF(S1017=$T$1103,$U$1103,IF(S1017=$T$1104,$U$1104,IF(S1017=$T$1105,$U$1105,IF(S1017=$T$1106,$U$1106,IF(S1017=$T$1107,$U$1107,IF(S1017=$T$1108,$U$1108,IF(S1017=$T$1109,$U$1109,"algo esta mal"))))))))))</f>
        <v>evaluó</v>
      </c>
      <c r="U1017" s="3" t="str">
        <f ca="1">CONCATENATE("el ",ROUND(Q1017*100,0),"% de los ",T1017," como ",R1017)</f>
        <v>el 85% de los evaluó como Nunca y Casi Nunca</v>
      </c>
      <c r="Y1017" s="3">
        <f>(Z907)</f>
        <v>0</v>
      </c>
      <c r="Z1017" s="7">
        <f>SUM(AA907:AB907)</f>
        <v>0.7</v>
      </c>
      <c r="AA1017" s="7">
        <f>(AC907)</f>
        <v>0.1</v>
      </c>
      <c r="AB1017" s="7">
        <f>SUM(AD907:AE907)</f>
        <v>0.2</v>
      </c>
      <c r="AC1017" s="7">
        <f>MAX(Z1017:AB1017)</f>
        <v>0.7</v>
      </c>
      <c r="AD1017" s="3" t="str">
        <f>IF(AC1017=Z1017,$Z$1015,IF(AC1017=AA1017,$AA$1015,IF(AC1017=AB1017,$AB$1015,"ALGO ESTA MAL")))</f>
        <v>Nunca y Casi Nunca</v>
      </c>
      <c r="AE1017" s="3">
        <f ca="1">RANDBETWEEN(1,10)</f>
        <v>6</v>
      </c>
      <c r="AF1017" s="3" t="str">
        <f ca="1">IF(AE1017=$AF$1100,$AG$1100,IF(AE1017=$AF$1101,$AG$1101,IF(AE1017=$AF$1102,$AG$1102,IF(AE1017=$AF$1103,$AG$1103,IF(AE1017=$AF$1104,$AG$1104,IF(AE1017=$AF$1105,$AG$1105,IF(AE1017=$AF$1106,$AG$1106,IF(AE1017=$AF$1107,$AG$1107,IF(AE1017=$AF$1108,$AG$1108,IF(AE1017=$AF$1109,$AG$1109,"algo esta mal"))))))))))</f>
        <v>determinó</v>
      </c>
      <c r="AG1017" s="3" t="str">
        <f ca="1">CONCATENATE("el ",ROUND(AC1017*100,0),"% de los ",AF1017," como ",AD1017)</f>
        <v>el 70% de los determinó como Nunca y Casi Nunca</v>
      </c>
      <c r="AK1017" s="3">
        <f>(AL907)</f>
        <v>0</v>
      </c>
      <c r="AL1017" s="7">
        <f>SUM(AM907:AN907)</f>
        <v>0.7</v>
      </c>
      <c r="AM1017" s="7">
        <f>(AO907)</f>
        <v>0.1</v>
      </c>
      <c r="AN1017" s="7">
        <f>SUM(AP907:AQ907)</f>
        <v>0.2</v>
      </c>
      <c r="AO1017" s="7">
        <f>MAX(AL1017:AN1017)</f>
        <v>0.7</v>
      </c>
      <c r="AP1017" s="3" t="str">
        <f>IF(AO1017=AL1017,$AL$1015,IF(AO1017=AM1017,$AM$1015,IF(AO1017=AN1017,$AN$1015,"ALGO ESTA MAL")))</f>
        <v>Nunca y Casi Nunca</v>
      </c>
      <c r="AQ1017" s="3">
        <f ca="1">RANDBETWEEN(1,10)</f>
        <v>8</v>
      </c>
      <c r="AR1017" s="3" t="str">
        <f ca="1">IF(AQ1017=$AR$1100,$AS$1100,IF(AQ1017=$AR$1101,$AS$1101,IF(AQ1017=$AR$1102,$AS$1102,IF(AQ1017=$AR$1103,$AS$1103,IF(AQ1017=$AR$1104,$AS$1104,IF(AQ1017=$AR$1105,$AS$1105,IF(AQ1017=$AR$1106,$AS$1106,IF(AQ1017=$AR$1107,$AS$1107,IF(AQ1017=$AR$1108,$AS$1108,IF(AQ1017=$AR$1109,$AS$1109,"algo esta mal"))))))))))</f>
        <v>apreció</v>
      </c>
      <c r="AS1017" s="3" t="str">
        <f ca="1">CONCATENATE("el ",ROUND(AO1017*100,0),"% de los ",AR1017," como ",AP1017)</f>
        <v>el 70% de los apreció como Nunca y Casi Nunca</v>
      </c>
      <c r="AW1017" s="7" t="str">
        <f>(AA16)</f>
        <v>Relaciones Interpersonales</v>
      </c>
      <c r="AX1017" s="7">
        <f>(AE19)</f>
        <v>0.7</v>
      </c>
      <c r="AY1017" s="2">
        <f>(AE20)</f>
        <v>0.15</v>
      </c>
      <c r="AZ1017" s="7">
        <f>(AE21)</f>
        <v>0.15</v>
      </c>
      <c r="BA1017" s="7">
        <f>MAX(AX1017:AZ1017)</f>
        <v>0.7</v>
      </c>
      <c r="BB1017" s="3" t="str">
        <f>IF(BA1017=AX1017,$AX$1015,IF(BA1017=AY1017,$AY$1015,IF(BA1017=AZ1017,$AZ$1015,"algo esta mal")))</f>
        <v>Inadecuado</v>
      </c>
      <c r="BC1017" s="3">
        <f ca="1" xml:space="preserve"> RANDBETWEEN(1,10)</f>
        <v>8</v>
      </c>
      <c r="BD1017" s="3" t="str">
        <f ca="1">IF(BC1017=$BD$1100,$BE$1100,IF(BC1017=$BD$1101,$BE$1101,IF(BC1017=$BD$1102,$BE$1102,IF(BC1017=$BD$1103,$BE$1103,IF(BC1017=$BD$1104,$BE$1104,IF(BC1017=$BD$1105,$BE$1105,IF(BC1017=$BD$1106,$BE$1106,IF(BC1017=$BD$1107,$BE$1107,IF(BC1017=$BD$1108,$BE$1108,IF(BC1017=$BD$1109,$BE$1109,"algo esta mal"))))))))))</f>
        <v>apreció</v>
      </c>
      <c r="BE1017" s="3">
        <f ca="1" xml:space="preserve"> RANDBETWEEN(1,7)</f>
        <v>4</v>
      </c>
      <c r="BF1017" s="3" t="str">
        <f ca="1">IF(BE1017=$BD$1110,$BE$1110,IF(BE1017=$BD$1111,$BE$1111,IF(BE1017=$BD$1112,$BE$1112,IF(BE1017=$BD$1113,$BE$1113,IF(BE1017=$BD$1114,$BE$1114,IF(BE1017=$BD$1115,$BE$1115,IF(BE1017=$BD$1116,$BE$1116,IF(BE1017=$BD$1047,$BE$1047,IF(BE1017=$BD$1048,$BE$1048,IF(BE1017=$BD$1049,$BE$1049,"algo esta mal"))))))))))</f>
        <v xml:space="preserve">ademas </v>
      </c>
      <c r="BG1017" s="3">
        <f ca="1" xml:space="preserve"> RANDBETWEEN(1,2)</f>
        <v>2</v>
      </c>
      <c r="BH1017" s="3" t="str">
        <f ca="1">IF(BG1017=$BD$1120,$BE$1120,IF(BG1017=$BD$1121,$BE$1121,"algo esta mal"))</f>
        <v>Resultados</v>
      </c>
      <c r="BI1017" s="3" t="str">
        <f ca="1">CONCATENATE("el ",ROUND(BA1017*100,0),"% de los ",BH1017," ",BD1017," a la dimensión ",AW1017," como ",BB1017,", ",BF1017)</f>
        <v xml:space="preserve">el 70% de los Resultados apreció a la dimensión Relaciones Interpersonales como Inadecuado, ademas </v>
      </c>
    </row>
    <row r="1018" spans="13:61" x14ac:dyDescent="0.25">
      <c r="M1018" s="3">
        <f>(N908)</f>
        <v>0</v>
      </c>
      <c r="N1018" s="7">
        <f>SUM(O908:P908)</f>
        <v>0.8</v>
      </c>
      <c r="O1018" s="7">
        <f>(Q908)</f>
        <v>0</v>
      </c>
      <c r="P1018" s="7">
        <f>SUM(R908:S908)</f>
        <v>0.2</v>
      </c>
      <c r="Q1018" s="7">
        <f>MAX(N1018:P1018)</f>
        <v>0.8</v>
      </c>
      <c r="R1018" s="3" t="str">
        <f>IF(Q1018=N1018,$N$1015,IF(Q1018=O1018,$O$1015,IF(Q1018=P1018,$P$1015,"ALGO ESTA MAL")))</f>
        <v>Nunca y Casi Nunca</v>
      </c>
      <c r="S1018" s="3">
        <f ca="1">RANDBETWEEN(1,10)</f>
        <v>5</v>
      </c>
      <c r="T1018" s="3" t="str">
        <f ca="1">IF(S1018=$T$1100,$U$1100,IF(S1018=$T$1101,$U$1101,IF(S1018=$T$1102,$U$1102,IF(S1018=$T$1103,$U$1103,IF(S1018=$T$1104,$U$1104,IF(S1018=$T$1105,$U$1105,IF(S1018=$T$1106,$U$1106,IF(S1018=$T$1107,$U$1107,IF(S1018=$T$1108,$U$1108,IF(S1018=$T$1109,$U$1109,"algo esta mal"))))))))))</f>
        <v>evaluó</v>
      </c>
      <c r="U1018" s="3" t="str">
        <f ca="1">CONCATENATE("el ",ROUND(Q1018*100,0),"% ",T1018," como ",R1018 )</f>
        <v>el 80% evaluó como Nunca y Casi Nunca</v>
      </c>
      <c r="Y1018" s="3">
        <f>(Z908)</f>
        <v>0</v>
      </c>
      <c r="Z1018" s="7">
        <f>SUM(AA908:AB908)</f>
        <v>0.65</v>
      </c>
      <c r="AA1018" s="7">
        <f>(AC908)</f>
        <v>0.35</v>
      </c>
      <c r="AB1018" s="7">
        <f>SUM(AD908:AE908)</f>
        <v>0</v>
      </c>
      <c r="AC1018" s="7">
        <f>MAX(Z1018:AB1018)</f>
        <v>0.65</v>
      </c>
      <c r="AD1018" s="3" t="str">
        <f>IF(AC1018=Z1018,$Z$1015,IF(AC1018=AA1018,$AA$1015,IF(AC1018=AB1018,$AB$1015,"ALGO ESTA MAL")))</f>
        <v>Nunca y Casi Nunca</v>
      </c>
      <c r="AE1018" s="3">
        <f ca="1">RANDBETWEEN(1,10)</f>
        <v>7</v>
      </c>
      <c r="AF1018" s="3" t="str">
        <f ca="1">IF(AE1018=$AF$1100,$AG$1100,IF(AE1018=$AF$1101,$AG$1101,IF(AE1018=$AF$1102,$AG$1102,IF(AE1018=$AF$1103,$AG$1103,IF(AE1018=$AF$1104,$AG$1104,IF(AE1018=$AF$1105,$AG$1105,IF(AE1018=$AF$1106,$AG$1106,IF(AE1018=$AF$1107,$AG$1107,IF(AE1018=$AF$1108,$AG$1108,IF(AE1018=$AF$1109,$AG$1109,"algo esta mal"))))))))))</f>
        <v>mencionó</v>
      </c>
      <c r="AG1018" s="3" t="str">
        <f ca="1">CONCATENATE("el ",ROUND(AC1018*100,0),"% ",AF1018," como ",AD1018 )</f>
        <v>el 65% mencionó como Nunca y Casi Nunca</v>
      </c>
      <c r="AK1018" s="3">
        <f>(AL908)</f>
        <v>0</v>
      </c>
      <c r="AL1018" s="7">
        <f>SUM(AM908:AN908)</f>
        <v>0.8</v>
      </c>
      <c r="AM1018" s="7">
        <f>(AO908)</f>
        <v>0.1</v>
      </c>
      <c r="AN1018" s="7">
        <f>SUM(AP908:AQ908)</f>
        <v>0.1</v>
      </c>
      <c r="AO1018" s="7">
        <f>MAX(AL1018:AN1018)</f>
        <v>0.8</v>
      </c>
      <c r="AP1018" s="3" t="str">
        <f>IF(AO1018=AL1018,$AL$1015,IF(AO1018=AM1018,$AM$1015,IF(AO1018=AN1018,$AN$1015,"ALGO ESTA MAL")))</f>
        <v>Nunca y Casi Nunca</v>
      </c>
      <c r="AQ1018" s="3">
        <f ca="1">RANDBETWEEN(1,10)</f>
        <v>7</v>
      </c>
      <c r="AR1018" s="3" t="str">
        <f ca="1">IF(AQ1018=$AR$1100,$AS$1100,IF(AQ1018=$AR$1101,$AS$1101,IF(AQ1018=$AR$1102,$AS$1102,IF(AQ1018=$AR$1103,$AS$1103,IF(AQ1018=$AR$1104,$AS$1104,IF(AQ1018=$AR$1105,$AS$1105,IF(AQ1018=$AR$1106,$AS$1106,IF(AQ1018=$AR$1107,$AS$1107,IF(AQ1018=$AR$1108,$AS$1108,IF(AQ1018=$AR$1109,$AS$1109,"algo esta mal"))))))))))</f>
        <v>mencionó</v>
      </c>
      <c r="AS1018" s="3" t="str">
        <f ca="1">CONCATENATE("el ",ROUND(AO1018*100,0),"% ",AR1018," como ",AP1018 )</f>
        <v>el 80% mencionó como Nunca y Casi Nunca</v>
      </c>
      <c r="AW1018" s="7" t="str">
        <f>(AM16)</f>
        <v>Identidad Institucional</v>
      </c>
      <c r="AX1018" s="7">
        <f>(AQ19)</f>
        <v>0.7</v>
      </c>
      <c r="AY1018" s="2">
        <f>(AQ20)</f>
        <v>0.2</v>
      </c>
      <c r="AZ1018" s="7">
        <f>(AQ21)</f>
        <v>0.1</v>
      </c>
      <c r="BA1018" s="7">
        <f>MAX(AX1018:AZ1018)</f>
        <v>0.7</v>
      </c>
      <c r="BB1018" s="3" t="str">
        <f>IF(BA1018=AX1018,$AX$1015,IF(BA1018=AY1018,$AY$1015,IF(BA1018=AZ1018,$AZ$1015,"algo esta mal")))</f>
        <v>Inadecuado</v>
      </c>
      <c r="BC1018" s="3">
        <f ca="1" xml:space="preserve"> RANDBETWEEN(1,10)</f>
        <v>3</v>
      </c>
      <c r="BD1018" s="3" t="str">
        <f ca="1">IF(BC1018=$BD$1100,$BE$1100,IF(BC1018=$BD$1101,$BE$1101,IF(BC1018=$BD$1102,$BE$1102,IF(BC1018=$BD$1103,$BE$1103,IF(BC1018=$BD$1104,$BE$1104,IF(BC1018=$BD$1105,$BE$1105,IF(BC1018=$BD$1106,$BE$1106,IF(BC1018=$BD$1107,$BE$1107,IF(BC1018=$BD$1108,$BE$1108,IF(BC1018=$BD$1109,$BE$1109,"algo esta mal"))))))))))</f>
        <v>consideró</v>
      </c>
      <c r="BE1018" s="3">
        <f ca="1" xml:space="preserve"> RANDBETWEEN(1,7)</f>
        <v>7</v>
      </c>
      <c r="BF1018" s="3" t="str">
        <f ca="1">IF(BE1018=$BD$1110,$BE$1110,IF(BE1018=$BD$1111,$BE$1111,IF(BE1018=$BD$1112,$BE$1112,IF(BE1018=$BD$1113,$BE$1113,IF(BE1018=$BD$1114,$BE$1114,IF(BE1018=$BD$1115,$BE$1115,IF(BE1018=$BD$1116,$BE$1116,IF(BE1018=$BD$1047,$BE$1047,IF(BE1018=$BD$1048,$BE$1048,IF(BE1018=$BD$1049,$BE$1049,"algo esta mal"))))))))))</f>
        <v xml:space="preserve">por consecuencia </v>
      </c>
      <c r="BG1018" s="3">
        <f ca="1" xml:space="preserve"> RANDBETWEEN(1,2)</f>
        <v>1</v>
      </c>
      <c r="BH1018" s="3" t="str">
        <f ca="1">IF(BG1018=$BD$1120,$BE$1120,IF(BG1018=$BD$1121,$BE$1121,"algo esta mal"))</f>
        <v>Docentess</v>
      </c>
      <c r="BI1018" s="3" t="str">
        <f ca="1">CONCATENATE("el ",ROUND(BA1018*100,0),"% de los ",BH1018," ",BD1018," a la dimensión ",AW1018," como ",BB1018,", ",BF1018)</f>
        <v xml:space="preserve">el 70% de los Docentess consideró a la dimensión Identidad Institucional como Inadecuado, por consecuencia </v>
      </c>
    </row>
    <row r="1019" spans="13:61" x14ac:dyDescent="0.25">
      <c r="M1019" s="3">
        <f>(N909)</f>
        <v>0</v>
      </c>
      <c r="N1019" s="7">
        <f>SUM(O909:P909)</f>
        <v>0.7</v>
      </c>
      <c r="O1019" s="7">
        <f>(Q909)</f>
        <v>0.3</v>
      </c>
      <c r="P1019" s="7">
        <f>SUM(R909:S909)</f>
        <v>0</v>
      </c>
      <c r="Q1019" s="7">
        <f>MAX(N1019:P1019)</f>
        <v>0.7</v>
      </c>
      <c r="R1019" s="3" t="str">
        <f>IF(Q1019=N1019,$N$1015,IF(Q1019=O1019,$O$1015,IF(Q1019=P1019,$P$1015,"ALGO ESTA MAL")))</f>
        <v>Nunca y Casi Nunca</v>
      </c>
      <c r="S1019" s="3">
        <f ca="1">RANDBETWEEN(1,10)</f>
        <v>2</v>
      </c>
      <c r="T1019" s="3" t="str">
        <f ca="1">IF(S1019=$T$1100,$U$1100,IF(S1019=$T$1101,$U$1101,IF(S1019=$T$1102,$U$1102,IF(S1019=$T$1103,$U$1103,IF(S1019=$T$1104,$U$1104,IF(S1019=$T$1105,$U$1105,IF(S1019=$T$1106,$U$1106,IF(S1019=$T$1107,$U$1107,IF(S1019=$T$1108,$U$1108,IF(S1019=$T$1109,$U$1109,"algo esta mal"))))))))))</f>
        <v>calificó</v>
      </c>
      <c r="U1019" s="3" t="str">
        <f ca="1">CONCATENATE("el ",ROUND(Q1019*100,0),"% de los ",T1019," como ",R1019)</f>
        <v>el 70% de los calificó como Nunca y Casi Nunca</v>
      </c>
      <c r="Y1019" s="3">
        <f>(Z909)</f>
        <v>0</v>
      </c>
      <c r="Z1019" s="7">
        <f>SUM(AA909:AB909)</f>
        <v>0.75</v>
      </c>
      <c r="AA1019" s="7">
        <f>(AC909)</f>
        <v>0.05</v>
      </c>
      <c r="AB1019" s="7">
        <f>SUM(AD909:AE909)</f>
        <v>0.2</v>
      </c>
      <c r="AC1019" s="7">
        <f>MAX(Z1019:AB1019)</f>
        <v>0.75</v>
      </c>
      <c r="AD1019" s="3" t="str">
        <f>IF(AC1019=Z1019,$Z$1015,IF(AC1019=AA1019,$AA$1015,IF(AC1019=AB1019,$AB$1015,"ALGO ESTA MAL")))</f>
        <v>Nunca y Casi Nunca</v>
      </c>
      <c r="AE1019" s="3">
        <f ca="1">RANDBETWEEN(1,10)</f>
        <v>5</v>
      </c>
      <c r="AF1019" s="3" t="str">
        <f ca="1">IF(AE1019=$AF$1100,$AG$1100,IF(AE1019=$AF$1101,$AG$1101,IF(AE1019=$AF$1102,$AG$1102,IF(AE1019=$AF$1103,$AG$1103,IF(AE1019=$AF$1104,$AG$1104,IF(AE1019=$AF$1105,$AG$1105,IF(AE1019=$AF$1106,$AG$1106,IF(AE1019=$AF$1107,$AG$1107,IF(AE1019=$AF$1108,$AG$1108,IF(AE1019=$AF$1109,$AG$1109,"algo esta mal"))))))))))</f>
        <v>evaluó</v>
      </c>
      <c r="AG1019" s="3" t="str">
        <f ca="1">CONCATENATE("el ",ROUND(AC1019*100,0),"% de los ",AF1019," como ",AD1019)</f>
        <v>el 75% de los evaluó como Nunca y Casi Nunca</v>
      </c>
      <c r="AK1019" s="3">
        <f>(AL909)</f>
        <v>0</v>
      </c>
      <c r="AL1019" s="7">
        <f>SUM(AM909:AN909)</f>
        <v>0.7</v>
      </c>
      <c r="AM1019" s="7">
        <f>(AO909)</f>
        <v>0.05</v>
      </c>
      <c r="AN1019" s="7">
        <f>SUM(AP909:AQ909)</f>
        <v>0.25</v>
      </c>
      <c r="AO1019" s="7">
        <f>MAX(AL1019:AN1019)</f>
        <v>0.7</v>
      </c>
      <c r="AP1019" s="3" t="str">
        <f>IF(AO1019=AL1019,$AL$1015,IF(AO1019=AM1019,$AM$1015,IF(AO1019=AN1019,$AN$1015,"ALGO ESTA MAL")))</f>
        <v>Nunca y Casi Nunca</v>
      </c>
      <c r="AQ1019" s="3">
        <f ca="1">RANDBETWEEN(1,10)</f>
        <v>10</v>
      </c>
      <c r="AR1019" s="3" t="str">
        <f ca="1">IF(AQ1019=$AR$1100,$AS$1100,IF(AQ1019=$AR$1101,$AS$1101,IF(AQ1019=$AR$1102,$AS$1102,IF(AQ1019=$AR$1103,$AS$1103,IF(AQ1019=$AR$1104,$AS$1104,IF(AQ1019=$AR$1105,$AS$1105,IF(AQ1019=$AR$1106,$AS$1106,IF(AQ1019=$AR$1107,$AS$1107,IF(AQ1019=$AR$1108,$AS$1108,IF(AQ1019=$AR$1109,$AS$1109,"algo esta mal"))))))))))</f>
        <v>Tuvo una percepción de</v>
      </c>
      <c r="AS1019" s="3" t="str">
        <f ca="1">CONCATENATE("el ",ROUND(AO1019*100,0),"% de los ",AR1019," como ",AP1019)</f>
        <v>el 70% de los Tuvo una percepción de como Nunca y Casi Nunca</v>
      </c>
    </row>
    <row r="1100" spans="20:57" x14ac:dyDescent="0.25">
      <c r="T1100" s="3">
        <v>1</v>
      </c>
      <c r="U1100" s="3" t="s">
        <v>106</v>
      </c>
      <c r="AF1100" s="3">
        <v>1</v>
      </c>
      <c r="AG1100" s="3" t="s">
        <v>106</v>
      </c>
      <c r="AR1100" s="3">
        <v>1</v>
      </c>
      <c r="AS1100" s="3" t="s">
        <v>106</v>
      </c>
      <c r="BD1100" s="3">
        <v>1</v>
      </c>
      <c r="BE1100" s="3" t="s">
        <v>106</v>
      </c>
    </row>
    <row r="1101" spans="20:57" x14ac:dyDescent="0.25">
      <c r="T1101" s="3">
        <v>2</v>
      </c>
      <c r="U1101" s="3" t="s">
        <v>107</v>
      </c>
      <c r="AF1101" s="3">
        <v>2</v>
      </c>
      <c r="AG1101" s="3" t="s">
        <v>107</v>
      </c>
      <c r="AR1101" s="3">
        <v>2</v>
      </c>
      <c r="AS1101" s="3" t="s">
        <v>107</v>
      </c>
      <c r="BD1101" s="3">
        <v>2</v>
      </c>
      <c r="BE1101" s="3" t="s">
        <v>107</v>
      </c>
    </row>
    <row r="1102" spans="20:57" x14ac:dyDescent="0.25">
      <c r="T1102" s="3">
        <v>3</v>
      </c>
      <c r="U1102" s="3" t="s">
        <v>108</v>
      </c>
      <c r="AF1102" s="3">
        <v>3</v>
      </c>
      <c r="AG1102" s="3" t="s">
        <v>108</v>
      </c>
      <c r="AR1102" s="3">
        <v>3</v>
      </c>
      <c r="AS1102" s="3" t="s">
        <v>108</v>
      </c>
      <c r="BD1102" s="3">
        <v>3</v>
      </c>
      <c r="BE1102" s="3" t="s">
        <v>108</v>
      </c>
    </row>
    <row r="1103" spans="20:57" x14ac:dyDescent="0.25">
      <c r="T1103" s="3">
        <v>4</v>
      </c>
      <c r="U1103" s="3" t="s">
        <v>109</v>
      </c>
      <c r="AF1103" s="3">
        <v>4</v>
      </c>
      <c r="AG1103" s="3" t="s">
        <v>109</v>
      </c>
      <c r="AR1103" s="3">
        <v>4</v>
      </c>
      <c r="AS1103" s="3" t="s">
        <v>109</v>
      </c>
      <c r="BD1103" s="3">
        <v>4</v>
      </c>
      <c r="BE1103" s="3" t="s">
        <v>109</v>
      </c>
    </row>
    <row r="1104" spans="20:57" x14ac:dyDescent="0.25">
      <c r="T1104" s="3">
        <v>5</v>
      </c>
      <c r="U1104" s="3" t="s">
        <v>110</v>
      </c>
      <c r="AF1104" s="3">
        <v>5</v>
      </c>
      <c r="AG1104" s="3" t="s">
        <v>110</v>
      </c>
      <c r="AR1104" s="3">
        <v>5</v>
      </c>
      <c r="AS1104" s="3" t="s">
        <v>110</v>
      </c>
      <c r="BD1104" s="3">
        <v>5</v>
      </c>
      <c r="BE1104" s="3" t="s">
        <v>110</v>
      </c>
    </row>
    <row r="1105" spans="20:57" x14ac:dyDescent="0.25">
      <c r="T1105" s="3">
        <v>6</v>
      </c>
      <c r="U1105" s="3" t="s">
        <v>111</v>
      </c>
      <c r="AF1105" s="3">
        <v>6</v>
      </c>
      <c r="AG1105" s="3" t="s">
        <v>111</v>
      </c>
      <c r="AR1105" s="3">
        <v>6</v>
      </c>
      <c r="AS1105" s="3" t="s">
        <v>111</v>
      </c>
      <c r="BD1105" s="3">
        <v>6</v>
      </c>
      <c r="BE1105" s="3" t="s">
        <v>111</v>
      </c>
    </row>
    <row r="1106" spans="20:57" x14ac:dyDescent="0.25">
      <c r="T1106" s="3">
        <v>7</v>
      </c>
      <c r="U1106" s="3" t="s">
        <v>112</v>
      </c>
      <c r="AF1106" s="3">
        <v>7</v>
      </c>
      <c r="AG1106" s="3" t="s">
        <v>112</v>
      </c>
      <c r="AR1106" s="3">
        <v>7</v>
      </c>
      <c r="AS1106" s="3" t="s">
        <v>112</v>
      </c>
      <c r="BD1106" s="3">
        <v>7</v>
      </c>
      <c r="BE1106" s="3" t="s">
        <v>112</v>
      </c>
    </row>
    <row r="1107" spans="20:57" x14ac:dyDescent="0.25">
      <c r="T1107" s="3">
        <v>8</v>
      </c>
      <c r="U1107" s="3" t="s">
        <v>113</v>
      </c>
      <c r="AF1107" s="3">
        <v>8</v>
      </c>
      <c r="AG1107" s="3" t="s">
        <v>113</v>
      </c>
      <c r="AR1107" s="3">
        <v>8</v>
      </c>
      <c r="AS1107" s="3" t="s">
        <v>113</v>
      </c>
      <c r="BD1107" s="3">
        <v>8</v>
      </c>
      <c r="BE1107" s="3" t="s">
        <v>113</v>
      </c>
    </row>
    <row r="1108" spans="20:57" x14ac:dyDescent="0.25">
      <c r="T1108" s="3">
        <v>9</v>
      </c>
      <c r="U1108" s="3" t="s">
        <v>114</v>
      </c>
      <c r="AF1108" s="3">
        <v>9</v>
      </c>
      <c r="AG1108" s="3" t="s">
        <v>114</v>
      </c>
      <c r="AR1108" s="3">
        <v>9</v>
      </c>
      <c r="AS1108" s="3" t="s">
        <v>114</v>
      </c>
      <c r="BD1108" s="3">
        <v>9</v>
      </c>
      <c r="BE1108" s="3" t="s">
        <v>114</v>
      </c>
    </row>
    <row r="1109" spans="20:57" x14ac:dyDescent="0.25">
      <c r="T1109" s="3">
        <v>10</v>
      </c>
      <c r="U1109" s="3" t="s">
        <v>115</v>
      </c>
      <c r="AF1109" s="3">
        <v>10</v>
      </c>
      <c r="AG1109" s="3" t="s">
        <v>115</v>
      </c>
      <c r="AR1109" s="3">
        <v>10</v>
      </c>
      <c r="AS1109" s="3" t="s">
        <v>115</v>
      </c>
      <c r="BD1109" s="3">
        <v>10</v>
      </c>
      <c r="BE1109" s="3" t="s">
        <v>115</v>
      </c>
    </row>
    <row r="1110" spans="20:57" x14ac:dyDescent="0.25">
      <c r="BD1110" s="3">
        <v>1</v>
      </c>
      <c r="BE1110" s="3" t="s">
        <v>116</v>
      </c>
    </row>
    <row r="1111" spans="20:57" x14ac:dyDescent="0.25">
      <c r="BD1111" s="3">
        <v>2</v>
      </c>
      <c r="BE1111" s="3" t="s">
        <v>117</v>
      </c>
    </row>
    <row r="1112" spans="20:57" x14ac:dyDescent="0.25">
      <c r="BD1112" s="3">
        <v>3</v>
      </c>
      <c r="BE1112" s="3" t="s">
        <v>118</v>
      </c>
    </row>
    <row r="1113" spans="20:57" x14ac:dyDescent="0.25">
      <c r="BD1113" s="3">
        <v>4</v>
      </c>
      <c r="BE1113" s="3" t="s">
        <v>119</v>
      </c>
    </row>
    <row r="1114" spans="20:57" x14ac:dyDescent="0.25">
      <c r="BD1114" s="3">
        <v>5</v>
      </c>
      <c r="BE1114" s="3" t="s">
        <v>120</v>
      </c>
    </row>
    <row r="1115" spans="20:57" x14ac:dyDescent="0.25">
      <c r="BD1115" s="3">
        <v>6</v>
      </c>
      <c r="BE1115" s="3" t="s">
        <v>121</v>
      </c>
    </row>
    <row r="1116" spans="20:57" x14ac:dyDescent="0.25">
      <c r="BD1116" s="3">
        <v>7</v>
      </c>
      <c r="BE1116" s="3" t="s">
        <v>122</v>
      </c>
    </row>
    <row r="1120" spans="20:57" x14ac:dyDescent="0.25">
      <c r="BD1120" s="3">
        <v>1</v>
      </c>
      <c r="BE1120" s="3" t="str">
        <f>(AX902)</f>
        <v>Docentess</v>
      </c>
    </row>
    <row r="1121" spans="56:57" x14ac:dyDescent="0.25">
      <c r="BD1121" s="3">
        <v>2</v>
      </c>
      <c r="BE1121" s="3" t="s">
        <v>123</v>
      </c>
    </row>
    <row r="2019" spans="16:55" x14ac:dyDescent="0.25">
      <c r="P2019">
        <f>N11</f>
        <v>4</v>
      </c>
      <c r="Q2019">
        <f>P19+N13</f>
        <v>9</v>
      </c>
      <c r="R2019">
        <f>COUNTIF($C$4:$C$23,$O19)</f>
        <v>17</v>
      </c>
      <c r="S2019" s="2">
        <f>R2019/R2022</f>
        <v>0.85</v>
      </c>
      <c r="AB2019">
        <f>Z11</f>
        <v>4</v>
      </c>
      <c r="AC2019">
        <f>AB19+Z13</f>
        <v>9</v>
      </c>
      <c r="AD2019">
        <f>COUNTIF($E$4:$E$23,$AA19)</f>
        <v>14</v>
      </c>
      <c r="AE2019" s="2">
        <f>AD2019/AD2022</f>
        <v>0.7</v>
      </c>
      <c r="AN2019">
        <f>AL11</f>
        <v>4</v>
      </c>
      <c r="AO2019">
        <f>AN19+AL13</f>
        <v>9</v>
      </c>
      <c r="AP2019">
        <f>COUNTIF($G$4:$G$23,$AM19)</f>
        <v>14</v>
      </c>
      <c r="AQ2019" s="2">
        <f>AP2019/AP2022</f>
        <v>0.7</v>
      </c>
      <c r="AZ2019">
        <f>AX11</f>
        <v>12</v>
      </c>
      <c r="BA2019">
        <f>AZ19+AX13 - 1</f>
        <v>27</v>
      </c>
      <c r="BB2019">
        <f>COUNTIF($I$4:$I$23,$AY19)</f>
        <v>14</v>
      </c>
      <c r="BC2019" s="2">
        <f>BB2019/BB2022</f>
        <v>0.7</v>
      </c>
    </row>
    <row r="2020" spans="16:55" x14ac:dyDescent="0.25">
      <c r="P2020">
        <f>Q19+ 1</f>
        <v>10</v>
      </c>
      <c r="Q2020">
        <f>P20+N13</f>
        <v>15</v>
      </c>
      <c r="R2020">
        <f>COUNTIF($C$4:$C$23,$O20)</f>
        <v>3</v>
      </c>
      <c r="S2020" s="2">
        <f>R2020/R2022</f>
        <v>0.15</v>
      </c>
      <c r="AB2020">
        <f>AC19+ 1</f>
        <v>10</v>
      </c>
      <c r="AC2020">
        <f>AB20+Z13</f>
        <v>15</v>
      </c>
      <c r="AD2020">
        <f>COUNTIF($E$4:$E$23,$AA20)</f>
        <v>3</v>
      </c>
      <c r="AE2020" s="2">
        <f>AD2020/AD2022</f>
        <v>0.15</v>
      </c>
      <c r="AN2020">
        <f>AO19+ 1</f>
        <v>10</v>
      </c>
      <c r="AO2020">
        <f>AN20+AL13</f>
        <v>15</v>
      </c>
      <c r="AP2020">
        <f>COUNTIF($G$4:$G$23,$AM20)</f>
        <v>4</v>
      </c>
      <c r="AQ2020" s="2">
        <f>AP2020/AP2022</f>
        <v>0.2</v>
      </c>
      <c r="AZ2020">
        <f>BA19+ 1</f>
        <v>28</v>
      </c>
      <c r="BA2020">
        <f>AZ20+AX13 - 1</f>
        <v>43</v>
      </c>
      <c r="BB2020">
        <f>COUNTIF($I$4:$I$23,$AY20)</f>
        <v>3</v>
      </c>
      <c r="BC2020" s="2">
        <f>BB2020/BB2022</f>
        <v>0.15</v>
      </c>
    </row>
    <row r="2021" spans="16:55" x14ac:dyDescent="0.25">
      <c r="P2021">
        <f>Q20+ 1</f>
        <v>16</v>
      </c>
      <c r="Q2021">
        <f>N10</f>
        <v>20</v>
      </c>
      <c r="R2021">
        <f>COUNTIF($C$4:$C$23,$O21)</f>
        <v>0</v>
      </c>
      <c r="S2021" s="2">
        <f>R2021/R2022</f>
        <v>0</v>
      </c>
      <c r="AB2021">
        <f>AC20+ 1</f>
        <v>16</v>
      </c>
      <c r="AC2021">
        <f>Z10</f>
        <v>20</v>
      </c>
      <c r="AD2021">
        <f>COUNTIF($E$4:$E$23,$AA21)</f>
        <v>3</v>
      </c>
      <c r="AE2021" s="2">
        <f>AD2021/AD2022</f>
        <v>0.15</v>
      </c>
      <c r="AN2021">
        <f>AO20+ 1</f>
        <v>16</v>
      </c>
      <c r="AO2021">
        <f>AL10</f>
        <v>20</v>
      </c>
      <c r="AP2021">
        <f>COUNTIF($G$4:$G$23,$AM21)</f>
        <v>2</v>
      </c>
      <c r="AQ2021" s="2">
        <f>AP2021/AP2022</f>
        <v>0.1</v>
      </c>
      <c r="AZ2021">
        <f>BA20+ 1</f>
        <v>44</v>
      </c>
      <c r="BA2021">
        <f>AX10</f>
        <v>60</v>
      </c>
      <c r="BB2021">
        <f>COUNTIF($I$4:$I$23,$AY21)</f>
        <v>3</v>
      </c>
      <c r="BC2021" s="2">
        <f>BB2021/BB2022</f>
        <v>0.15</v>
      </c>
    </row>
    <row r="2022" spans="16:55" x14ac:dyDescent="0.25">
      <c r="R2022">
        <f>SUM(R2019:R2021)</f>
        <v>20</v>
      </c>
      <c r="S2022" s="2">
        <f>SUM(S2019:S2021)</f>
        <v>1</v>
      </c>
      <c r="AD2022">
        <f>SUM(AD2019:AD2021)</f>
        <v>20</v>
      </c>
      <c r="AE2022" s="2">
        <f>SUM(AE2019:AE2021)</f>
        <v>1</v>
      </c>
      <c r="AP2022">
        <f>SUM(AP2019:AP2021)</f>
        <v>20</v>
      </c>
      <c r="AQ2022" s="2">
        <f>SUM(AQ2019:AQ2021)</f>
        <v>0.99999999999999989</v>
      </c>
      <c r="BB2022">
        <f>SUM(BB2019:BB2021)</f>
        <v>20</v>
      </c>
      <c r="BC2022" s="2">
        <f>SUM(BC2019:BC2021)</f>
        <v>1</v>
      </c>
    </row>
    <row r="2101" spans="11:50" x14ac:dyDescent="0.25">
      <c r="K2101" s="3" t="s">
        <v>58</v>
      </c>
      <c r="L2101" s="3" t="str">
        <f>(N4)</f>
        <v>Clima institucional</v>
      </c>
      <c r="N2101" s="3" t="s">
        <v>86</v>
      </c>
      <c r="W2101" s="3" t="s">
        <v>58</v>
      </c>
      <c r="X2101" s="3" t="str">
        <f>(Z4)</f>
        <v>Clima institucional</v>
      </c>
      <c r="Z2101" s="3" t="s">
        <v>86</v>
      </c>
      <c r="AI2101" s="3" t="s">
        <v>58</v>
      </c>
      <c r="AJ2101" s="3" t="str">
        <f>(AL4)</f>
        <v>Clima institucional</v>
      </c>
      <c r="AL2101" s="3" t="s">
        <v>86</v>
      </c>
      <c r="AU2101" s="3" t="s">
        <v>58</v>
      </c>
      <c r="AV2101" s="3" t="str">
        <f>(AX4)</f>
        <v>Clima institucional</v>
      </c>
      <c r="AX2101" s="3" t="s">
        <v>86</v>
      </c>
    </row>
    <row r="2102" spans="11:50" x14ac:dyDescent="0.25">
      <c r="K2102" s="3" t="s">
        <v>87</v>
      </c>
      <c r="L2102" s="3" t="str">
        <f>(N5)</f>
        <v>Estructuración Organizacional</v>
      </c>
      <c r="N2102" s="3" t="s">
        <v>88</v>
      </c>
      <c r="W2102" s="3" t="s">
        <v>87</v>
      </c>
      <c r="X2102" s="3" t="str">
        <f>(Z5)</f>
        <v>Relaciones Interpersonales</v>
      </c>
      <c r="Z2102" s="3" t="s">
        <v>88</v>
      </c>
      <c r="AI2102" s="3" t="s">
        <v>87</v>
      </c>
      <c r="AJ2102" s="3" t="str">
        <f>(AL5)</f>
        <v>Identidad Institucional</v>
      </c>
      <c r="AL2102" s="3" t="s">
        <v>88</v>
      </c>
      <c r="AU2102" s="3" t="s">
        <v>87</v>
      </c>
      <c r="AV2102" s="3">
        <f>(AX5)</f>
        <v>0</v>
      </c>
      <c r="AX2102" s="3" t="s">
        <v>88</v>
      </c>
    </row>
    <row r="2104" spans="11:50" x14ac:dyDescent="0.25">
      <c r="K2104" s="3" t="s">
        <v>89</v>
      </c>
      <c r="L2104" s="7">
        <f>MAX(S19:S21)</f>
        <v>0.85</v>
      </c>
      <c r="M2104" s="3" t="str">
        <f>IF(L2104=S19,O19,IF(L2104=S20,O20,IF(L2104=S21,O21,"algo esta mal")))</f>
        <v>Inadecuado</v>
      </c>
      <c r="W2104" s="3" t="s">
        <v>89</v>
      </c>
      <c r="X2104" s="7">
        <f>MAX(AE19:AE21)</f>
        <v>0.7</v>
      </c>
      <c r="Y2104" s="3" t="str">
        <f>IF(X2104=AE19,AA19,IF(X2104=AE20,AA20,IF(X2104=AE21,AA21,"algo esta mal")))</f>
        <v>Inadecuado</v>
      </c>
      <c r="AI2104" s="3" t="s">
        <v>89</v>
      </c>
      <c r="AJ2104" s="7">
        <f>MAX(AQ19:AQ21)</f>
        <v>0.7</v>
      </c>
      <c r="AK2104" s="3" t="str">
        <f>IF(AJ2104=AQ19,AM19,IF(AJ2104=AQ20,AM20,IF(AJ2104=AQ21,AM21,"algo esta mal")))</f>
        <v>Inadecuado</v>
      </c>
      <c r="AU2104" s="3" t="s">
        <v>89</v>
      </c>
      <c r="AV2104" s="7">
        <f>MAX(BC19:BC21)</f>
        <v>0.7</v>
      </c>
      <c r="AW2104" s="3" t="str">
        <f>IF(AV2104=BC19,AY19,IF(AV2104=BC20,AY20,IF(AV2104=BC21,AY21,"algo esta mal")))</f>
        <v>Inadecuado</v>
      </c>
    </row>
    <row r="2105" spans="11:50" x14ac:dyDescent="0.25">
      <c r="M2105" s="3" t="s">
        <v>90</v>
      </c>
      <c r="N2105" s="3" t="s">
        <v>91</v>
      </c>
      <c r="O2105" s="3" t="s">
        <v>44</v>
      </c>
      <c r="P2105" s="3" t="s">
        <v>45</v>
      </c>
      <c r="Q2105" s="3" t="s">
        <v>46</v>
      </c>
      <c r="R2105" s="3" t="s">
        <v>47</v>
      </c>
      <c r="S2105" s="3" t="s">
        <v>48</v>
      </c>
      <c r="Y2105" s="3" t="s">
        <v>90</v>
      </c>
      <c r="Z2105" s="3" t="s">
        <v>91</v>
      </c>
      <c r="AA2105" s="3" t="s">
        <v>44</v>
      </c>
      <c r="AB2105" s="3" t="s">
        <v>45</v>
      </c>
      <c r="AC2105" s="3" t="s">
        <v>46</v>
      </c>
      <c r="AD2105" s="3" t="s">
        <v>47</v>
      </c>
      <c r="AE2105" s="3" t="s">
        <v>48</v>
      </c>
      <c r="AK2105" s="3" t="s">
        <v>90</v>
      </c>
      <c r="AL2105" s="3" t="s">
        <v>91</v>
      </c>
      <c r="AM2105" s="3" t="s">
        <v>44</v>
      </c>
      <c r="AN2105" s="3" t="s">
        <v>45</v>
      </c>
      <c r="AO2105" s="3" t="s">
        <v>46</v>
      </c>
      <c r="AP2105" s="3" t="s">
        <v>47</v>
      </c>
      <c r="AQ2105" s="3" t="s">
        <v>48</v>
      </c>
    </row>
    <row r="2205" spans="13:45" x14ac:dyDescent="0.25">
      <c r="M2205" s="3" t="s">
        <v>91</v>
      </c>
      <c r="N2205" s="3" t="str">
        <f>CONCATENATE(O2105," y ",P2105)</f>
        <v>Nunca y Casi Nunca</v>
      </c>
      <c r="O2205" s="3" t="str">
        <f>(Q2105)</f>
        <v>A veces</v>
      </c>
      <c r="P2205" s="3" t="str">
        <f>CONCATENATE(R2105," y ",S2105)</f>
        <v>Casi siempre y Siempre</v>
      </c>
      <c r="Q2205" s="3" t="s">
        <v>93</v>
      </c>
      <c r="R2205" s="3" t="s">
        <v>94</v>
      </c>
      <c r="S2205" s="3" t="s">
        <v>95</v>
      </c>
      <c r="T2205" s="3" t="s">
        <v>96</v>
      </c>
      <c r="U2205" s="3" t="s">
        <v>97</v>
      </c>
      <c r="Y2205" s="3" t="s">
        <v>91</v>
      </c>
      <c r="Z2205" s="3" t="str">
        <f>CONCATENATE(AA2105," y ",AB2105)</f>
        <v>Nunca y Casi Nunca</v>
      </c>
      <c r="AA2205" s="3" t="str">
        <f>(AC2105)</f>
        <v>A veces</v>
      </c>
      <c r="AB2205" s="3" t="str">
        <f>CONCATENATE(AD2105," y ",AE2105)</f>
        <v>Casi siempre y Siempre</v>
      </c>
      <c r="AC2205" s="3" t="s">
        <v>93</v>
      </c>
      <c r="AD2205" s="3" t="s">
        <v>94</v>
      </c>
      <c r="AE2205" s="3" t="s">
        <v>95</v>
      </c>
      <c r="AF2205" s="3" t="s">
        <v>96</v>
      </c>
      <c r="AG2205" s="3" t="s">
        <v>97</v>
      </c>
      <c r="AK2205" s="3" t="s">
        <v>91</v>
      </c>
      <c r="AL2205" s="3" t="str">
        <f>CONCATENATE(AM2105," y ",AN2105)</f>
        <v>Nunca y Casi Nunca</v>
      </c>
      <c r="AM2205" s="3" t="str">
        <f>(AO2105)</f>
        <v>A veces</v>
      </c>
      <c r="AN2205" s="3" t="str">
        <f>CONCATENATE(AP2105," y ",AQ2105)</f>
        <v>Casi siempre y Siempre</v>
      </c>
      <c r="AO2205" s="3" t="s">
        <v>93</v>
      </c>
      <c r="AP2205" s="3" t="s">
        <v>94</v>
      </c>
      <c r="AQ2205" s="3" t="s">
        <v>95</v>
      </c>
      <c r="AR2205" s="3" t="s">
        <v>96</v>
      </c>
      <c r="AS2205" s="3" t="s">
        <v>97</v>
      </c>
    </row>
  </sheetData>
  <sheetProtection formatCells="0" formatColumns="0" formatRows="0" insertColumns="0" insertRows="0" insertHyperlinks="0" deleteColumns="0" deleteRows="0" sort="0" autoFilter="0" pivotTables="0"/>
  <mergeCells count="30">
    <mergeCell ref="AW47:BB53"/>
    <mergeCell ref="AM17:AM18"/>
    <mergeCell ref="AN17:AO17"/>
    <mergeCell ref="AP17:AP18"/>
    <mergeCell ref="AQ17:AQ18"/>
    <mergeCell ref="AK47:AP53"/>
    <mergeCell ref="AA17:AA18"/>
    <mergeCell ref="AB17:AC17"/>
    <mergeCell ref="AD17:AD18"/>
    <mergeCell ref="AE17:AE18"/>
    <mergeCell ref="Y47:AD53"/>
    <mergeCell ref="O17:O18"/>
    <mergeCell ref="P17:Q17"/>
    <mergeCell ref="R17:R18"/>
    <mergeCell ref="S17:S18"/>
    <mergeCell ref="M47:R53"/>
    <mergeCell ref="A1:I1"/>
    <mergeCell ref="A2:A3"/>
    <mergeCell ref="B2:C2"/>
    <mergeCell ref="B3"/>
    <mergeCell ref="C3"/>
    <mergeCell ref="D2:E2"/>
    <mergeCell ref="D3"/>
    <mergeCell ref="E3"/>
    <mergeCell ref="F2:G2"/>
    <mergeCell ref="F3"/>
    <mergeCell ref="G3"/>
    <mergeCell ref="H2:I2"/>
    <mergeCell ref="H3"/>
    <mergeCell ref="I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C2143"/>
  <sheetViews>
    <sheetView workbookViewId="0">
      <selection activeCell="CY2135" sqref="CY2135"/>
    </sheetView>
  </sheetViews>
  <sheetFormatPr baseColWidth="10" defaultColWidth="9.140625" defaultRowHeight="15" x14ac:dyDescent="0.25"/>
  <cols>
    <col min="4" max="6" width="26" customWidth="1"/>
    <col min="13" max="15" width="26" customWidth="1"/>
    <col min="22" max="24" width="26" customWidth="1"/>
    <col min="31" max="33" width="26" customWidth="1"/>
    <col min="40" max="42" width="26" customWidth="1"/>
    <col min="49" max="51" width="26" customWidth="1"/>
    <col min="58" max="60" width="26" customWidth="1"/>
    <col min="67" max="69" width="26" customWidth="1"/>
    <col min="76" max="78" width="26" customWidth="1"/>
    <col min="85" max="87" width="26" customWidth="1"/>
    <col min="94" max="96" width="26" customWidth="1"/>
    <col min="103" max="105" width="26" customWidth="1"/>
  </cols>
  <sheetData>
    <row r="3" spans="2:107" x14ac:dyDescent="0.25">
      <c r="B3" s="4"/>
      <c r="C3" s="4"/>
      <c r="D3" s="4"/>
      <c r="E3" s="4"/>
      <c r="F3" s="4"/>
      <c r="G3" s="4"/>
      <c r="H3" s="4"/>
      <c r="K3" s="4"/>
      <c r="L3" s="4"/>
      <c r="M3" s="4"/>
      <c r="N3" s="4"/>
      <c r="O3" s="4"/>
      <c r="P3" s="4"/>
      <c r="Q3" s="4"/>
      <c r="T3" s="4"/>
      <c r="U3" s="4"/>
      <c r="V3" s="4"/>
      <c r="W3" s="4"/>
      <c r="X3" s="4"/>
      <c r="Y3" s="4"/>
      <c r="Z3" s="4"/>
      <c r="AC3" s="4"/>
      <c r="AD3" s="4"/>
      <c r="AE3" s="4"/>
      <c r="AF3" s="4"/>
      <c r="AG3" s="4"/>
      <c r="AH3" s="4"/>
      <c r="AI3" s="4"/>
      <c r="AL3" s="4"/>
      <c r="AM3" s="4"/>
      <c r="AN3" s="4"/>
      <c r="AO3" s="4"/>
      <c r="AP3" s="4"/>
      <c r="AQ3" s="4"/>
      <c r="AR3" s="4"/>
      <c r="AU3" s="4"/>
      <c r="AV3" s="4"/>
      <c r="AW3" s="4"/>
      <c r="AX3" s="4"/>
      <c r="AY3" s="4"/>
      <c r="AZ3" s="4"/>
      <c r="BA3" s="4"/>
      <c r="BD3" s="4"/>
      <c r="BE3" s="4"/>
      <c r="BF3" s="4"/>
      <c r="BG3" s="4"/>
      <c r="BH3" s="4"/>
      <c r="BI3" s="4"/>
      <c r="BJ3" s="4"/>
      <c r="BM3" s="4"/>
      <c r="BN3" s="4"/>
      <c r="BO3" s="4"/>
      <c r="BP3" s="4"/>
      <c r="BQ3" s="4"/>
      <c r="BR3" s="4"/>
      <c r="BS3" s="4"/>
      <c r="BV3" s="4"/>
      <c r="BW3" s="4"/>
      <c r="BX3" s="4"/>
      <c r="BY3" s="4"/>
      <c r="BZ3" s="4"/>
      <c r="CA3" s="4"/>
      <c r="CB3" s="4"/>
      <c r="CE3" s="4"/>
      <c r="CF3" s="4"/>
      <c r="CG3" s="4"/>
      <c r="CH3" s="4"/>
      <c r="CI3" s="4"/>
      <c r="CJ3" s="4"/>
      <c r="CK3" s="4"/>
      <c r="CN3" s="4"/>
      <c r="CO3" s="4"/>
      <c r="CP3" s="4"/>
      <c r="CQ3" s="4"/>
      <c r="CR3" s="4"/>
      <c r="CS3" s="4"/>
      <c r="CT3" s="4"/>
      <c r="CW3" s="4"/>
      <c r="CX3" s="4"/>
      <c r="CY3" s="4"/>
      <c r="CZ3" s="4"/>
      <c r="DA3" s="4"/>
      <c r="DB3" s="4"/>
      <c r="DC3" s="4"/>
    </row>
    <row r="4" spans="2:107" ht="15.75" x14ac:dyDescent="0.25">
      <c r="B4" s="4"/>
      <c r="D4" s="54" t="s">
        <v>124</v>
      </c>
      <c r="E4" s="55"/>
      <c r="F4" s="55"/>
      <c r="H4" s="4"/>
      <c r="K4" s="4"/>
      <c r="M4" s="54" t="s">
        <v>125</v>
      </c>
      <c r="N4" s="55"/>
      <c r="O4" s="55"/>
      <c r="Q4" s="4"/>
      <c r="T4" s="4"/>
      <c r="V4" s="54" t="s">
        <v>126</v>
      </c>
      <c r="W4" s="55"/>
      <c r="X4" s="55"/>
      <c r="Z4" s="4"/>
      <c r="AC4" s="4"/>
      <c r="AE4" s="54" t="s">
        <v>127</v>
      </c>
      <c r="AF4" s="55"/>
      <c r="AG4" s="55"/>
      <c r="AI4" s="4"/>
      <c r="AL4" s="4"/>
      <c r="AN4" s="54" t="s">
        <v>128</v>
      </c>
      <c r="AO4" s="55"/>
      <c r="AP4" s="55"/>
      <c r="AR4" s="4"/>
      <c r="AU4" s="4"/>
      <c r="AW4" s="54" t="s">
        <v>129</v>
      </c>
      <c r="AX4" s="55"/>
      <c r="AY4" s="55"/>
      <c r="BA4" s="4"/>
      <c r="BD4" s="4"/>
      <c r="BF4" s="54" t="s">
        <v>130</v>
      </c>
      <c r="BG4" s="55"/>
      <c r="BH4" s="55"/>
      <c r="BJ4" s="4"/>
      <c r="BM4" s="4"/>
      <c r="BO4" s="54" t="s">
        <v>131</v>
      </c>
      <c r="BP4" s="55"/>
      <c r="BQ4" s="55"/>
      <c r="BS4" s="4"/>
      <c r="BV4" s="4"/>
      <c r="BX4" s="54" t="s">
        <v>132</v>
      </c>
      <c r="BY4" s="55"/>
      <c r="BZ4" s="55"/>
      <c r="CB4" s="4"/>
      <c r="CE4" s="4"/>
      <c r="CG4" s="54" t="s">
        <v>133</v>
      </c>
      <c r="CH4" s="55"/>
      <c r="CI4" s="55"/>
      <c r="CK4" s="4"/>
      <c r="CN4" s="4"/>
      <c r="CP4" s="54" t="s">
        <v>134</v>
      </c>
      <c r="CQ4" s="55"/>
      <c r="CR4" s="55"/>
      <c r="CT4" s="4"/>
      <c r="CW4" s="4"/>
      <c r="CY4" s="54" t="s">
        <v>135</v>
      </c>
      <c r="CZ4" s="55"/>
      <c r="DA4" s="55"/>
      <c r="DC4" s="4"/>
    </row>
    <row r="5" spans="2:107" x14ac:dyDescent="0.25">
      <c r="B5" s="4"/>
      <c r="D5" s="3" t="s">
        <v>68</v>
      </c>
      <c r="H5" s="4"/>
      <c r="K5" s="4"/>
      <c r="M5" s="3" t="s">
        <v>69</v>
      </c>
      <c r="Q5" s="4"/>
      <c r="T5" s="4"/>
      <c r="V5" s="3" t="s">
        <v>70</v>
      </c>
      <c r="Z5" s="4"/>
      <c r="AC5" s="4"/>
      <c r="AE5" s="3" t="s">
        <v>71</v>
      </c>
      <c r="AI5" s="4"/>
      <c r="AL5" s="4"/>
      <c r="AN5" s="3" t="s">
        <v>136</v>
      </c>
      <c r="AR5" s="4"/>
      <c r="AU5" s="4"/>
      <c r="AW5" s="3" t="s">
        <v>137</v>
      </c>
      <c r="BA5" s="4"/>
      <c r="BD5" s="4"/>
      <c r="BF5" s="3" t="s">
        <v>138</v>
      </c>
      <c r="BJ5" s="4"/>
      <c r="BM5" s="4"/>
      <c r="BO5" s="3" t="s">
        <v>139</v>
      </c>
      <c r="BS5" s="4"/>
      <c r="BV5" s="4"/>
      <c r="BX5" s="3" t="s">
        <v>140</v>
      </c>
      <c r="CB5" s="4"/>
      <c r="CE5" s="4"/>
      <c r="CG5" s="3" t="s">
        <v>141</v>
      </c>
      <c r="CK5" s="4"/>
      <c r="CN5" s="4"/>
      <c r="CP5" s="3" t="s">
        <v>142</v>
      </c>
      <c r="CT5" s="4"/>
      <c r="CW5" s="4"/>
      <c r="CY5" s="3" t="s">
        <v>143</v>
      </c>
      <c r="DC5" s="4"/>
    </row>
    <row r="6" spans="2:107" x14ac:dyDescent="0.25">
      <c r="B6" s="4"/>
      <c r="D6" s="3" t="s">
        <v>92</v>
      </c>
      <c r="H6" s="4"/>
      <c r="K6" s="4"/>
      <c r="M6" s="3"/>
      <c r="Q6" s="4"/>
      <c r="T6" s="4"/>
      <c r="V6" s="3"/>
      <c r="Z6" s="4"/>
      <c r="AC6" s="4"/>
      <c r="AE6" s="3"/>
      <c r="AI6" s="4"/>
      <c r="AL6" s="4"/>
      <c r="AN6" s="3"/>
      <c r="AR6" s="4"/>
      <c r="AU6" s="4"/>
      <c r="AW6" s="3"/>
      <c r="BA6" s="4"/>
      <c r="BD6" s="4"/>
      <c r="BF6" s="3"/>
      <c r="BJ6" s="4"/>
      <c r="BM6" s="4"/>
      <c r="BO6" s="3"/>
      <c r="BS6" s="4"/>
      <c r="BV6" s="4"/>
      <c r="BX6" s="3"/>
      <c r="CB6" s="4"/>
      <c r="CE6" s="4"/>
      <c r="CG6" s="3"/>
      <c r="CK6" s="4"/>
      <c r="CN6" s="4"/>
      <c r="CP6" s="3"/>
      <c r="CT6" s="4"/>
      <c r="CW6" s="4"/>
      <c r="CY6" s="3"/>
      <c r="DC6" s="4"/>
    </row>
    <row r="7" spans="2:107" x14ac:dyDescent="0.25">
      <c r="B7" s="4"/>
      <c r="D7" s="6"/>
      <c r="E7" s="10" t="s">
        <v>73</v>
      </c>
      <c r="F7" s="10" t="s">
        <v>74</v>
      </c>
      <c r="H7" s="4"/>
      <c r="K7" s="4"/>
      <c r="M7" s="6"/>
      <c r="N7" s="10" t="s">
        <v>73</v>
      </c>
      <c r="O7" s="10" t="s">
        <v>74</v>
      </c>
      <c r="Q7" s="4"/>
      <c r="T7" s="4"/>
      <c r="V7" s="6"/>
      <c r="W7" s="10" t="s">
        <v>73</v>
      </c>
      <c r="X7" s="10" t="s">
        <v>74</v>
      </c>
      <c r="Z7" s="4"/>
      <c r="AC7" s="4"/>
      <c r="AE7" s="6"/>
      <c r="AF7" s="10" t="s">
        <v>73</v>
      </c>
      <c r="AG7" s="10" t="s">
        <v>74</v>
      </c>
      <c r="AI7" s="4"/>
      <c r="AL7" s="4"/>
      <c r="AN7" s="6"/>
      <c r="AO7" s="10" t="s">
        <v>73</v>
      </c>
      <c r="AP7" s="10" t="s">
        <v>74</v>
      </c>
      <c r="AR7" s="4"/>
      <c r="AU7" s="4"/>
      <c r="AW7" s="6"/>
      <c r="AX7" s="10" t="s">
        <v>73</v>
      </c>
      <c r="AY7" s="10" t="s">
        <v>74</v>
      </c>
      <c r="BA7" s="4"/>
      <c r="BD7" s="4"/>
      <c r="BF7" s="6"/>
      <c r="BG7" s="10" t="s">
        <v>73</v>
      </c>
      <c r="BH7" s="10" t="s">
        <v>74</v>
      </c>
      <c r="BJ7" s="4"/>
      <c r="BM7" s="4"/>
      <c r="BO7" s="6"/>
      <c r="BP7" s="10" t="s">
        <v>73</v>
      </c>
      <c r="BQ7" s="10" t="s">
        <v>74</v>
      </c>
      <c r="BS7" s="4"/>
      <c r="BV7" s="4"/>
      <c r="BX7" s="6"/>
      <c r="BY7" s="10" t="s">
        <v>73</v>
      </c>
      <c r="BZ7" s="10" t="s">
        <v>74</v>
      </c>
      <c r="CB7" s="4"/>
      <c r="CE7" s="4"/>
      <c r="CG7" s="6"/>
      <c r="CH7" s="10" t="s">
        <v>73</v>
      </c>
      <c r="CI7" s="10" t="s">
        <v>74</v>
      </c>
      <c r="CK7" s="4"/>
      <c r="CN7" s="4"/>
      <c r="CP7" s="6"/>
      <c r="CQ7" s="10" t="s">
        <v>73</v>
      </c>
      <c r="CR7" s="10" t="s">
        <v>74</v>
      </c>
      <c r="CT7" s="4"/>
      <c r="CW7" s="4"/>
      <c r="CY7" s="6"/>
      <c r="CZ7" s="10" t="s">
        <v>73</v>
      </c>
      <c r="DA7" s="10" t="s">
        <v>74</v>
      </c>
      <c r="DC7" s="4"/>
    </row>
    <row r="8" spans="2:107" x14ac:dyDescent="0.25">
      <c r="B8" s="4"/>
      <c r="D8" s="17" t="str">
        <f>('Clima institucional'!A31)</f>
        <v>Nunca</v>
      </c>
      <c r="E8" s="9">
        <f>('Clima institucional'!B31)</f>
        <v>10</v>
      </c>
      <c r="F8" s="13">
        <f>('Clima institucional'!B37)</f>
        <v>0.5</v>
      </c>
      <c r="H8" s="4"/>
      <c r="K8" s="4"/>
      <c r="M8" s="17" t="str">
        <f>('Clima institucional'!A31)</f>
        <v>Nunca</v>
      </c>
      <c r="N8" s="9">
        <f>('Clima institucional'!C31)</f>
        <v>7</v>
      </c>
      <c r="O8" s="13">
        <f>('Clima institucional'!C37)</f>
        <v>0.35</v>
      </c>
      <c r="Q8" s="4"/>
      <c r="T8" s="4"/>
      <c r="V8" s="17" t="str">
        <f>('Clima institucional'!A31)</f>
        <v>Nunca</v>
      </c>
      <c r="W8" s="9">
        <f>('Clima institucional'!D31)</f>
        <v>7</v>
      </c>
      <c r="X8" s="13">
        <f>('Clima institucional'!D37)</f>
        <v>0.35</v>
      </c>
      <c r="Z8" s="4"/>
      <c r="AC8" s="4"/>
      <c r="AE8" s="17" t="str">
        <f>('Clima institucional'!A31)</f>
        <v>Nunca</v>
      </c>
      <c r="AF8" s="9">
        <f>('Clima institucional'!E31)</f>
        <v>6</v>
      </c>
      <c r="AG8" s="13">
        <f>('Clima institucional'!E37)</f>
        <v>0.3</v>
      </c>
      <c r="AI8" s="4"/>
      <c r="AL8" s="4"/>
      <c r="AN8" s="17" t="str">
        <f>('Clima institucional'!A31)</f>
        <v>Nunca</v>
      </c>
      <c r="AO8" s="9">
        <f>('Clima institucional'!F31)</f>
        <v>7</v>
      </c>
      <c r="AP8" s="13">
        <f>('Clima institucional'!F37)</f>
        <v>0.35</v>
      </c>
      <c r="AR8" s="4"/>
      <c r="AU8" s="4"/>
      <c r="AW8" s="17" t="str">
        <f>('Clima institucional'!A31)</f>
        <v>Nunca</v>
      </c>
      <c r="AX8" s="9">
        <f>('Clima institucional'!G31)</f>
        <v>8</v>
      </c>
      <c r="AY8" s="13">
        <f>('Clima institucional'!G37)</f>
        <v>0.4</v>
      </c>
      <c r="BA8" s="4"/>
      <c r="BD8" s="4"/>
      <c r="BF8" s="17" t="str">
        <f>('Clima institucional'!A31)</f>
        <v>Nunca</v>
      </c>
      <c r="BG8" s="9">
        <f>('Clima institucional'!H31)</f>
        <v>5</v>
      </c>
      <c r="BH8" s="13">
        <f>('Clima institucional'!H37)</f>
        <v>0.25</v>
      </c>
      <c r="BJ8" s="4"/>
      <c r="BM8" s="4"/>
      <c r="BO8" s="17" t="str">
        <f>('Clima institucional'!A31)</f>
        <v>Nunca</v>
      </c>
      <c r="BP8" s="9">
        <f>('Clima institucional'!I31)</f>
        <v>7</v>
      </c>
      <c r="BQ8" s="13">
        <f>('Clima institucional'!I37)</f>
        <v>0.35</v>
      </c>
      <c r="BS8" s="4"/>
      <c r="BV8" s="4"/>
      <c r="BX8" s="17" t="str">
        <f>('Clima institucional'!A31)</f>
        <v>Nunca</v>
      </c>
      <c r="BY8" s="9">
        <f>('Clima institucional'!J31)</f>
        <v>9</v>
      </c>
      <c r="BZ8" s="13">
        <f>('Clima institucional'!J37)</f>
        <v>0.45</v>
      </c>
      <c r="CB8" s="4"/>
      <c r="CE8" s="4"/>
      <c r="CG8" s="17" t="str">
        <f>('Clima institucional'!A31)</f>
        <v>Nunca</v>
      </c>
      <c r="CH8" s="9">
        <f>('Clima institucional'!K31)</f>
        <v>8</v>
      </c>
      <c r="CI8" s="13">
        <f>('Clima institucional'!K37)</f>
        <v>0.4</v>
      </c>
      <c r="CK8" s="4"/>
      <c r="CN8" s="4"/>
      <c r="CP8" s="17" t="str">
        <f>('Clima institucional'!A31)</f>
        <v>Nunca</v>
      </c>
      <c r="CQ8" s="9">
        <f>('Clima institucional'!L31)</f>
        <v>8</v>
      </c>
      <c r="CR8" s="13">
        <f>('Clima institucional'!L37)</f>
        <v>0.4</v>
      </c>
      <c r="CT8" s="4"/>
      <c r="CW8" s="4"/>
      <c r="CY8" s="17" t="str">
        <f>('Clima institucional'!A31)</f>
        <v>Nunca</v>
      </c>
      <c r="CZ8" s="9">
        <f>('Clima institucional'!M31)</f>
        <v>9</v>
      </c>
      <c r="DA8" s="13">
        <f>('Clima institucional'!M37)</f>
        <v>0.45</v>
      </c>
      <c r="DC8" s="4"/>
    </row>
    <row r="9" spans="2:107" x14ac:dyDescent="0.25">
      <c r="B9" s="4"/>
      <c r="D9" s="17" t="str">
        <f>('Clima institucional'!A32)</f>
        <v>Casi Nunca</v>
      </c>
      <c r="E9" s="9">
        <f>('Clima institucional'!B32)</f>
        <v>5</v>
      </c>
      <c r="F9" s="13">
        <f>('Clima institucional'!B38)</f>
        <v>0.25</v>
      </c>
      <c r="H9" s="4"/>
      <c r="K9" s="4"/>
      <c r="M9" s="17" t="str">
        <f>('Clima institucional'!A32)</f>
        <v>Casi Nunca</v>
      </c>
      <c r="N9" s="9">
        <f>('Clima institucional'!C32)</f>
        <v>10</v>
      </c>
      <c r="O9" s="13">
        <f>('Clima institucional'!C38)</f>
        <v>0.5</v>
      </c>
      <c r="Q9" s="4"/>
      <c r="T9" s="4"/>
      <c r="V9" s="17" t="str">
        <f>('Clima institucional'!A32)</f>
        <v>Casi Nunca</v>
      </c>
      <c r="W9" s="9">
        <f>('Clima institucional'!D32)</f>
        <v>9</v>
      </c>
      <c r="X9" s="13">
        <f>('Clima institucional'!D38)</f>
        <v>0.45</v>
      </c>
      <c r="Z9" s="4"/>
      <c r="AC9" s="4"/>
      <c r="AE9" s="17" t="str">
        <f>('Clima institucional'!A32)</f>
        <v>Casi Nunca</v>
      </c>
      <c r="AF9" s="9">
        <f>('Clima institucional'!E32)</f>
        <v>8</v>
      </c>
      <c r="AG9" s="13">
        <f>('Clima institucional'!E38)</f>
        <v>0.4</v>
      </c>
      <c r="AI9" s="4"/>
      <c r="AL9" s="4"/>
      <c r="AN9" s="17" t="str">
        <f>('Clima institucional'!A32)</f>
        <v>Casi Nunca</v>
      </c>
      <c r="AO9" s="9">
        <f>('Clima institucional'!F32)</f>
        <v>8</v>
      </c>
      <c r="AP9" s="13">
        <f>('Clima institucional'!F38)</f>
        <v>0.4</v>
      </c>
      <c r="AR9" s="4"/>
      <c r="AU9" s="4"/>
      <c r="AW9" s="17" t="str">
        <f>('Clima institucional'!A32)</f>
        <v>Casi Nunca</v>
      </c>
      <c r="AX9" s="9">
        <f>('Clima institucional'!G32)</f>
        <v>6</v>
      </c>
      <c r="AY9" s="13">
        <f>('Clima institucional'!G38)</f>
        <v>0.3</v>
      </c>
      <c r="BA9" s="4"/>
      <c r="BD9" s="4"/>
      <c r="BF9" s="17" t="str">
        <f>('Clima institucional'!A32)</f>
        <v>Casi Nunca</v>
      </c>
      <c r="BG9" s="9">
        <f>('Clima institucional'!H32)</f>
        <v>8</v>
      </c>
      <c r="BH9" s="13">
        <f>('Clima institucional'!H38)</f>
        <v>0.4</v>
      </c>
      <c r="BJ9" s="4"/>
      <c r="BM9" s="4"/>
      <c r="BO9" s="17" t="str">
        <f>('Clima institucional'!A32)</f>
        <v>Casi Nunca</v>
      </c>
      <c r="BP9" s="9">
        <f>('Clima institucional'!I32)</f>
        <v>8</v>
      </c>
      <c r="BQ9" s="13">
        <f>('Clima institucional'!I38)</f>
        <v>0.4</v>
      </c>
      <c r="BS9" s="4"/>
      <c r="BV9" s="4"/>
      <c r="BX9" s="17" t="str">
        <f>('Clima institucional'!A32)</f>
        <v>Casi Nunca</v>
      </c>
      <c r="BY9" s="9">
        <f>('Clima institucional'!J32)</f>
        <v>5</v>
      </c>
      <c r="BZ9" s="13">
        <f>('Clima institucional'!J38)</f>
        <v>0.25</v>
      </c>
      <c r="CB9" s="4"/>
      <c r="CE9" s="4"/>
      <c r="CG9" s="17" t="str">
        <f>('Clima institucional'!A32)</f>
        <v>Casi Nunca</v>
      </c>
      <c r="CH9" s="9">
        <f>('Clima institucional'!K32)</f>
        <v>6</v>
      </c>
      <c r="CI9" s="13">
        <f>('Clima institucional'!K38)</f>
        <v>0.3</v>
      </c>
      <c r="CK9" s="4"/>
      <c r="CN9" s="4"/>
      <c r="CP9" s="17" t="str">
        <f>('Clima institucional'!A32)</f>
        <v>Casi Nunca</v>
      </c>
      <c r="CQ9" s="9">
        <f>('Clima institucional'!L32)</f>
        <v>8</v>
      </c>
      <c r="CR9" s="13">
        <f>('Clima institucional'!L38)</f>
        <v>0.4</v>
      </c>
      <c r="CT9" s="4"/>
      <c r="CW9" s="4"/>
      <c r="CY9" s="17" t="str">
        <f>('Clima institucional'!A32)</f>
        <v>Casi Nunca</v>
      </c>
      <c r="CZ9" s="9">
        <f>('Clima institucional'!M32)</f>
        <v>5</v>
      </c>
      <c r="DA9" s="13">
        <f>('Clima institucional'!M38)</f>
        <v>0.25</v>
      </c>
      <c r="DC9" s="4"/>
    </row>
    <row r="10" spans="2:107" x14ac:dyDescent="0.25">
      <c r="B10" s="4"/>
      <c r="D10" s="17" t="str">
        <f>('Clima institucional'!A33)</f>
        <v>A veces</v>
      </c>
      <c r="E10" s="9">
        <f>('Clima institucional'!B33)</f>
        <v>3</v>
      </c>
      <c r="F10" s="13">
        <f>('Clima institucional'!B39)</f>
        <v>0.15</v>
      </c>
      <c r="H10" s="4"/>
      <c r="K10" s="4"/>
      <c r="M10" s="17" t="str">
        <f>('Clima institucional'!A33)</f>
        <v>A veces</v>
      </c>
      <c r="N10" s="9">
        <f>('Clima institucional'!C33)</f>
        <v>3</v>
      </c>
      <c r="O10" s="13">
        <f>('Clima institucional'!C39)</f>
        <v>0.15</v>
      </c>
      <c r="Q10" s="4"/>
      <c r="T10" s="4"/>
      <c r="V10" s="17" t="str">
        <f>('Clima institucional'!A33)</f>
        <v>A veces</v>
      </c>
      <c r="W10" s="9">
        <f>('Clima institucional'!D33)</f>
        <v>0</v>
      </c>
      <c r="X10" s="13">
        <f>('Clima institucional'!D39)</f>
        <v>0</v>
      </c>
      <c r="Z10" s="4"/>
      <c r="AC10" s="4"/>
      <c r="AE10" s="17" t="str">
        <f>('Clima institucional'!A33)</f>
        <v>A veces</v>
      </c>
      <c r="AF10" s="9">
        <f>('Clima institucional'!E33)</f>
        <v>6</v>
      </c>
      <c r="AG10" s="13">
        <f>('Clima institucional'!E39)</f>
        <v>0.3</v>
      </c>
      <c r="AI10" s="4"/>
      <c r="AL10" s="4"/>
      <c r="AN10" s="17" t="str">
        <f>('Clima institucional'!A33)</f>
        <v>A veces</v>
      </c>
      <c r="AO10" s="9">
        <f>('Clima institucional'!F33)</f>
        <v>2</v>
      </c>
      <c r="AP10" s="13">
        <f>('Clima institucional'!F39)</f>
        <v>0.1</v>
      </c>
      <c r="AR10" s="4"/>
      <c r="AU10" s="4"/>
      <c r="AW10" s="17" t="str">
        <f>('Clima institucional'!A33)</f>
        <v>A veces</v>
      </c>
      <c r="AX10" s="9">
        <f>('Clima institucional'!G33)</f>
        <v>2</v>
      </c>
      <c r="AY10" s="13">
        <f>('Clima institucional'!G39)</f>
        <v>0.1</v>
      </c>
      <c r="BA10" s="4"/>
      <c r="BD10" s="4"/>
      <c r="BF10" s="17" t="str">
        <f>('Clima institucional'!A33)</f>
        <v>A veces</v>
      </c>
      <c r="BG10" s="9">
        <f>('Clima institucional'!H33)</f>
        <v>7</v>
      </c>
      <c r="BH10" s="13">
        <f>('Clima institucional'!H39)</f>
        <v>0.35</v>
      </c>
      <c r="BJ10" s="4"/>
      <c r="BM10" s="4"/>
      <c r="BO10" s="17" t="str">
        <f>('Clima institucional'!A33)</f>
        <v>A veces</v>
      </c>
      <c r="BP10" s="9">
        <f>('Clima institucional'!I33)</f>
        <v>1</v>
      </c>
      <c r="BQ10" s="13">
        <f>('Clima institucional'!I39)</f>
        <v>0.05</v>
      </c>
      <c r="BS10" s="4"/>
      <c r="BV10" s="4"/>
      <c r="BX10" s="17" t="str">
        <f>('Clima institucional'!A33)</f>
        <v>A veces</v>
      </c>
      <c r="BY10" s="9">
        <f>('Clima institucional'!J33)</f>
        <v>4</v>
      </c>
      <c r="BZ10" s="13">
        <f>('Clima institucional'!J39)</f>
        <v>0.2</v>
      </c>
      <c r="CB10" s="4"/>
      <c r="CE10" s="4"/>
      <c r="CG10" s="17" t="str">
        <f>('Clima institucional'!A33)</f>
        <v>A veces</v>
      </c>
      <c r="CH10" s="9">
        <f>('Clima institucional'!K33)</f>
        <v>2</v>
      </c>
      <c r="CI10" s="13">
        <f>('Clima institucional'!K39)</f>
        <v>0.1</v>
      </c>
      <c r="CK10" s="4"/>
      <c r="CN10" s="4"/>
      <c r="CP10" s="17" t="str">
        <f>('Clima institucional'!A33)</f>
        <v>A veces</v>
      </c>
      <c r="CQ10" s="9">
        <f>('Clima institucional'!L33)</f>
        <v>2</v>
      </c>
      <c r="CR10" s="13">
        <f>('Clima institucional'!L39)</f>
        <v>0.1</v>
      </c>
      <c r="CT10" s="4"/>
      <c r="CW10" s="4"/>
      <c r="CY10" s="17" t="str">
        <f>('Clima institucional'!A33)</f>
        <v>A veces</v>
      </c>
      <c r="CZ10" s="9">
        <f>('Clima institucional'!M33)</f>
        <v>1</v>
      </c>
      <c r="DA10" s="13">
        <f>('Clima institucional'!M39)</f>
        <v>0.05</v>
      </c>
      <c r="DC10" s="4"/>
    </row>
    <row r="11" spans="2:107" x14ac:dyDescent="0.25">
      <c r="B11" s="4"/>
      <c r="D11" s="17" t="str">
        <f>('Clima institucional'!A34)</f>
        <v>Casi siempre</v>
      </c>
      <c r="E11" s="9">
        <f>('Clima institucional'!B34)</f>
        <v>1</v>
      </c>
      <c r="F11" s="13">
        <f>('Clima institucional'!B40)</f>
        <v>0.05</v>
      </c>
      <c r="H11" s="4"/>
      <c r="K11" s="4"/>
      <c r="M11" s="17" t="str">
        <f>('Clima institucional'!A34)</f>
        <v>Casi siempre</v>
      </c>
      <c r="N11" s="9">
        <f>('Clima institucional'!C34)</f>
        <v>0</v>
      </c>
      <c r="O11" s="13">
        <f>('Clima institucional'!C40)</f>
        <v>0</v>
      </c>
      <c r="Q11" s="4"/>
      <c r="T11" s="4"/>
      <c r="V11" s="17" t="str">
        <f>('Clima institucional'!A34)</f>
        <v>Casi siempre</v>
      </c>
      <c r="W11" s="9">
        <f>('Clima institucional'!D34)</f>
        <v>2</v>
      </c>
      <c r="X11" s="13">
        <f>('Clima institucional'!D40)</f>
        <v>0.1</v>
      </c>
      <c r="Z11" s="4"/>
      <c r="AC11" s="4"/>
      <c r="AE11" s="17" t="str">
        <f>('Clima institucional'!A34)</f>
        <v>Casi siempre</v>
      </c>
      <c r="AF11" s="9">
        <f>('Clima institucional'!E34)</f>
        <v>0</v>
      </c>
      <c r="AG11" s="13">
        <f>('Clima institucional'!E40)</f>
        <v>0</v>
      </c>
      <c r="AI11" s="4"/>
      <c r="AL11" s="4"/>
      <c r="AN11" s="17" t="str">
        <f>('Clima institucional'!A34)</f>
        <v>Casi siempre</v>
      </c>
      <c r="AO11" s="9">
        <f>('Clima institucional'!F34)</f>
        <v>2</v>
      </c>
      <c r="AP11" s="13">
        <f>('Clima institucional'!F40)</f>
        <v>0.1</v>
      </c>
      <c r="AR11" s="4"/>
      <c r="AU11" s="4"/>
      <c r="AW11" s="17" t="str">
        <f>('Clima institucional'!A34)</f>
        <v>Casi siempre</v>
      </c>
      <c r="AX11" s="9">
        <f>('Clima institucional'!G34)</f>
        <v>2</v>
      </c>
      <c r="AY11" s="13">
        <f>('Clima institucional'!G40)</f>
        <v>0.1</v>
      </c>
      <c r="BA11" s="4"/>
      <c r="BD11" s="4"/>
      <c r="BF11" s="17" t="str">
        <f>('Clima institucional'!A34)</f>
        <v>Casi siempre</v>
      </c>
      <c r="BG11" s="9">
        <f>('Clima institucional'!H34)</f>
        <v>0</v>
      </c>
      <c r="BH11" s="13">
        <f>('Clima institucional'!H40)</f>
        <v>0</v>
      </c>
      <c r="BJ11" s="4"/>
      <c r="BM11" s="4"/>
      <c r="BO11" s="17" t="str">
        <f>('Clima institucional'!A34)</f>
        <v>Casi siempre</v>
      </c>
      <c r="BP11" s="9">
        <f>('Clima institucional'!I34)</f>
        <v>2</v>
      </c>
      <c r="BQ11" s="13">
        <f>('Clima institucional'!I40)</f>
        <v>0.1</v>
      </c>
      <c r="BS11" s="4"/>
      <c r="BV11" s="4"/>
      <c r="BX11" s="17" t="str">
        <f>('Clima institucional'!A34)</f>
        <v>Casi siempre</v>
      </c>
      <c r="BY11" s="9">
        <f>('Clima institucional'!J34)</f>
        <v>1</v>
      </c>
      <c r="BZ11" s="13">
        <f>('Clima institucional'!J40)</f>
        <v>0.05</v>
      </c>
      <c r="CB11" s="4"/>
      <c r="CE11" s="4"/>
      <c r="CG11" s="17" t="str">
        <f>('Clima institucional'!A34)</f>
        <v>Casi siempre</v>
      </c>
      <c r="CH11" s="9">
        <f>('Clima institucional'!K34)</f>
        <v>3</v>
      </c>
      <c r="CI11" s="13">
        <f>('Clima institucional'!K40)</f>
        <v>0.15</v>
      </c>
      <c r="CK11" s="4"/>
      <c r="CN11" s="4"/>
      <c r="CP11" s="17" t="str">
        <f>('Clima institucional'!A34)</f>
        <v>Casi siempre</v>
      </c>
      <c r="CQ11" s="9">
        <f>('Clima institucional'!L34)</f>
        <v>2</v>
      </c>
      <c r="CR11" s="13">
        <f>('Clima institucional'!L40)</f>
        <v>0.1</v>
      </c>
      <c r="CT11" s="4"/>
      <c r="CW11" s="4"/>
      <c r="CY11" s="17" t="str">
        <f>('Clima institucional'!A34)</f>
        <v>Casi siempre</v>
      </c>
      <c r="CZ11" s="9">
        <f>('Clima institucional'!M34)</f>
        <v>3</v>
      </c>
      <c r="DA11" s="13">
        <f>('Clima institucional'!M40)</f>
        <v>0.15</v>
      </c>
      <c r="DC11" s="4"/>
    </row>
    <row r="12" spans="2:107" x14ac:dyDescent="0.25">
      <c r="B12" s="4"/>
      <c r="D12" s="17" t="str">
        <f>('Clima institucional'!A35)</f>
        <v>Siempre</v>
      </c>
      <c r="E12" s="9">
        <f>('Clima institucional'!B35)</f>
        <v>1</v>
      </c>
      <c r="F12" s="13">
        <f>('Clima institucional'!B41)</f>
        <v>0.05</v>
      </c>
      <c r="H12" s="4"/>
      <c r="K12" s="4"/>
      <c r="M12" s="17" t="str">
        <f>('Clima institucional'!A35)</f>
        <v>Siempre</v>
      </c>
      <c r="N12" s="9">
        <f>('Clima institucional'!C35)</f>
        <v>0</v>
      </c>
      <c r="O12" s="13">
        <f>('Clima institucional'!C41)</f>
        <v>0</v>
      </c>
      <c r="Q12" s="4"/>
      <c r="T12" s="4"/>
      <c r="V12" s="17" t="str">
        <f>('Clima institucional'!A35)</f>
        <v>Siempre</v>
      </c>
      <c r="W12" s="9">
        <f>('Clima institucional'!D35)</f>
        <v>2</v>
      </c>
      <c r="X12" s="13">
        <f>('Clima institucional'!D41)</f>
        <v>0.1</v>
      </c>
      <c r="Z12" s="4"/>
      <c r="AC12" s="4"/>
      <c r="AE12" s="17" t="str">
        <f>('Clima institucional'!A35)</f>
        <v>Siempre</v>
      </c>
      <c r="AF12" s="9">
        <f>('Clima institucional'!E35)</f>
        <v>0</v>
      </c>
      <c r="AG12" s="13">
        <f>('Clima institucional'!E41)</f>
        <v>0</v>
      </c>
      <c r="AI12" s="4"/>
      <c r="AL12" s="4"/>
      <c r="AN12" s="17" t="str">
        <f>('Clima institucional'!A35)</f>
        <v>Siempre</v>
      </c>
      <c r="AO12" s="9">
        <f>('Clima institucional'!F35)</f>
        <v>1</v>
      </c>
      <c r="AP12" s="13">
        <f>('Clima institucional'!F41)</f>
        <v>0.05</v>
      </c>
      <c r="AR12" s="4"/>
      <c r="AU12" s="4"/>
      <c r="AW12" s="17" t="str">
        <f>('Clima institucional'!A35)</f>
        <v>Siempre</v>
      </c>
      <c r="AX12" s="9">
        <f>('Clima institucional'!G35)</f>
        <v>2</v>
      </c>
      <c r="AY12" s="13">
        <f>('Clima institucional'!G41)</f>
        <v>0.1</v>
      </c>
      <c r="BA12" s="4"/>
      <c r="BD12" s="4"/>
      <c r="BF12" s="17" t="str">
        <f>('Clima institucional'!A35)</f>
        <v>Siempre</v>
      </c>
      <c r="BG12" s="9">
        <f>('Clima institucional'!H35)</f>
        <v>0</v>
      </c>
      <c r="BH12" s="13">
        <f>('Clima institucional'!H41)</f>
        <v>0</v>
      </c>
      <c r="BJ12" s="4"/>
      <c r="BM12" s="4"/>
      <c r="BO12" s="17" t="str">
        <f>('Clima institucional'!A35)</f>
        <v>Siempre</v>
      </c>
      <c r="BP12" s="9">
        <f>('Clima institucional'!I35)</f>
        <v>2</v>
      </c>
      <c r="BQ12" s="13">
        <f>('Clima institucional'!I41)</f>
        <v>0.1</v>
      </c>
      <c r="BS12" s="4"/>
      <c r="BV12" s="4"/>
      <c r="BX12" s="17" t="str">
        <f>('Clima institucional'!A35)</f>
        <v>Siempre</v>
      </c>
      <c r="BY12" s="9">
        <f>('Clima institucional'!J35)</f>
        <v>1</v>
      </c>
      <c r="BZ12" s="13">
        <f>('Clima institucional'!J41)</f>
        <v>0.05</v>
      </c>
      <c r="CB12" s="4"/>
      <c r="CE12" s="4"/>
      <c r="CG12" s="17" t="str">
        <f>('Clima institucional'!A35)</f>
        <v>Siempre</v>
      </c>
      <c r="CH12" s="9">
        <f>('Clima institucional'!K35)</f>
        <v>1</v>
      </c>
      <c r="CI12" s="13">
        <f>('Clima institucional'!K41)</f>
        <v>0.05</v>
      </c>
      <c r="CK12" s="4"/>
      <c r="CN12" s="4"/>
      <c r="CP12" s="17" t="str">
        <f>('Clima institucional'!A35)</f>
        <v>Siempre</v>
      </c>
      <c r="CQ12" s="9">
        <f>('Clima institucional'!L35)</f>
        <v>0</v>
      </c>
      <c r="CR12" s="13">
        <f>('Clima institucional'!L41)</f>
        <v>0</v>
      </c>
      <c r="CT12" s="4"/>
      <c r="CW12" s="4"/>
      <c r="CY12" s="17" t="str">
        <f>('Clima institucional'!A35)</f>
        <v>Siempre</v>
      </c>
      <c r="CZ12" s="9">
        <f>('Clima institucional'!M35)</f>
        <v>2</v>
      </c>
      <c r="DA12" s="13">
        <f>('Clima institucional'!M41)</f>
        <v>0.1</v>
      </c>
      <c r="DC12" s="4"/>
    </row>
    <row r="13" spans="2:107" x14ac:dyDescent="0.25">
      <c r="B13" s="4"/>
      <c r="D13" s="20" t="str">
        <f>('Clima institucional'!A36)</f>
        <v>Total</v>
      </c>
      <c r="E13" s="10">
        <f>('Clima institucional'!B36)</f>
        <v>20</v>
      </c>
      <c r="F13" s="14">
        <f>('Clima institucional'!B42)</f>
        <v>1</v>
      </c>
      <c r="H13" s="4"/>
      <c r="K13" s="4"/>
      <c r="M13" s="20" t="str">
        <f>('Clima institucional'!A36)</f>
        <v>Total</v>
      </c>
      <c r="N13" s="10">
        <f>('Clima institucional'!C36)</f>
        <v>20</v>
      </c>
      <c r="O13" s="14">
        <f>('Clima institucional'!C42)</f>
        <v>1</v>
      </c>
      <c r="Q13" s="4"/>
      <c r="T13" s="4"/>
      <c r="V13" s="20" t="str">
        <f>('Clima institucional'!A36)</f>
        <v>Total</v>
      </c>
      <c r="W13" s="10">
        <f>('Clima institucional'!D36)</f>
        <v>20</v>
      </c>
      <c r="X13" s="14">
        <f>('Clima institucional'!D42)</f>
        <v>1</v>
      </c>
      <c r="Z13" s="4"/>
      <c r="AC13" s="4"/>
      <c r="AE13" s="20" t="str">
        <f>('Clima institucional'!A36)</f>
        <v>Total</v>
      </c>
      <c r="AF13" s="10">
        <f>('Clima institucional'!E36)</f>
        <v>20</v>
      </c>
      <c r="AG13" s="14">
        <f>('Clima institucional'!E42)</f>
        <v>1</v>
      </c>
      <c r="AI13" s="4"/>
      <c r="AL13" s="4"/>
      <c r="AN13" s="20" t="str">
        <f>('Clima institucional'!A36)</f>
        <v>Total</v>
      </c>
      <c r="AO13" s="10">
        <f>('Clima institucional'!F36)</f>
        <v>20</v>
      </c>
      <c r="AP13" s="14">
        <f>('Clima institucional'!F42)</f>
        <v>1</v>
      </c>
      <c r="AR13" s="4"/>
      <c r="AU13" s="4"/>
      <c r="AW13" s="20" t="str">
        <f>('Clima institucional'!A36)</f>
        <v>Total</v>
      </c>
      <c r="AX13" s="10">
        <f>('Clima institucional'!G36)</f>
        <v>20</v>
      </c>
      <c r="AY13" s="14">
        <f>('Clima institucional'!G42)</f>
        <v>0.99999999999999989</v>
      </c>
      <c r="BA13" s="4"/>
      <c r="BD13" s="4"/>
      <c r="BF13" s="20" t="str">
        <f>('Clima institucional'!A36)</f>
        <v>Total</v>
      </c>
      <c r="BG13" s="10">
        <f>('Clima institucional'!H36)</f>
        <v>20</v>
      </c>
      <c r="BH13" s="14">
        <f>('Clima institucional'!H42)</f>
        <v>1</v>
      </c>
      <c r="BJ13" s="4"/>
      <c r="BM13" s="4"/>
      <c r="BO13" s="20" t="str">
        <f>('Clima institucional'!A36)</f>
        <v>Total</v>
      </c>
      <c r="BP13" s="10">
        <f>('Clima institucional'!I36)</f>
        <v>20</v>
      </c>
      <c r="BQ13" s="14">
        <f>('Clima institucional'!I42)</f>
        <v>1</v>
      </c>
      <c r="BS13" s="4"/>
      <c r="BV13" s="4"/>
      <c r="BX13" s="20" t="str">
        <f>('Clima institucional'!A36)</f>
        <v>Total</v>
      </c>
      <c r="BY13" s="10">
        <f>('Clima institucional'!J36)</f>
        <v>20</v>
      </c>
      <c r="BZ13" s="14">
        <f>('Clima institucional'!J42)</f>
        <v>1</v>
      </c>
      <c r="CB13" s="4"/>
      <c r="CE13" s="4"/>
      <c r="CG13" s="20" t="str">
        <f>('Clima institucional'!A36)</f>
        <v>Total</v>
      </c>
      <c r="CH13" s="10">
        <f>('Clima institucional'!K36)</f>
        <v>20</v>
      </c>
      <c r="CI13" s="14">
        <f>('Clima institucional'!K42)</f>
        <v>1</v>
      </c>
      <c r="CK13" s="4"/>
      <c r="CN13" s="4"/>
      <c r="CP13" s="20" t="str">
        <f>('Clima institucional'!A36)</f>
        <v>Total</v>
      </c>
      <c r="CQ13" s="10">
        <f>('Clima institucional'!L36)</f>
        <v>20</v>
      </c>
      <c r="CR13" s="14">
        <f>('Clima institucional'!L42)</f>
        <v>1</v>
      </c>
      <c r="CT13" s="4"/>
      <c r="CW13" s="4"/>
      <c r="CY13" s="20" t="str">
        <f>('Clima institucional'!A36)</f>
        <v>Total</v>
      </c>
      <c r="CZ13" s="10">
        <f>('Clima institucional'!M36)</f>
        <v>20</v>
      </c>
      <c r="DA13" s="14">
        <f>('Clima institucional'!M42)</f>
        <v>1</v>
      </c>
      <c r="DC13" s="4"/>
    </row>
    <row r="14" spans="2:107" x14ac:dyDescent="0.25">
      <c r="B14" s="4"/>
      <c r="D14" s="3" t="s">
        <v>81</v>
      </c>
      <c r="H14" s="4"/>
      <c r="K14" s="4"/>
      <c r="M14" s="3" t="s">
        <v>81</v>
      </c>
      <c r="Q14" s="4"/>
      <c r="T14" s="4"/>
      <c r="V14" s="3" t="s">
        <v>81</v>
      </c>
      <c r="Z14" s="4"/>
      <c r="AC14" s="4"/>
      <c r="AE14" s="3" t="s">
        <v>81</v>
      </c>
      <c r="AI14" s="4"/>
      <c r="AL14" s="4"/>
      <c r="AN14" s="3" t="s">
        <v>81</v>
      </c>
      <c r="AR14" s="4"/>
      <c r="AU14" s="4"/>
      <c r="AW14" s="3" t="s">
        <v>81</v>
      </c>
      <c r="BA14" s="4"/>
      <c r="BD14" s="4"/>
      <c r="BF14" s="3" t="s">
        <v>81</v>
      </c>
      <c r="BJ14" s="4"/>
      <c r="BM14" s="4"/>
      <c r="BO14" s="3" t="s">
        <v>81</v>
      </c>
      <c r="BS14" s="4"/>
      <c r="BV14" s="4"/>
      <c r="BX14" s="3" t="s">
        <v>81</v>
      </c>
      <c r="CB14" s="4"/>
      <c r="CE14" s="4"/>
      <c r="CG14" s="3" t="s">
        <v>81</v>
      </c>
      <c r="CK14" s="4"/>
      <c r="CN14" s="4"/>
      <c r="CP14" s="3" t="s">
        <v>81</v>
      </c>
      <c r="CT14" s="4"/>
      <c r="CW14" s="4"/>
      <c r="CY14" s="3" t="s">
        <v>81</v>
      </c>
      <c r="DC14" s="4"/>
    </row>
    <row r="15" spans="2:107" x14ac:dyDescent="0.25">
      <c r="B15" s="4"/>
      <c r="D15" s="3" t="s">
        <v>80</v>
      </c>
      <c r="H15" s="4"/>
      <c r="K15" s="4"/>
      <c r="M15" s="3" t="s">
        <v>80</v>
      </c>
      <c r="Q15" s="4"/>
      <c r="T15" s="4"/>
      <c r="V15" s="3" t="s">
        <v>80</v>
      </c>
      <c r="Z15" s="4"/>
      <c r="AC15" s="4"/>
      <c r="AE15" s="3" t="s">
        <v>80</v>
      </c>
      <c r="AI15" s="4"/>
      <c r="AL15" s="4"/>
      <c r="AN15" s="3" t="s">
        <v>80</v>
      </c>
      <c r="AR15" s="4"/>
      <c r="AU15" s="4"/>
      <c r="AW15" s="3" t="s">
        <v>80</v>
      </c>
      <c r="BA15" s="4"/>
      <c r="BD15" s="4"/>
      <c r="BF15" s="3" t="s">
        <v>80</v>
      </c>
      <c r="BJ15" s="4"/>
      <c r="BM15" s="4"/>
      <c r="BO15" s="3" t="s">
        <v>80</v>
      </c>
      <c r="BS15" s="4"/>
      <c r="BV15" s="4"/>
      <c r="BX15" s="3" t="s">
        <v>80</v>
      </c>
      <c r="CB15" s="4"/>
      <c r="CE15" s="4"/>
      <c r="CG15" s="3" t="s">
        <v>80</v>
      </c>
      <c r="CK15" s="4"/>
      <c r="CN15" s="4"/>
      <c r="CP15" s="3" t="s">
        <v>80</v>
      </c>
      <c r="CT15" s="4"/>
      <c r="CW15" s="4"/>
      <c r="CY15" s="3" t="s">
        <v>80</v>
      </c>
      <c r="DC15" s="4"/>
    </row>
    <row r="16" spans="2:107" x14ac:dyDescent="0.25">
      <c r="B16" s="4"/>
      <c r="H16" s="4"/>
      <c r="K16" s="4"/>
      <c r="Q16" s="4"/>
      <c r="T16" s="4"/>
      <c r="Z16" s="4"/>
      <c r="AC16" s="4"/>
      <c r="AI16" s="4"/>
      <c r="AL16" s="4"/>
      <c r="AR16" s="4"/>
      <c r="AU16" s="4"/>
      <c r="BA16" s="4"/>
      <c r="BD16" s="4"/>
      <c r="BJ16" s="4"/>
      <c r="BM16" s="4"/>
      <c r="BS16" s="4"/>
      <c r="BV16" s="4"/>
      <c r="CB16" s="4"/>
      <c r="CE16" s="4"/>
      <c r="CK16" s="4"/>
      <c r="CN16" s="4"/>
      <c r="CT16" s="4"/>
      <c r="CW16" s="4"/>
      <c r="DC16" s="4"/>
    </row>
    <row r="17" spans="2:107" x14ac:dyDescent="0.25">
      <c r="B17" s="4"/>
      <c r="H17" s="4"/>
      <c r="K17" s="4"/>
      <c r="Q17" s="4"/>
      <c r="T17" s="4"/>
      <c r="Z17" s="4"/>
      <c r="AC17" s="4"/>
      <c r="AI17" s="4"/>
      <c r="AL17" s="4"/>
      <c r="AR17" s="4"/>
      <c r="AU17" s="4"/>
      <c r="BA17" s="4"/>
      <c r="BD17" s="4"/>
      <c r="BJ17" s="4"/>
      <c r="BM17" s="4"/>
      <c r="BS17" s="4"/>
      <c r="BV17" s="4"/>
      <c r="CB17" s="4"/>
      <c r="CE17" s="4"/>
      <c r="CK17" s="4"/>
      <c r="CN17" s="4"/>
      <c r="CT17" s="4"/>
      <c r="CW17" s="4"/>
      <c r="DC17" s="4"/>
    </row>
    <row r="18" spans="2:107" x14ac:dyDescent="0.25">
      <c r="B18" s="4"/>
      <c r="H18" s="4"/>
      <c r="K18" s="4"/>
      <c r="Q18" s="4"/>
      <c r="T18" s="4"/>
      <c r="Z18" s="4"/>
      <c r="AC18" s="4"/>
      <c r="AI18" s="4"/>
      <c r="AL18" s="4"/>
      <c r="AR18" s="4"/>
      <c r="AU18" s="4"/>
      <c r="BA18" s="4"/>
      <c r="BD18" s="4"/>
      <c r="BJ18" s="4"/>
      <c r="BM18" s="4"/>
      <c r="BS18" s="4"/>
      <c r="BV18" s="4"/>
      <c r="CB18" s="4"/>
      <c r="CE18" s="4"/>
      <c r="CK18" s="4"/>
      <c r="CN18" s="4"/>
      <c r="CT18" s="4"/>
      <c r="CW18" s="4"/>
      <c r="DC18" s="4"/>
    </row>
    <row r="19" spans="2:107" x14ac:dyDescent="0.25">
      <c r="B19" s="4"/>
      <c r="H19" s="4"/>
      <c r="K19" s="4"/>
      <c r="Q19" s="4"/>
      <c r="T19" s="4"/>
      <c r="Z19" s="4"/>
      <c r="AC19" s="4"/>
      <c r="AI19" s="4"/>
      <c r="AL19" s="4"/>
      <c r="AR19" s="4"/>
      <c r="AU19" s="4"/>
      <c r="BA19" s="4"/>
      <c r="BD19" s="4"/>
      <c r="BJ19" s="4"/>
      <c r="BM19" s="4"/>
      <c r="BS19" s="4"/>
      <c r="BV19" s="4"/>
      <c r="CB19" s="4"/>
      <c r="CE19" s="4"/>
      <c r="CK19" s="4"/>
      <c r="CN19" s="4"/>
      <c r="CT19" s="4"/>
      <c r="CW19" s="4"/>
      <c r="DC19" s="4"/>
    </row>
    <row r="20" spans="2:107" x14ac:dyDescent="0.25">
      <c r="B20" s="4"/>
      <c r="H20" s="4"/>
      <c r="K20" s="4"/>
      <c r="Q20" s="4"/>
      <c r="T20" s="4"/>
      <c r="Z20" s="4"/>
      <c r="AC20" s="4"/>
      <c r="AI20" s="4"/>
      <c r="AL20" s="4"/>
      <c r="AR20" s="4"/>
      <c r="AU20" s="4"/>
      <c r="BA20" s="4"/>
      <c r="BD20" s="4"/>
      <c r="BJ20" s="4"/>
      <c r="BM20" s="4"/>
      <c r="BS20" s="4"/>
      <c r="BV20" s="4"/>
      <c r="CB20" s="4"/>
      <c r="CE20" s="4"/>
      <c r="CK20" s="4"/>
      <c r="CN20" s="4"/>
      <c r="CT20" s="4"/>
      <c r="CW20" s="4"/>
      <c r="DC20" s="4"/>
    </row>
    <row r="21" spans="2:107" x14ac:dyDescent="0.25">
      <c r="B21" s="4"/>
      <c r="H21" s="4"/>
      <c r="K21" s="4"/>
      <c r="Q21" s="4"/>
      <c r="T21" s="4"/>
      <c r="Z21" s="4"/>
      <c r="AC21" s="4"/>
      <c r="AI21" s="4"/>
      <c r="AL21" s="4"/>
      <c r="AR21" s="4"/>
      <c r="AU21" s="4"/>
      <c r="BA21" s="4"/>
      <c r="BD21" s="4"/>
      <c r="BJ21" s="4"/>
      <c r="BM21" s="4"/>
      <c r="BS21" s="4"/>
      <c r="BV21" s="4"/>
      <c r="CB21" s="4"/>
      <c r="CE21" s="4"/>
      <c r="CK21" s="4"/>
      <c r="CN21" s="4"/>
      <c r="CT21" s="4"/>
      <c r="CW21" s="4"/>
      <c r="DC21" s="4"/>
    </row>
    <row r="22" spans="2:107" x14ac:dyDescent="0.25">
      <c r="B22" s="4"/>
      <c r="H22" s="4"/>
      <c r="K22" s="4"/>
      <c r="Q22" s="4"/>
      <c r="T22" s="4"/>
      <c r="Z22" s="4"/>
      <c r="AC22" s="4"/>
      <c r="AI22" s="4"/>
      <c r="AL22" s="4"/>
      <c r="AR22" s="4"/>
      <c r="AU22" s="4"/>
      <c r="BA22" s="4"/>
      <c r="BD22" s="4"/>
      <c r="BJ22" s="4"/>
      <c r="BM22" s="4"/>
      <c r="BS22" s="4"/>
      <c r="BV22" s="4"/>
      <c r="CB22" s="4"/>
      <c r="CE22" s="4"/>
      <c r="CK22" s="4"/>
      <c r="CN22" s="4"/>
      <c r="CT22" s="4"/>
      <c r="CW22" s="4"/>
      <c r="DC22" s="4"/>
    </row>
    <row r="23" spans="2:107" x14ac:dyDescent="0.25">
      <c r="B23" s="4"/>
      <c r="H23" s="4"/>
      <c r="K23" s="4"/>
      <c r="Q23" s="4"/>
      <c r="T23" s="4"/>
      <c r="Z23" s="4"/>
      <c r="AC23" s="4"/>
      <c r="AI23" s="4"/>
      <c r="AL23" s="4"/>
      <c r="AR23" s="4"/>
      <c r="AU23" s="4"/>
      <c r="BA23" s="4"/>
      <c r="BD23" s="4"/>
      <c r="BJ23" s="4"/>
      <c r="BM23" s="4"/>
      <c r="BS23" s="4"/>
      <c r="BV23" s="4"/>
      <c r="CB23" s="4"/>
      <c r="CE23" s="4"/>
      <c r="CK23" s="4"/>
      <c r="CN23" s="4"/>
      <c r="CT23" s="4"/>
      <c r="CW23" s="4"/>
      <c r="DC23" s="4"/>
    </row>
    <row r="24" spans="2:107" x14ac:dyDescent="0.25">
      <c r="B24" s="4"/>
      <c r="H24" s="4"/>
      <c r="K24" s="4"/>
      <c r="Q24" s="4"/>
      <c r="T24" s="4"/>
      <c r="Z24" s="4"/>
      <c r="AC24" s="4"/>
      <c r="AI24" s="4"/>
      <c r="AL24" s="4"/>
      <c r="AR24" s="4"/>
      <c r="AU24" s="4"/>
      <c r="BA24" s="4"/>
      <c r="BD24" s="4"/>
      <c r="BJ24" s="4"/>
      <c r="BM24" s="4"/>
      <c r="BS24" s="4"/>
      <c r="BV24" s="4"/>
      <c r="CB24" s="4"/>
      <c r="CE24" s="4"/>
      <c r="CK24" s="4"/>
      <c r="CN24" s="4"/>
      <c r="CT24" s="4"/>
      <c r="CW24" s="4"/>
      <c r="DC24" s="4"/>
    </row>
    <row r="25" spans="2:107" x14ac:dyDescent="0.25">
      <c r="B25" s="4"/>
      <c r="H25" s="4"/>
      <c r="K25" s="4"/>
      <c r="Q25" s="4"/>
      <c r="T25" s="4"/>
      <c r="Z25" s="4"/>
      <c r="AC25" s="4"/>
      <c r="AI25" s="4"/>
      <c r="AL25" s="4"/>
      <c r="AR25" s="4"/>
      <c r="AU25" s="4"/>
      <c r="BA25" s="4"/>
      <c r="BD25" s="4"/>
      <c r="BJ25" s="4"/>
      <c r="BM25" s="4"/>
      <c r="BS25" s="4"/>
      <c r="BV25" s="4"/>
      <c r="CB25" s="4"/>
      <c r="CE25" s="4"/>
      <c r="CK25" s="4"/>
      <c r="CN25" s="4"/>
      <c r="CT25" s="4"/>
      <c r="CW25" s="4"/>
      <c r="DC25" s="4"/>
    </row>
    <row r="26" spans="2:107" x14ac:dyDescent="0.25">
      <c r="B26" s="4"/>
      <c r="H26" s="4"/>
      <c r="K26" s="4"/>
      <c r="Q26" s="4"/>
      <c r="T26" s="4"/>
      <c r="Z26" s="4"/>
      <c r="AC26" s="4"/>
      <c r="AI26" s="4"/>
      <c r="AL26" s="4"/>
      <c r="AR26" s="4"/>
      <c r="AU26" s="4"/>
      <c r="BA26" s="4"/>
      <c r="BD26" s="4"/>
      <c r="BJ26" s="4"/>
      <c r="BM26" s="4"/>
      <c r="BS26" s="4"/>
      <c r="BV26" s="4"/>
      <c r="CB26" s="4"/>
      <c r="CE26" s="4"/>
      <c r="CK26" s="4"/>
      <c r="CN26" s="4"/>
      <c r="CT26" s="4"/>
      <c r="CW26" s="4"/>
      <c r="DC26" s="4"/>
    </row>
    <row r="27" spans="2:107" x14ac:dyDescent="0.25">
      <c r="B27" s="4"/>
      <c r="H27" s="4"/>
      <c r="K27" s="4"/>
      <c r="Q27" s="4"/>
      <c r="T27" s="4"/>
      <c r="Z27" s="4"/>
      <c r="AC27" s="4"/>
      <c r="AI27" s="4"/>
      <c r="AL27" s="4"/>
      <c r="AR27" s="4"/>
      <c r="AU27" s="4"/>
      <c r="BA27" s="4"/>
      <c r="BD27" s="4"/>
      <c r="BJ27" s="4"/>
      <c r="BM27" s="4"/>
      <c r="BS27" s="4"/>
      <c r="BV27" s="4"/>
      <c r="CB27" s="4"/>
      <c r="CE27" s="4"/>
      <c r="CK27" s="4"/>
      <c r="CN27" s="4"/>
      <c r="CT27" s="4"/>
      <c r="CW27" s="4"/>
      <c r="DC27" s="4"/>
    </row>
    <row r="28" spans="2:107" x14ac:dyDescent="0.25">
      <c r="B28" s="4"/>
      <c r="H28" s="4"/>
      <c r="K28" s="4"/>
      <c r="Q28" s="4"/>
      <c r="T28" s="4"/>
      <c r="Z28" s="4"/>
      <c r="AC28" s="4"/>
      <c r="AI28" s="4"/>
      <c r="AL28" s="4"/>
      <c r="AR28" s="4"/>
      <c r="AU28" s="4"/>
      <c r="BA28" s="4"/>
      <c r="BD28" s="4"/>
      <c r="BJ28" s="4"/>
      <c r="BM28" s="4"/>
      <c r="BS28" s="4"/>
      <c r="BV28" s="4"/>
      <c r="CB28" s="4"/>
      <c r="CE28" s="4"/>
      <c r="CK28" s="4"/>
      <c r="CN28" s="4"/>
      <c r="CT28" s="4"/>
      <c r="CW28" s="4"/>
      <c r="DC28" s="4"/>
    </row>
    <row r="29" spans="2:107" x14ac:dyDescent="0.25">
      <c r="B29" s="4"/>
      <c r="H29" s="4"/>
      <c r="K29" s="4"/>
      <c r="Q29" s="4"/>
      <c r="T29" s="4"/>
      <c r="Z29" s="4"/>
      <c r="AC29" s="4"/>
      <c r="AI29" s="4"/>
      <c r="AL29" s="4"/>
      <c r="AR29" s="4"/>
      <c r="AU29" s="4"/>
      <c r="BA29" s="4"/>
      <c r="BD29" s="4"/>
      <c r="BJ29" s="4"/>
      <c r="BM29" s="4"/>
      <c r="BS29" s="4"/>
      <c r="BV29" s="4"/>
      <c r="CB29" s="4"/>
      <c r="CE29" s="4"/>
      <c r="CK29" s="4"/>
      <c r="CN29" s="4"/>
      <c r="CT29" s="4"/>
      <c r="CW29" s="4"/>
      <c r="DC29" s="4"/>
    </row>
    <row r="30" spans="2:107" x14ac:dyDescent="0.25">
      <c r="B30" s="4"/>
      <c r="H30" s="4"/>
      <c r="K30" s="4"/>
      <c r="Q30" s="4"/>
      <c r="T30" s="4"/>
      <c r="Z30" s="4"/>
      <c r="AC30" s="4"/>
      <c r="AI30" s="4"/>
      <c r="AL30" s="4"/>
      <c r="AR30" s="4"/>
      <c r="AU30" s="4"/>
      <c r="BA30" s="4"/>
      <c r="BD30" s="4"/>
      <c r="BJ30" s="4"/>
      <c r="BM30" s="4"/>
      <c r="BS30" s="4"/>
      <c r="BV30" s="4"/>
      <c r="CB30" s="4"/>
      <c r="CE30" s="4"/>
      <c r="CK30" s="4"/>
      <c r="CN30" s="4"/>
      <c r="CT30" s="4"/>
      <c r="CW30" s="4"/>
      <c r="DC30" s="4"/>
    </row>
    <row r="31" spans="2:107" x14ac:dyDescent="0.25">
      <c r="B31" s="4"/>
      <c r="H31" s="4"/>
      <c r="K31" s="4"/>
      <c r="Q31" s="4"/>
      <c r="T31" s="4"/>
      <c r="Z31" s="4"/>
      <c r="AC31" s="4"/>
      <c r="AI31" s="4"/>
      <c r="AL31" s="4"/>
      <c r="AR31" s="4"/>
      <c r="AU31" s="4"/>
      <c r="BA31" s="4"/>
      <c r="BD31" s="4"/>
      <c r="BJ31" s="4"/>
      <c r="BM31" s="4"/>
      <c r="BS31" s="4"/>
      <c r="BV31" s="4"/>
      <c r="CB31" s="4"/>
      <c r="CE31" s="4"/>
      <c r="CK31" s="4"/>
      <c r="CN31" s="4"/>
      <c r="CT31" s="4"/>
      <c r="CW31" s="4"/>
      <c r="DC31" s="4"/>
    </row>
    <row r="32" spans="2:107" x14ac:dyDescent="0.25">
      <c r="B32" s="4"/>
      <c r="H32" s="4"/>
      <c r="K32" s="4"/>
      <c r="Q32" s="4"/>
      <c r="T32" s="4"/>
      <c r="Z32" s="4"/>
      <c r="AC32" s="4"/>
      <c r="AI32" s="4"/>
      <c r="AL32" s="4"/>
      <c r="AR32" s="4"/>
      <c r="AU32" s="4"/>
      <c r="BA32" s="4"/>
      <c r="BD32" s="4"/>
      <c r="BJ32" s="4"/>
      <c r="BM32" s="4"/>
      <c r="BS32" s="4"/>
      <c r="BV32" s="4"/>
      <c r="CB32" s="4"/>
      <c r="CE32" s="4"/>
      <c r="CK32" s="4"/>
      <c r="CN32" s="4"/>
      <c r="CT32" s="4"/>
      <c r="CW32" s="4"/>
      <c r="DC32" s="4"/>
    </row>
    <row r="33" spans="2:107" x14ac:dyDescent="0.25">
      <c r="B33" s="4"/>
      <c r="D33" s="3" t="s">
        <v>144</v>
      </c>
      <c r="H33" s="4"/>
      <c r="K33" s="4"/>
      <c r="M33" s="3" t="s">
        <v>145</v>
      </c>
      <c r="Q33" s="4"/>
      <c r="T33" s="4"/>
      <c r="V33" s="3" t="s">
        <v>146</v>
      </c>
      <c r="Z33" s="4"/>
      <c r="AC33" s="4"/>
      <c r="AE33" s="3" t="s">
        <v>147</v>
      </c>
      <c r="AI33" s="4"/>
      <c r="AL33" s="4"/>
      <c r="AN33" s="3" t="s">
        <v>148</v>
      </c>
      <c r="AR33" s="4"/>
      <c r="AU33" s="4"/>
      <c r="AW33" s="3" t="s">
        <v>149</v>
      </c>
      <c r="BA33" s="4"/>
      <c r="BD33" s="4"/>
      <c r="BF33" s="3" t="s">
        <v>150</v>
      </c>
      <c r="BJ33" s="4"/>
      <c r="BM33" s="4"/>
      <c r="BO33" s="3" t="s">
        <v>151</v>
      </c>
      <c r="BS33" s="4"/>
      <c r="BV33" s="4"/>
      <c r="BX33" s="3" t="s">
        <v>152</v>
      </c>
      <c r="CB33" s="4"/>
      <c r="CE33" s="4"/>
      <c r="CG33" s="3" t="s">
        <v>153</v>
      </c>
      <c r="CK33" s="4"/>
      <c r="CN33" s="4"/>
      <c r="CP33" s="3" t="s">
        <v>154</v>
      </c>
      <c r="CT33" s="4"/>
      <c r="CW33" s="4"/>
      <c r="CY33" s="3" t="s">
        <v>155</v>
      </c>
      <c r="DC33" s="4"/>
    </row>
    <row r="34" spans="2:107" x14ac:dyDescent="0.25">
      <c r="B34" s="4"/>
      <c r="D34" s="3" t="s">
        <v>92</v>
      </c>
      <c r="H34" s="4"/>
      <c r="K34" s="4"/>
      <c r="M34" s="3"/>
      <c r="Q34" s="4"/>
      <c r="T34" s="4"/>
      <c r="V34" s="3"/>
      <c r="Z34" s="4"/>
      <c r="AC34" s="4"/>
      <c r="AE34" s="3"/>
      <c r="AI34" s="4"/>
      <c r="AL34" s="4"/>
      <c r="AN34" s="3"/>
      <c r="AR34" s="4"/>
      <c r="AU34" s="4"/>
      <c r="AW34" s="3"/>
      <c r="BA34" s="4"/>
      <c r="BD34" s="4"/>
      <c r="BF34" s="3"/>
      <c r="BJ34" s="4"/>
      <c r="BM34" s="4"/>
      <c r="BO34" s="3"/>
      <c r="BS34" s="4"/>
      <c r="BV34" s="4"/>
      <c r="BX34" s="3"/>
      <c r="CB34" s="4"/>
      <c r="CE34" s="4"/>
      <c r="CG34" s="3"/>
      <c r="CK34" s="4"/>
      <c r="CN34" s="4"/>
      <c r="CP34" s="3"/>
      <c r="CT34" s="4"/>
      <c r="CW34" s="4"/>
      <c r="CY34" s="3"/>
      <c r="DC34" s="4"/>
    </row>
    <row r="35" spans="2:107" x14ac:dyDescent="0.25">
      <c r="B35" s="4"/>
      <c r="D35" s="52" t="str">
        <f>CONCATENATE("En ","la ",D5," y ",D33," se observa los resultados  de la  ",D4," el cual aborda ",E1062,",en donde se demuestra que el ",ROUND(F8*100,0),"%"," de los ",D1045," tienen una percepción de ",G1046,", el ",ROUND(F9*100,0),"%"," ",G1047,", un ",ROUND(F10*100,0),"%"," ",G1048,",",IF(E1049&gt;0,CONCATENATE(" ademas el ",ROUND(F11*100,0),"%"," ",G1049,)," "),IF(E1049&gt;0,CONCATENATE(" y ",ROUND(F12*100,0),"%",", ",G1050,)," "),"en tal sentido la mayoría de los ",D1045," es decir el ",ROUND(E1053*100,0),"%"," tienen una percepción con una inclinación a un valor ",D1056,","," para ",E1062,".")</f>
        <v>En la Tabla 1 y Figura. 1 se observa los resultados  de la  Pregunta 1 el cual aborda .,en donde se demuestra que el 50% de los Docentess tienen una percepción de Nunca, el 25% Casi Nunca, un 15% A veces, ademas el 5% Casi siempre y 5%, Casi siempreen tal sentido la mayoría de los Docentess es decir el 90% tienen una percepción con una inclinación a un valor Inadecuado, para ..</v>
      </c>
      <c r="E35" s="53"/>
      <c r="F35" s="53"/>
      <c r="H35" s="4"/>
      <c r="K35" s="4"/>
      <c r="M35" s="52" t="str">
        <f>CONCATENATE("En ","la ",M5," y ",M33," se observa los resultados  de la  ",M4," el cual aborda ",N1062,",en donde se demuestra que el ",ROUND(O8*100,0),"%"," de los ",M1045," tienen una percepción de ",P1046,", el ",ROUND(O9*100,0),"%"," ",P1047,", un ",ROUND(O10*100,0),"%"," ",P1048,",",IF(N1049&gt;0,CONCATENATE(" ademas el ",ROUND(O11*100,0),"%"," ",P1049,)," "),IF(N1049&gt;0,CONCATENATE(" y ",ROUND(O12*100,0),"%",", ",P1050,)," "),"en tal sentido la mayoría de los ",M1045," es decir el ",ROUND(N1053*100,0),"%"," tienen una percepción con una inclinación a un valor ",M1056,","," para ",N1062,".")</f>
        <v>En la Tabla 2 y Figura. 2 se observa los resultados  de la  Pregunta 2 el cual aborda ,en donde se demuestra que el 35% de los Docentess tienen una percepción de Casi Nunca, el 50% Nunca, un 15% A veces,  en tal sentido la mayoría de los Docentess es decir el 100% tienen una percepción con una inclinación a un valor Inadecuado, para .</v>
      </c>
      <c r="N35" s="53"/>
      <c r="O35" s="53"/>
      <c r="Q35" s="4"/>
      <c r="T35" s="4"/>
      <c r="V35" s="52" t="str">
        <f>CONCATENATE("En ","la ",V5," y ",V33," se observa los resultados  de la  ",V4," el cual aborda ",W1062,",en donde se demuestra que el ",ROUND(X8*100,0),"%"," de los ",V1045," tienen una percepción de ",Y1046,", el ",ROUND(X9*100,0),"%"," ",Y1047,", un ",ROUND(X10*100,0),"%"," ",Y1048,",",IF(W1049&gt;0,CONCATENATE(" ademas el ",ROUND(X11*100,0),"%"," ",Y1049,)," "),IF(W1049&gt;0,CONCATENATE(" y ",ROUND(X12*100,0),"%",", ",Y1050,)," "),"en tal sentido la mayoría de los ",V1045," es decir el ",ROUND(W1053*100,0),"%"," tienen una percepción con una inclinación a un valor ",V1056,","," para ",W1062,".")</f>
        <v>En la Tabla 3 y Figura. 3 se observa los resultados  de la  Pregunta 3 el cual aborda ,en donde se demuestra que el 35% de los Docentess tienen una percepción de Casi Nunca, el 45% Nunca, un 0% Casi siempre, ademas el 10% Casi siempre y 10%,  en tal sentido la mayoría de los Docentess es decir el 80% tienen una percepción con una inclinación a un valor Inadecuado, para .</v>
      </c>
      <c r="W35" s="53"/>
      <c r="X35" s="53"/>
      <c r="Z35" s="4"/>
      <c r="AC35" s="4"/>
      <c r="AE35" s="52" t="str">
        <f>CONCATENATE("En ","la ",AE5," y ",AE33," se observa los resultados  de la  ",AE4," el cual aborda ",AF1062,",en donde se demuestra que el ",ROUND(AG8*100,0),"%"," de los ",AE1045," tienen una percepción de ",AH1046,", el ",ROUND(AG9*100,0),"%"," ",AH1047,", un ",ROUND(AG10*100,0),"%"," ",AH1048,",",IF(AF1049&gt;0,CONCATENATE(" ademas el ",ROUND(AG11*100,0),"%"," ",AH1049,)," "),IF(AF1049&gt;0,CONCATENATE(" y ",ROUND(AG12*100,0),"%",", ",AH1050,)," "),"en tal sentido la mayoría de los ",AE1045," es decir el ",ROUND(AF1053*100,0),"%"," tienen una percepción con una inclinación a un valor ",AE1056,","," para ",AF1062,".")</f>
        <v>En la Tabla 4 y Figura. 4 se observa los resultados  de la  Pregunta 4 el cual aborda ,en donde se demuestra que el 30% de los Docentess tienen una percepción de Casi Nunca, el 40% Nunca, un 30% Nunca,  en tal sentido la mayoría de los Docentess es decir el 100% tienen una percepción con una inclinación a un valor Inadecuado, para .</v>
      </c>
      <c r="AF35" s="53"/>
      <c r="AG35" s="53"/>
      <c r="AI35" s="4"/>
      <c r="AL35" s="4"/>
      <c r="AN35" s="52" t="str">
        <f>CONCATENATE("En ","la ",AN5," y ",AN33," se observa los resultados  de la  ",AN4," el cual aborda ",AO1062,",en donde se demuestra que el ",ROUND(AP8*100,0),"%"," de los ",AN1045," tienen una percepción de ",AQ1046,", el ",ROUND(AP9*100,0),"%"," ",AQ1047,", un ",ROUND(AP10*100,0),"%"," ",AQ1048,",",IF(AO1049&gt;0,CONCATENATE(" ademas el ",ROUND(AP11*100,0),"%"," ",AQ1049,)," "),IF(AO1049&gt;0,CONCATENATE(" y ",ROUND(AP12*100,0),"%",", ",AQ1050,)," "),"en tal sentido la mayoría de los ",AN1045," es decir el ",ROUND(AO1053*100,0),"%"," tienen una percepción con una inclinación a un valor ",AN1056,","," para ",AO1062,".")</f>
        <v>En la Tabla 5 y Figura. 5 se observa los resultados  de la  Pregunta 5 el cual aborda ,en donde se demuestra que el 35% de los Docentess tienen una percepción de Casi Nunca, el 40% Nunca, un 10% A veces, ademas el 10% A veces y 5%, Siempreen tal sentido la mayoría de los Docentess es decir el 85% tienen una percepción con una inclinación a un valor Inadecuado, para .</v>
      </c>
      <c r="AO35" s="53"/>
      <c r="AP35" s="53"/>
      <c r="AR35" s="4"/>
      <c r="AU35" s="4"/>
      <c r="AW35" s="52" t="str">
        <f>CONCATENATE("En ","la ",AW5," y ",AW33," se observa los resultados  de la  ",AW4," el cual aborda ",AX1062,",en donde se demuestra que el ",ROUND(AY8*100,0),"%"," de los ",AW1045," tienen una percepción de ",AZ1046,", el ",ROUND(AY9*100,0),"%"," ",AZ1047,", un ",ROUND(AY10*100,0),"%"," ",AZ1048,",",IF(AX1049&gt;0,CONCATENATE(" ademas el ",ROUND(AY11*100,0),"%"," ",AZ1049,)," "),IF(AX1049&gt;0,CONCATENATE(" y ",ROUND(AY12*100,0),"%",", ",AZ1050,)," "),"en tal sentido la mayoría de los ",AW1045," es decir el ",ROUND(AX1053*100,0),"%"," tienen una percepción con una inclinación a un valor ",AW1056,","," para ",AX1062,".")</f>
        <v>En la Tabla 6 y Figura. 6 se observa los resultados  de la  Pregunta 6 el cual aborda ,en donde se demuestra que el 40% de los Docentess tienen una percepción de Nunca, el 30% Casi Nunca, un 10% A veces, ademas el 10% A veces y 10%, A vecesen tal sentido la mayoría de los Docentess es decir el 80% tienen una percepción con una inclinación a un valor Inadecuado, para .</v>
      </c>
      <c r="AX35" s="53"/>
      <c r="AY35" s="53"/>
      <c r="BA35" s="4"/>
      <c r="BD35" s="4"/>
      <c r="BF35" s="52" t="str">
        <f>CONCATENATE("En ","la ",BF5," y ",BF33," se observa los resultados  de la  ",BF4," el cual aborda ",BG1062,",en donde se demuestra que el ",ROUND(BH8*100,0),"%"," de los ",BF1045," tienen una percepción de ",BI1046,", el ",ROUND(BH9*100,0),"%"," ",BI1047,", un ",ROUND(BH10*100,0),"%"," ",BI1048,",",IF(BG1049&gt;0,CONCATENATE(" ademas el ",ROUND(BH11*100,0),"%"," ",BI1049,)," "),IF(BG1049&gt;0,CONCATENATE(" y ",ROUND(BH12*100,0),"%",", ",BI1050,)," "),"en tal sentido la mayoría de los ",BF1045," es decir el ",ROUND(BG1053*100,0),"%"," tienen una percepción con una inclinación a un valor ",BF1056,","," para ",BG1062,".")</f>
        <v>En la Tabla 7 y Figura. 7 se observa los resultados  de la  Pregunta 7 el cual aborda ,en donde se demuestra que el 25% de los Docentess tienen una percepción de Casi Nunca, el 40% A veces, un 35% Nunca,  en tal sentido la mayoría de los Docentess es decir el 100% tienen una percepción con una inclinación a un valor Inadecuado, para .</v>
      </c>
      <c r="BG35" s="53"/>
      <c r="BH35" s="53"/>
      <c r="BJ35" s="4"/>
      <c r="BM35" s="4"/>
      <c r="BO35" s="52" t="str">
        <f>CONCATENATE("En ","la ",BO5," y ",BO33," se observa los resultados  de la  ",BO4," el cual aborda ",BP1062,",en donde se demuestra que el ",ROUND(BQ8*100,0),"%"," de los ",BO1045," tienen una percepción de ",BR1046,", el ",ROUND(BQ9*100,0),"%"," ",BR1047,", un ",ROUND(BQ10*100,0),"%"," ",BR1048,",",IF(BP1049&gt;0,CONCATENATE(" ademas el ",ROUND(BQ11*100,0),"%"," ",BR1049,)," "),IF(BP1049&gt;0,CONCATENATE(" y ",ROUND(BQ12*100,0),"%",", ",BR1050,)," "),"en tal sentido la mayoría de los ",BO1045," es decir el ",ROUND(BP1053*100,0),"%"," tienen una percepción con una inclinación a un valor ",BO1056,","," para ",BP1062,".")</f>
        <v>En la Tabla 8 y Figura. 8 se observa los resultados  de la  Pregunta 8 el cual aborda ,en donde se demuestra que el 35% de los Docentess tienen una percepción de Casi Nunca, el 40% Nunca, un 5% Casi siempre, ademas el 10% Casi siempre y 10%, A vecesen tal sentido la mayoría de los Docentess es decir el 80% tienen una percepción con una inclinación a un valor Inadecuado, para .</v>
      </c>
      <c r="BP35" s="53"/>
      <c r="BQ35" s="53"/>
      <c r="BS35" s="4"/>
      <c r="BV35" s="4"/>
      <c r="BX35" s="52" t="str">
        <f>CONCATENATE("En ","la ",BX5," y ",BX33," se observa los resultados  de la  ",BX4," el cual aborda ",BY1062,",en donde se demuestra que el ",ROUND(BZ8*100,0),"%"," de los ",BX1045," tienen una percepción de ",CA1046,", el ",ROUND(BZ9*100,0),"%"," ",CA1047,", un ",ROUND(BZ10*100,0),"%"," ",CA1048,",",IF(BY1049&gt;0,CONCATENATE(" ademas el ",ROUND(BZ11*100,0),"%"," ",CA1049,)," "),IF(BY1049&gt;0,CONCATENATE(" y ",ROUND(BZ12*100,0),"%",", ",CA1050,)," "),"en tal sentido la mayoría de los ",BX1045," es decir el ",ROUND(BY1053*100,0),"%"," tienen una percepción con una inclinación a un valor ",BX1056,","," para ",BY1062,".")</f>
        <v>En la Tabla 9 y Figura. 9 se observa los resultados  de la  Pregunta 9 el cual aborda ,en donde se demuestra que el 45% de los Docentess tienen una percepción de Nunca, el 25% Casi Nunca, un 20% A veces, ademas el 5% Casi siempre y 5%, Casi siempreen tal sentido la mayoría de los Docentess es decir el 90% tienen una percepción con una inclinación a un valor Inadecuado, para .</v>
      </c>
      <c r="BY35" s="53"/>
      <c r="BZ35" s="53"/>
      <c r="CB35" s="4"/>
      <c r="CE35" s="4"/>
      <c r="CG35" s="52" t="str">
        <f>CONCATENATE("En ","la ",CG5," y ",CG33," se observa los resultados  de la  ",CG4," el cual aborda ",CH1062,",en donde se demuestra que el ",ROUND(CI8*100,0),"%"," de los ",CG1045," tienen una percepción de ",CJ1046,", el ",ROUND(CI9*100,0),"%"," ",CJ1047,", un ",ROUND(CI10*100,0),"%"," ",CJ1048,",",IF(CH1049&gt;0,CONCATENATE(" ademas el ",ROUND(CI11*100,0),"%"," ",CJ1049,)," "),IF(CH1049&gt;0,CONCATENATE(" y ",ROUND(CI12*100,0),"%",", ",CJ1050,)," "),"en tal sentido la mayoría de los ",CG1045," es decir el ",ROUND(CH1053*100,0),"%"," tienen una percepción con una inclinación a un valor ",CG1056,","," para ",CH1062,".")</f>
        <v>En la Tabla 10 y Figura. 10 se observa los resultados  de la  Pregunta 10 el cual aborda ,en donde se demuestra que el 40% de los Docentess tienen una percepción de Nunca, el 30% Casi Nunca, un 10% Casi siempre, ademas el 15% A veces y 5%, Siempreen tal sentido la mayoría de los Docentess es decir el 80% tienen una percepción con una inclinación a un valor Inadecuado, para .</v>
      </c>
      <c r="CH35" s="53"/>
      <c r="CI35" s="53"/>
      <c r="CK35" s="4"/>
      <c r="CN35" s="4"/>
      <c r="CP35" s="52" t="str">
        <f>CONCATENATE("En ","la ",CP5," y ",CP33," se observa los resultados  de la  ",CP4," el cual aborda ",CQ1062,",en donde se demuestra que el ",ROUND(CR8*100,0),"%"," de los ",CP1045," tienen una percepción de ",CS1046,", el ",ROUND(CR9*100,0),"%"," ",CS1047,", un ",ROUND(CR10*100,0),"%"," ",CS1048,",",IF(CQ1049&gt;0,CONCATENATE(" ademas el ",ROUND(CR11*100,0),"%"," ",CS1049,)," "),IF(CQ1049&gt;0,CONCATENATE(" y ",ROUND(CR12*100,0),"%",", ",CS1050,)," "),"en tal sentido la mayoría de los ",CP1045," es decir el ",ROUND(CQ1053*100,0),"%"," tienen una percepción con una inclinación a un valor ",CP1056,","," para ",CQ1062,".")</f>
        <v>En la Tabla 11 y Figura. 11 se observa los resultados  de la  Pregunta 11 el cual aborda ,en donde se demuestra que el 40% de los Docentess tienen una percepción de Nunca, el 40% Nunca, un 10% A veces, ademas el 10% A veces y 0%,  en tal sentido la mayoría de los Docentess es decir el 90% tienen una percepción con una inclinación a un valor Inadecuado, para .</v>
      </c>
      <c r="CQ35" s="53"/>
      <c r="CR35" s="53"/>
      <c r="CT35" s="4"/>
      <c r="CW35" s="4"/>
      <c r="CY35" s="52" t="str">
        <f>CONCATENATE("En ","la ",CY5," y ",CY33," se observa los resultados  de la  ",CY4," el cual aborda ",CZ1062,",en donde se demuestra que el ",ROUND(DA8*100,0),"%"," de los ",CY1045," tienen una percepción de ",DB1046,", el ",ROUND(DA9*100,0),"%"," ",DB1047,", un ",ROUND(DA10*100,0),"%"," ",DB1048,",",IF(CZ1049&gt;0,CONCATENATE(" ademas el ",ROUND(DA11*100,0),"%"," ",DB1049,)," "),IF(CZ1049&gt;0,CONCATENATE(" y ",ROUND(DA12*100,0),"%",", ",DB1050,)," "),"en tal sentido la mayoría de los ",CY1045," es decir el ",ROUND(CZ1053*100,0),"%"," tienen una percepción con una inclinación a un valor ",CY1056,","," para ",CZ1062,".")</f>
        <v>En la Tabla 12 y Figura. 12 se observa los resultados  de la  Pregunta 12 el cual aborda ,en donde se demuestra que el 45% de los Docentess tienen una percepción de Nunca, el 25% Casi Nunca, un 5% Casi siempre, ademas el 15% Siempre y 10%, A vecesen tal sentido la mayoría de los Docentess es decir el 75% tienen una percepción con una inclinación a un valor Inadecuado, para .</v>
      </c>
      <c r="CZ35" s="53"/>
      <c r="DA35" s="53"/>
      <c r="DC35" s="4"/>
    </row>
    <row r="36" spans="2:107" x14ac:dyDescent="0.25">
      <c r="B36" s="4"/>
      <c r="D36" s="53"/>
      <c r="E36" s="53"/>
      <c r="F36" s="53"/>
      <c r="H36" s="4"/>
      <c r="K36" s="4"/>
      <c r="M36" s="53"/>
      <c r="N36" s="53"/>
      <c r="O36" s="53"/>
      <c r="Q36" s="4"/>
      <c r="T36" s="4"/>
      <c r="V36" s="53"/>
      <c r="W36" s="53"/>
      <c r="X36" s="53"/>
      <c r="Z36" s="4"/>
      <c r="AC36" s="4"/>
      <c r="AE36" s="53"/>
      <c r="AF36" s="53"/>
      <c r="AG36" s="53"/>
      <c r="AI36" s="4"/>
      <c r="AL36" s="4"/>
      <c r="AN36" s="53"/>
      <c r="AO36" s="53"/>
      <c r="AP36" s="53"/>
      <c r="AR36" s="4"/>
      <c r="AU36" s="4"/>
      <c r="AW36" s="53"/>
      <c r="AX36" s="53"/>
      <c r="AY36" s="53"/>
      <c r="BA36" s="4"/>
      <c r="BD36" s="4"/>
      <c r="BF36" s="53"/>
      <c r="BG36" s="53"/>
      <c r="BH36" s="53"/>
      <c r="BJ36" s="4"/>
      <c r="BM36" s="4"/>
      <c r="BO36" s="53"/>
      <c r="BP36" s="53"/>
      <c r="BQ36" s="53"/>
      <c r="BS36" s="4"/>
      <c r="BV36" s="4"/>
      <c r="BX36" s="53"/>
      <c r="BY36" s="53"/>
      <c r="BZ36" s="53"/>
      <c r="CB36" s="4"/>
      <c r="CE36" s="4"/>
      <c r="CG36" s="53"/>
      <c r="CH36" s="53"/>
      <c r="CI36" s="53"/>
      <c r="CK36" s="4"/>
      <c r="CN36" s="4"/>
      <c r="CP36" s="53"/>
      <c r="CQ36" s="53"/>
      <c r="CR36" s="53"/>
      <c r="CT36" s="4"/>
      <c r="CW36" s="4"/>
      <c r="CY36" s="53"/>
      <c r="CZ36" s="53"/>
      <c r="DA36" s="53"/>
      <c r="DC36" s="4"/>
    </row>
    <row r="37" spans="2:107" x14ac:dyDescent="0.25">
      <c r="B37" s="4"/>
      <c r="D37" s="53"/>
      <c r="E37" s="53"/>
      <c r="F37" s="53"/>
      <c r="H37" s="4"/>
      <c r="K37" s="4"/>
      <c r="M37" s="53"/>
      <c r="N37" s="53"/>
      <c r="O37" s="53"/>
      <c r="Q37" s="4"/>
      <c r="T37" s="4"/>
      <c r="V37" s="53"/>
      <c r="W37" s="53"/>
      <c r="X37" s="53"/>
      <c r="Z37" s="4"/>
      <c r="AC37" s="4"/>
      <c r="AE37" s="53"/>
      <c r="AF37" s="53"/>
      <c r="AG37" s="53"/>
      <c r="AI37" s="4"/>
      <c r="AL37" s="4"/>
      <c r="AN37" s="53"/>
      <c r="AO37" s="53"/>
      <c r="AP37" s="53"/>
      <c r="AR37" s="4"/>
      <c r="AU37" s="4"/>
      <c r="AW37" s="53"/>
      <c r="AX37" s="53"/>
      <c r="AY37" s="53"/>
      <c r="BA37" s="4"/>
      <c r="BD37" s="4"/>
      <c r="BF37" s="53"/>
      <c r="BG37" s="53"/>
      <c r="BH37" s="53"/>
      <c r="BJ37" s="4"/>
      <c r="BM37" s="4"/>
      <c r="BO37" s="53"/>
      <c r="BP37" s="53"/>
      <c r="BQ37" s="53"/>
      <c r="BS37" s="4"/>
      <c r="BV37" s="4"/>
      <c r="BX37" s="53"/>
      <c r="BY37" s="53"/>
      <c r="BZ37" s="53"/>
      <c r="CB37" s="4"/>
      <c r="CE37" s="4"/>
      <c r="CG37" s="53"/>
      <c r="CH37" s="53"/>
      <c r="CI37" s="53"/>
      <c r="CK37" s="4"/>
      <c r="CN37" s="4"/>
      <c r="CP37" s="53"/>
      <c r="CQ37" s="53"/>
      <c r="CR37" s="53"/>
      <c r="CT37" s="4"/>
      <c r="CW37" s="4"/>
      <c r="CY37" s="53"/>
      <c r="CZ37" s="53"/>
      <c r="DA37" s="53"/>
      <c r="DC37" s="4"/>
    </row>
    <row r="38" spans="2:107" x14ac:dyDescent="0.25">
      <c r="B38" s="4"/>
      <c r="D38" s="53"/>
      <c r="E38" s="53"/>
      <c r="F38" s="53"/>
      <c r="H38" s="4"/>
      <c r="K38" s="4"/>
      <c r="M38" s="53"/>
      <c r="N38" s="53"/>
      <c r="O38" s="53"/>
      <c r="Q38" s="4"/>
      <c r="T38" s="4"/>
      <c r="V38" s="53"/>
      <c r="W38" s="53"/>
      <c r="X38" s="53"/>
      <c r="Z38" s="4"/>
      <c r="AC38" s="4"/>
      <c r="AE38" s="53"/>
      <c r="AF38" s="53"/>
      <c r="AG38" s="53"/>
      <c r="AI38" s="4"/>
      <c r="AL38" s="4"/>
      <c r="AN38" s="53"/>
      <c r="AO38" s="53"/>
      <c r="AP38" s="53"/>
      <c r="AR38" s="4"/>
      <c r="AU38" s="4"/>
      <c r="AW38" s="53"/>
      <c r="AX38" s="53"/>
      <c r="AY38" s="53"/>
      <c r="BA38" s="4"/>
      <c r="BD38" s="4"/>
      <c r="BF38" s="53"/>
      <c r="BG38" s="53"/>
      <c r="BH38" s="53"/>
      <c r="BJ38" s="4"/>
      <c r="BM38" s="4"/>
      <c r="BO38" s="53"/>
      <c r="BP38" s="53"/>
      <c r="BQ38" s="53"/>
      <c r="BS38" s="4"/>
      <c r="BV38" s="4"/>
      <c r="BX38" s="53"/>
      <c r="BY38" s="53"/>
      <c r="BZ38" s="53"/>
      <c r="CB38" s="4"/>
      <c r="CE38" s="4"/>
      <c r="CG38" s="53"/>
      <c r="CH38" s="53"/>
      <c r="CI38" s="53"/>
      <c r="CK38" s="4"/>
      <c r="CN38" s="4"/>
      <c r="CP38" s="53"/>
      <c r="CQ38" s="53"/>
      <c r="CR38" s="53"/>
      <c r="CT38" s="4"/>
      <c r="CW38" s="4"/>
      <c r="CY38" s="53"/>
      <c r="CZ38" s="53"/>
      <c r="DA38" s="53"/>
      <c r="DC38" s="4"/>
    </row>
    <row r="39" spans="2:107" x14ac:dyDescent="0.25">
      <c r="B39" s="4"/>
      <c r="D39" s="53"/>
      <c r="E39" s="53"/>
      <c r="F39" s="53"/>
      <c r="H39" s="4"/>
      <c r="K39" s="4"/>
      <c r="M39" s="53"/>
      <c r="N39" s="53"/>
      <c r="O39" s="53"/>
      <c r="Q39" s="4"/>
      <c r="T39" s="4"/>
      <c r="V39" s="53"/>
      <c r="W39" s="53"/>
      <c r="X39" s="53"/>
      <c r="Z39" s="4"/>
      <c r="AC39" s="4"/>
      <c r="AE39" s="53"/>
      <c r="AF39" s="53"/>
      <c r="AG39" s="53"/>
      <c r="AI39" s="4"/>
      <c r="AL39" s="4"/>
      <c r="AN39" s="53"/>
      <c r="AO39" s="53"/>
      <c r="AP39" s="53"/>
      <c r="AR39" s="4"/>
      <c r="AU39" s="4"/>
      <c r="AW39" s="53"/>
      <c r="AX39" s="53"/>
      <c r="AY39" s="53"/>
      <c r="BA39" s="4"/>
      <c r="BD39" s="4"/>
      <c r="BF39" s="53"/>
      <c r="BG39" s="53"/>
      <c r="BH39" s="53"/>
      <c r="BJ39" s="4"/>
      <c r="BM39" s="4"/>
      <c r="BO39" s="53"/>
      <c r="BP39" s="53"/>
      <c r="BQ39" s="53"/>
      <c r="BS39" s="4"/>
      <c r="BV39" s="4"/>
      <c r="BX39" s="53"/>
      <c r="BY39" s="53"/>
      <c r="BZ39" s="53"/>
      <c r="CB39" s="4"/>
      <c r="CE39" s="4"/>
      <c r="CG39" s="53"/>
      <c r="CH39" s="53"/>
      <c r="CI39" s="53"/>
      <c r="CK39" s="4"/>
      <c r="CN39" s="4"/>
      <c r="CP39" s="53"/>
      <c r="CQ39" s="53"/>
      <c r="CR39" s="53"/>
      <c r="CT39" s="4"/>
      <c r="CW39" s="4"/>
      <c r="CY39" s="53"/>
      <c r="CZ39" s="53"/>
      <c r="DA39" s="53"/>
      <c r="DC39" s="4"/>
    </row>
    <row r="40" spans="2:107" x14ac:dyDescent="0.25">
      <c r="D40" s="53"/>
      <c r="E40" s="53"/>
      <c r="F40" s="53"/>
      <c r="M40" s="53"/>
      <c r="N40" s="53"/>
      <c r="O40" s="53"/>
      <c r="V40" s="53"/>
      <c r="W40" s="53"/>
      <c r="X40" s="53"/>
      <c r="AE40" s="53"/>
      <c r="AF40" s="53"/>
      <c r="AG40" s="53"/>
      <c r="AN40" s="53"/>
      <c r="AO40" s="53"/>
      <c r="AP40" s="53"/>
      <c r="AW40" s="53"/>
      <c r="AX40" s="53"/>
      <c r="AY40" s="53"/>
      <c r="BF40" s="53"/>
      <c r="BG40" s="53"/>
      <c r="BH40" s="53"/>
      <c r="BO40" s="53"/>
      <c r="BP40" s="53"/>
      <c r="BQ40" s="53"/>
      <c r="BX40" s="53"/>
      <c r="BY40" s="53"/>
      <c r="BZ40" s="53"/>
      <c r="CG40" s="53"/>
      <c r="CH40" s="53"/>
      <c r="CI40" s="53"/>
      <c r="CP40" s="53"/>
      <c r="CQ40" s="53"/>
      <c r="CR40" s="53"/>
      <c r="CY40" s="53"/>
      <c r="CZ40" s="53"/>
      <c r="DA40" s="53"/>
    </row>
    <row r="41" spans="2:107" x14ac:dyDescent="0.25">
      <c r="D41" s="53"/>
      <c r="E41" s="53"/>
      <c r="F41" s="53"/>
      <c r="M41" s="53"/>
      <c r="N41" s="53"/>
      <c r="O41" s="53"/>
      <c r="V41" s="53"/>
      <c r="W41" s="53"/>
      <c r="X41" s="53"/>
      <c r="AE41" s="53"/>
      <c r="AF41" s="53"/>
      <c r="AG41" s="53"/>
      <c r="AN41" s="53"/>
      <c r="AO41" s="53"/>
      <c r="AP41" s="53"/>
      <c r="AW41" s="53"/>
      <c r="AX41" s="53"/>
      <c r="AY41" s="53"/>
      <c r="BF41" s="53"/>
      <c r="BG41" s="53"/>
      <c r="BH41" s="53"/>
      <c r="BO41" s="53"/>
      <c r="BP41" s="53"/>
      <c r="BQ41" s="53"/>
      <c r="BX41" s="53"/>
      <c r="BY41" s="53"/>
      <c r="BZ41" s="53"/>
      <c r="CG41" s="53"/>
      <c r="CH41" s="53"/>
      <c r="CI41" s="53"/>
      <c r="CP41" s="53"/>
      <c r="CQ41" s="53"/>
      <c r="CR41" s="53"/>
      <c r="CY41" s="53"/>
      <c r="CZ41" s="53"/>
      <c r="DA41" s="53"/>
    </row>
    <row r="42" spans="2:107" x14ac:dyDescent="0.25">
      <c r="D42" s="53"/>
      <c r="E42" s="53"/>
      <c r="F42" s="53"/>
      <c r="M42" s="53"/>
      <c r="N42" s="53"/>
      <c r="O42" s="53"/>
      <c r="V42" s="53"/>
      <c r="W42" s="53"/>
      <c r="X42" s="53"/>
      <c r="AE42" s="53"/>
      <c r="AF42" s="53"/>
      <c r="AG42" s="53"/>
      <c r="AN42" s="53"/>
      <c r="AO42" s="53"/>
      <c r="AP42" s="53"/>
      <c r="AW42" s="53"/>
      <c r="AX42" s="53"/>
      <c r="AY42" s="53"/>
      <c r="BF42" s="53"/>
      <c r="BG42" s="53"/>
      <c r="BH42" s="53"/>
      <c r="BO42" s="53"/>
      <c r="BP42" s="53"/>
      <c r="BQ42" s="53"/>
      <c r="BX42" s="53"/>
      <c r="BY42" s="53"/>
      <c r="BZ42" s="53"/>
      <c r="CG42" s="53"/>
      <c r="CH42" s="53"/>
      <c r="CI42" s="53"/>
      <c r="CP42" s="53"/>
      <c r="CQ42" s="53"/>
      <c r="CR42" s="53"/>
      <c r="CY42" s="53"/>
      <c r="CZ42" s="53"/>
      <c r="DA42" s="53"/>
    </row>
    <row r="43" spans="2:107" x14ac:dyDescent="0.25">
      <c r="D43" s="53"/>
      <c r="E43" s="53"/>
      <c r="F43" s="53"/>
      <c r="M43" s="53"/>
      <c r="N43" s="53"/>
      <c r="O43" s="53"/>
      <c r="V43" s="53"/>
      <c r="W43" s="53"/>
      <c r="X43" s="53"/>
      <c r="AE43" s="53"/>
      <c r="AF43" s="53"/>
      <c r="AG43" s="53"/>
      <c r="AN43" s="53"/>
      <c r="AO43" s="53"/>
      <c r="AP43" s="53"/>
      <c r="AW43" s="53"/>
      <c r="AX43" s="53"/>
      <c r="AY43" s="53"/>
      <c r="BF43" s="53"/>
      <c r="BG43" s="53"/>
      <c r="BH43" s="53"/>
      <c r="BO43" s="53"/>
      <c r="BP43" s="53"/>
      <c r="BQ43" s="53"/>
      <c r="BX43" s="53"/>
      <c r="BY43" s="53"/>
      <c r="BZ43" s="53"/>
      <c r="CG43" s="53"/>
      <c r="CH43" s="53"/>
      <c r="CI43" s="53"/>
      <c r="CP43" s="53"/>
      <c r="CQ43" s="53"/>
      <c r="CR43" s="53"/>
      <c r="CY43" s="53"/>
      <c r="CZ43" s="53"/>
      <c r="DA43" s="53"/>
    </row>
    <row r="1045" spans="3:106" x14ac:dyDescent="0.25">
      <c r="D1045" s="21" t="s">
        <v>88</v>
      </c>
      <c r="E1045" s="21" t="s">
        <v>92</v>
      </c>
      <c r="M1045" s="21" t="s">
        <v>88</v>
      </c>
      <c r="N1045" s="21"/>
      <c r="V1045" s="21" t="s">
        <v>88</v>
      </c>
      <c r="W1045" s="21"/>
      <c r="AE1045" s="21" t="s">
        <v>88</v>
      </c>
      <c r="AF1045" s="21"/>
      <c r="AN1045" s="21" t="s">
        <v>88</v>
      </c>
      <c r="AO1045" s="21"/>
      <c r="AW1045" s="21" t="s">
        <v>88</v>
      </c>
      <c r="AX1045" s="21"/>
      <c r="BF1045" s="21" t="s">
        <v>88</v>
      </c>
      <c r="BG1045" s="21"/>
      <c r="BO1045" s="21" t="s">
        <v>88</v>
      </c>
      <c r="BP1045" s="21"/>
      <c r="BX1045" s="21" t="s">
        <v>88</v>
      </c>
      <c r="BY1045" s="21"/>
      <c r="CG1045" s="21" t="s">
        <v>88</v>
      </c>
      <c r="CH1045" s="21"/>
      <c r="CP1045" s="21" t="s">
        <v>88</v>
      </c>
      <c r="CQ1045" s="21"/>
      <c r="CY1045" s="21" t="s">
        <v>88</v>
      </c>
      <c r="CZ1045" s="21"/>
    </row>
    <row r="1046" spans="3:106" x14ac:dyDescent="0.25">
      <c r="C1046" s="21">
        <v>1</v>
      </c>
      <c r="D1046" s="21" t="str">
        <f>IF(E1046=F8,D8,IF(E1046=F9,D9,IF(E1046=F10,D10,IF(E1046=F11,D11,IF(E1046=F12,D12,"ALGO ESTA MAL")))))</f>
        <v>Nunca</v>
      </c>
      <c r="E1046" s="22">
        <f>LARGE($F$8:$F$12,C1046)</f>
        <v>0.5</v>
      </c>
      <c r="F1046" s="22">
        <f>IF(E1046&gt;0.1%,E1046,"Algo Esta Mal")</f>
        <v>0.5</v>
      </c>
      <c r="G1046" s="21" t="str">
        <f>IF(F1046=E1046,D1046," ")</f>
        <v>Nunca</v>
      </c>
      <c r="L1046" s="21">
        <v>1</v>
      </c>
      <c r="M1046" s="21" t="str">
        <f>IF(N1046=O8,M8,IF(N1046=O9,M9,IF(N1046=O10,M10,IF(N1046=O11,M11,IF(N1046=O12,M12,"ALGO ESTA MAL")))))</f>
        <v>Casi Nunca</v>
      </c>
      <c r="N1046" s="22">
        <f>LARGE($O$8:$O$12,L1046)</f>
        <v>0.5</v>
      </c>
      <c r="O1046" s="22">
        <f>IF(N1046&gt;0.1%,N1046,"Algo Esta Mal")</f>
        <v>0.5</v>
      </c>
      <c r="P1046" s="21" t="str">
        <f>IF(O1046=N1046,M1046," ")</f>
        <v>Casi Nunca</v>
      </c>
      <c r="U1046" s="21">
        <v>1</v>
      </c>
      <c r="V1046" s="21" t="str">
        <f>IF(W1046=X8,V8,IF(W1046=X9,V9,IF(W1046=X10,V10,IF(W1046=X11,V11,IF(W1046=X12,V12,"ALGO ESTA MAL")))))</f>
        <v>Casi Nunca</v>
      </c>
      <c r="W1046" s="22">
        <f>LARGE($X$8:$X$12,U1046)</f>
        <v>0.45</v>
      </c>
      <c r="X1046" s="22">
        <f>IF(W1046&gt;0.1%,W1046,"Algo Esta Mal")</f>
        <v>0.45</v>
      </c>
      <c r="Y1046" s="21" t="str">
        <f>IF(X1046=W1046,V1046," ")</f>
        <v>Casi Nunca</v>
      </c>
      <c r="AD1046" s="21">
        <v>1</v>
      </c>
      <c r="AE1046" s="21" t="str">
        <f>IF(AF1046=AG8,AE8,IF(AF1046=AG9,AE9,IF(AF1046=AG10,AE10,IF(AF1046=AG11,AE11,IF(AF1046=AG12,AE12,"ALGO ESTA MAL")))))</f>
        <v>Casi Nunca</v>
      </c>
      <c r="AF1046" s="22">
        <f>LARGE($AG$8:$AG$12,AD1046)</f>
        <v>0.4</v>
      </c>
      <c r="AG1046" s="22">
        <f>IF(AF1046&gt;0.1%,AF1046,"Algo Esta Mal")</f>
        <v>0.4</v>
      </c>
      <c r="AH1046" s="21" t="str">
        <f>IF(AG1046=AF1046,AE1046," ")</f>
        <v>Casi Nunca</v>
      </c>
      <c r="AM1046" s="21">
        <v>1</v>
      </c>
      <c r="AN1046" s="21" t="str">
        <f>IF(AO1046=AP8,AN8,IF(AO1046=AP9,AN9,IF(AO1046=AP10,AN10,IF(AO1046=AP11,AN11,IF(AO1046=AP12,AN12,"ALGO ESTA MAL")))))</f>
        <v>Casi Nunca</v>
      </c>
      <c r="AO1046" s="22">
        <f>LARGE($AP$8:$AP$12,AM1046)</f>
        <v>0.4</v>
      </c>
      <c r="AP1046" s="22">
        <f>IF(AO1046&gt;0.1%,AO1046,"Algo Esta Mal")</f>
        <v>0.4</v>
      </c>
      <c r="AQ1046" s="21" t="str">
        <f>IF(AP1046=AO1046,AN1046," ")</f>
        <v>Casi Nunca</v>
      </c>
      <c r="AV1046" s="21">
        <v>1</v>
      </c>
      <c r="AW1046" s="21" t="str">
        <f>IF(AX1046=AY8,AW8,IF(AX1046=AY9,AW9,IF(AX1046=AY10,AW10,IF(AX1046=AY11,AW11,IF(AX1046=AY12,AW12,"ALGO ESTA MAL")))))</f>
        <v>Nunca</v>
      </c>
      <c r="AX1046" s="22">
        <f>LARGE($AY$8:$AY$12,AV1046)</f>
        <v>0.4</v>
      </c>
      <c r="AY1046" s="22">
        <f>IF(AX1046&gt;0.1%,AX1046,"Algo Esta Mal")</f>
        <v>0.4</v>
      </c>
      <c r="AZ1046" s="21" t="str">
        <f>IF(AY1046=AX1046,AW1046," ")</f>
        <v>Nunca</v>
      </c>
      <c r="BE1046" s="21">
        <v>1</v>
      </c>
      <c r="BF1046" s="21" t="str">
        <f>IF(BG1046=BH8,BF8,IF(BG1046=BH9,BF9,IF(BG1046=BH10,BF10,IF(BG1046=BH11,BF11,IF(BG1046=BH12,BF12,"ALGO ESTA MAL")))))</f>
        <v>Casi Nunca</v>
      </c>
      <c r="BG1046" s="22">
        <f>LARGE($BH$8:$BH$12,BE1046)</f>
        <v>0.4</v>
      </c>
      <c r="BH1046" s="22">
        <f>IF(BG1046&gt;0.1%,BG1046,"Algo Esta Mal")</f>
        <v>0.4</v>
      </c>
      <c r="BI1046" s="21" t="str">
        <f>IF(BH1046=BG1046,BF1046," ")</f>
        <v>Casi Nunca</v>
      </c>
      <c r="BN1046" s="21">
        <v>1</v>
      </c>
      <c r="BO1046" s="21" t="str">
        <f>IF(BP1046=BQ8,BO8,IF(BP1046=BQ9,BO9,IF(BP1046=BQ10,BO10,IF(BP1046=BQ11,BO11,IF(BP1046=BQ12,BO12,"ALGO ESTA MAL")))))</f>
        <v>Casi Nunca</v>
      </c>
      <c r="BP1046" s="22">
        <f>LARGE($BQ$8:$BQ$12,BN1046)</f>
        <v>0.4</v>
      </c>
      <c r="BQ1046" s="22">
        <f>IF(BP1046&gt;0.1%,BP1046,"Algo Esta Mal")</f>
        <v>0.4</v>
      </c>
      <c r="BR1046" s="21" t="str">
        <f>IF(BQ1046=BP1046,BO1046," ")</f>
        <v>Casi Nunca</v>
      </c>
      <c r="BW1046" s="21">
        <v>1</v>
      </c>
      <c r="BX1046" s="21" t="str">
        <f>IF(BY1046=BZ8,BX8,IF(BY1046=BZ9,BX9,IF(BY1046=BZ10,BX10,IF(BY1046=BZ11,BX11,IF(BY1046=BZ12,BX12,"ALGO ESTA MAL")))))</f>
        <v>Nunca</v>
      </c>
      <c r="BY1046" s="22">
        <f>LARGE($BZ$8:$BZ$12,BW1046)</f>
        <v>0.45</v>
      </c>
      <c r="BZ1046" s="22">
        <f>IF(BY1046&gt;0.1%,BY1046,"Algo Esta Mal")</f>
        <v>0.45</v>
      </c>
      <c r="CA1046" s="21" t="str">
        <f>IF(BZ1046=BY1046,BX1046," ")</f>
        <v>Nunca</v>
      </c>
      <c r="CF1046" s="21">
        <v>1</v>
      </c>
      <c r="CG1046" s="21" t="str">
        <f>IF(CH1046=CI8,CG8,IF(CH1046=CI9,CG9,IF(CH1046=CI10,CG10,IF(CH1046=CI11,CG11,IF(CH1046=CI12,CG12,"ALGO ESTA MAL")))))</f>
        <v>Nunca</v>
      </c>
      <c r="CH1046" s="22">
        <f>LARGE($CI$8:$CI$12,CF1046)</f>
        <v>0.4</v>
      </c>
      <c r="CI1046" s="22">
        <f>IF(CH1046&gt;0.1%,CH1046,"Algo Esta Mal")</f>
        <v>0.4</v>
      </c>
      <c r="CJ1046" s="21" t="str">
        <f>IF(CI1046=CH1046,CG1046," ")</f>
        <v>Nunca</v>
      </c>
      <c r="CO1046" s="21">
        <v>1</v>
      </c>
      <c r="CP1046" s="21" t="str">
        <f>IF(CQ1046=CR8,CP8,IF(CQ1046=CR9,CP9,IF(CQ1046=CR10,CP10,IF(CQ1046=CR11,CP11,IF(CQ1046=CR12,CP12,"ALGO ESTA MAL")))))</f>
        <v>Nunca</v>
      </c>
      <c r="CQ1046" s="22">
        <f>LARGE($CR$8:$CR$12,CO1046)</f>
        <v>0.4</v>
      </c>
      <c r="CR1046" s="22">
        <f>IF(CQ1046&gt;0.1%,CQ1046,"Algo Esta Mal")</f>
        <v>0.4</v>
      </c>
      <c r="CS1046" s="21" t="str">
        <f>IF(CR1046=CQ1046,CP1046," ")</f>
        <v>Nunca</v>
      </c>
      <c r="CX1046" s="21">
        <v>1</v>
      </c>
      <c r="CY1046" s="21" t="str">
        <f>IF(CZ1046=DA8,CY8,IF(CZ1046=DA9,CY9,IF(CZ1046=DA10,CY10,IF(CZ1046=DA11,CY11,IF(CZ1046=DA12,CY12,"ALGO ESTA MAL")))))</f>
        <v>Nunca</v>
      </c>
      <c r="CZ1046" s="22">
        <f>LARGE($DA$8:$DA$12,CX1046)</f>
        <v>0.45</v>
      </c>
      <c r="DA1046" s="22">
        <f>IF(CZ1046&gt;0.1%,CZ1046,"Algo Esta Mal")</f>
        <v>0.45</v>
      </c>
      <c r="DB1046" s="21" t="str">
        <f>IF(DA1046=CZ1046,CY1046," ")</f>
        <v>Nunca</v>
      </c>
    </row>
    <row r="1047" spans="3:106" x14ac:dyDescent="0.25">
      <c r="C1047" s="21">
        <v>2</v>
      </c>
      <c r="D1047" s="21" t="str">
        <f>IF(E1047=F8,D8,IF(E1047=F9,D9,IF(E1047=F10,D10,IF(E1047=F11,D11,IF(E1047=F12,D12,"ALGO ESTA MAL")))))</f>
        <v>Casi Nunca</v>
      </c>
      <c r="E1047" s="22">
        <f>LARGE($F$8:$F$12,C1047)</f>
        <v>0.25</v>
      </c>
      <c r="F1047" s="22">
        <f>IF(E1047&gt;0.1%,E1047,"Algo Esta Mal")</f>
        <v>0.25</v>
      </c>
      <c r="G1047" s="21" t="str">
        <f>IF(F1047=E1047,D1047," ")</f>
        <v>Casi Nunca</v>
      </c>
      <c r="L1047" s="21">
        <v>2</v>
      </c>
      <c r="M1047" s="21" t="str">
        <f>IF(N1047=O8,M8,IF(N1047=O9,M9,IF(N1047=O10,M10,IF(N1047=O11,M11,IF(N1047=O12,M12,"ALGO ESTA MAL")))))</f>
        <v>Nunca</v>
      </c>
      <c r="N1047" s="22">
        <f>LARGE($O$8:$O$12,L1047)</f>
        <v>0.35</v>
      </c>
      <c r="O1047" s="22">
        <f>IF(N1047&gt;0.1%,N1047,"Algo Esta Mal")</f>
        <v>0.35</v>
      </c>
      <c r="P1047" s="21" t="str">
        <f>IF(O1047=N1047,M1047," ")</f>
        <v>Nunca</v>
      </c>
      <c r="U1047" s="21">
        <v>2</v>
      </c>
      <c r="V1047" s="21" t="str">
        <f>IF(W1047=X8,V8,IF(W1047=X9,V9,IF(W1047=X10,V10,IF(W1047=X11,V11,IF(W1047=X12,V12,"ALGO ESTA MAL")))))</f>
        <v>Nunca</v>
      </c>
      <c r="W1047" s="22">
        <f>LARGE($X$8:$X$12,U1047)</f>
        <v>0.35</v>
      </c>
      <c r="X1047" s="22">
        <f>IF(W1047&gt;0.1%,W1047,"Algo Esta Mal")</f>
        <v>0.35</v>
      </c>
      <c r="Y1047" s="21" t="str">
        <f>IF(X1047=W1047,V1047," ")</f>
        <v>Nunca</v>
      </c>
      <c r="AD1047" s="21">
        <v>2</v>
      </c>
      <c r="AE1047" s="21" t="str">
        <f>IF(AF1047=AG8,AE8,IF(AF1047=AG9,AE9,IF(AF1047=AG10,AE10,IF(AF1047=AG11,AE11,IF(AF1047=AG12,AE12,"ALGO ESTA MAL")))))</f>
        <v>Nunca</v>
      </c>
      <c r="AF1047" s="22">
        <f>LARGE($AG$8:$AG$12,AD1047)</f>
        <v>0.3</v>
      </c>
      <c r="AG1047" s="22">
        <f>IF(AF1047&gt;0.1%,AF1047,"Algo Esta Mal")</f>
        <v>0.3</v>
      </c>
      <c r="AH1047" s="21" t="str">
        <f>IF(AG1047=AF1047,AE1047," ")</f>
        <v>Nunca</v>
      </c>
      <c r="AM1047" s="21">
        <v>2</v>
      </c>
      <c r="AN1047" s="21" t="str">
        <f>IF(AO1047=AP8,AN8,IF(AO1047=AP9,AN9,IF(AO1047=AP10,AN10,IF(AO1047=AP11,AN11,IF(AO1047=AP12,AN12,"ALGO ESTA MAL")))))</f>
        <v>Nunca</v>
      </c>
      <c r="AO1047" s="22">
        <f>LARGE($AP$8:$AP$12,AM1047)</f>
        <v>0.35</v>
      </c>
      <c r="AP1047" s="22">
        <f>IF(AO1047&gt;0.1%,AO1047,"Algo Esta Mal")</f>
        <v>0.35</v>
      </c>
      <c r="AQ1047" s="21" t="str">
        <f>IF(AP1047=AO1047,AN1047," ")</f>
        <v>Nunca</v>
      </c>
      <c r="AV1047" s="21">
        <v>2</v>
      </c>
      <c r="AW1047" s="21" t="str">
        <f>IF(AX1047=AY8,AW8,IF(AX1047=AY9,AW9,IF(AX1047=AY10,AW10,IF(AX1047=AY11,AW11,IF(AX1047=AY12,AW12,"ALGO ESTA MAL")))))</f>
        <v>Casi Nunca</v>
      </c>
      <c r="AX1047" s="22">
        <f>LARGE($AY$8:$AY$12,AV1047)</f>
        <v>0.3</v>
      </c>
      <c r="AY1047" s="22">
        <f>IF(AX1047&gt;0.1%,AX1047,"Algo Esta Mal")</f>
        <v>0.3</v>
      </c>
      <c r="AZ1047" s="21" t="str">
        <f>IF(AY1047=AX1047,AW1047," ")</f>
        <v>Casi Nunca</v>
      </c>
      <c r="BE1047" s="21">
        <v>2</v>
      </c>
      <c r="BF1047" s="21" t="str">
        <f>IF(BG1047=BH8,BF8,IF(BG1047=BH9,BF9,IF(BG1047=BH10,BF10,IF(BG1047=BH11,BF11,IF(BG1047=BH12,BF12,"ALGO ESTA MAL")))))</f>
        <v>A veces</v>
      </c>
      <c r="BG1047" s="22">
        <f>LARGE($BH$8:$BH$12,BE1047)</f>
        <v>0.35</v>
      </c>
      <c r="BH1047" s="22">
        <f>IF(BG1047&gt;0.1%,BG1047,"Algo Esta Mal")</f>
        <v>0.35</v>
      </c>
      <c r="BI1047" s="21" t="str">
        <f>IF(BH1047=BG1047,BF1047," ")</f>
        <v>A veces</v>
      </c>
      <c r="BN1047" s="21">
        <v>2</v>
      </c>
      <c r="BO1047" s="21" t="str">
        <f>IF(BP1047=BQ8,BO8,IF(BP1047=BQ9,BO9,IF(BP1047=BQ10,BO10,IF(BP1047=BQ11,BO11,IF(BP1047=BQ12,BO12,"ALGO ESTA MAL")))))</f>
        <v>Nunca</v>
      </c>
      <c r="BP1047" s="22">
        <f>LARGE($BQ$8:$BQ$12,BN1047)</f>
        <v>0.35</v>
      </c>
      <c r="BQ1047" s="22">
        <f>IF(BP1047&gt;0.1%,BP1047,"Algo Esta Mal")</f>
        <v>0.35</v>
      </c>
      <c r="BR1047" s="21" t="str">
        <f>IF(BQ1047=BP1047,BO1047," ")</f>
        <v>Nunca</v>
      </c>
      <c r="BW1047" s="21">
        <v>2</v>
      </c>
      <c r="BX1047" s="21" t="str">
        <f>IF(BY1047=BZ8,BX8,IF(BY1047=BZ9,BX9,IF(BY1047=BZ10,BX10,IF(BY1047=BZ11,BX11,IF(BY1047=BZ12,BX12,"ALGO ESTA MAL")))))</f>
        <v>Casi Nunca</v>
      </c>
      <c r="BY1047" s="22">
        <f>LARGE($BZ$8:$BZ$12,BW1047)</f>
        <v>0.25</v>
      </c>
      <c r="BZ1047" s="22">
        <f>IF(BY1047&gt;0.1%,BY1047,"Algo Esta Mal")</f>
        <v>0.25</v>
      </c>
      <c r="CA1047" s="21" t="str">
        <f>IF(BZ1047=BY1047,BX1047," ")</f>
        <v>Casi Nunca</v>
      </c>
      <c r="CF1047" s="21">
        <v>2</v>
      </c>
      <c r="CG1047" s="21" t="str">
        <f>IF(CH1047=CI8,CG8,IF(CH1047=CI9,CG9,IF(CH1047=CI10,CG10,IF(CH1047=CI11,CG11,IF(CH1047=CI12,CG12,"ALGO ESTA MAL")))))</f>
        <v>Casi Nunca</v>
      </c>
      <c r="CH1047" s="22">
        <f>LARGE($CI$8:$CI$12,CF1047)</f>
        <v>0.3</v>
      </c>
      <c r="CI1047" s="22">
        <f>IF(CH1047&gt;0.1%,CH1047,"Algo Esta Mal")</f>
        <v>0.3</v>
      </c>
      <c r="CJ1047" s="21" t="str">
        <f>IF(CI1047=CH1047,CG1047," ")</f>
        <v>Casi Nunca</v>
      </c>
      <c r="CO1047" s="21">
        <v>2</v>
      </c>
      <c r="CP1047" s="21" t="str">
        <f>IF(CQ1047=CR8,CP8,IF(CQ1047=CR9,CP9,IF(CQ1047=CR10,CP10,IF(CQ1047=CR11,CP11,IF(CQ1047=CR12,CP12,"ALGO ESTA MAL")))))</f>
        <v>Nunca</v>
      </c>
      <c r="CQ1047" s="22">
        <f>LARGE($CR$8:$CR$12,CO1047)</f>
        <v>0.4</v>
      </c>
      <c r="CR1047" s="22">
        <f>IF(CQ1047&gt;0.1%,CQ1047,"Algo Esta Mal")</f>
        <v>0.4</v>
      </c>
      <c r="CS1047" s="21" t="str">
        <f>IF(CR1047=CQ1047,CP1047," ")</f>
        <v>Nunca</v>
      </c>
      <c r="CX1047" s="21">
        <v>2</v>
      </c>
      <c r="CY1047" s="21" t="str">
        <f>IF(CZ1047=DA8,CY8,IF(CZ1047=DA9,CY9,IF(CZ1047=DA10,CY10,IF(CZ1047=DA11,CY11,IF(CZ1047=DA12,CY12,"ALGO ESTA MAL")))))</f>
        <v>Casi Nunca</v>
      </c>
      <c r="CZ1047" s="22">
        <f>LARGE($DA$8:$DA$12,CX1047)</f>
        <v>0.25</v>
      </c>
      <c r="DA1047" s="22">
        <f>IF(CZ1047&gt;0.1%,CZ1047,"Algo Esta Mal")</f>
        <v>0.25</v>
      </c>
      <c r="DB1047" s="21" t="str">
        <f>IF(DA1047=CZ1047,CY1047," ")</f>
        <v>Casi Nunca</v>
      </c>
    </row>
    <row r="1048" spans="3:106" x14ac:dyDescent="0.25">
      <c r="C1048" s="21">
        <v>3</v>
      </c>
      <c r="D1048" s="21" t="str">
        <f>IF(E1048=F8,D8,IF(E1048=F9,D9,IF(E1048=F10,D10,IF(E1048=F11,D11,IF(E1048=F12,D12,"ALGO ESTA MAL")))))</f>
        <v>A veces</v>
      </c>
      <c r="E1048" s="22">
        <f>LARGE($F$8:$F$12,C1048)</f>
        <v>0.15</v>
      </c>
      <c r="F1048" s="22">
        <f>IF(E1048&gt;0.1%,E1048,"Algo Esta Mal")</f>
        <v>0.15</v>
      </c>
      <c r="G1048" s="21" t="str">
        <f>IF(F1048=E1048,D1048," ")</f>
        <v>A veces</v>
      </c>
      <c r="L1048" s="21">
        <v>3</v>
      </c>
      <c r="M1048" s="21" t="str">
        <f>IF(N1048=O8,M8,IF(N1048=O9,M9,IF(N1048=O10,M10,IF(N1048=O11,M11,IF(N1048=O12,M12,"ALGO ESTA MAL")))))</f>
        <v>A veces</v>
      </c>
      <c r="N1048" s="22">
        <f>LARGE($O$8:$O$12,L1048)</f>
        <v>0.15</v>
      </c>
      <c r="O1048" s="22">
        <f>IF(N1048&gt;0.1%,N1048,"Algo Esta Mal")</f>
        <v>0.15</v>
      </c>
      <c r="P1048" s="21" t="str">
        <f>IF(O1048=N1048,M1048," ")</f>
        <v>A veces</v>
      </c>
      <c r="U1048" s="21">
        <v>3</v>
      </c>
      <c r="V1048" s="21" t="str">
        <f>IF(W1048=X8,V8,IF(W1048=X9,V9,IF(W1048=X10,V10,IF(W1048=X11,V11,IF(W1048=X12,V12,"ALGO ESTA MAL")))))</f>
        <v>Casi siempre</v>
      </c>
      <c r="W1048" s="22">
        <f>LARGE($X$8:$X$12,U1048)</f>
        <v>0.1</v>
      </c>
      <c r="X1048" s="22">
        <f>IF(W1048&gt;0.1%,W1048,"Algo Esta Mal")</f>
        <v>0.1</v>
      </c>
      <c r="Y1048" s="21" t="str">
        <f>IF(X1048=W1048,V1048," ")</f>
        <v>Casi siempre</v>
      </c>
      <c r="AD1048" s="21">
        <v>3</v>
      </c>
      <c r="AE1048" s="21" t="str">
        <f>IF(AF1048=AG8,AE8,IF(AF1048=AG9,AE9,IF(AF1048=AG10,AE10,IF(AF1048=AG11,AE11,IF(AF1048=AG12,AE12,"ALGO ESTA MAL")))))</f>
        <v>Nunca</v>
      </c>
      <c r="AF1048" s="22">
        <f>LARGE($AG$8:$AG$12,AD1048)</f>
        <v>0.3</v>
      </c>
      <c r="AG1048" s="22">
        <f>IF(AF1048&gt;0.1%,AF1048,"Algo Esta Mal")</f>
        <v>0.3</v>
      </c>
      <c r="AH1048" s="21" t="str">
        <f>IF(AG1048=AF1048,AE1048," ")</f>
        <v>Nunca</v>
      </c>
      <c r="AM1048" s="21">
        <v>3</v>
      </c>
      <c r="AN1048" s="21" t="str">
        <f>IF(AO1048=AP8,AN8,IF(AO1048=AP9,AN9,IF(AO1048=AP10,AN10,IF(AO1048=AP11,AN11,IF(AO1048=AP12,AN12,"ALGO ESTA MAL")))))</f>
        <v>A veces</v>
      </c>
      <c r="AO1048" s="22">
        <f>LARGE($AP$8:$AP$12,AM1048)</f>
        <v>0.1</v>
      </c>
      <c r="AP1048" s="22">
        <f>IF(AO1048&gt;0.1%,AO1048,"Algo Esta Mal")</f>
        <v>0.1</v>
      </c>
      <c r="AQ1048" s="21" t="str">
        <f>IF(AP1048=AO1048,AN1048," ")</f>
        <v>A veces</v>
      </c>
      <c r="AV1048" s="21">
        <v>3</v>
      </c>
      <c r="AW1048" s="21" t="str">
        <f>IF(AX1048=AY8,AW8,IF(AX1048=AY9,AW9,IF(AX1048=AY10,AW10,IF(AX1048=AY11,AW11,IF(AX1048=AY12,AW12,"ALGO ESTA MAL")))))</f>
        <v>A veces</v>
      </c>
      <c r="AX1048" s="22">
        <f>LARGE($AY$8:$AY$12,AV1048)</f>
        <v>0.1</v>
      </c>
      <c r="AY1048" s="22">
        <f>IF(AX1048&gt;0.1%,AX1048,"Algo Esta Mal")</f>
        <v>0.1</v>
      </c>
      <c r="AZ1048" s="21" t="str">
        <f>IF(AY1048=AX1048,AW1048," ")</f>
        <v>A veces</v>
      </c>
      <c r="BE1048" s="21">
        <v>3</v>
      </c>
      <c r="BF1048" s="21" t="str">
        <f>IF(BG1048=BH8,BF8,IF(BG1048=BH9,BF9,IF(BG1048=BH10,BF10,IF(BG1048=BH11,BF11,IF(BG1048=BH12,BF12,"ALGO ESTA MAL")))))</f>
        <v>Nunca</v>
      </c>
      <c r="BG1048" s="22">
        <f>LARGE($BH$8:$BH$12,BE1048)</f>
        <v>0.25</v>
      </c>
      <c r="BH1048" s="22">
        <f>IF(BG1048&gt;0.1%,BG1048,"Algo Esta Mal")</f>
        <v>0.25</v>
      </c>
      <c r="BI1048" s="21" t="str">
        <f>IF(BH1048=BG1048,BF1048," ")</f>
        <v>Nunca</v>
      </c>
      <c r="BN1048" s="21">
        <v>3</v>
      </c>
      <c r="BO1048" s="21" t="str">
        <f>IF(BP1048=BQ8,BO8,IF(BP1048=BQ9,BO9,IF(BP1048=BQ10,BO10,IF(BP1048=BQ11,BO11,IF(BP1048=BQ12,BO12,"ALGO ESTA MAL")))))</f>
        <v>Casi siempre</v>
      </c>
      <c r="BP1048" s="22">
        <f>LARGE($BQ$8:$BQ$12,BN1048)</f>
        <v>0.1</v>
      </c>
      <c r="BQ1048" s="22">
        <f>IF(BP1048&gt;0.1%,BP1048,"Algo Esta Mal")</f>
        <v>0.1</v>
      </c>
      <c r="BR1048" s="21" t="str">
        <f>IF(BQ1048=BP1048,BO1048," ")</f>
        <v>Casi siempre</v>
      </c>
      <c r="BW1048" s="21">
        <v>3</v>
      </c>
      <c r="BX1048" s="21" t="str">
        <f>IF(BY1048=BZ8,BX8,IF(BY1048=BZ9,BX9,IF(BY1048=BZ10,BX10,IF(BY1048=BZ11,BX11,IF(BY1048=BZ12,BX12,"ALGO ESTA MAL")))))</f>
        <v>A veces</v>
      </c>
      <c r="BY1048" s="22">
        <f>LARGE($BZ$8:$BZ$12,BW1048)</f>
        <v>0.2</v>
      </c>
      <c r="BZ1048" s="22">
        <f>IF(BY1048&gt;0.1%,BY1048,"Algo Esta Mal")</f>
        <v>0.2</v>
      </c>
      <c r="CA1048" s="21" t="str">
        <f>IF(BZ1048=BY1048,BX1048," ")</f>
        <v>A veces</v>
      </c>
      <c r="CF1048" s="21">
        <v>3</v>
      </c>
      <c r="CG1048" s="21" t="str">
        <f>IF(CH1048=CI8,CG8,IF(CH1048=CI9,CG9,IF(CH1048=CI10,CG10,IF(CH1048=CI11,CG11,IF(CH1048=CI12,CG12,"ALGO ESTA MAL")))))</f>
        <v>Casi siempre</v>
      </c>
      <c r="CH1048" s="22">
        <f>LARGE($CI$8:$CI$12,CF1048)</f>
        <v>0.15</v>
      </c>
      <c r="CI1048" s="22">
        <f>IF(CH1048&gt;0.1%,CH1048,"Algo Esta Mal")</f>
        <v>0.15</v>
      </c>
      <c r="CJ1048" s="21" t="str">
        <f>IF(CI1048=CH1048,CG1048," ")</f>
        <v>Casi siempre</v>
      </c>
      <c r="CO1048" s="21">
        <v>3</v>
      </c>
      <c r="CP1048" s="21" t="str">
        <f>IF(CQ1048=CR8,CP8,IF(CQ1048=CR9,CP9,IF(CQ1048=CR10,CP10,IF(CQ1048=CR11,CP11,IF(CQ1048=CR12,CP12,"ALGO ESTA MAL")))))</f>
        <v>A veces</v>
      </c>
      <c r="CQ1048" s="22">
        <f>LARGE($CR$8:$CR$12,CO1048)</f>
        <v>0.1</v>
      </c>
      <c r="CR1048" s="22">
        <f>IF(CQ1048&gt;0.1%,CQ1048,"Algo Esta Mal")</f>
        <v>0.1</v>
      </c>
      <c r="CS1048" s="21" t="str">
        <f>IF(CR1048=CQ1048,CP1048," ")</f>
        <v>A veces</v>
      </c>
      <c r="CX1048" s="21">
        <v>3</v>
      </c>
      <c r="CY1048" s="21" t="str">
        <f>IF(CZ1048=DA8,CY8,IF(CZ1048=DA9,CY9,IF(CZ1048=DA10,CY10,IF(CZ1048=DA11,CY11,IF(CZ1048=DA12,CY12,"ALGO ESTA MAL")))))</f>
        <v>Casi siempre</v>
      </c>
      <c r="CZ1048" s="22">
        <f>LARGE($DA$8:$DA$12,CX1048)</f>
        <v>0.15</v>
      </c>
      <c r="DA1048" s="22">
        <f>IF(CZ1048&gt;0.1%,CZ1048,"Algo Esta Mal")</f>
        <v>0.15</v>
      </c>
      <c r="DB1048" s="21" t="str">
        <f>IF(DA1048=CZ1048,CY1048," ")</f>
        <v>Casi siempre</v>
      </c>
    </row>
    <row r="1049" spans="3:106" x14ac:dyDescent="0.25">
      <c r="C1049" s="21">
        <v>4</v>
      </c>
      <c r="D1049" s="21" t="str">
        <f>IF(E1049=F8,D8,IF(E1049=F9,D9,IF(E1049=F10,D10,IF(E1049=F11,D11,IF(E1049=F12,D12,"ALGO ESTA MAL")))))</f>
        <v>Casi siempre</v>
      </c>
      <c r="E1049" s="22">
        <f>LARGE($F$8:$F$12,C1049)</f>
        <v>0.05</v>
      </c>
      <c r="F1049" s="22">
        <f>IF(E1049&gt;0.1%,E1049,"Algo Esta Mal")</f>
        <v>0.05</v>
      </c>
      <c r="G1049" s="21" t="str">
        <f>IF(F1049=E1049,D1049," ")</f>
        <v>Casi siempre</v>
      </c>
      <c r="L1049" s="21">
        <v>4</v>
      </c>
      <c r="M1049" s="21" t="str">
        <f>IF(N1049=O8,M8,IF(N1049=O9,M9,IF(N1049=O10,M10,IF(N1049=O11,M11,IF(N1049=O12,M12,"ALGO ESTA MAL")))))</f>
        <v>Casi siempre</v>
      </c>
      <c r="N1049" s="22">
        <f>LARGE($O$8:$O$12,L1049)</f>
        <v>0</v>
      </c>
      <c r="O1049" s="22" t="str">
        <f>IF(N1049&gt;0.1%,N1049,"Algo Esta Mal")</f>
        <v>Algo Esta Mal</v>
      </c>
      <c r="P1049" s="21" t="str">
        <f>IF(O1049=N1049,M1049," ")</f>
        <v xml:space="preserve"> </v>
      </c>
      <c r="U1049" s="21">
        <v>4</v>
      </c>
      <c r="V1049" s="21" t="str">
        <f>IF(W1049=X8,V8,IF(W1049=X9,V9,IF(W1049=X10,V10,IF(W1049=X11,V11,IF(W1049=X12,V12,"ALGO ESTA MAL")))))</f>
        <v>Casi siempre</v>
      </c>
      <c r="W1049" s="22">
        <f>LARGE($X$8:$X$12,U1049)</f>
        <v>0.1</v>
      </c>
      <c r="X1049" s="22">
        <f>IF(W1049&gt;0.1%,W1049,"Algo Esta Mal")</f>
        <v>0.1</v>
      </c>
      <c r="Y1049" s="21" t="str">
        <f>IF(X1049=W1049,V1049," ")</f>
        <v>Casi siempre</v>
      </c>
      <c r="AD1049" s="21">
        <v>4</v>
      </c>
      <c r="AE1049" s="21" t="str">
        <f>IF(AF1049=AG8,AE8,IF(AF1049=AG9,AE9,IF(AF1049=AG10,AE10,IF(AF1049=AG11,AE11,IF(AF1049=AG12,AE12,"ALGO ESTA MAL")))))</f>
        <v>Casi siempre</v>
      </c>
      <c r="AF1049" s="22">
        <f>LARGE($AG$8:$AG$12,AD1049)</f>
        <v>0</v>
      </c>
      <c r="AG1049" s="22" t="str">
        <f>IF(AF1049&gt;0.1%,AF1049,"Algo Esta Mal")</f>
        <v>Algo Esta Mal</v>
      </c>
      <c r="AH1049" s="21" t="str">
        <f>IF(AG1049=AF1049,AE1049," ")</f>
        <v xml:space="preserve"> </v>
      </c>
      <c r="AM1049" s="21">
        <v>4</v>
      </c>
      <c r="AN1049" s="21" t="str">
        <f>IF(AO1049=AP8,AN8,IF(AO1049=AP9,AN9,IF(AO1049=AP10,AN10,IF(AO1049=AP11,AN11,IF(AO1049=AP12,AN12,"ALGO ESTA MAL")))))</f>
        <v>A veces</v>
      </c>
      <c r="AO1049" s="22">
        <f>LARGE($AP$8:$AP$12,AM1049)</f>
        <v>0.1</v>
      </c>
      <c r="AP1049" s="22">
        <f>IF(AO1049&gt;0.1%,AO1049,"Algo Esta Mal")</f>
        <v>0.1</v>
      </c>
      <c r="AQ1049" s="21" t="str">
        <f>IF(AP1049=AO1049,AN1049," ")</f>
        <v>A veces</v>
      </c>
      <c r="AV1049" s="21">
        <v>4</v>
      </c>
      <c r="AW1049" s="21" t="str">
        <f>IF(AX1049=AY8,AW8,IF(AX1049=AY9,AW9,IF(AX1049=AY10,AW10,IF(AX1049=AY11,AW11,IF(AX1049=AY12,AW12,"ALGO ESTA MAL")))))</f>
        <v>A veces</v>
      </c>
      <c r="AX1049" s="22">
        <f>LARGE($AY$8:$AY$12,AV1049)</f>
        <v>0.1</v>
      </c>
      <c r="AY1049" s="22">
        <f>IF(AX1049&gt;0.1%,AX1049,"Algo Esta Mal")</f>
        <v>0.1</v>
      </c>
      <c r="AZ1049" s="21" t="str">
        <f>IF(AY1049=AX1049,AW1049," ")</f>
        <v>A veces</v>
      </c>
      <c r="BE1049" s="21">
        <v>4</v>
      </c>
      <c r="BF1049" s="21" t="str">
        <f>IF(BG1049=BH8,BF8,IF(BG1049=BH9,BF9,IF(BG1049=BH10,BF10,IF(BG1049=BH11,BF11,IF(BG1049=BH12,BF12,"ALGO ESTA MAL")))))</f>
        <v>Casi siempre</v>
      </c>
      <c r="BG1049" s="22">
        <f>LARGE($BH$8:$BH$12,BE1049)</f>
        <v>0</v>
      </c>
      <c r="BH1049" s="22" t="str">
        <f>IF(BG1049&gt;0.1%,BG1049,"Algo Esta Mal")</f>
        <v>Algo Esta Mal</v>
      </c>
      <c r="BI1049" s="21" t="str">
        <f>IF(BH1049=BG1049,BF1049," ")</f>
        <v xml:space="preserve"> </v>
      </c>
      <c r="BN1049" s="21">
        <v>4</v>
      </c>
      <c r="BO1049" s="21" t="str">
        <f>IF(BP1049=BQ8,BO8,IF(BP1049=BQ9,BO9,IF(BP1049=BQ10,BO10,IF(BP1049=BQ11,BO11,IF(BP1049=BQ12,BO12,"ALGO ESTA MAL")))))</f>
        <v>Casi siempre</v>
      </c>
      <c r="BP1049" s="22">
        <f>LARGE($BQ$8:$BQ$12,BN1049)</f>
        <v>0.1</v>
      </c>
      <c r="BQ1049" s="22">
        <f>IF(BP1049&gt;0.1%,BP1049,"Algo Esta Mal")</f>
        <v>0.1</v>
      </c>
      <c r="BR1049" s="21" t="str">
        <f>IF(BQ1049=BP1049,BO1049," ")</f>
        <v>Casi siempre</v>
      </c>
      <c r="BW1049" s="21">
        <v>4</v>
      </c>
      <c r="BX1049" s="21" t="str">
        <f>IF(BY1049=BZ8,BX8,IF(BY1049=BZ9,BX9,IF(BY1049=BZ10,BX10,IF(BY1049=BZ11,BX11,IF(BY1049=BZ12,BX12,"ALGO ESTA MAL")))))</f>
        <v>Casi siempre</v>
      </c>
      <c r="BY1049" s="22">
        <f>LARGE($BZ$8:$BZ$12,BW1049)</f>
        <v>0.05</v>
      </c>
      <c r="BZ1049" s="22">
        <f>IF(BY1049&gt;0.1%,BY1049,"Algo Esta Mal")</f>
        <v>0.05</v>
      </c>
      <c r="CA1049" s="21" t="str">
        <f>IF(BZ1049=BY1049,BX1049," ")</f>
        <v>Casi siempre</v>
      </c>
      <c r="CF1049" s="21">
        <v>4</v>
      </c>
      <c r="CG1049" s="21" t="str">
        <f>IF(CH1049=CI8,CG8,IF(CH1049=CI9,CG9,IF(CH1049=CI10,CG10,IF(CH1049=CI11,CG11,IF(CH1049=CI12,CG12,"ALGO ESTA MAL")))))</f>
        <v>A veces</v>
      </c>
      <c r="CH1049" s="22">
        <f>LARGE($CI$8:$CI$12,CF1049)</f>
        <v>0.1</v>
      </c>
      <c r="CI1049" s="22">
        <f>IF(CH1049&gt;0.1%,CH1049,"Algo Esta Mal")</f>
        <v>0.1</v>
      </c>
      <c r="CJ1049" s="21" t="str">
        <f>IF(CI1049=CH1049,CG1049," ")</f>
        <v>A veces</v>
      </c>
      <c r="CO1049" s="21">
        <v>4</v>
      </c>
      <c r="CP1049" s="21" t="str">
        <f>IF(CQ1049=CR8,CP8,IF(CQ1049=CR9,CP9,IF(CQ1049=CR10,CP10,IF(CQ1049=CR11,CP11,IF(CQ1049=CR12,CP12,"ALGO ESTA MAL")))))</f>
        <v>A veces</v>
      </c>
      <c r="CQ1049" s="22">
        <f>LARGE($CR$8:$CR$12,CO1049)</f>
        <v>0.1</v>
      </c>
      <c r="CR1049" s="22">
        <f>IF(CQ1049&gt;0.1%,CQ1049,"Algo Esta Mal")</f>
        <v>0.1</v>
      </c>
      <c r="CS1049" s="21" t="str">
        <f>IF(CR1049=CQ1049,CP1049," ")</f>
        <v>A veces</v>
      </c>
      <c r="CX1049" s="21">
        <v>4</v>
      </c>
      <c r="CY1049" s="21" t="str">
        <f>IF(CZ1049=DA8,CY8,IF(CZ1049=DA9,CY9,IF(CZ1049=DA10,CY10,IF(CZ1049=DA11,CY11,IF(CZ1049=DA12,CY12,"ALGO ESTA MAL")))))</f>
        <v>Siempre</v>
      </c>
      <c r="CZ1049" s="22">
        <f>LARGE($DA$8:$DA$12,CX1049)</f>
        <v>0.1</v>
      </c>
      <c r="DA1049" s="22">
        <f>IF(CZ1049&gt;0.1%,CZ1049,"Algo Esta Mal")</f>
        <v>0.1</v>
      </c>
      <c r="DB1049" s="21" t="str">
        <f>IF(DA1049=CZ1049,CY1049," ")</f>
        <v>Siempre</v>
      </c>
    </row>
    <row r="1050" spans="3:106" x14ac:dyDescent="0.25">
      <c r="C1050" s="21">
        <v>5</v>
      </c>
      <c r="D1050" s="21" t="str">
        <f>IF(E1050=F8,D8,IF(E1050=F9,D9,IF(E1050=F10,D10,IF(E1050=F11,D11,IF(E1050=F12,D12,"ALGO ESTA MAL")))))</f>
        <v>Casi siempre</v>
      </c>
      <c r="E1050" s="22">
        <f>LARGE($F$8:$F$12,C1050)</f>
        <v>0.05</v>
      </c>
      <c r="F1050" s="22">
        <f>IF(E1050&gt;0.1%,E1050,"Algo Esta Mal")</f>
        <v>0.05</v>
      </c>
      <c r="G1050" s="21" t="str">
        <f>IF(F1050=E1050,D1050," ")</f>
        <v>Casi siempre</v>
      </c>
      <c r="L1050" s="21">
        <v>5</v>
      </c>
      <c r="M1050" s="21" t="str">
        <f>IF(N1050=O8,M8,IF(N1050=O9,M9,IF(N1050=O10,M10,IF(N1050=O11,M11,IF(N1050=O12,M12,"ALGO ESTA MAL")))))</f>
        <v>Casi siempre</v>
      </c>
      <c r="N1050" s="22">
        <f>LARGE($O$8:$O$12,L1050)</f>
        <v>0</v>
      </c>
      <c r="O1050" s="22" t="str">
        <f>IF(N1050&gt;0.1%,N1050,"Algo Esta Mal")</f>
        <v>Algo Esta Mal</v>
      </c>
      <c r="P1050" s="21" t="str">
        <f>IF(O1050=N1050,M1050," ")</f>
        <v xml:space="preserve"> </v>
      </c>
      <c r="U1050" s="21">
        <v>5</v>
      </c>
      <c r="V1050" s="21" t="str">
        <f>IF(W1050=X8,V8,IF(W1050=X9,V9,IF(W1050=X10,V10,IF(W1050=X11,V11,IF(W1050=X12,V12,"ALGO ESTA MAL")))))</f>
        <v>A veces</v>
      </c>
      <c r="W1050" s="22">
        <f>LARGE($X$8:$X$12,U1050)</f>
        <v>0</v>
      </c>
      <c r="X1050" s="22" t="str">
        <f>IF(W1050&gt;0.1%,W1050,"Algo Esta Mal")</f>
        <v>Algo Esta Mal</v>
      </c>
      <c r="Y1050" s="21" t="str">
        <f>IF(X1050=W1050,V1050," ")</f>
        <v xml:space="preserve"> </v>
      </c>
      <c r="AD1050" s="21">
        <v>5</v>
      </c>
      <c r="AE1050" s="21" t="str">
        <f>IF(AF1050=AG8,AE8,IF(AF1050=AG9,AE9,IF(AF1050=AG10,AE10,IF(AF1050=AG11,AE11,IF(AF1050=AG12,AE12,"ALGO ESTA MAL")))))</f>
        <v>Casi siempre</v>
      </c>
      <c r="AF1050" s="22">
        <f>LARGE($AG$8:$AG$12,AD1050)</f>
        <v>0</v>
      </c>
      <c r="AG1050" s="22" t="str">
        <f>IF(AF1050&gt;0.1%,AF1050,"Algo Esta Mal")</f>
        <v>Algo Esta Mal</v>
      </c>
      <c r="AH1050" s="21" t="str">
        <f>IF(AG1050=AF1050,AE1050," ")</f>
        <v xml:space="preserve"> </v>
      </c>
      <c r="AM1050" s="21">
        <v>5</v>
      </c>
      <c r="AN1050" s="21" t="str">
        <f>IF(AO1050=AP8,AN8,IF(AO1050=AP9,AN9,IF(AO1050=AP10,AN10,IF(AO1050=AP11,AN11,IF(AO1050=AP12,AN12,"ALGO ESTA MAL")))))</f>
        <v>Siempre</v>
      </c>
      <c r="AO1050" s="22">
        <f>LARGE($AP$8:$AP$12,AM1050)</f>
        <v>0.05</v>
      </c>
      <c r="AP1050" s="22">
        <f>IF(AO1050&gt;0.1%,AO1050,"Algo Esta Mal")</f>
        <v>0.05</v>
      </c>
      <c r="AQ1050" s="21" t="str">
        <f>IF(AP1050=AO1050,AN1050," ")</f>
        <v>Siempre</v>
      </c>
      <c r="AV1050" s="21">
        <v>5</v>
      </c>
      <c r="AW1050" s="21" t="str">
        <f>IF(AX1050=AY8,AW8,IF(AX1050=AY9,AW9,IF(AX1050=AY10,AW10,IF(AX1050=AY11,AW11,IF(AX1050=AY12,AW12,"ALGO ESTA MAL")))))</f>
        <v>A veces</v>
      </c>
      <c r="AX1050" s="22">
        <f>LARGE($AY$8:$AY$12,AV1050)</f>
        <v>0.1</v>
      </c>
      <c r="AY1050" s="22">
        <f>IF(AX1050&gt;0.1%,AX1050,"Algo Esta Mal")</f>
        <v>0.1</v>
      </c>
      <c r="AZ1050" s="21" t="str">
        <f>IF(AY1050=AX1050,AW1050," ")</f>
        <v>A veces</v>
      </c>
      <c r="BE1050" s="21">
        <v>5</v>
      </c>
      <c r="BF1050" s="21" t="str">
        <f>IF(BG1050=BH8,BF8,IF(BG1050=BH9,BF9,IF(BG1050=BH10,BF10,IF(BG1050=BH11,BF11,IF(BG1050=BH12,BF12,"ALGO ESTA MAL")))))</f>
        <v>Casi siempre</v>
      </c>
      <c r="BG1050" s="22">
        <f>LARGE($BH$8:$BH$12,BE1050)</f>
        <v>0</v>
      </c>
      <c r="BH1050" s="22" t="str">
        <f>IF(BG1050&gt;0.1%,BG1050,"Algo Esta Mal")</f>
        <v>Algo Esta Mal</v>
      </c>
      <c r="BI1050" s="21" t="str">
        <f>IF(BH1050=BG1050,BF1050," ")</f>
        <v xml:space="preserve"> </v>
      </c>
      <c r="BN1050" s="21">
        <v>5</v>
      </c>
      <c r="BO1050" s="21" t="str">
        <f>IF(BP1050=BQ8,BO8,IF(BP1050=BQ9,BO9,IF(BP1050=BQ10,BO10,IF(BP1050=BQ11,BO11,IF(BP1050=BQ12,BO12,"ALGO ESTA MAL")))))</f>
        <v>A veces</v>
      </c>
      <c r="BP1050" s="22">
        <f>LARGE($BQ$8:$BQ$12,BN1050)</f>
        <v>0.05</v>
      </c>
      <c r="BQ1050" s="22">
        <f>IF(BP1050&gt;0.1%,BP1050,"Algo Esta Mal")</f>
        <v>0.05</v>
      </c>
      <c r="BR1050" s="21" t="str">
        <f>IF(BQ1050=BP1050,BO1050," ")</f>
        <v>A veces</v>
      </c>
      <c r="BW1050" s="21">
        <v>5</v>
      </c>
      <c r="BX1050" s="21" t="str">
        <f>IF(BY1050=BZ8,BX8,IF(BY1050=BZ9,BX9,IF(BY1050=BZ10,BX10,IF(BY1050=BZ11,BX11,IF(BY1050=BZ12,BX12,"ALGO ESTA MAL")))))</f>
        <v>Casi siempre</v>
      </c>
      <c r="BY1050" s="22">
        <f>LARGE($BZ$8:$BZ$12,BW1050)</f>
        <v>0.05</v>
      </c>
      <c r="BZ1050" s="22">
        <f>IF(BY1050&gt;0.1%,BY1050,"Algo Esta Mal")</f>
        <v>0.05</v>
      </c>
      <c r="CA1050" s="21" t="str">
        <f>IF(BZ1050=BY1050,BX1050," ")</f>
        <v>Casi siempre</v>
      </c>
      <c r="CF1050" s="21">
        <v>5</v>
      </c>
      <c r="CG1050" s="21" t="str">
        <f>IF(CH1050=CI8,CG8,IF(CH1050=CI9,CG9,IF(CH1050=CI10,CG10,IF(CH1050=CI11,CG11,IF(CH1050=CI12,CG12,"ALGO ESTA MAL")))))</f>
        <v>Siempre</v>
      </c>
      <c r="CH1050" s="22">
        <f>LARGE($CI$8:$CI$12,CF1050)</f>
        <v>0.05</v>
      </c>
      <c r="CI1050" s="22">
        <f>IF(CH1050&gt;0.1%,CH1050,"Algo Esta Mal")</f>
        <v>0.05</v>
      </c>
      <c r="CJ1050" s="21" t="str">
        <f>IF(CI1050=CH1050,CG1050," ")</f>
        <v>Siempre</v>
      </c>
      <c r="CO1050" s="21">
        <v>5</v>
      </c>
      <c r="CP1050" s="21" t="str">
        <f>IF(CQ1050=CR8,CP8,IF(CQ1050=CR9,CP9,IF(CQ1050=CR10,CP10,IF(CQ1050=CR11,CP11,IF(CQ1050=CR12,CP12,"ALGO ESTA MAL")))))</f>
        <v>Siempre</v>
      </c>
      <c r="CQ1050" s="22">
        <f>LARGE($CR$8:$CR$12,CO1050)</f>
        <v>0</v>
      </c>
      <c r="CR1050" s="22" t="str">
        <f>IF(CQ1050&gt;0.1%,CQ1050,"Algo Esta Mal")</f>
        <v>Algo Esta Mal</v>
      </c>
      <c r="CS1050" s="21" t="str">
        <f>IF(CR1050=CQ1050,CP1050," ")</f>
        <v xml:space="preserve"> </v>
      </c>
      <c r="CX1050" s="21">
        <v>5</v>
      </c>
      <c r="CY1050" s="21" t="str">
        <f>IF(CZ1050=DA8,CY8,IF(CZ1050=DA9,CY9,IF(CZ1050=DA10,CY10,IF(CZ1050=DA11,CY11,IF(CZ1050=DA12,CY12,"ALGO ESTA MAL")))))</f>
        <v>A veces</v>
      </c>
      <c r="CZ1050" s="22">
        <f>LARGE($DA$8:$DA$12,CX1050)</f>
        <v>0.05</v>
      </c>
      <c r="DA1050" s="22">
        <f>IF(CZ1050&gt;0.1%,CZ1050,"Algo Esta Mal")</f>
        <v>0.05</v>
      </c>
      <c r="DB1050" s="21" t="str">
        <f>IF(DA1050=CZ1050,CY1050," ")</f>
        <v>A veces</v>
      </c>
    </row>
    <row r="1052" spans="3:106" x14ac:dyDescent="0.25">
      <c r="D1052" s="21" t="s">
        <v>156</v>
      </c>
      <c r="M1052" s="21" t="s">
        <v>156</v>
      </c>
      <c r="V1052" s="21" t="s">
        <v>156</v>
      </c>
      <c r="AE1052" s="21" t="s">
        <v>156</v>
      </c>
      <c r="AN1052" s="21" t="s">
        <v>156</v>
      </c>
      <c r="AW1052" s="21" t="s">
        <v>156</v>
      </c>
      <c r="BF1052" s="21" t="s">
        <v>156</v>
      </c>
      <c r="BO1052" s="21" t="s">
        <v>156</v>
      </c>
      <c r="BX1052" s="21" t="s">
        <v>156</v>
      </c>
      <c r="CG1052" s="21" t="s">
        <v>156</v>
      </c>
      <c r="CP1052" s="21" t="s">
        <v>156</v>
      </c>
      <c r="CY1052" s="21" t="s">
        <v>156</v>
      </c>
    </row>
    <row r="1053" spans="3:106" x14ac:dyDescent="0.25">
      <c r="D1053" s="22">
        <f>SUM(F8:F10)</f>
        <v>0.9</v>
      </c>
      <c r="E1053" s="22">
        <f>MAX(D1053:D1054)</f>
        <v>0.9</v>
      </c>
      <c r="M1053" s="22">
        <f>SUM(O8:O10)</f>
        <v>1</v>
      </c>
      <c r="N1053" s="22">
        <f>MAX(M1053:M1054)</f>
        <v>1</v>
      </c>
      <c r="V1053" s="22">
        <f>SUM(X8:X10)</f>
        <v>0.8</v>
      </c>
      <c r="W1053" s="22">
        <f>MAX(V1053:V1054)</f>
        <v>0.8</v>
      </c>
      <c r="AE1053" s="22">
        <f>SUM(AG8:AG10)</f>
        <v>1</v>
      </c>
      <c r="AF1053" s="22">
        <f>MAX(AE1053:AE1054)</f>
        <v>1</v>
      </c>
      <c r="AN1053" s="22">
        <f>SUM(AP8:AP10)</f>
        <v>0.85</v>
      </c>
      <c r="AO1053" s="22">
        <f>MAX(AN1053:AN1054)</f>
        <v>0.85</v>
      </c>
      <c r="AW1053" s="22">
        <f>SUM(AY8:AY10)</f>
        <v>0.79999999999999993</v>
      </c>
      <c r="AX1053" s="22">
        <f>MAX(AW1053:AW1054)</f>
        <v>0.79999999999999993</v>
      </c>
      <c r="BF1053" s="22">
        <f>SUM(BH8:BH10)</f>
        <v>1</v>
      </c>
      <c r="BG1053" s="22">
        <f>MAX(BF1053:BF1054)</f>
        <v>1</v>
      </c>
      <c r="BO1053" s="22">
        <f>SUM(BQ8:BQ10)</f>
        <v>0.8</v>
      </c>
      <c r="BP1053" s="22">
        <f>MAX(BO1053:BO1054)</f>
        <v>0.8</v>
      </c>
      <c r="BX1053" s="22">
        <f>SUM(BZ8:BZ10)</f>
        <v>0.89999999999999991</v>
      </c>
      <c r="BY1053" s="22">
        <f>MAX(BX1053:BX1054)</f>
        <v>0.89999999999999991</v>
      </c>
      <c r="CG1053" s="22">
        <f>SUM(CI8:CI10)</f>
        <v>0.79999999999999993</v>
      </c>
      <c r="CH1053" s="22">
        <f>MAX(CG1053:CG1054)</f>
        <v>0.79999999999999993</v>
      </c>
      <c r="CP1053" s="22">
        <f>SUM(CR8:CR10)</f>
        <v>0.9</v>
      </c>
      <c r="CQ1053" s="22">
        <f>MAX(CP1053:CP1054)</f>
        <v>0.9</v>
      </c>
      <c r="CY1053" s="22">
        <f>SUM(DA8:DA10)</f>
        <v>0.75</v>
      </c>
      <c r="CZ1053" s="22">
        <f>MAX(CY1053:CY1054)</f>
        <v>0.75</v>
      </c>
    </row>
    <row r="1054" spans="3:106" x14ac:dyDescent="0.25">
      <c r="D1054" s="22">
        <f>SUM(F10:F12)</f>
        <v>0.25</v>
      </c>
      <c r="M1054" s="22">
        <f>SUM(O10:O12)</f>
        <v>0.15</v>
      </c>
      <c r="V1054" s="22">
        <f>SUM(X10:X12)</f>
        <v>0.2</v>
      </c>
      <c r="AE1054" s="22">
        <f>SUM(AG10:AG12)</f>
        <v>0.3</v>
      </c>
      <c r="AN1054" s="22">
        <f>SUM(AP10:AP12)</f>
        <v>0.25</v>
      </c>
      <c r="AW1054" s="22">
        <f>SUM(AY10:AY12)</f>
        <v>0.30000000000000004</v>
      </c>
      <c r="BF1054" s="22">
        <f>SUM(BH10:BH12)</f>
        <v>0.35</v>
      </c>
      <c r="BO1054" s="22">
        <f>SUM(BQ10:BQ12)</f>
        <v>0.25</v>
      </c>
      <c r="BX1054" s="22">
        <f>SUM(BZ10:BZ12)</f>
        <v>0.3</v>
      </c>
      <c r="CG1054" s="22">
        <f>SUM(CI10:CI12)</f>
        <v>0.3</v>
      </c>
      <c r="CP1054" s="22">
        <f>SUM(CR10:CR12)</f>
        <v>0.2</v>
      </c>
      <c r="CY1054" s="22">
        <f>SUM(DA10:DA12)</f>
        <v>0.30000000000000004</v>
      </c>
    </row>
    <row r="1056" spans="3:106" x14ac:dyDescent="0.25">
      <c r="D1056" s="21" t="s">
        <v>77</v>
      </c>
      <c r="E1056" s="22">
        <f>SUM(F8:F9)</f>
        <v>0.75</v>
      </c>
      <c r="M1056" s="21" t="s">
        <v>77</v>
      </c>
      <c r="N1056" s="22">
        <f>SUM(O8:O9)</f>
        <v>0.85</v>
      </c>
      <c r="V1056" s="21" t="s">
        <v>77</v>
      </c>
      <c r="W1056" s="22">
        <f>SUM(X8:X9)</f>
        <v>0.8</v>
      </c>
      <c r="AE1056" s="21" t="s">
        <v>77</v>
      </c>
      <c r="AF1056" s="22">
        <f>SUM(AG8:AG9)</f>
        <v>0.7</v>
      </c>
      <c r="AN1056" s="21" t="s">
        <v>77</v>
      </c>
      <c r="AO1056" s="22">
        <f>SUM(AP8:AP9)</f>
        <v>0.75</v>
      </c>
      <c r="AW1056" s="21" t="s">
        <v>77</v>
      </c>
      <c r="AX1056" s="22">
        <f>SUM(AY8:AY9)</f>
        <v>0.7</v>
      </c>
      <c r="BF1056" s="21" t="s">
        <v>77</v>
      </c>
      <c r="BG1056" s="22">
        <f>SUM(BH8:BH9)</f>
        <v>0.65</v>
      </c>
      <c r="BO1056" s="21" t="s">
        <v>77</v>
      </c>
      <c r="BP1056" s="22">
        <f>SUM(BQ8:BQ9)</f>
        <v>0.75</v>
      </c>
      <c r="BX1056" s="21" t="s">
        <v>77</v>
      </c>
      <c r="BY1056" s="22">
        <f>SUM(BZ8:BZ9)</f>
        <v>0.7</v>
      </c>
      <c r="CG1056" s="21" t="s">
        <v>77</v>
      </c>
      <c r="CH1056" s="22">
        <f>SUM(CI8:CI9)</f>
        <v>0.7</v>
      </c>
      <c r="CP1056" s="21" t="s">
        <v>77</v>
      </c>
      <c r="CQ1056" s="22">
        <f>SUM(CR8:CR9)</f>
        <v>0.8</v>
      </c>
      <c r="CY1056" s="21" t="s">
        <v>77</v>
      </c>
      <c r="CZ1056" s="22">
        <f>SUM(DA8:DA9)</f>
        <v>0.7</v>
      </c>
    </row>
    <row r="1057" spans="4:104" x14ac:dyDescent="0.25">
      <c r="D1057" s="21" t="s">
        <v>78</v>
      </c>
      <c r="E1057" s="22">
        <f>SUM(F10)</f>
        <v>0.15</v>
      </c>
      <c r="M1057" s="21" t="s">
        <v>78</v>
      </c>
      <c r="N1057" s="22">
        <f>SUM(O10)</f>
        <v>0.15</v>
      </c>
      <c r="V1057" s="21" t="s">
        <v>78</v>
      </c>
      <c r="W1057" s="22">
        <f>SUM(X10)</f>
        <v>0</v>
      </c>
      <c r="AE1057" s="21" t="s">
        <v>78</v>
      </c>
      <c r="AF1057" s="22">
        <f>SUM(AG10)</f>
        <v>0.3</v>
      </c>
      <c r="AN1057" s="21" t="s">
        <v>78</v>
      </c>
      <c r="AO1057" s="22">
        <f>SUM(AP10)</f>
        <v>0.1</v>
      </c>
      <c r="AW1057" s="21" t="s">
        <v>78</v>
      </c>
      <c r="AX1057" s="22">
        <f>SUM(AY10)</f>
        <v>0.1</v>
      </c>
      <c r="BF1057" s="21" t="s">
        <v>78</v>
      </c>
      <c r="BG1057" s="22">
        <f>SUM(BH10)</f>
        <v>0.35</v>
      </c>
      <c r="BO1057" s="21" t="s">
        <v>78</v>
      </c>
      <c r="BP1057" s="22">
        <f>SUM(BQ10)</f>
        <v>0.05</v>
      </c>
      <c r="BX1057" s="21" t="s">
        <v>78</v>
      </c>
      <c r="BY1057" s="22">
        <f>SUM(BZ10)</f>
        <v>0.2</v>
      </c>
      <c r="CG1057" s="21" t="s">
        <v>78</v>
      </c>
      <c r="CH1057" s="22">
        <f>SUM(CI10)</f>
        <v>0.1</v>
      </c>
      <c r="CP1057" s="21" t="s">
        <v>78</v>
      </c>
      <c r="CQ1057" s="22">
        <f>SUM(CR10)</f>
        <v>0.1</v>
      </c>
      <c r="CY1057" s="21" t="s">
        <v>78</v>
      </c>
      <c r="CZ1057" s="22">
        <f>SUM(DA10)</f>
        <v>0.05</v>
      </c>
    </row>
    <row r="1058" spans="4:104" x14ac:dyDescent="0.25">
      <c r="D1058" s="21" t="s">
        <v>79</v>
      </c>
      <c r="E1058" s="22">
        <f>SUM(F11:F12)</f>
        <v>0.1</v>
      </c>
      <c r="M1058" s="21" t="s">
        <v>79</v>
      </c>
      <c r="N1058" s="22">
        <f>SUM(O11:O12)</f>
        <v>0</v>
      </c>
      <c r="V1058" s="21" t="s">
        <v>79</v>
      </c>
      <c r="W1058" s="22">
        <f>SUM(X11:X12)</f>
        <v>0.2</v>
      </c>
      <c r="AE1058" s="21" t="s">
        <v>79</v>
      </c>
      <c r="AF1058" s="22">
        <f>SUM(AG11:AG12)</f>
        <v>0</v>
      </c>
      <c r="AN1058" s="21" t="s">
        <v>79</v>
      </c>
      <c r="AO1058" s="22">
        <f>SUM(AP11:AP12)</f>
        <v>0.15000000000000002</v>
      </c>
      <c r="AW1058" s="21" t="s">
        <v>79</v>
      </c>
      <c r="AX1058" s="22">
        <f>SUM(AY11:AY12)</f>
        <v>0.2</v>
      </c>
      <c r="BF1058" s="21" t="s">
        <v>79</v>
      </c>
      <c r="BG1058" s="22">
        <f>SUM(BH11:BH12)</f>
        <v>0</v>
      </c>
      <c r="BO1058" s="21" t="s">
        <v>79</v>
      </c>
      <c r="BP1058" s="22">
        <f>SUM(BQ11:BQ12)</f>
        <v>0.2</v>
      </c>
      <c r="BX1058" s="21" t="s">
        <v>79</v>
      </c>
      <c r="BY1058" s="22">
        <f>SUM(BZ11:BZ12)</f>
        <v>0.1</v>
      </c>
      <c r="CG1058" s="21" t="s">
        <v>79</v>
      </c>
      <c r="CH1058" s="22">
        <f>SUM(CI11:CI12)</f>
        <v>0.2</v>
      </c>
      <c r="CP1058" s="21" t="s">
        <v>79</v>
      </c>
      <c r="CQ1058" s="22">
        <f>SUM(CR11:CR12)</f>
        <v>0.1</v>
      </c>
      <c r="CY1058" s="21" t="s">
        <v>79</v>
      </c>
      <c r="CZ1058" s="22">
        <f>SUM(DA11:DA12)</f>
        <v>0.25</v>
      </c>
    </row>
    <row r="1060" spans="4:104" x14ac:dyDescent="0.25">
      <c r="E1060" s="21" t="str">
        <f>IF(E1056&gt;=51%,D1056,IF(E1057&gt;=51%,D1057,IF(E1058&gt;=51%,D1058,IF(SUM(E1056:E1057)&gt;SUM(E1057:E1058),D1056,IF(SUM(E1056:E1057)&lt;SUM(E1057:E1058),D1058,"Algo esta Mal")))))</f>
        <v>Inadecuado</v>
      </c>
      <c r="N1060" s="21" t="str">
        <f>IF(N1056&gt;=51%,M1056,IF(N1057&gt;=51%,M1057,IF(N1058&gt;=51%,M1058,IF(SUM(N1056:N1057)&gt;SUM(N1057:N1058),M1056,IF(SUM(N1056:N1057)&lt;SUM(N1057:N1058),M1058,"Algo esta Mal")))))</f>
        <v>Inadecuado</v>
      </c>
      <c r="W1060" s="21" t="str">
        <f>IF(W1056&gt;=51%,V1056,IF(W1057&gt;=51%,V1057,IF(W1058&gt;=51%,V1058,IF(SUM(W1056:W1057)&gt;SUM(W1057:W1058),V1056,IF(SUM(W1056:W1057)&lt;SUM(W1057:W1058),V1058,"Algo esta Mal")))))</f>
        <v>Inadecuado</v>
      </c>
      <c r="AF1060" s="21" t="str">
        <f>IF(AF1056&gt;=51%,AE1056,IF(AF1057&gt;=51%,AE1057,IF(AF1058&gt;=51%,AE1058,IF(SUM(AF1056:AF1057)&gt;SUM(AF1057:AF1058),AE1056,IF(SUM(AF1056:AF1057)&lt;SUM(AF1057:AF1058),AE1058,"Algo esta Mal")))))</f>
        <v>Inadecuado</v>
      </c>
      <c r="AO1060" s="21" t="str">
        <f>IF(AO1056&gt;=51%,AN1056,IF(AO1057&gt;=51%,AN1057,IF(AO1058&gt;=51%,AN1058,IF(SUM(AO1056:AO1057)&gt;SUM(AO1057:AO1058),AN1056,IF(SUM(AO1056:AO1057)&lt;SUM(AO1057:AO1058),AN1058,"Algo esta Mal")))))</f>
        <v>Inadecuado</v>
      </c>
      <c r="AX1060" s="21" t="str">
        <f>IF(AX1056&gt;=51%,AW1056,IF(AX1057&gt;=51%,AW1057,IF(AX1058&gt;=51%,AW1058,IF(SUM(AX1056:AX1057)&gt;SUM(AX1057:AX1058),AW1056,IF(SUM(AX1056:AX1057)&lt;SUM(AX1057:AX1058),AW1058,"Algo esta Mal")))))</f>
        <v>Inadecuado</v>
      </c>
      <c r="BG1060" s="21" t="str">
        <f>IF(BG1056&gt;=51%,BF1056,IF(BG1057&gt;=51%,BF1057,IF(BG1058&gt;=51%,BF1058,IF(SUM(BG1056:BG1057)&gt;SUM(BG1057:BG1058),BF1056,IF(SUM(BG1056:BG1057)&lt;SUM(BG1057:BG1058),BF1058,"Algo esta Mal")))))</f>
        <v>Inadecuado</v>
      </c>
      <c r="BP1060" s="21" t="str">
        <f>IF(BP1056&gt;=51%,BO1056,IF(BP1057&gt;=51%,BO1057,IF(BP1058&gt;=51%,BO1058,IF(SUM(BP1056:BP1057)&gt;SUM(BP1057:BP1058),BO1056,IF(SUM(BP1056:BP1057)&lt;SUM(BP1057:BP1058),BO1058,"Algo esta Mal")))))</f>
        <v>Inadecuado</v>
      </c>
      <c r="BY1060" s="21" t="str">
        <f>IF(BY1056&gt;=51%,BX1056,IF(BY1057&gt;=51%,BX1057,IF(BY1058&gt;=51%,BX1058,IF(SUM(BY1056:BY1057)&gt;SUM(BY1057:BY1058),BX1056,IF(SUM(BY1056:BY1057)&lt;SUM(BY1057:BY1058),BX1058,"Algo esta Mal")))))</f>
        <v>Inadecuado</v>
      </c>
      <c r="CH1060" s="21" t="str">
        <f>IF(CH1056&gt;=51%,CG1056,IF(CH1057&gt;=51%,CG1057,IF(CH1058&gt;=51%,CG1058,IF(SUM(CH1056:CH1057)&gt;SUM(CH1057:CH1058),CG1056,IF(SUM(CH1056:CH1057)&lt;SUM(CH1057:CH1058),CG1058,"Algo esta Mal")))))</f>
        <v>Inadecuado</v>
      </c>
      <c r="CQ1060" s="21" t="str">
        <f>IF(CQ1056&gt;=51%,CP1056,IF(CQ1057&gt;=51%,CP1057,IF(CQ1058&gt;=51%,CP1058,IF(SUM(CQ1056:CQ1057)&gt;SUM(CQ1057:CQ1058),CP1056,IF(SUM(CQ1056:CQ1057)&lt;SUM(CQ1057:CQ1058),CP1058,"Algo esta Mal")))))</f>
        <v>Inadecuado</v>
      </c>
      <c r="CZ1060" s="21" t="str">
        <f>IF(CZ1056&gt;=51%,CY1056,IF(CZ1057&gt;=51%,CY1057,IF(CZ1058&gt;=51%,CY1058,IF(SUM(CZ1056:CZ1057)&gt;SUM(CZ1057:CZ1058),CY1056,IF(SUM(CZ1056:CZ1057)&lt;SUM(CZ1057:CZ1058),CY1058,"Algo esta Mal")))))</f>
        <v>Inadecuado</v>
      </c>
    </row>
    <row r="1062" spans="4:104" x14ac:dyDescent="0.25">
      <c r="E1062" s="21" t="s">
        <v>92</v>
      </c>
      <c r="N1062" s="21"/>
      <c r="W1062" s="21"/>
      <c r="AF1062" s="21"/>
      <c r="AO1062" s="21"/>
      <c r="AX1062" s="21"/>
      <c r="BG1062" s="21"/>
      <c r="BP1062" s="21"/>
      <c r="BY1062" s="21"/>
      <c r="CH1062" s="21"/>
      <c r="CQ1062" s="21"/>
      <c r="CZ1062" s="21"/>
    </row>
    <row r="2008" spans="4:105" x14ac:dyDescent="0.25">
      <c r="D2008" s="17">
        <f>('Clima institucional'!A1020)</f>
        <v>1</v>
      </c>
      <c r="E2008" s="8">
        <f>('Clima institucional'!B1020)</f>
        <v>0</v>
      </c>
      <c r="F2008" s="19">
        <f>('Clima institucional'!B1026)</f>
        <v>0</v>
      </c>
      <c r="M2008" s="17">
        <f>('Clima institucional'!A1020)</f>
        <v>1</v>
      </c>
      <c r="N2008" s="8">
        <f>('Clima institucional'!C1020)</f>
        <v>0</v>
      </c>
      <c r="O2008" s="19">
        <f>('Clima institucional'!C1026)</f>
        <v>0</v>
      </c>
      <c r="V2008" s="17">
        <f>('Clima institucional'!A1020)</f>
        <v>1</v>
      </c>
      <c r="W2008" s="8">
        <f>('Clima institucional'!D1020)</f>
        <v>0</v>
      </c>
      <c r="X2008" s="19">
        <f>('Clima institucional'!D1026)</f>
        <v>0</v>
      </c>
      <c r="AE2008" s="17">
        <f>('Clima institucional'!A1020)</f>
        <v>1</v>
      </c>
      <c r="AF2008" s="8">
        <f>('Clima institucional'!E1020)</f>
        <v>0</v>
      </c>
      <c r="AG2008" s="19">
        <f>('Clima institucional'!E1026)</f>
        <v>0</v>
      </c>
      <c r="AN2008" s="17">
        <f>('Clima institucional'!A1020)</f>
        <v>1</v>
      </c>
      <c r="AO2008" s="8">
        <f>('Clima institucional'!F1020)</f>
        <v>0</v>
      </c>
      <c r="AP2008" s="19">
        <f>('Clima institucional'!F1026)</f>
        <v>0</v>
      </c>
      <c r="AW2008" s="17">
        <f>('Clima institucional'!A1020)</f>
        <v>1</v>
      </c>
      <c r="AX2008" s="8">
        <f>('Clima institucional'!G1020)</f>
        <v>0</v>
      </c>
      <c r="AY2008" s="19">
        <f>('Clima institucional'!G1026)</f>
        <v>0</v>
      </c>
      <c r="BF2008" s="17">
        <f>('Clima institucional'!A1020)</f>
        <v>1</v>
      </c>
      <c r="BG2008" s="8">
        <f>('Clima institucional'!H1020)</f>
        <v>0</v>
      </c>
      <c r="BH2008" s="19">
        <f>('Clima institucional'!H1026)</f>
        <v>0</v>
      </c>
      <c r="BO2008" s="17">
        <f>('Clima institucional'!A1020)</f>
        <v>1</v>
      </c>
      <c r="BP2008" s="8">
        <f>('Clima institucional'!I1020)</f>
        <v>0</v>
      </c>
      <c r="BQ2008" s="19">
        <f>('Clima institucional'!I1026)</f>
        <v>0</v>
      </c>
      <c r="BX2008" s="17">
        <f>('Clima institucional'!A1020)</f>
        <v>1</v>
      </c>
      <c r="BY2008" s="8">
        <f>('Clima institucional'!J1020)</f>
        <v>0</v>
      </c>
      <c r="BZ2008" s="19">
        <f>('Clima institucional'!J1026)</f>
        <v>0</v>
      </c>
      <c r="CG2008" s="17">
        <f>('Clima institucional'!A1020)</f>
        <v>1</v>
      </c>
      <c r="CH2008" s="8">
        <f>('Clima institucional'!K1020)</f>
        <v>0</v>
      </c>
      <c r="CI2008" s="19">
        <f>('Clima institucional'!K1026)</f>
        <v>0</v>
      </c>
      <c r="CP2008" s="17">
        <f>('Clima institucional'!A1020)</f>
        <v>1</v>
      </c>
      <c r="CQ2008" s="8">
        <f>('Clima institucional'!L1020)</f>
        <v>0</v>
      </c>
      <c r="CR2008" s="19">
        <f>('Clima institucional'!L1026)</f>
        <v>0</v>
      </c>
      <c r="CY2008" s="17">
        <f>('Clima institucional'!A1020)</f>
        <v>1</v>
      </c>
      <c r="CZ2008" s="8">
        <f>('Clima institucional'!M1020)</f>
        <v>0</v>
      </c>
      <c r="DA2008" s="19">
        <f>('Clima institucional'!M1026)</f>
        <v>0</v>
      </c>
    </row>
    <row r="2009" spans="4:105" x14ac:dyDescent="0.25">
      <c r="D2009" s="17">
        <f>('Clima institucional'!A1021)</f>
        <v>2</v>
      </c>
      <c r="E2009" s="8">
        <f>('Clima institucional'!B1021)</f>
        <v>0</v>
      </c>
      <c r="F2009" s="19">
        <f>('Clima institucional'!B1027)</f>
        <v>0</v>
      </c>
      <c r="M2009" s="17">
        <f>('Clima institucional'!A1021)</f>
        <v>2</v>
      </c>
      <c r="N2009" s="8">
        <f>('Clima institucional'!C1021)</f>
        <v>0</v>
      </c>
      <c r="O2009" s="19">
        <f>('Clima institucional'!C1027)</f>
        <v>0</v>
      </c>
      <c r="V2009" s="17">
        <f>('Clima institucional'!A1021)</f>
        <v>2</v>
      </c>
      <c r="W2009" s="8">
        <f>('Clima institucional'!D1021)</f>
        <v>0</v>
      </c>
      <c r="X2009" s="19">
        <f>('Clima institucional'!D1027)</f>
        <v>0</v>
      </c>
      <c r="AE2009" s="17">
        <f>('Clima institucional'!A1021)</f>
        <v>2</v>
      </c>
      <c r="AF2009" s="8">
        <f>('Clima institucional'!E1021)</f>
        <v>0</v>
      </c>
      <c r="AG2009" s="19">
        <f>('Clima institucional'!E1027)</f>
        <v>0</v>
      </c>
      <c r="AN2009" s="17">
        <f>('Clima institucional'!A1021)</f>
        <v>2</v>
      </c>
      <c r="AO2009" s="8">
        <f>('Clima institucional'!F1021)</f>
        <v>0</v>
      </c>
      <c r="AP2009" s="19">
        <f>('Clima institucional'!F1027)</f>
        <v>0</v>
      </c>
      <c r="AW2009" s="17">
        <f>('Clima institucional'!A1021)</f>
        <v>2</v>
      </c>
      <c r="AX2009" s="8">
        <f>('Clima institucional'!G1021)</f>
        <v>0</v>
      </c>
      <c r="AY2009" s="19">
        <f>('Clima institucional'!G1027)</f>
        <v>0</v>
      </c>
      <c r="BF2009" s="17">
        <f>('Clima institucional'!A1021)</f>
        <v>2</v>
      </c>
      <c r="BG2009" s="8">
        <f>('Clima institucional'!H1021)</f>
        <v>0</v>
      </c>
      <c r="BH2009" s="19">
        <f>('Clima institucional'!H1027)</f>
        <v>0</v>
      </c>
      <c r="BO2009" s="17">
        <f>('Clima institucional'!A1021)</f>
        <v>2</v>
      </c>
      <c r="BP2009" s="8">
        <f>('Clima institucional'!I1021)</f>
        <v>0</v>
      </c>
      <c r="BQ2009" s="19">
        <f>('Clima institucional'!I1027)</f>
        <v>0</v>
      </c>
      <c r="BX2009" s="17">
        <f>('Clima institucional'!A1021)</f>
        <v>2</v>
      </c>
      <c r="BY2009" s="8">
        <f>('Clima institucional'!J1021)</f>
        <v>0</v>
      </c>
      <c r="BZ2009" s="19">
        <f>('Clima institucional'!J1027)</f>
        <v>0</v>
      </c>
      <c r="CG2009" s="17">
        <f>('Clima institucional'!A1021)</f>
        <v>2</v>
      </c>
      <c r="CH2009" s="8">
        <f>('Clima institucional'!K1021)</f>
        <v>0</v>
      </c>
      <c r="CI2009" s="19">
        <f>('Clima institucional'!K1027)</f>
        <v>0</v>
      </c>
      <c r="CP2009" s="17">
        <f>('Clima institucional'!A1021)</f>
        <v>2</v>
      </c>
      <c r="CQ2009" s="8">
        <f>('Clima institucional'!L1021)</f>
        <v>0</v>
      </c>
      <c r="CR2009" s="19">
        <f>('Clima institucional'!L1027)</f>
        <v>0</v>
      </c>
      <c r="CY2009" s="17">
        <f>('Clima institucional'!A1021)</f>
        <v>2</v>
      </c>
      <c r="CZ2009" s="8">
        <f>('Clima institucional'!M1021)</f>
        <v>0</v>
      </c>
      <c r="DA2009" s="19">
        <f>('Clima institucional'!M1027)</f>
        <v>0</v>
      </c>
    </row>
    <row r="2010" spans="4:105" x14ac:dyDescent="0.25">
      <c r="D2010" s="17">
        <f>('Clima institucional'!A1022)</f>
        <v>3</v>
      </c>
      <c r="E2010" s="8">
        <f>('Clima institucional'!B1022)</f>
        <v>0</v>
      </c>
      <c r="F2010" s="19">
        <f>('Clima institucional'!B1028)</f>
        <v>0</v>
      </c>
      <c r="M2010" s="17">
        <f>('Clima institucional'!A1022)</f>
        <v>3</v>
      </c>
      <c r="N2010" s="8">
        <f>('Clima institucional'!C1022)</f>
        <v>0</v>
      </c>
      <c r="O2010" s="19">
        <f>('Clima institucional'!C1028)</f>
        <v>0</v>
      </c>
      <c r="V2010" s="17">
        <f>('Clima institucional'!A1022)</f>
        <v>3</v>
      </c>
      <c r="W2010" s="8">
        <f>('Clima institucional'!D1022)</f>
        <v>0</v>
      </c>
      <c r="X2010" s="19">
        <f>('Clima institucional'!D1028)</f>
        <v>0</v>
      </c>
      <c r="AE2010" s="17">
        <f>('Clima institucional'!A1022)</f>
        <v>3</v>
      </c>
      <c r="AF2010" s="8">
        <f>('Clima institucional'!E1022)</f>
        <v>0</v>
      </c>
      <c r="AG2010" s="19">
        <f>('Clima institucional'!E1028)</f>
        <v>0</v>
      </c>
      <c r="AN2010" s="17">
        <f>('Clima institucional'!A1022)</f>
        <v>3</v>
      </c>
      <c r="AO2010" s="8">
        <f>('Clima institucional'!F1022)</f>
        <v>0</v>
      </c>
      <c r="AP2010" s="19">
        <f>('Clima institucional'!F1028)</f>
        <v>0</v>
      </c>
      <c r="AW2010" s="17">
        <f>('Clima institucional'!A1022)</f>
        <v>3</v>
      </c>
      <c r="AX2010" s="8">
        <f>('Clima institucional'!G1022)</f>
        <v>0</v>
      </c>
      <c r="AY2010" s="19">
        <f>('Clima institucional'!G1028)</f>
        <v>0</v>
      </c>
      <c r="BF2010" s="17">
        <f>('Clima institucional'!A1022)</f>
        <v>3</v>
      </c>
      <c r="BG2010" s="8">
        <f>('Clima institucional'!H1022)</f>
        <v>0</v>
      </c>
      <c r="BH2010" s="19">
        <f>('Clima institucional'!H1028)</f>
        <v>0</v>
      </c>
      <c r="BO2010" s="17">
        <f>('Clima institucional'!A1022)</f>
        <v>3</v>
      </c>
      <c r="BP2010" s="8">
        <f>('Clima institucional'!I1022)</f>
        <v>0</v>
      </c>
      <c r="BQ2010" s="19">
        <f>('Clima institucional'!I1028)</f>
        <v>0</v>
      </c>
      <c r="BX2010" s="17">
        <f>('Clima institucional'!A1022)</f>
        <v>3</v>
      </c>
      <c r="BY2010" s="8">
        <f>('Clima institucional'!J1022)</f>
        <v>0</v>
      </c>
      <c r="BZ2010" s="19">
        <f>('Clima institucional'!J1028)</f>
        <v>0</v>
      </c>
      <c r="CG2010" s="17">
        <f>('Clima institucional'!A1022)</f>
        <v>3</v>
      </c>
      <c r="CH2010" s="8">
        <f>('Clima institucional'!K1022)</f>
        <v>0</v>
      </c>
      <c r="CI2010" s="19">
        <f>('Clima institucional'!K1028)</f>
        <v>0</v>
      </c>
      <c r="CP2010" s="17">
        <f>('Clima institucional'!A1022)</f>
        <v>3</v>
      </c>
      <c r="CQ2010" s="8">
        <f>('Clima institucional'!L1022)</f>
        <v>0</v>
      </c>
      <c r="CR2010" s="19">
        <f>('Clima institucional'!L1028)</f>
        <v>0</v>
      </c>
      <c r="CY2010" s="17">
        <f>('Clima institucional'!A1022)</f>
        <v>3</v>
      </c>
      <c r="CZ2010" s="8">
        <f>('Clima institucional'!M1022)</f>
        <v>0</v>
      </c>
      <c r="DA2010" s="19">
        <f>('Clima institucional'!M1028)</f>
        <v>0</v>
      </c>
    </row>
    <row r="2011" spans="4:105" x14ac:dyDescent="0.25">
      <c r="D2011" s="17">
        <f>('Clima institucional'!A1023)</f>
        <v>4</v>
      </c>
      <c r="E2011" s="8">
        <f>('Clima institucional'!B1023)</f>
        <v>0</v>
      </c>
      <c r="F2011" s="19">
        <f>('Clima institucional'!B1029)</f>
        <v>0</v>
      </c>
      <c r="M2011" s="17">
        <f>('Clima institucional'!A1023)</f>
        <v>4</v>
      </c>
      <c r="N2011" s="8">
        <f>('Clima institucional'!C1023)</f>
        <v>0</v>
      </c>
      <c r="O2011" s="19">
        <f>('Clima institucional'!C1029)</f>
        <v>0</v>
      </c>
      <c r="V2011" s="17">
        <f>('Clima institucional'!A1023)</f>
        <v>4</v>
      </c>
      <c r="W2011" s="8">
        <f>('Clima institucional'!D1023)</f>
        <v>0</v>
      </c>
      <c r="X2011" s="19">
        <f>('Clima institucional'!D1029)</f>
        <v>0</v>
      </c>
      <c r="AE2011" s="17">
        <f>('Clima institucional'!A1023)</f>
        <v>4</v>
      </c>
      <c r="AF2011" s="8">
        <f>('Clima institucional'!E1023)</f>
        <v>0</v>
      </c>
      <c r="AG2011" s="19">
        <f>('Clima institucional'!E1029)</f>
        <v>0</v>
      </c>
      <c r="AN2011" s="17">
        <f>('Clima institucional'!A1023)</f>
        <v>4</v>
      </c>
      <c r="AO2011" s="8">
        <f>('Clima institucional'!F1023)</f>
        <v>0</v>
      </c>
      <c r="AP2011" s="19">
        <f>('Clima institucional'!F1029)</f>
        <v>0</v>
      </c>
      <c r="AW2011" s="17">
        <f>('Clima institucional'!A1023)</f>
        <v>4</v>
      </c>
      <c r="AX2011" s="8">
        <f>('Clima institucional'!G1023)</f>
        <v>0</v>
      </c>
      <c r="AY2011" s="19">
        <f>('Clima institucional'!G1029)</f>
        <v>0</v>
      </c>
      <c r="BF2011" s="17">
        <f>('Clima institucional'!A1023)</f>
        <v>4</v>
      </c>
      <c r="BG2011" s="8">
        <f>('Clima institucional'!H1023)</f>
        <v>0</v>
      </c>
      <c r="BH2011" s="19">
        <f>('Clima institucional'!H1029)</f>
        <v>0</v>
      </c>
      <c r="BO2011" s="17">
        <f>('Clima institucional'!A1023)</f>
        <v>4</v>
      </c>
      <c r="BP2011" s="8">
        <f>('Clima institucional'!I1023)</f>
        <v>0</v>
      </c>
      <c r="BQ2011" s="19">
        <f>('Clima institucional'!I1029)</f>
        <v>0</v>
      </c>
      <c r="BX2011" s="17">
        <f>('Clima institucional'!A1023)</f>
        <v>4</v>
      </c>
      <c r="BY2011" s="8">
        <f>('Clima institucional'!J1023)</f>
        <v>0</v>
      </c>
      <c r="BZ2011" s="19">
        <f>('Clima institucional'!J1029)</f>
        <v>0</v>
      </c>
      <c r="CG2011" s="17">
        <f>('Clima institucional'!A1023)</f>
        <v>4</v>
      </c>
      <c r="CH2011" s="8">
        <f>('Clima institucional'!K1023)</f>
        <v>0</v>
      </c>
      <c r="CI2011" s="19">
        <f>('Clima institucional'!K1029)</f>
        <v>0</v>
      </c>
      <c r="CP2011" s="17">
        <f>('Clima institucional'!A1023)</f>
        <v>4</v>
      </c>
      <c r="CQ2011" s="8">
        <f>('Clima institucional'!L1023)</f>
        <v>0</v>
      </c>
      <c r="CR2011" s="19">
        <f>('Clima institucional'!L1029)</f>
        <v>0</v>
      </c>
      <c r="CY2011" s="17">
        <f>('Clima institucional'!A1023)</f>
        <v>4</v>
      </c>
      <c r="CZ2011" s="8">
        <f>('Clima institucional'!M1023)</f>
        <v>0</v>
      </c>
      <c r="DA2011" s="19">
        <f>('Clima institucional'!M1029)</f>
        <v>0</v>
      </c>
    </row>
    <row r="2012" spans="4:105" x14ac:dyDescent="0.25">
      <c r="D2012" s="17">
        <f>('Clima institucional'!A1024)</f>
        <v>5</v>
      </c>
      <c r="E2012" s="8">
        <f>('Clima institucional'!B1024)</f>
        <v>0</v>
      </c>
      <c r="F2012" s="19">
        <f>('Clima institucional'!B1030)</f>
        <v>0</v>
      </c>
      <c r="M2012" s="17">
        <f>('Clima institucional'!A1024)</f>
        <v>5</v>
      </c>
      <c r="N2012" s="8">
        <f>('Clima institucional'!C1024)</f>
        <v>0</v>
      </c>
      <c r="O2012" s="19">
        <f>('Clima institucional'!C1030)</f>
        <v>0</v>
      </c>
      <c r="V2012" s="17">
        <f>('Clima institucional'!A1024)</f>
        <v>5</v>
      </c>
      <c r="W2012" s="8">
        <f>('Clima institucional'!D1024)</f>
        <v>0</v>
      </c>
      <c r="X2012" s="19">
        <f>('Clima institucional'!D1030)</f>
        <v>0</v>
      </c>
      <c r="AE2012" s="17">
        <f>('Clima institucional'!A1024)</f>
        <v>5</v>
      </c>
      <c r="AF2012" s="8">
        <f>('Clima institucional'!E1024)</f>
        <v>0</v>
      </c>
      <c r="AG2012" s="19">
        <f>('Clima institucional'!E1030)</f>
        <v>0</v>
      </c>
      <c r="AN2012" s="17">
        <f>('Clima institucional'!A1024)</f>
        <v>5</v>
      </c>
      <c r="AO2012" s="8">
        <f>('Clima institucional'!F1024)</f>
        <v>0</v>
      </c>
      <c r="AP2012" s="19">
        <f>('Clima institucional'!F1030)</f>
        <v>0</v>
      </c>
      <c r="AW2012" s="17">
        <f>('Clima institucional'!A1024)</f>
        <v>5</v>
      </c>
      <c r="AX2012" s="8">
        <f>('Clima institucional'!G1024)</f>
        <v>0</v>
      </c>
      <c r="AY2012" s="19">
        <f>('Clima institucional'!G1030)</f>
        <v>0</v>
      </c>
      <c r="BF2012" s="17">
        <f>('Clima institucional'!A1024)</f>
        <v>5</v>
      </c>
      <c r="BG2012" s="8">
        <f>('Clima institucional'!H1024)</f>
        <v>0</v>
      </c>
      <c r="BH2012" s="19">
        <f>('Clima institucional'!H1030)</f>
        <v>0</v>
      </c>
      <c r="BO2012" s="17">
        <f>('Clima institucional'!A1024)</f>
        <v>5</v>
      </c>
      <c r="BP2012" s="8">
        <f>('Clima institucional'!I1024)</f>
        <v>0</v>
      </c>
      <c r="BQ2012" s="19">
        <f>('Clima institucional'!I1030)</f>
        <v>0</v>
      </c>
      <c r="BX2012" s="17">
        <f>('Clima institucional'!A1024)</f>
        <v>5</v>
      </c>
      <c r="BY2012" s="8">
        <f>('Clima institucional'!J1024)</f>
        <v>0</v>
      </c>
      <c r="BZ2012" s="19">
        <f>('Clima institucional'!J1030)</f>
        <v>0</v>
      </c>
      <c r="CG2012" s="17">
        <f>('Clima institucional'!A1024)</f>
        <v>5</v>
      </c>
      <c r="CH2012" s="8">
        <f>('Clima institucional'!K1024)</f>
        <v>0</v>
      </c>
      <c r="CI2012" s="19">
        <f>('Clima institucional'!K1030)</f>
        <v>0</v>
      </c>
      <c r="CP2012" s="17">
        <f>('Clima institucional'!A1024)</f>
        <v>5</v>
      </c>
      <c r="CQ2012" s="8">
        <f>('Clima institucional'!L1024)</f>
        <v>0</v>
      </c>
      <c r="CR2012" s="19">
        <f>('Clima institucional'!L1030)</f>
        <v>0</v>
      </c>
      <c r="CY2012" s="17">
        <f>('Clima institucional'!A1024)</f>
        <v>5</v>
      </c>
      <c r="CZ2012" s="8">
        <f>('Clima institucional'!M1024)</f>
        <v>0</v>
      </c>
      <c r="DA2012" s="19">
        <f>('Clima institucional'!M1030)</f>
        <v>0</v>
      </c>
    </row>
    <row r="2013" spans="4:105" x14ac:dyDescent="0.25">
      <c r="D2013" s="17">
        <f>('Clima institucional'!A1025)</f>
        <v>0</v>
      </c>
      <c r="E2013" s="8">
        <f>('Clima institucional'!B1025)</f>
        <v>0</v>
      </c>
      <c r="F2013" s="19">
        <f>('Clima institucional'!B1031)</f>
        <v>0</v>
      </c>
      <c r="M2013" s="17">
        <f>('Clima institucional'!A1025)</f>
        <v>0</v>
      </c>
      <c r="N2013" s="8">
        <f>('Clima institucional'!C1025)</f>
        <v>0</v>
      </c>
      <c r="O2013" s="19">
        <f>('Clima institucional'!C1031)</f>
        <v>0</v>
      </c>
      <c r="V2013" s="17">
        <f>('Clima institucional'!A1025)</f>
        <v>0</v>
      </c>
      <c r="W2013" s="8">
        <f>('Clima institucional'!D1025)</f>
        <v>0</v>
      </c>
      <c r="X2013" s="19">
        <f>('Clima institucional'!D1031)</f>
        <v>0</v>
      </c>
      <c r="AE2013" s="17">
        <f>('Clima institucional'!A1025)</f>
        <v>0</v>
      </c>
      <c r="AF2013" s="8">
        <f>('Clima institucional'!E1025)</f>
        <v>0</v>
      </c>
      <c r="AG2013" s="19">
        <f>('Clima institucional'!E1031)</f>
        <v>0</v>
      </c>
      <c r="AN2013" s="17">
        <f>('Clima institucional'!A1025)</f>
        <v>0</v>
      </c>
      <c r="AO2013" s="8">
        <f>('Clima institucional'!F1025)</f>
        <v>0</v>
      </c>
      <c r="AP2013" s="19">
        <f>('Clima institucional'!F1031)</f>
        <v>0</v>
      </c>
      <c r="AW2013" s="17">
        <f>('Clima institucional'!A1025)</f>
        <v>0</v>
      </c>
      <c r="AX2013" s="8">
        <f>('Clima institucional'!G1025)</f>
        <v>0</v>
      </c>
      <c r="AY2013" s="19">
        <f>('Clima institucional'!G1031)</f>
        <v>0</v>
      </c>
      <c r="BF2013" s="17">
        <f>('Clima institucional'!A1025)</f>
        <v>0</v>
      </c>
      <c r="BG2013" s="8">
        <f>('Clima institucional'!H1025)</f>
        <v>0</v>
      </c>
      <c r="BH2013" s="19">
        <f>('Clima institucional'!H1031)</f>
        <v>0</v>
      </c>
      <c r="BO2013" s="17">
        <f>('Clima institucional'!A1025)</f>
        <v>0</v>
      </c>
      <c r="BP2013" s="8">
        <f>('Clima institucional'!I1025)</f>
        <v>0</v>
      </c>
      <c r="BQ2013" s="19">
        <f>('Clima institucional'!I1031)</f>
        <v>0</v>
      </c>
      <c r="BX2013" s="17">
        <f>('Clima institucional'!A1025)</f>
        <v>0</v>
      </c>
      <c r="BY2013" s="8">
        <f>('Clima institucional'!J1025)</f>
        <v>0</v>
      </c>
      <c r="BZ2013" s="19">
        <f>('Clima institucional'!J1031)</f>
        <v>0</v>
      </c>
      <c r="CG2013" s="17">
        <f>('Clima institucional'!A1025)</f>
        <v>0</v>
      </c>
      <c r="CH2013" s="8">
        <f>('Clima institucional'!K1025)</f>
        <v>0</v>
      </c>
      <c r="CI2013" s="19">
        <f>('Clima institucional'!K1031)</f>
        <v>0</v>
      </c>
      <c r="CP2013" s="17">
        <f>('Clima institucional'!A1025)</f>
        <v>0</v>
      </c>
      <c r="CQ2013" s="8">
        <f>('Clima institucional'!L1025)</f>
        <v>0</v>
      </c>
      <c r="CR2013" s="19">
        <f>('Clima institucional'!L1031)</f>
        <v>0</v>
      </c>
      <c r="CY2013" s="17">
        <f>('Clima institucional'!A1025)</f>
        <v>0</v>
      </c>
      <c r="CZ2013" s="8">
        <f>('Clima institucional'!M1025)</f>
        <v>0</v>
      </c>
      <c r="DA2013" s="19">
        <f>('Clima institucional'!M1031)</f>
        <v>0</v>
      </c>
    </row>
    <row r="2046" spans="4:106" x14ac:dyDescent="0.25">
      <c r="D2046">
        <f>IF(E2046=F2008,D2008,IF(E2046=F2009,D2009,IF(E2046=F2010,D2010,IF(E2046=F2011,D2011,IF(E2046=F2012,D2012,"ALGO ESTA MAL")))))</f>
        <v>1</v>
      </c>
      <c r="E2046" s="22">
        <f>LARGE($F$2008:$F$2012,C1046)</f>
        <v>0</v>
      </c>
      <c r="F2046" s="22" t="str">
        <f>IF(E2046&gt;0.1%,E2046,"Algo Esta Mal")</f>
        <v>Algo Esta Mal</v>
      </c>
      <c r="G2046" s="21" t="str">
        <f>IF(F2046=E2046,D2046," ")</f>
        <v xml:space="preserve"> </v>
      </c>
      <c r="M2046">
        <f>IF(N2046=O2008,M2008,IF(N2046=O2009,M2009,IF(N2046=O2010,M2010,IF(N2046=O2011,M2011,IF(N2046=O2012,M2012,"ALGO ESTA MAL")))))</f>
        <v>1</v>
      </c>
      <c r="N2046" s="22">
        <f>LARGE($O$2008:$O$2012,L1046)</f>
        <v>0</v>
      </c>
      <c r="O2046" s="22" t="str">
        <f>IF(N2046&gt;0.1%,N2046,"Algo Esta Mal")</f>
        <v>Algo Esta Mal</v>
      </c>
      <c r="P2046" s="21" t="str">
        <f>IF(O2046=N2046,M2046," ")</f>
        <v xml:space="preserve"> </v>
      </c>
      <c r="V2046">
        <f>IF(W2046=X2008,V2008,IF(W2046=X2009,V2009,IF(W2046=X2010,V2010,IF(W2046=X2011,V2011,IF(W2046=X2012,V2012,"ALGO ESTA MAL")))))</f>
        <v>1</v>
      </c>
      <c r="W2046" s="22">
        <f>LARGE($X$2008:$X$2012,U1046)</f>
        <v>0</v>
      </c>
      <c r="X2046" s="22" t="str">
        <f>IF(W2046&gt;0.1%,W2046,"Algo Esta Mal")</f>
        <v>Algo Esta Mal</v>
      </c>
      <c r="Y2046" s="21" t="str">
        <f>IF(X2046=W2046,V2046," ")</f>
        <v xml:space="preserve"> </v>
      </c>
      <c r="AE2046">
        <f>IF(AF2046=AG2008,AE2008,IF(AF2046=AG2009,AE2009,IF(AF2046=AG2010,AE2010,IF(AF2046=AG2011,AE2011,IF(AF2046=AG2012,AE2012,"ALGO ESTA MAL")))))</f>
        <v>1</v>
      </c>
      <c r="AF2046" s="22">
        <f>LARGE($AG$2008:$AG$2012,AD1046)</f>
        <v>0</v>
      </c>
      <c r="AG2046" s="22" t="str">
        <f>IF(AF2046&gt;0.1%,AF2046,"Algo Esta Mal")</f>
        <v>Algo Esta Mal</v>
      </c>
      <c r="AH2046" s="21" t="str">
        <f>IF(AG2046=AF2046,AE2046," ")</f>
        <v xml:space="preserve"> </v>
      </c>
      <c r="AN2046">
        <f>IF(AO2046=AP2008,AN2008,IF(AO2046=AP2009,AN2009,IF(AO2046=AP2010,AN2010,IF(AO2046=AP2011,AN2011,IF(AO2046=AP2012,AN2012,"ALGO ESTA MAL")))))</f>
        <v>1</v>
      </c>
      <c r="AO2046" s="22">
        <f>LARGE($AP$2008:$AP$2012,AM1046)</f>
        <v>0</v>
      </c>
      <c r="AP2046" s="22" t="str">
        <f>IF(AO2046&gt;0.1%,AO2046,"Algo Esta Mal")</f>
        <v>Algo Esta Mal</v>
      </c>
      <c r="AQ2046" s="21" t="str">
        <f>IF(AP2046=AO2046,AN2046," ")</f>
        <v xml:space="preserve"> </v>
      </c>
      <c r="AW2046">
        <f>IF(AX2046=AY2008,AW2008,IF(AX2046=AY2009,AW2009,IF(AX2046=AY2010,AW2010,IF(AX2046=AY2011,AW2011,IF(AX2046=AY2012,AW2012,"ALGO ESTA MAL")))))</f>
        <v>1</v>
      </c>
      <c r="AX2046" s="22">
        <f>LARGE($AY$2008:$AY$2012,AV1046)</f>
        <v>0</v>
      </c>
      <c r="AY2046" s="22" t="str">
        <f>IF(AX2046&gt;0.1%,AX2046,"Algo Esta Mal")</f>
        <v>Algo Esta Mal</v>
      </c>
      <c r="AZ2046" s="21" t="str">
        <f>IF(AY2046=AX2046,AW2046," ")</f>
        <v xml:space="preserve"> </v>
      </c>
      <c r="BF2046">
        <f>IF(BG2046=BH2008,BF2008,IF(BG2046=BH2009,BF2009,IF(BG2046=BH2010,BF2010,IF(BG2046=BH2011,BF2011,IF(BG2046=BH2012,BF2012,"ALGO ESTA MAL")))))</f>
        <v>1</v>
      </c>
      <c r="BG2046" s="22">
        <f>LARGE($BH$2008:$BH$2012,BE1046)</f>
        <v>0</v>
      </c>
      <c r="BH2046" s="22" t="str">
        <f>IF(BG2046&gt;0.1%,BG2046,"Algo Esta Mal")</f>
        <v>Algo Esta Mal</v>
      </c>
      <c r="BI2046" s="21" t="str">
        <f>IF(BH2046=BG2046,BF2046," ")</f>
        <v xml:space="preserve"> </v>
      </c>
      <c r="BO2046">
        <f>IF(BP2046=BQ2008,BO2008,IF(BP2046=BQ2009,BO2009,IF(BP2046=BQ2010,BO2010,IF(BP2046=BQ2011,BO2011,IF(BP2046=BQ2012,BO2012,"ALGO ESTA MAL")))))</f>
        <v>1</v>
      </c>
      <c r="BP2046" s="22">
        <f>LARGE($BQ$2008:$BQ$2012,BN1046)</f>
        <v>0</v>
      </c>
      <c r="BQ2046" s="22" t="str">
        <f>IF(BP2046&gt;0.1%,BP2046,"Algo Esta Mal")</f>
        <v>Algo Esta Mal</v>
      </c>
      <c r="BR2046" s="21" t="str">
        <f>IF(BQ2046=BP2046,BO2046," ")</f>
        <v xml:space="preserve"> </v>
      </c>
      <c r="BX2046">
        <f>IF(BY2046=BZ2008,BX2008,IF(BY2046=BZ2009,BX2009,IF(BY2046=BZ2010,BX2010,IF(BY2046=BZ2011,BX2011,IF(BY2046=BZ2012,BX2012,"ALGO ESTA MAL")))))</f>
        <v>1</v>
      </c>
      <c r="BY2046" s="22">
        <f>LARGE($BZ$2008:$BZ$2012,BW1046)</f>
        <v>0</v>
      </c>
      <c r="BZ2046" s="22" t="str">
        <f>IF(BY2046&gt;0.1%,BY2046,"Algo Esta Mal")</f>
        <v>Algo Esta Mal</v>
      </c>
      <c r="CA2046" s="21" t="str">
        <f>IF(BZ2046=BY2046,BX2046," ")</f>
        <v xml:space="preserve"> </v>
      </c>
      <c r="CG2046">
        <f>IF(CH2046=CI2008,CG2008,IF(CH2046=CI2009,CG2009,IF(CH2046=CI2010,CG2010,IF(CH2046=CI2011,CG2011,IF(CH2046=CI2012,CG2012,"ALGO ESTA MAL")))))</f>
        <v>1</v>
      </c>
      <c r="CH2046" s="22">
        <f>LARGE($CI$2008:$CI$2012,CF1046)</f>
        <v>0</v>
      </c>
      <c r="CI2046" s="22" t="str">
        <f>IF(CH2046&gt;0.1%,CH2046,"Algo Esta Mal")</f>
        <v>Algo Esta Mal</v>
      </c>
      <c r="CJ2046" s="21" t="str">
        <f>IF(CI2046=CH2046,CG2046," ")</f>
        <v xml:space="preserve"> </v>
      </c>
      <c r="CP2046">
        <f>IF(CQ2046=CR2008,CP2008,IF(CQ2046=CR2009,CP2009,IF(CQ2046=CR2010,CP2010,IF(CQ2046=CR2011,CP2011,IF(CQ2046=CR2012,CP2012,"ALGO ESTA MAL")))))</f>
        <v>1</v>
      </c>
      <c r="CQ2046" s="22">
        <f>LARGE($CR$2008:$CR$2012,CO1046)</f>
        <v>0</v>
      </c>
      <c r="CR2046" s="22" t="str">
        <f>IF(CQ2046&gt;0.1%,CQ2046,"Algo Esta Mal")</f>
        <v>Algo Esta Mal</v>
      </c>
      <c r="CS2046" s="21" t="str">
        <f>IF(CR2046=CQ2046,CP2046," ")</f>
        <v xml:space="preserve"> </v>
      </c>
      <c r="CY2046">
        <f>IF(CZ2046=DA2008,CY2008,IF(CZ2046=DA2009,CY2009,IF(CZ2046=DA2010,CY2010,IF(CZ2046=DA2011,CY2011,IF(CZ2046=DA2012,CY2012,"ALGO ESTA MAL")))))</f>
        <v>1</v>
      </c>
      <c r="CZ2046" s="22">
        <f>LARGE($DA$2008:$DA$2012,CX1046)</f>
        <v>0</v>
      </c>
      <c r="DA2046" s="22" t="str">
        <f>IF(CZ2046&gt;0.1%,CZ2046,"Algo Esta Mal")</f>
        <v>Algo Esta Mal</v>
      </c>
      <c r="DB2046" s="21" t="str">
        <f>IF(DA2046=CZ2046,CY2046," ")</f>
        <v xml:space="preserve"> </v>
      </c>
    </row>
    <row r="2047" spans="4:106" x14ac:dyDescent="0.25">
      <c r="D2047">
        <f>IF(E2047=F2008,D2008,IF(E2047=F2009,D2009,IF(E2047=F2010,D2010,IF(E2047=F2011,D2011,IF(E2047=F2012,D2012,"ALGO ESTA MAL")))))</f>
        <v>1</v>
      </c>
      <c r="E2047" s="22">
        <f>LARGE($F$2008:$F$2012,C1047)</f>
        <v>0</v>
      </c>
      <c r="F2047" s="22" t="str">
        <f>IF(E2047&gt;0.1%,E2047,"Algo Esta Mal")</f>
        <v>Algo Esta Mal</v>
      </c>
      <c r="G2047" s="21" t="str">
        <f>IF(F2047=E2047,D2047," ")</f>
        <v xml:space="preserve"> </v>
      </c>
      <c r="M2047">
        <f>IF(N2047=O2008,M2008,IF(N2047=O2009,M2009,IF(N2047=O2010,M2010,IF(N2047=O2011,M2011,IF(N2047=O2012,M2012,"ALGO ESTA MAL")))))</f>
        <v>1</v>
      </c>
      <c r="N2047" s="22">
        <f>LARGE($O$2008:$O$2012,L1047)</f>
        <v>0</v>
      </c>
      <c r="O2047" s="22" t="str">
        <f>IF(N2047&gt;0.1%,N2047,"Algo Esta Mal")</f>
        <v>Algo Esta Mal</v>
      </c>
      <c r="P2047" s="21" t="str">
        <f>IF(O2047=N2047,M2047," ")</f>
        <v xml:space="preserve"> </v>
      </c>
      <c r="V2047">
        <f>IF(W2047=X2008,V2008,IF(W2047=X2009,V2009,IF(W2047=X2010,V2010,IF(W2047=X2011,V2011,IF(W2047=X2012,V2012,"ALGO ESTA MAL")))))</f>
        <v>1</v>
      </c>
      <c r="W2047" s="22">
        <f>LARGE($X$2008:$X$2012,U1047)</f>
        <v>0</v>
      </c>
      <c r="X2047" s="22" t="str">
        <f>IF(W2047&gt;0.1%,W2047,"Algo Esta Mal")</f>
        <v>Algo Esta Mal</v>
      </c>
      <c r="Y2047" s="21" t="str">
        <f>IF(X2047=W2047,V2047," ")</f>
        <v xml:space="preserve"> </v>
      </c>
      <c r="AE2047">
        <f>IF(AF2047=AG2008,AE2008,IF(AF2047=AG2009,AE2009,IF(AF2047=AG2010,AE2010,IF(AF2047=AG2011,AE2011,IF(AF2047=AG2012,AE2012,"ALGO ESTA MAL")))))</f>
        <v>1</v>
      </c>
      <c r="AF2047" s="22">
        <f>LARGE($AG$2008:$AG$2012,AD1047)</f>
        <v>0</v>
      </c>
      <c r="AG2047" s="22" t="str">
        <f>IF(AF2047&gt;0.1%,AF2047,"Algo Esta Mal")</f>
        <v>Algo Esta Mal</v>
      </c>
      <c r="AH2047" s="21" t="str">
        <f>IF(AG2047=AF2047,AE2047," ")</f>
        <v xml:space="preserve"> </v>
      </c>
      <c r="AN2047">
        <f>IF(AO2047=AP2008,AN2008,IF(AO2047=AP2009,AN2009,IF(AO2047=AP2010,AN2010,IF(AO2047=AP2011,AN2011,IF(AO2047=AP2012,AN2012,"ALGO ESTA MAL")))))</f>
        <v>1</v>
      </c>
      <c r="AO2047" s="22">
        <f>LARGE($AP$2008:$AP$2012,AM1047)</f>
        <v>0</v>
      </c>
      <c r="AP2047" s="22" t="str">
        <f>IF(AO2047&gt;0.1%,AO2047,"Algo Esta Mal")</f>
        <v>Algo Esta Mal</v>
      </c>
      <c r="AQ2047" s="21" t="str">
        <f>IF(AP2047=AO2047,AN2047," ")</f>
        <v xml:space="preserve"> </v>
      </c>
      <c r="AW2047">
        <f>IF(AX2047=AY2008,AW2008,IF(AX2047=AY2009,AW2009,IF(AX2047=AY2010,AW2010,IF(AX2047=AY2011,AW2011,IF(AX2047=AY2012,AW2012,"ALGO ESTA MAL")))))</f>
        <v>1</v>
      </c>
      <c r="AX2047" s="22">
        <f>LARGE($AY$2008:$AY$2012,AV1047)</f>
        <v>0</v>
      </c>
      <c r="AY2047" s="22" t="str">
        <f>IF(AX2047&gt;0.1%,AX2047,"Algo Esta Mal")</f>
        <v>Algo Esta Mal</v>
      </c>
      <c r="AZ2047" s="21" t="str">
        <f>IF(AY2047=AX2047,AW2047," ")</f>
        <v xml:space="preserve"> </v>
      </c>
      <c r="BF2047">
        <f>IF(BG2047=BH2008,BF2008,IF(BG2047=BH2009,BF2009,IF(BG2047=BH2010,BF2010,IF(BG2047=BH2011,BF2011,IF(BG2047=BH2012,BF2012,"ALGO ESTA MAL")))))</f>
        <v>1</v>
      </c>
      <c r="BG2047" s="22">
        <f>LARGE($BH$2008:$BH$2012,BE1047)</f>
        <v>0</v>
      </c>
      <c r="BH2047" s="22" t="str">
        <f>IF(BG2047&gt;0.1%,BG2047,"Algo Esta Mal")</f>
        <v>Algo Esta Mal</v>
      </c>
      <c r="BI2047" s="21" t="str">
        <f>IF(BH2047=BG2047,BF2047," ")</f>
        <v xml:space="preserve"> </v>
      </c>
      <c r="BO2047">
        <f>IF(BP2047=BQ2008,BO2008,IF(BP2047=BQ2009,BO2009,IF(BP2047=BQ2010,BO2010,IF(BP2047=BQ2011,BO2011,IF(BP2047=BQ2012,BO2012,"ALGO ESTA MAL")))))</f>
        <v>1</v>
      </c>
      <c r="BP2047" s="22">
        <f>LARGE($BQ$2008:$BQ$2012,BN1047)</f>
        <v>0</v>
      </c>
      <c r="BQ2047" s="22" t="str">
        <f>IF(BP2047&gt;0.1%,BP2047,"Algo Esta Mal")</f>
        <v>Algo Esta Mal</v>
      </c>
      <c r="BR2047" s="21" t="str">
        <f>IF(BQ2047=BP2047,BO2047," ")</f>
        <v xml:space="preserve"> </v>
      </c>
      <c r="BX2047">
        <f>IF(BY2047=BZ2008,BX2008,IF(BY2047=BZ2009,BX2009,IF(BY2047=BZ2010,BX2010,IF(BY2047=BZ2011,BX2011,IF(BY2047=BZ2012,BX2012,"ALGO ESTA MAL")))))</f>
        <v>1</v>
      </c>
      <c r="BY2047" s="22">
        <f>LARGE($BZ$2008:$BZ$2012,BW1047)</f>
        <v>0</v>
      </c>
      <c r="BZ2047" s="22" t="str">
        <f>IF(BY2047&gt;0.1%,BY2047,"Algo Esta Mal")</f>
        <v>Algo Esta Mal</v>
      </c>
      <c r="CA2047" s="21" t="str">
        <f>IF(BZ2047=BY2047,BX2047," ")</f>
        <v xml:space="preserve"> </v>
      </c>
      <c r="CG2047">
        <f>IF(CH2047=CI2008,CG2008,IF(CH2047=CI2009,CG2009,IF(CH2047=CI2010,CG2010,IF(CH2047=CI2011,CG2011,IF(CH2047=CI2012,CG2012,"ALGO ESTA MAL")))))</f>
        <v>1</v>
      </c>
      <c r="CH2047" s="22">
        <f>LARGE($CI$2008:$CI$2012,CF1047)</f>
        <v>0</v>
      </c>
      <c r="CI2047" s="22" t="str">
        <f>IF(CH2047&gt;0.1%,CH2047,"Algo Esta Mal")</f>
        <v>Algo Esta Mal</v>
      </c>
      <c r="CJ2047" s="21" t="str">
        <f>IF(CI2047=CH2047,CG2047," ")</f>
        <v xml:space="preserve"> </v>
      </c>
      <c r="CP2047">
        <f>IF(CQ2047=CR2008,CP2008,IF(CQ2047=CR2009,CP2009,IF(CQ2047=CR2010,CP2010,IF(CQ2047=CR2011,CP2011,IF(CQ2047=CR2012,CP2012,"ALGO ESTA MAL")))))</f>
        <v>1</v>
      </c>
      <c r="CQ2047" s="22">
        <f>LARGE($CR$2008:$CR$2012,CO1047)</f>
        <v>0</v>
      </c>
      <c r="CR2047" s="22" t="str">
        <f>IF(CQ2047&gt;0.1%,CQ2047,"Algo Esta Mal")</f>
        <v>Algo Esta Mal</v>
      </c>
      <c r="CS2047" s="21" t="str">
        <f>IF(CR2047=CQ2047,CP2047," ")</f>
        <v xml:space="preserve"> </v>
      </c>
      <c r="CY2047">
        <f>IF(CZ2047=DA2008,CY2008,IF(CZ2047=DA2009,CY2009,IF(CZ2047=DA2010,CY2010,IF(CZ2047=DA2011,CY2011,IF(CZ2047=DA2012,CY2012,"ALGO ESTA MAL")))))</f>
        <v>1</v>
      </c>
      <c r="CZ2047" s="22">
        <f>LARGE($DA$2008:$DA$2012,CX1047)</f>
        <v>0</v>
      </c>
      <c r="DA2047" s="22" t="str">
        <f>IF(CZ2047&gt;0.1%,CZ2047,"Algo Esta Mal")</f>
        <v>Algo Esta Mal</v>
      </c>
      <c r="DB2047" s="21" t="str">
        <f>IF(DA2047=CZ2047,CY2047," ")</f>
        <v xml:space="preserve"> </v>
      </c>
    </row>
    <row r="2048" spans="4:106" x14ac:dyDescent="0.25">
      <c r="D2048">
        <f>IF(E2048=F2008,D2008,IF(E2048=F2009,D2009,IF(E2048=F2010,D2010,IF(E2048=F2011,D2011,IF(E2048=F2012,D2012,"ALGO ESTA MAL")))))</f>
        <v>1</v>
      </c>
      <c r="E2048" s="22">
        <f>LARGE($F$2008:$F$2012,C1048)</f>
        <v>0</v>
      </c>
      <c r="F2048" s="22" t="str">
        <f>IF(E2048&gt;0.1%,E2048,"Algo Esta Mal")</f>
        <v>Algo Esta Mal</v>
      </c>
      <c r="G2048" s="21" t="str">
        <f>IF(F2048=E2048,D2048," ")</f>
        <v xml:space="preserve"> </v>
      </c>
      <c r="M2048">
        <f>IF(N2048=O2008,M2008,IF(N2048=O2009,M2009,IF(N2048=O2010,M2010,IF(N2048=O2011,M2011,IF(N2048=O2012,M2012,"ALGO ESTA MAL")))))</f>
        <v>1</v>
      </c>
      <c r="N2048" s="22">
        <f>LARGE($O$2008:$O$2012,L1048)</f>
        <v>0</v>
      </c>
      <c r="O2048" s="22" t="str">
        <f>IF(N2048&gt;0.1%,N2048,"Algo Esta Mal")</f>
        <v>Algo Esta Mal</v>
      </c>
      <c r="P2048" s="21" t="str">
        <f>IF(O2048=N2048,M2048," ")</f>
        <v xml:space="preserve"> </v>
      </c>
      <c r="V2048">
        <f>IF(W2048=X2008,V2008,IF(W2048=X2009,V2009,IF(W2048=X2010,V2010,IF(W2048=X2011,V2011,IF(W2048=X2012,V2012,"ALGO ESTA MAL")))))</f>
        <v>1</v>
      </c>
      <c r="W2048" s="22">
        <f>LARGE($X$2008:$X$2012,U1048)</f>
        <v>0</v>
      </c>
      <c r="X2048" s="22" t="str">
        <f>IF(W2048&gt;0.1%,W2048,"Algo Esta Mal")</f>
        <v>Algo Esta Mal</v>
      </c>
      <c r="Y2048" s="21" t="str">
        <f>IF(X2048=W2048,V2048," ")</f>
        <v xml:space="preserve"> </v>
      </c>
      <c r="AE2048">
        <f>IF(AF2048=AG2008,AE2008,IF(AF2048=AG2009,AE2009,IF(AF2048=AG2010,AE2010,IF(AF2048=AG2011,AE2011,IF(AF2048=AG2012,AE2012,"ALGO ESTA MAL")))))</f>
        <v>1</v>
      </c>
      <c r="AF2048" s="22">
        <f>LARGE($AG$2008:$AG$2012,AD1048)</f>
        <v>0</v>
      </c>
      <c r="AG2048" s="22" t="str">
        <f>IF(AF2048&gt;0.1%,AF2048,"Algo Esta Mal")</f>
        <v>Algo Esta Mal</v>
      </c>
      <c r="AH2048" s="21" t="str">
        <f>IF(AG2048=AF2048,AE2048," ")</f>
        <v xml:space="preserve"> </v>
      </c>
      <c r="AN2048">
        <f>IF(AO2048=AP2008,AN2008,IF(AO2048=AP2009,AN2009,IF(AO2048=AP2010,AN2010,IF(AO2048=AP2011,AN2011,IF(AO2048=AP2012,AN2012,"ALGO ESTA MAL")))))</f>
        <v>1</v>
      </c>
      <c r="AO2048" s="22">
        <f>LARGE($AP$2008:$AP$2012,AM1048)</f>
        <v>0</v>
      </c>
      <c r="AP2048" s="22" t="str">
        <f>IF(AO2048&gt;0.1%,AO2048,"Algo Esta Mal")</f>
        <v>Algo Esta Mal</v>
      </c>
      <c r="AQ2048" s="21" t="str">
        <f>IF(AP2048=AO2048,AN2048," ")</f>
        <v xml:space="preserve"> </v>
      </c>
      <c r="AW2048">
        <f>IF(AX2048=AY2008,AW2008,IF(AX2048=AY2009,AW2009,IF(AX2048=AY2010,AW2010,IF(AX2048=AY2011,AW2011,IF(AX2048=AY2012,AW2012,"ALGO ESTA MAL")))))</f>
        <v>1</v>
      </c>
      <c r="AX2048" s="22">
        <f>LARGE($AY$2008:$AY$2012,AV1048)</f>
        <v>0</v>
      </c>
      <c r="AY2048" s="22" t="str">
        <f>IF(AX2048&gt;0.1%,AX2048,"Algo Esta Mal")</f>
        <v>Algo Esta Mal</v>
      </c>
      <c r="AZ2048" s="21" t="str">
        <f>IF(AY2048=AX2048,AW2048," ")</f>
        <v xml:space="preserve"> </v>
      </c>
      <c r="BF2048">
        <f>IF(BG2048=BH2008,BF2008,IF(BG2048=BH2009,BF2009,IF(BG2048=BH2010,BF2010,IF(BG2048=BH2011,BF2011,IF(BG2048=BH2012,BF2012,"ALGO ESTA MAL")))))</f>
        <v>1</v>
      </c>
      <c r="BG2048" s="22">
        <f>LARGE($BH$2008:$BH$2012,BE1048)</f>
        <v>0</v>
      </c>
      <c r="BH2048" s="22" t="str">
        <f>IF(BG2048&gt;0.1%,BG2048,"Algo Esta Mal")</f>
        <v>Algo Esta Mal</v>
      </c>
      <c r="BI2048" s="21" t="str">
        <f>IF(BH2048=BG2048,BF2048," ")</f>
        <v xml:space="preserve"> </v>
      </c>
      <c r="BO2048">
        <f>IF(BP2048=BQ2008,BO2008,IF(BP2048=BQ2009,BO2009,IF(BP2048=BQ2010,BO2010,IF(BP2048=BQ2011,BO2011,IF(BP2048=BQ2012,BO2012,"ALGO ESTA MAL")))))</f>
        <v>1</v>
      </c>
      <c r="BP2048" s="22">
        <f>LARGE($BQ$2008:$BQ$2012,BN1048)</f>
        <v>0</v>
      </c>
      <c r="BQ2048" s="22" t="str">
        <f>IF(BP2048&gt;0.1%,BP2048,"Algo Esta Mal")</f>
        <v>Algo Esta Mal</v>
      </c>
      <c r="BR2048" s="21" t="str">
        <f>IF(BQ2048=BP2048,BO2048," ")</f>
        <v xml:space="preserve"> </v>
      </c>
      <c r="BX2048">
        <f>IF(BY2048=BZ2008,BX2008,IF(BY2048=BZ2009,BX2009,IF(BY2048=BZ2010,BX2010,IF(BY2048=BZ2011,BX2011,IF(BY2048=BZ2012,BX2012,"ALGO ESTA MAL")))))</f>
        <v>1</v>
      </c>
      <c r="BY2048" s="22">
        <f>LARGE($BZ$2008:$BZ$2012,BW1048)</f>
        <v>0</v>
      </c>
      <c r="BZ2048" s="22" t="str">
        <f>IF(BY2048&gt;0.1%,BY2048,"Algo Esta Mal")</f>
        <v>Algo Esta Mal</v>
      </c>
      <c r="CA2048" s="21" t="str">
        <f>IF(BZ2048=BY2048,BX2048," ")</f>
        <v xml:space="preserve"> </v>
      </c>
      <c r="CG2048">
        <f>IF(CH2048=CI2008,CG2008,IF(CH2048=CI2009,CG2009,IF(CH2048=CI2010,CG2010,IF(CH2048=CI2011,CG2011,IF(CH2048=CI2012,CG2012,"ALGO ESTA MAL")))))</f>
        <v>1</v>
      </c>
      <c r="CH2048" s="22">
        <f>LARGE($CI$2008:$CI$2012,CF1048)</f>
        <v>0</v>
      </c>
      <c r="CI2048" s="22" t="str">
        <f>IF(CH2048&gt;0.1%,CH2048,"Algo Esta Mal")</f>
        <v>Algo Esta Mal</v>
      </c>
      <c r="CJ2048" s="21" t="str">
        <f>IF(CI2048=CH2048,CG2048," ")</f>
        <v xml:space="preserve"> </v>
      </c>
      <c r="CP2048">
        <f>IF(CQ2048=CR2008,CP2008,IF(CQ2048=CR2009,CP2009,IF(CQ2048=CR2010,CP2010,IF(CQ2048=CR2011,CP2011,IF(CQ2048=CR2012,CP2012,"ALGO ESTA MAL")))))</f>
        <v>1</v>
      </c>
      <c r="CQ2048" s="22">
        <f>LARGE($CR$2008:$CR$2012,CO1048)</f>
        <v>0</v>
      </c>
      <c r="CR2048" s="22" t="str">
        <f>IF(CQ2048&gt;0.1%,CQ2048,"Algo Esta Mal")</f>
        <v>Algo Esta Mal</v>
      </c>
      <c r="CS2048" s="21" t="str">
        <f>IF(CR2048=CQ2048,CP2048," ")</f>
        <v xml:space="preserve"> </v>
      </c>
      <c r="CY2048">
        <f>IF(CZ2048=DA2008,CY2008,IF(CZ2048=DA2009,CY2009,IF(CZ2048=DA2010,CY2010,IF(CZ2048=DA2011,CY2011,IF(CZ2048=DA2012,CY2012,"ALGO ESTA MAL")))))</f>
        <v>1</v>
      </c>
      <c r="CZ2048" s="22">
        <f>LARGE($DA$2008:$DA$2012,CX1048)</f>
        <v>0</v>
      </c>
      <c r="DA2048" s="22" t="str">
        <f>IF(CZ2048&gt;0.1%,CZ2048,"Algo Esta Mal")</f>
        <v>Algo Esta Mal</v>
      </c>
      <c r="DB2048" s="21" t="str">
        <f>IF(DA2048=CZ2048,CY2048," ")</f>
        <v xml:space="preserve"> </v>
      </c>
    </row>
    <row r="2049" spans="4:106" x14ac:dyDescent="0.25">
      <c r="D2049">
        <f>IF(E2049=F2008,D2008,IF(E2049=F2009,D2009,IF(E2049=F2010,D2010,IF(E2049=F2011,D2011,IF(E2049=F2012,D2012,"ALGO ESTA MAL")))))</f>
        <v>1</v>
      </c>
      <c r="E2049" s="22">
        <f>LARGE($F$2008:$F$2012,C1049)</f>
        <v>0</v>
      </c>
      <c r="F2049" s="22" t="str">
        <f>IF(E2049&gt;0.1%,E2049,"Algo Esta Mal")</f>
        <v>Algo Esta Mal</v>
      </c>
      <c r="G2049" s="21" t="str">
        <f>IF(F2049=E2049,D2049," ")</f>
        <v xml:space="preserve"> </v>
      </c>
      <c r="M2049">
        <f>IF(N2049=O2008,M2008,IF(N2049=O2009,M2009,IF(N2049=O2010,M2010,IF(N2049=O2011,M2011,IF(N2049=O2012,M2012,"ALGO ESTA MAL")))))</f>
        <v>1</v>
      </c>
      <c r="N2049" s="22">
        <f>LARGE($O$2008:$O$2012,L1049)</f>
        <v>0</v>
      </c>
      <c r="O2049" s="22" t="str">
        <f>IF(N2049&gt;0.1%,N2049,"Algo Esta Mal")</f>
        <v>Algo Esta Mal</v>
      </c>
      <c r="P2049" s="21" t="str">
        <f>IF(O2049=N2049,M2049," ")</f>
        <v xml:space="preserve"> </v>
      </c>
      <c r="V2049">
        <f>IF(W2049=X2008,V2008,IF(W2049=X2009,V2009,IF(W2049=X2010,V2010,IF(W2049=X2011,V2011,IF(W2049=X2012,V2012,"ALGO ESTA MAL")))))</f>
        <v>1</v>
      </c>
      <c r="W2049" s="22">
        <f>LARGE($X$2008:$X$2012,U1049)</f>
        <v>0</v>
      </c>
      <c r="X2049" s="22" t="str">
        <f>IF(W2049&gt;0.1%,W2049,"Algo Esta Mal")</f>
        <v>Algo Esta Mal</v>
      </c>
      <c r="Y2049" s="21" t="str">
        <f>IF(X2049=W2049,V2049," ")</f>
        <v xml:space="preserve"> </v>
      </c>
      <c r="AE2049">
        <f>IF(AF2049=AG2008,AE2008,IF(AF2049=AG2009,AE2009,IF(AF2049=AG2010,AE2010,IF(AF2049=AG2011,AE2011,IF(AF2049=AG2012,AE2012,"ALGO ESTA MAL")))))</f>
        <v>1</v>
      </c>
      <c r="AF2049" s="22">
        <f>LARGE($AG$2008:$AG$2012,AD1049)</f>
        <v>0</v>
      </c>
      <c r="AG2049" s="22" t="str">
        <f>IF(AF2049&gt;0.1%,AF2049,"Algo Esta Mal")</f>
        <v>Algo Esta Mal</v>
      </c>
      <c r="AH2049" s="21" t="str">
        <f>IF(AG2049=AF2049,AE2049," ")</f>
        <v xml:space="preserve"> </v>
      </c>
      <c r="AN2049">
        <f>IF(AO2049=AP2008,AN2008,IF(AO2049=AP2009,AN2009,IF(AO2049=AP2010,AN2010,IF(AO2049=AP2011,AN2011,IF(AO2049=AP2012,AN2012,"ALGO ESTA MAL")))))</f>
        <v>1</v>
      </c>
      <c r="AO2049" s="22">
        <f>LARGE($AP$2008:$AP$2012,AM1049)</f>
        <v>0</v>
      </c>
      <c r="AP2049" s="22" t="str">
        <f>IF(AO2049&gt;0.1%,AO2049,"Algo Esta Mal")</f>
        <v>Algo Esta Mal</v>
      </c>
      <c r="AQ2049" s="21" t="str">
        <f>IF(AP2049=AO2049,AN2049," ")</f>
        <v xml:space="preserve"> </v>
      </c>
      <c r="AW2049">
        <f>IF(AX2049=AY2008,AW2008,IF(AX2049=AY2009,AW2009,IF(AX2049=AY2010,AW2010,IF(AX2049=AY2011,AW2011,IF(AX2049=AY2012,AW2012,"ALGO ESTA MAL")))))</f>
        <v>1</v>
      </c>
      <c r="AX2049" s="22">
        <f>LARGE($AY$2008:$AY$2012,AV1049)</f>
        <v>0</v>
      </c>
      <c r="AY2049" s="22" t="str">
        <f>IF(AX2049&gt;0.1%,AX2049,"Algo Esta Mal")</f>
        <v>Algo Esta Mal</v>
      </c>
      <c r="AZ2049" s="21" t="str">
        <f>IF(AY2049=AX2049,AW2049," ")</f>
        <v xml:space="preserve"> </v>
      </c>
      <c r="BF2049">
        <f>IF(BG2049=BH2008,BF2008,IF(BG2049=BH2009,BF2009,IF(BG2049=BH2010,BF2010,IF(BG2049=BH2011,BF2011,IF(BG2049=BH2012,BF2012,"ALGO ESTA MAL")))))</f>
        <v>1</v>
      </c>
      <c r="BG2049" s="22">
        <f>LARGE($BH$2008:$BH$2012,BE1049)</f>
        <v>0</v>
      </c>
      <c r="BH2049" s="22" t="str">
        <f>IF(BG2049&gt;0.1%,BG2049,"Algo Esta Mal")</f>
        <v>Algo Esta Mal</v>
      </c>
      <c r="BI2049" s="21" t="str">
        <f>IF(BH2049=BG2049,BF2049," ")</f>
        <v xml:space="preserve"> </v>
      </c>
      <c r="BO2049">
        <f>IF(BP2049=BQ2008,BO2008,IF(BP2049=BQ2009,BO2009,IF(BP2049=BQ2010,BO2010,IF(BP2049=BQ2011,BO2011,IF(BP2049=BQ2012,BO2012,"ALGO ESTA MAL")))))</f>
        <v>1</v>
      </c>
      <c r="BP2049" s="22">
        <f>LARGE($BQ$2008:$BQ$2012,BN1049)</f>
        <v>0</v>
      </c>
      <c r="BQ2049" s="22" t="str">
        <f>IF(BP2049&gt;0.1%,BP2049,"Algo Esta Mal")</f>
        <v>Algo Esta Mal</v>
      </c>
      <c r="BR2049" s="21" t="str">
        <f>IF(BQ2049=BP2049,BO2049," ")</f>
        <v xml:space="preserve"> </v>
      </c>
      <c r="BX2049">
        <f>IF(BY2049=BZ2008,BX2008,IF(BY2049=BZ2009,BX2009,IF(BY2049=BZ2010,BX2010,IF(BY2049=BZ2011,BX2011,IF(BY2049=BZ2012,BX2012,"ALGO ESTA MAL")))))</f>
        <v>1</v>
      </c>
      <c r="BY2049" s="22">
        <f>LARGE($BZ$2008:$BZ$2012,BW1049)</f>
        <v>0</v>
      </c>
      <c r="BZ2049" s="22" t="str">
        <f>IF(BY2049&gt;0.1%,BY2049,"Algo Esta Mal")</f>
        <v>Algo Esta Mal</v>
      </c>
      <c r="CA2049" s="21" t="str">
        <f>IF(BZ2049=BY2049,BX2049," ")</f>
        <v xml:space="preserve"> </v>
      </c>
      <c r="CG2049">
        <f>IF(CH2049=CI2008,CG2008,IF(CH2049=CI2009,CG2009,IF(CH2049=CI2010,CG2010,IF(CH2049=CI2011,CG2011,IF(CH2049=CI2012,CG2012,"ALGO ESTA MAL")))))</f>
        <v>1</v>
      </c>
      <c r="CH2049" s="22">
        <f>LARGE($CI$2008:$CI$2012,CF1049)</f>
        <v>0</v>
      </c>
      <c r="CI2049" s="22" t="str">
        <f>IF(CH2049&gt;0.1%,CH2049,"Algo Esta Mal")</f>
        <v>Algo Esta Mal</v>
      </c>
      <c r="CJ2049" s="21" t="str">
        <f>IF(CI2049=CH2049,CG2049," ")</f>
        <v xml:space="preserve"> </v>
      </c>
      <c r="CP2049">
        <f>IF(CQ2049=CR2008,CP2008,IF(CQ2049=CR2009,CP2009,IF(CQ2049=CR2010,CP2010,IF(CQ2049=CR2011,CP2011,IF(CQ2049=CR2012,CP2012,"ALGO ESTA MAL")))))</f>
        <v>1</v>
      </c>
      <c r="CQ2049" s="22">
        <f>LARGE($CR$2008:$CR$2012,CO1049)</f>
        <v>0</v>
      </c>
      <c r="CR2049" s="22" t="str">
        <f>IF(CQ2049&gt;0.1%,CQ2049,"Algo Esta Mal")</f>
        <v>Algo Esta Mal</v>
      </c>
      <c r="CS2049" s="21" t="str">
        <f>IF(CR2049=CQ2049,CP2049," ")</f>
        <v xml:space="preserve"> </v>
      </c>
      <c r="CY2049">
        <f>IF(CZ2049=DA2008,CY2008,IF(CZ2049=DA2009,CY2009,IF(CZ2049=DA2010,CY2010,IF(CZ2049=DA2011,CY2011,IF(CZ2049=DA2012,CY2012,"ALGO ESTA MAL")))))</f>
        <v>1</v>
      </c>
      <c r="CZ2049" s="22">
        <f>LARGE($DA$2008:$DA$2012,CX1049)</f>
        <v>0</v>
      </c>
      <c r="DA2049" s="22" t="str">
        <f>IF(CZ2049&gt;0.1%,CZ2049,"Algo Esta Mal")</f>
        <v>Algo Esta Mal</v>
      </c>
      <c r="DB2049" s="21" t="str">
        <f>IF(DA2049=CZ2049,CY2049," ")</f>
        <v xml:space="preserve"> </v>
      </c>
    </row>
    <row r="2050" spans="4:106" x14ac:dyDescent="0.25">
      <c r="D2050">
        <f>IF(E2050=F2008,D2008,IF(E2050=F2009,D2009,IF(E2050=F2010,D2010,IF(E2050=F2011,D2011,IF(E2050=F2012,D2012,"ALGO ESTA MAL")))))</f>
        <v>1</v>
      </c>
      <c r="E2050" s="22">
        <f>LARGE($F$2008:$F$2012,C1050)</f>
        <v>0</v>
      </c>
      <c r="F2050" s="22" t="str">
        <f>IF(E2050&gt;0.1%,E2050,"Algo Esta Mal")</f>
        <v>Algo Esta Mal</v>
      </c>
      <c r="G2050" s="21" t="str">
        <f>IF(F2050=E2050,D2050," ")</f>
        <v xml:space="preserve"> </v>
      </c>
      <c r="M2050">
        <f>IF(N2050=O2008,M2008,IF(N2050=O2009,M2009,IF(N2050=O2010,M2010,IF(N2050=O2011,M2011,IF(N2050=O2012,M2012,"ALGO ESTA MAL")))))</f>
        <v>1</v>
      </c>
      <c r="N2050" s="22">
        <f>LARGE($O$2008:$O$2012,L1050)</f>
        <v>0</v>
      </c>
      <c r="O2050" s="22" t="str">
        <f>IF(N2050&gt;0.1%,N2050,"Algo Esta Mal")</f>
        <v>Algo Esta Mal</v>
      </c>
      <c r="P2050" s="21" t="str">
        <f>IF(O2050=N2050,M2050," ")</f>
        <v xml:space="preserve"> </v>
      </c>
      <c r="V2050">
        <f>IF(W2050=X2008,V2008,IF(W2050=X2009,V2009,IF(W2050=X2010,V2010,IF(W2050=X2011,V2011,IF(W2050=X2012,V2012,"ALGO ESTA MAL")))))</f>
        <v>1</v>
      </c>
      <c r="W2050" s="22">
        <f>LARGE($X$2008:$X$2012,U1050)</f>
        <v>0</v>
      </c>
      <c r="X2050" s="22" t="str">
        <f>IF(W2050&gt;0.1%,W2050,"Algo Esta Mal")</f>
        <v>Algo Esta Mal</v>
      </c>
      <c r="Y2050" s="21" t="str">
        <f>IF(X2050=W2050,V2050," ")</f>
        <v xml:space="preserve"> </v>
      </c>
      <c r="AE2050">
        <f>IF(AF2050=AG2008,AE2008,IF(AF2050=AG2009,AE2009,IF(AF2050=AG2010,AE2010,IF(AF2050=AG2011,AE2011,IF(AF2050=AG2012,AE2012,"ALGO ESTA MAL")))))</f>
        <v>1</v>
      </c>
      <c r="AF2050" s="22">
        <f>LARGE($AG$2008:$AG$2012,AD1050)</f>
        <v>0</v>
      </c>
      <c r="AG2050" s="22" t="str">
        <f>IF(AF2050&gt;0.1%,AF2050,"Algo Esta Mal")</f>
        <v>Algo Esta Mal</v>
      </c>
      <c r="AH2050" s="21" t="str">
        <f>IF(AG2050=AF2050,AE2050," ")</f>
        <v xml:space="preserve"> </v>
      </c>
      <c r="AN2050">
        <f>IF(AO2050=AP2008,AN2008,IF(AO2050=AP2009,AN2009,IF(AO2050=AP2010,AN2010,IF(AO2050=AP2011,AN2011,IF(AO2050=AP2012,AN2012,"ALGO ESTA MAL")))))</f>
        <v>1</v>
      </c>
      <c r="AO2050" s="22">
        <f>LARGE($AP$2008:$AP$2012,AM1050)</f>
        <v>0</v>
      </c>
      <c r="AP2050" s="22" t="str">
        <f>IF(AO2050&gt;0.1%,AO2050,"Algo Esta Mal")</f>
        <v>Algo Esta Mal</v>
      </c>
      <c r="AQ2050" s="21" t="str">
        <f>IF(AP2050=AO2050,AN2050," ")</f>
        <v xml:space="preserve"> </v>
      </c>
      <c r="AW2050">
        <f>IF(AX2050=AY2008,AW2008,IF(AX2050=AY2009,AW2009,IF(AX2050=AY2010,AW2010,IF(AX2050=AY2011,AW2011,IF(AX2050=AY2012,AW2012,"ALGO ESTA MAL")))))</f>
        <v>1</v>
      </c>
      <c r="AX2050" s="22">
        <f>LARGE($AY$2008:$AY$2012,AV1050)</f>
        <v>0</v>
      </c>
      <c r="AY2050" s="22" t="str">
        <f>IF(AX2050&gt;0.1%,AX2050,"Algo Esta Mal")</f>
        <v>Algo Esta Mal</v>
      </c>
      <c r="AZ2050" s="21" t="str">
        <f>IF(AY2050=AX2050,AW2050," ")</f>
        <v xml:space="preserve"> </v>
      </c>
      <c r="BF2050">
        <f>IF(BG2050=BH2008,BF2008,IF(BG2050=BH2009,BF2009,IF(BG2050=BH2010,BF2010,IF(BG2050=BH2011,BF2011,IF(BG2050=BH2012,BF2012,"ALGO ESTA MAL")))))</f>
        <v>1</v>
      </c>
      <c r="BG2050" s="22">
        <f>LARGE($BH$2008:$BH$2012,BE1050)</f>
        <v>0</v>
      </c>
      <c r="BH2050" s="22" t="str">
        <f>IF(BG2050&gt;0.1%,BG2050,"Algo Esta Mal")</f>
        <v>Algo Esta Mal</v>
      </c>
      <c r="BI2050" s="21" t="str">
        <f>IF(BH2050=BG2050,BF2050," ")</f>
        <v xml:space="preserve"> </v>
      </c>
      <c r="BO2050">
        <f>IF(BP2050=BQ2008,BO2008,IF(BP2050=BQ2009,BO2009,IF(BP2050=BQ2010,BO2010,IF(BP2050=BQ2011,BO2011,IF(BP2050=BQ2012,BO2012,"ALGO ESTA MAL")))))</f>
        <v>1</v>
      </c>
      <c r="BP2050" s="22">
        <f>LARGE($BQ$2008:$BQ$2012,BN1050)</f>
        <v>0</v>
      </c>
      <c r="BQ2050" s="22" t="str">
        <f>IF(BP2050&gt;0.1%,BP2050,"Algo Esta Mal")</f>
        <v>Algo Esta Mal</v>
      </c>
      <c r="BR2050" s="21" t="str">
        <f>IF(BQ2050=BP2050,BO2050," ")</f>
        <v xml:space="preserve"> </v>
      </c>
      <c r="BX2050">
        <f>IF(BY2050=BZ2008,BX2008,IF(BY2050=BZ2009,BX2009,IF(BY2050=BZ2010,BX2010,IF(BY2050=BZ2011,BX2011,IF(BY2050=BZ2012,BX2012,"ALGO ESTA MAL")))))</f>
        <v>1</v>
      </c>
      <c r="BY2050" s="22">
        <f>LARGE($BZ$2008:$BZ$2012,BW1050)</f>
        <v>0</v>
      </c>
      <c r="BZ2050" s="22" t="str">
        <f>IF(BY2050&gt;0.1%,BY2050,"Algo Esta Mal")</f>
        <v>Algo Esta Mal</v>
      </c>
      <c r="CA2050" s="21" t="str">
        <f>IF(BZ2050=BY2050,BX2050," ")</f>
        <v xml:space="preserve"> </v>
      </c>
      <c r="CG2050">
        <f>IF(CH2050=CI2008,CG2008,IF(CH2050=CI2009,CG2009,IF(CH2050=CI2010,CG2010,IF(CH2050=CI2011,CG2011,IF(CH2050=CI2012,CG2012,"ALGO ESTA MAL")))))</f>
        <v>1</v>
      </c>
      <c r="CH2050" s="22">
        <f>LARGE($CI$2008:$CI$2012,CF1050)</f>
        <v>0</v>
      </c>
      <c r="CI2050" s="22" t="str">
        <f>IF(CH2050&gt;0.1%,CH2050,"Algo Esta Mal")</f>
        <v>Algo Esta Mal</v>
      </c>
      <c r="CJ2050" s="21" t="str">
        <f>IF(CI2050=CH2050,CG2050," ")</f>
        <v xml:space="preserve"> </v>
      </c>
      <c r="CP2050">
        <f>IF(CQ2050=CR2008,CP2008,IF(CQ2050=CR2009,CP2009,IF(CQ2050=CR2010,CP2010,IF(CQ2050=CR2011,CP2011,IF(CQ2050=CR2012,CP2012,"ALGO ESTA MAL")))))</f>
        <v>1</v>
      </c>
      <c r="CQ2050" s="22">
        <f>LARGE($CR$2008:$CR$2012,CO1050)</f>
        <v>0</v>
      </c>
      <c r="CR2050" s="22" t="str">
        <f>IF(CQ2050&gt;0.1%,CQ2050,"Algo Esta Mal")</f>
        <v>Algo Esta Mal</v>
      </c>
      <c r="CS2050" s="21" t="str">
        <f>IF(CR2050=CQ2050,CP2050," ")</f>
        <v xml:space="preserve"> </v>
      </c>
      <c r="CY2050">
        <f>IF(CZ2050=DA2008,CY2008,IF(CZ2050=DA2009,CY2009,IF(CZ2050=DA2010,CY2010,IF(CZ2050=DA2011,CY2011,IF(CZ2050=DA2012,CY2012,"ALGO ESTA MAL")))))</f>
        <v>1</v>
      </c>
      <c r="CZ2050" s="22">
        <f>LARGE($DA$2008:$DA$2012,CX1050)</f>
        <v>0</v>
      </c>
      <c r="DA2050" s="22" t="str">
        <f>IF(CZ2050&gt;0.1%,CZ2050,"Algo Esta Mal")</f>
        <v>Algo Esta Mal</v>
      </c>
      <c r="DB2050" s="21" t="str">
        <f>IF(DA2050=CZ2050,CY2050," ")</f>
        <v xml:space="preserve"> </v>
      </c>
    </row>
    <row r="2052" spans="4:106" x14ac:dyDescent="0.25">
      <c r="D2052" s="21" t="s">
        <v>156</v>
      </c>
      <c r="M2052" s="21" t="s">
        <v>156</v>
      </c>
      <c r="V2052" s="21" t="s">
        <v>156</v>
      </c>
      <c r="AE2052" s="21" t="s">
        <v>156</v>
      </c>
      <c r="AN2052" s="21" t="s">
        <v>156</v>
      </c>
      <c r="AW2052" s="21" t="s">
        <v>156</v>
      </c>
      <c r="BF2052" s="21" t="s">
        <v>156</v>
      </c>
      <c r="BO2052" s="21" t="s">
        <v>156</v>
      </c>
      <c r="BX2052" s="21" t="s">
        <v>156</v>
      </c>
      <c r="CG2052" s="21" t="s">
        <v>156</v>
      </c>
      <c r="CP2052" s="21" t="s">
        <v>156</v>
      </c>
      <c r="CY2052" s="21" t="s">
        <v>156</v>
      </c>
    </row>
    <row r="2053" spans="4:106" x14ac:dyDescent="0.25">
      <c r="D2053" s="22">
        <f>SUM(F2008:F2010)</f>
        <v>0</v>
      </c>
      <c r="E2053" s="22">
        <f>MAX(D2053:D2054)</f>
        <v>0</v>
      </c>
      <c r="M2053" s="22">
        <f>SUM(O2008:O2010)</f>
        <v>0</v>
      </c>
      <c r="N2053" s="22">
        <f>MAX(M2053:M2054)</f>
        <v>0</v>
      </c>
      <c r="V2053" s="22">
        <f>SUM(X2008:X2010)</f>
        <v>0</v>
      </c>
      <c r="W2053" s="22">
        <f>MAX(V2053:V2054)</f>
        <v>0</v>
      </c>
      <c r="AE2053" s="22">
        <f>SUM(AG2008:AG2010)</f>
        <v>0</v>
      </c>
      <c r="AF2053" s="22">
        <f>MAX(AE2053:AE2054)</f>
        <v>0</v>
      </c>
      <c r="AN2053" s="22">
        <f>SUM(AP2008:AP2010)</f>
        <v>0</v>
      </c>
      <c r="AO2053" s="22">
        <f>MAX(AN2053:AN2054)</f>
        <v>0</v>
      </c>
      <c r="AW2053" s="22">
        <f>SUM(AY2008:AY2010)</f>
        <v>0</v>
      </c>
      <c r="AX2053" s="22">
        <f>MAX(AW2053:AW2054)</f>
        <v>0</v>
      </c>
      <c r="BF2053" s="22">
        <f>SUM(BH2008:BH2010)</f>
        <v>0</v>
      </c>
      <c r="BG2053" s="22">
        <f>MAX(BF2053:BF2054)</f>
        <v>0</v>
      </c>
      <c r="BO2053" s="22">
        <f>SUM(BQ2008:BQ2010)</f>
        <v>0</v>
      </c>
      <c r="BP2053" s="22">
        <f>MAX(BO2053:BO2054)</f>
        <v>0</v>
      </c>
      <c r="BX2053" s="22">
        <f>SUM(BZ2008:BZ2010)</f>
        <v>0</v>
      </c>
      <c r="BY2053" s="22">
        <f>MAX(BX2053:BX2054)</f>
        <v>0</v>
      </c>
      <c r="CG2053" s="22">
        <f>SUM(CI2008:CI2010)</f>
        <v>0</v>
      </c>
      <c r="CH2053" s="22">
        <f>MAX(CG2053:CG2054)</f>
        <v>0</v>
      </c>
      <c r="CP2053" s="22">
        <f>SUM(CR2008:CR2010)</f>
        <v>0</v>
      </c>
      <c r="CQ2053" s="22">
        <f>MAX(CP2053:CP2054)</f>
        <v>0</v>
      </c>
      <c r="CY2053" s="22">
        <f>SUM(DA2008:DA2010)</f>
        <v>0</v>
      </c>
      <c r="CZ2053" s="22">
        <f>MAX(CY2053:CY2054)</f>
        <v>0</v>
      </c>
    </row>
    <row r="2054" spans="4:106" x14ac:dyDescent="0.25">
      <c r="D2054" s="22">
        <f>SUM(F2010:F2012)</f>
        <v>0</v>
      </c>
      <c r="M2054" s="22">
        <f>SUM(O2010:O2012)</f>
        <v>0</v>
      </c>
      <c r="V2054" s="22">
        <f>SUM(X2010:X2012)</f>
        <v>0</v>
      </c>
      <c r="AE2054" s="22">
        <f>SUM(AG2010:AG2012)</f>
        <v>0</v>
      </c>
      <c r="AN2054" s="22">
        <f>SUM(AP2010:AP2012)</f>
        <v>0</v>
      </c>
      <c r="AW2054" s="22">
        <f>SUM(AY2010:AY2012)</f>
        <v>0</v>
      </c>
      <c r="BF2054" s="22">
        <f>SUM(BH2010:BH2012)</f>
        <v>0</v>
      </c>
      <c r="BO2054" s="22">
        <f>SUM(BQ2010:BQ2012)</f>
        <v>0</v>
      </c>
      <c r="BX2054" s="22">
        <f>SUM(BZ2010:BZ2012)</f>
        <v>0</v>
      </c>
      <c r="CG2054" s="22">
        <f>SUM(CI2010:CI2012)</f>
        <v>0</v>
      </c>
      <c r="CP2054" s="22">
        <f>SUM(CR2010:CR2012)</f>
        <v>0</v>
      </c>
      <c r="CY2054" s="22">
        <f>SUM(DA2010:DA2012)</f>
        <v>0</v>
      </c>
    </row>
    <row r="2056" spans="4:106" x14ac:dyDescent="0.25">
      <c r="E2056" s="22">
        <f>SUM(F2008:F2009)</f>
        <v>0</v>
      </c>
      <c r="N2056" s="22">
        <f>SUM(O2008:O2009)</f>
        <v>0</v>
      </c>
      <c r="W2056" s="22">
        <f>SUM(X2008:X2009)</f>
        <v>0</v>
      </c>
      <c r="AF2056" s="22">
        <f>SUM(AG2008:AG2009)</f>
        <v>0</v>
      </c>
      <c r="AO2056" s="22">
        <f>SUM(AP2008:AP2009)</f>
        <v>0</v>
      </c>
      <c r="AX2056" s="22">
        <f>SUM(AY2008:AY2009)</f>
        <v>0</v>
      </c>
      <c r="BG2056" s="22">
        <f>SUM(BH2008:BH2009)</f>
        <v>0</v>
      </c>
      <c r="BP2056" s="22">
        <f>SUM(BQ2008:BQ2009)</f>
        <v>0</v>
      </c>
      <c r="BY2056" s="22">
        <f>SUM(BZ2008:BZ2009)</f>
        <v>0</v>
      </c>
      <c r="CH2056" s="22">
        <f>SUM(CI2008:CI2009)</f>
        <v>0</v>
      </c>
      <c r="CQ2056" s="22">
        <f>SUM(CR2008:CR2009)</f>
        <v>0</v>
      </c>
      <c r="CZ2056" s="22">
        <f>SUM(DA2008:DA2009)</f>
        <v>0</v>
      </c>
    </row>
    <row r="2057" spans="4:106" x14ac:dyDescent="0.25">
      <c r="E2057" s="22">
        <f>SUM(F2010)</f>
        <v>0</v>
      </c>
      <c r="N2057" s="22">
        <f>SUM(O2010)</f>
        <v>0</v>
      </c>
      <c r="W2057" s="22">
        <f>SUM(X2010)</f>
        <v>0</v>
      </c>
      <c r="AF2057" s="22">
        <f>SUM(AG2010)</f>
        <v>0</v>
      </c>
      <c r="AO2057" s="22">
        <f>SUM(AP2010)</f>
        <v>0</v>
      </c>
      <c r="AX2057" s="22">
        <f>SUM(AY2010)</f>
        <v>0</v>
      </c>
      <c r="BG2057" s="22">
        <f>SUM(BH2010)</f>
        <v>0</v>
      </c>
      <c r="BP2057" s="22">
        <f>SUM(BQ2010)</f>
        <v>0</v>
      </c>
      <c r="BY2057" s="22">
        <f>SUM(BZ2010)</f>
        <v>0</v>
      </c>
      <c r="CH2057" s="22">
        <f>SUM(CI2010)</f>
        <v>0</v>
      </c>
      <c r="CQ2057" s="22">
        <f>SUM(CR2010)</f>
        <v>0</v>
      </c>
      <c r="CZ2057" s="22">
        <f>SUM(DA2010)</f>
        <v>0</v>
      </c>
    </row>
    <row r="2058" spans="4:106" x14ac:dyDescent="0.25">
      <c r="E2058" s="22">
        <f>SUM(F2011:F2012)</f>
        <v>0</v>
      </c>
      <c r="N2058" s="22">
        <f>SUM(O2011:O2012)</f>
        <v>0</v>
      </c>
      <c r="W2058" s="22">
        <f>SUM(X2011:X2012)</f>
        <v>0</v>
      </c>
      <c r="AF2058" s="22">
        <f>SUM(AG2011:AG2012)</f>
        <v>0</v>
      </c>
      <c r="AO2058" s="22">
        <f>SUM(AP2011:AP2012)</f>
        <v>0</v>
      </c>
      <c r="AX2058" s="22">
        <f>SUM(AY2011:AY2012)</f>
        <v>0</v>
      </c>
      <c r="BG2058" s="22">
        <f>SUM(BH2011:BH2012)</f>
        <v>0</v>
      </c>
      <c r="BP2058" s="22">
        <f>SUM(BQ2011:BQ2012)</f>
        <v>0</v>
      </c>
      <c r="BY2058" s="22">
        <f>SUM(BZ2011:BZ2012)</f>
        <v>0</v>
      </c>
      <c r="CH2058" s="22">
        <f>SUM(CI2011:CI2012)</f>
        <v>0</v>
      </c>
      <c r="CQ2058" s="22">
        <f>SUM(CR2011:CR2012)</f>
        <v>0</v>
      </c>
      <c r="CZ2058" s="22">
        <f>SUM(DA2011:DA2012)</f>
        <v>0</v>
      </c>
    </row>
    <row r="2060" spans="4:106" x14ac:dyDescent="0.25">
      <c r="E2060" s="21" t="str">
        <f>IF(E2056&gt;=51%,D2056,IF(E2057&gt;=51%,D2057,IF(E2058&gt;=51%,D2058,IF(SUM(E2056:E2057)&gt;SUM(E2057:E2058),D2056,IF(SUM(E2056:E2057)&lt;SUM(E2057:E2058),D2058,"Algo esta Mal")))))</f>
        <v>Algo esta Mal</v>
      </c>
      <c r="N2060" s="21" t="str">
        <f>IF(N2056&gt;=51%,M2056,IF(N2057&gt;=51%,M2057,IF(N2058&gt;=51%,M2058,IF(SUM(N2056:N2057)&gt;SUM(N2057:N2058),M2056,IF(SUM(N2056:N2057)&lt;SUM(N2057:N2058),M2058,"Algo esta Mal")))))</f>
        <v>Algo esta Mal</v>
      </c>
      <c r="W2060" s="21" t="str">
        <f>IF(W2056&gt;=51%,V2056,IF(W2057&gt;=51%,V2057,IF(W2058&gt;=51%,V2058,IF(SUM(W2056:W2057)&gt;SUM(W2057:W2058),V2056,IF(SUM(W2056:W2057)&lt;SUM(W2057:W2058),V2058,"Algo esta Mal")))))</f>
        <v>Algo esta Mal</v>
      </c>
      <c r="AF2060" s="21" t="str">
        <f>IF(AF2056&gt;=51%,AE2056,IF(AF2057&gt;=51%,AE2057,IF(AF2058&gt;=51%,AE2058,IF(SUM(AF2056:AF2057)&gt;SUM(AF2057:AF2058),AE2056,IF(SUM(AF2056:AF2057)&lt;SUM(AF2057:AF2058),AE2058,"Algo esta Mal")))))</f>
        <v>Algo esta Mal</v>
      </c>
      <c r="AO2060" s="21" t="str">
        <f>IF(AO2056&gt;=51%,AN2056,IF(AO2057&gt;=51%,AN2057,IF(AO2058&gt;=51%,AN2058,IF(SUM(AO2056:AO2057)&gt;SUM(AO2057:AO2058),AN2056,IF(SUM(AO2056:AO2057)&lt;SUM(AO2057:AO2058),AN2058,"Algo esta Mal")))))</f>
        <v>Algo esta Mal</v>
      </c>
      <c r="AX2060" s="21" t="str">
        <f>IF(AX2056&gt;=51%,AW2056,IF(AX2057&gt;=51%,AW2057,IF(AX2058&gt;=51%,AW2058,IF(SUM(AX2056:AX2057)&gt;SUM(AX2057:AX2058),AW2056,IF(SUM(AX2056:AX2057)&lt;SUM(AX2057:AX2058),AW2058,"Algo esta Mal")))))</f>
        <v>Algo esta Mal</v>
      </c>
      <c r="BG2060" s="21" t="str">
        <f>IF(BG2056&gt;=51%,BF2056,IF(BG2057&gt;=51%,BF2057,IF(BG2058&gt;=51%,BF2058,IF(SUM(BG2056:BG2057)&gt;SUM(BG2057:BG2058),BF2056,IF(SUM(BG2056:BG2057)&lt;SUM(BG2057:BG2058),BF2058,"Algo esta Mal")))))</f>
        <v>Algo esta Mal</v>
      </c>
      <c r="BP2060" s="21" t="str">
        <f>IF(BP2056&gt;=51%,BO2056,IF(BP2057&gt;=51%,BO2057,IF(BP2058&gt;=51%,BO2058,IF(SUM(BP2056:BP2057)&gt;SUM(BP2057:BP2058),BO2056,IF(SUM(BP2056:BP2057)&lt;SUM(BP2057:BP2058),BO2058,"Algo esta Mal")))))</f>
        <v>Algo esta Mal</v>
      </c>
      <c r="BY2060" s="21" t="str">
        <f>IF(BY2056&gt;=51%,BX2056,IF(BY2057&gt;=51%,BX2057,IF(BY2058&gt;=51%,BX2058,IF(SUM(BY2056:BY2057)&gt;SUM(BY2057:BY2058),BX2056,IF(SUM(BY2056:BY2057)&lt;SUM(BY2057:BY2058),BX2058,"Algo esta Mal")))))</f>
        <v>Algo esta Mal</v>
      </c>
      <c r="CH2060" s="21" t="str">
        <f>IF(CH2056&gt;=51%,CG2056,IF(CH2057&gt;=51%,CG2057,IF(CH2058&gt;=51%,CG2058,IF(SUM(CH2056:CH2057)&gt;SUM(CH2057:CH2058),CG2056,IF(SUM(CH2056:CH2057)&lt;SUM(CH2057:CH2058),CG2058,"Algo esta Mal")))))</f>
        <v>Algo esta Mal</v>
      </c>
      <c r="CQ2060" s="21" t="str">
        <f>IF(CQ2056&gt;=51%,CP2056,IF(CQ2057&gt;=51%,CP2057,IF(CQ2058&gt;=51%,CP2058,IF(SUM(CQ2056:CQ2057)&gt;SUM(CQ2057:CQ2058),CP2056,IF(SUM(CQ2056:CQ2057)&lt;SUM(CQ2057:CQ2058),CP2058,"Algo esta Mal")))))</f>
        <v>Algo esta Mal</v>
      </c>
      <c r="CZ2060" s="21" t="str">
        <f>IF(CZ2056&gt;=51%,CY2056,IF(CZ2057&gt;=51%,CY2057,IF(CZ2058&gt;=51%,CY2058,IF(SUM(CZ2056:CZ2057)&gt;SUM(CZ2057:CZ2058),CY2056,IF(SUM(CZ2056:CZ2057)&lt;SUM(CZ2057:CZ2058),CY2058,"Algo esta Mal")))))</f>
        <v>Algo esta Mal</v>
      </c>
    </row>
    <row r="2062" spans="4:106" x14ac:dyDescent="0.25">
      <c r="E2062" s="21" t="s">
        <v>92</v>
      </c>
      <c r="N2062" s="21"/>
      <c r="W2062" s="21"/>
      <c r="AF2062" s="21"/>
      <c r="AO2062" s="21"/>
      <c r="AX2062" s="21"/>
      <c r="BG2062" s="21"/>
      <c r="BP2062" s="21"/>
      <c r="BY2062" s="21"/>
      <c r="CH2062" s="21"/>
      <c r="CQ2062" s="21"/>
      <c r="CZ2062" s="21"/>
    </row>
    <row r="2135" spans="4:105" x14ac:dyDescent="0.25">
      <c r="D2135" s="52" t="str">
        <f>CONCATENATE("En ","la ",D5," y ",D33," se observa los resultados  de la  ",D4," el cual aborda ",E2062,",en donde se demuestra que el ",ROUND(F2008*100,0),"%"," de los ",D1045," tienen una percepción de ",G2046,", el ",ROUND(F2009*100,0),"%"," ",G2047,", un ",ROUND(F2010*100,0),"%"," ",G2048,",",IF(E2049&gt;0,CONCATENATE(" ademas el ",ROUND(F2011*100,0),"%"," ",G2049,)," "),IF(E2049&gt;0,CONCATENATE(" y ",ROUND(F2012*100,0),"%",", ",G2050,)," "),"en tal sentido la mayoría de los ",D1045," es decir el ",ROUND(E2053*100,0),"%"," tienen una percepción con una inclinación a un valor ",D2056,","," para ",E2062,".")</f>
        <v>En la Tabla 1 y Figura. 1 se observa los resultados  de la  Pregunta 1 el cual aborda .,en donde se demuestra que el 0% de los Docentess tienen una percepción de  , el 0%  , un 0%  ,  en tal sentido la mayoría de los Docentess es decir el 0% tienen una percepción con una inclinación a un valor , para ..</v>
      </c>
      <c r="E2135" s="53"/>
      <c r="F2135" s="53"/>
      <c r="M2135" s="52" t="str">
        <f>CONCATENATE("En ","la ",M5," y ",M33," se observa los resultados  de la  ",M4," el cual aborda ",N2062,",en donde se demuestra que el ",ROUND(O2008*100,0),"%"," de los ",M1045," tienen una percepción de ",P2046,", el ",ROUND(O2009*100,0),"%"," ",P2047,", un ",ROUND(O2010*100,0),"%"," ",P2048,",",IF(N2049&gt;0,CONCATENATE(" ademas el ",ROUND(O2011*100,0),"%"," ",P2049,)," "),IF(N2049&gt;0,CONCATENATE(" y ",ROUND(O2012*100,0),"%",", ",P2050,)," "),"en tal sentido la mayoría de los ",M1045," es decir el ",ROUND(N2053*100,0),"%"," tienen una percepción con una inclinación a un valor ",M2056,","," para ",N2062,".")</f>
        <v>En la Tabla 2 y Figura. 2 se observa los resultados  de la  Pregunta 2 el cual aborda ,en donde se demuestra que el 0% de los Docentess tienen una percepción de  , el 0%  , un 0%  ,  en tal sentido la mayoría de los Docentess es decir el 0% tienen una percepción con una inclinación a un valor , para .</v>
      </c>
      <c r="N2135" s="53"/>
      <c r="O2135" s="53"/>
      <c r="V2135" s="52" t="str">
        <f>CONCATENATE("En ","la ",V5," y ",V33," se observa los resultados  de la  ",V4," el cual aborda ",W2062,",en donde se demuestra que el ",ROUND(X2008*100,0),"%"," de los ",V1045," tienen una percepción de ",Y2046,", el ",ROUND(X2009*100,0),"%"," ",Y2047,", un ",ROUND(X2010*100,0),"%"," ",Y2048,",",IF(W2049&gt;0,CONCATENATE(" ademas el ",ROUND(X2011*100,0),"%"," ",Y2049,)," "),IF(W2049&gt;0,CONCATENATE(" y ",ROUND(X2012*100,0),"%",", ",Y2050,)," "),"en tal sentido la mayoría de los ",V1045," es decir el ",ROUND(W2053*100,0),"%"," tienen una percepción con una inclinación a un valor ",V2056,","," para ",W2062,".")</f>
        <v>En la Tabla 3 y Figura. 3 se observa los resultados  de la  Pregunta 3 el cual aborda ,en donde se demuestra que el 0% de los Docentess tienen una percepción de  , el 0%  , un 0%  ,  en tal sentido la mayoría de los Docentess es decir el 0% tienen una percepción con una inclinación a un valor , para .</v>
      </c>
      <c r="W2135" s="53"/>
      <c r="X2135" s="53"/>
      <c r="AE2135" s="52" t="str">
        <f>CONCATENATE("En ","la ",AE5," y ",AE33," se observa los resultados  de la  ",AE4," el cual aborda ",AF2062,",en donde se demuestra que el ",ROUND(AG2008*100,0),"%"," de los ",AE1045," tienen una percepción de ",AH2046,", el ",ROUND(AG2009*100,0),"%"," ",AH2047,", un ",ROUND(AG2010*100,0),"%"," ",AH2048,",",IF(AF2049&gt;0,CONCATENATE(" ademas el ",ROUND(AG2011*100,0),"%"," ",AH2049,)," "),IF(AF2049&gt;0,CONCATENATE(" y ",ROUND(AG2012*100,0),"%",", ",AH2050,)," "),"en tal sentido la mayoría de los ",AE1045," es decir el ",ROUND(AF2053*100,0),"%"," tienen una percepción con una inclinación a un valor ",AE2056,","," para ",AF2062,".")</f>
        <v>En la Tabla 4 y Figura. 4 se observa los resultados  de la  Pregunta 4 el cual aborda ,en donde se demuestra que el 0% de los Docentess tienen una percepción de  , el 0%  , un 0%  ,  en tal sentido la mayoría de los Docentess es decir el 0% tienen una percepción con una inclinación a un valor , para .</v>
      </c>
      <c r="AF2135" s="53"/>
      <c r="AG2135" s="53"/>
      <c r="AN2135" s="52" t="str">
        <f>CONCATENATE("En ","la ",AN5," y ",AN33," se observa los resultados  de la  ",AN4," el cual aborda ",AO2062,",en donde se demuestra que el ",ROUND(AP2008*100,0),"%"," de los ",AN1045," tienen una percepción de ",AQ2046,", el ",ROUND(AP2009*100,0),"%"," ",AQ2047,", un ",ROUND(AP2010*100,0),"%"," ",AQ2048,",",IF(AO2049&gt;0,CONCATENATE(" ademas el ",ROUND(AP2011*100,0),"%"," ",AQ2049,)," "),IF(AO2049&gt;0,CONCATENATE(" y ",ROUND(AP2012*100,0),"%",", ",AQ2050,)," "),"en tal sentido la mayoría de los ",AN1045," es decir el ",ROUND(AO2053*100,0),"%"," tienen una percepción con una inclinación a un valor ",AN2056,","," para ",AO2062,".")</f>
        <v>En la Tabla 5 y Figura. 5 se observa los resultados  de la  Pregunta 5 el cual aborda ,en donde se demuestra que el 0% de los Docentess tienen una percepción de  , el 0%  , un 0%  ,  en tal sentido la mayoría de los Docentess es decir el 0% tienen una percepción con una inclinación a un valor , para .</v>
      </c>
      <c r="AO2135" s="53"/>
      <c r="AP2135" s="53"/>
      <c r="AW2135" s="52" t="str">
        <f>CONCATENATE("En ","la ",AW5," y ",AW33," se observa los resultados  de la  ",AW4," el cual aborda ",AX2062,",en donde se demuestra que el ",ROUND(AY2008*100,0),"%"," de los ",AW1045," tienen una percepción de ",AZ2046,", el ",ROUND(AY2009*100,0),"%"," ",AZ2047,", un ",ROUND(AY2010*100,0),"%"," ",AZ2048,",",IF(AX2049&gt;0,CONCATENATE(" ademas el ",ROUND(AY2011*100,0),"%"," ",AZ2049,)," "),IF(AX2049&gt;0,CONCATENATE(" y ",ROUND(AY2012*100,0),"%",", ",AZ2050,)," "),"en tal sentido la mayoría de los ",AW1045," es decir el ",ROUND(AX2053*100,0),"%"," tienen una percepción con una inclinación a un valor ",AW2056,","," para ",AX2062,".")</f>
        <v>En la Tabla 6 y Figura. 6 se observa los resultados  de la  Pregunta 6 el cual aborda ,en donde se demuestra que el 0% de los Docentess tienen una percepción de  , el 0%  , un 0%  ,  en tal sentido la mayoría de los Docentess es decir el 0% tienen una percepción con una inclinación a un valor , para .</v>
      </c>
      <c r="AX2135" s="53"/>
      <c r="AY2135" s="53"/>
      <c r="BF2135" s="52" t="str">
        <f>CONCATENATE("En ","la ",BF5," y ",BF33," se observa los resultados  de la  ",BF4," el cual aborda ",BG2062,",en donde se demuestra que el ",ROUND(BH2008*100,0),"%"," de los ",BF1045," tienen una percepción de ",BI2046,", el ",ROUND(BH2009*100,0),"%"," ",BI2047,", un ",ROUND(BH2010*100,0),"%"," ",BI2048,",",IF(BG2049&gt;0,CONCATENATE(" ademas el ",ROUND(BH2011*100,0),"%"," ",BI2049,)," "),IF(BG2049&gt;0,CONCATENATE(" y ",ROUND(BH2012*100,0),"%",", ",BI2050,)," "),"en tal sentido la mayoría de los ",BF1045," es decir el ",ROUND(BG2053*100,0),"%"," tienen una percepción con una inclinación a un valor ",BF2056,","," para ",BG2062,".")</f>
        <v>En la Tabla 7 y Figura. 7 se observa los resultados  de la  Pregunta 7 el cual aborda ,en donde se demuestra que el 0% de los Docentess tienen una percepción de  , el 0%  , un 0%  ,  en tal sentido la mayoría de los Docentess es decir el 0% tienen una percepción con una inclinación a un valor , para .</v>
      </c>
      <c r="BG2135" s="53"/>
      <c r="BH2135" s="53"/>
      <c r="BO2135" s="52" t="str">
        <f>CONCATENATE("En ","la ",BO5," y ",BO33," se observa los resultados  de la  ",BO4," el cual aborda ",BP2062,",en donde se demuestra que el ",ROUND(BQ2008*100,0),"%"," de los ",BO1045," tienen una percepción de ",BR2046,", el ",ROUND(BQ2009*100,0),"%"," ",BR2047,", un ",ROUND(BQ2010*100,0),"%"," ",BR2048,",",IF(BP2049&gt;0,CONCATENATE(" ademas el ",ROUND(BQ2011*100,0),"%"," ",BR2049,)," "),IF(BP2049&gt;0,CONCATENATE(" y ",ROUND(BQ2012*100,0),"%",", ",BR2050,)," "),"en tal sentido la mayoría de los ",BO1045," es decir el ",ROUND(BP2053*100,0),"%"," tienen una percepción con una inclinación a un valor ",BO2056,","," para ",BP2062,".")</f>
        <v>En la Tabla 8 y Figura. 8 se observa los resultados  de la  Pregunta 8 el cual aborda ,en donde se demuestra que el 0% de los Docentess tienen una percepción de  , el 0%  , un 0%  ,  en tal sentido la mayoría de los Docentess es decir el 0% tienen una percepción con una inclinación a un valor , para .</v>
      </c>
      <c r="BP2135" s="53"/>
      <c r="BQ2135" s="53"/>
      <c r="BX2135" s="52" t="str">
        <f>CONCATENATE("En ","la ",BX5," y ",BX33," se observa los resultados  de la  ",BX4," el cual aborda ",BY2062,",en donde se demuestra que el ",ROUND(BZ2008*100,0),"%"," de los ",BX1045," tienen una percepción de ",CA2046,", el ",ROUND(BZ2009*100,0),"%"," ",CA2047,", un ",ROUND(BZ2010*100,0),"%"," ",CA2048,",",IF(BY2049&gt;0,CONCATENATE(" ademas el ",ROUND(BZ2011*100,0),"%"," ",CA2049,)," "),IF(BY2049&gt;0,CONCATENATE(" y ",ROUND(BZ2012*100,0),"%",", ",CA2050,)," "),"en tal sentido la mayoría de los ",BX1045," es decir el ",ROUND(BY2053*100,0),"%"," tienen una percepción con una inclinación a un valor ",BX2056,","," para ",BY2062,".")</f>
        <v>En la Tabla 9 y Figura. 9 se observa los resultados  de la  Pregunta 9 el cual aborda ,en donde se demuestra que el 0% de los Docentess tienen una percepción de  , el 0%  , un 0%  ,  en tal sentido la mayoría de los Docentess es decir el 0% tienen una percepción con una inclinación a un valor , para .</v>
      </c>
      <c r="BY2135" s="53"/>
      <c r="BZ2135" s="53"/>
      <c r="CG2135" s="52" t="str">
        <f>CONCATENATE("En ","la ",CG5," y ",CG33," se observa los resultados  de la  ",CG4," el cual aborda ",CH2062,",en donde se demuestra que el ",ROUND(CI2008*100,0),"%"," de los ",CG1045," tienen una percepción de ",CJ2046,", el ",ROUND(CI2009*100,0),"%"," ",CJ2047,", un ",ROUND(CI2010*100,0),"%"," ",CJ2048,",",IF(CH2049&gt;0,CONCATENATE(" ademas el ",ROUND(CI2011*100,0),"%"," ",CJ2049,)," "),IF(CH2049&gt;0,CONCATENATE(" y ",ROUND(CI2012*100,0),"%",", ",CJ2050,)," "),"en tal sentido la mayoría de los ",CG1045," es decir el ",ROUND(CH2053*100,0),"%"," tienen una percepción con una inclinación a un valor ",CG2056,","," para ",CH2062,".")</f>
        <v>En la Tabla 10 y Figura. 10 se observa los resultados  de la  Pregunta 10 el cual aborda ,en donde se demuestra que el 0% de los Docentess tienen una percepción de  , el 0%  , un 0%  ,  en tal sentido la mayoría de los Docentess es decir el 0% tienen una percepción con una inclinación a un valor , para .</v>
      </c>
      <c r="CH2135" s="53"/>
      <c r="CI2135" s="53"/>
      <c r="CP2135" s="52" t="str">
        <f>CONCATENATE("En ","la ",CP5," y ",CP33," se observa los resultados  de la  ",CP4," el cual aborda ",CQ2062,",en donde se demuestra que el ",ROUND(CR2008*100,0),"%"," de los ",CP1045," tienen una percepción de ",CS2046,", el ",ROUND(CR2009*100,0),"%"," ",CS2047,", un ",ROUND(CR2010*100,0),"%"," ",CS2048,",",IF(CQ2049&gt;0,CONCATENATE(" ademas el ",ROUND(CR2011*100,0),"%"," ",CS2049,)," "),IF(CQ2049&gt;0,CONCATENATE(" y ",ROUND(CR2012*100,0),"%",", ",CS2050,)," "),"en tal sentido la mayoría de los ",CP1045," es decir el ",ROUND(CQ2053*100,0),"%"," tienen una percepción con una inclinación a un valor ",CP2056,","," para ",CQ2062,".")</f>
        <v>En la Tabla 11 y Figura. 11 se observa los resultados  de la  Pregunta 11 el cual aborda ,en donde se demuestra que el 0% de los Docentess tienen una percepción de  , el 0%  , un 0%  ,  en tal sentido la mayoría de los Docentess es decir el 0% tienen una percepción con una inclinación a un valor , para .</v>
      </c>
      <c r="CQ2135" s="53"/>
      <c r="CR2135" s="53"/>
      <c r="CY2135" s="52" t="str">
        <f>CONCATENATE("En ","la ",CY5," y ",CY33," se observa los resultados  de la  ",CY4," el cual aborda ",CZ2062,",en donde se demuestra que el ",ROUND(DA2008*100,0),"%"," de los ",CY1045," tienen una percepción de ",DB2046,", el ",ROUND(DA2009*100,0),"%"," ",DB2047,", un ",ROUND(DA2010*100,0),"%"," ",DB2048,",",IF(CZ2049&gt;0,CONCATENATE(" ademas el ",ROUND(DA2011*100,0),"%"," ",DB2049,)," "),IF(CZ2049&gt;0,CONCATENATE(" y ",ROUND(DA2012*100,0),"%",", ",DB2050,)," "),"en tal sentido la mayoría de los ",CY1045," es decir el ",ROUND(CZ2053*100,0),"%"," tienen una percepción con una inclinación a un valor ",CY2056,","," para ",CZ2062,".")</f>
        <v>En la Tabla 12 y Figura. 12 se observa los resultados  de la  Pregunta 12 el cual aborda ,en donde se demuestra que el 0% de los Docentess tienen una percepción de  , el 0%  , un 0%  ,  en tal sentido la mayoría de los Docentess es decir el 0% tienen una percepción con una inclinación a un valor , para .</v>
      </c>
      <c r="CZ2135" s="53"/>
      <c r="DA2135" s="53"/>
    </row>
    <row r="2136" spans="4:105" x14ac:dyDescent="0.25">
      <c r="D2136" s="53"/>
      <c r="E2136" s="53"/>
      <c r="F2136" s="53"/>
      <c r="M2136" s="53"/>
      <c r="N2136" s="53"/>
      <c r="O2136" s="53"/>
      <c r="V2136" s="53"/>
      <c r="W2136" s="53"/>
      <c r="X2136" s="53"/>
      <c r="AE2136" s="53"/>
      <c r="AF2136" s="53"/>
      <c r="AG2136" s="53"/>
      <c r="AN2136" s="53"/>
      <c r="AO2136" s="53"/>
      <c r="AP2136" s="53"/>
      <c r="AW2136" s="53"/>
      <c r="AX2136" s="53"/>
      <c r="AY2136" s="53"/>
      <c r="BF2136" s="53"/>
      <c r="BG2136" s="53"/>
      <c r="BH2136" s="53"/>
      <c r="BO2136" s="53"/>
      <c r="BP2136" s="53"/>
      <c r="BQ2136" s="53"/>
      <c r="BX2136" s="53"/>
      <c r="BY2136" s="53"/>
      <c r="BZ2136" s="53"/>
      <c r="CG2136" s="53"/>
      <c r="CH2136" s="53"/>
      <c r="CI2136" s="53"/>
      <c r="CP2136" s="53"/>
      <c r="CQ2136" s="53"/>
      <c r="CR2136" s="53"/>
      <c r="CY2136" s="53"/>
      <c r="CZ2136" s="53"/>
      <c r="DA2136" s="53"/>
    </row>
    <row r="2137" spans="4:105" x14ac:dyDescent="0.25">
      <c r="D2137" s="53"/>
      <c r="E2137" s="53"/>
      <c r="F2137" s="53"/>
      <c r="M2137" s="53"/>
      <c r="N2137" s="53"/>
      <c r="O2137" s="53"/>
      <c r="V2137" s="53"/>
      <c r="W2137" s="53"/>
      <c r="X2137" s="53"/>
      <c r="AE2137" s="53"/>
      <c r="AF2137" s="53"/>
      <c r="AG2137" s="53"/>
      <c r="AN2137" s="53"/>
      <c r="AO2137" s="53"/>
      <c r="AP2137" s="53"/>
      <c r="AW2137" s="53"/>
      <c r="AX2137" s="53"/>
      <c r="AY2137" s="53"/>
      <c r="BF2137" s="53"/>
      <c r="BG2137" s="53"/>
      <c r="BH2137" s="53"/>
      <c r="BO2137" s="53"/>
      <c r="BP2137" s="53"/>
      <c r="BQ2137" s="53"/>
      <c r="BX2137" s="53"/>
      <c r="BY2137" s="53"/>
      <c r="BZ2137" s="53"/>
      <c r="CG2137" s="53"/>
      <c r="CH2137" s="53"/>
      <c r="CI2137" s="53"/>
      <c r="CP2137" s="53"/>
      <c r="CQ2137" s="53"/>
      <c r="CR2137" s="53"/>
      <c r="CY2137" s="53"/>
      <c r="CZ2137" s="53"/>
      <c r="DA2137" s="53"/>
    </row>
    <row r="2138" spans="4:105" x14ac:dyDescent="0.25">
      <c r="D2138" s="53"/>
      <c r="E2138" s="53"/>
      <c r="F2138" s="53"/>
      <c r="M2138" s="53"/>
      <c r="N2138" s="53"/>
      <c r="O2138" s="53"/>
      <c r="V2138" s="53"/>
      <c r="W2138" s="53"/>
      <c r="X2138" s="53"/>
      <c r="AE2138" s="53"/>
      <c r="AF2138" s="53"/>
      <c r="AG2138" s="53"/>
      <c r="AN2138" s="53"/>
      <c r="AO2138" s="53"/>
      <c r="AP2138" s="53"/>
      <c r="AW2138" s="53"/>
      <c r="AX2138" s="53"/>
      <c r="AY2138" s="53"/>
      <c r="BF2138" s="53"/>
      <c r="BG2138" s="53"/>
      <c r="BH2138" s="53"/>
      <c r="BO2138" s="53"/>
      <c r="BP2138" s="53"/>
      <c r="BQ2138" s="53"/>
      <c r="BX2138" s="53"/>
      <c r="BY2138" s="53"/>
      <c r="BZ2138" s="53"/>
      <c r="CG2138" s="53"/>
      <c r="CH2138" s="53"/>
      <c r="CI2138" s="53"/>
      <c r="CP2138" s="53"/>
      <c r="CQ2138" s="53"/>
      <c r="CR2138" s="53"/>
      <c r="CY2138" s="53"/>
      <c r="CZ2138" s="53"/>
      <c r="DA2138" s="53"/>
    </row>
    <row r="2139" spans="4:105" x14ac:dyDescent="0.25">
      <c r="D2139" s="53"/>
      <c r="E2139" s="53"/>
      <c r="F2139" s="53"/>
      <c r="M2139" s="53"/>
      <c r="N2139" s="53"/>
      <c r="O2139" s="53"/>
      <c r="V2139" s="53"/>
      <c r="W2139" s="53"/>
      <c r="X2139" s="53"/>
      <c r="AE2139" s="53"/>
      <c r="AF2139" s="53"/>
      <c r="AG2139" s="53"/>
      <c r="AN2139" s="53"/>
      <c r="AO2139" s="53"/>
      <c r="AP2139" s="53"/>
      <c r="AW2139" s="53"/>
      <c r="AX2139" s="53"/>
      <c r="AY2139" s="53"/>
      <c r="BF2139" s="53"/>
      <c r="BG2139" s="53"/>
      <c r="BH2139" s="53"/>
      <c r="BO2139" s="53"/>
      <c r="BP2139" s="53"/>
      <c r="BQ2139" s="53"/>
      <c r="BX2139" s="53"/>
      <c r="BY2139" s="53"/>
      <c r="BZ2139" s="53"/>
      <c r="CG2139" s="53"/>
      <c r="CH2139" s="53"/>
      <c r="CI2139" s="53"/>
      <c r="CP2139" s="53"/>
      <c r="CQ2139" s="53"/>
      <c r="CR2139" s="53"/>
      <c r="CY2139" s="53"/>
      <c r="CZ2139" s="53"/>
      <c r="DA2139" s="53"/>
    </row>
    <row r="2140" spans="4:105" x14ac:dyDescent="0.25">
      <c r="D2140" s="53"/>
      <c r="E2140" s="53"/>
      <c r="F2140" s="53"/>
      <c r="M2140" s="53"/>
      <c r="N2140" s="53"/>
      <c r="O2140" s="53"/>
      <c r="V2140" s="53"/>
      <c r="W2140" s="53"/>
      <c r="X2140" s="53"/>
      <c r="AE2140" s="53"/>
      <c r="AF2140" s="53"/>
      <c r="AG2140" s="53"/>
      <c r="AN2140" s="53"/>
      <c r="AO2140" s="53"/>
      <c r="AP2140" s="53"/>
      <c r="AW2140" s="53"/>
      <c r="AX2140" s="53"/>
      <c r="AY2140" s="53"/>
      <c r="BF2140" s="53"/>
      <c r="BG2140" s="53"/>
      <c r="BH2140" s="53"/>
      <c r="BO2140" s="53"/>
      <c r="BP2140" s="53"/>
      <c r="BQ2140" s="53"/>
      <c r="BX2140" s="53"/>
      <c r="BY2140" s="53"/>
      <c r="BZ2140" s="53"/>
      <c r="CG2140" s="53"/>
      <c r="CH2140" s="53"/>
      <c r="CI2140" s="53"/>
      <c r="CP2140" s="53"/>
      <c r="CQ2140" s="53"/>
      <c r="CR2140" s="53"/>
      <c r="CY2140" s="53"/>
      <c r="CZ2140" s="53"/>
      <c r="DA2140" s="53"/>
    </row>
    <row r="2141" spans="4:105" x14ac:dyDescent="0.25">
      <c r="D2141" s="53"/>
      <c r="E2141" s="53"/>
      <c r="F2141" s="53"/>
      <c r="M2141" s="53"/>
      <c r="N2141" s="53"/>
      <c r="O2141" s="53"/>
      <c r="V2141" s="53"/>
      <c r="W2141" s="53"/>
      <c r="X2141" s="53"/>
      <c r="AE2141" s="53"/>
      <c r="AF2141" s="53"/>
      <c r="AG2141" s="53"/>
      <c r="AN2141" s="53"/>
      <c r="AO2141" s="53"/>
      <c r="AP2141" s="53"/>
      <c r="AW2141" s="53"/>
      <c r="AX2141" s="53"/>
      <c r="AY2141" s="53"/>
      <c r="BF2141" s="53"/>
      <c r="BG2141" s="53"/>
      <c r="BH2141" s="53"/>
      <c r="BO2141" s="53"/>
      <c r="BP2141" s="53"/>
      <c r="BQ2141" s="53"/>
      <c r="BX2141" s="53"/>
      <c r="BY2141" s="53"/>
      <c r="BZ2141" s="53"/>
      <c r="CG2141" s="53"/>
      <c r="CH2141" s="53"/>
      <c r="CI2141" s="53"/>
      <c r="CP2141" s="53"/>
      <c r="CQ2141" s="53"/>
      <c r="CR2141" s="53"/>
      <c r="CY2141" s="53"/>
      <c r="CZ2141" s="53"/>
      <c r="DA2141" s="53"/>
    </row>
    <row r="2142" spans="4:105" x14ac:dyDescent="0.25">
      <c r="D2142" s="53"/>
      <c r="E2142" s="53"/>
      <c r="F2142" s="53"/>
      <c r="M2142" s="53"/>
      <c r="N2142" s="53"/>
      <c r="O2142" s="53"/>
      <c r="V2142" s="53"/>
      <c r="W2142" s="53"/>
      <c r="X2142" s="53"/>
      <c r="AE2142" s="53"/>
      <c r="AF2142" s="53"/>
      <c r="AG2142" s="53"/>
      <c r="AN2142" s="53"/>
      <c r="AO2142" s="53"/>
      <c r="AP2142" s="53"/>
      <c r="AW2142" s="53"/>
      <c r="AX2142" s="53"/>
      <c r="AY2142" s="53"/>
      <c r="BF2142" s="53"/>
      <c r="BG2142" s="53"/>
      <c r="BH2142" s="53"/>
      <c r="BO2142" s="53"/>
      <c r="BP2142" s="53"/>
      <c r="BQ2142" s="53"/>
      <c r="BX2142" s="53"/>
      <c r="BY2142" s="53"/>
      <c r="BZ2142" s="53"/>
      <c r="CG2142" s="53"/>
      <c r="CH2142" s="53"/>
      <c r="CI2142" s="53"/>
      <c r="CP2142" s="53"/>
      <c r="CQ2142" s="53"/>
      <c r="CR2142" s="53"/>
      <c r="CY2142" s="53"/>
      <c r="CZ2142" s="53"/>
      <c r="DA2142" s="53"/>
    </row>
    <row r="2143" spans="4:105" x14ac:dyDescent="0.25">
      <c r="D2143" s="53"/>
      <c r="E2143" s="53"/>
      <c r="F2143" s="53"/>
      <c r="M2143" s="53"/>
      <c r="N2143" s="53"/>
      <c r="O2143" s="53"/>
      <c r="V2143" s="53"/>
      <c r="W2143" s="53"/>
      <c r="X2143" s="53"/>
      <c r="AE2143" s="53"/>
      <c r="AF2143" s="53"/>
      <c r="AG2143" s="53"/>
      <c r="AN2143" s="53"/>
      <c r="AO2143" s="53"/>
      <c r="AP2143" s="53"/>
      <c r="AW2143" s="53"/>
      <c r="AX2143" s="53"/>
      <c r="AY2143" s="53"/>
      <c r="BF2143" s="53"/>
      <c r="BG2143" s="53"/>
      <c r="BH2143" s="53"/>
      <c r="BO2143" s="53"/>
      <c r="BP2143" s="53"/>
      <c r="BQ2143" s="53"/>
      <c r="BX2143" s="53"/>
      <c r="BY2143" s="53"/>
      <c r="BZ2143" s="53"/>
      <c r="CG2143" s="53"/>
      <c r="CH2143" s="53"/>
      <c r="CI2143" s="53"/>
      <c r="CP2143" s="53"/>
      <c r="CQ2143" s="53"/>
      <c r="CR2143" s="53"/>
      <c r="CY2143" s="53"/>
      <c r="CZ2143" s="53"/>
      <c r="DA2143" s="53"/>
    </row>
  </sheetData>
  <sheetProtection formatCells="0" formatColumns="0" formatRows="0" insertColumns="0" insertRows="0" insertHyperlinks="0" deleteColumns="0" deleteRows="0" sort="0" autoFilter="0" pivotTables="0"/>
  <mergeCells count="36">
    <mergeCell ref="CP4:CR4"/>
    <mergeCell ref="CP35:CR43"/>
    <mergeCell ref="CP2135:CR2143"/>
    <mergeCell ref="CY4:DA4"/>
    <mergeCell ref="CY35:DA43"/>
    <mergeCell ref="CY2135:DA2143"/>
    <mergeCell ref="BX4:BZ4"/>
    <mergeCell ref="BX35:BZ43"/>
    <mergeCell ref="BX2135:BZ2143"/>
    <mergeCell ref="CG4:CI4"/>
    <mergeCell ref="CG35:CI43"/>
    <mergeCell ref="CG2135:CI2143"/>
    <mergeCell ref="BF4:BH4"/>
    <mergeCell ref="BF35:BH43"/>
    <mergeCell ref="BF2135:BH2143"/>
    <mergeCell ref="BO4:BQ4"/>
    <mergeCell ref="BO35:BQ43"/>
    <mergeCell ref="BO2135:BQ2143"/>
    <mergeCell ref="AN4:AP4"/>
    <mergeCell ref="AN35:AP43"/>
    <mergeCell ref="AN2135:AP2143"/>
    <mergeCell ref="AW4:AY4"/>
    <mergeCell ref="AW35:AY43"/>
    <mergeCell ref="AW2135:AY2143"/>
    <mergeCell ref="V4:X4"/>
    <mergeCell ref="V35:X43"/>
    <mergeCell ref="V2135:X2143"/>
    <mergeCell ref="AE4:AG4"/>
    <mergeCell ref="AE35:AG43"/>
    <mergeCell ref="AE2135:AG2143"/>
    <mergeCell ref="D4:F4"/>
    <mergeCell ref="D35:F43"/>
    <mergeCell ref="D2135:F2143"/>
    <mergeCell ref="M4:O4"/>
    <mergeCell ref="M35:O43"/>
    <mergeCell ref="M2135:O214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B2107"/>
  <sheetViews>
    <sheetView workbookViewId="0">
      <selection activeCell="AE36" sqref="AE36:AG47"/>
    </sheetView>
  </sheetViews>
  <sheetFormatPr baseColWidth="10" defaultColWidth="9.140625" defaultRowHeight="15" x14ac:dyDescent="0.25"/>
  <cols>
    <col min="4" max="6" width="26" customWidth="1"/>
    <col min="13" max="15" width="26" customWidth="1"/>
    <col min="22" max="24" width="26" customWidth="1"/>
    <col min="31" max="33" width="26" customWidth="1"/>
  </cols>
  <sheetData>
    <row r="3" spans="2:35" x14ac:dyDescent="0.25">
      <c r="B3" s="4"/>
      <c r="C3" s="4"/>
      <c r="D3" s="4"/>
      <c r="E3" s="4"/>
      <c r="F3" s="4"/>
      <c r="G3" s="4"/>
      <c r="H3" s="4"/>
      <c r="K3" s="4"/>
      <c r="L3" s="4"/>
      <c r="M3" s="4"/>
      <c r="N3" s="4"/>
      <c r="O3" s="4"/>
      <c r="P3" s="4"/>
      <c r="Q3" s="4"/>
      <c r="T3" s="4"/>
      <c r="U3" s="4"/>
      <c r="V3" s="4"/>
      <c r="W3" s="4"/>
      <c r="X3" s="4"/>
      <c r="Y3" s="4"/>
      <c r="Z3" s="4"/>
      <c r="AC3" s="18"/>
      <c r="AD3" s="18"/>
      <c r="AE3" s="18"/>
      <c r="AF3" s="18"/>
      <c r="AG3" s="18"/>
      <c r="AH3" s="18"/>
      <c r="AI3" s="18"/>
    </row>
    <row r="4" spans="2:35" ht="15.75" x14ac:dyDescent="0.25">
      <c r="B4" s="4"/>
      <c r="D4" s="54" t="s">
        <v>157</v>
      </c>
      <c r="E4" s="55"/>
      <c r="F4" s="55"/>
      <c r="H4" s="4"/>
      <c r="K4" s="4"/>
      <c r="M4" s="54" t="s">
        <v>158</v>
      </c>
      <c r="N4" s="55"/>
      <c r="O4" s="55"/>
      <c r="Q4" s="4"/>
      <c r="T4" s="4"/>
      <c r="V4" s="54" t="s">
        <v>159</v>
      </c>
      <c r="W4" s="55"/>
      <c r="X4" s="55"/>
      <c r="Z4" s="4"/>
      <c r="AC4" s="18"/>
      <c r="AE4" s="54" t="s">
        <v>160</v>
      </c>
      <c r="AF4" s="55"/>
      <c r="AG4" s="55"/>
      <c r="AI4" s="18"/>
    </row>
    <row r="5" spans="2:35" x14ac:dyDescent="0.25">
      <c r="B5" s="4"/>
      <c r="D5" s="3" t="s">
        <v>68</v>
      </c>
      <c r="H5" s="4"/>
      <c r="K5" s="4"/>
      <c r="M5" s="3" t="s">
        <v>69</v>
      </c>
      <c r="Q5" s="4"/>
      <c r="T5" s="4"/>
      <c r="V5" s="3" t="s">
        <v>70</v>
      </c>
      <c r="Z5" s="4"/>
      <c r="AC5" s="18"/>
      <c r="AE5" s="3" t="s">
        <v>71</v>
      </c>
      <c r="AI5" s="18"/>
    </row>
    <row r="6" spans="2:35" x14ac:dyDescent="0.25">
      <c r="B6" s="4"/>
      <c r="D6" s="3" t="s">
        <v>1</v>
      </c>
      <c r="H6" s="4"/>
      <c r="K6" s="4"/>
      <c r="M6" s="3" t="s">
        <v>2</v>
      </c>
      <c r="Q6" s="4"/>
      <c r="T6" s="4"/>
      <c r="V6" s="3" t="s">
        <v>3</v>
      </c>
      <c r="Z6" s="4"/>
      <c r="AC6" s="18"/>
      <c r="AE6" s="3" t="s">
        <v>56</v>
      </c>
      <c r="AI6" s="18"/>
    </row>
    <row r="7" spans="2:35" x14ac:dyDescent="0.25">
      <c r="B7" s="4"/>
      <c r="D7" s="6"/>
      <c r="E7" s="10" t="s">
        <v>73</v>
      </c>
      <c r="F7" s="10" t="s">
        <v>74</v>
      </c>
      <c r="H7" s="4"/>
      <c r="K7" s="4"/>
      <c r="M7" s="6"/>
      <c r="N7" s="10" t="s">
        <v>73</v>
      </c>
      <c r="O7" s="10" t="s">
        <v>74</v>
      </c>
      <c r="Q7" s="4"/>
      <c r="T7" s="4"/>
      <c r="V7" s="6"/>
      <c r="W7" s="10" t="s">
        <v>73</v>
      </c>
      <c r="X7" s="10" t="s">
        <v>74</v>
      </c>
      <c r="Z7" s="4"/>
      <c r="AC7" s="18"/>
      <c r="AE7" s="6"/>
      <c r="AF7" s="10" t="s">
        <v>73</v>
      </c>
      <c r="AG7" s="10" t="s">
        <v>74</v>
      </c>
      <c r="AI7" s="18"/>
    </row>
    <row r="8" spans="2:35" x14ac:dyDescent="0.25">
      <c r="B8" s="4"/>
      <c r="D8" s="17" t="str">
        <f>('Clima institucional'!A31)</f>
        <v>Nunca</v>
      </c>
      <c r="E8" s="9">
        <f>COUNTIF('Clima institucional'!B5:E24,1)</f>
        <v>30</v>
      </c>
      <c r="F8" s="13">
        <f>(E8/E13)</f>
        <v>0.375</v>
      </c>
      <c r="H8" s="4"/>
      <c r="K8" s="4"/>
      <c r="M8" s="17" t="str">
        <f>('Clima institucional'!A31)</f>
        <v>Nunca</v>
      </c>
      <c r="N8" s="9">
        <f>COUNTIF('Clima institucional'!F5:I24,1)</f>
        <v>27</v>
      </c>
      <c r="O8" s="13">
        <f>(N8/N13)</f>
        <v>0.33750000000000002</v>
      </c>
      <c r="Q8" s="4"/>
      <c r="T8" s="4"/>
      <c r="V8" s="17" t="str">
        <f>('Clima institucional'!A31)</f>
        <v>Nunca</v>
      </c>
      <c r="W8" s="9">
        <f>COUNTIF('Clima institucional'!J5:M24,1)</f>
        <v>34</v>
      </c>
      <c r="X8" s="13">
        <f>(W8/W13)</f>
        <v>0.42499999999999999</v>
      </c>
      <c r="Z8" s="4"/>
      <c r="AC8" s="18"/>
      <c r="AE8" s="17" t="str">
        <f>('Clima institucional'!A31)</f>
        <v>Nunca</v>
      </c>
      <c r="AF8" s="9">
        <f>COUNTIF('Clima institucional'!B5:M24,1)</f>
        <v>91</v>
      </c>
      <c r="AG8" s="13">
        <f>(AF8/AF13)</f>
        <v>0.37916666666666665</v>
      </c>
      <c r="AI8" s="18"/>
    </row>
    <row r="9" spans="2:35" x14ac:dyDescent="0.25">
      <c r="B9" s="4"/>
      <c r="D9" s="17" t="str">
        <f>('Clima institucional'!A32)</f>
        <v>Casi Nunca</v>
      </c>
      <c r="E9" s="9">
        <f>COUNTIF('Clima institucional'!B5:E24,2)</f>
        <v>32</v>
      </c>
      <c r="F9" s="13">
        <f>(E9/E13)</f>
        <v>0.4</v>
      </c>
      <c r="H9" s="4"/>
      <c r="K9" s="4"/>
      <c r="M9" s="17" t="str">
        <f>('Clima institucional'!A32)</f>
        <v>Casi Nunca</v>
      </c>
      <c r="N9" s="9">
        <f>COUNTIF('Clima institucional'!F5:I24,2)</f>
        <v>30</v>
      </c>
      <c r="O9" s="13">
        <f>(N9/N13)</f>
        <v>0.375</v>
      </c>
      <c r="Q9" s="4"/>
      <c r="T9" s="4"/>
      <c r="V9" s="17" t="str">
        <f>('Clima institucional'!A32)</f>
        <v>Casi Nunca</v>
      </c>
      <c r="W9" s="9">
        <f>COUNTIF('Clima institucional'!J5:M24,2)</f>
        <v>24</v>
      </c>
      <c r="X9" s="13">
        <f>(W9/W13)</f>
        <v>0.3</v>
      </c>
      <c r="Z9" s="4"/>
      <c r="AC9" s="18"/>
      <c r="AE9" s="17" t="str">
        <f>('Clima institucional'!A32)</f>
        <v>Casi Nunca</v>
      </c>
      <c r="AF9" s="9">
        <f>COUNTIF('Clima institucional'!B5:M24,2)</f>
        <v>86</v>
      </c>
      <c r="AG9" s="13">
        <f>(AF9/AF13)</f>
        <v>0.35833333333333334</v>
      </c>
      <c r="AI9" s="18"/>
    </row>
    <row r="10" spans="2:35" x14ac:dyDescent="0.25">
      <c r="B10" s="4"/>
      <c r="D10" s="17" t="str">
        <f>('Clima institucional'!A33)</f>
        <v>A veces</v>
      </c>
      <c r="E10" s="9">
        <f>COUNTIF('Clima institucional'!B5:E24,3)</f>
        <v>12</v>
      </c>
      <c r="F10" s="13">
        <f>(E10/E13)</f>
        <v>0.15</v>
      </c>
      <c r="H10" s="4"/>
      <c r="K10" s="4"/>
      <c r="M10" s="17" t="str">
        <f>('Clima institucional'!A33)</f>
        <v>A veces</v>
      </c>
      <c r="N10" s="9">
        <f>COUNTIF('Clima institucional'!F5:I24,3)</f>
        <v>12</v>
      </c>
      <c r="O10" s="13">
        <f>(N10/N13)</f>
        <v>0.15</v>
      </c>
      <c r="Q10" s="4"/>
      <c r="T10" s="4"/>
      <c r="V10" s="17" t="str">
        <f>('Clima institucional'!A33)</f>
        <v>A veces</v>
      </c>
      <c r="W10" s="9">
        <f>COUNTIF('Clima institucional'!J5:M24,3)</f>
        <v>9</v>
      </c>
      <c r="X10" s="13">
        <f>(W10/W13)</f>
        <v>0.1125</v>
      </c>
      <c r="Z10" s="4"/>
      <c r="AC10" s="18"/>
      <c r="AE10" s="17" t="str">
        <f>('Clima institucional'!A33)</f>
        <v>A veces</v>
      </c>
      <c r="AF10" s="9">
        <f>COUNTIF('Clima institucional'!B5:M24,3)</f>
        <v>33</v>
      </c>
      <c r="AG10" s="13">
        <f>(AF10/AF13)</f>
        <v>0.13750000000000001</v>
      </c>
      <c r="AI10" s="18"/>
    </row>
    <row r="11" spans="2:35" x14ac:dyDescent="0.25">
      <c r="B11" s="4"/>
      <c r="D11" s="17" t="str">
        <f>('Clima institucional'!A34)</f>
        <v>Casi siempre</v>
      </c>
      <c r="E11" s="9">
        <f>COUNTIF('Clima institucional'!B5:E24,4)</f>
        <v>3</v>
      </c>
      <c r="F11" s="13">
        <f>(E11/E13)</f>
        <v>3.7499999999999999E-2</v>
      </c>
      <c r="H11" s="4"/>
      <c r="K11" s="4"/>
      <c r="M11" s="17" t="str">
        <f>('Clima institucional'!A34)</f>
        <v>Casi siempre</v>
      </c>
      <c r="N11" s="9">
        <f>COUNTIF('Clima institucional'!F5:I24,4)</f>
        <v>6</v>
      </c>
      <c r="O11" s="13">
        <f>(N11/N13)</f>
        <v>7.4999999999999997E-2</v>
      </c>
      <c r="Q11" s="4"/>
      <c r="T11" s="4"/>
      <c r="V11" s="17" t="str">
        <f>('Clima institucional'!A34)</f>
        <v>Casi siempre</v>
      </c>
      <c r="W11" s="9">
        <f>COUNTIF('Clima institucional'!J5:M24,4)</f>
        <v>9</v>
      </c>
      <c r="X11" s="13">
        <f>(W11/W13)</f>
        <v>0.1125</v>
      </c>
      <c r="Z11" s="4"/>
      <c r="AC11" s="18"/>
      <c r="AE11" s="17" t="str">
        <f>('Clima institucional'!A34)</f>
        <v>Casi siempre</v>
      </c>
      <c r="AF11" s="9">
        <f>COUNTIF('Clima institucional'!B5:M24,4)</f>
        <v>18</v>
      </c>
      <c r="AG11" s="13">
        <f>(AF11/AF13)</f>
        <v>7.4999999999999997E-2</v>
      </c>
      <c r="AI11" s="18"/>
    </row>
    <row r="12" spans="2:35" x14ac:dyDescent="0.25">
      <c r="B12" s="4"/>
      <c r="D12" s="17" t="str">
        <f>('Clima institucional'!A35)</f>
        <v>Siempre</v>
      </c>
      <c r="E12" s="9">
        <f>COUNTIF('Clima institucional'!B5:E24,5)</f>
        <v>3</v>
      </c>
      <c r="F12" s="13">
        <f>(E12/E13)</f>
        <v>3.7499999999999999E-2</v>
      </c>
      <c r="H12" s="4"/>
      <c r="K12" s="4"/>
      <c r="M12" s="17" t="str">
        <f>('Clima institucional'!A35)</f>
        <v>Siempre</v>
      </c>
      <c r="N12" s="9">
        <f>COUNTIF('Clima institucional'!F5:I24,5)</f>
        <v>5</v>
      </c>
      <c r="O12" s="13">
        <f>(N12/N13)</f>
        <v>6.25E-2</v>
      </c>
      <c r="Q12" s="4"/>
      <c r="T12" s="4"/>
      <c r="V12" s="17" t="str">
        <f>('Clima institucional'!A35)</f>
        <v>Siempre</v>
      </c>
      <c r="W12" s="9">
        <f>COUNTIF('Clima institucional'!J5:M24,5)</f>
        <v>4</v>
      </c>
      <c r="X12" s="13">
        <f>(W12/W13)</f>
        <v>0.05</v>
      </c>
      <c r="Z12" s="4"/>
      <c r="AC12" s="18"/>
      <c r="AE12" s="17" t="str">
        <f>('Clima institucional'!A35)</f>
        <v>Siempre</v>
      </c>
      <c r="AF12" s="9">
        <f>COUNTIF('Clima institucional'!B5:M24,5)</f>
        <v>12</v>
      </c>
      <c r="AG12" s="13">
        <f>(AF12/AF13)</f>
        <v>0.05</v>
      </c>
      <c r="AI12" s="18"/>
    </row>
    <row r="13" spans="2:35" x14ac:dyDescent="0.25">
      <c r="B13" s="4"/>
      <c r="D13" s="20" t="str">
        <f>('Clima institucional'!A36)</f>
        <v>Total</v>
      </c>
      <c r="E13" s="10">
        <f>SUM(E8:E12)</f>
        <v>80</v>
      </c>
      <c r="F13" s="14">
        <f>SUM(F8:F12)</f>
        <v>1</v>
      </c>
      <c r="H13" s="4"/>
      <c r="K13" s="4"/>
      <c r="M13" s="20" t="str">
        <f>('Clima institucional'!A36)</f>
        <v>Total</v>
      </c>
      <c r="N13" s="10">
        <f>SUM(N8:N12)</f>
        <v>80</v>
      </c>
      <c r="O13" s="14">
        <f>SUM(O8:O12)</f>
        <v>1</v>
      </c>
      <c r="Q13" s="4"/>
      <c r="T13" s="4"/>
      <c r="V13" s="20" t="str">
        <f>('Clima institucional'!A36)</f>
        <v>Total</v>
      </c>
      <c r="W13" s="10">
        <f>SUM(W8:W12)</f>
        <v>80</v>
      </c>
      <c r="X13" s="14">
        <f>SUM(X8:X12)</f>
        <v>1</v>
      </c>
      <c r="Z13" s="4"/>
      <c r="AC13" s="18"/>
      <c r="AE13" s="20" t="str">
        <f>('Clima institucional'!A36)</f>
        <v>Total</v>
      </c>
      <c r="AF13" s="10">
        <f>SUM(AF8:AF12)</f>
        <v>240</v>
      </c>
      <c r="AG13" s="14">
        <f>SUM(AG8:AG12)</f>
        <v>1</v>
      </c>
      <c r="AI13" s="18"/>
    </row>
    <row r="14" spans="2:35" x14ac:dyDescent="0.25">
      <c r="B14" s="4"/>
      <c r="D14" s="3" t="s">
        <v>81</v>
      </c>
      <c r="H14" s="4"/>
      <c r="K14" s="4"/>
      <c r="M14" s="3" t="s">
        <v>81</v>
      </c>
      <c r="Q14" s="4"/>
      <c r="T14" s="4"/>
      <c r="V14" s="3" t="s">
        <v>81</v>
      </c>
      <c r="Z14" s="4"/>
      <c r="AC14" s="18"/>
      <c r="AE14" s="3" t="s">
        <v>81</v>
      </c>
      <c r="AI14" s="18"/>
    </row>
    <row r="15" spans="2:35" x14ac:dyDescent="0.25">
      <c r="B15" s="4"/>
      <c r="D15" s="3" t="s">
        <v>80</v>
      </c>
      <c r="H15" s="4"/>
      <c r="K15" s="4"/>
      <c r="M15" s="3" t="s">
        <v>80</v>
      </c>
      <c r="Q15" s="4"/>
      <c r="T15" s="4"/>
      <c r="V15" s="3" t="s">
        <v>80</v>
      </c>
      <c r="Z15" s="4"/>
      <c r="AC15" s="18"/>
      <c r="AE15" s="3" t="s">
        <v>80</v>
      </c>
      <c r="AI15" s="18"/>
    </row>
    <row r="16" spans="2:35" x14ac:dyDescent="0.25">
      <c r="B16" s="4"/>
      <c r="H16" s="4"/>
      <c r="K16" s="4"/>
      <c r="Q16" s="4"/>
      <c r="T16" s="4"/>
      <c r="Z16" s="4"/>
      <c r="AC16" s="18"/>
      <c r="AI16" s="18"/>
    </row>
    <row r="17" spans="2:35" x14ac:dyDescent="0.25">
      <c r="B17" s="4"/>
      <c r="H17" s="4"/>
      <c r="K17" s="4"/>
      <c r="Q17" s="4"/>
      <c r="T17" s="4"/>
      <c r="Z17" s="4"/>
      <c r="AC17" s="18"/>
      <c r="AI17" s="18"/>
    </row>
    <row r="18" spans="2:35" x14ac:dyDescent="0.25">
      <c r="B18" s="4"/>
      <c r="H18" s="4"/>
      <c r="K18" s="4"/>
      <c r="Q18" s="4"/>
      <c r="T18" s="4"/>
      <c r="Z18" s="4"/>
      <c r="AC18" s="18"/>
      <c r="AI18" s="18"/>
    </row>
    <row r="19" spans="2:35" x14ac:dyDescent="0.25">
      <c r="B19" s="4"/>
      <c r="H19" s="4"/>
      <c r="K19" s="4"/>
      <c r="Q19" s="4"/>
      <c r="T19" s="4"/>
      <c r="Z19" s="4"/>
      <c r="AC19" s="18"/>
      <c r="AI19" s="18"/>
    </row>
    <row r="20" spans="2:35" x14ac:dyDescent="0.25">
      <c r="B20" s="4"/>
      <c r="H20" s="4"/>
      <c r="K20" s="4"/>
      <c r="Q20" s="4"/>
      <c r="T20" s="4"/>
      <c r="Z20" s="4"/>
      <c r="AC20" s="18"/>
      <c r="AI20" s="18"/>
    </row>
    <row r="21" spans="2:35" x14ac:dyDescent="0.25">
      <c r="B21" s="4"/>
      <c r="H21" s="4"/>
      <c r="K21" s="4"/>
      <c r="Q21" s="4"/>
      <c r="T21" s="4"/>
      <c r="Z21" s="4"/>
      <c r="AC21" s="18"/>
      <c r="AI21" s="18"/>
    </row>
    <row r="22" spans="2:35" x14ac:dyDescent="0.25">
      <c r="B22" s="4"/>
      <c r="H22" s="4"/>
      <c r="K22" s="4"/>
      <c r="Q22" s="4"/>
      <c r="T22" s="4"/>
      <c r="Z22" s="4"/>
      <c r="AC22" s="18"/>
      <c r="AI22" s="18"/>
    </row>
    <row r="23" spans="2:35" x14ac:dyDescent="0.25">
      <c r="B23" s="4"/>
      <c r="H23" s="4"/>
      <c r="K23" s="4"/>
      <c r="Q23" s="4"/>
      <c r="T23" s="4"/>
      <c r="Z23" s="4"/>
      <c r="AC23" s="18"/>
      <c r="AI23" s="18"/>
    </row>
    <row r="24" spans="2:35" x14ac:dyDescent="0.25">
      <c r="B24" s="4"/>
      <c r="H24" s="4"/>
      <c r="K24" s="4"/>
      <c r="Q24" s="4"/>
      <c r="T24" s="4"/>
      <c r="Z24" s="4"/>
      <c r="AC24" s="18"/>
      <c r="AI24" s="18"/>
    </row>
    <row r="25" spans="2:35" x14ac:dyDescent="0.25">
      <c r="B25" s="4"/>
      <c r="H25" s="4"/>
      <c r="K25" s="4"/>
      <c r="Q25" s="4"/>
      <c r="T25" s="4"/>
      <c r="Z25" s="4"/>
      <c r="AC25" s="18"/>
      <c r="AI25" s="18"/>
    </row>
    <row r="26" spans="2:35" x14ac:dyDescent="0.25">
      <c r="B26" s="4"/>
      <c r="H26" s="4"/>
      <c r="K26" s="4"/>
      <c r="Q26" s="4"/>
      <c r="T26" s="4"/>
      <c r="Z26" s="4"/>
      <c r="AC26" s="18"/>
      <c r="AI26" s="18"/>
    </row>
    <row r="27" spans="2:35" x14ac:dyDescent="0.25">
      <c r="B27" s="4"/>
      <c r="H27" s="4"/>
      <c r="K27" s="4"/>
      <c r="Q27" s="4"/>
      <c r="T27" s="4"/>
      <c r="Z27" s="4"/>
      <c r="AC27" s="18"/>
      <c r="AI27" s="18"/>
    </row>
    <row r="28" spans="2:35" x14ac:dyDescent="0.25">
      <c r="B28" s="4"/>
      <c r="H28" s="4"/>
      <c r="K28" s="4"/>
      <c r="Q28" s="4"/>
      <c r="T28" s="4"/>
      <c r="Z28" s="4"/>
      <c r="AC28" s="18"/>
      <c r="AI28" s="18"/>
    </row>
    <row r="29" spans="2:35" x14ac:dyDescent="0.25">
      <c r="B29" s="4"/>
      <c r="H29" s="4"/>
      <c r="K29" s="4"/>
      <c r="Q29" s="4"/>
      <c r="T29" s="4"/>
      <c r="Z29" s="4"/>
      <c r="AC29" s="18"/>
      <c r="AI29" s="18"/>
    </row>
    <row r="30" spans="2:35" x14ac:dyDescent="0.25">
      <c r="B30" s="4"/>
      <c r="H30" s="4"/>
      <c r="K30" s="4"/>
      <c r="Q30" s="4"/>
      <c r="T30" s="4"/>
      <c r="Z30" s="4"/>
      <c r="AC30" s="18"/>
      <c r="AI30" s="18"/>
    </row>
    <row r="31" spans="2:35" x14ac:dyDescent="0.25">
      <c r="B31" s="4"/>
      <c r="H31" s="4"/>
      <c r="K31" s="4"/>
      <c r="Q31" s="4"/>
      <c r="T31" s="4"/>
      <c r="Z31" s="4"/>
      <c r="AC31" s="18"/>
      <c r="AI31" s="18"/>
    </row>
    <row r="32" spans="2:35" x14ac:dyDescent="0.25">
      <c r="B32" s="4"/>
      <c r="H32" s="4"/>
      <c r="K32" s="4"/>
      <c r="Q32" s="4"/>
      <c r="T32" s="4"/>
      <c r="Z32" s="4"/>
      <c r="AC32" s="18"/>
      <c r="AI32" s="18"/>
    </row>
    <row r="33" spans="2:49" x14ac:dyDescent="0.25">
      <c r="B33" s="4"/>
      <c r="D33" s="3" t="s">
        <v>82</v>
      </c>
      <c r="H33" s="4"/>
      <c r="K33" s="4"/>
      <c r="M33" s="3" t="s">
        <v>83</v>
      </c>
      <c r="Q33" s="4"/>
      <c r="T33" s="4"/>
      <c r="V33" s="3" t="s">
        <v>84</v>
      </c>
      <c r="Z33" s="4"/>
      <c r="AC33" s="18"/>
      <c r="AE33" s="3" t="s">
        <v>85</v>
      </c>
      <c r="AI33" s="18"/>
    </row>
    <row r="34" spans="2:49" x14ac:dyDescent="0.25">
      <c r="B34" s="4"/>
      <c r="D34" s="3" t="s">
        <v>1</v>
      </c>
      <c r="H34" s="4"/>
      <c r="K34" s="4"/>
      <c r="M34" s="3" t="s">
        <v>2</v>
      </c>
      <c r="Q34" s="4"/>
      <c r="T34" s="4"/>
      <c r="V34" s="3" t="s">
        <v>3</v>
      </c>
      <c r="Z34" s="4"/>
      <c r="AC34" s="18"/>
      <c r="AE34" s="3" t="s">
        <v>56</v>
      </c>
      <c r="AI34" s="18"/>
    </row>
    <row r="35" spans="2:49" x14ac:dyDescent="0.25">
      <c r="B35" s="4"/>
      <c r="H35" s="4"/>
      <c r="K35" s="4"/>
      <c r="Q35" s="4"/>
      <c r="T35" s="4"/>
      <c r="Z35" s="4"/>
      <c r="AC35" s="18"/>
      <c r="AI35" s="18"/>
    </row>
    <row r="36" spans="2:49" x14ac:dyDescent="0.25">
      <c r="B36" s="4"/>
      <c r="D36" s="52" t="str">
        <f ca="1">CONCATENATE("En la ",D5," y ",D33," se puede observar que la variable ",E1001," en base a su dimensión ",E1002," es calificado como ",E1008," ya que el ",ROUND(D1006*100,0),"% de los resultados lo califican como ",D1005,", el ",ROUND(E1006*100,0),"% ",E1005," y el ",ROUND(F1006*100,0),"% lo califico como ",F1005," estos resultados son originados debido a que, ",D1011," ",E1011,",","asi mismo ",D1012," ",E1012,", no obstante ",D1013," ",E1013, ", ","asi mismo ",D1014," ",E1014,","," por todas estas razones, es que la variable ",E1001," basado en su dimensión ",E1002," y calificado por los ",E1003," es considerado como ",E1008,".")</f>
        <v>En la Tabla 1 y Figura.1 se puede observar que la variable Clima institucional en base a su dimensión Estructuración Organizacional es calificado como Inadecuado ya que el 78% de los resultados lo califican como Nunca y Casi Nunca, el 15% A veces y el 8% lo califico como Casi siempre y Siempre estos resultados son originados debido a que, el 75% calificó como Nunca y Casi Nunca .,asi mismo el 85% de los evaluó como Nunca y Casi Nunca 0, no obstante el 80% evaluó como Nunca y Casi Nunca 0, asi mismo el 70% de los calificó como Nunca y Casi Nunca 0, por todas estas razones, es que la variable Clima institucional basado en su dimensión Estructuración Organizacional y calificado por los Docentess es considerado como Inadecuado.</v>
      </c>
      <c r="E36" s="56"/>
      <c r="F36" s="56"/>
      <c r="G36" s="23"/>
      <c r="H36" s="24"/>
      <c r="I36" s="23"/>
      <c r="J36" s="23"/>
      <c r="K36" s="4"/>
      <c r="L36" s="23"/>
      <c r="M36" s="52" t="str">
        <f ca="1">CONCATENATE("En la ",M5," y ",M33," se puede observar que la variable ",N1001," en base a su dimensión ",N1002," es calificado como ",N1008," ya que el ",ROUND(M1006*100,0),"% de los resultados lo califican como ",M1005,", el ",ROUND(N1006*100,0),"% ",N1005," y el ",ROUND(O1006*100,0),"% lo califico como ",O1005," estos resultados son originados debido a que, ",M1011," ",N1011,",","asi mismo ",M1012," ",N1012,", no obstante ",M1013," ",N1013, ", ","asi mismo ",M1014," ",N1014,","," por todas estas razones, es que la variable ",N1001," basado en su dimensión ",N1002," y calificado por los ",N1003," es considerado como ",N1008,".")</f>
        <v>En la Tabla 2 y Figura.2 se puede observar que la variable Clima institucional en base a su dimensión Relaciones Interpersonales es calificado como Inadecuado ya que el 71% de los resultados lo califican como Nunca y Casi Nunca, el 15% A veces y el 14% lo califico como Casi siempre y Siempre estos resultados son originados debido a que, el 75% mencionó como Nunca y Casi Nunca 0,asi mismo el 70% de los determinó como Nunca y Casi Nunca 0, no obstante el 65% mencionó como Nunca y Casi Nunca 0, asi mismo el 75% de los evaluó como Nunca y Casi Nunca 0, por todas estas razones, es que la variable Clima institucional basado en su dimensión Relaciones Interpersonales y calificado por los Docentess es considerado como Inadecuado.</v>
      </c>
      <c r="N36" s="56"/>
      <c r="O36" s="56"/>
      <c r="P36" s="23"/>
      <c r="Q36" s="24"/>
      <c r="R36" s="23"/>
      <c r="S36" s="23"/>
      <c r="T36" s="4"/>
      <c r="U36" s="23"/>
      <c r="V36" s="52" t="str">
        <f ca="1">CONCATENATE("En la ",V5," y ",V33," se puede observar que la variable ",W1001," en base a su dimensión ",W1002," es calificado como ",W1008," ya que el ",ROUND(V1006*100,0),"% de los resultados lo califican como ",V1005,", el ",ROUND(W1006*100,0),"% ",W1005," y el ",ROUND(X1006*100,0),"% lo califico como ",X1005," estos resultados son originados debido a que, ",V1011," ",W1011,",","asi mismo ",V1012," ",W1012,", con motivo ",V1013," ",W1013, ", ","asi mismo ",V1014," ",W1014,","," por todas estas razones, es que la variable ",W1001," basado en su dimensión ",W1002," y calificado por los ",W1003," es considerado como ",W1008,".")</f>
        <v>En la Tabla 3 y Figura.3 se puede observar que la variable Clima institucional en base a su dimensión Identidad Institucional es calificado como Inadecuado ya que el 73% de los resultados lo califican como Nunca y Casi Nunca, el 11% A veces y el 16% lo califico como Casi siempre y Siempre estos resultados son originados debido a que, el 70% percibió como Nunca y Casi Nunca 0,asi mismo el 70% de los apreció como Nunca y Casi Nunca 0, con motivo el 80% mencionó como Nunca y Casi Nunca 0, asi mismo el 70% de los Tuvo una percepción de como Nunca y Casi Nunca 0, por todas estas razones, es que la variable Clima institucional basado en su dimensión Identidad Institucional y calificado por los Docentess es considerado como Inadecuado.</v>
      </c>
      <c r="W36" s="56"/>
      <c r="X36" s="56"/>
      <c r="Y36" s="23"/>
      <c r="Z36" s="24"/>
      <c r="AA36" s="23"/>
      <c r="AB36" s="23"/>
      <c r="AC36" s="18"/>
      <c r="AD36" s="23"/>
      <c r="AE36" s="52" t="str">
        <f ca="1">CONCATENATE("En la ",AE5," y ",AE33," se puede observar que la variable ",AF1001," tiene una calificación de ",AF1008,","," ello debido a que el ",ROUND(AF1006*100,0),"% de los resultados estan en las categorias de ",AE1005," mientras que el ",ROUND(AF1006*100,0),"% ",AF1005," y el ",ROUND(AG1006*100,0),"% ",AG1005," en tal sentido se puede observar que la mayoria de los resultados es decir el ",ROUND(AH1007*100,0),"% tiene una calificación inclinada para un valor ",AF1008," estos resultados se originaron debido a que ",AP1016," ",AP1017," ",AP1018,", finalmente dentro de las dimensiones evaluadas la que cuenta con mayor deficiencia es la dimensión ",AD1076,)</f>
        <v>En la Tabla 4 y Figura.4 se puede observar que la variable Clima institucional tiene una calificación de Inadecuado, ello debido a que el 14% de los resultados estan en las categorias de Nunca y Casi Nunca mientras que el 14% A veces y el 13% Casi siempre y Siempre en tal sentido se puede observar que la mayoria de los resultados es decir el 88% tiene una calificación inclinada para un valor Inadecuado estos resultados se originaron debido a que el 78% de los Resultados apreció a la dimensión Estructuración Organizacional como Nunca y Casi Nunca, por consecuencia  el 71% de los Resultados determinó a la dimensión Relaciones Interpersonales como Nunca y Casi Nunca, en consecuencia  el 73% de los Resultados determinó a la dimensión Identidad Institucional como Nunca y Casi Nunca, finalmente dentro de las dimensiones evaluadas la que cuenta con mayor deficiencia es la dimensión Estructuración Organizacional</v>
      </c>
      <c r="AF36" s="56"/>
      <c r="AG36" s="56"/>
      <c r="AH36" s="23"/>
      <c r="AI36" s="25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</row>
    <row r="37" spans="2:49" x14ac:dyDescent="0.25">
      <c r="B37" s="4"/>
      <c r="D37" s="53"/>
      <c r="E37" s="53"/>
      <c r="F37" s="53"/>
      <c r="H37" s="4"/>
      <c r="K37" s="4"/>
      <c r="M37" s="53"/>
      <c r="N37" s="53"/>
      <c r="O37" s="53"/>
      <c r="Q37" s="4"/>
      <c r="T37" s="4"/>
      <c r="V37" s="53"/>
      <c r="W37" s="53"/>
      <c r="X37" s="53"/>
      <c r="Z37" s="4"/>
      <c r="AC37" s="18"/>
      <c r="AE37" s="53"/>
      <c r="AF37" s="53"/>
      <c r="AG37" s="53"/>
      <c r="AI37" s="18"/>
    </row>
    <row r="38" spans="2:49" x14ac:dyDescent="0.25">
      <c r="B38" s="4"/>
      <c r="D38" s="53"/>
      <c r="E38" s="53"/>
      <c r="F38" s="53"/>
      <c r="H38" s="4"/>
      <c r="K38" s="4"/>
      <c r="M38" s="53"/>
      <c r="N38" s="53"/>
      <c r="O38" s="53"/>
      <c r="Q38" s="4"/>
      <c r="T38" s="4"/>
      <c r="V38" s="53"/>
      <c r="W38" s="53"/>
      <c r="X38" s="53"/>
      <c r="Z38" s="4"/>
      <c r="AC38" s="18"/>
      <c r="AE38" s="53"/>
      <c r="AF38" s="53"/>
      <c r="AG38" s="53"/>
      <c r="AI38" s="18"/>
    </row>
    <row r="39" spans="2:49" x14ac:dyDescent="0.25">
      <c r="B39" s="4"/>
      <c r="D39" s="53"/>
      <c r="E39" s="53"/>
      <c r="F39" s="53"/>
      <c r="H39" s="4"/>
      <c r="K39" s="4"/>
      <c r="M39" s="53"/>
      <c r="N39" s="53"/>
      <c r="O39" s="53"/>
      <c r="Q39" s="4"/>
      <c r="T39" s="4"/>
      <c r="V39" s="53"/>
      <c r="W39" s="53"/>
      <c r="X39" s="53"/>
      <c r="Z39" s="4"/>
      <c r="AC39" s="18"/>
      <c r="AE39" s="53"/>
      <c r="AF39" s="53"/>
      <c r="AG39" s="53"/>
      <c r="AI39" s="18"/>
    </row>
    <row r="40" spans="2:49" x14ac:dyDescent="0.25">
      <c r="D40" s="53"/>
      <c r="E40" s="53"/>
      <c r="F40" s="53"/>
      <c r="M40" s="53"/>
      <c r="N40" s="53"/>
      <c r="O40" s="53"/>
      <c r="V40" s="53"/>
      <c r="W40" s="53"/>
      <c r="X40" s="53"/>
      <c r="AE40" s="53"/>
      <c r="AF40" s="53"/>
      <c r="AG40" s="53"/>
    </row>
    <row r="41" spans="2:49" x14ac:dyDescent="0.25">
      <c r="D41" s="53"/>
      <c r="E41" s="53"/>
      <c r="F41" s="53"/>
      <c r="M41" s="53"/>
      <c r="N41" s="53"/>
      <c r="O41" s="53"/>
      <c r="V41" s="53"/>
      <c r="W41" s="53"/>
      <c r="X41" s="53"/>
      <c r="AE41" s="53"/>
      <c r="AF41" s="53"/>
      <c r="AG41" s="53"/>
    </row>
    <row r="42" spans="2:49" x14ac:dyDescent="0.25">
      <c r="D42" s="53"/>
      <c r="E42" s="53"/>
      <c r="F42" s="53"/>
      <c r="M42" s="53"/>
      <c r="N42" s="53"/>
      <c r="O42" s="53"/>
      <c r="V42" s="53"/>
      <c r="W42" s="53"/>
      <c r="X42" s="53"/>
      <c r="AE42" s="53"/>
      <c r="AF42" s="53"/>
      <c r="AG42" s="53"/>
    </row>
    <row r="43" spans="2:49" x14ac:dyDescent="0.25">
      <c r="D43" s="53"/>
      <c r="E43" s="53"/>
      <c r="F43" s="53"/>
      <c r="M43" s="53"/>
      <c r="N43" s="53"/>
      <c r="O43" s="53"/>
      <c r="V43" s="53"/>
      <c r="W43" s="53"/>
      <c r="X43" s="53"/>
      <c r="AE43" s="53"/>
      <c r="AF43" s="53"/>
      <c r="AG43" s="53"/>
    </row>
    <row r="44" spans="2:49" x14ac:dyDescent="0.25">
      <c r="D44" s="53"/>
      <c r="E44" s="53"/>
      <c r="F44" s="53"/>
      <c r="M44" s="53"/>
      <c r="N44" s="53"/>
      <c r="O44" s="53"/>
      <c r="V44" s="53"/>
      <c r="W44" s="53"/>
      <c r="X44" s="53"/>
      <c r="AE44" s="53"/>
      <c r="AF44" s="53"/>
      <c r="AG44" s="53"/>
    </row>
    <row r="45" spans="2:49" x14ac:dyDescent="0.25">
      <c r="D45" s="53"/>
      <c r="E45" s="53"/>
      <c r="F45" s="53"/>
      <c r="M45" s="53"/>
      <c r="N45" s="53"/>
      <c r="O45" s="53"/>
      <c r="V45" s="53"/>
      <c r="W45" s="53"/>
      <c r="X45" s="53"/>
      <c r="AE45" s="53"/>
      <c r="AF45" s="53"/>
      <c r="AG45" s="53"/>
    </row>
    <row r="46" spans="2:49" x14ac:dyDescent="0.25">
      <c r="D46" s="53"/>
      <c r="E46" s="53"/>
      <c r="F46" s="53"/>
      <c r="M46" s="53"/>
      <c r="N46" s="53"/>
      <c r="O46" s="53"/>
      <c r="V46" s="53"/>
      <c r="W46" s="53"/>
      <c r="X46" s="53"/>
      <c r="AE46" s="53"/>
      <c r="AF46" s="53"/>
      <c r="AG46" s="53"/>
    </row>
    <row r="47" spans="2:49" x14ac:dyDescent="0.25">
      <c r="D47" s="53"/>
      <c r="E47" s="53"/>
      <c r="F47" s="53"/>
      <c r="M47" s="53"/>
      <c r="N47" s="53"/>
      <c r="O47" s="53"/>
      <c r="V47" s="53"/>
      <c r="W47" s="53"/>
      <c r="X47" s="53"/>
      <c r="AE47" s="53"/>
      <c r="AF47" s="53"/>
      <c r="AG47" s="53"/>
    </row>
    <row r="1001" spans="3:34" x14ac:dyDescent="0.25">
      <c r="D1001" s="3" t="s">
        <v>58</v>
      </c>
      <c r="E1001" s="3" t="str">
        <f>(AE6)</f>
        <v>Clima institucional</v>
      </c>
      <c r="M1001" s="3" t="s">
        <v>58</v>
      </c>
      <c r="N1001" s="3" t="str">
        <f>(AE6)</f>
        <v>Clima institucional</v>
      </c>
      <c r="V1001" s="3" t="s">
        <v>58</v>
      </c>
      <c r="W1001" s="3" t="str">
        <f>(AE6)</f>
        <v>Clima institucional</v>
      </c>
      <c r="AE1001" s="3" t="s">
        <v>58</v>
      </c>
      <c r="AF1001" s="3" t="str">
        <f>(AE6)</f>
        <v>Clima institucional</v>
      </c>
    </row>
    <row r="1002" spans="3:34" x14ac:dyDescent="0.25">
      <c r="D1002" s="3" t="s">
        <v>87</v>
      </c>
      <c r="E1002" s="3" t="str">
        <f>(D6)</f>
        <v>Estructuración Organizacional</v>
      </c>
      <c r="M1002" s="3" t="s">
        <v>87</v>
      </c>
      <c r="N1002" s="3" t="str">
        <f>(M6)</f>
        <v>Relaciones Interpersonales</v>
      </c>
      <c r="V1002" s="3" t="s">
        <v>87</v>
      </c>
      <c r="W1002" s="3" t="str">
        <f>(V6)</f>
        <v>Identidad Institucional</v>
      </c>
      <c r="AE1002" s="3" t="s">
        <v>87</v>
      </c>
      <c r="AF1002" s="3" t="str">
        <f>(AE6)</f>
        <v>Clima institucional</v>
      </c>
    </row>
    <row r="1003" spans="3:34" x14ac:dyDescent="0.25">
      <c r="D1003" s="3" t="s">
        <v>161</v>
      </c>
      <c r="E1003" s="3" t="s">
        <v>88</v>
      </c>
      <c r="M1003" s="3" t="s">
        <v>161</v>
      </c>
      <c r="N1003" s="3" t="s">
        <v>88</v>
      </c>
      <c r="V1003" s="3" t="s">
        <v>161</v>
      </c>
      <c r="W1003" s="3" t="s">
        <v>88</v>
      </c>
      <c r="AE1003" s="3" t="s">
        <v>161</v>
      </c>
      <c r="AF1003" s="3" t="s">
        <v>88</v>
      </c>
    </row>
    <row r="1004" spans="3:34" x14ac:dyDescent="0.25">
      <c r="C1004" s="3" t="s">
        <v>94</v>
      </c>
      <c r="D1004" s="3" t="s">
        <v>77</v>
      </c>
      <c r="E1004" s="3" t="s">
        <v>78</v>
      </c>
      <c r="F1004" s="3" t="s">
        <v>79</v>
      </c>
      <c r="L1004" s="3" t="s">
        <v>94</v>
      </c>
      <c r="M1004" s="3" t="s">
        <v>77</v>
      </c>
      <c r="N1004" s="3" t="s">
        <v>78</v>
      </c>
      <c r="O1004" s="3" t="s">
        <v>79</v>
      </c>
      <c r="U1004" s="3" t="s">
        <v>94</v>
      </c>
      <c r="V1004" s="3" t="s">
        <v>77</v>
      </c>
      <c r="W1004" s="3" t="s">
        <v>78</v>
      </c>
      <c r="X1004" s="3" t="s">
        <v>79</v>
      </c>
      <c r="AD1004" s="3" t="s">
        <v>94</v>
      </c>
      <c r="AE1004" s="3" t="s">
        <v>77</v>
      </c>
      <c r="AF1004" s="3" t="s">
        <v>78</v>
      </c>
      <c r="AG1004" s="3" t="s">
        <v>79</v>
      </c>
    </row>
    <row r="1005" spans="3:34" x14ac:dyDescent="0.25">
      <c r="C1005" s="3" t="s">
        <v>72</v>
      </c>
      <c r="D1005" s="3" t="str">
        <f>CONCATENATE(D8," y ",D9)</f>
        <v>Nunca y Casi Nunca</v>
      </c>
      <c r="E1005" s="3" t="str">
        <f>D10</f>
        <v>A veces</v>
      </c>
      <c r="F1005" s="3" t="str">
        <f>CONCATENATE(D11," y ",D12)</f>
        <v>Casi siempre y Siempre</v>
      </c>
      <c r="L1005" s="3" t="s">
        <v>72</v>
      </c>
      <c r="M1005" s="3" t="str">
        <f>CONCATENATE(M8," y ",M9)</f>
        <v>Nunca y Casi Nunca</v>
      </c>
      <c r="N1005" s="3" t="str">
        <f>M10</f>
        <v>A veces</v>
      </c>
      <c r="O1005" s="3" t="str">
        <f>CONCATENATE(M11," y ",M12)</f>
        <v>Casi siempre y Siempre</v>
      </c>
      <c r="U1005" s="3" t="s">
        <v>72</v>
      </c>
      <c r="V1005" s="3" t="str">
        <f>CONCATENATE(V8," y ",V9)</f>
        <v>Nunca y Casi Nunca</v>
      </c>
      <c r="W1005" s="3" t="str">
        <f>V10</f>
        <v>A veces</v>
      </c>
      <c r="X1005" s="3" t="str">
        <f>CONCATENATE(V11," y ",V12)</f>
        <v>Casi siempre y Siempre</v>
      </c>
      <c r="AD1005" s="3" t="s">
        <v>72</v>
      </c>
      <c r="AE1005" s="3" t="str">
        <f>CONCATENATE(AE8," y ",AE9)</f>
        <v>Nunca y Casi Nunca</v>
      </c>
      <c r="AF1005" s="3" t="str">
        <f>AE10</f>
        <v>A veces</v>
      </c>
      <c r="AG1005" s="3" t="str">
        <f>CONCATENATE(AE11," y ",AE12)</f>
        <v>Casi siempre y Siempre</v>
      </c>
    </row>
    <row r="1006" spans="3:34" x14ac:dyDescent="0.25">
      <c r="D1006" s="7">
        <f>SUM(F8:F9)</f>
        <v>0.77500000000000002</v>
      </c>
      <c r="E1006" s="7">
        <f>F10</f>
        <v>0.15</v>
      </c>
      <c r="F1006" s="7">
        <f>SUM(F11:F12)</f>
        <v>7.4999999999999997E-2</v>
      </c>
      <c r="M1006" s="7">
        <f>SUM(O8:O9)</f>
        <v>0.71250000000000002</v>
      </c>
      <c r="N1006" s="7">
        <f>O10</f>
        <v>0.15</v>
      </c>
      <c r="O1006" s="7">
        <f>SUM(O11:O12)</f>
        <v>0.13750000000000001</v>
      </c>
      <c r="V1006" s="7">
        <f>SUM(X8:X9)</f>
        <v>0.72499999999999998</v>
      </c>
      <c r="W1006" s="7">
        <f>X10</f>
        <v>0.1125</v>
      </c>
      <c r="X1006" s="7">
        <f>SUM(X11:X12)</f>
        <v>0.16250000000000001</v>
      </c>
      <c r="AE1006" s="7">
        <f>SUM(AG8:AG9)</f>
        <v>0.73750000000000004</v>
      </c>
      <c r="AF1006" s="7">
        <f>AG10</f>
        <v>0.13750000000000001</v>
      </c>
      <c r="AG1006" s="7">
        <f>SUM(AG11:AG12)</f>
        <v>0.125</v>
      </c>
    </row>
    <row r="1007" spans="3:34" x14ac:dyDescent="0.25">
      <c r="C1007" s="3" t="s">
        <v>162</v>
      </c>
      <c r="D1007" s="7">
        <f>SUM(D1006:E1006)</f>
        <v>0.92500000000000004</v>
      </c>
      <c r="E1007" s="7">
        <f>SUM(E1006:F1006)</f>
        <v>0.22499999999999998</v>
      </c>
      <c r="F1007" s="7">
        <f>(D1007-E1007)</f>
        <v>0.70000000000000007</v>
      </c>
      <c r="L1007" s="3" t="s">
        <v>162</v>
      </c>
      <c r="M1007" s="7">
        <f>SUM(M1006:N1006)</f>
        <v>0.86250000000000004</v>
      </c>
      <c r="N1007" s="7">
        <f>SUM(N1006:O1006)</f>
        <v>0.28749999999999998</v>
      </c>
      <c r="O1007" s="7">
        <f>(M1007-N1007)</f>
        <v>0.57500000000000007</v>
      </c>
      <c r="U1007" s="3" t="s">
        <v>162</v>
      </c>
      <c r="V1007" s="7">
        <f>SUM(V1006:W1006)</f>
        <v>0.83750000000000002</v>
      </c>
      <c r="W1007" s="7">
        <f>SUM(W1006:X1006)</f>
        <v>0.27500000000000002</v>
      </c>
      <c r="X1007" s="7">
        <f>(V1007-W1007)</f>
        <v>0.5625</v>
      </c>
      <c r="AD1007" s="3" t="s">
        <v>162</v>
      </c>
      <c r="AE1007" s="7">
        <f>SUM(AE1006:AF1006)</f>
        <v>0.875</v>
      </c>
      <c r="AF1007" s="7">
        <f>SUM(AF1006:AG1006)</f>
        <v>0.26250000000000001</v>
      </c>
      <c r="AG1007" s="7">
        <f>(AE1007-AF1007)</f>
        <v>0.61250000000000004</v>
      </c>
      <c r="AH1007" s="7">
        <f>MAX(AE1007:AF1007)</f>
        <v>0.875</v>
      </c>
    </row>
    <row r="1008" spans="3:34" x14ac:dyDescent="0.25">
      <c r="D1008" s="3" t="s">
        <v>163</v>
      </c>
      <c r="E1008" t="str">
        <f>IF(AND(F1007&gt;=-5%,F1007&lt;=5%),E1004,IF(F1007&gt;=6%,D1004,IF(F1007&lt;=-5%,F1004,E1004)))</f>
        <v>Inadecuado</v>
      </c>
      <c r="M1008" s="3" t="s">
        <v>163</v>
      </c>
      <c r="N1008" t="str">
        <f>IF(AND(O1007&gt;=-5%,O1007&lt;=5%),N1004,IF(O1007&gt;=6%,M1004,IF(O1007&lt;=-5%,O1004,N1004)))</f>
        <v>Inadecuado</v>
      </c>
      <c r="V1008" s="3" t="s">
        <v>163</v>
      </c>
      <c r="W1008" t="str">
        <f>IF(AND(X1007&gt;=-5%,X1007&lt;=5%),W1004,IF(X1007&gt;=6%,V1004,IF(X1007&lt;=-5%,X1004,W1004)))</f>
        <v>Inadecuado</v>
      </c>
      <c r="AE1008" s="3" t="s">
        <v>163</v>
      </c>
      <c r="AF1008" t="str">
        <f>IF(AND(AG1007&gt;=-5%,AG1007&lt;=5%),AF1004,IF(AG1007&gt;=6%,AE1004,IF(AG1007&lt;=-5%,AG1004,AF1004)))</f>
        <v>Inadecuado</v>
      </c>
    </row>
    <row r="1011" spans="4:54" x14ac:dyDescent="0.25">
      <c r="D1011" s="3" t="str">
        <f ca="1">'Por Valoracion (3) Dimension'!U1016</f>
        <v>el 75% calificó como Nunca y Casi Nunca</v>
      </c>
      <c r="E1011" s="3" t="str">
        <f>'Por Valoracion (3) Dimension'!M1016</f>
        <v>.</v>
      </c>
      <c r="M1011" s="3" t="str">
        <f ca="1">'Por Valoracion (3) Dimension'!AG1016</f>
        <v>el 75% mencionó como Nunca y Casi Nunca</v>
      </c>
      <c r="N1011" s="3">
        <f>'Por Valoracion (3) Dimension'!Y1016</f>
        <v>0</v>
      </c>
      <c r="V1011" s="3" t="str">
        <f ca="1">'Por Valoracion (3) Dimension'!AS1016</f>
        <v>el 70% percibió como Nunca y Casi Nunca</v>
      </c>
      <c r="W1011" s="3">
        <f>'Por Valoracion (3) Dimension'!AK1016</f>
        <v>0</v>
      </c>
    </row>
    <row r="1012" spans="4:54" x14ac:dyDescent="0.25">
      <c r="D1012" s="3" t="str">
        <f ca="1">'Por Valoracion (3) Dimension'!U1017</f>
        <v>el 85% de los evaluó como Nunca y Casi Nunca</v>
      </c>
      <c r="E1012" s="3">
        <f>'Por Valoracion (3) Dimension'!M1017</f>
        <v>0</v>
      </c>
      <c r="M1012" s="3" t="str">
        <f ca="1">'Por Valoracion (3) Dimension'!AG1017</f>
        <v>el 70% de los determinó como Nunca y Casi Nunca</v>
      </c>
      <c r="N1012" s="3">
        <f>'Por Valoracion (3) Dimension'!Y1017</f>
        <v>0</v>
      </c>
      <c r="V1012" s="3" t="str">
        <f ca="1">'Por Valoracion (3) Dimension'!AS1017</f>
        <v>el 70% de los apreció como Nunca y Casi Nunca</v>
      </c>
      <c r="W1012" s="3">
        <f>'Por Valoracion (3) Dimension'!AK1017</f>
        <v>0</v>
      </c>
    </row>
    <row r="1013" spans="4:54" x14ac:dyDescent="0.25">
      <c r="D1013" s="3" t="str">
        <f ca="1">'Por Valoracion (3) Dimension'!U1018</f>
        <v>el 80% evaluó como Nunca y Casi Nunca</v>
      </c>
      <c r="E1013" s="3">
        <f>'Por Valoracion (3) Dimension'!M1018</f>
        <v>0</v>
      </c>
      <c r="M1013" s="3" t="str">
        <f ca="1">'Por Valoracion (3) Dimension'!AG1018</f>
        <v>el 65% mencionó como Nunca y Casi Nunca</v>
      </c>
      <c r="N1013" s="3">
        <f>'Por Valoracion (3) Dimension'!Y1018</f>
        <v>0</v>
      </c>
      <c r="V1013" s="3" t="str">
        <f ca="1">'Por Valoracion (3) Dimension'!AS1018</f>
        <v>el 80% mencionó como Nunca y Casi Nunca</v>
      </c>
      <c r="W1013" s="3">
        <f>'Por Valoracion (3) Dimension'!AK1018</f>
        <v>0</v>
      </c>
    </row>
    <row r="1014" spans="4:54" x14ac:dyDescent="0.25">
      <c r="D1014" s="3" t="str">
        <f ca="1">'Por Valoracion (3) Dimension'!U1019</f>
        <v>el 70% de los calificó como Nunca y Casi Nunca</v>
      </c>
      <c r="E1014" s="3">
        <f>'Por Valoracion (3) Dimension'!M1019</f>
        <v>0</v>
      </c>
      <c r="M1014" s="3" t="str">
        <f ca="1">'Por Valoracion (3) Dimension'!AG1019</f>
        <v>el 75% de los evaluó como Nunca y Casi Nunca</v>
      </c>
      <c r="N1014" s="3">
        <f>'Por Valoracion (3) Dimension'!Y1019</f>
        <v>0</v>
      </c>
      <c r="V1014" s="3" t="str">
        <f ca="1">'Por Valoracion (3) Dimension'!AS1019</f>
        <v>el 70% de los Tuvo una percepción de como Nunca y Casi Nunca</v>
      </c>
      <c r="W1014" s="3">
        <f>'Por Valoracion (3) Dimension'!AK1019</f>
        <v>0</v>
      </c>
    </row>
    <row r="1015" spans="4:54" x14ac:dyDescent="0.25">
      <c r="AD1015" s="3" t="s">
        <v>98</v>
      </c>
      <c r="AE1015" s="3" t="str">
        <f>AE1005</f>
        <v>Nunca y Casi Nunca</v>
      </c>
      <c r="AF1015" s="3" t="str">
        <f>AF1005</f>
        <v>A veces</v>
      </c>
      <c r="AG1015" s="3" t="str">
        <f>AG1005</f>
        <v>Casi siempre y Siempre</v>
      </c>
      <c r="AH1015" s="3" t="s">
        <v>164</v>
      </c>
      <c r="AI1015" s="3" t="s">
        <v>99</v>
      </c>
      <c r="AJ1015" s="3" t="s">
        <v>100</v>
      </c>
      <c r="AK1015" s="3" t="s">
        <v>101</v>
      </c>
      <c r="AL1015" s="3" t="s">
        <v>102</v>
      </c>
      <c r="AM1015" s="3" t="s">
        <v>103</v>
      </c>
      <c r="AN1015" s="3" t="s">
        <v>104</v>
      </c>
      <c r="AO1015" s="3" t="s">
        <v>105</v>
      </c>
      <c r="AP1015" s="3" t="s">
        <v>97</v>
      </c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</row>
    <row r="1016" spans="4:54" x14ac:dyDescent="0.25">
      <c r="AD1016" s="3" t="str">
        <f>(D6)</f>
        <v>Estructuración Organizacional</v>
      </c>
      <c r="AE1016" s="7">
        <f>(D1006)</f>
        <v>0.77500000000000002</v>
      </c>
      <c r="AF1016" s="7">
        <f>(E1006)</f>
        <v>0.15</v>
      </c>
      <c r="AG1016" s="7">
        <f>(F1006)</f>
        <v>7.4999999999999997E-2</v>
      </c>
      <c r="AH1016" s="7">
        <f>MAX(AE1016:AG1016)</f>
        <v>0.77500000000000002</v>
      </c>
      <c r="AI1016" s="3" t="str">
        <f>IF(AH1016=AE1016,$AE$1015,IF(AH1016=AF1016,$AF$1015,IF(AH1016=AG1016,$AG$1015,"algo esta mal")))</f>
        <v>Nunca y Casi Nunca</v>
      </c>
      <c r="AJ1016" s="3">
        <f ca="1" xml:space="preserve"> RANDBETWEEN(1,10)</f>
        <v>8</v>
      </c>
      <c r="AK1016" s="3" t="str">
        <f ca="1">IF(AJ1016='Por Valoracion (3) Dimension'!$BD$1100,'Por Valoracion (3) Dimension'!$BE$1100,IF(AJ1016='Por Valoracion (3) Dimension'!$BD$1101,'Por Valoracion (3) Dimension'!$BE$1101,IF(AJ1016='Por Valoracion (3) Dimension'!$BD$1102,'Por Valoracion (3) Dimension'!$BE$1102,IF(AJ1016='Por Valoracion (3) Dimension'!$BD$1103,'Por Valoracion (3) Dimension'!$BE$1103,IF(AJ1016='Por Valoracion (3) Dimension'!$BD$1104,'Por Valoracion (3) Dimension'!$BE$1104,IF(AJ1016='Por Valoracion (3) Dimension'!$BD$1105,'Por Valoracion (3) Dimension'!$BE$1105,IF(AJ1016='Por Valoracion (3) Dimension'!$BD$1106,'Por Valoracion (3) Dimension'!$BE$1106,IF(AJ1016='Por Valoracion (3) Dimension'!$BD$1107,'Por Valoracion (3) Dimension'!$BE$1107,IF(AJ1016='Por Valoracion (3) Dimension'!$BD$1108,'Por Valoracion (3) Dimension'!$BE$1108,IF(AJ1016='Por Valoracion (3) Dimension'!$BD$1109,'Por Valoracion (3) Dimension'!$BE$1109, A4000))))))))))</f>
        <v>apreció</v>
      </c>
      <c r="AL1016" s="3">
        <f ca="1" xml:space="preserve"> RANDBETWEEN(1,7)</f>
        <v>7</v>
      </c>
      <c r="AM1016" s="3" t="str">
        <f ca="1">IF(AL1016='Por Valoracion (3) Dimension'!$BD$1110,'Por Valoracion (3) Dimension'!$BE$1110,IF(AL1016='Por Valoracion (3) Dimension'!$BD$1111,'Por Valoracion (3) Dimension'!$BE$1111,IF(AL1016='Por Valoracion (3) Dimension'!$BD$1112,'Por Valoracion (3) Dimension'!$BE$1112,IF(AL1016='Por Valoracion (3) Dimension'!$BD$1113,'Por Valoracion (3) Dimension'!$BE$1113,IF(AL1016='Por Valoracion (3) Dimension'!$BD$1114,'Por Valoracion (3) Dimension'!$BE$1114,IF(AL1016='Por Valoracion (3) Dimension'!$BD$1115,'Por Valoracion (3) Dimension'!$BE$1115,IF(AL1016='Por Valoracion (3) Dimension'!$BD$1116,'Por Valoracion (3) Dimension'!$BE$1116,IF(AL1016='Por Valoracion (3) Dimension'!$BD$1117,'Por Valoracion (3) Dimension'!$BE$1117,IF(AL1016='Por Valoracion (3) Dimension'!$BD$1118,'Por Valoracion (3) Dimension'!$BE$1118,IF(AL1016='Por Valoracion (3) Dimension'!$BD$1119,'Por Valoracion (3) Dimension'!$BE$1119, A4000))))))))))</f>
        <v xml:space="preserve">por consecuencia </v>
      </c>
      <c r="AN1016" s="3">
        <f ca="1" xml:space="preserve"> RANDBETWEEN(1,2)</f>
        <v>2</v>
      </c>
      <c r="AO1016" s="3" t="str">
        <f ca="1">IF(AN1016='Por Valoracion (3) Dimension'!$BD$1120,'Por Valoracion (3) Dimension'!$BE$1120,IF(AN1016='Por Valoracion (3) Dimension'!$BD$1121,'Por Valoracion (3) Dimension'!$BE$1121,A4000))</f>
        <v>Resultados</v>
      </c>
      <c r="AP1016" s="3" t="str">
        <f ca="1">CONCATENATE("el ",ROUND(AH1016*100,0),"% de los ",AO1016," ",AK1016," a la dimensión ",AD1016," como ",AI1016,", ",AM1016)</f>
        <v xml:space="preserve">el 78% de los Resultados apreció a la dimensión Estructuración Organizacional como Nunca y Casi Nunca, por consecuencia </v>
      </c>
    </row>
    <row r="1017" spans="4:54" x14ac:dyDescent="0.25">
      <c r="AD1017" s="3" t="str">
        <f>(M6)</f>
        <v>Relaciones Interpersonales</v>
      </c>
      <c r="AE1017" s="7">
        <f>(M1006)</f>
        <v>0.71250000000000002</v>
      </c>
      <c r="AF1017" s="7">
        <f>(N1006)</f>
        <v>0.15</v>
      </c>
      <c r="AG1017" s="7">
        <f>(O1006)</f>
        <v>0.13750000000000001</v>
      </c>
      <c r="AH1017" s="7">
        <f>MAX(AE1017:AG1017)</f>
        <v>0.71250000000000002</v>
      </c>
      <c r="AI1017" s="3" t="str">
        <f>IF(AH1017=AE1017,$AE$1015,IF(AH1017=AF1017,$AF$1015,IF(AH1017=AG1017,$AG$1015,"algo esta mal")))</f>
        <v>Nunca y Casi Nunca</v>
      </c>
      <c r="AJ1017" s="3">
        <f ca="1" xml:space="preserve"> RANDBETWEEN(1,10)</f>
        <v>6</v>
      </c>
      <c r="AK1017" s="3" t="str">
        <f ca="1">IF(AJ1017='Por Valoracion (3) Dimension'!$BD$1100,'Por Valoracion (3) Dimension'!$BE$1100,IF(AJ1017='Por Valoracion (3) Dimension'!$BD$1101,'Por Valoracion (3) Dimension'!$BE$1101,IF(AJ1017='Por Valoracion (3) Dimension'!$BD$1102,'Por Valoracion (3) Dimension'!$BE$1102,IF(AJ1017='Por Valoracion (3) Dimension'!$BD$1103,'Por Valoracion (3) Dimension'!$BE$1103,IF(AJ1017='Por Valoracion (3) Dimension'!$BD$1104,'Por Valoracion (3) Dimension'!$BE$1104,IF(AJ1017='Por Valoracion (3) Dimension'!$BD$1105,'Por Valoracion (3) Dimension'!$BE$1105,IF(AJ1017='Por Valoracion (3) Dimension'!$BD$1106,'Por Valoracion (3) Dimension'!$BE$1106,IF(AJ1017='Por Valoracion (3) Dimension'!$BD$1107,'Por Valoracion (3) Dimension'!$BE$1107,IF(AJ1017='Por Valoracion (3) Dimension'!$BD$1108,'Por Valoracion (3) Dimension'!$BE$1108,IF(AJ1017='Por Valoracion (3) Dimension'!$BD$1109,'Por Valoracion (3) Dimension'!$BE$1109, A4000))))))))))</f>
        <v>determinó</v>
      </c>
      <c r="AL1017" s="3">
        <f ca="1" xml:space="preserve"> RANDBETWEEN(1,7)</f>
        <v>5</v>
      </c>
      <c r="AM1017" s="3" t="str">
        <f ca="1">IF(AL1017='Por Valoracion (3) Dimension'!$BD$1110,'Por Valoracion (3) Dimension'!$BE$1110,IF(AL1017='Por Valoracion (3) Dimension'!$BD$1111,'Por Valoracion (3) Dimension'!$BE$1111,IF(AL1017='Por Valoracion (3) Dimension'!$BD$1112,'Por Valoracion (3) Dimension'!$BE$1112,IF(AL1017='Por Valoracion (3) Dimension'!$BD$1113,'Por Valoracion (3) Dimension'!$BE$1113,IF(AL1017='Por Valoracion (3) Dimension'!$BD$1114,'Por Valoracion (3) Dimension'!$BE$1114,IF(AL1017='Por Valoracion (3) Dimension'!$BD$1115,'Por Valoracion (3) Dimension'!$BE$1115,IF(AL1017='Por Valoracion (3) Dimension'!$BD$1116,'Por Valoracion (3) Dimension'!$BE$1116,IF(AL1017='Por Valoracion (3) Dimension'!$BD$1117,'Por Valoracion (3) Dimension'!$BE$1117,IF(AL1017='Por Valoracion (3) Dimension'!$BD$1118,'Por Valoracion (3) Dimension'!$BE$1118,IF(AL1017='Por Valoracion (3) Dimension'!$BD$1119,'Por Valoracion (3) Dimension'!$BE$1119, A4000))))))))))</f>
        <v xml:space="preserve">en consecuencia </v>
      </c>
      <c r="AN1017" s="3">
        <f ca="1" xml:space="preserve"> RANDBETWEEN(1,2)</f>
        <v>2</v>
      </c>
      <c r="AO1017" s="3" t="str">
        <f ca="1">IF(AN1017='Por Valoracion (3) Dimension'!$BD$1120,'Por Valoracion (3) Dimension'!$BE$1120,IF(AN1017='Por Valoracion (3) Dimension'!$BD$1121,'Por Valoracion (3) Dimension'!$BE$1121,A4000))</f>
        <v>Resultados</v>
      </c>
      <c r="AP1017" s="3" t="str">
        <f ca="1">CONCATENATE("el ",ROUND(AH1017*100,0),"% de los ",AO1017," ",AK1017," a la dimensión ",AD1017," como ",AI1017,", ",AM1017)</f>
        <v xml:space="preserve">el 71% de los Resultados determinó a la dimensión Relaciones Interpersonales como Nunca y Casi Nunca, en consecuencia </v>
      </c>
    </row>
    <row r="1018" spans="4:54" x14ac:dyDescent="0.25">
      <c r="AD1018" s="3" t="str">
        <f>(V6)</f>
        <v>Identidad Institucional</v>
      </c>
      <c r="AE1018" s="7">
        <f>(V1006)</f>
        <v>0.72499999999999998</v>
      </c>
      <c r="AF1018" s="7">
        <f>(W1006)</f>
        <v>0.1125</v>
      </c>
      <c r="AG1018" s="7">
        <f>(X1006)</f>
        <v>0.16250000000000001</v>
      </c>
      <c r="AH1018" s="7">
        <f>MAX(AE1018:AG1018)</f>
        <v>0.72499999999999998</v>
      </c>
      <c r="AI1018" s="3" t="str">
        <f>IF(AH1018=AE1018,$AE$1015,IF(AH1018=AF1018,$AF$1015,IF(AH1018=AG1018,$AG$1015,"algo esta mal")))</f>
        <v>Nunca y Casi Nunca</v>
      </c>
      <c r="AJ1018" s="3">
        <f ca="1" xml:space="preserve"> RANDBETWEEN(1,10)</f>
        <v>6</v>
      </c>
      <c r="AK1018" s="3" t="str">
        <f ca="1">IF(AJ1018='Por Valoracion (3) Dimension'!$BD$1100,'Por Valoracion (3) Dimension'!$BE$1100,IF(AJ1018='Por Valoracion (3) Dimension'!$BD$1101,'Por Valoracion (3) Dimension'!$BE$1101,IF(AJ1018='Por Valoracion (3) Dimension'!$BD$1102,'Por Valoracion (3) Dimension'!$BE$1102,IF(AJ1018='Por Valoracion (3) Dimension'!$BD$1103,'Por Valoracion (3) Dimension'!$BE$1103,IF(AJ1018='Por Valoracion (3) Dimension'!$BD$1104,'Por Valoracion (3) Dimension'!$BE$1104,IF(AJ1018='Por Valoracion (3) Dimension'!$BD$1105,'Por Valoracion (3) Dimension'!$BE$1105,IF(AJ1018='Por Valoracion (3) Dimension'!$BD$1106,'Por Valoracion (3) Dimension'!$BE$1106,IF(AJ1018='Por Valoracion (3) Dimension'!$BD$1107,'Por Valoracion (3) Dimension'!$BE$1107,IF(AJ1018='Por Valoracion (3) Dimension'!$BD$1108,'Por Valoracion (3) Dimension'!$BE$1108,IF(AJ1018='Por Valoracion (3) Dimension'!$BD$1109,'Por Valoracion (3) Dimension'!$BE$1109, A4000))))))))))</f>
        <v>determinó</v>
      </c>
      <c r="AL1018" s="3">
        <f ca="1" xml:space="preserve"> RANDBETWEEN(1,7)</f>
        <v>3</v>
      </c>
      <c r="AM1018" s="3" t="str">
        <f ca="1">IF(AL1018='Por Valoracion (3) Dimension'!$BD$1110,'Por Valoracion (3) Dimension'!$BE$1110,IF(AL1018='Por Valoracion (3) Dimension'!$BD$1111,'Por Valoracion (3) Dimension'!$BE$1111,IF(AL1018='Por Valoracion (3) Dimension'!$BD$1112,'Por Valoracion (3) Dimension'!$BE$1112,IF(AL1018='Por Valoracion (3) Dimension'!$BD$1113,'Por Valoracion (3) Dimension'!$BE$1113,IF(AL1018='Por Valoracion (3) Dimension'!$BD$1114,'Por Valoracion (3) Dimension'!$BE$1114,IF(AL1018='Por Valoracion (3) Dimension'!$BD$1115,'Por Valoracion (3) Dimension'!$BE$1115,IF(AL1018='Por Valoracion (3) Dimension'!$BD$1116,'Por Valoracion (3) Dimension'!$BE$1116,IF(AL1018='Por Valoracion (3) Dimension'!$BD$1117,'Por Valoracion (3) Dimension'!$BE$1117,IF(AL1018='Por Valoracion (3) Dimension'!$BD$1118,'Por Valoracion (3) Dimension'!$BE$1118,IF(AL1018='Por Valoracion (3) Dimension'!$BD$1119,'Por Valoracion (3) Dimension'!$BE$1119, A4000))))))))))</f>
        <v xml:space="preserve">por otra parte </v>
      </c>
      <c r="AN1018" s="3">
        <f ca="1" xml:space="preserve"> RANDBETWEEN(1,2)</f>
        <v>2</v>
      </c>
      <c r="AO1018" s="3" t="str">
        <f ca="1">IF(AN1018='Por Valoracion (3) Dimension'!$BD$1120,'Por Valoracion (3) Dimension'!$BE$1120,IF(AN1018='Por Valoracion (3) Dimension'!$BD$1121,'Por Valoracion (3) Dimension'!$BE$1121,A4000))</f>
        <v>Resultados</v>
      </c>
      <c r="AP1018" s="3" t="str">
        <f ca="1">CONCATENATE("el ",ROUND(AH1018*100,0),"% de los ",AO1018," ",AK1018," a la dimensión ",AD1018," como ",AI1018)</f>
        <v>el 73% de los Resultados determinó a la dimensión Identidad Institucional como Nunca y Casi Nunca</v>
      </c>
    </row>
    <row r="1076" spans="30:31" x14ac:dyDescent="0.25">
      <c r="AD1076" s="3" t="str">
        <f>IF(AE1076=AE1016,AD1016,IF(AE1076=AE1017,AD1017,IF(AE1076=AE1018,AD1018)))</f>
        <v>Estructuración Organizacional</v>
      </c>
      <c r="AE1076" s="7">
        <f>MAX(AE1016:AE1018)</f>
        <v>0.77500000000000002</v>
      </c>
    </row>
    <row r="2008" spans="5:33" x14ac:dyDescent="0.25">
      <c r="E2008" s="3"/>
      <c r="N2008" s="3"/>
      <c r="W2008" s="3"/>
      <c r="AF2008" s="3"/>
    </row>
    <row r="2009" spans="5:33" x14ac:dyDescent="0.25">
      <c r="E2009" s="3"/>
      <c r="N2009" s="3"/>
      <c r="W2009" s="3"/>
      <c r="AF2009" s="3"/>
    </row>
    <row r="2010" spans="5:33" x14ac:dyDescent="0.25">
      <c r="E2010" s="3"/>
      <c r="N2010" s="3"/>
      <c r="W2010" s="3"/>
      <c r="AF2010" s="3"/>
    </row>
    <row r="2011" spans="5:33" x14ac:dyDescent="0.25">
      <c r="E2011" s="3"/>
      <c r="N2011" s="3"/>
      <c r="W2011" s="3"/>
      <c r="AF2011" s="3"/>
    </row>
    <row r="2012" spans="5:33" x14ac:dyDescent="0.25">
      <c r="E2012" s="3"/>
      <c r="N2012" s="3"/>
      <c r="W2012" s="3"/>
      <c r="AF2012" s="3"/>
    </row>
    <row r="2013" spans="5:33" x14ac:dyDescent="0.25">
      <c r="E2013" s="9">
        <f>SUM(E2008:E2012)</f>
        <v>0</v>
      </c>
      <c r="F2013" s="13">
        <f>SUM(F2008:F2012)</f>
        <v>0</v>
      </c>
      <c r="N2013" s="9">
        <f>SUM(N2008:N2012)</f>
        <v>0</v>
      </c>
      <c r="O2013" s="13">
        <f>SUM(O2008:O2012)</f>
        <v>0</v>
      </c>
      <c r="W2013" s="9">
        <f>SUM(W2008:W2012)</f>
        <v>0</v>
      </c>
      <c r="X2013" s="13">
        <f>SUM(X2008:X2012)</f>
        <v>0</v>
      </c>
      <c r="AF2013" s="9">
        <f>SUM(AF2008:AF2012)</f>
        <v>0</v>
      </c>
      <c r="AG2013" s="13">
        <f>SUM(AG2008:AG2012)</f>
        <v>0</v>
      </c>
    </row>
    <row r="2101" spans="3:33" x14ac:dyDescent="0.25">
      <c r="D2101" s="3" t="s">
        <v>58</v>
      </c>
      <c r="E2101" s="3" t="str">
        <f>(AE6)</f>
        <v>Clima institucional</v>
      </c>
      <c r="M2101" s="3" t="s">
        <v>58</v>
      </c>
      <c r="N2101" s="3" t="str">
        <f>(AE6)</f>
        <v>Clima institucional</v>
      </c>
      <c r="V2101" s="3" t="s">
        <v>58</v>
      </c>
      <c r="W2101" s="3" t="str">
        <f>(AE6)</f>
        <v>Clima institucional</v>
      </c>
      <c r="AE2101" s="3" t="s">
        <v>58</v>
      </c>
      <c r="AF2101" s="3" t="str">
        <f>(AE6)</f>
        <v>Clima institucional</v>
      </c>
    </row>
    <row r="2102" spans="3:33" x14ac:dyDescent="0.25">
      <c r="D2102" s="3" t="s">
        <v>87</v>
      </c>
      <c r="E2102" s="3" t="str">
        <f>(D6)</f>
        <v>Estructuración Organizacional</v>
      </c>
      <c r="M2102" s="3" t="s">
        <v>87</v>
      </c>
      <c r="N2102" s="3" t="str">
        <f>(M6)</f>
        <v>Relaciones Interpersonales</v>
      </c>
      <c r="V2102" s="3" t="s">
        <v>87</v>
      </c>
      <c r="W2102" s="3" t="str">
        <f>(V6)</f>
        <v>Identidad Institucional</v>
      </c>
      <c r="AE2102" s="3" t="s">
        <v>87</v>
      </c>
      <c r="AF2102" s="3" t="str">
        <f>(AE6)</f>
        <v>Clima institucional</v>
      </c>
    </row>
    <row r="2103" spans="3:33" x14ac:dyDescent="0.25">
      <c r="D2103" s="3" t="s">
        <v>161</v>
      </c>
      <c r="E2103" s="3" t="s">
        <v>88</v>
      </c>
      <c r="M2103" s="3" t="s">
        <v>161</v>
      </c>
      <c r="N2103" s="3" t="s">
        <v>88</v>
      </c>
      <c r="V2103" s="3" t="s">
        <v>161</v>
      </c>
      <c r="W2103" s="3" t="s">
        <v>88</v>
      </c>
      <c r="AE2103" s="3" t="s">
        <v>161</v>
      </c>
      <c r="AF2103" s="3" t="s">
        <v>88</v>
      </c>
    </row>
    <row r="2104" spans="3:33" x14ac:dyDescent="0.25">
      <c r="C2104" s="3" t="s">
        <v>94</v>
      </c>
      <c r="D2104" s="3" t="s">
        <v>77</v>
      </c>
      <c r="E2104" s="3" t="s">
        <v>78</v>
      </c>
      <c r="F2104" s="3" t="s">
        <v>79</v>
      </c>
      <c r="L2104" s="3" t="s">
        <v>94</v>
      </c>
      <c r="M2104" s="3" t="s">
        <v>77</v>
      </c>
      <c r="N2104" s="3" t="s">
        <v>78</v>
      </c>
      <c r="O2104" s="3" t="s">
        <v>79</v>
      </c>
      <c r="U2104" s="3" t="s">
        <v>94</v>
      </c>
      <c r="V2104" s="3" t="s">
        <v>77</v>
      </c>
      <c r="W2104" s="3" t="s">
        <v>78</v>
      </c>
      <c r="X2104" s="3" t="s">
        <v>79</v>
      </c>
      <c r="AD2104" s="3" t="s">
        <v>94</v>
      </c>
      <c r="AE2104" s="3" t="s">
        <v>77</v>
      </c>
      <c r="AF2104" s="3" t="s">
        <v>78</v>
      </c>
      <c r="AG2104" s="3" t="s">
        <v>79</v>
      </c>
    </row>
    <row r="2105" spans="3:33" x14ac:dyDescent="0.25">
      <c r="C2105" s="3" t="s">
        <v>72</v>
      </c>
      <c r="L2105" s="3" t="s">
        <v>72</v>
      </c>
      <c r="U2105" s="3" t="s">
        <v>72</v>
      </c>
      <c r="AD2105" s="3" t="s">
        <v>72</v>
      </c>
    </row>
    <row r="2107" spans="3:33" x14ac:dyDescent="0.25">
      <c r="C2107" s="3" t="s">
        <v>162</v>
      </c>
      <c r="L2107" s="3" t="s">
        <v>162</v>
      </c>
      <c r="U2107" s="3" t="s">
        <v>162</v>
      </c>
      <c r="AD2107" s="3" t="s">
        <v>162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E4:AG4"/>
    <mergeCell ref="AE36:AG47"/>
    <mergeCell ref="D4:F4"/>
    <mergeCell ref="D36:F47"/>
    <mergeCell ref="M4:O4"/>
    <mergeCell ref="M36:O47"/>
    <mergeCell ref="V4:X4"/>
    <mergeCell ref="V36:X4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>
      <selection activeCell="R11" sqref="R11"/>
    </sheetView>
  </sheetViews>
  <sheetFormatPr baseColWidth="10" defaultColWidth="9.140625" defaultRowHeight="15" x14ac:dyDescent="0.25"/>
  <sheetData>
    <row r="1" spans="1:15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x14ac:dyDescent="0.25">
      <c r="B3" s="41" t="s">
        <v>165</v>
      </c>
      <c r="C3" s="41"/>
      <c r="D3" s="41"/>
      <c r="E3" s="41"/>
      <c r="F3" s="41" t="s">
        <v>166</v>
      </c>
      <c r="G3" s="41"/>
      <c r="H3" s="41"/>
      <c r="I3" s="41"/>
      <c r="J3" s="41" t="s">
        <v>167</v>
      </c>
      <c r="K3" s="41"/>
      <c r="L3" s="41"/>
      <c r="M3" s="41"/>
      <c r="N3" s="41" t="s">
        <v>4</v>
      </c>
      <c r="O3" s="41" t="s">
        <v>5</v>
      </c>
    </row>
    <row r="4" spans="1:15" x14ac:dyDescent="0.25">
      <c r="B4" s="42" t="s">
        <v>6</v>
      </c>
      <c r="C4" s="42" t="s">
        <v>7</v>
      </c>
      <c r="D4" s="42" t="s">
        <v>8</v>
      </c>
      <c r="E4" s="42" t="s">
        <v>9</v>
      </c>
      <c r="F4" s="42" t="s">
        <v>10</v>
      </c>
      <c r="G4" s="42" t="s">
        <v>11</v>
      </c>
      <c r="H4" s="42" t="s">
        <v>12</v>
      </c>
      <c r="I4" s="42" t="s">
        <v>13</v>
      </c>
      <c r="J4" s="42" t="s">
        <v>14</v>
      </c>
      <c r="K4" s="42" t="s">
        <v>15</v>
      </c>
      <c r="L4" s="42" t="s">
        <v>16</v>
      </c>
      <c r="M4" s="42" t="s">
        <v>17</v>
      </c>
    </row>
    <row r="5" spans="1:15" x14ac:dyDescent="0.25">
      <c r="A5" s="53" t="s">
        <v>18</v>
      </c>
      <c r="B5" s="53">
        <v>2</v>
      </c>
      <c r="C5" s="53">
        <v>2</v>
      </c>
      <c r="D5" s="53">
        <v>2</v>
      </c>
      <c r="E5" s="53">
        <v>3</v>
      </c>
      <c r="F5" s="53">
        <v>3</v>
      </c>
      <c r="G5" s="53">
        <v>2</v>
      </c>
      <c r="H5" s="53">
        <v>2</v>
      </c>
      <c r="I5" s="53">
        <v>3</v>
      </c>
      <c r="J5" s="53">
        <v>3</v>
      </c>
      <c r="K5" s="53">
        <v>2</v>
      </c>
      <c r="L5" s="53">
        <v>3</v>
      </c>
      <c r="M5" s="53">
        <v>2</v>
      </c>
      <c r="N5" s="53">
        <f t="shared" ref="N5:N24" si="0">SUM(B5:M5)</f>
        <v>29</v>
      </c>
    </row>
    <row r="6" spans="1:15" x14ac:dyDescent="0.25">
      <c r="A6" s="53" t="s">
        <v>19</v>
      </c>
      <c r="B6" s="53">
        <v>1</v>
      </c>
      <c r="C6" s="53">
        <v>1</v>
      </c>
      <c r="D6" s="53">
        <v>1</v>
      </c>
      <c r="E6" s="53">
        <v>1</v>
      </c>
      <c r="F6" s="53">
        <v>1</v>
      </c>
      <c r="G6" s="53">
        <v>1</v>
      </c>
      <c r="H6" s="53">
        <v>2</v>
      </c>
      <c r="I6" s="53">
        <v>1</v>
      </c>
      <c r="J6" s="53">
        <v>1</v>
      </c>
      <c r="K6" s="53">
        <v>1</v>
      </c>
      <c r="L6" s="53">
        <v>1</v>
      </c>
      <c r="M6" s="53">
        <v>1</v>
      </c>
      <c r="N6" s="53">
        <f t="shared" si="0"/>
        <v>13</v>
      </c>
    </row>
    <row r="7" spans="1:15" x14ac:dyDescent="0.25">
      <c r="A7" s="53" t="s">
        <v>20</v>
      </c>
      <c r="B7" s="53">
        <v>2</v>
      </c>
      <c r="C7" s="53">
        <v>2</v>
      </c>
      <c r="D7" s="53">
        <v>2</v>
      </c>
      <c r="E7" s="53">
        <v>2</v>
      </c>
      <c r="F7" s="53">
        <v>2</v>
      </c>
      <c r="G7" s="53">
        <v>2</v>
      </c>
      <c r="H7" s="53">
        <v>2</v>
      </c>
      <c r="I7" s="53">
        <v>1</v>
      </c>
      <c r="J7" s="53">
        <v>2</v>
      </c>
      <c r="K7" s="53">
        <v>1</v>
      </c>
      <c r="L7" s="53">
        <v>2</v>
      </c>
      <c r="M7" s="53">
        <v>1</v>
      </c>
      <c r="N7" s="53">
        <f t="shared" si="0"/>
        <v>21</v>
      </c>
    </row>
    <row r="8" spans="1:15" x14ac:dyDescent="0.25">
      <c r="A8" s="53" t="s">
        <v>21</v>
      </c>
      <c r="B8" s="53">
        <v>1</v>
      </c>
      <c r="C8" s="53">
        <v>2</v>
      </c>
      <c r="D8" s="53">
        <v>1</v>
      </c>
      <c r="E8" s="53">
        <v>1</v>
      </c>
      <c r="F8" s="53">
        <v>1</v>
      </c>
      <c r="G8" s="53">
        <v>1</v>
      </c>
      <c r="H8" s="53">
        <v>2</v>
      </c>
      <c r="I8" s="53">
        <v>2</v>
      </c>
      <c r="J8" s="53">
        <v>1</v>
      </c>
      <c r="K8" s="53">
        <v>2</v>
      </c>
      <c r="L8" s="53">
        <v>2</v>
      </c>
      <c r="M8" s="53">
        <v>1</v>
      </c>
      <c r="N8" s="53">
        <f t="shared" si="0"/>
        <v>17</v>
      </c>
    </row>
    <row r="9" spans="1:15" x14ac:dyDescent="0.25">
      <c r="A9" s="53" t="s">
        <v>22</v>
      </c>
      <c r="B9" s="53">
        <v>2</v>
      </c>
      <c r="C9" s="53">
        <v>1</v>
      </c>
      <c r="D9" s="53">
        <v>1</v>
      </c>
      <c r="E9" s="53">
        <v>1</v>
      </c>
      <c r="F9" s="53">
        <v>2</v>
      </c>
      <c r="G9" s="53">
        <v>1</v>
      </c>
      <c r="H9" s="53">
        <v>1</v>
      </c>
      <c r="I9" s="53">
        <v>2</v>
      </c>
      <c r="J9" s="53">
        <v>2</v>
      </c>
      <c r="K9" s="53">
        <v>2</v>
      </c>
      <c r="L9" s="53">
        <v>1</v>
      </c>
      <c r="M9" s="53">
        <v>1</v>
      </c>
      <c r="N9" s="53">
        <f t="shared" si="0"/>
        <v>17</v>
      </c>
    </row>
    <row r="10" spans="1:15" x14ac:dyDescent="0.25">
      <c r="A10" s="53" t="s">
        <v>23</v>
      </c>
      <c r="B10" s="53">
        <v>1</v>
      </c>
      <c r="C10" s="53">
        <v>1</v>
      </c>
      <c r="D10" s="53">
        <v>1</v>
      </c>
      <c r="E10" s="53">
        <v>1</v>
      </c>
      <c r="F10" s="53">
        <v>1</v>
      </c>
      <c r="G10" s="53">
        <v>1</v>
      </c>
      <c r="H10" s="53">
        <v>1</v>
      </c>
      <c r="I10" s="53">
        <v>1</v>
      </c>
      <c r="J10" s="53">
        <v>1</v>
      </c>
      <c r="K10" s="53">
        <v>1</v>
      </c>
      <c r="L10" s="53">
        <v>1</v>
      </c>
      <c r="M10" s="53">
        <v>1</v>
      </c>
      <c r="N10" s="53">
        <f t="shared" si="0"/>
        <v>12</v>
      </c>
    </row>
    <row r="11" spans="1:15" x14ac:dyDescent="0.25">
      <c r="A11" s="53" t="s">
        <v>24</v>
      </c>
      <c r="B11" s="53">
        <v>2</v>
      </c>
      <c r="C11" s="53">
        <v>1</v>
      </c>
      <c r="D11" s="53">
        <v>1</v>
      </c>
      <c r="E11" s="53">
        <v>1</v>
      </c>
      <c r="F11" s="53">
        <v>1</v>
      </c>
      <c r="G11" s="53">
        <v>2</v>
      </c>
      <c r="H11" s="53">
        <v>1</v>
      </c>
      <c r="I11" s="53">
        <v>2</v>
      </c>
      <c r="J11" s="53">
        <v>1</v>
      </c>
      <c r="K11" s="53">
        <v>2</v>
      </c>
      <c r="L11" s="53">
        <v>2</v>
      </c>
      <c r="M11" s="53">
        <v>2</v>
      </c>
      <c r="N11" s="53">
        <f t="shared" si="0"/>
        <v>18</v>
      </c>
    </row>
    <row r="12" spans="1:15" x14ac:dyDescent="0.25">
      <c r="A12" s="53" t="s">
        <v>25</v>
      </c>
      <c r="B12" s="53">
        <v>5</v>
      </c>
      <c r="C12" s="53">
        <v>4</v>
      </c>
      <c r="D12" s="53">
        <v>5</v>
      </c>
      <c r="E12" s="53">
        <v>5</v>
      </c>
      <c r="F12" s="53">
        <v>5</v>
      </c>
      <c r="G12" s="53">
        <v>5</v>
      </c>
      <c r="H12" s="53">
        <v>5</v>
      </c>
      <c r="I12" s="53">
        <v>4</v>
      </c>
      <c r="J12" s="53">
        <v>5</v>
      </c>
      <c r="K12" s="53">
        <v>3</v>
      </c>
      <c r="L12" s="53">
        <v>5</v>
      </c>
      <c r="M12" s="53">
        <v>4</v>
      </c>
      <c r="N12" s="53">
        <f t="shared" si="0"/>
        <v>55</v>
      </c>
    </row>
    <row r="13" spans="1:15" x14ac:dyDescent="0.25">
      <c r="A13" s="53" t="s">
        <v>26</v>
      </c>
      <c r="B13" s="53">
        <v>2</v>
      </c>
      <c r="C13" s="53">
        <v>2</v>
      </c>
      <c r="D13" s="53">
        <v>3</v>
      </c>
      <c r="E13" s="53">
        <v>2</v>
      </c>
      <c r="F13" s="53">
        <v>1</v>
      </c>
      <c r="G13" s="53">
        <v>3</v>
      </c>
      <c r="H13" s="53">
        <v>2</v>
      </c>
      <c r="I13" s="53">
        <v>2</v>
      </c>
      <c r="J13" s="53">
        <v>1</v>
      </c>
      <c r="K13" s="53">
        <v>3</v>
      </c>
      <c r="L13" s="53">
        <v>2</v>
      </c>
      <c r="M13" s="53">
        <v>2</v>
      </c>
      <c r="N13" s="53">
        <f t="shared" si="0"/>
        <v>25</v>
      </c>
    </row>
    <row r="14" spans="1:15" x14ac:dyDescent="0.25">
      <c r="A14" s="53" t="s">
        <v>27</v>
      </c>
      <c r="B14" s="53">
        <v>2</v>
      </c>
      <c r="C14" s="53">
        <v>1</v>
      </c>
      <c r="D14" s="53">
        <v>2</v>
      </c>
      <c r="E14" s="53">
        <v>2</v>
      </c>
      <c r="F14" s="53">
        <v>2</v>
      </c>
      <c r="G14" s="53">
        <v>1</v>
      </c>
      <c r="H14" s="53">
        <v>2</v>
      </c>
      <c r="I14" s="53">
        <v>1</v>
      </c>
      <c r="J14" s="53">
        <v>2</v>
      </c>
      <c r="K14" s="53">
        <v>2</v>
      </c>
      <c r="L14" s="53">
        <v>2</v>
      </c>
      <c r="M14" s="53">
        <v>1</v>
      </c>
      <c r="N14" s="53">
        <f t="shared" si="0"/>
        <v>20</v>
      </c>
    </row>
    <row r="15" spans="1:15" x14ac:dyDescent="0.25">
      <c r="A15" s="53" t="s">
        <v>28</v>
      </c>
      <c r="B15" s="53">
        <v>5</v>
      </c>
      <c r="C15" s="53">
        <v>4</v>
      </c>
      <c r="D15" s="53">
        <v>4</v>
      </c>
      <c r="E15" s="53">
        <v>5</v>
      </c>
      <c r="F15" s="53">
        <v>4</v>
      </c>
      <c r="G15" s="53">
        <v>3</v>
      </c>
      <c r="H15" s="53">
        <v>3</v>
      </c>
      <c r="I15" s="53">
        <v>4</v>
      </c>
      <c r="J15" s="53">
        <v>3</v>
      </c>
      <c r="K15" s="53">
        <v>3</v>
      </c>
      <c r="L15" s="53">
        <v>3</v>
      </c>
      <c r="M15" s="53">
        <v>5</v>
      </c>
      <c r="N15" s="53">
        <f t="shared" si="0"/>
        <v>46</v>
      </c>
    </row>
    <row r="16" spans="1:15" x14ac:dyDescent="0.25">
      <c r="A16" s="53" t="s">
        <v>29</v>
      </c>
      <c r="B16" s="53">
        <v>1</v>
      </c>
      <c r="C16" s="53">
        <v>2</v>
      </c>
      <c r="D16" s="53">
        <v>1</v>
      </c>
      <c r="E16" s="53">
        <v>1</v>
      </c>
      <c r="F16" s="53">
        <v>1</v>
      </c>
      <c r="G16" s="53">
        <v>1</v>
      </c>
      <c r="H16" s="53">
        <v>1</v>
      </c>
      <c r="I16" s="53">
        <v>1</v>
      </c>
      <c r="J16" s="53">
        <v>1</v>
      </c>
      <c r="K16" s="53">
        <v>1</v>
      </c>
      <c r="L16" s="53">
        <v>1</v>
      </c>
      <c r="M16" s="53">
        <v>1</v>
      </c>
      <c r="N16" s="53">
        <f t="shared" si="0"/>
        <v>13</v>
      </c>
    </row>
    <row r="17" spans="1:14" x14ac:dyDescent="0.25">
      <c r="A17" s="53" t="s">
        <v>30</v>
      </c>
      <c r="B17" s="53">
        <v>2</v>
      </c>
      <c r="C17" s="53">
        <v>2</v>
      </c>
      <c r="D17" s="53">
        <v>2</v>
      </c>
      <c r="E17" s="53">
        <v>2</v>
      </c>
      <c r="F17" s="53">
        <v>2</v>
      </c>
      <c r="G17" s="53">
        <v>2</v>
      </c>
      <c r="H17" s="53">
        <v>2</v>
      </c>
      <c r="I17" s="53">
        <v>2</v>
      </c>
      <c r="J17" s="53">
        <v>2</v>
      </c>
      <c r="K17" s="53">
        <v>2</v>
      </c>
      <c r="L17" s="53">
        <v>2</v>
      </c>
      <c r="M17" s="53">
        <v>2</v>
      </c>
      <c r="N17" s="53">
        <f t="shared" si="0"/>
        <v>24</v>
      </c>
    </row>
    <row r="18" spans="1:14" x14ac:dyDescent="0.25">
      <c r="A18" s="53" t="s">
        <v>31</v>
      </c>
      <c r="B18" s="53">
        <v>3</v>
      </c>
      <c r="C18" s="53">
        <v>3</v>
      </c>
      <c r="D18" s="53">
        <v>5</v>
      </c>
      <c r="E18" s="53">
        <v>3</v>
      </c>
      <c r="F18" s="53">
        <v>5</v>
      </c>
      <c r="G18" s="53">
        <v>5</v>
      </c>
      <c r="H18" s="53">
        <v>4</v>
      </c>
      <c r="I18" s="53">
        <v>3</v>
      </c>
      <c r="J18" s="53">
        <v>3</v>
      </c>
      <c r="K18" s="53">
        <v>5</v>
      </c>
      <c r="L18" s="53">
        <v>3</v>
      </c>
      <c r="M18" s="53">
        <v>4</v>
      </c>
      <c r="N18" s="53">
        <f t="shared" si="0"/>
        <v>46</v>
      </c>
    </row>
    <row r="19" spans="1:14" x14ac:dyDescent="0.25">
      <c r="A19" s="53" t="s">
        <v>32</v>
      </c>
      <c r="B19" s="53">
        <v>1</v>
      </c>
      <c r="C19" s="53">
        <v>1</v>
      </c>
      <c r="D19" s="53">
        <v>2</v>
      </c>
      <c r="E19" s="53">
        <v>1</v>
      </c>
      <c r="F19" s="53">
        <v>1</v>
      </c>
      <c r="G19" s="53">
        <v>1</v>
      </c>
      <c r="H19" s="53">
        <v>2</v>
      </c>
      <c r="I19" s="53">
        <v>1</v>
      </c>
      <c r="J19" s="53">
        <v>1</v>
      </c>
      <c r="K19" s="53">
        <v>1</v>
      </c>
      <c r="L19" s="53">
        <v>1</v>
      </c>
      <c r="M19" s="53">
        <v>1</v>
      </c>
      <c r="N19" s="53">
        <f t="shared" si="0"/>
        <v>14</v>
      </c>
    </row>
    <row r="20" spans="1:14" x14ac:dyDescent="0.25">
      <c r="A20" s="53" t="s">
        <v>33</v>
      </c>
      <c r="B20" s="53">
        <v>1</v>
      </c>
      <c r="C20" s="53">
        <v>2</v>
      </c>
      <c r="D20" s="53">
        <v>1</v>
      </c>
      <c r="E20" s="53">
        <v>1</v>
      </c>
      <c r="F20" s="53">
        <v>2</v>
      </c>
      <c r="G20" s="53">
        <v>1</v>
      </c>
      <c r="H20" s="53">
        <v>1</v>
      </c>
      <c r="I20" s="53">
        <v>1</v>
      </c>
      <c r="J20" s="53">
        <v>1</v>
      </c>
      <c r="K20" s="53">
        <v>1</v>
      </c>
      <c r="L20" s="53">
        <v>2</v>
      </c>
      <c r="M20" s="53">
        <v>2</v>
      </c>
      <c r="N20" s="53">
        <f t="shared" si="0"/>
        <v>16</v>
      </c>
    </row>
    <row r="21" spans="1:14" x14ac:dyDescent="0.25">
      <c r="A21" s="53" t="s">
        <v>34</v>
      </c>
      <c r="B21" s="53">
        <v>1</v>
      </c>
      <c r="C21" s="53">
        <v>1</v>
      </c>
      <c r="D21" s="53">
        <v>1</v>
      </c>
      <c r="E21" s="53">
        <v>1</v>
      </c>
      <c r="F21" s="53">
        <v>2</v>
      </c>
      <c r="G21" s="53">
        <v>1</v>
      </c>
      <c r="H21" s="53">
        <v>2</v>
      </c>
      <c r="I21" s="53">
        <v>2</v>
      </c>
      <c r="J21" s="53">
        <v>2</v>
      </c>
      <c r="K21" s="53">
        <v>2</v>
      </c>
      <c r="L21" s="53">
        <v>1</v>
      </c>
      <c r="M21" s="53">
        <v>1</v>
      </c>
      <c r="N21" s="53">
        <f t="shared" si="0"/>
        <v>17</v>
      </c>
    </row>
    <row r="22" spans="1:14" x14ac:dyDescent="0.25">
      <c r="A22" s="53" t="s">
        <v>35</v>
      </c>
      <c r="B22" s="53">
        <v>1</v>
      </c>
      <c r="C22" s="53">
        <v>1</v>
      </c>
      <c r="D22" s="53">
        <v>1</v>
      </c>
      <c r="E22" s="53">
        <v>1</v>
      </c>
      <c r="F22" s="53">
        <v>1</v>
      </c>
      <c r="G22" s="53">
        <v>2</v>
      </c>
      <c r="H22" s="53">
        <v>1</v>
      </c>
      <c r="I22" s="53">
        <v>1</v>
      </c>
      <c r="J22" s="53">
        <v>1</v>
      </c>
      <c r="K22" s="53">
        <v>1</v>
      </c>
      <c r="L22" s="53">
        <v>1</v>
      </c>
      <c r="M22" s="53">
        <v>1</v>
      </c>
      <c r="N22" s="53">
        <f t="shared" si="0"/>
        <v>13</v>
      </c>
    </row>
    <row r="23" spans="1:14" x14ac:dyDescent="0.25">
      <c r="A23" s="53" t="s">
        <v>36</v>
      </c>
      <c r="B23" s="53">
        <v>1</v>
      </c>
      <c r="C23" s="53">
        <v>2</v>
      </c>
      <c r="D23" s="53">
        <v>2</v>
      </c>
      <c r="E23" s="53">
        <v>2</v>
      </c>
      <c r="F23" s="53">
        <v>1</v>
      </c>
      <c r="G23" s="53">
        <v>1</v>
      </c>
      <c r="H23" s="53">
        <v>2</v>
      </c>
      <c r="I23" s="53">
        <v>2</v>
      </c>
      <c r="J23" s="53">
        <v>2</v>
      </c>
      <c r="K23" s="53">
        <v>2</v>
      </c>
      <c r="L23" s="53">
        <v>2</v>
      </c>
      <c r="M23" s="53">
        <v>2</v>
      </c>
      <c r="N23" s="53">
        <f t="shared" si="0"/>
        <v>21</v>
      </c>
    </row>
    <row r="24" spans="1:14" x14ac:dyDescent="0.25">
      <c r="A24" s="53" t="s">
        <v>37</v>
      </c>
      <c r="B24" s="53">
        <v>2</v>
      </c>
      <c r="C24" s="53">
        <v>2</v>
      </c>
      <c r="D24" s="53">
        <v>2</v>
      </c>
      <c r="E24" s="53">
        <v>2</v>
      </c>
      <c r="F24" s="53">
        <v>2</v>
      </c>
      <c r="G24" s="53">
        <v>2</v>
      </c>
      <c r="H24" s="53">
        <v>2</v>
      </c>
      <c r="I24" s="53">
        <v>2</v>
      </c>
      <c r="J24" s="53">
        <v>1</v>
      </c>
      <c r="K24" s="53">
        <v>2</v>
      </c>
      <c r="L24" s="53">
        <v>2</v>
      </c>
      <c r="M24" s="53">
        <v>2</v>
      </c>
      <c r="N24" s="53">
        <f t="shared" si="0"/>
        <v>23</v>
      </c>
    </row>
    <row r="25" spans="1:14" x14ac:dyDescent="0.25">
      <c r="A25" t="s">
        <v>38</v>
      </c>
      <c r="B25">
        <f t="shared" ref="B25:N25" si="1">SUM(B5:B24)</f>
        <v>38</v>
      </c>
      <c r="C25">
        <f t="shared" si="1"/>
        <v>37</v>
      </c>
      <c r="D25">
        <f t="shared" si="1"/>
        <v>40</v>
      </c>
      <c r="E25">
        <f t="shared" si="1"/>
        <v>38</v>
      </c>
      <c r="F25">
        <f t="shared" si="1"/>
        <v>40</v>
      </c>
      <c r="G25">
        <f t="shared" si="1"/>
        <v>38</v>
      </c>
      <c r="H25">
        <f t="shared" si="1"/>
        <v>40</v>
      </c>
      <c r="I25">
        <f t="shared" si="1"/>
        <v>38</v>
      </c>
      <c r="J25">
        <f t="shared" si="1"/>
        <v>36</v>
      </c>
      <c r="K25">
        <f t="shared" si="1"/>
        <v>39</v>
      </c>
      <c r="L25">
        <f t="shared" si="1"/>
        <v>39</v>
      </c>
      <c r="M25">
        <f t="shared" si="1"/>
        <v>37</v>
      </c>
      <c r="N25">
        <f t="shared" si="1"/>
        <v>460</v>
      </c>
    </row>
    <row r="26" spans="1:14" x14ac:dyDescent="0.25">
      <c r="A26" t="s">
        <v>39</v>
      </c>
      <c r="B26">
        <f t="shared" ref="B26:N26" si="2">MODE(B5:B24)</f>
        <v>1</v>
      </c>
      <c r="C26">
        <f t="shared" si="2"/>
        <v>2</v>
      </c>
      <c r="D26">
        <f t="shared" si="2"/>
        <v>1</v>
      </c>
      <c r="E26">
        <f t="shared" si="2"/>
        <v>1</v>
      </c>
      <c r="F26">
        <f t="shared" si="2"/>
        <v>1</v>
      </c>
      <c r="G26">
        <f t="shared" si="2"/>
        <v>1</v>
      </c>
      <c r="H26">
        <f t="shared" si="2"/>
        <v>2</v>
      </c>
      <c r="I26">
        <f t="shared" si="2"/>
        <v>1</v>
      </c>
      <c r="J26">
        <f t="shared" si="2"/>
        <v>1</v>
      </c>
      <c r="K26">
        <f t="shared" si="2"/>
        <v>2</v>
      </c>
      <c r="L26">
        <f t="shared" si="2"/>
        <v>2</v>
      </c>
      <c r="M26">
        <f t="shared" si="2"/>
        <v>1</v>
      </c>
      <c r="N26">
        <f t="shared" si="2"/>
        <v>13</v>
      </c>
    </row>
    <row r="27" spans="1:14" x14ac:dyDescent="0.25">
      <c r="A27" t="s">
        <v>40</v>
      </c>
      <c r="B27">
        <f t="shared" ref="B27:N27" si="3">(B25/20)</f>
        <v>1.9</v>
      </c>
      <c r="C27">
        <f t="shared" si="3"/>
        <v>1.85</v>
      </c>
      <c r="D27">
        <f t="shared" si="3"/>
        <v>2</v>
      </c>
      <c r="E27">
        <f t="shared" si="3"/>
        <v>1.9</v>
      </c>
      <c r="F27">
        <f t="shared" si="3"/>
        <v>2</v>
      </c>
      <c r="G27">
        <f t="shared" si="3"/>
        <v>1.9</v>
      </c>
      <c r="H27">
        <f t="shared" si="3"/>
        <v>2</v>
      </c>
      <c r="I27">
        <f t="shared" si="3"/>
        <v>1.9</v>
      </c>
      <c r="J27">
        <f t="shared" si="3"/>
        <v>1.8</v>
      </c>
      <c r="K27">
        <f t="shared" si="3"/>
        <v>1.95</v>
      </c>
      <c r="L27">
        <f t="shared" si="3"/>
        <v>1.95</v>
      </c>
      <c r="M27">
        <f t="shared" si="3"/>
        <v>1.85</v>
      </c>
      <c r="N27">
        <f t="shared" si="3"/>
        <v>23</v>
      </c>
    </row>
    <row r="28" spans="1:14" x14ac:dyDescent="0.25">
      <c r="A28" t="s">
        <v>41</v>
      </c>
      <c r="B28">
        <f t="shared" ref="B28:N28" si="4">MEDIAN(B5:B24)</f>
        <v>2</v>
      </c>
      <c r="C28">
        <f t="shared" si="4"/>
        <v>2</v>
      </c>
      <c r="D28">
        <f t="shared" si="4"/>
        <v>2</v>
      </c>
      <c r="E28">
        <f t="shared" si="4"/>
        <v>1.5</v>
      </c>
      <c r="F28">
        <f t="shared" si="4"/>
        <v>2</v>
      </c>
      <c r="G28">
        <f t="shared" si="4"/>
        <v>1.5</v>
      </c>
      <c r="H28">
        <f t="shared" si="4"/>
        <v>2</v>
      </c>
      <c r="I28">
        <f t="shared" si="4"/>
        <v>2</v>
      </c>
      <c r="J28">
        <f t="shared" si="4"/>
        <v>1.5</v>
      </c>
      <c r="K28">
        <f t="shared" si="4"/>
        <v>2</v>
      </c>
      <c r="L28">
        <f t="shared" si="4"/>
        <v>2</v>
      </c>
      <c r="M28">
        <f t="shared" si="4"/>
        <v>1.5</v>
      </c>
      <c r="N28">
        <f t="shared" si="4"/>
        <v>19</v>
      </c>
    </row>
    <row r="29" spans="1:14" x14ac:dyDescent="0.25">
      <c r="A29" t="s">
        <v>42</v>
      </c>
      <c r="B29">
        <f t="shared" ref="B29:N29" si="5">ROUND(STDEV(B5:B24),2)</f>
        <v>1.21</v>
      </c>
      <c r="C29">
        <f t="shared" si="5"/>
        <v>0.93</v>
      </c>
      <c r="D29">
        <f t="shared" si="5"/>
        <v>1.3</v>
      </c>
      <c r="E29">
        <f t="shared" si="5"/>
        <v>1.25</v>
      </c>
      <c r="F29">
        <f t="shared" si="5"/>
        <v>1.3</v>
      </c>
      <c r="G29">
        <f t="shared" si="5"/>
        <v>1.25</v>
      </c>
      <c r="H29">
        <f t="shared" si="5"/>
        <v>1.03</v>
      </c>
      <c r="I29">
        <f t="shared" si="5"/>
        <v>0.97</v>
      </c>
      <c r="J29">
        <f t="shared" si="5"/>
        <v>1.06</v>
      </c>
      <c r="K29">
        <f t="shared" si="5"/>
        <v>1</v>
      </c>
      <c r="L29">
        <f t="shared" si="5"/>
        <v>1</v>
      </c>
      <c r="M29">
        <f t="shared" si="5"/>
        <v>1.18</v>
      </c>
      <c r="N29">
        <f t="shared" si="5"/>
        <v>12.19</v>
      </c>
    </row>
    <row r="30" spans="1:14" x14ac:dyDescent="0.25">
      <c r="A30" t="s">
        <v>43</v>
      </c>
      <c r="B30" s="2">
        <f t="shared" ref="B30:N30" si="6">(B29/B27)</f>
        <v>0.63684210526315788</v>
      </c>
      <c r="C30" s="2">
        <f t="shared" si="6"/>
        <v>0.50270270270270268</v>
      </c>
      <c r="D30" s="2">
        <f t="shared" si="6"/>
        <v>0.65</v>
      </c>
      <c r="E30" s="2">
        <f t="shared" si="6"/>
        <v>0.65789473684210531</v>
      </c>
      <c r="F30" s="2">
        <f t="shared" si="6"/>
        <v>0.65</v>
      </c>
      <c r="G30" s="2">
        <f t="shared" si="6"/>
        <v>0.65789473684210531</v>
      </c>
      <c r="H30" s="2">
        <f t="shared" si="6"/>
        <v>0.51500000000000001</v>
      </c>
      <c r="I30" s="2">
        <f t="shared" si="6"/>
        <v>0.51052631578947372</v>
      </c>
      <c r="J30" s="2">
        <f t="shared" si="6"/>
        <v>0.58888888888888891</v>
      </c>
      <c r="K30" s="2">
        <f t="shared" si="6"/>
        <v>0.51282051282051289</v>
      </c>
      <c r="L30" s="2">
        <f t="shared" si="6"/>
        <v>0.51282051282051289</v>
      </c>
      <c r="M30" s="2">
        <f t="shared" si="6"/>
        <v>0.63783783783783776</v>
      </c>
      <c r="N30" s="2">
        <f t="shared" si="6"/>
        <v>0.53</v>
      </c>
    </row>
    <row r="31" spans="1:14" x14ac:dyDescent="0.25">
      <c r="A31" t="s">
        <v>44</v>
      </c>
      <c r="B31">
        <f>COUNTIF($B$5:$B$24,1)</f>
        <v>9</v>
      </c>
      <c r="C31">
        <f>COUNTIF($C$5:$C$24,1)</f>
        <v>8</v>
      </c>
      <c r="D31">
        <f>COUNTIF($D$5:$D$24,1)</f>
        <v>9</v>
      </c>
      <c r="E31">
        <f>COUNTIF($E$5:$E$24,1)</f>
        <v>10</v>
      </c>
      <c r="F31">
        <f>COUNTIF($F$5:$F$24,1)</f>
        <v>9</v>
      </c>
      <c r="G31">
        <f>COUNTIF($G$5:$G$24,1)</f>
        <v>10</v>
      </c>
      <c r="H31">
        <f>COUNTIF($H$5:$H$24,1)</f>
        <v>6</v>
      </c>
      <c r="I31">
        <f>COUNTIF($I$5:$I$24,1)</f>
        <v>8</v>
      </c>
      <c r="J31">
        <f>COUNTIF($J$5:$J$24,1)</f>
        <v>10</v>
      </c>
      <c r="K31">
        <f>COUNTIF($K$5:$K$24,1)</f>
        <v>7</v>
      </c>
      <c r="L31">
        <f>COUNTIF($L$5:$L$24,1)</f>
        <v>7</v>
      </c>
      <c r="M31">
        <f>COUNTIF($M$5:$M$24,1)</f>
        <v>10</v>
      </c>
    </row>
    <row r="32" spans="1:14" x14ac:dyDescent="0.25">
      <c r="A32" t="s">
        <v>45</v>
      </c>
      <c r="B32">
        <f>COUNTIF($B$5:$B$24,2)</f>
        <v>8</v>
      </c>
      <c r="C32">
        <f>COUNTIF($C$5:$C$24,2)</f>
        <v>9</v>
      </c>
      <c r="D32">
        <f>COUNTIF($D$5:$D$24,2)</f>
        <v>7</v>
      </c>
      <c r="E32">
        <f>COUNTIF($E$5:$E$24,2)</f>
        <v>6</v>
      </c>
      <c r="F32">
        <f>COUNTIF($F$5:$F$24,2)</f>
        <v>7</v>
      </c>
      <c r="G32">
        <f>COUNTIF($G$5:$G$24,2)</f>
        <v>6</v>
      </c>
      <c r="H32">
        <f>COUNTIF($H$5:$H$24,2)</f>
        <v>11</v>
      </c>
      <c r="I32">
        <f>COUNTIF($I$5:$I$24,2)</f>
        <v>8</v>
      </c>
      <c r="J32">
        <f>COUNTIF($J$5:$J$24,2)</f>
        <v>6</v>
      </c>
      <c r="K32">
        <f>COUNTIF($K$5:$K$24,2)</f>
        <v>9</v>
      </c>
      <c r="L32">
        <f>COUNTIF($L$5:$L$24,2)</f>
        <v>9</v>
      </c>
      <c r="M32">
        <f>COUNTIF($M$5:$M$24,2)</f>
        <v>7</v>
      </c>
    </row>
    <row r="33" spans="1:13" x14ac:dyDescent="0.25">
      <c r="A33" t="s">
        <v>46</v>
      </c>
      <c r="B33">
        <f>COUNTIF($B$5:$B$24,3)</f>
        <v>1</v>
      </c>
      <c r="C33">
        <f>COUNTIF($C$5:$C$24,3)</f>
        <v>1</v>
      </c>
      <c r="D33">
        <f>COUNTIF($D$5:$D$24,3)</f>
        <v>1</v>
      </c>
      <c r="E33">
        <f>COUNTIF($E$5:$E$24,3)</f>
        <v>2</v>
      </c>
      <c r="F33">
        <f>COUNTIF($F$5:$F$24,3)</f>
        <v>1</v>
      </c>
      <c r="G33">
        <f>COUNTIF($G$5:$G$24,3)</f>
        <v>2</v>
      </c>
      <c r="H33">
        <f>COUNTIF($H$5:$H$24,3)</f>
        <v>1</v>
      </c>
      <c r="I33">
        <f>COUNTIF($I$5:$I$24,3)</f>
        <v>2</v>
      </c>
      <c r="J33">
        <f>COUNTIF($J$5:$J$24,3)</f>
        <v>3</v>
      </c>
      <c r="K33">
        <f>COUNTIF($K$5:$K$24,3)</f>
        <v>3</v>
      </c>
      <c r="L33">
        <f>COUNTIF($L$5:$L$24,3)</f>
        <v>3</v>
      </c>
      <c r="M33">
        <f>COUNTIF($M$5:$M$24,3)</f>
        <v>0</v>
      </c>
    </row>
    <row r="34" spans="1:13" x14ac:dyDescent="0.25">
      <c r="A34" t="s">
        <v>47</v>
      </c>
      <c r="B34">
        <f>COUNTIF($B$5:$B$24,4)</f>
        <v>0</v>
      </c>
      <c r="C34">
        <f>COUNTIF($C$5:$C$24,4)</f>
        <v>2</v>
      </c>
      <c r="D34">
        <f>COUNTIF($D$5:$D$24,4)</f>
        <v>1</v>
      </c>
      <c r="E34">
        <f>COUNTIF($E$5:$E$24,4)</f>
        <v>0</v>
      </c>
      <c r="F34">
        <f>COUNTIF($F$5:$F$24,4)</f>
        <v>1</v>
      </c>
      <c r="G34">
        <f>COUNTIF($G$5:$G$24,4)</f>
        <v>0</v>
      </c>
      <c r="H34">
        <f>COUNTIF($H$5:$H$24,4)</f>
        <v>1</v>
      </c>
      <c r="I34">
        <f>COUNTIF($I$5:$I$24,4)</f>
        <v>2</v>
      </c>
      <c r="J34">
        <f>COUNTIF($J$5:$J$24,4)</f>
        <v>0</v>
      </c>
      <c r="K34">
        <f>COUNTIF($K$5:$K$24,4)</f>
        <v>0</v>
      </c>
      <c r="L34">
        <f>COUNTIF($L$5:$L$24,4)</f>
        <v>0</v>
      </c>
      <c r="M34">
        <f>COUNTIF($M$5:$M$24,4)</f>
        <v>2</v>
      </c>
    </row>
    <row r="35" spans="1:13" x14ac:dyDescent="0.25">
      <c r="A35" t="s">
        <v>48</v>
      </c>
      <c r="B35">
        <f>COUNTIF($B$5:$B$24,5)</f>
        <v>2</v>
      </c>
      <c r="C35">
        <f>COUNTIF($C$5:$C$24,5)</f>
        <v>0</v>
      </c>
      <c r="D35">
        <f>COUNTIF($D$5:$D$24,5)</f>
        <v>2</v>
      </c>
      <c r="E35">
        <f>COUNTIF($E$5:$E$24,5)</f>
        <v>2</v>
      </c>
      <c r="F35">
        <f>COUNTIF($F$5:$F$24,5)</f>
        <v>2</v>
      </c>
      <c r="G35">
        <f>COUNTIF($G$5:$G$24,5)</f>
        <v>2</v>
      </c>
      <c r="H35">
        <f>COUNTIF($H$5:$H$24,5)</f>
        <v>1</v>
      </c>
      <c r="I35">
        <f>COUNTIF($I$5:$I$24,5)</f>
        <v>0</v>
      </c>
      <c r="J35">
        <f>COUNTIF($J$5:$J$24,5)</f>
        <v>1</v>
      </c>
      <c r="K35">
        <f>COUNTIF($K$5:$K$24,5)</f>
        <v>1</v>
      </c>
      <c r="L35">
        <f>COUNTIF($L$5:$L$24,5)</f>
        <v>1</v>
      </c>
      <c r="M35">
        <f>COUNTIF($M$5:$M$24,5)</f>
        <v>1</v>
      </c>
    </row>
    <row r="36" spans="1:13" x14ac:dyDescent="0.25">
      <c r="A36" t="s">
        <v>4</v>
      </c>
      <c r="B36">
        <f>SUM($B31:$B35)</f>
        <v>20</v>
      </c>
      <c r="C36">
        <f>SUM($C31:$C35)</f>
        <v>20</v>
      </c>
      <c r="D36">
        <f>SUM($D31:$D35)</f>
        <v>20</v>
      </c>
      <c r="E36">
        <f>SUM($E31:$E35)</f>
        <v>20</v>
      </c>
      <c r="F36">
        <f>SUM($F31:$F35)</f>
        <v>20</v>
      </c>
      <c r="G36">
        <f>SUM($G31:$G35)</f>
        <v>20</v>
      </c>
      <c r="H36">
        <f>SUM($H31:$H35)</f>
        <v>20</v>
      </c>
      <c r="I36">
        <f>SUM($I31:$I35)</f>
        <v>20</v>
      </c>
      <c r="J36">
        <f>SUM($J31:$J35)</f>
        <v>20</v>
      </c>
      <c r="K36">
        <f>SUM($K31:$K35)</f>
        <v>20</v>
      </c>
      <c r="L36">
        <f>SUM($L31:$L35)</f>
        <v>20</v>
      </c>
      <c r="M36">
        <f>SUM($M31:$M35)</f>
        <v>20</v>
      </c>
    </row>
    <row r="37" spans="1:13" x14ac:dyDescent="0.25">
      <c r="A37" t="s">
        <v>49</v>
      </c>
      <c r="B37" s="2">
        <f>($B31/$B36)</f>
        <v>0.45</v>
      </c>
      <c r="C37" s="2">
        <f>($C31/$C36)</f>
        <v>0.4</v>
      </c>
      <c r="D37" s="2">
        <f>($D31/$D36)</f>
        <v>0.45</v>
      </c>
      <c r="E37" s="2">
        <f>($E31/$E36)</f>
        <v>0.5</v>
      </c>
      <c r="F37" s="2">
        <f>($F31/$F36)</f>
        <v>0.45</v>
      </c>
      <c r="G37" s="2">
        <f>($G31/$G36)</f>
        <v>0.5</v>
      </c>
      <c r="H37" s="2">
        <f>($H31/$H36)</f>
        <v>0.3</v>
      </c>
      <c r="I37" s="2">
        <f>($I31/$I36)</f>
        <v>0.4</v>
      </c>
      <c r="J37" s="2">
        <f>($J31/$J36)</f>
        <v>0.5</v>
      </c>
      <c r="K37" s="2">
        <f>($K31/$K36)</f>
        <v>0.35</v>
      </c>
      <c r="L37" s="2">
        <f>($L31/$L36)</f>
        <v>0.35</v>
      </c>
      <c r="M37" s="2">
        <f>($M31/$M36)</f>
        <v>0.5</v>
      </c>
    </row>
    <row r="38" spans="1:13" x14ac:dyDescent="0.25">
      <c r="A38" t="s">
        <v>50</v>
      </c>
      <c r="B38" s="2">
        <f>($B32/$B36)</f>
        <v>0.4</v>
      </c>
      <c r="C38" s="2">
        <f>($C32/$C36)</f>
        <v>0.45</v>
      </c>
      <c r="D38" s="2">
        <f>($D32/$D36)</f>
        <v>0.35</v>
      </c>
      <c r="E38" s="2">
        <f>($E32/$E36)</f>
        <v>0.3</v>
      </c>
      <c r="F38" s="2">
        <f>($F32/$F36)</f>
        <v>0.35</v>
      </c>
      <c r="G38" s="2">
        <f>($G32/$G36)</f>
        <v>0.3</v>
      </c>
      <c r="H38" s="2">
        <f>($H32/$H36)</f>
        <v>0.55000000000000004</v>
      </c>
      <c r="I38" s="2">
        <f>($I32/$I36)</f>
        <v>0.4</v>
      </c>
      <c r="J38" s="2">
        <f>($J32/$J36)</f>
        <v>0.3</v>
      </c>
      <c r="K38" s="2">
        <f>($K32/$K36)</f>
        <v>0.45</v>
      </c>
      <c r="L38" s="2">
        <f>($L32/$L36)</f>
        <v>0.45</v>
      </c>
      <c r="M38" s="2">
        <f>($M32/$M36)</f>
        <v>0.35</v>
      </c>
    </row>
    <row r="39" spans="1:13" x14ac:dyDescent="0.25">
      <c r="A39" t="s">
        <v>51</v>
      </c>
      <c r="B39" s="2">
        <f>($B33/$B36)</f>
        <v>0.05</v>
      </c>
      <c r="C39" s="2">
        <f>($C33/$C36)</f>
        <v>0.05</v>
      </c>
      <c r="D39" s="2">
        <f>($D33/$D36)</f>
        <v>0.05</v>
      </c>
      <c r="E39" s="2">
        <f>($E33/$E36)</f>
        <v>0.1</v>
      </c>
      <c r="F39" s="2">
        <f>($F33/$F36)</f>
        <v>0.05</v>
      </c>
      <c r="G39" s="2">
        <f>($G33/$G36)</f>
        <v>0.1</v>
      </c>
      <c r="H39" s="2">
        <f>($H33/$H36)</f>
        <v>0.05</v>
      </c>
      <c r="I39" s="2">
        <f>($I33/$I36)</f>
        <v>0.1</v>
      </c>
      <c r="J39" s="2">
        <f>($J33/$J36)</f>
        <v>0.15</v>
      </c>
      <c r="K39" s="2">
        <f>($K33/$K36)</f>
        <v>0.15</v>
      </c>
      <c r="L39" s="2">
        <f>($L33/$L36)</f>
        <v>0.15</v>
      </c>
      <c r="M39" s="2">
        <f>($M33/$M36)</f>
        <v>0</v>
      </c>
    </row>
    <row r="40" spans="1:13" x14ac:dyDescent="0.25">
      <c r="A40" t="s">
        <v>52</v>
      </c>
      <c r="B40" s="2">
        <f>($B34/$B36)</f>
        <v>0</v>
      </c>
      <c r="C40" s="2">
        <f>($C34/$C36)</f>
        <v>0.1</v>
      </c>
      <c r="D40" s="2">
        <f>($D34/$D36)</f>
        <v>0.05</v>
      </c>
      <c r="E40" s="2">
        <f>($E34/$E36)</f>
        <v>0</v>
      </c>
      <c r="F40" s="2">
        <f>($F34/$F36)</f>
        <v>0.05</v>
      </c>
      <c r="G40" s="2">
        <f>($G34/$G36)</f>
        <v>0</v>
      </c>
      <c r="H40" s="2">
        <f>($H34/$H36)</f>
        <v>0.05</v>
      </c>
      <c r="I40" s="2">
        <f>($I34/$I36)</f>
        <v>0.1</v>
      </c>
      <c r="J40" s="2">
        <f>($J34/$J36)</f>
        <v>0</v>
      </c>
      <c r="K40" s="2">
        <f>($K34/$K36)</f>
        <v>0</v>
      </c>
      <c r="L40" s="2">
        <f>($L34/$L36)</f>
        <v>0</v>
      </c>
      <c r="M40" s="2">
        <f>($M34/$M36)</f>
        <v>0.1</v>
      </c>
    </row>
    <row r="41" spans="1:13" x14ac:dyDescent="0.25">
      <c r="A41" t="s">
        <v>53</v>
      </c>
      <c r="B41" s="2">
        <f>($B35/$B36)</f>
        <v>0.1</v>
      </c>
      <c r="C41" s="2">
        <f>($C35/$C36)</f>
        <v>0</v>
      </c>
      <c r="D41" s="2">
        <f>($D35/$D36)</f>
        <v>0.1</v>
      </c>
      <c r="E41" s="2">
        <f>($E35/$E36)</f>
        <v>0.1</v>
      </c>
      <c r="F41" s="2">
        <f>($F35/$F36)</f>
        <v>0.1</v>
      </c>
      <c r="G41" s="2">
        <f>($G35/$G36)</f>
        <v>0.1</v>
      </c>
      <c r="H41" s="2">
        <f>($H35/$H36)</f>
        <v>0.05</v>
      </c>
      <c r="I41" s="2">
        <f>($I35/$I36)</f>
        <v>0</v>
      </c>
      <c r="J41" s="2">
        <f>($J35/$J36)</f>
        <v>0.05</v>
      </c>
      <c r="K41" s="2">
        <f>($K35/$K36)</f>
        <v>0.05</v>
      </c>
      <c r="L41" s="2">
        <f>($L35/$L36)</f>
        <v>0.05</v>
      </c>
      <c r="M41" s="2">
        <f>($M35/$M36)</f>
        <v>0.05</v>
      </c>
    </row>
    <row r="42" spans="1:13" x14ac:dyDescent="0.25">
      <c r="A42" t="s">
        <v>54</v>
      </c>
      <c r="B42" s="2">
        <f>SUM($B37:$B41)</f>
        <v>1.0000000000000002</v>
      </c>
      <c r="C42" s="2">
        <f>SUM($C37:$C41)</f>
        <v>1.0000000000000002</v>
      </c>
      <c r="D42" s="2">
        <f>SUM($D37:$D41)</f>
        <v>1.0000000000000002</v>
      </c>
      <c r="E42" s="2">
        <f>SUM($E37:$E41)</f>
        <v>1</v>
      </c>
      <c r="F42" s="2">
        <f>SUM($F37:$F41)</f>
        <v>1.0000000000000002</v>
      </c>
      <c r="G42" s="2">
        <f>SUM($G37:$G41)</f>
        <v>1</v>
      </c>
      <c r="H42" s="2">
        <f>SUM($H37:$H41)</f>
        <v>1.0000000000000002</v>
      </c>
      <c r="I42" s="2">
        <f>SUM($I37:$I41)</f>
        <v>1</v>
      </c>
      <c r="J42" s="2">
        <f>SUM($J37:$J41)</f>
        <v>1</v>
      </c>
      <c r="K42" s="2">
        <f>SUM($K37:$K41)</f>
        <v>1</v>
      </c>
      <c r="L42" s="2">
        <f>SUM($L37:$L41)</f>
        <v>1</v>
      </c>
      <c r="M42" s="2">
        <f>SUM($M37:$M41)</f>
        <v>1</v>
      </c>
    </row>
  </sheetData>
  <sheetProtection formatCells="0" formatColumns="0" formatRows="0" insertColumns="0" insertRows="0" insertHyperlinks="0" deleteColumns="0" deleteRows="0" sort="0" autoFilter="0" pivotTables="0"/>
  <mergeCells count="298">
    <mergeCell ref="N23"/>
    <mergeCell ref="N24"/>
    <mergeCell ref="N18"/>
    <mergeCell ref="N19"/>
    <mergeCell ref="N20"/>
    <mergeCell ref="N21"/>
    <mergeCell ref="N22"/>
    <mergeCell ref="K24"/>
    <mergeCell ref="L24"/>
    <mergeCell ref="M24"/>
    <mergeCell ref="N5"/>
    <mergeCell ref="N6"/>
    <mergeCell ref="N7"/>
    <mergeCell ref="N8"/>
    <mergeCell ref="N9"/>
    <mergeCell ref="N10"/>
    <mergeCell ref="N11"/>
    <mergeCell ref="N12"/>
    <mergeCell ref="N13"/>
    <mergeCell ref="N14"/>
    <mergeCell ref="N15"/>
    <mergeCell ref="N16"/>
    <mergeCell ref="N17"/>
    <mergeCell ref="F24"/>
    <mergeCell ref="G24"/>
    <mergeCell ref="H24"/>
    <mergeCell ref="I24"/>
    <mergeCell ref="J24"/>
    <mergeCell ref="A24"/>
    <mergeCell ref="B24"/>
    <mergeCell ref="C24"/>
    <mergeCell ref="D24"/>
    <mergeCell ref="E24"/>
    <mergeCell ref="K22"/>
    <mergeCell ref="L22"/>
    <mergeCell ref="M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F22"/>
    <mergeCell ref="G22"/>
    <mergeCell ref="H22"/>
    <mergeCell ref="I22"/>
    <mergeCell ref="J22"/>
    <mergeCell ref="A22"/>
    <mergeCell ref="B22"/>
    <mergeCell ref="C22"/>
    <mergeCell ref="D22"/>
    <mergeCell ref="E22"/>
    <mergeCell ref="K20"/>
    <mergeCell ref="L20"/>
    <mergeCell ref="M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F20"/>
    <mergeCell ref="G20"/>
    <mergeCell ref="H20"/>
    <mergeCell ref="I20"/>
    <mergeCell ref="J20"/>
    <mergeCell ref="A20"/>
    <mergeCell ref="B20"/>
    <mergeCell ref="C20"/>
    <mergeCell ref="D20"/>
    <mergeCell ref="E20"/>
    <mergeCell ref="K18"/>
    <mergeCell ref="L18"/>
    <mergeCell ref="M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F18"/>
    <mergeCell ref="G18"/>
    <mergeCell ref="H18"/>
    <mergeCell ref="I18"/>
    <mergeCell ref="J18"/>
    <mergeCell ref="A18"/>
    <mergeCell ref="B18"/>
    <mergeCell ref="C18"/>
    <mergeCell ref="D18"/>
    <mergeCell ref="E18"/>
    <mergeCell ref="K16"/>
    <mergeCell ref="L16"/>
    <mergeCell ref="M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F16"/>
    <mergeCell ref="G16"/>
    <mergeCell ref="H16"/>
    <mergeCell ref="I16"/>
    <mergeCell ref="J16"/>
    <mergeCell ref="A16"/>
    <mergeCell ref="B16"/>
    <mergeCell ref="C16"/>
    <mergeCell ref="D16"/>
    <mergeCell ref="E16"/>
    <mergeCell ref="K14"/>
    <mergeCell ref="L14"/>
    <mergeCell ref="M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F14"/>
    <mergeCell ref="G14"/>
    <mergeCell ref="H14"/>
    <mergeCell ref="I14"/>
    <mergeCell ref="J14"/>
    <mergeCell ref="A14"/>
    <mergeCell ref="B14"/>
    <mergeCell ref="C14"/>
    <mergeCell ref="D14"/>
    <mergeCell ref="E14"/>
    <mergeCell ref="K12"/>
    <mergeCell ref="L12"/>
    <mergeCell ref="M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F12"/>
    <mergeCell ref="G12"/>
    <mergeCell ref="H12"/>
    <mergeCell ref="I12"/>
    <mergeCell ref="J12"/>
    <mergeCell ref="A12"/>
    <mergeCell ref="B12"/>
    <mergeCell ref="C12"/>
    <mergeCell ref="D12"/>
    <mergeCell ref="E12"/>
    <mergeCell ref="K10"/>
    <mergeCell ref="L10"/>
    <mergeCell ref="M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F10"/>
    <mergeCell ref="G10"/>
    <mergeCell ref="H10"/>
    <mergeCell ref="I10"/>
    <mergeCell ref="J10"/>
    <mergeCell ref="A10"/>
    <mergeCell ref="B10"/>
    <mergeCell ref="C10"/>
    <mergeCell ref="D10"/>
    <mergeCell ref="E10"/>
    <mergeCell ref="K8"/>
    <mergeCell ref="L8"/>
    <mergeCell ref="M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F8"/>
    <mergeCell ref="G8"/>
    <mergeCell ref="H8"/>
    <mergeCell ref="I8"/>
    <mergeCell ref="J8"/>
    <mergeCell ref="A8"/>
    <mergeCell ref="B8"/>
    <mergeCell ref="C8"/>
    <mergeCell ref="D8"/>
    <mergeCell ref="E8"/>
    <mergeCell ref="K6"/>
    <mergeCell ref="L6"/>
    <mergeCell ref="M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F6"/>
    <mergeCell ref="G6"/>
    <mergeCell ref="H6"/>
    <mergeCell ref="I6"/>
    <mergeCell ref="J6"/>
    <mergeCell ref="A6"/>
    <mergeCell ref="B6"/>
    <mergeCell ref="C6"/>
    <mergeCell ref="D6"/>
    <mergeCell ref="E6"/>
    <mergeCell ref="L4"/>
    <mergeCell ref="M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G4"/>
    <mergeCell ref="H4"/>
    <mergeCell ref="I4"/>
    <mergeCell ref="J4"/>
    <mergeCell ref="K4"/>
    <mergeCell ref="B4"/>
    <mergeCell ref="C4"/>
    <mergeCell ref="D4"/>
    <mergeCell ref="E4"/>
    <mergeCell ref="F4"/>
    <mergeCell ref="A1:O2"/>
    <mergeCell ref="B3:E3"/>
    <mergeCell ref="F3:I3"/>
    <mergeCell ref="J3:M3"/>
    <mergeCell ref="N3"/>
    <mergeCell ref="O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121"/>
  <sheetViews>
    <sheetView topLeftCell="AU7" workbookViewId="0">
      <selection activeCell="AX20" sqref="AX20"/>
    </sheetView>
  </sheetViews>
  <sheetFormatPr baseColWidth="10" defaultColWidth="9.140625" defaultRowHeight="15" x14ac:dyDescent="0.25"/>
  <cols>
    <col min="1" max="1" width="14" bestFit="1" customWidth="1"/>
    <col min="13" max="13" width="34.140625" bestFit="1" customWidth="1"/>
    <col min="14" max="14" width="25" customWidth="1"/>
    <col min="15" max="15" width="41.5703125" bestFit="1" customWidth="1"/>
    <col min="16" max="17" width="10" customWidth="1"/>
    <col min="18" max="18" width="15" customWidth="1"/>
    <col min="19" max="19" width="10" customWidth="1"/>
    <col min="25" max="25" width="34.140625" bestFit="1" customWidth="1"/>
    <col min="26" max="26" width="25" customWidth="1"/>
    <col min="27" max="27" width="39.5703125" bestFit="1" customWidth="1"/>
    <col min="28" max="29" width="10" customWidth="1"/>
    <col min="30" max="30" width="15" customWidth="1"/>
    <col min="31" max="31" width="10" customWidth="1"/>
    <col min="37" max="37" width="34.140625" bestFit="1" customWidth="1"/>
    <col min="38" max="38" width="25" customWidth="1"/>
    <col min="39" max="39" width="27.7109375" bestFit="1" customWidth="1"/>
    <col min="40" max="41" width="10" customWidth="1"/>
    <col min="42" max="42" width="15" customWidth="1"/>
    <col min="43" max="43" width="10" customWidth="1"/>
    <col min="49" max="49" width="41.5703125" bestFit="1" customWidth="1"/>
    <col min="50" max="50" width="25" customWidth="1"/>
    <col min="51" max="51" width="41.5703125" bestFit="1" customWidth="1"/>
    <col min="52" max="53" width="10" customWidth="1"/>
    <col min="54" max="54" width="15" customWidth="1"/>
    <col min="55" max="55" width="10" customWidth="1"/>
  </cols>
  <sheetData>
    <row r="1" spans="1:57" x14ac:dyDescent="0.25">
      <c r="A1" s="44" t="s">
        <v>0</v>
      </c>
      <c r="B1" s="44"/>
      <c r="C1" s="44"/>
      <c r="D1" s="44"/>
      <c r="E1" s="44"/>
      <c r="F1" s="44"/>
      <c r="G1" s="44"/>
      <c r="H1" s="44"/>
      <c r="I1" s="44"/>
    </row>
    <row r="2" spans="1:57" x14ac:dyDescent="0.25">
      <c r="A2" s="45" t="s">
        <v>55</v>
      </c>
      <c r="B2" s="46" t="s">
        <v>165</v>
      </c>
      <c r="C2" s="46"/>
      <c r="D2" s="46" t="s">
        <v>166</v>
      </c>
      <c r="E2" s="46"/>
      <c r="F2" s="46" t="s">
        <v>167</v>
      </c>
      <c r="G2" s="46"/>
      <c r="H2" s="46" t="s">
        <v>168</v>
      </c>
      <c r="I2" s="46"/>
    </row>
    <row r="3" spans="1:57" x14ac:dyDescent="0.25">
      <c r="A3" s="45"/>
      <c r="B3" s="47" t="s">
        <v>57</v>
      </c>
      <c r="C3" s="47" t="s">
        <v>5</v>
      </c>
      <c r="D3" s="47" t="s">
        <v>57</v>
      </c>
      <c r="E3" s="47" t="s">
        <v>5</v>
      </c>
      <c r="F3" s="47" t="s">
        <v>57</v>
      </c>
      <c r="G3" s="47" t="s">
        <v>5</v>
      </c>
      <c r="H3" s="47" t="s">
        <v>57</v>
      </c>
      <c r="I3" s="47" t="s">
        <v>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</row>
    <row r="4" spans="1:57" x14ac:dyDescent="0.25">
      <c r="A4" t="s">
        <v>18</v>
      </c>
      <c r="B4">
        <f>SUM('Desarrollo de competencias'!B5:E5)</f>
        <v>9</v>
      </c>
      <c r="C4" t="str">
        <f t="shared" ref="C4:C23" si="0">IF(B4&lt;=$Q$19,"Bajo",IF(B4&lt;=$Q$20,"Medio",IF(B4&lt;=$Q$21,"Alto",0)))</f>
        <v>Bajo</v>
      </c>
      <c r="D4">
        <f>SUM('Desarrollo de competencias'!F5:I5)</f>
        <v>10</v>
      </c>
      <c r="E4" t="str">
        <f t="shared" ref="E4:E23" si="1">IF(D4&lt;=$AC$19,"Bajo",IF(D4&lt;=$AC$20,"Medio",IF(D4&lt;=$AC$21,"Alto",0)))</f>
        <v>Medio</v>
      </c>
      <c r="F4">
        <f>SUM('Desarrollo de competencias'!J5:M5)</f>
        <v>10</v>
      </c>
      <c r="G4" t="str">
        <f t="shared" ref="G4:G23" si="2">IF(F4&lt;=$AO$19,"Bajo",IF(F4&lt;=$AO$20,"Medio",IF(F4&lt;=$AO$21,"Alto",0)))</f>
        <v>Medio</v>
      </c>
      <c r="H4">
        <f t="shared" ref="H4:H23" si="3">SUM(B4:F4)</f>
        <v>29</v>
      </c>
      <c r="I4" t="str">
        <f t="shared" ref="I4:I23" si="4">IF(H4&lt;=$BA$19,"Bajo",IF(H4&lt;=$BA$20,"Medio",IF(H4&lt;=$BA$21,"Alto",0)))</f>
        <v>Medio</v>
      </c>
      <c r="K4" s="4"/>
      <c r="M4" s="3" t="s">
        <v>58</v>
      </c>
      <c r="N4" s="3" t="s">
        <v>168</v>
      </c>
      <c r="U4" s="4"/>
      <c r="W4" s="4"/>
      <c r="Y4" s="3" t="s">
        <v>58</v>
      </c>
      <c r="Z4" s="3" t="s">
        <v>168</v>
      </c>
      <c r="AG4" s="4"/>
      <c r="AI4" s="4"/>
      <c r="AK4" s="3" t="s">
        <v>58</v>
      </c>
      <c r="AL4" s="3" t="s">
        <v>168</v>
      </c>
      <c r="AS4" s="4"/>
      <c r="AU4" s="18"/>
      <c r="AW4" s="3" t="s">
        <v>58</v>
      </c>
      <c r="AX4" s="3" t="s">
        <v>168</v>
      </c>
      <c r="BE4" s="18"/>
    </row>
    <row r="5" spans="1:57" x14ac:dyDescent="0.25">
      <c r="A5" t="s">
        <v>19</v>
      </c>
      <c r="B5">
        <f>SUM('Desarrollo de competencias'!B6:E6)</f>
        <v>4</v>
      </c>
      <c r="C5" t="str">
        <f t="shared" si="0"/>
        <v>Bajo</v>
      </c>
      <c r="D5">
        <f>SUM('Desarrollo de competencias'!F6:I6)</f>
        <v>5</v>
      </c>
      <c r="E5" t="str">
        <f t="shared" si="1"/>
        <v>Bajo</v>
      </c>
      <c r="F5">
        <f>SUM('Desarrollo de competencias'!J6:M6)</f>
        <v>4</v>
      </c>
      <c r="G5" t="str">
        <f t="shared" si="2"/>
        <v>Bajo</v>
      </c>
      <c r="H5">
        <f t="shared" si="3"/>
        <v>13</v>
      </c>
      <c r="I5" t="str">
        <f t="shared" si="4"/>
        <v>Bajo</v>
      </c>
      <c r="K5" s="4"/>
      <c r="M5" s="3" t="s">
        <v>59</v>
      </c>
      <c r="N5" s="3" t="str">
        <f>B2</f>
        <v>Nivel de planificación de la enseñanza</v>
      </c>
      <c r="U5" s="4"/>
      <c r="W5" s="4"/>
      <c r="Y5" s="3" t="s">
        <v>59</v>
      </c>
      <c r="Z5" s="3" t="str">
        <f>D2</f>
        <v>Nivel de la competencia comunicativa</v>
      </c>
      <c r="AG5" s="4"/>
      <c r="AI5" s="4"/>
      <c r="AK5" s="3" t="s">
        <v>59</v>
      </c>
      <c r="AL5" s="3" t="str">
        <f>F2</f>
        <v>Diseño de metodología</v>
      </c>
      <c r="AS5" s="4"/>
      <c r="AU5" s="18"/>
      <c r="BE5" s="18"/>
    </row>
    <row r="6" spans="1:57" x14ac:dyDescent="0.25">
      <c r="A6" t="s">
        <v>20</v>
      </c>
      <c r="B6">
        <f>SUM('Desarrollo de competencias'!B7:E7)</f>
        <v>8</v>
      </c>
      <c r="C6" t="str">
        <f t="shared" si="0"/>
        <v>Bajo</v>
      </c>
      <c r="D6">
        <f>SUM('Desarrollo de competencias'!F7:I7)</f>
        <v>7</v>
      </c>
      <c r="E6" t="str">
        <f t="shared" si="1"/>
        <v>Bajo</v>
      </c>
      <c r="F6">
        <f>SUM('Desarrollo de competencias'!J7:M7)</f>
        <v>6</v>
      </c>
      <c r="G6" t="str">
        <f t="shared" si="2"/>
        <v>Bajo</v>
      </c>
      <c r="H6">
        <f t="shared" si="3"/>
        <v>21</v>
      </c>
      <c r="I6" t="str">
        <f t="shared" si="4"/>
        <v>Bajo</v>
      </c>
      <c r="K6" s="4"/>
      <c r="M6" s="3" t="s">
        <v>60</v>
      </c>
      <c r="N6" s="3">
        <v>3</v>
      </c>
      <c r="U6" s="4"/>
      <c r="W6" s="4"/>
      <c r="Y6" s="3" t="s">
        <v>60</v>
      </c>
      <c r="Z6" s="3">
        <v>3</v>
      </c>
      <c r="AG6" s="4"/>
      <c r="AI6" s="4"/>
      <c r="AK6" s="3" t="s">
        <v>60</v>
      </c>
      <c r="AL6" s="3">
        <v>3</v>
      </c>
      <c r="AS6" s="4"/>
      <c r="AU6" s="18"/>
      <c r="AW6" s="3" t="s">
        <v>60</v>
      </c>
      <c r="AX6" s="3">
        <v>3</v>
      </c>
      <c r="BE6" s="18"/>
    </row>
    <row r="7" spans="1:57" x14ac:dyDescent="0.25">
      <c r="A7" t="s">
        <v>21</v>
      </c>
      <c r="B7">
        <f>SUM('Desarrollo de competencias'!B8:E8)</f>
        <v>5</v>
      </c>
      <c r="C7" t="str">
        <f t="shared" si="0"/>
        <v>Bajo</v>
      </c>
      <c r="D7">
        <f>SUM('Desarrollo de competencias'!F8:I8)</f>
        <v>6</v>
      </c>
      <c r="E7" t="str">
        <f t="shared" si="1"/>
        <v>Bajo</v>
      </c>
      <c r="F7">
        <f>SUM('Desarrollo de competencias'!J8:M8)</f>
        <v>6</v>
      </c>
      <c r="G7" t="str">
        <f t="shared" si="2"/>
        <v>Bajo</v>
      </c>
      <c r="H7">
        <f t="shared" si="3"/>
        <v>17</v>
      </c>
      <c r="I7" t="str">
        <f t="shared" si="4"/>
        <v>Bajo</v>
      </c>
      <c r="K7" s="4"/>
      <c r="M7" s="3" t="s">
        <v>61</v>
      </c>
      <c r="N7" s="3">
        <v>4</v>
      </c>
      <c r="U7" s="4"/>
      <c r="W7" s="4"/>
      <c r="Y7" s="3" t="s">
        <v>61</v>
      </c>
      <c r="Z7" s="3">
        <v>4</v>
      </c>
      <c r="AG7" s="4"/>
      <c r="AI7" s="4"/>
      <c r="AK7" s="3" t="s">
        <v>61</v>
      </c>
      <c r="AL7" s="3">
        <v>4</v>
      </c>
      <c r="AS7" s="4"/>
      <c r="AU7" s="18"/>
      <c r="AW7" s="3" t="s">
        <v>61</v>
      </c>
      <c r="AX7" s="3">
        <v>12</v>
      </c>
      <c r="BE7" s="18"/>
    </row>
    <row r="8" spans="1:57" x14ac:dyDescent="0.25">
      <c r="A8" t="s">
        <v>22</v>
      </c>
      <c r="B8">
        <f>SUM('Desarrollo de competencias'!B9:E9)</f>
        <v>5</v>
      </c>
      <c r="C8" t="str">
        <f t="shared" si="0"/>
        <v>Bajo</v>
      </c>
      <c r="D8">
        <f>SUM('Desarrollo de competencias'!F9:I9)</f>
        <v>6</v>
      </c>
      <c r="E8" t="str">
        <f t="shared" si="1"/>
        <v>Bajo</v>
      </c>
      <c r="F8">
        <f>SUM('Desarrollo de competencias'!J9:M9)</f>
        <v>6</v>
      </c>
      <c r="G8" t="str">
        <f t="shared" si="2"/>
        <v>Bajo</v>
      </c>
      <c r="H8">
        <f t="shared" si="3"/>
        <v>17</v>
      </c>
      <c r="I8" t="str">
        <f t="shared" si="4"/>
        <v>Bajo</v>
      </c>
      <c r="K8" s="4"/>
      <c r="M8" s="3" t="s">
        <v>62</v>
      </c>
      <c r="N8" s="3">
        <v>1</v>
      </c>
      <c r="U8" s="4"/>
      <c r="W8" s="4"/>
      <c r="Y8" s="3" t="s">
        <v>62</v>
      </c>
      <c r="Z8" s="3">
        <v>1</v>
      </c>
      <c r="AG8" s="4"/>
      <c r="AI8" s="4"/>
      <c r="AK8" s="3" t="s">
        <v>62</v>
      </c>
      <c r="AL8" s="3">
        <v>1</v>
      </c>
      <c r="AS8" s="4"/>
      <c r="AU8" s="18"/>
      <c r="AW8" s="3" t="s">
        <v>62</v>
      </c>
      <c r="AX8" s="3">
        <v>1</v>
      </c>
      <c r="BE8" s="18"/>
    </row>
    <row r="9" spans="1:57" x14ac:dyDescent="0.25">
      <c r="A9" t="s">
        <v>23</v>
      </c>
      <c r="B9">
        <f>SUM('Desarrollo de competencias'!B10:E10)</f>
        <v>4</v>
      </c>
      <c r="C9" t="str">
        <f t="shared" si="0"/>
        <v>Bajo</v>
      </c>
      <c r="D9">
        <f>SUM('Desarrollo de competencias'!F10:I10)</f>
        <v>4</v>
      </c>
      <c r="E9" t="str">
        <f t="shared" si="1"/>
        <v>Bajo</v>
      </c>
      <c r="F9">
        <f>SUM('Desarrollo de competencias'!J10:M10)</f>
        <v>4</v>
      </c>
      <c r="G9" t="str">
        <f t="shared" si="2"/>
        <v>Bajo</v>
      </c>
      <c r="H9">
        <f t="shared" si="3"/>
        <v>12</v>
      </c>
      <c r="I9" t="str">
        <f t="shared" si="4"/>
        <v>Bajo</v>
      </c>
      <c r="K9" s="4"/>
      <c r="M9" s="3" t="s">
        <v>63</v>
      </c>
      <c r="N9" s="3">
        <v>5</v>
      </c>
      <c r="U9" s="4"/>
      <c r="W9" s="4"/>
      <c r="Y9" s="3" t="s">
        <v>63</v>
      </c>
      <c r="Z9" s="3">
        <v>5</v>
      </c>
      <c r="AG9" s="4"/>
      <c r="AI9" s="4"/>
      <c r="AK9" s="3" t="s">
        <v>63</v>
      </c>
      <c r="AL9" s="3">
        <v>5</v>
      </c>
      <c r="AS9" s="4"/>
      <c r="AU9" s="18"/>
      <c r="AW9" s="3" t="s">
        <v>63</v>
      </c>
      <c r="AX9" s="3">
        <v>5</v>
      </c>
      <c r="BE9" s="18"/>
    </row>
    <row r="10" spans="1:57" x14ac:dyDescent="0.25">
      <c r="A10" t="s">
        <v>24</v>
      </c>
      <c r="B10">
        <f>SUM('Desarrollo de competencias'!B11:E11)</f>
        <v>5</v>
      </c>
      <c r="C10" t="str">
        <f t="shared" si="0"/>
        <v>Bajo</v>
      </c>
      <c r="D10">
        <f>SUM('Desarrollo de competencias'!F11:I11)</f>
        <v>6</v>
      </c>
      <c r="E10" t="str">
        <f t="shared" si="1"/>
        <v>Bajo</v>
      </c>
      <c r="F10">
        <f>SUM('Desarrollo de competencias'!J11:M11)</f>
        <v>7</v>
      </c>
      <c r="G10" t="str">
        <f t="shared" si="2"/>
        <v>Bajo</v>
      </c>
      <c r="H10">
        <f t="shared" si="3"/>
        <v>18</v>
      </c>
      <c r="I10" t="str">
        <f t="shared" si="4"/>
        <v>Bajo</v>
      </c>
      <c r="K10" s="4"/>
      <c r="M10" s="3" t="s">
        <v>64</v>
      </c>
      <c r="N10" s="3">
        <f>N7*N9</f>
        <v>20</v>
      </c>
      <c r="U10" s="4"/>
      <c r="W10" s="4"/>
      <c r="Y10" s="3" t="s">
        <v>64</v>
      </c>
      <c r="Z10" s="3">
        <f>Z7*Z9</f>
        <v>20</v>
      </c>
      <c r="AG10" s="4"/>
      <c r="AI10" s="4"/>
      <c r="AK10" s="3" t="s">
        <v>64</v>
      </c>
      <c r="AL10" s="3">
        <f>AL7*AL9</f>
        <v>20</v>
      </c>
      <c r="AS10" s="4"/>
      <c r="AU10" s="18"/>
      <c r="AW10" s="3" t="s">
        <v>64</v>
      </c>
      <c r="AX10" s="3">
        <f>AX7*AX9</f>
        <v>60</v>
      </c>
      <c r="BE10" s="18"/>
    </row>
    <row r="11" spans="1:57" x14ac:dyDescent="0.25">
      <c r="A11" t="s">
        <v>25</v>
      </c>
      <c r="B11">
        <f>SUM('Desarrollo de competencias'!B12:E12)</f>
        <v>19</v>
      </c>
      <c r="C11" t="str">
        <f t="shared" si="0"/>
        <v>Alto</v>
      </c>
      <c r="D11">
        <f>SUM('Desarrollo de competencias'!F12:I12)</f>
        <v>19</v>
      </c>
      <c r="E11" t="str">
        <f t="shared" si="1"/>
        <v>Alto</v>
      </c>
      <c r="F11">
        <f>SUM('Desarrollo de competencias'!J12:M12)</f>
        <v>17</v>
      </c>
      <c r="G11" t="str">
        <f t="shared" si="2"/>
        <v>Alto</v>
      </c>
      <c r="H11">
        <f t="shared" si="3"/>
        <v>55</v>
      </c>
      <c r="I11" t="str">
        <f t="shared" si="4"/>
        <v>Alto</v>
      </c>
      <c r="K11" s="4"/>
      <c r="M11" s="3" t="s">
        <v>65</v>
      </c>
      <c r="N11" s="3">
        <f>N8*N7</f>
        <v>4</v>
      </c>
      <c r="U11" s="4"/>
      <c r="W11" s="4"/>
      <c r="Y11" s="3" t="s">
        <v>65</v>
      </c>
      <c r="Z11" s="3">
        <f>Z8*Z7</f>
        <v>4</v>
      </c>
      <c r="AG11" s="4"/>
      <c r="AI11" s="4"/>
      <c r="AK11" s="3" t="s">
        <v>65</v>
      </c>
      <c r="AL11" s="3">
        <f>AL8*AL7</f>
        <v>4</v>
      </c>
      <c r="AS11" s="4"/>
      <c r="AU11" s="18"/>
      <c r="AW11" s="3" t="s">
        <v>65</v>
      </c>
      <c r="AX11" s="3">
        <f>AX8*AX7</f>
        <v>12</v>
      </c>
      <c r="BE11" s="18"/>
    </row>
    <row r="12" spans="1:57" x14ac:dyDescent="0.25">
      <c r="A12" t="s">
        <v>26</v>
      </c>
      <c r="B12">
        <f>SUM('Desarrollo de competencias'!B13:E13)</f>
        <v>9</v>
      </c>
      <c r="C12" t="str">
        <f t="shared" si="0"/>
        <v>Bajo</v>
      </c>
      <c r="D12">
        <f>SUM('Desarrollo de competencias'!F13:I13)</f>
        <v>8</v>
      </c>
      <c r="E12" t="str">
        <f t="shared" si="1"/>
        <v>Bajo</v>
      </c>
      <c r="F12">
        <f>SUM('Desarrollo de competencias'!J13:M13)</f>
        <v>8</v>
      </c>
      <c r="G12" t="str">
        <f t="shared" si="2"/>
        <v>Bajo</v>
      </c>
      <c r="H12">
        <f t="shared" si="3"/>
        <v>25</v>
      </c>
      <c r="I12" t="str">
        <f t="shared" si="4"/>
        <v>Bajo</v>
      </c>
      <c r="K12" s="4"/>
      <c r="M12" s="3" t="s">
        <v>66</v>
      </c>
      <c r="N12" s="3">
        <f>N10-N11</f>
        <v>16</v>
      </c>
      <c r="U12" s="4"/>
      <c r="W12" s="4"/>
      <c r="Y12" s="3" t="s">
        <v>66</v>
      </c>
      <c r="Z12" s="3">
        <f>Z10-Z11</f>
        <v>16</v>
      </c>
      <c r="AG12" s="4"/>
      <c r="AI12" s="4"/>
      <c r="AK12" s="3" t="s">
        <v>66</v>
      </c>
      <c r="AL12" s="3">
        <f>AL10-AL11</f>
        <v>16</v>
      </c>
      <c r="AS12" s="4"/>
      <c r="AU12" s="18"/>
      <c r="AW12" s="3" t="s">
        <v>66</v>
      </c>
      <c r="AX12" s="3">
        <f>AX10-AX11</f>
        <v>48</v>
      </c>
      <c r="BE12" s="18"/>
    </row>
    <row r="13" spans="1:57" x14ac:dyDescent="0.25">
      <c r="A13" t="s">
        <v>27</v>
      </c>
      <c r="B13">
        <f>SUM('Desarrollo de competencias'!B14:E14)</f>
        <v>7</v>
      </c>
      <c r="C13" t="str">
        <f t="shared" si="0"/>
        <v>Bajo</v>
      </c>
      <c r="D13">
        <f>SUM('Desarrollo de competencias'!F14:I14)</f>
        <v>6</v>
      </c>
      <c r="E13" t="str">
        <f t="shared" si="1"/>
        <v>Bajo</v>
      </c>
      <c r="F13">
        <f>SUM('Desarrollo de competencias'!J14:M14)</f>
        <v>7</v>
      </c>
      <c r="G13" t="str">
        <f t="shared" si="2"/>
        <v>Bajo</v>
      </c>
      <c r="H13">
        <f t="shared" si="3"/>
        <v>20</v>
      </c>
      <c r="I13" t="str">
        <f t="shared" si="4"/>
        <v>Bajo</v>
      </c>
      <c r="K13" s="4"/>
      <c r="M13" s="3" t="s">
        <v>67</v>
      </c>
      <c r="N13" s="3">
        <f>ROUND(N12/N6,0)</f>
        <v>5</v>
      </c>
      <c r="U13" s="4"/>
      <c r="W13" s="4"/>
      <c r="Y13" s="3" t="s">
        <v>67</v>
      </c>
      <c r="Z13" s="3">
        <f>ROUND(Z12/Z6,0)</f>
        <v>5</v>
      </c>
      <c r="AG13" s="4"/>
      <c r="AI13" s="4"/>
      <c r="AK13" s="3" t="s">
        <v>67</v>
      </c>
      <c r="AL13" s="3">
        <f>ROUND(AL12/AL6,0)</f>
        <v>5</v>
      </c>
      <c r="AS13" s="4"/>
      <c r="AU13" s="18"/>
      <c r="AW13" s="3" t="s">
        <v>67</v>
      </c>
      <c r="AX13" s="3">
        <f>ROUND(AX12/AX6,0)</f>
        <v>16</v>
      </c>
      <c r="BE13" s="18"/>
    </row>
    <row r="14" spans="1:57" x14ac:dyDescent="0.25">
      <c r="A14" t="s">
        <v>28</v>
      </c>
      <c r="B14">
        <f>SUM('Desarrollo de competencias'!B15:E15)</f>
        <v>18</v>
      </c>
      <c r="C14" t="str">
        <f t="shared" si="0"/>
        <v>Alto</v>
      </c>
      <c r="D14">
        <f>SUM('Desarrollo de competencias'!F15:I15)</f>
        <v>14</v>
      </c>
      <c r="E14" t="str">
        <f t="shared" si="1"/>
        <v>Medio</v>
      </c>
      <c r="F14">
        <f>SUM('Desarrollo de competencias'!J15:M15)</f>
        <v>14</v>
      </c>
      <c r="G14" t="str">
        <f t="shared" si="2"/>
        <v>Medio</v>
      </c>
      <c r="H14">
        <f t="shared" si="3"/>
        <v>46</v>
      </c>
      <c r="I14" t="str">
        <f t="shared" si="4"/>
        <v>Alto</v>
      </c>
      <c r="K14" s="4"/>
      <c r="O14" s="8"/>
      <c r="P14" s="8"/>
      <c r="Q14" s="8"/>
      <c r="R14" s="8"/>
      <c r="S14" s="8"/>
      <c r="U14" s="4"/>
      <c r="W14" s="4"/>
      <c r="AA14" s="8"/>
      <c r="AB14" s="8"/>
      <c r="AC14" s="8"/>
      <c r="AD14" s="8"/>
      <c r="AE14" s="8"/>
      <c r="AG14" s="4"/>
      <c r="AI14" s="4"/>
      <c r="AM14" s="8"/>
      <c r="AN14" s="8"/>
      <c r="AO14" s="8"/>
      <c r="AP14" s="8"/>
      <c r="AQ14" s="8"/>
      <c r="AS14" s="4"/>
      <c r="AU14" s="18"/>
      <c r="AY14" s="8"/>
      <c r="AZ14" s="8"/>
      <c r="BA14" s="8"/>
      <c r="BB14" s="8"/>
      <c r="BC14" s="8"/>
      <c r="BE14" s="18"/>
    </row>
    <row r="15" spans="1:57" x14ac:dyDescent="0.25">
      <c r="A15" t="s">
        <v>29</v>
      </c>
      <c r="B15">
        <f>SUM('Desarrollo de competencias'!B16:E16)</f>
        <v>5</v>
      </c>
      <c r="C15" t="str">
        <f t="shared" si="0"/>
        <v>Bajo</v>
      </c>
      <c r="D15">
        <f>SUM('Desarrollo de competencias'!F16:I16)</f>
        <v>4</v>
      </c>
      <c r="E15" t="str">
        <f t="shared" si="1"/>
        <v>Bajo</v>
      </c>
      <c r="F15">
        <f>SUM('Desarrollo de competencias'!J16:M16)</f>
        <v>4</v>
      </c>
      <c r="G15" t="str">
        <f t="shared" si="2"/>
        <v>Bajo</v>
      </c>
      <c r="H15">
        <f t="shared" si="3"/>
        <v>13</v>
      </c>
      <c r="I15" t="str">
        <f t="shared" si="4"/>
        <v>Bajo</v>
      </c>
      <c r="K15" s="4"/>
      <c r="O15" s="15" t="s">
        <v>68</v>
      </c>
      <c r="P15" s="8"/>
      <c r="Q15" s="8"/>
      <c r="R15" s="8"/>
      <c r="S15" s="8"/>
      <c r="U15" s="4"/>
      <c r="W15" s="4"/>
      <c r="AA15" s="15" t="s">
        <v>69</v>
      </c>
      <c r="AB15" s="8"/>
      <c r="AC15" s="8"/>
      <c r="AD15" s="8"/>
      <c r="AE15" s="8"/>
      <c r="AG15" s="4"/>
      <c r="AI15" s="4"/>
      <c r="AM15" s="15" t="s">
        <v>70</v>
      </c>
      <c r="AN15" s="8"/>
      <c r="AO15" s="8"/>
      <c r="AP15" s="8"/>
      <c r="AQ15" s="8"/>
      <c r="AS15" s="4"/>
      <c r="AU15" s="18"/>
      <c r="AY15" s="15" t="s">
        <v>71</v>
      </c>
      <c r="AZ15" s="8"/>
      <c r="BA15" s="8"/>
      <c r="BB15" s="8"/>
      <c r="BC15" s="8"/>
      <c r="BE15" s="18"/>
    </row>
    <row r="16" spans="1:57" x14ac:dyDescent="0.25">
      <c r="A16" t="s">
        <v>30</v>
      </c>
      <c r="B16">
        <f>SUM('Desarrollo de competencias'!B17:E17)</f>
        <v>8</v>
      </c>
      <c r="C16" t="str">
        <f t="shared" si="0"/>
        <v>Bajo</v>
      </c>
      <c r="D16">
        <f>SUM('Desarrollo de competencias'!F17:I17)</f>
        <v>8</v>
      </c>
      <c r="E16" t="str">
        <f t="shared" si="1"/>
        <v>Bajo</v>
      </c>
      <c r="F16">
        <f>SUM('Desarrollo de competencias'!J17:M17)</f>
        <v>8</v>
      </c>
      <c r="G16" t="str">
        <f t="shared" si="2"/>
        <v>Bajo</v>
      </c>
      <c r="H16">
        <f t="shared" si="3"/>
        <v>24</v>
      </c>
      <c r="I16" t="str">
        <f t="shared" si="4"/>
        <v>Bajo</v>
      </c>
      <c r="K16" s="4"/>
      <c r="O16" s="16" t="str">
        <f>N5</f>
        <v>Nivel de planificación de la enseñanza</v>
      </c>
      <c r="P16" s="11"/>
      <c r="Q16" s="11"/>
      <c r="R16" s="11"/>
      <c r="S16" s="11"/>
      <c r="U16" s="4"/>
      <c r="W16" s="4"/>
      <c r="AA16" s="16" t="str">
        <f>Z5</f>
        <v>Nivel de la competencia comunicativa</v>
      </c>
      <c r="AB16" s="11"/>
      <c r="AC16" s="11"/>
      <c r="AD16" s="11"/>
      <c r="AE16" s="11"/>
      <c r="AG16" s="4"/>
      <c r="AI16" s="4"/>
      <c r="AM16" s="16" t="str">
        <f>AL5</f>
        <v>Diseño de metodología</v>
      </c>
      <c r="AN16" s="11"/>
      <c r="AO16" s="11"/>
      <c r="AP16" s="11"/>
      <c r="AQ16" s="11"/>
      <c r="AS16" s="4"/>
      <c r="AU16" s="18"/>
      <c r="AY16" s="16" t="s">
        <v>168</v>
      </c>
      <c r="AZ16" s="11"/>
      <c r="BA16" s="11"/>
      <c r="BB16" s="11"/>
      <c r="BC16" s="11"/>
      <c r="BE16" s="18"/>
    </row>
    <row r="17" spans="1:57" x14ac:dyDescent="0.25">
      <c r="A17" t="s">
        <v>31</v>
      </c>
      <c r="B17">
        <f>SUM('Desarrollo de competencias'!B18:E18)</f>
        <v>14</v>
      </c>
      <c r="C17" t="str">
        <f t="shared" si="0"/>
        <v>Medio</v>
      </c>
      <c r="D17">
        <f>SUM('Desarrollo de competencias'!F18:I18)</f>
        <v>17</v>
      </c>
      <c r="E17" t="str">
        <f t="shared" si="1"/>
        <v>Alto</v>
      </c>
      <c r="F17">
        <f>SUM('Desarrollo de competencias'!J18:M18)</f>
        <v>15</v>
      </c>
      <c r="G17" t="str">
        <f t="shared" si="2"/>
        <v>Medio</v>
      </c>
      <c r="H17">
        <f t="shared" si="3"/>
        <v>46</v>
      </c>
      <c r="I17" t="str">
        <f t="shared" si="4"/>
        <v>Alto</v>
      </c>
      <c r="K17" s="4"/>
      <c r="O17" s="48" t="s">
        <v>72</v>
      </c>
      <c r="P17" s="50" t="s">
        <v>66</v>
      </c>
      <c r="Q17" s="50"/>
      <c r="R17" s="50" t="s">
        <v>73</v>
      </c>
      <c r="S17" s="50" t="s">
        <v>74</v>
      </c>
      <c r="U17" s="4"/>
      <c r="W17" s="4"/>
      <c r="AA17" s="48" t="s">
        <v>72</v>
      </c>
      <c r="AB17" s="50" t="s">
        <v>66</v>
      </c>
      <c r="AC17" s="50"/>
      <c r="AD17" s="50" t="s">
        <v>73</v>
      </c>
      <c r="AE17" s="50" t="s">
        <v>74</v>
      </c>
      <c r="AG17" s="4"/>
      <c r="AI17" s="4"/>
      <c r="AM17" s="48" t="s">
        <v>72</v>
      </c>
      <c r="AN17" s="50" t="s">
        <v>66</v>
      </c>
      <c r="AO17" s="50"/>
      <c r="AP17" s="50" t="s">
        <v>73</v>
      </c>
      <c r="AQ17" s="50" t="s">
        <v>74</v>
      </c>
      <c r="AS17" s="4"/>
      <c r="AU17" s="18"/>
      <c r="AY17" s="48" t="s">
        <v>72</v>
      </c>
      <c r="AZ17" s="50" t="s">
        <v>66</v>
      </c>
      <c r="BA17" s="50"/>
      <c r="BB17" s="50" t="s">
        <v>73</v>
      </c>
      <c r="BC17" s="50" t="s">
        <v>74</v>
      </c>
      <c r="BE17" s="18"/>
    </row>
    <row r="18" spans="1:57" x14ac:dyDescent="0.25">
      <c r="A18" t="s">
        <v>32</v>
      </c>
      <c r="B18">
        <f>SUM('Desarrollo de competencias'!B19:E19)</f>
        <v>5</v>
      </c>
      <c r="C18" t="str">
        <f t="shared" si="0"/>
        <v>Bajo</v>
      </c>
      <c r="D18">
        <f>SUM('Desarrollo de competencias'!F19:I19)</f>
        <v>5</v>
      </c>
      <c r="E18" t="str">
        <f t="shared" si="1"/>
        <v>Bajo</v>
      </c>
      <c r="F18">
        <f>SUM('Desarrollo de competencias'!J19:M19)</f>
        <v>4</v>
      </c>
      <c r="G18" t="str">
        <f t="shared" si="2"/>
        <v>Bajo</v>
      </c>
      <c r="H18">
        <f t="shared" si="3"/>
        <v>14</v>
      </c>
      <c r="I18" t="str">
        <f t="shared" si="4"/>
        <v>Bajo</v>
      </c>
      <c r="K18" s="4"/>
      <c r="O18" s="49"/>
      <c r="P18" s="11" t="s">
        <v>75</v>
      </c>
      <c r="Q18" s="11" t="s">
        <v>76</v>
      </c>
      <c r="R18" s="51"/>
      <c r="S18" s="51"/>
      <c r="U18" s="4"/>
      <c r="W18" s="4"/>
      <c r="AA18" s="49"/>
      <c r="AB18" s="11" t="s">
        <v>75</v>
      </c>
      <c r="AC18" s="11" t="s">
        <v>76</v>
      </c>
      <c r="AD18" s="51"/>
      <c r="AE18" s="51"/>
      <c r="AG18" s="4"/>
      <c r="AI18" s="4"/>
      <c r="AM18" s="49"/>
      <c r="AN18" s="11" t="s">
        <v>75</v>
      </c>
      <c r="AO18" s="11" t="s">
        <v>76</v>
      </c>
      <c r="AP18" s="51"/>
      <c r="AQ18" s="51"/>
      <c r="AS18" s="4"/>
      <c r="AU18" s="18"/>
      <c r="AY18" s="49"/>
      <c r="AZ18" s="11" t="s">
        <v>75</v>
      </c>
      <c r="BA18" s="11" t="s">
        <v>76</v>
      </c>
      <c r="BB18" s="51"/>
      <c r="BC18" s="51"/>
      <c r="BE18" s="18"/>
    </row>
    <row r="19" spans="1:57" x14ac:dyDescent="0.25">
      <c r="A19" t="s">
        <v>33</v>
      </c>
      <c r="B19">
        <f>SUM('Desarrollo de competencias'!B20:E20)</f>
        <v>5</v>
      </c>
      <c r="C19" t="str">
        <f t="shared" si="0"/>
        <v>Bajo</v>
      </c>
      <c r="D19">
        <f>SUM('Desarrollo de competencias'!F20:I20)</f>
        <v>5</v>
      </c>
      <c r="E19" t="str">
        <f t="shared" si="1"/>
        <v>Bajo</v>
      </c>
      <c r="F19">
        <f>SUM('Desarrollo de competencias'!J20:M20)</f>
        <v>6</v>
      </c>
      <c r="G19" t="str">
        <f t="shared" si="2"/>
        <v>Bajo</v>
      </c>
      <c r="H19">
        <f t="shared" si="3"/>
        <v>16</v>
      </c>
      <c r="I19" t="str">
        <f t="shared" si="4"/>
        <v>Bajo</v>
      </c>
      <c r="K19" s="4"/>
      <c r="O19" s="9" t="s">
        <v>169</v>
      </c>
      <c r="P19" s="9">
        <f>N11</f>
        <v>4</v>
      </c>
      <c r="Q19" s="9">
        <f>P19+N13</f>
        <v>9</v>
      </c>
      <c r="R19" s="9">
        <f>COUNTIF($C$4:$C$23,$O19)</f>
        <v>17</v>
      </c>
      <c r="S19" s="13">
        <f>R19/R22</f>
        <v>0.85</v>
      </c>
      <c r="U19" s="4"/>
      <c r="W19" s="4"/>
      <c r="AA19" s="9" t="s">
        <v>169</v>
      </c>
      <c r="AB19" s="9">
        <f>Z11</f>
        <v>4</v>
      </c>
      <c r="AC19" s="9">
        <f>AB19+Z13</f>
        <v>9</v>
      </c>
      <c r="AD19" s="9">
        <f>COUNTIF($E$4:$E$23,$AA19)</f>
        <v>16</v>
      </c>
      <c r="AE19" s="13">
        <f>AD19/AD22</f>
        <v>0.8</v>
      </c>
      <c r="AG19" s="4"/>
      <c r="AI19" s="4"/>
      <c r="AM19" s="9" t="s">
        <v>169</v>
      </c>
      <c r="AN19" s="9">
        <f>AL11</f>
        <v>4</v>
      </c>
      <c r="AO19" s="9">
        <f>AN19+AL13</f>
        <v>9</v>
      </c>
      <c r="AP19" s="9">
        <f>COUNTIF($G$4:$G$23,$AM19)</f>
        <v>16</v>
      </c>
      <c r="AQ19" s="13">
        <f>AP19/AP22</f>
        <v>0.8</v>
      </c>
      <c r="AS19" s="4"/>
      <c r="AU19" s="18"/>
      <c r="AY19" s="9" t="s">
        <v>169</v>
      </c>
      <c r="AZ19" s="9">
        <v>12</v>
      </c>
      <c r="BA19" s="9">
        <v>27</v>
      </c>
      <c r="BB19" s="9">
        <v>16</v>
      </c>
      <c r="BC19" s="13">
        <v>0.8</v>
      </c>
      <c r="BE19" s="18"/>
    </row>
    <row r="20" spans="1:57" x14ac:dyDescent="0.25">
      <c r="A20" t="s">
        <v>34</v>
      </c>
      <c r="B20">
        <f>SUM('Desarrollo de competencias'!B21:E21)</f>
        <v>4</v>
      </c>
      <c r="C20" t="str">
        <f t="shared" si="0"/>
        <v>Bajo</v>
      </c>
      <c r="D20">
        <f>SUM('Desarrollo de competencias'!F21:I21)</f>
        <v>7</v>
      </c>
      <c r="E20" t="str">
        <f t="shared" si="1"/>
        <v>Bajo</v>
      </c>
      <c r="F20">
        <f>SUM('Desarrollo de competencias'!J21:M21)</f>
        <v>6</v>
      </c>
      <c r="G20" t="str">
        <f t="shared" si="2"/>
        <v>Bajo</v>
      </c>
      <c r="H20">
        <f t="shared" si="3"/>
        <v>17</v>
      </c>
      <c r="I20" t="str">
        <f t="shared" si="4"/>
        <v>Bajo</v>
      </c>
      <c r="K20" s="4"/>
      <c r="O20" s="9" t="s">
        <v>170</v>
      </c>
      <c r="P20" s="9">
        <f>Q19+ 1</f>
        <v>10</v>
      </c>
      <c r="Q20" s="9">
        <f>P20+N13</f>
        <v>15</v>
      </c>
      <c r="R20" s="9">
        <f>COUNTIF($C$4:$C$23,$O20)</f>
        <v>1</v>
      </c>
      <c r="S20" s="13">
        <f>R20/R22</f>
        <v>0.05</v>
      </c>
      <c r="U20" s="4"/>
      <c r="W20" s="4"/>
      <c r="AA20" s="9" t="s">
        <v>170</v>
      </c>
      <c r="AB20" s="9">
        <f>AC19+ 1</f>
        <v>10</v>
      </c>
      <c r="AC20" s="9">
        <f>AB20+Z13</f>
        <v>15</v>
      </c>
      <c r="AD20" s="9">
        <f>COUNTIF($E$4:$E$23,$AA20)</f>
        <v>2</v>
      </c>
      <c r="AE20" s="13">
        <f>AD20/AD22</f>
        <v>0.1</v>
      </c>
      <c r="AG20" s="4"/>
      <c r="AI20" s="4"/>
      <c r="AM20" s="9" t="s">
        <v>170</v>
      </c>
      <c r="AN20" s="9">
        <f>AO19+ 1</f>
        <v>10</v>
      </c>
      <c r="AO20" s="9">
        <f>AN20+AL13</f>
        <v>15</v>
      </c>
      <c r="AP20" s="9">
        <f>COUNTIF($G$4:$G$23,$AM20)</f>
        <v>3</v>
      </c>
      <c r="AQ20" s="13">
        <f>AP20/AP22</f>
        <v>0.15</v>
      </c>
      <c r="AS20" s="4"/>
      <c r="AU20" s="18"/>
      <c r="AY20" s="9" t="s">
        <v>170</v>
      </c>
      <c r="AZ20" s="9">
        <v>28</v>
      </c>
      <c r="BA20" s="9">
        <v>43</v>
      </c>
      <c r="BB20" s="9">
        <v>1</v>
      </c>
      <c r="BC20" s="13">
        <v>0.05</v>
      </c>
      <c r="BE20" s="18"/>
    </row>
    <row r="21" spans="1:57" x14ac:dyDescent="0.25">
      <c r="A21" t="s">
        <v>35</v>
      </c>
      <c r="B21">
        <f>SUM('Desarrollo de competencias'!B22:E22)</f>
        <v>4</v>
      </c>
      <c r="C21" t="str">
        <f t="shared" si="0"/>
        <v>Bajo</v>
      </c>
      <c r="D21">
        <f>SUM('Desarrollo de competencias'!F22:I22)</f>
        <v>5</v>
      </c>
      <c r="E21" t="str">
        <f t="shared" si="1"/>
        <v>Bajo</v>
      </c>
      <c r="F21">
        <f>SUM('Desarrollo de competencias'!J22:M22)</f>
        <v>4</v>
      </c>
      <c r="G21" t="str">
        <f t="shared" si="2"/>
        <v>Bajo</v>
      </c>
      <c r="H21">
        <f t="shared" si="3"/>
        <v>13</v>
      </c>
      <c r="I21" t="str">
        <f t="shared" si="4"/>
        <v>Bajo</v>
      </c>
      <c r="K21" s="4"/>
      <c r="O21" s="9" t="s">
        <v>171</v>
      </c>
      <c r="P21" s="9">
        <f>Q20+ 1</f>
        <v>16</v>
      </c>
      <c r="Q21" s="9">
        <f>N10</f>
        <v>20</v>
      </c>
      <c r="R21" s="9">
        <f>COUNTIF($C$4:$C$23,$O21)</f>
        <v>2</v>
      </c>
      <c r="S21" s="13">
        <f>R21/R22</f>
        <v>0.1</v>
      </c>
      <c r="U21" s="4"/>
      <c r="W21" s="4"/>
      <c r="AA21" s="9" t="s">
        <v>171</v>
      </c>
      <c r="AB21" s="9">
        <f>AC20+ 1</f>
        <v>16</v>
      </c>
      <c r="AC21" s="9">
        <f>Z10</f>
        <v>20</v>
      </c>
      <c r="AD21" s="9">
        <f>COUNTIF($E$4:$E$23,$AA21)</f>
        <v>2</v>
      </c>
      <c r="AE21" s="13">
        <f>AD21/AD22</f>
        <v>0.1</v>
      </c>
      <c r="AG21" s="4"/>
      <c r="AI21" s="4"/>
      <c r="AM21" s="9" t="s">
        <v>171</v>
      </c>
      <c r="AN21" s="9">
        <f>AO20+ 1</f>
        <v>16</v>
      </c>
      <c r="AO21" s="9">
        <f>AL10</f>
        <v>20</v>
      </c>
      <c r="AP21" s="9">
        <f>COUNTIF($G$4:$G$23,$AM21)</f>
        <v>1</v>
      </c>
      <c r="AQ21" s="13">
        <f>AP21/AP22</f>
        <v>0.05</v>
      </c>
      <c r="AS21" s="4"/>
      <c r="AU21" s="18"/>
      <c r="AY21" s="9" t="s">
        <v>171</v>
      </c>
      <c r="AZ21" s="9">
        <v>44</v>
      </c>
      <c r="BA21" s="9">
        <v>60</v>
      </c>
      <c r="BB21" s="9">
        <v>3</v>
      </c>
      <c r="BC21" s="13">
        <v>0.15</v>
      </c>
      <c r="BE21" s="18"/>
    </row>
    <row r="22" spans="1:57" x14ac:dyDescent="0.25">
      <c r="A22" t="s">
        <v>36</v>
      </c>
      <c r="B22">
        <f>SUM('Desarrollo de competencias'!B23:E23)</f>
        <v>7</v>
      </c>
      <c r="C22" t="str">
        <f t="shared" si="0"/>
        <v>Bajo</v>
      </c>
      <c r="D22">
        <f>SUM('Desarrollo de competencias'!F23:I23)</f>
        <v>6</v>
      </c>
      <c r="E22" t="str">
        <f t="shared" si="1"/>
        <v>Bajo</v>
      </c>
      <c r="F22">
        <f>SUM('Desarrollo de competencias'!J23:M23)</f>
        <v>8</v>
      </c>
      <c r="G22" t="str">
        <f t="shared" si="2"/>
        <v>Bajo</v>
      </c>
      <c r="H22">
        <f t="shared" si="3"/>
        <v>21</v>
      </c>
      <c r="I22" t="str">
        <f t="shared" si="4"/>
        <v>Bajo</v>
      </c>
      <c r="K22" s="4"/>
      <c r="O22" s="10" t="s">
        <v>4</v>
      </c>
      <c r="P22" s="12"/>
      <c r="Q22" s="10"/>
      <c r="R22" s="10">
        <f>SUM(R19:R21)</f>
        <v>20</v>
      </c>
      <c r="S22" s="14">
        <f>SUM(S19:S21)</f>
        <v>1</v>
      </c>
      <c r="U22" s="4"/>
      <c r="W22" s="4"/>
      <c r="AA22" s="10" t="s">
        <v>4</v>
      </c>
      <c r="AB22" s="12"/>
      <c r="AC22" s="10"/>
      <c r="AD22" s="10">
        <f>SUM(AD19:AD21)</f>
        <v>20</v>
      </c>
      <c r="AE22" s="14">
        <f>SUM(AE19:AE21)</f>
        <v>1</v>
      </c>
      <c r="AG22" s="4"/>
      <c r="AI22" s="4"/>
      <c r="AM22" s="10" t="s">
        <v>4</v>
      </c>
      <c r="AN22" s="12"/>
      <c r="AO22" s="10"/>
      <c r="AP22" s="10">
        <f>SUM(AP19:AP21)</f>
        <v>20</v>
      </c>
      <c r="AQ22" s="14">
        <f>SUM(AQ19:AQ21)</f>
        <v>1</v>
      </c>
      <c r="AS22" s="4"/>
      <c r="AU22" s="18"/>
      <c r="AY22" s="10" t="s">
        <v>4</v>
      </c>
      <c r="AZ22" s="12"/>
      <c r="BA22" s="10"/>
      <c r="BB22" s="10">
        <v>20</v>
      </c>
      <c r="BC22" s="14">
        <v>1</v>
      </c>
      <c r="BE22" s="18"/>
    </row>
    <row r="23" spans="1:57" x14ac:dyDescent="0.25">
      <c r="A23" t="s">
        <v>37</v>
      </c>
      <c r="B23">
        <f>SUM('Desarrollo de competencias'!B24:E24)</f>
        <v>8</v>
      </c>
      <c r="C23" t="str">
        <f t="shared" si="0"/>
        <v>Bajo</v>
      </c>
      <c r="D23">
        <f>SUM('Desarrollo de competencias'!F24:I24)</f>
        <v>8</v>
      </c>
      <c r="E23" t="str">
        <f t="shared" si="1"/>
        <v>Bajo</v>
      </c>
      <c r="F23">
        <f>SUM('Desarrollo de competencias'!J24:M24)</f>
        <v>7</v>
      </c>
      <c r="G23" t="str">
        <f t="shared" si="2"/>
        <v>Bajo</v>
      </c>
      <c r="H23">
        <f t="shared" si="3"/>
        <v>23</v>
      </c>
      <c r="I23" t="str">
        <f t="shared" si="4"/>
        <v>Bajo</v>
      </c>
      <c r="K23" s="4"/>
      <c r="O23" s="3" t="s">
        <v>80</v>
      </c>
      <c r="U23" s="4"/>
      <c r="W23" s="4"/>
      <c r="AA23" s="3" t="s">
        <v>80</v>
      </c>
      <c r="AG23" s="4"/>
      <c r="AI23" s="4"/>
      <c r="AM23" s="3" t="s">
        <v>80</v>
      </c>
      <c r="AS23" s="4"/>
      <c r="AU23" s="18"/>
      <c r="AY23" s="3" t="s">
        <v>80</v>
      </c>
      <c r="BE23" s="18"/>
    </row>
    <row r="24" spans="1:57" x14ac:dyDescent="0.25">
      <c r="K24" s="4"/>
      <c r="O24" s="3" t="s">
        <v>81</v>
      </c>
      <c r="U24" s="4"/>
      <c r="W24" s="4"/>
      <c r="AA24" s="3" t="s">
        <v>81</v>
      </c>
      <c r="AG24" s="4"/>
      <c r="AI24" s="4"/>
      <c r="AM24" s="3" t="s">
        <v>81</v>
      </c>
      <c r="AS24" s="4"/>
      <c r="AU24" s="18"/>
      <c r="AY24" s="3" t="s">
        <v>81</v>
      </c>
      <c r="BE24" s="18"/>
    </row>
    <row r="25" spans="1:57" x14ac:dyDescent="0.25">
      <c r="K25" s="4"/>
      <c r="U25" s="4"/>
      <c r="W25" s="4"/>
      <c r="AG25" s="4"/>
      <c r="AI25" s="4"/>
      <c r="AS25" s="4"/>
      <c r="AU25" s="18"/>
      <c r="BE25" s="18"/>
    </row>
    <row r="26" spans="1:57" x14ac:dyDescent="0.25">
      <c r="K26" s="4"/>
      <c r="U26" s="4"/>
      <c r="W26" s="4"/>
      <c r="AG26" s="4"/>
      <c r="AI26" s="4"/>
      <c r="AS26" s="4"/>
      <c r="AU26" s="18"/>
      <c r="BE26" s="18"/>
    </row>
    <row r="27" spans="1:57" x14ac:dyDescent="0.25">
      <c r="K27" s="4"/>
      <c r="U27" s="4"/>
      <c r="W27" s="4"/>
      <c r="AG27" s="4"/>
      <c r="AI27" s="4"/>
      <c r="AS27" s="4"/>
      <c r="AU27" s="18"/>
      <c r="BE27" s="18"/>
    </row>
    <row r="28" spans="1:57" x14ac:dyDescent="0.25">
      <c r="K28" s="4"/>
      <c r="U28" s="4"/>
      <c r="W28" s="4"/>
      <c r="AG28" s="4"/>
      <c r="AI28" s="4"/>
      <c r="AS28" s="4"/>
      <c r="AU28" s="18"/>
      <c r="BE28" s="18"/>
    </row>
    <row r="29" spans="1:57" x14ac:dyDescent="0.25">
      <c r="K29" s="4"/>
      <c r="U29" s="4"/>
      <c r="W29" s="4"/>
      <c r="AG29" s="4"/>
      <c r="AI29" s="4"/>
      <c r="AS29" s="4"/>
      <c r="AU29" s="18"/>
      <c r="BE29" s="18"/>
    </row>
    <row r="30" spans="1:57" x14ac:dyDescent="0.25">
      <c r="K30" s="4"/>
      <c r="U30" s="4"/>
      <c r="W30" s="4"/>
      <c r="AG30" s="4"/>
      <c r="AI30" s="4"/>
      <c r="AS30" s="4"/>
      <c r="AU30" s="18"/>
      <c r="BE30" s="18"/>
    </row>
    <row r="31" spans="1:57" x14ac:dyDescent="0.25">
      <c r="K31" s="4"/>
      <c r="U31" s="4"/>
      <c r="W31" s="4"/>
      <c r="AG31" s="4"/>
      <c r="AI31" s="4"/>
      <c r="AS31" s="4"/>
      <c r="AU31" s="18"/>
      <c r="BE31" s="18"/>
    </row>
    <row r="32" spans="1:57" x14ac:dyDescent="0.25">
      <c r="K32" s="4"/>
      <c r="U32" s="4"/>
      <c r="W32" s="4"/>
      <c r="AG32" s="4"/>
      <c r="AI32" s="4"/>
      <c r="AS32" s="4"/>
      <c r="AU32" s="18"/>
      <c r="BE32" s="18"/>
    </row>
    <row r="33" spans="11:57" x14ac:dyDescent="0.25">
      <c r="K33" s="4"/>
      <c r="U33" s="4"/>
      <c r="W33" s="4"/>
      <c r="AG33" s="4"/>
      <c r="AI33" s="4"/>
      <c r="AS33" s="4"/>
      <c r="AU33" s="18"/>
      <c r="BE33" s="18"/>
    </row>
    <row r="34" spans="11:57" x14ac:dyDescent="0.25">
      <c r="K34" s="4"/>
      <c r="U34" s="4"/>
      <c r="W34" s="4"/>
      <c r="AG34" s="4"/>
      <c r="AI34" s="4"/>
      <c r="AS34" s="4"/>
      <c r="AU34" s="18"/>
      <c r="BE34" s="18"/>
    </row>
    <row r="35" spans="11:57" x14ac:dyDescent="0.25">
      <c r="K35" s="4"/>
      <c r="U35" s="4"/>
      <c r="W35" s="4"/>
      <c r="AG35" s="4"/>
      <c r="AI35" s="4"/>
      <c r="AS35" s="4"/>
      <c r="AU35" s="18"/>
      <c r="BE35" s="18"/>
    </row>
    <row r="36" spans="11:57" x14ac:dyDescent="0.25">
      <c r="K36" s="4"/>
      <c r="U36" s="4"/>
      <c r="W36" s="4"/>
      <c r="AG36" s="4"/>
      <c r="AI36" s="4"/>
      <c r="AS36" s="4"/>
      <c r="AU36" s="18"/>
      <c r="BE36" s="18"/>
    </row>
    <row r="37" spans="11:57" x14ac:dyDescent="0.25">
      <c r="K37" s="4"/>
      <c r="U37" s="4"/>
      <c r="W37" s="4"/>
      <c r="AG37" s="4"/>
      <c r="AI37" s="4"/>
      <c r="AS37" s="4"/>
      <c r="AU37" s="18"/>
      <c r="BE37" s="18"/>
    </row>
    <row r="38" spans="11:57" x14ac:dyDescent="0.25">
      <c r="K38" s="4"/>
      <c r="U38" s="4"/>
      <c r="W38" s="4"/>
      <c r="AG38" s="4"/>
      <c r="AI38" s="4"/>
      <c r="AS38" s="4"/>
      <c r="AU38" s="18"/>
      <c r="BE38" s="18"/>
    </row>
    <row r="39" spans="11:57" x14ac:dyDescent="0.25">
      <c r="K39" s="4"/>
      <c r="U39" s="4"/>
      <c r="W39" s="4"/>
      <c r="AG39" s="4"/>
      <c r="AI39" s="4"/>
      <c r="AS39" s="4"/>
      <c r="AU39" s="18"/>
      <c r="BE39" s="18"/>
    </row>
    <row r="40" spans="11:57" x14ac:dyDescent="0.25">
      <c r="K40" s="4"/>
      <c r="U40" s="4"/>
      <c r="W40" s="4"/>
      <c r="AG40" s="4"/>
      <c r="AI40" s="4"/>
      <c r="AS40" s="4"/>
      <c r="AU40" s="18"/>
      <c r="BE40" s="18"/>
    </row>
    <row r="41" spans="11:57" x14ac:dyDescent="0.25">
      <c r="K41" s="4"/>
      <c r="U41" s="4"/>
      <c r="W41" s="4"/>
      <c r="AG41" s="4"/>
      <c r="AI41" s="4"/>
      <c r="AS41" s="4"/>
      <c r="AU41" s="18"/>
      <c r="BE41" s="18"/>
    </row>
    <row r="42" spans="11:57" x14ac:dyDescent="0.25">
      <c r="K42" s="4"/>
      <c r="U42" s="4"/>
      <c r="W42" s="4"/>
      <c r="AG42" s="4"/>
      <c r="AI42" s="4"/>
      <c r="AS42" s="4"/>
      <c r="AU42" s="18"/>
      <c r="BE42" s="18"/>
    </row>
    <row r="43" spans="11:57" x14ac:dyDescent="0.25">
      <c r="K43" s="4"/>
      <c r="O43" t="s">
        <v>82</v>
      </c>
      <c r="U43" s="4"/>
      <c r="W43" s="4"/>
      <c r="AA43" t="s">
        <v>83</v>
      </c>
      <c r="AG43" s="4"/>
      <c r="AI43" s="4"/>
      <c r="AM43" t="s">
        <v>84</v>
      </c>
      <c r="AS43" s="4"/>
      <c r="AU43" s="18"/>
      <c r="AY43" t="s">
        <v>85</v>
      </c>
      <c r="BE43" s="18"/>
    </row>
    <row r="44" spans="11:57" x14ac:dyDescent="0.25">
      <c r="K44" s="4"/>
      <c r="O44" s="3" t="s">
        <v>165</v>
      </c>
      <c r="U44" s="4"/>
      <c r="W44" s="4"/>
      <c r="AA44" s="3" t="s">
        <v>166</v>
      </c>
      <c r="AG44" s="4"/>
      <c r="AI44" s="4"/>
      <c r="AM44" s="3" t="s">
        <v>167</v>
      </c>
      <c r="AS44" s="4"/>
      <c r="AU44" s="18"/>
      <c r="AY44" s="3" t="s">
        <v>165</v>
      </c>
      <c r="BE44" s="18"/>
    </row>
    <row r="45" spans="11:57" x14ac:dyDescent="0.25"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</row>
    <row r="47" spans="11:57" x14ac:dyDescent="0.25">
      <c r="M47" s="52" t="str">
        <f ca="1">CONCATENATE("en la ",O15," y ",O43," se puede observar que la variable ",L901," en base a su dimensión ",L902," tiene una calificación de ",M904," por el ",ROUND(L904*100,0),"% ","de los resultados, ","los cuales fueron extraídos  de las encuestas ejecutadas a los ",N902,", estos resultados son afectados debido a que, ",U1016," ",M1016,",","asi mismo ",U1017," ",M1017,", por su parte ",U1018," ",M1018, ", ","y ",M1019," ",U1019,", ","por todo ello la dimensión ",L902," es ",M904,".")</f>
        <v>en la Tabla 1 y Figura.1 se puede observar que la variable Desarrollo de competencias en base a su dimensión Nivel de planificación de la enseñanza tiene una calificación de Bajo por el 85% de los resultados, los cuales fueron extraídos  de las encuestas ejecutadas a los Docentess, estos resultados son afectados debido a que, el 85% apreció como Nunca y Casi Nunca 0,asi mismo el 85% de los Docentess consideró como Nunca y Casi Nunca 0, por su parte el 80% respondió como Nunca y Casi Nunca 0, y 0 el 80% de los Docentess valoró como Nunca y Casi Nunca, por todo ello la dimensión Nivel de planificación de la enseñanza es Bajo.</v>
      </c>
      <c r="N47" s="53"/>
      <c r="O47" s="53"/>
      <c r="P47" s="53"/>
      <c r="Q47" s="53"/>
      <c r="R47" s="53"/>
      <c r="Y47" s="52" t="str">
        <f ca="1">CONCATENATE("en la ",AA15," y ",AA43," se puede observar que la variable ",X901," en base a su dimensión ",X902," tiene una calificación de ",Y904," por el ",ROUND(X904*100,0),"% ","de los resultados, ","los cuales fueron extraídos  de las encuestas ejecutadas a los ",Z902,", estos resultados son afectados debido a que, ",AG1016," ",Y1016,",","asi mismo ",AG1017," ",Y1017,", con motivo ",AG1018," ",Y1018, ", ","y ",Y1019," ",AG1019,", ","por todo ello la dimensión ",X902," es ",Y904,".")</f>
        <v>en la Tabla 2 y Figura.2 se puede observar que la variable Desarrollo de competencias en base a su dimensión Nivel de la competencia comunicativa tiene una calificación de Bajo por el 80% de los resultados, los cuales fueron extraídos  de las encuestas ejecutadas a los Docentess, estos resultados son afectados debido a que, el 80% respondió como Nunca y Casi Nunca 0,asi mismo el 80% de los Docentess calificó como Nunca y Casi Nunca 0, con motivo el 85% valoró como Nunca y Casi Nunca 0, y 0 el 80% de los Docentess valoró como Nunca y Casi Nunca, por todo ello la dimensión Nivel de la competencia comunicativa es Bajo.</v>
      </c>
      <c r="Z47" s="53"/>
      <c r="AA47" s="53"/>
      <c r="AB47" s="53"/>
      <c r="AC47" s="53"/>
      <c r="AD47" s="53"/>
      <c r="AK47" s="52" t="str">
        <f ca="1">CONCATENATE("en la ",AM15," y ",AM43," se puede observar que la variable ",AJ901," en base a su dimensión ",AJ902," tiene una calificación de ",AK904," por el ",ROUND(AJ904*100,0),"% ","de los resultados, ","los cuales fueron extraídos  de las encuestas ejecutadas a los ",AL902,", estos resultados son afectados debido a que, ",AS1016," ",AK1016,",","asi mismo ",AS1017," ",AK1017,", de nuevo ",AS1018," ",AK1018, ", ","y ",AK1019," ",AS1019,", ","por todo ello la dimensión ",AJ902," es ",AK904,".")</f>
        <v>en la Tabla 3 y Figura.3 se puede observar que la variable Desarrollo de competencias en base a su dimensión Diseño de metodología tiene una calificación de Bajo por el 80% de los resultados, los cuales fueron extraídos  de las encuestas ejecutadas a los Docentess, estos resultados son afectados debido a que, el 80% percibió como Nunca y Casi Nunca 0,asi mismo el 80% de los Docentess valoró como Nunca y Casi Nunca 0, de nuevo el 80% percibió como Nunca y Casi Nunca 0, y 0 el 85% de los Docentess apreció como Nunca y Casi Nunca, por todo ello la dimensión Diseño de metodología es Bajo.</v>
      </c>
      <c r="AL47" s="53"/>
      <c r="AM47" s="53"/>
      <c r="AN47" s="53"/>
      <c r="AO47" s="53"/>
      <c r="AP47" s="53"/>
      <c r="AW47" s="52" t="str">
        <f ca="1">CONCATENATE("En la ",AY15," y ",AY43," se puede evidenciar que la variable ",AV901," es calificado como ",AW904," por el ",ROUND(AV904*100,0),"% de los resultados, mismos que son originados porque; ",BI1016," ",BI1017," ",BI1018,BI1019,BI1020,BI1021,BI1022,BI1023,BI1024,BI1025,BI1026," se concluye que la variable ",AV901,"tiene un valor de ",AW904,".")</f>
        <v>En la Tabla 4 y Figura.4 se puede evidenciar que la variable Desarrollo de competencias es calificado como Bajo por el 80% de los resultados, mismos que son originados porque; el 85% de los Docentess mencionó a la dimensión Nivel de planificación de la enseñanza como Bajo, adicional a ello  el 80% de los Docentess calificó a la dimensión Nivel de la competencia comunicativa como Bajo, en consecuencia  el 80% de los Resultados mencionó a la dimensión Diseño de metodología como Bajo, por otra parte  se concluye que la variable Desarrollo de competenciastiene un valor de Bajo.</v>
      </c>
      <c r="AX47" s="53"/>
      <c r="AY47" s="53"/>
      <c r="AZ47" s="53"/>
      <c r="BA47" s="53"/>
      <c r="BB47" s="53"/>
    </row>
    <row r="48" spans="11:57" x14ac:dyDescent="0.25">
      <c r="M48" s="53"/>
      <c r="N48" s="53"/>
      <c r="O48" s="53"/>
      <c r="P48" s="53"/>
      <c r="Q48" s="53"/>
      <c r="R48" s="53"/>
      <c r="Y48" s="53"/>
      <c r="Z48" s="53"/>
      <c r="AA48" s="53"/>
      <c r="AB48" s="53"/>
      <c r="AC48" s="53"/>
      <c r="AD48" s="53"/>
      <c r="AK48" s="53"/>
      <c r="AL48" s="53"/>
      <c r="AM48" s="53"/>
      <c r="AN48" s="53"/>
      <c r="AO48" s="53"/>
      <c r="AP48" s="53"/>
      <c r="AW48" s="53"/>
      <c r="AX48" s="53"/>
      <c r="AY48" s="53"/>
      <c r="AZ48" s="53"/>
      <c r="BA48" s="53"/>
      <c r="BB48" s="53"/>
    </row>
    <row r="49" spans="13:54" x14ac:dyDescent="0.25">
      <c r="M49" s="53"/>
      <c r="N49" s="53"/>
      <c r="O49" s="53"/>
      <c r="P49" s="53"/>
      <c r="Q49" s="53"/>
      <c r="R49" s="53"/>
      <c r="Y49" s="53"/>
      <c r="Z49" s="53"/>
      <c r="AA49" s="53"/>
      <c r="AB49" s="53"/>
      <c r="AC49" s="53"/>
      <c r="AD49" s="53"/>
      <c r="AK49" s="53"/>
      <c r="AL49" s="53"/>
      <c r="AM49" s="53"/>
      <c r="AN49" s="53"/>
      <c r="AO49" s="53"/>
      <c r="AP49" s="53"/>
      <c r="AW49" s="53"/>
      <c r="AX49" s="53"/>
      <c r="AY49" s="53"/>
      <c r="AZ49" s="53"/>
      <c r="BA49" s="53"/>
      <c r="BB49" s="53"/>
    </row>
    <row r="50" spans="13:54" x14ac:dyDescent="0.25">
      <c r="M50" s="53"/>
      <c r="N50" s="53"/>
      <c r="O50" s="53"/>
      <c r="P50" s="53"/>
      <c r="Q50" s="53"/>
      <c r="R50" s="53"/>
      <c r="Y50" s="53"/>
      <c r="Z50" s="53"/>
      <c r="AA50" s="53"/>
      <c r="AB50" s="53"/>
      <c r="AC50" s="53"/>
      <c r="AD50" s="53"/>
      <c r="AK50" s="53"/>
      <c r="AL50" s="53"/>
      <c r="AM50" s="53"/>
      <c r="AN50" s="53"/>
      <c r="AO50" s="53"/>
      <c r="AP50" s="53"/>
      <c r="AW50" s="53"/>
      <c r="AX50" s="53"/>
      <c r="AY50" s="53"/>
      <c r="AZ50" s="53"/>
      <c r="BA50" s="53"/>
      <c r="BB50" s="53"/>
    </row>
    <row r="51" spans="13:54" x14ac:dyDescent="0.25">
      <c r="M51" s="53"/>
      <c r="N51" s="53"/>
      <c r="O51" s="53"/>
      <c r="P51" s="53"/>
      <c r="Q51" s="53"/>
      <c r="R51" s="53"/>
      <c r="Y51" s="53"/>
      <c r="Z51" s="53"/>
      <c r="AA51" s="53"/>
      <c r="AB51" s="53"/>
      <c r="AC51" s="53"/>
      <c r="AD51" s="53"/>
      <c r="AK51" s="53"/>
      <c r="AL51" s="53"/>
      <c r="AM51" s="53"/>
      <c r="AN51" s="53"/>
      <c r="AO51" s="53"/>
      <c r="AP51" s="53"/>
      <c r="AW51" s="53"/>
      <c r="AX51" s="53"/>
      <c r="AY51" s="53"/>
      <c r="AZ51" s="53"/>
      <c r="BA51" s="53"/>
      <c r="BB51" s="53"/>
    </row>
    <row r="52" spans="13:54" x14ac:dyDescent="0.25">
      <c r="M52" s="53"/>
      <c r="N52" s="53"/>
      <c r="O52" s="53"/>
      <c r="P52" s="53"/>
      <c r="Q52" s="53"/>
      <c r="R52" s="53"/>
      <c r="Y52" s="53"/>
      <c r="Z52" s="53"/>
      <c r="AA52" s="53"/>
      <c r="AB52" s="53"/>
      <c r="AC52" s="53"/>
      <c r="AD52" s="53"/>
      <c r="AK52" s="53"/>
      <c r="AL52" s="53"/>
      <c r="AM52" s="53"/>
      <c r="AN52" s="53"/>
      <c r="AO52" s="53"/>
      <c r="AP52" s="53"/>
      <c r="AW52" s="53"/>
      <c r="AX52" s="53"/>
      <c r="AY52" s="53"/>
      <c r="AZ52" s="53"/>
      <c r="BA52" s="53"/>
      <c r="BB52" s="53"/>
    </row>
    <row r="53" spans="13:54" x14ac:dyDescent="0.25">
      <c r="M53" s="53"/>
      <c r="N53" s="53"/>
      <c r="O53" s="53"/>
      <c r="P53" s="53"/>
      <c r="Q53" s="53"/>
      <c r="R53" s="53"/>
      <c r="Y53" s="53"/>
      <c r="Z53" s="53"/>
      <c r="AA53" s="53"/>
      <c r="AB53" s="53"/>
      <c r="AC53" s="53"/>
      <c r="AD53" s="53"/>
      <c r="AK53" s="53"/>
      <c r="AL53" s="53"/>
      <c r="AM53" s="53"/>
      <c r="AN53" s="53"/>
      <c r="AO53" s="53"/>
      <c r="AP53" s="53"/>
      <c r="AW53" s="53"/>
      <c r="AX53" s="53"/>
      <c r="AY53" s="53"/>
      <c r="AZ53" s="53"/>
      <c r="BA53" s="53"/>
      <c r="BB53" s="53"/>
    </row>
    <row r="901" spans="11:50" x14ac:dyDescent="0.25">
      <c r="K901" s="3" t="s">
        <v>58</v>
      </c>
      <c r="L901" s="3" t="str">
        <f>(N4)</f>
        <v>Desarrollo de competencias</v>
      </c>
      <c r="N901" s="3" t="s">
        <v>86</v>
      </c>
      <c r="W901" s="3" t="s">
        <v>58</v>
      </c>
      <c r="X901" s="3" t="str">
        <f>(Z4)</f>
        <v>Desarrollo de competencias</v>
      </c>
      <c r="Z901" s="3" t="s">
        <v>86</v>
      </c>
      <c r="AI901" s="3" t="s">
        <v>58</v>
      </c>
      <c r="AJ901" s="3" t="str">
        <f>(AL4)</f>
        <v>Desarrollo de competencias</v>
      </c>
      <c r="AL901" s="3" t="s">
        <v>86</v>
      </c>
      <c r="AU901" s="3" t="s">
        <v>58</v>
      </c>
      <c r="AV901" s="3" t="str">
        <f>(AX4)</f>
        <v>Desarrollo de competencias</v>
      </c>
      <c r="AX901" s="3" t="s">
        <v>86</v>
      </c>
    </row>
    <row r="902" spans="11:50" x14ac:dyDescent="0.25">
      <c r="K902" s="3" t="s">
        <v>87</v>
      </c>
      <c r="L902" s="3" t="str">
        <f>(N5)</f>
        <v>Nivel de planificación de la enseñanza</v>
      </c>
      <c r="N902" s="3" t="s">
        <v>88</v>
      </c>
      <c r="W902" s="3" t="s">
        <v>87</v>
      </c>
      <c r="X902" s="3" t="str">
        <f>(Z5)</f>
        <v>Nivel de la competencia comunicativa</v>
      </c>
      <c r="Z902" s="3" t="s">
        <v>88</v>
      </c>
      <c r="AI902" s="3" t="s">
        <v>87</v>
      </c>
      <c r="AJ902" s="3" t="str">
        <f>(AL5)</f>
        <v>Diseño de metodología</v>
      </c>
      <c r="AL902" s="3" t="s">
        <v>88</v>
      </c>
      <c r="AU902" s="3" t="s">
        <v>87</v>
      </c>
      <c r="AV902" s="3">
        <f>(AX5)</f>
        <v>0</v>
      </c>
      <c r="AX902" s="3" t="s">
        <v>88</v>
      </c>
    </row>
    <row r="904" spans="11:50" x14ac:dyDescent="0.25">
      <c r="K904" s="3" t="s">
        <v>89</v>
      </c>
      <c r="L904" s="7">
        <f>MAX(S19:S21)</f>
        <v>0.85</v>
      </c>
      <c r="M904" s="3" t="str">
        <f>IF(L904=S19,O19,IF(L904=S20,O20,IF(L904=S21,O21,"algo esta mal")))</f>
        <v>Bajo</v>
      </c>
      <c r="W904" s="3" t="s">
        <v>89</v>
      </c>
      <c r="X904" s="7">
        <f>MAX(AE19:AE21)</f>
        <v>0.8</v>
      </c>
      <c r="Y904" s="3" t="str">
        <f>IF(X904=AE19,AA19,IF(X904=AE20,AA20,IF(X904=AE21,AA21,"algo esta mal")))</f>
        <v>Bajo</v>
      </c>
      <c r="AI904" s="3" t="s">
        <v>89</v>
      </c>
      <c r="AJ904" s="7">
        <f>MAX(AQ19:AQ21)</f>
        <v>0.8</v>
      </c>
      <c r="AK904" s="3" t="str">
        <f>IF(AJ904=AQ19,AM19,IF(AJ904=AQ20,AM20,IF(AJ904=AQ21,AM21,"algo esta mal")))</f>
        <v>Bajo</v>
      </c>
      <c r="AU904" s="3" t="s">
        <v>89</v>
      </c>
      <c r="AV904" s="7">
        <f>MAX(BC19:BC21)</f>
        <v>0.8</v>
      </c>
      <c r="AW904" s="3" t="str">
        <f>IF(AV904=BC19,AY19,IF(AV904=BC20,AY20,IF(AV904=BC21,AY21,"algo esta mal")))</f>
        <v>Bajo</v>
      </c>
    </row>
    <row r="905" spans="11:50" x14ac:dyDescent="0.25">
      <c r="M905" s="3" t="s">
        <v>90</v>
      </c>
      <c r="N905" s="3" t="s">
        <v>91</v>
      </c>
      <c r="O905" s="3" t="s">
        <v>44</v>
      </c>
      <c r="P905" s="3" t="s">
        <v>45</v>
      </c>
      <c r="Q905" s="3" t="s">
        <v>46</v>
      </c>
      <c r="R905" s="3" t="s">
        <v>47</v>
      </c>
      <c r="S905" s="3" t="s">
        <v>48</v>
      </c>
      <c r="Y905" s="3" t="s">
        <v>90</v>
      </c>
      <c r="Z905" s="3" t="s">
        <v>91</v>
      </c>
      <c r="AA905" s="3" t="s">
        <v>44</v>
      </c>
      <c r="AB905" s="3" t="s">
        <v>45</v>
      </c>
      <c r="AC905" s="3" t="s">
        <v>46</v>
      </c>
      <c r="AD905" s="3" t="s">
        <v>47</v>
      </c>
      <c r="AE905" s="3" t="s">
        <v>48</v>
      </c>
      <c r="AK905" s="3" t="s">
        <v>90</v>
      </c>
      <c r="AL905" s="3" t="s">
        <v>91</v>
      </c>
      <c r="AM905" s="3" t="s">
        <v>44</v>
      </c>
      <c r="AN905" s="3" t="s">
        <v>45</v>
      </c>
      <c r="AO905" s="3" t="s">
        <v>46</v>
      </c>
      <c r="AP905" s="3" t="s">
        <v>47</v>
      </c>
      <c r="AQ905" s="3" t="s">
        <v>48</v>
      </c>
    </row>
    <row r="906" spans="11:50" x14ac:dyDescent="0.25">
      <c r="M906" s="3"/>
      <c r="N906" s="7"/>
      <c r="O906">
        <f>('Desarrollo de competencias'!B37)</f>
        <v>0.45</v>
      </c>
      <c r="P906">
        <f>('Desarrollo de competencias'!B38)</f>
        <v>0.4</v>
      </c>
      <c r="Q906">
        <f>('Desarrollo de competencias'!B39)</f>
        <v>0.05</v>
      </c>
      <c r="R906">
        <f>('Desarrollo de competencias'!B40)</f>
        <v>0</v>
      </c>
      <c r="S906">
        <f>('Desarrollo de competencias'!B41)</f>
        <v>0.1</v>
      </c>
      <c r="Y906" s="3"/>
      <c r="Z906" s="7"/>
      <c r="AA906">
        <f>('Desarrollo de competencias'!F37)</f>
        <v>0.45</v>
      </c>
      <c r="AB906">
        <f>('Desarrollo de competencias'!F38)</f>
        <v>0.35</v>
      </c>
      <c r="AC906">
        <f>('Desarrollo de competencias'!F39)</f>
        <v>0.05</v>
      </c>
      <c r="AD906">
        <f>('Desarrollo de competencias'!F40)</f>
        <v>0.05</v>
      </c>
      <c r="AE906">
        <f>('Desarrollo de competencias'!F41)</f>
        <v>0.1</v>
      </c>
      <c r="AK906" s="3"/>
      <c r="AL906" s="7"/>
      <c r="AM906">
        <f>('Desarrollo de competencias'!J37)</f>
        <v>0.5</v>
      </c>
      <c r="AN906">
        <f>('Desarrollo de competencias'!J38)</f>
        <v>0.3</v>
      </c>
      <c r="AO906">
        <f>('Desarrollo de competencias'!J39)</f>
        <v>0.15</v>
      </c>
      <c r="AP906">
        <f>('Desarrollo de competencias'!J40)</f>
        <v>0</v>
      </c>
      <c r="AQ906">
        <f>('Desarrollo de competencias'!J41)</f>
        <v>0.05</v>
      </c>
    </row>
    <row r="907" spans="11:50" x14ac:dyDescent="0.25">
      <c r="M907" s="3"/>
      <c r="N907" s="7"/>
      <c r="O907">
        <f>('Desarrollo de competencias'!C37)</f>
        <v>0.4</v>
      </c>
      <c r="P907">
        <f>('Desarrollo de competencias'!C38)</f>
        <v>0.45</v>
      </c>
      <c r="Q907">
        <f>('Desarrollo de competencias'!C39)</f>
        <v>0.05</v>
      </c>
      <c r="R907">
        <f>('Desarrollo de competencias'!C40)</f>
        <v>0.1</v>
      </c>
      <c r="S907">
        <f>('Desarrollo de competencias'!C41)</f>
        <v>0</v>
      </c>
      <c r="Y907" s="3"/>
      <c r="Z907" s="7"/>
      <c r="AA907">
        <f>('Desarrollo de competencias'!G37)</f>
        <v>0.5</v>
      </c>
      <c r="AB907">
        <f>('Desarrollo de competencias'!G38)</f>
        <v>0.3</v>
      </c>
      <c r="AC907">
        <f>('Desarrollo de competencias'!G39)</f>
        <v>0.1</v>
      </c>
      <c r="AD907">
        <f>('Desarrollo de competencias'!G40)</f>
        <v>0</v>
      </c>
      <c r="AE907">
        <f>('Desarrollo de competencias'!G41)</f>
        <v>0.1</v>
      </c>
      <c r="AK907" s="3"/>
      <c r="AL907" s="7"/>
      <c r="AM907">
        <f>('Desarrollo de competencias'!K37)</f>
        <v>0.35</v>
      </c>
      <c r="AN907">
        <f>('Desarrollo de competencias'!K38)</f>
        <v>0.45</v>
      </c>
      <c r="AO907">
        <f>('Desarrollo de competencias'!K39)</f>
        <v>0.15</v>
      </c>
      <c r="AP907">
        <f>('Desarrollo de competencias'!K40)</f>
        <v>0</v>
      </c>
      <c r="AQ907">
        <f>('Desarrollo de competencias'!K41)</f>
        <v>0.05</v>
      </c>
    </row>
    <row r="908" spans="11:50" x14ac:dyDescent="0.25">
      <c r="M908" s="3"/>
      <c r="N908" s="7"/>
      <c r="O908">
        <f>('Desarrollo de competencias'!D37)</f>
        <v>0.45</v>
      </c>
      <c r="P908">
        <f>('Desarrollo de competencias'!D38)</f>
        <v>0.35</v>
      </c>
      <c r="Q908">
        <f>('Desarrollo de competencias'!D39)</f>
        <v>0.05</v>
      </c>
      <c r="R908">
        <f>('Desarrollo de competencias'!D40)</f>
        <v>0.05</v>
      </c>
      <c r="S908">
        <f>('Desarrollo de competencias'!D41)</f>
        <v>0.1</v>
      </c>
      <c r="Y908" s="3"/>
      <c r="Z908" s="7"/>
      <c r="AA908">
        <f>('Desarrollo de competencias'!H37)</f>
        <v>0.3</v>
      </c>
      <c r="AB908">
        <f>('Desarrollo de competencias'!H38)</f>
        <v>0.55000000000000004</v>
      </c>
      <c r="AC908">
        <f>('Desarrollo de competencias'!H39)</f>
        <v>0.05</v>
      </c>
      <c r="AD908">
        <f>('Desarrollo de competencias'!H40)</f>
        <v>0.05</v>
      </c>
      <c r="AE908">
        <f>('Desarrollo de competencias'!H41)</f>
        <v>0.05</v>
      </c>
      <c r="AK908" s="3"/>
      <c r="AL908" s="7"/>
      <c r="AM908">
        <f>('Desarrollo de competencias'!L37)</f>
        <v>0.35</v>
      </c>
      <c r="AN908">
        <f>('Desarrollo de competencias'!L38)</f>
        <v>0.45</v>
      </c>
      <c r="AO908">
        <f>('Desarrollo de competencias'!L39)</f>
        <v>0.15</v>
      </c>
      <c r="AP908">
        <f>('Desarrollo de competencias'!L40)</f>
        <v>0</v>
      </c>
      <c r="AQ908">
        <f>('Desarrollo de competencias'!L41)</f>
        <v>0.05</v>
      </c>
    </row>
    <row r="909" spans="11:50" x14ac:dyDescent="0.25">
      <c r="M909" s="3"/>
      <c r="N909" s="7"/>
      <c r="O909">
        <f>('Desarrollo de competencias'!E37)</f>
        <v>0.5</v>
      </c>
      <c r="P909">
        <f>('Desarrollo de competencias'!E38)</f>
        <v>0.3</v>
      </c>
      <c r="Q909">
        <f>('Desarrollo de competencias'!E39)</f>
        <v>0.1</v>
      </c>
      <c r="R909">
        <f>('Desarrollo de competencias'!E40)</f>
        <v>0</v>
      </c>
      <c r="S909">
        <f>('Desarrollo de competencias'!E41)</f>
        <v>0.1</v>
      </c>
      <c r="Y909" s="3"/>
      <c r="Z909" s="7"/>
      <c r="AA909">
        <f>('Desarrollo de competencias'!I37)</f>
        <v>0.4</v>
      </c>
      <c r="AB909">
        <f>('Desarrollo de competencias'!I38)</f>
        <v>0.4</v>
      </c>
      <c r="AC909">
        <f>('Desarrollo de competencias'!I39)</f>
        <v>0.1</v>
      </c>
      <c r="AD909">
        <f>('Desarrollo de competencias'!I40)</f>
        <v>0.1</v>
      </c>
      <c r="AE909">
        <f>('Desarrollo de competencias'!I41)</f>
        <v>0</v>
      </c>
      <c r="AK909" s="3"/>
      <c r="AL909" s="7"/>
      <c r="AM909">
        <f>('Desarrollo de competencias'!M37)</f>
        <v>0.5</v>
      </c>
      <c r="AN909">
        <f>('Desarrollo de competencias'!M38)</f>
        <v>0.35</v>
      </c>
      <c r="AO909">
        <f>('Desarrollo de competencias'!M39)</f>
        <v>0</v>
      </c>
      <c r="AP909">
        <f>('Desarrollo de competencias'!M40)</f>
        <v>0.1</v>
      </c>
      <c r="AQ909">
        <f>('Desarrollo de competencias'!M41)</f>
        <v>0.05</v>
      </c>
    </row>
    <row r="1015" spans="13:61" x14ac:dyDescent="0.25">
      <c r="M1015" s="3" t="s">
        <v>91</v>
      </c>
      <c r="N1015" s="3" t="str">
        <f>CONCATENATE(O905," y ",P905)</f>
        <v>Nunca y Casi Nunca</v>
      </c>
      <c r="O1015" s="3" t="str">
        <f>(Q905)</f>
        <v>A veces</v>
      </c>
      <c r="P1015" s="3" t="str">
        <f>CONCATENATE(R905," y ",S905)</f>
        <v>Casi siempre y Siempre</v>
      </c>
      <c r="Q1015" s="3" t="s">
        <v>93</v>
      </c>
      <c r="R1015" s="3" t="s">
        <v>94</v>
      </c>
      <c r="S1015" s="3" t="s">
        <v>95</v>
      </c>
      <c r="T1015" s="3" t="s">
        <v>96</v>
      </c>
      <c r="U1015" s="3" t="s">
        <v>97</v>
      </c>
      <c r="Y1015" s="3" t="s">
        <v>91</v>
      </c>
      <c r="Z1015" s="3" t="str">
        <f>CONCATENATE(AA905," y ",AB905)</f>
        <v>Nunca y Casi Nunca</v>
      </c>
      <c r="AA1015" s="3" t="str">
        <f>(AC905)</f>
        <v>A veces</v>
      </c>
      <c r="AB1015" s="3" t="str">
        <f>CONCATENATE(AD905," y ",AE905)</f>
        <v>Casi siempre y Siempre</v>
      </c>
      <c r="AC1015" s="3" t="s">
        <v>93</v>
      </c>
      <c r="AD1015" s="3" t="s">
        <v>94</v>
      </c>
      <c r="AE1015" s="3" t="s">
        <v>95</v>
      </c>
      <c r="AF1015" s="3" t="s">
        <v>96</v>
      </c>
      <c r="AG1015" s="3" t="s">
        <v>97</v>
      </c>
      <c r="AK1015" s="3" t="s">
        <v>91</v>
      </c>
      <c r="AL1015" s="3" t="str">
        <f>CONCATENATE(AM905," y ",AN905)</f>
        <v>Nunca y Casi Nunca</v>
      </c>
      <c r="AM1015" s="3" t="str">
        <f>(AO905)</f>
        <v>A veces</v>
      </c>
      <c r="AN1015" s="3" t="str">
        <f>CONCATENATE(AP905," y ",AQ905)</f>
        <v>Casi siempre y Siempre</v>
      </c>
      <c r="AO1015" s="3" t="s">
        <v>93</v>
      </c>
      <c r="AP1015" s="3" t="s">
        <v>94</v>
      </c>
      <c r="AQ1015" s="3" t="s">
        <v>95</v>
      </c>
      <c r="AR1015" s="3" t="s">
        <v>96</v>
      </c>
      <c r="AS1015" s="3" t="s">
        <v>97</v>
      </c>
      <c r="AW1015" s="3" t="s">
        <v>98</v>
      </c>
      <c r="AX1015" s="3" t="s">
        <v>169</v>
      </c>
      <c r="AY1015" s="3" t="s">
        <v>170</v>
      </c>
      <c r="AZ1015" s="3" t="s">
        <v>171</v>
      </c>
      <c r="BA1015" s="3" t="s">
        <v>93</v>
      </c>
      <c r="BB1015" s="3" t="s">
        <v>99</v>
      </c>
      <c r="BC1015" s="3" t="s">
        <v>100</v>
      </c>
      <c r="BD1015" s="3" t="s">
        <v>101</v>
      </c>
      <c r="BE1015" s="3" t="s">
        <v>102</v>
      </c>
      <c r="BF1015" s="3" t="s">
        <v>103</v>
      </c>
      <c r="BG1015" s="3" t="s">
        <v>104</v>
      </c>
      <c r="BH1015" s="3" t="s">
        <v>105</v>
      </c>
      <c r="BI1015" s="3" t="s">
        <v>97</v>
      </c>
    </row>
    <row r="1016" spans="13:61" x14ac:dyDescent="0.25">
      <c r="M1016" s="3">
        <f>(N906)</f>
        <v>0</v>
      </c>
      <c r="N1016" s="7">
        <f>SUM(O906:P906)</f>
        <v>0.85000000000000009</v>
      </c>
      <c r="O1016" s="7">
        <f>(Q906)</f>
        <v>0.05</v>
      </c>
      <c r="P1016" s="7">
        <f>SUM(R906:S906)</f>
        <v>0.1</v>
      </c>
      <c r="Q1016" s="7">
        <f>MAX(N1016:P1016)</f>
        <v>0.85000000000000009</v>
      </c>
      <c r="R1016" s="3" t="str">
        <f>IF(Q1016=N1016,$N$1015,IF(Q1016=O1016,$O$1015,IF(Q1016=P1016,$P$1015,"ALGO ESTA MAL")))</f>
        <v>Nunca y Casi Nunca</v>
      </c>
      <c r="S1016" s="3">
        <f ca="1">RANDBETWEEN(1,10)</f>
        <v>8</v>
      </c>
      <c r="T1016" s="3" t="str">
        <f ca="1">IF(S1016=$T$1100,$U$1100,IF(S1016=$T$1101,$U$1101,IF(S1016=$T$1102,$U$1102,IF(S1016=$T$1103,$U$1103,IF(S1016=$T$1104,$U$1104,IF(S1016=$T$1105,$U$1105,IF(S1016=$T$1106,$U$1106,IF(S1016=$T$1107,$U$1107,IF(S1016=$T$1108,$U$1108,IF(S1016=$T$1109,$U$1109,"algo esta mal"))))))))))</f>
        <v>apreció</v>
      </c>
      <c r="U1016" s="3" t="str">
        <f ca="1">CONCATENATE("el ",ROUND(Q1016*100,0),"% ",T1016," como ",R1016)</f>
        <v>el 85% apreció como Nunca y Casi Nunca</v>
      </c>
      <c r="Y1016" s="3">
        <f>(Z906)</f>
        <v>0</v>
      </c>
      <c r="Z1016" s="7">
        <f>SUM(AA906:AB906)</f>
        <v>0.8</v>
      </c>
      <c r="AA1016" s="7">
        <f>(AC906)</f>
        <v>0.05</v>
      </c>
      <c r="AB1016" s="7">
        <f>SUM(AD906:AE906)</f>
        <v>0.15000000000000002</v>
      </c>
      <c r="AC1016" s="7">
        <f>MAX(Z1016:AB1016)</f>
        <v>0.8</v>
      </c>
      <c r="AD1016" s="3" t="str">
        <f>IF(AC1016=Z1016,$Z$1015,IF(AC1016=AA1016,$AA$1015,IF(AC1016=AB1016,$AB$1015,"ALGO ESTA MAL")))</f>
        <v>Nunca y Casi Nunca</v>
      </c>
      <c r="AE1016" s="3">
        <f ca="1">RANDBETWEEN(1,10)</f>
        <v>4</v>
      </c>
      <c r="AF1016" s="3" t="str">
        <f ca="1">IF(AE1016=$AF$1100,$AG$1100,IF(AE1016=$AF$1101,$AG$1101,IF(AE1016=$AF$1102,$AG$1102,IF(AE1016=$AF$1103,$AG$1103,IF(AE1016=$AF$1104,$AG$1104,IF(AE1016=$AF$1105,$AG$1105,IF(AE1016=$AF$1106,$AG$1106,IF(AE1016=$AF$1107,$AG$1107,IF(AE1016=$AF$1108,$AG$1108,IF(AE1016=$AF$1109,$AG$1109,"algo esta mal"))))))))))</f>
        <v>respondió</v>
      </c>
      <c r="AG1016" s="3" t="str">
        <f ca="1">CONCATENATE("el ",ROUND(AC1016*100,0),"% ",AF1016," como ",AD1016)</f>
        <v>el 80% respondió como Nunca y Casi Nunca</v>
      </c>
      <c r="AK1016" s="3">
        <f>(AL906)</f>
        <v>0</v>
      </c>
      <c r="AL1016" s="7">
        <f>SUM(AM906:AN906)</f>
        <v>0.8</v>
      </c>
      <c r="AM1016" s="7">
        <f>(AO906)</f>
        <v>0.15</v>
      </c>
      <c r="AN1016" s="7">
        <f>SUM(AP906:AQ906)</f>
        <v>0.05</v>
      </c>
      <c r="AO1016" s="7">
        <f>MAX(AL1016:AN1016)</f>
        <v>0.8</v>
      </c>
      <c r="AP1016" s="3" t="str">
        <f>IF(AO1016=AL1016,$AL$1015,IF(AO1016=AM1016,$AM$1015,IF(AO1016=AN1016,$AN$1015,"ALGO ESTA MAL")))</f>
        <v>Nunca y Casi Nunca</v>
      </c>
      <c r="AQ1016" s="3">
        <f ca="1">RANDBETWEEN(1,10)</f>
        <v>9</v>
      </c>
      <c r="AR1016" s="3" t="str">
        <f ca="1">IF(AQ1016=$AR$1100,$AS$1100,IF(AQ1016=$AR$1101,$AS$1101,IF(AQ1016=$AR$1102,$AS$1102,IF(AQ1016=$AR$1103,$AS$1103,IF(AQ1016=$AR$1104,$AS$1104,IF(AQ1016=$AR$1105,$AS$1105,IF(AQ1016=$AR$1106,$AS$1106,IF(AQ1016=$AR$1107,$AS$1107,IF(AQ1016=$AR$1108,$AS$1108,IF(AQ1016=$AR$1109,$AS$1109,"algo esta mal"))))))))))</f>
        <v>percibió</v>
      </c>
      <c r="AS1016" s="3" t="str">
        <f ca="1">CONCATENATE("el ",ROUND(AO1016*100,0),"% ",AR1016," como ",AP1016)</f>
        <v>el 80% percibió como Nunca y Casi Nunca</v>
      </c>
      <c r="AW1016" s="7" t="str">
        <f>(O16)</f>
        <v>Nivel de planificación de la enseñanza</v>
      </c>
      <c r="AX1016" s="7">
        <f>(S19)</f>
        <v>0.85</v>
      </c>
      <c r="AY1016" s="2">
        <f>(S20)</f>
        <v>0.05</v>
      </c>
      <c r="AZ1016" s="7">
        <f>(S21)</f>
        <v>0.1</v>
      </c>
      <c r="BA1016" s="7">
        <f>MAX(AX1016:AZ1016)</f>
        <v>0.85</v>
      </c>
      <c r="BB1016" s="3" t="str">
        <f>IF(BA1016=AX1016,$AX$1015,IF(BA1016=AY1016,$AY$1015,IF(BA1016=AZ1016,$AZ$1015,"algo esta mal")))</f>
        <v>Bajo</v>
      </c>
      <c r="BC1016" s="3">
        <f ca="1" xml:space="preserve"> RANDBETWEEN(1,10)</f>
        <v>7</v>
      </c>
      <c r="BD1016" s="3" t="str">
        <f ca="1">IF(BC1016=$BD$1100,$BE$1100,IF(BC1016=$BD$1101,$BE$1101,IF(BC1016=$BD$1102,$BE$1102,IF(BC1016=$BD$1103,$BE$1103,IF(BC1016=$BD$1104,$BE$1104,IF(BC1016=$BD$1105,$BE$1105,IF(BC1016=$BD$1106,$BE$1106,IF(BC1016=$BD$1107,$BE$1107,IF(BC1016=$BD$1108,$BE$1108,IF(BC1016=$BD$1109,$BE$1109,"algo esta mal"))))))))))</f>
        <v>mencionó</v>
      </c>
      <c r="BE1016" s="3">
        <f ca="1" xml:space="preserve"> RANDBETWEEN(1,7)</f>
        <v>6</v>
      </c>
      <c r="BF1016" s="3" t="str">
        <f ca="1">IF(BE1016=$BD$1110,$BE$1110,IF(BE1016=$BD$1111,$BE$1111,IF(BE1016=$BD$1112,$BE$1112,IF(BE1016=$BD$1113,$BE$1113,IF(BE1016=$BD$1114,$BE$1114,IF(BE1016=$BD$1115,$BE$1115,IF(BE1016=$BD$1116,$BE$1116,IF(BE1016=$BD$1047,$BE$1047,IF(BE1016=$BD$1048,$BE$1048,IF(BE1016=$BD$1049,$BE$1049,"algo esta mal"))))))))))</f>
        <v xml:space="preserve">adicional a ello </v>
      </c>
      <c r="BG1016" s="3">
        <f ca="1" xml:space="preserve"> RANDBETWEEN(1,2)</f>
        <v>1</v>
      </c>
      <c r="BH1016" s="3" t="str">
        <f ca="1">IF(BG1016=$BD$1120,$BE$1120,IF(BG1016=$BD$1121,$BE$1121,"algo esta mal"))</f>
        <v>Docentess</v>
      </c>
      <c r="BI1016" s="3" t="str">
        <f ca="1">CONCATENATE("el ",ROUND(BA1016*100,0),"% de los ",BH1016," ",BD1016," a la dimensión ",AW1016," como ",BB1016,", ",BF1016)</f>
        <v xml:space="preserve">el 85% de los Docentess mencionó a la dimensión Nivel de planificación de la enseñanza como Bajo, adicional a ello </v>
      </c>
    </row>
    <row r="1017" spans="13:61" x14ac:dyDescent="0.25">
      <c r="M1017" s="3">
        <f>(N907)</f>
        <v>0</v>
      </c>
      <c r="N1017" s="7">
        <f>SUM(O907:P907)</f>
        <v>0.85000000000000009</v>
      </c>
      <c r="O1017" s="7">
        <f>(Q907)</f>
        <v>0.05</v>
      </c>
      <c r="P1017" s="7">
        <f>SUM(R907:S907)</f>
        <v>0.1</v>
      </c>
      <c r="Q1017" s="7">
        <f>MAX(N1017:P1017)</f>
        <v>0.85000000000000009</v>
      </c>
      <c r="R1017" s="3" t="str">
        <f>IF(Q1017=N1017,$N$1015,IF(Q1017=O1017,$O$1015,IF(Q1017=P1017,$P$1015,"ALGO ESTA MAL")))</f>
        <v>Nunca y Casi Nunca</v>
      </c>
      <c r="S1017" s="3">
        <f ca="1">RANDBETWEEN(1,10)</f>
        <v>3</v>
      </c>
      <c r="T1017" s="3" t="str">
        <f ca="1">IF(S1017=$T$1100,$U$1100,IF(S1017=$T$1101,$U$1101,IF(S1017=$T$1102,$U$1102,IF(S1017=$T$1103,$U$1103,IF(S1017=$T$1104,$U$1104,IF(S1017=$T$1105,$U$1105,IF(S1017=$T$1106,$U$1106,IF(S1017=$T$1107,$U$1107,IF(S1017=$T$1108,$U$1108,IF(S1017=$T$1109,$U$1109,"algo esta mal"))))))))))</f>
        <v>consideró</v>
      </c>
      <c r="U1017" s="3" t="str">
        <f ca="1">CONCATENATE("el ",ROUND(Q1017*100,0),"% de los ",N902," ",T1017," como ",R1017)</f>
        <v>el 85% de los Docentess consideró como Nunca y Casi Nunca</v>
      </c>
      <c r="Y1017" s="3">
        <f>(Z907)</f>
        <v>0</v>
      </c>
      <c r="Z1017" s="7">
        <f>SUM(AA907:AB907)</f>
        <v>0.8</v>
      </c>
      <c r="AA1017" s="7">
        <f>(AC907)</f>
        <v>0.1</v>
      </c>
      <c r="AB1017" s="7">
        <f>SUM(AD907:AE907)</f>
        <v>0.1</v>
      </c>
      <c r="AC1017" s="7">
        <f>MAX(Z1017:AB1017)</f>
        <v>0.8</v>
      </c>
      <c r="AD1017" s="3" t="str">
        <f>IF(AC1017=Z1017,$Z$1015,IF(AC1017=AA1017,$AA$1015,IF(AC1017=AB1017,$AB$1015,"ALGO ESTA MAL")))</f>
        <v>Nunca y Casi Nunca</v>
      </c>
      <c r="AE1017" s="3">
        <f ca="1">RANDBETWEEN(1,10)</f>
        <v>2</v>
      </c>
      <c r="AF1017" s="3" t="str">
        <f ca="1">IF(AE1017=$AF$1100,$AG$1100,IF(AE1017=$AF$1101,$AG$1101,IF(AE1017=$AF$1102,$AG$1102,IF(AE1017=$AF$1103,$AG$1103,IF(AE1017=$AF$1104,$AG$1104,IF(AE1017=$AF$1105,$AG$1105,IF(AE1017=$AF$1106,$AG$1106,IF(AE1017=$AF$1107,$AG$1107,IF(AE1017=$AF$1108,$AG$1108,IF(AE1017=$AF$1109,$AG$1109,"algo esta mal"))))))))))</f>
        <v>calificó</v>
      </c>
      <c r="AG1017" s="3" t="str">
        <f ca="1">CONCATENATE("el ",ROUND(AC1017*100,0),"% de los ",Z902," ",AF1017," como ",AD1017)</f>
        <v>el 80% de los Docentess calificó como Nunca y Casi Nunca</v>
      </c>
      <c r="AK1017" s="3">
        <f>(AL907)</f>
        <v>0</v>
      </c>
      <c r="AL1017" s="7">
        <f>SUM(AM907:AN907)</f>
        <v>0.8</v>
      </c>
      <c r="AM1017" s="7">
        <f>(AO907)</f>
        <v>0.15</v>
      </c>
      <c r="AN1017" s="7">
        <f>SUM(AP907:AQ907)</f>
        <v>0.05</v>
      </c>
      <c r="AO1017" s="7">
        <f>MAX(AL1017:AN1017)</f>
        <v>0.8</v>
      </c>
      <c r="AP1017" s="3" t="str">
        <f>IF(AO1017=AL1017,$AL$1015,IF(AO1017=AM1017,$AM$1015,IF(AO1017=AN1017,$AN$1015,"ALGO ESTA MAL")))</f>
        <v>Nunca y Casi Nunca</v>
      </c>
      <c r="AQ1017" s="3">
        <f ca="1">RANDBETWEEN(1,10)</f>
        <v>1</v>
      </c>
      <c r="AR1017" s="3" t="str">
        <f ca="1">IF(AQ1017=$AR$1100,$AS$1100,IF(AQ1017=$AR$1101,$AS$1101,IF(AQ1017=$AR$1102,$AS$1102,IF(AQ1017=$AR$1103,$AS$1103,IF(AQ1017=$AR$1104,$AS$1104,IF(AQ1017=$AR$1105,$AS$1105,IF(AQ1017=$AR$1106,$AS$1106,IF(AQ1017=$AR$1107,$AS$1107,IF(AQ1017=$AR$1108,$AS$1108,IF(AQ1017=$AR$1109,$AS$1109,"algo esta mal"))))))))))</f>
        <v>valoró</v>
      </c>
      <c r="AS1017" s="3" t="str">
        <f ca="1">CONCATENATE("el ",ROUND(AO1017*100,0),"% de los ",AL902," ",AR1017," como ",AP1017)</f>
        <v>el 80% de los Docentess valoró como Nunca y Casi Nunca</v>
      </c>
      <c r="AW1017" s="7" t="str">
        <f>(AA16)</f>
        <v>Nivel de la competencia comunicativa</v>
      </c>
      <c r="AX1017" s="7">
        <f>(AE19)</f>
        <v>0.8</v>
      </c>
      <c r="AY1017" s="2">
        <f>(AE20)</f>
        <v>0.1</v>
      </c>
      <c r="AZ1017" s="7">
        <f>(AE21)</f>
        <v>0.1</v>
      </c>
      <c r="BA1017" s="7">
        <f>MAX(AX1017:AZ1017)</f>
        <v>0.8</v>
      </c>
      <c r="BB1017" s="3" t="str">
        <f>IF(BA1017=AX1017,$AX$1015,IF(BA1017=AY1017,$AY$1015,IF(BA1017=AZ1017,$AZ$1015,"algo esta mal")))</f>
        <v>Bajo</v>
      </c>
      <c r="BC1017" s="3">
        <f ca="1" xml:space="preserve"> RANDBETWEEN(1,10)</f>
        <v>2</v>
      </c>
      <c r="BD1017" s="3" t="str">
        <f ca="1">IF(BC1017=$BD$1100,$BE$1100,IF(BC1017=$BD$1101,$BE$1101,IF(BC1017=$BD$1102,$BE$1102,IF(BC1017=$BD$1103,$BE$1103,IF(BC1017=$BD$1104,$BE$1104,IF(BC1017=$BD$1105,$BE$1105,IF(BC1017=$BD$1106,$BE$1106,IF(BC1017=$BD$1107,$BE$1107,IF(BC1017=$BD$1108,$BE$1108,IF(BC1017=$BD$1109,$BE$1109,"algo esta mal"))))))))))</f>
        <v>calificó</v>
      </c>
      <c r="BE1017" s="3">
        <f ca="1" xml:space="preserve"> RANDBETWEEN(1,7)</f>
        <v>5</v>
      </c>
      <c r="BF1017" s="3" t="str">
        <f ca="1">IF(BE1017=$BD$1110,$BE$1110,IF(BE1017=$BD$1111,$BE$1111,IF(BE1017=$BD$1112,$BE$1112,IF(BE1017=$BD$1113,$BE$1113,IF(BE1017=$BD$1114,$BE$1114,IF(BE1017=$BD$1115,$BE$1115,IF(BE1017=$BD$1116,$BE$1116,IF(BE1017=$BD$1047,$BE$1047,IF(BE1017=$BD$1048,$BE$1048,IF(BE1017=$BD$1049,$BE$1049,"algo esta mal"))))))))))</f>
        <v xml:space="preserve">en consecuencia </v>
      </c>
      <c r="BG1017" s="3">
        <f ca="1" xml:space="preserve"> RANDBETWEEN(1,2)</f>
        <v>1</v>
      </c>
      <c r="BH1017" s="3" t="str">
        <f ca="1">IF(BG1017=$BD$1120,$BE$1120,IF(BG1017=$BD$1121,$BE$1121,"algo esta mal"))</f>
        <v>Docentess</v>
      </c>
      <c r="BI1017" s="3" t="str">
        <f ca="1">CONCATENATE("el ",ROUND(BA1017*100,0),"% de los ",BH1017," ",BD1017," a la dimensión ",AW1017," como ",BB1017,", ",BF1017)</f>
        <v xml:space="preserve">el 80% de los Docentess calificó a la dimensión Nivel de la competencia comunicativa como Bajo, en consecuencia </v>
      </c>
    </row>
    <row r="1018" spans="13:61" x14ac:dyDescent="0.25">
      <c r="M1018" s="3">
        <f>(N908)</f>
        <v>0</v>
      </c>
      <c r="N1018" s="7">
        <f>SUM(O908:P908)</f>
        <v>0.8</v>
      </c>
      <c r="O1018" s="7">
        <f>(Q908)</f>
        <v>0.05</v>
      </c>
      <c r="P1018" s="7">
        <f>SUM(R908:S908)</f>
        <v>0.15000000000000002</v>
      </c>
      <c r="Q1018" s="7">
        <f>MAX(N1018:P1018)</f>
        <v>0.8</v>
      </c>
      <c r="R1018" s="3" t="str">
        <f>IF(Q1018=N1018,$N$1015,IF(Q1018=O1018,$O$1015,IF(Q1018=P1018,$P$1015,"ALGO ESTA MAL")))</f>
        <v>Nunca y Casi Nunca</v>
      </c>
      <c r="S1018" s="3">
        <f ca="1">RANDBETWEEN(1,10)</f>
        <v>4</v>
      </c>
      <c r="T1018" s="3" t="str">
        <f ca="1">IF(S1018=$T$1100,$U$1100,IF(S1018=$T$1101,$U$1101,IF(S1018=$T$1102,$U$1102,IF(S1018=$T$1103,$U$1103,IF(S1018=$T$1104,$U$1104,IF(S1018=$T$1105,$U$1105,IF(S1018=$T$1106,$U$1106,IF(S1018=$T$1107,$U$1107,IF(S1018=$T$1108,$U$1108,IF(S1018=$T$1109,$U$1109,"algo esta mal"))))))))))</f>
        <v>respondió</v>
      </c>
      <c r="U1018" s="3" t="str">
        <f ca="1">CONCATENATE("el ",ROUND(Q1018*100,0),"% ",T1018," como ",R1018)</f>
        <v>el 80% respondió como Nunca y Casi Nunca</v>
      </c>
      <c r="Y1018" s="3">
        <f>(Z908)</f>
        <v>0</v>
      </c>
      <c r="Z1018" s="7">
        <f>SUM(AA908:AB908)</f>
        <v>0.85000000000000009</v>
      </c>
      <c r="AA1018" s="7">
        <f>(AC908)</f>
        <v>0.05</v>
      </c>
      <c r="AB1018" s="7">
        <f>SUM(AD908:AE908)</f>
        <v>0.1</v>
      </c>
      <c r="AC1018" s="7">
        <f>MAX(Z1018:AB1018)</f>
        <v>0.85000000000000009</v>
      </c>
      <c r="AD1018" s="3" t="str">
        <f>IF(AC1018=Z1018,$Z$1015,IF(AC1018=AA1018,$AA$1015,IF(AC1018=AB1018,$AB$1015,"ALGO ESTA MAL")))</f>
        <v>Nunca y Casi Nunca</v>
      </c>
      <c r="AE1018" s="3">
        <f ca="1">RANDBETWEEN(1,10)</f>
        <v>1</v>
      </c>
      <c r="AF1018" s="3" t="str">
        <f ca="1">IF(AE1018=$AF$1100,$AG$1100,IF(AE1018=$AF$1101,$AG$1101,IF(AE1018=$AF$1102,$AG$1102,IF(AE1018=$AF$1103,$AG$1103,IF(AE1018=$AF$1104,$AG$1104,IF(AE1018=$AF$1105,$AG$1105,IF(AE1018=$AF$1106,$AG$1106,IF(AE1018=$AF$1107,$AG$1107,IF(AE1018=$AF$1108,$AG$1108,IF(AE1018=$AF$1109,$AG$1109,"algo esta mal"))))))))))</f>
        <v>valoró</v>
      </c>
      <c r="AG1018" s="3" t="str">
        <f ca="1">CONCATENATE("el ",ROUND(AC1018*100,0),"% ",AF1018," como ",AD1018)</f>
        <v>el 85% valoró como Nunca y Casi Nunca</v>
      </c>
      <c r="AK1018" s="3">
        <f>(AL908)</f>
        <v>0</v>
      </c>
      <c r="AL1018" s="7">
        <f>SUM(AM908:AN908)</f>
        <v>0.8</v>
      </c>
      <c r="AM1018" s="7">
        <f>(AO908)</f>
        <v>0.15</v>
      </c>
      <c r="AN1018" s="7">
        <f>SUM(AP908:AQ908)</f>
        <v>0.05</v>
      </c>
      <c r="AO1018" s="7">
        <f>MAX(AL1018:AN1018)</f>
        <v>0.8</v>
      </c>
      <c r="AP1018" s="3" t="str">
        <f>IF(AO1018=AL1018,$AL$1015,IF(AO1018=AM1018,$AM$1015,IF(AO1018=AN1018,$AN$1015,"ALGO ESTA MAL")))</f>
        <v>Nunca y Casi Nunca</v>
      </c>
      <c r="AQ1018" s="3">
        <f ca="1">RANDBETWEEN(1,10)</f>
        <v>9</v>
      </c>
      <c r="AR1018" s="3" t="str">
        <f ca="1">IF(AQ1018=$AR$1100,$AS$1100,IF(AQ1018=$AR$1101,$AS$1101,IF(AQ1018=$AR$1102,$AS$1102,IF(AQ1018=$AR$1103,$AS$1103,IF(AQ1018=$AR$1104,$AS$1104,IF(AQ1018=$AR$1105,$AS$1105,IF(AQ1018=$AR$1106,$AS$1106,IF(AQ1018=$AR$1107,$AS$1107,IF(AQ1018=$AR$1108,$AS$1108,IF(AQ1018=$AR$1109,$AS$1109,"algo esta mal"))))))))))</f>
        <v>percibió</v>
      </c>
      <c r="AS1018" s="3" t="str">
        <f ca="1">CONCATENATE("el ",ROUND(AO1018*100,0),"% ",AR1018," como ",AP1018)</f>
        <v>el 80% percibió como Nunca y Casi Nunca</v>
      </c>
      <c r="AW1018" s="7" t="str">
        <f>(AM16)</f>
        <v>Diseño de metodología</v>
      </c>
      <c r="AX1018" s="7">
        <f>(AQ19)</f>
        <v>0.8</v>
      </c>
      <c r="AY1018" s="2">
        <f>(AQ20)</f>
        <v>0.15</v>
      </c>
      <c r="AZ1018" s="7">
        <f>(AQ21)</f>
        <v>0.05</v>
      </c>
      <c r="BA1018" s="7">
        <f>MAX(AX1018:AZ1018)</f>
        <v>0.8</v>
      </c>
      <c r="BB1018" s="3" t="str">
        <f>IF(BA1018=AX1018,$AX$1015,IF(BA1018=AY1018,$AY$1015,IF(BA1018=AZ1018,$AZ$1015,"algo esta mal")))</f>
        <v>Bajo</v>
      </c>
      <c r="BC1018" s="3">
        <f ca="1" xml:space="preserve"> RANDBETWEEN(1,10)</f>
        <v>7</v>
      </c>
      <c r="BD1018" s="3" t="str">
        <f ca="1">IF(BC1018=$BD$1100,$BE$1100,IF(BC1018=$BD$1101,$BE$1101,IF(BC1018=$BD$1102,$BE$1102,IF(BC1018=$BD$1103,$BE$1103,IF(BC1018=$BD$1104,$BE$1104,IF(BC1018=$BD$1105,$BE$1105,IF(BC1018=$BD$1106,$BE$1106,IF(BC1018=$BD$1107,$BE$1107,IF(BC1018=$BD$1108,$BE$1108,IF(BC1018=$BD$1109,$BE$1109,"algo esta mal"))))))))))</f>
        <v>mencionó</v>
      </c>
      <c r="BE1018" s="3">
        <f ca="1" xml:space="preserve"> RANDBETWEEN(1,7)</f>
        <v>3</v>
      </c>
      <c r="BF1018" s="3" t="str">
        <f ca="1">IF(BE1018=$BD$1110,$BE$1110,IF(BE1018=$BD$1111,$BE$1111,IF(BE1018=$BD$1112,$BE$1112,IF(BE1018=$BD$1113,$BE$1113,IF(BE1018=$BD$1114,$BE$1114,IF(BE1018=$BD$1115,$BE$1115,IF(BE1018=$BD$1116,$BE$1116,IF(BE1018=$BD$1047,$BE$1047,IF(BE1018=$BD$1048,$BE$1048,IF(BE1018=$BD$1049,$BE$1049,"algo esta mal"))))))))))</f>
        <v xml:space="preserve">por otra parte </v>
      </c>
      <c r="BG1018" s="3">
        <f ca="1" xml:space="preserve"> RANDBETWEEN(1,2)</f>
        <v>2</v>
      </c>
      <c r="BH1018" s="3" t="str">
        <f ca="1">IF(BG1018=$BD$1120,$BE$1120,IF(BG1018=$BD$1121,$BE$1121,"algo esta mal"))</f>
        <v>Resultados</v>
      </c>
      <c r="BI1018" s="3" t="str">
        <f ca="1">CONCATENATE("el ",ROUND(BA1018*100,0),"% de los ",BH1018," ",BD1018," a la dimensión ",AW1018," como ",BB1018,", ",BF1018)</f>
        <v xml:space="preserve">el 80% de los Resultados mencionó a la dimensión Diseño de metodología como Bajo, por otra parte </v>
      </c>
    </row>
    <row r="1019" spans="13:61" x14ac:dyDescent="0.25">
      <c r="M1019" s="3">
        <f>(N909)</f>
        <v>0</v>
      </c>
      <c r="N1019" s="7">
        <f>SUM(O909:P909)</f>
        <v>0.8</v>
      </c>
      <c r="O1019" s="7">
        <f>(Q909)</f>
        <v>0.1</v>
      </c>
      <c r="P1019" s="7">
        <f>SUM(R909:S909)</f>
        <v>0.1</v>
      </c>
      <c r="Q1019" s="7">
        <f>MAX(N1019:P1019)</f>
        <v>0.8</v>
      </c>
      <c r="R1019" s="3" t="str">
        <f>IF(Q1019=N1019,$N$1015,IF(Q1019=O1019,$O$1015,IF(Q1019=P1019,$P$1015,"ALGO ESTA MAL")))</f>
        <v>Nunca y Casi Nunca</v>
      </c>
      <c r="S1019" s="3">
        <f ca="1">RANDBETWEEN(1,10)</f>
        <v>1</v>
      </c>
      <c r="T1019" s="3" t="str">
        <f ca="1">IF(S1019=$T$1100,$U$1100,IF(S1019=$T$1101,$U$1101,IF(S1019=$T$1102,$U$1102,IF(S1019=$T$1103,$U$1103,IF(S1019=$T$1104,$U$1104,IF(S1019=$T$1105,$U$1105,IF(S1019=$T$1106,$U$1106,IF(S1019=$T$1107,$U$1107,IF(S1019=$T$1108,$U$1108,IF(S1019=$T$1109,$U$1109,"algo esta mal"))))))))))</f>
        <v>valoró</v>
      </c>
      <c r="U1019" s="3" t="str">
        <f ca="1">CONCATENATE("el ",ROUND(Q1019*100,0),"% de los ",N902," ",T1019," como ",R1019)</f>
        <v>el 80% de los Docentess valoró como Nunca y Casi Nunca</v>
      </c>
      <c r="Y1019" s="3">
        <f>(Z909)</f>
        <v>0</v>
      </c>
      <c r="Z1019" s="7">
        <f>SUM(AA909:AB909)</f>
        <v>0.8</v>
      </c>
      <c r="AA1019" s="7">
        <f>(AC909)</f>
        <v>0.1</v>
      </c>
      <c r="AB1019" s="7">
        <f>SUM(AD909:AE909)</f>
        <v>0.1</v>
      </c>
      <c r="AC1019" s="7">
        <f>MAX(Z1019:AB1019)</f>
        <v>0.8</v>
      </c>
      <c r="AD1019" s="3" t="str">
        <f>IF(AC1019=Z1019,$Z$1015,IF(AC1019=AA1019,$AA$1015,IF(AC1019=AB1019,$AB$1015,"ALGO ESTA MAL")))</f>
        <v>Nunca y Casi Nunca</v>
      </c>
      <c r="AE1019" s="3">
        <f ca="1">RANDBETWEEN(1,10)</f>
        <v>1</v>
      </c>
      <c r="AF1019" s="3" t="str">
        <f ca="1">IF(AE1019=$AF$1100,$AG$1100,IF(AE1019=$AF$1101,$AG$1101,IF(AE1019=$AF$1102,$AG$1102,IF(AE1019=$AF$1103,$AG$1103,IF(AE1019=$AF$1104,$AG$1104,IF(AE1019=$AF$1105,$AG$1105,IF(AE1019=$AF$1106,$AG$1106,IF(AE1019=$AF$1107,$AG$1107,IF(AE1019=$AF$1108,$AG$1108,IF(AE1019=$AF$1109,$AG$1109,"algo esta mal"))))))))))</f>
        <v>valoró</v>
      </c>
      <c r="AG1019" s="3" t="str">
        <f ca="1">CONCATENATE("el ",ROUND(AC1019*100,0),"% de los ",Z902," ",AF1019," como ",AD1019)</f>
        <v>el 80% de los Docentess valoró como Nunca y Casi Nunca</v>
      </c>
      <c r="AK1019" s="3">
        <f>(AL909)</f>
        <v>0</v>
      </c>
      <c r="AL1019" s="7">
        <f>SUM(AM909:AN909)</f>
        <v>0.85</v>
      </c>
      <c r="AM1019" s="7">
        <f>(AO909)</f>
        <v>0</v>
      </c>
      <c r="AN1019" s="7">
        <f>SUM(AP909:AQ909)</f>
        <v>0.15000000000000002</v>
      </c>
      <c r="AO1019" s="7">
        <f>MAX(AL1019:AN1019)</f>
        <v>0.85</v>
      </c>
      <c r="AP1019" s="3" t="str">
        <f>IF(AO1019=AL1019,$AL$1015,IF(AO1019=AM1019,$AM$1015,IF(AO1019=AN1019,$AN$1015,"ALGO ESTA MAL")))</f>
        <v>Nunca y Casi Nunca</v>
      </c>
      <c r="AQ1019" s="3">
        <f ca="1">RANDBETWEEN(1,10)</f>
        <v>8</v>
      </c>
      <c r="AR1019" s="3" t="str">
        <f ca="1">IF(AQ1019=$AR$1100,$AS$1100,IF(AQ1019=$AR$1101,$AS$1101,IF(AQ1019=$AR$1102,$AS$1102,IF(AQ1019=$AR$1103,$AS$1103,IF(AQ1019=$AR$1104,$AS$1104,IF(AQ1019=$AR$1105,$AS$1105,IF(AQ1019=$AR$1106,$AS$1106,IF(AQ1019=$AR$1107,$AS$1107,IF(AQ1019=$AR$1108,$AS$1108,IF(AQ1019=$AR$1109,$AS$1109,"algo esta mal"))))))))))</f>
        <v>apreció</v>
      </c>
      <c r="AS1019" s="3" t="str">
        <f ca="1">CONCATENATE("el ",ROUND(AO1019*100,0),"% de los ",AL902," ",AR1019," como ",AP1019)</f>
        <v>el 85% de los Docentess apreció como Nunca y Casi Nunca</v>
      </c>
    </row>
    <row r="1100" spans="20:57" x14ac:dyDescent="0.25">
      <c r="T1100" s="3">
        <v>1</v>
      </c>
      <c r="U1100" s="3" t="s">
        <v>106</v>
      </c>
      <c r="AF1100" s="3">
        <v>1</v>
      </c>
      <c r="AG1100" s="3" t="s">
        <v>106</v>
      </c>
      <c r="AR1100" s="3">
        <v>1</v>
      </c>
      <c r="AS1100" s="3" t="s">
        <v>106</v>
      </c>
      <c r="BD1100" s="3">
        <v>1</v>
      </c>
      <c r="BE1100" s="3" t="s">
        <v>106</v>
      </c>
    </row>
    <row r="1101" spans="20:57" x14ac:dyDescent="0.25">
      <c r="T1101" s="3">
        <v>2</v>
      </c>
      <c r="U1101" s="3" t="s">
        <v>107</v>
      </c>
      <c r="AF1101" s="3">
        <v>2</v>
      </c>
      <c r="AG1101" s="3" t="s">
        <v>107</v>
      </c>
      <c r="AR1101" s="3">
        <v>2</v>
      </c>
      <c r="AS1101" s="3" t="s">
        <v>107</v>
      </c>
      <c r="BD1101" s="3">
        <v>2</v>
      </c>
      <c r="BE1101" s="3" t="s">
        <v>107</v>
      </c>
    </row>
    <row r="1102" spans="20:57" x14ac:dyDescent="0.25">
      <c r="T1102" s="3">
        <v>3</v>
      </c>
      <c r="U1102" s="3" t="s">
        <v>108</v>
      </c>
      <c r="AF1102" s="3">
        <v>3</v>
      </c>
      <c r="AG1102" s="3" t="s">
        <v>108</v>
      </c>
      <c r="AR1102" s="3">
        <v>3</v>
      </c>
      <c r="AS1102" s="3" t="s">
        <v>108</v>
      </c>
      <c r="BD1102" s="3">
        <v>3</v>
      </c>
      <c r="BE1102" s="3" t="s">
        <v>108</v>
      </c>
    </row>
    <row r="1103" spans="20:57" x14ac:dyDescent="0.25">
      <c r="T1103" s="3">
        <v>4</v>
      </c>
      <c r="U1103" s="3" t="s">
        <v>109</v>
      </c>
      <c r="AF1103" s="3">
        <v>4</v>
      </c>
      <c r="AG1103" s="3" t="s">
        <v>109</v>
      </c>
      <c r="AR1103" s="3">
        <v>4</v>
      </c>
      <c r="AS1103" s="3" t="s">
        <v>109</v>
      </c>
      <c r="BD1103" s="3">
        <v>4</v>
      </c>
      <c r="BE1103" s="3" t="s">
        <v>109</v>
      </c>
    </row>
    <row r="1104" spans="20:57" x14ac:dyDescent="0.25">
      <c r="T1104" s="3">
        <v>5</v>
      </c>
      <c r="U1104" s="3" t="s">
        <v>110</v>
      </c>
      <c r="AF1104" s="3">
        <v>5</v>
      </c>
      <c r="AG1104" s="3" t="s">
        <v>110</v>
      </c>
      <c r="AR1104" s="3">
        <v>5</v>
      </c>
      <c r="AS1104" s="3" t="s">
        <v>110</v>
      </c>
      <c r="BD1104" s="3">
        <v>5</v>
      </c>
      <c r="BE1104" s="3" t="s">
        <v>110</v>
      </c>
    </row>
    <row r="1105" spans="20:57" x14ac:dyDescent="0.25">
      <c r="T1105" s="3">
        <v>6</v>
      </c>
      <c r="U1105" s="3" t="s">
        <v>111</v>
      </c>
      <c r="AF1105" s="3">
        <v>6</v>
      </c>
      <c r="AG1105" s="3" t="s">
        <v>111</v>
      </c>
      <c r="AR1105" s="3">
        <v>6</v>
      </c>
      <c r="AS1105" s="3" t="s">
        <v>111</v>
      </c>
      <c r="BD1105" s="3">
        <v>6</v>
      </c>
      <c r="BE1105" s="3" t="s">
        <v>111</v>
      </c>
    </row>
    <row r="1106" spans="20:57" x14ac:dyDescent="0.25">
      <c r="T1106" s="3">
        <v>7</v>
      </c>
      <c r="U1106" s="3" t="s">
        <v>112</v>
      </c>
      <c r="AF1106" s="3">
        <v>7</v>
      </c>
      <c r="AG1106" s="3" t="s">
        <v>112</v>
      </c>
      <c r="AR1106" s="3">
        <v>7</v>
      </c>
      <c r="AS1106" s="3" t="s">
        <v>112</v>
      </c>
      <c r="BD1106" s="3">
        <v>7</v>
      </c>
      <c r="BE1106" s="3" t="s">
        <v>112</v>
      </c>
    </row>
    <row r="1107" spans="20:57" x14ac:dyDescent="0.25">
      <c r="T1107" s="3">
        <v>8</v>
      </c>
      <c r="U1107" s="3" t="s">
        <v>113</v>
      </c>
      <c r="AF1107" s="3">
        <v>8</v>
      </c>
      <c r="AG1107" s="3" t="s">
        <v>113</v>
      </c>
      <c r="AR1107" s="3">
        <v>8</v>
      </c>
      <c r="AS1107" s="3" t="s">
        <v>113</v>
      </c>
      <c r="BD1107" s="3">
        <v>8</v>
      </c>
      <c r="BE1107" s="3" t="s">
        <v>113</v>
      </c>
    </row>
    <row r="1108" spans="20:57" x14ac:dyDescent="0.25">
      <c r="T1108" s="3">
        <v>9</v>
      </c>
      <c r="U1108" s="3" t="s">
        <v>114</v>
      </c>
      <c r="AF1108" s="3">
        <v>9</v>
      </c>
      <c r="AG1108" s="3" t="s">
        <v>114</v>
      </c>
      <c r="AR1108" s="3">
        <v>9</v>
      </c>
      <c r="AS1108" s="3" t="s">
        <v>114</v>
      </c>
      <c r="BD1108" s="3">
        <v>9</v>
      </c>
      <c r="BE1108" s="3" t="s">
        <v>114</v>
      </c>
    </row>
    <row r="1109" spans="20:57" x14ac:dyDescent="0.25">
      <c r="T1109" s="3">
        <v>10</v>
      </c>
      <c r="U1109" s="3" t="s">
        <v>115</v>
      </c>
      <c r="AF1109" s="3">
        <v>10</v>
      </c>
      <c r="AG1109" s="3" t="s">
        <v>115</v>
      </c>
      <c r="AR1109" s="3">
        <v>10</v>
      </c>
      <c r="AS1109" s="3" t="s">
        <v>115</v>
      </c>
      <c r="BD1109" s="3">
        <v>10</v>
      </c>
      <c r="BE1109" s="3" t="s">
        <v>115</v>
      </c>
    </row>
    <row r="1110" spans="20:57" x14ac:dyDescent="0.25">
      <c r="BD1110" s="3">
        <v>1</v>
      </c>
      <c r="BE1110" s="3" t="s">
        <v>116</v>
      </c>
    </row>
    <row r="1111" spans="20:57" x14ac:dyDescent="0.25">
      <c r="BD1111" s="3">
        <v>2</v>
      </c>
      <c r="BE1111" s="3" t="s">
        <v>117</v>
      </c>
    </row>
    <row r="1112" spans="20:57" x14ac:dyDescent="0.25">
      <c r="BD1112" s="3">
        <v>3</v>
      </c>
      <c r="BE1112" s="3" t="s">
        <v>118</v>
      </c>
    </row>
    <row r="1113" spans="20:57" x14ac:dyDescent="0.25">
      <c r="BD1113" s="3">
        <v>4</v>
      </c>
      <c r="BE1113" s="3" t="s">
        <v>119</v>
      </c>
    </row>
    <row r="1114" spans="20:57" x14ac:dyDescent="0.25">
      <c r="BD1114" s="3">
        <v>5</v>
      </c>
      <c r="BE1114" s="3" t="s">
        <v>120</v>
      </c>
    </row>
    <row r="1115" spans="20:57" x14ac:dyDescent="0.25">
      <c r="BD1115" s="3">
        <v>6</v>
      </c>
      <c r="BE1115" s="3" t="s">
        <v>121</v>
      </c>
    </row>
    <row r="1116" spans="20:57" x14ac:dyDescent="0.25">
      <c r="BD1116" s="3">
        <v>7</v>
      </c>
      <c r="BE1116" s="3" t="s">
        <v>122</v>
      </c>
    </row>
    <row r="1120" spans="20:57" x14ac:dyDescent="0.25">
      <c r="BD1120" s="3">
        <v>1</v>
      </c>
      <c r="BE1120" s="3" t="str">
        <f>(AX902)</f>
        <v>Docentess</v>
      </c>
    </row>
    <row r="1121" spans="56:57" x14ac:dyDescent="0.25">
      <c r="BD1121" s="3">
        <v>2</v>
      </c>
      <c r="BE1121" s="3" t="s">
        <v>123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AY17:AY18"/>
    <mergeCell ref="AZ17:BA17"/>
    <mergeCell ref="BB17:BB18"/>
    <mergeCell ref="BC17:BC18"/>
    <mergeCell ref="AW47:BB53"/>
    <mergeCell ref="AM17:AM18"/>
    <mergeCell ref="AN17:AO17"/>
    <mergeCell ref="AP17:AP18"/>
    <mergeCell ref="AQ17:AQ18"/>
    <mergeCell ref="AK47:AP53"/>
    <mergeCell ref="AA17:AA18"/>
    <mergeCell ref="AB17:AC17"/>
    <mergeCell ref="AD17:AD18"/>
    <mergeCell ref="AE17:AE18"/>
    <mergeCell ref="Y47:AD53"/>
    <mergeCell ref="O17:O18"/>
    <mergeCell ref="P17:Q17"/>
    <mergeCell ref="R17:R18"/>
    <mergeCell ref="S17:S18"/>
    <mergeCell ref="M47:R53"/>
    <mergeCell ref="A1:I1"/>
    <mergeCell ref="A2:A3"/>
    <mergeCell ref="B2:C2"/>
    <mergeCell ref="B3"/>
    <mergeCell ref="C3"/>
    <mergeCell ref="D2:E2"/>
    <mergeCell ref="D3"/>
    <mergeCell ref="E3"/>
    <mergeCell ref="F2:G2"/>
    <mergeCell ref="F3"/>
    <mergeCell ref="G3"/>
    <mergeCell ref="H2:I2"/>
    <mergeCell ref="H3"/>
    <mergeCell ref="I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C1062"/>
  <sheetViews>
    <sheetView workbookViewId="0">
      <selection activeCell="CY35" sqref="CY35:DA43"/>
    </sheetView>
  </sheetViews>
  <sheetFormatPr baseColWidth="10" defaultColWidth="9.140625" defaultRowHeight="15" x14ac:dyDescent="0.25"/>
  <cols>
    <col min="4" max="6" width="26" customWidth="1"/>
    <col min="13" max="15" width="26" customWidth="1"/>
    <col min="22" max="24" width="26" customWidth="1"/>
    <col min="31" max="33" width="26" customWidth="1"/>
    <col min="40" max="42" width="26" customWidth="1"/>
    <col min="49" max="51" width="26" customWidth="1"/>
    <col min="58" max="60" width="26" customWidth="1"/>
    <col min="67" max="69" width="26" customWidth="1"/>
    <col min="76" max="78" width="26" customWidth="1"/>
    <col min="85" max="87" width="26" customWidth="1"/>
    <col min="94" max="96" width="26" customWidth="1"/>
    <col min="103" max="105" width="26" customWidth="1"/>
  </cols>
  <sheetData>
    <row r="3" spans="2:107" x14ac:dyDescent="0.25">
      <c r="B3" s="4"/>
      <c r="C3" s="4"/>
      <c r="D3" s="4"/>
      <c r="E3" s="4"/>
      <c r="F3" s="4"/>
      <c r="G3" s="4"/>
      <c r="H3" s="4"/>
      <c r="K3" s="4"/>
      <c r="L3" s="4"/>
      <c r="M3" s="4"/>
      <c r="N3" s="4"/>
      <c r="O3" s="4"/>
      <c r="P3" s="4"/>
      <c r="Q3" s="4"/>
      <c r="T3" s="4"/>
      <c r="U3" s="4"/>
      <c r="V3" s="4"/>
      <c r="W3" s="4"/>
      <c r="X3" s="4"/>
      <c r="Y3" s="4"/>
      <c r="Z3" s="4"/>
      <c r="AC3" s="4"/>
      <c r="AD3" s="4"/>
      <c r="AE3" s="4"/>
      <c r="AF3" s="4"/>
      <c r="AG3" s="4"/>
      <c r="AH3" s="4"/>
      <c r="AI3" s="4"/>
      <c r="AL3" s="4"/>
      <c r="AM3" s="4"/>
      <c r="AN3" s="4"/>
      <c r="AO3" s="4"/>
      <c r="AP3" s="4"/>
      <c r="AQ3" s="4"/>
      <c r="AR3" s="4"/>
      <c r="AU3" s="4"/>
      <c r="AV3" s="4"/>
      <c r="AW3" s="4"/>
      <c r="AX3" s="4"/>
      <c r="AY3" s="4"/>
      <c r="AZ3" s="4"/>
      <c r="BA3" s="4"/>
      <c r="BD3" s="4"/>
      <c r="BE3" s="4"/>
      <c r="BF3" s="4"/>
      <c r="BG3" s="4"/>
      <c r="BH3" s="4"/>
      <c r="BI3" s="4"/>
      <c r="BJ3" s="4"/>
      <c r="BM3" s="4"/>
      <c r="BN3" s="4"/>
      <c r="BO3" s="4"/>
      <c r="BP3" s="4"/>
      <c r="BQ3" s="4"/>
      <c r="BR3" s="4"/>
      <c r="BS3" s="4"/>
      <c r="BV3" s="4"/>
      <c r="BW3" s="4"/>
      <c r="BX3" s="4"/>
      <c r="BY3" s="4"/>
      <c r="BZ3" s="4"/>
      <c r="CA3" s="4"/>
      <c r="CB3" s="4"/>
      <c r="CE3" s="4"/>
      <c r="CF3" s="4"/>
      <c r="CG3" s="4"/>
      <c r="CH3" s="4"/>
      <c r="CI3" s="4"/>
      <c r="CJ3" s="4"/>
      <c r="CK3" s="4"/>
      <c r="CN3" s="4"/>
      <c r="CO3" s="4"/>
      <c r="CP3" s="4"/>
      <c r="CQ3" s="4"/>
      <c r="CR3" s="4"/>
      <c r="CS3" s="4"/>
      <c r="CT3" s="4"/>
      <c r="CW3" s="4"/>
      <c r="CX3" s="4"/>
      <c r="CY3" s="4"/>
      <c r="CZ3" s="4"/>
      <c r="DA3" s="4"/>
      <c r="DB3" s="4"/>
      <c r="DC3" s="4"/>
    </row>
    <row r="4" spans="2:107" ht="15.75" x14ac:dyDescent="0.25">
      <c r="B4" s="4"/>
      <c r="D4" s="54" t="s">
        <v>124</v>
      </c>
      <c r="E4" s="55"/>
      <c r="F4" s="55"/>
      <c r="H4" s="4"/>
      <c r="K4" s="4"/>
      <c r="M4" s="54" t="s">
        <v>125</v>
      </c>
      <c r="N4" s="55"/>
      <c r="O4" s="55"/>
      <c r="Q4" s="4"/>
      <c r="T4" s="4"/>
      <c r="V4" s="54" t="s">
        <v>126</v>
      </c>
      <c r="W4" s="55"/>
      <c r="X4" s="55"/>
      <c r="Z4" s="4"/>
      <c r="AC4" s="4"/>
      <c r="AE4" s="54" t="s">
        <v>127</v>
      </c>
      <c r="AF4" s="55"/>
      <c r="AG4" s="55"/>
      <c r="AI4" s="4"/>
      <c r="AL4" s="4"/>
      <c r="AN4" s="54" t="s">
        <v>128</v>
      </c>
      <c r="AO4" s="55"/>
      <c r="AP4" s="55"/>
      <c r="AR4" s="4"/>
      <c r="AU4" s="4"/>
      <c r="AW4" s="54" t="s">
        <v>129</v>
      </c>
      <c r="AX4" s="55"/>
      <c r="AY4" s="55"/>
      <c r="BA4" s="4"/>
      <c r="BD4" s="4"/>
      <c r="BF4" s="54" t="s">
        <v>130</v>
      </c>
      <c r="BG4" s="55"/>
      <c r="BH4" s="55"/>
      <c r="BJ4" s="4"/>
      <c r="BM4" s="4"/>
      <c r="BO4" s="54" t="s">
        <v>131</v>
      </c>
      <c r="BP4" s="55"/>
      <c r="BQ4" s="55"/>
      <c r="BS4" s="4"/>
      <c r="BV4" s="4"/>
      <c r="BX4" s="54" t="s">
        <v>132</v>
      </c>
      <c r="BY4" s="55"/>
      <c r="BZ4" s="55"/>
      <c r="CB4" s="4"/>
      <c r="CE4" s="4"/>
      <c r="CG4" s="54" t="s">
        <v>133</v>
      </c>
      <c r="CH4" s="55"/>
      <c r="CI4" s="55"/>
      <c r="CK4" s="4"/>
      <c r="CN4" s="4"/>
      <c r="CP4" s="54" t="s">
        <v>134</v>
      </c>
      <c r="CQ4" s="55"/>
      <c r="CR4" s="55"/>
      <c r="CT4" s="4"/>
      <c r="CW4" s="4"/>
      <c r="CY4" s="54" t="s">
        <v>135</v>
      </c>
      <c r="CZ4" s="55"/>
      <c r="DA4" s="55"/>
      <c r="DC4" s="4"/>
    </row>
    <row r="5" spans="2:107" x14ac:dyDescent="0.25">
      <c r="B5" s="4"/>
      <c r="D5" s="3" t="s">
        <v>68</v>
      </c>
      <c r="H5" s="4"/>
      <c r="K5" s="4"/>
      <c r="M5" s="3" t="s">
        <v>69</v>
      </c>
      <c r="Q5" s="4"/>
      <c r="T5" s="4"/>
      <c r="V5" s="3" t="s">
        <v>70</v>
      </c>
      <c r="Z5" s="4"/>
      <c r="AC5" s="4"/>
      <c r="AE5" s="3" t="s">
        <v>71</v>
      </c>
      <c r="AI5" s="4"/>
      <c r="AL5" s="4"/>
      <c r="AN5" s="3" t="s">
        <v>136</v>
      </c>
      <c r="AR5" s="4"/>
      <c r="AU5" s="4"/>
      <c r="AW5" s="3" t="s">
        <v>137</v>
      </c>
      <c r="BA5" s="4"/>
      <c r="BD5" s="4"/>
      <c r="BF5" s="3" t="s">
        <v>138</v>
      </c>
      <c r="BJ5" s="4"/>
      <c r="BM5" s="4"/>
      <c r="BO5" s="3" t="s">
        <v>139</v>
      </c>
      <c r="BS5" s="4"/>
      <c r="BV5" s="4"/>
      <c r="BX5" s="3" t="s">
        <v>140</v>
      </c>
      <c r="CB5" s="4"/>
      <c r="CE5" s="4"/>
      <c r="CG5" s="3" t="s">
        <v>141</v>
      </c>
      <c r="CK5" s="4"/>
      <c r="CN5" s="4"/>
      <c r="CP5" s="3" t="s">
        <v>142</v>
      </c>
      <c r="CT5" s="4"/>
      <c r="CW5" s="4"/>
      <c r="CY5" s="3" t="s">
        <v>143</v>
      </c>
      <c r="DC5" s="4"/>
    </row>
    <row r="6" spans="2:107" x14ac:dyDescent="0.25">
      <c r="B6" s="4"/>
      <c r="D6" s="3"/>
      <c r="H6" s="4"/>
      <c r="K6" s="4"/>
      <c r="M6" s="3"/>
      <c r="Q6" s="4"/>
      <c r="T6" s="4"/>
      <c r="V6" s="3"/>
      <c r="Z6" s="4"/>
      <c r="AC6" s="4"/>
      <c r="AE6" s="3"/>
      <c r="AI6" s="4"/>
      <c r="AL6" s="4"/>
      <c r="AN6" s="3"/>
      <c r="AR6" s="4"/>
      <c r="AU6" s="4"/>
      <c r="AW6" s="3"/>
      <c r="BA6" s="4"/>
      <c r="BD6" s="4"/>
      <c r="BF6" s="3"/>
      <c r="BJ6" s="4"/>
      <c r="BM6" s="4"/>
      <c r="BO6" s="3"/>
      <c r="BS6" s="4"/>
      <c r="BV6" s="4"/>
      <c r="BX6" s="3"/>
      <c r="CB6" s="4"/>
      <c r="CE6" s="4"/>
      <c r="CG6" s="3"/>
      <c r="CK6" s="4"/>
      <c r="CN6" s="4"/>
      <c r="CP6" s="3"/>
      <c r="CT6" s="4"/>
      <c r="CW6" s="4"/>
      <c r="CY6" s="3"/>
      <c r="DC6" s="4"/>
    </row>
    <row r="7" spans="2:107" x14ac:dyDescent="0.25">
      <c r="B7" s="4"/>
      <c r="D7" s="6"/>
      <c r="E7" s="10" t="s">
        <v>73</v>
      </c>
      <c r="F7" s="10" t="s">
        <v>74</v>
      </c>
      <c r="H7" s="4"/>
      <c r="K7" s="4"/>
      <c r="M7" s="6"/>
      <c r="N7" s="10" t="s">
        <v>73</v>
      </c>
      <c r="O7" s="10" t="s">
        <v>74</v>
      </c>
      <c r="Q7" s="4"/>
      <c r="T7" s="4"/>
      <c r="V7" s="6"/>
      <c r="W7" s="10" t="s">
        <v>73</v>
      </c>
      <c r="X7" s="10" t="s">
        <v>74</v>
      </c>
      <c r="Z7" s="4"/>
      <c r="AC7" s="4"/>
      <c r="AE7" s="6"/>
      <c r="AF7" s="10" t="s">
        <v>73</v>
      </c>
      <c r="AG7" s="10" t="s">
        <v>74</v>
      </c>
      <c r="AI7" s="4"/>
      <c r="AL7" s="4"/>
      <c r="AN7" s="6"/>
      <c r="AO7" s="10" t="s">
        <v>73</v>
      </c>
      <c r="AP7" s="10" t="s">
        <v>74</v>
      </c>
      <c r="AR7" s="4"/>
      <c r="AU7" s="4"/>
      <c r="AW7" s="6"/>
      <c r="AX7" s="10" t="s">
        <v>73</v>
      </c>
      <c r="AY7" s="10" t="s">
        <v>74</v>
      </c>
      <c r="BA7" s="4"/>
      <c r="BD7" s="4"/>
      <c r="BF7" s="6"/>
      <c r="BG7" s="10" t="s">
        <v>73</v>
      </c>
      <c r="BH7" s="10" t="s">
        <v>74</v>
      </c>
      <c r="BJ7" s="4"/>
      <c r="BM7" s="4"/>
      <c r="BO7" s="6"/>
      <c r="BP7" s="10" t="s">
        <v>73</v>
      </c>
      <c r="BQ7" s="10" t="s">
        <v>74</v>
      </c>
      <c r="BS7" s="4"/>
      <c r="BV7" s="4"/>
      <c r="BX7" s="6"/>
      <c r="BY7" s="10" t="s">
        <v>73</v>
      </c>
      <c r="BZ7" s="10" t="s">
        <v>74</v>
      </c>
      <c r="CB7" s="4"/>
      <c r="CE7" s="4"/>
      <c r="CG7" s="6"/>
      <c r="CH7" s="10" t="s">
        <v>73</v>
      </c>
      <c r="CI7" s="10" t="s">
        <v>74</v>
      </c>
      <c r="CK7" s="4"/>
      <c r="CN7" s="4"/>
      <c r="CP7" s="6"/>
      <c r="CQ7" s="10" t="s">
        <v>73</v>
      </c>
      <c r="CR7" s="10" t="s">
        <v>74</v>
      </c>
      <c r="CT7" s="4"/>
      <c r="CW7" s="4"/>
      <c r="CY7" s="6"/>
      <c r="CZ7" s="10" t="s">
        <v>73</v>
      </c>
      <c r="DA7" s="10" t="s">
        <v>74</v>
      </c>
      <c r="DC7" s="4"/>
    </row>
    <row r="8" spans="2:107" x14ac:dyDescent="0.25">
      <c r="B8" s="4"/>
      <c r="D8" s="17" t="str">
        <f>('Desarrollo de competencias'!A31)</f>
        <v>Nunca</v>
      </c>
      <c r="E8" s="9">
        <f>('Desarrollo de competencias'!B31)</f>
        <v>9</v>
      </c>
      <c r="F8" s="13">
        <f>('Desarrollo de competencias'!B37)</f>
        <v>0.45</v>
      </c>
      <c r="H8" s="4"/>
      <c r="K8" s="4"/>
      <c r="M8" s="17" t="str">
        <f>('Desarrollo de competencias'!A31)</f>
        <v>Nunca</v>
      </c>
      <c r="N8" s="9">
        <f>('Desarrollo de competencias'!C31)</f>
        <v>8</v>
      </c>
      <c r="O8" s="13">
        <f>('Desarrollo de competencias'!C37)</f>
        <v>0.4</v>
      </c>
      <c r="Q8" s="4"/>
      <c r="T8" s="4"/>
      <c r="V8" s="17" t="str">
        <f>('Desarrollo de competencias'!A31)</f>
        <v>Nunca</v>
      </c>
      <c r="W8" s="9">
        <f>('Desarrollo de competencias'!D31)</f>
        <v>9</v>
      </c>
      <c r="X8" s="13">
        <f>('Desarrollo de competencias'!D37)</f>
        <v>0.45</v>
      </c>
      <c r="Z8" s="4"/>
      <c r="AC8" s="4"/>
      <c r="AE8" s="17" t="str">
        <f>('Desarrollo de competencias'!A31)</f>
        <v>Nunca</v>
      </c>
      <c r="AF8" s="9">
        <f>('Desarrollo de competencias'!E31)</f>
        <v>10</v>
      </c>
      <c r="AG8" s="13">
        <f>('Desarrollo de competencias'!E37)</f>
        <v>0.5</v>
      </c>
      <c r="AI8" s="4"/>
      <c r="AL8" s="4"/>
      <c r="AN8" s="17" t="str">
        <f>('Desarrollo de competencias'!A31)</f>
        <v>Nunca</v>
      </c>
      <c r="AO8" s="9">
        <f>('Desarrollo de competencias'!F31)</f>
        <v>9</v>
      </c>
      <c r="AP8" s="13">
        <f>('Desarrollo de competencias'!F37)</f>
        <v>0.45</v>
      </c>
      <c r="AR8" s="4"/>
      <c r="AU8" s="4"/>
      <c r="AW8" s="17" t="str">
        <f>('Desarrollo de competencias'!A31)</f>
        <v>Nunca</v>
      </c>
      <c r="AX8" s="9">
        <f>('Desarrollo de competencias'!G31)</f>
        <v>10</v>
      </c>
      <c r="AY8" s="13">
        <f>('Desarrollo de competencias'!G37)</f>
        <v>0.5</v>
      </c>
      <c r="BA8" s="4"/>
      <c r="BD8" s="4"/>
      <c r="BF8" s="17" t="str">
        <f>('Desarrollo de competencias'!A31)</f>
        <v>Nunca</v>
      </c>
      <c r="BG8" s="9">
        <f>('Desarrollo de competencias'!H31)</f>
        <v>6</v>
      </c>
      <c r="BH8" s="13">
        <f>('Desarrollo de competencias'!H37)</f>
        <v>0.3</v>
      </c>
      <c r="BJ8" s="4"/>
      <c r="BM8" s="4"/>
      <c r="BO8" s="17" t="str">
        <f>('Desarrollo de competencias'!A31)</f>
        <v>Nunca</v>
      </c>
      <c r="BP8" s="9">
        <f>('Desarrollo de competencias'!I31)</f>
        <v>8</v>
      </c>
      <c r="BQ8" s="13">
        <f>('Desarrollo de competencias'!I37)</f>
        <v>0.4</v>
      </c>
      <c r="BS8" s="4"/>
      <c r="BV8" s="4"/>
      <c r="BX8" s="17" t="str">
        <f>('Desarrollo de competencias'!A31)</f>
        <v>Nunca</v>
      </c>
      <c r="BY8" s="9">
        <f>('Desarrollo de competencias'!J31)</f>
        <v>10</v>
      </c>
      <c r="BZ8" s="13">
        <f>('Desarrollo de competencias'!J37)</f>
        <v>0.5</v>
      </c>
      <c r="CB8" s="4"/>
      <c r="CE8" s="4"/>
      <c r="CG8" s="17" t="str">
        <f>('Desarrollo de competencias'!A31)</f>
        <v>Nunca</v>
      </c>
      <c r="CH8" s="9">
        <f>('Desarrollo de competencias'!K31)</f>
        <v>7</v>
      </c>
      <c r="CI8" s="13">
        <f>('Desarrollo de competencias'!K37)</f>
        <v>0.35</v>
      </c>
      <c r="CK8" s="4"/>
      <c r="CN8" s="4"/>
      <c r="CP8" s="17" t="str">
        <f>('Desarrollo de competencias'!A31)</f>
        <v>Nunca</v>
      </c>
      <c r="CQ8" s="9">
        <f>('Desarrollo de competencias'!L31)</f>
        <v>7</v>
      </c>
      <c r="CR8" s="13">
        <f>('Desarrollo de competencias'!L37)</f>
        <v>0.35</v>
      </c>
      <c r="CT8" s="4"/>
      <c r="CW8" s="4"/>
      <c r="CY8" s="17" t="str">
        <f>('Desarrollo de competencias'!A31)</f>
        <v>Nunca</v>
      </c>
      <c r="CZ8" s="9">
        <f>('Desarrollo de competencias'!M31)</f>
        <v>10</v>
      </c>
      <c r="DA8" s="13">
        <f>('Desarrollo de competencias'!M37)</f>
        <v>0.5</v>
      </c>
      <c r="DC8" s="4"/>
    </row>
    <row r="9" spans="2:107" x14ac:dyDescent="0.25">
      <c r="B9" s="4"/>
      <c r="D9" s="17" t="str">
        <f>('Desarrollo de competencias'!A32)</f>
        <v>Casi Nunca</v>
      </c>
      <c r="E9" s="9">
        <f>('Desarrollo de competencias'!B32)</f>
        <v>8</v>
      </c>
      <c r="F9" s="13">
        <f>('Desarrollo de competencias'!B38)</f>
        <v>0.4</v>
      </c>
      <c r="H9" s="4"/>
      <c r="K9" s="4"/>
      <c r="M9" s="17" t="str">
        <f>('Desarrollo de competencias'!A32)</f>
        <v>Casi Nunca</v>
      </c>
      <c r="N9" s="9">
        <f>('Desarrollo de competencias'!C32)</f>
        <v>9</v>
      </c>
      <c r="O9" s="13">
        <f>('Desarrollo de competencias'!C38)</f>
        <v>0.45</v>
      </c>
      <c r="Q9" s="4"/>
      <c r="T9" s="4"/>
      <c r="V9" s="17" t="str">
        <f>('Desarrollo de competencias'!A32)</f>
        <v>Casi Nunca</v>
      </c>
      <c r="W9" s="9">
        <f>('Desarrollo de competencias'!D32)</f>
        <v>7</v>
      </c>
      <c r="X9" s="13">
        <f>('Desarrollo de competencias'!D38)</f>
        <v>0.35</v>
      </c>
      <c r="Z9" s="4"/>
      <c r="AC9" s="4"/>
      <c r="AE9" s="17" t="str">
        <f>('Desarrollo de competencias'!A32)</f>
        <v>Casi Nunca</v>
      </c>
      <c r="AF9" s="9">
        <f>('Desarrollo de competencias'!E32)</f>
        <v>6</v>
      </c>
      <c r="AG9" s="13">
        <f>('Desarrollo de competencias'!E38)</f>
        <v>0.3</v>
      </c>
      <c r="AI9" s="4"/>
      <c r="AL9" s="4"/>
      <c r="AN9" s="17" t="str">
        <f>('Desarrollo de competencias'!A32)</f>
        <v>Casi Nunca</v>
      </c>
      <c r="AO9" s="9">
        <f>('Desarrollo de competencias'!F32)</f>
        <v>7</v>
      </c>
      <c r="AP9" s="13">
        <f>('Desarrollo de competencias'!F38)</f>
        <v>0.35</v>
      </c>
      <c r="AR9" s="4"/>
      <c r="AU9" s="4"/>
      <c r="AW9" s="17" t="str">
        <f>('Desarrollo de competencias'!A32)</f>
        <v>Casi Nunca</v>
      </c>
      <c r="AX9" s="9">
        <f>('Desarrollo de competencias'!G32)</f>
        <v>6</v>
      </c>
      <c r="AY9" s="13">
        <f>('Desarrollo de competencias'!G38)</f>
        <v>0.3</v>
      </c>
      <c r="BA9" s="4"/>
      <c r="BD9" s="4"/>
      <c r="BF9" s="17" t="str">
        <f>('Desarrollo de competencias'!A32)</f>
        <v>Casi Nunca</v>
      </c>
      <c r="BG9" s="9">
        <f>('Desarrollo de competencias'!H32)</f>
        <v>11</v>
      </c>
      <c r="BH9" s="13">
        <f>('Desarrollo de competencias'!H38)</f>
        <v>0.55000000000000004</v>
      </c>
      <c r="BJ9" s="4"/>
      <c r="BM9" s="4"/>
      <c r="BO9" s="17" t="str">
        <f>('Desarrollo de competencias'!A32)</f>
        <v>Casi Nunca</v>
      </c>
      <c r="BP9" s="9">
        <f>('Desarrollo de competencias'!I32)</f>
        <v>8</v>
      </c>
      <c r="BQ9" s="13">
        <f>('Desarrollo de competencias'!I38)</f>
        <v>0.4</v>
      </c>
      <c r="BS9" s="4"/>
      <c r="BV9" s="4"/>
      <c r="BX9" s="17" t="str">
        <f>('Desarrollo de competencias'!A32)</f>
        <v>Casi Nunca</v>
      </c>
      <c r="BY9" s="9">
        <f>('Desarrollo de competencias'!J32)</f>
        <v>6</v>
      </c>
      <c r="BZ9" s="13">
        <f>('Desarrollo de competencias'!J38)</f>
        <v>0.3</v>
      </c>
      <c r="CB9" s="4"/>
      <c r="CE9" s="4"/>
      <c r="CG9" s="17" t="str">
        <f>('Desarrollo de competencias'!A32)</f>
        <v>Casi Nunca</v>
      </c>
      <c r="CH9" s="9">
        <f>('Desarrollo de competencias'!K32)</f>
        <v>9</v>
      </c>
      <c r="CI9" s="13">
        <f>('Desarrollo de competencias'!K38)</f>
        <v>0.45</v>
      </c>
      <c r="CK9" s="4"/>
      <c r="CN9" s="4"/>
      <c r="CP9" s="17" t="str">
        <f>('Desarrollo de competencias'!A32)</f>
        <v>Casi Nunca</v>
      </c>
      <c r="CQ9" s="9">
        <f>('Desarrollo de competencias'!L32)</f>
        <v>9</v>
      </c>
      <c r="CR9" s="13">
        <f>('Desarrollo de competencias'!L38)</f>
        <v>0.45</v>
      </c>
      <c r="CT9" s="4"/>
      <c r="CW9" s="4"/>
      <c r="CY9" s="17" t="str">
        <f>('Desarrollo de competencias'!A32)</f>
        <v>Casi Nunca</v>
      </c>
      <c r="CZ9" s="9">
        <f>('Desarrollo de competencias'!M32)</f>
        <v>7</v>
      </c>
      <c r="DA9" s="13">
        <f>('Desarrollo de competencias'!M38)</f>
        <v>0.35</v>
      </c>
      <c r="DC9" s="4"/>
    </row>
    <row r="10" spans="2:107" x14ac:dyDescent="0.25">
      <c r="B10" s="4"/>
      <c r="D10" s="17" t="str">
        <f>('Desarrollo de competencias'!A33)</f>
        <v>A veces</v>
      </c>
      <c r="E10" s="9">
        <f>('Desarrollo de competencias'!B33)</f>
        <v>1</v>
      </c>
      <c r="F10" s="13">
        <f>('Desarrollo de competencias'!B39)</f>
        <v>0.05</v>
      </c>
      <c r="H10" s="4"/>
      <c r="K10" s="4"/>
      <c r="M10" s="17" t="str">
        <f>('Desarrollo de competencias'!A33)</f>
        <v>A veces</v>
      </c>
      <c r="N10" s="9">
        <f>('Desarrollo de competencias'!C33)</f>
        <v>1</v>
      </c>
      <c r="O10" s="13">
        <f>('Desarrollo de competencias'!C39)</f>
        <v>0.05</v>
      </c>
      <c r="Q10" s="4"/>
      <c r="T10" s="4"/>
      <c r="V10" s="17" t="str">
        <f>('Desarrollo de competencias'!A33)</f>
        <v>A veces</v>
      </c>
      <c r="W10" s="9">
        <f>('Desarrollo de competencias'!D33)</f>
        <v>1</v>
      </c>
      <c r="X10" s="13">
        <f>('Desarrollo de competencias'!D39)</f>
        <v>0.05</v>
      </c>
      <c r="Z10" s="4"/>
      <c r="AC10" s="4"/>
      <c r="AE10" s="17" t="str">
        <f>('Desarrollo de competencias'!A33)</f>
        <v>A veces</v>
      </c>
      <c r="AF10" s="9">
        <f>('Desarrollo de competencias'!E33)</f>
        <v>2</v>
      </c>
      <c r="AG10" s="13">
        <f>('Desarrollo de competencias'!E39)</f>
        <v>0.1</v>
      </c>
      <c r="AI10" s="4"/>
      <c r="AL10" s="4"/>
      <c r="AN10" s="17" t="str">
        <f>('Desarrollo de competencias'!A33)</f>
        <v>A veces</v>
      </c>
      <c r="AO10" s="9">
        <f>('Desarrollo de competencias'!F33)</f>
        <v>1</v>
      </c>
      <c r="AP10" s="13">
        <f>('Desarrollo de competencias'!F39)</f>
        <v>0.05</v>
      </c>
      <c r="AR10" s="4"/>
      <c r="AU10" s="4"/>
      <c r="AW10" s="17" t="str">
        <f>('Desarrollo de competencias'!A33)</f>
        <v>A veces</v>
      </c>
      <c r="AX10" s="9">
        <f>('Desarrollo de competencias'!G33)</f>
        <v>2</v>
      </c>
      <c r="AY10" s="13">
        <f>('Desarrollo de competencias'!G39)</f>
        <v>0.1</v>
      </c>
      <c r="BA10" s="4"/>
      <c r="BD10" s="4"/>
      <c r="BF10" s="17" t="str">
        <f>('Desarrollo de competencias'!A33)</f>
        <v>A veces</v>
      </c>
      <c r="BG10" s="9">
        <f>('Desarrollo de competencias'!H33)</f>
        <v>1</v>
      </c>
      <c r="BH10" s="13">
        <f>('Desarrollo de competencias'!H39)</f>
        <v>0.05</v>
      </c>
      <c r="BJ10" s="4"/>
      <c r="BM10" s="4"/>
      <c r="BO10" s="17" t="str">
        <f>('Desarrollo de competencias'!A33)</f>
        <v>A veces</v>
      </c>
      <c r="BP10" s="9">
        <f>('Desarrollo de competencias'!I33)</f>
        <v>2</v>
      </c>
      <c r="BQ10" s="13">
        <f>('Desarrollo de competencias'!I39)</f>
        <v>0.1</v>
      </c>
      <c r="BS10" s="4"/>
      <c r="BV10" s="4"/>
      <c r="BX10" s="17" t="str">
        <f>('Desarrollo de competencias'!A33)</f>
        <v>A veces</v>
      </c>
      <c r="BY10" s="9">
        <f>('Desarrollo de competencias'!J33)</f>
        <v>3</v>
      </c>
      <c r="BZ10" s="13">
        <f>('Desarrollo de competencias'!J39)</f>
        <v>0.15</v>
      </c>
      <c r="CB10" s="4"/>
      <c r="CE10" s="4"/>
      <c r="CG10" s="17" t="str">
        <f>('Desarrollo de competencias'!A33)</f>
        <v>A veces</v>
      </c>
      <c r="CH10" s="9">
        <f>('Desarrollo de competencias'!K33)</f>
        <v>3</v>
      </c>
      <c r="CI10" s="13">
        <f>('Desarrollo de competencias'!K39)</f>
        <v>0.15</v>
      </c>
      <c r="CK10" s="4"/>
      <c r="CN10" s="4"/>
      <c r="CP10" s="17" t="str">
        <f>('Desarrollo de competencias'!A33)</f>
        <v>A veces</v>
      </c>
      <c r="CQ10" s="9">
        <f>('Desarrollo de competencias'!L33)</f>
        <v>3</v>
      </c>
      <c r="CR10" s="13">
        <f>('Desarrollo de competencias'!L39)</f>
        <v>0.15</v>
      </c>
      <c r="CT10" s="4"/>
      <c r="CW10" s="4"/>
      <c r="CY10" s="17" t="str">
        <f>('Desarrollo de competencias'!A33)</f>
        <v>A veces</v>
      </c>
      <c r="CZ10" s="9">
        <f>('Desarrollo de competencias'!M33)</f>
        <v>0</v>
      </c>
      <c r="DA10" s="13">
        <f>('Desarrollo de competencias'!M39)</f>
        <v>0</v>
      </c>
      <c r="DC10" s="4"/>
    </row>
    <row r="11" spans="2:107" x14ac:dyDescent="0.25">
      <c r="B11" s="4"/>
      <c r="D11" s="17" t="str">
        <f>('Desarrollo de competencias'!A34)</f>
        <v>Casi siempre</v>
      </c>
      <c r="E11" s="9">
        <f>('Desarrollo de competencias'!B34)</f>
        <v>0</v>
      </c>
      <c r="F11" s="13">
        <f>('Desarrollo de competencias'!B40)</f>
        <v>0</v>
      </c>
      <c r="H11" s="4"/>
      <c r="K11" s="4"/>
      <c r="M11" s="17" t="str">
        <f>('Desarrollo de competencias'!A34)</f>
        <v>Casi siempre</v>
      </c>
      <c r="N11" s="9">
        <f>('Desarrollo de competencias'!C34)</f>
        <v>2</v>
      </c>
      <c r="O11" s="13">
        <f>('Desarrollo de competencias'!C40)</f>
        <v>0.1</v>
      </c>
      <c r="Q11" s="4"/>
      <c r="T11" s="4"/>
      <c r="V11" s="17" t="str">
        <f>('Desarrollo de competencias'!A34)</f>
        <v>Casi siempre</v>
      </c>
      <c r="W11" s="9">
        <f>('Desarrollo de competencias'!D34)</f>
        <v>1</v>
      </c>
      <c r="X11" s="13">
        <f>('Desarrollo de competencias'!D40)</f>
        <v>0.05</v>
      </c>
      <c r="Z11" s="4"/>
      <c r="AC11" s="4"/>
      <c r="AE11" s="17" t="str">
        <f>('Desarrollo de competencias'!A34)</f>
        <v>Casi siempre</v>
      </c>
      <c r="AF11" s="9">
        <f>('Desarrollo de competencias'!E34)</f>
        <v>0</v>
      </c>
      <c r="AG11" s="13">
        <f>('Desarrollo de competencias'!E40)</f>
        <v>0</v>
      </c>
      <c r="AI11" s="4"/>
      <c r="AL11" s="4"/>
      <c r="AN11" s="17" t="str">
        <f>('Desarrollo de competencias'!A34)</f>
        <v>Casi siempre</v>
      </c>
      <c r="AO11" s="9">
        <f>('Desarrollo de competencias'!F34)</f>
        <v>1</v>
      </c>
      <c r="AP11" s="13">
        <f>('Desarrollo de competencias'!F40)</f>
        <v>0.05</v>
      </c>
      <c r="AR11" s="4"/>
      <c r="AU11" s="4"/>
      <c r="AW11" s="17" t="str">
        <f>('Desarrollo de competencias'!A34)</f>
        <v>Casi siempre</v>
      </c>
      <c r="AX11" s="9">
        <f>('Desarrollo de competencias'!G34)</f>
        <v>0</v>
      </c>
      <c r="AY11" s="13">
        <f>('Desarrollo de competencias'!G40)</f>
        <v>0</v>
      </c>
      <c r="BA11" s="4"/>
      <c r="BD11" s="4"/>
      <c r="BF11" s="17" t="str">
        <f>('Desarrollo de competencias'!A34)</f>
        <v>Casi siempre</v>
      </c>
      <c r="BG11" s="9">
        <f>('Desarrollo de competencias'!H34)</f>
        <v>1</v>
      </c>
      <c r="BH11" s="13">
        <f>('Desarrollo de competencias'!H40)</f>
        <v>0.05</v>
      </c>
      <c r="BJ11" s="4"/>
      <c r="BM11" s="4"/>
      <c r="BO11" s="17" t="str">
        <f>('Desarrollo de competencias'!A34)</f>
        <v>Casi siempre</v>
      </c>
      <c r="BP11" s="9">
        <f>('Desarrollo de competencias'!I34)</f>
        <v>2</v>
      </c>
      <c r="BQ11" s="13">
        <f>('Desarrollo de competencias'!I40)</f>
        <v>0.1</v>
      </c>
      <c r="BS11" s="4"/>
      <c r="BV11" s="4"/>
      <c r="BX11" s="17" t="str">
        <f>('Desarrollo de competencias'!A34)</f>
        <v>Casi siempre</v>
      </c>
      <c r="BY11" s="9">
        <f>('Desarrollo de competencias'!J34)</f>
        <v>0</v>
      </c>
      <c r="BZ11" s="13">
        <f>('Desarrollo de competencias'!J40)</f>
        <v>0</v>
      </c>
      <c r="CB11" s="4"/>
      <c r="CE11" s="4"/>
      <c r="CG11" s="17" t="str">
        <f>('Desarrollo de competencias'!A34)</f>
        <v>Casi siempre</v>
      </c>
      <c r="CH11" s="9">
        <f>('Desarrollo de competencias'!K34)</f>
        <v>0</v>
      </c>
      <c r="CI11" s="13">
        <f>('Desarrollo de competencias'!K40)</f>
        <v>0</v>
      </c>
      <c r="CK11" s="4"/>
      <c r="CN11" s="4"/>
      <c r="CP11" s="17" t="str">
        <f>('Desarrollo de competencias'!A34)</f>
        <v>Casi siempre</v>
      </c>
      <c r="CQ11" s="9">
        <f>('Desarrollo de competencias'!L34)</f>
        <v>0</v>
      </c>
      <c r="CR11" s="13">
        <f>('Desarrollo de competencias'!L40)</f>
        <v>0</v>
      </c>
      <c r="CT11" s="4"/>
      <c r="CW11" s="4"/>
      <c r="CY11" s="17" t="str">
        <f>('Desarrollo de competencias'!A34)</f>
        <v>Casi siempre</v>
      </c>
      <c r="CZ11" s="9">
        <f>('Desarrollo de competencias'!M34)</f>
        <v>2</v>
      </c>
      <c r="DA11" s="13">
        <f>('Desarrollo de competencias'!M40)</f>
        <v>0.1</v>
      </c>
      <c r="DC11" s="4"/>
    </row>
    <row r="12" spans="2:107" x14ac:dyDescent="0.25">
      <c r="B12" s="4"/>
      <c r="D12" s="17" t="str">
        <f>('Desarrollo de competencias'!A35)</f>
        <v>Siempre</v>
      </c>
      <c r="E12" s="9">
        <f>('Desarrollo de competencias'!B35)</f>
        <v>2</v>
      </c>
      <c r="F12" s="13">
        <f>('Desarrollo de competencias'!B41)</f>
        <v>0.1</v>
      </c>
      <c r="H12" s="4"/>
      <c r="K12" s="4"/>
      <c r="M12" s="17" t="str">
        <f>('Desarrollo de competencias'!A35)</f>
        <v>Siempre</v>
      </c>
      <c r="N12" s="9">
        <f>('Desarrollo de competencias'!C35)</f>
        <v>0</v>
      </c>
      <c r="O12" s="13">
        <f>('Desarrollo de competencias'!C41)</f>
        <v>0</v>
      </c>
      <c r="Q12" s="4"/>
      <c r="T12" s="4"/>
      <c r="V12" s="17" t="str">
        <f>('Desarrollo de competencias'!A35)</f>
        <v>Siempre</v>
      </c>
      <c r="W12" s="9">
        <f>('Desarrollo de competencias'!D35)</f>
        <v>2</v>
      </c>
      <c r="X12" s="13">
        <f>('Desarrollo de competencias'!D41)</f>
        <v>0.1</v>
      </c>
      <c r="Z12" s="4"/>
      <c r="AC12" s="4"/>
      <c r="AE12" s="17" t="str">
        <f>('Desarrollo de competencias'!A35)</f>
        <v>Siempre</v>
      </c>
      <c r="AF12" s="9">
        <f>('Desarrollo de competencias'!E35)</f>
        <v>2</v>
      </c>
      <c r="AG12" s="13">
        <f>('Desarrollo de competencias'!E41)</f>
        <v>0.1</v>
      </c>
      <c r="AI12" s="4"/>
      <c r="AL12" s="4"/>
      <c r="AN12" s="17" t="str">
        <f>('Desarrollo de competencias'!A35)</f>
        <v>Siempre</v>
      </c>
      <c r="AO12" s="9">
        <f>('Desarrollo de competencias'!F35)</f>
        <v>2</v>
      </c>
      <c r="AP12" s="13">
        <f>('Desarrollo de competencias'!F41)</f>
        <v>0.1</v>
      </c>
      <c r="AR12" s="4"/>
      <c r="AU12" s="4"/>
      <c r="AW12" s="17" t="str">
        <f>('Desarrollo de competencias'!A35)</f>
        <v>Siempre</v>
      </c>
      <c r="AX12" s="9">
        <f>('Desarrollo de competencias'!G35)</f>
        <v>2</v>
      </c>
      <c r="AY12" s="13">
        <f>('Desarrollo de competencias'!G41)</f>
        <v>0.1</v>
      </c>
      <c r="BA12" s="4"/>
      <c r="BD12" s="4"/>
      <c r="BF12" s="17" t="str">
        <f>('Desarrollo de competencias'!A35)</f>
        <v>Siempre</v>
      </c>
      <c r="BG12" s="9">
        <f>('Desarrollo de competencias'!H35)</f>
        <v>1</v>
      </c>
      <c r="BH12" s="13">
        <f>('Desarrollo de competencias'!H41)</f>
        <v>0.05</v>
      </c>
      <c r="BJ12" s="4"/>
      <c r="BM12" s="4"/>
      <c r="BO12" s="17" t="str">
        <f>('Desarrollo de competencias'!A35)</f>
        <v>Siempre</v>
      </c>
      <c r="BP12" s="9">
        <f>('Desarrollo de competencias'!I35)</f>
        <v>0</v>
      </c>
      <c r="BQ12" s="13">
        <f>('Desarrollo de competencias'!I41)</f>
        <v>0</v>
      </c>
      <c r="BS12" s="4"/>
      <c r="BV12" s="4"/>
      <c r="BX12" s="17" t="str">
        <f>('Desarrollo de competencias'!A35)</f>
        <v>Siempre</v>
      </c>
      <c r="BY12" s="9">
        <f>('Desarrollo de competencias'!J35)</f>
        <v>1</v>
      </c>
      <c r="BZ12" s="13">
        <f>('Desarrollo de competencias'!J41)</f>
        <v>0.05</v>
      </c>
      <c r="CB12" s="4"/>
      <c r="CE12" s="4"/>
      <c r="CG12" s="17" t="str">
        <f>('Desarrollo de competencias'!A35)</f>
        <v>Siempre</v>
      </c>
      <c r="CH12" s="9">
        <f>('Desarrollo de competencias'!K35)</f>
        <v>1</v>
      </c>
      <c r="CI12" s="13">
        <f>('Desarrollo de competencias'!K41)</f>
        <v>0.05</v>
      </c>
      <c r="CK12" s="4"/>
      <c r="CN12" s="4"/>
      <c r="CP12" s="17" t="str">
        <f>('Desarrollo de competencias'!A35)</f>
        <v>Siempre</v>
      </c>
      <c r="CQ12" s="9">
        <f>('Desarrollo de competencias'!L35)</f>
        <v>1</v>
      </c>
      <c r="CR12" s="13">
        <f>('Desarrollo de competencias'!L41)</f>
        <v>0.05</v>
      </c>
      <c r="CT12" s="4"/>
      <c r="CW12" s="4"/>
      <c r="CY12" s="17" t="str">
        <f>('Desarrollo de competencias'!A35)</f>
        <v>Siempre</v>
      </c>
      <c r="CZ12" s="9">
        <f>('Desarrollo de competencias'!M35)</f>
        <v>1</v>
      </c>
      <c r="DA12" s="13">
        <f>('Desarrollo de competencias'!M41)</f>
        <v>0.05</v>
      </c>
      <c r="DC12" s="4"/>
    </row>
    <row r="13" spans="2:107" x14ac:dyDescent="0.25">
      <c r="B13" s="4"/>
      <c r="D13" s="20" t="str">
        <f>('Desarrollo de competencias'!A36)</f>
        <v>Total</v>
      </c>
      <c r="E13" s="10">
        <f>('Desarrollo de competencias'!B36)</f>
        <v>20</v>
      </c>
      <c r="F13" s="14">
        <f>('Desarrollo de competencias'!B42)</f>
        <v>1.0000000000000002</v>
      </c>
      <c r="H13" s="4"/>
      <c r="K13" s="4"/>
      <c r="M13" s="20" t="str">
        <f>('Desarrollo de competencias'!A36)</f>
        <v>Total</v>
      </c>
      <c r="N13" s="10">
        <f>('Desarrollo de competencias'!C36)</f>
        <v>20</v>
      </c>
      <c r="O13" s="14">
        <f>('Desarrollo de competencias'!C42)</f>
        <v>1.0000000000000002</v>
      </c>
      <c r="Q13" s="4"/>
      <c r="T13" s="4"/>
      <c r="V13" s="20" t="str">
        <f>('Desarrollo de competencias'!A36)</f>
        <v>Total</v>
      </c>
      <c r="W13" s="10">
        <f>('Desarrollo de competencias'!D36)</f>
        <v>20</v>
      </c>
      <c r="X13" s="14">
        <f>('Desarrollo de competencias'!D42)</f>
        <v>1.0000000000000002</v>
      </c>
      <c r="Z13" s="4"/>
      <c r="AC13" s="4"/>
      <c r="AE13" s="20" t="str">
        <f>('Desarrollo de competencias'!A36)</f>
        <v>Total</v>
      </c>
      <c r="AF13" s="10">
        <f>('Desarrollo de competencias'!E36)</f>
        <v>20</v>
      </c>
      <c r="AG13" s="14">
        <f>('Desarrollo de competencias'!E42)</f>
        <v>1</v>
      </c>
      <c r="AI13" s="4"/>
      <c r="AL13" s="4"/>
      <c r="AN13" s="20" t="str">
        <f>('Desarrollo de competencias'!A36)</f>
        <v>Total</v>
      </c>
      <c r="AO13" s="10">
        <f>('Desarrollo de competencias'!F36)</f>
        <v>20</v>
      </c>
      <c r="AP13" s="14">
        <f>('Desarrollo de competencias'!F42)</f>
        <v>1.0000000000000002</v>
      </c>
      <c r="AR13" s="4"/>
      <c r="AU13" s="4"/>
      <c r="AW13" s="20" t="str">
        <f>('Desarrollo de competencias'!A36)</f>
        <v>Total</v>
      </c>
      <c r="AX13" s="10">
        <f>('Desarrollo de competencias'!G36)</f>
        <v>20</v>
      </c>
      <c r="AY13" s="14">
        <f>('Desarrollo de competencias'!G42)</f>
        <v>1</v>
      </c>
      <c r="BA13" s="4"/>
      <c r="BD13" s="4"/>
      <c r="BF13" s="20" t="str">
        <f>('Desarrollo de competencias'!A36)</f>
        <v>Total</v>
      </c>
      <c r="BG13" s="10">
        <f>('Desarrollo de competencias'!H36)</f>
        <v>20</v>
      </c>
      <c r="BH13" s="14">
        <f>('Desarrollo de competencias'!H42)</f>
        <v>1.0000000000000002</v>
      </c>
      <c r="BJ13" s="4"/>
      <c r="BM13" s="4"/>
      <c r="BO13" s="20" t="str">
        <f>('Desarrollo de competencias'!A36)</f>
        <v>Total</v>
      </c>
      <c r="BP13" s="10">
        <f>('Desarrollo de competencias'!I36)</f>
        <v>20</v>
      </c>
      <c r="BQ13" s="14">
        <f>('Desarrollo de competencias'!I42)</f>
        <v>1</v>
      </c>
      <c r="BS13" s="4"/>
      <c r="BV13" s="4"/>
      <c r="BX13" s="20" t="str">
        <f>('Desarrollo de competencias'!A36)</f>
        <v>Total</v>
      </c>
      <c r="BY13" s="10">
        <f>('Desarrollo de competencias'!J36)</f>
        <v>20</v>
      </c>
      <c r="BZ13" s="14">
        <f>('Desarrollo de competencias'!J42)</f>
        <v>1</v>
      </c>
      <c r="CB13" s="4"/>
      <c r="CE13" s="4"/>
      <c r="CG13" s="20" t="str">
        <f>('Desarrollo de competencias'!A36)</f>
        <v>Total</v>
      </c>
      <c r="CH13" s="10">
        <f>('Desarrollo de competencias'!K36)</f>
        <v>20</v>
      </c>
      <c r="CI13" s="14">
        <f>('Desarrollo de competencias'!K42)</f>
        <v>1</v>
      </c>
      <c r="CK13" s="4"/>
      <c r="CN13" s="4"/>
      <c r="CP13" s="20" t="str">
        <f>('Desarrollo de competencias'!A36)</f>
        <v>Total</v>
      </c>
      <c r="CQ13" s="10">
        <f>('Desarrollo de competencias'!L36)</f>
        <v>20</v>
      </c>
      <c r="CR13" s="14">
        <f>('Desarrollo de competencias'!L42)</f>
        <v>1</v>
      </c>
      <c r="CT13" s="4"/>
      <c r="CW13" s="4"/>
      <c r="CY13" s="20" t="str">
        <f>('Desarrollo de competencias'!A36)</f>
        <v>Total</v>
      </c>
      <c r="CZ13" s="10">
        <f>('Desarrollo de competencias'!M36)</f>
        <v>20</v>
      </c>
      <c r="DA13" s="14">
        <f>('Desarrollo de competencias'!M42)</f>
        <v>1</v>
      </c>
      <c r="DC13" s="4"/>
    </row>
    <row r="14" spans="2:107" x14ac:dyDescent="0.25">
      <c r="B14" s="4"/>
      <c r="D14" s="3" t="s">
        <v>81</v>
      </c>
      <c r="H14" s="4"/>
      <c r="K14" s="4"/>
      <c r="M14" s="3" t="s">
        <v>81</v>
      </c>
      <c r="Q14" s="4"/>
      <c r="T14" s="4"/>
      <c r="V14" s="3" t="s">
        <v>81</v>
      </c>
      <c r="Z14" s="4"/>
      <c r="AC14" s="4"/>
      <c r="AE14" s="3" t="s">
        <v>81</v>
      </c>
      <c r="AI14" s="4"/>
      <c r="AL14" s="4"/>
      <c r="AN14" s="3" t="s">
        <v>81</v>
      </c>
      <c r="AR14" s="4"/>
      <c r="AU14" s="4"/>
      <c r="AW14" s="3" t="s">
        <v>81</v>
      </c>
      <c r="BA14" s="4"/>
      <c r="BD14" s="4"/>
      <c r="BF14" s="3" t="s">
        <v>81</v>
      </c>
      <c r="BJ14" s="4"/>
      <c r="BM14" s="4"/>
      <c r="BO14" s="3" t="s">
        <v>81</v>
      </c>
      <c r="BS14" s="4"/>
      <c r="BV14" s="4"/>
      <c r="BX14" s="3" t="s">
        <v>81</v>
      </c>
      <c r="CB14" s="4"/>
      <c r="CE14" s="4"/>
      <c r="CG14" s="3" t="s">
        <v>81</v>
      </c>
      <c r="CK14" s="4"/>
      <c r="CN14" s="4"/>
      <c r="CP14" s="3" t="s">
        <v>81</v>
      </c>
      <c r="CT14" s="4"/>
      <c r="CW14" s="4"/>
      <c r="CY14" s="3" t="s">
        <v>81</v>
      </c>
      <c r="DC14" s="4"/>
    </row>
    <row r="15" spans="2:107" x14ac:dyDescent="0.25">
      <c r="B15" s="4"/>
      <c r="D15" s="3" t="s">
        <v>80</v>
      </c>
      <c r="H15" s="4"/>
      <c r="K15" s="4"/>
      <c r="M15" s="3" t="s">
        <v>80</v>
      </c>
      <c r="Q15" s="4"/>
      <c r="T15" s="4"/>
      <c r="V15" s="3" t="s">
        <v>80</v>
      </c>
      <c r="Z15" s="4"/>
      <c r="AC15" s="4"/>
      <c r="AE15" s="3" t="s">
        <v>80</v>
      </c>
      <c r="AI15" s="4"/>
      <c r="AL15" s="4"/>
      <c r="AN15" s="3" t="s">
        <v>80</v>
      </c>
      <c r="AR15" s="4"/>
      <c r="AU15" s="4"/>
      <c r="AW15" s="3" t="s">
        <v>80</v>
      </c>
      <c r="BA15" s="4"/>
      <c r="BD15" s="4"/>
      <c r="BF15" s="3" t="s">
        <v>80</v>
      </c>
      <c r="BJ15" s="4"/>
      <c r="BM15" s="4"/>
      <c r="BO15" s="3" t="s">
        <v>80</v>
      </c>
      <c r="BS15" s="4"/>
      <c r="BV15" s="4"/>
      <c r="BX15" s="3" t="s">
        <v>80</v>
      </c>
      <c r="CB15" s="4"/>
      <c r="CE15" s="4"/>
      <c r="CG15" s="3" t="s">
        <v>80</v>
      </c>
      <c r="CK15" s="4"/>
      <c r="CN15" s="4"/>
      <c r="CP15" s="3" t="s">
        <v>80</v>
      </c>
      <c r="CT15" s="4"/>
      <c r="CW15" s="4"/>
      <c r="CY15" s="3" t="s">
        <v>80</v>
      </c>
      <c r="DC15" s="4"/>
    </row>
    <row r="16" spans="2:107" x14ac:dyDescent="0.25">
      <c r="B16" s="4"/>
      <c r="H16" s="4"/>
      <c r="K16" s="4"/>
      <c r="Q16" s="4"/>
      <c r="T16" s="4"/>
      <c r="Z16" s="4"/>
      <c r="AC16" s="4"/>
      <c r="AI16" s="4"/>
      <c r="AL16" s="4"/>
      <c r="AR16" s="4"/>
      <c r="AU16" s="4"/>
      <c r="BA16" s="4"/>
      <c r="BD16" s="4"/>
      <c r="BJ16" s="4"/>
      <c r="BM16" s="4"/>
      <c r="BS16" s="4"/>
      <c r="BV16" s="4"/>
      <c r="CB16" s="4"/>
      <c r="CE16" s="4"/>
      <c r="CK16" s="4"/>
      <c r="CN16" s="4"/>
      <c r="CT16" s="4"/>
      <c r="CW16" s="4"/>
      <c r="DC16" s="4"/>
    </row>
    <row r="17" spans="2:107" x14ac:dyDescent="0.25">
      <c r="B17" s="4"/>
      <c r="H17" s="4"/>
      <c r="K17" s="4"/>
      <c r="Q17" s="4"/>
      <c r="T17" s="4"/>
      <c r="Z17" s="4"/>
      <c r="AC17" s="4"/>
      <c r="AI17" s="4"/>
      <c r="AL17" s="4"/>
      <c r="AR17" s="4"/>
      <c r="AU17" s="4"/>
      <c r="BA17" s="4"/>
      <c r="BD17" s="4"/>
      <c r="BJ17" s="4"/>
      <c r="BM17" s="4"/>
      <c r="BS17" s="4"/>
      <c r="BV17" s="4"/>
      <c r="CB17" s="4"/>
      <c r="CE17" s="4"/>
      <c r="CK17" s="4"/>
      <c r="CN17" s="4"/>
      <c r="CT17" s="4"/>
      <c r="CW17" s="4"/>
      <c r="DC17" s="4"/>
    </row>
    <row r="18" spans="2:107" x14ac:dyDescent="0.25">
      <c r="B18" s="4"/>
      <c r="H18" s="4"/>
      <c r="K18" s="4"/>
      <c r="Q18" s="4"/>
      <c r="T18" s="4"/>
      <c r="Z18" s="4"/>
      <c r="AC18" s="4"/>
      <c r="AI18" s="4"/>
      <c r="AL18" s="4"/>
      <c r="AR18" s="4"/>
      <c r="AU18" s="4"/>
      <c r="BA18" s="4"/>
      <c r="BD18" s="4"/>
      <c r="BJ18" s="4"/>
      <c r="BM18" s="4"/>
      <c r="BS18" s="4"/>
      <c r="BV18" s="4"/>
      <c r="CB18" s="4"/>
      <c r="CE18" s="4"/>
      <c r="CK18" s="4"/>
      <c r="CN18" s="4"/>
      <c r="CT18" s="4"/>
      <c r="CW18" s="4"/>
      <c r="DC18" s="4"/>
    </row>
    <row r="19" spans="2:107" x14ac:dyDescent="0.25">
      <c r="B19" s="4"/>
      <c r="H19" s="4"/>
      <c r="K19" s="4"/>
      <c r="Q19" s="4"/>
      <c r="T19" s="4"/>
      <c r="Z19" s="4"/>
      <c r="AC19" s="4"/>
      <c r="AI19" s="4"/>
      <c r="AL19" s="4"/>
      <c r="AR19" s="4"/>
      <c r="AU19" s="4"/>
      <c r="BA19" s="4"/>
      <c r="BD19" s="4"/>
      <c r="BJ19" s="4"/>
      <c r="BM19" s="4"/>
      <c r="BS19" s="4"/>
      <c r="BV19" s="4"/>
      <c r="CB19" s="4"/>
      <c r="CE19" s="4"/>
      <c r="CK19" s="4"/>
      <c r="CN19" s="4"/>
      <c r="CT19" s="4"/>
      <c r="CW19" s="4"/>
      <c r="DC19" s="4"/>
    </row>
    <row r="20" spans="2:107" x14ac:dyDescent="0.25">
      <c r="B20" s="4"/>
      <c r="H20" s="4"/>
      <c r="K20" s="4"/>
      <c r="Q20" s="4"/>
      <c r="T20" s="4"/>
      <c r="Z20" s="4"/>
      <c r="AC20" s="4"/>
      <c r="AI20" s="4"/>
      <c r="AL20" s="4"/>
      <c r="AR20" s="4"/>
      <c r="AU20" s="4"/>
      <c r="BA20" s="4"/>
      <c r="BD20" s="4"/>
      <c r="BJ20" s="4"/>
      <c r="BM20" s="4"/>
      <c r="BS20" s="4"/>
      <c r="BV20" s="4"/>
      <c r="CB20" s="4"/>
      <c r="CE20" s="4"/>
      <c r="CK20" s="4"/>
      <c r="CN20" s="4"/>
      <c r="CT20" s="4"/>
      <c r="CW20" s="4"/>
      <c r="DC20" s="4"/>
    </row>
    <row r="21" spans="2:107" x14ac:dyDescent="0.25">
      <c r="B21" s="4"/>
      <c r="H21" s="4"/>
      <c r="K21" s="4"/>
      <c r="Q21" s="4"/>
      <c r="T21" s="4"/>
      <c r="Z21" s="4"/>
      <c r="AC21" s="4"/>
      <c r="AI21" s="4"/>
      <c r="AL21" s="4"/>
      <c r="AR21" s="4"/>
      <c r="AU21" s="4"/>
      <c r="BA21" s="4"/>
      <c r="BD21" s="4"/>
      <c r="BJ21" s="4"/>
      <c r="BM21" s="4"/>
      <c r="BS21" s="4"/>
      <c r="BV21" s="4"/>
      <c r="CB21" s="4"/>
      <c r="CE21" s="4"/>
      <c r="CK21" s="4"/>
      <c r="CN21" s="4"/>
      <c r="CT21" s="4"/>
      <c r="CW21" s="4"/>
      <c r="DC21" s="4"/>
    </row>
    <row r="22" spans="2:107" x14ac:dyDescent="0.25">
      <c r="B22" s="4"/>
      <c r="H22" s="4"/>
      <c r="K22" s="4"/>
      <c r="Q22" s="4"/>
      <c r="T22" s="4"/>
      <c r="Z22" s="4"/>
      <c r="AC22" s="4"/>
      <c r="AI22" s="4"/>
      <c r="AL22" s="4"/>
      <c r="AR22" s="4"/>
      <c r="AU22" s="4"/>
      <c r="BA22" s="4"/>
      <c r="BD22" s="4"/>
      <c r="BJ22" s="4"/>
      <c r="BM22" s="4"/>
      <c r="BS22" s="4"/>
      <c r="BV22" s="4"/>
      <c r="CB22" s="4"/>
      <c r="CE22" s="4"/>
      <c r="CK22" s="4"/>
      <c r="CN22" s="4"/>
      <c r="CT22" s="4"/>
      <c r="CW22" s="4"/>
      <c r="DC22" s="4"/>
    </row>
    <row r="23" spans="2:107" x14ac:dyDescent="0.25">
      <c r="B23" s="4"/>
      <c r="H23" s="4"/>
      <c r="K23" s="4"/>
      <c r="Q23" s="4"/>
      <c r="T23" s="4"/>
      <c r="Z23" s="4"/>
      <c r="AC23" s="4"/>
      <c r="AI23" s="4"/>
      <c r="AL23" s="4"/>
      <c r="AR23" s="4"/>
      <c r="AU23" s="4"/>
      <c r="BA23" s="4"/>
      <c r="BD23" s="4"/>
      <c r="BJ23" s="4"/>
      <c r="BM23" s="4"/>
      <c r="BS23" s="4"/>
      <c r="BV23" s="4"/>
      <c r="CB23" s="4"/>
      <c r="CE23" s="4"/>
      <c r="CK23" s="4"/>
      <c r="CN23" s="4"/>
      <c r="CT23" s="4"/>
      <c r="CW23" s="4"/>
      <c r="DC23" s="4"/>
    </row>
    <row r="24" spans="2:107" x14ac:dyDescent="0.25">
      <c r="B24" s="4"/>
      <c r="H24" s="4"/>
      <c r="K24" s="4"/>
      <c r="Q24" s="4"/>
      <c r="T24" s="4"/>
      <c r="Z24" s="4"/>
      <c r="AC24" s="4"/>
      <c r="AI24" s="4"/>
      <c r="AL24" s="4"/>
      <c r="AR24" s="4"/>
      <c r="AU24" s="4"/>
      <c r="BA24" s="4"/>
      <c r="BD24" s="4"/>
      <c r="BJ24" s="4"/>
      <c r="BM24" s="4"/>
      <c r="BS24" s="4"/>
      <c r="BV24" s="4"/>
      <c r="CB24" s="4"/>
      <c r="CE24" s="4"/>
      <c r="CK24" s="4"/>
      <c r="CN24" s="4"/>
      <c r="CT24" s="4"/>
      <c r="CW24" s="4"/>
      <c r="DC24" s="4"/>
    </row>
    <row r="25" spans="2:107" x14ac:dyDescent="0.25">
      <c r="B25" s="4"/>
      <c r="H25" s="4"/>
      <c r="K25" s="4"/>
      <c r="Q25" s="4"/>
      <c r="T25" s="4"/>
      <c r="Z25" s="4"/>
      <c r="AC25" s="4"/>
      <c r="AI25" s="4"/>
      <c r="AL25" s="4"/>
      <c r="AR25" s="4"/>
      <c r="AU25" s="4"/>
      <c r="BA25" s="4"/>
      <c r="BD25" s="4"/>
      <c r="BJ25" s="4"/>
      <c r="BM25" s="4"/>
      <c r="BS25" s="4"/>
      <c r="BV25" s="4"/>
      <c r="CB25" s="4"/>
      <c r="CE25" s="4"/>
      <c r="CK25" s="4"/>
      <c r="CN25" s="4"/>
      <c r="CT25" s="4"/>
      <c r="CW25" s="4"/>
      <c r="DC25" s="4"/>
    </row>
    <row r="26" spans="2:107" x14ac:dyDescent="0.25">
      <c r="B26" s="4"/>
      <c r="H26" s="4"/>
      <c r="K26" s="4"/>
      <c r="Q26" s="4"/>
      <c r="T26" s="4"/>
      <c r="Z26" s="4"/>
      <c r="AC26" s="4"/>
      <c r="AI26" s="4"/>
      <c r="AL26" s="4"/>
      <c r="AR26" s="4"/>
      <c r="AU26" s="4"/>
      <c r="BA26" s="4"/>
      <c r="BD26" s="4"/>
      <c r="BJ26" s="4"/>
      <c r="BM26" s="4"/>
      <c r="BS26" s="4"/>
      <c r="BV26" s="4"/>
      <c r="CB26" s="4"/>
      <c r="CE26" s="4"/>
      <c r="CK26" s="4"/>
      <c r="CN26" s="4"/>
      <c r="CT26" s="4"/>
      <c r="CW26" s="4"/>
      <c r="DC26" s="4"/>
    </row>
    <row r="27" spans="2:107" x14ac:dyDescent="0.25">
      <c r="B27" s="4"/>
      <c r="H27" s="4"/>
      <c r="K27" s="4"/>
      <c r="Q27" s="4"/>
      <c r="T27" s="4"/>
      <c r="Z27" s="4"/>
      <c r="AC27" s="4"/>
      <c r="AI27" s="4"/>
      <c r="AL27" s="4"/>
      <c r="AR27" s="4"/>
      <c r="AU27" s="4"/>
      <c r="BA27" s="4"/>
      <c r="BD27" s="4"/>
      <c r="BJ27" s="4"/>
      <c r="BM27" s="4"/>
      <c r="BS27" s="4"/>
      <c r="BV27" s="4"/>
      <c r="CB27" s="4"/>
      <c r="CE27" s="4"/>
      <c r="CK27" s="4"/>
      <c r="CN27" s="4"/>
      <c r="CT27" s="4"/>
      <c r="CW27" s="4"/>
      <c r="DC27" s="4"/>
    </row>
    <row r="28" spans="2:107" x14ac:dyDescent="0.25">
      <c r="B28" s="4"/>
      <c r="H28" s="4"/>
      <c r="K28" s="4"/>
      <c r="Q28" s="4"/>
      <c r="T28" s="4"/>
      <c r="Z28" s="4"/>
      <c r="AC28" s="4"/>
      <c r="AI28" s="4"/>
      <c r="AL28" s="4"/>
      <c r="AR28" s="4"/>
      <c r="AU28" s="4"/>
      <c r="BA28" s="4"/>
      <c r="BD28" s="4"/>
      <c r="BJ28" s="4"/>
      <c r="BM28" s="4"/>
      <c r="BS28" s="4"/>
      <c r="BV28" s="4"/>
      <c r="CB28" s="4"/>
      <c r="CE28" s="4"/>
      <c r="CK28" s="4"/>
      <c r="CN28" s="4"/>
      <c r="CT28" s="4"/>
      <c r="CW28" s="4"/>
      <c r="DC28" s="4"/>
    </row>
    <row r="29" spans="2:107" x14ac:dyDescent="0.25">
      <c r="B29" s="4"/>
      <c r="H29" s="4"/>
      <c r="K29" s="4"/>
      <c r="Q29" s="4"/>
      <c r="T29" s="4"/>
      <c r="Z29" s="4"/>
      <c r="AC29" s="4"/>
      <c r="AI29" s="4"/>
      <c r="AL29" s="4"/>
      <c r="AR29" s="4"/>
      <c r="AU29" s="4"/>
      <c r="BA29" s="4"/>
      <c r="BD29" s="4"/>
      <c r="BJ29" s="4"/>
      <c r="BM29" s="4"/>
      <c r="BS29" s="4"/>
      <c r="BV29" s="4"/>
      <c r="CB29" s="4"/>
      <c r="CE29" s="4"/>
      <c r="CK29" s="4"/>
      <c r="CN29" s="4"/>
      <c r="CT29" s="4"/>
      <c r="CW29" s="4"/>
      <c r="DC29" s="4"/>
    </row>
    <row r="30" spans="2:107" x14ac:dyDescent="0.25">
      <c r="B30" s="4"/>
      <c r="H30" s="4"/>
      <c r="K30" s="4"/>
      <c r="Q30" s="4"/>
      <c r="T30" s="4"/>
      <c r="Z30" s="4"/>
      <c r="AC30" s="4"/>
      <c r="AI30" s="4"/>
      <c r="AL30" s="4"/>
      <c r="AR30" s="4"/>
      <c r="AU30" s="4"/>
      <c r="BA30" s="4"/>
      <c r="BD30" s="4"/>
      <c r="BJ30" s="4"/>
      <c r="BM30" s="4"/>
      <c r="BS30" s="4"/>
      <c r="BV30" s="4"/>
      <c r="CB30" s="4"/>
      <c r="CE30" s="4"/>
      <c r="CK30" s="4"/>
      <c r="CN30" s="4"/>
      <c r="CT30" s="4"/>
      <c r="CW30" s="4"/>
      <c r="DC30" s="4"/>
    </row>
    <row r="31" spans="2:107" x14ac:dyDescent="0.25">
      <c r="B31" s="4"/>
      <c r="H31" s="4"/>
      <c r="K31" s="4"/>
      <c r="Q31" s="4"/>
      <c r="T31" s="4"/>
      <c r="Z31" s="4"/>
      <c r="AC31" s="4"/>
      <c r="AI31" s="4"/>
      <c r="AL31" s="4"/>
      <c r="AR31" s="4"/>
      <c r="AU31" s="4"/>
      <c r="BA31" s="4"/>
      <c r="BD31" s="4"/>
      <c r="BJ31" s="4"/>
      <c r="BM31" s="4"/>
      <c r="BS31" s="4"/>
      <c r="BV31" s="4"/>
      <c r="CB31" s="4"/>
      <c r="CE31" s="4"/>
      <c r="CK31" s="4"/>
      <c r="CN31" s="4"/>
      <c r="CT31" s="4"/>
      <c r="CW31" s="4"/>
      <c r="DC31" s="4"/>
    </row>
    <row r="32" spans="2:107" x14ac:dyDescent="0.25">
      <c r="B32" s="4"/>
      <c r="H32" s="4"/>
      <c r="K32" s="4"/>
      <c r="Q32" s="4"/>
      <c r="T32" s="4"/>
      <c r="Z32" s="4"/>
      <c r="AC32" s="4"/>
      <c r="AI32" s="4"/>
      <c r="AL32" s="4"/>
      <c r="AR32" s="4"/>
      <c r="AU32" s="4"/>
      <c r="BA32" s="4"/>
      <c r="BD32" s="4"/>
      <c r="BJ32" s="4"/>
      <c r="BM32" s="4"/>
      <c r="BS32" s="4"/>
      <c r="BV32" s="4"/>
      <c r="CB32" s="4"/>
      <c r="CE32" s="4"/>
      <c r="CK32" s="4"/>
      <c r="CN32" s="4"/>
      <c r="CT32" s="4"/>
      <c r="CW32" s="4"/>
      <c r="DC32" s="4"/>
    </row>
    <row r="33" spans="2:107" x14ac:dyDescent="0.25">
      <c r="B33" s="4"/>
      <c r="D33" s="3" t="s">
        <v>144</v>
      </c>
      <c r="H33" s="4"/>
      <c r="K33" s="4"/>
      <c r="M33" s="3" t="s">
        <v>145</v>
      </c>
      <c r="Q33" s="4"/>
      <c r="T33" s="4"/>
      <c r="V33" s="3" t="s">
        <v>146</v>
      </c>
      <c r="Z33" s="4"/>
      <c r="AC33" s="4"/>
      <c r="AE33" s="3" t="s">
        <v>147</v>
      </c>
      <c r="AI33" s="4"/>
      <c r="AL33" s="4"/>
      <c r="AN33" s="3" t="s">
        <v>148</v>
      </c>
      <c r="AR33" s="4"/>
      <c r="AU33" s="4"/>
      <c r="AW33" s="3" t="s">
        <v>149</v>
      </c>
      <c r="BA33" s="4"/>
      <c r="BD33" s="4"/>
      <c r="BF33" s="3" t="s">
        <v>150</v>
      </c>
      <c r="BJ33" s="4"/>
      <c r="BM33" s="4"/>
      <c r="BO33" s="3" t="s">
        <v>151</v>
      </c>
      <c r="BS33" s="4"/>
      <c r="BV33" s="4"/>
      <c r="BX33" s="3" t="s">
        <v>152</v>
      </c>
      <c r="CB33" s="4"/>
      <c r="CE33" s="4"/>
      <c r="CG33" s="3" t="s">
        <v>153</v>
      </c>
      <c r="CK33" s="4"/>
      <c r="CN33" s="4"/>
      <c r="CP33" s="3" t="s">
        <v>154</v>
      </c>
      <c r="CT33" s="4"/>
      <c r="CW33" s="4"/>
      <c r="CY33" s="3" t="s">
        <v>155</v>
      </c>
      <c r="DC33" s="4"/>
    </row>
    <row r="34" spans="2:107" x14ac:dyDescent="0.25">
      <c r="B34" s="4"/>
      <c r="D34" s="3"/>
      <c r="H34" s="4"/>
      <c r="K34" s="4"/>
      <c r="M34" s="3"/>
      <c r="Q34" s="4"/>
      <c r="T34" s="4"/>
      <c r="V34" s="3"/>
      <c r="Z34" s="4"/>
      <c r="AC34" s="4"/>
      <c r="AE34" s="3"/>
      <c r="AI34" s="4"/>
      <c r="AL34" s="4"/>
      <c r="AN34" s="3"/>
      <c r="AR34" s="4"/>
      <c r="AU34" s="4"/>
      <c r="AW34" s="3"/>
      <c r="BA34" s="4"/>
      <c r="BD34" s="4"/>
      <c r="BF34" s="3"/>
      <c r="BJ34" s="4"/>
      <c r="BM34" s="4"/>
      <c r="BO34" s="3"/>
      <c r="BS34" s="4"/>
      <c r="BV34" s="4"/>
      <c r="BX34" s="3"/>
      <c r="CB34" s="4"/>
      <c r="CE34" s="4"/>
      <c r="CG34" s="3"/>
      <c r="CK34" s="4"/>
      <c r="CN34" s="4"/>
      <c r="CP34" s="3"/>
      <c r="CT34" s="4"/>
      <c r="CW34" s="4"/>
      <c r="CY34" s="3"/>
      <c r="DC34" s="4"/>
    </row>
    <row r="35" spans="2:107" x14ac:dyDescent="0.25">
      <c r="B35" s="4"/>
      <c r="D35" s="52" t="str">
        <f>CONCATENATE("En ","la ",D5," y ",D33," se observa los resultados  de la  ",D4," el cual aborda ",E1062,",en donde se demuestra que el ",ROUND(F8*100,0),"%"," de los ",D1045," tienen una percepción de ",G1046,", el ",ROUND(F9*100,0),"%"," ",G1047,", un ",ROUND(F10*100,0),"%"," ",G1048,",",IF(E1049&gt;0,CONCATENATE(" ademas el ",ROUND(F11*100,0),"%"," ",G1049,)," "),IF(E1049&gt;0,CONCATENATE(" y ",ROUND(F12*100,0),"%",", ",G1050,)," "),"en tal sentido la mayoría de los ",D1045," es decir el ",ROUND(E1053*100,0),"%"," tienen una percepción con una inclinación a un valor ",D1056,","," para ",E1062,".")</f>
        <v>En la Tabla 1 y Figura. 1 se observa los resultados  de la  Pregunta 1 el cual aborda ,en donde se demuestra que el 45% de los Docentess tienen una percepción de Nunca, el 40% Casi Nunca, un 5% Siempre, ademas el 0% A veces y 10%,  en tal sentido la mayoría de los Docentess es decir el 90% tienen una percepción con una inclinación a un valor Bajo, para .</v>
      </c>
      <c r="E35" s="53"/>
      <c r="F35" s="53"/>
      <c r="H35" s="4"/>
      <c r="K35" s="4"/>
      <c r="M35" s="52" t="str">
        <f>CONCATENATE("En ","la ",M5," y ",M33," se observa los resultados  de la  ",M4," el cual aborda ",N1062,",en donde se demuestra que el ",ROUND(O8*100,0),"%"," de los ",M1045," tienen una percepción de ",P1046,", el ",ROUND(O9*100,0),"%"," ",P1047,", un ",ROUND(O10*100,0),"%"," ",P1048,",",IF(N1049&gt;0,CONCATENATE(" ademas el ",ROUND(O11*100,0),"%"," ",P1049,)," "),IF(N1049&gt;0,CONCATENATE(" y ",ROUND(O12*100,0),"%",", ",P1050,)," "),"en tal sentido la mayoría de los ",M1045," es decir el ",ROUND(N1053*100,0),"%"," tienen una percepción con una inclinación a un valor ",M1056,","," para ",N1062,".")</f>
        <v>En la Tabla 2 y Figura. 2 se observa los resultados  de la  Pregunta 2 el cual aborda ,en donde se demuestra que el 40% de los Docentess tienen una percepción de Casi Nunca, el 45% Nunca, un 5% Casi siempre, ademas el 10% A veces y 0%,  en tal sentido la mayoría de los Docentess es decir el 90% tienen una percepción con una inclinación a un valor Bajo, para .</v>
      </c>
      <c r="N35" s="53"/>
      <c r="O35" s="53"/>
      <c r="Q35" s="4"/>
      <c r="T35" s="4"/>
      <c r="V35" s="52" t="str">
        <f>CONCATENATE("En ","la ",V5," y ",V33," se observa los resultados  de la  ",V4," el cual aborda ",W1062,",en donde se demuestra que el ",ROUND(X8*100,0),"%"," de los ",V1045," tienen una percepción de ",Y1046,", el ",ROUND(X9*100,0),"%"," ",Y1047,", un ",ROUND(X10*100,0),"%"," ",Y1048,",",IF(W1049&gt;0,CONCATENATE(" ademas el ",ROUND(X11*100,0),"%"," ",Y1049,)," "),IF(W1049&gt;0,CONCATENATE(" y ",ROUND(X12*100,0),"%",", ",Y1050,)," "),"en tal sentido la mayoría de los ",V1045," es decir el ",ROUND(W1053*100,0),"%"," tienen una percepción con una inclinación a un valor ",V1056,","," para ",W1062,".")</f>
        <v>En la Tabla 3 y Figura. 3 se observa los resultados  de la  Pregunta 3 el cual aborda ,en donde se demuestra que el 45% de los Docentess tienen una percepción de Nunca, el 35% Casi Nunca, un 5% Siempre, ademas el 5% A veces y 10%, A vecesen tal sentido la mayoría de los Docentess es decir el 85% tienen una percepción con una inclinación a un valor Bajo, para .</v>
      </c>
      <c r="W35" s="53"/>
      <c r="X35" s="53"/>
      <c r="Z35" s="4"/>
      <c r="AC35" s="4"/>
      <c r="AE35" s="52" t="str">
        <f>CONCATENATE("En ","la ",AE5," y ",AE33," se observa los resultados  de la  ",AE4," el cual aborda ",AF1062,",en donde se demuestra que el ",ROUND(AG8*100,0),"%"," de los ",AE1045," tienen una percepción de ",AH1046,", el ",ROUND(AG9*100,0),"%"," ",AH1047,", un ",ROUND(AG10*100,0),"%"," ",AH1048,",",IF(AF1049&gt;0,CONCATENATE(" ademas el ",ROUND(AG11*100,0),"%"," ",AH1049,)," "),IF(AF1049&gt;0,CONCATENATE(" y ",ROUND(AG12*100,0),"%",", ",AH1050,)," "),"en tal sentido la mayoría de los ",AE1045," es decir el ",ROUND(AF1053*100,0),"%"," tienen una percepción con una inclinación a un valor ",AE1056,","," para ",AF1062,".")</f>
        <v>En la Tabla 4 y Figura. 4 se observa los resultados  de la  Pregunta 4 el cual aborda ,en donde se demuestra que el 50% de los Docentess tienen una percepción de Nunca, el 30% Casi Nunca, un 10% A veces, ademas el 0% A veces y 10%,  en tal sentido la mayoría de los Docentess es decir el 90% tienen una percepción con una inclinación a un valor Bajo, para .</v>
      </c>
      <c r="AF35" s="53"/>
      <c r="AG35" s="53"/>
      <c r="AI35" s="4"/>
      <c r="AL35" s="4"/>
      <c r="AN35" s="52" t="str">
        <f>CONCATENATE("En ","la ",AN5," y ",AN33," se observa los resultados  de la  ",AN4," el cual aborda ",AO1062,",en donde se demuestra que el ",ROUND(AP8*100,0),"%"," de los ",AN1045," tienen una percepción de ",AQ1046,", el ",ROUND(AP9*100,0),"%"," ",AQ1047,", un ",ROUND(AP10*100,0),"%"," ",AQ1048,",",IF(AO1049&gt;0,CONCATENATE(" ademas el ",ROUND(AP11*100,0),"%"," ",AQ1049,)," "),IF(AO1049&gt;0,CONCATENATE(" y ",ROUND(AP12*100,0),"%",", ",AQ1050,)," "),"en tal sentido la mayoría de los ",AN1045," es decir el ",ROUND(AO1053*100,0),"%"," tienen una percepción con una inclinación a un valor ",AN1056,","," para ",AO1062,".")</f>
        <v>En la Tabla 5 y Figura. 5 se observa los resultados  de la  Pregunta 5 el cual aborda ,en donde se demuestra que el 45% de los Docentess tienen una percepción de Nunca, el 35% Casi Nunca, un 5% Siempre, ademas el 5% A veces y 10%, A vecesen tal sentido la mayoría de los Docentess es decir el 85% tienen una percepción con una inclinación a un valor Bajo, para .</v>
      </c>
      <c r="AO35" s="53"/>
      <c r="AP35" s="53"/>
      <c r="AR35" s="4"/>
      <c r="AU35" s="4"/>
      <c r="AW35" s="52" t="str">
        <f>CONCATENATE("En ","la ",AW5," y ",AW33," se observa los resultados  de la  ",AW4," el cual aborda ",AX1062,",en donde se demuestra que el ",ROUND(AY8*100,0),"%"," de los ",AW1045," tienen una percepción de ",AZ1046,", el ",ROUND(AY9*100,0),"%"," ",AZ1047,", un ",ROUND(AY10*100,0),"%"," ",AZ1048,",",IF(AX1049&gt;0,CONCATENATE(" ademas el ",ROUND(AY11*100,0),"%"," ",AZ1049,)," "),IF(AX1049&gt;0,CONCATENATE(" y ",ROUND(AY12*100,0),"%",", ",AZ1050,)," "),"en tal sentido la mayoría de los ",AW1045," es decir el ",ROUND(AX1053*100,0),"%"," tienen una percepción con una inclinación a un valor ",AW1056,","," para ",AX1062,".")</f>
        <v>En la Tabla 6 y Figura. 6 se observa los resultados  de la  Pregunta 6 el cual aborda ,en donde se demuestra que el 50% de los Docentess tienen una percepción de Nunca, el 30% Casi Nunca, un 10% A veces, ademas el 0% A veces y 10%,  en tal sentido la mayoría de los Docentess es decir el 90% tienen una percepción con una inclinación a un valor Bajo, para .</v>
      </c>
      <c r="AX35" s="53"/>
      <c r="AY35" s="53"/>
      <c r="BA35" s="4"/>
      <c r="BD35" s="4"/>
      <c r="BF35" s="52" t="str">
        <f>CONCATENATE("En ","la ",BF5," y ",BF33," se observa los resultados  de la  ",BF4," el cual aborda ",BG1062,",en donde se demuestra que el ",ROUND(BH8*100,0),"%"," de los ",BF1045," tienen una percepción de ",BI1046,", el ",ROUND(BH9*100,0),"%"," ",BI1047,", un ",ROUND(BH10*100,0),"%"," ",BI1048,",",IF(BG1049&gt;0,CONCATENATE(" ademas el ",ROUND(BH11*100,0),"%"," ",BI1049,)," "),IF(BG1049&gt;0,CONCATENATE(" y ",ROUND(BH12*100,0),"%",", ",BI1050,)," "),"en tal sentido la mayoría de los ",BF1045," es decir el ",ROUND(BG1053*100,0),"%"," tienen una percepción con una inclinación a un valor ",BF1056,","," para ",BG1062,".")</f>
        <v>En la Tabla 7 y Figura. 7 se observa los resultados  de la  Pregunta 7 el cual aborda ,en donde se demuestra que el 30% de los Docentess tienen una percepción de Casi Nunca, el 55% Nunca, un 5% A veces, ademas el 5% A veces y 5%, A vecesen tal sentido la mayoría de los Docentess es decir el 90% tienen una percepción con una inclinación a un valor Bajo, para .</v>
      </c>
      <c r="BG35" s="53"/>
      <c r="BH35" s="53"/>
      <c r="BJ35" s="4"/>
      <c r="BM35" s="4"/>
      <c r="BO35" s="52" t="str">
        <f>CONCATENATE("En ","la ",BO5," y ",BO33," se observa los resultados  de la  ",BO4," el cual aborda ",BP1062,",en donde se demuestra que el ",ROUND(BQ8*100,0),"%"," de los ",BO1045," tienen una percepción de ",BR1046,", el ",ROUND(BQ9*100,0),"%"," ",BR1047,", un ",ROUND(BQ10*100,0),"%"," ",BR1048,",",IF(BP1049&gt;0,CONCATENATE(" ademas el ",ROUND(BQ11*100,0),"%"," ",BR1049,)," "),IF(BP1049&gt;0,CONCATENATE(" y ",ROUND(BQ12*100,0),"%",", ",BR1050,)," "),"en tal sentido la mayoría de los ",BO1045," es decir el ",ROUND(BP1053*100,0),"%"," tienen una percepción con una inclinación a un valor ",BO1056,","," para ",BP1062,".")</f>
        <v>En la Tabla 8 y Figura. 8 se observa los resultados  de la  Pregunta 8 el cual aborda ,en donde se demuestra que el 40% de los Docentess tienen una percepción de Nunca, el 40% Nunca, un 10% A veces, ademas el 10% A veces y 0%,  en tal sentido la mayoría de los Docentess es decir el 90% tienen una percepción con una inclinación a un valor Bajo, para .</v>
      </c>
      <c r="BP35" s="53"/>
      <c r="BQ35" s="53"/>
      <c r="BS35" s="4"/>
      <c r="BV35" s="4"/>
      <c r="BX35" s="52" t="str">
        <f>CONCATENATE("En ","la ",BX5," y ",BX33," se observa los resultados  de la  ",BX4," el cual aborda ",BY1062,",en donde se demuestra que el ",ROUND(BZ8*100,0),"%"," de los ",BX1045," tienen una percepción de ",CA1046,", el ",ROUND(BZ9*100,0),"%"," ",CA1047,", un ",ROUND(BZ10*100,0),"%"," ",CA1048,",",IF(BY1049&gt;0,CONCATENATE(" ademas el ",ROUND(BZ11*100,0),"%"," ",CA1049,)," "),IF(BY1049&gt;0,CONCATENATE(" y ",ROUND(BZ12*100,0),"%",", ",CA1050,)," "),"en tal sentido la mayoría de los ",BX1045," es decir el ",ROUND(BY1053*100,0),"%"," tienen una percepción con una inclinación a un valor ",BX1056,","," para ",BY1062,".")</f>
        <v>En la Tabla 9 y Figura. 9 se observa los resultados  de la  Pregunta 9 el cual aborda ,en donde se demuestra que el 50% de los Docentess tienen una percepción de Nunca, el 30% Casi Nunca, un 15% A veces, ademas el 0% Siempre y 5%,  en tal sentido la mayoría de los Docentess es decir el 95% tienen una percepción con una inclinación a un valor Bajo, para .</v>
      </c>
      <c r="BY35" s="53"/>
      <c r="BZ35" s="53"/>
      <c r="CB35" s="4"/>
      <c r="CE35" s="4"/>
      <c r="CG35" s="52" t="str">
        <f>CONCATENATE("En ","la ",CG5," y ",CG33," se observa los resultados  de la  ",CG4," el cual aborda ",CH1062,",en donde se demuestra que el ",ROUND(CI8*100,0),"%"," de los ",CG1045," tienen una percepción de ",CJ1046,", el ",ROUND(CI9*100,0),"%"," ",CJ1047,", un ",ROUND(CI10*100,0),"%"," ",CJ1048,",",IF(CH1049&gt;0,CONCATENATE(" ademas el ",ROUND(CI11*100,0),"%"," ",CJ1049,)," "),IF(CH1049&gt;0,CONCATENATE(" y ",ROUND(CI12*100,0),"%",", ",CJ1050,)," "),"en tal sentido la mayoría de los ",CG1045," es decir el ",ROUND(CH1053*100,0),"%"," tienen una percepción con una inclinación a un valor ",CG1056,","," para ",CH1062,".")</f>
        <v>En la Tabla 10 y Figura. 10 se observa los resultados  de la  Pregunta 10 el cual aborda ,en donde se demuestra que el 35% de los Docentess tienen una percepción de Casi Nunca, el 45% Nunca, un 15% A veces, ademas el 0% Siempre y 5%,  en tal sentido la mayoría de los Docentess es decir el 95% tienen una percepción con una inclinación a un valor Bajo, para .</v>
      </c>
      <c r="CH35" s="53"/>
      <c r="CI35" s="53"/>
      <c r="CK35" s="4"/>
      <c r="CN35" s="4"/>
      <c r="CP35" s="52" t="str">
        <f>CONCATENATE("En ","la ",CP5," y ",CP33," se observa los resultados  de la  ",CP4," el cual aborda ",CQ1062,",en donde se demuestra que el ",ROUND(CR8*100,0),"%"," de los ",CP1045," tienen una percepción de ",CS1046,", el ",ROUND(CR9*100,0),"%"," ",CS1047,", un ",ROUND(CR10*100,0),"%"," ",CS1048,",",IF(CQ1049&gt;0,CONCATENATE(" ademas el ",ROUND(CR11*100,0),"%"," ",CS1049,)," "),IF(CQ1049&gt;0,CONCATENATE(" y ",ROUND(CR12*100,0),"%",", ",CS1050,)," "),"en tal sentido la mayoría de los ",CP1045," es decir el ",ROUND(CQ1053*100,0),"%"," tienen una percepción con una inclinación a un valor ",CP1056,","," para ",CQ1062,".")</f>
        <v>En la Tabla 11 y Figura. 11 se observa los resultados  de la  Pregunta 11 el cual aborda ,en donde se demuestra que el 35% de los Docentess tienen una percepción de Casi Nunca, el 45% Nunca, un 15% A veces, ademas el 0% Siempre y 5%,  en tal sentido la mayoría de los Docentess es decir el 95% tienen una percepción con una inclinación a un valor Bajo, para .</v>
      </c>
      <c r="CQ35" s="53"/>
      <c r="CR35" s="53"/>
      <c r="CT35" s="4"/>
      <c r="CW35" s="4"/>
      <c r="CY35" s="52" t="str">
        <f>CONCATENATE("En ","la ",CY5," y ",CY33," se observa los resultados  de la  ",CY4," el cual aborda ",CZ1062,",en donde se demuestra que el ",ROUND(DA8*100,0),"%"," de los ",CY1045," tienen una percepción de ",DB1046,", el ",ROUND(DA9*100,0),"%"," ",DB1047,", un ",ROUND(DA10*100,0),"%"," ",DB1048,",",IF(CZ1049&gt;0,CONCATENATE(" ademas el ",ROUND(DA11*100,0),"%"," ",DB1049,)," "),IF(CZ1049&gt;0,CONCATENATE(" y ",ROUND(DA12*100,0),"%",", ",DB1050,)," "),"en tal sentido la mayoría de los ",CY1045," es decir el ",ROUND(CZ1053*100,0),"%"," tienen una percepción con una inclinación a un valor ",CY1056,","," para ",CZ1062,".")</f>
        <v>En la Tabla 12 y Figura. 12 se observa los resultados  de la  Pregunta 12 el cual aborda ,en donde se demuestra que el 50% de los Docentess tienen una percepción de Nunca, el 35% Casi Nunca, un 0% Casi siempre, ademas el 10% Siempre y 5%,  en tal sentido la mayoría de los Docentess es decir el 85% tienen una percepción con una inclinación a un valor Bajo, para .</v>
      </c>
      <c r="CZ35" s="53"/>
      <c r="DA35" s="53"/>
      <c r="DC35" s="4"/>
    </row>
    <row r="36" spans="2:107" x14ac:dyDescent="0.25">
      <c r="B36" s="4"/>
      <c r="D36" s="53"/>
      <c r="E36" s="53"/>
      <c r="F36" s="53"/>
      <c r="H36" s="4"/>
      <c r="K36" s="4"/>
      <c r="M36" s="53"/>
      <c r="N36" s="53"/>
      <c r="O36" s="53"/>
      <c r="Q36" s="4"/>
      <c r="T36" s="4"/>
      <c r="V36" s="53"/>
      <c r="W36" s="53"/>
      <c r="X36" s="53"/>
      <c r="Z36" s="4"/>
      <c r="AC36" s="4"/>
      <c r="AE36" s="53"/>
      <c r="AF36" s="53"/>
      <c r="AG36" s="53"/>
      <c r="AI36" s="4"/>
      <c r="AL36" s="4"/>
      <c r="AN36" s="53"/>
      <c r="AO36" s="53"/>
      <c r="AP36" s="53"/>
      <c r="AR36" s="4"/>
      <c r="AU36" s="4"/>
      <c r="AW36" s="53"/>
      <c r="AX36" s="53"/>
      <c r="AY36" s="53"/>
      <c r="BA36" s="4"/>
      <c r="BD36" s="4"/>
      <c r="BF36" s="53"/>
      <c r="BG36" s="53"/>
      <c r="BH36" s="53"/>
      <c r="BJ36" s="4"/>
      <c r="BM36" s="4"/>
      <c r="BO36" s="53"/>
      <c r="BP36" s="53"/>
      <c r="BQ36" s="53"/>
      <c r="BS36" s="4"/>
      <c r="BV36" s="4"/>
      <c r="BX36" s="53"/>
      <c r="BY36" s="53"/>
      <c r="BZ36" s="53"/>
      <c r="CB36" s="4"/>
      <c r="CE36" s="4"/>
      <c r="CG36" s="53"/>
      <c r="CH36" s="53"/>
      <c r="CI36" s="53"/>
      <c r="CK36" s="4"/>
      <c r="CN36" s="4"/>
      <c r="CP36" s="53"/>
      <c r="CQ36" s="53"/>
      <c r="CR36" s="53"/>
      <c r="CT36" s="4"/>
      <c r="CW36" s="4"/>
      <c r="CY36" s="53"/>
      <c r="CZ36" s="53"/>
      <c r="DA36" s="53"/>
      <c r="DC36" s="4"/>
    </row>
    <row r="37" spans="2:107" x14ac:dyDescent="0.25">
      <c r="B37" s="4"/>
      <c r="D37" s="53"/>
      <c r="E37" s="53"/>
      <c r="F37" s="53"/>
      <c r="H37" s="4"/>
      <c r="K37" s="4"/>
      <c r="M37" s="53"/>
      <c r="N37" s="53"/>
      <c r="O37" s="53"/>
      <c r="Q37" s="4"/>
      <c r="T37" s="4"/>
      <c r="V37" s="53"/>
      <c r="W37" s="53"/>
      <c r="X37" s="53"/>
      <c r="Z37" s="4"/>
      <c r="AC37" s="4"/>
      <c r="AE37" s="53"/>
      <c r="AF37" s="53"/>
      <c r="AG37" s="53"/>
      <c r="AI37" s="4"/>
      <c r="AL37" s="4"/>
      <c r="AN37" s="53"/>
      <c r="AO37" s="53"/>
      <c r="AP37" s="53"/>
      <c r="AR37" s="4"/>
      <c r="AU37" s="4"/>
      <c r="AW37" s="53"/>
      <c r="AX37" s="53"/>
      <c r="AY37" s="53"/>
      <c r="BA37" s="4"/>
      <c r="BD37" s="4"/>
      <c r="BF37" s="53"/>
      <c r="BG37" s="53"/>
      <c r="BH37" s="53"/>
      <c r="BJ37" s="4"/>
      <c r="BM37" s="4"/>
      <c r="BO37" s="53"/>
      <c r="BP37" s="53"/>
      <c r="BQ37" s="53"/>
      <c r="BS37" s="4"/>
      <c r="BV37" s="4"/>
      <c r="BX37" s="53"/>
      <c r="BY37" s="53"/>
      <c r="BZ37" s="53"/>
      <c r="CB37" s="4"/>
      <c r="CE37" s="4"/>
      <c r="CG37" s="53"/>
      <c r="CH37" s="53"/>
      <c r="CI37" s="53"/>
      <c r="CK37" s="4"/>
      <c r="CN37" s="4"/>
      <c r="CP37" s="53"/>
      <c r="CQ37" s="53"/>
      <c r="CR37" s="53"/>
      <c r="CT37" s="4"/>
      <c r="CW37" s="4"/>
      <c r="CY37" s="53"/>
      <c r="CZ37" s="53"/>
      <c r="DA37" s="53"/>
      <c r="DC37" s="4"/>
    </row>
    <row r="38" spans="2:107" x14ac:dyDescent="0.25">
      <c r="B38" s="4"/>
      <c r="D38" s="53"/>
      <c r="E38" s="53"/>
      <c r="F38" s="53"/>
      <c r="H38" s="4"/>
      <c r="K38" s="4"/>
      <c r="M38" s="53"/>
      <c r="N38" s="53"/>
      <c r="O38" s="53"/>
      <c r="Q38" s="4"/>
      <c r="T38" s="4"/>
      <c r="V38" s="53"/>
      <c r="W38" s="53"/>
      <c r="X38" s="53"/>
      <c r="Z38" s="4"/>
      <c r="AC38" s="4"/>
      <c r="AE38" s="53"/>
      <c r="AF38" s="53"/>
      <c r="AG38" s="53"/>
      <c r="AI38" s="4"/>
      <c r="AL38" s="4"/>
      <c r="AN38" s="53"/>
      <c r="AO38" s="53"/>
      <c r="AP38" s="53"/>
      <c r="AR38" s="4"/>
      <c r="AU38" s="4"/>
      <c r="AW38" s="53"/>
      <c r="AX38" s="53"/>
      <c r="AY38" s="53"/>
      <c r="BA38" s="4"/>
      <c r="BD38" s="4"/>
      <c r="BF38" s="53"/>
      <c r="BG38" s="53"/>
      <c r="BH38" s="53"/>
      <c r="BJ38" s="4"/>
      <c r="BM38" s="4"/>
      <c r="BO38" s="53"/>
      <c r="BP38" s="53"/>
      <c r="BQ38" s="53"/>
      <c r="BS38" s="4"/>
      <c r="BV38" s="4"/>
      <c r="BX38" s="53"/>
      <c r="BY38" s="53"/>
      <c r="BZ38" s="53"/>
      <c r="CB38" s="4"/>
      <c r="CE38" s="4"/>
      <c r="CG38" s="53"/>
      <c r="CH38" s="53"/>
      <c r="CI38" s="53"/>
      <c r="CK38" s="4"/>
      <c r="CN38" s="4"/>
      <c r="CP38" s="53"/>
      <c r="CQ38" s="53"/>
      <c r="CR38" s="53"/>
      <c r="CT38" s="4"/>
      <c r="CW38" s="4"/>
      <c r="CY38" s="53"/>
      <c r="CZ38" s="53"/>
      <c r="DA38" s="53"/>
      <c r="DC38" s="4"/>
    </row>
    <row r="39" spans="2:107" x14ac:dyDescent="0.25">
      <c r="B39" s="4"/>
      <c r="D39" s="53"/>
      <c r="E39" s="53"/>
      <c r="F39" s="53"/>
      <c r="H39" s="4"/>
      <c r="K39" s="4"/>
      <c r="M39" s="53"/>
      <c r="N39" s="53"/>
      <c r="O39" s="53"/>
      <c r="Q39" s="4"/>
      <c r="T39" s="4"/>
      <c r="V39" s="53"/>
      <c r="W39" s="53"/>
      <c r="X39" s="53"/>
      <c r="Z39" s="4"/>
      <c r="AC39" s="4"/>
      <c r="AE39" s="53"/>
      <c r="AF39" s="53"/>
      <c r="AG39" s="53"/>
      <c r="AI39" s="4"/>
      <c r="AL39" s="4"/>
      <c r="AN39" s="53"/>
      <c r="AO39" s="53"/>
      <c r="AP39" s="53"/>
      <c r="AR39" s="4"/>
      <c r="AU39" s="4"/>
      <c r="AW39" s="53"/>
      <c r="AX39" s="53"/>
      <c r="AY39" s="53"/>
      <c r="BA39" s="4"/>
      <c r="BD39" s="4"/>
      <c r="BF39" s="53"/>
      <c r="BG39" s="53"/>
      <c r="BH39" s="53"/>
      <c r="BJ39" s="4"/>
      <c r="BM39" s="4"/>
      <c r="BO39" s="53"/>
      <c r="BP39" s="53"/>
      <c r="BQ39" s="53"/>
      <c r="BS39" s="4"/>
      <c r="BV39" s="4"/>
      <c r="BX39" s="53"/>
      <c r="BY39" s="53"/>
      <c r="BZ39" s="53"/>
      <c r="CB39" s="4"/>
      <c r="CE39" s="4"/>
      <c r="CG39" s="53"/>
      <c r="CH39" s="53"/>
      <c r="CI39" s="53"/>
      <c r="CK39" s="4"/>
      <c r="CN39" s="4"/>
      <c r="CP39" s="53"/>
      <c r="CQ39" s="53"/>
      <c r="CR39" s="53"/>
      <c r="CT39" s="4"/>
      <c r="CW39" s="4"/>
      <c r="CY39" s="53"/>
      <c r="CZ39" s="53"/>
      <c r="DA39" s="53"/>
      <c r="DC39" s="4"/>
    </row>
    <row r="40" spans="2:107" x14ac:dyDescent="0.25">
      <c r="D40" s="53"/>
      <c r="E40" s="53"/>
      <c r="F40" s="53"/>
      <c r="M40" s="53"/>
      <c r="N40" s="53"/>
      <c r="O40" s="53"/>
      <c r="V40" s="53"/>
      <c r="W40" s="53"/>
      <c r="X40" s="53"/>
      <c r="AE40" s="53"/>
      <c r="AF40" s="53"/>
      <c r="AG40" s="53"/>
      <c r="AN40" s="53"/>
      <c r="AO40" s="53"/>
      <c r="AP40" s="53"/>
      <c r="AW40" s="53"/>
      <c r="AX40" s="53"/>
      <c r="AY40" s="53"/>
      <c r="BF40" s="53"/>
      <c r="BG40" s="53"/>
      <c r="BH40" s="53"/>
      <c r="BO40" s="53"/>
      <c r="BP40" s="53"/>
      <c r="BQ40" s="53"/>
      <c r="BX40" s="53"/>
      <c r="BY40" s="53"/>
      <c r="BZ40" s="53"/>
      <c r="CG40" s="53"/>
      <c r="CH40" s="53"/>
      <c r="CI40" s="53"/>
      <c r="CP40" s="53"/>
      <c r="CQ40" s="53"/>
      <c r="CR40" s="53"/>
      <c r="CY40" s="53"/>
      <c r="CZ40" s="53"/>
      <c r="DA40" s="53"/>
    </row>
    <row r="41" spans="2:107" x14ac:dyDescent="0.25">
      <c r="D41" s="53"/>
      <c r="E41" s="53"/>
      <c r="F41" s="53"/>
      <c r="M41" s="53"/>
      <c r="N41" s="53"/>
      <c r="O41" s="53"/>
      <c r="V41" s="53"/>
      <c r="W41" s="53"/>
      <c r="X41" s="53"/>
      <c r="AE41" s="53"/>
      <c r="AF41" s="53"/>
      <c r="AG41" s="53"/>
      <c r="AN41" s="53"/>
      <c r="AO41" s="53"/>
      <c r="AP41" s="53"/>
      <c r="AW41" s="53"/>
      <c r="AX41" s="53"/>
      <c r="AY41" s="53"/>
      <c r="BF41" s="53"/>
      <c r="BG41" s="53"/>
      <c r="BH41" s="53"/>
      <c r="BO41" s="53"/>
      <c r="BP41" s="53"/>
      <c r="BQ41" s="53"/>
      <c r="BX41" s="53"/>
      <c r="BY41" s="53"/>
      <c r="BZ41" s="53"/>
      <c r="CG41" s="53"/>
      <c r="CH41" s="53"/>
      <c r="CI41" s="53"/>
      <c r="CP41" s="53"/>
      <c r="CQ41" s="53"/>
      <c r="CR41" s="53"/>
      <c r="CY41" s="53"/>
      <c r="CZ41" s="53"/>
      <c r="DA41" s="53"/>
    </row>
    <row r="42" spans="2:107" x14ac:dyDescent="0.25">
      <c r="D42" s="53"/>
      <c r="E42" s="53"/>
      <c r="F42" s="53"/>
      <c r="M42" s="53"/>
      <c r="N42" s="53"/>
      <c r="O42" s="53"/>
      <c r="V42" s="53"/>
      <c r="W42" s="53"/>
      <c r="X42" s="53"/>
      <c r="AE42" s="53"/>
      <c r="AF42" s="53"/>
      <c r="AG42" s="53"/>
      <c r="AN42" s="53"/>
      <c r="AO42" s="53"/>
      <c r="AP42" s="53"/>
      <c r="AW42" s="53"/>
      <c r="AX42" s="53"/>
      <c r="AY42" s="53"/>
      <c r="BF42" s="53"/>
      <c r="BG42" s="53"/>
      <c r="BH42" s="53"/>
      <c r="BO42" s="53"/>
      <c r="BP42" s="53"/>
      <c r="BQ42" s="53"/>
      <c r="BX42" s="53"/>
      <c r="BY42" s="53"/>
      <c r="BZ42" s="53"/>
      <c r="CG42" s="53"/>
      <c r="CH42" s="53"/>
      <c r="CI42" s="53"/>
      <c r="CP42" s="53"/>
      <c r="CQ42" s="53"/>
      <c r="CR42" s="53"/>
      <c r="CY42" s="53"/>
      <c r="CZ42" s="53"/>
      <c r="DA42" s="53"/>
    </row>
    <row r="43" spans="2:107" x14ac:dyDescent="0.25">
      <c r="D43" s="53"/>
      <c r="E43" s="53"/>
      <c r="F43" s="53"/>
      <c r="M43" s="53"/>
      <c r="N43" s="53"/>
      <c r="O43" s="53"/>
      <c r="V43" s="53"/>
      <c r="W43" s="53"/>
      <c r="X43" s="53"/>
      <c r="AE43" s="53"/>
      <c r="AF43" s="53"/>
      <c r="AG43" s="53"/>
      <c r="AN43" s="53"/>
      <c r="AO43" s="53"/>
      <c r="AP43" s="53"/>
      <c r="AW43" s="53"/>
      <c r="AX43" s="53"/>
      <c r="AY43" s="53"/>
      <c r="BF43" s="53"/>
      <c r="BG43" s="53"/>
      <c r="BH43" s="53"/>
      <c r="BO43" s="53"/>
      <c r="BP43" s="53"/>
      <c r="BQ43" s="53"/>
      <c r="BX43" s="53"/>
      <c r="BY43" s="53"/>
      <c r="BZ43" s="53"/>
      <c r="CG43" s="53"/>
      <c r="CH43" s="53"/>
      <c r="CI43" s="53"/>
      <c r="CP43" s="53"/>
      <c r="CQ43" s="53"/>
      <c r="CR43" s="53"/>
      <c r="CY43" s="53"/>
      <c r="CZ43" s="53"/>
      <c r="DA43" s="53"/>
    </row>
    <row r="1045" spans="3:106" x14ac:dyDescent="0.25">
      <c r="D1045" s="21" t="s">
        <v>88</v>
      </c>
      <c r="E1045" s="21"/>
      <c r="M1045" s="21" t="s">
        <v>88</v>
      </c>
      <c r="N1045" s="21"/>
      <c r="V1045" s="21" t="s">
        <v>88</v>
      </c>
      <c r="W1045" s="21"/>
      <c r="AE1045" s="21" t="s">
        <v>88</v>
      </c>
      <c r="AF1045" s="21"/>
      <c r="AN1045" s="21" t="s">
        <v>88</v>
      </c>
      <c r="AO1045" s="21"/>
      <c r="AW1045" s="21" t="s">
        <v>88</v>
      </c>
      <c r="AX1045" s="21"/>
      <c r="BF1045" s="21" t="s">
        <v>88</v>
      </c>
      <c r="BG1045" s="21"/>
      <c r="BO1045" s="21" t="s">
        <v>88</v>
      </c>
      <c r="BP1045" s="21"/>
      <c r="BX1045" s="21" t="s">
        <v>88</v>
      </c>
      <c r="BY1045" s="21"/>
      <c r="CG1045" s="21" t="s">
        <v>88</v>
      </c>
      <c r="CH1045" s="21"/>
      <c r="CP1045" s="21" t="s">
        <v>88</v>
      </c>
      <c r="CQ1045" s="21"/>
      <c r="CY1045" s="21" t="s">
        <v>88</v>
      </c>
      <c r="CZ1045" s="21"/>
    </row>
    <row r="1046" spans="3:106" x14ac:dyDescent="0.25">
      <c r="C1046" s="21">
        <v>1</v>
      </c>
      <c r="D1046" s="21" t="str">
        <f>IF(E1046=F8,D8,IF(E1046=F9,D9,IF(E1046=F10,D10,IF(E1046=F11,D11,IF(E1046=F12,D12,"ALGO ESTA MAL")))))</f>
        <v>Nunca</v>
      </c>
      <c r="E1046" s="22">
        <f>LARGE($F$8:$F$12,C1046)</f>
        <v>0.45</v>
      </c>
      <c r="F1046" s="22">
        <f>IF(E1046&gt;0.1%,E1046,"Algo Esta Mal")</f>
        <v>0.45</v>
      </c>
      <c r="G1046" s="21" t="str">
        <f>IF(F1046=E1046,D1046," ")</f>
        <v>Nunca</v>
      </c>
      <c r="L1046" s="21">
        <v>1</v>
      </c>
      <c r="M1046" s="21" t="str">
        <f>IF(N1046=O8,M8,IF(N1046=O9,M9,IF(N1046=O10,M10,IF(N1046=O11,M11,IF(N1046=O12,M12,"ALGO ESTA MAL")))))</f>
        <v>Casi Nunca</v>
      </c>
      <c r="N1046" s="22">
        <f>LARGE($O$8:$O$12,L1046)</f>
        <v>0.45</v>
      </c>
      <c r="O1046" s="22">
        <f>IF(N1046&gt;0.1%,N1046,"Algo Esta Mal")</f>
        <v>0.45</v>
      </c>
      <c r="P1046" s="21" t="str">
        <f>IF(O1046=N1046,M1046," ")</f>
        <v>Casi Nunca</v>
      </c>
      <c r="U1046" s="21">
        <v>1</v>
      </c>
      <c r="V1046" s="21" t="str">
        <f>IF(W1046=X8,V8,IF(W1046=X9,V9,IF(W1046=X10,V10,IF(W1046=X11,V11,IF(W1046=X12,V12,"ALGO ESTA MAL")))))</f>
        <v>Nunca</v>
      </c>
      <c r="W1046" s="22">
        <f>LARGE($X$8:$X$12,U1046)</f>
        <v>0.45</v>
      </c>
      <c r="X1046" s="22">
        <f>IF(W1046&gt;0.1%,W1046,"Algo Esta Mal")</f>
        <v>0.45</v>
      </c>
      <c r="Y1046" s="21" t="str">
        <f>IF(X1046=W1046,V1046," ")</f>
        <v>Nunca</v>
      </c>
      <c r="AD1046" s="21">
        <v>1</v>
      </c>
      <c r="AE1046" s="21" t="str">
        <f>IF(AF1046=AG8,AE8,IF(AF1046=AG9,AE9,IF(AF1046=AG10,AE10,IF(AF1046=AG11,AE11,IF(AF1046=AG12,AE12,"ALGO ESTA MAL")))))</f>
        <v>Nunca</v>
      </c>
      <c r="AF1046" s="22">
        <f>LARGE($AG$8:$AG$12,AD1046)</f>
        <v>0.5</v>
      </c>
      <c r="AG1046" s="22">
        <f>IF(AF1046&gt;0.1%,AF1046,"Algo Esta Mal")</f>
        <v>0.5</v>
      </c>
      <c r="AH1046" s="21" t="str">
        <f>IF(AG1046=AF1046,AE1046," ")</f>
        <v>Nunca</v>
      </c>
      <c r="AM1046" s="21">
        <v>1</v>
      </c>
      <c r="AN1046" s="21" t="str">
        <f>IF(AO1046=AP8,AN8,IF(AO1046=AP9,AN9,IF(AO1046=AP10,AN10,IF(AO1046=AP11,AN11,IF(AO1046=AP12,AN12,"ALGO ESTA MAL")))))</f>
        <v>Nunca</v>
      </c>
      <c r="AO1046" s="22">
        <f>LARGE($AP$8:$AP$12,AM1046)</f>
        <v>0.45</v>
      </c>
      <c r="AP1046" s="22">
        <f>IF(AO1046&gt;0.1%,AO1046,"Algo Esta Mal")</f>
        <v>0.45</v>
      </c>
      <c r="AQ1046" s="21" t="str">
        <f>IF(AP1046=AO1046,AN1046," ")</f>
        <v>Nunca</v>
      </c>
      <c r="AV1046" s="21">
        <v>1</v>
      </c>
      <c r="AW1046" s="21" t="str">
        <f>IF(AX1046=AY8,AW8,IF(AX1046=AY9,AW9,IF(AX1046=AY10,AW10,IF(AX1046=AY11,AW11,IF(AX1046=AY12,AW12,"ALGO ESTA MAL")))))</f>
        <v>Nunca</v>
      </c>
      <c r="AX1046" s="22">
        <f>LARGE($AY$8:$AY$12,AV1046)</f>
        <v>0.5</v>
      </c>
      <c r="AY1046" s="22">
        <f>IF(AX1046&gt;0.1%,AX1046,"Algo Esta Mal")</f>
        <v>0.5</v>
      </c>
      <c r="AZ1046" s="21" t="str">
        <f>IF(AY1046=AX1046,AW1046," ")</f>
        <v>Nunca</v>
      </c>
      <c r="BE1046" s="21">
        <v>1</v>
      </c>
      <c r="BF1046" s="21" t="str">
        <f>IF(BG1046=BH8,BF8,IF(BG1046=BH9,BF9,IF(BG1046=BH10,BF10,IF(BG1046=BH11,BF11,IF(BG1046=BH12,BF12,"ALGO ESTA MAL")))))</f>
        <v>Casi Nunca</v>
      </c>
      <c r="BG1046" s="22">
        <f>LARGE($BH$8:$BH$12,BE1046)</f>
        <v>0.55000000000000004</v>
      </c>
      <c r="BH1046" s="22">
        <f>IF(BG1046&gt;0.1%,BG1046,"Algo Esta Mal")</f>
        <v>0.55000000000000004</v>
      </c>
      <c r="BI1046" s="21" t="str">
        <f>IF(BH1046=BG1046,BF1046," ")</f>
        <v>Casi Nunca</v>
      </c>
      <c r="BN1046" s="21">
        <v>1</v>
      </c>
      <c r="BO1046" s="21" t="str">
        <f>IF(BP1046=BQ8,BO8,IF(BP1046=BQ9,BO9,IF(BP1046=BQ10,BO10,IF(BP1046=BQ11,BO11,IF(BP1046=BQ12,BO12,"ALGO ESTA MAL")))))</f>
        <v>Nunca</v>
      </c>
      <c r="BP1046" s="22">
        <f>LARGE($BQ$8:$BQ$12,BN1046)</f>
        <v>0.4</v>
      </c>
      <c r="BQ1046" s="22">
        <f>IF(BP1046&gt;0.1%,BP1046,"Algo Esta Mal")</f>
        <v>0.4</v>
      </c>
      <c r="BR1046" s="21" t="str">
        <f>IF(BQ1046=BP1046,BO1046," ")</f>
        <v>Nunca</v>
      </c>
      <c r="BW1046" s="21">
        <v>1</v>
      </c>
      <c r="BX1046" s="21" t="str">
        <f>IF(BY1046=BZ8,BX8,IF(BY1046=BZ9,BX9,IF(BY1046=BZ10,BX10,IF(BY1046=BZ11,BX11,IF(BY1046=BZ12,BX12,"ALGO ESTA MAL")))))</f>
        <v>Nunca</v>
      </c>
      <c r="BY1046" s="22">
        <f>LARGE($BZ$8:$BZ$12,BW1046)</f>
        <v>0.5</v>
      </c>
      <c r="BZ1046" s="22">
        <f>IF(BY1046&gt;0.1%,BY1046,"Algo Esta Mal")</f>
        <v>0.5</v>
      </c>
      <c r="CA1046" s="21" t="str">
        <f>IF(BZ1046=BY1046,BX1046," ")</f>
        <v>Nunca</v>
      </c>
      <c r="CF1046" s="21">
        <v>1</v>
      </c>
      <c r="CG1046" s="21" t="str">
        <f>IF(CH1046=CI8,CG8,IF(CH1046=CI9,CG9,IF(CH1046=CI10,CG10,IF(CH1046=CI11,CG11,IF(CH1046=CI12,CG12,"ALGO ESTA MAL")))))</f>
        <v>Casi Nunca</v>
      </c>
      <c r="CH1046" s="22">
        <f>LARGE($CI$8:$CI$12,CF1046)</f>
        <v>0.45</v>
      </c>
      <c r="CI1046" s="22">
        <f>IF(CH1046&gt;0.1%,CH1046,"Algo Esta Mal")</f>
        <v>0.45</v>
      </c>
      <c r="CJ1046" s="21" t="str">
        <f>IF(CI1046=CH1046,CG1046," ")</f>
        <v>Casi Nunca</v>
      </c>
      <c r="CO1046" s="21">
        <v>1</v>
      </c>
      <c r="CP1046" s="21" t="str">
        <f>IF(CQ1046=CR8,CP8,IF(CQ1046=CR9,CP9,IF(CQ1046=CR10,CP10,IF(CQ1046=CR11,CP11,IF(CQ1046=CR12,CP12,"ALGO ESTA MAL")))))</f>
        <v>Casi Nunca</v>
      </c>
      <c r="CQ1046" s="22">
        <f>LARGE($CR$8:$CR$12,CO1046)</f>
        <v>0.45</v>
      </c>
      <c r="CR1046" s="22">
        <f>IF(CQ1046&gt;0.1%,CQ1046,"Algo Esta Mal")</f>
        <v>0.45</v>
      </c>
      <c r="CS1046" s="21" t="str">
        <f>IF(CR1046=CQ1046,CP1046," ")</f>
        <v>Casi Nunca</v>
      </c>
      <c r="CX1046" s="21">
        <v>1</v>
      </c>
      <c r="CY1046" s="21" t="str">
        <f>IF(CZ1046=DA8,CY8,IF(CZ1046=DA9,CY9,IF(CZ1046=DA10,CY10,IF(CZ1046=DA11,CY11,IF(CZ1046=DA12,CY12,"ALGO ESTA MAL")))))</f>
        <v>Nunca</v>
      </c>
      <c r="CZ1046" s="22">
        <f>LARGE($DA$8:$DA$12,CX1046)</f>
        <v>0.5</v>
      </c>
      <c r="DA1046" s="22">
        <f>IF(CZ1046&gt;0.1%,CZ1046,"Algo Esta Mal")</f>
        <v>0.5</v>
      </c>
      <c r="DB1046" s="21" t="str">
        <f>IF(DA1046=CZ1046,CY1046," ")</f>
        <v>Nunca</v>
      </c>
    </row>
    <row r="1047" spans="3:106" x14ac:dyDescent="0.25">
      <c r="C1047" s="21">
        <v>2</v>
      </c>
      <c r="D1047" s="21" t="str">
        <f>IF(E1047=F8,D8,IF(E1047=F9,D9,IF(E1047=F10,D10,IF(E1047=F11,D11,IF(E1047=F12,D12,"ALGO ESTA MAL")))))</f>
        <v>Casi Nunca</v>
      </c>
      <c r="E1047" s="22">
        <f>LARGE($F$8:$F$12,C1047)</f>
        <v>0.4</v>
      </c>
      <c r="F1047" s="22">
        <f>IF(E1047&gt;0.1%,E1047,"Algo Esta Mal")</f>
        <v>0.4</v>
      </c>
      <c r="G1047" s="21" t="str">
        <f>IF(F1047=E1047,D1047," ")</f>
        <v>Casi Nunca</v>
      </c>
      <c r="L1047" s="21">
        <v>2</v>
      </c>
      <c r="M1047" s="21" t="str">
        <f>IF(N1047=O8,M8,IF(N1047=O9,M9,IF(N1047=O10,M10,IF(N1047=O11,M11,IF(N1047=O12,M12,"ALGO ESTA MAL")))))</f>
        <v>Nunca</v>
      </c>
      <c r="N1047" s="22">
        <f>LARGE($O$8:$O$12,L1047)</f>
        <v>0.4</v>
      </c>
      <c r="O1047" s="22">
        <f>IF(N1047&gt;0.1%,N1047,"Algo Esta Mal")</f>
        <v>0.4</v>
      </c>
      <c r="P1047" s="21" t="str">
        <f>IF(O1047=N1047,M1047," ")</f>
        <v>Nunca</v>
      </c>
      <c r="U1047" s="21">
        <v>2</v>
      </c>
      <c r="V1047" s="21" t="str">
        <f>IF(W1047=X8,V8,IF(W1047=X9,V9,IF(W1047=X10,V10,IF(W1047=X11,V11,IF(W1047=X12,V12,"ALGO ESTA MAL")))))</f>
        <v>Casi Nunca</v>
      </c>
      <c r="W1047" s="22">
        <f>LARGE($X$8:$X$12,U1047)</f>
        <v>0.35</v>
      </c>
      <c r="X1047" s="22">
        <f>IF(W1047&gt;0.1%,W1047,"Algo Esta Mal")</f>
        <v>0.35</v>
      </c>
      <c r="Y1047" s="21" t="str">
        <f>IF(X1047=W1047,V1047," ")</f>
        <v>Casi Nunca</v>
      </c>
      <c r="AD1047" s="21">
        <v>2</v>
      </c>
      <c r="AE1047" s="21" t="str">
        <f>IF(AF1047=AG8,AE8,IF(AF1047=AG9,AE9,IF(AF1047=AG10,AE10,IF(AF1047=AG11,AE11,IF(AF1047=AG12,AE12,"ALGO ESTA MAL")))))</f>
        <v>Casi Nunca</v>
      </c>
      <c r="AF1047" s="22">
        <f>LARGE($AG$8:$AG$12,AD1047)</f>
        <v>0.3</v>
      </c>
      <c r="AG1047" s="22">
        <f>IF(AF1047&gt;0.1%,AF1047,"Algo Esta Mal")</f>
        <v>0.3</v>
      </c>
      <c r="AH1047" s="21" t="str">
        <f>IF(AG1047=AF1047,AE1047," ")</f>
        <v>Casi Nunca</v>
      </c>
      <c r="AM1047" s="21">
        <v>2</v>
      </c>
      <c r="AN1047" s="21" t="str">
        <f>IF(AO1047=AP8,AN8,IF(AO1047=AP9,AN9,IF(AO1047=AP10,AN10,IF(AO1047=AP11,AN11,IF(AO1047=AP12,AN12,"ALGO ESTA MAL")))))</f>
        <v>Casi Nunca</v>
      </c>
      <c r="AO1047" s="22">
        <f>LARGE($AP$8:$AP$12,AM1047)</f>
        <v>0.35</v>
      </c>
      <c r="AP1047" s="22">
        <f>IF(AO1047&gt;0.1%,AO1047,"Algo Esta Mal")</f>
        <v>0.35</v>
      </c>
      <c r="AQ1047" s="21" t="str">
        <f>IF(AP1047=AO1047,AN1047," ")</f>
        <v>Casi Nunca</v>
      </c>
      <c r="AV1047" s="21">
        <v>2</v>
      </c>
      <c r="AW1047" s="21" t="str">
        <f>IF(AX1047=AY8,AW8,IF(AX1047=AY9,AW9,IF(AX1047=AY10,AW10,IF(AX1047=AY11,AW11,IF(AX1047=AY12,AW12,"ALGO ESTA MAL")))))</f>
        <v>Casi Nunca</v>
      </c>
      <c r="AX1047" s="22">
        <f>LARGE($AY$8:$AY$12,AV1047)</f>
        <v>0.3</v>
      </c>
      <c r="AY1047" s="22">
        <f>IF(AX1047&gt;0.1%,AX1047,"Algo Esta Mal")</f>
        <v>0.3</v>
      </c>
      <c r="AZ1047" s="21" t="str">
        <f>IF(AY1047=AX1047,AW1047," ")</f>
        <v>Casi Nunca</v>
      </c>
      <c r="BE1047" s="21">
        <v>2</v>
      </c>
      <c r="BF1047" s="21" t="str">
        <f>IF(BG1047=BH8,BF8,IF(BG1047=BH9,BF9,IF(BG1047=BH10,BF10,IF(BG1047=BH11,BF11,IF(BG1047=BH12,BF12,"ALGO ESTA MAL")))))</f>
        <v>Nunca</v>
      </c>
      <c r="BG1047" s="22">
        <f>LARGE($BH$8:$BH$12,BE1047)</f>
        <v>0.3</v>
      </c>
      <c r="BH1047" s="22">
        <f>IF(BG1047&gt;0.1%,BG1047,"Algo Esta Mal")</f>
        <v>0.3</v>
      </c>
      <c r="BI1047" s="21" t="str">
        <f>IF(BH1047=BG1047,BF1047," ")</f>
        <v>Nunca</v>
      </c>
      <c r="BN1047" s="21">
        <v>2</v>
      </c>
      <c r="BO1047" s="21" t="str">
        <f>IF(BP1047=BQ8,BO8,IF(BP1047=BQ9,BO9,IF(BP1047=BQ10,BO10,IF(BP1047=BQ11,BO11,IF(BP1047=BQ12,BO12,"ALGO ESTA MAL")))))</f>
        <v>Nunca</v>
      </c>
      <c r="BP1047" s="22">
        <f>LARGE($BQ$8:$BQ$12,BN1047)</f>
        <v>0.4</v>
      </c>
      <c r="BQ1047" s="22">
        <f>IF(BP1047&gt;0.1%,BP1047,"Algo Esta Mal")</f>
        <v>0.4</v>
      </c>
      <c r="BR1047" s="21" t="str">
        <f>IF(BQ1047=BP1047,BO1047," ")</f>
        <v>Nunca</v>
      </c>
      <c r="BW1047" s="21">
        <v>2</v>
      </c>
      <c r="BX1047" s="21" t="str">
        <f>IF(BY1047=BZ8,BX8,IF(BY1047=BZ9,BX9,IF(BY1047=BZ10,BX10,IF(BY1047=BZ11,BX11,IF(BY1047=BZ12,BX12,"ALGO ESTA MAL")))))</f>
        <v>Casi Nunca</v>
      </c>
      <c r="BY1047" s="22">
        <f>LARGE($BZ$8:$BZ$12,BW1047)</f>
        <v>0.3</v>
      </c>
      <c r="BZ1047" s="22">
        <f>IF(BY1047&gt;0.1%,BY1047,"Algo Esta Mal")</f>
        <v>0.3</v>
      </c>
      <c r="CA1047" s="21" t="str">
        <f>IF(BZ1047=BY1047,BX1047," ")</f>
        <v>Casi Nunca</v>
      </c>
      <c r="CF1047" s="21">
        <v>2</v>
      </c>
      <c r="CG1047" s="21" t="str">
        <f>IF(CH1047=CI8,CG8,IF(CH1047=CI9,CG9,IF(CH1047=CI10,CG10,IF(CH1047=CI11,CG11,IF(CH1047=CI12,CG12,"ALGO ESTA MAL")))))</f>
        <v>Nunca</v>
      </c>
      <c r="CH1047" s="22">
        <f>LARGE($CI$8:$CI$12,CF1047)</f>
        <v>0.35</v>
      </c>
      <c r="CI1047" s="22">
        <f>IF(CH1047&gt;0.1%,CH1047,"Algo Esta Mal")</f>
        <v>0.35</v>
      </c>
      <c r="CJ1047" s="21" t="str">
        <f>IF(CI1047=CH1047,CG1047," ")</f>
        <v>Nunca</v>
      </c>
      <c r="CO1047" s="21">
        <v>2</v>
      </c>
      <c r="CP1047" s="21" t="str">
        <f>IF(CQ1047=CR8,CP8,IF(CQ1047=CR9,CP9,IF(CQ1047=CR10,CP10,IF(CQ1047=CR11,CP11,IF(CQ1047=CR12,CP12,"ALGO ESTA MAL")))))</f>
        <v>Nunca</v>
      </c>
      <c r="CQ1047" s="22">
        <f>LARGE($CR$8:$CR$12,CO1047)</f>
        <v>0.35</v>
      </c>
      <c r="CR1047" s="22">
        <f>IF(CQ1047&gt;0.1%,CQ1047,"Algo Esta Mal")</f>
        <v>0.35</v>
      </c>
      <c r="CS1047" s="21" t="str">
        <f>IF(CR1047=CQ1047,CP1047," ")</f>
        <v>Nunca</v>
      </c>
      <c r="CX1047" s="21">
        <v>2</v>
      </c>
      <c r="CY1047" s="21" t="str">
        <f>IF(CZ1047=DA8,CY8,IF(CZ1047=DA9,CY9,IF(CZ1047=DA10,CY10,IF(CZ1047=DA11,CY11,IF(CZ1047=DA12,CY12,"ALGO ESTA MAL")))))</f>
        <v>Casi Nunca</v>
      </c>
      <c r="CZ1047" s="22">
        <f>LARGE($DA$8:$DA$12,CX1047)</f>
        <v>0.35</v>
      </c>
      <c r="DA1047" s="22">
        <f>IF(CZ1047&gt;0.1%,CZ1047,"Algo Esta Mal")</f>
        <v>0.35</v>
      </c>
      <c r="DB1047" s="21" t="str">
        <f>IF(DA1047=CZ1047,CY1047," ")</f>
        <v>Casi Nunca</v>
      </c>
    </row>
    <row r="1048" spans="3:106" x14ac:dyDescent="0.25">
      <c r="C1048" s="21">
        <v>3</v>
      </c>
      <c r="D1048" s="21" t="str">
        <f>IF(E1048=F8,D8,IF(E1048=F9,D9,IF(E1048=F10,D10,IF(E1048=F11,D11,IF(E1048=F12,D12,"ALGO ESTA MAL")))))</f>
        <v>Siempre</v>
      </c>
      <c r="E1048" s="22">
        <f>LARGE($F$8:$F$12,C1048)</f>
        <v>0.1</v>
      </c>
      <c r="F1048" s="22">
        <f>IF(E1048&gt;0.1%,E1048,"Algo Esta Mal")</f>
        <v>0.1</v>
      </c>
      <c r="G1048" s="21" t="str">
        <f>IF(F1048=E1048,D1048," ")</f>
        <v>Siempre</v>
      </c>
      <c r="L1048" s="21">
        <v>3</v>
      </c>
      <c r="M1048" s="21" t="str">
        <f>IF(N1048=O8,M8,IF(N1048=O9,M9,IF(N1048=O10,M10,IF(N1048=O11,M11,IF(N1048=O12,M12,"ALGO ESTA MAL")))))</f>
        <v>Casi siempre</v>
      </c>
      <c r="N1048" s="22">
        <f>LARGE($O$8:$O$12,L1048)</f>
        <v>0.1</v>
      </c>
      <c r="O1048" s="22">
        <f>IF(N1048&gt;0.1%,N1048,"Algo Esta Mal")</f>
        <v>0.1</v>
      </c>
      <c r="P1048" s="21" t="str">
        <f>IF(O1048=N1048,M1048," ")</f>
        <v>Casi siempre</v>
      </c>
      <c r="U1048" s="21">
        <v>3</v>
      </c>
      <c r="V1048" s="21" t="str">
        <f>IF(W1048=X8,V8,IF(W1048=X9,V9,IF(W1048=X10,V10,IF(W1048=X11,V11,IF(W1048=X12,V12,"ALGO ESTA MAL")))))</f>
        <v>Siempre</v>
      </c>
      <c r="W1048" s="22">
        <f>LARGE($X$8:$X$12,U1048)</f>
        <v>0.1</v>
      </c>
      <c r="X1048" s="22">
        <f>IF(W1048&gt;0.1%,W1048,"Algo Esta Mal")</f>
        <v>0.1</v>
      </c>
      <c r="Y1048" s="21" t="str">
        <f>IF(X1048=W1048,V1048," ")</f>
        <v>Siempre</v>
      </c>
      <c r="AD1048" s="21">
        <v>3</v>
      </c>
      <c r="AE1048" s="21" t="str">
        <f>IF(AF1048=AG8,AE8,IF(AF1048=AG9,AE9,IF(AF1048=AG10,AE10,IF(AF1048=AG11,AE11,IF(AF1048=AG12,AE12,"ALGO ESTA MAL")))))</f>
        <v>A veces</v>
      </c>
      <c r="AF1048" s="22">
        <f>LARGE($AG$8:$AG$12,AD1048)</f>
        <v>0.1</v>
      </c>
      <c r="AG1048" s="22">
        <f>IF(AF1048&gt;0.1%,AF1048,"Algo Esta Mal")</f>
        <v>0.1</v>
      </c>
      <c r="AH1048" s="21" t="str">
        <f>IF(AG1048=AF1048,AE1048," ")</f>
        <v>A veces</v>
      </c>
      <c r="AM1048" s="21">
        <v>3</v>
      </c>
      <c r="AN1048" s="21" t="str">
        <f>IF(AO1048=AP8,AN8,IF(AO1048=AP9,AN9,IF(AO1048=AP10,AN10,IF(AO1048=AP11,AN11,IF(AO1048=AP12,AN12,"ALGO ESTA MAL")))))</f>
        <v>Siempre</v>
      </c>
      <c r="AO1048" s="22">
        <f>LARGE($AP$8:$AP$12,AM1048)</f>
        <v>0.1</v>
      </c>
      <c r="AP1048" s="22">
        <f>IF(AO1048&gt;0.1%,AO1048,"Algo Esta Mal")</f>
        <v>0.1</v>
      </c>
      <c r="AQ1048" s="21" t="str">
        <f>IF(AP1048=AO1048,AN1048," ")</f>
        <v>Siempre</v>
      </c>
      <c r="AV1048" s="21">
        <v>3</v>
      </c>
      <c r="AW1048" s="21" t="str">
        <f>IF(AX1048=AY8,AW8,IF(AX1048=AY9,AW9,IF(AX1048=AY10,AW10,IF(AX1048=AY11,AW11,IF(AX1048=AY12,AW12,"ALGO ESTA MAL")))))</f>
        <v>A veces</v>
      </c>
      <c r="AX1048" s="22">
        <f>LARGE($AY$8:$AY$12,AV1048)</f>
        <v>0.1</v>
      </c>
      <c r="AY1048" s="22">
        <f>IF(AX1048&gt;0.1%,AX1048,"Algo Esta Mal")</f>
        <v>0.1</v>
      </c>
      <c r="AZ1048" s="21" t="str">
        <f>IF(AY1048=AX1048,AW1048," ")</f>
        <v>A veces</v>
      </c>
      <c r="BE1048" s="21">
        <v>3</v>
      </c>
      <c r="BF1048" s="21" t="str">
        <f>IF(BG1048=BH8,BF8,IF(BG1048=BH9,BF9,IF(BG1048=BH10,BF10,IF(BG1048=BH11,BF11,IF(BG1048=BH12,BF12,"ALGO ESTA MAL")))))</f>
        <v>A veces</v>
      </c>
      <c r="BG1048" s="22">
        <f>LARGE($BH$8:$BH$12,BE1048)</f>
        <v>0.05</v>
      </c>
      <c r="BH1048" s="22">
        <f>IF(BG1048&gt;0.1%,BG1048,"Algo Esta Mal")</f>
        <v>0.05</v>
      </c>
      <c r="BI1048" s="21" t="str">
        <f>IF(BH1048=BG1048,BF1048," ")</f>
        <v>A veces</v>
      </c>
      <c r="BN1048" s="21">
        <v>3</v>
      </c>
      <c r="BO1048" s="21" t="str">
        <f>IF(BP1048=BQ8,BO8,IF(BP1048=BQ9,BO9,IF(BP1048=BQ10,BO10,IF(BP1048=BQ11,BO11,IF(BP1048=BQ12,BO12,"ALGO ESTA MAL")))))</f>
        <v>A veces</v>
      </c>
      <c r="BP1048" s="22">
        <f>LARGE($BQ$8:$BQ$12,BN1048)</f>
        <v>0.1</v>
      </c>
      <c r="BQ1048" s="22">
        <f>IF(BP1048&gt;0.1%,BP1048,"Algo Esta Mal")</f>
        <v>0.1</v>
      </c>
      <c r="BR1048" s="21" t="str">
        <f>IF(BQ1048=BP1048,BO1048," ")</f>
        <v>A veces</v>
      </c>
      <c r="BW1048" s="21">
        <v>3</v>
      </c>
      <c r="BX1048" s="21" t="str">
        <f>IF(BY1048=BZ8,BX8,IF(BY1048=BZ9,BX9,IF(BY1048=BZ10,BX10,IF(BY1048=BZ11,BX11,IF(BY1048=BZ12,BX12,"ALGO ESTA MAL")))))</f>
        <v>A veces</v>
      </c>
      <c r="BY1048" s="22">
        <f>LARGE($BZ$8:$BZ$12,BW1048)</f>
        <v>0.15</v>
      </c>
      <c r="BZ1048" s="22">
        <f>IF(BY1048&gt;0.1%,BY1048,"Algo Esta Mal")</f>
        <v>0.15</v>
      </c>
      <c r="CA1048" s="21" t="str">
        <f>IF(BZ1048=BY1048,BX1048," ")</f>
        <v>A veces</v>
      </c>
      <c r="CF1048" s="21">
        <v>3</v>
      </c>
      <c r="CG1048" s="21" t="str">
        <f>IF(CH1048=CI8,CG8,IF(CH1048=CI9,CG9,IF(CH1048=CI10,CG10,IF(CH1048=CI11,CG11,IF(CH1048=CI12,CG12,"ALGO ESTA MAL")))))</f>
        <v>A veces</v>
      </c>
      <c r="CH1048" s="22">
        <f>LARGE($CI$8:$CI$12,CF1048)</f>
        <v>0.15</v>
      </c>
      <c r="CI1048" s="22">
        <f>IF(CH1048&gt;0.1%,CH1048,"Algo Esta Mal")</f>
        <v>0.15</v>
      </c>
      <c r="CJ1048" s="21" t="str">
        <f>IF(CI1048=CH1048,CG1048," ")</f>
        <v>A veces</v>
      </c>
      <c r="CO1048" s="21">
        <v>3</v>
      </c>
      <c r="CP1048" s="21" t="str">
        <f>IF(CQ1048=CR8,CP8,IF(CQ1048=CR9,CP9,IF(CQ1048=CR10,CP10,IF(CQ1048=CR11,CP11,IF(CQ1048=CR12,CP12,"ALGO ESTA MAL")))))</f>
        <v>A veces</v>
      </c>
      <c r="CQ1048" s="22">
        <f>LARGE($CR$8:$CR$12,CO1048)</f>
        <v>0.15</v>
      </c>
      <c r="CR1048" s="22">
        <f>IF(CQ1048&gt;0.1%,CQ1048,"Algo Esta Mal")</f>
        <v>0.15</v>
      </c>
      <c r="CS1048" s="21" t="str">
        <f>IF(CR1048=CQ1048,CP1048," ")</f>
        <v>A veces</v>
      </c>
      <c r="CX1048" s="21">
        <v>3</v>
      </c>
      <c r="CY1048" s="21" t="str">
        <f>IF(CZ1048=DA8,CY8,IF(CZ1048=DA9,CY9,IF(CZ1048=DA10,CY10,IF(CZ1048=DA11,CY11,IF(CZ1048=DA12,CY12,"ALGO ESTA MAL")))))</f>
        <v>Casi siempre</v>
      </c>
      <c r="CZ1048" s="22">
        <f>LARGE($DA$8:$DA$12,CX1048)</f>
        <v>0.1</v>
      </c>
      <c r="DA1048" s="22">
        <f>IF(CZ1048&gt;0.1%,CZ1048,"Algo Esta Mal")</f>
        <v>0.1</v>
      </c>
      <c r="DB1048" s="21" t="str">
        <f>IF(DA1048=CZ1048,CY1048," ")</f>
        <v>Casi siempre</v>
      </c>
    </row>
    <row r="1049" spans="3:106" x14ac:dyDescent="0.25">
      <c r="C1049" s="21">
        <v>4</v>
      </c>
      <c r="D1049" s="21" t="str">
        <f>IF(E1049=F8,D8,IF(E1049=F9,D9,IF(E1049=F10,D10,IF(E1049=F11,D11,IF(E1049=F12,D12,"ALGO ESTA MAL")))))</f>
        <v>A veces</v>
      </c>
      <c r="E1049" s="22">
        <f>LARGE($F$8:$F$12,C1049)</f>
        <v>0.05</v>
      </c>
      <c r="F1049" s="22">
        <f>IF(E1049&gt;0.1%,E1049,"Algo Esta Mal")</f>
        <v>0.05</v>
      </c>
      <c r="G1049" s="21" t="str">
        <f>IF(F1049=E1049,D1049," ")</f>
        <v>A veces</v>
      </c>
      <c r="L1049" s="21">
        <v>4</v>
      </c>
      <c r="M1049" s="21" t="str">
        <f>IF(N1049=O8,M8,IF(N1049=O9,M9,IF(N1049=O10,M10,IF(N1049=O11,M11,IF(N1049=O12,M12,"ALGO ESTA MAL")))))</f>
        <v>A veces</v>
      </c>
      <c r="N1049" s="22">
        <f>LARGE($O$8:$O$12,L1049)</f>
        <v>0.05</v>
      </c>
      <c r="O1049" s="22">
        <f>IF(N1049&gt;0.1%,N1049,"Algo Esta Mal")</f>
        <v>0.05</v>
      </c>
      <c r="P1049" s="21" t="str">
        <f>IF(O1049=N1049,M1049," ")</f>
        <v>A veces</v>
      </c>
      <c r="U1049" s="21">
        <v>4</v>
      </c>
      <c r="V1049" s="21" t="str">
        <f>IF(W1049=X8,V8,IF(W1049=X9,V9,IF(W1049=X10,V10,IF(W1049=X11,V11,IF(W1049=X12,V12,"ALGO ESTA MAL")))))</f>
        <v>A veces</v>
      </c>
      <c r="W1049" s="22">
        <f>LARGE($X$8:$X$12,U1049)</f>
        <v>0.05</v>
      </c>
      <c r="X1049" s="22">
        <f>IF(W1049&gt;0.1%,W1049,"Algo Esta Mal")</f>
        <v>0.05</v>
      </c>
      <c r="Y1049" s="21" t="str">
        <f>IF(X1049=W1049,V1049," ")</f>
        <v>A veces</v>
      </c>
      <c r="AD1049" s="21">
        <v>4</v>
      </c>
      <c r="AE1049" s="21" t="str">
        <f>IF(AF1049=AG8,AE8,IF(AF1049=AG9,AE9,IF(AF1049=AG10,AE10,IF(AF1049=AG11,AE11,IF(AF1049=AG12,AE12,"ALGO ESTA MAL")))))</f>
        <v>A veces</v>
      </c>
      <c r="AF1049" s="22">
        <f>LARGE($AG$8:$AG$12,AD1049)</f>
        <v>0.1</v>
      </c>
      <c r="AG1049" s="22">
        <f>IF(AF1049&gt;0.1%,AF1049,"Algo Esta Mal")</f>
        <v>0.1</v>
      </c>
      <c r="AH1049" s="21" t="str">
        <f>IF(AG1049=AF1049,AE1049," ")</f>
        <v>A veces</v>
      </c>
      <c r="AM1049" s="21">
        <v>4</v>
      </c>
      <c r="AN1049" s="21" t="str">
        <f>IF(AO1049=AP8,AN8,IF(AO1049=AP9,AN9,IF(AO1049=AP10,AN10,IF(AO1049=AP11,AN11,IF(AO1049=AP12,AN12,"ALGO ESTA MAL")))))</f>
        <v>A veces</v>
      </c>
      <c r="AO1049" s="22">
        <f>LARGE($AP$8:$AP$12,AM1049)</f>
        <v>0.05</v>
      </c>
      <c r="AP1049" s="22">
        <f>IF(AO1049&gt;0.1%,AO1049,"Algo Esta Mal")</f>
        <v>0.05</v>
      </c>
      <c r="AQ1049" s="21" t="str">
        <f>IF(AP1049=AO1049,AN1049," ")</f>
        <v>A veces</v>
      </c>
      <c r="AV1049" s="21">
        <v>4</v>
      </c>
      <c r="AW1049" s="21" t="str">
        <f>IF(AX1049=AY8,AW8,IF(AX1049=AY9,AW9,IF(AX1049=AY10,AW10,IF(AX1049=AY11,AW11,IF(AX1049=AY12,AW12,"ALGO ESTA MAL")))))</f>
        <v>A veces</v>
      </c>
      <c r="AX1049" s="22">
        <f>LARGE($AY$8:$AY$12,AV1049)</f>
        <v>0.1</v>
      </c>
      <c r="AY1049" s="22">
        <f>IF(AX1049&gt;0.1%,AX1049,"Algo Esta Mal")</f>
        <v>0.1</v>
      </c>
      <c r="AZ1049" s="21" t="str">
        <f>IF(AY1049=AX1049,AW1049," ")</f>
        <v>A veces</v>
      </c>
      <c r="BE1049" s="21">
        <v>4</v>
      </c>
      <c r="BF1049" s="21" t="str">
        <f>IF(BG1049=BH8,BF8,IF(BG1049=BH9,BF9,IF(BG1049=BH10,BF10,IF(BG1049=BH11,BF11,IF(BG1049=BH12,BF12,"ALGO ESTA MAL")))))</f>
        <v>A veces</v>
      </c>
      <c r="BG1049" s="22">
        <f>LARGE($BH$8:$BH$12,BE1049)</f>
        <v>0.05</v>
      </c>
      <c r="BH1049" s="22">
        <f>IF(BG1049&gt;0.1%,BG1049,"Algo Esta Mal")</f>
        <v>0.05</v>
      </c>
      <c r="BI1049" s="21" t="str">
        <f>IF(BH1049=BG1049,BF1049," ")</f>
        <v>A veces</v>
      </c>
      <c r="BN1049" s="21">
        <v>4</v>
      </c>
      <c r="BO1049" s="21" t="str">
        <f>IF(BP1049=BQ8,BO8,IF(BP1049=BQ9,BO9,IF(BP1049=BQ10,BO10,IF(BP1049=BQ11,BO11,IF(BP1049=BQ12,BO12,"ALGO ESTA MAL")))))</f>
        <v>A veces</v>
      </c>
      <c r="BP1049" s="22">
        <f>LARGE($BQ$8:$BQ$12,BN1049)</f>
        <v>0.1</v>
      </c>
      <c r="BQ1049" s="22">
        <f>IF(BP1049&gt;0.1%,BP1049,"Algo Esta Mal")</f>
        <v>0.1</v>
      </c>
      <c r="BR1049" s="21" t="str">
        <f>IF(BQ1049=BP1049,BO1049," ")</f>
        <v>A veces</v>
      </c>
      <c r="BW1049" s="21">
        <v>4</v>
      </c>
      <c r="BX1049" s="21" t="str">
        <f>IF(BY1049=BZ8,BX8,IF(BY1049=BZ9,BX9,IF(BY1049=BZ10,BX10,IF(BY1049=BZ11,BX11,IF(BY1049=BZ12,BX12,"ALGO ESTA MAL")))))</f>
        <v>Siempre</v>
      </c>
      <c r="BY1049" s="22">
        <f>LARGE($BZ$8:$BZ$12,BW1049)</f>
        <v>0.05</v>
      </c>
      <c r="BZ1049" s="22">
        <f>IF(BY1049&gt;0.1%,BY1049,"Algo Esta Mal")</f>
        <v>0.05</v>
      </c>
      <c r="CA1049" s="21" t="str">
        <f>IF(BZ1049=BY1049,BX1049," ")</f>
        <v>Siempre</v>
      </c>
      <c r="CF1049" s="21">
        <v>4</v>
      </c>
      <c r="CG1049" s="21" t="str">
        <f>IF(CH1049=CI8,CG8,IF(CH1049=CI9,CG9,IF(CH1049=CI10,CG10,IF(CH1049=CI11,CG11,IF(CH1049=CI12,CG12,"ALGO ESTA MAL")))))</f>
        <v>Siempre</v>
      </c>
      <c r="CH1049" s="22">
        <f>LARGE($CI$8:$CI$12,CF1049)</f>
        <v>0.05</v>
      </c>
      <c r="CI1049" s="22">
        <f>IF(CH1049&gt;0.1%,CH1049,"Algo Esta Mal")</f>
        <v>0.05</v>
      </c>
      <c r="CJ1049" s="21" t="str">
        <f>IF(CI1049=CH1049,CG1049," ")</f>
        <v>Siempre</v>
      </c>
      <c r="CO1049" s="21">
        <v>4</v>
      </c>
      <c r="CP1049" s="21" t="str">
        <f>IF(CQ1049=CR8,CP8,IF(CQ1049=CR9,CP9,IF(CQ1049=CR10,CP10,IF(CQ1049=CR11,CP11,IF(CQ1049=CR12,CP12,"ALGO ESTA MAL")))))</f>
        <v>Siempre</v>
      </c>
      <c r="CQ1049" s="22">
        <f>LARGE($CR$8:$CR$12,CO1049)</f>
        <v>0.05</v>
      </c>
      <c r="CR1049" s="22">
        <f>IF(CQ1049&gt;0.1%,CQ1049,"Algo Esta Mal")</f>
        <v>0.05</v>
      </c>
      <c r="CS1049" s="21" t="str">
        <f>IF(CR1049=CQ1049,CP1049," ")</f>
        <v>Siempre</v>
      </c>
      <c r="CX1049" s="21">
        <v>4</v>
      </c>
      <c r="CY1049" s="21" t="str">
        <f>IF(CZ1049=DA8,CY8,IF(CZ1049=DA9,CY9,IF(CZ1049=DA10,CY10,IF(CZ1049=DA11,CY11,IF(CZ1049=DA12,CY12,"ALGO ESTA MAL")))))</f>
        <v>Siempre</v>
      </c>
      <c r="CZ1049" s="22">
        <f>LARGE($DA$8:$DA$12,CX1049)</f>
        <v>0.05</v>
      </c>
      <c r="DA1049" s="22">
        <f>IF(CZ1049&gt;0.1%,CZ1049,"Algo Esta Mal")</f>
        <v>0.05</v>
      </c>
      <c r="DB1049" s="21" t="str">
        <f>IF(DA1049=CZ1049,CY1049," ")</f>
        <v>Siempre</v>
      </c>
    </row>
    <row r="1050" spans="3:106" x14ac:dyDescent="0.25">
      <c r="C1050" s="21">
        <v>5</v>
      </c>
      <c r="D1050" s="21" t="str">
        <f>IF(E1050=F8,D8,IF(E1050=F9,D9,IF(E1050=F10,D10,IF(E1050=F11,D11,IF(E1050=F12,D12,"ALGO ESTA MAL")))))</f>
        <v>Casi siempre</v>
      </c>
      <c r="E1050" s="22">
        <f>LARGE($F$8:$F$12,C1050)</f>
        <v>0</v>
      </c>
      <c r="F1050" s="22" t="str">
        <f>IF(E1050&gt;0.1%,E1050,"Algo Esta Mal")</f>
        <v>Algo Esta Mal</v>
      </c>
      <c r="G1050" s="21" t="str">
        <f>IF(F1050=E1050,D1050," ")</f>
        <v xml:space="preserve"> </v>
      </c>
      <c r="L1050" s="21">
        <v>5</v>
      </c>
      <c r="M1050" s="21" t="str">
        <f>IF(N1050=O8,M8,IF(N1050=O9,M9,IF(N1050=O10,M10,IF(N1050=O11,M11,IF(N1050=O12,M12,"ALGO ESTA MAL")))))</f>
        <v>Siempre</v>
      </c>
      <c r="N1050" s="22">
        <f>LARGE($O$8:$O$12,L1050)</f>
        <v>0</v>
      </c>
      <c r="O1050" s="22" t="str">
        <f>IF(N1050&gt;0.1%,N1050,"Algo Esta Mal")</f>
        <v>Algo Esta Mal</v>
      </c>
      <c r="P1050" s="21" t="str">
        <f>IF(O1050=N1050,M1050," ")</f>
        <v xml:space="preserve"> </v>
      </c>
      <c r="U1050" s="21">
        <v>5</v>
      </c>
      <c r="V1050" s="21" t="str">
        <f>IF(W1050=X8,V8,IF(W1050=X9,V9,IF(W1050=X10,V10,IF(W1050=X11,V11,IF(W1050=X12,V12,"ALGO ESTA MAL")))))</f>
        <v>A veces</v>
      </c>
      <c r="W1050" s="22">
        <f>LARGE($X$8:$X$12,U1050)</f>
        <v>0.05</v>
      </c>
      <c r="X1050" s="22">
        <f>IF(W1050&gt;0.1%,W1050,"Algo Esta Mal")</f>
        <v>0.05</v>
      </c>
      <c r="Y1050" s="21" t="str">
        <f>IF(X1050=W1050,V1050," ")</f>
        <v>A veces</v>
      </c>
      <c r="AD1050" s="21">
        <v>5</v>
      </c>
      <c r="AE1050" s="21" t="str">
        <f>IF(AF1050=AG8,AE8,IF(AF1050=AG9,AE9,IF(AF1050=AG10,AE10,IF(AF1050=AG11,AE11,IF(AF1050=AG12,AE12,"ALGO ESTA MAL")))))</f>
        <v>Casi siempre</v>
      </c>
      <c r="AF1050" s="22">
        <f>LARGE($AG$8:$AG$12,AD1050)</f>
        <v>0</v>
      </c>
      <c r="AG1050" s="22" t="str">
        <f>IF(AF1050&gt;0.1%,AF1050,"Algo Esta Mal")</f>
        <v>Algo Esta Mal</v>
      </c>
      <c r="AH1050" s="21" t="str">
        <f>IF(AG1050=AF1050,AE1050," ")</f>
        <v xml:space="preserve"> </v>
      </c>
      <c r="AM1050" s="21">
        <v>5</v>
      </c>
      <c r="AN1050" s="21" t="str">
        <f>IF(AO1050=AP8,AN8,IF(AO1050=AP9,AN9,IF(AO1050=AP10,AN10,IF(AO1050=AP11,AN11,IF(AO1050=AP12,AN12,"ALGO ESTA MAL")))))</f>
        <v>A veces</v>
      </c>
      <c r="AO1050" s="22">
        <f>LARGE($AP$8:$AP$12,AM1050)</f>
        <v>0.05</v>
      </c>
      <c r="AP1050" s="22">
        <f>IF(AO1050&gt;0.1%,AO1050,"Algo Esta Mal")</f>
        <v>0.05</v>
      </c>
      <c r="AQ1050" s="21" t="str">
        <f>IF(AP1050=AO1050,AN1050," ")</f>
        <v>A veces</v>
      </c>
      <c r="AV1050" s="21">
        <v>5</v>
      </c>
      <c r="AW1050" s="21" t="str">
        <f>IF(AX1050=AY8,AW8,IF(AX1050=AY9,AW9,IF(AX1050=AY10,AW10,IF(AX1050=AY11,AW11,IF(AX1050=AY12,AW12,"ALGO ESTA MAL")))))</f>
        <v>Casi siempre</v>
      </c>
      <c r="AX1050" s="22">
        <f>LARGE($AY$8:$AY$12,AV1050)</f>
        <v>0</v>
      </c>
      <c r="AY1050" s="22" t="str">
        <f>IF(AX1050&gt;0.1%,AX1050,"Algo Esta Mal")</f>
        <v>Algo Esta Mal</v>
      </c>
      <c r="AZ1050" s="21" t="str">
        <f>IF(AY1050=AX1050,AW1050," ")</f>
        <v xml:space="preserve"> </v>
      </c>
      <c r="BE1050" s="21">
        <v>5</v>
      </c>
      <c r="BF1050" s="21" t="str">
        <f>IF(BG1050=BH8,BF8,IF(BG1050=BH9,BF9,IF(BG1050=BH10,BF10,IF(BG1050=BH11,BF11,IF(BG1050=BH12,BF12,"ALGO ESTA MAL")))))</f>
        <v>A veces</v>
      </c>
      <c r="BG1050" s="22">
        <f>LARGE($BH$8:$BH$12,BE1050)</f>
        <v>0.05</v>
      </c>
      <c r="BH1050" s="22">
        <f>IF(BG1050&gt;0.1%,BG1050,"Algo Esta Mal")</f>
        <v>0.05</v>
      </c>
      <c r="BI1050" s="21" t="str">
        <f>IF(BH1050=BG1050,BF1050," ")</f>
        <v>A veces</v>
      </c>
      <c r="BN1050" s="21">
        <v>5</v>
      </c>
      <c r="BO1050" s="21" t="str">
        <f>IF(BP1050=BQ8,BO8,IF(BP1050=BQ9,BO9,IF(BP1050=BQ10,BO10,IF(BP1050=BQ11,BO11,IF(BP1050=BQ12,BO12,"ALGO ESTA MAL")))))</f>
        <v>Siempre</v>
      </c>
      <c r="BP1050" s="22">
        <f>LARGE($BQ$8:$BQ$12,BN1050)</f>
        <v>0</v>
      </c>
      <c r="BQ1050" s="22" t="str">
        <f>IF(BP1050&gt;0.1%,BP1050,"Algo Esta Mal")</f>
        <v>Algo Esta Mal</v>
      </c>
      <c r="BR1050" s="21" t="str">
        <f>IF(BQ1050=BP1050,BO1050," ")</f>
        <v xml:space="preserve"> </v>
      </c>
      <c r="BW1050" s="21">
        <v>5</v>
      </c>
      <c r="BX1050" s="21" t="str">
        <f>IF(BY1050=BZ8,BX8,IF(BY1050=BZ9,BX9,IF(BY1050=BZ10,BX10,IF(BY1050=BZ11,BX11,IF(BY1050=BZ12,BX12,"ALGO ESTA MAL")))))</f>
        <v>Casi siempre</v>
      </c>
      <c r="BY1050" s="22">
        <f>LARGE($BZ$8:$BZ$12,BW1050)</f>
        <v>0</v>
      </c>
      <c r="BZ1050" s="22" t="str">
        <f>IF(BY1050&gt;0.1%,BY1050,"Algo Esta Mal")</f>
        <v>Algo Esta Mal</v>
      </c>
      <c r="CA1050" s="21" t="str">
        <f>IF(BZ1050=BY1050,BX1050," ")</f>
        <v xml:space="preserve"> </v>
      </c>
      <c r="CF1050" s="21">
        <v>5</v>
      </c>
      <c r="CG1050" s="21" t="str">
        <f>IF(CH1050=CI8,CG8,IF(CH1050=CI9,CG9,IF(CH1050=CI10,CG10,IF(CH1050=CI11,CG11,IF(CH1050=CI12,CG12,"ALGO ESTA MAL")))))</f>
        <v>Casi siempre</v>
      </c>
      <c r="CH1050" s="22">
        <f>LARGE($CI$8:$CI$12,CF1050)</f>
        <v>0</v>
      </c>
      <c r="CI1050" s="22" t="str">
        <f>IF(CH1050&gt;0.1%,CH1050,"Algo Esta Mal")</f>
        <v>Algo Esta Mal</v>
      </c>
      <c r="CJ1050" s="21" t="str">
        <f>IF(CI1050=CH1050,CG1050," ")</f>
        <v xml:space="preserve"> </v>
      </c>
      <c r="CO1050" s="21">
        <v>5</v>
      </c>
      <c r="CP1050" s="21" t="str">
        <f>IF(CQ1050=CR8,CP8,IF(CQ1050=CR9,CP9,IF(CQ1050=CR10,CP10,IF(CQ1050=CR11,CP11,IF(CQ1050=CR12,CP12,"ALGO ESTA MAL")))))</f>
        <v>Casi siempre</v>
      </c>
      <c r="CQ1050" s="22">
        <f>LARGE($CR$8:$CR$12,CO1050)</f>
        <v>0</v>
      </c>
      <c r="CR1050" s="22" t="str">
        <f>IF(CQ1050&gt;0.1%,CQ1050,"Algo Esta Mal")</f>
        <v>Algo Esta Mal</v>
      </c>
      <c r="CS1050" s="21" t="str">
        <f>IF(CR1050=CQ1050,CP1050," ")</f>
        <v xml:space="preserve"> </v>
      </c>
      <c r="CX1050" s="21">
        <v>5</v>
      </c>
      <c r="CY1050" s="21" t="str">
        <f>IF(CZ1050=DA8,CY8,IF(CZ1050=DA9,CY9,IF(CZ1050=DA10,CY10,IF(CZ1050=DA11,CY11,IF(CZ1050=DA12,CY12,"ALGO ESTA MAL")))))</f>
        <v>A veces</v>
      </c>
      <c r="CZ1050" s="22">
        <f>LARGE($DA$8:$DA$12,CX1050)</f>
        <v>0</v>
      </c>
      <c r="DA1050" s="22" t="str">
        <f>IF(CZ1050&gt;0.1%,CZ1050,"Algo Esta Mal")</f>
        <v>Algo Esta Mal</v>
      </c>
      <c r="DB1050" s="21" t="str">
        <f>IF(DA1050=CZ1050,CY1050," ")</f>
        <v xml:space="preserve"> </v>
      </c>
    </row>
    <row r="1052" spans="3:106" x14ac:dyDescent="0.25">
      <c r="D1052" s="21" t="s">
        <v>156</v>
      </c>
      <c r="M1052" s="21" t="s">
        <v>156</v>
      </c>
      <c r="V1052" s="21" t="s">
        <v>156</v>
      </c>
      <c r="AE1052" s="21" t="s">
        <v>156</v>
      </c>
      <c r="AN1052" s="21" t="s">
        <v>156</v>
      </c>
      <c r="AW1052" s="21" t="s">
        <v>156</v>
      </c>
      <c r="BF1052" s="21" t="s">
        <v>156</v>
      </c>
      <c r="BO1052" s="21" t="s">
        <v>156</v>
      </c>
      <c r="BX1052" s="21" t="s">
        <v>156</v>
      </c>
      <c r="CG1052" s="21" t="s">
        <v>156</v>
      </c>
      <c r="CP1052" s="21" t="s">
        <v>156</v>
      </c>
      <c r="CY1052" s="21" t="s">
        <v>156</v>
      </c>
    </row>
    <row r="1053" spans="3:106" x14ac:dyDescent="0.25">
      <c r="D1053" s="22">
        <f>SUM(F8:F10)</f>
        <v>0.90000000000000013</v>
      </c>
      <c r="E1053" s="22">
        <f>MAX(D1053:D1054)</f>
        <v>0.90000000000000013</v>
      </c>
      <c r="M1053" s="22">
        <f>SUM(O8:O10)</f>
        <v>0.90000000000000013</v>
      </c>
      <c r="N1053" s="22">
        <f>MAX(M1053:M1054)</f>
        <v>0.90000000000000013</v>
      </c>
      <c r="V1053" s="22">
        <f>SUM(X8:X10)</f>
        <v>0.85000000000000009</v>
      </c>
      <c r="W1053" s="22">
        <f>MAX(V1053:V1054)</f>
        <v>0.85000000000000009</v>
      </c>
      <c r="AE1053" s="22">
        <f>SUM(AG8:AG10)</f>
        <v>0.9</v>
      </c>
      <c r="AF1053" s="22">
        <f>MAX(AE1053:AE1054)</f>
        <v>0.9</v>
      </c>
      <c r="AN1053" s="22">
        <f>SUM(AP8:AP10)</f>
        <v>0.85000000000000009</v>
      </c>
      <c r="AO1053" s="22">
        <f>MAX(AN1053:AN1054)</f>
        <v>0.85000000000000009</v>
      </c>
      <c r="AW1053" s="22">
        <f>SUM(AY8:AY10)</f>
        <v>0.9</v>
      </c>
      <c r="AX1053" s="22">
        <f>MAX(AW1053:AW1054)</f>
        <v>0.9</v>
      </c>
      <c r="BF1053" s="22">
        <f>SUM(BH8:BH10)</f>
        <v>0.90000000000000013</v>
      </c>
      <c r="BG1053" s="22">
        <f>MAX(BF1053:BF1054)</f>
        <v>0.90000000000000013</v>
      </c>
      <c r="BO1053" s="22">
        <f>SUM(BQ8:BQ10)</f>
        <v>0.9</v>
      </c>
      <c r="BP1053" s="22">
        <f>MAX(BO1053:BO1054)</f>
        <v>0.9</v>
      </c>
      <c r="BX1053" s="22">
        <f>SUM(BZ8:BZ10)</f>
        <v>0.95000000000000007</v>
      </c>
      <c r="BY1053" s="22">
        <f>MAX(BX1053:BX1054)</f>
        <v>0.95000000000000007</v>
      </c>
      <c r="CG1053" s="22">
        <f>SUM(CI8:CI10)</f>
        <v>0.95000000000000007</v>
      </c>
      <c r="CH1053" s="22">
        <f>MAX(CG1053:CG1054)</f>
        <v>0.95000000000000007</v>
      </c>
      <c r="CP1053" s="22">
        <f>SUM(CR8:CR10)</f>
        <v>0.95000000000000007</v>
      </c>
      <c r="CQ1053" s="22">
        <f>MAX(CP1053:CP1054)</f>
        <v>0.95000000000000007</v>
      </c>
      <c r="CY1053" s="22">
        <f>SUM(DA8:DA10)</f>
        <v>0.85</v>
      </c>
      <c r="CZ1053" s="22">
        <f>MAX(CY1053:CY1054)</f>
        <v>0.85</v>
      </c>
    </row>
    <row r="1054" spans="3:106" x14ac:dyDescent="0.25">
      <c r="D1054" s="22">
        <f>SUM(F10:F12)</f>
        <v>0.15000000000000002</v>
      </c>
      <c r="M1054" s="22">
        <f>SUM(O10:O12)</f>
        <v>0.15000000000000002</v>
      </c>
      <c r="V1054" s="22">
        <f>SUM(X10:X12)</f>
        <v>0.2</v>
      </c>
      <c r="AE1054" s="22">
        <f>SUM(AG10:AG12)</f>
        <v>0.2</v>
      </c>
      <c r="AN1054" s="22">
        <f>SUM(AP10:AP12)</f>
        <v>0.2</v>
      </c>
      <c r="AW1054" s="22">
        <f>SUM(AY10:AY12)</f>
        <v>0.2</v>
      </c>
      <c r="BF1054" s="22">
        <f>SUM(BH10:BH12)</f>
        <v>0.15000000000000002</v>
      </c>
      <c r="BO1054" s="22">
        <f>SUM(BQ10:BQ12)</f>
        <v>0.2</v>
      </c>
      <c r="BX1054" s="22">
        <f>SUM(BZ10:BZ12)</f>
        <v>0.2</v>
      </c>
      <c r="CG1054" s="22">
        <f>SUM(CI10:CI12)</f>
        <v>0.2</v>
      </c>
      <c r="CP1054" s="22">
        <f>SUM(CR10:CR12)</f>
        <v>0.2</v>
      </c>
      <c r="CY1054" s="22">
        <f>SUM(DA10:DA12)</f>
        <v>0.15000000000000002</v>
      </c>
    </row>
    <row r="1056" spans="3:106" x14ac:dyDescent="0.25">
      <c r="D1056" s="21" t="s">
        <v>169</v>
      </c>
      <c r="E1056" s="22">
        <f>SUM(F8:F9)</f>
        <v>0.85000000000000009</v>
      </c>
      <c r="M1056" s="21" t="s">
        <v>169</v>
      </c>
      <c r="N1056" s="22">
        <f>SUM(O8:O9)</f>
        <v>0.85000000000000009</v>
      </c>
      <c r="V1056" s="21" t="s">
        <v>169</v>
      </c>
      <c r="W1056" s="22">
        <f>SUM(X8:X9)</f>
        <v>0.8</v>
      </c>
      <c r="AE1056" s="21" t="s">
        <v>169</v>
      </c>
      <c r="AF1056" s="22">
        <f>SUM(AG8:AG9)</f>
        <v>0.8</v>
      </c>
      <c r="AN1056" s="21" t="s">
        <v>169</v>
      </c>
      <c r="AO1056" s="22">
        <f>SUM(AP8:AP9)</f>
        <v>0.8</v>
      </c>
      <c r="AW1056" s="21" t="s">
        <v>169</v>
      </c>
      <c r="AX1056" s="22">
        <f>SUM(AY8:AY9)</f>
        <v>0.8</v>
      </c>
      <c r="BF1056" s="21" t="s">
        <v>169</v>
      </c>
      <c r="BG1056" s="22">
        <f>SUM(BH8:BH9)</f>
        <v>0.85000000000000009</v>
      </c>
      <c r="BO1056" s="21" t="s">
        <v>169</v>
      </c>
      <c r="BP1056" s="22">
        <f>SUM(BQ8:BQ9)</f>
        <v>0.8</v>
      </c>
      <c r="BX1056" s="21" t="s">
        <v>169</v>
      </c>
      <c r="BY1056" s="22">
        <f>SUM(BZ8:BZ9)</f>
        <v>0.8</v>
      </c>
      <c r="CG1056" s="21" t="s">
        <v>169</v>
      </c>
      <c r="CH1056" s="22">
        <f>SUM(CI8:CI9)</f>
        <v>0.8</v>
      </c>
      <c r="CP1056" s="21" t="s">
        <v>169</v>
      </c>
      <c r="CQ1056" s="22">
        <f>SUM(CR8:CR9)</f>
        <v>0.8</v>
      </c>
      <c r="CY1056" s="21" t="s">
        <v>169</v>
      </c>
      <c r="CZ1056" s="22">
        <f>SUM(DA8:DA9)</f>
        <v>0.85</v>
      </c>
    </row>
    <row r="1057" spans="4:104" x14ac:dyDescent="0.25">
      <c r="D1057" s="21" t="s">
        <v>170</v>
      </c>
      <c r="E1057" s="22">
        <f>SUM(F10)</f>
        <v>0.05</v>
      </c>
      <c r="M1057" s="21" t="s">
        <v>170</v>
      </c>
      <c r="N1057" s="22">
        <f>SUM(O10)</f>
        <v>0.05</v>
      </c>
      <c r="V1057" s="21" t="s">
        <v>170</v>
      </c>
      <c r="W1057" s="22">
        <f>SUM(X10)</f>
        <v>0.05</v>
      </c>
      <c r="AE1057" s="21" t="s">
        <v>170</v>
      </c>
      <c r="AF1057" s="22">
        <f>SUM(AG10)</f>
        <v>0.1</v>
      </c>
      <c r="AN1057" s="21" t="s">
        <v>170</v>
      </c>
      <c r="AO1057" s="22">
        <f>SUM(AP10)</f>
        <v>0.05</v>
      </c>
      <c r="AW1057" s="21" t="s">
        <v>170</v>
      </c>
      <c r="AX1057" s="22">
        <f>SUM(AY10)</f>
        <v>0.1</v>
      </c>
      <c r="BF1057" s="21" t="s">
        <v>170</v>
      </c>
      <c r="BG1057" s="22">
        <f>SUM(BH10)</f>
        <v>0.05</v>
      </c>
      <c r="BO1057" s="21" t="s">
        <v>170</v>
      </c>
      <c r="BP1057" s="22">
        <f>SUM(BQ10)</f>
        <v>0.1</v>
      </c>
      <c r="BX1057" s="21" t="s">
        <v>170</v>
      </c>
      <c r="BY1057" s="22">
        <f>SUM(BZ10)</f>
        <v>0.15</v>
      </c>
      <c r="CG1057" s="21" t="s">
        <v>170</v>
      </c>
      <c r="CH1057" s="22">
        <f>SUM(CI10)</f>
        <v>0.15</v>
      </c>
      <c r="CP1057" s="21" t="s">
        <v>170</v>
      </c>
      <c r="CQ1057" s="22">
        <f>SUM(CR10)</f>
        <v>0.15</v>
      </c>
      <c r="CY1057" s="21" t="s">
        <v>170</v>
      </c>
      <c r="CZ1057" s="22">
        <f>SUM(DA10)</f>
        <v>0</v>
      </c>
    </row>
    <row r="1058" spans="4:104" x14ac:dyDescent="0.25">
      <c r="D1058" s="21" t="s">
        <v>171</v>
      </c>
      <c r="E1058" s="22">
        <f>SUM(F11:F12)</f>
        <v>0.1</v>
      </c>
      <c r="M1058" s="21" t="s">
        <v>171</v>
      </c>
      <c r="N1058" s="22">
        <f>SUM(O11:O12)</f>
        <v>0.1</v>
      </c>
      <c r="V1058" s="21" t="s">
        <v>171</v>
      </c>
      <c r="W1058" s="22">
        <f>SUM(X11:X12)</f>
        <v>0.15000000000000002</v>
      </c>
      <c r="AE1058" s="21" t="s">
        <v>171</v>
      </c>
      <c r="AF1058" s="22">
        <f>SUM(AG11:AG12)</f>
        <v>0.1</v>
      </c>
      <c r="AN1058" s="21" t="s">
        <v>171</v>
      </c>
      <c r="AO1058" s="22">
        <f>SUM(AP11:AP12)</f>
        <v>0.15000000000000002</v>
      </c>
      <c r="AW1058" s="21" t="s">
        <v>171</v>
      </c>
      <c r="AX1058" s="22">
        <f>SUM(AY11:AY12)</f>
        <v>0.1</v>
      </c>
      <c r="BF1058" s="21" t="s">
        <v>171</v>
      </c>
      <c r="BG1058" s="22">
        <f>SUM(BH11:BH12)</f>
        <v>0.1</v>
      </c>
      <c r="BO1058" s="21" t="s">
        <v>171</v>
      </c>
      <c r="BP1058" s="22">
        <f>SUM(BQ11:BQ12)</f>
        <v>0.1</v>
      </c>
      <c r="BX1058" s="21" t="s">
        <v>171</v>
      </c>
      <c r="BY1058" s="22">
        <f>SUM(BZ11:BZ12)</f>
        <v>0.05</v>
      </c>
      <c r="CG1058" s="21" t="s">
        <v>171</v>
      </c>
      <c r="CH1058" s="22">
        <f>SUM(CI11:CI12)</f>
        <v>0.05</v>
      </c>
      <c r="CP1058" s="21" t="s">
        <v>171</v>
      </c>
      <c r="CQ1058" s="22">
        <f>SUM(CR11:CR12)</f>
        <v>0.05</v>
      </c>
      <c r="CY1058" s="21" t="s">
        <v>171</v>
      </c>
      <c r="CZ1058" s="22">
        <f>SUM(DA11:DA12)</f>
        <v>0.15000000000000002</v>
      </c>
    </row>
    <row r="1060" spans="4:104" x14ac:dyDescent="0.25">
      <c r="E1060" s="21" t="str">
        <f>IF(E1056&gt;=51%,D1056,IF(E1057&gt;=51%,D1057,IF(E1058&gt;=51%,D1058,IF(SUM(E1056:E1057)&gt;SUM(E1057:E1058),D1056,IF(SUM(E1056:E1057)&lt;SUM(E1057:E1058),D1058,"Algo esta Mal")))))</f>
        <v>Bajo</v>
      </c>
      <c r="N1060" s="21" t="str">
        <f>IF(N1056&gt;=51%,M1056,IF(N1057&gt;=51%,M1057,IF(N1058&gt;=51%,M1058,IF(SUM(N1056:N1057)&gt;SUM(N1057:N1058),M1056,IF(SUM(N1056:N1057)&lt;SUM(N1057:N1058),M1058,"Algo esta Mal")))))</f>
        <v>Bajo</v>
      </c>
      <c r="W1060" s="21" t="str">
        <f>IF(W1056&gt;=51%,V1056,IF(W1057&gt;=51%,V1057,IF(W1058&gt;=51%,V1058,IF(SUM(W1056:W1057)&gt;SUM(W1057:W1058),V1056,IF(SUM(W1056:W1057)&lt;SUM(W1057:W1058),V1058,"Algo esta Mal")))))</f>
        <v>Bajo</v>
      </c>
      <c r="AF1060" s="21" t="str">
        <f>IF(AF1056&gt;=51%,AE1056,IF(AF1057&gt;=51%,AE1057,IF(AF1058&gt;=51%,AE1058,IF(SUM(AF1056:AF1057)&gt;SUM(AF1057:AF1058),AE1056,IF(SUM(AF1056:AF1057)&lt;SUM(AF1057:AF1058),AE1058,"Algo esta Mal")))))</f>
        <v>Bajo</v>
      </c>
      <c r="AO1060" s="21" t="str">
        <f>IF(AO1056&gt;=51%,AN1056,IF(AO1057&gt;=51%,AN1057,IF(AO1058&gt;=51%,AN1058,IF(SUM(AO1056:AO1057)&gt;SUM(AO1057:AO1058),AN1056,IF(SUM(AO1056:AO1057)&lt;SUM(AO1057:AO1058),AN1058,"Algo esta Mal")))))</f>
        <v>Bajo</v>
      </c>
      <c r="AX1060" s="21" t="str">
        <f>IF(AX1056&gt;=51%,AW1056,IF(AX1057&gt;=51%,AW1057,IF(AX1058&gt;=51%,AW1058,IF(SUM(AX1056:AX1057)&gt;SUM(AX1057:AX1058),AW1056,IF(SUM(AX1056:AX1057)&lt;SUM(AX1057:AX1058),AW1058,"Algo esta Mal")))))</f>
        <v>Bajo</v>
      </c>
      <c r="BG1060" s="21" t="str">
        <f>IF(BG1056&gt;=51%,BF1056,IF(BG1057&gt;=51%,BF1057,IF(BG1058&gt;=51%,BF1058,IF(SUM(BG1056:BG1057)&gt;SUM(BG1057:BG1058),BF1056,IF(SUM(BG1056:BG1057)&lt;SUM(BG1057:BG1058),BF1058,"Algo esta Mal")))))</f>
        <v>Bajo</v>
      </c>
      <c r="BP1060" s="21" t="str">
        <f>IF(BP1056&gt;=51%,BO1056,IF(BP1057&gt;=51%,BO1057,IF(BP1058&gt;=51%,BO1058,IF(SUM(BP1056:BP1057)&gt;SUM(BP1057:BP1058),BO1056,IF(SUM(BP1056:BP1057)&lt;SUM(BP1057:BP1058),BO1058,"Algo esta Mal")))))</f>
        <v>Bajo</v>
      </c>
      <c r="BY1060" s="21" t="str">
        <f>IF(BY1056&gt;=51%,BX1056,IF(BY1057&gt;=51%,BX1057,IF(BY1058&gt;=51%,BX1058,IF(SUM(BY1056:BY1057)&gt;SUM(BY1057:BY1058),BX1056,IF(SUM(BY1056:BY1057)&lt;SUM(BY1057:BY1058),BX1058,"Algo esta Mal")))))</f>
        <v>Bajo</v>
      </c>
      <c r="CH1060" s="21" t="str">
        <f>IF(CH1056&gt;=51%,CG1056,IF(CH1057&gt;=51%,CG1057,IF(CH1058&gt;=51%,CG1058,IF(SUM(CH1056:CH1057)&gt;SUM(CH1057:CH1058),CG1056,IF(SUM(CH1056:CH1057)&lt;SUM(CH1057:CH1058),CG1058,"Algo esta Mal")))))</f>
        <v>Bajo</v>
      </c>
      <c r="CQ1060" s="21" t="str">
        <f>IF(CQ1056&gt;=51%,CP1056,IF(CQ1057&gt;=51%,CP1057,IF(CQ1058&gt;=51%,CP1058,IF(SUM(CQ1056:CQ1057)&gt;SUM(CQ1057:CQ1058),CP1056,IF(SUM(CQ1056:CQ1057)&lt;SUM(CQ1057:CQ1058),CP1058,"Algo esta Mal")))))</f>
        <v>Bajo</v>
      </c>
      <c r="CZ1060" s="21" t="str">
        <f>IF(CZ1056&gt;=51%,CY1056,IF(CZ1057&gt;=51%,CY1057,IF(CZ1058&gt;=51%,CY1058,IF(SUM(CZ1056:CZ1057)&gt;SUM(CZ1057:CZ1058),CY1056,IF(SUM(CZ1056:CZ1057)&lt;SUM(CZ1057:CZ1058),CY1058,"Algo esta Mal")))))</f>
        <v>Bajo</v>
      </c>
    </row>
    <row r="1062" spans="4:104" x14ac:dyDescent="0.25">
      <c r="E1062" s="21"/>
      <c r="N1062" s="21"/>
      <c r="W1062" s="21"/>
      <c r="AF1062" s="21"/>
      <c r="AO1062" s="21"/>
      <c r="AX1062" s="21"/>
      <c r="BG1062" s="21"/>
      <c r="BP1062" s="21"/>
      <c r="BY1062" s="21"/>
      <c r="CH1062" s="21"/>
      <c r="CQ1062" s="21"/>
      <c r="CZ1062" s="21"/>
    </row>
  </sheetData>
  <sheetProtection formatCells="0" formatColumns="0" formatRows="0" insertColumns="0" insertRows="0" insertHyperlinks="0" deleteColumns="0" deleteRows="0" sort="0" autoFilter="0" pivotTables="0"/>
  <mergeCells count="24">
    <mergeCell ref="CG4:CI4"/>
    <mergeCell ref="CG35:CI43"/>
    <mergeCell ref="CP4:CR4"/>
    <mergeCell ref="CP35:CR43"/>
    <mergeCell ref="CY4:DA4"/>
    <mergeCell ref="CY35:DA43"/>
    <mergeCell ref="BF4:BH4"/>
    <mergeCell ref="BF35:BH43"/>
    <mergeCell ref="BO4:BQ4"/>
    <mergeCell ref="BO35:BQ43"/>
    <mergeCell ref="BX4:BZ4"/>
    <mergeCell ref="BX35:BZ43"/>
    <mergeCell ref="AE4:AG4"/>
    <mergeCell ref="AE35:AG43"/>
    <mergeCell ref="AN4:AP4"/>
    <mergeCell ref="AN35:AP43"/>
    <mergeCell ref="AW4:AY4"/>
    <mergeCell ref="AW35:AY43"/>
    <mergeCell ref="D4:F4"/>
    <mergeCell ref="D35:F43"/>
    <mergeCell ref="M4:O4"/>
    <mergeCell ref="M35:O43"/>
    <mergeCell ref="V4:X4"/>
    <mergeCell ref="V35:X4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B1076"/>
  <sheetViews>
    <sheetView workbookViewId="0">
      <selection activeCell="AE36" sqref="AE36:AG47"/>
    </sheetView>
  </sheetViews>
  <sheetFormatPr baseColWidth="10" defaultColWidth="9.140625" defaultRowHeight="15" x14ac:dyDescent="0.25"/>
  <cols>
    <col min="4" max="6" width="26" customWidth="1"/>
    <col min="13" max="15" width="26" customWidth="1"/>
    <col min="22" max="24" width="26" customWidth="1"/>
    <col min="31" max="33" width="26" customWidth="1"/>
  </cols>
  <sheetData>
    <row r="3" spans="2:35" x14ac:dyDescent="0.25">
      <c r="B3" s="4"/>
      <c r="C3" s="4"/>
      <c r="D3" s="4"/>
      <c r="E3" s="4"/>
      <c r="F3" s="4"/>
      <c r="G3" s="4"/>
      <c r="H3" s="4"/>
      <c r="K3" s="4"/>
      <c r="L3" s="4"/>
      <c r="M3" s="4"/>
      <c r="N3" s="4"/>
      <c r="O3" s="4"/>
      <c r="P3" s="4"/>
      <c r="Q3" s="4"/>
      <c r="T3" s="4"/>
      <c r="U3" s="4"/>
      <c r="V3" s="4"/>
      <c r="W3" s="4"/>
      <c r="X3" s="4"/>
      <c r="Y3" s="4"/>
      <c r="Z3" s="4"/>
      <c r="AC3" s="18"/>
      <c r="AD3" s="18"/>
      <c r="AE3" s="18"/>
      <c r="AF3" s="18"/>
      <c r="AG3" s="18"/>
      <c r="AH3" s="18"/>
      <c r="AI3" s="18"/>
    </row>
    <row r="4" spans="2:35" ht="15.75" x14ac:dyDescent="0.25">
      <c r="B4" s="4"/>
      <c r="D4" s="54" t="s">
        <v>157</v>
      </c>
      <c r="E4" s="55"/>
      <c r="F4" s="55"/>
      <c r="H4" s="4"/>
      <c r="K4" s="4"/>
      <c r="M4" s="54" t="s">
        <v>158</v>
      </c>
      <c r="N4" s="55"/>
      <c r="O4" s="55"/>
      <c r="Q4" s="4"/>
      <c r="T4" s="4"/>
      <c r="V4" s="54" t="s">
        <v>159</v>
      </c>
      <c r="W4" s="55"/>
      <c r="X4" s="55"/>
      <c r="Z4" s="4"/>
      <c r="AC4" s="18"/>
      <c r="AE4" s="54" t="s">
        <v>160</v>
      </c>
      <c r="AF4" s="55"/>
      <c r="AG4" s="55"/>
      <c r="AI4" s="18"/>
    </row>
    <row r="5" spans="2:35" x14ac:dyDescent="0.25">
      <c r="B5" s="4"/>
      <c r="D5" s="3" t="s">
        <v>68</v>
      </c>
      <c r="H5" s="4"/>
      <c r="K5" s="4"/>
      <c r="M5" s="3" t="s">
        <v>69</v>
      </c>
      <c r="Q5" s="4"/>
      <c r="T5" s="4"/>
      <c r="V5" s="3" t="s">
        <v>70</v>
      </c>
      <c r="Z5" s="4"/>
      <c r="AC5" s="18"/>
      <c r="AE5" s="3" t="s">
        <v>71</v>
      </c>
      <c r="AI5" s="18"/>
    </row>
    <row r="6" spans="2:35" x14ac:dyDescent="0.25">
      <c r="B6" s="4"/>
      <c r="D6" s="3" t="s">
        <v>165</v>
      </c>
      <c r="H6" s="4"/>
      <c r="K6" s="4"/>
      <c r="M6" s="3" t="s">
        <v>166</v>
      </c>
      <c r="Q6" s="4"/>
      <c r="T6" s="4"/>
      <c r="V6" s="3" t="s">
        <v>167</v>
      </c>
      <c r="Z6" s="4"/>
      <c r="AC6" s="18"/>
      <c r="AE6" s="3" t="s">
        <v>168</v>
      </c>
      <c r="AI6" s="18"/>
    </row>
    <row r="7" spans="2:35" x14ac:dyDescent="0.25">
      <c r="B7" s="4"/>
      <c r="D7" s="6"/>
      <c r="E7" s="10" t="s">
        <v>73</v>
      </c>
      <c r="F7" s="10" t="s">
        <v>74</v>
      </c>
      <c r="H7" s="4"/>
      <c r="K7" s="4"/>
      <c r="M7" s="6"/>
      <c r="N7" s="10" t="s">
        <v>73</v>
      </c>
      <c r="O7" s="10" t="s">
        <v>74</v>
      </c>
      <c r="Q7" s="4"/>
      <c r="T7" s="4"/>
      <c r="V7" s="6"/>
      <c r="W7" s="10" t="s">
        <v>73</v>
      </c>
      <c r="X7" s="10" t="s">
        <v>74</v>
      </c>
      <c r="Z7" s="4"/>
      <c r="AC7" s="18"/>
      <c r="AE7" s="6"/>
      <c r="AF7" s="10" t="s">
        <v>73</v>
      </c>
      <c r="AG7" s="10" t="s">
        <v>74</v>
      </c>
      <c r="AI7" s="18"/>
    </row>
    <row r="8" spans="2:35" x14ac:dyDescent="0.25">
      <c r="B8" s="4"/>
      <c r="D8" s="17" t="str">
        <f>('Desarrollo de competencias'!A31)</f>
        <v>Nunca</v>
      </c>
      <c r="E8" s="9">
        <f>COUNTIF('Desarrollo de competencias'!B5:E24,1)</f>
        <v>36</v>
      </c>
      <c r="F8" s="13">
        <f>(E8/E13)</f>
        <v>0.45</v>
      </c>
      <c r="H8" s="4"/>
      <c r="K8" s="4"/>
      <c r="M8" s="17" t="str">
        <f>('Desarrollo de competencias'!A31)</f>
        <v>Nunca</v>
      </c>
      <c r="N8" s="9">
        <f>COUNTIF('Desarrollo de competencias'!F5:I24,1)</f>
        <v>33</v>
      </c>
      <c r="O8" s="13">
        <f>(N8/N13)</f>
        <v>0.41249999999999998</v>
      </c>
      <c r="Q8" s="4"/>
      <c r="T8" s="4"/>
      <c r="V8" s="17" t="str">
        <f>('Desarrollo de competencias'!A31)</f>
        <v>Nunca</v>
      </c>
      <c r="W8" s="9">
        <f>COUNTIF('Desarrollo de competencias'!J5:M24,1)</f>
        <v>34</v>
      </c>
      <c r="X8" s="13">
        <f>(W8/W13)</f>
        <v>0.42499999999999999</v>
      </c>
      <c r="Z8" s="4"/>
      <c r="AC8" s="18"/>
      <c r="AE8" s="17" t="str">
        <f>('Desarrollo de competencias'!A31)</f>
        <v>Nunca</v>
      </c>
      <c r="AF8" s="9">
        <f>COUNTIF('Desarrollo de competencias'!B5:M24,1)</f>
        <v>103</v>
      </c>
      <c r="AG8" s="13">
        <f>(AF8/AF13)</f>
        <v>0.42916666666666664</v>
      </c>
      <c r="AI8" s="18"/>
    </row>
    <row r="9" spans="2:35" x14ac:dyDescent="0.25">
      <c r="B9" s="4"/>
      <c r="D9" s="17" t="str">
        <f>('Desarrollo de competencias'!A32)</f>
        <v>Casi Nunca</v>
      </c>
      <c r="E9" s="9">
        <f>COUNTIF('Desarrollo de competencias'!B5:E24,2)</f>
        <v>30</v>
      </c>
      <c r="F9" s="13">
        <f>(E9/E13)</f>
        <v>0.375</v>
      </c>
      <c r="H9" s="4"/>
      <c r="K9" s="4"/>
      <c r="M9" s="17" t="str">
        <f>('Desarrollo de competencias'!A32)</f>
        <v>Casi Nunca</v>
      </c>
      <c r="N9" s="9">
        <f>COUNTIF('Desarrollo de competencias'!F5:I24,2)</f>
        <v>32</v>
      </c>
      <c r="O9" s="13">
        <f>(N9/N13)</f>
        <v>0.4</v>
      </c>
      <c r="Q9" s="4"/>
      <c r="T9" s="4"/>
      <c r="V9" s="17" t="str">
        <f>('Desarrollo de competencias'!A32)</f>
        <v>Casi Nunca</v>
      </c>
      <c r="W9" s="9">
        <f>COUNTIF('Desarrollo de competencias'!J5:M24,2)</f>
        <v>31</v>
      </c>
      <c r="X9" s="13">
        <f>(W9/W13)</f>
        <v>0.38750000000000001</v>
      </c>
      <c r="Z9" s="4"/>
      <c r="AC9" s="18"/>
      <c r="AE9" s="17" t="str">
        <f>('Desarrollo de competencias'!A32)</f>
        <v>Casi Nunca</v>
      </c>
      <c r="AF9" s="9">
        <f>COUNTIF('Desarrollo de competencias'!B5:M24,2)</f>
        <v>93</v>
      </c>
      <c r="AG9" s="13">
        <f>(AF9/AF13)</f>
        <v>0.38750000000000001</v>
      </c>
      <c r="AI9" s="18"/>
    </row>
    <row r="10" spans="2:35" x14ac:dyDescent="0.25">
      <c r="B10" s="4"/>
      <c r="D10" s="17" t="str">
        <f>('Desarrollo de competencias'!A33)</f>
        <v>A veces</v>
      </c>
      <c r="E10" s="9">
        <f>COUNTIF('Desarrollo de competencias'!B5:E24,3)</f>
        <v>5</v>
      </c>
      <c r="F10" s="13">
        <f>(E10/E13)</f>
        <v>6.25E-2</v>
      </c>
      <c r="H10" s="4"/>
      <c r="K10" s="4"/>
      <c r="M10" s="17" t="str">
        <f>('Desarrollo de competencias'!A33)</f>
        <v>A veces</v>
      </c>
      <c r="N10" s="9">
        <f>COUNTIF('Desarrollo de competencias'!F5:I24,3)</f>
        <v>6</v>
      </c>
      <c r="O10" s="13">
        <f>(N10/N13)</f>
        <v>7.4999999999999997E-2</v>
      </c>
      <c r="Q10" s="4"/>
      <c r="T10" s="4"/>
      <c r="V10" s="17" t="str">
        <f>('Desarrollo de competencias'!A33)</f>
        <v>A veces</v>
      </c>
      <c r="W10" s="9">
        <f>COUNTIF('Desarrollo de competencias'!J5:M24,3)</f>
        <v>9</v>
      </c>
      <c r="X10" s="13">
        <f>(W10/W13)</f>
        <v>0.1125</v>
      </c>
      <c r="Z10" s="4"/>
      <c r="AC10" s="18"/>
      <c r="AE10" s="17" t="str">
        <f>('Desarrollo de competencias'!A33)</f>
        <v>A veces</v>
      </c>
      <c r="AF10" s="9">
        <f>COUNTIF('Desarrollo de competencias'!B5:M24,3)</f>
        <v>20</v>
      </c>
      <c r="AG10" s="13">
        <f>(AF10/AF13)</f>
        <v>8.3333333333333329E-2</v>
      </c>
      <c r="AI10" s="18"/>
    </row>
    <row r="11" spans="2:35" x14ac:dyDescent="0.25">
      <c r="B11" s="4"/>
      <c r="D11" s="17" t="str">
        <f>('Desarrollo de competencias'!A34)</f>
        <v>Casi siempre</v>
      </c>
      <c r="E11" s="9">
        <f>COUNTIF('Desarrollo de competencias'!B5:E24,4)</f>
        <v>3</v>
      </c>
      <c r="F11" s="13">
        <f>(E11/E13)</f>
        <v>3.7499999999999999E-2</v>
      </c>
      <c r="H11" s="4"/>
      <c r="K11" s="4"/>
      <c r="M11" s="17" t="str">
        <f>('Desarrollo de competencias'!A34)</f>
        <v>Casi siempre</v>
      </c>
      <c r="N11" s="9">
        <f>COUNTIF('Desarrollo de competencias'!F5:I24,4)</f>
        <v>4</v>
      </c>
      <c r="O11" s="13">
        <f>(N11/N13)</f>
        <v>0.05</v>
      </c>
      <c r="Q11" s="4"/>
      <c r="T11" s="4"/>
      <c r="V11" s="17" t="str">
        <f>('Desarrollo de competencias'!A34)</f>
        <v>Casi siempre</v>
      </c>
      <c r="W11" s="9">
        <f>COUNTIF('Desarrollo de competencias'!J5:M24,4)</f>
        <v>2</v>
      </c>
      <c r="X11" s="13">
        <f>(W11/W13)</f>
        <v>2.5000000000000001E-2</v>
      </c>
      <c r="Z11" s="4"/>
      <c r="AC11" s="18"/>
      <c r="AE11" s="17" t="str">
        <f>('Desarrollo de competencias'!A34)</f>
        <v>Casi siempre</v>
      </c>
      <c r="AF11" s="9">
        <f>COUNTIF('Desarrollo de competencias'!B5:M24,4)</f>
        <v>9</v>
      </c>
      <c r="AG11" s="13">
        <f>(AF11/AF13)</f>
        <v>3.7499999999999999E-2</v>
      </c>
      <c r="AI11" s="18"/>
    </row>
    <row r="12" spans="2:35" x14ac:dyDescent="0.25">
      <c r="B12" s="4"/>
      <c r="D12" s="17" t="str">
        <f>('Desarrollo de competencias'!A35)</f>
        <v>Siempre</v>
      </c>
      <c r="E12" s="9">
        <f>COUNTIF('Desarrollo de competencias'!B5:E24,5)</f>
        <v>6</v>
      </c>
      <c r="F12" s="13">
        <f>(E12/E13)</f>
        <v>7.4999999999999997E-2</v>
      </c>
      <c r="H12" s="4"/>
      <c r="K12" s="4"/>
      <c r="M12" s="17" t="str">
        <f>('Desarrollo de competencias'!A35)</f>
        <v>Siempre</v>
      </c>
      <c r="N12" s="9">
        <f>COUNTIF('Desarrollo de competencias'!F5:I24,5)</f>
        <v>5</v>
      </c>
      <c r="O12" s="13">
        <f>(N12/N13)</f>
        <v>6.25E-2</v>
      </c>
      <c r="Q12" s="4"/>
      <c r="T12" s="4"/>
      <c r="V12" s="17" t="str">
        <f>('Desarrollo de competencias'!A35)</f>
        <v>Siempre</v>
      </c>
      <c r="W12" s="9">
        <f>COUNTIF('Desarrollo de competencias'!J5:M24,5)</f>
        <v>4</v>
      </c>
      <c r="X12" s="13">
        <f>(W12/W13)</f>
        <v>0.05</v>
      </c>
      <c r="Z12" s="4"/>
      <c r="AC12" s="18"/>
      <c r="AE12" s="17" t="str">
        <f>('Desarrollo de competencias'!A35)</f>
        <v>Siempre</v>
      </c>
      <c r="AF12" s="9">
        <f>COUNTIF('Desarrollo de competencias'!B5:M24,5)</f>
        <v>15</v>
      </c>
      <c r="AG12" s="13">
        <f>(AF12/AF13)</f>
        <v>6.25E-2</v>
      </c>
      <c r="AI12" s="18"/>
    </row>
    <row r="13" spans="2:35" x14ac:dyDescent="0.25">
      <c r="B13" s="4"/>
      <c r="D13" s="20" t="str">
        <f>('Desarrollo de competencias'!A36)</f>
        <v>Total</v>
      </c>
      <c r="E13" s="10">
        <f>SUM(E8:E12)</f>
        <v>80</v>
      </c>
      <c r="F13" s="14">
        <f>SUM(F8:F12)</f>
        <v>0.99999999999999989</v>
      </c>
      <c r="H13" s="4"/>
      <c r="K13" s="4"/>
      <c r="M13" s="20" t="str">
        <f>('Desarrollo de competencias'!A36)</f>
        <v>Total</v>
      </c>
      <c r="N13" s="10">
        <f>SUM(N8:N12)</f>
        <v>80</v>
      </c>
      <c r="O13" s="14">
        <f>SUM(O8:O12)</f>
        <v>1</v>
      </c>
      <c r="Q13" s="4"/>
      <c r="T13" s="4"/>
      <c r="V13" s="20" t="str">
        <f>('Desarrollo de competencias'!A36)</f>
        <v>Total</v>
      </c>
      <c r="W13" s="10">
        <f>SUM(W8:W12)</f>
        <v>80</v>
      </c>
      <c r="X13" s="14">
        <f>SUM(X8:X12)</f>
        <v>1</v>
      </c>
      <c r="Z13" s="4"/>
      <c r="AC13" s="18"/>
      <c r="AE13" s="20" t="str">
        <f>('Desarrollo de competencias'!A36)</f>
        <v>Total</v>
      </c>
      <c r="AF13" s="10">
        <f>SUM(AF8:AF12)</f>
        <v>240</v>
      </c>
      <c r="AG13" s="14">
        <f>SUM(AG8:AG12)</f>
        <v>1</v>
      </c>
      <c r="AI13" s="18"/>
    </row>
    <row r="14" spans="2:35" x14ac:dyDescent="0.25">
      <c r="B14" s="4"/>
      <c r="D14" s="3" t="s">
        <v>81</v>
      </c>
      <c r="H14" s="4"/>
      <c r="K14" s="4"/>
      <c r="M14" s="3" t="s">
        <v>81</v>
      </c>
      <c r="Q14" s="4"/>
      <c r="T14" s="4"/>
      <c r="V14" s="3" t="s">
        <v>81</v>
      </c>
      <c r="Z14" s="4"/>
      <c r="AC14" s="18"/>
      <c r="AE14" s="3" t="s">
        <v>81</v>
      </c>
      <c r="AI14" s="18"/>
    </row>
    <row r="15" spans="2:35" x14ac:dyDescent="0.25">
      <c r="B15" s="4"/>
      <c r="D15" s="3" t="s">
        <v>80</v>
      </c>
      <c r="H15" s="4"/>
      <c r="K15" s="4"/>
      <c r="M15" s="3" t="s">
        <v>80</v>
      </c>
      <c r="Q15" s="4"/>
      <c r="T15" s="4"/>
      <c r="V15" s="3" t="s">
        <v>80</v>
      </c>
      <c r="Z15" s="4"/>
      <c r="AC15" s="18"/>
      <c r="AE15" s="3" t="s">
        <v>80</v>
      </c>
      <c r="AI15" s="18"/>
    </row>
    <row r="16" spans="2:35" x14ac:dyDescent="0.25">
      <c r="B16" s="4"/>
      <c r="H16" s="4"/>
      <c r="K16" s="4"/>
      <c r="Q16" s="4"/>
      <c r="T16" s="4"/>
      <c r="Z16" s="4"/>
      <c r="AC16" s="18"/>
      <c r="AI16" s="18"/>
    </row>
    <row r="17" spans="2:35" x14ac:dyDescent="0.25">
      <c r="B17" s="4"/>
      <c r="H17" s="4"/>
      <c r="K17" s="4"/>
      <c r="Q17" s="4"/>
      <c r="T17" s="4"/>
      <c r="Z17" s="4"/>
      <c r="AC17" s="18"/>
      <c r="AI17" s="18"/>
    </row>
    <row r="18" spans="2:35" x14ac:dyDescent="0.25">
      <c r="B18" s="4"/>
      <c r="H18" s="4"/>
      <c r="K18" s="4"/>
      <c r="Q18" s="4"/>
      <c r="T18" s="4"/>
      <c r="Z18" s="4"/>
      <c r="AC18" s="18"/>
      <c r="AI18" s="18"/>
    </row>
    <row r="19" spans="2:35" x14ac:dyDescent="0.25">
      <c r="B19" s="4"/>
      <c r="H19" s="4"/>
      <c r="K19" s="4"/>
      <c r="Q19" s="4"/>
      <c r="T19" s="4"/>
      <c r="Z19" s="4"/>
      <c r="AC19" s="18"/>
      <c r="AI19" s="18"/>
    </row>
    <row r="20" spans="2:35" x14ac:dyDescent="0.25">
      <c r="B20" s="4"/>
      <c r="H20" s="4"/>
      <c r="K20" s="4"/>
      <c r="Q20" s="4"/>
      <c r="T20" s="4"/>
      <c r="Z20" s="4"/>
      <c r="AC20" s="18"/>
      <c r="AI20" s="18"/>
    </row>
    <row r="21" spans="2:35" x14ac:dyDescent="0.25">
      <c r="B21" s="4"/>
      <c r="H21" s="4"/>
      <c r="K21" s="4"/>
      <c r="Q21" s="4"/>
      <c r="T21" s="4"/>
      <c r="Z21" s="4"/>
      <c r="AC21" s="18"/>
      <c r="AI21" s="18"/>
    </row>
    <row r="22" spans="2:35" x14ac:dyDescent="0.25">
      <c r="B22" s="4"/>
      <c r="H22" s="4"/>
      <c r="K22" s="4"/>
      <c r="Q22" s="4"/>
      <c r="T22" s="4"/>
      <c r="Z22" s="4"/>
      <c r="AC22" s="18"/>
      <c r="AI22" s="18"/>
    </row>
    <row r="23" spans="2:35" x14ac:dyDescent="0.25">
      <c r="B23" s="4"/>
      <c r="H23" s="4"/>
      <c r="K23" s="4"/>
      <c r="Q23" s="4"/>
      <c r="T23" s="4"/>
      <c r="Z23" s="4"/>
      <c r="AC23" s="18"/>
      <c r="AI23" s="18"/>
    </row>
    <row r="24" spans="2:35" x14ac:dyDescent="0.25">
      <c r="B24" s="4"/>
      <c r="H24" s="4"/>
      <c r="K24" s="4"/>
      <c r="Q24" s="4"/>
      <c r="T24" s="4"/>
      <c r="Z24" s="4"/>
      <c r="AC24" s="18"/>
      <c r="AI24" s="18"/>
    </row>
    <row r="25" spans="2:35" x14ac:dyDescent="0.25">
      <c r="B25" s="4"/>
      <c r="H25" s="4"/>
      <c r="K25" s="4"/>
      <c r="Q25" s="4"/>
      <c r="T25" s="4"/>
      <c r="Z25" s="4"/>
      <c r="AC25" s="18"/>
      <c r="AI25" s="18"/>
    </row>
    <row r="26" spans="2:35" x14ac:dyDescent="0.25">
      <c r="B26" s="4"/>
      <c r="H26" s="4"/>
      <c r="K26" s="4"/>
      <c r="Q26" s="4"/>
      <c r="T26" s="4"/>
      <c r="Z26" s="4"/>
      <c r="AC26" s="18"/>
      <c r="AI26" s="18"/>
    </row>
    <row r="27" spans="2:35" x14ac:dyDescent="0.25">
      <c r="B27" s="4"/>
      <c r="H27" s="4"/>
      <c r="K27" s="4"/>
      <c r="Q27" s="4"/>
      <c r="T27" s="4"/>
      <c r="Z27" s="4"/>
      <c r="AC27" s="18"/>
      <c r="AI27" s="18"/>
    </row>
    <row r="28" spans="2:35" x14ac:dyDescent="0.25">
      <c r="B28" s="4"/>
      <c r="H28" s="4"/>
      <c r="K28" s="4"/>
      <c r="Q28" s="4"/>
      <c r="T28" s="4"/>
      <c r="Z28" s="4"/>
      <c r="AC28" s="18"/>
      <c r="AI28" s="18"/>
    </row>
    <row r="29" spans="2:35" x14ac:dyDescent="0.25">
      <c r="B29" s="4"/>
      <c r="H29" s="4"/>
      <c r="K29" s="4"/>
      <c r="Q29" s="4"/>
      <c r="T29" s="4"/>
      <c r="Z29" s="4"/>
      <c r="AC29" s="18"/>
      <c r="AI29" s="18"/>
    </row>
    <row r="30" spans="2:35" x14ac:dyDescent="0.25">
      <c r="B30" s="4"/>
      <c r="H30" s="4"/>
      <c r="K30" s="4"/>
      <c r="Q30" s="4"/>
      <c r="T30" s="4"/>
      <c r="Z30" s="4"/>
      <c r="AC30" s="18"/>
      <c r="AI30" s="18"/>
    </row>
    <row r="31" spans="2:35" x14ac:dyDescent="0.25">
      <c r="B31" s="4"/>
      <c r="H31" s="4"/>
      <c r="K31" s="4"/>
      <c r="Q31" s="4"/>
      <c r="T31" s="4"/>
      <c r="Z31" s="4"/>
      <c r="AC31" s="18"/>
      <c r="AI31" s="18"/>
    </row>
    <row r="32" spans="2:35" x14ac:dyDescent="0.25">
      <c r="B32" s="4"/>
      <c r="H32" s="4"/>
      <c r="K32" s="4"/>
      <c r="Q32" s="4"/>
      <c r="T32" s="4"/>
      <c r="Z32" s="4"/>
      <c r="AC32" s="18"/>
      <c r="AI32" s="18"/>
    </row>
    <row r="33" spans="2:49" x14ac:dyDescent="0.25">
      <c r="B33" s="4"/>
      <c r="D33" s="3" t="s">
        <v>82</v>
      </c>
      <c r="H33" s="4"/>
      <c r="K33" s="4"/>
      <c r="M33" s="3" t="s">
        <v>83</v>
      </c>
      <c r="Q33" s="4"/>
      <c r="T33" s="4"/>
      <c r="V33" s="3" t="s">
        <v>84</v>
      </c>
      <c r="Z33" s="4"/>
      <c r="AC33" s="18"/>
      <c r="AE33" s="3" t="s">
        <v>85</v>
      </c>
      <c r="AI33" s="18"/>
    </row>
    <row r="34" spans="2:49" x14ac:dyDescent="0.25">
      <c r="B34" s="4"/>
      <c r="D34" s="3" t="s">
        <v>165</v>
      </c>
      <c r="H34" s="4"/>
      <c r="K34" s="4"/>
      <c r="M34" s="3" t="s">
        <v>166</v>
      </c>
      <c r="Q34" s="4"/>
      <c r="T34" s="4"/>
      <c r="V34" s="3" t="s">
        <v>167</v>
      </c>
      <c r="Z34" s="4"/>
      <c r="AC34" s="18"/>
      <c r="AE34" s="3" t="s">
        <v>168</v>
      </c>
      <c r="AI34" s="18"/>
    </row>
    <row r="35" spans="2:49" x14ac:dyDescent="0.25">
      <c r="B35" s="4"/>
      <c r="H35" s="4"/>
      <c r="K35" s="4"/>
      <c r="Q35" s="4"/>
      <c r="T35" s="4"/>
      <c r="Z35" s="4"/>
      <c r="AC35" s="18"/>
      <c r="AI35" s="18"/>
    </row>
    <row r="36" spans="2:49" x14ac:dyDescent="0.25">
      <c r="B36" s="4"/>
      <c r="D36" s="52" t="str">
        <f ca="1">CONCATENATE("En la ",D5," y ",D33," se puede observar que la variable ",E1001," en base a su dimensión ",E1002," es calificado como ",E1008," ya que el ",ROUND(D1006*100,0),"% de los resultados lo califican como ",D1005,", el ",ROUND(E1006*100,0),"% ",E1005," y el ",ROUND(F1006*100,0),"% lo califico como ",F1005," estos resultados son originados debido a que, ",D1011," ",E1011,",","asi mismo ",D1012," ",E1012,", incluso ",D1013," ",E1013, ", ","asi mismo ",D1014," ",E1014,","," por todas estas razones, es que la variable ",E1001," basado en su dimensión ",E1002," y calificado por los ",E1003," es considerado como ",E1008,".")</f>
        <v>En la Tabla 1 y Figura.1 se puede observar que la variable Desarrollo de competencias en base a su dimensión Nivel de planificación de la enseñanza es calificado como Bajo ya que el 83% de los resultados lo califican como Nunca y Casi Nunca, el 6% A veces y el 11% lo califico como Casi siempre y Siempre estos resultados son originados debido a que, el 85% apreció como Nunca y Casi Nunca 0,asi mismo el 85% de los Docentess consideró como Nunca y Casi Nunca 0, incluso el 80% respondió como Nunca y Casi Nunca 0, asi mismo el 80% de los Docentess valoró como Nunca y Casi Nunca 0, por todas estas razones, es que la variable Desarrollo de competencias basado en su dimensión Nivel de planificación de la enseñanza y calificado por los Docentess es considerado como Bajo.</v>
      </c>
      <c r="E36" s="56"/>
      <c r="F36" s="56"/>
      <c r="G36" s="23"/>
      <c r="H36" s="24"/>
      <c r="I36" s="23"/>
      <c r="J36" s="23"/>
      <c r="K36" s="4"/>
      <c r="L36" s="23"/>
      <c r="M36" s="52" t="str">
        <f ca="1">CONCATENATE("En la ",M5," y ",M33," se puede observar que la variable ",N1001," en base a su dimensión ",N1002," es calificado como ",N1008," ya que el ",ROUND(M1006*100,0),"% de los resultados lo califican como ",M1005,", el ",ROUND(N1006*100,0),"% ",N1005," y el ",ROUND(O1006*100,0),"% lo califico como ",O1005," estos resultados son originados debido a que, ",M1011," ",N1011,",","asi mismo ",M1012," ",N1012,", también ",M1013," ",N1013, ", ","asi mismo ",M1014," ",N1014,","," por todas estas razones, es que la variable ",N1001," basado en su dimensión ",N1002," y calificado por los ",N1003," es considerado como ",N1008,".")</f>
        <v>En la Tabla 2 y Figura.2 se puede observar que la variable Desarrollo de competencias en base a su dimensión Nivel de la competencia comunicativa es calificado como Bajo ya que el 81% de los resultados lo califican como Nunca y Casi Nunca, el 8% A veces y el 11% lo califico como Casi siempre y Siempre estos resultados son originados debido a que, el 80% respondió como Nunca y Casi Nunca 0,asi mismo el 80% de los Docentess calificó como Nunca y Casi Nunca 0, también el 85% valoró como Nunca y Casi Nunca 0, asi mismo el 80% de los Docentess valoró como Nunca y Casi Nunca 0, por todas estas razones, es que la variable Desarrollo de competencias basado en su dimensión Nivel de la competencia comunicativa y calificado por los Docentess es considerado como Bajo.</v>
      </c>
      <c r="N36" s="56"/>
      <c r="O36" s="56"/>
      <c r="P36" s="23"/>
      <c r="Q36" s="24"/>
      <c r="R36" s="23"/>
      <c r="S36" s="23"/>
      <c r="T36" s="4"/>
      <c r="U36" s="23"/>
      <c r="V36" s="52" t="str">
        <f ca="1">CONCATENATE("En la ",V5," y ",V33," se puede observar que la variable ",W1001," en base a su dimensión ",W1002," es calificado como ",W1008," ya que el ",ROUND(V1006*100,0),"% de los resultados lo califican como ",V1005,", el ",ROUND(W1006*100,0),"% ",W1005," y el ",ROUND(X1006*100,0),"% lo califico como ",X1005," estos resultados son originados debido a que, ",V1011," ",W1011,",","asi mismo ",V1012," ",W1012,", por su parte ",V1013," ",W1013, ", ","asi mismo ",V1014," ",W1014,","," por todas estas razones, es que la variable ",W1001," basado en su dimensión ",W1002," y calificado por los ",W1003," es considerado como ",W1008,".")</f>
        <v>En la Tabla 3 y Figura.3 se puede observar que la variable Desarrollo de competencias en base a su dimensión Diseño de metodología es calificado como Bajo ya que el 81% de los resultados lo califican como Nunca y Casi Nunca, el 11% A veces y el 8% lo califico como Casi siempre y Siempre estos resultados son originados debido a que, el 80% percibió como Nunca y Casi Nunca 0,asi mismo el 80% de los Docentess valoró como Nunca y Casi Nunca 0, por su parte el 80% percibió como Nunca y Casi Nunca 0, asi mismo el 85% de los Docentess apreció como Nunca y Casi Nunca 0, por todas estas razones, es que la variable Desarrollo de competencias basado en su dimensión Diseño de metodología y calificado por los Docentess es considerado como Bajo.</v>
      </c>
      <c r="W36" s="56"/>
      <c r="X36" s="56"/>
      <c r="Y36" s="23"/>
      <c r="Z36" s="24"/>
      <c r="AA36" s="23"/>
      <c r="AB36" s="23"/>
      <c r="AC36" s="18"/>
      <c r="AD36" s="23"/>
      <c r="AE36" s="52" t="str">
        <f ca="1">CONCATENATE("En la ",AE5," y ",AE33," se puede observar que la variable ",AF1001," tiene una calificación de ",AF1008,","," ello debido a que el ",ROUND(AF1006*100,0),"% de los resultados estan en las categorias de ",AE1005," mientras que el ",ROUND(AF1006*100,0),"% ",AF1005," y el ",ROUND(AG1006*100,0),"% ",AG1005," en tal sentido se puede observar que la mayoria de los resultados es decir el ",ROUND(AH1007*100,0),"% tiene una calificación inclinada para un valor ",AF1008," estos resultados se originaron debido a que ",AP1016," ",AP1017," ",AP1018,", finalmente dentro de las dimensiones evaluadas la que cuenta con mayor deficiencia es la dimensión ",AD1076,)</f>
        <v>En la Tabla 4 y Figura.4 se puede observar que la variable Desarrollo de competencias tiene una calificación de Bajo, ello debido a que el 8% de los resultados estan en las categorias de Nunca y Casi Nunca mientras que el 8% A veces y el 10% Casi siempre y Siempre en tal sentido se puede observar que la mayoria de los resultados es decir el 90% tiene una calificación inclinada para un valor Bajo estos resultados se originaron debido a que el 83% de los Resultados determinó a la dimensión Nivel de planificación de la enseñanza como Nunca y Casi Nunca, por otra parte  el 81% de los Resultados evaluó a la dimensión Nivel de la competencia comunicativa como Nunca y Casi Nunca, ademas  el 81% de los Resultados mencionó a la dimensión Diseño de metodología como Nunca y Casi Nunca, finalmente dentro de las dimensiones evaluadas la que cuenta con mayor deficiencia es la dimensión Nivel de planificación de la enseñanza</v>
      </c>
      <c r="AF36" s="56"/>
      <c r="AG36" s="56"/>
      <c r="AH36" s="23"/>
      <c r="AI36" s="25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</row>
    <row r="37" spans="2:49" x14ac:dyDescent="0.25">
      <c r="B37" s="4"/>
      <c r="D37" s="53"/>
      <c r="E37" s="53"/>
      <c r="F37" s="53"/>
      <c r="H37" s="4"/>
      <c r="K37" s="4"/>
      <c r="M37" s="53"/>
      <c r="N37" s="53"/>
      <c r="O37" s="53"/>
      <c r="Q37" s="4"/>
      <c r="T37" s="4"/>
      <c r="V37" s="53"/>
      <c r="W37" s="53"/>
      <c r="X37" s="53"/>
      <c r="Z37" s="4"/>
      <c r="AC37" s="18"/>
      <c r="AE37" s="53"/>
      <c r="AF37" s="53"/>
      <c r="AG37" s="53"/>
      <c r="AI37" s="18"/>
    </row>
    <row r="38" spans="2:49" x14ac:dyDescent="0.25">
      <c r="B38" s="4"/>
      <c r="D38" s="53"/>
      <c r="E38" s="53"/>
      <c r="F38" s="53"/>
      <c r="H38" s="4"/>
      <c r="K38" s="4"/>
      <c r="M38" s="53"/>
      <c r="N38" s="53"/>
      <c r="O38" s="53"/>
      <c r="Q38" s="4"/>
      <c r="T38" s="4"/>
      <c r="V38" s="53"/>
      <c r="W38" s="53"/>
      <c r="X38" s="53"/>
      <c r="Z38" s="4"/>
      <c r="AC38" s="18"/>
      <c r="AE38" s="53"/>
      <c r="AF38" s="53"/>
      <c r="AG38" s="53"/>
      <c r="AI38" s="18"/>
    </row>
    <row r="39" spans="2:49" x14ac:dyDescent="0.25">
      <c r="B39" s="4"/>
      <c r="D39" s="53"/>
      <c r="E39" s="53"/>
      <c r="F39" s="53"/>
      <c r="H39" s="4"/>
      <c r="K39" s="4"/>
      <c r="M39" s="53"/>
      <c r="N39" s="53"/>
      <c r="O39" s="53"/>
      <c r="Q39" s="4"/>
      <c r="T39" s="4"/>
      <c r="V39" s="53"/>
      <c r="W39" s="53"/>
      <c r="X39" s="53"/>
      <c r="Z39" s="4"/>
      <c r="AC39" s="18"/>
      <c r="AE39" s="53"/>
      <c r="AF39" s="53"/>
      <c r="AG39" s="53"/>
      <c r="AI39" s="18"/>
    </row>
    <row r="40" spans="2:49" x14ac:dyDescent="0.25">
      <c r="D40" s="53"/>
      <c r="E40" s="53"/>
      <c r="F40" s="53"/>
      <c r="M40" s="53"/>
      <c r="N40" s="53"/>
      <c r="O40" s="53"/>
      <c r="V40" s="53"/>
      <c r="W40" s="53"/>
      <c r="X40" s="53"/>
      <c r="AE40" s="53"/>
      <c r="AF40" s="53"/>
      <c r="AG40" s="53"/>
    </row>
    <row r="41" spans="2:49" x14ac:dyDescent="0.25">
      <c r="D41" s="53"/>
      <c r="E41" s="53"/>
      <c r="F41" s="53"/>
      <c r="M41" s="53"/>
      <c r="N41" s="53"/>
      <c r="O41" s="53"/>
      <c r="V41" s="53"/>
      <c r="W41" s="53"/>
      <c r="X41" s="53"/>
      <c r="AE41" s="53"/>
      <c r="AF41" s="53"/>
      <c r="AG41" s="53"/>
    </row>
    <row r="42" spans="2:49" x14ac:dyDescent="0.25">
      <c r="D42" s="53"/>
      <c r="E42" s="53"/>
      <c r="F42" s="53"/>
      <c r="M42" s="53"/>
      <c r="N42" s="53"/>
      <c r="O42" s="53"/>
      <c r="V42" s="53"/>
      <c r="W42" s="53"/>
      <c r="X42" s="53"/>
      <c r="AE42" s="53"/>
      <c r="AF42" s="53"/>
      <c r="AG42" s="53"/>
    </row>
    <row r="43" spans="2:49" x14ac:dyDescent="0.25">
      <c r="D43" s="53"/>
      <c r="E43" s="53"/>
      <c r="F43" s="53"/>
      <c r="M43" s="53"/>
      <c r="N43" s="53"/>
      <c r="O43" s="53"/>
      <c r="V43" s="53"/>
      <c r="W43" s="53"/>
      <c r="X43" s="53"/>
      <c r="AE43" s="53"/>
      <c r="AF43" s="53"/>
      <c r="AG43" s="53"/>
    </row>
    <row r="44" spans="2:49" x14ac:dyDescent="0.25">
      <c r="D44" s="53"/>
      <c r="E44" s="53"/>
      <c r="F44" s="53"/>
      <c r="M44" s="53"/>
      <c r="N44" s="53"/>
      <c r="O44" s="53"/>
      <c r="V44" s="53"/>
      <c r="W44" s="53"/>
      <c r="X44" s="53"/>
      <c r="AE44" s="53"/>
      <c r="AF44" s="53"/>
      <c r="AG44" s="53"/>
    </row>
    <row r="45" spans="2:49" x14ac:dyDescent="0.25">
      <c r="D45" s="53"/>
      <c r="E45" s="53"/>
      <c r="F45" s="53"/>
      <c r="M45" s="53"/>
      <c r="N45" s="53"/>
      <c r="O45" s="53"/>
      <c r="V45" s="53"/>
      <c r="W45" s="53"/>
      <c r="X45" s="53"/>
      <c r="AE45" s="53"/>
      <c r="AF45" s="53"/>
      <c r="AG45" s="53"/>
    </row>
    <row r="46" spans="2:49" x14ac:dyDescent="0.25">
      <c r="D46" s="53"/>
      <c r="E46" s="53"/>
      <c r="F46" s="53"/>
      <c r="M46" s="53"/>
      <c r="N46" s="53"/>
      <c r="O46" s="53"/>
      <c r="V46" s="53"/>
      <c r="W46" s="53"/>
      <c r="X46" s="53"/>
      <c r="AE46" s="53"/>
      <c r="AF46" s="53"/>
      <c r="AG46" s="53"/>
    </row>
    <row r="47" spans="2:49" x14ac:dyDescent="0.25">
      <c r="D47" s="53"/>
      <c r="E47" s="53"/>
      <c r="F47" s="53"/>
      <c r="M47" s="53"/>
      <c r="N47" s="53"/>
      <c r="O47" s="53"/>
      <c r="V47" s="53"/>
      <c r="W47" s="53"/>
      <c r="X47" s="53"/>
      <c r="AE47" s="53"/>
      <c r="AF47" s="53"/>
      <c r="AG47" s="53"/>
    </row>
    <row r="1001" spans="3:34" x14ac:dyDescent="0.25">
      <c r="D1001" s="3" t="s">
        <v>58</v>
      </c>
      <c r="E1001" s="3" t="str">
        <f>(AE6)</f>
        <v>Desarrollo de competencias</v>
      </c>
      <c r="M1001" s="3" t="s">
        <v>58</v>
      </c>
      <c r="N1001" s="3" t="str">
        <f>(AE6)</f>
        <v>Desarrollo de competencias</v>
      </c>
      <c r="V1001" s="3" t="s">
        <v>58</v>
      </c>
      <c r="W1001" s="3" t="str">
        <f>(AE6)</f>
        <v>Desarrollo de competencias</v>
      </c>
      <c r="AE1001" s="3" t="s">
        <v>58</v>
      </c>
      <c r="AF1001" s="3" t="str">
        <f>(AE6)</f>
        <v>Desarrollo de competencias</v>
      </c>
    </row>
    <row r="1002" spans="3:34" x14ac:dyDescent="0.25">
      <c r="D1002" s="3" t="s">
        <v>87</v>
      </c>
      <c r="E1002" s="3" t="str">
        <f>(D6)</f>
        <v>Nivel de planificación de la enseñanza</v>
      </c>
      <c r="M1002" s="3" t="s">
        <v>87</v>
      </c>
      <c r="N1002" s="3" t="str">
        <f>(M6)</f>
        <v>Nivel de la competencia comunicativa</v>
      </c>
      <c r="V1002" s="3" t="s">
        <v>87</v>
      </c>
      <c r="W1002" s="3" t="str">
        <f>(V6)</f>
        <v>Diseño de metodología</v>
      </c>
      <c r="AE1002" s="3" t="s">
        <v>87</v>
      </c>
      <c r="AF1002" s="3" t="str">
        <f>(AE6)</f>
        <v>Desarrollo de competencias</v>
      </c>
    </row>
    <row r="1003" spans="3:34" x14ac:dyDescent="0.25">
      <c r="D1003" s="3" t="s">
        <v>161</v>
      </c>
      <c r="E1003" s="3" t="s">
        <v>88</v>
      </c>
      <c r="M1003" s="3" t="s">
        <v>161</v>
      </c>
      <c r="N1003" s="3" t="s">
        <v>88</v>
      </c>
      <c r="V1003" s="3" t="s">
        <v>161</v>
      </c>
      <c r="W1003" s="3" t="s">
        <v>88</v>
      </c>
      <c r="AE1003" s="3" t="s">
        <v>161</v>
      </c>
      <c r="AF1003" s="3" t="s">
        <v>88</v>
      </c>
    </row>
    <row r="1004" spans="3:34" x14ac:dyDescent="0.25">
      <c r="C1004" s="3" t="s">
        <v>94</v>
      </c>
      <c r="D1004" s="3" t="s">
        <v>169</v>
      </c>
      <c r="E1004" s="3" t="s">
        <v>170</v>
      </c>
      <c r="F1004" s="3" t="s">
        <v>171</v>
      </c>
      <c r="L1004" s="3" t="s">
        <v>94</v>
      </c>
      <c r="M1004" s="3" t="s">
        <v>169</v>
      </c>
      <c r="N1004" s="3" t="s">
        <v>170</v>
      </c>
      <c r="O1004" s="3" t="s">
        <v>171</v>
      </c>
      <c r="U1004" s="3" t="s">
        <v>94</v>
      </c>
      <c r="V1004" s="3" t="s">
        <v>169</v>
      </c>
      <c r="W1004" s="3" t="s">
        <v>170</v>
      </c>
      <c r="X1004" s="3" t="s">
        <v>171</v>
      </c>
      <c r="AD1004" s="3" t="s">
        <v>94</v>
      </c>
      <c r="AE1004" s="3" t="s">
        <v>169</v>
      </c>
      <c r="AF1004" s="3" t="s">
        <v>170</v>
      </c>
      <c r="AG1004" s="3" t="s">
        <v>171</v>
      </c>
    </row>
    <row r="1005" spans="3:34" x14ac:dyDescent="0.25">
      <c r="C1005" s="3" t="s">
        <v>72</v>
      </c>
      <c r="D1005" s="3" t="str">
        <f>CONCATENATE(D8," y ",D9)</f>
        <v>Nunca y Casi Nunca</v>
      </c>
      <c r="E1005" s="3" t="str">
        <f>D10</f>
        <v>A veces</v>
      </c>
      <c r="F1005" s="3" t="str">
        <f>CONCATENATE(D11," y ",D12)</f>
        <v>Casi siempre y Siempre</v>
      </c>
      <c r="L1005" s="3" t="s">
        <v>72</v>
      </c>
      <c r="M1005" s="3" t="str">
        <f>CONCATENATE(M8," y ",M9)</f>
        <v>Nunca y Casi Nunca</v>
      </c>
      <c r="N1005" s="3" t="str">
        <f>M10</f>
        <v>A veces</v>
      </c>
      <c r="O1005" s="3" t="str">
        <f>CONCATENATE(M11," y ",M12)</f>
        <v>Casi siempre y Siempre</v>
      </c>
      <c r="U1005" s="3" t="s">
        <v>72</v>
      </c>
      <c r="V1005" s="3" t="str">
        <f>CONCATENATE(V8," y ",V9)</f>
        <v>Nunca y Casi Nunca</v>
      </c>
      <c r="W1005" s="3" t="str">
        <f>V10</f>
        <v>A veces</v>
      </c>
      <c r="X1005" s="3" t="str">
        <f>CONCATENATE(V11," y ",V12)</f>
        <v>Casi siempre y Siempre</v>
      </c>
      <c r="AD1005" s="3" t="s">
        <v>72</v>
      </c>
      <c r="AE1005" s="3" t="str">
        <f>CONCATENATE(AE8," y ",AE9)</f>
        <v>Nunca y Casi Nunca</v>
      </c>
      <c r="AF1005" s="3" t="str">
        <f>AE10</f>
        <v>A veces</v>
      </c>
      <c r="AG1005" s="3" t="str">
        <f>CONCATENATE(AE11," y ",AE12)</f>
        <v>Casi siempre y Siempre</v>
      </c>
    </row>
    <row r="1006" spans="3:34" x14ac:dyDescent="0.25">
      <c r="D1006" s="7">
        <f>SUM(F8:F9)</f>
        <v>0.82499999999999996</v>
      </c>
      <c r="E1006" s="7">
        <f>F10</f>
        <v>6.25E-2</v>
      </c>
      <c r="F1006" s="7">
        <f>SUM(F11:F12)</f>
        <v>0.11249999999999999</v>
      </c>
      <c r="M1006" s="7">
        <f>SUM(O8:O9)</f>
        <v>0.8125</v>
      </c>
      <c r="N1006" s="7">
        <f>O10</f>
        <v>7.4999999999999997E-2</v>
      </c>
      <c r="O1006" s="7">
        <f>SUM(O11:O12)</f>
        <v>0.1125</v>
      </c>
      <c r="V1006" s="7">
        <f>SUM(X8:X9)</f>
        <v>0.8125</v>
      </c>
      <c r="W1006" s="7">
        <f>X10</f>
        <v>0.1125</v>
      </c>
      <c r="X1006" s="7">
        <f>SUM(X11:X12)</f>
        <v>7.5000000000000011E-2</v>
      </c>
      <c r="AE1006" s="7">
        <f>SUM(AG8:AG9)</f>
        <v>0.81666666666666665</v>
      </c>
      <c r="AF1006" s="7">
        <f>AG10</f>
        <v>8.3333333333333329E-2</v>
      </c>
      <c r="AG1006" s="7">
        <f>SUM(AG11:AG12)</f>
        <v>0.1</v>
      </c>
    </row>
    <row r="1007" spans="3:34" x14ac:dyDescent="0.25">
      <c r="C1007" s="3" t="s">
        <v>162</v>
      </c>
      <c r="D1007" s="7">
        <f>SUM(D1006:E1006)</f>
        <v>0.88749999999999996</v>
      </c>
      <c r="E1007" s="7">
        <f>SUM(E1006:F1006)</f>
        <v>0.17499999999999999</v>
      </c>
      <c r="F1007" s="7">
        <f>(D1007-E1007)</f>
        <v>0.71249999999999991</v>
      </c>
      <c r="L1007" s="3" t="s">
        <v>162</v>
      </c>
      <c r="M1007" s="7">
        <f>SUM(M1006:N1006)</f>
        <v>0.88749999999999996</v>
      </c>
      <c r="N1007" s="7">
        <f>SUM(N1006:O1006)</f>
        <v>0.1875</v>
      </c>
      <c r="O1007" s="7">
        <f>(M1007-N1007)</f>
        <v>0.7</v>
      </c>
      <c r="U1007" s="3" t="s">
        <v>162</v>
      </c>
      <c r="V1007" s="7">
        <f>SUM(V1006:W1006)</f>
        <v>0.92500000000000004</v>
      </c>
      <c r="W1007" s="7">
        <f>SUM(W1006:X1006)</f>
        <v>0.1875</v>
      </c>
      <c r="X1007" s="7">
        <f>(V1007-W1007)</f>
        <v>0.73750000000000004</v>
      </c>
      <c r="AD1007" s="3" t="s">
        <v>162</v>
      </c>
      <c r="AE1007" s="7">
        <f>SUM(AE1006:AF1006)</f>
        <v>0.9</v>
      </c>
      <c r="AF1007" s="7">
        <f>SUM(AF1006:AG1006)</f>
        <v>0.18333333333333335</v>
      </c>
      <c r="AG1007" s="7">
        <f>(AE1007-AF1007)</f>
        <v>0.71666666666666667</v>
      </c>
      <c r="AH1007" s="7">
        <f>MAX(AE1007:AF1007)</f>
        <v>0.9</v>
      </c>
    </row>
    <row r="1008" spans="3:34" x14ac:dyDescent="0.25">
      <c r="D1008" s="3" t="s">
        <v>163</v>
      </c>
      <c r="E1008" t="str">
        <f>IF(AND(F1007&gt;=-5%,F1007&lt;=5%),E1004,IF(F1007&gt;=6%,D1004,IF(F1007&lt;=-5%,F1004,E1004)))</f>
        <v>Bajo</v>
      </c>
      <c r="M1008" s="3" t="s">
        <v>163</v>
      </c>
      <c r="N1008" t="str">
        <f>IF(AND(O1007&gt;=-5%,O1007&lt;=5%),N1004,IF(O1007&gt;=6%,M1004,IF(O1007&lt;=-5%,O1004,N1004)))</f>
        <v>Bajo</v>
      </c>
      <c r="V1008" s="3" t="s">
        <v>163</v>
      </c>
      <c r="W1008" t="str">
        <f>IF(AND(X1007&gt;=-5%,X1007&lt;=5%),W1004,IF(X1007&gt;=6%,V1004,IF(X1007&lt;=-5%,X1004,W1004)))</f>
        <v>Bajo</v>
      </c>
      <c r="AE1008" s="3" t="s">
        <v>163</v>
      </c>
      <c r="AF1008" t="str">
        <f>IF(AND(AG1007&gt;=-5%,AG1007&lt;=5%),AF1004,IF(AG1007&gt;=6%,AE1004,IF(AG1007&lt;=-5%,AG1004,AF1004)))</f>
        <v>Bajo</v>
      </c>
    </row>
    <row r="1011" spans="4:54" x14ac:dyDescent="0.25">
      <c r="D1011" s="3" t="str">
        <f ca="1">'Por Valoracion (3) Dimension 2'!U1016</f>
        <v>el 85% apreció como Nunca y Casi Nunca</v>
      </c>
      <c r="E1011" s="3">
        <f>'Por Valoracion (3) Dimension 2'!M1016</f>
        <v>0</v>
      </c>
      <c r="M1011" s="3" t="str">
        <f ca="1">'Por Valoracion (3) Dimension 2'!AG1016</f>
        <v>el 80% respondió como Nunca y Casi Nunca</v>
      </c>
      <c r="N1011" s="3">
        <f>'Por Valoracion (3) Dimension 2'!Y1016</f>
        <v>0</v>
      </c>
      <c r="V1011" s="3" t="str">
        <f ca="1">'Por Valoracion (3) Dimension 2'!AS1016</f>
        <v>el 80% percibió como Nunca y Casi Nunca</v>
      </c>
      <c r="W1011" s="3">
        <f>'Por Valoracion (3) Dimension 2'!AK1016</f>
        <v>0</v>
      </c>
    </row>
    <row r="1012" spans="4:54" x14ac:dyDescent="0.25">
      <c r="D1012" s="3" t="str">
        <f ca="1">'Por Valoracion (3) Dimension 2'!U1017</f>
        <v>el 85% de los Docentess consideró como Nunca y Casi Nunca</v>
      </c>
      <c r="E1012" s="3">
        <f>'Por Valoracion (3) Dimension 2'!M1017</f>
        <v>0</v>
      </c>
      <c r="M1012" s="3" t="str">
        <f ca="1">'Por Valoracion (3) Dimension 2'!AG1017</f>
        <v>el 80% de los Docentess calificó como Nunca y Casi Nunca</v>
      </c>
      <c r="N1012" s="3">
        <f>'Por Valoracion (3) Dimension 2'!Y1017</f>
        <v>0</v>
      </c>
      <c r="V1012" s="3" t="str">
        <f ca="1">'Por Valoracion (3) Dimension 2'!AS1017</f>
        <v>el 80% de los Docentess valoró como Nunca y Casi Nunca</v>
      </c>
      <c r="W1012" s="3">
        <f>'Por Valoracion (3) Dimension 2'!AK1017</f>
        <v>0</v>
      </c>
    </row>
    <row r="1013" spans="4:54" x14ac:dyDescent="0.25">
      <c r="D1013" s="3" t="str">
        <f ca="1">'Por Valoracion (3) Dimension 2'!U1018</f>
        <v>el 80% respondió como Nunca y Casi Nunca</v>
      </c>
      <c r="E1013" s="3">
        <f>'Por Valoracion (3) Dimension 2'!M1018</f>
        <v>0</v>
      </c>
      <c r="M1013" s="3" t="str">
        <f ca="1">'Por Valoracion (3) Dimension 2'!AG1018</f>
        <v>el 85% valoró como Nunca y Casi Nunca</v>
      </c>
      <c r="N1013" s="3">
        <f>'Por Valoracion (3) Dimension 2'!Y1018</f>
        <v>0</v>
      </c>
      <c r="V1013" s="3" t="str">
        <f ca="1">'Por Valoracion (3) Dimension 2'!AS1018</f>
        <v>el 80% percibió como Nunca y Casi Nunca</v>
      </c>
      <c r="W1013" s="3">
        <f>'Por Valoracion (3) Dimension 2'!AK1018</f>
        <v>0</v>
      </c>
    </row>
    <row r="1014" spans="4:54" x14ac:dyDescent="0.25">
      <c r="D1014" s="3" t="str">
        <f ca="1">'Por Valoracion (3) Dimension 2'!U1019</f>
        <v>el 80% de los Docentess valoró como Nunca y Casi Nunca</v>
      </c>
      <c r="E1014" s="3">
        <f>'Por Valoracion (3) Dimension 2'!M1019</f>
        <v>0</v>
      </c>
      <c r="M1014" s="3" t="str">
        <f ca="1">'Por Valoracion (3) Dimension 2'!AG1019</f>
        <v>el 80% de los Docentess valoró como Nunca y Casi Nunca</v>
      </c>
      <c r="N1014" s="3">
        <f>'Por Valoracion (3) Dimension 2'!Y1019</f>
        <v>0</v>
      </c>
      <c r="V1014" s="3" t="str">
        <f ca="1">'Por Valoracion (3) Dimension 2'!AS1019</f>
        <v>el 85% de los Docentess apreció como Nunca y Casi Nunca</v>
      </c>
      <c r="W1014" s="3">
        <f>'Por Valoracion (3) Dimension 2'!AK1019</f>
        <v>0</v>
      </c>
    </row>
    <row r="1015" spans="4:54" x14ac:dyDescent="0.25">
      <c r="AD1015" s="3" t="s">
        <v>98</v>
      </c>
      <c r="AE1015" s="3" t="str">
        <f>AE1005</f>
        <v>Nunca y Casi Nunca</v>
      </c>
      <c r="AF1015" s="3" t="str">
        <f>AF1005</f>
        <v>A veces</v>
      </c>
      <c r="AG1015" s="3" t="str">
        <f>AG1005</f>
        <v>Casi siempre y Siempre</v>
      </c>
      <c r="AH1015" s="3" t="s">
        <v>164</v>
      </c>
      <c r="AI1015" s="3" t="s">
        <v>99</v>
      </c>
      <c r="AJ1015" s="3" t="s">
        <v>100</v>
      </c>
      <c r="AK1015" s="3" t="s">
        <v>101</v>
      </c>
      <c r="AL1015" s="3" t="s">
        <v>102</v>
      </c>
      <c r="AM1015" s="3" t="s">
        <v>103</v>
      </c>
      <c r="AN1015" s="3" t="s">
        <v>104</v>
      </c>
      <c r="AO1015" s="3" t="s">
        <v>105</v>
      </c>
      <c r="AP1015" s="3" t="s">
        <v>97</v>
      </c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</row>
    <row r="1016" spans="4:54" x14ac:dyDescent="0.25">
      <c r="AD1016" s="3" t="str">
        <f>(D6)</f>
        <v>Nivel de planificación de la enseñanza</v>
      </c>
      <c r="AE1016" s="7">
        <f>(D1006)</f>
        <v>0.82499999999999996</v>
      </c>
      <c r="AF1016" s="7">
        <f>(E1006)</f>
        <v>6.25E-2</v>
      </c>
      <c r="AG1016" s="7">
        <f>(F1006)</f>
        <v>0.11249999999999999</v>
      </c>
      <c r="AH1016" s="7">
        <f>MAX(AE1016:AG1016)</f>
        <v>0.82499999999999996</v>
      </c>
      <c r="AI1016" s="3" t="str">
        <f>IF(AH1016=AE1016,$AE$1015,IF(AH1016=AF1016,$AF$1015,IF(AH1016=AG1016,$AG$1015,"algo esta mal")))</f>
        <v>Nunca y Casi Nunca</v>
      </c>
      <c r="AJ1016" s="3">
        <f ca="1" xml:space="preserve"> RANDBETWEEN(1,10)</f>
        <v>6</v>
      </c>
      <c r="AK1016" s="3" t="str">
        <f ca="1">IF(AJ1016='Por Valoracion (3) Dimension 2'!$BD$1100,'Por Valoracion (3) Dimension 2'!$BE$1100,IF(AJ1016='Por Valoracion (3) Dimension 2'!$BD$1101,'Por Valoracion (3) Dimension 2'!$BE$1101,IF(AJ1016='Por Valoracion (3) Dimension 2'!$BD$1102,'Por Valoracion (3) Dimension 2'!$BE$1102,IF(AJ1016='Por Valoracion (3) Dimension 2'!$BD$1103,'Por Valoracion (3) Dimension 2'!$BE$1103,IF(AJ1016='Por Valoracion (3) Dimension 2'!$BD$1104,'Por Valoracion (3) Dimension 2'!$BE$1104,IF(AJ1016='Por Valoracion (3) Dimension 2'!$BD$1105,'Por Valoracion (3) Dimension 2'!$BE$1105,IF(AJ1016='Por Valoracion (3) Dimension 2'!$BD$1106,'Por Valoracion (3) Dimension 2'!$BE$1106,IF(AJ1016='Por Valoracion (3) Dimension 2'!$BD$1107,'Por Valoracion (3) Dimension 2'!$BE$1107,IF(AJ1016='Por Valoracion (3) Dimension 2'!$BD$1108,'Por Valoracion (3) Dimension 2'!$BE$1108,IF(AJ1016='Por Valoracion (3) Dimension 2'!$BD$1109,'Por Valoracion (3) Dimension 2'!$BE$1109, A4000))))))))))</f>
        <v>determinó</v>
      </c>
      <c r="AL1016" s="3">
        <f ca="1" xml:space="preserve"> RANDBETWEEN(1,7)</f>
        <v>3</v>
      </c>
      <c r="AM1016" s="3" t="str">
        <f ca="1">IF(AL1016='Por Valoracion (3) Dimension 2'!$BD$1110,'Por Valoracion (3) Dimension 2'!$BE$1110,IF(AL1016='Por Valoracion (3) Dimension 2'!$BD$1111,'Por Valoracion (3) Dimension 2'!$BE$1111,IF(AL1016='Por Valoracion (3) Dimension 2'!$BD$1112,'Por Valoracion (3) Dimension 2'!$BE$1112,IF(AL1016='Por Valoracion (3) Dimension 2'!$BD$1113,'Por Valoracion (3) Dimension 2'!$BE$1113,IF(AL1016='Por Valoracion (3) Dimension 2'!$BD$1114,'Por Valoracion (3) Dimension 2'!$BE$1114,IF(AL1016='Por Valoracion (3) Dimension 2'!$BD$1115,'Por Valoracion (3) Dimension 2'!$BE$1115,IF(AL1016='Por Valoracion (3) Dimension 2'!$BD$1116,'Por Valoracion (3) Dimension 2'!$BE$1116,IF(AL1016='Por Valoracion (3) Dimension 2'!$BD$1117,'Por Valoracion (3) Dimension 2'!$BE$1117,IF(AL1016='Por Valoracion (3) Dimension 2'!$BD$1118,'Por Valoracion (3) Dimension 2'!$BE$1118,IF(AL1016='Por Valoracion (3) Dimension 2'!$BD$1119,'Por Valoracion (3) Dimension 2'!$BE$1119, A4000))))))))))</f>
        <v xml:space="preserve">por otra parte </v>
      </c>
      <c r="AN1016" s="3">
        <f ca="1" xml:space="preserve"> RANDBETWEEN(1,2)</f>
        <v>2</v>
      </c>
      <c r="AO1016" s="3" t="str">
        <f ca="1">IF(AN1016='Por Valoracion (3) Dimension 2'!$BD$1120,'Por Valoracion (3) Dimension 2'!$BE$1120,IF(AN1016='Por Valoracion (3) Dimension 2'!$BD$1121,'Por Valoracion (3) Dimension 2'!$BE$1121,A4000))</f>
        <v>Resultados</v>
      </c>
      <c r="AP1016" s="3" t="str">
        <f ca="1">CONCATENATE("el ",ROUND(AH1016*100,0),"% de los ",AO1016," ",AK1016," a la dimensión ",AD1016," como ",AI1016,", ",AM1016)</f>
        <v xml:space="preserve">el 83% de los Resultados determinó a la dimensión Nivel de planificación de la enseñanza como Nunca y Casi Nunca, por otra parte </v>
      </c>
    </row>
    <row r="1017" spans="4:54" x14ac:dyDescent="0.25">
      <c r="AD1017" s="3" t="str">
        <f>(M6)</f>
        <v>Nivel de la competencia comunicativa</v>
      </c>
      <c r="AE1017" s="7">
        <f>(M1006)</f>
        <v>0.8125</v>
      </c>
      <c r="AF1017" s="7">
        <f>(N1006)</f>
        <v>7.4999999999999997E-2</v>
      </c>
      <c r="AG1017" s="7">
        <f>(O1006)</f>
        <v>0.1125</v>
      </c>
      <c r="AH1017" s="7">
        <f>MAX(AE1017:AG1017)</f>
        <v>0.8125</v>
      </c>
      <c r="AI1017" s="3" t="str">
        <f>IF(AH1017=AE1017,$AE$1015,IF(AH1017=AF1017,$AF$1015,IF(AH1017=AG1017,$AG$1015,"algo esta mal")))</f>
        <v>Nunca y Casi Nunca</v>
      </c>
      <c r="AJ1017" s="3">
        <f ca="1" xml:space="preserve"> RANDBETWEEN(1,10)</f>
        <v>5</v>
      </c>
      <c r="AK1017" s="3" t="str">
        <f ca="1">IF(AJ1017='Por Valoracion (3) Dimension 2'!$BD$1100,'Por Valoracion (3) Dimension 2'!$BE$1100,IF(AJ1017='Por Valoracion (3) Dimension 2'!$BD$1101,'Por Valoracion (3) Dimension 2'!$BE$1101,IF(AJ1017='Por Valoracion (3) Dimension 2'!$BD$1102,'Por Valoracion (3) Dimension 2'!$BE$1102,IF(AJ1017='Por Valoracion (3) Dimension 2'!$BD$1103,'Por Valoracion (3) Dimension 2'!$BE$1103,IF(AJ1017='Por Valoracion (3) Dimension 2'!$BD$1104,'Por Valoracion (3) Dimension 2'!$BE$1104,IF(AJ1017='Por Valoracion (3) Dimension 2'!$BD$1105,'Por Valoracion (3) Dimension 2'!$BE$1105,IF(AJ1017='Por Valoracion (3) Dimension 2'!$BD$1106,'Por Valoracion (3) Dimension 2'!$BE$1106,IF(AJ1017='Por Valoracion (3) Dimension 2'!$BD$1107,'Por Valoracion (3) Dimension 2'!$BE$1107,IF(AJ1017='Por Valoracion (3) Dimension 2'!$BD$1108,'Por Valoracion (3) Dimension 2'!$BE$1108,IF(AJ1017='Por Valoracion (3) Dimension 2'!$BD$1109,'Por Valoracion (3) Dimension 2'!$BE$1109, A4000))))))))))</f>
        <v>evaluó</v>
      </c>
      <c r="AL1017" s="3">
        <f ca="1" xml:space="preserve"> RANDBETWEEN(1,7)</f>
        <v>4</v>
      </c>
      <c r="AM1017" s="3" t="str">
        <f ca="1">IF(AL1017='Por Valoracion (3) Dimension 2'!$BD$1110,'Por Valoracion (3) Dimension 2'!$BE$1110,IF(AL1017='Por Valoracion (3) Dimension 2'!$BD$1111,'Por Valoracion (3) Dimension 2'!$BE$1111,IF(AL1017='Por Valoracion (3) Dimension 2'!$BD$1112,'Por Valoracion (3) Dimension 2'!$BE$1112,IF(AL1017='Por Valoracion (3) Dimension 2'!$BD$1113,'Por Valoracion (3) Dimension 2'!$BE$1113,IF(AL1017='Por Valoracion (3) Dimension 2'!$BD$1114,'Por Valoracion (3) Dimension 2'!$BE$1114,IF(AL1017='Por Valoracion (3) Dimension 2'!$BD$1115,'Por Valoracion (3) Dimension 2'!$BE$1115,IF(AL1017='Por Valoracion (3) Dimension 2'!$BD$1116,'Por Valoracion (3) Dimension 2'!$BE$1116,IF(AL1017='Por Valoracion (3) Dimension 2'!$BD$1117,'Por Valoracion (3) Dimension 2'!$BE$1117,IF(AL1017='Por Valoracion (3) Dimension 2'!$BD$1118,'Por Valoracion (3) Dimension 2'!$BE$1118,IF(AL1017='Por Valoracion (3) Dimension 2'!$BD$1119,'Por Valoracion (3) Dimension 2'!$BE$1119, A4000))))))))))</f>
        <v xml:space="preserve">ademas </v>
      </c>
      <c r="AN1017" s="3">
        <f ca="1" xml:space="preserve"> RANDBETWEEN(1,2)</f>
        <v>2</v>
      </c>
      <c r="AO1017" s="3" t="str">
        <f ca="1">IF(AN1017='Por Valoracion (3) Dimension 2'!$BD$1120,'Por Valoracion (3) Dimension 2'!$BE$1120,IF(AN1017='Por Valoracion (3) Dimension 2'!$BD$1121,'Por Valoracion (3) Dimension 2'!$BE$1121,A4000))</f>
        <v>Resultados</v>
      </c>
      <c r="AP1017" s="3" t="str">
        <f ca="1">CONCATENATE("el ",ROUND(AH1017*100,0),"% de los ",AO1017," ",AK1017," a la dimensión ",AD1017," como ",AI1017,", ",AM1017)</f>
        <v xml:space="preserve">el 81% de los Resultados evaluó a la dimensión Nivel de la competencia comunicativa como Nunca y Casi Nunca, ademas </v>
      </c>
    </row>
    <row r="1018" spans="4:54" x14ac:dyDescent="0.25">
      <c r="AD1018" s="3" t="str">
        <f>(V6)</f>
        <v>Diseño de metodología</v>
      </c>
      <c r="AE1018" s="7">
        <f>(V1006)</f>
        <v>0.8125</v>
      </c>
      <c r="AF1018" s="7">
        <f>(W1006)</f>
        <v>0.1125</v>
      </c>
      <c r="AG1018" s="7">
        <f>(X1006)</f>
        <v>7.5000000000000011E-2</v>
      </c>
      <c r="AH1018" s="7">
        <f>MAX(AE1018:AG1018)</f>
        <v>0.8125</v>
      </c>
      <c r="AI1018" s="3" t="str">
        <f>IF(AH1018=AE1018,$AE$1015,IF(AH1018=AF1018,$AF$1015,IF(AH1018=AG1018,$AG$1015,"algo esta mal")))</f>
        <v>Nunca y Casi Nunca</v>
      </c>
      <c r="AJ1018" s="3">
        <f ca="1" xml:space="preserve"> RANDBETWEEN(1,10)</f>
        <v>7</v>
      </c>
      <c r="AK1018" s="3" t="str">
        <f ca="1">IF(AJ1018='Por Valoracion (3) Dimension 2'!$BD$1100,'Por Valoracion (3) Dimension 2'!$BE$1100,IF(AJ1018='Por Valoracion (3) Dimension 2'!$BD$1101,'Por Valoracion (3) Dimension 2'!$BE$1101,IF(AJ1018='Por Valoracion (3) Dimension 2'!$BD$1102,'Por Valoracion (3) Dimension 2'!$BE$1102,IF(AJ1018='Por Valoracion (3) Dimension 2'!$BD$1103,'Por Valoracion (3) Dimension 2'!$BE$1103,IF(AJ1018='Por Valoracion (3) Dimension 2'!$BD$1104,'Por Valoracion (3) Dimension 2'!$BE$1104,IF(AJ1018='Por Valoracion (3) Dimension 2'!$BD$1105,'Por Valoracion (3) Dimension 2'!$BE$1105,IF(AJ1018='Por Valoracion (3) Dimension 2'!$BD$1106,'Por Valoracion (3) Dimension 2'!$BE$1106,IF(AJ1018='Por Valoracion (3) Dimension 2'!$BD$1107,'Por Valoracion (3) Dimension 2'!$BE$1107,IF(AJ1018='Por Valoracion (3) Dimension 2'!$BD$1108,'Por Valoracion (3) Dimension 2'!$BE$1108,IF(AJ1018='Por Valoracion (3) Dimension 2'!$BD$1109,'Por Valoracion (3) Dimension 2'!$BE$1109, A4000))))))))))</f>
        <v>mencionó</v>
      </c>
      <c r="AL1018" s="3">
        <f ca="1" xml:space="preserve"> RANDBETWEEN(1,7)</f>
        <v>4</v>
      </c>
      <c r="AM1018" s="3" t="str">
        <f ca="1">IF(AL1018='Por Valoracion (3) Dimension 2'!$BD$1110,'Por Valoracion (3) Dimension 2'!$BE$1110,IF(AL1018='Por Valoracion (3) Dimension 2'!$BD$1111,'Por Valoracion (3) Dimension 2'!$BE$1111,IF(AL1018='Por Valoracion (3) Dimension 2'!$BD$1112,'Por Valoracion (3) Dimension 2'!$BE$1112,IF(AL1018='Por Valoracion (3) Dimension 2'!$BD$1113,'Por Valoracion (3) Dimension 2'!$BE$1113,IF(AL1018='Por Valoracion (3) Dimension 2'!$BD$1114,'Por Valoracion (3) Dimension 2'!$BE$1114,IF(AL1018='Por Valoracion (3) Dimension 2'!$BD$1115,'Por Valoracion (3) Dimension 2'!$BE$1115,IF(AL1018='Por Valoracion (3) Dimension 2'!$BD$1116,'Por Valoracion (3) Dimension 2'!$BE$1116,IF(AL1018='Por Valoracion (3) Dimension 2'!$BD$1117,'Por Valoracion (3) Dimension 2'!$BE$1117,IF(AL1018='Por Valoracion (3) Dimension 2'!$BD$1118,'Por Valoracion (3) Dimension 2'!$BE$1118,IF(AL1018='Por Valoracion (3) Dimension 2'!$BD$1119,'Por Valoracion (3) Dimension 2'!$BE$1119, A4000))))))))))</f>
        <v xml:space="preserve">ademas </v>
      </c>
      <c r="AN1018" s="3">
        <f ca="1" xml:space="preserve"> RANDBETWEEN(1,2)</f>
        <v>2</v>
      </c>
      <c r="AO1018" s="3" t="str">
        <f ca="1">IF(AN1018='Por Valoracion (3) Dimension 2'!$BD$1120,'Por Valoracion (3) Dimension 2'!$BE$1120,IF(AN1018='Por Valoracion (3) Dimension 2'!$BD$1121,'Por Valoracion (3) Dimension 2'!$BE$1121,A4000))</f>
        <v>Resultados</v>
      </c>
      <c r="AP1018" s="3" t="str">
        <f ca="1">CONCATENATE("el ",ROUND(AH1018*100,0),"% de los ",AO1018," ",AK1018," a la dimensión ",AD1018," como ",AI1018)</f>
        <v>el 81% de los Resultados mencionó a la dimensión Diseño de metodología como Nunca y Casi Nunca</v>
      </c>
    </row>
    <row r="1076" spans="30:31" x14ac:dyDescent="0.25">
      <c r="AD1076" s="3" t="str">
        <f>IF(AE1076=AE1016,AD1016,IF(AE1076=AE1017,AD1017,IF(AE1076=AE1018,AD1018)))</f>
        <v>Nivel de planificación de la enseñanza</v>
      </c>
      <c r="AE1076" s="7">
        <f>MAX(AE1016:AE1018)</f>
        <v>0.82499999999999996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E4:AG4"/>
    <mergeCell ref="AE36:AG47"/>
    <mergeCell ref="D4:F4"/>
    <mergeCell ref="D36:F47"/>
    <mergeCell ref="M4:O4"/>
    <mergeCell ref="M36:O47"/>
    <mergeCell ref="V4:X4"/>
    <mergeCell ref="V36:X4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39"/>
  <sheetViews>
    <sheetView topLeftCell="HJ1" workbookViewId="0">
      <selection activeCell="HC3" sqref="HC3"/>
    </sheetView>
  </sheetViews>
  <sheetFormatPr baseColWidth="10" defaultColWidth="9.140625" defaultRowHeight="15" x14ac:dyDescent="0.25"/>
  <cols>
    <col min="3" max="3" width="20" customWidth="1"/>
    <col min="4" max="5" width="12" customWidth="1"/>
    <col min="7" max="7" width="20" customWidth="1"/>
    <col min="8" max="13" width="10" customWidth="1"/>
    <col min="15" max="15" width="23" customWidth="1"/>
    <col min="16" max="16" width="15" customWidth="1"/>
    <col min="17" max="18" width="20" customWidth="1"/>
    <col min="20" max="21" width="22" customWidth="1"/>
    <col min="22" max="22" width="15" customWidth="1"/>
    <col min="23" max="23" width="20" customWidth="1"/>
    <col min="28" max="28" width="20" customWidth="1"/>
    <col min="29" max="30" width="12" customWidth="1"/>
    <col min="32" max="32" width="20" customWidth="1"/>
    <col min="33" max="38" width="10" customWidth="1"/>
    <col min="40" max="40" width="23" customWidth="1"/>
    <col min="41" max="41" width="15" customWidth="1"/>
    <col min="42" max="43" width="20" customWidth="1"/>
    <col min="45" max="46" width="22" customWidth="1"/>
    <col min="47" max="47" width="15" customWidth="1"/>
    <col min="48" max="48" width="20" customWidth="1"/>
    <col min="53" max="53" width="20" customWidth="1"/>
    <col min="54" max="55" width="12" customWidth="1"/>
    <col min="57" max="57" width="20" customWidth="1"/>
    <col min="58" max="63" width="10" customWidth="1"/>
    <col min="65" max="65" width="23" customWidth="1"/>
    <col min="66" max="66" width="15" customWidth="1"/>
    <col min="67" max="68" width="20" customWidth="1"/>
    <col min="70" max="71" width="22" customWidth="1"/>
    <col min="72" max="72" width="15" customWidth="1"/>
    <col min="73" max="73" width="20" customWidth="1"/>
    <col min="80" max="80" width="20" customWidth="1"/>
    <col min="81" max="82" width="12" customWidth="1"/>
    <col min="84" max="84" width="20" customWidth="1"/>
    <col min="85" max="90" width="10" customWidth="1"/>
    <col min="92" max="92" width="23" customWidth="1"/>
    <col min="93" max="93" width="15" customWidth="1"/>
    <col min="94" max="95" width="20" customWidth="1"/>
    <col min="97" max="98" width="22" customWidth="1"/>
    <col min="99" max="99" width="15" customWidth="1"/>
    <col min="100" max="100" width="20" customWidth="1"/>
    <col min="105" max="105" width="20" customWidth="1"/>
    <col min="106" max="107" width="12" customWidth="1"/>
    <col min="109" max="109" width="20" customWidth="1"/>
    <col min="110" max="115" width="10" customWidth="1"/>
    <col min="117" max="117" width="23" customWidth="1"/>
    <col min="118" max="118" width="15" customWidth="1"/>
    <col min="119" max="120" width="20" customWidth="1"/>
    <col min="122" max="123" width="22" customWidth="1"/>
    <col min="124" max="124" width="15" customWidth="1"/>
    <col min="125" max="125" width="20" customWidth="1"/>
    <col min="130" max="130" width="20" customWidth="1"/>
    <col min="131" max="132" width="12" customWidth="1"/>
    <col min="134" max="134" width="20" customWidth="1"/>
    <col min="135" max="140" width="10" customWidth="1"/>
    <col min="142" max="142" width="23" customWidth="1"/>
    <col min="143" max="143" width="15" customWidth="1"/>
    <col min="144" max="145" width="20" customWidth="1"/>
    <col min="147" max="148" width="22" customWidth="1"/>
    <col min="149" max="149" width="15" customWidth="1"/>
    <col min="150" max="150" width="20" customWidth="1"/>
    <col min="157" max="157" width="20" customWidth="1"/>
    <col min="158" max="159" width="12" customWidth="1"/>
    <col min="161" max="161" width="20" customWidth="1"/>
    <col min="162" max="167" width="10" customWidth="1"/>
    <col min="169" max="169" width="23" customWidth="1"/>
    <col min="170" max="170" width="15" customWidth="1"/>
    <col min="171" max="172" width="20" customWidth="1"/>
    <col min="174" max="175" width="22" customWidth="1"/>
    <col min="176" max="176" width="15" customWidth="1"/>
    <col min="177" max="177" width="20" customWidth="1"/>
    <col min="182" max="182" width="20" customWidth="1"/>
    <col min="183" max="184" width="12" customWidth="1"/>
    <col min="186" max="186" width="20" customWidth="1"/>
    <col min="187" max="192" width="10" customWidth="1"/>
    <col min="194" max="194" width="23" customWidth="1"/>
    <col min="195" max="195" width="15" customWidth="1"/>
    <col min="196" max="197" width="20" customWidth="1"/>
    <col min="199" max="200" width="22" customWidth="1"/>
    <col min="201" max="201" width="15" customWidth="1"/>
    <col min="202" max="202" width="20" customWidth="1"/>
    <col min="207" max="207" width="20" customWidth="1"/>
    <col min="208" max="209" width="12" customWidth="1"/>
    <col min="211" max="211" width="20" customWidth="1"/>
    <col min="212" max="217" width="10" customWidth="1"/>
    <col min="219" max="219" width="23" customWidth="1"/>
    <col min="220" max="220" width="15" customWidth="1"/>
    <col min="221" max="222" width="20" customWidth="1"/>
    <col min="224" max="225" width="22" customWidth="1"/>
    <col min="226" max="226" width="15" customWidth="1"/>
    <col min="227" max="227" width="20" customWidth="1"/>
  </cols>
  <sheetData>
    <row r="1" spans="1:230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35"/>
      <c r="FR1" s="35"/>
      <c r="FS1" s="35"/>
      <c r="FT1" s="35"/>
      <c r="FU1" s="35"/>
      <c r="FV1" s="35"/>
      <c r="FW1" s="35"/>
      <c r="FX1" s="35"/>
      <c r="FY1" s="35"/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5"/>
      <c r="HQ1" s="35"/>
      <c r="HR1" s="35"/>
      <c r="HS1" s="35"/>
      <c r="HT1" s="35"/>
      <c r="HU1" s="35"/>
      <c r="HV1" s="35"/>
    </row>
    <row r="2" spans="1:230" ht="30" x14ac:dyDescent="0.25">
      <c r="A2" s="26"/>
      <c r="D2" s="28" t="s">
        <v>172</v>
      </c>
      <c r="E2" s="28" t="s">
        <v>173</v>
      </c>
      <c r="Z2" s="26"/>
      <c r="AC2" s="28" t="s">
        <v>172</v>
      </c>
      <c r="AD2" s="28" t="s">
        <v>174</v>
      </c>
      <c r="AY2" s="26"/>
      <c r="BB2" s="28" t="s">
        <v>172</v>
      </c>
      <c r="BC2" s="28" t="s">
        <v>175</v>
      </c>
      <c r="BX2" s="26"/>
      <c r="BZ2" s="34"/>
      <c r="CC2" s="28" t="s">
        <v>176</v>
      </c>
      <c r="CD2" s="28" t="s">
        <v>173</v>
      </c>
      <c r="CY2" s="34"/>
      <c r="DB2" s="28" t="s">
        <v>176</v>
      </c>
      <c r="DC2" s="28" t="s">
        <v>174</v>
      </c>
      <c r="DX2" s="34"/>
      <c r="EA2" s="28" t="s">
        <v>176</v>
      </c>
      <c r="EB2" s="28" t="s">
        <v>175</v>
      </c>
      <c r="EW2" s="34"/>
      <c r="EY2" s="35"/>
      <c r="FB2" s="28" t="s">
        <v>177</v>
      </c>
      <c r="FC2" s="28" t="s">
        <v>173</v>
      </c>
      <c r="FX2" s="35"/>
      <c r="GA2" s="28" t="s">
        <v>177</v>
      </c>
      <c r="GB2" s="28" t="s">
        <v>174</v>
      </c>
      <c r="GW2" s="35"/>
      <c r="GZ2" s="28" t="s">
        <v>177</v>
      </c>
      <c r="HA2" s="28" t="s">
        <v>175</v>
      </c>
      <c r="HV2" s="35"/>
    </row>
    <row r="3" spans="1:230" ht="75" x14ac:dyDescent="0.25">
      <c r="A3" s="26"/>
      <c r="D3" s="28" t="s">
        <v>1</v>
      </c>
      <c r="E3" s="28" t="s">
        <v>165</v>
      </c>
      <c r="Z3" s="26"/>
      <c r="AC3" s="28" t="str">
        <f>'Por Valoracion (3) Dimension'!B2</f>
        <v>Estructuración Organizacional</v>
      </c>
      <c r="AD3" s="28" t="str">
        <f>'Por Valoracion (3) Dimension 2'!D2</f>
        <v>Nivel de la competencia comunicativa</v>
      </c>
      <c r="AY3" s="26"/>
      <c r="BB3" s="28" t="str">
        <f>'Por Valoracion (3) Dimension'!B2</f>
        <v>Estructuración Organizacional</v>
      </c>
      <c r="BC3" s="28" t="str">
        <f>'Por Valoracion (3) Dimension 2'!F2</f>
        <v>Diseño de metodología</v>
      </c>
      <c r="BX3" s="26"/>
      <c r="BZ3" s="34"/>
      <c r="CC3" s="28" t="str">
        <f>'Por Valoracion (3) Dimension'!D2</f>
        <v>Relaciones Interpersonales</v>
      </c>
      <c r="CD3" s="28" t="str">
        <f>'Por Valoracion (3) Dimension 2'!B2</f>
        <v>Nivel de planificación de la enseñanza</v>
      </c>
      <c r="CY3" s="34"/>
      <c r="DB3" s="28" t="s">
        <v>2</v>
      </c>
      <c r="DC3" s="28" t="s">
        <v>166</v>
      </c>
      <c r="DX3" s="34"/>
      <c r="EA3" s="28" t="str">
        <f>'Por Valoracion (3) Dimension'!D2</f>
        <v>Relaciones Interpersonales</v>
      </c>
      <c r="EB3" s="28" t="str">
        <f>'Por Valoracion (3) Dimension 2'!F2</f>
        <v>Diseño de metodología</v>
      </c>
      <c r="EW3" s="34"/>
      <c r="EY3" s="35"/>
      <c r="FB3" s="28" t="str">
        <f>'Por Valoracion (3) Dimension'!F2</f>
        <v>Identidad Institucional</v>
      </c>
      <c r="FC3" s="28" t="str">
        <f>'Por Valoracion (3) Dimension 2'!B2</f>
        <v>Nivel de planificación de la enseñanza</v>
      </c>
      <c r="FX3" s="35"/>
      <c r="GA3" s="28" t="str">
        <f>'Por Valoracion (3) Dimension'!F2</f>
        <v>Identidad Institucional</v>
      </c>
      <c r="GB3" s="28" t="str">
        <f>'Por Valoracion (3) Dimension 2'!D2</f>
        <v>Nivel de la competencia comunicativa</v>
      </c>
      <c r="GW3" s="35"/>
      <c r="GZ3" s="28" t="s">
        <v>3</v>
      </c>
      <c r="HA3" s="28" t="s">
        <v>167</v>
      </c>
      <c r="HV3" s="35"/>
    </row>
    <row r="4" spans="1:230" x14ac:dyDescent="0.25">
      <c r="A4" s="26"/>
      <c r="C4" s="53" t="s">
        <v>18</v>
      </c>
      <c r="D4" s="27">
        <v>9</v>
      </c>
      <c r="E4" s="27">
        <v>9</v>
      </c>
      <c r="G4" s="3" t="s">
        <v>68</v>
      </c>
      <c r="Z4" s="26"/>
      <c r="AB4" s="53" t="str">
        <f>('Clima institucional'!A5)</f>
        <v>Docentes 1</v>
      </c>
      <c r="AC4" s="27">
        <f>'Por Valoracion (3) Dimension'!B4</f>
        <v>9</v>
      </c>
      <c r="AD4" s="27">
        <f>'Por Valoracion (3) Dimension 2'!D4</f>
        <v>10</v>
      </c>
      <c r="AF4" s="3" t="s">
        <v>69</v>
      </c>
      <c r="AY4" s="26"/>
      <c r="BA4" s="53" t="str">
        <f>('Clima institucional'!A5)</f>
        <v>Docentes 1</v>
      </c>
      <c r="BB4" s="27">
        <f>'Por Valoracion (3) Dimension'!B4</f>
        <v>9</v>
      </c>
      <c r="BC4" s="27">
        <f>'Por Valoracion (3) Dimension 2'!F4</f>
        <v>10</v>
      </c>
      <c r="BE4" s="3" t="s">
        <v>70</v>
      </c>
      <c r="BX4" s="26"/>
      <c r="BZ4" s="34"/>
      <c r="CB4" s="53" t="str">
        <f>('Clima institucional'!A5)</f>
        <v>Docentes 1</v>
      </c>
      <c r="CC4" s="27">
        <f>'Por Valoracion (3) Dimension'!D4</f>
        <v>15</v>
      </c>
      <c r="CD4" s="27">
        <f>'Por Valoracion (3) Dimension 2'!B4</f>
        <v>9</v>
      </c>
      <c r="CF4" s="3" t="s">
        <v>71</v>
      </c>
      <c r="CY4" s="34"/>
      <c r="DA4" s="53" t="s">
        <v>18</v>
      </c>
      <c r="DB4" s="27">
        <v>15</v>
      </c>
      <c r="DC4" s="27">
        <v>10</v>
      </c>
      <c r="DE4" s="3" t="s">
        <v>136</v>
      </c>
      <c r="DX4" s="34"/>
      <c r="DZ4" s="53" t="str">
        <f>('Clima institucional'!A5)</f>
        <v>Docentes 1</v>
      </c>
      <c r="EA4" s="27">
        <f>'Por Valoracion (3) Dimension'!D4</f>
        <v>15</v>
      </c>
      <c r="EB4" s="27">
        <f>'Por Valoracion (3) Dimension 2'!F4</f>
        <v>10</v>
      </c>
      <c r="ED4" s="3" t="s">
        <v>137</v>
      </c>
      <c r="EW4" s="34"/>
      <c r="EY4" s="35"/>
      <c r="FA4" s="53" t="str">
        <f>('Clima institucional'!A5)</f>
        <v>Docentes 1</v>
      </c>
      <c r="FB4" s="27">
        <f>'Por Valoracion (3) Dimension'!F4</f>
        <v>13</v>
      </c>
      <c r="FC4" s="27">
        <f>'Por Valoracion (3) Dimension 2'!B4</f>
        <v>9</v>
      </c>
      <c r="FE4" s="3" t="s">
        <v>138</v>
      </c>
      <c r="FX4" s="35"/>
      <c r="FZ4" s="53" t="str">
        <f>('Clima institucional'!A5)</f>
        <v>Docentes 1</v>
      </c>
      <c r="GA4" s="27">
        <f>'Por Valoracion (3) Dimension'!F4</f>
        <v>13</v>
      </c>
      <c r="GB4" s="27">
        <f>'Por Valoracion (3) Dimension 2'!D4</f>
        <v>10</v>
      </c>
      <c r="GD4" s="3" t="s">
        <v>139</v>
      </c>
      <c r="GW4" s="35"/>
      <c r="GY4" s="53" t="s">
        <v>18</v>
      </c>
      <c r="GZ4" s="27">
        <v>13</v>
      </c>
      <c r="HA4" s="27">
        <v>10</v>
      </c>
      <c r="HC4" s="3" t="s">
        <v>140</v>
      </c>
      <c r="HV4" s="35"/>
    </row>
    <row r="5" spans="1:230" x14ac:dyDescent="0.25">
      <c r="A5" s="26"/>
      <c r="C5" s="53" t="s">
        <v>19</v>
      </c>
      <c r="D5" s="27">
        <v>8</v>
      </c>
      <c r="E5" s="27">
        <v>4</v>
      </c>
      <c r="G5" s="57" t="s">
        <v>178</v>
      </c>
      <c r="H5" s="58"/>
      <c r="I5" s="58"/>
      <c r="J5" s="58"/>
      <c r="K5" s="58"/>
      <c r="L5" s="58"/>
      <c r="M5" s="58"/>
      <c r="Z5" s="26"/>
      <c r="AB5" s="53" t="str">
        <f>('Clima institucional'!A6)</f>
        <v>Docentes 2</v>
      </c>
      <c r="AC5" s="27">
        <f>'Por Valoracion (3) Dimension'!B5</f>
        <v>8</v>
      </c>
      <c r="AD5" s="27">
        <f>'Por Valoracion (3) Dimension 2'!D5</f>
        <v>5</v>
      </c>
      <c r="AF5" s="57" t="s">
        <v>178</v>
      </c>
      <c r="AG5" s="58"/>
      <c r="AH5" s="58"/>
      <c r="AI5" s="58"/>
      <c r="AJ5" s="58"/>
      <c r="AK5" s="58"/>
      <c r="AL5" s="58"/>
      <c r="AY5" s="26"/>
      <c r="BA5" s="53" t="str">
        <f>('Clima institucional'!A6)</f>
        <v>Docentes 2</v>
      </c>
      <c r="BB5" s="27">
        <f>'Por Valoracion (3) Dimension'!B5</f>
        <v>8</v>
      </c>
      <c r="BC5" s="27">
        <f>'Por Valoracion (3) Dimension 2'!F5</f>
        <v>4</v>
      </c>
      <c r="BE5" s="57" t="s">
        <v>178</v>
      </c>
      <c r="BF5" s="58"/>
      <c r="BG5" s="58"/>
      <c r="BH5" s="58"/>
      <c r="BI5" s="58"/>
      <c r="BJ5" s="58"/>
      <c r="BK5" s="58"/>
      <c r="BX5" s="26"/>
      <c r="BZ5" s="34"/>
      <c r="CB5" s="53" t="str">
        <f>('Clima institucional'!A6)</f>
        <v>Docentes 2</v>
      </c>
      <c r="CC5" s="27">
        <f>'Por Valoracion (3) Dimension'!D5</f>
        <v>11</v>
      </c>
      <c r="CD5" s="27">
        <f>'Por Valoracion (3) Dimension 2'!B5</f>
        <v>4</v>
      </c>
      <c r="CF5" s="57" t="s">
        <v>178</v>
      </c>
      <c r="CG5" s="58"/>
      <c r="CH5" s="58"/>
      <c r="CI5" s="58"/>
      <c r="CJ5" s="58"/>
      <c r="CK5" s="58"/>
      <c r="CL5" s="58"/>
      <c r="CY5" s="34"/>
      <c r="DA5" s="53" t="s">
        <v>19</v>
      </c>
      <c r="DB5" s="27">
        <v>11</v>
      </c>
      <c r="DC5" s="27">
        <v>5</v>
      </c>
      <c r="DE5" s="57" t="s">
        <v>178</v>
      </c>
      <c r="DF5" s="58"/>
      <c r="DG5" s="58"/>
      <c r="DH5" s="58"/>
      <c r="DI5" s="58"/>
      <c r="DJ5" s="58"/>
      <c r="DK5" s="58"/>
      <c r="DX5" s="34"/>
      <c r="DZ5" s="53" t="str">
        <f>('Clima institucional'!A6)</f>
        <v>Docentes 2</v>
      </c>
      <c r="EA5" s="27">
        <f>'Por Valoracion (3) Dimension'!D5</f>
        <v>11</v>
      </c>
      <c r="EB5" s="27">
        <f>'Por Valoracion (3) Dimension 2'!F5</f>
        <v>4</v>
      </c>
      <c r="ED5" s="57" t="s">
        <v>178</v>
      </c>
      <c r="EE5" s="58"/>
      <c r="EF5" s="58"/>
      <c r="EG5" s="58"/>
      <c r="EH5" s="58"/>
      <c r="EI5" s="58"/>
      <c r="EJ5" s="58"/>
      <c r="EW5" s="34"/>
      <c r="EY5" s="35"/>
      <c r="FA5" s="53" t="str">
        <f>('Clima institucional'!A6)</f>
        <v>Docentes 2</v>
      </c>
      <c r="FB5" s="27">
        <f>'Por Valoracion (3) Dimension'!F5</f>
        <v>13</v>
      </c>
      <c r="FC5" s="27">
        <f>'Por Valoracion (3) Dimension 2'!B5</f>
        <v>4</v>
      </c>
      <c r="FE5" s="57" t="s">
        <v>178</v>
      </c>
      <c r="FF5" s="58"/>
      <c r="FG5" s="58"/>
      <c r="FH5" s="58"/>
      <c r="FI5" s="58"/>
      <c r="FJ5" s="58"/>
      <c r="FK5" s="58"/>
      <c r="FX5" s="35"/>
      <c r="FZ5" s="53" t="str">
        <f>('Clima institucional'!A6)</f>
        <v>Docentes 2</v>
      </c>
      <c r="GA5" s="27">
        <f>'Por Valoracion (3) Dimension'!F5</f>
        <v>13</v>
      </c>
      <c r="GB5" s="27">
        <f>'Por Valoracion (3) Dimension 2'!D5</f>
        <v>5</v>
      </c>
      <c r="GD5" s="57" t="s">
        <v>178</v>
      </c>
      <c r="GE5" s="58"/>
      <c r="GF5" s="58"/>
      <c r="GG5" s="58"/>
      <c r="GH5" s="58"/>
      <c r="GI5" s="58"/>
      <c r="GJ5" s="58"/>
      <c r="GW5" s="35"/>
      <c r="GY5" s="53" t="s">
        <v>19</v>
      </c>
      <c r="GZ5" s="27">
        <v>13</v>
      </c>
      <c r="HA5" s="27">
        <v>4</v>
      </c>
      <c r="HC5" s="57" t="s">
        <v>178</v>
      </c>
      <c r="HD5" s="58"/>
      <c r="HE5" s="58"/>
      <c r="HF5" s="58"/>
      <c r="HG5" s="58"/>
      <c r="HH5" s="58"/>
      <c r="HI5" s="58"/>
      <c r="HV5" s="35"/>
    </row>
    <row r="6" spans="1:230" x14ac:dyDescent="0.25">
      <c r="A6" s="26"/>
      <c r="C6" s="53" t="s">
        <v>20</v>
      </c>
      <c r="D6" s="27">
        <v>8</v>
      </c>
      <c r="E6" s="27">
        <v>8</v>
      </c>
      <c r="G6" s="53"/>
      <c r="H6" s="59" t="s">
        <v>179</v>
      </c>
      <c r="I6" s="53"/>
      <c r="J6" s="53"/>
      <c r="K6" s="59" t="s">
        <v>180</v>
      </c>
      <c r="L6" s="53"/>
      <c r="M6" s="53"/>
      <c r="Z6" s="26"/>
      <c r="AB6" s="53" t="str">
        <f>('Clima institucional'!A7)</f>
        <v>Docentes 3</v>
      </c>
      <c r="AC6" s="27">
        <f>'Por Valoracion (3) Dimension'!B6</f>
        <v>8</v>
      </c>
      <c r="AD6" s="27">
        <f>'Por Valoracion (3) Dimension 2'!D6</f>
        <v>7</v>
      </c>
      <c r="AF6" s="53"/>
      <c r="AG6" s="59" t="s">
        <v>179</v>
      </c>
      <c r="AH6" s="53"/>
      <c r="AI6" s="53"/>
      <c r="AJ6" s="59" t="s">
        <v>180</v>
      </c>
      <c r="AK6" s="53"/>
      <c r="AL6" s="53"/>
      <c r="AY6" s="26"/>
      <c r="BA6" s="53" t="str">
        <f>('Clima institucional'!A7)</f>
        <v>Docentes 3</v>
      </c>
      <c r="BB6" s="27">
        <f>'Por Valoracion (3) Dimension'!B6</f>
        <v>8</v>
      </c>
      <c r="BC6" s="27">
        <f>'Por Valoracion (3) Dimension 2'!F6</f>
        <v>6</v>
      </c>
      <c r="BE6" s="53"/>
      <c r="BF6" s="59" t="s">
        <v>179</v>
      </c>
      <c r="BG6" s="53"/>
      <c r="BH6" s="53"/>
      <c r="BI6" s="59" t="s">
        <v>180</v>
      </c>
      <c r="BJ6" s="53"/>
      <c r="BK6" s="53"/>
      <c r="BX6" s="26"/>
      <c r="BZ6" s="34"/>
      <c r="CB6" s="53" t="str">
        <f>('Clima institucional'!A7)</f>
        <v>Docentes 3</v>
      </c>
      <c r="CC6" s="27">
        <f>'Por Valoracion (3) Dimension'!D6</f>
        <v>11</v>
      </c>
      <c r="CD6" s="27">
        <f>'Por Valoracion (3) Dimension 2'!B6</f>
        <v>8</v>
      </c>
      <c r="CF6" s="53"/>
      <c r="CG6" s="59" t="s">
        <v>179</v>
      </c>
      <c r="CH6" s="53"/>
      <c r="CI6" s="53"/>
      <c r="CJ6" s="59" t="s">
        <v>180</v>
      </c>
      <c r="CK6" s="53"/>
      <c r="CL6" s="53"/>
      <c r="CY6" s="34"/>
      <c r="DA6" s="53" t="s">
        <v>20</v>
      </c>
      <c r="DB6" s="27">
        <v>11</v>
      </c>
      <c r="DC6" s="27">
        <v>7</v>
      </c>
      <c r="DE6" s="53"/>
      <c r="DF6" s="59" t="s">
        <v>179</v>
      </c>
      <c r="DG6" s="53"/>
      <c r="DH6" s="53"/>
      <c r="DI6" s="59" t="s">
        <v>180</v>
      </c>
      <c r="DJ6" s="53"/>
      <c r="DK6" s="53"/>
      <c r="DX6" s="34"/>
      <c r="DZ6" s="53" t="str">
        <f>('Clima institucional'!A7)</f>
        <v>Docentes 3</v>
      </c>
      <c r="EA6" s="27">
        <f>'Por Valoracion (3) Dimension'!D6</f>
        <v>11</v>
      </c>
      <c r="EB6" s="27">
        <f>'Por Valoracion (3) Dimension 2'!F6</f>
        <v>6</v>
      </c>
      <c r="ED6" s="53"/>
      <c r="EE6" s="59" t="s">
        <v>179</v>
      </c>
      <c r="EF6" s="53"/>
      <c r="EG6" s="53"/>
      <c r="EH6" s="59" t="s">
        <v>180</v>
      </c>
      <c r="EI6" s="53"/>
      <c r="EJ6" s="53"/>
      <c r="EW6" s="34"/>
      <c r="EY6" s="35"/>
      <c r="FA6" s="53" t="str">
        <f>('Clima institucional'!A7)</f>
        <v>Docentes 3</v>
      </c>
      <c r="FB6" s="27">
        <f>'Por Valoracion (3) Dimension'!F6</f>
        <v>10</v>
      </c>
      <c r="FC6" s="27">
        <f>'Por Valoracion (3) Dimension 2'!B6</f>
        <v>8</v>
      </c>
      <c r="FE6" s="53"/>
      <c r="FF6" s="59" t="s">
        <v>179</v>
      </c>
      <c r="FG6" s="53"/>
      <c r="FH6" s="53"/>
      <c r="FI6" s="59" t="s">
        <v>180</v>
      </c>
      <c r="FJ6" s="53"/>
      <c r="FK6" s="53"/>
      <c r="FX6" s="35"/>
      <c r="FZ6" s="53" t="str">
        <f>('Clima institucional'!A7)</f>
        <v>Docentes 3</v>
      </c>
      <c r="GA6" s="27">
        <f>'Por Valoracion (3) Dimension'!F6</f>
        <v>10</v>
      </c>
      <c r="GB6" s="27">
        <f>'Por Valoracion (3) Dimension 2'!D6</f>
        <v>7</v>
      </c>
      <c r="GD6" s="53"/>
      <c r="GE6" s="59" t="s">
        <v>179</v>
      </c>
      <c r="GF6" s="53"/>
      <c r="GG6" s="53"/>
      <c r="GH6" s="59" t="s">
        <v>180</v>
      </c>
      <c r="GI6" s="53"/>
      <c r="GJ6" s="53"/>
      <c r="GW6" s="35"/>
      <c r="GY6" s="53" t="s">
        <v>20</v>
      </c>
      <c r="GZ6" s="27">
        <v>10</v>
      </c>
      <c r="HA6" s="27">
        <v>6</v>
      </c>
      <c r="HC6" s="53"/>
      <c r="HD6" s="59" t="s">
        <v>179</v>
      </c>
      <c r="HE6" s="53"/>
      <c r="HF6" s="53"/>
      <c r="HG6" s="59" t="s">
        <v>180</v>
      </c>
      <c r="HH6" s="53"/>
      <c r="HI6" s="53"/>
      <c r="HV6" s="35"/>
    </row>
    <row r="7" spans="1:230" x14ac:dyDescent="0.25">
      <c r="A7" s="26"/>
      <c r="C7" s="53" t="s">
        <v>21</v>
      </c>
      <c r="D7" s="27">
        <v>5</v>
      </c>
      <c r="E7" s="27">
        <v>5</v>
      </c>
      <c r="G7" s="58"/>
      <c r="H7" s="31" t="s">
        <v>181</v>
      </c>
      <c r="I7" s="31" t="s">
        <v>182</v>
      </c>
      <c r="J7" s="31" t="s">
        <v>183</v>
      </c>
      <c r="K7" s="31" t="s">
        <v>181</v>
      </c>
      <c r="L7" s="33" t="s">
        <v>182</v>
      </c>
      <c r="M7" s="31" t="s">
        <v>183</v>
      </c>
      <c r="Z7" s="26"/>
      <c r="AB7" s="53" t="str">
        <f>('Clima institucional'!A8)</f>
        <v>Docentes 4</v>
      </c>
      <c r="AC7" s="27">
        <f>'Por Valoracion (3) Dimension'!B7</f>
        <v>5</v>
      </c>
      <c r="AD7" s="27">
        <f>'Por Valoracion (3) Dimension 2'!D7</f>
        <v>6</v>
      </c>
      <c r="AF7" s="58"/>
      <c r="AG7" s="31" t="s">
        <v>181</v>
      </c>
      <c r="AH7" s="31" t="s">
        <v>182</v>
      </c>
      <c r="AI7" s="31" t="s">
        <v>183</v>
      </c>
      <c r="AJ7" s="31" t="s">
        <v>181</v>
      </c>
      <c r="AK7" s="33" t="s">
        <v>182</v>
      </c>
      <c r="AL7" s="31" t="s">
        <v>183</v>
      </c>
      <c r="AY7" s="26"/>
      <c r="BA7" s="53" t="str">
        <f>('Clima institucional'!A8)</f>
        <v>Docentes 4</v>
      </c>
      <c r="BB7" s="27">
        <f>'Por Valoracion (3) Dimension'!B7</f>
        <v>5</v>
      </c>
      <c r="BC7" s="27">
        <f>'Por Valoracion (3) Dimension 2'!F7</f>
        <v>6</v>
      </c>
      <c r="BE7" s="58"/>
      <c r="BF7" s="31" t="s">
        <v>181</v>
      </c>
      <c r="BG7" s="31" t="s">
        <v>182</v>
      </c>
      <c r="BH7" s="31" t="s">
        <v>183</v>
      </c>
      <c r="BI7" s="31" t="s">
        <v>181</v>
      </c>
      <c r="BJ7" s="33" t="s">
        <v>182</v>
      </c>
      <c r="BK7" s="31" t="s">
        <v>183</v>
      </c>
      <c r="BX7" s="26"/>
      <c r="BZ7" s="34"/>
      <c r="CB7" s="53" t="str">
        <f>('Clima institucional'!A8)</f>
        <v>Docentes 4</v>
      </c>
      <c r="CC7" s="27">
        <f>'Por Valoracion (3) Dimension'!D7</f>
        <v>5</v>
      </c>
      <c r="CD7" s="27">
        <f>'Por Valoracion (3) Dimension 2'!B7</f>
        <v>5</v>
      </c>
      <c r="CF7" s="58"/>
      <c r="CG7" s="31" t="s">
        <v>181</v>
      </c>
      <c r="CH7" s="31" t="s">
        <v>182</v>
      </c>
      <c r="CI7" s="31" t="s">
        <v>183</v>
      </c>
      <c r="CJ7" s="31" t="s">
        <v>181</v>
      </c>
      <c r="CK7" s="33" t="s">
        <v>182</v>
      </c>
      <c r="CL7" s="31" t="s">
        <v>183</v>
      </c>
      <c r="CY7" s="34"/>
      <c r="DA7" s="53" t="s">
        <v>21</v>
      </c>
      <c r="DB7" s="27">
        <v>5</v>
      </c>
      <c r="DC7" s="27">
        <v>6</v>
      </c>
      <c r="DE7" s="58"/>
      <c r="DF7" s="31" t="s">
        <v>181</v>
      </c>
      <c r="DG7" s="31" t="s">
        <v>182</v>
      </c>
      <c r="DH7" s="31" t="s">
        <v>183</v>
      </c>
      <c r="DI7" s="31" t="s">
        <v>181</v>
      </c>
      <c r="DJ7" s="33" t="s">
        <v>182</v>
      </c>
      <c r="DK7" s="31" t="s">
        <v>183</v>
      </c>
      <c r="DX7" s="34"/>
      <c r="DZ7" s="53" t="str">
        <f>('Clima institucional'!A8)</f>
        <v>Docentes 4</v>
      </c>
      <c r="EA7" s="27">
        <f>'Por Valoracion (3) Dimension'!D7</f>
        <v>5</v>
      </c>
      <c r="EB7" s="27">
        <f>'Por Valoracion (3) Dimension 2'!F7</f>
        <v>6</v>
      </c>
      <c r="ED7" s="58"/>
      <c r="EE7" s="31" t="s">
        <v>181</v>
      </c>
      <c r="EF7" s="31" t="s">
        <v>182</v>
      </c>
      <c r="EG7" s="31" t="s">
        <v>183</v>
      </c>
      <c r="EH7" s="31" t="s">
        <v>181</v>
      </c>
      <c r="EI7" s="33" t="s">
        <v>182</v>
      </c>
      <c r="EJ7" s="31" t="s">
        <v>183</v>
      </c>
      <c r="EW7" s="34"/>
      <c r="EY7" s="35"/>
      <c r="FA7" s="53" t="str">
        <f>('Clima institucional'!A8)</f>
        <v>Docentes 4</v>
      </c>
      <c r="FB7" s="27">
        <f>'Por Valoracion (3) Dimension'!F7</f>
        <v>4</v>
      </c>
      <c r="FC7" s="27">
        <f>'Por Valoracion (3) Dimension 2'!B7</f>
        <v>5</v>
      </c>
      <c r="FE7" s="58"/>
      <c r="FF7" s="31" t="s">
        <v>181</v>
      </c>
      <c r="FG7" s="31" t="s">
        <v>182</v>
      </c>
      <c r="FH7" s="31" t="s">
        <v>183</v>
      </c>
      <c r="FI7" s="31" t="s">
        <v>181</v>
      </c>
      <c r="FJ7" s="33" t="s">
        <v>182</v>
      </c>
      <c r="FK7" s="31" t="s">
        <v>183</v>
      </c>
      <c r="FX7" s="35"/>
      <c r="FZ7" s="53" t="str">
        <f>('Clima institucional'!A8)</f>
        <v>Docentes 4</v>
      </c>
      <c r="GA7" s="27">
        <f>'Por Valoracion (3) Dimension'!F7</f>
        <v>4</v>
      </c>
      <c r="GB7" s="27">
        <f>'Por Valoracion (3) Dimension 2'!D7</f>
        <v>6</v>
      </c>
      <c r="GD7" s="58"/>
      <c r="GE7" s="31" t="s">
        <v>181</v>
      </c>
      <c r="GF7" s="31" t="s">
        <v>182</v>
      </c>
      <c r="GG7" s="31" t="s">
        <v>183</v>
      </c>
      <c r="GH7" s="31" t="s">
        <v>181</v>
      </c>
      <c r="GI7" s="33" t="s">
        <v>182</v>
      </c>
      <c r="GJ7" s="31" t="s">
        <v>183</v>
      </c>
      <c r="GW7" s="35"/>
      <c r="GY7" s="53" t="s">
        <v>21</v>
      </c>
      <c r="GZ7" s="27">
        <v>4</v>
      </c>
      <c r="HA7" s="27">
        <v>6</v>
      </c>
      <c r="HC7" s="58"/>
      <c r="HD7" s="31" t="s">
        <v>181</v>
      </c>
      <c r="HE7" s="31" t="s">
        <v>182</v>
      </c>
      <c r="HF7" s="31" t="s">
        <v>183</v>
      </c>
      <c r="HG7" s="31" t="s">
        <v>181</v>
      </c>
      <c r="HH7" s="33" t="s">
        <v>182</v>
      </c>
      <c r="HI7" s="31" t="s">
        <v>183</v>
      </c>
      <c r="HV7" s="35"/>
    </row>
    <row r="8" spans="1:230" x14ac:dyDescent="0.25">
      <c r="A8" s="26"/>
      <c r="C8" s="53" t="s">
        <v>22</v>
      </c>
      <c r="D8" s="27">
        <v>5</v>
      </c>
      <c r="E8" s="27">
        <v>5</v>
      </c>
      <c r="G8" s="29" t="str">
        <f>D3</f>
        <v>Estructuración Organizacional</v>
      </c>
      <c r="H8" s="32"/>
      <c r="I8" s="32"/>
      <c r="J8" s="32"/>
      <c r="K8" s="32"/>
      <c r="L8" s="32"/>
      <c r="M8" s="32"/>
      <c r="Z8" s="26"/>
      <c r="AB8" s="53" t="str">
        <f>('Clima institucional'!A9)</f>
        <v>Docentes 5</v>
      </c>
      <c r="AC8" s="27">
        <f>'Por Valoracion (3) Dimension'!B8</f>
        <v>5</v>
      </c>
      <c r="AD8" s="27">
        <f>'Por Valoracion (3) Dimension 2'!D8</f>
        <v>6</v>
      </c>
      <c r="AF8" s="29" t="str">
        <f>AC3</f>
        <v>Estructuración Organizacional</v>
      </c>
      <c r="AG8" s="32">
        <f t="shared" ref="AG8:AL8" si="0">H8</f>
        <v>0</v>
      </c>
      <c r="AH8" s="32">
        <f t="shared" si="0"/>
        <v>0</v>
      </c>
      <c r="AI8" s="32">
        <f t="shared" si="0"/>
        <v>0</v>
      </c>
      <c r="AJ8" s="32">
        <f t="shared" si="0"/>
        <v>0</v>
      </c>
      <c r="AK8" s="32">
        <f t="shared" si="0"/>
        <v>0</v>
      </c>
      <c r="AL8" s="32">
        <f t="shared" si="0"/>
        <v>0</v>
      </c>
      <c r="AY8" s="26"/>
      <c r="BA8" s="53" t="str">
        <f>('Clima institucional'!A9)</f>
        <v>Docentes 5</v>
      </c>
      <c r="BB8" s="27">
        <f>'Por Valoracion (3) Dimension'!B8</f>
        <v>5</v>
      </c>
      <c r="BC8" s="27">
        <f>'Por Valoracion (3) Dimension 2'!F8</f>
        <v>6</v>
      </c>
      <c r="BE8" s="29" t="str">
        <f>BB3</f>
        <v>Estructuración Organizacional</v>
      </c>
      <c r="BF8" s="32">
        <f t="shared" ref="BF8:BK8" si="1">H8</f>
        <v>0</v>
      </c>
      <c r="BG8" s="32">
        <f t="shared" si="1"/>
        <v>0</v>
      </c>
      <c r="BH8" s="32">
        <f t="shared" si="1"/>
        <v>0</v>
      </c>
      <c r="BI8" s="32">
        <f t="shared" si="1"/>
        <v>0</v>
      </c>
      <c r="BJ8" s="32">
        <f t="shared" si="1"/>
        <v>0</v>
      </c>
      <c r="BK8" s="32">
        <f t="shared" si="1"/>
        <v>0</v>
      </c>
      <c r="BX8" s="26"/>
      <c r="BZ8" s="34"/>
      <c r="CB8" s="53" t="str">
        <f>('Clima institucional'!A9)</f>
        <v>Docentes 5</v>
      </c>
      <c r="CC8" s="27">
        <f>'Por Valoracion (3) Dimension'!D8</f>
        <v>6</v>
      </c>
      <c r="CD8" s="27">
        <f>'Por Valoracion (3) Dimension 2'!B8</f>
        <v>5</v>
      </c>
      <c r="CF8" s="29" t="str">
        <f>CC3</f>
        <v>Relaciones Interpersonales</v>
      </c>
      <c r="CG8" s="32"/>
      <c r="CH8" s="32"/>
      <c r="CI8" s="32"/>
      <c r="CJ8" s="32"/>
      <c r="CK8" s="32"/>
      <c r="CL8" s="32"/>
      <c r="CY8" s="34"/>
      <c r="DA8" s="53" t="s">
        <v>22</v>
      </c>
      <c r="DB8" s="27">
        <v>6</v>
      </c>
      <c r="DC8" s="27">
        <v>6</v>
      </c>
      <c r="DE8" s="29" t="str">
        <f>DB3</f>
        <v>Relaciones Interpersonales</v>
      </c>
      <c r="DF8" s="32">
        <f t="shared" ref="DF8:DK8" si="2">H8</f>
        <v>0</v>
      </c>
      <c r="DG8" s="32">
        <f t="shared" si="2"/>
        <v>0</v>
      </c>
      <c r="DH8" s="32">
        <f t="shared" si="2"/>
        <v>0</v>
      </c>
      <c r="DI8" s="32">
        <f t="shared" si="2"/>
        <v>0</v>
      </c>
      <c r="DJ8" s="32">
        <f t="shared" si="2"/>
        <v>0</v>
      </c>
      <c r="DK8" s="32">
        <f t="shared" si="2"/>
        <v>0</v>
      </c>
      <c r="DX8" s="34"/>
      <c r="DZ8" s="53" t="str">
        <f>('Clima institucional'!A9)</f>
        <v>Docentes 5</v>
      </c>
      <c r="EA8" s="27">
        <f>'Por Valoracion (3) Dimension'!D8</f>
        <v>6</v>
      </c>
      <c r="EB8" s="27">
        <f>'Por Valoracion (3) Dimension 2'!F8</f>
        <v>6</v>
      </c>
      <c r="ED8" s="29" t="str">
        <f>EA3</f>
        <v>Relaciones Interpersonales</v>
      </c>
      <c r="EE8" s="32">
        <f t="shared" ref="EE8:EJ8" si="3">AG8</f>
        <v>0</v>
      </c>
      <c r="EF8" s="32">
        <f t="shared" si="3"/>
        <v>0</v>
      </c>
      <c r="EG8" s="32">
        <f t="shared" si="3"/>
        <v>0</v>
      </c>
      <c r="EH8" s="32">
        <f t="shared" si="3"/>
        <v>0</v>
      </c>
      <c r="EI8" s="32">
        <f t="shared" si="3"/>
        <v>0</v>
      </c>
      <c r="EJ8" s="32">
        <f t="shared" si="3"/>
        <v>0</v>
      </c>
      <c r="EW8" s="34"/>
      <c r="EY8" s="35"/>
      <c r="FA8" s="53" t="str">
        <f>('Clima institucional'!A9)</f>
        <v>Docentes 5</v>
      </c>
      <c r="FB8" s="27">
        <f>'Por Valoracion (3) Dimension'!F8</f>
        <v>4</v>
      </c>
      <c r="FC8" s="27">
        <f>'Por Valoracion (3) Dimension 2'!B8</f>
        <v>5</v>
      </c>
      <c r="FE8" s="29" t="str">
        <f>FB3</f>
        <v>Identidad Institucional</v>
      </c>
      <c r="FF8" s="32"/>
      <c r="FG8" s="32"/>
      <c r="FH8" s="32"/>
      <c r="FI8" s="32"/>
      <c r="FJ8" s="32"/>
      <c r="FK8" s="32"/>
      <c r="FX8" s="35"/>
      <c r="FZ8" s="53" t="str">
        <f>('Clima institucional'!A9)</f>
        <v>Docentes 5</v>
      </c>
      <c r="GA8" s="27">
        <f>'Por Valoracion (3) Dimension'!F8</f>
        <v>4</v>
      </c>
      <c r="GB8" s="27">
        <f>'Por Valoracion (3) Dimension 2'!D8</f>
        <v>6</v>
      </c>
      <c r="GD8" s="29" t="str">
        <f>GA3</f>
        <v>Identidad Institucional</v>
      </c>
      <c r="GE8" s="32">
        <f t="shared" ref="GE8:GJ8" si="4">H8</f>
        <v>0</v>
      </c>
      <c r="GF8" s="32">
        <f t="shared" si="4"/>
        <v>0</v>
      </c>
      <c r="GG8" s="32">
        <f t="shared" si="4"/>
        <v>0</v>
      </c>
      <c r="GH8" s="32">
        <f t="shared" si="4"/>
        <v>0</v>
      </c>
      <c r="GI8" s="32">
        <f t="shared" si="4"/>
        <v>0</v>
      </c>
      <c r="GJ8" s="32">
        <f t="shared" si="4"/>
        <v>0</v>
      </c>
      <c r="GW8" s="35"/>
      <c r="GY8" s="53" t="s">
        <v>22</v>
      </c>
      <c r="GZ8" s="27">
        <v>4</v>
      </c>
      <c r="HA8" s="27">
        <v>6</v>
      </c>
      <c r="HC8" s="29" t="str">
        <f>GZ3</f>
        <v>Identidad Institucional</v>
      </c>
      <c r="HD8" s="32">
        <f t="shared" ref="HD8:HI8" si="5">AG8</f>
        <v>0</v>
      </c>
      <c r="HE8" s="32">
        <f t="shared" si="5"/>
        <v>0</v>
      </c>
      <c r="HF8" s="32">
        <f t="shared" si="5"/>
        <v>0</v>
      </c>
      <c r="HG8" s="32">
        <f t="shared" si="5"/>
        <v>0</v>
      </c>
      <c r="HH8" s="32">
        <f t="shared" si="5"/>
        <v>0</v>
      </c>
      <c r="HI8" s="32">
        <f t="shared" si="5"/>
        <v>0</v>
      </c>
      <c r="HV8" s="35"/>
    </row>
    <row r="9" spans="1:230" x14ac:dyDescent="0.25">
      <c r="A9" s="26"/>
      <c r="C9" s="53" t="s">
        <v>23</v>
      </c>
      <c r="D9" s="27">
        <v>7</v>
      </c>
      <c r="E9" s="27">
        <v>4</v>
      </c>
      <c r="G9" s="30" t="str">
        <f>E3</f>
        <v>Nivel de planificación de la enseñanza</v>
      </c>
      <c r="H9" s="5"/>
      <c r="I9" s="5"/>
      <c r="J9" s="5"/>
      <c r="K9" s="5"/>
      <c r="L9" s="5"/>
      <c r="M9" s="5"/>
      <c r="Z9" s="26"/>
      <c r="AB9" s="53" t="str">
        <f>('Clima institucional'!A10)</f>
        <v>Docentes 6</v>
      </c>
      <c r="AC9" s="27">
        <f>'Por Valoracion (3) Dimension'!B9</f>
        <v>7</v>
      </c>
      <c r="AD9" s="27">
        <f>'Por Valoracion (3) Dimension 2'!D9</f>
        <v>4</v>
      </c>
      <c r="AF9" s="30" t="str">
        <f>AD3</f>
        <v>Nivel de la competencia comunicativa</v>
      </c>
      <c r="AG9" s="5"/>
      <c r="AH9" s="5"/>
      <c r="AI9" s="5"/>
      <c r="AJ9" s="5"/>
      <c r="AK9" s="5"/>
      <c r="AL9" s="5"/>
      <c r="AY9" s="26"/>
      <c r="BA9" s="53" t="str">
        <f>('Clima institucional'!A10)</f>
        <v>Docentes 6</v>
      </c>
      <c r="BB9" s="27">
        <f>'Por Valoracion (3) Dimension'!B9</f>
        <v>7</v>
      </c>
      <c r="BC9" s="27">
        <f>'Por Valoracion (3) Dimension 2'!F9</f>
        <v>4</v>
      </c>
      <c r="BE9" s="30" t="str">
        <f>BC3</f>
        <v>Diseño de metodología</v>
      </c>
      <c r="BF9" s="5"/>
      <c r="BG9" s="5"/>
      <c r="BH9" s="5"/>
      <c r="BI9" s="5"/>
      <c r="BJ9" s="5"/>
      <c r="BK9" s="5"/>
      <c r="BX9" s="26"/>
      <c r="BZ9" s="34"/>
      <c r="CB9" s="53" t="str">
        <f>('Clima institucional'!A10)</f>
        <v>Docentes 6</v>
      </c>
      <c r="CC9" s="27">
        <f>'Por Valoracion (3) Dimension'!D9</f>
        <v>7</v>
      </c>
      <c r="CD9" s="27">
        <f>'Por Valoracion (3) Dimension 2'!B9</f>
        <v>4</v>
      </c>
      <c r="CF9" s="30" t="str">
        <f>CD3</f>
        <v>Nivel de planificación de la enseñanza</v>
      </c>
      <c r="CG9" s="31">
        <f t="shared" ref="CG9:CL9" si="6">H9</f>
        <v>0</v>
      </c>
      <c r="CH9" s="33">
        <f t="shared" si="6"/>
        <v>0</v>
      </c>
      <c r="CI9" s="31">
        <f t="shared" si="6"/>
        <v>0</v>
      </c>
      <c r="CJ9" s="31">
        <f t="shared" si="6"/>
        <v>0</v>
      </c>
      <c r="CK9" s="31">
        <f t="shared" si="6"/>
        <v>0</v>
      </c>
      <c r="CL9" s="33">
        <f t="shared" si="6"/>
        <v>0</v>
      </c>
      <c r="CY9" s="34"/>
      <c r="DA9" s="53" t="s">
        <v>23</v>
      </c>
      <c r="DB9" s="27">
        <v>7</v>
      </c>
      <c r="DC9" s="27">
        <v>4</v>
      </c>
      <c r="DE9" s="30" t="str">
        <f>DC3</f>
        <v>Nivel de la competencia comunicativa</v>
      </c>
      <c r="DF9" s="31">
        <f t="shared" ref="DF9:DK9" si="7">AG9</f>
        <v>0</v>
      </c>
      <c r="DG9" s="33">
        <f t="shared" si="7"/>
        <v>0</v>
      </c>
      <c r="DH9" s="31">
        <f t="shared" si="7"/>
        <v>0</v>
      </c>
      <c r="DI9" s="31">
        <f t="shared" si="7"/>
        <v>0</v>
      </c>
      <c r="DJ9" s="31">
        <f t="shared" si="7"/>
        <v>0</v>
      </c>
      <c r="DK9" s="33">
        <f t="shared" si="7"/>
        <v>0</v>
      </c>
      <c r="DX9" s="34"/>
      <c r="DZ9" s="53" t="str">
        <f>('Clima institucional'!A10)</f>
        <v>Docentes 6</v>
      </c>
      <c r="EA9" s="27">
        <f>'Por Valoracion (3) Dimension'!D9</f>
        <v>7</v>
      </c>
      <c r="EB9" s="27">
        <f>'Por Valoracion (3) Dimension 2'!F9</f>
        <v>4</v>
      </c>
      <c r="ED9" s="30" t="str">
        <f>EB3</f>
        <v>Diseño de metodología</v>
      </c>
      <c r="EE9" s="31">
        <f t="shared" ref="EE9:EJ9" si="8">BF9</f>
        <v>0</v>
      </c>
      <c r="EF9" s="33">
        <f t="shared" si="8"/>
        <v>0</v>
      </c>
      <c r="EG9" s="31">
        <f t="shared" si="8"/>
        <v>0</v>
      </c>
      <c r="EH9" s="31">
        <f t="shared" si="8"/>
        <v>0</v>
      </c>
      <c r="EI9" s="31">
        <f t="shared" si="8"/>
        <v>0</v>
      </c>
      <c r="EJ9" s="33">
        <f t="shared" si="8"/>
        <v>0</v>
      </c>
      <c r="EW9" s="34"/>
      <c r="EY9" s="35"/>
      <c r="FA9" s="53" t="str">
        <f>('Clima institucional'!A10)</f>
        <v>Docentes 6</v>
      </c>
      <c r="FB9" s="27">
        <f>'Por Valoracion (3) Dimension'!F9</f>
        <v>8</v>
      </c>
      <c r="FC9" s="27">
        <f>'Por Valoracion (3) Dimension 2'!B9</f>
        <v>4</v>
      </c>
      <c r="FE9" s="30" t="str">
        <f>FC3</f>
        <v>Nivel de planificación de la enseñanza</v>
      </c>
      <c r="FF9" s="31">
        <f t="shared" ref="FF9:FK9" si="9">H9</f>
        <v>0</v>
      </c>
      <c r="FG9" s="33">
        <f t="shared" si="9"/>
        <v>0</v>
      </c>
      <c r="FH9" s="31">
        <f t="shared" si="9"/>
        <v>0</v>
      </c>
      <c r="FI9" s="31">
        <f t="shared" si="9"/>
        <v>0</v>
      </c>
      <c r="FJ9" s="31">
        <f t="shared" si="9"/>
        <v>0</v>
      </c>
      <c r="FK9" s="33">
        <f t="shared" si="9"/>
        <v>0</v>
      </c>
      <c r="FX9" s="35"/>
      <c r="FZ9" s="53" t="str">
        <f>('Clima institucional'!A10)</f>
        <v>Docentes 6</v>
      </c>
      <c r="GA9" s="27">
        <f>'Por Valoracion (3) Dimension'!F9</f>
        <v>8</v>
      </c>
      <c r="GB9" s="27">
        <f>'Por Valoracion (3) Dimension 2'!D9</f>
        <v>4</v>
      </c>
      <c r="GD9" s="30" t="str">
        <f>GB3</f>
        <v>Nivel de la competencia comunicativa</v>
      </c>
      <c r="GE9" s="31">
        <f t="shared" ref="GE9:GJ9" si="10">AG9</f>
        <v>0</v>
      </c>
      <c r="GF9" s="33">
        <f t="shared" si="10"/>
        <v>0</v>
      </c>
      <c r="GG9" s="31">
        <f t="shared" si="10"/>
        <v>0</v>
      </c>
      <c r="GH9" s="31">
        <f t="shared" si="10"/>
        <v>0</v>
      </c>
      <c r="GI9" s="31">
        <f t="shared" si="10"/>
        <v>0</v>
      </c>
      <c r="GJ9" s="33">
        <f t="shared" si="10"/>
        <v>0</v>
      </c>
      <c r="GW9" s="35"/>
      <c r="GY9" s="53" t="s">
        <v>23</v>
      </c>
      <c r="GZ9" s="27">
        <v>8</v>
      </c>
      <c r="HA9" s="27">
        <v>4</v>
      </c>
      <c r="HC9" s="30" t="str">
        <f>HA3</f>
        <v>Diseño de metodología</v>
      </c>
      <c r="HD9" s="31">
        <f t="shared" ref="HD9:HI9" si="11">BF9</f>
        <v>0</v>
      </c>
      <c r="HE9" s="33">
        <f t="shared" si="11"/>
        <v>0</v>
      </c>
      <c r="HF9" s="31">
        <f t="shared" si="11"/>
        <v>0</v>
      </c>
      <c r="HG9" s="31">
        <f t="shared" si="11"/>
        <v>0</v>
      </c>
      <c r="HH9" s="31">
        <f t="shared" si="11"/>
        <v>0</v>
      </c>
      <c r="HI9" s="33">
        <f t="shared" si="11"/>
        <v>0</v>
      </c>
      <c r="HV9" s="35"/>
    </row>
    <row r="10" spans="1:230" x14ac:dyDescent="0.25">
      <c r="A10" s="26"/>
      <c r="C10" s="53" t="s">
        <v>24</v>
      </c>
      <c r="D10" s="27">
        <v>7</v>
      </c>
      <c r="E10" s="27">
        <v>5</v>
      </c>
      <c r="G10" s="59" t="s">
        <v>184</v>
      </c>
      <c r="H10" s="53"/>
      <c r="I10" s="53"/>
      <c r="J10" s="53"/>
      <c r="K10" s="53"/>
      <c r="L10" s="53"/>
      <c r="M10" s="53"/>
      <c r="O10" s="3" t="s">
        <v>68</v>
      </c>
      <c r="T10" s="3" t="s">
        <v>68</v>
      </c>
      <c r="Z10" s="26"/>
      <c r="AB10" s="53" t="str">
        <f>('Clima institucional'!A11)</f>
        <v>Docentes 7</v>
      </c>
      <c r="AC10" s="27">
        <f>'Por Valoracion (3) Dimension'!B10</f>
        <v>7</v>
      </c>
      <c r="AD10" s="27">
        <f>'Por Valoracion (3) Dimension 2'!D10</f>
        <v>6</v>
      </c>
      <c r="AF10" s="59" t="s">
        <v>184</v>
      </c>
      <c r="AG10" s="53"/>
      <c r="AH10" s="53"/>
      <c r="AI10" s="53"/>
      <c r="AJ10" s="53"/>
      <c r="AK10" s="53"/>
      <c r="AL10" s="53"/>
      <c r="AN10" s="3" t="s">
        <v>69</v>
      </c>
      <c r="AS10" s="3" t="s">
        <v>69</v>
      </c>
      <c r="AY10" s="26"/>
      <c r="BA10" s="53" t="str">
        <f>('Clima institucional'!A11)</f>
        <v>Docentes 7</v>
      </c>
      <c r="BB10" s="27">
        <f>'Por Valoracion (3) Dimension'!B10</f>
        <v>7</v>
      </c>
      <c r="BC10" s="27">
        <f>'Por Valoracion (3) Dimension 2'!F10</f>
        <v>7</v>
      </c>
      <c r="BE10" s="59" t="s">
        <v>184</v>
      </c>
      <c r="BF10" s="53"/>
      <c r="BG10" s="53"/>
      <c r="BH10" s="53"/>
      <c r="BI10" s="53"/>
      <c r="BJ10" s="53"/>
      <c r="BK10" s="53"/>
      <c r="BM10" s="3" t="s">
        <v>70</v>
      </c>
      <c r="BR10" s="3" t="s">
        <v>70</v>
      </c>
      <c r="BX10" s="26"/>
      <c r="BZ10" s="34"/>
      <c r="CB10" s="53" t="str">
        <f>('Clima institucional'!A11)</f>
        <v>Docentes 7</v>
      </c>
      <c r="CC10" s="27">
        <f>'Por Valoracion (3) Dimension'!D10</f>
        <v>5</v>
      </c>
      <c r="CD10" s="27">
        <f>'Por Valoracion (3) Dimension 2'!B10</f>
        <v>5</v>
      </c>
      <c r="CF10" s="59" t="s">
        <v>184</v>
      </c>
      <c r="CG10" s="53"/>
      <c r="CH10" s="53"/>
      <c r="CI10" s="53"/>
      <c r="CJ10" s="53"/>
      <c r="CK10" s="53"/>
      <c r="CL10" s="53"/>
      <c r="CN10" s="3" t="s">
        <v>71</v>
      </c>
      <c r="CS10" s="3" t="s">
        <v>71</v>
      </c>
      <c r="CY10" s="34"/>
      <c r="DA10" s="53" t="s">
        <v>24</v>
      </c>
      <c r="DB10" s="27">
        <v>5</v>
      </c>
      <c r="DC10" s="27">
        <v>6</v>
      </c>
      <c r="DE10" s="59" t="s">
        <v>184</v>
      </c>
      <c r="DF10" s="53"/>
      <c r="DG10" s="53"/>
      <c r="DH10" s="53"/>
      <c r="DI10" s="53"/>
      <c r="DJ10" s="53"/>
      <c r="DK10" s="53"/>
      <c r="DM10" s="3" t="s">
        <v>136</v>
      </c>
      <c r="DR10" s="3" t="s">
        <v>136</v>
      </c>
      <c r="DX10" s="34"/>
      <c r="DZ10" s="53" t="str">
        <f>('Clima institucional'!A11)</f>
        <v>Docentes 7</v>
      </c>
      <c r="EA10" s="27">
        <f>'Por Valoracion (3) Dimension'!D10</f>
        <v>5</v>
      </c>
      <c r="EB10" s="27">
        <f>'Por Valoracion (3) Dimension 2'!F10</f>
        <v>7</v>
      </c>
      <c r="ED10" s="59" t="s">
        <v>184</v>
      </c>
      <c r="EE10" s="53"/>
      <c r="EF10" s="53"/>
      <c r="EG10" s="53"/>
      <c r="EH10" s="53"/>
      <c r="EI10" s="53"/>
      <c r="EJ10" s="53"/>
      <c r="EL10" s="3" t="s">
        <v>137</v>
      </c>
      <c r="EQ10" s="3" t="s">
        <v>137</v>
      </c>
      <c r="EW10" s="34"/>
      <c r="EY10" s="35"/>
      <c r="FA10" s="53" t="str">
        <f>('Clima institucional'!A11)</f>
        <v>Docentes 7</v>
      </c>
      <c r="FB10" s="27">
        <f>'Por Valoracion (3) Dimension'!F10</f>
        <v>4</v>
      </c>
      <c r="FC10" s="27">
        <f>'Por Valoracion (3) Dimension 2'!B10</f>
        <v>5</v>
      </c>
      <c r="FE10" s="59" t="s">
        <v>184</v>
      </c>
      <c r="FF10" s="53"/>
      <c r="FG10" s="53"/>
      <c r="FH10" s="53"/>
      <c r="FI10" s="53"/>
      <c r="FJ10" s="53"/>
      <c r="FK10" s="53"/>
      <c r="FM10" s="3" t="s">
        <v>138</v>
      </c>
      <c r="FR10" s="3" t="s">
        <v>138</v>
      </c>
      <c r="FX10" s="35"/>
      <c r="FZ10" s="53" t="str">
        <f>('Clima institucional'!A11)</f>
        <v>Docentes 7</v>
      </c>
      <c r="GA10" s="27">
        <f>'Por Valoracion (3) Dimension'!F10</f>
        <v>4</v>
      </c>
      <c r="GB10" s="27">
        <f>'Por Valoracion (3) Dimension 2'!D10</f>
        <v>6</v>
      </c>
      <c r="GD10" s="59" t="s">
        <v>184</v>
      </c>
      <c r="GE10" s="53"/>
      <c r="GF10" s="53"/>
      <c r="GG10" s="53"/>
      <c r="GH10" s="53"/>
      <c r="GI10" s="53"/>
      <c r="GJ10" s="53"/>
      <c r="GL10" s="3" t="s">
        <v>139</v>
      </c>
      <c r="GQ10" s="3" t="s">
        <v>139</v>
      </c>
      <c r="GW10" s="35"/>
      <c r="GY10" s="53" t="s">
        <v>24</v>
      </c>
      <c r="GZ10" s="27">
        <v>4</v>
      </c>
      <c r="HA10" s="27">
        <v>7</v>
      </c>
      <c r="HC10" s="59" t="s">
        <v>184</v>
      </c>
      <c r="HD10" s="53"/>
      <c r="HE10" s="53"/>
      <c r="HF10" s="53"/>
      <c r="HG10" s="53"/>
      <c r="HH10" s="53"/>
      <c r="HI10" s="53"/>
      <c r="HK10" s="3" t="s">
        <v>140</v>
      </c>
      <c r="HP10" s="3" t="s">
        <v>140</v>
      </c>
      <c r="HV10" s="35"/>
    </row>
    <row r="11" spans="1:230" x14ac:dyDescent="0.25">
      <c r="A11" s="26"/>
      <c r="C11" s="53" t="s">
        <v>25</v>
      </c>
      <c r="D11" s="27">
        <v>13</v>
      </c>
      <c r="E11" s="27">
        <v>19</v>
      </c>
      <c r="O11" s="57" t="s">
        <v>185</v>
      </c>
      <c r="P11" s="58"/>
      <c r="Q11" s="58"/>
      <c r="R11" s="58"/>
      <c r="T11" s="57" t="s">
        <v>185</v>
      </c>
      <c r="U11" s="58"/>
      <c r="V11" s="58"/>
      <c r="W11" s="58"/>
      <c r="X11" s="58"/>
      <c r="Z11" s="26"/>
      <c r="AB11" s="53" t="str">
        <f>('Clima institucional'!A12)</f>
        <v>Docentes 8</v>
      </c>
      <c r="AC11" s="27">
        <f>'Por Valoracion (3) Dimension'!B11</f>
        <v>13</v>
      </c>
      <c r="AD11" s="27">
        <f>'Por Valoracion (3) Dimension 2'!D11</f>
        <v>19</v>
      </c>
      <c r="AN11" s="57" t="s">
        <v>185</v>
      </c>
      <c r="AO11" s="58"/>
      <c r="AP11" s="58"/>
      <c r="AQ11" s="58"/>
      <c r="AS11" s="57" t="s">
        <v>185</v>
      </c>
      <c r="AT11" s="58"/>
      <c r="AU11" s="58"/>
      <c r="AV11" s="58"/>
      <c r="AW11" s="58"/>
      <c r="AY11" s="26"/>
      <c r="BA11" s="53" t="str">
        <f>('Clima institucional'!A12)</f>
        <v>Docentes 8</v>
      </c>
      <c r="BB11" s="27">
        <f>'Por Valoracion (3) Dimension'!B11</f>
        <v>13</v>
      </c>
      <c r="BC11" s="27">
        <f>'Por Valoracion (3) Dimension 2'!F11</f>
        <v>17</v>
      </c>
      <c r="BM11" s="57" t="s">
        <v>185</v>
      </c>
      <c r="BN11" s="58"/>
      <c r="BO11" s="58"/>
      <c r="BP11" s="58"/>
      <c r="BR11" s="57" t="s">
        <v>185</v>
      </c>
      <c r="BS11" s="58"/>
      <c r="BT11" s="58"/>
      <c r="BU11" s="58"/>
      <c r="BV11" s="58"/>
      <c r="BX11" s="26"/>
      <c r="BZ11" s="34"/>
      <c r="CB11" s="53" t="str">
        <f>('Clima institucional'!A12)</f>
        <v>Docentes 8</v>
      </c>
      <c r="CC11" s="27">
        <f>'Por Valoracion (3) Dimension'!D11</f>
        <v>16</v>
      </c>
      <c r="CD11" s="27">
        <f>'Por Valoracion (3) Dimension 2'!B11</f>
        <v>19</v>
      </c>
      <c r="CN11" s="57" t="s">
        <v>185</v>
      </c>
      <c r="CO11" s="58"/>
      <c r="CP11" s="58"/>
      <c r="CQ11" s="58"/>
      <c r="CS11" s="57" t="s">
        <v>185</v>
      </c>
      <c r="CT11" s="58"/>
      <c r="CU11" s="58"/>
      <c r="CV11" s="58"/>
      <c r="CW11" s="58"/>
      <c r="CY11" s="34"/>
      <c r="DA11" s="53" t="s">
        <v>25</v>
      </c>
      <c r="DB11" s="27">
        <v>16</v>
      </c>
      <c r="DC11" s="27">
        <v>19</v>
      </c>
      <c r="DM11" s="57" t="s">
        <v>185</v>
      </c>
      <c r="DN11" s="58"/>
      <c r="DO11" s="58"/>
      <c r="DP11" s="58"/>
      <c r="DR11" s="57" t="s">
        <v>185</v>
      </c>
      <c r="DS11" s="58"/>
      <c r="DT11" s="58"/>
      <c r="DU11" s="58"/>
      <c r="DV11" s="58"/>
      <c r="DX11" s="34"/>
      <c r="DZ11" s="53" t="str">
        <f>('Clima institucional'!A12)</f>
        <v>Docentes 8</v>
      </c>
      <c r="EA11" s="27">
        <f>'Por Valoracion (3) Dimension'!D11</f>
        <v>16</v>
      </c>
      <c r="EB11" s="27">
        <f>'Por Valoracion (3) Dimension 2'!F11</f>
        <v>17</v>
      </c>
      <c r="EL11" s="57" t="s">
        <v>185</v>
      </c>
      <c r="EM11" s="58"/>
      <c r="EN11" s="58"/>
      <c r="EO11" s="58"/>
      <c r="EQ11" s="57" t="s">
        <v>185</v>
      </c>
      <c r="ER11" s="58"/>
      <c r="ES11" s="58"/>
      <c r="ET11" s="58"/>
      <c r="EU11" s="58"/>
      <c r="EW11" s="34"/>
      <c r="EY11" s="35"/>
      <c r="FA11" s="53" t="str">
        <f>('Clima institucional'!A12)</f>
        <v>Docentes 8</v>
      </c>
      <c r="FB11" s="27">
        <f>'Por Valoracion (3) Dimension'!F11</f>
        <v>19</v>
      </c>
      <c r="FC11" s="27">
        <f>'Por Valoracion (3) Dimension 2'!B11</f>
        <v>19</v>
      </c>
      <c r="FM11" s="57" t="s">
        <v>185</v>
      </c>
      <c r="FN11" s="58"/>
      <c r="FO11" s="58"/>
      <c r="FP11" s="58"/>
      <c r="FR11" s="57" t="s">
        <v>185</v>
      </c>
      <c r="FS11" s="58"/>
      <c r="FT11" s="58"/>
      <c r="FU11" s="58"/>
      <c r="FV11" s="58"/>
      <c r="FX11" s="35"/>
      <c r="FZ11" s="53" t="str">
        <f>('Clima institucional'!A12)</f>
        <v>Docentes 8</v>
      </c>
      <c r="GA11" s="27">
        <f>'Por Valoracion (3) Dimension'!F11</f>
        <v>19</v>
      </c>
      <c r="GB11" s="27">
        <f>'Por Valoracion (3) Dimension 2'!D11</f>
        <v>19</v>
      </c>
      <c r="GL11" s="57" t="s">
        <v>185</v>
      </c>
      <c r="GM11" s="58"/>
      <c r="GN11" s="58"/>
      <c r="GO11" s="58"/>
      <c r="GQ11" s="57" t="s">
        <v>185</v>
      </c>
      <c r="GR11" s="58"/>
      <c r="GS11" s="58"/>
      <c r="GT11" s="58"/>
      <c r="GU11" s="58"/>
      <c r="GW11" s="35"/>
      <c r="GY11" s="53" t="s">
        <v>25</v>
      </c>
      <c r="GZ11" s="27">
        <v>19</v>
      </c>
      <c r="HA11" s="27">
        <v>17</v>
      </c>
      <c r="HK11" s="57" t="s">
        <v>185</v>
      </c>
      <c r="HL11" s="58"/>
      <c r="HM11" s="58"/>
      <c r="HN11" s="58"/>
      <c r="HP11" s="57" t="s">
        <v>185</v>
      </c>
      <c r="HQ11" s="58"/>
      <c r="HR11" s="58"/>
      <c r="HS11" s="58"/>
      <c r="HT11" s="58"/>
      <c r="HV11" s="35"/>
    </row>
    <row r="12" spans="1:230" x14ac:dyDescent="0.25">
      <c r="A12" s="26"/>
      <c r="C12" s="53" t="s">
        <v>26</v>
      </c>
      <c r="D12" s="27">
        <v>6</v>
      </c>
      <c r="E12" s="27">
        <v>9</v>
      </c>
      <c r="G12" s="52" t="str">
        <f>CONCATENATE("en la ",G4," y basándose en la prueba de ",F29," se puede observar que, ","con una probabilidad de error de ",D30,"% para la ",D28," ",D29," y ",E30,"% para la ",E28," ",E29,", ",G29,H29, " por tal motivo se procederá a utilizar ",I29,".")</f>
        <v>en la Tabla 1 y basándose en la prueba de Kolmogorov-Smirnova se puede observar que, con una probabilidad de error de 0% para la  Dimensión  Estructuración Organizacional y 0% para la  Dimensión  Nivel de planificación de la enseñanza, la distribución de sus valores no son diferentes a la distribución normal es decir los datos si se encuentran normalmente distribuidos por tal motivo se procederá a utilizar la prueba paramétrica de correlación de Pearson.</v>
      </c>
      <c r="H12" s="53"/>
      <c r="I12" s="53"/>
      <c r="J12" s="53"/>
      <c r="K12" s="53"/>
      <c r="L12" s="53"/>
      <c r="M12" s="53"/>
      <c r="O12" s="58"/>
      <c r="P12" s="58"/>
      <c r="Q12" s="30" t="str">
        <f>D3</f>
        <v>Estructuración Organizacional</v>
      </c>
      <c r="R12" s="30" t="str">
        <f>E3</f>
        <v>Nivel de planificación de la enseñanza</v>
      </c>
      <c r="T12" s="58"/>
      <c r="U12" s="58"/>
      <c r="V12" s="58"/>
      <c r="W12" s="30" t="str">
        <f>D3</f>
        <v>Estructuración Organizacional</v>
      </c>
      <c r="X12" s="30" t="str">
        <f>E3</f>
        <v>Nivel de planificación de la enseñanza</v>
      </c>
      <c r="Z12" s="26"/>
      <c r="AB12" s="53" t="str">
        <f>('Clima institucional'!A13)</f>
        <v>Docentes 9</v>
      </c>
      <c r="AC12" s="27">
        <f>'Por Valoracion (3) Dimension'!B12</f>
        <v>6</v>
      </c>
      <c r="AD12" s="27">
        <f>'Por Valoracion (3) Dimension 2'!D12</f>
        <v>8</v>
      </c>
      <c r="AF12" s="52" t="str">
        <f>CONCATENATE("en la ",AF4," y basándose en la prueba de ",AE29," se puede observar que, ","con una probabilidad de error de ",AC30,"% para la ",AC28," ",AC29," y ",AD30,"% para la ",AD28," ",AD29,", ",AF29,AG29, " por tal motivo se procederá a utilizar ",AH29,".")</f>
        <v>en la Tabla 2 y basándose en la prueba de Kolmogorov-Smirnova se puede observar que, con una probabilidad de error de 0% para la  Dimensión  Estructuración Organizacional y 0% para la  Dimensión  Nivel de la competencia comunicativa, la distribución de sus valores no son diferentes a la distribución normal es decir los datos si se encuentran normalmente distribuidos por tal motivo se procederá a utilizar la prueba paramétrica de correlación de Pearson.</v>
      </c>
      <c r="AG12" s="53"/>
      <c r="AH12" s="53"/>
      <c r="AI12" s="53"/>
      <c r="AJ12" s="53"/>
      <c r="AK12" s="53"/>
      <c r="AL12" s="53"/>
      <c r="AN12" s="58"/>
      <c r="AO12" s="58"/>
      <c r="AP12" s="30" t="str">
        <f>AC3</f>
        <v>Estructuración Organizacional</v>
      </c>
      <c r="AQ12" s="30" t="str">
        <f>AD3</f>
        <v>Nivel de la competencia comunicativa</v>
      </c>
      <c r="AS12" s="58"/>
      <c r="AT12" s="58"/>
      <c r="AU12" s="58"/>
      <c r="AV12" s="30" t="str">
        <f>AC3</f>
        <v>Estructuración Organizacional</v>
      </c>
      <c r="AW12" s="30" t="str">
        <f>AD3</f>
        <v>Nivel de la competencia comunicativa</v>
      </c>
      <c r="AY12" s="26"/>
      <c r="BA12" s="53" t="str">
        <f>('Clima institucional'!A13)</f>
        <v>Docentes 9</v>
      </c>
      <c r="BB12" s="27">
        <f>'Por Valoracion (3) Dimension'!B12</f>
        <v>6</v>
      </c>
      <c r="BC12" s="27">
        <f>'Por Valoracion (3) Dimension 2'!F12</f>
        <v>8</v>
      </c>
      <c r="BE12" s="52" t="str">
        <f>CONCATENATE("en la ",BE4," y basándose en la prueba de ",BD29," se puede observar que, ","con una probabilidad de error de ",BB30,"% para la ",BB28," ",BB29," y ",BC30,"% para la ",BC28," ",BC29,", ",BE29,BF29, " por tal motivo se procederá a utilizar ",BG29,".")</f>
        <v>en la Tabla 3 y basándose en la prueba de Kolmogorov-Smirnova se puede observar que, con una probabilidad de error de 0% para la  Dimensión  Estructuración Organizacional y 0% para la  Dimensión  Diseño de metodología, la distribución de sus valores no son diferentes a la distribución normal es decir los datos si se encuentran normalmente distribuidos por tal motivo se procederá a utilizar la prueba paramétrica de correlación de Pearson.</v>
      </c>
      <c r="BF12" s="53"/>
      <c r="BG12" s="53"/>
      <c r="BH12" s="53"/>
      <c r="BI12" s="53"/>
      <c r="BJ12" s="53"/>
      <c r="BK12" s="53"/>
      <c r="BM12" s="58"/>
      <c r="BN12" s="58"/>
      <c r="BO12" s="30" t="str">
        <f>BB3</f>
        <v>Estructuración Organizacional</v>
      </c>
      <c r="BP12" s="30" t="str">
        <f>BC3</f>
        <v>Diseño de metodología</v>
      </c>
      <c r="BR12" s="58"/>
      <c r="BS12" s="58"/>
      <c r="BT12" s="58"/>
      <c r="BU12" s="30" t="str">
        <f>BB3</f>
        <v>Estructuración Organizacional</v>
      </c>
      <c r="BV12" s="30" t="str">
        <f>BC3</f>
        <v>Diseño de metodología</v>
      </c>
      <c r="BX12" s="26"/>
      <c r="BZ12" s="34"/>
      <c r="CB12" s="53" t="str">
        <f>('Clima institucional'!A13)</f>
        <v>Docentes 9</v>
      </c>
      <c r="CC12" s="27">
        <f>'Por Valoracion (3) Dimension'!D12</f>
        <v>7</v>
      </c>
      <c r="CD12" s="27">
        <f>'Por Valoracion (3) Dimension 2'!B12</f>
        <v>9</v>
      </c>
      <c r="CF12" s="52" t="str">
        <f>CONCATENATE("en la ",CF4," y basándose en la prueba de ",CE29," se puede observar que, ","con una probabilidad de error de ",CC30,"% para la ",CC28," ",CC29," y ",CD30,"% para la ",CD28," ",CD29,", ",CF29,CG29, " por tal motivo se procederá a utilizar ",CH29,".")</f>
        <v>en la Tabla 4 y basándose en la prueba de Kolmogorov-Smirnova se puede observar que, con una probabilidad de error de 0% para la  Dimensión  Relaciones Interpersonales y 0% para la  Dimensión  Nivel de planificación de la enseñanza, la distribución de sus valores no son diferentes a la distribución normal es decir los datos si se encuentran normalmente distribuidos por tal motivo se procederá a utilizar la prueba paramétrica de correlación de Pearson.</v>
      </c>
      <c r="CG12" s="53"/>
      <c r="CH12" s="53"/>
      <c r="CI12" s="53"/>
      <c r="CJ12" s="53"/>
      <c r="CK12" s="53"/>
      <c r="CL12" s="53"/>
      <c r="CN12" s="58"/>
      <c r="CO12" s="58"/>
      <c r="CP12" s="30" t="str">
        <f>CC3</f>
        <v>Relaciones Interpersonales</v>
      </c>
      <c r="CQ12" s="30" t="str">
        <f>CD3</f>
        <v>Nivel de planificación de la enseñanza</v>
      </c>
      <c r="CS12" s="58"/>
      <c r="CT12" s="58"/>
      <c r="CU12" s="58"/>
      <c r="CV12" s="30" t="str">
        <f>CC3</f>
        <v>Relaciones Interpersonales</v>
      </c>
      <c r="CW12" s="30" t="str">
        <f>CD3</f>
        <v>Nivel de planificación de la enseñanza</v>
      </c>
      <c r="CY12" s="34"/>
      <c r="DA12" s="53" t="s">
        <v>26</v>
      </c>
      <c r="DB12" s="27">
        <v>7</v>
      </c>
      <c r="DC12" s="27">
        <v>8</v>
      </c>
      <c r="DE12" s="52" t="str">
        <f>CONCATENATE("en la ",DE4," y basándose en la prueba de ",DD29," se puede observar que, ","con una probabilidad de error de ",DB30,"% para la ",DB28," ",DB29," y ",DC30,"% para la ",DC28," ",DC29,", ",DE29,DF29, " por tal motivo se procederá a utilizar ",DG29,".")</f>
        <v>en la Tabla 5 y basándose en la prueba de Kolmogorov-Smirnova se puede observar que, con una probabilidad de error de 0% para la  Dimensión  Relaciones Interpersonales y 0% para la  Dimensión  Nivel de la competencia comunicativa, la distribución de sus valores no son diferentes a la distribución normal es decir los datos si se encuentran normalmente distribuidos por tal motivo se procederá a utilizar la prueba paramétrica de correlación de Pearson.</v>
      </c>
      <c r="DF12" s="53"/>
      <c r="DG12" s="53"/>
      <c r="DH12" s="53"/>
      <c r="DI12" s="53"/>
      <c r="DJ12" s="53"/>
      <c r="DK12" s="53"/>
      <c r="DM12" s="58"/>
      <c r="DN12" s="58"/>
      <c r="DO12" s="30" t="str">
        <f>DB3</f>
        <v>Relaciones Interpersonales</v>
      </c>
      <c r="DP12" s="30" t="str">
        <f>DC3</f>
        <v>Nivel de la competencia comunicativa</v>
      </c>
      <c r="DR12" s="58"/>
      <c r="DS12" s="58"/>
      <c r="DT12" s="58"/>
      <c r="DU12" s="30" t="str">
        <f>DB3</f>
        <v>Relaciones Interpersonales</v>
      </c>
      <c r="DV12" s="30" t="str">
        <f>DC3</f>
        <v>Nivel de la competencia comunicativa</v>
      </c>
      <c r="DX12" s="34"/>
      <c r="DZ12" s="53" t="str">
        <f>('Clima institucional'!A13)</f>
        <v>Docentes 9</v>
      </c>
      <c r="EA12" s="27">
        <f>'Por Valoracion (3) Dimension'!D12</f>
        <v>7</v>
      </c>
      <c r="EB12" s="27">
        <f>'Por Valoracion (3) Dimension 2'!F12</f>
        <v>8</v>
      </c>
      <c r="ED12" s="52" t="str">
        <f>CONCATENATE("en la ",ED4," y basándose en la prueba de ",EC29," se puede observar que, ","con una probabilidad de error de ",EA30,"% para la ",EA28," ",EA29," y ",EB30,"% para la ",EB28," ",EB29,", ",ED29,EE29, " por tal motivo se procederá a utilizar ",EF29,".")</f>
        <v>en la Tabla 6 y basándose en la prueba de Kolmogorov-Smirnova se puede observar que, con una probabilidad de error de 0% para la  Dimensión  Relaciones Interpersonales y 0% para la  Dimensión  Diseño de metodología, la distribución de sus valores no son diferentes a la distribución normal es decir los datos si se encuentran normalmente distribuidos por tal motivo se procederá a utilizar la prueba paramétrica de correlación de Pearson.</v>
      </c>
      <c r="EE12" s="53"/>
      <c r="EF12" s="53"/>
      <c r="EG12" s="53"/>
      <c r="EH12" s="53"/>
      <c r="EI12" s="53"/>
      <c r="EJ12" s="53"/>
      <c r="EL12" s="58"/>
      <c r="EM12" s="58"/>
      <c r="EN12" s="30" t="str">
        <f>EA3</f>
        <v>Relaciones Interpersonales</v>
      </c>
      <c r="EO12" s="30" t="str">
        <f>EB3</f>
        <v>Diseño de metodología</v>
      </c>
      <c r="EQ12" s="58"/>
      <c r="ER12" s="58"/>
      <c r="ES12" s="58"/>
      <c r="ET12" s="30" t="str">
        <f>EA3</f>
        <v>Relaciones Interpersonales</v>
      </c>
      <c r="EU12" s="30" t="str">
        <f>EB3</f>
        <v>Diseño de metodología</v>
      </c>
      <c r="EW12" s="34"/>
      <c r="EY12" s="35"/>
      <c r="FA12" s="53" t="str">
        <f>('Clima institucional'!A13)</f>
        <v>Docentes 9</v>
      </c>
      <c r="FB12" s="27">
        <f>'Por Valoracion (3) Dimension'!F12</f>
        <v>6</v>
      </c>
      <c r="FC12" s="27">
        <f>'Por Valoracion (3) Dimension 2'!B12</f>
        <v>9</v>
      </c>
      <c r="FE12" s="52" t="str">
        <f>CONCATENATE("en la ",FE4," y basándose en la prueba de ",FD29," se puede observar que, ","con una probabilidad de error de ",FB30,"% para la ",FB28," ",FB29," y ",FC30,"% para la ",FC28," ",FC29,", ",FE29,FF29, " por tal motivo se procederá a utilizar ",FG29,".")</f>
        <v>en la Tabla 7 y basándose en la prueba de Kolmogorov-Smirnova se puede observar que, con una probabilidad de error de 0% para la  Dimensión  Identidad Institucional y 0% para la  Dimensión  Nivel de planificación de la enseñanza, la distribución de sus valores no son diferentes a la distribución normal es decir los datos si se encuentran normalmente distribuidos por tal motivo se procederá a utilizar la prueba paramétrica de correlación de Pearson.</v>
      </c>
      <c r="FF12" s="53"/>
      <c r="FG12" s="53"/>
      <c r="FH12" s="53"/>
      <c r="FI12" s="53"/>
      <c r="FJ12" s="53"/>
      <c r="FK12" s="53"/>
      <c r="FM12" s="58"/>
      <c r="FN12" s="58"/>
      <c r="FO12" s="30" t="str">
        <f>FB3</f>
        <v>Identidad Institucional</v>
      </c>
      <c r="FP12" s="30" t="str">
        <f>FC3</f>
        <v>Nivel de planificación de la enseñanza</v>
      </c>
      <c r="FR12" s="58"/>
      <c r="FS12" s="58"/>
      <c r="FT12" s="58"/>
      <c r="FU12" s="30" t="str">
        <f>FB3</f>
        <v>Identidad Institucional</v>
      </c>
      <c r="FV12" s="30" t="str">
        <f>FC3</f>
        <v>Nivel de planificación de la enseñanza</v>
      </c>
      <c r="FX12" s="35"/>
      <c r="FZ12" s="53" t="str">
        <f>('Clima institucional'!A13)</f>
        <v>Docentes 9</v>
      </c>
      <c r="GA12" s="27">
        <f>'Por Valoracion (3) Dimension'!F12</f>
        <v>6</v>
      </c>
      <c r="GB12" s="27">
        <f>'Por Valoracion (3) Dimension 2'!D12</f>
        <v>8</v>
      </c>
      <c r="GD12" s="52" t="str">
        <f>CONCATENATE("en la ",GD4," y basándose en la prueba de ",GC29," se puede observar que, ","con una probabilidad de error de ",GA30,"% para la ",GA28," ",GA29," y ",GB30,"% para la ",GB28," ",GB29,", ",GD29,GE29, " por tal motivo se procederá a utilizar ",GF29,".")</f>
        <v>en la Tabla 8 y basándose en la prueba de Kolmogorov-Smirnova se puede observar que, con una probabilidad de error de 0% para la  Dimensión  Identidad Institucional y 0% para la  Dimensión  Nivel de la competencia comunicativa, la distribución de sus valores no son diferentes a la distribución normal es decir los datos si se encuentran normalmente distribuidos por tal motivo se procederá a utilizar la prueba paramétrica de correlación de Pearson.</v>
      </c>
      <c r="GE12" s="53"/>
      <c r="GF12" s="53"/>
      <c r="GG12" s="53"/>
      <c r="GH12" s="53"/>
      <c r="GI12" s="53"/>
      <c r="GJ12" s="53"/>
      <c r="GL12" s="58"/>
      <c r="GM12" s="58"/>
      <c r="GN12" s="30" t="str">
        <f>GA3</f>
        <v>Identidad Institucional</v>
      </c>
      <c r="GO12" s="30" t="str">
        <f>GB3</f>
        <v>Nivel de la competencia comunicativa</v>
      </c>
      <c r="GQ12" s="58"/>
      <c r="GR12" s="58"/>
      <c r="GS12" s="58"/>
      <c r="GT12" s="30" t="str">
        <f>GA3</f>
        <v>Identidad Institucional</v>
      </c>
      <c r="GU12" s="30" t="str">
        <f>GB3</f>
        <v>Nivel de la competencia comunicativa</v>
      </c>
      <c r="GW12" s="35"/>
      <c r="GY12" s="53" t="s">
        <v>26</v>
      </c>
      <c r="GZ12" s="27">
        <v>6</v>
      </c>
      <c r="HA12" s="27">
        <v>8</v>
      </c>
      <c r="HC12" s="52" t="str">
        <f>CONCATENATE("en la ",HC4," y basándose en la prueba de ",HB29," se puede observar que, ","con una probabilidad de error de ",GZ30,"% para la ",GZ28," ",GZ29," y ",HA30,"% para la ",HA28," ",HA29,", ",HC29,HD29, " por tal motivo se procederá a utilizar ",HE29,".")</f>
        <v>en la Tabla 9 y basándose en la prueba de Kolmogorov-Smirnova se puede observar que, con una probabilidad de error de 0% para la  Dimensión  Identidad Institucional y 0% para la  Dimensión  Diseño de metodología, la distribución de sus valores no son diferentes a la distribución normal es decir los datos si se encuentran normalmente distribuidos por tal motivo se procederá a utilizar la prueba paramétrica de correlación de Pearson.</v>
      </c>
      <c r="HD12" s="53"/>
      <c r="HE12" s="53"/>
      <c r="HF12" s="53"/>
      <c r="HG12" s="53"/>
      <c r="HH12" s="53"/>
      <c r="HI12" s="53"/>
      <c r="HK12" s="58"/>
      <c r="HL12" s="58"/>
      <c r="HM12" s="30" t="str">
        <f>GZ3</f>
        <v>Identidad Institucional</v>
      </c>
      <c r="HN12" s="30" t="str">
        <f>HA3</f>
        <v>Diseño de metodología</v>
      </c>
      <c r="HP12" s="58"/>
      <c r="HQ12" s="58"/>
      <c r="HR12" s="58"/>
      <c r="HS12" s="30" t="str">
        <f>GZ3</f>
        <v>Identidad Institucional</v>
      </c>
      <c r="HT12" s="30" t="str">
        <f>HA3</f>
        <v>Diseño de metodología</v>
      </c>
      <c r="HV12" s="35"/>
    </row>
    <row r="13" spans="1:230" ht="25.5" x14ac:dyDescent="0.25">
      <c r="A13" s="26"/>
      <c r="C13" s="53" t="s">
        <v>27</v>
      </c>
      <c r="D13" s="27">
        <v>7</v>
      </c>
      <c r="E13" s="27">
        <v>7</v>
      </c>
      <c r="G13" s="53"/>
      <c r="H13" s="53"/>
      <c r="I13" s="53"/>
      <c r="J13" s="53"/>
      <c r="K13" s="53"/>
      <c r="L13" s="53"/>
      <c r="M13" s="53"/>
      <c r="O13" s="59" t="str">
        <f>D3</f>
        <v>Estructuración Organizacional</v>
      </c>
      <c r="P13" s="32" t="s">
        <v>186</v>
      </c>
      <c r="T13" s="60" t="s">
        <v>187</v>
      </c>
      <c r="U13" s="59" t="str">
        <f>D3</f>
        <v>Estructuración Organizacional</v>
      </c>
      <c r="V13" s="32" t="s">
        <v>188</v>
      </c>
      <c r="Z13" s="26"/>
      <c r="AB13" s="53" t="str">
        <f>('Clima institucional'!A14)</f>
        <v>Docentes 10</v>
      </c>
      <c r="AC13" s="27">
        <f>'Por Valoracion (3) Dimension'!B13</f>
        <v>7</v>
      </c>
      <c r="AD13" s="27">
        <f>'Por Valoracion (3) Dimension 2'!D13</f>
        <v>6</v>
      </c>
      <c r="AF13" s="53"/>
      <c r="AG13" s="53"/>
      <c r="AH13" s="53"/>
      <c r="AI13" s="53"/>
      <c r="AJ13" s="53"/>
      <c r="AK13" s="53"/>
      <c r="AL13" s="53"/>
      <c r="AN13" s="59" t="str">
        <f>AC3</f>
        <v>Estructuración Organizacional</v>
      </c>
      <c r="AO13" s="32" t="s">
        <v>186</v>
      </c>
      <c r="AS13" s="60" t="s">
        <v>187</v>
      </c>
      <c r="AT13" s="59" t="str">
        <f>AC3</f>
        <v>Estructuración Organizacional</v>
      </c>
      <c r="AU13" s="32" t="s">
        <v>188</v>
      </c>
      <c r="AY13" s="26"/>
      <c r="BA13" s="53" t="str">
        <f>('Clima institucional'!A14)</f>
        <v>Docentes 10</v>
      </c>
      <c r="BB13" s="27">
        <f>'Por Valoracion (3) Dimension'!B13</f>
        <v>7</v>
      </c>
      <c r="BC13" s="27">
        <f>'Por Valoracion (3) Dimension 2'!F13</f>
        <v>7</v>
      </c>
      <c r="BE13" s="53"/>
      <c r="BF13" s="53"/>
      <c r="BG13" s="53"/>
      <c r="BH13" s="53"/>
      <c r="BI13" s="53"/>
      <c r="BJ13" s="53"/>
      <c r="BK13" s="53"/>
      <c r="BM13" s="59" t="str">
        <f>BB3</f>
        <v>Estructuración Organizacional</v>
      </c>
      <c r="BN13" s="32" t="s">
        <v>186</v>
      </c>
      <c r="BR13" s="60" t="s">
        <v>187</v>
      </c>
      <c r="BS13" s="59" t="str">
        <f>BB3</f>
        <v>Estructuración Organizacional</v>
      </c>
      <c r="BT13" s="32" t="s">
        <v>188</v>
      </c>
      <c r="BX13" s="26"/>
      <c r="BZ13" s="34"/>
      <c r="CB13" s="53" t="str">
        <f>('Clima institucional'!A14)</f>
        <v>Docentes 10</v>
      </c>
      <c r="CC13" s="27">
        <f>'Por Valoracion (3) Dimension'!D13</f>
        <v>6</v>
      </c>
      <c r="CD13" s="27">
        <f>'Por Valoracion (3) Dimension 2'!B13</f>
        <v>7</v>
      </c>
      <c r="CF13" s="53"/>
      <c r="CG13" s="53"/>
      <c r="CH13" s="53"/>
      <c r="CI13" s="53"/>
      <c r="CJ13" s="53"/>
      <c r="CK13" s="53"/>
      <c r="CL13" s="53"/>
      <c r="CN13" s="59" t="str">
        <f>CC3</f>
        <v>Relaciones Interpersonales</v>
      </c>
      <c r="CO13" s="32" t="s">
        <v>186</v>
      </c>
      <c r="CS13" s="60" t="s">
        <v>187</v>
      </c>
      <c r="CT13" s="59" t="str">
        <f>CC3</f>
        <v>Relaciones Interpersonales</v>
      </c>
      <c r="CU13" s="32" t="s">
        <v>188</v>
      </c>
      <c r="CY13" s="34"/>
      <c r="DA13" s="53" t="s">
        <v>27</v>
      </c>
      <c r="DB13" s="27">
        <v>6</v>
      </c>
      <c r="DC13" s="27">
        <v>6</v>
      </c>
      <c r="DE13" s="53"/>
      <c r="DF13" s="53"/>
      <c r="DG13" s="53"/>
      <c r="DH13" s="53"/>
      <c r="DI13" s="53"/>
      <c r="DJ13" s="53"/>
      <c r="DK13" s="53"/>
      <c r="DM13" s="59" t="str">
        <f>DB3</f>
        <v>Relaciones Interpersonales</v>
      </c>
      <c r="DN13" s="32" t="s">
        <v>186</v>
      </c>
      <c r="DR13" s="60" t="s">
        <v>187</v>
      </c>
      <c r="DS13" s="59" t="str">
        <f>DB3</f>
        <v>Relaciones Interpersonales</v>
      </c>
      <c r="DT13" s="32" t="s">
        <v>188</v>
      </c>
      <c r="DX13" s="34"/>
      <c r="DZ13" s="53" t="str">
        <f>('Clima institucional'!A14)</f>
        <v>Docentes 10</v>
      </c>
      <c r="EA13" s="27">
        <f>'Por Valoracion (3) Dimension'!D13</f>
        <v>6</v>
      </c>
      <c r="EB13" s="27">
        <f>'Por Valoracion (3) Dimension 2'!F13</f>
        <v>7</v>
      </c>
      <c r="ED13" s="53"/>
      <c r="EE13" s="53"/>
      <c r="EF13" s="53"/>
      <c r="EG13" s="53"/>
      <c r="EH13" s="53"/>
      <c r="EI13" s="53"/>
      <c r="EJ13" s="53"/>
      <c r="EL13" s="59" t="str">
        <f>EA3</f>
        <v>Relaciones Interpersonales</v>
      </c>
      <c r="EM13" s="32" t="s">
        <v>186</v>
      </c>
      <c r="EQ13" s="60" t="s">
        <v>187</v>
      </c>
      <c r="ER13" s="59" t="str">
        <f>EA3</f>
        <v>Relaciones Interpersonales</v>
      </c>
      <c r="ES13" s="32" t="s">
        <v>188</v>
      </c>
      <c r="EW13" s="34"/>
      <c r="EY13" s="35"/>
      <c r="FA13" s="53" t="str">
        <f>('Clima institucional'!A14)</f>
        <v>Docentes 10</v>
      </c>
      <c r="FB13" s="27">
        <f>'Por Valoracion (3) Dimension'!F13</f>
        <v>5</v>
      </c>
      <c r="FC13" s="27">
        <f>'Por Valoracion (3) Dimension 2'!B13</f>
        <v>7</v>
      </c>
      <c r="FE13" s="53"/>
      <c r="FF13" s="53"/>
      <c r="FG13" s="53"/>
      <c r="FH13" s="53"/>
      <c r="FI13" s="53"/>
      <c r="FJ13" s="53"/>
      <c r="FK13" s="53"/>
      <c r="FM13" s="59" t="str">
        <f>FB3</f>
        <v>Identidad Institucional</v>
      </c>
      <c r="FN13" s="32" t="s">
        <v>186</v>
      </c>
      <c r="FR13" s="60" t="s">
        <v>187</v>
      </c>
      <c r="FS13" s="59" t="str">
        <f>FB3</f>
        <v>Identidad Institucional</v>
      </c>
      <c r="FT13" s="32" t="s">
        <v>188</v>
      </c>
      <c r="FX13" s="35"/>
      <c r="FZ13" s="53" t="str">
        <f>('Clima institucional'!A14)</f>
        <v>Docentes 10</v>
      </c>
      <c r="GA13" s="27">
        <f>'Por Valoracion (3) Dimension'!F13</f>
        <v>5</v>
      </c>
      <c r="GB13" s="27">
        <f>'Por Valoracion (3) Dimension 2'!D13</f>
        <v>6</v>
      </c>
      <c r="GD13" s="53"/>
      <c r="GE13" s="53"/>
      <c r="GF13" s="53"/>
      <c r="GG13" s="53"/>
      <c r="GH13" s="53"/>
      <c r="GI13" s="53"/>
      <c r="GJ13" s="53"/>
      <c r="GL13" s="59" t="str">
        <f>GA3</f>
        <v>Identidad Institucional</v>
      </c>
      <c r="GM13" s="32" t="s">
        <v>186</v>
      </c>
      <c r="GQ13" s="60" t="s">
        <v>187</v>
      </c>
      <c r="GR13" s="59" t="str">
        <f>GA3</f>
        <v>Identidad Institucional</v>
      </c>
      <c r="GS13" s="32" t="s">
        <v>188</v>
      </c>
      <c r="GW13" s="35"/>
      <c r="GY13" s="53" t="s">
        <v>27</v>
      </c>
      <c r="GZ13" s="27">
        <v>5</v>
      </c>
      <c r="HA13" s="27">
        <v>7</v>
      </c>
      <c r="HC13" s="53"/>
      <c r="HD13" s="53"/>
      <c r="HE13" s="53"/>
      <c r="HF13" s="53"/>
      <c r="HG13" s="53"/>
      <c r="HH13" s="53"/>
      <c r="HI13" s="53"/>
      <c r="HK13" s="59" t="str">
        <f>GZ3</f>
        <v>Identidad Institucional</v>
      </c>
      <c r="HL13" s="32" t="s">
        <v>186</v>
      </c>
      <c r="HP13" s="60" t="s">
        <v>187</v>
      </c>
      <c r="HQ13" s="59" t="str">
        <f>GZ3</f>
        <v>Identidad Institucional</v>
      </c>
      <c r="HR13" s="32" t="s">
        <v>188</v>
      </c>
      <c r="HV13" s="35"/>
    </row>
    <row r="14" spans="1:230" x14ac:dyDescent="0.25">
      <c r="A14" s="26"/>
      <c r="C14" s="53" t="s">
        <v>28</v>
      </c>
      <c r="D14" s="27">
        <v>15</v>
      </c>
      <c r="E14" s="27">
        <v>18</v>
      </c>
      <c r="G14" s="53"/>
      <c r="H14" s="53"/>
      <c r="I14" s="53"/>
      <c r="J14" s="53"/>
      <c r="K14" s="53"/>
      <c r="L14" s="53"/>
      <c r="M14" s="53"/>
      <c r="O14" s="53"/>
      <c r="P14" s="32" t="s">
        <v>189</v>
      </c>
      <c r="T14" s="53"/>
      <c r="U14" s="53"/>
      <c r="V14" s="32" t="s">
        <v>189</v>
      </c>
      <c r="Z14" s="26"/>
      <c r="AB14" s="53" t="str">
        <f>('Clima institucional'!A15)</f>
        <v>Docentes 11</v>
      </c>
      <c r="AC14" s="27">
        <f>'Por Valoracion (3) Dimension'!B14</f>
        <v>15</v>
      </c>
      <c r="AD14" s="27">
        <f>'Por Valoracion (3) Dimension 2'!D14</f>
        <v>14</v>
      </c>
      <c r="AF14" s="53"/>
      <c r="AG14" s="53"/>
      <c r="AH14" s="53"/>
      <c r="AI14" s="53"/>
      <c r="AJ14" s="53"/>
      <c r="AK14" s="53"/>
      <c r="AL14" s="53"/>
      <c r="AN14" s="53"/>
      <c r="AO14" s="32" t="s">
        <v>189</v>
      </c>
      <c r="AS14" s="53"/>
      <c r="AT14" s="53"/>
      <c r="AU14" s="32" t="s">
        <v>189</v>
      </c>
      <c r="AY14" s="26"/>
      <c r="BA14" s="53" t="str">
        <f>('Clima institucional'!A15)</f>
        <v>Docentes 11</v>
      </c>
      <c r="BB14" s="27">
        <f>'Por Valoracion (3) Dimension'!B14</f>
        <v>15</v>
      </c>
      <c r="BC14" s="27">
        <f>'Por Valoracion (3) Dimension 2'!F14</f>
        <v>14</v>
      </c>
      <c r="BE14" s="53"/>
      <c r="BF14" s="53"/>
      <c r="BG14" s="53"/>
      <c r="BH14" s="53"/>
      <c r="BI14" s="53"/>
      <c r="BJ14" s="53"/>
      <c r="BK14" s="53"/>
      <c r="BM14" s="53"/>
      <c r="BN14" s="32" t="s">
        <v>189</v>
      </c>
      <c r="BR14" s="53"/>
      <c r="BS14" s="53"/>
      <c r="BT14" s="32" t="s">
        <v>189</v>
      </c>
      <c r="BX14" s="26"/>
      <c r="BZ14" s="34"/>
      <c r="CB14" s="53" t="str">
        <f>('Clima institucional'!A15)</f>
        <v>Docentes 11</v>
      </c>
      <c r="CC14" s="27">
        <f>'Por Valoracion (3) Dimension'!D14</f>
        <v>16</v>
      </c>
      <c r="CD14" s="27">
        <f>'Por Valoracion (3) Dimension 2'!B14</f>
        <v>18</v>
      </c>
      <c r="CF14" s="53"/>
      <c r="CG14" s="53"/>
      <c r="CH14" s="53"/>
      <c r="CI14" s="53"/>
      <c r="CJ14" s="53"/>
      <c r="CK14" s="53"/>
      <c r="CL14" s="53"/>
      <c r="CN14" s="53"/>
      <c r="CO14" s="32" t="s">
        <v>189</v>
      </c>
      <c r="CS14" s="53"/>
      <c r="CT14" s="53"/>
      <c r="CU14" s="32" t="s">
        <v>189</v>
      </c>
      <c r="CY14" s="34"/>
      <c r="DA14" s="53" t="s">
        <v>28</v>
      </c>
      <c r="DB14" s="27">
        <v>16</v>
      </c>
      <c r="DC14" s="27">
        <v>14</v>
      </c>
      <c r="DE14" s="53"/>
      <c r="DF14" s="53"/>
      <c r="DG14" s="53"/>
      <c r="DH14" s="53"/>
      <c r="DI14" s="53"/>
      <c r="DJ14" s="53"/>
      <c r="DK14" s="53"/>
      <c r="DM14" s="53"/>
      <c r="DN14" s="32" t="s">
        <v>189</v>
      </c>
      <c r="DR14" s="53"/>
      <c r="DS14" s="53"/>
      <c r="DT14" s="32" t="s">
        <v>189</v>
      </c>
      <c r="DX14" s="34"/>
      <c r="DZ14" s="53" t="str">
        <f>('Clima institucional'!A15)</f>
        <v>Docentes 11</v>
      </c>
      <c r="EA14" s="27">
        <f>'Por Valoracion (3) Dimension'!D14</f>
        <v>16</v>
      </c>
      <c r="EB14" s="27">
        <f>'Por Valoracion (3) Dimension 2'!F14</f>
        <v>14</v>
      </c>
      <c r="ED14" s="53"/>
      <c r="EE14" s="53"/>
      <c r="EF14" s="53"/>
      <c r="EG14" s="53"/>
      <c r="EH14" s="53"/>
      <c r="EI14" s="53"/>
      <c r="EJ14" s="53"/>
      <c r="EL14" s="53"/>
      <c r="EM14" s="32" t="s">
        <v>189</v>
      </c>
      <c r="EQ14" s="53"/>
      <c r="ER14" s="53"/>
      <c r="ES14" s="32" t="s">
        <v>189</v>
      </c>
      <c r="EW14" s="34"/>
      <c r="EY14" s="35"/>
      <c r="FA14" s="53" t="str">
        <f>('Clima institucional'!A15)</f>
        <v>Docentes 11</v>
      </c>
      <c r="FB14" s="27">
        <f>'Por Valoracion (3) Dimension'!F14</f>
        <v>15</v>
      </c>
      <c r="FC14" s="27">
        <f>'Por Valoracion (3) Dimension 2'!B14</f>
        <v>18</v>
      </c>
      <c r="FE14" s="53"/>
      <c r="FF14" s="53"/>
      <c r="FG14" s="53"/>
      <c r="FH14" s="53"/>
      <c r="FI14" s="53"/>
      <c r="FJ14" s="53"/>
      <c r="FK14" s="53"/>
      <c r="FM14" s="53"/>
      <c r="FN14" s="32" t="s">
        <v>189</v>
      </c>
      <c r="FR14" s="53"/>
      <c r="FS14" s="53"/>
      <c r="FT14" s="32" t="s">
        <v>189</v>
      </c>
      <c r="FX14" s="35"/>
      <c r="FZ14" s="53" t="str">
        <f>('Clima institucional'!A15)</f>
        <v>Docentes 11</v>
      </c>
      <c r="GA14" s="27">
        <f>'Por Valoracion (3) Dimension'!F14</f>
        <v>15</v>
      </c>
      <c r="GB14" s="27">
        <f>'Por Valoracion (3) Dimension 2'!D14</f>
        <v>14</v>
      </c>
      <c r="GD14" s="53"/>
      <c r="GE14" s="53"/>
      <c r="GF14" s="53"/>
      <c r="GG14" s="53"/>
      <c r="GH14" s="53"/>
      <c r="GI14" s="53"/>
      <c r="GJ14" s="53"/>
      <c r="GL14" s="53"/>
      <c r="GM14" s="32" t="s">
        <v>189</v>
      </c>
      <c r="GQ14" s="53"/>
      <c r="GR14" s="53"/>
      <c r="GS14" s="32" t="s">
        <v>189</v>
      </c>
      <c r="GW14" s="35"/>
      <c r="GY14" s="53" t="s">
        <v>28</v>
      </c>
      <c r="GZ14" s="27">
        <v>15</v>
      </c>
      <c r="HA14" s="27">
        <v>14</v>
      </c>
      <c r="HC14" s="53"/>
      <c r="HD14" s="53"/>
      <c r="HE14" s="53"/>
      <c r="HF14" s="53"/>
      <c r="HG14" s="53"/>
      <c r="HH14" s="53"/>
      <c r="HI14" s="53"/>
      <c r="HK14" s="53"/>
      <c r="HL14" s="32" t="s">
        <v>189</v>
      </c>
      <c r="HP14" s="53"/>
      <c r="HQ14" s="53"/>
      <c r="HR14" s="32" t="s">
        <v>189</v>
      </c>
      <c r="HV14" s="35"/>
    </row>
    <row r="15" spans="1:230" x14ac:dyDescent="0.25">
      <c r="A15" s="26"/>
      <c r="C15" s="53" t="s">
        <v>29</v>
      </c>
      <c r="D15" s="27">
        <v>6</v>
      </c>
      <c r="E15" s="27">
        <v>5</v>
      </c>
      <c r="G15" s="53"/>
      <c r="H15" s="53"/>
      <c r="I15" s="53"/>
      <c r="J15" s="53"/>
      <c r="K15" s="53"/>
      <c r="L15" s="53"/>
      <c r="M15" s="53"/>
      <c r="O15" s="53"/>
      <c r="P15" s="32" t="s">
        <v>190</v>
      </c>
      <c r="T15" s="53"/>
      <c r="U15" s="53"/>
      <c r="V15" s="32" t="s">
        <v>190</v>
      </c>
      <c r="Z15" s="26"/>
      <c r="AB15" s="53" t="str">
        <f>('Clima institucional'!A16)</f>
        <v>Docentes 12</v>
      </c>
      <c r="AC15" s="27">
        <f>'Por Valoracion (3) Dimension'!B15</f>
        <v>6</v>
      </c>
      <c r="AD15" s="27">
        <f>'Por Valoracion (3) Dimension 2'!D15</f>
        <v>4</v>
      </c>
      <c r="AF15" s="53"/>
      <c r="AG15" s="53"/>
      <c r="AH15" s="53"/>
      <c r="AI15" s="53"/>
      <c r="AJ15" s="53"/>
      <c r="AK15" s="53"/>
      <c r="AL15" s="53"/>
      <c r="AN15" s="53"/>
      <c r="AO15" s="32" t="s">
        <v>190</v>
      </c>
      <c r="AS15" s="53"/>
      <c r="AT15" s="53"/>
      <c r="AU15" s="32" t="s">
        <v>190</v>
      </c>
      <c r="AY15" s="26"/>
      <c r="BA15" s="53" t="str">
        <f>('Clima institucional'!A16)</f>
        <v>Docentes 12</v>
      </c>
      <c r="BB15" s="27">
        <f>'Por Valoracion (3) Dimension'!B15</f>
        <v>6</v>
      </c>
      <c r="BC15" s="27">
        <f>'Por Valoracion (3) Dimension 2'!F15</f>
        <v>4</v>
      </c>
      <c r="BE15" s="53"/>
      <c r="BF15" s="53"/>
      <c r="BG15" s="53"/>
      <c r="BH15" s="53"/>
      <c r="BI15" s="53"/>
      <c r="BJ15" s="53"/>
      <c r="BK15" s="53"/>
      <c r="BM15" s="53"/>
      <c r="BN15" s="32" t="s">
        <v>190</v>
      </c>
      <c r="BR15" s="53"/>
      <c r="BS15" s="53"/>
      <c r="BT15" s="32" t="s">
        <v>190</v>
      </c>
      <c r="BX15" s="26"/>
      <c r="BZ15" s="34"/>
      <c r="CB15" s="53" t="str">
        <f>('Clima institucional'!A16)</f>
        <v>Docentes 12</v>
      </c>
      <c r="CC15" s="27">
        <f>'Por Valoracion (3) Dimension'!D15</f>
        <v>5</v>
      </c>
      <c r="CD15" s="27">
        <f>'Por Valoracion (3) Dimension 2'!B15</f>
        <v>5</v>
      </c>
      <c r="CF15" s="53"/>
      <c r="CG15" s="53"/>
      <c r="CH15" s="53"/>
      <c r="CI15" s="53"/>
      <c r="CJ15" s="53"/>
      <c r="CK15" s="53"/>
      <c r="CL15" s="53"/>
      <c r="CN15" s="53"/>
      <c r="CO15" s="32" t="s">
        <v>190</v>
      </c>
      <c r="CS15" s="53"/>
      <c r="CT15" s="53"/>
      <c r="CU15" s="32" t="s">
        <v>190</v>
      </c>
      <c r="CY15" s="34"/>
      <c r="DA15" s="53" t="s">
        <v>29</v>
      </c>
      <c r="DB15" s="27">
        <v>5</v>
      </c>
      <c r="DC15" s="27">
        <v>4</v>
      </c>
      <c r="DE15" s="53"/>
      <c r="DF15" s="53"/>
      <c r="DG15" s="53"/>
      <c r="DH15" s="53"/>
      <c r="DI15" s="53"/>
      <c r="DJ15" s="53"/>
      <c r="DK15" s="53"/>
      <c r="DM15" s="53"/>
      <c r="DN15" s="32" t="s">
        <v>190</v>
      </c>
      <c r="DR15" s="53"/>
      <c r="DS15" s="53"/>
      <c r="DT15" s="32" t="s">
        <v>190</v>
      </c>
      <c r="DX15" s="34"/>
      <c r="DZ15" s="53" t="str">
        <f>('Clima institucional'!A16)</f>
        <v>Docentes 12</v>
      </c>
      <c r="EA15" s="27">
        <f>'Por Valoracion (3) Dimension'!D15</f>
        <v>5</v>
      </c>
      <c r="EB15" s="27">
        <f>'Por Valoracion (3) Dimension 2'!F15</f>
        <v>4</v>
      </c>
      <c r="ED15" s="53"/>
      <c r="EE15" s="53"/>
      <c r="EF15" s="53"/>
      <c r="EG15" s="53"/>
      <c r="EH15" s="53"/>
      <c r="EI15" s="53"/>
      <c r="EJ15" s="53"/>
      <c r="EL15" s="53"/>
      <c r="EM15" s="32" t="s">
        <v>190</v>
      </c>
      <c r="EQ15" s="53"/>
      <c r="ER15" s="53"/>
      <c r="ES15" s="32" t="s">
        <v>190</v>
      </c>
      <c r="EW15" s="34"/>
      <c r="EY15" s="35"/>
      <c r="FA15" s="53" t="str">
        <f>('Clima institucional'!A16)</f>
        <v>Docentes 12</v>
      </c>
      <c r="FB15" s="27">
        <f>'Por Valoracion (3) Dimension'!F15</f>
        <v>4</v>
      </c>
      <c r="FC15" s="27">
        <f>'Por Valoracion (3) Dimension 2'!B15</f>
        <v>5</v>
      </c>
      <c r="FE15" s="53"/>
      <c r="FF15" s="53"/>
      <c r="FG15" s="53"/>
      <c r="FH15" s="53"/>
      <c r="FI15" s="53"/>
      <c r="FJ15" s="53"/>
      <c r="FK15" s="53"/>
      <c r="FM15" s="53"/>
      <c r="FN15" s="32" t="s">
        <v>190</v>
      </c>
      <c r="FR15" s="53"/>
      <c r="FS15" s="53"/>
      <c r="FT15" s="32" t="s">
        <v>190</v>
      </c>
      <c r="FX15" s="35"/>
      <c r="FZ15" s="53" t="str">
        <f>('Clima institucional'!A16)</f>
        <v>Docentes 12</v>
      </c>
      <c r="GA15" s="27">
        <f>'Por Valoracion (3) Dimension'!F15</f>
        <v>4</v>
      </c>
      <c r="GB15" s="27">
        <f>'Por Valoracion (3) Dimension 2'!D15</f>
        <v>4</v>
      </c>
      <c r="GD15" s="53"/>
      <c r="GE15" s="53"/>
      <c r="GF15" s="53"/>
      <c r="GG15" s="53"/>
      <c r="GH15" s="53"/>
      <c r="GI15" s="53"/>
      <c r="GJ15" s="53"/>
      <c r="GL15" s="53"/>
      <c r="GM15" s="32" t="s">
        <v>190</v>
      </c>
      <c r="GQ15" s="53"/>
      <c r="GR15" s="53"/>
      <c r="GS15" s="32" t="s">
        <v>190</v>
      </c>
      <c r="GW15" s="35"/>
      <c r="GY15" s="53" t="s">
        <v>29</v>
      </c>
      <c r="GZ15" s="27">
        <v>4</v>
      </c>
      <c r="HA15" s="27">
        <v>4</v>
      </c>
      <c r="HC15" s="53"/>
      <c r="HD15" s="53"/>
      <c r="HE15" s="53"/>
      <c r="HF15" s="53"/>
      <c r="HG15" s="53"/>
      <c r="HH15" s="53"/>
      <c r="HI15" s="53"/>
      <c r="HK15" s="53"/>
      <c r="HL15" s="32" t="s">
        <v>190</v>
      </c>
      <c r="HP15" s="53"/>
      <c r="HQ15" s="53"/>
      <c r="HR15" s="32" t="s">
        <v>190</v>
      </c>
      <c r="HV15" s="35"/>
    </row>
    <row r="16" spans="1:230" ht="25.5" x14ac:dyDescent="0.25">
      <c r="A16" s="26"/>
      <c r="C16" s="53" t="s">
        <v>30</v>
      </c>
      <c r="D16" s="27">
        <v>7</v>
      </c>
      <c r="E16" s="27">
        <v>8</v>
      </c>
      <c r="G16" s="53"/>
      <c r="H16" s="53"/>
      <c r="I16" s="53"/>
      <c r="J16" s="53"/>
      <c r="K16" s="53"/>
      <c r="L16" s="53"/>
      <c r="M16" s="53"/>
      <c r="O16" s="59" t="str">
        <f>E3</f>
        <v>Nivel de planificación de la enseñanza</v>
      </c>
      <c r="P16" s="32" t="s">
        <v>186</v>
      </c>
      <c r="T16" s="53"/>
      <c r="U16" s="59" t="str">
        <f>E3</f>
        <v>Nivel de planificación de la enseñanza</v>
      </c>
      <c r="V16" s="32" t="s">
        <v>188</v>
      </c>
      <c r="Z16" s="26"/>
      <c r="AB16" s="53" t="str">
        <f>('Clima institucional'!A17)</f>
        <v>Docentes 13</v>
      </c>
      <c r="AC16" s="27">
        <f>'Por Valoracion (3) Dimension'!B16</f>
        <v>7</v>
      </c>
      <c r="AD16" s="27">
        <f>'Por Valoracion (3) Dimension 2'!D16</f>
        <v>8</v>
      </c>
      <c r="AF16" s="53"/>
      <c r="AG16" s="53"/>
      <c r="AH16" s="53"/>
      <c r="AI16" s="53"/>
      <c r="AJ16" s="53"/>
      <c r="AK16" s="53"/>
      <c r="AL16" s="53"/>
      <c r="AN16" s="59" t="str">
        <f>AD3</f>
        <v>Nivel de la competencia comunicativa</v>
      </c>
      <c r="AO16" s="32" t="s">
        <v>186</v>
      </c>
      <c r="AS16" s="53"/>
      <c r="AT16" s="59" t="str">
        <f>AD3</f>
        <v>Nivel de la competencia comunicativa</v>
      </c>
      <c r="AU16" s="32" t="s">
        <v>188</v>
      </c>
      <c r="AY16" s="26"/>
      <c r="BA16" s="53" t="str">
        <f>('Clima institucional'!A17)</f>
        <v>Docentes 13</v>
      </c>
      <c r="BB16" s="27">
        <f>'Por Valoracion (3) Dimension'!B16</f>
        <v>7</v>
      </c>
      <c r="BC16" s="27">
        <f>'Por Valoracion (3) Dimension 2'!F16</f>
        <v>8</v>
      </c>
      <c r="BE16" s="53"/>
      <c r="BF16" s="53"/>
      <c r="BG16" s="53"/>
      <c r="BH16" s="53"/>
      <c r="BI16" s="53"/>
      <c r="BJ16" s="53"/>
      <c r="BK16" s="53"/>
      <c r="BM16" s="59" t="str">
        <f>BC3</f>
        <v>Diseño de metodología</v>
      </c>
      <c r="BN16" s="32" t="s">
        <v>186</v>
      </c>
      <c r="BR16" s="53"/>
      <c r="BS16" s="59" t="str">
        <f>BC3</f>
        <v>Diseño de metodología</v>
      </c>
      <c r="BT16" s="32" t="s">
        <v>188</v>
      </c>
      <c r="BX16" s="26"/>
      <c r="BZ16" s="34"/>
      <c r="CB16" s="53" t="str">
        <f>('Clima institucional'!A17)</f>
        <v>Docentes 13</v>
      </c>
      <c r="CC16" s="27">
        <f>'Por Valoracion (3) Dimension'!D16</f>
        <v>8</v>
      </c>
      <c r="CD16" s="27">
        <f>'Por Valoracion (3) Dimension 2'!B16</f>
        <v>8</v>
      </c>
      <c r="CF16" s="53"/>
      <c r="CG16" s="53"/>
      <c r="CH16" s="53"/>
      <c r="CI16" s="53"/>
      <c r="CJ16" s="53"/>
      <c r="CK16" s="53"/>
      <c r="CL16" s="53"/>
      <c r="CN16" s="59" t="str">
        <f>CD3</f>
        <v>Nivel de planificación de la enseñanza</v>
      </c>
      <c r="CO16" s="32" t="s">
        <v>186</v>
      </c>
      <c r="CS16" s="53"/>
      <c r="CT16" s="59" t="str">
        <f>CD3</f>
        <v>Nivel de planificación de la enseñanza</v>
      </c>
      <c r="CU16" s="32" t="s">
        <v>188</v>
      </c>
      <c r="CY16" s="34"/>
      <c r="DA16" s="53" t="s">
        <v>30</v>
      </c>
      <c r="DB16" s="27">
        <v>8</v>
      </c>
      <c r="DC16" s="27">
        <v>8</v>
      </c>
      <c r="DE16" s="53"/>
      <c r="DF16" s="53"/>
      <c r="DG16" s="53"/>
      <c r="DH16" s="53"/>
      <c r="DI16" s="53"/>
      <c r="DJ16" s="53"/>
      <c r="DK16" s="53"/>
      <c r="DM16" s="59" t="str">
        <f>DC3</f>
        <v>Nivel de la competencia comunicativa</v>
      </c>
      <c r="DN16" s="32" t="s">
        <v>186</v>
      </c>
      <c r="DR16" s="53"/>
      <c r="DS16" s="59" t="str">
        <f>DC3</f>
        <v>Nivel de la competencia comunicativa</v>
      </c>
      <c r="DT16" s="32" t="s">
        <v>188</v>
      </c>
      <c r="DX16" s="34"/>
      <c r="DZ16" s="53" t="str">
        <f>('Clima institucional'!A17)</f>
        <v>Docentes 13</v>
      </c>
      <c r="EA16" s="27">
        <f>'Por Valoracion (3) Dimension'!D16</f>
        <v>8</v>
      </c>
      <c r="EB16" s="27">
        <f>'Por Valoracion (3) Dimension 2'!F16</f>
        <v>8</v>
      </c>
      <c r="ED16" s="53"/>
      <c r="EE16" s="53"/>
      <c r="EF16" s="53"/>
      <c r="EG16" s="53"/>
      <c r="EH16" s="53"/>
      <c r="EI16" s="53"/>
      <c r="EJ16" s="53"/>
      <c r="EL16" s="59" t="str">
        <f>EB3</f>
        <v>Diseño de metodología</v>
      </c>
      <c r="EM16" s="32" t="s">
        <v>186</v>
      </c>
      <c r="EQ16" s="53"/>
      <c r="ER16" s="59" t="str">
        <f>EB3</f>
        <v>Diseño de metodología</v>
      </c>
      <c r="ES16" s="32" t="s">
        <v>188</v>
      </c>
      <c r="EW16" s="34"/>
      <c r="EY16" s="35"/>
      <c r="FA16" s="53" t="str">
        <f>('Clima institucional'!A17)</f>
        <v>Docentes 13</v>
      </c>
      <c r="FB16" s="27">
        <f>'Por Valoracion (3) Dimension'!F16</f>
        <v>8</v>
      </c>
      <c r="FC16" s="27">
        <f>'Por Valoracion (3) Dimension 2'!B16</f>
        <v>8</v>
      </c>
      <c r="FE16" s="53"/>
      <c r="FF16" s="53"/>
      <c r="FG16" s="53"/>
      <c r="FH16" s="53"/>
      <c r="FI16" s="53"/>
      <c r="FJ16" s="53"/>
      <c r="FK16" s="53"/>
      <c r="FM16" s="59" t="str">
        <f>FC3</f>
        <v>Nivel de planificación de la enseñanza</v>
      </c>
      <c r="FN16" s="32" t="s">
        <v>186</v>
      </c>
      <c r="FR16" s="53"/>
      <c r="FS16" s="59" t="str">
        <f>FC3</f>
        <v>Nivel de planificación de la enseñanza</v>
      </c>
      <c r="FT16" s="32" t="s">
        <v>188</v>
      </c>
      <c r="FX16" s="35"/>
      <c r="FZ16" s="53" t="str">
        <f>('Clima institucional'!A17)</f>
        <v>Docentes 13</v>
      </c>
      <c r="GA16" s="27">
        <f>'Por Valoracion (3) Dimension'!F16</f>
        <v>8</v>
      </c>
      <c r="GB16" s="27">
        <f>'Por Valoracion (3) Dimension 2'!D16</f>
        <v>8</v>
      </c>
      <c r="GD16" s="53"/>
      <c r="GE16" s="53"/>
      <c r="GF16" s="53"/>
      <c r="GG16" s="53"/>
      <c r="GH16" s="53"/>
      <c r="GI16" s="53"/>
      <c r="GJ16" s="53"/>
      <c r="GL16" s="59" t="str">
        <f>GB3</f>
        <v>Nivel de la competencia comunicativa</v>
      </c>
      <c r="GM16" s="32" t="s">
        <v>186</v>
      </c>
      <c r="GQ16" s="53"/>
      <c r="GR16" s="59" t="str">
        <f>GB3</f>
        <v>Nivel de la competencia comunicativa</v>
      </c>
      <c r="GS16" s="32" t="s">
        <v>188</v>
      </c>
      <c r="GW16" s="35"/>
      <c r="GY16" s="53" t="s">
        <v>30</v>
      </c>
      <c r="GZ16" s="27">
        <v>8</v>
      </c>
      <c r="HA16" s="27">
        <v>8</v>
      </c>
      <c r="HC16" s="53"/>
      <c r="HD16" s="53"/>
      <c r="HE16" s="53"/>
      <c r="HF16" s="53"/>
      <c r="HG16" s="53"/>
      <c r="HH16" s="53"/>
      <c r="HI16" s="53"/>
      <c r="HK16" s="59" t="str">
        <f>HA3</f>
        <v>Diseño de metodología</v>
      </c>
      <c r="HL16" s="32" t="s">
        <v>186</v>
      </c>
      <c r="HP16" s="53"/>
      <c r="HQ16" s="59" t="str">
        <f>HA3</f>
        <v>Diseño de metodología</v>
      </c>
      <c r="HR16" s="32" t="s">
        <v>188</v>
      </c>
      <c r="HV16" s="35"/>
    </row>
    <row r="17" spans="1:230" x14ac:dyDescent="0.25">
      <c r="A17" s="26"/>
      <c r="C17" s="53" t="s">
        <v>31</v>
      </c>
      <c r="D17" s="27">
        <v>13</v>
      </c>
      <c r="E17" s="27">
        <v>14</v>
      </c>
      <c r="G17" s="53"/>
      <c r="H17" s="53"/>
      <c r="I17" s="53"/>
      <c r="J17" s="53"/>
      <c r="K17" s="53"/>
      <c r="L17" s="53"/>
      <c r="M17" s="53"/>
      <c r="O17" s="53"/>
      <c r="P17" s="32" t="s">
        <v>189</v>
      </c>
      <c r="T17" s="53"/>
      <c r="U17" s="53"/>
      <c r="V17" s="32" t="s">
        <v>189</v>
      </c>
      <c r="Z17" s="26"/>
      <c r="AB17" s="53" t="str">
        <f>('Clima institucional'!A18)</f>
        <v>Docentes 14</v>
      </c>
      <c r="AC17" s="27">
        <f>'Por Valoracion (3) Dimension'!B17</f>
        <v>13</v>
      </c>
      <c r="AD17" s="27">
        <f>'Por Valoracion (3) Dimension 2'!D17</f>
        <v>17</v>
      </c>
      <c r="AF17" s="53"/>
      <c r="AG17" s="53"/>
      <c r="AH17" s="53"/>
      <c r="AI17" s="53"/>
      <c r="AJ17" s="53"/>
      <c r="AK17" s="53"/>
      <c r="AL17" s="53"/>
      <c r="AN17" s="53"/>
      <c r="AO17" s="32" t="s">
        <v>189</v>
      </c>
      <c r="AS17" s="53"/>
      <c r="AT17" s="53"/>
      <c r="AU17" s="32" t="s">
        <v>189</v>
      </c>
      <c r="AY17" s="26"/>
      <c r="BA17" s="53" t="str">
        <f>('Clima institucional'!A18)</f>
        <v>Docentes 14</v>
      </c>
      <c r="BB17" s="27">
        <f>'Por Valoracion (3) Dimension'!B17</f>
        <v>13</v>
      </c>
      <c r="BC17" s="27">
        <f>'Por Valoracion (3) Dimension 2'!F17</f>
        <v>15</v>
      </c>
      <c r="BE17" s="53"/>
      <c r="BF17" s="53"/>
      <c r="BG17" s="53"/>
      <c r="BH17" s="53"/>
      <c r="BI17" s="53"/>
      <c r="BJ17" s="53"/>
      <c r="BK17" s="53"/>
      <c r="BM17" s="53"/>
      <c r="BN17" s="32" t="s">
        <v>189</v>
      </c>
      <c r="BR17" s="53"/>
      <c r="BS17" s="53"/>
      <c r="BT17" s="32" t="s">
        <v>189</v>
      </c>
      <c r="BX17" s="26"/>
      <c r="BZ17" s="34"/>
      <c r="CB17" s="53" t="str">
        <f>('Clima institucional'!A18)</f>
        <v>Docentes 14</v>
      </c>
      <c r="CC17" s="27">
        <f>'Por Valoracion (3) Dimension'!D17</f>
        <v>16</v>
      </c>
      <c r="CD17" s="27">
        <f>'Por Valoracion (3) Dimension 2'!B17</f>
        <v>14</v>
      </c>
      <c r="CF17" s="53"/>
      <c r="CG17" s="53"/>
      <c r="CH17" s="53"/>
      <c r="CI17" s="53"/>
      <c r="CJ17" s="53"/>
      <c r="CK17" s="53"/>
      <c r="CL17" s="53"/>
      <c r="CN17" s="53"/>
      <c r="CO17" s="32" t="s">
        <v>189</v>
      </c>
      <c r="CS17" s="53"/>
      <c r="CT17" s="53"/>
      <c r="CU17" s="32" t="s">
        <v>189</v>
      </c>
      <c r="CY17" s="34"/>
      <c r="DA17" s="53" t="s">
        <v>31</v>
      </c>
      <c r="DB17" s="27">
        <v>16</v>
      </c>
      <c r="DC17" s="27">
        <v>17</v>
      </c>
      <c r="DE17" s="53"/>
      <c r="DF17" s="53"/>
      <c r="DG17" s="53"/>
      <c r="DH17" s="53"/>
      <c r="DI17" s="53"/>
      <c r="DJ17" s="53"/>
      <c r="DK17" s="53"/>
      <c r="DM17" s="53"/>
      <c r="DN17" s="32" t="s">
        <v>189</v>
      </c>
      <c r="DR17" s="53"/>
      <c r="DS17" s="53"/>
      <c r="DT17" s="32" t="s">
        <v>189</v>
      </c>
      <c r="DX17" s="34"/>
      <c r="DZ17" s="53" t="str">
        <f>('Clima institucional'!A18)</f>
        <v>Docentes 14</v>
      </c>
      <c r="EA17" s="27">
        <f>'Por Valoracion (3) Dimension'!D17</f>
        <v>16</v>
      </c>
      <c r="EB17" s="27">
        <f>'Por Valoracion (3) Dimension 2'!F17</f>
        <v>15</v>
      </c>
      <c r="ED17" s="53"/>
      <c r="EE17" s="53"/>
      <c r="EF17" s="53"/>
      <c r="EG17" s="53"/>
      <c r="EH17" s="53"/>
      <c r="EI17" s="53"/>
      <c r="EJ17" s="53"/>
      <c r="EL17" s="53"/>
      <c r="EM17" s="32" t="s">
        <v>189</v>
      </c>
      <c r="EQ17" s="53"/>
      <c r="ER17" s="53"/>
      <c r="ES17" s="32" t="s">
        <v>189</v>
      </c>
      <c r="EW17" s="34"/>
      <c r="EY17" s="35"/>
      <c r="FA17" s="53" t="str">
        <f>('Clima institucional'!A18)</f>
        <v>Docentes 14</v>
      </c>
      <c r="FB17" s="27">
        <f>'Por Valoracion (3) Dimension'!F17</f>
        <v>16</v>
      </c>
      <c r="FC17" s="27">
        <f>'Por Valoracion (3) Dimension 2'!B17</f>
        <v>14</v>
      </c>
      <c r="FE17" s="53"/>
      <c r="FF17" s="53"/>
      <c r="FG17" s="53"/>
      <c r="FH17" s="53"/>
      <c r="FI17" s="53"/>
      <c r="FJ17" s="53"/>
      <c r="FK17" s="53"/>
      <c r="FM17" s="53"/>
      <c r="FN17" s="32" t="s">
        <v>189</v>
      </c>
      <c r="FR17" s="53"/>
      <c r="FS17" s="53"/>
      <c r="FT17" s="32" t="s">
        <v>189</v>
      </c>
      <c r="FX17" s="35"/>
      <c r="FZ17" s="53" t="str">
        <f>('Clima institucional'!A18)</f>
        <v>Docentes 14</v>
      </c>
      <c r="GA17" s="27">
        <f>'Por Valoracion (3) Dimension'!F17</f>
        <v>16</v>
      </c>
      <c r="GB17" s="27">
        <f>'Por Valoracion (3) Dimension 2'!D17</f>
        <v>17</v>
      </c>
      <c r="GD17" s="53"/>
      <c r="GE17" s="53"/>
      <c r="GF17" s="53"/>
      <c r="GG17" s="53"/>
      <c r="GH17" s="53"/>
      <c r="GI17" s="53"/>
      <c r="GJ17" s="53"/>
      <c r="GL17" s="53"/>
      <c r="GM17" s="32" t="s">
        <v>189</v>
      </c>
      <c r="GQ17" s="53"/>
      <c r="GR17" s="53"/>
      <c r="GS17" s="32" t="s">
        <v>189</v>
      </c>
      <c r="GW17" s="35"/>
      <c r="GY17" s="53" t="s">
        <v>31</v>
      </c>
      <c r="GZ17" s="27">
        <v>16</v>
      </c>
      <c r="HA17" s="27">
        <v>15</v>
      </c>
      <c r="HC17" s="53"/>
      <c r="HD17" s="53"/>
      <c r="HE17" s="53"/>
      <c r="HF17" s="53"/>
      <c r="HG17" s="53"/>
      <c r="HH17" s="53"/>
      <c r="HI17" s="53"/>
      <c r="HK17" s="53"/>
      <c r="HL17" s="32" t="s">
        <v>189</v>
      </c>
      <c r="HP17" s="53"/>
      <c r="HQ17" s="53"/>
      <c r="HR17" s="32" t="s">
        <v>189</v>
      </c>
      <c r="HV17" s="35"/>
    </row>
    <row r="18" spans="1:230" x14ac:dyDescent="0.25">
      <c r="A18" s="26"/>
      <c r="C18" s="53" t="s">
        <v>32</v>
      </c>
      <c r="D18" s="27">
        <v>7</v>
      </c>
      <c r="E18" s="27">
        <v>5</v>
      </c>
      <c r="O18" s="58"/>
      <c r="P18" s="31" t="s">
        <v>190</v>
      </c>
      <c r="Q18" s="5"/>
      <c r="R18" s="5"/>
      <c r="T18" s="58"/>
      <c r="U18" s="58"/>
      <c r="V18" s="31" t="s">
        <v>190</v>
      </c>
      <c r="W18" s="5"/>
      <c r="X18" s="5"/>
      <c r="Z18" s="26"/>
      <c r="AB18" s="53" t="str">
        <f>('Clima institucional'!A19)</f>
        <v>Docentes 15</v>
      </c>
      <c r="AC18" s="27">
        <f>'Por Valoracion (3) Dimension'!B18</f>
        <v>7</v>
      </c>
      <c r="AD18" s="27">
        <f>'Por Valoracion (3) Dimension 2'!D18</f>
        <v>5</v>
      </c>
      <c r="AN18" s="58"/>
      <c r="AO18" s="31" t="s">
        <v>190</v>
      </c>
      <c r="AP18" s="5"/>
      <c r="AQ18" s="5"/>
      <c r="AS18" s="58"/>
      <c r="AT18" s="58"/>
      <c r="AU18" s="31" t="s">
        <v>190</v>
      </c>
      <c r="AV18" s="5"/>
      <c r="AW18" s="5"/>
      <c r="AY18" s="26"/>
      <c r="BA18" s="53" t="str">
        <f>('Clima institucional'!A19)</f>
        <v>Docentes 15</v>
      </c>
      <c r="BB18" s="27">
        <f>'Por Valoracion (3) Dimension'!B18</f>
        <v>7</v>
      </c>
      <c r="BC18" s="27">
        <f>'Por Valoracion (3) Dimension 2'!F18</f>
        <v>4</v>
      </c>
      <c r="BM18" s="58"/>
      <c r="BN18" s="31" t="s">
        <v>190</v>
      </c>
      <c r="BO18" s="5"/>
      <c r="BP18" s="5"/>
      <c r="BR18" s="58"/>
      <c r="BS18" s="58"/>
      <c r="BT18" s="31" t="s">
        <v>190</v>
      </c>
      <c r="BU18" s="5"/>
      <c r="BV18" s="5"/>
      <c r="BX18" s="26"/>
      <c r="BZ18" s="34"/>
      <c r="CB18" s="53" t="str">
        <f>('Clima institucional'!A19)</f>
        <v>Docentes 15</v>
      </c>
      <c r="CC18" s="27">
        <f>'Por Valoracion (3) Dimension'!D18</f>
        <v>7</v>
      </c>
      <c r="CD18" s="27">
        <f>'Por Valoracion (3) Dimension 2'!B18</f>
        <v>5</v>
      </c>
      <c r="CN18" s="58"/>
      <c r="CO18" s="31" t="s">
        <v>190</v>
      </c>
      <c r="CP18" s="5"/>
      <c r="CQ18" s="5"/>
      <c r="CS18" s="58"/>
      <c r="CT18" s="58"/>
      <c r="CU18" s="31" t="s">
        <v>190</v>
      </c>
      <c r="CV18" s="5"/>
      <c r="CW18" s="5"/>
      <c r="CY18" s="34"/>
      <c r="DA18" s="53" t="s">
        <v>32</v>
      </c>
      <c r="DB18" s="27">
        <v>7</v>
      </c>
      <c r="DC18" s="27">
        <v>5</v>
      </c>
      <c r="DM18" s="58"/>
      <c r="DN18" s="31" t="s">
        <v>190</v>
      </c>
      <c r="DO18" s="5"/>
      <c r="DP18" s="5"/>
      <c r="DR18" s="58"/>
      <c r="DS18" s="58"/>
      <c r="DT18" s="31" t="s">
        <v>190</v>
      </c>
      <c r="DU18" s="5"/>
      <c r="DV18" s="5"/>
      <c r="DX18" s="34"/>
      <c r="DZ18" s="53" t="str">
        <f>('Clima institucional'!A19)</f>
        <v>Docentes 15</v>
      </c>
      <c r="EA18" s="27">
        <f>'Por Valoracion (3) Dimension'!D18</f>
        <v>7</v>
      </c>
      <c r="EB18" s="27">
        <f>'Por Valoracion (3) Dimension 2'!F18</f>
        <v>4</v>
      </c>
      <c r="EL18" s="58"/>
      <c r="EM18" s="31" t="s">
        <v>190</v>
      </c>
      <c r="EN18" s="5"/>
      <c r="EO18" s="5"/>
      <c r="EQ18" s="58"/>
      <c r="ER18" s="58"/>
      <c r="ES18" s="31" t="s">
        <v>190</v>
      </c>
      <c r="ET18" s="5"/>
      <c r="EU18" s="5"/>
      <c r="EW18" s="34"/>
      <c r="EY18" s="35"/>
      <c r="FA18" s="53" t="str">
        <f>('Clima institucional'!A19)</f>
        <v>Docentes 15</v>
      </c>
      <c r="FB18" s="27">
        <f>'Por Valoracion (3) Dimension'!F18</f>
        <v>9</v>
      </c>
      <c r="FC18" s="27">
        <f>'Por Valoracion (3) Dimension 2'!B18</f>
        <v>5</v>
      </c>
      <c r="FM18" s="58"/>
      <c r="FN18" s="31" t="s">
        <v>190</v>
      </c>
      <c r="FO18" s="5"/>
      <c r="FP18" s="5"/>
      <c r="FR18" s="58"/>
      <c r="FS18" s="58"/>
      <c r="FT18" s="31" t="s">
        <v>190</v>
      </c>
      <c r="FU18" s="5"/>
      <c r="FV18" s="5"/>
      <c r="FX18" s="35"/>
      <c r="FZ18" s="53" t="str">
        <f>('Clima institucional'!A19)</f>
        <v>Docentes 15</v>
      </c>
      <c r="GA18" s="27">
        <f>'Por Valoracion (3) Dimension'!F18</f>
        <v>9</v>
      </c>
      <c r="GB18" s="27">
        <f>'Por Valoracion (3) Dimension 2'!D18</f>
        <v>5</v>
      </c>
      <c r="GL18" s="58"/>
      <c r="GM18" s="31" t="s">
        <v>190</v>
      </c>
      <c r="GN18" s="5"/>
      <c r="GO18" s="5"/>
      <c r="GQ18" s="58"/>
      <c r="GR18" s="58"/>
      <c r="GS18" s="31" t="s">
        <v>190</v>
      </c>
      <c r="GT18" s="5"/>
      <c r="GU18" s="5"/>
      <c r="GW18" s="35"/>
      <c r="GY18" s="53" t="s">
        <v>32</v>
      </c>
      <c r="GZ18" s="27">
        <v>9</v>
      </c>
      <c r="HA18" s="27">
        <v>4</v>
      </c>
      <c r="HK18" s="58"/>
      <c r="HL18" s="31" t="s">
        <v>190</v>
      </c>
      <c r="HM18" s="5"/>
      <c r="HN18" s="5"/>
      <c r="HP18" s="58"/>
      <c r="HQ18" s="58"/>
      <c r="HR18" s="31" t="s">
        <v>190</v>
      </c>
      <c r="HS18" s="5"/>
      <c r="HT18" s="5"/>
      <c r="HV18" s="35"/>
    </row>
    <row r="19" spans="1:230" x14ac:dyDescent="0.25">
      <c r="A19" s="26"/>
      <c r="C19" s="53" t="s">
        <v>33</v>
      </c>
      <c r="D19" s="27">
        <v>5</v>
      </c>
      <c r="E19" s="27">
        <v>5</v>
      </c>
      <c r="O19" s="59" t="s">
        <v>191</v>
      </c>
      <c r="P19" s="53"/>
      <c r="Q19" s="53"/>
      <c r="R19" s="53"/>
      <c r="T19" s="59" t="s">
        <v>191</v>
      </c>
      <c r="U19" s="53"/>
      <c r="V19" s="53"/>
      <c r="W19" s="53"/>
      <c r="X19" s="53"/>
      <c r="Z19" s="26"/>
      <c r="AB19" s="53" t="str">
        <f>('Clima institucional'!A20)</f>
        <v>Docentes 16</v>
      </c>
      <c r="AC19" s="27">
        <f>'Por Valoracion (3) Dimension'!B19</f>
        <v>5</v>
      </c>
      <c r="AD19" s="27">
        <f>'Por Valoracion (3) Dimension 2'!D19</f>
        <v>5</v>
      </c>
      <c r="AN19" s="59" t="s">
        <v>191</v>
      </c>
      <c r="AO19" s="53"/>
      <c r="AP19" s="53"/>
      <c r="AQ19" s="53"/>
      <c r="AS19" s="59" t="s">
        <v>191</v>
      </c>
      <c r="AT19" s="53"/>
      <c r="AU19" s="53"/>
      <c r="AV19" s="53"/>
      <c r="AW19" s="53"/>
      <c r="AY19" s="26"/>
      <c r="BA19" s="53" t="str">
        <f>('Clima institucional'!A20)</f>
        <v>Docentes 16</v>
      </c>
      <c r="BB19" s="27">
        <f>'Por Valoracion (3) Dimension'!B19</f>
        <v>5</v>
      </c>
      <c r="BC19" s="27">
        <f>'Por Valoracion (3) Dimension 2'!F19</f>
        <v>6</v>
      </c>
      <c r="BM19" s="59" t="s">
        <v>191</v>
      </c>
      <c r="BN19" s="53"/>
      <c r="BO19" s="53"/>
      <c r="BP19" s="53"/>
      <c r="BR19" s="59" t="s">
        <v>191</v>
      </c>
      <c r="BS19" s="53"/>
      <c r="BT19" s="53"/>
      <c r="BU19" s="53"/>
      <c r="BV19" s="53"/>
      <c r="BX19" s="26"/>
      <c r="BZ19" s="34"/>
      <c r="CB19" s="53" t="str">
        <f>('Clima institucional'!A20)</f>
        <v>Docentes 16</v>
      </c>
      <c r="CC19" s="27">
        <f>'Por Valoracion (3) Dimension'!D19</f>
        <v>7</v>
      </c>
      <c r="CD19" s="27">
        <f>'Por Valoracion (3) Dimension 2'!B19</f>
        <v>5</v>
      </c>
      <c r="CN19" s="59" t="s">
        <v>191</v>
      </c>
      <c r="CO19" s="53"/>
      <c r="CP19" s="53"/>
      <c r="CQ19" s="53"/>
      <c r="CS19" s="59" t="s">
        <v>191</v>
      </c>
      <c r="CT19" s="53"/>
      <c r="CU19" s="53"/>
      <c r="CV19" s="53"/>
      <c r="CW19" s="53"/>
      <c r="CY19" s="34"/>
      <c r="DA19" s="53" t="s">
        <v>33</v>
      </c>
      <c r="DB19" s="27">
        <v>7</v>
      </c>
      <c r="DC19" s="27">
        <v>5</v>
      </c>
      <c r="DM19" s="59" t="s">
        <v>191</v>
      </c>
      <c r="DN19" s="53"/>
      <c r="DO19" s="53"/>
      <c r="DP19" s="53"/>
      <c r="DR19" s="59" t="s">
        <v>191</v>
      </c>
      <c r="DS19" s="53"/>
      <c r="DT19" s="53"/>
      <c r="DU19" s="53"/>
      <c r="DV19" s="53"/>
      <c r="DX19" s="34"/>
      <c r="DZ19" s="53" t="str">
        <f>('Clima institucional'!A20)</f>
        <v>Docentes 16</v>
      </c>
      <c r="EA19" s="27">
        <f>'Por Valoracion (3) Dimension'!D19</f>
        <v>7</v>
      </c>
      <c r="EB19" s="27">
        <f>'Por Valoracion (3) Dimension 2'!F19</f>
        <v>6</v>
      </c>
      <c r="EL19" s="59" t="s">
        <v>191</v>
      </c>
      <c r="EM19" s="53"/>
      <c r="EN19" s="53"/>
      <c r="EO19" s="53"/>
      <c r="EQ19" s="59" t="s">
        <v>191</v>
      </c>
      <c r="ER19" s="53"/>
      <c r="ES19" s="53"/>
      <c r="ET19" s="53"/>
      <c r="EU19" s="53"/>
      <c r="EW19" s="34"/>
      <c r="EY19" s="35"/>
      <c r="FA19" s="53" t="str">
        <f>('Clima institucional'!A20)</f>
        <v>Docentes 16</v>
      </c>
      <c r="FB19" s="27">
        <f>'Por Valoracion (3) Dimension'!F19</f>
        <v>4</v>
      </c>
      <c r="FC19" s="27">
        <f>'Por Valoracion (3) Dimension 2'!B19</f>
        <v>5</v>
      </c>
      <c r="FM19" s="59" t="s">
        <v>191</v>
      </c>
      <c r="FN19" s="53"/>
      <c r="FO19" s="53"/>
      <c r="FP19" s="53"/>
      <c r="FR19" s="59" t="s">
        <v>191</v>
      </c>
      <c r="FS19" s="53"/>
      <c r="FT19" s="53"/>
      <c r="FU19" s="53"/>
      <c r="FV19" s="53"/>
      <c r="FX19" s="35"/>
      <c r="FZ19" s="53" t="str">
        <f>('Clima institucional'!A20)</f>
        <v>Docentes 16</v>
      </c>
      <c r="GA19" s="27">
        <f>'Por Valoracion (3) Dimension'!F19</f>
        <v>4</v>
      </c>
      <c r="GB19" s="27">
        <f>'Por Valoracion (3) Dimension 2'!D19</f>
        <v>5</v>
      </c>
      <c r="GL19" s="59" t="s">
        <v>191</v>
      </c>
      <c r="GM19" s="53"/>
      <c r="GN19" s="53"/>
      <c r="GO19" s="53"/>
      <c r="GQ19" s="59" t="s">
        <v>191</v>
      </c>
      <c r="GR19" s="53"/>
      <c r="GS19" s="53"/>
      <c r="GT19" s="53"/>
      <c r="GU19" s="53"/>
      <c r="GW19" s="35"/>
      <c r="GY19" s="53" t="s">
        <v>33</v>
      </c>
      <c r="GZ19" s="27">
        <v>4</v>
      </c>
      <c r="HA19" s="27">
        <v>6</v>
      </c>
      <c r="HK19" s="59" t="s">
        <v>191</v>
      </c>
      <c r="HL19" s="53"/>
      <c r="HM19" s="53"/>
      <c r="HN19" s="53"/>
      <c r="HP19" s="59" t="s">
        <v>191</v>
      </c>
      <c r="HQ19" s="53"/>
      <c r="HR19" s="53"/>
      <c r="HS19" s="53"/>
      <c r="HT19" s="53"/>
      <c r="HV19" s="35"/>
    </row>
    <row r="20" spans="1:230" x14ac:dyDescent="0.25">
      <c r="A20" s="26"/>
      <c r="C20" s="53" t="s">
        <v>34</v>
      </c>
      <c r="D20" s="27">
        <v>8</v>
      </c>
      <c r="E20" s="27">
        <v>4</v>
      </c>
      <c r="Z20" s="26"/>
      <c r="AB20" s="53" t="str">
        <f>('Clima institucional'!A21)</f>
        <v>Docentes 17</v>
      </c>
      <c r="AC20" s="27">
        <f>'Por Valoracion (3) Dimension'!B20</f>
        <v>8</v>
      </c>
      <c r="AD20" s="27">
        <f>'Por Valoracion (3) Dimension 2'!D20</f>
        <v>7</v>
      </c>
      <c r="AY20" s="26"/>
      <c r="BA20" s="53" t="str">
        <f>('Clima institucional'!A21)</f>
        <v>Docentes 17</v>
      </c>
      <c r="BB20" s="27">
        <f>'Por Valoracion (3) Dimension'!B20</f>
        <v>8</v>
      </c>
      <c r="BC20" s="27">
        <f>'Por Valoracion (3) Dimension 2'!F20</f>
        <v>6</v>
      </c>
      <c r="BX20" s="26"/>
      <c r="BZ20" s="34"/>
      <c r="CB20" s="53" t="str">
        <f>('Clima institucional'!A21)</f>
        <v>Docentes 17</v>
      </c>
      <c r="CC20" s="27">
        <f>'Por Valoracion (3) Dimension'!D20</f>
        <v>9</v>
      </c>
      <c r="CD20" s="27">
        <f>'Por Valoracion (3) Dimension 2'!B20</f>
        <v>4</v>
      </c>
      <c r="CY20" s="34"/>
      <c r="DA20" s="53" t="s">
        <v>34</v>
      </c>
      <c r="DB20" s="27">
        <v>9</v>
      </c>
      <c r="DC20" s="27">
        <v>7</v>
      </c>
      <c r="DX20" s="34"/>
      <c r="DZ20" s="53" t="str">
        <f>('Clima institucional'!A21)</f>
        <v>Docentes 17</v>
      </c>
      <c r="EA20" s="27">
        <f>'Por Valoracion (3) Dimension'!D20</f>
        <v>9</v>
      </c>
      <c r="EB20" s="27">
        <f>'Por Valoracion (3) Dimension 2'!F20</f>
        <v>6</v>
      </c>
      <c r="EW20" s="34"/>
      <c r="EY20" s="35"/>
      <c r="FA20" s="53" t="str">
        <f>('Clima institucional'!A21)</f>
        <v>Docentes 17</v>
      </c>
      <c r="FB20" s="27">
        <f>'Por Valoracion (3) Dimension'!F20</f>
        <v>7</v>
      </c>
      <c r="FC20" s="27">
        <f>'Por Valoracion (3) Dimension 2'!B20</f>
        <v>4</v>
      </c>
      <c r="FX20" s="35"/>
      <c r="FZ20" s="53" t="str">
        <f>('Clima institucional'!A21)</f>
        <v>Docentes 17</v>
      </c>
      <c r="GA20" s="27">
        <f>'Por Valoracion (3) Dimension'!F20</f>
        <v>7</v>
      </c>
      <c r="GB20" s="27">
        <f>'Por Valoracion (3) Dimension 2'!D20</f>
        <v>7</v>
      </c>
      <c r="GW20" s="35"/>
      <c r="GY20" s="53" t="s">
        <v>34</v>
      </c>
      <c r="GZ20" s="27">
        <v>7</v>
      </c>
      <c r="HA20" s="27">
        <v>6</v>
      </c>
      <c r="HV20" s="35"/>
    </row>
    <row r="21" spans="1:230" x14ac:dyDescent="0.25">
      <c r="A21" s="26"/>
      <c r="C21" s="53" t="s">
        <v>35</v>
      </c>
      <c r="D21" s="27">
        <v>5</v>
      </c>
      <c r="E21" s="27">
        <v>4</v>
      </c>
      <c r="Z21" s="26"/>
      <c r="AB21" s="53" t="str">
        <f>('Clima institucional'!A22)</f>
        <v>Docentes 18</v>
      </c>
      <c r="AC21" s="27">
        <f>'Por Valoracion (3) Dimension'!B21</f>
        <v>5</v>
      </c>
      <c r="AD21" s="27">
        <f>'Por Valoracion (3) Dimension 2'!D21</f>
        <v>5</v>
      </c>
      <c r="AY21" s="26"/>
      <c r="BA21" s="53" t="str">
        <f>('Clima institucional'!A22)</f>
        <v>Docentes 18</v>
      </c>
      <c r="BB21" s="27">
        <f>'Por Valoracion (3) Dimension'!B21</f>
        <v>5</v>
      </c>
      <c r="BC21" s="27">
        <f>'Por Valoracion (3) Dimension 2'!F21</f>
        <v>4</v>
      </c>
      <c r="BX21" s="26"/>
      <c r="BZ21" s="34"/>
      <c r="CB21" s="53" t="str">
        <f>('Clima institucional'!A22)</f>
        <v>Docentes 18</v>
      </c>
      <c r="CC21" s="27">
        <f>'Por Valoracion (3) Dimension'!D21</f>
        <v>4</v>
      </c>
      <c r="CD21" s="27">
        <f>'Por Valoracion (3) Dimension 2'!B21</f>
        <v>4</v>
      </c>
      <c r="CY21" s="34"/>
      <c r="DA21" s="53" t="s">
        <v>35</v>
      </c>
      <c r="DB21" s="27">
        <v>4</v>
      </c>
      <c r="DC21" s="27">
        <v>5</v>
      </c>
      <c r="DX21" s="34"/>
      <c r="DZ21" s="53" t="str">
        <f>('Clima institucional'!A22)</f>
        <v>Docentes 18</v>
      </c>
      <c r="EA21" s="27">
        <f>'Por Valoracion (3) Dimension'!D21</f>
        <v>4</v>
      </c>
      <c r="EB21" s="27">
        <f>'Por Valoracion (3) Dimension 2'!F21</f>
        <v>4</v>
      </c>
      <c r="EW21" s="34"/>
      <c r="EY21" s="35"/>
      <c r="FA21" s="53" t="str">
        <f>('Clima institucional'!A22)</f>
        <v>Docentes 18</v>
      </c>
      <c r="FB21" s="27">
        <f>'Por Valoracion (3) Dimension'!F21</f>
        <v>4</v>
      </c>
      <c r="FC21" s="27">
        <f>'Por Valoracion (3) Dimension 2'!B21</f>
        <v>4</v>
      </c>
      <c r="FX21" s="35"/>
      <c r="FZ21" s="53" t="str">
        <f>('Clima institucional'!A22)</f>
        <v>Docentes 18</v>
      </c>
      <c r="GA21" s="27">
        <f>'Por Valoracion (3) Dimension'!F21</f>
        <v>4</v>
      </c>
      <c r="GB21" s="27">
        <f>'Por Valoracion (3) Dimension 2'!D21</f>
        <v>5</v>
      </c>
      <c r="GW21" s="35"/>
      <c r="GY21" s="53" t="s">
        <v>35</v>
      </c>
      <c r="GZ21" s="27">
        <v>4</v>
      </c>
      <c r="HA21" s="27">
        <v>4</v>
      </c>
      <c r="HV21" s="35"/>
    </row>
    <row r="22" spans="1:230" x14ac:dyDescent="0.25">
      <c r="A22" s="26"/>
      <c r="C22" s="53" t="s">
        <v>36</v>
      </c>
      <c r="D22" s="27">
        <v>8</v>
      </c>
      <c r="E22" s="27">
        <v>7</v>
      </c>
      <c r="Z22" s="26"/>
      <c r="AB22" s="53" t="str">
        <f>('Clima institucional'!A23)</f>
        <v>Docentes 19</v>
      </c>
      <c r="AC22" s="27">
        <f>'Por Valoracion (3) Dimension'!B22</f>
        <v>8</v>
      </c>
      <c r="AD22" s="27">
        <f>'Por Valoracion (3) Dimension 2'!D22</f>
        <v>6</v>
      </c>
      <c r="AY22" s="26"/>
      <c r="BA22" s="53" t="str">
        <f>('Clima institucional'!A23)</f>
        <v>Docentes 19</v>
      </c>
      <c r="BB22" s="27">
        <f>'Por Valoracion (3) Dimension'!B22</f>
        <v>8</v>
      </c>
      <c r="BC22" s="27">
        <f>'Por Valoracion (3) Dimension 2'!F22</f>
        <v>8</v>
      </c>
      <c r="BX22" s="26"/>
      <c r="BZ22" s="34"/>
      <c r="CB22" s="53" t="str">
        <f>('Clima institucional'!A23)</f>
        <v>Docentes 19</v>
      </c>
      <c r="CC22" s="27">
        <f>'Por Valoracion (3) Dimension'!D22</f>
        <v>7</v>
      </c>
      <c r="CD22" s="27">
        <f>'Por Valoracion (3) Dimension 2'!B22</f>
        <v>7</v>
      </c>
      <c r="CY22" s="34"/>
      <c r="DA22" s="53" t="s">
        <v>36</v>
      </c>
      <c r="DB22" s="27">
        <v>7</v>
      </c>
      <c r="DC22" s="27">
        <v>6</v>
      </c>
      <c r="DX22" s="34"/>
      <c r="DZ22" s="53" t="str">
        <f>('Clima institucional'!A23)</f>
        <v>Docentes 19</v>
      </c>
      <c r="EA22" s="27">
        <f>'Por Valoracion (3) Dimension'!D22</f>
        <v>7</v>
      </c>
      <c r="EB22" s="27">
        <f>'Por Valoracion (3) Dimension 2'!F22</f>
        <v>8</v>
      </c>
      <c r="EW22" s="34"/>
      <c r="EY22" s="35"/>
      <c r="FA22" s="53" t="str">
        <f>('Clima institucional'!A23)</f>
        <v>Docentes 19</v>
      </c>
      <c r="FB22" s="27">
        <f>'Por Valoracion (3) Dimension'!F22</f>
        <v>7</v>
      </c>
      <c r="FC22" s="27">
        <f>'Por Valoracion (3) Dimension 2'!B22</f>
        <v>7</v>
      </c>
      <c r="FX22" s="35"/>
      <c r="FZ22" s="53" t="str">
        <f>('Clima institucional'!A23)</f>
        <v>Docentes 19</v>
      </c>
      <c r="GA22" s="27">
        <f>'Por Valoracion (3) Dimension'!F22</f>
        <v>7</v>
      </c>
      <c r="GB22" s="27">
        <f>'Por Valoracion (3) Dimension 2'!D22</f>
        <v>6</v>
      </c>
      <c r="GW22" s="35"/>
      <c r="GY22" s="53" t="s">
        <v>36</v>
      </c>
      <c r="GZ22" s="27">
        <v>7</v>
      </c>
      <c r="HA22" s="27">
        <v>8</v>
      </c>
      <c r="HV22" s="35"/>
    </row>
    <row r="23" spans="1:230" x14ac:dyDescent="0.25">
      <c r="A23" s="26"/>
      <c r="C23" s="53" t="s">
        <v>37</v>
      </c>
      <c r="D23" s="27">
        <v>8</v>
      </c>
      <c r="E23" s="27">
        <v>8</v>
      </c>
      <c r="Z23" s="26"/>
      <c r="AB23" s="53" t="str">
        <f>('Clima institucional'!A24)</f>
        <v>Docentes 20</v>
      </c>
      <c r="AC23" s="27">
        <f>'Por Valoracion (3) Dimension'!B23</f>
        <v>8</v>
      </c>
      <c r="AD23" s="27">
        <f>'Por Valoracion (3) Dimension 2'!D23</f>
        <v>8</v>
      </c>
      <c r="AY23" s="26"/>
      <c r="BA23" s="53" t="str">
        <f>('Clima institucional'!A24)</f>
        <v>Docentes 20</v>
      </c>
      <c r="BB23" s="27">
        <f>'Por Valoracion (3) Dimension'!B23</f>
        <v>8</v>
      </c>
      <c r="BC23" s="27">
        <f>'Por Valoracion (3) Dimension 2'!F23</f>
        <v>7</v>
      </c>
      <c r="BX23" s="26"/>
      <c r="BZ23" s="34"/>
      <c r="CB23" s="53" t="str">
        <f>('Clima institucional'!A24)</f>
        <v>Docentes 20</v>
      </c>
      <c r="CC23" s="27">
        <f>'Por Valoracion (3) Dimension'!D23</f>
        <v>4</v>
      </c>
      <c r="CD23" s="27">
        <f>'Por Valoracion (3) Dimension 2'!B23</f>
        <v>8</v>
      </c>
      <c r="CY23" s="34"/>
      <c r="DA23" s="53" t="s">
        <v>37</v>
      </c>
      <c r="DB23" s="27">
        <v>4</v>
      </c>
      <c r="DC23" s="27">
        <v>8</v>
      </c>
      <c r="DX23" s="34"/>
      <c r="DZ23" s="53" t="str">
        <f>('Clima institucional'!A24)</f>
        <v>Docentes 20</v>
      </c>
      <c r="EA23" s="27">
        <f>'Por Valoracion (3) Dimension'!D23</f>
        <v>4</v>
      </c>
      <c r="EB23" s="27">
        <f>'Por Valoracion (3) Dimension 2'!F23</f>
        <v>7</v>
      </c>
      <c r="EW23" s="34"/>
      <c r="EY23" s="35"/>
      <c r="FA23" s="53" t="str">
        <f>('Clima institucional'!A24)</f>
        <v>Docentes 20</v>
      </c>
      <c r="FB23" s="27">
        <f>'Por Valoracion (3) Dimension'!F23</f>
        <v>5</v>
      </c>
      <c r="FC23" s="27">
        <f>'Por Valoracion (3) Dimension 2'!B23</f>
        <v>8</v>
      </c>
      <c r="FX23" s="35"/>
      <c r="FZ23" s="53" t="str">
        <f>('Clima institucional'!A24)</f>
        <v>Docentes 20</v>
      </c>
      <c r="GA23" s="27">
        <f>'Por Valoracion (3) Dimension'!F23</f>
        <v>5</v>
      </c>
      <c r="GB23" s="27">
        <f>'Por Valoracion (3) Dimension 2'!D23</f>
        <v>8</v>
      </c>
      <c r="GW23" s="35"/>
      <c r="GY23" s="53" t="s">
        <v>37</v>
      </c>
      <c r="GZ23" s="27">
        <v>5</v>
      </c>
      <c r="HA23" s="27">
        <v>7</v>
      </c>
      <c r="HV23" s="35"/>
    </row>
    <row r="24" spans="1:230" x14ac:dyDescent="0.25">
      <c r="A24" s="26"/>
      <c r="Z24" s="26"/>
      <c r="AY24" s="26"/>
      <c r="BX24" s="26"/>
      <c r="BZ24" s="34"/>
      <c r="CY24" s="34"/>
      <c r="DX24" s="34"/>
      <c r="EW24" s="34"/>
      <c r="EY24" s="35"/>
      <c r="FX24" s="35"/>
      <c r="GW24" s="35"/>
      <c r="HV24" s="35"/>
    </row>
    <row r="25" spans="1:230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</row>
    <row r="28" spans="1:230" x14ac:dyDescent="0.25">
      <c r="D28" t="s">
        <v>192</v>
      </c>
      <c r="E28" t="s">
        <v>192</v>
      </c>
      <c r="F28" t="s">
        <v>193</v>
      </c>
      <c r="G28" t="s">
        <v>194</v>
      </c>
      <c r="H28" t="s">
        <v>195</v>
      </c>
      <c r="I28" t="s">
        <v>196</v>
      </c>
      <c r="M28" t="s">
        <v>197</v>
      </c>
      <c r="N28" t="s">
        <v>198</v>
      </c>
      <c r="O28" t="s">
        <v>199</v>
      </c>
      <c r="R28" t="s">
        <v>197</v>
      </c>
      <c r="S28" t="s">
        <v>198</v>
      </c>
      <c r="T28" t="s">
        <v>200</v>
      </c>
      <c r="AC28" t="s">
        <v>192</v>
      </c>
      <c r="AD28" t="s">
        <v>192</v>
      </c>
      <c r="AE28" t="s">
        <v>193</v>
      </c>
      <c r="AF28" t="s">
        <v>194</v>
      </c>
      <c r="AG28" t="s">
        <v>195</v>
      </c>
      <c r="AH28" t="s">
        <v>196</v>
      </c>
      <c r="AL28" t="s">
        <v>197</v>
      </c>
      <c r="AM28" t="s">
        <v>198</v>
      </c>
      <c r="AN28" t="s">
        <v>199</v>
      </c>
      <c r="AQ28" t="s">
        <v>197</v>
      </c>
      <c r="AR28" t="s">
        <v>198</v>
      </c>
      <c r="AS28" t="s">
        <v>200</v>
      </c>
      <c r="BB28" t="s">
        <v>192</v>
      </c>
      <c r="BC28" t="s">
        <v>192</v>
      </c>
      <c r="BD28" t="s">
        <v>193</v>
      </c>
      <c r="BE28" t="s">
        <v>194</v>
      </c>
      <c r="BF28" t="s">
        <v>195</v>
      </c>
      <c r="BG28" t="s">
        <v>196</v>
      </c>
      <c r="BK28" t="s">
        <v>197</v>
      </c>
      <c r="BL28" t="s">
        <v>198</v>
      </c>
      <c r="BM28" t="s">
        <v>199</v>
      </c>
      <c r="BP28" t="s">
        <v>197</v>
      </c>
      <c r="BQ28" t="s">
        <v>198</v>
      </c>
      <c r="BR28" t="s">
        <v>200</v>
      </c>
      <c r="CC28" t="s">
        <v>192</v>
      </c>
      <c r="CD28" t="s">
        <v>192</v>
      </c>
      <c r="CE28" t="s">
        <v>193</v>
      </c>
      <c r="CF28" t="s">
        <v>194</v>
      </c>
      <c r="CG28" t="s">
        <v>195</v>
      </c>
      <c r="CH28" t="s">
        <v>196</v>
      </c>
      <c r="CL28" t="s">
        <v>197</v>
      </c>
      <c r="CM28" t="s">
        <v>198</v>
      </c>
      <c r="CN28" t="s">
        <v>199</v>
      </c>
      <c r="CQ28" t="s">
        <v>197</v>
      </c>
      <c r="CR28" t="s">
        <v>198</v>
      </c>
      <c r="CS28" t="s">
        <v>200</v>
      </c>
      <c r="DB28" t="s">
        <v>192</v>
      </c>
      <c r="DC28" t="s">
        <v>192</v>
      </c>
      <c r="DD28" t="s">
        <v>193</v>
      </c>
      <c r="DE28" t="s">
        <v>194</v>
      </c>
      <c r="DF28" t="s">
        <v>195</v>
      </c>
      <c r="DG28" t="s">
        <v>196</v>
      </c>
      <c r="DK28" t="s">
        <v>197</v>
      </c>
      <c r="DL28" t="s">
        <v>198</v>
      </c>
      <c r="DM28" t="s">
        <v>199</v>
      </c>
      <c r="DP28" t="s">
        <v>197</v>
      </c>
      <c r="DQ28" t="s">
        <v>198</v>
      </c>
      <c r="DR28" t="s">
        <v>200</v>
      </c>
      <c r="EA28" t="s">
        <v>192</v>
      </c>
      <c r="EB28" t="s">
        <v>192</v>
      </c>
      <c r="EC28" t="s">
        <v>193</v>
      </c>
      <c r="ED28" t="s">
        <v>194</v>
      </c>
      <c r="EE28" t="s">
        <v>195</v>
      </c>
      <c r="EF28" t="s">
        <v>196</v>
      </c>
      <c r="EJ28" t="s">
        <v>197</v>
      </c>
      <c r="EK28" t="s">
        <v>198</v>
      </c>
      <c r="EL28" t="s">
        <v>199</v>
      </c>
      <c r="EO28" t="s">
        <v>197</v>
      </c>
      <c r="EP28" t="s">
        <v>198</v>
      </c>
      <c r="EQ28" t="s">
        <v>200</v>
      </c>
      <c r="FB28" t="s">
        <v>192</v>
      </c>
      <c r="FC28" t="s">
        <v>192</v>
      </c>
      <c r="FD28" t="s">
        <v>193</v>
      </c>
      <c r="FE28" t="s">
        <v>194</v>
      </c>
      <c r="FF28" t="s">
        <v>195</v>
      </c>
      <c r="FG28" t="s">
        <v>196</v>
      </c>
      <c r="FK28" t="s">
        <v>197</v>
      </c>
      <c r="FL28" t="s">
        <v>198</v>
      </c>
      <c r="FM28" t="s">
        <v>199</v>
      </c>
      <c r="FP28" t="s">
        <v>197</v>
      </c>
      <c r="FQ28" t="s">
        <v>198</v>
      </c>
      <c r="FR28" t="s">
        <v>200</v>
      </c>
      <c r="GA28" t="s">
        <v>192</v>
      </c>
      <c r="GB28" t="s">
        <v>192</v>
      </c>
      <c r="GC28" t="s">
        <v>193</v>
      </c>
      <c r="GD28" t="s">
        <v>194</v>
      </c>
      <c r="GE28" t="s">
        <v>195</v>
      </c>
      <c r="GF28" t="s">
        <v>196</v>
      </c>
      <c r="GJ28" t="s">
        <v>197</v>
      </c>
      <c r="GK28" t="s">
        <v>198</v>
      </c>
      <c r="GL28" t="s">
        <v>199</v>
      </c>
      <c r="GO28" t="s">
        <v>197</v>
      </c>
      <c r="GP28" t="s">
        <v>198</v>
      </c>
      <c r="GQ28" t="s">
        <v>200</v>
      </c>
      <c r="GZ28" t="s">
        <v>192</v>
      </c>
      <c r="HA28" t="s">
        <v>192</v>
      </c>
      <c r="HB28" t="s">
        <v>193</v>
      </c>
      <c r="HC28" t="s">
        <v>194</v>
      </c>
      <c r="HD28" t="s">
        <v>195</v>
      </c>
      <c r="HE28" t="s">
        <v>196</v>
      </c>
      <c r="HI28" t="s">
        <v>197</v>
      </c>
      <c r="HJ28" t="s">
        <v>198</v>
      </c>
      <c r="HK28" t="s">
        <v>199</v>
      </c>
      <c r="HN28" t="s">
        <v>197</v>
      </c>
      <c r="HO28" t="s">
        <v>198</v>
      </c>
      <c r="HP28" t="s">
        <v>200</v>
      </c>
    </row>
    <row r="29" spans="1:230" x14ac:dyDescent="0.25">
      <c r="D29" t="str">
        <f>D3</f>
        <v>Estructuración Organizacional</v>
      </c>
      <c r="E29" t="str">
        <f>E3</f>
        <v>Nivel de planificación de la enseñanza</v>
      </c>
      <c r="F29" t="str">
        <f>IF(G8&lt;=50,H6,H6)</f>
        <v>Kolmogorov-Smirnova</v>
      </c>
      <c r="G29" t="str">
        <f>IF(E3&lt;5/100,"la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H29" t="str">
        <f>IF(G29="la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I29" t="str">
        <f>IF(G29=" es decir los datos no se encuentran normalmente distribuidos"," la prueba no paramétrica de correlación de Rho de Spearman","la prueba paramétrica de correlación de Pearson")</f>
        <v>la prueba paramétrica de correlación de Pearson</v>
      </c>
      <c r="M29" t="s">
        <v>201</v>
      </c>
      <c r="N29">
        <f>R14</f>
        <v>0</v>
      </c>
      <c r="O29">
        <f>R13</f>
        <v>0</v>
      </c>
      <c r="R29" t="s">
        <v>201</v>
      </c>
      <c r="S29">
        <f>X14</f>
        <v>0</v>
      </c>
      <c r="T29">
        <f>X13</f>
        <v>0</v>
      </c>
      <c r="AC29" t="str">
        <f>AC3</f>
        <v>Estructuración Organizacional</v>
      </c>
      <c r="AD29" t="str">
        <f>AD3</f>
        <v>Nivel de la competencia comunicativa</v>
      </c>
      <c r="AE29" t="str">
        <f>IF(AF8&lt;=50,AG6,AG6)</f>
        <v>Kolmogorov-Smirnova</v>
      </c>
      <c r="AF29" t="str">
        <f>IF(AD3&lt;5/100,"la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AG29" t="str">
        <f>IF(AF29="la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AH29" t="str">
        <f>IF(AF29=" es decir los datos no se encuentran normalmente distribuidos"," la prueba no paramétrica de correlación de Rho de Spearman","la prueba paramétrica de correlación de Pearson")</f>
        <v>la prueba paramétrica de correlación de Pearson</v>
      </c>
      <c r="AL29" t="s">
        <v>201</v>
      </c>
      <c r="AM29">
        <f>AQ14</f>
        <v>0</v>
      </c>
      <c r="AN29">
        <f>AQ13</f>
        <v>0</v>
      </c>
      <c r="AQ29" t="s">
        <v>201</v>
      </c>
      <c r="AR29">
        <f>AW14</f>
        <v>0</v>
      </c>
      <c r="AS29">
        <f>AW13</f>
        <v>0</v>
      </c>
      <c r="BB29" t="str">
        <f>BB3</f>
        <v>Estructuración Organizacional</v>
      </c>
      <c r="BC29" t="str">
        <f>BC3</f>
        <v>Diseño de metodología</v>
      </c>
      <c r="BD29" t="str">
        <f>IF(BE8&lt;=50,BF6,BF6)</f>
        <v>Kolmogorov-Smirnova</v>
      </c>
      <c r="BE29" t="str">
        <f>IF(BC3&lt;5/100,"la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BF29" t="str">
        <f>IF(BE29="la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BG29" t="str">
        <f>IF(BE29=" es decir los datos no se encuentran normalmente distribuidos"," la prueba no paramétrica de correlación de Rho de Spearman","la prueba paramétrica de correlación de Pearson")</f>
        <v>la prueba paramétrica de correlación de Pearson</v>
      </c>
      <c r="BK29" t="s">
        <v>201</v>
      </c>
      <c r="BL29">
        <f>BP14</f>
        <v>0</v>
      </c>
      <c r="BM29">
        <f>BP13</f>
        <v>0</v>
      </c>
      <c r="BP29" t="s">
        <v>201</v>
      </c>
      <c r="BQ29">
        <f>BV14</f>
        <v>0</v>
      </c>
      <c r="BR29">
        <f>BV13</f>
        <v>0</v>
      </c>
      <c r="CC29" t="str">
        <f>CC3</f>
        <v>Relaciones Interpersonales</v>
      </c>
      <c r="CD29" t="str">
        <f>CD3</f>
        <v>Nivel de planificación de la enseñanza</v>
      </c>
      <c r="CE29" t="str">
        <f>IF(CF8&lt;=50,CG6,CG6)</f>
        <v>Kolmogorov-Smirnova</v>
      </c>
      <c r="CF29" t="str">
        <f>IF(CD3&lt;5/100,"la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CG29" t="str">
        <f>IF(CF29="la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CH29" t="str">
        <f>IF(CF29=" es decir los datos no se encuentran normalmente distribuidos"," la prueba no paramétrica de correlación de Rho de Spearman","la prueba paramétrica de correlación de Pearson")</f>
        <v>la prueba paramétrica de correlación de Pearson</v>
      </c>
      <c r="CL29" t="s">
        <v>201</v>
      </c>
      <c r="CM29">
        <f>CQ14</f>
        <v>0</v>
      </c>
      <c r="CN29">
        <f>CQ13</f>
        <v>0</v>
      </c>
      <c r="CQ29" t="s">
        <v>201</v>
      </c>
      <c r="CR29">
        <f>CW14</f>
        <v>0</v>
      </c>
      <c r="CS29">
        <f>CW13</f>
        <v>0</v>
      </c>
      <c r="DB29" t="str">
        <f>DB3</f>
        <v>Relaciones Interpersonales</v>
      </c>
      <c r="DC29" t="str">
        <f>DC3</f>
        <v>Nivel de la competencia comunicativa</v>
      </c>
      <c r="DD29" t="str">
        <f>IF(DE8&lt;=50,DF6,DF6)</f>
        <v>Kolmogorov-Smirnova</v>
      </c>
      <c r="DE29" t="str">
        <f>IF(DC3&lt;5/100,"la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DF29" t="str">
        <f>IF(DE29="la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DG29" t="str">
        <f>IF(DE29=" es decir los datos no se encuentran normalmente distribuidos"," la prueba no paramétrica de correlación de Rho de Spearman","la prueba paramétrica de correlación de Pearson")</f>
        <v>la prueba paramétrica de correlación de Pearson</v>
      </c>
      <c r="DK29" t="s">
        <v>201</v>
      </c>
      <c r="DL29">
        <f>DP14</f>
        <v>0</v>
      </c>
      <c r="DM29">
        <f>DP13</f>
        <v>0</v>
      </c>
      <c r="DP29" t="s">
        <v>201</v>
      </c>
      <c r="DQ29">
        <f>DV14</f>
        <v>0</v>
      </c>
      <c r="DR29">
        <f>DV13</f>
        <v>0</v>
      </c>
      <c r="EA29" t="str">
        <f>EA3</f>
        <v>Relaciones Interpersonales</v>
      </c>
      <c r="EB29" t="str">
        <f>EB3</f>
        <v>Diseño de metodología</v>
      </c>
      <c r="EC29" t="str">
        <f>IF(ED8&lt;=50,EE6,EE6)</f>
        <v>Kolmogorov-Smirnova</v>
      </c>
      <c r="ED29" t="str">
        <f>IF(EB3&lt;5/100,"la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EE29" t="str">
        <f>IF(ED29="la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EF29" t="str">
        <f>IF(ED29=" es decir los datos no se encuentran normalmente distribuidos"," la prueba no paramétrica de correlación de Rho de Spearman","la prueba paramétrica de correlación de Pearson")</f>
        <v>la prueba paramétrica de correlación de Pearson</v>
      </c>
      <c r="EJ29" t="s">
        <v>201</v>
      </c>
      <c r="EK29">
        <f>EO14</f>
        <v>0</v>
      </c>
      <c r="EL29">
        <f>EO13</f>
        <v>0</v>
      </c>
      <c r="EO29" t="s">
        <v>201</v>
      </c>
      <c r="EP29">
        <f>EU14</f>
        <v>0</v>
      </c>
      <c r="EQ29">
        <f>EU13</f>
        <v>0</v>
      </c>
      <c r="FB29" t="str">
        <f>FB3</f>
        <v>Identidad Institucional</v>
      </c>
      <c r="FC29" t="str">
        <f>FC3</f>
        <v>Nivel de planificación de la enseñanza</v>
      </c>
      <c r="FD29" t="str">
        <f>IF(FE8&lt;=50,FF6,FF6)</f>
        <v>Kolmogorov-Smirnova</v>
      </c>
      <c r="FE29" t="str">
        <f>IF(FC3&lt;5/100,"la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FF29" t="str">
        <f>IF(FE29="la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FG29" t="str">
        <f>IF(FE29=" es decir los datos no se encuentran normalmente distribuidos"," la prueba no paramétrica de correlación de Rho de Spearman","la prueba paramétrica de correlación de Pearson")</f>
        <v>la prueba paramétrica de correlación de Pearson</v>
      </c>
      <c r="FK29" t="s">
        <v>201</v>
      </c>
      <c r="FL29">
        <f>FP14</f>
        <v>0</v>
      </c>
      <c r="FM29">
        <f>FP13</f>
        <v>0</v>
      </c>
      <c r="FP29" t="s">
        <v>201</v>
      </c>
      <c r="FQ29">
        <f>FV14</f>
        <v>0</v>
      </c>
      <c r="FR29">
        <f>FV13</f>
        <v>0</v>
      </c>
      <c r="GA29" t="str">
        <f>GA3</f>
        <v>Identidad Institucional</v>
      </c>
      <c r="GB29" t="str">
        <f>GB3</f>
        <v>Nivel de la competencia comunicativa</v>
      </c>
      <c r="GC29" t="str">
        <f>IF(GD8&lt;=50,GE6,GE6)</f>
        <v>Kolmogorov-Smirnova</v>
      </c>
      <c r="GD29" t="str">
        <f>IF(GB3&lt;5/100,"la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GE29" t="str">
        <f>IF(GD29="la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GF29" t="str">
        <f>IF(GD29=" es decir los datos no se encuentran normalmente distribuidos"," la prueba no paramétrica de correlación de Rho de Spearman","la prueba paramétrica de correlación de Pearson")</f>
        <v>la prueba paramétrica de correlación de Pearson</v>
      </c>
      <c r="GJ29" t="s">
        <v>201</v>
      </c>
      <c r="GK29">
        <f>GO14</f>
        <v>0</v>
      </c>
      <c r="GL29">
        <f>GO13</f>
        <v>0</v>
      </c>
      <c r="GO29" t="s">
        <v>201</v>
      </c>
      <c r="GP29">
        <f>GU14</f>
        <v>0</v>
      </c>
      <c r="GQ29">
        <f>GU13</f>
        <v>0</v>
      </c>
      <c r="GZ29" t="str">
        <f>GZ3</f>
        <v>Identidad Institucional</v>
      </c>
      <c r="HA29" t="str">
        <f>HA3</f>
        <v>Diseño de metodología</v>
      </c>
      <c r="HB29" t="str">
        <f>IF(HC8&lt;=50,HD6,HD6)</f>
        <v>Kolmogorov-Smirnova</v>
      </c>
      <c r="HC29" t="str">
        <f>IF(HA3&lt;5/100,"la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HD29" t="str">
        <f>IF(HC29="la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HE29" t="str">
        <f>IF(HC29=" es decir los datos no se encuentran normalmente distribuidos"," la prueba no paramétrica de correlación de Rho de Spearman","la prueba paramétrica de correlación de Pearson")</f>
        <v>la prueba paramétrica de correlación de Pearson</v>
      </c>
      <c r="HI29" t="s">
        <v>201</v>
      </c>
      <c r="HJ29">
        <f>HN14</f>
        <v>0</v>
      </c>
      <c r="HK29">
        <f>HN13</f>
        <v>0</v>
      </c>
      <c r="HN29" t="s">
        <v>201</v>
      </c>
      <c r="HO29">
        <f>HT14</f>
        <v>0</v>
      </c>
      <c r="HP29">
        <f>HT13</f>
        <v>0</v>
      </c>
    </row>
    <row r="30" spans="1:230" x14ac:dyDescent="0.25">
      <c r="C30" t="s">
        <v>202</v>
      </c>
      <c r="D30">
        <f>M8</f>
        <v>0</v>
      </c>
      <c r="E30">
        <f>M9</f>
        <v>0</v>
      </c>
      <c r="N30">
        <f>N29/100</f>
        <v>0</v>
      </c>
      <c r="O30">
        <f>O29*100</f>
        <v>0</v>
      </c>
      <c r="Q30" t="s">
        <v>203</v>
      </c>
      <c r="S30">
        <f>S29/100</f>
        <v>0</v>
      </c>
      <c r="T30">
        <f>T29*100</f>
        <v>0</v>
      </c>
      <c r="V30" t="s">
        <v>203</v>
      </c>
      <c r="AB30" t="s">
        <v>202</v>
      </c>
      <c r="AC30">
        <f>AL8</f>
        <v>0</v>
      </c>
      <c r="AD30">
        <f>AL9</f>
        <v>0</v>
      </c>
      <c r="AM30">
        <f>AM29/100</f>
        <v>0</v>
      </c>
      <c r="AN30">
        <f>AN29*100</f>
        <v>0</v>
      </c>
      <c r="AP30" t="s">
        <v>203</v>
      </c>
      <c r="AR30">
        <f>AR29/100</f>
        <v>0</v>
      </c>
      <c r="AS30">
        <f>AS29*100</f>
        <v>0</v>
      </c>
      <c r="AU30" t="s">
        <v>203</v>
      </c>
      <c r="BA30" t="s">
        <v>202</v>
      </c>
      <c r="BB30">
        <f>BK8</f>
        <v>0</v>
      </c>
      <c r="BC30">
        <f>BK9</f>
        <v>0</v>
      </c>
      <c r="BL30">
        <f>BL29/100</f>
        <v>0</v>
      </c>
      <c r="BM30">
        <f>BM29*100</f>
        <v>0</v>
      </c>
      <c r="BO30" t="s">
        <v>203</v>
      </c>
      <c r="BQ30">
        <f>BQ29/100</f>
        <v>0</v>
      </c>
      <c r="BR30">
        <f>BR29*100</f>
        <v>0</v>
      </c>
      <c r="BT30" t="s">
        <v>203</v>
      </c>
      <c r="CB30" t="s">
        <v>202</v>
      </c>
      <c r="CC30">
        <f>CL8</f>
        <v>0</v>
      </c>
      <c r="CD30">
        <f>CL9</f>
        <v>0</v>
      </c>
      <c r="CM30">
        <f>CM29/100</f>
        <v>0</v>
      </c>
      <c r="CN30">
        <f>CN29*100</f>
        <v>0</v>
      </c>
      <c r="CP30" t="s">
        <v>203</v>
      </c>
      <c r="CR30">
        <f>CR29/100</f>
        <v>0</v>
      </c>
      <c r="CS30">
        <f>CS29*100</f>
        <v>0</v>
      </c>
      <c r="CU30" t="s">
        <v>203</v>
      </c>
      <c r="DA30" t="s">
        <v>202</v>
      </c>
      <c r="DB30">
        <f>DK8</f>
        <v>0</v>
      </c>
      <c r="DC30">
        <f>DK9</f>
        <v>0</v>
      </c>
      <c r="DL30">
        <f>DL29/100</f>
        <v>0</v>
      </c>
      <c r="DM30">
        <f>DM29*100</f>
        <v>0</v>
      </c>
      <c r="DO30" t="s">
        <v>203</v>
      </c>
      <c r="DQ30">
        <f>DQ29/100</f>
        <v>0</v>
      </c>
      <c r="DR30">
        <f>DR29*100</f>
        <v>0</v>
      </c>
      <c r="DT30" t="s">
        <v>203</v>
      </c>
      <c r="DZ30" t="s">
        <v>202</v>
      </c>
      <c r="EA30">
        <f>EJ8</f>
        <v>0</v>
      </c>
      <c r="EB30">
        <f>EJ9</f>
        <v>0</v>
      </c>
      <c r="EK30">
        <f>EK29/100</f>
        <v>0</v>
      </c>
      <c r="EL30">
        <f>EL29*100</f>
        <v>0</v>
      </c>
      <c r="EN30" t="s">
        <v>203</v>
      </c>
      <c r="EP30">
        <f>EP29/100</f>
        <v>0</v>
      </c>
      <c r="EQ30">
        <f>EQ29*100</f>
        <v>0</v>
      </c>
      <c r="ES30" t="s">
        <v>203</v>
      </c>
      <c r="FA30" t="s">
        <v>202</v>
      </c>
      <c r="FB30">
        <f>FK8</f>
        <v>0</v>
      </c>
      <c r="FC30">
        <f>FK9</f>
        <v>0</v>
      </c>
      <c r="FL30">
        <f>FL29/100</f>
        <v>0</v>
      </c>
      <c r="FM30">
        <f>FM29*100</f>
        <v>0</v>
      </c>
      <c r="FO30" t="s">
        <v>203</v>
      </c>
      <c r="FQ30">
        <f>FQ29/100</f>
        <v>0</v>
      </c>
      <c r="FR30">
        <f>FR29*100</f>
        <v>0</v>
      </c>
      <c r="FT30" t="s">
        <v>203</v>
      </c>
      <c r="FZ30" t="s">
        <v>202</v>
      </c>
      <c r="GA30">
        <f>GJ8</f>
        <v>0</v>
      </c>
      <c r="GB30">
        <f>GJ9</f>
        <v>0</v>
      </c>
      <c r="GK30">
        <f>GK29/100</f>
        <v>0</v>
      </c>
      <c r="GL30">
        <f>GL29*100</f>
        <v>0</v>
      </c>
      <c r="GN30" t="s">
        <v>203</v>
      </c>
      <c r="GP30">
        <f>GP29/100</f>
        <v>0</v>
      </c>
      <c r="GQ30">
        <f>GQ29*100</f>
        <v>0</v>
      </c>
      <c r="GS30" t="s">
        <v>203</v>
      </c>
      <c r="GY30" t="s">
        <v>202</v>
      </c>
      <c r="GZ30">
        <f>HI8</f>
        <v>0</v>
      </c>
      <c r="HA30">
        <f>HI9</f>
        <v>0</v>
      </c>
      <c r="HJ30">
        <f>HJ29/100</f>
        <v>0</v>
      </c>
      <c r="HK30">
        <f>HK29*100</f>
        <v>0</v>
      </c>
      <c r="HM30" t="s">
        <v>203</v>
      </c>
      <c r="HO30">
        <f>HO29/100</f>
        <v>0</v>
      </c>
      <c r="HP30">
        <f>HP29*100</f>
        <v>0</v>
      </c>
      <c r="HR30" t="s">
        <v>203</v>
      </c>
    </row>
    <row r="31" spans="1:230" x14ac:dyDescent="0.25">
      <c r="N31" t="str">
        <f>IF(N29&lt;5/100,"existe relación significativa entre las ","no existe relación entre las ")</f>
        <v xml:space="preserve">existe relación significativa entre las </v>
      </c>
      <c r="O31" t="str">
        <f>IF(O29&lt;='Criterio para el valor r'!$A$2,'Criterio para el valor r'!$C$2,IF(O29&lt;='Criterio para el valor r'!$A$3,'Criterio para el valor r'!$C$3,IF(O29&lt;='Criterio para el valor r'!$A$4,'Criterio para el valor r'!$C$4,IF(O29&lt;='Criterio para el valor r'!$A$5,'Criterio para el valor r'!$C$5,IF(O29&lt;='Criterio para el valor r'!$A$6,'Criterio para el valor r'!$C$6,IF(O29&lt;='Criterio para el valor r'!$A$8,'Criterio para el valor r'!$C$7,IF(O29&lt;='Criterio para el valor r'!$A$7,'Criterio para el valor r'!$C$8,IF(O29&lt;='Criterio para el valor r'!$B$9,'Criterio para el valor r'!$C$9,IF(O29&lt;='Criterio para el valor r'!$B$10,'Criterio para el valor r'!$C$10,IF(O29&lt;='Criterio para el valor r'!$B$11,'Criterio para el valor r'!$C$11,IF(O29&lt;='Criterio para el valor r'!$B$12,'Criterio para el valor r'!$C$12,IF(O29&lt;='Criterio para el valor r'!$B$13,'Criterio para el valor r'!$C$13,IF(O29&lt;='Criterio para el valor r'!$B$14,'Criterio para el valor r'!$C$14,"algo esta mal")))))))))))))</f>
        <v>Correlación negativa muy débil</v>
      </c>
      <c r="P31" t="str">
        <f>IF(O29&lt;0,"menor","mayor")</f>
        <v>mayor</v>
      </c>
      <c r="Q31" t="str">
        <f>IF(N30&gt;=5/100,"se acepta la Ho y se rechaza la Hi","se rechaza la Ho y se acepta la Hi")</f>
        <v>se rechaza la Ho y se acepta la Hi</v>
      </c>
      <c r="S31" t="str">
        <f>IF(S29&lt;5/100,"existe relación significativa entre las ","no existe relación entre las ")</f>
        <v xml:space="preserve">existe relación significativa entre las </v>
      </c>
      <c r="T31" t="str">
        <f>IF(T29&lt;5/100,"existe relación significativa entre las ","no existe relación entre las ")</f>
        <v xml:space="preserve">existe relación significativa entre las </v>
      </c>
      <c r="U31" t="str">
        <f>IF(T29&lt;0,"menor","mayor")</f>
        <v>mayor</v>
      </c>
      <c r="V31" t="str">
        <f>IF(S30&gt;=5/100,"se acepta la Ho y se rechaza la Hi","se rechaza la Ho y se acepta la Hi")</f>
        <v>se rechaza la Ho y se acepta la Hi</v>
      </c>
      <c r="AM31" t="str">
        <f>IF(AM29&lt;5/100,"existe relación significativa entre las ","no existe relación entre las ")</f>
        <v xml:space="preserve">existe relación significativa entre las </v>
      </c>
      <c r="AN31" t="str">
        <f>IF(AN29&lt;='Criterio para el valor r'!$A$2,'Criterio para el valor r'!$C$2,IF(AN29&lt;='Criterio para el valor r'!$A$3,'Criterio para el valor r'!$C$3,IF(AN29&lt;='Criterio para el valor r'!$A$4,'Criterio para el valor r'!$C$4,IF(AN29&lt;='Criterio para el valor r'!$A$5,'Criterio para el valor r'!$C$5,IF(AN29&lt;='Criterio para el valor r'!$A$6,'Criterio para el valor r'!$C$6,IF(AN29&lt;='Criterio para el valor r'!$A$8,'Criterio para el valor r'!$C$7,IF(AN29&lt;='Criterio para el valor r'!$A$7,'Criterio para el valor r'!$C$8,IF(AN29&lt;='Criterio para el valor r'!$B$9,'Criterio para el valor r'!$C$9,IF(AN29&lt;='Criterio para el valor r'!$B$10,'Criterio para el valor r'!$C$10,IF(AN29&lt;='Criterio para el valor r'!$B$11,'Criterio para el valor r'!$C$11,IF(AN29&lt;='Criterio para el valor r'!$B$12,'Criterio para el valor r'!$C$12,IF(AN29&lt;='Criterio para el valor r'!$B$13,'Criterio para el valor r'!$C$13,IF(AN29&lt;='Criterio para el valor r'!$B$14,'Criterio para el valor r'!$C$14,"algo esta mal")))))))))))))</f>
        <v>Correlación negativa muy débil</v>
      </c>
      <c r="AO31" t="str">
        <f>IF(AN29&lt;0,"menor","mayor")</f>
        <v>mayor</v>
      </c>
      <c r="AP31" t="str">
        <f>IF(AM30&gt;=5/100,"se acepta la Ho y se rechaza la Hi","se rechaza la Ho y se acepta la Hi")</f>
        <v>se rechaza la Ho y se acepta la Hi</v>
      </c>
      <c r="AR31" t="str">
        <f>IF(AR29&lt;5/100,"existe relación significativa entre las ","no existe relación entre las ")</f>
        <v xml:space="preserve">existe relación significativa entre las </v>
      </c>
      <c r="AS31" t="str">
        <f>IF(AS29&lt;5/100,"existe relación significativa entre las ","no existe relación entre las ")</f>
        <v xml:space="preserve">existe relación significativa entre las </v>
      </c>
      <c r="AT31" t="str">
        <f>IF(AS29&lt;0,"menor","mayor")</f>
        <v>mayor</v>
      </c>
      <c r="AU31" t="str">
        <f>IF(AR30&gt;=5/100,"se acepta la Ho y se rechaza la Hi","se rechaza la Ho y se acepta la Hi")</f>
        <v>se rechaza la Ho y se acepta la Hi</v>
      </c>
      <c r="BL31" t="str">
        <f>IF(BL29&lt;5/100,"existe relación significativa entre las ","no existe relación entre las ")</f>
        <v xml:space="preserve">existe relación significativa entre las </v>
      </c>
      <c r="BM31" t="str">
        <f>IF(BM29&lt;='Criterio para el valor r'!$A$2,'Criterio para el valor r'!$C$2,IF(BM29&lt;='Criterio para el valor r'!$A$3,'Criterio para el valor r'!$C$3,IF(BM29&lt;='Criterio para el valor r'!$A$4,'Criterio para el valor r'!$C$4,IF(BM29&lt;='Criterio para el valor r'!$A$5,'Criterio para el valor r'!$C$5,IF(BM29&lt;='Criterio para el valor r'!$A$6,'Criterio para el valor r'!$C$6,IF(BM29&lt;='Criterio para el valor r'!$A$8,'Criterio para el valor r'!$C$7,IF(BM29&lt;='Criterio para el valor r'!$A$7,'Criterio para el valor r'!$C$8,IF(BM29&lt;='Criterio para el valor r'!$B$9,'Criterio para el valor r'!$C$9,IF(BM29&lt;='Criterio para el valor r'!$B$10,'Criterio para el valor r'!$C$10,IF(BM29&lt;='Criterio para el valor r'!$B$11,'Criterio para el valor r'!$C$11,IF(BM29&lt;='Criterio para el valor r'!$B$12,'Criterio para el valor r'!$C$12,IF(BM29&lt;='Criterio para el valor r'!$B$13,'Criterio para el valor r'!$C$13,IF(BM29&lt;='Criterio para el valor r'!$B$14,'Criterio para el valor r'!$C$14,"algo esta mal")))))))))))))</f>
        <v>Correlación negativa muy débil</v>
      </c>
      <c r="BN31" t="str">
        <f>IF(BM29&lt;0,"menor","mayor")</f>
        <v>mayor</v>
      </c>
      <c r="BO31" t="str">
        <f>IF(BL30&gt;=5/100,"se acepta la Ho y se rechaza la Hi","se rechaza la Ho y se acepta la Hi")</f>
        <v>se rechaza la Ho y se acepta la Hi</v>
      </c>
      <c r="BQ31" t="str">
        <f>IF(BQ29&lt;5/100,"existe relación significativa entre las ","no existe relación entre las ")</f>
        <v xml:space="preserve">existe relación significativa entre las </v>
      </c>
      <c r="BR31" t="str">
        <f>IF(BR29&lt;5/100,"existe relación significativa entre las ","no existe relación entre las ")</f>
        <v xml:space="preserve">existe relación significativa entre las </v>
      </c>
      <c r="BS31" t="str">
        <f>IF(BR29&lt;0,"menor","mayor")</f>
        <v>mayor</v>
      </c>
      <c r="BT31" t="str">
        <f>IF(BQ30&gt;=5/100,"se acepta la Ho y se rechaza la Hi","se rechaza la Ho y se acepta la Hi")</f>
        <v>se rechaza la Ho y se acepta la Hi</v>
      </c>
      <c r="CM31" t="str">
        <f>IF(CM29&lt;5/100,"existe relación significativa entre las ","no existe relación entre las ")</f>
        <v xml:space="preserve">existe relación significativa entre las </v>
      </c>
      <c r="CN31" t="str">
        <f>IF(CN29&lt;='Criterio para el valor r'!$A$2,'Criterio para el valor r'!$C$2,IF(CN29&lt;='Criterio para el valor r'!$A$3,'Criterio para el valor r'!$C$3,IF(CN29&lt;='Criterio para el valor r'!$A$4,'Criterio para el valor r'!$C$4,IF(CN29&lt;='Criterio para el valor r'!$A$5,'Criterio para el valor r'!$C$5,IF(CN29&lt;='Criterio para el valor r'!$A$6,'Criterio para el valor r'!$C$6,IF(CN29&lt;='Criterio para el valor r'!$A$8,'Criterio para el valor r'!$C$7,IF(CN29&lt;='Criterio para el valor r'!$A$7,'Criterio para el valor r'!$C$8,IF(CN29&lt;='Criterio para el valor r'!$B$9,'Criterio para el valor r'!$C$9,IF(CN29&lt;='Criterio para el valor r'!$B$10,'Criterio para el valor r'!$C$10,IF(CN29&lt;='Criterio para el valor r'!$B$11,'Criterio para el valor r'!$C$11,IF(CN29&lt;='Criterio para el valor r'!$B$12,'Criterio para el valor r'!$C$12,IF(CN29&lt;='Criterio para el valor r'!$B$13,'Criterio para el valor r'!$C$13,IF(CN29&lt;='Criterio para el valor r'!$B$14,'Criterio para el valor r'!$C$14,"algo esta mal")))))))))))))</f>
        <v>Correlación negativa muy débil</v>
      </c>
      <c r="CO31" t="str">
        <f>IF(CN29&lt;0,"menor","mayor")</f>
        <v>mayor</v>
      </c>
      <c r="CP31" t="str">
        <f>IF(CM30&gt;=5/100,"se acepta la Ho y se rechaza la Hi","se rechaza la Ho y se acepta la Hi")</f>
        <v>se rechaza la Ho y se acepta la Hi</v>
      </c>
      <c r="CR31" t="str">
        <f>IF(CR29&lt;5/100,"existe relación significativa entre las ","no existe relación entre las ")</f>
        <v xml:space="preserve">existe relación significativa entre las </v>
      </c>
      <c r="CS31" t="str">
        <f>IF(CS29&lt;5/100,"existe relación significativa entre las ","no existe relación entre las ")</f>
        <v xml:space="preserve">existe relación significativa entre las </v>
      </c>
      <c r="CT31" t="str">
        <f>IF(CS29&lt;0,"menor","mayor")</f>
        <v>mayor</v>
      </c>
      <c r="CU31" t="str">
        <f>IF(CR30&gt;=5/100,"se acepta la Ho y se rechaza la Hi","se rechaza la Ho y se acepta la Hi")</f>
        <v>se rechaza la Ho y se acepta la Hi</v>
      </c>
      <c r="DL31" t="str">
        <f>IF(DL29&lt;5/100,"existe relación significativa entre las ","no existe relación entre las ")</f>
        <v xml:space="preserve">existe relación significativa entre las </v>
      </c>
      <c r="DM31" t="str">
        <f>IF(DM29&lt;='Criterio para el valor r'!$A$2,'Criterio para el valor r'!$C$2,IF(DM29&lt;='Criterio para el valor r'!$A$3,'Criterio para el valor r'!$C$3,IF(DM29&lt;='Criterio para el valor r'!$A$4,'Criterio para el valor r'!$C$4,IF(DM29&lt;='Criterio para el valor r'!$A$5,'Criterio para el valor r'!$C$5,IF(DM29&lt;='Criterio para el valor r'!$A$6,'Criterio para el valor r'!$C$6,IF(DM29&lt;='Criterio para el valor r'!$A$8,'Criterio para el valor r'!$C$7,IF(DM29&lt;='Criterio para el valor r'!$A$7,'Criterio para el valor r'!$C$8,IF(DM29&lt;='Criterio para el valor r'!$B$9,'Criterio para el valor r'!$C$9,IF(DM29&lt;='Criterio para el valor r'!$B$10,'Criterio para el valor r'!$C$10,IF(DM29&lt;='Criterio para el valor r'!$B$11,'Criterio para el valor r'!$C$11,IF(DM29&lt;='Criterio para el valor r'!$B$12,'Criterio para el valor r'!$C$12,IF(DM29&lt;='Criterio para el valor r'!$B$13,'Criterio para el valor r'!$C$13,IF(DM29&lt;='Criterio para el valor r'!$B$14,'Criterio para el valor r'!$C$14,"algo esta mal")))))))))))))</f>
        <v>Correlación negativa muy débil</v>
      </c>
      <c r="DN31" t="str">
        <f>IF(DM29&lt;0,"menor","mayor")</f>
        <v>mayor</v>
      </c>
      <c r="DO31" t="str">
        <f>IF(DL30&gt;=5/100,"se acepta la Ho y se rechaza la Hi","se rechaza la Ho y se acepta la Hi")</f>
        <v>se rechaza la Ho y se acepta la Hi</v>
      </c>
      <c r="DQ31" t="str">
        <f>IF(DQ29&lt;5/100,"existe relación significativa entre las ","no existe relación entre las ")</f>
        <v xml:space="preserve">existe relación significativa entre las </v>
      </c>
      <c r="DR31" t="str">
        <f>IF(DR29&lt;5/100,"existe relación significativa entre las ","no existe relación entre las ")</f>
        <v xml:space="preserve">existe relación significativa entre las </v>
      </c>
      <c r="DS31" t="str">
        <f>IF(DR29&lt;0,"menor","mayor")</f>
        <v>mayor</v>
      </c>
      <c r="DT31" t="str">
        <f>IF(DQ30&gt;=5/100,"se acepta la Ho y se rechaza la Hi","se rechaza la Ho y se acepta la Hi")</f>
        <v>se rechaza la Ho y se acepta la Hi</v>
      </c>
      <c r="EK31" t="str">
        <f>IF(EK29&lt;5/100,"existe relación significativa entre las ","no existe relación entre las ")</f>
        <v xml:space="preserve">existe relación significativa entre las </v>
      </c>
      <c r="EL31" t="str">
        <f>IF(EL29&lt;='Criterio para el valor r'!$A$2,'Criterio para el valor r'!$C$2,IF(EL29&lt;='Criterio para el valor r'!$A$3,'Criterio para el valor r'!$C$3,IF(EL29&lt;='Criterio para el valor r'!$A$4,'Criterio para el valor r'!$C$4,IF(EL29&lt;='Criterio para el valor r'!$A$5,'Criterio para el valor r'!$C$5,IF(EL29&lt;='Criterio para el valor r'!$A$6,'Criterio para el valor r'!$C$6,IF(EL29&lt;='Criterio para el valor r'!$A$8,'Criterio para el valor r'!$C$7,IF(EL29&lt;='Criterio para el valor r'!$A$7,'Criterio para el valor r'!$C$8,IF(EL29&lt;='Criterio para el valor r'!$B$9,'Criterio para el valor r'!$C$9,IF(EL29&lt;='Criterio para el valor r'!$B$10,'Criterio para el valor r'!$C$10,IF(EL29&lt;='Criterio para el valor r'!$B$11,'Criterio para el valor r'!$C$11,IF(EL29&lt;='Criterio para el valor r'!$B$12,'Criterio para el valor r'!$C$12,IF(EL29&lt;='Criterio para el valor r'!$B$13,'Criterio para el valor r'!$C$13,IF(EL29&lt;='Criterio para el valor r'!$B$14,'Criterio para el valor r'!$C$14,"algo esta mal")))))))))))))</f>
        <v>Correlación negativa muy débil</v>
      </c>
      <c r="EM31" t="str">
        <f>IF(EL29&lt;0,"menor","mayor")</f>
        <v>mayor</v>
      </c>
      <c r="EN31" t="str">
        <f>IF(EK30&gt;=5/100,"se acepta la Ho y se rechaza la Hi","se rechaza la Ho y se acepta la Hi")</f>
        <v>se rechaza la Ho y se acepta la Hi</v>
      </c>
      <c r="EP31" t="str">
        <f>IF(EP29&lt;5/100,"existe relación significativa entre las ","no existe relación entre las ")</f>
        <v xml:space="preserve">existe relación significativa entre las </v>
      </c>
      <c r="EQ31" t="str">
        <f>IF(EQ29&lt;5/100,"existe relación significativa entre las ","no existe relación entre las ")</f>
        <v xml:space="preserve">existe relación significativa entre las </v>
      </c>
      <c r="ER31" t="str">
        <f>IF(EQ29&lt;0,"menor","mayor")</f>
        <v>mayor</v>
      </c>
      <c r="ES31" t="str">
        <f>IF(EP30&gt;=5/100,"se acepta la Ho y se rechaza la Hi","se rechaza la Ho y se acepta la Hi")</f>
        <v>se rechaza la Ho y se acepta la Hi</v>
      </c>
      <c r="FL31" t="str">
        <f>IF(FL29&lt;5/100,"existe relación significativa entre las ","no existe relación entre las ")</f>
        <v xml:space="preserve">existe relación significativa entre las </v>
      </c>
      <c r="FM31" t="str">
        <f>IF(FM29&lt;='Criterio para el valor r'!$A$2,'Criterio para el valor r'!$C$2,IF(FM29&lt;='Criterio para el valor r'!$A$3,'Criterio para el valor r'!$C$3,IF(FM29&lt;='Criterio para el valor r'!$A$4,'Criterio para el valor r'!$C$4,IF(FM29&lt;='Criterio para el valor r'!$A$5,'Criterio para el valor r'!$C$5,IF(FM29&lt;='Criterio para el valor r'!$A$6,'Criterio para el valor r'!$C$6,IF(FM29&lt;='Criterio para el valor r'!$A$8,'Criterio para el valor r'!$C$7,IF(FM29&lt;='Criterio para el valor r'!$A$7,'Criterio para el valor r'!$C$8,IF(FM29&lt;='Criterio para el valor r'!$B$9,'Criterio para el valor r'!$C$9,IF(FM29&lt;='Criterio para el valor r'!$B$10,'Criterio para el valor r'!$C$10,IF(FM29&lt;='Criterio para el valor r'!$B$11,'Criterio para el valor r'!$C$11,IF(FM29&lt;='Criterio para el valor r'!$B$12,'Criterio para el valor r'!$C$12,IF(FM29&lt;='Criterio para el valor r'!$B$13,'Criterio para el valor r'!$C$13,IF(FM29&lt;='Criterio para el valor r'!$B$14,'Criterio para el valor r'!$C$14,"algo esta mal")))))))))))))</f>
        <v>Correlación negativa muy débil</v>
      </c>
      <c r="FN31" t="str">
        <f>IF(FM29&lt;0,"menor","mayor")</f>
        <v>mayor</v>
      </c>
      <c r="FO31" t="str">
        <f>IF(FL30&gt;=5/100,"se acepta la Ho y se rechaza la Hi","se rechaza la Ho y se acepta la Hi")</f>
        <v>se rechaza la Ho y se acepta la Hi</v>
      </c>
      <c r="FQ31" t="str">
        <f>IF(FQ29&lt;5/100,"existe relación significativa entre las ","no existe relación entre las ")</f>
        <v xml:space="preserve">existe relación significativa entre las </v>
      </c>
      <c r="FR31" t="str">
        <f>IF(FR29&lt;5/100,"existe relación significativa entre las ","no existe relación entre las ")</f>
        <v xml:space="preserve">existe relación significativa entre las </v>
      </c>
      <c r="FS31" t="str">
        <f>IF(FR29&lt;0,"menor","mayor")</f>
        <v>mayor</v>
      </c>
      <c r="FT31" t="str">
        <f>IF(FQ30&gt;=5/100,"se acepta la Ho y se rechaza la Hi","se rechaza la Ho y se acepta la Hi")</f>
        <v>se rechaza la Ho y se acepta la Hi</v>
      </c>
      <c r="GK31" t="str">
        <f>IF(GK29&lt;5/100,"existe relación significativa entre las ","no existe relación entre las ")</f>
        <v xml:space="preserve">existe relación significativa entre las </v>
      </c>
      <c r="GL31" t="str">
        <f>IF(GL29&lt;='Criterio para el valor r'!$A$2,'Criterio para el valor r'!$C$2,IF(GL29&lt;='Criterio para el valor r'!$A$3,'Criterio para el valor r'!$C$3,IF(GL29&lt;='Criterio para el valor r'!$A$4,'Criterio para el valor r'!$C$4,IF(GL29&lt;='Criterio para el valor r'!$A$5,'Criterio para el valor r'!$C$5,IF(GL29&lt;='Criterio para el valor r'!$A$6,'Criterio para el valor r'!$C$6,IF(GL29&lt;='Criterio para el valor r'!$A$8,'Criterio para el valor r'!$C$7,IF(GL29&lt;='Criterio para el valor r'!$A$7,'Criterio para el valor r'!$C$8,IF(GL29&lt;='Criterio para el valor r'!$B$9,'Criterio para el valor r'!$C$9,IF(GL29&lt;='Criterio para el valor r'!$B$10,'Criterio para el valor r'!$C$10,IF(GL29&lt;='Criterio para el valor r'!$B$11,'Criterio para el valor r'!$C$11,IF(GL29&lt;='Criterio para el valor r'!$B$12,'Criterio para el valor r'!$C$12,IF(GL29&lt;='Criterio para el valor r'!$B$13,'Criterio para el valor r'!$C$13,IF(GL29&lt;='Criterio para el valor r'!$B$14,'Criterio para el valor r'!$C$14,"algo esta mal")))))))))))))</f>
        <v>Correlación negativa muy débil</v>
      </c>
      <c r="GM31" t="str">
        <f>IF(GL29&lt;0,"menor","mayor")</f>
        <v>mayor</v>
      </c>
      <c r="GN31" t="str">
        <f>IF(GK30&gt;=5/100,"se acepta la Ho y se rechaza la Hi","se rechaza la Ho y se acepta la Hi")</f>
        <v>se rechaza la Ho y se acepta la Hi</v>
      </c>
      <c r="GP31" t="str">
        <f>IF(GP29&lt;5/100,"existe relación significativa entre las ","no existe relación entre las ")</f>
        <v xml:space="preserve">existe relación significativa entre las </v>
      </c>
      <c r="GQ31" t="str">
        <f>IF(GQ29&lt;5/100,"existe relación significativa entre las ","no existe relación entre las ")</f>
        <v xml:space="preserve">existe relación significativa entre las </v>
      </c>
      <c r="GR31" t="str">
        <f>IF(GQ29&lt;0,"menor","mayor")</f>
        <v>mayor</v>
      </c>
      <c r="GS31" t="str">
        <f>IF(GP30&gt;=5/100,"se acepta la Ho y se rechaza la Hi","se rechaza la Ho y se acepta la Hi")</f>
        <v>se rechaza la Ho y se acepta la Hi</v>
      </c>
      <c r="HJ31" t="str">
        <f>IF(HJ29&lt;5/100,"existe relación significativa entre las ","no existe relación entre las ")</f>
        <v xml:space="preserve">existe relación significativa entre las </v>
      </c>
      <c r="HK31" t="str">
        <f>IF(HK29&lt;='Criterio para el valor r'!$A$2,'Criterio para el valor r'!$C$2,IF(HK29&lt;='Criterio para el valor r'!$A$3,'Criterio para el valor r'!$C$3,IF(HK29&lt;='Criterio para el valor r'!$A$4,'Criterio para el valor r'!$C$4,IF(HK29&lt;='Criterio para el valor r'!$A$5,'Criterio para el valor r'!$C$5,IF(HK29&lt;='Criterio para el valor r'!$A$6,'Criterio para el valor r'!$C$6,IF(HK29&lt;='Criterio para el valor r'!$A$8,'Criterio para el valor r'!$C$7,IF(HK29&lt;='Criterio para el valor r'!$A$7,'Criterio para el valor r'!$C$8,IF(HK29&lt;='Criterio para el valor r'!$B$9,'Criterio para el valor r'!$C$9,IF(HK29&lt;='Criterio para el valor r'!$B$10,'Criterio para el valor r'!$C$10,IF(HK29&lt;='Criterio para el valor r'!$B$11,'Criterio para el valor r'!$C$11,IF(HK29&lt;='Criterio para el valor r'!$B$12,'Criterio para el valor r'!$C$12,IF(HK29&lt;='Criterio para el valor r'!$B$13,'Criterio para el valor r'!$C$13,IF(HK29&lt;='Criterio para el valor r'!$B$14,'Criterio para el valor r'!$C$14,"algo esta mal")))))))))))))</f>
        <v>Correlación negativa muy débil</v>
      </c>
      <c r="HL31" t="str">
        <f>IF(HK29&lt;0,"menor","mayor")</f>
        <v>mayor</v>
      </c>
      <c r="HM31" t="str">
        <f>IF(HJ30&gt;=5/100,"se acepta la Ho y se rechaza la Hi","se rechaza la Ho y se acepta la Hi")</f>
        <v>se rechaza la Ho y se acepta la Hi</v>
      </c>
      <c r="HO31" t="str">
        <f>IF(HO29&lt;5/100,"existe relación significativa entre las ","no existe relación entre las ")</f>
        <v xml:space="preserve">existe relación significativa entre las </v>
      </c>
      <c r="HP31" t="str">
        <f>IF(HP29&lt;5/100,"existe relación significativa entre las ","no existe relación entre las ")</f>
        <v xml:space="preserve">existe relación significativa entre las </v>
      </c>
      <c r="HQ31" t="str">
        <f>IF(HP29&lt;0,"menor","mayor")</f>
        <v>mayor</v>
      </c>
      <c r="HR31" t="str">
        <f>IF(HO30&gt;=5/100,"se acepta la Ho y se rechaza la Hi","se rechaza la Ho y se acepta la Hi")</f>
        <v>se rechaza la Ho y se acepta la Hi</v>
      </c>
    </row>
    <row r="34" spans="15:227" x14ac:dyDescent="0.25">
      <c r="O34" s="52" t="str">
        <f>CONCATENATE("la ",O10," muestra los resultados de la prueba de ",P13,", en donde se evidencia que con una ",N28," del ",N30,"% ",N31," ",M29," ",O13," y ",O16,", adicional a ello se puede observar que la fuerza y/o grado de correlación ",O28," tiene un valor de ",O30,"% lo que afirma que es una ",O31," mismo que asu vez significa que a mayor ",Q12," ",P31," ",O16,", por todo ello en el presente objetivo ",Q31,".")</f>
        <v>la Tabla 1 muestra los resultados de la prueba de Correlación de Pearson, en donde se evidencia que con una  probabilidad de error  del 0% existe relación significativa entre las  dimensiones Estructuración Organizacional y Nivel de planificación de la enseñanza, adicional a ello se puede observar que la fuerza y/o grado de correlación  "r"  tiene un valor de 0% lo que afirma que es una Correlación negativa muy débil mismo que asu vez significa que a mayor Estructuración Organizacional mayor Nivel de planificación de la enseñanza, por todo ello en el presente objetivo se rechaza la Ho y se acepta la Hi.</v>
      </c>
      <c r="P34" s="53"/>
      <c r="Q34" s="53"/>
      <c r="R34" s="53"/>
      <c r="T34" s="52" t="str">
        <f>CONCATENATE("la ",T10," muestra los resultados de la prueba de ",V13,", en donde se evidencia que con una ",S28," del ",S30,"% ",S31," ",R29," ",U13," y ",U16,", adicional a ello se puede observar que la fuerza y/o grado de correlación ",T28," tiene un valor de ",T30,"% lo que afirma que es una ",T31," mismo que asu vez significa que a mayor ",W12," ",U31," ",X12,", por todo ello en el presente objetivo ",V31,".")</f>
        <v>la Tabla 1 muestra los resultados de la prueba de Correlación de Rho de Spearman, en donde se evidencia que con una  probabilidad de error  del 0% existe relación significativa entre las  dimensiones Estructuración Organizacional y Nivel de planificación de la enseñanza, adicional a ello se puede observar que la fuerza y/o grado de correlación "Rho" tiene un valor de 0% lo que afirma que es una existe relación significativa entre las  mismo que asu vez significa que a mayor Estructuración Organizacional mayor Nivel de planificación de la enseñanza, por todo ello en el presente objetivo se rechaza la Ho y se acepta la Hi.</v>
      </c>
      <c r="U34" s="53"/>
      <c r="V34" s="53"/>
      <c r="W34" s="53"/>
      <c r="AN34" s="52" t="str">
        <f>CONCATENATE("la ",AN10," muestra los resultados de la prueba de ",AO13,", en donde se evidencia que con una ",AM28," del ",AM30,"% ",AM31," ",AL29," ",AN13," y ",AN16,", adicional a ello se puede observar que la fuerza y/o grado de correlación ",AN28," tiene un valor de ",AN30,"% lo que afirma que es una ",AN31," mismo que asu vez significa que a mayor ",AP12," ",AO31," ",AN16,", por todo ello en el presente objetivo ",AP31,".")</f>
        <v>la Tabla 2 muestra los resultados de la prueba de Correlación de Pearson, en donde se evidencia que con una  probabilidad de error  del 0% existe relación significativa entre las  dimensiones Estructuración Organizacional y Nivel de la competencia comunicativa, adicional a ello se puede observar que la fuerza y/o grado de correlación  "r"  tiene un valor de 0% lo que afirma que es una Correlación negativa muy débil mismo que asu vez significa que a mayor Estructuración Organizacional mayor Nivel de la competencia comunicativa, por todo ello en el presente objetivo se rechaza la Ho y se acepta la Hi.</v>
      </c>
      <c r="AO34" s="53"/>
      <c r="AP34" s="53"/>
      <c r="AQ34" s="53"/>
      <c r="AS34" s="52" t="str">
        <f>CONCATENATE("la ",AS10," muestra los resultados de la prueba de ",AU13,", en donde se evidencia que con una ",AR28," del ",AR30,"% ",AR31," ",AQ29," ",AT13," y ",AT16,", adicional a ello se puede observar que la fuerza y/o grado de correlación ",AS28," tiene un valor de ",AS30,"% lo que afirma que es una ",AS31," mismo que asu vez significa que a mayor ",AV12," ",AT31," ",AW12,", por todo ello en el presente objetivo ",AU31,".")</f>
        <v>la Tabla 2 muestra los resultados de la prueba de Correlación de Rho de Spearman, en donde se evidencia que con una  probabilidad de error  del 0% existe relación significativa entre las  dimensiones Estructuración Organizacional y Nivel de la competencia comunicativa, adicional a ello se puede observar que la fuerza y/o grado de correlación "Rho" tiene un valor de 0% lo que afirma que es una existe relación significativa entre las  mismo que asu vez significa que a mayor Estructuración Organizacional mayor Nivel de la competencia comunicativa, por todo ello en el presente objetivo se rechaza la Ho y se acepta la Hi.</v>
      </c>
      <c r="AT34" s="53"/>
      <c r="AU34" s="53"/>
      <c r="AV34" s="53"/>
      <c r="BM34" s="52" t="str">
        <f>CONCATENATE("la ",BM10," muestra los resultados de la prueba de ",BN13,", en donde se evidencia que con una ",BL28," del ",BL30,"% ",BL31," ",BK29," ",BM13," y ",BM16,", adicional a ello se puede observar que la fuerza y/o grado de correlación ",BM28," tiene un valor de ",BM30,"% lo que afirma que es una ",BM31," mismo que asu vez significa que a mayor ",BO12," ",BN31," ",BM16,", por todo ello en el presente objetivo ",BO31,".")</f>
        <v>la Tabla 3 muestra los resultados de la prueba de Correlación de Pearson, en donde se evidencia que con una  probabilidad de error  del 0% existe relación significativa entre las  dimensiones Estructuración Organizacional y Diseño de metodología, adicional a ello se puede observar que la fuerza y/o grado de correlación  "r"  tiene un valor de 0% lo que afirma que es una Correlación negativa muy débil mismo que asu vez significa que a mayor Estructuración Organizacional mayor Diseño de metodología, por todo ello en el presente objetivo se rechaza la Ho y se acepta la Hi.</v>
      </c>
      <c r="BN34" s="53"/>
      <c r="BO34" s="53"/>
      <c r="BP34" s="53"/>
      <c r="BR34" s="52" t="str">
        <f>CONCATENATE("la ",BR10," muestra los resultados de la prueba de ",BT13,", en donde se evidencia que con una ",BQ28," del ",BQ30,"% ",BQ31," ",BP29," ",BS13," y ",BS16,", adicional a ello se puede observar que la fuerza y/o grado de correlación ",BR28," tiene un valor de ",BR30,"% lo que afirma que es una ",BR31," mismo que asu vez significa que a mayor ",BU12," ",BS31," ",BV12,", por todo ello en el presente objetivo ",BT31,".")</f>
        <v>la Tabla 3 muestra los resultados de la prueba de Correlación de Rho de Spearman, en donde se evidencia que con una  probabilidad de error  del 0% existe relación significativa entre las  dimensiones Estructuración Organizacional y Diseño de metodología, adicional a ello se puede observar que la fuerza y/o grado de correlación "Rho" tiene un valor de 0% lo que afirma que es una existe relación significativa entre las  mismo que asu vez significa que a mayor Estructuración Organizacional mayor Diseño de metodología, por todo ello en el presente objetivo se rechaza la Ho y se acepta la Hi.</v>
      </c>
      <c r="BS34" s="53"/>
      <c r="BT34" s="53"/>
      <c r="BU34" s="53"/>
      <c r="CN34" s="52" t="str">
        <f>CONCATENATE("la ",CN10," muestra los resultados de la prueba de ",CO13,", en donde se evidencia que con una ",CM28," del ",CM30,"% ",CM31," ",CL29," ",CN13," y ",CN16,", adicional a ello se puede observar que la fuerza y/o grado de correlación ",CN28," tiene un valor de ",CN30,"% lo que afirma que es una ",CN31," mismo que asu vez significa que a mayor ",CP12," ",CO31," ",CN16,", por todo ello en el presente objetivo ",CP31,".")</f>
        <v>la Tabla 4 muestra los resultados de la prueba de Correlación de Pearson, en donde se evidencia que con una  probabilidad de error  del 0% existe relación significativa entre las  dimensiones Relaciones Interpersonales y Nivel de planificación de la enseñanza, adicional a ello se puede observar que la fuerza y/o grado de correlación  "r"  tiene un valor de 0% lo que afirma que es una Correlación negativa muy débil mismo que asu vez significa que a mayor Relaciones Interpersonales mayor Nivel de planificación de la enseñanza, por todo ello en el presente objetivo se rechaza la Ho y se acepta la Hi.</v>
      </c>
      <c r="CO34" s="53"/>
      <c r="CP34" s="53"/>
      <c r="CQ34" s="53"/>
      <c r="CS34" s="52" t="str">
        <f>CONCATENATE("la ",CS10," muestra los resultados de la prueba de ",CU13,", en donde se evidencia que con una ",CR28," del ",CR30,"% ",CR31," ",CQ29," ",CT13," y ",CT16,", adicional a ello se puede observar que la fuerza y/o grado de correlación ",CS28," tiene un valor de ",CS30,"% lo que afirma que es una ",CS31," mismo que asu vez significa que a mayor ",CV12," ",CT31," ",CW12,", por todo ello en el presente objetivo ",CU31,".")</f>
        <v>la Tabla 4 muestra los resultados de la prueba de Correlación de Rho de Spearman, en donde se evidencia que con una  probabilidad de error  del 0% existe relación significativa entre las  dimensiones Relaciones Interpersonales y Nivel de planificación de la enseñanza, adicional a ello se puede observar que la fuerza y/o grado de correlación "Rho" tiene un valor de 0% lo que afirma que es una existe relación significativa entre las  mismo que asu vez significa que a mayor Relaciones Interpersonales mayor Nivel de planificación de la enseñanza, por todo ello en el presente objetivo se rechaza la Ho y se acepta la Hi.</v>
      </c>
      <c r="CT34" s="53"/>
      <c r="CU34" s="53"/>
      <c r="CV34" s="53"/>
      <c r="DM34" s="52" t="str">
        <f>CONCATENATE("la ",DM10," muestra los resultados de la prueba de ",DN13,", en donde se evidencia que con una ",DL28," del ",DL30,"% ",DL31," ",DK29," ",DM13," y ",DM16,", adicional a ello se puede observar que la fuerza y/o grado de correlación ",DM28," tiene un valor de ",DM30,"% lo que afirma que es una ",DM31," mismo que asu vez significa que a mayor ",DO12," ",DN31," ",DM16,", por todo ello en el presente objetivo ",DO31,".")</f>
        <v>la Tabla 5 muestra los resultados de la prueba de Correlación de Pearson, en donde se evidencia que con una  probabilidad de error  del 0% existe relación significativa entre las  dimensiones Relaciones Interpersonales y Nivel de la competencia comunicativa, adicional a ello se puede observar que la fuerza y/o grado de correlación  "r"  tiene un valor de 0% lo que afirma que es una Correlación negativa muy débil mismo que asu vez significa que a mayor Relaciones Interpersonales mayor Nivel de la competencia comunicativa, por todo ello en el presente objetivo se rechaza la Ho y se acepta la Hi.</v>
      </c>
      <c r="DN34" s="53"/>
      <c r="DO34" s="53"/>
      <c r="DP34" s="53"/>
      <c r="DR34" s="52" t="str">
        <f>CONCATENATE("la ",DR10," muestra los resultados de la prueba de ",DT13,", en donde se evidencia que con una ",DQ28," del ",DQ30,"% ",DQ31," ",DP29," ",DS13," y ",DS16,", adicional a ello se puede observar que la fuerza y/o grado de correlación ",DR28," tiene un valor de ",DR30,"% lo que afirma que es una ",DR31," mismo que asu vez significa que a mayor ",DU12," ",DS31," ",DV12,", por todo ello en el presente objetivo ",DT31,".")</f>
        <v>la Tabla 5 muestra los resultados de la prueba de Correlación de Rho de Spearman, en donde se evidencia que con una  probabilidad de error  del 0% existe relación significativa entre las  dimensiones Relaciones Interpersonales y Nivel de la competencia comunicativa, adicional a ello se puede observar que la fuerza y/o grado de correlación "Rho" tiene un valor de 0% lo que afirma que es una existe relación significativa entre las  mismo que asu vez significa que a mayor Relaciones Interpersonales mayor Nivel de la competencia comunicativa, por todo ello en el presente objetivo se rechaza la Ho y se acepta la Hi.</v>
      </c>
      <c r="DS34" s="53"/>
      <c r="DT34" s="53"/>
      <c r="DU34" s="53"/>
      <c r="EL34" s="52" t="str">
        <f>CONCATENATE("la ",EL10," muestra los resultados de la prueba de ",EM13,", en donde se evidencia que con una ",EK28," del ",EK30,"% ",EK31," ",EJ29," ",EL13," y ",EL16,", adicional a ello se puede observar que la fuerza y/o grado de correlación ",EL28," tiene un valor de ",EL30,"% lo que afirma que es una ",EL31," mismo que asu vez significa que a mayor ",EN12," ",EM31," ",EL16,", por todo ello en el presente objetivo ",EN31,".")</f>
        <v>la Tabla 6 muestra los resultados de la prueba de Correlación de Pearson, en donde se evidencia que con una  probabilidad de error  del 0% existe relación significativa entre las  dimensiones Relaciones Interpersonales y Diseño de metodología, adicional a ello se puede observar que la fuerza y/o grado de correlación  "r"  tiene un valor de 0% lo que afirma que es una Correlación negativa muy débil mismo que asu vez significa que a mayor Relaciones Interpersonales mayor Diseño de metodología, por todo ello en el presente objetivo se rechaza la Ho y se acepta la Hi.</v>
      </c>
      <c r="EM34" s="53"/>
      <c r="EN34" s="53"/>
      <c r="EO34" s="53"/>
      <c r="EQ34" s="52" t="str">
        <f>CONCATENATE("la ",EQ10," muestra los resultados de la prueba de ",ES13,", en donde se evidencia que con una ",EP28," del ",EP30,"% ",EP31," ",EO29," ",ER13," y ",ER16,", adicional a ello se puede observar que la fuerza y/o grado de correlación ",EQ28," tiene un valor de ",EQ30,"% lo que afirma que es una ",EQ31," mismo que asu vez significa que a mayor ",ET12," ",ER31," ",EU12,", por todo ello en el presente objetivo ",ES31,".")</f>
        <v>la Tabla 6 muestra los resultados de la prueba de Correlación de Rho de Spearman, en donde se evidencia que con una  probabilidad de error  del 0% existe relación significativa entre las  dimensiones Relaciones Interpersonales y Diseño de metodología, adicional a ello se puede observar que la fuerza y/o grado de correlación "Rho" tiene un valor de 0% lo que afirma que es una existe relación significativa entre las  mismo que asu vez significa que a mayor Relaciones Interpersonales mayor Diseño de metodología, por todo ello en el presente objetivo se rechaza la Ho y se acepta la Hi.</v>
      </c>
      <c r="ER34" s="53"/>
      <c r="ES34" s="53"/>
      <c r="ET34" s="53"/>
      <c r="FM34" s="52" t="str">
        <f>CONCATENATE("la ",FM10," muestra los resultados de la prueba de ",FN13,", en donde se evidencia que con una ",FL28," del ",FL30,"% ",FL31," ",FK29," ",FM13," y ",FM16,", adicional a ello se puede observar que la fuerza y/o grado de correlación ",FM28," tiene un valor de ",FM30,"% lo que afirma que es una ",FM31," mismo que asu vez significa que a mayor ",FO12," ",FN31," ",FM16,", por todo ello en el presente objetivo ",FO31,".")</f>
        <v>la Tabla 7 muestra los resultados de la prueba de Correlación de Pearson, en donde se evidencia que con una  probabilidad de error  del 0% existe relación significativa entre las  dimensiones Identidad Institucional y Nivel de planificación de la enseñanza, adicional a ello se puede observar que la fuerza y/o grado de correlación  "r"  tiene un valor de 0% lo que afirma que es una Correlación negativa muy débil mismo que asu vez significa que a mayor Identidad Institucional mayor Nivel de planificación de la enseñanza, por todo ello en el presente objetivo se rechaza la Ho y se acepta la Hi.</v>
      </c>
      <c r="FN34" s="53"/>
      <c r="FO34" s="53"/>
      <c r="FP34" s="53"/>
      <c r="FR34" s="52" t="str">
        <f>CONCATENATE("la ",FR10," muestra los resultados de la prueba de ",FT13,", en donde se evidencia que con una ",FQ28," del ",FQ30,"% ",FQ31," ",FP29," ",FS13," y ",FS16,", adicional a ello se puede observar que la fuerza y/o grado de correlación ",FR28," tiene un valor de ",FR30,"% lo que afirma que es una ",FR31," mismo que asu vez significa que a mayor ",FU12," ",FS31," ",FV12,", por todo ello en el presente objetivo ",FT31,".")</f>
        <v>la Tabla 7 muestra los resultados de la prueba de Correlación de Rho de Spearman, en donde se evidencia que con una  probabilidad de error  del 0% existe relación significativa entre las  dimensiones Identidad Institucional y Nivel de planificación de la enseñanza, adicional a ello se puede observar que la fuerza y/o grado de correlación "Rho" tiene un valor de 0% lo que afirma que es una existe relación significativa entre las  mismo que asu vez significa que a mayor Identidad Institucional mayor Nivel de planificación de la enseñanza, por todo ello en el presente objetivo se rechaza la Ho y se acepta la Hi.</v>
      </c>
      <c r="FS34" s="53"/>
      <c r="FT34" s="53"/>
      <c r="FU34" s="53"/>
      <c r="GL34" s="52" t="str">
        <f>CONCATENATE("la ",GL10," muestra los resultados de la prueba de ",GM13,", en donde se evidencia que con una ",GK28," del ",GK30,"% ",GK31," ",GJ29," ",GL13," y ",GL16,", adicional a ello se puede observar que la fuerza y/o grado de correlación ",GL28," tiene un valor de ",GL30,"% lo que afirma que es una ",GL31," mismo que asu vez significa que a mayor ",GN12," ",GM31," ",GL16,", por todo ello en el presente objetivo ",GN31,".")</f>
        <v>la Tabla 8 muestra los resultados de la prueba de Correlación de Pearson, en donde se evidencia que con una  probabilidad de error  del 0% existe relación significativa entre las  dimensiones Identidad Institucional y Nivel de la competencia comunicativa, adicional a ello se puede observar que la fuerza y/o grado de correlación  "r"  tiene un valor de 0% lo que afirma que es una Correlación negativa muy débil mismo que asu vez significa que a mayor Identidad Institucional mayor Nivel de la competencia comunicativa, por todo ello en el presente objetivo se rechaza la Ho y se acepta la Hi.</v>
      </c>
      <c r="GM34" s="53"/>
      <c r="GN34" s="53"/>
      <c r="GO34" s="53"/>
      <c r="GQ34" s="52" t="str">
        <f>CONCATENATE("la ",GQ10," muestra los resultados de la prueba de ",GS13,", en donde se evidencia que con una ",GP28," del ",GP30,"% ",GP31," ",GO29," ",GR13," y ",GR16,", adicional a ello se puede observar que la fuerza y/o grado de correlación ",GQ28," tiene un valor de ",GQ30,"% lo que afirma que es una ",GQ31," mismo que asu vez significa que a mayor ",GT12," ",GR31," ",GU12,", por todo ello en el presente objetivo ",GS31,".")</f>
        <v>la Tabla 8 muestra los resultados de la prueba de Correlación de Rho de Spearman, en donde se evidencia que con una  probabilidad de error  del 0% existe relación significativa entre las  dimensiones Identidad Institucional y Nivel de la competencia comunicativa, adicional a ello se puede observar que la fuerza y/o grado de correlación "Rho" tiene un valor de 0% lo que afirma que es una existe relación significativa entre las  mismo que asu vez significa que a mayor Identidad Institucional mayor Nivel de la competencia comunicativa, por todo ello en el presente objetivo se rechaza la Ho y se acepta la Hi.</v>
      </c>
      <c r="GR34" s="53"/>
      <c r="GS34" s="53"/>
      <c r="GT34" s="53"/>
      <c r="HK34" s="52" t="str">
        <f>CONCATENATE("la ",HK10," muestra los resultados de la prueba de ",HL13,", en donde se evidencia que con una ",HJ28," del ",HJ30,"% ",HJ31," ",HI29," ",HK13," y ",HK16,", adicional a ello se puede observar que la fuerza y/o grado de correlación ",HK28," tiene un valor de ",HK30,"% lo que afirma que es una ",HK31," mismo que asu vez significa que a mayor ",HM12," ",HL31," ",HK16,", por todo ello en el presente objetivo ",HM31,".")</f>
        <v>la Tabla 9 muestra los resultados de la prueba de Correlación de Pearson, en donde se evidencia que con una  probabilidad de error  del 0% existe relación significativa entre las  dimensiones Identidad Institucional y Diseño de metodología, adicional a ello se puede observar que la fuerza y/o grado de correlación  "r"  tiene un valor de 0% lo que afirma que es una Correlación negativa muy débil mismo que asu vez significa que a mayor Identidad Institucional mayor Diseño de metodología, por todo ello en el presente objetivo se rechaza la Ho y se acepta la Hi.</v>
      </c>
      <c r="HL34" s="53"/>
      <c r="HM34" s="53"/>
      <c r="HN34" s="53"/>
      <c r="HP34" s="52" t="str">
        <f>CONCATENATE("la ",HP10," muestra los resultados de la prueba de ",HR13,", en donde se evidencia que con una ",HO28," del ",HO30,"% ",HO31," ",HN29," ",HQ13," y ",HQ16,", adicional a ello se puede observar que la fuerza y/o grado de correlación ",HP28," tiene un valor de ",HP30,"% lo que afirma que es una ",HP31," mismo que asu vez significa que a mayor ",HS12," ",HQ31," ",HT12,", por todo ello en el presente objetivo ",HR31,".")</f>
        <v>la Tabla 9 muestra los resultados de la prueba de Correlación de Rho de Spearman, en donde se evidencia que con una  probabilidad de error  del 0% existe relación significativa entre las  dimensiones Identidad Institucional y Diseño de metodología, adicional a ello se puede observar que la fuerza y/o grado de correlación "Rho" tiene un valor de 0% lo que afirma que es una existe relación significativa entre las  mismo que asu vez significa que a mayor Identidad Institucional mayor Diseño de metodología, por todo ello en el presente objetivo se rechaza la Ho y se acepta la Hi.</v>
      </c>
      <c r="HQ34" s="53"/>
      <c r="HR34" s="53"/>
      <c r="HS34" s="53"/>
    </row>
    <row r="35" spans="15:227" x14ac:dyDescent="0.25">
      <c r="O35" s="53"/>
      <c r="P35" s="53"/>
      <c r="Q35" s="53"/>
      <c r="R35" s="53"/>
      <c r="T35" s="53"/>
      <c r="U35" s="53"/>
      <c r="V35" s="53"/>
      <c r="W35" s="53"/>
      <c r="AN35" s="53"/>
      <c r="AO35" s="53"/>
      <c r="AP35" s="53"/>
      <c r="AQ35" s="53"/>
      <c r="AS35" s="53"/>
      <c r="AT35" s="53"/>
      <c r="AU35" s="53"/>
      <c r="AV35" s="53"/>
      <c r="BM35" s="53"/>
      <c r="BN35" s="53"/>
      <c r="BO35" s="53"/>
      <c r="BP35" s="53"/>
      <c r="BR35" s="53"/>
      <c r="BS35" s="53"/>
      <c r="BT35" s="53"/>
      <c r="BU35" s="53"/>
      <c r="CN35" s="53"/>
      <c r="CO35" s="53"/>
      <c r="CP35" s="53"/>
      <c r="CQ35" s="53"/>
      <c r="CS35" s="53"/>
      <c r="CT35" s="53"/>
      <c r="CU35" s="53"/>
      <c r="CV35" s="53"/>
      <c r="DM35" s="53"/>
      <c r="DN35" s="53"/>
      <c r="DO35" s="53"/>
      <c r="DP35" s="53"/>
      <c r="DR35" s="53"/>
      <c r="DS35" s="53"/>
      <c r="DT35" s="53"/>
      <c r="DU35" s="53"/>
      <c r="EL35" s="53"/>
      <c r="EM35" s="53"/>
      <c r="EN35" s="53"/>
      <c r="EO35" s="53"/>
      <c r="EQ35" s="53"/>
      <c r="ER35" s="53"/>
      <c r="ES35" s="53"/>
      <c r="ET35" s="53"/>
      <c r="FM35" s="53"/>
      <c r="FN35" s="53"/>
      <c r="FO35" s="53"/>
      <c r="FP35" s="53"/>
      <c r="FR35" s="53"/>
      <c r="FS35" s="53"/>
      <c r="FT35" s="53"/>
      <c r="FU35" s="53"/>
      <c r="GL35" s="53"/>
      <c r="GM35" s="53"/>
      <c r="GN35" s="53"/>
      <c r="GO35" s="53"/>
      <c r="GQ35" s="53"/>
      <c r="GR35" s="53"/>
      <c r="GS35" s="53"/>
      <c r="GT35" s="53"/>
      <c r="HK35" s="53"/>
      <c r="HL35" s="53"/>
      <c r="HM35" s="53"/>
      <c r="HN35" s="53"/>
      <c r="HP35" s="53"/>
      <c r="HQ35" s="53"/>
      <c r="HR35" s="53"/>
      <c r="HS35" s="53"/>
    </row>
    <row r="36" spans="15:227" x14ac:dyDescent="0.25">
      <c r="O36" s="53"/>
      <c r="P36" s="53"/>
      <c r="Q36" s="53"/>
      <c r="R36" s="53"/>
      <c r="T36" s="53"/>
      <c r="U36" s="53"/>
      <c r="V36" s="53"/>
      <c r="W36" s="53"/>
      <c r="AN36" s="53"/>
      <c r="AO36" s="53"/>
      <c r="AP36" s="53"/>
      <c r="AQ36" s="53"/>
      <c r="AS36" s="53"/>
      <c r="AT36" s="53"/>
      <c r="AU36" s="53"/>
      <c r="AV36" s="53"/>
      <c r="BM36" s="53"/>
      <c r="BN36" s="53"/>
      <c r="BO36" s="53"/>
      <c r="BP36" s="53"/>
      <c r="BR36" s="53"/>
      <c r="BS36" s="53"/>
      <c r="BT36" s="53"/>
      <c r="BU36" s="53"/>
      <c r="CN36" s="53"/>
      <c r="CO36" s="53"/>
      <c r="CP36" s="53"/>
      <c r="CQ36" s="53"/>
      <c r="CS36" s="53"/>
      <c r="CT36" s="53"/>
      <c r="CU36" s="53"/>
      <c r="CV36" s="53"/>
      <c r="DM36" s="53"/>
      <c r="DN36" s="53"/>
      <c r="DO36" s="53"/>
      <c r="DP36" s="53"/>
      <c r="DR36" s="53"/>
      <c r="DS36" s="53"/>
      <c r="DT36" s="53"/>
      <c r="DU36" s="53"/>
      <c r="EL36" s="53"/>
      <c r="EM36" s="53"/>
      <c r="EN36" s="53"/>
      <c r="EO36" s="53"/>
      <c r="EQ36" s="53"/>
      <c r="ER36" s="53"/>
      <c r="ES36" s="53"/>
      <c r="ET36" s="53"/>
      <c r="FM36" s="53"/>
      <c r="FN36" s="53"/>
      <c r="FO36" s="53"/>
      <c r="FP36" s="53"/>
      <c r="FR36" s="53"/>
      <c r="FS36" s="53"/>
      <c r="FT36" s="53"/>
      <c r="FU36" s="53"/>
      <c r="GL36" s="53"/>
      <c r="GM36" s="53"/>
      <c r="GN36" s="53"/>
      <c r="GO36" s="53"/>
      <c r="GQ36" s="53"/>
      <c r="GR36" s="53"/>
      <c r="GS36" s="53"/>
      <c r="GT36" s="53"/>
      <c r="HK36" s="53"/>
      <c r="HL36" s="53"/>
      <c r="HM36" s="53"/>
      <c r="HN36" s="53"/>
      <c r="HP36" s="53"/>
      <c r="HQ36" s="53"/>
      <c r="HR36" s="53"/>
      <c r="HS36" s="53"/>
    </row>
    <row r="37" spans="15:227" x14ac:dyDescent="0.25">
      <c r="O37" s="53"/>
      <c r="P37" s="53"/>
      <c r="Q37" s="53"/>
      <c r="R37" s="53"/>
      <c r="T37" s="53"/>
      <c r="U37" s="53"/>
      <c r="V37" s="53"/>
      <c r="W37" s="53"/>
      <c r="AN37" s="53"/>
      <c r="AO37" s="53"/>
      <c r="AP37" s="53"/>
      <c r="AQ37" s="53"/>
      <c r="AS37" s="53"/>
      <c r="AT37" s="53"/>
      <c r="AU37" s="53"/>
      <c r="AV37" s="53"/>
      <c r="BM37" s="53"/>
      <c r="BN37" s="53"/>
      <c r="BO37" s="53"/>
      <c r="BP37" s="53"/>
      <c r="BR37" s="53"/>
      <c r="BS37" s="53"/>
      <c r="BT37" s="53"/>
      <c r="BU37" s="53"/>
      <c r="CN37" s="53"/>
      <c r="CO37" s="53"/>
      <c r="CP37" s="53"/>
      <c r="CQ37" s="53"/>
      <c r="CS37" s="53"/>
      <c r="CT37" s="53"/>
      <c r="CU37" s="53"/>
      <c r="CV37" s="53"/>
      <c r="DM37" s="53"/>
      <c r="DN37" s="53"/>
      <c r="DO37" s="53"/>
      <c r="DP37" s="53"/>
      <c r="DR37" s="53"/>
      <c r="DS37" s="53"/>
      <c r="DT37" s="53"/>
      <c r="DU37" s="53"/>
      <c r="EL37" s="53"/>
      <c r="EM37" s="53"/>
      <c r="EN37" s="53"/>
      <c r="EO37" s="53"/>
      <c r="EQ37" s="53"/>
      <c r="ER37" s="53"/>
      <c r="ES37" s="53"/>
      <c r="ET37" s="53"/>
      <c r="FM37" s="53"/>
      <c r="FN37" s="53"/>
      <c r="FO37" s="53"/>
      <c r="FP37" s="53"/>
      <c r="FR37" s="53"/>
      <c r="FS37" s="53"/>
      <c r="FT37" s="53"/>
      <c r="FU37" s="53"/>
      <c r="GL37" s="53"/>
      <c r="GM37" s="53"/>
      <c r="GN37" s="53"/>
      <c r="GO37" s="53"/>
      <c r="GQ37" s="53"/>
      <c r="GR37" s="53"/>
      <c r="GS37" s="53"/>
      <c r="GT37" s="53"/>
      <c r="HK37" s="53"/>
      <c r="HL37" s="53"/>
      <c r="HM37" s="53"/>
      <c r="HN37" s="53"/>
      <c r="HP37" s="53"/>
      <c r="HQ37" s="53"/>
      <c r="HR37" s="53"/>
      <c r="HS37" s="53"/>
    </row>
    <row r="38" spans="15:227" x14ac:dyDescent="0.25">
      <c r="O38" s="53"/>
      <c r="P38" s="53"/>
      <c r="Q38" s="53"/>
      <c r="R38" s="53"/>
      <c r="T38" s="53"/>
      <c r="U38" s="53"/>
      <c r="V38" s="53"/>
      <c r="W38" s="53"/>
      <c r="AN38" s="53"/>
      <c r="AO38" s="53"/>
      <c r="AP38" s="53"/>
      <c r="AQ38" s="53"/>
      <c r="AS38" s="53"/>
      <c r="AT38" s="53"/>
      <c r="AU38" s="53"/>
      <c r="AV38" s="53"/>
      <c r="BM38" s="53"/>
      <c r="BN38" s="53"/>
      <c r="BO38" s="53"/>
      <c r="BP38" s="53"/>
      <c r="BR38" s="53"/>
      <c r="BS38" s="53"/>
      <c r="BT38" s="53"/>
      <c r="BU38" s="53"/>
      <c r="CN38" s="53"/>
      <c r="CO38" s="53"/>
      <c r="CP38" s="53"/>
      <c r="CQ38" s="53"/>
      <c r="CS38" s="53"/>
      <c r="CT38" s="53"/>
      <c r="CU38" s="53"/>
      <c r="CV38" s="53"/>
      <c r="DM38" s="53"/>
      <c r="DN38" s="53"/>
      <c r="DO38" s="53"/>
      <c r="DP38" s="53"/>
      <c r="DR38" s="53"/>
      <c r="DS38" s="53"/>
      <c r="DT38" s="53"/>
      <c r="DU38" s="53"/>
      <c r="EL38" s="53"/>
      <c r="EM38" s="53"/>
      <c r="EN38" s="53"/>
      <c r="EO38" s="53"/>
      <c r="EQ38" s="53"/>
      <c r="ER38" s="53"/>
      <c r="ES38" s="53"/>
      <c r="ET38" s="53"/>
      <c r="FM38" s="53"/>
      <c r="FN38" s="53"/>
      <c r="FO38" s="53"/>
      <c r="FP38" s="53"/>
      <c r="FR38" s="53"/>
      <c r="FS38" s="53"/>
      <c r="FT38" s="53"/>
      <c r="FU38" s="53"/>
      <c r="GL38" s="53"/>
      <c r="GM38" s="53"/>
      <c r="GN38" s="53"/>
      <c r="GO38" s="53"/>
      <c r="GQ38" s="53"/>
      <c r="GR38" s="53"/>
      <c r="GS38" s="53"/>
      <c r="GT38" s="53"/>
      <c r="HK38" s="53"/>
      <c r="HL38" s="53"/>
      <c r="HM38" s="53"/>
      <c r="HN38" s="53"/>
      <c r="HP38" s="53"/>
      <c r="HQ38" s="53"/>
      <c r="HR38" s="53"/>
      <c r="HS38" s="53"/>
    </row>
    <row r="39" spans="15:227" x14ac:dyDescent="0.25">
      <c r="O39" s="53"/>
      <c r="P39" s="53"/>
      <c r="Q39" s="53"/>
      <c r="R39" s="53"/>
      <c r="T39" s="53"/>
      <c r="U39" s="53"/>
      <c r="V39" s="53"/>
      <c r="W39" s="53"/>
      <c r="AN39" s="53"/>
      <c r="AO39" s="53"/>
      <c r="AP39" s="53"/>
      <c r="AQ39" s="53"/>
      <c r="AS39" s="53"/>
      <c r="AT39" s="53"/>
      <c r="AU39" s="53"/>
      <c r="AV39" s="53"/>
      <c r="BM39" s="53"/>
      <c r="BN39" s="53"/>
      <c r="BO39" s="53"/>
      <c r="BP39" s="53"/>
      <c r="BR39" s="53"/>
      <c r="BS39" s="53"/>
      <c r="BT39" s="53"/>
      <c r="BU39" s="53"/>
      <c r="CN39" s="53"/>
      <c r="CO39" s="53"/>
      <c r="CP39" s="53"/>
      <c r="CQ39" s="53"/>
      <c r="CS39" s="53"/>
      <c r="CT39" s="53"/>
      <c r="CU39" s="53"/>
      <c r="CV39" s="53"/>
      <c r="DM39" s="53"/>
      <c r="DN39" s="53"/>
      <c r="DO39" s="53"/>
      <c r="DP39" s="53"/>
      <c r="DR39" s="53"/>
      <c r="DS39" s="53"/>
      <c r="DT39" s="53"/>
      <c r="DU39" s="53"/>
      <c r="EL39" s="53"/>
      <c r="EM39" s="53"/>
      <c r="EN39" s="53"/>
      <c r="EO39" s="53"/>
      <c r="EQ39" s="53"/>
      <c r="ER39" s="53"/>
      <c r="ES39" s="53"/>
      <c r="ET39" s="53"/>
      <c r="FM39" s="53"/>
      <c r="FN39" s="53"/>
      <c r="FO39" s="53"/>
      <c r="FP39" s="53"/>
      <c r="FR39" s="53"/>
      <c r="FS39" s="53"/>
      <c r="FT39" s="53"/>
      <c r="FU39" s="53"/>
      <c r="GL39" s="53"/>
      <c r="GM39" s="53"/>
      <c r="GN39" s="53"/>
      <c r="GO39" s="53"/>
      <c r="GQ39" s="53"/>
      <c r="GR39" s="53"/>
      <c r="GS39" s="53"/>
      <c r="GT39" s="53"/>
      <c r="HK39" s="53"/>
      <c r="HL39" s="53"/>
      <c r="HM39" s="53"/>
      <c r="HN39" s="53"/>
      <c r="HP39" s="53"/>
      <c r="HQ39" s="53"/>
      <c r="HR39" s="53"/>
      <c r="HS39" s="53"/>
    </row>
  </sheetData>
  <sheetProtection formatCells="0" formatColumns="0" formatRows="0" insertColumns="0" insertRows="0" insertHyperlinks="0" deleteColumns="0" deleteRows="0" sort="0" autoFilter="0" pivotTables="0"/>
  <mergeCells count="351">
    <mergeCell ref="HK34:HN39"/>
    <mergeCell ref="HP11:HT11"/>
    <mergeCell ref="HP12:HR12"/>
    <mergeCell ref="HP19:HT19"/>
    <mergeCell ref="HP13:HP18"/>
    <mergeCell ref="HP34:HS39"/>
    <mergeCell ref="HQ13:HQ15"/>
    <mergeCell ref="HQ16:HQ18"/>
    <mergeCell ref="HK11:HN11"/>
    <mergeCell ref="HK12:HL12"/>
    <mergeCell ref="HK13:HK15"/>
    <mergeCell ref="HK16:HK18"/>
    <mergeCell ref="HK19:HN19"/>
    <mergeCell ref="HC5:HI5"/>
    <mergeCell ref="HC12:HI17"/>
    <mergeCell ref="HC10:HI10"/>
    <mergeCell ref="HC6:HC7"/>
    <mergeCell ref="HD6:HF6"/>
    <mergeCell ref="HG6:HI6"/>
    <mergeCell ref="GY19"/>
    <mergeCell ref="GY20"/>
    <mergeCell ref="GY21"/>
    <mergeCell ref="GY22"/>
    <mergeCell ref="GY23"/>
    <mergeCell ref="GY14"/>
    <mergeCell ref="GY15"/>
    <mergeCell ref="GY16"/>
    <mergeCell ref="GY17"/>
    <mergeCell ref="GY18"/>
    <mergeCell ref="GY9"/>
    <mergeCell ref="GY10"/>
    <mergeCell ref="GY11"/>
    <mergeCell ref="GY12"/>
    <mergeCell ref="GY13"/>
    <mergeCell ref="GY4"/>
    <mergeCell ref="GY5"/>
    <mergeCell ref="GY6"/>
    <mergeCell ref="GY7"/>
    <mergeCell ref="GY8"/>
    <mergeCell ref="GL34:GO39"/>
    <mergeCell ref="GQ11:GU11"/>
    <mergeCell ref="GQ12:GS12"/>
    <mergeCell ref="GQ19:GU19"/>
    <mergeCell ref="GQ13:GQ18"/>
    <mergeCell ref="GQ34:GT39"/>
    <mergeCell ref="GR13:GR15"/>
    <mergeCell ref="GR16:GR18"/>
    <mergeCell ref="GL11:GO11"/>
    <mergeCell ref="GL12:GM12"/>
    <mergeCell ref="GL13:GL15"/>
    <mergeCell ref="GL16:GL18"/>
    <mergeCell ref="GL19:GO19"/>
    <mergeCell ref="GD5:GJ5"/>
    <mergeCell ref="GD12:GJ17"/>
    <mergeCell ref="GD10:GJ10"/>
    <mergeCell ref="GD6:GD7"/>
    <mergeCell ref="GE6:GG6"/>
    <mergeCell ref="GH6:GJ6"/>
    <mergeCell ref="FZ19"/>
    <mergeCell ref="FZ20"/>
    <mergeCell ref="FZ21"/>
    <mergeCell ref="FZ22"/>
    <mergeCell ref="FZ23"/>
    <mergeCell ref="FZ14"/>
    <mergeCell ref="FZ15"/>
    <mergeCell ref="FZ16"/>
    <mergeCell ref="FZ17"/>
    <mergeCell ref="FZ18"/>
    <mergeCell ref="FZ9"/>
    <mergeCell ref="FZ10"/>
    <mergeCell ref="FZ11"/>
    <mergeCell ref="FZ12"/>
    <mergeCell ref="FZ13"/>
    <mergeCell ref="FZ4"/>
    <mergeCell ref="FZ5"/>
    <mergeCell ref="FZ6"/>
    <mergeCell ref="FZ7"/>
    <mergeCell ref="FZ8"/>
    <mergeCell ref="FM34:FP39"/>
    <mergeCell ref="FR11:FV11"/>
    <mergeCell ref="FR12:FT12"/>
    <mergeCell ref="FR19:FV19"/>
    <mergeCell ref="FR13:FR18"/>
    <mergeCell ref="FR34:FU39"/>
    <mergeCell ref="FS13:FS15"/>
    <mergeCell ref="FS16:FS18"/>
    <mergeCell ref="FM11:FP11"/>
    <mergeCell ref="FM12:FN12"/>
    <mergeCell ref="FM13:FM15"/>
    <mergeCell ref="FM16:FM18"/>
    <mergeCell ref="FM19:FP19"/>
    <mergeCell ref="FE5:FK5"/>
    <mergeCell ref="FE12:FK17"/>
    <mergeCell ref="FE10:FK10"/>
    <mergeCell ref="FE6:FE7"/>
    <mergeCell ref="FF6:FH6"/>
    <mergeCell ref="FI6:FK6"/>
    <mergeCell ref="FA19"/>
    <mergeCell ref="FA20"/>
    <mergeCell ref="FA21"/>
    <mergeCell ref="FA22"/>
    <mergeCell ref="FA23"/>
    <mergeCell ref="FA14"/>
    <mergeCell ref="FA15"/>
    <mergeCell ref="FA16"/>
    <mergeCell ref="FA17"/>
    <mergeCell ref="FA18"/>
    <mergeCell ref="FA9"/>
    <mergeCell ref="FA10"/>
    <mergeCell ref="FA11"/>
    <mergeCell ref="FA12"/>
    <mergeCell ref="FA13"/>
    <mergeCell ref="FA4"/>
    <mergeCell ref="FA5"/>
    <mergeCell ref="FA6"/>
    <mergeCell ref="FA7"/>
    <mergeCell ref="FA8"/>
    <mergeCell ref="EL34:EO39"/>
    <mergeCell ref="EQ11:EU11"/>
    <mergeCell ref="EQ12:ES12"/>
    <mergeCell ref="EQ19:EU19"/>
    <mergeCell ref="EQ13:EQ18"/>
    <mergeCell ref="EQ34:ET39"/>
    <mergeCell ref="ER13:ER15"/>
    <mergeCell ref="ER16:ER18"/>
    <mergeCell ref="EL11:EO11"/>
    <mergeCell ref="EL12:EM12"/>
    <mergeCell ref="EL13:EL15"/>
    <mergeCell ref="EL16:EL18"/>
    <mergeCell ref="EL19:EO19"/>
    <mergeCell ref="ED5:EJ5"/>
    <mergeCell ref="ED12:EJ17"/>
    <mergeCell ref="ED10:EJ10"/>
    <mergeCell ref="ED6:ED7"/>
    <mergeCell ref="EE6:EG6"/>
    <mergeCell ref="EH6:EJ6"/>
    <mergeCell ref="DZ19"/>
    <mergeCell ref="DZ20"/>
    <mergeCell ref="DZ21"/>
    <mergeCell ref="DZ22"/>
    <mergeCell ref="DZ23"/>
    <mergeCell ref="DZ14"/>
    <mergeCell ref="DZ15"/>
    <mergeCell ref="DZ16"/>
    <mergeCell ref="DZ17"/>
    <mergeCell ref="DZ18"/>
    <mergeCell ref="DZ9"/>
    <mergeCell ref="DZ10"/>
    <mergeCell ref="DZ11"/>
    <mergeCell ref="DZ12"/>
    <mergeCell ref="DZ13"/>
    <mergeCell ref="DZ4"/>
    <mergeCell ref="DZ5"/>
    <mergeCell ref="DZ6"/>
    <mergeCell ref="DZ7"/>
    <mergeCell ref="DZ8"/>
    <mergeCell ref="DM34:DP39"/>
    <mergeCell ref="DR11:DV11"/>
    <mergeCell ref="DR12:DT12"/>
    <mergeCell ref="DR19:DV19"/>
    <mergeCell ref="DR13:DR18"/>
    <mergeCell ref="DR34:DU39"/>
    <mergeCell ref="DS13:DS15"/>
    <mergeCell ref="DS16:DS18"/>
    <mergeCell ref="DM11:DP11"/>
    <mergeCell ref="DM12:DN12"/>
    <mergeCell ref="DM13:DM15"/>
    <mergeCell ref="DM16:DM18"/>
    <mergeCell ref="DM19:DP19"/>
    <mergeCell ref="DE5:DK5"/>
    <mergeCell ref="DE12:DK17"/>
    <mergeCell ref="DE10:DK10"/>
    <mergeCell ref="DE6:DE7"/>
    <mergeCell ref="DF6:DH6"/>
    <mergeCell ref="DI6:DK6"/>
    <mergeCell ref="DA19"/>
    <mergeCell ref="DA20"/>
    <mergeCell ref="DA21"/>
    <mergeCell ref="DA22"/>
    <mergeCell ref="DA23"/>
    <mergeCell ref="DA14"/>
    <mergeCell ref="DA15"/>
    <mergeCell ref="DA16"/>
    <mergeCell ref="DA17"/>
    <mergeCell ref="DA18"/>
    <mergeCell ref="DA9"/>
    <mergeCell ref="DA10"/>
    <mergeCell ref="DA11"/>
    <mergeCell ref="DA12"/>
    <mergeCell ref="DA13"/>
    <mergeCell ref="DA4"/>
    <mergeCell ref="DA5"/>
    <mergeCell ref="DA6"/>
    <mergeCell ref="DA7"/>
    <mergeCell ref="DA8"/>
    <mergeCell ref="CN34:CQ39"/>
    <mergeCell ref="CS11:CW11"/>
    <mergeCell ref="CS12:CU12"/>
    <mergeCell ref="CS19:CW19"/>
    <mergeCell ref="CS13:CS18"/>
    <mergeCell ref="CS34:CV39"/>
    <mergeCell ref="CT13:CT15"/>
    <mergeCell ref="CT16:CT18"/>
    <mergeCell ref="CN11:CQ11"/>
    <mergeCell ref="CN12:CO12"/>
    <mergeCell ref="CN13:CN15"/>
    <mergeCell ref="CN16:CN18"/>
    <mergeCell ref="CN19:CQ19"/>
    <mergeCell ref="CF5:CL5"/>
    <mergeCell ref="CF12:CL17"/>
    <mergeCell ref="CF10:CL10"/>
    <mergeCell ref="CF6:CF7"/>
    <mergeCell ref="CG6:CI6"/>
    <mergeCell ref="CJ6:CL6"/>
    <mergeCell ref="CB19"/>
    <mergeCell ref="CB20"/>
    <mergeCell ref="CB21"/>
    <mergeCell ref="CB22"/>
    <mergeCell ref="CB23"/>
    <mergeCell ref="CB14"/>
    <mergeCell ref="CB15"/>
    <mergeCell ref="CB16"/>
    <mergeCell ref="CB17"/>
    <mergeCell ref="CB18"/>
    <mergeCell ref="CB9"/>
    <mergeCell ref="CB10"/>
    <mergeCell ref="CB11"/>
    <mergeCell ref="CB12"/>
    <mergeCell ref="CB13"/>
    <mergeCell ref="CB4"/>
    <mergeCell ref="CB5"/>
    <mergeCell ref="CB6"/>
    <mergeCell ref="CB7"/>
    <mergeCell ref="CB8"/>
    <mergeCell ref="BM34:BP39"/>
    <mergeCell ref="BR11:BV11"/>
    <mergeCell ref="BR12:BT12"/>
    <mergeCell ref="BR19:BV19"/>
    <mergeCell ref="BR13:BR18"/>
    <mergeCell ref="BR34:BU39"/>
    <mergeCell ref="BS13:BS15"/>
    <mergeCell ref="BS16:BS18"/>
    <mergeCell ref="BM11:BP11"/>
    <mergeCell ref="BM12:BN12"/>
    <mergeCell ref="BM13:BM15"/>
    <mergeCell ref="BM16:BM18"/>
    <mergeCell ref="BM19:BP19"/>
    <mergeCell ref="BE5:BK5"/>
    <mergeCell ref="BE12:BK17"/>
    <mergeCell ref="BE10:BK10"/>
    <mergeCell ref="BE6:BE7"/>
    <mergeCell ref="BF6:BH6"/>
    <mergeCell ref="BI6:BK6"/>
    <mergeCell ref="BA19"/>
    <mergeCell ref="BA20"/>
    <mergeCell ref="BA21"/>
    <mergeCell ref="BA22"/>
    <mergeCell ref="BA23"/>
    <mergeCell ref="BA14"/>
    <mergeCell ref="BA15"/>
    <mergeCell ref="BA16"/>
    <mergeCell ref="BA17"/>
    <mergeCell ref="BA18"/>
    <mergeCell ref="BA9"/>
    <mergeCell ref="BA10"/>
    <mergeCell ref="BA11"/>
    <mergeCell ref="BA12"/>
    <mergeCell ref="BA13"/>
    <mergeCell ref="BA4"/>
    <mergeCell ref="BA5"/>
    <mergeCell ref="BA6"/>
    <mergeCell ref="BA7"/>
    <mergeCell ref="BA8"/>
    <mergeCell ref="AN34:AQ39"/>
    <mergeCell ref="AS11:AW11"/>
    <mergeCell ref="AS12:AU12"/>
    <mergeCell ref="AS19:AW19"/>
    <mergeCell ref="AS13:AS18"/>
    <mergeCell ref="AS34:AV39"/>
    <mergeCell ref="AT13:AT15"/>
    <mergeCell ref="AT16:AT18"/>
    <mergeCell ref="AN11:AQ11"/>
    <mergeCell ref="AN12:AO12"/>
    <mergeCell ref="AN13:AN15"/>
    <mergeCell ref="AN16:AN18"/>
    <mergeCell ref="AN19:AQ19"/>
    <mergeCell ref="AF5:AL5"/>
    <mergeCell ref="AF12:AL17"/>
    <mergeCell ref="AF10:AL10"/>
    <mergeCell ref="AF6:AF7"/>
    <mergeCell ref="AG6:AI6"/>
    <mergeCell ref="AJ6:AL6"/>
    <mergeCell ref="AB19"/>
    <mergeCell ref="AB20"/>
    <mergeCell ref="AB21"/>
    <mergeCell ref="AB22"/>
    <mergeCell ref="AB23"/>
    <mergeCell ref="AB14"/>
    <mergeCell ref="AB15"/>
    <mergeCell ref="AB16"/>
    <mergeCell ref="AB17"/>
    <mergeCell ref="AB18"/>
    <mergeCell ref="AB9"/>
    <mergeCell ref="AB10"/>
    <mergeCell ref="AB11"/>
    <mergeCell ref="AB12"/>
    <mergeCell ref="AB13"/>
    <mergeCell ref="AB4"/>
    <mergeCell ref="AB5"/>
    <mergeCell ref="AB6"/>
    <mergeCell ref="AB7"/>
    <mergeCell ref="AB8"/>
    <mergeCell ref="O34:R39"/>
    <mergeCell ref="T11:X11"/>
    <mergeCell ref="T12:V12"/>
    <mergeCell ref="T19:X19"/>
    <mergeCell ref="T13:T18"/>
    <mergeCell ref="T34:W39"/>
    <mergeCell ref="U13:U15"/>
    <mergeCell ref="U16:U18"/>
    <mergeCell ref="O11:R11"/>
    <mergeCell ref="O12:P12"/>
    <mergeCell ref="O13:O15"/>
    <mergeCell ref="O16:O18"/>
    <mergeCell ref="O19:R19"/>
    <mergeCell ref="G5:M5"/>
    <mergeCell ref="G12:M17"/>
    <mergeCell ref="G10:M10"/>
    <mergeCell ref="G6:G7"/>
    <mergeCell ref="H6:J6"/>
    <mergeCell ref="K6:M6"/>
    <mergeCell ref="C19"/>
    <mergeCell ref="C20"/>
    <mergeCell ref="C21"/>
    <mergeCell ref="C22"/>
    <mergeCell ref="C23"/>
    <mergeCell ref="C14"/>
    <mergeCell ref="C15"/>
    <mergeCell ref="C16"/>
    <mergeCell ref="C17"/>
    <mergeCell ref="C18"/>
    <mergeCell ref="C9"/>
    <mergeCell ref="C10"/>
    <mergeCell ref="C11"/>
    <mergeCell ref="C12"/>
    <mergeCell ref="C13"/>
    <mergeCell ref="C4"/>
    <mergeCell ref="C5"/>
    <mergeCell ref="C6"/>
    <mergeCell ref="C7"/>
    <mergeCell ref="C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39"/>
  <sheetViews>
    <sheetView topLeftCell="BV1" workbookViewId="0">
      <selection activeCell="D7" sqref="D7"/>
    </sheetView>
  </sheetViews>
  <sheetFormatPr baseColWidth="10" defaultColWidth="9.140625" defaultRowHeight="15" x14ac:dyDescent="0.25"/>
  <cols>
    <col min="3" max="3" width="20" customWidth="1"/>
    <col min="4" max="5" width="12" customWidth="1"/>
    <col min="7" max="7" width="20" customWidth="1"/>
    <col min="8" max="13" width="10" customWidth="1"/>
    <col min="15" max="15" width="23" customWidth="1"/>
    <col min="16" max="16" width="15" customWidth="1"/>
    <col min="17" max="18" width="20" customWidth="1"/>
    <col min="20" max="21" width="22" customWidth="1"/>
    <col min="22" max="22" width="15" customWidth="1"/>
    <col min="23" max="23" width="20" customWidth="1"/>
    <col min="28" max="28" width="20" customWidth="1"/>
    <col min="29" max="30" width="12" customWidth="1"/>
    <col min="32" max="32" width="20" customWidth="1"/>
    <col min="33" max="38" width="10" customWidth="1"/>
    <col min="40" max="40" width="23" customWidth="1"/>
    <col min="41" max="41" width="15" customWidth="1"/>
    <col min="42" max="43" width="20" customWidth="1"/>
    <col min="45" max="46" width="22" customWidth="1"/>
    <col min="47" max="47" width="15" customWidth="1"/>
    <col min="48" max="48" width="20" customWidth="1"/>
    <col min="53" max="53" width="20" customWidth="1"/>
    <col min="54" max="55" width="12" customWidth="1"/>
    <col min="57" max="57" width="20" customWidth="1"/>
    <col min="58" max="63" width="10" customWidth="1"/>
    <col min="65" max="65" width="23" customWidth="1"/>
    <col min="66" max="66" width="15" customWidth="1"/>
    <col min="67" max="68" width="20" customWidth="1"/>
    <col min="70" max="71" width="22" customWidth="1"/>
    <col min="72" max="72" width="15" customWidth="1"/>
    <col min="73" max="73" width="20" customWidth="1"/>
    <col min="80" max="80" width="20" customWidth="1"/>
    <col min="81" max="82" width="12" customWidth="1"/>
    <col min="84" max="84" width="20" customWidth="1"/>
    <col min="85" max="90" width="10" customWidth="1"/>
    <col min="92" max="92" width="23" customWidth="1"/>
    <col min="93" max="93" width="15" customWidth="1"/>
    <col min="94" max="95" width="20" customWidth="1"/>
    <col min="97" max="98" width="22" customWidth="1"/>
    <col min="99" max="99" width="15" customWidth="1"/>
    <col min="100" max="100" width="20" customWidth="1"/>
    <col min="105" max="105" width="20" customWidth="1"/>
    <col min="106" max="107" width="12" customWidth="1"/>
    <col min="109" max="109" width="20" customWidth="1"/>
    <col min="110" max="115" width="10" customWidth="1"/>
    <col min="117" max="117" width="23" customWidth="1"/>
    <col min="118" max="118" width="15" customWidth="1"/>
    <col min="119" max="120" width="20" customWidth="1"/>
    <col min="122" max="123" width="22" customWidth="1"/>
    <col min="124" max="124" width="15" customWidth="1"/>
    <col min="125" max="125" width="20" customWidth="1"/>
    <col min="130" max="130" width="20" customWidth="1"/>
    <col min="131" max="132" width="12" customWidth="1"/>
    <col min="134" max="134" width="20" customWidth="1"/>
    <col min="135" max="140" width="10" customWidth="1"/>
    <col min="142" max="142" width="23" customWidth="1"/>
    <col min="143" max="143" width="15" customWidth="1"/>
    <col min="144" max="145" width="20" customWidth="1"/>
    <col min="147" max="148" width="22" customWidth="1"/>
    <col min="149" max="149" width="15" customWidth="1"/>
    <col min="150" max="150" width="20" customWidth="1"/>
  </cols>
  <sheetData>
    <row r="1" spans="1:153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</row>
    <row r="2" spans="1:153" ht="30" x14ac:dyDescent="0.25">
      <c r="A2" s="36"/>
      <c r="D2" s="28" t="s">
        <v>172</v>
      </c>
      <c r="E2" s="28" t="s">
        <v>204</v>
      </c>
      <c r="Z2" s="36"/>
      <c r="AC2" s="28" t="s">
        <v>176</v>
      </c>
      <c r="AD2" s="28" t="s">
        <v>204</v>
      </c>
      <c r="AY2" s="36"/>
      <c r="BB2" s="28" t="s">
        <v>177</v>
      </c>
      <c r="BC2" s="28" t="s">
        <v>204</v>
      </c>
      <c r="BX2" s="36"/>
      <c r="BZ2" s="37"/>
      <c r="CC2" s="28" t="s">
        <v>173</v>
      </c>
      <c r="CD2" s="28" t="s">
        <v>160</v>
      </c>
      <c r="CY2" s="37"/>
      <c r="DB2" s="28" t="s">
        <v>174</v>
      </c>
      <c r="DC2" s="28" t="s">
        <v>160</v>
      </c>
      <c r="DX2" s="37"/>
      <c r="EA2" s="28" t="s">
        <v>175</v>
      </c>
      <c r="EB2" s="28" t="s">
        <v>160</v>
      </c>
      <c r="EW2" s="37"/>
    </row>
    <row r="3" spans="1:153" x14ac:dyDescent="0.25">
      <c r="A3" s="36"/>
      <c r="D3" s="28" t="str">
        <f>'Por Valoracion (3) Dimension'!B2</f>
        <v>Estructuración Organizacional</v>
      </c>
      <c r="E3" s="28" t="str">
        <f>'Por Valoracion (3) Dimension 2'!H2</f>
        <v>Desarrollo de competencias</v>
      </c>
      <c r="Z3" s="36"/>
      <c r="AC3" s="28" t="str">
        <f>'Por Valoracion (3) Dimension'!D2</f>
        <v>Relaciones Interpersonales</v>
      </c>
      <c r="AD3" s="28" t="str">
        <f>'Por Valoracion (3) Dimension 2'!H2</f>
        <v>Desarrollo de competencias</v>
      </c>
      <c r="AY3" s="36"/>
      <c r="BB3" s="28" t="str">
        <f>'Por Valoracion (3) Dimension'!F2</f>
        <v>Identidad Institucional</v>
      </c>
      <c r="BC3" s="28" t="str">
        <f>'Por Valoracion (3) Dimension 2'!H2</f>
        <v>Desarrollo de competencias</v>
      </c>
      <c r="BX3" s="36"/>
      <c r="BZ3" s="37"/>
      <c r="CC3" s="28" t="str">
        <f>'Por Valoracion (3) Dimension 2'!B2</f>
        <v>Nivel de planificación de la enseñanza</v>
      </c>
      <c r="CD3" s="28" t="str">
        <f>'Por Valoracion (3) Dimension'!H2</f>
        <v>Clima institucional</v>
      </c>
      <c r="CY3" s="37"/>
      <c r="DB3" s="28" t="str">
        <f>'Por Valoracion (3) Dimension 2'!D2</f>
        <v>Nivel de la competencia comunicativa</v>
      </c>
      <c r="DC3" s="28" t="str">
        <f>'Por Valoracion (3) Dimension'!H2</f>
        <v>Clima institucional</v>
      </c>
      <c r="DX3" s="37"/>
      <c r="EA3" s="28" t="str">
        <f>'Por Valoracion (3) Dimension 2'!F2</f>
        <v>Diseño de metodología</v>
      </c>
      <c r="EB3" s="28" t="str">
        <f>'Por Valoracion (3) Dimension'!H2</f>
        <v>Clima institucional</v>
      </c>
      <c r="EW3" s="37"/>
    </row>
    <row r="4" spans="1:153" x14ac:dyDescent="0.25">
      <c r="A4" s="36"/>
      <c r="C4" s="53" t="str">
        <f>('Clima institucional'!A5)</f>
        <v>Docentes 1</v>
      </c>
      <c r="D4" s="27">
        <f>'Por Valoracion (3) Dimension'!B4</f>
        <v>9</v>
      </c>
      <c r="E4" s="27">
        <f>'Por Valoracion (3) Dimension 2'!H4</f>
        <v>29</v>
      </c>
      <c r="G4" s="3" t="s">
        <v>68</v>
      </c>
      <c r="Z4" s="36"/>
      <c r="AB4" s="53" t="str">
        <f>('Clima institucional'!A5)</f>
        <v>Docentes 1</v>
      </c>
      <c r="AC4" s="27">
        <f>'Por Valoracion (3) Dimension'!D4</f>
        <v>15</v>
      </c>
      <c r="AD4" s="27">
        <f>'Por Valoracion (3) Dimension 2'!H4</f>
        <v>29</v>
      </c>
      <c r="AF4" s="3" t="s">
        <v>69</v>
      </c>
      <c r="AY4" s="36"/>
      <c r="BA4" s="53" t="str">
        <f>('Clima institucional'!A5)</f>
        <v>Docentes 1</v>
      </c>
      <c r="BB4" s="27">
        <f>'Por Valoracion (3) Dimension'!F4</f>
        <v>13</v>
      </c>
      <c r="BC4" s="27">
        <f>'Por Valoracion (3) Dimension 2'!H4</f>
        <v>29</v>
      </c>
      <c r="BE4" s="3" t="s">
        <v>70</v>
      </c>
      <c r="BX4" s="36"/>
      <c r="BZ4" s="37"/>
      <c r="CB4" s="53" t="str">
        <f>('Clima institucional'!A5)</f>
        <v>Docentes 1</v>
      </c>
      <c r="CC4" s="27">
        <f>'Por Valoracion (3) Dimension 2'!B4</f>
        <v>9</v>
      </c>
      <c r="CD4" s="27">
        <f>'Por Valoracion (3) Dimension'!H4</f>
        <v>37</v>
      </c>
      <c r="CF4" s="3" t="s">
        <v>71</v>
      </c>
      <c r="CY4" s="37"/>
      <c r="DA4" s="53" t="str">
        <f>('Clima institucional'!A5)</f>
        <v>Docentes 1</v>
      </c>
      <c r="DB4" s="27">
        <f>'Por Valoracion (3) Dimension 2'!D4</f>
        <v>10</v>
      </c>
      <c r="DC4" s="27">
        <f>'Por Valoracion (3) Dimension'!H4</f>
        <v>37</v>
      </c>
      <c r="DE4" s="3" t="s">
        <v>136</v>
      </c>
      <c r="DX4" s="37"/>
      <c r="DZ4" s="53" t="str">
        <f>('Clima institucional'!A5)</f>
        <v>Docentes 1</v>
      </c>
      <c r="EA4" s="27">
        <f>'Por Valoracion (3) Dimension 2'!F4</f>
        <v>10</v>
      </c>
      <c r="EB4" s="27">
        <f>'Por Valoracion (3) Dimension'!H4</f>
        <v>37</v>
      </c>
      <c r="ED4" s="3" t="s">
        <v>137</v>
      </c>
      <c r="EW4" s="37"/>
    </row>
    <row r="5" spans="1:153" x14ac:dyDescent="0.25">
      <c r="A5" s="36"/>
      <c r="C5" s="53" t="str">
        <f>('Clima institucional'!A6)</f>
        <v>Docentes 2</v>
      </c>
      <c r="D5" s="27">
        <f>'Por Valoracion (3) Dimension'!B5</f>
        <v>8</v>
      </c>
      <c r="E5" s="27">
        <f>'Por Valoracion (3) Dimension 2'!H5</f>
        <v>13</v>
      </c>
      <c r="G5" s="57" t="s">
        <v>178</v>
      </c>
      <c r="H5" s="58"/>
      <c r="I5" s="58"/>
      <c r="J5" s="58"/>
      <c r="K5" s="58"/>
      <c r="L5" s="58"/>
      <c r="M5" s="58"/>
      <c r="Z5" s="36"/>
      <c r="AB5" s="53" t="str">
        <f>('Clima institucional'!A6)</f>
        <v>Docentes 2</v>
      </c>
      <c r="AC5" s="27">
        <f>'Por Valoracion (3) Dimension'!D5</f>
        <v>11</v>
      </c>
      <c r="AD5" s="27">
        <f>'Por Valoracion (3) Dimension 2'!H5</f>
        <v>13</v>
      </c>
      <c r="AF5" s="57" t="s">
        <v>178</v>
      </c>
      <c r="AG5" s="58"/>
      <c r="AH5" s="58"/>
      <c r="AI5" s="58"/>
      <c r="AJ5" s="58"/>
      <c r="AK5" s="58"/>
      <c r="AL5" s="58"/>
      <c r="AY5" s="36"/>
      <c r="BA5" s="53" t="str">
        <f>('Clima institucional'!A6)</f>
        <v>Docentes 2</v>
      </c>
      <c r="BB5" s="27">
        <f>'Por Valoracion (3) Dimension'!F5</f>
        <v>13</v>
      </c>
      <c r="BC5" s="27">
        <f>'Por Valoracion (3) Dimension 2'!H5</f>
        <v>13</v>
      </c>
      <c r="BE5" s="57" t="s">
        <v>178</v>
      </c>
      <c r="BF5" s="58"/>
      <c r="BG5" s="58"/>
      <c r="BH5" s="58"/>
      <c r="BI5" s="58"/>
      <c r="BJ5" s="58"/>
      <c r="BK5" s="58"/>
      <c r="BX5" s="36"/>
      <c r="BZ5" s="37"/>
      <c r="CB5" s="53" t="str">
        <f>('Clima institucional'!A6)</f>
        <v>Docentes 2</v>
      </c>
      <c r="CC5" s="27">
        <f>'Por Valoracion (3) Dimension 2'!B5</f>
        <v>4</v>
      </c>
      <c r="CD5" s="27">
        <f>'Por Valoracion (3) Dimension'!H5</f>
        <v>32</v>
      </c>
      <c r="CF5" s="57" t="s">
        <v>178</v>
      </c>
      <c r="CG5" s="58"/>
      <c r="CH5" s="58"/>
      <c r="CI5" s="58"/>
      <c r="CJ5" s="58"/>
      <c r="CK5" s="58"/>
      <c r="CL5" s="58"/>
      <c r="CY5" s="37"/>
      <c r="DA5" s="53" t="str">
        <f>('Clima institucional'!A6)</f>
        <v>Docentes 2</v>
      </c>
      <c r="DB5" s="27">
        <f>'Por Valoracion (3) Dimension 2'!D5</f>
        <v>5</v>
      </c>
      <c r="DC5" s="27">
        <f>'Por Valoracion (3) Dimension'!H5</f>
        <v>32</v>
      </c>
      <c r="DE5" s="57" t="s">
        <v>178</v>
      </c>
      <c r="DF5" s="58"/>
      <c r="DG5" s="58"/>
      <c r="DH5" s="58"/>
      <c r="DI5" s="58"/>
      <c r="DJ5" s="58"/>
      <c r="DK5" s="58"/>
      <c r="DX5" s="37"/>
      <c r="DZ5" s="53" t="str">
        <f>('Clima institucional'!A6)</f>
        <v>Docentes 2</v>
      </c>
      <c r="EA5" s="27">
        <f>'Por Valoracion (3) Dimension 2'!F5</f>
        <v>4</v>
      </c>
      <c r="EB5" s="27">
        <f>'Por Valoracion (3) Dimension'!H5</f>
        <v>32</v>
      </c>
      <c r="ED5" s="57" t="s">
        <v>178</v>
      </c>
      <c r="EE5" s="58"/>
      <c r="EF5" s="58"/>
      <c r="EG5" s="58"/>
      <c r="EH5" s="58"/>
      <c r="EI5" s="58"/>
      <c r="EJ5" s="58"/>
      <c r="EW5" s="37"/>
    </row>
    <row r="6" spans="1:153" x14ac:dyDescent="0.25">
      <c r="A6" s="36"/>
      <c r="C6" s="53" t="str">
        <f>('Clima institucional'!A7)</f>
        <v>Docentes 3</v>
      </c>
      <c r="D6" s="27">
        <f>'Por Valoracion (3) Dimension'!B6</f>
        <v>8</v>
      </c>
      <c r="E6" s="27">
        <f>'Por Valoracion (3) Dimension 2'!H6</f>
        <v>21</v>
      </c>
      <c r="G6" s="53"/>
      <c r="H6" s="59" t="s">
        <v>179</v>
      </c>
      <c r="I6" s="53"/>
      <c r="J6" s="53"/>
      <c r="K6" s="59" t="s">
        <v>180</v>
      </c>
      <c r="L6" s="53"/>
      <c r="M6" s="53"/>
      <c r="Z6" s="36"/>
      <c r="AB6" s="53" t="str">
        <f>('Clima institucional'!A7)</f>
        <v>Docentes 3</v>
      </c>
      <c r="AC6" s="27">
        <f>'Por Valoracion (3) Dimension'!D6</f>
        <v>11</v>
      </c>
      <c r="AD6" s="27">
        <f>'Por Valoracion (3) Dimension 2'!H6</f>
        <v>21</v>
      </c>
      <c r="AF6" s="53"/>
      <c r="AG6" s="59" t="s">
        <v>179</v>
      </c>
      <c r="AH6" s="53"/>
      <c r="AI6" s="53"/>
      <c r="AJ6" s="59" t="s">
        <v>180</v>
      </c>
      <c r="AK6" s="53"/>
      <c r="AL6" s="53"/>
      <c r="AY6" s="36"/>
      <c r="BA6" s="53" t="str">
        <f>('Clima institucional'!A7)</f>
        <v>Docentes 3</v>
      </c>
      <c r="BB6" s="27">
        <f>'Por Valoracion (3) Dimension'!F6</f>
        <v>10</v>
      </c>
      <c r="BC6" s="27">
        <f>'Por Valoracion (3) Dimension 2'!H6</f>
        <v>21</v>
      </c>
      <c r="BE6" s="53"/>
      <c r="BF6" s="59" t="s">
        <v>179</v>
      </c>
      <c r="BG6" s="53"/>
      <c r="BH6" s="53"/>
      <c r="BI6" s="59" t="s">
        <v>180</v>
      </c>
      <c r="BJ6" s="53"/>
      <c r="BK6" s="53"/>
      <c r="BX6" s="36"/>
      <c r="BZ6" s="37"/>
      <c r="CB6" s="53" t="str">
        <f>('Clima institucional'!A7)</f>
        <v>Docentes 3</v>
      </c>
      <c r="CC6" s="27">
        <f>'Por Valoracion (3) Dimension 2'!B6</f>
        <v>8</v>
      </c>
      <c r="CD6" s="27">
        <f>'Por Valoracion (3) Dimension'!H6</f>
        <v>29</v>
      </c>
      <c r="CF6" s="53"/>
      <c r="CG6" s="59" t="s">
        <v>179</v>
      </c>
      <c r="CH6" s="53"/>
      <c r="CI6" s="53"/>
      <c r="CJ6" s="59" t="s">
        <v>180</v>
      </c>
      <c r="CK6" s="53"/>
      <c r="CL6" s="53"/>
      <c r="CY6" s="37"/>
      <c r="DA6" s="53" t="str">
        <f>('Clima institucional'!A7)</f>
        <v>Docentes 3</v>
      </c>
      <c r="DB6" s="27">
        <f>'Por Valoracion (3) Dimension 2'!D6</f>
        <v>7</v>
      </c>
      <c r="DC6" s="27">
        <f>'Por Valoracion (3) Dimension'!H6</f>
        <v>29</v>
      </c>
      <c r="DE6" s="53"/>
      <c r="DF6" s="59" t="s">
        <v>179</v>
      </c>
      <c r="DG6" s="53"/>
      <c r="DH6" s="53"/>
      <c r="DI6" s="59" t="s">
        <v>180</v>
      </c>
      <c r="DJ6" s="53"/>
      <c r="DK6" s="53"/>
      <c r="DX6" s="37"/>
      <c r="DZ6" s="53" t="str">
        <f>('Clima institucional'!A7)</f>
        <v>Docentes 3</v>
      </c>
      <c r="EA6" s="27">
        <f>'Por Valoracion (3) Dimension 2'!F6</f>
        <v>6</v>
      </c>
      <c r="EB6" s="27">
        <f>'Por Valoracion (3) Dimension'!H6</f>
        <v>29</v>
      </c>
      <c r="ED6" s="53"/>
      <c r="EE6" s="59" t="s">
        <v>179</v>
      </c>
      <c r="EF6" s="53"/>
      <c r="EG6" s="53"/>
      <c r="EH6" s="59" t="s">
        <v>180</v>
      </c>
      <c r="EI6" s="53"/>
      <c r="EJ6" s="53"/>
      <c r="EW6" s="37"/>
    </row>
    <row r="7" spans="1:153" x14ac:dyDescent="0.25">
      <c r="A7" s="36"/>
      <c r="C7" s="53" t="str">
        <f>('Clima institucional'!A8)</f>
        <v>Docentes 4</v>
      </c>
      <c r="D7" s="27">
        <f>'Por Valoracion (3) Dimension'!B7</f>
        <v>5</v>
      </c>
      <c r="E7" s="27">
        <f>'Por Valoracion (3) Dimension 2'!H7</f>
        <v>17</v>
      </c>
      <c r="G7" s="58"/>
      <c r="H7" s="31" t="s">
        <v>181</v>
      </c>
      <c r="I7" s="31" t="s">
        <v>182</v>
      </c>
      <c r="J7" s="31" t="s">
        <v>183</v>
      </c>
      <c r="K7" s="31" t="s">
        <v>181</v>
      </c>
      <c r="L7" s="33" t="s">
        <v>182</v>
      </c>
      <c r="M7" s="31" t="s">
        <v>183</v>
      </c>
      <c r="Z7" s="36"/>
      <c r="AB7" s="53" t="str">
        <f>('Clima institucional'!A8)</f>
        <v>Docentes 4</v>
      </c>
      <c r="AC7" s="27">
        <f>'Por Valoracion (3) Dimension'!D7</f>
        <v>5</v>
      </c>
      <c r="AD7" s="27">
        <f>'Por Valoracion (3) Dimension 2'!H7</f>
        <v>17</v>
      </c>
      <c r="AF7" s="58"/>
      <c r="AG7" s="31" t="s">
        <v>181</v>
      </c>
      <c r="AH7" s="31" t="s">
        <v>182</v>
      </c>
      <c r="AI7" s="31" t="s">
        <v>183</v>
      </c>
      <c r="AJ7" s="31" t="s">
        <v>181</v>
      </c>
      <c r="AK7" s="33" t="s">
        <v>182</v>
      </c>
      <c r="AL7" s="31" t="s">
        <v>183</v>
      </c>
      <c r="AY7" s="36"/>
      <c r="BA7" s="53" t="str">
        <f>('Clima institucional'!A8)</f>
        <v>Docentes 4</v>
      </c>
      <c r="BB7" s="27">
        <f>'Por Valoracion (3) Dimension'!F7</f>
        <v>4</v>
      </c>
      <c r="BC7" s="27">
        <f>'Por Valoracion (3) Dimension 2'!H7</f>
        <v>17</v>
      </c>
      <c r="BE7" s="58"/>
      <c r="BF7" s="31" t="s">
        <v>181</v>
      </c>
      <c r="BG7" s="31" t="s">
        <v>182</v>
      </c>
      <c r="BH7" s="31" t="s">
        <v>183</v>
      </c>
      <c r="BI7" s="31" t="s">
        <v>181</v>
      </c>
      <c r="BJ7" s="33" t="s">
        <v>182</v>
      </c>
      <c r="BK7" s="31" t="s">
        <v>183</v>
      </c>
      <c r="BX7" s="36"/>
      <c r="BZ7" s="37"/>
      <c r="CB7" s="53" t="str">
        <f>('Clima institucional'!A8)</f>
        <v>Docentes 4</v>
      </c>
      <c r="CC7" s="27">
        <f>'Por Valoracion (3) Dimension 2'!B7</f>
        <v>5</v>
      </c>
      <c r="CD7" s="27">
        <f>'Por Valoracion (3) Dimension'!H7</f>
        <v>14</v>
      </c>
      <c r="CF7" s="58"/>
      <c r="CG7" s="31" t="s">
        <v>181</v>
      </c>
      <c r="CH7" s="31" t="s">
        <v>182</v>
      </c>
      <c r="CI7" s="31" t="s">
        <v>183</v>
      </c>
      <c r="CJ7" s="31" t="s">
        <v>181</v>
      </c>
      <c r="CK7" s="33" t="s">
        <v>182</v>
      </c>
      <c r="CL7" s="31" t="s">
        <v>183</v>
      </c>
      <c r="CY7" s="37"/>
      <c r="DA7" s="53" t="str">
        <f>('Clima institucional'!A8)</f>
        <v>Docentes 4</v>
      </c>
      <c r="DB7" s="27">
        <f>'Por Valoracion (3) Dimension 2'!D7</f>
        <v>6</v>
      </c>
      <c r="DC7" s="27">
        <f>'Por Valoracion (3) Dimension'!H7</f>
        <v>14</v>
      </c>
      <c r="DE7" s="58"/>
      <c r="DF7" s="31" t="s">
        <v>181</v>
      </c>
      <c r="DG7" s="31" t="s">
        <v>182</v>
      </c>
      <c r="DH7" s="31" t="s">
        <v>183</v>
      </c>
      <c r="DI7" s="31" t="s">
        <v>181</v>
      </c>
      <c r="DJ7" s="33" t="s">
        <v>182</v>
      </c>
      <c r="DK7" s="31" t="s">
        <v>183</v>
      </c>
      <c r="DX7" s="37"/>
      <c r="DZ7" s="53" t="str">
        <f>('Clima institucional'!A8)</f>
        <v>Docentes 4</v>
      </c>
      <c r="EA7" s="27">
        <f>'Por Valoracion (3) Dimension 2'!F7</f>
        <v>6</v>
      </c>
      <c r="EB7" s="27">
        <f>'Por Valoracion (3) Dimension'!H7</f>
        <v>14</v>
      </c>
      <c r="ED7" s="58"/>
      <c r="EE7" s="31" t="s">
        <v>181</v>
      </c>
      <c r="EF7" s="31" t="s">
        <v>182</v>
      </c>
      <c r="EG7" s="31" t="s">
        <v>183</v>
      </c>
      <c r="EH7" s="31" t="s">
        <v>181</v>
      </c>
      <c r="EI7" s="33" t="s">
        <v>182</v>
      </c>
      <c r="EJ7" s="31" t="s">
        <v>183</v>
      </c>
      <c r="EW7" s="37"/>
    </row>
    <row r="8" spans="1:153" x14ac:dyDescent="0.25">
      <c r="A8" s="36"/>
      <c r="C8" s="53" t="str">
        <f>('Clima institucional'!A9)</f>
        <v>Docentes 5</v>
      </c>
      <c r="D8" s="27">
        <f>'Por Valoracion (3) Dimension'!B8</f>
        <v>5</v>
      </c>
      <c r="E8" s="27">
        <f>'Por Valoracion (3) Dimension 2'!H8</f>
        <v>17</v>
      </c>
      <c r="G8" s="29" t="str">
        <f>D3</f>
        <v>Estructuración Organizacional</v>
      </c>
      <c r="H8" s="32"/>
      <c r="I8" s="32"/>
      <c r="J8" s="32"/>
      <c r="K8" s="32"/>
      <c r="L8" s="32"/>
      <c r="M8" s="32"/>
      <c r="Z8" s="36"/>
      <c r="AB8" s="53" t="str">
        <f>('Clima institucional'!A9)</f>
        <v>Docentes 5</v>
      </c>
      <c r="AC8" s="27">
        <f>'Por Valoracion (3) Dimension'!D8</f>
        <v>6</v>
      </c>
      <c r="AD8" s="27">
        <f>'Por Valoracion (3) Dimension 2'!H8</f>
        <v>17</v>
      </c>
      <c r="AF8" s="29" t="str">
        <f>AC3</f>
        <v>Relaciones Interpersonales</v>
      </c>
      <c r="AG8" s="32"/>
      <c r="AH8" s="32"/>
      <c r="AI8" s="32"/>
      <c r="AJ8" s="32"/>
      <c r="AK8" s="32"/>
      <c r="AL8" s="32"/>
      <c r="AY8" s="36"/>
      <c r="BA8" s="53" t="str">
        <f>('Clima institucional'!A9)</f>
        <v>Docentes 5</v>
      </c>
      <c r="BB8" s="27">
        <f>'Por Valoracion (3) Dimension'!F8</f>
        <v>4</v>
      </c>
      <c r="BC8" s="27">
        <f>'Por Valoracion (3) Dimension 2'!H8</f>
        <v>17</v>
      </c>
      <c r="BE8" s="29" t="str">
        <f>BB3</f>
        <v>Identidad Institucional</v>
      </c>
      <c r="BF8" s="32"/>
      <c r="BG8" s="32"/>
      <c r="BH8" s="32"/>
      <c r="BI8" s="32"/>
      <c r="BJ8" s="32"/>
      <c r="BK8" s="32"/>
      <c r="BX8" s="36"/>
      <c r="BZ8" s="37"/>
      <c r="CB8" s="53" t="str">
        <f>('Clima institucional'!A9)</f>
        <v>Docentes 5</v>
      </c>
      <c r="CC8" s="27">
        <f>'Por Valoracion (3) Dimension 2'!B8</f>
        <v>5</v>
      </c>
      <c r="CD8" s="27">
        <f>'Por Valoracion (3) Dimension'!H8</f>
        <v>15</v>
      </c>
      <c r="CF8" s="29" t="str">
        <f>CC3</f>
        <v>Nivel de planificación de la enseñanza</v>
      </c>
      <c r="CG8" s="32"/>
      <c r="CH8" s="32"/>
      <c r="CI8" s="32"/>
      <c r="CJ8" s="32"/>
      <c r="CK8" s="32"/>
      <c r="CL8" s="32"/>
      <c r="CY8" s="37"/>
      <c r="DA8" s="53" t="str">
        <f>('Clima institucional'!A9)</f>
        <v>Docentes 5</v>
      </c>
      <c r="DB8" s="27">
        <f>'Por Valoracion (3) Dimension 2'!D8</f>
        <v>6</v>
      </c>
      <c r="DC8" s="27">
        <f>'Por Valoracion (3) Dimension'!H8</f>
        <v>15</v>
      </c>
      <c r="DE8" s="29" t="str">
        <f>DB3</f>
        <v>Nivel de la competencia comunicativa</v>
      </c>
      <c r="DF8" s="32"/>
      <c r="DG8" s="32"/>
      <c r="DH8" s="32"/>
      <c r="DI8" s="32"/>
      <c r="DJ8" s="32"/>
      <c r="DK8" s="32"/>
      <c r="DX8" s="37"/>
      <c r="DZ8" s="53" t="str">
        <f>('Clima institucional'!A9)</f>
        <v>Docentes 5</v>
      </c>
      <c r="EA8" s="27">
        <f>'Por Valoracion (3) Dimension 2'!F8</f>
        <v>6</v>
      </c>
      <c r="EB8" s="27">
        <f>'Por Valoracion (3) Dimension'!H8</f>
        <v>15</v>
      </c>
      <c r="ED8" s="29" t="str">
        <f>EA3</f>
        <v>Diseño de metodología</v>
      </c>
      <c r="EE8" s="32"/>
      <c r="EF8" s="32"/>
      <c r="EG8" s="32"/>
      <c r="EH8" s="32"/>
      <c r="EI8" s="32"/>
      <c r="EJ8" s="32"/>
      <c r="EW8" s="37"/>
    </row>
    <row r="9" spans="1:153" x14ac:dyDescent="0.25">
      <c r="A9" s="36"/>
      <c r="C9" s="53" t="str">
        <f>('Clima institucional'!A10)</f>
        <v>Docentes 6</v>
      </c>
      <c r="D9" s="27">
        <f>'Por Valoracion (3) Dimension'!B9</f>
        <v>7</v>
      </c>
      <c r="E9" s="27">
        <f>'Por Valoracion (3) Dimension 2'!H9</f>
        <v>12</v>
      </c>
      <c r="G9" s="30" t="str">
        <f>E3</f>
        <v>Desarrollo de competencias</v>
      </c>
      <c r="H9" s="5"/>
      <c r="I9" s="5"/>
      <c r="J9" s="5"/>
      <c r="K9" s="5"/>
      <c r="L9" s="5"/>
      <c r="M9" s="5"/>
      <c r="Z9" s="36"/>
      <c r="AB9" s="53" t="str">
        <f>('Clima institucional'!A10)</f>
        <v>Docentes 6</v>
      </c>
      <c r="AC9" s="27">
        <f>'Por Valoracion (3) Dimension'!D9</f>
        <v>7</v>
      </c>
      <c r="AD9" s="27">
        <f>'Por Valoracion (3) Dimension 2'!H9</f>
        <v>12</v>
      </c>
      <c r="AF9" s="30" t="str">
        <f>AD3</f>
        <v>Desarrollo de competencias</v>
      </c>
      <c r="AG9" s="5">
        <f t="shared" ref="AG9:AL9" si="0">H9</f>
        <v>0</v>
      </c>
      <c r="AH9" s="5">
        <f t="shared" si="0"/>
        <v>0</v>
      </c>
      <c r="AI9" s="5">
        <f t="shared" si="0"/>
        <v>0</v>
      </c>
      <c r="AJ9" s="5">
        <f t="shared" si="0"/>
        <v>0</v>
      </c>
      <c r="AK9" s="5">
        <f t="shared" si="0"/>
        <v>0</v>
      </c>
      <c r="AL9" s="5">
        <f t="shared" si="0"/>
        <v>0</v>
      </c>
      <c r="AY9" s="36"/>
      <c r="BA9" s="53" t="str">
        <f>('Clima institucional'!A10)</f>
        <v>Docentes 6</v>
      </c>
      <c r="BB9" s="27">
        <f>'Por Valoracion (3) Dimension'!F9</f>
        <v>8</v>
      </c>
      <c r="BC9" s="27">
        <f>'Por Valoracion (3) Dimension 2'!H9</f>
        <v>12</v>
      </c>
      <c r="BE9" s="30" t="str">
        <f>BC3</f>
        <v>Desarrollo de competencias</v>
      </c>
      <c r="BF9" s="5">
        <f t="shared" ref="BF9:BK9" si="1">H9</f>
        <v>0</v>
      </c>
      <c r="BG9" s="5">
        <f t="shared" si="1"/>
        <v>0</v>
      </c>
      <c r="BH9" s="5">
        <f t="shared" si="1"/>
        <v>0</v>
      </c>
      <c r="BI9" s="5">
        <f t="shared" si="1"/>
        <v>0</v>
      </c>
      <c r="BJ9" s="5">
        <f t="shared" si="1"/>
        <v>0</v>
      </c>
      <c r="BK9" s="5">
        <f t="shared" si="1"/>
        <v>0</v>
      </c>
      <c r="BX9" s="36"/>
      <c r="BZ9" s="37"/>
      <c r="CB9" s="53" t="str">
        <f>('Clima institucional'!A10)</f>
        <v>Docentes 6</v>
      </c>
      <c r="CC9" s="27">
        <f>'Por Valoracion (3) Dimension 2'!B9</f>
        <v>4</v>
      </c>
      <c r="CD9" s="27">
        <f>'Por Valoracion (3) Dimension'!H9</f>
        <v>22</v>
      </c>
      <c r="CF9" s="30" t="str">
        <f>CD3</f>
        <v>Clima institucional</v>
      </c>
      <c r="CG9" s="31"/>
      <c r="CH9" s="33"/>
      <c r="CI9" s="31"/>
      <c r="CJ9" s="31"/>
      <c r="CK9" s="31"/>
      <c r="CL9" s="33"/>
      <c r="CY9" s="37"/>
      <c r="DA9" s="53" t="str">
        <f>('Clima institucional'!A10)</f>
        <v>Docentes 6</v>
      </c>
      <c r="DB9" s="27">
        <f>'Por Valoracion (3) Dimension 2'!D9</f>
        <v>4</v>
      </c>
      <c r="DC9" s="27">
        <f>'Por Valoracion (3) Dimension'!H9</f>
        <v>22</v>
      </c>
      <c r="DE9" s="30" t="str">
        <f>DC3</f>
        <v>Clima institucional</v>
      </c>
      <c r="DF9" s="31">
        <f t="shared" ref="DF9:DK9" si="2">CG9</f>
        <v>0</v>
      </c>
      <c r="DG9" s="33">
        <f t="shared" si="2"/>
        <v>0</v>
      </c>
      <c r="DH9" s="31">
        <f t="shared" si="2"/>
        <v>0</v>
      </c>
      <c r="DI9" s="31">
        <f t="shared" si="2"/>
        <v>0</v>
      </c>
      <c r="DJ9" s="31">
        <f t="shared" si="2"/>
        <v>0</v>
      </c>
      <c r="DK9" s="33">
        <f t="shared" si="2"/>
        <v>0</v>
      </c>
      <c r="DX9" s="37"/>
      <c r="DZ9" s="53" t="str">
        <f>('Clima institucional'!A10)</f>
        <v>Docentes 6</v>
      </c>
      <c r="EA9" s="27">
        <f>'Por Valoracion (3) Dimension 2'!F9</f>
        <v>4</v>
      </c>
      <c r="EB9" s="27">
        <f>'Por Valoracion (3) Dimension'!H9</f>
        <v>22</v>
      </c>
      <c r="ED9" s="30" t="str">
        <f>EB3</f>
        <v>Clima institucional</v>
      </c>
      <c r="EE9" s="31">
        <f t="shared" ref="EE9:EJ9" si="3">CG9</f>
        <v>0</v>
      </c>
      <c r="EF9" s="33">
        <f t="shared" si="3"/>
        <v>0</v>
      </c>
      <c r="EG9" s="31">
        <f t="shared" si="3"/>
        <v>0</v>
      </c>
      <c r="EH9" s="31">
        <f t="shared" si="3"/>
        <v>0</v>
      </c>
      <c r="EI9" s="31">
        <f t="shared" si="3"/>
        <v>0</v>
      </c>
      <c r="EJ9" s="33">
        <f t="shared" si="3"/>
        <v>0</v>
      </c>
      <c r="EW9" s="37"/>
    </row>
    <row r="10" spans="1:153" x14ac:dyDescent="0.25">
      <c r="A10" s="36"/>
      <c r="C10" s="53" t="str">
        <f>('Clima institucional'!A11)</f>
        <v>Docentes 7</v>
      </c>
      <c r="D10" s="27">
        <f>'Por Valoracion (3) Dimension'!B10</f>
        <v>7</v>
      </c>
      <c r="E10" s="27">
        <f>'Por Valoracion (3) Dimension 2'!H10</f>
        <v>18</v>
      </c>
      <c r="G10" s="59" t="s">
        <v>184</v>
      </c>
      <c r="H10" s="53"/>
      <c r="I10" s="53"/>
      <c r="J10" s="53"/>
      <c r="K10" s="53"/>
      <c r="L10" s="53"/>
      <c r="M10" s="53"/>
      <c r="O10" s="3" t="s">
        <v>68</v>
      </c>
      <c r="T10" s="3" t="s">
        <v>68</v>
      </c>
      <c r="Z10" s="36"/>
      <c r="AB10" s="53" t="str">
        <f>('Clima institucional'!A11)</f>
        <v>Docentes 7</v>
      </c>
      <c r="AC10" s="27">
        <f>'Por Valoracion (3) Dimension'!D10</f>
        <v>5</v>
      </c>
      <c r="AD10" s="27">
        <f>'Por Valoracion (3) Dimension 2'!H10</f>
        <v>18</v>
      </c>
      <c r="AF10" s="59" t="s">
        <v>184</v>
      </c>
      <c r="AG10" s="53"/>
      <c r="AH10" s="53"/>
      <c r="AI10" s="53"/>
      <c r="AJ10" s="53"/>
      <c r="AK10" s="53"/>
      <c r="AL10" s="53"/>
      <c r="AN10" s="3" t="s">
        <v>69</v>
      </c>
      <c r="AS10" s="3" t="s">
        <v>69</v>
      </c>
      <c r="AY10" s="36"/>
      <c r="BA10" s="53" t="str">
        <f>('Clima institucional'!A11)</f>
        <v>Docentes 7</v>
      </c>
      <c r="BB10" s="27">
        <f>'Por Valoracion (3) Dimension'!F10</f>
        <v>4</v>
      </c>
      <c r="BC10" s="27">
        <f>'Por Valoracion (3) Dimension 2'!H10</f>
        <v>18</v>
      </c>
      <c r="BE10" s="59" t="s">
        <v>184</v>
      </c>
      <c r="BF10" s="53"/>
      <c r="BG10" s="53"/>
      <c r="BH10" s="53"/>
      <c r="BI10" s="53"/>
      <c r="BJ10" s="53"/>
      <c r="BK10" s="53"/>
      <c r="BM10" s="3" t="s">
        <v>70</v>
      </c>
      <c r="BR10" s="3" t="s">
        <v>70</v>
      </c>
      <c r="BX10" s="36"/>
      <c r="BZ10" s="37"/>
      <c r="CB10" s="53" t="str">
        <f>('Clima institucional'!A11)</f>
        <v>Docentes 7</v>
      </c>
      <c r="CC10" s="27">
        <f>'Por Valoracion (3) Dimension 2'!B10</f>
        <v>5</v>
      </c>
      <c r="CD10" s="27">
        <f>'Por Valoracion (3) Dimension'!H10</f>
        <v>16</v>
      </c>
      <c r="CF10" s="59" t="s">
        <v>184</v>
      </c>
      <c r="CG10" s="53"/>
      <c r="CH10" s="53"/>
      <c r="CI10" s="53"/>
      <c r="CJ10" s="53"/>
      <c r="CK10" s="53"/>
      <c r="CL10" s="53"/>
      <c r="CN10" s="3" t="s">
        <v>71</v>
      </c>
      <c r="CS10" s="3" t="s">
        <v>71</v>
      </c>
      <c r="CY10" s="37"/>
      <c r="DA10" s="53" t="str">
        <f>('Clima institucional'!A11)</f>
        <v>Docentes 7</v>
      </c>
      <c r="DB10" s="27">
        <f>'Por Valoracion (3) Dimension 2'!D10</f>
        <v>6</v>
      </c>
      <c r="DC10" s="27">
        <f>'Por Valoracion (3) Dimension'!H10</f>
        <v>16</v>
      </c>
      <c r="DE10" s="59" t="s">
        <v>184</v>
      </c>
      <c r="DF10" s="53"/>
      <c r="DG10" s="53"/>
      <c r="DH10" s="53"/>
      <c r="DI10" s="53"/>
      <c r="DJ10" s="53"/>
      <c r="DK10" s="53"/>
      <c r="DM10" s="3" t="s">
        <v>136</v>
      </c>
      <c r="DR10" s="3" t="s">
        <v>136</v>
      </c>
      <c r="DX10" s="37"/>
      <c r="DZ10" s="53" t="str">
        <f>('Clima institucional'!A11)</f>
        <v>Docentes 7</v>
      </c>
      <c r="EA10" s="27">
        <f>'Por Valoracion (3) Dimension 2'!F10</f>
        <v>7</v>
      </c>
      <c r="EB10" s="27">
        <f>'Por Valoracion (3) Dimension'!H10</f>
        <v>16</v>
      </c>
      <c r="ED10" s="59" t="s">
        <v>184</v>
      </c>
      <c r="EE10" s="53"/>
      <c r="EF10" s="53"/>
      <c r="EG10" s="53"/>
      <c r="EH10" s="53"/>
      <c r="EI10" s="53"/>
      <c r="EJ10" s="53"/>
      <c r="EL10" s="3" t="s">
        <v>137</v>
      </c>
      <c r="EQ10" s="3" t="s">
        <v>137</v>
      </c>
      <c r="EW10" s="37"/>
    </row>
    <row r="11" spans="1:153" x14ac:dyDescent="0.25">
      <c r="A11" s="36"/>
      <c r="C11" s="53" t="str">
        <f>('Clima institucional'!A12)</f>
        <v>Docentes 8</v>
      </c>
      <c r="D11" s="27">
        <f>'Por Valoracion (3) Dimension'!B11</f>
        <v>13</v>
      </c>
      <c r="E11" s="27">
        <f>'Por Valoracion (3) Dimension 2'!H11</f>
        <v>55</v>
      </c>
      <c r="O11" s="57" t="s">
        <v>185</v>
      </c>
      <c r="P11" s="58"/>
      <c r="Q11" s="58"/>
      <c r="R11" s="58"/>
      <c r="T11" s="57" t="s">
        <v>185</v>
      </c>
      <c r="U11" s="58"/>
      <c r="V11" s="58"/>
      <c r="W11" s="58"/>
      <c r="X11" s="58"/>
      <c r="Z11" s="36"/>
      <c r="AB11" s="53" t="str">
        <f>('Clima institucional'!A12)</f>
        <v>Docentes 8</v>
      </c>
      <c r="AC11" s="27">
        <f>'Por Valoracion (3) Dimension'!D11</f>
        <v>16</v>
      </c>
      <c r="AD11" s="27">
        <f>'Por Valoracion (3) Dimension 2'!H11</f>
        <v>55</v>
      </c>
      <c r="AN11" s="57" t="s">
        <v>185</v>
      </c>
      <c r="AO11" s="58"/>
      <c r="AP11" s="58"/>
      <c r="AQ11" s="58"/>
      <c r="AS11" s="57" t="s">
        <v>185</v>
      </c>
      <c r="AT11" s="58"/>
      <c r="AU11" s="58"/>
      <c r="AV11" s="58"/>
      <c r="AW11" s="58"/>
      <c r="AY11" s="36"/>
      <c r="BA11" s="53" t="str">
        <f>('Clima institucional'!A12)</f>
        <v>Docentes 8</v>
      </c>
      <c r="BB11" s="27">
        <f>'Por Valoracion (3) Dimension'!F11</f>
        <v>19</v>
      </c>
      <c r="BC11" s="27">
        <f>'Por Valoracion (3) Dimension 2'!H11</f>
        <v>55</v>
      </c>
      <c r="BM11" s="57" t="s">
        <v>185</v>
      </c>
      <c r="BN11" s="58"/>
      <c r="BO11" s="58"/>
      <c r="BP11" s="58"/>
      <c r="BR11" s="57" t="s">
        <v>185</v>
      </c>
      <c r="BS11" s="58"/>
      <c r="BT11" s="58"/>
      <c r="BU11" s="58"/>
      <c r="BV11" s="58"/>
      <c r="BX11" s="36"/>
      <c r="BZ11" s="37"/>
      <c r="CB11" s="53" t="str">
        <f>('Clima institucional'!A12)</f>
        <v>Docentes 8</v>
      </c>
      <c r="CC11" s="27">
        <f>'Por Valoracion (3) Dimension 2'!B11</f>
        <v>19</v>
      </c>
      <c r="CD11" s="27">
        <f>'Por Valoracion (3) Dimension'!H11</f>
        <v>48</v>
      </c>
      <c r="CN11" s="57" t="s">
        <v>185</v>
      </c>
      <c r="CO11" s="58"/>
      <c r="CP11" s="58"/>
      <c r="CQ11" s="58"/>
      <c r="CS11" s="57" t="s">
        <v>185</v>
      </c>
      <c r="CT11" s="58"/>
      <c r="CU11" s="58"/>
      <c r="CV11" s="58"/>
      <c r="CW11" s="58"/>
      <c r="CY11" s="37"/>
      <c r="DA11" s="53" t="str">
        <f>('Clima institucional'!A12)</f>
        <v>Docentes 8</v>
      </c>
      <c r="DB11" s="27">
        <f>'Por Valoracion (3) Dimension 2'!D11</f>
        <v>19</v>
      </c>
      <c r="DC11" s="27">
        <f>'Por Valoracion (3) Dimension'!H11</f>
        <v>48</v>
      </c>
      <c r="DM11" s="57" t="s">
        <v>185</v>
      </c>
      <c r="DN11" s="58"/>
      <c r="DO11" s="58"/>
      <c r="DP11" s="58"/>
      <c r="DR11" s="57" t="s">
        <v>185</v>
      </c>
      <c r="DS11" s="58"/>
      <c r="DT11" s="58"/>
      <c r="DU11" s="58"/>
      <c r="DV11" s="58"/>
      <c r="DX11" s="37"/>
      <c r="DZ11" s="53" t="str">
        <f>('Clima institucional'!A12)</f>
        <v>Docentes 8</v>
      </c>
      <c r="EA11" s="27">
        <f>'Por Valoracion (3) Dimension 2'!F11</f>
        <v>17</v>
      </c>
      <c r="EB11" s="27">
        <f>'Por Valoracion (3) Dimension'!H11</f>
        <v>48</v>
      </c>
      <c r="EL11" s="57" t="s">
        <v>185</v>
      </c>
      <c r="EM11" s="58"/>
      <c r="EN11" s="58"/>
      <c r="EO11" s="58"/>
      <c r="EQ11" s="57" t="s">
        <v>185</v>
      </c>
      <c r="ER11" s="58"/>
      <c r="ES11" s="58"/>
      <c r="ET11" s="58"/>
      <c r="EU11" s="58"/>
      <c r="EW11" s="37"/>
    </row>
    <row r="12" spans="1:153" x14ac:dyDescent="0.25">
      <c r="A12" s="36"/>
      <c r="C12" s="53" t="str">
        <f>('Clima institucional'!A13)</f>
        <v>Docentes 9</v>
      </c>
      <c r="D12" s="27">
        <f>'Por Valoracion (3) Dimension'!B12</f>
        <v>6</v>
      </c>
      <c r="E12" s="27">
        <f>'Por Valoracion (3) Dimension 2'!H12</f>
        <v>25</v>
      </c>
      <c r="G12" s="52" t="str">
        <f>CONCATENATE("en la ",G4," y basándose en la prueba de ",F29," se puede observar que, ","con una probabilidad de error de ",D30,"% para la ",D28," ",D29," y ",E30,"% para la ",E28," ",E29,", ",G29,H29, " por tal motivo se procederá a utilizar ",I29,".")</f>
        <v>en la Tabla 1 y basándose en la prueba de Kolmogorov-Smirnova se puede observar que, con una probabilidad de error de 0% para la  Dimensión  Estructuración Organizacional y 0% para la  Variable  Desarrollo de competencias, la distribución de sus valores no son diferentes a la distribución normal es decir los datos si se encuentran normalmente distribuidos por tal motivo se procederá a utilizar la prueba paramétrica de correlación de Pearson.</v>
      </c>
      <c r="H12" s="53"/>
      <c r="I12" s="53"/>
      <c r="J12" s="53"/>
      <c r="K12" s="53"/>
      <c r="L12" s="53"/>
      <c r="M12" s="53"/>
      <c r="O12" s="58"/>
      <c r="P12" s="58"/>
      <c r="Q12" s="30" t="str">
        <f>D3</f>
        <v>Estructuración Organizacional</v>
      </c>
      <c r="R12" s="30" t="str">
        <f>E3</f>
        <v>Desarrollo de competencias</v>
      </c>
      <c r="T12" s="58"/>
      <c r="U12" s="58"/>
      <c r="V12" s="58"/>
      <c r="W12" s="30" t="str">
        <f>D3</f>
        <v>Estructuración Organizacional</v>
      </c>
      <c r="X12" s="30" t="str">
        <f>E3</f>
        <v>Desarrollo de competencias</v>
      </c>
      <c r="Z12" s="36"/>
      <c r="AB12" s="53" t="str">
        <f>('Clima institucional'!A13)</f>
        <v>Docentes 9</v>
      </c>
      <c r="AC12" s="27">
        <f>'Por Valoracion (3) Dimension'!D12</f>
        <v>7</v>
      </c>
      <c r="AD12" s="27">
        <f>'Por Valoracion (3) Dimension 2'!H12</f>
        <v>25</v>
      </c>
      <c r="AF12" s="52" t="str">
        <f>CONCATENATE("en la ",AF4," y basándose en la prueba de ",AE29," se puede observar que, ","con una probabilidad de error de ",AC30,"% para la ",AC28," ",AC29," y ",AD30,"% para la ",AD28," ",AD29,", ",AF29,AG29, " por tal motivo se procederá a utilizar ",AH29,".")</f>
        <v>en la Tabla 2 y basándose en la prueba de Kolmogorov-Smirnova se puede observar que, con una probabilidad de error de 0% para la  Dimensión  Relaciones Interpersonales y 0% para la  Variable  Desarrollo de competencias, la distribución de sus valores no son diferentes a la distribución normal es decir los datos si se encuentran normalmente distribuidos por tal motivo se procederá a utilizar la prueba paramétrica de correlación de Pearson.</v>
      </c>
      <c r="AG12" s="53"/>
      <c r="AH12" s="53"/>
      <c r="AI12" s="53"/>
      <c r="AJ12" s="53"/>
      <c r="AK12" s="53"/>
      <c r="AL12" s="53"/>
      <c r="AN12" s="58"/>
      <c r="AO12" s="58"/>
      <c r="AP12" s="30" t="str">
        <f>AC3</f>
        <v>Relaciones Interpersonales</v>
      </c>
      <c r="AQ12" s="30" t="str">
        <f>AD3</f>
        <v>Desarrollo de competencias</v>
      </c>
      <c r="AS12" s="58"/>
      <c r="AT12" s="58"/>
      <c r="AU12" s="58"/>
      <c r="AV12" s="30" t="str">
        <f>AC3</f>
        <v>Relaciones Interpersonales</v>
      </c>
      <c r="AW12" s="30" t="str">
        <f>AD3</f>
        <v>Desarrollo de competencias</v>
      </c>
      <c r="AY12" s="36"/>
      <c r="BA12" s="53" t="str">
        <f>('Clima institucional'!A13)</f>
        <v>Docentes 9</v>
      </c>
      <c r="BB12" s="27">
        <f>'Por Valoracion (3) Dimension'!F12</f>
        <v>6</v>
      </c>
      <c r="BC12" s="27">
        <f>'Por Valoracion (3) Dimension 2'!H12</f>
        <v>25</v>
      </c>
      <c r="BE12" s="52" t="str">
        <f>CONCATENATE("en la ",BE4," y basándose en la prueba de ",BD29," se puede observar que, ","con una probabilidad de error de ",BB30,"% para la ",BB28," ",BB29," y ",BC30,"% para la ",BC28," ",BC29,", ",BE29,BF29, " por tal motivo se procederá a utilizar ",BG29,".")</f>
        <v>en la Tabla 3 y basándose en la prueba de Kolmogorov-Smirnova se puede observar que, con una probabilidad de error de 0% para la  Dimensión  Identidad Institucional y 0% para la  Variable  Desarrollo de competencias, la distribución de sus valores no son diferentes a la distribución normal es decir los datos si se encuentran normalmente distribuidos por tal motivo se procederá a utilizar la prueba paramétrica de correlación de Pearson.</v>
      </c>
      <c r="BF12" s="53"/>
      <c r="BG12" s="53"/>
      <c r="BH12" s="53"/>
      <c r="BI12" s="53"/>
      <c r="BJ12" s="53"/>
      <c r="BK12" s="53"/>
      <c r="BM12" s="58"/>
      <c r="BN12" s="58"/>
      <c r="BO12" s="30" t="str">
        <f>BB3</f>
        <v>Identidad Institucional</v>
      </c>
      <c r="BP12" s="30" t="str">
        <f>BC3</f>
        <v>Desarrollo de competencias</v>
      </c>
      <c r="BR12" s="58"/>
      <c r="BS12" s="58"/>
      <c r="BT12" s="58"/>
      <c r="BU12" s="30" t="str">
        <f>BB3</f>
        <v>Identidad Institucional</v>
      </c>
      <c r="BV12" s="30" t="str">
        <f>BC3</f>
        <v>Desarrollo de competencias</v>
      </c>
      <c r="BX12" s="36"/>
      <c r="BZ12" s="37"/>
      <c r="CB12" s="53" t="str">
        <f>('Clima institucional'!A13)</f>
        <v>Docentes 9</v>
      </c>
      <c r="CC12" s="27">
        <f>'Por Valoracion (3) Dimension 2'!B12</f>
        <v>9</v>
      </c>
      <c r="CD12" s="27">
        <f>'Por Valoracion (3) Dimension'!H12</f>
        <v>19</v>
      </c>
      <c r="CF12" s="52" t="str">
        <f>CONCATENATE("en la ",CF4," y basándose en la prueba de ",CE29," se puede observar que, ","con una probabilidad de error de ",CC30,"% para la ",CC28," ",CC29," y ",CD30,"% para la ",CD28," ",CD29,", ",CF29,CG29, " por tal motivo se procederá a utilizar ",CH29,".")</f>
        <v>en la Tabla 4 y basándose en la prueba de Kolmogorov-Smirnova se puede observar que, con una probabilidad de error de 0% para la  Dimensión  Nivel de planificación de la enseñanza y 0% para la  Variable  Clima institucional, la distribución de sus valores no son diferentes a la distribución normal es decir los datos si se encuentran normalmente distribuidos por tal motivo se procederá a utilizar la prueba paramétrica de correlación de Pearson.</v>
      </c>
      <c r="CG12" s="53"/>
      <c r="CH12" s="53"/>
      <c r="CI12" s="53"/>
      <c r="CJ12" s="53"/>
      <c r="CK12" s="53"/>
      <c r="CL12" s="53"/>
      <c r="CN12" s="58"/>
      <c r="CO12" s="58"/>
      <c r="CP12" s="30" t="str">
        <f>CC3</f>
        <v>Nivel de planificación de la enseñanza</v>
      </c>
      <c r="CQ12" s="30" t="str">
        <f>CD3</f>
        <v>Clima institucional</v>
      </c>
      <c r="CS12" s="58"/>
      <c r="CT12" s="58"/>
      <c r="CU12" s="58"/>
      <c r="CV12" s="30" t="str">
        <f>CC3</f>
        <v>Nivel de planificación de la enseñanza</v>
      </c>
      <c r="CW12" s="30" t="str">
        <f>CD3</f>
        <v>Clima institucional</v>
      </c>
      <c r="CY12" s="37"/>
      <c r="DA12" s="53" t="str">
        <f>('Clima institucional'!A13)</f>
        <v>Docentes 9</v>
      </c>
      <c r="DB12" s="27">
        <f>'Por Valoracion (3) Dimension 2'!D12</f>
        <v>8</v>
      </c>
      <c r="DC12" s="27">
        <f>'Por Valoracion (3) Dimension'!H12</f>
        <v>19</v>
      </c>
      <c r="DE12" s="52" t="str">
        <f>CONCATENATE("en la ",DE4," y basándose en la prueba de ",DD29," se puede observar que, ","con una probabilidad de error de ",DB30,"% para la ",DB28," ",DB29," y ",DC30,"% para la ",DC28," ",DC29,", ",DE29,DF29, " por tal motivo se procederá a utilizar ",DG29,".")</f>
        <v>en la Tabla 5 y basándose en la prueba de Kolmogorov-Smirnova se puede observar que, con una probabilidad de error de 0% para la  Dimensión  Nivel de la competencia comunicativa y 0% para la  Variable  Clima institucional, la distribución de sus valores no son diferentes a la distribución normal es decir los datos si se encuentran normalmente distribuidos por tal motivo se procederá a utilizar la prueba paramétrica de correlación de Pearson.</v>
      </c>
      <c r="DF12" s="53"/>
      <c r="DG12" s="53"/>
      <c r="DH12" s="53"/>
      <c r="DI12" s="53"/>
      <c r="DJ12" s="53"/>
      <c r="DK12" s="53"/>
      <c r="DM12" s="58"/>
      <c r="DN12" s="58"/>
      <c r="DO12" s="30" t="str">
        <f>DB3</f>
        <v>Nivel de la competencia comunicativa</v>
      </c>
      <c r="DP12" s="30" t="str">
        <f>DC3</f>
        <v>Clima institucional</v>
      </c>
      <c r="DR12" s="58"/>
      <c r="DS12" s="58"/>
      <c r="DT12" s="58"/>
      <c r="DU12" s="30" t="str">
        <f>DB3</f>
        <v>Nivel de la competencia comunicativa</v>
      </c>
      <c r="DV12" s="30" t="str">
        <f>DC3</f>
        <v>Clima institucional</v>
      </c>
      <c r="DX12" s="37"/>
      <c r="DZ12" s="53" t="str">
        <f>('Clima institucional'!A13)</f>
        <v>Docentes 9</v>
      </c>
      <c r="EA12" s="27">
        <f>'Por Valoracion (3) Dimension 2'!F12</f>
        <v>8</v>
      </c>
      <c r="EB12" s="27">
        <f>'Por Valoracion (3) Dimension'!H12</f>
        <v>19</v>
      </c>
      <c r="ED12" s="52" t="str">
        <f>CONCATENATE("en la ",ED4," y basándose en la prueba de ",EC29," se puede observar que, ","con una probabilidad de error de ",EA30,"% para la ",EA28," ",EA29," y ",EB30,"% para la ",EB28," ",EB29,", ",ED29,EE29, " por tal motivo se procederá a utilizar ",EF29,".")</f>
        <v>en la Tabla 6 y basándose en la prueba de Kolmogorov-Smirnova se puede observar que, con una probabilidad de error de 0% para la  Dimensión  Diseño de metodología y 0% para la  Variable  Clima institucional, la distribución de sus valores no son diferentes a la distribución normal es decir los datos si se encuentran normalmente distribuidos por tal motivo se procederá a utilizar la prueba paramétrica de correlación de Pearson.</v>
      </c>
      <c r="EE12" s="53"/>
      <c r="EF12" s="53"/>
      <c r="EG12" s="53"/>
      <c r="EH12" s="53"/>
      <c r="EI12" s="53"/>
      <c r="EJ12" s="53"/>
      <c r="EL12" s="58"/>
      <c r="EM12" s="58"/>
      <c r="EN12" s="30" t="str">
        <f>EA3</f>
        <v>Diseño de metodología</v>
      </c>
      <c r="EO12" s="30" t="str">
        <f>EB3</f>
        <v>Clima institucional</v>
      </c>
      <c r="EQ12" s="58"/>
      <c r="ER12" s="58"/>
      <c r="ES12" s="58"/>
      <c r="ET12" s="30" t="str">
        <f>EA3</f>
        <v>Diseño de metodología</v>
      </c>
      <c r="EU12" s="30" t="str">
        <f>EB3</f>
        <v>Clima institucional</v>
      </c>
      <c r="EW12" s="37"/>
    </row>
    <row r="13" spans="1:153" ht="25.5" x14ac:dyDescent="0.25">
      <c r="A13" s="36"/>
      <c r="C13" s="53" t="str">
        <f>('Clima institucional'!A14)</f>
        <v>Docentes 10</v>
      </c>
      <c r="D13" s="27">
        <f>'Por Valoracion (3) Dimension'!B13</f>
        <v>7</v>
      </c>
      <c r="E13" s="27">
        <f>'Por Valoracion (3) Dimension 2'!H13</f>
        <v>20</v>
      </c>
      <c r="G13" s="53"/>
      <c r="H13" s="53"/>
      <c r="I13" s="53"/>
      <c r="J13" s="53"/>
      <c r="K13" s="53"/>
      <c r="L13" s="53"/>
      <c r="M13" s="53"/>
      <c r="O13" s="59" t="str">
        <f>D3</f>
        <v>Estructuración Organizacional</v>
      </c>
      <c r="P13" s="32" t="s">
        <v>186</v>
      </c>
      <c r="T13" s="60" t="s">
        <v>187</v>
      </c>
      <c r="U13" s="59" t="str">
        <f>D3</f>
        <v>Estructuración Organizacional</v>
      </c>
      <c r="V13" s="32" t="s">
        <v>188</v>
      </c>
      <c r="Z13" s="36"/>
      <c r="AB13" s="53" t="str">
        <f>('Clima institucional'!A14)</f>
        <v>Docentes 10</v>
      </c>
      <c r="AC13" s="27">
        <f>'Por Valoracion (3) Dimension'!D13</f>
        <v>6</v>
      </c>
      <c r="AD13" s="27">
        <f>'Por Valoracion (3) Dimension 2'!H13</f>
        <v>20</v>
      </c>
      <c r="AF13" s="53"/>
      <c r="AG13" s="53"/>
      <c r="AH13" s="53"/>
      <c r="AI13" s="53"/>
      <c r="AJ13" s="53"/>
      <c r="AK13" s="53"/>
      <c r="AL13" s="53"/>
      <c r="AN13" s="59" t="str">
        <f>AC3</f>
        <v>Relaciones Interpersonales</v>
      </c>
      <c r="AO13" s="32" t="s">
        <v>186</v>
      </c>
      <c r="AS13" s="60" t="s">
        <v>187</v>
      </c>
      <c r="AT13" s="59" t="str">
        <f>AC3</f>
        <v>Relaciones Interpersonales</v>
      </c>
      <c r="AU13" s="32" t="s">
        <v>188</v>
      </c>
      <c r="AY13" s="36"/>
      <c r="BA13" s="53" t="str">
        <f>('Clima institucional'!A14)</f>
        <v>Docentes 10</v>
      </c>
      <c r="BB13" s="27">
        <f>'Por Valoracion (3) Dimension'!F13</f>
        <v>5</v>
      </c>
      <c r="BC13" s="27">
        <f>'Por Valoracion (3) Dimension 2'!H13</f>
        <v>20</v>
      </c>
      <c r="BE13" s="53"/>
      <c r="BF13" s="53"/>
      <c r="BG13" s="53"/>
      <c r="BH13" s="53"/>
      <c r="BI13" s="53"/>
      <c r="BJ13" s="53"/>
      <c r="BK13" s="53"/>
      <c r="BM13" s="59" t="str">
        <f>BB3</f>
        <v>Identidad Institucional</v>
      </c>
      <c r="BN13" s="32" t="s">
        <v>186</v>
      </c>
      <c r="BR13" s="60" t="s">
        <v>187</v>
      </c>
      <c r="BS13" s="59" t="str">
        <f>BB3</f>
        <v>Identidad Institucional</v>
      </c>
      <c r="BT13" s="32" t="s">
        <v>188</v>
      </c>
      <c r="BX13" s="36"/>
      <c r="BZ13" s="37"/>
      <c r="CB13" s="53" t="str">
        <f>('Clima institucional'!A14)</f>
        <v>Docentes 10</v>
      </c>
      <c r="CC13" s="27">
        <f>'Por Valoracion (3) Dimension 2'!B13</f>
        <v>7</v>
      </c>
      <c r="CD13" s="27">
        <f>'Por Valoracion (3) Dimension'!H13</f>
        <v>18</v>
      </c>
      <c r="CF13" s="53"/>
      <c r="CG13" s="53"/>
      <c r="CH13" s="53"/>
      <c r="CI13" s="53"/>
      <c r="CJ13" s="53"/>
      <c r="CK13" s="53"/>
      <c r="CL13" s="53"/>
      <c r="CN13" s="59" t="str">
        <f>CC3</f>
        <v>Nivel de planificación de la enseñanza</v>
      </c>
      <c r="CO13" s="32" t="s">
        <v>186</v>
      </c>
      <c r="CS13" s="60" t="s">
        <v>187</v>
      </c>
      <c r="CT13" s="59" t="str">
        <f>CC3</f>
        <v>Nivel de planificación de la enseñanza</v>
      </c>
      <c r="CU13" s="32" t="s">
        <v>188</v>
      </c>
      <c r="CY13" s="37"/>
      <c r="DA13" s="53" t="str">
        <f>('Clima institucional'!A14)</f>
        <v>Docentes 10</v>
      </c>
      <c r="DB13" s="27">
        <f>'Por Valoracion (3) Dimension 2'!D13</f>
        <v>6</v>
      </c>
      <c r="DC13" s="27">
        <f>'Por Valoracion (3) Dimension'!H13</f>
        <v>18</v>
      </c>
      <c r="DE13" s="53"/>
      <c r="DF13" s="53"/>
      <c r="DG13" s="53"/>
      <c r="DH13" s="53"/>
      <c r="DI13" s="53"/>
      <c r="DJ13" s="53"/>
      <c r="DK13" s="53"/>
      <c r="DM13" s="59" t="str">
        <f>DB3</f>
        <v>Nivel de la competencia comunicativa</v>
      </c>
      <c r="DN13" s="32" t="s">
        <v>186</v>
      </c>
      <c r="DR13" s="60" t="s">
        <v>187</v>
      </c>
      <c r="DS13" s="59" t="str">
        <f>DB3</f>
        <v>Nivel de la competencia comunicativa</v>
      </c>
      <c r="DT13" s="32" t="s">
        <v>188</v>
      </c>
      <c r="DX13" s="37"/>
      <c r="DZ13" s="53" t="str">
        <f>('Clima institucional'!A14)</f>
        <v>Docentes 10</v>
      </c>
      <c r="EA13" s="27">
        <f>'Por Valoracion (3) Dimension 2'!F13</f>
        <v>7</v>
      </c>
      <c r="EB13" s="27">
        <f>'Por Valoracion (3) Dimension'!H13</f>
        <v>18</v>
      </c>
      <c r="ED13" s="53"/>
      <c r="EE13" s="53"/>
      <c r="EF13" s="53"/>
      <c r="EG13" s="53"/>
      <c r="EH13" s="53"/>
      <c r="EI13" s="53"/>
      <c r="EJ13" s="53"/>
      <c r="EL13" s="59" t="str">
        <f>EA3</f>
        <v>Diseño de metodología</v>
      </c>
      <c r="EM13" s="32" t="s">
        <v>186</v>
      </c>
      <c r="EQ13" s="60" t="s">
        <v>187</v>
      </c>
      <c r="ER13" s="59" t="str">
        <f>EA3</f>
        <v>Diseño de metodología</v>
      </c>
      <c r="ES13" s="32" t="s">
        <v>188</v>
      </c>
      <c r="EW13" s="37"/>
    </row>
    <row r="14" spans="1:153" x14ac:dyDescent="0.25">
      <c r="A14" s="36"/>
      <c r="C14" s="53" t="str">
        <f>('Clima institucional'!A15)</f>
        <v>Docentes 11</v>
      </c>
      <c r="D14" s="27">
        <f>'Por Valoracion (3) Dimension'!B14</f>
        <v>15</v>
      </c>
      <c r="E14" s="27">
        <f>'Por Valoracion (3) Dimension 2'!H14</f>
        <v>46</v>
      </c>
      <c r="G14" s="53"/>
      <c r="H14" s="53"/>
      <c r="I14" s="53"/>
      <c r="J14" s="53"/>
      <c r="K14" s="53"/>
      <c r="L14" s="53"/>
      <c r="M14" s="53"/>
      <c r="O14" s="53"/>
      <c r="P14" s="32" t="s">
        <v>189</v>
      </c>
      <c r="T14" s="53"/>
      <c r="U14" s="53"/>
      <c r="V14" s="32" t="s">
        <v>189</v>
      </c>
      <c r="Z14" s="36"/>
      <c r="AB14" s="53" t="str">
        <f>('Clima institucional'!A15)</f>
        <v>Docentes 11</v>
      </c>
      <c r="AC14" s="27">
        <f>'Por Valoracion (3) Dimension'!D14</f>
        <v>16</v>
      </c>
      <c r="AD14" s="27">
        <f>'Por Valoracion (3) Dimension 2'!H14</f>
        <v>46</v>
      </c>
      <c r="AF14" s="53"/>
      <c r="AG14" s="53"/>
      <c r="AH14" s="53"/>
      <c r="AI14" s="53"/>
      <c r="AJ14" s="53"/>
      <c r="AK14" s="53"/>
      <c r="AL14" s="53"/>
      <c r="AN14" s="53"/>
      <c r="AO14" s="32" t="s">
        <v>189</v>
      </c>
      <c r="AS14" s="53"/>
      <c r="AT14" s="53"/>
      <c r="AU14" s="32" t="s">
        <v>189</v>
      </c>
      <c r="AY14" s="36"/>
      <c r="BA14" s="53" t="str">
        <f>('Clima institucional'!A15)</f>
        <v>Docentes 11</v>
      </c>
      <c r="BB14" s="27">
        <f>'Por Valoracion (3) Dimension'!F14</f>
        <v>15</v>
      </c>
      <c r="BC14" s="27">
        <f>'Por Valoracion (3) Dimension 2'!H14</f>
        <v>46</v>
      </c>
      <c r="BE14" s="53"/>
      <c r="BF14" s="53"/>
      <c r="BG14" s="53"/>
      <c r="BH14" s="53"/>
      <c r="BI14" s="53"/>
      <c r="BJ14" s="53"/>
      <c r="BK14" s="53"/>
      <c r="BM14" s="53"/>
      <c r="BN14" s="32" t="s">
        <v>189</v>
      </c>
      <c r="BR14" s="53"/>
      <c r="BS14" s="53"/>
      <c r="BT14" s="32" t="s">
        <v>189</v>
      </c>
      <c r="BX14" s="36"/>
      <c r="BZ14" s="37"/>
      <c r="CB14" s="53" t="str">
        <f>('Clima institucional'!A15)</f>
        <v>Docentes 11</v>
      </c>
      <c r="CC14" s="27">
        <f>'Por Valoracion (3) Dimension 2'!B14</f>
        <v>18</v>
      </c>
      <c r="CD14" s="27">
        <f>'Por Valoracion (3) Dimension'!H14</f>
        <v>46</v>
      </c>
      <c r="CF14" s="53"/>
      <c r="CG14" s="53"/>
      <c r="CH14" s="53"/>
      <c r="CI14" s="53"/>
      <c r="CJ14" s="53"/>
      <c r="CK14" s="53"/>
      <c r="CL14" s="53"/>
      <c r="CN14" s="53"/>
      <c r="CO14" s="32" t="s">
        <v>189</v>
      </c>
      <c r="CS14" s="53"/>
      <c r="CT14" s="53"/>
      <c r="CU14" s="32" t="s">
        <v>189</v>
      </c>
      <c r="CY14" s="37"/>
      <c r="DA14" s="53" t="str">
        <f>('Clima institucional'!A15)</f>
        <v>Docentes 11</v>
      </c>
      <c r="DB14" s="27">
        <f>'Por Valoracion (3) Dimension 2'!D14</f>
        <v>14</v>
      </c>
      <c r="DC14" s="27">
        <f>'Por Valoracion (3) Dimension'!H14</f>
        <v>46</v>
      </c>
      <c r="DE14" s="53"/>
      <c r="DF14" s="53"/>
      <c r="DG14" s="53"/>
      <c r="DH14" s="53"/>
      <c r="DI14" s="53"/>
      <c r="DJ14" s="53"/>
      <c r="DK14" s="53"/>
      <c r="DM14" s="53"/>
      <c r="DN14" s="32" t="s">
        <v>189</v>
      </c>
      <c r="DR14" s="53"/>
      <c r="DS14" s="53"/>
      <c r="DT14" s="32" t="s">
        <v>189</v>
      </c>
      <c r="DX14" s="37"/>
      <c r="DZ14" s="53" t="str">
        <f>('Clima institucional'!A15)</f>
        <v>Docentes 11</v>
      </c>
      <c r="EA14" s="27">
        <f>'Por Valoracion (3) Dimension 2'!F14</f>
        <v>14</v>
      </c>
      <c r="EB14" s="27">
        <f>'Por Valoracion (3) Dimension'!H14</f>
        <v>46</v>
      </c>
      <c r="ED14" s="53"/>
      <c r="EE14" s="53"/>
      <c r="EF14" s="53"/>
      <c r="EG14" s="53"/>
      <c r="EH14" s="53"/>
      <c r="EI14" s="53"/>
      <c r="EJ14" s="53"/>
      <c r="EL14" s="53"/>
      <c r="EM14" s="32" t="s">
        <v>189</v>
      </c>
      <c r="EQ14" s="53"/>
      <c r="ER14" s="53"/>
      <c r="ES14" s="32" t="s">
        <v>189</v>
      </c>
      <c r="EW14" s="37"/>
    </row>
    <row r="15" spans="1:153" x14ac:dyDescent="0.25">
      <c r="A15" s="36"/>
      <c r="C15" s="53" t="str">
        <f>('Clima institucional'!A16)</f>
        <v>Docentes 12</v>
      </c>
      <c r="D15" s="27">
        <f>'Por Valoracion (3) Dimension'!B15</f>
        <v>6</v>
      </c>
      <c r="E15" s="27">
        <f>'Por Valoracion (3) Dimension 2'!H15</f>
        <v>13</v>
      </c>
      <c r="G15" s="53"/>
      <c r="H15" s="53"/>
      <c r="I15" s="53"/>
      <c r="J15" s="53"/>
      <c r="K15" s="53"/>
      <c r="L15" s="53"/>
      <c r="M15" s="53"/>
      <c r="O15" s="53"/>
      <c r="P15" s="32" t="s">
        <v>190</v>
      </c>
      <c r="T15" s="53"/>
      <c r="U15" s="53"/>
      <c r="V15" s="32" t="s">
        <v>190</v>
      </c>
      <c r="Z15" s="36"/>
      <c r="AB15" s="53" t="str">
        <f>('Clima institucional'!A16)</f>
        <v>Docentes 12</v>
      </c>
      <c r="AC15" s="27">
        <f>'Por Valoracion (3) Dimension'!D15</f>
        <v>5</v>
      </c>
      <c r="AD15" s="27">
        <f>'Por Valoracion (3) Dimension 2'!H15</f>
        <v>13</v>
      </c>
      <c r="AF15" s="53"/>
      <c r="AG15" s="53"/>
      <c r="AH15" s="53"/>
      <c r="AI15" s="53"/>
      <c r="AJ15" s="53"/>
      <c r="AK15" s="53"/>
      <c r="AL15" s="53"/>
      <c r="AN15" s="53"/>
      <c r="AO15" s="32" t="s">
        <v>190</v>
      </c>
      <c r="AS15" s="53"/>
      <c r="AT15" s="53"/>
      <c r="AU15" s="32" t="s">
        <v>190</v>
      </c>
      <c r="AY15" s="36"/>
      <c r="BA15" s="53" t="str">
        <f>('Clima institucional'!A16)</f>
        <v>Docentes 12</v>
      </c>
      <c r="BB15" s="27">
        <f>'Por Valoracion (3) Dimension'!F15</f>
        <v>4</v>
      </c>
      <c r="BC15" s="27">
        <f>'Por Valoracion (3) Dimension 2'!H15</f>
        <v>13</v>
      </c>
      <c r="BE15" s="53"/>
      <c r="BF15" s="53"/>
      <c r="BG15" s="53"/>
      <c r="BH15" s="53"/>
      <c r="BI15" s="53"/>
      <c r="BJ15" s="53"/>
      <c r="BK15" s="53"/>
      <c r="BM15" s="53"/>
      <c r="BN15" s="32" t="s">
        <v>190</v>
      </c>
      <c r="BR15" s="53"/>
      <c r="BS15" s="53"/>
      <c r="BT15" s="32" t="s">
        <v>190</v>
      </c>
      <c r="BX15" s="36"/>
      <c r="BZ15" s="37"/>
      <c r="CB15" s="53" t="str">
        <f>('Clima institucional'!A16)</f>
        <v>Docentes 12</v>
      </c>
      <c r="CC15" s="27">
        <f>'Por Valoracion (3) Dimension 2'!B15</f>
        <v>5</v>
      </c>
      <c r="CD15" s="27">
        <f>'Por Valoracion (3) Dimension'!H15</f>
        <v>15</v>
      </c>
      <c r="CF15" s="53"/>
      <c r="CG15" s="53"/>
      <c r="CH15" s="53"/>
      <c r="CI15" s="53"/>
      <c r="CJ15" s="53"/>
      <c r="CK15" s="53"/>
      <c r="CL15" s="53"/>
      <c r="CN15" s="53"/>
      <c r="CO15" s="32" t="s">
        <v>190</v>
      </c>
      <c r="CS15" s="53"/>
      <c r="CT15" s="53"/>
      <c r="CU15" s="32" t="s">
        <v>190</v>
      </c>
      <c r="CY15" s="37"/>
      <c r="DA15" s="53" t="str">
        <f>('Clima institucional'!A16)</f>
        <v>Docentes 12</v>
      </c>
      <c r="DB15" s="27">
        <f>'Por Valoracion (3) Dimension 2'!D15</f>
        <v>4</v>
      </c>
      <c r="DC15" s="27">
        <f>'Por Valoracion (3) Dimension'!H15</f>
        <v>15</v>
      </c>
      <c r="DE15" s="53"/>
      <c r="DF15" s="53"/>
      <c r="DG15" s="53"/>
      <c r="DH15" s="53"/>
      <c r="DI15" s="53"/>
      <c r="DJ15" s="53"/>
      <c r="DK15" s="53"/>
      <c r="DM15" s="53"/>
      <c r="DN15" s="32" t="s">
        <v>190</v>
      </c>
      <c r="DR15" s="53"/>
      <c r="DS15" s="53"/>
      <c r="DT15" s="32" t="s">
        <v>190</v>
      </c>
      <c r="DX15" s="37"/>
      <c r="DZ15" s="53" t="str">
        <f>('Clima institucional'!A16)</f>
        <v>Docentes 12</v>
      </c>
      <c r="EA15" s="27">
        <f>'Por Valoracion (3) Dimension 2'!F15</f>
        <v>4</v>
      </c>
      <c r="EB15" s="27">
        <f>'Por Valoracion (3) Dimension'!H15</f>
        <v>15</v>
      </c>
      <c r="ED15" s="53"/>
      <c r="EE15" s="53"/>
      <c r="EF15" s="53"/>
      <c r="EG15" s="53"/>
      <c r="EH15" s="53"/>
      <c r="EI15" s="53"/>
      <c r="EJ15" s="53"/>
      <c r="EL15" s="53"/>
      <c r="EM15" s="32" t="s">
        <v>190</v>
      </c>
      <c r="EQ15" s="53"/>
      <c r="ER15" s="53"/>
      <c r="ES15" s="32" t="s">
        <v>190</v>
      </c>
      <c r="EW15" s="37"/>
    </row>
    <row r="16" spans="1:153" ht="25.5" x14ac:dyDescent="0.25">
      <c r="A16" s="36"/>
      <c r="C16" s="53" t="str">
        <f>('Clima institucional'!A17)</f>
        <v>Docentes 13</v>
      </c>
      <c r="D16" s="27">
        <f>'Por Valoracion (3) Dimension'!B16</f>
        <v>7</v>
      </c>
      <c r="E16" s="27">
        <f>'Por Valoracion (3) Dimension 2'!H16</f>
        <v>24</v>
      </c>
      <c r="G16" s="53"/>
      <c r="H16" s="53"/>
      <c r="I16" s="53"/>
      <c r="J16" s="53"/>
      <c r="K16" s="53"/>
      <c r="L16" s="53"/>
      <c r="M16" s="53"/>
      <c r="O16" s="59" t="str">
        <f>E3</f>
        <v>Desarrollo de competencias</v>
      </c>
      <c r="P16" s="32" t="s">
        <v>186</v>
      </c>
      <c r="T16" s="53"/>
      <c r="U16" s="59" t="str">
        <f>E3</f>
        <v>Desarrollo de competencias</v>
      </c>
      <c r="V16" s="32" t="s">
        <v>188</v>
      </c>
      <c r="Z16" s="36"/>
      <c r="AB16" s="53" t="str">
        <f>('Clima institucional'!A17)</f>
        <v>Docentes 13</v>
      </c>
      <c r="AC16" s="27">
        <f>'Por Valoracion (3) Dimension'!D16</f>
        <v>8</v>
      </c>
      <c r="AD16" s="27">
        <f>'Por Valoracion (3) Dimension 2'!H16</f>
        <v>24</v>
      </c>
      <c r="AF16" s="53"/>
      <c r="AG16" s="53"/>
      <c r="AH16" s="53"/>
      <c r="AI16" s="53"/>
      <c r="AJ16" s="53"/>
      <c r="AK16" s="53"/>
      <c r="AL16" s="53"/>
      <c r="AN16" s="59" t="str">
        <f>AD3</f>
        <v>Desarrollo de competencias</v>
      </c>
      <c r="AO16" s="32" t="s">
        <v>186</v>
      </c>
      <c r="AS16" s="53"/>
      <c r="AT16" s="59" t="str">
        <f>AD3</f>
        <v>Desarrollo de competencias</v>
      </c>
      <c r="AU16" s="32" t="s">
        <v>188</v>
      </c>
      <c r="AY16" s="36"/>
      <c r="BA16" s="53" t="str">
        <f>('Clima institucional'!A17)</f>
        <v>Docentes 13</v>
      </c>
      <c r="BB16" s="27">
        <f>'Por Valoracion (3) Dimension'!F16</f>
        <v>8</v>
      </c>
      <c r="BC16" s="27">
        <f>'Por Valoracion (3) Dimension 2'!H16</f>
        <v>24</v>
      </c>
      <c r="BE16" s="53"/>
      <c r="BF16" s="53"/>
      <c r="BG16" s="53"/>
      <c r="BH16" s="53"/>
      <c r="BI16" s="53"/>
      <c r="BJ16" s="53"/>
      <c r="BK16" s="53"/>
      <c r="BM16" s="59" t="str">
        <f>BC3</f>
        <v>Desarrollo de competencias</v>
      </c>
      <c r="BN16" s="32" t="s">
        <v>186</v>
      </c>
      <c r="BR16" s="53"/>
      <c r="BS16" s="59" t="str">
        <f>BC3</f>
        <v>Desarrollo de competencias</v>
      </c>
      <c r="BT16" s="32" t="s">
        <v>188</v>
      </c>
      <c r="BX16" s="36"/>
      <c r="BZ16" s="37"/>
      <c r="CB16" s="53" t="str">
        <f>('Clima institucional'!A17)</f>
        <v>Docentes 13</v>
      </c>
      <c r="CC16" s="27">
        <f>'Por Valoracion (3) Dimension 2'!B16</f>
        <v>8</v>
      </c>
      <c r="CD16" s="27">
        <f>'Por Valoracion (3) Dimension'!H16</f>
        <v>23</v>
      </c>
      <c r="CF16" s="53"/>
      <c r="CG16" s="53"/>
      <c r="CH16" s="53"/>
      <c r="CI16" s="53"/>
      <c r="CJ16" s="53"/>
      <c r="CK16" s="53"/>
      <c r="CL16" s="53"/>
      <c r="CN16" s="59" t="str">
        <f>CD3</f>
        <v>Clima institucional</v>
      </c>
      <c r="CO16" s="32" t="s">
        <v>186</v>
      </c>
      <c r="CS16" s="53"/>
      <c r="CT16" s="59" t="str">
        <f>CD3</f>
        <v>Clima institucional</v>
      </c>
      <c r="CU16" s="32" t="s">
        <v>188</v>
      </c>
      <c r="CY16" s="37"/>
      <c r="DA16" s="53" t="str">
        <f>('Clima institucional'!A17)</f>
        <v>Docentes 13</v>
      </c>
      <c r="DB16" s="27">
        <f>'Por Valoracion (3) Dimension 2'!D16</f>
        <v>8</v>
      </c>
      <c r="DC16" s="27">
        <f>'Por Valoracion (3) Dimension'!H16</f>
        <v>23</v>
      </c>
      <c r="DE16" s="53"/>
      <c r="DF16" s="53"/>
      <c r="DG16" s="53"/>
      <c r="DH16" s="53"/>
      <c r="DI16" s="53"/>
      <c r="DJ16" s="53"/>
      <c r="DK16" s="53"/>
      <c r="DM16" s="59" t="str">
        <f>DC3</f>
        <v>Clima institucional</v>
      </c>
      <c r="DN16" s="32" t="s">
        <v>186</v>
      </c>
      <c r="DR16" s="53"/>
      <c r="DS16" s="59" t="str">
        <f>DC3</f>
        <v>Clima institucional</v>
      </c>
      <c r="DT16" s="32" t="s">
        <v>188</v>
      </c>
      <c r="DX16" s="37"/>
      <c r="DZ16" s="53" t="str">
        <f>('Clima institucional'!A17)</f>
        <v>Docentes 13</v>
      </c>
      <c r="EA16" s="27">
        <f>'Por Valoracion (3) Dimension 2'!F16</f>
        <v>8</v>
      </c>
      <c r="EB16" s="27">
        <f>'Por Valoracion (3) Dimension'!H16</f>
        <v>23</v>
      </c>
      <c r="ED16" s="53"/>
      <c r="EE16" s="53"/>
      <c r="EF16" s="53"/>
      <c r="EG16" s="53"/>
      <c r="EH16" s="53"/>
      <c r="EI16" s="53"/>
      <c r="EJ16" s="53"/>
      <c r="EL16" s="59" t="str">
        <f>EB3</f>
        <v>Clima institucional</v>
      </c>
      <c r="EM16" s="32" t="s">
        <v>186</v>
      </c>
      <c r="EQ16" s="53"/>
      <c r="ER16" s="59" t="str">
        <f>EB3</f>
        <v>Clima institucional</v>
      </c>
      <c r="ES16" s="32" t="s">
        <v>188</v>
      </c>
      <c r="EW16" s="37"/>
    </row>
    <row r="17" spans="1:153" x14ac:dyDescent="0.25">
      <c r="A17" s="36"/>
      <c r="C17" s="53" t="str">
        <f>('Clima institucional'!A18)</f>
        <v>Docentes 14</v>
      </c>
      <c r="D17" s="27">
        <f>'Por Valoracion (3) Dimension'!B17</f>
        <v>13</v>
      </c>
      <c r="E17" s="27">
        <f>'Por Valoracion (3) Dimension 2'!H17</f>
        <v>46</v>
      </c>
      <c r="G17" s="53"/>
      <c r="H17" s="53"/>
      <c r="I17" s="53"/>
      <c r="J17" s="53"/>
      <c r="K17" s="53"/>
      <c r="L17" s="53"/>
      <c r="M17" s="53"/>
      <c r="O17" s="53"/>
      <c r="P17" s="32" t="s">
        <v>189</v>
      </c>
      <c r="T17" s="53"/>
      <c r="U17" s="53"/>
      <c r="V17" s="32" t="s">
        <v>189</v>
      </c>
      <c r="Z17" s="36"/>
      <c r="AB17" s="53" t="str">
        <f>('Clima institucional'!A18)</f>
        <v>Docentes 14</v>
      </c>
      <c r="AC17" s="27">
        <f>'Por Valoracion (3) Dimension'!D17</f>
        <v>16</v>
      </c>
      <c r="AD17" s="27">
        <f>'Por Valoracion (3) Dimension 2'!H17</f>
        <v>46</v>
      </c>
      <c r="AF17" s="53"/>
      <c r="AG17" s="53"/>
      <c r="AH17" s="53"/>
      <c r="AI17" s="53"/>
      <c r="AJ17" s="53"/>
      <c r="AK17" s="53"/>
      <c r="AL17" s="53"/>
      <c r="AN17" s="53"/>
      <c r="AO17" s="32" t="s">
        <v>189</v>
      </c>
      <c r="AS17" s="53"/>
      <c r="AT17" s="53"/>
      <c r="AU17" s="32" t="s">
        <v>189</v>
      </c>
      <c r="AY17" s="36"/>
      <c r="BA17" s="53" t="str">
        <f>('Clima institucional'!A18)</f>
        <v>Docentes 14</v>
      </c>
      <c r="BB17" s="27">
        <f>'Por Valoracion (3) Dimension'!F17</f>
        <v>16</v>
      </c>
      <c r="BC17" s="27">
        <f>'Por Valoracion (3) Dimension 2'!H17</f>
        <v>46</v>
      </c>
      <c r="BE17" s="53"/>
      <c r="BF17" s="53"/>
      <c r="BG17" s="53"/>
      <c r="BH17" s="53"/>
      <c r="BI17" s="53"/>
      <c r="BJ17" s="53"/>
      <c r="BK17" s="53"/>
      <c r="BM17" s="53"/>
      <c r="BN17" s="32" t="s">
        <v>189</v>
      </c>
      <c r="BR17" s="53"/>
      <c r="BS17" s="53"/>
      <c r="BT17" s="32" t="s">
        <v>189</v>
      </c>
      <c r="BX17" s="36"/>
      <c r="BZ17" s="37"/>
      <c r="CB17" s="53" t="str">
        <f>('Clima institucional'!A18)</f>
        <v>Docentes 14</v>
      </c>
      <c r="CC17" s="27">
        <f>'Por Valoracion (3) Dimension 2'!B17</f>
        <v>14</v>
      </c>
      <c r="CD17" s="27">
        <f>'Por Valoracion (3) Dimension'!H17</f>
        <v>45</v>
      </c>
      <c r="CF17" s="53"/>
      <c r="CG17" s="53"/>
      <c r="CH17" s="53"/>
      <c r="CI17" s="53"/>
      <c r="CJ17" s="53"/>
      <c r="CK17" s="53"/>
      <c r="CL17" s="53"/>
      <c r="CN17" s="53"/>
      <c r="CO17" s="32" t="s">
        <v>189</v>
      </c>
      <c r="CS17" s="53"/>
      <c r="CT17" s="53"/>
      <c r="CU17" s="32" t="s">
        <v>189</v>
      </c>
      <c r="CY17" s="37"/>
      <c r="DA17" s="53" t="str">
        <f>('Clima institucional'!A18)</f>
        <v>Docentes 14</v>
      </c>
      <c r="DB17" s="27">
        <f>'Por Valoracion (3) Dimension 2'!D17</f>
        <v>17</v>
      </c>
      <c r="DC17" s="27">
        <f>'Por Valoracion (3) Dimension'!H17</f>
        <v>45</v>
      </c>
      <c r="DE17" s="53"/>
      <c r="DF17" s="53"/>
      <c r="DG17" s="53"/>
      <c r="DH17" s="53"/>
      <c r="DI17" s="53"/>
      <c r="DJ17" s="53"/>
      <c r="DK17" s="53"/>
      <c r="DM17" s="53"/>
      <c r="DN17" s="32" t="s">
        <v>189</v>
      </c>
      <c r="DR17" s="53"/>
      <c r="DS17" s="53"/>
      <c r="DT17" s="32" t="s">
        <v>189</v>
      </c>
      <c r="DX17" s="37"/>
      <c r="DZ17" s="53" t="str">
        <f>('Clima institucional'!A18)</f>
        <v>Docentes 14</v>
      </c>
      <c r="EA17" s="27">
        <f>'Por Valoracion (3) Dimension 2'!F17</f>
        <v>15</v>
      </c>
      <c r="EB17" s="27">
        <f>'Por Valoracion (3) Dimension'!H17</f>
        <v>45</v>
      </c>
      <c r="ED17" s="53"/>
      <c r="EE17" s="53"/>
      <c r="EF17" s="53"/>
      <c r="EG17" s="53"/>
      <c r="EH17" s="53"/>
      <c r="EI17" s="53"/>
      <c r="EJ17" s="53"/>
      <c r="EL17" s="53"/>
      <c r="EM17" s="32" t="s">
        <v>189</v>
      </c>
      <c r="EQ17" s="53"/>
      <c r="ER17" s="53"/>
      <c r="ES17" s="32" t="s">
        <v>189</v>
      </c>
      <c r="EW17" s="37"/>
    </row>
    <row r="18" spans="1:153" x14ac:dyDescent="0.25">
      <c r="A18" s="36"/>
      <c r="C18" s="53" t="str">
        <f>('Clima institucional'!A19)</f>
        <v>Docentes 15</v>
      </c>
      <c r="D18" s="27">
        <f>'Por Valoracion (3) Dimension'!B18</f>
        <v>7</v>
      </c>
      <c r="E18" s="27">
        <f>'Por Valoracion (3) Dimension 2'!H18</f>
        <v>14</v>
      </c>
      <c r="O18" s="58"/>
      <c r="P18" s="31" t="s">
        <v>190</v>
      </c>
      <c r="Q18" s="5"/>
      <c r="R18" s="5"/>
      <c r="T18" s="58"/>
      <c r="U18" s="58"/>
      <c r="V18" s="31" t="s">
        <v>190</v>
      </c>
      <c r="W18" s="5"/>
      <c r="X18" s="5"/>
      <c r="Z18" s="36"/>
      <c r="AB18" s="53" t="str">
        <f>('Clima institucional'!A19)</f>
        <v>Docentes 15</v>
      </c>
      <c r="AC18" s="27">
        <f>'Por Valoracion (3) Dimension'!D18</f>
        <v>7</v>
      </c>
      <c r="AD18" s="27">
        <f>'Por Valoracion (3) Dimension 2'!H18</f>
        <v>14</v>
      </c>
      <c r="AN18" s="58"/>
      <c r="AO18" s="31" t="s">
        <v>190</v>
      </c>
      <c r="AP18" s="5"/>
      <c r="AQ18" s="5"/>
      <c r="AS18" s="58"/>
      <c r="AT18" s="58"/>
      <c r="AU18" s="31" t="s">
        <v>190</v>
      </c>
      <c r="AV18" s="5"/>
      <c r="AW18" s="5"/>
      <c r="AY18" s="36"/>
      <c r="BA18" s="53" t="str">
        <f>('Clima institucional'!A19)</f>
        <v>Docentes 15</v>
      </c>
      <c r="BB18" s="27">
        <f>'Por Valoracion (3) Dimension'!F18</f>
        <v>9</v>
      </c>
      <c r="BC18" s="27">
        <f>'Por Valoracion (3) Dimension 2'!H18</f>
        <v>14</v>
      </c>
      <c r="BM18" s="58"/>
      <c r="BN18" s="31" t="s">
        <v>190</v>
      </c>
      <c r="BO18" s="5"/>
      <c r="BP18" s="5"/>
      <c r="BR18" s="58"/>
      <c r="BS18" s="58"/>
      <c r="BT18" s="31" t="s">
        <v>190</v>
      </c>
      <c r="BU18" s="5"/>
      <c r="BV18" s="5"/>
      <c r="BX18" s="36"/>
      <c r="BZ18" s="37"/>
      <c r="CB18" s="53" t="str">
        <f>('Clima institucional'!A19)</f>
        <v>Docentes 15</v>
      </c>
      <c r="CC18" s="27">
        <f>'Por Valoracion (3) Dimension 2'!B18</f>
        <v>5</v>
      </c>
      <c r="CD18" s="27">
        <f>'Por Valoracion (3) Dimension'!H18</f>
        <v>23</v>
      </c>
      <c r="CN18" s="58"/>
      <c r="CO18" s="31" t="s">
        <v>190</v>
      </c>
      <c r="CP18" s="5"/>
      <c r="CQ18" s="5"/>
      <c r="CS18" s="58"/>
      <c r="CT18" s="58"/>
      <c r="CU18" s="31" t="s">
        <v>190</v>
      </c>
      <c r="CV18" s="5"/>
      <c r="CW18" s="5"/>
      <c r="CY18" s="37"/>
      <c r="DA18" s="53" t="str">
        <f>('Clima institucional'!A19)</f>
        <v>Docentes 15</v>
      </c>
      <c r="DB18" s="27">
        <f>'Por Valoracion (3) Dimension 2'!D18</f>
        <v>5</v>
      </c>
      <c r="DC18" s="27">
        <f>'Por Valoracion (3) Dimension'!H18</f>
        <v>23</v>
      </c>
      <c r="DM18" s="58"/>
      <c r="DN18" s="31" t="s">
        <v>190</v>
      </c>
      <c r="DO18" s="5"/>
      <c r="DP18" s="5"/>
      <c r="DR18" s="58"/>
      <c r="DS18" s="58"/>
      <c r="DT18" s="31" t="s">
        <v>190</v>
      </c>
      <c r="DU18" s="5"/>
      <c r="DV18" s="5"/>
      <c r="DX18" s="37"/>
      <c r="DZ18" s="53" t="str">
        <f>('Clima institucional'!A19)</f>
        <v>Docentes 15</v>
      </c>
      <c r="EA18" s="27">
        <f>'Por Valoracion (3) Dimension 2'!F18</f>
        <v>4</v>
      </c>
      <c r="EB18" s="27">
        <f>'Por Valoracion (3) Dimension'!H18</f>
        <v>23</v>
      </c>
      <c r="EL18" s="58"/>
      <c r="EM18" s="31" t="s">
        <v>190</v>
      </c>
      <c r="EN18" s="5"/>
      <c r="EO18" s="5"/>
      <c r="EQ18" s="58"/>
      <c r="ER18" s="58"/>
      <c r="ES18" s="31" t="s">
        <v>190</v>
      </c>
      <c r="ET18" s="5"/>
      <c r="EU18" s="5"/>
      <c r="EW18" s="37"/>
    </row>
    <row r="19" spans="1:153" x14ac:dyDescent="0.25">
      <c r="A19" s="36"/>
      <c r="C19" s="53" t="str">
        <f>('Clima institucional'!A20)</f>
        <v>Docentes 16</v>
      </c>
      <c r="D19" s="27">
        <f>'Por Valoracion (3) Dimension'!B19</f>
        <v>5</v>
      </c>
      <c r="E19" s="27">
        <f>'Por Valoracion (3) Dimension 2'!H19</f>
        <v>16</v>
      </c>
      <c r="O19" s="59" t="s">
        <v>191</v>
      </c>
      <c r="P19" s="53"/>
      <c r="Q19" s="53"/>
      <c r="R19" s="53"/>
      <c r="T19" s="59" t="s">
        <v>191</v>
      </c>
      <c r="U19" s="53"/>
      <c r="V19" s="53"/>
      <c r="W19" s="53"/>
      <c r="X19" s="53"/>
      <c r="Z19" s="36"/>
      <c r="AB19" s="53" t="str">
        <f>('Clima institucional'!A20)</f>
        <v>Docentes 16</v>
      </c>
      <c r="AC19" s="27">
        <f>'Por Valoracion (3) Dimension'!D19</f>
        <v>7</v>
      </c>
      <c r="AD19" s="27">
        <f>'Por Valoracion (3) Dimension 2'!H19</f>
        <v>16</v>
      </c>
      <c r="AN19" s="59" t="s">
        <v>191</v>
      </c>
      <c r="AO19" s="53"/>
      <c r="AP19" s="53"/>
      <c r="AQ19" s="53"/>
      <c r="AS19" s="59" t="s">
        <v>191</v>
      </c>
      <c r="AT19" s="53"/>
      <c r="AU19" s="53"/>
      <c r="AV19" s="53"/>
      <c r="AW19" s="53"/>
      <c r="AY19" s="36"/>
      <c r="BA19" s="53" t="str">
        <f>('Clima institucional'!A20)</f>
        <v>Docentes 16</v>
      </c>
      <c r="BB19" s="27">
        <f>'Por Valoracion (3) Dimension'!F19</f>
        <v>4</v>
      </c>
      <c r="BC19" s="27">
        <f>'Por Valoracion (3) Dimension 2'!H19</f>
        <v>16</v>
      </c>
      <c r="BM19" s="59" t="s">
        <v>191</v>
      </c>
      <c r="BN19" s="53"/>
      <c r="BO19" s="53"/>
      <c r="BP19" s="53"/>
      <c r="BR19" s="59" t="s">
        <v>191</v>
      </c>
      <c r="BS19" s="53"/>
      <c r="BT19" s="53"/>
      <c r="BU19" s="53"/>
      <c r="BV19" s="53"/>
      <c r="BX19" s="36"/>
      <c r="BZ19" s="37"/>
      <c r="CB19" s="53" t="str">
        <f>('Clima institucional'!A20)</f>
        <v>Docentes 16</v>
      </c>
      <c r="CC19" s="27">
        <f>'Por Valoracion (3) Dimension 2'!B19</f>
        <v>5</v>
      </c>
      <c r="CD19" s="27">
        <f>'Por Valoracion (3) Dimension'!H19</f>
        <v>16</v>
      </c>
      <c r="CN19" s="59" t="s">
        <v>191</v>
      </c>
      <c r="CO19" s="53"/>
      <c r="CP19" s="53"/>
      <c r="CQ19" s="53"/>
      <c r="CS19" s="59" t="s">
        <v>191</v>
      </c>
      <c r="CT19" s="53"/>
      <c r="CU19" s="53"/>
      <c r="CV19" s="53"/>
      <c r="CW19" s="53"/>
      <c r="CY19" s="37"/>
      <c r="DA19" s="53" t="str">
        <f>('Clima institucional'!A20)</f>
        <v>Docentes 16</v>
      </c>
      <c r="DB19" s="27">
        <f>'Por Valoracion (3) Dimension 2'!D19</f>
        <v>5</v>
      </c>
      <c r="DC19" s="27">
        <f>'Por Valoracion (3) Dimension'!H19</f>
        <v>16</v>
      </c>
      <c r="DM19" s="59" t="s">
        <v>191</v>
      </c>
      <c r="DN19" s="53"/>
      <c r="DO19" s="53"/>
      <c r="DP19" s="53"/>
      <c r="DR19" s="59" t="s">
        <v>191</v>
      </c>
      <c r="DS19" s="53"/>
      <c r="DT19" s="53"/>
      <c r="DU19" s="53"/>
      <c r="DV19" s="53"/>
      <c r="DX19" s="37"/>
      <c r="DZ19" s="53" t="str">
        <f>('Clima institucional'!A20)</f>
        <v>Docentes 16</v>
      </c>
      <c r="EA19" s="27">
        <f>'Por Valoracion (3) Dimension 2'!F19</f>
        <v>6</v>
      </c>
      <c r="EB19" s="27">
        <f>'Por Valoracion (3) Dimension'!H19</f>
        <v>16</v>
      </c>
      <c r="EL19" s="59" t="s">
        <v>191</v>
      </c>
      <c r="EM19" s="53"/>
      <c r="EN19" s="53"/>
      <c r="EO19" s="53"/>
      <c r="EQ19" s="59" t="s">
        <v>191</v>
      </c>
      <c r="ER19" s="53"/>
      <c r="ES19" s="53"/>
      <c r="ET19" s="53"/>
      <c r="EU19" s="53"/>
      <c r="EW19" s="37"/>
    </row>
    <row r="20" spans="1:153" x14ac:dyDescent="0.25">
      <c r="A20" s="36"/>
      <c r="C20" s="53" t="str">
        <f>('Clima institucional'!A21)</f>
        <v>Docentes 17</v>
      </c>
      <c r="D20" s="27">
        <f>'Por Valoracion (3) Dimension'!B20</f>
        <v>8</v>
      </c>
      <c r="E20" s="27">
        <f>'Por Valoracion (3) Dimension 2'!H20</f>
        <v>17</v>
      </c>
      <c r="Z20" s="36"/>
      <c r="AB20" s="53" t="str">
        <f>('Clima institucional'!A21)</f>
        <v>Docentes 17</v>
      </c>
      <c r="AC20" s="27">
        <f>'Por Valoracion (3) Dimension'!D20</f>
        <v>9</v>
      </c>
      <c r="AD20" s="27">
        <f>'Por Valoracion (3) Dimension 2'!H20</f>
        <v>17</v>
      </c>
      <c r="AY20" s="36"/>
      <c r="BA20" s="53" t="str">
        <f>('Clima institucional'!A21)</f>
        <v>Docentes 17</v>
      </c>
      <c r="BB20" s="27">
        <f>'Por Valoracion (3) Dimension'!F20</f>
        <v>7</v>
      </c>
      <c r="BC20" s="27">
        <f>'Por Valoracion (3) Dimension 2'!H20</f>
        <v>17</v>
      </c>
      <c r="BX20" s="36"/>
      <c r="BZ20" s="37"/>
      <c r="CB20" s="53" t="str">
        <f>('Clima institucional'!A21)</f>
        <v>Docentes 17</v>
      </c>
      <c r="CC20" s="27">
        <f>'Por Valoracion (3) Dimension 2'!B20</f>
        <v>4</v>
      </c>
      <c r="CD20" s="27">
        <f>'Por Valoracion (3) Dimension'!H20</f>
        <v>24</v>
      </c>
      <c r="CY20" s="37"/>
      <c r="DA20" s="53" t="str">
        <f>('Clima institucional'!A21)</f>
        <v>Docentes 17</v>
      </c>
      <c r="DB20" s="27">
        <f>'Por Valoracion (3) Dimension 2'!D20</f>
        <v>7</v>
      </c>
      <c r="DC20" s="27">
        <f>'Por Valoracion (3) Dimension'!H20</f>
        <v>24</v>
      </c>
      <c r="DX20" s="37"/>
      <c r="DZ20" s="53" t="str">
        <f>('Clima institucional'!A21)</f>
        <v>Docentes 17</v>
      </c>
      <c r="EA20" s="27">
        <f>'Por Valoracion (3) Dimension 2'!F20</f>
        <v>6</v>
      </c>
      <c r="EB20" s="27">
        <f>'Por Valoracion (3) Dimension'!H20</f>
        <v>24</v>
      </c>
      <c r="EW20" s="37"/>
    </row>
    <row r="21" spans="1:153" x14ac:dyDescent="0.25">
      <c r="A21" s="36"/>
      <c r="C21" s="53" t="str">
        <f>('Clima institucional'!A22)</f>
        <v>Docentes 18</v>
      </c>
      <c r="D21" s="27">
        <f>'Por Valoracion (3) Dimension'!B21</f>
        <v>5</v>
      </c>
      <c r="E21" s="27">
        <f>'Por Valoracion (3) Dimension 2'!H21</f>
        <v>13</v>
      </c>
      <c r="Z21" s="36"/>
      <c r="AB21" s="53" t="str">
        <f>('Clima institucional'!A22)</f>
        <v>Docentes 18</v>
      </c>
      <c r="AC21" s="27">
        <f>'Por Valoracion (3) Dimension'!D21</f>
        <v>4</v>
      </c>
      <c r="AD21" s="27">
        <f>'Por Valoracion (3) Dimension 2'!H21</f>
        <v>13</v>
      </c>
      <c r="AY21" s="36"/>
      <c r="BA21" s="53" t="str">
        <f>('Clima institucional'!A22)</f>
        <v>Docentes 18</v>
      </c>
      <c r="BB21" s="27">
        <f>'Por Valoracion (3) Dimension'!F21</f>
        <v>4</v>
      </c>
      <c r="BC21" s="27">
        <f>'Por Valoracion (3) Dimension 2'!H21</f>
        <v>13</v>
      </c>
      <c r="BX21" s="36"/>
      <c r="BZ21" s="37"/>
      <c r="CB21" s="53" t="str">
        <f>('Clima institucional'!A22)</f>
        <v>Docentes 18</v>
      </c>
      <c r="CC21" s="27">
        <f>'Por Valoracion (3) Dimension 2'!B21</f>
        <v>4</v>
      </c>
      <c r="CD21" s="27">
        <f>'Por Valoracion (3) Dimension'!H21</f>
        <v>13</v>
      </c>
      <c r="CY21" s="37"/>
      <c r="DA21" s="53" t="str">
        <f>('Clima institucional'!A22)</f>
        <v>Docentes 18</v>
      </c>
      <c r="DB21" s="27">
        <f>'Por Valoracion (3) Dimension 2'!D21</f>
        <v>5</v>
      </c>
      <c r="DC21" s="27">
        <f>'Por Valoracion (3) Dimension'!H21</f>
        <v>13</v>
      </c>
      <c r="DX21" s="37"/>
      <c r="DZ21" s="53" t="str">
        <f>('Clima institucional'!A22)</f>
        <v>Docentes 18</v>
      </c>
      <c r="EA21" s="27">
        <f>'Por Valoracion (3) Dimension 2'!F21</f>
        <v>4</v>
      </c>
      <c r="EB21" s="27">
        <f>'Por Valoracion (3) Dimension'!H21</f>
        <v>13</v>
      </c>
      <c r="EW21" s="37"/>
    </row>
    <row r="22" spans="1:153" x14ac:dyDescent="0.25">
      <c r="A22" s="36"/>
      <c r="C22" s="53" t="str">
        <f>('Clima institucional'!A23)</f>
        <v>Docentes 19</v>
      </c>
      <c r="D22" s="27">
        <f>'Por Valoracion (3) Dimension'!B22</f>
        <v>8</v>
      </c>
      <c r="E22" s="27">
        <f>'Por Valoracion (3) Dimension 2'!H22</f>
        <v>21</v>
      </c>
      <c r="Z22" s="36"/>
      <c r="AB22" s="53" t="str">
        <f>('Clima institucional'!A23)</f>
        <v>Docentes 19</v>
      </c>
      <c r="AC22" s="27">
        <f>'Por Valoracion (3) Dimension'!D22</f>
        <v>7</v>
      </c>
      <c r="AD22" s="27">
        <f>'Por Valoracion (3) Dimension 2'!H22</f>
        <v>21</v>
      </c>
      <c r="AY22" s="36"/>
      <c r="BA22" s="53" t="str">
        <f>('Clima institucional'!A23)</f>
        <v>Docentes 19</v>
      </c>
      <c r="BB22" s="27">
        <f>'Por Valoracion (3) Dimension'!F22</f>
        <v>7</v>
      </c>
      <c r="BC22" s="27">
        <f>'Por Valoracion (3) Dimension 2'!H22</f>
        <v>21</v>
      </c>
      <c r="BX22" s="36"/>
      <c r="BZ22" s="37"/>
      <c r="CB22" s="53" t="str">
        <f>('Clima institucional'!A23)</f>
        <v>Docentes 19</v>
      </c>
      <c r="CC22" s="27">
        <f>'Por Valoracion (3) Dimension 2'!B22</f>
        <v>7</v>
      </c>
      <c r="CD22" s="27">
        <f>'Por Valoracion (3) Dimension'!H22</f>
        <v>22</v>
      </c>
      <c r="CY22" s="37"/>
      <c r="DA22" s="53" t="str">
        <f>('Clima institucional'!A23)</f>
        <v>Docentes 19</v>
      </c>
      <c r="DB22" s="27">
        <f>'Por Valoracion (3) Dimension 2'!D22</f>
        <v>6</v>
      </c>
      <c r="DC22" s="27">
        <f>'Por Valoracion (3) Dimension'!H22</f>
        <v>22</v>
      </c>
      <c r="DX22" s="37"/>
      <c r="DZ22" s="53" t="str">
        <f>('Clima institucional'!A23)</f>
        <v>Docentes 19</v>
      </c>
      <c r="EA22" s="27">
        <f>'Por Valoracion (3) Dimension 2'!F22</f>
        <v>8</v>
      </c>
      <c r="EB22" s="27">
        <f>'Por Valoracion (3) Dimension'!H22</f>
        <v>22</v>
      </c>
      <c r="EW22" s="37"/>
    </row>
    <row r="23" spans="1:153" x14ac:dyDescent="0.25">
      <c r="A23" s="36"/>
      <c r="C23" s="53" t="str">
        <f>('Clima institucional'!A24)</f>
        <v>Docentes 20</v>
      </c>
      <c r="D23" s="27">
        <f>'Por Valoracion (3) Dimension'!B23</f>
        <v>8</v>
      </c>
      <c r="E23" s="27">
        <f>'Por Valoracion (3) Dimension 2'!H23</f>
        <v>23</v>
      </c>
      <c r="Z23" s="36"/>
      <c r="AB23" s="53" t="str">
        <f>('Clima institucional'!A24)</f>
        <v>Docentes 20</v>
      </c>
      <c r="AC23" s="27">
        <f>'Por Valoracion (3) Dimension'!D23</f>
        <v>4</v>
      </c>
      <c r="AD23" s="27">
        <f>'Por Valoracion (3) Dimension 2'!H23</f>
        <v>23</v>
      </c>
      <c r="AY23" s="36"/>
      <c r="BA23" s="53" t="str">
        <f>('Clima institucional'!A24)</f>
        <v>Docentes 20</v>
      </c>
      <c r="BB23" s="27">
        <f>'Por Valoracion (3) Dimension'!F23</f>
        <v>5</v>
      </c>
      <c r="BC23" s="27">
        <f>'Por Valoracion (3) Dimension 2'!H23</f>
        <v>23</v>
      </c>
      <c r="BX23" s="36"/>
      <c r="BZ23" s="37"/>
      <c r="CB23" s="53" t="str">
        <f>('Clima institucional'!A24)</f>
        <v>Docentes 20</v>
      </c>
      <c r="CC23" s="27">
        <f>'Por Valoracion (3) Dimension 2'!B23</f>
        <v>8</v>
      </c>
      <c r="CD23" s="27">
        <f>'Por Valoracion (3) Dimension'!H23</f>
        <v>17</v>
      </c>
      <c r="CY23" s="37"/>
      <c r="DA23" s="53" t="str">
        <f>('Clima institucional'!A24)</f>
        <v>Docentes 20</v>
      </c>
      <c r="DB23" s="27">
        <f>'Por Valoracion (3) Dimension 2'!D23</f>
        <v>8</v>
      </c>
      <c r="DC23" s="27">
        <f>'Por Valoracion (3) Dimension'!H23</f>
        <v>17</v>
      </c>
      <c r="DX23" s="37"/>
      <c r="DZ23" s="53" t="str">
        <f>('Clima institucional'!A24)</f>
        <v>Docentes 20</v>
      </c>
      <c r="EA23" s="27">
        <f>'Por Valoracion (3) Dimension 2'!F23</f>
        <v>7</v>
      </c>
      <c r="EB23" s="27">
        <f>'Por Valoracion (3) Dimension'!H23</f>
        <v>17</v>
      </c>
      <c r="EW23" s="37"/>
    </row>
    <row r="24" spans="1:153" x14ac:dyDescent="0.25">
      <c r="A24" s="36"/>
      <c r="Z24" s="36"/>
      <c r="AY24" s="36"/>
      <c r="BX24" s="36"/>
      <c r="BZ24" s="37"/>
      <c r="CY24" s="37"/>
      <c r="DX24" s="37"/>
      <c r="EW24" s="37"/>
    </row>
    <row r="25" spans="1:153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</row>
    <row r="28" spans="1:153" x14ac:dyDescent="0.25">
      <c r="D28" t="s">
        <v>192</v>
      </c>
      <c r="E28" t="s">
        <v>205</v>
      </c>
      <c r="F28" t="s">
        <v>193</v>
      </c>
      <c r="G28" t="s">
        <v>194</v>
      </c>
      <c r="H28" t="s">
        <v>195</v>
      </c>
      <c r="I28" t="s">
        <v>196</v>
      </c>
      <c r="M28" t="s">
        <v>197</v>
      </c>
      <c r="N28" t="s">
        <v>198</v>
      </c>
      <c r="O28" t="s">
        <v>199</v>
      </c>
      <c r="R28" t="s">
        <v>197</v>
      </c>
      <c r="S28" t="s">
        <v>198</v>
      </c>
      <c r="T28" t="s">
        <v>200</v>
      </c>
      <c r="AC28" t="s">
        <v>192</v>
      </c>
      <c r="AD28" t="s">
        <v>205</v>
      </c>
      <c r="AE28" t="s">
        <v>193</v>
      </c>
      <c r="AF28" t="s">
        <v>194</v>
      </c>
      <c r="AG28" t="s">
        <v>195</v>
      </c>
      <c r="AH28" t="s">
        <v>196</v>
      </c>
      <c r="AL28" t="s">
        <v>197</v>
      </c>
      <c r="AM28" t="s">
        <v>198</v>
      </c>
      <c r="AN28" t="s">
        <v>199</v>
      </c>
      <c r="AQ28" t="s">
        <v>197</v>
      </c>
      <c r="AR28" t="s">
        <v>198</v>
      </c>
      <c r="AS28" t="s">
        <v>200</v>
      </c>
      <c r="BB28" t="s">
        <v>192</v>
      </c>
      <c r="BC28" t="s">
        <v>205</v>
      </c>
      <c r="BD28" t="s">
        <v>193</v>
      </c>
      <c r="BE28" t="s">
        <v>194</v>
      </c>
      <c r="BF28" t="s">
        <v>195</v>
      </c>
      <c r="BG28" t="s">
        <v>196</v>
      </c>
      <c r="BK28" t="s">
        <v>197</v>
      </c>
      <c r="BL28" t="s">
        <v>198</v>
      </c>
      <c r="BM28" t="s">
        <v>199</v>
      </c>
      <c r="BP28" t="s">
        <v>197</v>
      </c>
      <c r="BQ28" t="s">
        <v>198</v>
      </c>
      <c r="BR28" t="s">
        <v>200</v>
      </c>
      <c r="CC28" t="s">
        <v>192</v>
      </c>
      <c r="CD28" t="s">
        <v>205</v>
      </c>
      <c r="CE28" t="s">
        <v>193</v>
      </c>
      <c r="CF28" t="s">
        <v>194</v>
      </c>
      <c r="CG28" t="s">
        <v>195</v>
      </c>
      <c r="CH28" t="s">
        <v>196</v>
      </c>
      <c r="CL28" t="s">
        <v>197</v>
      </c>
      <c r="CM28" t="s">
        <v>198</v>
      </c>
      <c r="CN28" t="s">
        <v>199</v>
      </c>
      <c r="CQ28" t="s">
        <v>197</v>
      </c>
      <c r="CR28" t="s">
        <v>198</v>
      </c>
      <c r="CS28" t="s">
        <v>200</v>
      </c>
      <c r="DB28" t="s">
        <v>192</v>
      </c>
      <c r="DC28" t="s">
        <v>205</v>
      </c>
      <c r="DD28" t="s">
        <v>193</v>
      </c>
      <c r="DE28" t="s">
        <v>194</v>
      </c>
      <c r="DF28" t="s">
        <v>195</v>
      </c>
      <c r="DG28" t="s">
        <v>196</v>
      </c>
      <c r="DK28" t="s">
        <v>197</v>
      </c>
      <c r="DL28" t="s">
        <v>198</v>
      </c>
      <c r="DM28" t="s">
        <v>199</v>
      </c>
      <c r="DP28" t="s">
        <v>197</v>
      </c>
      <c r="DQ28" t="s">
        <v>198</v>
      </c>
      <c r="DR28" t="s">
        <v>200</v>
      </c>
      <c r="EA28" t="s">
        <v>192</v>
      </c>
      <c r="EB28" t="s">
        <v>205</v>
      </c>
      <c r="EC28" t="s">
        <v>193</v>
      </c>
      <c r="ED28" t="s">
        <v>194</v>
      </c>
      <c r="EE28" t="s">
        <v>195</v>
      </c>
      <c r="EF28" t="s">
        <v>196</v>
      </c>
      <c r="EJ28" t="s">
        <v>197</v>
      </c>
      <c r="EK28" t="s">
        <v>198</v>
      </c>
      <c r="EL28" t="s">
        <v>199</v>
      </c>
      <c r="EO28" t="s">
        <v>197</v>
      </c>
      <c r="EP28" t="s">
        <v>198</v>
      </c>
      <c r="EQ28" t="s">
        <v>200</v>
      </c>
    </row>
    <row r="29" spans="1:153" x14ac:dyDescent="0.25">
      <c r="D29" t="str">
        <f>D3</f>
        <v>Estructuración Organizacional</v>
      </c>
      <c r="E29" t="str">
        <f>E3</f>
        <v>Desarrollo de competencias</v>
      </c>
      <c r="F29" t="str">
        <f>IF(G8&lt;=50,H6,H6)</f>
        <v>Kolmogorov-Smirnova</v>
      </c>
      <c r="G29" t="str">
        <f>IF(E3&lt;5/100,"la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H29" t="str">
        <f>IF(G29="la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I29" t="str">
        <f>IF(G29=" es decir los datos no se encuentran normalmente distribuidos"," la prueba no paramétrica de correlación de Rho de Spearman","la prueba paramétrica de correlación de Pearson")</f>
        <v>la prueba paramétrica de correlación de Pearson</v>
      </c>
      <c r="M29" t="s">
        <v>201</v>
      </c>
      <c r="N29">
        <f>R14</f>
        <v>0</v>
      </c>
      <c r="O29">
        <f>R13</f>
        <v>0</v>
      </c>
      <c r="R29" t="s">
        <v>201</v>
      </c>
      <c r="S29">
        <f>X14</f>
        <v>0</v>
      </c>
      <c r="T29">
        <f>X13</f>
        <v>0</v>
      </c>
      <c r="AC29" t="str">
        <f>AC3</f>
        <v>Relaciones Interpersonales</v>
      </c>
      <c r="AD29" t="str">
        <f>AD3</f>
        <v>Desarrollo de competencias</v>
      </c>
      <c r="AE29" t="str">
        <f>IF(AF8&lt;=50,AG6,AG6)</f>
        <v>Kolmogorov-Smirnova</v>
      </c>
      <c r="AF29" t="str">
        <f>IF(AD3&lt;5/100,"la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AG29" t="str">
        <f>IF(AF29="la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AH29" t="str">
        <f>IF(AF29=" es decir los datos no se encuentran normalmente distribuidos"," la prueba no paramétrica de correlación de Rho de Spearman","la prueba paramétrica de correlación de Pearson")</f>
        <v>la prueba paramétrica de correlación de Pearson</v>
      </c>
      <c r="AL29" t="s">
        <v>201</v>
      </c>
      <c r="AM29">
        <f>AQ14</f>
        <v>0</v>
      </c>
      <c r="AN29">
        <f>AQ13</f>
        <v>0</v>
      </c>
      <c r="AQ29" t="s">
        <v>201</v>
      </c>
      <c r="AR29">
        <f>AW14</f>
        <v>0</v>
      </c>
      <c r="AS29">
        <f>AW13</f>
        <v>0</v>
      </c>
      <c r="BB29" t="str">
        <f>BB3</f>
        <v>Identidad Institucional</v>
      </c>
      <c r="BC29" t="str">
        <f>BC3</f>
        <v>Desarrollo de competencias</v>
      </c>
      <c r="BD29" t="str">
        <f>IF(BE8&lt;=50,BF6,BF6)</f>
        <v>Kolmogorov-Smirnova</v>
      </c>
      <c r="BE29" t="str">
        <f>IF(BC3&lt;5/100,"la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BF29" t="str">
        <f>IF(BE29="la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BG29" t="str">
        <f>IF(BE29=" es decir los datos no se encuentran normalmente distribuidos"," la prueba no paramétrica de correlación de Rho de Spearman","la prueba paramétrica de correlación de Pearson")</f>
        <v>la prueba paramétrica de correlación de Pearson</v>
      </c>
      <c r="BK29" t="s">
        <v>201</v>
      </c>
      <c r="BL29">
        <f>BP14</f>
        <v>0</v>
      </c>
      <c r="BM29">
        <f>BP13</f>
        <v>0</v>
      </c>
      <c r="BP29" t="s">
        <v>201</v>
      </c>
      <c r="BQ29">
        <f>BV14</f>
        <v>0</v>
      </c>
      <c r="BR29">
        <f>BV13</f>
        <v>0</v>
      </c>
      <c r="CC29" t="str">
        <f>CC3</f>
        <v>Nivel de planificación de la enseñanza</v>
      </c>
      <c r="CD29" t="str">
        <f>CD3</f>
        <v>Clima institucional</v>
      </c>
      <c r="CE29" t="str">
        <f>IF(CF8&lt;=50,CG6,CG6)</f>
        <v>Kolmogorov-Smirnova</v>
      </c>
      <c r="CF29" t="str">
        <f>IF(CD3&lt;5/100,"la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CG29" t="str">
        <f>IF(CF29="la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CH29" t="str">
        <f>IF(CF29=" es decir los datos no se encuentran normalmente distribuidos"," la prueba no paramétrica de correlación de Rho de Spearman","la prueba paramétrica de correlación de Pearson")</f>
        <v>la prueba paramétrica de correlación de Pearson</v>
      </c>
      <c r="CL29" t="s">
        <v>201</v>
      </c>
      <c r="CM29">
        <f>CQ14</f>
        <v>0</v>
      </c>
      <c r="CN29">
        <f>CQ13</f>
        <v>0</v>
      </c>
      <c r="CQ29" t="s">
        <v>201</v>
      </c>
      <c r="CR29">
        <f>CW14</f>
        <v>0</v>
      </c>
      <c r="CS29">
        <f>CW13</f>
        <v>0</v>
      </c>
      <c r="DB29" t="str">
        <f>DB3</f>
        <v>Nivel de la competencia comunicativa</v>
      </c>
      <c r="DC29" t="str">
        <f>DC3</f>
        <v>Clima institucional</v>
      </c>
      <c r="DD29" t="str">
        <f>IF(DE8&lt;=50,DF6,DF6)</f>
        <v>Kolmogorov-Smirnova</v>
      </c>
      <c r="DE29" t="str">
        <f>IF(DC3&lt;5/100,"la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DF29" t="str">
        <f>IF(DE29="la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DG29" t="str">
        <f>IF(DE29=" es decir los datos no se encuentran normalmente distribuidos"," la prueba no paramétrica de correlación de Rho de Spearman","la prueba paramétrica de correlación de Pearson")</f>
        <v>la prueba paramétrica de correlación de Pearson</v>
      </c>
      <c r="DK29" t="s">
        <v>201</v>
      </c>
      <c r="DL29">
        <f>DP14</f>
        <v>0</v>
      </c>
      <c r="DM29">
        <f>DP13</f>
        <v>0</v>
      </c>
      <c r="DP29" t="s">
        <v>201</v>
      </c>
      <c r="DQ29">
        <f>DV14</f>
        <v>0</v>
      </c>
      <c r="DR29">
        <f>DV13</f>
        <v>0</v>
      </c>
      <c r="EA29" t="str">
        <f>EA3</f>
        <v>Diseño de metodología</v>
      </c>
      <c r="EB29" t="str">
        <f>EB3</f>
        <v>Clima institucional</v>
      </c>
      <c r="EC29" t="str">
        <f>IF(ED8&lt;=50,EE6,EE6)</f>
        <v>Kolmogorov-Smirnova</v>
      </c>
      <c r="ED29" t="str">
        <f>IF(EB3&lt;5/100,"la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EE29" t="str">
        <f>IF(ED29="la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EF29" t="str">
        <f>IF(ED29=" es decir los datos no se encuentran normalmente distribuidos"," la prueba no paramétrica de correlación de Rho de Spearman","la prueba paramétrica de correlación de Pearson")</f>
        <v>la prueba paramétrica de correlación de Pearson</v>
      </c>
      <c r="EJ29" t="s">
        <v>201</v>
      </c>
      <c r="EK29">
        <f>EO14</f>
        <v>0</v>
      </c>
      <c r="EL29">
        <f>EO13</f>
        <v>0</v>
      </c>
      <c r="EO29" t="s">
        <v>201</v>
      </c>
      <c r="EP29">
        <f>EU14</f>
        <v>0</v>
      </c>
      <c r="EQ29">
        <f>EU13</f>
        <v>0</v>
      </c>
    </row>
    <row r="30" spans="1:153" x14ac:dyDescent="0.25">
      <c r="C30" t="s">
        <v>202</v>
      </c>
      <c r="D30">
        <f>M8</f>
        <v>0</v>
      </c>
      <c r="E30">
        <f>M9</f>
        <v>0</v>
      </c>
      <c r="N30">
        <f>N29/100</f>
        <v>0</v>
      </c>
      <c r="O30">
        <f>O29*100</f>
        <v>0</v>
      </c>
      <c r="Q30" t="s">
        <v>203</v>
      </c>
      <c r="S30">
        <f>S29/100</f>
        <v>0</v>
      </c>
      <c r="T30">
        <f>T29*100</f>
        <v>0</v>
      </c>
      <c r="V30" t="s">
        <v>203</v>
      </c>
      <c r="AB30" t="s">
        <v>202</v>
      </c>
      <c r="AC30">
        <f>AL8</f>
        <v>0</v>
      </c>
      <c r="AD30">
        <f>AL9</f>
        <v>0</v>
      </c>
      <c r="AM30">
        <f>AM29/100</f>
        <v>0</v>
      </c>
      <c r="AN30">
        <f>AN29*100</f>
        <v>0</v>
      </c>
      <c r="AP30" t="s">
        <v>203</v>
      </c>
      <c r="AR30">
        <f>AR29/100</f>
        <v>0</v>
      </c>
      <c r="AS30">
        <f>AS29*100</f>
        <v>0</v>
      </c>
      <c r="AU30" t="s">
        <v>203</v>
      </c>
      <c r="BA30" t="s">
        <v>202</v>
      </c>
      <c r="BB30">
        <f>BK8</f>
        <v>0</v>
      </c>
      <c r="BC30">
        <f>BK9</f>
        <v>0</v>
      </c>
      <c r="BL30">
        <f>BL29/100</f>
        <v>0</v>
      </c>
      <c r="BM30">
        <f>BM29*100</f>
        <v>0</v>
      </c>
      <c r="BO30" t="s">
        <v>203</v>
      </c>
      <c r="BQ30">
        <f>BQ29/100</f>
        <v>0</v>
      </c>
      <c r="BR30">
        <f>BR29*100</f>
        <v>0</v>
      </c>
      <c r="BT30" t="s">
        <v>203</v>
      </c>
      <c r="CB30" t="s">
        <v>202</v>
      </c>
      <c r="CC30">
        <f>CL8</f>
        <v>0</v>
      </c>
      <c r="CD30">
        <f>CL9</f>
        <v>0</v>
      </c>
      <c r="CM30">
        <f>CM29/100</f>
        <v>0</v>
      </c>
      <c r="CN30">
        <f>CN29*100</f>
        <v>0</v>
      </c>
      <c r="CP30" t="s">
        <v>203</v>
      </c>
      <c r="CR30">
        <f>CR29/100</f>
        <v>0</v>
      </c>
      <c r="CS30">
        <f>CS29*100</f>
        <v>0</v>
      </c>
      <c r="CU30" t="s">
        <v>203</v>
      </c>
      <c r="DA30" t="s">
        <v>202</v>
      </c>
      <c r="DB30">
        <f>DK8</f>
        <v>0</v>
      </c>
      <c r="DC30">
        <f>DK9</f>
        <v>0</v>
      </c>
      <c r="DL30">
        <f>DL29/100</f>
        <v>0</v>
      </c>
      <c r="DM30">
        <f>DM29*100</f>
        <v>0</v>
      </c>
      <c r="DO30" t="s">
        <v>203</v>
      </c>
      <c r="DQ30">
        <f>DQ29/100</f>
        <v>0</v>
      </c>
      <c r="DR30">
        <f>DR29*100</f>
        <v>0</v>
      </c>
      <c r="DT30" t="s">
        <v>203</v>
      </c>
      <c r="DZ30" t="s">
        <v>202</v>
      </c>
      <c r="EA30">
        <f>EJ8</f>
        <v>0</v>
      </c>
      <c r="EB30">
        <f>EJ9</f>
        <v>0</v>
      </c>
      <c r="EK30">
        <f>EK29/100</f>
        <v>0</v>
      </c>
      <c r="EL30">
        <f>EL29*100</f>
        <v>0</v>
      </c>
      <c r="EN30" t="s">
        <v>203</v>
      </c>
      <c r="EP30">
        <f>EP29/100</f>
        <v>0</v>
      </c>
      <c r="EQ30">
        <f>EQ29*100</f>
        <v>0</v>
      </c>
      <c r="ES30" t="s">
        <v>203</v>
      </c>
    </row>
    <row r="31" spans="1:153" x14ac:dyDescent="0.25">
      <c r="N31" t="str">
        <f>IF(N29&lt;5/100,"existe relación significativa entre las ","no existe relación entre las ")</f>
        <v xml:space="preserve">existe relación significativa entre las </v>
      </c>
      <c r="O31" t="str">
        <f>IF(O29&lt;='Criterio para el valor r'!$A$2,'Criterio para el valor r'!$C$2,IF(O29&lt;='Criterio para el valor r'!$A$3,'Criterio para el valor r'!$C$3,IF(O29&lt;='Criterio para el valor r'!$A$4,'Criterio para el valor r'!$C$4,IF(O29&lt;='Criterio para el valor r'!$A$5,'Criterio para el valor r'!$C$5,IF(O29&lt;='Criterio para el valor r'!$A$6,'Criterio para el valor r'!$C$6,IF(O29&lt;='Criterio para el valor r'!$A$8,'Criterio para el valor r'!$C$7,IF(O29&lt;='Criterio para el valor r'!$A$7,'Criterio para el valor r'!$C$8,IF(O29&lt;='Criterio para el valor r'!$B$9,'Criterio para el valor r'!$C$9,IF(O29&lt;='Criterio para el valor r'!$B$10,'Criterio para el valor r'!$C$10,IF(O29&lt;='Criterio para el valor r'!$B$11,'Criterio para el valor r'!$C$11,IF(O29&lt;='Criterio para el valor r'!$B$12,'Criterio para el valor r'!$C$12,IF(O29&lt;='Criterio para el valor r'!$B$13,'Criterio para el valor r'!$C$13,IF(O29&lt;='Criterio para el valor r'!$B$14,'Criterio para el valor r'!$C$14,"algo esta mal")))))))))))))</f>
        <v>Correlación negativa muy débil</v>
      </c>
      <c r="P31" t="str">
        <f>IF(O29&lt;0,"menor","mayor")</f>
        <v>mayor</v>
      </c>
      <c r="Q31" t="str">
        <f>IF(N30&gt;=5/100,"se acepta la Ho y se rechaza la Hi","se rechaza la Ho y se acepta la Hi")</f>
        <v>se rechaza la Ho y se acepta la Hi</v>
      </c>
      <c r="S31" t="str">
        <f>IF(S29&lt;5/100,"existe relación significativa entre las ","no existe relación entre las ")</f>
        <v xml:space="preserve">existe relación significativa entre las </v>
      </c>
      <c r="T31" t="str">
        <f>IF(T29&lt;5/100,"existe relación significativa entre las ","no existe relación entre las ")</f>
        <v xml:space="preserve">existe relación significativa entre las </v>
      </c>
      <c r="U31" t="str">
        <f>IF(T29&lt;0,"menor","mayor")</f>
        <v>mayor</v>
      </c>
      <c r="V31" t="str">
        <f>IF(S30&gt;=5/100,"se acepta la Ho y se rechaza la Hi","se rechaza la Ho y se acepta la Hi")</f>
        <v>se rechaza la Ho y se acepta la Hi</v>
      </c>
      <c r="AM31" t="str">
        <f>IF(AM29&lt;5/100,"existe relación significativa entre las ","no existe relación entre las ")</f>
        <v xml:space="preserve">existe relación significativa entre las </v>
      </c>
      <c r="AN31" t="str">
        <f>IF(AN29&lt;='Criterio para el valor r'!$A$2,'Criterio para el valor r'!$C$2,IF(AN29&lt;='Criterio para el valor r'!$A$3,'Criterio para el valor r'!$C$3,IF(AN29&lt;='Criterio para el valor r'!$A$4,'Criterio para el valor r'!$C$4,IF(AN29&lt;='Criterio para el valor r'!$A$5,'Criterio para el valor r'!$C$5,IF(AN29&lt;='Criterio para el valor r'!$A$6,'Criterio para el valor r'!$C$6,IF(AN29&lt;='Criterio para el valor r'!$A$8,'Criterio para el valor r'!$C$7,IF(AN29&lt;='Criterio para el valor r'!$A$7,'Criterio para el valor r'!$C$8,IF(AN29&lt;='Criterio para el valor r'!$B$9,'Criterio para el valor r'!$C$9,IF(AN29&lt;='Criterio para el valor r'!$B$10,'Criterio para el valor r'!$C$10,IF(AN29&lt;='Criterio para el valor r'!$B$11,'Criterio para el valor r'!$C$11,IF(AN29&lt;='Criterio para el valor r'!$B$12,'Criterio para el valor r'!$C$12,IF(AN29&lt;='Criterio para el valor r'!$B$13,'Criterio para el valor r'!$C$13,IF(AN29&lt;='Criterio para el valor r'!$B$14,'Criterio para el valor r'!$C$14,"algo esta mal")))))))))))))</f>
        <v>Correlación negativa muy débil</v>
      </c>
      <c r="AO31" t="str">
        <f>IF(AN29&lt;0,"menor","mayor")</f>
        <v>mayor</v>
      </c>
      <c r="AP31" t="str">
        <f>IF(AM30&gt;=5/100,"se acepta la Ho y se rechaza la Hi","se rechaza la Ho y se acepta la Hi")</f>
        <v>se rechaza la Ho y se acepta la Hi</v>
      </c>
      <c r="AR31" t="str">
        <f>IF(AR29&lt;5/100,"existe relación significativa entre las ","no existe relación entre las ")</f>
        <v xml:space="preserve">existe relación significativa entre las </v>
      </c>
      <c r="AS31" t="str">
        <f>IF(AS29&lt;5/100,"existe relación significativa entre las ","no existe relación entre las ")</f>
        <v xml:space="preserve">existe relación significativa entre las </v>
      </c>
      <c r="AT31" t="str">
        <f>IF(AS29&lt;0,"menor","mayor")</f>
        <v>mayor</v>
      </c>
      <c r="AU31" t="str">
        <f>IF(AR30&gt;=5/100,"se acepta la Ho y se rechaza la Hi","se rechaza la Ho y se acepta la Hi")</f>
        <v>se rechaza la Ho y se acepta la Hi</v>
      </c>
      <c r="BL31" t="str">
        <f>IF(BL29&lt;5/100,"existe relación significativa entre las ","no existe relación entre las ")</f>
        <v xml:space="preserve">existe relación significativa entre las </v>
      </c>
      <c r="BM31" t="str">
        <f>IF(BM29&lt;='Criterio para el valor r'!$A$2,'Criterio para el valor r'!$C$2,IF(BM29&lt;='Criterio para el valor r'!$A$3,'Criterio para el valor r'!$C$3,IF(BM29&lt;='Criterio para el valor r'!$A$4,'Criterio para el valor r'!$C$4,IF(BM29&lt;='Criterio para el valor r'!$A$5,'Criterio para el valor r'!$C$5,IF(BM29&lt;='Criterio para el valor r'!$A$6,'Criterio para el valor r'!$C$6,IF(BM29&lt;='Criterio para el valor r'!$A$8,'Criterio para el valor r'!$C$7,IF(BM29&lt;='Criterio para el valor r'!$A$7,'Criterio para el valor r'!$C$8,IF(BM29&lt;='Criterio para el valor r'!$B$9,'Criterio para el valor r'!$C$9,IF(BM29&lt;='Criterio para el valor r'!$B$10,'Criterio para el valor r'!$C$10,IF(BM29&lt;='Criterio para el valor r'!$B$11,'Criterio para el valor r'!$C$11,IF(BM29&lt;='Criterio para el valor r'!$B$12,'Criterio para el valor r'!$C$12,IF(BM29&lt;='Criterio para el valor r'!$B$13,'Criterio para el valor r'!$C$13,IF(BM29&lt;='Criterio para el valor r'!$B$14,'Criterio para el valor r'!$C$14,"algo esta mal")))))))))))))</f>
        <v>Correlación negativa muy débil</v>
      </c>
      <c r="BN31" t="str">
        <f>IF(BM29&lt;0,"menor","mayor")</f>
        <v>mayor</v>
      </c>
      <c r="BO31" t="str">
        <f>IF(BL30&gt;=5/100,"se acepta la Ho y se rechaza la Hi","se rechaza la Ho y se acepta la Hi")</f>
        <v>se rechaza la Ho y se acepta la Hi</v>
      </c>
      <c r="BQ31" t="str">
        <f>IF(BQ29&lt;5/100,"existe relación significativa entre las ","no existe relación entre las ")</f>
        <v xml:space="preserve">existe relación significativa entre las </v>
      </c>
      <c r="BR31" t="str">
        <f>IF(BR29&lt;5/100,"existe relación significativa entre las ","no existe relación entre las ")</f>
        <v xml:space="preserve">existe relación significativa entre las </v>
      </c>
      <c r="BS31" t="str">
        <f>IF(BR29&lt;0,"menor","mayor")</f>
        <v>mayor</v>
      </c>
      <c r="BT31" t="str">
        <f>IF(BQ30&gt;=5/100,"se acepta la Ho y se rechaza la Hi","se rechaza la Ho y se acepta la Hi")</f>
        <v>se rechaza la Ho y se acepta la Hi</v>
      </c>
      <c r="CM31" t="str">
        <f>IF(CM29&lt;5/100,"existe relación significativa entre las ","no existe relación entre las ")</f>
        <v xml:space="preserve">existe relación significativa entre las </v>
      </c>
      <c r="CN31" t="str">
        <f>IF(CN29&lt;='Criterio para el valor r'!$A$2,'Criterio para el valor r'!$C$2,IF(CN29&lt;='Criterio para el valor r'!$A$3,'Criterio para el valor r'!$C$3,IF(CN29&lt;='Criterio para el valor r'!$A$4,'Criterio para el valor r'!$C$4,IF(CN29&lt;='Criterio para el valor r'!$A$5,'Criterio para el valor r'!$C$5,IF(CN29&lt;='Criterio para el valor r'!$A$6,'Criterio para el valor r'!$C$6,IF(CN29&lt;='Criterio para el valor r'!$A$8,'Criterio para el valor r'!$C$7,IF(CN29&lt;='Criterio para el valor r'!$A$7,'Criterio para el valor r'!$C$8,IF(CN29&lt;='Criterio para el valor r'!$B$9,'Criterio para el valor r'!$C$9,IF(CN29&lt;='Criterio para el valor r'!$B$10,'Criterio para el valor r'!$C$10,IF(CN29&lt;='Criterio para el valor r'!$B$11,'Criterio para el valor r'!$C$11,IF(CN29&lt;='Criterio para el valor r'!$B$12,'Criterio para el valor r'!$C$12,IF(CN29&lt;='Criterio para el valor r'!$B$13,'Criterio para el valor r'!$C$13,IF(CN29&lt;='Criterio para el valor r'!$B$14,'Criterio para el valor r'!$C$14,"algo esta mal")))))))))))))</f>
        <v>Correlación negativa muy débil</v>
      </c>
      <c r="CO31" t="str">
        <f>IF(CN29&lt;0,"menor","mayor")</f>
        <v>mayor</v>
      </c>
      <c r="CP31" t="str">
        <f>IF(CM30&gt;=5/100,"se acepta la Ho y se rechaza la Hi","se rechaza la Ho y se acepta la Hi")</f>
        <v>se rechaza la Ho y se acepta la Hi</v>
      </c>
      <c r="CR31" t="str">
        <f>IF(CR29&lt;5/100,"existe relación significativa entre las ","no existe relación entre las ")</f>
        <v xml:space="preserve">existe relación significativa entre las </v>
      </c>
      <c r="CS31" t="str">
        <f>IF(CS29&lt;5/100,"existe relación significativa entre las ","no existe relación entre las ")</f>
        <v xml:space="preserve">existe relación significativa entre las </v>
      </c>
      <c r="CT31" t="str">
        <f>IF(CS29&lt;0,"menor","mayor")</f>
        <v>mayor</v>
      </c>
      <c r="CU31" t="str">
        <f>IF(CR30&gt;=5/100,"se acepta la Ho y se rechaza la Hi","se rechaza la Ho y se acepta la Hi")</f>
        <v>se rechaza la Ho y se acepta la Hi</v>
      </c>
      <c r="DL31" t="str">
        <f>IF(DL29&lt;5/100,"existe relación significativa entre las ","no existe relación entre las ")</f>
        <v xml:space="preserve">existe relación significativa entre las </v>
      </c>
      <c r="DM31" t="str">
        <f>IF(DM29&lt;='Criterio para el valor r'!$A$2,'Criterio para el valor r'!$C$2,IF(DM29&lt;='Criterio para el valor r'!$A$3,'Criterio para el valor r'!$C$3,IF(DM29&lt;='Criterio para el valor r'!$A$4,'Criterio para el valor r'!$C$4,IF(DM29&lt;='Criterio para el valor r'!$A$5,'Criterio para el valor r'!$C$5,IF(DM29&lt;='Criterio para el valor r'!$A$6,'Criterio para el valor r'!$C$6,IF(DM29&lt;='Criterio para el valor r'!$A$8,'Criterio para el valor r'!$C$7,IF(DM29&lt;='Criterio para el valor r'!$A$7,'Criterio para el valor r'!$C$8,IF(DM29&lt;='Criterio para el valor r'!$B$9,'Criterio para el valor r'!$C$9,IF(DM29&lt;='Criterio para el valor r'!$B$10,'Criterio para el valor r'!$C$10,IF(DM29&lt;='Criterio para el valor r'!$B$11,'Criterio para el valor r'!$C$11,IF(DM29&lt;='Criterio para el valor r'!$B$12,'Criterio para el valor r'!$C$12,IF(DM29&lt;='Criterio para el valor r'!$B$13,'Criterio para el valor r'!$C$13,IF(DM29&lt;='Criterio para el valor r'!$B$14,'Criterio para el valor r'!$C$14,"algo esta mal")))))))))))))</f>
        <v>Correlación negativa muy débil</v>
      </c>
      <c r="DN31" t="str">
        <f>IF(DM29&lt;0,"menor","mayor")</f>
        <v>mayor</v>
      </c>
      <c r="DO31" t="str">
        <f>IF(DL30&gt;=5/100,"se acepta la Ho y se rechaza la Hi","se rechaza la Ho y se acepta la Hi")</f>
        <v>se rechaza la Ho y se acepta la Hi</v>
      </c>
      <c r="DQ31" t="str">
        <f>IF(DQ29&lt;5/100,"existe relación significativa entre las ","no existe relación entre las ")</f>
        <v xml:space="preserve">existe relación significativa entre las </v>
      </c>
      <c r="DR31" t="str">
        <f>IF(DR29&lt;5/100,"existe relación significativa entre las ","no existe relación entre las ")</f>
        <v xml:space="preserve">existe relación significativa entre las </v>
      </c>
      <c r="DS31" t="str">
        <f>IF(DR29&lt;0,"menor","mayor")</f>
        <v>mayor</v>
      </c>
      <c r="DT31" t="str">
        <f>IF(DQ30&gt;=5/100,"se acepta la Ho y se rechaza la Hi","se rechaza la Ho y se acepta la Hi")</f>
        <v>se rechaza la Ho y se acepta la Hi</v>
      </c>
      <c r="EK31" t="str">
        <f>IF(EK29&lt;5/100,"existe relación significativa entre las ","no existe relación entre las ")</f>
        <v xml:space="preserve">existe relación significativa entre las </v>
      </c>
      <c r="EL31" t="str">
        <f>IF(EL29&lt;='Criterio para el valor r'!$A$2,'Criterio para el valor r'!$C$2,IF(EL29&lt;='Criterio para el valor r'!$A$3,'Criterio para el valor r'!$C$3,IF(EL29&lt;='Criterio para el valor r'!$A$4,'Criterio para el valor r'!$C$4,IF(EL29&lt;='Criterio para el valor r'!$A$5,'Criterio para el valor r'!$C$5,IF(EL29&lt;='Criterio para el valor r'!$A$6,'Criterio para el valor r'!$C$6,IF(EL29&lt;='Criterio para el valor r'!$A$8,'Criterio para el valor r'!$C$7,IF(EL29&lt;='Criterio para el valor r'!$A$7,'Criterio para el valor r'!$C$8,IF(EL29&lt;='Criterio para el valor r'!$B$9,'Criterio para el valor r'!$C$9,IF(EL29&lt;='Criterio para el valor r'!$B$10,'Criterio para el valor r'!$C$10,IF(EL29&lt;='Criterio para el valor r'!$B$11,'Criterio para el valor r'!$C$11,IF(EL29&lt;='Criterio para el valor r'!$B$12,'Criterio para el valor r'!$C$12,IF(EL29&lt;='Criterio para el valor r'!$B$13,'Criterio para el valor r'!$C$13,IF(EL29&lt;='Criterio para el valor r'!$B$14,'Criterio para el valor r'!$C$14,"algo esta mal")))))))))))))</f>
        <v>Correlación negativa muy débil</v>
      </c>
      <c r="EM31" t="str">
        <f>IF(EL29&lt;0,"menor","mayor")</f>
        <v>mayor</v>
      </c>
      <c r="EN31" t="str">
        <f>IF(EK30&gt;=5/100,"se acepta la Ho y se rechaza la Hi","se rechaza la Ho y se acepta la Hi")</f>
        <v>se rechaza la Ho y se acepta la Hi</v>
      </c>
      <c r="EP31" t="str">
        <f>IF(EP29&lt;5/100,"existe relación significativa entre las ","no existe relación entre las ")</f>
        <v xml:space="preserve">existe relación significativa entre las </v>
      </c>
      <c r="EQ31" t="str">
        <f>IF(EQ29&lt;5/100,"existe relación significativa entre las ","no existe relación entre las ")</f>
        <v xml:space="preserve">existe relación significativa entre las </v>
      </c>
      <c r="ER31" t="str">
        <f>IF(EQ29&lt;0,"menor","mayor")</f>
        <v>mayor</v>
      </c>
      <c r="ES31" t="str">
        <f>IF(EP30&gt;=5/100,"se acepta la Ho y se rechaza la Hi","se rechaza la Ho y se acepta la Hi")</f>
        <v>se rechaza la Ho y se acepta la Hi</v>
      </c>
    </row>
    <row r="34" spans="15:150" x14ac:dyDescent="0.25">
      <c r="O34" s="52" t="str">
        <f>CONCATENATE("la ",O10," muestra los resultados de la prueba de ",P13,", en donde se evidencia que con una ",N28," del ",N30,"% ",N31," ",M29," ",O13," y ",O16,", adicional a ello se puede observar que la fuerza y/o grado de correlación ",O28," tiene un valor de ",O30,"% lo que afirma que es una ",O31," mismo que asu vez significa que a mayor ",Q12," ",P31," ",O16,", por todo ello en el presente objetivo ",Q31,".")</f>
        <v>la Tabla 1 muestra los resultados de la prueba de Correlación de Pearson, en donde se evidencia que con una  probabilidad de error  del 0% existe relación significativa entre las  dimensiones Estructuración Organizacional y Desarrollo de competencias, adicional a ello se puede observar que la fuerza y/o grado de correlación  "r"  tiene un valor de 0% lo que afirma que es una Correlación negativa muy débil mismo que asu vez significa que a mayor Estructuración Organizacional mayor Desarrollo de competencias, por todo ello en el presente objetivo se rechaza la Ho y se acepta la Hi.</v>
      </c>
      <c r="P34" s="53"/>
      <c r="Q34" s="53"/>
      <c r="R34" s="53"/>
      <c r="T34" s="52" t="str">
        <f>CONCATENATE("la ",T10," muestra los resultados de la prueba de ",V13,", en donde se evidencia que con una ",S28," del ",S30,"% ",S31," ",R29," ",U13," y ",U16,", adicional a ello se puede observar que la fuerza y/o grado de correlación ",T28," tiene un valor de ",T30,"% lo que afirma que es una ",T31," mismo que asu vez significa que a mayor ",W12," ",U31," ",X12,", por todo ello en el presente objetivo ",V31,".")</f>
        <v>la Tabla 1 muestra los resultados de la prueba de Correlación de Rho de Spearman, en donde se evidencia que con una  probabilidad de error  del 0% existe relación significativa entre las  dimensiones Estructuración Organizacional y Desarrollo de competencias, adicional a ello se puede observar que la fuerza y/o grado de correlación "Rho" tiene un valor de 0% lo que afirma que es una existe relación significativa entre las  mismo que asu vez significa que a mayor Estructuración Organizacional mayor Desarrollo de competencias, por todo ello en el presente objetivo se rechaza la Ho y se acepta la Hi.</v>
      </c>
      <c r="U34" s="53"/>
      <c r="V34" s="53"/>
      <c r="W34" s="53"/>
      <c r="AN34" s="52" t="str">
        <f>CONCATENATE("la ",AN10," muestra los resultados de la prueba de ",AO13,", en donde se evidencia que con una ",AM28," del ",AM30,"% ",AM31," ",AL29," ",AN13," y ",AN16,", adicional a ello se puede observar que la fuerza y/o grado de correlación ",AN28," tiene un valor de ",AN30,"% lo que afirma que es una ",AN31," mismo que asu vez significa que a mayor ",AP12," ",AO31," ",AN16,", por todo ello en el presente objetivo ",AP31,".")</f>
        <v>la Tabla 2 muestra los resultados de la prueba de Correlación de Pearson, en donde se evidencia que con una  probabilidad de error  del 0% existe relación significativa entre las  dimensiones Relaciones Interpersonales y Desarrollo de competencias, adicional a ello se puede observar que la fuerza y/o grado de correlación  "r"  tiene un valor de 0% lo que afirma que es una Correlación negativa muy débil mismo que asu vez significa que a mayor Relaciones Interpersonales mayor Desarrollo de competencias, por todo ello en el presente objetivo se rechaza la Ho y se acepta la Hi.</v>
      </c>
      <c r="AO34" s="53"/>
      <c r="AP34" s="53"/>
      <c r="AQ34" s="53"/>
      <c r="AS34" s="52" t="str">
        <f>CONCATENATE("la ",AS10," muestra los resultados de la prueba de ",AU13,", en donde se evidencia que con una ",AR28," del ",AR30,"% ",AR31," ",AQ29," ",AT13," y ",AT16,", adicional a ello se puede observar que la fuerza y/o grado de correlación ",AS28," tiene un valor de ",AS30,"% lo que afirma que es una ",AS31," mismo que asu vez significa que a mayor ",AV12," ",AT31," ",AW12,", por todo ello en el presente objetivo ",AU31,".")</f>
        <v>la Tabla 2 muestra los resultados de la prueba de Correlación de Rho de Spearman, en donde se evidencia que con una  probabilidad de error  del 0% existe relación significativa entre las  dimensiones Relaciones Interpersonales y Desarrollo de competencias, adicional a ello se puede observar que la fuerza y/o grado de correlación "Rho" tiene un valor de 0% lo que afirma que es una existe relación significativa entre las  mismo que asu vez significa que a mayor Relaciones Interpersonales mayor Desarrollo de competencias, por todo ello en el presente objetivo se rechaza la Ho y se acepta la Hi.</v>
      </c>
      <c r="AT34" s="53"/>
      <c r="AU34" s="53"/>
      <c r="AV34" s="53"/>
      <c r="BM34" s="52" t="str">
        <f>CONCATENATE("la ",BM10," muestra los resultados de la prueba de ",BN13,", en donde se evidencia que con una ",BL28," del ",BL30,"% ",BL31," ",BK29," ",BM13," y ",BM16,", adicional a ello se puede observar que la fuerza y/o grado de correlación ",BM28," tiene un valor de ",BM30,"% lo que afirma que es una ",BM31," mismo que asu vez significa que a mayor ",BO12," ",BN31," ",BM16,", por todo ello en el presente objetivo ",BO31,".")</f>
        <v>la Tabla 3 muestra los resultados de la prueba de Correlación de Pearson, en donde se evidencia que con una  probabilidad de error  del 0% existe relación significativa entre las  dimensiones Identidad Institucional y Desarrollo de competencias, adicional a ello se puede observar que la fuerza y/o grado de correlación  "r"  tiene un valor de 0% lo que afirma que es una Correlación negativa muy débil mismo que asu vez significa que a mayor Identidad Institucional mayor Desarrollo de competencias, por todo ello en el presente objetivo se rechaza la Ho y se acepta la Hi.</v>
      </c>
      <c r="BN34" s="53"/>
      <c r="BO34" s="53"/>
      <c r="BP34" s="53"/>
      <c r="BR34" s="52" t="str">
        <f>CONCATENATE("la ",BR10," muestra los resultados de la prueba de ",BT13,", en donde se evidencia que con una ",BQ28," del ",BQ30,"% ",BQ31," ",BP29," ",BS13," y ",BS16,", adicional a ello se puede observar que la fuerza y/o grado de correlación ",BR28," tiene un valor de ",BR30,"% lo que afirma que es una ",BR31," mismo que asu vez significa que a mayor ",BU12," ",BS31," ",BV12,", por todo ello en el presente objetivo ",BT31,".")</f>
        <v>la Tabla 3 muestra los resultados de la prueba de Correlación de Rho de Spearman, en donde se evidencia que con una  probabilidad de error  del 0% existe relación significativa entre las  dimensiones Identidad Institucional y Desarrollo de competencias, adicional a ello se puede observar que la fuerza y/o grado de correlación "Rho" tiene un valor de 0% lo que afirma que es una existe relación significativa entre las  mismo que asu vez significa que a mayor Identidad Institucional mayor Desarrollo de competencias, por todo ello en el presente objetivo se rechaza la Ho y se acepta la Hi.</v>
      </c>
      <c r="BS34" s="53"/>
      <c r="BT34" s="53"/>
      <c r="BU34" s="53"/>
      <c r="CN34" s="52" t="str">
        <f>CONCATENATE("la ",CN10," muestra los resultados de la prueba de ",CO13,", en donde se evidencia que con una ",CM28," del ",CM30,"% ",CM31," ",CL29," ",CN13," y ",CN16,", adicional a ello se puede observar que la fuerza y/o grado de correlación ",CN28," tiene un valor de ",CN30,"% lo que afirma que es una ",CN31," mismo que asu vez significa que a mayor ",CP12," ",CO31," ",CN16,", por todo ello en el presente objetivo ",CP31,".")</f>
        <v>la Tabla 4 muestra los resultados de la prueba de Correlación de Pearson, en donde se evidencia que con una  probabilidad de error  del 0% existe relación significativa entre las  dimensiones Nivel de planificación de la enseñanza y Clima institucional, adicional a ello se puede observar que la fuerza y/o grado de correlación  "r"  tiene un valor de 0% lo que afirma que es una Correlación negativa muy débil mismo que asu vez significa que a mayor Nivel de planificación de la enseñanza mayor Clima institucional, por todo ello en el presente objetivo se rechaza la Ho y se acepta la Hi.</v>
      </c>
      <c r="CO34" s="53"/>
      <c r="CP34" s="53"/>
      <c r="CQ34" s="53"/>
      <c r="CS34" s="52" t="str">
        <f>CONCATENATE("la ",CS10," muestra los resultados de la prueba de ",CU13,", en donde se evidencia que con una ",CR28," del ",CR30,"% ",CR31," ",CQ29," ",CT13," y ",CT16,", adicional a ello se puede observar que la fuerza y/o grado de correlación ",CS28," tiene un valor de ",CS30,"% lo que afirma que es una ",CS31," mismo que asu vez significa que a mayor ",CV12," ",CT31," ",CW12,", por todo ello en el presente objetivo ",CU31,".")</f>
        <v>la Tabla 4 muestra los resultados de la prueba de Correlación de Rho de Spearman, en donde se evidencia que con una  probabilidad de error  del 0% existe relación significativa entre las  dimensiones Nivel de planificación de la enseñanza y Clima institucional, adicional a ello se puede observar que la fuerza y/o grado de correlación "Rho" tiene un valor de 0% lo que afirma que es una existe relación significativa entre las  mismo que asu vez significa que a mayor Nivel de planificación de la enseñanza mayor Clima institucional, por todo ello en el presente objetivo se rechaza la Ho y se acepta la Hi.</v>
      </c>
      <c r="CT34" s="53"/>
      <c r="CU34" s="53"/>
      <c r="CV34" s="53"/>
      <c r="DM34" s="52" t="str">
        <f>CONCATENATE("la ",DM10," muestra los resultados de la prueba de ",DN13,", en donde se evidencia que con una ",DL28," del ",DL30,"% ",DL31," ",DK29," ",DM13," y ",DM16,", adicional a ello se puede observar que la fuerza y/o grado de correlación ",DM28," tiene un valor de ",DM30,"% lo que afirma que es una ",DM31," mismo que asu vez significa que a mayor ",DO12," ",DN31," ",DM16,", por todo ello en el presente objetivo ",DO31,".")</f>
        <v>la Tabla 5 muestra los resultados de la prueba de Correlación de Pearson, en donde se evidencia que con una  probabilidad de error  del 0% existe relación significativa entre las  dimensiones Nivel de la competencia comunicativa y Clima institucional, adicional a ello se puede observar que la fuerza y/o grado de correlación  "r"  tiene un valor de 0% lo que afirma que es una Correlación negativa muy débil mismo que asu vez significa que a mayor Nivel de la competencia comunicativa mayor Clima institucional, por todo ello en el presente objetivo se rechaza la Ho y se acepta la Hi.</v>
      </c>
      <c r="DN34" s="53"/>
      <c r="DO34" s="53"/>
      <c r="DP34" s="53"/>
      <c r="DR34" s="52" t="str">
        <f>CONCATENATE("la ",DR10," muestra los resultados de la prueba de ",DT13,", en donde se evidencia que con una ",DQ28," del ",DQ30,"% ",DQ31," ",DP29," ",DS13," y ",DS16,", adicional a ello se puede observar que la fuerza y/o grado de correlación ",DR28," tiene un valor de ",DR30,"% lo que afirma que es una ",DR31," mismo que asu vez significa que a mayor ",DU12," ",DS31," ",DV12,", por todo ello en el presente objetivo ",DT31,".")</f>
        <v>la Tabla 5 muestra los resultados de la prueba de Correlación de Rho de Spearman, en donde se evidencia que con una  probabilidad de error  del 0% existe relación significativa entre las  dimensiones Nivel de la competencia comunicativa y Clima institucional, adicional a ello se puede observar que la fuerza y/o grado de correlación "Rho" tiene un valor de 0% lo que afirma que es una existe relación significativa entre las  mismo que asu vez significa que a mayor Nivel de la competencia comunicativa mayor Clima institucional, por todo ello en el presente objetivo se rechaza la Ho y se acepta la Hi.</v>
      </c>
      <c r="DS34" s="53"/>
      <c r="DT34" s="53"/>
      <c r="DU34" s="53"/>
      <c r="EL34" s="52" t="str">
        <f>CONCATENATE("la ",EL10," muestra los resultados de la prueba de ",EM13,", en donde se evidencia que con una ",EK28," del ",EK30,"% ",EK31," ",EJ29," ",EL13," y ",EL16,", adicional a ello se puede observar que la fuerza y/o grado de correlación ",EL28," tiene un valor de ",EL30,"% lo que afirma que es una ",EL31," mismo que asu vez significa que a mayor ",EN12," ",EM31," ",EL16,", por todo ello en el presente objetivo ",EN31,".")</f>
        <v>la Tabla 6 muestra los resultados de la prueba de Correlación de Pearson, en donde se evidencia que con una  probabilidad de error  del 0% existe relación significativa entre las  dimensiones Diseño de metodología y Clima institucional, adicional a ello se puede observar que la fuerza y/o grado de correlación  "r"  tiene un valor de 0% lo que afirma que es una Correlación negativa muy débil mismo que asu vez significa que a mayor Diseño de metodología mayor Clima institucional, por todo ello en el presente objetivo se rechaza la Ho y se acepta la Hi.</v>
      </c>
      <c r="EM34" s="53"/>
      <c r="EN34" s="53"/>
      <c r="EO34" s="53"/>
      <c r="EQ34" s="52" t="str">
        <f>CONCATENATE("la ",EQ10," muestra los resultados de la prueba de ",ES13,", en donde se evidencia que con una ",EP28," del ",EP30,"% ",EP31," ",EO29," ",ER13," y ",ER16,", adicional a ello se puede observar que la fuerza y/o grado de correlación ",EQ28," tiene un valor de ",EQ30,"% lo que afirma que es una ",EQ31," mismo que asu vez significa que a mayor ",ET12," ",ER31," ",EU12,", por todo ello en el presente objetivo ",ES31,".")</f>
        <v>la Tabla 6 muestra los resultados de la prueba de Correlación de Rho de Spearman, en donde se evidencia que con una  probabilidad de error  del 0% existe relación significativa entre las  dimensiones Diseño de metodología y Clima institucional, adicional a ello se puede observar que la fuerza y/o grado de correlación "Rho" tiene un valor de 0% lo que afirma que es una existe relación significativa entre las  mismo que asu vez significa que a mayor Diseño de metodología mayor Clima institucional, por todo ello en el presente objetivo se rechaza la Ho y se acepta la Hi.</v>
      </c>
      <c r="ER34" s="53"/>
      <c r="ES34" s="53"/>
      <c r="ET34" s="53"/>
    </row>
    <row r="35" spans="15:150" x14ac:dyDescent="0.25">
      <c r="O35" s="53"/>
      <c r="P35" s="53"/>
      <c r="Q35" s="53"/>
      <c r="R35" s="53"/>
      <c r="T35" s="53"/>
      <c r="U35" s="53"/>
      <c r="V35" s="53"/>
      <c r="W35" s="53"/>
      <c r="AN35" s="53"/>
      <c r="AO35" s="53"/>
      <c r="AP35" s="53"/>
      <c r="AQ35" s="53"/>
      <c r="AS35" s="53"/>
      <c r="AT35" s="53"/>
      <c r="AU35" s="53"/>
      <c r="AV35" s="53"/>
      <c r="BM35" s="53"/>
      <c r="BN35" s="53"/>
      <c r="BO35" s="53"/>
      <c r="BP35" s="53"/>
      <c r="BR35" s="53"/>
      <c r="BS35" s="53"/>
      <c r="BT35" s="53"/>
      <c r="BU35" s="53"/>
      <c r="CN35" s="53"/>
      <c r="CO35" s="53"/>
      <c r="CP35" s="53"/>
      <c r="CQ35" s="53"/>
      <c r="CS35" s="53"/>
      <c r="CT35" s="53"/>
      <c r="CU35" s="53"/>
      <c r="CV35" s="53"/>
      <c r="DM35" s="53"/>
      <c r="DN35" s="53"/>
      <c r="DO35" s="53"/>
      <c r="DP35" s="53"/>
      <c r="DR35" s="53"/>
      <c r="DS35" s="53"/>
      <c r="DT35" s="53"/>
      <c r="DU35" s="53"/>
      <c r="EL35" s="53"/>
      <c r="EM35" s="53"/>
      <c r="EN35" s="53"/>
      <c r="EO35" s="53"/>
      <c r="EQ35" s="53"/>
      <c r="ER35" s="53"/>
      <c r="ES35" s="53"/>
      <c r="ET35" s="53"/>
    </row>
    <row r="36" spans="15:150" x14ac:dyDescent="0.25">
      <c r="O36" s="53"/>
      <c r="P36" s="53"/>
      <c r="Q36" s="53"/>
      <c r="R36" s="53"/>
      <c r="T36" s="53"/>
      <c r="U36" s="53"/>
      <c r="V36" s="53"/>
      <c r="W36" s="53"/>
      <c r="AN36" s="53"/>
      <c r="AO36" s="53"/>
      <c r="AP36" s="53"/>
      <c r="AQ36" s="53"/>
      <c r="AS36" s="53"/>
      <c r="AT36" s="53"/>
      <c r="AU36" s="53"/>
      <c r="AV36" s="53"/>
      <c r="BM36" s="53"/>
      <c r="BN36" s="53"/>
      <c r="BO36" s="53"/>
      <c r="BP36" s="53"/>
      <c r="BR36" s="53"/>
      <c r="BS36" s="53"/>
      <c r="BT36" s="53"/>
      <c r="BU36" s="53"/>
      <c r="CN36" s="53"/>
      <c r="CO36" s="53"/>
      <c r="CP36" s="53"/>
      <c r="CQ36" s="53"/>
      <c r="CS36" s="53"/>
      <c r="CT36" s="53"/>
      <c r="CU36" s="53"/>
      <c r="CV36" s="53"/>
      <c r="DM36" s="53"/>
      <c r="DN36" s="53"/>
      <c r="DO36" s="53"/>
      <c r="DP36" s="53"/>
      <c r="DR36" s="53"/>
      <c r="DS36" s="53"/>
      <c r="DT36" s="53"/>
      <c r="DU36" s="53"/>
      <c r="EL36" s="53"/>
      <c r="EM36" s="53"/>
      <c r="EN36" s="53"/>
      <c r="EO36" s="53"/>
      <c r="EQ36" s="53"/>
      <c r="ER36" s="53"/>
      <c r="ES36" s="53"/>
      <c r="ET36" s="53"/>
    </row>
    <row r="37" spans="15:150" x14ac:dyDescent="0.25">
      <c r="O37" s="53"/>
      <c r="P37" s="53"/>
      <c r="Q37" s="53"/>
      <c r="R37" s="53"/>
      <c r="T37" s="53"/>
      <c r="U37" s="53"/>
      <c r="V37" s="53"/>
      <c r="W37" s="53"/>
      <c r="AN37" s="53"/>
      <c r="AO37" s="53"/>
      <c r="AP37" s="53"/>
      <c r="AQ37" s="53"/>
      <c r="AS37" s="53"/>
      <c r="AT37" s="53"/>
      <c r="AU37" s="53"/>
      <c r="AV37" s="53"/>
      <c r="BM37" s="53"/>
      <c r="BN37" s="53"/>
      <c r="BO37" s="53"/>
      <c r="BP37" s="53"/>
      <c r="BR37" s="53"/>
      <c r="BS37" s="53"/>
      <c r="BT37" s="53"/>
      <c r="BU37" s="53"/>
      <c r="CN37" s="53"/>
      <c r="CO37" s="53"/>
      <c r="CP37" s="53"/>
      <c r="CQ37" s="53"/>
      <c r="CS37" s="53"/>
      <c r="CT37" s="53"/>
      <c r="CU37" s="53"/>
      <c r="CV37" s="53"/>
      <c r="DM37" s="53"/>
      <c r="DN37" s="53"/>
      <c r="DO37" s="53"/>
      <c r="DP37" s="53"/>
      <c r="DR37" s="53"/>
      <c r="DS37" s="53"/>
      <c r="DT37" s="53"/>
      <c r="DU37" s="53"/>
      <c r="EL37" s="53"/>
      <c r="EM37" s="53"/>
      <c r="EN37" s="53"/>
      <c r="EO37" s="53"/>
      <c r="EQ37" s="53"/>
      <c r="ER37" s="53"/>
      <c r="ES37" s="53"/>
      <c r="ET37" s="53"/>
    </row>
    <row r="38" spans="15:150" x14ac:dyDescent="0.25">
      <c r="O38" s="53"/>
      <c r="P38" s="53"/>
      <c r="Q38" s="53"/>
      <c r="R38" s="53"/>
      <c r="T38" s="53"/>
      <c r="U38" s="53"/>
      <c r="V38" s="53"/>
      <c r="W38" s="53"/>
      <c r="AN38" s="53"/>
      <c r="AO38" s="53"/>
      <c r="AP38" s="53"/>
      <c r="AQ38" s="53"/>
      <c r="AS38" s="53"/>
      <c r="AT38" s="53"/>
      <c r="AU38" s="53"/>
      <c r="AV38" s="53"/>
      <c r="BM38" s="53"/>
      <c r="BN38" s="53"/>
      <c r="BO38" s="53"/>
      <c r="BP38" s="53"/>
      <c r="BR38" s="53"/>
      <c r="BS38" s="53"/>
      <c r="BT38" s="53"/>
      <c r="BU38" s="53"/>
      <c r="CN38" s="53"/>
      <c r="CO38" s="53"/>
      <c r="CP38" s="53"/>
      <c r="CQ38" s="53"/>
      <c r="CS38" s="53"/>
      <c r="CT38" s="53"/>
      <c r="CU38" s="53"/>
      <c r="CV38" s="53"/>
      <c r="DM38" s="53"/>
      <c r="DN38" s="53"/>
      <c r="DO38" s="53"/>
      <c r="DP38" s="53"/>
      <c r="DR38" s="53"/>
      <c r="DS38" s="53"/>
      <c r="DT38" s="53"/>
      <c r="DU38" s="53"/>
      <c r="EL38" s="53"/>
      <c r="EM38" s="53"/>
      <c r="EN38" s="53"/>
      <c r="EO38" s="53"/>
      <c r="EQ38" s="53"/>
      <c r="ER38" s="53"/>
      <c r="ES38" s="53"/>
      <c r="ET38" s="53"/>
    </row>
    <row r="39" spans="15:150" x14ac:dyDescent="0.25">
      <c r="O39" s="53"/>
      <c r="P39" s="53"/>
      <c r="Q39" s="53"/>
      <c r="R39" s="53"/>
      <c r="T39" s="53"/>
      <c r="U39" s="53"/>
      <c r="V39" s="53"/>
      <c r="W39" s="53"/>
      <c r="AN39" s="53"/>
      <c r="AO39" s="53"/>
      <c r="AP39" s="53"/>
      <c r="AQ39" s="53"/>
      <c r="AS39" s="53"/>
      <c r="AT39" s="53"/>
      <c r="AU39" s="53"/>
      <c r="AV39" s="53"/>
      <c r="BM39" s="53"/>
      <c r="BN39" s="53"/>
      <c r="BO39" s="53"/>
      <c r="BP39" s="53"/>
      <c r="BR39" s="53"/>
      <c r="BS39" s="53"/>
      <c r="BT39" s="53"/>
      <c r="BU39" s="53"/>
      <c r="CN39" s="53"/>
      <c r="CO39" s="53"/>
      <c r="CP39" s="53"/>
      <c r="CQ39" s="53"/>
      <c r="CS39" s="53"/>
      <c r="CT39" s="53"/>
      <c r="CU39" s="53"/>
      <c r="CV39" s="53"/>
      <c r="DM39" s="53"/>
      <c r="DN39" s="53"/>
      <c r="DO39" s="53"/>
      <c r="DP39" s="53"/>
      <c r="DR39" s="53"/>
      <c r="DS39" s="53"/>
      <c r="DT39" s="53"/>
      <c r="DU39" s="53"/>
      <c r="EL39" s="53"/>
      <c r="EM39" s="53"/>
      <c r="EN39" s="53"/>
      <c r="EO39" s="53"/>
      <c r="EQ39" s="53"/>
      <c r="ER39" s="53"/>
      <c r="ES39" s="53"/>
      <c r="ET39" s="53"/>
    </row>
  </sheetData>
  <sheetProtection formatCells="0" formatColumns="0" formatRows="0" insertColumns="0" insertRows="0" insertHyperlinks="0" deleteColumns="0" deleteRows="0" sort="0" autoFilter="0" pivotTables="0"/>
  <mergeCells count="234">
    <mergeCell ref="EL34:EO39"/>
    <mergeCell ref="EQ11:EU11"/>
    <mergeCell ref="EQ12:ES12"/>
    <mergeCell ref="EQ19:EU19"/>
    <mergeCell ref="EQ13:EQ18"/>
    <mergeCell ref="EQ34:ET39"/>
    <mergeCell ref="ER13:ER15"/>
    <mergeCell ref="ER16:ER18"/>
    <mergeCell ref="EL11:EO11"/>
    <mergeCell ref="EL12:EM12"/>
    <mergeCell ref="EL13:EL15"/>
    <mergeCell ref="EL16:EL18"/>
    <mergeCell ref="EL19:EO19"/>
    <mergeCell ref="ED5:EJ5"/>
    <mergeCell ref="ED12:EJ17"/>
    <mergeCell ref="ED10:EJ10"/>
    <mergeCell ref="ED6:ED7"/>
    <mergeCell ref="EE6:EG6"/>
    <mergeCell ref="EH6:EJ6"/>
    <mergeCell ref="DZ19"/>
    <mergeCell ref="DZ20"/>
    <mergeCell ref="DZ21"/>
    <mergeCell ref="DZ22"/>
    <mergeCell ref="DZ23"/>
    <mergeCell ref="DZ14"/>
    <mergeCell ref="DZ15"/>
    <mergeCell ref="DZ16"/>
    <mergeCell ref="DZ17"/>
    <mergeCell ref="DZ18"/>
    <mergeCell ref="DZ9"/>
    <mergeCell ref="DZ10"/>
    <mergeCell ref="DZ11"/>
    <mergeCell ref="DZ12"/>
    <mergeCell ref="DZ13"/>
    <mergeCell ref="DZ4"/>
    <mergeCell ref="DZ5"/>
    <mergeCell ref="DZ6"/>
    <mergeCell ref="DZ7"/>
    <mergeCell ref="DZ8"/>
    <mergeCell ref="DM34:DP39"/>
    <mergeCell ref="DR11:DV11"/>
    <mergeCell ref="DR12:DT12"/>
    <mergeCell ref="DR19:DV19"/>
    <mergeCell ref="DR13:DR18"/>
    <mergeCell ref="DR34:DU39"/>
    <mergeCell ref="DS13:DS15"/>
    <mergeCell ref="DS16:DS18"/>
    <mergeCell ref="DM11:DP11"/>
    <mergeCell ref="DM12:DN12"/>
    <mergeCell ref="DM13:DM15"/>
    <mergeCell ref="DM16:DM18"/>
    <mergeCell ref="DM19:DP19"/>
    <mergeCell ref="DE5:DK5"/>
    <mergeCell ref="DE12:DK17"/>
    <mergeCell ref="DE10:DK10"/>
    <mergeCell ref="DE6:DE7"/>
    <mergeCell ref="DF6:DH6"/>
    <mergeCell ref="DI6:DK6"/>
    <mergeCell ref="DA19"/>
    <mergeCell ref="DA20"/>
    <mergeCell ref="DA21"/>
    <mergeCell ref="DA22"/>
    <mergeCell ref="DA23"/>
    <mergeCell ref="DA14"/>
    <mergeCell ref="DA15"/>
    <mergeCell ref="DA16"/>
    <mergeCell ref="DA17"/>
    <mergeCell ref="DA18"/>
    <mergeCell ref="DA9"/>
    <mergeCell ref="DA10"/>
    <mergeCell ref="DA11"/>
    <mergeCell ref="DA12"/>
    <mergeCell ref="DA13"/>
    <mergeCell ref="DA4"/>
    <mergeCell ref="DA5"/>
    <mergeCell ref="DA6"/>
    <mergeCell ref="DA7"/>
    <mergeCell ref="DA8"/>
    <mergeCell ref="CN34:CQ39"/>
    <mergeCell ref="CS11:CW11"/>
    <mergeCell ref="CS12:CU12"/>
    <mergeCell ref="CS19:CW19"/>
    <mergeCell ref="CS13:CS18"/>
    <mergeCell ref="CS34:CV39"/>
    <mergeCell ref="CT13:CT15"/>
    <mergeCell ref="CT16:CT18"/>
    <mergeCell ref="CN11:CQ11"/>
    <mergeCell ref="CN12:CO12"/>
    <mergeCell ref="CN13:CN15"/>
    <mergeCell ref="CN16:CN18"/>
    <mergeCell ref="CN19:CQ19"/>
    <mergeCell ref="CF5:CL5"/>
    <mergeCell ref="CF12:CL17"/>
    <mergeCell ref="CF10:CL10"/>
    <mergeCell ref="CF6:CF7"/>
    <mergeCell ref="CG6:CI6"/>
    <mergeCell ref="CJ6:CL6"/>
    <mergeCell ref="CB19"/>
    <mergeCell ref="CB20"/>
    <mergeCell ref="CB21"/>
    <mergeCell ref="CB22"/>
    <mergeCell ref="CB23"/>
    <mergeCell ref="CB14"/>
    <mergeCell ref="CB15"/>
    <mergeCell ref="CB16"/>
    <mergeCell ref="CB17"/>
    <mergeCell ref="CB18"/>
    <mergeCell ref="CB9"/>
    <mergeCell ref="CB10"/>
    <mergeCell ref="CB11"/>
    <mergeCell ref="CB12"/>
    <mergeCell ref="CB13"/>
    <mergeCell ref="CB4"/>
    <mergeCell ref="CB5"/>
    <mergeCell ref="CB6"/>
    <mergeCell ref="CB7"/>
    <mergeCell ref="CB8"/>
    <mergeCell ref="BM34:BP39"/>
    <mergeCell ref="BR11:BV11"/>
    <mergeCell ref="BR12:BT12"/>
    <mergeCell ref="BR19:BV19"/>
    <mergeCell ref="BR13:BR18"/>
    <mergeCell ref="BR34:BU39"/>
    <mergeCell ref="BS13:BS15"/>
    <mergeCell ref="BS16:BS18"/>
    <mergeCell ref="BM11:BP11"/>
    <mergeCell ref="BM12:BN12"/>
    <mergeCell ref="BM13:BM15"/>
    <mergeCell ref="BM16:BM18"/>
    <mergeCell ref="BM19:BP19"/>
    <mergeCell ref="BE5:BK5"/>
    <mergeCell ref="BE12:BK17"/>
    <mergeCell ref="BE10:BK10"/>
    <mergeCell ref="BE6:BE7"/>
    <mergeCell ref="BF6:BH6"/>
    <mergeCell ref="BI6:BK6"/>
    <mergeCell ref="BA19"/>
    <mergeCell ref="BA20"/>
    <mergeCell ref="BA21"/>
    <mergeCell ref="BA22"/>
    <mergeCell ref="BA23"/>
    <mergeCell ref="BA14"/>
    <mergeCell ref="BA15"/>
    <mergeCell ref="BA16"/>
    <mergeCell ref="BA17"/>
    <mergeCell ref="BA18"/>
    <mergeCell ref="BA9"/>
    <mergeCell ref="BA10"/>
    <mergeCell ref="BA11"/>
    <mergeCell ref="BA12"/>
    <mergeCell ref="BA13"/>
    <mergeCell ref="BA4"/>
    <mergeCell ref="BA5"/>
    <mergeCell ref="BA6"/>
    <mergeCell ref="BA7"/>
    <mergeCell ref="BA8"/>
    <mergeCell ref="AN34:AQ39"/>
    <mergeCell ref="AS11:AW11"/>
    <mergeCell ref="AS12:AU12"/>
    <mergeCell ref="AS19:AW19"/>
    <mergeCell ref="AS13:AS18"/>
    <mergeCell ref="AS34:AV39"/>
    <mergeCell ref="AT13:AT15"/>
    <mergeCell ref="AT16:AT18"/>
    <mergeCell ref="AN11:AQ11"/>
    <mergeCell ref="AN12:AO12"/>
    <mergeCell ref="AN13:AN15"/>
    <mergeCell ref="AN16:AN18"/>
    <mergeCell ref="AN19:AQ19"/>
    <mergeCell ref="AF5:AL5"/>
    <mergeCell ref="AF12:AL17"/>
    <mergeCell ref="AF10:AL10"/>
    <mergeCell ref="AF6:AF7"/>
    <mergeCell ref="AG6:AI6"/>
    <mergeCell ref="AJ6:AL6"/>
    <mergeCell ref="AB19"/>
    <mergeCell ref="AB20"/>
    <mergeCell ref="AB21"/>
    <mergeCell ref="AB22"/>
    <mergeCell ref="AB23"/>
    <mergeCell ref="AB14"/>
    <mergeCell ref="AB15"/>
    <mergeCell ref="AB16"/>
    <mergeCell ref="AB17"/>
    <mergeCell ref="AB18"/>
    <mergeCell ref="AB9"/>
    <mergeCell ref="AB10"/>
    <mergeCell ref="AB11"/>
    <mergeCell ref="AB12"/>
    <mergeCell ref="AB13"/>
    <mergeCell ref="AB4"/>
    <mergeCell ref="AB5"/>
    <mergeCell ref="AB6"/>
    <mergeCell ref="AB7"/>
    <mergeCell ref="AB8"/>
    <mergeCell ref="O34:R39"/>
    <mergeCell ref="T11:X11"/>
    <mergeCell ref="T12:V12"/>
    <mergeCell ref="T19:X19"/>
    <mergeCell ref="T13:T18"/>
    <mergeCell ref="T34:W39"/>
    <mergeCell ref="U13:U15"/>
    <mergeCell ref="U16:U18"/>
    <mergeCell ref="O11:R11"/>
    <mergeCell ref="O12:P12"/>
    <mergeCell ref="O13:O15"/>
    <mergeCell ref="O16:O18"/>
    <mergeCell ref="O19:R19"/>
    <mergeCell ref="G5:M5"/>
    <mergeCell ref="G12:M17"/>
    <mergeCell ref="G10:M10"/>
    <mergeCell ref="G6:G7"/>
    <mergeCell ref="H6:J6"/>
    <mergeCell ref="K6:M6"/>
    <mergeCell ref="C19"/>
    <mergeCell ref="C20"/>
    <mergeCell ref="C21"/>
    <mergeCell ref="C22"/>
    <mergeCell ref="C23"/>
    <mergeCell ref="C14"/>
    <mergeCell ref="C15"/>
    <mergeCell ref="C16"/>
    <mergeCell ref="C17"/>
    <mergeCell ref="C18"/>
    <mergeCell ref="C9"/>
    <mergeCell ref="C10"/>
    <mergeCell ref="C11"/>
    <mergeCell ref="C12"/>
    <mergeCell ref="C13"/>
    <mergeCell ref="C4"/>
    <mergeCell ref="C5"/>
    <mergeCell ref="C6"/>
    <mergeCell ref="C7"/>
    <mergeCell ref="C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Views>
    <sheetView workbookViewId="0">
      <selection activeCell="I3" sqref="I3"/>
    </sheetView>
  </sheetViews>
  <sheetFormatPr baseColWidth="10" defaultColWidth="9.140625" defaultRowHeight="15" x14ac:dyDescent="0.25"/>
  <cols>
    <col min="3" max="3" width="20" customWidth="1"/>
    <col min="4" max="5" width="12" customWidth="1"/>
    <col min="7" max="7" width="20" customWidth="1"/>
    <col min="8" max="13" width="10" customWidth="1"/>
    <col min="15" max="15" width="23" customWidth="1"/>
    <col min="16" max="16" width="15" customWidth="1"/>
    <col min="17" max="18" width="20" customWidth="1"/>
    <col min="20" max="21" width="22" customWidth="1"/>
    <col min="22" max="22" width="15" customWidth="1"/>
    <col min="23" max="23" width="20" customWidth="1"/>
  </cols>
  <sheetData>
    <row r="1" spans="1:26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x14ac:dyDescent="0.25">
      <c r="A2" s="38"/>
      <c r="D2" s="28" t="s">
        <v>160</v>
      </c>
      <c r="E2" s="28" t="s">
        <v>204</v>
      </c>
      <c r="Z2" s="38"/>
    </row>
    <row r="3" spans="1:26" ht="60" x14ac:dyDescent="0.25">
      <c r="A3" s="38"/>
      <c r="D3" s="28" t="s">
        <v>56</v>
      </c>
      <c r="E3" s="28" t="s">
        <v>168</v>
      </c>
      <c r="Z3" s="38"/>
    </row>
    <row r="4" spans="1:26" x14ac:dyDescent="0.25">
      <c r="A4" s="38"/>
      <c r="C4" s="53" t="s">
        <v>18</v>
      </c>
      <c r="D4" s="27">
        <v>37</v>
      </c>
      <c r="E4" s="27">
        <v>29</v>
      </c>
      <c r="G4" s="3" t="s">
        <v>68</v>
      </c>
      <c r="Z4" s="38"/>
    </row>
    <row r="5" spans="1:26" x14ac:dyDescent="0.25">
      <c r="A5" s="38"/>
      <c r="C5" s="53" t="s">
        <v>19</v>
      </c>
      <c r="D5" s="27">
        <v>32</v>
      </c>
      <c r="E5" s="27">
        <v>13</v>
      </c>
      <c r="G5" s="57" t="s">
        <v>178</v>
      </c>
      <c r="H5" s="58"/>
      <c r="I5" s="58"/>
      <c r="J5" s="58"/>
      <c r="K5" s="58"/>
      <c r="L5" s="58"/>
      <c r="M5" s="58"/>
      <c r="Z5" s="38"/>
    </row>
    <row r="6" spans="1:26" x14ac:dyDescent="0.25">
      <c r="A6" s="38"/>
      <c r="C6" s="53" t="s">
        <v>20</v>
      </c>
      <c r="D6" s="27">
        <v>29</v>
      </c>
      <c r="E6" s="27">
        <v>21</v>
      </c>
      <c r="G6" s="53"/>
      <c r="H6" s="59" t="s">
        <v>179</v>
      </c>
      <c r="I6" s="53"/>
      <c r="J6" s="53"/>
      <c r="K6" s="59" t="s">
        <v>180</v>
      </c>
      <c r="L6" s="53"/>
      <c r="M6" s="53"/>
      <c r="Z6" s="38"/>
    </row>
    <row r="7" spans="1:26" x14ac:dyDescent="0.25">
      <c r="A7" s="38"/>
      <c r="C7" s="53" t="s">
        <v>21</v>
      </c>
      <c r="D7" s="27">
        <v>14</v>
      </c>
      <c r="E7" s="27">
        <v>17</v>
      </c>
      <c r="G7" s="58"/>
      <c r="H7" s="31" t="s">
        <v>181</v>
      </c>
      <c r="I7" s="31" t="s">
        <v>182</v>
      </c>
      <c r="J7" s="31" t="s">
        <v>183</v>
      </c>
      <c r="K7" s="31" t="s">
        <v>181</v>
      </c>
      <c r="L7" s="33" t="s">
        <v>182</v>
      </c>
      <c r="M7" s="31" t="s">
        <v>183</v>
      </c>
      <c r="Z7" s="38"/>
    </row>
    <row r="8" spans="1:26" x14ac:dyDescent="0.25">
      <c r="A8" s="38"/>
      <c r="C8" s="53" t="s">
        <v>22</v>
      </c>
      <c r="D8" s="27">
        <v>15</v>
      </c>
      <c r="E8" s="27">
        <v>17</v>
      </c>
      <c r="G8" s="29" t="str">
        <f>D3</f>
        <v>Clima institucional</v>
      </c>
      <c r="H8" s="32"/>
      <c r="I8" s="32"/>
      <c r="J8" s="32"/>
      <c r="K8" s="32"/>
      <c r="L8" s="32"/>
      <c r="M8" s="32"/>
      <c r="Z8" s="38"/>
    </row>
    <row r="9" spans="1:26" x14ac:dyDescent="0.25">
      <c r="A9" s="38"/>
      <c r="C9" s="53" t="s">
        <v>23</v>
      </c>
      <c r="D9" s="27">
        <v>22</v>
      </c>
      <c r="E9" s="27">
        <v>12</v>
      </c>
      <c r="G9" s="30" t="str">
        <f>E3</f>
        <v>Desarrollo de competencias</v>
      </c>
      <c r="H9" s="5"/>
      <c r="I9" s="5"/>
      <c r="J9" s="5"/>
      <c r="K9" s="5"/>
      <c r="L9" s="5"/>
      <c r="M9" s="5"/>
      <c r="Z9" s="38"/>
    </row>
    <row r="10" spans="1:26" x14ac:dyDescent="0.25">
      <c r="A10" s="38"/>
      <c r="C10" s="53" t="s">
        <v>24</v>
      </c>
      <c r="D10" s="27">
        <v>16</v>
      </c>
      <c r="E10" s="27">
        <v>18</v>
      </c>
      <c r="G10" s="59" t="s">
        <v>184</v>
      </c>
      <c r="H10" s="53"/>
      <c r="I10" s="53"/>
      <c r="J10" s="53"/>
      <c r="K10" s="53"/>
      <c r="L10" s="53"/>
      <c r="M10" s="53"/>
      <c r="O10" s="3" t="s">
        <v>68</v>
      </c>
      <c r="T10" s="3" t="s">
        <v>68</v>
      </c>
      <c r="Z10" s="38"/>
    </row>
    <row r="11" spans="1:26" x14ac:dyDescent="0.25">
      <c r="A11" s="38"/>
      <c r="C11" s="53" t="s">
        <v>25</v>
      </c>
      <c r="D11" s="27">
        <v>48</v>
      </c>
      <c r="E11" s="27">
        <v>55</v>
      </c>
      <c r="O11" s="57" t="s">
        <v>185</v>
      </c>
      <c r="P11" s="58"/>
      <c r="Q11" s="58"/>
      <c r="R11" s="58"/>
      <c r="T11" s="57" t="s">
        <v>185</v>
      </c>
      <c r="U11" s="58"/>
      <c r="V11" s="58"/>
      <c r="W11" s="58"/>
      <c r="X11" s="58"/>
      <c r="Z11" s="38"/>
    </row>
    <row r="12" spans="1:26" x14ac:dyDescent="0.25">
      <c r="A12" s="38"/>
      <c r="C12" s="53" t="s">
        <v>26</v>
      </c>
      <c r="D12" s="27">
        <v>19</v>
      </c>
      <c r="E12" s="27">
        <v>25</v>
      </c>
      <c r="G12" s="52" t="str">
        <f>CONCATENATE("en la ",G8," y basándose en la prueba de ",F29," se puede observar que, ","con una probabilidad de error de ",D30,"% para la ",D28," ",D29," y ",E30,"% para la ",E28," ",E29,", ",G29,H29, " por tal motivo se procederá a utilizar ",I29,".")</f>
        <v>en la Clima institucional y basándose en la prueba de Kolmogorov-Smirnova se puede observar que, con una probabilidad de error de 0% para la  Variable  Clima institucional y 0% para la  Variable  Desarrollo de competencias, la distribución de sus valores no son diferentes a la distribución normal es decir los datos si se encuentran normalmente distribuidos por tal motivo se procederá a utilizar la prueba paramétrica de correlación de Pearson.</v>
      </c>
      <c r="H12" s="53"/>
      <c r="I12" s="53"/>
      <c r="J12" s="53"/>
      <c r="K12" s="53"/>
      <c r="L12" s="53"/>
      <c r="M12" s="53"/>
      <c r="O12" s="58"/>
      <c r="P12" s="58"/>
      <c r="Q12" s="30" t="str">
        <f>D3</f>
        <v>Clima institucional</v>
      </c>
      <c r="R12" s="30" t="str">
        <f>E3</f>
        <v>Desarrollo de competencias</v>
      </c>
      <c r="T12" s="58"/>
      <c r="U12" s="58"/>
      <c r="V12" s="58"/>
      <c r="W12" s="30" t="str">
        <f>D3</f>
        <v>Clima institucional</v>
      </c>
      <c r="X12" s="30" t="str">
        <f>E3</f>
        <v>Desarrollo de competencias</v>
      </c>
      <c r="Z12" s="38"/>
    </row>
    <row r="13" spans="1:26" ht="25.5" x14ac:dyDescent="0.25">
      <c r="A13" s="38"/>
      <c r="C13" s="53" t="s">
        <v>27</v>
      </c>
      <c r="D13" s="27">
        <v>18</v>
      </c>
      <c r="E13" s="27">
        <v>20</v>
      </c>
      <c r="G13" s="53"/>
      <c r="H13" s="53"/>
      <c r="I13" s="53"/>
      <c r="J13" s="53"/>
      <c r="K13" s="53"/>
      <c r="L13" s="53"/>
      <c r="M13" s="53"/>
      <c r="O13" s="59" t="str">
        <f>D3</f>
        <v>Clima institucional</v>
      </c>
      <c r="P13" s="32" t="s">
        <v>186</v>
      </c>
      <c r="T13" s="60" t="s">
        <v>187</v>
      </c>
      <c r="U13" s="59" t="str">
        <f>D3</f>
        <v>Clima institucional</v>
      </c>
      <c r="V13" s="32" t="s">
        <v>188</v>
      </c>
      <c r="Z13" s="38"/>
    </row>
    <row r="14" spans="1:26" x14ac:dyDescent="0.25">
      <c r="A14" s="38"/>
      <c r="C14" s="53" t="s">
        <v>28</v>
      </c>
      <c r="D14" s="27">
        <v>46</v>
      </c>
      <c r="E14" s="27">
        <v>46</v>
      </c>
      <c r="G14" s="53"/>
      <c r="H14" s="53"/>
      <c r="I14" s="53"/>
      <c r="J14" s="53"/>
      <c r="K14" s="53"/>
      <c r="L14" s="53"/>
      <c r="M14" s="53"/>
      <c r="O14" s="53"/>
      <c r="P14" s="32" t="s">
        <v>189</v>
      </c>
      <c r="T14" s="53"/>
      <c r="U14" s="53"/>
      <c r="V14" s="32" t="s">
        <v>189</v>
      </c>
      <c r="Z14" s="38"/>
    </row>
    <row r="15" spans="1:26" x14ac:dyDescent="0.25">
      <c r="A15" s="38"/>
      <c r="C15" s="53" t="s">
        <v>29</v>
      </c>
      <c r="D15" s="27">
        <v>15</v>
      </c>
      <c r="E15" s="27">
        <v>13</v>
      </c>
      <c r="G15" s="53"/>
      <c r="H15" s="53"/>
      <c r="I15" s="53"/>
      <c r="J15" s="53"/>
      <c r="K15" s="53"/>
      <c r="L15" s="53"/>
      <c r="M15" s="53"/>
      <c r="O15" s="53"/>
      <c r="P15" s="32" t="s">
        <v>190</v>
      </c>
      <c r="T15" s="53"/>
      <c r="U15" s="53"/>
      <c r="V15" s="32" t="s">
        <v>190</v>
      </c>
      <c r="Z15" s="38"/>
    </row>
    <row r="16" spans="1:26" ht="25.5" x14ac:dyDescent="0.25">
      <c r="A16" s="38"/>
      <c r="C16" s="53" t="s">
        <v>30</v>
      </c>
      <c r="D16" s="27">
        <v>23</v>
      </c>
      <c r="E16" s="27">
        <v>24</v>
      </c>
      <c r="G16" s="53"/>
      <c r="H16" s="53"/>
      <c r="I16" s="53"/>
      <c r="J16" s="53"/>
      <c r="K16" s="53"/>
      <c r="L16" s="53"/>
      <c r="M16" s="53"/>
      <c r="O16" s="59" t="str">
        <f>E3</f>
        <v>Desarrollo de competencias</v>
      </c>
      <c r="P16" s="32" t="s">
        <v>186</v>
      </c>
      <c r="T16" s="53"/>
      <c r="U16" s="59" t="str">
        <f>E3</f>
        <v>Desarrollo de competencias</v>
      </c>
      <c r="V16" s="32" t="s">
        <v>188</v>
      </c>
      <c r="Z16" s="38"/>
    </row>
    <row r="17" spans="1:26" x14ac:dyDescent="0.25">
      <c r="A17" s="38"/>
      <c r="C17" s="53" t="s">
        <v>31</v>
      </c>
      <c r="D17" s="27">
        <v>45</v>
      </c>
      <c r="E17" s="27">
        <v>46</v>
      </c>
      <c r="G17" s="53"/>
      <c r="H17" s="53"/>
      <c r="I17" s="53"/>
      <c r="J17" s="53"/>
      <c r="K17" s="53"/>
      <c r="L17" s="53"/>
      <c r="M17" s="53"/>
      <c r="O17" s="53"/>
      <c r="P17" s="32" t="s">
        <v>189</v>
      </c>
      <c r="T17" s="53"/>
      <c r="U17" s="53"/>
      <c r="V17" s="32" t="s">
        <v>189</v>
      </c>
      <c r="Z17" s="38"/>
    </row>
    <row r="18" spans="1:26" x14ac:dyDescent="0.25">
      <c r="A18" s="38"/>
      <c r="C18" s="53" t="s">
        <v>32</v>
      </c>
      <c r="D18" s="27">
        <v>23</v>
      </c>
      <c r="E18" s="27">
        <v>14</v>
      </c>
      <c r="O18" s="58"/>
      <c r="P18" s="31" t="s">
        <v>190</v>
      </c>
      <c r="Q18" s="5"/>
      <c r="R18" s="5"/>
      <c r="T18" s="58"/>
      <c r="U18" s="58"/>
      <c r="V18" s="31" t="s">
        <v>190</v>
      </c>
      <c r="W18" s="5"/>
      <c r="X18" s="5"/>
      <c r="Z18" s="38"/>
    </row>
    <row r="19" spans="1:26" x14ac:dyDescent="0.25">
      <c r="A19" s="38"/>
      <c r="C19" s="53" t="s">
        <v>33</v>
      </c>
      <c r="D19" s="27">
        <v>16</v>
      </c>
      <c r="E19" s="27">
        <v>16</v>
      </c>
      <c r="O19" s="59" t="s">
        <v>191</v>
      </c>
      <c r="P19" s="53"/>
      <c r="Q19" s="53"/>
      <c r="R19" s="53"/>
      <c r="T19" s="59" t="s">
        <v>191</v>
      </c>
      <c r="U19" s="53"/>
      <c r="V19" s="53"/>
      <c r="W19" s="53"/>
      <c r="X19" s="53"/>
      <c r="Z19" s="38"/>
    </row>
    <row r="20" spans="1:26" x14ac:dyDescent="0.25">
      <c r="A20" s="38"/>
      <c r="C20" s="53" t="s">
        <v>34</v>
      </c>
      <c r="D20" s="27">
        <v>24</v>
      </c>
      <c r="E20" s="27">
        <v>17</v>
      </c>
      <c r="Z20" s="38"/>
    </row>
    <row r="21" spans="1:26" x14ac:dyDescent="0.25">
      <c r="A21" s="38"/>
      <c r="C21" s="53" t="s">
        <v>35</v>
      </c>
      <c r="D21" s="27">
        <v>13</v>
      </c>
      <c r="E21" s="27">
        <v>13</v>
      </c>
      <c r="Z21" s="38"/>
    </row>
    <row r="22" spans="1:26" x14ac:dyDescent="0.25">
      <c r="A22" s="38"/>
      <c r="C22" s="53" t="s">
        <v>36</v>
      </c>
      <c r="D22" s="27">
        <v>22</v>
      </c>
      <c r="E22" s="27">
        <v>21</v>
      </c>
      <c r="Z22" s="38"/>
    </row>
    <row r="23" spans="1:26" x14ac:dyDescent="0.25">
      <c r="A23" s="38"/>
      <c r="C23" s="53" t="s">
        <v>37</v>
      </c>
      <c r="D23" s="27">
        <v>17</v>
      </c>
      <c r="E23" s="27">
        <v>23</v>
      </c>
      <c r="Z23" s="38"/>
    </row>
    <row r="24" spans="1:26" x14ac:dyDescent="0.25">
      <c r="A24" s="38"/>
      <c r="Z24" s="38"/>
    </row>
    <row r="25" spans="1:26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8" spans="1:26" x14ac:dyDescent="0.25">
      <c r="D28" t="s">
        <v>205</v>
      </c>
      <c r="E28" t="s">
        <v>205</v>
      </c>
      <c r="F28" t="s">
        <v>193</v>
      </c>
      <c r="G28" t="s">
        <v>194</v>
      </c>
      <c r="H28" t="s">
        <v>195</v>
      </c>
      <c r="I28" t="s">
        <v>196</v>
      </c>
      <c r="M28" t="s">
        <v>197</v>
      </c>
      <c r="N28" t="s">
        <v>198</v>
      </c>
      <c r="O28" t="s">
        <v>199</v>
      </c>
      <c r="R28" t="s">
        <v>197</v>
      </c>
      <c r="S28" t="s">
        <v>198</v>
      </c>
      <c r="T28" t="s">
        <v>200</v>
      </c>
    </row>
    <row r="29" spans="1:26" x14ac:dyDescent="0.25">
      <c r="D29" t="str">
        <f>D3</f>
        <v>Clima institucional</v>
      </c>
      <c r="E29" t="str">
        <f>E3</f>
        <v>Desarrollo de competencias</v>
      </c>
      <c r="F29" t="str">
        <f>IF(G8&lt;=50,H6,H6)</f>
        <v>Kolmogorov-Smirnova</v>
      </c>
      <c r="G29" t="str">
        <f>IF(E3&lt;5/100,"la distribución de sus valores son diferentes a la distribución normal","la distribución de sus valores no son diferentes a la distribución normal")</f>
        <v>la distribución de sus valores no son diferentes a la distribución normal</v>
      </c>
      <c r="H29" t="str">
        <f>IF(G29="la distribución de sus valores son diferentes a la distribución normal"," es decir los datos no se encuentran normalmente distribuidos"," es decir los datos si se encuentran normalmente distribuidos")</f>
        <v xml:space="preserve"> es decir los datos si se encuentran normalmente distribuidos</v>
      </c>
      <c r="I29" t="str">
        <f>IF(G29=" es decir los datos no se encuentran normalmente distribuidos"," la prueba no paramétrica de correlación de Rho de Spearman","la prueba paramétrica de correlación de Pearson")</f>
        <v>la prueba paramétrica de correlación de Pearson</v>
      </c>
      <c r="M29" t="s">
        <v>201</v>
      </c>
      <c r="N29">
        <f>R14</f>
        <v>0</v>
      </c>
      <c r="O29">
        <f>R13</f>
        <v>0</v>
      </c>
      <c r="R29" t="s">
        <v>201</v>
      </c>
      <c r="S29">
        <f>X14</f>
        <v>0</v>
      </c>
      <c r="T29">
        <f>X13</f>
        <v>0</v>
      </c>
    </row>
    <row r="30" spans="1:26" x14ac:dyDescent="0.25">
      <c r="C30" t="s">
        <v>202</v>
      </c>
      <c r="D30">
        <f>M8</f>
        <v>0</v>
      </c>
      <c r="E30">
        <f>M9</f>
        <v>0</v>
      </c>
      <c r="N30">
        <f>N29/100</f>
        <v>0</v>
      </c>
      <c r="O30">
        <f>O29*100</f>
        <v>0</v>
      </c>
      <c r="Q30" t="s">
        <v>203</v>
      </c>
      <c r="S30">
        <f>S29/100</f>
        <v>0</v>
      </c>
      <c r="T30">
        <f>T29*100</f>
        <v>0</v>
      </c>
      <c r="V30" t="s">
        <v>203</v>
      </c>
    </row>
    <row r="31" spans="1:26" x14ac:dyDescent="0.25">
      <c r="N31" t="str">
        <f>IF(N29&lt;5/100,"existe relación significativa entre las ","no existe relación entre las ")</f>
        <v xml:space="preserve">existe relación significativa entre las </v>
      </c>
      <c r="O31" t="str">
        <f>IF(O29&lt;='Criterio para el valor r'!$A$2,'Criterio para el valor r'!$C$2,IF(O29&lt;='Criterio para el valor r'!$A$3,'Criterio para el valor r'!$C$3,IF(O29&lt;='Criterio para el valor r'!$A$4,'Criterio para el valor r'!$C$4,IF(O29&lt;='Criterio para el valor r'!$A$5,'Criterio para el valor r'!$C$5,IF(O29&lt;='Criterio para el valor r'!$A$6,'Criterio para el valor r'!$C$6,IF(O29&lt;='Criterio para el valor r'!$A$8,'Criterio para el valor r'!$C$7,IF(O29&lt;='Criterio para el valor r'!$A$7,'Criterio para el valor r'!$C$8,IF(O29&lt;='Criterio para el valor r'!$B$9,'Criterio para el valor r'!$C$9,IF(O29&lt;='Criterio para el valor r'!$B$10,'Criterio para el valor r'!$C$10,IF(O29&lt;='Criterio para el valor r'!$B$11,'Criterio para el valor r'!$C$11,IF(O29&lt;='Criterio para el valor r'!$B$12,'Criterio para el valor r'!$C$12,IF(O29&lt;='Criterio para el valor r'!$B$13,'Criterio para el valor r'!$C$13,IF(O29&lt;='Criterio para el valor r'!$B$14,'Criterio para el valor r'!$C$14,"algo esta mal")))))))))))))</f>
        <v>Correlación negativa muy débil</v>
      </c>
      <c r="P31" t="str">
        <f>IF(O29&lt;0,"menor","mayor")</f>
        <v>mayor</v>
      </c>
      <c r="Q31" t="str">
        <f>IF(N30&gt;=5/100,"se acepta la Ho y se rechaza la Hi","se rechaza la Ho y se acepta la Hi")</f>
        <v>se rechaza la Ho y se acepta la Hi</v>
      </c>
      <c r="S31" t="str">
        <f>IF(S29&lt;5/100,"existe relación significativa entre las ","no existe relación entre las ")</f>
        <v xml:space="preserve">existe relación significativa entre las </v>
      </c>
      <c r="T31" t="str">
        <f>IF(T29&lt;5/100,"existe relación significativa entre las ","no existe relación entre las ")</f>
        <v xml:space="preserve">existe relación significativa entre las </v>
      </c>
      <c r="U31" t="str">
        <f>IF(T29&lt;0,"menor","mayor")</f>
        <v>mayor</v>
      </c>
      <c r="V31" t="str">
        <f>IF(S30&gt;=5/100,"se acepta la Ho y se rechaza la Hi","se rechaza la Ho y se acepta la Hi")</f>
        <v>se rechaza la Ho y se acepta la Hi</v>
      </c>
    </row>
    <row r="34" spans="15:23" x14ac:dyDescent="0.25">
      <c r="O34" s="52" t="str">
        <f>CONCATENATE("la ",O10," muestra los resultados de la prueba de ",P13,", en donde se evidencia que con una ",N28," del ",N30,"% ",N31," ",M29," ",O13," y ",O16,", adicional a ello se puede observar que la fuerza y/o grado de correlación ",O28," tiene un valor de ",O30,"% lo que afirma que es una ",O31," mismo que asu vez significa que a mayor ",Q12," ",P31," ",O16,", por todo ello en el presente objetivo ",Q31,".")</f>
        <v>la Tabla 1 muestra los resultados de la prueba de Correlación de Pearson, en donde se evidencia que con una  probabilidad de error  del 0% existe relación significativa entre las  dimensiones Clima institucional y Desarrollo de competencias, adicional a ello se puede observar que la fuerza y/o grado de correlación  "r"  tiene un valor de 0% lo que afirma que es una Correlación negativa muy débil mismo que asu vez significa que a mayor Clima institucional mayor Desarrollo de competencias, por todo ello en el presente objetivo se rechaza la Ho y se acepta la Hi.</v>
      </c>
      <c r="P34" s="53"/>
      <c r="Q34" s="53"/>
      <c r="R34" s="53"/>
      <c r="T34" s="52" t="str">
        <f>CONCATENATE("la ",T10," muestra los resultados de la prueba de ",V13,", en donde se evidencia que con una ",S28," del ",S30,"% ",S31," ",R29," ",U13," y ",U16,", adicional a ello se puede observar que la fuerza y/o grado de correlación ",T28," tiene un valor de ",T30,"% lo que afirma que es una ",T31," mismo que asu vez significa que a mayor ",W12," ",U31," ",X12,", por todo ello en el presente objetivo ",V31,".")</f>
        <v>la Tabla 1 muestra los resultados de la prueba de Correlación de Rho de Spearman, en donde se evidencia que con una  probabilidad de error  del 0% existe relación significativa entre las  dimensiones Clima institucional y Desarrollo de competencias, adicional a ello se puede observar que la fuerza y/o grado de correlación "Rho" tiene un valor de 0% lo que afirma que es una existe relación significativa entre las  mismo que asu vez significa que a mayor Clima institucional mayor Desarrollo de competencias, por todo ello en el presente objetivo se rechaza la Ho y se acepta la Hi.</v>
      </c>
      <c r="U34" s="53"/>
      <c r="V34" s="53"/>
      <c r="W34" s="53"/>
    </row>
    <row r="35" spans="15:23" x14ac:dyDescent="0.25">
      <c r="O35" s="53"/>
      <c r="P35" s="53"/>
      <c r="Q35" s="53"/>
      <c r="R35" s="53"/>
      <c r="T35" s="53"/>
      <c r="U35" s="53"/>
      <c r="V35" s="53"/>
      <c r="W35" s="53"/>
    </row>
    <row r="36" spans="15:23" x14ac:dyDescent="0.25">
      <c r="O36" s="53"/>
      <c r="P36" s="53"/>
      <c r="Q36" s="53"/>
      <c r="R36" s="53"/>
      <c r="T36" s="53"/>
      <c r="U36" s="53"/>
      <c r="V36" s="53"/>
      <c r="W36" s="53"/>
    </row>
    <row r="37" spans="15:23" x14ac:dyDescent="0.25">
      <c r="O37" s="53"/>
      <c r="P37" s="53"/>
      <c r="Q37" s="53"/>
      <c r="R37" s="53"/>
      <c r="T37" s="53"/>
      <c r="U37" s="53"/>
      <c r="V37" s="53"/>
      <c r="W37" s="53"/>
    </row>
    <row r="38" spans="15:23" x14ac:dyDescent="0.25">
      <c r="O38" s="53"/>
      <c r="P38" s="53"/>
      <c r="Q38" s="53"/>
      <c r="R38" s="53"/>
      <c r="T38" s="53"/>
      <c r="U38" s="53"/>
      <c r="V38" s="53"/>
      <c r="W38" s="53"/>
    </row>
    <row r="39" spans="15:23" x14ac:dyDescent="0.25">
      <c r="O39" s="53"/>
      <c r="P39" s="53"/>
      <c r="Q39" s="53"/>
      <c r="R39" s="53"/>
      <c r="T39" s="53"/>
      <c r="U39" s="53"/>
      <c r="V39" s="53"/>
      <c r="W39" s="53"/>
    </row>
  </sheetData>
  <sheetProtection formatCells="0" formatColumns="0" formatRows="0" insertColumns="0" insertRows="0" insertHyperlinks="0" deleteColumns="0" deleteRows="0" sort="0" autoFilter="0" pivotTables="0"/>
  <mergeCells count="39">
    <mergeCell ref="O34:R39"/>
    <mergeCell ref="T11:X11"/>
    <mergeCell ref="T12:V12"/>
    <mergeCell ref="T19:X19"/>
    <mergeCell ref="T13:T18"/>
    <mergeCell ref="T34:W39"/>
    <mergeCell ref="U13:U15"/>
    <mergeCell ref="U16:U18"/>
    <mergeCell ref="O11:R11"/>
    <mergeCell ref="O12:P12"/>
    <mergeCell ref="O13:O15"/>
    <mergeCell ref="O16:O18"/>
    <mergeCell ref="O19:R19"/>
    <mergeCell ref="G5:M5"/>
    <mergeCell ref="G12:M17"/>
    <mergeCell ref="G10:M10"/>
    <mergeCell ref="G6:G7"/>
    <mergeCell ref="H6:J6"/>
    <mergeCell ref="K6:M6"/>
    <mergeCell ref="C19"/>
    <mergeCell ref="C20"/>
    <mergeCell ref="C21"/>
    <mergeCell ref="C22"/>
    <mergeCell ref="C23"/>
    <mergeCell ref="C14"/>
    <mergeCell ref="C15"/>
    <mergeCell ref="C16"/>
    <mergeCell ref="C17"/>
    <mergeCell ref="C18"/>
    <mergeCell ref="C9"/>
    <mergeCell ref="C10"/>
    <mergeCell ref="C11"/>
    <mergeCell ref="C12"/>
    <mergeCell ref="C13"/>
    <mergeCell ref="C4"/>
    <mergeCell ref="C5"/>
    <mergeCell ref="C6"/>
    <mergeCell ref="C7"/>
    <mergeCell ref="C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J11" sqref="J11"/>
    </sheetView>
  </sheetViews>
  <sheetFormatPr baseColWidth="10" defaultColWidth="9.140625" defaultRowHeight="15" x14ac:dyDescent="0.25"/>
  <sheetData>
    <row r="1" spans="1:3" x14ac:dyDescent="0.25">
      <c r="A1" t="s">
        <v>75</v>
      </c>
      <c r="B1" t="s">
        <v>76</v>
      </c>
      <c r="C1" t="s">
        <v>206</v>
      </c>
    </row>
    <row r="2" spans="1:3" x14ac:dyDescent="0.25">
      <c r="A2" s="39">
        <v>-0.91</v>
      </c>
      <c r="B2" s="39">
        <v>-1</v>
      </c>
      <c r="C2" t="s">
        <v>207</v>
      </c>
    </row>
    <row r="3" spans="1:3" x14ac:dyDescent="0.25">
      <c r="A3" s="39">
        <v>-0.76</v>
      </c>
      <c r="B3" s="39">
        <v>-0.9</v>
      </c>
      <c r="C3" t="s">
        <v>208</v>
      </c>
    </row>
    <row r="4" spans="1:3" x14ac:dyDescent="0.25">
      <c r="A4" s="39">
        <v>-0.51</v>
      </c>
      <c r="B4" s="39">
        <v>-0.75</v>
      </c>
      <c r="C4" t="s">
        <v>209</v>
      </c>
    </row>
    <row r="5" spans="1:3" x14ac:dyDescent="0.25">
      <c r="A5" s="39">
        <v>-0.26</v>
      </c>
      <c r="B5" s="39">
        <v>-0.5</v>
      </c>
      <c r="C5" t="s">
        <v>210</v>
      </c>
    </row>
    <row r="6" spans="1:3" x14ac:dyDescent="0.25">
      <c r="A6" s="39">
        <v>-0.11</v>
      </c>
      <c r="B6" s="39">
        <v>-0.25</v>
      </c>
      <c r="C6" t="s">
        <v>211</v>
      </c>
    </row>
    <row r="7" spans="1:3" x14ac:dyDescent="0.25">
      <c r="A7" s="39">
        <v>-0.01</v>
      </c>
      <c r="B7" s="39">
        <v>-0.1</v>
      </c>
      <c r="C7" t="s">
        <v>212</v>
      </c>
    </row>
    <row r="8" spans="1:3" x14ac:dyDescent="0.25">
      <c r="A8" s="39">
        <v>0</v>
      </c>
      <c r="B8" s="39">
        <v>0</v>
      </c>
      <c r="C8" t="s">
        <v>213</v>
      </c>
    </row>
    <row r="9" spans="1:3" x14ac:dyDescent="0.25">
      <c r="A9" s="39">
        <v>0.01</v>
      </c>
      <c r="B9" s="39">
        <v>0.1</v>
      </c>
      <c r="C9" t="s">
        <v>214</v>
      </c>
    </row>
    <row r="10" spans="1:3" x14ac:dyDescent="0.25">
      <c r="A10" s="39">
        <v>0.11</v>
      </c>
      <c r="B10" s="39">
        <v>0.25</v>
      </c>
      <c r="C10" t="s">
        <v>215</v>
      </c>
    </row>
    <row r="11" spans="1:3" x14ac:dyDescent="0.25">
      <c r="A11" s="39">
        <v>0.26</v>
      </c>
      <c r="B11" s="39">
        <v>0.5</v>
      </c>
      <c r="C11" t="s">
        <v>216</v>
      </c>
    </row>
    <row r="12" spans="1:3" x14ac:dyDescent="0.25">
      <c r="A12" s="39">
        <v>0.51</v>
      </c>
      <c r="B12" s="39">
        <v>0.75</v>
      </c>
      <c r="C12" t="s">
        <v>217</v>
      </c>
    </row>
    <row r="13" spans="1:3" x14ac:dyDescent="0.25">
      <c r="A13" s="39">
        <v>0.76</v>
      </c>
      <c r="B13" s="39">
        <v>0.9</v>
      </c>
      <c r="C13" t="s">
        <v>218</v>
      </c>
    </row>
    <row r="14" spans="1:3" x14ac:dyDescent="0.25">
      <c r="A14" s="39">
        <v>0.91</v>
      </c>
      <c r="B14" s="39">
        <v>1</v>
      </c>
      <c r="C14" t="s">
        <v>219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Clima institucional</vt:lpstr>
      <vt:lpstr>Por Valoracion (3) Dimension</vt:lpstr>
      <vt:lpstr>Tabulacion por item</vt:lpstr>
      <vt:lpstr>Por conteo Dimension</vt:lpstr>
      <vt:lpstr>Desarrollo de competencias</vt:lpstr>
      <vt:lpstr>Por Valoracion (3) Dimension 2</vt:lpstr>
      <vt:lpstr>Tabulacion por item 2</vt:lpstr>
      <vt:lpstr>Por conteo Dimension 2</vt:lpstr>
      <vt:lpstr>Rela. ent. dimension</vt:lpstr>
      <vt:lpstr>Rela. dimen. ent. vari</vt:lpstr>
      <vt:lpstr>Rela. ent. variable</vt:lpstr>
      <vt:lpstr>Criterio para el valor 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LENOVO-03</cp:lastModifiedBy>
  <dcterms:created xsi:type="dcterms:W3CDTF">2019-04-26T15:37:42Z</dcterms:created>
  <dcterms:modified xsi:type="dcterms:W3CDTF">2019-04-26T15:55:30Z</dcterms:modified>
  <cp:category/>
</cp:coreProperties>
</file>